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filterPrivacy="1" codeName="ThisWorkbook"/>
  <bookViews>
    <workbookView xWindow="0" yWindow="0" windowWidth="20490" windowHeight="7530" tabRatio="626"/>
  </bookViews>
  <sheets>
    <sheet name="Paramètres" sheetId="1" r:id="rId1"/>
    <sheet name="Rebouclage" sheetId="5" r:id="rId2"/>
    <sheet name="Visu totale" sheetId="4" r:id="rId3"/>
    <sheet name="M2N" sheetId="8" r:id="rId4"/>
    <sheet name="M2B" sheetId="12" r:id="rId5"/>
    <sheet name="M2C" sheetId="7" r:id="rId6"/>
    <sheet name="M2D" sheetId="6" r:id="rId7"/>
    <sheet name="M5F" sheetId="11" r:id="rId8"/>
    <sheet name="Variation potentiel" sheetId="13" r:id="rId9"/>
  </sheets>
  <functionGroups builtInGroupCount="18"/>
  <externalReferences>
    <externalReference r:id="rId10"/>
  </externalReferences>
  <definedNames>
    <definedName name="_xlnm._FilterDatabase" localSheetId="5" hidden="1">M2C!$A$3:$DJ$19</definedName>
    <definedName name="_xlnm._FilterDatabase" localSheetId="8" hidden="1">'Variation potentiel'!$A$3:$DI$3</definedName>
    <definedName name="_xlnm._FilterDatabase" localSheetId="2" hidden="1">'Visu totale'!$A$128:$DH$129</definedName>
    <definedName name="anneeFin">Paramètres!$E$9</definedName>
    <definedName name="anneeIni">Paramètres!$E$8</definedName>
    <definedName name="anneeInit">Paramètres!$E$8</definedName>
    <definedName name="avion1">Rebouclage!$D$2</definedName>
    <definedName name="avion2">'Visu totale'!$D$2</definedName>
    <definedName name="avion3">M2N!$D$3</definedName>
    <definedName name="avion4" localSheetId="4">M2B!$F$3</definedName>
    <definedName name="avion4">#REF!</definedName>
    <definedName name="avion5">M2C!$F$3</definedName>
    <definedName name="avion6">M2D!$G$3</definedName>
    <definedName name="avion7">M5F!$F$3</definedName>
    <definedName name="Avion8">'Variation potentiel'!$E$3</definedName>
    <definedName name="ecart">Paramètres!$C$14</definedName>
    <definedName name="ecart_2">Paramètres!$C$15</definedName>
    <definedName name="init">Paramètres!$I$8</definedName>
    <definedName name="moisFin">Paramètres!$D$9</definedName>
    <definedName name="moisIni">Paramètres!$D$8</definedName>
    <definedName name="moisInit">Paramètres!$D$8</definedName>
    <definedName name="parameters">Paramètres!$I$7</definedName>
    <definedName name="Pumois">Paramètres!$L$6</definedName>
    <definedName name="solution">Paramètres!$I$9</definedName>
    <definedName name="Vmax">Paramètres!$L$7</definedName>
    <definedName name="Vmois">Paramètres!$L$8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I3" i="13" l="1"/>
  <c r="DH3" i="13"/>
  <c r="DG3" i="13"/>
  <c r="DF3" i="13"/>
  <c r="DE3" i="13"/>
  <c r="DD3" i="13"/>
  <c r="DC3" i="13"/>
  <c r="DB3" i="13"/>
  <c r="DA3" i="13"/>
  <c r="CZ3" i="13"/>
  <c r="CY3" i="13"/>
  <c r="CX2" i="13"/>
  <c r="CX3" i="13"/>
  <c r="CW3" i="13"/>
  <c r="CV3" i="13"/>
  <c r="CU3" i="13"/>
  <c r="CT3" i="13"/>
  <c r="CS3" i="13"/>
  <c r="CR3" i="13"/>
  <c r="CQ3" i="13"/>
  <c r="CP3" i="13"/>
  <c r="CO3" i="13"/>
  <c r="CN3" i="13"/>
  <c r="CM3" i="13"/>
  <c r="CL2" i="13"/>
  <c r="CL3" i="13"/>
  <c r="CK3" i="13"/>
  <c r="CJ3" i="13"/>
  <c r="CI3" i="13"/>
  <c r="CH3" i="13"/>
  <c r="CG3" i="13"/>
  <c r="CF3" i="13"/>
  <c r="CE3" i="13"/>
  <c r="CD3" i="13"/>
  <c r="CC3" i="13"/>
  <c r="CB3" i="13"/>
  <c r="CA3" i="13"/>
  <c r="BZ2" i="13"/>
  <c r="BZ3" i="13"/>
  <c r="BY3" i="13"/>
  <c r="BX3" i="13"/>
  <c r="BW3" i="13"/>
  <c r="BV3" i="13"/>
  <c r="BU3" i="13"/>
  <c r="BT3" i="13"/>
  <c r="BS3" i="13"/>
  <c r="BR3" i="13"/>
  <c r="BQ3" i="13"/>
  <c r="BP3" i="13"/>
  <c r="BO3" i="13"/>
  <c r="BN2" i="13"/>
  <c r="BN3" i="13"/>
  <c r="BM3" i="13"/>
  <c r="BL3" i="13"/>
  <c r="BK3" i="13"/>
  <c r="BJ3" i="13"/>
  <c r="BI3" i="13"/>
  <c r="BH3" i="13"/>
  <c r="BG3" i="13"/>
  <c r="BF3" i="13"/>
  <c r="BE3" i="13"/>
  <c r="BD3" i="13"/>
  <c r="BC3" i="13"/>
  <c r="BB2" i="13"/>
  <c r="BB3" i="13"/>
  <c r="BA3" i="13"/>
  <c r="AZ3" i="13"/>
  <c r="AY3" i="13"/>
  <c r="AX3" i="13"/>
  <c r="AW3" i="13"/>
  <c r="AV3" i="13"/>
  <c r="AU3" i="13"/>
  <c r="AT3" i="13"/>
  <c r="AS3" i="13"/>
  <c r="AR3" i="13"/>
  <c r="AQ3" i="13"/>
  <c r="AP2" i="13"/>
  <c r="AP3" i="13"/>
  <c r="AO3" i="13"/>
  <c r="AN3" i="13"/>
  <c r="AM3" i="13"/>
  <c r="AL3" i="13"/>
  <c r="AK3" i="13"/>
  <c r="AJ3" i="13"/>
  <c r="AI3" i="13"/>
  <c r="AH3" i="13"/>
  <c r="AG3" i="13"/>
  <c r="AF3" i="13"/>
  <c r="AE3" i="13"/>
  <c r="AD2" i="13"/>
  <c r="AD3" i="13"/>
  <c r="AC3" i="13"/>
  <c r="AB3" i="13"/>
  <c r="AA3" i="13"/>
  <c r="Z3" i="13"/>
  <c r="Y3" i="13"/>
  <c r="X3" i="13"/>
  <c r="W3" i="13"/>
  <c r="V3" i="13"/>
  <c r="U3" i="13"/>
  <c r="T3" i="13"/>
  <c r="S3" i="13"/>
  <c r="R2" i="13"/>
  <c r="R3" i="13"/>
  <c r="Q3" i="13"/>
  <c r="P3" i="13"/>
  <c r="O3" i="13"/>
  <c r="N3" i="13"/>
  <c r="M3" i="13"/>
  <c r="L3" i="13"/>
  <c r="K3" i="13"/>
  <c r="J3" i="13"/>
  <c r="I3" i="13"/>
  <c r="H3" i="13"/>
  <c r="G3" i="13"/>
  <c r="F2" i="13"/>
  <c r="F3" i="13"/>
  <c r="DJ3" i="11"/>
  <c r="DI3" i="11"/>
  <c r="DH3" i="11"/>
  <c r="DG3" i="11"/>
  <c r="DF3" i="11"/>
  <c r="DE3" i="11"/>
  <c r="DD3" i="11"/>
  <c r="DC3" i="11"/>
  <c r="DB3" i="11"/>
  <c r="DA3" i="11"/>
  <c r="CZ3" i="11"/>
  <c r="CY2" i="11"/>
  <c r="CY3" i="11"/>
  <c r="CX3" i="11"/>
  <c r="CW3" i="11"/>
  <c r="CV3" i="11"/>
  <c r="CU3" i="11"/>
  <c r="CT3" i="11"/>
  <c r="CS3" i="11"/>
  <c r="CR3" i="11"/>
  <c r="CQ3" i="11"/>
  <c r="CP3" i="11"/>
  <c r="CO3" i="11"/>
  <c r="CN3" i="11"/>
  <c r="CM2" i="11"/>
  <c r="CM3" i="11"/>
  <c r="CL3" i="11"/>
  <c r="CK3" i="11"/>
  <c r="CJ3" i="11"/>
  <c r="CI3" i="11"/>
  <c r="CH3" i="11"/>
  <c r="CG3" i="11"/>
  <c r="CF3" i="11"/>
  <c r="CE3" i="11"/>
  <c r="CD3" i="11"/>
  <c r="CC3" i="11"/>
  <c r="CB3" i="11"/>
  <c r="CA2" i="11"/>
  <c r="CA3" i="11"/>
  <c r="BZ3" i="11"/>
  <c r="BY3" i="11"/>
  <c r="BX3" i="11"/>
  <c r="BW3" i="11"/>
  <c r="BV3" i="11"/>
  <c r="BU3" i="11"/>
  <c r="BT3" i="11"/>
  <c r="BS3" i="11"/>
  <c r="BR3" i="11"/>
  <c r="BQ3" i="11"/>
  <c r="BP3" i="11"/>
  <c r="BO2" i="11"/>
  <c r="BO3" i="11"/>
  <c r="BN3" i="11"/>
  <c r="BM3" i="11"/>
  <c r="BL3" i="11"/>
  <c r="BK3" i="11"/>
  <c r="BJ3" i="11"/>
  <c r="BI3" i="11"/>
  <c r="BH3" i="11"/>
  <c r="BG3" i="11"/>
  <c r="BF3" i="11"/>
  <c r="BE3" i="11"/>
  <c r="BD3" i="11"/>
  <c r="BC2" i="11"/>
  <c r="BC3" i="11"/>
  <c r="BB3" i="11"/>
  <c r="BA3" i="11"/>
  <c r="AZ3" i="11"/>
  <c r="AY3" i="11"/>
  <c r="AX3" i="11"/>
  <c r="AW3" i="11"/>
  <c r="AV3" i="11"/>
  <c r="AU3" i="11"/>
  <c r="AT3" i="11"/>
  <c r="AS3" i="11"/>
  <c r="AR3" i="11"/>
  <c r="AQ2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2" i="11"/>
  <c r="AE3" i="11"/>
  <c r="AD3" i="11"/>
  <c r="AC3" i="11"/>
  <c r="AB3" i="11"/>
  <c r="AA3" i="11"/>
  <c r="Z3" i="11"/>
  <c r="Y3" i="11"/>
  <c r="X3" i="11"/>
  <c r="W3" i="11"/>
  <c r="V3" i="11"/>
  <c r="U3" i="11"/>
  <c r="T3" i="11"/>
  <c r="S2" i="11"/>
  <c r="S3" i="11"/>
  <c r="R3" i="11"/>
  <c r="Q3" i="11"/>
  <c r="P3" i="11"/>
  <c r="O3" i="11"/>
  <c r="N3" i="11"/>
  <c r="M3" i="11"/>
  <c r="L3" i="11"/>
  <c r="K3" i="11"/>
  <c r="J3" i="11"/>
  <c r="I3" i="11"/>
  <c r="H3" i="11"/>
  <c r="G2" i="11"/>
  <c r="G3" i="11"/>
  <c r="DK3" i="6"/>
  <c r="DJ3" i="6"/>
  <c r="DI3" i="6"/>
  <c r="DH3" i="6"/>
  <c r="DG3" i="6"/>
  <c r="DF3" i="6"/>
  <c r="DE3" i="6"/>
  <c r="DD3" i="6"/>
  <c r="DC3" i="6"/>
  <c r="DB3" i="6"/>
  <c r="DA3" i="6"/>
  <c r="CZ2" i="6"/>
  <c r="CZ3" i="6"/>
  <c r="CY3" i="6"/>
  <c r="CX3" i="6"/>
  <c r="CW3" i="6"/>
  <c r="CV3" i="6"/>
  <c r="CU3" i="6"/>
  <c r="CT3" i="6"/>
  <c r="CS3" i="6"/>
  <c r="CR3" i="6"/>
  <c r="CQ3" i="6"/>
  <c r="CP3" i="6"/>
  <c r="CO3" i="6"/>
  <c r="CN2" i="6"/>
  <c r="CN3" i="6"/>
  <c r="CM3" i="6"/>
  <c r="CL3" i="6"/>
  <c r="CK3" i="6"/>
  <c r="CJ3" i="6"/>
  <c r="CI3" i="6"/>
  <c r="CH3" i="6"/>
  <c r="CG3" i="6"/>
  <c r="CF3" i="6"/>
  <c r="CE3" i="6"/>
  <c r="CD3" i="6"/>
  <c r="CC3" i="6"/>
  <c r="CB2" i="6"/>
  <c r="CB3" i="6"/>
  <c r="CA3" i="6"/>
  <c r="BZ3" i="6"/>
  <c r="BY3" i="6"/>
  <c r="BX3" i="6"/>
  <c r="BW3" i="6"/>
  <c r="BV3" i="6"/>
  <c r="BU3" i="6"/>
  <c r="BT3" i="6"/>
  <c r="BS3" i="6"/>
  <c r="BR3" i="6"/>
  <c r="BQ3" i="6"/>
  <c r="BP2" i="6"/>
  <c r="BP3" i="6"/>
  <c r="BO3" i="6"/>
  <c r="BN3" i="6"/>
  <c r="BM3" i="6"/>
  <c r="BL3" i="6"/>
  <c r="BK3" i="6"/>
  <c r="BJ3" i="6"/>
  <c r="BI3" i="6"/>
  <c r="BH3" i="6"/>
  <c r="BG3" i="6"/>
  <c r="BF3" i="6"/>
  <c r="BE3" i="6"/>
  <c r="BD2" i="6"/>
  <c r="BD3" i="6"/>
  <c r="BC3" i="6"/>
  <c r="BB3" i="6"/>
  <c r="BA3" i="6"/>
  <c r="AZ3" i="6"/>
  <c r="AY3" i="6"/>
  <c r="AX3" i="6"/>
  <c r="AW3" i="6"/>
  <c r="AV3" i="6"/>
  <c r="AU3" i="6"/>
  <c r="AT3" i="6"/>
  <c r="AS3" i="6"/>
  <c r="AR2" i="6"/>
  <c r="AR3" i="6"/>
  <c r="AQ3" i="6"/>
  <c r="AP3" i="6"/>
  <c r="AO3" i="6"/>
  <c r="AN3" i="6"/>
  <c r="AM3" i="6"/>
  <c r="AL3" i="6"/>
  <c r="AK3" i="6"/>
  <c r="AJ3" i="6"/>
  <c r="AI3" i="6"/>
  <c r="AH3" i="6"/>
  <c r="AG3" i="6"/>
  <c r="AF2" i="6"/>
  <c r="AF3" i="6"/>
  <c r="AE3" i="6"/>
  <c r="AD3" i="6"/>
  <c r="AC3" i="6"/>
  <c r="AB3" i="6"/>
  <c r="AA3" i="6"/>
  <c r="Z3" i="6"/>
  <c r="Y3" i="6"/>
  <c r="X3" i="6"/>
  <c r="W3" i="6"/>
  <c r="V3" i="6"/>
  <c r="U3" i="6"/>
  <c r="T2" i="6"/>
  <c r="T3" i="6"/>
  <c r="S3" i="6"/>
  <c r="R3" i="6"/>
  <c r="Q3" i="6"/>
  <c r="P3" i="6"/>
  <c r="O3" i="6"/>
  <c r="N3" i="6"/>
  <c r="M3" i="6"/>
  <c r="L3" i="6"/>
  <c r="K3" i="6"/>
  <c r="J3" i="6"/>
  <c r="I3" i="6"/>
  <c r="H2" i="6"/>
  <c r="H3" i="6"/>
  <c r="DJ3" i="7"/>
  <c r="DI3" i="7"/>
  <c r="DH3" i="7"/>
  <c r="DG3" i="7"/>
  <c r="DF3" i="7"/>
  <c r="DE3" i="7"/>
  <c r="DD3" i="7"/>
  <c r="DC3" i="7"/>
  <c r="DB3" i="7"/>
  <c r="DA3" i="7"/>
  <c r="CZ3" i="7"/>
  <c r="CY2" i="7"/>
  <c r="CY3" i="7"/>
  <c r="CX3" i="7"/>
  <c r="CW3" i="7"/>
  <c r="CV3" i="7"/>
  <c r="CU3" i="7"/>
  <c r="CT3" i="7"/>
  <c r="CS3" i="7"/>
  <c r="CR3" i="7"/>
  <c r="CQ3" i="7"/>
  <c r="CP3" i="7"/>
  <c r="CO3" i="7"/>
  <c r="CN3" i="7"/>
  <c r="CM2" i="7"/>
  <c r="CM3" i="7"/>
  <c r="CL3" i="7"/>
  <c r="CK3" i="7"/>
  <c r="CJ3" i="7"/>
  <c r="CI3" i="7"/>
  <c r="CH3" i="7"/>
  <c r="CG3" i="7"/>
  <c r="CF3" i="7"/>
  <c r="CE3" i="7"/>
  <c r="CD3" i="7"/>
  <c r="CC3" i="7"/>
  <c r="CB3" i="7"/>
  <c r="CA2" i="7"/>
  <c r="CA3" i="7"/>
  <c r="BZ3" i="7"/>
  <c r="BY3" i="7"/>
  <c r="BX3" i="7"/>
  <c r="BW3" i="7"/>
  <c r="BV3" i="7"/>
  <c r="BU3" i="7"/>
  <c r="BT3" i="7"/>
  <c r="BS3" i="7"/>
  <c r="BR3" i="7"/>
  <c r="BQ3" i="7"/>
  <c r="BP3" i="7"/>
  <c r="BO2" i="7"/>
  <c r="BO3" i="7"/>
  <c r="BN3" i="7"/>
  <c r="BM3" i="7"/>
  <c r="BL3" i="7"/>
  <c r="BK3" i="7"/>
  <c r="BJ3" i="7"/>
  <c r="BI3" i="7"/>
  <c r="BH3" i="7"/>
  <c r="BG3" i="7"/>
  <c r="BF3" i="7"/>
  <c r="BE3" i="7"/>
  <c r="BD3" i="7"/>
  <c r="BC2" i="7"/>
  <c r="BC3" i="7"/>
  <c r="BB3" i="7"/>
  <c r="BA3" i="7"/>
  <c r="AZ3" i="7"/>
  <c r="AY3" i="7"/>
  <c r="AX3" i="7"/>
  <c r="AW3" i="7"/>
  <c r="AV3" i="7"/>
  <c r="AU3" i="7"/>
  <c r="AT3" i="7"/>
  <c r="AS3" i="7"/>
  <c r="AR3" i="7"/>
  <c r="AQ2" i="7"/>
  <c r="AQ3" i="7"/>
  <c r="AP3" i="7"/>
  <c r="AO3" i="7"/>
  <c r="AN3" i="7"/>
  <c r="AM3" i="7"/>
  <c r="AL3" i="7"/>
  <c r="AK3" i="7"/>
  <c r="AJ3" i="7"/>
  <c r="AI3" i="7"/>
  <c r="AH3" i="7"/>
  <c r="AG3" i="7"/>
  <c r="AF3" i="7"/>
  <c r="AE2" i="7"/>
  <c r="AE3" i="7"/>
  <c r="AD3" i="7"/>
  <c r="AC3" i="7"/>
  <c r="AB3" i="7"/>
  <c r="AA3" i="7"/>
  <c r="Z3" i="7"/>
  <c r="Y3" i="7"/>
  <c r="X3" i="7"/>
  <c r="W3" i="7"/>
  <c r="V3" i="7"/>
  <c r="U3" i="7"/>
  <c r="T3" i="7"/>
  <c r="S2" i="7"/>
  <c r="S3" i="7"/>
  <c r="R3" i="7"/>
  <c r="Q3" i="7"/>
  <c r="P3" i="7"/>
  <c r="O3" i="7"/>
  <c r="N3" i="7"/>
  <c r="M3" i="7"/>
  <c r="L3" i="7"/>
  <c r="K3" i="7"/>
  <c r="J3" i="7"/>
  <c r="I3" i="7"/>
  <c r="H3" i="7"/>
  <c r="G2" i="7"/>
  <c r="G3" i="7"/>
  <c r="DJ3" i="12"/>
  <c r="DI3" i="12"/>
  <c r="DH3" i="12"/>
  <c r="DG3" i="12"/>
  <c r="DF3" i="12"/>
  <c r="DE3" i="12"/>
  <c r="DD3" i="12"/>
  <c r="DC3" i="12"/>
  <c r="DB3" i="12"/>
  <c r="DA3" i="12"/>
  <c r="CZ3" i="12"/>
  <c r="CY2" i="12"/>
  <c r="CY3" i="12"/>
  <c r="CX3" i="12"/>
  <c r="CW3" i="12"/>
  <c r="CV3" i="12"/>
  <c r="CU3" i="12"/>
  <c r="CT3" i="12"/>
  <c r="CS3" i="12"/>
  <c r="CR3" i="12"/>
  <c r="CQ3" i="12"/>
  <c r="CP3" i="12"/>
  <c r="CO3" i="12"/>
  <c r="CN3" i="12"/>
  <c r="CM2" i="12"/>
  <c r="CM3" i="12"/>
  <c r="CL3" i="12"/>
  <c r="CK3" i="12"/>
  <c r="CJ3" i="12"/>
  <c r="CI3" i="12"/>
  <c r="CH3" i="12"/>
  <c r="CG3" i="12"/>
  <c r="CF3" i="12"/>
  <c r="CE3" i="12"/>
  <c r="CD3" i="12"/>
  <c r="CC3" i="12"/>
  <c r="CB3" i="12"/>
  <c r="CA2" i="12"/>
  <c r="CA3" i="12"/>
  <c r="BZ3" i="12"/>
  <c r="BY3" i="12"/>
  <c r="BX3" i="12"/>
  <c r="BW3" i="12"/>
  <c r="BV3" i="12"/>
  <c r="BU3" i="12"/>
  <c r="BT3" i="12"/>
  <c r="BS3" i="12"/>
  <c r="BR3" i="12"/>
  <c r="BQ3" i="12"/>
  <c r="BP3" i="12"/>
  <c r="BO2" i="12"/>
  <c r="BO3" i="12"/>
  <c r="BN3" i="12"/>
  <c r="BM3" i="12"/>
  <c r="BL3" i="12"/>
  <c r="BK3" i="12"/>
  <c r="BJ3" i="12"/>
  <c r="BI3" i="12"/>
  <c r="BH3" i="12"/>
  <c r="BG3" i="12"/>
  <c r="BF3" i="12"/>
  <c r="BE3" i="12"/>
  <c r="BD3" i="12"/>
  <c r="BC2" i="12"/>
  <c r="BC3" i="12"/>
  <c r="BB3" i="12"/>
  <c r="BA3" i="12"/>
  <c r="AZ3" i="12"/>
  <c r="AY3" i="12"/>
  <c r="AX3" i="12"/>
  <c r="AW3" i="12"/>
  <c r="AV3" i="12"/>
  <c r="AU3" i="12"/>
  <c r="AT3" i="12"/>
  <c r="AS3" i="12"/>
  <c r="AR3" i="12"/>
  <c r="AQ2" i="12"/>
  <c r="AQ3" i="12"/>
  <c r="AP3" i="12"/>
  <c r="AO3" i="12"/>
  <c r="AN3" i="12"/>
  <c r="AM3" i="12"/>
  <c r="AL3" i="12"/>
  <c r="AK3" i="12"/>
  <c r="AJ3" i="12"/>
  <c r="AI3" i="12"/>
  <c r="AH3" i="12"/>
  <c r="AG3" i="12"/>
  <c r="AF3" i="12"/>
  <c r="AE2" i="12"/>
  <c r="AE3" i="12"/>
  <c r="AD3" i="12"/>
  <c r="AC3" i="12"/>
  <c r="AB3" i="12"/>
  <c r="AA3" i="12"/>
  <c r="Z3" i="12"/>
  <c r="Y3" i="12"/>
  <c r="X3" i="12"/>
  <c r="W3" i="12"/>
  <c r="V3" i="12"/>
  <c r="U3" i="12"/>
  <c r="T3" i="12"/>
  <c r="S2" i="12"/>
  <c r="S3" i="12"/>
  <c r="R3" i="12"/>
  <c r="Q3" i="12"/>
  <c r="P3" i="12"/>
  <c r="O3" i="12"/>
  <c r="N3" i="12"/>
  <c r="M3" i="12"/>
  <c r="L3" i="12"/>
  <c r="K3" i="12"/>
  <c r="J3" i="12"/>
  <c r="I3" i="12"/>
  <c r="H3" i="12"/>
  <c r="G2" i="12"/>
  <c r="G3" i="12"/>
  <c r="DH3" i="8"/>
  <c r="DG3" i="8"/>
  <c r="DF3" i="8"/>
  <c r="DE3" i="8"/>
  <c r="DD3" i="8"/>
  <c r="DC3" i="8"/>
  <c r="DB3" i="8"/>
  <c r="DA3" i="8"/>
  <c r="CZ3" i="8"/>
  <c r="CY3" i="8"/>
  <c r="CX3" i="8"/>
  <c r="CW2" i="8"/>
  <c r="CW3" i="8"/>
  <c r="CV3" i="8"/>
  <c r="CU3" i="8"/>
  <c r="CT3" i="8"/>
  <c r="CS3" i="8"/>
  <c r="CR3" i="8"/>
  <c r="CQ3" i="8"/>
  <c r="CP3" i="8"/>
  <c r="CO3" i="8"/>
  <c r="CN3" i="8"/>
  <c r="CM3" i="8"/>
  <c r="CL3" i="8"/>
  <c r="CK2" i="8"/>
  <c r="CK3" i="8"/>
  <c r="CJ3" i="8"/>
  <c r="CI3" i="8"/>
  <c r="CH3" i="8"/>
  <c r="CG3" i="8"/>
  <c r="CF3" i="8"/>
  <c r="CE3" i="8"/>
  <c r="CD3" i="8"/>
  <c r="CC3" i="8"/>
  <c r="CB3" i="8"/>
  <c r="CA3" i="8"/>
  <c r="BZ3" i="8"/>
  <c r="BY2" i="8"/>
  <c r="BY3" i="8"/>
  <c r="BX3" i="8"/>
  <c r="BW3" i="8"/>
  <c r="BV3" i="8"/>
  <c r="BU3" i="8"/>
  <c r="BT3" i="8"/>
  <c r="BS3" i="8"/>
  <c r="BR3" i="8"/>
  <c r="BQ3" i="8"/>
  <c r="BP3" i="8"/>
  <c r="BO3" i="8"/>
  <c r="BN3" i="8"/>
  <c r="BM2" i="8"/>
  <c r="BM3" i="8"/>
  <c r="BL3" i="8"/>
  <c r="BK3" i="8"/>
  <c r="BJ3" i="8"/>
  <c r="BI3" i="8"/>
  <c r="BH3" i="8"/>
  <c r="BG3" i="8"/>
  <c r="BF3" i="8"/>
  <c r="BE3" i="8"/>
  <c r="BD3" i="8"/>
  <c r="BC3" i="8"/>
  <c r="BB3" i="8"/>
  <c r="BA2" i="8"/>
  <c r="BA3" i="8"/>
  <c r="AZ3" i="8"/>
  <c r="AY3" i="8"/>
  <c r="AX3" i="8"/>
  <c r="AW3" i="8"/>
  <c r="AV3" i="8"/>
  <c r="AU3" i="8"/>
  <c r="AT3" i="8"/>
  <c r="AS3" i="8"/>
  <c r="AR3" i="8"/>
  <c r="AQ3" i="8"/>
  <c r="AP3" i="8"/>
  <c r="AO2" i="8"/>
  <c r="AO3" i="8"/>
  <c r="AN3" i="8"/>
  <c r="AM3" i="8"/>
  <c r="AL3" i="8"/>
  <c r="AK3" i="8"/>
  <c r="AJ3" i="8"/>
  <c r="AI3" i="8"/>
  <c r="AH3" i="8"/>
  <c r="AG3" i="8"/>
  <c r="AF3" i="8"/>
  <c r="AE3" i="8"/>
  <c r="AD3" i="8"/>
  <c r="AC2" i="8"/>
  <c r="AC3" i="8"/>
  <c r="AB3" i="8"/>
  <c r="AA3" i="8"/>
  <c r="Z3" i="8"/>
  <c r="Y3" i="8"/>
  <c r="X3" i="8"/>
  <c r="W3" i="8"/>
  <c r="V3" i="8"/>
  <c r="U3" i="8"/>
  <c r="T3" i="8"/>
  <c r="S3" i="8"/>
  <c r="R3" i="8"/>
  <c r="Q2" i="8"/>
  <c r="Q3" i="8"/>
  <c r="P3" i="8"/>
  <c r="O3" i="8"/>
  <c r="N3" i="8"/>
  <c r="M3" i="8"/>
  <c r="L3" i="8"/>
  <c r="K3" i="8"/>
  <c r="J3" i="8"/>
  <c r="I3" i="8"/>
  <c r="H3" i="8"/>
  <c r="G3" i="8"/>
  <c r="F3" i="8"/>
  <c r="E2" i="8"/>
  <c r="E3" i="8"/>
  <c r="DH2" i="4"/>
  <c r="DG2" i="4"/>
  <c r="DF2" i="4"/>
  <c r="DE2" i="4"/>
  <c r="DD2" i="4"/>
  <c r="DC2" i="4"/>
  <c r="DB2" i="4"/>
  <c r="DA2" i="4"/>
  <c r="CZ2" i="4"/>
  <c r="CY2" i="4"/>
  <c r="CX2" i="4"/>
  <c r="CW1" i="4"/>
  <c r="CW2" i="4"/>
  <c r="CV2" i="4"/>
  <c r="CU2" i="4"/>
  <c r="CT2" i="4"/>
  <c r="CS2" i="4"/>
  <c r="CR2" i="4"/>
  <c r="CQ2" i="4"/>
  <c r="CP2" i="4"/>
  <c r="CO2" i="4"/>
  <c r="CN2" i="4"/>
  <c r="CM2" i="4"/>
  <c r="CL2" i="4"/>
  <c r="CK1" i="4"/>
  <c r="CK2" i="4"/>
  <c r="CJ2" i="4"/>
  <c r="CI2" i="4"/>
  <c r="CH2" i="4"/>
  <c r="CG2" i="4"/>
  <c r="CF2" i="4"/>
  <c r="CE2" i="4"/>
  <c r="CD2" i="4"/>
  <c r="CC2" i="4"/>
  <c r="CB2" i="4"/>
  <c r="CA2" i="4"/>
  <c r="BZ2" i="4"/>
  <c r="BY1" i="4"/>
  <c r="BY2" i="4"/>
  <c r="BX2" i="4"/>
  <c r="BW2" i="4"/>
  <c r="BV2" i="4"/>
  <c r="BU2" i="4"/>
  <c r="BT2" i="4"/>
  <c r="BS2" i="4"/>
  <c r="BR2" i="4"/>
  <c r="BQ2" i="4"/>
  <c r="BP2" i="4"/>
  <c r="BO2" i="4"/>
  <c r="BN2" i="4"/>
  <c r="BM1" i="4"/>
  <c r="BM2" i="4"/>
  <c r="BL2" i="4"/>
  <c r="BK2" i="4"/>
  <c r="BJ2" i="4"/>
  <c r="BI2" i="4"/>
  <c r="BH2" i="4"/>
  <c r="BG2" i="4"/>
  <c r="BF2" i="4"/>
  <c r="BE2" i="4"/>
  <c r="BD2" i="4"/>
  <c r="BC2" i="4"/>
  <c r="BB2" i="4"/>
  <c r="BA1" i="4"/>
  <c r="BA2" i="4"/>
  <c r="AZ2" i="4"/>
  <c r="AY2" i="4"/>
  <c r="AX2" i="4"/>
  <c r="AW2" i="4"/>
  <c r="AV2" i="4"/>
  <c r="AU2" i="4"/>
  <c r="AT2" i="4"/>
  <c r="AS2" i="4"/>
  <c r="AR2" i="4"/>
  <c r="AQ2" i="4"/>
  <c r="AP2" i="4"/>
  <c r="AO1" i="4"/>
  <c r="AO2" i="4"/>
  <c r="AN2" i="4"/>
  <c r="AM2" i="4"/>
  <c r="AL2" i="4"/>
  <c r="AK2" i="4"/>
  <c r="AJ2" i="4"/>
  <c r="AI2" i="4"/>
  <c r="AH2" i="4"/>
  <c r="AG2" i="4"/>
  <c r="AF2" i="4"/>
  <c r="AE2" i="4"/>
  <c r="AD2" i="4"/>
  <c r="AC1" i="4"/>
  <c r="AC2" i="4"/>
  <c r="AB2" i="4"/>
  <c r="AA2" i="4"/>
  <c r="Z2" i="4"/>
  <c r="Y2" i="4"/>
  <c r="X2" i="4"/>
  <c r="W2" i="4"/>
  <c r="V2" i="4"/>
  <c r="U2" i="4"/>
  <c r="T2" i="4"/>
  <c r="S2" i="4"/>
  <c r="R2" i="4"/>
  <c r="Q1" i="4"/>
  <c r="Q2" i="4"/>
  <c r="P2" i="4"/>
  <c r="O2" i="4"/>
  <c r="N2" i="4"/>
  <c r="M2" i="4"/>
  <c r="L2" i="4"/>
  <c r="K2" i="4"/>
  <c r="J2" i="4"/>
  <c r="I2" i="4"/>
  <c r="H2" i="4"/>
  <c r="G2" i="4"/>
  <c r="F2" i="4"/>
  <c r="E1" i="4"/>
  <c r="E2" i="4"/>
  <c r="DH2" i="5"/>
  <c r="DG2" i="5"/>
  <c r="DF2" i="5"/>
  <c r="DE2" i="5"/>
  <c r="DD2" i="5"/>
  <c r="DC2" i="5"/>
  <c r="DB2" i="5"/>
  <c r="DA2" i="5"/>
  <c r="CZ2" i="5"/>
  <c r="CY2" i="5"/>
  <c r="CX2" i="5"/>
  <c r="CW1" i="5"/>
  <c r="CW2" i="5"/>
  <c r="CV2" i="5"/>
  <c r="CU2" i="5"/>
  <c r="CT2" i="5"/>
  <c r="CS2" i="5"/>
  <c r="CR2" i="5"/>
  <c r="CQ2" i="5"/>
  <c r="CP2" i="5"/>
  <c r="CO2" i="5"/>
  <c r="CN2" i="5"/>
  <c r="CM2" i="5"/>
  <c r="CL2" i="5"/>
  <c r="CK1" i="5"/>
  <c r="CK2" i="5"/>
  <c r="CJ2" i="5"/>
  <c r="CI2" i="5"/>
  <c r="CH2" i="5"/>
  <c r="CG2" i="5"/>
  <c r="CF2" i="5"/>
  <c r="CE2" i="5"/>
  <c r="CD2" i="5"/>
  <c r="CC2" i="5"/>
  <c r="CB2" i="5"/>
  <c r="CA2" i="5"/>
  <c r="BZ2" i="5"/>
  <c r="BY1" i="5"/>
  <c r="BY2" i="5"/>
  <c r="BX2" i="5"/>
  <c r="BW2" i="5"/>
  <c r="BV2" i="5"/>
  <c r="BU2" i="5"/>
  <c r="BT2" i="5"/>
  <c r="BS2" i="5"/>
  <c r="BR2" i="5"/>
  <c r="BQ2" i="5"/>
  <c r="BP2" i="5"/>
  <c r="BO2" i="5"/>
  <c r="BN2" i="5"/>
  <c r="BM1" i="5"/>
  <c r="BM2" i="5"/>
  <c r="BL2" i="5"/>
  <c r="BK2" i="5"/>
  <c r="BJ2" i="5"/>
  <c r="BI2" i="5"/>
  <c r="BH2" i="5"/>
  <c r="BG2" i="5"/>
  <c r="BF2" i="5"/>
  <c r="BE2" i="5"/>
  <c r="BD2" i="5"/>
  <c r="BC2" i="5"/>
  <c r="BB2" i="5"/>
  <c r="BA1" i="5"/>
  <c r="BA2" i="5"/>
  <c r="AZ2" i="5"/>
  <c r="AY2" i="5"/>
  <c r="AX2" i="5"/>
  <c r="AW2" i="5"/>
  <c r="AV2" i="5"/>
  <c r="AU2" i="5"/>
  <c r="AT2" i="5"/>
  <c r="AS2" i="5"/>
  <c r="AR2" i="5"/>
  <c r="AQ2" i="5"/>
  <c r="AP2" i="5"/>
  <c r="AO1" i="5"/>
  <c r="AO2" i="5"/>
  <c r="AN2" i="5"/>
  <c r="AM2" i="5"/>
  <c r="AL2" i="5"/>
  <c r="AK2" i="5"/>
  <c r="AJ2" i="5"/>
  <c r="AI2" i="5"/>
  <c r="AH2" i="5"/>
  <c r="AG2" i="5"/>
  <c r="AF2" i="5"/>
  <c r="AE2" i="5"/>
  <c r="AD2" i="5"/>
  <c r="AC1" i="5"/>
  <c r="AC2" i="5"/>
  <c r="AB2" i="5"/>
  <c r="AA2" i="5"/>
  <c r="Z2" i="5"/>
  <c r="Y2" i="5"/>
  <c r="X2" i="5"/>
  <c r="W2" i="5"/>
  <c r="V2" i="5"/>
  <c r="U2" i="5"/>
  <c r="T2" i="5"/>
  <c r="S2" i="5"/>
  <c r="R2" i="5"/>
  <c r="Q1" i="5"/>
  <c r="Q2" i="5"/>
  <c r="P2" i="5"/>
  <c r="O2" i="5"/>
  <c r="N2" i="5"/>
  <c r="M2" i="5"/>
  <c r="L2" i="5"/>
  <c r="K2" i="5"/>
  <c r="J2" i="5"/>
  <c r="I2" i="5"/>
  <c r="H2" i="5"/>
  <c r="G2" i="5"/>
  <c r="F2" i="5"/>
  <c r="E1" i="5"/>
  <c r="E2" i="5"/>
  <c r="E111" i="13" l="1"/>
  <c r="E52" i="13"/>
  <c r="F52" i="13" s="1"/>
  <c r="E126" i="13"/>
  <c r="F126" i="13" s="1"/>
  <c r="G126" i="13" s="1"/>
  <c r="H126" i="13" s="1"/>
  <c r="E57" i="13"/>
  <c r="F57" i="13" s="1"/>
  <c r="G57" i="13" s="1"/>
  <c r="H57" i="13" s="1"/>
  <c r="I57" i="13" s="1"/>
  <c r="J57" i="13" s="1"/>
  <c r="K57" i="13" s="1"/>
  <c r="L57" i="13" s="1"/>
  <c r="M57" i="13" s="1"/>
  <c r="N57" i="13" s="1"/>
  <c r="O57" i="13" s="1"/>
  <c r="E58" i="13"/>
  <c r="F58" i="13" s="1"/>
  <c r="G58" i="13" s="1"/>
  <c r="H58" i="13" s="1"/>
  <c r="I58" i="13" s="1"/>
  <c r="J58" i="13" s="1"/>
  <c r="K58" i="13" s="1"/>
  <c r="L58" i="13" s="1"/>
  <c r="M58" i="13" s="1"/>
  <c r="E66" i="13"/>
  <c r="F66" i="13" s="1"/>
  <c r="G66" i="13" s="1"/>
  <c r="H66" i="13" s="1"/>
  <c r="I66" i="13" s="1"/>
  <c r="J66" i="13" s="1"/>
  <c r="K66" i="13" s="1"/>
  <c r="E71" i="13"/>
  <c r="F71" i="13" s="1"/>
  <c r="G71" i="13" s="1"/>
  <c r="H71" i="13" s="1"/>
  <c r="I71" i="13" s="1"/>
  <c r="E65" i="13"/>
  <c r="F65" i="13" s="1"/>
  <c r="G65" i="13" s="1"/>
  <c r="H65" i="13" s="1"/>
  <c r="I65" i="13" s="1"/>
  <c r="J65" i="13" s="1"/>
  <c r="K65" i="13" s="1"/>
  <c r="L65" i="13" s="1"/>
  <c r="E72" i="13"/>
  <c r="F72" i="13" s="1"/>
  <c r="G72" i="13" s="1"/>
  <c r="H72" i="13" s="1"/>
  <c r="I72" i="13" s="1"/>
  <c r="J72" i="13" s="1"/>
  <c r="K72" i="13" s="1"/>
  <c r="L72" i="13" s="1"/>
  <c r="E36" i="13"/>
  <c r="F36" i="13" s="1"/>
  <c r="G36" i="13" s="1"/>
  <c r="H36" i="13" s="1"/>
  <c r="I36" i="13" s="1"/>
  <c r="E46" i="13"/>
  <c r="F46" i="13" s="1"/>
  <c r="G46" i="13" s="1"/>
  <c r="H46" i="13" s="1"/>
  <c r="I46" i="13" s="1"/>
  <c r="J46" i="13" s="1"/>
  <c r="E128" i="13"/>
  <c r="F128" i="13" s="1"/>
  <c r="G128" i="13" s="1"/>
  <c r="H128" i="13" s="1"/>
  <c r="I128" i="13" s="1"/>
  <c r="J128" i="13" s="1"/>
  <c r="K128" i="13" s="1"/>
  <c r="E68" i="13"/>
  <c r="F68" i="13" s="1"/>
  <c r="G68" i="13" s="1"/>
  <c r="H68" i="13" s="1"/>
  <c r="I68" i="13" s="1"/>
  <c r="J68" i="13" s="1"/>
  <c r="K68" i="13" s="1"/>
  <c r="L68" i="13" s="1"/>
  <c r="E79" i="13"/>
  <c r="F79" i="13" s="1"/>
  <c r="G79" i="13" s="1"/>
  <c r="H79" i="13" s="1"/>
  <c r="I79" i="13" s="1"/>
  <c r="J79" i="13" s="1"/>
  <c r="K79" i="13" s="1"/>
  <c r="L79" i="13" s="1"/>
  <c r="M79" i="13" s="1"/>
  <c r="N79" i="13" s="1"/>
  <c r="O79" i="13" s="1"/>
  <c r="E42" i="13"/>
  <c r="F42" i="13" s="1"/>
  <c r="G42" i="13" s="1"/>
  <c r="H42" i="13" s="1"/>
  <c r="I42" i="13" s="1"/>
  <c r="J42" i="13" s="1"/>
  <c r="K42" i="13" s="1"/>
  <c r="L42" i="13" s="1"/>
  <c r="M42" i="13" s="1"/>
  <c r="E74" i="13"/>
  <c r="F74" i="13" s="1"/>
  <c r="G74" i="13" s="1"/>
  <c r="H74" i="13" s="1"/>
  <c r="I74" i="13" s="1"/>
  <c r="J74" i="13" s="1"/>
  <c r="K74" i="13" s="1"/>
  <c r="L74" i="13" s="1"/>
  <c r="E43" i="13"/>
  <c r="F43" i="13" s="1"/>
  <c r="G43" i="13" s="1"/>
  <c r="H43" i="13" s="1"/>
  <c r="I43" i="13" s="1"/>
  <c r="J43" i="13" s="1"/>
  <c r="K43" i="13" s="1"/>
  <c r="L43" i="13" s="1"/>
  <c r="M43" i="13" s="1"/>
  <c r="E17" i="13"/>
  <c r="F17" i="13" s="1"/>
  <c r="G17" i="13" s="1"/>
  <c r="H17" i="13" s="1"/>
  <c r="I17" i="13" s="1"/>
  <c r="J17" i="13" s="1"/>
  <c r="K17" i="13" s="1"/>
  <c r="L17" i="13" s="1"/>
  <c r="M17" i="13" s="1"/>
  <c r="E59" i="13"/>
  <c r="F59" i="13" s="1"/>
  <c r="G59" i="13" s="1"/>
  <c r="H59" i="13" s="1"/>
  <c r="I59" i="13" s="1"/>
  <c r="J59" i="13" s="1"/>
  <c r="K59" i="13" s="1"/>
  <c r="L59" i="13" s="1"/>
  <c r="M59" i="13" s="1"/>
  <c r="N59" i="13" s="1"/>
  <c r="O59" i="13" s="1"/>
  <c r="E107" i="13"/>
  <c r="F107" i="13" s="1"/>
  <c r="G107" i="13" s="1"/>
  <c r="H107" i="13" s="1"/>
  <c r="I107" i="13" s="1"/>
  <c r="J107" i="13" s="1"/>
  <c r="K107" i="13" s="1"/>
  <c r="L107" i="13" s="1"/>
  <c r="M107" i="13" s="1"/>
  <c r="N107" i="13" s="1"/>
  <c r="O107" i="13" s="1"/>
  <c r="P107" i="13" s="1"/>
  <c r="E123" i="13"/>
  <c r="F123" i="13" s="1"/>
  <c r="G123" i="13" s="1"/>
  <c r="H123" i="13" s="1"/>
  <c r="I123" i="13" s="1"/>
  <c r="J123" i="13" s="1"/>
  <c r="K123" i="13" s="1"/>
  <c r="L123" i="13" s="1"/>
  <c r="M123" i="13" s="1"/>
  <c r="N123" i="13" s="1"/>
  <c r="E77" i="13"/>
  <c r="F77" i="13" s="1"/>
  <c r="G77" i="13" s="1"/>
  <c r="H77" i="13" s="1"/>
  <c r="I77" i="13" s="1"/>
  <c r="J77" i="13" s="1"/>
  <c r="K77" i="13" s="1"/>
  <c r="L77" i="13" s="1"/>
  <c r="M77" i="13" s="1"/>
  <c r="N77" i="13" s="1"/>
  <c r="O77" i="13" s="1"/>
  <c r="P77" i="13" s="1"/>
  <c r="Q77" i="13" s="1"/>
  <c r="R77" i="13" s="1"/>
  <c r="S77" i="13" s="1"/>
  <c r="E81" i="13"/>
  <c r="F81" i="13" s="1"/>
  <c r="G81" i="13" s="1"/>
  <c r="H81" i="13" s="1"/>
  <c r="I81" i="13" s="1"/>
  <c r="J81" i="13" s="1"/>
  <c r="K81" i="13" s="1"/>
  <c r="L81" i="13" s="1"/>
  <c r="M81" i="13" s="1"/>
  <c r="N81" i="13" s="1"/>
  <c r="O81" i="13" s="1"/>
  <c r="P81" i="13" s="1"/>
  <c r="Q81" i="13" s="1"/>
  <c r="E83" i="13"/>
  <c r="F83" i="13" s="1"/>
  <c r="G83" i="13" s="1"/>
  <c r="H83" i="13" s="1"/>
  <c r="I83" i="13" s="1"/>
  <c r="J83" i="13" s="1"/>
  <c r="K83" i="13" s="1"/>
  <c r="L83" i="13" s="1"/>
  <c r="M83" i="13" s="1"/>
  <c r="N83" i="13" s="1"/>
  <c r="O83" i="13" s="1"/>
  <c r="E112" i="13"/>
  <c r="F112" i="13" s="1"/>
  <c r="G112" i="13" s="1"/>
  <c r="H112" i="13" s="1"/>
  <c r="I112" i="13" s="1"/>
  <c r="J112" i="13" s="1"/>
  <c r="K112" i="13" s="1"/>
  <c r="L112" i="13" s="1"/>
  <c r="M112" i="13" s="1"/>
  <c r="N112" i="13" s="1"/>
  <c r="O112" i="13" s="1"/>
  <c r="P112" i="13" s="1"/>
  <c r="E75" i="13"/>
  <c r="F75" i="13" s="1"/>
  <c r="G75" i="13" s="1"/>
  <c r="H75" i="13" s="1"/>
  <c r="I75" i="13" s="1"/>
  <c r="J75" i="13" s="1"/>
  <c r="K75" i="13" s="1"/>
  <c r="L75" i="13" s="1"/>
  <c r="M75" i="13" s="1"/>
  <c r="N75" i="13" s="1"/>
  <c r="O75" i="13" s="1"/>
  <c r="P75" i="13" s="1"/>
  <c r="E105" i="13"/>
  <c r="F105" i="13" s="1"/>
  <c r="G105" i="13" s="1"/>
  <c r="H105" i="13" s="1"/>
  <c r="I105" i="13" s="1"/>
  <c r="J105" i="13" s="1"/>
  <c r="K105" i="13" s="1"/>
  <c r="L105" i="13" s="1"/>
  <c r="M105" i="13" s="1"/>
  <c r="N105" i="13" s="1"/>
  <c r="O105" i="13" s="1"/>
  <c r="P105" i="13" s="1"/>
  <c r="E41" i="13"/>
  <c r="F41" i="13" s="1"/>
  <c r="G41" i="13" s="1"/>
  <c r="H41" i="13" s="1"/>
  <c r="I41" i="13" s="1"/>
  <c r="J41" i="13" s="1"/>
  <c r="K41" i="13" s="1"/>
  <c r="L41" i="13" s="1"/>
  <c r="M41" i="13" s="1"/>
  <c r="N41" i="13" s="1"/>
  <c r="O41" i="13" s="1"/>
  <c r="P41" i="13" s="1"/>
  <c r="Q41" i="13" s="1"/>
  <c r="R41" i="13" s="1"/>
  <c r="S41" i="13" s="1"/>
  <c r="T41" i="13" s="1"/>
  <c r="U41" i="13" s="1"/>
  <c r="E54" i="13"/>
  <c r="F54" i="13" s="1"/>
  <c r="G54" i="13" s="1"/>
  <c r="H54" i="13" s="1"/>
  <c r="I54" i="13" s="1"/>
  <c r="J54" i="13" s="1"/>
  <c r="K54" i="13" s="1"/>
  <c r="L54" i="13" s="1"/>
  <c r="M54" i="13" s="1"/>
  <c r="N54" i="13" s="1"/>
  <c r="O54" i="13" s="1"/>
  <c r="P54" i="13" s="1"/>
  <c r="Q54" i="13" s="1"/>
  <c r="R54" i="13" s="1"/>
  <c r="E118" i="13"/>
  <c r="F118" i="13" s="1"/>
  <c r="G118" i="13" s="1"/>
  <c r="H118" i="13" s="1"/>
  <c r="I118" i="13" s="1"/>
  <c r="J118" i="13" s="1"/>
  <c r="K118" i="13" s="1"/>
  <c r="L118" i="13" s="1"/>
  <c r="M118" i="13" s="1"/>
  <c r="N118" i="13" s="1"/>
  <c r="O118" i="13" s="1"/>
  <c r="P118" i="13" s="1"/>
  <c r="Q118" i="13" s="1"/>
  <c r="E117" i="13"/>
  <c r="F117" i="13" s="1"/>
  <c r="G117" i="13" s="1"/>
  <c r="H117" i="13" s="1"/>
  <c r="I117" i="13" s="1"/>
  <c r="J117" i="13" s="1"/>
  <c r="K117" i="13" s="1"/>
  <c r="L117" i="13" s="1"/>
  <c r="M117" i="13" s="1"/>
  <c r="N117" i="13" s="1"/>
  <c r="O117" i="13" s="1"/>
  <c r="P117" i="13" s="1"/>
  <c r="Q117" i="13" s="1"/>
  <c r="R117" i="13" s="1"/>
  <c r="E120" i="13"/>
  <c r="F120" i="13" s="1"/>
  <c r="G120" i="13" s="1"/>
  <c r="H120" i="13" s="1"/>
  <c r="I120" i="13" s="1"/>
  <c r="J120" i="13" s="1"/>
  <c r="K120" i="13" s="1"/>
  <c r="L120" i="13" s="1"/>
  <c r="M120" i="13" s="1"/>
  <c r="N120" i="13" s="1"/>
  <c r="O120" i="13" s="1"/>
  <c r="P120" i="13" s="1"/>
  <c r="Q120" i="13" s="1"/>
  <c r="R120" i="13" s="1"/>
  <c r="E121" i="13"/>
  <c r="F121" i="13" s="1"/>
  <c r="G121" i="13" s="1"/>
  <c r="H121" i="13" s="1"/>
  <c r="I121" i="13" s="1"/>
  <c r="J121" i="13" s="1"/>
  <c r="K121" i="13" s="1"/>
  <c r="L121" i="13" s="1"/>
  <c r="M121" i="13" s="1"/>
  <c r="N121" i="13" s="1"/>
  <c r="O121" i="13" s="1"/>
  <c r="P121" i="13" s="1"/>
  <c r="Q121" i="13" s="1"/>
  <c r="R121" i="13" s="1"/>
  <c r="S121" i="13" s="1"/>
  <c r="T121" i="13" s="1"/>
  <c r="U121" i="13" s="1"/>
  <c r="V121" i="13" s="1"/>
  <c r="W121" i="13" s="1"/>
  <c r="E103" i="13"/>
  <c r="F103" i="13" s="1"/>
  <c r="G103" i="13" s="1"/>
  <c r="H103" i="13" s="1"/>
  <c r="I103" i="13" s="1"/>
  <c r="J103" i="13" s="1"/>
  <c r="K103" i="13" s="1"/>
  <c r="L103" i="13" s="1"/>
  <c r="M103" i="13" s="1"/>
  <c r="N103" i="13" s="1"/>
  <c r="O103" i="13" s="1"/>
  <c r="P103" i="13" s="1"/>
  <c r="Q103" i="13" s="1"/>
  <c r="R103" i="13" s="1"/>
  <c r="E125" i="13"/>
  <c r="F125" i="13" s="1"/>
  <c r="G125" i="13" s="1"/>
  <c r="H125" i="13" s="1"/>
  <c r="I125" i="13" s="1"/>
  <c r="J125" i="13" s="1"/>
  <c r="K125" i="13" s="1"/>
  <c r="L125" i="13" s="1"/>
  <c r="M125" i="13" s="1"/>
  <c r="N125" i="13" s="1"/>
  <c r="O125" i="13" s="1"/>
  <c r="P125" i="13" s="1"/>
  <c r="Q125" i="13" s="1"/>
  <c r="R125" i="13" s="1"/>
  <c r="S125" i="13" s="1"/>
  <c r="E35" i="13"/>
  <c r="F35" i="13" s="1"/>
  <c r="G35" i="13" s="1"/>
  <c r="H35" i="13" s="1"/>
  <c r="I35" i="13" s="1"/>
  <c r="J35" i="13" s="1"/>
  <c r="K35" i="13" s="1"/>
  <c r="L35" i="13" s="1"/>
  <c r="M35" i="13" s="1"/>
  <c r="N35" i="13" s="1"/>
  <c r="O35" i="13" s="1"/>
  <c r="P35" i="13" s="1"/>
  <c r="Q35" i="13" s="1"/>
  <c r="R35" i="13" s="1"/>
  <c r="S35" i="13" s="1"/>
  <c r="E127" i="13"/>
  <c r="F127" i="13" s="1"/>
  <c r="G127" i="13" s="1"/>
  <c r="H127" i="13" s="1"/>
  <c r="I127" i="13" s="1"/>
  <c r="J127" i="13" s="1"/>
  <c r="K127" i="13" s="1"/>
  <c r="L127" i="13" s="1"/>
  <c r="M127" i="13" s="1"/>
  <c r="N127" i="13" s="1"/>
  <c r="O127" i="13" s="1"/>
  <c r="P127" i="13" s="1"/>
  <c r="Q127" i="13" s="1"/>
  <c r="R127" i="13" s="1"/>
  <c r="S127" i="13" s="1"/>
  <c r="T127" i="13" s="1"/>
  <c r="U127" i="13" s="1"/>
  <c r="V127" i="13" s="1"/>
  <c r="W127" i="13" s="1"/>
  <c r="E7" i="13"/>
  <c r="F7" i="13" s="1"/>
  <c r="G7" i="13" s="1"/>
  <c r="H7" i="13" s="1"/>
  <c r="I7" i="13" s="1"/>
  <c r="E9" i="13"/>
  <c r="F9" i="13" s="1"/>
  <c r="G9" i="13" s="1"/>
  <c r="H9" i="13" s="1"/>
  <c r="I9" i="13" s="1"/>
  <c r="J9" i="13" s="1"/>
  <c r="E109" i="13"/>
  <c r="F109" i="13" s="1"/>
  <c r="G109" i="13" s="1"/>
  <c r="H109" i="13" s="1"/>
  <c r="I109" i="13" s="1"/>
  <c r="J109" i="13" s="1"/>
  <c r="K109" i="13" s="1"/>
  <c r="L109" i="13" s="1"/>
  <c r="M109" i="13" s="1"/>
  <c r="N109" i="13" s="1"/>
  <c r="O109" i="13" s="1"/>
  <c r="P109" i="13" s="1"/>
  <c r="Q109" i="13" s="1"/>
  <c r="R109" i="13" s="1"/>
  <c r="S109" i="13" s="1"/>
  <c r="T109" i="13" s="1"/>
  <c r="U109" i="13" s="1"/>
  <c r="V109" i="13" s="1"/>
  <c r="W109" i="13" s="1"/>
  <c r="X109" i="13" s="1"/>
  <c r="Y109" i="13" s="1"/>
  <c r="Z109" i="13" s="1"/>
  <c r="E4" i="13"/>
  <c r="E8" i="13"/>
  <c r="F8" i="13" s="1"/>
  <c r="G8" i="13" s="1"/>
  <c r="H8" i="13" s="1"/>
  <c r="I8" i="13" s="1"/>
  <c r="E19" i="13"/>
  <c r="F19" i="13" s="1"/>
  <c r="G19" i="13" s="1"/>
  <c r="H19" i="13" s="1"/>
  <c r="I19" i="13" s="1"/>
  <c r="J19" i="13" s="1"/>
  <c r="K19" i="13" s="1"/>
  <c r="L19" i="13" s="1"/>
  <c r="M19" i="13" s="1"/>
  <c r="N19" i="13" s="1"/>
  <c r="E23" i="13"/>
  <c r="F23" i="13" s="1"/>
  <c r="G23" i="13" s="1"/>
  <c r="H23" i="13" s="1"/>
  <c r="I23" i="13" s="1"/>
  <c r="J23" i="13" s="1"/>
  <c r="K23" i="13" s="1"/>
  <c r="L23" i="13" s="1"/>
  <c r="M23" i="13" s="1"/>
  <c r="N23" i="13" s="1"/>
  <c r="O23" i="13" s="1"/>
  <c r="E25" i="13"/>
  <c r="F25" i="13" s="1"/>
  <c r="G25" i="13" s="1"/>
  <c r="H25" i="13" s="1"/>
  <c r="I25" i="13" s="1"/>
  <c r="J25" i="13" s="1"/>
  <c r="K25" i="13" s="1"/>
  <c r="L25" i="13" s="1"/>
  <c r="M25" i="13" s="1"/>
  <c r="N25" i="13" s="1"/>
  <c r="O25" i="13" s="1"/>
  <c r="P25" i="13" s="1"/>
  <c r="E30" i="13"/>
  <c r="F30" i="13" s="1"/>
  <c r="G30" i="13" s="1"/>
  <c r="H30" i="13" s="1"/>
  <c r="I30" i="13" s="1"/>
  <c r="J30" i="13" s="1"/>
  <c r="K30" i="13" s="1"/>
  <c r="L30" i="13" s="1"/>
  <c r="M30" i="13" s="1"/>
  <c r="N30" i="13" s="1"/>
  <c r="O30" i="13" s="1"/>
  <c r="P30" i="13" s="1"/>
  <c r="Q30" i="13" s="1"/>
  <c r="R30" i="13" s="1"/>
  <c r="E67" i="13"/>
  <c r="F67" i="13" s="1"/>
  <c r="G67" i="13" s="1"/>
  <c r="H67" i="13" s="1"/>
  <c r="I67" i="13" s="1"/>
  <c r="J67" i="13" s="1"/>
  <c r="K67" i="13" s="1"/>
  <c r="L67" i="13" s="1"/>
  <c r="M67" i="13" s="1"/>
  <c r="N67" i="13" s="1"/>
  <c r="O67" i="13" s="1"/>
  <c r="P67" i="13" s="1"/>
  <c r="Q67" i="13" s="1"/>
  <c r="R67" i="13" s="1"/>
  <c r="S67" i="13" s="1"/>
  <c r="T67" i="13" s="1"/>
  <c r="U67" i="13" s="1"/>
  <c r="V67" i="13" s="1"/>
  <c r="W67" i="13" s="1"/>
  <c r="E21" i="13"/>
  <c r="F21" i="13" s="1"/>
  <c r="G21" i="13" s="1"/>
  <c r="H21" i="13" s="1"/>
  <c r="I21" i="13" s="1"/>
  <c r="J21" i="13" s="1"/>
  <c r="K21" i="13" s="1"/>
  <c r="L21" i="13" s="1"/>
  <c r="M21" i="13" s="1"/>
  <c r="N21" i="13" s="1"/>
  <c r="O21" i="13" s="1"/>
  <c r="E86" i="13"/>
  <c r="F86" i="13" s="1"/>
  <c r="G86" i="13" s="1"/>
  <c r="H86" i="13" s="1"/>
  <c r="I86" i="13" s="1"/>
  <c r="J86" i="13" s="1"/>
  <c r="K86" i="13" s="1"/>
  <c r="L86" i="13" s="1"/>
  <c r="M86" i="13" s="1"/>
  <c r="N86" i="13" s="1"/>
  <c r="O86" i="13" s="1"/>
  <c r="P86" i="13" s="1"/>
  <c r="Q86" i="13" s="1"/>
  <c r="R86" i="13" s="1"/>
  <c r="S86" i="13" s="1"/>
  <c r="T86" i="13" s="1"/>
  <c r="U86" i="13" s="1"/>
  <c r="V86" i="13" s="1"/>
  <c r="W86" i="13" s="1"/>
  <c r="X86" i="13" s="1"/>
  <c r="E33" i="13"/>
  <c r="F33" i="13" s="1"/>
  <c r="G33" i="13" s="1"/>
  <c r="H33" i="13" s="1"/>
  <c r="I33" i="13" s="1"/>
  <c r="J33" i="13" s="1"/>
  <c r="K33" i="13" s="1"/>
  <c r="L33" i="13" s="1"/>
  <c r="M33" i="13" s="1"/>
  <c r="N33" i="13" s="1"/>
  <c r="O33" i="13" s="1"/>
  <c r="P33" i="13" s="1"/>
  <c r="Q33" i="13" s="1"/>
  <c r="R33" i="13" s="1"/>
  <c r="E63" i="13"/>
  <c r="F63" i="13" s="1"/>
  <c r="G63" i="13" s="1"/>
  <c r="H63" i="13" s="1"/>
  <c r="I63" i="13" s="1"/>
  <c r="J63" i="13" s="1"/>
  <c r="K63" i="13" s="1"/>
  <c r="L63" i="13" s="1"/>
  <c r="M63" i="13" s="1"/>
  <c r="N63" i="13" s="1"/>
  <c r="O63" i="13" s="1"/>
  <c r="P63" i="13" s="1"/>
  <c r="Q63" i="13" s="1"/>
  <c r="R63" i="13" s="1"/>
  <c r="S63" i="13" s="1"/>
  <c r="T63" i="13" s="1"/>
  <c r="U63" i="13" s="1"/>
  <c r="V63" i="13" s="1"/>
  <c r="W63" i="13" s="1"/>
  <c r="X63" i="13" s="1"/>
  <c r="Y63" i="13" s="1"/>
  <c r="E82" i="13"/>
  <c r="F82" i="13" s="1"/>
  <c r="G82" i="13" s="1"/>
  <c r="H82" i="13" s="1"/>
  <c r="I82" i="13" s="1"/>
  <c r="J82" i="13" s="1"/>
  <c r="K82" i="13" s="1"/>
  <c r="L82" i="13" s="1"/>
  <c r="M82" i="13" s="1"/>
  <c r="N82" i="13" s="1"/>
  <c r="O82" i="13" s="1"/>
  <c r="P82" i="13" s="1"/>
  <c r="Q82" i="13" s="1"/>
  <c r="R82" i="13" s="1"/>
  <c r="S82" i="13" s="1"/>
  <c r="T82" i="13" s="1"/>
  <c r="U82" i="13" s="1"/>
  <c r="V82" i="13" s="1"/>
  <c r="W82" i="13" s="1"/>
  <c r="X82" i="13" s="1"/>
  <c r="Y82" i="13" s="1"/>
  <c r="E102" i="13"/>
  <c r="F102" i="13" s="1"/>
  <c r="G102" i="13" s="1"/>
  <c r="H102" i="13" s="1"/>
  <c r="I102" i="13" s="1"/>
  <c r="J102" i="13" s="1"/>
  <c r="K102" i="13" s="1"/>
  <c r="L102" i="13" s="1"/>
  <c r="M102" i="13" s="1"/>
  <c r="N102" i="13" s="1"/>
  <c r="O102" i="13" s="1"/>
  <c r="P102" i="13" s="1"/>
  <c r="Q102" i="13" s="1"/>
  <c r="R102" i="13" s="1"/>
  <c r="S102" i="13" s="1"/>
  <c r="T102" i="13" s="1"/>
  <c r="U102" i="13" s="1"/>
  <c r="V102" i="13" s="1"/>
  <c r="W102" i="13" s="1"/>
  <c r="X102" i="13" s="1"/>
  <c r="Y102" i="13" s="1"/>
  <c r="E70" i="13"/>
  <c r="F70" i="13" s="1"/>
  <c r="G70" i="13" s="1"/>
  <c r="H70" i="13" s="1"/>
  <c r="I70" i="13" s="1"/>
  <c r="J70" i="13" s="1"/>
  <c r="K70" i="13" s="1"/>
  <c r="L70" i="13" s="1"/>
  <c r="M70" i="13" s="1"/>
  <c r="N70" i="13" s="1"/>
  <c r="O70" i="13" s="1"/>
  <c r="P70" i="13" s="1"/>
  <c r="Q70" i="13" s="1"/>
  <c r="R70" i="13" s="1"/>
  <c r="S70" i="13" s="1"/>
  <c r="T70" i="13" s="1"/>
  <c r="U70" i="13" s="1"/>
  <c r="V70" i="13" s="1"/>
  <c r="W70" i="13" s="1"/>
  <c r="X70" i="13" s="1"/>
  <c r="Y70" i="13" s="1"/>
  <c r="Z70" i="13" s="1"/>
  <c r="E60" i="13"/>
  <c r="F60" i="13" s="1"/>
  <c r="G60" i="13" s="1"/>
  <c r="H60" i="13" s="1"/>
  <c r="I60" i="13" s="1"/>
  <c r="J60" i="13" s="1"/>
  <c r="K60" i="13" s="1"/>
  <c r="L60" i="13" s="1"/>
  <c r="M60" i="13" s="1"/>
  <c r="N60" i="13" s="1"/>
  <c r="O60" i="13" s="1"/>
  <c r="P60" i="13" s="1"/>
  <c r="Q60" i="13" s="1"/>
  <c r="R60" i="13" s="1"/>
  <c r="S60" i="13" s="1"/>
  <c r="T60" i="13" s="1"/>
  <c r="U60" i="13" s="1"/>
  <c r="V60" i="13" s="1"/>
  <c r="W60" i="13" s="1"/>
  <c r="X60" i="13" s="1"/>
  <c r="Y60" i="13" s="1"/>
  <c r="Z60" i="13" s="1"/>
  <c r="AA60" i="13" s="1"/>
  <c r="E114" i="13"/>
  <c r="F114" i="13" s="1"/>
  <c r="G114" i="13" s="1"/>
  <c r="H114" i="13" s="1"/>
  <c r="I114" i="13" s="1"/>
  <c r="J114" i="13" s="1"/>
  <c r="K114" i="13" s="1"/>
  <c r="L114" i="13" s="1"/>
  <c r="M114" i="13" s="1"/>
  <c r="N114" i="13" s="1"/>
  <c r="O114" i="13" s="1"/>
  <c r="P114" i="13" s="1"/>
  <c r="Q114" i="13" s="1"/>
  <c r="R114" i="13" s="1"/>
  <c r="S114" i="13" s="1"/>
  <c r="T114" i="13" s="1"/>
  <c r="U114" i="13" s="1"/>
  <c r="V114" i="13" s="1"/>
  <c r="W114" i="13" s="1"/>
  <c r="X114" i="13" s="1"/>
  <c r="Y114" i="13" s="1"/>
  <c r="Z114" i="13" s="1"/>
  <c r="AA114" i="13" s="1"/>
  <c r="AB114" i="13" s="1"/>
  <c r="AC114" i="13" s="1"/>
  <c r="AD114" i="13" s="1"/>
  <c r="AE114" i="13" s="1"/>
  <c r="AF114" i="13" s="1"/>
  <c r="AG114" i="13" s="1"/>
  <c r="E116" i="13"/>
  <c r="F116" i="13" s="1"/>
  <c r="G116" i="13" s="1"/>
  <c r="H116" i="13" s="1"/>
  <c r="I116" i="13" s="1"/>
  <c r="J116" i="13" s="1"/>
  <c r="K116" i="13" s="1"/>
  <c r="L116" i="13" s="1"/>
  <c r="M116" i="13" s="1"/>
  <c r="N116" i="13" s="1"/>
  <c r="O116" i="13" s="1"/>
  <c r="P116" i="13" s="1"/>
  <c r="Q116" i="13" s="1"/>
  <c r="R116" i="13" s="1"/>
  <c r="S116" i="13" s="1"/>
  <c r="T116" i="13" s="1"/>
  <c r="U116" i="13" s="1"/>
  <c r="V116" i="13" s="1"/>
  <c r="W116" i="13" s="1"/>
  <c r="X116" i="13" s="1"/>
  <c r="Y116" i="13" s="1"/>
  <c r="Z116" i="13" s="1"/>
  <c r="AA116" i="13" s="1"/>
  <c r="E122" i="13"/>
  <c r="F122" i="13" s="1"/>
  <c r="G122" i="13" s="1"/>
  <c r="H122" i="13" s="1"/>
  <c r="I122" i="13" s="1"/>
  <c r="J122" i="13" s="1"/>
  <c r="K122" i="13" s="1"/>
  <c r="L122" i="13" s="1"/>
  <c r="M122" i="13" s="1"/>
  <c r="N122" i="13" s="1"/>
  <c r="O122" i="13" s="1"/>
  <c r="P122" i="13" s="1"/>
  <c r="Q122" i="13" s="1"/>
  <c r="R122" i="13" s="1"/>
  <c r="S122" i="13" s="1"/>
  <c r="T122" i="13" s="1"/>
  <c r="U122" i="13" s="1"/>
  <c r="V122" i="13" s="1"/>
  <c r="W122" i="13" s="1"/>
  <c r="X122" i="13" s="1"/>
  <c r="Y122" i="13" s="1"/>
  <c r="Z122" i="13" s="1"/>
  <c r="AA122" i="13" s="1"/>
  <c r="E115" i="13"/>
  <c r="F115" i="13" s="1"/>
  <c r="G115" i="13" s="1"/>
  <c r="H115" i="13" s="1"/>
  <c r="I115" i="13" s="1"/>
  <c r="J115" i="13" s="1"/>
  <c r="K115" i="13" s="1"/>
  <c r="L115" i="13" s="1"/>
  <c r="M115" i="13" s="1"/>
  <c r="N115" i="13" s="1"/>
  <c r="O115" i="13" s="1"/>
  <c r="P115" i="13" s="1"/>
  <c r="Q115" i="13" s="1"/>
  <c r="R115" i="13" s="1"/>
  <c r="S115" i="13" s="1"/>
  <c r="T115" i="13" s="1"/>
  <c r="U115" i="13" s="1"/>
  <c r="V115" i="13" s="1"/>
  <c r="W115" i="13" s="1"/>
  <c r="X115" i="13" s="1"/>
  <c r="Y115" i="13" s="1"/>
  <c r="Z115" i="13" s="1"/>
  <c r="AA115" i="13" s="1"/>
  <c r="AB115" i="13" s="1"/>
  <c r="AC115" i="13" s="1"/>
  <c r="AD115" i="13" s="1"/>
  <c r="AE115" i="13" s="1"/>
  <c r="E5" i="13"/>
  <c r="F5" i="13" s="1"/>
  <c r="E14" i="13"/>
  <c r="F14" i="13" s="1"/>
  <c r="G14" i="13" s="1"/>
  <c r="H14" i="13" s="1"/>
  <c r="I14" i="13" s="1"/>
  <c r="J14" i="13" s="1"/>
  <c r="K14" i="13" s="1"/>
  <c r="L14" i="13" s="1"/>
  <c r="E16" i="13"/>
  <c r="F16" i="13" s="1"/>
  <c r="G16" i="13" s="1"/>
  <c r="H16" i="13" s="1"/>
  <c r="I16" i="13" s="1"/>
  <c r="J16" i="13" s="1"/>
  <c r="K16" i="13" s="1"/>
  <c r="L16" i="13" s="1"/>
  <c r="M16" i="13" s="1"/>
  <c r="E110" i="13"/>
  <c r="F110" i="13" s="1"/>
  <c r="G110" i="13" s="1"/>
  <c r="H110" i="13" s="1"/>
  <c r="I110" i="13" s="1"/>
  <c r="J110" i="13" s="1"/>
  <c r="K110" i="13" s="1"/>
  <c r="L110" i="13" s="1"/>
  <c r="M110" i="13" s="1"/>
  <c r="N110" i="13" s="1"/>
  <c r="O110" i="13" s="1"/>
  <c r="P110" i="13" s="1"/>
  <c r="Q110" i="13" s="1"/>
  <c r="R110" i="13" s="1"/>
  <c r="S110" i="13" s="1"/>
  <c r="T110" i="13" s="1"/>
  <c r="U110" i="13" s="1"/>
  <c r="V110" i="13" s="1"/>
  <c r="W110" i="13" s="1"/>
  <c r="X110" i="13" s="1"/>
  <c r="Y110" i="13" s="1"/>
  <c r="Z110" i="13" s="1"/>
  <c r="AA110" i="13" s="1"/>
  <c r="AB110" i="13" s="1"/>
  <c r="AC110" i="13" s="1"/>
  <c r="AD110" i="13" s="1"/>
  <c r="E11" i="13"/>
  <c r="F11" i="13" s="1"/>
  <c r="G11" i="13" s="1"/>
  <c r="H11" i="13" s="1"/>
  <c r="I11" i="13" s="1"/>
  <c r="J11" i="13" s="1"/>
  <c r="K11" i="13" s="1"/>
  <c r="E38" i="13"/>
  <c r="F38" i="13" s="1"/>
  <c r="G38" i="13" s="1"/>
  <c r="H38" i="13" s="1"/>
  <c r="I38" i="13" s="1"/>
  <c r="J38" i="13" s="1"/>
  <c r="K38" i="13" s="1"/>
  <c r="L38" i="13" s="1"/>
  <c r="M38" i="13" s="1"/>
  <c r="N38" i="13" s="1"/>
  <c r="O38" i="13" s="1"/>
  <c r="P38" i="13" s="1"/>
  <c r="Q38" i="13" s="1"/>
  <c r="R38" i="13" s="1"/>
  <c r="S38" i="13" s="1"/>
  <c r="T38" i="13" s="1"/>
  <c r="U38" i="13" s="1"/>
  <c r="E13" i="13"/>
  <c r="F13" i="13" s="1"/>
  <c r="G13" i="13" s="1"/>
  <c r="H13" i="13" s="1"/>
  <c r="I13" i="13" s="1"/>
  <c r="J13" i="13" s="1"/>
  <c r="K13" i="13" s="1"/>
  <c r="L13" i="13" s="1"/>
  <c r="E76" i="13"/>
  <c r="F76" i="13" s="1"/>
  <c r="G76" i="13" s="1"/>
  <c r="H76" i="13" s="1"/>
  <c r="I76" i="13" s="1"/>
  <c r="J76" i="13" s="1"/>
  <c r="K76" i="13" s="1"/>
  <c r="L76" i="13" s="1"/>
  <c r="M76" i="13" s="1"/>
  <c r="N76" i="13" s="1"/>
  <c r="O76" i="13" s="1"/>
  <c r="P76" i="13" s="1"/>
  <c r="Q76" i="13" s="1"/>
  <c r="R76" i="13" s="1"/>
  <c r="S76" i="13" s="1"/>
  <c r="T76" i="13" s="1"/>
  <c r="U76" i="13" s="1"/>
  <c r="V76" i="13" s="1"/>
  <c r="W76" i="13" s="1"/>
  <c r="X76" i="13" s="1"/>
  <c r="Y76" i="13" s="1"/>
  <c r="Z76" i="13" s="1"/>
  <c r="AA76" i="13" s="1"/>
  <c r="AB76" i="13" s="1"/>
  <c r="AC76" i="13" s="1"/>
  <c r="AD76" i="13" s="1"/>
  <c r="AE76" i="13" s="1"/>
  <c r="AF76" i="13" s="1"/>
  <c r="AG76" i="13" s="1"/>
  <c r="E37" i="13"/>
  <c r="F37" i="13" s="1"/>
  <c r="G37" i="13" s="1"/>
  <c r="H37" i="13" s="1"/>
  <c r="I37" i="13" s="1"/>
  <c r="J37" i="13" s="1"/>
  <c r="K37" i="13" s="1"/>
  <c r="L37" i="13" s="1"/>
  <c r="M37" i="13" s="1"/>
  <c r="N37" i="13" s="1"/>
  <c r="O37" i="13" s="1"/>
  <c r="P37" i="13" s="1"/>
  <c r="Q37" i="13" s="1"/>
  <c r="R37" i="13" s="1"/>
  <c r="S37" i="13" s="1"/>
  <c r="T37" i="13" s="1"/>
  <c r="E55" i="13"/>
  <c r="F55" i="13" s="1"/>
  <c r="G55" i="13" s="1"/>
  <c r="H55" i="13" s="1"/>
  <c r="I55" i="13" s="1"/>
  <c r="J55" i="13" s="1"/>
  <c r="K55" i="13" s="1"/>
  <c r="L55" i="13" s="1"/>
  <c r="M55" i="13" s="1"/>
  <c r="N55" i="13" s="1"/>
  <c r="O55" i="13" s="1"/>
  <c r="P55" i="13" s="1"/>
  <c r="Q55" i="13" s="1"/>
  <c r="R55" i="13" s="1"/>
  <c r="S55" i="13" s="1"/>
  <c r="T55" i="13" s="1"/>
  <c r="U55" i="13" s="1"/>
  <c r="V55" i="13" s="1"/>
  <c r="W55" i="13" s="1"/>
  <c r="X55" i="13" s="1"/>
  <c r="Y55" i="13" s="1"/>
  <c r="Z55" i="13" s="1"/>
  <c r="AA55" i="13" s="1"/>
  <c r="E56" i="13"/>
  <c r="F56" i="13" s="1"/>
  <c r="G56" i="13" s="1"/>
  <c r="H56" i="13" s="1"/>
  <c r="I56" i="13" s="1"/>
  <c r="J56" i="13" s="1"/>
  <c r="K56" i="13" s="1"/>
  <c r="L56" i="13" s="1"/>
  <c r="M56" i="13" s="1"/>
  <c r="N56" i="13" s="1"/>
  <c r="O56" i="13" s="1"/>
  <c r="P56" i="13" s="1"/>
  <c r="Q56" i="13" s="1"/>
  <c r="R56" i="13" s="1"/>
  <c r="S56" i="13" s="1"/>
  <c r="T56" i="13" s="1"/>
  <c r="U56" i="13" s="1"/>
  <c r="V56" i="13" s="1"/>
  <c r="W56" i="13" s="1"/>
  <c r="X56" i="13" s="1"/>
  <c r="Y56" i="13" s="1"/>
  <c r="Z56" i="13" s="1"/>
  <c r="AA56" i="13" s="1"/>
  <c r="E80" i="13"/>
  <c r="F80" i="13" s="1"/>
  <c r="G80" i="13" s="1"/>
  <c r="H80" i="13" s="1"/>
  <c r="I80" i="13" s="1"/>
  <c r="J80" i="13" s="1"/>
  <c r="K80" i="13" s="1"/>
  <c r="L80" i="13" s="1"/>
  <c r="M80" i="13" s="1"/>
  <c r="N80" i="13" s="1"/>
  <c r="O80" i="13" s="1"/>
  <c r="P80" i="13" s="1"/>
  <c r="Q80" i="13" s="1"/>
  <c r="R80" i="13" s="1"/>
  <c r="S80" i="13" s="1"/>
  <c r="T80" i="13" s="1"/>
  <c r="U80" i="13" s="1"/>
  <c r="V80" i="13" s="1"/>
  <c r="W80" i="13" s="1"/>
  <c r="X80" i="13" s="1"/>
  <c r="Y80" i="13" s="1"/>
  <c r="Z80" i="13" s="1"/>
  <c r="AA80" i="13" s="1"/>
  <c r="AB80" i="13" s="1"/>
  <c r="AC80" i="13" s="1"/>
  <c r="AD80" i="13" s="1"/>
  <c r="AE80" i="13" s="1"/>
  <c r="AF80" i="13" s="1"/>
  <c r="AG80" i="13" s="1"/>
  <c r="AH80" i="13" s="1"/>
  <c r="AI80" i="13" s="1"/>
  <c r="E119" i="13"/>
  <c r="F119" i="13" s="1"/>
  <c r="G119" i="13" s="1"/>
  <c r="H119" i="13" s="1"/>
  <c r="I119" i="13" s="1"/>
  <c r="J119" i="13" s="1"/>
  <c r="K119" i="13" s="1"/>
  <c r="L119" i="13" s="1"/>
  <c r="M119" i="13" s="1"/>
  <c r="N119" i="13" s="1"/>
  <c r="O119" i="13" s="1"/>
  <c r="P119" i="13" s="1"/>
  <c r="Q119" i="13" s="1"/>
  <c r="R119" i="13" s="1"/>
  <c r="S119" i="13" s="1"/>
  <c r="T119" i="13" s="1"/>
  <c r="U119" i="13" s="1"/>
  <c r="V119" i="13" s="1"/>
  <c r="W119" i="13" s="1"/>
  <c r="X119" i="13" s="1"/>
  <c r="Y119" i="13" s="1"/>
  <c r="Z119" i="13" s="1"/>
  <c r="AA119" i="13" s="1"/>
  <c r="AB119" i="13" s="1"/>
  <c r="AC119" i="13" s="1"/>
  <c r="AD119" i="13" s="1"/>
  <c r="AE119" i="13" s="1"/>
  <c r="AF119" i="13" s="1"/>
  <c r="AG119" i="13" s="1"/>
  <c r="AH119" i="13" s="1"/>
  <c r="AI119" i="13" s="1"/>
  <c r="AJ119" i="13" s="1"/>
  <c r="AK119" i="13" s="1"/>
  <c r="AL119" i="13" s="1"/>
  <c r="AM119" i="13" s="1"/>
  <c r="AN119" i="13" s="1"/>
  <c r="AO119" i="13" s="1"/>
  <c r="AP119" i="13" s="1"/>
  <c r="AQ119" i="13" s="1"/>
  <c r="E39" i="13"/>
  <c r="F39" i="13" s="1"/>
  <c r="G39" i="13" s="1"/>
  <c r="H39" i="13" s="1"/>
  <c r="I39" i="13" s="1"/>
  <c r="J39" i="13" s="1"/>
  <c r="K39" i="13" s="1"/>
  <c r="L39" i="13" s="1"/>
  <c r="M39" i="13" s="1"/>
  <c r="N39" i="13" s="1"/>
  <c r="O39" i="13" s="1"/>
  <c r="P39" i="13" s="1"/>
  <c r="Q39" i="13" s="1"/>
  <c r="R39" i="13" s="1"/>
  <c r="S39" i="13" s="1"/>
  <c r="T39" i="13" s="1"/>
  <c r="U39" i="13" s="1"/>
  <c r="E12" i="13"/>
  <c r="F12" i="13" s="1"/>
  <c r="G12" i="13" s="1"/>
  <c r="H12" i="13" s="1"/>
  <c r="I12" i="13" s="1"/>
  <c r="J12" i="13" s="1"/>
  <c r="K12" i="13" s="1"/>
  <c r="L12" i="13" s="1"/>
  <c r="E85" i="13"/>
  <c r="F85" i="13" s="1"/>
  <c r="G85" i="13" s="1"/>
  <c r="H85" i="13" s="1"/>
  <c r="I85" i="13" s="1"/>
  <c r="J85" i="13" s="1"/>
  <c r="K85" i="13" s="1"/>
  <c r="L85" i="13" s="1"/>
  <c r="M85" i="13" s="1"/>
  <c r="N85" i="13" s="1"/>
  <c r="O85" i="13" s="1"/>
  <c r="P85" i="13" s="1"/>
  <c r="Q85" i="13" s="1"/>
  <c r="R85" i="13" s="1"/>
  <c r="S85" i="13" s="1"/>
  <c r="T85" i="13" s="1"/>
  <c r="U85" i="13" s="1"/>
  <c r="V85" i="13" s="1"/>
  <c r="W85" i="13" s="1"/>
  <c r="X85" i="13" s="1"/>
  <c r="Y85" i="13" s="1"/>
  <c r="Z85" i="13" s="1"/>
  <c r="AA85" i="13" s="1"/>
  <c r="AB85" i="13" s="1"/>
  <c r="AC85" i="13" s="1"/>
  <c r="AD85" i="13" s="1"/>
  <c r="AE85" i="13" s="1"/>
  <c r="AF85" i="13" s="1"/>
  <c r="AG85" i="13" s="1"/>
  <c r="AH85" i="13" s="1"/>
  <c r="AI85" i="13" s="1"/>
  <c r="AJ85" i="13" s="1"/>
  <c r="E51" i="13"/>
  <c r="F51" i="13" s="1"/>
  <c r="G51" i="13" s="1"/>
  <c r="H51" i="13" s="1"/>
  <c r="I51" i="13" s="1"/>
  <c r="J51" i="13" s="1"/>
  <c r="K51" i="13" s="1"/>
  <c r="L51" i="13" s="1"/>
  <c r="M51" i="13" s="1"/>
  <c r="N51" i="13" s="1"/>
  <c r="O51" i="13" s="1"/>
  <c r="P51" i="13" s="1"/>
  <c r="Q51" i="13" s="1"/>
  <c r="R51" i="13" s="1"/>
  <c r="S51" i="13" s="1"/>
  <c r="T51" i="13" s="1"/>
  <c r="U51" i="13" s="1"/>
  <c r="V51" i="13" s="1"/>
  <c r="W51" i="13" s="1"/>
  <c r="X51" i="13" s="1"/>
  <c r="Y51" i="13" s="1"/>
  <c r="Z51" i="13" s="1"/>
  <c r="E29" i="13"/>
  <c r="F29" i="13" s="1"/>
  <c r="G29" i="13" s="1"/>
  <c r="H29" i="13" s="1"/>
  <c r="I29" i="13" s="1"/>
  <c r="J29" i="13" s="1"/>
  <c r="K29" i="13" s="1"/>
  <c r="L29" i="13" s="1"/>
  <c r="M29" i="13" s="1"/>
  <c r="N29" i="13" s="1"/>
  <c r="O29" i="13" s="1"/>
  <c r="P29" i="13" s="1"/>
  <c r="Q29" i="13" s="1"/>
  <c r="E78" i="13"/>
  <c r="F78" i="13" s="1"/>
  <c r="G78" i="13" s="1"/>
  <c r="H78" i="13" s="1"/>
  <c r="I78" i="13" s="1"/>
  <c r="J78" i="13" s="1"/>
  <c r="K78" i="13" s="1"/>
  <c r="L78" i="13" s="1"/>
  <c r="M78" i="13" s="1"/>
  <c r="N78" i="13" s="1"/>
  <c r="O78" i="13" s="1"/>
  <c r="P78" i="13" s="1"/>
  <c r="Q78" i="13" s="1"/>
  <c r="R78" i="13" s="1"/>
  <c r="S78" i="13" s="1"/>
  <c r="T78" i="13" s="1"/>
  <c r="U78" i="13" s="1"/>
  <c r="V78" i="13" s="1"/>
  <c r="W78" i="13" s="1"/>
  <c r="X78" i="13" s="1"/>
  <c r="Y78" i="13" s="1"/>
  <c r="Z78" i="13" s="1"/>
  <c r="AA78" i="13" s="1"/>
  <c r="AB78" i="13" s="1"/>
  <c r="AC78" i="13" s="1"/>
  <c r="AD78" i="13" s="1"/>
  <c r="AE78" i="13" s="1"/>
  <c r="AF78" i="13" s="1"/>
  <c r="AG78" i="13" s="1"/>
  <c r="AH78" i="13" s="1"/>
  <c r="AI78" i="13" s="1"/>
  <c r="AJ78" i="13" s="1"/>
  <c r="AK78" i="13" s="1"/>
  <c r="AL78" i="13" s="1"/>
  <c r="AM78" i="13" s="1"/>
  <c r="AN78" i="13" s="1"/>
  <c r="AO78" i="13" s="1"/>
  <c r="AP78" i="13" s="1"/>
  <c r="E89" i="13"/>
  <c r="F89" i="13" s="1"/>
  <c r="G89" i="13" s="1"/>
  <c r="H89" i="13" s="1"/>
  <c r="I89" i="13" s="1"/>
  <c r="J89" i="13" s="1"/>
  <c r="K89" i="13" s="1"/>
  <c r="L89" i="13" s="1"/>
  <c r="M89" i="13" s="1"/>
  <c r="N89" i="13" s="1"/>
  <c r="O89" i="13" s="1"/>
  <c r="P89" i="13" s="1"/>
  <c r="Q89" i="13" s="1"/>
  <c r="R89" i="13" s="1"/>
  <c r="S89" i="13" s="1"/>
  <c r="T89" i="13" s="1"/>
  <c r="U89" i="13" s="1"/>
  <c r="V89" i="13" s="1"/>
  <c r="W89" i="13" s="1"/>
  <c r="X89" i="13" s="1"/>
  <c r="Y89" i="13" s="1"/>
  <c r="Z89" i="13" s="1"/>
  <c r="AA89" i="13" s="1"/>
  <c r="AB89" i="13" s="1"/>
  <c r="AC89" i="13" s="1"/>
  <c r="AD89" i="13" s="1"/>
  <c r="AE89" i="13" s="1"/>
  <c r="AF89" i="13" s="1"/>
  <c r="AG89" i="13" s="1"/>
  <c r="AH89" i="13" s="1"/>
  <c r="AI89" i="13" s="1"/>
  <c r="AJ89" i="13" s="1"/>
  <c r="AK89" i="13" s="1"/>
  <c r="AL89" i="13" s="1"/>
  <c r="AM89" i="13" s="1"/>
  <c r="AN89" i="13" s="1"/>
  <c r="AO89" i="13" s="1"/>
  <c r="AP89" i="13" s="1"/>
  <c r="AQ89" i="13" s="1"/>
  <c r="E45" i="13"/>
  <c r="F45" i="13" s="1"/>
  <c r="G45" i="13" s="1"/>
  <c r="H45" i="13" s="1"/>
  <c r="I45" i="13" s="1"/>
  <c r="J45" i="13" s="1"/>
  <c r="K45" i="13" s="1"/>
  <c r="L45" i="13" s="1"/>
  <c r="M45" i="13" s="1"/>
  <c r="N45" i="13" s="1"/>
  <c r="O45" i="13" s="1"/>
  <c r="P45" i="13" s="1"/>
  <c r="Q45" i="13" s="1"/>
  <c r="R45" i="13" s="1"/>
  <c r="S45" i="13" s="1"/>
  <c r="T45" i="13" s="1"/>
  <c r="U45" i="13" s="1"/>
  <c r="V45" i="13" s="1"/>
  <c r="W45" i="13" s="1"/>
  <c r="E88" i="13"/>
  <c r="F88" i="13" s="1"/>
  <c r="G88" i="13" s="1"/>
  <c r="H88" i="13" s="1"/>
  <c r="I88" i="13" s="1"/>
  <c r="J88" i="13" s="1"/>
  <c r="K88" i="13" s="1"/>
  <c r="L88" i="13" s="1"/>
  <c r="M88" i="13" s="1"/>
  <c r="N88" i="13" s="1"/>
  <c r="O88" i="13" s="1"/>
  <c r="P88" i="13" s="1"/>
  <c r="Q88" i="13" s="1"/>
  <c r="R88" i="13" s="1"/>
  <c r="S88" i="13" s="1"/>
  <c r="T88" i="13" s="1"/>
  <c r="U88" i="13" s="1"/>
  <c r="V88" i="13" s="1"/>
  <c r="W88" i="13" s="1"/>
  <c r="X88" i="13" s="1"/>
  <c r="Y88" i="13" s="1"/>
  <c r="Z88" i="13" s="1"/>
  <c r="AA88" i="13" s="1"/>
  <c r="AB88" i="13" s="1"/>
  <c r="AC88" i="13" s="1"/>
  <c r="AD88" i="13" s="1"/>
  <c r="AE88" i="13" s="1"/>
  <c r="AF88" i="13" s="1"/>
  <c r="AG88" i="13" s="1"/>
  <c r="AH88" i="13" s="1"/>
  <c r="AI88" i="13" s="1"/>
  <c r="AJ88" i="13" s="1"/>
  <c r="AK88" i="13" s="1"/>
  <c r="AL88" i="13" s="1"/>
  <c r="AM88" i="13" s="1"/>
  <c r="AN88" i="13" s="1"/>
  <c r="AO88" i="13" s="1"/>
  <c r="AP88" i="13" s="1"/>
  <c r="AQ88" i="13" s="1"/>
  <c r="AR88" i="13" s="1"/>
  <c r="AS88" i="13" s="1"/>
  <c r="AT88" i="13" s="1"/>
  <c r="E22" i="13"/>
  <c r="F22" i="13" s="1"/>
  <c r="G22" i="13" s="1"/>
  <c r="H22" i="13" s="1"/>
  <c r="I22" i="13" s="1"/>
  <c r="J22" i="13" s="1"/>
  <c r="K22" i="13" s="1"/>
  <c r="L22" i="13" s="1"/>
  <c r="M22" i="13" s="1"/>
  <c r="N22" i="13" s="1"/>
  <c r="O22" i="13" s="1"/>
  <c r="E40" i="13"/>
  <c r="F40" i="13" s="1"/>
  <c r="G40" i="13" s="1"/>
  <c r="H40" i="13" s="1"/>
  <c r="I40" i="13" s="1"/>
  <c r="J40" i="13" s="1"/>
  <c r="K40" i="13" s="1"/>
  <c r="L40" i="13" s="1"/>
  <c r="M40" i="13" s="1"/>
  <c r="N40" i="13" s="1"/>
  <c r="O40" i="13" s="1"/>
  <c r="P40" i="13" s="1"/>
  <c r="Q40" i="13" s="1"/>
  <c r="R40" i="13" s="1"/>
  <c r="S40" i="13" s="1"/>
  <c r="T40" i="13" s="1"/>
  <c r="U40" i="13" s="1"/>
  <c r="E28" i="13"/>
  <c r="F28" i="13" s="1"/>
  <c r="G28" i="13" s="1"/>
  <c r="H28" i="13" s="1"/>
  <c r="I28" i="13" s="1"/>
  <c r="J28" i="13" s="1"/>
  <c r="K28" i="13" s="1"/>
  <c r="L28" i="13" s="1"/>
  <c r="M28" i="13" s="1"/>
  <c r="N28" i="13" s="1"/>
  <c r="O28" i="13" s="1"/>
  <c r="P28" i="13" s="1"/>
  <c r="Q28" i="13" s="1"/>
  <c r="E24" i="13"/>
  <c r="F24" i="13" s="1"/>
  <c r="G24" i="13" s="1"/>
  <c r="H24" i="13" s="1"/>
  <c r="I24" i="13" s="1"/>
  <c r="J24" i="13" s="1"/>
  <c r="K24" i="13" s="1"/>
  <c r="L24" i="13" s="1"/>
  <c r="M24" i="13" s="1"/>
  <c r="N24" i="13" s="1"/>
  <c r="O24" i="13" s="1"/>
  <c r="P24" i="13" s="1"/>
  <c r="E34" i="13"/>
  <c r="F34" i="13" s="1"/>
  <c r="G34" i="13" s="1"/>
  <c r="H34" i="13" s="1"/>
  <c r="I34" i="13" s="1"/>
  <c r="J34" i="13" s="1"/>
  <c r="K34" i="13" s="1"/>
  <c r="L34" i="13" s="1"/>
  <c r="M34" i="13" s="1"/>
  <c r="N34" i="13" s="1"/>
  <c r="O34" i="13" s="1"/>
  <c r="P34" i="13" s="1"/>
  <c r="Q34" i="13" s="1"/>
  <c r="R34" i="13" s="1"/>
  <c r="S34" i="13" s="1"/>
  <c r="E18" i="13"/>
  <c r="F18" i="13" s="1"/>
  <c r="G18" i="13" s="1"/>
  <c r="H18" i="13" s="1"/>
  <c r="I18" i="13" s="1"/>
  <c r="J18" i="13" s="1"/>
  <c r="K18" i="13" s="1"/>
  <c r="L18" i="13" s="1"/>
  <c r="M18" i="13" s="1"/>
  <c r="E73" i="13"/>
  <c r="F73" i="13" s="1"/>
  <c r="G73" i="13" s="1"/>
  <c r="H73" i="13" s="1"/>
  <c r="I73" i="13" s="1"/>
  <c r="J73" i="13" s="1"/>
  <c r="K73" i="13" s="1"/>
  <c r="L73" i="13" s="1"/>
  <c r="M73" i="13" s="1"/>
  <c r="N73" i="13" s="1"/>
  <c r="O73" i="13" s="1"/>
  <c r="P73" i="13" s="1"/>
  <c r="Q73" i="13" s="1"/>
  <c r="R73" i="13" s="1"/>
  <c r="S73" i="13" s="1"/>
  <c r="T73" i="13" s="1"/>
  <c r="U73" i="13" s="1"/>
  <c r="V73" i="13" s="1"/>
  <c r="W73" i="13" s="1"/>
  <c r="X73" i="13" s="1"/>
  <c r="Y73" i="13" s="1"/>
  <c r="Z73" i="13" s="1"/>
  <c r="AA73" i="13" s="1"/>
  <c r="AB73" i="13" s="1"/>
  <c r="AC73" i="13" s="1"/>
  <c r="AD73" i="13" s="1"/>
  <c r="AE73" i="13" s="1"/>
  <c r="AF73" i="13" s="1"/>
  <c r="AG73" i="13" s="1"/>
  <c r="AH73" i="13" s="1"/>
  <c r="AI73" i="13" s="1"/>
  <c r="AJ73" i="13" s="1"/>
  <c r="AK73" i="13" s="1"/>
  <c r="AL73" i="13" s="1"/>
  <c r="AM73" i="13" s="1"/>
  <c r="E98" i="13"/>
  <c r="F98" i="13" s="1"/>
  <c r="G98" i="13" s="1"/>
  <c r="H98" i="13" s="1"/>
  <c r="I98" i="13" s="1"/>
  <c r="J98" i="13" s="1"/>
  <c r="K98" i="13" s="1"/>
  <c r="L98" i="13" s="1"/>
  <c r="M98" i="13" s="1"/>
  <c r="N98" i="13" s="1"/>
  <c r="O98" i="13" s="1"/>
  <c r="P98" i="13" s="1"/>
  <c r="Q98" i="13" s="1"/>
  <c r="R98" i="13" s="1"/>
  <c r="S98" i="13" s="1"/>
  <c r="T98" i="13" s="1"/>
  <c r="U98" i="13" s="1"/>
  <c r="V98" i="13" s="1"/>
  <c r="W98" i="13" s="1"/>
  <c r="X98" i="13" s="1"/>
  <c r="Y98" i="13" s="1"/>
  <c r="Z98" i="13" s="1"/>
  <c r="AA98" i="13" s="1"/>
  <c r="AB98" i="13" s="1"/>
  <c r="AC98" i="13" s="1"/>
  <c r="AD98" i="13" s="1"/>
  <c r="AE98" i="13" s="1"/>
  <c r="AF98" i="13" s="1"/>
  <c r="AG98" i="13" s="1"/>
  <c r="AH98" i="13" s="1"/>
  <c r="AI98" i="13" s="1"/>
  <c r="AJ98" i="13" s="1"/>
  <c r="AK98" i="13" s="1"/>
  <c r="AL98" i="13" s="1"/>
  <c r="AM98" i="13" s="1"/>
  <c r="AN98" i="13" s="1"/>
  <c r="AO98" i="13" s="1"/>
  <c r="AP98" i="13" s="1"/>
  <c r="AQ98" i="13" s="1"/>
  <c r="AR98" i="13" s="1"/>
  <c r="AS98" i="13" s="1"/>
  <c r="AT98" i="13" s="1"/>
  <c r="AU98" i="13" s="1"/>
  <c r="E6" i="13"/>
  <c r="F6" i="13" s="1"/>
  <c r="G6" i="13" s="1"/>
  <c r="H6" i="13" s="1"/>
  <c r="E32" i="13"/>
  <c r="F32" i="13" s="1"/>
  <c r="G32" i="13" s="1"/>
  <c r="H32" i="13" s="1"/>
  <c r="I32" i="13" s="1"/>
  <c r="J32" i="13" s="1"/>
  <c r="K32" i="13" s="1"/>
  <c r="L32" i="13" s="1"/>
  <c r="M32" i="13" s="1"/>
  <c r="N32" i="13" s="1"/>
  <c r="O32" i="13" s="1"/>
  <c r="P32" i="13" s="1"/>
  <c r="Q32" i="13" s="1"/>
  <c r="R32" i="13" s="1"/>
  <c r="E94" i="13"/>
  <c r="F94" i="13" s="1"/>
  <c r="G94" i="13" s="1"/>
  <c r="H94" i="13" s="1"/>
  <c r="I94" i="13" s="1"/>
  <c r="J94" i="13" s="1"/>
  <c r="K94" i="13" s="1"/>
  <c r="L94" i="13" s="1"/>
  <c r="M94" i="13" s="1"/>
  <c r="N94" i="13" s="1"/>
  <c r="O94" i="13" s="1"/>
  <c r="P94" i="13" s="1"/>
  <c r="Q94" i="13" s="1"/>
  <c r="R94" i="13" s="1"/>
  <c r="S94" i="13" s="1"/>
  <c r="T94" i="13" s="1"/>
  <c r="U94" i="13" s="1"/>
  <c r="V94" i="13" s="1"/>
  <c r="W94" i="13" s="1"/>
  <c r="X94" i="13" s="1"/>
  <c r="Y94" i="13" s="1"/>
  <c r="Z94" i="13" s="1"/>
  <c r="AA94" i="13" s="1"/>
  <c r="AB94" i="13" s="1"/>
  <c r="AC94" i="13" s="1"/>
  <c r="AD94" i="13" s="1"/>
  <c r="AE94" i="13" s="1"/>
  <c r="AF94" i="13" s="1"/>
  <c r="AG94" i="13" s="1"/>
  <c r="AH94" i="13" s="1"/>
  <c r="AI94" i="13" s="1"/>
  <c r="AJ94" i="13" s="1"/>
  <c r="AK94" i="13" s="1"/>
  <c r="AL94" i="13" s="1"/>
  <c r="AM94" i="13" s="1"/>
  <c r="AN94" i="13" s="1"/>
  <c r="AO94" i="13" s="1"/>
  <c r="AP94" i="13" s="1"/>
  <c r="AQ94" i="13" s="1"/>
  <c r="AR94" i="13" s="1"/>
  <c r="AS94" i="13" s="1"/>
  <c r="AT94" i="13" s="1"/>
  <c r="AU94" i="13" s="1"/>
  <c r="AV94" i="13" s="1"/>
  <c r="AW94" i="13" s="1"/>
  <c r="AX94" i="13" s="1"/>
  <c r="AY94" i="13" s="1"/>
  <c r="AZ94" i="13" s="1"/>
  <c r="E26" i="13"/>
  <c r="F26" i="13" s="1"/>
  <c r="G26" i="13" s="1"/>
  <c r="H26" i="13" s="1"/>
  <c r="I26" i="13" s="1"/>
  <c r="J26" i="13" s="1"/>
  <c r="K26" i="13" s="1"/>
  <c r="L26" i="13" s="1"/>
  <c r="M26" i="13" s="1"/>
  <c r="N26" i="13" s="1"/>
  <c r="O26" i="13" s="1"/>
  <c r="P26" i="13" s="1"/>
  <c r="E91" i="13"/>
  <c r="F91" i="13" s="1"/>
  <c r="G91" i="13" s="1"/>
  <c r="H91" i="13" s="1"/>
  <c r="I91" i="13" s="1"/>
  <c r="J91" i="13" s="1"/>
  <c r="K91" i="13" s="1"/>
  <c r="L91" i="13" s="1"/>
  <c r="M91" i="13" s="1"/>
  <c r="N91" i="13" s="1"/>
  <c r="O91" i="13" s="1"/>
  <c r="P91" i="13" s="1"/>
  <c r="Q91" i="13" s="1"/>
  <c r="R91" i="13" s="1"/>
  <c r="S91" i="13" s="1"/>
  <c r="T91" i="13" s="1"/>
  <c r="U91" i="13" s="1"/>
  <c r="V91" i="13" s="1"/>
  <c r="W91" i="13" s="1"/>
  <c r="X91" i="13" s="1"/>
  <c r="Y91" i="13" s="1"/>
  <c r="Z91" i="13" s="1"/>
  <c r="AA91" i="13" s="1"/>
  <c r="AB91" i="13" s="1"/>
  <c r="AC91" i="13" s="1"/>
  <c r="AD91" i="13" s="1"/>
  <c r="AE91" i="13" s="1"/>
  <c r="AF91" i="13" s="1"/>
  <c r="AG91" i="13" s="1"/>
  <c r="AH91" i="13" s="1"/>
  <c r="AI91" i="13" s="1"/>
  <c r="AJ91" i="13" s="1"/>
  <c r="AK91" i="13" s="1"/>
  <c r="AL91" i="13" s="1"/>
  <c r="AM91" i="13" s="1"/>
  <c r="AN91" i="13" s="1"/>
  <c r="AO91" i="13" s="1"/>
  <c r="AP91" i="13" s="1"/>
  <c r="AQ91" i="13" s="1"/>
  <c r="AR91" i="13" s="1"/>
  <c r="AS91" i="13" s="1"/>
  <c r="AT91" i="13" s="1"/>
  <c r="AU91" i="13" s="1"/>
  <c r="AV91" i="13" s="1"/>
  <c r="AW91" i="13" s="1"/>
  <c r="AX91" i="13" s="1"/>
  <c r="AY91" i="13" s="1"/>
  <c r="AZ91" i="13" s="1"/>
  <c r="E124" i="13"/>
  <c r="F124" i="13" s="1"/>
  <c r="G124" i="13" s="1"/>
  <c r="H124" i="13" s="1"/>
  <c r="I124" i="13" s="1"/>
  <c r="J124" i="13" s="1"/>
  <c r="K124" i="13" s="1"/>
  <c r="L124" i="13" s="1"/>
  <c r="M124" i="13" s="1"/>
  <c r="N124" i="13" s="1"/>
  <c r="O124" i="13" s="1"/>
  <c r="P124" i="13" s="1"/>
  <c r="Q124" i="13" s="1"/>
  <c r="R124" i="13" s="1"/>
  <c r="S124" i="13" s="1"/>
  <c r="T124" i="13" s="1"/>
  <c r="U124" i="13" s="1"/>
  <c r="V124" i="13" s="1"/>
  <c r="W124" i="13" s="1"/>
  <c r="X124" i="13" s="1"/>
  <c r="Y124" i="13" s="1"/>
  <c r="Z124" i="13" s="1"/>
  <c r="AA124" i="13" s="1"/>
  <c r="AB124" i="13" s="1"/>
  <c r="AC124" i="13" s="1"/>
  <c r="AD124" i="13" s="1"/>
  <c r="AE124" i="13" s="1"/>
  <c r="AF124" i="13" s="1"/>
  <c r="AG124" i="13" s="1"/>
  <c r="AH124" i="13" s="1"/>
  <c r="AI124" i="13" s="1"/>
  <c r="AJ124" i="13" s="1"/>
  <c r="AK124" i="13" s="1"/>
  <c r="AL124" i="13" s="1"/>
  <c r="AM124" i="13" s="1"/>
  <c r="AN124" i="13" s="1"/>
  <c r="AO124" i="13" s="1"/>
  <c r="AP124" i="13" s="1"/>
  <c r="AQ124" i="13" s="1"/>
  <c r="AR124" i="13" s="1"/>
  <c r="AS124" i="13" s="1"/>
  <c r="AT124" i="13" s="1"/>
  <c r="AU124" i="13" s="1"/>
  <c r="AV124" i="13" s="1"/>
  <c r="AW124" i="13" s="1"/>
  <c r="E101" i="13"/>
  <c r="F101" i="13" s="1"/>
  <c r="G101" i="13" s="1"/>
  <c r="H101" i="13" s="1"/>
  <c r="I101" i="13" s="1"/>
  <c r="J101" i="13" s="1"/>
  <c r="K101" i="13" s="1"/>
  <c r="L101" i="13" s="1"/>
  <c r="M101" i="13" s="1"/>
  <c r="N101" i="13" s="1"/>
  <c r="O101" i="13" s="1"/>
  <c r="P101" i="13" s="1"/>
  <c r="Q101" i="13" s="1"/>
  <c r="R101" i="13" s="1"/>
  <c r="S101" i="13" s="1"/>
  <c r="T101" i="13" s="1"/>
  <c r="U101" i="13" s="1"/>
  <c r="V101" i="13" s="1"/>
  <c r="W101" i="13" s="1"/>
  <c r="X101" i="13" s="1"/>
  <c r="Y101" i="13" s="1"/>
  <c r="Z101" i="13" s="1"/>
  <c r="AA101" i="13" s="1"/>
  <c r="AB101" i="13" s="1"/>
  <c r="AC101" i="13" s="1"/>
  <c r="AD101" i="13" s="1"/>
  <c r="AE101" i="13" s="1"/>
  <c r="AF101" i="13" s="1"/>
  <c r="AG101" i="13" s="1"/>
  <c r="AH101" i="13" s="1"/>
  <c r="AI101" i="13" s="1"/>
  <c r="AJ101" i="13" s="1"/>
  <c r="AK101" i="13" s="1"/>
  <c r="AL101" i="13" s="1"/>
  <c r="AM101" i="13" s="1"/>
  <c r="AN101" i="13" s="1"/>
  <c r="AO101" i="13" s="1"/>
  <c r="AP101" i="13" s="1"/>
  <c r="AQ101" i="13" s="1"/>
  <c r="AR101" i="13" s="1"/>
  <c r="AS101" i="13" s="1"/>
  <c r="AT101" i="13" s="1"/>
  <c r="AU101" i="13" s="1"/>
  <c r="AV101" i="13" s="1"/>
  <c r="AW101" i="13" s="1"/>
  <c r="AX101" i="13" s="1"/>
  <c r="AY101" i="13" s="1"/>
  <c r="AZ101" i="13" s="1"/>
  <c r="BA101" i="13" s="1"/>
  <c r="BB101" i="13" s="1"/>
  <c r="BC101" i="13" s="1"/>
  <c r="E20" i="13"/>
  <c r="F20" i="13" s="1"/>
  <c r="G20" i="13" s="1"/>
  <c r="H20" i="13" s="1"/>
  <c r="I20" i="13" s="1"/>
  <c r="J20" i="13" s="1"/>
  <c r="K20" i="13" s="1"/>
  <c r="L20" i="13" s="1"/>
  <c r="M20" i="13" s="1"/>
  <c r="N20" i="13" s="1"/>
  <c r="O20" i="13" s="1"/>
  <c r="E87" i="13"/>
  <c r="F87" i="13" s="1"/>
  <c r="G87" i="13" s="1"/>
  <c r="H87" i="13" s="1"/>
  <c r="I87" i="13" s="1"/>
  <c r="J87" i="13" s="1"/>
  <c r="K87" i="13" s="1"/>
  <c r="L87" i="13" s="1"/>
  <c r="M87" i="13" s="1"/>
  <c r="N87" i="13" s="1"/>
  <c r="O87" i="13" s="1"/>
  <c r="P87" i="13" s="1"/>
  <c r="Q87" i="13" s="1"/>
  <c r="R87" i="13" s="1"/>
  <c r="S87" i="13" s="1"/>
  <c r="T87" i="13" s="1"/>
  <c r="U87" i="13" s="1"/>
  <c r="V87" i="13" s="1"/>
  <c r="W87" i="13" s="1"/>
  <c r="X87" i="13" s="1"/>
  <c r="Y87" i="13" s="1"/>
  <c r="Z87" i="13" s="1"/>
  <c r="AA87" i="13" s="1"/>
  <c r="AB87" i="13" s="1"/>
  <c r="AC87" i="13" s="1"/>
  <c r="AD87" i="13" s="1"/>
  <c r="AE87" i="13" s="1"/>
  <c r="AF87" i="13" s="1"/>
  <c r="AG87" i="13" s="1"/>
  <c r="AH87" i="13" s="1"/>
  <c r="AI87" i="13" s="1"/>
  <c r="AJ87" i="13" s="1"/>
  <c r="AK87" i="13" s="1"/>
  <c r="AL87" i="13" s="1"/>
  <c r="AM87" i="13" s="1"/>
  <c r="AN87" i="13" s="1"/>
  <c r="AO87" i="13" s="1"/>
  <c r="AP87" i="13" s="1"/>
  <c r="AQ87" i="13" s="1"/>
  <c r="AR87" i="13" s="1"/>
  <c r="AS87" i="13" s="1"/>
  <c r="AT87" i="13" s="1"/>
  <c r="AU87" i="13" s="1"/>
  <c r="AV87" i="13" s="1"/>
  <c r="AW87" i="13" s="1"/>
  <c r="E50" i="13"/>
  <c r="F50" i="13" s="1"/>
  <c r="G50" i="13" s="1"/>
  <c r="H50" i="13" s="1"/>
  <c r="I50" i="13" s="1"/>
  <c r="J50" i="13" s="1"/>
  <c r="K50" i="13" s="1"/>
  <c r="L50" i="13" s="1"/>
  <c r="M50" i="13" s="1"/>
  <c r="N50" i="13" s="1"/>
  <c r="O50" i="13" s="1"/>
  <c r="P50" i="13" s="1"/>
  <c r="Q50" i="13" s="1"/>
  <c r="R50" i="13" s="1"/>
  <c r="S50" i="13" s="1"/>
  <c r="T50" i="13" s="1"/>
  <c r="U50" i="13" s="1"/>
  <c r="V50" i="13" s="1"/>
  <c r="W50" i="13" s="1"/>
  <c r="X50" i="13" s="1"/>
  <c r="Y50" i="13" s="1"/>
  <c r="E53" i="13"/>
  <c r="F53" i="13" s="1"/>
  <c r="G53" i="13" s="1"/>
  <c r="H53" i="13" s="1"/>
  <c r="I53" i="13" s="1"/>
  <c r="J53" i="13" s="1"/>
  <c r="K53" i="13" s="1"/>
  <c r="L53" i="13" s="1"/>
  <c r="M53" i="13" s="1"/>
  <c r="N53" i="13" s="1"/>
  <c r="O53" i="13" s="1"/>
  <c r="P53" i="13" s="1"/>
  <c r="Q53" i="13" s="1"/>
  <c r="R53" i="13" s="1"/>
  <c r="S53" i="13" s="1"/>
  <c r="T53" i="13" s="1"/>
  <c r="U53" i="13" s="1"/>
  <c r="V53" i="13" s="1"/>
  <c r="W53" i="13" s="1"/>
  <c r="X53" i="13" s="1"/>
  <c r="Y53" i="13" s="1"/>
  <c r="Z53" i="13" s="1"/>
  <c r="AA53" i="13" s="1"/>
  <c r="E95" i="13"/>
  <c r="F95" i="13" s="1"/>
  <c r="G95" i="13" s="1"/>
  <c r="H95" i="13" s="1"/>
  <c r="I95" i="13" s="1"/>
  <c r="J95" i="13" s="1"/>
  <c r="K95" i="13" s="1"/>
  <c r="L95" i="13" s="1"/>
  <c r="M95" i="13" s="1"/>
  <c r="N95" i="13" s="1"/>
  <c r="O95" i="13" s="1"/>
  <c r="P95" i="13" s="1"/>
  <c r="Q95" i="13" s="1"/>
  <c r="R95" i="13" s="1"/>
  <c r="S95" i="13" s="1"/>
  <c r="T95" i="13" s="1"/>
  <c r="U95" i="13" s="1"/>
  <c r="V95" i="13" s="1"/>
  <c r="W95" i="13" s="1"/>
  <c r="X95" i="13" s="1"/>
  <c r="Y95" i="13" s="1"/>
  <c r="Z95" i="13" s="1"/>
  <c r="AA95" i="13" s="1"/>
  <c r="AB95" i="13" s="1"/>
  <c r="AC95" i="13" s="1"/>
  <c r="AD95" i="13" s="1"/>
  <c r="AE95" i="13" s="1"/>
  <c r="AF95" i="13" s="1"/>
  <c r="AG95" i="13" s="1"/>
  <c r="AH95" i="13" s="1"/>
  <c r="AI95" i="13" s="1"/>
  <c r="AJ95" i="13" s="1"/>
  <c r="AK95" i="13" s="1"/>
  <c r="AL95" i="13" s="1"/>
  <c r="AM95" i="13" s="1"/>
  <c r="AN95" i="13" s="1"/>
  <c r="AO95" i="13" s="1"/>
  <c r="AP95" i="13" s="1"/>
  <c r="AQ95" i="13" s="1"/>
  <c r="AR95" i="13" s="1"/>
  <c r="AS95" i="13" s="1"/>
  <c r="AT95" i="13" s="1"/>
  <c r="AU95" i="13" s="1"/>
  <c r="AV95" i="13" s="1"/>
  <c r="AW95" i="13" s="1"/>
  <c r="AX95" i="13" s="1"/>
  <c r="AY95" i="13" s="1"/>
  <c r="AZ95" i="13" s="1"/>
  <c r="BA95" i="13" s="1"/>
  <c r="BB95" i="13" s="1"/>
  <c r="BC95" i="13" s="1"/>
  <c r="E93" i="13"/>
  <c r="F93" i="13" s="1"/>
  <c r="G93" i="13" s="1"/>
  <c r="H93" i="13" s="1"/>
  <c r="I93" i="13" s="1"/>
  <c r="J93" i="13" s="1"/>
  <c r="K93" i="13" s="1"/>
  <c r="L93" i="13" s="1"/>
  <c r="M93" i="13" s="1"/>
  <c r="N93" i="13" s="1"/>
  <c r="O93" i="13" s="1"/>
  <c r="P93" i="13" s="1"/>
  <c r="Q93" i="13" s="1"/>
  <c r="R93" i="13" s="1"/>
  <c r="S93" i="13" s="1"/>
  <c r="T93" i="13" s="1"/>
  <c r="U93" i="13" s="1"/>
  <c r="V93" i="13" s="1"/>
  <c r="W93" i="13" s="1"/>
  <c r="X93" i="13" s="1"/>
  <c r="Y93" i="13" s="1"/>
  <c r="Z93" i="13" s="1"/>
  <c r="AA93" i="13" s="1"/>
  <c r="AB93" i="13" s="1"/>
  <c r="AC93" i="13" s="1"/>
  <c r="AD93" i="13" s="1"/>
  <c r="AE93" i="13" s="1"/>
  <c r="AF93" i="13" s="1"/>
  <c r="AG93" i="13" s="1"/>
  <c r="AH93" i="13" s="1"/>
  <c r="AI93" i="13" s="1"/>
  <c r="AJ93" i="13" s="1"/>
  <c r="AK93" i="13" s="1"/>
  <c r="AL93" i="13" s="1"/>
  <c r="AM93" i="13" s="1"/>
  <c r="AN93" i="13" s="1"/>
  <c r="AO93" i="13" s="1"/>
  <c r="AP93" i="13" s="1"/>
  <c r="AQ93" i="13" s="1"/>
  <c r="AR93" i="13" s="1"/>
  <c r="AS93" i="13" s="1"/>
  <c r="AT93" i="13" s="1"/>
  <c r="AU93" i="13" s="1"/>
  <c r="AV93" i="13" s="1"/>
  <c r="AW93" i="13" s="1"/>
  <c r="AX93" i="13" s="1"/>
  <c r="AY93" i="13" s="1"/>
  <c r="AZ93" i="13" s="1"/>
  <c r="E100" i="13"/>
  <c r="F100" i="13" s="1"/>
  <c r="G100" i="13" s="1"/>
  <c r="H100" i="13" s="1"/>
  <c r="I100" i="13" s="1"/>
  <c r="J100" i="13" s="1"/>
  <c r="K100" i="13" s="1"/>
  <c r="L100" i="13" s="1"/>
  <c r="M100" i="13" s="1"/>
  <c r="N100" i="13" s="1"/>
  <c r="O100" i="13" s="1"/>
  <c r="P100" i="13" s="1"/>
  <c r="Q100" i="13" s="1"/>
  <c r="R100" i="13" s="1"/>
  <c r="S100" i="13" s="1"/>
  <c r="T100" i="13" s="1"/>
  <c r="U100" i="13" s="1"/>
  <c r="V100" i="13" s="1"/>
  <c r="W100" i="13" s="1"/>
  <c r="X100" i="13" s="1"/>
  <c r="Y100" i="13" s="1"/>
  <c r="Z100" i="13" s="1"/>
  <c r="AA100" i="13" s="1"/>
  <c r="AB100" i="13" s="1"/>
  <c r="AC100" i="13" s="1"/>
  <c r="AD100" i="13" s="1"/>
  <c r="AE100" i="13" s="1"/>
  <c r="AF100" i="13" s="1"/>
  <c r="AG100" i="13" s="1"/>
  <c r="AH100" i="13" s="1"/>
  <c r="AI100" i="13" s="1"/>
  <c r="AJ100" i="13" s="1"/>
  <c r="AK100" i="13" s="1"/>
  <c r="AL100" i="13" s="1"/>
  <c r="AM100" i="13" s="1"/>
  <c r="AN100" i="13" s="1"/>
  <c r="AO100" i="13" s="1"/>
  <c r="AP100" i="13" s="1"/>
  <c r="AQ100" i="13" s="1"/>
  <c r="AR100" i="13" s="1"/>
  <c r="AS100" i="13" s="1"/>
  <c r="AT100" i="13" s="1"/>
  <c r="AU100" i="13" s="1"/>
  <c r="AV100" i="13" s="1"/>
  <c r="AW100" i="13" s="1"/>
  <c r="AX100" i="13" s="1"/>
  <c r="AY100" i="13" s="1"/>
  <c r="AZ100" i="13" s="1"/>
  <c r="BA100" i="13" s="1"/>
  <c r="BB100" i="13" s="1"/>
  <c r="BC100" i="13" s="1"/>
  <c r="E44" i="13"/>
  <c r="F44" i="13" s="1"/>
  <c r="G44" i="13" s="1"/>
  <c r="H44" i="13" s="1"/>
  <c r="I44" i="13" s="1"/>
  <c r="J44" i="13" s="1"/>
  <c r="K44" i="13" s="1"/>
  <c r="L44" i="13" s="1"/>
  <c r="M44" i="13" s="1"/>
  <c r="N44" i="13" s="1"/>
  <c r="O44" i="13" s="1"/>
  <c r="P44" i="13" s="1"/>
  <c r="Q44" i="13" s="1"/>
  <c r="R44" i="13" s="1"/>
  <c r="S44" i="13" s="1"/>
  <c r="T44" i="13" s="1"/>
  <c r="U44" i="13" s="1"/>
  <c r="V44" i="13" s="1"/>
  <c r="W44" i="13" s="1"/>
  <c r="E10" i="13"/>
  <c r="F10" i="13" s="1"/>
  <c r="G10" i="13" s="1"/>
  <c r="H10" i="13" s="1"/>
  <c r="I10" i="13" s="1"/>
  <c r="J10" i="13" s="1"/>
  <c r="K10" i="13" s="1"/>
  <c r="E84" i="13"/>
  <c r="F84" i="13" s="1"/>
  <c r="G84" i="13" s="1"/>
  <c r="H84" i="13" s="1"/>
  <c r="I84" i="13" s="1"/>
  <c r="J84" i="13" s="1"/>
  <c r="K84" i="13" s="1"/>
  <c r="L84" i="13" s="1"/>
  <c r="M84" i="13" s="1"/>
  <c r="N84" i="13" s="1"/>
  <c r="O84" i="13" s="1"/>
  <c r="P84" i="13" s="1"/>
  <c r="Q84" i="13" s="1"/>
  <c r="R84" i="13" s="1"/>
  <c r="S84" i="13" s="1"/>
  <c r="T84" i="13" s="1"/>
  <c r="U84" i="13" s="1"/>
  <c r="V84" i="13" s="1"/>
  <c r="W84" i="13" s="1"/>
  <c r="X84" i="13" s="1"/>
  <c r="Y84" i="13" s="1"/>
  <c r="Z84" i="13" s="1"/>
  <c r="AA84" i="13" s="1"/>
  <c r="AB84" i="13" s="1"/>
  <c r="AC84" i="13" s="1"/>
  <c r="AD84" i="13" s="1"/>
  <c r="AE84" i="13" s="1"/>
  <c r="AF84" i="13" s="1"/>
  <c r="AG84" i="13" s="1"/>
  <c r="AH84" i="13" s="1"/>
  <c r="AI84" i="13" s="1"/>
  <c r="AJ84" i="13" s="1"/>
  <c r="AK84" i="13" s="1"/>
  <c r="AL84" i="13" s="1"/>
  <c r="AM84" i="13" s="1"/>
  <c r="AN84" i="13" s="1"/>
  <c r="AO84" i="13" s="1"/>
  <c r="AP84" i="13" s="1"/>
  <c r="AQ84" i="13" s="1"/>
  <c r="AR84" i="13" s="1"/>
  <c r="AS84" i="13" s="1"/>
  <c r="AT84" i="13" s="1"/>
  <c r="AU84" i="13" s="1"/>
  <c r="E48" i="13"/>
  <c r="F48" i="13" s="1"/>
  <c r="G48" i="13" s="1"/>
  <c r="H48" i="13" s="1"/>
  <c r="I48" i="13" s="1"/>
  <c r="J48" i="13" s="1"/>
  <c r="K48" i="13" s="1"/>
  <c r="L48" i="13" s="1"/>
  <c r="M48" i="13" s="1"/>
  <c r="N48" i="13" s="1"/>
  <c r="O48" i="13" s="1"/>
  <c r="P48" i="13" s="1"/>
  <c r="Q48" i="13" s="1"/>
  <c r="R48" i="13" s="1"/>
  <c r="S48" i="13" s="1"/>
  <c r="T48" i="13" s="1"/>
  <c r="U48" i="13" s="1"/>
  <c r="V48" i="13" s="1"/>
  <c r="W48" i="13" s="1"/>
  <c r="X48" i="13" s="1"/>
  <c r="Y48" i="13" s="1"/>
  <c r="E104" i="13"/>
  <c r="F104" i="13" s="1"/>
  <c r="G104" i="13" s="1"/>
  <c r="H104" i="13" s="1"/>
  <c r="I104" i="13" s="1"/>
  <c r="J104" i="13" s="1"/>
  <c r="K104" i="13" s="1"/>
  <c r="L104" i="13" s="1"/>
  <c r="M104" i="13" s="1"/>
  <c r="N104" i="13" s="1"/>
  <c r="O104" i="13" s="1"/>
  <c r="P104" i="13" s="1"/>
  <c r="Q104" i="13" s="1"/>
  <c r="R104" i="13" s="1"/>
  <c r="S104" i="13" s="1"/>
  <c r="T104" i="13" s="1"/>
  <c r="U104" i="13" s="1"/>
  <c r="V104" i="13" s="1"/>
  <c r="W104" i="13" s="1"/>
  <c r="X104" i="13" s="1"/>
  <c r="Y104" i="13" s="1"/>
  <c r="Z104" i="13" s="1"/>
  <c r="AA104" i="13" s="1"/>
  <c r="AB104" i="13" s="1"/>
  <c r="AC104" i="13" s="1"/>
  <c r="AD104" i="13" s="1"/>
  <c r="AE104" i="13" s="1"/>
  <c r="AF104" i="13" s="1"/>
  <c r="AG104" i="13" s="1"/>
  <c r="AH104" i="13" s="1"/>
  <c r="AI104" i="13" s="1"/>
  <c r="AJ104" i="13" s="1"/>
  <c r="AK104" i="13" s="1"/>
  <c r="AL104" i="13" s="1"/>
  <c r="AM104" i="13" s="1"/>
  <c r="AN104" i="13" s="1"/>
  <c r="AO104" i="13" s="1"/>
  <c r="AP104" i="13" s="1"/>
  <c r="AQ104" i="13" s="1"/>
  <c r="AR104" i="13" s="1"/>
  <c r="AS104" i="13" s="1"/>
  <c r="AT104" i="13" s="1"/>
  <c r="AU104" i="13" s="1"/>
  <c r="AV104" i="13" s="1"/>
  <c r="AW104" i="13" s="1"/>
  <c r="AX104" i="13" s="1"/>
  <c r="AY104" i="13" s="1"/>
  <c r="AZ104" i="13" s="1"/>
  <c r="BA104" i="13" s="1"/>
  <c r="BB104" i="13" s="1"/>
  <c r="BC104" i="13" s="1"/>
  <c r="BD104" i="13" s="1"/>
  <c r="BE104" i="13" s="1"/>
  <c r="BF104" i="13" s="1"/>
  <c r="BG104" i="13" s="1"/>
  <c r="BH104" i="13" s="1"/>
  <c r="E47" i="13"/>
  <c r="F47" i="13" s="1"/>
  <c r="G47" i="13" s="1"/>
  <c r="H47" i="13" s="1"/>
  <c r="I47" i="13" s="1"/>
  <c r="J47" i="13" s="1"/>
  <c r="K47" i="13" s="1"/>
  <c r="L47" i="13" s="1"/>
  <c r="M47" i="13" s="1"/>
  <c r="N47" i="13" s="1"/>
  <c r="O47" i="13" s="1"/>
  <c r="P47" i="13" s="1"/>
  <c r="Q47" i="13" s="1"/>
  <c r="R47" i="13" s="1"/>
  <c r="S47" i="13" s="1"/>
  <c r="T47" i="13" s="1"/>
  <c r="U47" i="13" s="1"/>
  <c r="V47" i="13" s="1"/>
  <c r="W47" i="13" s="1"/>
  <c r="X47" i="13" s="1"/>
  <c r="E90" i="13"/>
  <c r="F90" i="13" s="1"/>
  <c r="G90" i="13" s="1"/>
  <c r="H90" i="13" s="1"/>
  <c r="I90" i="13" s="1"/>
  <c r="J90" i="13" s="1"/>
  <c r="K90" i="13" s="1"/>
  <c r="L90" i="13" s="1"/>
  <c r="M90" i="13" s="1"/>
  <c r="N90" i="13" s="1"/>
  <c r="O90" i="13" s="1"/>
  <c r="P90" i="13" s="1"/>
  <c r="Q90" i="13" s="1"/>
  <c r="R90" i="13" s="1"/>
  <c r="S90" i="13" s="1"/>
  <c r="T90" i="13" s="1"/>
  <c r="U90" i="13" s="1"/>
  <c r="V90" i="13" s="1"/>
  <c r="W90" i="13" s="1"/>
  <c r="X90" i="13" s="1"/>
  <c r="Y90" i="13" s="1"/>
  <c r="Z90" i="13" s="1"/>
  <c r="AA90" i="13" s="1"/>
  <c r="AB90" i="13" s="1"/>
  <c r="AC90" i="13" s="1"/>
  <c r="AD90" i="13" s="1"/>
  <c r="AE90" i="13" s="1"/>
  <c r="AF90" i="13" s="1"/>
  <c r="AG90" i="13" s="1"/>
  <c r="AH90" i="13" s="1"/>
  <c r="AI90" i="13" s="1"/>
  <c r="AJ90" i="13" s="1"/>
  <c r="AK90" i="13" s="1"/>
  <c r="AL90" i="13" s="1"/>
  <c r="AM90" i="13" s="1"/>
  <c r="AN90" i="13" s="1"/>
  <c r="AO90" i="13" s="1"/>
  <c r="AP90" i="13" s="1"/>
  <c r="AQ90" i="13" s="1"/>
  <c r="AR90" i="13" s="1"/>
  <c r="AS90" i="13" s="1"/>
  <c r="AT90" i="13" s="1"/>
  <c r="AU90" i="13" s="1"/>
  <c r="AV90" i="13" s="1"/>
  <c r="AW90" i="13" s="1"/>
  <c r="AX90" i="13" s="1"/>
  <c r="AY90" i="13" s="1"/>
  <c r="E96" i="13"/>
  <c r="F96" i="13" s="1"/>
  <c r="G96" i="13" s="1"/>
  <c r="H96" i="13" s="1"/>
  <c r="I96" i="13" s="1"/>
  <c r="J96" i="13" s="1"/>
  <c r="K96" i="13" s="1"/>
  <c r="L96" i="13" s="1"/>
  <c r="M96" i="13" s="1"/>
  <c r="N96" i="13" s="1"/>
  <c r="O96" i="13" s="1"/>
  <c r="P96" i="13" s="1"/>
  <c r="Q96" i="13" s="1"/>
  <c r="R96" i="13" s="1"/>
  <c r="S96" i="13" s="1"/>
  <c r="T96" i="13" s="1"/>
  <c r="U96" i="13" s="1"/>
  <c r="V96" i="13" s="1"/>
  <c r="W96" i="13" s="1"/>
  <c r="X96" i="13" s="1"/>
  <c r="Y96" i="13" s="1"/>
  <c r="Z96" i="13" s="1"/>
  <c r="AA96" i="13" s="1"/>
  <c r="AB96" i="13" s="1"/>
  <c r="AC96" i="13" s="1"/>
  <c r="AD96" i="13" s="1"/>
  <c r="AE96" i="13" s="1"/>
  <c r="AF96" i="13" s="1"/>
  <c r="AG96" i="13" s="1"/>
  <c r="AH96" i="13" s="1"/>
  <c r="AI96" i="13" s="1"/>
  <c r="AJ96" i="13" s="1"/>
  <c r="AK96" i="13" s="1"/>
  <c r="AL96" i="13" s="1"/>
  <c r="AM96" i="13" s="1"/>
  <c r="AN96" i="13" s="1"/>
  <c r="AO96" i="13" s="1"/>
  <c r="AP96" i="13" s="1"/>
  <c r="AQ96" i="13" s="1"/>
  <c r="AR96" i="13" s="1"/>
  <c r="AS96" i="13" s="1"/>
  <c r="AT96" i="13" s="1"/>
  <c r="AU96" i="13" s="1"/>
  <c r="AV96" i="13" s="1"/>
  <c r="AW96" i="13" s="1"/>
  <c r="AX96" i="13" s="1"/>
  <c r="AY96" i="13" s="1"/>
  <c r="AZ96" i="13" s="1"/>
  <c r="BA96" i="13" s="1"/>
  <c r="BB96" i="13" s="1"/>
  <c r="BC96" i="13" s="1"/>
  <c r="E15" i="13"/>
  <c r="F15" i="13" s="1"/>
  <c r="G15" i="13" s="1"/>
  <c r="H15" i="13" s="1"/>
  <c r="I15" i="13" s="1"/>
  <c r="J15" i="13" s="1"/>
  <c r="K15" i="13" s="1"/>
  <c r="L15" i="13" s="1"/>
  <c r="E97" i="13"/>
  <c r="F97" i="13" s="1"/>
  <c r="G97" i="13" s="1"/>
  <c r="H97" i="13" s="1"/>
  <c r="I97" i="13" s="1"/>
  <c r="J97" i="13" s="1"/>
  <c r="K97" i="13" s="1"/>
  <c r="L97" i="13" s="1"/>
  <c r="M97" i="13" s="1"/>
  <c r="N97" i="13" s="1"/>
  <c r="O97" i="13" s="1"/>
  <c r="P97" i="13" s="1"/>
  <c r="Q97" i="13" s="1"/>
  <c r="R97" i="13" s="1"/>
  <c r="S97" i="13" s="1"/>
  <c r="T97" i="13" s="1"/>
  <c r="U97" i="13" s="1"/>
  <c r="V97" i="13" s="1"/>
  <c r="W97" i="13" s="1"/>
  <c r="X97" i="13" s="1"/>
  <c r="Y97" i="13" s="1"/>
  <c r="Z97" i="13" s="1"/>
  <c r="AA97" i="13" s="1"/>
  <c r="AB97" i="13" s="1"/>
  <c r="AC97" i="13" s="1"/>
  <c r="AD97" i="13" s="1"/>
  <c r="AE97" i="13" s="1"/>
  <c r="AF97" i="13" s="1"/>
  <c r="AG97" i="13" s="1"/>
  <c r="AH97" i="13" s="1"/>
  <c r="AI97" i="13" s="1"/>
  <c r="AJ97" i="13" s="1"/>
  <c r="AK97" i="13" s="1"/>
  <c r="AL97" i="13" s="1"/>
  <c r="AM97" i="13" s="1"/>
  <c r="AN97" i="13" s="1"/>
  <c r="AO97" i="13" s="1"/>
  <c r="AP97" i="13" s="1"/>
  <c r="AQ97" i="13" s="1"/>
  <c r="AR97" i="13" s="1"/>
  <c r="AS97" i="13" s="1"/>
  <c r="AT97" i="13" s="1"/>
  <c r="AU97" i="13" s="1"/>
  <c r="AV97" i="13" s="1"/>
  <c r="AW97" i="13" s="1"/>
  <c r="AX97" i="13" s="1"/>
  <c r="AY97" i="13" s="1"/>
  <c r="AZ97" i="13" s="1"/>
  <c r="BA97" i="13" s="1"/>
  <c r="BB97" i="13" s="1"/>
  <c r="BC97" i="13" s="1"/>
  <c r="E99" i="13"/>
  <c r="F99" i="13" s="1"/>
  <c r="G99" i="13" s="1"/>
  <c r="H99" i="13" s="1"/>
  <c r="I99" i="13" s="1"/>
  <c r="J99" i="13" s="1"/>
  <c r="K99" i="13" s="1"/>
  <c r="L99" i="13" s="1"/>
  <c r="M99" i="13" s="1"/>
  <c r="N99" i="13" s="1"/>
  <c r="O99" i="13" s="1"/>
  <c r="P99" i="13" s="1"/>
  <c r="Q99" i="13" s="1"/>
  <c r="R99" i="13" s="1"/>
  <c r="S99" i="13" s="1"/>
  <c r="T99" i="13" s="1"/>
  <c r="U99" i="13" s="1"/>
  <c r="V99" i="13" s="1"/>
  <c r="W99" i="13" s="1"/>
  <c r="X99" i="13" s="1"/>
  <c r="Y99" i="13" s="1"/>
  <c r="Z99" i="13" s="1"/>
  <c r="AA99" i="13" s="1"/>
  <c r="AB99" i="13" s="1"/>
  <c r="AC99" i="13" s="1"/>
  <c r="AD99" i="13" s="1"/>
  <c r="AE99" i="13" s="1"/>
  <c r="AF99" i="13" s="1"/>
  <c r="AG99" i="13" s="1"/>
  <c r="AH99" i="13" s="1"/>
  <c r="AI99" i="13" s="1"/>
  <c r="AJ99" i="13" s="1"/>
  <c r="AK99" i="13" s="1"/>
  <c r="AL99" i="13" s="1"/>
  <c r="AM99" i="13" s="1"/>
  <c r="AN99" i="13" s="1"/>
  <c r="AO99" i="13" s="1"/>
  <c r="AP99" i="13" s="1"/>
  <c r="AQ99" i="13" s="1"/>
  <c r="AR99" i="13" s="1"/>
  <c r="AS99" i="13" s="1"/>
  <c r="AT99" i="13" s="1"/>
  <c r="AU99" i="13" s="1"/>
  <c r="AV99" i="13" s="1"/>
  <c r="AW99" i="13" s="1"/>
  <c r="AX99" i="13" s="1"/>
  <c r="AY99" i="13" s="1"/>
  <c r="AZ99" i="13" s="1"/>
  <c r="BA99" i="13" s="1"/>
  <c r="BB99" i="13" s="1"/>
  <c r="BC99" i="13" s="1"/>
  <c r="BD99" i="13" s="1"/>
  <c r="E31" i="13"/>
  <c r="F31" i="13" s="1"/>
  <c r="G31" i="13" s="1"/>
  <c r="H31" i="13" s="1"/>
  <c r="I31" i="13" s="1"/>
  <c r="J31" i="13" s="1"/>
  <c r="K31" i="13" s="1"/>
  <c r="L31" i="13" s="1"/>
  <c r="M31" i="13" s="1"/>
  <c r="N31" i="13" s="1"/>
  <c r="O31" i="13" s="1"/>
  <c r="P31" i="13" s="1"/>
  <c r="Q31" i="13" s="1"/>
  <c r="R31" i="13" s="1"/>
  <c r="E129" i="13"/>
  <c r="F129" i="13" s="1"/>
  <c r="G129" i="13" s="1"/>
  <c r="H129" i="13" s="1"/>
  <c r="I129" i="13" s="1"/>
  <c r="J129" i="13" s="1"/>
  <c r="K129" i="13" s="1"/>
  <c r="L129" i="13" s="1"/>
  <c r="M129" i="13" s="1"/>
  <c r="N129" i="13" s="1"/>
  <c r="O129" i="13" s="1"/>
  <c r="P129" i="13" s="1"/>
  <c r="Q129" i="13" s="1"/>
  <c r="R129" i="13" s="1"/>
  <c r="S129" i="13" s="1"/>
  <c r="T129" i="13" s="1"/>
  <c r="U129" i="13" s="1"/>
  <c r="V129" i="13" s="1"/>
  <c r="W129" i="13" s="1"/>
  <c r="X129" i="13" s="1"/>
  <c r="Y129" i="13" s="1"/>
  <c r="Z129" i="13" s="1"/>
  <c r="AA129" i="13" s="1"/>
  <c r="AB129" i="13" s="1"/>
  <c r="AC129" i="13" s="1"/>
  <c r="AD129" i="13" s="1"/>
  <c r="AE129" i="13" s="1"/>
  <c r="AF129" i="13" s="1"/>
  <c r="AG129" i="13" s="1"/>
  <c r="AH129" i="13" s="1"/>
  <c r="AI129" i="13" s="1"/>
  <c r="AJ129" i="13" s="1"/>
  <c r="AK129" i="13" s="1"/>
  <c r="AL129" i="13" s="1"/>
  <c r="AM129" i="13" s="1"/>
  <c r="AN129" i="13" s="1"/>
  <c r="AO129" i="13" s="1"/>
  <c r="AP129" i="13" s="1"/>
  <c r="AQ129" i="13" s="1"/>
  <c r="AR129" i="13" s="1"/>
  <c r="AS129" i="13" s="1"/>
  <c r="AT129" i="13" s="1"/>
  <c r="AU129" i="13" s="1"/>
  <c r="AV129" i="13" s="1"/>
  <c r="AW129" i="13" s="1"/>
  <c r="AX129" i="13" s="1"/>
  <c r="AY129" i="13" s="1"/>
  <c r="AZ129" i="13" s="1"/>
  <c r="BA129" i="13" s="1"/>
  <c r="BB129" i="13" s="1"/>
  <c r="BC129" i="13" s="1"/>
  <c r="BD129" i="13" s="1"/>
  <c r="BE129" i="13" s="1"/>
  <c r="BF129" i="13" s="1"/>
  <c r="BG129" i="13" s="1"/>
  <c r="BH129" i="13" s="1"/>
  <c r="BI129" i="13" s="1"/>
  <c r="BJ129" i="13" s="1"/>
  <c r="BK129" i="13" s="1"/>
  <c r="E64" i="13"/>
  <c r="F64" i="13" s="1"/>
  <c r="G64" i="13" s="1"/>
  <c r="H64" i="13" s="1"/>
  <c r="I64" i="13" s="1"/>
  <c r="J64" i="13" s="1"/>
  <c r="K64" i="13" s="1"/>
  <c r="L64" i="13" s="1"/>
  <c r="M64" i="13" s="1"/>
  <c r="N64" i="13" s="1"/>
  <c r="O64" i="13" s="1"/>
  <c r="P64" i="13" s="1"/>
  <c r="Q64" i="13" s="1"/>
  <c r="R64" i="13" s="1"/>
  <c r="S64" i="13" s="1"/>
  <c r="T64" i="13" s="1"/>
  <c r="U64" i="13" s="1"/>
  <c r="V64" i="13" s="1"/>
  <c r="W64" i="13" s="1"/>
  <c r="X64" i="13" s="1"/>
  <c r="Y64" i="13" s="1"/>
  <c r="Z64" i="13" s="1"/>
  <c r="AA64" i="13" s="1"/>
  <c r="AB64" i="13" s="1"/>
  <c r="AC64" i="13" s="1"/>
  <c r="AD64" i="13" s="1"/>
  <c r="AE64" i="13" s="1"/>
  <c r="AF64" i="13" s="1"/>
  <c r="AG64" i="13" s="1"/>
  <c r="E92" i="13"/>
  <c r="F92" i="13" s="1"/>
  <c r="G92" i="13" s="1"/>
  <c r="H92" i="13" s="1"/>
  <c r="I92" i="13" s="1"/>
  <c r="J92" i="13" s="1"/>
  <c r="K92" i="13" s="1"/>
  <c r="L92" i="13" s="1"/>
  <c r="M92" i="13" s="1"/>
  <c r="N92" i="13" s="1"/>
  <c r="O92" i="13" s="1"/>
  <c r="P92" i="13" s="1"/>
  <c r="Q92" i="13" s="1"/>
  <c r="R92" i="13" s="1"/>
  <c r="S92" i="13" s="1"/>
  <c r="T92" i="13" s="1"/>
  <c r="U92" i="13" s="1"/>
  <c r="V92" i="13" s="1"/>
  <c r="W92" i="13" s="1"/>
  <c r="X92" i="13" s="1"/>
  <c r="Y92" i="13" s="1"/>
  <c r="Z92" i="13" s="1"/>
  <c r="AA92" i="13" s="1"/>
  <c r="AB92" i="13" s="1"/>
  <c r="AC92" i="13" s="1"/>
  <c r="AD92" i="13" s="1"/>
  <c r="AE92" i="13" s="1"/>
  <c r="AF92" i="13" s="1"/>
  <c r="AG92" i="13" s="1"/>
  <c r="AH92" i="13" s="1"/>
  <c r="AI92" i="13" s="1"/>
  <c r="AJ92" i="13" s="1"/>
  <c r="AK92" i="13" s="1"/>
  <c r="AL92" i="13" s="1"/>
  <c r="AM92" i="13" s="1"/>
  <c r="AN92" i="13" s="1"/>
  <c r="AO92" i="13" s="1"/>
  <c r="AP92" i="13" s="1"/>
  <c r="AQ92" i="13" s="1"/>
  <c r="AR92" i="13" s="1"/>
  <c r="AS92" i="13" s="1"/>
  <c r="AT92" i="13" s="1"/>
  <c r="AU92" i="13" s="1"/>
  <c r="AV92" i="13" s="1"/>
  <c r="AW92" i="13" s="1"/>
  <c r="AX92" i="13" s="1"/>
  <c r="AY92" i="13" s="1"/>
  <c r="AZ92" i="13" s="1"/>
  <c r="E108" i="13"/>
  <c r="F108" i="13" s="1"/>
  <c r="G108" i="13" s="1"/>
  <c r="H108" i="13" s="1"/>
  <c r="I108" i="13" s="1"/>
  <c r="J108" i="13" s="1"/>
  <c r="K108" i="13" s="1"/>
  <c r="L108" i="13" s="1"/>
  <c r="M108" i="13" s="1"/>
  <c r="N108" i="13" s="1"/>
  <c r="O108" i="13" s="1"/>
  <c r="P108" i="13" s="1"/>
  <c r="Q108" i="13" s="1"/>
  <c r="R108" i="13" s="1"/>
  <c r="S108" i="13" s="1"/>
  <c r="T108" i="13" s="1"/>
  <c r="U108" i="13" s="1"/>
  <c r="V108" i="13" s="1"/>
  <c r="W108" i="13" s="1"/>
  <c r="X108" i="13" s="1"/>
  <c r="Y108" i="13" s="1"/>
  <c r="Z108" i="13" s="1"/>
  <c r="AA108" i="13" s="1"/>
  <c r="AB108" i="13" s="1"/>
  <c r="AC108" i="13" s="1"/>
  <c r="AD108" i="13" s="1"/>
  <c r="AE108" i="13" s="1"/>
  <c r="AF108" i="13" s="1"/>
  <c r="AG108" i="13" s="1"/>
  <c r="AH108" i="13" s="1"/>
  <c r="AI108" i="13" s="1"/>
  <c r="AJ108" i="13" s="1"/>
  <c r="AK108" i="13" s="1"/>
  <c r="AL108" i="13" s="1"/>
  <c r="AM108" i="13" s="1"/>
  <c r="AN108" i="13" s="1"/>
  <c r="AO108" i="13" s="1"/>
  <c r="AP108" i="13" s="1"/>
  <c r="AQ108" i="13" s="1"/>
  <c r="AR108" i="13" s="1"/>
  <c r="AS108" i="13" s="1"/>
  <c r="AT108" i="13" s="1"/>
  <c r="AU108" i="13" s="1"/>
  <c r="AV108" i="13" s="1"/>
  <c r="AW108" i="13" s="1"/>
  <c r="AX108" i="13" s="1"/>
  <c r="AY108" i="13" s="1"/>
  <c r="AZ108" i="13" s="1"/>
  <c r="BA108" i="13" s="1"/>
  <c r="BB108" i="13" s="1"/>
  <c r="BC108" i="13" s="1"/>
  <c r="BD108" i="13" s="1"/>
  <c r="BE108" i="13" s="1"/>
  <c r="BF108" i="13" s="1"/>
  <c r="BG108" i="13" s="1"/>
  <c r="BH108" i="13" s="1"/>
  <c r="BI108" i="13" s="1"/>
  <c r="BJ108" i="13" s="1"/>
  <c r="E62" i="13"/>
  <c r="F62" i="13" s="1"/>
  <c r="G62" i="13" s="1"/>
  <c r="H62" i="13" s="1"/>
  <c r="I62" i="13" s="1"/>
  <c r="J62" i="13" s="1"/>
  <c r="K62" i="13" s="1"/>
  <c r="L62" i="13" s="1"/>
  <c r="M62" i="13" s="1"/>
  <c r="N62" i="13" s="1"/>
  <c r="O62" i="13" s="1"/>
  <c r="P62" i="13" s="1"/>
  <c r="Q62" i="13" s="1"/>
  <c r="R62" i="13" s="1"/>
  <c r="S62" i="13" s="1"/>
  <c r="T62" i="13" s="1"/>
  <c r="U62" i="13" s="1"/>
  <c r="V62" i="13" s="1"/>
  <c r="W62" i="13" s="1"/>
  <c r="X62" i="13" s="1"/>
  <c r="Y62" i="13" s="1"/>
  <c r="Z62" i="13" s="1"/>
  <c r="AA62" i="13" s="1"/>
  <c r="AB62" i="13" s="1"/>
  <c r="AC62" i="13" s="1"/>
  <c r="AD62" i="13" s="1"/>
  <c r="AE62" i="13" s="1"/>
  <c r="AF62" i="13" s="1"/>
  <c r="AG62" i="13" s="1"/>
  <c r="E113" i="13"/>
  <c r="F113" i="13" s="1"/>
  <c r="G113" i="13" s="1"/>
  <c r="H113" i="13" s="1"/>
  <c r="I113" i="13" s="1"/>
  <c r="J113" i="13" s="1"/>
  <c r="K113" i="13" s="1"/>
  <c r="L113" i="13" s="1"/>
  <c r="M113" i="13" s="1"/>
  <c r="N113" i="13" s="1"/>
  <c r="O113" i="13" s="1"/>
  <c r="P113" i="13" s="1"/>
  <c r="Q113" i="13" s="1"/>
  <c r="R113" i="13" s="1"/>
  <c r="S113" i="13" s="1"/>
  <c r="T113" i="13" s="1"/>
  <c r="U113" i="13" s="1"/>
  <c r="V113" i="13" s="1"/>
  <c r="W113" i="13" s="1"/>
  <c r="X113" i="13" s="1"/>
  <c r="Y113" i="13" s="1"/>
  <c r="Z113" i="13" s="1"/>
  <c r="AA113" i="13" s="1"/>
  <c r="AB113" i="13" s="1"/>
  <c r="AC113" i="13" s="1"/>
  <c r="AD113" i="13" s="1"/>
  <c r="AE113" i="13" s="1"/>
  <c r="AF113" i="13" s="1"/>
  <c r="AG113" i="13" s="1"/>
  <c r="AH113" i="13" s="1"/>
  <c r="AI113" i="13" s="1"/>
  <c r="AJ113" i="13" s="1"/>
  <c r="AK113" i="13" s="1"/>
  <c r="AL113" i="13" s="1"/>
  <c r="AM113" i="13" s="1"/>
  <c r="AN113" i="13" s="1"/>
  <c r="AO113" i="13" s="1"/>
  <c r="AP113" i="13" s="1"/>
  <c r="AQ113" i="13" s="1"/>
  <c r="AR113" i="13" s="1"/>
  <c r="AS113" i="13" s="1"/>
  <c r="AT113" i="13" s="1"/>
  <c r="AU113" i="13" s="1"/>
  <c r="AV113" i="13" s="1"/>
  <c r="AW113" i="13" s="1"/>
  <c r="AX113" i="13" s="1"/>
  <c r="AY113" i="13" s="1"/>
  <c r="AZ113" i="13" s="1"/>
  <c r="BA113" i="13" s="1"/>
  <c r="BB113" i="13" s="1"/>
  <c r="BC113" i="13" s="1"/>
  <c r="BD113" i="13" s="1"/>
  <c r="BE113" i="13" s="1"/>
  <c r="BF113" i="13" s="1"/>
  <c r="BG113" i="13" s="1"/>
  <c r="BH113" i="13" s="1"/>
  <c r="BI113" i="13" s="1"/>
  <c r="BJ113" i="13" s="1"/>
  <c r="BK113" i="13" s="1"/>
  <c r="BL113" i="13" s="1"/>
  <c r="E61" i="13"/>
  <c r="F61" i="13" s="1"/>
  <c r="G61" i="13" s="1"/>
  <c r="H61" i="13" s="1"/>
  <c r="I61" i="13" s="1"/>
  <c r="J61" i="13" s="1"/>
  <c r="K61" i="13" s="1"/>
  <c r="L61" i="13" s="1"/>
  <c r="M61" i="13" s="1"/>
  <c r="N61" i="13" s="1"/>
  <c r="O61" i="13" s="1"/>
  <c r="P61" i="13" s="1"/>
  <c r="Q61" i="13" s="1"/>
  <c r="R61" i="13" s="1"/>
  <c r="S61" i="13" s="1"/>
  <c r="T61" i="13" s="1"/>
  <c r="U61" i="13" s="1"/>
  <c r="V61" i="13" s="1"/>
  <c r="W61" i="13" s="1"/>
  <c r="X61" i="13" s="1"/>
  <c r="Y61" i="13" s="1"/>
  <c r="Z61" i="13" s="1"/>
  <c r="AA61" i="13" s="1"/>
  <c r="AB61" i="13" s="1"/>
  <c r="AC61" i="13" s="1"/>
  <c r="AD61" i="13" s="1"/>
  <c r="AE61" i="13" s="1"/>
  <c r="AF61" i="13" s="1"/>
  <c r="AG61" i="13" s="1"/>
  <c r="E106" i="13"/>
  <c r="F106" i="13" s="1"/>
  <c r="G106" i="13" s="1"/>
  <c r="H106" i="13" s="1"/>
  <c r="I106" i="13" s="1"/>
  <c r="J106" i="13" s="1"/>
  <c r="K106" i="13" s="1"/>
  <c r="L106" i="13" s="1"/>
  <c r="M106" i="13" s="1"/>
  <c r="N106" i="13" s="1"/>
  <c r="O106" i="13" s="1"/>
  <c r="P106" i="13" s="1"/>
  <c r="Q106" i="13" s="1"/>
  <c r="R106" i="13" s="1"/>
  <c r="S106" i="13" s="1"/>
  <c r="T106" i="13" s="1"/>
  <c r="U106" i="13" s="1"/>
  <c r="V106" i="13" s="1"/>
  <c r="W106" i="13" s="1"/>
  <c r="X106" i="13" s="1"/>
  <c r="Y106" i="13" s="1"/>
  <c r="Z106" i="13" s="1"/>
  <c r="AA106" i="13" s="1"/>
  <c r="AB106" i="13" s="1"/>
  <c r="AC106" i="13" s="1"/>
  <c r="AD106" i="13" s="1"/>
  <c r="AE106" i="13" s="1"/>
  <c r="AF106" i="13" s="1"/>
  <c r="AG106" i="13" s="1"/>
  <c r="AH106" i="13" s="1"/>
  <c r="AI106" i="13" s="1"/>
  <c r="AJ106" i="13" s="1"/>
  <c r="AK106" i="13" s="1"/>
  <c r="AL106" i="13" s="1"/>
  <c r="AM106" i="13" s="1"/>
  <c r="AN106" i="13" s="1"/>
  <c r="AO106" i="13" s="1"/>
  <c r="AP106" i="13" s="1"/>
  <c r="AQ106" i="13" s="1"/>
  <c r="AR106" i="13" s="1"/>
  <c r="AS106" i="13" s="1"/>
  <c r="AT106" i="13" s="1"/>
  <c r="AU106" i="13" s="1"/>
  <c r="AV106" i="13" s="1"/>
  <c r="AW106" i="13" s="1"/>
  <c r="AX106" i="13" s="1"/>
  <c r="AY106" i="13" s="1"/>
  <c r="AZ106" i="13" s="1"/>
  <c r="BA106" i="13" s="1"/>
  <c r="BB106" i="13" s="1"/>
  <c r="BC106" i="13" s="1"/>
  <c r="BD106" i="13" s="1"/>
  <c r="BE106" i="13" s="1"/>
  <c r="BF106" i="13" s="1"/>
  <c r="BG106" i="13" s="1"/>
  <c r="BH106" i="13" s="1"/>
  <c r="BI106" i="13" s="1"/>
  <c r="E49" i="13"/>
  <c r="F49" i="13" s="1"/>
  <c r="G49" i="13" s="1"/>
  <c r="H49" i="13" s="1"/>
  <c r="I49" i="13" s="1"/>
  <c r="J49" i="13" s="1"/>
  <c r="K49" i="13" s="1"/>
  <c r="L49" i="13" s="1"/>
  <c r="M49" i="13" s="1"/>
  <c r="N49" i="13" s="1"/>
  <c r="O49" i="13" s="1"/>
  <c r="P49" i="13" s="1"/>
  <c r="Q49" i="13" s="1"/>
  <c r="R49" i="13" s="1"/>
  <c r="S49" i="13" s="1"/>
  <c r="T49" i="13" s="1"/>
  <c r="U49" i="13" s="1"/>
  <c r="V49" i="13" s="1"/>
  <c r="W49" i="13" s="1"/>
  <c r="X49" i="13" s="1"/>
  <c r="Y49" i="13" s="1"/>
  <c r="E27" i="13"/>
  <c r="F27" i="13" s="1"/>
  <c r="G27" i="13" s="1"/>
  <c r="H27" i="13" s="1"/>
  <c r="I27" i="13" s="1"/>
  <c r="J27" i="13" s="1"/>
  <c r="K27" i="13" s="1"/>
  <c r="L27" i="13" s="1"/>
  <c r="M27" i="13" s="1"/>
  <c r="N27" i="13" s="1"/>
  <c r="O27" i="13" s="1"/>
  <c r="P27" i="13" s="1"/>
  <c r="E69" i="13"/>
  <c r="S4" i="11"/>
  <c r="T4" i="11"/>
  <c r="U4" i="11"/>
  <c r="V4" i="11"/>
  <c r="W4" i="11"/>
  <c r="X4" i="11"/>
  <c r="Y4" i="11"/>
  <c r="Z4" i="11"/>
  <c r="AA4" i="11"/>
  <c r="AB4" i="11"/>
  <c r="AC4" i="11"/>
  <c r="AD4" i="11"/>
  <c r="AE4" i="11"/>
  <c r="AF4" i="11"/>
  <c r="AG4" i="11"/>
  <c r="AH4" i="11"/>
  <c r="AI4" i="11"/>
  <c r="AJ4" i="11"/>
  <c r="AK4" i="11"/>
  <c r="AL4" i="11"/>
  <c r="AM4" i="11"/>
  <c r="AN4" i="11"/>
  <c r="AO4" i="11"/>
  <c r="AP4" i="11"/>
  <c r="AQ4" i="11"/>
  <c r="AR4" i="11"/>
  <c r="AS4" i="11"/>
  <c r="AT4" i="11"/>
  <c r="AU4" i="11"/>
  <c r="AV4" i="11"/>
  <c r="AW4" i="11"/>
  <c r="AX4" i="11"/>
  <c r="AY4" i="11"/>
  <c r="AZ4" i="11"/>
  <c r="BA4" i="11"/>
  <c r="BB4" i="11"/>
  <c r="BC4" i="11"/>
  <c r="BD4" i="11"/>
  <c r="BE4" i="11"/>
  <c r="BF4" i="11"/>
  <c r="BG4" i="11"/>
  <c r="BH4" i="11"/>
  <c r="BI4" i="11"/>
  <c r="BJ4" i="11"/>
  <c r="BK4" i="11"/>
  <c r="BL4" i="11"/>
  <c r="BM4" i="11"/>
  <c r="BN4" i="11"/>
  <c r="BO4" i="11"/>
  <c r="BP4" i="11"/>
  <c r="BQ4" i="11"/>
  <c r="BR4" i="11"/>
  <c r="BS4" i="11"/>
  <c r="BT4" i="11"/>
  <c r="BU4" i="11"/>
  <c r="BV4" i="11"/>
  <c r="BW4" i="11"/>
  <c r="BX4" i="11"/>
  <c r="BY4" i="11"/>
  <c r="BZ4" i="11"/>
  <c r="CA4" i="11"/>
  <c r="CB4" i="11"/>
  <c r="CC4" i="11"/>
  <c r="CD4" i="11"/>
  <c r="CE4" i="11"/>
  <c r="CF4" i="11"/>
  <c r="CG4" i="11"/>
  <c r="CH4" i="11"/>
  <c r="CI4" i="11"/>
  <c r="CJ4" i="11"/>
  <c r="CK4" i="11"/>
  <c r="CL4" i="11"/>
  <c r="CM4" i="11"/>
  <c r="CN4" i="11"/>
  <c r="CO4" i="11"/>
  <c r="CP4" i="11"/>
  <c r="CQ4" i="11"/>
  <c r="CR4" i="11"/>
  <c r="CS4" i="11"/>
  <c r="CT4" i="11"/>
  <c r="CU4" i="11"/>
  <c r="CV4" i="11"/>
  <c r="CW4" i="11"/>
  <c r="CX4" i="11"/>
  <c r="CY4" i="11"/>
  <c r="CZ4" i="11"/>
  <c r="DA4" i="11"/>
  <c r="DB4" i="11"/>
  <c r="DC4" i="11"/>
  <c r="DD4" i="11"/>
  <c r="DE4" i="11"/>
  <c r="DF4" i="11"/>
  <c r="DG4" i="11"/>
  <c r="DH4" i="11"/>
  <c r="DI4" i="11"/>
  <c r="DJ4" i="11"/>
  <c r="S5" i="11"/>
  <c r="T5" i="11"/>
  <c r="U5" i="11"/>
  <c r="V5" i="11"/>
  <c r="W5" i="11"/>
  <c r="X5" i="11"/>
  <c r="Y5" i="11"/>
  <c r="Z5" i="11"/>
  <c r="AA5" i="11"/>
  <c r="AB5" i="11"/>
  <c r="AC5" i="11"/>
  <c r="AD5" i="11"/>
  <c r="AE5" i="11"/>
  <c r="AF5" i="11"/>
  <c r="AG5" i="11"/>
  <c r="AH5" i="11"/>
  <c r="AI5" i="11"/>
  <c r="AJ5" i="11"/>
  <c r="AK5" i="11"/>
  <c r="AL5" i="11"/>
  <c r="AM5" i="11"/>
  <c r="AN5" i="11"/>
  <c r="AO5" i="11"/>
  <c r="AP5" i="11"/>
  <c r="AQ5" i="11"/>
  <c r="AR5" i="11"/>
  <c r="AS5" i="11"/>
  <c r="AT5" i="11"/>
  <c r="AU5" i="11"/>
  <c r="AV5" i="11"/>
  <c r="AW5" i="11"/>
  <c r="AX5" i="11"/>
  <c r="AY5" i="11"/>
  <c r="AZ5" i="11"/>
  <c r="BA5" i="11"/>
  <c r="BB5" i="11"/>
  <c r="BC5" i="11"/>
  <c r="BD5" i="11"/>
  <c r="BE5" i="11"/>
  <c r="BF5" i="11"/>
  <c r="BG5" i="11"/>
  <c r="BH5" i="11"/>
  <c r="BI5" i="11"/>
  <c r="BJ5" i="11"/>
  <c r="BK5" i="11"/>
  <c r="BL5" i="11"/>
  <c r="BM5" i="11"/>
  <c r="BN5" i="11"/>
  <c r="BO5" i="11"/>
  <c r="BP5" i="11"/>
  <c r="BQ5" i="11"/>
  <c r="BR5" i="11"/>
  <c r="BS5" i="11"/>
  <c r="BT5" i="11"/>
  <c r="BU5" i="11"/>
  <c r="BV5" i="11"/>
  <c r="BW5" i="11"/>
  <c r="BX5" i="11"/>
  <c r="BY5" i="11"/>
  <c r="BZ5" i="11"/>
  <c r="CA5" i="11"/>
  <c r="CB5" i="11"/>
  <c r="CC5" i="11"/>
  <c r="CD5" i="11"/>
  <c r="CE5" i="11"/>
  <c r="CF5" i="11"/>
  <c r="CG5" i="11"/>
  <c r="CH5" i="11"/>
  <c r="CI5" i="11"/>
  <c r="CJ5" i="11"/>
  <c r="CK5" i="11"/>
  <c r="CL5" i="11"/>
  <c r="CM5" i="11"/>
  <c r="CN5" i="11"/>
  <c r="CO5" i="11"/>
  <c r="CP5" i="11"/>
  <c r="CQ5" i="11"/>
  <c r="CR5" i="11"/>
  <c r="CS5" i="11"/>
  <c r="CT5" i="11"/>
  <c r="CU5" i="11"/>
  <c r="CV5" i="11"/>
  <c r="CW5" i="11"/>
  <c r="CX5" i="11"/>
  <c r="CY5" i="11"/>
  <c r="CZ5" i="11"/>
  <c r="DA5" i="11"/>
  <c r="DB5" i="11"/>
  <c r="DC5" i="11"/>
  <c r="DD5" i="11"/>
  <c r="DE5" i="11"/>
  <c r="DF5" i="11"/>
  <c r="DG5" i="11"/>
  <c r="DH5" i="11"/>
  <c r="DI5" i="11"/>
  <c r="DJ5" i="11"/>
  <c r="S6" i="11"/>
  <c r="T6" i="11"/>
  <c r="U6" i="11"/>
  <c r="V6" i="11"/>
  <c r="W6" i="11"/>
  <c r="X6" i="11"/>
  <c r="Y6" i="11"/>
  <c r="Z6" i="11"/>
  <c r="AA6" i="11"/>
  <c r="AB6" i="11"/>
  <c r="AC6" i="11"/>
  <c r="AD6" i="11"/>
  <c r="AE6" i="11"/>
  <c r="AF6" i="11"/>
  <c r="AG6" i="11"/>
  <c r="AH6" i="11"/>
  <c r="AI6" i="11"/>
  <c r="AJ6" i="11"/>
  <c r="AK6" i="11"/>
  <c r="AL6" i="11"/>
  <c r="AM6" i="11"/>
  <c r="AN6" i="11"/>
  <c r="AO6" i="11"/>
  <c r="AP6" i="11"/>
  <c r="AQ6" i="11"/>
  <c r="AR6" i="11"/>
  <c r="AS6" i="11"/>
  <c r="AT6" i="11"/>
  <c r="AU6" i="11"/>
  <c r="AV6" i="11"/>
  <c r="AW6" i="11"/>
  <c r="AX6" i="11"/>
  <c r="AY6" i="11"/>
  <c r="AZ6" i="11"/>
  <c r="BA6" i="11"/>
  <c r="BB6" i="11"/>
  <c r="BC6" i="11"/>
  <c r="BD6" i="11"/>
  <c r="BE6" i="11"/>
  <c r="BF6" i="11"/>
  <c r="BG6" i="11"/>
  <c r="BH6" i="11"/>
  <c r="BI6" i="11"/>
  <c r="BJ6" i="11"/>
  <c r="BK6" i="11"/>
  <c r="BL6" i="11"/>
  <c r="BM6" i="11"/>
  <c r="BN6" i="11"/>
  <c r="BO6" i="11"/>
  <c r="BP6" i="11"/>
  <c r="BQ6" i="11"/>
  <c r="BR6" i="11"/>
  <c r="BS6" i="11"/>
  <c r="BT6" i="11"/>
  <c r="BU6" i="11"/>
  <c r="BV6" i="11"/>
  <c r="BW6" i="11"/>
  <c r="BX6" i="11"/>
  <c r="BY6" i="11"/>
  <c r="BZ6" i="11"/>
  <c r="CA6" i="11"/>
  <c r="CB6" i="11"/>
  <c r="CC6" i="11"/>
  <c r="CD6" i="11"/>
  <c r="CE6" i="11"/>
  <c r="CF6" i="11"/>
  <c r="CG6" i="11"/>
  <c r="CH6" i="11"/>
  <c r="CI6" i="11"/>
  <c r="CJ6" i="11"/>
  <c r="CK6" i="11"/>
  <c r="CL6" i="11"/>
  <c r="CM6" i="11"/>
  <c r="CN6" i="11"/>
  <c r="CO6" i="11"/>
  <c r="CP6" i="11"/>
  <c r="CQ6" i="11"/>
  <c r="CR6" i="11"/>
  <c r="CS6" i="11"/>
  <c r="CT6" i="11"/>
  <c r="CU6" i="11"/>
  <c r="CV6" i="11"/>
  <c r="CW6" i="11"/>
  <c r="CX6" i="11"/>
  <c r="CY6" i="11"/>
  <c r="CZ6" i="11"/>
  <c r="DA6" i="11"/>
  <c r="DB6" i="11"/>
  <c r="DC6" i="11"/>
  <c r="DD6" i="11"/>
  <c r="DE6" i="11"/>
  <c r="DF6" i="11"/>
  <c r="DG6" i="11"/>
  <c r="DH6" i="11"/>
  <c r="DI6" i="11"/>
  <c r="DJ6" i="11"/>
  <c r="S7" i="11"/>
  <c r="T7" i="11"/>
  <c r="U7" i="11"/>
  <c r="V7" i="11"/>
  <c r="W7" i="11"/>
  <c r="X7" i="11"/>
  <c r="Y7" i="11"/>
  <c r="Z7" i="11"/>
  <c r="AA7" i="11"/>
  <c r="AB7" i="11"/>
  <c r="AC7" i="11"/>
  <c r="AD7" i="11"/>
  <c r="AE7" i="11"/>
  <c r="AF7" i="11"/>
  <c r="AG7" i="11"/>
  <c r="AH7" i="11"/>
  <c r="AI7" i="11"/>
  <c r="AJ7" i="11"/>
  <c r="AK7" i="11"/>
  <c r="AL7" i="11"/>
  <c r="AM7" i="11"/>
  <c r="AN7" i="11"/>
  <c r="AO7" i="11"/>
  <c r="AP7" i="11"/>
  <c r="AQ7" i="11"/>
  <c r="AR7" i="11"/>
  <c r="AS7" i="11"/>
  <c r="AT7" i="11"/>
  <c r="AU7" i="11"/>
  <c r="AV7" i="11"/>
  <c r="AW7" i="11"/>
  <c r="AX7" i="11"/>
  <c r="AY7" i="11"/>
  <c r="AZ7" i="11"/>
  <c r="BA7" i="11"/>
  <c r="BB7" i="11"/>
  <c r="BC7" i="11"/>
  <c r="BD7" i="11"/>
  <c r="BE7" i="11"/>
  <c r="BF7" i="11"/>
  <c r="BG7" i="11"/>
  <c r="BH7" i="11"/>
  <c r="BI7" i="11"/>
  <c r="BJ7" i="11"/>
  <c r="BK7" i="11"/>
  <c r="BL7" i="11"/>
  <c r="BM7" i="11"/>
  <c r="BN7" i="11"/>
  <c r="BO7" i="11"/>
  <c r="BP7" i="11"/>
  <c r="BQ7" i="11"/>
  <c r="BR7" i="11"/>
  <c r="BS7" i="11"/>
  <c r="BT7" i="11"/>
  <c r="BU7" i="11"/>
  <c r="BV7" i="11"/>
  <c r="BW7" i="11"/>
  <c r="BX7" i="11"/>
  <c r="BY7" i="11"/>
  <c r="BZ7" i="11"/>
  <c r="CA7" i="11"/>
  <c r="CB7" i="11"/>
  <c r="CC7" i="11"/>
  <c r="CD7" i="11"/>
  <c r="CE7" i="11"/>
  <c r="CF7" i="11"/>
  <c r="CG7" i="11"/>
  <c r="CH7" i="11"/>
  <c r="CI7" i="11"/>
  <c r="CJ7" i="11"/>
  <c r="CK7" i="11"/>
  <c r="CL7" i="11"/>
  <c r="CM7" i="11"/>
  <c r="CN7" i="11"/>
  <c r="CO7" i="11"/>
  <c r="CP7" i="11"/>
  <c r="CQ7" i="11"/>
  <c r="CR7" i="11"/>
  <c r="CS7" i="11"/>
  <c r="CT7" i="11"/>
  <c r="CU7" i="11"/>
  <c r="CV7" i="11"/>
  <c r="CW7" i="11"/>
  <c r="CX7" i="11"/>
  <c r="CY7" i="11"/>
  <c r="CZ7" i="11"/>
  <c r="DA7" i="11"/>
  <c r="DB7" i="11"/>
  <c r="DC7" i="11"/>
  <c r="DD7" i="11"/>
  <c r="DE7" i="11"/>
  <c r="DF7" i="11"/>
  <c r="DG7" i="11"/>
  <c r="DH7" i="11"/>
  <c r="DI7" i="11"/>
  <c r="DJ7" i="11"/>
  <c r="S8" i="11"/>
  <c r="T8" i="11"/>
  <c r="U8" i="11"/>
  <c r="V8" i="11"/>
  <c r="W8" i="11"/>
  <c r="X8" i="11"/>
  <c r="Y8" i="11"/>
  <c r="Z8" i="11"/>
  <c r="AA8" i="11"/>
  <c r="AB8" i="11"/>
  <c r="AC8" i="11"/>
  <c r="AD8" i="11"/>
  <c r="AE8" i="11"/>
  <c r="AF8" i="11"/>
  <c r="AG8" i="11"/>
  <c r="AH8" i="11"/>
  <c r="AI8" i="11"/>
  <c r="AJ8" i="11"/>
  <c r="AK8" i="11"/>
  <c r="AL8" i="11"/>
  <c r="AM8" i="11"/>
  <c r="AN8" i="11"/>
  <c r="AO8" i="11"/>
  <c r="AP8" i="11"/>
  <c r="AQ8" i="11"/>
  <c r="AR8" i="11"/>
  <c r="AS8" i="11"/>
  <c r="AT8" i="11"/>
  <c r="AU8" i="11"/>
  <c r="AV8" i="11"/>
  <c r="AW8" i="11"/>
  <c r="AX8" i="11"/>
  <c r="AY8" i="11"/>
  <c r="AZ8" i="11"/>
  <c r="BA8" i="11"/>
  <c r="BB8" i="11"/>
  <c r="BC8" i="11"/>
  <c r="BD8" i="11"/>
  <c r="BE8" i="11"/>
  <c r="BF8" i="11"/>
  <c r="BG8" i="11"/>
  <c r="BH8" i="11"/>
  <c r="BI8" i="11"/>
  <c r="BJ8" i="11"/>
  <c r="BK8" i="11"/>
  <c r="BL8" i="11"/>
  <c r="BM8" i="11"/>
  <c r="BN8" i="11"/>
  <c r="BO8" i="11"/>
  <c r="BP8" i="11"/>
  <c r="BQ8" i="11"/>
  <c r="BR8" i="11"/>
  <c r="BS8" i="11"/>
  <c r="BT8" i="11"/>
  <c r="BU8" i="11"/>
  <c r="BV8" i="11"/>
  <c r="BW8" i="11"/>
  <c r="BX8" i="11"/>
  <c r="BY8" i="11"/>
  <c r="BZ8" i="11"/>
  <c r="CA8" i="11"/>
  <c r="CB8" i="11"/>
  <c r="CC8" i="11"/>
  <c r="CD8" i="11"/>
  <c r="CE8" i="11"/>
  <c r="CF8" i="11"/>
  <c r="CG8" i="11"/>
  <c r="CH8" i="11"/>
  <c r="CI8" i="11"/>
  <c r="CJ8" i="11"/>
  <c r="CK8" i="11"/>
  <c r="CL8" i="11"/>
  <c r="CM8" i="11"/>
  <c r="CN8" i="11"/>
  <c r="CO8" i="11"/>
  <c r="CP8" i="11"/>
  <c r="CQ8" i="11"/>
  <c r="CR8" i="11"/>
  <c r="CS8" i="11"/>
  <c r="CT8" i="11"/>
  <c r="CU8" i="11"/>
  <c r="CV8" i="11"/>
  <c r="CW8" i="11"/>
  <c r="CX8" i="11"/>
  <c r="CY8" i="11"/>
  <c r="CZ8" i="11"/>
  <c r="DA8" i="11"/>
  <c r="DB8" i="11"/>
  <c r="DC8" i="11"/>
  <c r="DD8" i="11"/>
  <c r="DE8" i="11"/>
  <c r="DF8" i="11"/>
  <c r="DG8" i="11"/>
  <c r="DH8" i="11"/>
  <c r="DI8" i="11"/>
  <c r="DJ8" i="11"/>
  <c r="S9" i="11"/>
  <c r="T9" i="11"/>
  <c r="U9" i="11"/>
  <c r="V9" i="11"/>
  <c r="W9" i="11"/>
  <c r="X9" i="11"/>
  <c r="Y9" i="11"/>
  <c r="Z9" i="11"/>
  <c r="AA9" i="11"/>
  <c r="AB9" i="11"/>
  <c r="AC9" i="11"/>
  <c r="AD9" i="11"/>
  <c r="AE9" i="11"/>
  <c r="AF9" i="11"/>
  <c r="AG9" i="11"/>
  <c r="AH9" i="11"/>
  <c r="AI9" i="11"/>
  <c r="AJ9" i="11"/>
  <c r="AK9" i="11"/>
  <c r="AL9" i="11"/>
  <c r="AM9" i="11"/>
  <c r="AN9" i="11"/>
  <c r="AO9" i="11"/>
  <c r="AP9" i="11"/>
  <c r="AQ9" i="11"/>
  <c r="AR9" i="11"/>
  <c r="AS9" i="11"/>
  <c r="AT9" i="11"/>
  <c r="AU9" i="11"/>
  <c r="AV9" i="11"/>
  <c r="AW9" i="11"/>
  <c r="AX9" i="11"/>
  <c r="AY9" i="11"/>
  <c r="AZ9" i="11"/>
  <c r="BA9" i="11"/>
  <c r="BB9" i="11"/>
  <c r="BC9" i="11"/>
  <c r="BD9" i="11"/>
  <c r="BE9" i="11"/>
  <c r="BF9" i="11"/>
  <c r="BG9" i="11"/>
  <c r="BH9" i="11"/>
  <c r="BI9" i="11"/>
  <c r="BJ9" i="11"/>
  <c r="BK9" i="11"/>
  <c r="BL9" i="11"/>
  <c r="BM9" i="11"/>
  <c r="BN9" i="11"/>
  <c r="BO9" i="11"/>
  <c r="BP9" i="11"/>
  <c r="BQ9" i="11"/>
  <c r="BR9" i="11"/>
  <c r="BS9" i="11"/>
  <c r="BT9" i="11"/>
  <c r="BU9" i="11"/>
  <c r="BV9" i="11"/>
  <c r="BW9" i="11"/>
  <c r="BX9" i="11"/>
  <c r="BY9" i="11"/>
  <c r="BZ9" i="11"/>
  <c r="CA9" i="11"/>
  <c r="CB9" i="11"/>
  <c r="CC9" i="11"/>
  <c r="CD9" i="11"/>
  <c r="CE9" i="11"/>
  <c r="CF9" i="11"/>
  <c r="CG9" i="11"/>
  <c r="CH9" i="11"/>
  <c r="CI9" i="11"/>
  <c r="CJ9" i="11"/>
  <c r="CK9" i="11"/>
  <c r="CL9" i="11"/>
  <c r="CM9" i="11"/>
  <c r="CN9" i="11"/>
  <c r="CO9" i="11"/>
  <c r="CP9" i="11"/>
  <c r="CQ9" i="11"/>
  <c r="CR9" i="11"/>
  <c r="CS9" i="11"/>
  <c r="CT9" i="11"/>
  <c r="CU9" i="11"/>
  <c r="CV9" i="11"/>
  <c r="CW9" i="11"/>
  <c r="CX9" i="11"/>
  <c r="CY9" i="11"/>
  <c r="CZ9" i="11"/>
  <c r="DA9" i="11"/>
  <c r="DB9" i="11"/>
  <c r="DC9" i="11"/>
  <c r="DD9" i="11"/>
  <c r="DE9" i="11"/>
  <c r="DF9" i="11"/>
  <c r="DG9" i="11"/>
  <c r="DH9" i="11"/>
  <c r="DI9" i="11"/>
  <c r="DJ9" i="11"/>
  <c r="S10" i="11"/>
  <c r="T10" i="11"/>
  <c r="U10" i="11"/>
  <c r="V10" i="11"/>
  <c r="W10" i="11"/>
  <c r="X10" i="11"/>
  <c r="Y10" i="11"/>
  <c r="Z10" i="11"/>
  <c r="AA10" i="11"/>
  <c r="AB10" i="11"/>
  <c r="AC10" i="11"/>
  <c r="AD10" i="11"/>
  <c r="AE10" i="11"/>
  <c r="AF10" i="11"/>
  <c r="AG10" i="11"/>
  <c r="AH10" i="11"/>
  <c r="AI10" i="11"/>
  <c r="AJ10" i="11"/>
  <c r="AK10" i="11"/>
  <c r="AL10" i="11"/>
  <c r="AM10" i="11"/>
  <c r="AN10" i="11"/>
  <c r="AO10" i="11"/>
  <c r="AP10" i="11"/>
  <c r="AQ10" i="11"/>
  <c r="AR10" i="11"/>
  <c r="AS10" i="11"/>
  <c r="AT10" i="11"/>
  <c r="AU10" i="11"/>
  <c r="AV10" i="11"/>
  <c r="AW10" i="11"/>
  <c r="AX10" i="11"/>
  <c r="AY10" i="11"/>
  <c r="AZ10" i="11"/>
  <c r="BA10" i="11"/>
  <c r="BB10" i="11"/>
  <c r="BC10" i="11"/>
  <c r="BD10" i="11"/>
  <c r="BE10" i="11"/>
  <c r="BF10" i="11"/>
  <c r="BG10" i="11"/>
  <c r="BH10" i="11"/>
  <c r="BI10" i="11"/>
  <c r="BJ10" i="11"/>
  <c r="BK10" i="11"/>
  <c r="BL10" i="11"/>
  <c r="BM10" i="11"/>
  <c r="BN10" i="11"/>
  <c r="BO10" i="11"/>
  <c r="BP10" i="11"/>
  <c r="BQ10" i="11"/>
  <c r="BR10" i="11"/>
  <c r="BS10" i="11"/>
  <c r="BT10" i="11"/>
  <c r="BU10" i="11"/>
  <c r="BV10" i="11"/>
  <c r="BW10" i="11"/>
  <c r="BX10" i="11"/>
  <c r="BY10" i="11"/>
  <c r="BZ10" i="11"/>
  <c r="CA10" i="11"/>
  <c r="CB10" i="11"/>
  <c r="CC10" i="11"/>
  <c r="CD10" i="11"/>
  <c r="CE10" i="11"/>
  <c r="CF10" i="11"/>
  <c r="CG10" i="11"/>
  <c r="CH10" i="11"/>
  <c r="CI10" i="11"/>
  <c r="CJ10" i="11"/>
  <c r="CK10" i="11"/>
  <c r="CL10" i="11"/>
  <c r="CM10" i="11"/>
  <c r="CN10" i="11"/>
  <c r="CO10" i="11"/>
  <c r="CP10" i="11"/>
  <c r="CQ10" i="11"/>
  <c r="CR10" i="11"/>
  <c r="CS10" i="11"/>
  <c r="CT10" i="11"/>
  <c r="CU10" i="11"/>
  <c r="CV10" i="11"/>
  <c r="CW10" i="11"/>
  <c r="CX10" i="11"/>
  <c r="CY10" i="11"/>
  <c r="CZ10" i="11"/>
  <c r="DA10" i="11"/>
  <c r="DB10" i="11"/>
  <c r="DC10" i="11"/>
  <c r="DD10" i="11"/>
  <c r="DE10" i="11"/>
  <c r="DF10" i="11"/>
  <c r="DG10" i="11"/>
  <c r="DH10" i="11"/>
  <c r="DI10" i="11"/>
  <c r="DJ10" i="11"/>
  <c r="S11" i="11"/>
  <c r="T11" i="11"/>
  <c r="U11" i="11"/>
  <c r="V11" i="11"/>
  <c r="W11" i="11"/>
  <c r="X11" i="11"/>
  <c r="Y11" i="11"/>
  <c r="Z11" i="11"/>
  <c r="AA11" i="11"/>
  <c r="AB11" i="11"/>
  <c r="AC11" i="11"/>
  <c r="AD11" i="11"/>
  <c r="AE11" i="11"/>
  <c r="AF11" i="11"/>
  <c r="AG11" i="11"/>
  <c r="AH11" i="11"/>
  <c r="AI11" i="11"/>
  <c r="AJ11" i="11"/>
  <c r="AK11" i="11"/>
  <c r="AL11" i="11"/>
  <c r="AM11" i="11"/>
  <c r="AN11" i="11"/>
  <c r="AO11" i="11"/>
  <c r="AP11" i="11"/>
  <c r="AQ11" i="11"/>
  <c r="AR11" i="11"/>
  <c r="AS11" i="11"/>
  <c r="AT11" i="11"/>
  <c r="AU11" i="11"/>
  <c r="AV11" i="11"/>
  <c r="AW11" i="11"/>
  <c r="AX11" i="11"/>
  <c r="AY11" i="11"/>
  <c r="AZ11" i="11"/>
  <c r="BA11" i="11"/>
  <c r="BB11" i="11"/>
  <c r="BC11" i="11"/>
  <c r="BD11" i="11"/>
  <c r="BE11" i="11"/>
  <c r="BF11" i="11"/>
  <c r="BG11" i="11"/>
  <c r="BH11" i="11"/>
  <c r="BI11" i="11"/>
  <c r="BJ11" i="11"/>
  <c r="BK11" i="11"/>
  <c r="BL11" i="11"/>
  <c r="BM11" i="11"/>
  <c r="BN11" i="11"/>
  <c r="BO11" i="11"/>
  <c r="BP11" i="11"/>
  <c r="BQ11" i="11"/>
  <c r="BR11" i="11"/>
  <c r="BS11" i="11"/>
  <c r="BT11" i="11"/>
  <c r="BU11" i="11"/>
  <c r="BV11" i="11"/>
  <c r="BW11" i="11"/>
  <c r="BX11" i="11"/>
  <c r="BY11" i="11"/>
  <c r="BZ11" i="11"/>
  <c r="CA11" i="11"/>
  <c r="CB11" i="11"/>
  <c r="CC11" i="11"/>
  <c r="CD11" i="11"/>
  <c r="CE11" i="11"/>
  <c r="CF11" i="11"/>
  <c r="CG11" i="11"/>
  <c r="CH11" i="11"/>
  <c r="CI11" i="11"/>
  <c r="CJ11" i="11"/>
  <c r="CK11" i="11"/>
  <c r="CL11" i="11"/>
  <c r="CM11" i="11"/>
  <c r="CN11" i="11"/>
  <c r="CO11" i="11"/>
  <c r="CP11" i="11"/>
  <c r="CQ11" i="11"/>
  <c r="CR11" i="11"/>
  <c r="CS11" i="11"/>
  <c r="CT11" i="11"/>
  <c r="CU11" i="11"/>
  <c r="CV11" i="11"/>
  <c r="CW11" i="11"/>
  <c r="CX11" i="11"/>
  <c r="CY11" i="11"/>
  <c r="CZ11" i="11"/>
  <c r="DA11" i="11"/>
  <c r="DB11" i="11"/>
  <c r="DC11" i="11"/>
  <c r="DD11" i="11"/>
  <c r="DE11" i="11"/>
  <c r="DF11" i="11"/>
  <c r="DG11" i="11"/>
  <c r="DH11" i="11"/>
  <c r="DI11" i="11"/>
  <c r="DJ11" i="11"/>
  <c r="S12" i="11"/>
  <c r="T12" i="11"/>
  <c r="U12" i="11"/>
  <c r="V12" i="11"/>
  <c r="W12" i="11"/>
  <c r="X12" i="11"/>
  <c r="Y12" i="11"/>
  <c r="Z12" i="11"/>
  <c r="AA12" i="11"/>
  <c r="AB12" i="11"/>
  <c r="AC12" i="11"/>
  <c r="AD12" i="11"/>
  <c r="AE12" i="11"/>
  <c r="AF12" i="11"/>
  <c r="AG12" i="11"/>
  <c r="AH12" i="11"/>
  <c r="AI12" i="11"/>
  <c r="AJ12" i="11"/>
  <c r="AK12" i="11"/>
  <c r="AL12" i="11"/>
  <c r="AM12" i="11"/>
  <c r="AN12" i="11"/>
  <c r="AO12" i="11"/>
  <c r="AP12" i="11"/>
  <c r="AQ12" i="11"/>
  <c r="AR12" i="11"/>
  <c r="AS12" i="11"/>
  <c r="AT12" i="11"/>
  <c r="AU12" i="11"/>
  <c r="AV12" i="11"/>
  <c r="AW12" i="11"/>
  <c r="AX12" i="11"/>
  <c r="AY12" i="11"/>
  <c r="AZ12" i="11"/>
  <c r="BA12" i="11"/>
  <c r="BB12" i="11"/>
  <c r="BC12" i="11"/>
  <c r="BD12" i="11"/>
  <c r="BE12" i="11"/>
  <c r="BF12" i="11"/>
  <c r="BG12" i="11"/>
  <c r="BH12" i="11"/>
  <c r="BI12" i="11"/>
  <c r="BJ12" i="11"/>
  <c r="BK12" i="11"/>
  <c r="BL12" i="11"/>
  <c r="BM12" i="11"/>
  <c r="BN12" i="11"/>
  <c r="BO12" i="11"/>
  <c r="BP12" i="11"/>
  <c r="BQ12" i="11"/>
  <c r="BR12" i="11"/>
  <c r="BS12" i="11"/>
  <c r="BT12" i="11"/>
  <c r="BU12" i="11"/>
  <c r="BV12" i="11"/>
  <c r="BW12" i="11"/>
  <c r="BX12" i="11"/>
  <c r="BY12" i="11"/>
  <c r="BZ12" i="11"/>
  <c r="CA12" i="11"/>
  <c r="CB12" i="11"/>
  <c r="CC12" i="11"/>
  <c r="CD12" i="11"/>
  <c r="CE12" i="11"/>
  <c r="CF12" i="11"/>
  <c r="CG12" i="11"/>
  <c r="CH12" i="11"/>
  <c r="CI12" i="11"/>
  <c r="CJ12" i="11"/>
  <c r="CK12" i="11"/>
  <c r="CL12" i="11"/>
  <c r="CM12" i="11"/>
  <c r="CN12" i="11"/>
  <c r="CO12" i="11"/>
  <c r="CP12" i="11"/>
  <c r="CQ12" i="11"/>
  <c r="CR12" i="11"/>
  <c r="CS12" i="11"/>
  <c r="CT12" i="11"/>
  <c r="CU12" i="11"/>
  <c r="CV12" i="11"/>
  <c r="CW12" i="11"/>
  <c r="CX12" i="11"/>
  <c r="CY12" i="11"/>
  <c r="CZ12" i="11"/>
  <c r="DA12" i="11"/>
  <c r="DB12" i="11"/>
  <c r="DC12" i="11"/>
  <c r="DD12" i="11"/>
  <c r="DE12" i="11"/>
  <c r="DF12" i="11"/>
  <c r="DG12" i="11"/>
  <c r="DH12" i="11"/>
  <c r="DI12" i="11"/>
  <c r="DJ12" i="11"/>
  <c r="S13" i="11"/>
  <c r="T13" i="11"/>
  <c r="U13" i="11"/>
  <c r="V13" i="11"/>
  <c r="W13" i="11"/>
  <c r="X13" i="11"/>
  <c r="Y13" i="11"/>
  <c r="Z13" i="11"/>
  <c r="AA13" i="11"/>
  <c r="AB13" i="11"/>
  <c r="AC13" i="11"/>
  <c r="AD13" i="11"/>
  <c r="AE13" i="11"/>
  <c r="AF13" i="11"/>
  <c r="AG13" i="11"/>
  <c r="AH13" i="11"/>
  <c r="AI13" i="11"/>
  <c r="AJ13" i="11"/>
  <c r="AK13" i="11"/>
  <c r="AL13" i="11"/>
  <c r="AM13" i="11"/>
  <c r="AN13" i="11"/>
  <c r="AO13" i="11"/>
  <c r="AP13" i="11"/>
  <c r="AQ13" i="11"/>
  <c r="AR13" i="11"/>
  <c r="AS13" i="11"/>
  <c r="AT13" i="11"/>
  <c r="AU13" i="11"/>
  <c r="AV13" i="11"/>
  <c r="AW13" i="11"/>
  <c r="AX13" i="11"/>
  <c r="AY13" i="11"/>
  <c r="AZ13" i="11"/>
  <c r="BA13" i="11"/>
  <c r="BB13" i="11"/>
  <c r="BC13" i="11"/>
  <c r="BD13" i="11"/>
  <c r="BE13" i="11"/>
  <c r="BF13" i="11"/>
  <c r="BG13" i="11"/>
  <c r="BH13" i="11"/>
  <c r="BI13" i="11"/>
  <c r="BJ13" i="11"/>
  <c r="BK13" i="11"/>
  <c r="BL13" i="11"/>
  <c r="BM13" i="11"/>
  <c r="BN13" i="11"/>
  <c r="BO13" i="11"/>
  <c r="BP13" i="11"/>
  <c r="BQ13" i="11"/>
  <c r="BR13" i="11"/>
  <c r="BS13" i="11"/>
  <c r="BT13" i="11"/>
  <c r="BU13" i="11"/>
  <c r="BV13" i="11"/>
  <c r="BW13" i="11"/>
  <c r="BX13" i="11"/>
  <c r="BY13" i="11"/>
  <c r="BZ13" i="11"/>
  <c r="CA13" i="11"/>
  <c r="CB13" i="11"/>
  <c r="CC13" i="11"/>
  <c r="CD13" i="11"/>
  <c r="CE13" i="11"/>
  <c r="CF13" i="11"/>
  <c r="CG13" i="11"/>
  <c r="CH13" i="11"/>
  <c r="CI13" i="11"/>
  <c r="CJ13" i="11"/>
  <c r="CK13" i="11"/>
  <c r="CL13" i="11"/>
  <c r="CM13" i="11"/>
  <c r="CN13" i="11"/>
  <c r="CO13" i="11"/>
  <c r="CP13" i="11"/>
  <c r="CQ13" i="11"/>
  <c r="CR13" i="11"/>
  <c r="CS13" i="11"/>
  <c r="CT13" i="11"/>
  <c r="CU13" i="11"/>
  <c r="CV13" i="11"/>
  <c r="CW13" i="11"/>
  <c r="CX13" i="11"/>
  <c r="CY13" i="11"/>
  <c r="CZ13" i="11"/>
  <c r="DA13" i="11"/>
  <c r="DB13" i="11"/>
  <c r="DC13" i="11"/>
  <c r="DD13" i="11"/>
  <c r="DE13" i="11"/>
  <c r="DF13" i="11"/>
  <c r="DG13" i="11"/>
  <c r="DH13" i="11"/>
  <c r="DI13" i="11"/>
  <c r="DJ13" i="11"/>
  <c r="S14" i="11"/>
  <c r="T14" i="11"/>
  <c r="U14" i="11"/>
  <c r="V14" i="11"/>
  <c r="W14" i="11"/>
  <c r="X14" i="11"/>
  <c r="Y14" i="11"/>
  <c r="Z14" i="11"/>
  <c r="AA14" i="11"/>
  <c r="AB14" i="11"/>
  <c r="AC14" i="11"/>
  <c r="AD14" i="11"/>
  <c r="AE14" i="11"/>
  <c r="AF14" i="11"/>
  <c r="AG14" i="11"/>
  <c r="AH14" i="11"/>
  <c r="AI14" i="11"/>
  <c r="AJ14" i="11"/>
  <c r="AK14" i="11"/>
  <c r="AL14" i="11"/>
  <c r="AM14" i="11"/>
  <c r="AN14" i="11"/>
  <c r="AO14" i="11"/>
  <c r="AP14" i="11"/>
  <c r="AQ14" i="11"/>
  <c r="AR14" i="11"/>
  <c r="AS14" i="11"/>
  <c r="AT14" i="11"/>
  <c r="AU14" i="11"/>
  <c r="AV14" i="11"/>
  <c r="AW14" i="11"/>
  <c r="AX14" i="11"/>
  <c r="AY14" i="11"/>
  <c r="AZ14" i="11"/>
  <c r="BA14" i="11"/>
  <c r="BB14" i="11"/>
  <c r="BC14" i="11"/>
  <c r="BD14" i="11"/>
  <c r="BE14" i="11"/>
  <c r="BF14" i="11"/>
  <c r="BG14" i="11"/>
  <c r="BH14" i="11"/>
  <c r="BI14" i="11"/>
  <c r="BJ14" i="11"/>
  <c r="BK14" i="11"/>
  <c r="BL14" i="11"/>
  <c r="BM14" i="11"/>
  <c r="BN14" i="11"/>
  <c r="BO14" i="11"/>
  <c r="BP14" i="11"/>
  <c r="BQ14" i="11"/>
  <c r="BR14" i="11"/>
  <c r="BS14" i="11"/>
  <c r="BT14" i="11"/>
  <c r="BU14" i="11"/>
  <c r="BV14" i="11"/>
  <c r="BW14" i="11"/>
  <c r="BX14" i="11"/>
  <c r="BY14" i="11"/>
  <c r="BZ14" i="11"/>
  <c r="CA14" i="11"/>
  <c r="CB14" i="11"/>
  <c r="CC14" i="11"/>
  <c r="CD14" i="11"/>
  <c r="CE14" i="11"/>
  <c r="CF14" i="11"/>
  <c r="CG14" i="11"/>
  <c r="CH14" i="11"/>
  <c r="CI14" i="11"/>
  <c r="CJ14" i="11"/>
  <c r="CK14" i="11"/>
  <c r="CL14" i="11"/>
  <c r="CM14" i="11"/>
  <c r="CN14" i="11"/>
  <c r="CO14" i="11"/>
  <c r="CP14" i="11"/>
  <c r="CQ14" i="11"/>
  <c r="CR14" i="11"/>
  <c r="CS14" i="11"/>
  <c r="CT14" i="11"/>
  <c r="CU14" i="11"/>
  <c r="CV14" i="11"/>
  <c r="CW14" i="11"/>
  <c r="CX14" i="11"/>
  <c r="CY14" i="11"/>
  <c r="CZ14" i="11"/>
  <c r="DA14" i="11"/>
  <c r="DB14" i="11"/>
  <c r="DC14" i="11"/>
  <c r="DD14" i="11"/>
  <c r="DE14" i="11"/>
  <c r="DF14" i="11"/>
  <c r="DG14" i="11"/>
  <c r="DH14" i="11"/>
  <c r="DI14" i="11"/>
  <c r="DJ14" i="11"/>
  <c r="S15" i="11"/>
  <c r="T15" i="11"/>
  <c r="U15" i="11"/>
  <c r="V15" i="11"/>
  <c r="W15" i="11"/>
  <c r="X15" i="11"/>
  <c r="Y15" i="11"/>
  <c r="Z15" i="11"/>
  <c r="AA15" i="11"/>
  <c r="AB15" i="11"/>
  <c r="AC15" i="11"/>
  <c r="AD15" i="11"/>
  <c r="AE15" i="11"/>
  <c r="AF15" i="11"/>
  <c r="AG15" i="11"/>
  <c r="AH15" i="11"/>
  <c r="AI15" i="11"/>
  <c r="AJ15" i="11"/>
  <c r="AK15" i="11"/>
  <c r="AL15" i="11"/>
  <c r="AM15" i="11"/>
  <c r="AN15" i="11"/>
  <c r="AO15" i="11"/>
  <c r="AP15" i="11"/>
  <c r="AQ15" i="11"/>
  <c r="AR15" i="11"/>
  <c r="AS15" i="11"/>
  <c r="AT15" i="11"/>
  <c r="AU15" i="11"/>
  <c r="AV15" i="11"/>
  <c r="AW15" i="11"/>
  <c r="AX15" i="11"/>
  <c r="AY15" i="11"/>
  <c r="AZ15" i="11"/>
  <c r="BA15" i="11"/>
  <c r="BB15" i="11"/>
  <c r="BC15" i="11"/>
  <c r="BD15" i="11"/>
  <c r="BE15" i="11"/>
  <c r="BF15" i="11"/>
  <c r="BG15" i="11"/>
  <c r="BH15" i="11"/>
  <c r="BI15" i="11"/>
  <c r="BJ15" i="11"/>
  <c r="BK15" i="11"/>
  <c r="BL15" i="11"/>
  <c r="BM15" i="11"/>
  <c r="BN15" i="11"/>
  <c r="BO15" i="11"/>
  <c r="BP15" i="11"/>
  <c r="BQ15" i="11"/>
  <c r="BR15" i="11"/>
  <c r="BS15" i="11"/>
  <c r="BT15" i="11"/>
  <c r="BU15" i="11"/>
  <c r="BV15" i="11"/>
  <c r="BW15" i="11"/>
  <c r="BX15" i="11"/>
  <c r="BY15" i="11"/>
  <c r="BZ15" i="11"/>
  <c r="CA15" i="11"/>
  <c r="CB15" i="11"/>
  <c r="CC15" i="11"/>
  <c r="CD15" i="11"/>
  <c r="CE15" i="11"/>
  <c r="CF15" i="11"/>
  <c r="CG15" i="11"/>
  <c r="CH15" i="11"/>
  <c r="CI15" i="11"/>
  <c r="CJ15" i="11"/>
  <c r="CK15" i="11"/>
  <c r="CL15" i="11"/>
  <c r="CM15" i="11"/>
  <c r="CN15" i="11"/>
  <c r="CO15" i="11"/>
  <c r="CP15" i="11"/>
  <c r="CQ15" i="11"/>
  <c r="CR15" i="11"/>
  <c r="CS15" i="11"/>
  <c r="CT15" i="11"/>
  <c r="CU15" i="11"/>
  <c r="CV15" i="11"/>
  <c r="CW15" i="11"/>
  <c r="CX15" i="11"/>
  <c r="CY15" i="11"/>
  <c r="CZ15" i="11"/>
  <c r="DA15" i="11"/>
  <c r="DB15" i="11"/>
  <c r="DC15" i="11"/>
  <c r="DD15" i="11"/>
  <c r="DE15" i="11"/>
  <c r="DF15" i="11"/>
  <c r="DG15" i="11"/>
  <c r="DH15" i="11"/>
  <c r="DI15" i="11"/>
  <c r="DJ15" i="11"/>
  <c r="S16" i="11"/>
  <c r="T16" i="11"/>
  <c r="U16" i="11"/>
  <c r="V16" i="11"/>
  <c r="W16" i="11"/>
  <c r="X16" i="11"/>
  <c r="Y16" i="11"/>
  <c r="Z16" i="11"/>
  <c r="AA16" i="11"/>
  <c r="AB16" i="11"/>
  <c r="AC16" i="11"/>
  <c r="AD16" i="11"/>
  <c r="AE16" i="11"/>
  <c r="AF16" i="11"/>
  <c r="AG16" i="11"/>
  <c r="AH16" i="11"/>
  <c r="AI16" i="11"/>
  <c r="AJ16" i="11"/>
  <c r="AK16" i="11"/>
  <c r="AL16" i="11"/>
  <c r="AM16" i="11"/>
  <c r="AN16" i="11"/>
  <c r="AO16" i="11"/>
  <c r="AP16" i="11"/>
  <c r="AQ16" i="11"/>
  <c r="AR16" i="11"/>
  <c r="AS16" i="11"/>
  <c r="AT16" i="11"/>
  <c r="AU16" i="11"/>
  <c r="AV16" i="11"/>
  <c r="AW16" i="11"/>
  <c r="AX16" i="11"/>
  <c r="AY16" i="11"/>
  <c r="AZ16" i="11"/>
  <c r="BA16" i="11"/>
  <c r="BB16" i="11"/>
  <c r="BC16" i="11"/>
  <c r="BD16" i="11"/>
  <c r="BE16" i="11"/>
  <c r="BF16" i="11"/>
  <c r="BG16" i="11"/>
  <c r="BH16" i="11"/>
  <c r="BI16" i="11"/>
  <c r="BJ16" i="11"/>
  <c r="BK16" i="11"/>
  <c r="BL16" i="11"/>
  <c r="BM16" i="11"/>
  <c r="BN16" i="11"/>
  <c r="BO16" i="11"/>
  <c r="BP16" i="11"/>
  <c r="BQ16" i="11"/>
  <c r="BR16" i="11"/>
  <c r="BS16" i="11"/>
  <c r="BT16" i="11"/>
  <c r="BU16" i="11"/>
  <c r="BV16" i="11"/>
  <c r="BW16" i="11"/>
  <c r="BX16" i="11"/>
  <c r="BY16" i="11"/>
  <c r="BZ16" i="11"/>
  <c r="CA16" i="11"/>
  <c r="CB16" i="11"/>
  <c r="CC16" i="11"/>
  <c r="CD16" i="11"/>
  <c r="CE16" i="11"/>
  <c r="CF16" i="11"/>
  <c r="CG16" i="11"/>
  <c r="CH16" i="11"/>
  <c r="CI16" i="11"/>
  <c r="CJ16" i="11"/>
  <c r="CK16" i="11"/>
  <c r="CL16" i="11"/>
  <c r="CM16" i="11"/>
  <c r="CN16" i="11"/>
  <c r="CO16" i="11"/>
  <c r="CP16" i="11"/>
  <c r="CQ16" i="11"/>
  <c r="CR16" i="11"/>
  <c r="CS16" i="11"/>
  <c r="CT16" i="11"/>
  <c r="CU16" i="11"/>
  <c r="CV16" i="11"/>
  <c r="CW16" i="11"/>
  <c r="CX16" i="11"/>
  <c r="CY16" i="11"/>
  <c r="CZ16" i="11"/>
  <c r="DA16" i="11"/>
  <c r="DB16" i="11"/>
  <c r="DC16" i="11"/>
  <c r="DD16" i="11"/>
  <c r="DE16" i="11"/>
  <c r="DF16" i="11"/>
  <c r="DG16" i="11"/>
  <c r="DH16" i="11"/>
  <c r="DI16" i="11"/>
  <c r="DJ16" i="11"/>
  <c r="S17" i="11"/>
  <c r="T17" i="11"/>
  <c r="U17" i="11"/>
  <c r="V17" i="11"/>
  <c r="W17" i="11"/>
  <c r="X17" i="11"/>
  <c r="Y17" i="11"/>
  <c r="Z17" i="11"/>
  <c r="AA17" i="11"/>
  <c r="AB17" i="11"/>
  <c r="AC17" i="11"/>
  <c r="AD17" i="11"/>
  <c r="AE17" i="11"/>
  <c r="AF17" i="11"/>
  <c r="AG17" i="11"/>
  <c r="AH17" i="11"/>
  <c r="AI17" i="11"/>
  <c r="AJ17" i="11"/>
  <c r="AK17" i="11"/>
  <c r="AL17" i="11"/>
  <c r="AM17" i="11"/>
  <c r="AN17" i="11"/>
  <c r="AO17" i="11"/>
  <c r="AP17" i="11"/>
  <c r="AQ17" i="11"/>
  <c r="AR17" i="11"/>
  <c r="AS17" i="11"/>
  <c r="AT17" i="11"/>
  <c r="AU17" i="11"/>
  <c r="AV17" i="11"/>
  <c r="AW17" i="11"/>
  <c r="AX17" i="11"/>
  <c r="AY17" i="11"/>
  <c r="AZ17" i="11"/>
  <c r="BA17" i="11"/>
  <c r="BB17" i="11"/>
  <c r="BC17" i="11"/>
  <c r="BD17" i="11"/>
  <c r="BE17" i="11"/>
  <c r="BF17" i="11"/>
  <c r="BG17" i="11"/>
  <c r="BH17" i="11"/>
  <c r="BI17" i="11"/>
  <c r="BJ17" i="11"/>
  <c r="BK17" i="11"/>
  <c r="BL17" i="11"/>
  <c r="BM17" i="11"/>
  <c r="BN17" i="11"/>
  <c r="BO17" i="11"/>
  <c r="BP17" i="11"/>
  <c r="BQ17" i="11"/>
  <c r="BR17" i="11"/>
  <c r="BS17" i="11"/>
  <c r="BT17" i="11"/>
  <c r="BU17" i="11"/>
  <c r="BV17" i="11"/>
  <c r="BW17" i="11"/>
  <c r="BX17" i="11"/>
  <c r="BY17" i="11"/>
  <c r="BZ17" i="11"/>
  <c r="CA17" i="11"/>
  <c r="CB17" i="11"/>
  <c r="CC17" i="11"/>
  <c r="CD17" i="11"/>
  <c r="CE17" i="11"/>
  <c r="CF17" i="11"/>
  <c r="CG17" i="11"/>
  <c r="CH17" i="11"/>
  <c r="CI17" i="11"/>
  <c r="CJ17" i="11"/>
  <c r="CK17" i="11"/>
  <c r="CL17" i="11"/>
  <c r="CM17" i="11"/>
  <c r="CN17" i="11"/>
  <c r="CO17" i="11"/>
  <c r="CP17" i="11"/>
  <c r="CQ17" i="11"/>
  <c r="CR17" i="11"/>
  <c r="CS17" i="11"/>
  <c r="CT17" i="11"/>
  <c r="CU17" i="11"/>
  <c r="CV17" i="11"/>
  <c r="CW17" i="11"/>
  <c r="CX17" i="11"/>
  <c r="CY17" i="11"/>
  <c r="CZ17" i="11"/>
  <c r="DA17" i="11"/>
  <c r="DB17" i="11"/>
  <c r="DC17" i="11"/>
  <c r="DD17" i="11"/>
  <c r="DE17" i="11"/>
  <c r="DF17" i="11"/>
  <c r="DG17" i="11"/>
  <c r="DH17" i="11"/>
  <c r="DI17" i="11"/>
  <c r="DJ17" i="11"/>
  <c r="S18" i="11"/>
  <c r="T18" i="11"/>
  <c r="U18" i="11"/>
  <c r="V18" i="11"/>
  <c r="W18" i="11"/>
  <c r="X18" i="11"/>
  <c r="Y18" i="11"/>
  <c r="Z18" i="11"/>
  <c r="AA18" i="11"/>
  <c r="AB18" i="11"/>
  <c r="AC18" i="11"/>
  <c r="AD18" i="11"/>
  <c r="AE18" i="11"/>
  <c r="AF18" i="11"/>
  <c r="AG18" i="11"/>
  <c r="AH18" i="11"/>
  <c r="AI18" i="11"/>
  <c r="AJ18" i="11"/>
  <c r="AK18" i="11"/>
  <c r="AL18" i="11"/>
  <c r="AM18" i="11"/>
  <c r="AN18" i="11"/>
  <c r="AO18" i="11"/>
  <c r="AP18" i="11"/>
  <c r="AQ18" i="11"/>
  <c r="AR18" i="11"/>
  <c r="AS18" i="11"/>
  <c r="AT18" i="11"/>
  <c r="AU18" i="11"/>
  <c r="AV18" i="11"/>
  <c r="AW18" i="11"/>
  <c r="AX18" i="11"/>
  <c r="AY18" i="11"/>
  <c r="AZ18" i="11"/>
  <c r="BA18" i="11"/>
  <c r="BB18" i="11"/>
  <c r="BC18" i="11"/>
  <c r="BD18" i="11"/>
  <c r="BE18" i="11"/>
  <c r="BF18" i="11"/>
  <c r="BG18" i="11"/>
  <c r="BH18" i="11"/>
  <c r="BI18" i="11"/>
  <c r="BJ18" i="11"/>
  <c r="BK18" i="11"/>
  <c r="BL18" i="11"/>
  <c r="BM18" i="11"/>
  <c r="BN18" i="11"/>
  <c r="BO18" i="11"/>
  <c r="BP18" i="11"/>
  <c r="BQ18" i="11"/>
  <c r="BR18" i="11"/>
  <c r="BS18" i="11"/>
  <c r="BT18" i="11"/>
  <c r="BU18" i="11"/>
  <c r="BV18" i="11"/>
  <c r="BW18" i="11"/>
  <c r="BX18" i="11"/>
  <c r="BY18" i="11"/>
  <c r="BZ18" i="11"/>
  <c r="CA18" i="11"/>
  <c r="CB18" i="11"/>
  <c r="CC18" i="11"/>
  <c r="CD18" i="11"/>
  <c r="CE18" i="11"/>
  <c r="CF18" i="11"/>
  <c r="CG18" i="11"/>
  <c r="CH18" i="11"/>
  <c r="CI18" i="11"/>
  <c r="CJ18" i="11"/>
  <c r="CK18" i="11"/>
  <c r="CL18" i="11"/>
  <c r="CM18" i="11"/>
  <c r="CN18" i="11"/>
  <c r="CO18" i="11"/>
  <c r="CP18" i="11"/>
  <c r="CQ18" i="11"/>
  <c r="CR18" i="11"/>
  <c r="CS18" i="11"/>
  <c r="CT18" i="11"/>
  <c r="CU18" i="11"/>
  <c r="CV18" i="11"/>
  <c r="CW18" i="11"/>
  <c r="CX18" i="11"/>
  <c r="CY18" i="11"/>
  <c r="CZ18" i="11"/>
  <c r="DA18" i="11"/>
  <c r="DB18" i="11"/>
  <c r="DC18" i="11"/>
  <c r="DD18" i="11"/>
  <c r="DE18" i="11"/>
  <c r="DF18" i="11"/>
  <c r="DG18" i="11"/>
  <c r="DH18" i="11"/>
  <c r="DI18" i="11"/>
  <c r="DJ18" i="11"/>
  <c r="S19" i="11"/>
  <c r="T19" i="11"/>
  <c r="U19" i="11"/>
  <c r="V19" i="11"/>
  <c r="W19" i="11"/>
  <c r="X19" i="11"/>
  <c r="Y19" i="11"/>
  <c r="Z19" i="11"/>
  <c r="AA19" i="11"/>
  <c r="AB19" i="11"/>
  <c r="AC19" i="11"/>
  <c r="AD19" i="11"/>
  <c r="AE19" i="11"/>
  <c r="AF19" i="11"/>
  <c r="AG19" i="11"/>
  <c r="AH19" i="11"/>
  <c r="AI19" i="11"/>
  <c r="AJ19" i="11"/>
  <c r="AK19" i="11"/>
  <c r="AL19" i="11"/>
  <c r="AM19" i="11"/>
  <c r="AN19" i="11"/>
  <c r="AO19" i="11"/>
  <c r="AP19" i="11"/>
  <c r="AQ19" i="11"/>
  <c r="AR19" i="11"/>
  <c r="AS19" i="11"/>
  <c r="AT19" i="11"/>
  <c r="AU19" i="11"/>
  <c r="AV19" i="11"/>
  <c r="AW19" i="11"/>
  <c r="AX19" i="11"/>
  <c r="AY19" i="11"/>
  <c r="AZ19" i="11"/>
  <c r="BA19" i="11"/>
  <c r="BB19" i="11"/>
  <c r="BC19" i="11"/>
  <c r="BD19" i="11"/>
  <c r="BE19" i="11"/>
  <c r="BF19" i="11"/>
  <c r="BG19" i="11"/>
  <c r="BH19" i="11"/>
  <c r="BI19" i="11"/>
  <c r="BJ19" i="11"/>
  <c r="BK19" i="11"/>
  <c r="BL19" i="11"/>
  <c r="BM19" i="11"/>
  <c r="BN19" i="11"/>
  <c r="BO19" i="11"/>
  <c r="BP19" i="11"/>
  <c r="BQ19" i="11"/>
  <c r="BR19" i="11"/>
  <c r="BS19" i="11"/>
  <c r="BT19" i="11"/>
  <c r="BU19" i="11"/>
  <c r="BV19" i="11"/>
  <c r="BW19" i="11"/>
  <c r="BX19" i="11"/>
  <c r="BY19" i="11"/>
  <c r="BZ19" i="11"/>
  <c r="CA19" i="11"/>
  <c r="CB19" i="11"/>
  <c r="CC19" i="11"/>
  <c r="CD19" i="11"/>
  <c r="CE19" i="11"/>
  <c r="CF19" i="11"/>
  <c r="CG19" i="11"/>
  <c r="CH19" i="11"/>
  <c r="CI19" i="11"/>
  <c r="CJ19" i="11"/>
  <c r="CK19" i="11"/>
  <c r="CL19" i="11"/>
  <c r="CM19" i="11"/>
  <c r="CN19" i="11"/>
  <c r="CO19" i="11"/>
  <c r="CP19" i="11"/>
  <c r="CQ19" i="11"/>
  <c r="CR19" i="11"/>
  <c r="CS19" i="11"/>
  <c r="CT19" i="11"/>
  <c r="CU19" i="11"/>
  <c r="CV19" i="11"/>
  <c r="CW19" i="11"/>
  <c r="CX19" i="11"/>
  <c r="CY19" i="11"/>
  <c r="CZ19" i="11"/>
  <c r="DA19" i="11"/>
  <c r="DB19" i="11"/>
  <c r="DC19" i="11"/>
  <c r="DD19" i="11"/>
  <c r="DE19" i="11"/>
  <c r="DF19" i="11"/>
  <c r="DG19" i="11"/>
  <c r="DH19" i="11"/>
  <c r="DI19" i="11"/>
  <c r="DJ19" i="11"/>
  <c r="S20" i="11"/>
  <c r="T20" i="11"/>
  <c r="U20" i="11"/>
  <c r="V20" i="11"/>
  <c r="W20" i="11"/>
  <c r="X20" i="11"/>
  <c r="Y20" i="11"/>
  <c r="Z20" i="11"/>
  <c r="AA20" i="11"/>
  <c r="AB20" i="11"/>
  <c r="AC20" i="11"/>
  <c r="AD20" i="11"/>
  <c r="AE20" i="11"/>
  <c r="AF20" i="11"/>
  <c r="AG20" i="11"/>
  <c r="AH20" i="11"/>
  <c r="AI20" i="11"/>
  <c r="AJ20" i="11"/>
  <c r="AK20" i="11"/>
  <c r="AL20" i="11"/>
  <c r="AM20" i="11"/>
  <c r="AN20" i="11"/>
  <c r="AO20" i="11"/>
  <c r="AP20" i="11"/>
  <c r="AQ20" i="11"/>
  <c r="AR20" i="11"/>
  <c r="AS20" i="11"/>
  <c r="AT20" i="11"/>
  <c r="AU20" i="11"/>
  <c r="AV20" i="11"/>
  <c r="AW20" i="11"/>
  <c r="AX20" i="11"/>
  <c r="AY20" i="11"/>
  <c r="AZ20" i="11"/>
  <c r="BA20" i="11"/>
  <c r="BB20" i="11"/>
  <c r="BC20" i="11"/>
  <c r="BD20" i="11"/>
  <c r="BE20" i="11"/>
  <c r="BF20" i="11"/>
  <c r="BG20" i="11"/>
  <c r="BH20" i="11"/>
  <c r="BI20" i="11"/>
  <c r="BJ20" i="11"/>
  <c r="BK20" i="11"/>
  <c r="BL20" i="11"/>
  <c r="BM20" i="11"/>
  <c r="BN20" i="11"/>
  <c r="BO20" i="11"/>
  <c r="BP20" i="11"/>
  <c r="BQ20" i="11"/>
  <c r="BR20" i="11"/>
  <c r="BS20" i="11"/>
  <c r="BT20" i="11"/>
  <c r="BU20" i="11"/>
  <c r="BV20" i="11"/>
  <c r="BW20" i="11"/>
  <c r="BX20" i="11"/>
  <c r="BY20" i="11"/>
  <c r="BZ20" i="11"/>
  <c r="CA20" i="11"/>
  <c r="CB20" i="11"/>
  <c r="CC20" i="11"/>
  <c r="CD20" i="11"/>
  <c r="CE20" i="11"/>
  <c r="CF20" i="11"/>
  <c r="CG20" i="11"/>
  <c r="CH20" i="11"/>
  <c r="CI20" i="11"/>
  <c r="CJ20" i="11"/>
  <c r="CK20" i="11"/>
  <c r="CL20" i="11"/>
  <c r="CM20" i="11"/>
  <c r="CN20" i="11"/>
  <c r="CO20" i="11"/>
  <c r="CP20" i="11"/>
  <c r="CQ20" i="11"/>
  <c r="CR20" i="11"/>
  <c r="CS20" i="11"/>
  <c r="CT20" i="11"/>
  <c r="CU20" i="11"/>
  <c r="CV20" i="11"/>
  <c r="CW20" i="11"/>
  <c r="CX20" i="11"/>
  <c r="CY20" i="11"/>
  <c r="CZ20" i="11"/>
  <c r="DA20" i="11"/>
  <c r="DB20" i="11"/>
  <c r="DC20" i="11"/>
  <c r="DD20" i="11"/>
  <c r="DE20" i="11"/>
  <c r="DF20" i="11"/>
  <c r="DG20" i="11"/>
  <c r="DH20" i="11"/>
  <c r="DI20" i="11"/>
  <c r="DJ20" i="11"/>
  <c r="S21" i="11"/>
  <c r="T21" i="11"/>
  <c r="U21" i="11"/>
  <c r="V21" i="11"/>
  <c r="W21" i="11"/>
  <c r="X21" i="11"/>
  <c r="Y21" i="11"/>
  <c r="Z21" i="11"/>
  <c r="AA21" i="11"/>
  <c r="AB21" i="11"/>
  <c r="AC21" i="11"/>
  <c r="AD21" i="11"/>
  <c r="AE21" i="11"/>
  <c r="AF21" i="11"/>
  <c r="AG21" i="11"/>
  <c r="AH21" i="11"/>
  <c r="AI21" i="11"/>
  <c r="AJ21" i="11"/>
  <c r="AK21" i="11"/>
  <c r="AL21" i="11"/>
  <c r="AM21" i="11"/>
  <c r="AN21" i="11"/>
  <c r="AO21" i="11"/>
  <c r="AP21" i="11"/>
  <c r="AQ21" i="11"/>
  <c r="AR21" i="11"/>
  <c r="AS21" i="11"/>
  <c r="AT21" i="11"/>
  <c r="AU21" i="11"/>
  <c r="AV21" i="11"/>
  <c r="AW21" i="11"/>
  <c r="AX21" i="11"/>
  <c r="AY21" i="11"/>
  <c r="AZ21" i="11"/>
  <c r="BA21" i="11"/>
  <c r="BB21" i="11"/>
  <c r="BC21" i="11"/>
  <c r="BD21" i="11"/>
  <c r="BE21" i="11"/>
  <c r="BF21" i="11"/>
  <c r="BG21" i="11"/>
  <c r="BH21" i="11"/>
  <c r="BI21" i="11"/>
  <c r="BJ21" i="11"/>
  <c r="BK21" i="11"/>
  <c r="BL21" i="11"/>
  <c r="BM21" i="11"/>
  <c r="BN21" i="11"/>
  <c r="BO21" i="11"/>
  <c r="BP21" i="11"/>
  <c r="BQ21" i="11"/>
  <c r="BR21" i="11"/>
  <c r="BS21" i="11"/>
  <c r="BT21" i="11"/>
  <c r="BU21" i="11"/>
  <c r="BV21" i="11"/>
  <c r="BW21" i="11"/>
  <c r="BX21" i="11"/>
  <c r="BY21" i="11"/>
  <c r="BZ21" i="11"/>
  <c r="CA21" i="11"/>
  <c r="CB21" i="11"/>
  <c r="CC21" i="11"/>
  <c r="CD21" i="11"/>
  <c r="CE21" i="11"/>
  <c r="CF21" i="11"/>
  <c r="CG21" i="11"/>
  <c r="CH21" i="11"/>
  <c r="CI21" i="11"/>
  <c r="CJ21" i="11"/>
  <c r="CK21" i="11"/>
  <c r="CL21" i="11"/>
  <c r="CM21" i="11"/>
  <c r="CN21" i="11"/>
  <c r="CO21" i="11"/>
  <c r="CP21" i="11"/>
  <c r="CQ21" i="11"/>
  <c r="CR21" i="11"/>
  <c r="CS21" i="11"/>
  <c r="CT21" i="11"/>
  <c r="CU21" i="11"/>
  <c r="CV21" i="11"/>
  <c r="CW21" i="11"/>
  <c r="CX21" i="11"/>
  <c r="CY21" i="11"/>
  <c r="CZ21" i="11"/>
  <c r="DA21" i="11"/>
  <c r="DB21" i="11"/>
  <c r="DC21" i="11"/>
  <c r="DD21" i="11"/>
  <c r="DE21" i="11"/>
  <c r="DF21" i="11"/>
  <c r="DG21" i="11"/>
  <c r="DH21" i="11"/>
  <c r="DI21" i="11"/>
  <c r="DJ21" i="11"/>
  <c r="S22" i="11"/>
  <c r="T22" i="11"/>
  <c r="U22" i="11"/>
  <c r="V22" i="11"/>
  <c r="W22" i="11"/>
  <c r="X22" i="11"/>
  <c r="Y22" i="11"/>
  <c r="Z22" i="11"/>
  <c r="AA22" i="11"/>
  <c r="AB22" i="11"/>
  <c r="AC22" i="11"/>
  <c r="AD22" i="11"/>
  <c r="AE22" i="11"/>
  <c r="AF22" i="11"/>
  <c r="AG22" i="11"/>
  <c r="AH22" i="11"/>
  <c r="AI22" i="11"/>
  <c r="AJ22" i="11"/>
  <c r="AK22" i="11"/>
  <c r="AL22" i="11"/>
  <c r="AM22" i="11"/>
  <c r="AN22" i="11"/>
  <c r="AO22" i="11"/>
  <c r="AP22" i="11"/>
  <c r="AQ22" i="11"/>
  <c r="AR22" i="11"/>
  <c r="AS22" i="11"/>
  <c r="AT22" i="11"/>
  <c r="AU22" i="11"/>
  <c r="AV22" i="11"/>
  <c r="AW22" i="11"/>
  <c r="AX22" i="11"/>
  <c r="AY22" i="11"/>
  <c r="AZ22" i="11"/>
  <c r="BA22" i="11"/>
  <c r="BB22" i="11"/>
  <c r="BC22" i="11"/>
  <c r="BD22" i="11"/>
  <c r="BE22" i="11"/>
  <c r="BF22" i="11"/>
  <c r="BG22" i="11"/>
  <c r="BH22" i="11"/>
  <c r="BI22" i="11"/>
  <c r="BJ22" i="11"/>
  <c r="BK22" i="11"/>
  <c r="BL22" i="11"/>
  <c r="BM22" i="11"/>
  <c r="BN22" i="11"/>
  <c r="BO22" i="11"/>
  <c r="BP22" i="11"/>
  <c r="BQ22" i="11"/>
  <c r="BR22" i="11"/>
  <c r="BS22" i="11"/>
  <c r="BT22" i="11"/>
  <c r="BU22" i="11"/>
  <c r="BV22" i="11"/>
  <c r="BW22" i="11"/>
  <c r="BX22" i="11"/>
  <c r="BY22" i="11"/>
  <c r="BZ22" i="11"/>
  <c r="CA22" i="11"/>
  <c r="CB22" i="11"/>
  <c r="CC22" i="11"/>
  <c r="CD22" i="11"/>
  <c r="CE22" i="11"/>
  <c r="CF22" i="11"/>
  <c r="CG22" i="11"/>
  <c r="CH22" i="11"/>
  <c r="CI22" i="11"/>
  <c r="CJ22" i="11"/>
  <c r="CK22" i="11"/>
  <c r="CL22" i="11"/>
  <c r="CM22" i="11"/>
  <c r="CN22" i="11"/>
  <c r="CO22" i="11"/>
  <c r="CP22" i="11"/>
  <c r="CQ22" i="11"/>
  <c r="CR22" i="11"/>
  <c r="CS22" i="11"/>
  <c r="CT22" i="11"/>
  <c r="CU22" i="11"/>
  <c r="CV22" i="11"/>
  <c r="CW22" i="11"/>
  <c r="CX22" i="11"/>
  <c r="CY22" i="11"/>
  <c r="CZ22" i="11"/>
  <c r="DA22" i="11"/>
  <c r="DB22" i="11"/>
  <c r="DC22" i="11"/>
  <c r="DD22" i="11"/>
  <c r="DE22" i="11"/>
  <c r="DF22" i="11"/>
  <c r="DG22" i="11"/>
  <c r="DH22" i="11"/>
  <c r="DI22" i="11"/>
  <c r="DJ22" i="11"/>
  <c r="S23" i="11"/>
  <c r="T23" i="11"/>
  <c r="U23" i="11"/>
  <c r="V23" i="11"/>
  <c r="W23" i="11"/>
  <c r="X23" i="11"/>
  <c r="Y23" i="11"/>
  <c r="Z23" i="11"/>
  <c r="AA23" i="11"/>
  <c r="AB23" i="11"/>
  <c r="AC23" i="11"/>
  <c r="AD23" i="11"/>
  <c r="AE23" i="11"/>
  <c r="AF23" i="11"/>
  <c r="AG23" i="11"/>
  <c r="AH23" i="11"/>
  <c r="AI23" i="11"/>
  <c r="AJ23" i="11"/>
  <c r="AK23" i="11"/>
  <c r="AL23" i="11"/>
  <c r="AM23" i="11"/>
  <c r="AN23" i="11"/>
  <c r="AO23" i="11"/>
  <c r="AP23" i="11"/>
  <c r="AQ23" i="11"/>
  <c r="AR23" i="11"/>
  <c r="AS23" i="11"/>
  <c r="AT23" i="11"/>
  <c r="AU23" i="11"/>
  <c r="AV23" i="11"/>
  <c r="AW23" i="11"/>
  <c r="AX23" i="11"/>
  <c r="AY23" i="11"/>
  <c r="AZ23" i="11"/>
  <c r="BA23" i="11"/>
  <c r="BB23" i="11"/>
  <c r="BC23" i="11"/>
  <c r="BD23" i="11"/>
  <c r="BE23" i="11"/>
  <c r="BF23" i="11"/>
  <c r="BG23" i="11"/>
  <c r="BH23" i="11"/>
  <c r="BI23" i="11"/>
  <c r="BJ23" i="11"/>
  <c r="BK23" i="11"/>
  <c r="BL23" i="11"/>
  <c r="BM23" i="11"/>
  <c r="BN23" i="11"/>
  <c r="BO23" i="11"/>
  <c r="BP23" i="11"/>
  <c r="BQ23" i="11"/>
  <c r="BR23" i="11"/>
  <c r="BS23" i="11"/>
  <c r="BT23" i="11"/>
  <c r="BU23" i="11"/>
  <c r="BV23" i="11"/>
  <c r="BW23" i="11"/>
  <c r="BX23" i="11"/>
  <c r="BY23" i="11"/>
  <c r="BZ23" i="11"/>
  <c r="CA23" i="11"/>
  <c r="CB23" i="11"/>
  <c r="CC23" i="11"/>
  <c r="CD23" i="11"/>
  <c r="CE23" i="11"/>
  <c r="CF23" i="11"/>
  <c r="CG23" i="11"/>
  <c r="CH23" i="11"/>
  <c r="CI23" i="11"/>
  <c r="CJ23" i="11"/>
  <c r="CK23" i="11"/>
  <c r="CL23" i="11"/>
  <c r="CM23" i="11"/>
  <c r="CN23" i="11"/>
  <c r="CO23" i="11"/>
  <c r="CP23" i="11"/>
  <c r="CQ23" i="11"/>
  <c r="CR23" i="11"/>
  <c r="CS23" i="11"/>
  <c r="CT23" i="11"/>
  <c r="CU23" i="11"/>
  <c r="CV23" i="11"/>
  <c r="CW23" i="11"/>
  <c r="CX23" i="11"/>
  <c r="CY23" i="11"/>
  <c r="CZ23" i="11"/>
  <c r="DA23" i="11"/>
  <c r="DB23" i="11"/>
  <c r="DC23" i="11"/>
  <c r="DD23" i="11"/>
  <c r="DE23" i="11"/>
  <c r="DF23" i="11"/>
  <c r="DG23" i="11"/>
  <c r="DH23" i="11"/>
  <c r="DI23" i="11"/>
  <c r="DJ23" i="11"/>
  <c r="S24" i="11"/>
  <c r="T24" i="11"/>
  <c r="U24" i="11"/>
  <c r="V24" i="11"/>
  <c r="W24" i="11"/>
  <c r="X24" i="11"/>
  <c r="Y24" i="11"/>
  <c r="Z24" i="11"/>
  <c r="AA24" i="11"/>
  <c r="AB24" i="11"/>
  <c r="AC24" i="11"/>
  <c r="AD24" i="11"/>
  <c r="AE24" i="11"/>
  <c r="AF24" i="11"/>
  <c r="AG24" i="11"/>
  <c r="AH24" i="11"/>
  <c r="AI24" i="11"/>
  <c r="AJ24" i="11"/>
  <c r="AK24" i="11"/>
  <c r="AL24" i="11"/>
  <c r="AM24" i="11"/>
  <c r="AN24" i="11"/>
  <c r="AO24" i="11"/>
  <c r="AP24" i="11"/>
  <c r="AQ24" i="11"/>
  <c r="AR24" i="11"/>
  <c r="AS24" i="11"/>
  <c r="AT24" i="11"/>
  <c r="AU24" i="11"/>
  <c r="AV24" i="11"/>
  <c r="AW24" i="11"/>
  <c r="AX24" i="11"/>
  <c r="AY24" i="11"/>
  <c r="AZ24" i="11"/>
  <c r="BA24" i="11"/>
  <c r="BB24" i="11"/>
  <c r="BC24" i="11"/>
  <c r="BD24" i="11"/>
  <c r="BE24" i="11"/>
  <c r="BF24" i="11"/>
  <c r="BG24" i="11"/>
  <c r="BH24" i="11"/>
  <c r="BI24" i="11"/>
  <c r="BJ24" i="11"/>
  <c r="BK24" i="11"/>
  <c r="BL24" i="11"/>
  <c r="BM24" i="11"/>
  <c r="BN24" i="11"/>
  <c r="BO24" i="11"/>
  <c r="BP24" i="11"/>
  <c r="BQ24" i="11"/>
  <c r="BR24" i="11"/>
  <c r="BS24" i="11"/>
  <c r="BT24" i="11"/>
  <c r="BU24" i="11"/>
  <c r="BV24" i="11"/>
  <c r="BW24" i="11"/>
  <c r="BX24" i="11"/>
  <c r="BY24" i="11"/>
  <c r="BZ24" i="11"/>
  <c r="CA24" i="11"/>
  <c r="CB24" i="11"/>
  <c r="CC24" i="11"/>
  <c r="CD24" i="11"/>
  <c r="CE24" i="11"/>
  <c r="CF24" i="11"/>
  <c r="CG24" i="11"/>
  <c r="CH24" i="11"/>
  <c r="CI24" i="11"/>
  <c r="CJ24" i="11"/>
  <c r="CK24" i="11"/>
  <c r="CL24" i="11"/>
  <c r="CM24" i="11"/>
  <c r="CN24" i="11"/>
  <c r="CO24" i="11"/>
  <c r="CP24" i="11"/>
  <c r="CQ24" i="11"/>
  <c r="CR24" i="11"/>
  <c r="CS24" i="11"/>
  <c r="CT24" i="11"/>
  <c r="CU24" i="11"/>
  <c r="CV24" i="11"/>
  <c r="CW24" i="11"/>
  <c r="CX24" i="11"/>
  <c r="CY24" i="11"/>
  <c r="CZ24" i="11"/>
  <c r="DA24" i="11"/>
  <c r="DB24" i="11"/>
  <c r="DC24" i="11"/>
  <c r="DD24" i="11"/>
  <c r="DE24" i="11"/>
  <c r="DF24" i="11"/>
  <c r="DG24" i="11"/>
  <c r="DH24" i="11"/>
  <c r="DI24" i="11"/>
  <c r="DJ24" i="11"/>
  <c r="S25" i="11"/>
  <c r="T25" i="11"/>
  <c r="U25" i="11"/>
  <c r="V25" i="11"/>
  <c r="W25" i="11"/>
  <c r="X25" i="11"/>
  <c r="Y25" i="11"/>
  <c r="Z25" i="11"/>
  <c r="AA25" i="11"/>
  <c r="AB25" i="11"/>
  <c r="AC25" i="11"/>
  <c r="AD25" i="11"/>
  <c r="AE25" i="11"/>
  <c r="AF25" i="11"/>
  <c r="AG25" i="11"/>
  <c r="AH25" i="11"/>
  <c r="AI25" i="11"/>
  <c r="AJ25" i="11"/>
  <c r="AK25" i="11"/>
  <c r="AL25" i="11"/>
  <c r="AM25" i="11"/>
  <c r="AN25" i="11"/>
  <c r="AO25" i="11"/>
  <c r="AP25" i="11"/>
  <c r="AQ25" i="11"/>
  <c r="AR25" i="11"/>
  <c r="AS25" i="11"/>
  <c r="AT25" i="11"/>
  <c r="AU25" i="11"/>
  <c r="AV25" i="11"/>
  <c r="AW25" i="11"/>
  <c r="AX25" i="11"/>
  <c r="AY25" i="11"/>
  <c r="AZ25" i="11"/>
  <c r="BA25" i="11"/>
  <c r="BB25" i="11"/>
  <c r="BC25" i="11"/>
  <c r="BD25" i="11"/>
  <c r="BE25" i="11"/>
  <c r="BF25" i="11"/>
  <c r="BG25" i="11"/>
  <c r="BH25" i="11"/>
  <c r="BI25" i="11"/>
  <c r="BJ25" i="11"/>
  <c r="BK25" i="11"/>
  <c r="BL25" i="11"/>
  <c r="BM25" i="11"/>
  <c r="BN25" i="11"/>
  <c r="BO25" i="11"/>
  <c r="BP25" i="11"/>
  <c r="BQ25" i="11"/>
  <c r="BR25" i="11"/>
  <c r="BS25" i="11"/>
  <c r="BT25" i="11"/>
  <c r="BU25" i="11"/>
  <c r="BV25" i="11"/>
  <c r="BW25" i="11"/>
  <c r="BX25" i="11"/>
  <c r="BY25" i="11"/>
  <c r="BZ25" i="11"/>
  <c r="CA25" i="11"/>
  <c r="CB25" i="11"/>
  <c r="CC25" i="11"/>
  <c r="CD25" i="11"/>
  <c r="CE25" i="11"/>
  <c r="CF25" i="11"/>
  <c r="CG25" i="11"/>
  <c r="CH25" i="11"/>
  <c r="CI25" i="11"/>
  <c r="CJ25" i="11"/>
  <c r="CK25" i="11"/>
  <c r="CL25" i="11"/>
  <c r="CM25" i="11"/>
  <c r="CN25" i="11"/>
  <c r="CO25" i="11"/>
  <c r="CP25" i="11"/>
  <c r="CQ25" i="11"/>
  <c r="CR25" i="11"/>
  <c r="CS25" i="11"/>
  <c r="CT25" i="11"/>
  <c r="CU25" i="11"/>
  <c r="CV25" i="11"/>
  <c r="CW25" i="11"/>
  <c r="CX25" i="11"/>
  <c r="CY25" i="11"/>
  <c r="CZ25" i="11"/>
  <c r="DA25" i="11"/>
  <c r="DB25" i="11"/>
  <c r="DC25" i="11"/>
  <c r="DD25" i="11"/>
  <c r="DE25" i="11"/>
  <c r="DF25" i="11"/>
  <c r="DG25" i="11"/>
  <c r="DH25" i="11"/>
  <c r="DI25" i="11"/>
  <c r="DJ25" i="11"/>
  <c r="S26" i="11"/>
  <c r="T26" i="11"/>
  <c r="U26" i="11"/>
  <c r="V26" i="11"/>
  <c r="W26" i="11"/>
  <c r="X26" i="11"/>
  <c r="Y26" i="11"/>
  <c r="Z26" i="11"/>
  <c r="AA26" i="11"/>
  <c r="AB26" i="11"/>
  <c r="AC26" i="11"/>
  <c r="AD26" i="11"/>
  <c r="AE26" i="11"/>
  <c r="AF26" i="11"/>
  <c r="AG26" i="11"/>
  <c r="AH26" i="11"/>
  <c r="AI26" i="11"/>
  <c r="AJ26" i="11"/>
  <c r="AK26" i="11"/>
  <c r="AL26" i="11"/>
  <c r="AM26" i="11"/>
  <c r="AN26" i="11"/>
  <c r="AO26" i="11"/>
  <c r="AP26" i="11"/>
  <c r="AQ26" i="11"/>
  <c r="AR26" i="11"/>
  <c r="AS26" i="11"/>
  <c r="AT26" i="11"/>
  <c r="AU26" i="11"/>
  <c r="AV26" i="11"/>
  <c r="AW26" i="11"/>
  <c r="AX26" i="11"/>
  <c r="AY26" i="11"/>
  <c r="AZ26" i="11"/>
  <c r="BA26" i="11"/>
  <c r="BB26" i="11"/>
  <c r="BC26" i="11"/>
  <c r="BD26" i="11"/>
  <c r="BE26" i="11"/>
  <c r="BF26" i="11"/>
  <c r="BG26" i="11"/>
  <c r="BH26" i="11"/>
  <c r="BI26" i="11"/>
  <c r="BJ26" i="11"/>
  <c r="BK26" i="11"/>
  <c r="BL26" i="11"/>
  <c r="BM26" i="11"/>
  <c r="BN26" i="11"/>
  <c r="BO26" i="11"/>
  <c r="BP26" i="11"/>
  <c r="BQ26" i="11"/>
  <c r="BR26" i="11"/>
  <c r="BS26" i="11"/>
  <c r="BT26" i="11"/>
  <c r="BU26" i="11"/>
  <c r="BV26" i="11"/>
  <c r="BW26" i="11"/>
  <c r="BX26" i="11"/>
  <c r="BY26" i="11"/>
  <c r="BZ26" i="11"/>
  <c r="CA26" i="11"/>
  <c r="CB26" i="11"/>
  <c r="CC26" i="11"/>
  <c r="CD26" i="11"/>
  <c r="CE26" i="11"/>
  <c r="CF26" i="11"/>
  <c r="CG26" i="11"/>
  <c r="CH26" i="11"/>
  <c r="CI26" i="11"/>
  <c r="CJ26" i="11"/>
  <c r="CK26" i="11"/>
  <c r="CL26" i="11"/>
  <c r="CM26" i="11"/>
  <c r="CN26" i="11"/>
  <c r="CO26" i="11"/>
  <c r="CP26" i="11"/>
  <c r="CQ26" i="11"/>
  <c r="CR26" i="11"/>
  <c r="CS26" i="11"/>
  <c r="CT26" i="11"/>
  <c r="CU26" i="11"/>
  <c r="CV26" i="11"/>
  <c r="CW26" i="11"/>
  <c r="CX26" i="11"/>
  <c r="CY26" i="11"/>
  <c r="CZ26" i="11"/>
  <c r="DA26" i="11"/>
  <c r="DB26" i="11"/>
  <c r="DC26" i="11"/>
  <c r="DD26" i="11"/>
  <c r="DE26" i="11"/>
  <c r="DF26" i="11"/>
  <c r="DG26" i="11"/>
  <c r="DH26" i="11"/>
  <c r="DI26" i="11"/>
  <c r="DJ26" i="11"/>
  <c r="S27" i="11"/>
  <c r="T27" i="11"/>
  <c r="U27" i="11"/>
  <c r="V27" i="11"/>
  <c r="W27" i="11"/>
  <c r="X27" i="11"/>
  <c r="Y27" i="11"/>
  <c r="Z27" i="11"/>
  <c r="AA27" i="11"/>
  <c r="AB27" i="11"/>
  <c r="AC27" i="11"/>
  <c r="AD27" i="11"/>
  <c r="AE27" i="11"/>
  <c r="AF27" i="11"/>
  <c r="AG27" i="11"/>
  <c r="AH27" i="11"/>
  <c r="AI27" i="11"/>
  <c r="AJ27" i="11"/>
  <c r="AK27" i="11"/>
  <c r="AL27" i="11"/>
  <c r="AM27" i="11"/>
  <c r="AN27" i="11"/>
  <c r="AO27" i="11"/>
  <c r="AP27" i="11"/>
  <c r="AQ27" i="11"/>
  <c r="AR27" i="11"/>
  <c r="AS27" i="11"/>
  <c r="AT27" i="11"/>
  <c r="AU27" i="11"/>
  <c r="AV27" i="11"/>
  <c r="AW27" i="11"/>
  <c r="AX27" i="11"/>
  <c r="AY27" i="11"/>
  <c r="AZ27" i="11"/>
  <c r="BA27" i="11"/>
  <c r="BB27" i="11"/>
  <c r="BC27" i="11"/>
  <c r="BD27" i="11"/>
  <c r="BE27" i="11"/>
  <c r="BF27" i="11"/>
  <c r="BG27" i="11"/>
  <c r="BH27" i="11"/>
  <c r="BI27" i="11"/>
  <c r="BJ27" i="11"/>
  <c r="BK27" i="11"/>
  <c r="BL27" i="11"/>
  <c r="BM27" i="11"/>
  <c r="BN27" i="11"/>
  <c r="BO27" i="11"/>
  <c r="BP27" i="11"/>
  <c r="BQ27" i="11"/>
  <c r="BR27" i="11"/>
  <c r="BS27" i="11"/>
  <c r="BT27" i="11"/>
  <c r="BU27" i="11"/>
  <c r="BV27" i="11"/>
  <c r="BW27" i="11"/>
  <c r="BX27" i="11"/>
  <c r="BY27" i="11"/>
  <c r="BZ27" i="11"/>
  <c r="CA27" i="11"/>
  <c r="CB27" i="11"/>
  <c r="CC27" i="11"/>
  <c r="CD27" i="11"/>
  <c r="CE27" i="11"/>
  <c r="CF27" i="11"/>
  <c r="CG27" i="11"/>
  <c r="CH27" i="11"/>
  <c r="CI27" i="11"/>
  <c r="CJ27" i="11"/>
  <c r="CK27" i="11"/>
  <c r="CL27" i="11"/>
  <c r="CM27" i="11"/>
  <c r="CN27" i="11"/>
  <c r="CO27" i="11"/>
  <c r="CP27" i="11"/>
  <c r="CQ27" i="11"/>
  <c r="CR27" i="11"/>
  <c r="CS27" i="11"/>
  <c r="CT27" i="11"/>
  <c r="CU27" i="11"/>
  <c r="CV27" i="11"/>
  <c r="CW27" i="11"/>
  <c r="CX27" i="11"/>
  <c r="CY27" i="11"/>
  <c r="CZ27" i="11"/>
  <c r="DA27" i="11"/>
  <c r="DB27" i="11"/>
  <c r="DC27" i="11"/>
  <c r="DD27" i="11"/>
  <c r="DE27" i="11"/>
  <c r="DF27" i="11"/>
  <c r="DG27" i="11"/>
  <c r="DH27" i="11"/>
  <c r="DI27" i="11"/>
  <c r="DJ27" i="11"/>
  <c r="S28" i="11"/>
  <c r="T28" i="11"/>
  <c r="U28" i="11"/>
  <c r="V28" i="11"/>
  <c r="W28" i="11"/>
  <c r="X28" i="11"/>
  <c r="Y28" i="11"/>
  <c r="Z28" i="11"/>
  <c r="AA28" i="11"/>
  <c r="AB28" i="11"/>
  <c r="AC28" i="11"/>
  <c r="AD28" i="11"/>
  <c r="AE28" i="11"/>
  <c r="AF28" i="11"/>
  <c r="AG28" i="11"/>
  <c r="AH28" i="11"/>
  <c r="AI28" i="11"/>
  <c r="AJ28" i="11"/>
  <c r="AK28" i="11"/>
  <c r="AL28" i="11"/>
  <c r="AM28" i="11"/>
  <c r="AN28" i="11"/>
  <c r="AO28" i="11"/>
  <c r="AP28" i="11"/>
  <c r="AQ28" i="11"/>
  <c r="AR28" i="11"/>
  <c r="AS28" i="11"/>
  <c r="AT28" i="11"/>
  <c r="AU28" i="11"/>
  <c r="AV28" i="11"/>
  <c r="AW28" i="11"/>
  <c r="AX28" i="11"/>
  <c r="AY28" i="11"/>
  <c r="AZ28" i="11"/>
  <c r="BA28" i="11"/>
  <c r="BB28" i="11"/>
  <c r="BC28" i="11"/>
  <c r="BD28" i="11"/>
  <c r="BE28" i="11"/>
  <c r="BF28" i="11"/>
  <c r="BG28" i="11"/>
  <c r="BH28" i="11"/>
  <c r="BI28" i="11"/>
  <c r="BJ28" i="11"/>
  <c r="BK28" i="11"/>
  <c r="BL28" i="11"/>
  <c r="BM28" i="11"/>
  <c r="BN28" i="11"/>
  <c r="BO28" i="11"/>
  <c r="BP28" i="11"/>
  <c r="BQ28" i="11"/>
  <c r="BR28" i="11"/>
  <c r="BS28" i="11"/>
  <c r="BT28" i="11"/>
  <c r="BU28" i="11"/>
  <c r="BV28" i="11"/>
  <c r="BW28" i="11"/>
  <c r="BX28" i="11"/>
  <c r="BY28" i="11"/>
  <c r="BZ28" i="11"/>
  <c r="CA28" i="11"/>
  <c r="CB28" i="11"/>
  <c r="CC28" i="11"/>
  <c r="CD28" i="11"/>
  <c r="CE28" i="11"/>
  <c r="CF28" i="11"/>
  <c r="CG28" i="11"/>
  <c r="CH28" i="11"/>
  <c r="CI28" i="11"/>
  <c r="CJ28" i="11"/>
  <c r="CK28" i="11"/>
  <c r="CL28" i="11"/>
  <c r="CM28" i="11"/>
  <c r="CN28" i="11"/>
  <c r="CO28" i="11"/>
  <c r="CP28" i="11"/>
  <c r="CQ28" i="11"/>
  <c r="CR28" i="11"/>
  <c r="CS28" i="11"/>
  <c r="CT28" i="11"/>
  <c r="CU28" i="11"/>
  <c r="CV28" i="11"/>
  <c r="CW28" i="11"/>
  <c r="CX28" i="11"/>
  <c r="CY28" i="11"/>
  <c r="CZ28" i="11"/>
  <c r="DA28" i="11"/>
  <c r="DB28" i="11"/>
  <c r="DC28" i="11"/>
  <c r="DD28" i="11"/>
  <c r="DE28" i="11"/>
  <c r="DF28" i="11"/>
  <c r="DG28" i="11"/>
  <c r="DH28" i="11"/>
  <c r="DI28" i="11"/>
  <c r="DJ28" i="11"/>
  <c r="S29" i="11"/>
  <c r="T29" i="11"/>
  <c r="U29" i="11"/>
  <c r="V29" i="11"/>
  <c r="W29" i="11"/>
  <c r="X29" i="11"/>
  <c r="Y29" i="11"/>
  <c r="Z29" i="11"/>
  <c r="AA29" i="11"/>
  <c r="AB29" i="11"/>
  <c r="AC29" i="11"/>
  <c r="AD29" i="11"/>
  <c r="AE29" i="11"/>
  <c r="AF29" i="11"/>
  <c r="AG29" i="11"/>
  <c r="AH29" i="11"/>
  <c r="AI29" i="11"/>
  <c r="AJ29" i="11"/>
  <c r="AK29" i="11"/>
  <c r="AL29" i="11"/>
  <c r="AM29" i="11"/>
  <c r="AN29" i="11"/>
  <c r="AO29" i="11"/>
  <c r="AP29" i="11"/>
  <c r="AQ29" i="11"/>
  <c r="AR29" i="11"/>
  <c r="AS29" i="11"/>
  <c r="AT29" i="11"/>
  <c r="AU29" i="11"/>
  <c r="AV29" i="11"/>
  <c r="AW29" i="11"/>
  <c r="AX29" i="11"/>
  <c r="AY29" i="11"/>
  <c r="AZ29" i="11"/>
  <c r="BA29" i="11"/>
  <c r="BB29" i="11"/>
  <c r="BC29" i="11"/>
  <c r="BD29" i="11"/>
  <c r="BE29" i="11"/>
  <c r="BF29" i="11"/>
  <c r="BG29" i="11"/>
  <c r="BH29" i="11"/>
  <c r="BI29" i="11"/>
  <c r="BJ29" i="11"/>
  <c r="BK29" i="11"/>
  <c r="BL29" i="11"/>
  <c r="BM29" i="11"/>
  <c r="BN29" i="11"/>
  <c r="BO29" i="11"/>
  <c r="BP29" i="11"/>
  <c r="BQ29" i="11"/>
  <c r="BR29" i="11"/>
  <c r="BS29" i="11"/>
  <c r="BT29" i="11"/>
  <c r="BU29" i="11"/>
  <c r="BV29" i="11"/>
  <c r="BW29" i="11"/>
  <c r="BX29" i="11"/>
  <c r="BY29" i="11"/>
  <c r="BZ29" i="11"/>
  <c r="CA29" i="11"/>
  <c r="CB29" i="11"/>
  <c r="CC29" i="11"/>
  <c r="CD29" i="11"/>
  <c r="CE29" i="11"/>
  <c r="CF29" i="11"/>
  <c r="CG29" i="11"/>
  <c r="CH29" i="11"/>
  <c r="CI29" i="11"/>
  <c r="CJ29" i="11"/>
  <c r="CK29" i="11"/>
  <c r="CL29" i="11"/>
  <c r="CM29" i="11"/>
  <c r="CN29" i="11"/>
  <c r="CO29" i="11"/>
  <c r="CP29" i="11"/>
  <c r="CQ29" i="11"/>
  <c r="CR29" i="11"/>
  <c r="CS29" i="11"/>
  <c r="CT29" i="11"/>
  <c r="CU29" i="11"/>
  <c r="CV29" i="11"/>
  <c r="CW29" i="11"/>
  <c r="CX29" i="11"/>
  <c r="CY29" i="11"/>
  <c r="CZ29" i="11"/>
  <c r="DA29" i="11"/>
  <c r="DB29" i="11"/>
  <c r="DC29" i="11"/>
  <c r="DD29" i="11"/>
  <c r="DE29" i="11"/>
  <c r="DF29" i="11"/>
  <c r="DG29" i="11"/>
  <c r="DH29" i="11"/>
  <c r="DI29" i="11"/>
  <c r="DJ29" i="11"/>
  <c r="S30" i="11"/>
  <c r="T30" i="11"/>
  <c r="U30" i="11"/>
  <c r="V30" i="11"/>
  <c r="W30" i="11"/>
  <c r="X30" i="11"/>
  <c r="Y30" i="11"/>
  <c r="Z30" i="11"/>
  <c r="AA30" i="11"/>
  <c r="AB30" i="11"/>
  <c r="AC30" i="11"/>
  <c r="AD30" i="11"/>
  <c r="AE30" i="11"/>
  <c r="AF30" i="11"/>
  <c r="AG30" i="11"/>
  <c r="AH30" i="11"/>
  <c r="AI30" i="11"/>
  <c r="AJ30" i="11"/>
  <c r="AK30" i="11"/>
  <c r="AL30" i="11"/>
  <c r="AM30" i="11"/>
  <c r="AN30" i="11"/>
  <c r="AO30" i="11"/>
  <c r="AP30" i="11"/>
  <c r="AQ30" i="11"/>
  <c r="AR30" i="11"/>
  <c r="AS30" i="11"/>
  <c r="AT30" i="11"/>
  <c r="AU30" i="11"/>
  <c r="AV30" i="11"/>
  <c r="AW30" i="11"/>
  <c r="AX30" i="11"/>
  <c r="AY30" i="11"/>
  <c r="AZ30" i="11"/>
  <c r="BA30" i="11"/>
  <c r="BB30" i="11"/>
  <c r="BC30" i="11"/>
  <c r="BD30" i="11"/>
  <c r="BE30" i="11"/>
  <c r="BF30" i="11"/>
  <c r="BG30" i="11"/>
  <c r="BH30" i="11"/>
  <c r="BI30" i="11"/>
  <c r="BJ30" i="11"/>
  <c r="BK30" i="11"/>
  <c r="BL30" i="11"/>
  <c r="BM30" i="11"/>
  <c r="BN30" i="11"/>
  <c r="BO30" i="11"/>
  <c r="BP30" i="11"/>
  <c r="BQ30" i="11"/>
  <c r="BR30" i="11"/>
  <c r="BS30" i="11"/>
  <c r="BT30" i="11"/>
  <c r="BU30" i="11"/>
  <c r="BV30" i="11"/>
  <c r="BW30" i="11"/>
  <c r="BX30" i="11"/>
  <c r="BY30" i="11"/>
  <c r="BZ30" i="11"/>
  <c r="CA30" i="11"/>
  <c r="CB30" i="11"/>
  <c r="CC30" i="11"/>
  <c r="CD30" i="11"/>
  <c r="CE30" i="11"/>
  <c r="CF30" i="11"/>
  <c r="CG30" i="11"/>
  <c r="CH30" i="11"/>
  <c r="CI30" i="11"/>
  <c r="CJ30" i="11"/>
  <c r="CK30" i="11"/>
  <c r="CL30" i="11"/>
  <c r="CM30" i="11"/>
  <c r="CN30" i="11"/>
  <c r="CO30" i="11"/>
  <c r="CP30" i="11"/>
  <c r="CQ30" i="11"/>
  <c r="CR30" i="11"/>
  <c r="CS30" i="11"/>
  <c r="CT30" i="11"/>
  <c r="CU30" i="11"/>
  <c r="CV30" i="11"/>
  <c r="CW30" i="11"/>
  <c r="CX30" i="11"/>
  <c r="CY30" i="11"/>
  <c r="CZ30" i="11"/>
  <c r="DA30" i="11"/>
  <c r="DB30" i="11"/>
  <c r="DC30" i="11"/>
  <c r="DD30" i="11"/>
  <c r="DE30" i="11"/>
  <c r="DF30" i="11"/>
  <c r="DG30" i="11"/>
  <c r="DH30" i="11"/>
  <c r="DI30" i="11"/>
  <c r="DJ30" i="11"/>
  <c r="S31" i="11"/>
  <c r="T31" i="11"/>
  <c r="U31" i="11"/>
  <c r="V31" i="11"/>
  <c r="W31" i="11"/>
  <c r="X31" i="11"/>
  <c r="Y31" i="11"/>
  <c r="Z31" i="11"/>
  <c r="AA31" i="11"/>
  <c r="AB31" i="11"/>
  <c r="AC31" i="11"/>
  <c r="AD31" i="11"/>
  <c r="AE31" i="11"/>
  <c r="AF31" i="11"/>
  <c r="AG31" i="11"/>
  <c r="AH31" i="11"/>
  <c r="AI31" i="11"/>
  <c r="AJ31" i="11"/>
  <c r="AK31" i="11"/>
  <c r="AL31" i="11"/>
  <c r="AM31" i="11"/>
  <c r="AN31" i="11"/>
  <c r="AO31" i="11"/>
  <c r="AP31" i="11"/>
  <c r="AQ31" i="11"/>
  <c r="AR31" i="11"/>
  <c r="AS31" i="11"/>
  <c r="AT31" i="11"/>
  <c r="AU31" i="11"/>
  <c r="AV31" i="11"/>
  <c r="AW31" i="11"/>
  <c r="AX31" i="11"/>
  <c r="AY31" i="11"/>
  <c r="AZ31" i="11"/>
  <c r="BA31" i="11"/>
  <c r="BB31" i="11"/>
  <c r="BC31" i="11"/>
  <c r="BD31" i="11"/>
  <c r="BE31" i="11"/>
  <c r="BF31" i="11"/>
  <c r="BG31" i="11"/>
  <c r="BH31" i="11"/>
  <c r="BI31" i="11"/>
  <c r="BJ31" i="11"/>
  <c r="BK31" i="11"/>
  <c r="BL31" i="11"/>
  <c r="BM31" i="11"/>
  <c r="BN31" i="11"/>
  <c r="BO31" i="11"/>
  <c r="BP31" i="11"/>
  <c r="BQ31" i="11"/>
  <c r="BR31" i="11"/>
  <c r="BS31" i="11"/>
  <c r="BT31" i="11"/>
  <c r="BU31" i="11"/>
  <c r="BV31" i="11"/>
  <c r="BW31" i="11"/>
  <c r="BX31" i="11"/>
  <c r="BY31" i="11"/>
  <c r="BZ31" i="11"/>
  <c r="CA31" i="11"/>
  <c r="CB31" i="11"/>
  <c r="CC31" i="11"/>
  <c r="CD31" i="11"/>
  <c r="CE31" i="11"/>
  <c r="CF31" i="11"/>
  <c r="CG31" i="11"/>
  <c r="CH31" i="11"/>
  <c r="CI31" i="11"/>
  <c r="CJ31" i="11"/>
  <c r="CK31" i="11"/>
  <c r="CL31" i="11"/>
  <c r="CM31" i="11"/>
  <c r="CN31" i="11"/>
  <c r="CO31" i="11"/>
  <c r="CP31" i="11"/>
  <c r="CQ31" i="11"/>
  <c r="CR31" i="11"/>
  <c r="CS31" i="11"/>
  <c r="CT31" i="11"/>
  <c r="CU31" i="11"/>
  <c r="CV31" i="11"/>
  <c r="CW31" i="11"/>
  <c r="CX31" i="11"/>
  <c r="CY31" i="11"/>
  <c r="CZ31" i="11"/>
  <c r="DA31" i="11"/>
  <c r="DB31" i="11"/>
  <c r="DC31" i="11"/>
  <c r="DD31" i="11"/>
  <c r="DE31" i="11"/>
  <c r="DF31" i="11"/>
  <c r="DG31" i="11"/>
  <c r="DH31" i="11"/>
  <c r="DI31" i="11"/>
  <c r="DJ31" i="11"/>
  <c r="S32" i="11"/>
  <c r="T32" i="11"/>
  <c r="U32" i="11"/>
  <c r="V32" i="11"/>
  <c r="W32" i="11"/>
  <c r="X32" i="11"/>
  <c r="Y32" i="11"/>
  <c r="Z32" i="11"/>
  <c r="AA32" i="11"/>
  <c r="AB32" i="11"/>
  <c r="AC32" i="11"/>
  <c r="AD32" i="11"/>
  <c r="AE32" i="11"/>
  <c r="AF32" i="11"/>
  <c r="AG32" i="11"/>
  <c r="AH32" i="11"/>
  <c r="AI32" i="11"/>
  <c r="AJ32" i="11"/>
  <c r="AK32" i="11"/>
  <c r="AL32" i="11"/>
  <c r="AM32" i="11"/>
  <c r="AN32" i="11"/>
  <c r="AO32" i="11"/>
  <c r="AP32" i="11"/>
  <c r="AQ32" i="11"/>
  <c r="AR32" i="11"/>
  <c r="AS32" i="11"/>
  <c r="AT32" i="11"/>
  <c r="AU32" i="11"/>
  <c r="AV32" i="11"/>
  <c r="AW32" i="11"/>
  <c r="AX32" i="11"/>
  <c r="AY32" i="11"/>
  <c r="AZ32" i="11"/>
  <c r="BA32" i="11"/>
  <c r="BB32" i="11"/>
  <c r="BC32" i="11"/>
  <c r="BD32" i="11"/>
  <c r="BE32" i="11"/>
  <c r="BF32" i="11"/>
  <c r="BG32" i="11"/>
  <c r="BH32" i="11"/>
  <c r="BI32" i="11"/>
  <c r="BJ32" i="11"/>
  <c r="BK32" i="11"/>
  <c r="BL32" i="11"/>
  <c r="BM32" i="11"/>
  <c r="BN32" i="11"/>
  <c r="BO32" i="11"/>
  <c r="BP32" i="11"/>
  <c r="BQ32" i="11"/>
  <c r="BR32" i="11"/>
  <c r="BS32" i="11"/>
  <c r="BT32" i="11"/>
  <c r="BU32" i="11"/>
  <c r="BV32" i="11"/>
  <c r="BW32" i="11"/>
  <c r="BX32" i="11"/>
  <c r="BY32" i="11"/>
  <c r="BZ32" i="11"/>
  <c r="CA32" i="11"/>
  <c r="CB32" i="11"/>
  <c r="CC32" i="11"/>
  <c r="CD32" i="11"/>
  <c r="CE32" i="11"/>
  <c r="CF32" i="11"/>
  <c r="CG32" i="11"/>
  <c r="CH32" i="11"/>
  <c r="CI32" i="11"/>
  <c r="CJ32" i="11"/>
  <c r="CK32" i="11"/>
  <c r="CL32" i="11"/>
  <c r="CM32" i="11"/>
  <c r="CN32" i="11"/>
  <c r="CO32" i="11"/>
  <c r="CP32" i="11"/>
  <c r="CQ32" i="11"/>
  <c r="CR32" i="11"/>
  <c r="CS32" i="11"/>
  <c r="CT32" i="11"/>
  <c r="CU32" i="11"/>
  <c r="CV32" i="11"/>
  <c r="CW32" i="11"/>
  <c r="CX32" i="11"/>
  <c r="CY32" i="11"/>
  <c r="CZ32" i="11"/>
  <c r="DA32" i="11"/>
  <c r="DB32" i="11"/>
  <c r="DC32" i="11"/>
  <c r="DD32" i="11"/>
  <c r="DE32" i="11"/>
  <c r="DF32" i="11"/>
  <c r="DG32" i="11"/>
  <c r="DH32" i="11"/>
  <c r="DI32" i="11"/>
  <c r="DJ32" i="11"/>
  <c r="G5" i="11"/>
  <c r="H5" i="11"/>
  <c r="I5" i="11"/>
  <c r="J5" i="11"/>
  <c r="K5" i="11"/>
  <c r="L5" i="11"/>
  <c r="M5" i="11"/>
  <c r="N5" i="11"/>
  <c r="O5" i="11"/>
  <c r="P5" i="11"/>
  <c r="Q5" i="11"/>
  <c r="R5" i="11"/>
  <c r="G6" i="11"/>
  <c r="H6" i="11"/>
  <c r="I6" i="11"/>
  <c r="J6" i="11"/>
  <c r="K6" i="11"/>
  <c r="L6" i="11"/>
  <c r="M6" i="11"/>
  <c r="N6" i="11"/>
  <c r="O6" i="11"/>
  <c r="P6" i="11"/>
  <c r="Q6" i="11"/>
  <c r="R6" i="11"/>
  <c r="G7" i="11"/>
  <c r="H7" i="11"/>
  <c r="I7" i="11"/>
  <c r="J7" i="11"/>
  <c r="K7" i="11"/>
  <c r="L7" i="11"/>
  <c r="M7" i="11"/>
  <c r="N7" i="11"/>
  <c r="O7" i="11"/>
  <c r="P7" i="11"/>
  <c r="Q7" i="11"/>
  <c r="R7" i="11"/>
  <c r="G8" i="11"/>
  <c r="H8" i="11"/>
  <c r="I8" i="11"/>
  <c r="J8" i="11"/>
  <c r="K8" i="11"/>
  <c r="L8" i="11"/>
  <c r="M8" i="11"/>
  <c r="N8" i="11"/>
  <c r="O8" i="11"/>
  <c r="P8" i="11"/>
  <c r="Q8" i="11"/>
  <c r="R8" i="11"/>
  <c r="G9" i="11"/>
  <c r="H9" i="11"/>
  <c r="I9" i="11"/>
  <c r="J9" i="11"/>
  <c r="K9" i="11"/>
  <c r="L9" i="11"/>
  <c r="M9" i="11"/>
  <c r="N9" i="11"/>
  <c r="O9" i="11"/>
  <c r="P9" i="11"/>
  <c r="Q9" i="11"/>
  <c r="R9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G11" i="11"/>
  <c r="H11" i="11"/>
  <c r="I11" i="11"/>
  <c r="J11" i="11"/>
  <c r="K11" i="11"/>
  <c r="L11" i="11"/>
  <c r="M11" i="11"/>
  <c r="N11" i="11"/>
  <c r="O11" i="11"/>
  <c r="P11" i="11"/>
  <c r="Q11" i="11"/>
  <c r="R11" i="11"/>
  <c r="G12" i="11"/>
  <c r="H12" i="11"/>
  <c r="I12" i="11"/>
  <c r="J12" i="11"/>
  <c r="K12" i="11"/>
  <c r="L12" i="11"/>
  <c r="M12" i="11"/>
  <c r="N12" i="11"/>
  <c r="O12" i="11"/>
  <c r="P12" i="11"/>
  <c r="Q12" i="11"/>
  <c r="R12" i="11"/>
  <c r="G13" i="11"/>
  <c r="H13" i="11"/>
  <c r="I13" i="11"/>
  <c r="J13" i="11"/>
  <c r="K13" i="11"/>
  <c r="L13" i="11"/>
  <c r="M13" i="11"/>
  <c r="N13" i="11"/>
  <c r="O13" i="11"/>
  <c r="P13" i="11"/>
  <c r="Q13" i="11"/>
  <c r="R13" i="11"/>
  <c r="G14" i="11"/>
  <c r="H14" i="11"/>
  <c r="I14" i="11"/>
  <c r="J14" i="11"/>
  <c r="K14" i="11"/>
  <c r="L14" i="11"/>
  <c r="M14" i="11"/>
  <c r="N14" i="11"/>
  <c r="O14" i="11"/>
  <c r="P14" i="11"/>
  <c r="Q14" i="11"/>
  <c r="R14" i="11"/>
  <c r="G15" i="11"/>
  <c r="H15" i="11"/>
  <c r="I15" i="11"/>
  <c r="J15" i="11"/>
  <c r="K15" i="11"/>
  <c r="L15" i="11"/>
  <c r="M15" i="11"/>
  <c r="N15" i="11"/>
  <c r="O15" i="11"/>
  <c r="P15" i="11"/>
  <c r="Q15" i="11"/>
  <c r="R15" i="11"/>
  <c r="G16" i="11"/>
  <c r="H16" i="11"/>
  <c r="I16" i="11"/>
  <c r="J16" i="11"/>
  <c r="K16" i="11"/>
  <c r="L16" i="11"/>
  <c r="M16" i="11"/>
  <c r="N16" i="11"/>
  <c r="O16" i="11"/>
  <c r="P16" i="11"/>
  <c r="Q16" i="11"/>
  <c r="R16" i="11"/>
  <c r="G17" i="11"/>
  <c r="H17" i="11"/>
  <c r="I17" i="11"/>
  <c r="J17" i="11"/>
  <c r="K17" i="11"/>
  <c r="L17" i="11"/>
  <c r="M17" i="11"/>
  <c r="N17" i="11"/>
  <c r="O17" i="11"/>
  <c r="P17" i="11"/>
  <c r="Q17" i="11"/>
  <c r="R17" i="11"/>
  <c r="G18" i="11"/>
  <c r="H18" i="11"/>
  <c r="I18" i="11"/>
  <c r="J18" i="11"/>
  <c r="K18" i="11"/>
  <c r="L18" i="11"/>
  <c r="M18" i="11"/>
  <c r="N18" i="11"/>
  <c r="O18" i="11"/>
  <c r="P18" i="11"/>
  <c r="Q18" i="11"/>
  <c r="R18" i="11"/>
  <c r="G19" i="11"/>
  <c r="H19" i="11"/>
  <c r="I19" i="11"/>
  <c r="J19" i="11"/>
  <c r="K19" i="11"/>
  <c r="L19" i="11"/>
  <c r="M19" i="11"/>
  <c r="N19" i="11"/>
  <c r="O19" i="11"/>
  <c r="P19" i="11"/>
  <c r="Q19" i="11"/>
  <c r="R19" i="11"/>
  <c r="G20" i="11"/>
  <c r="H20" i="11"/>
  <c r="I20" i="11"/>
  <c r="J20" i="11"/>
  <c r="K20" i="11"/>
  <c r="L20" i="11"/>
  <c r="M20" i="11"/>
  <c r="N20" i="11"/>
  <c r="O20" i="11"/>
  <c r="P20" i="11"/>
  <c r="Q20" i="11"/>
  <c r="R20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G22" i="11"/>
  <c r="H22" i="11"/>
  <c r="I22" i="11"/>
  <c r="J22" i="11"/>
  <c r="K22" i="11"/>
  <c r="L22" i="11"/>
  <c r="M22" i="11"/>
  <c r="N22" i="11"/>
  <c r="O22" i="11"/>
  <c r="P22" i="11"/>
  <c r="Q22" i="11"/>
  <c r="R22" i="11"/>
  <c r="G23" i="11"/>
  <c r="H23" i="11"/>
  <c r="I23" i="11"/>
  <c r="J23" i="11"/>
  <c r="K23" i="11"/>
  <c r="L23" i="11"/>
  <c r="M23" i="11"/>
  <c r="N23" i="11"/>
  <c r="O23" i="11"/>
  <c r="P23" i="11"/>
  <c r="Q23" i="11"/>
  <c r="R23" i="11"/>
  <c r="G24" i="11"/>
  <c r="H24" i="11"/>
  <c r="I24" i="11"/>
  <c r="J24" i="11"/>
  <c r="K24" i="11"/>
  <c r="L24" i="11"/>
  <c r="M24" i="11"/>
  <c r="N24" i="11"/>
  <c r="O24" i="11"/>
  <c r="P24" i="11"/>
  <c r="Q24" i="11"/>
  <c r="R24" i="11"/>
  <c r="G25" i="11"/>
  <c r="H25" i="11"/>
  <c r="I25" i="11"/>
  <c r="J25" i="11"/>
  <c r="K25" i="11"/>
  <c r="L25" i="11"/>
  <c r="M25" i="11"/>
  <c r="N25" i="11"/>
  <c r="O25" i="11"/>
  <c r="P25" i="11"/>
  <c r="Q25" i="11"/>
  <c r="R25" i="11"/>
  <c r="G26" i="11"/>
  <c r="H26" i="11"/>
  <c r="I26" i="11"/>
  <c r="J26" i="11"/>
  <c r="K26" i="11"/>
  <c r="L26" i="11"/>
  <c r="M26" i="11"/>
  <c r="N26" i="11"/>
  <c r="O26" i="11"/>
  <c r="P26" i="11"/>
  <c r="Q26" i="11"/>
  <c r="R26" i="11"/>
  <c r="G27" i="11"/>
  <c r="H27" i="11"/>
  <c r="I27" i="11"/>
  <c r="J27" i="11"/>
  <c r="K27" i="11"/>
  <c r="L27" i="11"/>
  <c r="M27" i="11"/>
  <c r="N27" i="11"/>
  <c r="O27" i="11"/>
  <c r="P27" i="11"/>
  <c r="Q27" i="11"/>
  <c r="R27" i="11"/>
  <c r="G28" i="11"/>
  <c r="H28" i="11"/>
  <c r="I28" i="11"/>
  <c r="J28" i="11"/>
  <c r="K28" i="11"/>
  <c r="L28" i="11"/>
  <c r="M28" i="11"/>
  <c r="N28" i="11"/>
  <c r="O28" i="11"/>
  <c r="P28" i="11"/>
  <c r="Q28" i="11"/>
  <c r="R28" i="11"/>
  <c r="G29" i="11"/>
  <c r="H29" i="11"/>
  <c r="I29" i="11"/>
  <c r="J29" i="11"/>
  <c r="K29" i="11"/>
  <c r="L29" i="11"/>
  <c r="M29" i="11"/>
  <c r="N29" i="11"/>
  <c r="O29" i="11"/>
  <c r="P29" i="11"/>
  <c r="Q29" i="11"/>
  <c r="R29" i="11"/>
  <c r="G30" i="11"/>
  <c r="H30" i="11"/>
  <c r="I30" i="11"/>
  <c r="J30" i="11"/>
  <c r="K30" i="11"/>
  <c r="L30" i="11"/>
  <c r="M30" i="11"/>
  <c r="N30" i="11"/>
  <c r="O30" i="11"/>
  <c r="P30" i="11"/>
  <c r="Q30" i="11"/>
  <c r="R30" i="11"/>
  <c r="G31" i="11"/>
  <c r="H31" i="11"/>
  <c r="I31" i="11"/>
  <c r="J31" i="11"/>
  <c r="K31" i="11"/>
  <c r="L31" i="11"/>
  <c r="M31" i="11"/>
  <c r="N31" i="11"/>
  <c r="O31" i="11"/>
  <c r="P31" i="11"/>
  <c r="Q31" i="11"/>
  <c r="R31" i="11"/>
  <c r="G32" i="11"/>
  <c r="H32" i="11"/>
  <c r="I32" i="11"/>
  <c r="J32" i="11"/>
  <c r="K32" i="11"/>
  <c r="L32" i="11"/>
  <c r="M32" i="11"/>
  <c r="N32" i="11"/>
  <c r="O32" i="11"/>
  <c r="P32" i="11"/>
  <c r="Q32" i="11"/>
  <c r="R32" i="11"/>
  <c r="H4" i="11"/>
  <c r="I4" i="11"/>
  <c r="J4" i="11"/>
  <c r="K4" i="11"/>
  <c r="L4" i="11"/>
  <c r="M4" i="11"/>
  <c r="N4" i="11"/>
  <c r="O4" i="11"/>
  <c r="P4" i="11"/>
  <c r="Q4" i="11"/>
  <c r="R4" i="11"/>
  <c r="G4" i="11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T5" i="6"/>
  <c r="U5" i="6"/>
  <c r="V5" i="6"/>
  <c r="W5" i="6"/>
  <c r="X5" i="6"/>
  <c r="Y5" i="6"/>
  <c r="Z5" i="6"/>
  <c r="AA5" i="6"/>
  <c r="AB5" i="6"/>
  <c r="AC5" i="6"/>
  <c r="AD5" i="6"/>
  <c r="AE5" i="6"/>
  <c r="AF5" i="6"/>
  <c r="AG5" i="6"/>
  <c r="AH5" i="6"/>
  <c r="AI5" i="6"/>
  <c r="AJ5" i="6"/>
  <c r="AK5" i="6"/>
  <c r="AL5" i="6"/>
  <c r="AM5" i="6"/>
  <c r="AN5" i="6"/>
  <c r="AO5" i="6"/>
  <c r="AP5" i="6"/>
  <c r="AQ5" i="6"/>
  <c r="AR5" i="6"/>
  <c r="AS5" i="6"/>
  <c r="AT5" i="6"/>
  <c r="AU5" i="6"/>
  <c r="AV5" i="6"/>
  <c r="AW5" i="6"/>
  <c r="AX5" i="6"/>
  <c r="AY5" i="6"/>
  <c r="AZ5" i="6"/>
  <c r="BA5" i="6"/>
  <c r="BB5" i="6"/>
  <c r="BC5" i="6"/>
  <c r="BD5" i="6"/>
  <c r="BE5" i="6"/>
  <c r="BF5" i="6"/>
  <c r="BG5" i="6"/>
  <c r="BH5" i="6"/>
  <c r="BI5" i="6"/>
  <c r="BJ5" i="6"/>
  <c r="BK5" i="6"/>
  <c r="BL5" i="6"/>
  <c r="BM5" i="6"/>
  <c r="BN5" i="6"/>
  <c r="BO5" i="6"/>
  <c r="BP5" i="6"/>
  <c r="BQ5" i="6"/>
  <c r="BR5" i="6"/>
  <c r="BS5" i="6"/>
  <c r="BT5" i="6"/>
  <c r="BU5" i="6"/>
  <c r="BV5" i="6"/>
  <c r="BW5" i="6"/>
  <c r="BX5" i="6"/>
  <c r="BY5" i="6"/>
  <c r="BZ5" i="6"/>
  <c r="CA5" i="6"/>
  <c r="CB5" i="6"/>
  <c r="CC5" i="6"/>
  <c r="CD5" i="6"/>
  <c r="CE5" i="6"/>
  <c r="CF5" i="6"/>
  <c r="CG5" i="6"/>
  <c r="CH5" i="6"/>
  <c r="CI5" i="6"/>
  <c r="CJ5" i="6"/>
  <c r="CK5" i="6"/>
  <c r="CL5" i="6"/>
  <c r="CM5" i="6"/>
  <c r="CN5" i="6"/>
  <c r="CO5" i="6"/>
  <c r="CP5" i="6"/>
  <c r="CQ5" i="6"/>
  <c r="CR5" i="6"/>
  <c r="CS5" i="6"/>
  <c r="CT5" i="6"/>
  <c r="CU5" i="6"/>
  <c r="CV5" i="6"/>
  <c r="CW5" i="6"/>
  <c r="CX5" i="6"/>
  <c r="CY5" i="6"/>
  <c r="CZ5" i="6"/>
  <c r="DA5" i="6"/>
  <c r="DB5" i="6"/>
  <c r="DC5" i="6"/>
  <c r="DD5" i="6"/>
  <c r="DE5" i="6"/>
  <c r="DF5" i="6"/>
  <c r="DG5" i="6"/>
  <c r="DH5" i="6"/>
  <c r="DI5" i="6"/>
  <c r="DJ5" i="6"/>
  <c r="DK5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T6" i="6"/>
  <c r="AU6" i="6"/>
  <c r="AV6" i="6"/>
  <c r="AW6" i="6"/>
  <c r="AX6" i="6"/>
  <c r="AY6" i="6"/>
  <c r="AZ6" i="6"/>
  <c r="BA6" i="6"/>
  <c r="BB6" i="6"/>
  <c r="BC6" i="6"/>
  <c r="BD6" i="6"/>
  <c r="BE6" i="6"/>
  <c r="BF6" i="6"/>
  <c r="BG6" i="6"/>
  <c r="BH6" i="6"/>
  <c r="BI6" i="6"/>
  <c r="BJ6" i="6"/>
  <c r="BK6" i="6"/>
  <c r="BL6" i="6"/>
  <c r="BM6" i="6"/>
  <c r="BN6" i="6"/>
  <c r="BO6" i="6"/>
  <c r="BP6" i="6"/>
  <c r="BQ6" i="6"/>
  <c r="BR6" i="6"/>
  <c r="BS6" i="6"/>
  <c r="BT6" i="6"/>
  <c r="BU6" i="6"/>
  <c r="BV6" i="6"/>
  <c r="BW6" i="6"/>
  <c r="BX6" i="6"/>
  <c r="BY6" i="6"/>
  <c r="BZ6" i="6"/>
  <c r="CA6" i="6"/>
  <c r="CB6" i="6"/>
  <c r="CC6" i="6"/>
  <c r="CD6" i="6"/>
  <c r="CE6" i="6"/>
  <c r="CF6" i="6"/>
  <c r="CG6" i="6"/>
  <c r="CH6" i="6"/>
  <c r="CI6" i="6"/>
  <c r="CJ6" i="6"/>
  <c r="CK6" i="6"/>
  <c r="CL6" i="6"/>
  <c r="CM6" i="6"/>
  <c r="CN6" i="6"/>
  <c r="CO6" i="6"/>
  <c r="CP6" i="6"/>
  <c r="CQ6" i="6"/>
  <c r="CR6" i="6"/>
  <c r="CS6" i="6"/>
  <c r="CT6" i="6"/>
  <c r="CU6" i="6"/>
  <c r="CV6" i="6"/>
  <c r="CW6" i="6"/>
  <c r="CX6" i="6"/>
  <c r="CY6" i="6"/>
  <c r="CZ6" i="6"/>
  <c r="DA6" i="6"/>
  <c r="DB6" i="6"/>
  <c r="DC6" i="6"/>
  <c r="DD6" i="6"/>
  <c r="DE6" i="6"/>
  <c r="DF6" i="6"/>
  <c r="DG6" i="6"/>
  <c r="DH6" i="6"/>
  <c r="DI6" i="6"/>
  <c r="DJ6" i="6"/>
  <c r="DK6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J7" i="6"/>
  <c r="BK7" i="6"/>
  <c r="BL7" i="6"/>
  <c r="BM7" i="6"/>
  <c r="BN7" i="6"/>
  <c r="BO7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K8" i="6"/>
  <c r="BL8" i="6"/>
  <c r="BM8" i="6"/>
  <c r="BN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BK9" i="6"/>
  <c r="BL9" i="6"/>
  <c r="BM9" i="6"/>
  <c r="BN9" i="6"/>
  <c r="BO9" i="6"/>
  <c r="BP9" i="6"/>
  <c r="BQ9" i="6"/>
  <c r="BR9" i="6"/>
  <c r="BS9" i="6"/>
  <c r="BT9" i="6"/>
  <c r="BU9" i="6"/>
  <c r="BV9" i="6"/>
  <c r="BW9" i="6"/>
  <c r="BX9" i="6"/>
  <c r="BY9" i="6"/>
  <c r="BZ9" i="6"/>
  <c r="CA9" i="6"/>
  <c r="CB9" i="6"/>
  <c r="CC9" i="6"/>
  <c r="CD9" i="6"/>
  <c r="CE9" i="6"/>
  <c r="CF9" i="6"/>
  <c r="CG9" i="6"/>
  <c r="CH9" i="6"/>
  <c r="CI9" i="6"/>
  <c r="CJ9" i="6"/>
  <c r="CK9" i="6"/>
  <c r="CL9" i="6"/>
  <c r="CM9" i="6"/>
  <c r="CN9" i="6"/>
  <c r="CO9" i="6"/>
  <c r="CP9" i="6"/>
  <c r="CQ9" i="6"/>
  <c r="CR9" i="6"/>
  <c r="CS9" i="6"/>
  <c r="CT9" i="6"/>
  <c r="CU9" i="6"/>
  <c r="CV9" i="6"/>
  <c r="CW9" i="6"/>
  <c r="CX9" i="6"/>
  <c r="CY9" i="6"/>
  <c r="CZ9" i="6"/>
  <c r="DA9" i="6"/>
  <c r="DB9" i="6"/>
  <c r="DC9" i="6"/>
  <c r="DD9" i="6"/>
  <c r="DE9" i="6"/>
  <c r="DF9" i="6"/>
  <c r="DG9" i="6"/>
  <c r="DH9" i="6"/>
  <c r="DI9" i="6"/>
  <c r="DJ9" i="6"/>
  <c r="DK9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BC10" i="6"/>
  <c r="BD10" i="6"/>
  <c r="BE10" i="6"/>
  <c r="BF10" i="6"/>
  <c r="BG10" i="6"/>
  <c r="BH10" i="6"/>
  <c r="BI10" i="6"/>
  <c r="BJ10" i="6"/>
  <c r="BK10" i="6"/>
  <c r="BL10" i="6"/>
  <c r="BM10" i="6"/>
  <c r="BN10" i="6"/>
  <c r="BO10" i="6"/>
  <c r="BP10" i="6"/>
  <c r="BQ10" i="6"/>
  <c r="BR10" i="6"/>
  <c r="BS10" i="6"/>
  <c r="BT10" i="6"/>
  <c r="BU10" i="6"/>
  <c r="BV10" i="6"/>
  <c r="BW10" i="6"/>
  <c r="BX10" i="6"/>
  <c r="BY10" i="6"/>
  <c r="BZ10" i="6"/>
  <c r="CA10" i="6"/>
  <c r="CB10" i="6"/>
  <c r="CC10" i="6"/>
  <c r="CD10" i="6"/>
  <c r="CE10" i="6"/>
  <c r="CF10" i="6"/>
  <c r="CG10" i="6"/>
  <c r="CH10" i="6"/>
  <c r="CI10" i="6"/>
  <c r="CJ10" i="6"/>
  <c r="CK10" i="6"/>
  <c r="CL10" i="6"/>
  <c r="CM10" i="6"/>
  <c r="CN10" i="6"/>
  <c r="CO10" i="6"/>
  <c r="CP10" i="6"/>
  <c r="CQ10" i="6"/>
  <c r="CR10" i="6"/>
  <c r="CS10" i="6"/>
  <c r="CT10" i="6"/>
  <c r="CU10" i="6"/>
  <c r="CV10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DI10" i="6"/>
  <c r="DJ10" i="6"/>
  <c r="DK10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AL11" i="6"/>
  <c r="AM11" i="6"/>
  <c r="AN11" i="6"/>
  <c r="AO11" i="6"/>
  <c r="AP11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BC11" i="6"/>
  <c r="BD11" i="6"/>
  <c r="BE11" i="6"/>
  <c r="BF11" i="6"/>
  <c r="BG11" i="6"/>
  <c r="BH11" i="6"/>
  <c r="BI11" i="6"/>
  <c r="BJ11" i="6"/>
  <c r="BK11" i="6"/>
  <c r="BL11" i="6"/>
  <c r="BM11" i="6"/>
  <c r="BN11" i="6"/>
  <c r="BO11" i="6"/>
  <c r="BP11" i="6"/>
  <c r="BQ11" i="6"/>
  <c r="BR11" i="6"/>
  <c r="BS11" i="6"/>
  <c r="BT11" i="6"/>
  <c r="BU11" i="6"/>
  <c r="BV11" i="6"/>
  <c r="BW11" i="6"/>
  <c r="BX11" i="6"/>
  <c r="BY11" i="6"/>
  <c r="BZ11" i="6"/>
  <c r="CA11" i="6"/>
  <c r="CB11" i="6"/>
  <c r="CC11" i="6"/>
  <c r="CD11" i="6"/>
  <c r="CE11" i="6"/>
  <c r="CF11" i="6"/>
  <c r="CG11" i="6"/>
  <c r="CH11" i="6"/>
  <c r="CI11" i="6"/>
  <c r="CJ11" i="6"/>
  <c r="CK11" i="6"/>
  <c r="CL11" i="6"/>
  <c r="CM11" i="6"/>
  <c r="CN11" i="6"/>
  <c r="CO11" i="6"/>
  <c r="CP11" i="6"/>
  <c r="CQ11" i="6"/>
  <c r="CR11" i="6"/>
  <c r="CS11" i="6"/>
  <c r="CT11" i="6"/>
  <c r="CU11" i="6"/>
  <c r="CV11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DI11" i="6"/>
  <c r="DJ11" i="6"/>
  <c r="DK11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AL12" i="6"/>
  <c r="AM12" i="6"/>
  <c r="AN12" i="6"/>
  <c r="AO12" i="6"/>
  <c r="AP12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BC12" i="6"/>
  <c r="BD12" i="6"/>
  <c r="BE12" i="6"/>
  <c r="BF12" i="6"/>
  <c r="BG12" i="6"/>
  <c r="BH12" i="6"/>
  <c r="BI12" i="6"/>
  <c r="BJ12" i="6"/>
  <c r="BK12" i="6"/>
  <c r="BL12" i="6"/>
  <c r="BM12" i="6"/>
  <c r="BN12" i="6"/>
  <c r="BO12" i="6"/>
  <c r="BP12" i="6"/>
  <c r="BQ12" i="6"/>
  <c r="BR12" i="6"/>
  <c r="BS12" i="6"/>
  <c r="BT12" i="6"/>
  <c r="BU12" i="6"/>
  <c r="BV12" i="6"/>
  <c r="BW12" i="6"/>
  <c r="BX12" i="6"/>
  <c r="BY12" i="6"/>
  <c r="BZ12" i="6"/>
  <c r="CA12" i="6"/>
  <c r="CB12" i="6"/>
  <c r="CC12" i="6"/>
  <c r="CD12" i="6"/>
  <c r="CE12" i="6"/>
  <c r="CF12" i="6"/>
  <c r="CG12" i="6"/>
  <c r="CH12" i="6"/>
  <c r="CI12" i="6"/>
  <c r="CJ12" i="6"/>
  <c r="CK12" i="6"/>
  <c r="CL12" i="6"/>
  <c r="CM12" i="6"/>
  <c r="CN12" i="6"/>
  <c r="CO12" i="6"/>
  <c r="CP12" i="6"/>
  <c r="CQ12" i="6"/>
  <c r="CR12" i="6"/>
  <c r="CS12" i="6"/>
  <c r="CT12" i="6"/>
  <c r="CU12" i="6"/>
  <c r="CV12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DI12" i="6"/>
  <c r="DJ12" i="6"/>
  <c r="DK12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AL13" i="6"/>
  <c r="AM13" i="6"/>
  <c r="AN13" i="6"/>
  <c r="AO13" i="6"/>
  <c r="AP13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BC13" i="6"/>
  <c r="BD13" i="6"/>
  <c r="BE13" i="6"/>
  <c r="BF13" i="6"/>
  <c r="BG13" i="6"/>
  <c r="BH13" i="6"/>
  <c r="BI13" i="6"/>
  <c r="BJ13" i="6"/>
  <c r="BK13" i="6"/>
  <c r="BL13" i="6"/>
  <c r="BM13" i="6"/>
  <c r="BN13" i="6"/>
  <c r="BO13" i="6"/>
  <c r="BP13" i="6"/>
  <c r="BQ13" i="6"/>
  <c r="BR13" i="6"/>
  <c r="BS13" i="6"/>
  <c r="BT13" i="6"/>
  <c r="BU13" i="6"/>
  <c r="BV13" i="6"/>
  <c r="BW13" i="6"/>
  <c r="BX13" i="6"/>
  <c r="BY13" i="6"/>
  <c r="BZ13" i="6"/>
  <c r="CA13" i="6"/>
  <c r="CB13" i="6"/>
  <c r="CC13" i="6"/>
  <c r="CD13" i="6"/>
  <c r="CE13" i="6"/>
  <c r="CF13" i="6"/>
  <c r="CG13" i="6"/>
  <c r="CH13" i="6"/>
  <c r="CI13" i="6"/>
  <c r="CJ13" i="6"/>
  <c r="CK13" i="6"/>
  <c r="CL13" i="6"/>
  <c r="CM13" i="6"/>
  <c r="CN13" i="6"/>
  <c r="CO13" i="6"/>
  <c r="CP13" i="6"/>
  <c r="CQ13" i="6"/>
  <c r="CR13" i="6"/>
  <c r="CS13" i="6"/>
  <c r="CT13" i="6"/>
  <c r="CU13" i="6"/>
  <c r="CV13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DI13" i="6"/>
  <c r="DJ13" i="6"/>
  <c r="DK13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BF14" i="6"/>
  <c r="BG14" i="6"/>
  <c r="BH14" i="6"/>
  <c r="BI14" i="6"/>
  <c r="BJ14" i="6"/>
  <c r="BK14" i="6"/>
  <c r="BL14" i="6"/>
  <c r="BM14" i="6"/>
  <c r="BN14" i="6"/>
  <c r="BO14" i="6"/>
  <c r="BP14" i="6"/>
  <c r="BQ14" i="6"/>
  <c r="BR14" i="6"/>
  <c r="BS14" i="6"/>
  <c r="BT14" i="6"/>
  <c r="BU14" i="6"/>
  <c r="BV14" i="6"/>
  <c r="BW14" i="6"/>
  <c r="BX14" i="6"/>
  <c r="BY14" i="6"/>
  <c r="BZ14" i="6"/>
  <c r="CA14" i="6"/>
  <c r="CB14" i="6"/>
  <c r="CC14" i="6"/>
  <c r="CD14" i="6"/>
  <c r="CE14" i="6"/>
  <c r="CF14" i="6"/>
  <c r="CG14" i="6"/>
  <c r="CH14" i="6"/>
  <c r="CI14" i="6"/>
  <c r="CJ14" i="6"/>
  <c r="CK14" i="6"/>
  <c r="CL14" i="6"/>
  <c r="CM14" i="6"/>
  <c r="CN14" i="6"/>
  <c r="CO14" i="6"/>
  <c r="CP14" i="6"/>
  <c r="CQ14" i="6"/>
  <c r="CR14" i="6"/>
  <c r="CS14" i="6"/>
  <c r="CT14" i="6"/>
  <c r="CU14" i="6"/>
  <c r="CV14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DI14" i="6"/>
  <c r="DJ14" i="6"/>
  <c r="DK14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AL15" i="6"/>
  <c r="AM15" i="6"/>
  <c r="AN15" i="6"/>
  <c r="AO15" i="6"/>
  <c r="AP15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BC15" i="6"/>
  <c r="BD15" i="6"/>
  <c r="BE15" i="6"/>
  <c r="BF15" i="6"/>
  <c r="BG15" i="6"/>
  <c r="BH15" i="6"/>
  <c r="BI15" i="6"/>
  <c r="BJ15" i="6"/>
  <c r="BK15" i="6"/>
  <c r="BL15" i="6"/>
  <c r="BM15" i="6"/>
  <c r="BN15" i="6"/>
  <c r="BO15" i="6"/>
  <c r="BP15" i="6"/>
  <c r="BQ15" i="6"/>
  <c r="BR15" i="6"/>
  <c r="BS15" i="6"/>
  <c r="BT15" i="6"/>
  <c r="BU15" i="6"/>
  <c r="BV15" i="6"/>
  <c r="BW15" i="6"/>
  <c r="BX15" i="6"/>
  <c r="BY15" i="6"/>
  <c r="BZ15" i="6"/>
  <c r="CA15" i="6"/>
  <c r="CB15" i="6"/>
  <c r="CC15" i="6"/>
  <c r="CD15" i="6"/>
  <c r="CE15" i="6"/>
  <c r="CF15" i="6"/>
  <c r="CG15" i="6"/>
  <c r="CH15" i="6"/>
  <c r="CI15" i="6"/>
  <c r="CJ15" i="6"/>
  <c r="CK15" i="6"/>
  <c r="CL15" i="6"/>
  <c r="CM15" i="6"/>
  <c r="CN15" i="6"/>
  <c r="CO15" i="6"/>
  <c r="CP15" i="6"/>
  <c r="CQ15" i="6"/>
  <c r="CR15" i="6"/>
  <c r="CS15" i="6"/>
  <c r="CT15" i="6"/>
  <c r="CU15" i="6"/>
  <c r="CV15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DI15" i="6"/>
  <c r="DJ15" i="6"/>
  <c r="DK15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AL16" i="6"/>
  <c r="AM16" i="6"/>
  <c r="AN16" i="6"/>
  <c r="AO16" i="6"/>
  <c r="AP16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C16" i="6"/>
  <c r="BD16" i="6"/>
  <c r="BE16" i="6"/>
  <c r="BF16" i="6"/>
  <c r="BG16" i="6"/>
  <c r="BH16" i="6"/>
  <c r="BI16" i="6"/>
  <c r="BJ16" i="6"/>
  <c r="BK16" i="6"/>
  <c r="BL16" i="6"/>
  <c r="BM16" i="6"/>
  <c r="BN16" i="6"/>
  <c r="BO16" i="6"/>
  <c r="BP16" i="6"/>
  <c r="BQ16" i="6"/>
  <c r="BR16" i="6"/>
  <c r="BS16" i="6"/>
  <c r="BT16" i="6"/>
  <c r="BU16" i="6"/>
  <c r="BV16" i="6"/>
  <c r="BW16" i="6"/>
  <c r="BX16" i="6"/>
  <c r="BY16" i="6"/>
  <c r="BZ16" i="6"/>
  <c r="CA16" i="6"/>
  <c r="CB16" i="6"/>
  <c r="CC16" i="6"/>
  <c r="CD16" i="6"/>
  <c r="CE16" i="6"/>
  <c r="CF16" i="6"/>
  <c r="CG16" i="6"/>
  <c r="CH16" i="6"/>
  <c r="CI16" i="6"/>
  <c r="CJ16" i="6"/>
  <c r="CK16" i="6"/>
  <c r="CL16" i="6"/>
  <c r="CM16" i="6"/>
  <c r="CN16" i="6"/>
  <c r="CO16" i="6"/>
  <c r="CP16" i="6"/>
  <c r="CQ16" i="6"/>
  <c r="CR16" i="6"/>
  <c r="CS16" i="6"/>
  <c r="CT16" i="6"/>
  <c r="CU16" i="6"/>
  <c r="CV16" i="6"/>
  <c r="CW16" i="6"/>
  <c r="CX16" i="6"/>
  <c r="CY16" i="6"/>
  <c r="CZ16" i="6"/>
  <c r="DA16" i="6"/>
  <c r="DB16" i="6"/>
  <c r="DC16" i="6"/>
  <c r="DD16" i="6"/>
  <c r="DE16" i="6"/>
  <c r="DF16" i="6"/>
  <c r="DG16" i="6"/>
  <c r="DH16" i="6"/>
  <c r="DI16" i="6"/>
  <c r="DJ16" i="6"/>
  <c r="DK16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AL17" i="6"/>
  <c r="AM17" i="6"/>
  <c r="AN17" i="6"/>
  <c r="AO17" i="6"/>
  <c r="AP17" i="6"/>
  <c r="AQ17" i="6"/>
  <c r="AR17" i="6"/>
  <c r="AS17" i="6"/>
  <c r="AT17" i="6"/>
  <c r="AU17" i="6"/>
  <c r="AV17" i="6"/>
  <c r="AW17" i="6"/>
  <c r="AX17" i="6"/>
  <c r="AY17" i="6"/>
  <c r="AZ17" i="6"/>
  <c r="BA17" i="6"/>
  <c r="BB17" i="6"/>
  <c r="BC17" i="6"/>
  <c r="BD17" i="6"/>
  <c r="BE17" i="6"/>
  <c r="BF17" i="6"/>
  <c r="BG17" i="6"/>
  <c r="BH17" i="6"/>
  <c r="BI17" i="6"/>
  <c r="BJ17" i="6"/>
  <c r="BK17" i="6"/>
  <c r="BL17" i="6"/>
  <c r="BM17" i="6"/>
  <c r="BN17" i="6"/>
  <c r="BO17" i="6"/>
  <c r="BP17" i="6"/>
  <c r="BQ17" i="6"/>
  <c r="BR17" i="6"/>
  <c r="BS17" i="6"/>
  <c r="BT17" i="6"/>
  <c r="BU17" i="6"/>
  <c r="BV17" i="6"/>
  <c r="BW17" i="6"/>
  <c r="BX17" i="6"/>
  <c r="BY17" i="6"/>
  <c r="BZ17" i="6"/>
  <c r="CA17" i="6"/>
  <c r="CB17" i="6"/>
  <c r="CC17" i="6"/>
  <c r="CD17" i="6"/>
  <c r="CE17" i="6"/>
  <c r="CF17" i="6"/>
  <c r="CG17" i="6"/>
  <c r="CH17" i="6"/>
  <c r="CI17" i="6"/>
  <c r="CJ17" i="6"/>
  <c r="CK17" i="6"/>
  <c r="CL17" i="6"/>
  <c r="CM17" i="6"/>
  <c r="CN17" i="6"/>
  <c r="CO17" i="6"/>
  <c r="CP17" i="6"/>
  <c r="CQ17" i="6"/>
  <c r="CR17" i="6"/>
  <c r="CS17" i="6"/>
  <c r="CT17" i="6"/>
  <c r="CU17" i="6"/>
  <c r="CV17" i="6"/>
  <c r="CW17" i="6"/>
  <c r="CX17" i="6"/>
  <c r="CY17" i="6"/>
  <c r="CZ17" i="6"/>
  <c r="DA17" i="6"/>
  <c r="DB17" i="6"/>
  <c r="DC17" i="6"/>
  <c r="DD17" i="6"/>
  <c r="DE17" i="6"/>
  <c r="DF17" i="6"/>
  <c r="DG17" i="6"/>
  <c r="DH17" i="6"/>
  <c r="DI17" i="6"/>
  <c r="DJ17" i="6"/>
  <c r="DK17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AL18" i="6"/>
  <c r="AM18" i="6"/>
  <c r="AN18" i="6"/>
  <c r="AO18" i="6"/>
  <c r="AP18" i="6"/>
  <c r="AQ18" i="6"/>
  <c r="AR18" i="6"/>
  <c r="AS18" i="6"/>
  <c r="AT18" i="6"/>
  <c r="AU18" i="6"/>
  <c r="AV18" i="6"/>
  <c r="AW18" i="6"/>
  <c r="AX18" i="6"/>
  <c r="AY18" i="6"/>
  <c r="AZ18" i="6"/>
  <c r="BA18" i="6"/>
  <c r="BB18" i="6"/>
  <c r="BC18" i="6"/>
  <c r="BD18" i="6"/>
  <c r="BE18" i="6"/>
  <c r="BF18" i="6"/>
  <c r="BG18" i="6"/>
  <c r="BH18" i="6"/>
  <c r="BI18" i="6"/>
  <c r="BJ18" i="6"/>
  <c r="BK18" i="6"/>
  <c r="BL18" i="6"/>
  <c r="BM18" i="6"/>
  <c r="BN18" i="6"/>
  <c r="BO18" i="6"/>
  <c r="BP18" i="6"/>
  <c r="BQ18" i="6"/>
  <c r="BR18" i="6"/>
  <c r="BS18" i="6"/>
  <c r="BT18" i="6"/>
  <c r="BU18" i="6"/>
  <c r="BV18" i="6"/>
  <c r="BW18" i="6"/>
  <c r="BX18" i="6"/>
  <c r="BY18" i="6"/>
  <c r="BZ18" i="6"/>
  <c r="CA18" i="6"/>
  <c r="CB18" i="6"/>
  <c r="CC18" i="6"/>
  <c r="CD18" i="6"/>
  <c r="CE18" i="6"/>
  <c r="CF18" i="6"/>
  <c r="CG18" i="6"/>
  <c r="CH18" i="6"/>
  <c r="CI18" i="6"/>
  <c r="CJ18" i="6"/>
  <c r="CK18" i="6"/>
  <c r="CL18" i="6"/>
  <c r="CM18" i="6"/>
  <c r="CN18" i="6"/>
  <c r="CO18" i="6"/>
  <c r="CP18" i="6"/>
  <c r="CQ18" i="6"/>
  <c r="CR18" i="6"/>
  <c r="CS18" i="6"/>
  <c r="CT18" i="6"/>
  <c r="CU18" i="6"/>
  <c r="CV18" i="6"/>
  <c r="CW18" i="6"/>
  <c r="CX18" i="6"/>
  <c r="CY18" i="6"/>
  <c r="CZ18" i="6"/>
  <c r="DA18" i="6"/>
  <c r="DB18" i="6"/>
  <c r="DC18" i="6"/>
  <c r="DD18" i="6"/>
  <c r="DE18" i="6"/>
  <c r="DF18" i="6"/>
  <c r="DG18" i="6"/>
  <c r="DH18" i="6"/>
  <c r="DI18" i="6"/>
  <c r="DJ18" i="6"/>
  <c r="DK18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AL19" i="6"/>
  <c r="AM19" i="6"/>
  <c r="AN19" i="6"/>
  <c r="AO19" i="6"/>
  <c r="AP19" i="6"/>
  <c r="AQ19" i="6"/>
  <c r="AR19" i="6"/>
  <c r="AS19" i="6"/>
  <c r="AT19" i="6"/>
  <c r="AU19" i="6"/>
  <c r="AV19" i="6"/>
  <c r="AW19" i="6"/>
  <c r="AX19" i="6"/>
  <c r="AY19" i="6"/>
  <c r="AZ19" i="6"/>
  <c r="BA19" i="6"/>
  <c r="BB19" i="6"/>
  <c r="BC19" i="6"/>
  <c r="BD19" i="6"/>
  <c r="BE19" i="6"/>
  <c r="BF19" i="6"/>
  <c r="BG19" i="6"/>
  <c r="BH19" i="6"/>
  <c r="BI19" i="6"/>
  <c r="BJ19" i="6"/>
  <c r="BK19" i="6"/>
  <c r="BL19" i="6"/>
  <c r="BM19" i="6"/>
  <c r="BN19" i="6"/>
  <c r="BO19" i="6"/>
  <c r="BP19" i="6"/>
  <c r="BQ19" i="6"/>
  <c r="BR19" i="6"/>
  <c r="BS19" i="6"/>
  <c r="BT19" i="6"/>
  <c r="BU19" i="6"/>
  <c r="BV19" i="6"/>
  <c r="BW19" i="6"/>
  <c r="BX19" i="6"/>
  <c r="BY19" i="6"/>
  <c r="BZ19" i="6"/>
  <c r="CA19" i="6"/>
  <c r="CB19" i="6"/>
  <c r="CC19" i="6"/>
  <c r="CD19" i="6"/>
  <c r="CE19" i="6"/>
  <c r="CF19" i="6"/>
  <c r="CG19" i="6"/>
  <c r="CH19" i="6"/>
  <c r="CI19" i="6"/>
  <c r="CJ19" i="6"/>
  <c r="CK19" i="6"/>
  <c r="CL19" i="6"/>
  <c r="CM19" i="6"/>
  <c r="CN19" i="6"/>
  <c r="CO19" i="6"/>
  <c r="CP19" i="6"/>
  <c r="CQ19" i="6"/>
  <c r="CR19" i="6"/>
  <c r="CS19" i="6"/>
  <c r="CT19" i="6"/>
  <c r="CU19" i="6"/>
  <c r="CV19" i="6"/>
  <c r="CW19" i="6"/>
  <c r="CX19" i="6"/>
  <c r="CY19" i="6"/>
  <c r="CZ19" i="6"/>
  <c r="DA19" i="6"/>
  <c r="DB19" i="6"/>
  <c r="DC19" i="6"/>
  <c r="DD19" i="6"/>
  <c r="DE19" i="6"/>
  <c r="DF19" i="6"/>
  <c r="DG19" i="6"/>
  <c r="DH19" i="6"/>
  <c r="DI19" i="6"/>
  <c r="DJ19" i="6"/>
  <c r="DK19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AL20" i="6"/>
  <c r="AM20" i="6"/>
  <c r="AN20" i="6"/>
  <c r="AO20" i="6"/>
  <c r="AP20" i="6"/>
  <c r="AQ20" i="6"/>
  <c r="AR20" i="6"/>
  <c r="AS20" i="6"/>
  <c r="AT20" i="6"/>
  <c r="AU20" i="6"/>
  <c r="AV20" i="6"/>
  <c r="AW20" i="6"/>
  <c r="AX20" i="6"/>
  <c r="AY20" i="6"/>
  <c r="AZ20" i="6"/>
  <c r="BA20" i="6"/>
  <c r="BB20" i="6"/>
  <c r="BC20" i="6"/>
  <c r="BD20" i="6"/>
  <c r="BE20" i="6"/>
  <c r="BF20" i="6"/>
  <c r="BG20" i="6"/>
  <c r="BH20" i="6"/>
  <c r="BI20" i="6"/>
  <c r="BJ20" i="6"/>
  <c r="BK20" i="6"/>
  <c r="BL20" i="6"/>
  <c r="BM20" i="6"/>
  <c r="BN20" i="6"/>
  <c r="BO20" i="6"/>
  <c r="BP20" i="6"/>
  <c r="BQ20" i="6"/>
  <c r="BR20" i="6"/>
  <c r="BS20" i="6"/>
  <c r="BT20" i="6"/>
  <c r="BU20" i="6"/>
  <c r="BV20" i="6"/>
  <c r="BW20" i="6"/>
  <c r="BX20" i="6"/>
  <c r="BY20" i="6"/>
  <c r="BZ20" i="6"/>
  <c r="CA20" i="6"/>
  <c r="CB20" i="6"/>
  <c r="CC20" i="6"/>
  <c r="CD20" i="6"/>
  <c r="CE20" i="6"/>
  <c r="CF20" i="6"/>
  <c r="CG20" i="6"/>
  <c r="CH20" i="6"/>
  <c r="CI20" i="6"/>
  <c r="CJ20" i="6"/>
  <c r="CK20" i="6"/>
  <c r="CL20" i="6"/>
  <c r="CM20" i="6"/>
  <c r="CN20" i="6"/>
  <c r="CO20" i="6"/>
  <c r="CP20" i="6"/>
  <c r="CQ20" i="6"/>
  <c r="CR20" i="6"/>
  <c r="CS20" i="6"/>
  <c r="CT20" i="6"/>
  <c r="CU20" i="6"/>
  <c r="CV20" i="6"/>
  <c r="CW20" i="6"/>
  <c r="CX20" i="6"/>
  <c r="CY20" i="6"/>
  <c r="CZ20" i="6"/>
  <c r="DA20" i="6"/>
  <c r="DB20" i="6"/>
  <c r="DC20" i="6"/>
  <c r="DD20" i="6"/>
  <c r="DE20" i="6"/>
  <c r="DF20" i="6"/>
  <c r="DG20" i="6"/>
  <c r="DH20" i="6"/>
  <c r="DI20" i="6"/>
  <c r="DJ20" i="6"/>
  <c r="DK20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AL21" i="6"/>
  <c r="AM21" i="6"/>
  <c r="AN21" i="6"/>
  <c r="AO21" i="6"/>
  <c r="AP21" i="6"/>
  <c r="AQ21" i="6"/>
  <c r="AR21" i="6"/>
  <c r="AS21" i="6"/>
  <c r="AT21" i="6"/>
  <c r="AU21" i="6"/>
  <c r="AV21" i="6"/>
  <c r="AW21" i="6"/>
  <c r="AX21" i="6"/>
  <c r="AY21" i="6"/>
  <c r="AZ21" i="6"/>
  <c r="BA21" i="6"/>
  <c r="BB21" i="6"/>
  <c r="BC21" i="6"/>
  <c r="BD21" i="6"/>
  <c r="BE21" i="6"/>
  <c r="BF21" i="6"/>
  <c r="BG21" i="6"/>
  <c r="BH21" i="6"/>
  <c r="BI21" i="6"/>
  <c r="BJ21" i="6"/>
  <c r="BK21" i="6"/>
  <c r="BL21" i="6"/>
  <c r="BM21" i="6"/>
  <c r="BN21" i="6"/>
  <c r="BO21" i="6"/>
  <c r="BP21" i="6"/>
  <c r="BQ21" i="6"/>
  <c r="BR21" i="6"/>
  <c r="BS21" i="6"/>
  <c r="BT21" i="6"/>
  <c r="BU21" i="6"/>
  <c r="BV21" i="6"/>
  <c r="BW21" i="6"/>
  <c r="BX21" i="6"/>
  <c r="BY21" i="6"/>
  <c r="BZ21" i="6"/>
  <c r="CA21" i="6"/>
  <c r="CB21" i="6"/>
  <c r="CC21" i="6"/>
  <c r="CD21" i="6"/>
  <c r="CE21" i="6"/>
  <c r="CF21" i="6"/>
  <c r="CG21" i="6"/>
  <c r="CH21" i="6"/>
  <c r="CI21" i="6"/>
  <c r="CJ21" i="6"/>
  <c r="CK21" i="6"/>
  <c r="CL21" i="6"/>
  <c r="CM21" i="6"/>
  <c r="CN21" i="6"/>
  <c r="CO21" i="6"/>
  <c r="CP21" i="6"/>
  <c r="CQ21" i="6"/>
  <c r="CR21" i="6"/>
  <c r="CS21" i="6"/>
  <c r="CT21" i="6"/>
  <c r="CU21" i="6"/>
  <c r="CV21" i="6"/>
  <c r="CW21" i="6"/>
  <c r="CX21" i="6"/>
  <c r="CY21" i="6"/>
  <c r="CZ21" i="6"/>
  <c r="DA21" i="6"/>
  <c r="DB21" i="6"/>
  <c r="DC21" i="6"/>
  <c r="DD21" i="6"/>
  <c r="DE21" i="6"/>
  <c r="DF21" i="6"/>
  <c r="DG21" i="6"/>
  <c r="DH21" i="6"/>
  <c r="DI21" i="6"/>
  <c r="DJ21" i="6"/>
  <c r="DK21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AJ22" i="6"/>
  <c r="AK22" i="6"/>
  <c r="AL22" i="6"/>
  <c r="AM22" i="6"/>
  <c r="AN22" i="6"/>
  <c r="AO22" i="6"/>
  <c r="AP22" i="6"/>
  <c r="AQ22" i="6"/>
  <c r="AR22" i="6"/>
  <c r="AS22" i="6"/>
  <c r="AT22" i="6"/>
  <c r="AU22" i="6"/>
  <c r="AV22" i="6"/>
  <c r="AW22" i="6"/>
  <c r="AX22" i="6"/>
  <c r="AY22" i="6"/>
  <c r="AZ22" i="6"/>
  <c r="BA22" i="6"/>
  <c r="BB22" i="6"/>
  <c r="BC22" i="6"/>
  <c r="BD22" i="6"/>
  <c r="BE22" i="6"/>
  <c r="BF22" i="6"/>
  <c r="BG22" i="6"/>
  <c r="BH22" i="6"/>
  <c r="BI22" i="6"/>
  <c r="BJ22" i="6"/>
  <c r="BK22" i="6"/>
  <c r="BL22" i="6"/>
  <c r="BM22" i="6"/>
  <c r="BN22" i="6"/>
  <c r="BO22" i="6"/>
  <c r="BP22" i="6"/>
  <c r="BQ22" i="6"/>
  <c r="BR22" i="6"/>
  <c r="BS22" i="6"/>
  <c r="BT22" i="6"/>
  <c r="BU22" i="6"/>
  <c r="BV22" i="6"/>
  <c r="BW22" i="6"/>
  <c r="BX22" i="6"/>
  <c r="BY22" i="6"/>
  <c r="BZ22" i="6"/>
  <c r="CA22" i="6"/>
  <c r="CB22" i="6"/>
  <c r="CC22" i="6"/>
  <c r="CD22" i="6"/>
  <c r="CE22" i="6"/>
  <c r="CF22" i="6"/>
  <c r="CG22" i="6"/>
  <c r="CH22" i="6"/>
  <c r="CI22" i="6"/>
  <c r="CJ22" i="6"/>
  <c r="CK22" i="6"/>
  <c r="CL22" i="6"/>
  <c r="CM22" i="6"/>
  <c r="CN22" i="6"/>
  <c r="CO22" i="6"/>
  <c r="CP22" i="6"/>
  <c r="CQ22" i="6"/>
  <c r="CR22" i="6"/>
  <c r="CS22" i="6"/>
  <c r="CT22" i="6"/>
  <c r="CU22" i="6"/>
  <c r="CV22" i="6"/>
  <c r="CW22" i="6"/>
  <c r="CX22" i="6"/>
  <c r="CY22" i="6"/>
  <c r="CZ22" i="6"/>
  <c r="DA22" i="6"/>
  <c r="DB22" i="6"/>
  <c r="DC22" i="6"/>
  <c r="DD22" i="6"/>
  <c r="DE22" i="6"/>
  <c r="DF22" i="6"/>
  <c r="DG22" i="6"/>
  <c r="DH22" i="6"/>
  <c r="DI22" i="6"/>
  <c r="DJ22" i="6"/>
  <c r="DK22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AJ23" i="6"/>
  <c r="AK23" i="6"/>
  <c r="AL23" i="6"/>
  <c r="AM23" i="6"/>
  <c r="AN23" i="6"/>
  <c r="AO23" i="6"/>
  <c r="AP23" i="6"/>
  <c r="AQ23" i="6"/>
  <c r="AR23" i="6"/>
  <c r="AS23" i="6"/>
  <c r="AT23" i="6"/>
  <c r="AU23" i="6"/>
  <c r="AV23" i="6"/>
  <c r="AW23" i="6"/>
  <c r="AX23" i="6"/>
  <c r="AY23" i="6"/>
  <c r="AZ23" i="6"/>
  <c r="BA23" i="6"/>
  <c r="BB23" i="6"/>
  <c r="BC23" i="6"/>
  <c r="BD23" i="6"/>
  <c r="BE23" i="6"/>
  <c r="BF23" i="6"/>
  <c r="BG23" i="6"/>
  <c r="BH23" i="6"/>
  <c r="BI23" i="6"/>
  <c r="BJ23" i="6"/>
  <c r="BK23" i="6"/>
  <c r="BL23" i="6"/>
  <c r="BM23" i="6"/>
  <c r="BN23" i="6"/>
  <c r="BO23" i="6"/>
  <c r="BP23" i="6"/>
  <c r="BQ23" i="6"/>
  <c r="BR23" i="6"/>
  <c r="BS23" i="6"/>
  <c r="BT23" i="6"/>
  <c r="BU23" i="6"/>
  <c r="BV23" i="6"/>
  <c r="BW23" i="6"/>
  <c r="BX23" i="6"/>
  <c r="BY23" i="6"/>
  <c r="BZ23" i="6"/>
  <c r="CA23" i="6"/>
  <c r="CB23" i="6"/>
  <c r="CC23" i="6"/>
  <c r="CD23" i="6"/>
  <c r="CE23" i="6"/>
  <c r="CF23" i="6"/>
  <c r="CG23" i="6"/>
  <c r="CH23" i="6"/>
  <c r="CI23" i="6"/>
  <c r="CJ23" i="6"/>
  <c r="CK23" i="6"/>
  <c r="CL23" i="6"/>
  <c r="CM23" i="6"/>
  <c r="CN23" i="6"/>
  <c r="CO23" i="6"/>
  <c r="CP23" i="6"/>
  <c r="CQ23" i="6"/>
  <c r="CR23" i="6"/>
  <c r="CS23" i="6"/>
  <c r="CT23" i="6"/>
  <c r="CU23" i="6"/>
  <c r="CV23" i="6"/>
  <c r="CW23" i="6"/>
  <c r="CX23" i="6"/>
  <c r="CY23" i="6"/>
  <c r="CZ23" i="6"/>
  <c r="DA23" i="6"/>
  <c r="DB23" i="6"/>
  <c r="DC23" i="6"/>
  <c r="DD23" i="6"/>
  <c r="DE23" i="6"/>
  <c r="DF23" i="6"/>
  <c r="DG23" i="6"/>
  <c r="DH23" i="6"/>
  <c r="DI23" i="6"/>
  <c r="DJ23" i="6"/>
  <c r="DK23" i="6"/>
  <c r="T24" i="6"/>
  <c r="U24" i="6"/>
  <c r="V24" i="6"/>
  <c r="W24" i="6"/>
  <c r="X24" i="6"/>
  <c r="Y24" i="6"/>
  <c r="Z24" i="6"/>
  <c r="AA24" i="6"/>
  <c r="AB24" i="6"/>
  <c r="AC24" i="6"/>
  <c r="AD24" i="6"/>
  <c r="AE24" i="6"/>
  <c r="AF24" i="6"/>
  <c r="AG24" i="6"/>
  <c r="AH24" i="6"/>
  <c r="AI24" i="6"/>
  <c r="AJ24" i="6"/>
  <c r="AK24" i="6"/>
  <c r="AL24" i="6"/>
  <c r="AM24" i="6"/>
  <c r="AN24" i="6"/>
  <c r="AO24" i="6"/>
  <c r="AP24" i="6"/>
  <c r="AQ24" i="6"/>
  <c r="AR24" i="6"/>
  <c r="AS24" i="6"/>
  <c r="AT24" i="6"/>
  <c r="AU24" i="6"/>
  <c r="AV24" i="6"/>
  <c r="AW24" i="6"/>
  <c r="AX24" i="6"/>
  <c r="AY24" i="6"/>
  <c r="AZ24" i="6"/>
  <c r="BA24" i="6"/>
  <c r="BB24" i="6"/>
  <c r="BC24" i="6"/>
  <c r="BD24" i="6"/>
  <c r="BE24" i="6"/>
  <c r="BF24" i="6"/>
  <c r="BG24" i="6"/>
  <c r="BH24" i="6"/>
  <c r="BI24" i="6"/>
  <c r="BJ24" i="6"/>
  <c r="BK24" i="6"/>
  <c r="BL24" i="6"/>
  <c r="BM24" i="6"/>
  <c r="BN24" i="6"/>
  <c r="BO24" i="6"/>
  <c r="BP24" i="6"/>
  <c r="BQ24" i="6"/>
  <c r="BR24" i="6"/>
  <c r="BS24" i="6"/>
  <c r="BT24" i="6"/>
  <c r="BU24" i="6"/>
  <c r="BV24" i="6"/>
  <c r="BW24" i="6"/>
  <c r="BX24" i="6"/>
  <c r="BY24" i="6"/>
  <c r="BZ24" i="6"/>
  <c r="CA24" i="6"/>
  <c r="CB24" i="6"/>
  <c r="CC24" i="6"/>
  <c r="CD24" i="6"/>
  <c r="CE24" i="6"/>
  <c r="CF24" i="6"/>
  <c r="CG24" i="6"/>
  <c r="CH24" i="6"/>
  <c r="CI24" i="6"/>
  <c r="CJ24" i="6"/>
  <c r="CK24" i="6"/>
  <c r="CL24" i="6"/>
  <c r="CM24" i="6"/>
  <c r="CN24" i="6"/>
  <c r="CO24" i="6"/>
  <c r="CP24" i="6"/>
  <c r="CQ24" i="6"/>
  <c r="CR24" i="6"/>
  <c r="CS24" i="6"/>
  <c r="CT24" i="6"/>
  <c r="CU24" i="6"/>
  <c r="CV24" i="6"/>
  <c r="CW24" i="6"/>
  <c r="CX24" i="6"/>
  <c r="CY24" i="6"/>
  <c r="CZ24" i="6"/>
  <c r="DA24" i="6"/>
  <c r="DB24" i="6"/>
  <c r="DC24" i="6"/>
  <c r="DD24" i="6"/>
  <c r="DE24" i="6"/>
  <c r="DF24" i="6"/>
  <c r="DG24" i="6"/>
  <c r="DH24" i="6"/>
  <c r="DI24" i="6"/>
  <c r="DJ24" i="6"/>
  <c r="DK24" i="6"/>
  <c r="T25" i="6"/>
  <c r="U25" i="6"/>
  <c r="V25" i="6"/>
  <c r="W25" i="6"/>
  <c r="X25" i="6"/>
  <c r="Y25" i="6"/>
  <c r="Z25" i="6"/>
  <c r="AA25" i="6"/>
  <c r="AB25" i="6"/>
  <c r="AC25" i="6"/>
  <c r="AD25" i="6"/>
  <c r="AE25" i="6"/>
  <c r="AF25" i="6"/>
  <c r="AG25" i="6"/>
  <c r="AH25" i="6"/>
  <c r="AI25" i="6"/>
  <c r="AJ25" i="6"/>
  <c r="AK25" i="6"/>
  <c r="AL25" i="6"/>
  <c r="AM25" i="6"/>
  <c r="AN25" i="6"/>
  <c r="AO25" i="6"/>
  <c r="AP25" i="6"/>
  <c r="AQ25" i="6"/>
  <c r="AR25" i="6"/>
  <c r="AS25" i="6"/>
  <c r="AT25" i="6"/>
  <c r="AU25" i="6"/>
  <c r="AV25" i="6"/>
  <c r="AW25" i="6"/>
  <c r="AX25" i="6"/>
  <c r="AY25" i="6"/>
  <c r="AZ25" i="6"/>
  <c r="BA25" i="6"/>
  <c r="BB25" i="6"/>
  <c r="BC25" i="6"/>
  <c r="BD25" i="6"/>
  <c r="BE25" i="6"/>
  <c r="BF25" i="6"/>
  <c r="BG25" i="6"/>
  <c r="BH25" i="6"/>
  <c r="BI25" i="6"/>
  <c r="BJ25" i="6"/>
  <c r="BK25" i="6"/>
  <c r="BL25" i="6"/>
  <c r="BM25" i="6"/>
  <c r="BN25" i="6"/>
  <c r="BO25" i="6"/>
  <c r="BP25" i="6"/>
  <c r="BQ25" i="6"/>
  <c r="BR25" i="6"/>
  <c r="BS25" i="6"/>
  <c r="BT25" i="6"/>
  <c r="BU25" i="6"/>
  <c r="BV25" i="6"/>
  <c r="BW25" i="6"/>
  <c r="BX25" i="6"/>
  <c r="BY25" i="6"/>
  <c r="BZ25" i="6"/>
  <c r="CA25" i="6"/>
  <c r="CB25" i="6"/>
  <c r="CC25" i="6"/>
  <c r="CD25" i="6"/>
  <c r="CE25" i="6"/>
  <c r="CF25" i="6"/>
  <c r="CG25" i="6"/>
  <c r="CH25" i="6"/>
  <c r="CI25" i="6"/>
  <c r="CJ25" i="6"/>
  <c r="CK25" i="6"/>
  <c r="CL25" i="6"/>
  <c r="CM25" i="6"/>
  <c r="CN25" i="6"/>
  <c r="CO25" i="6"/>
  <c r="CP25" i="6"/>
  <c r="CQ25" i="6"/>
  <c r="CR25" i="6"/>
  <c r="CS25" i="6"/>
  <c r="CT25" i="6"/>
  <c r="CU25" i="6"/>
  <c r="CV25" i="6"/>
  <c r="CW25" i="6"/>
  <c r="CX25" i="6"/>
  <c r="CY25" i="6"/>
  <c r="CZ25" i="6"/>
  <c r="DA25" i="6"/>
  <c r="DB25" i="6"/>
  <c r="DC25" i="6"/>
  <c r="DD25" i="6"/>
  <c r="DE25" i="6"/>
  <c r="DF25" i="6"/>
  <c r="DG25" i="6"/>
  <c r="DH25" i="6"/>
  <c r="DI25" i="6"/>
  <c r="DJ25" i="6"/>
  <c r="DK25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AH26" i="6"/>
  <c r="AI26" i="6"/>
  <c r="AJ26" i="6"/>
  <c r="AK26" i="6"/>
  <c r="AL26" i="6"/>
  <c r="AM26" i="6"/>
  <c r="AN26" i="6"/>
  <c r="AO26" i="6"/>
  <c r="AP26" i="6"/>
  <c r="AQ26" i="6"/>
  <c r="AR26" i="6"/>
  <c r="AS26" i="6"/>
  <c r="AT26" i="6"/>
  <c r="AU26" i="6"/>
  <c r="AV26" i="6"/>
  <c r="AW26" i="6"/>
  <c r="AX26" i="6"/>
  <c r="AY26" i="6"/>
  <c r="AZ26" i="6"/>
  <c r="BA26" i="6"/>
  <c r="BB26" i="6"/>
  <c r="BC26" i="6"/>
  <c r="BD26" i="6"/>
  <c r="BE26" i="6"/>
  <c r="BF26" i="6"/>
  <c r="BG26" i="6"/>
  <c r="BH26" i="6"/>
  <c r="BI26" i="6"/>
  <c r="BJ26" i="6"/>
  <c r="BK26" i="6"/>
  <c r="BL26" i="6"/>
  <c r="BM26" i="6"/>
  <c r="BN26" i="6"/>
  <c r="BO26" i="6"/>
  <c r="BP26" i="6"/>
  <c r="BQ26" i="6"/>
  <c r="BR26" i="6"/>
  <c r="BS26" i="6"/>
  <c r="BT26" i="6"/>
  <c r="BU26" i="6"/>
  <c r="BV26" i="6"/>
  <c r="BW26" i="6"/>
  <c r="BX26" i="6"/>
  <c r="BY26" i="6"/>
  <c r="BZ26" i="6"/>
  <c r="CA26" i="6"/>
  <c r="CB26" i="6"/>
  <c r="CC26" i="6"/>
  <c r="CD26" i="6"/>
  <c r="CE26" i="6"/>
  <c r="CF26" i="6"/>
  <c r="CG26" i="6"/>
  <c r="CH26" i="6"/>
  <c r="CI26" i="6"/>
  <c r="CJ26" i="6"/>
  <c r="CK26" i="6"/>
  <c r="CL26" i="6"/>
  <c r="CM26" i="6"/>
  <c r="CN26" i="6"/>
  <c r="CO26" i="6"/>
  <c r="CP26" i="6"/>
  <c r="CQ26" i="6"/>
  <c r="CR26" i="6"/>
  <c r="CS26" i="6"/>
  <c r="CT26" i="6"/>
  <c r="CU26" i="6"/>
  <c r="CV26" i="6"/>
  <c r="CW26" i="6"/>
  <c r="CX26" i="6"/>
  <c r="CY26" i="6"/>
  <c r="CZ26" i="6"/>
  <c r="DA26" i="6"/>
  <c r="DB26" i="6"/>
  <c r="DC26" i="6"/>
  <c r="DD26" i="6"/>
  <c r="DE26" i="6"/>
  <c r="DF26" i="6"/>
  <c r="DG26" i="6"/>
  <c r="DH26" i="6"/>
  <c r="DI26" i="6"/>
  <c r="DJ26" i="6"/>
  <c r="DK26" i="6"/>
  <c r="T27" i="6"/>
  <c r="U27" i="6"/>
  <c r="V27" i="6"/>
  <c r="W27" i="6"/>
  <c r="X27" i="6"/>
  <c r="Y27" i="6"/>
  <c r="Z27" i="6"/>
  <c r="AA27" i="6"/>
  <c r="AB27" i="6"/>
  <c r="AC27" i="6"/>
  <c r="AD27" i="6"/>
  <c r="AE27" i="6"/>
  <c r="AF27" i="6"/>
  <c r="AG27" i="6"/>
  <c r="AH27" i="6"/>
  <c r="AI27" i="6"/>
  <c r="AJ27" i="6"/>
  <c r="AK27" i="6"/>
  <c r="AL27" i="6"/>
  <c r="AM27" i="6"/>
  <c r="AN27" i="6"/>
  <c r="AO27" i="6"/>
  <c r="AP27" i="6"/>
  <c r="AQ27" i="6"/>
  <c r="AR27" i="6"/>
  <c r="AS27" i="6"/>
  <c r="AT27" i="6"/>
  <c r="AU27" i="6"/>
  <c r="AV27" i="6"/>
  <c r="AW27" i="6"/>
  <c r="AX27" i="6"/>
  <c r="AY27" i="6"/>
  <c r="AZ27" i="6"/>
  <c r="BA27" i="6"/>
  <c r="BB27" i="6"/>
  <c r="BC27" i="6"/>
  <c r="BD27" i="6"/>
  <c r="BE27" i="6"/>
  <c r="BF27" i="6"/>
  <c r="BG27" i="6"/>
  <c r="BH27" i="6"/>
  <c r="BI27" i="6"/>
  <c r="BJ27" i="6"/>
  <c r="BK27" i="6"/>
  <c r="BL27" i="6"/>
  <c r="BM27" i="6"/>
  <c r="BN27" i="6"/>
  <c r="BO27" i="6"/>
  <c r="BP27" i="6"/>
  <c r="BQ27" i="6"/>
  <c r="BR27" i="6"/>
  <c r="BS27" i="6"/>
  <c r="BT27" i="6"/>
  <c r="BU27" i="6"/>
  <c r="BV27" i="6"/>
  <c r="BW27" i="6"/>
  <c r="BX27" i="6"/>
  <c r="BY27" i="6"/>
  <c r="BZ27" i="6"/>
  <c r="CA27" i="6"/>
  <c r="CB27" i="6"/>
  <c r="CC27" i="6"/>
  <c r="CD27" i="6"/>
  <c r="CE27" i="6"/>
  <c r="CF27" i="6"/>
  <c r="CG27" i="6"/>
  <c r="CH27" i="6"/>
  <c r="CI27" i="6"/>
  <c r="CJ27" i="6"/>
  <c r="CK27" i="6"/>
  <c r="CL27" i="6"/>
  <c r="CM27" i="6"/>
  <c r="CN27" i="6"/>
  <c r="CO27" i="6"/>
  <c r="CP27" i="6"/>
  <c r="CQ27" i="6"/>
  <c r="CR27" i="6"/>
  <c r="CS27" i="6"/>
  <c r="CT27" i="6"/>
  <c r="CU27" i="6"/>
  <c r="CV27" i="6"/>
  <c r="CW27" i="6"/>
  <c r="CX27" i="6"/>
  <c r="CY27" i="6"/>
  <c r="CZ27" i="6"/>
  <c r="DA27" i="6"/>
  <c r="DB27" i="6"/>
  <c r="DC27" i="6"/>
  <c r="DD27" i="6"/>
  <c r="DE27" i="6"/>
  <c r="DF27" i="6"/>
  <c r="DG27" i="6"/>
  <c r="DH27" i="6"/>
  <c r="DI27" i="6"/>
  <c r="DJ27" i="6"/>
  <c r="DK27" i="6"/>
  <c r="T28" i="6"/>
  <c r="U28" i="6"/>
  <c r="V28" i="6"/>
  <c r="W28" i="6"/>
  <c r="X28" i="6"/>
  <c r="Y28" i="6"/>
  <c r="Z28" i="6"/>
  <c r="AA28" i="6"/>
  <c r="AB28" i="6"/>
  <c r="AC28" i="6"/>
  <c r="AD28" i="6"/>
  <c r="AE28" i="6"/>
  <c r="AF28" i="6"/>
  <c r="AG28" i="6"/>
  <c r="AH28" i="6"/>
  <c r="AI28" i="6"/>
  <c r="AJ28" i="6"/>
  <c r="AK28" i="6"/>
  <c r="AL28" i="6"/>
  <c r="AM28" i="6"/>
  <c r="AN28" i="6"/>
  <c r="AO28" i="6"/>
  <c r="AP28" i="6"/>
  <c r="AQ28" i="6"/>
  <c r="AR28" i="6"/>
  <c r="AS28" i="6"/>
  <c r="AT28" i="6"/>
  <c r="AU28" i="6"/>
  <c r="AV28" i="6"/>
  <c r="AW28" i="6"/>
  <c r="AX28" i="6"/>
  <c r="AY28" i="6"/>
  <c r="AZ28" i="6"/>
  <c r="BA28" i="6"/>
  <c r="BB28" i="6"/>
  <c r="BC28" i="6"/>
  <c r="BD28" i="6"/>
  <c r="BE28" i="6"/>
  <c r="BF28" i="6"/>
  <c r="BG28" i="6"/>
  <c r="BH28" i="6"/>
  <c r="BI28" i="6"/>
  <c r="BJ28" i="6"/>
  <c r="BK28" i="6"/>
  <c r="BL28" i="6"/>
  <c r="BM28" i="6"/>
  <c r="BN28" i="6"/>
  <c r="BO28" i="6"/>
  <c r="BP28" i="6"/>
  <c r="BQ28" i="6"/>
  <c r="BR28" i="6"/>
  <c r="BS28" i="6"/>
  <c r="BT28" i="6"/>
  <c r="BU28" i="6"/>
  <c r="BV28" i="6"/>
  <c r="BW28" i="6"/>
  <c r="BX28" i="6"/>
  <c r="BY28" i="6"/>
  <c r="BZ28" i="6"/>
  <c r="CA28" i="6"/>
  <c r="CB28" i="6"/>
  <c r="CC28" i="6"/>
  <c r="CD28" i="6"/>
  <c r="CE28" i="6"/>
  <c r="CF28" i="6"/>
  <c r="CG28" i="6"/>
  <c r="CH28" i="6"/>
  <c r="CI28" i="6"/>
  <c r="CJ28" i="6"/>
  <c r="CK28" i="6"/>
  <c r="CL28" i="6"/>
  <c r="CM28" i="6"/>
  <c r="CN28" i="6"/>
  <c r="CO28" i="6"/>
  <c r="CP28" i="6"/>
  <c r="CQ28" i="6"/>
  <c r="CR28" i="6"/>
  <c r="CS28" i="6"/>
  <c r="CT28" i="6"/>
  <c r="CU28" i="6"/>
  <c r="CV28" i="6"/>
  <c r="CW28" i="6"/>
  <c r="CX28" i="6"/>
  <c r="CY28" i="6"/>
  <c r="CZ28" i="6"/>
  <c r="DA28" i="6"/>
  <c r="DB28" i="6"/>
  <c r="DC28" i="6"/>
  <c r="DD28" i="6"/>
  <c r="DE28" i="6"/>
  <c r="DF28" i="6"/>
  <c r="DG28" i="6"/>
  <c r="DH28" i="6"/>
  <c r="DI28" i="6"/>
  <c r="DJ28" i="6"/>
  <c r="DK28" i="6"/>
  <c r="T29" i="6"/>
  <c r="U29" i="6"/>
  <c r="V29" i="6"/>
  <c r="W29" i="6"/>
  <c r="X29" i="6"/>
  <c r="Y29" i="6"/>
  <c r="Z29" i="6"/>
  <c r="AA29" i="6"/>
  <c r="AB29" i="6"/>
  <c r="AC29" i="6"/>
  <c r="AD29" i="6"/>
  <c r="AE29" i="6"/>
  <c r="AF29" i="6"/>
  <c r="AG29" i="6"/>
  <c r="AH29" i="6"/>
  <c r="AI29" i="6"/>
  <c r="AJ29" i="6"/>
  <c r="AK29" i="6"/>
  <c r="AL29" i="6"/>
  <c r="AM29" i="6"/>
  <c r="AN29" i="6"/>
  <c r="AO29" i="6"/>
  <c r="AP29" i="6"/>
  <c r="AQ29" i="6"/>
  <c r="AR29" i="6"/>
  <c r="AS29" i="6"/>
  <c r="AT29" i="6"/>
  <c r="AU29" i="6"/>
  <c r="AV29" i="6"/>
  <c r="AW29" i="6"/>
  <c r="AX29" i="6"/>
  <c r="AY29" i="6"/>
  <c r="AZ29" i="6"/>
  <c r="BA29" i="6"/>
  <c r="BB29" i="6"/>
  <c r="BC29" i="6"/>
  <c r="BD29" i="6"/>
  <c r="BE29" i="6"/>
  <c r="BF29" i="6"/>
  <c r="BG29" i="6"/>
  <c r="BH29" i="6"/>
  <c r="BI29" i="6"/>
  <c r="BJ29" i="6"/>
  <c r="BK29" i="6"/>
  <c r="BL29" i="6"/>
  <c r="BM29" i="6"/>
  <c r="BN29" i="6"/>
  <c r="BO29" i="6"/>
  <c r="BP29" i="6"/>
  <c r="BQ29" i="6"/>
  <c r="BR29" i="6"/>
  <c r="BS29" i="6"/>
  <c r="BT29" i="6"/>
  <c r="BU29" i="6"/>
  <c r="BV29" i="6"/>
  <c r="BW29" i="6"/>
  <c r="BX29" i="6"/>
  <c r="BY29" i="6"/>
  <c r="BZ29" i="6"/>
  <c r="CA29" i="6"/>
  <c r="CB29" i="6"/>
  <c r="CC29" i="6"/>
  <c r="CD29" i="6"/>
  <c r="CE29" i="6"/>
  <c r="CF29" i="6"/>
  <c r="CG29" i="6"/>
  <c r="CH29" i="6"/>
  <c r="CI29" i="6"/>
  <c r="CJ29" i="6"/>
  <c r="CK29" i="6"/>
  <c r="CL29" i="6"/>
  <c r="CM29" i="6"/>
  <c r="CN29" i="6"/>
  <c r="CO29" i="6"/>
  <c r="CP29" i="6"/>
  <c r="CQ29" i="6"/>
  <c r="CR29" i="6"/>
  <c r="CS29" i="6"/>
  <c r="CT29" i="6"/>
  <c r="CU29" i="6"/>
  <c r="CV29" i="6"/>
  <c r="CW29" i="6"/>
  <c r="CX29" i="6"/>
  <c r="CY29" i="6"/>
  <c r="CZ29" i="6"/>
  <c r="DA29" i="6"/>
  <c r="DB29" i="6"/>
  <c r="DC29" i="6"/>
  <c r="DD29" i="6"/>
  <c r="DE29" i="6"/>
  <c r="DF29" i="6"/>
  <c r="DG29" i="6"/>
  <c r="DH29" i="6"/>
  <c r="DI29" i="6"/>
  <c r="DJ29" i="6"/>
  <c r="DK29" i="6"/>
  <c r="T30" i="6"/>
  <c r="U30" i="6"/>
  <c r="V30" i="6"/>
  <c r="W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AK30" i="6"/>
  <c r="AL30" i="6"/>
  <c r="AM30" i="6"/>
  <c r="AN30" i="6"/>
  <c r="AO30" i="6"/>
  <c r="AP30" i="6"/>
  <c r="AQ30" i="6"/>
  <c r="AR30" i="6"/>
  <c r="AS30" i="6"/>
  <c r="AT30" i="6"/>
  <c r="AU30" i="6"/>
  <c r="AV30" i="6"/>
  <c r="AW30" i="6"/>
  <c r="AX30" i="6"/>
  <c r="AY30" i="6"/>
  <c r="AZ30" i="6"/>
  <c r="BA30" i="6"/>
  <c r="BB30" i="6"/>
  <c r="BC30" i="6"/>
  <c r="BD30" i="6"/>
  <c r="BE30" i="6"/>
  <c r="BF30" i="6"/>
  <c r="BG30" i="6"/>
  <c r="BH30" i="6"/>
  <c r="BI30" i="6"/>
  <c r="BJ30" i="6"/>
  <c r="BK30" i="6"/>
  <c r="BL30" i="6"/>
  <c r="BM30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CH30" i="6"/>
  <c r="CI30" i="6"/>
  <c r="CJ30" i="6"/>
  <c r="CK30" i="6"/>
  <c r="CL30" i="6"/>
  <c r="CM30" i="6"/>
  <c r="CN30" i="6"/>
  <c r="CO30" i="6"/>
  <c r="CP30" i="6"/>
  <c r="CQ30" i="6"/>
  <c r="CR30" i="6"/>
  <c r="CS30" i="6"/>
  <c r="CT30" i="6"/>
  <c r="CU30" i="6"/>
  <c r="CV30" i="6"/>
  <c r="CW30" i="6"/>
  <c r="CX30" i="6"/>
  <c r="CY30" i="6"/>
  <c r="CZ30" i="6"/>
  <c r="DA30" i="6"/>
  <c r="DB30" i="6"/>
  <c r="DC30" i="6"/>
  <c r="DD30" i="6"/>
  <c r="DE30" i="6"/>
  <c r="DF30" i="6"/>
  <c r="DG30" i="6"/>
  <c r="DH30" i="6"/>
  <c r="DI30" i="6"/>
  <c r="DJ30" i="6"/>
  <c r="DK30" i="6"/>
  <c r="T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AK31" i="6"/>
  <c r="AL31" i="6"/>
  <c r="AM31" i="6"/>
  <c r="AN31" i="6"/>
  <c r="AO31" i="6"/>
  <c r="AP31" i="6"/>
  <c r="AQ31" i="6"/>
  <c r="AR31" i="6"/>
  <c r="AS31" i="6"/>
  <c r="AT31" i="6"/>
  <c r="AU31" i="6"/>
  <c r="AV31" i="6"/>
  <c r="AW31" i="6"/>
  <c r="AX31" i="6"/>
  <c r="AY31" i="6"/>
  <c r="AZ31" i="6"/>
  <c r="BA31" i="6"/>
  <c r="BB31" i="6"/>
  <c r="BC31" i="6"/>
  <c r="BD31" i="6"/>
  <c r="BE31" i="6"/>
  <c r="BF31" i="6"/>
  <c r="BG31" i="6"/>
  <c r="BH31" i="6"/>
  <c r="BI31" i="6"/>
  <c r="BJ31" i="6"/>
  <c r="BK31" i="6"/>
  <c r="BL31" i="6"/>
  <c r="BM31" i="6"/>
  <c r="BN31" i="6"/>
  <c r="BO31" i="6"/>
  <c r="BP31" i="6"/>
  <c r="BQ31" i="6"/>
  <c r="BR31" i="6"/>
  <c r="BS31" i="6"/>
  <c r="BT31" i="6"/>
  <c r="BU31" i="6"/>
  <c r="BV31" i="6"/>
  <c r="BW31" i="6"/>
  <c r="BX31" i="6"/>
  <c r="BY31" i="6"/>
  <c r="BZ31" i="6"/>
  <c r="CA31" i="6"/>
  <c r="CB31" i="6"/>
  <c r="CC31" i="6"/>
  <c r="CD31" i="6"/>
  <c r="CE31" i="6"/>
  <c r="CF31" i="6"/>
  <c r="CG31" i="6"/>
  <c r="CH31" i="6"/>
  <c r="CI31" i="6"/>
  <c r="CJ31" i="6"/>
  <c r="CK31" i="6"/>
  <c r="CL31" i="6"/>
  <c r="CM31" i="6"/>
  <c r="CN31" i="6"/>
  <c r="CO31" i="6"/>
  <c r="CP31" i="6"/>
  <c r="CQ31" i="6"/>
  <c r="CR31" i="6"/>
  <c r="CS31" i="6"/>
  <c r="CT31" i="6"/>
  <c r="CU31" i="6"/>
  <c r="CV31" i="6"/>
  <c r="CW31" i="6"/>
  <c r="CX31" i="6"/>
  <c r="CY31" i="6"/>
  <c r="CZ31" i="6"/>
  <c r="DA31" i="6"/>
  <c r="DB31" i="6"/>
  <c r="DC31" i="6"/>
  <c r="DD31" i="6"/>
  <c r="DE31" i="6"/>
  <c r="DF31" i="6"/>
  <c r="DG31" i="6"/>
  <c r="DH31" i="6"/>
  <c r="DI31" i="6"/>
  <c r="DJ31" i="6"/>
  <c r="DK31" i="6"/>
  <c r="T32" i="6"/>
  <c r="U32" i="6"/>
  <c r="V32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AK32" i="6"/>
  <c r="AL32" i="6"/>
  <c r="AM32" i="6"/>
  <c r="AN32" i="6"/>
  <c r="AO32" i="6"/>
  <c r="AP32" i="6"/>
  <c r="AQ32" i="6"/>
  <c r="AR32" i="6"/>
  <c r="AS32" i="6"/>
  <c r="AT32" i="6"/>
  <c r="AU32" i="6"/>
  <c r="AV32" i="6"/>
  <c r="AW32" i="6"/>
  <c r="AX32" i="6"/>
  <c r="AY32" i="6"/>
  <c r="AZ32" i="6"/>
  <c r="BA32" i="6"/>
  <c r="BB32" i="6"/>
  <c r="BC32" i="6"/>
  <c r="BD32" i="6"/>
  <c r="BE32" i="6"/>
  <c r="BF32" i="6"/>
  <c r="BG32" i="6"/>
  <c r="BH32" i="6"/>
  <c r="BI32" i="6"/>
  <c r="BJ32" i="6"/>
  <c r="BK32" i="6"/>
  <c r="BL32" i="6"/>
  <c r="BM32" i="6"/>
  <c r="BN32" i="6"/>
  <c r="BO32" i="6"/>
  <c r="BP32" i="6"/>
  <c r="BQ32" i="6"/>
  <c r="BR32" i="6"/>
  <c r="BS32" i="6"/>
  <c r="BT32" i="6"/>
  <c r="BU32" i="6"/>
  <c r="BV32" i="6"/>
  <c r="BW32" i="6"/>
  <c r="BX32" i="6"/>
  <c r="BY32" i="6"/>
  <c r="BZ32" i="6"/>
  <c r="CA32" i="6"/>
  <c r="CB32" i="6"/>
  <c r="CC32" i="6"/>
  <c r="CD32" i="6"/>
  <c r="CE32" i="6"/>
  <c r="CF32" i="6"/>
  <c r="CG32" i="6"/>
  <c r="CH32" i="6"/>
  <c r="CI32" i="6"/>
  <c r="CJ32" i="6"/>
  <c r="CK32" i="6"/>
  <c r="CL32" i="6"/>
  <c r="CM32" i="6"/>
  <c r="CN32" i="6"/>
  <c r="CO32" i="6"/>
  <c r="CP32" i="6"/>
  <c r="CQ32" i="6"/>
  <c r="CR32" i="6"/>
  <c r="CS32" i="6"/>
  <c r="CT32" i="6"/>
  <c r="CU32" i="6"/>
  <c r="CV32" i="6"/>
  <c r="CW32" i="6"/>
  <c r="CX32" i="6"/>
  <c r="CY32" i="6"/>
  <c r="CZ32" i="6"/>
  <c r="DA32" i="6"/>
  <c r="DB32" i="6"/>
  <c r="DC32" i="6"/>
  <c r="DD32" i="6"/>
  <c r="DE32" i="6"/>
  <c r="DF32" i="6"/>
  <c r="DG32" i="6"/>
  <c r="DH32" i="6"/>
  <c r="DI32" i="6"/>
  <c r="DJ32" i="6"/>
  <c r="DK32" i="6"/>
  <c r="T33" i="6"/>
  <c r="U33" i="6"/>
  <c r="V33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AK33" i="6"/>
  <c r="AL33" i="6"/>
  <c r="AM33" i="6"/>
  <c r="AN33" i="6"/>
  <c r="AO33" i="6"/>
  <c r="AP33" i="6"/>
  <c r="AQ33" i="6"/>
  <c r="AR33" i="6"/>
  <c r="AS33" i="6"/>
  <c r="AT33" i="6"/>
  <c r="AU33" i="6"/>
  <c r="AV33" i="6"/>
  <c r="AW33" i="6"/>
  <c r="AX33" i="6"/>
  <c r="AY33" i="6"/>
  <c r="AZ33" i="6"/>
  <c r="BA33" i="6"/>
  <c r="BB33" i="6"/>
  <c r="BC33" i="6"/>
  <c r="BD33" i="6"/>
  <c r="BE33" i="6"/>
  <c r="BF33" i="6"/>
  <c r="BG33" i="6"/>
  <c r="BH33" i="6"/>
  <c r="BI33" i="6"/>
  <c r="BJ33" i="6"/>
  <c r="BK33" i="6"/>
  <c r="BL33" i="6"/>
  <c r="BM33" i="6"/>
  <c r="BN33" i="6"/>
  <c r="BO33" i="6"/>
  <c r="BP33" i="6"/>
  <c r="BQ33" i="6"/>
  <c r="BR33" i="6"/>
  <c r="BS33" i="6"/>
  <c r="BT33" i="6"/>
  <c r="BU33" i="6"/>
  <c r="BV33" i="6"/>
  <c r="BW33" i="6"/>
  <c r="BX33" i="6"/>
  <c r="BY33" i="6"/>
  <c r="BZ33" i="6"/>
  <c r="CA33" i="6"/>
  <c r="CB33" i="6"/>
  <c r="CC33" i="6"/>
  <c r="CD33" i="6"/>
  <c r="CE33" i="6"/>
  <c r="CF33" i="6"/>
  <c r="CG33" i="6"/>
  <c r="CH33" i="6"/>
  <c r="CI33" i="6"/>
  <c r="CJ33" i="6"/>
  <c r="CK33" i="6"/>
  <c r="CL33" i="6"/>
  <c r="CM33" i="6"/>
  <c r="CN33" i="6"/>
  <c r="CO33" i="6"/>
  <c r="CP33" i="6"/>
  <c r="CQ33" i="6"/>
  <c r="CR33" i="6"/>
  <c r="CS33" i="6"/>
  <c r="CT33" i="6"/>
  <c r="CU33" i="6"/>
  <c r="CV33" i="6"/>
  <c r="CW33" i="6"/>
  <c r="CX33" i="6"/>
  <c r="CY33" i="6"/>
  <c r="CZ33" i="6"/>
  <c r="DA33" i="6"/>
  <c r="DB33" i="6"/>
  <c r="DC33" i="6"/>
  <c r="DD33" i="6"/>
  <c r="DE33" i="6"/>
  <c r="DF33" i="6"/>
  <c r="DG33" i="6"/>
  <c r="DH33" i="6"/>
  <c r="DI33" i="6"/>
  <c r="DJ33" i="6"/>
  <c r="DK33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AK34" i="6"/>
  <c r="AL34" i="6"/>
  <c r="AM34" i="6"/>
  <c r="AN34" i="6"/>
  <c r="AO34" i="6"/>
  <c r="AP34" i="6"/>
  <c r="AQ34" i="6"/>
  <c r="AR34" i="6"/>
  <c r="AS34" i="6"/>
  <c r="AT34" i="6"/>
  <c r="AU34" i="6"/>
  <c r="AV34" i="6"/>
  <c r="AW34" i="6"/>
  <c r="AX34" i="6"/>
  <c r="AY34" i="6"/>
  <c r="AZ34" i="6"/>
  <c r="BA34" i="6"/>
  <c r="BB34" i="6"/>
  <c r="BC34" i="6"/>
  <c r="BD34" i="6"/>
  <c r="BE34" i="6"/>
  <c r="BF34" i="6"/>
  <c r="BG34" i="6"/>
  <c r="BH34" i="6"/>
  <c r="BI34" i="6"/>
  <c r="BJ34" i="6"/>
  <c r="BK34" i="6"/>
  <c r="BL34" i="6"/>
  <c r="BM34" i="6"/>
  <c r="BN34" i="6"/>
  <c r="BO34" i="6"/>
  <c r="BP34" i="6"/>
  <c r="BQ34" i="6"/>
  <c r="BR34" i="6"/>
  <c r="BS34" i="6"/>
  <c r="BT34" i="6"/>
  <c r="BU34" i="6"/>
  <c r="BV34" i="6"/>
  <c r="BW34" i="6"/>
  <c r="BX34" i="6"/>
  <c r="BY34" i="6"/>
  <c r="BZ34" i="6"/>
  <c r="CA34" i="6"/>
  <c r="CB34" i="6"/>
  <c r="CC34" i="6"/>
  <c r="CD34" i="6"/>
  <c r="CE34" i="6"/>
  <c r="CF34" i="6"/>
  <c r="CG34" i="6"/>
  <c r="CH34" i="6"/>
  <c r="CI34" i="6"/>
  <c r="CJ34" i="6"/>
  <c r="CK34" i="6"/>
  <c r="CL34" i="6"/>
  <c r="CM34" i="6"/>
  <c r="CN34" i="6"/>
  <c r="CO34" i="6"/>
  <c r="CP34" i="6"/>
  <c r="CQ34" i="6"/>
  <c r="CR34" i="6"/>
  <c r="CS34" i="6"/>
  <c r="CT34" i="6"/>
  <c r="CU34" i="6"/>
  <c r="CV34" i="6"/>
  <c r="CW34" i="6"/>
  <c r="CX34" i="6"/>
  <c r="CY34" i="6"/>
  <c r="CZ34" i="6"/>
  <c r="DA34" i="6"/>
  <c r="DB34" i="6"/>
  <c r="DC34" i="6"/>
  <c r="DD34" i="6"/>
  <c r="DE34" i="6"/>
  <c r="DF34" i="6"/>
  <c r="DG34" i="6"/>
  <c r="DH34" i="6"/>
  <c r="DI34" i="6"/>
  <c r="DJ34" i="6"/>
  <c r="DK34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D35" i="6"/>
  <c r="CE35" i="6"/>
  <c r="CF35" i="6"/>
  <c r="CG35" i="6"/>
  <c r="CH35" i="6"/>
  <c r="CI35" i="6"/>
  <c r="CJ35" i="6"/>
  <c r="CK35" i="6"/>
  <c r="CL35" i="6"/>
  <c r="CM35" i="6"/>
  <c r="CN35" i="6"/>
  <c r="CO35" i="6"/>
  <c r="CP35" i="6"/>
  <c r="CQ35" i="6"/>
  <c r="CR35" i="6"/>
  <c r="CS35" i="6"/>
  <c r="CT35" i="6"/>
  <c r="CU35" i="6"/>
  <c r="CV35" i="6"/>
  <c r="CW35" i="6"/>
  <c r="CX35" i="6"/>
  <c r="CY35" i="6"/>
  <c r="CZ35" i="6"/>
  <c r="DA35" i="6"/>
  <c r="DB35" i="6"/>
  <c r="DC35" i="6"/>
  <c r="DD35" i="6"/>
  <c r="DE35" i="6"/>
  <c r="DF35" i="6"/>
  <c r="DG35" i="6"/>
  <c r="DH35" i="6"/>
  <c r="DI35" i="6"/>
  <c r="DJ35" i="6"/>
  <c r="DK35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AK36" i="6"/>
  <c r="AL36" i="6"/>
  <c r="AM36" i="6"/>
  <c r="AN36" i="6"/>
  <c r="AO36" i="6"/>
  <c r="AP36" i="6"/>
  <c r="AQ36" i="6"/>
  <c r="AR36" i="6"/>
  <c r="AS36" i="6"/>
  <c r="AT36" i="6"/>
  <c r="AU36" i="6"/>
  <c r="AV36" i="6"/>
  <c r="AW36" i="6"/>
  <c r="AX36" i="6"/>
  <c r="AY36" i="6"/>
  <c r="AZ36" i="6"/>
  <c r="BA36" i="6"/>
  <c r="BB36" i="6"/>
  <c r="BC36" i="6"/>
  <c r="BD36" i="6"/>
  <c r="BE36" i="6"/>
  <c r="BF36" i="6"/>
  <c r="BG36" i="6"/>
  <c r="BH36" i="6"/>
  <c r="BI36" i="6"/>
  <c r="BJ36" i="6"/>
  <c r="BK36" i="6"/>
  <c r="BL36" i="6"/>
  <c r="BM36" i="6"/>
  <c r="BN36" i="6"/>
  <c r="BO36" i="6"/>
  <c r="BP36" i="6"/>
  <c r="BQ36" i="6"/>
  <c r="BR36" i="6"/>
  <c r="BS36" i="6"/>
  <c r="BT36" i="6"/>
  <c r="BU36" i="6"/>
  <c r="BV36" i="6"/>
  <c r="BW36" i="6"/>
  <c r="BX36" i="6"/>
  <c r="BY36" i="6"/>
  <c r="BZ36" i="6"/>
  <c r="CA36" i="6"/>
  <c r="CB36" i="6"/>
  <c r="CC36" i="6"/>
  <c r="CD36" i="6"/>
  <c r="CE36" i="6"/>
  <c r="CF36" i="6"/>
  <c r="CG36" i="6"/>
  <c r="CH36" i="6"/>
  <c r="CI36" i="6"/>
  <c r="CJ36" i="6"/>
  <c r="CK36" i="6"/>
  <c r="CL36" i="6"/>
  <c r="CM36" i="6"/>
  <c r="CN36" i="6"/>
  <c r="CO36" i="6"/>
  <c r="CP36" i="6"/>
  <c r="CQ36" i="6"/>
  <c r="CR36" i="6"/>
  <c r="CS36" i="6"/>
  <c r="CT36" i="6"/>
  <c r="CU36" i="6"/>
  <c r="CV36" i="6"/>
  <c r="CW36" i="6"/>
  <c r="CX36" i="6"/>
  <c r="CY36" i="6"/>
  <c r="CZ36" i="6"/>
  <c r="DA36" i="6"/>
  <c r="DB36" i="6"/>
  <c r="DC36" i="6"/>
  <c r="DD36" i="6"/>
  <c r="DE36" i="6"/>
  <c r="DF36" i="6"/>
  <c r="DG36" i="6"/>
  <c r="DH36" i="6"/>
  <c r="DI36" i="6"/>
  <c r="DJ36" i="6"/>
  <c r="DK36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AK37" i="6"/>
  <c r="AL37" i="6"/>
  <c r="AM37" i="6"/>
  <c r="AN37" i="6"/>
  <c r="AO37" i="6"/>
  <c r="AP37" i="6"/>
  <c r="AQ37" i="6"/>
  <c r="AR37" i="6"/>
  <c r="AS37" i="6"/>
  <c r="AT37" i="6"/>
  <c r="AU37" i="6"/>
  <c r="AV37" i="6"/>
  <c r="AW37" i="6"/>
  <c r="AX37" i="6"/>
  <c r="AY37" i="6"/>
  <c r="AZ37" i="6"/>
  <c r="BA37" i="6"/>
  <c r="BB37" i="6"/>
  <c r="BC37" i="6"/>
  <c r="BD37" i="6"/>
  <c r="BE37" i="6"/>
  <c r="BF37" i="6"/>
  <c r="BG37" i="6"/>
  <c r="BH37" i="6"/>
  <c r="BI37" i="6"/>
  <c r="BJ37" i="6"/>
  <c r="BK37" i="6"/>
  <c r="BL37" i="6"/>
  <c r="BM37" i="6"/>
  <c r="BN37" i="6"/>
  <c r="BO37" i="6"/>
  <c r="BP37" i="6"/>
  <c r="BQ37" i="6"/>
  <c r="BR37" i="6"/>
  <c r="BS37" i="6"/>
  <c r="BT37" i="6"/>
  <c r="BU37" i="6"/>
  <c r="BV37" i="6"/>
  <c r="BW37" i="6"/>
  <c r="BX37" i="6"/>
  <c r="BY37" i="6"/>
  <c r="BZ37" i="6"/>
  <c r="CA37" i="6"/>
  <c r="CB37" i="6"/>
  <c r="CC37" i="6"/>
  <c r="CD37" i="6"/>
  <c r="CE37" i="6"/>
  <c r="CF37" i="6"/>
  <c r="CG37" i="6"/>
  <c r="CH37" i="6"/>
  <c r="CI37" i="6"/>
  <c r="CJ37" i="6"/>
  <c r="CK37" i="6"/>
  <c r="CL37" i="6"/>
  <c r="CM37" i="6"/>
  <c r="CN37" i="6"/>
  <c r="CO37" i="6"/>
  <c r="CP37" i="6"/>
  <c r="CQ37" i="6"/>
  <c r="CR37" i="6"/>
  <c r="CS37" i="6"/>
  <c r="CT37" i="6"/>
  <c r="CU37" i="6"/>
  <c r="CV37" i="6"/>
  <c r="CW37" i="6"/>
  <c r="CX37" i="6"/>
  <c r="CY37" i="6"/>
  <c r="CZ37" i="6"/>
  <c r="DA37" i="6"/>
  <c r="DB37" i="6"/>
  <c r="DC37" i="6"/>
  <c r="DD37" i="6"/>
  <c r="DE37" i="6"/>
  <c r="DF37" i="6"/>
  <c r="DG37" i="6"/>
  <c r="DH37" i="6"/>
  <c r="DI37" i="6"/>
  <c r="DJ37" i="6"/>
  <c r="DK37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AK38" i="6"/>
  <c r="AL38" i="6"/>
  <c r="AM38" i="6"/>
  <c r="AN38" i="6"/>
  <c r="AO38" i="6"/>
  <c r="AP38" i="6"/>
  <c r="AQ38" i="6"/>
  <c r="AR38" i="6"/>
  <c r="AS38" i="6"/>
  <c r="AT38" i="6"/>
  <c r="AU38" i="6"/>
  <c r="AV38" i="6"/>
  <c r="AW38" i="6"/>
  <c r="AX38" i="6"/>
  <c r="AY38" i="6"/>
  <c r="AZ38" i="6"/>
  <c r="BA38" i="6"/>
  <c r="BB38" i="6"/>
  <c r="BC38" i="6"/>
  <c r="BD38" i="6"/>
  <c r="BE38" i="6"/>
  <c r="BF38" i="6"/>
  <c r="BG38" i="6"/>
  <c r="BH38" i="6"/>
  <c r="BI38" i="6"/>
  <c r="BJ38" i="6"/>
  <c r="BK38" i="6"/>
  <c r="BL38" i="6"/>
  <c r="BM38" i="6"/>
  <c r="BN38" i="6"/>
  <c r="BO38" i="6"/>
  <c r="BP38" i="6"/>
  <c r="BQ38" i="6"/>
  <c r="BR38" i="6"/>
  <c r="BS38" i="6"/>
  <c r="BT38" i="6"/>
  <c r="BU38" i="6"/>
  <c r="BV38" i="6"/>
  <c r="BW38" i="6"/>
  <c r="BX38" i="6"/>
  <c r="BY38" i="6"/>
  <c r="BZ38" i="6"/>
  <c r="CA38" i="6"/>
  <c r="CB38" i="6"/>
  <c r="CC38" i="6"/>
  <c r="CD38" i="6"/>
  <c r="CE38" i="6"/>
  <c r="CF38" i="6"/>
  <c r="CG38" i="6"/>
  <c r="CH38" i="6"/>
  <c r="CI38" i="6"/>
  <c r="CJ38" i="6"/>
  <c r="CK38" i="6"/>
  <c r="CL38" i="6"/>
  <c r="CM38" i="6"/>
  <c r="CN38" i="6"/>
  <c r="CO38" i="6"/>
  <c r="CP38" i="6"/>
  <c r="CQ38" i="6"/>
  <c r="CR38" i="6"/>
  <c r="CS38" i="6"/>
  <c r="CT38" i="6"/>
  <c r="CU38" i="6"/>
  <c r="CV38" i="6"/>
  <c r="CW38" i="6"/>
  <c r="CX38" i="6"/>
  <c r="CY38" i="6"/>
  <c r="CZ38" i="6"/>
  <c r="DA38" i="6"/>
  <c r="DB38" i="6"/>
  <c r="DC38" i="6"/>
  <c r="DD38" i="6"/>
  <c r="DE38" i="6"/>
  <c r="DF38" i="6"/>
  <c r="DG38" i="6"/>
  <c r="DH38" i="6"/>
  <c r="DI38" i="6"/>
  <c r="DJ38" i="6"/>
  <c r="DK38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AK39" i="6"/>
  <c r="AL39" i="6"/>
  <c r="AM39" i="6"/>
  <c r="AN39" i="6"/>
  <c r="AO39" i="6"/>
  <c r="AP39" i="6"/>
  <c r="AQ39" i="6"/>
  <c r="AR39" i="6"/>
  <c r="AS39" i="6"/>
  <c r="AT39" i="6"/>
  <c r="AU39" i="6"/>
  <c r="AV39" i="6"/>
  <c r="AW39" i="6"/>
  <c r="AX39" i="6"/>
  <c r="AY39" i="6"/>
  <c r="AZ39" i="6"/>
  <c r="BA39" i="6"/>
  <c r="BB39" i="6"/>
  <c r="BC39" i="6"/>
  <c r="BD39" i="6"/>
  <c r="BE39" i="6"/>
  <c r="BF39" i="6"/>
  <c r="BG39" i="6"/>
  <c r="BH39" i="6"/>
  <c r="BI39" i="6"/>
  <c r="BJ39" i="6"/>
  <c r="BK39" i="6"/>
  <c r="BL39" i="6"/>
  <c r="BM39" i="6"/>
  <c r="BN39" i="6"/>
  <c r="BO39" i="6"/>
  <c r="BP39" i="6"/>
  <c r="BQ39" i="6"/>
  <c r="BR39" i="6"/>
  <c r="BS39" i="6"/>
  <c r="BT39" i="6"/>
  <c r="BU39" i="6"/>
  <c r="BV39" i="6"/>
  <c r="BW39" i="6"/>
  <c r="BX39" i="6"/>
  <c r="BY39" i="6"/>
  <c r="BZ39" i="6"/>
  <c r="CA39" i="6"/>
  <c r="CB39" i="6"/>
  <c r="CC39" i="6"/>
  <c r="CD39" i="6"/>
  <c r="CE39" i="6"/>
  <c r="CF39" i="6"/>
  <c r="CG39" i="6"/>
  <c r="CH39" i="6"/>
  <c r="CI39" i="6"/>
  <c r="CJ39" i="6"/>
  <c r="CK39" i="6"/>
  <c r="CL39" i="6"/>
  <c r="CM39" i="6"/>
  <c r="CN39" i="6"/>
  <c r="CO39" i="6"/>
  <c r="CP39" i="6"/>
  <c r="CQ39" i="6"/>
  <c r="CR39" i="6"/>
  <c r="CS39" i="6"/>
  <c r="CT39" i="6"/>
  <c r="CU39" i="6"/>
  <c r="CV39" i="6"/>
  <c r="CW39" i="6"/>
  <c r="CX39" i="6"/>
  <c r="CY39" i="6"/>
  <c r="CZ39" i="6"/>
  <c r="DA39" i="6"/>
  <c r="DB39" i="6"/>
  <c r="DC39" i="6"/>
  <c r="DD39" i="6"/>
  <c r="DE39" i="6"/>
  <c r="DF39" i="6"/>
  <c r="DG39" i="6"/>
  <c r="DH39" i="6"/>
  <c r="DI39" i="6"/>
  <c r="DJ39" i="6"/>
  <c r="DK39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AK40" i="6"/>
  <c r="AL40" i="6"/>
  <c r="AM40" i="6"/>
  <c r="AN40" i="6"/>
  <c r="AO40" i="6"/>
  <c r="AP40" i="6"/>
  <c r="AQ40" i="6"/>
  <c r="AR40" i="6"/>
  <c r="AS40" i="6"/>
  <c r="AT40" i="6"/>
  <c r="AU40" i="6"/>
  <c r="AV40" i="6"/>
  <c r="AW40" i="6"/>
  <c r="AX40" i="6"/>
  <c r="AY40" i="6"/>
  <c r="AZ40" i="6"/>
  <c r="BA40" i="6"/>
  <c r="BB40" i="6"/>
  <c r="BC40" i="6"/>
  <c r="BD40" i="6"/>
  <c r="BE40" i="6"/>
  <c r="BF40" i="6"/>
  <c r="BG40" i="6"/>
  <c r="BH40" i="6"/>
  <c r="BI40" i="6"/>
  <c r="BJ40" i="6"/>
  <c r="BK40" i="6"/>
  <c r="BL40" i="6"/>
  <c r="BM40" i="6"/>
  <c r="BN40" i="6"/>
  <c r="BO40" i="6"/>
  <c r="BP40" i="6"/>
  <c r="BQ40" i="6"/>
  <c r="BR40" i="6"/>
  <c r="BS40" i="6"/>
  <c r="BT40" i="6"/>
  <c r="BU40" i="6"/>
  <c r="BV40" i="6"/>
  <c r="BW40" i="6"/>
  <c r="BX40" i="6"/>
  <c r="BY40" i="6"/>
  <c r="BZ40" i="6"/>
  <c r="CA40" i="6"/>
  <c r="CB40" i="6"/>
  <c r="CC40" i="6"/>
  <c r="CD40" i="6"/>
  <c r="CE40" i="6"/>
  <c r="CF40" i="6"/>
  <c r="CG40" i="6"/>
  <c r="CH40" i="6"/>
  <c r="CI40" i="6"/>
  <c r="CJ40" i="6"/>
  <c r="CK40" i="6"/>
  <c r="CL40" i="6"/>
  <c r="CM40" i="6"/>
  <c r="CN40" i="6"/>
  <c r="CO40" i="6"/>
  <c r="CP40" i="6"/>
  <c r="CQ40" i="6"/>
  <c r="CR40" i="6"/>
  <c r="CS40" i="6"/>
  <c r="CT40" i="6"/>
  <c r="CU40" i="6"/>
  <c r="CV40" i="6"/>
  <c r="CW40" i="6"/>
  <c r="CX40" i="6"/>
  <c r="CY40" i="6"/>
  <c r="CZ40" i="6"/>
  <c r="DA40" i="6"/>
  <c r="DB40" i="6"/>
  <c r="DC40" i="6"/>
  <c r="DD40" i="6"/>
  <c r="DE40" i="6"/>
  <c r="DF40" i="6"/>
  <c r="DG40" i="6"/>
  <c r="DH40" i="6"/>
  <c r="DI40" i="6"/>
  <c r="DJ40" i="6"/>
  <c r="DK40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AK41" i="6"/>
  <c r="AL41" i="6"/>
  <c r="AM41" i="6"/>
  <c r="AN41" i="6"/>
  <c r="AO41" i="6"/>
  <c r="AP41" i="6"/>
  <c r="AQ41" i="6"/>
  <c r="AR41" i="6"/>
  <c r="AS41" i="6"/>
  <c r="AT41" i="6"/>
  <c r="AU41" i="6"/>
  <c r="AV41" i="6"/>
  <c r="AW41" i="6"/>
  <c r="AX41" i="6"/>
  <c r="AY41" i="6"/>
  <c r="AZ41" i="6"/>
  <c r="BA41" i="6"/>
  <c r="BB41" i="6"/>
  <c r="BC41" i="6"/>
  <c r="BD41" i="6"/>
  <c r="BE41" i="6"/>
  <c r="BF41" i="6"/>
  <c r="BG41" i="6"/>
  <c r="BH41" i="6"/>
  <c r="BI41" i="6"/>
  <c r="BJ41" i="6"/>
  <c r="BK41" i="6"/>
  <c r="BL41" i="6"/>
  <c r="BM41" i="6"/>
  <c r="BN41" i="6"/>
  <c r="BO41" i="6"/>
  <c r="BP41" i="6"/>
  <c r="BQ41" i="6"/>
  <c r="BR41" i="6"/>
  <c r="BS41" i="6"/>
  <c r="BT41" i="6"/>
  <c r="BU41" i="6"/>
  <c r="BV41" i="6"/>
  <c r="BW41" i="6"/>
  <c r="BX41" i="6"/>
  <c r="BY41" i="6"/>
  <c r="BZ41" i="6"/>
  <c r="CA41" i="6"/>
  <c r="CB41" i="6"/>
  <c r="CC41" i="6"/>
  <c r="CD41" i="6"/>
  <c r="CE41" i="6"/>
  <c r="CF41" i="6"/>
  <c r="CG41" i="6"/>
  <c r="CH41" i="6"/>
  <c r="CI41" i="6"/>
  <c r="CJ41" i="6"/>
  <c r="CK41" i="6"/>
  <c r="CL41" i="6"/>
  <c r="CM41" i="6"/>
  <c r="CN41" i="6"/>
  <c r="CO41" i="6"/>
  <c r="CP41" i="6"/>
  <c r="CQ41" i="6"/>
  <c r="CR41" i="6"/>
  <c r="CS41" i="6"/>
  <c r="CT41" i="6"/>
  <c r="CU41" i="6"/>
  <c r="CV41" i="6"/>
  <c r="CW41" i="6"/>
  <c r="CX41" i="6"/>
  <c r="CY41" i="6"/>
  <c r="CZ41" i="6"/>
  <c r="DA41" i="6"/>
  <c r="DB41" i="6"/>
  <c r="DC41" i="6"/>
  <c r="DD41" i="6"/>
  <c r="DE41" i="6"/>
  <c r="DF41" i="6"/>
  <c r="DG41" i="6"/>
  <c r="DH41" i="6"/>
  <c r="DI41" i="6"/>
  <c r="DJ41" i="6"/>
  <c r="DK41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AK42" i="6"/>
  <c r="AL42" i="6"/>
  <c r="AM42" i="6"/>
  <c r="AN42" i="6"/>
  <c r="AO42" i="6"/>
  <c r="AP42" i="6"/>
  <c r="AQ42" i="6"/>
  <c r="AR42" i="6"/>
  <c r="AS42" i="6"/>
  <c r="AT42" i="6"/>
  <c r="AU42" i="6"/>
  <c r="AV42" i="6"/>
  <c r="AW42" i="6"/>
  <c r="AX42" i="6"/>
  <c r="AY42" i="6"/>
  <c r="AZ42" i="6"/>
  <c r="BA42" i="6"/>
  <c r="BB42" i="6"/>
  <c r="BC42" i="6"/>
  <c r="BD42" i="6"/>
  <c r="BE42" i="6"/>
  <c r="BF42" i="6"/>
  <c r="BG42" i="6"/>
  <c r="BH42" i="6"/>
  <c r="BI42" i="6"/>
  <c r="BJ42" i="6"/>
  <c r="BK42" i="6"/>
  <c r="BL42" i="6"/>
  <c r="BM42" i="6"/>
  <c r="BN42" i="6"/>
  <c r="BO42" i="6"/>
  <c r="BP42" i="6"/>
  <c r="BQ42" i="6"/>
  <c r="BR42" i="6"/>
  <c r="BS42" i="6"/>
  <c r="BT42" i="6"/>
  <c r="BU42" i="6"/>
  <c r="BV42" i="6"/>
  <c r="BW42" i="6"/>
  <c r="BX42" i="6"/>
  <c r="BY42" i="6"/>
  <c r="BZ42" i="6"/>
  <c r="CA42" i="6"/>
  <c r="CB42" i="6"/>
  <c r="CC42" i="6"/>
  <c r="CD42" i="6"/>
  <c r="CE42" i="6"/>
  <c r="CF42" i="6"/>
  <c r="CG42" i="6"/>
  <c r="CH42" i="6"/>
  <c r="CI42" i="6"/>
  <c r="CJ42" i="6"/>
  <c r="CK42" i="6"/>
  <c r="CL42" i="6"/>
  <c r="CM42" i="6"/>
  <c r="CN42" i="6"/>
  <c r="CO42" i="6"/>
  <c r="CP42" i="6"/>
  <c r="CQ42" i="6"/>
  <c r="CR42" i="6"/>
  <c r="CS42" i="6"/>
  <c r="CT42" i="6"/>
  <c r="CU42" i="6"/>
  <c r="CV42" i="6"/>
  <c r="CW42" i="6"/>
  <c r="CX42" i="6"/>
  <c r="CY42" i="6"/>
  <c r="CZ42" i="6"/>
  <c r="DA42" i="6"/>
  <c r="DB42" i="6"/>
  <c r="DC42" i="6"/>
  <c r="DD42" i="6"/>
  <c r="DE42" i="6"/>
  <c r="DF42" i="6"/>
  <c r="DG42" i="6"/>
  <c r="DH42" i="6"/>
  <c r="DI42" i="6"/>
  <c r="DJ42" i="6"/>
  <c r="DK42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AK43" i="6"/>
  <c r="AL43" i="6"/>
  <c r="AM43" i="6"/>
  <c r="AN43" i="6"/>
  <c r="AO43" i="6"/>
  <c r="AP43" i="6"/>
  <c r="AQ43" i="6"/>
  <c r="AR43" i="6"/>
  <c r="AS43" i="6"/>
  <c r="AT43" i="6"/>
  <c r="AU43" i="6"/>
  <c r="AV43" i="6"/>
  <c r="AW43" i="6"/>
  <c r="AX43" i="6"/>
  <c r="AY43" i="6"/>
  <c r="AZ43" i="6"/>
  <c r="BA43" i="6"/>
  <c r="BB43" i="6"/>
  <c r="BC43" i="6"/>
  <c r="BD43" i="6"/>
  <c r="BE43" i="6"/>
  <c r="BF43" i="6"/>
  <c r="BG43" i="6"/>
  <c r="BH43" i="6"/>
  <c r="BI43" i="6"/>
  <c r="BJ43" i="6"/>
  <c r="BK43" i="6"/>
  <c r="BL43" i="6"/>
  <c r="BM43" i="6"/>
  <c r="BN43" i="6"/>
  <c r="BO43" i="6"/>
  <c r="BP43" i="6"/>
  <c r="BQ43" i="6"/>
  <c r="BR43" i="6"/>
  <c r="BS43" i="6"/>
  <c r="BT43" i="6"/>
  <c r="BU43" i="6"/>
  <c r="BV43" i="6"/>
  <c r="BW43" i="6"/>
  <c r="BX43" i="6"/>
  <c r="BY43" i="6"/>
  <c r="BZ43" i="6"/>
  <c r="CA43" i="6"/>
  <c r="CB43" i="6"/>
  <c r="CC43" i="6"/>
  <c r="CD43" i="6"/>
  <c r="CE43" i="6"/>
  <c r="CF43" i="6"/>
  <c r="CG43" i="6"/>
  <c r="CH43" i="6"/>
  <c r="CI43" i="6"/>
  <c r="CJ43" i="6"/>
  <c r="CK43" i="6"/>
  <c r="CL43" i="6"/>
  <c r="CM43" i="6"/>
  <c r="CN43" i="6"/>
  <c r="CO43" i="6"/>
  <c r="CP43" i="6"/>
  <c r="CQ43" i="6"/>
  <c r="CR43" i="6"/>
  <c r="CS43" i="6"/>
  <c r="CT43" i="6"/>
  <c r="CU43" i="6"/>
  <c r="CV43" i="6"/>
  <c r="CW43" i="6"/>
  <c r="CX43" i="6"/>
  <c r="CY43" i="6"/>
  <c r="CZ43" i="6"/>
  <c r="DA43" i="6"/>
  <c r="DB43" i="6"/>
  <c r="DC43" i="6"/>
  <c r="DD43" i="6"/>
  <c r="DE43" i="6"/>
  <c r="DF43" i="6"/>
  <c r="DG43" i="6"/>
  <c r="DH43" i="6"/>
  <c r="DI43" i="6"/>
  <c r="DJ43" i="6"/>
  <c r="DK43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AK44" i="6"/>
  <c r="AL44" i="6"/>
  <c r="AM44" i="6"/>
  <c r="AN44" i="6"/>
  <c r="AO44" i="6"/>
  <c r="AP44" i="6"/>
  <c r="AQ44" i="6"/>
  <c r="AR44" i="6"/>
  <c r="AS44" i="6"/>
  <c r="AT44" i="6"/>
  <c r="AU44" i="6"/>
  <c r="AV44" i="6"/>
  <c r="AW44" i="6"/>
  <c r="AX44" i="6"/>
  <c r="AY44" i="6"/>
  <c r="AZ44" i="6"/>
  <c r="BA44" i="6"/>
  <c r="BB44" i="6"/>
  <c r="BC44" i="6"/>
  <c r="BD44" i="6"/>
  <c r="BE44" i="6"/>
  <c r="BF44" i="6"/>
  <c r="BG44" i="6"/>
  <c r="BH44" i="6"/>
  <c r="BI44" i="6"/>
  <c r="BJ44" i="6"/>
  <c r="BK44" i="6"/>
  <c r="BL44" i="6"/>
  <c r="BM44" i="6"/>
  <c r="BN44" i="6"/>
  <c r="BO44" i="6"/>
  <c r="BP44" i="6"/>
  <c r="BQ44" i="6"/>
  <c r="BR44" i="6"/>
  <c r="BS44" i="6"/>
  <c r="BT44" i="6"/>
  <c r="BU44" i="6"/>
  <c r="BV44" i="6"/>
  <c r="BW44" i="6"/>
  <c r="BX44" i="6"/>
  <c r="BY44" i="6"/>
  <c r="BZ44" i="6"/>
  <c r="CA44" i="6"/>
  <c r="CB44" i="6"/>
  <c r="CC44" i="6"/>
  <c r="CD44" i="6"/>
  <c r="CE44" i="6"/>
  <c r="CF44" i="6"/>
  <c r="CG44" i="6"/>
  <c r="CH44" i="6"/>
  <c r="CI44" i="6"/>
  <c r="CJ44" i="6"/>
  <c r="CK44" i="6"/>
  <c r="CL44" i="6"/>
  <c r="CM44" i="6"/>
  <c r="CN44" i="6"/>
  <c r="CO44" i="6"/>
  <c r="CP44" i="6"/>
  <c r="CQ44" i="6"/>
  <c r="CR44" i="6"/>
  <c r="CS44" i="6"/>
  <c r="CT44" i="6"/>
  <c r="CU44" i="6"/>
  <c r="CV44" i="6"/>
  <c r="CW44" i="6"/>
  <c r="CX44" i="6"/>
  <c r="CY44" i="6"/>
  <c r="CZ44" i="6"/>
  <c r="DA44" i="6"/>
  <c r="DB44" i="6"/>
  <c r="DC44" i="6"/>
  <c r="DD44" i="6"/>
  <c r="DE44" i="6"/>
  <c r="DF44" i="6"/>
  <c r="DG44" i="6"/>
  <c r="DH44" i="6"/>
  <c r="DI44" i="6"/>
  <c r="DJ44" i="6"/>
  <c r="DK44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AK45" i="6"/>
  <c r="AL45" i="6"/>
  <c r="AM45" i="6"/>
  <c r="AN45" i="6"/>
  <c r="AO45" i="6"/>
  <c r="AP45" i="6"/>
  <c r="AQ45" i="6"/>
  <c r="AR45" i="6"/>
  <c r="AS45" i="6"/>
  <c r="AT45" i="6"/>
  <c r="AU45" i="6"/>
  <c r="AV45" i="6"/>
  <c r="AW45" i="6"/>
  <c r="AX45" i="6"/>
  <c r="AY45" i="6"/>
  <c r="AZ45" i="6"/>
  <c r="BA45" i="6"/>
  <c r="BB45" i="6"/>
  <c r="BC45" i="6"/>
  <c r="BD45" i="6"/>
  <c r="BE45" i="6"/>
  <c r="BF45" i="6"/>
  <c r="BG45" i="6"/>
  <c r="BH45" i="6"/>
  <c r="BI45" i="6"/>
  <c r="BJ45" i="6"/>
  <c r="BK45" i="6"/>
  <c r="BL45" i="6"/>
  <c r="BM45" i="6"/>
  <c r="BN45" i="6"/>
  <c r="BO45" i="6"/>
  <c r="BP45" i="6"/>
  <c r="BQ45" i="6"/>
  <c r="BR45" i="6"/>
  <c r="BS45" i="6"/>
  <c r="BT45" i="6"/>
  <c r="BU45" i="6"/>
  <c r="BV45" i="6"/>
  <c r="BW45" i="6"/>
  <c r="BX45" i="6"/>
  <c r="BY45" i="6"/>
  <c r="BZ45" i="6"/>
  <c r="CA45" i="6"/>
  <c r="CB45" i="6"/>
  <c r="CC45" i="6"/>
  <c r="CD45" i="6"/>
  <c r="CE45" i="6"/>
  <c r="CF45" i="6"/>
  <c r="CG45" i="6"/>
  <c r="CH45" i="6"/>
  <c r="CI45" i="6"/>
  <c r="CJ45" i="6"/>
  <c r="CK45" i="6"/>
  <c r="CL45" i="6"/>
  <c r="CM45" i="6"/>
  <c r="CN45" i="6"/>
  <c r="CO45" i="6"/>
  <c r="CP45" i="6"/>
  <c r="CQ45" i="6"/>
  <c r="CR45" i="6"/>
  <c r="CS45" i="6"/>
  <c r="CT45" i="6"/>
  <c r="CU45" i="6"/>
  <c r="CV45" i="6"/>
  <c r="CW45" i="6"/>
  <c r="CX45" i="6"/>
  <c r="CY45" i="6"/>
  <c r="CZ45" i="6"/>
  <c r="DA45" i="6"/>
  <c r="DB45" i="6"/>
  <c r="DC45" i="6"/>
  <c r="DD45" i="6"/>
  <c r="DE45" i="6"/>
  <c r="DF45" i="6"/>
  <c r="DG45" i="6"/>
  <c r="DH45" i="6"/>
  <c r="DI45" i="6"/>
  <c r="DJ45" i="6"/>
  <c r="DK45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AK46" i="6"/>
  <c r="AL46" i="6"/>
  <c r="AM46" i="6"/>
  <c r="AN46" i="6"/>
  <c r="AO46" i="6"/>
  <c r="AP46" i="6"/>
  <c r="AQ46" i="6"/>
  <c r="AR46" i="6"/>
  <c r="AS46" i="6"/>
  <c r="AT46" i="6"/>
  <c r="AU46" i="6"/>
  <c r="AV46" i="6"/>
  <c r="AW46" i="6"/>
  <c r="AX46" i="6"/>
  <c r="AY46" i="6"/>
  <c r="AZ46" i="6"/>
  <c r="BA46" i="6"/>
  <c r="BB46" i="6"/>
  <c r="BC46" i="6"/>
  <c r="BD46" i="6"/>
  <c r="BE46" i="6"/>
  <c r="BF46" i="6"/>
  <c r="BG46" i="6"/>
  <c r="BH46" i="6"/>
  <c r="BI46" i="6"/>
  <c r="BJ46" i="6"/>
  <c r="BK46" i="6"/>
  <c r="BL46" i="6"/>
  <c r="BM46" i="6"/>
  <c r="BN46" i="6"/>
  <c r="BO46" i="6"/>
  <c r="BP46" i="6"/>
  <c r="BQ46" i="6"/>
  <c r="BR46" i="6"/>
  <c r="BS46" i="6"/>
  <c r="BT46" i="6"/>
  <c r="BU46" i="6"/>
  <c r="BV46" i="6"/>
  <c r="BW46" i="6"/>
  <c r="BX46" i="6"/>
  <c r="BY46" i="6"/>
  <c r="BZ46" i="6"/>
  <c r="CA46" i="6"/>
  <c r="CB46" i="6"/>
  <c r="CC46" i="6"/>
  <c r="CD46" i="6"/>
  <c r="CE46" i="6"/>
  <c r="CF46" i="6"/>
  <c r="CG46" i="6"/>
  <c r="CH46" i="6"/>
  <c r="CI46" i="6"/>
  <c r="CJ46" i="6"/>
  <c r="CK46" i="6"/>
  <c r="CL46" i="6"/>
  <c r="CM46" i="6"/>
  <c r="CN46" i="6"/>
  <c r="CO46" i="6"/>
  <c r="CP46" i="6"/>
  <c r="CQ46" i="6"/>
  <c r="CR46" i="6"/>
  <c r="CS46" i="6"/>
  <c r="CT46" i="6"/>
  <c r="CU46" i="6"/>
  <c r="CV46" i="6"/>
  <c r="CW46" i="6"/>
  <c r="CX46" i="6"/>
  <c r="CY46" i="6"/>
  <c r="CZ46" i="6"/>
  <c r="DA46" i="6"/>
  <c r="DB46" i="6"/>
  <c r="DC46" i="6"/>
  <c r="DD46" i="6"/>
  <c r="DE46" i="6"/>
  <c r="DF46" i="6"/>
  <c r="DG46" i="6"/>
  <c r="DH46" i="6"/>
  <c r="DI46" i="6"/>
  <c r="DJ46" i="6"/>
  <c r="DK46" i="6"/>
  <c r="T47" i="6"/>
  <c r="U47" i="6"/>
  <c r="V47" i="6"/>
  <c r="W47" i="6"/>
  <c r="X47" i="6"/>
  <c r="Y47" i="6"/>
  <c r="Z47" i="6"/>
  <c r="AA47" i="6"/>
  <c r="AB47" i="6"/>
  <c r="AC47" i="6"/>
  <c r="AD47" i="6"/>
  <c r="AE47" i="6"/>
  <c r="AF47" i="6"/>
  <c r="AG47" i="6"/>
  <c r="AH47" i="6"/>
  <c r="AI47" i="6"/>
  <c r="AJ47" i="6"/>
  <c r="AK47" i="6"/>
  <c r="AL47" i="6"/>
  <c r="AM47" i="6"/>
  <c r="AN47" i="6"/>
  <c r="AO47" i="6"/>
  <c r="AP47" i="6"/>
  <c r="AQ47" i="6"/>
  <c r="AR47" i="6"/>
  <c r="AS47" i="6"/>
  <c r="AT47" i="6"/>
  <c r="AU47" i="6"/>
  <c r="AV47" i="6"/>
  <c r="AW47" i="6"/>
  <c r="AX47" i="6"/>
  <c r="AY47" i="6"/>
  <c r="AZ47" i="6"/>
  <c r="BA47" i="6"/>
  <c r="BB47" i="6"/>
  <c r="BC47" i="6"/>
  <c r="BD47" i="6"/>
  <c r="BE47" i="6"/>
  <c r="BF47" i="6"/>
  <c r="BG47" i="6"/>
  <c r="BH47" i="6"/>
  <c r="BI47" i="6"/>
  <c r="BJ47" i="6"/>
  <c r="BK47" i="6"/>
  <c r="BL47" i="6"/>
  <c r="BM47" i="6"/>
  <c r="BN47" i="6"/>
  <c r="BO47" i="6"/>
  <c r="BP47" i="6"/>
  <c r="BQ47" i="6"/>
  <c r="BR47" i="6"/>
  <c r="BS47" i="6"/>
  <c r="BT47" i="6"/>
  <c r="BU47" i="6"/>
  <c r="BV47" i="6"/>
  <c r="BW47" i="6"/>
  <c r="BX47" i="6"/>
  <c r="BY47" i="6"/>
  <c r="BZ47" i="6"/>
  <c r="CA47" i="6"/>
  <c r="CB47" i="6"/>
  <c r="CC47" i="6"/>
  <c r="CD47" i="6"/>
  <c r="CE47" i="6"/>
  <c r="CF47" i="6"/>
  <c r="CG47" i="6"/>
  <c r="CH47" i="6"/>
  <c r="CI47" i="6"/>
  <c r="CJ47" i="6"/>
  <c r="CK47" i="6"/>
  <c r="CL47" i="6"/>
  <c r="CM47" i="6"/>
  <c r="CN47" i="6"/>
  <c r="CO47" i="6"/>
  <c r="CP47" i="6"/>
  <c r="CQ47" i="6"/>
  <c r="CR47" i="6"/>
  <c r="CS47" i="6"/>
  <c r="CT47" i="6"/>
  <c r="CU47" i="6"/>
  <c r="CV47" i="6"/>
  <c r="CW47" i="6"/>
  <c r="CX47" i="6"/>
  <c r="CY47" i="6"/>
  <c r="CZ47" i="6"/>
  <c r="DA47" i="6"/>
  <c r="DB47" i="6"/>
  <c r="DC47" i="6"/>
  <c r="DD47" i="6"/>
  <c r="DE47" i="6"/>
  <c r="DF47" i="6"/>
  <c r="DG47" i="6"/>
  <c r="DH47" i="6"/>
  <c r="DI47" i="6"/>
  <c r="DJ47" i="6"/>
  <c r="DK47" i="6"/>
  <c r="T48" i="6"/>
  <c r="U48" i="6"/>
  <c r="V48" i="6"/>
  <c r="W48" i="6"/>
  <c r="X48" i="6"/>
  <c r="Y48" i="6"/>
  <c r="Z48" i="6"/>
  <c r="AA48" i="6"/>
  <c r="AB48" i="6"/>
  <c r="AC48" i="6"/>
  <c r="AD48" i="6"/>
  <c r="AE48" i="6"/>
  <c r="AF48" i="6"/>
  <c r="AG48" i="6"/>
  <c r="AH48" i="6"/>
  <c r="AI48" i="6"/>
  <c r="AJ48" i="6"/>
  <c r="AK48" i="6"/>
  <c r="AL48" i="6"/>
  <c r="AM48" i="6"/>
  <c r="AN48" i="6"/>
  <c r="AO48" i="6"/>
  <c r="AP48" i="6"/>
  <c r="AQ48" i="6"/>
  <c r="AR48" i="6"/>
  <c r="AS48" i="6"/>
  <c r="AT48" i="6"/>
  <c r="AU48" i="6"/>
  <c r="AV48" i="6"/>
  <c r="AW48" i="6"/>
  <c r="AX48" i="6"/>
  <c r="AY48" i="6"/>
  <c r="AZ48" i="6"/>
  <c r="BA48" i="6"/>
  <c r="BB48" i="6"/>
  <c r="BC48" i="6"/>
  <c r="BD48" i="6"/>
  <c r="BE48" i="6"/>
  <c r="BF48" i="6"/>
  <c r="BG48" i="6"/>
  <c r="BH48" i="6"/>
  <c r="BI48" i="6"/>
  <c r="BJ48" i="6"/>
  <c r="BK48" i="6"/>
  <c r="BL48" i="6"/>
  <c r="BM48" i="6"/>
  <c r="BN48" i="6"/>
  <c r="BO48" i="6"/>
  <c r="BP48" i="6"/>
  <c r="BQ48" i="6"/>
  <c r="BR48" i="6"/>
  <c r="BS48" i="6"/>
  <c r="BT48" i="6"/>
  <c r="BU48" i="6"/>
  <c r="BV48" i="6"/>
  <c r="BW48" i="6"/>
  <c r="BX48" i="6"/>
  <c r="BY48" i="6"/>
  <c r="BZ48" i="6"/>
  <c r="CA48" i="6"/>
  <c r="CB48" i="6"/>
  <c r="CC48" i="6"/>
  <c r="CD48" i="6"/>
  <c r="CE48" i="6"/>
  <c r="CF48" i="6"/>
  <c r="CG48" i="6"/>
  <c r="CH48" i="6"/>
  <c r="CI48" i="6"/>
  <c r="CJ48" i="6"/>
  <c r="CK48" i="6"/>
  <c r="CL48" i="6"/>
  <c r="CM48" i="6"/>
  <c r="CN48" i="6"/>
  <c r="CO48" i="6"/>
  <c r="CP48" i="6"/>
  <c r="CQ48" i="6"/>
  <c r="CR48" i="6"/>
  <c r="CS48" i="6"/>
  <c r="CT48" i="6"/>
  <c r="CU48" i="6"/>
  <c r="CV48" i="6"/>
  <c r="CW48" i="6"/>
  <c r="CX48" i="6"/>
  <c r="CY48" i="6"/>
  <c r="CZ48" i="6"/>
  <c r="DA48" i="6"/>
  <c r="DB48" i="6"/>
  <c r="DC48" i="6"/>
  <c r="DD48" i="6"/>
  <c r="DE48" i="6"/>
  <c r="DF48" i="6"/>
  <c r="DG48" i="6"/>
  <c r="DH48" i="6"/>
  <c r="DI48" i="6"/>
  <c r="DJ48" i="6"/>
  <c r="DK48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CK49" i="6"/>
  <c r="CL49" i="6"/>
  <c r="CM49" i="6"/>
  <c r="CN49" i="6"/>
  <c r="CO49" i="6"/>
  <c r="CP49" i="6"/>
  <c r="CQ49" i="6"/>
  <c r="CR49" i="6"/>
  <c r="CS49" i="6"/>
  <c r="CT49" i="6"/>
  <c r="CU49" i="6"/>
  <c r="CV49" i="6"/>
  <c r="CW49" i="6"/>
  <c r="CX49" i="6"/>
  <c r="CY49" i="6"/>
  <c r="CZ49" i="6"/>
  <c r="DA49" i="6"/>
  <c r="DB49" i="6"/>
  <c r="DC49" i="6"/>
  <c r="DD49" i="6"/>
  <c r="DE49" i="6"/>
  <c r="DF49" i="6"/>
  <c r="DG49" i="6"/>
  <c r="DH49" i="6"/>
  <c r="DI49" i="6"/>
  <c r="DJ49" i="6"/>
  <c r="DK49" i="6"/>
  <c r="T50" i="6"/>
  <c r="U50" i="6"/>
  <c r="V50" i="6"/>
  <c r="W50" i="6"/>
  <c r="X50" i="6"/>
  <c r="Y50" i="6"/>
  <c r="Z50" i="6"/>
  <c r="AA50" i="6"/>
  <c r="AB50" i="6"/>
  <c r="AC50" i="6"/>
  <c r="AD50" i="6"/>
  <c r="AE50" i="6"/>
  <c r="AF50" i="6"/>
  <c r="AG50" i="6"/>
  <c r="AH50" i="6"/>
  <c r="AI50" i="6"/>
  <c r="AJ50" i="6"/>
  <c r="AK50" i="6"/>
  <c r="AL50" i="6"/>
  <c r="AM50" i="6"/>
  <c r="AN50" i="6"/>
  <c r="AO50" i="6"/>
  <c r="AP50" i="6"/>
  <c r="AQ50" i="6"/>
  <c r="AR50" i="6"/>
  <c r="AS50" i="6"/>
  <c r="AT50" i="6"/>
  <c r="AU50" i="6"/>
  <c r="AV50" i="6"/>
  <c r="AW50" i="6"/>
  <c r="AX50" i="6"/>
  <c r="AY50" i="6"/>
  <c r="AZ50" i="6"/>
  <c r="BA50" i="6"/>
  <c r="BB50" i="6"/>
  <c r="BC50" i="6"/>
  <c r="BD50" i="6"/>
  <c r="BE50" i="6"/>
  <c r="BF50" i="6"/>
  <c r="BG50" i="6"/>
  <c r="BH50" i="6"/>
  <c r="BI50" i="6"/>
  <c r="BJ50" i="6"/>
  <c r="BK50" i="6"/>
  <c r="BL50" i="6"/>
  <c r="BM50" i="6"/>
  <c r="BN50" i="6"/>
  <c r="BO50" i="6"/>
  <c r="BP50" i="6"/>
  <c r="BQ50" i="6"/>
  <c r="BR50" i="6"/>
  <c r="BS50" i="6"/>
  <c r="BT50" i="6"/>
  <c r="BU50" i="6"/>
  <c r="BV50" i="6"/>
  <c r="BW50" i="6"/>
  <c r="BX50" i="6"/>
  <c r="BY50" i="6"/>
  <c r="BZ50" i="6"/>
  <c r="CA50" i="6"/>
  <c r="CB50" i="6"/>
  <c r="CC50" i="6"/>
  <c r="CD50" i="6"/>
  <c r="CE50" i="6"/>
  <c r="CF50" i="6"/>
  <c r="CG50" i="6"/>
  <c r="CH50" i="6"/>
  <c r="CI50" i="6"/>
  <c r="CJ50" i="6"/>
  <c r="CK50" i="6"/>
  <c r="CL50" i="6"/>
  <c r="CM50" i="6"/>
  <c r="CN50" i="6"/>
  <c r="CO50" i="6"/>
  <c r="CP50" i="6"/>
  <c r="CQ50" i="6"/>
  <c r="CR50" i="6"/>
  <c r="CS50" i="6"/>
  <c r="CT50" i="6"/>
  <c r="CU50" i="6"/>
  <c r="CV50" i="6"/>
  <c r="CW50" i="6"/>
  <c r="CX50" i="6"/>
  <c r="CY50" i="6"/>
  <c r="CZ50" i="6"/>
  <c r="DA50" i="6"/>
  <c r="DB50" i="6"/>
  <c r="DC50" i="6"/>
  <c r="DD50" i="6"/>
  <c r="DE50" i="6"/>
  <c r="DF50" i="6"/>
  <c r="DG50" i="6"/>
  <c r="DH50" i="6"/>
  <c r="DI50" i="6"/>
  <c r="DJ50" i="6"/>
  <c r="DK50" i="6"/>
  <c r="T51" i="6"/>
  <c r="U51" i="6"/>
  <c r="V51" i="6"/>
  <c r="W51" i="6"/>
  <c r="X51" i="6"/>
  <c r="Y51" i="6"/>
  <c r="Z51" i="6"/>
  <c r="AA51" i="6"/>
  <c r="AB51" i="6"/>
  <c r="AC51" i="6"/>
  <c r="AD51" i="6"/>
  <c r="AE51" i="6"/>
  <c r="AF51" i="6"/>
  <c r="AG51" i="6"/>
  <c r="AH51" i="6"/>
  <c r="AI51" i="6"/>
  <c r="AJ51" i="6"/>
  <c r="AK51" i="6"/>
  <c r="AL51" i="6"/>
  <c r="AM51" i="6"/>
  <c r="AN51" i="6"/>
  <c r="AO51" i="6"/>
  <c r="AP51" i="6"/>
  <c r="AQ51" i="6"/>
  <c r="AR51" i="6"/>
  <c r="AS51" i="6"/>
  <c r="AT51" i="6"/>
  <c r="AU51" i="6"/>
  <c r="AV51" i="6"/>
  <c r="AW51" i="6"/>
  <c r="AX51" i="6"/>
  <c r="AY51" i="6"/>
  <c r="AZ51" i="6"/>
  <c r="BA51" i="6"/>
  <c r="BB51" i="6"/>
  <c r="BC51" i="6"/>
  <c r="BD51" i="6"/>
  <c r="BE51" i="6"/>
  <c r="BF51" i="6"/>
  <c r="BG51" i="6"/>
  <c r="BH51" i="6"/>
  <c r="BI51" i="6"/>
  <c r="BJ51" i="6"/>
  <c r="BK51" i="6"/>
  <c r="BL51" i="6"/>
  <c r="BM51" i="6"/>
  <c r="BN51" i="6"/>
  <c r="BO51" i="6"/>
  <c r="BP51" i="6"/>
  <c r="BQ51" i="6"/>
  <c r="BR51" i="6"/>
  <c r="BS51" i="6"/>
  <c r="BT51" i="6"/>
  <c r="BU51" i="6"/>
  <c r="BV51" i="6"/>
  <c r="BW51" i="6"/>
  <c r="BX51" i="6"/>
  <c r="BY51" i="6"/>
  <c r="BZ51" i="6"/>
  <c r="CA51" i="6"/>
  <c r="CB51" i="6"/>
  <c r="CC51" i="6"/>
  <c r="CD51" i="6"/>
  <c r="CE51" i="6"/>
  <c r="CF51" i="6"/>
  <c r="CG51" i="6"/>
  <c r="CH51" i="6"/>
  <c r="CI51" i="6"/>
  <c r="CJ51" i="6"/>
  <c r="CK51" i="6"/>
  <c r="CL51" i="6"/>
  <c r="CM51" i="6"/>
  <c r="CN51" i="6"/>
  <c r="CO51" i="6"/>
  <c r="CP51" i="6"/>
  <c r="CQ51" i="6"/>
  <c r="CR51" i="6"/>
  <c r="CS51" i="6"/>
  <c r="CT51" i="6"/>
  <c r="CU51" i="6"/>
  <c r="CV51" i="6"/>
  <c r="CW51" i="6"/>
  <c r="CX51" i="6"/>
  <c r="CY51" i="6"/>
  <c r="CZ51" i="6"/>
  <c r="DA51" i="6"/>
  <c r="DB51" i="6"/>
  <c r="DC51" i="6"/>
  <c r="DD51" i="6"/>
  <c r="DE51" i="6"/>
  <c r="DF51" i="6"/>
  <c r="DG51" i="6"/>
  <c r="DH51" i="6"/>
  <c r="DI51" i="6"/>
  <c r="DJ51" i="6"/>
  <c r="DK51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AK52" i="6"/>
  <c r="AL52" i="6"/>
  <c r="AM52" i="6"/>
  <c r="AN52" i="6"/>
  <c r="AO52" i="6"/>
  <c r="AP52" i="6"/>
  <c r="AQ52" i="6"/>
  <c r="AR52" i="6"/>
  <c r="AS52" i="6"/>
  <c r="AT52" i="6"/>
  <c r="AU52" i="6"/>
  <c r="AV52" i="6"/>
  <c r="AW52" i="6"/>
  <c r="AX52" i="6"/>
  <c r="AY52" i="6"/>
  <c r="AZ52" i="6"/>
  <c r="BA52" i="6"/>
  <c r="BB52" i="6"/>
  <c r="BC52" i="6"/>
  <c r="BD52" i="6"/>
  <c r="BE52" i="6"/>
  <c r="BF52" i="6"/>
  <c r="BG52" i="6"/>
  <c r="BH52" i="6"/>
  <c r="BI52" i="6"/>
  <c r="BJ52" i="6"/>
  <c r="BK52" i="6"/>
  <c r="BL52" i="6"/>
  <c r="BM52" i="6"/>
  <c r="BN52" i="6"/>
  <c r="BO52" i="6"/>
  <c r="BP52" i="6"/>
  <c r="BQ52" i="6"/>
  <c r="BR52" i="6"/>
  <c r="BS52" i="6"/>
  <c r="BT52" i="6"/>
  <c r="BU52" i="6"/>
  <c r="BV52" i="6"/>
  <c r="BW52" i="6"/>
  <c r="BX52" i="6"/>
  <c r="BY52" i="6"/>
  <c r="BZ52" i="6"/>
  <c r="CA52" i="6"/>
  <c r="CB52" i="6"/>
  <c r="CC52" i="6"/>
  <c r="CD52" i="6"/>
  <c r="CE52" i="6"/>
  <c r="CF52" i="6"/>
  <c r="CG52" i="6"/>
  <c r="CH52" i="6"/>
  <c r="CI52" i="6"/>
  <c r="CJ52" i="6"/>
  <c r="CK52" i="6"/>
  <c r="CL52" i="6"/>
  <c r="CM52" i="6"/>
  <c r="CN52" i="6"/>
  <c r="CO52" i="6"/>
  <c r="CP52" i="6"/>
  <c r="CQ52" i="6"/>
  <c r="CR52" i="6"/>
  <c r="CS52" i="6"/>
  <c r="CT52" i="6"/>
  <c r="CU52" i="6"/>
  <c r="CV52" i="6"/>
  <c r="CW52" i="6"/>
  <c r="CX52" i="6"/>
  <c r="CY52" i="6"/>
  <c r="CZ52" i="6"/>
  <c r="DA52" i="6"/>
  <c r="DB52" i="6"/>
  <c r="DC52" i="6"/>
  <c r="DD52" i="6"/>
  <c r="DE52" i="6"/>
  <c r="DF52" i="6"/>
  <c r="DG52" i="6"/>
  <c r="DH52" i="6"/>
  <c r="DI52" i="6"/>
  <c r="DJ52" i="6"/>
  <c r="DK52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AK53" i="6"/>
  <c r="AL53" i="6"/>
  <c r="AM53" i="6"/>
  <c r="AN53" i="6"/>
  <c r="AO53" i="6"/>
  <c r="AP53" i="6"/>
  <c r="AQ53" i="6"/>
  <c r="AR53" i="6"/>
  <c r="AS53" i="6"/>
  <c r="AT53" i="6"/>
  <c r="AU53" i="6"/>
  <c r="AV53" i="6"/>
  <c r="AW53" i="6"/>
  <c r="AX53" i="6"/>
  <c r="AY53" i="6"/>
  <c r="AZ53" i="6"/>
  <c r="BA53" i="6"/>
  <c r="BB53" i="6"/>
  <c r="BC53" i="6"/>
  <c r="BD53" i="6"/>
  <c r="BE53" i="6"/>
  <c r="BF53" i="6"/>
  <c r="BG53" i="6"/>
  <c r="BH53" i="6"/>
  <c r="BI53" i="6"/>
  <c r="BJ53" i="6"/>
  <c r="BK53" i="6"/>
  <c r="BL53" i="6"/>
  <c r="BM53" i="6"/>
  <c r="BN53" i="6"/>
  <c r="BO53" i="6"/>
  <c r="BP53" i="6"/>
  <c r="BQ53" i="6"/>
  <c r="BR53" i="6"/>
  <c r="BS53" i="6"/>
  <c r="BT53" i="6"/>
  <c r="BU53" i="6"/>
  <c r="BV53" i="6"/>
  <c r="BW53" i="6"/>
  <c r="BX53" i="6"/>
  <c r="BY53" i="6"/>
  <c r="BZ53" i="6"/>
  <c r="CA53" i="6"/>
  <c r="CB53" i="6"/>
  <c r="CC53" i="6"/>
  <c r="CD53" i="6"/>
  <c r="CE53" i="6"/>
  <c r="CF53" i="6"/>
  <c r="CG53" i="6"/>
  <c r="CH53" i="6"/>
  <c r="CI53" i="6"/>
  <c r="CJ53" i="6"/>
  <c r="CK53" i="6"/>
  <c r="CL53" i="6"/>
  <c r="CM53" i="6"/>
  <c r="CN53" i="6"/>
  <c r="CO53" i="6"/>
  <c r="CP53" i="6"/>
  <c r="CQ53" i="6"/>
  <c r="CR53" i="6"/>
  <c r="CS53" i="6"/>
  <c r="CT53" i="6"/>
  <c r="CU53" i="6"/>
  <c r="CV53" i="6"/>
  <c r="CW53" i="6"/>
  <c r="CX53" i="6"/>
  <c r="CY53" i="6"/>
  <c r="CZ53" i="6"/>
  <c r="DA53" i="6"/>
  <c r="DB53" i="6"/>
  <c r="DC53" i="6"/>
  <c r="DD53" i="6"/>
  <c r="DE53" i="6"/>
  <c r="DF53" i="6"/>
  <c r="DG53" i="6"/>
  <c r="DH53" i="6"/>
  <c r="DI53" i="6"/>
  <c r="DJ53" i="6"/>
  <c r="DK53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AK54" i="6"/>
  <c r="AL54" i="6"/>
  <c r="AM54" i="6"/>
  <c r="AN54" i="6"/>
  <c r="AO54" i="6"/>
  <c r="AP54" i="6"/>
  <c r="AQ54" i="6"/>
  <c r="AR54" i="6"/>
  <c r="AS54" i="6"/>
  <c r="AT54" i="6"/>
  <c r="AU54" i="6"/>
  <c r="AV54" i="6"/>
  <c r="AW54" i="6"/>
  <c r="AX54" i="6"/>
  <c r="AY54" i="6"/>
  <c r="AZ54" i="6"/>
  <c r="BA54" i="6"/>
  <c r="BB54" i="6"/>
  <c r="BC54" i="6"/>
  <c r="BD54" i="6"/>
  <c r="BE54" i="6"/>
  <c r="BF54" i="6"/>
  <c r="BG54" i="6"/>
  <c r="BH54" i="6"/>
  <c r="BI54" i="6"/>
  <c r="BJ54" i="6"/>
  <c r="BK54" i="6"/>
  <c r="BL54" i="6"/>
  <c r="BM54" i="6"/>
  <c r="BN54" i="6"/>
  <c r="BO54" i="6"/>
  <c r="BP54" i="6"/>
  <c r="BQ54" i="6"/>
  <c r="BR54" i="6"/>
  <c r="BS54" i="6"/>
  <c r="BT54" i="6"/>
  <c r="BU54" i="6"/>
  <c r="BV54" i="6"/>
  <c r="BW54" i="6"/>
  <c r="BX54" i="6"/>
  <c r="BY54" i="6"/>
  <c r="BZ54" i="6"/>
  <c r="CA54" i="6"/>
  <c r="CB54" i="6"/>
  <c r="CC54" i="6"/>
  <c r="CD54" i="6"/>
  <c r="CE54" i="6"/>
  <c r="CF54" i="6"/>
  <c r="CG54" i="6"/>
  <c r="CH54" i="6"/>
  <c r="CI54" i="6"/>
  <c r="CJ54" i="6"/>
  <c r="CK54" i="6"/>
  <c r="CL54" i="6"/>
  <c r="CM54" i="6"/>
  <c r="CN54" i="6"/>
  <c r="CO54" i="6"/>
  <c r="CP54" i="6"/>
  <c r="CQ54" i="6"/>
  <c r="CR54" i="6"/>
  <c r="CS54" i="6"/>
  <c r="CT54" i="6"/>
  <c r="CU54" i="6"/>
  <c r="CV54" i="6"/>
  <c r="CW54" i="6"/>
  <c r="CX54" i="6"/>
  <c r="CY54" i="6"/>
  <c r="CZ54" i="6"/>
  <c r="DA54" i="6"/>
  <c r="DB54" i="6"/>
  <c r="DC54" i="6"/>
  <c r="DD54" i="6"/>
  <c r="DE54" i="6"/>
  <c r="DF54" i="6"/>
  <c r="DG54" i="6"/>
  <c r="DH54" i="6"/>
  <c r="DI54" i="6"/>
  <c r="DJ54" i="6"/>
  <c r="DK54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AK55" i="6"/>
  <c r="AL55" i="6"/>
  <c r="AM55" i="6"/>
  <c r="AN55" i="6"/>
  <c r="AO55" i="6"/>
  <c r="AP55" i="6"/>
  <c r="AQ55" i="6"/>
  <c r="AR55" i="6"/>
  <c r="AS55" i="6"/>
  <c r="AT55" i="6"/>
  <c r="AU55" i="6"/>
  <c r="AV55" i="6"/>
  <c r="AW55" i="6"/>
  <c r="AX55" i="6"/>
  <c r="AY55" i="6"/>
  <c r="AZ55" i="6"/>
  <c r="BA55" i="6"/>
  <c r="BB55" i="6"/>
  <c r="BC55" i="6"/>
  <c r="BD55" i="6"/>
  <c r="BE55" i="6"/>
  <c r="BF55" i="6"/>
  <c r="BG55" i="6"/>
  <c r="BH55" i="6"/>
  <c r="BI55" i="6"/>
  <c r="BJ55" i="6"/>
  <c r="BK55" i="6"/>
  <c r="BL55" i="6"/>
  <c r="BM55" i="6"/>
  <c r="BN55" i="6"/>
  <c r="BO55" i="6"/>
  <c r="BP55" i="6"/>
  <c r="BQ55" i="6"/>
  <c r="BR55" i="6"/>
  <c r="BS55" i="6"/>
  <c r="BT55" i="6"/>
  <c r="BU55" i="6"/>
  <c r="BV55" i="6"/>
  <c r="BW55" i="6"/>
  <c r="BX55" i="6"/>
  <c r="BY55" i="6"/>
  <c r="BZ55" i="6"/>
  <c r="CA55" i="6"/>
  <c r="CB55" i="6"/>
  <c r="CC55" i="6"/>
  <c r="CD55" i="6"/>
  <c r="CE55" i="6"/>
  <c r="CF55" i="6"/>
  <c r="CG55" i="6"/>
  <c r="CH55" i="6"/>
  <c r="CI55" i="6"/>
  <c r="CJ55" i="6"/>
  <c r="CK55" i="6"/>
  <c r="CL55" i="6"/>
  <c r="CM55" i="6"/>
  <c r="CN55" i="6"/>
  <c r="CO55" i="6"/>
  <c r="CP55" i="6"/>
  <c r="CQ55" i="6"/>
  <c r="CR55" i="6"/>
  <c r="CS55" i="6"/>
  <c r="CT55" i="6"/>
  <c r="CU55" i="6"/>
  <c r="CV55" i="6"/>
  <c r="CW55" i="6"/>
  <c r="CX55" i="6"/>
  <c r="CY55" i="6"/>
  <c r="CZ55" i="6"/>
  <c r="DA55" i="6"/>
  <c r="DB55" i="6"/>
  <c r="DC55" i="6"/>
  <c r="DD55" i="6"/>
  <c r="DE55" i="6"/>
  <c r="DF55" i="6"/>
  <c r="DG55" i="6"/>
  <c r="DH55" i="6"/>
  <c r="DI55" i="6"/>
  <c r="DJ55" i="6"/>
  <c r="DK55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AK56" i="6"/>
  <c r="AL56" i="6"/>
  <c r="AM56" i="6"/>
  <c r="AN56" i="6"/>
  <c r="AO56" i="6"/>
  <c r="AP56" i="6"/>
  <c r="AQ56" i="6"/>
  <c r="AR56" i="6"/>
  <c r="AS56" i="6"/>
  <c r="AT56" i="6"/>
  <c r="AU56" i="6"/>
  <c r="AV56" i="6"/>
  <c r="AW56" i="6"/>
  <c r="AX56" i="6"/>
  <c r="AY56" i="6"/>
  <c r="AZ56" i="6"/>
  <c r="BA56" i="6"/>
  <c r="BB56" i="6"/>
  <c r="BC56" i="6"/>
  <c r="BD56" i="6"/>
  <c r="BE56" i="6"/>
  <c r="BF56" i="6"/>
  <c r="BG56" i="6"/>
  <c r="BH56" i="6"/>
  <c r="BI56" i="6"/>
  <c r="BJ56" i="6"/>
  <c r="BK56" i="6"/>
  <c r="BL56" i="6"/>
  <c r="BM56" i="6"/>
  <c r="BN56" i="6"/>
  <c r="BO56" i="6"/>
  <c r="BP56" i="6"/>
  <c r="BQ56" i="6"/>
  <c r="BR56" i="6"/>
  <c r="BS56" i="6"/>
  <c r="BT56" i="6"/>
  <c r="BU56" i="6"/>
  <c r="BV56" i="6"/>
  <c r="BW56" i="6"/>
  <c r="BX56" i="6"/>
  <c r="BY56" i="6"/>
  <c r="BZ56" i="6"/>
  <c r="CA56" i="6"/>
  <c r="CB56" i="6"/>
  <c r="CC56" i="6"/>
  <c r="CD56" i="6"/>
  <c r="CE56" i="6"/>
  <c r="CF56" i="6"/>
  <c r="CG56" i="6"/>
  <c r="CH56" i="6"/>
  <c r="CI56" i="6"/>
  <c r="CJ56" i="6"/>
  <c r="CK56" i="6"/>
  <c r="CL56" i="6"/>
  <c r="CM56" i="6"/>
  <c r="CN56" i="6"/>
  <c r="CO56" i="6"/>
  <c r="CP56" i="6"/>
  <c r="CQ56" i="6"/>
  <c r="CR56" i="6"/>
  <c r="CS56" i="6"/>
  <c r="CT56" i="6"/>
  <c r="CU56" i="6"/>
  <c r="CV56" i="6"/>
  <c r="CW56" i="6"/>
  <c r="CX56" i="6"/>
  <c r="CY56" i="6"/>
  <c r="CZ56" i="6"/>
  <c r="DA56" i="6"/>
  <c r="DB56" i="6"/>
  <c r="DC56" i="6"/>
  <c r="DD56" i="6"/>
  <c r="DE56" i="6"/>
  <c r="DF56" i="6"/>
  <c r="DG56" i="6"/>
  <c r="DH56" i="6"/>
  <c r="DI56" i="6"/>
  <c r="DJ56" i="6"/>
  <c r="DK56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AK57" i="6"/>
  <c r="AL57" i="6"/>
  <c r="AM57" i="6"/>
  <c r="AN57" i="6"/>
  <c r="AO57" i="6"/>
  <c r="AP57" i="6"/>
  <c r="AQ57" i="6"/>
  <c r="AR57" i="6"/>
  <c r="AS57" i="6"/>
  <c r="AT57" i="6"/>
  <c r="AU57" i="6"/>
  <c r="AV57" i="6"/>
  <c r="AW57" i="6"/>
  <c r="AX57" i="6"/>
  <c r="AY57" i="6"/>
  <c r="AZ57" i="6"/>
  <c r="BA57" i="6"/>
  <c r="BB57" i="6"/>
  <c r="BC57" i="6"/>
  <c r="BD57" i="6"/>
  <c r="BE57" i="6"/>
  <c r="BF57" i="6"/>
  <c r="BG57" i="6"/>
  <c r="BH57" i="6"/>
  <c r="BI57" i="6"/>
  <c r="BJ57" i="6"/>
  <c r="BK57" i="6"/>
  <c r="BL57" i="6"/>
  <c r="BM57" i="6"/>
  <c r="BN57" i="6"/>
  <c r="BO57" i="6"/>
  <c r="BP57" i="6"/>
  <c r="BQ57" i="6"/>
  <c r="BR57" i="6"/>
  <c r="BS57" i="6"/>
  <c r="BT57" i="6"/>
  <c r="BU57" i="6"/>
  <c r="BV57" i="6"/>
  <c r="BW57" i="6"/>
  <c r="BX57" i="6"/>
  <c r="BY57" i="6"/>
  <c r="BZ57" i="6"/>
  <c r="CA57" i="6"/>
  <c r="CB57" i="6"/>
  <c r="CC57" i="6"/>
  <c r="CD57" i="6"/>
  <c r="CE57" i="6"/>
  <c r="CF57" i="6"/>
  <c r="CG57" i="6"/>
  <c r="CH57" i="6"/>
  <c r="CI57" i="6"/>
  <c r="CJ57" i="6"/>
  <c r="CK57" i="6"/>
  <c r="CL57" i="6"/>
  <c r="CM57" i="6"/>
  <c r="CN57" i="6"/>
  <c r="CO57" i="6"/>
  <c r="CP57" i="6"/>
  <c r="CQ57" i="6"/>
  <c r="CR57" i="6"/>
  <c r="CS57" i="6"/>
  <c r="CT57" i="6"/>
  <c r="CU57" i="6"/>
  <c r="CV57" i="6"/>
  <c r="CW57" i="6"/>
  <c r="CX57" i="6"/>
  <c r="CY57" i="6"/>
  <c r="CZ57" i="6"/>
  <c r="DA57" i="6"/>
  <c r="DB57" i="6"/>
  <c r="DC57" i="6"/>
  <c r="DD57" i="6"/>
  <c r="DE57" i="6"/>
  <c r="DF57" i="6"/>
  <c r="DG57" i="6"/>
  <c r="DH57" i="6"/>
  <c r="DI57" i="6"/>
  <c r="DJ57" i="6"/>
  <c r="DK57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AK58" i="6"/>
  <c r="AL58" i="6"/>
  <c r="AM58" i="6"/>
  <c r="AN58" i="6"/>
  <c r="AO58" i="6"/>
  <c r="AP58" i="6"/>
  <c r="AQ58" i="6"/>
  <c r="AR58" i="6"/>
  <c r="AS58" i="6"/>
  <c r="AT58" i="6"/>
  <c r="AU58" i="6"/>
  <c r="AV58" i="6"/>
  <c r="AW58" i="6"/>
  <c r="AX58" i="6"/>
  <c r="AY58" i="6"/>
  <c r="AZ58" i="6"/>
  <c r="BA58" i="6"/>
  <c r="BB58" i="6"/>
  <c r="BC58" i="6"/>
  <c r="BD58" i="6"/>
  <c r="BE58" i="6"/>
  <c r="BF58" i="6"/>
  <c r="BG58" i="6"/>
  <c r="BH58" i="6"/>
  <c r="BI58" i="6"/>
  <c r="BJ58" i="6"/>
  <c r="BK58" i="6"/>
  <c r="BL58" i="6"/>
  <c r="BM58" i="6"/>
  <c r="BN58" i="6"/>
  <c r="BO58" i="6"/>
  <c r="BP58" i="6"/>
  <c r="BQ58" i="6"/>
  <c r="BR58" i="6"/>
  <c r="BS58" i="6"/>
  <c r="BT58" i="6"/>
  <c r="BU58" i="6"/>
  <c r="BV58" i="6"/>
  <c r="BW58" i="6"/>
  <c r="BX58" i="6"/>
  <c r="BY58" i="6"/>
  <c r="BZ58" i="6"/>
  <c r="CA58" i="6"/>
  <c r="CB58" i="6"/>
  <c r="CC58" i="6"/>
  <c r="CD58" i="6"/>
  <c r="CE58" i="6"/>
  <c r="CF58" i="6"/>
  <c r="CG58" i="6"/>
  <c r="CH58" i="6"/>
  <c r="CI58" i="6"/>
  <c r="CJ58" i="6"/>
  <c r="CK58" i="6"/>
  <c r="CL58" i="6"/>
  <c r="CM58" i="6"/>
  <c r="CN58" i="6"/>
  <c r="CO58" i="6"/>
  <c r="CP58" i="6"/>
  <c r="CQ58" i="6"/>
  <c r="CR58" i="6"/>
  <c r="CS58" i="6"/>
  <c r="CT58" i="6"/>
  <c r="CU58" i="6"/>
  <c r="CV58" i="6"/>
  <c r="CW58" i="6"/>
  <c r="CX58" i="6"/>
  <c r="CY58" i="6"/>
  <c r="CZ58" i="6"/>
  <c r="DA58" i="6"/>
  <c r="DB58" i="6"/>
  <c r="DC58" i="6"/>
  <c r="DD58" i="6"/>
  <c r="DE58" i="6"/>
  <c r="DF58" i="6"/>
  <c r="DG58" i="6"/>
  <c r="DH58" i="6"/>
  <c r="DI58" i="6"/>
  <c r="DJ58" i="6"/>
  <c r="DK58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AK59" i="6"/>
  <c r="AL59" i="6"/>
  <c r="AM59" i="6"/>
  <c r="AN59" i="6"/>
  <c r="AO59" i="6"/>
  <c r="AP59" i="6"/>
  <c r="AQ59" i="6"/>
  <c r="AR59" i="6"/>
  <c r="AS59" i="6"/>
  <c r="AT59" i="6"/>
  <c r="AU59" i="6"/>
  <c r="AV59" i="6"/>
  <c r="AW59" i="6"/>
  <c r="AX59" i="6"/>
  <c r="AY59" i="6"/>
  <c r="AZ59" i="6"/>
  <c r="BA59" i="6"/>
  <c r="BB59" i="6"/>
  <c r="BC59" i="6"/>
  <c r="BD59" i="6"/>
  <c r="BE59" i="6"/>
  <c r="BF59" i="6"/>
  <c r="BG59" i="6"/>
  <c r="BH59" i="6"/>
  <c r="BI59" i="6"/>
  <c r="BJ59" i="6"/>
  <c r="BK59" i="6"/>
  <c r="BL59" i="6"/>
  <c r="BM59" i="6"/>
  <c r="BN59" i="6"/>
  <c r="BO59" i="6"/>
  <c r="BP59" i="6"/>
  <c r="BQ59" i="6"/>
  <c r="BR59" i="6"/>
  <c r="BS59" i="6"/>
  <c r="BT59" i="6"/>
  <c r="BU59" i="6"/>
  <c r="BV59" i="6"/>
  <c r="BW59" i="6"/>
  <c r="BX59" i="6"/>
  <c r="BY59" i="6"/>
  <c r="BZ59" i="6"/>
  <c r="CA59" i="6"/>
  <c r="CB59" i="6"/>
  <c r="CC59" i="6"/>
  <c r="CD59" i="6"/>
  <c r="CE59" i="6"/>
  <c r="CF59" i="6"/>
  <c r="CG59" i="6"/>
  <c r="CH59" i="6"/>
  <c r="CI59" i="6"/>
  <c r="CJ59" i="6"/>
  <c r="CK59" i="6"/>
  <c r="CL59" i="6"/>
  <c r="CM59" i="6"/>
  <c r="CN59" i="6"/>
  <c r="CO59" i="6"/>
  <c r="CP59" i="6"/>
  <c r="CQ59" i="6"/>
  <c r="CR59" i="6"/>
  <c r="CS59" i="6"/>
  <c r="CT59" i="6"/>
  <c r="CU59" i="6"/>
  <c r="CV59" i="6"/>
  <c r="CW59" i="6"/>
  <c r="CX59" i="6"/>
  <c r="CY59" i="6"/>
  <c r="CZ59" i="6"/>
  <c r="DA59" i="6"/>
  <c r="DB59" i="6"/>
  <c r="DC59" i="6"/>
  <c r="DD59" i="6"/>
  <c r="DE59" i="6"/>
  <c r="DF59" i="6"/>
  <c r="DG59" i="6"/>
  <c r="DH59" i="6"/>
  <c r="DI59" i="6"/>
  <c r="DJ59" i="6"/>
  <c r="DK59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AK60" i="6"/>
  <c r="AL60" i="6"/>
  <c r="AM60" i="6"/>
  <c r="AN60" i="6"/>
  <c r="AO60" i="6"/>
  <c r="AP60" i="6"/>
  <c r="AQ60" i="6"/>
  <c r="AR60" i="6"/>
  <c r="AS60" i="6"/>
  <c r="AT60" i="6"/>
  <c r="AU60" i="6"/>
  <c r="AV60" i="6"/>
  <c r="AW60" i="6"/>
  <c r="AX60" i="6"/>
  <c r="AY60" i="6"/>
  <c r="AZ60" i="6"/>
  <c r="BA60" i="6"/>
  <c r="BB60" i="6"/>
  <c r="BC60" i="6"/>
  <c r="BD60" i="6"/>
  <c r="BE60" i="6"/>
  <c r="BF60" i="6"/>
  <c r="BG60" i="6"/>
  <c r="BH60" i="6"/>
  <c r="BI60" i="6"/>
  <c r="BJ60" i="6"/>
  <c r="BK60" i="6"/>
  <c r="BL60" i="6"/>
  <c r="BM60" i="6"/>
  <c r="BN60" i="6"/>
  <c r="BO60" i="6"/>
  <c r="BP60" i="6"/>
  <c r="BQ60" i="6"/>
  <c r="BR60" i="6"/>
  <c r="BS60" i="6"/>
  <c r="BT60" i="6"/>
  <c r="BU60" i="6"/>
  <c r="BV60" i="6"/>
  <c r="BW60" i="6"/>
  <c r="BX60" i="6"/>
  <c r="BY60" i="6"/>
  <c r="BZ60" i="6"/>
  <c r="CA60" i="6"/>
  <c r="CB60" i="6"/>
  <c r="CC60" i="6"/>
  <c r="CD60" i="6"/>
  <c r="CE60" i="6"/>
  <c r="CF60" i="6"/>
  <c r="CG60" i="6"/>
  <c r="CH60" i="6"/>
  <c r="CI60" i="6"/>
  <c r="CJ60" i="6"/>
  <c r="CK60" i="6"/>
  <c r="CL60" i="6"/>
  <c r="CM60" i="6"/>
  <c r="CN60" i="6"/>
  <c r="CO60" i="6"/>
  <c r="CP60" i="6"/>
  <c r="CQ60" i="6"/>
  <c r="CR60" i="6"/>
  <c r="CS60" i="6"/>
  <c r="CT60" i="6"/>
  <c r="CU60" i="6"/>
  <c r="CV60" i="6"/>
  <c r="CW60" i="6"/>
  <c r="CX60" i="6"/>
  <c r="CY60" i="6"/>
  <c r="CZ60" i="6"/>
  <c r="DA60" i="6"/>
  <c r="DB60" i="6"/>
  <c r="DC60" i="6"/>
  <c r="DD60" i="6"/>
  <c r="DE60" i="6"/>
  <c r="DF60" i="6"/>
  <c r="DG60" i="6"/>
  <c r="DH60" i="6"/>
  <c r="DI60" i="6"/>
  <c r="DJ60" i="6"/>
  <c r="DK60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AK61" i="6"/>
  <c r="AL61" i="6"/>
  <c r="AM61" i="6"/>
  <c r="AN61" i="6"/>
  <c r="AO61" i="6"/>
  <c r="AP61" i="6"/>
  <c r="AQ61" i="6"/>
  <c r="AR61" i="6"/>
  <c r="AS61" i="6"/>
  <c r="AT61" i="6"/>
  <c r="AU61" i="6"/>
  <c r="AV61" i="6"/>
  <c r="AW61" i="6"/>
  <c r="AX61" i="6"/>
  <c r="AY61" i="6"/>
  <c r="AZ61" i="6"/>
  <c r="BA61" i="6"/>
  <c r="BB61" i="6"/>
  <c r="BC61" i="6"/>
  <c r="BD61" i="6"/>
  <c r="BE61" i="6"/>
  <c r="BF61" i="6"/>
  <c r="BG61" i="6"/>
  <c r="BH61" i="6"/>
  <c r="BI61" i="6"/>
  <c r="BJ61" i="6"/>
  <c r="BK61" i="6"/>
  <c r="BL61" i="6"/>
  <c r="BM61" i="6"/>
  <c r="BN61" i="6"/>
  <c r="BO61" i="6"/>
  <c r="BP61" i="6"/>
  <c r="BQ61" i="6"/>
  <c r="BR61" i="6"/>
  <c r="BS61" i="6"/>
  <c r="BT61" i="6"/>
  <c r="BU61" i="6"/>
  <c r="BV61" i="6"/>
  <c r="BW61" i="6"/>
  <c r="BX61" i="6"/>
  <c r="BY61" i="6"/>
  <c r="BZ61" i="6"/>
  <c r="CA61" i="6"/>
  <c r="CB61" i="6"/>
  <c r="CC61" i="6"/>
  <c r="CD61" i="6"/>
  <c r="CE61" i="6"/>
  <c r="CF61" i="6"/>
  <c r="CG61" i="6"/>
  <c r="CH61" i="6"/>
  <c r="CI61" i="6"/>
  <c r="CJ61" i="6"/>
  <c r="CK61" i="6"/>
  <c r="CL61" i="6"/>
  <c r="CM61" i="6"/>
  <c r="CN61" i="6"/>
  <c r="CO61" i="6"/>
  <c r="CP61" i="6"/>
  <c r="CQ61" i="6"/>
  <c r="CR61" i="6"/>
  <c r="CS61" i="6"/>
  <c r="CT61" i="6"/>
  <c r="CU61" i="6"/>
  <c r="CV61" i="6"/>
  <c r="CW61" i="6"/>
  <c r="CX61" i="6"/>
  <c r="CY61" i="6"/>
  <c r="CZ61" i="6"/>
  <c r="DA61" i="6"/>
  <c r="DB61" i="6"/>
  <c r="DC61" i="6"/>
  <c r="DD61" i="6"/>
  <c r="DE61" i="6"/>
  <c r="DF61" i="6"/>
  <c r="DG61" i="6"/>
  <c r="DH61" i="6"/>
  <c r="DI61" i="6"/>
  <c r="DJ61" i="6"/>
  <c r="DK61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AK62" i="6"/>
  <c r="AL62" i="6"/>
  <c r="AM62" i="6"/>
  <c r="AN62" i="6"/>
  <c r="AO62" i="6"/>
  <c r="AP62" i="6"/>
  <c r="AQ62" i="6"/>
  <c r="AR62" i="6"/>
  <c r="AS62" i="6"/>
  <c r="AT62" i="6"/>
  <c r="AU62" i="6"/>
  <c r="AV62" i="6"/>
  <c r="AW62" i="6"/>
  <c r="AX62" i="6"/>
  <c r="AY62" i="6"/>
  <c r="AZ62" i="6"/>
  <c r="BA62" i="6"/>
  <c r="BB62" i="6"/>
  <c r="BC62" i="6"/>
  <c r="BD62" i="6"/>
  <c r="BE62" i="6"/>
  <c r="BF62" i="6"/>
  <c r="BG62" i="6"/>
  <c r="BH62" i="6"/>
  <c r="BI62" i="6"/>
  <c r="BJ62" i="6"/>
  <c r="BK62" i="6"/>
  <c r="BL62" i="6"/>
  <c r="BM62" i="6"/>
  <c r="BN62" i="6"/>
  <c r="BO62" i="6"/>
  <c r="BP62" i="6"/>
  <c r="BQ62" i="6"/>
  <c r="BR62" i="6"/>
  <c r="BS62" i="6"/>
  <c r="BT62" i="6"/>
  <c r="BU62" i="6"/>
  <c r="BV62" i="6"/>
  <c r="BW62" i="6"/>
  <c r="BX62" i="6"/>
  <c r="BY62" i="6"/>
  <c r="BZ62" i="6"/>
  <c r="CA62" i="6"/>
  <c r="CB62" i="6"/>
  <c r="CC62" i="6"/>
  <c r="CD62" i="6"/>
  <c r="CE62" i="6"/>
  <c r="CF62" i="6"/>
  <c r="CG62" i="6"/>
  <c r="CH62" i="6"/>
  <c r="CI62" i="6"/>
  <c r="CJ62" i="6"/>
  <c r="CK62" i="6"/>
  <c r="CL62" i="6"/>
  <c r="CM62" i="6"/>
  <c r="CN62" i="6"/>
  <c r="CO62" i="6"/>
  <c r="CP62" i="6"/>
  <c r="CQ62" i="6"/>
  <c r="CR62" i="6"/>
  <c r="CS62" i="6"/>
  <c r="CT62" i="6"/>
  <c r="CU62" i="6"/>
  <c r="CV62" i="6"/>
  <c r="CW62" i="6"/>
  <c r="CX62" i="6"/>
  <c r="CY62" i="6"/>
  <c r="CZ62" i="6"/>
  <c r="DA62" i="6"/>
  <c r="DB62" i="6"/>
  <c r="DC62" i="6"/>
  <c r="DD62" i="6"/>
  <c r="DE62" i="6"/>
  <c r="DF62" i="6"/>
  <c r="DG62" i="6"/>
  <c r="DH62" i="6"/>
  <c r="DI62" i="6"/>
  <c r="DJ62" i="6"/>
  <c r="DK62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AK63" i="6"/>
  <c r="AL63" i="6"/>
  <c r="AM63" i="6"/>
  <c r="AN63" i="6"/>
  <c r="AO63" i="6"/>
  <c r="AP63" i="6"/>
  <c r="AQ63" i="6"/>
  <c r="AR63" i="6"/>
  <c r="AS63" i="6"/>
  <c r="AT63" i="6"/>
  <c r="AU63" i="6"/>
  <c r="AV63" i="6"/>
  <c r="AW63" i="6"/>
  <c r="AX63" i="6"/>
  <c r="AY63" i="6"/>
  <c r="AZ63" i="6"/>
  <c r="BA63" i="6"/>
  <c r="BB63" i="6"/>
  <c r="BC63" i="6"/>
  <c r="BD63" i="6"/>
  <c r="BE63" i="6"/>
  <c r="BF63" i="6"/>
  <c r="BG63" i="6"/>
  <c r="BH63" i="6"/>
  <c r="BI63" i="6"/>
  <c r="BJ63" i="6"/>
  <c r="BK63" i="6"/>
  <c r="BL63" i="6"/>
  <c r="BM63" i="6"/>
  <c r="BN63" i="6"/>
  <c r="BO63" i="6"/>
  <c r="BP63" i="6"/>
  <c r="BQ63" i="6"/>
  <c r="BR63" i="6"/>
  <c r="BS63" i="6"/>
  <c r="BT63" i="6"/>
  <c r="BU63" i="6"/>
  <c r="BV63" i="6"/>
  <c r="BW63" i="6"/>
  <c r="BX63" i="6"/>
  <c r="BY63" i="6"/>
  <c r="BZ63" i="6"/>
  <c r="CA63" i="6"/>
  <c r="CB63" i="6"/>
  <c r="CC63" i="6"/>
  <c r="CD63" i="6"/>
  <c r="CE63" i="6"/>
  <c r="CF63" i="6"/>
  <c r="CG63" i="6"/>
  <c r="CH63" i="6"/>
  <c r="CI63" i="6"/>
  <c r="CJ63" i="6"/>
  <c r="CK63" i="6"/>
  <c r="CL63" i="6"/>
  <c r="CM63" i="6"/>
  <c r="CN63" i="6"/>
  <c r="CO63" i="6"/>
  <c r="CP63" i="6"/>
  <c r="CQ63" i="6"/>
  <c r="CR63" i="6"/>
  <c r="CS63" i="6"/>
  <c r="CT63" i="6"/>
  <c r="CU63" i="6"/>
  <c r="CV63" i="6"/>
  <c r="CW63" i="6"/>
  <c r="CX63" i="6"/>
  <c r="CY63" i="6"/>
  <c r="CZ63" i="6"/>
  <c r="DA63" i="6"/>
  <c r="DB63" i="6"/>
  <c r="DC63" i="6"/>
  <c r="DD63" i="6"/>
  <c r="DE63" i="6"/>
  <c r="DF63" i="6"/>
  <c r="DG63" i="6"/>
  <c r="DH63" i="6"/>
  <c r="DI63" i="6"/>
  <c r="DJ63" i="6"/>
  <c r="DK63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AK64" i="6"/>
  <c r="AL64" i="6"/>
  <c r="AM64" i="6"/>
  <c r="AN64" i="6"/>
  <c r="AO64" i="6"/>
  <c r="AP64" i="6"/>
  <c r="AQ64" i="6"/>
  <c r="AR64" i="6"/>
  <c r="AS64" i="6"/>
  <c r="AT64" i="6"/>
  <c r="AU64" i="6"/>
  <c r="AV64" i="6"/>
  <c r="AW64" i="6"/>
  <c r="AX64" i="6"/>
  <c r="AY64" i="6"/>
  <c r="AZ64" i="6"/>
  <c r="BA64" i="6"/>
  <c r="BB64" i="6"/>
  <c r="BC64" i="6"/>
  <c r="BD64" i="6"/>
  <c r="BE64" i="6"/>
  <c r="BF64" i="6"/>
  <c r="BG64" i="6"/>
  <c r="BH64" i="6"/>
  <c r="BI64" i="6"/>
  <c r="BJ64" i="6"/>
  <c r="BK64" i="6"/>
  <c r="BL64" i="6"/>
  <c r="BM64" i="6"/>
  <c r="BN64" i="6"/>
  <c r="BO64" i="6"/>
  <c r="BP64" i="6"/>
  <c r="BQ64" i="6"/>
  <c r="BR64" i="6"/>
  <c r="BS64" i="6"/>
  <c r="BT64" i="6"/>
  <c r="BU64" i="6"/>
  <c r="BV64" i="6"/>
  <c r="BW64" i="6"/>
  <c r="BX64" i="6"/>
  <c r="BY64" i="6"/>
  <c r="BZ64" i="6"/>
  <c r="CA64" i="6"/>
  <c r="CB64" i="6"/>
  <c r="CC64" i="6"/>
  <c r="CD64" i="6"/>
  <c r="CE64" i="6"/>
  <c r="CF64" i="6"/>
  <c r="CG64" i="6"/>
  <c r="CH64" i="6"/>
  <c r="CI64" i="6"/>
  <c r="CJ64" i="6"/>
  <c r="CK64" i="6"/>
  <c r="CL64" i="6"/>
  <c r="CM64" i="6"/>
  <c r="CN64" i="6"/>
  <c r="CO64" i="6"/>
  <c r="CP64" i="6"/>
  <c r="CQ64" i="6"/>
  <c r="CR64" i="6"/>
  <c r="CS64" i="6"/>
  <c r="CT64" i="6"/>
  <c r="CU64" i="6"/>
  <c r="CV64" i="6"/>
  <c r="CW64" i="6"/>
  <c r="CX64" i="6"/>
  <c r="CY64" i="6"/>
  <c r="CZ64" i="6"/>
  <c r="DA64" i="6"/>
  <c r="DB64" i="6"/>
  <c r="DC64" i="6"/>
  <c r="DD64" i="6"/>
  <c r="DE64" i="6"/>
  <c r="DF64" i="6"/>
  <c r="DG64" i="6"/>
  <c r="DH64" i="6"/>
  <c r="DI64" i="6"/>
  <c r="DJ64" i="6"/>
  <c r="DK64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AK65" i="6"/>
  <c r="AL65" i="6"/>
  <c r="AM65" i="6"/>
  <c r="AN65" i="6"/>
  <c r="AO65" i="6"/>
  <c r="AP65" i="6"/>
  <c r="AQ65" i="6"/>
  <c r="AR65" i="6"/>
  <c r="AS65" i="6"/>
  <c r="AT65" i="6"/>
  <c r="AU65" i="6"/>
  <c r="AV65" i="6"/>
  <c r="AW65" i="6"/>
  <c r="AX65" i="6"/>
  <c r="AY65" i="6"/>
  <c r="AZ65" i="6"/>
  <c r="BA65" i="6"/>
  <c r="BB65" i="6"/>
  <c r="BC65" i="6"/>
  <c r="BD65" i="6"/>
  <c r="BE65" i="6"/>
  <c r="BF65" i="6"/>
  <c r="BG65" i="6"/>
  <c r="BH65" i="6"/>
  <c r="BI65" i="6"/>
  <c r="BJ65" i="6"/>
  <c r="BK65" i="6"/>
  <c r="BL65" i="6"/>
  <c r="BM65" i="6"/>
  <c r="BN65" i="6"/>
  <c r="BO65" i="6"/>
  <c r="BP65" i="6"/>
  <c r="BQ65" i="6"/>
  <c r="BR65" i="6"/>
  <c r="BS65" i="6"/>
  <c r="BT65" i="6"/>
  <c r="BU65" i="6"/>
  <c r="BV65" i="6"/>
  <c r="BW65" i="6"/>
  <c r="BX65" i="6"/>
  <c r="BY65" i="6"/>
  <c r="BZ65" i="6"/>
  <c r="CA65" i="6"/>
  <c r="CB65" i="6"/>
  <c r="CC65" i="6"/>
  <c r="CD65" i="6"/>
  <c r="CE65" i="6"/>
  <c r="CF65" i="6"/>
  <c r="CG65" i="6"/>
  <c r="CH65" i="6"/>
  <c r="CI65" i="6"/>
  <c r="CJ65" i="6"/>
  <c r="CK65" i="6"/>
  <c r="CL65" i="6"/>
  <c r="CM65" i="6"/>
  <c r="CN65" i="6"/>
  <c r="CO65" i="6"/>
  <c r="CP65" i="6"/>
  <c r="CQ65" i="6"/>
  <c r="CR65" i="6"/>
  <c r="CS65" i="6"/>
  <c r="CT65" i="6"/>
  <c r="CU65" i="6"/>
  <c r="CV65" i="6"/>
  <c r="CW65" i="6"/>
  <c r="CX65" i="6"/>
  <c r="CY65" i="6"/>
  <c r="CZ65" i="6"/>
  <c r="DA65" i="6"/>
  <c r="DB65" i="6"/>
  <c r="DC65" i="6"/>
  <c r="DD65" i="6"/>
  <c r="DE65" i="6"/>
  <c r="DF65" i="6"/>
  <c r="DG65" i="6"/>
  <c r="DH65" i="6"/>
  <c r="DI65" i="6"/>
  <c r="DJ65" i="6"/>
  <c r="DK65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AK66" i="6"/>
  <c r="AL66" i="6"/>
  <c r="AM66" i="6"/>
  <c r="AN66" i="6"/>
  <c r="AO66" i="6"/>
  <c r="AP66" i="6"/>
  <c r="AQ66" i="6"/>
  <c r="AR66" i="6"/>
  <c r="AS66" i="6"/>
  <c r="AT66" i="6"/>
  <c r="AU66" i="6"/>
  <c r="AV66" i="6"/>
  <c r="AW66" i="6"/>
  <c r="AX66" i="6"/>
  <c r="AY66" i="6"/>
  <c r="AZ66" i="6"/>
  <c r="BA66" i="6"/>
  <c r="BB66" i="6"/>
  <c r="BC66" i="6"/>
  <c r="BD66" i="6"/>
  <c r="BE66" i="6"/>
  <c r="BF66" i="6"/>
  <c r="BG66" i="6"/>
  <c r="BH66" i="6"/>
  <c r="BI66" i="6"/>
  <c r="BJ66" i="6"/>
  <c r="BK66" i="6"/>
  <c r="BL66" i="6"/>
  <c r="BM66" i="6"/>
  <c r="BN66" i="6"/>
  <c r="BO66" i="6"/>
  <c r="BP66" i="6"/>
  <c r="BQ66" i="6"/>
  <c r="BR66" i="6"/>
  <c r="BS66" i="6"/>
  <c r="BT66" i="6"/>
  <c r="BU66" i="6"/>
  <c r="BV66" i="6"/>
  <c r="BW66" i="6"/>
  <c r="BX66" i="6"/>
  <c r="BY66" i="6"/>
  <c r="BZ66" i="6"/>
  <c r="CA66" i="6"/>
  <c r="CB66" i="6"/>
  <c r="CC66" i="6"/>
  <c r="CD66" i="6"/>
  <c r="CE66" i="6"/>
  <c r="CF66" i="6"/>
  <c r="CG66" i="6"/>
  <c r="CH66" i="6"/>
  <c r="CI66" i="6"/>
  <c r="CJ66" i="6"/>
  <c r="CK66" i="6"/>
  <c r="CL66" i="6"/>
  <c r="CM66" i="6"/>
  <c r="CN66" i="6"/>
  <c r="CO66" i="6"/>
  <c r="CP66" i="6"/>
  <c r="CQ66" i="6"/>
  <c r="CR66" i="6"/>
  <c r="CS66" i="6"/>
  <c r="CT66" i="6"/>
  <c r="CU66" i="6"/>
  <c r="CV66" i="6"/>
  <c r="CW66" i="6"/>
  <c r="CX66" i="6"/>
  <c r="CY66" i="6"/>
  <c r="CZ66" i="6"/>
  <c r="DA66" i="6"/>
  <c r="DB66" i="6"/>
  <c r="DC66" i="6"/>
  <c r="DD66" i="6"/>
  <c r="DE66" i="6"/>
  <c r="DF66" i="6"/>
  <c r="DG66" i="6"/>
  <c r="DH66" i="6"/>
  <c r="DI66" i="6"/>
  <c r="DJ66" i="6"/>
  <c r="DK66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AK67" i="6"/>
  <c r="AL67" i="6"/>
  <c r="AM67" i="6"/>
  <c r="AN67" i="6"/>
  <c r="AO67" i="6"/>
  <c r="AP67" i="6"/>
  <c r="AQ67" i="6"/>
  <c r="AR67" i="6"/>
  <c r="AS67" i="6"/>
  <c r="AT67" i="6"/>
  <c r="AU67" i="6"/>
  <c r="AV67" i="6"/>
  <c r="AW67" i="6"/>
  <c r="AX67" i="6"/>
  <c r="AY67" i="6"/>
  <c r="AZ67" i="6"/>
  <c r="BA67" i="6"/>
  <c r="BB67" i="6"/>
  <c r="BC67" i="6"/>
  <c r="BD67" i="6"/>
  <c r="BE67" i="6"/>
  <c r="BF67" i="6"/>
  <c r="BG67" i="6"/>
  <c r="BH67" i="6"/>
  <c r="BI67" i="6"/>
  <c r="BJ67" i="6"/>
  <c r="BK67" i="6"/>
  <c r="BL67" i="6"/>
  <c r="BM67" i="6"/>
  <c r="BN67" i="6"/>
  <c r="BO67" i="6"/>
  <c r="BP67" i="6"/>
  <c r="BQ67" i="6"/>
  <c r="BR67" i="6"/>
  <c r="BS67" i="6"/>
  <c r="BT67" i="6"/>
  <c r="BU67" i="6"/>
  <c r="BV67" i="6"/>
  <c r="BW67" i="6"/>
  <c r="BX67" i="6"/>
  <c r="BY67" i="6"/>
  <c r="BZ67" i="6"/>
  <c r="CA67" i="6"/>
  <c r="CB67" i="6"/>
  <c r="CC67" i="6"/>
  <c r="CD67" i="6"/>
  <c r="CE67" i="6"/>
  <c r="CF67" i="6"/>
  <c r="CG67" i="6"/>
  <c r="CH67" i="6"/>
  <c r="CI67" i="6"/>
  <c r="CJ67" i="6"/>
  <c r="CK67" i="6"/>
  <c r="CL67" i="6"/>
  <c r="CM67" i="6"/>
  <c r="CN67" i="6"/>
  <c r="CO67" i="6"/>
  <c r="CP67" i="6"/>
  <c r="CQ67" i="6"/>
  <c r="CR67" i="6"/>
  <c r="CS67" i="6"/>
  <c r="CT67" i="6"/>
  <c r="CU67" i="6"/>
  <c r="CV67" i="6"/>
  <c r="CW67" i="6"/>
  <c r="CX67" i="6"/>
  <c r="CY67" i="6"/>
  <c r="CZ67" i="6"/>
  <c r="DA67" i="6"/>
  <c r="DB67" i="6"/>
  <c r="DC67" i="6"/>
  <c r="DD67" i="6"/>
  <c r="DE67" i="6"/>
  <c r="DF67" i="6"/>
  <c r="DG67" i="6"/>
  <c r="DH67" i="6"/>
  <c r="DI67" i="6"/>
  <c r="DJ67" i="6"/>
  <c r="DK67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AK68" i="6"/>
  <c r="AL68" i="6"/>
  <c r="AM68" i="6"/>
  <c r="AN68" i="6"/>
  <c r="AO68" i="6"/>
  <c r="AP68" i="6"/>
  <c r="AQ68" i="6"/>
  <c r="AR68" i="6"/>
  <c r="AS68" i="6"/>
  <c r="AT68" i="6"/>
  <c r="AU68" i="6"/>
  <c r="AV68" i="6"/>
  <c r="AW68" i="6"/>
  <c r="AX68" i="6"/>
  <c r="AY68" i="6"/>
  <c r="AZ68" i="6"/>
  <c r="BA68" i="6"/>
  <c r="BB68" i="6"/>
  <c r="BC68" i="6"/>
  <c r="BD68" i="6"/>
  <c r="BE68" i="6"/>
  <c r="BF68" i="6"/>
  <c r="BG68" i="6"/>
  <c r="BH68" i="6"/>
  <c r="BI68" i="6"/>
  <c r="BJ68" i="6"/>
  <c r="BK68" i="6"/>
  <c r="BL68" i="6"/>
  <c r="BM68" i="6"/>
  <c r="BN68" i="6"/>
  <c r="BO68" i="6"/>
  <c r="BP68" i="6"/>
  <c r="BQ68" i="6"/>
  <c r="BR68" i="6"/>
  <c r="BS68" i="6"/>
  <c r="BT68" i="6"/>
  <c r="BU68" i="6"/>
  <c r="BV68" i="6"/>
  <c r="BW68" i="6"/>
  <c r="BX68" i="6"/>
  <c r="BY68" i="6"/>
  <c r="BZ68" i="6"/>
  <c r="CA68" i="6"/>
  <c r="CB68" i="6"/>
  <c r="CC68" i="6"/>
  <c r="CD68" i="6"/>
  <c r="CE68" i="6"/>
  <c r="CF68" i="6"/>
  <c r="CG68" i="6"/>
  <c r="CH68" i="6"/>
  <c r="CI68" i="6"/>
  <c r="CJ68" i="6"/>
  <c r="CK68" i="6"/>
  <c r="CL68" i="6"/>
  <c r="CM68" i="6"/>
  <c r="CN68" i="6"/>
  <c r="CO68" i="6"/>
  <c r="CP68" i="6"/>
  <c r="CQ68" i="6"/>
  <c r="CR68" i="6"/>
  <c r="CS68" i="6"/>
  <c r="CT68" i="6"/>
  <c r="CU68" i="6"/>
  <c r="CV68" i="6"/>
  <c r="CW68" i="6"/>
  <c r="CX68" i="6"/>
  <c r="CY68" i="6"/>
  <c r="CZ68" i="6"/>
  <c r="DA68" i="6"/>
  <c r="DB68" i="6"/>
  <c r="DC68" i="6"/>
  <c r="DD68" i="6"/>
  <c r="DE68" i="6"/>
  <c r="DF68" i="6"/>
  <c r="DG68" i="6"/>
  <c r="DH68" i="6"/>
  <c r="DI68" i="6"/>
  <c r="DJ68" i="6"/>
  <c r="DK68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AK69" i="6"/>
  <c r="AL69" i="6"/>
  <c r="AM69" i="6"/>
  <c r="AN69" i="6"/>
  <c r="AO69" i="6"/>
  <c r="AP69" i="6"/>
  <c r="AQ69" i="6"/>
  <c r="AR69" i="6"/>
  <c r="AS69" i="6"/>
  <c r="AT69" i="6"/>
  <c r="AU69" i="6"/>
  <c r="AV69" i="6"/>
  <c r="AW69" i="6"/>
  <c r="AX69" i="6"/>
  <c r="AY69" i="6"/>
  <c r="AZ69" i="6"/>
  <c r="BA69" i="6"/>
  <c r="BB69" i="6"/>
  <c r="BC69" i="6"/>
  <c r="BD69" i="6"/>
  <c r="BE69" i="6"/>
  <c r="BF69" i="6"/>
  <c r="BG69" i="6"/>
  <c r="BH69" i="6"/>
  <c r="BI69" i="6"/>
  <c r="BJ69" i="6"/>
  <c r="BK69" i="6"/>
  <c r="BL69" i="6"/>
  <c r="BM69" i="6"/>
  <c r="BN69" i="6"/>
  <c r="BO69" i="6"/>
  <c r="BP69" i="6"/>
  <c r="BQ69" i="6"/>
  <c r="BR69" i="6"/>
  <c r="BS69" i="6"/>
  <c r="BT69" i="6"/>
  <c r="BU69" i="6"/>
  <c r="BV69" i="6"/>
  <c r="BW69" i="6"/>
  <c r="BX69" i="6"/>
  <c r="BY69" i="6"/>
  <c r="BZ69" i="6"/>
  <c r="CA69" i="6"/>
  <c r="CB69" i="6"/>
  <c r="CC69" i="6"/>
  <c r="CD69" i="6"/>
  <c r="CE69" i="6"/>
  <c r="CF69" i="6"/>
  <c r="CG69" i="6"/>
  <c r="CH69" i="6"/>
  <c r="CI69" i="6"/>
  <c r="CJ69" i="6"/>
  <c r="CK69" i="6"/>
  <c r="CL69" i="6"/>
  <c r="CM69" i="6"/>
  <c r="CN69" i="6"/>
  <c r="CO69" i="6"/>
  <c r="CP69" i="6"/>
  <c r="CQ69" i="6"/>
  <c r="CR69" i="6"/>
  <c r="CS69" i="6"/>
  <c r="CT69" i="6"/>
  <c r="CU69" i="6"/>
  <c r="CV69" i="6"/>
  <c r="CW69" i="6"/>
  <c r="CX69" i="6"/>
  <c r="CY69" i="6"/>
  <c r="CZ69" i="6"/>
  <c r="DA69" i="6"/>
  <c r="DB69" i="6"/>
  <c r="DC69" i="6"/>
  <c r="DD69" i="6"/>
  <c r="DE69" i="6"/>
  <c r="DF69" i="6"/>
  <c r="DG69" i="6"/>
  <c r="DH69" i="6"/>
  <c r="DI69" i="6"/>
  <c r="DJ69" i="6"/>
  <c r="DK69" i="6"/>
  <c r="T70" i="6"/>
  <c r="U70" i="6"/>
  <c r="V70" i="6"/>
  <c r="W70" i="6"/>
  <c r="X70" i="6"/>
  <c r="Y70" i="6"/>
  <c r="Z70" i="6"/>
  <c r="AA70" i="6"/>
  <c r="AB70" i="6"/>
  <c r="AC70" i="6"/>
  <c r="AD70" i="6"/>
  <c r="AE70" i="6"/>
  <c r="AF70" i="6"/>
  <c r="AG70" i="6"/>
  <c r="AH70" i="6"/>
  <c r="AI70" i="6"/>
  <c r="AJ70" i="6"/>
  <c r="AK70" i="6"/>
  <c r="AL70" i="6"/>
  <c r="AM70" i="6"/>
  <c r="AN70" i="6"/>
  <c r="AO70" i="6"/>
  <c r="AP70" i="6"/>
  <c r="AQ70" i="6"/>
  <c r="AR70" i="6"/>
  <c r="AS70" i="6"/>
  <c r="AT70" i="6"/>
  <c r="AU70" i="6"/>
  <c r="AV70" i="6"/>
  <c r="AW70" i="6"/>
  <c r="AX70" i="6"/>
  <c r="AY70" i="6"/>
  <c r="AZ70" i="6"/>
  <c r="BA70" i="6"/>
  <c r="BB70" i="6"/>
  <c r="BC70" i="6"/>
  <c r="BD70" i="6"/>
  <c r="BE70" i="6"/>
  <c r="BF70" i="6"/>
  <c r="BG70" i="6"/>
  <c r="BH70" i="6"/>
  <c r="BI70" i="6"/>
  <c r="BJ70" i="6"/>
  <c r="BK70" i="6"/>
  <c r="BL70" i="6"/>
  <c r="BM70" i="6"/>
  <c r="BN70" i="6"/>
  <c r="BO70" i="6"/>
  <c r="BP70" i="6"/>
  <c r="BQ70" i="6"/>
  <c r="BR70" i="6"/>
  <c r="BS70" i="6"/>
  <c r="BT70" i="6"/>
  <c r="BU70" i="6"/>
  <c r="BV70" i="6"/>
  <c r="BW70" i="6"/>
  <c r="BX70" i="6"/>
  <c r="BY70" i="6"/>
  <c r="BZ70" i="6"/>
  <c r="CA70" i="6"/>
  <c r="CB70" i="6"/>
  <c r="CC70" i="6"/>
  <c r="CD70" i="6"/>
  <c r="CE70" i="6"/>
  <c r="CF70" i="6"/>
  <c r="CG70" i="6"/>
  <c r="CH70" i="6"/>
  <c r="CI70" i="6"/>
  <c r="CJ70" i="6"/>
  <c r="CK70" i="6"/>
  <c r="CL70" i="6"/>
  <c r="CM70" i="6"/>
  <c r="CN70" i="6"/>
  <c r="CO70" i="6"/>
  <c r="CP70" i="6"/>
  <c r="CQ70" i="6"/>
  <c r="CR70" i="6"/>
  <c r="CS70" i="6"/>
  <c r="CT70" i="6"/>
  <c r="CU70" i="6"/>
  <c r="CV70" i="6"/>
  <c r="CW70" i="6"/>
  <c r="CX70" i="6"/>
  <c r="CY70" i="6"/>
  <c r="CZ70" i="6"/>
  <c r="DA70" i="6"/>
  <c r="DB70" i="6"/>
  <c r="DC70" i="6"/>
  <c r="DD70" i="6"/>
  <c r="DE70" i="6"/>
  <c r="DF70" i="6"/>
  <c r="DG70" i="6"/>
  <c r="DH70" i="6"/>
  <c r="DI70" i="6"/>
  <c r="DJ70" i="6"/>
  <c r="DK70" i="6"/>
  <c r="T71" i="6"/>
  <c r="U71" i="6"/>
  <c r="V71" i="6"/>
  <c r="W71" i="6"/>
  <c r="X71" i="6"/>
  <c r="Y71" i="6"/>
  <c r="Z71" i="6"/>
  <c r="AA71" i="6"/>
  <c r="AB71" i="6"/>
  <c r="AC71" i="6"/>
  <c r="AD71" i="6"/>
  <c r="AE71" i="6"/>
  <c r="AF71" i="6"/>
  <c r="AG71" i="6"/>
  <c r="AH71" i="6"/>
  <c r="AI71" i="6"/>
  <c r="AJ71" i="6"/>
  <c r="AK71" i="6"/>
  <c r="AL71" i="6"/>
  <c r="AM71" i="6"/>
  <c r="AN71" i="6"/>
  <c r="AO71" i="6"/>
  <c r="AP71" i="6"/>
  <c r="AQ71" i="6"/>
  <c r="AR71" i="6"/>
  <c r="AS71" i="6"/>
  <c r="AT71" i="6"/>
  <c r="AU71" i="6"/>
  <c r="AV71" i="6"/>
  <c r="AW71" i="6"/>
  <c r="AX71" i="6"/>
  <c r="AY71" i="6"/>
  <c r="AZ71" i="6"/>
  <c r="BA71" i="6"/>
  <c r="BB71" i="6"/>
  <c r="BC71" i="6"/>
  <c r="BD71" i="6"/>
  <c r="BE71" i="6"/>
  <c r="BF71" i="6"/>
  <c r="BG71" i="6"/>
  <c r="BH71" i="6"/>
  <c r="BI71" i="6"/>
  <c r="BJ71" i="6"/>
  <c r="BK71" i="6"/>
  <c r="BL71" i="6"/>
  <c r="BM71" i="6"/>
  <c r="BN71" i="6"/>
  <c r="BO71" i="6"/>
  <c r="BP71" i="6"/>
  <c r="BQ71" i="6"/>
  <c r="BR71" i="6"/>
  <c r="BS71" i="6"/>
  <c r="BT71" i="6"/>
  <c r="BU71" i="6"/>
  <c r="BV71" i="6"/>
  <c r="BW71" i="6"/>
  <c r="BX71" i="6"/>
  <c r="BY71" i="6"/>
  <c r="BZ71" i="6"/>
  <c r="CA71" i="6"/>
  <c r="CB71" i="6"/>
  <c r="CC71" i="6"/>
  <c r="CD71" i="6"/>
  <c r="CE71" i="6"/>
  <c r="CF71" i="6"/>
  <c r="CG71" i="6"/>
  <c r="CH71" i="6"/>
  <c r="CI71" i="6"/>
  <c r="CJ71" i="6"/>
  <c r="CK71" i="6"/>
  <c r="CL71" i="6"/>
  <c r="CM71" i="6"/>
  <c r="CN71" i="6"/>
  <c r="CO71" i="6"/>
  <c r="CP71" i="6"/>
  <c r="CQ71" i="6"/>
  <c r="CR71" i="6"/>
  <c r="CS71" i="6"/>
  <c r="CT71" i="6"/>
  <c r="CU71" i="6"/>
  <c r="CV71" i="6"/>
  <c r="CW71" i="6"/>
  <c r="CX71" i="6"/>
  <c r="CY71" i="6"/>
  <c r="CZ71" i="6"/>
  <c r="DA71" i="6"/>
  <c r="DB71" i="6"/>
  <c r="DC71" i="6"/>
  <c r="DD71" i="6"/>
  <c r="DE71" i="6"/>
  <c r="DF71" i="6"/>
  <c r="DG71" i="6"/>
  <c r="DH71" i="6"/>
  <c r="DI71" i="6"/>
  <c r="DJ71" i="6"/>
  <c r="DK71" i="6"/>
  <c r="T72" i="6"/>
  <c r="U72" i="6"/>
  <c r="V72" i="6"/>
  <c r="W72" i="6"/>
  <c r="X72" i="6"/>
  <c r="Y72" i="6"/>
  <c r="Z72" i="6"/>
  <c r="AA72" i="6"/>
  <c r="AB72" i="6"/>
  <c r="AC72" i="6"/>
  <c r="AD72" i="6"/>
  <c r="AE72" i="6"/>
  <c r="AF72" i="6"/>
  <c r="AG72" i="6"/>
  <c r="AH72" i="6"/>
  <c r="AI72" i="6"/>
  <c r="AJ72" i="6"/>
  <c r="AK72" i="6"/>
  <c r="AL72" i="6"/>
  <c r="AM72" i="6"/>
  <c r="AN72" i="6"/>
  <c r="AO72" i="6"/>
  <c r="AP72" i="6"/>
  <c r="AQ72" i="6"/>
  <c r="AR72" i="6"/>
  <c r="AS72" i="6"/>
  <c r="AT72" i="6"/>
  <c r="AU72" i="6"/>
  <c r="AV72" i="6"/>
  <c r="AW72" i="6"/>
  <c r="AX72" i="6"/>
  <c r="AY72" i="6"/>
  <c r="AZ72" i="6"/>
  <c r="BA72" i="6"/>
  <c r="BB72" i="6"/>
  <c r="BC72" i="6"/>
  <c r="BD72" i="6"/>
  <c r="BE72" i="6"/>
  <c r="BF72" i="6"/>
  <c r="BG72" i="6"/>
  <c r="BH72" i="6"/>
  <c r="BI72" i="6"/>
  <c r="BJ72" i="6"/>
  <c r="BK72" i="6"/>
  <c r="BL72" i="6"/>
  <c r="BM72" i="6"/>
  <c r="BN72" i="6"/>
  <c r="BO72" i="6"/>
  <c r="BP72" i="6"/>
  <c r="BQ72" i="6"/>
  <c r="BR72" i="6"/>
  <c r="BS72" i="6"/>
  <c r="BT72" i="6"/>
  <c r="BU72" i="6"/>
  <c r="BV72" i="6"/>
  <c r="BW72" i="6"/>
  <c r="BX72" i="6"/>
  <c r="BY72" i="6"/>
  <c r="BZ72" i="6"/>
  <c r="CA72" i="6"/>
  <c r="CB72" i="6"/>
  <c r="CC72" i="6"/>
  <c r="CD72" i="6"/>
  <c r="CE72" i="6"/>
  <c r="CF72" i="6"/>
  <c r="CG72" i="6"/>
  <c r="CH72" i="6"/>
  <c r="CI72" i="6"/>
  <c r="CJ72" i="6"/>
  <c r="CK72" i="6"/>
  <c r="CL72" i="6"/>
  <c r="CM72" i="6"/>
  <c r="CN72" i="6"/>
  <c r="CO72" i="6"/>
  <c r="CP72" i="6"/>
  <c r="CQ72" i="6"/>
  <c r="CR72" i="6"/>
  <c r="CS72" i="6"/>
  <c r="CT72" i="6"/>
  <c r="CU72" i="6"/>
  <c r="CV72" i="6"/>
  <c r="CW72" i="6"/>
  <c r="CX72" i="6"/>
  <c r="CY72" i="6"/>
  <c r="CZ72" i="6"/>
  <c r="DA72" i="6"/>
  <c r="DB72" i="6"/>
  <c r="DC72" i="6"/>
  <c r="DD72" i="6"/>
  <c r="DE72" i="6"/>
  <c r="DF72" i="6"/>
  <c r="DG72" i="6"/>
  <c r="DH72" i="6"/>
  <c r="DI72" i="6"/>
  <c r="DJ72" i="6"/>
  <c r="DK72" i="6"/>
  <c r="T73" i="6"/>
  <c r="U73" i="6"/>
  <c r="V73" i="6"/>
  <c r="W73" i="6"/>
  <c r="X73" i="6"/>
  <c r="Y73" i="6"/>
  <c r="Z73" i="6"/>
  <c r="AA73" i="6"/>
  <c r="AB73" i="6"/>
  <c r="AC73" i="6"/>
  <c r="AD73" i="6"/>
  <c r="AE73" i="6"/>
  <c r="AF73" i="6"/>
  <c r="AG73" i="6"/>
  <c r="AH73" i="6"/>
  <c r="AI73" i="6"/>
  <c r="AJ73" i="6"/>
  <c r="AK73" i="6"/>
  <c r="AL73" i="6"/>
  <c r="AM73" i="6"/>
  <c r="AN73" i="6"/>
  <c r="AO73" i="6"/>
  <c r="AP73" i="6"/>
  <c r="AQ73" i="6"/>
  <c r="AR73" i="6"/>
  <c r="AS73" i="6"/>
  <c r="AT73" i="6"/>
  <c r="AU73" i="6"/>
  <c r="AV73" i="6"/>
  <c r="AW73" i="6"/>
  <c r="AX73" i="6"/>
  <c r="AY73" i="6"/>
  <c r="AZ73" i="6"/>
  <c r="BA73" i="6"/>
  <c r="BB73" i="6"/>
  <c r="BC73" i="6"/>
  <c r="BD73" i="6"/>
  <c r="BE73" i="6"/>
  <c r="BF73" i="6"/>
  <c r="BG73" i="6"/>
  <c r="BH73" i="6"/>
  <c r="BI73" i="6"/>
  <c r="BJ73" i="6"/>
  <c r="BK73" i="6"/>
  <c r="BL73" i="6"/>
  <c r="BM73" i="6"/>
  <c r="BN73" i="6"/>
  <c r="BO73" i="6"/>
  <c r="BP73" i="6"/>
  <c r="BQ73" i="6"/>
  <c r="BR73" i="6"/>
  <c r="BS73" i="6"/>
  <c r="BT73" i="6"/>
  <c r="BU73" i="6"/>
  <c r="BV73" i="6"/>
  <c r="BW73" i="6"/>
  <c r="BX73" i="6"/>
  <c r="BY73" i="6"/>
  <c r="BZ73" i="6"/>
  <c r="CA73" i="6"/>
  <c r="CB73" i="6"/>
  <c r="CC73" i="6"/>
  <c r="CD73" i="6"/>
  <c r="CE73" i="6"/>
  <c r="CF73" i="6"/>
  <c r="CG73" i="6"/>
  <c r="CH73" i="6"/>
  <c r="CI73" i="6"/>
  <c r="CJ73" i="6"/>
  <c r="CK73" i="6"/>
  <c r="CL73" i="6"/>
  <c r="CM73" i="6"/>
  <c r="CN73" i="6"/>
  <c r="CO73" i="6"/>
  <c r="CP73" i="6"/>
  <c r="CQ73" i="6"/>
  <c r="CR73" i="6"/>
  <c r="CS73" i="6"/>
  <c r="CT73" i="6"/>
  <c r="CU73" i="6"/>
  <c r="CV73" i="6"/>
  <c r="CW73" i="6"/>
  <c r="CX73" i="6"/>
  <c r="CY73" i="6"/>
  <c r="CZ73" i="6"/>
  <c r="DA73" i="6"/>
  <c r="DB73" i="6"/>
  <c r="DC73" i="6"/>
  <c r="DD73" i="6"/>
  <c r="DE73" i="6"/>
  <c r="DF73" i="6"/>
  <c r="DG73" i="6"/>
  <c r="DH73" i="6"/>
  <c r="DI73" i="6"/>
  <c r="DJ73" i="6"/>
  <c r="DK73" i="6"/>
  <c r="T74" i="6"/>
  <c r="U74" i="6"/>
  <c r="V74" i="6"/>
  <c r="W74" i="6"/>
  <c r="X74" i="6"/>
  <c r="Y74" i="6"/>
  <c r="Z74" i="6"/>
  <c r="AA74" i="6"/>
  <c r="AB74" i="6"/>
  <c r="AC74" i="6"/>
  <c r="AD74" i="6"/>
  <c r="AE74" i="6"/>
  <c r="AF74" i="6"/>
  <c r="AG74" i="6"/>
  <c r="AH74" i="6"/>
  <c r="AI74" i="6"/>
  <c r="AJ74" i="6"/>
  <c r="AK74" i="6"/>
  <c r="AL74" i="6"/>
  <c r="AM74" i="6"/>
  <c r="AN74" i="6"/>
  <c r="AO74" i="6"/>
  <c r="AP74" i="6"/>
  <c r="AQ74" i="6"/>
  <c r="AR74" i="6"/>
  <c r="AS74" i="6"/>
  <c r="AT74" i="6"/>
  <c r="AU74" i="6"/>
  <c r="AV74" i="6"/>
  <c r="AW74" i="6"/>
  <c r="AX74" i="6"/>
  <c r="AY74" i="6"/>
  <c r="AZ74" i="6"/>
  <c r="BA74" i="6"/>
  <c r="BB74" i="6"/>
  <c r="BC74" i="6"/>
  <c r="BD74" i="6"/>
  <c r="BE74" i="6"/>
  <c r="BF74" i="6"/>
  <c r="BG74" i="6"/>
  <c r="BH74" i="6"/>
  <c r="BI74" i="6"/>
  <c r="BJ74" i="6"/>
  <c r="BK74" i="6"/>
  <c r="BL74" i="6"/>
  <c r="BM74" i="6"/>
  <c r="BN74" i="6"/>
  <c r="BO74" i="6"/>
  <c r="BP74" i="6"/>
  <c r="BQ74" i="6"/>
  <c r="BR74" i="6"/>
  <c r="BS74" i="6"/>
  <c r="BT74" i="6"/>
  <c r="BU74" i="6"/>
  <c r="BV74" i="6"/>
  <c r="BW74" i="6"/>
  <c r="BX74" i="6"/>
  <c r="BY74" i="6"/>
  <c r="BZ74" i="6"/>
  <c r="CA74" i="6"/>
  <c r="CB74" i="6"/>
  <c r="CC74" i="6"/>
  <c r="CD74" i="6"/>
  <c r="CE74" i="6"/>
  <c r="CF74" i="6"/>
  <c r="CG74" i="6"/>
  <c r="CH74" i="6"/>
  <c r="CI74" i="6"/>
  <c r="CJ74" i="6"/>
  <c r="CK74" i="6"/>
  <c r="CL74" i="6"/>
  <c r="CM74" i="6"/>
  <c r="CN74" i="6"/>
  <c r="CO74" i="6"/>
  <c r="CP74" i="6"/>
  <c r="CQ74" i="6"/>
  <c r="CR74" i="6"/>
  <c r="CS74" i="6"/>
  <c r="CT74" i="6"/>
  <c r="CU74" i="6"/>
  <c r="CV74" i="6"/>
  <c r="CW74" i="6"/>
  <c r="CX74" i="6"/>
  <c r="CY74" i="6"/>
  <c r="CZ74" i="6"/>
  <c r="DA74" i="6"/>
  <c r="DB74" i="6"/>
  <c r="DC74" i="6"/>
  <c r="DD74" i="6"/>
  <c r="DE74" i="6"/>
  <c r="DF74" i="6"/>
  <c r="DG74" i="6"/>
  <c r="DH74" i="6"/>
  <c r="DI74" i="6"/>
  <c r="DJ74" i="6"/>
  <c r="DK74" i="6"/>
  <c r="T75" i="6"/>
  <c r="U75" i="6"/>
  <c r="V75" i="6"/>
  <c r="W75" i="6"/>
  <c r="X75" i="6"/>
  <c r="Y75" i="6"/>
  <c r="Z75" i="6"/>
  <c r="AA75" i="6"/>
  <c r="AB75" i="6"/>
  <c r="AC75" i="6"/>
  <c r="AD75" i="6"/>
  <c r="AE75" i="6"/>
  <c r="AF75" i="6"/>
  <c r="AG75" i="6"/>
  <c r="AH75" i="6"/>
  <c r="AI75" i="6"/>
  <c r="AJ75" i="6"/>
  <c r="AK75" i="6"/>
  <c r="AL75" i="6"/>
  <c r="AM75" i="6"/>
  <c r="AN75" i="6"/>
  <c r="AO75" i="6"/>
  <c r="AP75" i="6"/>
  <c r="AQ75" i="6"/>
  <c r="AR75" i="6"/>
  <c r="AS75" i="6"/>
  <c r="AT75" i="6"/>
  <c r="AU75" i="6"/>
  <c r="AV75" i="6"/>
  <c r="AW75" i="6"/>
  <c r="AX75" i="6"/>
  <c r="AY75" i="6"/>
  <c r="AZ75" i="6"/>
  <c r="BA75" i="6"/>
  <c r="BB75" i="6"/>
  <c r="BC75" i="6"/>
  <c r="BD75" i="6"/>
  <c r="BE75" i="6"/>
  <c r="BF75" i="6"/>
  <c r="BG75" i="6"/>
  <c r="BH75" i="6"/>
  <c r="BI75" i="6"/>
  <c r="BJ75" i="6"/>
  <c r="BK75" i="6"/>
  <c r="BL75" i="6"/>
  <c r="BM75" i="6"/>
  <c r="BN75" i="6"/>
  <c r="BO75" i="6"/>
  <c r="BP75" i="6"/>
  <c r="BQ75" i="6"/>
  <c r="BR75" i="6"/>
  <c r="BS75" i="6"/>
  <c r="BT75" i="6"/>
  <c r="BU75" i="6"/>
  <c r="BV75" i="6"/>
  <c r="BW75" i="6"/>
  <c r="BX75" i="6"/>
  <c r="BY75" i="6"/>
  <c r="BZ75" i="6"/>
  <c r="CA75" i="6"/>
  <c r="CB75" i="6"/>
  <c r="CC75" i="6"/>
  <c r="CD75" i="6"/>
  <c r="CE75" i="6"/>
  <c r="CF75" i="6"/>
  <c r="CG75" i="6"/>
  <c r="CH75" i="6"/>
  <c r="CI75" i="6"/>
  <c r="CJ75" i="6"/>
  <c r="CK75" i="6"/>
  <c r="CL75" i="6"/>
  <c r="CM75" i="6"/>
  <c r="CN75" i="6"/>
  <c r="CO75" i="6"/>
  <c r="CP75" i="6"/>
  <c r="CQ75" i="6"/>
  <c r="CR75" i="6"/>
  <c r="CS75" i="6"/>
  <c r="CT75" i="6"/>
  <c r="CU75" i="6"/>
  <c r="CV75" i="6"/>
  <c r="CW75" i="6"/>
  <c r="CX75" i="6"/>
  <c r="CY75" i="6"/>
  <c r="CZ75" i="6"/>
  <c r="DA75" i="6"/>
  <c r="DB75" i="6"/>
  <c r="DC75" i="6"/>
  <c r="DD75" i="6"/>
  <c r="DE75" i="6"/>
  <c r="DF75" i="6"/>
  <c r="DG75" i="6"/>
  <c r="DH75" i="6"/>
  <c r="DI75" i="6"/>
  <c r="DJ75" i="6"/>
  <c r="DK75" i="6"/>
  <c r="T76" i="6"/>
  <c r="U76" i="6"/>
  <c r="V76" i="6"/>
  <c r="W76" i="6"/>
  <c r="X76" i="6"/>
  <c r="Y76" i="6"/>
  <c r="Z76" i="6"/>
  <c r="AA76" i="6"/>
  <c r="AB76" i="6"/>
  <c r="AC76" i="6"/>
  <c r="AD76" i="6"/>
  <c r="AE76" i="6"/>
  <c r="AF76" i="6"/>
  <c r="AG76" i="6"/>
  <c r="AH76" i="6"/>
  <c r="AI76" i="6"/>
  <c r="AJ76" i="6"/>
  <c r="AK76" i="6"/>
  <c r="AL76" i="6"/>
  <c r="AM76" i="6"/>
  <c r="AN76" i="6"/>
  <c r="AO76" i="6"/>
  <c r="AP76" i="6"/>
  <c r="AQ76" i="6"/>
  <c r="AR76" i="6"/>
  <c r="AS76" i="6"/>
  <c r="AT76" i="6"/>
  <c r="AU76" i="6"/>
  <c r="AV76" i="6"/>
  <c r="AW76" i="6"/>
  <c r="AX76" i="6"/>
  <c r="AY76" i="6"/>
  <c r="AZ76" i="6"/>
  <c r="BA76" i="6"/>
  <c r="BB76" i="6"/>
  <c r="BC76" i="6"/>
  <c r="BD76" i="6"/>
  <c r="BE76" i="6"/>
  <c r="BF76" i="6"/>
  <c r="BG76" i="6"/>
  <c r="BH76" i="6"/>
  <c r="BI76" i="6"/>
  <c r="BJ76" i="6"/>
  <c r="BK76" i="6"/>
  <c r="BL76" i="6"/>
  <c r="BM76" i="6"/>
  <c r="BN76" i="6"/>
  <c r="BO76" i="6"/>
  <c r="BP76" i="6"/>
  <c r="BQ76" i="6"/>
  <c r="BR76" i="6"/>
  <c r="BS76" i="6"/>
  <c r="BT76" i="6"/>
  <c r="BU76" i="6"/>
  <c r="BV76" i="6"/>
  <c r="BW76" i="6"/>
  <c r="BX76" i="6"/>
  <c r="BY76" i="6"/>
  <c r="BZ76" i="6"/>
  <c r="CA76" i="6"/>
  <c r="CB76" i="6"/>
  <c r="CC76" i="6"/>
  <c r="CD76" i="6"/>
  <c r="CE76" i="6"/>
  <c r="CF76" i="6"/>
  <c r="CG76" i="6"/>
  <c r="CH76" i="6"/>
  <c r="CI76" i="6"/>
  <c r="CJ76" i="6"/>
  <c r="CK76" i="6"/>
  <c r="CL76" i="6"/>
  <c r="CM76" i="6"/>
  <c r="CN76" i="6"/>
  <c r="CO76" i="6"/>
  <c r="CP76" i="6"/>
  <c r="CQ76" i="6"/>
  <c r="CR76" i="6"/>
  <c r="CS76" i="6"/>
  <c r="CT76" i="6"/>
  <c r="CU76" i="6"/>
  <c r="CV76" i="6"/>
  <c r="CW76" i="6"/>
  <c r="CX76" i="6"/>
  <c r="CY76" i="6"/>
  <c r="CZ76" i="6"/>
  <c r="DA76" i="6"/>
  <c r="DB76" i="6"/>
  <c r="DC76" i="6"/>
  <c r="DD76" i="6"/>
  <c r="DE76" i="6"/>
  <c r="DF76" i="6"/>
  <c r="DG76" i="6"/>
  <c r="DH76" i="6"/>
  <c r="DI76" i="6"/>
  <c r="DJ76" i="6"/>
  <c r="DK76" i="6"/>
  <c r="T77" i="6"/>
  <c r="U77" i="6"/>
  <c r="V77" i="6"/>
  <c r="W77" i="6"/>
  <c r="X77" i="6"/>
  <c r="Y77" i="6"/>
  <c r="Z77" i="6"/>
  <c r="AA77" i="6"/>
  <c r="AB77" i="6"/>
  <c r="AC77" i="6"/>
  <c r="AD77" i="6"/>
  <c r="AE77" i="6"/>
  <c r="AF77" i="6"/>
  <c r="AG77" i="6"/>
  <c r="AH77" i="6"/>
  <c r="AI77" i="6"/>
  <c r="AJ77" i="6"/>
  <c r="AK77" i="6"/>
  <c r="AL77" i="6"/>
  <c r="AM77" i="6"/>
  <c r="AN77" i="6"/>
  <c r="AO77" i="6"/>
  <c r="AP77" i="6"/>
  <c r="AQ77" i="6"/>
  <c r="AR77" i="6"/>
  <c r="AS77" i="6"/>
  <c r="AT77" i="6"/>
  <c r="AU77" i="6"/>
  <c r="AV77" i="6"/>
  <c r="AW77" i="6"/>
  <c r="AX77" i="6"/>
  <c r="AY77" i="6"/>
  <c r="AZ77" i="6"/>
  <c r="BA77" i="6"/>
  <c r="BB77" i="6"/>
  <c r="BC77" i="6"/>
  <c r="BD77" i="6"/>
  <c r="BE77" i="6"/>
  <c r="BF77" i="6"/>
  <c r="BG77" i="6"/>
  <c r="BH77" i="6"/>
  <c r="BI77" i="6"/>
  <c r="BJ77" i="6"/>
  <c r="BK77" i="6"/>
  <c r="BL77" i="6"/>
  <c r="BM77" i="6"/>
  <c r="BN77" i="6"/>
  <c r="BO77" i="6"/>
  <c r="BP77" i="6"/>
  <c r="BQ77" i="6"/>
  <c r="BR77" i="6"/>
  <c r="BS77" i="6"/>
  <c r="BT77" i="6"/>
  <c r="BU77" i="6"/>
  <c r="BV77" i="6"/>
  <c r="BW77" i="6"/>
  <c r="BX77" i="6"/>
  <c r="BY77" i="6"/>
  <c r="BZ77" i="6"/>
  <c r="CA77" i="6"/>
  <c r="CB77" i="6"/>
  <c r="CC77" i="6"/>
  <c r="CD77" i="6"/>
  <c r="CE77" i="6"/>
  <c r="CF77" i="6"/>
  <c r="CG77" i="6"/>
  <c r="CH77" i="6"/>
  <c r="CI77" i="6"/>
  <c r="CJ77" i="6"/>
  <c r="CK77" i="6"/>
  <c r="CL77" i="6"/>
  <c r="CM77" i="6"/>
  <c r="CN77" i="6"/>
  <c r="CO77" i="6"/>
  <c r="CP77" i="6"/>
  <c r="CQ77" i="6"/>
  <c r="CR77" i="6"/>
  <c r="CS77" i="6"/>
  <c r="CT77" i="6"/>
  <c r="CU77" i="6"/>
  <c r="CV77" i="6"/>
  <c r="CW77" i="6"/>
  <c r="CX77" i="6"/>
  <c r="CY77" i="6"/>
  <c r="CZ77" i="6"/>
  <c r="DA77" i="6"/>
  <c r="DB77" i="6"/>
  <c r="DC77" i="6"/>
  <c r="DD77" i="6"/>
  <c r="DE77" i="6"/>
  <c r="DF77" i="6"/>
  <c r="DG77" i="6"/>
  <c r="DH77" i="6"/>
  <c r="DI77" i="6"/>
  <c r="DJ77" i="6"/>
  <c r="DK77" i="6"/>
  <c r="H5" i="6"/>
  <c r="I5" i="6"/>
  <c r="J5" i="6"/>
  <c r="K5" i="6"/>
  <c r="L5" i="6"/>
  <c r="M5" i="6"/>
  <c r="N5" i="6"/>
  <c r="O5" i="6"/>
  <c r="P5" i="6"/>
  <c r="Q5" i="6"/>
  <c r="R5" i="6"/>
  <c r="S5" i="6"/>
  <c r="H6" i="6"/>
  <c r="I6" i="6"/>
  <c r="J6" i="6"/>
  <c r="K6" i="6"/>
  <c r="L6" i="6"/>
  <c r="M6" i="6"/>
  <c r="N6" i="6"/>
  <c r="O6" i="6"/>
  <c r="P6" i="6"/>
  <c r="Q6" i="6"/>
  <c r="R6" i="6"/>
  <c r="S6" i="6"/>
  <c r="H7" i="6"/>
  <c r="I7" i="6"/>
  <c r="J7" i="6"/>
  <c r="K7" i="6"/>
  <c r="L7" i="6"/>
  <c r="M7" i="6"/>
  <c r="N7" i="6"/>
  <c r="O7" i="6"/>
  <c r="P7" i="6"/>
  <c r="Q7" i="6"/>
  <c r="R7" i="6"/>
  <c r="S7" i="6"/>
  <c r="H8" i="6"/>
  <c r="I8" i="6"/>
  <c r="J8" i="6"/>
  <c r="K8" i="6"/>
  <c r="L8" i="6"/>
  <c r="M8" i="6"/>
  <c r="N8" i="6"/>
  <c r="O8" i="6"/>
  <c r="P8" i="6"/>
  <c r="Q8" i="6"/>
  <c r="R8" i="6"/>
  <c r="S8" i="6"/>
  <c r="H9" i="6"/>
  <c r="I9" i="6"/>
  <c r="J9" i="6"/>
  <c r="K9" i="6"/>
  <c r="L9" i="6"/>
  <c r="M9" i="6"/>
  <c r="N9" i="6"/>
  <c r="O9" i="6"/>
  <c r="P9" i="6"/>
  <c r="Q9" i="6"/>
  <c r="R9" i="6"/>
  <c r="S9" i="6"/>
  <c r="H10" i="6"/>
  <c r="I10" i="6"/>
  <c r="J10" i="6"/>
  <c r="K10" i="6"/>
  <c r="L10" i="6"/>
  <c r="M10" i="6"/>
  <c r="N10" i="6"/>
  <c r="O10" i="6"/>
  <c r="P10" i="6"/>
  <c r="Q10" i="6"/>
  <c r="R10" i="6"/>
  <c r="S10" i="6"/>
  <c r="H11" i="6"/>
  <c r="I11" i="6"/>
  <c r="J11" i="6"/>
  <c r="K11" i="6"/>
  <c r="L11" i="6"/>
  <c r="M11" i="6"/>
  <c r="N11" i="6"/>
  <c r="O11" i="6"/>
  <c r="P11" i="6"/>
  <c r="Q11" i="6"/>
  <c r="R11" i="6"/>
  <c r="S11" i="6"/>
  <c r="H12" i="6"/>
  <c r="I12" i="6"/>
  <c r="J12" i="6"/>
  <c r="K12" i="6"/>
  <c r="L12" i="6"/>
  <c r="M12" i="6"/>
  <c r="N12" i="6"/>
  <c r="O12" i="6"/>
  <c r="P12" i="6"/>
  <c r="Q12" i="6"/>
  <c r="R12" i="6"/>
  <c r="S12" i="6"/>
  <c r="H13" i="6"/>
  <c r="I13" i="6"/>
  <c r="J13" i="6"/>
  <c r="K13" i="6"/>
  <c r="L13" i="6"/>
  <c r="M13" i="6"/>
  <c r="N13" i="6"/>
  <c r="O13" i="6"/>
  <c r="P13" i="6"/>
  <c r="Q13" i="6"/>
  <c r="R13" i="6"/>
  <c r="S13" i="6"/>
  <c r="H14" i="6"/>
  <c r="I14" i="6"/>
  <c r="J14" i="6"/>
  <c r="K14" i="6"/>
  <c r="L14" i="6"/>
  <c r="M14" i="6"/>
  <c r="N14" i="6"/>
  <c r="O14" i="6"/>
  <c r="P14" i="6"/>
  <c r="Q14" i="6"/>
  <c r="R14" i="6"/>
  <c r="S14" i="6"/>
  <c r="H15" i="6"/>
  <c r="I15" i="6"/>
  <c r="J15" i="6"/>
  <c r="K15" i="6"/>
  <c r="L15" i="6"/>
  <c r="M15" i="6"/>
  <c r="N15" i="6"/>
  <c r="O15" i="6"/>
  <c r="P15" i="6"/>
  <c r="Q15" i="6"/>
  <c r="R15" i="6"/>
  <c r="S15" i="6"/>
  <c r="H16" i="6"/>
  <c r="I16" i="6"/>
  <c r="J16" i="6"/>
  <c r="K16" i="6"/>
  <c r="L16" i="6"/>
  <c r="M16" i="6"/>
  <c r="N16" i="6"/>
  <c r="O16" i="6"/>
  <c r="P16" i="6"/>
  <c r="Q16" i="6"/>
  <c r="R16" i="6"/>
  <c r="S16" i="6"/>
  <c r="H17" i="6"/>
  <c r="I17" i="6"/>
  <c r="J17" i="6"/>
  <c r="K17" i="6"/>
  <c r="L17" i="6"/>
  <c r="M17" i="6"/>
  <c r="N17" i="6"/>
  <c r="O17" i="6"/>
  <c r="P17" i="6"/>
  <c r="Q17" i="6"/>
  <c r="R17" i="6"/>
  <c r="S17" i="6"/>
  <c r="H18" i="6"/>
  <c r="I18" i="6"/>
  <c r="J18" i="6"/>
  <c r="K18" i="6"/>
  <c r="L18" i="6"/>
  <c r="M18" i="6"/>
  <c r="N18" i="6"/>
  <c r="O18" i="6"/>
  <c r="P18" i="6"/>
  <c r="Q18" i="6"/>
  <c r="R18" i="6"/>
  <c r="S18" i="6"/>
  <c r="H19" i="6"/>
  <c r="I19" i="6"/>
  <c r="J19" i="6"/>
  <c r="K19" i="6"/>
  <c r="L19" i="6"/>
  <c r="M19" i="6"/>
  <c r="N19" i="6"/>
  <c r="O19" i="6"/>
  <c r="P19" i="6"/>
  <c r="Q19" i="6"/>
  <c r="R19" i="6"/>
  <c r="S19" i="6"/>
  <c r="H20" i="6"/>
  <c r="I20" i="6"/>
  <c r="J20" i="6"/>
  <c r="K20" i="6"/>
  <c r="L20" i="6"/>
  <c r="M20" i="6"/>
  <c r="N20" i="6"/>
  <c r="O20" i="6"/>
  <c r="P20" i="6"/>
  <c r="Q20" i="6"/>
  <c r="R20" i="6"/>
  <c r="S20" i="6"/>
  <c r="H21" i="6"/>
  <c r="I21" i="6"/>
  <c r="J21" i="6"/>
  <c r="K21" i="6"/>
  <c r="L21" i="6"/>
  <c r="M21" i="6"/>
  <c r="N21" i="6"/>
  <c r="O21" i="6"/>
  <c r="P21" i="6"/>
  <c r="Q21" i="6"/>
  <c r="R21" i="6"/>
  <c r="S21" i="6"/>
  <c r="H22" i="6"/>
  <c r="I22" i="6"/>
  <c r="J22" i="6"/>
  <c r="K22" i="6"/>
  <c r="L22" i="6"/>
  <c r="M22" i="6"/>
  <c r="N22" i="6"/>
  <c r="O22" i="6"/>
  <c r="P22" i="6"/>
  <c r="Q22" i="6"/>
  <c r="R22" i="6"/>
  <c r="S22" i="6"/>
  <c r="H23" i="6"/>
  <c r="I23" i="6"/>
  <c r="J23" i="6"/>
  <c r="K23" i="6"/>
  <c r="L23" i="6"/>
  <c r="M23" i="6"/>
  <c r="N23" i="6"/>
  <c r="O23" i="6"/>
  <c r="P23" i="6"/>
  <c r="Q23" i="6"/>
  <c r="R23" i="6"/>
  <c r="S23" i="6"/>
  <c r="H24" i="6"/>
  <c r="I24" i="6"/>
  <c r="J24" i="6"/>
  <c r="K24" i="6"/>
  <c r="L24" i="6"/>
  <c r="M24" i="6"/>
  <c r="N24" i="6"/>
  <c r="O24" i="6"/>
  <c r="P24" i="6"/>
  <c r="Q24" i="6"/>
  <c r="R24" i="6"/>
  <c r="S24" i="6"/>
  <c r="H25" i="6"/>
  <c r="I25" i="6"/>
  <c r="J25" i="6"/>
  <c r="K25" i="6"/>
  <c r="L25" i="6"/>
  <c r="M25" i="6"/>
  <c r="N25" i="6"/>
  <c r="O25" i="6"/>
  <c r="P25" i="6"/>
  <c r="Q25" i="6"/>
  <c r="R25" i="6"/>
  <c r="S25" i="6"/>
  <c r="H26" i="6"/>
  <c r="I26" i="6"/>
  <c r="J26" i="6"/>
  <c r="K26" i="6"/>
  <c r="L26" i="6"/>
  <c r="M26" i="6"/>
  <c r="N26" i="6"/>
  <c r="O26" i="6"/>
  <c r="P26" i="6"/>
  <c r="Q26" i="6"/>
  <c r="R26" i="6"/>
  <c r="S26" i="6"/>
  <c r="H27" i="6"/>
  <c r="I27" i="6"/>
  <c r="J27" i="6"/>
  <c r="K27" i="6"/>
  <c r="L27" i="6"/>
  <c r="M27" i="6"/>
  <c r="N27" i="6"/>
  <c r="O27" i="6"/>
  <c r="P27" i="6"/>
  <c r="Q27" i="6"/>
  <c r="R27" i="6"/>
  <c r="S27" i="6"/>
  <c r="H28" i="6"/>
  <c r="I28" i="6"/>
  <c r="J28" i="6"/>
  <c r="K28" i="6"/>
  <c r="L28" i="6"/>
  <c r="M28" i="6"/>
  <c r="N28" i="6"/>
  <c r="O28" i="6"/>
  <c r="P28" i="6"/>
  <c r="Q28" i="6"/>
  <c r="R28" i="6"/>
  <c r="S28" i="6"/>
  <c r="H29" i="6"/>
  <c r="I29" i="6"/>
  <c r="J29" i="6"/>
  <c r="K29" i="6"/>
  <c r="L29" i="6"/>
  <c r="M29" i="6"/>
  <c r="N29" i="6"/>
  <c r="O29" i="6"/>
  <c r="P29" i="6"/>
  <c r="Q29" i="6"/>
  <c r="R29" i="6"/>
  <c r="S29" i="6"/>
  <c r="H30" i="6"/>
  <c r="I30" i="6"/>
  <c r="J30" i="6"/>
  <c r="K30" i="6"/>
  <c r="L30" i="6"/>
  <c r="M30" i="6"/>
  <c r="N30" i="6"/>
  <c r="O30" i="6"/>
  <c r="P30" i="6"/>
  <c r="Q30" i="6"/>
  <c r="R30" i="6"/>
  <c r="S30" i="6"/>
  <c r="H31" i="6"/>
  <c r="I31" i="6"/>
  <c r="J31" i="6"/>
  <c r="K31" i="6"/>
  <c r="L31" i="6"/>
  <c r="M31" i="6"/>
  <c r="N31" i="6"/>
  <c r="O31" i="6"/>
  <c r="P31" i="6"/>
  <c r="Q31" i="6"/>
  <c r="R31" i="6"/>
  <c r="S31" i="6"/>
  <c r="H32" i="6"/>
  <c r="I32" i="6"/>
  <c r="J32" i="6"/>
  <c r="K32" i="6"/>
  <c r="L32" i="6"/>
  <c r="M32" i="6"/>
  <c r="N32" i="6"/>
  <c r="O32" i="6"/>
  <c r="P32" i="6"/>
  <c r="Q32" i="6"/>
  <c r="R32" i="6"/>
  <c r="S32" i="6"/>
  <c r="H33" i="6"/>
  <c r="I33" i="6"/>
  <c r="J33" i="6"/>
  <c r="K33" i="6"/>
  <c r="L33" i="6"/>
  <c r="M33" i="6"/>
  <c r="N33" i="6"/>
  <c r="O33" i="6"/>
  <c r="P33" i="6"/>
  <c r="Q33" i="6"/>
  <c r="R33" i="6"/>
  <c r="S33" i="6"/>
  <c r="H34" i="6"/>
  <c r="I34" i="6"/>
  <c r="J34" i="6"/>
  <c r="K34" i="6"/>
  <c r="L34" i="6"/>
  <c r="M34" i="6"/>
  <c r="N34" i="6"/>
  <c r="O34" i="6"/>
  <c r="P34" i="6"/>
  <c r="Q34" i="6"/>
  <c r="R34" i="6"/>
  <c r="S34" i="6"/>
  <c r="H35" i="6"/>
  <c r="I35" i="6"/>
  <c r="J35" i="6"/>
  <c r="K35" i="6"/>
  <c r="L35" i="6"/>
  <c r="M35" i="6"/>
  <c r="N35" i="6"/>
  <c r="O35" i="6"/>
  <c r="P35" i="6"/>
  <c r="Q35" i="6"/>
  <c r="R35" i="6"/>
  <c r="S35" i="6"/>
  <c r="H36" i="6"/>
  <c r="I36" i="6"/>
  <c r="J36" i="6"/>
  <c r="K36" i="6"/>
  <c r="L36" i="6"/>
  <c r="M36" i="6"/>
  <c r="N36" i="6"/>
  <c r="O36" i="6"/>
  <c r="P36" i="6"/>
  <c r="Q36" i="6"/>
  <c r="R36" i="6"/>
  <c r="S36" i="6"/>
  <c r="H37" i="6"/>
  <c r="I37" i="6"/>
  <c r="J37" i="6"/>
  <c r="K37" i="6"/>
  <c r="L37" i="6"/>
  <c r="M37" i="6"/>
  <c r="N37" i="6"/>
  <c r="O37" i="6"/>
  <c r="P37" i="6"/>
  <c r="Q37" i="6"/>
  <c r="R37" i="6"/>
  <c r="S37" i="6"/>
  <c r="H38" i="6"/>
  <c r="I38" i="6"/>
  <c r="J38" i="6"/>
  <c r="K38" i="6"/>
  <c r="L38" i="6"/>
  <c r="M38" i="6"/>
  <c r="N38" i="6"/>
  <c r="O38" i="6"/>
  <c r="P38" i="6"/>
  <c r="Q38" i="6"/>
  <c r="R38" i="6"/>
  <c r="S38" i="6"/>
  <c r="H39" i="6"/>
  <c r="I39" i="6"/>
  <c r="J39" i="6"/>
  <c r="K39" i="6"/>
  <c r="L39" i="6"/>
  <c r="M39" i="6"/>
  <c r="N39" i="6"/>
  <c r="O39" i="6"/>
  <c r="P39" i="6"/>
  <c r="Q39" i="6"/>
  <c r="R39" i="6"/>
  <c r="S39" i="6"/>
  <c r="H40" i="6"/>
  <c r="I40" i="6"/>
  <c r="J40" i="6"/>
  <c r="K40" i="6"/>
  <c r="L40" i="6"/>
  <c r="M40" i="6"/>
  <c r="N40" i="6"/>
  <c r="O40" i="6"/>
  <c r="P40" i="6"/>
  <c r="Q40" i="6"/>
  <c r="R40" i="6"/>
  <c r="S40" i="6"/>
  <c r="H41" i="6"/>
  <c r="I41" i="6"/>
  <c r="J41" i="6"/>
  <c r="K41" i="6"/>
  <c r="L41" i="6"/>
  <c r="M41" i="6"/>
  <c r="N41" i="6"/>
  <c r="O41" i="6"/>
  <c r="P41" i="6"/>
  <c r="Q41" i="6"/>
  <c r="R41" i="6"/>
  <c r="S41" i="6"/>
  <c r="H42" i="6"/>
  <c r="I42" i="6"/>
  <c r="J42" i="6"/>
  <c r="K42" i="6"/>
  <c r="L42" i="6"/>
  <c r="M42" i="6"/>
  <c r="N42" i="6"/>
  <c r="O42" i="6"/>
  <c r="P42" i="6"/>
  <c r="Q42" i="6"/>
  <c r="R42" i="6"/>
  <c r="S42" i="6"/>
  <c r="H43" i="6"/>
  <c r="I43" i="6"/>
  <c r="J43" i="6"/>
  <c r="K43" i="6"/>
  <c r="L43" i="6"/>
  <c r="M43" i="6"/>
  <c r="N43" i="6"/>
  <c r="O43" i="6"/>
  <c r="P43" i="6"/>
  <c r="Q43" i="6"/>
  <c r="R43" i="6"/>
  <c r="S43" i="6"/>
  <c r="H44" i="6"/>
  <c r="I44" i="6"/>
  <c r="J44" i="6"/>
  <c r="K44" i="6"/>
  <c r="L44" i="6"/>
  <c r="M44" i="6"/>
  <c r="N44" i="6"/>
  <c r="O44" i="6"/>
  <c r="P44" i="6"/>
  <c r="Q44" i="6"/>
  <c r="R44" i="6"/>
  <c r="S44" i="6"/>
  <c r="H45" i="6"/>
  <c r="I45" i="6"/>
  <c r="J45" i="6"/>
  <c r="K45" i="6"/>
  <c r="L45" i="6"/>
  <c r="M45" i="6"/>
  <c r="N45" i="6"/>
  <c r="O45" i="6"/>
  <c r="P45" i="6"/>
  <c r="Q45" i="6"/>
  <c r="R45" i="6"/>
  <c r="S45" i="6"/>
  <c r="H46" i="6"/>
  <c r="I46" i="6"/>
  <c r="J46" i="6"/>
  <c r="K46" i="6"/>
  <c r="L46" i="6"/>
  <c r="M46" i="6"/>
  <c r="N46" i="6"/>
  <c r="O46" i="6"/>
  <c r="P46" i="6"/>
  <c r="Q46" i="6"/>
  <c r="R46" i="6"/>
  <c r="S46" i="6"/>
  <c r="H47" i="6"/>
  <c r="I47" i="6"/>
  <c r="J47" i="6"/>
  <c r="K47" i="6"/>
  <c r="L47" i="6"/>
  <c r="M47" i="6"/>
  <c r="N47" i="6"/>
  <c r="O47" i="6"/>
  <c r="P47" i="6"/>
  <c r="Q47" i="6"/>
  <c r="R47" i="6"/>
  <c r="S47" i="6"/>
  <c r="H48" i="6"/>
  <c r="I48" i="6"/>
  <c r="J48" i="6"/>
  <c r="K48" i="6"/>
  <c r="L48" i="6"/>
  <c r="M48" i="6"/>
  <c r="N48" i="6"/>
  <c r="O48" i="6"/>
  <c r="P48" i="6"/>
  <c r="Q48" i="6"/>
  <c r="R48" i="6"/>
  <c r="S48" i="6"/>
  <c r="H49" i="6"/>
  <c r="I49" i="6"/>
  <c r="J49" i="6"/>
  <c r="K49" i="6"/>
  <c r="L49" i="6"/>
  <c r="M49" i="6"/>
  <c r="N49" i="6"/>
  <c r="O49" i="6"/>
  <c r="P49" i="6"/>
  <c r="Q49" i="6"/>
  <c r="R49" i="6"/>
  <c r="S49" i="6"/>
  <c r="H50" i="6"/>
  <c r="I50" i="6"/>
  <c r="J50" i="6"/>
  <c r="K50" i="6"/>
  <c r="L50" i="6"/>
  <c r="M50" i="6"/>
  <c r="N50" i="6"/>
  <c r="O50" i="6"/>
  <c r="P50" i="6"/>
  <c r="Q50" i="6"/>
  <c r="R50" i="6"/>
  <c r="S50" i="6"/>
  <c r="H51" i="6"/>
  <c r="I51" i="6"/>
  <c r="J51" i="6"/>
  <c r="K51" i="6"/>
  <c r="L51" i="6"/>
  <c r="M51" i="6"/>
  <c r="N51" i="6"/>
  <c r="O51" i="6"/>
  <c r="P51" i="6"/>
  <c r="Q51" i="6"/>
  <c r="R51" i="6"/>
  <c r="S51" i="6"/>
  <c r="H52" i="6"/>
  <c r="I52" i="6"/>
  <c r="J52" i="6"/>
  <c r="K52" i="6"/>
  <c r="L52" i="6"/>
  <c r="M52" i="6"/>
  <c r="N52" i="6"/>
  <c r="O52" i="6"/>
  <c r="P52" i="6"/>
  <c r="Q52" i="6"/>
  <c r="R52" i="6"/>
  <c r="S52" i="6"/>
  <c r="H53" i="6"/>
  <c r="I53" i="6"/>
  <c r="J53" i="6"/>
  <c r="K53" i="6"/>
  <c r="L53" i="6"/>
  <c r="M53" i="6"/>
  <c r="N53" i="6"/>
  <c r="O53" i="6"/>
  <c r="P53" i="6"/>
  <c r="Q53" i="6"/>
  <c r="R53" i="6"/>
  <c r="S53" i="6"/>
  <c r="H54" i="6"/>
  <c r="I54" i="6"/>
  <c r="J54" i="6"/>
  <c r="K54" i="6"/>
  <c r="L54" i="6"/>
  <c r="M54" i="6"/>
  <c r="N54" i="6"/>
  <c r="O54" i="6"/>
  <c r="P54" i="6"/>
  <c r="Q54" i="6"/>
  <c r="R54" i="6"/>
  <c r="S54" i="6"/>
  <c r="H55" i="6"/>
  <c r="I55" i="6"/>
  <c r="J55" i="6"/>
  <c r="K55" i="6"/>
  <c r="L55" i="6"/>
  <c r="M55" i="6"/>
  <c r="N55" i="6"/>
  <c r="O55" i="6"/>
  <c r="P55" i="6"/>
  <c r="Q55" i="6"/>
  <c r="R55" i="6"/>
  <c r="S55" i="6"/>
  <c r="H56" i="6"/>
  <c r="I56" i="6"/>
  <c r="J56" i="6"/>
  <c r="K56" i="6"/>
  <c r="L56" i="6"/>
  <c r="M56" i="6"/>
  <c r="N56" i="6"/>
  <c r="O56" i="6"/>
  <c r="P56" i="6"/>
  <c r="Q56" i="6"/>
  <c r="R56" i="6"/>
  <c r="S56" i="6"/>
  <c r="H57" i="6"/>
  <c r="I57" i="6"/>
  <c r="J57" i="6"/>
  <c r="K57" i="6"/>
  <c r="L57" i="6"/>
  <c r="M57" i="6"/>
  <c r="N57" i="6"/>
  <c r="O57" i="6"/>
  <c r="P57" i="6"/>
  <c r="Q57" i="6"/>
  <c r="R57" i="6"/>
  <c r="S57" i="6"/>
  <c r="H58" i="6"/>
  <c r="I58" i="6"/>
  <c r="J58" i="6"/>
  <c r="K58" i="6"/>
  <c r="L58" i="6"/>
  <c r="M58" i="6"/>
  <c r="N58" i="6"/>
  <c r="O58" i="6"/>
  <c r="P58" i="6"/>
  <c r="Q58" i="6"/>
  <c r="R58" i="6"/>
  <c r="S58" i="6"/>
  <c r="H59" i="6"/>
  <c r="I59" i="6"/>
  <c r="J59" i="6"/>
  <c r="K59" i="6"/>
  <c r="L59" i="6"/>
  <c r="M59" i="6"/>
  <c r="N59" i="6"/>
  <c r="O59" i="6"/>
  <c r="P59" i="6"/>
  <c r="Q59" i="6"/>
  <c r="R59" i="6"/>
  <c r="S59" i="6"/>
  <c r="H60" i="6"/>
  <c r="I60" i="6"/>
  <c r="J60" i="6"/>
  <c r="K60" i="6"/>
  <c r="L60" i="6"/>
  <c r="M60" i="6"/>
  <c r="N60" i="6"/>
  <c r="O60" i="6"/>
  <c r="P60" i="6"/>
  <c r="Q60" i="6"/>
  <c r="R60" i="6"/>
  <c r="S60" i="6"/>
  <c r="H61" i="6"/>
  <c r="I61" i="6"/>
  <c r="J61" i="6"/>
  <c r="K61" i="6"/>
  <c r="L61" i="6"/>
  <c r="M61" i="6"/>
  <c r="N61" i="6"/>
  <c r="O61" i="6"/>
  <c r="P61" i="6"/>
  <c r="Q61" i="6"/>
  <c r="R61" i="6"/>
  <c r="S61" i="6"/>
  <c r="H62" i="6"/>
  <c r="I62" i="6"/>
  <c r="J62" i="6"/>
  <c r="K62" i="6"/>
  <c r="L62" i="6"/>
  <c r="M62" i="6"/>
  <c r="N62" i="6"/>
  <c r="O62" i="6"/>
  <c r="P62" i="6"/>
  <c r="Q62" i="6"/>
  <c r="R62" i="6"/>
  <c r="S62" i="6"/>
  <c r="H63" i="6"/>
  <c r="I63" i="6"/>
  <c r="J63" i="6"/>
  <c r="K63" i="6"/>
  <c r="L63" i="6"/>
  <c r="M63" i="6"/>
  <c r="N63" i="6"/>
  <c r="O63" i="6"/>
  <c r="P63" i="6"/>
  <c r="Q63" i="6"/>
  <c r="R63" i="6"/>
  <c r="S63" i="6"/>
  <c r="H64" i="6"/>
  <c r="I64" i="6"/>
  <c r="J64" i="6"/>
  <c r="K64" i="6"/>
  <c r="L64" i="6"/>
  <c r="M64" i="6"/>
  <c r="N64" i="6"/>
  <c r="O64" i="6"/>
  <c r="P64" i="6"/>
  <c r="Q64" i="6"/>
  <c r="R64" i="6"/>
  <c r="S64" i="6"/>
  <c r="H65" i="6"/>
  <c r="I65" i="6"/>
  <c r="J65" i="6"/>
  <c r="K65" i="6"/>
  <c r="L65" i="6"/>
  <c r="M65" i="6"/>
  <c r="N65" i="6"/>
  <c r="O65" i="6"/>
  <c r="P65" i="6"/>
  <c r="Q65" i="6"/>
  <c r="R65" i="6"/>
  <c r="S65" i="6"/>
  <c r="H66" i="6"/>
  <c r="I66" i="6"/>
  <c r="J66" i="6"/>
  <c r="K66" i="6"/>
  <c r="L66" i="6"/>
  <c r="M66" i="6"/>
  <c r="N66" i="6"/>
  <c r="O66" i="6"/>
  <c r="P66" i="6"/>
  <c r="Q66" i="6"/>
  <c r="R66" i="6"/>
  <c r="S66" i="6"/>
  <c r="H67" i="6"/>
  <c r="I67" i="6"/>
  <c r="J67" i="6"/>
  <c r="K67" i="6"/>
  <c r="L67" i="6"/>
  <c r="M67" i="6"/>
  <c r="N67" i="6"/>
  <c r="O67" i="6"/>
  <c r="P67" i="6"/>
  <c r="Q67" i="6"/>
  <c r="R67" i="6"/>
  <c r="S67" i="6"/>
  <c r="H68" i="6"/>
  <c r="I68" i="6"/>
  <c r="J68" i="6"/>
  <c r="K68" i="6"/>
  <c r="L68" i="6"/>
  <c r="M68" i="6"/>
  <c r="N68" i="6"/>
  <c r="O68" i="6"/>
  <c r="P68" i="6"/>
  <c r="Q68" i="6"/>
  <c r="R68" i="6"/>
  <c r="S68" i="6"/>
  <c r="H69" i="6"/>
  <c r="I69" i="6"/>
  <c r="J69" i="6"/>
  <c r="K69" i="6"/>
  <c r="L69" i="6"/>
  <c r="M69" i="6"/>
  <c r="N69" i="6"/>
  <c r="O69" i="6"/>
  <c r="P69" i="6"/>
  <c r="Q69" i="6"/>
  <c r="R69" i="6"/>
  <c r="S69" i="6"/>
  <c r="H70" i="6"/>
  <c r="I70" i="6"/>
  <c r="J70" i="6"/>
  <c r="K70" i="6"/>
  <c r="L70" i="6"/>
  <c r="M70" i="6"/>
  <c r="N70" i="6"/>
  <c r="O70" i="6"/>
  <c r="P70" i="6"/>
  <c r="Q70" i="6"/>
  <c r="R70" i="6"/>
  <c r="S70" i="6"/>
  <c r="H71" i="6"/>
  <c r="I71" i="6"/>
  <c r="J71" i="6"/>
  <c r="K71" i="6"/>
  <c r="L71" i="6"/>
  <c r="M71" i="6"/>
  <c r="N71" i="6"/>
  <c r="O71" i="6"/>
  <c r="P71" i="6"/>
  <c r="Q71" i="6"/>
  <c r="R71" i="6"/>
  <c r="S71" i="6"/>
  <c r="H72" i="6"/>
  <c r="I72" i="6"/>
  <c r="J72" i="6"/>
  <c r="K72" i="6"/>
  <c r="L72" i="6"/>
  <c r="M72" i="6"/>
  <c r="N72" i="6"/>
  <c r="O72" i="6"/>
  <c r="P72" i="6"/>
  <c r="Q72" i="6"/>
  <c r="R72" i="6"/>
  <c r="S72" i="6"/>
  <c r="H73" i="6"/>
  <c r="I73" i="6"/>
  <c r="J73" i="6"/>
  <c r="K73" i="6"/>
  <c r="L73" i="6"/>
  <c r="M73" i="6"/>
  <c r="N73" i="6"/>
  <c r="O73" i="6"/>
  <c r="P73" i="6"/>
  <c r="Q73" i="6"/>
  <c r="R73" i="6"/>
  <c r="S73" i="6"/>
  <c r="H74" i="6"/>
  <c r="I74" i="6"/>
  <c r="J74" i="6"/>
  <c r="K74" i="6"/>
  <c r="L74" i="6"/>
  <c r="M74" i="6"/>
  <c r="N74" i="6"/>
  <c r="O74" i="6"/>
  <c r="P74" i="6"/>
  <c r="Q74" i="6"/>
  <c r="R74" i="6"/>
  <c r="S74" i="6"/>
  <c r="H75" i="6"/>
  <c r="I75" i="6"/>
  <c r="J75" i="6"/>
  <c r="K75" i="6"/>
  <c r="L75" i="6"/>
  <c r="M75" i="6"/>
  <c r="N75" i="6"/>
  <c r="O75" i="6"/>
  <c r="P75" i="6"/>
  <c r="Q75" i="6"/>
  <c r="R75" i="6"/>
  <c r="S75" i="6"/>
  <c r="H76" i="6"/>
  <c r="I76" i="6"/>
  <c r="J76" i="6"/>
  <c r="K76" i="6"/>
  <c r="L76" i="6"/>
  <c r="M76" i="6"/>
  <c r="N76" i="6"/>
  <c r="O76" i="6"/>
  <c r="P76" i="6"/>
  <c r="Q76" i="6"/>
  <c r="R76" i="6"/>
  <c r="S76" i="6"/>
  <c r="H77" i="6"/>
  <c r="I77" i="6"/>
  <c r="J77" i="6"/>
  <c r="K77" i="6"/>
  <c r="L77" i="6"/>
  <c r="M77" i="6"/>
  <c r="N77" i="6"/>
  <c r="O77" i="6"/>
  <c r="P77" i="6"/>
  <c r="Q77" i="6"/>
  <c r="R77" i="6"/>
  <c r="S77" i="6"/>
  <c r="I4" i="6"/>
  <c r="J4" i="6"/>
  <c r="K4" i="6"/>
  <c r="L4" i="6"/>
  <c r="M4" i="6"/>
  <c r="N4" i="6"/>
  <c r="O4" i="6"/>
  <c r="P4" i="6"/>
  <c r="Q4" i="6"/>
  <c r="R4" i="6"/>
  <c r="S4" i="6"/>
  <c r="H4" i="6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AH4" i="7"/>
  <c r="AI4" i="7"/>
  <c r="AJ4" i="7"/>
  <c r="AK4" i="7"/>
  <c r="AL4" i="7"/>
  <c r="AM4" i="7"/>
  <c r="AN4" i="7"/>
  <c r="AO4" i="7"/>
  <c r="AP4" i="7"/>
  <c r="AQ4" i="7"/>
  <c r="AR4" i="7"/>
  <c r="AS4" i="7"/>
  <c r="AT4" i="7"/>
  <c r="AU4" i="7"/>
  <c r="AV4" i="7"/>
  <c r="AW4" i="7"/>
  <c r="AX4" i="7"/>
  <c r="AY4" i="7"/>
  <c r="AZ4" i="7"/>
  <c r="BA4" i="7"/>
  <c r="BB4" i="7"/>
  <c r="BC4" i="7"/>
  <c r="BD4" i="7"/>
  <c r="BE4" i="7"/>
  <c r="BF4" i="7"/>
  <c r="BG4" i="7"/>
  <c r="BH4" i="7"/>
  <c r="BI4" i="7"/>
  <c r="BJ4" i="7"/>
  <c r="BK4" i="7"/>
  <c r="BL4" i="7"/>
  <c r="BM4" i="7"/>
  <c r="BN4" i="7"/>
  <c r="BO4" i="7"/>
  <c r="BP4" i="7"/>
  <c r="BQ4" i="7"/>
  <c r="BR4" i="7"/>
  <c r="BS4" i="7"/>
  <c r="BT4" i="7"/>
  <c r="BU4" i="7"/>
  <c r="BV4" i="7"/>
  <c r="BW4" i="7"/>
  <c r="BX4" i="7"/>
  <c r="BY4" i="7"/>
  <c r="BZ4" i="7"/>
  <c r="CA4" i="7"/>
  <c r="CB4" i="7"/>
  <c r="CC4" i="7"/>
  <c r="CD4" i="7"/>
  <c r="CE4" i="7"/>
  <c r="CF4" i="7"/>
  <c r="CG4" i="7"/>
  <c r="CH4" i="7"/>
  <c r="CI4" i="7"/>
  <c r="CJ4" i="7"/>
  <c r="CK4" i="7"/>
  <c r="CL4" i="7"/>
  <c r="CM4" i="7"/>
  <c r="CN4" i="7"/>
  <c r="CO4" i="7"/>
  <c r="CP4" i="7"/>
  <c r="CQ4" i="7"/>
  <c r="CR4" i="7"/>
  <c r="CS4" i="7"/>
  <c r="CT4" i="7"/>
  <c r="CU4" i="7"/>
  <c r="CV4" i="7"/>
  <c r="CW4" i="7"/>
  <c r="CX4" i="7"/>
  <c r="CY4" i="7"/>
  <c r="CZ4" i="7"/>
  <c r="DA4" i="7"/>
  <c r="DB4" i="7"/>
  <c r="DC4" i="7"/>
  <c r="DD4" i="7"/>
  <c r="DE4" i="7"/>
  <c r="DF4" i="7"/>
  <c r="DG4" i="7"/>
  <c r="DH4" i="7"/>
  <c r="DI4" i="7"/>
  <c r="DJ4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AH5" i="7"/>
  <c r="AI5" i="7"/>
  <c r="AJ5" i="7"/>
  <c r="AK5" i="7"/>
  <c r="AL5" i="7"/>
  <c r="AM5" i="7"/>
  <c r="AN5" i="7"/>
  <c r="AO5" i="7"/>
  <c r="AP5" i="7"/>
  <c r="AQ5" i="7"/>
  <c r="AR5" i="7"/>
  <c r="AS5" i="7"/>
  <c r="AT5" i="7"/>
  <c r="AU5" i="7"/>
  <c r="AV5" i="7"/>
  <c r="AW5" i="7"/>
  <c r="AX5" i="7"/>
  <c r="AY5" i="7"/>
  <c r="AZ5" i="7"/>
  <c r="BA5" i="7"/>
  <c r="BB5" i="7"/>
  <c r="BC5" i="7"/>
  <c r="BD5" i="7"/>
  <c r="BE5" i="7"/>
  <c r="BF5" i="7"/>
  <c r="BG5" i="7"/>
  <c r="BH5" i="7"/>
  <c r="BI5" i="7"/>
  <c r="BJ5" i="7"/>
  <c r="BK5" i="7"/>
  <c r="BL5" i="7"/>
  <c r="BM5" i="7"/>
  <c r="BN5" i="7"/>
  <c r="BO5" i="7"/>
  <c r="BP5" i="7"/>
  <c r="BQ5" i="7"/>
  <c r="BR5" i="7"/>
  <c r="BS5" i="7"/>
  <c r="BT5" i="7"/>
  <c r="BU5" i="7"/>
  <c r="BV5" i="7"/>
  <c r="BW5" i="7"/>
  <c r="BX5" i="7"/>
  <c r="BY5" i="7"/>
  <c r="BZ5" i="7"/>
  <c r="CA5" i="7"/>
  <c r="CB5" i="7"/>
  <c r="CC5" i="7"/>
  <c r="CD5" i="7"/>
  <c r="CE5" i="7"/>
  <c r="CF5" i="7"/>
  <c r="CG5" i="7"/>
  <c r="CH5" i="7"/>
  <c r="CI5" i="7"/>
  <c r="CJ5" i="7"/>
  <c r="CK5" i="7"/>
  <c r="CL5" i="7"/>
  <c r="CM5" i="7"/>
  <c r="CN5" i="7"/>
  <c r="CO5" i="7"/>
  <c r="CP5" i="7"/>
  <c r="CQ5" i="7"/>
  <c r="CR5" i="7"/>
  <c r="CS5" i="7"/>
  <c r="CT5" i="7"/>
  <c r="CU5" i="7"/>
  <c r="CV5" i="7"/>
  <c r="CW5" i="7"/>
  <c r="CX5" i="7"/>
  <c r="CY5" i="7"/>
  <c r="CZ5" i="7"/>
  <c r="DA5" i="7"/>
  <c r="DB5" i="7"/>
  <c r="DC5" i="7"/>
  <c r="DD5" i="7"/>
  <c r="DE5" i="7"/>
  <c r="DF5" i="7"/>
  <c r="DG5" i="7"/>
  <c r="DH5" i="7"/>
  <c r="DI5" i="7"/>
  <c r="DJ5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AH6" i="7"/>
  <c r="AI6" i="7"/>
  <c r="AJ6" i="7"/>
  <c r="AK6" i="7"/>
  <c r="AL6" i="7"/>
  <c r="AM6" i="7"/>
  <c r="AN6" i="7"/>
  <c r="AO6" i="7"/>
  <c r="AP6" i="7"/>
  <c r="AQ6" i="7"/>
  <c r="AR6" i="7"/>
  <c r="AS6" i="7"/>
  <c r="AT6" i="7"/>
  <c r="AU6" i="7"/>
  <c r="AV6" i="7"/>
  <c r="AW6" i="7"/>
  <c r="AX6" i="7"/>
  <c r="AY6" i="7"/>
  <c r="AZ6" i="7"/>
  <c r="BA6" i="7"/>
  <c r="BB6" i="7"/>
  <c r="BC6" i="7"/>
  <c r="BD6" i="7"/>
  <c r="BE6" i="7"/>
  <c r="BF6" i="7"/>
  <c r="BG6" i="7"/>
  <c r="BH6" i="7"/>
  <c r="BI6" i="7"/>
  <c r="BJ6" i="7"/>
  <c r="BK6" i="7"/>
  <c r="BL6" i="7"/>
  <c r="BM6" i="7"/>
  <c r="BN6" i="7"/>
  <c r="BO6" i="7"/>
  <c r="BP6" i="7"/>
  <c r="BQ6" i="7"/>
  <c r="BR6" i="7"/>
  <c r="BS6" i="7"/>
  <c r="BT6" i="7"/>
  <c r="BU6" i="7"/>
  <c r="BV6" i="7"/>
  <c r="BW6" i="7"/>
  <c r="BX6" i="7"/>
  <c r="BY6" i="7"/>
  <c r="BZ6" i="7"/>
  <c r="CA6" i="7"/>
  <c r="CB6" i="7"/>
  <c r="CC6" i="7"/>
  <c r="CD6" i="7"/>
  <c r="CE6" i="7"/>
  <c r="CF6" i="7"/>
  <c r="CG6" i="7"/>
  <c r="CH6" i="7"/>
  <c r="CI6" i="7"/>
  <c r="CJ6" i="7"/>
  <c r="CK6" i="7"/>
  <c r="CL6" i="7"/>
  <c r="CM6" i="7"/>
  <c r="CN6" i="7"/>
  <c r="CO6" i="7"/>
  <c r="CP6" i="7"/>
  <c r="CQ6" i="7"/>
  <c r="CR6" i="7"/>
  <c r="CS6" i="7"/>
  <c r="CT6" i="7"/>
  <c r="CU6" i="7"/>
  <c r="CV6" i="7"/>
  <c r="CW6" i="7"/>
  <c r="CX6" i="7"/>
  <c r="CY6" i="7"/>
  <c r="CZ6" i="7"/>
  <c r="DA6" i="7"/>
  <c r="DB6" i="7"/>
  <c r="DC6" i="7"/>
  <c r="DD6" i="7"/>
  <c r="DE6" i="7"/>
  <c r="DF6" i="7"/>
  <c r="DG6" i="7"/>
  <c r="DH6" i="7"/>
  <c r="DI6" i="7"/>
  <c r="DJ6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AH7" i="7"/>
  <c r="AI7" i="7"/>
  <c r="AJ7" i="7"/>
  <c r="AK7" i="7"/>
  <c r="AL7" i="7"/>
  <c r="AM7" i="7"/>
  <c r="AN7" i="7"/>
  <c r="AO7" i="7"/>
  <c r="AP7" i="7"/>
  <c r="AQ7" i="7"/>
  <c r="AR7" i="7"/>
  <c r="AS7" i="7"/>
  <c r="AT7" i="7"/>
  <c r="AU7" i="7"/>
  <c r="AV7" i="7"/>
  <c r="AW7" i="7"/>
  <c r="AX7" i="7"/>
  <c r="AY7" i="7"/>
  <c r="AZ7" i="7"/>
  <c r="BA7" i="7"/>
  <c r="BB7" i="7"/>
  <c r="BC7" i="7"/>
  <c r="BD7" i="7"/>
  <c r="BE7" i="7"/>
  <c r="BF7" i="7"/>
  <c r="BG7" i="7"/>
  <c r="BH7" i="7"/>
  <c r="BI7" i="7"/>
  <c r="BJ7" i="7"/>
  <c r="BK7" i="7"/>
  <c r="BL7" i="7"/>
  <c r="BM7" i="7"/>
  <c r="BN7" i="7"/>
  <c r="BO7" i="7"/>
  <c r="BP7" i="7"/>
  <c r="BQ7" i="7"/>
  <c r="BR7" i="7"/>
  <c r="BS7" i="7"/>
  <c r="BT7" i="7"/>
  <c r="BU7" i="7"/>
  <c r="BV7" i="7"/>
  <c r="BW7" i="7"/>
  <c r="BX7" i="7"/>
  <c r="BY7" i="7"/>
  <c r="BZ7" i="7"/>
  <c r="CA7" i="7"/>
  <c r="CB7" i="7"/>
  <c r="CC7" i="7"/>
  <c r="CD7" i="7"/>
  <c r="CE7" i="7"/>
  <c r="CF7" i="7"/>
  <c r="CG7" i="7"/>
  <c r="CH7" i="7"/>
  <c r="CI7" i="7"/>
  <c r="CJ7" i="7"/>
  <c r="CK7" i="7"/>
  <c r="CL7" i="7"/>
  <c r="CM7" i="7"/>
  <c r="CN7" i="7"/>
  <c r="CO7" i="7"/>
  <c r="CP7" i="7"/>
  <c r="CQ7" i="7"/>
  <c r="CR7" i="7"/>
  <c r="CS7" i="7"/>
  <c r="CT7" i="7"/>
  <c r="CU7" i="7"/>
  <c r="CV7" i="7"/>
  <c r="CW7" i="7"/>
  <c r="CX7" i="7"/>
  <c r="CY7" i="7"/>
  <c r="CZ7" i="7"/>
  <c r="DA7" i="7"/>
  <c r="DB7" i="7"/>
  <c r="DC7" i="7"/>
  <c r="DD7" i="7"/>
  <c r="DE7" i="7"/>
  <c r="DF7" i="7"/>
  <c r="DG7" i="7"/>
  <c r="DH7" i="7"/>
  <c r="DI7" i="7"/>
  <c r="DJ7" i="7"/>
  <c r="S8" i="7"/>
  <c r="T8" i="7"/>
  <c r="U8" i="7"/>
  <c r="V8" i="7"/>
  <c r="W8" i="7"/>
  <c r="X8" i="7"/>
  <c r="Y8" i="7"/>
  <c r="Z8" i="7"/>
  <c r="AA8" i="7"/>
  <c r="AB8" i="7"/>
  <c r="AC8" i="7"/>
  <c r="AD8" i="7"/>
  <c r="AE8" i="7"/>
  <c r="AF8" i="7"/>
  <c r="AG8" i="7"/>
  <c r="AH8" i="7"/>
  <c r="AI8" i="7"/>
  <c r="AJ8" i="7"/>
  <c r="AK8" i="7"/>
  <c r="AL8" i="7"/>
  <c r="AM8" i="7"/>
  <c r="AN8" i="7"/>
  <c r="AO8" i="7"/>
  <c r="AP8" i="7"/>
  <c r="AQ8" i="7"/>
  <c r="AR8" i="7"/>
  <c r="AS8" i="7"/>
  <c r="AT8" i="7"/>
  <c r="AU8" i="7"/>
  <c r="AV8" i="7"/>
  <c r="AW8" i="7"/>
  <c r="AX8" i="7"/>
  <c r="AY8" i="7"/>
  <c r="AZ8" i="7"/>
  <c r="BA8" i="7"/>
  <c r="BB8" i="7"/>
  <c r="BC8" i="7"/>
  <c r="BD8" i="7"/>
  <c r="BE8" i="7"/>
  <c r="BF8" i="7"/>
  <c r="BG8" i="7"/>
  <c r="BH8" i="7"/>
  <c r="BI8" i="7"/>
  <c r="BJ8" i="7"/>
  <c r="BK8" i="7"/>
  <c r="BL8" i="7"/>
  <c r="BM8" i="7"/>
  <c r="BN8" i="7"/>
  <c r="BO8" i="7"/>
  <c r="BP8" i="7"/>
  <c r="BQ8" i="7"/>
  <c r="BR8" i="7"/>
  <c r="BS8" i="7"/>
  <c r="BT8" i="7"/>
  <c r="BU8" i="7"/>
  <c r="BV8" i="7"/>
  <c r="BW8" i="7"/>
  <c r="BX8" i="7"/>
  <c r="BY8" i="7"/>
  <c r="BZ8" i="7"/>
  <c r="CA8" i="7"/>
  <c r="CB8" i="7"/>
  <c r="CC8" i="7"/>
  <c r="CD8" i="7"/>
  <c r="CE8" i="7"/>
  <c r="CF8" i="7"/>
  <c r="CG8" i="7"/>
  <c r="CH8" i="7"/>
  <c r="CI8" i="7"/>
  <c r="CJ8" i="7"/>
  <c r="CK8" i="7"/>
  <c r="CL8" i="7"/>
  <c r="CM8" i="7"/>
  <c r="CN8" i="7"/>
  <c r="CO8" i="7"/>
  <c r="CP8" i="7"/>
  <c r="CQ8" i="7"/>
  <c r="CR8" i="7"/>
  <c r="CS8" i="7"/>
  <c r="CT8" i="7"/>
  <c r="CU8" i="7"/>
  <c r="CV8" i="7"/>
  <c r="CW8" i="7"/>
  <c r="CX8" i="7"/>
  <c r="CY8" i="7"/>
  <c r="CZ8" i="7"/>
  <c r="DA8" i="7"/>
  <c r="DB8" i="7"/>
  <c r="DC8" i="7"/>
  <c r="DD8" i="7"/>
  <c r="DE8" i="7"/>
  <c r="DF8" i="7"/>
  <c r="DG8" i="7"/>
  <c r="DH8" i="7"/>
  <c r="DI8" i="7"/>
  <c r="DJ8" i="7"/>
  <c r="S9" i="7"/>
  <c r="T9" i="7"/>
  <c r="U9" i="7"/>
  <c r="V9" i="7"/>
  <c r="W9" i="7"/>
  <c r="X9" i="7"/>
  <c r="Y9" i="7"/>
  <c r="Z9" i="7"/>
  <c r="AA9" i="7"/>
  <c r="AB9" i="7"/>
  <c r="AC9" i="7"/>
  <c r="AD9" i="7"/>
  <c r="AE9" i="7"/>
  <c r="AF9" i="7"/>
  <c r="AG9" i="7"/>
  <c r="AH9" i="7"/>
  <c r="AI9" i="7"/>
  <c r="AJ9" i="7"/>
  <c r="AK9" i="7"/>
  <c r="AL9" i="7"/>
  <c r="AM9" i="7"/>
  <c r="AN9" i="7"/>
  <c r="AO9" i="7"/>
  <c r="AP9" i="7"/>
  <c r="AQ9" i="7"/>
  <c r="AR9" i="7"/>
  <c r="AS9" i="7"/>
  <c r="AT9" i="7"/>
  <c r="AU9" i="7"/>
  <c r="AV9" i="7"/>
  <c r="AW9" i="7"/>
  <c r="AX9" i="7"/>
  <c r="AY9" i="7"/>
  <c r="AZ9" i="7"/>
  <c r="BA9" i="7"/>
  <c r="BB9" i="7"/>
  <c r="BC9" i="7"/>
  <c r="BD9" i="7"/>
  <c r="BE9" i="7"/>
  <c r="BF9" i="7"/>
  <c r="BG9" i="7"/>
  <c r="BH9" i="7"/>
  <c r="BI9" i="7"/>
  <c r="BJ9" i="7"/>
  <c r="BK9" i="7"/>
  <c r="BL9" i="7"/>
  <c r="BM9" i="7"/>
  <c r="BN9" i="7"/>
  <c r="BO9" i="7"/>
  <c r="BP9" i="7"/>
  <c r="BQ9" i="7"/>
  <c r="BR9" i="7"/>
  <c r="BS9" i="7"/>
  <c r="BT9" i="7"/>
  <c r="BU9" i="7"/>
  <c r="BV9" i="7"/>
  <c r="BW9" i="7"/>
  <c r="BX9" i="7"/>
  <c r="BY9" i="7"/>
  <c r="BZ9" i="7"/>
  <c r="CA9" i="7"/>
  <c r="CB9" i="7"/>
  <c r="CC9" i="7"/>
  <c r="CD9" i="7"/>
  <c r="CE9" i="7"/>
  <c r="CF9" i="7"/>
  <c r="CG9" i="7"/>
  <c r="CH9" i="7"/>
  <c r="CI9" i="7"/>
  <c r="CJ9" i="7"/>
  <c r="CK9" i="7"/>
  <c r="CL9" i="7"/>
  <c r="CM9" i="7"/>
  <c r="CN9" i="7"/>
  <c r="CO9" i="7"/>
  <c r="CP9" i="7"/>
  <c r="CQ9" i="7"/>
  <c r="CR9" i="7"/>
  <c r="CS9" i="7"/>
  <c r="CT9" i="7"/>
  <c r="CU9" i="7"/>
  <c r="CV9" i="7"/>
  <c r="CW9" i="7"/>
  <c r="CX9" i="7"/>
  <c r="CY9" i="7"/>
  <c r="CZ9" i="7"/>
  <c r="DA9" i="7"/>
  <c r="DB9" i="7"/>
  <c r="DC9" i="7"/>
  <c r="DD9" i="7"/>
  <c r="DE9" i="7"/>
  <c r="DF9" i="7"/>
  <c r="DG9" i="7"/>
  <c r="DH9" i="7"/>
  <c r="DI9" i="7"/>
  <c r="DJ9" i="7"/>
  <c r="S10" i="7"/>
  <c r="T10" i="7"/>
  <c r="U10" i="7"/>
  <c r="V10" i="7"/>
  <c r="W10" i="7"/>
  <c r="X10" i="7"/>
  <c r="Y10" i="7"/>
  <c r="Z10" i="7"/>
  <c r="AA10" i="7"/>
  <c r="AB10" i="7"/>
  <c r="AC10" i="7"/>
  <c r="AD10" i="7"/>
  <c r="AE10" i="7"/>
  <c r="AF10" i="7"/>
  <c r="AG10" i="7"/>
  <c r="AH10" i="7"/>
  <c r="AI10" i="7"/>
  <c r="AJ10" i="7"/>
  <c r="AK10" i="7"/>
  <c r="AL10" i="7"/>
  <c r="AM10" i="7"/>
  <c r="AN10" i="7"/>
  <c r="AO10" i="7"/>
  <c r="AP10" i="7"/>
  <c r="AQ10" i="7"/>
  <c r="AR10" i="7"/>
  <c r="AS10" i="7"/>
  <c r="AT10" i="7"/>
  <c r="AU10" i="7"/>
  <c r="AV10" i="7"/>
  <c r="AW10" i="7"/>
  <c r="AX10" i="7"/>
  <c r="AY10" i="7"/>
  <c r="AZ10" i="7"/>
  <c r="BA10" i="7"/>
  <c r="BB10" i="7"/>
  <c r="BC10" i="7"/>
  <c r="BD10" i="7"/>
  <c r="BE10" i="7"/>
  <c r="BF10" i="7"/>
  <c r="BG10" i="7"/>
  <c r="BH10" i="7"/>
  <c r="BI10" i="7"/>
  <c r="BJ10" i="7"/>
  <c r="BK10" i="7"/>
  <c r="BL10" i="7"/>
  <c r="BM10" i="7"/>
  <c r="BN10" i="7"/>
  <c r="BO10" i="7"/>
  <c r="BP10" i="7"/>
  <c r="BQ10" i="7"/>
  <c r="BR10" i="7"/>
  <c r="BS10" i="7"/>
  <c r="BT10" i="7"/>
  <c r="BU10" i="7"/>
  <c r="BV10" i="7"/>
  <c r="BW10" i="7"/>
  <c r="BX10" i="7"/>
  <c r="BY10" i="7"/>
  <c r="BZ10" i="7"/>
  <c r="CA10" i="7"/>
  <c r="CB10" i="7"/>
  <c r="CC10" i="7"/>
  <c r="CD10" i="7"/>
  <c r="CE10" i="7"/>
  <c r="CF10" i="7"/>
  <c r="CG10" i="7"/>
  <c r="CH10" i="7"/>
  <c r="CI10" i="7"/>
  <c r="CJ10" i="7"/>
  <c r="CK10" i="7"/>
  <c r="CL10" i="7"/>
  <c r="CM10" i="7"/>
  <c r="CN10" i="7"/>
  <c r="CO10" i="7"/>
  <c r="CP10" i="7"/>
  <c r="CQ10" i="7"/>
  <c r="CR10" i="7"/>
  <c r="CS10" i="7"/>
  <c r="CT10" i="7"/>
  <c r="CU10" i="7"/>
  <c r="CV10" i="7"/>
  <c r="CW10" i="7"/>
  <c r="CX10" i="7"/>
  <c r="CY10" i="7"/>
  <c r="CZ10" i="7"/>
  <c r="DA10" i="7"/>
  <c r="DB10" i="7"/>
  <c r="DC10" i="7"/>
  <c r="DD10" i="7"/>
  <c r="DE10" i="7"/>
  <c r="DF10" i="7"/>
  <c r="DG10" i="7"/>
  <c r="DH10" i="7"/>
  <c r="DI10" i="7"/>
  <c r="DJ10" i="7"/>
  <c r="S11" i="7"/>
  <c r="T11" i="7"/>
  <c r="U11" i="7"/>
  <c r="V11" i="7"/>
  <c r="W11" i="7"/>
  <c r="X11" i="7"/>
  <c r="Y11" i="7"/>
  <c r="Z11" i="7"/>
  <c r="AA11" i="7"/>
  <c r="AB11" i="7"/>
  <c r="AC11" i="7"/>
  <c r="AD11" i="7"/>
  <c r="AE11" i="7"/>
  <c r="AF11" i="7"/>
  <c r="AG11" i="7"/>
  <c r="AH11" i="7"/>
  <c r="AI11" i="7"/>
  <c r="AJ11" i="7"/>
  <c r="AK11" i="7"/>
  <c r="AL11" i="7"/>
  <c r="AM11" i="7"/>
  <c r="AN11" i="7"/>
  <c r="AO11" i="7"/>
  <c r="AP11" i="7"/>
  <c r="AQ11" i="7"/>
  <c r="AR11" i="7"/>
  <c r="AS11" i="7"/>
  <c r="AT11" i="7"/>
  <c r="AU11" i="7"/>
  <c r="AV11" i="7"/>
  <c r="AW11" i="7"/>
  <c r="AX11" i="7"/>
  <c r="AY11" i="7"/>
  <c r="AZ11" i="7"/>
  <c r="BA11" i="7"/>
  <c r="BB11" i="7"/>
  <c r="BC11" i="7"/>
  <c r="BD11" i="7"/>
  <c r="BE11" i="7"/>
  <c r="BF11" i="7"/>
  <c r="BG11" i="7"/>
  <c r="BH11" i="7"/>
  <c r="BI11" i="7"/>
  <c r="BJ11" i="7"/>
  <c r="BK11" i="7"/>
  <c r="BL11" i="7"/>
  <c r="BM11" i="7"/>
  <c r="BN11" i="7"/>
  <c r="BO11" i="7"/>
  <c r="BP11" i="7"/>
  <c r="BQ11" i="7"/>
  <c r="BR11" i="7"/>
  <c r="BS11" i="7"/>
  <c r="BT11" i="7"/>
  <c r="BU11" i="7"/>
  <c r="BV11" i="7"/>
  <c r="BW11" i="7"/>
  <c r="BX11" i="7"/>
  <c r="BY11" i="7"/>
  <c r="BZ11" i="7"/>
  <c r="CA11" i="7"/>
  <c r="CB11" i="7"/>
  <c r="CC11" i="7"/>
  <c r="CD11" i="7"/>
  <c r="CE11" i="7"/>
  <c r="CF11" i="7"/>
  <c r="CG11" i="7"/>
  <c r="CH11" i="7"/>
  <c r="CI11" i="7"/>
  <c r="CJ11" i="7"/>
  <c r="CK11" i="7"/>
  <c r="CL11" i="7"/>
  <c r="CM11" i="7"/>
  <c r="CN11" i="7"/>
  <c r="CO11" i="7"/>
  <c r="CP11" i="7"/>
  <c r="CQ11" i="7"/>
  <c r="CR11" i="7"/>
  <c r="CS11" i="7"/>
  <c r="CT11" i="7"/>
  <c r="CU11" i="7"/>
  <c r="CV11" i="7"/>
  <c r="CW11" i="7"/>
  <c r="CX11" i="7"/>
  <c r="CY11" i="7"/>
  <c r="CZ11" i="7"/>
  <c r="DA11" i="7"/>
  <c r="DB11" i="7"/>
  <c r="DC11" i="7"/>
  <c r="DD11" i="7"/>
  <c r="DE11" i="7"/>
  <c r="DF11" i="7"/>
  <c r="DG11" i="7"/>
  <c r="DH11" i="7"/>
  <c r="DI11" i="7"/>
  <c r="DJ11" i="7"/>
  <c r="S12" i="7"/>
  <c r="T12" i="7"/>
  <c r="U12" i="7"/>
  <c r="V12" i="7"/>
  <c r="W12" i="7"/>
  <c r="X12" i="7"/>
  <c r="Y12" i="7"/>
  <c r="Z12" i="7"/>
  <c r="AA12" i="7"/>
  <c r="AB12" i="7"/>
  <c r="AC12" i="7"/>
  <c r="AD12" i="7"/>
  <c r="AE12" i="7"/>
  <c r="AF12" i="7"/>
  <c r="AG12" i="7"/>
  <c r="AH12" i="7"/>
  <c r="AI12" i="7"/>
  <c r="AJ12" i="7"/>
  <c r="AK12" i="7"/>
  <c r="AL12" i="7"/>
  <c r="AM12" i="7"/>
  <c r="AN12" i="7"/>
  <c r="AO12" i="7"/>
  <c r="AP12" i="7"/>
  <c r="AQ12" i="7"/>
  <c r="AR12" i="7"/>
  <c r="AS12" i="7"/>
  <c r="AT12" i="7"/>
  <c r="AU12" i="7"/>
  <c r="AV12" i="7"/>
  <c r="AW12" i="7"/>
  <c r="AX12" i="7"/>
  <c r="AY12" i="7"/>
  <c r="AZ12" i="7"/>
  <c r="BA12" i="7"/>
  <c r="BB12" i="7"/>
  <c r="BC12" i="7"/>
  <c r="BD12" i="7"/>
  <c r="BE12" i="7"/>
  <c r="BF12" i="7"/>
  <c r="BG12" i="7"/>
  <c r="BH12" i="7"/>
  <c r="BI12" i="7"/>
  <c r="BJ12" i="7"/>
  <c r="BK12" i="7"/>
  <c r="BL12" i="7"/>
  <c r="BM12" i="7"/>
  <c r="BN12" i="7"/>
  <c r="BO12" i="7"/>
  <c r="BP12" i="7"/>
  <c r="BQ12" i="7"/>
  <c r="BR12" i="7"/>
  <c r="BS12" i="7"/>
  <c r="BT12" i="7"/>
  <c r="BU12" i="7"/>
  <c r="BV12" i="7"/>
  <c r="BW12" i="7"/>
  <c r="BX12" i="7"/>
  <c r="BY12" i="7"/>
  <c r="BZ12" i="7"/>
  <c r="CA12" i="7"/>
  <c r="CB12" i="7"/>
  <c r="CC12" i="7"/>
  <c r="CD12" i="7"/>
  <c r="CE12" i="7"/>
  <c r="CF12" i="7"/>
  <c r="CG12" i="7"/>
  <c r="CH12" i="7"/>
  <c r="CI12" i="7"/>
  <c r="CJ12" i="7"/>
  <c r="CK12" i="7"/>
  <c r="CL12" i="7"/>
  <c r="CM12" i="7"/>
  <c r="CN12" i="7"/>
  <c r="CO12" i="7"/>
  <c r="CP12" i="7"/>
  <c r="CQ12" i="7"/>
  <c r="CR12" i="7"/>
  <c r="CS12" i="7"/>
  <c r="CT12" i="7"/>
  <c r="CU12" i="7"/>
  <c r="CV12" i="7"/>
  <c r="CW12" i="7"/>
  <c r="CX12" i="7"/>
  <c r="CY12" i="7"/>
  <c r="CZ12" i="7"/>
  <c r="DA12" i="7"/>
  <c r="DB12" i="7"/>
  <c r="DC12" i="7"/>
  <c r="DD12" i="7"/>
  <c r="DE12" i="7"/>
  <c r="DF12" i="7"/>
  <c r="DG12" i="7"/>
  <c r="DH12" i="7"/>
  <c r="DI12" i="7"/>
  <c r="DJ12" i="7"/>
  <c r="S13" i="7"/>
  <c r="T13" i="7"/>
  <c r="U13" i="7"/>
  <c r="V13" i="7"/>
  <c r="W13" i="7"/>
  <c r="X13" i="7"/>
  <c r="Y13" i="7"/>
  <c r="Z13" i="7"/>
  <c r="AA13" i="7"/>
  <c r="AB13" i="7"/>
  <c r="AC13" i="7"/>
  <c r="AD13" i="7"/>
  <c r="AE13" i="7"/>
  <c r="AF13" i="7"/>
  <c r="AG13" i="7"/>
  <c r="AH13" i="7"/>
  <c r="AI13" i="7"/>
  <c r="AJ13" i="7"/>
  <c r="AK13" i="7"/>
  <c r="AL13" i="7"/>
  <c r="AM13" i="7"/>
  <c r="AN13" i="7"/>
  <c r="AO13" i="7"/>
  <c r="AP13" i="7"/>
  <c r="AQ13" i="7"/>
  <c r="AR13" i="7"/>
  <c r="AS13" i="7"/>
  <c r="AT13" i="7"/>
  <c r="AU13" i="7"/>
  <c r="AV13" i="7"/>
  <c r="AW13" i="7"/>
  <c r="AX13" i="7"/>
  <c r="AY13" i="7"/>
  <c r="AZ13" i="7"/>
  <c r="BA13" i="7"/>
  <c r="BB13" i="7"/>
  <c r="BC13" i="7"/>
  <c r="BD13" i="7"/>
  <c r="BE13" i="7"/>
  <c r="BF13" i="7"/>
  <c r="BG13" i="7"/>
  <c r="BH13" i="7"/>
  <c r="BI13" i="7"/>
  <c r="BJ13" i="7"/>
  <c r="BK13" i="7"/>
  <c r="BL13" i="7"/>
  <c r="BM13" i="7"/>
  <c r="BN13" i="7"/>
  <c r="BO13" i="7"/>
  <c r="BP13" i="7"/>
  <c r="BQ13" i="7"/>
  <c r="BR13" i="7"/>
  <c r="BS13" i="7"/>
  <c r="BT13" i="7"/>
  <c r="BU13" i="7"/>
  <c r="BV13" i="7"/>
  <c r="BW13" i="7"/>
  <c r="BX13" i="7"/>
  <c r="BY13" i="7"/>
  <c r="BZ13" i="7"/>
  <c r="CA13" i="7"/>
  <c r="CB13" i="7"/>
  <c r="CC13" i="7"/>
  <c r="CD13" i="7"/>
  <c r="CE13" i="7"/>
  <c r="CF13" i="7"/>
  <c r="CG13" i="7"/>
  <c r="CH13" i="7"/>
  <c r="CI13" i="7"/>
  <c r="CJ13" i="7"/>
  <c r="CK13" i="7"/>
  <c r="CL13" i="7"/>
  <c r="CM13" i="7"/>
  <c r="CN13" i="7"/>
  <c r="CO13" i="7"/>
  <c r="CP13" i="7"/>
  <c r="CQ13" i="7"/>
  <c r="CR13" i="7"/>
  <c r="CS13" i="7"/>
  <c r="CT13" i="7"/>
  <c r="CU13" i="7"/>
  <c r="CV13" i="7"/>
  <c r="CW13" i="7"/>
  <c r="CX13" i="7"/>
  <c r="CY13" i="7"/>
  <c r="CZ13" i="7"/>
  <c r="DA13" i="7"/>
  <c r="DB13" i="7"/>
  <c r="DC13" i="7"/>
  <c r="DD13" i="7"/>
  <c r="DE13" i="7"/>
  <c r="DF13" i="7"/>
  <c r="DG13" i="7"/>
  <c r="DH13" i="7"/>
  <c r="DI13" i="7"/>
  <c r="DJ13" i="7"/>
  <c r="S14" i="7"/>
  <c r="T14" i="7"/>
  <c r="U14" i="7"/>
  <c r="V14" i="7"/>
  <c r="W14" i="7"/>
  <c r="X14" i="7"/>
  <c r="Y14" i="7"/>
  <c r="Z14" i="7"/>
  <c r="AA14" i="7"/>
  <c r="AB14" i="7"/>
  <c r="AC14" i="7"/>
  <c r="AD14" i="7"/>
  <c r="AE14" i="7"/>
  <c r="AF14" i="7"/>
  <c r="AG14" i="7"/>
  <c r="AH14" i="7"/>
  <c r="AI14" i="7"/>
  <c r="AJ14" i="7"/>
  <c r="AK14" i="7"/>
  <c r="AL14" i="7"/>
  <c r="AM14" i="7"/>
  <c r="AN14" i="7"/>
  <c r="AO14" i="7"/>
  <c r="AP14" i="7"/>
  <c r="AQ14" i="7"/>
  <c r="AR14" i="7"/>
  <c r="AS14" i="7"/>
  <c r="AT14" i="7"/>
  <c r="AU14" i="7"/>
  <c r="AV14" i="7"/>
  <c r="AW14" i="7"/>
  <c r="AX14" i="7"/>
  <c r="AY14" i="7"/>
  <c r="AZ14" i="7"/>
  <c r="BA14" i="7"/>
  <c r="BB14" i="7"/>
  <c r="BC14" i="7"/>
  <c r="BD14" i="7"/>
  <c r="BE14" i="7"/>
  <c r="BF14" i="7"/>
  <c r="BG14" i="7"/>
  <c r="BH14" i="7"/>
  <c r="BI14" i="7"/>
  <c r="BJ14" i="7"/>
  <c r="BK14" i="7"/>
  <c r="BL14" i="7"/>
  <c r="BM14" i="7"/>
  <c r="BN14" i="7"/>
  <c r="BO14" i="7"/>
  <c r="BP14" i="7"/>
  <c r="BQ14" i="7"/>
  <c r="BR14" i="7"/>
  <c r="BS14" i="7"/>
  <c r="BT14" i="7"/>
  <c r="BU14" i="7"/>
  <c r="BV14" i="7"/>
  <c r="BW14" i="7"/>
  <c r="BX14" i="7"/>
  <c r="BY14" i="7"/>
  <c r="BZ14" i="7"/>
  <c r="CA14" i="7"/>
  <c r="CB14" i="7"/>
  <c r="CC14" i="7"/>
  <c r="CD14" i="7"/>
  <c r="CE14" i="7"/>
  <c r="CF14" i="7"/>
  <c r="CG14" i="7"/>
  <c r="CH14" i="7"/>
  <c r="CI14" i="7"/>
  <c r="CJ14" i="7"/>
  <c r="CK14" i="7"/>
  <c r="CL14" i="7"/>
  <c r="CM14" i="7"/>
  <c r="CN14" i="7"/>
  <c r="CO14" i="7"/>
  <c r="CP14" i="7"/>
  <c r="CQ14" i="7"/>
  <c r="CR14" i="7"/>
  <c r="CS14" i="7"/>
  <c r="CT14" i="7"/>
  <c r="CU14" i="7"/>
  <c r="CV14" i="7"/>
  <c r="CW14" i="7"/>
  <c r="CX14" i="7"/>
  <c r="CY14" i="7"/>
  <c r="CZ14" i="7"/>
  <c r="DA14" i="7"/>
  <c r="DB14" i="7"/>
  <c r="DC14" i="7"/>
  <c r="DD14" i="7"/>
  <c r="DE14" i="7"/>
  <c r="DF14" i="7"/>
  <c r="DG14" i="7"/>
  <c r="DH14" i="7"/>
  <c r="DI14" i="7"/>
  <c r="DJ14" i="7"/>
  <c r="S15" i="7"/>
  <c r="T15" i="7"/>
  <c r="U15" i="7"/>
  <c r="V15" i="7"/>
  <c r="W15" i="7"/>
  <c r="X15" i="7"/>
  <c r="Y15" i="7"/>
  <c r="Z15" i="7"/>
  <c r="AA15" i="7"/>
  <c r="AB15" i="7"/>
  <c r="AC15" i="7"/>
  <c r="AD15" i="7"/>
  <c r="AE15" i="7"/>
  <c r="AF15" i="7"/>
  <c r="AG15" i="7"/>
  <c r="AH15" i="7"/>
  <c r="AI15" i="7"/>
  <c r="AJ15" i="7"/>
  <c r="AK15" i="7"/>
  <c r="AL15" i="7"/>
  <c r="AM15" i="7"/>
  <c r="AN15" i="7"/>
  <c r="AO15" i="7"/>
  <c r="AP15" i="7"/>
  <c r="AQ15" i="7"/>
  <c r="AR15" i="7"/>
  <c r="AS15" i="7"/>
  <c r="AT15" i="7"/>
  <c r="AU15" i="7"/>
  <c r="AV15" i="7"/>
  <c r="AW15" i="7"/>
  <c r="AX15" i="7"/>
  <c r="AY15" i="7"/>
  <c r="AZ15" i="7"/>
  <c r="BA15" i="7"/>
  <c r="BB15" i="7"/>
  <c r="BC15" i="7"/>
  <c r="BD15" i="7"/>
  <c r="BE15" i="7"/>
  <c r="BF15" i="7"/>
  <c r="BG15" i="7"/>
  <c r="BH15" i="7"/>
  <c r="BI15" i="7"/>
  <c r="BJ15" i="7"/>
  <c r="BK15" i="7"/>
  <c r="BL15" i="7"/>
  <c r="BM15" i="7"/>
  <c r="BN15" i="7"/>
  <c r="BO15" i="7"/>
  <c r="BP15" i="7"/>
  <c r="BQ15" i="7"/>
  <c r="BR15" i="7"/>
  <c r="BS15" i="7"/>
  <c r="BT15" i="7"/>
  <c r="BU15" i="7"/>
  <c r="BV15" i="7"/>
  <c r="BW15" i="7"/>
  <c r="BX15" i="7"/>
  <c r="BY15" i="7"/>
  <c r="BZ15" i="7"/>
  <c r="CA15" i="7"/>
  <c r="CB15" i="7"/>
  <c r="CC15" i="7"/>
  <c r="CD15" i="7"/>
  <c r="CE15" i="7"/>
  <c r="CF15" i="7"/>
  <c r="CG15" i="7"/>
  <c r="CH15" i="7"/>
  <c r="CI15" i="7"/>
  <c r="CJ15" i="7"/>
  <c r="CK15" i="7"/>
  <c r="CL15" i="7"/>
  <c r="CM15" i="7"/>
  <c r="CN15" i="7"/>
  <c r="CO15" i="7"/>
  <c r="CP15" i="7"/>
  <c r="CQ15" i="7"/>
  <c r="CR15" i="7"/>
  <c r="CS15" i="7"/>
  <c r="CT15" i="7"/>
  <c r="CU15" i="7"/>
  <c r="CV15" i="7"/>
  <c r="CW15" i="7"/>
  <c r="CX15" i="7"/>
  <c r="CY15" i="7"/>
  <c r="CZ15" i="7"/>
  <c r="DA15" i="7"/>
  <c r="DB15" i="7"/>
  <c r="DC15" i="7"/>
  <c r="DD15" i="7"/>
  <c r="DE15" i="7"/>
  <c r="DF15" i="7"/>
  <c r="DG15" i="7"/>
  <c r="DH15" i="7"/>
  <c r="DI15" i="7"/>
  <c r="DJ15" i="7"/>
  <c r="S16" i="7"/>
  <c r="T16" i="7"/>
  <c r="U16" i="7"/>
  <c r="V16" i="7"/>
  <c r="W16" i="7"/>
  <c r="X16" i="7"/>
  <c r="Y16" i="7"/>
  <c r="Z16" i="7"/>
  <c r="AA16" i="7"/>
  <c r="AB16" i="7"/>
  <c r="AC16" i="7"/>
  <c r="AD16" i="7"/>
  <c r="AE16" i="7"/>
  <c r="AF16" i="7"/>
  <c r="AG16" i="7"/>
  <c r="AH16" i="7"/>
  <c r="AI16" i="7"/>
  <c r="AJ16" i="7"/>
  <c r="AK16" i="7"/>
  <c r="AL16" i="7"/>
  <c r="AM16" i="7"/>
  <c r="AN16" i="7"/>
  <c r="AO16" i="7"/>
  <c r="AP16" i="7"/>
  <c r="AQ16" i="7"/>
  <c r="AR16" i="7"/>
  <c r="AS16" i="7"/>
  <c r="AT16" i="7"/>
  <c r="AU16" i="7"/>
  <c r="AV16" i="7"/>
  <c r="AW16" i="7"/>
  <c r="AX16" i="7"/>
  <c r="AY16" i="7"/>
  <c r="AZ16" i="7"/>
  <c r="BA16" i="7"/>
  <c r="BB16" i="7"/>
  <c r="BC16" i="7"/>
  <c r="BD16" i="7"/>
  <c r="BE16" i="7"/>
  <c r="BF16" i="7"/>
  <c r="BG16" i="7"/>
  <c r="BH16" i="7"/>
  <c r="BI16" i="7"/>
  <c r="BJ16" i="7"/>
  <c r="BK16" i="7"/>
  <c r="BL16" i="7"/>
  <c r="BM16" i="7"/>
  <c r="BN16" i="7"/>
  <c r="BO16" i="7"/>
  <c r="BP16" i="7"/>
  <c r="BQ16" i="7"/>
  <c r="BR16" i="7"/>
  <c r="BS16" i="7"/>
  <c r="BT16" i="7"/>
  <c r="BU16" i="7"/>
  <c r="BV16" i="7"/>
  <c r="BW16" i="7"/>
  <c r="BX16" i="7"/>
  <c r="BY16" i="7"/>
  <c r="BZ16" i="7"/>
  <c r="CA16" i="7"/>
  <c r="CB16" i="7"/>
  <c r="CC16" i="7"/>
  <c r="CD16" i="7"/>
  <c r="CE16" i="7"/>
  <c r="CF16" i="7"/>
  <c r="CG16" i="7"/>
  <c r="CH16" i="7"/>
  <c r="CI16" i="7"/>
  <c r="CJ16" i="7"/>
  <c r="CK16" i="7"/>
  <c r="CL16" i="7"/>
  <c r="CM16" i="7"/>
  <c r="CN16" i="7"/>
  <c r="CO16" i="7"/>
  <c r="CP16" i="7"/>
  <c r="CQ16" i="7"/>
  <c r="CR16" i="7"/>
  <c r="CS16" i="7"/>
  <c r="CT16" i="7"/>
  <c r="CU16" i="7"/>
  <c r="CV16" i="7"/>
  <c r="CW16" i="7"/>
  <c r="CX16" i="7"/>
  <c r="CY16" i="7"/>
  <c r="CZ16" i="7"/>
  <c r="DA16" i="7"/>
  <c r="DB16" i="7"/>
  <c r="DC16" i="7"/>
  <c r="DD16" i="7"/>
  <c r="DE16" i="7"/>
  <c r="DF16" i="7"/>
  <c r="DG16" i="7"/>
  <c r="DH16" i="7"/>
  <c r="DI16" i="7"/>
  <c r="DJ16" i="7"/>
  <c r="S17" i="7"/>
  <c r="T17" i="7"/>
  <c r="U17" i="7"/>
  <c r="V17" i="7"/>
  <c r="W17" i="7"/>
  <c r="X17" i="7"/>
  <c r="Y17" i="7"/>
  <c r="Z17" i="7"/>
  <c r="AA17" i="7"/>
  <c r="AB17" i="7"/>
  <c r="AC17" i="7"/>
  <c r="AD17" i="7"/>
  <c r="AE17" i="7"/>
  <c r="AF17" i="7"/>
  <c r="AG17" i="7"/>
  <c r="AH17" i="7"/>
  <c r="AI17" i="7"/>
  <c r="AJ17" i="7"/>
  <c r="AK17" i="7"/>
  <c r="AL17" i="7"/>
  <c r="AM17" i="7"/>
  <c r="AN17" i="7"/>
  <c r="AO17" i="7"/>
  <c r="AP17" i="7"/>
  <c r="AQ17" i="7"/>
  <c r="AR17" i="7"/>
  <c r="AS17" i="7"/>
  <c r="AT17" i="7"/>
  <c r="AU17" i="7"/>
  <c r="AV17" i="7"/>
  <c r="AW17" i="7"/>
  <c r="AX17" i="7"/>
  <c r="AY17" i="7"/>
  <c r="AZ17" i="7"/>
  <c r="BA17" i="7"/>
  <c r="BB17" i="7"/>
  <c r="BC17" i="7"/>
  <c r="BD17" i="7"/>
  <c r="BE17" i="7"/>
  <c r="BF17" i="7"/>
  <c r="BG17" i="7"/>
  <c r="BH17" i="7"/>
  <c r="BI17" i="7"/>
  <c r="BJ17" i="7"/>
  <c r="BK17" i="7"/>
  <c r="BL17" i="7"/>
  <c r="BM17" i="7"/>
  <c r="BN17" i="7"/>
  <c r="BO17" i="7"/>
  <c r="BP17" i="7"/>
  <c r="BQ17" i="7"/>
  <c r="BR17" i="7"/>
  <c r="BS17" i="7"/>
  <c r="BT17" i="7"/>
  <c r="BU17" i="7"/>
  <c r="BV17" i="7"/>
  <c r="BW17" i="7"/>
  <c r="BX17" i="7"/>
  <c r="BY17" i="7"/>
  <c r="BZ17" i="7"/>
  <c r="CA17" i="7"/>
  <c r="CB17" i="7"/>
  <c r="CC17" i="7"/>
  <c r="CD17" i="7"/>
  <c r="CE17" i="7"/>
  <c r="CF17" i="7"/>
  <c r="CG17" i="7"/>
  <c r="CH17" i="7"/>
  <c r="CI17" i="7"/>
  <c r="CJ17" i="7"/>
  <c r="CK17" i="7"/>
  <c r="CL17" i="7"/>
  <c r="CM17" i="7"/>
  <c r="CN17" i="7"/>
  <c r="CO17" i="7"/>
  <c r="CP17" i="7"/>
  <c r="CQ17" i="7"/>
  <c r="CR17" i="7"/>
  <c r="CS17" i="7"/>
  <c r="CT17" i="7"/>
  <c r="CU17" i="7"/>
  <c r="CV17" i="7"/>
  <c r="CW17" i="7"/>
  <c r="CX17" i="7"/>
  <c r="CY17" i="7"/>
  <c r="CZ17" i="7"/>
  <c r="DA17" i="7"/>
  <c r="DB17" i="7"/>
  <c r="DC17" i="7"/>
  <c r="DD17" i="7"/>
  <c r="DE17" i="7"/>
  <c r="DF17" i="7"/>
  <c r="DG17" i="7"/>
  <c r="DH17" i="7"/>
  <c r="DI17" i="7"/>
  <c r="DJ17" i="7"/>
  <c r="S18" i="7"/>
  <c r="T18" i="7"/>
  <c r="U18" i="7"/>
  <c r="V18" i="7"/>
  <c r="W18" i="7"/>
  <c r="X18" i="7"/>
  <c r="Y18" i="7"/>
  <c r="Z18" i="7"/>
  <c r="AA18" i="7"/>
  <c r="AB18" i="7"/>
  <c r="AC18" i="7"/>
  <c r="AD18" i="7"/>
  <c r="AE18" i="7"/>
  <c r="AF18" i="7"/>
  <c r="AG18" i="7"/>
  <c r="AH18" i="7"/>
  <c r="AI18" i="7"/>
  <c r="AJ18" i="7"/>
  <c r="AK18" i="7"/>
  <c r="AL18" i="7"/>
  <c r="AM18" i="7"/>
  <c r="AN18" i="7"/>
  <c r="AO18" i="7"/>
  <c r="AP18" i="7"/>
  <c r="AQ18" i="7"/>
  <c r="AR18" i="7"/>
  <c r="AS18" i="7"/>
  <c r="AT18" i="7"/>
  <c r="AU18" i="7"/>
  <c r="AV18" i="7"/>
  <c r="AW18" i="7"/>
  <c r="AX18" i="7"/>
  <c r="AY18" i="7"/>
  <c r="AZ18" i="7"/>
  <c r="BA18" i="7"/>
  <c r="BB18" i="7"/>
  <c r="BC18" i="7"/>
  <c r="BD18" i="7"/>
  <c r="BE18" i="7"/>
  <c r="BF18" i="7"/>
  <c r="BG18" i="7"/>
  <c r="BH18" i="7"/>
  <c r="BI18" i="7"/>
  <c r="BJ18" i="7"/>
  <c r="BK18" i="7"/>
  <c r="BL18" i="7"/>
  <c r="BM18" i="7"/>
  <c r="BN18" i="7"/>
  <c r="BO18" i="7"/>
  <c r="BP18" i="7"/>
  <c r="BQ18" i="7"/>
  <c r="BR18" i="7"/>
  <c r="BS18" i="7"/>
  <c r="BT18" i="7"/>
  <c r="BU18" i="7"/>
  <c r="BV18" i="7"/>
  <c r="BW18" i="7"/>
  <c r="BX18" i="7"/>
  <c r="BY18" i="7"/>
  <c r="BZ18" i="7"/>
  <c r="CA18" i="7"/>
  <c r="CB18" i="7"/>
  <c r="CC18" i="7"/>
  <c r="CD18" i="7"/>
  <c r="CE18" i="7"/>
  <c r="CF18" i="7"/>
  <c r="CG18" i="7"/>
  <c r="CH18" i="7"/>
  <c r="CI18" i="7"/>
  <c r="CJ18" i="7"/>
  <c r="CK18" i="7"/>
  <c r="CL18" i="7"/>
  <c r="CM18" i="7"/>
  <c r="CN18" i="7"/>
  <c r="CO18" i="7"/>
  <c r="CP18" i="7"/>
  <c r="CQ18" i="7"/>
  <c r="CR18" i="7"/>
  <c r="CS18" i="7"/>
  <c r="CT18" i="7"/>
  <c r="CU18" i="7"/>
  <c r="CV18" i="7"/>
  <c r="CW18" i="7"/>
  <c r="CX18" i="7"/>
  <c r="CY18" i="7"/>
  <c r="CZ18" i="7"/>
  <c r="DA18" i="7"/>
  <c r="DB18" i="7"/>
  <c r="DC18" i="7"/>
  <c r="DD18" i="7"/>
  <c r="DE18" i="7"/>
  <c r="DF18" i="7"/>
  <c r="DG18" i="7"/>
  <c r="DH18" i="7"/>
  <c r="DI18" i="7"/>
  <c r="DJ18" i="7"/>
  <c r="S19" i="7"/>
  <c r="T19" i="7"/>
  <c r="U19" i="7"/>
  <c r="V19" i="7"/>
  <c r="W19" i="7"/>
  <c r="X19" i="7"/>
  <c r="Y19" i="7"/>
  <c r="Z19" i="7"/>
  <c r="AA19" i="7"/>
  <c r="AB19" i="7"/>
  <c r="AC19" i="7"/>
  <c r="AD19" i="7"/>
  <c r="AE19" i="7"/>
  <c r="AF19" i="7"/>
  <c r="AG19" i="7"/>
  <c r="AH19" i="7"/>
  <c r="AI19" i="7"/>
  <c r="AJ19" i="7"/>
  <c r="AK19" i="7"/>
  <c r="AL19" i="7"/>
  <c r="AM19" i="7"/>
  <c r="AN19" i="7"/>
  <c r="AO19" i="7"/>
  <c r="AP19" i="7"/>
  <c r="AQ19" i="7"/>
  <c r="AR19" i="7"/>
  <c r="AS19" i="7"/>
  <c r="AT19" i="7"/>
  <c r="AU19" i="7"/>
  <c r="AV19" i="7"/>
  <c r="AW19" i="7"/>
  <c r="AX19" i="7"/>
  <c r="AY19" i="7"/>
  <c r="AZ19" i="7"/>
  <c r="BA19" i="7"/>
  <c r="BB19" i="7"/>
  <c r="BC19" i="7"/>
  <c r="BD19" i="7"/>
  <c r="BE19" i="7"/>
  <c r="BF19" i="7"/>
  <c r="BG19" i="7"/>
  <c r="BH19" i="7"/>
  <c r="BI19" i="7"/>
  <c r="BJ19" i="7"/>
  <c r="BK19" i="7"/>
  <c r="BL19" i="7"/>
  <c r="BM19" i="7"/>
  <c r="BN19" i="7"/>
  <c r="BO19" i="7"/>
  <c r="BP19" i="7"/>
  <c r="BQ19" i="7"/>
  <c r="BR19" i="7"/>
  <c r="BS19" i="7"/>
  <c r="BT19" i="7"/>
  <c r="BU19" i="7"/>
  <c r="BV19" i="7"/>
  <c r="BW19" i="7"/>
  <c r="BX19" i="7"/>
  <c r="BY19" i="7"/>
  <c r="BZ19" i="7"/>
  <c r="CA19" i="7"/>
  <c r="CB19" i="7"/>
  <c r="CC19" i="7"/>
  <c r="CD19" i="7"/>
  <c r="CE19" i="7"/>
  <c r="CF19" i="7"/>
  <c r="CG19" i="7"/>
  <c r="CH19" i="7"/>
  <c r="CI19" i="7"/>
  <c r="CJ19" i="7"/>
  <c r="CK19" i="7"/>
  <c r="CL19" i="7"/>
  <c r="CM19" i="7"/>
  <c r="CN19" i="7"/>
  <c r="CO19" i="7"/>
  <c r="CP19" i="7"/>
  <c r="CQ19" i="7"/>
  <c r="CR19" i="7"/>
  <c r="CS19" i="7"/>
  <c r="CT19" i="7"/>
  <c r="CU19" i="7"/>
  <c r="CV19" i="7"/>
  <c r="CW19" i="7"/>
  <c r="CX19" i="7"/>
  <c r="CY19" i="7"/>
  <c r="CZ19" i="7"/>
  <c r="DA19" i="7"/>
  <c r="DB19" i="7"/>
  <c r="DC19" i="7"/>
  <c r="DD19" i="7"/>
  <c r="DE19" i="7"/>
  <c r="DF19" i="7"/>
  <c r="DG19" i="7"/>
  <c r="DH19" i="7"/>
  <c r="DI19" i="7"/>
  <c r="DJ19" i="7"/>
  <c r="G5" i="7"/>
  <c r="H5" i="7"/>
  <c r="I5" i="7"/>
  <c r="J5" i="7"/>
  <c r="K5" i="7"/>
  <c r="L5" i="7"/>
  <c r="M5" i="7"/>
  <c r="N5" i="7"/>
  <c r="O5" i="7"/>
  <c r="P5" i="7"/>
  <c r="Q5" i="7"/>
  <c r="R5" i="7"/>
  <c r="G6" i="7"/>
  <c r="H6" i="7"/>
  <c r="I6" i="7"/>
  <c r="J6" i="7"/>
  <c r="K6" i="7"/>
  <c r="L6" i="7"/>
  <c r="M6" i="7"/>
  <c r="N6" i="7"/>
  <c r="O6" i="7"/>
  <c r="P6" i="7"/>
  <c r="Q6" i="7"/>
  <c r="R6" i="7"/>
  <c r="G7" i="7"/>
  <c r="H7" i="7"/>
  <c r="I7" i="7"/>
  <c r="J7" i="7"/>
  <c r="K7" i="7"/>
  <c r="L7" i="7"/>
  <c r="M7" i="7"/>
  <c r="N7" i="7"/>
  <c r="O7" i="7"/>
  <c r="P7" i="7"/>
  <c r="Q7" i="7"/>
  <c r="R7" i="7"/>
  <c r="G8" i="7"/>
  <c r="H8" i="7"/>
  <c r="I8" i="7"/>
  <c r="J8" i="7"/>
  <c r="K8" i="7"/>
  <c r="L8" i="7"/>
  <c r="M8" i="7"/>
  <c r="N8" i="7"/>
  <c r="O8" i="7"/>
  <c r="P8" i="7"/>
  <c r="Q8" i="7"/>
  <c r="R8" i="7"/>
  <c r="G9" i="7"/>
  <c r="H9" i="7"/>
  <c r="I9" i="7"/>
  <c r="J9" i="7"/>
  <c r="K9" i="7"/>
  <c r="L9" i="7"/>
  <c r="M9" i="7"/>
  <c r="N9" i="7"/>
  <c r="O9" i="7"/>
  <c r="P9" i="7"/>
  <c r="Q9" i="7"/>
  <c r="R9" i="7"/>
  <c r="G10" i="7"/>
  <c r="H10" i="7"/>
  <c r="I10" i="7"/>
  <c r="J10" i="7"/>
  <c r="K10" i="7"/>
  <c r="L10" i="7"/>
  <c r="M10" i="7"/>
  <c r="N10" i="7"/>
  <c r="O10" i="7"/>
  <c r="P10" i="7"/>
  <c r="Q10" i="7"/>
  <c r="R10" i="7"/>
  <c r="G11" i="7"/>
  <c r="H11" i="7"/>
  <c r="I11" i="7"/>
  <c r="J11" i="7"/>
  <c r="K11" i="7"/>
  <c r="L11" i="7"/>
  <c r="M11" i="7"/>
  <c r="N11" i="7"/>
  <c r="O11" i="7"/>
  <c r="P11" i="7"/>
  <c r="Q11" i="7"/>
  <c r="R11" i="7"/>
  <c r="G12" i="7"/>
  <c r="H12" i="7"/>
  <c r="I12" i="7"/>
  <c r="J12" i="7"/>
  <c r="K12" i="7"/>
  <c r="L12" i="7"/>
  <c r="M12" i="7"/>
  <c r="N12" i="7"/>
  <c r="O12" i="7"/>
  <c r="P12" i="7"/>
  <c r="Q12" i="7"/>
  <c r="R12" i="7"/>
  <c r="G13" i="7"/>
  <c r="H13" i="7"/>
  <c r="I13" i="7"/>
  <c r="J13" i="7"/>
  <c r="K13" i="7"/>
  <c r="L13" i="7"/>
  <c r="M13" i="7"/>
  <c r="N13" i="7"/>
  <c r="O13" i="7"/>
  <c r="P13" i="7"/>
  <c r="Q13" i="7"/>
  <c r="R13" i="7"/>
  <c r="G14" i="7"/>
  <c r="H14" i="7"/>
  <c r="I14" i="7"/>
  <c r="J14" i="7"/>
  <c r="K14" i="7"/>
  <c r="L14" i="7"/>
  <c r="M14" i="7"/>
  <c r="N14" i="7"/>
  <c r="O14" i="7"/>
  <c r="P14" i="7"/>
  <c r="Q14" i="7"/>
  <c r="R14" i="7"/>
  <c r="G15" i="7"/>
  <c r="H15" i="7"/>
  <c r="I15" i="7"/>
  <c r="J15" i="7"/>
  <c r="K15" i="7"/>
  <c r="L15" i="7"/>
  <c r="M15" i="7"/>
  <c r="N15" i="7"/>
  <c r="O15" i="7"/>
  <c r="P15" i="7"/>
  <c r="Q15" i="7"/>
  <c r="R15" i="7"/>
  <c r="G16" i="7"/>
  <c r="H16" i="7"/>
  <c r="I16" i="7"/>
  <c r="J16" i="7"/>
  <c r="K16" i="7"/>
  <c r="L16" i="7"/>
  <c r="M16" i="7"/>
  <c r="N16" i="7"/>
  <c r="O16" i="7"/>
  <c r="P16" i="7"/>
  <c r="Q16" i="7"/>
  <c r="R16" i="7"/>
  <c r="G17" i="7"/>
  <c r="H17" i="7"/>
  <c r="I17" i="7"/>
  <c r="J17" i="7"/>
  <c r="K17" i="7"/>
  <c r="L17" i="7"/>
  <c r="M17" i="7"/>
  <c r="N17" i="7"/>
  <c r="O17" i="7"/>
  <c r="P17" i="7"/>
  <c r="Q17" i="7"/>
  <c r="R17" i="7"/>
  <c r="G18" i="7"/>
  <c r="H18" i="7"/>
  <c r="I18" i="7"/>
  <c r="J18" i="7"/>
  <c r="K18" i="7"/>
  <c r="L18" i="7"/>
  <c r="M18" i="7"/>
  <c r="N18" i="7"/>
  <c r="O18" i="7"/>
  <c r="P18" i="7"/>
  <c r="Q18" i="7"/>
  <c r="R18" i="7"/>
  <c r="G19" i="7"/>
  <c r="H19" i="7"/>
  <c r="I19" i="7"/>
  <c r="J19" i="7"/>
  <c r="K19" i="7"/>
  <c r="L19" i="7"/>
  <c r="M19" i="7"/>
  <c r="N19" i="7"/>
  <c r="O19" i="7"/>
  <c r="P19" i="7"/>
  <c r="Q19" i="7"/>
  <c r="R19" i="7"/>
  <c r="H4" i="7"/>
  <c r="I4" i="7"/>
  <c r="J4" i="7"/>
  <c r="K4" i="7"/>
  <c r="L4" i="7"/>
  <c r="M4" i="7"/>
  <c r="N4" i="7"/>
  <c r="O4" i="7"/>
  <c r="P4" i="7"/>
  <c r="Q4" i="7"/>
  <c r="R4" i="7"/>
  <c r="G4" i="7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Z4" i="12"/>
  <c r="BA4" i="12"/>
  <c r="BB4" i="12"/>
  <c r="BC4" i="12"/>
  <c r="BD4" i="12"/>
  <c r="BE4" i="12"/>
  <c r="BF4" i="12"/>
  <c r="BG4" i="12"/>
  <c r="BH4" i="12"/>
  <c r="BI4" i="12"/>
  <c r="BJ4" i="12"/>
  <c r="BK4" i="12"/>
  <c r="BL4" i="12"/>
  <c r="BM4" i="12"/>
  <c r="BN4" i="12"/>
  <c r="BO4" i="12"/>
  <c r="BP4" i="12"/>
  <c r="BQ4" i="12"/>
  <c r="BR4" i="12"/>
  <c r="BS4" i="12"/>
  <c r="BT4" i="12"/>
  <c r="BU4" i="12"/>
  <c r="BV4" i="12"/>
  <c r="BW4" i="12"/>
  <c r="BX4" i="12"/>
  <c r="BY4" i="12"/>
  <c r="BZ4" i="12"/>
  <c r="CA4" i="12"/>
  <c r="CB4" i="12"/>
  <c r="CC4" i="12"/>
  <c r="CD4" i="12"/>
  <c r="CE4" i="12"/>
  <c r="CF4" i="12"/>
  <c r="CG4" i="12"/>
  <c r="CH4" i="12"/>
  <c r="CI4" i="12"/>
  <c r="CJ4" i="12"/>
  <c r="CK4" i="12"/>
  <c r="CL4" i="12"/>
  <c r="CM4" i="12"/>
  <c r="CN4" i="12"/>
  <c r="CO4" i="12"/>
  <c r="CP4" i="12"/>
  <c r="CQ4" i="12"/>
  <c r="CR4" i="12"/>
  <c r="CS4" i="12"/>
  <c r="CT4" i="12"/>
  <c r="CU4" i="12"/>
  <c r="CV4" i="12"/>
  <c r="CW4" i="12"/>
  <c r="CX4" i="12"/>
  <c r="CY4" i="12"/>
  <c r="CZ4" i="12"/>
  <c r="DA4" i="12"/>
  <c r="DB4" i="12"/>
  <c r="DC4" i="12"/>
  <c r="DD4" i="12"/>
  <c r="DE4" i="12"/>
  <c r="DF4" i="12"/>
  <c r="DG4" i="12"/>
  <c r="DH4" i="12"/>
  <c r="DI4" i="12"/>
  <c r="DJ4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Z5" i="12"/>
  <c r="BA5" i="12"/>
  <c r="BB5" i="12"/>
  <c r="BC5" i="12"/>
  <c r="BD5" i="12"/>
  <c r="BE5" i="12"/>
  <c r="BF5" i="12"/>
  <c r="BG5" i="12"/>
  <c r="BH5" i="12"/>
  <c r="BI5" i="12"/>
  <c r="BJ5" i="12"/>
  <c r="BK5" i="12"/>
  <c r="BL5" i="12"/>
  <c r="BM5" i="12"/>
  <c r="BN5" i="12"/>
  <c r="BO5" i="12"/>
  <c r="BP5" i="12"/>
  <c r="BQ5" i="12"/>
  <c r="BR5" i="12"/>
  <c r="BS5" i="12"/>
  <c r="BT5" i="12"/>
  <c r="BU5" i="12"/>
  <c r="BV5" i="12"/>
  <c r="BW5" i="12"/>
  <c r="BX5" i="12"/>
  <c r="BY5" i="12"/>
  <c r="BZ5" i="12"/>
  <c r="CA5" i="12"/>
  <c r="CB5" i="12"/>
  <c r="CC5" i="12"/>
  <c r="CD5" i="12"/>
  <c r="CE5" i="12"/>
  <c r="CF5" i="12"/>
  <c r="CG5" i="12"/>
  <c r="CH5" i="12"/>
  <c r="CI5" i="12"/>
  <c r="CJ5" i="12"/>
  <c r="CK5" i="12"/>
  <c r="CL5" i="12"/>
  <c r="CM5" i="12"/>
  <c r="CN5" i="12"/>
  <c r="CO5" i="12"/>
  <c r="CP5" i="12"/>
  <c r="CQ5" i="12"/>
  <c r="CR5" i="12"/>
  <c r="CS5" i="12"/>
  <c r="CT5" i="12"/>
  <c r="CU5" i="12"/>
  <c r="CV5" i="12"/>
  <c r="CW5" i="12"/>
  <c r="CX5" i="12"/>
  <c r="CY5" i="12"/>
  <c r="CZ5" i="12"/>
  <c r="DA5" i="12"/>
  <c r="DB5" i="12"/>
  <c r="DC5" i="12"/>
  <c r="DD5" i="12"/>
  <c r="DE5" i="12"/>
  <c r="DF5" i="12"/>
  <c r="DG5" i="12"/>
  <c r="DH5" i="12"/>
  <c r="DI5" i="12"/>
  <c r="DJ5" i="12"/>
  <c r="S6" i="12"/>
  <c r="T6" i="12"/>
  <c r="U6" i="12"/>
  <c r="V6" i="12"/>
  <c r="W6" i="12"/>
  <c r="X6" i="12"/>
  <c r="Y6" i="12"/>
  <c r="Z6" i="12"/>
  <c r="AA6" i="12"/>
  <c r="AB6" i="12"/>
  <c r="AC6" i="12"/>
  <c r="AD6" i="12"/>
  <c r="AE6" i="12"/>
  <c r="AF6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Z6" i="12"/>
  <c r="BA6" i="12"/>
  <c r="BB6" i="12"/>
  <c r="BC6" i="12"/>
  <c r="BD6" i="12"/>
  <c r="BE6" i="12"/>
  <c r="BF6" i="12"/>
  <c r="BG6" i="12"/>
  <c r="BH6" i="12"/>
  <c r="BI6" i="12"/>
  <c r="BJ6" i="12"/>
  <c r="BK6" i="12"/>
  <c r="BL6" i="12"/>
  <c r="BM6" i="12"/>
  <c r="BN6" i="12"/>
  <c r="BO6" i="12"/>
  <c r="BP6" i="12"/>
  <c r="BQ6" i="12"/>
  <c r="BR6" i="12"/>
  <c r="BS6" i="12"/>
  <c r="BT6" i="12"/>
  <c r="BU6" i="12"/>
  <c r="BV6" i="12"/>
  <c r="BW6" i="12"/>
  <c r="BX6" i="12"/>
  <c r="BY6" i="12"/>
  <c r="BZ6" i="12"/>
  <c r="CA6" i="12"/>
  <c r="CB6" i="12"/>
  <c r="CC6" i="12"/>
  <c r="CD6" i="12"/>
  <c r="CE6" i="12"/>
  <c r="CF6" i="12"/>
  <c r="CG6" i="12"/>
  <c r="CH6" i="12"/>
  <c r="CI6" i="12"/>
  <c r="CJ6" i="12"/>
  <c r="CK6" i="12"/>
  <c r="CL6" i="12"/>
  <c r="CM6" i="12"/>
  <c r="CN6" i="12"/>
  <c r="CO6" i="12"/>
  <c r="CP6" i="12"/>
  <c r="CQ6" i="12"/>
  <c r="CR6" i="12"/>
  <c r="CS6" i="12"/>
  <c r="CT6" i="12"/>
  <c r="CU6" i="12"/>
  <c r="CV6" i="12"/>
  <c r="CW6" i="12"/>
  <c r="CX6" i="12"/>
  <c r="CY6" i="12"/>
  <c r="CZ6" i="12"/>
  <c r="DA6" i="12"/>
  <c r="DB6" i="12"/>
  <c r="DC6" i="12"/>
  <c r="DD6" i="12"/>
  <c r="DE6" i="12"/>
  <c r="DF6" i="12"/>
  <c r="DG6" i="12"/>
  <c r="DH6" i="12"/>
  <c r="DI6" i="12"/>
  <c r="DJ6" i="12"/>
  <c r="S7" i="12"/>
  <c r="T7" i="12"/>
  <c r="U7" i="12"/>
  <c r="V7" i="12"/>
  <c r="W7" i="12"/>
  <c r="X7" i="12"/>
  <c r="Y7" i="12"/>
  <c r="Z7" i="12"/>
  <c r="AA7" i="12"/>
  <c r="AB7" i="12"/>
  <c r="AC7" i="12"/>
  <c r="AD7" i="12"/>
  <c r="AE7" i="12"/>
  <c r="AF7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Z7" i="12"/>
  <c r="BA7" i="12"/>
  <c r="BB7" i="12"/>
  <c r="BC7" i="12"/>
  <c r="BD7" i="12"/>
  <c r="BE7" i="12"/>
  <c r="BF7" i="12"/>
  <c r="BG7" i="12"/>
  <c r="BH7" i="12"/>
  <c r="BI7" i="12"/>
  <c r="BJ7" i="12"/>
  <c r="BK7" i="12"/>
  <c r="BL7" i="12"/>
  <c r="BM7" i="12"/>
  <c r="BN7" i="12"/>
  <c r="BO7" i="12"/>
  <c r="BP7" i="12"/>
  <c r="BQ7" i="12"/>
  <c r="BR7" i="12"/>
  <c r="BS7" i="12"/>
  <c r="BT7" i="12"/>
  <c r="BU7" i="12"/>
  <c r="BV7" i="12"/>
  <c r="BW7" i="12"/>
  <c r="BX7" i="12"/>
  <c r="BY7" i="12"/>
  <c r="BZ7" i="12"/>
  <c r="CA7" i="12"/>
  <c r="CB7" i="12"/>
  <c r="CC7" i="12"/>
  <c r="CD7" i="12"/>
  <c r="CE7" i="12"/>
  <c r="CF7" i="12"/>
  <c r="CG7" i="12"/>
  <c r="CH7" i="12"/>
  <c r="CI7" i="12"/>
  <c r="CJ7" i="12"/>
  <c r="CK7" i="12"/>
  <c r="CL7" i="12"/>
  <c r="CM7" i="12"/>
  <c r="CN7" i="12"/>
  <c r="CO7" i="12"/>
  <c r="CP7" i="12"/>
  <c r="CQ7" i="12"/>
  <c r="CR7" i="12"/>
  <c r="CS7" i="12"/>
  <c r="CT7" i="12"/>
  <c r="CU7" i="12"/>
  <c r="CV7" i="12"/>
  <c r="CW7" i="12"/>
  <c r="CX7" i="12"/>
  <c r="CY7" i="12"/>
  <c r="CZ7" i="12"/>
  <c r="DA7" i="12"/>
  <c r="DB7" i="12"/>
  <c r="DC7" i="12"/>
  <c r="DD7" i="12"/>
  <c r="DE7" i="12"/>
  <c r="DF7" i="12"/>
  <c r="DG7" i="12"/>
  <c r="DH7" i="12"/>
  <c r="DI7" i="12"/>
  <c r="DJ7" i="12"/>
  <c r="S8" i="12"/>
  <c r="T8" i="12"/>
  <c r="U8" i="12"/>
  <c r="V8" i="12"/>
  <c r="W8" i="12"/>
  <c r="X8" i="12"/>
  <c r="Y8" i="12"/>
  <c r="Z8" i="12"/>
  <c r="AA8" i="12"/>
  <c r="AB8" i="12"/>
  <c r="AC8" i="12"/>
  <c r="AD8" i="12"/>
  <c r="AE8" i="12"/>
  <c r="AF8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Z8" i="12"/>
  <c r="BA8" i="12"/>
  <c r="BB8" i="12"/>
  <c r="BC8" i="12"/>
  <c r="BD8" i="12"/>
  <c r="BE8" i="12"/>
  <c r="BF8" i="12"/>
  <c r="BG8" i="12"/>
  <c r="BH8" i="12"/>
  <c r="BI8" i="12"/>
  <c r="BJ8" i="12"/>
  <c r="BK8" i="12"/>
  <c r="BL8" i="12"/>
  <c r="BM8" i="12"/>
  <c r="BN8" i="12"/>
  <c r="BO8" i="12"/>
  <c r="BP8" i="12"/>
  <c r="BQ8" i="12"/>
  <c r="BR8" i="12"/>
  <c r="BS8" i="12"/>
  <c r="BT8" i="12"/>
  <c r="BU8" i="12"/>
  <c r="BV8" i="12"/>
  <c r="BW8" i="12"/>
  <c r="BX8" i="12"/>
  <c r="BY8" i="12"/>
  <c r="BZ8" i="12"/>
  <c r="CA8" i="12"/>
  <c r="CB8" i="12"/>
  <c r="CC8" i="12"/>
  <c r="CD8" i="12"/>
  <c r="CE8" i="12"/>
  <c r="CF8" i="12"/>
  <c r="CG8" i="12"/>
  <c r="CH8" i="12"/>
  <c r="CI8" i="12"/>
  <c r="CJ8" i="12"/>
  <c r="CK8" i="12"/>
  <c r="CL8" i="12"/>
  <c r="CM8" i="12"/>
  <c r="CN8" i="12"/>
  <c r="CO8" i="12"/>
  <c r="CP8" i="12"/>
  <c r="CQ8" i="12"/>
  <c r="CR8" i="12"/>
  <c r="CS8" i="12"/>
  <c r="CT8" i="12"/>
  <c r="CU8" i="12"/>
  <c r="CV8" i="12"/>
  <c r="CW8" i="12"/>
  <c r="CX8" i="12"/>
  <c r="CY8" i="12"/>
  <c r="CZ8" i="12"/>
  <c r="DA8" i="12"/>
  <c r="DB8" i="12"/>
  <c r="DC8" i="12"/>
  <c r="DD8" i="12"/>
  <c r="DE8" i="12"/>
  <c r="DF8" i="12"/>
  <c r="DG8" i="12"/>
  <c r="DH8" i="12"/>
  <c r="DI8" i="12"/>
  <c r="DJ8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Z9" i="12"/>
  <c r="BA9" i="12"/>
  <c r="BB9" i="12"/>
  <c r="BC9" i="12"/>
  <c r="BD9" i="12"/>
  <c r="BE9" i="12"/>
  <c r="BF9" i="12"/>
  <c r="BG9" i="12"/>
  <c r="BH9" i="12"/>
  <c r="BI9" i="12"/>
  <c r="BJ9" i="12"/>
  <c r="BK9" i="12"/>
  <c r="BL9" i="12"/>
  <c r="BM9" i="12"/>
  <c r="BN9" i="12"/>
  <c r="BO9" i="12"/>
  <c r="BP9" i="12"/>
  <c r="BQ9" i="12"/>
  <c r="BR9" i="12"/>
  <c r="BS9" i="12"/>
  <c r="BT9" i="12"/>
  <c r="BU9" i="12"/>
  <c r="BV9" i="12"/>
  <c r="BW9" i="12"/>
  <c r="BX9" i="12"/>
  <c r="BY9" i="12"/>
  <c r="BZ9" i="12"/>
  <c r="CA9" i="12"/>
  <c r="CB9" i="12"/>
  <c r="CC9" i="12"/>
  <c r="CD9" i="12"/>
  <c r="CE9" i="12"/>
  <c r="CF9" i="12"/>
  <c r="CG9" i="12"/>
  <c r="CH9" i="12"/>
  <c r="CI9" i="12"/>
  <c r="CJ9" i="12"/>
  <c r="CK9" i="12"/>
  <c r="CL9" i="12"/>
  <c r="CM9" i="12"/>
  <c r="CN9" i="12"/>
  <c r="CO9" i="12"/>
  <c r="CP9" i="12"/>
  <c r="CQ9" i="12"/>
  <c r="CR9" i="12"/>
  <c r="CS9" i="12"/>
  <c r="CT9" i="12"/>
  <c r="CU9" i="12"/>
  <c r="CV9" i="12"/>
  <c r="CW9" i="12"/>
  <c r="CX9" i="12"/>
  <c r="CY9" i="12"/>
  <c r="CZ9" i="12"/>
  <c r="DA9" i="12"/>
  <c r="DB9" i="12"/>
  <c r="DC9" i="12"/>
  <c r="DD9" i="12"/>
  <c r="DE9" i="12"/>
  <c r="DF9" i="12"/>
  <c r="DG9" i="12"/>
  <c r="DH9" i="12"/>
  <c r="DI9" i="12"/>
  <c r="DJ9" i="12"/>
  <c r="S10" i="12"/>
  <c r="T10" i="12"/>
  <c r="U10" i="12"/>
  <c r="V10" i="12"/>
  <c r="W10" i="12"/>
  <c r="X10" i="12"/>
  <c r="Y10" i="12"/>
  <c r="Z10" i="12"/>
  <c r="AA10" i="12"/>
  <c r="AB10" i="12"/>
  <c r="AC10" i="12"/>
  <c r="AD10" i="12"/>
  <c r="AE10" i="12"/>
  <c r="AF10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Z10" i="12"/>
  <c r="BA10" i="12"/>
  <c r="BB10" i="12"/>
  <c r="BC10" i="12"/>
  <c r="BD10" i="12"/>
  <c r="BE10" i="12"/>
  <c r="BF10" i="12"/>
  <c r="BG10" i="12"/>
  <c r="BH10" i="12"/>
  <c r="BI10" i="12"/>
  <c r="BJ10" i="12"/>
  <c r="BK10" i="12"/>
  <c r="BL10" i="12"/>
  <c r="BM10" i="12"/>
  <c r="BN10" i="12"/>
  <c r="BO10" i="12"/>
  <c r="BP10" i="12"/>
  <c r="BQ10" i="12"/>
  <c r="BR10" i="12"/>
  <c r="BS10" i="12"/>
  <c r="BT10" i="12"/>
  <c r="BU10" i="12"/>
  <c r="BV10" i="12"/>
  <c r="BW10" i="12"/>
  <c r="BX10" i="12"/>
  <c r="BY10" i="12"/>
  <c r="BZ10" i="12"/>
  <c r="CA10" i="12"/>
  <c r="CB10" i="12"/>
  <c r="CC10" i="12"/>
  <c r="CD10" i="12"/>
  <c r="CE10" i="12"/>
  <c r="CF10" i="12"/>
  <c r="CG10" i="12"/>
  <c r="CH10" i="12"/>
  <c r="CI10" i="12"/>
  <c r="CJ10" i="12"/>
  <c r="CK10" i="12"/>
  <c r="CL10" i="12"/>
  <c r="CM10" i="12"/>
  <c r="CN10" i="12"/>
  <c r="CO10" i="12"/>
  <c r="CP10" i="12"/>
  <c r="CQ10" i="12"/>
  <c r="CR10" i="12"/>
  <c r="CS10" i="12"/>
  <c r="CT10" i="12"/>
  <c r="CU10" i="12"/>
  <c r="CV10" i="12"/>
  <c r="CW10" i="12"/>
  <c r="CX10" i="12"/>
  <c r="CY10" i="12"/>
  <c r="CZ10" i="12"/>
  <c r="DA10" i="12"/>
  <c r="DB10" i="12"/>
  <c r="DC10" i="12"/>
  <c r="DD10" i="12"/>
  <c r="DE10" i="12"/>
  <c r="DF10" i="12"/>
  <c r="DG10" i="12"/>
  <c r="DH10" i="12"/>
  <c r="DI10" i="12"/>
  <c r="DJ10" i="12"/>
  <c r="S11" i="12"/>
  <c r="T11" i="12"/>
  <c r="U11" i="12"/>
  <c r="V11" i="12"/>
  <c r="W11" i="12"/>
  <c r="X11" i="12"/>
  <c r="Y11" i="12"/>
  <c r="Z11" i="12"/>
  <c r="AA11" i="12"/>
  <c r="AB11" i="12"/>
  <c r="AC11" i="12"/>
  <c r="AD11" i="12"/>
  <c r="AE11" i="12"/>
  <c r="AF11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Z11" i="12"/>
  <c r="BA11" i="12"/>
  <c r="BB11" i="12"/>
  <c r="BC11" i="12"/>
  <c r="BD11" i="12"/>
  <c r="BE11" i="12"/>
  <c r="BF11" i="12"/>
  <c r="BG11" i="12"/>
  <c r="BH11" i="12"/>
  <c r="BI11" i="12"/>
  <c r="BJ11" i="12"/>
  <c r="BK11" i="12"/>
  <c r="BL11" i="12"/>
  <c r="BM11" i="12"/>
  <c r="BN11" i="12"/>
  <c r="BO11" i="12"/>
  <c r="BP11" i="12"/>
  <c r="BQ11" i="12"/>
  <c r="BR11" i="12"/>
  <c r="BS11" i="12"/>
  <c r="BT11" i="12"/>
  <c r="BU11" i="12"/>
  <c r="BV11" i="12"/>
  <c r="BW11" i="12"/>
  <c r="BX11" i="12"/>
  <c r="BY11" i="12"/>
  <c r="BZ11" i="12"/>
  <c r="CA11" i="12"/>
  <c r="CB11" i="12"/>
  <c r="CC11" i="12"/>
  <c r="CD11" i="12"/>
  <c r="CE11" i="12"/>
  <c r="CF11" i="12"/>
  <c r="CG11" i="12"/>
  <c r="CH11" i="12"/>
  <c r="CI11" i="12"/>
  <c r="CJ11" i="12"/>
  <c r="CK11" i="12"/>
  <c r="CL11" i="12"/>
  <c r="CM11" i="12"/>
  <c r="CN11" i="12"/>
  <c r="CO11" i="12"/>
  <c r="CP11" i="12"/>
  <c r="CQ11" i="12"/>
  <c r="CR11" i="12"/>
  <c r="CS11" i="12"/>
  <c r="CT11" i="12"/>
  <c r="CU11" i="12"/>
  <c r="CV11" i="12"/>
  <c r="CW11" i="12"/>
  <c r="CX11" i="12"/>
  <c r="CY11" i="12"/>
  <c r="CZ11" i="12"/>
  <c r="DA11" i="12"/>
  <c r="DB11" i="12"/>
  <c r="DC11" i="12"/>
  <c r="DD11" i="12"/>
  <c r="DE11" i="12"/>
  <c r="DF11" i="12"/>
  <c r="DG11" i="12"/>
  <c r="DH11" i="12"/>
  <c r="DI11" i="12"/>
  <c r="DJ11" i="12"/>
  <c r="G5" i="12"/>
  <c r="H5" i="12"/>
  <c r="I5" i="12"/>
  <c r="J5" i="12"/>
  <c r="K5" i="12"/>
  <c r="L5" i="12"/>
  <c r="M5" i="12"/>
  <c r="N5" i="12"/>
  <c r="O5" i="12"/>
  <c r="P5" i="12"/>
  <c r="Q5" i="12"/>
  <c r="R5" i="12"/>
  <c r="G6" i="12"/>
  <c r="H6" i="12"/>
  <c r="I6" i="12"/>
  <c r="J6" i="12"/>
  <c r="K6" i="12"/>
  <c r="L6" i="12"/>
  <c r="M6" i="12"/>
  <c r="N6" i="12"/>
  <c r="O6" i="12"/>
  <c r="P6" i="12"/>
  <c r="Q6" i="12"/>
  <c r="R6" i="12"/>
  <c r="G7" i="12"/>
  <c r="H7" i="12"/>
  <c r="I7" i="12"/>
  <c r="J7" i="12"/>
  <c r="K7" i="12"/>
  <c r="L7" i="12"/>
  <c r="M7" i="12"/>
  <c r="N7" i="12"/>
  <c r="O7" i="12"/>
  <c r="P7" i="12"/>
  <c r="Q7" i="12"/>
  <c r="R7" i="12"/>
  <c r="G8" i="12"/>
  <c r="H8" i="12"/>
  <c r="I8" i="12"/>
  <c r="J8" i="12"/>
  <c r="K8" i="12"/>
  <c r="L8" i="12"/>
  <c r="M8" i="12"/>
  <c r="N8" i="12"/>
  <c r="O8" i="12"/>
  <c r="P8" i="12"/>
  <c r="Q8" i="12"/>
  <c r="R8" i="12"/>
  <c r="G9" i="12"/>
  <c r="H9" i="12"/>
  <c r="I9" i="12"/>
  <c r="J9" i="12"/>
  <c r="K9" i="12"/>
  <c r="L9" i="12"/>
  <c r="M9" i="12"/>
  <c r="N9" i="12"/>
  <c r="O9" i="12"/>
  <c r="P9" i="12"/>
  <c r="Q9" i="12"/>
  <c r="R9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G11" i="12"/>
  <c r="H11" i="12"/>
  <c r="I11" i="12"/>
  <c r="J11" i="12"/>
  <c r="K11" i="12"/>
  <c r="L11" i="12"/>
  <c r="M11" i="12"/>
  <c r="N11" i="12"/>
  <c r="O11" i="12"/>
  <c r="P11" i="12"/>
  <c r="Q11" i="12"/>
  <c r="R11" i="12"/>
  <c r="H4" i="12"/>
  <c r="I4" i="12"/>
  <c r="J4" i="12"/>
  <c r="K4" i="12"/>
  <c r="L4" i="12"/>
  <c r="M4" i="12"/>
  <c r="N4" i="12"/>
  <c r="O4" i="12"/>
  <c r="P4" i="12"/>
  <c r="Q4" i="12"/>
  <c r="R4" i="12"/>
  <c r="G4" i="12"/>
  <c r="B69" i="13" l="1"/>
  <c r="A69" i="13" s="1"/>
  <c r="F69" i="13" s="1"/>
  <c r="G69" i="13" s="1"/>
  <c r="H69" i="13" s="1"/>
  <c r="I69" i="13" s="1"/>
  <c r="J69" i="13" s="1"/>
  <c r="K69" i="13" s="1"/>
  <c r="L69" i="13" s="1"/>
  <c r="M69" i="13" s="1"/>
  <c r="N69" i="13" s="1"/>
  <c r="O69" i="13" s="1"/>
  <c r="P69" i="13" s="1"/>
  <c r="Q69" i="13" s="1"/>
  <c r="R69" i="13" s="1"/>
  <c r="S69" i="13" s="1"/>
  <c r="T69" i="13" s="1"/>
  <c r="U69" i="13" s="1"/>
  <c r="V69" i="13" s="1"/>
  <c r="W69" i="13" s="1"/>
  <c r="X69" i="13" s="1"/>
  <c r="Y69" i="13" s="1"/>
  <c r="Z69" i="13" s="1"/>
  <c r="AA69" i="13" s="1"/>
  <c r="AB69" i="13" s="1"/>
  <c r="AC69" i="13" s="1"/>
  <c r="AD69" i="13" s="1"/>
  <c r="AE69" i="13" s="1"/>
  <c r="AF69" i="13" s="1"/>
  <c r="AG69" i="13" s="1"/>
  <c r="AH69" i="13" s="1"/>
  <c r="AI69" i="13" s="1"/>
  <c r="AJ69" i="13" s="1"/>
  <c r="AK69" i="13" s="1"/>
  <c r="AL69" i="13" s="1"/>
  <c r="AM69" i="13" s="1"/>
  <c r="AN69" i="13" s="1"/>
  <c r="AO69" i="13" s="1"/>
  <c r="AP69" i="13" s="1"/>
  <c r="AQ69" i="13" s="1"/>
  <c r="AR69" i="13" s="1"/>
  <c r="AS69" i="13" s="1"/>
  <c r="AT69" i="13" s="1"/>
  <c r="AU69" i="13" s="1"/>
  <c r="AV69" i="13" s="1"/>
  <c r="AW69" i="13" s="1"/>
  <c r="AX69" i="13" s="1"/>
  <c r="AY69" i="13" s="1"/>
  <c r="AZ69" i="13" s="1"/>
  <c r="BA69" i="13" s="1"/>
  <c r="BB69" i="13" s="1"/>
  <c r="BC69" i="13" s="1"/>
  <c r="BD69" i="13" s="1"/>
  <c r="BE69" i="13" s="1"/>
  <c r="BF69" i="13" s="1"/>
  <c r="BG69" i="13" s="1"/>
  <c r="BH69" i="13" s="1"/>
  <c r="BI69" i="13" s="1"/>
  <c r="BJ69" i="13" s="1"/>
  <c r="BK69" i="13" s="1"/>
  <c r="BL69" i="13" s="1"/>
  <c r="BM69" i="13" s="1"/>
  <c r="BN69" i="13" s="1"/>
  <c r="BO69" i="13" s="1"/>
  <c r="BP69" i="13" s="1"/>
  <c r="BQ69" i="13" s="1"/>
  <c r="BR69" i="13" s="1"/>
  <c r="BS69" i="13" s="1"/>
  <c r="BT69" i="13" s="1"/>
  <c r="BU69" i="13" s="1"/>
  <c r="BV69" i="13" s="1"/>
  <c r="BW69" i="13" s="1"/>
  <c r="BX69" i="13" s="1"/>
  <c r="BY69" i="13" s="1"/>
  <c r="BZ69" i="13" s="1"/>
  <c r="CA69" i="13" s="1"/>
  <c r="CB69" i="13" s="1"/>
  <c r="CC69" i="13" s="1"/>
  <c r="CD69" i="13" s="1"/>
  <c r="CE69" i="13" s="1"/>
  <c r="CF69" i="13" s="1"/>
  <c r="CG69" i="13" s="1"/>
  <c r="CH69" i="13" s="1"/>
  <c r="CI69" i="13" s="1"/>
  <c r="CJ69" i="13" s="1"/>
  <c r="CK69" i="13" s="1"/>
  <c r="CL69" i="13" s="1"/>
  <c r="CM69" i="13" s="1"/>
  <c r="CN69" i="13" s="1"/>
  <c r="CO69" i="13" s="1"/>
  <c r="CP69" i="13" s="1"/>
  <c r="CQ69" i="13" s="1"/>
  <c r="CR69" i="13" s="1"/>
  <c r="CS69" i="13" s="1"/>
  <c r="CT69" i="13" s="1"/>
  <c r="CU69" i="13" s="1"/>
  <c r="CV69" i="13" s="1"/>
  <c r="CW69" i="13" s="1"/>
  <c r="CX69" i="13" s="1"/>
  <c r="CY69" i="13" s="1"/>
  <c r="CZ69" i="13" s="1"/>
  <c r="DA69" i="13" s="1"/>
  <c r="DB69" i="13" s="1"/>
  <c r="DC69" i="13" s="1"/>
  <c r="DD69" i="13" s="1"/>
  <c r="DE69" i="13" s="1"/>
  <c r="DF69" i="13" s="1"/>
  <c r="DG69" i="13" s="1"/>
  <c r="DH69" i="13" s="1"/>
  <c r="DI69" i="13" s="1"/>
  <c r="B111" i="13"/>
  <c r="A111" i="13" s="1"/>
  <c r="F111" i="13" s="1"/>
  <c r="G111" i="13" s="1"/>
  <c r="H111" i="13" s="1"/>
  <c r="I111" i="13" s="1"/>
  <c r="J111" i="13" s="1"/>
  <c r="K111" i="13" s="1"/>
  <c r="L111" i="13" s="1"/>
  <c r="M111" i="13" s="1"/>
  <c r="N111" i="13" s="1"/>
  <c r="O111" i="13" s="1"/>
  <c r="P111" i="13" s="1"/>
  <c r="Q111" i="13" s="1"/>
  <c r="R111" i="13" s="1"/>
  <c r="S111" i="13" s="1"/>
  <c r="T111" i="13" s="1"/>
  <c r="U111" i="13" s="1"/>
  <c r="V111" i="13" s="1"/>
  <c r="W111" i="13" s="1"/>
  <c r="X111" i="13" s="1"/>
  <c r="Y111" i="13" s="1"/>
  <c r="Z111" i="13" s="1"/>
  <c r="AA111" i="13" s="1"/>
  <c r="AB111" i="13" s="1"/>
  <c r="AC111" i="13" s="1"/>
  <c r="AD111" i="13" s="1"/>
  <c r="AE111" i="13" s="1"/>
  <c r="AF111" i="13" s="1"/>
  <c r="AG111" i="13" s="1"/>
  <c r="AH111" i="13" s="1"/>
  <c r="AI111" i="13" s="1"/>
  <c r="AJ111" i="13" s="1"/>
  <c r="AK111" i="13" s="1"/>
  <c r="AL111" i="13" s="1"/>
  <c r="AM111" i="13" s="1"/>
  <c r="AN111" i="13" s="1"/>
  <c r="AO111" i="13" s="1"/>
  <c r="AP111" i="13" s="1"/>
  <c r="AQ111" i="13" s="1"/>
  <c r="AR111" i="13" s="1"/>
  <c r="AS111" i="13" s="1"/>
  <c r="AT111" i="13" s="1"/>
  <c r="AU111" i="13" s="1"/>
  <c r="AV111" i="13" s="1"/>
  <c r="AW111" i="13" s="1"/>
  <c r="AX111" i="13" s="1"/>
  <c r="AY111" i="13" s="1"/>
  <c r="AZ111" i="13" s="1"/>
  <c r="BA111" i="13" s="1"/>
  <c r="BB111" i="13" s="1"/>
  <c r="BC111" i="13" s="1"/>
  <c r="BD111" i="13" s="1"/>
  <c r="BE111" i="13" s="1"/>
  <c r="BF111" i="13" s="1"/>
  <c r="BG111" i="13" s="1"/>
  <c r="BH111" i="13" s="1"/>
  <c r="BI111" i="13" s="1"/>
  <c r="BJ111" i="13" s="1"/>
  <c r="BK111" i="13" s="1"/>
  <c r="BL111" i="13" s="1"/>
  <c r="BM111" i="13" s="1"/>
  <c r="BN111" i="13" s="1"/>
  <c r="BO111" i="13" s="1"/>
  <c r="BP111" i="13" s="1"/>
  <c r="BQ111" i="13" s="1"/>
  <c r="BR111" i="13" s="1"/>
  <c r="BS111" i="13" s="1"/>
  <c r="BT111" i="13" s="1"/>
  <c r="BU111" i="13" s="1"/>
  <c r="BV111" i="13" s="1"/>
  <c r="BW111" i="13" s="1"/>
  <c r="BX111" i="13" s="1"/>
  <c r="BY111" i="13" s="1"/>
  <c r="BZ111" i="13" s="1"/>
  <c r="CA111" i="13" s="1"/>
  <c r="CB111" i="13" s="1"/>
  <c r="CC111" i="13" s="1"/>
  <c r="CD111" i="13" s="1"/>
  <c r="CE111" i="13" s="1"/>
  <c r="CF111" i="13" s="1"/>
  <c r="CG111" i="13" s="1"/>
  <c r="CH111" i="13" s="1"/>
  <c r="CI111" i="13" s="1"/>
  <c r="CJ111" i="13" s="1"/>
  <c r="CK111" i="13" s="1"/>
  <c r="CL111" i="13" s="1"/>
  <c r="CM111" i="13" s="1"/>
  <c r="CN111" i="13" s="1"/>
  <c r="CO111" i="13" s="1"/>
  <c r="CP111" i="13" s="1"/>
  <c r="CQ111" i="13" s="1"/>
  <c r="CR111" i="13" s="1"/>
  <c r="CS111" i="13" s="1"/>
  <c r="CT111" i="13" s="1"/>
  <c r="CU111" i="13" s="1"/>
  <c r="CV111" i="13" s="1"/>
  <c r="CW111" i="13" s="1"/>
  <c r="CX111" i="13" s="1"/>
  <c r="CY111" i="13" s="1"/>
  <c r="CZ111" i="13" s="1"/>
  <c r="DA111" i="13" s="1"/>
  <c r="DB111" i="13" s="1"/>
  <c r="DC111" i="13" s="1"/>
  <c r="DD111" i="13" s="1"/>
  <c r="DE111" i="13" s="1"/>
  <c r="DF111" i="13" s="1"/>
  <c r="DG111" i="13" s="1"/>
  <c r="DH111" i="13" s="1"/>
  <c r="DI111" i="13" s="1"/>
  <c r="B52" i="13"/>
  <c r="A52" i="13" s="1"/>
  <c r="G52" i="13" s="1"/>
  <c r="H52" i="13" s="1"/>
  <c r="I52" i="13" s="1"/>
  <c r="J52" i="13" s="1"/>
  <c r="K52" i="13" s="1"/>
  <c r="L52" i="13" s="1"/>
  <c r="M52" i="13" s="1"/>
  <c r="N52" i="13" s="1"/>
  <c r="O52" i="13" s="1"/>
  <c r="P52" i="13" s="1"/>
  <c r="Q52" i="13" s="1"/>
  <c r="R52" i="13" s="1"/>
  <c r="S52" i="13" s="1"/>
  <c r="T52" i="13" s="1"/>
  <c r="U52" i="13" s="1"/>
  <c r="V52" i="13" s="1"/>
  <c r="W52" i="13" s="1"/>
  <c r="X52" i="13" s="1"/>
  <c r="Y52" i="13" s="1"/>
  <c r="Z52" i="13" s="1"/>
  <c r="AA52" i="13" s="1"/>
  <c r="AB52" i="13" s="1"/>
  <c r="AC52" i="13" s="1"/>
  <c r="AD52" i="13" s="1"/>
  <c r="AE52" i="13" s="1"/>
  <c r="AF52" i="13" s="1"/>
  <c r="AG52" i="13" s="1"/>
  <c r="AH52" i="13" s="1"/>
  <c r="AI52" i="13" s="1"/>
  <c r="AJ52" i="13" s="1"/>
  <c r="AK52" i="13" s="1"/>
  <c r="AL52" i="13" s="1"/>
  <c r="AM52" i="13" s="1"/>
  <c r="AN52" i="13" s="1"/>
  <c r="AO52" i="13" s="1"/>
  <c r="AP52" i="13" s="1"/>
  <c r="AQ52" i="13" s="1"/>
  <c r="AR52" i="13" s="1"/>
  <c r="AS52" i="13" s="1"/>
  <c r="AT52" i="13" s="1"/>
  <c r="AU52" i="13" s="1"/>
  <c r="AV52" i="13" s="1"/>
  <c r="AW52" i="13" s="1"/>
  <c r="AX52" i="13" s="1"/>
  <c r="AY52" i="13" s="1"/>
  <c r="AZ52" i="13" s="1"/>
  <c r="BA52" i="13" s="1"/>
  <c r="BB52" i="13" s="1"/>
  <c r="BC52" i="13" s="1"/>
  <c r="BD52" i="13" s="1"/>
  <c r="BE52" i="13" s="1"/>
  <c r="BF52" i="13" s="1"/>
  <c r="BG52" i="13" s="1"/>
  <c r="BH52" i="13" s="1"/>
  <c r="BI52" i="13" s="1"/>
  <c r="BJ52" i="13" s="1"/>
  <c r="BK52" i="13" s="1"/>
  <c r="BL52" i="13" s="1"/>
  <c r="BM52" i="13" s="1"/>
  <c r="BN52" i="13" s="1"/>
  <c r="BO52" i="13" s="1"/>
  <c r="BP52" i="13" s="1"/>
  <c r="BQ52" i="13" s="1"/>
  <c r="BR52" i="13" s="1"/>
  <c r="BS52" i="13" s="1"/>
  <c r="BT52" i="13" s="1"/>
  <c r="BU52" i="13" s="1"/>
  <c r="BV52" i="13" s="1"/>
  <c r="BW52" i="13" s="1"/>
  <c r="BX52" i="13" s="1"/>
  <c r="BY52" i="13" s="1"/>
  <c r="BZ52" i="13" s="1"/>
  <c r="CA52" i="13" s="1"/>
  <c r="CB52" i="13" s="1"/>
  <c r="CC52" i="13" s="1"/>
  <c r="CD52" i="13" s="1"/>
  <c r="CE52" i="13" s="1"/>
  <c r="CF52" i="13" s="1"/>
  <c r="CG52" i="13" s="1"/>
  <c r="CH52" i="13" s="1"/>
  <c r="CI52" i="13" s="1"/>
  <c r="CJ52" i="13" s="1"/>
  <c r="CK52" i="13" s="1"/>
  <c r="CL52" i="13" s="1"/>
  <c r="CM52" i="13" s="1"/>
  <c r="CN52" i="13" s="1"/>
  <c r="CO52" i="13" s="1"/>
  <c r="CP52" i="13" s="1"/>
  <c r="CQ52" i="13" s="1"/>
  <c r="CR52" i="13" s="1"/>
  <c r="CS52" i="13" s="1"/>
  <c r="CT52" i="13" s="1"/>
  <c r="CU52" i="13" s="1"/>
  <c r="CV52" i="13" s="1"/>
  <c r="CW52" i="13" s="1"/>
  <c r="CX52" i="13" s="1"/>
  <c r="CY52" i="13" s="1"/>
  <c r="CZ52" i="13" s="1"/>
  <c r="DA52" i="13" s="1"/>
  <c r="DB52" i="13" s="1"/>
  <c r="DC52" i="13" s="1"/>
  <c r="DD52" i="13" s="1"/>
  <c r="DE52" i="13" s="1"/>
  <c r="DF52" i="13" s="1"/>
  <c r="DG52" i="13" s="1"/>
  <c r="DH52" i="13" s="1"/>
  <c r="DI52" i="13" s="1"/>
  <c r="B126" i="13"/>
  <c r="A126" i="13" s="1"/>
  <c r="I126" i="13" s="1"/>
  <c r="J126" i="13" s="1"/>
  <c r="K126" i="13" s="1"/>
  <c r="L126" i="13" s="1"/>
  <c r="M126" i="13" s="1"/>
  <c r="N126" i="13" s="1"/>
  <c r="O126" i="13" s="1"/>
  <c r="P126" i="13" s="1"/>
  <c r="Q126" i="13" s="1"/>
  <c r="R126" i="13" s="1"/>
  <c r="S126" i="13" s="1"/>
  <c r="T126" i="13" s="1"/>
  <c r="U126" i="13" s="1"/>
  <c r="V126" i="13" s="1"/>
  <c r="W126" i="13" s="1"/>
  <c r="X126" i="13" s="1"/>
  <c r="Y126" i="13" s="1"/>
  <c r="Z126" i="13" s="1"/>
  <c r="AA126" i="13" s="1"/>
  <c r="AB126" i="13" s="1"/>
  <c r="AC126" i="13" s="1"/>
  <c r="AD126" i="13" s="1"/>
  <c r="AE126" i="13" s="1"/>
  <c r="AF126" i="13" s="1"/>
  <c r="AG126" i="13" s="1"/>
  <c r="AH126" i="13" s="1"/>
  <c r="AI126" i="13" s="1"/>
  <c r="AJ126" i="13" s="1"/>
  <c r="AK126" i="13" s="1"/>
  <c r="AL126" i="13" s="1"/>
  <c r="AM126" i="13" s="1"/>
  <c r="AN126" i="13" s="1"/>
  <c r="AO126" i="13" s="1"/>
  <c r="AP126" i="13" s="1"/>
  <c r="AQ126" i="13" s="1"/>
  <c r="AR126" i="13" s="1"/>
  <c r="AS126" i="13" s="1"/>
  <c r="AT126" i="13" s="1"/>
  <c r="AU126" i="13" s="1"/>
  <c r="AV126" i="13" s="1"/>
  <c r="AW126" i="13" s="1"/>
  <c r="AX126" i="13" s="1"/>
  <c r="AY126" i="13" s="1"/>
  <c r="AZ126" i="13" s="1"/>
  <c r="BA126" i="13" s="1"/>
  <c r="BB126" i="13" s="1"/>
  <c r="BC126" i="13" s="1"/>
  <c r="BD126" i="13" s="1"/>
  <c r="BE126" i="13" s="1"/>
  <c r="BF126" i="13" s="1"/>
  <c r="BG126" i="13" s="1"/>
  <c r="BH126" i="13" s="1"/>
  <c r="BI126" i="13" s="1"/>
  <c r="BJ126" i="13" s="1"/>
  <c r="BK126" i="13" s="1"/>
  <c r="BL126" i="13" s="1"/>
  <c r="BM126" i="13" s="1"/>
  <c r="BN126" i="13" s="1"/>
  <c r="BO126" i="13" s="1"/>
  <c r="BP126" i="13" s="1"/>
  <c r="BQ126" i="13" s="1"/>
  <c r="BR126" i="13" s="1"/>
  <c r="BS126" i="13" s="1"/>
  <c r="BT126" i="13" s="1"/>
  <c r="BU126" i="13" s="1"/>
  <c r="BV126" i="13" s="1"/>
  <c r="BW126" i="13" s="1"/>
  <c r="BX126" i="13" s="1"/>
  <c r="BY126" i="13" s="1"/>
  <c r="BZ126" i="13" s="1"/>
  <c r="CA126" i="13" s="1"/>
  <c r="CB126" i="13" s="1"/>
  <c r="CC126" i="13" s="1"/>
  <c r="CD126" i="13" s="1"/>
  <c r="CE126" i="13" s="1"/>
  <c r="CF126" i="13" s="1"/>
  <c r="CG126" i="13" s="1"/>
  <c r="CH126" i="13" s="1"/>
  <c r="CI126" i="13" s="1"/>
  <c r="CJ126" i="13" s="1"/>
  <c r="CK126" i="13" s="1"/>
  <c r="CL126" i="13" s="1"/>
  <c r="CM126" i="13" s="1"/>
  <c r="CN126" i="13" s="1"/>
  <c r="CO126" i="13" s="1"/>
  <c r="CP126" i="13" s="1"/>
  <c r="CQ126" i="13" s="1"/>
  <c r="CR126" i="13" s="1"/>
  <c r="CS126" i="13" s="1"/>
  <c r="CT126" i="13" s="1"/>
  <c r="CU126" i="13" s="1"/>
  <c r="CV126" i="13" s="1"/>
  <c r="CW126" i="13" s="1"/>
  <c r="CX126" i="13" s="1"/>
  <c r="CY126" i="13" s="1"/>
  <c r="CZ126" i="13" s="1"/>
  <c r="DA126" i="13" s="1"/>
  <c r="DB126" i="13" s="1"/>
  <c r="DC126" i="13" s="1"/>
  <c r="DD126" i="13" s="1"/>
  <c r="DE126" i="13" s="1"/>
  <c r="DF126" i="13" s="1"/>
  <c r="DG126" i="13" s="1"/>
  <c r="DH126" i="13" s="1"/>
  <c r="DI126" i="13" s="1"/>
  <c r="B57" i="13"/>
  <c r="A57" i="13" s="1"/>
  <c r="P57" i="13" s="1"/>
  <c r="Q57" i="13" s="1"/>
  <c r="R57" i="13" s="1"/>
  <c r="S57" i="13" s="1"/>
  <c r="T57" i="13" s="1"/>
  <c r="U57" i="13" s="1"/>
  <c r="V57" i="13" s="1"/>
  <c r="W57" i="13" s="1"/>
  <c r="X57" i="13" s="1"/>
  <c r="Y57" i="13" s="1"/>
  <c r="Z57" i="13" s="1"/>
  <c r="AA57" i="13" s="1"/>
  <c r="AB57" i="13" s="1"/>
  <c r="AC57" i="13" s="1"/>
  <c r="AD57" i="13" s="1"/>
  <c r="AE57" i="13" s="1"/>
  <c r="AF57" i="13" s="1"/>
  <c r="AG57" i="13" s="1"/>
  <c r="AH57" i="13" s="1"/>
  <c r="AI57" i="13" s="1"/>
  <c r="AJ57" i="13" s="1"/>
  <c r="AK57" i="13" s="1"/>
  <c r="AL57" i="13" s="1"/>
  <c r="AM57" i="13" s="1"/>
  <c r="AN57" i="13" s="1"/>
  <c r="AO57" i="13" s="1"/>
  <c r="AP57" i="13" s="1"/>
  <c r="AQ57" i="13" s="1"/>
  <c r="AR57" i="13" s="1"/>
  <c r="AS57" i="13" s="1"/>
  <c r="AT57" i="13" s="1"/>
  <c r="AU57" i="13" s="1"/>
  <c r="AV57" i="13" s="1"/>
  <c r="AW57" i="13" s="1"/>
  <c r="AX57" i="13" s="1"/>
  <c r="AY57" i="13" s="1"/>
  <c r="AZ57" i="13" s="1"/>
  <c r="BA57" i="13" s="1"/>
  <c r="BB57" i="13" s="1"/>
  <c r="BC57" i="13" s="1"/>
  <c r="BD57" i="13" s="1"/>
  <c r="BE57" i="13" s="1"/>
  <c r="BF57" i="13" s="1"/>
  <c r="BG57" i="13" s="1"/>
  <c r="BH57" i="13" s="1"/>
  <c r="BI57" i="13" s="1"/>
  <c r="BJ57" i="13" s="1"/>
  <c r="BK57" i="13" s="1"/>
  <c r="BL57" i="13" s="1"/>
  <c r="BM57" i="13" s="1"/>
  <c r="BN57" i="13" s="1"/>
  <c r="BO57" i="13" s="1"/>
  <c r="BP57" i="13" s="1"/>
  <c r="BQ57" i="13" s="1"/>
  <c r="BR57" i="13" s="1"/>
  <c r="BS57" i="13" s="1"/>
  <c r="BT57" i="13" s="1"/>
  <c r="BU57" i="13" s="1"/>
  <c r="BV57" i="13" s="1"/>
  <c r="BW57" i="13" s="1"/>
  <c r="BX57" i="13" s="1"/>
  <c r="BY57" i="13" s="1"/>
  <c r="BZ57" i="13" s="1"/>
  <c r="CA57" i="13" s="1"/>
  <c r="CB57" i="13" s="1"/>
  <c r="CC57" i="13" s="1"/>
  <c r="CD57" i="13" s="1"/>
  <c r="CE57" i="13" s="1"/>
  <c r="CF57" i="13" s="1"/>
  <c r="CG57" i="13" s="1"/>
  <c r="CH57" i="13" s="1"/>
  <c r="CI57" i="13" s="1"/>
  <c r="CJ57" i="13" s="1"/>
  <c r="CK57" i="13" s="1"/>
  <c r="CL57" i="13" s="1"/>
  <c r="CM57" i="13" s="1"/>
  <c r="CN57" i="13" s="1"/>
  <c r="CO57" i="13" s="1"/>
  <c r="CP57" i="13" s="1"/>
  <c r="CQ57" i="13" s="1"/>
  <c r="CR57" i="13" s="1"/>
  <c r="CS57" i="13" s="1"/>
  <c r="CT57" i="13" s="1"/>
  <c r="CU57" i="13" s="1"/>
  <c r="CV57" i="13" s="1"/>
  <c r="CW57" i="13" s="1"/>
  <c r="CX57" i="13" s="1"/>
  <c r="CY57" i="13" s="1"/>
  <c r="CZ57" i="13" s="1"/>
  <c r="DA57" i="13" s="1"/>
  <c r="DB57" i="13" s="1"/>
  <c r="DC57" i="13" s="1"/>
  <c r="DD57" i="13" s="1"/>
  <c r="DE57" i="13" s="1"/>
  <c r="DF57" i="13" s="1"/>
  <c r="DG57" i="13" s="1"/>
  <c r="DH57" i="13" s="1"/>
  <c r="DI57" i="13" s="1"/>
  <c r="B58" i="13"/>
  <c r="A58" i="13" s="1"/>
  <c r="N58" i="13" s="1"/>
  <c r="O58" i="13" s="1"/>
  <c r="P58" i="13" s="1"/>
  <c r="Q58" i="13" s="1"/>
  <c r="R58" i="13" s="1"/>
  <c r="S58" i="13" s="1"/>
  <c r="T58" i="13" s="1"/>
  <c r="U58" i="13" s="1"/>
  <c r="V58" i="13" s="1"/>
  <c r="W58" i="13" s="1"/>
  <c r="X58" i="13" s="1"/>
  <c r="Y58" i="13" s="1"/>
  <c r="Z58" i="13" s="1"/>
  <c r="AA58" i="13" s="1"/>
  <c r="AB58" i="13" s="1"/>
  <c r="AC58" i="13" s="1"/>
  <c r="AD58" i="13" s="1"/>
  <c r="AE58" i="13" s="1"/>
  <c r="AF58" i="13" s="1"/>
  <c r="AG58" i="13" s="1"/>
  <c r="AH58" i="13" s="1"/>
  <c r="AI58" i="13" s="1"/>
  <c r="AJ58" i="13" s="1"/>
  <c r="AK58" i="13" s="1"/>
  <c r="AL58" i="13" s="1"/>
  <c r="AM58" i="13" s="1"/>
  <c r="AN58" i="13" s="1"/>
  <c r="AO58" i="13" s="1"/>
  <c r="AP58" i="13" s="1"/>
  <c r="AQ58" i="13" s="1"/>
  <c r="AR58" i="13" s="1"/>
  <c r="AS58" i="13" s="1"/>
  <c r="AT58" i="13" s="1"/>
  <c r="AU58" i="13" s="1"/>
  <c r="AV58" i="13" s="1"/>
  <c r="AW58" i="13" s="1"/>
  <c r="AX58" i="13" s="1"/>
  <c r="AY58" i="13" s="1"/>
  <c r="AZ58" i="13" s="1"/>
  <c r="BA58" i="13" s="1"/>
  <c r="BB58" i="13" s="1"/>
  <c r="BC58" i="13" s="1"/>
  <c r="BD58" i="13" s="1"/>
  <c r="BE58" i="13" s="1"/>
  <c r="BF58" i="13" s="1"/>
  <c r="BG58" i="13" s="1"/>
  <c r="BH58" i="13" s="1"/>
  <c r="BI58" i="13" s="1"/>
  <c r="BJ58" i="13" s="1"/>
  <c r="BK58" i="13" s="1"/>
  <c r="BL58" i="13" s="1"/>
  <c r="BM58" i="13" s="1"/>
  <c r="BN58" i="13" s="1"/>
  <c r="BO58" i="13" s="1"/>
  <c r="BP58" i="13" s="1"/>
  <c r="BQ58" i="13" s="1"/>
  <c r="BR58" i="13" s="1"/>
  <c r="BS58" i="13" s="1"/>
  <c r="BT58" i="13" s="1"/>
  <c r="BU58" i="13" s="1"/>
  <c r="BV58" i="13" s="1"/>
  <c r="BW58" i="13" s="1"/>
  <c r="BX58" i="13" s="1"/>
  <c r="BY58" i="13" s="1"/>
  <c r="BZ58" i="13" s="1"/>
  <c r="CA58" i="13" s="1"/>
  <c r="CB58" i="13" s="1"/>
  <c r="CC58" i="13" s="1"/>
  <c r="CD58" i="13" s="1"/>
  <c r="CE58" i="13" s="1"/>
  <c r="CF58" i="13" s="1"/>
  <c r="CG58" i="13" s="1"/>
  <c r="CH58" i="13" s="1"/>
  <c r="CI58" i="13" s="1"/>
  <c r="CJ58" i="13" s="1"/>
  <c r="CK58" i="13" s="1"/>
  <c r="CL58" i="13" s="1"/>
  <c r="CM58" i="13" s="1"/>
  <c r="CN58" i="13" s="1"/>
  <c r="CO58" i="13" s="1"/>
  <c r="CP58" i="13" s="1"/>
  <c r="CQ58" i="13" s="1"/>
  <c r="CR58" i="13" s="1"/>
  <c r="CS58" i="13" s="1"/>
  <c r="CT58" i="13" s="1"/>
  <c r="CU58" i="13" s="1"/>
  <c r="CV58" i="13" s="1"/>
  <c r="CW58" i="13" s="1"/>
  <c r="CX58" i="13" s="1"/>
  <c r="CY58" i="13" s="1"/>
  <c r="CZ58" i="13" s="1"/>
  <c r="DA58" i="13" s="1"/>
  <c r="DB58" i="13" s="1"/>
  <c r="DC58" i="13" s="1"/>
  <c r="DD58" i="13" s="1"/>
  <c r="DE58" i="13" s="1"/>
  <c r="DF58" i="13" s="1"/>
  <c r="DG58" i="13" s="1"/>
  <c r="DH58" i="13" s="1"/>
  <c r="DI58" i="13" s="1"/>
  <c r="B66" i="13"/>
  <c r="A66" i="13" s="1"/>
  <c r="L66" i="13" s="1"/>
  <c r="M66" i="13" s="1"/>
  <c r="N66" i="13" s="1"/>
  <c r="O66" i="13" s="1"/>
  <c r="P66" i="13" s="1"/>
  <c r="Q66" i="13" s="1"/>
  <c r="R66" i="13" s="1"/>
  <c r="S66" i="13" s="1"/>
  <c r="T66" i="13" s="1"/>
  <c r="U66" i="13" s="1"/>
  <c r="V66" i="13" s="1"/>
  <c r="W66" i="13" s="1"/>
  <c r="X66" i="13" s="1"/>
  <c r="Y66" i="13" s="1"/>
  <c r="Z66" i="13" s="1"/>
  <c r="AA66" i="13" s="1"/>
  <c r="AB66" i="13" s="1"/>
  <c r="AC66" i="13" s="1"/>
  <c r="AD66" i="13" s="1"/>
  <c r="AE66" i="13" s="1"/>
  <c r="AF66" i="13" s="1"/>
  <c r="AG66" i="13" s="1"/>
  <c r="AH66" i="13" s="1"/>
  <c r="AI66" i="13" s="1"/>
  <c r="AJ66" i="13" s="1"/>
  <c r="AK66" i="13" s="1"/>
  <c r="AL66" i="13" s="1"/>
  <c r="AM66" i="13" s="1"/>
  <c r="AN66" i="13" s="1"/>
  <c r="AO66" i="13" s="1"/>
  <c r="AP66" i="13" s="1"/>
  <c r="AQ66" i="13" s="1"/>
  <c r="AR66" i="13" s="1"/>
  <c r="AS66" i="13" s="1"/>
  <c r="AT66" i="13" s="1"/>
  <c r="AU66" i="13" s="1"/>
  <c r="AV66" i="13" s="1"/>
  <c r="AW66" i="13" s="1"/>
  <c r="AX66" i="13" s="1"/>
  <c r="AY66" i="13" s="1"/>
  <c r="AZ66" i="13" s="1"/>
  <c r="BA66" i="13" s="1"/>
  <c r="BB66" i="13" s="1"/>
  <c r="BC66" i="13" s="1"/>
  <c r="BD66" i="13" s="1"/>
  <c r="BE66" i="13" s="1"/>
  <c r="BF66" i="13" s="1"/>
  <c r="BG66" i="13" s="1"/>
  <c r="BH66" i="13" s="1"/>
  <c r="BI66" i="13" s="1"/>
  <c r="BJ66" i="13" s="1"/>
  <c r="BK66" i="13" s="1"/>
  <c r="BL66" i="13" s="1"/>
  <c r="BM66" i="13" s="1"/>
  <c r="BN66" i="13" s="1"/>
  <c r="BO66" i="13" s="1"/>
  <c r="BP66" i="13" s="1"/>
  <c r="BQ66" i="13" s="1"/>
  <c r="BR66" i="13" s="1"/>
  <c r="BS66" i="13" s="1"/>
  <c r="BT66" i="13" s="1"/>
  <c r="BU66" i="13" s="1"/>
  <c r="BV66" i="13" s="1"/>
  <c r="BW66" i="13" s="1"/>
  <c r="BX66" i="13" s="1"/>
  <c r="BY66" i="13" s="1"/>
  <c r="BZ66" i="13" s="1"/>
  <c r="CA66" i="13" s="1"/>
  <c r="CB66" i="13" s="1"/>
  <c r="CC66" i="13" s="1"/>
  <c r="CD66" i="13" s="1"/>
  <c r="CE66" i="13" s="1"/>
  <c r="CF66" i="13" s="1"/>
  <c r="CG66" i="13" s="1"/>
  <c r="CH66" i="13" s="1"/>
  <c r="CI66" i="13" s="1"/>
  <c r="CJ66" i="13" s="1"/>
  <c r="CK66" i="13" s="1"/>
  <c r="CL66" i="13" s="1"/>
  <c r="CM66" i="13" s="1"/>
  <c r="CN66" i="13" s="1"/>
  <c r="CO66" i="13" s="1"/>
  <c r="CP66" i="13" s="1"/>
  <c r="CQ66" i="13" s="1"/>
  <c r="CR66" i="13" s="1"/>
  <c r="CS66" i="13" s="1"/>
  <c r="CT66" i="13" s="1"/>
  <c r="CU66" i="13" s="1"/>
  <c r="CV66" i="13" s="1"/>
  <c r="CW66" i="13" s="1"/>
  <c r="CX66" i="13" s="1"/>
  <c r="CY66" i="13" s="1"/>
  <c r="CZ66" i="13" s="1"/>
  <c r="DA66" i="13" s="1"/>
  <c r="DB66" i="13" s="1"/>
  <c r="DC66" i="13" s="1"/>
  <c r="DD66" i="13" s="1"/>
  <c r="DE66" i="13" s="1"/>
  <c r="DF66" i="13" s="1"/>
  <c r="DG66" i="13" s="1"/>
  <c r="DH66" i="13" s="1"/>
  <c r="DI66" i="13" s="1"/>
  <c r="B71" i="13"/>
  <c r="A71" i="13" s="1"/>
  <c r="J71" i="13" s="1"/>
  <c r="K71" i="13" s="1"/>
  <c r="L71" i="13" s="1"/>
  <c r="M71" i="13" s="1"/>
  <c r="N71" i="13" s="1"/>
  <c r="O71" i="13" s="1"/>
  <c r="P71" i="13" s="1"/>
  <c r="Q71" i="13" s="1"/>
  <c r="R71" i="13" s="1"/>
  <c r="S71" i="13" s="1"/>
  <c r="T71" i="13" s="1"/>
  <c r="U71" i="13" s="1"/>
  <c r="V71" i="13" s="1"/>
  <c r="W71" i="13" s="1"/>
  <c r="X71" i="13" s="1"/>
  <c r="Y71" i="13" s="1"/>
  <c r="Z71" i="13" s="1"/>
  <c r="AA71" i="13" s="1"/>
  <c r="AB71" i="13" s="1"/>
  <c r="AC71" i="13" s="1"/>
  <c r="AD71" i="13" s="1"/>
  <c r="AE71" i="13" s="1"/>
  <c r="AF71" i="13" s="1"/>
  <c r="AG71" i="13" s="1"/>
  <c r="AH71" i="13" s="1"/>
  <c r="AI71" i="13" s="1"/>
  <c r="AJ71" i="13" s="1"/>
  <c r="AK71" i="13" s="1"/>
  <c r="AL71" i="13" s="1"/>
  <c r="AM71" i="13" s="1"/>
  <c r="AN71" i="13" s="1"/>
  <c r="AO71" i="13" s="1"/>
  <c r="AP71" i="13" s="1"/>
  <c r="AQ71" i="13" s="1"/>
  <c r="AR71" i="13" s="1"/>
  <c r="AS71" i="13" s="1"/>
  <c r="AT71" i="13" s="1"/>
  <c r="AU71" i="13" s="1"/>
  <c r="AV71" i="13" s="1"/>
  <c r="AW71" i="13" s="1"/>
  <c r="AX71" i="13" s="1"/>
  <c r="AY71" i="13" s="1"/>
  <c r="AZ71" i="13" s="1"/>
  <c r="BA71" i="13" s="1"/>
  <c r="BB71" i="13" s="1"/>
  <c r="BC71" i="13" s="1"/>
  <c r="BD71" i="13" s="1"/>
  <c r="BE71" i="13" s="1"/>
  <c r="BF71" i="13" s="1"/>
  <c r="BG71" i="13" s="1"/>
  <c r="BH71" i="13" s="1"/>
  <c r="BI71" i="13" s="1"/>
  <c r="BJ71" i="13" s="1"/>
  <c r="BK71" i="13" s="1"/>
  <c r="BL71" i="13" s="1"/>
  <c r="BM71" i="13" s="1"/>
  <c r="BN71" i="13" s="1"/>
  <c r="BO71" i="13" s="1"/>
  <c r="BP71" i="13" s="1"/>
  <c r="BQ71" i="13" s="1"/>
  <c r="BR71" i="13" s="1"/>
  <c r="BS71" i="13" s="1"/>
  <c r="BT71" i="13" s="1"/>
  <c r="BU71" i="13" s="1"/>
  <c r="BV71" i="13" s="1"/>
  <c r="BW71" i="13" s="1"/>
  <c r="BX71" i="13" s="1"/>
  <c r="BY71" i="13" s="1"/>
  <c r="BZ71" i="13" s="1"/>
  <c r="CA71" i="13" s="1"/>
  <c r="CB71" i="13" s="1"/>
  <c r="CC71" i="13" s="1"/>
  <c r="CD71" i="13" s="1"/>
  <c r="CE71" i="13" s="1"/>
  <c r="CF71" i="13" s="1"/>
  <c r="CG71" i="13" s="1"/>
  <c r="CH71" i="13" s="1"/>
  <c r="CI71" i="13" s="1"/>
  <c r="CJ71" i="13" s="1"/>
  <c r="CK71" i="13" s="1"/>
  <c r="CL71" i="13" s="1"/>
  <c r="CM71" i="13" s="1"/>
  <c r="CN71" i="13" s="1"/>
  <c r="CO71" i="13" s="1"/>
  <c r="CP71" i="13" s="1"/>
  <c r="CQ71" i="13" s="1"/>
  <c r="CR71" i="13" s="1"/>
  <c r="CS71" i="13" s="1"/>
  <c r="CT71" i="13" s="1"/>
  <c r="CU71" i="13" s="1"/>
  <c r="CV71" i="13" s="1"/>
  <c r="CW71" i="13" s="1"/>
  <c r="CX71" i="13" s="1"/>
  <c r="CY71" i="13" s="1"/>
  <c r="CZ71" i="13" s="1"/>
  <c r="DA71" i="13" s="1"/>
  <c r="DB71" i="13" s="1"/>
  <c r="DC71" i="13" s="1"/>
  <c r="DD71" i="13" s="1"/>
  <c r="DE71" i="13" s="1"/>
  <c r="DF71" i="13" s="1"/>
  <c r="DG71" i="13" s="1"/>
  <c r="DH71" i="13" s="1"/>
  <c r="DI71" i="13" s="1"/>
  <c r="B65" i="13"/>
  <c r="A65" i="13" s="1"/>
  <c r="M65" i="13" s="1"/>
  <c r="N65" i="13" s="1"/>
  <c r="O65" i="13" s="1"/>
  <c r="P65" i="13" s="1"/>
  <c r="Q65" i="13" s="1"/>
  <c r="R65" i="13" s="1"/>
  <c r="S65" i="13" s="1"/>
  <c r="T65" i="13" s="1"/>
  <c r="U65" i="13" s="1"/>
  <c r="V65" i="13" s="1"/>
  <c r="W65" i="13" s="1"/>
  <c r="X65" i="13" s="1"/>
  <c r="Y65" i="13" s="1"/>
  <c r="Z65" i="13" s="1"/>
  <c r="AA65" i="13" s="1"/>
  <c r="AB65" i="13" s="1"/>
  <c r="AC65" i="13" s="1"/>
  <c r="AD65" i="13" s="1"/>
  <c r="AE65" i="13" s="1"/>
  <c r="AF65" i="13" s="1"/>
  <c r="AG65" i="13" s="1"/>
  <c r="AH65" i="13" s="1"/>
  <c r="AI65" i="13" s="1"/>
  <c r="AJ65" i="13" s="1"/>
  <c r="AK65" i="13" s="1"/>
  <c r="AL65" i="13" s="1"/>
  <c r="AM65" i="13" s="1"/>
  <c r="AN65" i="13" s="1"/>
  <c r="AO65" i="13" s="1"/>
  <c r="AP65" i="13" s="1"/>
  <c r="AQ65" i="13" s="1"/>
  <c r="AR65" i="13" s="1"/>
  <c r="AS65" i="13" s="1"/>
  <c r="AT65" i="13" s="1"/>
  <c r="AU65" i="13" s="1"/>
  <c r="AV65" i="13" s="1"/>
  <c r="AW65" i="13" s="1"/>
  <c r="AX65" i="13" s="1"/>
  <c r="AY65" i="13" s="1"/>
  <c r="AZ65" i="13" s="1"/>
  <c r="BA65" i="13" s="1"/>
  <c r="BB65" i="13" s="1"/>
  <c r="BC65" i="13" s="1"/>
  <c r="BD65" i="13" s="1"/>
  <c r="BE65" i="13" s="1"/>
  <c r="BF65" i="13" s="1"/>
  <c r="BG65" i="13" s="1"/>
  <c r="BH65" i="13" s="1"/>
  <c r="BI65" i="13" s="1"/>
  <c r="BJ65" i="13" s="1"/>
  <c r="BK65" i="13" s="1"/>
  <c r="BL65" i="13" s="1"/>
  <c r="BM65" i="13" s="1"/>
  <c r="BN65" i="13" s="1"/>
  <c r="BO65" i="13" s="1"/>
  <c r="BP65" i="13" s="1"/>
  <c r="BQ65" i="13" s="1"/>
  <c r="BR65" i="13" s="1"/>
  <c r="BS65" i="13" s="1"/>
  <c r="BT65" i="13" s="1"/>
  <c r="BU65" i="13" s="1"/>
  <c r="BV65" i="13" s="1"/>
  <c r="BW65" i="13" s="1"/>
  <c r="BX65" i="13" s="1"/>
  <c r="BY65" i="13" s="1"/>
  <c r="BZ65" i="13" s="1"/>
  <c r="CA65" i="13" s="1"/>
  <c r="CB65" i="13" s="1"/>
  <c r="CC65" i="13" s="1"/>
  <c r="CD65" i="13" s="1"/>
  <c r="CE65" i="13" s="1"/>
  <c r="CF65" i="13" s="1"/>
  <c r="CG65" i="13" s="1"/>
  <c r="CH65" i="13" s="1"/>
  <c r="CI65" i="13" s="1"/>
  <c r="CJ65" i="13" s="1"/>
  <c r="CK65" i="13" s="1"/>
  <c r="CL65" i="13" s="1"/>
  <c r="CM65" i="13" s="1"/>
  <c r="CN65" i="13" s="1"/>
  <c r="CO65" i="13" s="1"/>
  <c r="CP65" i="13" s="1"/>
  <c r="CQ65" i="13" s="1"/>
  <c r="CR65" i="13" s="1"/>
  <c r="CS65" i="13" s="1"/>
  <c r="CT65" i="13" s="1"/>
  <c r="CU65" i="13" s="1"/>
  <c r="CV65" i="13" s="1"/>
  <c r="CW65" i="13" s="1"/>
  <c r="CX65" i="13" s="1"/>
  <c r="CY65" i="13" s="1"/>
  <c r="CZ65" i="13" s="1"/>
  <c r="DA65" i="13" s="1"/>
  <c r="DB65" i="13" s="1"/>
  <c r="DC65" i="13" s="1"/>
  <c r="DD65" i="13" s="1"/>
  <c r="DE65" i="13" s="1"/>
  <c r="DF65" i="13" s="1"/>
  <c r="DG65" i="13" s="1"/>
  <c r="DH65" i="13" s="1"/>
  <c r="DI65" i="13" s="1"/>
  <c r="B72" i="13"/>
  <c r="A72" i="13" s="1"/>
  <c r="M72" i="13" s="1"/>
  <c r="N72" i="13" s="1"/>
  <c r="O72" i="13" s="1"/>
  <c r="P72" i="13" s="1"/>
  <c r="Q72" i="13" s="1"/>
  <c r="R72" i="13" s="1"/>
  <c r="S72" i="13" s="1"/>
  <c r="T72" i="13" s="1"/>
  <c r="U72" i="13" s="1"/>
  <c r="V72" i="13" s="1"/>
  <c r="W72" i="13" s="1"/>
  <c r="X72" i="13" s="1"/>
  <c r="Y72" i="13" s="1"/>
  <c r="Z72" i="13" s="1"/>
  <c r="AA72" i="13" s="1"/>
  <c r="AB72" i="13" s="1"/>
  <c r="AC72" i="13" s="1"/>
  <c r="AD72" i="13" s="1"/>
  <c r="AE72" i="13" s="1"/>
  <c r="AF72" i="13" s="1"/>
  <c r="AG72" i="13" s="1"/>
  <c r="AH72" i="13" s="1"/>
  <c r="AI72" i="13" s="1"/>
  <c r="AJ72" i="13" s="1"/>
  <c r="AK72" i="13" s="1"/>
  <c r="AL72" i="13" s="1"/>
  <c r="AM72" i="13" s="1"/>
  <c r="AN72" i="13" s="1"/>
  <c r="AO72" i="13" s="1"/>
  <c r="AP72" i="13" s="1"/>
  <c r="AQ72" i="13" s="1"/>
  <c r="AR72" i="13" s="1"/>
  <c r="AS72" i="13" s="1"/>
  <c r="AT72" i="13" s="1"/>
  <c r="AU72" i="13" s="1"/>
  <c r="AV72" i="13" s="1"/>
  <c r="AW72" i="13" s="1"/>
  <c r="AX72" i="13" s="1"/>
  <c r="AY72" i="13" s="1"/>
  <c r="AZ72" i="13" s="1"/>
  <c r="BA72" i="13" s="1"/>
  <c r="BB72" i="13" s="1"/>
  <c r="BC72" i="13" s="1"/>
  <c r="BD72" i="13" s="1"/>
  <c r="BE72" i="13" s="1"/>
  <c r="BF72" i="13" s="1"/>
  <c r="BG72" i="13" s="1"/>
  <c r="BH72" i="13" s="1"/>
  <c r="BI72" i="13" s="1"/>
  <c r="BJ72" i="13" s="1"/>
  <c r="BK72" i="13" s="1"/>
  <c r="BL72" i="13" s="1"/>
  <c r="BM72" i="13" s="1"/>
  <c r="BN72" i="13" s="1"/>
  <c r="BO72" i="13" s="1"/>
  <c r="BP72" i="13" s="1"/>
  <c r="BQ72" i="13" s="1"/>
  <c r="BR72" i="13" s="1"/>
  <c r="BS72" i="13" s="1"/>
  <c r="BT72" i="13" s="1"/>
  <c r="BU72" i="13" s="1"/>
  <c r="BV72" i="13" s="1"/>
  <c r="BW72" i="13" s="1"/>
  <c r="BX72" i="13" s="1"/>
  <c r="BY72" i="13" s="1"/>
  <c r="BZ72" i="13" s="1"/>
  <c r="CA72" i="13" s="1"/>
  <c r="CB72" i="13" s="1"/>
  <c r="CC72" i="13" s="1"/>
  <c r="CD72" i="13" s="1"/>
  <c r="CE72" i="13" s="1"/>
  <c r="CF72" i="13" s="1"/>
  <c r="CG72" i="13" s="1"/>
  <c r="CH72" i="13" s="1"/>
  <c r="CI72" i="13" s="1"/>
  <c r="CJ72" i="13" s="1"/>
  <c r="CK72" i="13" s="1"/>
  <c r="CL72" i="13" s="1"/>
  <c r="CM72" i="13" s="1"/>
  <c r="CN72" i="13" s="1"/>
  <c r="CO72" i="13" s="1"/>
  <c r="CP72" i="13" s="1"/>
  <c r="CQ72" i="13" s="1"/>
  <c r="CR72" i="13" s="1"/>
  <c r="CS72" i="13" s="1"/>
  <c r="CT72" i="13" s="1"/>
  <c r="CU72" i="13" s="1"/>
  <c r="CV72" i="13" s="1"/>
  <c r="CW72" i="13" s="1"/>
  <c r="CX72" i="13" s="1"/>
  <c r="CY72" i="13" s="1"/>
  <c r="CZ72" i="13" s="1"/>
  <c r="DA72" i="13" s="1"/>
  <c r="DB72" i="13" s="1"/>
  <c r="DC72" i="13" s="1"/>
  <c r="DD72" i="13" s="1"/>
  <c r="DE72" i="13" s="1"/>
  <c r="DF72" i="13" s="1"/>
  <c r="DG72" i="13" s="1"/>
  <c r="DH72" i="13" s="1"/>
  <c r="DI72" i="13" s="1"/>
  <c r="B36" i="13"/>
  <c r="A36" i="13" s="1"/>
  <c r="J36" i="13" s="1"/>
  <c r="K36" i="13" s="1"/>
  <c r="L36" i="13" s="1"/>
  <c r="M36" i="13" s="1"/>
  <c r="N36" i="13" s="1"/>
  <c r="O36" i="13" s="1"/>
  <c r="P36" i="13" s="1"/>
  <c r="Q36" i="13" s="1"/>
  <c r="R36" i="13" s="1"/>
  <c r="S36" i="13" s="1"/>
  <c r="T36" i="13" s="1"/>
  <c r="U36" i="13" s="1"/>
  <c r="V36" i="13" s="1"/>
  <c r="W36" i="13" s="1"/>
  <c r="X36" i="13" s="1"/>
  <c r="Y36" i="13" s="1"/>
  <c r="Z36" i="13" s="1"/>
  <c r="AA36" i="13" s="1"/>
  <c r="AB36" i="13" s="1"/>
  <c r="AC36" i="13" s="1"/>
  <c r="AD36" i="13" s="1"/>
  <c r="AE36" i="13" s="1"/>
  <c r="AF36" i="13" s="1"/>
  <c r="AG36" i="13" s="1"/>
  <c r="AH36" i="13" s="1"/>
  <c r="AI36" i="13" s="1"/>
  <c r="AJ36" i="13" s="1"/>
  <c r="AK36" i="13" s="1"/>
  <c r="AL36" i="13" s="1"/>
  <c r="AM36" i="13" s="1"/>
  <c r="AN36" i="13" s="1"/>
  <c r="AO36" i="13" s="1"/>
  <c r="AP36" i="13" s="1"/>
  <c r="AQ36" i="13" s="1"/>
  <c r="AR36" i="13" s="1"/>
  <c r="AS36" i="13" s="1"/>
  <c r="AT36" i="13" s="1"/>
  <c r="AU36" i="13" s="1"/>
  <c r="AV36" i="13" s="1"/>
  <c r="AW36" i="13" s="1"/>
  <c r="AX36" i="13" s="1"/>
  <c r="AY36" i="13" s="1"/>
  <c r="AZ36" i="13" s="1"/>
  <c r="BA36" i="13" s="1"/>
  <c r="BB36" i="13" s="1"/>
  <c r="BC36" i="13" s="1"/>
  <c r="BD36" i="13" s="1"/>
  <c r="BE36" i="13" s="1"/>
  <c r="BF36" i="13" s="1"/>
  <c r="BG36" i="13" s="1"/>
  <c r="BH36" i="13" s="1"/>
  <c r="BI36" i="13" s="1"/>
  <c r="BJ36" i="13" s="1"/>
  <c r="BK36" i="13" s="1"/>
  <c r="BL36" i="13" s="1"/>
  <c r="BM36" i="13" s="1"/>
  <c r="BN36" i="13" s="1"/>
  <c r="BO36" i="13" s="1"/>
  <c r="BP36" i="13" s="1"/>
  <c r="BQ36" i="13" s="1"/>
  <c r="BR36" i="13" s="1"/>
  <c r="BS36" i="13" s="1"/>
  <c r="BT36" i="13" s="1"/>
  <c r="BU36" i="13" s="1"/>
  <c r="BV36" i="13" s="1"/>
  <c r="BW36" i="13" s="1"/>
  <c r="BX36" i="13" s="1"/>
  <c r="BY36" i="13" s="1"/>
  <c r="BZ36" i="13" s="1"/>
  <c r="CA36" i="13" s="1"/>
  <c r="CB36" i="13" s="1"/>
  <c r="CC36" i="13" s="1"/>
  <c r="CD36" i="13" s="1"/>
  <c r="CE36" i="13" s="1"/>
  <c r="CF36" i="13" s="1"/>
  <c r="CG36" i="13" s="1"/>
  <c r="CH36" i="13" s="1"/>
  <c r="CI36" i="13" s="1"/>
  <c r="CJ36" i="13" s="1"/>
  <c r="CK36" i="13" s="1"/>
  <c r="CL36" i="13" s="1"/>
  <c r="CM36" i="13" s="1"/>
  <c r="CN36" i="13" s="1"/>
  <c r="CO36" i="13" s="1"/>
  <c r="CP36" i="13" s="1"/>
  <c r="CQ36" i="13" s="1"/>
  <c r="CR36" i="13" s="1"/>
  <c r="CS36" i="13" s="1"/>
  <c r="CT36" i="13" s="1"/>
  <c r="CU36" i="13" s="1"/>
  <c r="CV36" i="13" s="1"/>
  <c r="CW36" i="13" s="1"/>
  <c r="CX36" i="13" s="1"/>
  <c r="CY36" i="13" s="1"/>
  <c r="CZ36" i="13" s="1"/>
  <c r="DA36" i="13" s="1"/>
  <c r="DB36" i="13" s="1"/>
  <c r="DC36" i="13" s="1"/>
  <c r="DD36" i="13" s="1"/>
  <c r="DE36" i="13" s="1"/>
  <c r="DF36" i="13" s="1"/>
  <c r="DG36" i="13" s="1"/>
  <c r="DH36" i="13" s="1"/>
  <c r="DI36" i="13" s="1"/>
  <c r="B46" i="13"/>
  <c r="A46" i="13" s="1"/>
  <c r="K46" i="13" s="1"/>
  <c r="L46" i="13" s="1"/>
  <c r="M46" i="13" s="1"/>
  <c r="N46" i="13" s="1"/>
  <c r="O46" i="13" s="1"/>
  <c r="P46" i="13" s="1"/>
  <c r="Q46" i="13" s="1"/>
  <c r="R46" i="13" s="1"/>
  <c r="S46" i="13" s="1"/>
  <c r="T46" i="13" s="1"/>
  <c r="U46" i="13" s="1"/>
  <c r="V46" i="13" s="1"/>
  <c r="W46" i="13" s="1"/>
  <c r="X46" i="13" s="1"/>
  <c r="Y46" i="13" s="1"/>
  <c r="Z46" i="13" s="1"/>
  <c r="AA46" i="13" s="1"/>
  <c r="AB46" i="13" s="1"/>
  <c r="AC46" i="13" s="1"/>
  <c r="AD46" i="13" s="1"/>
  <c r="AE46" i="13" s="1"/>
  <c r="AF46" i="13" s="1"/>
  <c r="AG46" i="13" s="1"/>
  <c r="AH46" i="13" s="1"/>
  <c r="AI46" i="13" s="1"/>
  <c r="AJ46" i="13" s="1"/>
  <c r="AK46" i="13" s="1"/>
  <c r="AL46" i="13" s="1"/>
  <c r="AM46" i="13" s="1"/>
  <c r="AN46" i="13" s="1"/>
  <c r="AO46" i="13" s="1"/>
  <c r="AP46" i="13" s="1"/>
  <c r="AQ46" i="13" s="1"/>
  <c r="AR46" i="13" s="1"/>
  <c r="AS46" i="13" s="1"/>
  <c r="AT46" i="13" s="1"/>
  <c r="AU46" i="13" s="1"/>
  <c r="AV46" i="13" s="1"/>
  <c r="AW46" i="13" s="1"/>
  <c r="AX46" i="13" s="1"/>
  <c r="AY46" i="13" s="1"/>
  <c r="AZ46" i="13" s="1"/>
  <c r="BA46" i="13" s="1"/>
  <c r="BB46" i="13" s="1"/>
  <c r="BC46" i="13" s="1"/>
  <c r="BD46" i="13" s="1"/>
  <c r="BE46" i="13" s="1"/>
  <c r="BF46" i="13" s="1"/>
  <c r="BG46" i="13" s="1"/>
  <c r="BH46" i="13" s="1"/>
  <c r="BI46" i="13" s="1"/>
  <c r="BJ46" i="13" s="1"/>
  <c r="BK46" i="13" s="1"/>
  <c r="BL46" i="13" s="1"/>
  <c r="BM46" i="13" s="1"/>
  <c r="BN46" i="13" s="1"/>
  <c r="BO46" i="13" s="1"/>
  <c r="BP46" i="13" s="1"/>
  <c r="BQ46" i="13" s="1"/>
  <c r="BR46" i="13" s="1"/>
  <c r="BS46" i="13" s="1"/>
  <c r="BT46" i="13" s="1"/>
  <c r="BU46" i="13" s="1"/>
  <c r="BV46" i="13" s="1"/>
  <c r="BW46" i="13" s="1"/>
  <c r="BX46" i="13" s="1"/>
  <c r="BY46" i="13" s="1"/>
  <c r="BZ46" i="13" s="1"/>
  <c r="CA46" i="13" s="1"/>
  <c r="CB46" i="13" s="1"/>
  <c r="CC46" i="13" s="1"/>
  <c r="CD46" i="13" s="1"/>
  <c r="CE46" i="13" s="1"/>
  <c r="CF46" i="13" s="1"/>
  <c r="CG46" i="13" s="1"/>
  <c r="CH46" i="13" s="1"/>
  <c r="CI46" i="13" s="1"/>
  <c r="CJ46" i="13" s="1"/>
  <c r="CK46" i="13" s="1"/>
  <c r="CL46" i="13" s="1"/>
  <c r="CM46" i="13" s="1"/>
  <c r="CN46" i="13" s="1"/>
  <c r="CO46" i="13" s="1"/>
  <c r="CP46" i="13" s="1"/>
  <c r="CQ46" i="13" s="1"/>
  <c r="CR46" i="13" s="1"/>
  <c r="CS46" i="13" s="1"/>
  <c r="CT46" i="13" s="1"/>
  <c r="CU46" i="13" s="1"/>
  <c r="CV46" i="13" s="1"/>
  <c r="CW46" i="13" s="1"/>
  <c r="CX46" i="13" s="1"/>
  <c r="CY46" i="13" s="1"/>
  <c r="CZ46" i="13" s="1"/>
  <c r="DA46" i="13" s="1"/>
  <c r="DB46" i="13" s="1"/>
  <c r="DC46" i="13" s="1"/>
  <c r="DD46" i="13" s="1"/>
  <c r="DE46" i="13" s="1"/>
  <c r="DF46" i="13" s="1"/>
  <c r="DG46" i="13" s="1"/>
  <c r="DH46" i="13" s="1"/>
  <c r="DI46" i="13" s="1"/>
  <c r="B128" i="13"/>
  <c r="A128" i="13" s="1"/>
  <c r="L128" i="13" s="1"/>
  <c r="M128" i="13" s="1"/>
  <c r="N128" i="13" s="1"/>
  <c r="O128" i="13" s="1"/>
  <c r="P128" i="13" s="1"/>
  <c r="Q128" i="13" s="1"/>
  <c r="R128" i="13" s="1"/>
  <c r="S128" i="13" s="1"/>
  <c r="T128" i="13" s="1"/>
  <c r="U128" i="13" s="1"/>
  <c r="V128" i="13" s="1"/>
  <c r="W128" i="13" s="1"/>
  <c r="X128" i="13" s="1"/>
  <c r="Y128" i="13" s="1"/>
  <c r="Z128" i="13" s="1"/>
  <c r="AA128" i="13" s="1"/>
  <c r="AB128" i="13" s="1"/>
  <c r="AC128" i="13" s="1"/>
  <c r="AD128" i="13" s="1"/>
  <c r="AE128" i="13" s="1"/>
  <c r="AF128" i="13" s="1"/>
  <c r="AG128" i="13" s="1"/>
  <c r="AH128" i="13" s="1"/>
  <c r="AI128" i="13" s="1"/>
  <c r="AJ128" i="13" s="1"/>
  <c r="AK128" i="13" s="1"/>
  <c r="AL128" i="13" s="1"/>
  <c r="AM128" i="13" s="1"/>
  <c r="AN128" i="13" s="1"/>
  <c r="AO128" i="13" s="1"/>
  <c r="AP128" i="13" s="1"/>
  <c r="AQ128" i="13" s="1"/>
  <c r="AR128" i="13" s="1"/>
  <c r="AS128" i="13" s="1"/>
  <c r="AT128" i="13" s="1"/>
  <c r="AU128" i="13" s="1"/>
  <c r="AV128" i="13" s="1"/>
  <c r="AW128" i="13" s="1"/>
  <c r="AX128" i="13" s="1"/>
  <c r="AY128" i="13" s="1"/>
  <c r="AZ128" i="13" s="1"/>
  <c r="BA128" i="13" s="1"/>
  <c r="BB128" i="13" s="1"/>
  <c r="BC128" i="13" s="1"/>
  <c r="BD128" i="13" s="1"/>
  <c r="BE128" i="13" s="1"/>
  <c r="BF128" i="13" s="1"/>
  <c r="BG128" i="13" s="1"/>
  <c r="BH128" i="13" s="1"/>
  <c r="BI128" i="13" s="1"/>
  <c r="BJ128" i="13" s="1"/>
  <c r="BK128" i="13" s="1"/>
  <c r="BL128" i="13" s="1"/>
  <c r="BM128" i="13" s="1"/>
  <c r="BN128" i="13" s="1"/>
  <c r="BO128" i="13" s="1"/>
  <c r="BP128" i="13" s="1"/>
  <c r="BQ128" i="13" s="1"/>
  <c r="BR128" i="13" s="1"/>
  <c r="BS128" i="13" s="1"/>
  <c r="BT128" i="13" s="1"/>
  <c r="BU128" i="13" s="1"/>
  <c r="BV128" i="13" s="1"/>
  <c r="BW128" i="13" s="1"/>
  <c r="BX128" i="13" s="1"/>
  <c r="BY128" i="13" s="1"/>
  <c r="BZ128" i="13" s="1"/>
  <c r="CA128" i="13" s="1"/>
  <c r="CB128" i="13" s="1"/>
  <c r="CC128" i="13" s="1"/>
  <c r="CD128" i="13" s="1"/>
  <c r="CE128" i="13" s="1"/>
  <c r="CF128" i="13" s="1"/>
  <c r="CG128" i="13" s="1"/>
  <c r="CH128" i="13" s="1"/>
  <c r="CI128" i="13" s="1"/>
  <c r="CJ128" i="13" s="1"/>
  <c r="CK128" i="13" s="1"/>
  <c r="CL128" i="13" s="1"/>
  <c r="CM128" i="13" s="1"/>
  <c r="CN128" i="13" s="1"/>
  <c r="CO128" i="13" s="1"/>
  <c r="CP128" i="13" s="1"/>
  <c r="CQ128" i="13" s="1"/>
  <c r="CR128" i="13" s="1"/>
  <c r="CS128" i="13" s="1"/>
  <c r="CT128" i="13" s="1"/>
  <c r="CU128" i="13" s="1"/>
  <c r="CV128" i="13" s="1"/>
  <c r="CW128" i="13" s="1"/>
  <c r="CX128" i="13" s="1"/>
  <c r="CY128" i="13" s="1"/>
  <c r="CZ128" i="13" s="1"/>
  <c r="DA128" i="13" s="1"/>
  <c r="DB128" i="13" s="1"/>
  <c r="DC128" i="13" s="1"/>
  <c r="DD128" i="13" s="1"/>
  <c r="DE128" i="13" s="1"/>
  <c r="DF128" i="13" s="1"/>
  <c r="DG128" i="13" s="1"/>
  <c r="DH128" i="13" s="1"/>
  <c r="DI128" i="13" s="1"/>
  <c r="B68" i="13"/>
  <c r="A68" i="13" s="1"/>
  <c r="M68" i="13" s="1"/>
  <c r="N68" i="13" s="1"/>
  <c r="O68" i="13" s="1"/>
  <c r="P68" i="13" s="1"/>
  <c r="Q68" i="13" s="1"/>
  <c r="R68" i="13" s="1"/>
  <c r="S68" i="13" s="1"/>
  <c r="T68" i="13" s="1"/>
  <c r="U68" i="13" s="1"/>
  <c r="V68" i="13" s="1"/>
  <c r="W68" i="13" s="1"/>
  <c r="X68" i="13" s="1"/>
  <c r="Y68" i="13" s="1"/>
  <c r="Z68" i="13" s="1"/>
  <c r="AA68" i="13" s="1"/>
  <c r="AB68" i="13" s="1"/>
  <c r="AC68" i="13" s="1"/>
  <c r="AD68" i="13" s="1"/>
  <c r="AE68" i="13" s="1"/>
  <c r="AF68" i="13" s="1"/>
  <c r="AG68" i="13" s="1"/>
  <c r="AH68" i="13" s="1"/>
  <c r="AI68" i="13" s="1"/>
  <c r="AJ68" i="13" s="1"/>
  <c r="AK68" i="13" s="1"/>
  <c r="AL68" i="13" s="1"/>
  <c r="AM68" i="13" s="1"/>
  <c r="AN68" i="13" s="1"/>
  <c r="AO68" i="13" s="1"/>
  <c r="AP68" i="13" s="1"/>
  <c r="AQ68" i="13" s="1"/>
  <c r="AR68" i="13" s="1"/>
  <c r="AS68" i="13" s="1"/>
  <c r="AT68" i="13" s="1"/>
  <c r="AU68" i="13" s="1"/>
  <c r="AV68" i="13" s="1"/>
  <c r="AW68" i="13" s="1"/>
  <c r="AX68" i="13" s="1"/>
  <c r="AY68" i="13" s="1"/>
  <c r="AZ68" i="13" s="1"/>
  <c r="BA68" i="13" s="1"/>
  <c r="BB68" i="13" s="1"/>
  <c r="BC68" i="13" s="1"/>
  <c r="BD68" i="13" s="1"/>
  <c r="BE68" i="13" s="1"/>
  <c r="BF68" i="13" s="1"/>
  <c r="BG68" i="13" s="1"/>
  <c r="BH68" i="13" s="1"/>
  <c r="BI68" i="13" s="1"/>
  <c r="BJ68" i="13" s="1"/>
  <c r="BK68" i="13" s="1"/>
  <c r="BL68" i="13" s="1"/>
  <c r="BM68" i="13" s="1"/>
  <c r="BN68" i="13" s="1"/>
  <c r="BO68" i="13" s="1"/>
  <c r="BP68" i="13" s="1"/>
  <c r="BQ68" i="13" s="1"/>
  <c r="BR68" i="13" s="1"/>
  <c r="BS68" i="13" s="1"/>
  <c r="BT68" i="13" s="1"/>
  <c r="BU68" i="13" s="1"/>
  <c r="BV68" i="13" s="1"/>
  <c r="BW68" i="13" s="1"/>
  <c r="BX68" i="13" s="1"/>
  <c r="BY68" i="13" s="1"/>
  <c r="BZ68" i="13" s="1"/>
  <c r="CA68" i="13" s="1"/>
  <c r="CB68" i="13" s="1"/>
  <c r="CC68" i="13" s="1"/>
  <c r="CD68" i="13" s="1"/>
  <c r="CE68" i="13" s="1"/>
  <c r="CF68" i="13" s="1"/>
  <c r="CG68" i="13" s="1"/>
  <c r="CH68" i="13" s="1"/>
  <c r="CI68" i="13" s="1"/>
  <c r="CJ68" i="13" s="1"/>
  <c r="CK68" i="13" s="1"/>
  <c r="CL68" i="13" s="1"/>
  <c r="CM68" i="13" s="1"/>
  <c r="CN68" i="13" s="1"/>
  <c r="CO68" i="13" s="1"/>
  <c r="CP68" i="13" s="1"/>
  <c r="CQ68" i="13" s="1"/>
  <c r="CR68" i="13" s="1"/>
  <c r="CS68" i="13" s="1"/>
  <c r="CT68" i="13" s="1"/>
  <c r="CU68" i="13" s="1"/>
  <c r="CV68" i="13" s="1"/>
  <c r="CW68" i="13" s="1"/>
  <c r="CX68" i="13" s="1"/>
  <c r="CY68" i="13" s="1"/>
  <c r="CZ68" i="13" s="1"/>
  <c r="DA68" i="13" s="1"/>
  <c r="DB68" i="13" s="1"/>
  <c r="DC68" i="13" s="1"/>
  <c r="DD68" i="13" s="1"/>
  <c r="DE68" i="13" s="1"/>
  <c r="DF68" i="13" s="1"/>
  <c r="DG68" i="13" s="1"/>
  <c r="DH68" i="13" s="1"/>
  <c r="DI68" i="13" s="1"/>
  <c r="B79" i="13"/>
  <c r="A79" i="13" s="1"/>
  <c r="P79" i="13" s="1"/>
  <c r="Q79" i="13" s="1"/>
  <c r="R79" i="13" s="1"/>
  <c r="S79" i="13" s="1"/>
  <c r="T79" i="13" s="1"/>
  <c r="U79" i="13" s="1"/>
  <c r="V79" i="13" s="1"/>
  <c r="W79" i="13" s="1"/>
  <c r="X79" i="13" s="1"/>
  <c r="Y79" i="13" s="1"/>
  <c r="Z79" i="13" s="1"/>
  <c r="AA79" i="13" s="1"/>
  <c r="AB79" i="13" s="1"/>
  <c r="AC79" i="13" s="1"/>
  <c r="AD79" i="13" s="1"/>
  <c r="AE79" i="13" s="1"/>
  <c r="AF79" i="13" s="1"/>
  <c r="AG79" i="13" s="1"/>
  <c r="AH79" i="13" s="1"/>
  <c r="AI79" i="13" s="1"/>
  <c r="AJ79" i="13" s="1"/>
  <c r="AK79" i="13" s="1"/>
  <c r="AL79" i="13" s="1"/>
  <c r="AM79" i="13" s="1"/>
  <c r="AN79" i="13" s="1"/>
  <c r="AO79" i="13" s="1"/>
  <c r="AP79" i="13" s="1"/>
  <c r="AQ79" i="13" s="1"/>
  <c r="AR79" i="13" s="1"/>
  <c r="AS79" i="13" s="1"/>
  <c r="AT79" i="13" s="1"/>
  <c r="AU79" i="13" s="1"/>
  <c r="AV79" i="13" s="1"/>
  <c r="AW79" i="13" s="1"/>
  <c r="AX79" i="13" s="1"/>
  <c r="AY79" i="13" s="1"/>
  <c r="AZ79" i="13" s="1"/>
  <c r="BA79" i="13" s="1"/>
  <c r="BB79" i="13" s="1"/>
  <c r="BC79" i="13" s="1"/>
  <c r="BD79" i="13" s="1"/>
  <c r="BE79" i="13" s="1"/>
  <c r="BF79" i="13" s="1"/>
  <c r="BG79" i="13" s="1"/>
  <c r="BH79" i="13" s="1"/>
  <c r="BI79" i="13" s="1"/>
  <c r="BJ79" i="13" s="1"/>
  <c r="BK79" i="13" s="1"/>
  <c r="BL79" i="13" s="1"/>
  <c r="BM79" i="13" s="1"/>
  <c r="BN79" i="13" s="1"/>
  <c r="BO79" i="13" s="1"/>
  <c r="BP79" i="13" s="1"/>
  <c r="BQ79" i="13" s="1"/>
  <c r="BR79" i="13" s="1"/>
  <c r="BS79" i="13" s="1"/>
  <c r="BT79" i="13" s="1"/>
  <c r="BU79" i="13" s="1"/>
  <c r="BV79" i="13" s="1"/>
  <c r="BW79" i="13" s="1"/>
  <c r="BX79" i="13" s="1"/>
  <c r="BY79" i="13" s="1"/>
  <c r="BZ79" i="13" s="1"/>
  <c r="CA79" i="13" s="1"/>
  <c r="CB79" i="13" s="1"/>
  <c r="CC79" i="13" s="1"/>
  <c r="CD79" i="13" s="1"/>
  <c r="CE79" i="13" s="1"/>
  <c r="CF79" i="13" s="1"/>
  <c r="CG79" i="13" s="1"/>
  <c r="CH79" i="13" s="1"/>
  <c r="CI79" i="13" s="1"/>
  <c r="CJ79" i="13" s="1"/>
  <c r="CK79" i="13" s="1"/>
  <c r="CL79" i="13" s="1"/>
  <c r="CM79" i="13" s="1"/>
  <c r="CN79" i="13" s="1"/>
  <c r="CO79" i="13" s="1"/>
  <c r="CP79" i="13" s="1"/>
  <c r="CQ79" i="13" s="1"/>
  <c r="CR79" i="13" s="1"/>
  <c r="CS79" i="13" s="1"/>
  <c r="CT79" i="13" s="1"/>
  <c r="CU79" i="13" s="1"/>
  <c r="CV79" i="13" s="1"/>
  <c r="CW79" i="13" s="1"/>
  <c r="CX79" i="13" s="1"/>
  <c r="CY79" i="13" s="1"/>
  <c r="CZ79" i="13" s="1"/>
  <c r="DA79" i="13" s="1"/>
  <c r="DB79" i="13" s="1"/>
  <c r="DC79" i="13" s="1"/>
  <c r="DD79" i="13" s="1"/>
  <c r="DE79" i="13" s="1"/>
  <c r="DF79" i="13" s="1"/>
  <c r="DG79" i="13" s="1"/>
  <c r="DH79" i="13" s="1"/>
  <c r="DI79" i="13" s="1"/>
  <c r="B42" i="13"/>
  <c r="A42" i="13" s="1"/>
  <c r="N42" i="13" s="1"/>
  <c r="O42" i="13" s="1"/>
  <c r="P42" i="13" s="1"/>
  <c r="Q42" i="13" s="1"/>
  <c r="R42" i="13" s="1"/>
  <c r="S42" i="13" s="1"/>
  <c r="T42" i="13" s="1"/>
  <c r="U42" i="13" s="1"/>
  <c r="V42" i="13" s="1"/>
  <c r="W42" i="13" s="1"/>
  <c r="X42" i="13" s="1"/>
  <c r="Y42" i="13" s="1"/>
  <c r="Z42" i="13" s="1"/>
  <c r="AA42" i="13" s="1"/>
  <c r="AB42" i="13" s="1"/>
  <c r="AC42" i="13" s="1"/>
  <c r="AD42" i="13" s="1"/>
  <c r="AE42" i="13" s="1"/>
  <c r="AF42" i="13" s="1"/>
  <c r="AG42" i="13" s="1"/>
  <c r="AH42" i="13" s="1"/>
  <c r="AI42" i="13" s="1"/>
  <c r="AJ42" i="13" s="1"/>
  <c r="AK42" i="13" s="1"/>
  <c r="AL42" i="13" s="1"/>
  <c r="AM42" i="13" s="1"/>
  <c r="AN42" i="13" s="1"/>
  <c r="AO42" i="13" s="1"/>
  <c r="AP42" i="13" s="1"/>
  <c r="AQ42" i="13" s="1"/>
  <c r="AR42" i="13" s="1"/>
  <c r="AS42" i="13" s="1"/>
  <c r="AT42" i="13" s="1"/>
  <c r="AU42" i="13" s="1"/>
  <c r="AV42" i="13" s="1"/>
  <c r="AW42" i="13" s="1"/>
  <c r="AX42" i="13" s="1"/>
  <c r="AY42" i="13" s="1"/>
  <c r="AZ42" i="13" s="1"/>
  <c r="BA42" i="13" s="1"/>
  <c r="BB42" i="13" s="1"/>
  <c r="BC42" i="13" s="1"/>
  <c r="BD42" i="13" s="1"/>
  <c r="BE42" i="13" s="1"/>
  <c r="BF42" i="13" s="1"/>
  <c r="BG42" i="13" s="1"/>
  <c r="BH42" i="13" s="1"/>
  <c r="BI42" i="13" s="1"/>
  <c r="BJ42" i="13" s="1"/>
  <c r="BK42" i="13" s="1"/>
  <c r="BL42" i="13" s="1"/>
  <c r="BM42" i="13" s="1"/>
  <c r="BN42" i="13" s="1"/>
  <c r="BO42" i="13" s="1"/>
  <c r="BP42" i="13" s="1"/>
  <c r="BQ42" i="13" s="1"/>
  <c r="BR42" i="13" s="1"/>
  <c r="BS42" i="13" s="1"/>
  <c r="BT42" i="13" s="1"/>
  <c r="BU42" i="13" s="1"/>
  <c r="BV42" i="13" s="1"/>
  <c r="BW42" i="13" s="1"/>
  <c r="BX42" i="13" s="1"/>
  <c r="BY42" i="13" s="1"/>
  <c r="BZ42" i="13" s="1"/>
  <c r="CA42" i="13" s="1"/>
  <c r="CB42" i="13" s="1"/>
  <c r="CC42" i="13" s="1"/>
  <c r="CD42" i="13" s="1"/>
  <c r="CE42" i="13" s="1"/>
  <c r="CF42" i="13" s="1"/>
  <c r="CG42" i="13" s="1"/>
  <c r="CH42" i="13" s="1"/>
  <c r="CI42" i="13" s="1"/>
  <c r="CJ42" i="13" s="1"/>
  <c r="CK42" i="13" s="1"/>
  <c r="CL42" i="13" s="1"/>
  <c r="CM42" i="13" s="1"/>
  <c r="CN42" i="13" s="1"/>
  <c r="CO42" i="13" s="1"/>
  <c r="CP42" i="13" s="1"/>
  <c r="CQ42" i="13" s="1"/>
  <c r="CR42" i="13" s="1"/>
  <c r="CS42" i="13" s="1"/>
  <c r="CT42" i="13" s="1"/>
  <c r="CU42" i="13" s="1"/>
  <c r="CV42" i="13" s="1"/>
  <c r="CW42" i="13" s="1"/>
  <c r="CX42" i="13" s="1"/>
  <c r="CY42" i="13" s="1"/>
  <c r="CZ42" i="13" s="1"/>
  <c r="DA42" i="13" s="1"/>
  <c r="DB42" i="13" s="1"/>
  <c r="DC42" i="13" s="1"/>
  <c r="DD42" i="13" s="1"/>
  <c r="DE42" i="13" s="1"/>
  <c r="DF42" i="13" s="1"/>
  <c r="DG42" i="13" s="1"/>
  <c r="DH42" i="13" s="1"/>
  <c r="DI42" i="13" s="1"/>
  <c r="B74" i="13"/>
  <c r="A74" i="13" s="1"/>
  <c r="M74" i="13" s="1"/>
  <c r="N74" i="13" s="1"/>
  <c r="O74" i="13" s="1"/>
  <c r="P74" i="13" s="1"/>
  <c r="Q74" i="13" s="1"/>
  <c r="R74" i="13" s="1"/>
  <c r="S74" i="13" s="1"/>
  <c r="T74" i="13" s="1"/>
  <c r="U74" i="13" s="1"/>
  <c r="V74" i="13" s="1"/>
  <c r="W74" i="13" s="1"/>
  <c r="X74" i="13" s="1"/>
  <c r="Y74" i="13" s="1"/>
  <c r="Z74" i="13" s="1"/>
  <c r="AA74" i="13" s="1"/>
  <c r="AB74" i="13" s="1"/>
  <c r="AC74" i="13" s="1"/>
  <c r="AD74" i="13" s="1"/>
  <c r="AE74" i="13" s="1"/>
  <c r="AF74" i="13" s="1"/>
  <c r="AG74" i="13" s="1"/>
  <c r="AH74" i="13" s="1"/>
  <c r="AI74" i="13" s="1"/>
  <c r="AJ74" i="13" s="1"/>
  <c r="AK74" i="13" s="1"/>
  <c r="AL74" i="13" s="1"/>
  <c r="AM74" i="13" s="1"/>
  <c r="AN74" i="13" s="1"/>
  <c r="AO74" i="13" s="1"/>
  <c r="AP74" i="13" s="1"/>
  <c r="AQ74" i="13" s="1"/>
  <c r="AR74" i="13" s="1"/>
  <c r="AS74" i="13" s="1"/>
  <c r="AT74" i="13" s="1"/>
  <c r="AU74" i="13" s="1"/>
  <c r="AV74" i="13" s="1"/>
  <c r="AW74" i="13" s="1"/>
  <c r="AX74" i="13" s="1"/>
  <c r="AY74" i="13" s="1"/>
  <c r="AZ74" i="13" s="1"/>
  <c r="BA74" i="13" s="1"/>
  <c r="BB74" i="13" s="1"/>
  <c r="BC74" i="13" s="1"/>
  <c r="BD74" i="13" s="1"/>
  <c r="BE74" i="13" s="1"/>
  <c r="BF74" i="13" s="1"/>
  <c r="BG74" i="13" s="1"/>
  <c r="BH74" i="13" s="1"/>
  <c r="BI74" i="13" s="1"/>
  <c r="BJ74" i="13" s="1"/>
  <c r="BK74" i="13" s="1"/>
  <c r="BL74" i="13" s="1"/>
  <c r="BM74" i="13" s="1"/>
  <c r="BN74" i="13" s="1"/>
  <c r="BO74" i="13" s="1"/>
  <c r="BP74" i="13" s="1"/>
  <c r="BQ74" i="13" s="1"/>
  <c r="BR74" i="13" s="1"/>
  <c r="BS74" i="13" s="1"/>
  <c r="BT74" i="13" s="1"/>
  <c r="BU74" i="13" s="1"/>
  <c r="BV74" i="13" s="1"/>
  <c r="BW74" i="13" s="1"/>
  <c r="BX74" i="13" s="1"/>
  <c r="BY74" i="13" s="1"/>
  <c r="BZ74" i="13" s="1"/>
  <c r="CA74" i="13" s="1"/>
  <c r="CB74" i="13" s="1"/>
  <c r="CC74" i="13" s="1"/>
  <c r="CD74" i="13" s="1"/>
  <c r="CE74" i="13" s="1"/>
  <c r="CF74" i="13" s="1"/>
  <c r="CG74" i="13" s="1"/>
  <c r="CH74" i="13" s="1"/>
  <c r="CI74" i="13" s="1"/>
  <c r="CJ74" i="13" s="1"/>
  <c r="CK74" i="13" s="1"/>
  <c r="CL74" i="13" s="1"/>
  <c r="CM74" i="13" s="1"/>
  <c r="CN74" i="13" s="1"/>
  <c r="CO74" i="13" s="1"/>
  <c r="CP74" i="13" s="1"/>
  <c r="CQ74" i="13" s="1"/>
  <c r="CR74" i="13" s="1"/>
  <c r="CS74" i="13" s="1"/>
  <c r="CT74" i="13" s="1"/>
  <c r="CU74" i="13" s="1"/>
  <c r="CV74" i="13" s="1"/>
  <c r="CW74" i="13" s="1"/>
  <c r="CX74" i="13" s="1"/>
  <c r="CY74" i="13" s="1"/>
  <c r="CZ74" i="13" s="1"/>
  <c r="DA74" i="13" s="1"/>
  <c r="DB74" i="13" s="1"/>
  <c r="DC74" i="13" s="1"/>
  <c r="DD74" i="13" s="1"/>
  <c r="DE74" i="13" s="1"/>
  <c r="DF74" i="13" s="1"/>
  <c r="DG74" i="13" s="1"/>
  <c r="DH74" i="13" s="1"/>
  <c r="DI74" i="13" s="1"/>
  <c r="B43" i="13"/>
  <c r="A43" i="13" s="1"/>
  <c r="N43" i="13" s="1"/>
  <c r="O43" i="13" s="1"/>
  <c r="P43" i="13" s="1"/>
  <c r="Q43" i="13" s="1"/>
  <c r="R43" i="13" s="1"/>
  <c r="S43" i="13" s="1"/>
  <c r="T43" i="13" s="1"/>
  <c r="U43" i="13" s="1"/>
  <c r="V43" i="13" s="1"/>
  <c r="W43" i="13" s="1"/>
  <c r="X43" i="13" s="1"/>
  <c r="Y43" i="13" s="1"/>
  <c r="Z43" i="13" s="1"/>
  <c r="AA43" i="13" s="1"/>
  <c r="AB43" i="13" s="1"/>
  <c r="AC43" i="13" s="1"/>
  <c r="AD43" i="13" s="1"/>
  <c r="AE43" i="13" s="1"/>
  <c r="AF43" i="13" s="1"/>
  <c r="AG43" i="13" s="1"/>
  <c r="AH43" i="13" s="1"/>
  <c r="AI43" i="13" s="1"/>
  <c r="AJ43" i="13" s="1"/>
  <c r="AK43" i="13" s="1"/>
  <c r="AL43" i="13" s="1"/>
  <c r="AM43" i="13" s="1"/>
  <c r="AN43" i="13" s="1"/>
  <c r="AO43" i="13" s="1"/>
  <c r="AP43" i="13" s="1"/>
  <c r="AQ43" i="13" s="1"/>
  <c r="AR43" i="13" s="1"/>
  <c r="AS43" i="13" s="1"/>
  <c r="AT43" i="13" s="1"/>
  <c r="AU43" i="13" s="1"/>
  <c r="AV43" i="13" s="1"/>
  <c r="AW43" i="13" s="1"/>
  <c r="AX43" i="13" s="1"/>
  <c r="AY43" i="13" s="1"/>
  <c r="AZ43" i="13" s="1"/>
  <c r="BA43" i="13" s="1"/>
  <c r="BB43" i="13" s="1"/>
  <c r="BC43" i="13" s="1"/>
  <c r="BD43" i="13" s="1"/>
  <c r="BE43" i="13" s="1"/>
  <c r="BF43" i="13" s="1"/>
  <c r="BG43" i="13" s="1"/>
  <c r="BH43" i="13" s="1"/>
  <c r="BI43" i="13" s="1"/>
  <c r="BJ43" i="13" s="1"/>
  <c r="BK43" i="13" s="1"/>
  <c r="BL43" i="13" s="1"/>
  <c r="BM43" i="13" s="1"/>
  <c r="BN43" i="13" s="1"/>
  <c r="BO43" i="13" s="1"/>
  <c r="BP43" i="13" s="1"/>
  <c r="BQ43" i="13" s="1"/>
  <c r="BR43" i="13" s="1"/>
  <c r="BS43" i="13" s="1"/>
  <c r="BT43" i="13" s="1"/>
  <c r="BU43" i="13" s="1"/>
  <c r="BV43" i="13" s="1"/>
  <c r="BW43" i="13" s="1"/>
  <c r="BX43" i="13" s="1"/>
  <c r="BY43" i="13" s="1"/>
  <c r="BZ43" i="13" s="1"/>
  <c r="CA43" i="13" s="1"/>
  <c r="CB43" i="13" s="1"/>
  <c r="CC43" i="13" s="1"/>
  <c r="CD43" i="13" s="1"/>
  <c r="CE43" i="13" s="1"/>
  <c r="CF43" i="13" s="1"/>
  <c r="CG43" i="13" s="1"/>
  <c r="CH43" i="13" s="1"/>
  <c r="CI43" i="13" s="1"/>
  <c r="CJ43" i="13" s="1"/>
  <c r="CK43" i="13" s="1"/>
  <c r="CL43" i="13" s="1"/>
  <c r="CM43" i="13" s="1"/>
  <c r="CN43" i="13" s="1"/>
  <c r="CO43" i="13" s="1"/>
  <c r="CP43" i="13" s="1"/>
  <c r="CQ43" i="13" s="1"/>
  <c r="CR43" i="13" s="1"/>
  <c r="CS43" i="13" s="1"/>
  <c r="CT43" i="13" s="1"/>
  <c r="CU43" i="13" s="1"/>
  <c r="CV43" i="13" s="1"/>
  <c r="CW43" i="13" s="1"/>
  <c r="CX43" i="13" s="1"/>
  <c r="CY43" i="13" s="1"/>
  <c r="CZ43" i="13" s="1"/>
  <c r="DA43" i="13" s="1"/>
  <c r="DB43" i="13" s="1"/>
  <c r="DC43" i="13" s="1"/>
  <c r="DD43" i="13" s="1"/>
  <c r="DE43" i="13" s="1"/>
  <c r="DF43" i="13" s="1"/>
  <c r="DG43" i="13" s="1"/>
  <c r="DH43" i="13" s="1"/>
  <c r="DI43" i="13" s="1"/>
  <c r="B17" i="13"/>
  <c r="A17" i="13" s="1"/>
  <c r="B59" i="13"/>
  <c r="A59" i="13" s="1"/>
  <c r="P59" i="13" s="1"/>
  <c r="Q59" i="13" s="1"/>
  <c r="R59" i="13" s="1"/>
  <c r="S59" i="13" s="1"/>
  <c r="T59" i="13" s="1"/>
  <c r="U59" i="13" s="1"/>
  <c r="V59" i="13" s="1"/>
  <c r="W59" i="13" s="1"/>
  <c r="X59" i="13" s="1"/>
  <c r="Y59" i="13" s="1"/>
  <c r="Z59" i="13" s="1"/>
  <c r="AA59" i="13" s="1"/>
  <c r="AB59" i="13" s="1"/>
  <c r="AC59" i="13" s="1"/>
  <c r="AD59" i="13" s="1"/>
  <c r="AE59" i="13" s="1"/>
  <c r="AF59" i="13" s="1"/>
  <c r="AG59" i="13" s="1"/>
  <c r="AH59" i="13" s="1"/>
  <c r="AI59" i="13" s="1"/>
  <c r="AJ59" i="13" s="1"/>
  <c r="AK59" i="13" s="1"/>
  <c r="AL59" i="13" s="1"/>
  <c r="AM59" i="13" s="1"/>
  <c r="AN59" i="13" s="1"/>
  <c r="AO59" i="13" s="1"/>
  <c r="AP59" i="13" s="1"/>
  <c r="AQ59" i="13" s="1"/>
  <c r="AR59" i="13" s="1"/>
  <c r="AS59" i="13" s="1"/>
  <c r="AT59" i="13" s="1"/>
  <c r="AU59" i="13" s="1"/>
  <c r="AV59" i="13" s="1"/>
  <c r="AW59" i="13" s="1"/>
  <c r="AX59" i="13" s="1"/>
  <c r="AY59" i="13" s="1"/>
  <c r="AZ59" i="13" s="1"/>
  <c r="BA59" i="13" s="1"/>
  <c r="BB59" i="13" s="1"/>
  <c r="BC59" i="13" s="1"/>
  <c r="BD59" i="13" s="1"/>
  <c r="BE59" i="13" s="1"/>
  <c r="BF59" i="13" s="1"/>
  <c r="BG59" i="13" s="1"/>
  <c r="BH59" i="13" s="1"/>
  <c r="BI59" i="13" s="1"/>
  <c r="BJ59" i="13" s="1"/>
  <c r="BK59" i="13" s="1"/>
  <c r="BL59" i="13" s="1"/>
  <c r="BM59" i="13" s="1"/>
  <c r="BN59" i="13" s="1"/>
  <c r="BO59" i="13" s="1"/>
  <c r="BP59" i="13" s="1"/>
  <c r="BQ59" i="13" s="1"/>
  <c r="BR59" i="13" s="1"/>
  <c r="BS59" i="13" s="1"/>
  <c r="BT59" i="13" s="1"/>
  <c r="BU59" i="13" s="1"/>
  <c r="BV59" i="13" s="1"/>
  <c r="BW59" i="13" s="1"/>
  <c r="BX59" i="13" s="1"/>
  <c r="BY59" i="13" s="1"/>
  <c r="BZ59" i="13" s="1"/>
  <c r="CA59" i="13" s="1"/>
  <c r="CB59" i="13" s="1"/>
  <c r="CC59" i="13" s="1"/>
  <c r="CD59" i="13" s="1"/>
  <c r="CE59" i="13" s="1"/>
  <c r="CF59" i="13" s="1"/>
  <c r="CG59" i="13" s="1"/>
  <c r="CH59" i="13" s="1"/>
  <c r="CI59" i="13" s="1"/>
  <c r="CJ59" i="13" s="1"/>
  <c r="CK59" i="13" s="1"/>
  <c r="CL59" i="13" s="1"/>
  <c r="CM59" i="13" s="1"/>
  <c r="CN59" i="13" s="1"/>
  <c r="CO59" i="13" s="1"/>
  <c r="CP59" i="13" s="1"/>
  <c r="CQ59" i="13" s="1"/>
  <c r="CR59" i="13" s="1"/>
  <c r="CS59" i="13" s="1"/>
  <c r="CT59" i="13" s="1"/>
  <c r="CU59" i="13" s="1"/>
  <c r="CV59" i="13" s="1"/>
  <c r="CW59" i="13" s="1"/>
  <c r="CX59" i="13" s="1"/>
  <c r="CY59" i="13" s="1"/>
  <c r="CZ59" i="13" s="1"/>
  <c r="DA59" i="13" s="1"/>
  <c r="DB59" i="13" s="1"/>
  <c r="DC59" i="13" s="1"/>
  <c r="DD59" i="13" s="1"/>
  <c r="DE59" i="13" s="1"/>
  <c r="DF59" i="13" s="1"/>
  <c r="DG59" i="13" s="1"/>
  <c r="DH59" i="13" s="1"/>
  <c r="DI59" i="13" s="1"/>
  <c r="B107" i="13"/>
  <c r="A107" i="13" s="1"/>
  <c r="Q107" i="13" s="1"/>
  <c r="R107" i="13" s="1"/>
  <c r="S107" i="13" s="1"/>
  <c r="T107" i="13" s="1"/>
  <c r="U107" i="13" s="1"/>
  <c r="V107" i="13" s="1"/>
  <c r="W107" i="13" s="1"/>
  <c r="X107" i="13" s="1"/>
  <c r="Y107" i="13" s="1"/>
  <c r="Z107" i="13" s="1"/>
  <c r="AA107" i="13" s="1"/>
  <c r="AB107" i="13" s="1"/>
  <c r="AC107" i="13" s="1"/>
  <c r="AD107" i="13" s="1"/>
  <c r="AE107" i="13" s="1"/>
  <c r="AF107" i="13" s="1"/>
  <c r="AG107" i="13" s="1"/>
  <c r="AH107" i="13" s="1"/>
  <c r="AI107" i="13" s="1"/>
  <c r="AJ107" i="13" s="1"/>
  <c r="AK107" i="13" s="1"/>
  <c r="AL107" i="13" s="1"/>
  <c r="AM107" i="13" s="1"/>
  <c r="AN107" i="13" s="1"/>
  <c r="AO107" i="13" s="1"/>
  <c r="AP107" i="13" s="1"/>
  <c r="AQ107" i="13" s="1"/>
  <c r="AR107" i="13" s="1"/>
  <c r="AS107" i="13" s="1"/>
  <c r="AT107" i="13" s="1"/>
  <c r="AU107" i="13" s="1"/>
  <c r="AV107" i="13" s="1"/>
  <c r="AW107" i="13" s="1"/>
  <c r="AX107" i="13" s="1"/>
  <c r="AY107" i="13" s="1"/>
  <c r="AZ107" i="13" s="1"/>
  <c r="BA107" i="13" s="1"/>
  <c r="BB107" i="13" s="1"/>
  <c r="BC107" i="13" s="1"/>
  <c r="BD107" i="13" s="1"/>
  <c r="BE107" i="13" s="1"/>
  <c r="BF107" i="13" s="1"/>
  <c r="BG107" i="13" s="1"/>
  <c r="BH107" i="13" s="1"/>
  <c r="BI107" i="13" s="1"/>
  <c r="BJ107" i="13" s="1"/>
  <c r="BK107" i="13" s="1"/>
  <c r="BL107" i="13" s="1"/>
  <c r="BM107" i="13" s="1"/>
  <c r="BN107" i="13" s="1"/>
  <c r="BO107" i="13" s="1"/>
  <c r="BP107" i="13" s="1"/>
  <c r="BQ107" i="13" s="1"/>
  <c r="BR107" i="13" s="1"/>
  <c r="BS107" i="13" s="1"/>
  <c r="BT107" i="13" s="1"/>
  <c r="BU107" i="13" s="1"/>
  <c r="BV107" i="13" s="1"/>
  <c r="BW107" i="13" s="1"/>
  <c r="BX107" i="13" s="1"/>
  <c r="BY107" i="13" s="1"/>
  <c r="BZ107" i="13" s="1"/>
  <c r="CA107" i="13" s="1"/>
  <c r="CB107" i="13" s="1"/>
  <c r="CC107" i="13" s="1"/>
  <c r="CD107" i="13" s="1"/>
  <c r="CE107" i="13" s="1"/>
  <c r="CF107" i="13" s="1"/>
  <c r="CG107" i="13" s="1"/>
  <c r="CH107" i="13" s="1"/>
  <c r="CI107" i="13" s="1"/>
  <c r="CJ107" i="13" s="1"/>
  <c r="CK107" i="13" s="1"/>
  <c r="CL107" i="13" s="1"/>
  <c r="CM107" i="13" s="1"/>
  <c r="CN107" i="13" s="1"/>
  <c r="CO107" i="13" s="1"/>
  <c r="CP107" i="13" s="1"/>
  <c r="CQ107" i="13" s="1"/>
  <c r="CR107" i="13" s="1"/>
  <c r="CS107" i="13" s="1"/>
  <c r="CT107" i="13" s="1"/>
  <c r="CU107" i="13" s="1"/>
  <c r="CV107" i="13" s="1"/>
  <c r="CW107" i="13" s="1"/>
  <c r="CX107" i="13" s="1"/>
  <c r="CY107" i="13" s="1"/>
  <c r="CZ107" i="13" s="1"/>
  <c r="DA107" i="13" s="1"/>
  <c r="DB107" i="13" s="1"/>
  <c r="DC107" i="13" s="1"/>
  <c r="DD107" i="13" s="1"/>
  <c r="DE107" i="13" s="1"/>
  <c r="DF107" i="13" s="1"/>
  <c r="DG107" i="13" s="1"/>
  <c r="DH107" i="13" s="1"/>
  <c r="DI107" i="13" s="1"/>
  <c r="B123" i="13"/>
  <c r="A123" i="13" s="1"/>
  <c r="O123" i="13" s="1"/>
  <c r="P123" i="13" s="1"/>
  <c r="Q123" i="13" s="1"/>
  <c r="R123" i="13" s="1"/>
  <c r="S123" i="13" s="1"/>
  <c r="T123" i="13" s="1"/>
  <c r="U123" i="13" s="1"/>
  <c r="V123" i="13" s="1"/>
  <c r="W123" i="13" s="1"/>
  <c r="X123" i="13" s="1"/>
  <c r="Y123" i="13" s="1"/>
  <c r="Z123" i="13" s="1"/>
  <c r="AA123" i="13" s="1"/>
  <c r="AB123" i="13" s="1"/>
  <c r="AC123" i="13" s="1"/>
  <c r="AD123" i="13" s="1"/>
  <c r="AE123" i="13" s="1"/>
  <c r="AF123" i="13" s="1"/>
  <c r="AG123" i="13" s="1"/>
  <c r="AH123" i="13" s="1"/>
  <c r="AI123" i="13" s="1"/>
  <c r="AJ123" i="13" s="1"/>
  <c r="AK123" i="13" s="1"/>
  <c r="AL123" i="13" s="1"/>
  <c r="AM123" i="13" s="1"/>
  <c r="AN123" i="13" s="1"/>
  <c r="AO123" i="13" s="1"/>
  <c r="AP123" i="13" s="1"/>
  <c r="AQ123" i="13" s="1"/>
  <c r="AR123" i="13" s="1"/>
  <c r="AS123" i="13" s="1"/>
  <c r="AT123" i="13" s="1"/>
  <c r="AU123" i="13" s="1"/>
  <c r="AV123" i="13" s="1"/>
  <c r="AW123" i="13" s="1"/>
  <c r="AX123" i="13" s="1"/>
  <c r="AY123" i="13" s="1"/>
  <c r="AZ123" i="13" s="1"/>
  <c r="BA123" i="13" s="1"/>
  <c r="BB123" i="13" s="1"/>
  <c r="BC123" i="13" s="1"/>
  <c r="BD123" i="13" s="1"/>
  <c r="BE123" i="13" s="1"/>
  <c r="BF123" i="13" s="1"/>
  <c r="BG123" i="13" s="1"/>
  <c r="BH123" i="13" s="1"/>
  <c r="BI123" i="13" s="1"/>
  <c r="BJ123" i="13" s="1"/>
  <c r="BK123" i="13" s="1"/>
  <c r="BL123" i="13" s="1"/>
  <c r="BM123" i="13" s="1"/>
  <c r="BN123" i="13" s="1"/>
  <c r="BO123" i="13" s="1"/>
  <c r="BP123" i="13" s="1"/>
  <c r="BQ123" i="13" s="1"/>
  <c r="BR123" i="13" s="1"/>
  <c r="BS123" i="13" s="1"/>
  <c r="BT123" i="13" s="1"/>
  <c r="BU123" i="13" s="1"/>
  <c r="BV123" i="13" s="1"/>
  <c r="BW123" i="13" s="1"/>
  <c r="BX123" i="13" s="1"/>
  <c r="BY123" i="13" s="1"/>
  <c r="BZ123" i="13" s="1"/>
  <c r="CA123" i="13" s="1"/>
  <c r="CB123" i="13" s="1"/>
  <c r="CC123" i="13" s="1"/>
  <c r="CD123" i="13" s="1"/>
  <c r="CE123" i="13" s="1"/>
  <c r="CF123" i="13" s="1"/>
  <c r="CG123" i="13" s="1"/>
  <c r="CH123" i="13" s="1"/>
  <c r="CI123" i="13" s="1"/>
  <c r="CJ123" i="13" s="1"/>
  <c r="CK123" i="13" s="1"/>
  <c r="CL123" i="13" s="1"/>
  <c r="CM123" i="13" s="1"/>
  <c r="CN123" i="13" s="1"/>
  <c r="CO123" i="13" s="1"/>
  <c r="CP123" i="13" s="1"/>
  <c r="CQ123" i="13" s="1"/>
  <c r="CR123" i="13" s="1"/>
  <c r="CS123" i="13" s="1"/>
  <c r="CT123" i="13" s="1"/>
  <c r="CU123" i="13" s="1"/>
  <c r="CV123" i="13" s="1"/>
  <c r="CW123" i="13" s="1"/>
  <c r="CX123" i="13" s="1"/>
  <c r="CY123" i="13" s="1"/>
  <c r="CZ123" i="13" s="1"/>
  <c r="DA123" i="13" s="1"/>
  <c r="DB123" i="13" s="1"/>
  <c r="DC123" i="13" s="1"/>
  <c r="DD123" i="13" s="1"/>
  <c r="DE123" i="13" s="1"/>
  <c r="DF123" i="13" s="1"/>
  <c r="DG123" i="13" s="1"/>
  <c r="DH123" i="13" s="1"/>
  <c r="DI123" i="13" s="1"/>
  <c r="B77" i="13"/>
  <c r="A77" i="13" s="1"/>
  <c r="T77" i="13" s="1"/>
  <c r="U77" i="13" s="1"/>
  <c r="V77" i="13" s="1"/>
  <c r="W77" i="13" s="1"/>
  <c r="X77" i="13" s="1"/>
  <c r="Y77" i="13" s="1"/>
  <c r="Z77" i="13" s="1"/>
  <c r="AA77" i="13" s="1"/>
  <c r="AB77" i="13" s="1"/>
  <c r="AC77" i="13" s="1"/>
  <c r="AD77" i="13" s="1"/>
  <c r="AE77" i="13" s="1"/>
  <c r="AF77" i="13" s="1"/>
  <c r="AG77" i="13" s="1"/>
  <c r="AH77" i="13" s="1"/>
  <c r="AI77" i="13" s="1"/>
  <c r="AJ77" i="13" s="1"/>
  <c r="AK77" i="13" s="1"/>
  <c r="AL77" i="13" s="1"/>
  <c r="AM77" i="13" s="1"/>
  <c r="AN77" i="13" s="1"/>
  <c r="AO77" i="13" s="1"/>
  <c r="AP77" i="13" s="1"/>
  <c r="AQ77" i="13" s="1"/>
  <c r="AR77" i="13" s="1"/>
  <c r="AS77" i="13" s="1"/>
  <c r="AT77" i="13" s="1"/>
  <c r="AU77" i="13" s="1"/>
  <c r="AV77" i="13" s="1"/>
  <c r="AW77" i="13" s="1"/>
  <c r="AX77" i="13" s="1"/>
  <c r="AY77" i="13" s="1"/>
  <c r="AZ77" i="13" s="1"/>
  <c r="BA77" i="13" s="1"/>
  <c r="BB77" i="13" s="1"/>
  <c r="BC77" i="13" s="1"/>
  <c r="BD77" i="13" s="1"/>
  <c r="BE77" i="13" s="1"/>
  <c r="BF77" i="13" s="1"/>
  <c r="BG77" i="13" s="1"/>
  <c r="BH77" i="13" s="1"/>
  <c r="BI77" i="13" s="1"/>
  <c r="BJ77" i="13" s="1"/>
  <c r="BK77" i="13" s="1"/>
  <c r="BL77" i="13" s="1"/>
  <c r="BM77" i="13" s="1"/>
  <c r="BN77" i="13" s="1"/>
  <c r="BO77" i="13" s="1"/>
  <c r="BP77" i="13" s="1"/>
  <c r="BQ77" i="13" s="1"/>
  <c r="BR77" i="13" s="1"/>
  <c r="BS77" i="13" s="1"/>
  <c r="BT77" i="13" s="1"/>
  <c r="BU77" i="13" s="1"/>
  <c r="BV77" i="13" s="1"/>
  <c r="BW77" i="13" s="1"/>
  <c r="BX77" i="13" s="1"/>
  <c r="BY77" i="13" s="1"/>
  <c r="BZ77" i="13" s="1"/>
  <c r="CA77" i="13" s="1"/>
  <c r="CB77" i="13" s="1"/>
  <c r="CC77" i="13" s="1"/>
  <c r="CD77" i="13" s="1"/>
  <c r="CE77" i="13" s="1"/>
  <c r="CF77" i="13" s="1"/>
  <c r="CG77" i="13" s="1"/>
  <c r="CH77" i="13" s="1"/>
  <c r="CI77" i="13" s="1"/>
  <c r="CJ77" i="13" s="1"/>
  <c r="CK77" i="13" s="1"/>
  <c r="CL77" i="13" s="1"/>
  <c r="CM77" i="13" s="1"/>
  <c r="CN77" i="13" s="1"/>
  <c r="CO77" i="13" s="1"/>
  <c r="CP77" i="13" s="1"/>
  <c r="CQ77" i="13" s="1"/>
  <c r="CR77" i="13" s="1"/>
  <c r="CS77" i="13" s="1"/>
  <c r="CT77" i="13" s="1"/>
  <c r="CU77" i="13" s="1"/>
  <c r="CV77" i="13" s="1"/>
  <c r="CW77" i="13" s="1"/>
  <c r="CX77" i="13" s="1"/>
  <c r="CY77" i="13" s="1"/>
  <c r="CZ77" i="13" s="1"/>
  <c r="DA77" i="13" s="1"/>
  <c r="DB77" i="13" s="1"/>
  <c r="DC77" i="13" s="1"/>
  <c r="DD77" i="13" s="1"/>
  <c r="DE77" i="13" s="1"/>
  <c r="DF77" i="13" s="1"/>
  <c r="DG77" i="13" s="1"/>
  <c r="DH77" i="13" s="1"/>
  <c r="DI77" i="13" s="1"/>
  <c r="B81" i="13"/>
  <c r="A81" i="13" s="1"/>
  <c r="R81" i="13" s="1"/>
  <c r="S81" i="13" s="1"/>
  <c r="T81" i="13" s="1"/>
  <c r="U81" i="13" s="1"/>
  <c r="V81" i="13" s="1"/>
  <c r="W81" i="13" s="1"/>
  <c r="X81" i="13" s="1"/>
  <c r="Y81" i="13" s="1"/>
  <c r="Z81" i="13" s="1"/>
  <c r="AA81" i="13" s="1"/>
  <c r="AB81" i="13" s="1"/>
  <c r="AC81" i="13" s="1"/>
  <c r="AD81" i="13" s="1"/>
  <c r="AE81" i="13" s="1"/>
  <c r="AF81" i="13" s="1"/>
  <c r="AG81" i="13" s="1"/>
  <c r="AH81" i="13" s="1"/>
  <c r="AI81" i="13" s="1"/>
  <c r="AJ81" i="13" s="1"/>
  <c r="AK81" i="13" s="1"/>
  <c r="AL81" i="13" s="1"/>
  <c r="AM81" i="13" s="1"/>
  <c r="AN81" i="13" s="1"/>
  <c r="AO81" i="13" s="1"/>
  <c r="AP81" i="13" s="1"/>
  <c r="AQ81" i="13" s="1"/>
  <c r="AR81" i="13" s="1"/>
  <c r="AS81" i="13" s="1"/>
  <c r="AT81" i="13" s="1"/>
  <c r="AU81" i="13" s="1"/>
  <c r="AV81" i="13" s="1"/>
  <c r="AW81" i="13" s="1"/>
  <c r="AX81" i="13" s="1"/>
  <c r="AY81" i="13" s="1"/>
  <c r="AZ81" i="13" s="1"/>
  <c r="BA81" i="13" s="1"/>
  <c r="BB81" i="13" s="1"/>
  <c r="BC81" i="13" s="1"/>
  <c r="BD81" i="13" s="1"/>
  <c r="BE81" i="13" s="1"/>
  <c r="BF81" i="13" s="1"/>
  <c r="BG81" i="13" s="1"/>
  <c r="BH81" i="13" s="1"/>
  <c r="BI81" i="13" s="1"/>
  <c r="BJ81" i="13" s="1"/>
  <c r="BK81" i="13" s="1"/>
  <c r="BL81" i="13" s="1"/>
  <c r="BM81" i="13" s="1"/>
  <c r="BN81" i="13" s="1"/>
  <c r="BO81" i="13" s="1"/>
  <c r="BP81" i="13" s="1"/>
  <c r="BQ81" i="13" s="1"/>
  <c r="BR81" i="13" s="1"/>
  <c r="BS81" i="13" s="1"/>
  <c r="BT81" i="13" s="1"/>
  <c r="BU81" i="13" s="1"/>
  <c r="BV81" i="13" s="1"/>
  <c r="BW81" i="13" s="1"/>
  <c r="BX81" i="13" s="1"/>
  <c r="BY81" i="13" s="1"/>
  <c r="BZ81" i="13" s="1"/>
  <c r="CA81" i="13" s="1"/>
  <c r="CB81" i="13" s="1"/>
  <c r="CC81" i="13" s="1"/>
  <c r="CD81" i="13" s="1"/>
  <c r="CE81" i="13" s="1"/>
  <c r="CF81" i="13" s="1"/>
  <c r="CG81" i="13" s="1"/>
  <c r="CH81" i="13" s="1"/>
  <c r="CI81" i="13" s="1"/>
  <c r="CJ81" i="13" s="1"/>
  <c r="CK81" i="13" s="1"/>
  <c r="CL81" i="13" s="1"/>
  <c r="CM81" i="13" s="1"/>
  <c r="CN81" i="13" s="1"/>
  <c r="CO81" i="13" s="1"/>
  <c r="CP81" i="13" s="1"/>
  <c r="CQ81" i="13" s="1"/>
  <c r="CR81" i="13" s="1"/>
  <c r="CS81" i="13" s="1"/>
  <c r="CT81" i="13" s="1"/>
  <c r="CU81" i="13" s="1"/>
  <c r="CV81" i="13" s="1"/>
  <c r="CW81" i="13" s="1"/>
  <c r="CX81" i="13" s="1"/>
  <c r="CY81" i="13" s="1"/>
  <c r="CZ81" i="13" s="1"/>
  <c r="DA81" i="13" s="1"/>
  <c r="DB81" i="13" s="1"/>
  <c r="DC81" i="13" s="1"/>
  <c r="DD81" i="13" s="1"/>
  <c r="DE81" i="13" s="1"/>
  <c r="DF81" i="13" s="1"/>
  <c r="DG81" i="13" s="1"/>
  <c r="DH81" i="13" s="1"/>
  <c r="DI81" i="13" s="1"/>
  <c r="B83" i="13"/>
  <c r="A83" i="13" s="1"/>
  <c r="P83" i="13" s="1"/>
  <c r="Q83" i="13" s="1"/>
  <c r="R83" i="13" s="1"/>
  <c r="S83" i="13" s="1"/>
  <c r="T83" i="13" s="1"/>
  <c r="U83" i="13" s="1"/>
  <c r="V83" i="13" s="1"/>
  <c r="W83" i="13" s="1"/>
  <c r="X83" i="13" s="1"/>
  <c r="Y83" i="13" s="1"/>
  <c r="Z83" i="13" s="1"/>
  <c r="AA83" i="13" s="1"/>
  <c r="AB83" i="13" s="1"/>
  <c r="AC83" i="13" s="1"/>
  <c r="AD83" i="13" s="1"/>
  <c r="AE83" i="13" s="1"/>
  <c r="AF83" i="13" s="1"/>
  <c r="AG83" i="13" s="1"/>
  <c r="AH83" i="13" s="1"/>
  <c r="AI83" i="13" s="1"/>
  <c r="AJ83" i="13" s="1"/>
  <c r="AK83" i="13" s="1"/>
  <c r="AL83" i="13" s="1"/>
  <c r="AM83" i="13" s="1"/>
  <c r="AN83" i="13" s="1"/>
  <c r="AO83" i="13" s="1"/>
  <c r="AP83" i="13" s="1"/>
  <c r="AQ83" i="13" s="1"/>
  <c r="AR83" i="13" s="1"/>
  <c r="AS83" i="13" s="1"/>
  <c r="AT83" i="13" s="1"/>
  <c r="AU83" i="13" s="1"/>
  <c r="AV83" i="13" s="1"/>
  <c r="AW83" i="13" s="1"/>
  <c r="AX83" i="13" s="1"/>
  <c r="AY83" i="13" s="1"/>
  <c r="AZ83" i="13" s="1"/>
  <c r="BA83" i="13" s="1"/>
  <c r="BB83" i="13" s="1"/>
  <c r="BC83" i="13" s="1"/>
  <c r="BD83" i="13" s="1"/>
  <c r="BE83" i="13" s="1"/>
  <c r="BF83" i="13" s="1"/>
  <c r="BG83" i="13" s="1"/>
  <c r="BH83" i="13" s="1"/>
  <c r="BI83" i="13" s="1"/>
  <c r="BJ83" i="13" s="1"/>
  <c r="BK83" i="13" s="1"/>
  <c r="BL83" i="13" s="1"/>
  <c r="BM83" i="13" s="1"/>
  <c r="BN83" i="13" s="1"/>
  <c r="BO83" i="13" s="1"/>
  <c r="BP83" i="13" s="1"/>
  <c r="BQ83" i="13" s="1"/>
  <c r="BR83" i="13" s="1"/>
  <c r="BS83" i="13" s="1"/>
  <c r="BT83" i="13" s="1"/>
  <c r="BU83" i="13" s="1"/>
  <c r="BV83" i="13" s="1"/>
  <c r="BW83" i="13" s="1"/>
  <c r="BX83" i="13" s="1"/>
  <c r="BY83" i="13" s="1"/>
  <c r="BZ83" i="13" s="1"/>
  <c r="CA83" i="13" s="1"/>
  <c r="CB83" i="13" s="1"/>
  <c r="CC83" i="13" s="1"/>
  <c r="CD83" i="13" s="1"/>
  <c r="CE83" i="13" s="1"/>
  <c r="CF83" i="13" s="1"/>
  <c r="CG83" i="13" s="1"/>
  <c r="CH83" i="13" s="1"/>
  <c r="CI83" i="13" s="1"/>
  <c r="CJ83" i="13" s="1"/>
  <c r="CK83" i="13" s="1"/>
  <c r="CL83" i="13" s="1"/>
  <c r="CM83" i="13" s="1"/>
  <c r="CN83" i="13" s="1"/>
  <c r="CO83" i="13" s="1"/>
  <c r="CP83" i="13" s="1"/>
  <c r="CQ83" i="13" s="1"/>
  <c r="CR83" i="13" s="1"/>
  <c r="CS83" i="13" s="1"/>
  <c r="CT83" i="13" s="1"/>
  <c r="CU83" i="13" s="1"/>
  <c r="CV83" i="13" s="1"/>
  <c r="CW83" i="13" s="1"/>
  <c r="CX83" i="13" s="1"/>
  <c r="CY83" i="13" s="1"/>
  <c r="CZ83" i="13" s="1"/>
  <c r="DA83" i="13" s="1"/>
  <c r="DB83" i="13" s="1"/>
  <c r="DC83" i="13" s="1"/>
  <c r="DD83" i="13" s="1"/>
  <c r="DE83" i="13" s="1"/>
  <c r="DF83" i="13" s="1"/>
  <c r="DG83" i="13" s="1"/>
  <c r="DH83" i="13" s="1"/>
  <c r="DI83" i="13" s="1"/>
  <c r="B112" i="13"/>
  <c r="A112" i="13" s="1"/>
  <c r="Q112" i="13" s="1"/>
  <c r="R112" i="13" s="1"/>
  <c r="S112" i="13" s="1"/>
  <c r="T112" i="13" s="1"/>
  <c r="U112" i="13" s="1"/>
  <c r="V112" i="13" s="1"/>
  <c r="W112" i="13" s="1"/>
  <c r="X112" i="13" s="1"/>
  <c r="Y112" i="13" s="1"/>
  <c r="Z112" i="13" s="1"/>
  <c r="AA112" i="13" s="1"/>
  <c r="AB112" i="13" s="1"/>
  <c r="AC112" i="13" s="1"/>
  <c r="AD112" i="13" s="1"/>
  <c r="AE112" i="13" s="1"/>
  <c r="AF112" i="13" s="1"/>
  <c r="AG112" i="13" s="1"/>
  <c r="AH112" i="13" s="1"/>
  <c r="AI112" i="13" s="1"/>
  <c r="AJ112" i="13" s="1"/>
  <c r="AK112" i="13" s="1"/>
  <c r="AL112" i="13" s="1"/>
  <c r="AM112" i="13" s="1"/>
  <c r="AN112" i="13" s="1"/>
  <c r="AO112" i="13" s="1"/>
  <c r="AP112" i="13" s="1"/>
  <c r="AQ112" i="13" s="1"/>
  <c r="AR112" i="13" s="1"/>
  <c r="AS112" i="13" s="1"/>
  <c r="AT112" i="13" s="1"/>
  <c r="AU112" i="13" s="1"/>
  <c r="AV112" i="13" s="1"/>
  <c r="AW112" i="13" s="1"/>
  <c r="AX112" i="13" s="1"/>
  <c r="AY112" i="13" s="1"/>
  <c r="AZ112" i="13" s="1"/>
  <c r="BA112" i="13" s="1"/>
  <c r="BB112" i="13" s="1"/>
  <c r="BC112" i="13" s="1"/>
  <c r="BD112" i="13" s="1"/>
  <c r="BE112" i="13" s="1"/>
  <c r="BF112" i="13" s="1"/>
  <c r="BG112" i="13" s="1"/>
  <c r="BH112" i="13" s="1"/>
  <c r="BI112" i="13" s="1"/>
  <c r="BJ112" i="13" s="1"/>
  <c r="BK112" i="13" s="1"/>
  <c r="BL112" i="13" s="1"/>
  <c r="BM112" i="13" s="1"/>
  <c r="BN112" i="13" s="1"/>
  <c r="BO112" i="13" s="1"/>
  <c r="BP112" i="13" s="1"/>
  <c r="BQ112" i="13" s="1"/>
  <c r="BR112" i="13" s="1"/>
  <c r="BS112" i="13" s="1"/>
  <c r="BT112" i="13" s="1"/>
  <c r="BU112" i="13" s="1"/>
  <c r="BV112" i="13" s="1"/>
  <c r="BW112" i="13" s="1"/>
  <c r="BX112" i="13" s="1"/>
  <c r="BY112" i="13" s="1"/>
  <c r="BZ112" i="13" s="1"/>
  <c r="CA112" i="13" s="1"/>
  <c r="CB112" i="13" s="1"/>
  <c r="CC112" i="13" s="1"/>
  <c r="CD112" i="13" s="1"/>
  <c r="CE112" i="13" s="1"/>
  <c r="CF112" i="13" s="1"/>
  <c r="CG112" i="13" s="1"/>
  <c r="CH112" i="13" s="1"/>
  <c r="CI112" i="13" s="1"/>
  <c r="CJ112" i="13" s="1"/>
  <c r="CK112" i="13" s="1"/>
  <c r="CL112" i="13" s="1"/>
  <c r="CM112" i="13" s="1"/>
  <c r="CN112" i="13" s="1"/>
  <c r="CO112" i="13" s="1"/>
  <c r="CP112" i="13" s="1"/>
  <c r="CQ112" i="13" s="1"/>
  <c r="CR112" i="13" s="1"/>
  <c r="CS112" i="13" s="1"/>
  <c r="CT112" i="13" s="1"/>
  <c r="CU112" i="13" s="1"/>
  <c r="CV112" i="13" s="1"/>
  <c r="CW112" i="13" s="1"/>
  <c r="CX112" i="13" s="1"/>
  <c r="CY112" i="13" s="1"/>
  <c r="CZ112" i="13" s="1"/>
  <c r="DA112" i="13" s="1"/>
  <c r="DB112" i="13" s="1"/>
  <c r="DC112" i="13" s="1"/>
  <c r="DD112" i="13" s="1"/>
  <c r="DE112" i="13" s="1"/>
  <c r="DF112" i="13" s="1"/>
  <c r="DG112" i="13" s="1"/>
  <c r="DH112" i="13" s="1"/>
  <c r="DI112" i="13" s="1"/>
  <c r="B75" i="13"/>
  <c r="A75" i="13" s="1"/>
  <c r="Q75" i="13" s="1"/>
  <c r="R75" i="13" s="1"/>
  <c r="S75" i="13" s="1"/>
  <c r="T75" i="13" s="1"/>
  <c r="U75" i="13" s="1"/>
  <c r="V75" i="13" s="1"/>
  <c r="W75" i="13" s="1"/>
  <c r="X75" i="13" s="1"/>
  <c r="Y75" i="13" s="1"/>
  <c r="Z75" i="13" s="1"/>
  <c r="AA75" i="13" s="1"/>
  <c r="AB75" i="13" s="1"/>
  <c r="AC75" i="13" s="1"/>
  <c r="AD75" i="13" s="1"/>
  <c r="AE75" i="13" s="1"/>
  <c r="AF75" i="13" s="1"/>
  <c r="AG75" i="13" s="1"/>
  <c r="AH75" i="13" s="1"/>
  <c r="AI75" i="13" s="1"/>
  <c r="AJ75" i="13" s="1"/>
  <c r="AK75" i="13" s="1"/>
  <c r="AL75" i="13" s="1"/>
  <c r="AM75" i="13" s="1"/>
  <c r="AN75" i="13" s="1"/>
  <c r="AO75" i="13" s="1"/>
  <c r="AP75" i="13" s="1"/>
  <c r="AQ75" i="13" s="1"/>
  <c r="AR75" i="13" s="1"/>
  <c r="AS75" i="13" s="1"/>
  <c r="AT75" i="13" s="1"/>
  <c r="AU75" i="13" s="1"/>
  <c r="AV75" i="13" s="1"/>
  <c r="AW75" i="13" s="1"/>
  <c r="AX75" i="13" s="1"/>
  <c r="AY75" i="13" s="1"/>
  <c r="AZ75" i="13" s="1"/>
  <c r="BA75" i="13" s="1"/>
  <c r="BB75" i="13" s="1"/>
  <c r="BC75" i="13" s="1"/>
  <c r="BD75" i="13" s="1"/>
  <c r="BE75" i="13" s="1"/>
  <c r="BF75" i="13" s="1"/>
  <c r="BG75" i="13" s="1"/>
  <c r="BH75" i="13" s="1"/>
  <c r="BI75" i="13" s="1"/>
  <c r="BJ75" i="13" s="1"/>
  <c r="BK75" i="13" s="1"/>
  <c r="BL75" i="13" s="1"/>
  <c r="BM75" i="13" s="1"/>
  <c r="BN75" i="13" s="1"/>
  <c r="BO75" i="13" s="1"/>
  <c r="BP75" i="13" s="1"/>
  <c r="BQ75" i="13" s="1"/>
  <c r="BR75" i="13" s="1"/>
  <c r="BS75" i="13" s="1"/>
  <c r="BT75" i="13" s="1"/>
  <c r="BU75" i="13" s="1"/>
  <c r="BV75" i="13" s="1"/>
  <c r="BW75" i="13" s="1"/>
  <c r="BX75" i="13" s="1"/>
  <c r="BY75" i="13" s="1"/>
  <c r="BZ75" i="13" s="1"/>
  <c r="CA75" i="13" s="1"/>
  <c r="CB75" i="13" s="1"/>
  <c r="CC75" i="13" s="1"/>
  <c r="CD75" i="13" s="1"/>
  <c r="CE75" i="13" s="1"/>
  <c r="CF75" i="13" s="1"/>
  <c r="CG75" i="13" s="1"/>
  <c r="CH75" i="13" s="1"/>
  <c r="CI75" i="13" s="1"/>
  <c r="CJ75" i="13" s="1"/>
  <c r="CK75" i="13" s="1"/>
  <c r="CL75" i="13" s="1"/>
  <c r="CM75" i="13" s="1"/>
  <c r="CN75" i="13" s="1"/>
  <c r="CO75" i="13" s="1"/>
  <c r="CP75" i="13" s="1"/>
  <c r="CQ75" i="13" s="1"/>
  <c r="CR75" i="13" s="1"/>
  <c r="CS75" i="13" s="1"/>
  <c r="CT75" i="13" s="1"/>
  <c r="CU75" i="13" s="1"/>
  <c r="CV75" i="13" s="1"/>
  <c r="CW75" i="13" s="1"/>
  <c r="CX75" i="13" s="1"/>
  <c r="CY75" i="13" s="1"/>
  <c r="CZ75" i="13" s="1"/>
  <c r="DA75" i="13" s="1"/>
  <c r="DB75" i="13" s="1"/>
  <c r="DC75" i="13" s="1"/>
  <c r="DD75" i="13" s="1"/>
  <c r="DE75" i="13" s="1"/>
  <c r="DF75" i="13" s="1"/>
  <c r="DG75" i="13" s="1"/>
  <c r="DH75" i="13" s="1"/>
  <c r="DI75" i="13" s="1"/>
  <c r="B105" i="13"/>
  <c r="A105" i="13" s="1"/>
  <c r="Q105" i="13" s="1"/>
  <c r="R105" i="13" s="1"/>
  <c r="S105" i="13" s="1"/>
  <c r="T105" i="13" s="1"/>
  <c r="U105" i="13" s="1"/>
  <c r="V105" i="13" s="1"/>
  <c r="W105" i="13" s="1"/>
  <c r="X105" i="13" s="1"/>
  <c r="Y105" i="13" s="1"/>
  <c r="Z105" i="13" s="1"/>
  <c r="AA105" i="13" s="1"/>
  <c r="AB105" i="13" s="1"/>
  <c r="AC105" i="13" s="1"/>
  <c r="AD105" i="13" s="1"/>
  <c r="AE105" i="13" s="1"/>
  <c r="AF105" i="13" s="1"/>
  <c r="AG105" i="13" s="1"/>
  <c r="AH105" i="13" s="1"/>
  <c r="AI105" i="13" s="1"/>
  <c r="AJ105" i="13" s="1"/>
  <c r="AK105" i="13" s="1"/>
  <c r="AL105" i="13" s="1"/>
  <c r="AM105" i="13" s="1"/>
  <c r="AN105" i="13" s="1"/>
  <c r="AO105" i="13" s="1"/>
  <c r="AP105" i="13" s="1"/>
  <c r="AQ105" i="13" s="1"/>
  <c r="AR105" i="13" s="1"/>
  <c r="AS105" i="13" s="1"/>
  <c r="AT105" i="13" s="1"/>
  <c r="AU105" i="13" s="1"/>
  <c r="AV105" i="13" s="1"/>
  <c r="AW105" i="13" s="1"/>
  <c r="AX105" i="13" s="1"/>
  <c r="AY105" i="13" s="1"/>
  <c r="AZ105" i="13" s="1"/>
  <c r="BA105" i="13" s="1"/>
  <c r="BB105" i="13" s="1"/>
  <c r="BC105" i="13" s="1"/>
  <c r="BD105" i="13" s="1"/>
  <c r="BE105" i="13" s="1"/>
  <c r="BF105" i="13" s="1"/>
  <c r="BG105" i="13" s="1"/>
  <c r="BH105" i="13" s="1"/>
  <c r="BI105" i="13" s="1"/>
  <c r="BJ105" i="13" s="1"/>
  <c r="BK105" i="13" s="1"/>
  <c r="BL105" i="13" s="1"/>
  <c r="BM105" i="13" s="1"/>
  <c r="BN105" i="13" s="1"/>
  <c r="BO105" i="13" s="1"/>
  <c r="BP105" i="13" s="1"/>
  <c r="BQ105" i="13" s="1"/>
  <c r="BR105" i="13" s="1"/>
  <c r="BS105" i="13" s="1"/>
  <c r="BT105" i="13" s="1"/>
  <c r="BU105" i="13" s="1"/>
  <c r="BV105" i="13" s="1"/>
  <c r="BW105" i="13" s="1"/>
  <c r="BX105" i="13" s="1"/>
  <c r="BY105" i="13" s="1"/>
  <c r="BZ105" i="13" s="1"/>
  <c r="CA105" i="13" s="1"/>
  <c r="CB105" i="13" s="1"/>
  <c r="CC105" i="13" s="1"/>
  <c r="CD105" i="13" s="1"/>
  <c r="CE105" i="13" s="1"/>
  <c r="CF105" i="13" s="1"/>
  <c r="CG105" i="13" s="1"/>
  <c r="CH105" i="13" s="1"/>
  <c r="CI105" i="13" s="1"/>
  <c r="CJ105" i="13" s="1"/>
  <c r="CK105" i="13" s="1"/>
  <c r="CL105" i="13" s="1"/>
  <c r="CM105" i="13" s="1"/>
  <c r="CN105" i="13" s="1"/>
  <c r="CO105" i="13" s="1"/>
  <c r="CP105" i="13" s="1"/>
  <c r="CQ105" i="13" s="1"/>
  <c r="CR105" i="13" s="1"/>
  <c r="CS105" i="13" s="1"/>
  <c r="CT105" i="13" s="1"/>
  <c r="CU105" i="13" s="1"/>
  <c r="CV105" i="13" s="1"/>
  <c r="CW105" i="13" s="1"/>
  <c r="CX105" i="13" s="1"/>
  <c r="CY105" i="13" s="1"/>
  <c r="CZ105" i="13" s="1"/>
  <c r="DA105" i="13" s="1"/>
  <c r="DB105" i="13" s="1"/>
  <c r="DC105" i="13" s="1"/>
  <c r="DD105" i="13" s="1"/>
  <c r="DE105" i="13" s="1"/>
  <c r="DF105" i="13" s="1"/>
  <c r="DG105" i="13" s="1"/>
  <c r="DH105" i="13" s="1"/>
  <c r="DI105" i="13" s="1"/>
  <c r="B41" i="13"/>
  <c r="A41" i="13" s="1"/>
  <c r="V41" i="13" s="1"/>
  <c r="W41" i="13" s="1"/>
  <c r="X41" i="13" s="1"/>
  <c r="Y41" i="13" s="1"/>
  <c r="Z41" i="13" s="1"/>
  <c r="AA41" i="13" s="1"/>
  <c r="AB41" i="13" s="1"/>
  <c r="AC41" i="13" s="1"/>
  <c r="AD41" i="13" s="1"/>
  <c r="AE41" i="13" s="1"/>
  <c r="AF41" i="13" s="1"/>
  <c r="AG41" i="13" s="1"/>
  <c r="AH41" i="13" s="1"/>
  <c r="AI41" i="13" s="1"/>
  <c r="AJ41" i="13" s="1"/>
  <c r="AK41" i="13" s="1"/>
  <c r="AL41" i="13" s="1"/>
  <c r="AM41" i="13" s="1"/>
  <c r="AN41" i="13" s="1"/>
  <c r="AO41" i="13" s="1"/>
  <c r="AP41" i="13" s="1"/>
  <c r="AQ41" i="13" s="1"/>
  <c r="AR41" i="13" s="1"/>
  <c r="AS41" i="13" s="1"/>
  <c r="AT41" i="13" s="1"/>
  <c r="AU41" i="13" s="1"/>
  <c r="AV41" i="13" s="1"/>
  <c r="AW41" i="13" s="1"/>
  <c r="AX41" i="13" s="1"/>
  <c r="AY41" i="13" s="1"/>
  <c r="AZ41" i="13" s="1"/>
  <c r="BA41" i="13" s="1"/>
  <c r="BB41" i="13" s="1"/>
  <c r="BC41" i="13" s="1"/>
  <c r="BD41" i="13" s="1"/>
  <c r="BE41" i="13" s="1"/>
  <c r="BF41" i="13" s="1"/>
  <c r="BG41" i="13" s="1"/>
  <c r="BH41" i="13" s="1"/>
  <c r="BI41" i="13" s="1"/>
  <c r="BJ41" i="13" s="1"/>
  <c r="BK41" i="13" s="1"/>
  <c r="BL41" i="13" s="1"/>
  <c r="BM41" i="13" s="1"/>
  <c r="BN41" i="13" s="1"/>
  <c r="BO41" i="13" s="1"/>
  <c r="BP41" i="13" s="1"/>
  <c r="BQ41" i="13" s="1"/>
  <c r="BR41" i="13" s="1"/>
  <c r="BS41" i="13" s="1"/>
  <c r="BT41" i="13" s="1"/>
  <c r="BU41" i="13" s="1"/>
  <c r="BV41" i="13" s="1"/>
  <c r="BW41" i="13" s="1"/>
  <c r="BX41" i="13" s="1"/>
  <c r="BY41" i="13" s="1"/>
  <c r="BZ41" i="13" s="1"/>
  <c r="CA41" i="13" s="1"/>
  <c r="CB41" i="13" s="1"/>
  <c r="CC41" i="13" s="1"/>
  <c r="CD41" i="13" s="1"/>
  <c r="CE41" i="13" s="1"/>
  <c r="CF41" i="13" s="1"/>
  <c r="CG41" i="13" s="1"/>
  <c r="CH41" i="13" s="1"/>
  <c r="CI41" i="13" s="1"/>
  <c r="CJ41" i="13" s="1"/>
  <c r="CK41" i="13" s="1"/>
  <c r="CL41" i="13" s="1"/>
  <c r="CM41" i="13" s="1"/>
  <c r="CN41" i="13" s="1"/>
  <c r="CO41" i="13" s="1"/>
  <c r="CP41" i="13" s="1"/>
  <c r="CQ41" i="13" s="1"/>
  <c r="CR41" i="13" s="1"/>
  <c r="CS41" i="13" s="1"/>
  <c r="CT41" i="13" s="1"/>
  <c r="CU41" i="13" s="1"/>
  <c r="CV41" i="13" s="1"/>
  <c r="CW41" i="13" s="1"/>
  <c r="CX41" i="13" s="1"/>
  <c r="CY41" i="13" s="1"/>
  <c r="CZ41" i="13" s="1"/>
  <c r="DA41" i="13" s="1"/>
  <c r="DB41" i="13" s="1"/>
  <c r="DC41" i="13" s="1"/>
  <c r="DD41" i="13" s="1"/>
  <c r="DE41" i="13" s="1"/>
  <c r="DF41" i="13" s="1"/>
  <c r="DG41" i="13" s="1"/>
  <c r="DH41" i="13" s="1"/>
  <c r="DI41" i="13" s="1"/>
  <c r="B54" i="13"/>
  <c r="A54" i="13" s="1"/>
  <c r="S54" i="13" s="1"/>
  <c r="T54" i="13" s="1"/>
  <c r="U54" i="13" s="1"/>
  <c r="V54" i="13" s="1"/>
  <c r="W54" i="13" s="1"/>
  <c r="X54" i="13" s="1"/>
  <c r="Y54" i="13" s="1"/>
  <c r="Z54" i="13" s="1"/>
  <c r="AA54" i="13" s="1"/>
  <c r="AB54" i="13" s="1"/>
  <c r="AC54" i="13" s="1"/>
  <c r="AD54" i="13" s="1"/>
  <c r="AE54" i="13" s="1"/>
  <c r="AF54" i="13" s="1"/>
  <c r="AG54" i="13" s="1"/>
  <c r="AH54" i="13" s="1"/>
  <c r="AI54" i="13" s="1"/>
  <c r="AJ54" i="13" s="1"/>
  <c r="AK54" i="13" s="1"/>
  <c r="AL54" i="13" s="1"/>
  <c r="AM54" i="13" s="1"/>
  <c r="AN54" i="13" s="1"/>
  <c r="AO54" i="13" s="1"/>
  <c r="AP54" i="13" s="1"/>
  <c r="AQ54" i="13" s="1"/>
  <c r="AR54" i="13" s="1"/>
  <c r="AS54" i="13" s="1"/>
  <c r="AT54" i="13" s="1"/>
  <c r="AU54" i="13" s="1"/>
  <c r="AV54" i="13" s="1"/>
  <c r="AW54" i="13" s="1"/>
  <c r="AX54" i="13" s="1"/>
  <c r="AY54" i="13" s="1"/>
  <c r="AZ54" i="13" s="1"/>
  <c r="BA54" i="13" s="1"/>
  <c r="BB54" i="13" s="1"/>
  <c r="BC54" i="13" s="1"/>
  <c r="BD54" i="13" s="1"/>
  <c r="BE54" i="13" s="1"/>
  <c r="BF54" i="13" s="1"/>
  <c r="BG54" i="13" s="1"/>
  <c r="BH54" i="13" s="1"/>
  <c r="BI54" i="13" s="1"/>
  <c r="BJ54" i="13" s="1"/>
  <c r="BK54" i="13" s="1"/>
  <c r="BL54" i="13" s="1"/>
  <c r="BM54" i="13" s="1"/>
  <c r="BN54" i="13" s="1"/>
  <c r="BO54" i="13" s="1"/>
  <c r="BP54" i="13" s="1"/>
  <c r="BQ54" i="13" s="1"/>
  <c r="BR54" i="13" s="1"/>
  <c r="BS54" i="13" s="1"/>
  <c r="BT54" i="13" s="1"/>
  <c r="BU54" i="13" s="1"/>
  <c r="BV54" i="13" s="1"/>
  <c r="BW54" i="13" s="1"/>
  <c r="BX54" i="13" s="1"/>
  <c r="BY54" i="13" s="1"/>
  <c r="BZ54" i="13" s="1"/>
  <c r="CA54" i="13" s="1"/>
  <c r="CB54" i="13" s="1"/>
  <c r="CC54" i="13" s="1"/>
  <c r="CD54" i="13" s="1"/>
  <c r="CE54" i="13" s="1"/>
  <c r="CF54" i="13" s="1"/>
  <c r="CG54" i="13" s="1"/>
  <c r="CH54" i="13" s="1"/>
  <c r="CI54" i="13" s="1"/>
  <c r="CJ54" i="13" s="1"/>
  <c r="CK54" i="13" s="1"/>
  <c r="CL54" i="13" s="1"/>
  <c r="CM54" i="13" s="1"/>
  <c r="CN54" i="13" s="1"/>
  <c r="CO54" i="13" s="1"/>
  <c r="CP54" i="13" s="1"/>
  <c r="CQ54" i="13" s="1"/>
  <c r="CR54" i="13" s="1"/>
  <c r="CS54" i="13" s="1"/>
  <c r="CT54" i="13" s="1"/>
  <c r="CU54" i="13" s="1"/>
  <c r="CV54" i="13" s="1"/>
  <c r="CW54" i="13" s="1"/>
  <c r="CX54" i="13" s="1"/>
  <c r="CY54" i="13" s="1"/>
  <c r="CZ54" i="13" s="1"/>
  <c r="DA54" i="13" s="1"/>
  <c r="DB54" i="13" s="1"/>
  <c r="DC54" i="13" s="1"/>
  <c r="DD54" i="13" s="1"/>
  <c r="DE54" i="13" s="1"/>
  <c r="DF54" i="13" s="1"/>
  <c r="DG54" i="13" s="1"/>
  <c r="DH54" i="13" s="1"/>
  <c r="DI54" i="13" s="1"/>
  <c r="B118" i="13"/>
  <c r="A118" i="13" s="1"/>
  <c r="R118" i="13" s="1"/>
  <c r="S118" i="13" s="1"/>
  <c r="T118" i="13" s="1"/>
  <c r="U118" i="13" s="1"/>
  <c r="V118" i="13" s="1"/>
  <c r="W118" i="13" s="1"/>
  <c r="X118" i="13" s="1"/>
  <c r="Y118" i="13" s="1"/>
  <c r="Z118" i="13" s="1"/>
  <c r="AA118" i="13" s="1"/>
  <c r="AB118" i="13" s="1"/>
  <c r="AC118" i="13" s="1"/>
  <c r="AD118" i="13" s="1"/>
  <c r="AE118" i="13" s="1"/>
  <c r="AF118" i="13" s="1"/>
  <c r="AG118" i="13" s="1"/>
  <c r="AH118" i="13" s="1"/>
  <c r="AI118" i="13" s="1"/>
  <c r="AJ118" i="13" s="1"/>
  <c r="AK118" i="13" s="1"/>
  <c r="AL118" i="13" s="1"/>
  <c r="AM118" i="13" s="1"/>
  <c r="AN118" i="13" s="1"/>
  <c r="AO118" i="13" s="1"/>
  <c r="AP118" i="13" s="1"/>
  <c r="AQ118" i="13" s="1"/>
  <c r="AR118" i="13" s="1"/>
  <c r="AS118" i="13" s="1"/>
  <c r="AT118" i="13" s="1"/>
  <c r="AU118" i="13" s="1"/>
  <c r="AV118" i="13" s="1"/>
  <c r="AW118" i="13" s="1"/>
  <c r="AX118" i="13" s="1"/>
  <c r="AY118" i="13" s="1"/>
  <c r="AZ118" i="13" s="1"/>
  <c r="BA118" i="13" s="1"/>
  <c r="BB118" i="13" s="1"/>
  <c r="BC118" i="13" s="1"/>
  <c r="BD118" i="13" s="1"/>
  <c r="BE118" i="13" s="1"/>
  <c r="BF118" i="13" s="1"/>
  <c r="BG118" i="13" s="1"/>
  <c r="BH118" i="13" s="1"/>
  <c r="BI118" i="13" s="1"/>
  <c r="BJ118" i="13" s="1"/>
  <c r="BK118" i="13" s="1"/>
  <c r="BL118" i="13" s="1"/>
  <c r="BM118" i="13" s="1"/>
  <c r="BN118" i="13" s="1"/>
  <c r="BO118" i="13" s="1"/>
  <c r="BP118" i="13" s="1"/>
  <c r="BQ118" i="13" s="1"/>
  <c r="BR118" i="13" s="1"/>
  <c r="BS118" i="13" s="1"/>
  <c r="BT118" i="13" s="1"/>
  <c r="BU118" i="13" s="1"/>
  <c r="BV118" i="13" s="1"/>
  <c r="BW118" i="13" s="1"/>
  <c r="BX118" i="13" s="1"/>
  <c r="BY118" i="13" s="1"/>
  <c r="BZ118" i="13" s="1"/>
  <c r="CA118" i="13" s="1"/>
  <c r="CB118" i="13" s="1"/>
  <c r="CC118" i="13" s="1"/>
  <c r="CD118" i="13" s="1"/>
  <c r="CE118" i="13" s="1"/>
  <c r="CF118" i="13" s="1"/>
  <c r="CG118" i="13" s="1"/>
  <c r="CH118" i="13" s="1"/>
  <c r="CI118" i="13" s="1"/>
  <c r="CJ118" i="13" s="1"/>
  <c r="CK118" i="13" s="1"/>
  <c r="CL118" i="13" s="1"/>
  <c r="CM118" i="13" s="1"/>
  <c r="CN118" i="13" s="1"/>
  <c r="CO118" i="13" s="1"/>
  <c r="CP118" i="13" s="1"/>
  <c r="CQ118" i="13" s="1"/>
  <c r="CR118" i="13" s="1"/>
  <c r="CS118" i="13" s="1"/>
  <c r="CT118" i="13" s="1"/>
  <c r="CU118" i="13" s="1"/>
  <c r="CV118" i="13" s="1"/>
  <c r="CW118" i="13" s="1"/>
  <c r="CX118" i="13" s="1"/>
  <c r="CY118" i="13" s="1"/>
  <c r="CZ118" i="13" s="1"/>
  <c r="DA118" i="13" s="1"/>
  <c r="DB118" i="13" s="1"/>
  <c r="DC118" i="13" s="1"/>
  <c r="DD118" i="13" s="1"/>
  <c r="DE118" i="13" s="1"/>
  <c r="DF118" i="13" s="1"/>
  <c r="DG118" i="13" s="1"/>
  <c r="DH118" i="13" s="1"/>
  <c r="DI118" i="13" s="1"/>
  <c r="B117" i="13"/>
  <c r="A117" i="13" s="1"/>
  <c r="S117" i="13" s="1"/>
  <c r="T117" i="13" s="1"/>
  <c r="U117" i="13" s="1"/>
  <c r="V117" i="13" s="1"/>
  <c r="W117" i="13" s="1"/>
  <c r="X117" i="13" s="1"/>
  <c r="Y117" i="13" s="1"/>
  <c r="Z117" i="13" s="1"/>
  <c r="AA117" i="13" s="1"/>
  <c r="AB117" i="13" s="1"/>
  <c r="AC117" i="13" s="1"/>
  <c r="AD117" i="13" s="1"/>
  <c r="AE117" i="13" s="1"/>
  <c r="AF117" i="13" s="1"/>
  <c r="AG117" i="13" s="1"/>
  <c r="AH117" i="13" s="1"/>
  <c r="AI117" i="13" s="1"/>
  <c r="AJ117" i="13" s="1"/>
  <c r="AK117" i="13" s="1"/>
  <c r="AL117" i="13" s="1"/>
  <c r="AM117" i="13" s="1"/>
  <c r="AN117" i="13" s="1"/>
  <c r="AO117" i="13" s="1"/>
  <c r="AP117" i="13" s="1"/>
  <c r="AQ117" i="13" s="1"/>
  <c r="AR117" i="13" s="1"/>
  <c r="AS117" i="13" s="1"/>
  <c r="AT117" i="13" s="1"/>
  <c r="AU117" i="13" s="1"/>
  <c r="AV117" i="13" s="1"/>
  <c r="AW117" i="13" s="1"/>
  <c r="AX117" i="13" s="1"/>
  <c r="AY117" i="13" s="1"/>
  <c r="AZ117" i="13" s="1"/>
  <c r="BA117" i="13" s="1"/>
  <c r="BB117" i="13" s="1"/>
  <c r="BC117" i="13" s="1"/>
  <c r="BD117" i="13" s="1"/>
  <c r="BE117" i="13" s="1"/>
  <c r="BF117" i="13" s="1"/>
  <c r="BG117" i="13" s="1"/>
  <c r="BH117" i="13" s="1"/>
  <c r="BI117" i="13" s="1"/>
  <c r="BJ117" i="13" s="1"/>
  <c r="BK117" i="13" s="1"/>
  <c r="BL117" i="13" s="1"/>
  <c r="BM117" i="13" s="1"/>
  <c r="BN117" i="13" s="1"/>
  <c r="BO117" i="13" s="1"/>
  <c r="BP117" i="13" s="1"/>
  <c r="BQ117" i="13" s="1"/>
  <c r="BR117" i="13" s="1"/>
  <c r="BS117" i="13" s="1"/>
  <c r="BT117" i="13" s="1"/>
  <c r="BU117" i="13" s="1"/>
  <c r="BV117" i="13" s="1"/>
  <c r="BW117" i="13" s="1"/>
  <c r="BX117" i="13" s="1"/>
  <c r="BY117" i="13" s="1"/>
  <c r="BZ117" i="13" s="1"/>
  <c r="CA117" i="13" s="1"/>
  <c r="CB117" i="13" s="1"/>
  <c r="CC117" i="13" s="1"/>
  <c r="CD117" i="13" s="1"/>
  <c r="CE117" i="13" s="1"/>
  <c r="CF117" i="13" s="1"/>
  <c r="CG117" i="13" s="1"/>
  <c r="CH117" i="13" s="1"/>
  <c r="CI117" i="13" s="1"/>
  <c r="CJ117" i="13" s="1"/>
  <c r="CK117" i="13" s="1"/>
  <c r="CL117" i="13" s="1"/>
  <c r="CM117" i="13" s="1"/>
  <c r="CN117" i="13" s="1"/>
  <c r="CO117" i="13" s="1"/>
  <c r="CP117" i="13" s="1"/>
  <c r="CQ117" i="13" s="1"/>
  <c r="CR117" i="13" s="1"/>
  <c r="CS117" i="13" s="1"/>
  <c r="CT117" i="13" s="1"/>
  <c r="CU117" i="13" s="1"/>
  <c r="CV117" i="13" s="1"/>
  <c r="CW117" i="13" s="1"/>
  <c r="CX117" i="13" s="1"/>
  <c r="CY117" i="13" s="1"/>
  <c r="CZ117" i="13" s="1"/>
  <c r="DA117" i="13" s="1"/>
  <c r="DB117" i="13" s="1"/>
  <c r="DC117" i="13" s="1"/>
  <c r="DD117" i="13" s="1"/>
  <c r="DE117" i="13" s="1"/>
  <c r="DF117" i="13" s="1"/>
  <c r="DG117" i="13" s="1"/>
  <c r="DH117" i="13" s="1"/>
  <c r="DI117" i="13" s="1"/>
  <c r="B120" i="13"/>
  <c r="A120" i="13" s="1"/>
  <c r="S120" i="13" s="1"/>
  <c r="T120" i="13" s="1"/>
  <c r="U120" i="13" s="1"/>
  <c r="V120" i="13" s="1"/>
  <c r="W120" i="13" s="1"/>
  <c r="X120" i="13" s="1"/>
  <c r="Y120" i="13" s="1"/>
  <c r="Z120" i="13" s="1"/>
  <c r="AA120" i="13" s="1"/>
  <c r="AB120" i="13" s="1"/>
  <c r="AC120" i="13" s="1"/>
  <c r="AD120" i="13" s="1"/>
  <c r="AE120" i="13" s="1"/>
  <c r="AF120" i="13" s="1"/>
  <c r="AG120" i="13" s="1"/>
  <c r="AH120" i="13" s="1"/>
  <c r="AI120" i="13" s="1"/>
  <c r="AJ120" i="13" s="1"/>
  <c r="AK120" i="13" s="1"/>
  <c r="AL120" i="13" s="1"/>
  <c r="AM120" i="13" s="1"/>
  <c r="AN120" i="13" s="1"/>
  <c r="AO120" i="13" s="1"/>
  <c r="AP120" i="13" s="1"/>
  <c r="AQ120" i="13" s="1"/>
  <c r="AR120" i="13" s="1"/>
  <c r="AS120" i="13" s="1"/>
  <c r="AT120" i="13" s="1"/>
  <c r="AU120" i="13" s="1"/>
  <c r="AV120" i="13" s="1"/>
  <c r="AW120" i="13" s="1"/>
  <c r="AX120" i="13" s="1"/>
  <c r="AY120" i="13" s="1"/>
  <c r="AZ120" i="13" s="1"/>
  <c r="BA120" i="13" s="1"/>
  <c r="BB120" i="13" s="1"/>
  <c r="BC120" i="13" s="1"/>
  <c r="BD120" i="13" s="1"/>
  <c r="BE120" i="13" s="1"/>
  <c r="BF120" i="13" s="1"/>
  <c r="BG120" i="13" s="1"/>
  <c r="BH120" i="13" s="1"/>
  <c r="BI120" i="13" s="1"/>
  <c r="BJ120" i="13" s="1"/>
  <c r="BK120" i="13" s="1"/>
  <c r="BL120" i="13" s="1"/>
  <c r="BM120" i="13" s="1"/>
  <c r="BN120" i="13" s="1"/>
  <c r="BO120" i="13" s="1"/>
  <c r="BP120" i="13" s="1"/>
  <c r="BQ120" i="13" s="1"/>
  <c r="BR120" i="13" s="1"/>
  <c r="BS120" i="13" s="1"/>
  <c r="BT120" i="13" s="1"/>
  <c r="BU120" i="13" s="1"/>
  <c r="BV120" i="13" s="1"/>
  <c r="BW120" i="13" s="1"/>
  <c r="BX120" i="13" s="1"/>
  <c r="BY120" i="13" s="1"/>
  <c r="BZ120" i="13" s="1"/>
  <c r="CA120" i="13" s="1"/>
  <c r="CB120" i="13" s="1"/>
  <c r="CC120" i="13" s="1"/>
  <c r="CD120" i="13" s="1"/>
  <c r="CE120" i="13" s="1"/>
  <c r="CF120" i="13" s="1"/>
  <c r="CG120" i="13" s="1"/>
  <c r="CH120" i="13" s="1"/>
  <c r="CI120" i="13" s="1"/>
  <c r="CJ120" i="13" s="1"/>
  <c r="CK120" i="13" s="1"/>
  <c r="CL120" i="13" s="1"/>
  <c r="CM120" i="13" s="1"/>
  <c r="CN120" i="13" s="1"/>
  <c r="CO120" i="13" s="1"/>
  <c r="CP120" i="13" s="1"/>
  <c r="CQ120" i="13" s="1"/>
  <c r="CR120" i="13" s="1"/>
  <c r="CS120" i="13" s="1"/>
  <c r="CT120" i="13" s="1"/>
  <c r="CU120" i="13" s="1"/>
  <c r="CV120" i="13" s="1"/>
  <c r="CW120" i="13" s="1"/>
  <c r="CX120" i="13" s="1"/>
  <c r="CY120" i="13" s="1"/>
  <c r="CZ120" i="13" s="1"/>
  <c r="DA120" i="13" s="1"/>
  <c r="DB120" i="13" s="1"/>
  <c r="DC120" i="13" s="1"/>
  <c r="DD120" i="13" s="1"/>
  <c r="DE120" i="13" s="1"/>
  <c r="DF120" i="13" s="1"/>
  <c r="DG120" i="13" s="1"/>
  <c r="DH120" i="13" s="1"/>
  <c r="DI120" i="13" s="1"/>
  <c r="B121" i="13"/>
  <c r="A121" i="13" s="1"/>
  <c r="X121" i="13" s="1"/>
  <c r="Y121" i="13" s="1"/>
  <c r="Z121" i="13" s="1"/>
  <c r="AA121" i="13" s="1"/>
  <c r="AB121" i="13" s="1"/>
  <c r="AC121" i="13" s="1"/>
  <c r="AD121" i="13" s="1"/>
  <c r="AE121" i="13" s="1"/>
  <c r="AF121" i="13" s="1"/>
  <c r="AG121" i="13" s="1"/>
  <c r="AH121" i="13" s="1"/>
  <c r="AI121" i="13" s="1"/>
  <c r="AJ121" i="13" s="1"/>
  <c r="AK121" i="13" s="1"/>
  <c r="AL121" i="13" s="1"/>
  <c r="AM121" i="13" s="1"/>
  <c r="AN121" i="13" s="1"/>
  <c r="AO121" i="13" s="1"/>
  <c r="AP121" i="13" s="1"/>
  <c r="AQ121" i="13" s="1"/>
  <c r="AR121" i="13" s="1"/>
  <c r="AS121" i="13" s="1"/>
  <c r="AT121" i="13" s="1"/>
  <c r="AU121" i="13" s="1"/>
  <c r="AV121" i="13" s="1"/>
  <c r="AW121" i="13" s="1"/>
  <c r="AX121" i="13" s="1"/>
  <c r="AY121" i="13" s="1"/>
  <c r="AZ121" i="13" s="1"/>
  <c r="BA121" i="13" s="1"/>
  <c r="BB121" i="13" s="1"/>
  <c r="BC121" i="13" s="1"/>
  <c r="BD121" i="13" s="1"/>
  <c r="BE121" i="13" s="1"/>
  <c r="BF121" i="13" s="1"/>
  <c r="BG121" i="13" s="1"/>
  <c r="BH121" i="13" s="1"/>
  <c r="BI121" i="13" s="1"/>
  <c r="BJ121" i="13" s="1"/>
  <c r="BK121" i="13" s="1"/>
  <c r="BL121" i="13" s="1"/>
  <c r="BM121" i="13" s="1"/>
  <c r="BN121" i="13" s="1"/>
  <c r="BO121" i="13" s="1"/>
  <c r="BP121" i="13" s="1"/>
  <c r="BQ121" i="13" s="1"/>
  <c r="BR121" i="13" s="1"/>
  <c r="BS121" i="13" s="1"/>
  <c r="BT121" i="13" s="1"/>
  <c r="BU121" i="13" s="1"/>
  <c r="BV121" i="13" s="1"/>
  <c r="BW121" i="13" s="1"/>
  <c r="BX121" i="13" s="1"/>
  <c r="BY121" i="13" s="1"/>
  <c r="BZ121" i="13" s="1"/>
  <c r="CA121" i="13" s="1"/>
  <c r="CB121" i="13" s="1"/>
  <c r="CC121" i="13" s="1"/>
  <c r="CD121" i="13" s="1"/>
  <c r="CE121" i="13" s="1"/>
  <c r="CF121" i="13" s="1"/>
  <c r="CG121" i="13" s="1"/>
  <c r="CH121" i="13" s="1"/>
  <c r="CI121" i="13" s="1"/>
  <c r="CJ121" i="13" s="1"/>
  <c r="CK121" i="13" s="1"/>
  <c r="CL121" i="13" s="1"/>
  <c r="CM121" i="13" s="1"/>
  <c r="CN121" i="13" s="1"/>
  <c r="CO121" i="13" s="1"/>
  <c r="CP121" i="13" s="1"/>
  <c r="CQ121" i="13" s="1"/>
  <c r="CR121" i="13" s="1"/>
  <c r="CS121" i="13" s="1"/>
  <c r="CT121" i="13" s="1"/>
  <c r="CU121" i="13" s="1"/>
  <c r="CV121" i="13" s="1"/>
  <c r="CW121" i="13" s="1"/>
  <c r="CX121" i="13" s="1"/>
  <c r="CY121" i="13" s="1"/>
  <c r="CZ121" i="13" s="1"/>
  <c r="DA121" i="13" s="1"/>
  <c r="DB121" i="13" s="1"/>
  <c r="DC121" i="13" s="1"/>
  <c r="DD121" i="13" s="1"/>
  <c r="DE121" i="13" s="1"/>
  <c r="DF121" i="13" s="1"/>
  <c r="DG121" i="13" s="1"/>
  <c r="DH121" i="13" s="1"/>
  <c r="DI121" i="13" s="1"/>
  <c r="B103" i="13"/>
  <c r="A103" i="13" s="1"/>
  <c r="S103" i="13" s="1"/>
  <c r="T103" i="13" s="1"/>
  <c r="U103" i="13" s="1"/>
  <c r="V103" i="13" s="1"/>
  <c r="W103" i="13" s="1"/>
  <c r="X103" i="13" s="1"/>
  <c r="Y103" i="13" s="1"/>
  <c r="Z103" i="13" s="1"/>
  <c r="AA103" i="13" s="1"/>
  <c r="AB103" i="13" s="1"/>
  <c r="AC103" i="13" s="1"/>
  <c r="AD103" i="13" s="1"/>
  <c r="AE103" i="13" s="1"/>
  <c r="AF103" i="13" s="1"/>
  <c r="AG103" i="13" s="1"/>
  <c r="AH103" i="13" s="1"/>
  <c r="AI103" i="13" s="1"/>
  <c r="AJ103" i="13" s="1"/>
  <c r="AK103" i="13" s="1"/>
  <c r="AL103" i="13" s="1"/>
  <c r="AM103" i="13" s="1"/>
  <c r="AN103" i="13" s="1"/>
  <c r="AO103" i="13" s="1"/>
  <c r="AP103" i="13" s="1"/>
  <c r="AQ103" i="13" s="1"/>
  <c r="AR103" i="13" s="1"/>
  <c r="AS103" i="13" s="1"/>
  <c r="AT103" i="13" s="1"/>
  <c r="AU103" i="13" s="1"/>
  <c r="AV103" i="13" s="1"/>
  <c r="AW103" i="13" s="1"/>
  <c r="AX103" i="13" s="1"/>
  <c r="AY103" i="13" s="1"/>
  <c r="AZ103" i="13" s="1"/>
  <c r="BA103" i="13" s="1"/>
  <c r="BB103" i="13" s="1"/>
  <c r="BC103" i="13" s="1"/>
  <c r="BD103" i="13" s="1"/>
  <c r="BE103" i="13" s="1"/>
  <c r="BF103" i="13" s="1"/>
  <c r="BG103" i="13" s="1"/>
  <c r="BH103" i="13" s="1"/>
  <c r="BI103" i="13" s="1"/>
  <c r="BJ103" i="13" s="1"/>
  <c r="BK103" i="13" s="1"/>
  <c r="BL103" i="13" s="1"/>
  <c r="BM103" i="13" s="1"/>
  <c r="BN103" i="13" s="1"/>
  <c r="BO103" i="13" s="1"/>
  <c r="BP103" i="13" s="1"/>
  <c r="BQ103" i="13" s="1"/>
  <c r="BR103" i="13" s="1"/>
  <c r="BS103" i="13" s="1"/>
  <c r="BT103" i="13" s="1"/>
  <c r="BU103" i="13" s="1"/>
  <c r="BV103" i="13" s="1"/>
  <c r="BW103" i="13" s="1"/>
  <c r="BX103" i="13" s="1"/>
  <c r="BY103" i="13" s="1"/>
  <c r="BZ103" i="13" s="1"/>
  <c r="CA103" i="13" s="1"/>
  <c r="CB103" i="13" s="1"/>
  <c r="CC103" i="13" s="1"/>
  <c r="CD103" i="13" s="1"/>
  <c r="CE103" i="13" s="1"/>
  <c r="CF103" i="13" s="1"/>
  <c r="CG103" i="13" s="1"/>
  <c r="CH103" i="13" s="1"/>
  <c r="CI103" i="13" s="1"/>
  <c r="CJ103" i="13" s="1"/>
  <c r="CK103" i="13" s="1"/>
  <c r="CL103" i="13" s="1"/>
  <c r="CM103" i="13" s="1"/>
  <c r="CN103" i="13" s="1"/>
  <c r="CO103" i="13" s="1"/>
  <c r="CP103" i="13" s="1"/>
  <c r="CQ103" i="13" s="1"/>
  <c r="CR103" i="13" s="1"/>
  <c r="CS103" i="13" s="1"/>
  <c r="CT103" i="13" s="1"/>
  <c r="CU103" i="13" s="1"/>
  <c r="CV103" i="13" s="1"/>
  <c r="CW103" i="13" s="1"/>
  <c r="CX103" i="13" s="1"/>
  <c r="CY103" i="13" s="1"/>
  <c r="CZ103" i="13" s="1"/>
  <c r="DA103" i="13" s="1"/>
  <c r="DB103" i="13" s="1"/>
  <c r="DC103" i="13" s="1"/>
  <c r="DD103" i="13" s="1"/>
  <c r="DE103" i="13" s="1"/>
  <c r="DF103" i="13" s="1"/>
  <c r="DG103" i="13" s="1"/>
  <c r="DH103" i="13" s="1"/>
  <c r="DI103" i="13" s="1"/>
  <c r="B125" i="13"/>
  <c r="A125" i="13" s="1"/>
  <c r="T125" i="13" s="1"/>
  <c r="U125" i="13" s="1"/>
  <c r="V125" i="13" s="1"/>
  <c r="W125" i="13" s="1"/>
  <c r="X125" i="13" s="1"/>
  <c r="Y125" i="13" s="1"/>
  <c r="Z125" i="13" s="1"/>
  <c r="AA125" i="13" s="1"/>
  <c r="AB125" i="13" s="1"/>
  <c r="AC125" i="13" s="1"/>
  <c r="AD125" i="13" s="1"/>
  <c r="AE125" i="13" s="1"/>
  <c r="AF125" i="13" s="1"/>
  <c r="AG125" i="13" s="1"/>
  <c r="AH125" i="13" s="1"/>
  <c r="AI125" i="13" s="1"/>
  <c r="AJ125" i="13" s="1"/>
  <c r="AK125" i="13" s="1"/>
  <c r="AL125" i="13" s="1"/>
  <c r="AM125" i="13" s="1"/>
  <c r="AN125" i="13" s="1"/>
  <c r="AO125" i="13" s="1"/>
  <c r="AP125" i="13" s="1"/>
  <c r="AQ125" i="13" s="1"/>
  <c r="AR125" i="13" s="1"/>
  <c r="AS125" i="13" s="1"/>
  <c r="AT125" i="13" s="1"/>
  <c r="AU125" i="13" s="1"/>
  <c r="AV125" i="13" s="1"/>
  <c r="AW125" i="13" s="1"/>
  <c r="AX125" i="13" s="1"/>
  <c r="AY125" i="13" s="1"/>
  <c r="AZ125" i="13" s="1"/>
  <c r="BA125" i="13" s="1"/>
  <c r="BB125" i="13" s="1"/>
  <c r="BC125" i="13" s="1"/>
  <c r="BD125" i="13" s="1"/>
  <c r="BE125" i="13" s="1"/>
  <c r="BF125" i="13" s="1"/>
  <c r="BG125" i="13" s="1"/>
  <c r="BH125" i="13" s="1"/>
  <c r="BI125" i="13" s="1"/>
  <c r="BJ125" i="13" s="1"/>
  <c r="BK125" i="13" s="1"/>
  <c r="BL125" i="13" s="1"/>
  <c r="BM125" i="13" s="1"/>
  <c r="BN125" i="13" s="1"/>
  <c r="BO125" i="13" s="1"/>
  <c r="BP125" i="13" s="1"/>
  <c r="BQ125" i="13" s="1"/>
  <c r="BR125" i="13" s="1"/>
  <c r="BS125" i="13" s="1"/>
  <c r="BT125" i="13" s="1"/>
  <c r="BU125" i="13" s="1"/>
  <c r="BV125" i="13" s="1"/>
  <c r="BW125" i="13" s="1"/>
  <c r="BX125" i="13" s="1"/>
  <c r="BY125" i="13" s="1"/>
  <c r="BZ125" i="13" s="1"/>
  <c r="CA125" i="13" s="1"/>
  <c r="CB125" i="13" s="1"/>
  <c r="CC125" i="13" s="1"/>
  <c r="CD125" i="13" s="1"/>
  <c r="CE125" i="13" s="1"/>
  <c r="CF125" i="13" s="1"/>
  <c r="CG125" i="13" s="1"/>
  <c r="CH125" i="13" s="1"/>
  <c r="CI125" i="13" s="1"/>
  <c r="CJ125" i="13" s="1"/>
  <c r="CK125" i="13" s="1"/>
  <c r="CL125" i="13" s="1"/>
  <c r="CM125" i="13" s="1"/>
  <c r="CN125" i="13" s="1"/>
  <c r="CO125" i="13" s="1"/>
  <c r="CP125" i="13" s="1"/>
  <c r="CQ125" i="13" s="1"/>
  <c r="CR125" i="13" s="1"/>
  <c r="CS125" i="13" s="1"/>
  <c r="CT125" i="13" s="1"/>
  <c r="CU125" i="13" s="1"/>
  <c r="CV125" i="13" s="1"/>
  <c r="CW125" i="13" s="1"/>
  <c r="CX125" i="13" s="1"/>
  <c r="CY125" i="13" s="1"/>
  <c r="CZ125" i="13" s="1"/>
  <c r="DA125" i="13" s="1"/>
  <c r="DB125" i="13" s="1"/>
  <c r="DC125" i="13" s="1"/>
  <c r="DD125" i="13" s="1"/>
  <c r="DE125" i="13" s="1"/>
  <c r="DF125" i="13" s="1"/>
  <c r="DG125" i="13" s="1"/>
  <c r="DH125" i="13" s="1"/>
  <c r="DI125" i="13" s="1"/>
  <c r="B35" i="13"/>
  <c r="A35" i="13" s="1"/>
  <c r="B127" i="13"/>
  <c r="A127" i="13" s="1"/>
  <c r="X127" i="13" s="1"/>
  <c r="Y127" i="13" s="1"/>
  <c r="Z127" i="13" s="1"/>
  <c r="AA127" i="13" s="1"/>
  <c r="AB127" i="13" s="1"/>
  <c r="AC127" i="13" s="1"/>
  <c r="AD127" i="13" s="1"/>
  <c r="AE127" i="13" s="1"/>
  <c r="AF127" i="13" s="1"/>
  <c r="AG127" i="13" s="1"/>
  <c r="AH127" i="13" s="1"/>
  <c r="AI127" i="13" s="1"/>
  <c r="AJ127" i="13" s="1"/>
  <c r="AK127" i="13" s="1"/>
  <c r="AL127" i="13" s="1"/>
  <c r="AM127" i="13" s="1"/>
  <c r="AN127" i="13" s="1"/>
  <c r="AO127" i="13" s="1"/>
  <c r="AP127" i="13" s="1"/>
  <c r="AQ127" i="13" s="1"/>
  <c r="AR127" i="13" s="1"/>
  <c r="AS127" i="13" s="1"/>
  <c r="AT127" i="13" s="1"/>
  <c r="AU127" i="13" s="1"/>
  <c r="AV127" i="13" s="1"/>
  <c r="AW127" i="13" s="1"/>
  <c r="AX127" i="13" s="1"/>
  <c r="AY127" i="13" s="1"/>
  <c r="AZ127" i="13" s="1"/>
  <c r="BA127" i="13" s="1"/>
  <c r="BB127" i="13" s="1"/>
  <c r="BC127" i="13" s="1"/>
  <c r="BD127" i="13" s="1"/>
  <c r="BE127" i="13" s="1"/>
  <c r="BF127" i="13" s="1"/>
  <c r="BG127" i="13" s="1"/>
  <c r="BH127" i="13" s="1"/>
  <c r="BI127" i="13" s="1"/>
  <c r="BJ127" i="13" s="1"/>
  <c r="BK127" i="13" s="1"/>
  <c r="BL127" i="13" s="1"/>
  <c r="BM127" i="13" s="1"/>
  <c r="BN127" i="13" s="1"/>
  <c r="BO127" i="13" s="1"/>
  <c r="BP127" i="13" s="1"/>
  <c r="BQ127" i="13" s="1"/>
  <c r="BR127" i="13" s="1"/>
  <c r="BS127" i="13" s="1"/>
  <c r="BT127" i="13" s="1"/>
  <c r="BU127" i="13" s="1"/>
  <c r="BV127" i="13" s="1"/>
  <c r="BW127" i="13" s="1"/>
  <c r="BX127" i="13" s="1"/>
  <c r="BY127" i="13" s="1"/>
  <c r="BZ127" i="13" s="1"/>
  <c r="CA127" i="13" s="1"/>
  <c r="CB127" i="13" s="1"/>
  <c r="CC127" i="13" s="1"/>
  <c r="CD127" i="13" s="1"/>
  <c r="CE127" i="13" s="1"/>
  <c r="CF127" i="13" s="1"/>
  <c r="CG127" i="13" s="1"/>
  <c r="CH127" i="13" s="1"/>
  <c r="CI127" i="13" s="1"/>
  <c r="CJ127" i="13" s="1"/>
  <c r="CK127" i="13" s="1"/>
  <c r="CL127" i="13" s="1"/>
  <c r="CM127" i="13" s="1"/>
  <c r="CN127" i="13" s="1"/>
  <c r="CO127" i="13" s="1"/>
  <c r="CP127" i="13" s="1"/>
  <c r="CQ127" i="13" s="1"/>
  <c r="CR127" i="13" s="1"/>
  <c r="CS127" i="13" s="1"/>
  <c r="CT127" i="13" s="1"/>
  <c r="CU127" i="13" s="1"/>
  <c r="CV127" i="13" s="1"/>
  <c r="CW127" i="13" s="1"/>
  <c r="CX127" i="13" s="1"/>
  <c r="CY127" i="13" s="1"/>
  <c r="CZ127" i="13" s="1"/>
  <c r="DA127" i="13" s="1"/>
  <c r="DB127" i="13" s="1"/>
  <c r="DC127" i="13" s="1"/>
  <c r="DD127" i="13" s="1"/>
  <c r="DE127" i="13" s="1"/>
  <c r="DF127" i="13" s="1"/>
  <c r="DG127" i="13" s="1"/>
  <c r="DH127" i="13" s="1"/>
  <c r="DI127" i="13" s="1"/>
  <c r="B7" i="13"/>
  <c r="A7" i="13" s="1"/>
  <c r="B9" i="13"/>
  <c r="A9" i="13" s="1"/>
  <c r="B109" i="13"/>
  <c r="A109" i="13" s="1"/>
  <c r="AA109" i="13" s="1"/>
  <c r="AB109" i="13" s="1"/>
  <c r="AC109" i="13" s="1"/>
  <c r="AD109" i="13" s="1"/>
  <c r="AE109" i="13" s="1"/>
  <c r="AF109" i="13" s="1"/>
  <c r="AG109" i="13" s="1"/>
  <c r="AH109" i="13" s="1"/>
  <c r="AI109" i="13" s="1"/>
  <c r="AJ109" i="13" s="1"/>
  <c r="AK109" i="13" s="1"/>
  <c r="AL109" i="13" s="1"/>
  <c r="AM109" i="13" s="1"/>
  <c r="AN109" i="13" s="1"/>
  <c r="AO109" i="13" s="1"/>
  <c r="AP109" i="13" s="1"/>
  <c r="AQ109" i="13" s="1"/>
  <c r="AR109" i="13" s="1"/>
  <c r="AS109" i="13" s="1"/>
  <c r="AT109" i="13" s="1"/>
  <c r="AU109" i="13" s="1"/>
  <c r="AV109" i="13" s="1"/>
  <c r="AW109" i="13" s="1"/>
  <c r="AX109" i="13" s="1"/>
  <c r="AY109" i="13" s="1"/>
  <c r="AZ109" i="13" s="1"/>
  <c r="BA109" i="13" s="1"/>
  <c r="BB109" i="13" s="1"/>
  <c r="BC109" i="13" s="1"/>
  <c r="BD109" i="13" s="1"/>
  <c r="BE109" i="13" s="1"/>
  <c r="BF109" i="13" s="1"/>
  <c r="BG109" i="13" s="1"/>
  <c r="BH109" i="13" s="1"/>
  <c r="BI109" i="13" s="1"/>
  <c r="BJ109" i="13" s="1"/>
  <c r="BK109" i="13" s="1"/>
  <c r="BL109" i="13" s="1"/>
  <c r="BM109" i="13" s="1"/>
  <c r="BN109" i="13" s="1"/>
  <c r="BO109" i="13" s="1"/>
  <c r="BP109" i="13" s="1"/>
  <c r="BQ109" i="13" s="1"/>
  <c r="BR109" i="13" s="1"/>
  <c r="BS109" i="13" s="1"/>
  <c r="BT109" i="13" s="1"/>
  <c r="BU109" i="13" s="1"/>
  <c r="BV109" i="13" s="1"/>
  <c r="BW109" i="13" s="1"/>
  <c r="BX109" i="13" s="1"/>
  <c r="BY109" i="13" s="1"/>
  <c r="BZ109" i="13" s="1"/>
  <c r="CA109" i="13" s="1"/>
  <c r="CB109" i="13" s="1"/>
  <c r="CC109" i="13" s="1"/>
  <c r="CD109" i="13" s="1"/>
  <c r="CE109" i="13" s="1"/>
  <c r="CF109" i="13" s="1"/>
  <c r="CG109" i="13" s="1"/>
  <c r="CH109" i="13" s="1"/>
  <c r="CI109" i="13" s="1"/>
  <c r="CJ109" i="13" s="1"/>
  <c r="CK109" i="13" s="1"/>
  <c r="CL109" i="13" s="1"/>
  <c r="CM109" i="13" s="1"/>
  <c r="CN109" i="13" s="1"/>
  <c r="CO109" i="13" s="1"/>
  <c r="CP109" i="13" s="1"/>
  <c r="CQ109" i="13" s="1"/>
  <c r="CR109" i="13" s="1"/>
  <c r="CS109" i="13" s="1"/>
  <c r="CT109" i="13" s="1"/>
  <c r="CU109" i="13" s="1"/>
  <c r="CV109" i="13" s="1"/>
  <c r="CW109" i="13" s="1"/>
  <c r="CX109" i="13" s="1"/>
  <c r="CY109" i="13" s="1"/>
  <c r="CZ109" i="13" s="1"/>
  <c r="DA109" i="13" s="1"/>
  <c r="DB109" i="13" s="1"/>
  <c r="DC109" i="13" s="1"/>
  <c r="DD109" i="13" s="1"/>
  <c r="DE109" i="13" s="1"/>
  <c r="DF109" i="13" s="1"/>
  <c r="DG109" i="13" s="1"/>
  <c r="DH109" i="13" s="1"/>
  <c r="DI109" i="13" s="1"/>
  <c r="B4" i="13"/>
  <c r="A4" i="13" s="1"/>
  <c r="B8" i="13"/>
  <c r="A8" i="13" s="1"/>
  <c r="B19" i="13"/>
  <c r="A19" i="13" s="1"/>
  <c r="B23" i="13"/>
  <c r="A23" i="13" s="1"/>
  <c r="B25" i="13"/>
  <c r="A25" i="13" s="1"/>
  <c r="B30" i="13"/>
  <c r="A30" i="13" s="1"/>
  <c r="B67" i="13"/>
  <c r="A67" i="13" s="1"/>
  <c r="X67" i="13" s="1"/>
  <c r="Y67" i="13" s="1"/>
  <c r="Z67" i="13" s="1"/>
  <c r="AA67" i="13" s="1"/>
  <c r="AB67" i="13" s="1"/>
  <c r="AC67" i="13" s="1"/>
  <c r="AD67" i="13" s="1"/>
  <c r="AE67" i="13" s="1"/>
  <c r="AF67" i="13" s="1"/>
  <c r="AG67" i="13" s="1"/>
  <c r="AH67" i="13" s="1"/>
  <c r="AI67" i="13" s="1"/>
  <c r="AJ67" i="13" s="1"/>
  <c r="AK67" i="13" s="1"/>
  <c r="AL67" i="13" s="1"/>
  <c r="AM67" i="13" s="1"/>
  <c r="AN67" i="13" s="1"/>
  <c r="AO67" i="13" s="1"/>
  <c r="AP67" i="13" s="1"/>
  <c r="AQ67" i="13" s="1"/>
  <c r="AR67" i="13" s="1"/>
  <c r="AS67" i="13" s="1"/>
  <c r="AT67" i="13" s="1"/>
  <c r="AU67" i="13" s="1"/>
  <c r="AV67" i="13" s="1"/>
  <c r="AW67" i="13" s="1"/>
  <c r="AX67" i="13" s="1"/>
  <c r="AY67" i="13" s="1"/>
  <c r="AZ67" i="13" s="1"/>
  <c r="BA67" i="13" s="1"/>
  <c r="BB67" i="13" s="1"/>
  <c r="BC67" i="13" s="1"/>
  <c r="BD67" i="13" s="1"/>
  <c r="BE67" i="13" s="1"/>
  <c r="BF67" i="13" s="1"/>
  <c r="BG67" i="13" s="1"/>
  <c r="BH67" i="13" s="1"/>
  <c r="BI67" i="13" s="1"/>
  <c r="BJ67" i="13" s="1"/>
  <c r="BK67" i="13" s="1"/>
  <c r="BL67" i="13" s="1"/>
  <c r="BM67" i="13" s="1"/>
  <c r="BN67" i="13" s="1"/>
  <c r="BO67" i="13" s="1"/>
  <c r="BP67" i="13" s="1"/>
  <c r="BQ67" i="13" s="1"/>
  <c r="BR67" i="13" s="1"/>
  <c r="BS67" i="13" s="1"/>
  <c r="BT67" i="13" s="1"/>
  <c r="BU67" i="13" s="1"/>
  <c r="BV67" i="13" s="1"/>
  <c r="BW67" i="13" s="1"/>
  <c r="BX67" i="13" s="1"/>
  <c r="BY67" i="13" s="1"/>
  <c r="BZ67" i="13" s="1"/>
  <c r="CA67" i="13" s="1"/>
  <c r="CB67" i="13" s="1"/>
  <c r="CC67" i="13" s="1"/>
  <c r="CD67" i="13" s="1"/>
  <c r="CE67" i="13" s="1"/>
  <c r="CF67" i="13" s="1"/>
  <c r="CG67" i="13" s="1"/>
  <c r="CH67" i="13" s="1"/>
  <c r="CI67" i="13" s="1"/>
  <c r="CJ67" i="13" s="1"/>
  <c r="CK67" i="13" s="1"/>
  <c r="CL67" i="13" s="1"/>
  <c r="CM67" i="13" s="1"/>
  <c r="CN67" i="13" s="1"/>
  <c r="CO67" i="13" s="1"/>
  <c r="CP67" i="13" s="1"/>
  <c r="CQ67" i="13" s="1"/>
  <c r="CR67" i="13" s="1"/>
  <c r="CS67" i="13" s="1"/>
  <c r="CT67" i="13" s="1"/>
  <c r="CU67" i="13" s="1"/>
  <c r="CV67" i="13" s="1"/>
  <c r="CW67" i="13" s="1"/>
  <c r="CX67" i="13" s="1"/>
  <c r="CY67" i="13" s="1"/>
  <c r="CZ67" i="13" s="1"/>
  <c r="DA67" i="13" s="1"/>
  <c r="DB67" i="13" s="1"/>
  <c r="DC67" i="13" s="1"/>
  <c r="DD67" i="13" s="1"/>
  <c r="DE67" i="13" s="1"/>
  <c r="DF67" i="13" s="1"/>
  <c r="DG67" i="13" s="1"/>
  <c r="DH67" i="13" s="1"/>
  <c r="DI67" i="13" s="1"/>
  <c r="B21" i="13"/>
  <c r="A21" i="13" s="1"/>
  <c r="B86" i="13"/>
  <c r="A86" i="13" s="1"/>
  <c r="Y86" i="13" s="1"/>
  <c r="Z86" i="13" s="1"/>
  <c r="AA86" i="13" s="1"/>
  <c r="AB86" i="13" s="1"/>
  <c r="AC86" i="13" s="1"/>
  <c r="AD86" i="13" s="1"/>
  <c r="AE86" i="13" s="1"/>
  <c r="AF86" i="13" s="1"/>
  <c r="AG86" i="13" s="1"/>
  <c r="AH86" i="13" s="1"/>
  <c r="AI86" i="13" s="1"/>
  <c r="AJ86" i="13" s="1"/>
  <c r="AK86" i="13" s="1"/>
  <c r="AL86" i="13" s="1"/>
  <c r="AM86" i="13" s="1"/>
  <c r="AN86" i="13" s="1"/>
  <c r="AO86" i="13" s="1"/>
  <c r="AP86" i="13" s="1"/>
  <c r="AQ86" i="13" s="1"/>
  <c r="AR86" i="13" s="1"/>
  <c r="AS86" i="13" s="1"/>
  <c r="AT86" i="13" s="1"/>
  <c r="AU86" i="13" s="1"/>
  <c r="AV86" i="13" s="1"/>
  <c r="AW86" i="13" s="1"/>
  <c r="AX86" i="13" s="1"/>
  <c r="AY86" i="13" s="1"/>
  <c r="AZ86" i="13" s="1"/>
  <c r="BA86" i="13" s="1"/>
  <c r="BB86" i="13" s="1"/>
  <c r="BC86" i="13" s="1"/>
  <c r="BD86" i="13" s="1"/>
  <c r="BE86" i="13" s="1"/>
  <c r="BF86" i="13" s="1"/>
  <c r="BG86" i="13" s="1"/>
  <c r="BH86" i="13" s="1"/>
  <c r="BI86" i="13" s="1"/>
  <c r="BJ86" i="13" s="1"/>
  <c r="BK86" i="13" s="1"/>
  <c r="BL86" i="13" s="1"/>
  <c r="BM86" i="13" s="1"/>
  <c r="BN86" i="13" s="1"/>
  <c r="BO86" i="13" s="1"/>
  <c r="BP86" i="13" s="1"/>
  <c r="BQ86" i="13" s="1"/>
  <c r="BR86" i="13" s="1"/>
  <c r="BS86" i="13" s="1"/>
  <c r="BT86" i="13" s="1"/>
  <c r="BU86" i="13" s="1"/>
  <c r="BV86" i="13" s="1"/>
  <c r="BW86" i="13" s="1"/>
  <c r="BX86" i="13" s="1"/>
  <c r="BY86" i="13" s="1"/>
  <c r="BZ86" i="13" s="1"/>
  <c r="CA86" i="13" s="1"/>
  <c r="CB86" i="13" s="1"/>
  <c r="CC86" i="13" s="1"/>
  <c r="CD86" i="13" s="1"/>
  <c r="CE86" i="13" s="1"/>
  <c r="CF86" i="13" s="1"/>
  <c r="CG86" i="13" s="1"/>
  <c r="CH86" i="13" s="1"/>
  <c r="CI86" i="13" s="1"/>
  <c r="CJ86" i="13" s="1"/>
  <c r="CK86" i="13" s="1"/>
  <c r="CL86" i="13" s="1"/>
  <c r="CM86" i="13" s="1"/>
  <c r="CN86" i="13" s="1"/>
  <c r="CO86" i="13" s="1"/>
  <c r="CP86" i="13" s="1"/>
  <c r="CQ86" i="13" s="1"/>
  <c r="CR86" i="13" s="1"/>
  <c r="CS86" i="13" s="1"/>
  <c r="CT86" i="13" s="1"/>
  <c r="CU86" i="13" s="1"/>
  <c r="CV86" i="13" s="1"/>
  <c r="CW86" i="13" s="1"/>
  <c r="CX86" i="13" s="1"/>
  <c r="CY86" i="13" s="1"/>
  <c r="CZ86" i="13" s="1"/>
  <c r="DA86" i="13" s="1"/>
  <c r="DB86" i="13" s="1"/>
  <c r="DC86" i="13" s="1"/>
  <c r="DD86" i="13" s="1"/>
  <c r="DE86" i="13" s="1"/>
  <c r="DF86" i="13" s="1"/>
  <c r="DG86" i="13" s="1"/>
  <c r="DH86" i="13" s="1"/>
  <c r="DI86" i="13" s="1"/>
  <c r="B33" i="13"/>
  <c r="A33" i="13" s="1"/>
  <c r="B63" i="13"/>
  <c r="A63" i="13" s="1"/>
  <c r="Z63" i="13" s="1"/>
  <c r="AA63" i="13" s="1"/>
  <c r="AB63" i="13" s="1"/>
  <c r="AC63" i="13" s="1"/>
  <c r="AD63" i="13" s="1"/>
  <c r="AE63" i="13" s="1"/>
  <c r="AF63" i="13" s="1"/>
  <c r="AG63" i="13" s="1"/>
  <c r="AH63" i="13" s="1"/>
  <c r="AI63" i="13" s="1"/>
  <c r="AJ63" i="13" s="1"/>
  <c r="AK63" i="13" s="1"/>
  <c r="AL63" i="13" s="1"/>
  <c r="AM63" i="13" s="1"/>
  <c r="AN63" i="13" s="1"/>
  <c r="AO63" i="13" s="1"/>
  <c r="AP63" i="13" s="1"/>
  <c r="AQ63" i="13" s="1"/>
  <c r="AR63" i="13" s="1"/>
  <c r="AS63" i="13" s="1"/>
  <c r="AT63" i="13" s="1"/>
  <c r="AU63" i="13" s="1"/>
  <c r="AV63" i="13" s="1"/>
  <c r="AW63" i="13" s="1"/>
  <c r="AX63" i="13" s="1"/>
  <c r="AY63" i="13" s="1"/>
  <c r="AZ63" i="13" s="1"/>
  <c r="BA63" i="13" s="1"/>
  <c r="BB63" i="13" s="1"/>
  <c r="BC63" i="13" s="1"/>
  <c r="BD63" i="13" s="1"/>
  <c r="BE63" i="13" s="1"/>
  <c r="BF63" i="13" s="1"/>
  <c r="BG63" i="13" s="1"/>
  <c r="BH63" i="13" s="1"/>
  <c r="BI63" i="13" s="1"/>
  <c r="BJ63" i="13" s="1"/>
  <c r="BK63" i="13" s="1"/>
  <c r="BL63" i="13" s="1"/>
  <c r="BM63" i="13" s="1"/>
  <c r="BN63" i="13" s="1"/>
  <c r="BO63" i="13" s="1"/>
  <c r="BP63" i="13" s="1"/>
  <c r="BQ63" i="13" s="1"/>
  <c r="BR63" i="13" s="1"/>
  <c r="BS63" i="13" s="1"/>
  <c r="BT63" i="13" s="1"/>
  <c r="BU63" i="13" s="1"/>
  <c r="BV63" i="13" s="1"/>
  <c r="BW63" i="13" s="1"/>
  <c r="BX63" i="13" s="1"/>
  <c r="BY63" i="13" s="1"/>
  <c r="BZ63" i="13" s="1"/>
  <c r="CA63" i="13" s="1"/>
  <c r="CB63" i="13" s="1"/>
  <c r="CC63" i="13" s="1"/>
  <c r="CD63" i="13" s="1"/>
  <c r="CE63" i="13" s="1"/>
  <c r="CF63" i="13" s="1"/>
  <c r="CG63" i="13" s="1"/>
  <c r="CH63" i="13" s="1"/>
  <c r="CI63" i="13" s="1"/>
  <c r="CJ63" i="13" s="1"/>
  <c r="CK63" i="13" s="1"/>
  <c r="CL63" i="13" s="1"/>
  <c r="CM63" i="13" s="1"/>
  <c r="CN63" i="13" s="1"/>
  <c r="CO63" i="13" s="1"/>
  <c r="CP63" i="13" s="1"/>
  <c r="CQ63" i="13" s="1"/>
  <c r="CR63" i="13" s="1"/>
  <c r="CS63" i="13" s="1"/>
  <c r="CT63" i="13" s="1"/>
  <c r="CU63" i="13" s="1"/>
  <c r="CV63" i="13" s="1"/>
  <c r="CW63" i="13" s="1"/>
  <c r="CX63" i="13" s="1"/>
  <c r="CY63" i="13" s="1"/>
  <c r="CZ63" i="13" s="1"/>
  <c r="DA63" i="13" s="1"/>
  <c r="DB63" i="13" s="1"/>
  <c r="DC63" i="13" s="1"/>
  <c r="DD63" i="13" s="1"/>
  <c r="DE63" i="13" s="1"/>
  <c r="DF63" i="13" s="1"/>
  <c r="DG63" i="13" s="1"/>
  <c r="DH63" i="13" s="1"/>
  <c r="DI63" i="13" s="1"/>
  <c r="B82" i="13"/>
  <c r="A82" i="13" s="1"/>
  <c r="Z82" i="13" s="1"/>
  <c r="AA82" i="13" s="1"/>
  <c r="AB82" i="13" s="1"/>
  <c r="AC82" i="13" s="1"/>
  <c r="AD82" i="13" s="1"/>
  <c r="AE82" i="13" s="1"/>
  <c r="AF82" i="13" s="1"/>
  <c r="AG82" i="13" s="1"/>
  <c r="AH82" i="13" s="1"/>
  <c r="AI82" i="13" s="1"/>
  <c r="AJ82" i="13" s="1"/>
  <c r="AK82" i="13" s="1"/>
  <c r="AL82" i="13" s="1"/>
  <c r="AM82" i="13" s="1"/>
  <c r="AN82" i="13" s="1"/>
  <c r="AO82" i="13" s="1"/>
  <c r="AP82" i="13" s="1"/>
  <c r="AQ82" i="13" s="1"/>
  <c r="AR82" i="13" s="1"/>
  <c r="AS82" i="13" s="1"/>
  <c r="AT82" i="13" s="1"/>
  <c r="AU82" i="13" s="1"/>
  <c r="AV82" i="13" s="1"/>
  <c r="AW82" i="13" s="1"/>
  <c r="AX82" i="13" s="1"/>
  <c r="AY82" i="13" s="1"/>
  <c r="AZ82" i="13" s="1"/>
  <c r="BA82" i="13" s="1"/>
  <c r="BB82" i="13" s="1"/>
  <c r="BC82" i="13" s="1"/>
  <c r="BD82" i="13" s="1"/>
  <c r="BE82" i="13" s="1"/>
  <c r="BF82" i="13" s="1"/>
  <c r="BG82" i="13" s="1"/>
  <c r="BH82" i="13" s="1"/>
  <c r="BI82" i="13" s="1"/>
  <c r="BJ82" i="13" s="1"/>
  <c r="BK82" i="13" s="1"/>
  <c r="BL82" i="13" s="1"/>
  <c r="BM82" i="13" s="1"/>
  <c r="BN82" i="13" s="1"/>
  <c r="BO82" i="13" s="1"/>
  <c r="BP82" i="13" s="1"/>
  <c r="BQ82" i="13" s="1"/>
  <c r="BR82" i="13" s="1"/>
  <c r="BS82" i="13" s="1"/>
  <c r="BT82" i="13" s="1"/>
  <c r="BU82" i="13" s="1"/>
  <c r="BV82" i="13" s="1"/>
  <c r="BW82" i="13" s="1"/>
  <c r="BX82" i="13" s="1"/>
  <c r="BY82" i="13" s="1"/>
  <c r="BZ82" i="13" s="1"/>
  <c r="CA82" i="13" s="1"/>
  <c r="CB82" i="13" s="1"/>
  <c r="CC82" i="13" s="1"/>
  <c r="CD82" i="13" s="1"/>
  <c r="CE82" i="13" s="1"/>
  <c r="CF82" i="13" s="1"/>
  <c r="CG82" i="13" s="1"/>
  <c r="CH82" i="13" s="1"/>
  <c r="CI82" i="13" s="1"/>
  <c r="CJ82" i="13" s="1"/>
  <c r="CK82" i="13" s="1"/>
  <c r="CL82" i="13" s="1"/>
  <c r="CM82" i="13" s="1"/>
  <c r="CN82" i="13" s="1"/>
  <c r="CO82" i="13" s="1"/>
  <c r="CP82" i="13" s="1"/>
  <c r="CQ82" i="13" s="1"/>
  <c r="CR82" i="13" s="1"/>
  <c r="CS82" i="13" s="1"/>
  <c r="CT82" i="13" s="1"/>
  <c r="CU82" i="13" s="1"/>
  <c r="CV82" i="13" s="1"/>
  <c r="CW82" i="13" s="1"/>
  <c r="CX82" i="13" s="1"/>
  <c r="CY82" i="13" s="1"/>
  <c r="CZ82" i="13" s="1"/>
  <c r="DA82" i="13" s="1"/>
  <c r="DB82" i="13" s="1"/>
  <c r="DC82" i="13" s="1"/>
  <c r="DD82" i="13" s="1"/>
  <c r="DE82" i="13" s="1"/>
  <c r="DF82" i="13" s="1"/>
  <c r="DG82" i="13" s="1"/>
  <c r="DH82" i="13" s="1"/>
  <c r="DI82" i="13" s="1"/>
  <c r="B102" i="13"/>
  <c r="A102" i="13" s="1"/>
  <c r="Z102" i="13" s="1"/>
  <c r="AA102" i="13" s="1"/>
  <c r="AB102" i="13" s="1"/>
  <c r="AC102" i="13" s="1"/>
  <c r="AD102" i="13" s="1"/>
  <c r="AE102" i="13" s="1"/>
  <c r="AF102" i="13" s="1"/>
  <c r="AG102" i="13" s="1"/>
  <c r="AH102" i="13" s="1"/>
  <c r="AI102" i="13" s="1"/>
  <c r="AJ102" i="13" s="1"/>
  <c r="AK102" i="13" s="1"/>
  <c r="AL102" i="13" s="1"/>
  <c r="AM102" i="13" s="1"/>
  <c r="AN102" i="13" s="1"/>
  <c r="AO102" i="13" s="1"/>
  <c r="AP102" i="13" s="1"/>
  <c r="AQ102" i="13" s="1"/>
  <c r="AR102" i="13" s="1"/>
  <c r="AS102" i="13" s="1"/>
  <c r="AT102" i="13" s="1"/>
  <c r="AU102" i="13" s="1"/>
  <c r="AV102" i="13" s="1"/>
  <c r="AW102" i="13" s="1"/>
  <c r="AX102" i="13" s="1"/>
  <c r="AY102" i="13" s="1"/>
  <c r="AZ102" i="13" s="1"/>
  <c r="BA102" i="13" s="1"/>
  <c r="BB102" i="13" s="1"/>
  <c r="BC102" i="13" s="1"/>
  <c r="BD102" i="13" s="1"/>
  <c r="BE102" i="13" s="1"/>
  <c r="BF102" i="13" s="1"/>
  <c r="BG102" i="13" s="1"/>
  <c r="BH102" i="13" s="1"/>
  <c r="BI102" i="13" s="1"/>
  <c r="BJ102" i="13" s="1"/>
  <c r="BK102" i="13" s="1"/>
  <c r="BL102" i="13" s="1"/>
  <c r="BM102" i="13" s="1"/>
  <c r="BN102" i="13" s="1"/>
  <c r="BO102" i="13" s="1"/>
  <c r="BP102" i="13" s="1"/>
  <c r="BQ102" i="13" s="1"/>
  <c r="BR102" i="13" s="1"/>
  <c r="BS102" i="13" s="1"/>
  <c r="BT102" i="13" s="1"/>
  <c r="BU102" i="13" s="1"/>
  <c r="BV102" i="13" s="1"/>
  <c r="BW102" i="13" s="1"/>
  <c r="BX102" i="13" s="1"/>
  <c r="BY102" i="13" s="1"/>
  <c r="BZ102" i="13" s="1"/>
  <c r="CA102" i="13" s="1"/>
  <c r="CB102" i="13" s="1"/>
  <c r="CC102" i="13" s="1"/>
  <c r="CD102" i="13" s="1"/>
  <c r="CE102" i="13" s="1"/>
  <c r="CF102" i="13" s="1"/>
  <c r="CG102" i="13" s="1"/>
  <c r="CH102" i="13" s="1"/>
  <c r="CI102" i="13" s="1"/>
  <c r="CJ102" i="13" s="1"/>
  <c r="CK102" i="13" s="1"/>
  <c r="CL102" i="13" s="1"/>
  <c r="CM102" i="13" s="1"/>
  <c r="CN102" i="13" s="1"/>
  <c r="CO102" i="13" s="1"/>
  <c r="CP102" i="13" s="1"/>
  <c r="CQ102" i="13" s="1"/>
  <c r="CR102" i="13" s="1"/>
  <c r="CS102" i="13" s="1"/>
  <c r="CT102" i="13" s="1"/>
  <c r="CU102" i="13" s="1"/>
  <c r="CV102" i="13" s="1"/>
  <c r="CW102" i="13" s="1"/>
  <c r="CX102" i="13" s="1"/>
  <c r="CY102" i="13" s="1"/>
  <c r="CZ102" i="13" s="1"/>
  <c r="DA102" i="13" s="1"/>
  <c r="DB102" i="13" s="1"/>
  <c r="DC102" i="13" s="1"/>
  <c r="DD102" i="13" s="1"/>
  <c r="DE102" i="13" s="1"/>
  <c r="DF102" i="13" s="1"/>
  <c r="DG102" i="13" s="1"/>
  <c r="DH102" i="13" s="1"/>
  <c r="DI102" i="13" s="1"/>
  <c r="B70" i="13"/>
  <c r="A70" i="13" s="1"/>
  <c r="AA70" i="13" s="1"/>
  <c r="AB70" i="13" s="1"/>
  <c r="AC70" i="13" s="1"/>
  <c r="AD70" i="13" s="1"/>
  <c r="AE70" i="13" s="1"/>
  <c r="AF70" i="13" s="1"/>
  <c r="AG70" i="13" s="1"/>
  <c r="AH70" i="13" s="1"/>
  <c r="AI70" i="13" s="1"/>
  <c r="AJ70" i="13" s="1"/>
  <c r="AK70" i="13" s="1"/>
  <c r="AL70" i="13" s="1"/>
  <c r="AM70" i="13" s="1"/>
  <c r="AN70" i="13" s="1"/>
  <c r="AO70" i="13" s="1"/>
  <c r="AP70" i="13" s="1"/>
  <c r="AQ70" i="13" s="1"/>
  <c r="AR70" i="13" s="1"/>
  <c r="AS70" i="13" s="1"/>
  <c r="AT70" i="13" s="1"/>
  <c r="AU70" i="13" s="1"/>
  <c r="AV70" i="13" s="1"/>
  <c r="AW70" i="13" s="1"/>
  <c r="AX70" i="13" s="1"/>
  <c r="AY70" i="13" s="1"/>
  <c r="AZ70" i="13" s="1"/>
  <c r="BA70" i="13" s="1"/>
  <c r="BB70" i="13" s="1"/>
  <c r="BC70" i="13" s="1"/>
  <c r="BD70" i="13" s="1"/>
  <c r="BE70" i="13" s="1"/>
  <c r="BF70" i="13" s="1"/>
  <c r="BG70" i="13" s="1"/>
  <c r="BH70" i="13" s="1"/>
  <c r="BI70" i="13" s="1"/>
  <c r="BJ70" i="13" s="1"/>
  <c r="BK70" i="13" s="1"/>
  <c r="BL70" i="13" s="1"/>
  <c r="BM70" i="13" s="1"/>
  <c r="BN70" i="13" s="1"/>
  <c r="BO70" i="13" s="1"/>
  <c r="BP70" i="13" s="1"/>
  <c r="BQ70" i="13" s="1"/>
  <c r="BR70" i="13" s="1"/>
  <c r="BS70" i="13" s="1"/>
  <c r="BT70" i="13" s="1"/>
  <c r="BU70" i="13" s="1"/>
  <c r="BV70" i="13" s="1"/>
  <c r="BW70" i="13" s="1"/>
  <c r="BX70" i="13" s="1"/>
  <c r="BY70" i="13" s="1"/>
  <c r="BZ70" i="13" s="1"/>
  <c r="CA70" i="13" s="1"/>
  <c r="CB70" i="13" s="1"/>
  <c r="CC70" i="13" s="1"/>
  <c r="CD70" i="13" s="1"/>
  <c r="CE70" i="13" s="1"/>
  <c r="CF70" i="13" s="1"/>
  <c r="CG70" i="13" s="1"/>
  <c r="CH70" i="13" s="1"/>
  <c r="CI70" i="13" s="1"/>
  <c r="CJ70" i="13" s="1"/>
  <c r="CK70" i="13" s="1"/>
  <c r="CL70" i="13" s="1"/>
  <c r="CM70" i="13" s="1"/>
  <c r="CN70" i="13" s="1"/>
  <c r="CO70" i="13" s="1"/>
  <c r="CP70" i="13" s="1"/>
  <c r="CQ70" i="13" s="1"/>
  <c r="CR70" i="13" s="1"/>
  <c r="CS70" i="13" s="1"/>
  <c r="CT70" i="13" s="1"/>
  <c r="CU70" i="13" s="1"/>
  <c r="CV70" i="13" s="1"/>
  <c r="CW70" i="13" s="1"/>
  <c r="CX70" i="13" s="1"/>
  <c r="CY70" i="13" s="1"/>
  <c r="CZ70" i="13" s="1"/>
  <c r="DA70" i="13" s="1"/>
  <c r="DB70" i="13" s="1"/>
  <c r="DC70" i="13" s="1"/>
  <c r="DD70" i="13" s="1"/>
  <c r="DE70" i="13" s="1"/>
  <c r="DF70" i="13" s="1"/>
  <c r="DG70" i="13" s="1"/>
  <c r="DH70" i="13" s="1"/>
  <c r="DI70" i="13" s="1"/>
  <c r="B60" i="13"/>
  <c r="A60" i="13" s="1"/>
  <c r="AB60" i="13" s="1"/>
  <c r="AC60" i="13" s="1"/>
  <c r="AD60" i="13" s="1"/>
  <c r="AE60" i="13" s="1"/>
  <c r="AF60" i="13" s="1"/>
  <c r="AG60" i="13" s="1"/>
  <c r="AH60" i="13" s="1"/>
  <c r="AI60" i="13" s="1"/>
  <c r="AJ60" i="13" s="1"/>
  <c r="AK60" i="13" s="1"/>
  <c r="AL60" i="13" s="1"/>
  <c r="AM60" i="13" s="1"/>
  <c r="AN60" i="13" s="1"/>
  <c r="AO60" i="13" s="1"/>
  <c r="AP60" i="13" s="1"/>
  <c r="AQ60" i="13" s="1"/>
  <c r="AR60" i="13" s="1"/>
  <c r="AS60" i="13" s="1"/>
  <c r="AT60" i="13" s="1"/>
  <c r="AU60" i="13" s="1"/>
  <c r="AV60" i="13" s="1"/>
  <c r="AW60" i="13" s="1"/>
  <c r="AX60" i="13" s="1"/>
  <c r="AY60" i="13" s="1"/>
  <c r="AZ60" i="13" s="1"/>
  <c r="BA60" i="13" s="1"/>
  <c r="BB60" i="13" s="1"/>
  <c r="BC60" i="13" s="1"/>
  <c r="BD60" i="13" s="1"/>
  <c r="BE60" i="13" s="1"/>
  <c r="BF60" i="13" s="1"/>
  <c r="BG60" i="13" s="1"/>
  <c r="BH60" i="13" s="1"/>
  <c r="BI60" i="13" s="1"/>
  <c r="BJ60" i="13" s="1"/>
  <c r="BK60" i="13" s="1"/>
  <c r="BL60" i="13" s="1"/>
  <c r="BM60" i="13" s="1"/>
  <c r="BN60" i="13" s="1"/>
  <c r="BO60" i="13" s="1"/>
  <c r="BP60" i="13" s="1"/>
  <c r="BQ60" i="13" s="1"/>
  <c r="BR60" i="13" s="1"/>
  <c r="BS60" i="13" s="1"/>
  <c r="BT60" i="13" s="1"/>
  <c r="BU60" i="13" s="1"/>
  <c r="BV60" i="13" s="1"/>
  <c r="BW60" i="13" s="1"/>
  <c r="BX60" i="13" s="1"/>
  <c r="BY60" i="13" s="1"/>
  <c r="BZ60" i="13" s="1"/>
  <c r="CA60" i="13" s="1"/>
  <c r="CB60" i="13" s="1"/>
  <c r="CC60" i="13" s="1"/>
  <c r="CD60" i="13" s="1"/>
  <c r="CE60" i="13" s="1"/>
  <c r="CF60" i="13" s="1"/>
  <c r="CG60" i="13" s="1"/>
  <c r="CH60" i="13" s="1"/>
  <c r="CI60" i="13" s="1"/>
  <c r="CJ60" i="13" s="1"/>
  <c r="CK60" i="13" s="1"/>
  <c r="CL60" i="13" s="1"/>
  <c r="CM60" i="13" s="1"/>
  <c r="CN60" i="13" s="1"/>
  <c r="CO60" i="13" s="1"/>
  <c r="CP60" i="13" s="1"/>
  <c r="CQ60" i="13" s="1"/>
  <c r="CR60" i="13" s="1"/>
  <c r="CS60" i="13" s="1"/>
  <c r="CT60" i="13" s="1"/>
  <c r="CU60" i="13" s="1"/>
  <c r="CV60" i="13" s="1"/>
  <c r="CW60" i="13" s="1"/>
  <c r="CX60" i="13" s="1"/>
  <c r="CY60" i="13" s="1"/>
  <c r="CZ60" i="13" s="1"/>
  <c r="DA60" i="13" s="1"/>
  <c r="DB60" i="13" s="1"/>
  <c r="DC60" i="13" s="1"/>
  <c r="DD60" i="13" s="1"/>
  <c r="DE60" i="13" s="1"/>
  <c r="DF60" i="13" s="1"/>
  <c r="DG60" i="13" s="1"/>
  <c r="DH60" i="13" s="1"/>
  <c r="DI60" i="13" s="1"/>
  <c r="B114" i="13"/>
  <c r="A114" i="13" s="1"/>
  <c r="AH114" i="13" s="1"/>
  <c r="AI114" i="13" s="1"/>
  <c r="AJ114" i="13" s="1"/>
  <c r="AK114" i="13" s="1"/>
  <c r="AL114" i="13" s="1"/>
  <c r="AM114" i="13" s="1"/>
  <c r="AN114" i="13" s="1"/>
  <c r="AO114" i="13" s="1"/>
  <c r="AP114" i="13" s="1"/>
  <c r="AQ114" i="13" s="1"/>
  <c r="AR114" i="13" s="1"/>
  <c r="AS114" i="13" s="1"/>
  <c r="AT114" i="13" s="1"/>
  <c r="AU114" i="13" s="1"/>
  <c r="AV114" i="13" s="1"/>
  <c r="AW114" i="13" s="1"/>
  <c r="AX114" i="13" s="1"/>
  <c r="AY114" i="13" s="1"/>
  <c r="AZ114" i="13" s="1"/>
  <c r="BA114" i="13" s="1"/>
  <c r="BB114" i="13" s="1"/>
  <c r="BC114" i="13" s="1"/>
  <c r="BD114" i="13" s="1"/>
  <c r="BE114" i="13" s="1"/>
  <c r="BF114" i="13" s="1"/>
  <c r="BG114" i="13" s="1"/>
  <c r="BH114" i="13" s="1"/>
  <c r="BI114" i="13" s="1"/>
  <c r="BJ114" i="13" s="1"/>
  <c r="BK114" i="13" s="1"/>
  <c r="BL114" i="13" s="1"/>
  <c r="BM114" i="13" s="1"/>
  <c r="BN114" i="13" s="1"/>
  <c r="BO114" i="13" s="1"/>
  <c r="BP114" i="13" s="1"/>
  <c r="BQ114" i="13" s="1"/>
  <c r="BR114" i="13" s="1"/>
  <c r="BS114" i="13" s="1"/>
  <c r="BT114" i="13" s="1"/>
  <c r="BU114" i="13" s="1"/>
  <c r="BV114" i="13" s="1"/>
  <c r="BW114" i="13" s="1"/>
  <c r="BX114" i="13" s="1"/>
  <c r="BY114" i="13" s="1"/>
  <c r="BZ114" i="13" s="1"/>
  <c r="CA114" i="13" s="1"/>
  <c r="CB114" i="13" s="1"/>
  <c r="CC114" i="13" s="1"/>
  <c r="CD114" i="13" s="1"/>
  <c r="CE114" i="13" s="1"/>
  <c r="CF114" i="13" s="1"/>
  <c r="CG114" i="13" s="1"/>
  <c r="CH114" i="13" s="1"/>
  <c r="CI114" i="13" s="1"/>
  <c r="CJ114" i="13" s="1"/>
  <c r="CK114" i="13" s="1"/>
  <c r="CL114" i="13" s="1"/>
  <c r="CM114" i="13" s="1"/>
  <c r="CN114" i="13" s="1"/>
  <c r="CO114" i="13" s="1"/>
  <c r="CP114" i="13" s="1"/>
  <c r="CQ114" i="13" s="1"/>
  <c r="CR114" i="13" s="1"/>
  <c r="CS114" i="13" s="1"/>
  <c r="CT114" i="13" s="1"/>
  <c r="CU114" i="13" s="1"/>
  <c r="CV114" i="13" s="1"/>
  <c r="CW114" i="13" s="1"/>
  <c r="CX114" i="13" s="1"/>
  <c r="CY114" i="13" s="1"/>
  <c r="CZ114" i="13" s="1"/>
  <c r="DA114" i="13" s="1"/>
  <c r="DB114" i="13" s="1"/>
  <c r="DC114" i="13" s="1"/>
  <c r="DD114" i="13" s="1"/>
  <c r="DE114" i="13" s="1"/>
  <c r="DF114" i="13" s="1"/>
  <c r="DG114" i="13" s="1"/>
  <c r="DH114" i="13" s="1"/>
  <c r="DI114" i="13" s="1"/>
  <c r="B116" i="13"/>
  <c r="A116" i="13" s="1"/>
  <c r="AB116" i="13" s="1"/>
  <c r="AC116" i="13" s="1"/>
  <c r="AD116" i="13" s="1"/>
  <c r="AE116" i="13" s="1"/>
  <c r="AF116" i="13" s="1"/>
  <c r="AG116" i="13" s="1"/>
  <c r="AH116" i="13" s="1"/>
  <c r="AI116" i="13" s="1"/>
  <c r="AJ116" i="13" s="1"/>
  <c r="AK116" i="13" s="1"/>
  <c r="AL116" i="13" s="1"/>
  <c r="AM116" i="13" s="1"/>
  <c r="AN116" i="13" s="1"/>
  <c r="AO116" i="13" s="1"/>
  <c r="AP116" i="13" s="1"/>
  <c r="AQ116" i="13" s="1"/>
  <c r="AR116" i="13" s="1"/>
  <c r="AS116" i="13" s="1"/>
  <c r="AT116" i="13" s="1"/>
  <c r="AU116" i="13" s="1"/>
  <c r="AV116" i="13" s="1"/>
  <c r="AW116" i="13" s="1"/>
  <c r="AX116" i="13" s="1"/>
  <c r="AY116" i="13" s="1"/>
  <c r="AZ116" i="13" s="1"/>
  <c r="BA116" i="13" s="1"/>
  <c r="BB116" i="13" s="1"/>
  <c r="BC116" i="13" s="1"/>
  <c r="BD116" i="13" s="1"/>
  <c r="BE116" i="13" s="1"/>
  <c r="BF116" i="13" s="1"/>
  <c r="BG116" i="13" s="1"/>
  <c r="BH116" i="13" s="1"/>
  <c r="BI116" i="13" s="1"/>
  <c r="BJ116" i="13" s="1"/>
  <c r="BK116" i="13" s="1"/>
  <c r="BL116" i="13" s="1"/>
  <c r="BM116" i="13" s="1"/>
  <c r="BN116" i="13" s="1"/>
  <c r="BO116" i="13" s="1"/>
  <c r="BP116" i="13" s="1"/>
  <c r="BQ116" i="13" s="1"/>
  <c r="BR116" i="13" s="1"/>
  <c r="BS116" i="13" s="1"/>
  <c r="BT116" i="13" s="1"/>
  <c r="BU116" i="13" s="1"/>
  <c r="BV116" i="13" s="1"/>
  <c r="BW116" i="13" s="1"/>
  <c r="BX116" i="13" s="1"/>
  <c r="BY116" i="13" s="1"/>
  <c r="BZ116" i="13" s="1"/>
  <c r="CA116" i="13" s="1"/>
  <c r="CB116" i="13" s="1"/>
  <c r="CC116" i="13" s="1"/>
  <c r="CD116" i="13" s="1"/>
  <c r="CE116" i="13" s="1"/>
  <c r="CF116" i="13" s="1"/>
  <c r="CG116" i="13" s="1"/>
  <c r="CH116" i="13" s="1"/>
  <c r="CI116" i="13" s="1"/>
  <c r="CJ116" i="13" s="1"/>
  <c r="CK116" i="13" s="1"/>
  <c r="CL116" i="13" s="1"/>
  <c r="CM116" i="13" s="1"/>
  <c r="CN116" i="13" s="1"/>
  <c r="CO116" i="13" s="1"/>
  <c r="CP116" i="13" s="1"/>
  <c r="CQ116" i="13" s="1"/>
  <c r="CR116" i="13" s="1"/>
  <c r="CS116" i="13" s="1"/>
  <c r="CT116" i="13" s="1"/>
  <c r="CU116" i="13" s="1"/>
  <c r="CV116" i="13" s="1"/>
  <c r="CW116" i="13" s="1"/>
  <c r="CX116" i="13" s="1"/>
  <c r="CY116" i="13" s="1"/>
  <c r="CZ116" i="13" s="1"/>
  <c r="DA116" i="13" s="1"/>
  <c r="DB116" i="13" s="1"/>
  <c r="DC116" i="13" s="1"/>
  <c r="DD116" i="13" s="1"/>
  <c r="DE116" i="13" s="1"/>
  <c r="DF116" i="13" s="1"/>
  <c r="DG116" i="13" s="1"/>
  <c r="DH116" i="13" s="1"/>
  <c r="DI116" i="13" s="1"/>
  <c r="B122" i="13"/>
  <c r="A122" i="13" s="1"/>
  <c r="AB122" i="13" s="1"/>
  <c r="AC122" i="13" s="1"/>
  <c r="AD122" i="13" s="1"/>
  <c r="AE122" i="13" s="1"/>
  <c r="AF122" i="13" s="1"/>
  <c r="AG122" i="13" s="1"/>
  <c r="AH122" i="13" s="1"/>
  <c r="AI122" i="13" s="1"/>
  <c r="AJ122" i="13" s="1"/>
  <c r="AK122" i="13" s="1"/>
  <c r="AL122" i="13" s="1"/>
  <c r="AM122" i="13" s="1"/>
  <c r="AN122" i="13" s="1"/>
  <c r="AO122" i="13" s="1"/>
  <c r="AP122" i="13" s="1"/>
  <c r="AQ122" i="13" s="1"/>
  <c r="AR122" i="13" s="1"/>
  <c r="AS122" i="13" s="1"/>
  <c r="AT122" i="13" s="1"/>
  <c r="AU122" i="13" s="1"/>
  <c r="AV122" i="13" s="1"/>
  <c r="AW122" i="13" s="1"/>
  <c r="AX122" i="13" s="1"/>
  <c r="AY122" i="13" s="1"/>
  <c r="AZ122" i="13" s="1"/>
  <c r="BA122" i="13" s="1"/>
  <c r="BB122" i="13" s="1"/>
  <c r="BC122" i="13" s="1"/>
  <c r="BD122" i="13" s="1"/>
  <c r="BE122" i="13" s="1"/>
  <c r="BF122" i="13" s="1"/>
  <c r="BG122" i="13" s="1"/>
  <c r="BH122" i="13" s="1"/>
  <c r="BI122" i="13" s="1"/>
  <c r="BJ122" i="13" s="1"/>
  <c r="BK122" i="13" s="1"/>
  <c r="BL122" i="13" s="1"/>
  <c r="BM122" i="13" s="1"/>
  <c r="BN122" i="13" s="1"/>
  <c r="BO122" i="13" s="1"/>
  <c r="BP122" i="13" s="1"/>
  <c r="BQ122" i="13" s="1"/>
  <c r="BR122" i="13" s="1"/>
  <c r="BS122" i="13" s="1"/>
  <c r="BT122" i="13" s="1"/>
  <c r="BU122" i="13" s="1"/>
  <c r="BV122" i="13" s="1"/>
  <c r="BW122" i="13" s="1"/>
  <c r="BX122" i="13" s="1"/>
  <c r="BY122" i="13" s="1"/>
  <c r="BZ122" i="13" s="1"/>
  <c r="CA122" i="13" s="1"/>
  <c r="CB122" i="13" s="1"/>
  <c r="CC122" i="13" s="1"/>
  <c r="CD122" i="13" s="1"/>
  <c r="CE122" i="13" s="1"/>
  <c r="CF122" i="13" s="1"/>
  <c r="CG122" i="13" s="1"/>
  <c r="CH122" i="13" s="1"/>
  <c r="CI122" i="13" s="1"/>
  <c r="CJ122" i="13" s="1"/>
  <c r="CK122" i="13" s="1"/>
  <c r="CL122" i="13" s="1"/>
  <c r="CM122" i="13" s="1"/>
  <c r="CN122" i="13" s="1"/>
  <c r="CO122" i="13" s="1"/>
  <c r="CP122" i="13" s="1"/>
  <c r="CQ122" i="13" s="1"/>
  <c r="CR122" i="13" s="1"/>
  <c r="CS122" i="13" s="1"/>
  <c r="CT122" i="13" s="1"/>
  <c r="CU122" i="13" s="1"/>
  <c r="CV122" i="13" s="1"/>
  <c r="CW122" i="13" s="1"/>
  <c r="CX122" i="13" s="1"/>
  <c r="CY122" i="13" s="1"/>
  <c r="CZ122" i="13" s="1"/>
  <c r="DA122" i="13" s="1"/>
  <c r="DB122" i="13" s="1"/>
  <c r="DC122" i="13" s="1"/>
  <c r="DD122" i="13" s="1"/>
  <c r="DE122" i="13" s="1"/>
  <c r="DF122" i="13" s="1"/>
  <c r="DG122" i="13" s="1"/>
  <c r="DH122" i="13" s="1"/>
  <c r="DI122" i="13" s="1"/>
  <c r="B115" i="13"/>
  <c r="A115" i="13" s="1"/>
  <c r="AF115" i="13" s="1"/>
  <c r="AG115" i="13" s="1"/>
  <c r="AH115" i="13" s="1"/>
  <c r="AI115" i="13" s="1"/>
  <c r="AJ115" i="13" s="1"/>
  <c r="AK115" i="13" s="1"/>
  <c r="AL115" i="13" s="1"/>
  <c r="AM115" i="13" s="1"/>
  <c r="AN115" i="13" s="1"/>
  <c r="AO115" i="13" s="1"/>
  <c r="AP115" i="13" s="1"/>
  <c r="AQ115" i="13" s="1"/>
  <c r="AR115" i="13" s="1"/>
  <c r="AS115" i="13" s="1"/>
  <c r="AT115" i="13" s="1"/>
  <c r="AU115" i="13" s="1"/>
  <c r="AV115" i="13" s="1"/>
  <c r="AW115" i="13" s="1"/>
  <c r="AX115" i="13" s="1"/>
  <c r="AY115" i="13" s="1"/>
  <c r="AZ115" i="13" s="1"/>
  <c r="BA115" i="13" s="1"/>
  <c r="BB115" i="13" s="1"/>
  <c r="BC115" i="13" s="1"/>
  <c r="BD115" i="13" s="1"/>
  <c r="BE115" i="13" s="1"/>
  <c r="BF115" i="13" s="1"/>
  <c r="BG115" i="13" s="1"/>
  <c r="BH115" i="13" s="1"/>
  <c r="BI115" i="13" s="1"/>
  <c r="BJ115" i="13" s="1"/>
  <c r="BK115" i="13" s="1"/>
  <c r="BL115" i="13" s="1"/>
  <c r="BM115" i="13" s="1"/>
  <c r="BN115" i="13" s="1"/>
  <c r="BO115" i="13" s="1"/>
  <c r="BP115" i="13" s="1"/>
  <c r="BQ115" i="13" s="1"/>
  <c r="BR115" i="13" s="1"/>
  <c r="BS115" i="13" s="1"/>
  <c r="BT115" i="13" s="1"/>
  <c r="BU115" i="13" s="1"/>
  <c r="BV115" i="13" s="1"/>
  <c r="BW115" i="13" s="1"/>
  <c r="BX115" i="13" s="1"/>
  <c r="BY115" i="13" s="1"/>
  <c r="BZ115" i="13" s="1"/>
  <c r="CA115" i="13" s="1"/>
  <c r="CB115" i="13" s="1"/>
  <c r="CC115" i="13" s="1"/>
  <c r="CD115" i="13" s="1"/>
  <c r="CE115" i="13" s="1"/>
  <c r="CF115" i="13" s="1"/>
  <c r="CG115" i="13" s="1"/>
  <c r="CH115" i="13" s="1"/>
  <c r="CI115" i="13" s="1"/>
  <c r="CJ115" i="13" s="1"/>
  <c r="CK115" i="13" s="1"/>
  <c r="CL115" i="13" s="1"/>
  <c r="CM115" i="13" s="1"/>
  <c r="CN115" i="13" s="1"/>
  <c r="CO115" i="13" s="1"/>
  <c r="CP115" i="13" s="1"/>
  <c r="CQ115" i="13" s="1"/>
  <c r="CR115" i="13" s="1"/>
  <c r="CS115" i="13" s="1"/>
  <c r="CT115" i="13" s="1"/>
  <c r="CU115" i="13" s="1"/>
  <c r="CV115" i="13" s="1"/>
  <c r="CW115" i="13" s="1"/>
  <c r="CX115" i="13" s="1"/>
  <c r="CY115" i="13" s="1"/>
  <c r="CZ115" i="13" s="1"/>
  <c r="DA115" i="13" s="1"/>
  <c r="DB115" i="13" s="1"/>
  <c r="DC115" i="13" s="1"/>
  <c r="DD115" i="13" s="1"/>
  <c r="DE115" i="13" s="1"/>
  <c r="DF115" i="13" s="1"/>
  <c r="DG115" i="13" s="1"/>
  <c r="DH115" i="13" s="1"/>
  <c r="DI115" i="13" s="1"/>
  <c r="B5" i="13"/>
  <c r="A5" i="13" s="1"/>
  <c r="B14" i="13"/>
  <c r="A14" i="13" s="1"/>
  <c r="B16" i="13"/>
  <c r="A16" i="13" s="1"/>
  <c r="B110" i="13"/>
  <c r="A110" i="13" s="1"/>
  <c r="AE110" i="13" s="1"/>
  <c r="AF110" i="13" s="1"/>
  <c r="AG110" i="13" s="1"/>
  <c r="AH110" i="13" s="1"/>
  <c r="AI110" i="13" s="1"/>
  <c r="AJ110" i="13" s="1"/>
  <c r="AK110" i="13" s="1"/>
  <c r="AL110" i="13" s="1"/>
  <c r="AM110" i="13" s="1"/>
  <c r="AN110" i="13" s="1"/>
  <c r="AO110" i="13" s="1"/>
  <c r="AP110" i="13" s="1"/>
  <c r="AQ110" i="13" s="1"/>
  <c r="AR110" i="13" s="1"/>
  <c r="AS110" i="13" s="1"/>
  <c r="AT110" i="13" s="1"/>
  <c r="AU110" i="13" s="1"/>
  <c r="AV110" i="13" s="1"/>
  <c r="AW110" i="13" s="1"/>
  <c r="AX110" i="13" s="1"/>
  <c r="AY110" i="13" s="1"/>
  <c r="AZ110" i="13" s="1"/>
  <c r="BA110" i="13" s="1"/>
  <c r="BB110" i="13" s="1"/>
  <c r="BC110" i="13" s="1"/>
  <c r="BD110" i="13" s="1"/>
  <c r="BE110" i="13" s="1"/>
  <c r="BF110" i="13" s="1"/>
  <c r="BG110" i="13" s="1"/>
  <c r="BH110" i="13" s="1"/>
  <c r="BI110" i="13" s="1"/>
  <c r="BJ110" i="13" s="1"/>
  <c r="BK110" i="13" s="1"/>
  <c r="BL110" i="13" s="1"/>
  <c r="BM110" i="13" s="1"/>
  <c r="BN110" i="13" s="1"/>
  <c r="BO110" i="13" s="1"/>
  <c r="BP110" i="13" s="1"/>
  <c r="BQ110" i="13" s="1"/>
  <c r="BR110" i="13" s="1"/>
  <c r="BS110" i="13" s="1"/>
  <c r="BT110" i="13" s="1"/>
  <c r="BU110" i="13" s="1"/>
  <c r="BV110" i="13" s="1"/>
  <c r="BW110" i="13" s="1"/>
  <c r="BX110" i="13" s="1"/>
  <c r="BY110" i="13" s="1"/>
  <c r="BZ110" i="13" s="1"/>
  <c r="CA110" i="13" s="1"/>
  <c r="CB110" i="13" s="1"/>
  <c r="CC110" i="13" s="1"/>
  <c r="CD110" i="13" s="1"/>
  <c r="CE110" i="13" s="1"/>
  <c r="CF110" i="13" s="1"/>
  <c r="CG110" i="13" s="1"/>
  <c r="CH110" i="13" s="1"/>
  <c r="CI110" i="13" s="1"/>
  <c r="CJ110" i="13" s="1"/>
  <c r="CK110" i="13" s="1"/>
  <c r="CL110" i="13" s="1"/>
  <c r="CM110" i="13" s="1"/>
  <c r="CN110" i="13" s="1"/>
  <c r="CO110" i="13" s="1"/>
  <c r="CP110" i="13" s="1"/>
  <c r="CQ110" i="13" s="1"/>
  <c r="CR110" i="13" s="1"/>
  <c r="CS110" i="13" s="1"/>
  <c r="CT110" i="13" s="1"/>
  <c r="CU110" i="13" s="1"/>
  <c r="CV110" i="13" s="1"/>
  <c r="CW110" i="13" s="1"/>
  <c r="CX110" i="13" s="1"/>
  <c r="CY110" i="13" s="1"/>
  <c r="CZ110" i="13" s="1"/>
  <c r="DA110" i="13" s="1"/>
  <c r="DB110" i="13" s="1"/>
  <c r="DC110" i="13" s="1"/>
  <c r="DD110" i="13" s="1"/>
  <c r="DE110" i="13" s="1"/>
  <c r="DF110" i="13" s="1"/>
  <c r="DG110" i="13" s="1"/>
  <c r="DH110" i="13" s="1"/>
  <c r="DI110" i="13" s="1"/>
  <c r="B11" i="13"/>
  <c r="A11" i="13" s="1"/>
  <c r="B38" i="13"/>
  <c r="A38" i="13" s="1"/>
  <c r="B13" i="13"/>
  <c r="A13" i="13" s="1"/>
  <c r="B76" i="13"/>
  <c r="A76" i="13" s="1"/>
  <c r="AH76" i="13" s="1"/>
  <c r="AI76" i="13" s="1"/>
  <c r="AJ76" i="13" s="1"/>
  <c r="AK76" i="13" s="1"/>
  <c r="AL76" i="13" s="1"/>
  <c r="AM76" i="13" s="1"/>
  <c r="AN76" i="13" s="1"/>
  <c r="AO76" i="13" s="1"/>
  <c r="AP76" i="13" s="1"/>
  <c r="AQ76" i="13" s="1"/>
  <c r="AR76" i="13" s="1"/>
  <c r="AS76" i="13" s="1"/>
  <c r="AT76" i="13" s="1"/>
  <c r="AU76" i="13" s="1"/>
  <c r="AV76" i="13" s="1"/>
  <c r="AW76" i="13" s="1"/>
  <c r="AX76" i="13" s="1"/>
  <c r="AY76" i="13" s="1"/>
  <c r="AZ76" i="13" s="1"/>
  <c r="BA76" i="13" s="1"/>
  <c r="BB76" i="13" s="1"/>
  <c r="BC76" i="13" s="1"/>
  <c r="BD76" i="13" s="1"/>
  <c r="BE76" i="13" s="1"/>
  <c r="BF76" i="13" s="1"/>
  <c r="BG76" i="13" s="1"/>
  <c r="BH76" i="13" s="1"/>
  <c r="BI76" i="13" s="1"/>
  <c r="BJ76" i="13" s="1"/>
  <c r="BK76" i="13" s="1"/>
  <c r="BL76" i="13" s="1"/>
  <c r="BM76" i="13" s="1"/>
  <c r="BN76" i="13" s="1"/>
  <c r="BO76" i="13" s="1"/>
  <c r="BP76" i="13" s="1"/>
  <c r="BQ76" i="13" s="1"/>
  <c r="BR76" i="13" s="1"/>
  <c r="BS76" i="13" s="1"/>
  <c r="BT76" i="13" s="1"/>
  <c r="BU76" i="13" s="1"/>
  <c r="BV76" i="13" s="1"/>
  <c r="BW76" i="13" s="1"/>
  <c r="BX76" i="13" s="1"/>
  <c r="BY76" i="13" s="1"/>
  <c r="BZ76" i="13" s="1"/>
  <c r="CA76" i="13" s="1"/>
  <c r="CB76" i="13" s="1"/>
  <c r="CC76" i="13" s="1"/>
  <c r="CD76" i="13" s="1"/>
  <c r="CE76" i="13" s="1"/>
  <c r="CF76" i="13" s="1"/>
  <c r="CG76" i="13" s="1"/>
  <c r="CH76" i="13" s="1"/>
  <c r="CI76" i="13" s="1"/>
  <c r="CJ76" i="13" s="1"/>
  <c r="CK76" i="13" s="1"/>
  <c r="CL76" i="13" s="1"/>
  <c r="CM76" i="13" s="1"/>
  <c r="CN76" i="13" s="1"/>
  <c r="CO76" i="13" s="1"/>
  <c r="CP76" i="13" s="1"/>
  <c r="CQ76" i="13" s="1"/>
  <c r="CR76" i="13" s="1"/>
  <c r="CS76" i="13" s="1"/>
  <c r="CT76" i="13" s="1"/>
  <c r="CU76" i="13" s="1"/>
  <c r="CV76" i="13" s="1"/>
  <c r="CW76" i="13" s="1"/>
  <c r="CX76" i="13" s="1"/>
  <c r="CY76" i="13" s="1"/>
  <c r="CZ76" i="13" s="1"/>
  <c r="DA76" i="13" s="1"/>
  <c r="DB76" i="13" s="1"/>
  <c r="DC76" i="13" s="1"/>
  <c r="DD76" i="13" s="1"/>
  <c r="DE76" i="13" s="1"/>
  <c r="DF76" i="13" s="1"/>
  <c r="DG76" i="13" s="1"/>
  <c r="DH76" i="13" s="1"/>
  <c r="DI76" i="13" s="1"/>
  <c r="B37" i="13"/>
  <c r="A37" i="13" s="1"/>
  <c r="B55" i="13"/>
  <c r="A55" i="13" s="1"/>
  <c r="B56" i="13"/>
  <c r="A56" i="13" s="1"/>
  <c r="B80" i="13"/>
  <c r="A80" i="13" s="1"/>
  <c r="AJ80" i="13" s="1"/>
  <c r="AK80" i="13" s="1"/>
  <c r="AL80" i="13" s="1"/>
  <c r="AM80" i="13" s="1"/>
  <c r="AN80" i="13" s="1"/>
  <c r="AO80" i="13" s="1"/>
  <c r="AP80" i="13" s="1"/>
  <c r="AQ80" i="13" s="1"/>
  <c r="AR80" i="13" s="1"/>
  <c r="AS80" i="13" s="1"/>
  <c r="AT80" i="13" s="1"/>
  <c r="AU80" i="13" s="1"/>
  <c r="AV80" i="13" s="1"/>
  <c r="AW80" i="13" s="1"/>
  <c r="AX80" i="13" s="1"/>
  <c r="AY80" i="13" s="1"/>
  <c r="AZ80" i="13" s="1"/>
  <c r="BA80" i="13" s="1"/>
  <c r="BB80" i="13" s="1"/>
  <c r="BC80" i="13" s="1"/>
  <c r="BD80" i="13" s="1"/>
  <c r="BE80" i="13" s="1"/>
  <c r="BF80" i="13" s="1"/>
  <c r="BG80" i="13" s="1"/>
  <c r="BH80" i="13" s="1"/>
  <c r="BI80" i="13" s="1"/>
  <c r="BJ80" i="13" s="1"/>
  <c r="BK80" i="13" s="1"/>
  <c r="BL80" i="13" s="1"/>
  <c r="BM80" i="13" s="1"/>
  <c r="BN80" i="13" s="1"/>
  <c r="BO80" i="13" s="1"/>
  <c r="BP80" i="13" s="1"/>
  <c r="BQ80" i="13" s="1"/>
  <c r="BR80" i="13" s="1"/>
  <c r="BS80" i="13" s="1"/>
  <c r="BT80" i="13" s="1"/>
  <c r="BU80" i="13" s="1"/>
  <c r="BV80" i="13" s="1"/>
  <c r="BW80" i="13" s="1"/>
  <c r="BX80" i="13" s="1"/>
  <c r="BY80" i="13" s="1"/>
  <c r="BZ80" i="13" s="1"/>
  <c r="CA80" i="13" s="1"/>
  <c r="CB80" i="13" s="1"/>
  <c r="CC80" i="13" s="1"/>
  <c r="CD80" i="13" s="1"/>
  <c r="CE80" i="13" s="1"/>
  <c r="CF80" i="13" s="1"/>
  <c r="CG80" i="13" s="1"/>
  <c r="CH80" i="13" s="1"/>
  <c r="CI80" i="13" s="1"/>
  <c r="CJ80" i="13" s="1"/>
  <c r="CK80" i="13" s="1"/>
  <c r="CL80" i="13" s="1"/>
  <c r="CM80" i="13" s="1"/>
  <c r="CN80" i="13" s="1"/>
  <c r="CO80" i="13" s="1"/>
  <c r="CP80" i="13" s="1"/>
  <c r="CQ80" i="13" s="1"/>
  <c r="CR80" i="13" s="1"/>
  <c r="CS80" i="13" s="1"/>
  <c r="CT80" i="13" s="1"/>
  <c r="CU80" i="13" s="1"/>
  <c r="CV80" i="13" s="1"/>
  <c r="CW80" i="13" s="1"/>
  <c r="CX80" i="13" s="1"/>
  <c r="CY80" i="13" s="1"/>
  <c r="CZ80" i="13" s="1"/>
  <c r="DA80" i="13" s="1"/>
  <c r="DB80" i="13" s="1"/>
  <c r="DC80" i="13" s="1"/>
  <c r="DD80" i="13" s="1"/>
  <c r="DE80" i="13" s="1"/>
  <c r="DF80" i="13" s="1"/>
  <c r="DG80" i="13" s="1"/>
  <c r="DH80" i="13" s="1"/>
  <c r="DI80" i="13" s="1"/>
  <c r="B119" i="13"/>
  <c r="A119" i="13" s="1"/>
  <c r="AR119" i="13" s="1"/>
  <c r="AS119" i="13" s="1"/>
  <c r="AT119" i="13" s="1"/>
  <c r="AU119" i="13" s="1"/>
  <c r="AV119" i="13" s="1"/>
  <c r="AW119" i="13" s="1"/>
  <c r="AX119" i="13" s="1"/>
  <c r="AY119" i="13" s="1"/>
  <c r="AZ119" i="13" s="1"/>
  <c r="BA119" i="13" s="1"/>
  <c r="BB119" i="13" s="1"/>
  <c r="BC119" i="13" s="1"/>
  <c r="BD119" i="13" s="1"/>
  <c r="BE119" i="13" s="1"/>
  <c r="BF119" i="13" s="1"/>
  <c r="BG119" i="13" s="1"/>
  <c r="BH119" i="13" s="1"/>
  <c r="BI119" i="13" s="1"/>
  <c r="BJ119" i="13" s="1"/>
  <c r="BK119" i="13" s="1"/>
  <c r="BL119" i="13" s="1"/>
  <c r="BM119" i="13" s="1"/>
  <c r="BN119" i="13" s="1"/>
  <c r="BO119" i="13" s="1"/>
  <c r="BP119" i="13" s="1"/>
  <c r="BQ119" i="13" s="1"/>
  <c r="BR119" i="13" s="1"/>
  <c r="BS119" i="13" s="1"/>
  <c r="BT119" i="13" s="1"/>
  <c r="BU119" i="13" s="1"/>
  <c r="BV119" i="13" s="1"/>
  <c r="BW119" i="13" s="1"/>
  <c r="BX119" i="13" s="1"/>
  <c r="BY119" i="13" s="1"/>
  <c r="BZ119" i="13" s="1"/>
  <c r="CA119" i="13" s="1"/>
  <c r="CB119" i="13" s="1"/>
  <c r="CC119" i="13" s="1"/>
  <c r="CD119" i="13" s="1"/>
  <c r="CE119" i="13" s="1"/>
  <c r="CF119" i="13" s="1"/>
  <c r="CG119" i="13" s="1"/>
  <c r="CH119" i="13" s="1"/>
  <c r="CI119" i="13" s="1"/>
  <c r="CJ119" i="13" s="1"/>
  <c r="CK119" i="13" s="1"/>
  <c r="CL119" i="13" s="1"/>
  <c r="CM119" i="13" s="1"/>
  <c r="CN119" i="13" s="1"/>
  <c r="CO119" i="13" s="1"/>
  <c r="CP119" i="13" s="1"/>
  <c r="CQ119" i="13" s="1"/>
  <c r="CR119" i="13" s="1"/>
  <c r="CS119" i="13" s="1"/>
  <c r="CT119" i="13" s="1"/>
  <c r="CU119" i="13" s="1"/>
  <c r="CV119" i="13" s="1"/>
  <c r="CW119" i="13" s="1"/>
  <c r="CX119" i="13" s="1"/>
  <c r="CY119" i="13" s="1"/>
  <c r="CZ119" i="13" s="1"/>
  <c r="DA119" i="13" s="1"/>
  <c r="DB119" i="13" s="1"/>
  <c r="DC119" i="13" s="1"/>
  <c r="DD119" i="13" s="1"/>
  <c r="DE119" i="13" s="1"/>
  <c r="DF119" i="13" s="1"/>
  <c r="DG119" i="13" s="1"/>
  <c r="DH119" i="13" s="1"/>
  <c r="DI119" i="13" s="1"/>
  <c r="B39" i="13"/>
  <c r="A39" i="13" s="1"/>
  <c r="B12" i="13"/>
  <c r="A12" i="13" s="1"/>
  <c r="B85" i="13"/>
  <c r="A85" i="13" s="1"/>
  <c r="AK85" i="13" s="1"/>
  <c r="AL85" i="13" s="1"/>
  <c r="AM85" i="13" s="1"/>
  <c r="AN85" i="13" s="1"/>
  <c r="AO85" i="13" s="1"/>
  <c r="AP85" i="13" s="1"/>
  <c r="AQ85" i="13" s="1"/>
  <c r="AR85" i="13" s="1"/>
  <c r="AS85" i="13" s="1"/>
  <c r="AT85" i="13" s="1"/>
  <c r="AU85" i="13" s="1"/>
  <c r="AV85" i="13" s="1"/>
  <c r="AW85" i="13" s="1"/>
  <c r="AX85" i="13" s="1"/>
  <c r="AY85" i="13" s="1"/>
  <c r="AZ85" i="13" s="1"/>
  <c r="BA85" i="13" s="1"/>
  <c r="BB85" i="13" s="1"/>
  <c r="BC85" i="13" s="1"/>
  <c r="BD85" i="13" s="1"/>
  <c r="BE85" i="13" s="1"/>
  <c r="BF85" i="13" s="1"/>
  <c r="BG85" i="13" s="1"/>
  <c r="BH85" i="13" s="1"/>
  <c r="BI85" i="13" s="1"/>
  <c r="BJ85" i="13" s="1"/>
  <c r="BK85" i="13" s="1"/>
  <c r="BL85" i="13" s="1"/>
  <c r="BM85" i="13" s="1"/>
  <c r="BN85" i="13" s="1"/>
  <c r="BO85" i="13" s="1"/>
  <c r="BP85" i="13" s="1"/>
  <c r="BQ85" i="13" s="1"/>
  <c r="BR85" i="13" s="1"/>
  <c r="BS85" i="13" s="1"/>
  <c r="BT85" i="13" s="1"/>
  <c r="BU85" i="13" s="1"/>
  <c r="BV85" i="13" s="1"/>
  <c r="BW85" i="13" s="1"/>
  <c r="BX85" i="13" s="1"/>
  <c r="BY85" i="13" s="1"/>
  <c r="BZ85" i="13" s="1"/>
  <c r="CA85" i="13" s="1"/>
  <c r="CB85" i="13" s="1"/>
  <c r="CC85" i="13" s="1"/>
  <c r="CD85" i="13" s="1"/>
  <c r="CE85" i="13" s="1"/>
  <c r="CF85" i="13" s="1"/>
  <c r="CG85" i="13" s="1"/>
  <c r="CH85" i="13" s="1"/>
  <c r="CI85" i="13" s="1"/>
  <c r="CJ85" i="13" s="1"/>
  <c r="CK85" i="13" s="1"/>
  <c r="CL85" i="13" s="1"/>
  <c r="CM85" i="13" s="1"/>
  <c r="CN85" i="13" s="1"/>
  <c r="CO85" i="13" s="1"/>
  <c r="CP85" i="13" s="1"/>
  <c r="CQ85" i="13" s="1"/>
  <c r="CR85" i="13" s="1"/>
  <c r="CS85" i="13" s="1"/>
  <c r="CT85" i="13" s="1"/>
  <c r="CU85" i="13" s="1"/>
  <c r="CV85" i="13" s="1"/>
  <c r="CW85" i="13" s="1"/>
  <c r="CX85" i="13" s="1"/>
  <c r="CY85" i="13" s="1"/>
  <c r="CZ85" i="13" s="1"/>
  <c r="DA85" i="13" s="1"/>
  <c r="DB85" i="13" s="1"/>
  <c r="DC85" i="13" s="1"/>
  <c r="DD85" i="13" s="1"/>
  <c r="DE85" i="13" s="1"/>
  <c r="DF85" i="13" s="1"/>
  <c r="DG85" i="13" s="1"/>
  <c r="DH85" i="13" s="1"/>
  <c r="DI85" i="13" s="1"/>
  <c r="B51" i="13"/>
  <c r="A51" i="13" s="1"/>
  <c r="B29" i="13"/>
  <c r="A29" i="13" s="1"/>
  <c r="B78" i="13"/>
  <c r="A78" i="13" s="1"/>
  <c r="AQ78" i="13" s="1"/>
  <c r="AR78" i="13" s="1"/>
  <c r="AS78" i="13" s="1"/>
  <c r="AT78" i="13" s="1"/>
  <c r="AU78" i="13" s="1"/>
  <c r="AV78" i="13" s="1"/>
  <c r="AW78" i="13" s="1"/>
  <c r="AX78" i="13" s="1"/>
  <c r="AY78" i="13" s="1"/>
  <c r="AZ78" i="13" s="1"/>
  <c r="BA78" i="13" s="1"/>
  <c r="BB78" i="13" s="1"/>
  <c r="BC78" i="13" s="1"/>
  <c r="BD78" i="13" s="1"/>
  <c r="BE78" i="13" s="1"/>
  <c r="BF78" i="13" s="1"/>
  <c r="BG78" i="13" s="1"/>
  <c r="BH78" i="13" s="1"/>
  <c r="BI78" i="13" s="1"/>
  <c r="BJ78" i="13" s="1"/>
  <c r="BK78" i="13" s="1"/>
  <c r="BL78" i="13" s="1"/>
  <c r="BM78" i="13" s="1"/>
  <c r="BN78" i="13" s="1"/>
  <c r="BO78" i="13" s="1"/>
  <c r="BP78" i="13" s="1"/>
  <c r="BQ78" i="13" s="1"/>
  <c r="BR78" i="13" s="1"/>
  <c r="BS78" i="13" s="1"/>
  <c r="BT78" i="13" s="1"/>
  <c r="BU78" i="13" s="1"/>
  <c r="BV78" i="13" s="1"/>
  <c r="BW78" i="13" s="1"/>
  <c r="BX78" i="13" s="1"/>
  <c r="BY78" i="13" s="1"/>
  <c r="BZ78" i="13" s="1"/>
  <c r="CA78" i="13" s="1"/>
  <c r="CB78" i="13" s="1"/>
  <c r="CC78" i="13" s="1"/>
  <c r="CD78" i="13" s="1"/>
  <c r="CE78" i="13" s="1"/>
  <c r="CF78" i="13" s="1"/>
  <c r="CG78" i="13" s="1"/>
  <c r="CH78" i="13" s="1"/>
  <c r="CI78" i="13" s="1"/>
  <c r="CJ78" i="13" s="1"/>
  <c r="CK78" i="13" s="1"/>
  <c r="CL78" i="13" s="1"/>
  <c r="CM78" i="13" s="1"/>
  <c r="CN78" i="13" s="1"/>
  <c r="CO78" i="13" s="1"/>
  <c r="CP78" i="13" s="1"/>
  <c r="CQ78" i="13" s="1"/>
  <c r="CR78" i="13" s="1"/>
  <c r="CS78" i="13" s="1"/>
  <c r="CT78" i="13" s="1"/>
  <c r="CU78" i="13" s="1"/>
  <c r="CV78" i="13" s="1"/>
  <c r="CW78" i="13" s="1"/>
  <c r="CX78" i="13" s="1"/>
  <c r="CY78" i="13" s="1"/>
  <c r="CZ78" i="13" s="1"/>
  <c r="DA78" i="13" s="1"/>
  <c r="DB78" i="13" s="1"/>
  <c r="DC78" i="13" s="1"/>
  <c r="DD78" i="13" s="1"/>
  <c r="DE78" i="13" s="1"/>
  <c r="DF78" i="13" s="1"/>
  <c r="DG78" i="13" s="1"/>
  <c r="DH78" i="13" s="1"/>
  <c r="DI78" i="13" s="1"/>
  <c r="B89" i="13"/>
  <c r="A89" i="13" s="1"/>
  <c r="AR89" i="13" s="1"/>
  <c r="AS89" i="13" s="1"/>
  <c r="AT89" i="13" s="1"/>
  <c r="AU89" i="13" s="1"/>
  <c r="AV89" i="13" s="1"/>
  <c r="AW89" i="13" s="1"/>
  <c r="AX89" i="13" s="1"/>
  <c r="AY89" i="13" s="1"/>
  <c r="AZ89" i="13" s="1"/>
  <c r="BA89" i="13" s="1"/>
  <c r="BB89" i="13" s="1"/>
  <c r="BC89" i="13" s="1"/>
  <c r="BD89" i="13" s="1"/>
  <c r="BE89" i="13" s="1"/>
  <c r="BF89" i="13" s="1"/>
  <c r="BG89" i="13" s="1"/>
  <c r="BH89" i="13" s="1"/>
  <c r="BI89" i="13" s="1"/>
  <c r="BJ89" i="13" s="1"/>
  <c r="BK89" i="13" s="1"/>
  <c r="BL89" i="13" s="1"/>
  <c r="BM89" i="13" s="1"/>
  <c r="BN89" i="13" s="1"/>
  <c r="BO89" i="13" s="1"/>
  <c r="BP89" i="13" s="1"/>
  <c r="BQ89" i="13" s="1"/>
  <c r="BR89" i="13" s="1"/>
  <c r="BS89" i="13" s="1"/>
  <c r="BT89" i="13" s="1"/>
  <c r="BU89" i="13" s="1"/>
  <c r="BV89" i="13" s="1"/>
  <c r="BW89" i="13" s="1"/>
  <c r="BX89" i="13" s="1"/>
  <c r="BY89" i="13" s="1"/>
  <c r="BZ89" i="13" s="1"/>
  <c r="CA89" i="13" s="1"/>
  <c r="CB89" i="13" s="1"/>
  <c r="CC89" i="13" s="1"/>
  <c r="CD89" i="13" s="1"/>
  <c r="CE89" i="13" s="1"/>
  <c r="CF89" i="13" s="1"/>
  <c r="CG89" i="13" s="1"/>
  <c r="CH89" i="13" s="1"/>
  <c r="CI89" i="13" s="1"/>
  <c r="CJ89" i="13" s="1"/>
  <c r="CK89" i="13" s="1"/>
  <c r="CL89" i="13" s="1"/>
  <c r="CM89" i="13" s="1"/>
  <c r="CN89" i="13" s="1"/>
  <c r="CO89" i="13" s="1"/>
  <c r="CP89" i="13" s="1"/>
  <c r="CQ89" i="13" s="1"/>
  <c r="CR89" i="13" s="1"/>
  <c r="CS89" i="13" s="1"/>
  <c r="CT89" i="13" s="1"/>
  <c r="CU89" i="13" s="1"/>
  <c r="CV89" i="13" s="1"/>
  <c r="CW89" i="13" s="1"/>
  <c r="CX89" i="13" s="1"/>
  <c r="CY89" i="13" s="1"/>
  <c r="CZ89" i="13" s="1"/>
  <c r="DA89" i="13" s="1"/>
  <c r="DB89" i="13" s="1"/>
  <c r="DC89" i="13" s="1"/>
  <c r="DD89" i="13" s="1"/>
  <c r="DE89" i="13" s="1"/>
  <c r="DF89" i="13" s="1"/>
  <c r="DG89" i="13" s="1"/>
  <c r="DH89" i="13" s="1"/>
  <c r="DI89" i="13" s="1"/>
  <c r="B45" i="13"/>
  <c r="A45" i="13" s="1"/>
  <c r="B88" i="13"/>
  <c r="A88" i="13" s="1"/>
  <c r="AU88" i="13" s="1"/>
  <c r="AV88" i="13" s="1"/>
  <c r="AW88" i="13" s="1"/>
  <c r="AX88" i="13" s="1"/>
  <c r="AY88" i="13" s="1"/>
  <c r="AZ88" i="13" s="1"/>
  <c r="BA88" i="13" s="1"/>
  <c r="BB88" i="13" s="1"/>
  <c r="BC88" i="13" s="1"/>
  <c r="BD88" i="13" s="1"/>
  <c r="BE88" i="13" s="1"/>
  <c r="BF88" i="13" s="1"/>
  <c r="BG88" i="13" s="1"/>
  <c r="BH88" i="13" s="1"/>
  <c r="BI88" i="13" s="1"/>
  <c r="BJ88" i="13" s="1"/>
  <c r="BK88" i="13" s="1"/>
  <c r="BL88" i="13" s="1"/>
  <c r="BM88" i="13" s="1"/>
  <c r="BN88" i="13" s="1"/>
  <c r="BO88" i="13" s="1"/>
  <c r="BP88" i="13" s="1"/>
  <c r="BQ88" i="13" s="1"/>
  <c r="BR88" i="13" s="1"/>
  <c r="BS88" i="13" s="1"/>
  <c r="BT88" i="13" s="1"/>
  <c r="BU88" i="13" s="1"/>
  <c r="BV88" i="13" s="1"/>
  <c r="BW88" i="13" s="1"/>
  <c r="BX88" i="13" s="1"/>
  <c r="BY88" i="13" s="1"/>
  <c r="BZ88" i="13" s="1"/>
  <c r="CA88" i="13" s="1"/>
  <c r="CB88" i="13" s="1"/>
  <c r="CC88" i="13" s="1"/>
  <c r="CD88" i="13" s="1"/>
  <c r="CE88" i="13" s="1"/>
  <c r="CF88" i="13" s="1"/>
  <c r="CG88" i="13" s="1"/>
  <c r="CH88" i="13" s="1"/>
  <c r="CI88" i="13" s="1"/>
  <c r="CJ88" i="13" s="1"/>
  <c r="CK88" i="13" s="1"/>
  <c r="CL88" i="13" s="1"/>
  <c r="CM88" i="13" s="1"/>
  <c r="CN88" i="13" s="1"/>
  <c r="CO88" i="13" s="1"/>
  <c r="CP88" i="13" s="1"/>
  <c r="CQ88" i="13" s="1"/>
  <c r="CR88" i="13" s="1"/>
  <c r="CS88" i="13" s="1"/>
  <c r="CT88" i="13" s="1"/>
  <c r="CU88" i="13" s="1"/>
  <c r="CV88" i="13" s="1"/>
  <c r="CW88" i="13" s="1"/>
  <c r="CX88" i="13" s="1"/>
  <c r="CY88" i="13" s="1"/>
  <c r="CZ88" i="13" s="1"/>
  <c r="DA88" i="13" s="1"/>
  <c r="DB88" i="13" s="1"/>
  <c r="DC88" i="13" s="1"/>
  <c r="DD88" i="13" s="1"/>
  <c r="DE88" i="13" s="1"/>
  <c r="DF88" i="13" s="1"/>
  <c r="DG88" i="13" s="1"/>
  <c r="DH88" i="13" s="1"/>
  <c r="DI88" i="13" s="1"/>
  <c r="B22" i="13"/>
  <c r="A22" i="13" s="1"/>
  <c r="B40" i="13"/>
  <c r="A40" i="13" s="1"/>
  <c r="B28" i="13"/>
  <c r="A28" i="13" s="1"/>
  <c r="B24" i="13"/>
  <c r="A24" i="13" s="1"/>
  <c r="B34" i="13"/>
  <c r="A34" i="13" s="1"/>
  <c r="B18" i="13"/>
  <c r="A18" i="13" s="1"/>
  <c r="B73" i="13"/>
  <c r="A73" i="13" s="1"/>
  <c r="B98" i="13"/>
  <c r="A98" i="13" s="1"/>
  <c r="AV98" i="13" s="1"/>
  <c r="AW98" i="13" s="1"/>
  <c r="AX98" i="13" s="1"/>
  <c r="AY98" i="13" s="1"/>
  <c r="AZ98" i="13" s="1"/>
  <c r="BA98" i="13" s="1"/>
  <c r="BB98" i="13" s="1"/>
  <c r="BC98" i="13" s="1"/>
  <c r="BD98" i="13" s="1"/>
  <c r="BE98" i="13" s="1"/>
  <c r="BF98" i="13" s="1"/>
  <c r="BG98" i="13" s="1"/>
  <c r="BH98" i="13" s="1"/>
  <c r="BI98" i="13" s="1"/>
  <c r="BJ98" i="13" s="1"/>
  <c r="BK98" i="13" s="1"/>
  <c r="BL98" i="13" s="1"/>
  <c r="BM98" i="13" s="1"/>
  <c r="BN98" i="13" s="1"/>
  <c r="BO98" i="13" s="1"/>
  <c r="BP98" i="13" s="1"/>
  <c r="BQ98" i="13" s="1"/>
  <c r="BR98" i="13" s="1"/>
  <c r="BS98" i="13" s="1"/>
  <c r="BT98" i="13" s="1"/>
  <c r="BU98" i="13" s="1"/>
  <c r="BV98" i="13" s="1"/>
  <c r="BW98" i="13" s="1"/>
  <c r="BX98" i="13" s="1"/>
  <c r="BY98" i="13" s="1"/>
  <c r="BZ98" i="13" s="1"/>
  <c r="CA98" i="13" s="1"/>
  <c r="CB98" i="13" s="1"/>
  <c r="CC98" i="13" s="1"/>
  <c r="CD98" i="13" s="1"/>
  <c r="CE98" i="13" s="1"/>
  <c r="CF98" i="13" s="1"/>
  <c r="CG98" i="13" s="1"/>
  <c r="CH98" i="13" s="1"/>
  <c r="CI98" i="13" s="1"/>
  <c r="CJ98" i="13" s="1"/>
  <c r="CK98" i="13" s="1"/>
  <c r="CL98" i="13" s="1"/>
  <c r="CM98" i="13" s="1"/>
  <c r="CN98" i="13" s="1"/>
  <c r="CO98" i="13" s="1"/>
  <c r="CP98" i="13" s="1"/>
  <c r="CQ98" i="13" s="1"/>
  <c r="CR98" i="13" s="1"/>
  <c r="CS98" i="13" s="1"/>
  <c r="CT98" i="13" s="1"/>
  <c r="CU98" i="13" s="1"/>
  <c r="CV98" i="13" s="1"/>
  <c r="CW98" i="13" s="1"/>
  <c r="CX98" i="13" s="1"/>
  <c r="CY98" i="13" s="1"/>
  <c r="CZ98" i="13" s="1"/>
  <c r="DA98" i="13" s="1"/>
  <c r="DB98" i="13" s="1"/>
  <c r="DC98" i="13" s="1"/>
  <c r="DD98" i="13" s="1"/>
  <c r="DE98" i="13" s="1"/>
  <c r="DF98" i="13" s="1"/>
  <c r="DG98" i="13" s="1"/>
  <c r="DH98" i="13" s="1"/>
  <c r="DI98" i="13" s="1"/>
  <c r="B6" i="13"/>
  <c r="A6" i="13" s="1"/>
  <c r="B32" i="13"/>
  <c r="A32" i="13" s="1"/>
  <c r="B94" i="13"/>
  <c r="A94" i="13" s="1"/>
  <c r="BA94" i="13" s="1"/>
  <c r="BB94" i="13" s="1"/>
  <c r="BC94" i="13" s="1"/>
  <c r="BD94" i="13" s="1"/>
  <c r="BE94" i="13" s="1"/>
  <c r="BF94" i="13" s="1"/>
  <c r="BG94" i="13" s="1"/>
  <c r="BH94" i="13" s="1"/>
  <c r="BI94" i="13" s="1"/>
  <c r="BJ94" i="13" s="1"/>
  <c r="BK94" i="13" s="1"/>
  <c r="BL94" i="13" s="1"/>
  <c r="BM94" i="13" s="1"/>
  <c r="BN94" i="13" s="1"/>
  <c r="BO94" i="13" s="1"/>
  <c r="BP94" i="13" s="1"/>
  <c r="BQ94" i="13" s="1"/>
  <c r="BR94" i="13" s="1"/>
  <c r="BS94" i="13" s="1"/>
  <c r="BT94" i="13" s="1"/>
  <c r="BU94" i="13" s="1"/>
  <c r="BV94" i="13" s="1"/>
  <c r="BW94" i="13" s="1"/>
  <c r="BX94" i="13" s="1"/>
  <c r="BY94" i="13" s="1"/>
  <c r="BZ94" i="13" s="1"/>
  <c r="CA94" i="13" s="1"/>
  <c r="CB94" i="13" s="1"/>
  <c r="CC94" i="13" s="1"/>
  <c r="CD94" i="13" s="1"/>
  <c r="CE94" i="13" s="1"/>
  <c r="CF94" i="13" s="1"/>
  <c r="CG94" i="13" s="1"/>
  <c r="CH94" i="13" s="1"/>
  <c r="CI94" i="13" s="1"/>
  <c r="CJ94" i="13" s="1"/>
  <c r="CK94" i="13" s="1"/>
  <c r="CL94" i="13" s="1"/>
  <c r="CM94" i="13" s="1"/>
  <c r="CN94" i="13" s="1"/>
  <c r="CO94" i="13" s="1"/>
  <c r="CP94" i="13" s="1"/>
  <c r="CQ94" i="13" s="1"/>
  <c r="CR94" i="13" s="1"/>
  <c r="CS94" i="13" s="1"/>
  <c r="CT94" i="13" s="1"/>
  <c r="CU94" i="13" s="1"/>
  <c r="CV94" i="13" s="1"/>
  <c r="CW94" i="13" s="1"/>
  <c r="CX94" i="13" s="1"/>
  <c r="CY94" i="13" s="1"/>
  <c r="CZ94" i="13" s="1"/>
  <c r="DA94" i="13" s="1"/>
  <c r="DB94" i="13" s="1"/>
  <c r="DC94" i="13" s="1"/>
  <c r="DD94" i="13" s="1"/>
  <c r="DE94" i="13" s="1"/>
  <c r="DF94" i="13" s="1"/>
  <c r="DG94" i="13" s="1"/>
  <c r="DH94" i="13" s="1"/>
  <c r="DI94" i="13" s="1"/>
  <c r="B26" i="13"/>
  <c r="A26" i="13" s="1"/>
  <c r="B91" i="13"/>
  <c r="A91" i="13" s="1"/>
  <c r="B124" i="13"/>
  <c r="A124" i="13" s="1"/>
  <c r="AX124" i="13" s="1"/>
  <c r="AY124" i="13" s="1"/>
  <c r="AZ124" i="13" s="1"/>
  <c r="BA124" i="13" s="1"/>
  <c r="BB124" i="13" s="1"/>
  <c r="BC124" i="13" s="1"/>
  <c r="BD124" i="13" s="1"/>
  <c r="BE124" i="13" s="1"/>
  <c r="BF124" i="13" s="1"/>
  <c r="BG124" i="13" s="1"/>
  <c r="BH124" i="13" s="1"/>
  <c r="BI124" i="13" s="1"/>
  <c r="BJ124" i="13" s="1"/>
  <c r="BK124" i="13" s="1"/>
  <c r="BL124" i="13" s="1"/>
  <c r="BM124" i="13" s="1"/>
  <c r="BN124" i="13" s="1"/>
  <c r="BO124" i="13" s="1"/>
  <c r="BP124" i="13" s="1"/>
  <c r="BQ124" i="13" s="1"/>
  <c r="BR124" i="13" s="1"/>
  <c r="BS124" i="13" s="1"/>
  <c r="BT124" i="13" s="1"/>
  <c r="BU124" i="13" s="1"/>
  <c r="BV124" i="13" s="1"/>
  <c r="BW124" i="13" s="1"/>
  <c r="BX124" i="13" s="1"/>
  <c r="BY124" i="13" s="1"/>
  <c r="BZ124" i="13" s="1"/>
  <c r="CA124" i="13" s="1"/>
  <c r="CB124" i="13" s="1"/>
  <c r="CC124" i="13" s="1"/>
  <c r="CD124" i="13" s="1"/>
  <c r="CE124" i="13" s="1"/>
  <c r="CF124" i="13" s="1"/>
  <c r="CG124" i="13" s="1"/>
  <c r="CH124" i="13" s="1"/>
  <c r="CI124" i="13" s="1"/>
  <c r="CJ124" i="13" s="1"/>
  <c r="CK124" i="13" s="1"/>
  <c r="CL124" i="13" s="1"/>
  <c r="CM124" i="13" s="1"/>
  <c r="CN124" i="13" s="1"/>
  <c r="CO124" i="13" s="1"/>
  <c r="CP124" i="13" s="1"/>
  <c r="CQ124" i="13" s="1"/>
  <c r="CR124" i="13" s="1"/>
  <c r="CS124" i="13" s="1"/>
  <c r="CT124" i="13" s="1"/>
  <c r="CU124" i="13" s="1"/>
  <c r="CV124" i="13" s="1"/>
  <c r="CW124" i="13" s="1"/>
  <c r="CX124" i="13" s="1"/>
  <c r="CY124" i="13" s="1"/>
  <c r="CZ124" i="13" s="1"/>
  <c r="DA124" i="13" s="1"/>
  <c r="DB124" i="13" s="1"/>
  <c r="DC124" i="13" s="1"/>
  <c r="DD124" i="13" s="1"/>
  <c r="DE124" i="13" s="1"/>
  <c r="DF124" i="13" s="1"/>
  <c r="DG124" i="13" s="1"/>
  <c r="DH124" i="13" s="1"/>
  <c r="DI124" i="13" s="1"/>
  <c r="B101" i="13"/>
  <c r="A101" i="13" s="1"/>
  <c r="BD101" i="13" s="1"/>
  <c r="BE101" i="13" s="1"/>
  <c r="BF101" i="13" s="1"/>
  <c r="BG101" i="13" s="1"/>
  <c r="BH101" i="13" s="1"/>
  <c r="BI101" i="13" s="1"/>
  <c r="BJ101" i="13" s="1"/>
  <c r="BK101" i="13" s="1"/>
  <c r="BL101" i="13" s="1"/>
  <c r="BM101" i="13" s="1"/>
  <c r="BN101" i="13" s="1"/>
  <c r="BO101" i="13" s="1"/>
  <c r="BP101" i="13" s="1"/>
  <c r="BQ101" i="13" s="1"/>
  <c r="BR101" i="13" s="1"/>
  <c r="BS101" i="13" s="1"/>
  <c r="BT101" i="13" s="1"/>
  <c r="BU101" i="13" s="1"/>
  <c r="BV101" i="13" s="1"/>
  <c r="BW101" i="13" s="1"/>
  <c r="BX101" i="13" s="1"/>
  <c r="BY101" i="13" s="1"/>
  <c r="BZ101" i="13" s="1"/>
  <c r="CA101" i="13" s="1"/>
  <c r="CB101" i="13" s="1"/>
  <c r="CC101" i="13" s="1"/>
  <c r="CD101" i="13" s="1"/>
  <c r="CE101" i="13" s="1"/>
  <c r="CF101" i="13" s="1"/>
  <c r="CG101" i="13" s="1"/>
  <c r="CH101" i="13" s="1"/>
  <c r="CI101" i="13" s="1"/>
  <c r="CJ101" i="13" s="1"/>
  <c r="CK101" i="13" s="1"/>
  <c r="CL101" i="13" s="1"/>
  <c r="CM101" i="13" s="1"/>
  <c r="CN101" i="13" s="1"/>
  <c r="CO101" i="13" s="1"/>
  <c r="CP101" i="13" s="1"/>
  <c r="CQ101" i="13" s="1"/>
  <c r="CR101" i="13" s="1"/>
  <c r="CS101" i="13" s="1"/>
  <c r="CT101" i="13" s="1"/>
  <c r="CU101" i="13" s="1"/>
  <c r="CV101" i="13" s="1"/>
  <c r="CW101" i="13" s="1"/>
  <c r="CX101" i="13" s="1"/>
  <c r="CY101" i="13" s="1"/>
  <c r="CZ101" i="13" s="1"/>
  <c r="DA101" i="13" s="1"/>
  <c r="DB101" i="13" s="1"/>
  <c r="DC101" i="13" s="1"/>
  <c r="DD101" i="13" s="1"/>
  <c r="DE101" i="13" s="1"/>
  <c r="DF101" i="13" s="1"/>
  <c r="DG101" i="13" s="1"/>
  <c r="DH101" i="13" s="1"/>
  <c r="DI101" i="13" s="1"/>
  <c r="B20" i="13"/>
  <c r="A20" i="13" s="1"/>
  <c r="B87" i="13"/>
  <c r="A87" i="13" s="1"/>
  <c r="AX87" i="13" s="1"/>
  <c r="AY87" i="13" s="1"/>
  <c r="AZ87" i="13" s="1"/>
  <c r="BA87" i="13" s="1"/>
  <c r="BB87" i="13" s="1"/>
  <c r="BC87" i="13" s="1"/>
  <c r="BD87" i="13" s="1"/>
  <c r="BE87" i="13" s="1"/>
  <c r="BF87" i="13" s="1"/>
  <c r="BG87" i="13" s="1"/>
  <c r="BH87" i="13" s="1"/>
  <c r="BI87" i="13" s="1"/>
  <c r="BJ87" i="13" s="1"/>
  <c r="BK87" i="13" s="1"/>
  <c r="BL87" i="13" s="1"/>
  <c r="BM87" i="13" s="1"/>
  <c r="BN87" i="13" s="1"/>
  <c r="BO87" i="13" s="1"/>
  <c r="BP87" i="13" s="1"/>
  <c r="BQ87" i="13" s="1"/>
  <c r="BR87" i="13" s="1"/>
  <c r="BS87" i="13" s="1"/>
  <c r="BT87" i="13" s="1"/>
  <c r="BU87" i="13" s="1"/>
  <c r="BV87" i="13" s="1"/>
  <c r="BW87" i="13" s="1"/>
  <c r="BX87" i="13" s="1"/>
  <c r="BY87" i="13" s="1"/>
  <c r="BZ87" i="13" s="1"/>
  <c r="CA87" i="13" s="1"/>
  <c r="CB87" i="13" s="1"/>
  <c r="CC87" i="13" s="1"/>
  <c r="CD87" i="13" s="1"/>
  <c r="CE87" i="13" s="1"/>
  <c r="CF87" i="13" s="1"/>
  <c r="CG87" i="13" s="1"/>
  <c r="CH87" i="13" s="1"/>
  <c r="CI87" i="13" s="1"/>
  <c r="CJ87" i="13" s="1"/>
  <c r="CK87" i="13" s="1"/>
  <c r="CL87" i="13" s="1"/>
  <c r="CM87" i="13" s="1"/>
  <c r="CN87" i="13" s="1"/>
  <c r="CO87" i="13" s="1"/>
  <c r="CP87" i="13" s="1"/>
  <c r="CQ87" i="13" s="1"/>
  <c r="CR87" i="13" s="1"/>
  <c r="CS87" i="13" s="1"/>
  <c r="CT87" i="13" s="1"/>
  <c r="CU87" i="13" s="1"/>
  <c r="CV87" i="13" s="1"/>
  <c r="CW87" i="13" s="1"/>
  <c r="CX87" i="13" s="1"/>
  <c r="CY87" i="13" s="1"/>
  <c r="CZ87" i="13" s="1"/>
  <c r="DA87" i="13" s="1"/>
  <c r="DB87" i="13" s="1"/>
  <c r="DC87" i="13" s="1"/>
  <c r="DD87" i="13" s="1"/>
  <c r="DE87" i="13" s="1"/>
  <c r="DF87" i="13" s="1"/>
  <c r="DG87" i="13" s="1"/>
  <c r="DH87" i="13" s="1"/>
  <c r="DI87" i="13" s="1"/>
  <c r="B50" i="13"/>
  <c r="A50" i="13" s="1"/>
  <c r="B53" i="13"/>
  <c r="A53" i="13" s="1"/>
  <c r="B95" i="13"/>
  <c r="A95" i="13" s="1"/>
  <c r="B93" i="13"/>
  <c r="A93" i="13" s="1"/>
  <c r="BA93" i="13" s="1"/>
  <c r="BB93" i="13" s="1"/>
  <c r="BC93" i="13" s="1"/>
  <c r="BD93" i="13" s="1"/>
  <c r="BE93" i="13" s="1"/>
  <c r="BF93" i="13" s="1"/>
  <c r="BG93" i="13" s="1"/>
  <c r="BH93" i="13" s="1"/>
  <c r="BI93" i="13" s="1"/>
  <c r="BJ93" i="13" s="1"/>
  <c r="BK93" i="13" s="1"/>
  <c r="BL93" i="13" s="1"/>
  <c r="BM93" i="13" s="1"/>
  <c r="BN93" i="13" s="1"/>
  <c r="BO93" i="13" s="1"/>
  <c r="BP93" i="13" s="1"/>
  <c r="BQ93" i="13" s="1"/>
  <c r="BR93" i="13" s="1"/>
  <c r="BS93" i="13" s="1"/>
  <c r="BT93" i="13" s="1"/>
  <c r="BU93" i="13" s="1"/>
  <c r="BV93" i="13" s="1"/>
  <c r="BW93" i="13" s="1"/>
  <c r="BX93" i="13" s="1"/>
  <c r="BY93" i="13" s="1"/>
  <c r="BZ93" i="13" s="1"/>
  <c r="CA93" i="13" s="1"/>
  <c r="CB93" i="13" s="1"/>
  <c r="CC93" i="13" s="1"/>
  <c r="CD93" i="13" s="1"/>
  <c r="CE93" i="13" s="1"/>
  <c r="CF93" i="13" s="1"/>
  <c r="CG93" i="13" s="1"/>
  <c r="CH93" i="13" s="1"/>
  <c r="CI93" i="13" s="1"/>
  <c r="CJ93" i="13" s="1"/>
  <c r="CK93" i="13" s="1"/>
  <c r="CL93" i="13" s="1"/>
  <c r="CM93" i="13" s="1"/>
  <c r="CN93" i="13" s="1"/>
  <c r="CO93" i="13" s="1"/>
  <c r="CP93" i="13" s="1"/>
  <c r="CQ93" i="13" s="1"/>
  <c r="CR93" i="13" s="1"/>
  <c r="CS93" i="13" s="1"/>
  <c r="CT93" i="13" s="1"/>
  <c r="CU93" i="13" s="1"/>
  <c r="CV93" i="13" s="1"/>
  <c r="CW93" i="13" s="1"/>
  <c r="CX93" i="13" s="1"/>
  <c r="CY93" i="13" s="1"/>
  <c r="CZ93" i="13" s="1"/>
  <c r="DA93" i="13" s="1"/>
  <c r="DB93" i="13" s="1"/>
  <c r="DC93" i="13" s="1"/>
  <c r="DD93" i="13" s="1"/>
  <c r="DE93" i="13" s="1"/>
  <c r="DF93" i="13" s="1"/>
  <c r="DG93" i="13" s="1"/>
  <c r="DH93" i="13" s="1"/>
  <c r="DI93" i="13" s="1"/>
  <c r="B100" i="13"/>
  <c r="A100" i="13" s="1"/>
  <c r="BD100" i="13" s="1"/>
  <c r="BE100" i="13" s="1"/>
  <c r="BF100" i="13" s="1"/>
  <c r="BG100" i="13" s="1"/>
  <c r="BH100" i="13" s="1"/>
  <c r="BI100" i="13" s="1"/>
  <c r="BJ100" i="13" s="1"/>
  <c r="BK100" i="13" s="1"/>
  <c r="BL100" i="13" s="1"/>
  <c r="BM100" i="13" s="1"/>
  <c r="BN100" i="13" s="1"/>
  <c r="BO100" i="13" s="1"/>
  <c r="BP100" i="13" s="1"/>
  <c r="BQ100" i="13" s="1"/>
  <c r="BR100" i="13" s="1"/>
  <c r="BS100" i="13" s="1"/>
  <c r="BT100" i="13" s="1"/>
  <c r="BU100" i="13" s="1"/>
  <c r="BV100" i="13" s="1"/>
  <c r="BW100" i="13" s="1"/>
  <c r="BX100" i="13" s="1"/>
  <c r="BY100" i="13" s="1"/>
  <c r="BZ100" i="13" s="1"/>
  <c r="CA100" i="13" s="1"/>
  <c r="CB100" i="13" s="1"/>
  <c r="CC100" i="13" s="1"/>
  <c r="CD100" i="13" s="1"/>
  <c r="CE100" i="13" s="1"/>
  <c r="CF100" i="13" s="1"/>
  <c r="CG100" i="13" s="1"/>
  <c r="CH100" i="13" s="1"/>
  <c r="CI100" i="13" s="1"/>
  <c r="CJ100" i="13" s="1"/>
  <c r="CK100" i="13" s="1"/>
  <c r="CL100" i="13" s="1"/>
  <c r="CM100" i="13" s="1"/>
  <c r="CN100" i="13" s="1"/>
  <c r="CO100" i="13" s="1"/>
  <c r="CP100" i="13" s="1"/>
  <c r="CQ100" i="13" s="1"/>
  <c r="CR100" i="13" s="1"/>
  <c r="CS100" i="13" s="1"/>
  <c r="CT100" i="13" s="1"/>
  <c r="CU100" i="13" s="1"/>
  <c r="CV100" i="13" s="1"/>
  <c r="CW100" i="13" s="1"/>
  <c r="CX100" i="13" s="1"/>
  <c r="CY100" i="13" s="1"/>
  <c r="CZ100" i="13" s="1"/>
  <c r="DA100" i="13" s="1"/>
  <c r="DB100" i="13" s="1"/>
  <c r="DC100" i="13" s="1"/>
  <c r="DD100" i="13" s="1"/>
  <c r="DE100" i="13" s="1"/>
  <c r="DF100" i="13" s="1"/>
  <c r="DG100" i="13" s="1"/>
  <c r="DH100" i="13" s="1"/>
  <c r="DI100" i="13" s="1"/>
  <c r="B44" i="13"/>
  <c r="A44" i="13" s="1"/>
  <c r="B10" i="13"/>
  <c r="A10" i="13" s="1"/>
  <c r="B84" i="13"/>
  <c r="A84" i="13" s="1"/>
  <c r="B48" i="13"/>
  <c r="A48" i="13" s="1"/>
  <c r="B104" i="13"/>
  <c r="A104" i="13" s="1"/>
  <c r="BI104" i="13" s="1"/>
  <c r="BJ104" i="13" s="1"/>
  <c r="BK104" i="13" s="1"/>
  <c r="BL104" i="13" s="1"/>
  <c r="BM104" i="13" s="1"/>
  <c r="BN104" i="13" s="1"/>
  <c r="BO104" i="13" s="1"/>
  <c r="BP104" i="13" s="1"/>
  <c r="BQ104" i="13" s="1"/>
  <c r="BR104" i="13" s="1"/>
  <c r="BS104" i="13" s="1"/>
  <c r="BT104" i="13" s="1"/>
  <c r="BU104" i="13" s="1"/>
  <c r="BV104" i="13" s="1"/>
  <c r="BW104" i="13" s="1"/>
  <c r="BX104" i="13" s="1"/>
  <c r="BY104" i="13" s="1"/>
  <c r="BZ104" i="13" s="1"/>
  <c r="CA104" i="13" s="1"/>
  <c r="CB104" i="13" s="1"/>
  <c r="CC104" i="13" s="1"/>
  <c r="CD104" i="13" s="1"/>
  <c r="CE104" i="13" s="1"/>
  <c r="CF104" i="13" s="1"/>
  <c r="CG104" i="13" s="1"/>
  <c r="CH104" i="13" s="1"/>
  <c r="CI104" i="13" s="1"/>
  <c r="CJ104" i="13" s="1"/>
  <c r="CK104" i="13" s="1"/>
  <c r="CL104" i="13" s="1"/>
  <c r="CM104" i="13" s="1"/>
  <c r="CN104" i="13" s="1"/>
  <c r="CO104" i="13" s="1"/>
  <c r="CP104" i="13" s="1"/>
  <c r="CQ104" i="13" s="1"/>
  <c r="CR104" i="13" s="1"/>
  <c r="CS104" i="13" s="1"/>
  <c r="CT104" i="13" s="1"/>
  <c r="CU104" i="13" s="1"/>
  <c r="CV104" i="13" s="1"/>
  <c r="CW104" i="13" s="1"/>
  <c r="CX104" i="13" s="1"/>
  <c r="CY104" i="13" s="1"/>
  <c r="CZ104" i="13" s="1"/>
  <c r="DA104" i="13" s="1"/>
  <c r="DB104" i="13" s="1"/>
  <c r="DC104" i="13" s="1"/>
  <c r="DD104" i="13" s="1"/>
  <c r="DE104" i="13" s="1"/>
  <c r="DF104" i="13" s="1"/>
  <c r="DG104" i="13" s="1"/>
  <c r="DH104" i="13" s="1"/>
  <c r="DI104" i="13" s="1"/>
  <c r="B47" i="13"/>
  <c r="A47" i="13" s="1"/>
  <c r="B90" i="13"/>
  <c r="A90" i="13" s="1"/>
  <c r="B96" i="13"/>
  <c r="A96" i="13" s="1"/>
  <c r="BD96" i="13" s="1"/>
  <c r="BE96" i="13" s="1"/>
  <c r="BF96" i="13" s="1"/>
  <c r="BG96" i="13" s="1"/>
  <c r="BH96" i="13" s="1"/>
  <c r="BI96" i="13" s="1"/>
  <c r="BJ96" i="13" s="1"/>
  <c r="BK96" i="13" s="1"/>
  <c r="BL96" i="13" s="1"/>
  <c r="BM96" i="13" s="1"/>
  <c r="BN96" i="13" s="1"/>
  <c r="BO96" i="13" s="1"/>
  <c r="BP96" i="13" s="1"/>
  <c r="BQ96" i="13" s="1"/>
  <c r="BR96" i="13" s="1"/>
  <c r="BS96" i="13" s="1"/>
  <c r="BT96" i="13" s="1"/>
  <c r="BU96" i="13" s="1"/>
  <c r="BV96" i="13" s="1"/>
  <c r="BW96" i="13" s="1"/>
  <c r="BX96" i="13" s="1"/>
  <c r="BY96" i="13" s="1"/>
  <c r="BZ96" i="13" s="1"/>
  <c r="CA96" i="13" s="1"/>
  <c r="CB96" i="13" s="1"/>
  <c r="CC96" i="13" s="1"/>
  <c r="CD96" i="13" s="1"/>
  <c r="CE96" i="13" s="1"/>
  <c r="CF96" i="13" s="1"/>
  <c r="CG96" i="13" s="1"/>
  <c r="CH96" i="13" s="1"/>
  <c r="CI96" i="13" s="1"/>
  <c r="CJ96" i="13" s="1"/>
  <c r="CK96" i="13" s="1"/>
  <c r="CL96" i="13" s="1"/>
  <c r="CM96" i="13" s="1"/>
  <c r="CN96" i="13" s="1"/>
  <c r="CO96" i="13" s="1"/>
  <c r="CP96" i="13" s="1"/>
  <c r="CQ96" i="13" s="1"/>
  <c r="CR96" i="13" s="1"/>
  <c r="CS96" i="13" s="1"/>
  <c r="CT96" i="13" s="1"/>
  <c r="CU96" i="13" s="1"/>
  <c r="CV96" i="13" s="1"/>
  <c r="CW96" i="13" s="1"/>
  <c r="CX96" i="13" s="1"/>
  <c r="CY96" i="13" s="1"/>
  <c r="CZ96" i="13" s="1"/>
  <c r="DA96" i="13" s="1"/>
  <c r="DB96" i="13" s="1"/>
  <c r="DC96" i="13" s="1"/>
  <c r="DD96" i="13" s="1"/>
  <c r="DE96" i="13" s="1"/>
  <c r="DF96" i="13" s="1"/>
  <c r="DG96" i="13" s="1"/>
  <c r="DH96" i="13" s="1"/>
  <c r="DI96" i="13" s="1"/>
  <c r="B15" i="13"/>
  <c r="A15" i="13" s="1"/>
  <c r="B97" i="13"/>
  <c r="A97" i="13" s="1"/>
  <c r="B99" i="13"/>
  <c r="A99" i="13" s="1"/>
  <c r="B31" i="13"/>
  <c r="A31" i="13" s="1"/>
  <c r="B129" i="13"/>
  <c r="A129" i="13" s="1"/>
  <c r="BL129" i="13" s="1"/>
  <c r="BM129" i="13" s="1"/>
  <c r="BN129" i="13" s="1"/>
  <c r="BO129" i="13" s="1"/>
  <c r="BP129" i="13" s="1"/>
  <c r="BQ129" i="13" s="1"/>
  <c r="BR129" i="13" s="1"/>
  <c r="BS129" i="13" s="1"/>
  <c r="BT129" i="13" s="1"/>
  <c r="BU129" i="13" s="1"/>
  <c r="BV129" i="13" s="1"/>
  <c r="BW129" i="13" s="1"/>
  <c r="BX129" i="13" s="1"/>
  <c r="BY129" i="13" s="1"/>
  <c r="BZ129" i="13" s="1"/>
  <c r="CA129" i="13" s="1"/>
  <c r="CB129" i="13" s="1"/>
  <c r="CC129" i="13" s="1"/>
  <c r="CD129" i="13" s="1"/>
  <c r="CE129" i="13" s="1"/>
  <c r="CF129" i="13" s="1"/>
  <c r="CG129" i="13" s="1"/>
  <c r="CH129" i="13" s="1"/>
  <c r="CI129" i="13" s="1"/>
  <c r="CJ129" i="13" s="1"/>
  <c r="CK129" i="13" s="1"/>
  <c r="CL129" i="13" s="1"/>
  <c r="CM129" i="13" s="1"/>
  <c r="CN129" i="13" s="1"/>
  <c r="CO129" i="13" s="1"/>
  <c r="CP129" i="13" s="1"/>
  <c r="CQ129" i="13" s="1"/>
  <c r="CR129" i="13" s="1"/>
  <c r="CS129" i="13" s="1"/>
  <c r="CT129" i="13" s="1"/>
  <c r="CU129" i="13" s="1"/>
  <c r="CV129" i="13" s="1"/>
  <c r="CW129" i="13" s="1"/>
  <c r="CX129" i="13" s="1"/>
  <c r="CY129" i="13" s="1"/>
  <c r="CZ129" i="13" s="1"/>
  <c r="DA129" i="13" s="1"/>
  <c r="DB129" i="13" s="1"/>
  <c r="DC129" i="13" s="1"/>
  <c r="DD129" i="13" s="1"/>
  <c r="DE129" i="13" s="1"/>
  <c r="DF129" i="13" s="1"/>
  <c r="DG129" i="13" s="1"/>
  <c r="DH129" i="13" s="1"/>
  <c r="DI129" i="13" s="1"/>
  <c r="B64" i="13"/>
  <c r="A64" i="13" s="1"/>
  <c r="B92" i="13"/>
  <c r="A92" i="13" s="1"/>
  <c r="B108" i="13"/>
  <c r="A108" i="13" s="1"/>
  <c r="B62" i="13"/>
  <c r="A62" i="13" s="1"/>
  <c r="B113" i="13"/>
  <c r="A113" i="13" s="1"/>
  <c r="B61" i="13"/>
  <c r="A61" i="13" s="1"/>
  <c r="B106" i="13"/>
  <c r="A106" i="13" s="1"/>
  <c r="B49" i="13"/>
  <c r="A49" i="13" s="1"/>
  <c r="B27" i="13"/>
  <c r="A27" i="13" s="1"/>
  <c r="BM113" i="13" l="1"/>
  <c r="BN113" i="13" s="1"/>
  <c r="BO113" i="13" s="1"/>
  <c r="BP113" i="13" s="1"/>
  <c r="BQ113" i="13" s="1"/>
  <c r="BR113" i="13" s="1"/>
  <c r="BS113" i="13" s="1"/>
  <c r="BT113" i="13" s="1"/>
  <c r="BU113" i="13" s="1"/>
  <c r="BV113" i="13" s="1"/>
  <c r="BW113" i="13" s="1"/>
  <c r="BX113" i="13" s="1"/>
  <c r="BY113" i="13" s="1"/>
  <c r="BZ113" i="13" s="1"/>
  <c r="CA113" i="13" s="1"/>
  <c r="CB113" i="13" s="1"/>
  <c r="CC113" i="13" s="1"/>
  <c r="CD113" i="13" s="1"/>
  <c r="CE113" i="13" s="1"/>
  <c r="CF113" i="13" s="1"/>
  <c r="CG113" i="13" s="1"/>
  <c r="CH113" i="13" s="1"/>
  <c r="CI113" i="13" s="1"/>
  <c r="CJ113" i="13" s="1"/>
  <c r="CK113" i="13" s="1"/>
  <c r="CL113" i="13" s="1"/>
  <c r="CM113" i="13" s="1"/>
  <c r="CN113" i="13" s="1"/>
  <c r="CO113" i="13" s="1"/>
  <c r="CP113" i="13" s="1"/>
  <c r="CQ113" i="13" s="1"/>
  <c r="CR113" i="13" s="1"/>
  <c r="CS113" i="13" s="1"/>
  <c r="CT113" i="13" s="1"/>
  <c r="CU113" i="13" s="1"/>
  <c r="CV113" i="13" s="1"/>
  <c r="CW113" i="13" s="1"/>
  <c r="CX113" i="13" s="1"/>
  <c r="CY113" i="13" s="1"/>
  <c r="CZ113" i="13" s="1"/>
  <c r="DA113" i="13" s="1"/>
  <c r="DB113" i="13" s="1"/>
  <c r="DC113" i="13" s="1"/>
  <c r="DD113" i="13" s="1"/>
  <c r="DE113" i="13" s="1"/>
  <c r="DF113" i="13" s="1"/>
  <c r="DG113" i="13" s="1"/>
  <c r="DH113" i="13" s="1"/>
  <c r="DI113" i="13" s="1"/>
  <c r="BK108" i="13"/>
  <c r="BL108" i="13" s="1"/>
  <c r="BM108" i="13" s="1"/>
  <c r="BN108" i="13" s="1"/>
  <c r="BO108" i="13" s="1"/>
  <c r="BP108" i="13" s="1"/>
  <c r="BQ108" i="13" s="1"/>
  <c r="BR108" i="13" s="1"/>
  <c r="BS108" i="13" s="1"/>
  <c r="BT108" i="13" s="1"/>
  <c r="BU108" i="13" s="1"/>
  <c r="BV108" i="13" s="1"/>
  <c r="BW108" i="13" s="1"/>
  <c r="BX108" i="13" s="1"/>
  <c r="BY108" i="13" s="1"/>
  <c r="BZ108" i="13" s="1"/>
  <c r="CA108" i="13" s="1"/>
  <c r="CB108" i="13" s="1"/>
  <c r="CC108" i="13" s="1"/>
  <c r="CD108" i="13" s="1"/>
  <c r="CE108" i="13" s="1"/>
  <c r="CF108" i="13" s="1"/>
  <c r="CG108" i="13" s="1"/>
  <c r="CH108" i="13" s="1"/>
  <c r="CI108" i="13" s="1"/>
  <c r="CJ108" i="13" s="1"/>
  <c r="CK108" i="13" s="1"/>
  <c r="CL108" i="13" s="1"/>
  <c r="CM108" i="13" s="1"/>
  <c r="CN108" i="13" s="1"/>
  <c r="CO108" i="13" s="1"/>
  <c r="CP108" i="13" s="1"/>
  <c r="CQ108" i="13" s="1"/>
  <c r="CR108" i="13" s="1"/>
  <c r="CS108" i="13" s="1"/>
  <c r="CT108" i="13" s="1"/>
  <c r="CU108" i="13" s="1"/>
  <c r="CV108" i="13" s="1"/>
  <c r="CW108" i="13" s="1"/>
  <c r="CX108" i="13" s="1"/>
  <c r="CY108" i="13" s="1"/>
  <c r="CZ108" i="13" s="1"/>
  <c r="DA108" i="13" s="1"/>
  <c r="DB108" i="13" s="1"/>
  <c r="DC108" i="13" s="1"/>
  <c r="DD108" i="13" s="1"/>
  <c r="DE108" i="13" s="1"/>
  <c r="DF108" i="13" s="1"/>
  <c r="DG108" i="13" s="1"/>
  <c r="DH108" i="13" s="1"/>
  <c r="DI108" i="13" s="1"/>
  <c r="BJ106" i="13"/>
  <c r="BK106" i="13" s="1"/>
  <c r="BL106" i="13" s="1"/>
  <c r="BM106" i="13" s="1"/>
  <c r="BN106" i="13" s="1"/>
  <c r="BO106" i="13" s="1"/>
  <c r="BP106" i="13" s="1"/>
  <c r="BQ106" i="13" s="1"/>
  <c r="BR106" i="13" s="1"/>
  <c r="BS106" i="13" s="1"/>
  <c r="BT106" i="13" s="1"/>
  <c r="BU106" i="13" s="1"/>
  <c r="BV106" i="13" s="1"/>
  <c r="BW106" i="13" s="1"/>
  <c r="BX106" i="13" s="1"/>
  <c r="BY106" i="13" s="1"/>
  <c r="BZ106" i="13" s="1"/>
  <c r="CA106" i="13" s="1"/>
  <c r="CB106" i="13" s="1"/>
  <c r="CC106" i="13" s="1"/>
  <c r="CD106" i="13" s="1"/>
  <c r="CE106" i="13" s="1"/>
  <c r="CF106" i="13" s="1"/>
  <c r="CG106" i="13" s="1"/>
  <c r="CH106" i="13" s="1"/>
  <c r="CI106" i="13" s="1"/>
  <c r="CJ106" i="13" s="1"/>
  <c r="CK106" i="13" s="1"/>
  <c r="CL106" i="13" s="1"/>
  <c r="CM106" i="13" s="1"/>
  <c r="CN106" i="13" s="1"/>
  <c r="CO106" i="13" s="1"/>
  <c r="CP106" i="13" s="1"/>
  <c r="CQ106" i="13" s="1"/>
  <c r="CR106" i="13" s="1"/>
  <c r="CS106" i="13" s="1"/>
  <c r="CT106" i="13" s="1"/>
  <c r="CU106" i="13" s="1"/>
  <c r="CV106" i="13" s="1"/>
  <c r="CW106" i="13" s="1"/>
  <c r="CX106" i="13" s="1"/>
  <c r="CY106" i="13" s="1"/>
  <c r="CZ106" i="13" s="1"/>
  <c r="DA106" i="13" s="1"/>
  <c r="DB106" i="13" s="1"/>
  <c r="DC106" i="13" s="1"/>
  <c r="DD106" i="13" s="1"/>
  <c r="DE106" i="13" s="1"/>
  <c r="DF106" i="13" s="1"/>
  <c r="DG106" i="13" s="1"/>
  <c r="DH106" i="13" s="1"/>
  <c r="DI106" i="13" s="1"/>
  <c r="BE99" i="13"/>
  <c r="BF99" i="13" s="1"/>
  <c r="BG99" i="13" s="1"/>
  <c r="BH99" i="13" s="1"/>
  <c r="BI99" i="13" s="1"/>
  <c r="BJ99" i="13" s="1"/>
  <c r="BK99" i="13" s="1"/>
  <c r="BL99" i="13" s="1"/>
  <c r="BM99" i="13" s="1"/>
  <c r="BN99" i="13" s="1"/>
  <c r="BO99" i="13" s="1"/>
  <c r="BP99" i="13" s="1"/>
  <c r="BQ99" i="13" s="1"/>
  <c r="BR99" i="13" s="1"/>
  <c r="BS99" i="13" s="1"/>
  <c r="BT99" i="13" s="1"/>
  <c r="BU99" i="13" s="1"/>
  <c r="BV99" i="13" s="1"/>
  <c r="BW99" i="13" s="1"/>
  <c r="BX99" i="13" s="1"/>
  <c r="BY99" i="13" s="1"/>
  <c r="BZ99" i="13" s="1"/>
  <c r="CA99" i="13" s="1"/>
  <c r="CB99" i="13" s="1"/>
  <c r="CC99" i="13" s="1"/>
  <c r="CD99" i="13" s="1"/>
  <c r="CE99" i="13" s="1"/>
  <c r="CF99" i="13" s="1"/>
  <c r="CG99" i="13" s="1"/>
  <c r="CH99" i="13" s="1"/>
  <c r="CI99" i="13" s="1"/>
  <c r="CJ99" i="13" s="1"/>
  <c r="CK99" i="13" s="1"/>
  <c r="CL99" i="13" s="1"/>
  <c r="CM99" i="13" s="1"/>
  <c r="CN99" i="13" s="1"/>
  <c r="CO99" i="13" s="1"/>
  <c r="CP99" i="13" s="1"/>
  <c r="CQ99" i="13" s="1"/>
  <c r="CR99" i="13" s="1"/>
  <c r="CS99" i="13" s="1"/>
  <c r="CT99" i="13" s="1"/>
  <c r="CU99" i="13" s="1"/>
  <c r="CV99" i="13" s="1"/>
  <c r="CW99" i="13" s="1"/>
  <c r="CX99" i="13" s="1"/>
  <c r="CY99" i="13" s="1"/>
  <c r="CZ99" i="13" s="1"/>
  <c r="DA99" i="13" s="1"/>
  <c r="DB99" i="13" s="1"/>
  <c r="DC99" i="13" s="1"/>
  <c r="DD99" i="13" s="1"/>
  <c r="DE99" i="13" s="1"/>
  <c r="DF99" i="13" s="1"/>
  <c r="DG99" i="13" s="1"/>
  <c r="DH99" i="13" s="1"/>
  <c r="DI99" i="13" s="1"/>
  <c r="BD97" i="13"/>
  <c r="BE97" i="13" s="1"/>
  <c r="BF97" i="13" s="1"/>
  <c r="BG97" i="13" s="1"/>
  <c r="BH97" i="13" s="1"/>
  <c r="BI97" i="13" s="1"/>
  <c r="BJ97" i="13" s="1"/>
  <c r="BK97" i="13" s="1"/>
  <c r="BL97" i="13" s="1"/>
  <c r="BM97" i="13" s="1"/>
  <c r="BN97" i="13" s="1"/>
  <c r="BO97" i="13" s="1"/>
  <c r="BP97" i="13" s="1"/>
  <c r="BQ97" i="13" s="1"/>
  <c r="BR97" i="13" s="1"/>
  <c r="BS97" i="13" s="1"/>
  <c r="BT97" i="13" s="1"/>
  <c r="BU97" i="13" s="1"/>
  <c r="BV97" i="13" s="1"/>
  <c r="BW97" i="13" s="1"/>
  <c r="BX97" i="13" s="1"/>
  <c r="BY97" i="13" s="1"/>
  <c r="BZ97" i="13" s="1"/>
  <c r="CA97" i="13" s="1"/>
  <c r="CB97" i="13" s="1"/>
  <c r="CC97" i="13" s="1"/>
  <c r="CD97" i="13" s="1"/>
  <c r="CE97" i="13" s="1"/>
  <c r="CF97" i="13" s="1"/>
  <c r="CG97" i="13" s="1"/>
  <c r="CH97" i="13" s="1"/>
  <c r="CI97" i="13" s="1"/>
  <c r="CJ97" i="13" s="1"/>
  <c r="CK97" i="13" s="1"/>
  <c r="CL97" i="13" s="1"/>
  <c r="CM97" i="13" s="1"/>
  <c r="CN97" i="13" s="1"/>
  <c r="CO97" i="13" s="1"/>
  <c r="CP97" i="13" s="1"/>
  <c r="CQ97" i="13" s="1"/>
  <c r="CR97" i="13" s="1"/>
  <c r="CS97" i="13" s="1"/>
  <c r="CT97" i="13" s="1"/>
  <c r="CU97" i="13" s="1"/>
  <c r="CV97" i="13" s="1"/>
  <c r="CW97" i="13" s="1"/>
  <c r="CX97" i="13" s="1"/>
  <c r="CY97" i="13" s="1"/>
  <c r="CZ97" i="13" s="1"/>
  <c r="DA97" i="13" s="1"/>
  <c r="DB97" i="13" s="1"/>
  <c r="DC97" i="13" s="1"/>
  <c r="DD97" i="13" s="1"/>
  <c r="DE97" i="13" s="1"/>
  <c r="DF97" i="13" s="1"/>
  <c r="DG97" i="13" s="1"/>
  <c r="DH97" i="13" s="1"/>
  <c r="DI97" i="13" s="1"/>
  <c r="BD95" i="13"/>
  <c r="BE95" i="13" s="1"/>
  <c r="BF95" i="13" s="1"/>
  <c r="BG95" i="13" s="1"/>
  <c r="BH95" i="13" s="1"/>
  <c r="BI95" i="13" s="1"/>
  <c r="BJ95" i="13" s="1"/>
  <c r="BK95" i="13" s="1"/>
  <c r="BL95" i="13" s="1"/>
  <c r="BM95" i="13" s="1"/>
  <c r="BN95" i="13" s="1"/>
  <c r="BO95" i="13" s="1"/>
  <c r="BP95" i="13" s="1"/>
  <c r="BQ95" i="13" s="1"/>
  <c r="BR95" i="13" s="1"/>
  <c r="BS95" i="13" s="1"/>
  <c r="BT95" i="13" s="1"/>
  <c r="BU95" i="13" s="1"/>
  <c r="BV95" i="13" s="1"/>
  <c r="BW95" i="13" s="1"/>
  <c r="BX95" i="13" s="1"/>
  <c r="BY95" i="13" s="1"/>
  <c r="BZ95" i="13" s="1"/>
  <c r="CA95" i="13" s="1"/>
  <c r="CB95" i="13" s="1"/>
  <c r="CC95" i="13" s="1"/>
  <c r="CD95" i="13" s="1"/>
  <c r="CE95" i="13" s="1"/>
  <c r="CF95" i="13" s="1"/>
  <c r="CG95" i="13" s="1"/>
  <c r="CH95" i="13" s="1"/>
  <c r="CI95" i="13" s="1"/>
  <c r="CJ95" i="13" s="1"/>
  <c r="CK95" i="13" s="1"/>
  <c r="CL95" i="13" s="1"/>
  <c r="CM95" i="13" s="1"/>
  <c r="CN95" i="13" s="1"/>
  <c r="CO95" i="13" s="1"/>
  <c r="CP95" i="13" s="1"/>
  <c r="CQ95" i="13" s="1"/>
  <c r="CR95" i="13" s="1"/>
  <c r="CS95" i="13" s="1"/>
  <c r="CT95" i="13" s="1"/>
  <c r="CU95" i="13" s="1"/>
  <c r="CV95" i="13" s="1"/>
  <c r="CW95" i="13" s="1"/>
  <c r="CX95" i="13" s="1"/>
  <c r="CY95" i="13" s="1"/>
  <c r="CZ95" i="13" s="1"/>
  <c r="DA95" i="13" s="1"/>
  <c r="DB95" i="13" s="1"/>
  <c r="DC95" i="13" s="1"/>
  <c r="DD95" i="13" s="1"/>
  <c r="DE95" i="13" s="1"/>
  <c r="DF95" i="13" s="1"/>
  <c r="DG95" i="13" s="1"/>
  <c r="DH95" i="13" s="1"/>
  <c r="DI95" i="13" s="1"/>
  <c r="BA92" i="13"/>
  <c r="BB92" i="13" s="1"/>
  <c r="BC92" i="13" s="1"/>
  <c r="BD92" i="13" s="1"/>
  <c r="BE92" i="13" s="1"/>
  <c r="BF92" i="13" s="1"/>
  <c r="BG92" i="13" s="1"/>
  <c r="BH92" i="13" s="1"/>
  <c r="BI92" i="13" s="1"/>
  <c r="BJ92" i="13" s="1"/>
  <c r="BK92" i="13" s="1"/>
  <c r="BL92" i="13" s="1"/>
  <c r="BM92" i="13" s="1"/>
  <c r="BN92" i="13" s="1"/>
  <c r="BO92" i="13" s="1"/>
  <c r="BP92" i="13" s="1"/>
  <c r="BQ92" i="13" s="1"/>
  <c r="BR92" i="13" s="1"/>
  <c r="BS92" i="13" s="1"/>
  <c r="BT92" i="13" s="1"/>
  <c r="BU92" i="13" s="1"/>
  <c r="BV92" i="13" s="1"/>
  <c r="BW92" i="13" s="1"/>
  <c r="BX92" i="13" s="1"/>
  <c r="BY92" i="13" s="1"/>
  <c r="BZ92" i="13" s="1"/>
  <c r="CA92" i="13" s="1"/>
  <c r="CB92" i="13" s="1"/>
  <c r="CC92" i="13" s="1"/>
  <c r="CD92" i="13" s="1"/>
  <c r="CE92" i="13" s="1"/>
  <c r="CF92" i="13" s="1"/>
  <c r="CG92" i="13" s="1"/>
  <c r="CH92" i="13" s="1"/>
  <c r="CI92" i="13" s="1"/>
  <c r="CJ92" i="13" s="1"/>
  <c r="CK92" i="13" s="1"/>
  <c r="CL92" i="13" s="1"/>
  <c r="CM92" i="13" s="1"/>
  <c r="CN92" i="13" s="1"/>
  <c r="CO92" i="13" s="1"/>
  <c r="CP92" i="13" s="1"/>
  <c r="CQ92" i="13" s="1"/>
  <c r="CR92" i="13" s="1"/>
  <c r="CS92" i="13" s="1"/>
  <c r="CT92" i="13" s="1"/>
  <c r="CU92" i="13" s="1"/>
  <c r="CV92" i="13" s="1"/>
  <c r="CW92" i="13" s="1"/>
  <c r="CX92" i="13" s="1"/>
  <c r="CY92" i="13" s="1"/>
  <c r="CZ92" i="13" s="1"/>
  <c r="DA92" i="13" s="1"/>
  <c r="DB92" i="13" s="1"/>
  <c r="DC92" i="13" s="1"/>
  <c r="DD92" i="13" s="1"/>
  <c r="DE92" i="13" s="1"/>
  <c r="DF92" i="13" s="1"/>
  <c r="DG92" i="13" s="1"/>
  <c r="DH92" i="13" s="1"/>
  <c r="DI92" i="13" s="1"/>
  <c r="BA91" i="13"/>
  <c r="BB91" i="13" s="1"/>
  <c r="BC91" i="13" s="1"/>
  <c r="BD91" i="13" s="1"/>
  <c r="BE91" i="13" s="1"/>
  <c r="BF91" i="13" s="1"/>
  <c r="BG91" i="13" s="1"/>
  <c r="BH91" i="13" s="1"/>
  <c r="BI91" i="13" s="1"/>
  <c r="BJ91" i="13" s="1"/>
  <c r="BK91" i="13" s="1"/>
  <c r="BL91" i="13" s="1"/>
  <c r="BM91" i="13" s="1"/>
  <c r="BN91" i="13" s="1"/>
  <c r="BO91" i="13" s="1"/>
  <c r="BP91" i="13" s="1"/>
  <c r="BQ91" i="13" s="1"/>
  <c r="BR91" i="13" s="1"/>
  <c r="BS91" i="13" s="1"/>
  <c r="BT91" i="13" s="1"/>
  <c r="BU91" i="13" s="1"/>
  <c r="BV91" i="13" s="1"/>
  <c r="BW91" i="13" s="1"/>
  <c r="BX91" i="13" s="1"/>
  <c r="BY91" i="13" s="1"/>
  <c r="BZ91" i="13" s="1"/>
  <c r="CA91" i="13" s="1"/>
  <c r="CB91" i="13" s="1"/>
  <c r="CC91" i="13" s="1"/>
  <c r="CD91" i="13" s="1"/>
  <c r="CE91" i="13" s="1"/>
  <c r="CF91" i="13" s="1"/>
  <c r="CG91" i="13" s="1"/>
  <c r="CH91" i="13" s="1"/>
  <c r="CI91" i="13" s="1"/>
  <c r="CJ91" i="13" s="1"/>
  <c r="CK91" i="13" s="1"/>
  <c r="CL91" i="13" s="1"/>
  <c r="CM91" i="13" s="1"/>
  <c r="CN91" i="13" s="1"/>
  <c r="CO91" i="13" s="1"/>
  <c r="CP91" i="13" s="1"/>
  <c r="CQ91" i="13" s="1"/>
  <c r="CR91" i="13" s="1"/>
  <c r="CS91" i="13" s="1"/>
  <c r="CT91" i="13" s="1"/>
  <c r="CU91" i="13" s="1"/>
  <c r="CV91" i="13" s="1"/>
  <c r="CW91" i="13" s="1"/>
  <c r="CX91" i="13" s="1"/>
  <c r="CY91" i="13" s="1"/>
  <c r="CZ91" i="13" s="1"/>
  <c r="DA91" i="13" s="1"/>
  <c r="DB91" i="13" s="1"/>
  <c r="DC91" i="13" s="1"/>
  <c r="DD91" i="13" s="1"/>
  <c r="DE91" i="13" s="1"/>
  <c r="DF91" i="13" s="1"/>
  <c r="DG91" i="13" s="1"/>
  <c r="DH91" i="13" s="1"/>
  <c r="DI91" i="13" s="1"/>
  <c r="AZ90" i="13"/>
  <c r="BA90" i="13" s="1"/>
  <c r="BB90" i="13" s="1"/>
  <c r="BC90" i="13" s="1"/>
  <c r="BD90" i="13" s="1"/>
  <c r="BE90" i="13" s="1"/>
  <c r="BF90" i="13" s="1"/>
  <c r="BG90" i="13" s="1"/>
  <c r="BH90" i="13" s="1"/>
  <c r="BI90" i="13" s="1"/>
  <c r="BJ90" i="13" s="1"/>
  <c r="BK90" i="13" s="1"/>
  <c r="BL90" i="13" s="1"/>
  <c r="BM90" i="13" s="1"/>
  <c r="BN90" i="13" s="1"/>
  <c r="BO90" i="13" s="1"/>
  <c r="BP90" i="13" s="1"/>
  <c r="BQ90" i="13" s="1"/>
  <c r="BR90" i="13" s="1"/>
  <c r="BS90" i="13" s="1"/>
  <c r="BT90" i="13" s="1"/>
  <c r="BU90" i="13" s="1"/>
  <c r="BV90" i="13" s="1"/>
  <c r="BW90" i="13" s="1"/>
  <c r="BX90" i="13" s="1"/>
  <c r="BY90" i="13" s="1"/>
  <c r="BZ90" i="13" s="1"/>
  <c r="CA90" i="13" s="1"/>
  <c r="CB90" i="13" s="1"/>
  <c r="CC90" i="13" s="1"/>
  <c r="CD90" i="13" s="1"/>
  <c r="CE90" i="13" s="1"/>
  <c r="CF90" i="13" s="1"/>
  <c r="CG90" i="13" s="1"/>
  <c r="CH90" i="13" s="1"/>
  <c r="CI90" i="13" s="1"/>
  <c r="CJ90" i="13" s="1"/>
  <c r="CK90" i="13" s="1"/>
  <c r="CL90" i="13" s="1"/>
  <c r="CM90" i="13" s="1"/>
  <c r="CN90" i="13" s="1"/>
  <c r="CO90" i="13" s="1"/>
  <c r="CP90" i="13" s="1"/>
  <c r="CQ90" i="13" s="1"/>
  <c r="CR90" i="13" s="1"/>
  <c r="CS90" i="13" s="1"/>
  <c r="CT90" i="13" s="1"/>
  <c r="CU90" i="13" s="1"/>
  <c r="CV90" i="13" s="1"/>
  <c r="CW90" i="13" s="1"/>
  <c r="CX90" i="13" s="1"/>
  <c r="CY90" i="13" s="1"/>
  <c r="CZ90" i="13" s="1"/>
  <c r="DA90" i="13" s="1"/>
  <c r="DB90" i="13" s="1"/>
  <c r="DC90" i="13" s="1"/>
  <c r="DD90" i="13" s="1"/>
  <c r="DE90" i="13" s="1"/>
  <c r="DF90" i="13" s="1"/>
  <c r="DG90" i="13" s="1"/>
  <c r="DH90" i="13" s="1"/>
  <c r="DI90" i="13" s="1"/>
  <c r="AV84" i="13"/>
  <c r="AW84" i="13" s="1"/>
  <c r="AX84" i="13" s="1"/>
  <c r="AY84" i="13" s="1"/>
  <c r="AZ84" i="13" s="1"/>
  <c r="BA84" i="13" s="1"/>
  <c r="BB84" i="13" s="1"/>
  <c r="BC84" i="13" s="1"/>
  <c r="BD84" i="13" s="1"/>
  <c r="BE84" i="13" s="1"/>
  <c r="BF84" i="13" s="1"/>
  <c r="BG84" i="13" s="1"/>
  <c r="BH84" i="13" s="1"/>
  <c r="BI84" i="13" s="1"/>
  <c r="BJ84" i="13" s="1"/>
  <c r="BK84" i="13" s="1"/>
  <c r="BL84" i="13" s="1"/>
  <c r="BM84" i="13" s="1"/>
  <c r="BN84" i="13" s="1"/>
  <c r="BO84" i="13" s="1"/>
  <c r="BP84" i="13" s="1"/>
  <c r="BQ84" i="13" s="1"/>
  <c r="BR84" i="13" s="1"/>
  <c r="BS84" i="13" s="1"/>
  <c r="BT84" i="13" s="1"/>
  <c r="BU84" i="13" s="1"/>
  <c r="BV84" i="13" s="1"/>
  <c r="BW84" i="13" s="1"/>
  <c r="BX84" i="13" s="1"/>
  <c r="BY84" i="13" s="1"/>
  <c r="BZ84" i="13" s="1"/>
  <c r="CA84" i="13" s="1"/>
  <c r="CB84" i="13" s="1"/>
  <c r="CC84" i="13" s="1"/>
  <c r="CD84" i="13" s="1"/>
  <c r="CE84" i="13" s="1"/>
  <c r="CF84" i="13" s="1"/>
  <c r="CG84" i="13" s="1"/>
  <c r="CH84" i="13" s="1"/>
  <c r="CI84" i="13" s="1"/>
  <c r="CJ84" i="13" s="1"/>
  <c r="CK84" i="13" s="1"/>
  <c r="CL84" i="13" s="1"/>
  <c r="CM84" i="13" s="1"/>
  <c r="CN84" i="13" s="1"/>
  <c r="CO84" i="13" s="1"/>
  <c r="CP84" i="13" s="1"/>
  <c r="CQ84" i="13" s="1"/>
  <c r="CR84" i="13" s="1"/>
  <c r="CS84" i="13" s="1"/>
  <c r="CT84" i="13" s="1"/>
  <c r="CU84" i="13" s="1"/>
  <c r="CV84" i="13" s="1"/>
  <c r="CW84" i="13" s="1"/>
  <c r="CX84" i="13" s="1"/>
  <c r="CY84" i="13" s="1"/>
  <c r="CZ84" i="13" s="1"/>
  <c r="DA84" i="13" s="1"/>
  <c r="DB84" i="13" s="1"/>
  <c r="DC84" i="13" s="1"/>
  <c r="DD84" i="13" s="1"/>
  <c r="DE84" i="13" s="1"/>
  <c r="DF84" i="13" s="1"/>
  <c r="DG84" i="13" s="1"/>
  <c r="DH84" i="13" s="1"/>
  <c r="DI84" i="13" s="1"/>
  <c r="AN73" i="13"/>
  <c r="AO73" i="13" s="1"/>
  <c r="AP73" i="13" s="1"/>
  <c r="AQ73" i="13" s="1"/>
  <c r="AR73" i="13" s="1"/>
  <c r="AS73" i="13" s="1"/>
  <c r="AT73" i="13" s="1"/>
  <c r="AU73" i="13" s="1"/>
  <c r="AV73" i="13" s="1"/>
  <c r="AW73" i="13" s="1"/>
  <c r="AX73" i="13" s="1"/>
  <c r="AY73" i="13" s="1"/>
  <c r="AZ73" i="13" s="1"/>
  <c r="BA73" i="13" s="1"/>
  <c r="BB73" i="13" s="1"/>
  <c r="BC73" i="13" s="1"/>
  <c r="BD73" i="13" s="1"/>
  <c r="BE73" i="13" s="1"/>
  <c r="BF73" i="13" s="1"/>
  <c r="BG73" i="13" s="1"/>
  <c r="BH73" i="13" s="1"/>
  <c r="BI73" i="13" s="1"/>
  <c r="BJ73" i="13" s="1"/>
  <c r="BK73" i="13" s="1"/>
  <c r="BL73" i="13" s="1"/>
  <c r="BM73" i="13" s="1"/>
  <c r="BN73" i="13" s="1"/>
  <c r="BO73" i="13" s="1"/>
  <c r="BP73" i="13" s="1"/>
  <c r="BQ73" i="13" s="1"/>
  <c r="BR73" i="13" s="1"/>
  <c r="BS73" i="13" s="1"/>
  <c r="BT73" i="13" s="1"/>
  <c r="BU73" i="13" s="1"/>
  <c r="BV73" i="13" s="1"/>
  <c r="BW73" i="13" s="1"/>
  <c r="BX73" i="13" s="1"/>
  <c r="BY73" i="13" s="1"/>
  <c r="BZ73" i="13" s="1"/>
  <c r="CA73" i="13" s="1"/>
  <c r="CB73" i="13" s="1"/>
  <c r="CC73" i="13" s="1"/>
  <c r="CD73" i="13" s="1"/>
  <c r="CE73" i="13" s="1"/>
  <c r="CF73" i="13" s="1"/>
  <c r="CG73" i="13" s="1"/>
  <c r="CH73" i="13" s="1"/>
  <c r="CI73" i="13" s="1"/>
  <c r="CJ73" i="13" s="1"/>
  <c r="CK73" i="13" s="1"/>
  <c r="CL73" i="13" s="1"/>
  <c r="CM73" i="13" s="1"/>
  <c r="CN73" i="13" s="1"/>
  <c r="CO73" i="13" s="1"/>
  <c r="CP73" i="13" s="1"/>
  <c r="CQ73" i="13" s="1"/>
  <c r="CR73" i="13" s="1"/>
  <c r="CS73" i="13" s="1"/>
  <c r="CT73" i="13" s="1"/>
  <c r="CU73" i="13" s="1"/>
  <c r="CV73" i="13" s="1"/>
  <c r="CW73" i="13" s="1"/>
  <c r="CX73" i="13" s="1"/>
  <c r="CY73" i="13" s="1"/>
  <c r="CZ73" i="13" s="1"/>
  <c r="DA73" i="13" s="1"/>
  <c r="DB73" i="13" s="1"/>
  <c r="DC73" i="13" s="1"/>
  <c r="DD73" i="13" s="1"/>
  <c r="DE73" i="13" s="1"/>
  <c r="DF73" i="13" s="1"/>
  <c r="DG73" i="13" s="1"/>
  <c r="DH73" i="13" s="1"/>
  <c r="DI73" i="13" s="1"/>
  <c r="AH64" i="13"/>
  <c r="AI64" i="13" s="1"/>
  <c r="AJ64" i="13" s="1"/>
  <c r="AK64" i="13" s="1"/>
  <c r="AL64" i="13" s="1"/>
  <c r="AM64" i="13" s="1"/>
  <c r="AN64" i="13" s="1"/>
  <c r="AO64" i="13" s="1"/>
  <c r="AP64" i="13" s="1"/>
  <c r="AQ64" i="13" s="1"/>
  <c r="AR64" i="13" s="1"/>
  <c r="AS64" i="13" s="1"/>
  <c r="AT64" i="13" s="1"/>
  <c r="AU64" i="13" s="1"/>
  <c r="AV64" i="13" s="1"/>
  <c r="AW64" i="13" s="1"/>
  <c r="AX64" i="13" s="1"/>
  <c r="AY64" i="13" s="1"/>
  <c r="AZ64" i="13" s="1"/>
  <c r="BA64" i="13" s="1"/>
  <c r="BB64" i="13" s="1"/>
  <c r="BC64" i="13" s="1"/>
  <c r="BD64" i="13" s="1"/>
  <c r="BE64" i="13" s="1"/>
  <c r="BF64" i="13" s="1"/>
  <c r="BG64" i="13" s="1"/>
  <c r="BH64" i="13" s="1"/>
  <c r="BI64" i="13" s="1"/>
  <c r="BJ64" i="13" s="1"/>
  <c r="BK64" i="13" s="1"/>
  <c r="BL64" i="13" s="1"/>
  <c r="BM64" i="13" s="1"/>
  <c r="BN64" i="13" s="1"/>
  <c r="BO64" i="13" s="1"/>
  <c r="BP64" i="13" s="1"/>
  <c r="BQ64" i="13" s="1"/>
  <c r="BR64" i="13" s="1"/>
  <c r="BS64" i="13" s="1"/>
  <c r="BT64" i="13" s="1"/>
  <c r="BU64" i="13" s="1"/>
  <c r="BV64" i="13" s="1"/>
  <c r="BW64" i="13" s="1"/>
  <c r="BX64" i="13" s="1"/>
  <c r="BY64" i="13" s="1"/>
  <c r="BZ64" i="13" s="1"/>
  <c r="CA64" i="13" s="1"/>
  <c r="CB64" i="13" s="1"/>
  <c r="CC64" i="13" s="1"/>
  <c r="CD64" i="13" s="1"/>
  <c r="CE64" i="13" s="1"/>
  <c r="CF64" i="13" s="1"/>
  <c r="CG64" i="13" s="1"/>
  <c r="CH64" i="13" s="1"/>
  <c r="CI64" i="13" s="1"/>
  <c r="CJ64" i="13" s="1"/>
  <c r="CK64" i="13" s="1"/>
  <c r="CL64" i="13" s="1"/>
  <c r="CM64" i="13" s="1"/>
  <c r="CN64" i="13" s="1"/>
  <c r="CO64" i="13" s="1"/>
  <c r="CP64" i="13" s="1"/>
  <c r="CQ64" i="13" s="1"/>
  <c r="CR64" i="13" s="1"/>
  <c r="CS64" i="13" s="1"/>
  <c r="CT64" i="13" s="1"/>
  <c r="CU64" i="13" s="1"/>
  <c r="CV64" i="13" s="1"/>
  <c r="CW64" i="13" s="1"/>
  <c r="CX64" i="13" s="1"/>
  <c r="CY64" i="13" s="1"/>
  <c r="CZ64" i="13" s="1"/>
  <c r="DA64" i="13" s="1"/>
  <c r="DB64" i="13" s="1"/>
  <c r="DC64" i="13" s="1"/>
  <c r="DD64" i="13" s="1"/>
  <c r="DE64" i="13" s="1"/>
  <c r="DF64" i="13" s="1"/>
  <c r="DG64" i="13" s="1"/>
  <c r="DH64" i="13" s="1"/>
  <c r="DI64" i="13" s="1"/>
  <c r="AH62" i="13"/>
  <c r="AI62" i="13" s="1"/>
  <c r="AJ62" i="13" s="1"/>
  <c r="AK62" i="13" s="1"/>
  <c r="AL62" i="13" s="1"/>
  <c r="AM62" i="13" s="1"/>
  <c r="AN62" i="13" s="1"/>
  <c r="AO62" i="13" s="1"/>
  <c r="AP62" i="13" s="1"/>
  <c r="AQ62" i="13" s="1"/>
  <c r="AR62" i="13" s="1"/>
  <c r="AS62" i="13" s="1"/>
  <c r="AT62" i="13" s="1"/>
  <c r="AU62" i="13" s="1"/>
  <c r="AV62" i="13" s="1"/>
  <c r="AW62" i="13" s="1"/>
  <c r="AX62" i="13" s="1"/>
  <c r="AY62" i="13" s="1"/>
  <c r="AZ62" i="13" s="1"/>
  <c r="BA62" i="13" s="1"/>
  <c r="BB62" i="13" s="1"/>
  <c r="BC62" i="13" s="1"/>
  <c r="BD62" i="13" s="1"/>
  <c r="BE62" i="13" s="1"/>
  <c r="BF62" i="13" s="1"/>
  <c r="BG62" i="13" s="1"/>
  <c r="BH62" i="13" s="1"/>
  <c r="BI62" i="13" s="1"/>
  <c r="BJ62" i="13" s="1"/>
  <c r="BK62" i="13" s="1"/>
  <c r="BL62" i="13" s="1"/>
  <c r="BM62" i="13" s="1"/>
  <c r="BN62" i="13" s="1"/>
  <c r="BO62" i="13" s="1"/>
  <c r="BP62" i="13" s="1"/>
  <c r="BQ62" i="13" s="1"/>
  <c r="BR62" i="13" s="1"/>
  <c r="BS62" i="13" s="1"/>
  <c r="BT62" i="13" s="1"/>
  <c r="BU62" i="13" s="1"/>
  <c r="BV62" i="13" s="1"/>
  <c r="BW62" i="13" s="1"/>
  <c r="BX62" i="13" s="1"/>
  <c r="BY62" i="13" s="1"/>
  <c r="BZ62" i="13" s="1"/>
  <c r="CA62" i="13" s="1"/>
  <c r="CB62" i="13" s="1"/>
  <c r="CC62" i="13" s="1"/>
  <c r="CD62" i="13" s="1"/>
  <c r="CE62" i="13" s="1"/>
  <c r="CF62" i="13" s="1"/>
  <c r="CG62" i="13" s="1"/>
  <c r="CH62" i="13" s="1"/>
  <c r="CI62" i="13" s="1"/>
  <c r="CJ62" i="13" s="1"/>
  <c r="CK62" i="13" s="1"/>
  <c r="CL62" i="13" s="1"/>
  <c r="CM62" i="13" s="1"/>
  <c r="CN62" i="13" s="1"/>
  <c r="CO62" i="13" s="1"/>
  <c r="CP62" i="13" s="1"/>
  <c r="CQ62" i="13" s="1"/>
  <c r="CR62" i="13" s="1"/>
  <c r="CS62" i="13" s="1"/>
  <c r="CT62" i="13" s="1"/>
  <c r="CU62" i="13" s="1"/>
  <c r="CV62" i="13" s="1"/>
  <c r="CW62" i="13" s="1"/>
  <c r="CX62" i="13" s="1"/>
  <c r="CY62" i="13" s="1"/>
  <c r="CZ62" i="13" s="1"/>
  <c r="DA62" i="13" s="1"/>
  <c r="DB62" i="13" s="1"/>
  <c r="DC62" i="13" s="1"/>
  <c r="DD62" i="13" s="1"/>
  <c r="DE62" i="13" s="1"/>
  <c r="DF62" i="13" s="1"/>
  <c r="DG62" i="13" s="1"/>
  <c r="DH62" i="13" s="1"/>
  <c r="DI62" i="13" s="1"/>
  <c r="AH61" i="13"/>
  <c r="AI61" i="13" s="1"/>
  <c r="AJ61" i="13" s="1"/>
  <c r="AK61" i="13" s="1"/>
  <c r="AL61" i="13" s="1"/>
  <c r="AM61" i="13" s="1"/>
  <c r="AN61" i="13" s="1"/>
  <c r="AO61" i="13" s="1"/>
  <c r="AP61" i="13" s="1"/>
  <c r="AQ61" i="13" s="1"/>
  <c r="AR61" i="13" s="1"/>
  <c r="AS61" i="13" s="1"/>
  <c r="AT61" i="13" s="1"/>
  <c r="AU61" i="13" s="1"/>
  <c r="AV61" i="13" s="1"/>
  <c r="AW61" i="13" s="1"/>
  <c r="AX61" i="13" s="1"/>
  <c r="AY61" i="13" s="1"/>
  <c r="AZ61" i="13" s="1"/>
  <c r="BA61" i="13" s="1"/>
  <c r="BB61" i="13" s="1"/>
  <c r="BC61" i="13" s="1"/>
  <c r="BD61" i="13" s="1"/>
  <c r="BE61" i="13" s="1"/>
  <c r="BF61" i="13" s="1"/>
  <c r="BG61" i="13" s="1"/>
  <c r="BH61" i="13" s="1"/>
  <c r="BI61" i="13" s="1"/>
  <c r="BJ61" i="13" s="1"/>
  <c r="BK61" i="13" s="1"/>
  <c r="BL61" i="13" s="1"/>
  <c r="BM61" i="13" s="1"/>
  <c r="BN61" i="13" s="1"/>
  <c r="BO61" i="13" s="1"/>
  <c r="BP61" i="13" s="1"/>
  <c r="BQ61" i="13" s="1"/>
  <c r="BR61" i="13" s="1"/>
  <c r="BS61" i="13" s="1"/>
  <c r="BT61" i="13" s="1"/>
  <c r="BU61" i="13" s="1"/>
  <c r="BV61" i="13" s="1"/>
  <c r="BW61" i="13" s="1"/>
  <c r="BX61" i="13" s="1"/>
  <c r="BY61" i="13" s="1"/>
  <c r="BZ61" i="13" s="1"/>
  <c r="CA61" i="13" s="1"/>
  <c r="CB61" i="13" s="1"/>
  <c r="CC61" i="13" s="1"/>
  <c r="CD61" i="13" s="1"/>
  <c r="CE61" i="13" s="1"/>
  <c r="CF61" i="13" s="1"/>
  <c r="CG61" i="13" s="1"/>
  <c r="CH61" i="13" s="1"/>
  <c r="CI61" i="13" s="1"/>
  <c r="CJ61" i="13" s="1"/>
  <c r="CK61" i="13" s="1"/>
  <c r="CL61" i="13" s="1"/>
  <c r="CM61" i="13" s="1"/>
  <c r="CN61" i="13" s="1"/>
  <c r="CO61" i="13" s="1"/>
  <c r="CP61" i="13" s="1"/>
  <c r="CQ61" i="13" s="1"/>
  <c r="CR61" i="13" s="1"/>
  <c r="CS61" i="13" s="1"/>
  <c r="CT61" i="13" s="1"/>
  <c r="CU61" i="13" s="1"/>
  <c r="CV61" i="13" s="1"/>
  <c r="CW61" i="13" s="1"/>
  <c r="CX61" i="13" s="1"/>
  <c r="CY61" i="13" s="1"/>
  <c r="CZ61" i="13" s="1"/>
  <c r="DA61" i="13" s="1"/>
  <c r="DB61" i="13" s="1"/>
  <c r="DC61" i="13" s="1"/>
  <c r="DD61" i="13" s="1"/>
  <c r="DE61" i="13" s="1"/>
  <c r="DF61" i="13" s="1"/>
  <c r="DG61" i="13" s="1"/>
  <c r="DH61" i="13" s="1"/>
  <c r="DI61" i="13" s="1"/>
  <c r="AB56" i="13"/>
  <c r="AC56" i="13" s="1"/>
  <c r="AD56" i="13" s="1"/>
  <c r="AE56" i="13" s="1"/>
  <c r="AF56" i="13" s="1"/>
  <c r="AG56" i="13" s="1"/>
  <c r="AH56" i="13" s="1"/>
  <c r="AI56" i="13" s="1"/>
  <c r="AJ56" i="13" s="1"/>
  <c r="AK56" i="13" s="1"/>
  <c r="AL56" i="13" s="1"/>
  <c r="AM56" i="13" s="1"/>
  <c r="AN56" i="13" s="1"/>
  <c r="AO56" i="13" s="1"/>
  <c r="AP56" i="13" s="1"/>
  <c r="AQ56" i="13" s="1"/>
  <c r="AR56" i="13" s="1"/>
  <c r="AS56" i="13" s="1"/>
  <c r="AT56" i="13" s="1"/>
  <c r="AU56" i="13" s="1"/>
  <c r="AV56" i="13" s="1"/>
  <c r="AW56" i="13" s="1"/>
  <c r="AX56" i="13" s="1"/>
  <c r="AY56" i="13" s="1"/>
  <c r="AZ56" i="13" s="1"/>
  <c r="BA56" i="13" s="1"/>
  <c r="BB56" i="13" s="1"/>
  <c r="BC56" i="13" s="1"/>
  <c r="BD56" i="13" s="1"/>
  <c r="BE56" i="13" s="1"/>
  <c r="BF56" i="13" s="1"/>
  <c r="BG56" i="13" s="1"/>
  <c r="BH56" i="13" s="1"/>
  <c r="BI56" i="13" s="1"/>
  <c r="BJ56" i="13" s="1"/>
  <c r="BK56" i="13" s="1"/>
  <c r="BL56" i="13" s="1"/>
  <c r="BM56" i="13" s="1"/>
  <c r="BN56" i="13" s="1"/>
  <c r="BO56" i="13" s="1"/>
  <c r="BP56" i="13" s="1"/>
  <c r="BQ56" i="13" s="1"/>
  <c r="BR56" i="13" s="1"/>
  <c r="BS56" i="13" s="1"/>
  <c r="BT56" i="13" s="1"/>
  <c r="BU56" i="13" s="1"/>
  <c r="BV56" i="13" s="1"/>
  <c r="BW56" i="13" s="1"/>
  <c r="BX56" i="13" s="1"/>
  <c r="BY56" i="13" s="1"/>
  <c r="BZ56" i="13" s="1"/>
  <c r="CA56" i="13" s="1"/>
  <c r="CB56" i="13" s="1"/>
  <c r="CC56" i="13" s="1"/>
  <c r="CD56" i="13" s="1"/>
  <c r="CE56" i="13" s="1"/>
  <c r="CF56" i="13" s="1"/>
  <c r="CG56" i="13" s="1"/>
  <c r="CH56" i="13" s="1"/>
  <c r="CI56" i="13" s="1"/>
  <c r="CJ56" i="13" s="1"/>
  <c r="CK56" i="13" s="1"/>
  <c r="CL56" i="13" s="1"/>
  <c r="CM56" i="13" s="1"/>
  <c r="CN56" i="13" s="1"/>
  <c r="CO56" i="13" s="1"/>
  <c r="CP56" i="13" s="1"/>
  <c r="CQ56" i="13" s="1"/>
  <c r="CR56" i="13" s="1"/>
  <c r="CS56" i="13" s="1"/>
  <c r="CT56" i="13" s="1"/>
  <c r="CU56" i="13" s="1"/>
  <c r="CV56" i="13" s="1"/>
  <c r="CW56" i="13" s="1"/>
  <c r="CX56" i="13" s="1"/>
  <c r="CY56" i="13" s="1"/>
  <c r="CZ56" i="13" s="1"/>
  <c r="DA56" i="13" s="1"/>
  <c r="DB56" i="13" s="1"/>
  <c r="DC56" i="13" s="1"/>
  <c r="DD56" i="13" s="1"/>
  <c r="DE56" i="13" s="1"/>
  <c r="DF56" i="13" s="1"/>
  <c r="DG56" i="13" s="1"/>
  <c r="DH56" i="13" s="1"/>
  <c r="DI56" i="13" s="1"/>
  <c r="AB55" i="13"/>
  <c r="AC55" i="13" s="1"/>
  <c r="AD55" i="13" s="1"/>
  <c r="AE55" i="13" s="1"/>
  <c r="AF55" i="13" s="1"/>
  <c r="AG55" i="13" s="1"/>
  <c r="AH55" i="13" s="1"/>
  <c r="AI55" i="13" s="1"/>
  <c r="AJ55" i="13" s="1"/>
  <c r="AK55" i="13" s="1"/>
  <c r="AL55" i="13" s="1"/>
  <c r="AM55" i="13" s="1"/>
  <c r="AN55" i="13" s="1"/>
  <c r="AO55" i="13" s="1"/>
  <c r="AP55" i="13" s="1"/>
  <c r="AQ55" i="13" s="1"/>
  <c r="AR55" i="13" s="1"/>
  <c r="AS55" i="13" s="1"/>
  <c r="AT55" i="13" s="1"/>
  <c r="AU55" i="13" s="1"/>
  <c r="AV55" i="13" s="1"/>
  <c r="AW55" i="13" s="1"/>
  <c r="AX55" i="13" s="1"/>
  <c r="AY55" i="13" s="1"/>
  <c r="AZ55" i="13" s="1"/>
  <c r="BA55" i="13" s="1"/>
  <c r="BB55" i="13" s="1"/>
  <c r="BC55" i="13" s="1"/>
  <c r="BD55" i="13" s="1"/>
  <c r="BE55" i="13" s="1"/>
  <c r="BF55" i="13" s="1"/>
  <c r="BG55" i="13" s="1"/>
  <c r="BH55" i="13" s="1"/>
  <c r="BI55" i="13" s="1"/>
  <c r="BJ55" i="13" s="1"/>
  <c r="BK55" i="13" s="1"/>
  <c r="BL55" i="13" s="1"/>
  <c r="BM55" i="13" s="1"/>
  <c r="BN55" i="13" s="1"/>
  <c r="BO55" i="13" s="1"/>
  <c r="BP55" i="13" s="1"/>
  <c r="BQ55" i="13" s="1"/>
  <c r="BR55" i="13" s="1"/>
  <c r="BS55" i="13" s="1"/>
  <c r="BT55" i="13" s="1"/>
  <c r="BU55" i="13" s="1"/>
  <c r="BV55" i="13" s="1"/>
  <c r="BW55" i="13" s="1"/>
  <c r="BX55" i="13" s="1"/>
  <c r="BY55" i="13" s="1"/>
  <c r="BZ55" i="13" s="1"/>
  <c r="CA55" i="13" s="1"/>
  <c r="CB55" i="13" s="1"/>
  <c r="CC55" i="13" s="1"/>
  <c r="CD55" i="13" s="1"/>
  <c r="CE55" i="13" s="1"/>
  <c r="CF55" i="13" s="1"/>
  <c r="CG55" i="13" s="1"/>
  <c r="CH55" i="13" s="1"/>
  <c r="CI55" i="13" s="1"/>
  <c r="CJ55" i="13" s="1"/>
  <c r="CK55" i="13" s="1"/>
  <c r="CL55" i="13" s="1"/>
  <c r="CM55" i="13" s="1"/>
  <c r="CN55" i="13" s="1"/>
  <c r="CO55" i="13" s="1"/>
  <c r="CP55" i="13" s="1"/>
  <c r="CQ55" i="13" s="1"/>
  <c r="CR55" i="13" s="1"/>
  <c r="CS55" i="13" s="1"/>
  <c r="CT55" i="13" s="1"/>
  <c r="CU55" i="13" s="1"/>
  <c r="CV55" i="13" s="1"/>
  <c r="CW55" i="13" s="1"/>
  <c r="CX55" i="13" s="1"/>
  <c r="CY55" i="13" s="1"/>
  <c r="CZ55" i="13" s="1"/>
  <c r="DA55" i="13" s="1"/>
  <c r="DB55" i="13" s="1"/>
  <c r="DC55" i="13" s="1"/>
  <c r="DD55" i="13" s="1"/>
  <c r="DE55" i="13" s="1"/>
  <c r="DF55" i="13" s="1"/>
  <c r="DG55" i="13" s="1"/>
  <c r="DH55" i="13" s="1"/>
  <c r="DI55" i="13" s="1"/>
  <c r="AB53" i="13"/>
  <c r="AC53" i="13" s="1"/>
  <c r="AD53" i="13" s="1"/>
  <c r="AE53" i="13" s="1"/>
  <c r="AF53" i="13" s="1"/>
  <c r="AG53" i="13" s="1"/>
  <c r="AH53" i="13" s="1"/>
  <c r="AI53" i="13" s="1"/>
  <c r="AJ53" i="13" s="1"/>
  <c r="AK53" i="13" s="1"/>
  <c r="AL53" i="13" s="1"/>
  <c r="AM53" i="13" s="1"/>
  <c r="AN53" i="13" s="1"/>
  <c r="AO53" i="13" s="1"/>
  <c r="AP53" i="13" s="1"/>
  <c r="AQ53" i="13" s="1"/>
  <c r="AR53" i="13" s="1"/>
  <c r="AS53" i="13" s="1"/>
  <c r="AT53" i="13" s="1"/>
  <c r="AU53" i="13" s="1"/>
  <c r="AV53" i="13" s="1"/>
  <c r="AW53" i="13" s="1"/>
  <c r="AX53" i="13" s="1"/>
  <c r="AY53" i="13" s="1"/>
  <c r="AZ53" i="13" s="1"/>
  <c r="BA53" i="13" s="1"/>
  <c r="BB53" i="13" s="1"/>
  <c r="BC53" i="13" s="1"/>
  <c r="BD53" i="13" s="1"/>
  <c r="BE53" i="13" s="1"/>
  <c r="BF53" i="13" s="1"/>
  <c r="BG53" i="13" s="1"/>
  <c r="BH53" i="13" s="1"/>
  <c r="BI53" i="13" s="1"/>
  <c r="BJ53" i="13" s="1"/>
  <c r="BK53" i="13" s="1"/>
  <c r="BL53" i="13" s="1"/>
  <c r="BM53" i="13" s="1"/>
  <c r="BN53" i="13" s="1"/>
  <c r="BO53" i="13" s="1"/>
  <c r="BP53" i="13" s="1"/>
  <c r="BQ53" i="13" s="1"/>
  <c r="BR53" i="13" s="1"/>
  <c r="BS53" i="13" s="1"/>
  <c r="BT53" i="13" s="1"/>
  <c r="BU53" i="13" s="1"/>
  <c r="BV53" i="13" s="1"/>
  <c r="BW53" i="13" s="1"/>
  <c r="BX53" i="13" s="1"/>
  <c r="BY53" i="13" s="1"/>
  <c r="BZ53" i="13" s="1"/>
  <c r="CA53" i="13" s="1"/>
  <c r="CB53" i="13" s="1"/>
  <c r="CC53" i="13" s="1"/>
  <c r="CD53" i="13" s="1"/>
  <c r="CE53" i="13" s="1"/>
  <c r="CF53" i="13" s="1"/>
  <c r="CG53" i="13" s="1"/>
  <c r="CH53" i="13" s="1"/>
  <c r="CI53" i="13" s="1"/>
  <c r="CJ53" i="13" s="1"/>
  <c r="CK53" i="13" s="1"/>
  <c r="CL53" i="13" s="1"/>
  <c r="CM53" i="13" s="1"/>
  <c r="CN53" i="13" s="1"/>
  <c r="CO53" i="13" s="1"/>
  <c r="CP53" i="13" s="1"/>
  <c r="CQ53" i="13" s="1"/>
  <c r="CR53" i="13" s="1"/>
  <c r="CS53" i="13" s="1"/>
  <c r="CT53" i="13" s="1"/>
  <c r="CU53" i="13" s="1"/>
  <c r="CV53" i="13" s="1"/>
  <c r="CW53" i="13" s="1"/>
  <c r="CX53" i="13" s="1"/>
  <c r="CY53" i="13" s="1"/>
  <c r="CZ53" i="13" s="1"/>
  <c r="DA53" i="13" s="1"/>
  <c r="DB53" i="13" s="1"/>
  <c r="DC53" i="13" s="1"/>
  <c r="DD53" i="13" s="1"/>
  <c r="DE53" i="13" s="1"/>
  <c r="DF53" i="13" s="1"/>
  <c r="DG53" i="13" s="1"/>
  <c r="DH53" i="13" s="1"/>
  <c r="DI53" i="13" s="1"/>
  <c r="AA51" i="13"/>
  <c r="AB51" i="13" s="1"/>
  <c r="AC51" i="13" s="1"/>
  <c r="AD51" i="13" s="1"/>
  <c r="AE51" i="13" s="1"/>
  <c r="AF51" i="13" s="1"/>
  <c r="AG51" i="13" s="1"/>
  <c r="AH51" i="13" s="1"/>
  <c r="AI51" i="13" s="1"/>
  <c r="AJ51" i="13" s="1"/>
  <c r="AK51" i="13" s="1"/>
  <c r="AL51" i="13" s="1"/>
  <c r="AM51" i="13" s="1"/>
  <c r="AN51" i="13" s="1"/>
  <c r="AO51" i="13" s="1"/>
  <c r="AP51" i="13" s="1"/>
  <c r="AQ51" i="13" s="1"/>
  <c r="AR51" i="13" s="1"/>
  <c r="AS51" i="13" s="1"/>
  <c r="AT51" i="13" s="1"/>
  <c r="AU51" i="13" s="1"/>
  <c r="AV51" i="13" s="1"/>
  <c r="AW51" i="13" s="1"/>
  <c r="AX51" i="13" s="1"/>
  <c r="AY51" i="13" s="1"/>
  <c r="AZ51" i="13" s="1"/>
  <c r="BA51" i="13" s="1"/>
  <c r="BB51" i="13" s="1"/>
  <c r="BC51" i="13" s="1"/>
  <c r="BD51" i="13" s="1"/>
  <c r="BE51" i="13" s="1"/>
  <c r="BF51" i="13" s="1"/>
  <c r="BG51" i="13" s="1"/>
  <c r="BH51" i="13" s="1"/>
  <c r="BI51" i="13" s="1"/>
  <c r="BJ51" i="13" s="1"/>
  <c r="BK51" i="13" s="1"/>
  <c r="BL51" i="13" s="1"/>
  <c r="BM51" i="13" s="1"/>
  <c r="BN51" i="13" s="1"/>
  <c r="BO51" i="13" s="1"/>
  <c r="BP51" i="13" s="1"/>
  <c r="BQ51" i="13" s="1"/>
  <c r="BR51" i="13" s="1"/>
  <c r="BS51" i="13" s="1"/>
  <c r="BT51" i="13" s="1"/>
  <c r="BU51" i="13" s="1"/>
  <c r="BV51" i="13" s="1"/>
  <c r="BW51" i="13" s="1"/>
  <c r="BX51" i="13" s="1"/>
  <c r="BY51" i="13" s="1"/>
  <c r="BZ51" i="13" s="1"/>
  <c r="CA51" i="13" s="1"/>
  <c r="CB51" i="13" s="1"/>
  <c r="CC51" i="13" s="1"/>
  <c r="CD51" i="13" s="1"/>
  <c r="CE51" i="13" s="1"/>
  <c r="CF51" i="13" s="1"/>
  <c r="CG51" i="13" s="1"/>
  <c r="CH51" i="13" s="1"/>
  <c r="CI51" i="13" s="1"/>
  <c r="CJ51" i="13" s="1"/>
  <c r="CK51" i="13" s="1"/>
  <c r="CL51" i="13" s="1"/>
  <c r="CM51" i="13" s="1"/>
  <c r="CN51" i="13" s="1"/>
  <c r="CO51" i="13" s="1"/>
  <c r="CP51" i="13" s="1"/>
  <c r="CQ51" i="13" s="1"/>
  <c r="CR51" i="13" s="1"/>
  <c r="CS51" i="13" s="1"/>
  <c r="CT51" i="13" s="1"/>
  <c r="CU51" i="13" s="1"/>
  <c r="CV51" i="13" s="1"/>
  <c r="CW51" i="13" s="1"/>
  <c r="CX51" i="13" s="1"/>
  <c r="CY51" i="13" s="1"/>
  <c r="CZ51" i="13" s="1"/>
  <c r="DA51" i="13" s="1"/>
  <c r="DB51" i="13" s="1"/>
  <c r="DC51" i="13" s="1"/>
  <c r="DD51" i="13" s="1"/>
  <c r="DE51" i="13" s="1"/>
  <c r="DF51" i="13" s="1"/>
  <c r="DG51" i="13" s="1"/>
  <c r="DH51" i="13" s="1"/>
  <c r="DI51" i="13" s="1"/>
  <c r="Z50" i="13"/>
  <c r="AA50" i="13" s="1"/>
  <c r="AB50" i="13" s="1"/>
  <c r="AC50" i="13" s="1"/>
  <c r="AD50" i="13" s="1"/>
  <c r="AE50" i="13" s="1"/>
  <c r="AF50" i="13" s="1"/>
  <c r="AG50" i="13" s="1"/>
  <c r="AH50" i="13" s="1"/>
  <c r="AI50" i="13" s="1"/>
  <c r="AJ50" i="13" s="1"/>
  <c r="AK50" i="13" s="1"/>
  <c r="AL50" i="13" s="1"/>
  <c r="AM50" i="13" s="1"/>
  <c r="AN50" i="13" s="1"/>
  <c r="AO50" i="13" s="1"/>
  <c r="AP50" i="13" s="1"/>
  <c r="AQ50" i="13" s="1"/>
  <c r="AR50" i="13" s="1"/>
  <c r="AS50" i="13" s="1"/>
  <c r="AT50" i="13" s="1"/>
  <c r="AU50" i="13" s="1"/>
  <c r="AV50" i="13" s="1"/>
  <c r="AW50" i="13" s="1"/>
  <c r="AX50" i="13" s="1"/>
  <c r="AY50" i="13" s="1"/>
  <c r="AZ50" i="13" s="1"/>
  <c r="BA50" i="13" s="1"/>
  <c r="BB50" i="13" s="1"/>
  <c r="BC50" i="13" s="1"/>
  <c r="BD50" i="13" s="1"/>
  <c r="BE50" i="13" s="1"/>
  <c r="BF50" i="13" s="1"/>
  <c r="BG50" i="13" s="1"/>
  <c r="BH50" i="13" s="1"/>
  <c r="BI50" i="13" s="1"/>
  <c r="BJ50" i="13" s="1"/>
  <c r="BK50" i="13" s="1"/>
  <c r="BL50" i="13" s="1"/>
  <c r="BM50" i="13" s="1"/>
  <c r="BN50" i="13" s="1"/>
  <c r="BO50" i="13" s="1"/>
  <c r="BP50" i="13" s="1"/>
  <c r="BQ50" i="13" s="1"/>
  <c r="BR50" i="13" s="1"/>
  <c r="BS50" i="13" s="1"/>
  <c r="BT50" i="13" s="1"/>
  <c r="BU50" i="13" s="1"/>
  <c r="BV50" i="13" s="1"/>
  <c r="BW50" i="13" s="1"/>
  <c r="BX50" i="13" s="1"/>
  <c r="BY50" i="13" s="1"/>
  <c r="BZ50" i="13" s="1"/>
  <c r="CA50" i="13" s="1"/>
  <c r="CB50" i="13" s="1"/>
  <c r="CC50" i="13" s="1"/>
  <c r="CD50" i="13" s="1"/>
  <c r="CE50" i="13" s="1"/>
  <c r="CF50" i="13" s="1"/>
  <c r="CG50" i="13" s="1"/>
  <c r="CH50" i="13" s="1"/>
  <c r="CI50" i="13" s="1"/>
  <c r="CJ50" i="13" s="1"/>
  <c r="CK50" i="13" s="1"/>
  <c r="CL50" i="13" s="1"/>
  <c r="CM50" i="13" s="1"/>
  <c r="CN50" i="13" s="1"/>
  <c r="CO50" i="13" s="1"/>
  <c r="CP50" i="13" s="1"/>
  <c r="CQ50" i="13" s="1"/>
  <c r="CR50" i="13" s="1"/>
  <c r="CS50" i="13" s="1"/>
  <c r="CT50" i="13" s="1"/>
  <c r="CU50" i="13" s="1"/>
  <c r="CV50" i="13" s="1"/>
  <c r="CW50" i="13" s="1"/>
  <c r="CX50" i="13" s="1"/>
  <c r="CY50" i="13" s="1"/>
  <c r="CZ50" i="13" s="1"/>
  <c r="DA50" i="13" s="1"/>
  <c r="DB50" i="13" s="1"/>
  <c r="DC50" i="13" s="1"/>
  <c r="DD50" i="13" s="1"/>
  <c r="DE50" i="13" s="1"/>
  <c r="DF50" i="13" s="1"/>
  <c r="DG50" i="13" s="1"/>
  <c r="DH50" i="13" s="1"/>
  <c r="DI50" i="13" s="1"/>
  <c r="Z49" i="13"/>
  <c r="AA49" i="13" s="1"/>
  <c r="AB49" i="13" s="1"/>
  <c r="AC49" i="13" s="1"/>
  <c r="AD49" i="13" s="1"/>
  <c r="AE49" i="13" s="1"/>
  <c r="AF49" i="13" s="1"/>
  <c r="AG49" i="13" s="1"/>
  <c r="AH49" i="13" s="1"/>
  <c r="AI49" i="13" s="1"/>
  <c r="AJ49" i="13" s="1"/>
  <c r="AK49" i="13" s="1"/>
  <c r="AL49" i="13" s="1"/>
  <c r="AM49" i="13" s="1"/>
  <c r="AN49" i="13" s="1"/>
  <c r="AO49" i="13" s="1"/>
  <c r="AP49" i="13" s="1"/>
  <c r="AQ49" i="13" s="1"/>
  <c r="AR49" i="13" s="1"/>
  <c r="AS49" i="13" s="1"/>
  <c r="AT49" i="13" s="1"/>
  <c r="AU49" i="13" s="1"/>
  <c r="AV49" i="13" s="1"/>
  <c r="AW49" i="13" s="1"/>
  <c r="AX49" i="13" s="1"/>
  <c r="AY49" i="13" s="1"/>
  <c r="AZ49" i="13" s="1"/>
  <c r="BA49" i="13" s="1"/>
  <c r="BB49" i="13" s="1"/>
  <c r="BC49" i="13" s="1"/>
  <c r="BD49" i="13" s="1"/>
  <c r="BE49" i="13" s="1"/>
  <c r="BF49" i="13" s="1"/>
  <c r="BG49" i="13" s="1"/>
  <c r="BH49" i="13" s="1"/>
  <c r="BI49" i="13" s="1"/>
  <c r="BJ49" i="13" s="1"/>
  <c r="BK49" i="13" s="1"/>
  <c r="BL49" i="13" s="1"/>
  <c r="BM49" i="13" s="1"/>
  <c r="BN49" i="13" s="1"/>
  <c r="BO49" i="13" s="1"/>
  <c r="BP49" i="13" s="1"/>
  <c r="BQ49" i="13" s="1"/>
  <c r="BR49" i="13" s="1"/>
  <c r="BS49" i="13" s="1"/>
  <c r="BT49" i="13" s="1"/>
  <c r="BU49" i="13" s="1"/>
  <c r="BV49" i="13" s="1"/>
  <c r="BW49" i="13" s="1"/>
  <c r="BX49" i="13" s="1"/>
  <c r="BY49" i="13" s="1"/>
  <c r="BZ49" i="13" s="1"/>
  <c r="CA49" i="13" s="1"/>
  <c r="CB49" i="13" s="1"/>
  <c r="CC49" i="13" s="1"/>
  <c r="CD49" i="13" s="1"/>
  <c r="CE49" i="13" s="1"/>
  <c r="CF49" i="13" s="1"/>
  <c r="CG49" i="13" s="1"/>
  <c r="CH49" i="13" s="1"/>
  <c r="CI49" i="13" s="1"/>
  <c r="CJ49" i="13" s="1"/>
  <c r="CK49" i="13" s="1"/>
  <c r="CL49" i="13" s="1"/>
  <c r="CM49" i="13" s="1"/>
  <c r="CN49" i="13" s="1"/>
  <c r="CO49" i="13" s="1"/>
  <c r="CP49" i="13" s="1"/>
  <c r="CQ49" i="13" s="1"/>
  <c r="CR49" i="13" s="1"/>
  <c r="CS49" i="13" s="1"/>
  <c r="CT49" i="13" s="1"/>
  <c r="CU49" i="13" s="1"/>
  <c r="CV49" i="13" s="1"/>
  <c r="CW49" i="13" s="1"/>
  <c r="CX49" i="13" s="1"/>
  <c r="CY49" i="13" s="1"/>
  <c r="CZ49" i="13" s="1"/>
  <c r="DA49" i="13" s="1"/>
  <c r="DB49" i="13" s="1"/>
  <c r="DC49" i="13" s="1"/>
  <c r="DD49" i="13" s="1"/>
  <c r="DE49" i="13" s="1"/>
  <c r="DF49" i="13" s="1"/>
  <c r="DG49" i="13" s="1"/>
  <c r="DH49" i="13" s="1"/>
  <c r="DI49" i="13" s="1"/>
  <c r="Z48" i="13"/>
  <c r="AA48" i="13" s="1"/>
  <c r="AB48" i="13" s="1"/>
  <c r="AC48" i="13" s="1"/>
  <c r="AD48" i="13" s="1"/>
  <c r="AE48" i="13" s="1"/>
  <c r="AF48" i="13" s="1"/>
  <c r="AG48" i="13" s="1"/>
  <c r="AH48" i="13" s="1"/>
  <c r="AI48" i="13" s="1"/>
  <c r="AJ48" i="13" s="1"/>
  <c r="AK48" i="13" s="1"/>
  <c r="AL48" i="13" s="1"/>
  <c r="AM48" i="13" s="1"/>
  <c r="AN48" i="13" s="1"/>
  <c r="AO48" i="13" s="1"/>
  <c r="AP48" i="13" s="1"/>
  <c r="AQ48" i="13" s="1"/>
  <c r="AR48" i="13" s="1"/>
  <c r="AS48" i="13" s="1"/>
  <c r="AT48" i="13" s="1"/>
  <c r="AU48" i="13" s="1"/>
  <c r="AV48" i="13" s="1"/>
  <c r="AW48" i="13" s="1"/>
  <c r="AX48" i="13" s="1"/>
  <c r="AY48" i="13" s="1"/>
  <c r="AZ48" i="13" s="1"/>
  <c r="BA48" i="13" s="1"/>
  <c r="BB48" i="13" s="1"/>
  <c r="BC48" i="13" s="1"/>
  <c r="BD48" i="13" s="1"/>
  <c r="BE48" i="13" s="1"/>
  <c r="BF48" i="13" s="1"/>
  <c r="BG48" i="13" s="1"/>
  <c r="BH48" i="13" s="1"/>
  <c r="BI48" i="13" s="1"/>
  <c r="BJ48" i="13" s="1"/>
  <c r="BK48" i="13" s="1"/>
  <c r="BL48" i="13" s="1"/>
  <c r="BM48" i="13" s="1"/>
  <c r="BN48" i="13" s="1"/>
  <c r="BO48" i="13" s="1"/>
  <c r="BP48" i="13" s="1"/>
  <c r="BQ48" i="13" s="1"/>
  <c r="BR48" i="13" s="1"/>
  <c r="BS48" i="13" s="1"/>
  <c r="BT48" i="13" s="1"/>
  <c r="BU48" i="13" s="1"/>
  <c r="BV48" i="13" s="1"/>
  <c r="BW48" i="13" s="1"/>
  <c r="BX48" i="13" s="1"/>
  <c r="BY48" i="13" s="1"/>
  <c r="BZ48" i="13" s="1"/>
  <c r="CA48" i="13" s="1"/>
  <c r="CB48" i="13" s="1"/>
  <c r="CC48" i="13" s="1"/>
  <c r="CD48" i="13" s="1"/>
  <c r="CE48" i="13" s="1"/>
  <c r="CF48" i="13" s="1"/>
  <c r="CG48" i="13" s="1"/>
  <c r="CH48" i="13" s="1"/>
  <c r="CI48" i="13" s="1"/>
  <c r="CJ48" i="13" s="1"/>
  <c r="CK48" i="13" s="1"/>
  <c r="CL48" i="13" s="1"/>
  <c r="CM48" i="13" s="1"/>
  <c r="CN48" i="13" s="1"/>
  <c r="CO48" i="13" s="1"/>
  <c r="CP48" i="13" s="1"/>
  <c r="CQ48" i="13" s="1"/>
  <c r="CR48" i="13" s="1"/>
  <c r="CS48" i="13" s="1"/>
  <c r="CT48" i="13" s="1"/>
  <c r="CU48" i="13" s="1"/>
  <c r="CV48" i="13" s="1"/>
  <c r="CW48" i="13" s="1"/>
  <c r="CX48" i="13" s="1"/>
  <c r="CY48" i="13" s="1"/>
  <c r="CZ48" i="13" s="1"/>
  <c r="DA48" i="13" s="1"/>
  <c r="DB48" i="13" s="1"/>
  <c r="DC48" i="13" s="1"/>
  <c r="DD48" i="13" s="1"/>
  <c r="DE48" i="13" s="1"/>
  <c r="DF48" i="13" s="1"/>
  <c r="DG48" i="13" s="1"/>
  <c r="DH48" i="13" s="1"/>
  <c r="DI48" i="13" s="1"/>
  <c r="Y47" i="13"/>
  <c r="Z47" i="13" s="1"/>
  <c r="AA47" i="13" s="1"/>
  <c r="AB47" i="13" s="1"/>
  <c r="AC47" i="13" s="1"/>
  <c r="AD47" i="13" s="1"/>
  <c r="AE47" i="13" s="1"/>
  <c r="AF47" i="13" s="1"/>
  <c r="AG47" i="13" s="1"/>
  <c r="AH47" i="13" s="1"/>
  <c r="AI47" i="13" s="1"/>
  <c r="AJ47" i="13" s="1"/>
  <c r="AK47" i="13" s="1"/>
  <c r="AL47" i="13" s="1"/>
  <c r="AM47" i="13" s="1"/>
  <c r="AN47" i="13" s="1"/>
  <c r="AO47" i="13" s="1"/>
  <c r="AP47" i="13" s="1"/>
  <c r="AQ47" i="13" s="1"/>
  <c r="AR47" i="13" s="1"/>
  <c r="AS47" i="13" s="1"/>
  <c r="AT47" i="13" s="1"/>
  <c r="AU47" i="13" s="1"/>
  <c r="AV47" i="13" s="1"/>
  <c r="AW47" i="13" s="1"/>
  <c r="AX47" i="13" s="1"/>
  <c r="AY47" i="13" s="1"/>
  <c r="AZ47" i="13" s="1"/>
  <c r="BA47" i="13" s="1"/>
  <c r="BB47" i="13" s="1"/>
  <c r="BC47" i="13" s="1"/>
  <c r="BD47" i="13" s="1"/>
  <c r="BE47" i="13" s="1"/>
  <c r="BF47" i="13" s="1"/>
  <c r="BG47" i="13" s="1"/>
  <c r="BH47" i="13" s="1"/>
  <c r="BI47" i="13" s="1"/>
  <c r="BJ47" i="13" s="1"/>
  <c r="BK47" i="13" s="1"/>
  <c r="BL47" i="13" s="1"/>
  <c r="BM47" i="13" s="1"/>
  <c r="BN47" i="13" s="1"/>
  <c r="BO47" i="13" s="1"/>
  <c r="BP47" i="13" s="1"/>
  <c r="BQ47" i="13" s="1"/>
  <c r="BR47" i="13" s="1"/>
  <c r="BS47" i="13" s="1"/>
  <c r="BT47" i="13" s="1"/>
  <c r="BU47" i="13" s="1"/>
  <c r="BV47" i="13" s="1"/>
  <c r="BW47" i="13" s="1"/>
  <c r="BX47" i="13" s="1"/>
  <c r="BY47" i="13" s="1"/>
  <c r="BZ47" i="13" s="1"/>
  <c r="CA47" i="13" s="1"/>
  <c r="CB47" i="13" s="1"/>
  <c r="CC47" i="13" s="1"/>
  <c r="CD47" i="13" s="1"/>
  <c r="CE47" i="13" s="1"/>
  <c r="CF47" i="13" s="1"/>
  <c r="CG47" i="13" s="1"/>
  <c r="CH47" i="13" s="1"/>
  <c r="CI47" i="13" s="1"/>
  <c r="CJ47" i="13" s="1"/>
  <c r="CK47" i="13" s="1"/>
  <c r="CL47" i="13" s="1"/>
  <c r="CM47" i="13" s="1"/>
  <c r="CN47" i="13" s="1"/>
  <c r="CO47" i="13" s="1"/>
  <c r="CP47" i="13" s="1"/>
  <c r="CQ47" i="13" s="1"/>
  <c r="CR47" i="13" s="1"/>
  <c r="CS47" i="13" s="1"/>
  <c r="CT47" i="13" s="1"/>
  <c r="CU47" i="13" s="1"/>
  <c r="CV47" i="13" s="1"/>
  <c r="CW47" i="13" s="1"/>
  <c r="CX47" i="13" s="1"/>
  <c r="CY47" i="13" s="1"/>
  <c r="CZ47" i="13" s="1"/>
  <c r="DA47" i="13" s="1"/>
  <c r="DB47" i="13" s="1"/>
  <c r="DC47" i="13" s="1"/>
  <c r="DD47" i="13" s="1"/>
  <c r="DE47" i="13" s="1"/>
  <c r="DF47" i="13" s="1"/>
  <c r="DG47" i="13" s="1"/>
  <c r="DH47" i="13" s="1"/>
  <c r="DI47" i="13" s="1"/>
  <c r="X45" i="13"/>
  <c r="Y45" i="13" s="1"/>
  <c r="Z45" i="13" s="1"/>
  <c r="AA45" i="13" s="1"/>
  <c r="AB45" i="13" s="1"/>
  <c r="AC45" i="13" s="1"/>
  <c r="AD45" i="13" s="1"/>
  <c r="AE45" i="13" s="1"/>
  <c r="AF45" i="13" s="1"/>
  <c r="AG45" i="13" s="1"/>
  <c r="AH45" i="13" s="1"/>
  <c r="AI45" i="13" s="1"/>
  <c r="AJ45" i="13" s="1"/>
  <c r="AK45" i="13" s="1"/>
  <c r="AL45" i="13" s="1"/>
  <c r="AM45" i="13" s="1"/>
  <c r="AN45" i="13" s="1"/>
  <c r="AO45" i="13" s="1"/>
  <c r="AP45" i="13" s="1"/>
  <c r="AQ45" i="13" s="1"/>
  <c r="AR45" i="13" s="1"/>
  <c r="AS45" i="13" s="1"/>
  <c r="AT45" i="13" s="1"/>
  <c r="AU45" i="13" s="1"/>
  <c r="AV45" i="13" s="1"/>
  <c r="AW45" i="13" s="1"/>
  <c r="AX45" i="13" s="1"/>
  <c r="AY45" i="13" s="1"/>
  <c r="AZ45" i="13" s="1"/>
  <c r="BA45" i="13" s="1"/>
  <c r="BB45" i="13" s="1"/>
  <c r="BC45" i="13" s="1"/>
  <c r="BD45" i="13" s="1"/>
  <c r="BE45" i="13" s="1"/>
  <c r="BF45" i="13" s="1"/>
  <c r="BG45" i="13" s="1"/>
  <c r="BH45" i="13" s="1"/>
  <c r="BI45" i="13" s="1"/>
  <c r="BJ45" i="13" s="1"/>
  <c r="BK45" i="13" s="1"/>
  <c r="BL45" i="13" s="1"/>
  <c r="BM45" i="13" s="1"/>
  <c r="BN45" i="13" s="1"/>
  <c r="BO45" i="13" s="1"/>
  <c r="BP45" i="13" s="1"/>
  <c r="BQ45" i="13" s="1"/>
  <c r="BR45" i="13" s="1"/>
  <c r="BS45" i="13" s="1"/>
  <c r="BT45" i="13" s="1"/>
  <c r="BU45" i="13" s="1"/>
  <c r="BV45" i="13" s="1"/>
  <c r="BW45" i="13" s="1"/>
  <c r="BX45" i="13" s="1"/>
  <c r="BY45" i="13" s="1"/>
  <c r="BZ45" i="13" s="1"/>
  <c r="CA45" i="13" s="1"/>
  <c r="CB45" i="13" s="1"/>
  <c r="CC45" i="13" s="1"/>
  <c r="CD45" i="13" s="1"/>
  <c r="CE45" i="13" s="1"/>
  <c r="CF45" i="13" s="1"/>
  <c r="CG45" i="13" s="1"/>
  <c r="CH45" i="13" s="1"/>
  <c r="CI45" i="13" s="1"/>
  <c r="CJ45" i="13" s="1"/>
  <c r="CK45" i="13" s="1"/>
  <c r="CL45" i="13" s="1"/>
  <c r="CM45" i="13" s="1"/>
  <c r="CN45" i="13" s="1"/>
  <c r="CO45" i="13" s="1"/>
  <c r="CP45" i="13" s="1"/>
  <c r="CQ45" i="13" s="1"/>
  <c r="CR45" i="13" s="1"/>
  <c r="CS45" i="13" s="1"/>
  <c r="CT45" i="13" s="1"/>
  <c r="CU45" i="13" s="1"/>
  <c r="CV45" i="13" s="1"/>
  <c r="CW45" i="13" s="1"/>
  <c r="CX45" i="13" s="1"/>
  <c r="CY45" i="13" s="1"/>
  <c r="CZ45" i="13" s="1"/>
  <c r="DA45" i="13" s="1"/>
  <c r="DB45" i="13" s="1"/>
  <c r="DC45" i="13" s="1"/>
  <c r="DD45" i="13" s="1"/>
  <c r="DE45" i="13" s="1"/>
  <c r="DF45" i="13" s="1"/>
  <c r="DG45" i="13" s="1"/>
  <c r="DH45" i="13" s="1"/>
  <c r="DI45" i="13" s="1"/>
  <c r="X44" i="13"/>
  <c r="Y44" i="13" s="1"/>
  <c r="Z44" i="13" s="1"/>
  <c r="AA44" i="13" s="1"/>
  <c r="AB44" i="13" s="1"/>
  <c r="AC44" i="13" s="1"/>
  <c r="AD44" i="13" s="1"/>
  <c r="AE44" i="13" s="1"/>
  <c r="AF44" i="13" s="1"/>
  <c r="AG44" i="13" s="1"/>
  <c r="AH44" i="13" s="1"/>
  <c r="AI44" i="13" s="1"/>
  <c r="AJ44" i="13" s="1"/>
  <c r="AK44" i="13" s="1"/>
  <c r="AL44" i="13" s="1"/>
  <c r="AM44" i="13" s="1"/>
  <c r="AN44" i="13" s="1"/>
  <c r="AO44" i="13" s="1"/>
  <c r="AP44" i="13" s="1"/>
  <c r="AQ44" i="13" s="1"/>
  <c r="AR44" i="13" s="1"/>
  <c r="AS44" i="13" s="1"/>
  <c r="AT44" i="13" s="1"/>
  <c r="AU44" i="13" s="1"/>
  <c r="AV44" i="13" s="1"/>
  <c r="AW44" i="13" s="1"/>
  <c r="AX44" i="13" s="1"/>
  <c r="AY44" i="13" s="1"/>
  <c r="AZ44" i="13" s="1"/>
  <c r="BA44" i="13" s="1"/>
  <c r="BB44" i="13" s="1"/>
  <c r="BC44" i="13" s="1"/>
  <c r="BD44" i="13" s="1"/>
  <c r="BE44" i="13" s="1"/>
  <c r="BF44" i="13" s="1"/>
  <c r="BG44" i="13" s="1"/>
  <c r="BH44" i="13" s="1"/>
  <c r="BI44" i="13" s="1"/>
  <c r="BJ44" i="13" s="1"/>
  <c r="BK44" i="13" s="1"/>
  <c r="BL44" i="13" s="1"/>
  <c r="BM44" i="13" s="1"/>
  <c r="BN44" i="13" s="1"/>
  <c r="BO44" i="13" s="1"/>
  <c r="BP44" i="13" s="1"/>
  <c r="BQ44" i="13" s="1"/>
  <c r="BR44" i="13" s="1"/>
  <c r="BS44" i="13" s="1"/>
  <c r="BT44" i="13" s="1"/>
  <c r="BU44" i="13" s="1"/>
  <c r="BV44" i="13" s="1"/>
  <c r="BW44" i="13" s="1"/>
  <c r="BX44" i="13" s="1"/>
  <c r="BY44" i="13" s="1"/>
  <c r="BZ44" i="13" s="1"/>
  <c r="CA44" i="13" s="1"/>
  <c r="CB44" i="13" s="1"/>
  <c r="CC44" i="13" s="1"/>
  <c r="CD44" i="13" s="1"/>
  <c r="CE44" i="13" s="1"/>
  <c r="CF44" i="13" s="1"/>
  <c r="CG44" i="13" s="1"/>
  <c r="CH44" i="13" s="1"/>
  <c r="CI44" i="13" s="1"/>
  <c r="CJ44" i="13" s="1"/>
  <c r="CK44" i="13" s="1"/>
  <c r="CL44" i="13" s="1"/>
  <c r="CM44" i="13" s="1"/>
  <c r="CN44" i="13" s="1"/>
  <c r="CO44" i="13" s="1"/>
  <c r="CP44" i="13" s="1"/>
  <c r="CQ44" i="13" s="1"/>
  <c r="CR44" i="13" s="1"/>
  <c r="CS44" i="13" s="1"/>
  <c r="CT44" i="13" s="1"/>
  <c r="CU44" i="13" s="1"/>
  <c r="CV44" i="13" s="1"/>
  <c r="CW44" i="13" s="1"/>
  <c r="CX44" i="13" s="1"/>
  <c r="CY44" i="13" s="1"/>
  <c r="CZ44" i="13" s="1"/>
  <c r="DA44" i="13" s="1"/>
  <c r="DB44" i="13" s="1"/>
  <c r="DC44" i="13" s="1"/>
  <c r="DD44" i="13" s="1"/>
  <c r="DE44" i="13" s="1"/>
  <c r="DF44" i="13" s="1"/>
  <c r="DG44" i="13" s="1"/>
  <c r="DH44" i="13" s="1"/>
  <c r="DI44" i="13" s="1"/>
  <c r="V40" i="13"/>
  <c r="W40" i="13" s="1"/>
  <c r="X40" i="13" s="1"/>
  <c r="Y40" i="13" s="1"/>
  <c r="Z40" i="13" s="1"/>
  <c r="AA40" i="13" s="1"/>
  <c r="AB40" i="13" s="1"/>
  <c r="AC40" i="13" s="1"/>
  <c r="AD40" i="13" s="1"/>
  <c r="AE40" i="13" s="1"/>
  <c r="AF40" i="13" s="1"/>
  <c r="AG40" i="13" s="1"/>
  <c r="AH40" i="13" s="1"/>
  <c r="AI40" i="13" s="1"/>
  <c r="AJ40" i="13" s="1"/>
  <c r="AK40" i="13" s="1"/>
  <c r="AL40" i="13" s="1"/>
  <c r="AM40" i="13" s="1"/>
  <c r="AN40" i="13" s="1"/>
  <c r="AO40" i="13" s="1"/>
  <c r="AP40" i="13" s="1"/>
  <c r="AQ40" i="13" s="1"/>
  <c r="AR40" i="13" s="1"/>
  <c r="AS40" i="13" s="1"/>
  <c r="AT40" i="13" s="1"/>
  <c r="AU40" i="13" s="1"/>
  <c r="AV40" i="13" s="1"/>
  <c r="AW40" i="13" s="1"/>
  <c r="AX40" i="13" s="1"/>
  <c r="AY40" i="13" s="1"/>
  <c r="AZ40" i="13" s="1"/>
  <c r="BA40" i="13" s="1"/>
  <c r="BB40" i="13" s="1"/>
  <c r="BC40" i="13" s="1"/>
  <c r="BD40" i="13" s="1"/>
  <c r="BE40" i="13" s="1"/>
  <c r="BF40" i="13" s="1"/>
  <c r="BG40" i="13" s="1"/>
  <c r="BH40" i="13" s="1"/>
  <c r="BI40" i="13" s="1"/>
  <c r="BJ40" i="13" s="1"/>
  <c r="BK40" i="13" s="1"/>
  <c r="BL40" i="13" s="1"/>
  <c r="BM40" i="13" s="1"/>
  <c r="BN40" i="13" s="1"/>
  <c r="BO40" i="13" s="1"/>
  <c r="BP40" i="13" s="1"/>
  <c r="BQ40" i="13" s="1"/>
  <c r="BR40" i="13" s="1"/>
  <c r="BS40" i="13" s="1"/>
  <c r="BT40" i="13" s="1"/>
  <c r="BU40" i="13" s="1"/>
  <c r="BV40" i="13" s="1"/>
  <c r="BW40" i="13" s="1"/>
  <c r="BX40" i="13" s="1"/>
  <c r="BY40" i="13" s="1"/>
  <c r="BZ40" i="13" s="1"/>
  <c r="CA40" i="13" s="1"/>
  <c r="CB40" i="13" s="1"/>
  <c r="CC40" i="13" s="1"/>
  <c r="CD40" i="13" s="1"/>
  <c r="CE40" i="13" s="1"/>
  <c r="CF40" i="13" s="1"/>
  <c r="CG40" i="13" s="1"/>
  <c r="CH40" i="13" s="1"/>
  <c r="CI40" i="13" s="1"/>
  <c r="CJ40" i="13" s="1"/>
  <c r="CK40" i="13" s="1"/>
  <c r="CL40" i="13" s="1"/>
  <c r="CM40" i="13" s="1"/>
  <c r="CN40" i="13" s="1"/>
  <c r="CO40" i="13" s="1"/>
  <c r="CP40" i="13" s="1"/>
  <c r="CQ40" i="13" s="1"/>
  <c r="CR40" i="13" s="1"/>
  <c r="CS40" i="13" s="1"/>
  <c r="CT40" i="13" s="1"/>
  <c r="CU40" i="13" s="1"/>
  <c r="CV40" i="13" s="1"/>
  <c r="CW40" i="13" s="1"/>
  <c r="CX40" i="13" s="1"/>
  <c r="CY40" i="13" s="1"/>
  <c r="CZ40" i="13" s="1"/>
  <c r="DA40" i="13" s="1"/>
  <c r="DB40" i="13" s="1"/>
  <c r="DC40" i="13" s="1"/>
  <c r="DD40" i="13" s="1"/>
  <c r="DE40" i="13" s="1"/>
  <c r="DF40" i="13" s="1"/>
  <c r="DG40" i="13" s="1"/>
  <c r="DH40" i="13" s="1"/>
  <c r="DI40" i="13" s="1"/>
  <c r="V39" i="13"/>
  <c r="W39" i="13" s="1"/>
  <c r="X39" i="13" s="1"/>
  <c r="Y39" i="13" s="1"/>
  <c r="Z39" i="13" s="1"/>
  <c r="AA39" i="13" s="1"/>
  <c r="AB39" i="13" s="1"/>
  <c r="AC39" i="13" s="1"/>
  <c r="AD39" i="13" s="1"/>
  <c r="AE39" i="13" s="1"/>
  <c r="AF39" i="13" s="1"/>
  <c r="AG39" i="13" s="1"/>
  <c r="AH39" i="13" s="1"/>
  <c r="AI39" i="13" s="1"/>
  <c r="AJ39" i="13" s="1"/>
  <c r="AK39" i="13" s="1"/>
  <c r="AL39" i="13" s="1"/>
  <c r="AM39" i="13" s="1"/>
  <c r="AN39" i="13" s="1"/>
  <c r="AO39" i="13" s="1"/>
  <c r="AP39" i="13" s="1"/>
  <c r="AQ39" i="13" s="1"/>
  <c r="AR39" i="13" s="1"/>
  <c r="AS39" i="13" s="1"/>
  <c r="AT39" i="13" s="1"/>
  <c r="AU39" i="13" s="1"/>
  <c r="AV39" i="13" s="1"/>
  <c r="AW39" i="13" s="1"/>
  <c r="AX39" i="13" s="1"/>
  <c r="AY39" i="13" s="1"/>
  <c r="AZ39" i="13" s="1"/>
  <c r="BA39" i="13" s="1"/>
  <c r="BB39" i="13" s="1"/>
  <c r="BC39" i="13" s="1"/>
  <c r="BD39" i="13" s="1"/>
  <c r="BE39" i="13" s="1"/>
  <c r="BF39" i="13" s="1"/>
  <c r="BG39" i="13" s="1"/>
  <c r="BH39" i="13" s="1"/>
  <c r="BI39" i="13" s="1"/>
  <c r="BJ39" i="13" s="1"/>
  <c r="BK39" i="13" s="1"/>
  <c r="BL39" i="13" s="1"/>
  <c r="BM39" i="13" s="1"/>
  <c r="BN39" i="13" s="1"/>
  <c r="BO39" i="13" s="1"/>
  <c r="BP39" i="13" s="1"/>
  <c r="BQ39" i="13" s="1"/>
  <c r="BR39" i="13" s="1"/>
  <c r="BS39" i="13" s="1"/>
  <c r="BT39" i="13" s="1"/>
  <c r="BU39" i="13" s="1"/>
  <c r="BV39" i="13" s="1"/>
  <c r="BW39" i="13" s="1"/>
  <c r="BX39" i="13" s="1"/>
  <c r="BY39" i="13" s="1"/>
  <c r="BZ39" i="13" s="1"/>
  <c r="CA39" i="13" s="1"/>
  <c r="CB39" i="13" s="1"/>
  <c r="CC39" i="13" s="1"/>
  <c r="CD39" i="13" s="1"/>
  <c r="CE39" i="13" s="1"/>
  <c r="CF39" i="13" s="1"/>
  <c r="CG39" i="13" s="1"/>
  <c r="CH39" i="13" s="1"/>
  <c r="CI39" i="13" s="1"/>
  <c r="CJ39" i="13" s="1"/>
  <c r="CK39" i="13" s="1"/>
  <c r="CL39" i="13" s="1"/>
  <c r="CM39" i="13" s="1"/>
  <c r="CN39" i="13" s="1"/>
  <c r="CO39" i="13" s="1"/>
  <c r="CP39" i="13" s="1"/>
  <c r="CQ39" i="13" s="1"/>
  <c r="CR39" i="13" s="1"/>
  <c r="CS39" i="13" s="1"/>
  <c r="CT39" i="13" s="1"/>
  <c r="CU39" i="13" s="1"/>
  <c r="CV39" i="13" s="1"/>
  <c r="CW39" i="13" s="1"/>
  <c r="CX39" i="13" s="1"/>
  <c r="CY39" i="13" s="1"/>
  <c r="CZ39" i="13" s="1"/>
  <c r="DA39" i="13" s="1"/>
  <c r="DB39" i="13" s="1"/>
  <c r="DC39" i="13" s="1"/>
  <c r="DD39" i="13" s="1"/>
  <c r="DE39" i="13" s="1"/>
  <c r="DF39" i="13" s="1"/>
  <c r="DG39" i="13" s="1"/>
  <c r="DH39" i="13" s="1"/>
  <c r="DI39" i="13" s="1"/>
  <c r="V38" i="13"/>
  <c r="W38" i="13" s="1"/>
  <c r="X38" i="13" s="1"/>
  <c r="Y38" i="13" s="1"/>
  <c r="Z38" i="13" s="1"/>
  <c r="AA38" i="13" s="1"/>
  <c r="AB38" i="13" s="1"/>
  <c r="AC38" i="13" s="1"/>
  <c r="AD38" i="13" s="1"/>
  <c r="AE38" i="13" s="1"/>
  <c r="AF38" i="13" s="1"/>
  <c r="AG38" i="13" s="1"/>
  <c r="AH38" i="13" s="1"/>
  <c r="AI38" i="13" s="1"/>
  <c r="AJ38" i="13" s="1"/>
  <c r="AK38" i="13" s="1"/>
  <c r="AL38" i="13" s="1"/>
  <c r="AM38" i="13" s="1"/>
  <c r="AN38" i="13" s="1"/>
  <c r="AO38" i="13" s="1"/>
  <c r="AP38" i="13" s="1"/>
  <c r="AQ38" i="13" s="1"/>
  <c r="AR38" i="13" s="1"/>
  <c r="AS38" i="13" s="1"/>
  <c r="AT38" i="13" s="1"/>
  <c r="AU38" i="13" s="1"/>
  <c r="AV38" i="13" s="1"/>
  <c r="AW38" i="13" s="1"/>
  <c r="AX38" i="13" s="1"/>
  <c r="AY38" i="13" s="1"/>
  <c r="AZ38" i="13" s="1"/>
  <c r="BA38" i="13" s="1"/>
  <c r="BB38" i="13" s="1"/>
  <c r="BC38" i="13" s="1"/>
  <c r="BD38" i="13" s="1"/>
  <c r="BE38" i="13" s="1"/>
  <c r="BF38" i="13" s="1"/>
  <c r="BG38" i="13" s="1"/>
  <c r="BH38" i="13" s="1"/>
  <c r="BI38" i="13" s="1"/>
  <c r="BJ38" i="13" s="1"/>
  <c r="BK38" i="13" s="1"/>
  <c r="BL38" i="13" s="1"/>
  <c r="BM38" i="13" s="1"/>
  <c r="BN38" i="13" s="1"/>
  <c r="BO38" i="13" s="1"/>
  <c r="BP38" i="13" s="1"/>
  <c r="BQ38" i="13" s="1"/>
  <c r="BR38" i="13" s="1"/>
  <c r="BS38" i="13" s="1"/>
  <c r="BT38" i="13" s="1"/>
  <c r="BU38" i="13" s="1"/>
  <c r="BV38" i="13" s="1"/>
  <c r="BW38" i="13" s="1"/>
  <c r="BX38" i="13" s="1"/>
  <c r="BY38" i="13" s="1"/>
  <c r="BZ38" i="13" s="1"/>
  <c r="CA38" i="13" s="1"/>
  <c r="CB38" i="13" s="1"/>
  <c r="CC38" i="13" s="1"/>
  <c r="CD38" i="13" s="1"/>
  <c r="CE38" i="13" s="1"/>
  <c r="CF38" i="13" s="1"/>
  <c r="CG38" i="13" s="1"/>
  <c r="CH38" i="13" s="1"/>
  <c r="CI38" i="13" s="1"/>
  <c r="CJ38" i="13" s="1"/>
  <c r="CK38" i="13" s="1"/>
  <c r="CL38" i="13" s="1"/>
  <c r="CM38" i="13" s="1"/>
  <c r="CN38" i="13" s="1"/>
  <c r="CO38" i="13" s="1"/>
  <c r="CP38" i="13" s="1"/>
  <c r="CQ38" i="13" s="1"/>
  <c r="CR38" i="13" s="1"/>
  <c r="CS38" i="13" s="1"/>
  <c r="CT38" i="13" s="1"/>
  <c r="CU38" i="13" s="1"/>
  <c r="CV38" i="13" s="1"/>
  <c r="CW38" i="13" s="1"/>
  <c r="CX38" i="13" s="1"/>
  <c r="CY38" i="13" s="1"/>
  <c r="CZ38" i="13" s="1"/>
  <c r="DA38" i="13" s="1"/>
  <c r="DB38" i="13" s="1"/>
  <c r="DC38" i="13" s="1"/>
  <c r="DD38" i="13" s="1"/>
  <c r="DE38" i="13" s="1"/>
  <c r="DF38" i="13" s="1"/>
  <c r="DG38" i="13" s="1"/>
  <c r="DH38" i="13" s="1"/>
  <c r="DI38" i="13" s="1"/>
  <c r="U37" i="13"/>
  <c r="V37" i="13" s="1"/>
  <c r="W37" i="13" s="1"/>
  <c r="X37" i="13" s="1"/>
  <c r="Y37" i="13" s="1"/>
  <c r="Z37" i="13" s="1"/>
  <c r="AA37" i="13" s="1"/>
  <c r="AB37" i="13" s="1"/>
  <c r="AC37" i="13" s="1"/>
  <c r="AD37" i="13" s="1"/>
  <c r="AE37" i="13" s="1"/>
  <c r="AF37" i="13" s="1"/>
  <c r="AG37" i="13" s="1"/>
  <c r="AH37" i="13" s="1"/>
  <c r="AI37" i="13" s="1"/>
  <c r="AJ37" i="13" s="1"/>
  <c r="AK37" i="13" s="1"/>
  <c r="AL37" i="13" s="1"/>
  <c r="AM37" i="13" s="1"/>
  <c r="AN37" i="13" s="1"/>
  <c r="AO37" i="13" s="1"/>
  <c r="AP37" i="13" s="1"/>
  <c r="AQ37" i="13" s="1"/>
  <c r="AR37" i="13" s="1"/>
  <c r="AS37" i="13" s="1"/>
  <c r="AT37" i="13" s="1"/>
  <c r="AU37" i="13" s="1"/>
  <c r="AV37" i="13" s="1"/>
  <c r="AW37" i="13" s="1"/>
  <c r="AX37" i="13" s="1"/>
  <c r="AY37" i="13" s="1"/>
  <c r="AZ37" i="13" s="1"/>
  <c r="BA37" i="13" s="1"/>
  <c r="BB37" i="13" s="1"/>
  <c r="BC37" i="13" s="1"/>
  <c r="BD37" i="13" s="1"/>
  <c r="BE37" i="13" s="1"/>
  <c r="BF37" i="13" s="1"/>
  <c r="BG37" i="13" s="1"/>
  <c r="BH37" i="13" s="1"/>
  <c r="BI37" i="13" s="1"/>
  <c r="BJ37" i="13" s="1"/>
  <c r="BK37" i="13" s="1"/>
  <c r="BL37" i="13" s="1"/>
  <c r="BM37" i="13" s="1"/>
  <c r="BN37" i="13" s="1"/>
  <c r="BO37" i="13" s="1"/>
  <c r="BP37" i="13" s="1"/>
  <c r="BQ37" i="13" s="1"/>
  <c r="BR37" i="13" s="1"/>
  <c r="BS37" i="13" s="1"/>
  <c r="BT37" i="13" s="1"/>
  <c r="BU37" i="13" s="1"/>
  <c r="BV37" i="13" s="1"/>
  <c r="BW37" i="13" s="1"/>
  <c r="BX37" i="13" s="1"/>
  <c r="BY37" i="13" s="1"/>
  <c r="BZ37" i="13" s="1"/>
  <c r="CA37" i="13" s="1"/>
  <c r="CB37" i="13" s="1"/>
  <c r="CC37" i="13" s="1"/>
  <c r="CD37" i="13" s="1"/>
  <c r="CE37" i="13" s="1"/>
  <c r="CF37" i="13" s="1"/>
  <c r="CG37" i="13" s="1"/>
  <c r="CH37" i="13" s="1"/>
  <c r="CI37" i="13" s="1"/>
  <c r="CJ37" i="13" s="1"/>
  <c r="CK37" i="13" s="1"/>
  <c r="CL37" i="13" s="1"/>
  <c r="CM37" i="13" s="1"/>
  <c r="CN37" i="13" s="1"/>
  <c r="CO37" i="13" s="1"/>
  <c r="CP37" i="13" s="1"/>
  <c r="CQ37" i="13" s="1"/>
  <c r="CR37" i="13" s="1"/>
  <c r="CS37" i="13" s="1"/>
  <c r="CT37" i="13" s="1"/>
  <c r="CU37" i="13" s="1"/>
  <c r="CV37" i="13" s="1"/>
  <c r="CW37" i="13" s="1"/>
  <c r="CX37" i="13" s="1"/>
  <c r="CY37" i="13" s="1"/>
  <c r="CZ37" i="13" s="1"/>
  <c r="DA37" i="13" s="1"/>
  <c r="DB37" i="13" s="1"/>
  <c r="DC37" i="13" s="1"/>
  <c r="DD37" i="13" s="1"/>
  <c r="DE37" i="13" s="1"/>
  <c r="DF37" i="13" s="1"/>
  <c r="DG37" i="13" s="1"/>
  <c r="DH37" i="13" s="1"/>
  <c r="DI37" i="13" s="1"/>
  <c r="T35" i="13"/>
  <c r="U35" i="13" s="1"/>
  <c r="V35" i="13" s="1"/>
  <c r="W35" i="13" s="1"/>
  <c r="X35" i="13" s="1"/>
  <c r="Y35" i="13" s="1"/>
  <c r="Z35" i="13" s="1"/>
  <c r="AA35" i="13" s="1"/>
  <c r="AB35" i="13" s="1"/>
  <c r="AC35" i="13" s="1"/>
  <c r="AD35" i="13" s="1"/>
  <c r="AE35" i="13" s="1"/>
  <c r="AF35" i="13" s="1"/>
  <c r="AG35" i="13" s="1"/>
  <c r="AH35" i="13" s="1"/>
  <c r="AI35" i="13" s="1"/>
  <c r="AJ35" i="13" s="1"/>
  <c r="AK35" i="13" s="1"/>
  <c r="AL35" i="13" s="1"/>
  <c r="AM35" i="13" s="1"/>
  <c r="AN35" i="13" s="1"/>
  <c r="AO35" i="13" s="1"/>
  <c r="AP35" i="13" s="1"/>
  <c r="AQ35" i="13" s="1"/>
  <c r="AR35" i="13" s="1"/>
  <c r="AS35" i="13" s="1"/>
  <c r="AT35" i="13" s="1"/>
  <c r="AU35" i="13" s="1"/>
  <c r="AV35" i="13" s="1"/>
  <c r="AW35" i="13" s="1"/>
  <c r="AX35" i="13" s="1"/>
  <c r="AY35" i="13" s="1"/>
  <c r="AZ35" i="13" s="1"/>
  <c r="BA35" i="13" s="1"/>
  <c r="BB35" i="13" s="1"/>
  <c r="BC35" i="13" s="1"/>
  <c r="BD35" i="13" s="1"/>
  <c r="BE35" i="13" s="1"/>
  <c r="BF35" i="13" s="1"/>
  <c r="BG35" i="13" s="1"/>
  <c r="BH35" i="13" s="1"/>
  <c r="BI35" i="13" s="1"/>
  <c r="BJ35" i="13" s="1"/>
  <c r="BK35" i="13" s="1"/>
  <c r="BL35" i="13" s="1"/>
  <c r="BM35" i="13" s="1"/>
  <c r="BN35" i="13" s="1"/>
  <c r="BO35" i="13" s="1"/>
  <c r="BP35" i="13" s="1"/>
  <c r="BQ35" i="13" s="1"/>
  <c r="BR35" i="13" s="1"/>
  <c r="BS35" i="13" s="1"/>
  <c r="BT35" i="13" s="1"/>
  <c r="BU35" i="13" s="1"/>
  <c r="BV35" i="13" s="1"/>
  <c r="BW35" i="13" s="1"/>
  <c r="BX35" i="13" s="1"/>
  <c r="BY35" i="13" s="1"/>
  <c r="BZ35" i="13" s="1"/>
  <c r="CA35" i="13" s="1"/>
  <c r="CB35" i="13" s="1"/>
  <c r="CC35" i="13" s="1"/>
  <c r="CD35" i="13" s="1"/>
  <c r="CE35" i="13" s="1"/>
  <c r="CF35" i="13" s="1"/>
  <c r="CG35" i="13" s="1"/>
  <c r="CH35" i="13" s="1"/>
  <c r="CI35" i="13" s="1"/>
  <c r="CJ35" i="13" s="1"/>
  <c r="CK35" i="13" s="1"/>
  <c r="CL35" i="13" s="1"/>
  <c r="CM35" i="13" s="1"/>
  <c r="CN35" i="13" s="1"/>
  <c r="CO35" i="13" s="1"/>
  <c r="CP35" i="13" s="1"/>
  <c r="CQ35" i="13" s="1"/>
  <c r="CR35" i="13" s="1"/>
  <c r="CS35" i="13" s="1"/>
  <c r="CT35" i="13" s="1"/>
  <c r="CU35" i="13" s="1"/>
  <c r="CV35" i="13" s="1"/>
  <c r="CW35" i="13" s="1"/>
  <c r="CX35" i="13" s="1"/>
  <c r="CY35" i="13" s="1"/>
  <c r="CZ35" i="13" s="1"/>
  <c r="DA35" i="13" s="1"/>
  <c r="DB35" i="13" s="1"/>
  <c r="DC35" i="13" s="1"/>
  <c r="DD35" i="13" s="1"/>
  <c r="DE35" i="13" s="1"/>
  <c r="DF35" i="13" s="1"/>
  <c r="DG35" i="13" s="1"/>
  <c r="DH35" i="13" s="1"/>
  <c r="DI35" i="13" s="1"/>
  <c r="T34" i="13"/>
  <c r="U34" i="13" s="1"/>
  <c r="V34" i="13" s="1"/>
  <c r="W34" i="13" s="1"/>
  <c r="X34" i="13" s="1"/>
  <c r="Y34" i="13" s="1"/>
  <c r="Z34" i="13" s="1"/>
  <c r="AA34" i="13" s="1"/>
  <c r="AB34" i="13" s="1"/>
  <c r="AC34" i="13" s="1"/>
  <c r="AD34" i="13" s="1"/>
  <c r="AE34" i="13" s="1"/>
  <c r="AF34" i="13" s="1"/>
  <c r="AG34" i="13" s="1"/>
  <c r="AH34" i="13" s="1"/>
  <c r="AI34" i="13" s="1"/>
  <c r="AJ34" i="13" s="1"/>
  <c r="AK34" i="13" s="1"/>
  <c r="AL34" i="13" s="1"/>
  <c r="AM34" i="13" s="1"/>
  <c r="AN34" i="13" s="1"/>
  <c r="AO34" i="13" s="1"/>
  <c r="AP34" i="13" s="1"/>
  <c r="AQ34" i="13" s="1"/>
  <c r="AR34" i="13" s="1"/>
  <c r="AS34" i="13" s="1"/>
  <c r="AT34" i="13" s="1"/>
  <c r="AU34" i="13" s="1"/>
  <c r="AV34" i="13" s="1"/>
  <c r="AW34" i="13" s="1"/>
  <c r="AX34" i="13" s="1"/>
  <c r="AY34" i="13" s="1"/>
  <c r="AZ34" i="13" s="1"/>
  <c r="BA34" i="13" s="1"/>
  <c r="BB34" i="13" s="1"/>
  <c r="BC34" i="13" s="1"/>
  <c r="BD34" i="13" s="1"/>
  <c r="BE34" i="13" s="1"/>
  <c r="BF34" i="13" s="1"/>
  <c r="BG34" i="13" s="1"/>
  <c r="BH34" i="13" s="1"/>
  <c r="BI34" i="13" s="1"/>
  <c r="BJ34" i="13" s="1"/>
  <c r="BK34" i="13" s="1"/>
  <c r="BL34" i="13" s="1"/>
  <c r="BM34" i="13" s="1"/>
  <c r="BN34" i="13" s="1"/>
  <c r="BO34" i="13" s="1"/>
  <c r="BP34" i="13" s="1"/>
  <c r="BQ34" i="13" s="1"/>
  <c r="BR34" i="13" s="1"/>
  <c r="BS34" i="13" s="1"/>
  <c r="BT34" i="13" s="1"/>
  <c r="BU34" i="13" s="1"/>
  <c r="BV34" i="13" s="1"/>
  <c r="BW34" i="13" s="1"/>
  <c r="BX34" i="13" s="1"/>
  <c r="BY34" i="13" s="1"/>
  <c r="BZ34" i="13" s="1"/>
  <c r="CA34" i="13" s="1"/>
  <c r="CB34" i="13" s="1"/>
  <c r="CC34" i="13" s="1"/>
  <c r="CD34" i="13" s="1"/>
  <c r="CE34" i="13" s="1"/>
  <c r="CF34" i="13" s="1"/>
  <c r="CG34" i="13" s="1"/>
  <c r="CH34" i="13" s="1"/>
  <c r="CI34" i="13" s="1"/>
  <c r="CJ34" i="13" s="1"/>
  <c r="CK34" i="13" s="1"/>
  <c r="CL34" i="13" s="1"/>
  <c r="CM34" i="13" s="1"/>
  <c r="CN34" i="13" s="1"/>
  <c r="CO34" i="13" s="1"/>
  <c r="CP34" i="13" s="1"/>
  <c r="CQ34" i="13" s="1"/>
  <c r="CR34" i="13" s="1"/>
  <c r="CS34" i="13" s="1"/>
  <c r="CT34" i="13" s="1"/>
  <c r="CU34" i="13" s="1"/>
  <c r="CV34" i="13" s="1"/>
  <c r="CW34" i="13" s="1"/>
  <c r="CX34" i="13" s="1"/>
  <c r="CY34" i="13" s="1"/>
  <c r="CZ34" i="13" s="1"/>
  <c r="DA34" i="13" s="1"/>
  <c r="DB34" i="13" s="1"/>
  <c r="DC34" i="13" s="1"/>
  <c r="DD34" i="13" s="1"/>
  <c r="DE34" i="13" s="1"/>
  <c r="DF34" i="13" s="1"/>
  <c r="DG34" i="13" s="1"/>
  <c r="DH34" i="13" s="1"/>
  <c r="DI34" i="13" s="1"/>
  <c r="S33" i="13"/>
  <c r="T33" i="13" s="1"/>
  <c r="U33" i="13" s="1"/>
  <c r="V33" i="13" s="1"/>
  <c r="W33" i="13" s="1"/>
  <c r="X33" i="13" s="1"/>
  <c r="Y33" i="13" s="1"/>
  <c r="Z33" i="13" s="1"/>
  <c r="AA33" i="13" s="1"/>
  <c r="AB33" i="13" s="1"/>
  <c r="AC33" i="13" s="1"/>
  <c r="AD33" i="13" s="1"/>
  <c r="AE33" i="13" s="1"/>
  <c r="AF33" i="13" s="1"/>
  <c r="AG33" i="13" s="1"/>
  <c r="AH33" i="13" s="1"/>
  <c r="AI33" i="13" s="1"/>
  <c r="AJ33" i="13" s="1"/>
  <c r="AK33" i="13" s="1"/>
  <c r="AL33" i="13" s="1"/>
  <c r="AM33" i="13" s="1"/>
  <c r="AN33" i="13" s="1"/>
  <c r="AO33" i="13" s="1"/>
  <c r="AP33" i="13" s="1"/>
  <c r="AQ33" i="13" s="1"/>
  <c r="AR33" i="13" s="1"/>
  <c r="AS33" i="13" s="1"/>
  <c r="AT33" i="13" s="1"/>
  <c r="AU33" i="13" s="1"/>
  <c r="AV33" i="13" s="1"/>
  <c r="AW33" i="13" s="1"/>
  <c r="AX33" i="13" s="1"/>
  <c r="AY33" i="13" s="1"/>
  <c r="AZ33" i="13" s="1"/>
  <c r="BA33" i="13" s="1"/>
  <c r="BB33" i="13" s="1"/>
  <c r="BC33" i="13" s="1"/>
  <c r="BD33" i="13" s="1"/>
  <c r="BE33" i="13" s="1"/>
  <c r="BF33" i="13" s="1"/>
  <c r="BG33" i="13" s="1"/>
  <c r="BH33" i="13" s="1"/>
  <c r="BI33" i="13" s="1"/>
  <c r="BJ33" i="13" s="1"/>
  <c r="BK33" i="13" s="1"/>
  <c r="BL33" i="13" s="1"/>
  <c r="BM33" i="13" s="1"/>
  <c r="BN33" i="13" s="1"/>
  <c r="BO33" i="13" s="1"/>
  <c r="BP33" i="13" s="1"/>
  <c r="BQ33" i="13" s="1"/>
  <c r="BR33" i="13" s="1"/>
  <c r="BS33" i="13" s="1"/>
  <c r="BT33" i="13" s="1"/>
  <c r="BU33" i="13" s="1"/>
  <c r="BV33" i="13" s="1"/>
  <c r="BW33" i="13" s="1"/>
  <c r="BX33" i="13" s="1"/>
  <c r="BY33" i="13" s="1"/>
  <c r="BZ33" i="13" s="1"/>
  <c r="CA33" i="13" s="1"/>
  <c r="CB33" i="13" s="1"/>
  <c r="CC33" i="13" s="1"/>
  <c r="CD33" i="13" s="1"/>
  <c r="CE33" i="13" s="1"/>
  <c r="CF33" i="13" s="1"/>
  <c r="CG33" i="13" s="1"/>
  <c r="CH33" i="13" s="1"/>
  <c r="CI33" i="13" s="1"/>
  <c r="CJ33" i="13" s="1"/>
  <c r="CK33" i="13" s="1"/>
  <c r="CL33" i="13" s="1"/>
  <c r="CM33" i="13" s="1"/>
  <c r="CN33" i="13" s="1"/>
  <c r="CO33" i="13" s="1"/>
  <c r="CP33" i="13" s="1"/>
  <c r="CQ33" i="13" s="1"/>
  <c r="CR33" i="13" s="1"/>
  <c r="CS33" i="13" s="1"/>
  <c r="CT33" i="13" s="1"/>
  <c r="CU33" i="13" s="1"/>
  <c r="CV33" i="13" s="1"/>
  <c r="CW33" i="13" s="1"/>
  <c r="CX33" i="13" s="1"/>
  <c r="CY33" i="13" s="1"/>
  <c r="CZ33" i="13" s="1"/>
  <c r="DA33" i="13" s="1"/>
  <c r="DB33" i="13" s="1"/>
  <c r="DC33" i="13" s="1"/>
  <c r="DD33" i="13" s="1"/>
  <c r="DE33" i="13" s="1"/>
  <c r="DF33" i="13" s="1"/>
  <c r="DG33" i="13" s="1"/>
  <c r="DH33" i="13" s="1"/>
  <c r="DI33" i="13" s="1"/>
  <c r="S32" i="13"/>
  <c r="T32" i="13" s="1"/>
  <c r="U32" i="13" s="1"/>
  <c r="V32" i="13" s="1"/>
  <c r="W32" i="13" s="1"/>
  <c r="X32" i="13" s="1"/>
  <c r="Y32" i="13" s="1"/>
  <c r="Z32" i="13" s="1"/>
  <c r="AA32" i="13" s="1"/>
  <c r="AB32" i="13" s="1"/>
  <c r="AC32" i="13" s="1"/>
  <c r="AD32" i="13" s="1"/>
  <c r="AE32" i="13" s="1"/>
  <c r="AF32" i="13" s="1"/>
  <c r="AG32" i="13" s="1"/>
  <c r="AH32" i="13" s="1"/>
  <c r="AI32" i="13" s="1"/>
  <c r="AJ32" i="13" s="1"/>
  <c r="AK32" i="13" s="1"/>
  <c r="AL32" i="13" s="1"/>
  <c r="AM32" i="13" s="1"/>
  <c r="AN32" i="13" s="1"/>
  <c r="AO32" i="13" s="1"/>
  <c r="AP32" i="13" s="1"/>
  <c r="AQ32" i="13" s="1"/>
  <c r="AR32" i="13" s="1"/>
  <c r="AS32" i="13" s="1"/>
  <c r="AT32" i="13" s="1"/>
  <c r="AU32" i="13" s="1"/>
  <c r="AV32" i="13" s="1"/>
  <c r="AW32" i="13" s="1"/>
  <c r="AX32" i="13" s="1"/>
  <c r="AY32" i="13" s="1"/>
  <c r="AZ32" i="13" s="1"/>
  <c r="BA32" i="13" s="1"/>
  <c r="BB32" i="13" s="1"/>
  <c r="BC32" i="13" s="1"/>
  <c r="BD32" i="13" s="1"/>
  <c r="BE32" i="13" s="1"/>
  <c r="BF32" i="13" s="1"/>
  <c r="BG32" i="13" s="1"/>
  <c r="BH32" i="13" s="1"/>
  <c r="BI32" i="13" s="1"/>
  <c r="BJ32" i="13" s="1"/>
  <c r="BK32" i="13" s="1"/>
  <c r="BL32" i="13" s="1"/>
  <c r="BM32" i="13" s="1"/>
  <c r="BN32" i="13" s="1"/>
  <c r="BO32" i="13" s="1"/>
  <c r="BP32" i="13" s="1"/>
  <c r="BQ32" i="13" s="1"/>
  <c r="BR32" i="13" s="1"/>
  <c r="BS32" i="13" s="1"/>
  <c r="BT32" i="13" s="1"/>
  <c r="BU32" i="13" s="1"/>
  <c r="BV32" i="13" s="1"/>
  <c r="BW32" i="13" s="1"/>
  <c r="BX32" i="13" s="1"/>
  <c r="BY32" i="13" s="1"/>
  <c r="BZ32" i="13" s="1"/>
  <c r="CA32" i="13" s="1"/>
  <c r="CB32" i="13" s="1"/>
  <c r="CC32" i="13" s="1"/>
  <c r="CD32" i="13" s="1"/>
  <c r="CE32" i="13" s="1"/>
  <c r="CF32" i="13" s="1"/>
  <c r="CG32" i="13" s="1"/>
  <c r="CH32" i="13" s="1"/>
  <c r="CI32" i="13" s="1"/>
  <c r="CJ32" i="13" s="1"/>
  <c r="CK32" i="13" s="1"/>
  <c r="CL32" i="13" s="1"/>
  <c r="CM32" i="13" s="1"/>
  <c r="CN32" i="13" s="1"/>
  <c r="CO32" i="13" s="1"/>
  <c r="CP32" i="13" s="1"/>
  <c r="CQ32" i="13" s="1"/>
  <c r="CR32" i="13" s="1"/>
  <c r="CS32" i="13" s="1"/>
  <c r="CT32" i="13" s="1"/>
  <c r="CU32" i="13" s="1"/>
  <c r="CV32" i="13" s="1"/>
  <c r="CW32" i="13" s="1"/>
  <c r="CX32" i="13" s="1"/>
  <c r="CY32" i="13" s="1"/>
  <c r="CZ32" i="13" s="1"/>
  <c r="DA32" i="13" s="1"/>
  <c r="DB32" i="13" s="1"/>
  <c r="DC32" i="13" s="1"/>
  <c r="DD32" i="13" s="1"/>
  <c r="DE32" i="13" s="1"/>
  <c r="DF32" i="13" s="1"/>
  <c r="DG32" i="13" s="1"/>
  <c r="DH32" i="13" s="1"/>
  <c r="DI32" i="13" s="1"/>
  <c r="S31" i="13"/>
  <c r="T31" i="13" s="1"/>
  <c r="U31" i="13" s="1"/>
  <c r="V31" i="13" s="1"/>
  <c r="W31" i="13" s="1"/>
  <c r="X31" i="13" s="1"/>
  <c r="Y31" i="13" s="1"/>
  <c r="Z31" i="13" s="1"/>
  <c r="AA31" i="13" s="1"/>
  <c r="AB31" i="13" s="1"/>
  <c r="AC31" i="13" s="1"/>
  <c r="AD31" i="13" s="1"/>
  <c r="AE31" i="13" s="1"/>
  <c r="AF31" i="13" s="1"/>
  <c r="AG31" i="13" s="1"/>
  <c r="AH31" i="13" s="1"/>
  <c r="AI31" i="13" s="1"/>
  <c r="AJ31" i="13" s="1"/>
  <c r="AK31" i="13" s="1"/>
  <c r="AL31" i="13" s="1"/>
  <c r="AM31" i="13" s="1"/>
  <c r="AN31" i="13" s="1"/>
  <c r="AO31" i="13" s="1"/>
  <c r="AP31" i="13" s="1"/>
  <c r="AQ31" i="13" s="1"/>
  <c r="AR31" i="13" s="1"/>
  <c r="AS31" i="13" s="1"/>
  <c r="AT31" i="13" s="1"/>
  <c r="AU31" i="13" s="1"/>
  <c r="AV31" i="13" s="1"/>
  <c r="AW31" i="13" s="1"/>
  <c r="AX31" i="13" s="1"/>
  <c r="AY31" i="13" s="1"/>
  <c r="AZ31" i="13" s="1"/>
  <c r="BA31" i="13" s="1"/>
  <c r="BB31" i="13" s="1"/>
  <c r="BC31" i="13" s="1"/>
  <c r="BD31" i="13" s="1"/>
  <c r="BE31" i="13" s="1"/>
  <c r="BF31" i="13" s="1"/>
  <c r="BG31" i="13" s="1"/>
  <c r="BH31" i="13" s="1"/>
  <c r="BI31" i="13" s="1"/>
  <c r="BJ31" i="13" s="1"/>
  <c r="BK31" i="13" s="1"/>
  <c r="BL31" i="13" s="1"/>
  <c r="BM31" i="13" s="1"/>
  <c r="BN31" i="13" s="1"/>
  <c r="BO31" i="13" s="1"/>
  <c r="BP31" i="13" s="1"/>
  <c r="BQ31" i="13" s="1"/>
  <c r="BR31" i="13" s="1"/>
  <c r="BS31" i="13" s="1"/>
  <c r="BT31" i="13" s="1"/>
  <c r="BU31" i="13" s="1"/>
  <c r="BV31" i="13" s="1"/>
  <c r="BW31" i="13" s="1"/>
  <c r="BX31" i="13" s="1"/>
  <c r="BY31" i="13" s="1"/>
  <c r="BZ31" i="13" s="1"/>
  <c r="CA31" i="13" s="1"/>
  <c r="CB31" i="13" s="1"/>
  <c r="CC31" i="13" s="1"/>
  <c r="CD31" i="13" s="1"/>
  <c r="CE31" i="13" s="1"/>
  <c r="CF31" i="13" s="1"/>
  <c r="CG31" i="13" s="1"/>
  <c r="CH31" i="13" s="1"/>
  <c r="CI31" i="13" s="1"/>
  <c r="CJ31" i="13" s="1"/>
  <c r="CK31" i="13" s="1"/>
  <c r="CL31" i="13" s="1"/>
  <c r="CM31" i="13" s="1"/>
  <c r="CN31" i="13" s="1"/>
  <c r="CO31" i="13" s="1"/>
  <c r="CP31" i="13" s="1"/>
  <c r="CQ31" i="13" s="1"/>
  <c r="CR31" i="13" s="1"/>
  <c r="CS31" i="13" s="1"/>
  <c r="CT31" i="13" s="1"/>
  <c r="CU31" i="13" s="1"/>
  <c r="CV31" i="13" s="1"/>
  <c r="CW31" i="13" s="1"/>
  <c r="CX31" i="13" s="1"/>
  <c r="CY31" i="13" s="1"/>
  <c r="CZ31" i="13" s="1"/>
  <c r="DA31" i="13" s="1"/>
  <c r="DB31" i="13" s="1"/>
  <c r="DC31" i="13" s="1"/>
  <c r="DD31" i="13" s="1"/>
  <c r="DE31" i="13" s="1"/>
  <c r="DF31" i="13" s="1"/>
  <c r="DG31" i="13" s="1"/>
  <c r="DH31" i="13" s="1"/>
  <c r="DI31" i="13" s="1"/>
  <c r="S30" i="13"/>
  <c r="T30" i="13" s="1"/>
  <c r="U30" i="13" s="1"/>
  <c r="V30" i="13" s="1"/>
  <c r="W30" i="13" s="1"/>
  <c r="X30" i="13" s="1"/>
  <c r="Y30" i="13" s="1"/>
  <c r="Z30" i="13" s="1"/>
  <c r="AA30" i="13" s="1"/>
  <c r="AB30" i="13" s="1"/>
  <c r="AC30" i="13" s="1"/>
  <c r="AD30" i="13" s="1"/>
  <c r="AE30" i="13" s="1"/>
  <c r="AF30" i="13" s="1"/>
  <c r="AG30" i="13" s="1"/>
  <c r="AH30" i="13" s="1"/>
  <c r="AI30" i="13" s="1"/>
  <c r="AJ30" i="13" s="1"/>
  <c r="AK30" i="13" s="1"/>
  <c r="AL30" i="13" s="1"/>
  <c r="AM30" i="13" s="1"/>
  <c r="AN30" i="13" s="1"/>
  <c r="AO30" i="13" s="1"/>
  <c r="AP30" i="13" s="1"/>
  <c r="AQ30" i="13" s="1"/>
  <c r="AR30" i="13" s="1"/>
  <c r="AS30" i="13" s="1"/>
  <c r="AT30" i="13" s="1"/>
  <c r="AU30" i="13" s="1"/>
  <c r="AV30" i="13" s="1"/>
  <c r="AW30" i="13" s="1"/>
  <c r="AX30" i="13" s="1"/>
  <c r="AY30" i="13" s="1"/>
  <c r="AZ30" i="13" s="1"/>
  <c r="BA30" i="13" s="1"/>
  <c r="BB30" i="13" s="1"/>
  <c r="BC30" i="13" s="1"/>
  <c r="BD30" i="13" s="1"/>
  <c r="BE30" i="13" s="1"/>
  <c r="BF30" i="13" s="1"/>
  <c r="BG30" i="13" s="1"/>
  <c r="BH30" i="13" s="1"/>
  <c r="BI30" i="13" s="1"/>
  <c r="BJ30" i="13" s="1"/>
  <c r="BK30" i="13" s="1"/>
  <c r="BL30" i="13" s="1"/>
  <c r="BM30" i="13" s="1"/>
  <c r="BN30" i="13" s="1"/>
  <c r="BO30" i="13" s="1"/>
  <c r="BP30" i="13" s="1"/>
  <c r="BQ30" i="13" s="1"/>
  <c r="BR30" i="13" s="1"/>
  <c r="BS30" i="13" s="1"/>
  <c r="BT30" i="13" s="1"/>
  <c r="BU30" i="13" s="1"/>
  <c r="BV30" i="13" s="1"/>
  <c r="BW30" i="13" s="1"/>
  <c r="BX30" i="13" s="1"/>
  <c r="BY30" i="13" s="1"/>
  <c r="BZ30" i="13" s="1"/>
  <c r="CA30" i="13" s="1"/>
  <c r="CB30" i="13" s="1"/>
  <c r="CC30" i="13" s="1"/>
  <c r="CD30" i="13" s="1"/>
  <c r="CE30" i="13" s="1"/>
  <c r="CF30" i="13" s="1"/>
  <c r="CG30" i="13" s="1"/>
  <c r="CH30" i="13" s="1"/>
  <c r="CI30" i="13" s="1"/>
  <c r="CJ30" i="13" s="1"/>
  <c r="CK30" i="13" s="1"/>
  <c r="CL30" i="13" s="1"/>
  <c r="CM30" i="13" s="1"/>
  <c r="CN30" i="13" s="1"/>
  <c r="CO30" i="13" s="1"/>
  <c r="CP30" i="13" s="1"/>
  <c r="CQ30" i="13" s="1"/>
  <c r="CR30" i="13" s="1"/>
  <c r="CS30" i="13" s="1"/>
  <c r="CT30" i="13" s="1"/>
  <c r="CU30" i="13" s="1"/>
  <c r="CV30" i="13" s="1"/>
  <c r="CW30" i="13" s="1"/>
  <c r="CX30" i="13" s="1"/>
  <c r="CY30" i="13" s="1"/>
  <c r="CZ30" i="13" s="1"/>
  <c r="DA30" i="13" s="1"/>
  <c r="DB30" i="13" s="1"/>
  <c r="DC30" i="13" s="1"/>
  <c r="DD30" i="13" s="1"/>
  <c r="DE30" i="13" s="1"/>
  <c r="DF30" i="13" s="1"/>
  <c r="DG30" i="13" s="1"/>
  <c r="DH30" i="13" s="1"/>
  <c r="DI30" i="13" s="1"/>
  <c r="R29" i="13"/>
  <c r="S29" i="13" s="1"/>
  <c r="T29" i="13" s="1"/>
  <c r="U29" i="13" s="1"/>
  <c r="V29" i="13" s="1"/>
  <c r="W29" i="13" s="1"/>
  <c r="X29" i="13" s="1"/>
  <c r="Y29" i="13" s="1"/>
  <c r="Z29" i="13" s="1"/>
  <c r="AA29" i="13" s="1"/>
  <c r="AB29" i="13" s="1"/>
  <c r="AC29" i="13" s="1"/>
  <c r="AD29" i="13" s="1"/>
  <c r="AE29" i="13" s="1"/>
  <c r="AF29" i="13" s="1"/>
  <c r="AG29" i="13" s="1"/>
  <c r="AH29" i="13" s="1"/>
  <c r="AI29" i="13" s="1"/>
  <c r="AJ29" i="13" s="1"/>
  <c r="AK29" i="13" s="1"/>
  <c r="AL29" i="13" s="1"/>
  <c r="AM29" i="13" s="1"/>
  <c r="AN29" i="13" s="1"/>
  <c r="AO29" i="13" s="1"/>
  <c r="AP29" i="13" s="1"/>
  <c r="AQ29" i="13" s="1"/>
  <c r="AR29" i="13" s="1"/>
  <c r="AS29" i="13" s="1"/>
  <c r="AT29" i="13" s="1"/>
  <c r="AU29" i="13" s="1"/>
  <c r="AV29" i="13" s="1"/>
  <c r="AW29" i="13" s="1"/>
  <c r="AX29" i="13" s="1"/>
  <c r="AY29" i="13" s="1"/>
  <c r="AZ29" i="13" s="1"/>
  <c r="BA29" i="13" s="1"/>
  <c r="BB29" i="13" s="1"/>
  <c r="BC29" i="13" s="1"/>
  <c r="BD29" i="13" s="1"/>
  <c r="BE29" i="13" s="1"/>
  <c r="BF29" i="13" s="1"/>
  <c r="BG29" i="13" s="1"/>
  <c r="BH29" i="13" s="1"/>
  <c r="BI29" i="13" s="1"/>
  <c r="BJ29" i="13" s="1"/>
  <c r="BK29" i="13" s="1"/>
  <c r="BL29" i="13" s="1"/>
  <c r="BM29" i="13" s="1"/>
  <c r="BN29" i="13" s="1"/>
  <c r="BO29" i="13" s="1"/>
  <c r="BP29" i="13" s="1"/>
  <c r="BQ29" i="13" s="1"/>
  <c r="BR29" i="13" s="1"/>
  <c r="BS29" i="13" s="1"/>
  <c r="BT29" i="13" s="1"/>
  <c r="BU29" i="13" s="1"/>
  <c r="BV29" i="13" s="1"/>
  <c r="BW29" i="13" s="1"/>
  <c r="BX29" i="13" s="1"/>
  <c r="BY29" i="13" s="1"/>
  <c r="BZ29" i="13" s="1"/>
  <c r="CA29" i="13" s="1"/>
  <c r="CB29" i="13" s="1"/>
  <c r="CC29" i="13" s="1"/>
  <c r="CD29" i="13" s="1"/>
  <c r="CE29" i="13" s="1"/>
  <c r="CF29" i="13" s="1"/>
  <c r="CG29" i="13" s="1"/>
  <c r="CH29" i="13" s="1"/>
  <c r="CI29" i="13" s="1"/>
  <c r="CJ29" i="13" s="1"/>
  <c r="CK29" i="13" s="1"/>
  <c r="CL29" i="13" s="1"/>
  <c r="CM29" i="13" s="1"/>
  <c r="CN29" i="13" s="1"/>
  <c r="CO29" i="13" s="1"/>
  <c r="CP29" i="13" s="1"/>
  <c r="CQ29" i="13" s="1"/>
  <c r="CR29" i="13" s="1"/>
  <c r="CS29" i="13" s="1"/>
  <c r="CT29" i="13" s="1"/>
  <c r="CU29" i="13" s="1"/>
  <c r="CV29" i="13" s="1"/>
  <c r="CW29" i="13" s="1"/>
  <c r="CX29" i="13" s="1"/>
  <c r="CY29" i="13" s="1"/>
  <c r="CZ29" i="13" s="1"/>
  <c r="DA29" i="13" s="1"/>
  <c r="DB29" i="13" s="1"/>
  <c r="DC29" i="13" s="1"/>
  <c r="DD29" i="13" s="1"/>
  <c r="DE29" i="13" s="1"/>
  <c r="DF29" i="13" s="1"/>
  <c r="DG29" i="13" s="1"/>
  <c r="DH29" i="13" s="1"/>
  <c r="DI29" i="13" s="1"/>
  <c r="R28" i="13"/>
  <c r="S28" i="13" s="1"/>
  <c r="T28" i="13" s="1"/>
  <c r="U28" i="13" s="1"/>
  <c r="V28" i="13" s="1"/>
  <c r="W28" i="13" s="1"/>
  <c r="X28" i="13" s="1"/>
  <c r="Y28" i="13" s="1"/>
  <c r="Z28" i="13" s="1"/>
  <c r="AA28" i="13" s="1"/>
  <c r="AB28" i="13" s="1"/>
  <c r="AC28" i="13" s="1"/>
  <c r="AD28" i="13" s="1"/>
  <c r="AE28" i="13" s="1"/>
  <c r="AF28" i="13" s="1"/>
  <c r="AG28" i="13" s="1"/>
  <c r="AH28" i="13" s="1"/>
  <c r="AI28" i="13" s="1"/>
  <c r="AJ28" i="13" s="1"/>
  <c r="AK28" i="13" s="1"/>
  <c r="AL28" i="13" s="1"/>
  <c r="AM28" i="13" s="1"/>
  <c r="AN28" i="13" s="1"/>
  <c r="AO28" i="13" s="1"/>
  <c r="AP28" i="13" s="1"/>
  <c r="AQ28" i="13" s="1"/>
  <c r="AR28" i="13" s="1"/>
  <c r="AS28" i="13" s="1"/>
  <c r="AT28" i="13" s="1"/>
  <c r="AU28" i="13" s="1"/>
  <c r="AV28" i="13" s="1"/>
  <c r="AW28" i="13" s="1"/>
  <c r="AX28" i="13" s="1"/>
  <c r="AY28" i="13" s="1"/>
  <c r="AZ28" i="13" s="1"/>
  <c r="BA28" i="13" s="1"/>
  <c r="BB28" i="13" s="1"/>
  <c r="BC28" i="13" s="1"/>
  <c r="BD28" i="13" s="1"/>
  <c r="BE28" i="13" s="1"/>
  <c r="BF28" i="13" s="1"/>
  <c r="BG28" i="13" s="1"/>
  <c r="BH28" i="13" s="1"/>
  <c r="BI28" i="13" s="1"/>
  <c r="BJ28" i="13" s="1"/>
  <c r="BK28" i="13" s="1"/>
  <c r="BL28" i="13" s="1"/>
  <c r="BM28" i="13" s="1"/>
  <c r="BN28" i="13" s="1"/>
  <c r="BO28" i="13" s="1"/>
  <c r="BP28" i="13" s="1"/>
  <c r="BQ28" i="13" s="1"/>
  <c r="BR28" i="13" s="1"/>
  <c r="BS28" i="13" s="1"/>
  <c r="BT28" i="13" s="1"/>
  <c r="BU28" i="13" s="1"/>
  <c r="BV28" i="13" s="1"/>
  <c r="BW28" i="13" s="1"/>
  <c r="BX28" i="13" s="1"/>
  <c r="BY28" i="13" s="1"/>
  <c r="BZ28" i="13" s="1"/>
  <c r="CA28" i="13" s="1"/>
  <c r="CB28" i="13" s="1"/>
  <c r="CC28" i="13" s="1"/>
  <c r="CD28" i="13" s="1"/>
  <c r="CE28" i="13" s="1"/>
  <c r="CF28" i="13" s="1"/>
  <c r="CG28" i="13" s="1"/>
  <c r="CH28" i="13" s="1"/>
  <c r="CI28" i="13" s="1"/>
  <c r="CJ28" i="13" s="1"/>
  <c r="CK28" i="13" s="1"/>
  <c r="CL28" i="13" s="1"/>
  <c r="CM28" i="13" s="1"/>
  <c r="CN28" i="13" s="1"/>
  <c r="CO28" i="13" s="1"/>
  <c r="CP28" i="13" s="1"/>
  <c r="CQ28" i="13" s="1"/>
  <c r="CR28" i="13" s="1"/>
  <c r="CS28" i="13" s="1"/>
  <c r="CT28" i="13" s="1"/>
  <c r="CU28" i="13" s="1"/>
  <c r="CV28" i="13" s="1"/>
  <c r="CW28" i="13" s="1"/>
  <c r="CX28" i="13" s="1"/>
  <c r="CY28" i="13" s="1"/>
  <c r="CZ28" i="13" s="1"/>
  <c r="DA28" i="13" s="1"/>
  <c r="DB28" i="13" s="1"/>
  <c r="DC28" i="13" s="1"/>
  <c r="DD28" i="13" s="1"/>
  <c r="DE28" i="13" s="1"/>
  <c r="DF28" i="13" s="1"/>
  <c r="DG28" i="13" s="1"/>
  <c r="DH28" i="13" s="1"/>
  <c r="DI28" i="13" s="1"/>
  <c r="Q27" i="13"/>
  <c r="R27" i="13" s="1"/>
  <c r="S27" i="13" s="1"/>
  <c r="T27" i="13" s="1"/>
  <c r="U27" i="13" s="1"/>
  <c r="V27" i="13" s="1"/>
  <c r="W27" i="13" s="1"/>
  <c r="X27" i="13" s="1"/>
  <c r="Y27" i="13" s="1"/>
  <c r="Z27" i="13" s="1"/>
  <c r="AA27" i="13" s="1"/>
  <c r="AB27" i="13" s="1"/>
  <c r="AC27" i="13" s="1"/>
  <c r="AD27" i="13" s="1"/>
  <c r="AE27" i="13" s="1"/>
  <c r="AF27" i="13" s="1"/>
  <c r="AG27" i="13" s="1"/>
  <c r="AH27" i="13" s="1"/>
  <c r="AI27" i="13" s="1"/>
  <c r="AJ27" i="13" s="1"/>
  <c r="AK27" i="13" s="1"/>
  <c r="AL27" i="13" s="1"/>
  <c r="AM27" i="13" s="1"/>
  <c r="AN27" i="13" s="1"/>
  <c r="AO27" i="13" s="1"/>
  <c r="AP27" i="13" s="1"/>
  <c r="AQ27" i="13" s="1"/>
  <c r="AR27" i="13" s="1"/>
  <c r="AS27" i="13" s="1"/>
  <c r="AT27" i="13" s="1"/>
  <c r="AU27" i="13" s="1"/>
  <c r="AV27" i="13" s="1"/>
  <c r="AW27" i="13" s="1"/>
  <c r="AX27" i="13" s="1"/>
  <c r="AY27" i="13" s="1"/>
  <c r="AZ27" i="13" s="1"/>
  <c r="BA27" i="13" s="1"/>
  <c r="BB27" i="13" s="1"/>
  <c r="BC27" i="13" s="1"/>
  <c r="BD27" i="13" s="1"/>
  <c r="BE27" i="13" s="1"/>
  <c r="BF27" i="13" s="1"/>
  <c r="BG27" i="13" s="1"/>
  <c r="BH27" i="13" s="1"/>
  <c r="BI27" i="13" s="1"/>
  <c r="BJ27" i="13" s="1"/>
  <c r="BK27" i="13" s="1"/>
  <c r="BL27" i="13" s="1"/>
  <c r="BM27" i="13" s="1"/>
  <c r="BN27" i="13" s="1"/>
  <c r="BO27" i="13" s="1"/>
  <c r="BP27" i="13" s="1"/>
  <c r="BQ27" i="13" s="1"/>
  <c r="BR27" i="13" s="1"/>
  <c r="BS27" i="13" s="1"/>
  <c r="BT27" i="13" s="1"/>
  <c r="BU27" i="13" s="1"/>
  <c r="BV27" i="13" s="1"/>
  <c r="BW27" i="13" s="1"/>
  <c r="BX27" i="13" s="1"/>
  <c r="BY27" i="13" s="1"/>
  <c r="BZ27" i="13" s="1"/>
  <c r="CA27" i="13" s="1"/>
  <c r="CB27" i="13" s="1"/>
  <c r="CC27" i="13" s="1"/>
  <c r="CD27" i="13" s="1"/>
  <c r="CE27" i="13" s="1"/>
  <c r="CF27" i="13" s="1"/>
  <c r="CG27" i="13" s="1"/>
  <c r="CH27" i="13" s="1"/>
  <c r="CI27" i="13" s="1"/>
  <c r="CJ27" i="13" s="1"/>
  <c r="CK27" i="13" s="1"/>
  <c r="CL27" i="13" s="1"/>
  <c r="CM27" i="13" s="1"/>
  <c r="CN27" i="13" s="1"/>
  <c r="CO27" i="13" s="1"/>
  <c r="CP27" i="13" s="1"/>
  <c r="CQ27" i="13" s="1"/>
  <c r="CR27" i="13" s="1"/>
  <c r="CS27" i="13" s="1"/>
  <c r="CT27" i="13" s="1"/>
  <c r="CU27" i="13" s="1"/>
  <c r="CV27" i="13" s="1"/>
  <c r="CW27" i="13" s="1"/>
  <c r="CX27" i="13" s="1"/>
  <c r="CY27" i="13" s="1"/>
  <c r="CZ27" i="13" s="1"/>
  <c r="DA27" i="13" s="1"/>
  <c r="DB27" i="13" s="1"/>
  <c r="DC27" i="13" s="1"/>
  <c r="DD27" i="13" s="1"/>
  <c r="DE27" i="13" s="1"/>
  <c r="DF27" i="13" s="1"/>
  <c r="DG27" i="13" s="1"/>
  <c r="DH27" i="13" s="1"/>
  <c r="DI27" i="13" s="1"/>
  <c r="Q26" i="13"/>
  <c r="R26" i="13" s="1"/>
  <c r="S26" i="13" s="1"/>
  <c r="T26" i="13" s="1"/>
  <c r="U26" i="13" s="1"/>
  <c r="V26" i="13" s="1"/>
  <c r="W26" i="13" s="1"/>
  <c r="X26" i="13" s="1"/>
  <c r="Y26" i="13" s="1"/>
  <c r="Z26" i="13" s="1"/>
  <c r="AA26" i="13" s="1"/>
  <c r="AB26" i="13" s="1"/>
  <c r="AC26" i="13" s="1"/>
  <c r="AD26" i="13" s="1"/>
  <c r="AE26" i="13" s="1"/>
  <c r="AF26" i="13" s="1"/>
  <c r="AG26" i="13" s="1"/>
  <c r="AH26" i="13" s="1"/>
  <c r="AI26" i="13" s="1"/>
  <c r="AJ26" i="13" s="1"/>
  <c r="AK26" i="13" s="1"/>
  <c r="AL26" i="13" s="1"/>
  <c r="AM26" i="13" s="1"/>
  <c r="AN26" i="13" s="1"/>
  <c r="AO26" i="13" s="1"/>
  <c r="AP26" i="13" s="1"/>
  <c r="AQ26" i="13" s="1"/>
  <c r="AR26" i="13" s="1"/>
  <c r="AS26" i="13" s="1"/>
  <c r="AT26" i="13" s="1"/>
  <c r="AU26" i="13" s="1"/>
  <c r="AV26" i="13" s="1"/>
  <c r="AW26" i="13" s="1"/>
  <c r="AX26" i="13" s="1"/>
  <c r="AY26" i="13" s="1"/>
  <c r="AZ26" i="13" s="1"/>
  <c r="BA26" i="13" s="1"/>
  <c r="BB26" i="13" s="1"/>
  <c r="BC26" i="13" s="1"/>
  <c r="BD26" i="13" s="1"/>
  <c r="BE26" i="13" s="1"/>
  <c r="BF26" i="13" s="1"/>
  <c r="BG26" i="13" s="1"/>
  <c r="BH26" i="13" s="1"/>
  <c r="BI26" i="13" s="1"/>
  <c r="BJ26" i="13" s="1"/>
  <c r="BK26" i="13" s="1"/>
  <c r="BL26" i="13" s="1"/>
  <c r="BM26" i="13" s="1"/>
  <c r="BN26" i="13" s="1"/>
  <c r="BO26" i="13" s="1"/>
  <c r="BP26" i="13" s="1"/>
  <c r="BQ26" i="13" s="1"/>
  <c r="BR26" i="13" s="1"/>
  <c r="BS26" i="13" s="1"/>
  <c r="BT26" i="13" s="1"/>
  <c r="BU26" i="13" s="1"/>
  <c r="BV26" i="13" s="1"/>
  <c r="BW26" i="13" s="1"/>
  <c r="BX26" i="13" s="1"/>
  <c r="BY26" i="13" s="1"/>
  <c r="BZ26" i="13" s="1"/>
  <c r="CA26" i="13" s="1"/>
  <c r="CB26" i="13" s="1"/>
  <c r="CC26" i="13" s="1"/>
  <c r="CD26" i="13" s="1"/>
  <c r="CE26" i="13" s="1"/>
  <c r="CF26" i="13" s="1"/>
  <c r="CG26" i="13" s="1"/>
  <c r="CH26" i="13" s="1"/>
  <c r="CI26" i="13" s="1"/>
  <c r="CJ26" i="13" s="1"/>
  <c r="CK26" i="13" s="1"/>
  <c r="CL26" i="13" s="1"/>
  <c r="CM26" i="13" s="1"/>
  <c r="CN26" i="13" s="1"/>
  <c r="CO26" i="13" s="1"/>
  <c r="CP26" i="13" s="1"/>
  <c r="CQ26" i="13" s="1"/>
  <c r="CR26" i="13" s="1"/>
  <c r="CS26" i="13" s="1"/>
  <c r="CT26" i="13" s="1"/>
  <c r="CU26" i="13" s="1"/>
  <c r="CV26" i="13" s="1"/>
  <c r="CW26" i="13" s="1"/>
  <c r="CX26" i="13" s="1"/>
  <c r="CY26" i="13" s="1"/>
  <c r="CZ26" i="13" s="1"/>
  <c r="DA26" i="13" s="1"/>
  <c r="DB26" i="13" s="1"/>
  <c r="DC26" i="13" s="1"/>
  <c r="DD26" i="13" s="1"/>
  <c r="DE26" i="13" s="1"/>
  <c r="DF26" i="13" s="1"/>
  <c r="DG26" i="13" s="1"/>
  <c r="DH26" i="13" s="1"/>
  <c r="DI26" i="13" s="1"/>
  <c r="Q25" i="13"/>
  <c r="R25" i="13" s="1"/>
  <c r="S25" i="13" s="1"/>
  <c r="T25" i="13" s="1"/>
  <c r="U25" i="13" s="1"/>
  <c r="V25" i="13" s="1"/>
  <c r="W25" i="13" s="1"/>
  <c r="X25" i="13" s="1"/>
  <c r="Y25" i="13" s="1"/>
  <c r="Z25" i="13" s="1"/>
  <c r="AA25" i="13" s="1"/>
  <c r="AB25" i="13" s="1"/>
  <c r="AC25" i="13" s="1"/>
  <c r="AD25" i="13" s="1"/>
  <c r="AE25" i="13" s="1"/>
  <c r="AF25" i="13" s="1"/>
  <c r="AG25" i="13" s="1"/>
  <c r="AH25" i="13" s="1"/>
  <c r="AI25" i="13" s="1"/>
  <c r="AJ25" i="13" s="1"/>
  <c r="AK25" i="13" s="1"/>
  <c r="AL25" i="13" s="1"/>
  <c r="AM25" i="13" s="1"/>
  <c r="AN25" i="13" s="1"/>
  <c r="AO25" i="13" s="1"/>
  <c r="AP25" i="13" s="1"/>
  <c r="AQ25" i="13" s="1"/>
  <c r="AR25" i="13" s="1"/>
  <c r="AS25" i="13" s="1"/>
  <c r="AT25" i="13" s="1"/>
  <c r="AU25" i="13" s="1"/>
  <c r="AV25" i="13" s="1"/>
  <c r="AW25" i="13" s="1"/>
  <c r="AX25" i="13" s="1"/>
  <c r="AY25" i="13" s="1"/>
  <c r="AZ25" i="13" s="1"/>
  <c r="BA25" i="13" s="1"/>
  <c r="BB25" i="13" s="1"/>
  <c r="BC25" i="13" s="1"/>
  <c r="BD25" i="13" s="1"/>
  <c r="BE25" i="13" s="1"/>
  <c r="BF25" i="13" s="1"/>
  <c r="BG25" i="13" s="1"/>
  <c r="BH25" i="13" s="1"/>
  <c r="BI25" i="13" s="1"/>
  <c r="BJ25" i="13" s="1"/>
  <c r="BK25" i="13" s="1"/>
  <c r="BL25" i="13" s="1"/>
  <c r="BM25" i="13" s="1"/>
  <c r="BN25" i="13" s="1"/>
  <c r="BO25" i="13" s="1"/>
  <c r="BP25" i="13" s="1"/>
  <c r="BQ25" i="13" s="1"/>
  <c r="BR25" i="13" s="1"/>
  <c r="BS25" i="13" s="1"/>
  <c r="BT25" i="13" s="1"/>
  <c r="BU25" i="13" s="1"/>
  <c r="BV25" i="13" s="1"/>
  <c r="BW25" i="13" s="1"/>
  <c r="BX25" i="13" s="1"/>
  <c r="BY25" i="13" s="1"/>
  <c r="BZ25" i="13" s="1"/>
  <c r="CA25" i="13" s="1"/>
  <c r="CB25" i="13" s="1"/>
  <c r="CC25" i="13" s="1"/>
  <c r="CD25" i="13" s="1"/>
  <c r="CE25" i="13" s="1"/>
  <c r="CF25" i="13" s="1"/>
  <c r="CG25" i="13" s="1"/>
  <c r="CH25" i="13" s="1"/>
  <c r="CI25" i="13" s="1"/>
  <c r="CJ25" i="13" s="1"/>
  <c r="CK25" i="13" s="1"/>
  <c r="CL25" i="13" s="1"/>
  <c r="CM25" i="13" s="1"/>
  <c r="CN25" i="13" s="1"/>
  <c r="CO25" i="13" s="1"/>
  <c r="CP25" i="13" s="1"/>
  <c r="CQ25" i="13" s="1"/>
  <c r="CR25" i="13" s="1"/>
  <c r="CS25" i="13" s="1"/>
  <c r="CT25" i="13" s="1"/>
  <c r="CU25" i="13" s="1"/>
  <c r="CV25" i="13" s="1"/>
  <c r="CW25" i="13" s="1"/>
  <c r="CX25" i="13" s="1"/>
  <c r="CY25" i="13" s="1"/>
  <c r="CZ25" i="13" s="1"/>
  <c r="DA25" i="13" s="1"/>
  <c r="DB25" i="13" s="1"/>
  <c r="DC25" i="13" s="1"/>
  <c r="DD25" i="13" s="1"/>
  <c r="DE25" i="13" s="1"/>
  <c r="DF25" i="13" s="1"/>
  <c r="DG25" i="13" s="1"/>
  <c r="DH25" i="13" s="1"/>
  <c r="DI25" i="13" s="1"/>
  <c r="Q24" i="13"/>
  <c r="R24" i="13" s="1"/>
  <c r="S24" i="13" s="1"/>
  <c r="T24" i="13" s="1"/>
  <c r="U24" i="13" s="1"/>
  <c r="V24" i="13" s="1"/>
  <c r="W24" i="13" s="1"/>
  <c r="X24" i="13" s="1"/>
  <c r="Y24" i="13" s="1"/>
  <c r="Z24" i="13" s="1"/>
  <c r="AA24" i="13" s="1"/>
  <c r="AB24" i="13" s="1"/>
  <c r="AC24" i="13" s="1"/>
  <c r="AD24" i="13" s="1"/>
  <c r="AE24" i="13" s="1"/>
  <c r="AF24" i="13" s="1"/>
  <c r="AG24" i="13" s="1"/>
  <c r="AH24" i="13" s="1"/>
  <c r="AI24" i="13" s="1"/>
  <c r="AJ24" i="13" s="1"/>
  <c r="AK24" i="13" s="1"/>
  <c r="AL24" i="13" s="1"/>
  <c r="AM24" i="13" s="1"/>
  <c r="AN24" i="13" s="1"/>
  <c r="AO24" i="13" s="1"/>
  <c r="AP24" i="13" s="1"/>
  <c r="AQ24" i="13" s="1"/>
  <c r="AR24" i="13" s="1"/>
  <c r="AS24" i="13" s="1"/>
  <c r="AT24" i="13" s="1"/>
  <c r="AU24" i="13" s="1"/>
  <c r="AV24" i="13" s="1"/>
  <c r="AW24" i="13" s="1"/>
  <c r="AX24" i="13" s="1"/>
  <c r="AY24" i="13" s="1"/>
  <c r="AZ24" i="13" s="1"/>
  <c r="BA24" i="13" s="1"/>
  <c r="BB24" i="13" s="1"/>
  <c r="BC24" i="13" s="1"/>
  <c r="BD24" i="13" s="1"/>
  <c r="BE24" i="13" s="1"/>
  <c r="BF24" i="13" s="1"/>
  <c r="BG24" i="13" s="1"/>
  <c r="BH24" i="13" s="1"/>
  <c r="BI24" i="13" s="1"/>
  <c r="BJ24" i="13" s="1"/>
  <c r="BK24" i="13" s="1"/>
  <c r="BL24" i="13" s="1"/>
  <c r="BM24" i="13" s="1"/>
  <c r="BN24" i="13" s="1"/>
  <c r="BO24" i="13" s="1"/>
  <c r="BP24" i="13" s="1"/>
  <c r="BQ24" i="13" s="1"/>
  <c r="BR24" i="13" s="1"/>
  <c r="BS24" i="13" s="1"/>
  <c r="BT24" i="13" s="1"/>
  <c r="BU24" i="13" s="1"/>
  <c r="BV24" i="13" s="1"/>
  <c r="BW24" i="13" s="1"/>
  <c r="BX24" i="13" s="1"/>
  <c r="BY24" i="13" s="1"/>
  <c r="BZ24" i="13" s="1"/>
  <c r="CA24" i="13" s="1"/>
  <c r="CB24" i="13" s="1"/>
  <c r="CC24" i="13" s="1"/>
  <c r="CD24" i="13" s="1"/>
  <c r="CE24" i="13" s="1"/>
  <c r="CF24" i="13" s="1"/>
  <c r="CG24" i="13" s="1"/>
  <c r="CH24" i="13" s="1"/>
  <c r="CI24" i="13" s="1"/>
  <c r="CJ24" i="13" s="1"/>
  <c r="CK24" i="13" s="1"/>
  <c r="CL24" i="13" s="1"/>
  <c r="CM24" i="13" s="1"/>
  <c r="CN24" i="13" s="1"/>
  <c r="CO24" i="13" s="1"/>
  <c r="CP24" i="13" s="1"/>
  <c r="CQ24" i="13" s="1"/>
  <c r="CR24" i="13" s="1"/>
  <c r="CS24" i="13" s="1"/>
  <c r="CT24" i="13" s="1"/>
  <c r="CU24" i="13" s="1"/>
  <c r="CV24" i="13" s="1"/>
  <c r="CW24" i="13" s="1"/>
  <c r="CX24" i="13" s="1"/>
  <c r="CY24" i="13" s="1"/>
  <c r="CZ24" i="13" s="1"/>
  <c r="DA24" i="13" s="1"/>
  <c r="DB24" i="13" s="1"/>
  <c r="DC24" i="13" s="1"/>
  <c r="DD24" i="13" s="1"/>
  <c r="DE24" i="13" s="1"/>
  <c r="DF24" i="13" s="1"/>
  <c r="DG24" i="13" s="1"/>
  <c r="DH24" i="13" s="1"/>
  <c r="DI24" i="13" s="1"/>
  <c r="P23" i="13"/>
  <c r="Q23" i="13" s="1"/>
  <c r="R23" i="13" s="1"/>
  <c r="S23" i="13" s="1"/>
  <c r="T23" i="13" s="1"/>
  <c r="U23" i="13" s="1"/>
  <c r="V23" i="13" s="1"/>
  <c r="W23" i="13" s="1"/>
  <c r="X23" i="13" s="1"/>
  <c r="Y23" i="13" s="1"/>
  <c r="Z23" i="13" s="1"/>
  <c r="AA23" i="13" s="1"/>
  <c r="AB23" i="13" s="1"/>
  <c r="AC23" i="13" s="1"/>
  <c r="AD23" i="13" s="1"/>
  <c r="AE23" i="13" s="1"/>
  <c r="AF23" i="13" s="1"/>
  <c r="AG23" i="13" s="1"/>
  <c r="AH23" i="13" s="1"/>
  <c r="AI23" i="13" s="1"/>
  <c r="AJ23" i="13" s="1"/>
  <c r="AK23" i="13" s="1"/>
  <c r="AL23" i="13" s="1"/>
  <c r="AM23" i="13" s="1"/>
  <c r="AN23" i="13" s="1"/>
  <c r="AO23" i="13" s="1"/>
  <c r="AP23" i="13" s="1"/>
  <c r="AQ23" i="13" s="1"/>
  <c r="AR23" i="13" s="1"/>
  <c r="AS23" i="13" s="1"/>
  <c r="AT23" i="13" s="1"/>
  <c r="AU23" i="13" s="1"/>
  <c r="AV23" i="13" s="1"/>
  <c r="AW23" i="13" s="1"/>
  <c r="AX23" i="13" s="1"/>
  <c r="AY23" i="13" s="1"/>
  <c r="AZ23" i="13" s="1"/>
  <c r="BA23" i="13" s="1"/>
  <c r="BB23" i="13" s="1"/>
  <c r="BC23" i="13" s="1"/>
  <c r="BD23" i="13" s="1"/>
  <c r="BE23" i="13" s="1"/>
  <c r="BF23" i="13" s="1"/>
  <c r="BG23" i="13" s="1"/>
  <c r="BH23" i="13" s="1"/>
  <c r="BI23" i="13" s="1"/>
  <c r="BJ23" i="13" s="1"/>
  <c r="BK23" i="13" s="1"/>
  <c r="BL23" i="13" s="1"/>
  <c r="BM23" i="13" s="1"/>
  <c r="BN23" i="13" s="1"/>
  <c r="BO23" i="13" s="1"/>
  <c r="BP23" i="13" s="1"/>
  <c r="BQ23" i="13" s="1"/>
  <c r="BR23" i="13" s="1"/>
  <c r="BS23" i="13" s="1"/>
  <c r="BT23" i="13" s="1"/>
  <c r="BU23" i="13" s="1"/>
  <c r="BV23" i="13" s="1"/>
  <c r="BW23" i="13" s="1"/>
  <c r="BX23" i="13" s="1"/>
  <c r="BY23" i="13" s="1"/>
  <c r="BZ23" i="13" s="1"/>
  <c r="CA23" i="13" s="1"/>
  <c r="CB23" i="13" s="1"/>
  <c r="CC23" i="13" s="1"/>
  <c r="CD23" i="13" s="1"/>
  <c r="CE23" i="13" s="1"/>
  <c r="CF23" i="13" s="1"/>
  <c r="CG23" i="13" s="1"/>
  <c r="CH23" i="13" s="1"/>
  <c r="CI23" i="13" s="1"/>
  <c r="CJ23" i="13" s="1"/>
  <c r="CK23" i="13" s="1"/>
  <c r="CL23" i="13" s="1"/>
  <c r="CM23" i="13" s="1"/>
  <c r="CN23" i="13" s="1"/>
  <c r="CO23" i="13" s="1"/>
  <c r="CP23" i="13" s="1"/>
  <c r="CQ23" i="13" s="1"/>
  <c r="CR23" i="13" s="1"/>
  <c r="CS23" i="13" s="1"/>
  <c r="CT23" i="13" s="1"/>
  <c r="CU23" i="13" s="1"/>
  <c r="CV23" i="13" s="1"/>
  <c r="CW23" i="13" s="1"/>
  <c r="CX23" i="13" s="1"/>
  <c r="CY23" i="13" s="1"/>
  <c r="CZ23" i="13" s="1"/>
  <c r="DA23" i="13" s="1"/>
  <c r="DB23" i="13" s="1"/>
  <c r="DC23" i="13" s="1"/>
  <c r="DD23" i="13" s="1"/>
  <c r="DE23" i="13" s="1"/>
  <c r="DF23" i="13" s="1"/>
  <c r="DG23" i="13" s="1"/>
  <c r="DH23" i="13" s="1"/>
  <c r="DI23" i="13" s="1"/>
  <c r="P22" i="13"/>
  <c r="Q22" i="13" s="1"/>
  <c r="R22" i="13" s="1"/>
  <c r="S22" i="13" s="1"/>
  <c r="T22" i="13" s="1"/>
  <c r="U22" i="13" s="1"/>
  <c r="V22" i="13" s="1"/>
  <c r="W22" i="13" s="1"/>
  <c r="X22" i="13" s="1"/>
  <c r="Y22" i="13" s="1"/>
  <c r="Z22" i="13" s="1"/>
  <c r="AA22" i="13" s="1"/>
  <c r="AB22" i="13" s="1"/>
  <c r="AC22" i="13" s="1"/>
  <c r="AD22" i="13" s="1"/>
  <c r="AE22" i="13" s="1"/>
  <c r="AF22" i="13" s="1"/>
  <c r="AG22" i="13" s="1"/>
  <c r="AH22" i="13" s="1"/>
  <c r="AI22" i="13" s="1"/>
  <c r="AJ22" i="13" s="1"/>
  <c r="AK22" i="13" s="1"/>
  <c r="AL22" i="13" s="1"/>
  <c r="AM22" i="13" s="1"/>
  <c r="AN22" i="13" s="1"/>
  <c r="AO22" i="13" s="1"/>
  <c r="AP22" i="13" s="1"/>
  <c r="AQ22" i="13" s="1"/>
  <c r="AR22" i="13" s="1"/>
  <c r="AS22" i="13" s="1"/>
  <c r="AT22" i="13" s="1"/>
  <c r="AU22" i="13" s="1"/>
  <c r="AV22" i="13" s="1"/>
  <c r="AW22" i="13" s="1"/>
  <c r="AX22" i="13" s="1"/>
  <c r="AY22" i="13" s="1"/>
  <c r="AZ22" i="13" s="1"/>
  <c r="BA22" i="13" s="1"/>
  <c r="BB22" i="13" s="1"/>
  <c r="BC22" i="13" s="1"/>
  <c r="BD22" i="13" s="1"/>
  <c r="BE22" i="13" s="1"/>
  <c r="BF22" i="13" s="1"/>
  <c r="BG22" i="13" s="1"/>
  <c r="BH22" i="13" s="1"/>
  <c r="BI22" i="13" s="1"/>
  <c r="BJ22" i="13" s="1"/>
  <c r="BK22" i="13" s="1"/>
  <c r="BL22" i="13" s="1"/>
  <c r="BM22" i="13" s="1"/>
  <c r="BN22" i="13" s="1"/>
  <c r="BO22" i="13" s="1"/>
  <c r="BP22" i="13" s="1"/>
  <c r="BQ22" i="13" s="1"/>
  <c r="BR22" i="13" s="1"/>
  <c r="BS22" i="13" s="1"/>
  <c r="BT22" i="13" s="1"/>
  <c r="BU22" i="13" s="1"/>
  <c r="BV22" i="13" s="1"/>
  <c r="BW22" i="13" s="1"/>
  <c r="BX22" i="13" s="1"/>
  <c r="BY22" i="13" s="1"/>
  <c r="BZ22" i="13" s="1"/>
  <c r="CA22" i="13" s="1"/>
  <c r="CB22" i="13" s="1"/>
  <c r="CC22" i="13" s="1"/>
  <c r="CD22" i="13" s="1"/>
  <c r="CE22" i="13" s="1"/>
  <c r="CF22" i="13" s="1"/>
  <c r="CG22" i="13" s="1"/>
  <c r="CH22" i="13" s="1"/>
  <c r="CI22" i="13" s="1"/>
  <c r="CJ22" i="13" s="1"/>
  <c r="CK22" i="13" s="1"/>
  <c r="CL22" i="13" s="1"/>
  <c r="CM22" i="13" s="1"/>
  <c r="CN22" i="13" s="1"/>
  <c r="CO22" i="13" s="1"/>
  <c r="CP22" i="13" s="1"/>
  <c r="CQ22" i="13" s="1"/>
  <c r="CR22" i="13" s="1"/>
  <c r="CS22" i="13" s="1"/>
  <c r="CT22" i="13" s="1"/>
  <c r="CU22" i="13" s="1"/>
  <c r="CV22" i="13" s="1"/>
  <c r="CW22" i="13" s="1"/>
  <c r="CX22" i="13" s="1"/>
  <c r="CY22" i="13" s="1"/>
  <c r="CZ22" i="13" s="1"/>
  <c r="DA22" i="13" s="1"/>
  <c r="DB22" i="13" s="1"/>
  <c r="DC22" i="13" s="1"/>
  <c r="DD22" i="13" s="1"/>
  <c r="DE22" i="13" s="1"/>
  <c r="DF22" i="13" s="1"/>
  <c r="DG22" i="13" s="1"/>
  <c r="DH22" i="13" s="1"/>
  <c r="DI22" i="13" s="1"/>
  <c r="P21" i="13"/>
  <c r="Q21" i="13" s="1"/>
  <c r="R21" i="13" s="1"/>
  <c r="S21" i="13" s="1"/>
  <c r="T21" i="13" s="1"/>
  <c r="U21" i="13" s="1"/>
  <c r="V21" i="13" s="1"/>
  <c r="W21" i="13" s="1"/>
  <c r="X21" i="13" s="1"/>
  <c r="Y21" i="13" s="1"/>
  <c r="Z21" i="13" s="1"/>
  <c r="AA21" i="13" s="1"/>
  <c r="AB21" i="13" s="1"/>
  <c r="AC21" i="13" s="1"/>
  <c r="AD21" i="13" s="1"/>
  <c r="AE21" i="13" s="1"/>
  <c r="AF21" i="13" s="1"/>
  <c r="AG21" i="13" s="1"/>
  <c r="AH21" i="13" s="1"/>
  <c r="AI21" i="13" s="1"/>
  <c r="AJ21" i="13" s="1"/>
  <c r="AK21" i="13" s="1"/>
  <c r="AL21" i="13" s="1"/>
  <c r="AM21" i="13" s="1"/>
  <c r="AN21" i="13" s="1"/>
  <c r="AO21" i="13" s="1"/>
  <c r="AP21" i="13" s="1"/>
  <c r="AQ21" i="13" s="1"/>
  <c r="AR21" i="13" s="1"/>
  <c r="AS21" i="13" s="1"/>
  <c r="AT21" i="13" s="1"/>
  <c r="AU21" i="13" s="1"/>
  <c r="AV21" i="13" s="1"/>
  <c r="AW21" i="13" s="1"/>
  <c r="AX21" i="13" s="1"/>
  <c r="AY21" i="13" s="1"/>
  <c r="AZ21" i="13" s="1"/>
  <c r="BA21" i="13" s="1"/>
  <c r="BB21" i="13" s="1"/>
  <c r="BC21" i="13" s="1"/>
  <c r="BD21" i="13" s="1"/>
  <c r="BE21" i="13" s="1"/>
  <c r="BF21" i="13" s="1"/>
  <c r="BG21" i="13" s="1"/>
  <c r="BH21" i="13" s="1"/>
  <c r="BI21" i="13" s="1"/>
  <c r="BJ21" i="13" s="1"/>
  <c r="BK21" i="13" s="1"/>
  <c r="BL21" i="13" s="1"/>
  <c r="BM21" i="13" s="1"/>
  <c r="BN21" i="13" s="1"/>
  <c r="BO21" i="13" s="1"/>
  <c r="BP21" i="13" s="1"/>
  <c r="BQ21" i="13" s="1"/>
  <c r="BR21" i="13" s="1"/>
  <c r="BS21" i="13" s="1"/>
  <c r="BT21" i="13" s="1"/>
  <c r="BU21" i="13" s="1"/>
  <c r="BV21" i="13" s="1"/>
  <c r="BW21" i="13" s="1"/>
  <c r="BX21" i="13" s="1"/>
  <c r="BY21" i="13" s="1"/>
  <c r="BZ21" i="13" s="1"/>
  <c r="CA21" i="13" s="1"/>
  <c r="CB21" i="13" s="1"/>
  <c r="CC21" i="13" s="1"/>
  <c r="CD21" i="13" s="1"/>
  <c r="CE21" i="13" s="1"/>
  <c r="CF21" i="13" s="1"/>
  <c r="CG21" i="13" s="1"/>
  <c r="CH21" i="13" s="1"/>
  <c r="CI21" i="13" s="1"/>
  <c r="CJ21" i="13" s="1"/>
  <c r="CK21" i="13" s="1"/>
  <c r="CL21" i="13" s="1"/>
  <c r="CM21" i="13" s="1"/>
  <c r="CN21" i="13" s="1"/>
  <c r="CO21" i="13" s="1"/>
  <c r="CP21" i="13" s="1"/>
  <c r="CQ21" i="13" s="1"/>
  <c r="CR21" i="13" s="1"/>
  <c r="CS21" i="13" s="1"/>
  <c r="CT21" i="13" s="1"/>
  <c r="CU21" i="13" s="1"/>
  <c r="CV21" i="13" s="1"/>
  <c r="CW21" i="13" s="1"/>
  <c r="CX21" i="13" s="1"/>
  <c r="CY21" i="13" s="1"/>
  <c r="CZ21" i="13" s="1"/>
  <c r="DA21" i="13" s="1"/>
  <c r="DB21" i="13" s="1"/>
  <c r="DC21" i="13" s="1"/>
  <c r="DD21" i="13" s="1"/>
  <c r="DE21" i="13" s="1"/>
  <c r="DF21" i="13" s="1"/>
  <c r="DG21" i="13" s="1"/>
  <c r="DH21" i="13" s="1"/>
  <c r="DI21" i="13" s="1"/>
  <c r="P20" i="13"/>
  <c r="Q20" i="13" s="1"/>
  <c r="R20" i="13" s="1"/>
  <c r="S20" i="13" s="1"/>
  <c r="T20" i="13" s="1"/>
  <c r="U20" i="13" s="1"/>
  <c r="V20" i="13" s="1"/>
  <c r="W20" i="13" s="1"/>
  <c r="X20" i="13" s="1"/>
  <c r="Y20" i="13" s="1"/>
  <c r="Z20" i="13" s="1"/>
  <c r="AA20" i="13" s="1"/>
  <c r="AB20" i="13" s="1"/>
  <c r="AC20" i="13" s="1"/>
  <c r="AD20" i="13" s="1"/>
  <c r="AE20" i="13" s="1"/>
  <c r="AF20" i="13" s="1"/>
  <c r="AG20" i="13" s="1"/>
  <c r="AH20" i="13" s="1"/>
  <c r="AI20" i="13" s="1"/>
  <c r="AJ20" i="13" s="1"/>
  <c r="AK20" i="13" s="1"/>
  <c r="AL20" i="13" s="1"/>
  <c r="AM20" i="13" s="1"/>
  <c r="AN20" i="13" s="1"/>
  <c r="AO20" i="13" s="1"/>
  <c r="AP20" i="13" s="1"/>
  <c r="AQ20" i="13" s="1"/>
  <c r="AR20" i="13" s="1"/>
  <c r="AS20" i="13" s="1"/>
  <c r="AT20" i="13" s="1"/>
  <c r="AU20" i="13" s="1"/>
  <c r="AV20" i="13" s="1"/>
  <c r="AW20" i="13" s="1"/>
  <c r="AX20" i="13" s="1"/>
  <c r="AY20" i="13" s="1"/>
  <c r="AZ20" i="13" s="1"/>
  <c r="BA20" i="13" s="1"/>
  <c r="BB20" i="13" s="1"/>
  <c r="BC20" i="13" s="1"/>
  <c r="BD20" i="13" s="1"/>
  <c r="BE20" i="13" s="1"/>
  <c r="BF20" i="13" s="1"/>
  <c r="BG20" i="13" s="1"/>
  <c r="BH20" i="13" s="1"/>
  <c r="BI20" i="13" s="1"/>
  <c r="BJ20" i="13" s="1"/>
  <c r="BK20" i="13" s="1"/>
  <c r="BL20" i="13" s="1"/>
  <c r="BM20" i="13" s="1"/>
  <c r="BN20" i="13" s="1"/>
  <c r="BO20" i="13" s="1"/>
  <c r="BP20" i="13" s="1"/>
  <c r="BQ20" i="13" s="1"/>
  <c r="BR20" i="13" s="1"/>
  <c r="BS20" i="13" s="1"/>
  <c r="BT20" i="13" s="1"/>
  <c r="BU20" i="13" s="1"/>
  <c r="BV20" i="13" s="1"/>
  <c r="BW20" i="13" s="1"/>
  <c r="BX20" i="13" s="1"/>
  <c r="BY20" i="13" s="1"/>
  <c r="BZ20" i="13" s="1"/>
  <c r="CA20" i="13" s="1"/>
  <c r="CB20" i="13" s="1"/>
  <c r="CC20" i="13" s="1"/>
  <c r="CD20" i="13" s="1"/>
  <c r="CE20" i="13" s="1"/>
  <c r="CF20" i="13" s="1"/>
  <c r="CG20" i="13" s="1"/>
  <c r="CH20" i="13" s="1"/>
  <c r="CI20" i="13" s="1"/>
  <c r="CJ20" i="13" s="1"/>
  <c r="CK20" i="13" s="1"/>
  <c r="CL20" i="13" s="1"/>
  <c r="CM20" i="13" s="1"/>
  <c r="CN20" i="13" s="1"/>
  <c r="CO20" i="13" s="1"/>
  <c r="CP20" i="13" s="1"/>
  <c r="CQ20" i="13" s="1"/>
  <c r="CR20" i="13" s="1"/>
  <c r="CS20" i="13" s="1"/>
  <c r="CT20" i="13" s="1"/>
  <c r="CU20" i="13" s="1"/>
  <c r="CV20" i="13" s="1"/>
  <c r="CW20" i="13" s="1"/>
  <c r="CX20" i="13" s="1"/>
  <c r="CY20" i="13" s="1"/>
  <c r="CZ20" i="13" s="1"/>
  <c r="DA20" i="13" s="1"/>
  <c r="DB20" i="13" s="1"/>
  <c r="DC20" i="13" s="1"/>
  <c r="DD20" i="13" s="1"/>
  <c r="DE20" i="13" s="1"/>
  <c r="DF20" i="13" s="1"/>
  <c r="DG20" i="13" s="1"/>
  <c r="DH20" i="13" s="1"/>
  <c r="DI20" i="13" s="1"/>
  <c r="O19" i="13"/>
  <c r="P19" i="13" s="1"/>
  <c r="Q19" i="13" s="1"/>
  <c r="R19" i="13" s="1"/>
  <c r="S19" i="13" s="1"/>
  <c r="T19" i="13" s="1"/>
  <c r="U19" i="13" s="1"/>
  <c r="V19" i="13" s="1"/>
  <c r="W19" i="13" s="1"/>
  <c r="X19" i="13" s="1"/>
  <c r="Y19" i="13" s="1"/>
  <c r="Z19" i="13" s="1"/>
  <c r="AA19" i="13" s="1"/>
  <c r="AB19" i="13" s="1"/>
  <c r="AC19" i="13" s="1"/>
  <c r="AD19" i="13" s="1"/>
  <c r="AE19" i="13" s="1"/>
  <c r="AF19" i="13" s="1"/>
  <c r="AG19" i="13" s="1"/>
  <c r="AH19" i="13" s="1"/>
  <c r="AI19" i="13" s="1"/>
  <c r="AJ19" i="13" s="1"/>
  <c r="AK19" i="13" s="1"/>
  <c r="AL19" i="13" s="1"/>
  <c r="AM19" i="13" s="1"/>
  <c r="AN19" i="13" s="1"/>
  <c r="AO19" i="13" s="1"/>
  <c r="AP19" i="13" s="1"/>
  <c r="AQ19" i="13" s="1"/>
  <c r="AR19" i="13" s="1"/>
  <c r="AS19" i="13" s="1"/>
  <c r="AT19" i="13" s="1"/>
  <c r="AU19" i="13" s="1"/>
  <c r="AV19" i="13" s="1"/>
  <c r="AW19" i="13" s="1"/>
  <c r="AX19" i="13" s="1"/>
  <c r="AY19" i="13" s="1"/>
  <c r="AZ19" i="13" s="1"/>
  <c r="BA19" i="13" s="1"/>
  <c r="BB19" i="13" s="1"/>
  <c r="BC19" i="13" s="1"/>
  <c r="BD19" i="13" s="1"/>
  <c r="BE19" i="13" s="1"/>
  <c r="BF19" i="13" s="1"/>
  <c r="BG19" i="13" s="1"/>
  <c r="BH19" i="13" s="1"/>
  <c r="BI19" i="13" s="1"/>
  <c r="BJ19" i="13" s="1"/>
  <c r="BK19" i="13" s="1"/>
  <c r="BL19" i="13" s="1"/>
  <c r="BM19" i="13" s="1"/>
  <c r="BN19" i="13" s="1"/>
  <c r="BO19" i="13" s="1"/>
  <c r="BP19" i="13" s="1"/>
  <c r="BQ19" i="13" s="1"/>
  <c r="BR19" i="13" s="1"/>
  <c r="BS19" i="13" s="1"/>
  <c r="BT19" i="13" s="1"/>
  <c r="BU19" i="13" s="1"/>
  <c r="BV19" i="13" s="1"/>
  <c r="BW19" i="13" s="1"/>
  <c r="BX19" i="13" s="1"/>
  <c r="BY19" i="13" s="1"/>
  <c r="BZ19" i="13" s="1"/>
  <c r="CA19" i="13" s="1"/>
  <c r="CB19" i="13" s="1"/>
  <c r="CC19" i="13" s="1"/>
  <c r="CD19" i="13" s="1"/>
  <c r="CE19" i="13" s="1"/>
  <c r="CF19" i="13" s="1"/>
  <c r="CG19" i="13" s="1"/>
  <c r="CH19" i="13" s="1"/>
  <c r="CI19" i="13" s="1"/>
  <c r="CJ19" i="13" s="1"/>
  <c r="CK19" i="13" s="1"/>
  <c r="CL19" i="13" s="1"/>
  <c r="CM19" i="13" s="1"/>
  <c r="CN19" i="13" s="1"/>
  <c r="CO19" i="13" s="1"/>
  <c r="CP19" i="13" s="1"/>
  <c r="CQ19" i="13" s="1"/>
  <c r="CR19" i="13" s="1"/>
  <c r="CS19" i="13" s="1"/>
  <c r="CT19" i="13" s="1"/>
  <c r="CU19" i="13" s="1"/>
  <c r="CV19" i="13" s="1"/>
  <c r="CW19" i="13" s="1"/>
  <c r="CX19" i="13" s="1"/>
  <c r="CY19" i="13" s="1"/>
  <c r="CZ19" i="13" s="1"/>
  <c r="DA19" i="13" s="1"/>
  <c r="DB19" i="13" s="1"/>
  <c r="DC19" i="13" s="1"/>
  <c r="DD19" i="13" s="1"/>
  <c r="DE19" i="13" s="1"/>
  <c r="DF19" i="13" s="1"/>
  <c r="DG19" i="13" s="1"/>
  <c r="DH19" i="13" s="1"/>
  <c r="DI19" i="13" s="1"/>
  <c r="N18" i="13"/>
  <c r="O18" i="13" s="1"/>
  <c r="P18" i="13" s="1"/>
  <c r="Q18" i="13" s="1"/>
  <c r="R18" i="13" s="1"/>
  <c r="S18" i="13" s="1"/>
  <c r="T18" i="13" s="1"/>
  <c r="U18" i="13" s="1"/>
  <c r="V18" i="13" s="1"/>
  <c r="W18" i="13" s="1"/>
  <c r="X18" i="13" s="1"/>
  <c r="Y18" i="13" s="1"/>
  <c r="Z18" i="13" s="1"/>
  <c r="AA18" i="13" s="1"/>
  <c r="AB18" i="13" s="1"/>
  <c r="AC18" i="13" s="1"/>
  <c r="AD18" i="13" s="1"/>
  <c r="AE18" i="13" s="1"/>
  <c r="AF18" i="13" s="1"/>
  <c r="AG18" i="13" s="1"/>
  <c r="AH18" i="13" s="1"/>
  <c r="AI18" i="13" s="1"/>
  <c r="AJ18" i="13" s="1"/>
  <c r="AK18" i="13" s="1"/>
  <c r="AL18" i="13" s="1"/>
  <c r="AM18" i="13" s="1"/>
  <c r="AN18" i="13" s="1"/>
  <c r="AO18" i="13" s="1"/>
  <c r="AP18" i="13" s="1"/>
  <c r="AQ18" i="13" s="1"/>
  <c r="AR18" i="13" s="1"/>
  <c r="AS18" i="13" s="1"/>
  <c r="AT18" i="13" s="1"/>
  <c r="AU18" i="13" s="1"/>
  <c r="AV18" i="13" s="1"/>
  <c r="AW18" i="13" s="1"/>
  <c r="AX18" i="13" s="1"/>
  <c r="AY18" i="13" s="1"/>
  <c r="AZ18" i="13" s="1"/>
  <c r="BA18" i="13" s="1"/>
  <c r="BB18" i="13" s="1"/>
  <c r="BC18" i="13" s="1"/>
  <c r="BD18" i="13" s="1"/>
  <c r="BE18" i="13" s="1"/>
  <c r="BF18" i="13" s="1"/>
  <c r="BG18" i="13" s="1"/>
  <c r="BH18" i="13" s="1"/>
  <c r="BI18" i="13" s="1"/>
  <c r="BJ18" i="13" s="1"/>
  <c r="BK18" i="13" s="1"/>
  <c r="BL18" i="13" s="1"/>
  <c r="BM18" i="13" s="1"/>
  <c r="BN18" i="13" s="1"/>
  <c r="BO18" i="13" s="1"/>
  <c r="BP18" i="13" s="1"/>
  <c r="BQ18" i="13" s="1"/>
  <c r="BR18" i="13" s="1"/>
  <c r="BS18" i="13" s="1"/>
  <c r="BT18" i="13" s="1"/>
  <c r="BU18" i="13" s="1"/>
  <c r="BV18" i="13" s="1"/>
  <c r="BW18" i="13" s="1"/>
  <c r="BX18" i="13" s="1"/>
  <c r="BY18" i="13" s="1"/>
  <c r="BZ18" i="13" s="1"/>
  <c r="CA18" i="13" s="1"/>
  <c r="CB18" i="13" s="1"/>
  <c r="CC18" i="13" s="1"/>
  <c r="CD18" i="13" s="1"/>
  <c r="CE18" i="13" s="1"/>
  <c r="CF18" i="13" s="1"/>
  <c r="CG18" i="13" s="1"/>
  <c r="CH18" i="13" s="1"/>
  <c r="CI18" i="13" s="1"/>
  <c r="CJ18" i="13" s="1"/>
  <c r="CK18" i="13" s="1"/>
  <c r="CL18" i="13" s="1"/>
  <c r="CM18" i="13" s="1"/>
  <c r="CN18" i="13" s="1"/>
  <c r="CO18" i="13" s="1"/>
  <c r="CP18" i="13" s="1"/>
  <c r="CQ18" i="13" s="1"/>
  <c r="CR18" i="13" s="1"/>
  <c r="CS18" i="13" s="1"/>
  <c r="CT18" i="13" s="1"/>
  <c r="CU18" i="13" s="1"/>
  <c r="CV18" i="13" s="1"/>
  <c r="CW18" i="13" s="1"/>
  <c r="CX18" i="13" s="1"/>
  <c r="CY18" i="13" s="1"/>
  <c r="CZ18" i="13" s="1"/>
  <c r="DA18" i="13" s="1"/>
  <c r="DB18" i="13" s="1"/>
  <c r="DC18" i="13" s="1"/>
  <c r="DD18" i="13" s="1"/>
  <c r="DE18" i="13" s="1"/>
  <c r="DF18" i="13" s="1"/>
  <c r="DG18" i="13" s="1"/>
  <c r="DH18" i="13" s="1"/>
  <c r="DI18" i="13" s="1"/>
  <c r="N17" i="13"/>
  <c r="O17" i="13" s="1"/>
  <c r="P17" i="13" s="1"/>
  <c r="Q17" i="13" s="1"/>
  <c r="R17" i="13" s="1"/>
  <c r="S17" i="13" s="1"/>
  <c r="T17" i="13" s="1"/>
  <c r="U17" i="13" s="1"/>
  <c r="V17" i="13" s="1"/>
  <c r="W17" i="13" s="1"/>
  <c r="X17" i="13" s="1"/>
  <c r="Y17" i="13" s="1"/>
  <c r="Z17" i="13" s="1"/>
  <c r="AA17" i="13" s="1"/>
  <c r="AB17" i="13" s="1"/>
  <c r="AC17" i="13" s="1"/>
  <c r="AD17" i="13" s="1"/>
  <c r="AE17" i="13" s="1"/>
  <c r="AF17" i="13" s="1"/>
  <c r="AG17" i="13" s="1"/>
  <c r="AH17" i="13" s="1"/>
  <c r="AI17" i="13" s="1"/>
  <c r="AJ17" i="13" s="1"/>
  <c r="AK17" i="13" s="1"/>
  <c r="AL17" i="13" s="1"/>
  <c r="AM17" i="13" s="1"/>
  <c r="AN17" i="13" s="1"/>
  <c r="AO17" i="13" s="1"/>
  <c r="AP17" i="13" s="1"/>
  <c r="AQ17" i="13" s="1"/>
  <c r="AR17" i="13" s="1"/>
  <c r="AS17" i="13" s="1"/>
  <c r="AT17" i="13" s="1"/>
  <c r="AU17" i="13" s="1"/>
  <c r="AV17" i="13" s="1"/>
  <c r="AW17" i="13" s="1"/>
  <c r="AX17" i="13" s="1"/>
  <c r="AY17" i="13" s="1"/>
  <c r="AZ17" i="13" s="1"/>
  <c r="BA17" i="13" s="1"/>
  <c r="BB17" i="13" s="1"/>
  <c r="BC17" i="13" s="1"/>
  <c r="BD17" i="13" s="1"/>
  <c r="BE17" i="13" s="1"/>
  <c r="BF17" i="13" s="1"/>
  <c r="BG17" i="13" s="1"/>
  <c r="BH17" i="13" s="1"/>
  <c r="BI17" i="13" s="1"/>
  <c r="BJ17" i="13" s="1"/>
  <c r="BK17" i="13" s="1"/>
  <c r="BL17" i="13" s="1"/>
  <c r="BM17" i="13" s="1"/>
  <c r="BN17" i="13" s="1"/>
  <c r="BO17" i="13" s="1"/>
  <c r="BP17" i="13" s="1"/>
  <c r="BQ17" i="13" s="1"/>
  <c r="BR17" i="13" s="1"/>
  <c r="BS17" i="13" s="1"/>
  <c r="BT17" i="13" s="1"/>
  <c r="BU17" i="13" s="1"/>
  <c r="BV17" i="13" s="1"/>
  <c r="BW17" i="13" s="1"/>
  <c r="BX17" i="13" s="1"/>
  <c r="BY17" i="13" s="1"/>
  <c r="BZ17" i="13" s="1"/>
  <c r="CA17" i="13" s="1"/>
  <c r="CB17" i="13" s="1"/>
  <c r="CC17" i="13" s="1"/>
  <c r="CD17" i="13" s="1"/>
  <c r="CE17" i="13" s="1"/>
  <c r="CF17" i="13" s="1"/>
  <c r="CG17" i="13" s="1"/>
  <c r="CH17" i="13" s="1"/>
  <c r="CI17" i="13" s="1"/>
  <c r="CJ17" i="13" s="1"/>
  <c r="CK17" i="13" s="1"/>
  <c r="CL17" i="13" s="1"/>
  <c r="CM17" i="13" s="1"/>
  <c r="CN17" i="13" s="1"/>
  <c r="CO17" i="13" s="1"/>
  <c r="CP17" i="13" s="1"/>
  <c r="CQ17" i="13" s="1"/>
  <c r="CR17" i="13" s="1"/>
  <c r="CS17" i="13" s="1"/>
  <c r="CT17" i="13" s="1"/>
  <c r="CU17" i="13" s="1"/>
  <c r="CV17" i="13" s="1"/>
  <c r="CW17" i="13" s="1"/>
  <c r="CX17" i="13" s="1"/>
  <c r="CY17" i="13" s="1"/>
  <c r="CZ17" i="13" s="1"/>
  <c r="DA17" i="13" s="1"/>
  <c r="DB17" i="13" s="1"/>
  <c r="DC17" i="13" s="1"/>
  <c r="DD17" i="13" s="1"/>
  <c r="DE17" i="13" s="1"/>
  <c r="DF17" i="13" s="1"/>
  <c r="DG17" i="13" s="1"/>
  <c r="DH17" i="13" s="1"/>
  <c r="DI17" i="13" s="1"/>
  <c r="N16" i="13"/>
  <c r="O16" i="13" s="1"/>
  <c r="P16" i="13" s="1"/>
  <c r="Q16" i="13" s="1"/>
  <c r="R16" i="13" s="1"/>
  <c r="S16" i="13" s="1"/>
  <c r="T16" i="13" s="1"/>
  <c r="U16" i="13" s="1"/>
  <c r="V16" i="13" s="1"/>
  <c r="W16" i="13" s="1"/>
  <c r="X16" i="13" s="1"/>
  <c r="Y16" i="13" s="1"/>
  <c r="Z16" i="13" s="1"/>
  <c r="AA16" i="13" s="1"/>
  <c r="AB16" i="13" s="1"/>
  <c r="AC16" i="13" s="1"/>
  <c r="AD16" i="13" s="1"/>
  <c r="AE16" i="13" s="1"/>
  <c r="AF16" i="13" s="1"/>
  <c r="AG16" i="13" s="1"/>
  <c r="AH16" i="13" s="1"/>
  <c r="AI16" i="13" s="1"/>
  <c r="AJ16" i="13" s="1"/>
  <c r="AK16" i="13" s="1"/>
  <c r="AL16" i="13" s="1"/>
  <c r="AM16" i="13" s="1"/>
  <c r="AN16" i="13" s="1"/>
  <c r="AO16" i="13" s="1"/>
  <c r="AP16" i="13" s="1"/>
  <c r="AQ16" i="13" s="1"/>
  <c r="AR16" i="13" s="1"/>
  <c r="AS16" i="13" s="1"/>
  <c r="AT16" i="13" s="1"/>
  <c r="AU16" i="13" s="1"/>
  <c r="AV16" i="13" s="1"/>
  <c r="AW16" i="13" s="1"/>
  <c r="AX16" i="13" s="1"/>
  <c r="AY16" i="13" s="1"/>
  <c r="AZ16" i="13" s="1"/>
  <c r="BA16" i="13" s="1"/>
  <c r="BB16" i="13" s="1"/>
  <c r="BC16" i="13" s="1"/>
  <c r="BD16" i="13" s="1"/>
  <c r="BE16" i="13" s="1"/>
  <c r="BF16" i="13" s="1"/>
  <c r="BG16" i="13" s="1"/>
  <c r="BH16" i="13" s="1"/>
  <c r="BI16" i="13" s="1"/>
  <c r="BJ16" i="13" s="1"/>
  <c r="BK16" i="13" s="1"/>
  <c r="BL16" i="13" s="1"/>
  <c r="BM16" i="13" s="1"/>
  <c r="BN16" i="13" s="1"/>
  <c r="BO16" i="13" s="1"/>
  <c r="BP16" i="13" s="1"/>
  <c r="BQ16" i="13" s="1"/>
  <c r="BR16" i="13" s="1"/>
  <c r="BS16" i="13" s="1"/>
  <c r="BT16" i="13" s="1"/>
  <c r="BU16" i="13" s="1"/>
  <c r="BV16" i="13" s="1"/>
  <c r="BW16" i="13" s="1"/>
  <c r="BX16" i="13" s="1"/>
  <c r="BY16" i="13" s="1"/>
  <c r="BZ16" i="13" s="1"/>
  <c r="CA16" i="13" s="1"/>
  <c r="CB16" i="13" s="1"/>
  <c r="CC16" i="13" s="1"/>
  <c r="CD16" i="13" s="1"/>
  <c r="CE16" i="13" s="1"/>
  <c r="CF16" i="13" s="1"/>
  <c r="CG16" i="13" s="1"/>
  <c r="CH16" i="13" s="1"/>
  <c r="CI16" i="13" s="1"/>
  <c r="CJ16" i="13" s="1"/>
  <c r="CK16" i="13" s="1"/>
  <c r="CL16" i="13" s="1"/>
  <c r="CM16" i="13" s="1"/>
  <c r="CN16" i="13" s="1"/>
  <c r="CO16" i="13" s="1"/>
  <c r="CP16" i="13" s="1"/>
  <c r="CQ16" i="13" s="1"/>
  <c r="CR16" i="13" s="1"/>
  <c r="CS16" i="13" s="1"/>
  <c r="CT16" i="13" s="1"/>
  <c r="CU16" i="13" s="1"/>
  <c r="CV16" i="13" s="1"/>
  <c r="CW16" i="13" s="1"/>
  <c r="CX16" i="13" s="1"/>
  <c r="CY16" i="13" s="1"/>
  <c r="CZ16" i="13" s="1"/>
  <c r="DA16" i="13" s="1"/>
  <c r="DB16" i="13" s="1"/>
  <c r="DC16" i="13" s="1"/>
  <c r="DD16" i="13" s="1"/>
  <c r="DE16" i="13" s="1"/>
  <c r="DF16" i="13" s="1"/>
  <c r="DG16" i="13" s="1"/>
  <c r="DH16" i="13" s="1"/>
  <c r="DI16" i="13" s="1"/>
  <c r="M15" i="13"/>
  <c r="N15" i="13" s="1"/>
  <c r="O15" i="13" s="1"/>
  <c r="P15" i="13" s="1"/>
  <c r="Q15" i="13" s="1"/>
  <c r="R15" i="13" s="1"/>
  <c r="S15" i="13" s="1"/>
  <c r="T15" i="13" s="1"/>
  <c r="U15" i="13" s="1"/>
  <c r="V15" i="13" s="1"/>
  <c r="W15" i="13" s="1"/>
  <c r="X15" i="13" s="1"/>
  <c r="Y15" i="13" s="1"/>
  <c r="Z15" i="13" s="1"/>
  <c r="AA15" i="13" s="1"/>
  <c r="AB15" i="13" s="1"/>
  <c r="AC15" i="13" s="1"/>
  <c r="AD15" i="13" s="1"/>
  <c r="AE15" i="13" s="1"/>
  <c r="AF15" i="13" s="1"/>
  <c r="AG15" i="13" s="1"/>
  <c r="AH15" i="13" s="1"/>
  <c r="AI15" i="13" s="1"/>
  <c r="AJ15" i="13" s="1"/>
  <c r="AK15" i="13" s="1"/>
  <c r="AL15" i="13" s="1"/>
  <c r="AM15" i="13" s="1"/>
  <c r="AN15" i="13" s="1"/>
  <c r="AO15" i="13" s="1"/>
  <c r="AP15" i="13" s="1"/>
  <c r="AQ15" i="13" s="1"/>
  <c r="AR15" i="13" s="1"/>
  <c r="AS15" i="13" s="1"/>
  <c r="AT15" i="13" s="1"/>
  <c r="AU15" i="13" s="1"/>
  <c r="AV15" i="13" s="1"/>
  <c r="AW15" i="13" s="1"/>
  <c r="AX15" i="13" s="1"/>
  <c r="AY15" i="13" s="1"/>
  <c r="AZ15" i="13" s="1"/>
  <c r="BA15" i="13" s="1"/>
  <c r="BB15" i="13" s="1"/>
  <c r="BC15" i="13" s="1"/>
  <c r="BD15" i="13" s="1"/>
  <c r="BE15" i="13" s="1"/>
  <c r="BF15" i="13" s="1"/>
  <c r="BG15" i="13" s="1"/>
  <c r="BH15" i="13" s="1"/>
  <c r="BI15" i="13" s="1"/>
  <c r="BJ15" i="13" s="1"/>
  <c r="BK15" i="13" s="1"/>
  <c r="BL15" i="13" s="1"/>
  <c r="BM15" i="13" s="1"/>
  <c r="BN15" i="13" s="1"/>
  <c r="BO15" i="13" s="1"/>
  <c r="BP15" i="13" s="1"/>
  <c r="BQ15" i="13" s="1"/>
  <c r="BR15" i="13" s="1"/>
  <c r="BS15" i="13" s="1"/>
  <c r="BT15" i="13" s="1"/>
  <c r="BU15" i="13" s="1"/>
  <c r="BV15" i="13" s="1"/>
  <c r="BW15" i="13" s="1"/>
  <c r="BX15" i="13" s="1"/>
  <c r="BY15" i="13" s="1"/>
  <c r="BZ15" i="13" s="1"/>
  <c r="CA15" i="13" s="1"/>
  <c r="CB15" i="13" s="1"/>
  <c r="CC15" i="13" s="1"/>
  <c r="CD15" i="13" s="1"/>
  <c r="CE15" i="13" s="1"/>
  <c r="CF15" i="13" s="1"/>
  <c r="CG15" i="13" s="1"/>
  <c r="CH15" i="13" s="1"/>
  <c r="CI15" i="13" s="1"/>
  <c r="CJ15" i="13" s="1"/>
  <c r="CK15" i="13" s="1"/>
  <c r="CL15" i="13" s="1"/>
  <c r="CM15" i="13" s="1"/>
  <c r="CN15" i="13" s="1"/>
  <c r="CO15" i="13" s="1"/>
  <c r="CP15" i="13" s="1"/>
  <c r="CQ15" i="13" s="1"/>
  <c r="CR15" i="13" s="1"/>
  <c r="CS15" i="13" s="1"/>
  <c r="CT15" i="13" s="1"/>
  <c r="CU15" i="13" s="1"/>
  <c r="CV15" i="13" s="1"/>
  <c r="CW15" i="13" s="1"/>
  <c r="CX15" i="13" s="1"/>
  <c r="CY15" i="13" s="1"/>
  <c r="CZ15" i="13" s="1"/>
  <c r="DA15" i="13" s="1"/>
  <c r="DB15" i="13" s="1"/>
  <c r="DC15" i="13" s="1"/>
  <c r="DD15" i="13" s="1"/>
  <c r="DE15" i="13" s="1"/>
  <c r="DF15" i="13" s="1"/>
  <c r="DG15" i="13" s="1"/>
  <c r="DH15" i="13" s="1"/>
  <c r="DI15" i="13" s="1"/>
  <c r="M14" i="13"/>
  <c r="N14" i="13" s="1"/>
  <c r="O14" i="13" s="1"/>
  <c r="P14" i="13" s="1"/>
  <c r="Q14" i="13" s="1"/>
  <c r="R14" i="13" s="1"/>
  <c r="S14" i="13" s="1"/>
  <c r="T14" i="13" s="1"/>
  <c r="U14" i="13" s="1"/>
  <c r="V14" i="13" s="1"/>
  <c r="W14" i="13" s="1"/>
  <c r="X14" i="13" s="1"/>
  <c r="Y14" i="13" s="1"/>
  <c r="Z14" i="13" s="1"/>
  <c r="AA14" i="13" s="1"/>
  <c r="AB14" i="13" s="1"/>
  <c r="AC14" i="13" s="1"/>
  <c r="AD14" i="13" s="1"/>
  <c r="AE14" i="13" s="1"/>
  <c r="AF14" i="13" s="1"/>
  <c r="AG14" i="13" s="1"/>
  <c r="AH14" i="13" s="1"/>
  <c r="AI14" i="13" s="1"/>
  <c r="AJ14" i="13" s="1"/>
  <c r="AK14" i="13" s="1"/>
  <c r="AL14" i="13" s="1"/>
  <c r="AM14" i="13" s="1"/>
  <c r="AN14" i="13" s="1"/>
  <c r="AO14" i="13" s="1"/>
  <c r="AP14" i="13" s="1"/>
  <c r="AQ14" i="13" s="1"/>
  <c r="AR14" i="13" s="1"/>
  <c r="AS14" i="13" s="1"/>
  <c r="AT14" i="13" s="1"/>
  <c r="AU14" i="13" s="1"/>
  <c r="AV14" i="13" s="1"/>
  <c r="AW14" i="13" s="1"/>
  <c r="AX14" i="13" s="1"/>
  <c r="AY14" i="13" s="1"/>
  <c r="AZ14" i="13" s="1"/>
  <c r="BA14" i="13" s="1"/>
  <c r="BB14" i="13" s="1"/>
  <c r="BC14" i="13" s="1"/>
  <c r="BD14" i="13" s="1"/>
  <c r="BE14" i="13" s="1"/>
  <c r="BF14" i="13" s="1"/>
  <c r="BG14" i="13" s="1"/>
  <c r="BH14" i="13" s="1"/>
  <c r="BI14" i="13" s="1"/>
  <c r="BJ14" i="13" s="1"/>
  <c r="BK14" i="13" s="1"/>
  <c r="BL14" i="13" s="1"/>
  <c r="BM14" i="13" s="1"/>
  <c r="BN14" i="13" s="1"/>
  <c r="BO14" i="13" s="1"/>
  <c r="BP14" i="13" s="1"/>
  <c r="BQ14" i="13" s="1"/>
  <c r="BR14" i="13" s="1"/>
  <c r="BS14" i="13" s="1"/>
  <c r="BT14" i="13" s="1"/>
  <c r="BU14" i="13" s="1"/>
  <c r="BV14" i="13" s="1"/>
  <c r="BW14" i="13" s="1"/>
  <c r="BX14" i="13" s="1"/>
  <c r="BY14" i="13" s="1"/>
  <c r="BZ14" i="13" s="1"/>
  <c r="CA14" i="13" s="1"/>
  <c r="CB14" i="13" s="1"/>
  <c r="CC14" i="13" s="1"/>
  <c r="CD14" i="13" s="1"/>
  <c r="CE14" i="13" s="1"/>
  <c r="CF14" i="13" s="1"/>
  <c r="CG14" i="13" s="1"/>
  <c r="CH14" i="13" s="1"/>
  <c r="CI14" i="13" s="1"/>
  <c r="CJ14" i="13" s="1"/>
  <c r="CK14" i="13" s="1"/>
  <c r="CL14" i="13" s="1"/>
  <c r="CM14" i="13" s="1"/>
  <c r="CN14" i="13" s="1"/>
  <c r="CO14" i="13" s="1"/>
  <c r="CP14" i="13" s="1"/>
  <c r="CQ14" i="13" s="1"/>
  <c r="CR14" i="13" s="1"/>
  <c r="CS14" i="13" s="1"/>
  <c r="CT14" i="13" s="1"/>
  <c r="CU14" i="13" s="1"/>
  <c r="CV14" i="13" s="1"/>
  <c r="CW14" i="13" s="1"/>
  <c r="CX14" i="13" s="1"/>
  <c r="CY14" i="13" s="1"/>
  <c r="CZ14" i="13" s="1"/>
  <c r="DA14" i="13" s="1"/>
  <c r="DB14" i="13" s="1"/>
  <c r="DC14" i="13" s="1"/>
  <c r="DD14" i="13" s="1"/>
  <c r="DE14" i="13" s="1"/>
  <c r="DF14" i="13" s="1"/>
  <c r="DG14" i="13" s="1"/>
  <c r="DH14" i="13" s="1"/>
  <c r="DI14" i="13" s="1"/>
  <c r="M13" i="13"/>
  <c r="N13" i="13" s="1"/>
  <c r="O13" i="13" s="1"/>
  <c r="P13" i="13" s="1"/>
  <c r="Q13" i="13" s="1"/>
  <c r="R13" i="13" s="1"/>
  <c r="S13" i="13" s="1"/>
  <c r="T13" i="13" s="1"/>
  <c r="U13" i="13" s="1"/>
  <c r="V13" i="13" s="1"/>
  <c r="W13" i="13" s="1"/>
  <c r="X13" i="13" s="1"/>
  <c r="Y13" i="13" s="1"/>
  <c r="Z13" i="13" s="1"/>
  <c r="AA13" i="13" s="1"/>
  <c r="AB13" i="13" s="1"/>
  <c r="AC13" i="13" s="1"/>
  <c r="AD13" i="13" s="1"/>
  <c r="AE13" i="13" s="1"/>
  <c r="AF13" i="13" s="1"/>
  <c r="AG13" i="13" s="1"/>
  <c r="AH13" i="13" s="1"/>
  <c r="AI13" i="13" s="1"/>
  <c r="AJ13" i="13" s="1"/>
  <c r="AK13" i="13" s="1"/>
  <c r="AL13" i="13" s="1"/>
  <c r="AM13" i="13" s="1"/>
  <c r="AN13" i="13" s="1"/>
  <c r="AO13" i="13" s="1"/>
  <c r="AP13" i="13" s="1"/>
  <c r="AQ13" i="13" s="1"/>
  <c r="AR13" i="13" s="1"/>
  <c r="AS13" i="13" s="1"/>
  <c r="AT13" i="13" s="1"/>
  <c r="AU13" i="13" s="1"/>
  <c r="AV13" i="13" s="1"/>
  <c r="AW13" i="13" s="1"/>
  <c r="AX13" i="13" s="1"/>
  <c r="AY13" i="13" s="1"/>
  <c r="AZ13" i="13" s="1"/>
  <c r="BA13" i="13" s="1"/>
  <c r="BB13" i="13" s="1"/>
  <c r="BC13" i="13" s="1"/>
  <c r="BD13" i="13" s="1"/>
  <c r="BE13" i="13" s="1"/>
  <c r="BF13" i="13" s="1"/>
  <c r="BG13" i="13" s="1"/>
  <c r="BH13" i="13" s="1"/>
  <c r="BI13" i="13" s="1"/>
  <c r="BJ13" i="13" s="1"/>
  <c r="BK13" i="13" s="1"/>
  <c r="BL13" i="13" s="1"/>
  <c r="BM13" i="13" s="1"/>
  <c r="BN13" i="13" s="1"/>
  <c r="BO13" i="13" s="1"/>
  <c r="BP13" i="13" s="1"/>
  <c r="BQ13" i="13" s="1"/>
  <c r="BR13" i="13" s="1"/>
  <c r="BS13" i="13" s="1"/>
  <c r="BT13" i="13" s="1"/>
  <c r="BU13" i="13" s="1"/>
  <c r="BV13" i="13" s="1"/>
  <c r="BW13" i="13" s="1"/>
  <c r="BX13" i="13" s="1"/>
  <c r="BY13" i="13" s="1"/>
  <c r="BZ13" i="13" s="1"/>
  <c r="CA13" i="13" s="1"/>
  <c r="CB13" i="13" s="1"/>
  <c r="CC13" i="13" s="1"/>
  <c r="CD13" i="13" s="1"/>
  <c r="CE13" i="13" s="1"/>
  <c r="CF13" i="13" s="1"/>
  <c r="CG13" i="13" s="1"/>
  <c r="CH13" i="13" s="1"/>
  <c r="CI13" i="13" s="1"/>
  <c r="CJ13" i="13" s="1"/>
  <c r="CK13" i="13" s="1"/>
  <c r="CL13" i="13" s="1"/>
  <c r="CM13" i="13" s="1"/>
  <c r="CN13" i="13" s="1"/>
  <c r="CO13" i="13" s="1"/>
  <c r="CP13" i="13" s="1"/>
  <c r="CQ13" i="13" s="1"/>
  <c r="CR13" i="13" s="1"/>
  <c r="CS13" i="13" s="1"/>
  <c r="CT13" i="13" s="1"/>
  <c r="CU13" i="13" s="1"/>
  <c r="CV13" i="13" s="1"/>
  <c r="CW13" i="13" s="1"/>
  <c r="CX13" i="13" s="1"/>
  <c r="CY13" i="13" s="1"/>
  <c r="CZ13" i="13" s="1"/>
  <c r="DA13" i="13" s="1"/>
  <c r="DB13" i="13" s="1"/>
  <c r="DC13" i="13" s="1"/>
  <c r="DD13" i="13" s="1"/>
  <c r="DE13" i="13" s="1"/>
  <c r="DF13" i="13" s="1"/>
  <c r="DG13" i="13" s="1"/>
  <c r="DH13" i="13" s="1"/>
  <c r="DI13" i="13" s="1"/>
  <c r="M12" i="13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BE12" i="13" s="1"/>
  <c r="BF12" i="13" s="1"/>
  <c r="BG12" i="13" s="1"/>
  <c r="BH12" i="13" s="1"/>
  <c r="BI12" i="13" s="1"/>
  <c r="BJ12" i="13" s="1"/>
  <c r="BK12" i="13" s="1"/>
  <c r="BL12" i="13" s="1"/>
  <c r="BM12" i="13" s="1"/>
  <c r="BN12" i="13" s="1"/>
  <c r="BO12" i="13" s="1"/>
  <c r="BP12" i="13" s="1"/>
  <c r="BQ12" i="13" s="1"/>
  <c r="BR12" i="13" s="1"/>
  <c r="BS12" i="13" s="1"/>
  <c r="BT12" i="13" s="1"/>
  <c r="BU12" i="13" s="1"/>
  <c r="BV12" i="13" s="1"/>
  <c r="BW12" i="13" s="1"/>
  <c r="BX12" i="13" s="1"/>
  <c r="BY12" i="13" s="1"/>
  <c r="BZ12" i="13" s="1"/>
  <c r="CA12" i="13" s="1"/>
  <c r="CB12" i="13" s="1"/>
  <c r="CC12" i="13" s="1"/>
  <c r="CD12" i="13" s="1"/>
  <c r="CE12" i="13" s="1"/>
  <c r="CF12" i="13" s="1"/>
  <c r="CG12" i="13" s="1"/>
  <c r="CH12" i="13" s="1"/>
  <c r="CI12" i="13" s="1"/>
  <c r="CJ12" i="13" s="1"/>
  <c r="CK12" i="13" s="1"/>
  <c r="CL12" i="13" s="1"/>
  <c r="CM12" i="13" s="1"/>
  <c r="CN12" i="13" s="1"/>
  <c r="CO12" i="13" s="1"/>
  <c r="CP12" i="13" s="1"/>
  <c r="CQ12" i="13" s="1"/>
  <c r="CR12" i="13" s="1"/>
  <c r="CS12" i="13" s="1"/>
  <c r="CT12" i="13" s="1"/>
  <c r="CU12" i="13" s="1"/>
  <c r="CV12" i="13" s="1"/>
  <c r="CW12" i="13" s="1"/>
  <c r="CX12" i="13" s="1"/>
  <c r="CY12" i="13" s="1"/>
  <c r="CZ12" i="13" s="1"/>
  <c r="DA12" i="13" s="1"/>
  <c r="DB12" i="13" s="1"/>
  <c r="DC12" i="13" s="1"/>
  <c r="DD12" i="13" s="1"/>
  <c r="DE12" i="13" s="1"/>
  <c r="DF12" i="13" s="1"/>
  <c r="DG12" i="13" s="1"/>
  <c r="DH12" i="13" s="1"/>
  <c r="DI12" i="13" s="1"/>
  <c r="L11" i="13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11" i="13" s="1"/>
  <c r="BF11" i="13" s="1"/>
  <c r="BG11" i="13" s="1"/>
  <c r="BH11" i="13" s="1"/>
  <c r="BI11" i="13" s="1"/>
  <c r="BJ11" i="13" s="1"/>
  <c r="BK11" i="13" s="1"/>
  <c r="BL11" i="13" s="1"/>
  <c r="BM11" i="13" s="1"/>
  <c r="BN11" i="13" s="1"/>
  <c r="BO11" i="13" s="1"/>
  <c r="BP11" i="13" s="1"/>
  <c r="BQ11" i="13" s="1"/>
  <c r="BR11" i="13" s="1"/>
  <c r="BS11" i="13" s="1"/>
  <c r="BT11" i="13" s="1"/>
  <c r="BU11" i="13" s="1"/>
  <c r="BV11" i="13" s="1"/>
  <c r="BW11" i="13" s="1"/>
  <c r="BX11" i="13" s="1"/>
  <c r="BY11" i="13" s="1"/>
  <c r="BZ11" i="13" s="1"/>
  <c r="CA11" i="13" s="1"/>
  <c r="CB11" i="13" s="1"/>
  <c r="CC11" i="13" s="1"/>
  <c r="CD11" i="13" s="1"/>
  <c r="CE11" i="13" s="1"/>
  <c r="CF11" i="13" s="1"/>
  <c r="CG11" i="13" s="1"/>
  <c r="CH11" i="13" s="1"/>
  <c r="CI11" i="13" s="1"/>
  <c r="CJ11" i="13" s="1"/>
  <c r="CK11" i="13" s="1"/>
  <c r="CL11" i="13" s="1"/>
  <c r="CM11" i="13" s="1"/>
  <c r="CN11" i="13" s="1"/>
  <c r="CO11" i="13" s="1"/>
  <c r="CP11" i="13" s="1"/>
  <c r="CQ11" i="13" s="1"/>
  <c r="CR11" i="13" s="1"/>
  <c r="CS11" i="13" s="1"/>
  <c r="CT11" i="13" s="1"/>
  <c r="CU11" i="13" s="1"/>
  <c r="CV11" i="13" s="1"/>
  <c r="CW11" i="13" s="1"/>
  <c r="CX11" i="13" s="1"/>
  <c r="CY11" i="13" s="1"/>
  <c r="CZ11" i="13" s="1"/>
  <c r="DA11" i="13" s="1"/>
  <c r="DB11" i="13" s="1"/>
  <c r="DC11" i="13" s="1"/>
  <c r="DD11" i="13" s="1"/>
  <c r="DE11" i="13" s="1"/>
  <c r="DF11" i="13" s="1"/>
  <c r="DG11" i="13" s="1"/>
  <c r="DH11" i="13" s="1"/>
  <c r="DI11" i="13" s="1"/>
  <c r="L10" i="13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E10" i="13" s="1"/>
  <c r="BF10" i="13" s="1"/>
  <c r="BG10" i="13" s="1"/>
  <c r="BH10" i="13" s="1"/>
  <c r="BI10" i="13" s="1"/>
  <c r="BJ10" i="13" s="1"/>
  <c r="BK10" i="13" s="1"/>
  <c r="BL10" i="13" s="1"/>
  <c r="BM10" i="13" s="1"/>
  <c r="BN10" i="13" s="1"/>
  <c r="BO10" i="13" s="1"/>
  <c r="BP10" i="13" s="1"/>
  <c r="BQ10" i="13" s="1"/>
  <c r="BR10" i="13" s="1"/>
  <c r="BS10" i="13" s="1"/>
  <c r="BT10" i="13" s="1"/>
  <c r="BU10" i="13" s="1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CF10" i="13" s="1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10" i="13" s="1"/>
  <c r="CR10" i="13" s="1"/>
  <c r="CS10" i="13" s="1"/>
  <c r="CT10" i="13" s="1"/>
  <c r="CU10" i="13" s="1"/>
  <c r="CV10" i="13" s="1"/>
  <c r="CW10" i="13" s="1"/>
  <c r="CX10" i="13" s="1"/>
  <c r="CY10" i="13" s="1"/>
  <c r="CZ10" i="13" s="1"/>
  <c r="DA10" i="13" s="1"/>
  <c r="DB10" i="13" s="1"/>
  <c r="DC10" i="13" s="1"/>
  <c r="DD10" i="13" s="1"/>
  <c r="DE10" i="13" s="1"/>
  <c r="DF10" i="13" s="1"/>
  <c r="DG10" i="13" s="1"/>
  <c r="DH10" i="13" s="1"/>
  <c r="DI10" i="13" s="1"/>
  <c r="K9" i="13"/>
  <c r="L9" i="13" s="1"/>
  <c r="M9" i="13" s="1"/>
  <c r="N9" i="13" s="1"/>
  <c r="O9" i="13" s="1"/>
  <c r="P9" i="13" s="1"/>
  <c r="Q9" i="13" s="1"/>
  <c r="R9" i="13" s="1"/>
  <c r="S9" i="13" s="1"/>
  <c r="T9" i="13" s="1"/>
  <c r="U9" i="13" s="1"/>
  <c r="V9" i="13" s="1"/>
  <c r="W9" i="13" s="1"/>
  <c r="X9" i="13" s="1"/>
  <c r="Y9" i="13" s="1"/>
  <c r="Z9" i="13" s="1"/>
  <c r="AA9" i="13" s="1"/>
  <c r="AB9" i="13" s="1"/>
  <c r="AC9" i="13" s="1"/>
  <c r="AD9" i="13" s="1"/>
  <c r="AE9" i="13" s="1"/>
  <c r="AF9" i="13" s="1"/>
  <c r="AG9" i="13" s="1"/>
  <c r="AH9" i="13" s="1"/>
  <c r="AI9" i="13" s="1"/>
  <c r="AJ9" i="13" s="1"/>
  <c r="AK9" i="13" s="1"/>
  <c r="AL9" i="13" s="1"/>
  <c r="AM9" i="13" s="1"/>
  <c r="AN9" i="13" s="1"/>
  <c r="AO9" i="13" s="1"/>
  <c r="AP9" i="13" s="1"/>
  <c r="AQ9" i="13" s="1"/>
  <c r="AR9" i="13" s="1"/>
  <c r="AS9" i="13" s="1"/>
  <c r="AT9" i="13" s="1"/>
  <c r="AU9" i="13" s="1"/>
  <c r="AV9" i="13" s="1"/>
  <c r="AW9" i="13" s="1"/>
  <c r="AX9" i="13" s="1"/>
  <c r="AY9" i="13" s="1"/>
  <c r="AZ9" i="13" s="1"/>
  <c r="BA9" i="13" s="1"/>
  <c r="BB9" i="13" s="1"/>
  <c r="BC9" i="13" s="1"/>
  <c r="BD9" i="13" s="1"/>
  <c r="BE9" i="13" s="1"/>
  <c r="BF9" i="13" s="1"/>
  <c r="BG9" i="13" s="1"/>
  <c r="BH9" i="13" s="1"/>
  <c r="BI9" i="13" s="1"/>
  <c r="BJ9" i="13" s="1"/>
  <c r="BK9" i="13" s="1"/>
  <c r="BL9" i="13" s="1"/>
  <c r="BM9" i="13" s="1"/>
  <c r="BN9" i="13" s="1"/>
  <c r="BO9" i="13" s="1"/>
  <c r="BP9" i="13" s="1"/>
  <c r="BQ9" i="13" s="1"/>
  <c r="BR9" i="13" s="1"/>
  <c r="BS9" i="13" s="1"/>
  <c r="BT9" i="13" s="1"/>
  <c r="BU9" i="13" s="1"/>
  <c r="BV9" i="13" s="1"/>
  <c r="BW9" i="13" s="1"/>
  <c r="BX9" i="13" s="1"/>
  <c r="BY9" i="13" s="1"/>
  <c r="BZ9" i="13" s="1"/>
  <c r="CA9" i="13" s="1"/>
  <c r="CB9" i="13" s="1"/>
  <c r="CC9" i="13" s="1"/>
  <c r="CD9" i="13" s="1"/>
  <c r="CE9" i="13" s="1"/>
  <c r="CF9" i="13" s="1"/>
  <c r="CG9" i="13" s="1"/>
  <c r="CH9" i="13" s="1"/>
  <c r="CI9" i="13" s="1"/>
  <c r="CJ9" i="13" s="1"/>
  <c r="CK9" i="13" s="1"/>
  <c r="CL9" i="13" s="1"/>
  <c r="CM9" i="13" s="1"/>
  <c r="CN9" i="13" s="1"/>
  <c r="CO9" i="13" s="1"/>
  <c r="CP9" i="13" s="1"/>
  <c r="CQ9" i="13" s="1"/>
  <c r="CR9" i="13" s="1"/>
  <c r="CS9" i="13" s="1"/>
  <c r="CT9" i="13" s="1"/>
  <c r="CU9" i="13" s="1"/>
  <c r="CV9" i="13" s="1"/>
  <c r="CW9" i="13" s="1"/>
  <c r="CX9" i="13" s="1"/>
  <c r="CY9" i="13" s="1"/>
  <c r="CZ9" i="13" s="1"/>
  <c r="DA9" i="13" s="1"/>
  <c r="DB9" i="13" s="1"/>
  <c r="DC9" i="13" s="1"/>
  <c r="DD9" i="13" s="1"/>
  <c r="DE9" i="13" s="1"/>
  <c r="DF9" i="13" s="1"/>
  <c r="DG9" i="13" s="1"/>
  <c r="DH9" i="13" s="1"/>
  <c r="DI9" i="13" s="1"/>
  <c r="J8" i="13"/>
  <c r="K8" i="13" s="1"/>
  <c r="L8" i="13" s="1"/>
  <c r="M8" i="13" s="1"/>
  <c r="N8" i="13" s="1"/>
  <c r="O8" i="13" s="1"/>
  <c r="P8" i="13" s="1"/>
  <c r="Q8" i="13" s="1"/>
  <c r="R8" i="13" s="1"/>
  <c r="S8" i="13" s="1"/>
  <c r="T8" i="13" s="1"/>
  <c r="U8" i="13" s="1"/>
  <c r="V8" i="13" s="1"/>
  <c r="W8" i="13" s="1"/>
  <c r="X8" i="13" s="1"/>
  <c r="Y8" i="13" s="1"/>
  <c r="Z8" i="13" s="1"/>
  <c r="AA8" i="13" s="1"/>
  <c r="AB8" i="13" s="1"/>
  <c r="AC8" i="13" s="1"/>
  <c r="AD8" i="13" s="1"/>
  <c r="AE8" i="13" s="1"/>
  <c r="AF8" i="13" s="1"/>
  <c r="AG8" i="13" s="1"/>
  <c r="AH8" i="13" s="1"/>
  <c r="AI8" i="13" s="1"/>
  <c r="AJ8" i="13" s="1"/>
  <c r="AK8" i="13" s="1"/>
  <c r="AL8" i="13" s="1"/>
  <c r="AM8" i="13" s="1"/>
  <c r="AN8" i="13" s="1"/>
  <c r="AO8" i="13" s="1"/>
  <c r="AP8" i="13" s="1"/>
  <c r="AQ8" i="13" s="1"/>
  <c r="AR8" i="13" s="1"/>
  <c r="AS8" i="13" s="1"/>
  <c r="AT8" i="13" s="1"/>
  <c r="AU8" i="13" s="1"/>
  <c r="AV8" i="13" s="1"/>
  <c r="AW8" i="13" s="1"/>
  <c r="AX8" i="13" s="1"/>
  <c r="AY8" i="13" s="1"/>
  <c r="AZ8" i="13" s="1"/>
  <c r="BA8" i="13" s="1"/>
  <c r="BB8" i="13" s="1"/>
  <c r="BC8" i="13" s="1"/>
  <c r="BD8" i="13" s="1"/>
  <c r="BE8" i="13" s="1"/>
  <c r="BF8" i="13" s="1"/>
  <c r="BG8" i="13" s="1"/>
  <c r="BH8" i="13" s="1"/>
  <c r="BI8" i="13" s="1"/>
  <c r="BJ8" i="13" s="1"/>
  <c r="BK8" i="13" s="1"/>
  <c r="BL8" i="13" s="1"/>
  <c r="BM8" i="13" s="1"/>
  <c r="BN8" i="13" s="1"/>
  <c r="BO8" i="13" s="1"/>
  <c r="BP8" i="13" s="1"/>
  <c r="BQ8" i="13" s="1"/>
  <c r="BR8" i="13" s="1"/>
  <c r="BS8" i="13" s="1"/>
  <c r="BT8" i="13" s="1"/>
  <c r="BU8" i="13" s="1"/>
  <c r="BV8" i="13" s="1"/>
  <c r="BW8" i="13" s="1"/>
  <c r="BX8" i="13" s="1"/>
  <c r="BY8" i="13" s="1"/>
  <c r="BZ8" i="13" s="1"/>
  <c r="CA8" i="13" s="1"/>
  <c r="CB8" i="13" s="1"/>
  <c r="CC8" i="13" s="1"/>
  <c r="CD8" i="13" s="1"/>
  <c r="CE8" i="13" s="1"/>
  <c r="CF8" i="13" s="1"/>
  <c r="CG8" i="13" s="1"/>
  <c r="CH8" i="13" s="1"/>
  <c r="CI8" i="13" s="1"/>
  <c r="CJ8" i="13" s="1"/>
  <c r="CK8" i="13" s="1"/>
  <c r="CL8" i="13" s="1"/>
  <c r="CM8" i="13" s="1"/>
  <c r="CN8" i="13" s="1"/>
  <c r="CO8" i="13" s="1"/>
  <c r="CP8" i="13" s="1"/>
  <c r="CQ8" i="13" s="1"/>
  <c r="CR8" i="13" s="1"/>
  <c r="CS8" i="13" s="1"/>
  <c r="CT8" i="13" s="1"/>
  <c r="CU8" i="13" s="1"/>
  <c r="CV8" i="13" s="1"/>
  <c r="CW8" i="13" s="1"/>
  <c r="CX8" i="13" s="1"/>
  <c r="CY8" i="13" s="1"/>
  <c r="CZ8" i="13" s="1"/>
  <c r="DA8" i="13" s="1"/>
  <c r="DB8" i="13" s="1"/>
  <c r="DC8" i="13" s="1"/>
  <c r="DD8" i="13" s="1"/>
  <c r="DE8" i="13" s="1"/>
  <c r="DF8" i="13" s="1"/>
  <c r="DG8" i="13" s="1"/>
  <c r="DH8" i="13" s="1"/>
  <c r="DI8" i="13" s="1"/>
  <c r="J7" i="13"/>
  <c r="K7" i="13" s="1"/>
  <c r="L7" i="13" s="1"/>
  <c r="M7" i="13" s="1"/>
  <c r="N7" i="13" s="1"/>
  <c r="O7" i="13" s="1"/>
  <c r="P7" i="13" s="1"/>
  <c r="Q7" i="13" s="1"/>
  <c r="R7" i="13" s="1"/>
  <c r="S7" i="13" s="1"/>
  <c r="T7" i="13" s="1"/>
  <c r="U7" i="13" s="1"/>
  <c r="V7" i="13" s="1"/>
  <c r="W7" i="13" s="1"/>
  <c r="X7" i="13" s="1"/>
  <c r="Y7" i="13" s="1"/>
  <c r="Z7" i="13" s="1"/>
  <c r="AA7" i="13" s="1"/>
  <c r="AB7" i="13" s="1"/>
  <c r="AC7" i="13" s="1"/>
  <c r="AD7" i="13" s="1"/>
  <c r="AE7" i="13" s="1"/>
  <c r="AF7" i="13" s="1"/>
  <c r="AG7" i="13" s="1"/>
  <c r="AH7" i="13" s="1"/>
  <c r="AI7" i="13" s="1"/>
  <c r="AJ7" i="13" s="1"/>
  <c r="AK7" i="13" s="1"/>
  <c r="AL7" i="13" s="1"/>
  <c r="AM7" i="13" s="1"/>
  <c r="AN7" i="13" s="1"/>
  <c r="AO7" i="13" s="1"/>
  <c r="AP7" i="13" s="1"/>
  <c r="AQ7" i="13" s="1"/>
  <c r="AR7" i="13" s="1"/>
  <c r="AS7" i="13" s="1"/>
  <c r="AT7" i="13" s="1"/>
  <c r="AU7" i="13" s="1"/>
  <c r="AV7" i="13" s="1"/>
  <c r="AW7" i="13" s="1"/>
  <c r="AX7" i="13" s="1"/>
  <c r="AY7" i="13" s="1"/>
  <c r="AZ7" i="13" s="1"/>
  <c r="BA7" i="13" s="1"/>
  <c r="BB7" i="13" s="1"/>
  <c r="BC7" i="13" s="1"/>
  <c r="BD7" i="13" s="1"/>
  <c r="BE7" i="13" s="1"/>
  <c r="BF7" i="13" s="1"/>
  <c r="BG7" i="13" s="1"/>
  <c r="BH7" i="13" s="1"/>
  <c r="BI7" i="13" s="1"/>
  <c r="BJ7" i="13" s="1"/>
  <c r="BK7" i="13" s="1"/>
  <c r="BL7" i="13" s="1"/>
  <c r="BM7" i="13" s="1"/>
  <c r="BN7" i="13" s="1"/>
  <c r="BO7" i="13" s="1"/>
  <c r="BP7" i="13" s="1"/>
  <c r="BQ7" i="13" s="1"/>
  <c r="BR7" i="13" s="1"/>
  <c r="BS7" i="13" s="1"/>
  <c r="BT7" i="13" s="1"/>
  <c r="BU7" i="13" s="1"/>
  <c r="BV7" i="13" s="1"/>
  <c r="BW7" i="13" s="1"/>
  <c r="BX7" i="13" s="1"/>
  <c r="BY7" i="13" s="1"/>
  <c r="BZ7" i="13" s="1"/>
  <c r="CA7" i="13" s="1"/>
  <c r="CB7" i="13" s="1"/>
  <c r="CC7" i="13" s="1"/>
  <c r="CD7" i="13" s="1"/>
  <c r="CE7" i="13" s="1"/>
  <c r="CF7" i="13" s="1"/>
  <c r="CG7" i="13" s="1"/>
  <c r="CH7" i="13" s="1"/>
  <c r="CI7" i="13" s="1"/>
  <c r="CJ7" i="13" s="1"/>
  <c r="CK7" i="13" s="1"/>
  <c r="CL7" i="13" s="1"/>
  <c r="CM7" i="13" s="1"/>
  <c r="CN7" i="13" s="1"/>
  <c r="CO7" i="13" s="1"/>
  <c r="CP7" i="13" s="1"/>
  <c r="CQ7" i="13" s="1"/>
  <c r="CR7" i="13" s="1"/>
  <c r="CS7" i="13" s="1"/>
  <c r="CT7" i="13" s="1"/>
  <c r="CU7" i="13" s="1"/>
  <c r="CV7" i="13" s="1"/>
  <c r="CW7" i="13" s="1"/>
  <c r="CX7" i="13" s="1"/>
  <c r="CY7" i="13" s="1"/>
  <c r="CZ7" i="13" s="1"/>
  <c r="DA7" i="13" s="1"/>
  <c r="DB7" i="13" s="1"/>
  <c r="DC7" i="13" s="1"/>
  <c r="DD7" i="13" s="1"/>
  <c r="DE7" i="13" s="1"/>
  <c r="DF7" i="13" s="1"/>
  <c r="DG7" i="13" s="1"/>
  <c r="DH7" i="13" s="1"/>
  <c r="DI7" i="13" s="1"/>
  <c r="I6" i="13"/>
  <c r="J6" i="13" s="1"/>
  <c r="K6" i="13" s="1"/>
  <c r="L6" i="13" s="1"/>
  <c r="M6" i="13" s="1"/>
  <c r="N6" i="13" s="1"/>
  <c r="O6" i="13" s="1"/>
  <c r="P6" i="13" s="1"/>
  <c r="Q6" i="13" s="1"/>
  <c r="R6" i="13" s="1"/>
  <c r="S6" i="13" s="1"/>
  <c r="T6" i="13" s="1"/>
  <c r="U6" i="13" s="1"/>
  <c r="V6" i="13" s="1"/>
  <c r="W6" i="13" s="1"/>
  <c r="X6" i="13" s="1"/>
  <c r="Y6" i="13" s="1"/>
  <c r="Z6" i="13" s="1"/>
  <c r="AA6" i="13" s="1"/>
  <c r="AB6" i="13" s="1"/>
  <c r="AC6" i="13" s="1"/>
  <c r="AD6" i="13" s="1"/>
  <c r="AE6" i="13" s="1"/>
  <c r="AF6" i="13" s="1"/>
  <c r="AG6" i="13" s="1"/>
  <c r="AH6" i="13" s="1"/>
  <c r="AI6" i="13" s="1"/>
  <c r="AJ6" i="13" s="1"/>
  <c r="AK6" i="13" s="1"/>
  <c r="AL6" i="13" s="1"/>
  <c r="AM6" i="13" s="1"/>
  <c r="AN6" i="13" s="1"/>
  <c r="AO6" i="13" s="1"/>
  <c r="AP6" i="13" s="1"/>
  <c r="AQ6" i="13" s="1"/>
  <c r="AR6" i="13" s="1"/>
  <c r="AS6" i="13" s="1"/>
  <c r="AT6" i="13" s="1"/>
  <c r="AU6" i="13" s="1"/>
  <c r="AV6" i="13" s="1"/>
  <c r="AW6" i="13" s="1"/>
  <c r="AX6" i="13" s="1"/>
  <c r="AY6" i="13" s="1"/>
  <c r="AZ6" i="13" s="1"/>
  <c r="BA6" i="13" s="1"/>
  <c r="BB6" i="13" s="1"/>
  <c r="BC6" i="13" s="1"/>
  <c r="BD6" i="13" s="1"/>
  <c r="BE6" i="13" s="1"/>
  <c r="BF6" i="13" s="1"/>
  <c r="BG6" i="13" s="1"/>
  <c r="BH6" i="13" s="1"/>
  <c r="BI6" i="13" s="1"/>
  <c r="BJ6" i="13" s="1"/>
  <c r="BK6" i="13" s="1"/>
  <c r="BL6" i="13" s="1"/>
  <c r="BM6" i="13" s="1"/>
  <c r="BN6" i="13" s="1"/>
  <c r="BO6" i="13" s="1"/>
  <c r="BP6" i="13" s="1"/>
  <c r="BQ6" i="13" s="1"/>
  <c r="BR6" i="13" s="1"/>
  <c r="BS6" i="13" s="1"/>
  <c r="BT6" i="13" s="1"/>
  <c r="BU6" i="13" s="1"/>
  <c r="BV6" i="13" s="1"/>
  <c r="BW6" i="13" s="1"/>
  <c r="BX6" i="13" s="1"/>
  <c r="BY6" i="13" s="1"/>
  <c r="BZ6" i="13" s="1"/>
  <c r="CA6" i="13" s="1"/>
  <c r="CB6" i="13" s="1"/>
  <c r="CC6" i="13" s="1"/>
  <c r="CD6" i="13" s="1"/>
  <c r="CE6" i="13" s="1"/>
  <c r="CF6" i="13" s="1"/>
  <c r="CG6" i="13" s="1"/>
  <c r="CH6" i="13" s="1"/>
  <c r="CI6" i="13" s="1"/>
  <c r="CJ6" i="13" s="1"/>
  <c r="CK6" i="13" s="1"/>
  <c r="CL6" i="13" s="1"/>
  <c r="CM6" i="13" s="1"/>
  <c r="CN6" i="13" s="1"/>
  <c r="CO6" i="13" s="1"/>
  <c r="CP6" i="13" s="1"/>
  <c r="CQ6" i="13" s="1"/>
  <c r="CR6" i="13" s="1"/>
  <c r="CS6" i="13" s="1"/>
  <c r="CT6" i="13" s="1"/>
  <c r="CU6" i="13" s="1"/>
  <c r="CV6" i="13" s="1"/>
  <c r="CW6" i="13" s="1"/>
  <c r="CX6" i="13" s="1"/>
  <c r="CY6" i="13" s="1"/>
  <c r="CZ6" i="13" s="1"/>
  <c r="DA6" i="13" s="1"/>
  <c r="DB6" i="13" s="1"/>
  <c r="DC6" i="13" s="1"/>
  <c r="DD6" i="13" s="1"/>
  <c r="DE6" i="13" s="1"/>
  <c r="DF6" i="13" s="1"/>
  <c r="DG6" i="13" s="1"/>
  <c r="DH6" i="13" s="1"/>
  <c r="DI6" i="13" s="1"/>
  <c r="G5" i="13"/>
  <c r="H5" i="13" s="1"/>
  <c r="I5" i="13" s="1"/>
  <c r="J5" i="13" s="1"/>
  <c r="K5" i="13" s="1"/>
  <c r="L5" i="13" s="1"/>
  <c r="M5" i="13" s="1"/>
  <c r="N5" i="13" s="1"/>
  <c r="O5" i="13" s="1"/>
  <c r="P5" i="13" s="1"/>
  <c r="Q5" i="13" s="1"/>
  <c r="R5" i="13" s="1"/>
  <c r="S5" i="13" s="1"/>
  <c r="T5" i="13" s="1"/>
  <c r="U5" i="13" s="1"/>
  <c r="V5" i="13" s="1"/>
  <c r="W5" i="13" s="1"/>
  <c r="X5" i="13" s="1"/>
  <c r="Y5" i="13" s="1"/>
  <c r="Z5" i="13" s="1"/>
  <c r="AA5" i="13" s="1"/>
  <c r="AB5" i="13" s="1"/>
  <c r="AC5" i="13" s="1"/>
  <c r="AD5" i="13" s="1"/>
  <c r="AE5" i="13" s="1"/>
  <c r="AF5" i="13" s="1"/>
  <c r="AG5" i="13" s="1"/>
  <c r="AH5" i="13" s="1"/>
  <c r="AI5" i="13" s="1"/>
  <c r="AJ5" i="13" s="1"/>
  <c r="AK5" i="13" s="1"/>
  <c r="AL5" i="13" s="1"/>
  <c r="AM5" i="13" s="1"/>
  <c r="AN5" i="13" s="1"/>
  <c r="AO5" i="13" s="1"/>
  <c r="AP5" i="13" s="1"/>
  <c r="AQ5" i="13" s="1"/>
  <c r="AR5" i="13" s="1"/>
  <c r="AS5" i="13" s="1"/>
  <c r="AT5" i="13" s="1"/>
  <c r="AU5" i="13" s="1"/>
  <c r="AV5" i="13" s="1"/>
  <c r="AW5" i="13" s="1"/>
  <c r="AX5" i="13" s="1"/>
  <c r="AY5" i="13" s="1"/>
  <c r="AZ5" i="13" s="1"/>
  <c r="BA5" i="13" s="1"/>
  <c r="BB5" i="13" s="1"/>
  <c r="BC5" i="13" s="1"/>
  <c r="BD5" i="13" s="1"/>
  <c r="BE5" i="13" s="1"/>
  <c r="BF5" i="13" s="1"/>
  <c r="BG5" i="13" s="1"/>
  <c r="BH5" i="13" s="1"/>
  <c r="BI5" i="13" s="1"/>
  <c r="BJ5" i="13" s="1"/>
  <c r="BK5" i="13" s="1"/>
  <c r="BL5" i="13" s="1"/>
  <c r="BM5" i="13" s="1"/>
  <c r="BN5" i="13" s="1"/>
  <c r="BO5" i="13" s="1"/>
  <c r="BP5" i="13" s="1"/>
  <c r="BQ5" i="13" s="1"/>
  <c r="BR5" i="13" s="1"/>
  <c r="BS5" i="13" s="1"/>
  <c r="BT5" i="13" s="1"/>
  <c r="BU5" i="13" s="1"/>
  <c r="BV5" i="13" s="1"/>
  <c r="BW5" i="13" s="1"/>
  <c r="BX5" i="13" s="1"/>
  <c r="BY5" i="13" s="1"/>
  <c r="BZ5" i="13" s="1"/>
  <c r="CA5" i="13" s="1"/>
  <c r="CB5" i="13" s="1"/>
  <c r="CC5" i="13" s="1"/>
  <c r="CD5" i="13" s="1"/>
  <c r="CE5" i="13" s="1"/>
  <c r="CF5" i="13" s="1"/>
  <c r="CG5" i="13" s="1"/>
  <c r="CH5" i="13" s="1"/>
  <c r="CI5" i="13" s="1"/>
  <c r="CJ5" i="13" s="1"/>
  <c r="CK5" i="13" s="1"/>
  <c r="CL5" i="13" s="1"/>
  <c r="CM5" i="13" s="1"/>
  <c r="CN5" i="13" s="1"/>
  <c r="CO5" i="13" s="1"/>
  <c r="CP5" i="13" s="1"/>
  <c r="CQ5" i="13" s="1"/>
  <c r="CR5" i="13" s="1"/>
  <c r="CS5" i="13" s="1"/>
  <c r="CT5" i="13" s="1"/>
  <c r="CU5" i="13" s="1"/>
  <c r="CV5" i="13" s="1"/>
  <c r="CW5" i="13" s="1"/>
  <c r="CX5" i="13" s="1"/>
  <c r="CY5" i="13" s="1"/>
  <c r="CZ5" i="13" s="1"/>
  <c r="DA5" i="13" s="1"/>
  <c r="DB5" i="13" s="1"/>
  <c r="DC5" i="13" s="1"/>
  <c r="DD5" i="13" s="1"/>
  <c r="DE5" i="13" s="1"/>
  <c r="DF5" i="13" s="1"/>
  <c r="DG5" i="13" s="1"/>
  <c r="DH5" i="13" s="1"/>
  <c r="DI5" i="13" s="1"/>
  <c r="F4" i="13"/>
  <c r="G4" i="13" s="1"/>
  <c r="H4" i="13" s="1"/>
  <c r="I4" i="13" s="1"/>
  <c r="J4" i="13" s="1"/>
  <c r="K4" i="13" s="1"/>
  <c r="L4" i="13" s="1"/>
  <c r="M4" i="13" s="1"/>
  <c r="N4" i="13" s="1"/>
  <c r="O4" i="13" s="1"/>
  <c r="P4" i="13" s="1"/>
  <c r="Q4" i="13" s="1"/>
  <c r="R4" i="13" s="1"/>
  <c r="S4" i="13" s="1"/>
  <c r="T4" i="13" s="1"/>
  <c r="U4" i="13" s="1"/>
  <c r="V4" i="13" s="1"/>
  <c r="W4" i="13" s="1"/>
  <c r="X4" i="13" s="1"/>
  <c r="Y4" i="13" s="1"/>
  <c r="Z4" i="13" s="1"/>
  <c r="AA4" i="13" s="1"/>
  <c r="AB4" i="13" s="1"/>
  <c r="AC4" i="13" s="1"/>
  <c r="AD4" i="13" s="1"/>
  <c r="AE4" i="13" s="1"/>
  <c r="AF4" i="13" s="1"/>
  <c r="AG4" i="13" s="1"/>
  <c r="AH4" i="13" s="1"/>
  <c r="AI4" i="13" s="1"/>
  <c r="AJ4" i="13" s="1"/>
  <c r="AK4" i="13" s="1"/>
  <c r="AL4" i="13" s="1"/>
  <c r="AM4" i="13" s="1"/>
  <c r="AN4" i="13" s="1"/>
  <c r="AO4" i="13" s="1"/>
  <c r="AP4" i="13" s="1"/>
  <c r="AQ4" i="13" s="1"/>
  <c r="AR4" i="13" s="1"/>
  <c r="AS4" i="13" s="1"/>
  <c r="AT4" i="13" s="1"/>
  <c r="AU4" i="13" s="1"/>
  <c r="AV4" i="13" s="1"/>
  <c r="AW4" i="13" s="1"/>
  <c r="AX4" i="13" s="1"/>
  <c r="AY4" i="13" s="1"/>
  <c r="AZ4" i="13" s="1"/>
  <c r="BA4" i="13" s="1"/>
  <c r="BB4" i="13" s="1"/>
  <c r="BC4" i="13" s="1"/>
  <c r="BD4" i="13" s="1"/>
  <c r="BE4" i="13" s="1"/>
  <c r="BF4" i="13" s="1"/>
  <c r="BG4" i="13" s="1"/>
  <c r="BH4" i="13" s="1"/>
  <c r="BI4" i="13" s="1"/>
  <c r="BJ4" i="13" s="1"/>
  <c r="BK4" i="13" s="1"/>
  <c r="BL4" i="13" s="1"/>
  <c r="BM4" i="13" s="1"/>
  <c r="BN4" i="13" s="1"/>
  <c r="BO4" i="13" s="1"/>
  <c r="BP4" i="13" s="1"/>
  <c r="BQ4" i="13" s="1"/>
  <c r="BR4" i="13" s="1"/>
  <c r="BS4" i="13" s="1"/>
  <c r="BT4" i="13" s="1"/>
  <c r="BU4" i="13" s="1"/>
  <c r="BV4" i="13" s="1"/>
  <c r="BW4" i="13" s="1"/>
  <c r="BX4" i="13" s="1"/>
  <c r="BY4" i="13" s="1"/>
  <c r="BZ4" i="13" s="1"/>
  <c r="CA4" i="13" s="1"/>
  <c r="CB4" i="13" s="1"/>
  <c r="CC4" i="13" s="1"/>
  <c r="CD4" i="13" s="1"/>
  <c r="CE4" i="13" s="1"/>
  <c r="CF4" i="13" s="1"/>
  <c r="CG4" i="13" s="1"/>
  <c r="CH4" i="13" s="1"/>
  <c r="CI4" i="13" s="1"/>
  <c r="CJ4" i="13" s="1"/>
  <c r="CK4" i="13" s="1"/>
  <c r="CL4" i="13" s="1"/>
  <c r="CM4" i="13" s="1"/>
  <c r="CN4" i="13" s="1"/>
  <c r="CO4" i="13" s="1"/>
  <c r="CP4" i="13" s="1"/>
  <c r="CQ4" i="13" s="1"/>
  <c r="CR4" i="13" s="1"/>
  <c r="CS4" i="13" s="1"/>
  <c r="CT4" i="13" s="1"/>
  <c r="CU4" i="13" s="1"/>
  <c r="CV4" i="13" s="1"/>
  <c r="CW4" i="13" s="1"/>
  <c r="CX4" i="13" s="1"/>
  <c r="CY4" i="13" s="1"/>
  <c r="CZ4" i="13" s="1"/>
  <c r="DA4" i="13" s="1"/>
  <c r="DB4" i="13" s="1"/>
  <c r="DC4" i="13" s="1"/>
  <c r="DD4" i="13" s="1"/>
  <c r="DE4" i="13" s="1"/>
  <c r="DF4" i="13" s="1"/>
  <c r="DG4" i="13" s="1"/>
  <c r="DH4" i="13" s="1"/>
  <c r="DI4" i="13" s="1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S132" i="4"/>
  <c r="T132" i="4"/>
  <c r="U132" i="4"/>
  <c r="V132" i="4"/>
  <c r="W132" i="4"/>
  <c r="X132" i="4"/>
  <c r="Y132" i="4"/>
  <c r="Z132" i="4"/>
  <c r="AA132" i="4"/>
  <c r="AB132" i="4"/>
  <c r="AC132" i="4"/>
  <c r="AD132" i="4"/>
  <c r="AE132" i="4"/>
  <c r="AF132" i="4"/>
  <c r="AG132" i="4"/>
  <c r="AH132" i="4"/>
  <c r="AI132" i="4"/>
  <c r="AJ132" i="4"/>
  <c r="AK132" i="4"/>
  <c r="AL132" i="4"/>
  <c r="AM132" i="4"/>
  <c r="AN132" i="4"/>
  <c r="AO132" i="4"/>
  <c r="AP132" i="4"/>
  <c r="AQ132" i="4"/>
  <c r="AR132" i="4"/>
  <c r="AS132" i="4"/>
  <c r="AT132" i="4"/>
  <c r="AU132" i="4"/>
  <c r="AV132" i="4"/>
  <c r="AW132" i="4"/>
  <c r="AX132" i="4"/>
  <c r="AY132" i="4"/>
  <c r="AZ132" i="4"/>
  <c r="BA132" i="4"/>
  <c r="BB132" i="4"/>
  <c r="BC132" i="4"/>
  <c r="BD132" i="4"/>
  <c r="BE132" i="4"/>
  <c r="BF132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CY132" i="4"/>
  <c r="CZ132" i="4"/>
  <c r="DA132" i="4"/>
  <c r="DB132" i="4"/>
  <c r="DC132" i="4"/>
  <c r="DD132" i="4"/>
  <c r="DE132" i="4"/>
  <c r="DF132" i="4"/>
  <c r="DG132" i="4"/>
  <c r="DH132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S133" i="4"/>
  <c r="T133" i="4"/>
  <c r="U133" i="4"/>
  <c r="V133" i="4"/>
  <c r="W133" i="4"/>
  <c r="X133" i="4"/>
  <c r="Y133" i="4"/>
  <c r="Z133" i="4"/>
  <c r="AA133" i="4"/>
  <c r="AB133" i="4"/>
  <c r="AC133" i="4"/>
  <c r="AD133" i="4"/>
  <c r="AE133" i="4"/>
  <c r="AF133" i="4"/>
  <c r="AG133" i="4"/>
  <c r="AH133" i="4"/>
  <c r="AI133" i="4"/>
  <c r="AJ133" i="4"/>
  <c r="AK133" i="4"/>
  <c r="AL133" i="4"/>
  <c r="AM133" i="4"/>
  <c r="AN133" i="4"/>
  <c r="AO133" i="4"/>
  <c r="AP133" i="4"/>
  <c r="AQ133" i="4"/>
  <c r="AR133" i="4"/>
  <c r="AS133" i="4"/>
  <c r="AT133" i="4"/>
  <c r="AU133" i="4"/>
  <c r="AV133" i="4"/>
  <c r="AW133" i="4"/>
  <c r="AX133" i="4"/>
  <c r="AY133" i="4"/>
  <c r="AZ133" i="4"/>
  <c r="BA133" i="4"/>
  <c r="BB133" i="4"/>
  <c r="BC133" i="4"/>
  <c r="BD133" i="4"/>
  <c r="BE133" i="4"/>
  <c r="BF133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CY133" i="4"/>
  <c r="CZ133" i="4"/>
  <c r="DA133" i="4"/>
  <c r="DB133" i="4"/>
  <c r="DC133" i="4"/>
  <c r="DD133" i="4"/>
  <c r="DE133" i="4"/>
  <c r="DF133" i="4"/>
  <c r="DG133" i="4"/>
  <c r="DH133" i="4"/>
  <c r="F134" i="4"/>
  <c r="G134" i="4"/>
  <c r="H134" i="4"/>
  <c r="I134" i="4"/>
  <c r="J134" i="4"/>
  <c r="K134" i="4"/>
  <c r="L134" i="4"/>
  <c r="M134" i="4"/>
  <c r="N134" i="4"/>
  <c r="O134" i="4"/>
  <c r="P134" i="4"/>
  <c r="Q134" i="4"/>
  <c r="R134" i="4"/>
  <c r="S134" i="4"/>
  <c r="T134" i="4"/>
  <c r="U134" i="4"/>
  <c r="V134" i="4"/>
  <c r="W134" i="4"/>
  <c r="X134" i="4"/>
  <c r="Y134" i="4"/>
  <c r="Z134" i="4"/>
  <c r="AA134" i="4"/>
  <c r="AB134" i="4"/>
  <c r="AC134" i="4"/>
  <c r="AD134" i="4"/>
  <c r="AE134" i="4"/>
  <c r="AF134" i="4"/>
  <c r="AG134" i="4"/>
  <c r="AH134" i="4"/>
  <c r="AI134" i="4"/>
  <c r="AJ134" i="4"/>
  <c r="AK134" i="4"/>
  <c r="AL134" i="4"/>
  <c r="AM134" i="4"/>
  <c r="AN134" i="4"/>
  <c r="AO134" i="4"/>
  <c r="AP134" i="4"/>
  <c r="AQ134" i="4"/>
  <c r="AR134" i="4"/>
  <c r="AS134" i="4"/>
  <c r="AT134" i="4"/>
  <c r="AU134" i="4"/>
  <c r="AV134" i="4"/>
  <c r="AW134" i="4"/>
  <c r="AX134" i="4"/>
  <c r="AY134" i="4"/>
  <c r="AZ134" i="4"/>
  <c r="BA134" i="4"/>
  <c r="BB134" i="4"/>
  <c r="BC134" i="4"/>
  <c r="BD134" i="4"/>
  <c r="BE134" i="4"/>
  <c r="BF134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CY134" i="4"/>
  <c r="CZ134" i="4"/>
  <c r="DA134" i="4"/>
  <c r="DB134" i="4"/>
  <c r="DC134" i="4"/>
  <c r="DD134" i="4"/>
  <c r="DE134" i="4"/>
  <c r="DF134" i="4"/>
  <c r="DG134" i="4"/>
  <c r="DH134" i="4"/>
  <c r="E134" i="4"/>
  <c r="E133" i="4"/>
  <c r="E132" i="4" l="1"/>
  <c r="C15" i="1" l="1"/>
  <c r="C14" i="1" l="1"/>
</calcChain>
</file>

<file path=xl/comments1.xml><?xml version="1.0" encoding="utf-8"?>
<comments xmlns="http://schemas.openxmlformats.org/spreadsheetml/2006/main">
  <authors>
    <author>Author</author>
  </authors>
  <commentList>
    <comment ref="D7" authorId="0" shapeId="0">
      <text>
        <r>
          <rPr>
            <b/>
            <sz val="9"/>
            <color indexed="10"/>
            <rFont val="Tahoma"/>
            <family val="2"/>
          </rPr>
          <t>Veillez à ne pas changer les valeurs de mois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<sst xmlns="http://schemas.openxmlformats.org/spreadsheetml/2006/main" count="573" uniqueCount="157">
  <si>
    <t>PLANNING DES OPERATIONS DE L'ARMEE DE L'AIR</t>
  </si>
  <si>
    <t>Initialisation</t>
  </si>
  <si>
    <t>Mois</t>
  </si>
  <si>
    <t>Année</t>
  </si>
  <si>
    <t>Début</t>
  </si>
  <si>
    <t>Fin</t>
  </si>
  <si>
    <t>D602</t>
  </si>
  <si>
    <t>D603</t>
  </si>
  <si>
    <t>D604</t>
  </si>
  <si>
    <t>D605</t>
  </si>
  <si>
    <t>D606</t>
  </si>
  <si>
    <t>D607</t>
  </si>
  <si>
    <t>D609</t>
  </si>
  <si>
    <t>D610</t>
  </si>
  <si>
    <t>D611</t>
  </si>
  <si>
    <t>D613</t>
  </si>
  <si>
    <t>D614</t>
  </si>
  <si>
    <t>D615</t>
  </si>
  <si>
    <t>D616</t>
  </si>
  <si>
    <t>D617</t>
  </si>
  <si>
    <t>D618</t>
  </si>
  <si>
    <t>D620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</si>
  <si>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</si>
  <si>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</si>
  <si>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</si>
  <si>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</si>
  <si>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</si>
  <si>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</si>
  <si>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</si>
  <si>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</si>
  <si>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</si>
  <si>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</si>
  <si>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</si>
  <si>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</si>
  <si>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</si>
  <si>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</si>
  <si>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</si>
  <si>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</si>
  <si>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</si>
  <si>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</si>
  <si>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</si>
  <si>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</si>
  <si>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</si>
  <si>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</si>
  <si>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</si>
  <si>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</si>
  <si>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</si>
  <si>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</si>
  <si>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</si>
  <si>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</si>
  <si>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D652</t>
  </si>
  <si>
    <t>D653</t>
  </si>
  <si>
    <t>D654</t>
  </si>
  <si>
    <t>D655</t>
  </si>
  <si>
    <t>D657</t>
  </si>
  <si>
    <t>D658</t>
  </si>
  <si>
    <t>D659</t>
  </si>
  <si>
    <t>D660</t>
  </si>
  <si>
    <t>D661</t>
  </si>
  <si>
    <t>D662</t>
  </si>
  <si>
    <t>D664</t>
  </si>
  <si>
    <t>D666</t>
  </si>
  <si>
    <t>D667</t>
  </si>
  <si>
    <t>D668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</si>
  <si>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</si>
  <si>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</si>
  <si>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</si>
  <si>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</si>
  <si>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</si>
  <si>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</si>
  <si>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</si>
  <si>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</si>
  <si>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</si>
  <si>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</si>
  <si>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</si>
  <si>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</si>
  <si>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</si>
  <si>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</si>
  <si>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D685</t>
  </si>
  <si>
    <t>D686</t>
  </si>
  <si>
    <t>B501</t>
  </si>
  <si>
    <t>B523</t>
  </si>
  <si>
    <t>B524</t>
  </si>
  <si>
    <t>B525</t>
  </si>
  <si>
    <t>B527</t>
  </si>
  <si>
    <t>B528</t>
  </si>
  <si>
    <t>B529</t>
  </si>
  <si>
    <t>B530</t>
  </si>
  <si>
    <t>C064</t>
  </si>
  <si>
    <t>C096</t>
  </si>
  <si>
    <t>C101</t>
  </si>
  <si>
    <t>C102</t>
  </si>
  <si>
    <t>C105</t>
  </si>
  <si>
    <t>C106</t>
  </si>
  <si>
    <t>C107</t>
  </si>
  <si>
    <t>C108</t>
  </si>
  <si>
    <t>C109</t>
  </si>
  <si>
    <t>C113</t>
  </si>
  <si>
    <t>C118</t>
  </si>
  <si>
    <t>C120</t>
  </si>
  <si>
    <t>C121</t>
  </si>
  <si>
    <t>C122</t>
  </si>
  <si>
    <t>C123</t>
  </si>
  <si>
    <t>C124</t>
  </si>
  <si>
    <t>5F038</t>
  </si>
  <si>
    <t>5F040</t>
  </si>
  <si>
    <t>5F041</t>
  </si>
  <si>
    <t>5F042</t>
  </si>
  <si>
    <t>5F043</t>
  </si>
  <si>
    <t>5F044</t>
  </si>
  <si>
    <t>5F045</t>
  </si>
  <si>
    <t>5F046</t>
  </si>
  <si>
    <t>5F047</t>
  </si>
  <si>
    <t>5F048</t>
  </si>
  <si>
    <t>5F049</t>
  </si>
  <si>
    <t>5F051</t>
  </si>
  <si>
    <t>5F052</t>
  </si>
  <si>
    <t>5F054</t>
  </si>
  <si>
    <t>5F055</t>
  </si>
  <si>
    <t>5F056</t>
  </si>
  <si>
    <t>5F057</t>
  </si>
  <si>
    <t>5F058</t>
  </si>
  <si>
    <t>5F059</t>
  </si>
  <si>
    <t>5F061</t>
  </si>
  <si>
    <t>5F062</t>
  </si>
  <si>
    <t>5F063</t>
  </si>
  <si>
    <t>5F065</t>
  </si>
  <si>
    <t>5F066</t>
  </si>
  <si>
    <t>5F067</t>
  </si>
  <si>
    <t>5F071</t>
  </si>
  <si>
    <t>5F074</t>
  </si>
  <si>
    <t>5F077</t>
  </si>
  <si>
    <t>5F078</t>
  </si>
  <si>
    <t>Fichiers</t>
  </si>
  <si>
    <t>Situation Init</t>
  </si>
  <si>
    <t>Solution Planning</t>
  </si>
  <si>
    <t>Choix</t>
  </si>
  <si>
    <t>Paramètres</t>
  </si>
  <si>
    <t>sitInit</t>
  </si>
  <si>
    <t>paramInit</t>
  </si>
  <si>
    <t>solution</t>
  </si>
  <si>
    <t>Vxx</t>
  </si>
  <si>
    <t>Butee</t>
  </si>
  <si>
    <t>Prevu AIA</t>
  </si>
  <si>
    <t>N°</t>
  </si>
  <si>
    <t>Pot Vxx</t>
  </si>
  <si>
    <t>Fretting</t>
  </si>
  <si>
    <t>STD</t>
  </si>
  <si>
    <t>Pot Fretting</t>
  </si>
  <si>
    <t>Pu par mois entraînement</t>
  </si>
  <si>
    <t>Maintenance max par mois</t>
  </si>
  <si>
    <t>Entree en maintenance par mois</t>
  </si>
  <si>
    <t>Parc en vol</t>
  </si>
  <si>
    <t>PT</t>
  </si>
  <si>
    <t>Potentiel</t>
  </si>
  <si>
    <t>Vlookupkey</t>
  </si>
  <si>
    <t>donnees_lecture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</si>
</sst>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6"/>
      <name val="Arial"/>
      <family val="2"/>
    </font>
    <font>
      <b/>
      <sz val="11"/>
      <name val="Arial"/>
      <family val="2"/>
    </font>
    <font>
      <sz val="9"/>
      <color indexed="81"/>
      <name val="Tahoma"/>
      <family val="2"/>
    </font>
    <font>
      <b/>
      <sz val="9"/>
      <color indexed="10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2" borderId="0" xfId="0" applyFill="1"/>
    <xf numFmtId="0" fontId="0" fillId="3" borderId="1" xfId="0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3" fillId="2" borderId="0" xfId="0" applyFont="1" applyFill="1"/>
    <xf numFmtId="0" fontId="2" fillId="2" borderId="0" xfId="0" applyFont="1" applyFill="1" applyAlignment="1"/>
    <xf numFmtId="0" fontId="5" fillId="2" borderId="1" xfId="0" applyFont="1" applyFill="1" applyBorder="1" applyAlignment="1">
      <alignment horizontal="center" vertical="center"/>
    </xf>
    <xf numFmtId="164" fontId="5" fillId="4" borderId="3" xfId="0" applyNumberFormat="1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4" fontId="5" fillId="4" borderId="4" xfId="0" applyNumberFormat="1" applyFont="1" applyFill="1" applyBorder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4" fontId="5" fillId="4" borderId="8" xfId="0" applyNumberFormat="1" applyFont="1" applyFill="1" applyBorder="1" applyAlignment="1">
      <alignment horizontal="center" vertical="center"/>
    </xf>
    <xf numFmtId="164" fontId="5" fillId="4" borderId="9" xfId="0" applyNumberFormat="1" applyFont="1" applyFill="1" applyBorder="1" applyAlignment="1">
      <alignment horizontal="center" vertical="center"/>
    </xf>
    <xf numFmtId="164" fontId="5" fillId="4" borderId="10" xfId="0" applyNumberFormat="1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0" borderId="9" xfId="0" applyFont="1" applyBorder="1" applyAlignment="1">
      <alignment horizontal="center"/>
    </xf>
    <xf numFmtId="1" fontId="0" fillId="0" borderId="3" xfId="0" applyNumberFormat="1" applyBorder="1"/>
    <xf numFmtId="1" fontId="0" fillId="0" borderId="1" xfId="0" applyNumberFormat="1" applyBorder="1"/>
    <xf numFmtId="1" fontId="0" fillId="0" borderId="4" xfId="0" applyNumberFormat="1" applyBorder="1"/>
    <xf numFmtId="0" fontId="0" fillId="0" borderId="0" xfId="0" applyBorder="1"/>
    <xf numFmtId="0" fontId="0" fillId="0" borderId="0" xfId="0" applyNumberForma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4" fillId="2" borderId="5" xfId="0" applyNumberFormat="1" applyFont="1" applyFill="1" applyBorder="1" applyAlignment="1">
      <alignment horizontal="center" vertical="center"/>
    </xf>
    <xf numFmtId="0" fontId="4" fillId="2" borderId="6" xfId="0" applyNumberFormat="1" applyFont="1" applyFill="1" applyBorder="1" applyAlignment="1">
      <alignment horizontal="center" vertical="center"/>
    </xf>
    <xf numFmtId="0" fontId="4" fillId="2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50"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-0.24994659260841701"/>
        </patternFill>
      </fill>
    </dxf>
    <dxf>
      <fill>
        <patternFill>
          <bgColor theme="7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theme="7" tint="-0.499984740745262"/>
        </patternFill>
      </fill>
    </dxf>
    <dxf>
      <font>
        <color theme="0"/>
      </font>
      <fill>
        <patternFill>
          <bgColor rgb="FF7030A0"/>
        </patternFill>
      </fill>
    </dxf>
    <dxf>
      <font>
        <color auto="1"/>
      </font>
      <fill>
        <patternFill>
          <bgColor theme="9"/>
        </patternFill>
      </fill>
    </dxf>
    <dxf>
      <fill>
        <patternFill>
          <bgColor theme="5" tint="0.7999816888943144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Nombre de Vxx et du parc en vol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'Visu totale'!$D$132</c:f>
              <c:strCache>
                <c:ptCount val="1"/>
                <c:pt idx="0">
                  <c:v>Vxx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'Visu totale'!$E$1:$DH$1</c:f>
              <c:numCache>
                <c:formatCode>General</c:formatCode>
                <c:ptCount val="108"/>
                <c:pt idx="0">
                  <c:v>2017</c:v>
                </c:pt>
                <c:pt idx="12">
                  <c:v>2018</c:v>
                </c:pt>
                <c:pt idx="24">
                  <c:v>2019</c:v>
                </c:pt>
                <c:pt idx="36">
                  <c:v>2020</c:v>
                </c:pt>
                <c:pt idx="48">
                  <c:v>2021</c:v>
                </c:pt>
                <c:pt idx="60">
                  <c:v>2022</c:v>
                </c:pt>
                <c:pt idx="72">
                  <c:v>2023</c:v>
                </c:pt>
                <c:pt idx="84">
                  <c:v>2024</c:v>
                </c:pt>
                <c:pt idx="96">
                  <c:v>2025</c:v>
                </c:pt>
              </c:numCache>
            </c:numRef>
          </c:cat>
          <c:val>
            <c:numRef>
              <c:f>'Visu totale'!$E$132:$DH$132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B9-47BD-A16D-B968A6C98D27}"/>
            </c:ext>
          </c:extLst>
        </c:ser>
        <c:ser>
          <c:idx val="1"/>
          <c:order val="1"/>
          <c:tx>
            <c:strRef>
              <c:f>'Visu totale'!$D$133</c:f>
              <c:strCache>
                <c:ptCount val="1"/>
                <c:pt idx="0">
                  <c:v>Parc en vol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'Visu totale'!$E$1:$DH$1</c:f>
              <c:numCache>
                <c:formatCode>General</c:formatCode>
                <c:ptCount val="108"/>
                <c:pt idx="0">
                  <c:v>2017</c:v>
                </c:pt>
                <c:pt idx="12">
                  <c:v>2018</c:v>
                </c:pt>
                <c:pt idx="24">
                  <c:v>2019</c:v>
                </c:pt>
                <c:pt idx="36">
                  <c:v>2020</c:v>
                </c:pt>
                <c:pt idx="48">
                  <c:v>2021</c:v>
                </c:pt>
                <c:pt idx="60">
                  <c:v>2022</c:v>
                </c:pt>
                <c:pt idx="72">
                  <c:v>2023</c:v>
                </c:pt>
                <c:pt idx="84">
                  <c:v>2024</c:v>
                </c:pt>
                <c:pt idx="96">
                  <c:v>2025</c:v>
                </c:pt>
              </c:numCache>
            </c:numRef>
          </c:cat>
          <c:val>
            <c:numRef>
              <c:f>'Visu totale'!$E$133:$DH$133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B9-47BD-A16D-B968A6C98D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957184"/>
        <c:axId val="284453696"/>
      </c:lineChart>
      <c:catAx>
        <c:axId val="44957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4453696"/>
        <c:crosses val="autoZero"/>
        <c:auto val="1"/>
        <c:lblAlgn val="ctr"/>
        <c:lblOffset val="100"/>
        <c:noMultiLvlLbl val="0"/>
      </c:catAx>
      <c:valAx>
        <c:axId val="284453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9571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Potentiel</a:t>
            </a:r>
            <a:r>
              <a:rPr lang="en-US" baseline="0"/>
              <a:t> consommé</a:t>
            </a:r>
            <a:endParaRPr lang="en-US"/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'Visu totale'!$D$134</c:f>
              <c:strCache>
                <c:ptCount val="1"/>
                <c:pt idx="0">
                  <c:v>PT</c:v>
                </c:pt>
              </c:strCache>
            </c:strRef>
          </c:tx>
          <c:spPr>
            <a:ln w="25400">
              <a:solidFill>
                <a:schemeClr val="accent6"/>
              </a:solidFill>
            </a:ln>
          </c:spPr>
          <c:marker>
            <c:symbol val="none"/>
          </c:marker>
          <c:cat>
            <c:numRef>
              <c:f>'Visu totale'!$E$1:$DH$1</c:f>
              <c:numCache>
                <c:formatCode>General</c:formatCode>
                <c:ptCount val="108"/>
                <c:pt idx="0">
                  <c:v>2017</c:v>
                </c:pt>
                <c:pt idx="12">
                  <c:v>2018</c:v>
                </c:pt>
                <c:pt idx="24">
                  <c:v>2019</c:v>
                </c:pt>
                <c:pt idx="36">
                  <c:v>2020</c:v>
                </c:pt>
                <c:pt idx="48">
                  <c:v>2021</c:v>
                </c:pt>
                <c:pt idx="60">
                  <c:v>2022</c:v>
                </c:pt>
                <c:pt idx="72">
                  <c:v>2023</c:v>
                </c:pt>
                <c:pt idx="84">
                  <c:v>2024</c:v>
                </c:pt>
                <c:pt idx="96">
                  <c:v>2025</c:v>
                </c:pt>
              </c:numCache>
            </c:numRef>
          </c:cat>
          <c:val>
            <c:numRef>
              <c:f>'Visu totale'!$E$134:$DH$134</c:f>
              <c:numCache>
                <c:formatCode>General</c:formatCode>
                <c:ptCount val="10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C8-431A-A9BB-E9EC041AA4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731392"/>
        <c:axId val="304179456"/>
      </c:lineChart>
      <c:catAx>
        <c:axId val="60731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4179456"/>
        <c:crosses val="autoZero"/>
        <c:auto val="1"/>
        <c:lblAlgn val="ctr"/>
        <c:lblOffset val="100"/>
        <c:noMultiLvlLbl val="0"/>
      </c:catAx>
      <c:valAx>
        <c:axId val="30417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7313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</xdr:row>
      <xdr:rowOff>25852</xdr:rowOff>
    </xdr:from>
    <xdr:to>
      <xdr:col>7</xdr:col>
      <xdr:colOff>1257300</xdr:colOff>
      <xdr:row>3</xdr:row>
      <xdr:rowOff>134709</xdr:rowOff>
    </xdr:to>
    <xdr:sp macro="[0]!exportSitIn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029075" y="387802"/>
          <a:ext cx="1495425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Export Situ Init</a:t>
          </a:r>
        </a:p>
      </xdr:txBody>
    </xdr:sp>
    <xdr:clientData/>
  </xdr:twoCellAnchor>
  <xdr:twoCellAnchor>
    <xdr:from>
      <xdr:col>4</xdr:col>
      <xdr:colOff>62592</xdr:colOff>
      <xdr:row>1</xdr:row>
      <xdr:rowOff>31297</xdr:rowOff>
    </xdr:from>
    <xdr:to>
      <xdr:col>6</xdr:col>
      <xdr:colOff>8164</xdr:colOff>
      <xdr:row>3</xdr:row>
      <xdr:rowOff>140154</xdr:rowOff>
    </xdr:to>
    <xdr:sp macro="[0]!InitializeParameter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00992" y="393247"/>
          <a:ext cx="1164772" cy="489857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Load Parameters</a:t>
          </a:r>
        </a:p>
      </xdr:txBody>
    </xdr:sp>
    <xdr:clientData/>
  </xdr:twoCellAnchor>
  <xdr:twoCellAnchor>
    <xdr:from>
      <xdr:col>8</xdr:col>
      <xdr:colOff>228600</xdr:colOff>
      <xdr:row>1</xdr:row>
      <xdr:rowOff>19050</xdr:rowOff>
    </xdr:from>
    <xdr:to>
      <xdr:col>8</xdr:col>
      <xdr:colOff>1533525</xdr:colOff>
      <xdr:row>3</xdr:row>
      <xdr:rowOff>123825</xdr:rowOff>
    </xdr:to>
    <xdr:sp macro="[0]!mainPyth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924550" y="381000"/>
          <a:ext cx="1304925" cy="485775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Run Python</a:t>
          </a:r>
        </a:p>
      </xdr:txBody>
    </xdr:sp>
    <xdr:clientData/>
  </xdr:twoCellAnchor>
  <xdr:twoCellAnchor>
    <xdr:from>
      <xdr:col>9</xdr:col>
      <xdr:colOff>276225</xdr:colOff>
      <xdr:row>1</xdr:row>
      <xdr:rowOff>19050</xdr:rowOff>
    </xdr:from>
    <xdr:to>
      <xdr:col>10</xdr:col>
      <xdr:colOff>1019175</xdr:colOff>
      <xdr:row>3</xdr:row>
      <xdr:rowOff>95250</xdr:rowOff>
    </xdr:to>
    <xdr:sp macro="[0]!ImportPlanning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86675" y="381000"/>
          <a:ext cx="1352550" cy="4572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Import Planning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108238</xdr:colOff>
      <xdr:row>0</xdr:row>
      <xdr:rowOff>0</xdr:rowOff>
    </xdr:from>
    <xdr:to>
      <xdr:col>2</xdr:col>
      <xdr:colOff>738238</xdr:colOff>
      <xdr:row>0</xdr:row>
      <xdr:rowOff>234000</xdr:rowOff>
    </xdr:to>
    <xdr:sp macro="[0]!Clear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47329" y="0"/>
          <a:ext cx="630000" cy="234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242457</xdr:colOff>
      <xdr:row>0</xdr:row>
      <xdr:rowOff>17317</xdr:rowOff>
    </xdr:from>
    <xdr:to>
      <xdr:col>2</xdr:col>
      <xdr:colOff>266321</xdr:colOff>
      <xdr:row>0</xdr:row>
      <xdr:rowOff>251317</xdr:rowOff>
    </xdr:to>
    <xdr:sp macro="[0]!Clear2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5412" y="17317"/>
          <a:ext cx="630000" cy="234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Clear</a:t>
          </a:r>
        </a:p>
      </xdr:txBody>
    </xdr:sp>
    <xdr:clientData/>
  </xdr:twoCellAnchor>
  <xdr:twoCellAnchor>
    <xdr:from>
      <xdr:col>2</xdr:col>
      <xdr:colOff>259775</xdr:colOff>
      <xdr:row>0</xdr:row>
      <xdr:rowOff>17319</xdr:rowOff>
    </xdr:from>
    <xdr:to>
      <xdr:col>2</xdr:col>
      <xdr:colOff>890157</xdr:colOff>
      <xdr:row>0</xdr:row>
      <xdr:rowOff>251319</xdr:rowOff>
    </xdr:to>
    <xdr:sp macro="[0]!filterColo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298866" y="17319"/>
          <a:ext cx="630382" cy="2340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100" b="1"/>
            <a:t>Filter</a:t>
          </a:r>
        </a:p>
      </xdr:txBody>
    </xdr:sp>
    <xdr:clientData/>
  </xdr:twoCellAnchor>
  <xdr:twoCellAnchor>
    <xdr:from>
      <xdr:col>5</xdr:col>
      <xdr:colOff>190509</xdr:colOff>
      <xdr:row>136</xdr:row>
      <xdr:rowOff>110068</xdr:rowOff>
    </xdr:from>
    <xdr:to>
      <xdr:col>31</xdr:col>
      <xdr:colOff>74085</xdr:colOff>
      <xdr:row>150</xdr:row>
      <xdr:rowOff>186268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201090</xdr:colOff>
      <xdr:row>152</xdr:row>
      <xdr:rowOff>88901</xdr:rowOff>
    </xdr:from>
    <xdr:to>
      <xdr:col>31</xdr:col>
      <xdr:colOff>74084</xdr:colOff>
      <xdr:row>166</xdr:row>
      <xdr:rowOff>165101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rametres_DGA_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ètres"/>
      <sheetName val="Avions (Potentiels)"/>
      <sheetName val="Avions (IF)"/>
      <sheetName val="Avions (Capacité)"/>
      <sheetName val="Missions"/>
      <sheetName val="Définition Maintenances"/>
      <sheetName val="Définition Types Avion"/>
    </sheetNames>
    <sheetDataSet>
      <sheetData sheetId="0"/>
      <sheetData sheetId="1">
        <row r="1">
          <cell r="B1" t="str">
            <v>Matricule Avion</v>
          </cell>
          <cell r="C1" t="str">
            <v>Type Avion</v>
          </cell>
          <cell r="D1" t="str">
            <v>Potentiel Calendaire</v>
          </cell>
          <cell r="E1" t="str">
            <v>Potentiel Horaire (HdV)</v>
          </cell>
        </row>
        <row r="2">
          <cell r="B2" t="str">
            <v>D602</v>
          </cell>
          <cell r="C2" t="str">
            <v>2000_D</v>
          </cell>
          <cell r="D2">
            <v>9</v>
          </cell>
          <cell r="E2" t="str">
            <v>649.00</v>
          </cell>
          <cell r="F2" t="str">
            <v>3273.00</v>
          </cell>
          <cell r="G2" t="str">
            <v>4895.41</v>
          </cell>
          <cell r="H2" t="str">
            <v>V30</v>
          </cell>
        </row>
        <row r="3">
          <cell r="B3" t="str">
            <v>D603</v>
          </cell>
          <cell r="C3" t="str">
            <v>2000_D</v>
          </cell>
          <cell r="D3">
            <v>9</v>
          </cell>
          <cell r="E3" t="str">
            <v>379.00</v>
          </cell>
          <cell r="F3" t="str">
            <v>3081.00</v>
          </cell>
          <cell r="G3" t="str">
            <v>5609.97</v>
          </cell>
          <cell r="H3" t="str">
            <v>V15</v>
          </cell>
        </row>
        <row r="4">
          <cell r="B4" t="str">
            <v>D604</v>
          </cell>
          <cell r="C4" t="str">
            <v>2000_D</v>
          </cell>
          <cell r="D4">
            <v>10</v>
          </cell>
          <cell r="E4" t="str">
            <v>548.00</v>
          </cell>
          <cell r="F4" t="str">
            <v>2484.80</v>
          </cell>
          <cell r="G4" t="str">
            <v>4275.47</v>
          </cell>
          <cell r="H4" t="str">
            <v>V10</v>
          </cell>
        </row>
        <row r="5">
          <cell r="B5" t="str">
            <v>D605</v>
          </cell>
          <cell r="C5" t="str">
            <v>2000_D</v>
          </cell>
          <cell r="D5">
            <v>23</v>
          </cell>
          <cell r="E5" t="str">
            <v>9.00</v>
          </cell>
          <cell r="F5" t="str">
            <v>3388.40</v>
          </cell>
          <cell r="G5" t="str">
            <v>5387.74</v>
          </cell>
          <cell r="H5" t="str">
            <v>V30</v>
          </cell>
        </row>
        <row r="6">
          <cell r="B6" t="str">
            <v>D606</v>
          </cell>
          <cell r="C6" t="str">
            <v>2000_D</v>
          </cell>
          <cell r="D6">
            <v>64</v>
          </cell>
          <cell r="E6" t="str">
            <v>1200.00</v>
          </cell>
          <cell r="F6" t="str">
            <v>2462.80</v>
          </cell>
          <cell r="G6" t="str">
            <v>4239.03</v>
          </cell>
          <cell r="H6" t="str">
            <v>V10</v>
          </cell>
        </row>
        <row r="7">
          <cell r="B7" t="str">
            <v>D607</v>
          </cell>
          <cell r="C7" t="str">
            <v>2000_D</v>
          </cell>
          <cell r="D7">
            <v>64</v>
          </cell>
          <cell r="E7" t="str">
            <v>929.00</v>
          </cell>
          <cell r="F7" t="str">
            <v>1054.00</v>
          </cell>
          <cell r="G7" t="str">
            <v>1423.64</v>
          </cell>
          <cell r="H7" t="str">
            <v>V5</v>
          </cell>
        </row>
        <row r="8">
          <cell r="B8" t="str">
            <v>D609</v>
          </cell>
          <cell r="C8" t="str">
            <v>2000_D</v>
          </cell>
          <cell r="D8">
            <v>21</v>
          </cell>
          <cell r="E8" t="str">
            <v>207.00</v>
          </cell>
          <cell r="F8" t="str">
            <v>2488.40</v>
          </cell>
          <cell r="G8" t="str">
            <v>4581.00</v>
          </cell>
          <cell r="H8" t="str">
            <v>V10</v>
          </cell>
        </row>
        <row r="9">
          <cell r="B9" t="str">
            <v>D610</v>
          </cell>
          <cell r="C9" t="str">
            <v>2000_D</v>
          </cell>
          <cell r="D9">
            <v>65</v>
          </cell>
          <cell r="E9" t="str">
            <v>1200.00</v>
          </cell>
          <cell r="F9" t="str">
            <v>3362.40</v>
          </cell>
          <cell r="G9" t="str">
            <v>5054.51</v>
          </cell>
          <cell r="H9" t="str">
            <v>V30</v>
          </cell>
        </row>
        <row r="10">
          <cell r="B10" t="str">
            <v>D611</v>
          </cell>
          <cell r="C10" t="str">
            <v>2000_D</v>
          </cell>
          <cell r="D10">
            <v>8</v>
          </cell>
          <cell r="E10" t="str">
            <v>271.00</v>
          </cell>
          <cell r="F10" t="str">
            <v>2710.00</v>
          </cell>
          <cell r="G10" t="str">
            <v>4135.40</v>
          </cell>
          <cell r="H10" t="str">
            <v>V10</v>
          </cell>
        </row>
        <row r="11">
          <cell r="B11" t="str">
            <v>D613</v>
          </cell>
          <cell r="C11" t="str">
            <v>2000_D</v>
          </cell>
          <cell r="D11">
            <v>4</v>
          </cell>
          <cell r="E11" t="str">
            <v>231.00</v>
          </cell>
          <cell r="F11" t="str">
            <v>2720.00</v>
          </cell>
          <cell r="G11" t="str">
            <v>4223.07</v>
          </cell>
          <cell r="H11" t="str">
            <v>V10</v>
          </cell>
        </row>
        <row r="12">
          <cell r="B12" t="str">
            <v>D614</v>
          </cell>
          <cell r="C12" t="str">
            <v>2000_D</v>
          </cell>
          <cell r="D12">
            <v>19</v>
          </cell>
          <cell r="E12" t="str">
            <v>355.00</v>
          </cell>
          <cell r="F12" t="str">
            <v>2660.00</v>
          </cell>
          <cell r="G12" t="str">
            <v>5214.09</v>
          </cell>
          <cell r="H12" t="str">
            <v>V30</v>
          </cell>
        </row>
        <row r="13">
          <cell r="B13" t="str">
            <v>D615</v>
          </cell>
          <cell r="C13" t="str">
            <v>2000_D</v>
          </cell>
          <cell r="D13">
            <v>8</v>
          </cell>
          <cell r="E13" t="str">
            <v>227.00</v>
          </cell>
          <cell r="F13" t="str">
            <v>2613.20</v>
          </cell>
          <cell r="G13" t="str">
            <v>4395.23</v>
          </cell>
          <cell r="H13" t="str">
            <v>V10</v>
          </cell>
        </row>
        <row r="14">
          <cell r="B14" t="str">
            <v>D616</v>
          </cell>
          <cell r="C14" t="str">
            <v>2000_D</v>
          </cell>
          <cell r="D14">
            <v>1</v>
          </cell>
          <cell r="E14" t="str">
            <v>16.00</v>
          </cell>
          <cell r="F14" t="str">
            <v>2560.00</v>
          </cell>
          <cell r="G14" t="str">
            <v>4433.75</v>
          </cell>
          <cell r="H14" t="str">
            <v>V25</v>
          </cell>
        </row>
        <row r="15">
          <cell r="B15" t="str">
            <v>D617</v>
          </cell>
          <cell r="C15" t="str">
            <v>2000_D</v>
          </cell>
          <cell r="D15">
            <v>22</v>
          </cell>
          <cell r="E15" t="str">
            <v>433.00</v>
          </cell>
          <cell r="F15" t="str">
            <v>2565.40</v>
          </cell>
          <cell r="G15" t="str">
            <v>4955.02</v>
          </cell>
          <cell r="H15" t="str">
            <v>V15</v>
          </cell>
        </row>
        <row r="16">
          <cell r="B16" t="str">
            <v>D618</v>
          </cell>
          <cell r="C16" t="str">
            <v>2000_D</v>
          </cell>
          <cell r="D16">
            <v>5</v>
          </cell>
          <cell r="E16" t="str">
            <v>213.00</v>
          </cell>
          <cell r="F16" t="str">
            <v>2925.80</v>
          </cell>
          <cell r="G16" t="str">
            <v>5398.25</v>
          </cell>
          <cell r="H16" t="str">
            <v>V5</v>
          </cell>
        </row>
        <row r="17">
          <cell r="B17" t="str">
            <v>D620</v>
          </cell>
          <cell r="C17" t="str">
            <v>2000_D</v>
          </cell>
          <cell r="D17">
            <v>8</v>
          </cell>
          <cell r="E17" t="str">
            <v>410.00</v>
          </cell>
          <cell r="F17" t="str">
            <v>2838.00</v>
          </cell>
          <cell r="G17" t="str">
            <v>4350.26</v>
          </cell>
          <cell r="H17" t="str">
            <v>V10</v>
          </cell>
        </row>
        <row r="18">
          <cell r="B18" t="str">
            <v>D622</v>
          </cell>
          <cell r="C18" t="str">
            <v>2000_D</v>
          </cell>
          <cell r="D18">
            <v>45</v>
          </cell>
          <cell r="E18" t="str">
            <v>922.00</v>
          </cell>
          <cell r="F18" t="str">
            <v>2237.00</v>
          </cell>
          <cell r="G18" t="str">
            <v>3371.13</v>
          </cell>
          <cell r="H18" t="str">
            <v>V10</v>
          </cell>
        </row>
        <row r="19">
          <cell r="B19" t="str">
            <v>D623</v>
          </cell>
          <cell r="C19" t="str">
            <v>2000_D</v>
          </cell>
          <cell r="D19">
            <v>8</v>
          </cell>
          <cell r="E19" t="str">
            <v>497.00</v>
          </cell>
          <cell r="F19" t="str">
            <v>2979.00</v>
          </cell>
          <cell r="G19" t="str">
            <v>4411.86</v>
          </cell>
          <cell r="H19" t="str">
            <v>V10</v>
          </cell>
        </row>
        <row r="20">
          <cell r="B20" t="str">
            <v>D624</v>
          </cell>
          <cell r="C20" t="str">
            <v>2000_D</v>
          </cell>
          <cell r="D20">
            <v>12</v>
          </cell>
          <cell r="E20" t="str">
            <v>210.00</v>
          </cell>
          <cell r="F20" t="str">
            <v>3194.40</v>
          </cell>
          <cell r="G20" t="str">
            <v>4649.67</v>
          </cell>
          <cell r="H20" t="str">
            <v>V10</v>
          </cell>
        </row>
        <row r="21">
          <cell r="B21" t="str">
            <v>D625</v>
          </cell>
          <cell r="C21" t="str">
            <v>2000_D</v>
          </cell>
          <cell r="D21">
            <v>29</v>
          </cell>
          <cell r="E21" t="str">
            <v>242.00</v>
          </cell>
          <cell r="F21" t="str">
            <v>2585.40</v>
          </cell>
          <cell r="G21" t="str">
            <v>4248.57</v>
          </cell>
          <cell r="H21" t="str">
            <v>V10</v>
          </cell>
        </row>
        <row r="22">
          <cell r="B22" t="str">
            <v>D626</v>
          </cell>
          <cell r="C22" t="str">
            <v>2000_D</v>
          </cell>
          <cell r="D22">
            <v>15</v>
          </cell>
          <cell r="E22" t="str">
            <v>456.00</v>
          </cell>
          <cell r="F22" t="str">
            <v>2466.00</v>
          </cell>
          <cell r="G22" t="str">
            <v>4208.70</v>
          </cell>
          <cell r="H22" t="str">
            <v>V10</v>
          </cell>
        </row>
        <row r="23">
          <cell r="B23" t="str">
            <v>D627</v>
          </cell>
          <cell r="C23" t="str">
            <v>2000_D</v>
          </cell>
          <cell r="D23">
            <v>38</v>
          </cell>
          <cell r="E23" t="str">
            <v>913.00</v>
          </cell>
          <cell r="F23" t="str">
            <v>2605.00</v>
          </cell>
          <cell r="G23" t="str">
            <v>3765.16</v>
          </cell>
          <cell r="H23" t="str">
            <v>V10</v>
          </cell>
        </row>
        <row r="24">
          <cell r="B24" t="str">
            <v>D628</v>
          </cell>
          <cell r="C24" t="str">
            <v>2000_D</v>
          </cell>
          <cell r="D24">
            <v>11</v>
          </cell>
          <cell r="E24" t="str">
            <v>296.00</v>
          </cell>
          <cell r="F24" t="str">
            <v>3016.40</v>
          </cell>
          <cell r="G24" t="str">
            <v>4394.25</v>
          </cell>
          <cell r="H24" t="str">
            <v>V10</v>
          </cell>
        </row>
        <row r="25">
          <cell r="B25" t="str">
            <v>D629</v>
          </cell>
          <cell r="C25" t="str">
            <v>2000_D</v>
          </cell>
          <cell r="D25">
            <v>31</v>
          </cell>
          <cell r="E25" t="str">
            <v>371.00</v>
          </cell>
          <cell r="F25" t="str">
            <v>2421.60</v>
          </cell>
          <cell r="G25" t="str">
            <v>4431.58</v>
          </cell>
          <cell r="H25" t="str">
            <v>V10</v>
          </cell>
        </row>
        <row r="26">
          <cell r="B26" t="str">
            <v>D630</v>
          </cell>
          <cell r="C26" t="str">
            <v>2000_D</v>
          </cell>
          <cell r="D26">
            <v>13</v>
          </cell>
          <cell r="E26" t="str">
            <v>358.00</v>
          </cell>
          <cell r="F26" t="str">
            <v>2757.00</v>
          </cell>
          <cell r="G26" t="str">
            <v>4383.69</v>
          </cell>
          <cell r="H26" t="str">
            <v>V10</v>
          </cell>
        </row>
        <row r="27">
          <cell r="B27" t="str">
            <v>D631</v>
          </cell>
          <cell r="C27" t="str">
            <v>2000_D</v>
          </cell>
          <cell r="D27">
            <v>21</v>
          </cell>
          <cell r="E27" t="str">
            <v>223.00</v>
          </cell>
          <cell r="F27" t="str">
            <v>3158.80</v>
          </cell>
          <cell r="G27" t="str">
            <v>4690.44</v>
          </cell>
          <cell r="H27" t="str">
            <v>V10</v>
          </cell>
        </row>
        <row r="28">
          <cell r="B28" t="str">
            <v>D632</v>
          </cell>
          <cell r="C28" t="str">
            <v>2000_D</v>
          </cell>
          <cell r="D28">
            <v>11</v>
          </cell>
          <cell r="E28" t="str">
            <v>203.00</v>
          </cell>
          <cell r="F28" t="str">
            <v>2384.80</v>
          </cell>
          <cell r="G28" t="str">
            <v>4369.49</v>
          </cell>
          <cell r="H28" t="str">
            <v>V10</v>
          </cell>
        </row>
        <row r="29">
          <cell r="B29" t="str">
            <v>D634</v>
          </cell>
          <cell r="C29" t="str">
            <v>2000_D</v>
          </cell>
          <cell r="D29">
            <v>53</v>
          </cell>
          <cell r="E29" t="str">
            <v>1168.00</v>
          </cell>
          <cell r="F29" t="str">
            <v>2495.00</v>
          </cell>
          <cell r="G29" t="str">
            <v>3559.65</v>
          </cell>
          <cell r="H29" t="str">
            <v>V10</v>
          </cell>
        </row>
        <row r="30">
          <cell r="B30" t="str">
            <v>D635</v>
          </cell>
          <cell r="C30" t="str">
            <v>2000_D</v>
          </cell>
          <cell r="D30">
            <v>32</v>
          </cell>
          <cell r="E30" t="str">
            <v>305.00</v>
          </cell>
          <cell r="F30" t="str">
            <v>2431.80</v>
          </cell>
          <cell r="G30" t="str">
            <v>4502.40</v>
          </cell>
          <cell r="H30" t="str">
            <v>V10</v>
          </cell>
        </row>
        <row r="31">
          <cell r="B31" t="str">
            <v>D636</v>
          </cell>
          <cell r="C31" t="str">
            <v>2000_D</v>
          </cell>
          <cell r="D31">
            <v>20</v>
          </cell>
          <cell r="E31" t="str">
            <v>412.00</v>
          </cell>
          <cell r="F31" t="str">
            <v>2534.40</v>
          </cell>
          <cell r="G31" t="str">
            <v>4294.35</v>
          </cell>
          <cell r="H31" t="str">
            <v>V10</v>
          </cell>
        </row>
        <row r="32">
          <cell r="B32" t="str">
            <v>D637</v>
          </cell>
          <cell r="C32" t="str">
            <v>2000_D</v>
          </cell>
          <cell r="D32">
            <v>45</v>
          </cell>
          <cell r="E32" t="str">
            <v>737.00</v>
          </cell>
          <cell r="F32" t="str">
            <v>2691.00</v>
          </cell>
          <cell r="G32" t="str">
            <v>4105.33</v>
          </cell>
          <cell r="H32" t="str">
            <v>V10</v>
          </cell>
        </row>
        <row r="33">
          <cell r="B33" t="str">
            <v>D638</v>
          </cell>
          <cell r="C33" t="str">
            <v>2000_D</v>
          </cell>
          <cell r="D33">
            <v>42</v>
          </cell>
          <cell r="E33" t="str">
            <v>758.00</v>
          </cell>
          <cell r="F33" t="str">
            <v>2851.40</v>
          </cell>
          <cell r="G33" t="str">
            <v>4265.66</v>
          </cell>
          <cell r="H33" t="str">
            <v>V10</v>
          </cell>
        </row>
        <row r="34">
          <cell r="B34" t="str">
            <v>D639</v>
          </cell>
          <cell r="C34" t="str">
            <v>2000_D</v>
          </cell>
          <cell r="D34">
            <v>39</v>
          </cell>
          <cell r="E34" t="str">
            <v>900.00</v>
          </cell>
          <cell r="F34" t="str">
            <v>2301.20</v>
          </cell>
          <cell r="G34" t="str">
            <v>3650.07</v>
          </cell>
          <cell r="H34" t="str">
            <v>V10</v>
          </cell>
        </row>
        <row r="35">
          <cell r="B35" t="str">
            <v>D640</v>
          </cell>
          <cell r="C35" t="str">
            <v>2000_D</v>
          </cell>
          <cell r="D35">
            <v>57</v>
          </cell>
          <cell r="E35" t="str">
            <v>1199.00</v>
          </cell>
          <cell r="F35" t="str">
            <v>2257.40</v>
          </cell>
          <cell r="G35" t="str">
            <v>3546.87</v>
          </cell>
          <cell r="H35" t="str">
            <v>V10</v>
          </cell>
        </row>
        <row r="36">
          <cell r="B36" t="str">
            <v>D641</v>
          </cell>
          <cell r="C36" t="str">
            <v>2000_D</v>
          </cell>
          <cell r="D36">
            <v>54</v>
          </cell>
          <cell r="E36" t="str">
            <v>1169.00</v>
          </cell>
          <cell r="F36" t="str">
            <v>2213.80</v>
          </cell>
          <cell r="G36" t="str">
            <v>3365.71</v>
          </cell>
          <cell r="H36" t="str">
            <v>V10</v>
          </cell>
        </row>
        <row r="37">
          <cell r="B37" t="str">
            <v>D642</v>
          </cell>
          <cell r="C37" t="str">
            <v>2000_D</v>
          </cell>
          <cell r="D37">
            <v>57</v>
          </cell>
          <cell r="E37" t="str">
            <v>1200.00</v>
          </cell>
          <cell r="F37" t="str">
            <v>1881.80</v>
          </cell>
          <cell r="G37" t="str">
            <v>3144.63</v>
          </cell>
          <cell r="H37" t="str">
            <v>V10</v>
          </cell>
        </row>
        <row r="38">
          <cell r="B38" t="str">
            <v>D643</v>
          </cell>
          <cell r="C38" t="str">
            <v>2000_D</v>
          </cell>
          <cell r="D38">
            <v>48</v>
          </cell>
          <cell r="E38" t="str">
            <v>810.00</v>
          </cell>
          <cell r="F38" t="str">
            <v>2347.40</v>
          </cell>
          <cell r="G38" t="str">
            <v>3899.61</v>
          </cell>
          <cell r="H38" t="str">
            <v>V10</v>
          </cell>
        </row>
        <row r="39">
          <cell r="B39" t="str">
            <v>D644</v>
          </cell>
          <cell r="C39" t="str">
            <v>2000_D</v>
          </cell>
          <cell r="D39">
            <v>48</v>
          </cell>
          <cell r="E39" t="str">
            <v>1200.00</v>
          </cell>
          <cell r="F39" t="str">
            <v>1930.40</v>
          </cell>
          <cell r="G39" t="str">
            <v>3125.29</v>
          </cell>
          <cell r="H39" t="str">
            <v>V10</v>
          </cell>
        </row>
        <row r="40">
          <cell r="B40" t="str">
            <v>D645</v>
          </cell>
          <cell r="C40" t="str">
            <v>2000_D</v>
          </cell>
          <cell r="D40">
            <v>56</v>
          </cell>
          <cell r="E40" t="str">
            <v>1200.00</v>
          </cell>
          <cell r="F40" t="str">
            <v>2129.40</v>
          </cell>
          <cell r="G40" t="str">
            <v>3248.23</v>
          </cell>
          <cell r="H40" t="str">
            <v>V10</v>
          </cell>
        </row>
        <row r="41">
          <cell r="B41" t="str">
            <v>D646</v>
          </cell>
          <cell r="C41" t="str">
            <v>2000_D</v>
          </cell>
          <cell r="D41">
            <v>51</v>
          </cell>
          <cell r="E41" t="str">
            <v>929.00</v>
          </cell>
          <cell r="F41" t="str">
            <v>2312.20</v>
          </cell>
          <cell r="G41" t="str">
            <v>3973.00</v>
          </cell>
          <cell r="H41" t="str">
            <v>V10</v>
          </cell>
        </row>
        <row r="42">
          <cell r="B42" t="str">
            <v>D647</v>
          </cell>
          <cell r="C42" t="str">
            <v>2000_D</v>
          </cell>
          <cell r="D42">
            <v>59</v>
          </cell>
          <cell r="E42" t="str">
            <v>1200.00</v>
          </cell>
          <cell r="F42" t="str">
            <v>1945.00</v>
          </cell>
          <cell r="G42" t="str">
            <v>3661.31</v>
          </cell>
          <cell r="H42" t="str">
            <v>V20</v>
          </cell>
        </row>
        <row r="43">
          <cell r="B43" t="str">
            <v>D648</v>
          </cell>
          <cell r="C43" t="str">
            <v>2000_D</v>
          </cell>
          <cell r="D43">
            <v>43</v>
          </cell>
          <cell r="E43" t="str">
            <v>861.00</v>
          </cell>
          <cell r="F43" t="str">
            <v>2403.00</v>
          </cell>
          <cell r="G43" t="str">
            <v>3973.53</v>
          </cell>
          <cell r="H43" t="str">
            <v>V10</v>
          </cell>
        </row>
        <row r="44">
          <cell r="B44" t="str">
            <v>D649</v>
          </cell>
          <cell r="C44" t="str">
            <v>2000_D</v>
          </cell>
          <cell r="D44">
            <v>59</v>
          </cell>
          <cell r="E44" t="str">
            <v>1200.00</v>
          </cell>
          <cell r="F44" t="str">
            <v>2057.60</v>
          </cell>
          <cell r="G44" t="str">
            <v>3737.06</v>
          </cell>
          <cell r="H44" t="str">
            <v>V15</v>
          </cell>
        </row>
        <row r="45">
          <cell r="B45" t="str">
            <v>D650</v>
          </cell>
          <cell r="C45" t="str">
            <v>2000_D</v>
          </cell>
          <cell r="D45">
            <v>51</v>
          </cell>
          <cell r="E45" t="str">
            <v>1037.00</v>
          </cell>
          <cell r="F45" t="str">
            <v>2278.00</v>
          </cell>
          <cell r="G45" t="str">
            <v>3953.74</v>
          </cell>
          <cell r="H45" t="str">
            <v>V10</v>
          </cell>
        </row>
        <row r="46">
          <cell r="B46" t="str">
            <v>D652</v>
          </cell>
          <cell r="C46" t="str">
            <v>2000_D</v>
          </cell>
          <cell r="D46">
            <v>51</v>
          </cell>
          <cell r="E46" t="str">
            <v>1047.00</v>
          </cell>
          <cell r="F46" t="str">
            <v>2248.20</v>
          </cell>
          <cell r="G46" t="str">
            <v>3860.97</v>
          </cell>
          <cell r="H46" t="str">
            <v>V10</v>
          </cell>
        </row>
        <row r="47">
          <cell r="B47" t="str">
            <v>D653</v>
          </cell>
          <cell r="C47" t="str">
            <v>2000_D</v>
          </cell>
          <cell r="D47">
            <v>21</v>
          </cell>
          <cell r="E47" t="str">
            <v>241.00</v>
          </cell>
          <cell r="F47" t="str">
            <v>2165.00</v>
          </cell>
          <cell r="G47" t="str">
            <v>3394.91</v>
          </cell>
          <cell r="H47" t="str">
            <v>V15</v>
          </cell>
        </row>
        <row r="48">
          <cell r="B48" t="str">
            <v>D654</v>
          </cell>
          <cell r="C48" t="str">
            <v>2000_D</v>
          </cell>
          <cell r="D48">
            <v>14</v>
          </cell>
          <cell r="E48" t="str">
            <v>461.00</v>
          </cell>
          <cell r="F48" t="str">
            <v>2299.20</v>
          </cell>
          <cell r="G48" t="str">
            <v>4399.24</v>
          </cell>
          <cell r="H48" t="str">
            <v>V10</v>
          </cell>
        </row>
        <row r="49">
          <cell r="B49" t="str">
            <v>D655</v>
          </cell>
          <cell r="C49" t="str">
            <v>2000_D</v>
          </cell>
          <cell r="D49">
            <v>56</v>
          </cell>
          <cell r="E49" t="str">
            <v>1178.00</v>
          </cell>
          <cell r="F49" t="str">
            <v>2254.80</v>
          </cell>
          <cell r="G49" t="str">
            <v>3571.38</v>
          </cell>
          <cell r="H49" t="str">
            <v>V10</v>
          </cell>
        </row>
        <row r="50">
          <cell r="B50" t="str">
            <v>D657</v>
          </cell>
          <cell r="C50" t="str">
            <v>2000_D</v>
          </cell>
          <cell r="D50">
            <v>12</v>
          </cell>
          <cell r="E50" t="str">
            <v>142.00</v>
          </cell>
          <cell r="F50" t="str">
            <v>2265.00</v>
          </cell>
          <cell r="G50" t="str">
            <v>3848.92</v>
          </cell>
          <cell r="H50" t="str">
            <v>V15</v>
          </cell>
        </row>
        <row r="51">
          <cell r="B51" t="str">
            <v>D658</v>
          </cell>
          <cell r="C51" t="str">
            <v>2000_D</v>
          </cell>
          <cell r="D51">
            <v>65</v>
          </cell>
          <cell r="E51" t="str">
            <v>1200.00</v>
          </cell>
          <cell r="F51" t="str">
            <v>2002.40</v>
          </cell>
          <cell r="G51" t="str">
            <v>3672.93</v>
          </cell>
          <cell r="H51" t="str">
            <v>V15</v>
          </cell>
        </row>
        <row r="52">
          <cell r="B52" t="str">
            <v>D659</v>
          </cell>
          <cell r="C52" t="str">
            <v>2000_D</v>
          </cell>
          <cell r="D52">
            <v>11</v>
          </cell>
          <cell r="E52" t="str">
            <v>318.00</v>
          </cell>
          <cell r="F52" t="str">
            <v>1910.00</v>
          </cell>
          <cell r="G52" t="str">
            <v>3664.02</v>
          </cell>
          <cell r="H52" t="str">
            <v>V15</v>
          </cell>
        </row>
        <row r="53">
          <cell r="B53" t="str">
            <v>D660</v>
          </cell>
          <cell r="C53" t="str">
            <v>2000_D</v>
          </cell>
          <cell r="D53">
            <v>62</v>
          </cell>
          <cell r="E53" t="str">
            <v>1200.00</v>
          </cell>
          <cell r="F53" t="str">
            <v>2466.60</v>
          </cell>
          <cell r="G53" t="str">
            <v>4863.84</v>
          </cell>
          <cell r="H53" t="str">
            <v>V10</v>
          </cell>
        </row>
        <row r="54">
          <cell r="B54" t="str">
            <v>D661</v>
          </cell>
          <cell r="C54" t="str">
            <v>2000_D</v>
          </cell>
          <cell r="D54">
            <v>22</v>
          </cell>
          <cell r="E54" t="str">
            <v>642.00</v>
          </cell>
          <cell r="F54" t="str">
            <v>2051.40</v>
          </cell>
          <cell r="G54" t="str">
            <v>3333.43</v>
          </cell>
          <cell r="H54" t="str">
            <v>V15</v>
          </cell>
        </row>
        <row r="55">
          <cell r="B55" t="str">
            <v>D662</v>
          </cell>
          <cell r="C55" t="str">
            <v>2000_D</v>
          </cell>
          <cell r="D55">
            <v>26</v>
          </cell>
          <cell r="E55" t="str">
            <v>209.00</v>
          </cell>
          <cell r="F55" t="str">
            <v>1923.40</v>
          </cell>
          <cell r="G55" t="str">
            <v>3753.40</v>
          </cell>
          <cell r="H55" t="str">
            <v>V15</v>
          </cell>
        </row>
        <row r="56">
          <cell r="B56" t="str">
            <v>D664</v>
          </cell>
          <cell r="C56" t="str">
            <v>2000_D</v>
          </cell>
          <cell r="D56">
            <v>1</v>
          </cell>
          <cell r="E56" t="str">
            <v>291.00</v>
          </cell>
          <cell r="F56" t="str">
            <v>2015.80</v>
          </cell>
          <cell r="G56" t="str">
            <v>3621.36</v>
          </cell>
          <cell r="H56" t="str">
            <v>V15</v>
          </cell>
        </row>
        <row r="57">
          <cell r="B57" t="str">
            <v>D666</v>
          </cell>
          <cell r="C57" t="str">
            <v>2000_D</v>
          </cell>
          <cell r="D57">
            <v>11</v>
          </cell>
          <cell r="E57" t="str">
            <v>207.00</v>
          </cell>
          <cell r="F57" t="str">
            <v>1768.00</v>
          </cell>
          <cell r="G57" t="str">
            <v>3560.28</v>
          </cell>
          <cell r="H57" t="str">
            <v>V15</v>
          </cell>
        </row>
        <row r="58">
          <cell r="B58" t="str">
            <v>D667</v>
          </cell>
          <cell r="C58" t="str">
            <v>2000_D</v>
          </cell>
          <cell r="D58">
            <v>63</v>
          </cell>
          <cell r="E58" t="str">
            <v>1200.00</v>
          </cell>
          <cell r="F58" t="str">
            <v>1990.80</v>
          </cell>
          <cell r="G58" t="str">
            <v>3708.68</v>
          </cell>
          <cell r="H58" t="str">
            <v>V15</v>
          </cell>
        </row>
        <row r="59">
          <cell r="B59" t="str">
            <v>D668</v>
          </cell>
          <cell r="C59" t="str">
            <v>2000_D</v>
          </cell>
          <cell r="D59">
            <v>29</v>
          </cell>
          <cell r="E59" t="str">
            <v>725.00</v>
          </cell>
          <cell r="F59" t="str">
            <v>1710.00</v>
          </cell>
          <cell r="G59" t="str">
            <v>2829.00</v>
          </cell>
          <cell r="H59" t="str">
            <v>V15</v>
          </cell>
        </row>
        <row r="60">
          <cell r="B60" t="str">
            <v>D670</v>
          </cell>
          <cell r="C60" t="str">
            <v>2000_D</v>
          </cell>
          <cell r="D60">
            <v>27</v>
          </cell>
          <cell r="E60" t="str">
            <v>610.00</v>
          </cell>
          <cell r="F60" t="str">
            <v>1847.00</v>
          </cell>
          <cell r="G60" t="str">
            <v>3266.16</v>
          </cell>
          <cell r="H60" t="str">
            <v>V15</v>
          </cell>
        </row>
        <row r="61">
          <cell r="B61" t="str">
            <v>D671</v>
          </cell>
          <cell r="C61" t="str">
            <v>2000_D</v>
          </cell>
          <cell r="D61">
            <v>23</v>
          </cell>
          <cell r="E61" t="str">
            <v>211.00</v>
          </cell>
          <cell r="F61" t="str">
            <v>2065.20</v>
          </cell>
          <cell r="G61" t="str">
            <v>4453.62</v>
          </cell>
          <cell r="H61" t="str">
            <v>V10</v>
          </cell>
        </row>
        <row r="62">
          <cell r="B62" t="str">
            <v>D672</v>
          </cell>
          <cell r="C62" t="str">
            <v>2000_D</v>
          </cell>
          <cell r="D62">
            <v>14</v>
          </cell>
          <cell r="E62" t="str">
            <v>155.00</v>
          </cell>
          <cell r="F62" t="str">
            <v>1750.40</v>
          </cell>
          <cell r="G62" t="str">
            <v>3575.58</v>
          </cell>
          <cell r="H62" t="str">
            <v>V15</v>
          </cell>
        </row>
        <row r="63">
          <cell r="B63" t="str">
            <v>D673</v>
          </cell>
          <cell r="C63" t="str">
            <v>2000_D</v>
          </cell>
          <cell r="D63">
            <v>12</v>
          </cell>
          <cell r="E63" t="str">
            <v>965.00</v>
          </cell>
          <cell r="F63" t="str">
            <v>955.40</v>
          </cell>
          <cell r="G63" t="str">
            <v>1141.95</v>
          </cell>
          <cell r="H63" t="str">
            <v>V15</v>
          </cell>
        </row>
        <row r="64">
          <cell r="B64" t="str">
            <v>D674</v>
          </cell>
          <cell r="C64" t="str">
            <v>2000_D</v>
          </cell>
          <cell r="D64">
            <v>39</v>
          </cell>
          <cell r="E64" t="str">
            <v>1115.00</v>
          </cell>
          <cell r="F64" t="str">
            <v>1432.80</v>
          </cell>
          <cell r="G64" t="str">
            <v>2859.62</v>
          </cell>
          <cell r="H64" t="str">
            <v>V15</v>
          </cell>
        </row>
        <row r="65">
          <cell r="B65" t="str">
            <v>D675</v>
          </cell>
          <cell r="C65" t="str">
            <v>2000_D</v>
          </cell>
          <cell r="D65">
            <v>13</v>
          </cell>
          <cell r="E65" t="str">
            <v>200.00</v>
          </cell>
          <cell r="F65" t="str">
            <v>2106.40</v>
          </cell>
          <cell r="G65" t="str">
            <v>3605.73</v>
          </cell>
          <cell r="H65" t="str">
            <v>V15</v>
          </cell>
        </row>
        <row r="66">
          <cell r="B66" t="str">
            <v>D676</v>
          </cell>
          <cell r="C66" t="str">
            <v>2000_D</v>
          </cell>
          <cell r="D66">
            <v>18</v>
          </cell>
          <cell r="E66" t="str">
            <v>1023.00</v>
          </cell>
          <cell r="F66" t="str">
            <v>815.00</v>
          </cell>
          <cell r="G66" t="str">
            <v>1103.10</v>
          </cell>
          <cell r="H66" t="str">
            <v>V15</v>
          </cell>
        </row>
        <row r="67">
          <cell r="B67" t="str">
            <v>D677</v>
          </cell>
          <cell r="C67" t="str">
            <v>2000_D</v>
          </cell>
          <cell r="D67">
            <v>23</v>
          </cell>
          <cell r="E67" t="str">
            <v>274.00</v>
          </cell>
          <cell r="F67" t="str">
            <v>1876.80</v>
          </cell>
          <cell r="G67" t="str">
            <v>3712.28</v>
          </cell>
          <cell r="H67" t="str">
            <v>V15</v>
          </cell>
        </row>
        <row r="68">
          <cell r="B68" t="str">
            <v>D678</v>
          </cell>
          <cell r="C68" t="str">
            <v>2000_D</v>
          </cell>
          <cell r="D68">
            <v>10</v>
          </cell>
          <cell r="E68" t="str">
            <v>218.00</v>
          </cell>
          <cell r="F68" t="str">
            <v>1619.00</v>
          </cell>
          <cell r="G68" t="str">
            <v>2763.67</v>
          </cell>
          <cell r="H68" t="str">
            <v>V30</v>
          </cell>
        </row>
        <row r="69">
          <cell r="B69" t="str">
            <v>D679</v>
          </cell>
          <cell r="C69" t="str">
            <v>2000_D</v>
          </cell>
          <cell r="D69">
            <v>45</v>
          </cell>
          <cell r="E69" t="str">
            <v>883.00</v>
          </cell>
          <cell r="F69" t="str">
            <v>1751.20</v>
          </cell>
          <cell r="G69" t="str">
            <v>3086.92</v>
          </cell>
          <cell r="H69" t="str">
            <v>V15</v>
          </cell>
        </row>
        <row r="70">
          <cell r="B70" t="str">
            <v>D680</v>
          </cell>
          <cell r="C70" t="str">
            <v>2000_D</v>
          </cell>
          <cell r="D70">
            <v>15</v>
          </cell>
          <cell r="E70" t="str">
            <v>252.00</v>
          </cell>
          <cell r="F70" t="str">
            <v>2009.20</v>
          </cell>
          <cell r="G70" t="str">
            <v>3613.92</v>
          </cell>
          <cell r="H70" t="str">
            <v>V15</v>
          </cell>
        </row>
        <row r="71">
          <cell r="B71" t="str">
            <v>D681</v>
          </cell>
          <cell r="C71" t="str">
            <v>2000_D</v>
          </cell>
          <cell r="D71">
            <v>4</v>
          </cell>
          <cell r="E71" t="str">
            <v>212.00</v>
          </cell>
          <cell r="F71" t="str">
            <v>1710.80</v>
          </cell>
          <cell r="G71" t="str">
            <v>3509.58</v>
          </cell>
          <cell r="H71" t="str">
            <v>V15</v>
          </cell>
        </row>
        <row r="72">
          <cell r="B72" t="str">
            <v>D682</v>
          </cell>
          <cell r="C72" t="str">
            <v>2000_D</v>
          </cell>
          <cell r="D72">
            <v>19</v>
          </cell>
          <cell r="E72" t="str">
            <v>449.00</v>
          </cell>
          <cell r="F72" t="str">
            <v>2157.20</v>
          </cell>
          <cell r="G72" t="str">
            <v>3517.58</v>
          </cell>
          <cell r="H72" t="str">
            <v>V15</v>
          </cell>
        </row>
        <row r="73">
          <cell r="B73" t="str">
            <v>D683</v>
          </cell>
          <cell r="C73" t="str">
            <v>2000_D</v>
          </cell>
          <cell r="D73">
            <v>5</v>
          </cell>
          <cell r="E73" t="str">
            <v>512.00</v>
          </cell>
          <cell r="F73" t="str">
            <v>1724.00</v>
          </cell>
          <cell r="G73" t="str">
            <v>3461.40</v>
          </cell>
          <cell r="H73" t="str">
            <v>V15</v>
          </cell>
        </row>
        <row r="74">
          <cell r="B74" t="str">
            <v>D685</v>
          </cell>
          <cell r="C74" t="str">
            <v>2000_D</v>
          </cell>
          <cell r="D74">
            <v>59</v>
          </cell>
          <cell r="E74" t="str">
            <v>1200.00</v>
          </cell>
          <cell r="F74" t="str">
            <v>1783.20</v>
          </cell>
          <cell r="G74" t="str">
            <v>2929.12</v>
          </cell>
          <cell r="H74" t="str">
            <v>V30</v>
          </cell>
        </row>
        <row r="75">
          <cell r="B75" t="str">
            <v>D686</v>
          </cell>
          <cell r="C75" t="str">
            <v>2000_D</v>
          </cell>
          <cell r="D75">
            <v>64</v>
          </cell>
          <cell r="E75" t="str">
            <v>1200.00</v>
          </cell>
          <cell r="F75" t="str">
            <v>1582.80</v>
          </cell>
          <cell r="G75" t="str">
            <v>2838.00</v>
          </cell>
          <cell r="H75" t="str">
            <v>V30</v>
          </cell>
        </row>
        <row r="76">
          <cell r="B76" t="str">
            <v>B501</v>
          </cell>
          <cell r="C76" t="str">
            <v>2000_B</v>
          </cell>
          <cell r="D76">
            <v>29</v>
          </cell>
          <cell r="E76" t="str">
            <v>773.00</v>
          </cell>
          <cell r="F76" t="str">
            <v>2206.60</v>
          </cell>
          <cell r="G76" t="str">
            <v>2745.20</v>
          </cell>
          <cell r="H76" t="str">
            <v>V10</v>
          </cell>
        </row>
        <row r="77">
          <cell r="B77" t="str">
            <v>B523</v>
          </cell>
          <cell r="C77" t="str">
            <v>2000_B</v>
          </cell>
          <cell r="D77">
            <v>50</v>
          </cell>
          <cell r="E77" t="str">
            <v>891.00</v>
          </cell>
          <cell r="F77" t="str">
            <v>5727.40</v>
          </cell>
          <cell r="G77" t="str">
            <v>5229.82</v>
          </cell>
          <cell r="H77" t="str">
            <v>V15</v>
          </cell>
        </row>
        <row r="78">
          <cell r="B78" t="str">
            <v>B524</v>
          </cell>
          <cell r="C78" t="str">
            <v>2000_B</v>
          </cell>
          <cell r="D78">
            <v>18</v>
          </cell>
          <cell r="E78" t="str">
            <v>358.00</v>
          </cell>
          <cell r="F78" t="str">
            <v>4919.40</v>
          </cell>
          <cell r="G78" t="str">
            <v>4450.54</v>
          </cell>
          <cell r="H78" t="str">
            <v>V30</v>
          </cell>
        </row>
        <row r="79">
          <cell r="B79" t="str">
            <v>B525</v>
          </cell>
          <cell r="C79" t="str">
            <v>2000_B</v>
          </cell>
          <cell r="D79">
            <v>5</v>
          </cell>
          <cell r="E79" t="str">
            <v>185.00</v>
          </cell>
          <cell r="F79" t="str">
            <v>4311.60</v>
          </cell>
          <cell r="G79" t="str">
            <v>4365.66</v>
          </cell>
          <cell r="H79" t="str">
            <v>V10</v>
          </cell>
        </row>
        <row r="80">
          <cell r="B80" t="str">
            <v>B527</v>
          </cell>
          <cell r="C80" t="str">
            <v>2000_B</v>
          </cell>
          <cell r="D80">
            <v>29</v>
          </cell>
          <cell r="E80" t="str">
            <v>255.00</v>
          </cell>
          <cell r="F80" t="str">
            <v>4871.00</v>
          </cell>
          <cell r="G80" t="str">
            <v>4290.76</v>
          </cell>
          <cell r="H80" t="str">
            <v>V10</v>
          </cell>
        </row>
        <row r="81">
          <cell r="B81" t="str">
            <v>B528</v>
          </cell>
          <cell r="C81" t="str">
            <v>2000_B</v>
          </cell>
          <cell r="D81">
            <v>34</v>
          </cell>
          <cell r="E81" t="str">
            <v>462.00</v>
          </cell>
          <cell r="F81" t="str">
            <v>4348.40</v>
          </cell>
          <cell r="G81" t="str">
            <v>4089.92</v>
          </cell>
          <cell r="H81" t="str">
            <v>V10</v>
          </cell>
        </row>
        <row r="82">
          <cell r="B82" t="str">
            <v>B529</v>
          </cell>
          <cell r="C82" t="str">
            <v>2000_B</v>
          </cell>
          <cell r="D82">
            <v>34</v>
          </cell>
          <cell r="E82" t="str">
            <v>337.00</v>
          </cell>
          <cell r="F82" t="str">
            <v>4881.20</v>
          </cell>
          <cell r="G82" t="str">
            <v>4371.06</v>
          </cell>
          <cell r="H82" t="str">
            <v>V10</v>
          </cell>
        </row>
        <row r="83">
          <cell r="B83" t="str">
            <v>B530</v>
          </cell>
          <cell r="C83" t="str">
            <v>2000_B</v>
          </cell>
          <cell r="D83">
            <v>45</v>
          </cell>
          <cell r="E83" t="str">
            <v>644.00</v>
          </cell>
          <cell r="F83" t="str">
            <v>4436.20</v>
          </cell>
          <cell r="G83" t="str">
            <v>3901.99</v>
          </cell>
          <cell r="H83" t="str">
            <v>V5</v>
          </cell>
        </row>
        <row r="84">
          <cell r="B84" t="str">
            <v>C064</v>
          </cell>
          <cell r="C84" t="str">
            <v>2000_C</v>
          </cell>
          <cell r="D84">
            <v>16</v>
          </cell>
          <cell r="E84" t="str">
            <v>844.00</v>
          </cell>
          <cell r="F84" t="str">
            <v>2353.00</v>
          </cell>
          <cell r="G84" t="str">
            <v>2640.70</v>
          </cell>
          <cell r="H84" t="str">
            <v>V30</v>
          </cell>
        </row>
        <row r="85">
          <cell r="B85" t="str">
            <v>C096</v>
          </cell>
          <cell r="C85" t="str">
            <v>2000_C</v>
          </cell>
          <cell r="D85">
            <v>8</v>
          </cell>
          <cell r="E85" t="str">
            <v>167.00</v>
          </cell>
          <cell r="F85" t="str">
            <v>4316.20</v>
          </cell>
          <cell r="G85" t="str">
            <v>5011.27</v>
          </cell>
          <cell r="H85" t="str">
            <v>V30</v>
          </cell>
        </row>
        <row r="86">
          <cell r="B86" t="str">
            <v>C101</v>
          </cell>
          <cell r="C86" t="str">
            <v>2000_C</v>
          </cell>
          <cell r="D86">
            <v>9</v>
          </cell>
          <cell r="E86" t="str">
            <v>72.00</v>
          </cell>
          <cell r="F86" t="str">
            <v>4177.80</v>
          </cell>
          <cell r="G86" t="str">
            <v>5148.13</v>
          </cell>
          <cell r="H86" t="str">
            <v>V15</v>
          </cell>
        </row>
        <row r="87">
          <cell r="B87" t="str">
            <v>C102</v>
          </cell>
          <cell r="C87" t="str">
            <v>2000_C</v>
          </cell>
          <cell r="D87">
            <v>59</v>
          </cell>
          <cell r="E87" t="str">
            <v>1000.00</v>
          </cell>
          <cell r="F87" t="str">
            <v>3822.80</v>
          </cell>
          <cell r="G87" t="str">
            <v>5164.47</v>
          </cell>
          <cell r="H87" t="str">
            <v>V15</v>
          </cell>
        </row>
        <row r="88">
          <cell r="B88" t="str">
            <v>C105</v>
          </cell>
          <cell r="C88" t="str">
            <v>2000_C</v>
          </cell>
          <cell r="D88">
            <v>42</v>
          </cell>
          <cell r="E88" t="str">
            <v>661.00</v>
          </cell>
          <cell r="F88" t="str">
            <v>4229.60</v>
          </cell>
          <cell r="G88" t="str">
            <v>5544.28</v>
          </cell>
          <cell r="H88" t="str">
            <v>V30</v>
          </cell>
        </row>
        <row r="89">
          <cell r="B89" t="str">
            <v>C106</v>
          </cell>
          <cell r="C89" t="str">
            <v>2000_C</v>
          </cell>
          <cell r="D89">
            <v>6</v>
          </cell>
          <cell r="E89" t="str">
            <v>116.00</v>
          </cell>
          <cell r="F89" t="str">
            <v>4141.20</v>
          </cell>
          <cell r="G89" t="str">
            <v>5105.51</v>
          </cell>
          <cell r="H89" t="str">
            <v>V15</v>
          </cell>
        </row>
        <row r="90">
          <cell r="B90" t="str">
            <v>C107</v>
          </cell>
          <cell r="C90" t="str">
            <v>2000_C</v>
          </cell>
          <cell r="D90">
            <v>60</v>
          </cell>
          <cell r="E90" t="str">
            <v>1000.00</v>
          </cell>
          <cell r="F90" t="str">
            <v>4034.40</v>
          </cell>
          <cell r="G90" t="str">
            <v>5190.58</v>
          </cell>
          <cell r="H90" t="str">
            <v>V15</v>
          </cell>
        </row>
        <row r="91">
          <cell r="B91" t="str">
            <v>C108</v>
          </cell>
          <cell r="C91" t="str">
            <v>2000_C</v>
          </cell>
          <cell r="D91">
            <v>64</v>
          </cell>
          <cell r="E91" t="str">
            <v>1000.00</v>
          </cell>
          <cell r="F91" t="str">
            <v>4322.40</v>
          </cell>
          <cell r="G91" t="str">
            <v>5110.38</v>
          </cell>
          <cell r="H91" t="str">
            <v>V15</v>
          </cell>
        </row>
        <row r="92">
          <cell r="B92" t="str">
            <v>C109</v>
          </cell>
          <cell r="C92" t="str">
            <v>2000_C</v>
          </cell>
          <cell r="D92">
            <v>65</v>
          </cell>
          <cell r="E92" t="str">
            <v>0.00</v>
          </cell>
          <cell r="F92" t="str">
            <v>4092.00</v>
          </cell>
          <cell r="G92" t="str">
            <v>5006.97</v>
          </cell>
          <cell r="H92" t="str">
            <v>V15</v>
          </cell>
        </row>
        <row r="93">
          <cell r="B93" t="str">
            <v>C113</v>
          </cell>
          <cell r="C93" t="str">
            <v>2000_C</v>
          </cell>
          <cell r="D93">
            <v>60</v>
          </cell>
          <cell r="E93" t="str">
            <v>1000.00</v>
          </cell>
          <cell r="F93" t="str">
            <v>4344.80</v>
          </cell>
          <cell r="G93" t="str">
            <v>5260.41</v>
          </cell>
          <cell r="H93" t="str">
            <v>V30</v>
          </cell>
        </row>
        <row r="94">
          <cell r="B94" t="str">
            <v>C118</v>
          </cell>
          <cell r="C94" t="str">
            <v>2000_C</v>
          </cell>
          <cell r="D94">
            <v>41</v>
          </cell>
          <cell r="E94" t="str">
            <v>697.00</v>
          </cell>
          <cell r="F94" t="str">
            <v>3629.80</v>
          </cell>
          <cell r="G94" t="str">
            <v>4608.41</v>
          </cell>
          <cell r="H94" t="str">
            <v>V10</v>
          </cell>
        </row>
        <row r="95">
          <cell r="B95" t="str">
            <v>C120</v>
          </cell>
          <cell r="C95" t="str">
            <v>2000_C</v>
          </cell>
          <cell r="D95">
            <v>2</v>
          </cell>
          <cell r="E95" t="str">
            <v>85.00</v>
          </cell>
          <cell r="F95" t="str">
            <v>4247.00</v>
          </cell>
          <cell r="G95" t="str">
            <v>5333.92</v>
          </cell>
          <cell r="H95" t="str">
            <v>V15</v>
          </cell>
        </row>
        <row r="96">
          <cell r="B96" t="str">
            <v>C121</v>
          </cell>
          <cell r="C96" t="str">
            <v>2000_C</v>
          </cell>
          <cell r="D96">
            <v>59</v>
          </cell>
          <cell r="E96" t="str">
            <v>1000.00</v>
          </cell>
          <cell r="F96" t="str">
            <v>4345.00</v>
          </cell>
          <cell r="G96" t="str">
            <v>5249.25</v>
          </cell>
          <cell r="H96" t="str">
            <v>V10</v>
          </cell>
        </row>
        <row r="97">
          <cell r="B97" t="str">
            <v>C122</v>
          </cell>
          <cell r="C97" t="str">
            <v>2000_C</v>
          </cell>
          <cell r="D97">
            <v>11</v>
          </cell>
          <cell r="E97" t="str">
            <v>114.00</v>
          </cell>
          <cell r="F97" t="str">
            <v>3713.40</v>
          </cell>
          <cell r="G97" t="str">
            <v>4567.80</v>
          </cell>
          <cell r="H97" t="str">
            <v>V10</v>
          </cell>
        </row>
        <row r="98">
          <cell r="B98" t="str">
            <v>C123</v>
          </cell>
          <cell r="C98" t="str">
            <v>2000_C</v>
          </cell>
          <cell r="D98">
            <v>35</v>
          </cell>
          <cell r="E98" t="str">
            <v>451.00</v>
          </cell>
          <cell r="F98" t="str">
            <v>3492.20</v>
          </cell>
          <cell r="G98" t="str">
            <v>4392.29</v>
          </cell>
          <cell r="H98" t="str">
            <v>V10</v>
          </cell>
        </row>
        <row r="99">
          <cell r="B99" t="str">
            <v>C124</v>
          </cell>
          <cell r="C99" t="str">
            <v>2000_C</v>
          </cell>
          <cell r="D99">
            <v>36</v>
          </cell>
          <cell r="E99" t="str">
            <v>429.00</v>
          </cell>
          <cell r="F99" t="str">
            <v>3412.00</v>
          </cell>
          <cell r="G99" t="str">
            <v>4309.83</v>
          </cell>
          <cell r="H99" t="str">
            <v>V10</v>
          </cell>
        </row>
        <row r="100">
          <cell r="B100" t="str">
            <v>5F038</v>
          </cell>
          <cell r="C100" t="str">
            <v>2000_5</v>
          </cell>
          <cell r="D100">
            <v>26</v>
          </cell>
          <cell r="E100" t="str">
            <v>905.00</v>
          </cell>
          <cell r="F100" t="str">
            <v>4234.00</v>
          </cell>
          <cell r="G100" t="str">
            <v>5549.49</v>
          </cell>
          <cell r="H100" t="str">
            <v>V10</v>
          </cell>
        </row>
        <row r="101">
          <cell r="B101" t="str">
            <v>5F040</v>
          </cell>
          <cell r="C101" t="str">
            <v>2000_5</v>
          </cell>
          <cell r="D101">
            <v>36</v>
          </cell>
          <cell r="E101" t="str">
            <v>833.00</v>
          </cell>
          <cell r="F101" t="str">
            <v>4301.40</v>
          </cell>
          <cell r="G101" t="str">
            <v>5805.61</v>
          </cell>
          <cell r="H101" t="str">
            <v>V20</v>
          </cell>
        </row>
        <row r="102">
          <cell r="B102" t="str">
            <v>5F041</v>
          </cell>
          <cell r="C102" t="str">
            <v>2000_5</v>
          </cell>
          <cell r="D102">
            <v>58</v>
          </cell>
          <cell r="E102" t="str">
            <v>1200.00</v>
          </cell>
          <cell r="F102" t="str">
            <v>4714.60</v>
          </cell>
          <cell r="G102" t="str">
            <v>5986.65</v>
          </cell>
          <cell r="H102" t="str">
            <v>V15</v>
          </cell>
        </row>
        <row r="103">
          <cell r="B103" t="str">
            <v>5F042</v>
          </cell>
          <cell r="C103" t="str">
            <v>2000_5</v>
          </cell>
          <cell r="D103">
            <v>14</v>
          </cell>
          <cell r="E103" t="str">
            <v>277.00</v>
          </cell>
          <cell r="F103" t="str">
            <v>4196.80</v>
          </cell>
          <cell r="G103" t="str">
            <v>5532.87</v>
          </cell>
          <cell r="H103" t="str">
            <v>V15</v>
          </cell>
        </row>
        <row r="104">
          <cell r="B104" t="str">
            <v>5F043</v>
          </cell>
          <cell r="C104" t="str">
            <v>2000_5</v>
          </cell>
          <cell r="D104">
            <v>23</v>
          </cell>
          <cell r="E104" t="str">
            <v>532.00</v>
          </cell>
          <cell r="F104" t="str">
            <v>4040.40</v>
          </cell>
          <cell r="G104" t="str">
            <v>5244.74</v>
          </cell>
          <cell r="H104" t="str">
            <v>V15</v>
          </cell>
        </row>
        <row r="105">
          <cell r="B105" t="str">
            <v>5F044</v>
          </cell>
          <cell r="C105" t="str">
            <v>2000_5</v>
          </cell>
          <cell r="D105">
            <v>13</v>
          </cell>
          <cell r="E105" t="str">
            <v>473.00</v>
          </cell>
          <cell r="F105" t="str">
            <v>4275.00</v>
          </cell>
          <cell r="G105" t="str">
            <v>5366.41</v>
          </cell>
          <cell r="H105" t="str">
            <v>V20</v>
          </cell>
        </row>
        <row r="106">
          <cell r="B106" t="str">
            <v>5F045</v>
          </cell>
          <cell r="C106" t="str">
            <v>2000_5</v>
          </cell>
          <cell r="D106">
            <v>63</v>
          </cell>
          <cell r="E106" t="str">
            <v>1200.00</v>
          </cell>
          <cell r="F106" t="str">
            <v>4693.40</v>
          </cell>
          <cell r="G106" t="str">
            <v>5979.59</v>
          </cell>
          <cell r="H106" t="str">
            <v>V10</v>
          </cell>
        </row>
        <row r="107">
          <cell r="B107" t="str">
            <v>5F046</v>
          </cell>
          <cell r="C107" t="str">
            <v>2000_5</v>
          </cell>
          <cell r="D107">
            <v>35</v>
          </cell>
          <cell r="E107" t="str">
            <v>723.00</v>
          </cell>
          <cell r="F107" t="str">
            <v>4920.00</v>
          </cell>
          <cell r="G107" t="str">
            <v>6272.75</v>
          </cell>
          <cell r="H107" t="str">
            <v>V20</v>
          </cell>
        </row>
        <row r="108">
          <cell r="B108" t="str">
            <v>5F047</v>
          </cell>
          <cell r="C108" t="str">
            <v>2000_5</v>
          </cell>
          <cell r="D108">
            <v>42</v>
          </cell>
          <cell r="E108" t="str">
            <v>1055.00</v>
          </cell>
          <cell r="F108" t="str">
            <v>4560.40</v>
          </cell>
          <cell r="G108" t="str">
            <v>5752.95</v>
          </cell>
          <cell r="H108" t="str">
            <v>V15</v>
          </cell>
        </row>
        <row r="109">
          <cell r="B109" t="str">
            <v>5F048</v>
          </cell>
          <cell r="C109" t="str">
            <v>2000_5</v>
          </cell>
          <cell r="D109">
            <v>31</v>
          </cell>
          <cell r="E109" t="str">
            <v>460.00</v>
          </cell>
          <cell r="F109" t="str">
            <v>4393.80</v>
          </cell>
          <cell r="G109" t="str">
            <v>5571.77</v>
          </cell>
          <cell r="H109" t="str">
            <v>V10</v>
          </cell>
        </row>
        <row r="110">
          <cell r="B110" t="str">
            <v>5F049</v>
          </cell>
          <cell r="C110" t="str">
            <v>2000_5</v>
          </cell>
          <cell r="D110">
            <v>33</v>
          </cell>
          <cell r="E110" t="str">
            <v>687.00</v>
          </cell>
          <cell r="F110" t="str">
            <v>5037.00</v>
          </cell>
          <cell r="G110" t="str">
            <v>6562.71</v>
          </cell>
          <cell r="H110" t="str">
            <v>V20</v>
          </cell>
        </row>
        <row r="111">
          <cell r="B111" t="str">
            <v>5F051</v>
          </cell>
          <cell r="C111" t="str">
            <v>2000_5</v>
          </cell>
          <cell r="D111">
            <v>66</v>
          </cell>
          <cell r="E111" t="str">
            <v>1200.00</v>
          </cell>
          <cell r="F111" t="str">
            <v>3044.00</v>
          </cell>
          <cell r="G111" t="str">
            <v>3953.03</v>
          </cell>
          <cell r="H111" t="str">
            <v>V10</v>
          </cell>
        </row>
        <row r="112">
          <cell r="B112" t="str">
            <v>5F052</v>
          </cell>
          <cell r="C112" t="str">
            <v>2000_5</v>
          </cell>
          <cell r="D112">
            <v>34</v>
          </cell>
          <cell r="E112" t="str">
            <v>671.00</v>
          </cell>
          <cell r="F112" t="str">
            <v>5256.60</v>
          </cell>
          <cell r="G112" t="str">
            <v>6645.18</v>
          </cell>
          <cell r="H112" t="str">
            <v>V15</v>
          </cell>
        </row>
        <row r="113">
          <cell r="B113" t="str">
            <v>5F054</v>
          </cell>
          <cell r="C113" t="str">
            <v>2000_5</v>
          </cell>
          <cell r="D113">
            <v>12</v>
          </cell>
          <cell r="E113" t="str">
            <v>278.00</v>
          </cell>
          <cell r="F113" t="str">
            <v>4419.00</v>
          </cell>
          <cell r="G113" t="str">
            <v>5653.07</v>
          </cell>
          <cell r="H113" t="str">
            <v>V10</v>
          </cell>
        </row>
        <row r="114">
          <cell r="B114" t="str">
            <v>5F055</v>
          </cell>
          <cell r="C114" t="str">
            <v>2000_5</v>
          </cell>
          <cell r="D114">
            <v>50</v>
          </cell>
          <cell r="E114" t="str">
            <v>903.00</v>
          </cell>
          <cell r="F114" t="str">
            <v>5313.40</v>
          </cell>
          <cell r="G114" t="str">
            <v>6467.64</v>
          </cell>
          <cell r="H114" t="str">
            <v>V15</v>
          </cell>
        </row>
        <row r="115">
          <cell r="B115" t="str">
            <v>5F056</v>
          </cell>
          <cell r="C115" t="str">
            <v>2000_5</v>
          </cell>
          <cell r="D115">
            <v>19</v>
          </cell>
          <cell r="E115" t="str">
            <v>320.00</v>
          </cell>
          <cell r="F115" t="str">
            <v>4898.00</v>
          </cell>
          <cell r="G115" t="str">
            <v>6032.29</v>
          </cell>
          <cell r="H115" t="str">
            <v>V20</v>
          </cell>
        </row>
        <row r="116">
          <cell r="B116" t="str">
            <v>5F057</v>
          </cell>
          <cell r="C116" t="str">
            <v>2000_5</v>
          </cell>
          <cell r="D116">
            <v>59</v>
          </cell>
          <cell r="E116" t="str">
            <v>1200.00</v>
          </cell>
          <cell r="F116" t="str">
            <v>4710.80</v>
          </cell>
          <cell r="G116" t="str">
            <v>6138.82</v>
          </cell>
          <cell r="H116" t="str">
            <v>V15</v>
          </cell>
        </row>
        <row r="117">
          <cell r="B117" t="str">
            <v>5F058</v>
          </cell>
          <cell r="C117" t="str">
            <v>2000_5</v>
          </cell>
          <cell r="D117">
            <v>24</v>
          </cell>
          <cell r="E117" t="str">
            <v>670.00</v>
          </cell>
          <cell r="F117" t="str">
            <v>4315.80</v>
          </cell>
          <cell r="G117" t="str">
            <v>5540.77</v>
          </cell>
          <cell r="H117" t="str">
            <v>V20</v>
          </cell>
        </row>
        <row r="118">
          <cell r="B118" t="str">
            <v>5F059</v>
          </cell>
          <cell r="C118" t="str">
            <v>2000_5</v>
          </cell>
          <cell r="D118">
            <v>47</v>
          </cell>
          <cell r="E118" t="str">
            <v>867.00</v>
          </cell>
          <cell r="F118" t="str">
            <v>5226.80</v>
          </cell>
          <cell r="G118" t="str">
            <v>6569.62</v>
          </cell>
          <cell r="H118" t="str">
            <v>V15</v>
          </cell>
        </row>
        <row r="119">
          <cell r="B119" t="str">
            <v>5F061</v>
          </cell>
          <cell r="C119" t="str">
            <v>2000_5</v>
          </cell>
          <cell r="D119">
            <v>17</v>
          </cell>
          <cell r="E119" t="str">
            <v>599.00</v>
          </cell>
          <cell r="F119" t="str">
            <v>4343.00</v>
          </cell>
          <cell r="G119" t="str">
            <v>5714.75</v>
          </cell>
          <cell r="H119" t="str">
            <v>V20</v>
          </cell>
        </row>
        <row r="120">
          <cell r="B120" t="str">
            <v>5F062</v>
          </cell>
          <cell r="C120" t="str">
            <v>2000_5</v>
          </cell>
          <cell r="D120">
            <v>52</v>
          </cell>
          <cell r="E120" t="str">
            <v>1064.00</v>
          </cell>
          <cell r="F120" t="str">
            <v>4735.20</v>
          </cell>
          <cell r="G120" t="str">
            <v>6276.58</v>
          </cell>
          <cell r="H120" t="str">
            <v>V15</v>
          </cell>
        </row>
        <row r="121">
          <cell r="B121" t="str">
            <v>5F063</v>
          </cell>
          <cell r="C121" t="str">
            <v>2000_5</v>
          </cell>
          <cell r="D121">
            <v>17</v>
          </cell>
          <cell r="E121" t="str">
            <v>309.00</v>
          </cell>
          <cell r="F121" t="str">
            <v>4438.00</v>
          </cell>
          <cell r="G121" t="str">
            <v>5960.01</v>
          </cell>
          <cell r="H121" t="str">
            <v>V5</v>
          </cell>
        </row>
        <row r="122">
          <cell r="B122" t="str">
            <v>5F065</v>
          </cell>
          <cell r="C122" t="str">
            <v>2000_5</v>
          </cell>
          <cell r="D122">
            <v>56</v>
          </cell>
          <cell r="E122" t="str">
            <v>1140.00</v>
          </cell>
          <cell r="F122" t="str">
            <v>4239.80</v>
          </cell>
          <cell r="G122" t="str">
            <v>5315.65</v>
          </cell>
          <cell r="H122" t="str">
            <v>V15</v>
          </cell>
        </row>
        <row r="123">
          <cell r="B123" t="str">
            <v>5F066</v>
          </cell>
          <cell r="C123" t="str">
            <v>2000_5</v>
          </cell>
          <cell r="D123">
            <v>66</v>
          </cell>
          <cell r="E123" t="str">
            <v>220.00</v>
          </cell>
          <cell r="F123" t="str">
            <v>4859.00</v>
          </cell>
          <cell r="G123" t="str">
            <v>6144.44</v>
          </cell>
          <cell r="H123" t="str">
            <v>V5</v>
          </cell>
        </row>
        <row r="124">
          <cell r="B124" t="str">
            <v>5F067</v>
          </cell>
          <cell r="C124" t="str">
            <v>2000_5</v>
          </cell>
          <cell r="D124">
            <v>51</v>
          </cell>
          <cell r="E124" t="str">
            <v>1177.00</v>
          </cell>
          <cell r="F124" t="str">
            <v>4246.00</v>
          </cell>
          <cell r="G124" t="str">
            <v>5268.59</v>
          </cell>
          <cell r="H124" t="str">
            <v>V5</v>
          </cell>
        </row>
        <row r="125">
          <cell r="B125" t="str">
            <v>5F071</v>
          </cell>
          <cell r="C125" t="str">
            <v>2000_5</v>
          </cell>
          <cell r="D125">
            <v>43</v>
          </cell>
          <cell r="E125" t="str">
            <v>892.00</v>
          </cell>
          <cell r="F125" t="str">
            <v>3971.00</v>
          </cell>
          <cell r="G125" t="str">
            <v>5315.91</v>
          </cell>
          <cell r="H125" t="str">
            <v>V15</v>
          </cell>
        </row>
        <row r="126">
          <cell r="B126" t="str">
            <v>5F074</v>
          </cell>
          <cell r="C126" t="str">
            <v>2000_5</v>
          </cell>
          <cell r="D126">
            <v>23</v>
          </cell>
          <cell r="E126" t="str">
            <v>525.00</v>
          </cell>
          <cell r="F126" t="str">
            <v>4234.80</v>
          </cell>
          <cell r="G126" t="str">
            <v>5548.33</v>
          </cell>
          <cell r="H126" t="str">
            <v>V15</v>
          </cell>
        </row>
        <row r="127">
          <cell r="B127" t="str">
            <v>5F077</v>
          </cell>
          <cell r="C127" t="str">
            <v>2000_5</v>
          </cell>
          <cell r="D127">
            <v>70</v>
          </cell>
          <cell r="E127" t="str">
            <v>1200.00</v>
          </cell>
          <cell r="F127" t="str">
            <v>3088.00</v>
          </cell>
          <cell r="G127" t="str">
            <v>3885.75</v>
          </cell>
          <cell r="H127" t="str">
            <v>V5</v>
          </cell>
        </row>
        <row r="128">
          <cell r="B128" t="str">
            <v>5F078</v>
          </cell>
          <cell r="C128" t="str">
            <v>2000_5</v>
          </cell>
          <cell r="D128">
            <v>55</v>
          </cell>
          <cell r="E128" t="str">
            <v>1141.00</v>
          </cell>
          <cell r="F128" t="str">
            <v>120.80</v>
          </cell>
          <cell r="G128" t="str">
            <v>208.20</v>
          </cell>
          <cell r="H128" t="str">
            <v>V5</v>
          </cell>
        </row>
      </sheetData>
      <sheetData sheetId="2"/>
      <sheetData sheetId="3"/>
      <sheetData sheetId="4"/>
      <sheetData sheetId="5">
        <row r="1">
          <cell r="G1" t="str">
            <v>Gain Potentiel Horaire
(heures)</v>
          </cell>
          <cell r="K1" t="str">
            <v>VlookupKey</v>
          </cell>
        </row>
        <row r="2">
          <cell r="G2">
            <v>1000</v>
          </cell>
          <cell r="K2" t="str">
            <v>V5C</v>
          </cell>
        </row>
        <row r="3">
          <cell r="G3">
            <v>1000</v>
          </cell>
          <cell r="K3" t="str">
            <v>V10C</v>
          </cell>
        </row>
        <row r="4">
          <cell r="G4">
            <v>1000</v>
          </cell>
          <cell r="K4" t="str">
            <v>V15C</v>
          </cell>
        </row>
        <row r="5">
          <cell r="G5">
            <v>1000</v>
          </cell>
          <cell r="K5" t="str">
            <v>V20C</v>
          </cell>
        </row>
        <row r="6">
          <cell r="G6">
            <v>1000</v>
          </cell>
          <cell r="K6" t="str">
            <v>V25C</v>
          </cell>
        </row>
        <row r="7">
          <cell r="G7">
            <v>1000</v>
          </cell>
          <cell r="K7" t="str">
            <v>V30C</v>
          </cell>
        </row>
        <row r="8">
          <cell r="G8">
            <v>1200</v>
          </cell>
          <cell r="K8" t="str">
            <v>V5D</v>
          </cell>
        </row>
        <row r="9">
          <cell r="G9">
            <v>1200</v>
          </cell>
          <cell r="K9" t="str">
            <v>V10D</v>
          </cell>
        </row>
        <row r="10">
          <cell r="G10">
            <v>1200</v>
          </cell>
          <cell r="K10" t="str">
            <v>V15D</v>
          </cell>
        </row>
        <row r="11">
          <cell r="G11">
            <v>1200</v>
          </cell>
          <cell r="K11" t="str">
            <v>V20D</v>
          </cell>
        </row>
        <row r="12">
          <cell r="G12">
            <v>1200</v>
          </cell>
          <cell r="K12" t="str">
            <v>V25D</v>
          </cell>
        </row>
        <row r="13">
          <cell r="G13">
            <v>1200</v>
          </cell>
          <cell r="K13" t="str">
            <v>V30D</v>
          </cell>
        </row>
        <row r="14">
          <cell r="G14">
            <v>1200</v>
          </cell>
          <cell r="K14" t="str">
            <v>V55</v>
          </cell>
        </row>
        <row r="15">
          <cell r="G15">
            <v>1200</v>
          </cell>
          <cell r="K15" t="str">
            <v>V105</v>
          </cell>
        </row>
        <row r="16">
          <cell r="G16">
            <v>1200</v>
          </cell>
          <cell r="K16" t="str">
            <v>V155</v>
          </cell>
        </row>
        <row r="17">
          <cell r="G17">
            <v>1200</v>
          </cell>
          <cell r="K17" t="str">
            <v>V205</v>
          </cell>
        </row>
        <row r="18">
          <cell r="G18">
            <v>1200</v>
          </cell>
          <cell r="K18" t="str">
            <v>V255</v>
          </cell>
        </row>
        <row r="19">
          <cell r="G19">
            <v>1200</v>
          </cell>
          <cell r="K19" t="str">
            <v>V305</v>
          </cell>
        </row>
        <row r="20">
          <cell r="G20">
            <v>1000</v>
          </cell>
          <cell r="K20" t="str">
            <v>V5B</v>
          </cell>
        </row>
        <row r="21">
          <cell r="G21">
            <v>1000</v>
          </cell>
          <cell r="K21" t="str">
            <v>V10B</v>
          </cell>
        </row>
        <row r="22">
          <cell r="G22">
            <v>1000</v>
          </cell>
          <cell r="K22" t="str">
            <v>V15B</v>
          </cell>
        </row>
        <row r="23">
          <cell r="G23">
            <v>1000</v>
          </cell>
          <cell r="K23" t="str">
            <v>V20B</v>
          </cell>
        </row>
        <row r="24">
          <cell r="G24">
            <v>1000</v>
          </cell>
          <cell r="K24" t="str">
            <v>V25B</v>
          </cell>
        </row>
        <row r="25">
          <cell r="G25">
            <v>1000</v>
          </cell>
          <cell r="K25" t="str">
            <v>V30B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17"/>
  <sheetViews>
    <sheetView tabSelected="1" zoomScale="85" zoomScaleNormal="85" workbookViewId="0">
      <selection activeCell="I14" sqref="I14"/>
    </sheetView>
  </sheetViews>
  <sheetFormatPr defaultColWidth="9.140625" defaultRowHeight="15" x14ac:dyDescent="0.25"/>
  <cols>
    <col min="1" max="3" width="9.140625" style="1"/>
    <col min="4" max="4" width="9.140625" style="5"/>
    <col min="5" max="7" width="9.140625" style="1"/>
    <col min="8" max="8" width="21.42578125" style="1" customWidth="1"/>
    <col min="9" max="9" width="25.7109375" style="1" customWidth="1"/>
    <col min="10" max="10" width="9.140625" style="1"/>
    <col min="11" max="11" width="30.28515625" style="1" bestFit="1" customWidth="1"/>
    <col min="12" max="16384" width="9.140625" style="1"/>
  </cols>
  <sheetData>
    <row r="1" spans="1:20" ht="28.5" x14ac:dyDescent="0.45">
      <c r="A1" s="31" t="s">
        <v>0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6"/>
      <c r="S1" s="6"/>
      <c r="T1" s="6"/>
    </row>
    <row r="2" spans="1:20" x14ac:dyDescent="0.25">
      <c r="D2" s="1"/>
    </row>
    <row r="3" spans="1:20" x14ac:dyDescent="0.25">
      <c r="D3" s="1"/>
    </row>
    <row r="4" spans="1:20" x14ac:dyDescent="0.25">
      <c r="D4" s="1"/>
    </row>
    <row r="5" spans="1:20" x14ac:dyDescent="0.25">
      <c r="D5" s="1"/>
    </row>
    <row r="6" spans="1:20" x14ac:dyDescent="0.25">
      <c r="C6" s="30" t="s">
        <v>1</v>
      </c>
      <c r="D6" s="30"/>
      <c r="E6" s="30"/>
      <c r="H6" s="4" t="s">
        <v>133</v>
      </c>
      <c r="I6" s="4" t="s">
        <v>136</v>
      </c>
      <c r="K6" s="3" t="s">
        <v>149</v>
      </c>
      <c r="L6" s="2">
        <v>18</v>
      </c>
    </row>
    <row r="7" spans="1:20" x14ac:dyDescent="0.25">
      <c r="C7" s="2"/>
      <c r="D7" s="3" t="s">
        <v>2</v>
      </c>
      <c r="E7" s="3" t="s">
        <v>3</v>
      </c>
      <c r="H7" s="3" t="s">
        <v>137</v>
      </c>
      <c r="I7" s="2" t="s">
        <v>139</v>
      </c>
      <c r="K7" s="3" t="s">
        <v>150</v>
      </c>
      <c r="L7" s="2">
        <v>18</v>
      </c>
    </row>
    <row r="8" spans="1:20" x14ac:dyDescent="0.25">
      <c r="C8" s="3" t="s">
        <v>4</v>
      </c>
      <c r="D8" s="2">
        <v>1</v>
      </c>
      <c r="E8" s="2">
        <v>2017</v>
      </c>
      <c r="H8" s="3" t="s">
        <v>134</v>
      </c>
      <c r="I8" s="2" t="s">
        <v>138</v>
      </c>
      <c r="K8" s="3" t="s">
        <v>151</v>
      </c>
      <c r="L8" s="2">
        <v>4</v>
      </c>
    </row>
    <row r="9" spans="1:20" x14ac:dyDescent="0.25">
      <c r="C9" s="3" t="s">
        <v>5</v>
      </c>
      <c r="D9" s="2">
        <v>12</v>
      </c>
      <c r="E9" s="2">
        <v>2025</v>
      </c>
      <c r="H9" s="3" t="s">
        <v>135</v>
      </c>
      <c r="I9" s="2" t="s">
        <v>140</v>
      </c>
    </row>
    <row r="10" spans="1:20" x14ac:dyDescent="0.25">
      <c r="D10" s="1"/>
    </row>
    <row r="11" spans="1:20" x14ac:dyDescent="0.25">
      <c r="D11" s="1"/>
    </row>
    <row r="12" spans="1:20" x14ac:dyDescent="0.25">
      <c r="D12" s="1"/>
    </row>
    <row r="13" spans="1:20" x14ac:dyDescent="0.25">
      <c r="D13" s="1"/>
    </row>
    <row r="14" spans="1:20" x14ac:dyDescent="0.25">
      <c r="C14" s="5">
        <f>DATEDIF(DATE(anneeInit,moisInit,1),DATE(anneeFin,moisFin,1),"M")+1</f>
        <v>108</v>
      </c>
      <c r="D14" s="5" t="s">
        <v>156</v>
      </c>
    </row>
    <row r="15" spans="1:20" x14ac:dyDescent="0.25">
      <c r="C15" s="5">
        <f>DATEDIF(DATE(anneeInit,1,1),DATE(anneeFin,12,1),"M")+1</f>
        <v>108</v>
      </c>
      <c r="D15" s="5" t="s">
        <v>139</v>
      </c>
    </row>
    <row r="16" spans="1:20" x14ac:dyDescent="0.25">
      <c r="D16" s="5" t="s">
        <v>138</v>
      </c>
    </row>
    <row r="17" spans="4:4" x14ac:dyDescent="0.25">
      <c r="D17" s="5" t="s">
        <v>140</v>
      </c>
    </row>
  </sheetData>
  <mergeCells count="2">
    <mergeCell ref="C6:E6"/>
    <mergeCell ref="A1:Q1"/>
  </mergeCells>
  <dataValidations count="3">
    <dataValidation type="list" allowBlank="1" showInputMessage="1" sqref="I9">
      <formula1>$D$14:$D$40</formula1>
    </dataValidation>
    <dataValidation type="list" allowBlank="1" showInputMessage="1" showErrorMessage="1" sqref="I7">
      <formula1>$D$14:$D$40</formula1>
    </dataValidation>
    <dataValidation type="list" allowBlank="1" showInputMessage="1" sqref="I8">
      <formula1>$D$14:$D$51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29"/>
  <sheetViews>
    <sheetView showGridLines="0" zoomScale="55" zoomScaleNormal="55" workbookViewId="0">
      <pane xSplit="4" ySplit="2" topLeftCell="BV3" activePane="bottomRight" state="frozen"/>
      <selection pane="topRight" activeCell="E1" sqref="E1"/>
      <selection pane="bottomLeft" activeCell="A3" sqref="A3"/>
      <selection pane="bottomRight" activeCell="CW1" sqref="CW1:DH1"/>
    </sheetView>
  </sheetViews>
  <sheetFormatPr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9.71093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customWidth="1"/>
    <col min="12" max="12" width="6.85546875" style="12" customWidth="1"/>
    <col min="13" max="13" width="6.5703125" style="12" bestFit="1" customWidth="1"/>
    <col min="14" max="14" width="6.42578125" style="12" bestFit="1" customWidth="1"/>
    <col min="15" max="15" width="6.85546875" style="12" customWidth="1"/>
    <col min="16" max="16" width="6.5703125" style="12" customWidth="1"/>
    <col min="17" max="17" width="6.140625" style="12" bestFit="1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bestFit="1" customWidth="1"/>
    <col min="78" max="78" width="6.5703125" style="12" bestFit="1" customWidth="1"/>
    <col min="79" max="79" width="6.85546875" style="12" bestFit="1" customWidth="1"/>
    <col min="80" max="80" width="6.5703125" style="12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6384" width="9.140625" style="12"/>
  </cols>
  <sheetData>
    <row r="1" spans="1:112" s="11" customFormat="1" ht="20.25" x14ac:dyDescent="0.25">
      <c r="E1" s="32">
        <f>YEAR(DATE(2017,1,1))</f>
        <v>2017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32">
        <f>YEAR(DATE(2017,13,1))</f>
        <v>2018</v>
      </c>
      <c r="R1" s="33"/>
      <c r="S1" s="33"/>
      <c r="T1" s="33"/>
      <c r="U1" s="33"/>
      <c r="V1" s="33"/>
      <c r="W1" s="33"/>
      <c r="X1" s="33"/>
      <c r="Y1" s="33"/>
      <c r="Z1" s="33"/>
      <c r="AA1" s="33"/>
      <c r="AB1" s="34"/>
      <c r="AC1" s="32">
        <f>YEAR(DATE(2017,25,1))</f>
        <v>2019</v>
      </c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4"/>
      <c r="AO1" s="32">
        <f>YEAR(DATE(2017,37,1))</f>
        <v>2020</v>
      </c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4"/>
      <c r="BA1" s="32">
        <f>YEAR(DATE(2017,49,1))</f>
        <v>2021</v>
      </c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4"/>
      <c r="BM1" s="32">
        <f>YEAR(DATE(2017,61,1))</f>
        <v>2022</v>
      </c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4"/>
      <c r="BY1" s="32">
        <f>YEAR(DATE(2017,73,1))</f>
        <v>2023</v>
      </c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4"/>
      <c r="CK1" s="32">
        <f>YEAR(DATE(2017,85,1))</f>
        <v>2024</v>
      </c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4"/>
      <c r="CW1" s="32">
        <f>YEAR(DATE(2017,97,1))</f>
        <v>2025</v>
      </c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4"/>
    </row>
    <row r="2" spans="1:112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DATE(2017,73,1)</f>
        <v>44927</v>
      </c>
      <c r="BZ2" s="9">
        <f>DATE(2017,74,1)</f>
        <v>44958</v>
      </c>
      <c r="CA2" s="9">
        <f>DATE(2017,75,1)</f>
        <v>44986</v>
      </c>
      <c r="CB2" s="9">
        <f>DATE(2017,76,1)</f>
        <v>45017</v>
      </c>
      <c r="CC2" s="9">
        <f>DATE(2017,77,1)</f>
        <v>45047</v>
      </c>
      <c r="CD2" s="9">
        <f>DATE(2017,78,1)</f>
        <v>45078</v>
      </c>
      <c r="CE2" s="9">
        <f>DATE(2017,79,1)</f>
        <v>45108</v>
      </c>
      <c r="CF2" s="9">
        <f>DATE(2017,80,1)</f>
        <v>45139</v>
      </c>
      <c r="CG2" s="9">
        <f>DATE(2017,81,1)</f>
        <v>45170</v>
      </c>
      <c r="CH2" s="9">
        <f>DATE(2017,82,1)</f>
        <v>45200</v>
      </c>
      <c r="CI2" s="9">
        <f>DATE(2017,83,1)</f>
        <v>45231</v>
      </c>
      <c r="CJ2" s="10">
        <f>DATE(2017,84,1)</f>
        <v>45261</v>
      </c>
      <c r="CK2" s="8">
        <f>DATE(2017,85,1)</f>
        <v>45292</v>
      </c>
      <c r="CL2" s="9">
        <f>DATE(2017,86,1)</f>
        <v>45323</v>
      </c>
      <c r="CM2" s="9">
        <f>DATE(2017,87,1)</f>
        <v>45352</v>
      </c>
      <c r="CN2" s="9">
        <f>DATE(2017,88,1)</f>
        <v>45383</v>
      </c>
      <c r="CO2" s="9">
        <f>DATE(2017,89,1)</f>
        <v>45413</v>
      </c>
      <c r="CP2" s="9">
        <f>DATE(2017,90,1)</f>
        <v>45444</v>
      </c>
      <c r="CQ2" s="9">
        <f>DATE(2017,91,1)</f>
        <v>45474</v>
      </c>
      <c r="CR2" s="9">
        <f>DATE(2017,92,1)</f>
        <v>45505</v>
      </c>
      <c r="CS2" s="9">
        <f>DATE(2017,93,1)</f>
        <v>45536</v>
      </c>
      <c r="CT2" s="9">
        <f>DATE(2017,94,1)</f>
        <v>45566</v>
      </c>
      <c r="CU2" s="9">
        <f>DATE(2017,95,1)</f>
        <v>45597</v>
      </c>
      <c r="CV2" s="10">
        <f>DATE(2017,96,1)</f>
        <v>45627</v>
      </c>
      <c r="CW2" s="8">
        <f>DATE(2017,97,1)</f>
        <v>45658</v>
      </c>
      <c r="CX2" s="9">
        <f>DATE(2017,98,1)</f>
        <v>45689</v>
      </c>
      <c r="CY2" s="9">
        <f>DATE(2017,99,1)</f>
        <v>45717</v>
      </c>
      <c r="CZ2" s="9">
        <f>DATE(2017,100,1)</f>
        <v>45748</v>
      </c>
      <c r="DA2" s="9">
        <f>DATE(2017,101,1)</f>
        <v>45778</v>
      </c>
      <c r="DB2" s="9">
        <f>DATE(2017,102,1)</f>
        <v>45809</v>
      </c>
      <c r="DC2" s="9">
        <f>DATE(2017,103,1)</f>
        <v>45839</v>
      </c>
      <c r="DD2" s="9">
        <f>DATE(2017,104,1)</f>
        <v>45870</v>
      </c>
      <c r="DE2" s="9">
        <f>DATE(2017,105,1)</f>
        <v>45901</v>
      </c>
      <c r="DF2" s="9">
        <f>DATE(2017,106,1)</f>
        <v>45931</v>
      </c>
      <c r="DG2" s="9">
        <f>DATE(2017,107,1)</f>
        <v>45962</v>
      </c>
      <c r="DH2" s="10">
        <f>DATE(2017,108,1)</f>
        <v>45992</v>
      </c>
    </row>
    <row r="3" spans="1:112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</row>
    <row r="4" spans="1:112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</row>
    <row r="5" spans="1:112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</row>
    <row r="6" spans="1:112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</row>
    <row r="7" spans="1:112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</row>
    <row r="8" spans="1:112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</row>
    <row r="9" spans="1:112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</row>
    <row r="10" spans="1:112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</row>
    <row r="11" spans="1:112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</row>
    <row r="12" spans="1:112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</row>
    <row r="13" spans="1:112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</row>
    <row r="14" spans="1:112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</row>
    <row r="15" spans="1:112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</row>
    <row r="16" spans="1:112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</row>
    <row r="17" spans="1:112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</row>
    <row r="18" spans="1:112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</row>
    <row r="19" spans="1:112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</row>
    <row r="20" spans="1:112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</row>
    <row r="21" spans="1:112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</row>
    <row r="22" spans="1:112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</row>
    <row r="23" spans="1:112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</row>
    <row r="24" spans="1:112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</row>
    <row r="25" spans="1:112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</row>
    <row r="26" spans="1:112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</row>
    <row r="27" spans="1:112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</row>
    <row r="28" spans="1:112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</row>
    <row r="29" spans="1:112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</row>
    <row r="30" spans="1:112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</row>
    <row r="31" spans="1:112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</row>
    <row r="32" spans="1:112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</row>
    <row r="33" spans="1:112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</row>
    <row r="34" spans="1:112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</row>
    <row r="35" spans="1:112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</row>
    <row r="36" spans="1:112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</row>
    <row r="37" spans="1:112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</row>
    <row r="38" spans="1:112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</row>
    <row r="39" spans="1:112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</row>
    <row r="40" spans="1:112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</row>
    <row r="41" spans="1:112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</row>
    <row r="42" spans="1:112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</row>
    <row r="43" spans="1:112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</row>
    <row r="44" spans="1:112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</row>
    <row r="45" spans="1:112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</row>
    <row r="46" spans="1:112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</row>
    <row r="47" spans="1:112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</row>
    <row r="48" spans="1:112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</row>
    <row r="49" spans="1:112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</row>
    <row r="50" spans="1:112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</row>
    <row r="51" spans="1:112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</row>
    <row r="52" spans="1:112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</row>
    <row r="53" spans="1:112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</row>
    <row r="54" spans="1:112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</row>
    <row r="55" spans="1:112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</row>
    <row r="56" spans="1:112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</row>
    <row r="57" spans="1:112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</row>
    <row r="58" spans="1:112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</row>
    <row r="59" spans="1:112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</row>
    <row r="60" spans="1:112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</row>
    <row r="61" spans="1:112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</row>
    <row r="62" spans="1:112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</row>
    <row r="63" spans="1:112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</row>
    <row r="64" spans="1:112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</row>
    <row r="65" spans="1:112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</row>
    <row r="66" spans="1:112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</row>
    <row r="67" spans="1:112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</row>
    <row r="68" spans="1:112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</row>
    <row r="69" spans="1:112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</row>
    <row r="70" spans="1:112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</row>
    <row r="71" spans="1:112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</row>
    <row r="72" spans="1:112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</row>
    <row r="73" spans="1:112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</row>
    <row r="74" spans="1:112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</row>
    <row r="75" spans="1:112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</row>
    <row r="76" spans="1:112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</row>
    <row r="77" spans="1:112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</row>
    <row r="78" spans="1:112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</row>
    <row r="79" spans="1:112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</row>
    <row r="80" spans="1:112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</row>
    <row r="81" spans="1:112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</row>
    <row r="82" spans="1:112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</row>
    <row r="83" spans="1:112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</row>
    <row r="84" spans="1:112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</row>
    <row r="85" spans="1:112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</row>
    <row r="86" spans="1:112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</row>
    <row r="87" spans="1:112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</row>
    <row r="88" spans="1:112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</row>
    <row r="89" spans="1:112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</row>
    <row r="90" spans="1:112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</row>
    <row r="91" spans="1:112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</row>
    <row r="92" spans="1:112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</row>
    <row r="93" spans="1:112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</row>
    <row r="94" spans="1:112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</row>
    <row r="95" spans="1:112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</row>
    <row r="96" spans="1:112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</row>
    <row r="97" spans="1:112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</row>
    <row r="98" spans="1:112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</row>
    <row r="99" spans="1:112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</row>
    <row r="100" spans="1:112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</row>
    <row r="101" spans="1:112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</row>
    <row r="102" spans="1:112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</row>
    <row r="103" spans="1:112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</row>
    <row r="104" spans="1:112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</row>
    <row r="105" spans="1:112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</row>
    <row r="106" spans="1:112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</row>
    <row r="107" spans="1:112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</row>
    <row r="108" spans="1:112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</row>
    <row r="109" spans="1:112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</row>
    <row r="110" spans="1:112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</row>
    <row r="111" spans="1:112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</row>
    <row r="112" spans="1:112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</row>
    <row r="113" spans="1:112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</row>
    <row r="114" spans="1:112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</row>
    <row r="115" spans="1:112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</row>
    <row r="116" spans="1:112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</row>
    <row r="117" spans="1:112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</row>
    <row r="118" spans="1:112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</row>
    <row r="119" spans="1:112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</row>
    <row r="120" spans="1:112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</row>
    <row r="121" spans="1:112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</row>
    <row r="122" spans="1:112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</row>
    <row r="123" spans="1:112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</row>
    <row r="124" spans="1:112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</row>
    <row r="125" spans="1:112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</row>
    <row r="126" spans="1:112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</row>
    <row r="127" spans="1:112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</row>
    <row r="128" spans="1:112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</row>
    <row r="129" spans="1:112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</row>
  </sheetData>
  <mergeCells count="9">
    <mergeCell ref="BY1:CJ1"/>
    <mergeCell ref="CK1:CV1"/>
    <mergeCell ref="CW1:DH1"/>
    <mergeCell ref="E1:P1"/>
    <mergeCell ref="Q1:AB1"/>
    <mergeCell ref="AC1:AN1"/>
    <mergeCell ref="AO1:AZ1"/>
    <mergeCell ref="BA1:BL1"/>
    <mergeCell ref="BM1:BX1"/>
  </mergeCells>
  <conditionalFormatting sqref="A3:D129">
    <cfRule type="expression" dxfId="49" priority="289">
      <formula>LEFT(INDIRECT(ADDRESS(ROW(),4,1,1)),1)="C"</formula>
    </cfRule>
    <cfRule type="expression" dxfId="48" priority="290">
      <formula>LEFT(INDIRECT(ADDRESS(ROW(),4,1,1)),1)="N"</formula>
    </cfRule>
    <cfRule type="expression" dxfId="47" priority="291">
      <formula>LEFT(INDIRECT(ADDRESS(ROW(),4,1,1)),1)="5"</formula>
    </cfRule>
    <cfRule type="expression" dxfId="46" priority="292">
      <formula>LEFT(INDIRECT(ADDRESS(ROW(),4,1,1)),1)="B"</formula>
    </cfRule>
    <cfRule type="expression" dxfId="45" priority="293">
      <formula>LEFT(INDIRECT(ADDRESS(ROW(),4,1,1)),1)="D"</formula>
    </cfRule>
  </conditionalFormatting>
  <conditionalFormatting sqref="E3:DH129">
    <cfRule type="beginsWith" dxfId="44" priority="1" operator="beginsWith" text="S">
      <formula>LEFT(E3,LEN("S"))="S"</formula>
    </cfRule>
    <cfRule type="cellIs" dxfId="43" priority="2" operator="equal">
      <formula>"x"</formula>
    </cfRule>
    <cfRule type="beginsWith" dxfId="42" priority="3" operator="beginsWith" text="V">
      <formula>LEFT(E3,LEN("V"))="V"</formula>
    </cfRule>
    <cfRule type="cellIs" dxfId="41" priority="4" operator="greaterThan">
      <formula>25</formula>
    </cfRule>
    <cfRule type="cellIs" dxfId="40" priority="5" operator="greaterThanOrEqual">
      <formula>22</formula>
    </cfRule>
    <cfRule type="expression" dxfId="39" priority="6">
      <formula>LEFT(INDIRECT(ADDRESS(ROW(),4,1,1)),1)="C"</formula>
    </cfRule>
    <cfRule type="expression" dxfId="38" priority="7">
      <formula>LEFT(INDIRECT(ADDRESS(ROW(),4,1,1)),1)="N"</formula>
    </cfRule>
    <cfRule type="expression" dxfId="37" priority="8">
      <formula>LEFT(INDIRECT(ADDRESS(ROW(),4,1,1)),1)="5"</formula>
    </cfRule>
    <cfRule type="expression" dxfId="36" priority="9">
      <formula>LEFT(INDIRECT(ADDRESS(ROW(),4,1,1)),1)="B"</formula>
    </cfRule>
    <cfRule type="expression" dxfId="35" priority="12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34"/>
  <sheetViews>
    <sheetView showGridLines="0" zoomScale="55" zoomScaleNormal="55" workbookViewId="0">
      <pane xSplit="4" ySplit="2" topLeftCell="BV3" activePane="bottomRight" state="frozen"/>
      <selection pane="topRight" activeCell="E1" sqref="E1"/>
      <selection pane="bottomLeft" activeCell="A3" sqref="A3"/>
      <selection pane="bottomRight" activeCell="CW1" sqref="CW1:DH1"/>
    </sheetView>
  </sheetViews>
  <sheetFormatPr defaultColWidth="9.140625" defaultRowHeight="15" x14ac:dyDescent="0.25"/>
  <cols>
    <col min="1" max="1" width="6.5703125" style="12" bestFit="1" customWidth="1"/>
    <col min="2" max="2" width="9" style="12" bestFit="1" customWidth="1"/>
    <col min="3" max="3" width="13.85546875" style="12" bestFit="1" customWidth="1"/>
    <col min="4" max="4" width="11.85546875" style="12" bestFit="1" customWidth="1"/>
    <col min="5" max="5" width="6.140625" style="12" bestFit="1" customWidth="1"/>
    <col min="6" max="6" width="6.5703125" style="12" bestFit="1" customWidth="1"/>
    <col min="7" max="7" width="6.85546875" style="12" bestFit="1" customWidth="1"/>
    <col min="8" max="8" width="6.5703125" style="12" bestFit="1" customWidth="1"/>
    <col min="9" max="9" width="7.140625" style="12" bestFit="1" customWidth="1"/>
    <col min="10" max="10" width="6.140625" style="12" bestFit="1" customWidth="1"/>
    <col min="11" max="11" width="5.5703125" style="12" bestFit="1" customWidth="1"/>
    <col min="12" max="12" width="6.85546875" style="12" bestFit="1" customWidth="1"/>
    <col min="13" max="13" width="6.5703125" style="12" bestFit="1" customWidth="1"/>
    <col min="14" max="14" width="6.42578125" style="12" bestFit="1" customWidth="1"/>
    <col min="15" max="15" width="6.85546875" style="12" bestFit="1" customWidth="1"/>
    <col min="16" max="16" width="6.5703125" style="12" customWidth="1"/>
    <col min="17" max="17" width="6.140625" style="12" customWidth="1"/>
    <col min="18" max="18" width="6.5703125" style="12" bestFit="1" customWidth="1"/>
    <col min="19" max="19" width="6.85546875" style="12" bestFit="1" customWidth="1"/>
    <col min="20" max="20" width="6.5703125" style="12" bestFit="1" customWidth="1"/>
    <col min="21" max="21" width="7.140625" style="12" bestFit="1" customWidth="1"/>
    <col min="22" max="22" width="6.140625" style="12" bestFit="1" customWidth="1"/>
    <col min="23" max="23" width="5.5703125" style="12" bestFit="1" customWidth="1"/>
    <col min="24" max="24" width="6.85546875" style="12" bestFit="1" customWidth="1"/>
    <col min="25" max="25" width="6.5703125" style="12" bestFit="1" customWidth="1"/>
    <col min="26" max="26" width="6.42578125" style="12" bestFit="1" customWidth="1"/>
    <col min="27" max="27" width="6.85546875" style="12" bestFit="1" customWidth="1"/>
    <col min="28" max="28" width="6.5703125" style="12" bestFit="1" customWidth="1"/>
    <col min="29" max="29" width="6.140625" style="12" bestFit="1" customWidth="1"/>
    <col min="30" max="30" width="6.5703125" style="12" bestFit="1" customWidth="1"/>
    <col min="31" max="31" width="6.85546875" style="12" bestFit="1" customWidth="1"/>
    <col min="32" max="32" width="6.5703125" style="12" bestFit="1" customWidth="1"/>
    <col min="33" max="33" width="7.140625" style="12" bestFit="1" customWidth="1"/>
    <col min="34" max="34" width="6.140625" style="12" bestFit="1" customWidth="1"/>
    <col min="35" max="35" width="5.5703125" style="12" bestFit="1" customWidth="1"/>
    <col min="36" max="36" width="6.85546875" style="12" bestFit="1" customWidth="1"/>
    <col min="37" max="37" width="6.5703125" style="12" bestFit="1" customWidth="1"/>
    <col min="38" max="38" width="6.42578125" style="12" bestFit="1" customWidth="1"/>
    <col min="39" max="39" width="6.85546875" style="12" bestFit="1" customWidth="1"/>
    <col min="40" max="40" width="6.5703125" style="12" bestFit="1" customWidth="1"/>
    <col min="41" max="41" width="6.140625" style="12" bestFit="1" customWidth="1"/>
    <col min="42" max="42" width="6.5703125" style="12" bestFit="1" customWidth="1"/>
    <col min="43" max="43" width="6.85546875" style="12" bestFit="1" customWidth="1"/>
    <col min="44" max="44" width="6.5703125" style="12" bestFit="1" customWidth="1"/>
    <col min="45" max="45" width="7.140625" style="12" bestFit="1" customWidth="1"/>
    <col min="46" max="46" width="6.140625" style="12" bestFit="1" customWidth="1"/>
    <col min="47" max="47" width="5.5703125" style="12" bestFit="1" customWidth="1"/>
    <col min="48" max="48" width="6.85546875" style="12" bestFit="1" customWidth="1"/>
    <col min="49" max="49" width="6.5703125" style="12" bestFit="1" customWidth="1"/>
    <col min="50" max="50" width="6.42578125" style="12" bestFit="1" customWidth="1"/>
    <col min="51" max="51" width="6.85546875" style="12" bestFit="1" customWidth="1"/>
    <col min="52" max="52" width="6.5703125" style="12" bestFit="1" customWidth="1"/>
    <col min="53" max="53" width="6.140625" style="12" bestFit="1" customWidth="1"/>
    <col min="54" max="54" width="6.5703125" style="12" bestFit="1" customWidth="1"/>
    <col min="55" max="55" width="6.85546875" style="12" bestFit="1" customWidth="1"/>
    <col min="56" max="56" width="6.5703125" style="12" bestFit="1" customWidth="1"/>
    <col min="57" max="57" width="7.140625" style="12" bestFit="1" customWidth="1"/>
    <col min="58" max="58" width="6.140625" style="12" bestFit="1" customWidth="1"/>
    <col min="59" max="59" width="5.5703125" style="12" bestFit="1" customWidth="1"/>
    <col min="60" max="60" width="6.85546875" style="12" bestFit="1" customWidth="1"/>
    <col min="61" max="61" width="6.5703125" style="12" bestFit="1" customWidth="1"/>
    <col min="62" max="62" width="6.42578125" style="12" bestFit="1" customWidth="1"/>
    <col min="63" max="63" width="6.85546875" style="12" bestFit="1" customWidth="1"/>
    <col min="64" max="64" width="6.5703125" style="12" bestFit="1" customWidth="1"/>
    <col min="65" max="65" width="6.140625" style="12" bestFit="1" customWidth="1"/>
    <col min="66" max="66" width="6.5703125" style="12" bestFit="1" customWidth="1"/>
    <col min="67" max="67" width="6.85546875" style="12" bestFit="1" customWidth="1"/>
    <col min="68" max="68" width="6.5703125" style="12" bestFit="1" customWidth="1"/>
    <col min="69" max="69" width="7.140625" style="12" bestFit="1" customWidth="1"/>
    <col min="70" max="70" width="6.140625" style="12" bestFit="1" customWidth="1"/>
    <col min="71" max="71" width="5.5703125" style="12" bestFit="1" customWidth="1"/>
    <col min="72" max="72" width="6.85546875" style="12" bestFit="1" customWidth="1"/>
    <col min="73" max="73" width="6.5703125" style="12" bestFit="1" customWidth="1"/>
    <col min="74" max="74" width="6.42578125" style="12" bestFit="1" customWidth="1"/>
    <col min="75" max="75" width="6.85546875" style="12" bestFit="1" customWidth="1"/>
    <col min="76" max="76" width="6.5703125" style="12" bestFit="1" customWidth="1"/>
    <col min="77" max="77" width="6.140625" style="12" customWidth="1"/>
    <col min="78" max="78" width="6.5703125" style="12" bestFit="1" customWidth="1"/>
    <col min="79" max="79" width="6.85546875" style="12" bestFit="1" customWidth="1"/>
    <col min="80" max="80" width="6.5703125" style="12" bestFit="1" customWidth="1"/>
    <col min="81" max="81" width="7.140625" style="12" bestFit="1" customWidth="1"/>
    <col min="82" max="82" width="6.140625" style="12" bestFit="1" customWidth="1"/>
    <col min="83" max="83" width="5.5703125" style="12" bestFit="1" customWidth="1"/>
    <col min="84" max="84" width="6.85546875" style="12" bestFit="1" customWidth="1"/>
    <col min="85" max="85" width="6.5703125" style="12" bestFit="1" customWidth="1"/>
    <col min="86" max="86" width="6.42578125" style="12" bestFit="1" customWidth="1"/>
    <col min="87" max="87" width="6.85546875" style="12" bestFit="1" customWidth="1"/>
    <col min="88" max="88" width="6.5703125" style="12" bestFit="1" customWidth="1"/>
    <col min="89" max="89" width="6.140625" style="12" bestFit="1" customWidth="1"/>
    <col min="90" max="90" width="6.5703125" style="12" bestFit="1" customWidth="1"/>
    <col min="91" max="91" width="6.85546875" style="12" bestFit="1" customWidth="1"/>
    <col min="92" max="92" width="6.5703125" style="12" bestFit="1" customWidth="1"/>
    <col min="93" max="93" width="7.140625" style="12" bestFit="1" customWidth="1"/>
    <col min="94" max="94" width="6.140625" style="12" bestFit="1" customWidth="1"/>
    <col min="95" max="95" width="5.5703125" style="12" bestFit="1" customWidth="1"/>
    <col min="96" max="96" width="6.85546875" style="12" bestFit="1" customWidth="1"/>
    <col min="97" max="97" width="6.5703125" style="12" bestFit="1" customWidth="1"/>
    <col min="98" max="98" width="6.42578125" style="12" bestFit="1" customWidth="1"/>
    <col min="99" max="99" width="6.85546875" style="12" bestFit="1" customWidth="1"/>
    <col min="100" max="100" width="6.5703125" style="12" bestFit="1" customWidth="1"/>
    <col min="101" max="101" width="6.140625" style="12" bestFit="1" customWidth="1"/>
    <col min="102" max="102" width="6.5703125" style="12" bestFit="1" customWidth="1"/>
    <col min="103" max="103" width="6.85546875" style="12" bestFit="1" customWidth="1"/>
    <col min="104" max="104" width="6.5703125" style="12" bestFit="1" customWidth="1"/>
    <col min="105" max="105" width="7.140625" style="12" bestFit="1" customWidth="1"/>
    <col min="106" max="106" width="6.140625" style="12" bestFit="1" customWidth="1"/>
    <col min="107" max="107" width="5.5703125" style="12" bestFit="1" customWidth="1"/>
    <col min="108" max="108" width="6.85546875" style="12" bestFit="1" customWidth="1"/>
    <col min="109" max="109" width="6.5703125" style="12" bestFit="1" customWidth="1"/>
    <col min="110" max="110" width="6.42578125" style="12" bestFit="1" customWidth="1"/>
    <col min="111" max="111" width="6.85546875" style="12" bestFit="1" customWidth="1"/>
    <col min="112" max="112" width="6.5703125" style="12" bestFit="1" customWidth="1"/>
    <col min="113" max="16384" width="9.140625" style="12"/>
  </cols>
  <sheetData>
    <row r="1" spans="1:112" s="11" customFormat="1" ht="20.25" x14ac:dyDescent="0.25">
      <c r="E1" s="32">
        <f>YEAR(DATE(2017,1,1))</f>
        <v>2017</v>
      </c>
      <c r="F1" s="33"/>
      <c r="G1" s="33"/>
      <c r="H1" s="33"/>
      <c r="I1" s="33"/>
      <c r="J1" s="33"/>
      <c r="K1" s="33"/>
      <c r="L1" s="33"/>
      <c r="M1" s="33"/>
      <c r="N1" s="33"/>
      <c r="O1" s="33"/>
      <c r="P1" s="34"/>
      <c r="Q1" s="32">
        <f>YEAR(DATE(2017,13,1))</f>
        <v>2018</v>
      </c>
      <c r="R1" s="33"/>
      <c r="S1" s="33"/>
      <c r="T1" s="33"/>
      <c r="U1" s="33"/>
      <c r="V1" s="33"/>
      <c r="W1" s="33"/>
      <c r="X1" s="33"/>
      <c r="Y1" s="33"/>
      <c r="Z1" s="33"/>
      <c r="AA1" s="33"/>
      <c r="AB1" s="34"/>
      <c r="AC1" s="32">
        <f>YEAR(DATE(2017,25,1))</f>
        <v>2019</v>
      </c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4"/>
      <c r="AO1" s="32">
        <f>YEAR(DATE(2017,37,1))</f>
        <v>2020</v>
      </c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4"/>
      <c r="BA1" s="32">
        <f>YEAR(DATE(2017,49,1))</f>
        <v>2021</v>
      </c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4"/>
      <c r="BM1" s="32">
        <f>YEAR(DATE(2017,61,1))</f>
        <v>2022</v>
      </c>
      <c r="BN1" s="33"/>
      <c r="BO1" s="33"/>
      <c r="BP1" s="33"/>
      <c r="BQ1" s="33"/>
      <c r="BR1" s="33"/>
      <c r="BS1" s="33"/>
      <c r="BT1" s="33"/>
      <c r="BU1" s="33"/>
      <c r="BV1" s="33"/>
      <c r="BW1" s="33"/>
      <c r="BX1" s="34"/>
      <c r="BY1" s="32">
        <f>YEAR(DATE(2017,73,1))</f>
        <v>2023</v>
      </c>
      <c r="BZ1" s="33"/>
      <c r="CA1" s="33"/>
      <c r="CB1" s="33"/>
      <c r="CC1" s="33"/>
      <c r="CD1" s="33"/>
      <c r="CE1" s="33"/>
      <c r="CF1" s="33"/>
      <c r="CG1" s="33"/>
      <c r="CH1" s="33"/>
      <c r="CI1" s="33"/>
      <c r="CJ1" s="34"/>
      <c r="CK1" s="32">
        <f>YEAR(DATE(2017,85,1))</f>
        <v>2024</v>
      </c>
      <c r="CL1" s="33"/>
      <c r="CM1" s="33"/>
      <c r="CN1" s="33"/>
      <c r="CO1" s="33"/>
      <c r="CP1" s="33"/>
      <c r="CQ1" s="33"/>
      <c r="CR1" s="33"/>
      <c r="CS1" s="33"/>
      <c r="CT1" s="33"/>
      <c r="CU1" s="33"/>
      <c r="CV1" s="34"/>
      <c r="CW1" s="32">
        <f>YEAR(DATE(2017,97,1))</f>
        <v>2025</v>
      </c>
      <c r="CX1" s="33"/>
      <c r="CY1" s="33"/>
      <c r="CZ1" s="33"/>
      <c r="DA1" s="33"/>
      <c r="DB1" s="33"/>
      <c r="DC1" s="33"/>
      <c r="DD1" s="33"/>
      <c r="DE1" s="33"/>
      <c r="DF1" s="33"/>
      <c r="DG1" s="33"/>
      <c r="DH1" s="34"/>
    </row>
    <row r="2" spans="1:112" x14ac:dyDescent="0.25">
      <c r="A2" s="7" t="s">
        <v>141</v>
      </c>
      <c r="B2" s="7" t="s">
        <v>142</v>
      </c>
      <c r="C2" s="7" t="s">
        <v>143</v>
      </c>
      <c r="D2" s="7" t="s">
        <v>144</v>
      </c>
      <c r="E2" s="8">
        <f>DATE(2017,1,1)</f>
        <v>42736</v>
      </c>
      <c r="F2" s="9">
        <f>DATE(2017,2,1)</f>
        <v>42767</v>
      </c>
      <c r="G2" s="9">
        <f>DATE(2017,3,1)</f>
        <v>42795</v>
      </c>
      <c r="H2" s="9">
        <f>DATE(2017,4,1)</f>
        <v>42826</v>
      </c>
      <c r="I2" s="9">
        <f>DATE(2017,5,1)</f>
        <v>42856</v>
      </c>
      <c r="J2" s="9">
        <f>DATE(2017,6,1)</f>
        <v>42887</v>
      </c>
      <c r="K2" s="9">
        <f>DATE(2017,7,1)</f>
        <v>42917</v>
      </c>
      <c r="L2" s="9">
        <f>DATE(2017,8,1)</f>
        <v>42948</v>
      </c>
      <c r="M2" s="9">
        <f>DATE(2017,9,1)</f>
        <v>42979</v>
      </c>
      <c r="N2" s="9">
        <f>DATE(2017,10,1)</f>
        <v>43009</v>
      </c>
      <c r="O2" s="9">
        <f>DATE(2017,11,1)</f>
        <v>43040</v>
      </c>
      <c r="P2" s="10">
        <f>DATE(2017,12,1)</f>
        <v>43070</v>
      </c>
      <c r="Q2" s="8">
        <f>DATE(2017,13,1)</f>
        <v>43101</v>
      </c>
      <c r="R2" s="9">
        <f>DATE(2017,14,1)</f>
        <v>43132</v>
      </c>
      <c r="S2" s="9">
        <f>DATE(2017,15,1)</f>
        <v>43160</v>
      </c>
      <c r="T2" s="9">
        <f>DATE(2017,16,1)</f>
        <v>43191</v>
      </c>
      <c r="U2" s="9">
        <f>DATE(2017,17,1)</f>
        <v>43221</v>
      </c>
      <c r="V2" s="9">
        <f>DATE(2017,18,1)</f>
        <v>43252</v>
      </c>
      <c r="W2" s="9">
        <f>DATE(2017,19,1)</f>
        <v>43282</v>
      </c>
      <c r="X2" s="9">
        <f>DATE(2017,20,1)</f>
        <v>43313</v>
      </c>
      <c r="Y2" s="9">
        <f>DATE(2017,21,1)</f>
        <v>43344</v>
      </c>
      <c r="Z2" s="9">
        <f>DATE(2017,22,1)</f>
        <v>43374</v>
      </c>
      <c r="AA2" s="9">
        <f>DATE(2017,23,1)</f>
        <v>43405</v>
      </c>
      <c r="AB2" s="10">
        <f>DATE(2017,24,1)</f>
        <v>43435</v>
      </c>
      <c r="AC2" s="8">
        <f>DATE(2017,25,1)</f>
        <v>43466</v>
      </c>
      <c r="AD2" s="9">
        <f>DATE(2017,26,1)</f>
        <v>43497</v>
      </c>
      <c r="AE2" s="9">
        <f>DATE(2017,27,1)</f>
        <v>43525</v>
      </c>
      <c r="AF2" s="9">
        <f>DATE(2017,28,1)</f>
        <v>43556</v>
      </c>
      <c r="AG2" s="9">
        <f>DATE(2017,29,1)</f>
        <v>43586</v>
      </c>
      <c r="AH2" s="9">
        <f>DATE(2017,30,1)</f>
        <v>43617</v>
      </c>
      <c r="AI2" s="9">
        <f>DATE(2017,31,1)</f>
        <v>43647</v>
      </c>
      <c r="AJ2" s="9">
        <f>DATE(2017,32,1)</f>
        <v>43678</v>
      </c>
      <c r="AK2" s="9">
        <f>DATE(2017,33,1)</f>
        <v>43709</v>
      </c>
      <c r="AL2" s="9">
        <f>DATE(2017,34,1)</f>
        <v>43739</v>
      </c>
      <c r="AM2" s="9">
        <f>DATE(2017,35,1)</f>
        <v>43770</v>
      </c>
      <c r="AN2" s="10">
        <f>DATE(2017,36,1)</f>
        <v>43800</v>
      </c>
      <c r="AO2" s="8">
        <f>DATE(2017,37,1)</f>
        <v>43831</v>
      </c>
      <c r="AP2" s="9">
        <f>DATE(2017,38,1)</f>
        <v>43862</v>
      </c>
      <c r="AQ2" s="9">
        <f>DATE(2017,39,1)</f>
        <v>43891</v>
      </c>
      <c r="AR2" s="9">
        <f>DATE(2017,40,1)</f>
        <v>43922</v>
      </c>
      <c r="AS2" s="9">
        <f>DATE(2017,41,1)</f>
        <v>43952</v>
      </c>
      <c r="AT2" s="9">
        <f>DATE(2017,42,1)</f>
        <v>43983</v>
      </c>
      <c r="AU2" s="9">
        <f>DATE(2017,43,1)</f>
        <v>44013</v>
      </c>
      <c r="AV2" s="9">
        <f>DATE(2017,44,1)</f>
        <v>44044</v>
      </c>
      <c r="AW2" s="9">
        <f>DATE(2017,45,1)</f>
        <v>44075</v>
      </c>
      <c r="AX2" s="9">
        <f>DATE(2017,46,1)</f>
        <v>44105</v>
      </c>
      <c r="AY2" s="9">
        <f>DATE(2017,47,1)</f>
        <v>44136</v>
      </c>
      <c r="AZ2" s="10">
        <f>DATE(2017,48,1)</f>
        <v>44166</v>
      </c>
      <c r="BA2" s="8">
        <f>DATE(2017,49,1)</f>
        <v>44197</v>
      </c>
      <c r="BB2" s="9">
        <f>DATE(2017,50,1)</f>
        <v>44228</v>
      </c>
      <c r="BC2" s="9">
        <f>DATE(2017,51,1)</f>
        <v>44256</v>
      </c>
      <c r="BD2" s="9">
        <f>DATE(2017,52,1)</f>
        <v>44287</v>
      </c>
      <c r="BE2" s="9">
        <f>DATE(2017,53,1)</f>
        <v>44317</v>
      </c>
      <c r="BF2" s="9">
        <f>DATE(2017,54,1)</f>
        <v>44348</v>
      </c>
      <c r="BG2" s="9">
        <f>DATE(2017,55,1)</f>
        <v>44378</v>
      </c>
      <c r="BH2" s="9">
        <f>DATE(2017,56,1)</f>
        <v>44409</v>
      </c>
      <c r="BI2" s="9">
        <f>DATE(2017,57,1)</f>
        <v>44440</v>
      </c>
      <c r="BJ2" s="9">
        <f>DATE(2017,58,1)</f>
        <v>44470</v>
      </c>
      <c r="BK2" s="9">
        <f>DATE(2017,59,1)</f>
        <v>44501</v>
      </c>
      <c r="BL2" s="10">
        <f>DATE(2017,60,1)</f>
        <v>44531</v>
      </c>
      <c r="BM2" s="8">
        <f>DATE(2017,61,1)</f>
        <v>44562</v>
      </c>
      <c r="BN2" s="9">
        <f>DATE(2017,62,1)</f>
        <v>44593</v>
      </c>
      <c r="BO2" s="9">
        <f>DATE(2017,63,1)</f>
        <v>44621</v>
      </c>
      <c r="BP2" s="9">
        <f>DATE(2017,64,1)</f>
        <v>44652</v>
      </c>
      <c r="BQ2" s="9">
        <f>DATE(2017,65,1)</f>
        <v>44682</v>
      </c>
      <c r="BR2" s="9">
        <f>DATE(2017,66,1)</f>
        <v>44713</v>
      </c>
      <c r="BS2" s="9">
        <f>DATE(2017,67,1)</f>
        <v>44743</v>
      </c>
      <c r="BT2" s="9">
        <f>DATE(2017,68,1)</f>
        <v>44774</v>
      </c>
      <c r="BU2" s="9">
        <f>DATE(2017,69,1)</f>
        <v>44805</v>
      </c>
      <c r="BV2" s="9">
        <f>DATE(2017,70,1)</f>
        <v>44835</v>
      </c>
      <c r="BW2" s="9">
        <f>DATE(2017,71,1)</f>
        <v>44866</v>
      </c>
      <c r="BX2" s="10">
        <f>DATE(2017,72,1)</f>
        <v>44896</v>
      </c>
      <c r="BY2" s="8">
        <f>DATE(2017,73,1)</f>
        <v>44927</v>
      </c>
      <c r="BZ2" s="9">
        <f>DATE(2017,74,1)</f>
        <v>44958</v>
      </c>
      <c r="CA2" s="9">
        <f>DATE(2017,75,1)</f>
        <v>44986</v>
      </c>
      <c r="CB2" s="9">
        <f>DATE(2017,76,1)</f>
        <v>45017</v>
      </c>
      <c r="CC2" s="9">
        <f>DATE(2017,77,1)</f>
        <v>45047</v>
      </c>
      <c r="CD2" s="9">
        <f>DATE(2017,78,1)</f>
        <v>45078</v>
      </c>
      <c r="CE2" s="9">
        <f>DATE(2017,79,1)</f>
        <v>45108</v>
      </c>
      <c r="CF2" s="9">
        <f>DATE(2017,80,1)</f>
        <v>45139</v>
      </c>
      <c r="CG2" s="9">
        <f>DATE(2017,81,1)</f>
        <v>45170</v>
      </c>
      <c r="CH2" s="9">
        <f>DATE(2017,82,1)</f>
        <v>45200</v>
      </c>
      <c r="CI2" s="9">
        <f>DATE(2017,83,1)</f>
        <v>45231</v>
      </c>
      <c r="CJ2" s="10">
        <f>DATE(2017,84,1)</f>
        <v>45261</v>
      </c>
      <c r="CK2" s="8">
        <f>DATE(2017,85,1)</f>
        <v>45292</v>
      </c>
      <c r="CL2" s="9">
        <f>DATE(2017,86,1)</f>
        <v>45323</v>
      </c>
      <c r="CM2" s="9">
        <f>DATE(2017,87,1)</f>
        <v>45352</v>
      </c>
      <c r="CN2" s="9">
        <f>DATE(2017,88,1)</f>
        <v>45383</v>
      </c>
      <c r="CO2" s="9">
        <f>DATE(2017,89,1)</f>
        <v>45413</v>
      </c>
      <c r="CP2" s="9">
        <f>DATE(2017,90,1)</f>
        <v>45444</v>
      </c>
      <c r="CQ2" s="9">
        <f>DATE(2017,91,1)</f>
        <v>45474</v>
      </c>
      <c r="CR2" s="9">
        <f>DATE(2017,92,1)</f>
        <v>45505</v>
      </c>
      <c r="CS2" s="9">
        <f>DATE(2017,93,1)</f>
        <v>45536</v>
      </c>
      <c r="CT2" s="9">
        <f>DATE(2017,94,1)</f>
        <v>45566</v>
      </c>
      <c r="CU2" s="9">
        <f>DATE(2017,95,1)</f>
        <v>45597</v>
      </c>
      <c r="CV2" s="10">
        <f>DATE(2017,96,1)</f>
        <v>45627</v>
      </c>
      <c r="CW2" s="8">
        <f>DATE(2017,97,1)</f>
        <v>45658</v>
      </c>
      <c r="CX2" s="9">
        <f>DATE(2017,98,1)</f>
        <v>45689</v>
      </c>
      <c r="CY2" s="9">
        <f>DATE(2017,99,1)</f>
        <v>45717</v>
      </c>
      <c r="CZ2" s="9">
        <f>DATE(2017,100,1)</f>
        <v>45748</v>
      </c>
      <c r="DA2" s="9">
        <f>DATE(2017,101,1)</f>
        <v>45778</v>
      </c>
      <c r="DB2" s="9">
        <f>DATE(2017,102,1)</f>
        <v>45809</v>
      </c>
      <c r="DC2" s="9">
        <f>DATE(2017,103,1)</f>
        <v>45839</v>
      </c>
      <c r="DD2" s="9">
        <f>DATE(2017,104,1)</f>
        <v>45870</v>
      </c>
      <c r="DE2" s="9">
        <f>DATE(2017,105,1)</f>
        <v>45901</v>
      </c>
      <c r="DF2" s="9">
        <f>DATE(2017,106,1)</f>
        <v>45931</v>
      </c>
      <c r="DG2" s="9">
        <f>DATE(2017,107,1)</f>
        <v>45962</v>
      </c>
      <c r="DH2" s="10">
        <f>DATE(2017,108,1)</f>
        <v>45992</v>
      </c>
    </row>
    <row r="3" spans="1:112" x14ac:dyDescent="0.25">
      <c r="A3" s="13"/>
      <c r="B3" s="13"/>
      <c r="C3" s="13"/>
      <c r="D3" s="16" t="s">
        <v>6</v>
      </c>
      <c r="E3" s="14"/>
      <c r="F3" s="13"/>
      <c r="G3" s="13"/>
      <c r="H3" s="13"/>
      <c r="I3" s="13"/>
      <c r="J3" s="13"/>
      <c r="K3" s="13"/>
      <c r="L3" s="13"/>
      <c r="M3" s="13"/>
      <c r="N3" s="13"/>
      <c r="O3" s="13"/>
      <c r="P3" s="15"/>
      <c r="Q3" s="14"/>
      <c r="R3" s="13"/>
      <c r="S3" s="13"/>
      <c r="T3" s="13"/>
      <c r="U3" s="13"/>
      <c r="V3" s="13"/>
      <c r="W3" s="13"/>
      <c r="X3" s="13"/>
      <c r="Y3" s="13"/>
      <c r="Z3" s="13"/>
      <c r="AA3" s="13"/>
      <c r="AB3" s="15"/>
      <c r="AC3" s="14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5"/>
      <c r="AO3" s="14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5"/>
      <c r="BA3" s="14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5"/>
      <c r="BM3" s="14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5"/>
      <c r="BY3" s="14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5"/>
      <c r="CK3" s="14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5"/>
      <c r="CW3" s="14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5"/>
    </row>
    <row r="4" spans="1:112" x14ac:dyDescent="0.25">
      <c r="A4" s="13"/>
      <c r="B4" s="13"/>
      <c r="C4" s="13"/>
      <c r="D4" s="16" t="s">
        <v>7</v>
      </c>
      <c r="E4" s="14"/>
      <c r="F4" s="13"/>
      <c r="G4" s="13"/>
      <c r="H4" s="13"/>
      <c r="I4" s="13"/>
      <c r="J4" s="13"/>
      <c r="K4" s="13"/>
      <c r="L4" s="13"/>
      <c r="M4" s="13"/>
      <c r="N4" s="13"/>
      <c r="O4" s="13"/>
      <c r="P4" s="15"/>
      <c r="Q4" s="14"/>
      <c r="R4" s="13"/>
      <c r="S4" s="13"/>
      <c r="T4" s="13"/>
      <c r="U4" s="13"/>
      <c r="V4" s="13"/>
      <c r="W4" s="13"/>
      <c r="X4" s="13"/>
      <c r="Y4" s="13"/>
      <c r="Z4" s="13"/>
      <c r="AA4" s="13"/>
      <c r="AB4" s="15"/>
      <c r="AC4" s="14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5"/>
      <c r="AO4" s="14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5"/>
      <c r="BA4" s="14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5"/>
      <c r="BM4" s="14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5"/>
      <c r="BY4" s="14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5"/>
      <c r="CK4" s="14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5"/>
      <c r="CW4" s="14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5"/>
    </row>
    <row r="5" spans="1:112" x14ac:dyDescent="0.25">
      <c r="A5" s="13"/>
      <c r="B5" s="13"/>
      <c r="C5" s="13"/>
      <c r="D5" s="16" t="s">
        <v>8</v>
      </c>
      <c r="E5" s="14"/>
      <c r="F5" s="13"/>
      <c r="G5" s="13"/>
      <c r="H5" s="13"/>
      <c r="I5" s="13"/>
      <c r="J5" s="13"/>
      <c r="K5" s="13"/>
      <c r="L5" s="13"/>
      <c r="M5" s="13"/>
      <c r="N5" s="13"/>
      <c r="O5" s="13"/>
      <c r="P5" s="15"/>
      <c r="Q5" s="14"/>
      <c r="R5" s="13"/>
      <c r="S5" s="13"/>
      <c r="T5" s="13"/>
      <c r="U5" s="13"/>
      <c r="V5" s="13"/>
      <c r="W5" s="13"/>
      <c r="X5" s="13"/>
      <c r="Y5" s="13"/>
      <c r="Z5" s="13"/>
      <c r="AA5" s="13"/>
      <c r="AB5" s="15"/>
      <c r="AC5" s="14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5"/>
      <c r="AO5" s="14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5"/>
      <c r="BA5" s="14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5"/>
      <c r="BM5" s="14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5"/>
      <c r="BY5" s="14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5"/>
      <c r="CK5" s="14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5"/>
      <c r="CW5" s="14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5"/>
    </row>
    <row r="6" spans="1:112" x14ac:dyDescent="0.25">
      <c r="A6" s="13"/>
      <c r="B6" s="13"/>
      <c r="C6" s="13"/>
      <c r="D6" s="16" t="s">
        <v>9</v>
      </c>
      <c r="E6" s="14"/>
      <c r="F6" s="13"/>
      <c r="G6" s="13"/>
      <c r="H6" s="13"/>
      <c r="I6" s="13"/>
      <c r="J6" s="13"/>
      <c r="K6" s="13"/>
      <c r="L6" s="13"/>
      <c r="M6" s="13"/>
      <c r="N6" s="13"/>
      <c r="O6" s="13"/>
      <c r="P6" s="15"/>
      <c r="Q6" s="14"/>
      <c r="R6" s="13"/>
      <c r="S6" s="13"/>
      <c r="T6" s="13"/>
      <c r="U6" s="13"/>
      <c r="V6" s="13"/>
      <c r="W6" s="13"/>
      <c r="X6" s="13"/>
      <c r="Y6" s="13"/>
      <c r="Z6" s="13"/>
      <c r="AA6" s="13"/>
      <c r="AB6" s="15"/>
      <c r="AC6" s="14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5"/>
      <c r="AO6" s="14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5"/>
      <c r="BA6" s="14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5"/>
      <c r="BM6" s="14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5"/>
      <c r="BY6" s="14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5"/>
      <c r="CK6" s="14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5"/>
      <c r="CW6" s="14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5"/>
    </row>
    <row r="7" spans="1:112" x14ac:dyDescent="0.25">
      <c r="A7" s="13"/>
      <c r="B7" s="13"/>
      <c r="C7" s="13"/>
      <c r="D7" s="16" t="s">
        <v>10</v>
      </c>
      <c r="E7" s="14"/>
      <c r="F7" s="13"/>
      <c r="G7" s="13"/>
      <c r="H7" s="13"/>
      <c r="I7" s="13"/>
      <c r="J7" s="13"/>
      <c r="K7" s="13"/>
      <c r="L7" s="13"/>
      <c r="M7" s="13"/>
      <c r="N7" s="13"/>
      <c r="O7" s="13"/>
      <c r="P7" s="15"/>
      <c r="Q7" s="14"/>
      <c r="R7" s="13"/>
      <c r="S7" s="13"/>
      <c r="T7" s="13"/>
      <c r="U7" s="13"/>
      <c r="V7" s="13"/>
      <c r="W7" s="13"/>
      <c r="X7" s="13"/>
      <c r="Y7" s="13"/>
      <c r="Z7" s="13"/>
      <c r="AA7" s="13"/>
      <c r="AB7" s="15"/>
      <c r="AC7" s="14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5"/>
      <c r="AO7" s="14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5"/>
      <c r="BA7" s="14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5"/>
      <c r="BM7" s="14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5"/>
      <c r="BY7" s="14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5"/>
      <c r="CK7" s="14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5"/>
      <c r="CW7" s="14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5"/>
    </row>
    <row r="8" spans="1:112" x14ac:dyDescent="0.25">
      <c r="A8" s="13"/>
      <c r="B8" s="13"/>
      <c r="C8" s="13"/>
      <c r="D8" s="16" t="s">
        <v>11</v>
      </c>
      <c r="E8" s="14"/>
      <c r="F8" s="13"/>
      <c r="G8" s="13"/>
      <c r="H8" s="13"/>
      <c r="I8" s="13"/>
      <c r="J8" s="13"/>
      <c r="K8" s="13"/>
      <c r="L8" s="13"/>
      <c r="M8" s="13"/>
      <c r="N8" s="13"/>
      <c r="O8" s="13"/>
      <c r="P8" s="15"/>
      <c r="Q8" s="14"/>
      <c r="R8" s="13"/>
      <c r="S8" s="13"/>
      <c r="T8" s="13"/>
      <c r="U8" s="13"/>
      <c r="V8" s="13"/>
      <c r="W8" s="13"/>
      <c r="X8" s="13"/>
      <c r="Y8" s="13"/>
      <c r="Z8" s="13"/>
      <c r="AA8" s="13"/>
      <c r="AB8" s="15"/>
      <c r="AC8" s="14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5"/>
      <c r="AO8" s="14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5"/>
      <c r="BA8" s="14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5"/>
      <c r="BM8" s="14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5"/>
      <c r="BY8" s="14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5"/>
      <c r="CK8" s="14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5"/>
      <c r="CW8" s="14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5"/>
    </row>
    <row r="9" spans="1:112" x14ac:dyDescent="0.25">
      <c r="A9" s="13"/>
      <c r="B9" s="13"/>
      <c r="C9" s="13"/>
      <c r="D9" s="16" t="s">
        <v>12</v>
      </c>
      <c r="E9" s="14"/>
      <c r="F9" s="13"/>
      <c r="G9" s="13"/>
      <c r="H9" s="13"/>
      <c r="I9" s="13"/>
      <c r="J9" s="13"/>
      <c r="K9" s="13"/>
      <c r="L9" s="13"/>
      <c r="M9" s="13"/>
      <c r="N9" s="13"/>
      <c r="O9" s="13"/>
      <c r="P9" s="15"/>
      <c r="Q9" s="14"/>
      <c r="R9" s="13"/>
      <c r="S9" s="13"/>
      <c r="T9" s="13"/>
      <c r="U9" s="13"/>
      <c r="V9" s="13"/>
      <c r="W9" s="13"/>
      <c r="X9" s="13"/>
      <c r="Y9" s="13"/>
      <c r="Z9" s="13"/>
      <c r="AA9" s="13"/>
      <c r="AB9" s="15"/>
      <c r="AC9" s="14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5"/>
      <c r="AO9" s="14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5"/>
      <c r="BA9" s="14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5"/>
      <c r="BM9" s="14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5"/>
      <c r="BY9" s="14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5"/>
      <c r="CK9" s="14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5"/>
      <c r="CW9" s="14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5"/>
    </row>
    <row r="10" spans="1:112" x14ac:dyDescent="0.25">
      <c r="A10" s="13"/>
      <c r="B10" s="13"/>
      <c r="C10" s="13"/>
      <c r="D10" s="16" t="s">
        <v>13</v>
      </c>
      <c r="E10" s="14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5"/>
      <c r="Q10" s="14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5"/>
      <c r="AC10" s="14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5"/>
      <c r="AO10" s="14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5"/>
      <c r="BA10" s="14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5"/>
      <c r="BM10" s="14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5"/>
      <c r="BY10" s="14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5"/>
      <c r="CK10" s="14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5"/>
      <c r="CW10" s="14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5"/>
    </row>
    <row r="11" spans="1:112" x14ac:dyDescent="0.25">
      <c r="A11" s="13"/>
      <c r="B11" s="13"/>
      <c r="C11" s="13"/>
      <c r="D11" s="16" t="s">
        <v>14</v>
      </c>
      <c r="E11" s="14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5"/>
      <c r="Q11" s="14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5"/>
      <c r="AC11" s="14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5"/>
      <c r="AO11" s="14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5"/>
      <c r="BA11" s="14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5"/>
      <c r="BM11" s="14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5"/>
      <c r="BY11" s="14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5"/>
      <c r="CK11" s="14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5"/>
      <c r="CW11" s="14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5"/>
    </row>
    <row r="12" spans="1:112" x14ac:dyDescent="0.25">
      <c r="A12" s="13"/>
      <c r="B12" s="13"/>
      <c r="C12" s="13"/>
      <c r="D12" s="16" t="s">
        <v>15</v>
      </c>
      <c r="E12" s="14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5"/>
      <c r="Q12" s="14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5"/>
      <c r="AC12" s="14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5"/>
      <c r="AO12" s="14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5"/>
      <c r="BA12" s="14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5"/>
      <c r="BM12" s="14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5"/>
      <c r="BY12" s="14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5"/>
      <c r="CK12" s="14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5"/>
      <c r="CW12" s="14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5"/>
    </row>
    <row r="13" spans="1:112" x14ac:dyDescent="0.25">
      <c r="A13" s="13"/>
      <c r="B13" s="13"/>
      <c r="C13" s="13"/>
      <c r="D13" s="16" t="s">
        <v>16</v>
      </c>
      <c r="E13" s="14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5"/>
      <c r="Q13" s="14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5"/>
      <c r="AC13" s="14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5"/>
      <c r="AO13" s="14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5"/>
      <c r="BA13" s="14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5"/>
      <c r="BM13" s="14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5"/>
      <c r="BY13" s="14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5"/>
      <c r="CK13" s="14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5"/>
      <c r="CW13" s="14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5"/>
    </row>
    <row r="14" spans="1:112" x14ac:dyDescent="0.25">
      <c r="A14" s="13"/>
      <c r="B14" s="13"/>
      <c r="C14" s="13"/>
      <c r="D14" s="16" t="s">
        <v>17</v>
      </c>
      <c r="E14" s="14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5"/>
      <c r="Q14" s="14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5"/>
      <c r="AC14" s="14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5"/>
      <c r="AO14" s="14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5"/>
      <c r="BA14" s="14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5"/>
      <c r="BM14" s="14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5"/>
      <c r="BY14" s="14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5"/>
      <c r="CK14" s="14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5"/>
      <c r="CW14" s="14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5"/>
    </row>
    <row r="15" spans="1:112" x14ac:dyDescent="0.25">
      <c r="A15" s="13"/>
      <c r="B15" s="13"/>
      <c r="C15" s="13"/>
      <c r="D15" s="16" t="s">
        <v>18</v>
      </c>
      <c r="E15" s="14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5"/>
      <c r="Q15" s="14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5"/>
      <c r="AC15" s="14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5"/>
      <c r="AO15" s="14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5"/>
      <c r="BA15" s="14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5"/>
      <c r="BM15" s="14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5"/>
      <c r="BY15" s="14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5"/>
      <c r="CK15" s="14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5"/>
      <c r="CW15" s="14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5"/>
    </row>
    <row r="16" spans="1:112" x14ac:dyDescent="0.25">
      <c r="A16" s="13"/>
      <c r="B16" s="13"/>
      <c r="C16" s="13"/>
      <c r="D16" s="16" t="s">
        <v>19</v>
      </c>
      <c r="E16" s="14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5"/>
      <c r="Q16" s="14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5"/>
      <c r="AC16" s="14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5"/>
      <c r="AO16" s="14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5"/>
      <c r="BA16" s="14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5"/>
      <c r="BM16" s="14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5"/>
      <c r="BY16" s="14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5"/>
      <c r="CK16" s="14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5"/>
      <c r="CW16" s="14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5"/>
    </row>
    <row r="17" spans="1:112" x14ac:dyDescent="0.25">
      <c r="A17" s="13"/>
      <c r="B17" s="13"/>
      <c r="C17" s="13"/>
      <c r="D17" s="16" t="s">
        <v>20</v>
      </c>
      <c r="E17" s="14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5"/>
      <c r="Q17" s="14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5"/>
      <c r="AC17" s="14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5"/>
      <c r="AO17" s="14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5"/>
      <c r="BA17" s="14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5"/>
      <c r="BM17" s="14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5"/>
      <c r="BY17" s="14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5"/>
      <c r="CK17" s="14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5"/>
      <c r="CW17" s="14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5"/>
    </row>
    <row r="18" spans="1:112" x14ac:dyDescent="0.25">
      <c r="A18" s="13"/>
      <c r="B18" s="13"/>
      <c r="C18" s="13"/>
      <c r="D18" s="16" t="s">
        <v>21</v>
      </c>
      <c r="E18" s="14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5"/>
      <c r="Q18" s="14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5"/>
      <c r="AC18" s="14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5"/>
      <c r="AO18" s="14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5"/>
      <c r="BA18" s="14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5"/>
      <c r="BM18" s="14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5"/>
      <c r="BY18" s="14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5"/>
      <c r="CK18" s="14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5"/>
      <c r="CW18" s="14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5"/>
    </row>
    <row r="19" spans="1:112" x14ac:dyDescent="0.25">
      <c r="A19" s="13"/>
      <c r="B19" s="13"/>
      <c r="C19" s="13"/>
      <c r="D19" s="16" t="s">
        <v>22</v>
      </c>
      <c r="E19" s="14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5"/>
      <c r="Q19" s="14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5"/>
      <c r="AC19" s="14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5"/>
      <c r="AO19" s="14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5"/>
      <c r="BA19" s="14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5"/>
      <c r="BM19" s="14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5"/>
      <c r="BY19" s="14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5"/>
      <c r="CK19" s="14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5"/>
      <c r="CW19" s="14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5"/>
    </row>
    <row r="20" spans="1:112" x14ac:dyDescent="0.25">
      <c r="A20" s="13"/>
      <c r="B20" s="13"/>
      <c r="C20" s="13"/>
      <c r="D20" s="16" t="s">
        <v>23</v>
      </c>
      <c r="E20" s="14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5"/>
      <c r="Q20" s="14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5"/>
      <c r="AC20" s="14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5"/>
      <c r="AO20" s="14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5"/>
      <c r="BA20" s="14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5"/>
      <c r="BM20" s="14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5"/>
      <c r="BY20" s="14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5"/>
      <c r="CK20" s="14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5"/>
      <c r="CW20" s="14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5"/>
    </row>
    <row r="21" spans="1:112" x14ac:dyDescent="0.25">
      <c r="A21" s="13"/>
      <c r="B21" s="13"/>
      <c r="C21" s="13"/>
      <c r="D21" s="16" t="s">
        <v>24</v>
      </c>
      <c r="E21" s="14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5"/>
      <c r="Q21" s="14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5"/>
      <c r="AC21" s="14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5"/>
      <c r="AO21" s="14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5"/>
      <c r="BA21" s="14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5"/>
      <c r="BM21" s="14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5"/>
      <c r="BY21" s="14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5"/>
      <c r="CK21" s="14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5"/>
      <c r="CW21" s="14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5"/>
    </row>
    <row r="22" spans="1:112" x14ac:dyDescent="0.25">
      <c r="A22" s="13"/>
      <c r="B22" s="13"/>
      <c r="C22" s="13"/>
      <c r="D22" s="16" t="s">
        <v>25</v>
      </c>
      <c r="E22" s="14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5"/>
      <c r="Q22" s="14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5"/>
      <c r="AC22" s="14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5"/>
      <c r="AO22" s="14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5"/>
      <c r="BA22" s="14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5"/>
      <c r="BM22" s="14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5"/>
      <c r="BY22" s="14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5"/>
      <c r="CK22" s="14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5"/>
      <c r="CW22" s="14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5"/>
    </row>
    <row r="23" spans="1:112" x14ac:dyDescent="0.25">
      <c r="A23" s="13"/>
      <c r="B23" s="13"/>
      <c r="C23" s="13"/>
      <c r="D23" s="16" t="s">
        <v>26</v>
      </c>
      <c r="E23" s="14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5"/>
      <c r="Q23" s="14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5"/>
      <c r="AC23" s="14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5"/>
      <c r="AO23" s="14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5"/>
      <c r="BA23" s="14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5"/>
      <c r="BM23" s="14"/>
      <c r="BN23" s="13"/>
      <c r="BO23" s="13"/>
      <c r="BP23" s="13"/>
      <c r="BQ23" s="13"/>
      <c r="BR23" s="13"/>
      <c r="BS23" s="13"/>
      <c r="BT23" s="13"/>
      <c r="BU23" s="13"/>
      <c r="BV23" s="13"/>
      <c r="BW23" s="13"/>
      <c r="BX23" s="15"/>
      <c r="BY23" s="14"/>
      <c r="BZ23" s="13"/>
      <c r="CA23" s="13"/>
      <c r="CB23" s="13"/>
      <c r="CC23" s="13"/>
      <c r="CD23" s="13"/>
      <c r="CE23" s="13"/>
      <c r="CF23" s="13"/>
      <c r="CG23" s="13"/>
      <c r="CH23" s="13"/>
      <c r="CI23" s="13"/>
      <c r="CJ23" s="15"/>
      <c r="CK23" s="14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5"/>
      <c r="CW23" s="14"/>
      <c r="CX23" s="13"/>
      <c r="CY23" s="13"/>
      <c r="CZ23" s="13"/>
      <c r="DA23" s="13"/>
      <c r="DB23" s="13"/>
      <c r="DC23" s="13"/>
      <c r="DD23" s="13"/>
      <c r="DE23" s="13"/>
      <c r="DF23" s="13"/>
      <c r="DG23" s="13"/>
      <c r="DH23" s="15"/>
    </row>
    <row r="24" spans="1:112" x14ac:dyDescent="0.25">
      <c r="A24" s="13"/>
      <c r="B24" s="13"/>
      <c r="C24" s="13"/>
      <c r="D24" s="16" t="s">
        <v>27</v>
      </c>
      <c r="E24" s="14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5"/>
      <c r="Q24" s="14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5"/>
      <c r="AC24" s="14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5"/>
      <c r="AO24" s="14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5"/>
      <c r="BA24" s="14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5"/>
      <c r="BM24" s="14"/>
      <c r="BN24" s="13"/>
      <c r="BO24" s="13"/>
      <c r="BP24" s="13"/>
      <c r="BQ24" s="13"/>
      <c r="BR24" s="13"/>
      <c r="BS24" s="13"/>
      <c r="BT24" s="13"/>
      <c r="BU24" s="13"/>
      <c r="BV24" s="13"/>
      <c r="BW24" s="13"/>
      <c r="BX24" s="15"/>
      <c r="BY24" s="14"/>
      <c r="BZ24" s="13"/>
      <c r="CA24" s="13"/>
      <c r="CB24" s="13"/>
      <c r="CC24" s="13"/>
      <c r="CD24" s="13"/>
      <c r="CE24" s="13"/>
      <c r="CF24" s="13"/>
      <c r="CG24" s="13"/>
      <c r="CH24" s="13"/>
      <c r="CI24" s="13"/>
      <c r="CJ24" s="15"/>
      <c r="CK24" s="14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5"/>
      <c r="CW24" s="14"/>
      <c r="CX24" s="13"/>
      <c r="CY24" s="13"/>
      <c r="CZ24" s="13"/>
      <c r="DA24" s="13"/>
      <c r="DB24" s="13"/>
      <c r="DC24" s="13"/>
      <c r="DD24" s="13"/>
      <c r="DE24" s="13"/>
      <c r="DF24" s="13"/>
      <c r="DG24" s="13"/>
      <c r="DH24" s="15"/>
    </row>
    <row r="25" spans="1:112" x14ac:dyDescent="0.25">
      <c r="A25" s="13"/>
      <c r="B25" s="13"/>
      <c r="C25" s="13"/>
      <c r="D25" s="16" t="s">
        <v>28</v>
      </c>
      <c r="E25" s="14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5"/>
      <c r="Q25" s="14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5"/>
      <c r="AC25" s="14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5"/>
      <c r="AO25" s="14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5"/>
      <c r="BA25" s="14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5"/>
      <c r="BM25" s="14"/>
      <c r="BN25" s="13"/>
      <c r="BO25" s="13"/>
      <c r="BP25" s="13"/>
      <c r="BQ25" s="13"/>
      <c r="BR25" s="13"/>
      <c r="BS25" s="13"/>
      <c r="BT25" s="13"/>
      <c r="BU25" s="13"/>
      <c r="BV25" s="13"/>
      <c r="BW25" s="13"/>
      <c r="BX25" s="15"/>
      <c r="BY25" s="14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5"/>
      <c r="CK25" s="14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5"/>
      <c r="CW25" s="14"/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5"/>
    </row>
    <row r="26" spans="1:112" x14ac:dyDescent="0.25">
      <c r="A26" s="13"/>
      <c r="B26" s="13"/>
      <c r="C26" s="13"/>
      <c r="D26" s="16" t="s">
        <v>29</v>
      </c>
      <c r="E26" s="14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5"/>
      <c r="Q26" s="14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5"/>
      <c r="AC26" s="14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5"/>
      <c r="AO26" s="14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5"/>
      <c r="BA26" s="14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5"/>
      <c r="BM26" s="14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5"/>
      <c r="BY26" s="14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5"/>
      <c r="CK26" s="14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5"/>
      <c r="CW26" s="14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5"/>
    </row>
    <row r="27" spans="1:112" x14ac:dyDescent="0.25">
      <c r="A27" s="13"/>
      <c r="B27" s="13"/>
      <c r="C27" s="13"/>
      <c r="D27" s="16" t="s">
        <v>30</v>
      </c>
      <c r="E27" s="14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5"/>
      <c r="Q27" s="14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5"/>
      <c r="AC27" s="14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5"/>
      <c r="AO27" s="14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5"/>
      <c r="BA27" s="14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5"/>
      <c r="BM27" s="14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5"/>
      <c r="BY27" s="14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5"/>
      <c r="CK27" s="14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5"/>
      <c r="CW27" s="14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5"/>
    </row>
    <row r="28" spans="1:112" x14ac:dyDescent="0.25">
      <c r="A28" s="13"/>
      <c r="B28" s="13"/>
      <c r="C28" s="13"/>
      <c r="D28" s="16" t="s">
        <v>31</v>
      </c>
      <c r="E28" s="14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5"/>
      <c r="Q28" s="14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5"/>
      <c r="AC28" s="14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5"/>
      <c r="AO28" s="14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5"/>
      <c r="BA28" s="14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5"/>
      <c r="BM28" s="14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5"/>
      <c r="BY28" s="14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5"/>
      <c r="CK28" s="14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5"/>
      <c r="CW28" s="14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5"/>
    </row>
    <row r="29" spans="1:112" x14ac:dyDescent="0.25">
      <c r="A29" s="13"/>
      <c r="B29" s="13"/>
      <c r="C29" s="13"/>
      <c r="D29" s="16" t="s">
        <v>32</v>
      </c>
      <c r="E29" s="14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5"/>
      <c r="Q29" s="14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5"/>
      <c r="AC29" s="14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5"/>
      <c r="AO29" s="14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5"/>
      <c r="BA29" s="14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5"/>
      <c r="BM29" s="14"/>
      <c r="BN29" s="13"/>
      <c r="BO29" s="13"/>
      <c r="BP29" s="13"/>
      <c r="BQ29" s="13"/>
      <c r="BR29" s="13"/>
      <c r="BS29" s="13"/>
      <c r="BT29" s="13"/>
      <c r="BU29" s="13"/>
      <c r="BV29" s="13"/>
      <c r="BW29" s="13"/>
      <c r="BX29" s="15"/>
      <c r="BY29" s="14"/>
      <c r="BZ29" s="13"/>
      <c r="CA29" s="13"/>
      <c r="CB29" s="13"/>
      <c r="CC29" s="13"/>
      <c r="CD29" s="13"/>
      <c r="CE29" s="13"/>
      <c r="CF29" s="13"/>
      <c r="CG29" s="13"/>
      <c r="CH29" s="13"/>
      <c r="CI29" s="13"/>
      <c r="CJ29" s="15"/>
      <c r="CK29" s="14"/>
      <c r="CL29" s="13"/>
      <c r="CM29" s="13"/>
      <c r="CN29" s="13"/>
      <c r="CO29" s="13"/>
      <c r="CP29" s="13"/>
      <c r="CQ29" s="13"/>
      <c r="CR29" s="13"/>
      <c r="CS29" s="13"/>
      <c r="CT29" s="13"/>
      <c r="CU29" s="13"/>
      <c r="CV29" s="15"/>
      <c r="CW29" s="14"/>
      <c r="CX29" s="13"/>
      <c r="CY29" s="13"/>
      <c r="CZ29" s="13"/>
      <c r="DA29" s="13"/>
      <c r="DB29" s="13"/>
      <c r="DC29" s="13"/>
      <c r="DD29" s="13"/>
      <c r="DE29" s="13"/>
      <c r="DF29" s="13"/>
      <c r="DG29" s="13"/>
      <c r="DH29" s="15"/>
    </row>
    <row r="30" spans="1:112" x14ac:dyDescent="0.25">
      <c r="A30" s="13"/>
      <c r="B30" s="13"/>
      <c r="C30" s="13"/>
      <c r="D30" s="16" t="s">
        <v>33</v>
      </c>
      <c r="E30" s="14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5"/>
      <c r="Q30" s="14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5"/>
      <c r="AC30" s="14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5"/>
      <c r="AO30" s="14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5"/>
      <c r="BA30" s="14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5"/>
      <c r="BM30" s="14"/>
      <c r="BN30" s="13"/>
      <c r="BO30" s="13"/>
      <c r="BP30" s="13"/>
      <c r="BQ30" s="13"/>
      <c r="BR30" s="13"/>
      <c r="BS30" s="13"/>
      <c r="BT30" s="13"/>
      <c r="BU30" s="13"/>
      <c r="BV30" s="13"/>
      <c r="BW30" s="13"/>
      <c r="BX30" s="15"/>
      <c r="BY30" s="14"/>
      <c r="BZ30" s="13"/>
      <c r="CA30" s="13"/>
      <c r="CB30" s="13"/>
      <c r="CC30" s="13"/>
      <c r="CD30" s="13"/>
      <c r="CE30" s="13"/>
      <c r="CF30" s="13"/>
      <c r="CG30" s="13"/>
      <c r="CH30" s="13"/>
      <c r="CI30" s="13"/>
      <c r="CJ30" s="15"/>
      <c r="CK30" s="14"/>
      <c r="CL30" s="13"/>
      <c r="CM30" s="13"/>
      <c r="CN30" s="13"/>
      <c r="CO30" s="13"/>
      <c r="CP30" s="13"/>
      <c r="CQ30" s="13"/>
      <c r="CR30" s="13"/>
      <c r="CS30" s="13"/>
      <c r="CT30" s="13"/>
      <c r="CU30" s="13"/>
      <c r="CV30" s="15"/>
      <c r="CW30" s="14"/>
      <c r="CX30" s="13"/>
      <c r="CY30" s="13"/>
      <c r="CZ30" s="13"/>
      <c r="DA30" s="13"/>
      <c r="DB30" s="13"/>
      <c r="DC30" s="13"/>
      <c r="DD30" s="13"/>
      <c r="DE30" s="13"/>
      <c r="DF30" s="13"/>
      <c r="DG30" s="13"/>
      <c r="DH30" s="15"/>
    </row>
    <row r="31" spans="1:112" x14ac:dyDescent="0.25">
      <c r="A31" s="13"/>
      <c r="B31" s="13"/>
      <c r="C31" s="13"/>
      <c r="D31" s="16" t="s">
        <v>34</v>
      </c>
      <c r="E31" s="14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5"/>
      <c r="Q31" s="14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5"/>
      <c r="AC31" s="14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5"/>
      <c r="AO31" s="14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5"/>
      <c r="BA31" s="14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5"/>
      <c r="BM31" s="14"/>
      <c r="BN31" s="13"/>
      <c r="BO31" s="13"/>
      <c r="BP31" s="13"/>
      <c r="BQ31" s="13"/>
      <c r="BR31" s="13"/>
      <c r="BS31" s="13"/>
      <c r="BT31" s="13"/>
      <c r="BU31" s="13"/>
      <c r="BV31" s="13"/>
      <c r="BW31" s="13"/>
      <c r="BX31" s="15"/>
      <c r="BY31" s="14"/>
      <c r="BZ31" s="13"/>
      <c r="CA31" s="13"/>
      <c r="CB31" s="13"/>
      <c r="CC31" s="13"/>
      <c r="CD31" s="13"/>
      <c r="CE31" s="13"/>
      <c r="CF31" s="13"/>
      <c r="CG31" s="13"/>
      <c r="CH31" s="13"/>
      <c r="CI31" s="13"/>
      <c r="CJ31" s="15"/>
      <c r="CK31" s="14"/>
      <c r="CL31" s="13"/>
      <c r="CM31" s="13"/>
      <c r="CN31" s="13"/>
      <c r="CO31" s="13"/>
      <c r="CP31" s="13"/>
      <c r="CQ31" s="13"/>
      <c r="CR31" s="13"/>
      <c r="CS31" s="13"/>
      <c r="CT31" s="13"/>
      <c r="CU31" s="13"/>
      <c r="CV31" s="15"/>
      <c r="CW31" s="14"/>
      <c r="CX31" s="13"/>
      <c r="CY31" s="13"/>
      <c r="CZ31" s="13"/>
      <c r="DA31" s="13"/>
      <c r="DB31" s="13"/>
      <c r="DC31" s="13"/>
      <c r="DD31" s="13"/>
      <c r="DE31" s="13"/>
      <c r="DF31" s="13"/>
      <c r="DG31" s="13"/>
      <c r="DH31" s="15"/>
    </row>
    <row r="32" spans="1:112" x14ac:dyDescent="0.25">
      <c r="A32" s="13"/>
      <c r="B32" s="13"/>
      <c r="C32" s="13"/>
      <c r="D32" s="16" t="s">
        <v>35</v>
      </c>
      <c r="E32" s="14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5"/>
      <c r="Q32" s="14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5"/>
      <c r="AC32" s="14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5"/>
      <c r="AO32" s="14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5"/>
      <c r="BA32" s="14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5"/>
      <c r="BM32" s="14"/>
      <c r="BN32" s="13"/>
      <c r="BO32" s="13"/>
      <c r="BP32" s="13"/>
      <c r="BQ32" s="13"/>
      <c r="BR32" s="13"/>
      <c r="BS32" s="13"/>
      <c r="BT32" s="13"/>
      <c r="BU32" s="13"/>
      <c r="BV32" s="13"/>
      <c r="BW32" s="13"/>
      <c r="BX32" s="15"/>
      <c r="BY32" s="14"/>
      <c r="BZ32" s="13"/>
      <c r="CA32" s="13"/>
      <c r="CB32" s="13"/>
      <c r="CC32" s="13"/>
      <c r="CD32" s="13"/>
      <c r="CE32" s="13"/>
      <c r="CF32" s="13"/>
      <c r="CG32" s="13"/>
      <c r="CH32" s="13"/>
      <c r="CI32" s="13"/>
      <c r="CJ32" s="15"/>
      <c r="CK32" s="14"/>
      <c r="CL32" s="13"/>
      <c r="CM32" s="13"/>
      <c r="CN32" s="13"/>
      <c r="CO32" s="13"/>
      <c r="CP32" s="13"/>
      <c r="CQ32" s="13"/>
      <c r="CR32" s="13"/>
      <c r="CS32" s="13"/>
      <c r="CT32" s="13"/>
      <c r="CU32" s="13"/>
      <c r="CV32" s="15"/>
      <c r="CW32" s="14"/>
      <c r="CX32" s="13"/>
      <c r="CY32" s="13"/>
      <c r="CZ32" s="13"/>
      <c r="DA32" s="13"/>
      <c r="DB32" s="13"/>
      <c r="DC32" s="13"/>
      <c r="DD32" s="13"/>
      <c r="DE32" s="13"/>
      <c r="DF32" s="13"/>
      <c r="DG32" s="13"/>
      <c r="DH32" s="15"/>
    </row>
    <row r="33" spans="1:112" x14ac:dyDescent="0.25">
      <c r="A33" s="13"/>
      <c r="B33" s="13"/>
      <c r="C33" s="13"/>
      <c r="D33" s="16" t="s">
        <v>36</v>
      </c>
      <c r="E33" s="14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5"/>
      <c r="Q33" s="14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5"/>
      <c r="AC33" s="14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5"/>
      <c r="AO33" s="14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5"/>
      <c r="BA33" s="14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5"/>
      <c r="BM33" s="14"/>
      <c r="BN33" s="13"/>
      <c r="BO33" s="13"/>
      <c r="BP33" s="13"/>
      <c r="BQ33" s="13"/>
      <c r="BR33" s="13"/>
      <c r="BS33" s="13"/>
      <c r="BT33" s="13"/>
      <c r="BU33" s="13"/>
      <c r="BV33" s="13"/>
      <c r="BW33" s="13"/>
      <c r="BX33" s="15"/>
      <c r="BY33" s="14"/>
      <c r="BZ33" s="13"/>
      <c r="CA33" s="13"/>
      <c r="CB33" s="13"/>
      <c r="CC33" s="13"/>
      <c r="CD33" s="13"/>
      <c r="CE33" s="13"/>
      <c r="CF33" s="13"/>
      <c r="CG33" s="13"/>
      <c r="CH33" s="13"/>
      <c r="CI33" s="13"/>
      <c r="CJ33" s="15"/>
      <c r="CK33" s="14"/>
      <c r="CL33" s="13"/>
      <c r="CM33" s="13"/>
      <c r="CN33" s="13"/>
      <c r="CO33" s="13"/>
      <c r="CP33" s="13"/>
      <c r="CQ33" s="13"/>
      <c r="CR33" s="13"/>
      <c r="CS33" s="13"/>
      <c r="CT33" s="13"/>
      <c r="CU33" s="13"/>
      <c r="CV33" s="15"/>
      <c r="CW33" s="14"/>
      <c r="CX33" s="13"/>
      <c r="CY33" s="13"/>
      <c r="CZ33" s="13"/>
      <c r="DA33" s="13"/>
      <c r="DB33" s="13"/>
      <c r="DC33" s="13"/>
      <c r="DD33" s="13"/>
      <c r="DE33" s="13"/>
      <c r="DF33" s="13"/>
      <c r="DG33" s="13"/>
      <c r="DH33" s="15"/>
    </row>
    <row r="34" spans="1:112" x14ac:dyDescent="0.25">
      <c r="A34" s="13"/>
      <c r="B34" s="13"/>
      <c r="C34" s="13"/>
      <c r="D34" s="16" t="s">
        <v>37</v>
      </c>
      <c r="E34" s="14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5"/>
      <c r="Q34" s="14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5"/>
      <c r="AC34" s="14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5"/>
      <c r="AO34" s="14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5"/>
      <c r="BA34" s="14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5"/>
      <c r="BM34" s="14"/>
      <c r="BN34" s="13"/>
      <c r="BO34" s="13"/>
      <c r="BP34" s="13"/>
      <c r="BQ34" s="13"/>
      <c r="BR34" s="13"/>
      <c r="BS34" s="13"/>
      <c r="BT34" s="13"/>
      <c r="BU34" s="13"/>
      <c r="BV34" s="13"/>
      <c r="BW34" s="13"/>
      <c r="BX34" s="15"/>
      <c r="BY34" s="14"/>
      <c r="BZ34" s="13"/>
      <c r="CA34" s="13"/>
      <c r="CB34" s="13"/>
      <c r="CC34" s="13"/>
      <c r="CD34" s="13"/>
      <c r="CE34" s="13"/>
      <c r="CF34" s="13"/>
      <c r="CG34" s="13"/>
      <c r="CH34" s="13"/>
      <c r="CI34" s="13"/>
      <c r="CJ34" s="15"/>
      <c r="CK34" s="14"/>
      <c r="CL34" s="13"/>
      <c r="CM34" s="13"/>
      <c r="CN34" s="13"/>
      <c r="CO34" s="13"/>
      <c r="CP34" s="13"/>
      <c r="CQ34" s="13"/>
      <c r="CR34" s="13"/>
      <c r="CS34" s="13"/>
      <c r="CT34" s="13"/>
      <c r="CU34" s="13"/>
      <c r="CV34" s="15"/>
      <c r="CW34" s="14"/>
      <c r="CX34" s="13"/>
      <c r="CY34" s="13"/>
      <c r="CZ34" s="13"/>
      <c r="DA34" s="13"/>
      <c r="DB34" s="13"/>
      <c r="DC34" s="13"/>
      <c r="DD34" s="13"/>
      <c r="DE34" s="13"/>
      <c r="DF34" s="13"/>
      <c r="DG34" s="13"/>
      <c r="DH34" s="15"/>
    </row>
    <row r="35" spans="1:112" x14ac:dyDescent="0.25">
      <c r="A35" s="13"/>
      <c r="B35" s="13"/>
      <c r="C35" s="13"/>
      <c r="D35" s="16" t="s">
        <v>38</v>
      </c>
      <c r="E35" s="14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5"/>
      <c r="Q35" s="14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5"/>
      <c r="AC35" s="14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5"/>
      <c r="AO35" s="14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5"/>
      <c r="BA35" s="14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5"/>
      <c r="BM35" s="14"/>
      <c r="BN35" s="13"/>
      <c r="BO35" s="13"/>
      <c r="BP35" s="13"/>
      <c r="BQ35" s="13"/>
      <c r="BR35" s="13"/>
      <c r="BS35" s="13"/>
      <c r="BT35" s="13"/>
      <c r="BU35" s="13"/>
      <c r="BV35" s="13"/>
      <c r="BW35" s="13"/>
      <c r="BX35" s="15"/>
      <c r="BY35" s="14"/>
      <c r="BZ35" s="13"/>
      <c r="CA35" s="13"/>
      <c r="CB35" s="13"/>
      <c r="CC35" s="13"/>
      <c r="CD35" s="13"/>
      <c r="CE35" s="13"/>
      <c r="CF35" s="13"/>
      <c r="CG35" s="13"/>
      <c r="CH35" s="13"/>
      <c r="CI35" s="13"/>
      <c r="CJ35" s="15"/>
      <c r="CK35" s="14"/>
      <c r="CL35" s="13"/>
      <c r="CM35" s="13"/>
      <c r="CN35" s="13"/>
      <c r="CO35" s="13"/>
      <c r="CP35" s="13"/>
      <c r="CQ35" s="13"/>
      <c r="CR35" s="13"/>
      <c r="CS35" s="13"/>
      <c r="CT35" s="13"/>
      <c r="CU35" s="13"/>
      <c r="CV35" s="15"/>
      <c r="CW35" s="14"/>
      <c r="CX35" s="13"/>
      <c r="CY35" s="13"/>
      <c r="CZ35" s="13"/>
      <c r="DA35" s="13"/>
      <c r="DB35" s="13"/>
      <c r="DC35" s="13"/>
      <c r="DD35" s="13"/>
      <c r="DE35" s="13"/>
      <c r="DF35" s="13"/>
      <c r="DG35" s="13"/>
      <c r="DH35" s="15"/>
    </row>
    <row r="36" spans="1:112" x14ac:dyDescent="0.25">
      <c r="A36" s="13"/>
      <c r="B36" s="13"/>
      <c r="C36" s="13"/>
      <c r="D36" s="16" t="s">
        <v>39</v>
      </c>
      <c r="E36" s="14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5"/>
      <c r="Q36" s="14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5"/>
      <c r="AC36" s="14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5"/>
      <c r="AO36" s="14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5"/>
      <c r="BA36" s="14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5"/>
      <c r="BM36" s="14"/>
      <c r="BN36" s="13"/>
      <c r="BO36" s="13"/>
      <c r="BP36" s="13"/>
      <c r="BQ36" s="13"/>
      <c r="BR36" s="13"/>
      <c r="BS36" s="13"/>
      <c r="BT36" s="13"/>
      <c r="BU36" s="13"/>
      <c r="BV36" s="13"/>
      <c r="BW36" s="13"/>
      <c r="BX36" s="15"/>
      <c r="BY36" s="14"/>
      <c r="BZ36" s="13"/>
      <c r="CA36" s="13"/>
      <c r="CB36" s="13"/>
      <c r="CC36" s="13"/>
      <c r="CD36" s="13"/>
      <c r="CE36" s="13"/>
      <c r="CF36" s="13"/>
      <c r="CG36" s="13"/>
      <c r="CH36" s="13"/>
      <c r="CI36" s="13"/>
      <c r="CJ36" s="15"/>
      <c r="CK36" s="14"/>
      <c r="CL36" s="13"/>
      <c r="CM36" s="13"/>
      <c r="CN36" s="13"/>
      <c r="CO36" s="13"/>
      <c r="CP36" s="13"/>
      <c r="CQ36" s="13"/>
      <c r="CR36" s="13"/>
      <c r="CS36" s="13"/>
      <c r="CT36" s="13"/>
      <c r="CU36" s="13"/>
      <c r="CV36" s="15"/>
      <c r="CW36" s="14"/>
      <c r="CX36" s="13"/>
      <c r="CY36" s="13"/>
      <c r="CZ36" s="13"/>
      <c r="DA36" s="13"/>
      <c r="DB36" s="13"/>
      <c r="DC36" s="13"/>
      <c r="DD36" s="13"/>
      <c r="DE36" s="13"/>
      <c r="DF36" s="13"/>
      <c r="DG36" s="13"/>
      <c r="DH36" s="15"/>
    </row>
    <row r="37" spans="1:112" x14ac:dyDescent="0.25">
      <c r="A37" s="13"/>
      <c r="B37" s="13"/>
      <c r="C37" s="13"/>
      <c r="D37" s="16" t="s">
        <v>40</v>
      </c>
      <c r="E37" s="14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5"/>
      <c r="Q37" s="14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5"/>
      <c r="AC37" s="14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5"/>
      <c r="AO37" s="14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5"/>
      <c r="BA37" s="14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5"/>
      <c r="BM37" s="14"/>
      <c r="BN37" s="13"/>
      <c r="BO37" s="13"/>
      <c r="BP37" s="13"/>
      <c r="BQ37" s="13"/>
      <c r="BR37" s="13"/>
      <c r="BS37" s="13"/>
      <c r="BT37" s="13"/>
      <c r="BU37" s="13"/>
      <c r="BV37" s="13"/>
      <c r="BW37" s="13"/>
      <c r="BX37" s="15"/>
      <c r="BY37" s="14"/>
      <c r="BZ37" s="13"/>
      <c r="CA37" s="13"/>
      <c r="CB37" s="13"/>
      <c r="CC37" s="13"/>
      <c r="CD37" s="13"/>
      <c r="CE37" s="13"/>
      <c r="CF37" s="13"/>
      <c r="CG37" s="13"/>
      <c r="CH37" s="13"/>
      <c r="CI37" s="13"/>
      <c r="CJ37" s="15"/>
      <c r="CK37" s="14"/>
      <c r="CL37" s="13"/>
      <c r="CM37" s="13"/>
      <c r="CN37" s="13"/>
      <c r="CO37" s="13"/>
      <c r="CP37" s="13"/>
      <c r="CQ37" s="13"/>
      <c r="CR37" s="13"/>
      <c r="CS37" s="13"/>
      <c r="CT37" s="13"/>
      <c r="CU37" s="13"/>
      <c r="CV37" s="15"/>
      <c r="CW37" s="14"/>
      <c r="CX37" s="13"/>
      <c r="CY37" s="13"/>
      <c r="CZ37" s="13"/>
      <c r="DA37" s="13"/>
      <c r="DB37" s="13"/>
      <c r="DC37" s="13"/>
      <c r="DD37" s="13"/>
      <c r="DE37" s="13"/>
      <c r="DF37" s="13"/>
      <c r="DG37" s="13"/>
      <c r="DH37" s="15"/>
    </row>
    <row r="38" spans="1:112" x14ac:dyDescent="0.25">
      <c r="A38" s="13"/>
      <c r="B38" s="13"/>
      <c r="C38" s="13"/>
      <c r="D38" s="16" t="s">
        <v>41</v>
      </c>
      <c r="E38" s="14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5"/>
      <c r="Q38" s="14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5"/>
      <c r="AC38" s="14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5"/>
      <c r="AO38" s="14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5"/>
      <c r="BA38" s="14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5"/>
      <c r="BM38" s="14"/>
      <c r="BN38" s="13"/>
      <c r="BO38" s="13"/>
      <c r="BP38" s="13"/>
      <c r="BQ38" s="13"/>
      <c r="BR38" s="13"/>
      <c r="BS38" s="13"/>
      <c r="BT38" s="13"/>
      <c r="BU38" s="13"/>
      <c r="BV38" s="13"/>
      <c r="BW38" s="13"/>
      <c r="BX38" s="15"/>
      <c r="BY38" s="14"/>
      <c r="BZ38" s="13"/>
      <c r="CA38" s="13"/>
      <c r="CB38" s="13"/>
      <c r="CC38" s="13"/>
      <c r="CD38" s="13"/>
      <c r="CE38" s="13"/>
      <c r="CF38" s="13"/>
      <c r="CG38" s="13"/>
      <c r="CH38" s="13"/>
      <c r="CI38" s="13"/>
      <c r="CJ38" s="15"/>
      <c r="CK38" s="14"/>
      <c r="CL38" s="13"/>
      <c r="CM38" s="13"/>
      <c r="CN38" s="13"/>
      <c r="CO38" s="13"/>
      <c r="CP38" s="13"/>
      <c r="CQ38" s="13"/>
      <c r="CR38" s="13"/>
      <c r="CS38" s="13"/>
      <c r="CT38" s="13"/>
      <c r="CU38" s="13"/>
      <c r="CV38" s="15"/>
      <c r="CW38" s="14"/>
      <c r="CX38" s="13"/>
      <c r="CY38" s="13"/>
      <c r="CZ38" s="13"/>
      <c r="DA38" s="13"/>
      <c r="DB38" s="13"/>
      <c r="DC38" s="13"/>
      <c r="DD38" s="13"/>
      <c r="DE38" s="13"/>
      <c r="DF38" s="13"/>
      <c r="DG38" s="13"/>
      <c r="DH38" s="15"/>
    </row>
    <row r="39" spans="1:112" x14ac:dyDescent="0.25">
      <c r="A39" s="13"/>
      <c r="B39" s="13"/>
      <c r="C39" s="13"/>
      <c r="D39" s="16" t="s">
        <v>42</v>
      </c>
      <c r="E39" s="14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5"/>
      <c r="Q39" s="14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5"/>
      <c r="AC39" s="14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5"/>
      <c r="AO39" s="14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5"/>
      <c r="BA39" s="14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5"/>
      <c r="BM39" s="14"/>
      <c r="BN39" s="13"/>
      <c r="BO39" s="13"/>
      <c r="BP39" s="13"/>
      <c r="BQ39" s="13"/>
      <c r="BR39" s="13"/>
      <c r="BS39" s="13"/>
      <c r="BT39" s="13"/>
      <c r="BU39" s="13"/>
      <c r="BV39" s="13"/>
      <c r="BW39" s="13"/>
      <c r="BX39" s="15"/>
      <c r="BY39" s="14"/>
      <c r="BZ39" s="13"/>
      <c r="CA39" s="13"/>
      <c r="CB39" s="13"/>
      <c r="CC39" s="13"/>
      <c r="CD39" s="13"/>
      <c r="CE39" s="13"/>
      <c r="CF39" s="13"/>
      <c r="CG39" s="13"/>
      <c r="CH39" s="13"/>
      <c r="CI39" s="13"/>
      <c r="CJ39" s="15"/>
      <c r="CK39" s="14"/>
      <c r="CL39" s="13"/>
      <c r="CM39" s="13"/>
      <c r="CN39" s="13"/>
      <c r="CO39" s="13"/>
      <c r="CP39" s="13"/>
      <c r="CQ39" s="13"/>
      <c r="CR39" s="13"/>
      <c r="CS39" s="13"/>
      <c r="CT39" s="13"/>
      <c r="CU39" s="13"/>
      <c r="CV39" s="15"/>
      <c r="CW39" s="14"/>
      <c r="CX39" s="13"/>
      <c r="CY39" s="13"/>
      <c r="CZ39" s="13"/>
      <c r="DA39" s="13"/>
      <c r="DB39" s="13"/>
      <c r="DC39" s="13"/>
      <c r="DD39" s="13"/>
      <c r="DE39" s="13"/>
      <c r="DF39" s="13"/>
      <c r="DG39" s="13"/>
      <c r="DH39" s="15"/>
    </row>
    <row r="40" spans="1:112" x14ac:dyDescent="0.25">
      <c r="A40" s="13"/>
      <c r="B40" s="13"/>
      <c r="C40" s="13"/>
      <c r="D40" s="16" t="s">
        <v>43</v>
      </c>
      <c r="E40" s="14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5"/>
      <c r="Q40" s="14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5"/>
      <c r="AC40" s="14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5"/>
      <c r="AO40" s="14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5"/>
      <c r="BA40" s="14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5"/>
      <c r="BM40" s="14"/>
      <c r="BN40" s="13"/>
      <c r="BO40" s="13"/>
      <c r="BP40" s="13"/>
      <c r="BQ40" s="13"/>
      <c r="BR40" s="13"/>
      <c r="BS40" s="13"/>
      <c r="BT40" s="13"/>
      <c r="BU40" s="13"/>
      <c r="BV40" s="13"/>
      <c r="BW40" s="13"/>
      <c r="BX40" s="15"/>
      <c r="BY40" s="14"/>
      <c r="BZ40" s="13"/>
      <c r="CA40" s="13"/>
      <c r="CB40" s="13"/>
      <c r="CC40" s="13"/>
      <c r="CD40" s="13"/>
      <c r="CE40" s="13"/>
      <c r="CF40" s="13"/>
      <c r="CG40" s="13"/>
      <c r="CH40" s="13"/>
      <c r="CI40" s="13"/>
      <c r="CJ40" s="15"/>
      <c r="CK40" s="14"/>
      <c r="CL40" s="13"/>
      <c r="CM40" s="13"/>
      <c r="CN40" s="13"/>
      <c r="CO40" s="13"/>
      <c r="CP40" s="13"/>
      <c r="CQ40" s="13"/>
      <c r="CR40" s="13"/>
      <c r="CS40" s="13"/>
      <c r="CT40" s="13"/>
      <c r="CU40" s="13"/>
      <c r="CV40" s="15"/>
      <c r="CW40" s="14"/>
      <c r="CX40" s="13"/>
      <c r="CY40" s="13"/>
      <c r="CZ40" s="13"/>
      <c r="DA40" s="13"/>
      <c r="DB40" s="13"/>
      <c r="DC40" s="13"/>
      <c r="DD40" s="13"/>
      <c r="DE40" s="13"/>
      <c r="DF40" s="13"/>
      <c r="DG40" s="13"/>
      <c r="DH40" s="15"/>
    </row>
    <row r="41" spans="1:112" x14ac:dyDescent="0.25">
      <c r="A41" s="13"/>
      <c r="B41" s="13"/>
      <c r="C41" s="13"/>
      <c r="D41" s="16" t="s">
        <v>44</v>
      </c>
      <c r="E41" s="14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5"/>
      <c r="Q41" s="14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5"/>
      <c r="AC41" s="14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5"/>
      <c r="AO41" s="14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5"/>
      <c r="BA41" s="14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5"/>
      <c r="BM41" s="14"/>
      <c r="BN41" s="13"/>
      <c r="BO41" s="13"/>
      <c r="BP41" s="13"/>
      <c r="BQ41" s="13"/>
      <c r="BR41" s="13"/>
      <c r="BS41" s="13"/>
      <c r="BT41" s="13"/>
      <c r="BU41" s="13"/>
      <c r="BV41" s="13"/>
      <c r="BW41" s="13"/>
      <c r="BX41" s="15"/>
      <c r="BY41" s="14"/>
      <c r="BZ41" s="13"/>
      <c r="CA41" s="13"/>
      <c r="CB41" s="13"/>
      <c r="CC41" s="13"/>
      <c r="CD41" s="13"/>
      <c r="CE41" s="13"/>
      <c r="CF41" s="13"/>
      <c r="CG41" s="13"/>
      <c r="CH41" s="13"/>
      <c r="CI41" s="13"/>
      <c r="CJ41" s="15"/>
      <c r="CK41" s="14"/>
      <c r="CL41" s="13"/>
      <c r="CM41" s="13"/>
      <c r="CN41" s="13"/>
      <c r="CO41" s="13"/>
      <c r="CP41" s="13"/>
      <c r="CQ41" s="13"/>
      <c r="CR41" s="13"/>
      <c r="CS41" s="13"/>
      <c r="CT41" s="13"/>
      <c r="CU41" s="13"/>
      <c r="CV41" s="15"/>
      <c r="CW41" s="14"/>
      <c r="CX41" s="13"/>
      <c r="CY41" s="13"/>
      <c r="CZ41" s="13"/>
      <c r="DA41" s="13"/>
      <c r="DB41" s="13"/>
      <c r="DC41" s="13"/>
      <c r="DD41" s="13"/>
      <c r="DE41" s="13"/>
      <c r="DF41" s="13"/>
      <c r="DG41" s="13"/>
      <c r="DH41" s="15"/>
    </row>
    <row r="42" spans="1:112" x14ac:dyDescent="0.25">
      <c r="A42" s="13"/>
      <c r="B42" s="13"/>
      <c r="C42" s="13"/>
      <c r="D42" s="16" t="s">
        <v>45</v>
      </c>
      <c r="E42" s="14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5"/>
      <c r="Q42" s="14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5"/>
      <c r="AC42" s="14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5"/>
      <c r="AO42" s="14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5"/>
      <c r="BA42" s="14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5"/>
      <c r="BM42" s="14"/>
      <c r="BN42" s="13"/>
      <c r="BO42" s="13"/>
      <c r="BP42" s="13"/>
      <c r="BQ42" s="13"/>
      <c r="BR42" s="13"/>
      <c r="BS42" s="13"/>
      <c r="BT42" s="13"/>
      <c r="BU42" s="13"/>
      <c r="BV42" s="13"/>
      <c r="BW42" s="13"/>
      <c r="BX42" s="15"/>
      <c r="BY42" s="14"/>
      <c r="BZ42" s="13"/>
      <c r="CA42" s="13"/>
      <c r="CB42" s="13"/>
      <c r="CC42" s="13"/>
      <c r="CD42" s="13"/>
      <c r="CE42" s="13"/>
      <c r="CF42" s="13"/>
      <c r="CG42" s="13"/>
      <c r="CH42" s="13"/>
      <c r="CI42" s="13"/>
      <c r="CJ42" s="15"/>
      <c r="CK42" s="14"/>
      <c r="CL42" s="13"/>
      <c r="CM42" s="13"/>
      <c r="CN42" s="13"/>
      <c r="CO42" s="13"/>
      <c r="CP42" s="13"/>
      <c r="CQ42" s="13"/>
      <c r="CR42" s="13"/>
      <c r="CS42" s="13"/>
      <c r="CT42" s="13"/>
      <c r="CU42" s="13"/>
      <c r="CV42" s="15"/>
      <c r="CW42" s="14"/>
      <c r="CX42" s="13"/>
      <c r="CY42" s="13"/>
      <c r="CZ42" s="13"/>
      <c r="DA42" s="13"/>
      <c r="DB42" s="13"/>
      <c r="DC42" s="13"/>
      <c r="DD42" s="13"/>
      <c r="DE42" s="13"/>
      <c r="DF42" s="13"/>
      <c r="DG42" s="13"/>
      <c r="DH42" s="15"/>
    </row>
    <row r="43" spans="1:112" x14ac:dyDescent="0.25">
      <c r="A43" s="13"/>
      <c r="B43" s="13"/>
      <c r="C43" s="13"/>
      <c r="D43" s="16" t="s">
        <v>46</v>
      </c>
      <c r="E43" s="14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5"/>
      <c r="Q43" s="14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5"/>
      <c r="AC43" s="14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5"/>
      <c r="AO43" s="14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5"/>
      <c r="BA43" s="14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5"/>
      <c r="BM43" s="14"/>
      <c r="BN43" s="13"/>
      <c r="BO43" s="13"/>
      <c r="BP43" s="13"/>
      <c r="BQ43" s="13"/>
      <c r="BR43" s="13"/>
      <c r="BS43" s="13"/>
      <c r="BT43" s="13"/>
      <c r="BU43" s="13"/>
      <c r="BV43" s="13"/>
      <c r="BW43" s="13"/>
      <c r="BX43" s="15"/>
      <c r="BY43" s="14"/>
      <c r="BZ43" s="13"/>
      <c r="CA43" s="13"/>
      <c r="CB43" s="13"/>
      <c r="CC43" s="13"/>
      <c r="CD43" s="13"/>
      <c r="CE43" s="13"/>
      <c r="CF43" s="13"/>
      <c r="CG43" s="13"/>
      <c r="CH43" s="13"/>
      <c r="CI43" s="13"/>
      <c r="CJ43" s="15"/>
      <c r="CK43" s="14"/>
      <c r="CL43" s="13"/>
      <c r="CM43" s="13"/>
      <c r="CN43" s="13"/>
      <c r="CO43" s="13"/>
      <c r="CP43" s="13"/>
      <c r="CQ43" s="13"/>
      <c r="CR43" s="13"/>
      <c r="CS43" s="13"/>
      <c r="CT43" s="13"/>
      <c r="CU43" s="13"/>
      <c r="CV43" s="15"/>
      <c r="CW43" s="14"/>
      <c r="CX43" s="13"/>
      <c r="CY43" s="13"/>
      <c r="CZ43" s="13"/>
      <c r="DA43" s="13"/>
      <c r="DB43" s="13"/>
      <c r="DC43" s="13"/>
      <c r="DD43" s="13"/>
      <c r="DE43" s="13"/>
      <c r="DF43" s="13"/>
      <c r="DG43" s="13"/>
      <c r="DH43" s="15"/>
    </row>
    <row r="44" spans="1:112" x14ac:dyDescent="0.25">
      <c r="A44" s="13"/>
      <c r="B44" s="13"/>
      <c r="C44" s="13"/>
      <c r="D44" s="16" t="s">
        <v>47</v>
      </c>
      <c r="E44" s="14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5"/>
      <c r="Q44" s="14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5"/>
      <c r="AC44" s="14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5"/>
      <c r="AO44" s="14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5"/>
      <c r="BA44" s="14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5"/>
      <c r="BM44" s="14"/>
      <c r="BN44" s="13"/>
      <c r="BO44" s="13"/>
      <c r="BP44" s="13"/>
      <c r="BQ44" s="13"/>
      <c r="BR44" s="13"/>
      <c r="BS44" s="13"/>
      <c r="BT44" s="13"/>
      <c r="BU44" s="13"/>
      <c r="BV44" s="13"/>
      <c r="BW44" s="13"/>
      <c r="BX44" s="15"/>
      <c r="BY44" s="14"/>
      <c r="BZ44" s="13"/>
      <c r="CA44" s="13"/>
      <c r="CB44" s="13"/>
      <c r="CC44" s="13"/>
      <c r="CD44" s="13"/>
      <c r="CE44" s="13"/>
      <c r="CF44" s="13"/>
      <c r="CG44" s="13"/>
      <c r="CH44" s="13"/>
      <c r="CI44" s="13"/>
      <c r="CJ44" s="15"/>
      <c r="CK44" s="14"/>
      <c r="CL44" s="13"/>
      <c r="CM44" s="13"/>
      <c r="CN44" s="13"/>
      <c r="CO44" s="13"/>
      <c r="CP44" s="13"/>
      <c r="CQ44" s="13"/>
      <c r="CR44" s="13"/>
      <c r="CS44" s="13"/>
      <c r="CT44" s="13"/>
      <c r="CU44" s="13"/>
      <c r="CV44" s="15"/>
      <c r="CW44" s="14"/>
      <c r="CX44" s="13"/>
      <c r="CY44" s="13"/>
      <c r="CZ44" s="13"/>
      <c r="DA44" s="13"/>
      <c r="DB44" s="13"/>
      <c r="DC44" s="13"/>
      <c r="DD44" s="13"/>
      <c r="DE44" s="13"/>
      <c r="DF44" s="13"/>
      <c r="DG44" s="13"/>
      <c r="DH44" s="15"/>
    </row>
    <row r="45" spans="1:112" x14ac:dyDescent="0.25">
      <c r="A45" s="13"/>
      <c r="B45" s="13"/>
      <c r="C45" s="13"/>
      <c r="D45" s="16" t="s">
        <v>48</v>
      </c>
      <c r="E45" s="14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5"/>
      <c r="Q45" s="14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5"/>
      <c r="AC45" s="14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5"/>
      <c r="AO45" s="14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5"/>
      <c r="BA45" s="14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5"/>
      <c r="BM45" s="14"/>
      <c r="BN45" s="13"/>
      <c r="BO45" s="13"/>
      <c r="BP45" s="13"/>
      <c r="BQ45" s="13"/>
      <c r="BR45" s="13"/>
      <c r="BS45" s="13"/>
      <c r="BT45" s="13"/>
      <c r="BU45" s="13"/>
      <c r="BV45" s="13"/>
      <c r="BW45" s="13"/>
      <c r="BX45" s="15"/>
      <c r="BY45" s="14"/>
      <c r="BZ45" s="13"/>
      <c r="CA45" s="13"/>
      <c r="CB45" s="13"/>
      <c r="CC45" s="13"/>
      <c r="CD45" s="13"/>
      <c r="CE45" s="13"/>
      <c r="CF45" s="13"/>
      <c r="CG45" s="13"/>
      <c r="CH45" s="13"/>
      <c r="CI45" s="13"/>
      <c r="CJ45" s="15"/>
      <c r="CK45" s="14"/>
      <c r="CL45" s="13"/>
      <c r="CM45" s="13"/>
      <c r="CN45" s="13"/>
      <c r="CO45" s="13"/>
      <c r="CP45" s="13"/>
      <c r="CQ45" s="13"/>
      <c r="CR45" s="13"/>
      <c r="CS45" s="13"/>
      <c r="CT45" s="13"/>
      <c r="CU45" s="13"/>
      <c r="CV45" s="15"/>
      <c r="CW45" s="14"/>
      <c r="CX45" s="13"/>
      <c r="CY45" s="13"/>
      <c r="CZ45" s="13"/>
      <c r="DA45" s="13"/>
      <c r="DB45" s="13"/>
      <c r="DC45" s="13"/>
      <c r="DD45" s="13"/>
      <c r="DE45" s="13"/>
      <c r="DF45" s="13"/>
      <c r="DG45" s="13"/>
      <c r="DH45" s="15"/>
    </row>
    <row r="46" spans="1:112" x14ac:dyDescent="0.25">
      <c r="A46" s="13"/>
      <c r="B46" s="13"/>
      <c r="C46" s="13"/>
      <c r="D46" s="16" t="s">
        <v>49</v>
      </c>
      <c r="E46" s="14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5"/>
      <c r="Q46" s="14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5"/>
      <c r="AC46" s="14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5"/>
      <c r="AO46" s="14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5"/>
      <c r="BA46" s="14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5"/>
      <c r="BM46" s="14"/>
      <c r="BN46" s="13"/>
      <c r="BO46" s="13"/>
      <c r="BP46" s="13"/>
      <c r="BQ46" s="13"/>
      <c r="BR46" s="13"/>
      <c r="BS46" s="13"/>
      <c r="BT46" s="13"/>
      <c r="BU46" s="13"/>
      <c r="BV46" s="13"/>
      <c r="BW46" s="13"/>
      <c r="BX46" s="15"/>
      <c r="BY46" s="14"/>
      <c r="BZ46" s="13"/>
      <c r="CA46" s="13"/>
      <c r="CB46" s="13"/>
      <c r="CC46" s="13"/>
      <c r="CD46" s="13"/>
      <c r="CE46" s="13"/>
      <c r="CF46" s="13"/>
      <c r="CG46" s="13"/>
      <c r="CH46" s="13"/>
      <c r="CI46" s="13"/>
      <c r="CJ46" s="15"/>
      <c r="CK46" s="14"/>
      <c r="CL46" s="13"/>
      <c r="CM46" s="13"/>
      <c r="CN46" s="13"/>
      <c r="CO46" s="13"/>
      <c r="CP46" s="13"/>
      <c r="CQ46" s="13"/>
      <c r="CR46" s="13"/>
      <c r="CS46" s="13"/>
      <c r="CT46" s="13"/>
      <c r="CU46" s="13"/>
      <c r="CV46" s="15"/>
      <c r="CW46" s="14"/>
      <c r="CX46" s="13"/>
      <c r="CY46" s="13"/>
      <c r="CZ46" s="13"/>
      <c r="DA46" s="13"/>
      <c r="DB46" s="13"/>
      <c r="DC46" s="13"/>
      <c r="DD46" s="13"/>
      <c r="DE46" s="13"/>
      <c r="DF46" s="13"/>
      <c r="DG46" s="13"/>
      <c r="DH46" s="15"/>
    </row>
    <row r="47" spans="1:112" x14ac:dyDescent="0.25">
      <c r="A47" s="13"/>
      <c r="B47" s="13"/>
      <c r="C47" s="13"/>
      <c r="D47" s="16" t="s">
        <v>50</v>
      </c>
      <c r="E47" s="14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5"/>
      <c r="Q47" s="14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5"/>
      <c r="AC47" s="14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5"/>
      <c r="AO47" s="14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5"/>
      <c r="BA47" s="14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5"/>
      <c r="BM47" s="14"/>
      <c r="BN47" s="13"/>
      <c r="BO47" s="13"/>
      <c r="BP47" s="13"/>
      <c r="BQ47" s="13"/>
      <c r="BR47" s="13"/>
      <c r="BS47" s="13"/>
      <c r="BT47" s="13"/>
      <c r="BU47" s="13"/>
      <c r="BV47" s="13"/>
      <c r="BW47" s="13"/>
      <c r="BX47" s="15"/>
      <c r="BY47" s="14"/>
      <c r="BZ47" s="13"/>
      <c r="CA47" s="13"/>
      <c r="CB47" s="13"/>
      <c r="CC47" s="13"/>
      <c r="CD47" s="13"/>
      <c r="CE47" s="13"/>
      <c r="CF47" s="13"/>
      <c r="CG47" s="13"/>
      <c r="CH47" s="13"/>
      <c r="CI47" s="13"/>
      <c r="CJ47" s="15"/>
      <c r="CK47" s="14"/>
      <c r="CL47" s="13"/>
      <c r="CM47" s="13"/>
      <c r="CN47" s="13"/>
      <c r="CO47" s="13"/>
      <c r="CP47" s="13"/>
      <c r="CQ47" s="13"/>
      <c r="CR47" s="13"/>
      <c r="CS47" s="13"/>
      <c r="CT47" s="13"/>
      <c r="CU47" s="13"/>
      <c r="CV47" s="15"/>
      <c r="CW47" s="14"/>
      <c r="CX47" s="13"/>
      <c r="CY47" s="13"/>
      <c r="CZ47" s="13"/>
      <c r="DA47" s="13"/>
      <c r="DB47" s="13"/>
      <c r="DC47" s="13"/>
      <c r="DD47" s="13"/>
      <c r="DE47" s="13"/>
      <c r="DF47" s="13"/>
      <c r="DG47" s="13"/>
      <c r="DH47" s="15"/>
    </row>
    <row r="48" spans="1:112" x14ac:dyDescent="0.25">
      <c r="A48" s="13"/>
      <c r="B48" s="13"/>
      <c r="C48" s="13"/>
      <c r="D48" s="16" t="s">
        <v>51</v>
      </c>
      <c r="E48" s="14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5"/>
      <c r="Q48" s="14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5"/>
      <c r="AC48" s="14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5"/>
      <c r="AO48" s="14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5"/>
      <c r="BA48" s="14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5"/>
      <c r="BM48" s="14"/>
      <c r="BN48" s="13"/>
      <c r="BO48" s="13"/>
      <c r="BP48" s="13"/>
      <c r="BQ48" s="13"/>
      <c r="BR48" s="13"/>
      <c r="BS48" s="13"/>
      <c r="BT48" s="13"/>
      <c r="BU48" s="13"/>
      <c r="BV48" s="13"/>
      <c r="BW48" s="13"/>
      <c r="BX48" s="15"/>
      <c r="BY48" s="14"/>
      <c r="BZ48" s="13"/>
      <c r="CA48" s="13"/>
      <c r="CB48" s="13"/>
      <c r="CC48" s="13"/>
      <c r="CD48" s="13"/>
      <c r="CE48" s="13"/>
      <c r="CF48" s="13"/>
      <c r="CG48" s="13"/>
      <c r="CH48" s="13"/>
      <c r="CI48" s="13"/>
      <c r="CJ48" s="15"/>
      <c r="CK48" s="14"/>
      <c r="CL48" s="13"/>
      <c r="CM48" s="13"/>
      <c r="CN48" s="13"/>
      <c r="CO48" s="13"/>
      <c r="CP48" s="13"/>
      <c r="CQ48" s="13"/>
      <c r="CR48" s="13"/>
      <c r="CS48" s="13"/>
      <c r="CT48" s="13"/>
      <c r="CU48" s="13"/>
      <c r="CV48" s="15"/>
      <c r="CW48" s="14"/>
      <c r="CX48" s="13"/>
      <c r="CY48" s="13"/>
      <c r="CZ48" s="13"/>
      <c r="DA48" s="13"/>
      <c r="DB48" s="13"/>
      <c r="DC48" s="13"/>
      <c r="DD48" s="13"/>
      <c r="DE48" s="13"/>
      <c r="DF48" s="13"/>
      <c r="DG48" s="13"/>
      <c r="DH48" s="15"/>
    </row>
    <row r="49" spans="1:112" x14ac:dyDescent="0.25">
      <c r="A49" s="13"/>
      <c r="B49" s="13"/>
      <c r="C49" s="13"/>
      <c r="D49" s="16" t="s">
        <v>52</v>
      </c>
      <c r="E49" s="14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5"/>
      <c r="Q49" s="14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5"/>
      <c r="AC49" s="14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5"/>
      <c r="AO49" s="14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5"/>
      <c r="BA49" s="14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5"/>
      <c r="BM49" s="14"/>
      <c r="BN49" s="13"/>
      <c r="BO49" s="13"/>
      <c r="BP49" s="13"/>
      <c r="BQ49" s="13"/>
      <c r="BR49" s="13"/>
      <c r="BS49" s="13"/>
      <c r="BT49" s="13"/>
      <c r="BU49" s="13"/>
      <c r="BV49" s="13"/>
      <c r="BW49" s="13"/>
      <c r="BX49" s="15"/>
      <c r="BY49" s="14"/>
      <c r="BZ49" s="13"/>
      <c r="CA49" s="13"/>
      <c r="CB49" s="13"/>
      <c r="CC49" s="13"/>
      <c r="CD49" s="13"/>
      <c r="CE49" s="13"/>
      <c r="CF49" s="13"/>
      <c r="CG49" s="13"/>
      <c r="CH49" s="13"/>
      <c r="CI49" s="13"/>
      <c r="CJ49" s="15"/>
      <c r="CK49" s="14"/>
      <c r="CL49" s="13"/>
      <c r="CM49" s="13"/>
      <c r="CN49" s="13"/>
      <c r="CO49" s="13"/>
      <c r="CP49" s="13"/>
      <c r="CQ49" s="13"/>
      <c r="CR49" s="13"/>
      <c r="CS49" s="13"/>
      <c r="CT49" s="13"/>
      <c r="CU49" s="13"/>
      <c r="CV49" s="15"/>
      <c r="CW49" s="14"/>
      <c r="CX49" s="13"/>
      <c r="CY49" s="13"/>
      <c r="CZ49" s="13"/>
      <c r="DA49" s="13"/>
      <c r="DB49" s="13"/>
      <c r="DC49" s="13"/>
      <c r="DD49" s="13"/>
      <c r="DE49" s="13"/>
      <c r="DF49" s="13"/>
      <c r="DG49" s="13"/>
      <c r="DH49" s="15"/>
    </row>
    <row r="50" spans="1:112" x14ac:dyDescent="0.25">
      <c r="A50" s="13"/>
      <c r="B50" s="13"/>
      <c r="C50" s="13"/>
      <c r="D50" s="16" t="s">
        <v>53</v>
      </c>
      <c r="E50" s="14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5"/>
      <c r="Q50" s="14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5"/>
      <c r="AC50" s="14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5"/>
      <c r="AO50" s="14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5"/>
      <c r="BA50" s="14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5"/>
      <c r="BM50" s="14"/>
      <c r="BN50" s="13"/>
      <c r="BO50" s="13"/>
      <c r="BP50" s="13"/>
      <c r="BQ50" s="13"/>
      <c r="BR50" s="13"/>
      <c r="BS50" s="13"/>
      <c r="BT50" s="13"/>
      <c r="BU50" s="13"/>
      <c r="BV50" s="13"/>
      <c r="BW50" s="13"/>
      <c r="BX50" s="15"/>
      <c r="BY50" s="14"/>
      <c r="BZ50" s="13"/>
      <c r="CA50" s="13"/>
      <c r="CB50" s="13"/>
      <c r="CC50" s="13"/>
      <c r="CD50" s="13"/>
      <c r="CE50" s="13"/>
      <c r="CF50" s="13"/>
      <c r="CG50" s="13"/>
      <c r="CH50" s="13"/>
      <c r="CI50" s="13"/>
      <c r="CJ50" s="15"/>
      <c r="CK50" s="14"/>
      <c r="CL50" s="13"/>
      <c r="CM50" s="13"/>
      <c r="CN50" s="13"/>
      <c r="CO50" s="13"/>
      <c r="CP50" s="13"/>
      <c r="CQ50" s="13"/>
      <c r="CR50" s="13"/>
      <c r="CS50" s="13"/>
      <c r="CT50" s="13"/>
      <c r="CU50" s="13"/>
      <c r="CV50" s="15"/>
      <c r="CW50" s="14"/>
      <c r="CX50" s="13"/>
      <c r="CY50" s="13"/>
      <c r="CZ50" s="13"/>
      <c r="DA50" s="13"/>
      <c r="DB50" s="13"/>
      <c r="DC50" s="13"/>
      <c r="DD50" s="13"/>
      <c r="DE50" s="13"/>
      <c r="DF50" s="13"/>
      <c r="DG50" s="13"/>
      <c r="DH50" s="15"/>
    </row>
    <row r="51" spans="1:112" x14ac:dyDescent="0.25">
      <c r="A51" s="13"/>
      <c r="B51" s="13"/>
      <c r="C51" s="13"/>
      <c r="D51" s="16" t="s">
        <v>54</v>
      </c>
      <c r="E51" s="14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5"/>
      <c r="Q51" s="14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5"/>
      <c r="AC51" s="14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5"/>
      <c r="AO51" s="14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5"/>
      <c r="BA51" s="14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5"/>
      <c r="BM51" s="14"/>
      <c r="BN51" s="13"/>
      <c r="BO51" s="13"/>
      <c r="BP51" s="13"/>
      <c r="BQ51" s="13"/>
      <c r="BR51" s="13"/>
      <c r="BS51" s="13"/>
      <c r="BT51" s="13"/>
      <c r="BU51" s="13"/>
      <c r="BV51" s="13"/>
      <c r="BW51" s="13"/>
      <c r="BX51" s="15"/>
      <c r="BY51" s="14"/>
      <c r="BZ51" s="13"/>
      <c r="CA51" s="13"/>
      <c r="CB51" s="13"/>
      <c r="CC51" s="13"/>
      <c r="CD51" s="13"/>
      <c r="CE51" s="13"/>
      <c r="CF51" s="13"/>
      <c r="CG51" s="13"/>
      <c r="CH51" s="13"/>
      <c r="CI51" s="13"/>
      <c r="CJ51" s="15"/>
      <c r="CK51" s="14"/>
      <c r="CL51" s="13"/>
      <c r="CM51" s="13"/>
      <c r="CN51" s="13"/>
      <c r="CO51" s="13"/>
      <c r="CP51" s="13"/>
      <c r="CQ51" s="13"/>
      <c r="CR51" s="13"/>
      <c r="CS51" s="13"/>
      <c r="CT51" s="13"/>
      <c r="CU51" s="13"/>
      <c r="CV51" s="15"/>
      <c r="CW51" s="14"/>
      <c r="CX51" s="13"/>
      <c r="CY51" s="13"/>
      <c r="CZ51" s="13"/>
      <c r="DA51" s="13"/>
      <c r="DB51" s="13"/>
      <c r="DC51" s="13"/>
      <c r="DD51" s="13"/>
      <c r="DE51" s="13"/>
      <c r="DF51" s="13"/>
      <c r="DG51" s="13"/>
      <c r="DH51" s="15"/>
    </row>
    <row r="52" spans="1:112" x14ac:dyDescent="0.25">
      <c r="A52" s="13"/>
      <c r="B52" s="13"/>
      <c r="C52" s="13"/>
      <c r="D52" s="16" t="s">
        <v>55</v>
      </c>
      <c r="E52" s="14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5"/>
      <c r="Q52" s="14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5"/>
      <c r="AC52" s="14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5"/>
      <c r="AO52" s="14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5"/>
      <c r="BA52" s="14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5"/>
      <c r="BM52" s="14"/>
      <c r="BN52" s="13"/>
      <c r="BO52" s="13"/>
      <c r="BP52" s="13"/>
      <c r="BQ52" s="13"/>
      <c r="BR52" s="13"/>
      <c r="BS52" s="13"/>
      <c r="BT52" s="13"/>
      <c r="BU52" s="13"/>
      <c r="BV52" s="13"/>
      <c r="BW52" s="13"/>
      <c r="BX52" s="15"/>
      <c r="BY52" s="14"/>
      <c r="BZ52" s="13"/>
      <c r="CA52" s="13"/>
      <c r="CB52" s="13"/>
      <c r="CC52" s="13"/>
      <c r="CD52" s="13"/>
      <c r="CE52" s="13"/>
      <c r="CF52" s="13"/>
      <c r="CG52" s="13"/>
      <c r="CH52" s="13"/>
      <c r="CI52" s="13"/>
      <c r="CJ52" s="15"/>
      <c r="CK52" s="14"/>
      <c r="CL52" s="13"/>
      <c r="CM52" s="13"/>
      <c r="CN52" s="13"/>
      <c r="CO52" s="13"/>
      <c r="CP52" s="13"/>
      <c r="CQ52" s="13"/>
      <c r="CR52" s="13"/>
      <c r="CS52" s="13"/>
      <c r="CT52" s="13"/>
      <c r="CU52" s="13"/>
      <c r="CV52" s="15"/>
      <c r="CW52" s="14"/>
      <c r="CX52" s="13"/>
      <c r="CY52" s="13"/>
      <c r="CZ52" s="13"/>
      <c r="DA52" s="13"/>
      <c r="DB52" s="13"/>
      <c r="DC52" s="13"/>
      <c r="DD52" s="13"/>
      <c r="DE52" s="13"/>
      <c r="DF52" s="13"/>
      <c r="DG52" s="13"/>
      <c r="DH52" s="15"/>
    </row>
    <row r="53" spans="1:112" x14ac:dyDescent="0.25">
      <c r="A53" s="13"/>
      <c r="B53" s="13"/>
      <c r="C53" s="13"/>
      <c r="D53" s="16" t="s">
        <v>56</v>
      </c>
      <c r="E53" s="14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5"/>
      <c r="Q53" s="14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5"/>
      <c r="AC53" s="14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5"/>
      <c r="AO53" s="14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5"/>
      <c r="BA53" s="14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5"/>
      <c r="BM53" s="14"/>
      <c r="BN53" s="13"/>
      <c r="BO53" s="13"/>
      <c r="BP53" s="13"/>
      <c r="BQ53" s="13"/>
      <c r="BR53" s="13"/>
      <c r="BS53" s="13"/>
      <c r="BT53" s="13"/>
      <c r="BU53" s="13"/>
      <c r="BV53" s="13"/>
      <c r="BW53" s="13"/>
      <c r="BX53" s="15"/>
      <c r="BY53" s="14"/>
      <c r="BZ53" s="13"/>
      <c r="CA53" s="13"/>
      <c r="CB53" s="13"/>
      <c r="CC53" s="13"/>
      <c r="CD53" s="13"/>
      <c r="CE53" s="13"/>
      <c r="CF53" s="13"/>
      <c r="CG53" s="13"/>
      <c r="CH53" s="13"/>
      <c r="CI53" s="13"/>
      <c r="CJ53" s="15"/>
      <c r="CK53" s="14"/>
      <c r="CL53" s="13"/>
      <c r="CM53" s="13"/>
      <c r="CN53" s="13"/>
      <c r="CO53" s="13"/>
      <c r="CP53" s="13"/>
      <c r="CQ53" s="13"/>
      <c r="CR53" s="13"/>
      <c r="CS53" s="13"/>
      <c r="CT53" s="13"/>
      <c r="CU53" s="13"/>
      <c r="CV53" s="15"/>
      <c r="CW53" s="14"/>
      <c r="CX53" s="13"/>
      <c r="CY53" s="13"/>
      <c r="CZ53" s="13"/>
      <c r="DA53" s="13"/>
      <c r="DB53" s="13"/>
      <c r="DC53" s="13"/>
      <c r="DD53" s="13"/>
      <c r="DE53" s="13"/>
      <c r="DF53" s="13"/>
      <c r="DG53" s="13"/>
      <c r="DH53" s="15"/>
    </row>
    <row r="54" spans="1:112" x14ac:dyDescent="0.25">
      <c r="A54" s="13"/>
      <c r="B54" s="13"/>
      <c r="C54" s="13"/>
      <c r="D54" s="16" t="s">
        <v>57</v>
      </c>
      <c r="E54" s="14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5"/>
      <c r="Q54" s="14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5"/>
      <c r="AC54" s="14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5"/>
      <c r="AO54" s="14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5"/>
      <c r="BA54" s="14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5"/>
      <c r="BM54" s="14"/>
      <c r="BN54" s="13"/>
      <c r="BO54" s="13"/>
      <c r="BP54" s="13"/>
      <c r="BQ54" s="13"/>
      <c r="BR54" s="13"/>
      <c r="BS54" s="13"/>
      <c r="BT54" s="13"/>
      <c r="BU54" s="13"/>
      <c r="BV54" s="13"/>
      <c r="BW54" s="13"/>
      <c r="BX54" s="15"/>
      <c r="BY54" s="14"/>
      <c r="BZ54" s="13"/>
      <c r="CA54" s="13"/>
      <c r="CB54" s="13"/>
      <c r="CC54" s="13"/>
      <c r="CD54" s="13"/>
      <c r="CE54" s="13"/>
      <c r="CF54" s="13"/>
      <c r="CG54" s="13"/>
      <c r="CH54" s="13"/>
      <c r="CI54" s="13"/>
      <c r="CJ54" s="15"/>
      <c r="CK54" s="14"/>
      <c r="CL54" s="13"/>
      <c r="CM54" s="13"/>
      <c r="CN54" s="13"/>
      <c r="CO54" s="13"/>
      <c r="CP54" s="13"/>
      <c r="CQ54" s="13"/>
      <c r="CR54" s="13"/>
      <c r="CS54" s="13"/>
      <c r="CT54" s="13"/>
      <c r="CU54" s="13"/>
      <c r="CV54" s="15"/>
      <c r="CW54" s="14"/>
      <c r="CX54" s="13"/>
      <c r="CY54" s="13"/>
      <c r="CZ54" s="13"/>
      <c r="DA54" s="13"/>
      <c r="DB54" s="13"/>
      <c r="DC54" s="13"/>
      <c r="DD54" s="13"/>
      <c r="DE54" s="13"/>
      <c r="DF54" s="13"/>
      <c r="DG54" s="13"/>
      <c r="DH54" s="15"/>
    </row>
    <row r="55" spans="1:112" x14ac:dyDescent="0.25">
      <c r="A55" s="13"/>
      <c r="B55" s="13"/>
      <c r="C55" s="13"/>
      <c r="D55" s="16" t="s">
        <v>58</v>
      </c>
      <c r="E55" s="14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5"/>
      <c r="Q55" s="14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5"/>
      <c r="AC55" s="14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5"/>
      <c r="AO55" s="14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5"/>
      <c r="BA55" s="14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5"/>
      <c r="BM55" s="14"/>
      <c r="BN55" s="13"/>
      <c r="BO55" s="13"/>
      <c r="BP55" s="13"/>
      <c r="BQ55" s="13"/>
      <c r="BR55" s="13"/>
      <c r="BS55" s="13"/>
      <c r="BT55" s="13"/>
      <c r="BU55" s="13"/>
      <c r="BV55" s="13"/>
      <c r="BW55" s="13"/>
      <c r="BX55" s="15"/>
      <c r="BY55" s="14"/>
      <c r="BZ55" s="13"/>
      <c r="CA55" s="13"/>
      <c r="CB55" s="13"/>
      <c r="CC55" s="13"/>
      <c r="CD55" s="13"/>
      <c r="CE55" s="13"/>
      <c r="CF55" s="13"/>
      <c r="CG55" s="13"/>
      <c r="CH55" s="13"/>
      <c r="CI55" s="13"/>
      <c r="CJ55" s="15"/>
      <c r="CK55" s="14"/>
      <c r="CL55" s="13"/>
      <c r="CM55" s="13"/>
      <c r="CN55" s="13"/>
      <c r="CO55" s="13"/>
      <c r="CP55" s="13"/>
      <c r="CQ55" s="13"/>
      <c r="CR55" s="13"/>
      <c r="CS55" s="13"/>
      <c r="CT55" s="13"/>
      <c r="CU55" s="13"/>
      <c r="CV55" s="15"/>
      <c r="CW55" s="14"/>
      <c r="CX55" s="13"/>
      <c r="CY55" s="13"/>
      <c r="CZ55" s="13"/>
      <c r="DA55" s="13"/>
      <c r="DB55" s="13"/>
      <c r="DC55" s="13"/>
      <c r="DD55" s="13"/>
      <c r="DE55" s="13"/>
      <c r="DF55" s="13"/>
      <c r="DG55" s="13"/>
      <c r="DH55" s="15"/>
    </row>
    <row r="56" spans="1:112" x14ac:dyDescent="0.25">
      <c r="A56" s="13"/>
      <c r="B56" s="13"/>
      <c r="C56" s="13"/>
      <c r="D56" s="16" t="s">
        <v>59</v>
      </c>
      <c r="E56" s="14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5"/>
      <c r="Q56" s="14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5"/>
      <c r="AC56" s="14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5"/>
      <c r="AO56" s="14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5"/>
      <c r="BA56" s="14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5"/>
      <c r="BM56" s="14"/>
      <c r="BN56" s="13"/>
      <c r="BO56" s="13"/>
      <c r="BP56" s="13"/>
      <c r="BQ56" s="13"/>
      <c r="BR56" s="13"/>
      <c r="BS56" s="13"/>
      <c r="BT56" s="13"/>
      <c r="BU56" s="13"/>
      <c r="BV56" s="13"/>
      <c r="BW56" s="13"/>
      <c r="BX56" s="15"/>
      <c r="BY56" s="14"/>
      <c r="BZ56" s="13"/>
      <c r="CA56" s="13"/>
      <c r="CB56" s="13"/>
      <c r="CC56" s="13"/>
      <c r="CD56" s="13"/>
      <c r="CE56" s="13"/>
      <c r="CF56" s="13"/>
      <c r="CG56" s="13"/>
      <c r="CH56" s="13"/>
      <c r="CI56" s="13"/>
      <c r="CJ56" s="15"/>
      <c r="CK56" s="14"/>
      <c r="CL56" s="13"/>
      <c r="CM56" s="13"/>
      <c r="CN56" s="13"/>
      <c r="CO56" s="13"/>
      <c r="CP56" s="13"/>
      <c r="CQ56" s="13"/>
      <c r="CR56" s="13"/>
      <c r="CS56" s="13"/>
      <c r="CT56" s="13"/>
      <c r="CU56" s="13"/>
      <c r="CV56" s="15"/>
      <c r="CW56" s="14"/>
      <c r="CX56" s="13"/>
      <c r="CY56" s="13"/>
      <c r="CZ56" s="13"/>
      <c r="DA56" s="13"/>
      <c r="DB56" s="13"/>
      <c r="DC56" s="13"/>
      <c r="DD56" s="13"/>
      <c r="DE56" s="13"/>
      <c r="DF56" s="13"/>
      <c r="DG56" s="13"/>
      <c r="DH56" s="15"/>
    </row>
    <row r="57" spans="1:112" x14ac:dyDescent="0.25">
      <c r="A57" s="13"/>
      <c r="B57" s="13"/>
      <c r="C57" s="13"/>
      <c r="D57" s="16" t="s">
        <v>60</v>
      </c>
      <c r="E57" s="14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5"/>
      <c r="Q57" s="14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5"/>
      <c r="AC57" s="14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5"/>
      <c r="AO57" s="14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5"/>
      <c r="BA57" s="14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5"/>
      <c r="BM57" s="14"/>
      <c r="BN57" s="13"/>
      <c r="BO57" s="13"/>
      <c r="BP57" s="13"/>
      <c r="BQ57" s="13"/>
      <c r="BR57" s="13"/>
      <c r="BS57" s="13"/>
      <c r="BT57" s="13"/>
      <c r="BU57" s="13"/>
      <c r="BV57" s="13"/>
      <c r="BW57" s="13"/>
      <c r="BX57" s="15"/>
      <c r="BY57" s="14"/>
      <c r="BZ57" s="13"/>
      <c r="CA57" s="13"/>
      <c r="CB57" s="13"/>
      <c r="CC57" s="13"/>
      <c r="CD57" s="13"/>
      <c r="CE57" s="13"/>
      <c r="CF57" s="13"/>
      <c r="CG57" s="13"/>
      <c r="CH57" s="13"/>
      <c r="CI57" s="13"/>
      <c r="CJ57" s="15"/>
      <c r="CK57" s="14"/>
      <c r="CL57" s="13"/>
      <c r="CM57" s="13"/>
      <c r="CN57" s="13"/>
      <c r="CO57" s="13"/>
      <c r="CP57" s="13"/>
      <c r="CQ57" s="13"/>
      <c r="CR57" s="13"/>
      <c r="CS57" s="13"/>
      <c r="CT57" s="13"/>
      <c r="CU57" s="13"/>
      <c r="CV57" s="15"/>
      <c r="CW57" s="14"/>
      <c r="CX57" s="13"/>
      <c r="CY57" s="13"/>
      <c r="CZ57" s="13"/>
      <c r="DA57" s="13"/>
      <c r="DB57" s="13"/>
      <c r="DC57" s="13"/>
      <c r="DD57" s="13"/>
      <c r="DE57" s="13"/>
      <c r="DF57" s="13"/>
      <c r="DG57" s="13"/>
      <c r="DH57" s="15"/>
    </row>
    <row r="58" spans="1:112" x14ac:dyDescent="0.25">
      <c r="A58" s="13"/>
      <c r="B58" s="13"/>
      <c r="C58" s="13"/>
      <c r="D58" s="16" t="s">
        <v>61</v>
      </c>
      <c r="E58" s="14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5"/>
      <c r="Q58" s="14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5"/>
      <c r="AC58" s="14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5"/>
      <c r="AO58" s="14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5"/>
      <c r="BA58" s="14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5"/>
      <c r="BM58" s="14"/>
      <c r="BN58" s="13"/>
      <c r="BO58" s="13"/>
      <c r="BP58" s="13"/>
      <c r="BQ58" s="13"/>
      <c r="BR58" s="13"/>
      <c r="BS58" s="13"/>
      <c r="BT58" s="13"/>
      <c r="BU58" s="13"/>
      <c r="BV58" s="13"/>
      <c r="BW58" s="13"/>
      <c r="BX58" s="15"/>
      <c r="BY58" s="14"/>
      <c r="BZ58" s="13"/>
      <c r="CA58" s="13"/>
      <c r="CB58" s="13"/>
      <c r="CC58" s="13"/>
      <c r="CD58" s="13"/>
      <c r="CE58" s="13"/>
      <c r="CF58" s="13"/>
      <c r="CG58" s="13"/>
      <c r="CH58" s="13"/>
      <c r="CI58" s="13"/>
      <c r="CJ58" s="15"/>
      <c r="CK58" s="14"/>
      <c r="CL58" s="13"/>
      <c r="CM58" s="13"/>
      <c r="CN58" s="13"/>
      <c r="CO58" s="13"/>
      <c r="CP58" s="13"/>
      <c r="CQ58" s="13"/>
      <c r="CR58" s="13"/>
      <c r="CS58" s="13"/>
      <c r="CT58" s="13"/>
      <c r="CU58" s="13"/>
      <c r="CV58" s="15"/>
      <c r="CW58" s="14"/>
      <c r="CX58" s="13"/>
      <c r="CY58" s="13"/>
      <c r="CZ58" s="13"/>
      <c r="DA58" s="13"/>
      <c r="DB58" s="13"/>
      <c r="DC58" s="13"/>
      <c r="DD58" s="13"/>
      <c r="DE58" s="13"/>
      <c r="DF58" s="13"/>
      <c r="DG58" s="13"/>
      <c r="DH58" s="15"/>
    </row>
    <row r="59" spans="1:112" x14ac:dyDescent="0.25">
      <c r="A59" s="13"/>
      <c r="B59" s="13"/>
      <c r="C59" s="13"/>
      <c r="D59" s="16" t="s">
        <v>62</v>
      </c>
      <c r="E59" s="14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5"/>
      <c r="Q59" s="14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5"/>
      <c r="AC59" s="14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5"/>
      <c r="AO59" s="14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5"/>
      <c r="BA59" s="14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5"/>
      <c r="BM59" s="14"/>
      <c r="BN59" s="13"/>
      <c r="BO59" s="13"/>
      <c r="BP59" s="13"/>
      <c r="BQ59" s="13"/>
      <c r="BR59" s="13"/>
      <c r="BS59" s="13"/>
      <c r="BT59" s="13"/>
      <c r="BU59" s="13"/>
      <c r="BV59" s="13"/>
      <c r="BW59" s="13"/>
      <c r="BX59" s="15"/>
      <c r="BY59" s="14"/>
      <c r="BZ59" s="13"/>
      <c r="CA59" s="13"/>
      <c r="CB59" s="13"/>
      <c r="CC59" s="13"/>
      <c r="CD59" s="13"/>
      <c r="CE59" s="13"/>
      <c r="CF59" s="13"/>
      <c r="CG59" s="13"/>
      <c r="CH59" s="13"/>
      <c r="CI59" s="13"/>
      <c r="CJ59" s="15"/>
      <c r="CK59" s="14"/>
      <c r="CL59" s="13"/>
      <c r="CM59" s="13"/>
      <c r="CN59" s="13"/>
      <c r="CO59" s="13"/>
      <c r="CP59" s="13"/>
      <c r="CQ59" s="13"/>
      <c r="CR59" s="13"/>
      <c r="CS59" s="13"/>
      <c r="CT59" s="13"/>
      <c r="CU59" s="13"/>
      <c r="CV59" s="15"/>
      <c r="CW59" s="14"/>
      <c r="CX59" s="13"/>
      <c r="CY59" s="13"/>
      <c r="CZ59" s="13"/>
      <c r="DA59" s="13"/>
      <c r="DB59" s="13"/>
      <c r="DC59" s="13"/>
      <c r="DD59" s="13"/>
      <c r="DE59" s="13"/>
      <c r="DF59" s="13"/>
      <c r="DG59" s="13"/>
      <c r="DH59" s="15"/>
    </row>
    <row r="60" spans="1:112" x14ac:dyDescent="0.25">
      <c r="A60" s="13"/>
      <c r="B60" s="13"/>
      <c r="C60" s="13"/>
      <c r="D60" s="16" t="s">
        <v>63</v>
      </c>
      <c r="E60" s="14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5"/>
      <c r="Q60" s="14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5"/>
      <c r="AC60" s="14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5"/>
      <c r="AO60" s="14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5"/>
      <c r="BA60" s="14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5"/>
      <c r="BM60" s="14"/>
      <c r="BN60" s="13"/>
      <c r="BO60" s="13"/>
      <c r="BP60" s="13"/>
      <c r="BQ60" s="13"/>
      <c r="BR60" s="13"/>
      <c r="BS60" s="13"/>
      <c r="BT60" s="13"/>
      <c r="BU60" s="13"/>
      <c r="BV60" s="13"/>
      <c r="BW60" s="13"/>
      <c r="BX60" s="15"/>
      <c r="BY60" s="14"/>
      <c r="BZ60" s="13"/>
      <c r="CA60" s="13"/>
      <c r="CB60" s="13"/>
      <c r="CC60" s="13"/>
      <c r="CD60" s="13"/>
      <c r="CE60" s="13"/>
      <c r="CF60" s="13"/>
      <c r="CG60" s="13"/>
      <c r="CH60" s="13"/>
      <c r="CI60" s="13"/>
      <c r="CJ60" s="15"/>
      <c r="CK60" s="14"/>
      <c r="CL60" s="13"/>
      <c r="CM60" s="13"/>
      <c r="CN60" s="13"/>
      <c r="CO60" s="13"/>
      <c r="CP60" s="13"/>
      <c r="CQ60" s="13"/>
      <c r="CR60" s="13"/>
      <c r="CS60" s="13"/>
      <c r="CT60" s="13"/>
      <c r="CU60" s="13"/>
      <c r="CV60" s="15"/>
      <c r="CW60" s="14"/>
      <c r="CX60" s="13"/>
      <c r="CY60" s="13"/>
      <c r="CZ60" s="13"/>
      <c r="DA60" s="13"/>
      <c r="DB60" s="13"/>
      <c r="DC60" s="13"/>
      <c r="DD60" s="13"/>
      <c r="DE60" s="13"/>
      <c r="DF60" s="13"/>
      <c r="DG60" s="13"/>
      <c r="DH60" s="15"/>
    </row>
    <row r="61" spans="1:112" x14ac:dyDescent="0.25">
      <c r="A61" s="13"/>
      <c r="B61" s="13"/>
      <c r="C61" s="13"/>
      <c r="D61" s="16" t="s">
        <v>64</v>
      </c>
      <c r="E61" s="14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5"/>
      <c r="Q61" s="14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5"/>
      <c r="AC61" s="14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5"/>
      <c r="AO61" s="14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5"/>
      <c r="BA61" s="14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5"/>
      <c r="BM61" s="14"/>
      <c r="BN61" s="13"/>
      <c r="BO61" s="13"/>
      <c r="BP61" s="13"/>
      <c r="BQ61" s="13"/>
      <c r="BR61" s="13"/>
      <c r="BS61" s="13"/>
      <c r="BT61" s="13"/>
      <c r="BU61" s="13"/>
      <c r="BV61" s="13"/>
      <c r="BW61" s="13"/>
      <c r="BX61" s="15"/>
      <c r="BY61" s="14"/>
      <c r="BZ61" s="13"/>
      <c r="CA61" s="13"/>
      <c r="CB61" s="13"/>
      <c r="CC61" s="13"/>
      <c r="CD61" s="13"/>
      <c r="CE61" s="13"/>
      <c r="CF61" s="13"/>
      <c r="CG61" s="13"/>
      <c r="CH61" s="13"/>
      <c r="CI61" s="13"/>
      <c r="CJ61" s="15"/>
      <c r="CK61" s="14"/>
      <c r="CL61" s="13"/>
      <c r="CM61" s="13"/>
      <c r="CN61" s="13"/>
      <c r="CO61" s="13"/>
      <c r="CP61" s="13"/>
      <c r="CQ61" s="13"/>
      <c r="CR61" s="13"/>
      <c r="CS61" s="13"/>
      <c r="CT61" s="13"/>
      <c r="CU61" s="13"/>
      <c r="CV61" s="15"/>
      <c r="CW61" s="14"/>
      <c r="CX61" s="13"/>
      <c r="CY61" s="13"/>
      <c r="CZ61" s="13"/>
      <c r="DA61" s="13"/>
      <c r="DB61" s="13"/>
      <c r="DC61" s="13"/>
      <c r="DD61" s="13"/>
      <c r="DE61" s="13"/>
      <c r="DF61" s="13"/>
      <c r="DG61" s="13"/>
      <c r="DH61" s="15"/>
    </row>
    <row r="62" spans="1:112" x14ac:dyDescent="0.25">
      <c r="A62" s="13"/>
      <c r="B62" s="13"/>
      <c r="C62" s="13"/>
      <c r="D62" s="16" t="s">
        <v>65</v>
      </c>
      <c r="E62" s="14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5"/>
      <c r="Q62" s="14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5"/>
      <c r="AC62" s="14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5"/>
      <c r="AO62" s="14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5"/>
      <c r="BA62" s="14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5"/>
      <c r="BM62" s="14"/>
      <c r="BN62" s="13"/>
      <c r="BO62" s="13"/>
      <c r="BP62" s="13"/>
      <c r="BQ62" s="13"/>
      <c r="BR62" s="13"/>
      <c r="BS62" s="13"/>
      <c r="BT62" s="13"/>
      <c r="BU62" s="13"/>
      <c r="BV62" s="13"/>
      <c r="BW62" s="13"/>
      <c r="BX62" s="15"/>
      <c r="BY62" s="14"/>
      <c r="BZ62" s="13"/>
      <c r="CA62" s="13"/>
      <c r="CB62" s="13"/>
      <c r="CC62" s="13"/>
      <c r="CD62" s="13"/>
      <c r="CE62" s="13"/>
      <c r="CF62" s="13"/>
      <c r="CG62" s="13"/>
      <c r="CH62" s="13"/>
      <c r="CI62" s="13"/>
      <c r="CJ62" s="15"/>
      <c r="CK62" s="14"/>
      <c r="CL62" s="13"/>
      <c r="CM62" s="13"/>
      <c r="CN62" s="13"/>
      <c r="CO62" s="13"/>
      <c r="CP62" s="13"/>
      <c r="CQ62" s="13"/>
      <c r="CR62" s="13"/>
      <c r="CS62" s="13"/>
      <c r="CT62" s="13"/>
      <c r="CU62" s="13"/>
      <c r="CV62" s="15"/>
      <c r="CW62" s="14"/>
      <c r="CX62" s="13"/>
      <c r="CY62" s="13"/>
      <c r="CZ62" s="13"/>
      <c r="DA62" s="13"/>
      <c r="DB62" s="13"/>
      <c r="DC62" s="13"/>
      <c r="DD62" s="13"/>
      <c r="DE62" s="13"/>
      <c r="DF62" s="13"/>
      <c r="DG62" s="13"/>
      <c r="DH62" s="15"/>
    </row>
    <row r="63" spans="1:112" x14ac:dyDescent="0.25">
      <c r="A63" s="13"/>
      <c r="B63" s="13"/>
      <c r="C63" s="13"/>
      <c r="D63" s="16" t="s">
        <v>66</v>
      </c>
      <c r="E63" s="14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5"/>
      <c r="Q63" s="14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5"/>
      <c r="AC63" s="14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5"/>
      <c r="AO63" s="14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5"/>
      <c r="BA63" s="14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5"/>
      <c r="BM63" s="14"/>
      <c r="BN63" s="13"/>
      <c r="BO63" s="13"/>
      <c r="BP63" s="13"/>
      <c r="BQ63" s="13"/>
      <c r="BR63" s="13"/>
      <c r="BS63" s="13"/>
      <c r="BT63" s="13"/>
      <c r="BU63" s="13"/>
      <c r="BV63" s="13"/>
      <c r="BW63" s="13"/>
      <c r="BX63" s="15"/>
      <c r="BY63" s="14"/>
      <c r="BZ63" s="13"/>
      <c r="CA63" s="13"/>
      <c r="CB63" s="13"/>
      <c r="CC63" s="13"/>
      <c r="CD63" s="13"/>
      <c r="CE63" s="13"/>
      <c r="CF63" s="13"/>
      <c r="CG63" s="13"/>
      <c r="CH63" s="13"/>
      <c r="CI63" s="13"/>
      <c r="CJ63" s="15"/>
      <c r="CK63" s="14"/>
      <c r="CL63" s="13"/>
      <c r="CM63" s="13"/>
      <c r="CN63" s="13"/>
      <c r="CO63" s="13"/>
      <c r="CP63" s="13"/>
      <c r="CQ63" s="13"/>
      <c r="CR63" s="13"/>
      <c r="CS63" s="13"/>
      <c r="CT63" s="13"/>
      <c r="CU63" s="13"/>
      <c r="CV63" s="15"/>
      <c r="CW63" s="14"/>
      <c r="CX63" s="13"/>
      <c r="CY63" s="13"/>
      <c r="CZ63" s="13"/>
      <c r="DA63" s="13"/>
      <c r="DB63" s="13"/>
      <c r="DC63" s="13"/>
      <c r="DD63" s="13"/>
      <c r="DE63" s="13"/>
      <c r="DF63" s="13"/>
      <c r="DG63" s="13"/>
      <c r="DH63" s="15"/>
    </row>
    <row r="64" spans="1:112" x14ac:dyDescent="0.25">
      <c r="A64" s="13"/>
      <c r="B64" s="13"/>
      <c r="C64" s="13"/>
      <c r="D64" s="16" t="s">
        <v>67</v>
      </c>
      <c r="E64" s="14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5"/>
      <c r="Q64" s="14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5"/>
      <c r="AC64" s="14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5"/>
      <c r="AO64" s="14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5"/>
      <c r="BA64" s="14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5"/>
      <c r="BM64" s="14"/>
      <c r="BN64" s="13"/>
      <c r="BO64" s="13"/>
      <c r="BP64" s="13"/>
      <c r="BQ64" s="13"/>
      <c r="BR64" s="13"/>
      <c r="BS64" s="13"/>
      <c r="BT64" s="13"/>
      <c r="BU64" s="13"/>
      <c r="BV64" s="13"/>
      <c r="BW64" s="13"/>
      <c r="BX64" s="15"/>
      <c r="BY64" s="14"/>
      <c r="BZ64" s="13"/>
      <c r="CA64" s="13"/>
      <c r="CB64" s="13"/>
      <c r="CC64" s="13"/>
      <c r="CD64" s="13"/>
      <c r="CE64" s="13"/>
      <c r="CF64" s="13"/>
      <c r="CG64" s="13"/>
      <c r="CH64" s="13"/>
      <c r="CI64" s="13"/>
      <c r="CJ64" s="15"/>
      <c r="CK64" s="14"/>
      <c r="CL64" s="13"/>
      <c r="CM64" s="13"/>
      <c r="CN64" s="13"/>
      <c r="CO64" s="13"/>
      <c r="CP64" s="13"/>
      <c r="CQ64" s="13"/>
      <c r="CR64" s="13"/>
      <c r="CS64" s="13"/>
      <c r="CT64" s="13"/>
      <c r="CU64" s="13"/>
      <c r="CV64" s="15"/>
      <c r="CW64" s="14"/>
      <c r="CX64" s="13"/>
      <c r="CY64" s="13"/>
      <c r="CZ64" s="13"/>
      <c r="DA64" s="13"/>
      <c r="DB64" s="13"/>
      <c r="DC64" s="13"/>
      <c r="DD64" s="13"/>
      <c r="DE64" s="13"/>
      <c r="DF64" s="13"/>
      <c r="DG64" s="13"/>
      <c r="DH64" s="15"/>
    </row>
    <row r="65" spans="1:112" x14ac:dyDescent="0.25">
      <c r="A65" s="13"/>
      <c r="B65" s="13"/>
      <c r="C65" s="13"/>
      <c r="D65" s="16" t="s">
        <v>68</v>
      </c>
      <c r="E65" s="14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5"/>
      <c r="Q65" s="14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5"/>
      <c r="AC65" s="14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5"/>
      <c r="AO65" s="14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5"/>
      <c r="BA65" s="14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5"/>
      <c r="BM65" s="14"/>
      <c r="BN65" s="13"/>
      <c r="BO65" s="13"/>
      <c r="BP65" s="13"/>
      <c r="BQ65" s="13"/>
      <c r="BR65" s="13"/>
      <c r="BS65" s="13"/>
      <c r="BT65" s="13"/>
      <c r="BU65" s="13"/>
      <c r="BV65" s="13"/>
      <c r="BW65" s="13"/>
      <c r="BX65" s="15"/>
      <c r="BY65" s="14"/>
      <c r="BZ65" s="13"/>
      <c r="CA65" s="13"/>
      <c r="CB65" s="13"/>
      <c r="CC65" s="13"/>
      <c r="CD65" s="13"/>
      <c r="CE65" s="13"/>
      <c r="CF65" s="13"/>
      <c r="CG65" s="13"/>
      <c r="CH65" s="13"/>
      <c r="CI65" s="13"/>
      <c r="CJ65" s="15"/>
      <c r="CK65" s="14"/>
      <c r="CL65" s="13"/>
      <c r="CM65" s="13"/>
      <c r="CN65" s="13"/>
      <c r="CO65" s="13"/>
      <c r="CP65" s="13"/>
      <c r="CQ65" s="13"/>
      <c r="CR65" s="13"/>
      <c r="CS65" s="13"/>
      <c r="CT65" s="13"/>
      <c r="CU65" s="13"/>
      <c r="CV65" s="15"/>
      <c r="CW65" s="14"/>
      <c r="CX65" s="13"/>
      <c r="CY65" s="13"/>
      <c r="CZ65" s="13"/>
      <c r="DA65" s="13"/>
      <c r="DB65" s="13"/>
      <c r="DC65" s="13"/>
      <c r="DD65" s="13"/>
      <c r="DE65" s="13"/>
      <c r="DF65" s="13"/>
      <c r="DG65" s="13"/>
      <c r="DH65" s="15"/>
    </row>
    <row r="66" spans="1:112" x14ac:dyDescent="0.25">
      <c r="A66" s="13"/>
      <c r="B66" s="13"/>
      <c r="C66" s="13"/>
      <c r="D66" s="16" t="s">
        <v>69</v>
      </c>
      <c r="E66" s="14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5"/>
      <c r="Q66" s="14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5"/>
      <c r="AC66" s="14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5"/>
      <c r="AO66" s="14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5"/>
      <c r="BA66" s="14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5"/>
      <c r="BM66" s="14"/>
      <c r="BN66" s="13"/>
      <c r="BO66" s="13"/>
      <c r="BP66" s="13"/>
      <c r="BQ66" s="13"/>
      <c r="BR66" s="13"/>
      <c r="BS66" s="13"/>
      <c r="BT66" s="13"/>
      <c r="BU66" s="13"/>
      <c r="BV66" s="13"/>
      <c r="BW66" s="13"/>
      <c r="BX66" s="15"/>
      <c r="BY66" s="14"/>
      <c r="BZ66" s="13"/>
      <c r="CA66" s="13"/>
      <c r="CB66" s="13"/>
      <c r="CC66" s="13"/>
      <c r="CD66" s="13"/>
      <c r="CE66" s="13"/>
      <c r="CF66" s="13"/>
      <c r="CG66" s="13"/>
      <c r="CH66" s="13"/>
      <c r="CI66" s="13"/>
      <c r="CJ66" s="15"/>
      <c r="CK66" s="14"/>
      <c r="CL66" s="13"/>
      <c r="CM66" s="13"/>
      <c r="CN66" s="13"/>
      <c r="CO66" s="13"/>
      <c r="CP66" s="13"/>
      <c r="CQ66" s="13"/>
      <c r="CR66" s="13"/>
      <c r="CS66" s="13"/>
      <c r="CT66" s="13"/>
      <c r="CU66" s="13"/>
      <c r="CV66" s="15"/>
      <c r="CW66" s="14"/>
      <c r="CX66" s="13"/>
      <c r="CY66" s="13"/>
      <c r="CZ66" s="13"/>
      <c r="DA66" s="13"/>
      <c r="DB66" s="13"/>
      <c r="DC66" s="13"/>
      <c r="DD66" s="13"/>
      <c r="DE66" s="13"/>
      <c r="DF66" s="13"/>
      <c r="DG66" s="13"/>
      <c r="DH66" s="15"/>
    </row>
    <row r="67" spans="1:112" x14ac:dyDescent="0.25">
      <c r="A67" s="13"/>
      <c r="B67" s="13"/>
      <c r="C67" s="13"/>
      <c r="D67" s="16" t="s">
        <v>70</v>
      </c>
      <c r="E67" s="14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5"/>
      <c r="Q67" s="14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5"/>
      <c r="AC67" s="14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5"/>
      <c r="AO67" s="14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5"/>
      <c r="BA67" s="14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5"/>
      <c r="BM67" s="14"/>
      <c r="BN67" s="13"/>
      <c r="BO67" s="13"/>
      <c r="BP67" s="13"/>
      <c r="BQ67" s="13"/>
      <c r="BR67" s="13"/>
      <c r="BS67" s="13"/>
      <c r="BT67" s="13"/>
      <c r="BU67" s="13"/>
      <c r="BV67" s="13"/>
      <c r="BW67" s="13"/>
      <c r="BX67" s="15"/>
      <c r="BY67" s="14"/>
      <c r="BZ67" s="13"/>
      <c r="CA67" s="13"/>
      <c r="CB67" s="13"/>
      <c r="CC67" s="13"/>
      <c r="CD67" s="13"/>
      <c r="CE67" s="13"/>
      <c r="CF67" s="13"/>
      <c r="CG67" s="13"/>
      <c r="CH67" s="13"/>
      <c r="CI67" s="13"/>
      <c r="CJ67" s="15"/>
      <c r="CK67" s="14"/>
      <c r="CL67" s="13"/>
      <c r="CM67" s="13"/>
      <c r="CN67" s="13"/>
      <c r="CO67" s="13"/>
      <c r="CP67" s="13"/>
      <c r="CQ67" s="13"/>
      <c r="CR67" s="13"/>
      <c r="CS67" s="13"/>
      <c r="CT67" s="13"/>
      <c r="CU67" s="13"/>
      <c r="CV67" s="15"/>
      <c r="CW67" s="14"/>
      <c r="CX67" s="13"/>
      <c r="CY67" s="13"/>
      <c r="CZ67" s="13"/>
      <c r="DA67" s="13"/>
      <c r="DB67" s="13"/>
      <c r="DC67" s="13"/>
      <c r="DD67" s="13"/>
      <c r="DE67" s="13"/>
      <c r="DF67" s="13"/>
      <c r="DG67" s="13"/>
      <c r="DH67" s="15"/>
    </row>
    <row r="68" spans="1:112" x14ac:dyDescent="0.25">
      <c r="A68" s="13"/>
      <c r="B68" s="13"/>
      <c r="C68" s="13"/>
      <c r="D68" s="16" t="s">
        <v>71</v>
      </c>
      <c r="E68" s="14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5"/>
      <c r="Q68" s="14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5"/>
      <c r="AC68" s="14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5"/>
      <c r="AO68" s="14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5"/>
      <c r="BA68" s="14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5"/>
      <c r="BM68" s="14"/>
      <c r="BN68" s="13"/>
      <c r="BO68" s="13"/>
      <c r="BP68" s="13"/>
      <c r="BQ68" s="13"/>
      <c r="BR68" s="13"/>
      <c r="BS68" s="13"/>
      <c r="BT68" s="13"/>
      <c r="BU68" s="13"/>
      <c r="BV68" s="13"/>
      <c r="BW68" s="13"/>
      <c r="BX68" s="15"/>
      <c r="BY68" s="14"/>
      <c r="BZ68" s="13"/>
      <c r="CA68" s="13"/>
      <c r="CB68" s="13"/>
      <c r="CC68" s="13"/>
      <c r="CD68" s="13"/>
      <c r="CE68" s="13"/>
      <c r="CF68" s="13"/>
      <c r="CG68" s="13"/>
      <c r="CH68" s="13"/>
      <c r="CI68" s="13"/>
      <c r="CJ68" s="15"/>
      <c r="CK68" s="14"/>
      <c r="CL68" s="13"/>
      <c r="CM68" s="13"/>
      <c r="CN68" s="13"/>
      <c r="CO68" s="13"/>
      <c r="CP68" s="13"/>
      <c r="CQ68" s="13"/>
      <c r="CR68" s="13"/>
      <c r="CS68" s="13"/>
      <c r="CT68" s="13"/>
      <c r="CU68" s="13"/>
      <c r="CV68" s="15"/>
      <c r="CW68" s="14"/>
      <c r="CX68" s="13"/>
      <c r="CY68" s="13"/>
      <c r="CZ68" s="13"/>
      <c r="DA68" s="13"/>
      <c r="DB68" s="13"/>
      <c r="DC68" s="13"/>
      <c r="DD68" s="13"/>
      <c r="DE68" s="13"/>
      <c r="DF68" s="13"/>
      <c r="DG68" s="13"/>
      <c r="DH68" s="15"/>
    </row>
    <row r="69" spans="1:112" x14ac:dyDescent="0.25">
      <c r="A69" s="13"/>
      <c r="B69" s="13"/>
      <c r="C69" s="13"/>
      <c r="D69" s="16" t="s">
        <v>72</v>
      </c>
      <c r="E69" s="14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5"/>
      <c r="Q69" s="14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5"/>
      <c r="AC69" s="14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5"/>
      <c r="AO69" s="14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5"/>
      <c r="BA69" s="14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5"/>
      <c r="BM69" s="14"/>
      <c r="BN69" s="13"/>
      <c r="BO69" s="13"/>
      <c r="BP69" s="13"/>
      <c r="BQ69" s="13"/>
      <c r="BR69" s="13"/>
      <c r="BS69" s="13"/>
      <c r="BT69" s="13"/>
      <c r="BU69" s="13"/>
      <c r="BV69" s="13"/>
      <c r="BW69" s="13"/>
      <c r="BX69" s="15"/>
      <c r="BY69" s="14"/>
      <c r="BZ69" s="13"/>
      <c r="CA69" s="13"/>
      <c r="CB69" s="13"/>
      <c r="CC69" s="13"/>
      <c r="CD69" s="13"/>
      <c r="CE69" s="13"/>
      <c r="CF69" s="13"/>
      <c r="CG69" s="13"/>
      <c r="CH69" s="13"/>
      <c r="CI69" s="13"/>
      <c r="CJ69" s="15"/>
      <c r="CK69" s="14"/>
      <c r="CL69" s="13"/>
      <c r="CM69" s="13"/>
      <c r="CN69" s="13"/>
      <c r="CO69" s="13"/>
      <c r="CP69" s="13"/>
      <c r="CQ69" s="13"/>
      <c r="CR69" s="13"/>
      <c r="CS69" s="13"/>
      <c r="CT69" s="13"/>
      <c r="CU69" s="13"/>
      <c r="CV69" s="15"/>
      <c r="CW69" s="14"/>
      <c r="CX69" s="13"/>
      <c r="CY69" s="13"/>
      <c r="CZ69" s="13"/>
      <c r="DA69" s="13"/>
      <c r="DB69" s="13"/>
      <c r="DC69" s="13"/>
      <c r="DD69" s="13"/>
      <c r="DE69" s="13"/>
      <c r="DF69" s="13"/>
      <c r="DG69" s="13"/>
      <c r="DH69" s="15"/>
    </row>
    <row r="70" spans="1:112" x14ac:dyDescent="0.25">
      <c r="A70" s="13"/>
      <c r="B70" s="13"/>
      <c r="C70" s="13"/>
      <c r="D70" s="16" t="s">
        <v>73</v>
      </c>
      <c r="E70" s="14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5"/>
      <c r="Q70" s="14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5"/>
      <c r="AC70" s="14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5"/>
      <c r="AO70" s="14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5"/>
      <c r="BA70" s="14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5"/>
      <c r="BM70" s="14"/>
      <c r="BN70" s="13"/>
      <c r="BO70" s="13"/>
      <c r="BP70" s="13"/>
      <c r="BQ70" s="13"/>
      <c r="BR70" s="13"/>
      <c r="BS70" s="13"/>
      <c r="BT70" s="13"/>
      <c r="BU70" s="13"/>
      <c r="BV70" s="13"/>
      <c r="BW70" s="13"/>
      <c r="BX70" s="15"/>
      <c r="BY70" s="14"/>
      <c r="BZ70" s="13"/>
      <c r="CA70" s="13"/>
      <c r="CB70" s="13"/>
      <c r="CC70" s="13"/>
      <c r="CD70" s="13"/>
      <c r="CE70" s="13"/>
      <c r="CF70" s="13"/>
      <c r="CG70" s="13"/>
      <c r="CH70" s="13"/>
      <c r="CI70" s="13"/>
      <c r="CJ70" s="15"/>
      <c r="CK70" s="14"/>
      <c r="CL70" s="13"/>
      <c r="CM70" s="13"/>
      <c r="CN70" s="13"/>
      <c r="CO70" s="13"/>
      <c r="CP70" s="13"/>
      <c r="CQ70" s="13"/>
      <c r="CR70" s="13"/>
      <c r="CS70" s="13"/>
      <c r="CT70" s="13"/>
      <c r="CU70" s="13"/>
      <c r="CV70" s="15"/>
      <c r="CW70" s="14"/>
      <c r="CX70" s="13"/>
      <c r="CY70" s="13"/>
      <c r="CZ70" s="13"/>
      <c r="DA70" s="13"/>
      <c r="DB70" s="13"/>
      <c r="DC70" s="13"/>
      <c r="DD70" s="13"/>
      <c r="DE70" s="13"/>
      <c r="DF70" s="13"/>
      <c r="DG70" s="13"/>
      <c r="DH70" s="15"/>
    </row>
    <row r="71" spans="1:112" x14ac:dyDescent="0.25">
      <c r="A71" s="13"/>
      <c r="B71" s="13"/>
      <c r="C71" s="13"/>
      <c r="D71" s="16" t="s">
        <v>74</v>
      </c>
      <c r="E71" s="14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5"/>
      <c r="Q71" s="14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5"/>
      <c r="AC71" s="14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5"/>
      <c r="AO71" s="14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5"/>
      <c r="BA71" s="14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5"/>
      <c r="BM71" s="14"/>
      <c r="BN71" s="13"/>
      <c r="BO71" s="13"/>
      <c r="BP71" s="13"/>
      <c r="BQ71" s="13"/>
      <c r="BR71" s="13"/>
      <c r="BS71" s="13"/>
      <c r="BT71" s="13"/>
      <c r="BU71" s="13"/>
      <c r="BV71" s="13"/>
      <c r="BW71" s="13"/>
      <c r="BX71" s="15"/>
      <c r="BY71" s="14"/>
      <c r="BZ71" s="13"/>
      <c r="CA71" s="13"/>
      <c r="CB71" s="13"/>
      <c r="CC71" s="13"/>
      <c r="CD71" s="13"/>
      <c r="CE71" s="13"/>
      <c r="CF71" s="13"/>
      <c r="CG71" s="13"/>
      <c r="CH71" s="13"/>
      <c r="CI71" s="13"/>
      <c r="CJ71" s="15"/>
      <c r="CK71" s="14"/>
      <c r="CL71" s="13"/>
      <c r="CM71" s="13"/>
      <c r="CN71" s="13"/>
      <c r="CO71" s="13"/>
      <c r="CP71" s="13"/>
      <c r="CQ71" s="13"/>
      <c r="CR71" s="13"/>
      <c r="CS71" s="13"/>
      <c r="CT71" s="13"/>
      <c r="CU71" s="13"/>
      <c r="CV71" s="15"/>
      <c r="CW71" s="14"/>
      <c r="CX71" s="13"/>
      <c r="CY71" s="13"/>
      <c r="CZ71" s="13"/>
      <c r="DA71" s="13"/>
      <c r="DB71" s="13"/>
      <c r="DC71" s="13"/>
      <c r="DD71" s="13"/>
      <c r="DE71" s="13"/>
      <c r="DF71" s="13"/>
      <c r="DG71" s="13"/>
      <c r="DH71" s="15"/>
    </row>
    <row r="72" spans="1:112" x14ac:dyDescent="0.25">
      <c r="A72" s="13"/>
      <c r="B72" s="13"/>
      <c r="C72" s="13"/>
      <c r="D72" s="16" t="s">
        <v>75</v>
      </c>
      <c r="E72" s="14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5"/>
      <c r="Q72" s="14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5"/>
      <c r="AC72" s="14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5"/>
      <c r="AO72" s="14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5"/>
      <c r="BA72" s="14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5"/>
      <c r="BM72" s="14"/>
      <c r="BN72" s="13"/>
      <c r="BO72" s="13"/>
      <c r="BP72" s="13"/>
      <c r="BQ72" s="13"/>
      <c r="BR72" s="13"/>
      <c r="BS72" s="13"/>
      <c r="BT72" s="13"/>
      <c r="BU72" s="13"/>
      <c r="BV72" s="13"/>
      <c r="BW72" s="13"/>
      <c r="BX72" s="15"/>
      <c r="BY72" s="14"/>
      <c r="BZ72" s="13"/>
      <c r="CA72" s="13"/>
      <c r="CB72" s="13"/>
      <c r="CC72" s="13"/>
      <c r="CD72" s="13"/>
      <c r="CE72" s="13"/>
      <c r="CF72" s="13"/>
      <c r="CG72" s="13"/>
      <c r="CH72" s="13"/>
      <c r="CI72" s="13"/>
      <c r="CJ72" s="15"/>
      <c r="CK72" s="14"/>
      <c r="CL72" s="13"/>
      <c r="CM72" s="13"/>
      <c r="CN72" s="13"/>
      <c r="CO72" s="13"/>
      <c r="CP72" s="13"/>
      <c r="CQ72" s="13"/>
      <c r="CR72" s="13"/>
      <c r="CS72" s="13"/>
      <c r="CT72" s="13"/>
      <c r="CU72" s="13"/>
      <c r="CV72" s="15"/>
      <c r="CW72" s="14"/>
      <c r="CX72" s="13"/>
      <c r="CY72" s="13"/>
      <c r="CZ72" s="13"/>
      <c r="DA72" s="13"/>
      <c r="DB72" s="13"/>
      <c r="DC72" s="13"/>
      <c r="DD72" s="13"/>
      <c r="DE72" s="13"/>
      <c r="DF72" s="13"/>
      <c r="DG72" s="13"/>
      <c r="DH72" s="15"/>
    </row>
    <row r="73" spans="1:112" x14ac:dyDescent="0.25">
      <c r="A73" s="13"/>
      <c r="B73" s="13"/>
      <c r="C73" s="13"/>
      <c r="D73" s="16" t="s">
        <v>76</v>
      </c>
      <c r="E73" s="14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5"/>
      <c r="Q73" s="14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5"/>
      <c r="AC73" s="14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5"/>
      <c r="AO73" s="14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5"/>
      <c r="BA73" s="14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5"/>
      <c r="BM73" s="14"/>
      <c r="BN73" s="13"/>
      <c r="BO73" s="13"/>
      <c r="BP73" s="13"/>
      <c r="BQ73" s="13"/>
      <c r="BR73" s="13"/>
      <c r="BS73" s="13"/>
      <c r="BT73" s="13"/>
      <c r="BU73" s="13"/>
      <c r="BV73" s="13"/>
      <c r="BW73" s="13"/>
      <c r="BX73" s="15"/>
      <c r="BY73" s="14"/>
      <c r="BZ73" s="13"/>
      <c r="CA73" s="13"/>
      <c r="CB73" s="13"/>
      <c r="CC73" s="13"/>
      <c r="CD73" s="13"/>
      <c r="CE73" s="13"/>
      <c r="CF73" s="13"/>
      <c r="CG73" s="13"/>
      <c r="CH73" s="13"/>
      <c r="CI73" s="13"/>
      <c r="CJ73" s="15"/>
      <c r="CK73" s="14"/>
      <c r="CL73" s="13"/>
      <c r="CM73" s="13"/>
      <c r="CN73" s="13"/>
      <c r="CO73" s="13"/>
      <c r="CP73" s="13"/>
      <c r="CQ73" s="13"/>
      <c r="CR73" s="13"/>
      <c r="CS73" s="13"/>
      <c r="CT73" s="13"/>
      <c r="CU73" s="13"/>
      <c r="CV73" s="15"/>
      <c r="CW73" s="14"/>
      <c r="CX73" s="13"/>
      <c r="CY73" s="13"/>
      <c r="CZ73" s="13"/>
      <c r="DA73" s="13"/>
      <c r="DB73" s="13"/>
      <c r="DC73" s="13"/>
      <c r="DD73" s="13"/>
      <c r="DE73" s="13"/>
      <c r="DF73" s="13"/>
      <c r="DG73" s="13"/>
      <c r="DH73" s="15"/>
    </row>
    <row r="74" spans="1:112" x14ac:dyDescent="0.25">
      <c r="A74" s="13"/>
      <c r="B74" s="13"/>
      <c r="C74" s="13"/>
      <c r="D74" s="16" t="s">
        <v>77</v>
      </c>
      <c r="E74" s="14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5"/>
      <c r="Q74" s="14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5"/>
      <c r="AC74" s="14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5"/>
      <c r="AO74" s="14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5"/>
      <c r="BA74" s="14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5"/>
      <c r="BM74" s="14"/>
      <c r="BN74" s="13"/>
      <c r="BO74" s="13"/>
      <c r="BP74" s="13"/>
      <c r="BQ74" s="13"/>
      <c r="BR74" s="13"/>
      <c r="BS74" s="13"/>
      <c r="BT74" s="13"/>
      <c r="BU74" s="13"/>
      <c r="BV74" s="13"/>
      <c r="BW74" s="13"/>
      <c r="BX74" s="15"/>
      <c r="BY74" s="14"/>
      <c r="BZ74" s="13"/>
      <c r="CA74" s="13"/>
      <c r="CB74" s="13"/>
      <c r="CC74" s="13"/>
      <c r="CD74" s="13"/>
      <c r="CE74" s="13"/>
      <c r="CF74" s="13"/>
      <c r="CG74" s="13"/>
      <c r="CH74" s="13"/>
      <c r="CI74" s="13"/>
      <c r="CJ74" s="15"/>
      <c r="CK74" s="14"/>
      <c r="CL74" s="13"/>
      <c r="CM74" s="13"/>
      <c r="CN74" s="13"/>
      <c r="CO74" s="13"/>
      <c r="CP74" s="13"/>
      <c r="CQ74" s="13"/>
      <c r="CR74" s="13"/>
      <c r="CS74" s="13"/>
      <c r="CT74" s="13"/>
      <c r="CU74" s="13"/>
      <c r="CV74" s="15"/>
      <c r="CW74" s="14"/>
      <c r="CX74" s="13"/>
      <c r="CY74" s="13"/>
      <c r="CZ74" s="13"/>
      <c r="DA74" s="13"/>
      <c r="DB74" s="13"/>
      <c r="DC74" s="13"/>
      <c r="DD74" s="13"/>
      <c r="DE74" s="13"/>
      <c r="DF74" s="13"/>
      <c r="DG74" s="13"/>
      <c r="DH74" s="15"/>
    </row>
    <row r="75" spans="1:112" x14ac:dyDescent="0.25">
      <c r="A75" s="13"/>
      <c r="B75" s="13"/>
      <c r="C75" s="13"/>
      <c r="D75" s="16" t="s">
        <v>78</v>
      </c>
      <c r="E75" s="14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5"/>
      <c r="Q75" s="14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5"/>
      <c r="AC75" s="14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5"/>
      <c r="AO75" s="14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5"/>
      <c r="BA75" s="14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5"/>
      <c r="BM75" s="14"/>
      <c r="BN75" s="13"/>
      <c r="BO75" s="13"/>
      <c r="BP75" s="13"/>
      <c r="BQ75" s="13"/>
      <c r="BR75" s="13"/>
      <c r="BS75" s="13"/>
      <c r="BT75" s="13"/>
      <c r="BU75" s="13"/>
      <c r="BV75" s="13"/>
      <c r="BW75" s="13"/>
      <c r="BX75" s="15"/>
      <c r="BY75" s="14"/>
      <c r="BZ75" s="13"/>
      <c r="CA75" s="13"/>
      <c r="CB75" s="13"/>
      <c r="CC75" s="13"/>
      <c r="CD75" s="13"/>
      <c r="CE75" s="13"/>
      <c r="CF75" s="13"/>
      <c r="CG75" s="13"/>
      <c r="CH75" s="13"/>
      <c r="CI75" s="13"/>
      <c r="CJ75" s="15"/>
      <c r="CK75" s="14"/>
      <c r="CL75" s="13"/>
      <c r="CM75" s="13"/>
      <c r="CN75" s="13"/>
      <c r="CO75" s="13"/>
      <c r="CP75" s="13"/>
      <c r="CQ75" s="13"/>
      <c r="CR75" s="13"/>
      <c r="CS75" s="13"/>
      <c r="CT75" s="13"/>
      <c r="CU75" s="13"/>
      <c r="CV75" s="15"/>
      <c r="CW75" s="14"/>
      <c r="CX75" s="13"/>
      <c r="CY75" s="13"/>
      <c r="CZ75" s="13"/>
      <c r="DA75" s="13"/>
      <c r="DB75" s="13"/>
      <c r="DC75" s="13"/>
      <c r="DD75" s="13"/>
      <c r="DE75" s="13"/>
      <c r="DF75" s="13"/>
      <c r="DG75" s="13"/>
      <c r="DH75" s="15"/>
    </row>
    <row r="76" spans="1:112" x14ac:dyDescent="0.25">
      <c r="A76" s="13"/>
      <c r="B76" s="13"/>
      <c r="C76" s="13"/>
      <c r="D76" s="16" t="s">
        <v>79</v>
      </c>
      <c r="E76" s="14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5"/>
      <c r="Q76" s="14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5"/>
      <c r="AC76" s="14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5"/>
      <c r="AO76" s="14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5"/>
      <c r="BA76" s="14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5"/>
      <c r="BM76" s="14"/>
      <c r="BN76" s="13"/>
      <c r="BO76" s="13"/>
      <c r="BP76" s="13"/>
      <c r="BQ76" s="13"/>
      <c r="BR76" s="13"/>
      <c r="BS76" s="13"/>
      <c r="BT76" s="13"/>
      <c r="BU76" s="13"/>
      <c r="BV76" s="13"/>
      <c r="BW76" s="13"/>
      <c r="BX76" s="15"/>
      <c r="BY76" s="14"/>
      <c r="BZ76" s="13"/>
      <c r="CA76" s="13"/>
      <c r="CB76" s="13"/>
      <c r="CC76" s="13"/>
      <c r="CD76" s="13"/>
      <c r="CE76" s="13"/>
      <c r="CF76" s="13"/>
      <c r="CG76" s="13"/>
      <c r="CH76" s="13"/>
      <c r="CI76" s="13"/>
      <c r="CJ76" s="15"/>
      <c r="CK76" s="14"/>
      <c r="CL76" s="13"/>
      <c r="CM76" s="13"/>
      <c r="CN76" s="13"/>
      <c r="CO76" s="13"/>
      <c r="CP76" s="13"/>
      <c r="CQ76" s="13"/>
      <c r="CR76" s="13"/>
      <c r="CS76" s="13"/>
      <c r="CT76" s="13"/>
      <c r="CU76" s="13"/>
      <c r="CV76" s="15"/>
      <c r="CW76" s="14"/>
      <c r="CX76" s="13"/>
      <c r="CY76" s="13"/>
      <c r="CZ76" s="13"/>
      <c r="DA76" s="13"/>
      <c r="DB76" s="13"/>
      <c r="DC76" s="13"/>
      <c r="DD76" s="13"/>
      <c r="DE76" s="13"/>
      <c r="DF76" s="13"/>
      <c r="DG76" s="13"/>
      <c r="DH76" s="15"/>
    </row>
    <row r="77" spans="1:112" x14ac:dyDescent="0.25">
      <c r="A77" s="13"/>
      <c r="B77" s="13"/>
      <c r="C77" s="13"/>
      <c r="D77" s="16" t="s">
        <v>80</v>
      </c>
      <c r="E77" s="14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5"/>
      <c r="Q77" s="14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5"/>
      <c r="AC77" s="14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5"/>
      <c r="AO77" s="14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5"/>
      <c r="BA77" s="14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5"/>
      <c r="BM77" s="14"/>
      <c r="BN77" s="13"/>
      <c r="BO77" s="13"/>
      <c r="BP77" s="13"/>
      <c r="BQ77" s="13"/>
      <c r="BR77" s="13"/>
      <c r="BS77" s="13"/>
      <c r="BT77" s="13"/>
      <c r="BU77" s="13"/>
      <c r="BV77" s="13"/>
      <c r="BW77" s="13"/>
      <c r="BX77" s="15"/>
      <c r="BY77" s="14"/>
      <c r="BZ77" s="13"/>
      <c r="CA77" s="13"/>
      <c r="CB77" s="13"/>
      <c r="CC77" s="13"/>
      <c r="CD77" s="13"/>
      <c r="CE77" s="13"/>
      <c r="CF77" s="13"/>
      <c r="CG77" s="13"/>
      <c r="CH77" s="13"/>
      <c r="CI77" s="13"/>
      <c r="CJ77" s="15"/>
      <c r="CK77" s="14"/>
      <c r="CL77" s="13"/>
      <c r="CM77" s="13"/>
      <c r="CN77" s="13"/>
      <c r="CO77" s="13"/>
      <c r="CP77" s="13"/>
      <c r="CQ77" s="13"/>
      <c r="CR77" s="13"/>
      <c r="CS77" s="13"/>
      <c r="CT77" s="13"/>
      <c r="CU77" s="13"/>
      <c r="CV77" s="15"/>
      <c r="CW77" s="14"/>
      <c r="CX77" s="13"/>
      <c r="CY77" s="13"/>
      <c r="CZ77" s="13"/>
      <c r="DA77" s="13"/>
      <c r="DB77" s="13"/>
      <c r="DC77" s="13"/>
      <c r="DD77" s="13"/>
      <c r="DE77" s="13"/>
      <c r="DF77" s="13"/>
      <c r="DG77" s="13"/>
      <c r="DH77" s="15"/>
    </row>
    <row r="78" spans="1:112" x14ac:dyDescent="0.25">
      <c r="A78" s="13"/>
      <c r="B78" s="13"/>
      <c r="C78" s="13"/>
      <c r="D78" s="16" t="s">
        <v>81</v>
      </c>
      <c r="E78" s="14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5"/>
      <c r="Q78" s="14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5"/>
      <c r="AC78" s="14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5"/>
      <c r="AO78" s="14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5"/>
      <c r="BA78" s="14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5"/>
      <c r="BM78" s="14"/>
      <c r="BN78" s="13"/>
      <c r="BO78" s="13"/>
      <c r="BP78" s="13"/>
      <c r="BQ78" s="13"/>
      <c r="BR78" s="13"/>
      <c r="BS78" s="13"/>
      <c r="BT78" s="13"/>
      <c r="BU78" s="13"/>
      <c r="BV78" s="13"/>
      <c r="BW78" s="13"/>
      <c r="BX78" s="15"/>
      <c r="BY78" s="14"/>
      <c r="BZ78" s="13"/>
      <c r="CA78" s="13"/>
      <c r="CB78" s="13"/>
      <c r="CC78" s="13"/>
      <c r="CD78" s="13"/>
      <c r="CE78" s="13"/>
      <c r="CF78" s="13"/>
      <c r="CG78" s="13"/>
      <c r="CH78" s="13"/>
      <c r="CI78" s="13"/>
      <c r="CJ78" s="15"/>
      <c r="CK78" s="14"/>
      <c r="CL78" s="13"/>
      <c r="CM78" s="13"/>
      <c r="CN78" s="13"/>
      <c r="CO78" s="13"/>
      <c r="CP78" s="13"/>
      <c r="CQ78" s="13"/>
      <c r="CR78" s="13"/>
      <c r="CS78" s="13"/>
      <c r="CT78" s="13"/>
      <c r="CU78" s="13"/>
      <c r="CV78" s="15"/>
      <c r="CW78" s="14"/>
      <c r="CX78" s="13"/>
      <c r="CY78" s="13"/>
      <c r="CZ78" s="13"/>
      <c r="DA78" s="13"/>
      <c r="DB78" s="13"/>
      <c r="DC78" s="13"/>
      <c r="DD78" s="13"/>
      <c r="DE78" s="13"/>
      <c r="DF78" s="13"/>
      <c r="DG78" s="13"/>
      <c r="DH78" s="15"/>
    </row>
    <row r="79" spans="1:112" x14ac:dyDescent="0.25">
      <c r="A79" s="13"/>
      <c r="B79" s="13"/>
      <c r="C79" s="13"/>
      <c r="D79" s="16" t="s">
        <v>82</v>
      </c>
      <c r="E79" s="14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5"/>
      <c r="Q79" s="14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5"/>
      <c r="AC79" s="14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5"/>
      <c r="AO79" s="14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5"/>
      <c r="BA79" s="14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5"/>
      <c r="BM79" s="14"/>
      <c r="BN79" s="13"/>
      <c r="BO79" s="13"/>
      <c r="BP79" s="13"/>
      <c r="BQ79" s="13"/>
      <c r="BR79" s="13"/>
      <c r="BS79" s="13"/>
      <c r="BT79" s="13"/>
      <c r="BU79" s="13"/>
      <c r="BV79" s="13"/>
      <c r="BW79" s="13"/>
      <c r="BX79" s="15"/>
      <c r="BY79" s="14"/>
      <c r="BZ79" s="13"/>
      <c r="CA79" s="13"/>
      <c r="CB79" s="13"/>
      <c r="CC79" s="13"/>
      <c r="CD79" s="13"/>
      <c r="CE79" s="13"/>
      <c r="CF79" s="13"/>
      <c r="CG79" s="13"/>
      <c r="CH79" s="13"/>
      <c r="CI79" s="13"/>
      <c r="CJ79" s="15"/>
      <c r="CK79" s="14"/>
      <c r="CL79" s="13"/>
      <c r="CM79" s="13"/>
      <c r="CN79" s="13"/>
      <c r="CO79" s="13"/>
      <c r="CP79" s="13"/>
      <c r="CQ79" s="13"/>
      <c r="CR79" s="13"/>
      <c r="CS79" s="13"/>
      <c r="CT79" s="13"/>
      <c r="CU79" s="13"/>
      <c r="CV79" s="15"/>
      <c r="CW79" s="14"/>
      <c r="CX79" s="13"/>
      <c r="CY79" s="13"/>
      <c r="CZ79" s="13"/>
      <c r="DA79" s="13"/>
      <c r="DB79" s="13"/>
      <c r="DC79" s="13"/>
      <c r="DD79" s="13"/>
      <c r="DE79" s="13"/>
      <c r="DF79" s="13"/>
      <c r="DG79" s="13"/>
      <c r="DH79" s="15"/>
    </row>
    <row r="80" spans="1:112" x14ac:dyDescent="0.25">
      <c r="A80" s="13"/>
      <c r="B80" s="13"/>
      <c r="C80" s="13"/>
      <c r="D80" s="16" t="s">
        <v>83</v>
      </c>
      <c r="E80" s="14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5"/>
      <c r="Q80" s="14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5"/>
      <c r="AC80" s="14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5"/>
      <c r="AO80" s="14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5"/>
      <c r="BA80" s="14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5"/>
      <c r="BM80" s="14"/>
      <c r="BN80" s="13"/>
      <c r="BO80" s="13"/>
      <c r="BP80" s="13"/>
      <c r="BQ80" s="13"/>
      <c r="BR80" s="13"/>
      <c r="BS80" s="13"/>
      <c r="BT80" s="13"/>
      <c r="BU80" s="13"/>
      <c r="BV80" s="13"/>
      <c r="BW80" s="13"/>
      <c r="BX80" s="15"/>
      <c r="BY80" s="14"/>
      <c r="BZ80" s="13"/>
      <c r="CA80" s="13"/>
      <c r="CB80" s="13"/>
      <c r="CC80" s="13"/>
      <c r="CD80" s="13"/>
      <c r="CE80" s="13"/>
      <c r="CF80" s="13"/>
      <c r="CG80" s="13"/>
      <c r="CH80" s="13"/>
      <c r="CI80" s="13"/>
      <c r="CJ80" s="15"/>
      <c r="CK80" s="14"/>
      <c r="CL80" s="13"/>
      <c r="CM80" s="13"/>
      <c r="CN80" s="13"/>
      <c r="CO80" s="13"/>
      <c r="CP80" s="13"/>
      <c r="CQ80" s="13"/>
      <c r="CR80" s="13"/>
      <c r="CS80" s="13"/>
      <c r="CT80" s="13"/>
      <c r="CU80" s="13"/>
      <c r="CV80" s="15"/>
      <c r="CW80" s="14"/>
      <c r="CX80" s="13"/>
      <c r="CY80" s="13"/>
      <c r="CZ80" s="13"/>
      <c r="DA80" s="13"/>
      <c r="DB80" s="13"/>
      <c r="DC80" s="13"/>
      <c r="DD80" s="13"/>
      <c r="DE80" s="13"/>
      <c r="DF80" s="13"/>
      <c r="DG80" s="13"/>
      <c r="DH80" s="15"/>
    </row>
    <row r="81" spans="1:112" x14ac:dyDescent="0.25">
      <c r="A81" s="13"/>
      <c r="B81" s="13"/>
      <c r="C81" s="13"/>
      <c r="D81" s="16" t="s">
        <v>84</v>
      </c>
      <c r="E81" s="14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5"/>
      <c r="Q81" s="14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5"/>
      <c r="AC81" s="14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5"/>
      <c r="AO81" s="14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5"/>
      <c r="BA81" s="14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5"/>
      <c r="BM81" s="14"/>
      <c r="BN81" s="13"/>
      <c r="BO81" s="13"/>
      <c r="BP81" s="13"/>
      <c r="BQ81" s="13"/>
      <c r="BR81" s="13"/>
      <c r="BS81" s="13"/>
      <c r="BT81" s="13"/>
      <c r="BU81" s="13"/>
      <c r="BV81" s="13"/>
      <c r="BW81" s="13"/>
      <c r="BX81" s="15"/>
      <c r="BY81" s="14"/>
      <c r="BZ81" s="13"/>
      <c r="CA81" s="13"/>
      <c r="CB81" s="13"/>
      <c r="CC81" s="13"/>
      <c r="CD81" s="13"/>
      <c r="CE81" s="13"/>
      <c r="CF81" s="13"/>
      <c r="CG81" s="13"/>
      <c r="CH81" s="13"/>
      <c r="CI81" s="13"/>
      <c r="CJ81" s="15"/>
      <c r="CK81" s="14"/>
      <c r="CL81" s="13"/>
      <c r="CM81" s="13"/>
      <c r="CN81" s="13"/>
      <c r="CO81" s="13"/>
      <c r="CP81" s="13"/>
      <c r="CQ81" s="13"/>
      <c r="CR81" s="13"/>
      <c r="CS81" s="13"/>
      <c r="CT81" s="13"/>
      <c r="CU81" s="13"/>
      <c r="CV81" s="15"/>
      <c r="CW81" s="14"/>
      <c r="CX81" s="13"/>
      <c r="CY81" s="13"/>
      <c r="CZ81" s="13"/>
      <c r="DA81" s="13"/>
      <c r="DB81" s="13"/>
      <c r="DC81" s="13"/>
      <c r="DD81" s="13"/>
      <c r="DE81" s="13"/>
      <c r="DF81" s="13"/>
      <c r="DG81" s="13"/>
      <c r="DH81" s="15"/>
    </row>
    <row r="82" spans="1:112" x14ac:dyDescent="0.25">
      <c r="A82" s="13"/>
      <c r="B82" s="13"/>
      <c r="C82" s="13"/>
      <c r="D82" s="16" t="s">
        <v>85</v>
      </c>
      <c r="E82" s="14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5"/>
      <c r="Q82" s="14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5"/>
      <c r="AC82" s="14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5"/>
      <c r="AO82" s="14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5"/>
      <c r="BA82" s="14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5"/>
      <c r="BM82" s="14"/>
      <c r="BN82" s="13"/>
      <c r="BO82" s="13"/>
      <c r="BP82" s="13"/>
      <c r="BQ82" s="13"/>
      <c r="BR82" s="13"/>
      <c r="BS82" s="13"/>
      <c r="BT82" s="13"/>
      <c r="BU82" s="13"/>
      <c r="BV82" s="13"/>
      <c r="BW82" s="13"/>
      <c r="BX82" s="15"/>
      <c r="BY82" s="14"/>
      <c r="BZ82" s="13"/>
      <c r="CA82" s="13"/>
      <c r="CB82" s="13"/>
      <c r="CC82" s="13"/>
      <c r="CD82" s="13"/>
      <c r="CE82" s="13"/>
      <c r="CF82" s="13"/>
      <c r="CG82" s="13"/>
      <c r="CH82" s="13"/>
      <c r="CI82" s="13"/>
      <c r="CJ82" s="15"/>
      <c r="CK82" s="14"/>
      <c r="CL82" s="13"/>
      <c r="CM82" s="13"/>
      <c r="CN82" s="13"/>
      <c r="CO82" s="13"/>
      <c r="CP82" s="13"/>
      <c r="CQ82" s="13"/>
      <c r="CR82" s="13"/>
      <c r="CS82" s="13"/>
      <c r="CT82" s="13"/>
      <c r="CU82" s="13"/>
      <c r="CV82" s="15"/>
      <c r="CW82" s="14"/>
      <c r="CX82" s="13"/>
      <c r="CY82" s="13"/>
      <c r="CZ82" s="13"/>
      <c r="DA82" s="13"/>
      <c r="DB82" s="13"/>
      <c r="DC82" s="13"/>
      <c r="DD82" s="13"/>
      <c r="DE82" s="13"/>
      <c r="DF82" s="13"/>
      <c r="DG82" s="13"/>
      <c r="DH82" s="15"/>
    </row>
    <row r="83" spans="1:112" x14ac:dyDescent="0.25">
      <c r="A83" s="13"/>
      <c r="B83" s="13"/>
      <c r="C83" s="13"/>
      <c r="D83" s="16" t="s">
        <v>86</v>
      </c>
      <c r="E83" s="14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5"/>
      <c r="Q83" s="14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5"/>
      <c r="AC83" s="14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5"/>
      <c r="AO83" s="14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5"/>
      <c r="BA83" s="14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5"/>
      <c r="BM83" s="14"/>
      <c r="BN83" s="13"/>
      <c r="BO83" s="13"/>
      <c r="BP83" s="13"/>
      <c r="BQ83" s="13"/>
      <c r="BR83" s="13"/>
      <c r="BS83" s="13"/>
      <c r="BT83" s="13"/>
      <c r="BU83" s="13"/>
      <c r="BV83" s="13"/>
      <c r="BW83" s="13"/>
      <c r="BX83" s="15"/>
      <c r="BY83" s="14"/>
      <c r="BZ83" s="13"/>
      <c r="CA83" s="13"/>
      <c r="CB83" s="13"/>
      <c r="CC83" s="13"/>
      <c r="CD83" s="13"/>
      <c r="CE83" s="13"/>
      <c r="CF83" s="13"/>
      <c r="CG83" s="13"/>
      <c r="CH83" s="13"/>
      <c r="CI83" s="13"/>
      <c r="CJ83" s="15"/>
      <c r="CK83" s="14"/>
      <c r="CL83" s="13"/>
      <c r="CM83" s="13"/>
      <c r="CN83" s="13"/>
      <c r="CO83" s="13"/>
      <c r="CP83" s="13"/>
      <c r="CQ83" s="13"/>
      <c r="CR83" s="13"/>
      <c r="CS83" s="13"/>
      <c r="CT83" s="13"/>
      <c r="CU83" s="13"/>
      <c r="CV83" s="15"/>
      <c r="CW83" s="14"/>
      <c r="CX83" s="13"/>
      <c r="CY83" s="13"/>
      <c r="CZ83" s="13"/>
      <c r="DA83" s="13"/>
      <c r="DB83" s="13"/>
      <c r="DC83" s="13"/>
      <c r="DD83" s="13"/>
      <c r="DE83" s="13"/>
      <c r="DF83" s="13"/>
      <c r="DG83" s="13"/>
      <c r="DH83" s="15"/>
    </row>
    <row r="84" spans="1:112" x14ac:dyDescent="0.25">
      <c r="A84" s="13"/>
      <c r="B84" s="13"/>
      <c r="C84" s="13"/>
      <c r="D84" s="16" t="s">
        <v>87</v>
      </c>
      <c r="E84" s="14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5"/>
      <c r="Q84" s="14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5"/>
      <c r="AC84" s="14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5"/>
      <c r="AO84" s="14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5"/>
      <c r="BA84" s="14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5"/>
      <c r="BM84" s="14"/>
      <c r="BN84" s="13"/>
      <c r="BO84" s="13"/>
      <c r="BP84" s="13"/>
      <c r="BQ84" s="13"/>
      <c r="BR84" s="13"/>
      <c r="BS84" s="13"/>
      <c r="BT84" s="13"/>
      <c r="BU84" s="13"/>
      <c r="BV84" s="13"/>
      <c r="BW84" s="13"/>
      <c r="BX84" s="15"/>
      <c r="BY84" s="14"/>
      <c r="BZ84" s="13"/>
      <c r="CA84" s="13"/>
      <c r="CB84" s="13"/>
      <c r="CC84" s="13"/>
      <c r="CD84" s="13"/>
      <c r="CE84" s="13"/>
      <c r="CF84" s="13"/>
      <c r="CG84" s="13"/>
      <c r="CH84" s="13"/>
      <c r="CI84" s="13"/>
      <c r="CJ84" s="15"/>
      <c r="CK84" s="14"/>
      <c r="CL84" s="13"/>
      <c r="CM84" s="13"/>
      <c r="CN84" s="13"/>
      <c r="CO84" s="13"/>
      <c r="CP84" s="13"/>
      <c r="CQ84" s="13"/>
      <c r="CR84" s="13"/>
      <c r="CS84" s="13"/>
      <c r="CT84" s="13"/>
      <c r="CU84" s="13"/>
      <c r="CV84" s="15"/>
      <c r="CW84" s="14"/>
      <c r="CX84" s="13"/>
      <c r="CY84" s="13"/>
      <c r="CZ84" s="13"/>
      <c r="DA84" s="13"/>
      <c r="DB84" s="13"/>
      <c r="DC84" s="13"/>
      <c r="DD84" s="13"/>
      <c r="DE84" s="13"/>
      <c r="DF84" s="13"/>
      <c r="DG84" s="13"/>
      <c r="DH84" s="15"/>
    </row>
    <row r="85" spans="1:112" x14ac:dyDescent="0.25">
      <c r="A85" s="13"/>
      <c r="B85" s="13"/>
      <c r="C85" s="13"/>
      <c r="D85" s="16" t="s">
        <v>88</v>
      </c>
      <c r="E85" s="14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5"/>
      <c r="Q85" s="14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5"/>
      <c r="AC85" s="14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5"/>
      <c r="AO85" s="14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5"/>
      <c r="BA85" s="14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5"/>
      <c r="BM85" s="14"/>
      <c r="BN85" s="13"/>
      <c r="BO85" s="13"/>
      <c r="BP85" s="13"/>
      <c r="BQ85" s="13"/>
      <c r="BR85" s="13"/>
      <c r="BS85" s="13"/>
      <c r="BT85" s="13"/>
      <c r="BU85" s="13"/>
      <c r="BV85" s="13"/>
      <c r="BW85" s="13"/>
      <c r="BX85" s="15"/>
      <c r="BY85" s="14"/>
      <c r="BZ85" s="13"/>
      <c r="CA85" s="13"/>
      <c r="CB85" s="13"/>
      <c r="CC85" s="13"/>
      <c r="CD85" s="13"/>
      <c r="CE85" s="13"/>
      <c r="CF85" s="13"/>
      <c r="CG85" s="13"/>
      <c r="CH85" s="13"/>
      <c r="CI85" s="13"/>
      <c r="CJ85" s="15"/>
      <c r="CK85" s="14"/>
      <c r="CL85" s="13"/>
      <c r="CM85" s="13"/>
      <c r="CN85" s="13"/>
      <c r="CO85" s="13"/>
      <c r="CP85" s="13"/>
      <c r="CQ85" s="13"/>
      <c r="CR85" s="13"/>
      <c r="CS85" s="13"/>
      <c r="CT85" s="13"/>
      <c r="CU85" s="13"/>
      <c r="CV85" s="15"/>
      <c r="CW85" s="14"/>
      <c r="CX85" s="13"/>
      <c r="CY85" s="13"/>
      <c r="CZ85" s="13"/>
      <c r="DA85" s="13"/>
      <c r="DB85" s="13"/>
      <c r="DC85" s="13"/>
      <c r="DD85" s="13"/>
      <c r="DE85" s="13"/>
      <c r="DF85" s="13"/>
      <c r="DG85" s="13"/>
      <c r="DH85" s="15"/>
    </row>
    <row r="86" spans="1:112" x14ac:dyDescent="0.25">
      <c r="A86" s="13"/>
      <c r="B86" s="13"/>
      <c r="C86" s="13"/>
      <c r="D86" s="16" t="s">
        <v>89</v>
      </c>
      <c r="E86" s="14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5"/>
      <c r="Q86" s="14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5"/>
      <c r="AC86" s="14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5"/>
      <c r="AO86" s="14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5"/>
      <c r="BA86" s="14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5"/>
      <c r="BM86" s="14"/>
      <c r="BN86" s="13"/>
      <c r="BO86" s="13"/>
      <c r="BP86" s="13"/>
      <c r="BQ86" s="13"/>
      <c r="BR86" s="13"/>
      <c r="BS86" s="13"/>
      <c r="BT86" s="13"/>
      <c r="BU86" s="13"/>
      <c r="BV86" s="13"/>
      <c r="BW86" s="13"/>
      <c r="BX86" s="15"/>
      <c r="BY86" s="14"/>
      <c r="BZ86" s="13"/>
      <c r="CA86" s="13"/>
      <c r="CB86" s="13"/>
      <c r="CC86" s="13"/>
      <c r="CD86" s="13"/>
      <c r="CE86" s="13"/>
      <c r="CF86" s="13"/>
      <c r="CG86" s="13"/>
      <c r="CH86" s="13"/>
      <c r="CI86" s="13"/>
      <c r="CJ86" s="15"/>
      <c r="CK86" s="14"/>
      <c r="CL86" s="13"/>
      <c r="CM86" s="13"/>
      <c r="CN86" s="13"/>
      <c r="CO86" s="13"/>
      <c r="CP86" s="13"/>
      <c r="CQ86" s="13"/>
      <c r="CR86" s="13"/>
      <c r="CS86" s="13"/>
      <c r="CT86" s="13"/>
      <c r="CU86" s="13"/>
      <c r="CV86" s="15"/>
      <c r="CW86" s="14"/>
      <c r="CX86" s="13"/>
      <c r="CY86" s="13"/>
      <c r="CZ86" s="13"/>
      <c r="DA86" s="13"/>
      <c r="DB86" s="13"/>
      <c r="DC86" s="13"/>
      <c r="DD86" s="13"/>
      <c r="DE86" s="13"/>
      <c r="DF86" s="13"/>
      <c r="DG86" s="13"/>
      <c r="DH86" s="15"/>
    </row>
    <row r="87" spans="1:112" x14ac:dyDescent="0.25">
      <c r="A87" s="13"/>
      <c r="B87" s="13"/>
      <c r="C87" s="13"/>
      <c r="D87" s="16" t="s">
        <v>90</v>
      </c>
      <c r="E87" s="14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5"/>
      <c r="Q87" s="14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5"/>
      <c r="AC87" s="14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5"/>
      <c r="AO87" s="14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5"/>
      <c r="BA87" s="14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5"/>
      <c r="BM87" s="14"/>
      <c r="BN87" s="13"/>
      <c r="BO87" s="13"/>
      <c r="BP87" s="13"/>
      <c r="BQ87" s="13"/>
      <c r="BR87" s="13"/>
      <c r="BS87" s="13"/>
      <c r="BT87" s="13"/>
      <c r="BU87" s="13"/>
      <c r="BV87" s="13"/>
      <c r="BW87" s="13"/>
      <c r="BX87" s="15"/>
      <c r="BY87" s="14"/>
      <c r="BZ87" s="13"/>
      <c r="CA87" s="13"/>
      <c r="CB87" s="13"/>
      <c r="CC87" s="13"/>
      <c r="CD87" s="13"/>
      <c r="CE87" s="13"/>
      <c r="CF87" s="13"/>
      <c r="CG87" s="13"/>
      <c r="CH87" s="13"/>
      <c r="CI87" s="13"/>
      <c r="CJ87" s="15"/>
      <c r="CK87" s="14"/>
      <c r="CL87" s="13"/>
      <c r="CM87" s="13"/>
      <c r="CN87" s="13"/>
      <c r="CO87" s="13"/>
      <c r="CP87" s="13"/>
      <c r="CQ87" s="13"/>
      <c r="CR87" s="13"/>
      <c r="CS87" s="13"/>
      <c r="CT87" s="13"/>
      <c r="CU87" s="13"/>
      <c r="CV87" s="15"/>
      <c r="CW87" s="14"/>
      <c r="CX87" s="13"/>
      <c r="CY87" s="13"/>
      <c r="CZ87" s="13"/>
      <c r="DA87" s="13"/>
      <c r="DB87" s="13"/>
      <c r="DC87" s="13"/>
      <c r="DD87" s="13"/>
      <c r="DE87" s="13"/>
      <c r="DF87" s="13"/>
      <c r="DG87" s="13"/>
      <c r="DH87" s="15"/>
    </row>
    <row r="88" spans="1:112" x14ac:dyDescent="0.25">
      <c r="A88" s="13"/>
      <c r="B88" s="13"/>
      <c r="C88" s="13"/>
      <c r="D88" s="16" t="s">
        <v>91</v>
      </c>
      <c r="E88" s="14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5"/>
      <c r="Q88" s="14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5"/>
      <c r="AC88" s="14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5"/>
      <c r="AO88" s="14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5"/>
      <c r="BA88" s="14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5"/>
      <c r="BM88" s="14"/>
      <c r="BN88" s="13"/>
      <c r="BO88" s="13"/>
      <c r="BP88" s="13"/>
      <c r="BQ88" s="13"/>
      <c r="BR88" s="13"/>
      <c r="BS88" s="13"/>
      <c r="BT88" s="13"/>
      <c r="BU88" s="13"/>
      <c r="BV88" s="13"/>
      <c r="BW88" s="13"/>
      <c r="BX88" s="15"/>
      <c r="BY88" s="14"/>
      <c r="BZ88" s="13"/>
      <c r="CA88" s="13"/>
      <c r="CB88" s="13"/>
      <c r="CC88" s="13"/>
      <c r="CD88" s="13"/>
      <c r="CE88" s="13"/>
      <c r="CF88" s="13"/>
      <c r="CG88" s="13"/>
      <c r="CH88" s="13"/>
      <c r="CI88" s="13"/>
      <c r="CJ88" s="15"/>
      <c r="CK88" s="14"/>
      <c r="CL88" s="13"/>
      <c r="CM88" s="13"/>
      <c r="CN88" s="13"/>
      <c r="CO88" s="13"/>
      <c r="CP88" s="13"/>
      <c r="CQ88" s="13"/>
      <c r="CR88" s="13"/>
      <c r="CS88" s="13"/>
      <c r="CT88" s="13"/>
      <c r="CU88" s="13"/>
      <c r="CV88" s="15"/>
      <c r="CW88" s="14"/>
      <c r="CX88" s="13"/>
      <c r="CY88" s="13"/>
      <c r="CZ88" s="13"/>
      <c r="DA88" s="13"/>
      <c r="DB88" s="13"/>
      <c r="DC88" s="13"/>
      <c r="DD88" s="13"/>
      <c r="DE88" s="13"/>
      <c r="DF88" s="13"/>
      <c r="DG88" s="13"/>
      <c r="DH88" s="15"/>
    </row>
    <row r="89" spans="1:112" x14ac:dyDescent="0.25">
      <c r="A89" s="13"/>
      <c r="B89" s="13"/>
      <c r="C89" s="13"/>
      <c r="D89" s="16" t="s">
        <v>92</v>
      </c>
      <c r="E89" s="14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5"/>
      <c r="Q89" s="14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5"/>
      <c r="AC89" s="14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5"/>
      <c r="AO89" s="14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5"/>
      <c r="BA89" s="14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5"/>
      <c r="BM89" s="14"/>
      <c r="BN89" s="13"/>
      <c r="BO89" s="13"/>
      <c r="BP89" s="13"/>
      <c r="BQ89" s="13"/>
      <c r="BR89" s="13"/>
      <c r="BS89" s="13"/>
      <c r="BT89" s="13"/>
      <c r="BU89" s="13"/>
      <c r="BV89" s="13"/>
      <c r="BW89" s="13"/>
      <c r="BX89" s="15"/>
      <c r="BY89" s="14"/>
      <c r="BZ89" s="13"/>
      <c r="CA89" s="13"/>
      <c r="CB89" s="13"/>
      <c r="CC89" s="13"/>
      <c r="CD89" s="13"/>
      <c r="CE89" s="13"/>
      <c r="CF89" s="13"/>
      <c r="CG89" s="13"/>
      <c r="CH89" s="13"/>
      <c r="CI89" s="13"/>
      <c r="CJ89" s="15"/>
      <c r="CK89" s="14"/>
      <c r="CL89" s="13"/>
      <c r="CM89" s="13"/>
      <c r="CN89" s="13"/>
      <c r="CO89" s="13"/>
      <c r="CP89" s="13"/>
      <c r="CQ89" s="13"/>
      <c r="CR89" s="13"/>
      <c r="CS89" s="13"/>
      <c r="CT89" s="13"/>
      <c r="CU89" s="13"/>
      <c r="CV89" s="15"/>
      <c r="CW89" s="14"/>
      <c r="CX89" s="13"/>
      <c r="CY89" s="13"/>
      <c r="CZ89" s="13"/>
      <c r="DA89" s="13"/>
      <c r="DB89" s="13"/>
      <c r="DC89" s="13"/>
      <c r="DD89" s="13"/>
      <c r="DE89" s="13"/>
      <c r="DF89" s="13"/>
      <c r="DG89" s="13"/>
      <c r="DH89" s="15"/>
    </row>
    <row r="90" spans="1:112" x14ac:dyDescent="0.25">
      <c r="A90" s="13"/>
      <c r="B90" s="13"/>
      <c r="C90" s="13"/>
      <c r="D90" s="16" t="s">
        <v>93</v>
      </c>
      <c r="E90" s="14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5"/>
      <c r="Q90" s="14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5"/>
      <c r="AC90" s="14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5"/>
      <c r="AO90" s="14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5"/>
      <c r="BA90" s="14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5"/>
      <c r="BM90" s="14"/>
      <c r="BN90" s="13"/>
      <c r="BO90" s="13"/>
      <c r="BP90" s="13"/>
      <c r="BQ90" s="13"/>
      <c r="BR90" s="13"/>
      <c r="BS90" s="13"/>
      <c r="BT90" s="13"/>
      <c r="BU90" s="13"/>
      <c r="BV90" s="13"/>
      <c r="BW90" s="13"/>
      <c r="BX90" s="15"/>
      <c r="BY90" s="14"/>
      <c r="BZ90" s="13"/>
      <c r="CA90" s="13"/>
      <c r="CB90" s="13"/>
      <c r="CC90" s="13"/>
      <c r="CD90" s="13"/>
      <c r="CE90" s="13"/>
      <c r="CF90" s="13"/>
      <c r="CG90" s="13"/>
      <c r="CH90" s="13"/>
      <c r="CI90" s="13"/>
      <c r="CJ90" s="15"/>
      <c r="CK90" s="14"/>
      <c r="CL90" s="13"/>
      <c r="CM90" s="13"/>
      <c r="CN90" s="13"/>
      <c r="CO90" s="13"/>
      <c r="CP90" s="13"/>
      <c r="CQ90" s="13"/>
      <c r="CR90" s="13"/>
      <c r="CS90" s="13"/>
      <c r="CT90" s="13"/>
      <c r="CU90" s="13"/>
      <c r="CV90" s="15"/>
      <c r="CW90" s="14"/>
      <c r="CX90" s="13"/>
      <c r="CY90" s="13"/>
      <c r="CZ90" s="13"/>
      <c r="DA90" s="13"/>
      <c r="DB90" s="13"/>
      <c r="DC90" s="13"/>
      <c r="DD90" s="13"/>
      <c r="DE90" s="13"/>
      <c r="DF90" s="13"/>
      <c r="DG90" s="13"/>
      <c r="DH90" s="15"/>
    </row>
    <row r="91" spans="1:112" x14ac:dyDescent="0.25">
      <c r="A91" s="13"/>
      <c r="B91" s="13"/>
      <c r="C91" s="13"/>
      <c r="D91" s="16" t="s">
        <v>94</v>
      </c>
      <c r="E91" s="14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5"/>
      <c r="Q91" s="14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5"/>
      <c r="AC91" s="14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5"/>
      <c r="AO91" s="14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5"/>
      <c r="BA91" s="14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5"/>
      <c r="BM91" s="14"/>
      <c r="BN91" s="13"/>
      <c r="BO91" s="13"/>
      <c r="BP91" s="13"/>
      <c r="BQ91" s="13"/>
      <c r="BR91" s="13"/>
      <c r="BS91" s="13"/>
      <c r="BT91" s="13"/>
      <c r="BU91" s="13"/>
      <c r="BV91" s="13"/>
      <c r="BW91" s="13"/>
      <c r="BX91" s="15"/>
      <c r="BY91" s="14"/>
      <c r="BZ91" s="13"/>
      <c r="CA91" s="13"/>
      <c r="CB91" s="13"/>
      <c r="CC91" s="13"/>
      <c r="CD91" s="13"/>
      <c r="CE91" s="13"/>
      <c r="CF91" s="13"/>
      <c r="CG91" s="13"/>
      <c r="CH91" s="13"/>
      <c r="CI91" s="13"/>
      <c r="CJ91" s="15"/>
      <c r="CK91" s="14"/>
      <c r="CL91" s="13"/>
      <c r="CM91" s="13"/>
      <c r="CN91" s="13"/>
      <c r="CO91" s="13"/>
      <c r="CP91" s="13"/>
      <c r="CQ91" s="13"/>
      <c r="CR91" s="13"/>
      <c r="CS91" s="13"/>
      <c r="CT91" s="13"/>
      <c r="CU91" s="13"/>
      <c r="CV91" s="15"/>
      <c r="CW91" s="14"/>
      <c r="CX91" s="13"/>
      <c r="CY91" s="13"/>
      <c r="CZ91" s="13"/>
      <c r="DA91" s="13"/>
      <c r="DB91" s="13"/>
      <c r="DC91" s="13"/>
      <c r="DD91" s="13"/>
      <c r="DE91" s="13"/>
      <c r="DF91" s="13"/>
      <c r="DG91" s="13"/>
      <c r="DH91" s="15"/>
    </row>
    <row r="92" spans="1:112" x14ac:dyDescent="0.25">
      <c r="A92" s="13"/>
      <c r="B92" s="13"/>
      <c r="C92" s="13"/>
      <c r="D92" s="16" t="s">
        <v>95</v>
      </c>
      <c r="E92" s="14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5"/>
      <c r="Q92" s="14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5"/>
      <c r="AC92" s="14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5"/>
      <c r="AO92" s="14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5"/>
      <c r="BA92" s="14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5"/>
      <c r="BM92" s="14"/>
      <c r="BN92" s="13"/>
      <c r="BO92" s="13"/>
      <c r="BP92" s="13"/>
      <c r="BQ92" s="13"/>
      <c r="BR92" s="13"/>
      <c r="BS92" s="13"/>
      <c r="BT92" s="13"/>
      <c r="BU92" s="13"/>
      <c r="BV92" s="13"/>
      <c r="BW92" s="13"/>
      <c r="BX92" s="15"/>
      <c r="BY92" s="14"/>
      <c r="BZ92" s="13"/>
      <c r="CA92" s="13"/>
      <c r="CB92" s="13"/>
      <c r="CC92" s="13"/>
      <c r="CD92" s="13"/>
      <c r="CE92" s="13"/>
      <c r="CF92" s="13"/>
      <c r="CG92" s="13"/>
      <c r="CH92" s="13"/>
      <c r="CI92" s="13"/>
      <c r="CJ92" s="15"/>
      <c r="CK92" s="14"/>
      <c r="CL92" s="13"/>
      <c r="CM92" s="13"/>
      <c r="CN92" s="13"/>
      <c r="CO92" s="13"/>
      <c r="CP92" s="13"/>
      <c r="CQ92" s="13"/>
      <c r="CR92" s="13"/>
      <c r="CS92" s="13"/>
      <c r="CT92" s="13"/>
      <c r="CU92" s="13"/>
      <c r="CV92" s="15"/>
      <c r="CW92" s="14"/>
      <c r="CX92" s="13"/>
      <c r="CY92" s="13"/>
      <c r="CZ92" s="13"/>
      <c r="DA92" s="13"/>
      <c r="DB92" s="13"/>
      <c r="DC92" s="13"/>
      <c r="DD92" s="13"/>
      <c r="DE92" s="13"/>
      <c r="DF92" s="13"/>
      <c r="DG92" s="13"/>
      <c r="DH92" s="15"/>
    </row>
    <row r="93" spans="1:112" x14ac:dyDescent="0.25">
      <c r="A93" s="13"/>
      <c r="B93" s="13"/>
      <c r="C93" s="13"/>
      <c r="D93" s="16" t="s">
        <v>96</v>
      </c>
      <c r="E93" s="14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5"/>
      <c r="Q93" s="14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5"/>
      <c r="AC93" s="14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5"/>
      <c r="AO93" s="14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5"/>
      <c r="BA93" s="14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5"/>
      <c r="BM93" s="14"/>
      <c r="BN93" s="13"/>
      <c r="BO93" s="13"/>
      <c r="BP93" s="13"/>
      <c r="BQ93" s="13"/>
      <c r="BR93" s="13"/>
      <c r="BS93" s="13"/>
      <c r="BT93" s="13"/>
      <c r="BU93" s="13"/>
      <c r="BV93" s="13"/>
      <c r="BW93" s="13"/>
      <c r="BX93" s="15"/>
      <c r="BY93" s="14"/>
      <c r="BZ93" s="13"/>
      <c r="CA93" s="13"/>
      <c r="CB93" s="13"/>
      <c r="CC93" s="13"/>
      <c r="CD93" s="13"/>
      <c r="CE93" s="13"/>
      <c r="CF93" s="13"/>
      <c r="CG93" s="13"/>
      <c r="CH93" s="13"/>
      <c r="CI93" s="13"/>
      <c r="CJ93" s="15"/>
      <c r="CK93" s="14"/>
      <c r="CL93" s="13"/>
      <c r="CM93" s="13"/>
      <c r="CN93" s="13"/>
      <c r="CO93" s="13"/>
      <c r="CP93" s="13"/>
      <c r="CQ93" s="13"/>
      <c r="CR93" s="13"/>
      <c r="CS93" s="13"/>
      <c r="CT93" s="13"/>
      <c r="CU93" s="13"/>
      <c r="CV93" s="15"/>
      <c r="CW93" s="14"/>
      <c r="CX93" s="13"/>
      <c r="CY93" s="13"/>
      <c r="CZ93" s="13"/>
      <c r="DA93" s="13"/>
      <c r="DB93" s="13"/>
      <c r="DC93" s="13"/>
      <c r="DD93" s="13"/>
      <c r="DE93" s="13"/>
      <c r="DF93" s="13"/>
      <c r="DG93" s="13"/>
      <c r="DH93" s="15"/>
    </row>
    <row r="94" spans="1:112" x14ac:dyDescent="0.25">
      <c r="A94" s="13"/>
      <c r="B94" s="13"/>
      <c r="C94" s="13"/>
      <c r="D94" s="16" t="s">
        <v>97</v>
      </c>
      <c r="E94" s="14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5"/>
      <c r="Q94" s="14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5"/>
      <c r="AC94" s="14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5"/>
      <c r="AO94" s="14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5"/>
      <c r="BA94" s="14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5"/>
      <c r="BM94" s="14"/>
      <c r="BN94" s="13"/>
      <c r="BO94" s="13"/>
      <c r="BP94" s="13"/>
      <c r="BQ94" s="13"/>
      <c r="BR94" s="13"/>
      <c r="BS94" s="13"/>
      <c r="BT94" s="13"/>
      <c r="BU94" s="13"/>
      <c r="BV94" s="13"/>
      <c r="BW94" s="13"/>
      <c r="BX94" s="15"/>
      <c r="BY94" s="14"/>
      <c r="BZ94" s="13"/>
      <c r="CA94" s="13"/>
      <c r="CB94" s="13"/>
      <c r="CC94" s="13"/>
      <c r="CD94" s="13"/>
      <c r="CE94" s="13"/>
      <c r="CF94" s="13"/>
      <c r="CG94" s="13"/>
      <c r="CH94" s="13"/>
      <c r="CI94" s="13"/>
      <c r="CJ94" s="15"/>
      <c r="CK94" s="14"/>
      <c r="CL94" s="13"/>
      <c r="CM94" s="13"/>
      <c r="CN94" s="13"/>
      <c r="CO94" s="13"/>
      <c r="CP94" s="13"/>
      <c r="CQ94" s="13"/>
      <c r="CR94" s="13"/>
      <c r="CS94" s="13"/>
      <c r="CT94" s="13"/>
      <c r="CU94" s="13"/>
      <c r="CV94" s="15"/>
      <c r="CW94" s="14"/>
      <c r="CX94" s="13"/>
      <c r="CY94" s="13"/>
      <c r="CZ94" s="13"/>
      <c r="DA94" s="13"/>
      <c r="DB94" s="13"/>
      <c r="DC94" s="13"/>
      <c r="DD94" s="13"/>
      <c r="DE94" s="13"/>
      <c r="DF94" s="13"/>
      <c r="DG94" s="13"/>
      <c r="DH94" s="15"/>
    </row>
    <row r="95" spans="1:112" x14ac:dyDescent="0.25">
      <c r="A95" s="13"/>
      <c r="B95" s="13"/>
      <c r="C95" s="13"/>
      <c r="D95" s="16" t="s">
        <v>98</v>
      </c>
      <c r="E95" s="14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5"/>
      <c r="Q95" s="14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5"/>
      <c r="AC95" s="14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5"/>
      <c r="AO95" s="14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5"/>
      <c r="BA95" s="14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5"/>
      <c r="BM95" s="14"/>
      <c r="BN95" s="13"/>
      <c r="BO95" s="13"/>
      <c r="BP95" s="13"/>
      <c r="BQ95" s="13"/>
      <c r="BR95" s="13"/>
      <c r="BS95" s="13"/>
      <c r="BT95" s="13"/>
      <c r="BU95" s="13"/>
      <c r="BV95" s="13"/>
      <c r="BW95" s="13"/>
      <c r="BX95" s="15"/>
      <c r="BY95" s="14"/>
      <c r="BZ95" s="13"/>
      <c r="CA95" s="13"/>
      <c r="CB95" s="13"/>
      <c r="CC95" s="13"/>
      <c r="CD95" s="13"/>
      <c r="CE95" s="13"/>
      <c r="CF95" s="13"/>
      <c r="CG95" s="13"/>
      <c r="CH95" s="13"/>
      <c r="CI95" s="13"/>
      <c r="CJ95" s="15"/>
      <c r="CK95" s="14"/>
      <c r="CL95" s="13"/>
      <c r="CM95" s="13"/>
      <c r="CN95" s="13"/>
      <c r="CO95" s="13"/>
      <c r="CP95" s="13"/>
      <c r="CQ95" s="13"/>
      <c r="CR95" s="13"/>
      <c r="CS95" s="13"/>
      <c r="CT95" s="13"/>
      <c r="CU95" s="13"/>
      <c r="CV95" s="15"/>
      <c r="CW95" s="14"/>
      <c r="CX95" s="13"/>
      <c r="CY95" s="13"/>
      <c r="CZ95" s="13"/>
      <c r="DA95" s="13"/>
      <c r="DB95" s="13"/>
      <c r="DC95" s="13"/>
      <c r="DD95" s="13"/>
      <c r="DE95" s="13"/>
      <c r="DF95" s="13"/>
      <c r="DG95" s="13"/>
      <c r="DH95" s="15"/>
    </row>
    <row r="96" spans="1:112" x14ac:dyDescent="0.25">
      <c r="A96" s="13"/>
      <c r="B96" s="13"/>
      <c r="C96" s="13"/>
      <c r="D96" s="16" t="s">
        <v>99</v>
      </c>
      <c r="E96" s="14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5"/>
      <c r="Q96" s="14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5"/>
      <c r="AC96" s="14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5"/>
      <c r="AO96" s="14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5"/>
      <c r="BA96" s="14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5"/>
      <c r="BM96" s="14"/>
      <c r="BN96" s="13"/>
      <c r="BO96" s="13"/>
      <c r="BP96" s="13"/>
      <c r="BQ96" s="13"/>
      <c r="BR96" s="13"/>
      <c r="BS96" s="13"/>
      <c r="BT96" s="13"/>
      <c r="BU96" s="13"/>
      <c r="BV96" s="13"/>
      <c r="BW96" s="13"/>
      <c r="BX96" s="15"/>
      <c r="BY96" s="14"/>
      <c r="BZ96" s="13"/>
      <c r="CA96" s="13"/>
      <c r="CB96" s="13"/>
      <c r="CC96" s="13"/>
      <c r="CD96" s="13"/>
      <c r="CE96" s="13"/>
      <c r="CF96" s="13"/>
      <c r="CG96" s="13"/>
      <c r="CH96" s="13"/>
      <c r="CI96" s="13"/>
      <c r="CJ96" s="15"/>
      <c r="CK96" s="14"/>
      <c r="CL96" s="13"/>
      <c r="CM96" s="13"/>
      <c r="CN96" s="13"/>
      <c r="CO96" s="13"/>
      <c r="CP96" s="13"/>
      <c r="CQ96" s="13"/>
      <c r="CR96" s="13"/>
      <c r="CS96" s="13"/>
      <c r="CT96" s="13"/>
      <c r="CU96" s="13"/>
      <c r="CV96" s="15"/>
      <c r="CW96" s="14"/>
      <c r="CX96" s="13"/>
      <c r="CY96" s="13"/>
      <c r="CZ96" s="13"/>
      <c r="DA96" s="13"/>
      <c r="DB96" s="13"/>
      <c r="DC96" s="13"/>
      <c r="DD96" s="13"/>
      <c r="DE96" s="13"/>
      <c r="DF96" s="13"/>
      <c r="DG96" s="13"/>
      <c r="DH96" s="15"/>
    </row>
    <row r="97" spans="1:112" x14ac:dyDescent="0.25">
      <c r="A97" s="13"/>
      <c r="B97" s="13"/>
      <c r="C97" s="13"/>
      <c r="D97" s="16" t="s">
        <v>100</v>
      </c>
      <c r="E97" s="14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5"/>
      <c r="Q97" s="14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5"/>
      <c r="AC97" s="14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5"/>
      <c r="AO97" s="14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5"/>
      <c r="BA97" s="14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5"/>
      <c r="BM97" s="14"/>
      <c r="BN97" s="13"/>
      <c r="BO97" s="13"/>
      <c r="BP97" s="13"/>
      <c r="BQ97" s="13"/>
      <c r="BR97" s="13"/>
      <c r="BS97" s="13"/>
      <c r="BT97" s="13"/>
      <c r="BU97" s="13"/>
      <c r="BV97" s="13"/>
      <c r="BW97" s="13"/>
      <c r="BX97" s="15"/>
      <c r="BY97" s="14"/>
      <c r="BZ97" s="13"/>
      <c r="CA97" s="13"/>
      <c r="CB97" s="13"/>
      <c r="CC97" s="13"/>
      <c r="CD97" s="13"/>
      <c r="CE97" s="13"/>
      <c r="CF97" s="13"/>
      <c r="CG97" s="13"/>
      <c r="CH97" s="13"/>
      <c r="CI97" s="13"/>
      <c r="CJ97" s="15"/>
      <c r="CK97" s="14"/>
      <c r="CL97" s="13"/>
      <c r="CM97" s="13"/>
      <c r="CN97" s="13"/>
      <c r="CO97" s="13"/>
      <c r="CP97" s="13"/>
      <c r="CQ97" s="13"/>
      <c r="CR97" s="13"/>
      <c r="CS97" s="13"/>
      <c r="CT97" s="13"/>
      <c r="CU97" s="13"/>
      <c r="CV97" s="15"/>
      <c r="CW97" s="14"/>
      <c r="CX97" s="13"/>
      <c r="CY97" s="13"/>
      <c r="CZ97" s="13"/>
      <c r="DA97" s="13"/>
      <c r="DB97" s="13"/>
      <c r="DC97" s="13"/>
      <c r="DD97" s="13"/>
      <c r="DE97" s="13"/>
      <c r="DF97" s="13"/>
      <c r="DG97" s="13"/>
      <c r="DH97" s="15"/>
    </row>
    <row r="98" spans="1:112" x14ac:dyDescent="0.25">
      <c r="A98" s="13"/>
      <c r="B98" s="13"/>
      <c r="C98" s="13"/>
      <c r="D98" s="16" t="s">
        <v>101</v>
      </c>
      <c r="E98" s="14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5"/>
      <c r="Q98" s="14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5"/>
      <c r="AC98" s="14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5"/>
      <c r="AO98" s="14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5"/>
      <c r="BA98" s="14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5"/>
      <c r="BM98" s="14"/>
      <c r="BN98" s="13"/>
      <c r="BO98" s="13"/>
      <c r="BP98" s="13"/>
      <c r="BQ98" s="13"/>
      <c r="BR98" s="13"/>
      <c r="BS98" s="13"/>
      <c r="BT98" s="13"/>
      <c r="BU98" s="13"/>
      <c r="BV98" s="13"/>
      <c r="BW98" s="13"/>
      <c r="BX98" s="15"/>
      <c r="BY98" s="14"/>
      <c r="BZ98" s="13"/>
      <c r="CA98" s="13"/>
      <c r="CB98" s="13"/>
      <c r="CC98" s="13"/>
      <c r="CD98" s="13"/>
      <c r="CE98" s="13"/>
      <c r="CF98" s="13"/>
      <c r="CG98" s="13"/>
      <c r="CH98" s="13"/>
      <c r="CI98" s="13"/>
      <c r="CJ98" s="15"/>
      <c r="CK98" s="14"/>
      <c r="CL98" s="13"/>
      <c r="CM98" s="13"/>
      <c r="CN98" s="13"/>
      <c r="CO98" s="13"/>
      <c r="CP98" s="13"/>
      <c r="CQ98" s="13"/>
      <c r="CR98" s="13"/>
      <c r="CS98" s="13"/>
      <c r="CT98" s="13"/>
      <c r="CU98" s="13"/>
      <c r="CV98" s="15"/>
      <c r="CW98" s="14"/>
      <c r="CX98" s="13"/>
      <c r="CY98" s="13"/>
      <c r="CZ98" s="13"/>
      <c r="DA98" s="13"/>
      <c r="DB98" s="13"/>
      <c r="DC98" s="13"/>
      <c r="DD98" s="13"/>
      <c r="DE98" s="13"/>
      <c r="DF98" s="13"/>
      <c r="DG98" s="13"/>
      <c r="DH98" s="15"/>
    </row>
    <row r="99" spans="1:112" x14ac:dyDescent="0.25">
      <c r="A99" s="13"/>
      <c r="B99" s="13"/>
      <c r="C99" s="13"/>
      <c r="D99" s="16" t="s">
        <v>102</v>
      </c>
      <c r="E99" s="14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5"/>
      <c r="Q99" s="14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5"/>
      <c r="AC99" s="14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5"/>
      <c r="AO99" s="14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5"/>
      <c r="BA99" s="14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5"/>
      <c r="BM99" s="14"/>
      <c r="BN99" s="13"/>
      <c r="BO99" s="13"/>
      <c r="BP99" s="13"/>
      <c r="BQ99" s="13"/>
      <c r="BR99" s="13"/>
      <c r="BS99" s="13"/>
      <c r="BT99" s="13"/>
      <c r="BU99" s="13"/>
      <c r="BV99" s="13"/>
      <c r="BW99" s="13"/>
      <c r="BX99" s="15"/>
      <c r="BY99" s="14"/>
      <c r="BZ99" s="13"/>
      <c r="CA99" s="13"/>
      <c r="CB99" s="13"/>
      <c r="CC99" s="13"/>
      <c r="CD99" s="13"/>
      <c r="CE99" s="13"/>
      <c r="CF99" s="13"/>
      <c r="CG99" s="13"/>
      <c r="CH99" s="13"/>
      <c r="CI99" s="13"/>
      <c r="CJ99" s="15"/>
      <c r="CK99" s="14"/>
      <c r="CL99" s="13"/>
      <c r="CM99" s="13"/>
      <c r="CN99" s="13"/>
      <c r="CO99" s="13"/>
      <c r="CP99" s="13"/>
      <c r="CQ99" s="13"/>
      <c r="CR99" s="13"/>
      <c r="CS99" s="13"/>
      <c r="CT99" s="13"/>
      <c r="CU99" s="13"/>
      <c r="CV99" s="15"/>
      <c r="CW99" s="14"/>
      <c r="CX99" s="13"/>
      <c r="CY99" s="13"/>
      <c r="CZ99" s="13"/>
      <c r="DA99" s="13"/>
      <c r="DB99" s="13"/>
      <c r="DC99" s="13"/>
      <c r="DD99" s="13"/>
      <c r="DE99" s="13"/>
      <c r="DF99" s="13"/>
      <c r="DG99" s="13"/>
      <c r="DH99" s="15"/>
    </row>
    <row r="100" spans="1:112" x14ac:dyDescent="0.25">
      <c r="A100" s="13"/>
      <c r="B100" s="13"/>
      <c r="C100" s="13"/>
      <c r="D100" s="16" t="s">
        <v>103</v>
      </c>
      <c r="E100" s="14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5"/>
      <c r="Q100" s="14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5"/>
      <c r="AC100" s="14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5"/>
      <c r="AO100" s="14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5"/>
      <c r="BA100" s="14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5"/>
      <c r="BM100" s="14"/>
      <c r="BN100" s="13"/>
      <c r="BO100" s="13"/>
      <c r="BP100" s="13"/>
      <c r="BQ100" s="13"/>
      <c r="BR100" s="13"/>
      <c r="BS100" s="13"/>
      <c r="BT100" s="13"/>
      <c r="BU100" s="13"/>
      <c r="BV100" s="13"/>
      <c r="BW100" s="13"/>
      <c r="BX100" s="15"/>
      <c r="BY100" s="14"/>
      <c r="BZ100" s="13"/>
      <c r="CA100" s="13"/>
      <c r="CB100" s="13"/>
      <c r="CC100" s="13"/>
      <c r="CD100" s="13"/>
      <c r="CE100" s="13"/>
      <c r="CF100" s="13"/>
      <c r="CG100" s="13"/>
      <c r="CH100" s="13"/>
      <c r="CI100" s="13"/>
      <c r="CJ100" s="15"/>
      <c r="CK100" s="14"/>
      <c r="CL100" s="13"/>
      <c r="CM100" s="13"/>
      <c r="CN100" s="13"/>
      <c r="CO100" s="13"/>
      <c r="CP100" s="13"/>
      <c r="CQ100" s="13"/>
      <c r="CR100" s="13"/>
      <c r="CS100" s="13"/>
      <c r="CT100" s="13"/>
      <c r="CU100" s="13"/>
      <c r="CV100" s="15"/>
      <c r="CW100" s="14"/>
      <c r="CX100" s="13"/>
      <c r="CY100" s="13"/>
      <c r="CZ100" s="13"/>
      <c r="DA100" s="13"/>
      <c r="DB100" s="13"/>
      <c r="DC100" s="13"/>
      <c r="DD100" s="13"/>
      <c r="DE100" s="13"/>
      <c r="DF100" s="13"/>
      <c r="DG100" s="13"/>
      <c r="DH100" s="15"/>
    </row>
    <row r="101" spans="1:112" x14ac:dyDescent="0.25">
      <c r="A101" s="13"/>
      <c r="B101" s="13"/>
      <c r="C101" s="13"/>
      <c r="D101" s="16" t="s">
        <v>104</v>
      </c>
      <c r="E101" s="14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5"/>
      <c r="Q101" s="14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5"/>
      <c r="AC101" s="14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5"/>
      <c r="AO101" s="14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5"/>
      <c r="BA101" s="14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5"/>
      <c r="BM101" s="14"/>
      <c r="BN101" s="13"/>
      <c r="BO101" s="13"/>
      <c r="BP101" s="13"/>
      <c r="BQ101" s="13"/>
      <c r="BR101" s="13"/>
      <c r="BS101" s="13"/>
      <c r="BT101" s="13"/>
      <c r="BU101" s="13"/>
      <c r="BV101" s="13"/>
      <c r="BW101" s="13"/>
      <c r="BX101" s="15"/>
      <c r="BY101" s="14"/>
      <c r="BZ101" s="13"/>
      <c r="CA101" s="13"/>
      <c r="CB101" s="13"/>
      <c r="CC101" s="13"/>
      <c r="CD101" s="13"/>
      <c r="CE101" s="13"/>
      <c r="CF101" s="13"/>
      <c r="CG101" s="13"/>
      <c r="CH101" s="13"/>
      <c r="CI101" s="13"/>
      <c r="CJ101" s="15"/>
      <c r="CK101" s="14"/>
      <c r="CL101" s="13"/>
      <c r="CM101" s="13"/>
      <c r="CN101" s="13"/>
      <c r="CO101" s="13"/>
      <c r="CP101" s="13"/>
      <c r="CQ101" s="13"/>
      <c r="CR101" s="13"/>
      <c r="CS101" s="13"/>
      <c r="CT101" s="13"/>
      <c r="CU101" s="13"/>
      <c r="CV101" s="15"/>
      <c r="CW101" s="14"/>
      <c r="CX101" s="13"/>
      <c r="CY101" s="13"/>
      <c r="CZ101" s="13"/>
      <c r="DA101" s="13"/>
      <c r="DB101" s="13"/>
      <c r="DC101" s="13"/>
      <c r="DD101" s="13"/>
      <c r="DE101" s="13"/>
      <c r="DF101" s="13"/>
      <c r="DG101" s="13"/>
      <c r="DH101" s="15"/>
    </row>
    <row r="102" spans="1:112" x14ac:dyDescent="0.25">
      <c r="A102" s="13"/>
      <c r="B102" s="13"/>
      <c r="C102" s="13"/>
      <c r="D102" s="16" t="s">
        <v>105</v>
      </c>
      <c r="E102" s="14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5"/>
      <c r="Q102" s="14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5"/>
      <c r="AC102" s="14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5"/>
      <c r="AO102" s="14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5"/>
      <c r="BA102" s="14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5"/>
      <c r="BM102" s="14"/>
      <c r="BN102" s="13"/>
      <c r="BO102" s="13"/>
      <c r="BP102" s="13"/>
      <c r="BQ102" s="13"/>
      <c r="BR102" s="13"/>
      <c r="BS102" s="13"/>
      <c r="BT102" s="13"/>
      <c r="BU102" s="13"/>
      <c r="BV102" s="13"/>
      <c r="BW102" s="13"/>
      <c r="BX102" s="15"/>
      <c r="BY102" s="14"/>
      <c r="BZ102" s="13"/>
      <c r="CA102" s="13"/>
      <c r="CB102" s="13"/>
      <c r="CC102" s="13"/>
      <c r="CD102" s="13"/>
      <c r="CE102" s="13"/>
      <c r="CF102" s="13"/>
      <c r="CG102" s="13"/>
      <c r="CH102" s="13"/>
      <c r="CI102" s="13"/>
      <c r="CJ102" s="15"/>
      <c r="CK102" s="14"/>
      <c r="CL102" s="13"/>
      <c r="CM102" s="13"/>
      <c r="CN102" s="13"/>
      <c r="CO102" s="13"/>
      <c r="CP102" s="13"/>
      <c r="CQ102" s="13"/>
      <c r="CR102" s="13"/>
      <c r="CS102" s="13"/>
      <c r="CT102" s="13"/>
      <c r="CU102" s="13"/>
      <c r="CV102" s="15"/>
      <c r="CW102" s="14"/>
      <c r="CX102" s="13"/>
      <c r="CY102" s="13"/>
      <c r="CZ102" s="13"/>
      <c r="DA102" s="13"/>
      <c r="DB102" s="13"/>
      <c r="DC102" s="13"/>
      <c r="DD102" s="13"/>
      <c r="DE102" s="13"/>
      <c r="DF102" s="13"/>
      <c r="DG102" s="13"/>
      <c r="DH102" s="15"/>
    </row>
    <row r="103" spans="1:112" x14ac:dyDescent="0.25">
      <c r="A103" s="13"/>
      <c r="B103" s="13"/>
      <c r="C103" s="13"/>
      <c r="D103" s="16" t="s">
        <v>106</v>
      </c>
      <c r="E103" s="14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5"/>
      <c r="Q103" s="14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5"/>
      <c r="AC103" s="14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5"/>
      <c r="AO103" s="14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5"/>
      <c r="BA103" s="14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5"/>
      <c r="BM103" s="14"/>
      <c r="BN103" s="13"/>
      <c r="BO103" s="13"/>
      <c r="BP103" s="13"/>
      <c r="BQ103" s="13"/>
      <c r="BR103" s="13"/>
      <c r="BS103" s="13"/>
      <c r="BT103" s="13"/>
      <c r="BU103" s="13"/>
      <c r="BV103" s="13"/>
      <c r="BW103" s="13"/>
      <c r="BX103" s="15"/>
      <c r="BY103" s="14"/>
      <c r="BZ103" s="13"/>
      <c r="CA103" s="13"/>
      <c r="CB103" s="13"/>
      <c r="CC103" s="13"/>
      <c r="CD103" s="13"/>
      <c r="CE103" s="13"/>
      <c r="CF103" s="13"/>
      <c r="CG103" s="13"/>
      <c r="CH103" s="13"/>
      <c r="CI103" s="13"/>
      <c r="CJ103" s="15"/>
      <c r="CK103" s="14"/>
      <c r="CL103" s="13"/>
      <c r="CM103" s="13"/>
      <c r="CN103" s="13"/>
      <c r="CO103" s="13"/>
      <c r="CP103" s="13"/>
      <c r="CQ103" s="13"/>
      <c r="CR103" s="13"/>
      <c r="CS103" s="13"/>
      <c r="CT103" s="13"/>
      <c r="CU103" s="13"/>
      <c r="CV103" s="15"/>
      <c r="CW103" s="14"/>
      <c r="CX103" s="13"/>
      <c r="CY103" s="13"/>
      <c r="CZ103" s="13"/>
      <c r="DA103" s="13"/>
      <c r="DB103" s="13"/>
      <c r="DC103" s="13"/>
      <c r="DD103" s="13"/>
      <c r="DE103" s="13"/>
      <c r="DF103" s="13"/>
      <c r="DG103" s="13"/>
      <c r="DH103" s="15"/>
    </row>
    <row r="104" spans="1:112" x14ac:dyDescent="0.25">
      <c r="A104" s="13"/>
      <c r="B104" s="13"/>
      <c r="C104" s="13"/>
      <c r="D104" s="16" t="s">
        <v>107</v>
      </c>
      <c r="E104" s="14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5"/>
      <c r="Q104" s="14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5"/>
      <c r="AC104" s="14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5"/>
      <c r="AO104" s="14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5"/>
      <c r="BA104" s="14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5"/>
      <c r="BM104" s="14"/>
      <c r="BN104" s="13"/>
      <c r="BO104" s="13"/>
      <c r="BP104" s="13"/>
      <c r="BQ104" s="13"/>
      <c r="BR104" s="13"/>
      <c r="BS104" s="13"/>
      <c r="BT104" s="13"/>
      <c r="BU104" s="13"/>
      <c r="BV104" s="13"/>
      <c r="BW104" s="13"/>
      <c r="BX104" s="15"/>
      <c r="BY104" s="14"/>
      <c r="BZ104" s="13"/>
      <c r="CA104" s="13"/>
      <c r="CB104" s="13"/>
      <c r="CC104" s="13"/>
      <c r="CD104" s="13"/>
      <c r="CE104" s="13"/>
      <c r="CF104" s="13"/>
      <c r="CG104" s="13"/>
      <c r="CH104" s="13"/>
      <c r="CI104" s="13"/>
      <c r="CJ104" s="15"/>
      <c r="CK104" s="14"/>
      <c r="CL104" s="13"/>
      <c r="CM104" s="13"/>
      <c r="CN104" s="13"/>
      <c r="CO104" s="13"/>
      <c r="CP104" s="13"/>
      <c r="CQ104" s="13"/>
      <c r="CR104" s="13"/>
      <c r="CS104" s="13"/>
      <c r="CT104" s="13"/>
      <c r="CU104" s="13"/>
      <c r="CV104" s="15"/>
      <c r="CW104" s="14"/>
      <c r="CX104" s="13"/>
      <c r="CY104" s="13"/>
      <c r="CZ104" s="13"/>
      <c r="DA104" s="13"/>
      <c r="DB104" s="13"/>
      <c r="DC104" s="13"/>
      <c r="DD104" s="13"/>
      <c r="DE104" s="13"/>
      <c r="DF104" s="13"/>
      <c r="DG104" s="13"/>
      <c r="DH104" s="15"/>
    </row>
    <row r="105" spans="1:112" x14ac:dyDescent="0.25">
      <c r="A105" s="13"/>
      <c r="B105" s="13"/>
      <c r="C105" s="13"/>
      <c r="D105" s="16" t="s">
        <v>108</v>
      </c>
      <c r="E105" s="14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5"/>
      <c r="Q105" s="14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5"/>
      <c r="AC105" s="14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5"/>
      <c r="AO105" s="14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5"/>
      <c r="BA105" s="14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5"/>
      <c r="BM105" s="14"/>
      <c r="BN105" s="13"/>
      <c r="BO105" s="13"/>
      <c r="BP105" s="13"/>
      <c r="BQ105" s="13"/>
      <c r="BR105" s="13"/>
      <c r="BS105" s="13"/>
      <c r="BT105" s="13"/>
      <c r="BU105" s="13"/>
      <c r="BV105" s="13"/>
      <c r="BW105" s="13"/>
      <c r="BX105" s="15"/>
      <c r="BY105" s="14"/>
      <c r="BZ105" s="13"/>
      <c r="CA105" s="13"/>
      <c r="CB105" s="13"/>
      <c r="CC105" s="13"/>
      <c r="CD105" s="13"/>
      <c r="CE105" s="13"/>
      <c r="CF105" s="13"/>
      <c r="CG105" s="13"/>
      <c r="CH105" s="13"/>
      <c r="CI105" s="13"/>
      <c r="CJ105" s="15"/>
      <c r="CK105" s="14"/>
      <c r="CL105" s="13"/>
      <c r="CM105" s="13"/>
      <c r="CN105" s="13"/>
      <c r="CO105" s="13"/>
      <c r="CP105" s="13"/>
      <c r="CQ105" s="13"/>
      <c r="CR105" s="13"/>
      <c r="CS105" s="13"/>
      <c r="CT105" s="13"/>
      <c r="CU105" s="13"/>
      <c r="CV105" s="15"/>
      <c r="CW105" s="14"/>
      <c r="CX105" s="13"/>
      <c r="CY105" s="13"/>
      <c r="CZ105" s="13"/>
      <c r="DA105" s="13"/>
      <c r="DB105" s="13"/>
      <c r="DC105" s="13"/>
      <c r="DD105" s="13"/>
      <c r="DE105" s="13"/>
      <c r="DF105" s="13"/>
      <c r="DG105" s="13"/>
      <c r="DH105" s="15"/>
    </row>
    <row r="106" spans="1:112" x14ac:dyDescent="0.25">
      <c r="A106" s="13"/>
      <c r="B106" s="13"/>
      <c r="C106" s="13"/>
      <c r="D106" s="16" t="s">
        <v>109</v>
      </c>
      <c r="E106" s="14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5"/>
      <c r="Q106" s="14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5"/>
      <c r="AC106" s="14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5"/>
      <c r="AO106" s="14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5"/>
      <c r="BA106" s="14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5"/>
      <c r="BM106" s="14"/>
      <c r="BN106" s="13"/>
      <c r="BO106" s="13"/>
      <c r="BP106" s="13"/>
      <c r="BQ106" s="13"/>
      <c r="BR106" s="13"/>
      <c r="BS106" s="13"/>
      <c r="BT106" s="13"/>
      <c r="BU106" s="13"/>
      <c r="BV106" s="13"/>
      <c r="BW106" s="13"/>
      <c r="BX106" s="15"/>
      <c r="BY106" s="14"/>
      <c r="BZ106" s="13"/>
      <c r="CA106" s="13"/>
      <c r="CB106" s="13"/>
      <c r="CC106" s="13"/>
      <c r="CD106" s="13"/>
      <c r="CE106" s="13"/>
      <c r="CF106" s="13"/>
      <c r="CG106" s="13"/>
      <c r="CH106" s="13"/>
      <c r="CI106" s="13"/>
      <c r="CJ106" s="15"/>
      <c r="CK106" s="14"/>
      <c r="CL106" s="13"/>
      <c r="CM106" s="13"/>
      <c r="CN106" s="13"/>
      <c r="CO106" s="13"/>
      <c r="CP106" s="13"/>
      <c r="CQ106" s="13"/>
      <c r="CR106" s="13"/>
      <c r="CS106" s="13"/>
      <c r="CT106" s="13"/>
      <c r="CU106" s="13"/>
      <c r="CV106" s="15"/>
      <c r="CW106" s="14"/>
      <c r="CX106" s="13"/>
      <c r="CY106" s="13"/>
      <c r="CZ106" s="13"/>
      <c r="DA106" s="13"/>
      <c r="DB106" s="13"/>
      <c r="DC106" s="13"/>
      <c r="DD106" s="13"/>
      <c r="DE106" s="13"/>
      <c r="DF106" s="13"/>
      <c r="DG106" s="13"/>
      <c r="DH106" s="15"/>
    </row>
    <row r="107" spans="1:112" x14ac:dyDescent="0.25">
      <c r="A107" s="13"/>
      <c r="B107" s="13"/>
      <c r="C107" s="13"/>
      <c r="D107" s="16" t="s">
        <v>110</v>
      </c>
      <c r="E107" s="14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5"/>
      <c r="Q107" s="14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5"/>
      <c r="AC107" s="14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5"/>
      <c r="AO107" s="14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5"/>
      <c r="BA107" s="14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5"/>
      <c r="BM107" s="14"/>
      <c r="BN107" s="13"/>
      <c r="BO107" s="13"/>
      <c r="BP107" s="13"/>
      <c r="BQ107" s="13"/>
      <c r="BR107" s="13"/>
      <c r="BS107" s="13"/>
      <c r="BT107" s="13"/>
      <c r="BU107" s="13"/>
      <c r="BV107" s="13"/>
      <c r="BW107" s="13"/>
      <c r="BX107" s="15"/>
      <c r="BY107" s="14"/>
      <c r="BZ107" s="13"/>
      <c r="CA107" s="13"/>
      <c r="CB107" s="13"/>
      <c r="CC107" s="13"/>
      <c r="CD107" s="13"/>
      <c r="CE107" s="13"/>
      <c r="CF107" s="13"/>
      <c r="CG107" s="13"/>
      <c r="CH107" s="13"/>
      <c r="CI107" s="13"/>
      <c r="CJ107" s="15"/>
      <c r="CK107" s="14"/>
      <c r="CL107" s="13"/>
      <c r="CM107" s="13"/>
      <c r="CN107" s="13"/>
      <c r="CO107" s="13"/>
      <c r="CP107" s="13"/>
      <c r="CQ107" s="13"/>
      <c r="CR107" s="13"/>
      <c r="CS107" s="13"/>
      <c r="CT107" s="13"/>
      <c r="CU107" s="13"/>
      <c r="CV107" s="15"/>
      <c r="CW107" s="14"/>
      <c r="CX107" s="13"/>
      <c r="CY107" s="13"/>
      <c r="CZ107" s="13"/>
      <c r="DA107" s="13"/>
      <c r="DB107" s="13"/>
      <c r="DC107" s="13"/>
      <c r="DD107" s="13"/>
      <c r="DE107" s="13"/>
      <c r="DF107" s="13"/>
      <c r="DG107" s="13"/>
      <c r="DH107" s="15"/>
    </row>
    <row r="108" spans="1:112" x14ac:dyDescent="0.25">
      <c r="A108" s="13"/>
      <c r="B108" s="13"/>
      <c r="C108" s="13"/>
      <c r="D108" s="16" t="s">
        <v>111</v>
      </c>
      <c r="E108" s="14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5"/>
      <c r="Q108" s="14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5"/>
      <c r="AC108" s="14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5"/>
      <c r="AO108" s="14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5"/>
      <c r="BA108" s="14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5"/>
      <c r="BM108" s="14"/>
      <c r="BN108" s="13"/>
      <c r="BO108" s="13"/>
      <c r="BP108" s="13"/>
      <c r="BQ108" s="13"/>
      <c r="BR108" s="13"/>
      <c r="BS108" s="13"/>
      <c r="BT108" s="13"/>
      <c r="BU108" s="13"/>
      <c r="BV108" s="13"/>
      <c r="BW108" s="13"/>
      <c r="BX108" s="15"/>
      <c r="BY108" s="14"/>
      <c r="BZ108" s="13"/>
      <c r="CA108" s="13"/>
      <c r="CB108" s="13"/>
      <c r="CC108" s="13"/>
      <c r="CD108" s="13"/>
      <c r="CE108" s="13"/>
      <c r="CF108" s="13"/>
      <c r="CG108" s="13"/>
      <c r="CH108" s="13"/>
      <c r="CI108" s="13"/>
      <c r="CJ108" s="15"/>
      <c r="CK108" s="14"/>
      <c r="CL108" s="13"/>
      <c r="CM108" s="13"/>
      <c r="CN108" s="13"/>
      <c r="CO108" s="13"/>
      <c r="CP108" s="13"/>
      <c r="CQ108" s="13"/>
      <c r="CR108" s="13"/>
      <c r="CS108" s="13"/>
      <c r="CT108" s="13"/>
      <c r="CU108" s="13"/>
      <c r="CV108" s="15"/>
      <c r="CW108" s="14"/>
      <c r="CX108" s="13"/>
      <c r="CY108" s="13"/>
      <c r="CZ108" s="13"/>
      <c r="DA108" s="13"/>
      <c r="DB108" s="13"/>
      <c r="DC108" s="13"/>
      <c r="DD108" s="13"/>
      <c r="DE108" s="13"/>
      <c r="DF108" s="13"/>
      <c r="DG108" s="13"/>
      <c r="DH108" s="15"/>
    </row>
    <row r="109" spans="1:112" x14ac:dyDescent="0.25">
      <c r="A109" s="13"/>
      <c r="B109" s="13"/>
      <c r="C109" s="13"/>
      <c r="D109" s="16" t="s">
        <v>112</v>
      </c>
      <c r="E109" s="14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5"/>
      <c r="Q109" s="14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5"/>
      <c r="AC109" s="14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5"/>
      <c r="AO109" s="14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5"/>
      <c r="BA109" s="14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5"/>
      <c r="BM109" s="14"/>
      <c r="BN109" s="13"/>
      <c r="BO109" s="13"/>
      <c r="BP109" s="13"/>
      <c r="BQ109" s="13"/>
      <c r="BR109" s="13"/>
      <c r="BS109" s="13"/>
      <c r="BT109" s="13"/>
      <c r="BU109" s="13"/>
      <c r="BV109" s="13"/>
      <c r="BW109" s="13"/>
      <c r="BX109" s="15"/>
      <c r="BY109" s="14"/>
      <c r="BZ109" s="13"/>
      <c r="CA109" s="13"/>
      <c r="CB109" s="13"/>
      <c r="CC109" s="13"/>
      <c r="CD109" s="13"/>
      <c r="CE109" s="13"/>
      <c r="CF109" s="13"/>
      <c r="CG109" s="13"/>
      <c r="CH109" s="13"/>
      <c r="CI109" s="13"/>
      <c r="CJ109" s="15"/>
      <c r="CK109" s="14"/>
      <c r="CL109" s="13"/>
      <c r="CM109" s="13"/>
      <c r="CN109" s="13"/>
      <c r="CO109" s="13"/>
      <c r="CP109" s="13"/>
      <c r="CQ109" s="13"/>
      <c r="CR109" s="13"/>
      <c r="CS109" s="13"/>
      <c r="CT109" s="13"/>
      <c r="CU109" s="13"/>
      <c r="CV109" s="15"/>
      <c r="CW109" s="14"/>
      <c r="CX109" s="13"/>
      <c r="CY109" s="13"/>
      <c r="CZ109" s="13"/>
      <c r="DA109" s="13"/>
      <c r="DB109" s="13"/>
      <c r="DC109" s="13"/>
      <c r="DD109" s="13"/>
      <c r="DE109" s="13"/>
      <c r="DF109" s="13"/>
      <c r="DG109" s="13"/>
      <c r="DH109" s="15"/>
    </row>
    <row r="110" spans="1:112" x14ac:dyDescent="0.25">
      <c r="A110" s="13"/>
      <c r="B110" s="13"/>
      <c r="C110" s="13"/>
      <c r="D110" s="16" t="s">
        <v>113</v>
      </c>
      <c r="E110" s="14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5"/>
      <c r="Q110" s="14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5"/>
      <c r="AC110" s="14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5"/>
      <c r="AO110" s="14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5"/>
      <c r="BA110" s="14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5"/>
      <c r="BM110" s="14"/>
      <c r="BN110" s="13"/>
      <c r="BO110" s="13"/>
      <c r="BP110" s="13"/>
      <c r="BQ110" s="13"/>
      <c r="BR110" s="13"/>
      <c r="BS110" s="13"/>
      <c r="BT110" s="13"/>
      <c r="BU110" s="13"/>
      <c r="BV110" s="13"/>
      <c r="BW110" s="13"/>
      <c r="BX110" s="15"/>
      <c r="BY110" s="14"/>
      <c r="BZ110" s="13"/>
      <c r="CA110" s="13"/>
      <c r="CB110" s="13"/>
      <c r="CC110" s="13"/>
      <c r="CD110" s="13"/>
      <c r="CE110" s="13"/>
      <c r="CF110" s="13"/>
      <c r="CG110" s="13"/>
      <c r="CH110" s="13"/>
      <c r="CI110" s="13"/>
      <c r="CJ110" s="15"/>
      <c r="CK110" s="14"/>
      <c r="CL110" s="13"/>
      <c r="CM110" s="13"/>
      <c r="CN110" s="13"/>
      <c r="CO110" s="13"/>
      <c r="CP110" s="13"/>
      <c r="CQ110" s="13"/>
      <c r="CR110" s="13"/>
      <c r="CS110" s="13"/>
      <c r="CT110" s="13"/>
      <c r="CU110" s="13"/>
      <c r="CV110" s="15"/>
      <c r="CW110" s="14"/>
      <c r="CX110" s="13"/>
      <c r="CY110" s="13"/>
      <c r="CZ110" s="13"/>
      <c r="DA110" s="13"/>
      <c r="DB110" s="13"/>
      <c r="DC110" s="13"/>
      <c r="DD110" s="13"/>
      <c r="DE110" s="13"/>
      <c r="DF110" s="13"/>
      <c r="DG110" s="13"/>
      <c r="DH110" s="15"/>
    </row>
    <row r="111" spans="1:112" x14ac:dyDescent="0.25">
      <c r="A111" s="13"/>
      <c r="B111" s="13"/>
      <c r="C111" s="13"/>
      <c r="D111" s="16" t="s">
        <v>114</v>
      </c>
      <c r="E111" s="14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5"/>
      <c r="Q111" s="14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5"/>
      <c r="AC111" s="14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5"/>
      <c r="AO111" s="14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5"/>
      <c r="BA111" s="14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5"/>
      <c r="BM111" s="14"/>
      <c r="BN111" s="13"/>
      <c r="BO111" s="13"/>
      <c r="BP111" s="13"/>
      <c r="BQ111" s="13"/>
      <c r="BR111" s="13"/>
      <c r="BS111" s="13"/>
      <c r="BT111" s="13"/>
      <c r="BU111" s="13"/>
      <c r="BV111" s="13"/>
      <c r="BW111" s="13"/>
      <c r="BX111" s="15"/>
      <c r="BY111" s="14"/>
      <c r="BZ111" s="13"/>
      <c r="CA111" s="13"/>
      <c r="CB111" s="13"/>
      <c r="CC111" s="13"/>
      <c r="CD111" s="13"/>
      <c r="CE111" s="13"/>
      <c r="CF111" s="13"/>
      <c r="CG111" s="13"/>
      <c r="CH111" s="13"/>
      <c r="CI111" s="13"/>
      <c r="CJ111" s="15"/>
      <c r="CK111" s="14"/>
      <c r="CL111" s="13"/>
      <c r="CM111" s="13"/>
      <c r="CN111" s="13"/>
      <c r="CO111" s="13"/>
      <c r="CP111" s="13"/>
      <c r="CQ111" s="13"/>
      <c r="CR111" s="13"/>
      <c r="CS111" s="13"/>
      <c r="CT111" s="13"/>
      <c r="CU111" s="13"/>
      <c r="CV111" s="15"/>
      <c r="CW111" s="14"/>
      <c r="CX111" s="13"/>
      <c r="CY111" s="13"/>
      <c r="CZ111" s="13"/>
      <c r="DA111" s="13"/>
      <c r="DB111" s="13"/>
      <c r="DC111" s="13"/>
      <c r="DD111" s="13"/>
      <c r="DE111" s="13"/>
      <c r="DF111" s="13"/>
      <c r="DG111" s="13"/>
      <c r="DH111" s="15"/>
    </row>
    <row r="112" spans="1:112" x14ac:dyDescent="0.25">
      <c r="A112" s="13"/>
      <c r="B112" s="13"/>
      <c r="C112" s="13"/>
      <c r="D112" s="16" t="s">
        <v>115</v>
      </c>
      <c r="E112" s="14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5"/>
      <c r="Q112" s="14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5"/>
      <c r="AC112" s="14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5"/>
      <c r="AO112" s="14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5"/>
      <c r="BA112" s="14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5"/>
      <c r="BM112" s="14"/>
      <c r="BN112" s="13"/>
      <c r="BO112" s="13"/>
      <c r="BP112" s="13"/>
      <c r="BQ112" s="13"/>
      <c r="BR112" s="13"/>
      <c r="BS112" s="13"/>
      <c r="BT112" s="13"/>
      <c r="BU112" s="13"/>
      <c r="BV112" s="13"/>
      <c r="BW112" s="13"/>
      <c r="BX112" s="15"/>
      <c r="BY112" s="14"/>
      <c r="BZ112" s="13"/>
      <c r="CA112" s="13"/>
      <c r="CB112" s="13"/>
      <c r="CC112" s="13"/>
      <c r="CD112" s="13"/>
      <c r="CE112" s="13"/>
      <c r="CF112" s="13"/>
      <c r="CG112" s="13"/>
      <c r="CH112" s="13"/>
      <c r="CI112" s="13"/>
      <c r="CJ112" s="15"/>
      <c r="CK112" s="14"/>
      <c r="CL112" s="13"/>
      <c r="CM112" s="13"/>
      <c r="CN112" s="13"/>
      <c r="CO112" s="13"/>
      <c r="CP112" s="13"/>
      <c r="CQ112" s="13"/>
      <c r="CR112" s="13"/>
      <c r="CS112" s="13"/>
      <c r="CT112" s="13"/>
      <c r="CU112" s="13"/>
      <c r="CV112" s="15"/>
      <c r="CW112" s="14"/>
      <c r="CX112" s="13"/>
      <c r="CY112" s="13"/>
      <c r="CZ112" s="13"/>
      <c r="DA112" s="13"/>
      <c r="DB112" s="13"/>
      <c r="DC112" s="13"/>
      <c r="DD112" s="13"/>
      <c r="DE112" s="13"/>
      <c r="DF112" s="13"/>
      <c r="DG112" s="13"/>
      <c r="DH112" s="15"/>
    </row>
    <row r="113" spans="1:112" x14ac:dyDescent="0.25">
      <c r="A113" s="13"/>
      <c r="B113" s="13"/>
      <c r="C113" s="13"/>
      <c r="D113" s="16" t="s">
        <v>116</v>
      </c>
      <c r="E113" s="14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5"/>
      <c r="Q113" s="14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5"/>
      <c r="AC113" s="14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5"/>
      <c r="AO113" s="14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5"/>
      <c r="BA113" s="14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5"/>
      <c r="BM113" s="14"/>
      <c r="BN113" s="13"/>
      <c r="BO113" s="13"/>
      <c r="BP113" s="13"/>
      <c r="BQ113" s="13"/>
      <c r="BR113" s="13"/>
      <c r="BS113" s="13"/>
      <c r="BT113" s="13"/>
      <c r="BU113" s="13"/>
      <c r="BV113" s="13"/>
      <c r="BW113" s="13"/>
      <c r="BX113" s="15"/>
      <c r="BY113" s="14"/>
      <c r="BZ113" s="13"/>
      <c r="CA113" s="13"/>
      <c r="CB113" s="13"/>
      <c r="CC113" s="13"/>
      <c r="CD113" s="13"/>
      <c r="CE113" s="13"/>
      <c r="CF113" s="13"/>
      <c r="CG113" s="13"/>
      <c r="CH113" s="13"/>
      <c r="CI113" s="13"/>
      <c r="CJ113" s="15"/>
      <c r="CK113" s="14"/>
      <c r="CL113" s="13"/>
      <c r="CM113" s="13"/>
      <c r="CN113" s="13"/>
      <c r="CO113" s="13"/>
      <c r="CP113" s="13"/>
      <c r="CQ113" s="13"/>
      <c r="CR113" s="13"/>
      <c r="CS113" s="13"/>
      <c r="CT113" s="13"/>
      <c r="CU113" s="13"/>
      <c r="CV113" s="15"/>
      <c r="CW113" s="14"/>
      <c r="CX113" s="13"/>
      <c r="CY113" s="13"/>
      <c r="CZ113" s="13"/>
      <c r="DA113" s="13"/>
      <c r="DB113" s="13"/>
      <c r="DC113" s="13"/>
      <c r="DD113" s="13"/>
      <c r="DE113" s="13"/>
      <c r="DF113" s="13"/>
      <c r="DG113" s="13"/>
      <c r="DH113" s="15"/>
    </row>
    <row r="114" spans="1:112" x14ac:dyDescent="0.25">
      <c r="A114" s="13"/>
      <c r="B114" s="13"/>
      <c r="C114" s="13"/>
      <c r="D114" s="16" t="s">
        <v>117</v>
      </c>
      <c r="E114" s="14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5"/>
      <c r="Q114" s="14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5"/>
      <c r="AC114" s="14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5"/>
      <c r="AO114" s="14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5"/>
      <c r="BA114" s="14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5"/>
      <c r="BM114" s="14"/>
      <c r="BN114" s="13"/>
      <c r="BO114" s="13"/>
      <c r="BP114" s="13"/>
      <c r="BQ114" s="13"/>
      <c r="BR114" s="13"/>
      <c r="BS114" s="13"/>
      <c r="BT114" s="13"/>
      <c r="BU114" s="13"/>
      <c r="BV114" s="13"/>
      <c r="BW114" s="13"/>
      <c r="BX114" s="15"/>
      <c r="BY114" s="14"/>
      <c r="BZ114" s="13"/>
      <c r="CA114" s="13"/>
      <c r="CB114" s="13"/>
      <c r="CC114" s="13"/>
      <c r="CD114" s="13"/>
      <c r="CE114" s="13"/>
      <c r="CF114" s="13"/>
      <c r="CG114" s="13"/>
      <c r="CH114" s="13"/>
      <c r="CI114" s="13"/>
      <c r="CJ114" s="15"/>
      <c r="CK114" s="14"/>
      <c r="CL114" s="13"/>
      <c r="CM114" s="13"/>
      <c r="CN114" s="13"/>
      <c r="CO114" s="13"/>
      <c r="CP114" s="13"/>
      <c r="CQ114" s="13"/>
      <c r="CR114" s="13"/>
      <c r="CS114" s="13"/>
      <c r="CT114" s="13"/>
      <c r="CU114" s="13"/>
      <c r="CV114" s="15"/>
      <c r="CW114" s="14"/>
      <c r="CX114" s="13"/>
      <c r="CY114" s="13"/>
      <c r="CZ114" s="13"/>
      <c r="DA114" s="13"/>
      <c r="DB114" s="13"/>
      <c r="DC114" s="13"/>
      <c r="DD114" s="13"/>
      <c r="DE114" s="13"/>
      <c r="DF114" s="13"/>
      <c r="DG114" s="13"/>
      <c r="DH114" s="15"/>
    </row>
    <row r="115" spans="1:112" x14ac:dyDescent="0.25">
      <c r="A115" s="13"/>
      <c r="B115" s="13"/>
      <c r="C115" s="13"/>
      <c r="D115" s="16" t="s">
        <v>118</v>
      </c>
      <c r="E115" s="14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5"/>
      <c r="Q115" s="14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5"/>
      <c r="AC115" s="14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5"/>
      <c r="AO115" s="14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5"/>
      <c r="BA115" s="14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5"/>
      <c r="BM115" s="14"/>
      <c r="BN115" s="13"/>
      <c r="BO115" s="13"/>
      <c r="BP115" s="13"/>
      <c r="BQ115" s="13"/>
      <c r="BR115" s="13"/>
      <c r="BS115" s="13"/>
      <c r="BT115" s="13"/>
      <c r="BU115" s="13"/>
      <c r="BV115" s="13"/>
      <c r="BW115" s="13"/>
      <c r="BX115" s="15"/>
      <c r="BY115" s="14"/>
      <c r="BZ115" s="13"/>
      <c r="CA115" s="13"/>
      <c r="CB115" s="13"/>
      <c r="CC115" s="13"/>
      <c r="CD115" s="13"/>
      <c r="CE115" s="13"/>
      <c r="CF115" s="13"/>
      <c r="CG115" s="13"/>
      <c r="CH115" s="13"/>
      <c r="CI115" s="13"/>
      <c r="CJ115" s="15"/>
      <c r="CK115" s="14"/>
      <c r="CL115" s="13"/>
      <c r="CM115" s="13"/>
      <c r="CN115" s="13"/>
      <c r="CO115" s="13"/>
      <c r="CP115" s="13"/>
      <c r="CQ115" s="13"/>
      <c r="CR115" s="13"/>
      <c r="CS115" s="13"/>
      <c r="CT115" s="13"/>
      <c r="CU115" s="13"/>
      <c r="CV115" s="15"/>
      <c r="CW115" s="14"/>
      <c r="CX115" s="13"/>
      <c r="CY115" s="13"/>
      <c r="CZ115" s="13"/>
      <c r="DA115" s="13"/>
      <c r="DB115" s="13"/>
      <c r="DC115" s="13"/>
      <c r="DD115" s="13"/>
      <c r="DE115" s="13"/>
      <c r="DF115" s="13"/>
      <c r="DG115" s="13"/>
      <c r="DH115" s="15"/>
    </row>
    <row r="116" spans="1:112" x14ac:dyDescent="0.25">
      <c r="A116" s="13"/>
      <c r="B116" s="13"/>
      <c r="C116" s="13"/>
      <c r="D116" s="16" t="s">
        <v>119</v>
      </c>
      <c r="E116" s="14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5"/>
      <c r="Q116" s="14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5"/>
      <c r="AC116" s="14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5"/>
      <c r="AO116" s="14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5"/>
      <c r="BA116" s="14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5"/>
      <c r="BM116" s="14"/>
      <c r="BN116" s="13"/>
      <c r="BO116" s="13"/>
      <c r="BP116" s="13"/>
      <c r="BQ116" s="13"/>
      <c r="BR116" s="13"/>
      <c r="BS116" s="13"/>
      <c r="BT116" s="13"/>
      <c r="BU116" s="13"/>
      <c r="BV116" s="13"/>
      <c r="BW116" s="13"/>
      <c r="BX116" s="15"/>
      <c r="BY116" s="14"/>
      <c r="BZ116" s="13"/>
      <c r="CA116" s="13"/>
      <c r="CB116" s="13"/>
      <c r="CC116" s="13"/>
      <c r="CD116" s="13"/>
      <c r="CE116" s="13"/>
      <c r="CF116" s="13"/>
      <c r="CG116" s="13"/>
      <c r="CH116" s="13"/>
      <c r="CI116" s="13"/>
      <c r="CJ116" s="15"/>
      <c r="CK116" s="14"/>
      <c r="CL116" s="13"/>
      <c r="CM116" s="13"/>
      <c r="CN116" s="13"/>
      <c r="CO116" s="13"/>
      <c r="CP116" s="13"/>
      <c r="CQ116" s="13"/>
      <c r="CR116" s="13"/>
      <c r="CS116" s="13"/>
      <c r="CT116" s="13"/>
      <c r="CU116" s="13"/>
      <c r="CV116" s="15"/>
      <c r="CW116" s="14"/>
      <c r="CX116" s="13"/>
      <c r="CY116" s="13"/>
      <c r="CZ116" s="13"/>
      <c r="DA116" s="13"/>
      <c r="DB116" s="13"/>
      <c r="DC116" s="13"/>
      <c r="DD116" s="13"/>
      <c r="DE116" s="13"/>
      <c r="DF116" s="13"/>
      <c r="DG116" s="13"/>
      <c r="DH116" s="15"/>
    </row>
    <row r="117" spans="1:112" x14ac:dyDescent="0.25">
      <c r="A117" s="13"/>
      <c r="B117" s="13"/>
      <c r="C117" s="13"/>
      <c r="D117" s="16" t="s">
        <v>120</v>
      </c>
      <c r="E117" s="14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5"/>
      <c r="Q117" s="14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5"/>
      <c r="AC117" s="14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5"/>
      <c r="AO117" s="14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5"/>
      <c r="BA117" s="14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5"/>
      <c r="BM117" s="14"/>
      <c r="BN117" s="13"/>
      <c r="BO117" s="13"/>
      <c r="BP117" s="13"/>
      <c r="BQ117" s="13"/>
      <c r="BR117" s="13"/>
      <c r="BS117" s="13"/>
      <c r="BT117" s="13"/>
      <c r="BU117" s="13"/>
      <c r="BV117" s="13"/>
      <c r="BW117" s="13"/>
      <c r="BX117" s="15"/>
      <c r="BY117" s="14"/>
      <c r="BZ117" s="13"/>
      <c r="CA117" s="13"/>
      <c r="CB117" s="13"/>
      <c r="CC117" s="13"/>
      <c r="CD117" s="13"/>
      <c r="CE117" s="13"/>
      <c r="CF117" s="13"/>
      <c r="CG117" s="13"/>
      <c r="CH117" s="13"/>
      <c r="CI117" s="13"/>
      <c r="CJ117" s="15"/>
      <c r="CK117" s="14"/>
      <c r="CL117" s="13"/>
      <c r="CM117" s="13"/>
      <c r="CN117" s="13"/>
      <c r="CO117" s="13"/>
      <c r="CP117" s="13"/>
      <c r="CQ117" s="13"/>
      <c r="CR117" s="13"/>
      <c r="CS117" s="13"/>
      <c r="CT117" s="13"/>
      <c r="CU117" s="13"/>
      <c r="CV117" s="15"/>
      <c r="CW117" s="14"/>
      <c r="CX117" s="13"/>
      <c r="CY117" s="13"/>
      <c r="CZ117" s="13"/>
      <c r="DA117" s="13"/>
      <c r="DB117" s="13"/>
      <c r="DC117" s="13"/>
      <c r="DD117" s="13"/>
      <c r="DE117" s="13"/>
      <c r="DF117" s="13"/>
      <c r="DG117" s="13"/>
      <c r="DH117" s="15"/>
    </row>
    <row r="118" spans="1:112" x14ac:dyDescent="0.25">
      <c r="A118" s="13"/>
      <c r="B118" s="13"/>
      <c r="C118" s="13"/>
      <c r="D118" s="16" t="s">
        <v>121</v>
      </c>
      <c r="E118" s="14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5"/>
      <c r="Q118" s="14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5"/>
      <c r="AC118" s="14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5"/>
      <c r="AO118" s="14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5"/>
      <c r="BA118" s="14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5"/>
      <c r="BM118" s="14"/>
      <c r="BN118" s="13"/>
      <c r="BO118" s="13"/>
      <c r="BP118" s="13"/>
      <c r="BQ118" s="13"/>
      <c r="BR118" s="13"/>
      <c r="BS118" s="13"/>
      <c r="BT118" s="13"/>
      <c r="BU118" s="13"/>
      <c r="BV118" s="13"/>
      <c r="BW118" s="13"/>
      <c r="BX118" s="15"/>
      <c r="BY118" s="14"/>
      <c r="BZ118" s="13"/>
      <c r="CA118" s="13"/>
      <c r="CB118" s="13"/>
      <c r="CC118" s="13"/>
      <c r="CD118" s="13"/>
      <c r="CE118" s="13"/>
      <c r="CF118" s="13"/>
      <c r="CG118" s="13"/>
      <c r="CH118" s="13"/>
      <c r="CI118" s="13"/>
      <c r="CJ118" s="15"/>
      <c r="CK118" s="14"/>
      <c r="CL118" s="13"/>
      <c r="CM118" s="13"/>
      <c r="CN118" s="13"/>
      <c r="CO118" s="13"/>
      <c r="CP118" s="13"/>
      <c r="CQ118" s="13"/>
      <c r="CR118" s="13"/>
      <c r="CS118" s="13"/>
      <c r="CT118" s="13"/>
      <c r="CU118" s="13"/>
      <c r="CV118" s="15"/>
      <c r="CW118" s="14"/>
      <c r="CX118" s="13"/>
      <c r="CY118" s="13"/>
      <c r="CZ118" s="13"/>
      <c r="DA118" s="13"/>
      <c r="DB118" s="13"/>
      <c r="DC118" s="13"/>
      <c r="DD118" s="13"/>
      <c r="DE118" s="13"/>
      <c r="DF118" s="13"/>
      <c r="DG118" s="13"/>
      <c r="DH118" s="15"/>
    </row>
    <row r="119" spans="1:112" x14ac:dyDescent="0.25">
      <c r="A119" s="13"/>
      <c r="B119" s="13"/>
      <c r="C119" s="13"/>
      <c r="D119" s="16" t="s">
        <v>122</v>
      </c>
      <c r="E119" s="14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5"/>
      <c r="Q119" s="14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5"/>
      <c r="AC119" s="14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5"/>
      <c r="AO119" s="14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5"/>
      <c r="BA119" s="14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5"/>
      <c r="BM119" s="14"/>
      <c r="BN119" s="13"/>
      <c r="BO119" s="13"/>
      <c r="BP119" s="13"/>
      <c r="BQ119" s="13"/>
      <c r="BR119" s="13"/>
      <c r="BS119" s="13"/>
      <c r="BT119" s="13"/>
      <c r="BU119" s="13"/>
      <c r="BV119" s="13"/>
      <c r="BW119" s="13"/>
      <c r="BX119" s="15"/>
      <c r="BY119" s="14"/>
      <c r="BZ119" s="13"/>
      <c r="CA119" s="13"/>
      <c r="CB119" s="13"/>
      <c r="CC119" s="13"/>
      <c r="CD119" s="13"/>
      <c r="CE119" s="13"/>
      <c r="CF119" s="13"/>
      <c r="CG119" s="13"/>
      <c r="CH119" s="13"/>
      <c r="CI119" s="13"/>
      <c r="CJ119" s="15"/>
      <c r="CK119" s="14"/>
      <c r="CL119" s="13"/>
      <c r="CM119" s="13"/>
      <c r="CN119" s="13"/>
      <c r="CO119" s="13"/>
      <c r="CP119" s="13"/>
      <c r="CQ119" s="13"/>
      <c r="CR119" s="13"/>
      <c r="CS119" s="13"/>
      <c r="CT119" s="13"/>
      <c r="CU119" s="13"/>
      <c r="CV119" s="15"/>
      <c r="CW119" s="14"/>
      <c r="CX119" s="13"/>
      <c r="CY119" s="13"/>
      <c r="CZ119" s="13"/>
      <c r="DA119" s="13"/>
      <c r="DB119" s="13"/>
      <c r="DC119" s="13"/>
      <c r="DD119" s="13"/>
      <c r="DE119" s="13"/>
      <c r="DF119" s="13"/>
      <c r="DG119" s="13"/>
      <c r="DH119" s="15"/>
    </row>
    <row r="120" spans="1:112" x14ac:dyDescent="0.25">
      <c r="A120" s="13"/>
      <c r="B120" s="13"/>
      <c r="C120" s="13"/>
      <c r="D120" s="16" t="s">
        <v>123</v>
      </c>
      <c r="E120" s="14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5"/>
      <c r="Q120" s="14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5"/>
      <c r="AC120" s="14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5"/>
      <c r="AO120" s="14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5"/>
      <c r="BA120" s="14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5"/>
      <c r="BM120" s="14"/>
      <c r="BN120" s="13"/>
      <c r="BO120" s="13"/>
      <c r="BP120" s="13"/>
      <c r="BQ120" s="13"/>
      <c r="BR120" s="13"/>
      <c r="BS120" s="13"/>
      <c r="BT120" s="13"/>
      <c r="BU120" s="13"/>
      <c r="BV120" s="13"/>
      <c r="BW120" s="13"/>
      <c r="BX120" s="15"/>
      <c r="BY120" s="14"/>
      <c r="BZ120" s="13"/>
      <c r="CA120" s="13"/>
      <c r="CB120" s="13"/>
      <c r="CC120" s="13"/>
      <c r="CD120" s="13"/>
      <c r="CE120" s="13"/>
      <c r="CF120" s="13"/>
      <c r="CG120" s="13"/>
      <c r="CH120" s="13"/>
      <c r="CI120" s="13"/>
      <c r="CJ120" s="15"/>
      <c r="CK120" s="14"/>
      <c r="CL120" s="13"/>
      <c r="CM120" s="13"/>
      <c r="CN120" s="13"/>
      <c r="CO120" s="13"/>
      <c r="CP120" s="13"/>
      <c r="CQ120" s="13"/>
      <c r="CR120" s="13"/>
      <c r="CS120" s="13"/>
      <c r="CT120" s="13"/>
      <c r="CU120" s="13"/>
      <c r="CV120" s="15"/>
      <c r="CW120" s="14"/>
      <c r="CX120" s="13"/>
      <c r="CY120" s="13"/>
      <c r="CZ120" s="13"/>
      <c r="DA120" s="13"/>
      <c r="DB120" s="13"/>
      <c r="DC120" s="13"/>
      <c r="DD120" s="13"/>
      <c r="DE120" s="13"/>
      <c r="DF120" s="13"/>
      <c r="DG120" s="13"/>
      <c r="DH120" s="15"/>
    </row>
    <row r="121" spans="1:112" x14ac:dyDescent="0.25">
      <c r="A121" s="13"/>
      <c r="B121" s="13"/>
      <c r="C121" s="13"/>
      <c r="D121" s="16" t="s">
        <v>124</v>
      </c>
      <c r="E121" s="14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5"/>
      <c r="Q121" s="14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5"/>
      <c r="AC121" s="14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5"/>
      <c r="AO121" s="14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5"/>
      <c r="BA121" s="14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5"/>
      <c r="BM121" s="14"/>
      <c r="BN121" s="13"/>
      <c r="BO121" s="13"/>
      <c r="BP121" s="13"/>
      <c r="BQ121" s="13"/>
      <c r="BR121" s="13"/>
      <c r="BS121" s="13"/>
      <c r="BT121" s="13"/>
      <c r="BU121" s="13"/>
      <c r="BV121" s="13"/>
      <c r="BW121" s="13"/>
      <c r="BX121" s="15"/>
      <c r="BY121" s="14"/>
      <c r="BZ121" s="13"/>
      <c r="CA121" s="13"/>
      <c r="CB121" s="13"/>
      <c r="CC121" s="13"/>
      <c r="CD121" s="13"/>
      <c r="CE121" s="13"/>
      <c r="CF121" s="13"/>
      <c r="CG121" s="13"/>
      <c r="CH121" s="13"/>
      <c r="CI121" s="13"/>
      <c r="CJ121" s="15"/>
      <c r="CK121" s="14"/>
      <c r="CL121" s="13"/>
      <c r="CM121" s="13"/>
      <c r="CN121" s="13"/>
      <c r="CO121" s="13"/>
      <c r="CP121" s="13"/>
      <c r="CQ121" s="13"/>
      <c r="CR121" s="13"/>
      <c r="CS121" s="13"/>
      <c r="CT121" s="13"/>
      <c r="CU121" s="13"/>
      <c r="CV121" s="15"/>
      <c r="CW121" s="14"/>
      <c r="CX121" s="13"/>
      <c r="CY121" s="13"/>
      <c r="CZ121" s="13"/>
      <c r="DA121" s="13"/>
      <c r="DB121" s="13"/>
      <c r="DC121" s="13"/>
      <c r="DD121" s="13"/>
      <c r="DE121" s="13"/>
      <c r="DF121" s="13"/>
      <c r="DG121" s="13"/>
      <c r="DH121" s="15"/>
    </row>
    <row r="122" spans="1:112" x14ac:dyDescent="0.25">
      <c r="A122" s="13"/>
      <c r="B122" s="13"/>
      <c r="C122" s="13"/>
      <c r="D122" s="16" t="s">
        <v>125</v>
      </c>
      <c r="E122" s="14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5"/>
      <c r="Q122" s="14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5"/>
      <c r="AC122" s="14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5"/>
      <c r="AO122" s="14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5"/>
      <c r="BA122" s="14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5"/>
      <c r="BM122" s="14"/>
      <c r="BN122" s="13"/>
      <c r="BO122" s="13"/>
      <c r="BP122" s="13"/>
      <c r="BQ122" s="13"/>
      <c r="BR122" s="13"/>
      <c r="BS122" s="13"/>
      <c r="BT122" s="13"/>
      <c r="BU122" s="13"/>
      <c r="BV122" s="13"/>
      <c r="BW122" s="13"/>
      <c r="BX122" s="15"/>
      <c r="BY122" s="14"/>
      <c r="BZ122" s="13"/>
      <c r="CA122" s="13"/>
      <c r="CB122" s="13"/>
      <c r="CC122" s="13"/>
      <c r="CD122" s="13"/>
      <c r="CE122" s="13"/>
      <c r="CF122" s="13"/>
      <c r="CG122" s="13"/>
      <c r="CH122" s="13"/>
      <c r="CI122" s="13"/>
      <c r="CJ122" s="15"/>
      <c r="CK122" s="14"/>
      <c r="CL122" s="13"/>
      <c r="CM122" s="13"/>
      <c r="CN122" s="13"/>
      <c r="CO122" s="13"/>
      <c r="CP122" s="13"/>
      <c r="CQ122" s="13"/>
      <c r="CR122" s="13"/>
      <c r="CS122" s="13"/>
      <c r="CT122" s="13"/>
      <c r="CU122" s="13"/>
      <c r="CV122" s="15"/>
      <c r="CW122" s="14"/>
      <c r="CX122" s="13"/>
      <c r="CY122" s="13"/>
      <c r="CZ122" s="13"/>
      <c r="DA122" s="13"/>
      <c r="DB122" s="13"/>
      <c r="DC122" s="13"/>
      <c r="DD122" s="13"/>
      <c r="DE122" s="13"/>
      <c r="DF122" s="13"/>
      <c r="DG122" s="13"/>
      <c r="DH122" s="15"/>
    </row>
    <row r="123" spans="1:112" x14ac:dyDescent="0.25">
      <c r="A123" s="13"/>
      <c r="B123" s="13"/>
      <c r="C123" s="13"/>
      <c r="D123" s="16" t="s">
        <v>126</v>
      </c>
      <c r="E123" s="14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5"/>
      <c r="Q123" s="14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5"/>
      <c r="AC123" s="14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5"/>
      <c r="AO123" s="14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5"/>
      <c r="BA123" s="14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5"/>
      <c r="BM123" s="14"/>
      <c r="BN123" s="13"/>
      <c r="BO123" s="13"/>
      <c r="BP123" s="13"/>
      <c r="BQ123" s="13"/>
      <c r="BR123" s="13"/>
      <c r="BS123" s="13"/>
      <c r="BT123" s="13"/>
      <c r="BU123" s="13"/>
      <c r="BV123" s="13"/>
      <c r="BW123" s="13"/>
      <c r="BX123" s="15"/>
      <c r="BY123" s="14"/>
      <c r="BZ123" s="13"/>
      <c r="CA123" s="13"/>
      <c r="CB123" s="13"/>
      <c r="CC123" s="13"/>
      <c r="CD123" s="13"/>
      <c r="CE123" s="13"/>
      <c r="CF123" s="13"/>
      <c r="CG123" s="13"/>
      <c r="CH123" s="13"/>
      <c r="CI123" s="13"/>
      <c r="CJ123" s="15"/>
      <c r="CK123" s="14"/>
      <c r="CL123" s="13"/>
      <c r="CM123" s="13"/>
      <c r="CN123" s="13"/>
      <c r="CO123" s="13"/>
      <c r="CP123" s="13"/>
      <c r="CQ123" s="13"/>
      <c r="CR123" s="13"/>
      <c r="CS123" s="13"/>
      <c r="CT123" s="13"/>
      <c r="CU123" s="13"/>
      <c r="CV123" s="15"/>
      <c r="CW123" s="14"/>
      <c r="CX123" s="13"/>
      <c r="CY123" s="13"/>
      <c r="CZ123" s="13"/>
      <c r="DA123" s="13"/>
      <c r="DB123" s="13"/>
      <c r="DC123" s="13"/>
      <c r="DD123" s="13"/>
      <c r="DE123" s="13"/>
      <c r="DF123" s="13"/>
      <c r="DG123" s="13"/>
      <c r="DH123" s="15"/>
    </row>
    <row r="124" spans="1:112" x14ac:dyDescent="0.25">
      <c r="A124" s="13"/>
      <c r="B124" s="13"/>
      <c r="C124" s="13"/>
      <c r="D124" s="16" t="s">
        <v>127</v>
      </c>
      <c r="E124" s="14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5"/>
      <c r="Q124" s="14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5"/>
      <c r="AC124" s="14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5"/>
      <c r="AO124" s="14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5"/>
      <c r="BA124" s="14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5"/>
      <c r="BM124" s="14"/>
      <c r="BN124" s="13"/>
      <c r="BO124" s="13"/>
      <c r="BP124" s="13"/>
      <c r="BQ124" s="13"/>
      <c r="BR124" s="13"/>
      <c r="BS124" s="13"/>
      <c r="BT124" s="13"/>
      <c r="BU124" s="13"/>
      <c r="BV124" s="13"/>
      <c r="BW124" s="13"/>
      <c r="BX124" s="15"/>
      <c r="BY124" s="14"/>
      <c r="BZ124" s="13"/>
      <c r="CA124" s="13"/>
      <c r="CB124" s="13"/>
      <c r="CC124" s="13"/>
      <c r="CD124" s="13"/>
      <c r="CE124" s="13"/>
      <c r="CF124" s="13"/>
      <c r="CG124" s="13"/>
      <c r="CH124" s="13"/>
      <c r="CI124" s="13"/>
      <c r="CJ124" s="15"/>
      <c r="CK124" s="14"/>
      <c r="CL124" s="13"/>
      <c r="CM124" s="13"/>
      <c r="CN124" s="13"/>
      <c r="CO124" s="13"/>
      <c r="CP124" s="13"/>
      <c r="CQ124" s="13"/>
      <c r="CR124" s="13"/>
      <c r="CS124" s="13"/>
      <c r="CT124" s="13"/>
      <c r="CU124" s="13"/>
      <c r="CV124" s="15"/>
      <c r="CW124" s="14"/>
      <c r="CX124" s="13"/>
      <c r="CY124" s="13"/>
      <c r="CZ124" s="13"/>
      <c r="DA124" s="13"/>
      <c r="DB124" s="13"/>
      <c r="DC124" s="13"/>
      <c r="DD124" s="13"/>
      <c r="DE124" s="13"/>
      <c r="DF124" s="13"/>
      <c r="DG124" s="13"/>
      <c r="DH124" s="15"/>
    </row>
    <row r="125" spans="1:112" x14ac:dyDescent="0.25">
      <c r="A125" s="13"/>
      <c r="B125" s="13"/>
      <c r="C125" s="13"/>
      <c r="D125" s="16" t="s">
        <v>128</v>
      </c>
      <c r="E125" s="14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5"/>
      <c r="Q125" s="14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5"/>
      <c r="AC125" s="14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5"/>
      <c r="AO125" s="14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5"/>
      <c r="BA125" s="14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5"/>
      <c r="BM125" s="14"/>
      <c r="BN125" s="13"/>
      <c r="BO125" s="13"/>
      <c r="BP125" s="13"/>
      <c r="BQ125" s="13"/>
      <c r="BR125" s="13"/>
      <c r="BS125" s="13"/>
      <c r="BT125" s="13"/>
      <c r="BU125" s="13"/>
      <c r="BV125" s="13"/>
      <c r="BW125" s="13"/>
      <c r="BX125" s="15"/>
      <c r="BY125" s="14"/>
      <c r="BZ125" s="13"/>
      <c r="CA125" s="13"/>
      <c r="CB125" s="13"/>
      <c r="CC125" s="13"/>
      <c r="CD125" s="13"/>
      <c r="CE125" s="13"/>
      <c r="CF125" s="13"/>
      <c r="CG125" s="13"/>
      <c r="CH125" s="13"/>
      <c r="CI125" s="13"/>
      <c r="CJ125" s="15"/>
      <c r="CK125" s="14"/>
      <c r="CL125" s="13"/>
      <c r="CM125" s="13"/>
      <c r="CN125" s="13"/>
      <c r="CO125" s="13"/>
      <c r="CP125" s="13"/>
      <c r="CQ125" s="13"/>
      <c r="CR125" s="13"/>
      <c r="CS125" s="13"/>
      <c r="CT125" s="13"/>
      <c r="CU125" s="13"/>
      <c r="CV125" s="15"/>
      <c r="CW125" s="14"/>
      <c r="CX125" s="13"/>
      <c r="CY125" s="13"/>
      <c r="CZ125" s="13"/>
      <c r="DA125" s="13"/>
      <c r="DB125" s="13"/>
      <c r="DC125" s="13"/>
      <c r="DD125" s="13"/>
      <c r="DE125" s="13"/>
      <c r="DF125" s="13"/>
      <c r="DG125" s="13"/>
      <c r="DH125" s="15"/>
    </row>
    <row r="126" spans="1:112" x14ac:dyDescent="0.25">
      <c r="A126" s="13"/>
      <c r="B126" s="13"/>
      <c r="C126" s="13"/>
      <c r="D126" s="16" t="s">
        <v>129</v>
      </c>
      <c r="E126" s="14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5"/>
      <c r="Q126" s="14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5"/>
      <c r="AC126" s="14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5"/>
      <c r="AO126" s="14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5"/>
      <c r="BA126" s="14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5"/>
      <c r="BM126" s="14"/>
      <c r="BN126" s="13"/>
      <c r="BO126" s="13"/>
      <c r="BP126" s="13"/>
      <c r="BQ126" s="13"/>
      <c r="BR126" s="13"/>
      <c r="BS126" s="13"/>
      <c r="BT126" s="13"/>
      <c r="BU126" s="13"/>
      <c r="BV126" s="13"/>
      <c r="BW126" s="13"/>
      <c r="BX126" s="15"/>
      <c r="BY126" s="14"/>
      <c r="BZ126" s="13"/>
      <c r="CA126" s="13"/>
      <c r="CB126" s="13"/>
      <c r="CC126" s="13"/>
      <c r="CD126" s="13"/>
      <c r="CE126" s="13"/>
      <c r="CF126" s="13"/>
      <c r="CG126" s="13"/>
      <c r="CH126" s="13"/>
      <c r="CI126" s="13"/>
      <c r="CJ126" s="15"/>
      <c r="CK126" s="14"/>
      <c r="CL126" s="13"/>
      <c r="CM126" s="13"/>
      <c r="CN126" s="13"/>
      <c r="CO126" s="13"/>
      <c r="CP126" s="13"/>
      <c r="CQ126" s="13"/>
      <c r="CR126" s="13"/>
      <c r="CS126" s="13"/>
      <c r="CT126" s="13"/>
      <c r="CU126" s="13"/>
      <c r="CV126" s="15"/>
      <c r="CW126" s="14"/>
      <c r="CX126" s="13"/>
      <c r="CY126" s="13"/>
      <c r="CZ126" s="13"/>
      <c r="DA126" s="13"/>
      <c r="DB126" s="13"/>
      <c r="DC126" s="13"/>
      <c r="DD126" s="13"/>
      <c r="DE126" s="13"/>
      <c r="DF126" s="13"/>
      <c r="DG126" s="13"/>
      <c r="DH126" s="15"/>
    </row>
    <row r="127" spans="1:112" x14ac:dyDescent="0.25">
      <c r="A127" s="13"/>
      <c r="B127" s="13"/>
      <c r="C127" s="13"/>
      <c r="D127" s="16" t="s">
        <v>130</v>
      </c>
      <c r="E127" s="14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5"/>
      <c r="Q127" s="14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5"/>
      <c r="AC127" s="14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5"/>
      <c r="AO127" s="14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5"/>
      <c r="BA127" s="14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5"/>
      <c r="BM127" s="14"/>
      <c r="BN127" s="13"/>
      <c r="BO127" s="13"/>
      <c r="BP127" s="13"/>
      <c r="BQ127" s="13"/>
      <c r="BR127" s="13"/>
      <c r="BS127" s="13"/>
      <c r="BT127" s="13"/>
      <c r="BU127" s="13"/>
      <c r="BV127" s="13"/>
      <c r="BW127" s="13"/>
      <c r="BX127" s="15"/>
      <c r="BY127" s="14"/>
      <c r="BZ127" s="13"/>
      <c r="CA127" s="13"/>
      <c r="CB127" s="13"/>
      <c r="CC127" s="13"/>
      <c r="CD127" s="13"/>
      <c r="CE127" s="13"/>
      <c r="CF127" s="13"/>
      <c r="CG127" s="13"/>
      <c r="CH127" s="13"/>
      <c r="CI127" s="13"/>
      <c r="CJ127" s="15"/>
      <c r="CK127" s="14"/>
      <c r="CL127" s="13"/>
      <c r="CM127" s="13"/>
      <c r="CN127" s="13"/>
      <c r="CO127" s="13"/>
      <c r="CP127" s="13"/>
      <c r="CQ127" s="13"/>
      <c r="CR127" s="13"/>
      <c r="CS127" s="13"/>
      <c r="CT127" s="13"/>
      <c r="CU127" s="13"/>
      <c r="CV127" s="15"/>
      <c r="CW127" s="14"/>
      <c r="CX127" s="13"/>
      <c r="CY127" s="13"/>
      <c r="CZ127" s="13"/>
      <c r="DA127" s="13"/>
      <c r="DB127" s="13"/>
      <c r="DC127" s="13"/>
      <c r="DD127" s="13"/>
      <c r="DE127" s="13"/>
      <c r="DF127" s="13"/>
      <c r="DG127" s="13"/>
      <c r="DH127" s="15"/>
    </row>
    <row r="128" spans="1:112" x14ac:dyDescent="0.25">
      <c r="A128" s="13"/>
      <c r="B128" s="13"/>
      <c r="C128" s="13"/>
      <c r="D128" s="16" t="s">
        <v>131</v>
      </c>
      <c r="E128" s="14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5"/>
      <c r="Q128" s="14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5"/>
      <c r="AC128" s="14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5"/>
      <c r="AO128" s="14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5"/>
      <c r="BA128" s="14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5"/>
      <c r="BM128" s="14"/>
      <c r="BN128" s="13"/>
      <c r="BO128" s="13"/>
      <c r="BP128" s="13"/>
      <c r="BQ128" s="13"/>
      <c r="BR128" s="13"/>
      <c r="BS128" s="13"/>
      <c r="BT128" s="13"/>
      <c r="BU128" s="13"/>
      <c r="BV128" s="13"/>
      <c r="BW128" s="13"/>
      <c r="BX128" s="15"/>
      <c r="BY128" s="14"/>
      <c r="BZ128" s="13"/>
      <c r="CA128" s="13"/>
      <c r="CB128" s="13"/>
      <c r="CC128" s="13"/>
      <c r="CD128" s="13"/>
      <c r="CE128" s="13"/>
      <c r="CF128" s="13"/>
      <c r="CG128" s="13"/>
      <c r="CH128" s="13"/>
      <c r="CI128" s="13"/>
      <c r="CJ128" s="15"/>
      <c r="CK128" s="14"/>
      <c r="CL128" s="13"/>
      <c r="CM128" s="13"/>
      <c r="CN128" s="13"/>
      <c r="CO128" s="13"/>
      <c r="CP128" s="13"/>
      <c r="CQ128" s="13"/>
      <c r="CR128" s="13"/>
      <c r="CS128" s="13"/>
      <c r="CT128" s="13"/>
      <c r="CU128" s="13"/>
      <c r="CV128" s="15"/>
      <c r="CW128" s="14"/>
      <c r="CX128" s="13"/>
      <c r="CY128" s="13"/>
      <c r="CZ128" s="13"/>
      <c r="DA128" s="13"/>
      <c r="DB128" s="13"/>
      <c r="DC128" s="13"/>
      <c r="DD128" s="13"/>
      <c r="DE128" s="13"/>
      <c r="DF128" s="13"/>
      <c r="DG128" s="13"/>
      <c r="DH128" s="15"/>
    </row>
    <row r="129" spans="1:112" x14ac:dyDescent="0.25">
      <c r="A129" s="13"/>
      <c r="B129" s="13"/>
      <c r="C129" s="13"/>
      <c r="D129" s="16" t="s">
        <v>132</v>
      </c>
      <c r="E129" s="14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5"/>
      <c r="Q129" s="14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5"/>
      <c r="AC129" s="14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5"/>
      <c r="AO129" s="14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5"/>
      <c r="BA129" s="14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5"/>
      <c r="BM129" s="14"/>
      <c r="BN129" s="13"/>
      <c r="BO129" s="13"/>
      <c r="BP129" s="13"/>
      <c r="BQ129" s="13"/>
      <c r="BR129" s="13"/>
      <c r="BS129" s="13"/>
      <c r="BT129" s="13"/>
      <c r="BU129" s="13"/>
      <c r="BV129" s="13"/>
      <c r="BW129" s="13"/>
      <c r="BX129" s="15"/>
      <c r="BY129" s="14"/>
      <c r="BZ129" s="13"/>
      <c r="CA129" s="13"/>
      <c r="CB129" s="13"/>
      <c r="CC129" s="13"/>
      <c r="CD129" s="13"/>
      <c r="CE129" s="13"/>
      <c r="CF129" s="13"/>
      <c r="CG129" s="13"/>
      <c r="CH129" s="13"/>
      <c r="CI129" s="13"/>
      <c r="CJ129" s="15"/>
      <c r="CK129" s="14"/>
      <c r="CL129" s="13"/>
      <c r="CM129" s="13"/>
      <c r="CN129" s="13"/>
      <c r="CO129" s="13"/>
      <c r="CP129" s="13"/>
      <c r="CQ129" s="13"/>
      <c r="CR129" s="13"/>
      <c r="CS129" s="13"/>
      <c r="CT129" s="13"/>
      <c r="CU129" s="13"/>
      <c r="CV129" s="15"/>
      <c r="CW129" s="14"/>
      <c r="CX129" s="13"/>
      <c r="CY129" s="13"/>
      <c r="CZ129" s="13"/>
      <c r="DA129" s="13"/>
      <c r="DB129" s="13"/>
      <c r="DC129" s="13"/>
      <c r="DD129" s="13"/>
      <c r="DE129" s="13"/>
      <c r="DF129" s="13"/>
      <c r="DG129" s="13"/>
      <c r="DH129" s="15"/>
    </row>
    <row r="132" spans="1:112" x14ac:dyDescent="0.25">
      <c r="D132" s="22" t="s">
        <v>141</v>
      </c>
      <c r="E132" s="14">
        <f>COUNTIF(E$3:E$129,"*V*")</f>
        <v>0</v>
      </c>
      <c r="F132" s="13">
        <f t="shared" ref="F132:BQ132" si="0">COUNTIF(F$3:F$129,"*V*")</f>
        <v>0</v>
      </c>
      <c r="G132" s="13">
        <f t="shared" si="0"/>
        <v>0</v>
      </c>
      <c r="H132" s="13">
        <f t="shared" si="0"/>
        <v>0</v>
      </c>
      <c r="I132" s="13">
        <f t="shared" si="0"/>
        <v>0</v>
      </c>
      <c r="J132" s="13">
        <f t="shared" si="0"/>
        <v>0</v>
      </c>
      <c r="K132" s="13">
        <f t="shared" si="0"/>
        <v>0</v>
      </c>
      <c r="L132" s="13">
        <f t="shared" si="0"/>
        <v>0</v>
      </c>
      <c r="M132" s="13">
        <f t="shared" si="0"/>
        <v>0</v>
      </c>
      <c r="N132" s="13">
        <f t="shared" si="0"/>
        <v>0</v>
      </c>
      <c r="O132" s="13">
        <f t="shared" si="0"/>
        <v>0</v>
      </c>
      <c r="P132" s="21">
        <f t="shared" si="0"/>
        <v>0</v>
      </c>
      <c r="Q132" s="14">
        <f t="shared" si="0"/>
        <v>0</v>
      </c>
      <c r="R132" s="13">
        <f t="shared" si="0"/>
        <v>0</v>
      </c>
      <c r="S132" s="13">
        <f t="shared" si="0"/>
        <v>0</v>
      </c>
      <c r="T132" s="13">
        <f t="shared" si="0"/>
        <v>0</v>
      </c>
      <c r="U132" s="13">
        <f t="shared" si="0"/>
        <v>0</v>
      </c>
      <c r="V132" s="13">
        <f t="shared" si="0"/>
        <v>0</v>
      </c>
      <c r="W132" s="13">
        <f t="shared" si="0"/>
        <v>0</v>
      </c>
      <c r="X132" s="13">
        <f t="shared" si="0"/>
        <v>0</v>
      </c>
      <c r="Y132" s="13">
        <f t="shared" si="0"/>
        <v>0</v>
      </c>
      <c r="Z132" s="13">
        <f t="shared" si="0"/>
        <v>0</v>
      </c>
      <c r="AA132" s="13">
        <f t="shared" si="0"/>
        <v>0</v>
      </c>
      <c r="AB132" s="21">
        <f t="shared" si="0"/>
        <v>0</v>
      </c>
      <c r="AC132" s="14">
        <f t="shared" si="0"/>
        <v>0</v>
      </c>
      <c r="AD132" s="13">
        <f t="shared" si="0"/>
        <v>0</v>
      </c>
      <c r="AE132" s="13">
        <f t="shared" si="0"/>
        <v>0</v>
      </c>
      <c r="AF132" s="13">
        <f t="shared" si="0"/>
        <v>0</v>
      </c>
      <c r="AG132" s="13">
        <f t="shared" si="0"/>
        <v>0</v>
      </c>
      <c r="AH132" s="13">
        <f t="shared" si="0"/>
        <v>0</v>
      </c>
      <c r="AI132" s="13">
        <f t="shared" si="0"/>
        <v>0</v>
      </c>
      <c r="AJ132" s="13">
        <f t="shared" si="0"/>
        <v>0</v>
      </c>
      <c r="AK132" s="13">
        <f t="shared" si="0"/>
        <v>0</v>
      </c>
      <c r="AL132" s="13">
        <f t="shared" si="0"/>
        <v>0</v>
      </c>
      <c r="AM132" s="13">
        <f t="shared" si="0"/>
        <v>0</v>
      </c>
      <c r="AN132" s="21">
        <f t="shared" si="0"/>
        <v>0</v>
      </c>
      <c r="AO132" s="14">
        <f t="shared" si="0"/>
        <v>0</v>
      </c>
      <c r="AP132" s="13">
        <f t="shared" si="0"/>
        <v>0</v>
      </c>
      <c r="AQ132" s="13">
        <f t="shared" si="0"/>
        <v>0</v>
      </c>
      <c r="AR132" s="13">
        <f t="shared" si="0"/>
        <v>0</v>
      </c>
      <c r="AS132" s="13">
        <f t="shared" si="0"/>
        <v>0</v>
      </c>
      <c r="AT132" s="13">
        <f t="shared" si="0"/>
        <v>0</v>
      </c>
      <c r="AU132" s="13">
        <f t="shared" si="0"/>
        <v>0</v>
      </c>
      <c r="AV132" s="13">
        <f t="shared" si="0"/>
        <v>0</v>
      </c>
      <c r="AW132" s="13">
        <f t="shared" si="0"/>
        <v>0</v>
      </c>
      <c r="AX132" s="13">
        <f t="shared" si="0"/>
        <v>0</v>
      </c>
      <c r="AY132" s="13">
        <f t="shared" si="0"/>
        <v>0</v>
      </c>
      <c r="AZ132" s="21">
        <f t="shared" si="0"/>
        <v>0</v>
      </c>
      <c r="BA132" s="14">
        <f t="shared" si="0"/>
        <v>0</v>
      </c>
      <c r="BB132" s="13">
        <f t="shared" si="0"/>
        <v>0</v>
      </c>
      <c r="BC132" s="13">
        <f t="shared" si="0"/>
        <v>0</v>
      </c>
      <c r="BD132" s="13">
        <f t="shared" si="0"/>
        <v>0</v>
      </c>
      <c r="BE132" s="13">
        <f t="shared" si="0"/>
        <v>0</v>
      </c>
      <c r="BF132" s="13">
        <f t="shared" si="0"/>
        <v>0</v>
      </c>
      <c r="BG132" s="13">
        <f t="shared" si="0"/>
        <v>0</v>
      </c>
      <c r="BH132" s="13">
        <f t="shared" si="0"/>
        <v>0</v>
      </c>
      <c r="BI132" s="13">
        <f t="shared" si="0"/>
        <v>0</v>
      </c>
      <c r="BJ132" s="13">
        <f t="shared" si="0"/>
        <v>0</v>
      </c>
      <c r="BK132" s="13">
        <f t="shared" si="0"/>
        <v>0</v>
      </c>
      <c r="BL132" s="21">
        <f t="shared" si="0"/>
        <v>0</v>
      </c>
      <c r="BM132" s="14">
        <f t="shared" si="0"/>
        <v>0</v>
      </c>
      <c r="BN132" s="13">
        <f t="shared" si="0"/>
        <v>0</v>
      </c>
      <c r="BO132" s="13">
        <f t="shared" si="0"/>
        <v>0</v>
      </c>
      <c r="BP132" s="13">
        <f t="shared" si="0"/>
        <v>0</v>
      </c>
      <c r="BQ132" s="13">
        <f t="shared" si="0"/>
        <v>0</v>
      </c>
      <c r="BR132" s="13">
        <f t="shared" ref="BR132:DH132" si="1">COUNTIF(BR$3:BR$129,"*V*")</f>
        <v>0</v>
      </c>
      <c r="BS132" s="13">
        <f t="shared" si="1"/>
        <v>0</v>
      </c>
      <c r="BT132" s="13">
        <f t="shared" si="1"/>
        <v>0</v>
      </c>
      <c r="BU132" s="13">
        <f t="shared" si="1"/>
        <v>0</v>
      </c>
      <c r="BV132" s="13">
        <f t="shared" si="1"/>
        <v>0</v>
      </c>
      <c r="BW132" s="13">
        <f t="shared" si="1"/>
        <v>0</v>
      </c>
      <c r="BX132" s="21">
        <f t="shared" si="1"/>
        <v>0</v>
      </c>
      <c r="BY132" s="14">
        <f t="shared" si="1"/>
        <v>0</v>
      </c>
      <c r="BZ132" s="13">
        <f t="shared" si="1"/>
        <v>0</v>
      </c>
      <c r="CA132" s="13">
        <f t="shared" si="1"/>
        <v>0</v>
      </c>
      <c r="CB132" s="13">
        <f t="shared" si="1"/>
        <v>0</v>
      </c>
      <c r="CC132" s="13">
        <f t="shared" si="1"/>
        <v>0</v>
      </c>
      <c r="CD132" s="13">
        <f t="shared" si="1"/>
        <v>0</v>
      </c>
      <c r="CE132" s="13">
        <f t="shared" si="1"/>
        <v>0</v>
      </c>
      <c r="CF132" s="13">
        <f t="shared" si="1"/>
        <v>0</v>
      </c>
      <c r="CG132" s="13">
        <f t="shared" si="1"/>
        <v>0</v>
      </c>
      <c r="CH132" s="13">
        <f t="shared" si="1"/>
        <v>0</v>
      </c>
      <c r="CI132" s="13">
        <f t="shared" si="1"/>
        <v>0</v>
      </c>
      <c r="CJ132" s="21">
        <f t="shared" si="1"/>
        <v>0</v>
      </c>
      <c r="CK132" s="14">
        <f t="shared" si="1"/>
        <v>0</v>
      </c>
      <c r="CL132" s="13">
        <f t="shared" si="1"/>
        <v>0</v>
      </c>
      <c r="CM132" s="13">
        <f t="shared" si="1"/>
        <v>0</v>
      </c>
      <c r="CN132" s="13">
        <f t="shared" si="1"/>
        <v>0</v>
      </c>
      <c r="CO132" s="13">
        <f t="shared" si="1"/>
        <v>0</v>
      </c>
      <c r="CP132" s="13">
        <f t="shared" si="1"/>
        <v>0</v>
      </c>
      <c r="CQ132" s="13">
        <f t="shared" si="1"/>
        <v>0</v>
      </c>
      <c r="CR132" s="13">
        <f t="shared" si="1"/>
        <v>0</v>
      </c>
      <c r="CS132" s="13">
        <f t="shared" si="1"/>
        <v>0</v>
      </c>
      <c r="CT132" s="13">
        <f t="shared" si="1"/>
        <v>0</v>
      </c>
      <c r="CU132" s="13">
        <f t="shared" si="1"/>
        <v>0</v>
      </c>
      <c r="CV132" s="21">
        <f t="shared" si="1"/>
        <v>0</v>
      </c>
      <c r="CW132" s="14">
        <f t="shared" si="1"/>
        <v>0</v>
      </c>
      <c r="CX132" s="13">
        <f t="shared" si="1"/>
        <v>0</v>
      </c>
      <c r="CY132" s="13">
        <f t="shared" si="1"/>
        <v>0</v>
      </c>
      <c r="CZ132" s="13">
        <f t="shared" si="1"/>
        <v>0</v>
      </c>
      <c r="DA132" s="13">
        <f t="shared" si="1"/>
        <v>0</v>
      </c>
      <c r="DB132" s="13">
        <f t="shared" si="1"/>
        <v>0</v>
      </c>
      <c r="DC132" s="13">
        <f t="shared" si="1"/>
        <v>0</v>
      </c>
      <c r="DD132" s="13">
        <f t="shared" si="1"/>
        <v>0</v>
      </c>
      <c r="DE132" s="13">
        <f t="shared" si="1"/>
        <v>0</v>
      </c>
      <c r="DF132" s="13">
        <f t="shared" si="1"/>
        <v>0</v>
      </c>
      <c r="DG132" s="13">
        <f t="shared" si="1"/>
        <v>0</v>
      </c>
      <c r="DH132" s="13">
        <f t="shared" si="1"/>
        <v>0</v>
      </c>
    </row>
    <row r="133" spans="1:112" x14ac:dyDescent="0.25">
      <c r="D133" s="22" t="s">
        <v>152</v>
      </c>
      <c r="E133" s="14">
        <f>COUNT(E3:E129)-COUNTIF(E3:E129,"*STK*")-COUNTIF(E3:E129,"*BL*")-COUNTIF(E3:E129,"*x*")-COUNTIF(E3:E129,"0")</f>
        <v>0</v>
      </c>
      <c r="F133" s="13">
        <f t="shared" ref="F133:BQ133" si="2">COUNT(F3:F129)-COUNTIF(F3:F129,"*STK*")-COUNTIF(F3:F129,"*BL*")-COUNTIF(F3:F129,"*x*")-COUNTIF(F3:F129,"0")</f>
        <v>0</v>
      </c>
      <c r="G133" s="13">
        <f t="shared" si="2"/>
        <v>0</v>
      </c>
      <c r="H133" s="13">
        <f t="shared" si="2"/>
        <v>0</v>
      </c>
      <c r="I133" s="13">
        <f t="shared" si="2"/>
        <v>0</v>
      </c>
      <c r="J133" s="13">
        <f t="shared" si="2"/>
        <v>0</v>
      </c>
      <c r="K133" s="13">
        <f t="shared" si="2"/>
        <v>0</v>
      </c>
      <c r="L133" s="13">
        <f t="shared" si="2"/>
        <v>0</v>
      </c>
      <c r="M133" s="13">
        <f t="shared" si="2"/>
        <v>0</v>
      </c>
      <c r="N133" s="13">
        <f t="shared" si="2"/>
        <v>0</v>
      </c>
      <c r="O133" s="13">
        <f t="shared" si="2"/>
        <v>0</v>
      </c>
      <c r="P133" s="21">
        <f t="shared" si="2"/>
        <v>0</v>
      </c>
      <c r="Q133" s="14">
        <f t="shared" si="2"/>
        <v>0</v>
      </c>
      <c r="R133" s="13">
        <f t="shared" si="2"/>
        <v>0</v>
      </c>
      <c r="S133" s="13">
        <f t="shared" si="2"/>
        <v>0</v>
      </c>
      <c r="T133" s="13">
        <f t="shared" si="2"/>
        <v>0</v>
      </c>
      <c r="U133" s="13">
        <f t="shared" si="2"/>
        <v>0</v>
      </c>
      <c r="V133" s="13">
        <f t="shared" si="2"/>
        <v>0</v>
      </c>
      <c r="W133" s="13">
        <f t="shared" si="2"/>
        <v>0</v>
      </c>
      <c r="X133" s="13">
        <f t="shared" si="2"/>
        <v>0</v>
      </c>
      <c r="Y133" s="13">
        <f t="shared" si="2"/>
        <v>0</v>
      </c>
      <c r="Z133" s="13">
        <f t="shared" si="2"/>
        <v>0</v>
      </c>
      <c r="AA133" s="13">
        <f t="shared" si="2"/>
        <v>0</v>
      </c>
      <c r="AB133" s="21">
        <f t="shared" si="2"/>
        <v>0</v>
      </c>
      <c r="AC133" s="14">
        <f t="shared" si="2"/>
        <v>0</v>
      </c>
      <c r="AD133" s="13">
        <f t="shared" si="2"/>
        <v>0</v>
      </c>
      <c r="AE133" s="13">
        <f t="shared" si="2"/>
        <v>0</v>
      </c>
      <c r="AF133" s="13">
        <f t="shared" si="2"/>
        <v>0</v>
      </c>
      <c r="AG133" s="13">
        <f t="shared" si="2"/>
        <v>0</v>
      </c>
      <c r="AH133" s="13">
        <f t="shared" si="2"/>
        <v>0</v>
      </c>
      <c r="AI133" s="13">
        <f t="shared" si="2"/>
        <v>0</v>
      </c>
      <c r="AJ133" s="13">
        <f t="shared" si="2"/>
        <v>0</v>
      </c>
      <c r="AK133" s="13">
        <f t="shared" si="2"/>
        <v>0</v>
      </c>
      <c r="AL133" s="13">
        <f t="shared" si="2"/>
        <v>0</v>
      </c>
      <c r="AM133" s="13">
        <f t="shared" si="2"/>
        <v>0</v>
      </c>
      <c r="AN133" s="21">
        <f t="shared" si="2"/>
        <v>0</v>
      </c>
      <c r="AO133" s="14">
        <f t="shared" si="2"/>
        <v>0</v>
      </c>
      <c r="AP133" s="13">
        <f t="shared" si="2"/>
        <v>0</v>
      </c>
      <c r="AQ133" s="13">
        <f t="shared" si="2"/>
        <v>0</v>
      </c>
      <c r="AR133" s="13">
        <f t="shared" si="2"/>
        <v>0</v>
      </c>
      <c r="AS133" s="13">
        <f t="shared" si="2"/>
        <v>0</v>
      </c>
      <c r="AT133" s="13">
        <f t="shared" si="2"/>
        <v>0</v>
      </c>
      <c r="AU133" s="13">
        <f t="shared" si="2"/>
        <v>0</v>
      </c>
      <c r="AV133" s="13">
        <f t="shared" si="2"/>
        <v>0</v>
      </c>
      <c r="AW133" s="13">
        <f t="shared" si="2"/>
        <v>0</v>
      </c>
      <c r="AX133" s="13">
        <f t="shared" si="2"/>
        <v>0</v>
      </c>
      <c r="AY133" s="13">
        <f t="shared" si="2"/>
        <v>0</v>
      </c>
      <c r="AZ133" s="21">
        <f t="shared" si="2"/>
        <v>0</v>
      </c>
      <c r="BA133" s="14">
        <f t="shared" si="2"/>
        <v>0</v>
      </c>
      <c r="BB133" s="13">
        <f t="shared" si="2"/>
        <v>0</v>
      </c>
      <c r="BC133" s="13">
        <f t="shared" si="2"/>
        <v>0</v>
      </c>
      <c r="BD133" s="13">
        <f t="shared" si="2"/>
        <v>0</v>
      </c>
      <c r="BE133" s="13">
        <f t="shared" si="2"/>
        <v>0</v>
      </c>
      <c r="BF133" s="13">
        <f t="shared" si="2"/>
        <v>0</v>
      </c>
      <c r="BG133" s="13">
        <f t="shared" si="2"/>
        <v>0</v>
      </c>
      <c r="BH133" s="13">
        <f t="shared" si="2"/>
        <v>0</v>
      </c>
      <c r="BI133" s="13">
        <f t="shared" si="2"/>
        <v>0</v>
      </c>
      <c r="BJ133" s="13">
        <f t="shared" si="2"/>
        <v>0</v>
      </c>
      <c r="BK133" s="13">
        <f t="shared" si="2"/>
        <v>0</v>
      </c>
      <c r="BL133" s="21">
        <f t="shared" si="2"/>
        <v>0</v>
      </c>
      <c r="BM133" s="14">
        <f t="shared" si="2"/>
        <v>0</v>
      </c>
      <c r="BN133" s="13">
        <f t="shared" si="2"/>
        <v>0</v>
      </c>
      <c r="BO133" s="13">
        <f t="shared" si="2"/>
        <v>0</v>
      </c>
      <c r="BP133" s="13">
        <f t="shared" si="2"/>
        <v>0</v>
      </c>
      <c r="BQ133" s="13">
        <f t="shared" si="2"/>
        <v>0</v>
      </c>
      <c r="BR133" s="13">
        <f t="shared" ref="BR133:DH133" si="3">COUNT(BR3:BR129)-COUNTIF(BR3:BR129,"*STK*")-COUNTIF(BR3:BR129,"*BL*")-COUNTIF(BR3:BR129,"*x*")-COUNTIF(BR3:BR129,"0")</f>
        <v>0</v>
      </c>
      <c r="BS133" s="13">
        <f t="shared" si="3"/>
        <v>0</v>
      </c>
      <c r="BT133" s="13">
        <f t="shared" si="3"/>
        <v>0</v>
      </c>
      <c r="BU133" s="13">
        <f t="shared" si="3"/>
        <v>0</v>
      </c>
      <c r="BV133" s="13">
        <f t="shared" si="3"/>
        <v>0</v>
      </c>
      <c r="BW133" s="13">
        <f t="shared" si="3"/>
        <v>0</v>
      </c>
      <c r="BX133" s="21">
        <f t="shared" si="3"/>
        <v>0</v>
      </c>
      <c r="BY133" s="14">
        <f t="shared" si="3"/>
        <v>0</v>
      </c>
      <c r="BZ133" s="13">
        <f t="shared" si="3"/>
        <v>0</v>
      </c>
      <c r="CA133" s="13">
        <f t="shared" si="3"/>
        <v>0</v>
      </c>
      <c r="CB133" s="13">
        <f t="shared" si="3"/>
        <v>0</v>
      </c>
      <c r="CC133" s="13">
        <f t="shared" si="3"/>
        <v>0</v>
      </c>
      <c r="CD133" s="13">
        <f t="shared" si="3"/>
        <v>0</v>
      </c>
      <c r="CE133" s="13">
        <f t="shared" si="3"/>
        <v>0</v>
      </c>
      <c r="CF133" s="13">
        <f t="shared" si="3"/>
        <v>0</v>
      </c>
      <c r="CG133" s="13">
        <f t="shared" si="3"/>
        <v>0</v>
      </c>
      <c r="CH133" s="13">
        <f t="shared" si="3"/>
        <v>0</v>
      </c>
      <c r="CI133" s="13">
        <f t="shared" si="3"/>
        <v>0</v>
      </c>
      <c r="CJ133" s="21">
        <f t="shared" si="3"/>
        <v>0</v>
      </c>
      <c r="CK133" s="14">
        <f t="shared" si="3"/>
        <v>0</v>
      </c>
      <c r="CL133" s="13">
        <f t="shared" si="3"/>
        <v>0</v>
      </c>
      <c r="CM133" s="13">
        <f t="shared" si="3"/>
        <v>0</v>
      </c>
      <c r="CN133" s="13">
        <f t="shared" si="3"/>
        <v>0</v>
      </c>
      <c r="CO133" s="13">
        <f t="shared" si="3"/>
        <v>0</v>
      </c>
      <c r="CP133" s="13">
        <f t="shared" si="3"/>
        <v>0</v>
      </c>
      <c r="CQ133" s="13">
        <f t="shared" si="3"/>
        <v>0</v>
      </c>
      <c r="CR133" s="13">
        <f t="shared" si="3"/>
        <v>0</v>
      </c>
      <c r="CS133" s="13">
        <f t="shared" si="3"/>
        <v>0</v>
      </c>
      <c r="CT133" s="13">
        <f t="shared" si="3"/>
        <v>0</v>
      </c>
      <c r="CU133" s="13">
        <f t="shared" si="3"/>
        <v>0</v>
      </c>
      <c r="CV133" s="21">
        <f t="shared" si="3"/>
        <v>0</v>
      </c>
      <c r="CW133" s="14">
        <f t="shared" si="3"/>
        <v>0</v>
      </c>
      <c r="CX133" s="13">
        <f t="shared" si="3"/>
        <v>0</v>
      </c>
      <c r="CY133" s="13">
        <f t="shared" si="3"/>
        <v>0</v>
      </c>
      <c r="CZ133" s="13">
        <f t="shared" si="3"/>
        <v>0</v>
      </c>
      <c r="DA133" s="13">
        <f t="shared" si="3"/>
        <v>0</v>
      </c>
      <c r="DB133" s="13">
        <f t="shared" si="3"/>
        <v>0</v>
      </c>
      <c r="DC133" s="13">
        <f t="shared" si="3"/>
        <v>0</v>
      </c>
      <c r="DD133" s="13">
        <f t="shared" si="3"/>
        <v>0</v>
      </c>
      <c r="DE133" s="13">
        <f t="shared" si="3"/>
        <v>0</v>
      </c>
      <c r="DF133" s="13">
        <f t="shared" si="3"/>
        <v>0</v>
      </c>
      <c r="DG133" s="13">
        <f t="shared" si="3"/>
        <v>0</v>
      </c>
      <c r="DH133" s="13">
        <f t="shared" si="3"/>
        <v>0</v>
      </c>
    </row>
    <row r="134" spans="1:112" x14ac:dyDescent="0.25">
      <c r="D134" s="22" t="s">
        <v>153</v>
      </c>
      <c r="E134" s="14">
        <f>SUM(E3:E129)</f>
        <v>0</v>
      </c>
      <c r="F134" s="13">
        <f t="shared" ref="F134:BQ134" si="4">SUM(F3:F129)</f>
        <v>0</v>
      </c>
      <c r="G134" s="13">
        <f t="shared" si="4"/>
        <v>0</v>
      </c>
      <c r="H134" s="13">
        <f t="shared" si="4"/>
        <v>0</v>
      </c>
      <c r="I134" s="13">
        <f t="shared" si="4"/>
        <v>0</v>
      </c>
      <c r="J134" s="13">
        <f t="shared" si="4"/>
        <v>0</v>
      </c>
      <c r="K134" s="13">
        <f t="shared" si="4"/>
        <v>0</v>
      </c>
      <c r="L134" s="13">
        <f t="shared" si="4"/>
        <v>0</v>
      </c>
      <c r="M134" s="13">
        <f t="shared" si="4"/>
        <v>0</v>
      </c>
      <c r="N134" s="13">
        <f t="shared" si="4"/>
        <v>0</v>
      </c>
      <c r="O134" s="13">
        <f t="shared" si="4"/>
        <v>0</v>
      </c>
      <c r="P134" s="21">
        <f t="shared" si="4"/>
        <v>0</v>
      </c>
      <c r="Q134" s="14">
        <f t="shared" si="4"/>
        <v>0</v>
      </c>
      <c r="R134" s="13">
        <f t="shared" si="4"/>
        <v>0</v>
      </c>
      <c r="S134" s="13">
        <f t="shared" si="4"/>
        <v>0</v>
      </c>
      <c r="T134" s="13">
        <f t="shared" si="4"/>
        <v>0</v>
      </c>
      <c r="U134" s="13">
        <f t="shared" si="4"/>
        <v>0</v>
      </c>
      <c r="V134" s="13">
        <f t="shared" si="4"/>
        <v>0</v>
      </c>
      <c r="W134" s="13">
        <f t="shared" si="4"/>
        <v>0</v>
      </c>
      <c r="X134" s="13">
        <f t="shared" si="4"/>
        <v>0</v>
      </c>
      <c r="Y134" s="13">
        <f t="shared" si="4"/>
        <v>0</v>
      </c>
      <c r="Z134" s="13">
        <f t="shared" si="4"/>
        <v>0</v>
      </c>
      <c r="AA134" s="13">
        <f t="shared" si="4"/>
        <v>0</v>
      </c>
      <c r="AB134" s="21">
        <f t="shared" si="4"/>
        <v>0</v>
      </c>
      <c r="AC134" s="14">
        <f t="shared" si="4"/>
        <v>0</v>
      </c>
      <c r="AD134" s="13">
        <f t="shared" si="4"/>
        <v>0</v>
      </c>
      <c r="AE134" s="13">
        <f t="shared" si="4"/>
        <v>0</v>
      </c>
      <c r="AF134" s="13">
        <f t="shared" si="4"/>
        <v>0</v>
      </c>
      <c r="AG134" s="13">
        <f t="shared" si="4"/>
        <v>0</v>
      </c>
      <c r="AH134" s="13">
        <f t="shared" si="4"/>
        <v>0</v>
      </c>
      <c r="AI134" s="13">
        <f t="shared" si="4"/>
        <v>0</v>
      </c>
      <c r="AJ134" s="13">
        <f t="shared" si="4"/>
        <v>0</v>
      </c>
      <c r="AK134" s="13">
        <f t="shared" si="4"/>
        <v>0</v>
      </c>
      <c r="AL134" s="13">
        <f t="shared" si="4"/>
        <v>0</v>
      </c>
      <c r="AM134" s="13">
        <f t="shared" si="4"/>
        <v>0</v>
      </c>
      <c r="AN134" s="21">
        <f t="shared" si="4"/>
        <v>0</v>
      </c>
      <c r="AO134" s="14">
        <f t="shared" si="4"/>
        <v>0</v>
      </c>
      <c r="AP134" s="13">
        <f t="shared" si="4"/>
        <v>0</v>
      </c>
      <c r="AQ134" s="13">
        <f t="shared" si="4"/>
        <v>0</v>
      </c>
      <c r="AR134" s="13">
        <f t="shared" si="4"/>
        <v>0</v>
      </c>
      <c r="AS134" s="13">
        <f t="shared" si="4"/>
        <v>0</v>
      </c>
      <c r="AT134" s="13">
        <f t="shared" si="4"/>
        <v>0</v>
      </c>
      <c r="AU134" s="13">
        <f t="shared" si="4"/>
        <v>0</v>
      </c>
      <c r="AV134" s="13">
        <f t="shared" si="4"/>
        <v>0</v>
      </c>
      <c r="AW134" s="13">
        <f t="shared" si="4"/>
        <v>0</v>
      </c>
      <c r="AX134" s="13">
        <f t="shared" si="4"/>
        <v>0</v>
      </c>
      <c r="AY134" s="13">
        <f t="shared" si="4"/>
        <v>0</v>
      </c>
      <c r="AZ134" s="21">
        <f t="shared" si="4"/>
        <v>0</v>
      </c>
      <c r="BA134" s="14">
        <f t="shared" si="4"/>
        <v>0</v>
      </c>
      <c r="BB134" s="13">
        <f t="shared" si="4"/>
        <v>0</v>
      </c>
      <c r="BC134" s="13">
        <f t="shared" si="4"/>
        <v>0</v>
      </c>
      <c r="BD134" s="13">
        <f t="shared" si="4"/>
        <v>0</v>
      </c>
      <c r="BE134" s="13">
        <f t="shared" si="4"/>
        <v>0</v>
      </c>
      <c r="BF134" s="13">
        <f t="shared" si="4"/>
        <v>0</v>
      </c>
      <c r="BG134" s="13">
        <f t="shared" si="4"/>
        <v>0</v>
      </c>
      <c r="BH134" s="13">
        <f t="shared" si="4"/>
        <v>0</v>
      </c>
      <c r="BI134" s="13">
        <f t="shared" si="4"/>
        <v>0</v>
      </c>
      <c r="BJ134" s="13">
        <f t="shared" si="4"/>
        <v>0</v>
      </c>
      <c r="BK134" s="13">
        <f t="shared" si="4"/>
        <v>0</v>
      </c>
      <c r="BL134" s="21">
        <f t="shared" si="4"/>
        <v>0</v>
      </c>
      <c r="BM134" s="14">
        <f t="shared" si="4"/>
        <v>0</v>
      </c>
      <c r="BN134" s="13">
        <f t="shared" si="4"/>
        <v>0</v>
      </c>
      <c r="BO134" s="13">
        <f t="shared" si="4"/>
        <v>0</v>
      </c>
      <c r="BP134" s="13">
        <f t="shared" si="4"/>
        <v>0</v>
      </c>
      <c r="BQ134" s="13">
        <f t="shared" si="4"/>
        <v>0</v>
      </c>
      <c r="BR134" s="13">
        <f t="shared" ref="BR134:DH134" si="5">SUM(BR3:BR129)</f>
        <v>0</v>
      </c>
      <c r="BS134" s="13">
        <f t="shared" si="5"/>
        <v>0</v>
      </c>
      <c r="BT134" s="13">
        <f t="shared" si="5"/>
        <v>0</v>
      </c>
      <c r="BU134" s="13">
        <f t="shared" si="5"/>
        <v>0</v>
      </c>
      <c r="BV134" s="13">
        <f t="shared" si="5"/>
        <v>0</v>
      </c>
      <c r="BW134" s="13">
        <f t="shared" si="5"/>
        <v>0</v>
      </c>
      <c r="BX134" s="21">
        <f t="shared" si="5"/>
        <v>0</v>
      </c>
      <c r="BY134" s="14">
        <f t="shared" si="5"/>
        <v>0</v>
      </c>
      <c r="BZ134" s="13">
        <f t="shared" si="5"/>
        <v>0</v>
      </c>
      <c r="CA134" s="13">
        <f t="shared" si="5"/>
        <v>0</v>
      </c>
      <c r="CB134" s="13">
        <f t="shared" si="5"/>
        <v>0</v>
      </c>
      <c r="CC134" s="13">
        <f t="shared" si="5"/>
        <v>0</v>
      </c>
      <c r="CD134" s="13">
        <f t="shared" si="5"/>
        <v>0</v>
      </c>
      <c r="CE134" s="13">
        <f t="shared" si="5"/>
        <v>0</v>
      </c>
      <c r="CF134" s="13">
        <f t="shared" si="5"/>
        <v>0</v>
      </c>
      <c r="CG134" s="13">
        <f t="shared" si="5"/>
        <v>0</v>
      </c>
      <c r="CH134" s="13">
        <f t="shared" si="5"/>
        <v>0</v>
      </c>
      <c r="CI134" s="13">
        <f t="shared" si="5"/>
        <v>0</v>
      </c>
      <c r="CJ134" s="21">
        <f t="shared" si="5"/>
        <v>0</v>
      </c>
      <c r="CK134" s="14">
        <f t="shared" si="5"/>
        <v>0</v>
      </c>
      <c r="CL134" s="13">
        <f t="shared" si="5"/>
        <v>0</v>
      </c>
      <c r="CM134" s="13">
        <f t="shared" si="5"/>
        <v>0</v>
      </c>
      <c r="CN134" s="13">
        <f t="shared" si="5"/>
        <v>0</v>
      </c>
      <c r="CO134" s="13">
        <f t="shared" si="5"/>
        <v>0</v>
      </c>
      <c r="CP134" s="13">
        <f t="shared" si="5"/>
        <v>0</v>
      </c>
      <c r="CQ134" s="13">
        <f t="shared" si="5"/>
        <v>0</v>
      </c>
      <c r="CR134" s="13">
        <f t="shared" si="5"/>
        <v>0</v>
      </c>
      <c r="CS134" s="13">
        <f t="shared" si="5"/>
        <v>0</v>
      </c>
      <c r="CT134" s="13">
        <f t="shared" si="5"/>
        <v>0</v>
      </c>
      <c r="CU134" s="13">
        <f t="shared" si="5"/>
        <v>0</v>
      </c>
      <c r="CV134" s="21">
        <f t="shared" si="5"/>
        <v>0</v>
      </c>
      <c r="CW134" s="14">
        <f t="shared" si="5"/>
        <v>0</v>
      </c>
      <c r="CX134" s="13">
        <f t="shared" si="5"/>
        <v>0</v>
      </c>
      <c r="CY134" s="13">
        <f t="shared" si="5"/>
        <v>0</v>
      </c>
      <c r="CZ134" s="13">
        <f t="shared" si="5"/>
        <v>0</v>
      </c>
      <c r="DA134" s="13">
        <f t="shared" si="5"/>
        <v>0</v>
      </c>
      <c r="DB134" s="13">
        <f t="shared" si="5"/>
        <v>0</v>
      </c>
      <c r="DC134" s="13">
        <f t="shared" si="5"/>
        <v>0</v>
      </c>
      <c r="DD134" s="13">
        <f t="shared" si="5"/>
        <v>0</v>
      </c>
      <c r="DE134" s="13">
        <f t="shared" si="5"/>
        <v>0</v>
      </c>
      <c r="DF134" s="13">
        <f t="shared" si="5"/>
        <v>0</v>
      </c>
      <c r="DG134" s="13">
        <f t="shared" si="5"/>
        <v>0</v>
      </c>
      <c r="DH134" s="13">
        <f t="shared" si="5"/>
        <v>0</v>
      </c>
    </row>
  </sheetData>
  <mergeCells count="9">
    <mergeCell ref="BM1:BX1"/>
    <mergeCell ref="BY1:CJ1"/>
    <mergeCell ref="CK1:CV1"/>
    <mergeCell ref="CW1:DH1"/>
    <mergeCell ref="E1:P1"/>
    <mergeCell ref="Q1:AB1"/>
    <mergeCell ref="AC1:AN1"/>
    <mergeCell ref="AO1:AZ1"/>
    <mergeCell ref="BA1:BL1"/>
  </mergeCells>
  <conditionalFormatting sqref="E3:DH129">
    <cfRule type="beginsWith" dxfId="34" priority="1" operator="beginsWith" text="S">
      <formula>LEFT(E3,LEN("S"))="S"</formula>
    </cfRule>
    <cfRule type="beginsWith" dxfId="33" priority="2" operator="beginsWith" text="x">
      <formula>LEFT(E3,LEN("x"))="x"</formula>
    </cfRule>
    <cfRule type="beginsWith" dxfId="32" priority="3" operator="beginsWith" text="V">
      <formula>LEFT(E3,LEN("V"))="V"</formula>
    </cfRule>
    <cfRule type="cellIs" dxfId="31" priority="4" operator="greaterThan">
      <formula>25</formula>
    </cfRule>
    <cfRule type="cellIs" dxfId="30" priority="11" operator="greaterThanOrEqual">
      <formula>22</formula>
    </cfRule>
  </conditionalFormatting>
  <conditionalFormatting sqref="A3:DH129">
    <cfRule type="expression" dxfId="29" priority="12">
      <formula>LEFT(INDIRECT(ADDRESS(ROW(),4,1,1)),1)="C"</formula>
    </cfRule>
    <cfRule type="expression" dxfId="28" priority="13">
      <formula>LEFT(INDIRECT(ADDRESS(ROW(),4,1,1)),1)="N"</formula>
    </cfRule>
    <cfRule type="expression" dxfId="27" priority="14">
      <formula>LEFT(INDIRECT(ADDRESS(ROW(),4,1,1)),1)="5"</formula>
    </cfRule>
    <cfRule type="expression" dxfId="26" priority="17">
      <formula>LEFT(INDIRECT(ADDRESS(ROW(),4,1,1)),1)="B"</formula>
    </cfRule>
    <cfRule type="expression" dxfId="25" priority="19">
      <formula>LEFT(INDIRECT(ADDRESS(ROW(),4,1,1)),1)="D"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H3"/>
  <sheetViews>
    <sheetView zoomScale="55" zoomScaleNormal="55" workbookViewId="0">
      <pane xSplit="4" ySplit="3" topLeftCell="BY4" activePane="bottomRight" state="frozen"/>
      <selection pane="topRight" activeCell="E1" sqref="E1"/>
      <selection pane="bottomLeft" activeCell="A3" sqref="A3"/>
      <selection pane="bottomRight" activeCell="CW2" sqref="CW2:DH2"/>
    </sheetView>
  </sheetViews>
  <sheetFormatPr defaultColWidth="9.140625" defaultRowHeight="15" x14ac:dyDescent="0.25"/>
  <cols>
    <col min="1" max="1" width="6.5703125" bestFit="1" customWidth="1"/>
    <col min="2" max="2" width="9" bestFit="1" customWidth="1"/>
    <col min="3" max="3" width="13.85546875" bestFit="1" customWidth="1"/>
    <col min="4" max="4" width="4.5703125" bestFit="1" customWidth="1"/>
    <col min="5" max="5" width="6.140625" bestFit="1" customWidth="1"/>
    <col min="6" max="6" width="6.5703125" bestFit="1" customWidth="1"/>
    <col min="7" max="7" width="6.85546875" bestFit="1" customWidth="1"/>
    <col min="8" max="8" width="6.5703125" bestFit="1" customWidth="1"/>
    <col min="9" max="9" width="7.140625" bestFit="1" customWidth="1"/>
    <col min="10" max="10" width="6.140625" bestFit="1" customWidth="1"/>
    <col min="11" max="11" width="5.5703125" bestFit="1" customWidth="1"/>
    <col min="12" max="12" width="6.85546875" bestFit="1" customWidth="1"/>
    <col min="13" max="13" width="6.5703125" bestFit="1" customWidth="1"/>
    <col min="14" max="14" width="6.42578125" bestFit="1" customWidth="1"/>
    <col min="15" max="15" width="6.85546875" bestFit="1" customWidth="1"/>
    <col min="16" max="16" width="6.5703125" bestFit="1" customWidth="1"/>
    <col min="17" max="17" width="6.140625" bestFit="1" customWidth="1"/>
    <col min="18" max="18" width="6.5703125" bestFit="1" customWidth="1"/>
    <col min="19" max="19" width="6.85546875" bestFit="1" customWidth="1"/>
    <col min="20" max="20" width="6.5703125" bestFit="1" customWidth="1"/>
    <col min="21" max="21" width="7.140625" bestFit="1" customWidth="1"/>
    <col min="22" max="22" width="6.140625" bestFit="1" customWidth="1"/>
    <col min="23" max="23" width="5.5703125" bestFit="1" customWidth="1"/>
    <col min="24" max="24" width="6.85546875" bestFit="1" customWidth="1"/>
    <col min="25" max="25" width="6.5703125" bestFit="1" customWidth="1"/>
    <col min="26" max="26" width="6.42578125" bestFit="1" customWidth="1"/>
    <col min="27" max="27" width="6.85546875" bestFit="1" customWidth="1"/>
    <col min="28" max="28" width="6.5703125" bestFit="1" customWidth="1"/>
    <col min="29" max="29" width="6.140625" bestFit="1" customWidth="1"/>
    <col min="30" max="30" width="6.5703125" bestFit="1" customWidth="1"/>
    <col min="31" max="31" width="6.85546875" bestFit="1" customWidth="1"/>
    <col min="32" max="32" width="6.5703125" bestFit="1" customWidth="1"/>
    <col min="33" max="33" width="7.140625" bestFit="1" customWidth="1"/>
    <col min="34" max="34" width="6.140625" bestFit="1" customWidth="1"/>
    <col min="35" max="35" width="5.5703125" bestFit="1" customWidth="1"/>
    <col min="36" max="36" width="6.85546875" bestFit="1" customWidth="1"/>
    <col min="37" max="37" width="6.5703125" bestFit="1" customWidth="1"/>
    <col min="38" max="38" width="6.42578125" bestFit="1" customWidth="1"/>
    <col min="39" max="39" width="6.85546875" bestFit="1" customWidth="1"/>
    <col min="40" max="40" width="6.5703125" bestFit="1" customWidth="1"/>
    <col min="41" max="41" width="6.140625" bestFit="1" customWidth="1"/>
    <col min="42" max="42" width="6.5703125" bestFit="1" customWidth="1"/>
    <col min="43" max="43" width="6.85546875" bestFit="1" customWidth="1"/>
    <col min="44" max="44" width="6.5703125" bestFit="1" customWidth="1"/>
    <col min="45" max="45" width="7.140625" bestFit="1" customWidth="1"/>
    <col min="46" max="46" width="6.140625" bestFit="1" customWidth="1"/>
    <col min="47" max="47" width="5.5703125" bestFit="1" customWidth="1"/>
    <col min="48" max="48" width="6.85546875" bestFit="1" customWidth="1"/>
    <col min="49" max="49" width="6.5703125" bestFit="1" customWidth="1"/>
    <col min="50" max="50" width="6.42578125" bestFit="1" customWidth="1"/>
    <col min="51" max="51" width="6.85546875" bestFit="1" customWidth="1"/>
    <col min="52" max="52" width="6.5703125" bestFit="1" customWidth="1"/>
    <col min="53" max="53" width="6.140625" bestFit="1" customWidth="1"/>
    <col min="54" max="54" width="6.5703125" bestFit="1" customWidth="1"/>
    <col min="55" max="55" width="6.85546875" bestFit="1" customWidth="1"/>
    <col min="56" max="56" width="6.5703125" bestFit="1" customWidth="1"/>
    <col min="57" max="57" width="7.140625" bestFit="1" customWidth="1"/>
    <col min="58" max="58" width="6.140625" bestFit="1" customWidth="1"/>
    <col min="59" max="59" width="5.5703125" bestFit="1" customWidth="1"/>
    <col min="60" max="60" width="6.85546875" bestFit="1" customWidth="1"/>
    <col min="61" max="61" width="6.5703125" bestFit="1" customWidth="1"/>
    <col min="62" max="62" width="6.42578125" bestFit="1" customWidth="1"/>
    <col min="63" max="63" width="6.85546875" bestFit="1" customWidth="1"/>
    <col min="64" max="64" width="6.5703125" bestFit="1" customWidth="1"/>
    <col min="65" max="65" width="6.140625" bestFit="1" customWidth="1"/>
    <col min="66" max="66" width="6.5703125" bestFit="1" customWidth="1"/>
    <col min="67" max="67" width="6.85546875" bestFit="1" customWidth="1"/>
    <col min="68" max="68" width="6.5703125" bestFit="1" customWidth="1"/>
    <col min="69" max="69" width="7.140625" bestFit="1" customWidth="1"/>
    <col min="70" max="70" width="6.140625" bestFit="1" customWidth="1"/>
    <col min="71" max="71" width="5.5703125" bestFit="1" customWidth="1"/>
    <col min="72" max="72" width="6.85546875" bestFit="1" customWidth="1"/>
    <col min="73" max="73" width="6.5703125" bestFit="1" customWidth="1"/>
    <col min="74" max="74" width="6.42578125" bestFit="1" customWidth="1"/>
    <col min="75" max="75" width="6.85546875" bestFit="1" customWidth="1"/>
    <col min="76" max="76" width="6.5703125" bestFit="1" customWidth="1"/>
    <col min="77" max="77" width="6.140625" bestFit="1" customWidth="1"/>
    <col min="78" max="78" width="6.5703125" bestFit="1" customWidth="1"/>
    <col min="79" max="79" width="6.85546875" bestFit="1" customWidth="1"/>
    <col min="80" max="80" width="6.5703125" bestFit="1" customWidth="1"/>
    <col min="81" max="81" width="7.140625" bestFit="1" customWidth="1"/>
    <col min="82" max="82" width="6.140625" bestFit="1" customWidth="1"/>
    <col min="83" max="83" width="5.5703125" bestFit="1" customWidth="1"/>
    <col min="84" max="84" width="6.85546875" bestFit="1" customWidth="1"/>
    <col min="85" max="85" width="6.5703125" bestFit="1" customWidth="1"/>
    <col min="86" max="86" width="6.42578125" bestFit="1" customWidth="1"/>
    <col min="87" max="87" width="6.85546875" bestFit="1" customWidth="1"/>
    <col min="88" max="88" width="6.5703125" bestFit="1" customWidth="1"/>
    <col min="89" max="89" width="6.140625" bestFit="1" customWidth="1"/>
    <col min="90" max="90" width="6.5703125" bestFit="1" customWidth="1"/>
    <col min="91" max="91" width="6.85546875" bestFit="1" customWidth="1"/>
    <col min="92" max="92" width="6.5703125" bestFit="1" customWidth="1"/>
    <col min="93" max="93" width="7.140625" bestFit="1" customWidth="1"/>
    <col min="94" max="94" width="6.140625" bestFit="1" customWidth="1"/>
    <col min="95" max="95" width="5.5703125" bestFit="1" customWidth="1"/>
    <col min="96" max="96" width="6.85546875" bestFit="1" customWidth="1"/>
    <col min="97" max="97" width="6.5703125" bestFit="1" customWidth="1"/>
    <col min="98" max="98" width="6.42578125" bestFit="1" customWidth="1"/>
    <col min="99" max="99" width="6.85546875" bestFit="1" customWidth="1"/>
    <col min="100" max="100" width="6.5703125" bestFit="1" customWidth="1"/>
    <col min="101" max="101" width="6.140625" bestFit="1" customWidth="1"/>
    <col min="102" max="102" width="6.5703125" bestFit="1" customWidth="1"/>
    <col min="103" max="103" width="6.85546875" bestFit="1" customWidth="1"/>
    <col min="104" max="104" width="6.5703125" bestFit="1" customWidth="1"/>
    <col min="105" max="105" width="7.140625" bestFit="1" customWidth="1"/>
    <col min="106" max="106" width="6.140625" bestFit="1" customWidth="1"/>
    <col min="107" max="107" width="5.5703125" bestFit="1" customWidth="1"/>
    <col min="108" max="108" width="6.85546875" bestFit="1" customWidth="1"/>
    <col min="109" max="109" width="6.5703125" bestFit="1" customWidth="1"/>
    <col min="110" max="110" width="6.42578125" bestFit="1" customWidth="1"/>
    <col min="111" max="111" width="6.85546875" bestFit="1" customWidth="1"/>
    <col min="112" max="112" width="6.5703125" customWidth="1"/>
  </cols>
  <sheetData>
    <row r="1" spans="1:112" ht="15.75" hidden="1" thickBot="1" x14ac:dyDescent="0.3">
      <c r="E1">
        <v>2</v>
      </c>
      <c r="F1">
        <v>3</v>
      </c>
      <c r="G1">
        <v>4</v>
      </c>
      <c r="H1">
        <v>5</v>
      </c>
      <c r="I1">
        <v>6</v>
      </c>
      <c r="J1">
        <v>7</v>
      </c>
      <c r="K1">
        <v>8</v>
      </c>
      <c r="L1">
        <v>9</v>
      </c>
      <c r="M1">
        <v>10</v>
      </c>
      <c r="N1">
        <v>11</v>
      </c>
      <c r="O1">
        <v>12</v>
      </c>
      <c r="P1">
        <v>13</v>
      </c>
      <c r="Q1">
        <v>14</v>
      </c>
      <c r="R1">
        <v>15</v>
      </c>
      <c r="S1">
        <v>16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  <c r="AE1">
        <v>28</v>
      </c>
      <c r="AF1">
        <v>29</v>
      </c>
      <c r="AG1">
        <v>30</v>
      </c>
      <c r="AH1">
        <v>31</v>
      </c>
      <c r="AI1">
        <v>32</v>
      </c>
      <c r="AJ1">
        <v>33</v>
      </c>
      <c r="AK1">
        <v>34</v>
      </c>
      <c r="AL1">
        <v>35</v>
      </c>
      <c r="AM1">
        <v>36</v>
      </c>
      <c r="AN1">
        <v>37</v>
      </c>
      <c r="AO1">
        <v>38</v>
      </c>
      <c r="AP1">
        <v>39</v>
      </c>
      <c r="AQ1">
        <v>40</v>
      </c>
      <c r="AR1">
        <v>41</v>
      </c>
      <c r="AS1">
        <v>42</v>
      </c>
      <c r="AT1">
        <v>43</v>
      </c>
      <c r="AU1">
        <v>44</v>
      </c>
      <c r="AV1">
        <v>45</v>
      </c>
      <c r="AW1">
        <v>46</v>
      </c>
      <c r="AX1">
        <v>47</v>
      </c>
      <c r="AY1">
        <v>48</v>
      </c>
      <c r="AZ1">
        <v>49</v>
      </c>
      <c r="BA1">
        <v>50</v>
      </c>
      <c r="BB1">
        <v>51</v>
      </c>
      <c r="BC1">
        <v>52</v>
      </c>
      <c r="BD1">
        <v>53</v>
      </c>
      <c r="BE1">
        <v>54</v>
      </c>
      <c r="BF1">
        <v>55</v>
      </c>
      <c r="BG1">
        <v>56</v>
      </c>
      <c r="BH1">
        <v>57</v>
      </c>
      <c r="BI1">
        <v>58</v>
      </c>
      <c r="BJ1">
        <v>59</v>
      </c>
      <c r="BK1">
        <v>60</v>
      </c>
      <c r="BL1">
        <v>61</v>
      </c>
      <c r="BM1">
        <v>62</v>
      </c>
      <c r="BN1">
        <v>63</v>
      </c>
      <c r="BO1">
        <v>64</v>
      </c>
      <c r="BP1">
        <v>65</v>
      </c>
      <c r="BQ1">
        <v>66</v>
      </c>
      <c r="BR1">
        <v>67</v>
      </c>
      <c r="BS1">
        <v>68</v>
      </c>
      <c r="BT1">
        <v>69</v>
      </c>
      <c r="BU1">
        <v>70</v>
      </c>
      <c r="BV1">
        <v>71</v>
      </c>
      <c r="BW1">
        <v>72</v>
      </c>
      <c r="BX1">
        <v>73</v>
      </c>
      <c r="BY1">
        <v>74</v>
      </c>
      <c r="BZ1">
        <v>75</v>
      </c>
      <c r="CA1">
        <v>76</v>
      </c>
      <c r="CB1">
        <v>77</v>
      </c>
      <c r="CC1">
        <v>78</v>
      </c>
      <c r="CD1">
        <v>79</v>
      </c>
      <c r="CE1">
        <v>80</v>
      </c>
      <c r="CF1">
        <v>81</v>
      </c>
      <c r="CG1">
        <v>82</v>
      </c>
      <c r="CH1">
        <v>83</v>
      </c>
      <c r="CI1">
        <v>84</v>
      </c>
      <c r="CJ1">
        <v>85</v>
      </c>
      <c r="CK1">
        <v>86</v>
      </c>
      <c r="CL1">
        <v>87</v>
      </c>
      <c r="CM1">
        <v>88</v>
      </c>
      <c r="CN1">
        <v>89</v>
      </c>
      <c r="CO1">
        <v>90</v>
      </c>
      <c r="CP1">
        <v>91</v>
      </c>
      <c r="CQ1">
        <v>92</v>
      </c>
      <c r="CR1">
        <v>93</v>
      </c>
      <c r="CS1">
        <v>94</v>
      </c>
      <c r="CT1">
        <v>95</v>
      </c>
      <c r="CU1">
        <v>96</v>
      </c>
      <c r="CV1">
        <v>97</v>
      </c>
      <c r="CW1">
        <v>98</v>
      </c>
      <c r="CX1">
        <v>99</v>
      </c>
      <c r="CY1">
        <v>100</v>
      </c>
      <c r="CZ1">
        <v>101</v>
      </c>
      <c r="DA1">
        <v>102</v>
      </c>
      <c r="DB1">
        <v>103</v>
      </c>
      <c r="DC1">
        <v>104</v>
      </c>
      <c r="DD1">
        <v>105</v>
      </c>
      <c r="DE1">
        <v>106</v>
      </c>
      <c r="DF1">
        <v>107</v>
      </c>
      <c r="DG1">
        <v>108</v>
      </c>
      <c r="DH1">
        <v>109</v>
      </c>
    </row>
    <row r="2" spans="1:112" ht="20.25" x14ac:dyDescent="0.25">
      <c r="A2" s="11"/>
      <c r="B2" s="11"/>
      <c r="C2" s="11"/>
      <c r="D2" s="11"/>
      <c r="E2" s="32">
        <f>YEAR(DATE(2017,1,1))</f>
        <v>2017</v>
      </c>
      <c r="F2" s="33"/>
      <c r="G2" s="33"/>
      <c r="H2" s="33"/>
      <c r="I2" s="33"/>
      <c r="J2" s="33"/>
      <c r="K2" s="33"/>
      <c r="L2" s="33"/>
      <c r="M2" s="33"/>
      <c r="N2" s="33"/>
      <c r="O2" s="33"/>
      <c r="P2" s="34"/>
      <c r="Q2" s="32">
        <f>YEAR(DATE(2017,13,1))</f>
        <v>2018</v>
      </c>
      <c r="R2" s="33"/>
      <c r="S2" s="33"/>
      <c r="T2" s="33"/>
      <c r="U2" s="33"/>
      <c r="V2" s="33"/>
      <c r="W2" s="33"/>
      <c r="X2" s="33"/>
      <c r="Y2" s="33"/>
      <c r="Z2" s="33"/>
      <c r="AA2" s="33"/>
      <c r="AB2" s="34"/>
      <c r="AC2" s="32">
        <f>YEAR(DATE(2017,25,1))</f>
        <v>2019</v>
      </c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4"/>
      <c r="AO2" s="32">
        <f>YEAR(DATE(2017,37,1))</f>
        <v>2020</v>
      </c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4"/>
      <c r="BA2" s="32">
        <f>YEAR(DATE(2017,49,1))</f>
        <v>2021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4"/>
      <c r="BM2" s="32">
        <f>YEAR(DATE(2017,61,1))</f>
        <v>2022</v>
      </c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4"/>
      <c r="BY2" s="32">
        <f>YEAR(DATE(2017,73,1))</f>
        <v>2023</v>
      </c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4"/>
      <c r="CK2" s="32">
        <f>YEAR(DATE(2017,85,1))</f>
        <v>2024</v>
      </c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2">
        <f>YEAR(DATE(2017,97,1))</f>
        <v>2025</v>
      </c>
      <c r="CX2" s="33"/>
      <c r="CY2" s="33"/>
      <c r="CZ2" s="33"/>
      <c r="DA2" s="33"/>
      <c r="DB2" s="33"/>
      <c r="DC2" s="33"/>
      <c r="DD2" s="33"/>
      <c r="DE2" s="33"/>
      <c r="DF2" s="33"/>
      <c r="DG2" s="33"/>
      <c r="DH2" s="34"/>
    </row>
    <row r="3" spans="1:112" x14ac:dyDescent="0.25">
      <c r="A3" s="7" t="s">
        <v>141</v>
      </c>
      <c r="B3" s="7" t="s">
        <v>142</v>
      </c>
      <c r="C3" s="7" t="s">
        <v>143</v>
      </c>
      <c r="D3" s="7" t="s">
        <v>144</v>
      </c>
      <c r="E3" s="8">
        <f>DATE(2017,1,1)</f>
        <v>42736</v>
      </c>
      <c r="F3" s="9">
        <f>DATE(2017,2,1)</f>
        <v>42767</v>
      </c>
      <c r="G3" s="9">
        <f>DATE(2017,3,1)</f>
        <v>42795</v>
      </c>
      <c r="H3" s="9">
        <f>DATE(2017,4,1)</f>
        <v>42826</v>
      </c>
      <c r="I3" s="9">
        <f>DATE(2017,5,1)</f>
        <v>42856</v>
      </c>
      <c r="J3" s="9">
        <f>DATE(2017,6,1)</f>
        <v>42887</v>
      </c>
      <c r="K3" s="9">
        <f>DATE(2017,7,1)</f>
        <v>42917</v>
      </c>
      <c r="L3" s="9">
        <f>DATE(2017,8,1)</f>
        <v>42948</v>
      </c>
      <c r="M3" s="9">
        <f>DATE(2017,9,1)</f>
        <v>42979</v>
      </c>
      <c r="N3" s="9">
        <f>DATE(2017,10,1)</f>
        <v>43009</v>
      </c>
      <c r="O3" s="9">
        <f>DATE(2017,11,1)</f>
        <v>43040</v>
      </c>
      <c r="P3" s="10">
        <f>DATE(2017,12,1)</f>
        <v>43070</v>
      </c>
      <c r="Q3" s="8">
        <f>DATE(2017,13,1)</f>
        <v>43101</v>
      </c>
      <c r="R3" s="9">
        <f>DATE(2017,14,1)</f>
        <v>43132</v>
      </c>
      <c r="S3" s="9">
        <f>DATE(2017,15,1)</f>
        <v>43160</v>
      </c>
      <c r="T3" s="9">
        <f>DATE(2017,16,1)</f>
        <v>43191</v>
      </c>
      <c r="U3" s="9">
        <f>DATE(2017,17,1)</f>
        <v>43221</v>
      </c>
      <c r="V3" s="9">
        <f>DATE(2017,18,1)</f>
        <v>43252</v>
      </c>
      <c r="W3" s="9">
        <f>DATE(2017,19,1)</f>
        <v>43282</v>
      </c>
      <c r="X3" s="9">
        <f>DATE(2017,20,1)</f>
        <v>43313</v>
      </c>
      <c r="Y3" s="9">
        <f>DATE(2017,21,1)</f>
        <v>43344</v>
      </c>
      <c r="Z3" s="9">
        <f>DATE(2017,22,1)</f>
        <v>43374</v>
      </c>
      <c r="AA3" s="9">
        <f>DATE(2017,23,1)</f>
        <v>43405</v>
      </c>
      <c r="AB3" s="10">
        <f>DATE(2017,24,1)</f>
        <v>43435</v>
      </c>
      <c r="AC3" s="8">
        <f>DATE(2017,25,1)</f>
        <v>43466</v>
      </c>
      <c r="AD3" s="9">
        <f>DATE(2017,26,1)</f>
        <v>43497</v>
      </c>
      <c r="AE3" s="9">
        <f>DATE(2017,27,1)</f>
        <v>43525</v>
      </c>
      <c r="AF3" s="9">
        <f>DATE(2017,28,1)</f>
        <v>43556</v>
      </c>
      <c r="AG3" s="9">
        <f>DATE(2017,29,1)</f>
        <v>43586</v>
      </c>
      <c r="AH3" s="9">
        <f>DATE(2017,30,1)</f>
        <v>43617</v>
      </c>
      <c r="AI3" s="9">
        <f>DATE(2017,31,1)</f>
        <v>43647</v>
      </c>
      <c r="AJ3" s="9">
        <f>DATE(2017,32,1)</f>
        <v>43678</v>
      </c>
      <c r="AK3" s="9">
        <f>DATE(2017,33,1)</f>
        <v>43709</v>
      </c>
      <c r="AL3" s="9">
        <f>DATE(2017,34,1)</f>
        <v>43739</v>
      </c>
      <c r="AM3" s="9">
        <f>DATE(2017,35,1)</f>
        <v>43770</v>
      </c>
      <c r="AN3" s="10">
        <f>DATE(2017,36,1)</f>
        <v>43800</v>
      </c>
      <c r="AO3" s="8">
        <f>DATE(2017,37,1)</f>
        <v>43831</v>
      </c>
      <c r="AP3" s="9">
        <f>DATE(2017,38,1)</f>
        <v>43862</v>
      </c>
      <c r="AQ3" s="9">
        <f>DATE(2017,39,1)</f>
        <v>43891</v>
      </c>
      <c r="AR3" s="9">
        <f>DATE(2017,40,1)</f>
        <v>43922</v>
      </c>
      <c r="AS3" s="9">
        <f>DATE(2017,41,1)</f>
        <v>43952</v>
      </c>
      <c r="AT3" s="9">
        <f>DATE(2017,42,1)</f>
        <v>43983</v>
      </c>
      <c r="AU3" s="9">
        <f>DATE(2017,43,1)</f>
        <v>44013</v>
      </c>
      <c r="AV3" s="9">
        <f>DATE(2017,44,1)</f>
        <v>44044</v>
      </c>
      <c r="AW3" s="9">
        <f>DATE(2017,45,1)</f>
        <v>44075</v>
      </c>
      <c r="AX3" s="9">
        <f>DATE(2017,46,1)</f>
        <v>44105</v>
      </c>
      <c r="AY3" s="9">
        <f>DATE(2017,47,1)</f>
        <v>44136</v>
      </c>
      <c r="AZ3" s="10">
        <f>DATE(2017,48,1)</f>
        <v>44166</v>
      </c>
      <c r="BA3" s="8">
        <f>DATE(2017,49,1)</f>
        <v>44197</v>
      </c>
      <c r="BB3" s="9">
        <f>DATE(2017,50,1)</f>
        <v>44228</v>
      </c>
      <c r="BC3" s="9">
        <f>DATE(2017,51,1)</f>
        <v>44256</v>
      </c>
      <c r="BD3" s="9">
        <f>DATE(2017,52,1)</f>
        <v>44287</v>
      </c>
      <c r="BE3" s="9">
        <f>DATE(2017,53,1)</f>
        <v>44317</v>
      </c>
      <c r="BF3" s="9">
        <f>DATE(2017,54,1)</f>
        <v>44348</v>
      </c>
      <c r="BG3" s="9">
        <f>DATE(2017,55,1)</f>
        <v>44378</v>
      </c>
      <c r="BH3" s="9">
        <f>DATE(2017,56,1)</f>
        <v>44409</v>
      </c>
      <c r="BI3" s="9">
        <f>DATE(2017,57,1)</f>
        <v>44440</v>
      </c>
      <c r="BJ3" s="9">
        <f>DATE(2017,58,1)</f>
        <v>44470</v>
      </c>
      <c r="BK3" s="9">
        <f>DATE(2017,59,1)</f>
        <v>44501</v>
      </c>
      <c r="BL3" s="10">
        <f>DATE(2017,60,1)</f>
        <v>44531</v>
      </c>
      <c r="BM3" s="8">
        <f>DATE(2017,61,1)</f>
        <v>44562</v>
      </c>
      <c r="BN3" s="9">
        <f>DATE(2017,62,1)</f>
        <v>44593</v>
      </c>
      <c r="BO3" s="9">
        <f>DATE(2017,63,1)</f>
        <v>44621</v>
      </c>
      <c r="BP3" s="9">
        <f>DATE(2017,64,1)</f>
        <v>44652</v>
      </c>
      <c r="BQ3" s="9">
        <f>DATE(2017,65,1)</f>
        <v>44682</v>
      </c>
      <c r="BR3" s="9">
        <f>DATE(2017,66,1)</f>
        <v>44713</v>
      </c>
      <c r="BS3" s="9">
        <f>DATE(2017,67,1)</f>
        <v>44743</v>
      </c>
      <c r="BT3" s="9">
        <f>DATE(2017,68,1)</f>
        <v>44774</v>
      </c>
      <c r="BU3" s="9">
        <f>DATE(2017,69,1)</f>
        <v>44805</v>
      </c>
      <c r="BV3" s="9">
        <f>DATE(2017,70,1)</f>
        <v>44835</v>
      </c>
      <c r="BW3" s="9">
        <f>DATE(2017,71,1)</f>
        <v>44866</v>
      </c>
      <c r="BX3" s="10">
        <f>DATE(2017,72,1)</f>
        <v>44896</v>
      </c>
      <c r="BY3" s="8">
        <f>DATE(2017,73,1)</f>
        <v>44927</v>
      </c>
      <c r="BZ3" s="9">
        <f>DATE(2017,74,1)</f>
        <v>44958</v>
      </c>
      <c r="CA3" s="9">
        <f>DATE(2017,75,1)</f>
        <v>44986</v>
      </c>
      <c r="CB3" s="9">
        <f>DATE(2017,76,1)</f>
        <v>45017</v>
      </c>
      <c r="CC3" s="9">
        <f>DATE(2017,77,1)</f>
        <v>45047</v>
      </c>
      <c r="CD3" s="9">
        <f>DATE(2017,78,1)</f>
        <v>45078</v>
      </c>
      <c r="CE3" s="9">
        <f>DATE(2017,79,1)</f>
        <v>45108</v>
      </c>
      <c r="CF3" s="9">
        <f>DATE(2017,80,1)</f>
        <v>45139</v>
      </c>
      <c r="CG3" s="9">
        <f>DATE(2017,81,1)</f>
        <v>45170</v>
      </c>
      <c r="CH3" s="9">
        <f>DATE(2017,82,1)</f>
        <v>45200</v>
      </c>
      <c r="CI3" s="9">
        <f>DATE(2017,83,1)</f>
        <v>45231</v>
      </c>
      <c r="CJ3" s="10">
        <f>DATE(2017,84,1)</f>
        <v>45261</v>
      </c>
      <c r="CK3" s="8">
        <f>DATE(2017,85,1)</f>
        <v>45292</v>
      </c>
      <c r="CL3" s="9">
        <f>DATE(2017,86,1)</f>
        <v>45323</v>
      </c>
      <c r="CM3" s="9">
        <f>DATE(2017,87,1)</f>
        <v>45352</v>
      </c>
      <c r="CN3" s="9">
        <f>DATE(2017,88,1)</f>
        <v>45383</v>
      </c>
      <c r="CO3" s="9">
        <f>DATE(2017,89,1)</f>
        <v>45413</v>
      </c>
      <c r="CP3" s="9">
        <f>DATE(2017,90,1)</f>
        <v>45444</v>
      </c>
      <c r="CQ3" s="9">
        <f>DATE(2017,91,1)</f>
        <v>45474</v>
      </c>
      <c r="CR3" s="9">
        <f>DATE(2017,92,1)</f>
        <v>45505</v>
      </c>
      <c r="CS3" s="9">
        <f>DATE(2017,93,1)</f>
        <v>45536</v>
      </c>
      <c r="CT3" s="9">
        <f>DATE(2017,94,1)</f>
        <v>45566</v>
      </c>
      <c r="CU3" s="9">
        <f>DATE(2017,95,1)</f>
        <v>45597</v>
      </c>
      <c r="CV3" s="10">
        <f>DATE(2017,96,1)</f>
        <v>45627</v>
      </c>
      <c r="CW3" s="8">
        <f>DATE(2017,97,1)</f>
        <v>45658</v>
      </c>
      <c r="CX3" s="9">
        <f>DATE(2017,98,1)</f>
        <v>45689</v>
      </c>
      <c r="CY3" s="9">
        <f>DATE(2017,99,1)</f>
        <v>45717</v>
      </c>
      <c r="CZ3" s="9">
        <f>DATE(2017,100,1)</f>
        <v>45748</v>
      </c>
      <c r="DA3" s="9">
        <f>DATE(2017,101,1)</f>
        <v>45778</v>
      </c>
      <c r="DB3" s="9">
        <f>DATE(2017,102,1)</f>
        <v>45809</v>
      </c>
      <c r="DC3" s="9">
        <f>DATE(2017,103,1)</f>
        <v>45839</v>
      </c>
      <c r="DD3" s="9">
        <f>DATE(2017,104,1)</f>
        <v>45870</v>
      </c>
      <c r="DE3" s="9">
        <f>DATE(2017,105,1)</f>
        <v>45901</v>
      </c>
      <c r="DF3" s="9">
        <f>DATE(2017,106,1)</f>
        <v>45931</v>
      </c>
      <c r="DG3" s="9">
        <f>DATE(2017,107,1)</f>
        <v>45962</v>
      </c>
      <c r="DH3" s="10">
        <f>DATE(2017,108,1)</f>
        <v>45992</v>
      </c>
    </row>
  </sheetData>
  <mergeCells count="9">
    <mergeCell ref="BY2:CJ2"/>
    <mergeCell ref="CK2:CV2"/>
    <mergeCell ref="CW2:DH2"/>
    <mergeCell ref="E2:P2"/>
    <mergeCell ref="Q2:AB2"/>
    <mergeCell ref="AC2:AN2"/>
    <mergeCell ref="AO2:AZ2"/>
    <mergeCell ref="BA2:BL2"/>
    <mergeCell ref="BM2:BX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J11"/>
  <sheetViews>
    <sheetView zoomScale="55" zoomScaleNormal="55" workbookViewId="0">
      <pane xSplit="6" ySplit="3" topLeftCell="CM4" activePane="bottomRight" state="frozen"/>
      <selection pane="topRight" activeCell="E1" sqref="E1"/>
      <selection pane="bottomLeft" activeCell="A3" sqref="A3"/>
      <selection pane="bottomRight" activeCell="CY2" sqref="CY2:DJ2"/>
    </sheetView>
  </sheetViews>
  <sheetFormatPr defaultColWidth="9.140625" defaultRowHeight="15" x14ac:dyDescent="0.25"/>
  <cols>
    <col min="1" max="1" width="6.5703125" customWidth="1"/>
    <col min="2" max="2" width="11.5703125" customWidth="1"/>
    <col min="3" max="3" width="16.7109375" customWidth="1"/>
    <col min="4" max="4" width="9" customWidth="1"/>
    <col min="5" max="5" width="13.85546875" customWidth="1"/>
    <col min="6" max="6" width="8.42578125" customWidth="1"/>
    <col min="7" max="7" width="6.140625" bestFit="1" customWidth="1"/>
    <col min="8" max="8" width="6.5703125" customWidth="1"/>
    <col min="9" max="9" width="6.85546875" customWidth="1"/>
    <col min="10" max="10" width="6.5703125" customWidth="1"/>
    <col min="11" max="11" width="7.140625" customWidth="1"/>
    <col min="12" max="12" width="6.140625" customWidth="1"/>
    <col min="13" max="13" width="5.5703125" customWidth="1"/>
    <col min="14" max="14" width="6.85546875" customWidth="1"/>
    <col min="15" max="15" width="6.5703125" customWidth="1"/>
    <col min="16" max="16" width="6.42578125" customWidth="1"/>
    <col min="17" max="17" width="6.85546875" customWidth="1"/>
    <col min="18" max="18" width="6.5703125" customWidth="1"/>
    <col min="19" max="19" width="6.140625" customWidth="1"/>
    <col min="20" max="20" width="6.5703125" customWidth="1"/>
    <col min="21" max="21" width="6.85546875" customWidth="1"/>
    <col min="22" max="22" width="6.5703125" customWidth="1"/>
    <col min="23" max="23" width="7.140625" customWidth="1"/>
    <col min="24" max="24" width="6.140625" customWidth="1"/>
    <col min="25" max="25" width="5.85546875" customWidth="1"/>
    <col min="26" max="26" width="6.85546875" customWidth="1"/>
    <col min="27" max="27" width="6.5703125" customWidth="1"/>
    <col min="28" max="28" width="6.42578125" customWidth="1"/>
    <col min="29" max="29" width="6.85546875" customWidth="1"/>
    <col min="30" max="30" width="6.5703125" customWidth="1"/>
    <col min="31" max="31" width="6.140625" customWidth="1"/>
    <col min="32" max="32" width="6.5703125" customWidth="1"/>
    <col min="33" max="33" width="6.85546875" customWidth="1"/>
    <col min="34" max="34" width="6.5703125" customWidth="1"/>
    <col min="35" max="35" width="7.140625" customWidth="1"/>
    <col min="36" max="36" width="6.140625" customWidth="1"/>
    <col min="37" max="37" width="5.5703125" customWidth="1"/>
    <col min="38" max="38" width="6.85546875" customWidth="1"/>
    <col min="39" max="39" width="6.5703125" customWidth="1"/>
    <col min="40" max="40" width="6.42578125" customWidth="1"/>
    <col min="41" max="41" width="6.85546875" customWidth="1"/>
    <col min="42" max="42" width="6.5703125" customWidth="1"/>
    <col min="43" max="43" width="6.140625" customWidth="1"/>
    <col min="44" max="44" width="6.5703125" customWidth="1"/>
    <col min="45" max="45" width="6.85546875" customWidth="1"/>
    <col min="46" max="46" width="6.5703125" customWidth="1"/>
    <col min="47" max="47" width="7.140625" customWidth="1"/>
    <col min="48" max="48" width="6.140625" customWidth="1"/>
    <col min="49" max="49" width="5.5703125" customWidth="1"/>
    <col min="50" max="50" width="6.85546875" customWidth="1"/>
    <col min="51" max="51" width="6.5703125" customWidth="1"/>
    <col min="52" max="52" width="6.42578125" customWidth="1"/>
    <col min="53" max="53" width="6.85546875" customWidth="1"/>
    <col min="54" max="54" width="6.5703125" customWidth="1"/>
    <col min="55" max="55" width="6.140625" customWidth="1"/>
    <col min="56" max="56" width="6.5703125" customWidth="1"/>
    <col min="57" max="57" width="6.85546875" customWidth="1"/>
    <col min="58" max="58" width="6.5703125" customWidth="1"/>
    <col min="59" max="59" width="7.140625" customWidth="1"/>
    <col min="60" max="60" width="6.140625" customWidth="1"/>
    <col min="61" max="61" width="5.5703125" customWidth="1"/>
    <col min="62" max="62" width="6.85546875" customWidth="1"/>
    <col min="63" max="63" width="6.5703125" customWidth="1"/>
    <col min="64" max="64" width="6.42578125" customWidth="1"/>
    <col min="65" max="65" width="6.85546875" customWidth="1"/>
    <col min="66" max="66" width="6.5703125" customWidth="1"/>
    <col min="67" max="67" width="6.140625" customWidth="1"/>
    <col min="68" max="68" width="6.5703125" customWidth="1"/>
    <col min="69" max="69" width="6.85546875" customWidth="1"/>
    <col min="70" max="70" width="6.5703125" customWidth="1"/>
    <col min="71" max="71" width="7.140625" customWidth="1"/>
    <col min="72" max="72" width="6.140625" customWidth="1"/>
    <col min="73" max="73" width="5.5703125" customWidth="1"/>
    <col min="74" max="74" width="6.85546875" customWidth="1"/>
    <col min="75" max="75" width="6.5703125" customWidth="1"/>
    <col min="76" max="76" width="6.42578125" customWidth="1"/>
    <col min="77" max="77" width="6.85546875" customWidth="1"/>
    <col min="78" max="78" width="6.5703125" customWidth="1"/>
    <col min="79" max="79" width="6.140625" customWidth="1"/>
    <col min="80" max="80" width="6.5703125" customWidth="1"/>
    <col min="81" max="81" width="6.85546875" customWidth="1"/>
    <col min="82" max="82" width="6.5703125" customWidth="1"/>
    <col min="83" max="83" width="7.140625" customWidth="1"/>
    <col min="84" max="84" width="6.140625" customWidth="1"/>
    <col min="85" max="85" width="5.5703125" customWidth="1"/>
    <col min="86" max="86" width="6.85546875" customWidth="1"/>
    <col min="87" max="87" width="6.5703125" customWidth="1"/>
    <col min="88" max="88" width="6.42578125" customWidth="1"/>
    <col min="89" max="89" width="6.85546875" customWidth="1"/>
    <col min="90" max="90" width="6.5703125" customWidth="1"/>
    <col min="91" max="91" width="6.140625" customWidth="1"/>
    <col min="92" max="92" width="6.5703125" customWidth="1"/>
    <col min="93" max="93" width="6.85546875" customWidth="1"/>
    <col min="94" max="94" width="6.5703125" customWidth="1"/>
    <col min="95" max="95" width="7.140625" customWidth="1"/>
    <col min="96" max="96" width="6.140625" customWidth="1"/>
    <col min="97" max="97" width="5.5703125" customWidth="1"/>
    <col min="98" max="98" width="6.85546875" customWidth="1"/>
    <col min="99" max="99" width="6.5703125" customWidth="1"/>
    <col min="100" max="100" width="6.42578125" customWidth="1"/>
    <col min="101" max="101" width="6.85546875" customWidth="1"/>
    <col min="102" max="102" width="6.5703125" customWidth="1"/>
    <col min="103" max="103" width="6.140625" customWidth="1"/>
    <col min="104" max="104" width="6.5703125" customWidth="1"/>
    <col min="105" max="105" width="6.85546875" customWidth="1"/>
    <col min="106" max="106" width="6.5703125" customWidth="1"/>
    <col min="107" max="107" width="7.140625" customWidth="1"/>
    <col min="108" max="108" width="6.140625" customWidth="1"/>
    <col min="109" max="109" width="5.5703125" customWidth="1"/>
    <col min="110" max="110" width="6.85546875" customWidth="1"/>
    <col min="111" max="111" width="6.5703125" customWidth="1"/>
    <col min="112" max="112" width="6.42578125" customWidth="1"/>
    <col min="113" max="113" width="6.85546875" customWidth="1"/>
    <col min="114" max="114" width="6.5703125" customWidth="1"/>
  </cols>
  <sheetData>
    <row r="1" spans="1:114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</row>
    <row r="2" spans="1:114" ht="20.25" x14ac:dyDescent="0.25">
      <c r="A2" s="11"/>
      <c r="B2" s="11"/>
      <c r="C2" s="11"/>
      <c r="D2" s="11"/>
      <c r="E2" s="11"/>
      <c r="F2" s="11"/>
      <c r="G2" s="32">
        <f>YEAR(DATE(2017,1,1))</f>
        <v>2017</v>
      </c>
      <c r="H2" s="33"/>
      <c r="I2" s="33"/>
      <c r="J2" s="33"/>
      <c r="K2" s="33"/>
      <c r="L2" s="33"/>
      <c r="M2" s="33"/>
      <c r="N2" s="33"/>
      <c r="O2" s="33"/>
      <c r="P2" s="33"/>
      <c r="Q2" s="33"/>
      <c r="R2" s="34"/>
      <c r="S2" s="32">
        <f>YEAR(DATE(2017,13,1))</f>
        <v>2018</v>
      </c>
      <c r="T2" s="33"/>
      <c r="U2" s="33"/>
      <c r="V2" s="33"/>
      <c r="W2" s="33"/>
      <c r="X2" s="33"/>
      <c r="Y2" s="33"/>
      <c r="Z2" s="33"/>
      <c r="AA2" s="33"/>
      <c r="AB2" s="33"/>
      <c r="AC2" s="33"/>
      <c r="AD2" s="34"/>
      <c r="AE2" s="32">
        <f>YEAR(DATE(2017,25,1))</f>
        <v>2019</v>
      </c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4"/>
      <c r="AQ2" s="32">
        <f>YEAR(DATE(2017,37,1))</f>
        <v>2020</v>
      </c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4"/>
      <c r="BC2" s="32">
        <f>YEAR(DATE(2017,49,1))</f>
        <v>2021</v>
      </c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2">
        <f>YEAR(DATE(2017,61,1))</f>
        <v>2022</v>
      </c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4"/>
      <c r="CA2" s="32">
        <f>YEAR(DATE(2017,73,1))</f>
        <v>2023</v>
      </c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4"/>
      <c r="CM2" s="32">
        <f>YEAR(DATE(2017,85,1))</f>
        <v>2024</v>
      </c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4"/>
      <c r="CY2" s="32">
        <f>YEAR(DATE(2017,97,1))</f>
        <v>2025</v>
      </c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4"/>
    </row>
    <row r="3" spans="1:114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DATE(2017,1,1)</f>
        <v>42736</v>
      </c>
      <c r="H3" s="9">
        <f>DATE(2017,2,1)</f>
        <v>42767</v>
      </c>
      <c r="I3" s="9">
        <f>DATE(2017,3,1)</f>
        <v>42795</v>
      </c>
      <c r="J3" s="9">
        <f>DATE(2017,4,1)</f>
        <v>42826</v>
      </c>
      <c r="K3" s="9">
        <f>DATE(2017,5,1)</f>
        <v>42856</v>
      </c>
      <c r="L3" s="9">
        <f>DATE(2017,6,1)</f>
        <v>42887</v>
      </c>
      <c r="M3" s="9">
        <f>DATE(2017,7,1)</f>
        <v>42917</v>
      </c>
      <c r="N3" s="9">
        <f>DATE(2017,8,1)</f>
        <v>42948</v>
      </c>
      <c r="O3" s="9">
        <f>DATE(2017,9,1)</f>
        <v>42979</v>
      </c>
      <c r="P3" s="9">
        <f>DATE(2017,10,1)</f>
        <v>43009</v>
      </c>
      <c r="Q3" s="9">
        <f>DATE(2017,11,1)</f>
        <v>43040</v>
      </c>
      <c r="R3" s="10">
        <f>DATE(2017,12,1)</f>
        <v>43070</v>
      </c>
      <c r="S3" s="8">
        <f>DATE(2017,13,1)</f>
        <v>43101</v>
      </c>
      <c r="T3" s="9">
        <f>DATE(2017,14,1)</f>
        <v>43132</v>
      </c>
      <c r="U3" s="9">
        <f>DATE(2017,15,1)</f>
        <v>43160</v>
      </c>
      <c r="V3" s="9">
        <f>DATE(2017,16,1)</f>
        <v>43191</v>
      </c>
      <c r="W3" s="9">
        <f>DATE(2017,17,1)</f>
        <v>43221</v>
      </c>
      <c r="X3" s="9">
        <f>DATE(2017,18,1)</f>
        <v>43252</v>
      </c>
      <c r="Y3" s="9">
        <f>DATE(2017,19,1)</f>
        <v>43282</v>
      </c>
      <c r="Z3" s="9">
        <f>DATE(2017,20,1)</f>
        <v>43313</v>
      </c>
      <c r="AA3" s="9">
        <f>DATE(2017,21,1)</f>
        <v>43344</v>
      </c>
      <c r="AB3" s="9">
        <f>DATE(2017,22,1)</f>
        <v>43374</v>
      </c>
      <c r="AC3" s="9">
        <f>DATE(2017,23,1)</f>
        <v>43405</v>
      </c>
      <c r="AD3" s="10">
        <f>DATE(2017,24,1)</f>
        <v>43435</v>
      </c>
      <c r="AE3" s="8">
        <f>DATE(2017,25,1)</f>
        <v>43466</v>
      </c>
      <c r="AF3" s="9">
        <f>DATE(2017,26,1)</f>
        <v>43497</v>
      </c>
      <c r="AG3" s="9">
        <f>DATE(2017,27,1)</f>
        <v>43525</v>
      </c>
      <c r="AH3" s="9">
        <f>DATE(2017,28,1)</f>
        <v>43556</v>
      </c>
      <c r="AI3" s="9">
        <f>DATE(2017,29,1)</f>
        <v>43586</v>
      </c>
      <c r="AJ3" s="9">
        <f>DATE(2017,30,1)</f>
        <v>43617</v>
      </c>
      <c r="AK3" s="9">
        <f>DATE(2017,31,1)</f>
        <v>43647</v>
      </c>
      <c r="AL3" s="9">
        <f>DATE(2017,32,1)</f>
        <v>43678</v>
      </c>
      <c r="AM3" s="9">
        <f>DATE(2017,33,1)</f>
        <v>43709</v>
      </c>
      <c r="AN3" s="9">
        <f>DATE(2017,34,1)</f>
        <v>43739</v>
      </c>
      <c r="AO3" s="9">
        <f>DATE(2017,35,1)</f>
        <v>43770</v>
      </c>
      <c r="AP3" s="10">
        <f>DATE(2017,36,1)</f>
        <v>43800</v>
      </c>
      <c r="AQ3" s="8">
        <f>DATE(2017,37,1)</f>
        <v>43831</v>
      </c>
      <c r="AR3" s="9">
        <f>DATE(2017,38,1)</f>
        <v>43862</v>
      </c>
      <c r="AS3" s="9">
        <f>DATE(2017,39,1)</f>
        <v>43891</v>
      </c>
      <c r="AT3" s="9">
        <f>DATE(2017,40,1)</f>
        <v>43922</v>
      </c>
      <c r="AU3" s="9">
        <f>DATE(2017,41,1)</f>
        <v>43952</v>
      </c>
      <c r="AV3" s="9">
        <f>DATE(2017,42,1)</f>
        <v>43983</v>
      </c>
      <c r="AW3" s="9">
        <f>DATE(2017,43,1)</f>
        <v>44013</v>
      </c>
      <c r="AX3" s="9">
        <f>DATE(2017,44,1)</f>
        <v>44044</v>
      </c>
      <c r="AY3" s="9">
        <f>DATE(2017,45,1)</f>
        <v>44075</v>
      </c>
      <c r="AZ3" s="9">
        <f>DATE(2017,46,1)</f>
        <v>44105</v>
      </c>
      <c r="BA3" s="9">
        <f>DATE(2017,47,1)</f>
        <v>44136</v>
      </c>
      <c r="BB3" s="10">
        <f>DATE(2017,48,1)</f>
        <v>44166</v>
      </c>
      <c r="BC3" s="8">
        <f>DATE(2017,49,1)</f>
        <v>44197</v>
      </c>
      <c r="BD3" s="9">
        <f>DATE(2017,50,1)</f>
        <v>44228</v>
      </c>
      <c r="BE3" s="9">
        <f>DATE(2017,51,1)</f>
        <v>44256</v>
      </c>
      <c r="BF3" s="9">
        <f>DATE(2017,52,1)</f>
        <v>44287</v>
      </c>
      <c r="BG3" s="9">
        <f>DATE(2017,53,1)</f>
        <v>44317</v>
      </c>
      <c r="BH3" s="9">
        <f>DATE(2017,54,1)</f>
        <v>44348</v>
      </c>
      <c r="BI3" s="9">
        <f>DATE(2017,55,1)</f>
        <v>44378</v>
      </c>
      <c r="BJ3" s="9">
        <f>DATE(2017,56,1)</f>
        <v>44409</v>
      </c>
      <c r="BK3" s="9">
        <f>DATE(2017,57,1)</f>
        <v>44440</v>
      </c>
      <c r="BL3" s="9">
        <f>DATE(2017,58,1)</f>
        <v>44470</v>
      </c>
      <c r="BM3" s="9">
        <f>DATE(2017,59,1)</f>
        <v>44501</v>
      </c>
      <c r="BN3" s="10">
        <f>DATE(2017,60,1)</f>
        <v>44531</v>
      </c>
      <c r="BO3" s="8">
        <f>DATE(2017,61,1)</f>
        <v>44562</v>
      </c>
      <c r="BP3" s="9">
        <f>DATE(2017,62,1)</f>
        <v>44593</v>
      </c>
      <c r="BQ3" s="9">
        <f>DATE(2017,63,1)</f>
        <v>44621</v>
      </c>
      <c r="BR3" s="9">
        <f>DATE(2017,64,1)</f>
        <v>44652</v>
      </c>
      <c r="BS3" s="9">
        <f>DATE(2017,65,1)</f>
        <v>44682</v>
      </c>
      <c r="BT3" s="9">
        <f>DATE(2017,66,1)</f>
        <v>44713</v>
      </c>
      <c r="BU3" s="9">
        <f>DATE(2017,67,1)</f>
        <v>44743</v>
      </c>
      <c r="BV3" s="9">
        <f>DATE(2017,68,1)</f>
        <v>44774</v>
      </c>
      <c r="BW3" s="9">
        <f>DATE(2017,69,1)</f>
        <v>44805</v>
      </c>
      <c r="BX3" s="9">
        <f>DATE(2017,70,1)</f>
        <v>44835</v>
      </c>
      <c r="BY3" s="9">
        <f>DATE(2017,71,1)</f>
        <v>44866</v>
      </c>
      <c r="BZ3" s="10">
        <f>DATE(2017,72,1)</f>
        <v>44896</v>
      </c>
      <c r="CA3" s="8">
        <f>DATE(2017,73,1)</f>
        <v>44927</v>
      </c>
      <c r="CB3" s="9">
        <f>DATE(2017,74,1)</f>
        <v>44958</v>
      </c>
      <c r="CC3" s="9">
        <f>DATE(2017,75,1)</f>
        <v>44986</v>
      </c>
      <c r="CD3" s="9">
        <f>DATE(2017,76,1)</f>
        <v>45017</v>
      </c>
      <c r="CE3" s="9">
        <f>DATE(2017,77,1)</f>
        <v>45047</v>
      </c>
      <c r="CF3" s="9">
        <f>DATE(2017,78,1)</f>
        <v>45078</v>
      </c>
      <c r="CG3" s="9">
        <f>DATE(2017,79,1)</f>
        <v>45108</v>
      </c>
      <c r="CH3" s="9">
        <f>DATE(2017,80,1)</f>
        <v>45139</v>
      </c>
      <c r="CI3" s="9">
        <f>DATE(2017,81,1)</f>
        <v>45170</v>
      </c>
      <c r="CJ3" s="9">
        <f>DATE(2017,82,1)</f>
        <v>45200</v>
      </c>
      <c r="CK3" s="9">
        <f>DATE(2017,83,1)</f>
        <v>45231</v>
      </c>
      <c r="CL3" s="10">
        <f>DATE(2017,84,1)</f>
        <v>45261</v>
      </c>
      <c r="CM3" s="8">
        <f>DATE(2017,85,1)</f>
        <v>45292</v>
      </c>
      <c r="CN3" s="9">
        <f>DATE(2017,86,1)</f>
        <v>45323</v>
      </c>
      <c r="CO3" s="9">
        <f>DATE(2017,87,1)</f>
        <v>45352</v>
      </c>
      <c r="CP3" s="9">
        <f>DATE(2017,88,1)</f>
        <v>45383</v>
      </c>
      <c r="CQ3" s="9">
        <f>DATE(2017,89,1)</f>
        <v>45413</v>
      </c>
      <c r="CR3" s="9">
        <f>DATE(2017,90,1)</f>
        <v>45444</v>
      </c>
      <c r="CS3" s="9">
        <f>DATE(2017,91,1)</f>
        <v>45474</v>
      </c>
      <c r="CT3" s="9">
        <f>DATE(2017,92,1)</f>
        <v>45505</v>
      </c>
      <c r="CU3" s="9">
        <f>DATE(2017,93,1)</f>
        <v>45536</v>
      </c>
      <c r="CV3" s="9">
        <f>DATE(2017,94,1)</f>
        <v>45566</v>
      </c>
      <c r="CW3" s="9">
        <f>DATE(2017,95,1)</f>
        <v>45597</v>
      </c>
      <c r="CX3" s="10">
        <f>DATE(2017,96,1)</f>
        <v>45627</v>
      </c>
      <c r="CY3" s="8">
        <f>DATE(2017,97,1)</f>
        <v>45658</v>
      </c>
      <c r="CZ3" s="9">
        <f>DATE(2017,98,1)</f>
        <v>45689</v>
      </c>
      <c r="DA3" s="9">
        <f>DATE(2017,99,1)</f>
        <v>45717</v>
      </c>
      <c r="DB3" s="9">
        <f>DATE(2017,100,1)</f>
        <v>45748</v>
      </c>
      <c r="DC3" s="9">
        <f>DATE(2017,101,1)</f>
        <v>45778</v>
      </c>
      <c r="DD3" s="9">
        <f>DATE(2017,102,1)</f>
        <v>45809</v>
      </c>
      <c r="DE3" s="9">
        <f>DATE(2017,103,1)</f>
        <v>45839</v>
      </c>
      <c r="DF3" s="9">
        <f>DATE(2017,104,1)</f>
        <v>45870</v>
      </c>
      <c r="DG3" s="9">
        <f>DATE(2017,105,1)</f>
        <v>45901</v>
      </c>
      <c r="DH3" s="9">
        <f>DATE(2017,106,1)</f>
        <v>45931</v>
      </c>
      <c r="DI3" s="9">
        <f>DATE(2017,107,1)</f>
        <v>45962</v>
      </c>
      <c r="DJ3" s="10">
        <f>DATE(2017,108,1)</f>
        <v>45992</v>
      </c>
    </row>
    <row r="4" spans="1:114" x14ac:dyDescent="0.25">
      <c r="A4" s="13"/>
      <c r="B4" s="13"/>
      <c r="C4" s="13"/>
      <c r="D4" s="13"/>
      <c r="E4" s="13"/>
      <c r="F4" s="17" t="s">
        <v>80</v>
      </c>
      <c r="G4" s="14">
        <f>IFERROR(VLOOKUP($F4,'Visu totale'!$D$3:$DH$129,G$1,0),0)</f>
        <v>0</v>
      </c>
      <c r="H4" s="13">
        <f>IFERROR(VLOOKUP($F4,'Visu totale'!$D$3:$DH$129,H$1,0),0)</f>
        <v>0</v>
      </c>
      <c r="I4" s="13">
        <f>IFERROR(VLOOKUP($F4,'Visu totale'!$D$3:$DH$129,I$1,0),0)</f>
        <v>0</v>
      </c>
      <c r="J4" s="13">
        <f>IFERROR(VLOOKUP($F4,'Visu totale'!$D$3:$DH$129,J$1,0),0)</f>
        <v>0</v>
      </c>
      <c r="K4" s="13">
        <f>IFERROR(VLOOKUP($F4,'Visu totale'!$D$3:$DH$129,K$1,0),0)</f>
        <v>0</v>
      </c>
      <c r="L4" s="13">
        <f>IFERROR(VLOOKUP($F4,'Visu totale'!$D$3:$DH$129,L$1,0),0)</f>
        <v>0</v>
      </c>
      <c r="M4" s="13">
        <f>IFERROR(VLOOKUP($F4,'Visu totale'!$D$3:$DH$129,M$1,0),0)</f>
        <v>0</v>
      </c>
      <c r="N4" s="13">
        <f>IFERROR(VLOOKUP($F4,'Visu totale'!$D$3:$DH$129,N$1,0),0)</f>
        <v>0</v>
      </c>
      <c r="O4" s="13">
        <f>IFERROR(VLOOKUP($F4,'Visu totale'!$D$3:$DH$129,O$1,0),0)</f>
        <v>0</v>
      </c>
      <c r="P4" s="13">
        <f>IFERROR(VLOOKUP($F4,'Visu totale'!$D$3:$DH$129,P$1,0),0)</f>
        <v>0</v>
      </c>
      <c r="Q4" s="13">
        <f>IFERROR(VLOOKUP($F4,'Visu totale'!$D$3:$DH$129,Q$1,0),0)</f>
        <v>0</v>
      </c>
      <c r="R4" s="15">
        <f>IFERROR(VLOOKUP($F4,'Visu totale'!$D$3:$DH$129,R$1,0),0)</f>
        <v>0</v>
      </c>
      <c r="S4" s="14">
        <f>IFERROR(VLOOKUP($F4,'Visu totale'!$D$3:$DH$129,S$1,0),0)</f>
        <v>0</v>
      </c>
      <c r="T4" s="13">
        <f>IFERROR(VLOOKUP($F4,'Visu totale'!$D$3:$DH$129,T$1,0),0)</f>
        <v>0</v>
      </c>
      <c r="U4" s="13">
        <f>IFERROR(VLOOKUP($F4,'Visu totale'!$D$3:$DH$129,U$1,0),0)</f>
        <v>0</v>
      </c>
      <c r="V4" s="13">
        <f>IFERROR(VLOOKUP($F4,'Visu totale'!$D$3:$DH$129,V$1,0),0)</f>
        <v>0</v>
      </c>
      <c r="W4" s="13">
        <f>IFERROR(VLOOKUP($F4,'Visu totale'!$D$3:$DH$129,W$1,0),0)</f>
        <v>0</v>
      </c>
      <c r="X4" s="13">
        <f>IFERROR(VLOOKUP($F4,'Visu totale'!$D$3:$DH$129,X$1,0),0)</f>
        <v>0</v>
      </c>
      <c r="Y4" s="13">
        <f>IFERROR(VLOOKUP($F4,'Visu totale'!$D$3:$DH$129,Y$1,0),0)</f>
        <v>0</v>
      </c>
      <c r="Z4" s="13">
        <f>IFERROR(VLOOKUP($F4,'Visu totale'!$D$3:$DH$129,Z$1,0),0)</f>
        <v>0</v>
      </c>
      <c r="AA4" s="13">
        <f>IFERROR(VLOOKUP($F4,'Visu totale'!$D$3:$DH$129,AA$1,0),0)</f>
        <v>0</v>
      </c>
      <c r="AB4" s="13">
        <f>IFERROR(VLOOKUP($F4,'Visu totale'!$D$3:$DH$129,AB$1,0),0)</f>
        <v>0</v>
      </c>
      <c r="AC4" s="13">
        <f>IFERROR(VLOOKUP($F4,'Visu totale'!$D$3:$DH$129,AC$1,0),0)</f>
        <v>0</v>
      </c>
      <c r="AD4" s="15">
        <f>IFERROR(VLOOKUP($F4,'Visu totale'!$D$3:$DH$129,AD$1,0),0)</f>
        <v>0</v>
      </c>
      <c r="AE4" s="14">
        <f>IFERROR(VLOOKUP($F4,'Visu totale'!$D$3:$DH$129,AE$1,0),0)</f>
        <v>0</v>
      </c>
      <c r="AF4" s="13">
        <f>IFERROR(VLOOKUP($F4,'Visu totale'!$D$3:$DH$129,AF$1,0),0)</f>
        <v>0</v>
      </c>
      <c r="AG4" s="13">
        <f>IFERROR(VLOOKUP($F4,'Visu totale'!$D$3:$DH$129,AG$1,0),0)</f>
        <v>0</v>
      </c>
      <c r="AH4" s="13">
        <f>IFERROR(VLOOKUP($F4,'Visu totale'!$D$3:$DH$129,AH$1,0),0)</f>
        <v>0</v>
      </c>
      <c r="AI4" s="13">
        <f>IFERROR(VLOOKUP($F4,'Visu totale'!$D$3:$DH$129,AI$1,0),0)</f>
        <v>0</v>
      </c>
      <c r="AJ4" s="13">
        <f>IFERROR(VLOOKUP($F4,'Visu totale'!$D$3:$DH$129,AJ$1,0),0)</f>
        <v>0</v>
      </c>
      <c r="AK4" s="13">
        <f>IFERROR(VLOOKUP($F4,'Visu totale'!$D$3:$DH$129,AK$1,0),0)</f>
        <v>0</v>
      </c>
      <c r="AL4" s="13">
        <f>IFERROR(VLOOKUP($F4,'Visu totale'!$D$3:$DH$129,AL$1,0),0)</f>
        <v>0</v>
      </c>
      <c r="AM4" s="13">
        <f>IFERROR(VLOOKUP($F4,'Visu totale'!$D$3:$DH$129,AM$1,0),0)</f>
        <v>0</v>
      </c>
      <c r="AN4" s="13">
        <f>IFERROR(VLOOKUP($F4,'Visu totale'!$D$3:$DH$129,AN$1,0),0)</f>
        <v>0</v>
      </c>
      <c r="AO4" s="13">
        <f>IFERROR(VLOOKUP($F4,'Visu totale'!$D$3:$DH$129,AO$1,0),0)</f>
        <v>0</v>
      </c>
      <c r="AP4" s="15">
        <f>IFERROR(VLOOKUP($F4,'Visu totale'!$D$3:$DH$129,AP$1,0),0)</f>
        <v>0</v>
      </c>
      <c r="AQ4" s="14">
        <f>IFERROR(VLOOKUP($F4,'Visu totale'!$D$3:$DH$129,AQ$1,0),0)</f>
        <v>0</v>
      </c>
      <c r="AR4" s="13">
        <f>IFERROR(VLOOKUP($F4,'Visu totale'!$D$3:$DH$129,AR$1,0),0)</f>
        <v>0</v>
      </c>
      <c r="AS4" s="13">
        <f>IFERROR(VLOOKUP($F4,'Visu totale'!$D$3:$DH$129,AS$1,0),0)</f>
        <v>0</v>
      </c>
      <c r="AT4" s="13">
        <f>IFERROR(VLOOKUP($F4,'Visu totale'!$D$3:$DH$129,AT$1,0),0)</f>
        <v>0</v>
      </c>
      <c r="AU4" s="13">
        <f>IFERROR(VLOOKUP($F4,'Visu totale'!$D$3:$DH$129,AU$1,0),0)</f>
        <v>0</v>
      </c>
      <c r="AV4" s="13">
        <f>IFERROR(VLOOKUP($F4,'Visu totale'!$D$3:$DH$129,AV$1,0),0)</f>
        <v>0</v>
      </c>
      <c r="AW4" s="13">
        <f>IFERROR(VLOOKUP($F4,'Visu totale'!$D$3:$DH$129,AW$1,0),0)</f>
        <v>0</v>
      </c>
      <c r="AX4" s="13">
        <f>IFERROR(VLOOKUP($F4,'Visu totale'!$D$3:$DH$129,AX$1,0),0)</f>
        <v>0</v>
      </c>
      <c r="AY4" s="13">
        <f>IFERROR(VLOOKUP($F4,'Visu totale'!$D$3:$DH$129,AY$1,0),0)</f>
        <v>0</v>
      </c>
      <c r="AZ4" s="13">
        <f>IFERROR(VLOOKUP($F4,'Visu totale'!$D$3:$DH$129,AZ$1,0),0)</f>
        <v>0</v>
      </c>
      <c r="BA4" s="13">
        <f>IFERROR(VLOOKUP($F4,'Visu totale'!$D$3:$DH$129,BA$1,0),0)</f>
        <v>0</v>
      </c>
      <c r="BB4" s="15">
        <f>IFERROR(VLOOKUP($F4,'Visu totale'!$D$3:$DH$129,BB$1,0),0)</f>
        <v>0</v>
      </c>
      <c r="BC4" s="14">
        <f>IFERROR(VLOOKUP($F4,'Visu totale'!$D$3:$DH$129,BC$1,0),0)</f>
        <v>0</v>
      </c>
      <c r="BD4" s="13">
        <f>IFERROR(VLOOKUP($F4,'Visu totale'!$D$3:$DH$129,BD$1,0),0)</f>
        <v>0</v>
      </c>
      <c r="BE4" s="13">
        <f>IFERROR(VLOOKUP($F4,'Visu totale'!$D$3:$DH$129,BE$1,0),0)</f>
        <v>0</v>
      </c>
      <c r="BF4" s="13">
        <f>IFERROR(VLOOKUP($F4,'Visu totale'!$D$3:$DH$129,BF$1,0),0)</f>
        <v>0</v>
      </c>
      <c r="BG4" s="13">
        <f>IFERROR(VLOOKUP($F4,'Visu totale'!$D$3:$DH$129,BG$1,0),0)</f>
        <v>0</v>
      </c>
      <c r="BH4" s="13">
        <f>IFERROR(VLOOKUP($F4,'Visu totale'!$D$3:$DH$129,BH$1,0),0)</f>
        <v>0</v>
      </c>
      <c r="BI4" s="13">
        <f>IFERROR(VLOOKUP($F4,'Visu totale'!$D$3:$DH$129,BI$1,0),0)</f>
        <v>0</v>
      </c>
      <c r="BJ4" s="13">
        <f>IFERROR(VLOOKUP($F4,'Visu totale'!$D$3:$DH$129,BJ$1,0),0)</f>
        <v>0</v>
      </c>
      <c r="BK4" s="13">
        <f>IFERROR(VLOOKUP($F4,'Visu totale'!$D$3:$DH$129,BK$1,0),0)</f>
        <v>0</v>
      </c>
      <c r="BL4" s="13">
        <f>IFERROR(VLOOKUP($F4,'Visu totale'!$D$3:$DH$129,BL$1,0),0)</f>
        <v>0</v>
      </c>
      <c r="BM4" s="13">
        <f>IFERROR(VLOOKUP($F4,'Visu totale'!$D$3:$DH$129,BM$1,0),0)</f>
        <v>0</v>
      </c>
      <c r="BN4" s="15">
        <f>IFERROR(VLOOKUP($F4,'Visu totale'!$D$3:$DH$129,BN$1,0),0)</f>
        <v>0</v>
      </c>
      <c r="BO4" s="14">
        <f>IFERROR(VLOOKUP($F4,'Visu totale'!$D$3:$DH$129,BO$1,0),0)</f>
        <v>0</v>
      </c>
      <c r="BP4" s="13">
        <f>IFERROR(VLOOKUP($F4,'Visu totale'!$D$3:$DH$129,BP$1,0),0)</f>
        <v>0</v>
      </c>
      <c r="BQ4" s="13">
        <f>IFERROR(VLOOKUP($F4,'Visu totale'!$D$3:$DH$129,BQ$1,0),0)</f>
        <v>0</v>
      </c>
      <c r="BR4" s="13">
        <f>IFERROR(VLOOKUP($F4,'Visu totale'!$D$3:$DH$129,BR$1,0),0)</f>
        <v>0</v>
      </c>
      <c r="BS4" s="13">
        <f>IFERROR(VLOOKUP($F4,'Visu totale'!$D$3:$DH$129,BS$1,0),0)</f>
        <v>0</v>
      </c>
      <c r="BT4" s="13">
        <f>IFERROR(VLOOKUP($F4,'Visu totale'!$D$3:$DH$129,BT$1,0),0)</f>
        <v>0</v>
      </c>
      <c r="BU4" s="13">
        <f>IFERROR(VLOOKUP($F4,'Visu totale'!$D$3:$DH$129,BU$1,0),0)</f>
        <v>0</v>
      </c>
      <c r="BV4" s="13">
        <f>IFERROR(VLOOKUP($F4,'Visu totale'!$D$3:$DH$129,BV$1,0),0)</f>
        <v>0</v>
      </c>
      <c r="BW4" s="13">
        <f>IFERROR(VLOOKUP($F4,'Visu totale'!$D$3:$DH$129,BW$1,0),0)</f>
        <v>0</v>
      </c>
      <c r="BX4" s="13">
        <f>IFERROR(VLOOKUP($F4,'Visu totale'!$D$3:$DH$129,BX$1,0),0)</f>
        <v>0</v>
      </c>
      <c r="BY4" s="13">
        <f>IFERROR(VLOOKUP($F4,'Visu totale'!$D$3:$DH$129,BY$1,0),0)</f>
        <v>0</v>
      </c>
      <c r="BZ4" s="15">
        <f>IFERROR(VLOOKUP($F4,'Visu totale'!$D$3:$DH$129,BZ$1,0),0)</f>
        <v>0</v>
      </c>
      <c r="CA4" s="14">
        <f>IFERROR(VLOOKUP($F4,'Visu totale'!$D$3:$DH$129,CA$1,0),0)</f>
        <v>0</v>
      </c>
      <c r="CB4" s="13">
        <f>IFERROR(VLOOKUP($F4,'Visu totale'!$D$3:$DH$129,CB$1,0),0)</f>
        <v>0</v>
      </c>
      <c r="CC4" s="13">
        <f>IFERROR(VLOOKUP($F4,'Visu totale'!$D$3:$DH$129,CC$1,0),0)</f>
        <v>0</v>
      </c>
      <c r="CD4" s="13">
        <f>IFERROR(VLOOKUP($F4,'Visu totale'!$D$3:$DH$129,CD$1,0),0)</f>
        <v>0</v>
      </c>
      <c r="CE4" s="13">
        <f>IFERROR(VLOOKUP($F4,'Visu totale'!$D$3:$DH$129,CE$1,0),0)</f>
        <v>0</v>
      </c>
      <c r="CF4" s="13">
        <f>IFERROR(VLOOKUP($F4,'Visu totale'!$D$3:$DH$129,CF$1,0),0)</f>
        <v>0</v>
      </c>
      <c r="CG4" s="13">
        <f>IFERROR(VLOOKUP($F4,'Visu totale'!$D$3:$DH$129,CG$1,0),0)</f>
        <v>0</v>
      </c>
      <c r="CH4" s="13">
        <f>IFERROR(VLOOKUP($F4,'Visu totale'!$D$3:$DH$129,CH$1,0),0)</f>
        <v>0</v>
      </c>
      <c r="CI4" s="13">
        <f>IFERROR(VLOOKUP($F4,'Visu totale'!$D$3:$DH$129,CI$1,0),0)</f>
        <v>0</v>
      </c>
      <c r="CJ4" s="13">
        <f>IFERROR(VLOOKUP($F4,'Visu totale'!$D$3:$DH$129,CJ$1,0),0)</f>
        <v>0</v>
      </c>
      <c r="CK4" s="13">
        <f>IFERROR(VLOOKUP($F4,'Visu totale'!$D$3:$DH$129,CK$1,0),0)</f>
        <v>0</v>
      </c>
      <c r="CL4" s="15">
        <f>IFERROR(VLOOKUP($F4,'Visu totale'!$D$3:$DH$129,CL$1,0),0)</f>
        <v>0</v>
      </c>
      <c r="CM4" s="14">
        <f>IFERROR(VLOOKUP($F4,'Visu totale'!$D$3:$DH$129,CM$1,0),0)</f>
        <v>0</v>
      </c>
      <c r="CN4" s="13">
        <f>IFERROR(VLOOKUP($F4,'Visu totale'!$D$3:$DH$129,CN$1,0),0)</f>
        <v>0</v>
      </c>
      <c r="CO4" s="13">
        <f>IFERROR(VLOOKUP($F4,'Visu totale'!$D$3:$DH$129,CO$1,0),0)</f>
        <v>0</v>
      </c>
      <c r="CP4" s="13">
        <f>IFERROR(VLOOKUP($F4,'Visu totale'!$D$3:$DH$129,CP$1,0),0)</f>
        <v>0</v>
      </c>
      <c r="CQ4" s="13">
        <f>IFERROR(VLOOKUP($F4,'Visu totale'!$D$3:$DH$129,CQ$1,0),0)</f>
        <v>0</v>
      </c>
      <c r="CR4" s="13">
        <f>IFERROR(VLOOKUP($F4,'Visu totale'!$D$3:$DH$129,CR$1,0),0)</f>
        <v>0</v>
      </c>
      <c r="CS4" s="13">
        <f>IFERROR(VLOOKUP($F4,'Visu totale'!$D$3:$DH$129,CS$1,0),0)</f>
        <v>0</v>
      </c>
      <c r="CT4" s="13">
        <f>IFERROR(VLOOKUP($F4,'Visu totale'!$D$3:$DH$129,CT$1,0),0)</f>
        <v>0</v>
      </c>
      <c r="CU4" s="13">
        <f>IFERROR(VLOOKUP($F4,'Visu totale'!$D$3:$DH$129,CU$1,0),0)</f>
        <v>0</v>
      </c>
      <c r="CV4" s="13">
        <f>IFERROR(VLOOKUP($F4,'Visu totale'!$D$3:$DH$129,CV$1,0),0)</f>
        <v>0</v>
      </c>
      <c r="CW4" s="13">
        <f>IFERROR(VLOOKUP($F4,'Visu totale'!$D$3:$DH$129,CW$1,0),0)</f>
        <v>0</v>
      </c>
      <c r="CX4" s="15">
        <f>IFERROR(VLOOKUP($F4,'Visu totale'!$D$3:$DH$129,CX$1,0),0)</f>
        <v>0</v>
      </c>
      <c r="CY4" s="14">
        <f>IFERROR(VLOOKUP($F4,'Visu totale'!$D$3:$DH$129,CY$1,0),0)</f>
        <v>0</v>
      </c>
      <c r="CZ4" s="13">
        <f>IFERROR(VLOOKUP($F4,'Visu totale'!$D$3:$DH$129,CZ$1,0),0)</f>
        <v>0</v>
      </c>
      <c r="DA4" s="13">
        <f>IFERROR(VLOOKUP($F4,'Visu totale'!$D$3:$DH$129,DA$1,0),0)</f>
        <v>0</v>
      </c>
      <c r="DB4" s="13">
        <f>IFERROR(VLOOKUP($F4,'Visu totale'!$D$3:$DH$129,DB$1,0),0)</f>
        <v>0</v>
      </c>
      <c r="DC4" s="13">
        <f>IFERROR(VLOOKUP($F4,'Visu totale'!$D$3:$DH$129,DC$1,0),0)</f>
        <v>0</v>
      </c>
      <c r="DD4" s="13">
        <f>IFERROR(VLOOKUP($F4,'Visu totale'!$D$3:$DH$129,DD$1,0),0)</f>
        <v>0</v>
      </c>
      <c r="DE4" s="13">
        <f>IFERROR(VLOOKUP($F4,'Visu totale'!$D$3:$DH$129,DE$1,0),0)</f>
        <v>0</v>
      </c>
      <c r="DF4" s="13">
        <f>IFERROR(VLOOKUP($F4,'Visu totale'!$D$3:$DH$129,DF$1,0),0)</f>
        <v>0</v>
      </c>
      <c r="DG4" s="13">
        <f>IFERROR(VLOOKUP($F4,'Visu totale'!$D$3:$DH$129,DG$1,0),0)</f>
        <v>0</v>
      </c>
      <c r="DH4" s="13">
        <f>IFERROR(VLOOKUP($F4,'Visu totale'!$D$3:$DH$129,DH$1,0),0)</f>
        <v>0</v>
      </c>
      <c r="DI4" s="13">
        <f>IFERROR(VLOOKUP($F4,'Visu totale'!$D$3:$DH$129,DI$1,0),0)</f>
        <v>0</v>
      </c>
      <c r="DJ4" s="15">
        <f>IFERROR(VLOOKUP($F4,'Visu totale'!$D$3:$DH$129,DJ$1,0),0)</f>
        <v>0</v>
      </c>
    </row>
    <row r="5" spans="1:114" x14ac:dyDescent="0.25">
      <c r="A5" s="13"/>
      <c r="B5" s="13"/>
      <c r="C5" s="13"/>
      <c r="D5" s="13"/>
      <c r="E5" s="13"/>
      <c r="F5" s="17" t="s">
        <v>81</v>
      </c>
      <c r="G5" s="14">
        <f>IFERROR(VLOOKUP($F5,'Visu totale'!$D$3:$DH$129,G$1,0),0)</f>
        <v>0</v>
      </c>
      <c r="H5" s="13">
        <f>IFERROR(VLOOKUP($F5,'Visu totale'!$D$3:$DH$129,H$1,0),0)</f>
        <v>0</v>
      </c>
      <c r="I5" s="13">
        <f>IFERROR(VLOOKUP($F5,'Visu totale'!$D$3:$DH$129,I$1,0),0)</f>
        <v>0</v>
      </c>
      <c r="J5" s="13">
        <f>IFERROR(VLOOKUP($F5,'Visu totale'!$D$3:$DH$129,J$1,0),0)</f>
        <v>0</v>
      </c>
      <c r="K5" s="13">
        <f>IFERROR(VLOOKUP($F5,'Visu totale'!$D$3:$DH$129,K$1,0),0)</f>
        <v>0</v>
      </c>
      <c r="L5" s="13">
        <f>IFERROR(VLOOKUP($F5,'Visu totale'!$D$3:$DH$129,L$1,0),0)</f>
        <v>0</v>
      </c>
      <c r="M5" s="13">
        <f>IFERROR(VLOOKUP($F5,'Visu totale'!$D$3:$DH$129,M$1,0),0)</f>
        <v>0</v>
      </c>
      <c r="N5" s="13">
        <f>IFERROR(VLOOKUP($F5,'Visu totale'!$D$3:$DH$129,N$1,0),0)</f>
        <v>0</v>
      </c>
      <c r="O5" s="13">
        <f>IFERROR(VLOOKUP($F5,'Visu totale'!$D$3:$DH$129,O$1,0),0)</f>
        <v>0</v>
      </c>
      <c r="P5" s="13">
        <f>IFERROR(VLOOKUP($F5,'Visu totale'!$D$3:$DH$129,P$1,0),0)</f>
        <v>0</v>
      </c>
      <c r="Q5" s="13">
        <f>IFERROR(VLOOKUP($F5,'Visu totale'!$D$3:$DH$129,Q$1,0),0)</f>
        <v>0</v>
      </c>
      <c r="R5" s="15">
        <f>IFERROR(VLOOKUP($F5,'Visu totale'!$D$3:$DH$129,R$1,0),0)</f>
        <v>0</v>
      </c>
      <c r="S5" s="14">
        <f>IFERROR(VLOOKUP($F5,'Visu totale'!$D$3:$DH$129,S$1,0),0)</f>
        <v>0</v>
      </c>
      <c r="T5" s="13">
        <f>IFERROR(VLOOKUP($F5,'Visu totale'!$D$3:$DH$129,T$1,0),0)</f>
        <v>0</v>
      </c>
      <c r="U5" s="13">
        <f>IFERROR(VLOOKUP($F5,'Visu totale'!$D$3:$DH$129,U$1,0),0)</f>
        <v>0</v>
      </c>
      <c r="V5" s="13">
        <f>IFERROR(VLOOKUP($F5,'Visu totale'!$D$3:$DH$129,V$1,0),0)</f>
        <v>0</v>
      </c>
      <c r="W5" s="13">
        <f>IFERROR(VLOOKUP($F5,'Visu totale'!$D$3:$DH$129,W$1,0),0)</f>
        <v>0</v>
      </c>
      <c r="X5" s="13">
        <f>IFERROR(VLOOKUP($F5,'Visu totale'!$D$3:$DH$129,X$1,0),0)</f>
        <v>0</v>
      </c>
      <c r="Y5" s="13">
        <f>IFERROR(VLOOKUP($F5,'Visu totale'!$D$3:$DH$129,Y$1,0),0)</f>
        <v>0</v>
      </c>
      <c r="Z5" s="13">
        <f>IFERROR(VLOOKUP($F5,'Visu totale'!$D$3:$DH$129,Z$1,0),0)</f>
        <v>0</v>
      </c>
      <c r="AA5" s="13">
        <f>IFERROR(VLOOKUP($F5,'Visu totale'!$D$3:$DH$129,AA$1,0),0)</f>
        <v>0</v>
      </c>
      <c r="AB5" s="13">
        <f>IFERROR(VLOOKUP($F5,'Visu totale'!$D$3:$DH$129,AB$1,0),0)</f>
        <v>0</v>
      </c>
      <c r="AC5" s="13">
        <f>IFERROR(VLOOKUP($F5,'Visu totale'!$D$3:$DH$129,AC$1,0),0)</f>
        <v>0</v>
      </c>
      <c r="AD5" s="15">
        <f>IFERROR(VLOOKUP($F5,'Visu totale'!$D$3:$DH$129,AD$1,0),0)</f>
        <v>0</v>
      </c>
      <c r="AE5" s="14">
        <f>IFERROR(VLOOKUP($F5,'Visu totale'!$D$3:$DH$129,AE$1,0),0)</f>
        <v>0</v>
      </c>
      <c r="AF5" s="13">
        <f>IFERROR(VLOOKUP($F5,'Visu totale'!$D$3:$DH$129,AF$1,0),0)</f>
        <v>0</v>
      </c>
      <c r="AG5" s="13">
        <f>IFERROR(VLOOKUP($F5,'Visu totale'!$D$3:$DH$129,AG$1,0),0)</f>
        <v>0</v>
      </c>
      <c r="AH5" s="13">
        <f>IFERROR(VLOOKUP($F5,'Visu totale'!$D$3:$DH$129,AH$1,0),0)</f>
        <v>0</v>
      </c>
      <c r="AI5" s="13">
        <f>IFERROR(VLOOKUP($F5,'Visu totale'!$D$3:$DH$129,AI$1,0),0)</f>
        <v>0</v>
      </c>
      <c r="AJ5" s="13">
        <f>IFERROR(VLOOKUP($F5,'Visu totale'!$D$3:$DH$129,AJ$1,0),0)</f>
        <v>0</v>
      </c>
      <c r="AK5" s="13">
        <f>IFERROR(VLOOKUP($F5,'Visu totale'!$D$3:$DH$129,AK$1,0),0)</f>
        <v>0</v>
      </c>
      <c r="AL5" s="13">
        <f>IFERROR(VLOOKUP($F5,'Visu totale'!$D$3:$DH$129,AL$1,0),0)</f>
        <v>0</v>
      </c>
      <c r="AM5" s="13">
        <f>IFERROR(VLOOKUP($F5,'Visu totale'!$D$3:$DH$129,AM$1,0),0)</f>
        <v>0</v>
      </c>
      <c r="AN5" s="13">
        <f>IFERROR(VLOOKUP($F5,'Visu totale'!$D$3:$DH$129,AN$1,0),0)</f>
        <v>0</v>
      </c>
      <c r="AO5" s="13">
        <f>IFERROR(VLOOKUP($F5,'Visu totale'!$D$3:$DH$129,AO$1,0),0)</f>
        <v>0</v>
      </c>
      <c r="AP5" s="15">
        <f>IFERROR(VLOOKUP($F5,'Visu totale'!$D$3:$DH$129,AP$1,0),0)</f>
        <v>0</v>
      </c>
      <c r="AQ5" s="14">
        <f>IFERROR(VLOOKUP($F5,'Visu totale'!$D$3:$DH$129,AQ$1,0),0)</f>
        <v>0</v>
      </c>
      <c r="AR5" s="13">
        <f>IFERROR(VLOOKUP($F5,'Visu totale'!$D$3:$DH$129,AR$1,0),0)</f>
        <v>0</v>
      </c>
      <c r="AS5" s="13">
        <f>IFERROR(VLOOKUP($F5,'Visu totale'!$D$3:$DH$129,AS$1,0),0)</f>
        <v>0</v>
      </c>
      <c r="AT5" s="13">
        <f>IFERROR(VLOOKUP($F5,'Visu totale'!$D$3:$DH$129,AT$1,0),0)</f>
        <v>0</v>
      </c>
      <c r="AU5" s="13">
        <f>IFERROR(VLOOKUP($F5,'Visu totale'!$D$3:$DH$129,AU$1,0),0)</f>
        <v>0</v>
      </c>
      <c r="AV5" s="13">
        <f>IFERROR(VLOOKUP($F5,'Visu totale'!$D$3:$DH$129,AV$1,0),0)</f>
        <v>0</v>
      </c>
      <c r="AW5" s="13">
        <f>IFERROR(VLOOKUP($F5,'Visu totale'!$D$3:$DH$129,AW$1,0),0)</f>
        <v>0</v>
      </c>
      <c r="AX5" s="13">
        <f>IFERROR(VLOOKUP($F5,'Visu totale'!$D$3:$DH$129,AX$1,0),0)</f>
        <v>0</v>
      </c>
      <c r="AY5" s="13">
        <f>IFERROR(VLOOKUP($F5,'Visu totale'!$D$3:$DH$129,AY$1,0),0)</f>
        <v>0</v>
      </c>
      <c r="AZ5" s="13">
        <f>IFERROR(VLOOKUP($F5,'Visu totale'!$D$3:$DH$129,AZ$1,0),0)</f>
        <v>0</v>
      </c>
      <c r="BA5" s="13">
        <f>IFERROR(VLOOKUP($F5,'Visu totale'!$D$3:$DH$129,BA$1,0),0)</f>
        <v>0</v>
      </c>
      <c r="BB5" s="15">
        <f>IFERROR(VLOOKUP($F5,'Visu totale'!$D$3:$DH$129,BB$1,0),0)</f>
        <v>0</v>
      </c>
      <c r="BC5" s="14">
        <f>IFERROR(VLOOKUP($F5,'Visu totale'!$D$3:$DH$129,BC$1,0),0)</f>
        <v>0</v>
      </c>
      <c r="BD5" s="13">
        <f>IFERROR(VLOOKUP($F5,'Visu totale'!$D$3:$DH$129,BD$1,0),0)</f>
        <v>0</v>
      </c>
      <c r="BE5" s="13">
        <f>IFERROR(VLOOKUP($F5,'Visu totale'!$D$3:$DH$129,BE$1,0),0)</f>
        <v>0</v>
      </c>
      <c r="BF5" s="13">
        <f>IFERROR(VLOOKUP($F5,'Visu totale'!$D$3:$DH$129,BF$1,0),0)</f>
        <v>0</v>
      </c>
      <c r="BG5" s="13">
        <f>IFERROR(VLOOKUP($F5,'Visu totale'!$D$3:$DH$129,BG$1,0),0)</f>
        <v>0</v>
      </c>
      <c r="BH5" s="13">
        <f>IFERROR(VLOOKUP($F5,'Visu totale'!$D$3:$DH$129,BH$1,0),0)</f>
        <v>0</v>
      </c>
      <c r="BI5" s="13">
        <f>IFERROR(VLOOKUP($F5,'Visu totale'!$D$3:$DH$129,BI$1,0),0)</f>
        <v>0</v>
      </c>
      <c r="BJ5" s="13">
        <f>IFERROR(VLOOKUP($F5,'Visu totale'!$D$3:$DH$129,BJ$1,0),0)</f>
        <v>0</v>
      </c>
      <c r="BK5" s="13">
        <f>IFERROR(VLOOKUP($F5,'Visu totale'!$D$3:$DH$129,BK$1,0),0)</f>
        <v>0</v>
      </c>
      <c r="BL5" s="13">
        <f>IFERROR(VLOOKUP($F5,'Visu totale'!$D$3:$DH$129,BL$1,0),0)</f>
        <v>0</v>
      </c>
      <c r="BM5" s="13">
        <f>IFERROR(VLOOKUP($F5,'Visu totale'!$D$3:$DH$129,BM$1,0),0)</f>
        <v>0</v>
      </c>
      <c r="BN5" s="15">
        <f>IFERROR(VLOOKUP($F5,'Visu totale'!$D$3:$DH$129,BN$1,0),0)</f>
        <v>0</v>
      </c>
      <c r="BO5" s="14">
        <f>IFERROR(VLOOKUP($F5,'Visu totale'!$D$3:$DH$129,BO$1,0),0)</f>
        <v>0</v>
      </c>
      <c r="BP5" s="13">
        <f>IFERROR(VLOOKUP($F5,'Visu totale'!$D$3:$DH$129,BP$1,0),0)</f>
        <v>0</v>
      </c>
      <c r="BQ5" s="13">
        <f>IFERROR(VLOOKUP($F5,'Visu totale'!$D$3:$DH$129,BQ$1,0),0)</f>
        <v>0</v>
      </c>
      <c r="BR5" s="13">
        <f>IFERROR(VLOOKUP($F5,'Visu totale'!$D$3:$DH$129,BR$1,0),0)</f>
        <v>0</v>
      </c>
      <c r="BS5" s="13">
        <f>IFERROR(VLOOKUP($F5,'Visu totale'!$D$3:$DH$129,BS$1,0),0)</f>
        <v>0</v>
      </c>
      <c r="BT5" s="13">
        <f>IFERROR(VLOOKUP($F5,'Visu totale'!$D$3:$DH$129,BT$1,0),0)</f>
        <v>0</v>
      </c>
      <c r="BU5" s="13">
        <f>IFERROR(VLOOKUP($F5,'Visu totale'!$D$3:$DH$129,BU$1,0),0)</f>
        <v>0</v>
      </c>
      <c r="BV5" s="13">
        <f>IFERROR(VLOOKUP($F5,'Visu totale'!$D$3:$DH$129,BV$1,0),0)</f>
        <v>0</v>
      </c>
      <c r="BW5" s="13">
        <f>IFERROR(VLOOKUP($F5,'Visu totale'!$D$3:$DH$129,BW$1,0),0)</f>
        <v>0</v>
      </c>
      <c r="BX5" s="13">
        <f>IFERROR(VLOOKUP($F5,'Visu totale'!$D$3:$DH$129,BX$1,0),0)</f>
        <v>0</v>
      </c>
      <c r="BY5" s="13">
        <f>IFERROR(VLOOKUP($F5,'Visu totale'!$D$3:$DH$129,BY$1,0),0)</f>
        <v>0</v>
      </c>
      <c r="BZ5" s="15">
        <f>IFERROR(VLOOKUP($F5,'Visu totale'!$D$3:$DH$129,BZ$1,0),0)</f>
        <v>0</v>
      </c>
      <c r="CA5" s="14">
        <f>IFERROR(VLOOKUP($F5,'Visu totale'!$D$3:$DH$129,CA$1,0),0)</f>
        <v>0</v>
      </c>
      <c r="CB5" s="13">
        <f>IFERROR(VLOOKUP($F5,'Visu totale'!$D$3:$DH$129,CB$1,0),0)</f>
        <v>0</v>
      </c>
      <c r="CC5" s="13">
        <f>IFERROR(VLOOKUP($F5,'Visu totale'!$D$3:$DH$129,CC$1,0),0)</f>
        <v>0</v>
      </c>
      <c r="CD5" s="13">
        <f>IFERROR(VLOOKUP($F5,'Visu totale'!$D$3:$DH$129,CD$1,0),0)</f>
        <v>0</v>
      </c>
      <c r="CE5" s="13">
        <f>IFERROR(VLOOKUP($F5,'Visu totale'!$D$3:$DH$129,CE$1,0),0)</f>
        <v>0</v>
      </c>
      <c r="CF5" s="13">
        <f>IFERROR(VLOOKUP($F5,'Visu totale'!$D$3:$DH$129,CF$1,0),0)</f>
        <v>0</v>
      </c>
      <c r="CG5" s="13">
        <f>IFERROR(VLOOKUP($F5,'Visu totale'!$D$3:$DH$129,CG$1,0),0)</f>
        <v>0</v>
      </c>
      <c r="CH5" s="13">
        <f>IFERROR(VLOOKUP($F5,'Visu totale'!$D$3:$DH$129,CH$1,0),0)</f>
        <v>0</v>
      </c>
      <c r="CI5" s="13">
        <f>IFERROR(VLOOKUP($F5,'Visu totale'!$D$3:$DH$129,CI$1,0),0)</f>
        <v>0</v>
      </c>
      <c r="CJ5" s="13">
        <f>IFERROR(VLOOKUP($F5,'Visu totale'!$D$3:$DH$129,CJ$1,0),0)</f>
        <v>0</v>
      </c>
      <c r="CK5" s="13">
        <f>IFERROR(VLOOKUP($F5,'Visu totale'!$D$3:$DH$129,CK$1,0),0)</f>
        <v>0</v>
      </c>
      <c r="CL5" s="15">
        <f>IFERROR(VLOOKUP($F5,'Visu totale'!$D$3:$DH$129,CL$1,0),0)</f>
        <v>0</v>
      </c>
      <c r="CM5" s="14">
        <f>IFERROR(VLOOKUP($F5,'Visu totale'!$D$3:$DH$129,CM$1,0),0)</f>
        <v>0</v>
      </c>
      <c r="CN5" s="13">
        <f>IFERROR(VLOOKUP($F5,'Visu totale'!$D$3:$DH$129,CN$1,0),0)</f>
        <v>0</v>
      </c>
      <c r="CO5" s="13">
        <f>IFERROR(VLOOKUP($F5,'Visu totale'!$D$3:$DH$129,CO$1,0),0)</f>
        <v>0</v>
      </c>
      <c r="CP5" s="13">
        <f>IFERROR(VLOOKUP($F5,'Visu totale'!$D$3:$DH$129,CP$1,0),0)</f>
        <v>0</v>
      </c>
      <c r="CQ5" s="13">
        <f>IFERROR(VLOOKUP($F5,'Visu totale'!$D$3:$DH$129,CQ$1,0),0)</f>
        <v>0</v>
      </c>
      <c r="CR5" s="13">
        <f>IFERROR(VLOOKUP($F5,'Visu totale'!$D$3:$DH$129,CR$1,0),0)</f>
        <v>0</v>
      </c>
      <c r="CS5" s="13">
        <f>IFERROR(VLOOKUP($F5,'Visu totale'!$D$3:$DH$129,CS$1,0),0)</f>
        <v>0</v>
      </c>
      <c r="CT5" s="13">
        <f>IFERROR(VLOOKUP($F5,'Visu totale'!$D$3:$DH$129,CT$1,0),0)</f>
        <v>0</v>
      </c>
      <c r="CU5" s="13">
        <f>IFERROR(VLOOKUP($F5,'Visu totale'!$D$3:$DH$129,CU$1,0),0)</f>
        <v>0</v>
      </c>
      <c r="CV5" s="13">
        <f>IFERROR(VLOOKUP($F5,'Visu totale'!$D$3:$DH$129,CV$1,0),0)</f>
        <v>0</v>
      </c>
      <c r="CW5" s="13">
        <f>IFERROR(VLOOKUP($F5,'Visu totale'!$D$3:$DH$129,CW$1,0),0)</f>
        <v>0</v>
      </c>
      <c r="CX5" s="15">
        <f>IFERROR(VLOOKUP($F5,'Visu totale'!$D$3:$DH$129,CX$1,0),0)</f>
        <v>0</v>
      </c>
      <c r="CY5" s="14">
        <f>IFERROR(VLOOKUP($F5,'Visu totale'!$D$3:$DH$129,CY$1,0),0)</f>
        <v>0</v>
      </c>
      <c r="CZ5" s="13">
        <f>IFERROR(VLOOKUP($F5,'Visu totale'!$D$3:$DH$129,CZ$1,0),0)</f>
        <v>0</v>
      </c>
      <c r="DA5" s="13">
        <f>IFERROR(VLOOKUP($F5,'Visu totale'!$D$3:$DH$129,DA$1,0),0)</f>
        <v>0</v>
      </c>
      <c r="DB5" s="13">
        <f>IFERROR(VLOOKUP($F5,'Visu totale'!$D$3:$DH$129,DB$1,0),0)</f>
        <v>0</v>
      </c>
      <c r="DC5" s="13">
        <f>IFERROR(VLOOKUP($F5,'Visu totale'!$D$3:$DH$129,DC$1,0),0)</f>
        <v>0</v>
      </c>
      <c r="DD5" s="13">
        <f>IFERROR(VLOOKUP($F5,'Visu totale'!$D$3:$DH$129,DD$1,0),0)</f>
        <v>0</v>
      </c>
      <c r="DE5" s="13">
        <f>IFERROR(VLOOKUP($F5,'Visu totale'!$D$3:$DH$129,DE$1,0),0)</f>
        <v>0</v>
      </c>
      <c r="DF5" s="13">
        <f>IFERROR(VLOOKUP($F5,'Visu totale'!$D$3:$DH$129,DF$1,0),0)</f>
        <v>0</v>
      </c>
      <c r="DG5" s="13">
        <f>IFERROR(VLOOKUP($F5,'Visu totale'!$D$3:$DH$129,DG$1,0),0)</f>
        <v>0</v>
      </c>
      <c r="DH5" s="13">
        <f>IFERROR(VLOOKUP($F5,'Visu totale'!$D$3:$DH$129,DH$1,0),0)</f>
        <v>0</v>
      </c>
      <c r="DI5" s="13">
        <f>IFERROR(VLOOKUP($F5,'Visu totale'!$D$3:$DH$129,DI$1,0),0)</f>
        <v>0</v>
      </c>
      <c r="DJ5" s="15">
        <f>IFERROR(VLOOKUP($F5,'Visu totale'!$D$3:$DH$129,DJ$1,0),0)</f>
        <v>0</v>
      </c>
    </row>
    <row r="6" spans="1:114" x14ac:dyDescent="0.25">
      <c r="A6" s="13"/>
      <c r="B6" s="13"/>
      <c r="C6" s="13"/>
      <c r="D6" s="13"/>
      <c r="E6" s="13"/>
      <c r="F6" s="17" t="s">
        <v>82</v>
      </c>
      <c r="G6" s="14">
        <f>IFERROR(VLOOKUP($F6,'Visu totale'!$D$3:$DH$129,G$1,0),0)</f>
        <v>0</v>
      </c>
      <c r="H6" s="13">
        <f>IFERROR(VLOOKUP($F6,'Visu totale'!$D$3:$DH$129,H$1,0),0)</f>
        <v>0</v>
      </c>
      <c r="I6" s="13">
        <f>IFERROR(VLOOKUP($F6,'Visu totale'!$D$3:$DH$129,I$1,0),0)</f>
        <v>0</v>
      </c>
      <c r="J6" s="13">
        <f>IFERROR(VLOOKUP($F6,'Visu totale'!$D$3:$DH$129,J$1,0),0)</f>
        <v>0</v>
      </c>
      <c r="K6" s="13">
        <f>IFERROR(VLOOKUP($F6,'Visu totale'!$D$3:$DH$129,K$1,0),0)</f>
        <v>0</v>
      </c>
      <c r="L6" s="13">
        <f>IFERROR(VLOOKUP($F6,'Visu totale'!$D$3:$DH$129,L$1,0),0)</f>
        <v>0</v>
      </c>
      <c r="M6" s="13">
        <f>IFERROR(VLOOKUP($F6,'Visu totale'!$D$3:$DH$129,M$1,0),0)</f>
        <v>0</v>
      </c>
      <c r="N6" s="13">
        <f>IFERROR(VLOOKUP($F6,'Visu totale'!$D$3:$DH$129,N$1,0),0)</f>
        <v>0</v>
      </c>
      <c r="O6" s="13">
        <f>IFERROR(VLOOKUP($F6,'Visu totale'!$D$3:$DH$129,O$1,0),0)</f>
        <v>0</v>
      </c>
      <c r="P6" s="13">
        <f>IFERROR(VLOOKUP($F6,'Visu totale'!$D$3:$DH$129,P$1,0),0)</f>
        <v>0</v>
      </c>
      <c r="Q6" s="13">
        <f>IFERROR(VLOOKUP($F6,'Visu totale'!$D$3:$DH$129,Q$1,0),0)</f>
        <v>0</v>
      </c>
      <c r="R6" s="15">
        <f>IFERROR(VLOOKUP($F6,'Visu totale'!$D$3:$DH$129,R$1,0),0)</f>
        <v>0</v>
      </c>
      <c r="S6" s="14">
        <f>IFERROR(VLOOKUP($F6,'Visu totale'!$D$3:$DH$129,S$1,0),0)</f>
        <v>0</v>
      </c>
      <c r="T6" s="13">
        <f>IFERROR(VLOOKUP($F6,'Visu totale'!$D$3:$DH$129,T$1,0),0)</f>
        <v>0</v>
      </c>
      <c r="U6" s="13">
        <f>IFERROR(VLOOKUP($F6,'Visu totale'!$D$3:$DH$129,U$1,0),0)</f>
        <v>0</v>
      </c>
      <c r="V6" s="13">
        <f>IFERROR(VLOOKUP($F6,'Visu totale'!$D$3:$DH$129,V$1,0),0)</f>
        <v>0</v>
      </c>
      <c r="W6" s="13">
        <f>IFERROR(VLOOKUP($F6,'Visu totale'!$D$3:$DH$129,W$1,0),0)</f>
        <v>0</v>
      </c>
      <c r="X6" s="13">
        <f>IFERROR(VLOOKUP($F6,'Visu totale'!$D$3:$DH$129,X$1,0),0)</f>
        <v>0</v>
      </c>
      <c r="Y6" s="13">
        <f>IFERROR(VLOOKUP($F6,'Visu totale'!$D$3:$DH$129,Y$1,0),0)</f>
        <v>0</v>
      </c>
      <c r="Z6" s="13">
        <f>IFERROR(VLOOKUP($F6,'Visu totale'!$D$3:$DH$129,Z$1,0),0)</f>
        <v>0</v>
      </c>
      <c r="AA6" s="13">
        <f>IFERROR(VLOOKUP($F6,'Visu totale'!$D$3:$DH$129,AA$1,0),0)</f>
        <v>0</v>
      </c>
      <c r="AB6" s="13">
        <f>IFERROR(VLOOKUP($F6,'Visu totale'!$D$3:$DH$129,AB$1,0),0)</f>
        <v>0</v>
      </c>
      <c r="AC6" s="13">
        <f>IFERROR(VLOOKUP($F6,'Visu totale'!$D$3:$DH$129,AC$1,0),0)</f>
        <v>0</v>
      </c>
      <c r="AD6" s="15">
        <f>IFERROR(VLOOKUP($F6,'Visu totale'!$D$3:$DH$129,AD$1,0),0)</f>
        <v>0</v>
      </c>
      <c r="AE6" s="14">
        <f>IFERROR(VLOOKUP($F6,'Visu totale'!$D$3:$DH$129,AE$1,0),0)</f>
        <v>0</v>
      </c>
      <c r="AF6" s="13">
        <f>IFERROR(VLOOKUP($F6,'Visu totale'!$D$3:$DH$129,AF$1,0),0)</f>
        <v>0</v>
      </c>
      <c r="AG6" s="13">
        <f>IFERROR(VLOOKUP($F6,'Visu totale'!$D$3:$DH$129,AG$1,0),0)</f>
        <v>0</v>
      </c>
      <c r="AH6" s="13">
        <f>IFERROR(VLOOKUP($F6,'Visu totale'!$D$3:$DH$129,AH$1,0),0)</f>
        <v>0</v>
      </c>
      <c r="AI6" s="13">
        <f>IFERROR(VLOOKUP($F6,'Visu totale'!$D$3:$DH$129,AI$1,0),0)</f>
        <v>0</v>
      </c>
      <c r="AJ6" s="13">
        <f>IFERROR(VLOOKUP($F6,'Visu totale'!$D$3:$DH$129,AJ$1,0),0)</f>
        <v>0</v>
      </c>
      <c r="AK6" s="13">
        <f>IFERROR(VLOOKUP($F6,'Visu totale'!$D$3:$DH$129,AK$1,0),0)</f>
        <v>0</v>
      </c>
      <c r="AL6" s="13">
        <f>IFERROR(VLOOKUP($F6,'Visu totale'!$D$3:$DH$129,AL$1,0),0)</f>
        <v>0</v>
      </c>
      <c r="AM6" s="13">
        <f>IFERROR(VLOOKUP($F6,'Visu totale'!$D$3:$DH$129,AM$1,0),0)</f>
        <v>0</v>
      </c>
      <c r="AN6" s="13">
        <f>IFERROR(VLOOKUP($F6,'Visu totale'!$D$3:$DH$129,AN$1,0),0)</f>
        <v>0</v>
      </c>
      <c r="AO6" s="13">
        <f>IFERROR(VLOOKUP($F6,'Visu totale'!$D$3:$DH$129,AO$1,0),0)</f>
        <v>0</v>
      </c>
      <c r="AP6" s="15">
        <f>IFERROR(VLOOKUP($F6,'Visu totale'!$D$3:$DH$129,AP$1,0),0)</f>
        <v>0</v>
      </c>
      <c r="AQ6" s="14">
        <f>IFERROR(VLOOKUP($F6,'Visu totale'!$D$3:$DH$129,AQ$1,0),0)</f>
        <v>0</v>
      </c>
      <c r="AR6" s="13">
        <f>IFERROR(VLOOKUP($F6,'Visu totale'!$D$3:$DH$129,AR$1,0),0)</f>
        <v>0</v>
      </c>
      <c r="AS6" s="13">
        <f>IFERROR(VLOOKUP($F6,'Visu totale'!$D$3:$DH$129,AS$1,0),0)</f>
        <v>0</v>
      </c>
      <c r="AT6" s="13">
        <f>IFERROR(VLOOKUP($F6,'Visu totale'!$D$3:$DH$129,AT$1,0),0)</f>
        <v>0</v>
      </c>
      <c r="AU6" s="13">
        <f>IFERROR(VLOOKUP($F6,'Visu totale'!$D$3:$DH$129,AU$1,0),0)</f>
        <v>0</v>
      </c>
      <c r="AV6" s="13">
        <f>IFERROR(VLOOKUP($F6,'Visu totale'!$D$3:$DH$129,AV$1,0),0)</f>
        <v>0</v>
      </c>
      <c r="AW6" s="13">
        <f>IFERROR(VLOOKUP($F6,'Visu totale'!$D$3:$DH$129,AW$1,0),0)</f>
        <v>0</v>
      </c>
      <c r="AX6" s="13">
        <f>IFERROR(VLOOKUP($F6,'Visu totale'!$D$3:$DH$129,AX$1,0),0)</f>
        <v>0</v>
      </c>
      <c r="AY6" s="13">
        <f>IFERROR(VLOOKUP($F6,'Visu totale'!$D$3:$DH$129,AY$1,0),0)</f>
        <v>0</v>
      </c>
      <c r="AZ6" s="13">
        <f>IFERROR(VLOOKUP($F6,'Visu totale'!$D$3:$DH$129,AZ$1,0),0)</f>
        <v>0</v>
      </c>
      <c r="BA6" s="13">
        <f>IFERROR(VLOOKUP($F6,'Visu totale'!$D$3:$DH$129,BA$1,0),0)</f>
        <v>0</v>
      </c>
      <c r="BB6" s="15">
        <f>IFERROR(VLOOKUP($F6,'Visu totale'!$D$3:$DH$129,BB$1,0),0)</f>
        <v>0</v>
      </c>
      <c r="BC6" s="14">
        <f>IFERROR(VLOOKUP($F6,'Visu totale'!$D$3:$DH$129,BC$1,0),0)</f>
        <v>0</v>
      </c>
      <c r="BD6" s="13">
        <f>IFERROR(VLOOKUP($F6,'Visu totale'!$D$3:$DH$129,BD$1,0),0)</f>
        <v>0</v>
      </c>
      <c r="BE6" s="13">
        <f>IFERROR(VLOOKUP($F6,'Visu totale'!$D$3:$DH$129,BE$1,0),0)</f>
        <v>0</v>
      </c>
      <c r="BF6" s="13">
        <f>IFERROR(VLOOKUP($F6,'Visu totale'!$D$3:$DH$129,BF$1,0),0)</f>
        <v>0</v>
      </c>
      <c r="BG6" s="13">
        <f>IFERROR(VLOOKUP($F6,'Visu totale'!$D$3:$DH$129,BG$1,0),0)</f>
        <v>0</v>
      </c>
      <c r="BH6" s="13">
        <f>IFERROR(VLOOKUP($F6,'Visu totale'!$D$3:$DH$129,BH$1,0),0)</f>
        <v>0</v>
      </c>
      <c r="BI6" s="13">
        <f>IFERROR(VLOOKUP($F6,'Visu totale'!$D$3:$DH$129,BI$1,0),0)</f>
        <v>0</v>
      </c>
      <c r="BJ6" s="13">
        <f>IFERROR(VLOOKUP($F6,'Visu totale'!$D$3:$DH$129,BJ$1,0),0)</f>
        <v>0</v>
      </c>
      <c r="BK6" s="13">
        <f>IFERROR(VLOOKUP($F6,'Visu totale'!$D$3:$DH$129,BK$1,0),0)</f>
        <v>0</v>
      </c>
      <c r="BL6" s="13">
        <f>IFERROR(VLOOKUP($F6,'Visu totale'!$D$3:$DH$129,BL$1,0),0)</f>
        <v>0</v>
      </c>
      <c r="BM6" s="13">
        <f>IFERROR(VLOOKUP($F6,'Visu totale'!$D$3:$DH$129,BM$1,0),0)</f>
        <v>0</v>
      </c>
      <c r="BN6" s="15">
        <f>IFERROR(VLOOKUP($F6,'Visu totale'!$D$3:$DH$129,BN$1,0),0)</f>
        <v>0</v>
      </c>
      <c r="BO6" s="14">
        <f>IFERROR(VLOOKUP($F6,'Visu totale'!$D$3:$DH$129,BO$1,0),0)</f>
        <v>0</v>
      </c>
      <c r="BP6" s="13">
        <f>IFERROR(VLOOKUP($F6,'Visu totale'!$D$3:$DH$129,BP$1,0),0)</f>
        <v>0</v>
      </c>
      <c r="BQ6" s="13">
        <f>IFERROR(VLOOKUP($F6,'Visu totale'!$D$3:$DH$129,BQ$1,0),0)</f>
        <v>0</v>
      </c>
      <c r="BR6" s="13">
        <f>IFERROR(VLOOKUP($F6,'Visu totale'!$D$3:$DH$129,BR$1,0),0)</f>
        <v>0</v>
      </c>
      <c r="BS6" s="13">
        <f>IFERROR(VLOOKUP($F6,'Visu totale'!$D$3:$DH$129,BS$1,0),0)</f>
        <v>0</v>
      </c>
      <c r="BT6" s="13">
        <f>IFERROR(VLOOKUP($F6,'Visu totale'!$D$3:$DH$129,BT$1,0),0)</f>
        <v>0</v>
      </c>
      <c r="BU6" s="13">
        <f>IFERROR(VLOOKUP($F6,'Visu totale'!$D$3:$DH$129,BU$1,0),0)</f>
        <v>0</v>
      </c>
      <c r="BV6" s="13">
        <f>IFERROR(VLOOKUP($F6,'Visu totale'!$D$3:$DH$129,BV$1,0),0)</f>
        <v>0</v>
      </c>
      <c r="BW6" s="13">
        <f>IFERROR(VLOOKUP($F6,'Visu totale'!$D$3:$DH$129,BW$1,0),0)</f>
        <v>0</v>
      </c>
      <c r="BX6" s="13">
        <f>IFERROR(VLOOKUP($F6,'Visu totale'!$D$3:$DH$129,BX$1,0),0)</f>
        <v>0</v>
      </c>
      <c r="BY6" s="13">
        <f>IFERROR(VLOOKUP($F6,'Visu totale'!$D$3:$DH$129,BY$1,0),0)</f>
        <v>0</v>
      </c>
      <c r="BZ6" s="15">
        <f>IFERROR(VLOOKUP($F6,'Visu totale'!$D$3:$DH$129,BZ$1,0),0)</f>
        <v>0</v>
      </c>
      <c r="CA6" s="14">
        <f>IFERROR(VLOOKUP($F6,'Visu totale'!$D$3:$DH$129,CA$1,0),0)</f>
        <v>0</v>
      </c>
      <c r="CB6" s="13">
        <f>IFERROR(VLOOKUP($F6,'Visu totale'!$D$3:$DH$129,CB$1,0),0)</f>
        <v>0</v>
      </c>
      <c r="CC6" s="13">
        <f>IFERROR(VLOOKUP($F6,'Visu totale'!$D$3:$DH$129,CC$1,0),0)</f>
        <v>0</v>
      </c>
      <c r="CD6" s="13">
        <f>IFERROR(VLOOKUP($F6,'Visu totale'!$D$3:$DH$129,CD$1,0),0)</f>
        <v>0</v>
      </c>
      <c r="CE6" s="13">
        <f>IFERROR(VLOOKUP($F6,'Visu totale'!$D$3:$DH$129,CE$1,0),0)</f>
        <v>0</v>
      </c>
      <c r="CF6" s="13">
        <f>IFERROR(VLOOKUP($F6,'Visu totale'!$D$3:$DH$129,CF$1,0),0)</f>
        <v>0</v>
      </c>
      <c r="CG6" s="13">
        <f>IFERROR(VLOOKUP($F6,'Visu totale'!$D$3:$DH$129,CG$1,0),0)</f>
        <v>0</v>
      </c>
      <c r="CH6" s="13">
        <f>IFERROR(VLOOKUP($F6,'Visu totale'!$D$3:$DH$129,CH$1,0),0)</f>
        <v>0</v>
      </c>
      <c r="CI6" s="13">
        <f>IFERROR(VLOOKUP($F6,'Visu totale'!$D$3:$DH$129,CI$1,0),0)</f>
        <v>0</v>
      </c>
      <c r="CJ6" s="13">
        <f>IFERROR(VLOOKUP($F6,'Visu totale'!$D$3:$DH$129,CJ$1,0),0)</f>
        <v>0</v>
      </c>
      <c r="CK6" s="13">
        <f>IFERROR(VLOOKUP($F6,'Visu totale'!$D$3:$DH$129,CK$1,0),0)</f>
        <v>0</v>
      </c>
      <c r="CL6" s="15">
        <f>IFERROR(VLOOKUP($F6,'Visu totale'!$D$3:$DH$129,CL$1,0),0)</f>
        <v>0</v>
      </c>
      <c r="CM6" s="14">
        <f>IFERROR(VLOOKUP($F6,'Visu totale'!$D$3:$DH$129,CM$1,0),0)</f>
        <v>0</v>
      </c>
      <c r="CN6" s="13">
        <f>IFERROR(VLOOKUP($F6,'Visu totale'!$D$3:$DH$129,CN$1,0),0)</f>
        <v>0</v>
      </c>
      <c r="CO6" s="13">
        <f>IFERROR(VLOOKUP($F6,'Visu totale'!$D$3:$DH$129,CO$1,0),0)</f>
        <v>0</v>
      </c>
      <c r="CP6" s="13">
        <f>IFERROR(VLOOKUP($F6,'Visu totale'!$D$3:$DH$129,CP$1,0),0)</f>
        <v>0</v>
      </c>
      <c r="CQ6" s="13">
        <f>IFERROR(VLOOKUP($F6,'Visu totale'!$D$3:$DH$129,CQ$1,0),0)</f>
        <v>0</v>
      </c>
      <c r="CR6" s="13">
        <f>IFERROR(VLOOKUP($F6,'Visu totale'!$D$3:$DH$129,CR$1,0),0)</f>
        <v>0</v>
      </c>
      <c r="CS6" s="13">
        <f>IFERROR(VLOOKUP($F6,'Visu totale'!$D$3:$DH$129,CS$1,0),0)</f>
        <v>0</v>
      </c>
      <c r="CT6" s="13">
        <f>IFERROR(VLOOKUP($F6,'Visu totale'!$D$3:$DH$129,CT$1,0),0)</f>
        <v>0</v>
      </c>
      <c r="CU6" s="13">
        <f>IFERROR(VLOOKUP($F6,'Visu totale'!$D$3:$DH$129,CU$1,0),0)</f>
        <v>0</v>
      </c>
      <c r="CV6" s="13">
        <f>IFERROR(VLOOKUP($F6,'Visu totale'!$D$3:$DH$129,CV$1,0),0)</f>
        <v>0</v>
      </c>
      <c r="CW6" s="13">
        <f>IFERROR(VLOOKUP($F6,'Visu totale'!$D$3:$DH$129,CW$1,0),0)</f>
        <v>0</v>
      </c>
      <c r="CX6" s="15">
        <f>IFERROR(VLOOKUP($F6,'Visu totale'!$D$3:$DH$129,CX$1,0),0)</f>
        <v>0</v>
      </c>
      <c r="CY6" s="14">
        <f>IFERROR(VLOOKUP($F6,'Visu totale'!$D$3:$DH$129,CY$1,0),0)</f>
        <v>0</v>
      </c>
      <c r="CZ6" s="13">
        <f>IFERROR(VLOOKUP($F6,'Visu totale'!$D$3:$DH$129,CZ$1,0),0)</f>
        <v>0</v>
      </c>
      <c r="DA6" s="13">
        <f>IFERROR(VLOOKUP($F6,'Visu totale'!$D$3:$DH$129,DA$1,0),0)</f>
        <v>0</v>
      </c>
      <c r="DB6" s="13">
        <f>IFERROR(VLOOKUP($F6,'Visu totale'!$D$3:$DH$129,DB$1,0),0)</f>
        <v>0</v>
      </c>
      <c r="DC6" s="13">
        <f>IFERROR(VLOOKUP($F6,'Visu totale'!$D$3:$DH$129,DC$1,0),0)</f>
        <v>0</v>
      </c>
      <c r="DD6" s="13">
        <f>IFERROR(VLOOKUP($F6,'Visu totale'!$D$3:$DH$129,DD$1,0),0)</f>
        <v>0</v>
      </c>
      <c r="DE6" s="13">
        <f>IFERROR(VLOOKUP($F6,'Visu totale'!$D$3:$DH$129,DE$1,0),0)</f>
        <v>0</v>
      </c>
      <c r="DF6" s="13">
        <f>IFERROR(VLOOKUP($F6,'Visu totale'!$D$3:$DH$129,DF$1,0),0)</f>
        <v>0</v>
      </c>
      <c r="DG6" s="13">
        <f>IFERROR(VLOOKUP($F6,'Visu totale'!$D$3:$DH$129,DG$1,0),0)</f>
        <v>0</v>
      </c>
      <c r="DH6" s="13">
        <f>IFERROR(VLOOKUP($F6,'Visu totale'!$D$3:$DH$129,DH$1,0),0)</f>
        <v>0</v>
      </c>
      <c r="DI6" s="13">
        <f>IFERROR(VLOOKUP($F6,'Visu totale'!$D$3:$DH$129,DI$1,0),0)</f>
        <v>0</v>
      </c>
      <c r="DJ6" s="15">
        <f>IFERROR(VLOOKUP($F6,'Visu totale'!$D$3:$DH$129,DJ$1,0),0)</f>
        <v>0</v>
      </c>
    </row>
    <row r="7" spans="1:114" x14ac:dyDescent="0.25">
      <c r="A7" s="13"/>
      <c r="B7" s="13"/>
      <c r="C7" s="13"/>
      <c r="D7" s="13"/>
      <c r="E7" s="13"/>
      <c r="F7" s="17" t="s">
        <v>83</v>
      </c>
      <c r="G7" s="14">
        <f>IFERROR(VLOOKUP($F7,'Visu totale'!$D$3:$DH$129,G$1,0),0)</f>
        <v>0</v>
      </c>
      <c r="H7" s="13">
        <f>IFERROR(VLOOKUP($F7,'Visu totale'!$D$3:$DH$129,H$1,0),0)</f>
        <v>0</v>
      </c>
      <c r="I7" s="13">
        <f>IFERROR(VLOOKUP($F7,'Visu totale'!$D$3:$DH$129,I$1,0),0)</f>
        <v>0</v>
      </c>
      <c r="J7" s="13">
        <f>IFERROR(VLOOKUP($F7,'Visu totale'!$D$3:$DH$129,J$1,0),0)</f>
        <v>0</v>
      </c>
      <c r="K7" s="13">
        <f>IFERROR(VLOOKUP($F7,'Visu totale'!$D$3:$DH$129,K$1,0),0)</f>
        <v>0</v>
      </c>
      <c r="L7" s="13">
        <f>IFERROR(VLOOKUP($F7,'Visu totale'!$D$3:$DH$129,L$1,0),0)</f>
        <v>0</v>
      </c>
      <c r="M7" s="13">
        <f>IFERROR(VLOOKUP($F7,'Visu totale'!$D$3:$DH$129,M$1,0),0)</f>
        <v>0</v>
      </c>
      <c r="N7" s="13">
        <f>IFERROR(VLOOKUP($F7,'Visu totale'!$D$3:$DH$129,N$1,0),0)</f>
        <v>0</v>
      </c>
      <c r="O7" s="13">
        <f>IFERROR(VLOOKUP($F7,'Visu totale'!$D$3:$DH$129,O$1,0),0)</f>
        <v>0</v>
      </c>
      <c r="P7" s="13">
        <f>IFERROR(VLOOKUP($F7,'Visu totale'!$D$3:$DH$129,P$1,0),0)</f>
        <v>0</v>
      </c>
      <c r="Q7" s="13">
        <f>IFERROR(VLOOKUP($F7,'Visu totale'!$D$3:$DH$129,Q$1,0),0)</f>
        <v>0</v>
      </c>
      <c r="R7" s="15">
        <f>IFERROR(VLOOKUP($F7,'Visu totale'!$D$3:$DH$129,R$1,0),0)</f>
        <v>0</v>
      </c>
      <c r="S7" s="14">
        <f>IFERROR(VLOOKUP($F7,'Visu totale'!$D$3:$DH$129,S$1,0),0)</f>
        <v>0</v>
      </c>
      <c r="T7" s="13">
        <f>IFERROR(VLOOKUP($F7,'Visu totale'!$D$3:$DH$129,T$1,0),0)</f>
        <v>0</v>
      </c>
      <c r="U7" s="13">
        <f>IFERROR(VLOOKUP($F7,'Visu totale'!$D$3:$DH$129,U$1,0),0)</f>
        <v>0</v>
      </c>
      <c r="V7" s="13">
        <f>IFERROR(VLOOKUP($F7,'Visu totale'!$D$3:$DH$129,V$1,0),0)</f>
        <v>0</v>
      </c>
      <c r="W7" s="13">
        <f>IFERROR(VLOOKUP($F7,'Visu totale'!$D$3:$DH$129,W$1,0),0)</f>
        <v>0</v>
      </c>
      <c r="X7" s="13">
        <f>IFERROR(VLOOKUP($F7,'Visu totale'!$D$3:$DH$129,X$1,0),0)</f>
        <v>0</v>
      </c>
      <c r="Y7" s="13">
        <f>IFERROR(VLOOKUP($F7,'Visu totale'!$D$3:$DH$129,Y$1,0),0)</f>
        <v>0</v>
      </c>
      <c r="Z7" s="13">
        <f>IFERROR(VLOOKUP($F7,'Visu totale'!$D$3:$DH$129,Z$1,0),0)</f>
        <v>0</v>
      </c>
      <c r="AA7" s="13">
        <f>IFERROR(VLOOKUP($F7,'Visu totale'!$D$3:$DH$129,AA$1,0),0)</f>
        <v>0</v>
      </c>
      <c r="AB7" s="13">
        <f>IFERROR(VLOOKUP($F7,'Visu totale'!$D$3:$DH$129,AB$1,0),0)</f>
        <v>0</v>
      </c>
      <c r="AC7" s="13">
        <f>IFERROR(VLOOKUP($F7,'Visu totale'!$D$3:$DH$129,AC$1,0),0)</f>
        <v>0</v>
      </c>
      <c r="AD7" s="15">
        <f>IFERROR(VLOOKUP($F7,'Visu totale'!$D$3:$DH$129,AD$1,0),0)</f>
        <v>0</v>
      </c>
      <c r="AE7" s="14">
        <f>IFERROR(VLOOKUP($F7,'Visu totale'!$D$3:$DH$129,AE$1,0),0)</f>
        <v>0</v>
      </c>
      <c r="AF7" s="13">
        <f>IFERROR(VLOOKUP($F7,'Visu totale'!$D$3:$DH$129,AF$1,0),0)</f>
        <v>0</v>
      </c>
      <c r="AG7" s="13">
        <f>IFERROR(VLOOKUP($F7,'Visu totale'!$D$3:$DH$129,AG$1,0),0)</f>
        <v>0</v>
      </c>
      <c r="AH7" s="13">
        <f>IFERROR(VLOOKUP($F7,'Visu totale'!$D$3:$DH$129,AH$1,0),0)</f>
        <v>0</v>
      </c>
      <c r="AI7" s="13">
        <f>IFERROR(VLOOKUP($F7,'Visu totale'!$D$3:$DH$129,AI$1,0),0)</f>
        <v>0</v>
      </c>
      <c r="AJ7" s="13">
        <f>IFERROR(VLOOKUP($F7,'Visu totale'!$D$3:$DH$129,AJ$1,0),0)</f>
        <v>0</v>
      </c>
      <c r="AK7" s="13">
        <f>IFERROR(VLOOKUP($F7,'Visu totale'!$D$3:$DH$129,AK$1,0),0)</f>
        <v>0</v>
      </c>
      <c r="AL7" s="13">
        <f>IFERROR(VLOOKUP($F7,'Visu totale'!$D$3:$DH$129,AL$1,0),0)</f>
        <v>0</v>
      </c>
      <c r="AM7" s="13">
        <f>IFERROR(VLOOKUP($F7,'Visu totale'!$D$3:$DH$129,AM$1,0),0)</f>
        <v>0</v>
      </c>
      <c r="AN7" s="13">
        <f>IFERROR(VLOOKUP($F7,'Visu totale'!$D$3:$DH$129,AN$1,0),0)</f>
        <v>0</v>
      </c>
      <c r="AO7" s="13">
        <f>IFERROR(VLOOKUP($F7,'Visu totale'!$D$3:$DH$129,AO$1,0),0)</f>
        <v>0</v>
      </c>
      <c r="AP7" s="15">
        <f>IFERROR(VLOOKUP($F7,'Visu totale'!$D$3:$DH$129,AP$1,0),0)</f>
        <v>0</v>
      </c>
      <c r="AQ7" s="14">
        <f>IFERROR(VLOOKUP($F7,'Visu totale'!$D$3:$DH$129,AQ$1,0),0)</f>
        <v>0</v>
      </c>
      <c r="AR7" s="13">
        <f>IFERROR(VLOOKUP($F7,'Visu totale'!$D$3:$DH$129,AR$1,0),0)</f>
        <v>0</v>
      </c>
      <c r="AS7" s="13">
        <f>IFERROR(VLOOKUP($F7,'Visu totale'!$D$3:$DH$129,AS$1,0),0)</f>
        <v>0</v>
      </c>
      <c r="AT7" s="13">
        <f>IFERROR(VLOOKUP($F7,'Visu totale'!$D$3:$DH$129,AT$1,0),0)</f>
        <v>0</v>
      </c>
      <c r="AU7" s="13">
        <f>IFERROR(VLOOKUP($F7,'Visu totale'!$D$3:$DH$129,AU$1,0),0)</f>
        <v>0</v>
      </c>
      <c r="AV7" s="13">
        <f>IFERROR(VLOOKUP($F7,'Visu totale'!$D$3:$DH$129,AV$1,0),0)</f>
        <v>0</v>
      </c>
      <c r="AW7" s="13">
        <f>IFERROR(VLOOKUP($F7,'Visu totale'!$D$3:$DH$129,AW$1,0),0)</f>
        <v>0</v>
      </c>
      <c r="AX7" s="13">
        <f>IFERROR(VLOOKUP($F7,'Visu totale'!$D$3:$DH$129,AX$1,0),0)</f>
        <v>0</v>
      </c>
      <c r="AY7" s="13">
        <f>IFERROR(VLOOKUP($F7,'Visu totale'!$D$3:$DH$129,AY$1,0),0)</f>
        <v>0</v>
      </c>
      <c r="AZ7" s="13">
        <f>IFERROR(VLOOKUP($F7,'Visu totale'!$D$3:$DH$129,AZ$1,0),0)</f>
        <v>0</v>
      </c>
      <c r="BA7" s="13">
        <f>IFERROR(VLOOKUP($F7,'Visu totale'!$D$3:$DH$129,BA$1,0),0)</f>
        <v>0</v>
      </c>
      <c r="BB7" s="15">
        <f>IFERROR(VLOOKUP($F7,'Visu totale'!$D$3:$DH$129,BB$1,0),0)</f>
        <v>0</v>
      </c>
      <c r="BC7" s="14">
        <f>IFERROR(VLOOKUP($F7,'Visu totale'!$D$3:$DH$129,BC$1,0),0)</f>
        <v>0</v>
      </c>
      <c r="BD7" s="13">
        <f>IFERROR(VLOOKUP($F7,'Visu totale'!$D$3:$DH$129,BD$1,0),0)</f>
        <v>0</v>
      </c>
      <c r="BE7" s="13">
        <f>IFERROR(VLOOKUP($F7,'Visu totale'!$D$3:$DH$129,BE$1,0),0)</f>
        <v>0</v>
      </c>
      <c r="BF7" s="13">
        <f>IFERROR(VLOOKUP($F7,'Visu totale'!$D$3:$DH$129,BF$1,0),0)</f>
        <v>0</v>
      </c>
      <c r="BG7" s="13">
        <f>IFERROR(VLOOKUP($F7,'Visu totale'!$D$3:$DH$129,BG$1,0),0)</f>
        <v>0</v>
      </c>
      <c r="BH7" s="13">
        <f>IFERROR(VLOOKUP($F7,'Visu totale'!$D$3:$DH$129,BH$1,0),0)</f>
        <v>0</v>
      </c>
      <c r="BI7" s="13">
        <f>IFERROR(VLOOKUP($F7,'Visu totale'!$D$3:$DH$129,BI$1,0),0)</f>
        <v>0</v>
      </c>
      <c r="BJ7" s="13">
        <f>IFERROR(VLOOKUP($F7,'Visu totale'!$D$3:$DH$129,BJ$1,0),0)</f>
        <v>0</v>
      </c>
      <c r="BK7" s="13">
        <f>IFERROR(VLOOKUP($F7,'Visu totale'!$D$3:$DH$129,BK$1,0),0)</f>
        <v>0</v>
      </c>
      <c r="BL7" s="13">
        <f>IFERROR(VLOOKUP($F7,'Visu totale'!$D$3:$DH$129,BL$1,0),0)</f>
        <v>0</v>
      </c>
      <c r="BM7" s="13">
        <f>IFERROR(VLOOKUP($F7,'Visu totale'!$D$3:$DH$129,BM$1,0),0)</f>
        <v>0</v>
      </c>
      <c r="BN7" s="15">
        <f>IFERROR(VLOOKUP($F7,'Visu totale'!$D$3:$DH$129,BN$1,0),0)</f>
        <v>0</v>
      </c>
      <c r="BO7" s="14">
        <f>IFERROR(VLOOKUP($F7,'Visu totale'!$D$3:$DH$129,BO$1,0),0)</f>
        <v>0</v>
      </c>
      <c r="BP7" s="13">
        <f>IFERROR(VLOOKUP($F7,'Visu totale'!$D$3:$DH$129,BP$1,0),0)</f>
        <v>0</v>
      </c>
      <c r="BQ7" s="13">
        <f>IFERROR(VLOOKUP($F7,'Visu totale'!$D$3:$DH$129,BQ$1,0),0)</f>
        <v>0</v>
      </c>
      <c r="BR7" s="13">
        <f>IFERROR(VLOOKUP($F7,'Visu totale'!$D$3:$DH$129,BR$1,0),0)</f>
        <v>0</v>
      </c>
      <c r="BS7" s="13">
        <f>IFERROR(VLOOKUP($F7,'Visu totale'!$D$3:$DH$129,BS$1,0),0)</f>
        <v>0</v>
      </c>
      <c r="BT7" s="13">
        <f>IFERROR(VLOOKUP($F7,'Visu totale'!$D$3:$DH$129,BT$1,0),0)</f>
        <v>0</v>
      </c>
      <c r="BU7" s="13">
        <f>IFERROR(VLOOKUP($F7,'Visu totale'!$D$3:$DH$129,BU$1,0),0)</f>
        <v>0</v>
      </c>
      <c r="BV7" s="13">
        <f>IFERROR(VLOOKUP($F7,'Visu totale'!$D$3:$DH$129,BV$1,0),0)</f>
        <v>0</v>
      </c>
      <c r="BW7" s="13">
        <f>IFERROR(VLOOKUP($F7,'Visu totale'!$D$3:$DH$129,BW$1,0),0)</f>
        <v>0</v>
      </c>
      <c r="BX7" s="13">
        <f>IFERROR(VLOOKUP($F7,'Visu totale'!$D$3:$DH$129,BX$1,0),0)</f>
        <v>0</v>
      </c>
      <c r="BY7" s="13">
        <f>IFERROR(VLOOKUP($F7,'Visu totale'!$D$3:$DH$129,BY$1,0),0)</f>
        <v>0</v>
      </c>
      <c r="BZ7" s="15">
        <f>IFERROR(VLOOKUP($F7,'Visu totale'!$D$3:$DH$129,BZ$1,0),0)</f>
        <v>0</v>
      </c>
      <c r="CA7" s="14">
        <f>IFERROR(VLOOKUP($F7,'Visu totale'!$D$3:$DH$129,CA$1,0),0)</f>
        <v>0</v>
      </c>
      <c r="CB7" s="13">
        <f>IFERROR(VLOOKUP($F7,'Visu totale'!$D$3:$DH$129,CB$1,0),0)</f>
        <v>0</v>
      </c>
      <c r="CC7" s="13">
        <f>IFERROR(VLOOKUP($F7,'Visu totale'!$D$3:$DH$129,CC$1,0),0)</f>
        <v>0</v>
      </c>
      <c r="CD7" s="13">
        <f>IFERROR(VLOOKUP($F7,'Visu totale'!$D$3:$DH$129,CD$1,0),0)</f>
        <v>0</v>
      </c>
      <c r="CE7" s="13">
        <f>IFERROR(VLOOKUP($F7,'Visu totale'!$D$3:$DH$129,CE$1,0),0)</f>
        <v>0</v>
      </c>
      <c r="CF7" s="13">
        <f>IFERROR(VLOOKUP($F7,'Visu totale'!$D$3:$DH$129,CF$1,0),0)</f>
        <v>0</v>
      </c>
      <c r="CG7" s="13">
        <f>IFERROR(VLOOKUP($F7,'Visu totale'!$D$3:$DH$129,CG$1,0),0)</f>
        <v>0</v>
      </c>
      <c r="CH7" s="13">
        <f>IFERROR(VLOOKUP($F7,'Visu totale'!$D$3:$DH$129,CH$1,0),0)</f>
        <v>0</v>
      </c>
      <c r="CI7" s="13">
        <f>IFERROR(VLOOKUP($F7,'Visu totale'!$D$3:$DH$129,CI$1,0),0)</f>
        <v>0</v>
      </c>
      <c r="CJ7" s="13">
        <f>IFERROR(VLOOKUP($F7,'Visu totale'!$D$3:$DH$129,CJ$1,0),0)</f>
        <v>0</v>
      </c>
      <c r="CK7" s="13">
        <f>IFERROR(VLOOKUP($F7,'Visu totale'!$D$3:$DH$129,CK$1,0),0)</f>
        <v>0</v>
      </c>
      <c r="CL7" s="15">
        <f>IFERROR(VLOOKUP($F7,'Visu totale'!$D$3:$DH$129,CL$1,0),0)</f>
        <v>0</v>
      </c>
      <c r="CM7" s="14">
        <f>IFERROR(VLOOKUP($F7,'Visu totale'!$D$3:$DH$129,CM$1,0),0)</f>
        <v>0</v>
      </c>
      <c r="CN7" s="13">
        <f>IFERROR(VLOOKUP($F7,'Visu totale'!$D$3:$DH$129,CN$1,0),0)</f>
        <v>0</v>
      </c>
      <c r="CO7" s="13">
        <f>IFERROR(VLOOKUP($F7,'Visu totale'!$D$3:$DH$129,CO$1,0),0)</f>
        <v>0</v>
      </c>
      <c r="CP7" s="13">
        <f>IFERROR(VLOOKUP($F7,'Visu totale'!$D$3:$DH$129,CP$1,0),0)</f>
        <v>0</v>
      </c>
      <c r="CQ7" s="13">
        <f>IFERROR(VLOOKUP($F7,'Visu totale'!$D$3:$DH$129,CQ$1,0),0)</f>
        <v>0</v>
      </c>
      <c r="CR7" s="13">
        <f>IFERROR(VLOOKUP($F7,'Visu totale'!$D$3:$DH$129,CR$1,0),0)</f>
        <v>0</v>
      </c>
      <c r="CS7" s="13">
        <f>IFERROR(VLOOKUP($F7,'Visu totale'!$D$3:$DH$129,CS$1,0),0)</f>
        <v>0</v>
      </c>
      <c r="CT7" s="13">
        <f>IFERROR(VLOOKUP($F7,'Visu totale'!$D$3:$DH$129,CT$1,0),0)</f>
        <v>0</v>
      </c>
      <c r="CU7" s="13">
        <f>IFERROR(VLOOKUP($F7,'Visu totale'!$D$3:$DH$129,CU$1,0),0)</f>
        <v>0</v>
      </c>
      <c r="CV7" s="13">
        <f>IFERROR(VLOOKUP($F7,'Visu totale'!$D$3:$DH$129,CV$1,0),0)</f>
        <v>0</v>
      </c>
      <c r="CW7" s="13">
        <f>IFERROR(VLOOKUP($F7,'Visu totale'!$D$3:$DH$129,CW$1,0),0)</f>
        <v>0</v>
      </c>
      <c r="CX7" s="15">
        <f>IFERROR(VLOOKUP($F7,'Visu totale'!$D$3:$DH$129,CX$1,0),0)</f>
        <v>0</v>
      </c>
      <c r="CY7" s="14">
        <f>IFERROR(VLOOKUP($F7,'Visu totale'!$D$3:$DH$129,CY$1,0),0)</f>
        <v>0</v>
      </c>
      <c r="CZ7" s="13">
        <f>IFERROR(VLOOKUP($F7,'Visu totale'!$D$3:$DH$129,CZ$1,0),0)</f>
        <v>0</v>
      </c>
      <c r="DA7" s="13">
        <f>IFERROR(VLOOKUP($F7,'Visu totale'!$D$3:$DH$129,DA$1,0),0)</f>
        <v>0</v>
      </c>
      <c r="DB7" s="13">
        <f>IFERROR(VLOOKUP($F7,'Visu totale'!$D$3:$DH$129,DB$1,0),0)</f>
        <v>0</v>
      </c>
      <c r="DC7" s="13">
        <f>IFERROR(VLOOKUP($F7,'Visu totale'!$D$3:$DH$129,DC$1,0),0)</f>
        <v>0</v>
      </c>
      <c r="DD7" s="13">
        <f>IFERROR(VLOOKUP($F7,'Visu totale'!$D$3:$DH$129,DD$1,0),0)</f>
        <v>0</v>
      </c>
      <c r="DE7" s="13">
        <f>IFERROR(VLOOKUP($F7,'Visu totale'!$D$3:$DH$129,DE$1,0),0)</f>
        <v>0</v>
      </c>
      <c r="DF7" s="13">
        <f>IFERROR(VLOOKUP($F7,'Visu totale'!$D$3:$DH$129,DF$1,0),0)</f>
        <v>0</v>
      </c>
      <c r="DG7" s="13">
        <f>IFERROR(VLOOKUP($F7,'Visu totale'!$D$3:$DH$129,DG$1,0),0)</f>
        <v>0</v>
      </c>
      <c r="DH7" s="13">
        <f>IFERROR(VLOOKUP($F7,'Visu totale'!$D$3:$DH$129,DH$1,0),0)</f>
        <v>0</v>
      </c>
      <c r="DI7" s="13">
        <f>IFERROR(VLOOKUP($F7,'Visu totale'!$D$3:$DH$129,DI$1,0),0)</f>
        <v>0</v>
      </c>
      <c r="DJ7" s="15">
        <f>IFERROR(VLOOKUP($F7,'Visu totale'!$D$3:$DH$129,DJ$1,0),0)</f>
        <v>0</v>
      </c>
    </row>
    <row r="8" spans="1:114" x14ac:dyDescent="0.25">
      <c r="A8" s="13"/>
      <c r="B8" s="13"/>
      <c r="C8" s="13"/>
      <c r="D8" s="13"/>
      <c r="E8" s="13"/>
      <c r="F8" s="17" t="s">
        <v>84</v>
      </c>
      <c r="G8" s="14">
        <f>IFERROR(VLOOKUP($F8,'Visu totale'!$D$3:$DH$129,G$1,0),0)</f>
        <v>0</v>
      </c>
      <c r="H8" s="13">
        <f>IFERROR(VLOOKUP($F8,'Visu totale'!$D$3:$DH$129,H$1,0),0)</f>
        <v>0</v>
      </c>
      <c r="I8" s="13">
        <f>IFERROR(VLOOKUP($F8,'Visu totale'!$D$3:$DH$129,I$1,0),0)</f>
        <v>0</v>
      </c>
      <c r="J8" s="13">
        <f>IFERROR(VLOOKUP($F8,'Visu totale'!$D$3:$DH$129,J$1,0),0)</f>
        <v>0</v>
      </c>
      <c r="K8" s="13">
        <f>IFERROR(VLOOKUP($F8,'Visu totale'!$D$3:$DH$129,K$1,0),0)</f>
        <v>0</v>
      </c>
      <c r="L8" s="13">
        <f>IFERROR(VLOOKUP($F8,'Visu totale'!$D$3:$DH$129,L$1,0),0)</f>
        <v>0</v>
      </c>
      <c r="M8" s="13">
        <f>IFERROR(VLOOKUP($F8,'Visu totale'!$D$3:$DH$129,M$1,0),0)</f>
        <v>0</v>
      </c>
      <c r="N8" s="13">
        <f>IFERROR(VLOOKUP($F8,'Visu totale'!$D$3:$DH$129,N$1,0),0)</f>
        <v>0</v>
      </c>
      <c r="O8" s="13">
        <f>IFERROR(VLOOKUP($F8,'Visu totale'!$D$3:$DH$129,O$1,0),0)</f>
        <v>0</v>
      </c>
      <c r="P8" s="13">
        <f>IFERROR(VLOOKUP($F8,'Visu totale'!$D$3:$DH$129,P$1,0),0)</f>
        <v>0</v>
      </c>
      <c r="Q8" s="13">
        <f>IFERROR(VLOOKUP($F8,'Visu totale'!$D$3:$DH$129,Q$1,0),0)</f>
        <v>0</v>
      </c>
      <c r="R8" s="15">
        <f>IFERROR(VLOOKUP($F8,'Visu totale'!$D$3:$DH$129,R$1,0),0)</f>
        <v>0</v>
      </c>
      <c r="S8" s="14">
        <f>IFERROR(VLOOKUP($F8,'Visu totale'!$D$3:$DH$129,S$1,0),0)</f>
        <v>0</v>
      </c>
      <c r="T8" s="13">
        <f>IFERROR(VLOOKUP($F8,'Visu totale'!$D$3:$DH$129,T$1,0),0)</f>
        <v>0</v>
      </c>
      <c r="U8" s="13">
        <f>IFERROR(VLOOKUP($F8,'Visu totale'!$D$3:$DH$129,U$1,0),0)</f>
        <v>0</v>
      </c>
      <c r="V8" s="13">
        <f>IFERROR(VLOOKUP($F8,'Visu totale'!$D$3:$DH$129,V$1,0),0)</f>
        <v>0</v>
      </c>
      <c r="W8" s="13">
        <f>IFERROR(VLOOKUP($F8,'Visu totale'!$D$3:$DH$129,W$1,0),0)</f>
        <v>0</v>
      </c>
      <c r="X8" s="13">
        <f>IFERROR(VLOOKUP($F8,'Visu totale'!$D$3:$DH$129,X$1,0),0)</f>
        <v>0</v>
      </c>
      <c r="Y8" s="13">
        <f>IFERROR(VLOOKUP($F8,'Visu totale'!$D$3:$DH$129,Y$1,0),0)</f>
        <v>0</v>
      </c>
      <c r="Z8" s="13">
        <f>IFERROR(VLOOKUP($F8,'Visu totale'!$D$3:$DH$129,Z$1,0),0)</f>
        <v>0</v>
      </c>
      <c r="AA8" s="13">
        <f>IFERROR(VLOOKUP($F8,'Visu totale'!$D$3:$DH$129,AA$1,0),0)</f>
        <v>0</v>
      </c>
      <c r="AB8" s="13">
        <f>IFERROR(VLOOKUP($F8,'Visu totale'!$D$3:$DH$129,AB$1,0),0)</f>
        <v>0</v>
      </c>
      <c r="AC8" s="13">
        <f>IFERROR(VLOOKUP($F8,'Visu totale'!$D$3:$DH$129,AC$1,0),0)</f>
        <v>0</v>
      </c>
      <c r="AD8" s="15">
        <f>IFERROR(VLOOKUP($F8,'Visu totale'!$D$3:$DH$129,AD$1,0),0)</f>
        <v>0</v>
      </c>
      <c r="AE8" s="14">
        <f>IFERROR(VLOOKUP($F8,'Visu totale'!$D$3:$DH$129,AE$1,0),0)</f>
        <v>0</v>
      </c>
      <c r="AF8" s="13">
        <f>IFERROR(VLOOKUP($F8,'Visu totale'!$D$3:$DH$129,AF$1,0),0)</f>
        <v>0</v>
      </c>
      <c r="AG8" s="13">
        <f>IFERROR(VLOOKUP($F8,'Visu totale'!$D$3:$DH$129,AG$1,0),0)</f>
        <v>0</v>
      </c>
      <c r="AH8" s="13">
        <f>IFERROR(VLOOKUP($F8,'Visu totale'!$D$3:$DH$129,AH$1,0),0)</f>
        <v>0</v>
      </c>
      <c r="AI8" s="13">
        <f>IFERROR(VLOOKUP($F8,'Visu totale'!$D$3:$DH$129,AI$1,0),0)</f>
        <v>0</v>
      </c>
      <c r="AJ8" s="13">
        <f>IFERROR(VLOOKUP($F8,'Visu totale'!$D$3:$DH$129,AJ$1,0),0)</f>
        <v>0</v>
      </c>
      <c r="AK8" s="13">
        <f>IFERROR(VLOOKUP($F8,'Visu totale'!$D$3:$DH$129,AK$1,0),0)</f>
        <v>0</v>
      </c>
      <c r="AL8" s="13">
        <f>IFERROR(VLOOKUP($F8,'Visu totale'!$D$3:$DH$129,AL$1,0),0)</f>
        <v>0</v>
      </c>
      <c r="AM8" s="13">
        <f>IFERROR(VLOOKUP($F8,'Visu totale'!$D$3:$DH$129,AM$1,0),0)</f>
        <v>0</v>
      </c>
      <c r="AN8" s="13">
        <f>IFERROR(VLOOKUP($F8,'Visu totale'!$D$3:$DH$129,AN$1,0),0)</f>
        <v>0</v>
      </c>
      <c r="AO8" s="13">
        <f>IFERROR(VLOOKUP($F8,'Visu totale'!$D$3:$DH$129,AO$1,0),0)</f>
        <v>0</v>
      </c>
      <c r="AP8" s="15">
        <f>IFERROR(VLOOKUP($F8,'Visu totale'!$D$3:$DH$129,AP$1,0),0)</f>
        <v>0</v>
      </c>
      <c r="AQ8" s="14">
        <f>IFERROR(VLOOKUP($F8,'Visu totale'!$D$3:$DH$129,AQ$1,0),0)</f>
        <v>0</v>
      </c>
      <c r="AR8" s="13">
        <f>IFERROR(VLOOKUP($F8,'Visu totale'!$D$3:$DH$129,AR$1,0),0)</f>
        <v>0</v>
      </c>
      <c r="AS8" s="13">
        <f>IFERROR(VLOOKUP($F8,'Visu totale'!$D$3:$DH$129,AS$1,0),0)</f>
        <v>0</v>
      </c>
      <c r="AT8" s="13">
        <f>IFERROR(VLOOKUP($F8,'Visu totale'!$D$3:$DH$129,AT$1,0),0)</f>
        <v>0</v>
      </c>
      <c r="AU8" s="13">
        <f>IFERROR(VLOOKUP($F8,'Visu totale'!$D$3:$DH$129,AU$1,0),0)</f>
        <v>0</v>
      </c>
      <c r="AV8" s="13">
        <f>IFERROR(VLOOKUP($F8,'Visu totale'!$D$3:$DH$129,AV$1,0),0)</f>
        <v>0</v>
      </c>
      <c r="AW8" s="13">
        <f>IFERROR(VLOOKUP($F8,'Visu totale'!$D$3:$DH$129,AW$1,0),0)</f>
        <v>0</v>
      </c>
      <c r="AX8" s="13">
        <f>IFERROR(VLOOKUP($F8,'Visu totale'!$D$3:$DH$129,AX$1,0),0)</f>
        <v>0</v>
      </c>
      <c r="AY8" s="13">
        <f>IFERROR(VLOOKUP($F8,'Visu totale'!$D$3:$DH$129,AY$1,0),0)</f>
        <v>0</v>
      </c>
      <c r="AZ8" s="13">
        <f>IFERROR(VLOOKUP($F8,'Visu totale'!$D$3:$DH$129,AZ$1,0),0)</f>
        <v>0</v>
      </c>
      <c r="BA8" s="13">
        <f>IFERROR(VLOOKUP($F8,'Visu totale'!$D$3:$DH$129,BA$1,0),0)</f>
        <v>0</v>
      </c>
      <c r="BB8" s="15">
        <f>IFERROR(VLOOKUP($F8,'Visu totale'!$D$3:$DH$129,BB$1,0),0)</f>
        <v>0</v>
      </c>
      <c r="BC8" s="14">
        <f>IFERROR(VLOOKUP($F8,'Visu totale'!$D$3:$DH$129,BC$1,0),0)</f>
        <v>0</v>
      </c>
      <c r="BD8" s="13">
        <f>IFERROR(VLOOKUP($F8,'Visu totale'!$D$3:$DH$129,BD$1,0),0)</f>
        <v>0</v>
      </c>
      <c r="BE8" s="13">
        <f>IFERROR(VLOOKUP($F8,'Visu totale'!$D$3:$DH$129,BE$1,0),0)</f>
        <v>0</v>
      </c>
      <c r="BF8" s="13">
        <f>IFERROR(VLOOKUP($F8,'Visu totale'!$D$3:$DH$129,BF$1,0),0)</f>
        <v>0</v>
      </c>
      <c r="BG8" s="13">
        <f>IFERROR(VLOOKUP($F8,'Visu totale'!$D$3:$DH$129,BG$1,0),0)</f>
        <v>0</v>
      </c>
      <c r="BH8" s="13">
        <f>IFERROR(VLOOKUP($F8,'Visu totale'!$D$3:$DH$129,BH$1,0),0)</f>
        <v>0</v>
      </c>
      <c r="BI8" s="13">
        <f>IFERROR(VLOOKUP($F8,'Visu totale'!$D$3:$DH$129,BI$1,0),0)</f>
        <v>0</v>
      </c>
      <c r="BJ8" s="13">
        <f>IFERROR(VLOOKUP($F8,'Visu totale'!$D$3:$DH$129,BJ$1,0),0)</f>
        <v>0</v>
      </c>
      <c r="BK8" s="13">
        <f>IFERROR(VLOOKUP($F8,'Visu totale'!$D$3:$DH$129,BK$1,0),0)</f>
        <v>0</v>
      </c>
      <c r="BL8" s="13">
        <f>IFERROR(VLOOKUP($F8,'Visu totale'!$D$3:$DH$129,BL$1,0),0)</f>
        <v>0</v>
      </c>
      <c r="BM8" s="13">
        <f>IFERROR(VLOOKUP($F8,'Visu totale'!$D$3:$DH$129,BM$1,0),0)</f>
        <v>0</v>
      </c>
      <c r="BN8" s="15">
        <f>IFERROR(VLOOKUP($F8,'Visu totale'!$D$3:$DH$129,BN$1,0),0)</f>
        <v>0</v>
      </c>
      <c r="BO8" s="14">
        <f>IFERROR(VLOOKUP($F8,'Visu totale'!$D$3:$DH$129,BO$1,0),0)</f>
        <v>0</v>
      </c>
      <c r="BP8" s="13">
        <f>IFERROR(VLOOKUP($F8,'Visu totale'!$D$3:$DH$129,BP$1,0),0)</f>
        <v>0</v>
      </c>
      <c r="BQ8" s="13">
        <f>IFERROR(VLOOKUP($F8,'Visu totale'!$D$3:$DH$129,BQ$1,0),0)</f>
        <v>0</v>
      </c>
      <c r="BR8" s="13">
        <f>IFERROR(VLOOKUP($F8,'Visu totale'!$D$3:$DH$129,BR$1,0),0)</f>
        <v>0</v>
      </c>
      <c r="BS8" s="13">
        <f>IFERROR(VLOOKUP($F8,'Visu totale'!$D$3:$DH$129,BS$1,0),0)</f>
        <v>0</v>
      </c>
      <c r="BT8" s="13">
        <f>IFERROR(VLOOKUP($F8,'Visu totale'!$D$3:$DH$129,BT$1,0),0)</f>
        <v>0</v>
      </c>
      <c r="BU8" s="13">
        <f>IFERROR(VLOOKUP($F8,'Visu totale'!$D$3:$DH$129,BU$1,0),0)</f>
        <v>0</v>
      </c>
      <c r="BV8" s="13">
        <f>IFERROR(VLOOKUP($F8,'Visu totale'!$D$3:$DH$129,BV$1,0),0)</f>
        <v>0</v>
      </c>
      <c r="BW8" s="13">
        <f>IFERROR(VLOOKUP($F8,'Visu totale'!$D$3:$DH$129,BW$1,0),0)</f>
        <v>0</v>
      </c>
      <c r="BX8" s="13">
        <f>IFERROR(VLOOKUP($F8,'Visu totale'!$D$3:$DH$129,BX$1,0),0)</f>
        <v>0</v>
      </c>
      <c r="BY8" s="13">
        <f>IFERROR(VLOOKUP($F8,'Visu totale'!$D$3:$DH$129,BY$1,0),0)</f>
        <v>0</v>
      </c>
      <c r="BZ8" s="15">
        <f>IFERROR(VLOOKUP($F8,'Visu totale'!$D$3:$DH$129,BZ$1,0),0)</f>
        <v>0</v>
      </c>
      <c r="CA8" s="14">
        <f>IFERROR(VLOOKUP($F8,'Visu totale'!$D$3:$DH$129,CA$1,0),0)</f>
        <v>0</v>
      </c>
      <c r="CB8" s="13">
        <f>IFERROR(VLOOKUP($F8,'Visu totale'!$D$3:$DH$129,CB$1,0),0)</f>
        <v>0</v>
      </c>
      <c r="CC8" s="13">
        <f>IFERROR(VLOOKUP($F8,'Visu totale'!$D$3:$DH$129,CC$1,0),0)</f>
        <v>0</v>
      </c>
      <c r="CD8" s="13">
        <f>IFERROR(VLOOKUP($F8,'Visu totale'!$D$3:$DH$129,CD$1,0),0)</f>
        <v>0</v>
      </c>
      <c r="CE8" s="13">
        <f>IFERROR(VLOOKUP($F8,'Visu totale'!$D$3:$DH$129,CE$1,0),0)</f>
        <v>0</v>
      </c>
      <c r="CF8" s="13">
        <f>IFERROR(VLOOKUP($F8,'Visu totale'!$D$3:$DH$129,CF$1,0),0)</f>
        <v>0</v>
      </c>
      <c r="CG8" s="13">
        <f>IFERROR(VLOOKUP($F8,'Visu totale'!$D$3:$DH$129,CG$1,0),0)</f>
        <v>0</v>
      </c>
      <c r="CH8" s="13">
        <f>IFERROR(VLOOKUP($F8,'Visu totale'!$D$3:$DH$129,CH$1,0),0)</f>
        <v>0</v>
      </c>
      <c r="CI8" s="13">
        <f>IFERROR(VLOOKUP($F8,'Visu totale'!$D$3:$DH$129,CI$1,0),0)</f>
        <v>0</v>
      </c>
      <c r="CJ8" s="13">
        <f>IFERROR(VLOOKUP($F8,'Visu totale'!$D$3:$DH$129,CJ$1,0),0)</f>
        <v>0</v>
      </c>
      <c r="CK8" s="13">
        <f>IFERROR(VLOOKUP($F8,'Visu totale'!$D$3:$DH$129,CK$1,0),0)</f>
        <v>0</v>
      </c>
      <c r="CL8" s="15">
        <f>IFERROR(VLOOKUP($F8,'Visu totale'!$D$3:$DH$129,CL$1,0),0)</f>
        <v>0</v>
      </c>
      <c r="CM8" s="14">
        <f>IFERROR(VLOOKUP($F8,'Visu totale'!$D$3:$DH$129,CM$1,0),0)</f>
        <v>0</v>
      </c>
      <c r="CN8" s="13">
        <f>IFERROR(VLOOKUP($F8,'Visu totale'!$D$3:$DH$129,CN$1,0),0)</f>
        <v>0</v>
      </c>
      <c r="CO8" s="13">
        <f>IFERROR(VLOOKUP($F8,'Visu totale'!$D$3:$DH$129,CO$1,0),0)</f>
        <v>0</v>
      </c>
      <c r="CP8" s="13">
        <f>IFERROR(VLOOKUP($F8,'Visu totale'!$D$3:$DH$129,CP$1,0),0)</f>
        <v>0</v>
      </c>
      <c r="CQ8" s="13">
        <f>IFERROR(VLOOKUP($F8,'Visu totale'!$D$3:$DH$129,CQ$1,0),0)</f>
        <v>0</v>
      </c>
      <c r="CR8" s="13">
        <f>IFERROR(VLOOKUP($F8,'Visu totale'!$D$3:$DH$129,CR$1,0),0)</f>
        <v>0</v>
      </c>
      <c r="CS8" s="13">
        <f>IFERROR(VLOOKUP($F8,'Visu totale'!$D$3:$DH$129,CS$1,0),0)</f>
        <v>0</v>
      </c>
      <c r="CT8" s="13">
        <f>IFERROR(VLOOKUP($F8,'Visu totale'!$D$3:$DH$129,CT$1,0),0)</f>
        <v>0</v>
      </c>
      <c r="CU8" s="13">
        <f>IFERROR(VLOOKUP($F8,'Visu totale'!$D$3:$DH$129,CU$1,0),0)</f>
        <v>0</v>
      </c>
      <c r="CV8" s="13">
        <f>IFERROR(VLOOKUP($F8,'Visu totale'!$D$3:$DH$129,CV$1,0),0)</f>
        <v>0</v>
      </c>
      <c r="CW8" s="13">
        <f>IFERROR(VLOOKUP($F8,'Visu totale'!$D$3:$DH$129,CW$1,0),0)</f>
        <v>0</v>
      </c>
      <c r="CX8" s="15">
        <f>IFERROR(VLOOKUP($F8,'Visu totale'!$D$3:$DH$129,CX$1,0),0)</f>
        <v>0</v>
      </c>
      <c r="CY8" s="14">
        <f>IFERROR(VLOOKUP($F8,'Visu totale'!$D$3:$DH$129,CY$1,0),0)</f>
        <v>0</v>
      </c>
      <c r="CZ8" s="13">
        <f>IFERROR(VLOOKUP($F8,'Visu totale'!$D$3:$DH$129,CZ$1,0),0)</f>
        <v>0</v>
      </c>
      <c r="DA8" s="13">
        <f>IFERROR(VLOOKUP($F8,'Visu totale'!$D$3:$DH$129,DA$1,0),0)</f>
        <v>0</v>
      </c>
      <c r="DB8" s="13">
        <f>IFERROR(VLOOKUP($F8,'Visu totale'!$D$3:$DH$129,DB$1,0),0)</f>
        <v>0</v>
      </c>
      <c r="DC8" s="13">
        <f>IFERROR(VLOOKUP($F8,'Visu totale'!$D$3:$DH$129,DC$1,0),0)</f>
        <v>0</v>
      </c>
      <c r="DD8" s="13">
        <f>IFERROR(VLOOKUP($F8,'Visu totale'!$D$3:$DH$129,DD$1,0),0)</f>
        <v>0</v>
      </c>
      <c r="DE8" s="13">
        <f>IFERROR(VLOOKUP($F8,'Visu totale'!$D$3:$DH$129,DE$1,0),0)</f>
        <v>0</v>
      </c>
      <c r="DF8" s="13">
        <f>IFERROR(VLOOKUP($F8,'Visu totale'!$D$3:$DH$129,DF$1,0),0)</f>
        <v>0</v>
      </c>
      <c r="DG8" s="13">
        <f>IFERROR(VLOOKUP($F8,'Visu totale'!$D$3:$DH$129,DG$1,0),0)</f>
        <v>0</v>
      </c>
      <c r="DH8" s="13">
        <f>IFERROR(VLOOKUP($F8,'Visu totale'!$D$3:$DH$129,DH$1,0),0)</f>
        <v>0</v>
      </c>
      <c r="DI8" s="13">
        <f>IFERROR(VLOOKUP($F8,'Visu totale'!$D$3:$DH$129,DI$1,0),0)</f>
        <v>0</v>
      </c>
      <c r="DJ8" s="15">
        <f>IFERROR(VLOOKUP($F8,'Visu totale'!$D$3:$DH$129,DJ$1,0),0)</f>
        <v>0</v>
      </c>
    </row>
    <row r="9" spans="1:114" x14ac:dyDescent="0.25">
      <c r="A9" s="13"/>
      <c r="B9" s="13"/>
      <c r="C9" s="13"/>
      <c r="D9" s="13"/>
      <c r="E9" s="13"/>
      <c r="F9" s="17" t="s">
        <v>85</v>
      </c>
      <c r="G9" s="14">
        <f>IFERROR(VLOOKUP($F9,'Visu totale'!$D$3:$DH$129,G$1,0),0)</f>
        <v>0</v>
      </c>
      <c r="H9" s="13">
        <f>IFERROR(VLOOKUP($F9,'Visu totale'!$D$3:$DH$129,H$1,0),0)</f>
        <v>0</v>
      </c>
      <c r="I9" s="13">
        <f>IFERROR(VLOOKUP($F9,'Visu totale'!$D$3:$DH$129,I$1,0),0)</f>
        <v>0</v>
      </c>
      <c r="J9" s="13">
        <f>IFERROR(VLOOKUP($F9,'Visu totale'!$D$3:$DH$129,J$1,0),0)</f>
        <v>0</v>
      </c>
      <c r="K9" s="13">
        <f>IFERROR(VLOOKUP($F9,'Visu totale'!$D$3:$DH$129,K$1,0),0)</f>
        <v>0</v>
      </c>
      <c r="L9" s="13">
        <f>IFERROR(VLOOKUP($F9,'Visu totale'!$D$3:$DH$129,L$1,0),0)</f>
        <v>0</v>
      </c>
      <c r="M9" s="13">
        <f>IFERROR(VLOOKUP($F9,'Visu totale'!$D$3:$DH$129,M$1,0),0)</f>
        <v>0</v>
      </c>
      <c r="N9" s="13">
        <f>IFERROR(VLOOKUP($F9,'Visu totale'!$D$3:$DH$129,N$1,0),0)</f>
        <v>0</v>
      </c>
      <c r="O9" s="13">
        <f>IFERROR(VLOOKUP($F9,'Visu totale'!$D$3:$DH$129,O$1,0),0)</f>
        <v>0</v>
      </c>
      <c r="P9" s="13">
        <f>IFERROR(VLOOKUP($F9,'Visu totale'!$D$3:$DH$129,P$1,0),0)</f>
        <v>0</v>
      </c>
      <c r="Q9" s="13">
        <f>IFERROR(VLOOKUP($F9,'Visu totale'!$D$3:$DH$129,Q$1,0),0)</f>
        <v>0</v>
      </c>
      <c r="R9" s="15">
        <f>IFERROR(VLOOKUP($F9,'Visu totale'!$D$3:$DH$129,R$1,0),0)</f>
        <v>0</v>
      </c>
      <c r="S9" s="14">
        <f>IFERROR(VLOOKUP($F9,'Visu totale'!$D$3:$DH$129,S$1,0),0)</f>
        <v>0</v>
      </c>
      <c r="T9" s="13">
        <f>IFERROR(VLOOKUP($F9,'Visu totale'!$D$3:$DH$129,T$1,0),0)</f>
        <v>0</v>
      </c>
      <c r="U9" s="13">
        <f>IFERROR(VLOOKUP($F9,'Visu totale'!$D$3:$DH$129,U$1,0),0)</f>
        <v>0</v>
      </c>
      <c r="V9" s="13">
        <f>IFERROR(VLOOKUP($F9,'Visu totale'!$D$3:$DH$129,V$1,0),0)</f>
        <v>0</v>
      </c>
      <c r="W9" s="13">
        <f>IFERROR(VLOOKUP($F9,'Visu totale'!$D$3:$DH$129,W$1,0),0)</f>
        <v>0</v>
      </c>
      <c r="X9" s="13">
        <f>IFERROR(VLOOKUP($F9,'Visu totale'!$D$3:$DH$129,X$1,0),0)</f>
        <v>0</v>
      </c>
      <c r="Y9" s="13">
        <f>IFERROR(VLOOKUP($F9,'Visu totale'!$D$3:$DH$129,Y$1,0),0)</f>
        <v>0</v>
      </c>
      <c r="Z9" s="13">
        <f>IFERROR(VLOOKUP($F9,'Visu totale'!$D$3:$DH$129,Z$1,0),0)</f>
        <v>0</v>
      </c>
      <c r="AA9" s="13">
        <f>IFERROR(VLOOKUP($F9,'Visu totale'!$D$3:$DH$129,AA$1,0),0)</f>
        <v>0</v>
      </c>
      <c r="AB9" s="13">
        <f>IFERROR(VLOOKUP($F9,'Visu totale'!$D$3:$DH$129,AB$1,0),0)</f>
        <v>0</v>
      </c>
      <c r="AC9" s="13">
        <f>IFERROR(VLOOKUP($F9,'Visu totale'!$D$3:$DH$129,AC$1,0),0)</f>
        <v>0</v>
      </c>
      <c r="AD9" s="15">
        <f>IFERROR(VLOOKUP($F9,'Visu totale'!$D$3:$DH$129,AD$1,0),0)</f>
        <v>0</v>
      </c>
      <c r="AE9" s="14">
        <f>IFERROR(VLOOKUP($F9,'Visu totale'!$D$3:$DH$129,AE$1,0),0)</f>
        <v>0</v>
      </c>
      <c r="AF9" s="13">
        <f>IFERROR(VLOOKUP($F9,'Visu totale'!$D$3:$DH$129,AF$1,0),0)</f>
        <v>0</v>
      </c>
      <c r="AG9" s="13">
        <f>IFERROR(VLOOKUP($F9,'Visu totale'!$D$3:$DH$129,AG$1,0),0)</f>
        <v>0</v>
      </c>
      <c r="AH9" s="13">
        <f>IFERROR(VLOOKUP($F9,'Visu totale'!$D$3:$DH$129,AH$1,0),0)</f>
        <v>0</v>
      </c>
      <c r="AI9" s="13">
        <f>IFERROR(VLOOKUP($F9,'Visu totale'!$D$3:$DH$129,AI$1,0),0)</f>
        <v>0</v>
      </c>
      <c r="AJ9" s="13">
        <f>IFERROR(VLOOKUP($F9,'Visu totale'!$D$3:$DH$129,AJ$1,0),0)</f>
        <v>0</v>
      </c>
      <c r="AK9" s="13">
        <f>IFERROR(VLOOKUP($F9,'Visu totale'!$D$3:$DH$129,AK$1,0),0)</f>
        <v>0</v>
      </c>
      <c r="AL9" s="13">
        <f>IFERROR(VLOOKUP($F9,'Visu totale'!$D$3:$DH$129,AL$1,0),0)</f>
        <v>0</v>
      </c>
      <c r="AM9" s="13">
        <f>IFERROR(VLOOKUP($F9,'Visu totale'!$D$3:$DH$129,AM$1,0),0)</f>
        <v>0</v>
      </c>
      <c r="AN9" s="13">
        <f>IFERROR(VLOOKUP($F9,'Visu totale'!$D$3:$DH$129,AN$1,0),0)</f>
        <v>0</v>
      </c>
      <c r="AO9" s="13">
        <f>IFERROR(VLOOKUP($F9,'Visu totale'!$D$3:$DH$129,AO$1,0),0)</f>
        <v>0</v>
      </c>
      <c r="AP9" s="15">
        <f>IFERROR(VLOOKUP($F9,'Visu totale'!$D$3:$DH$129,AP$1,0),0)</f>
        <v>0</v>
      </c>
      <c r="AQ9" s="14">
        <f>IFERROR(VLOOKUP($F9,'Visu totale'!$D$3:$DH$129,AQ$1,0),0)</f>
        <v>0</v>
      </c>
      <c r="AR9" s="13">
        <f>IFERROR(VLOOKUP($F9,'Visu totale'!$D$3:$DH$129,AR$1,0),0)</f>
        <v>0</v>
      </c>
      <c r="AS9" s="13">
        <f>IFERROR(VLOOKUP($F9,'Visu totale'!$D$3:$DH$129,AS$1,0),0)</f>
        <v>0</v>
      </c>
      <c r="AT9" s="13">
        <f>IFERROR(VLOOKUP($F9,'Visu totale'!$D$3:$DH$129,AT$1,0),0)</f>
        <v>0</v>
      </c>
      <c r="AU9" s="13">
        <f>IFERROR(VLOOKUP($F9,'Visu totale'!$D$3:$DH$129,AU$1,0),0)</f>
        <v>0</v>
      </c>
      <c r="AV9" s="13">
        <f>IFERROR(VLOOKUP($F9,'Visu totale'!$D$3:$DH$129,AV$1,0),0)</f>
        <v>0</v>
      </c>
      <c r="AW9" s="13">
        <f>IFERROR(VLOOKUP($F9,'Visu totale'!$D$3:$DH$129,AW$1,0),0)</f>
        <v>0</v>
      </c>
      <c r="AX9" s="13">
        <f>IFERROR(VLOOKUP($F9,'Visu totale'!$D$3:$DH$129,AX$1,0),0)</f>
        <v>0</v>
      </c>
      <c r="AY9" s="13">
        <f>IFERROR(VLOOKUP($F9,'Visu totale'!$D$3:$DH$129,AY$1,0),0)</f>
        <v>0</v>
      </c>
      <c r="AZ9" s="13">
        <f>IFERROR(VLOOKUP($F9,'Visu totale'!$D$3:$DH$129,AZ$1,0),0)</f>
        <v>0</v>
      </c>
      <c r="BA9" s="13">
        <f>IFERROR(VLOOKUP($F9,'Visu totale'!$D$3:$DH$129,BA$1,0),0)</f>
        <v>0</v>
      </c>
      <c r="BB9" s="15">
        <f>IFERROR(VLOOKUP($F9,'Visu totale'!$D$3:$DH$129,BB$1,0),0)</f>
        <v>0</v>
      </c>
      <c r="BC9" s="14">
        <f>IFERROR(VLOOKUP($F9,'Visu totale'!$D$3:$DH$129,BC$1,0),0)</f>
        <v>0</v>
      </c>
      <c r="BD9" s="13">
        <f>IFERROR(VLOOKUP($F9,'Visu totale'!$D$3:$DH$129,BD$1,0),0)</f>
        <v>0</v>
      </c>
      <c r="BE9" s="13">
        <f>IFERROR(VLOOKUP($F9,'Visu totale'!$D$3:$DH$129,BE$1,0),0)</f>
        <v>0</v>
      </c>
      <c r="BF9" s="13">
        <f>IFERROR(VLOOKUP($F9,'Visu totale'!$D$3:$DH$129,BF$1,0),0)</f>
        <v>0</v>
      </c>
      <c r="BG9" s="13">
        <f>IFERROR(VLOOKUP($F9,'Visu totale'!$D$3:$DH$129,BG$1,0),0)</f>
        <v>0</v>
      </c>
      <c r="BH9" s="13">
        <f>IFERROR(VLOOKUP($F9,'Visu totale'!$D$3:$DH$129,BH$1,0),0)</f>
        <v>0</v>
      </c>
      <c r="BI9" s="13">
        <f>IFERROR(VLOOKUP($F9,'Visu totale'!$D$3:$DH$129,BI$1,0),0)</f>
        <v>0</v>
      </c>
      <c r="BJ9" s="13">
        <f>IFERROR(VLOOKUP($F9,'Visu totale'!$D$3:$DH$129,BJ$1,0),0)</f>
        <v>0</v>
      </c>
      <c r="BK9" s="13">
        <f>IFERROR(VLOOKUP($F9,'Visu totale'!$D$3:$DH$129,BK$1,0),0)</f>
        <v>0</v>
      </c>
      <c r="BL9" s="13">
        <f>IFERROR(VLOOKUP($F9,'Visu totale'!$D$3:$DH$129,BL$1,0),0)</f>
        <v>0</v>
      </c>
      <c r="BM9" s="13">
        <f>IFERROR(VLOOKUP($F9,'Visu totale'!$D$3:$DH$129,BM$1,0),0)</f>
        <v>0</v>
      </c>
      <c r="BN9" s="15">
        <f>IFERROR(VLOOKUP($F9,'Visu totale'!$D$3:$DH$129,BN$1,0),0)</f>
        <v>0</v>
      </c>
      <c r="BO9" s="14">
        <f>IFERROR(VLOOKUP($F9,'Visu totale'!$D$3:$DH$129,BO$1,0),0)</f>
        <v>0</v>
      </c>
      <c r="BP9" s="13">
        <f>IFERROR(VLOOKUP($F9,'Visu totale'!$D$3:$DH$129,BP$1,0),0)</f>
        <v>0</v>
      </c>
      <c r="BQ9" s="13">
        <f>IFERROR(VLOOKUP($F9,'Visu totale'!$D$3:$DH$129,BQ$1,0),0)</f>
        <v>0</v>
      </c>
      <c r="BR9" s="13">
        <f>IFERROR(VLOOKUP($F9,'Visu totale'!$D$3:$DH$129,BR$1,0),0)</f>
        <v>0</v>
      </c>
      <c r="BS9" s="13">
        <f>IFERROR(VLOOKUP($F9,'Visu totale'!$D$3:$DH$129,BS$1,0),0)</f>
        <v>0</v>
      </c>
      <c r="BT9" s="13">
        <f>IFERROR(VLOOKUP($F9,'Visu totale'!$D$3:$DH$129,BT$1,0),0)</f>
        <v>0</v>
      </c>
      <c r="BU9" s="13">
        <f>IFERROR(VLOOKUP($F9,'Visu totale'!$D$3:$DH$129,BU$1,0),0)</f>
        <v>0</v>
      </c>
      <c r="BV9" s="13">
        <f>IFERROR(VLOOKUP($F9,'Visu totale'!$D$3:$DH$129,BV$1,0),0)</f>
        <v>0</v>
      </c>
      <c r="BW9" s="13">
        <f>IFERROR(VLOOKUP($F9,'Visu totale'!$D$3:$DH$129,BW$1,0),0)</f>
        <v>0</v>
      </c>
      <c r="BX9" s="13">
        <f>IFERROR(VLOOKUP($F9,'Visu totale'!$D$3:$DH$129,BX$1,0),0)</f>
        <v>0</v>
      </c>
      <c r="BY9" s="13">
        <f>IFERROR(VLOOKUP($F9,'Visu totale'!$D$3:$DH$129,BY$1,0),0)</f>
        <v>0</v>
      </c>
      <c r="BZ9" s="15">
        <f>IFERROR(VLOOKUP($F9,'Visu totale'!$D$3:$DH$129,BZ$1,0),0)</f>
        <v>0</v>
      </c>
      <c r="CA9" s="14">
        <f>IFERROR(VLOOKUP($F9,'Visu totale'!$D$3:$DH$129,CA$1,0),0)</f>
        <v>0</v>
      </c>
      <c r="CB9" s="13">
        <f>IFERROR(VLOOKUP($F9,'Visu totale'!$D$3:$DH$129,CB$1,0),0)</f>
        <v>0</v>
      </c>
      <c r="CC9" s="13">
        <f>IFERROR(VLOOKUP($F9,'Visu totale'!$D$3:$DH$129,CC$1,0),0)</f>
        <v>0</v>
      </c>
      <c r="CD9" s="13">
        <f>IFERROR(VLOOKUP($F9,'Visu totale'!$D$3:$DH$129,CD$1,0),0)</f>
        <v>0</v>
      </c>
      <c r="CE9" s="13">
        <f>IFERROR(VLOOKUP($F9,'Visu totale'!$D$3:$DH$129,CE$1,0),0)</f>
        <v>0</v>
      </c>
      <c r="CF9" s="13">
        <f>IFERROR(VLOOKUP($F9,'Visu totale'!$D$3:$DH$129,CF$1,0),0)</f>
        <v>0</v>
      </c>
      <c r="CG9" s="13">
        <f>IFERROR(VLOOKUP($F9,'Visu totale'!$D$3:$DH$129,CG$1,0),0)</f>
        <v>0</v>
      </c>
      <c r="CH9" s="13">
        <f>IFERROR(VLOOKUP($F9,'Visu totale'!$D$3:$DH$129,CH$1,0),0)</f>
        <v>0</v>
      </c>
      <c r="CI9" s="13">
        <f>IFERROR(VLOOKUP($F9,'Visu totale'!$D$3:$DH$129,CI$1,0),0)</f>
        <v>0</v>
      </c>
      <c r="CJ9" s="13">
        <f>IFERROR(VLOOKUP($F9,'Visu totale'!$D$3:$DH$129,CJ$1,0),0)</f>
        <v>0</v>
      </c>
      <c r="CK9" s="13">
        <f>IFERROR(VLOOKUP($F9,'Visu totale'!$D$3:$DH$129,CK$1,0),0)</f>
        <v>0</v>
      </c>
      <c r="CL9" s="15">
        <f>IFERROR(VLOOKUP($F9,'Visu totale'!$D$3:$DH$129,CL$1,0),0)</f>
        <v>0</v>
      </c>
      <c r="CM9" s="14">
        <f>IFERROR(VLOOKUP($F9,'Visu totale'!$D$3:$DH$129,CM$1,0),0)</f>
        <v>0</v>
      </c>
      <c r="CN9" s="13">
        <f>IFERROR(VLOOKUP($F9,'Visu totale'!$D$3:$DH$129,CN$1,0),0)</f>
        <v>0</v>
      </c>
      <c r="CO9" s="13">
        <f>IFERROR(VLOOKUP($F9,'Visu totale'!$D$3:$DH$129,CO$1,0),0)</f>
        <v>0</v>
      </c>
      <c r="CP9" s="13">
        <f>IFERROR(VLOOKUP($F9,'Visu totale'!$D$3:$DH$129,CP$1,0),0)</f>
        <v>0</v>
      </c>
      <c r="CQ9" s="13">
        <f>IFERROR(VLOOKUP($F9,'Visu totale'!$D$3:$DH$129,CQ$1,0),0)</f>
        <v>0</v>
      </c>
      <c r="CR9" s="13">
        <f>IFERROR(VLOOKUP($F9,'Visu totale'!$D$3:$DH$129,CR$1,0),0)</f>
        <v>0</v>
      </c>
      <c r="CS9" s="13">
        <f>IFERROR(VLOOKUP($F9,'Visu totale'!$D$3:$DH$129,CS$1,0),0)</f>
        <v>0</v>
      </c>
      <c r="CT9" s="13">
        <f>IFERROR(VLOOKUP($F9,'Visu totale'!$D$3:$DH$129,CT$1,0),0)</f>
        <v>0</v>
      </c>
      <c r="CU9" s="13">
        <f>IFERROR(VLOOKUP($F9,'Visu totale'!$D$3:$DH$129,CU$1,0),0)</f>
        <v>0</v>
      </c>
      <c r="CV9" s="13">
        <f>IFERROR(VLOOKUP($F9,'Visu totale'!$D$3:$DH$129,CV$1,0),0)</f>
        <v>0</v>
      </c>
      <c r="CW9" s="13">
        <f>IFERROR(VLOOKUP($F9,'Visu totale'!$D$3:$DH$129,CW$1,0),0)</f>
        <v>0</v>
      </c>
      <c r="CX9" s="15">
        <f>IFERROR(VLOOKUP($F9,'Visu totale'!$D$3:$DH$129,CX$1,0),0)</f>
        <v>0</v>
      </c>
      <c r="CY9" s="14">
        <f>IFERROR(VLOOKUP($F9,'Visu totale'!$D$3:$DH$129,CY$1,0),0)</f>
        <v>0</v>
      </c>
      <c r="CZ9" s="13">
        <f>IFERROR(VLOOKUP($F9,'Visu totale'!$D$3:$DH$129,CZ$1,0),0)</f>
        <v>0</v>
      </c>
      <c r="DA9" s="13">
        <f>IFERROR(VLOOKUP($F9,'Visu totale'!$D$3:$DH$129,DA$1,0),0)</f>
        <v>0</v>
      </c>
      <c r="DB9" s="13">
        <f>IFERROR(VLOOKUP($F9,'Visu totale'!$D$3:$DH$129,DB$1,0),0)</f>
        <v>0</v>
      </c>
      <c r="DC9" s="13">
        <f>IFERROR(VLOOKUP($F9,'Visu totale'!$D$3:$DH$129,DC$1,0),0)</f>
        <v>0</v>
      </c>
      <c r="DD9" s="13">
        <f>IFERROR(VLOOKUP($F9,'Visu totale'!$D$3:$DH$129,DD$1,0),0)</f>
        <v>0</v>
      </c>
      <c r="DE9" s="13">
        <f>IFERROR(VLOOKUP($F9,'Visu totale'!$D$3:$DH$129,DE$1,0),0)</f>
        <v>0</v>
      </c>
      <c r="DF9" s="13">
        <f>IFERROR(VLOOKUP($F9,'Visu totale'!$D$3:$DH$129,DF$1,0),0)</f>
        <v>0</v>
      </c>
      <c r="DG9" s="13">
        <f>IFERROR(VLOOKUP($F9,'Visu totale'!$D$3:$DH$129,DG$1,0),0)</f>
        <v>0</v>
      </c>
      <c r="DH9" s="13">
        <f>IFERROR(VLOOKUP($F9,'Visu totale'!$D$3:$DH$129,DH$1,0),0)</f>
        <v>0</v>
      </c>
      <c r="DI9" s="13">
        <f>IFERROR(VLOOKUP($F9,'Visu totale'!$D$3:$DH$129,DI$1,0),0)</f>
        <v>0</v>
      </c>
      <c r="DJ9" s="15">
        <f>IFERROR(VLOOKUP($F9,'Visu totale'!$D$3:$DH$129,DJ$1,0),0)</f>
        <v>0</v>
      </c>
    </row>
    <row r="10" spans="1:114" x14ac:dyDescent="0.25">
      <c r="A10" s="13"/>
      <c r="B10" s="13"/>
      <c r="C10" s="13"/>
      <c r="D10" s="13"/>
      <c r="E10" s="13"/>
      <c r="F10" s="17" t="s">
        <v>86</v>
      </c>
      <c r="G10" s="14">
        <f>IFERROR(VLOOKUP($F10,'Visu totale'!$D$3:$DH$129,G$1,0),0)</f>
        <v>0</v>
      </c>
      <c r="H10" s="13">
        <f>IFERROR(VLOOKUP($F10,'Visu totale'!$D$3:$DH$129,H$1,0),0)</f>
        <v>0</v>
      </c>
      <c r="I10" s="13">
        <f>IFERROR(VLOOKUP($F10,'Visu totale'!$D$3:$DH$129,I$1,0),0)</f>
        <v>0</v>
      </c>
      <c r="J10" s="13">
        <f>IFERROR(VLOOKUP($F10,'Visu totale'!$D$3:$DH$129,J$1,0),0)</f>
        <v>0</v>
      </c>
      <c r="K10" s="13">
        <f>IFERROR(VLOOKUP($F10,'Visu totale'!$D$3:$DH$129,K$1,0),0)</f>
        <v>0</v>
      </c>
      <c r="L10" s="13">
        <f>IFERROR(VLOOKUP($F10,'Visu totale'!$D$3:$DH$129,L$1,0),0)</f>
        <v>0</v>
      </c>
      <c r="M10" s="13">
        <f>IFERROR(VLOOKUP($F10,'Visu totale'!$D$3:$DH$129,M$1,0),0)</f>
        <v>0</v>
      </c>
      <c r="N10" s="13">
        <f>IFERROR(VLOOKUP($F10,'Visu totale'!$D$3:$DH$129,N$1,0),0)</f>
        <v>0</v>
      </c>
      <c r="O10" s="13">
        <f>IFERROR(VLOOKUP($F10,'Visu totale'!$D$3:$DH$129,O$1,0),0)</f>
        <v>0</v>
      </c>
      <c r="P10" s="13">
        <f>IFERROR(VLOOKUP($F10,'Visu totale'!$D$3:$DH$129,P$1,0),0)</f>
        <v>0</v>
      </c>
      <c r="Q10" s="13">
        <f>IFERROR(VLOOKUP($F10,'Visu totale'!$D$3:$DH$129,Q$1,0),0)</f>
        <v>0</v>
      </c>
      <c r="R10" s="15">
        <f>IFERROR(VLOOKUP($F10,'Visu totale'!$D$3:$DH$129,R$1,0),0)</f>
        <v>0</v>
      </c>
      <c r="S10" s="14">
        <f>IFERROR(VLOOKUP($F10,'Visu totale'!$D$3:$DH$129,S$1,0),0)</f>
        <v>0</v>
      </c>
      <c r="T10" s="13">
        <f>IFERROR(VLOOKUP($F10,'Visu totale'!$D$3:$DH$129,T$1,0),0)</f>
        <v>0</v>
      </c>
      <c r="U10" s="13">
        <f>IFERROR(VLOOKUP($F10,'Visu totale'!$D$3:$DH$129,U$1,0),0)</f>
        <v>0</v>
      </c>
      <c r="V10" s="13">
        <f>IFERROR(VLOOKUP($F10,'Visu totale'!$D$3:$DH$129,V$1,0),0)</f>
        <v>0</v>
      </c>
      <c r="W10" s="13">
        <f>IFERROR(VLOOKUP($F10,'Visu totale'!$D$3:$DH$129,W$1,0),0)</f>
        <v>0</v>
      </c>
      <c r="X10" s="13">
        <f>IFERROR(VLOOKUP($F10,'Visu totale'!$D$3:$DH$129,X$1,0),0)</f>
        <v>0</v>
      </c>
      <c r="Y10" s="13">
        <f>IFERROR(VLOOKUP($F10,'Visu totale'!$D$3:$DH$129,Y$1,0),0)</f>
        <v>0</v>
      </c>
      <c r="Z10" s="13">
        <f>IFERROR(VLOOKUP($F10,'Visu totale'!$D$3:$DH$129,Z$1,0),0)</f>
        <v>0</v>
      </c>
      <c r="AA10" s="13">
        <f>IFERROR(VLOOKUP($F10,'Visu totale'!$D$3:$DH$129,AA$1,0),0)</f>
        <v>0</v>
      </c>
      <c r="AB10" s="13">
        <f>IFERROR(VLOOKUP($F10,'Visu totale'!$D$3:$DH$129,AB$1,0),0)</f>
        <v>0</v>
      </c>
      <c r="AC10" s="13">
        <f>IFERROR(VLOOKUP($F10,'Visu totale'!$D$3:$DH$129,AC$1,0),0)</f>
        <v>0</v>
      </c>
      <c r="AD10" s="15">
        <f>IFERROR(VLOOKUP($F10,'Visu totale'!$D$3:$DH$129,AD$1,0),0)</f>
        <v>0</v>
      </c>
      <c r="AE10" s="14">
        <f>IFERROR(VLOOKUP($F10,'Visu totale'!$D$3:$DH$129,AE$1,0),0)</f>
        <v>0</v>
      </c>
      <c r="AF10" s="13">
        <f>IFERROR(VLOOKUP($F10,'Visu totale'!$D$3:$DH$129,AF$1,0),0)</f>
        <v>0</v>
      </c>
      <c r="AG10" s="13">
        <f>IFERROR(VLOOKUP($F10,'Visu totale'!$D$3:$DH$129,AG$1,0),0)</f>
        <v>0</v>
      </c>
      <c r="AH10" s="13">
        <f>IFERROR(VLOOKUP($F10,'Visu totale'!$D$3:$DH$129,AH$1,0),0)</f>
        <v>0</v>
      </c>
      <c r="AI10" s="13">
        <f>IFERROR(VLOOKUP($F10,'Visu totale'!$D$3:$DH$129,AI$1,0),0)</f>
        <v>0</v>
      </c>
      <c r="AJ10" s="13">
        <f>IFERROR(VLOOKUP($F10,'Visu totale'!$D$3:$DH$129,AJ$1,0),0)</f>
        <v>0</v>
      </c>
      <c r="AK10" s="13">
        <f>IFERROR(VLOOKUP($F10,'Visu totale'!$D$3:$DH$129,AK$1,0),0)</f>
        <v>0</v>
      </c>
      <c r="AL10" s="13">
        <f>IFERROR(VLOOKUP($F10,'Visu totale'!$D$3:$DH$129,AL$1,0),0)</f>
        <v>0</v>
      </c>
      <c r="AM10" s="13">
        <f>IFERROR(VLOOKUP($F10,'Visu totale'!$D$3:$DH$129,AM$1,0),0)</f>
        <v>0</v>
      </c>
      <c r="AN10" s="13">
        <f>IFERROR(VLOOKUP($F10,'Visu totale'!$D$3:$DH$129,AN$1,0),0)</f>
        <v>0</v>
      </c>
      <c r="AO10" s="13">
        <f>IFERROR(VLOOKUP($F10,'Visu totale'!$D$3:$DH$129,AO$1,0),0)</f>
        <v>0</v>
      </c>
      <c r="AP10" s="15">
        <f>IFERROR(VLOOKUP($F10,'Visu totale'!$D$3:$DH$129,AP$1,0),0)</f>
        <v>0</v>
      </c>
      <c r="AQ10" s="14">
        <f>IFERROR(VLOOKUP($F10,'Visu totale'!$D$3:$DH$129,AQ$1,0),0)</f>
        <v>0</v>
      </c>
      <c r="AR10" s="13">
        <f>IFERROR(VLOOKUP($F10,'Visu totale'!$D$3:$DH$129,AR$1,0),0)</f>
        <v>0</v>
      </c>
      <c r="AS10" s="13">
        <f>IFERROR(VLOOKUP($F10,'Visu totale'!$D$3:$DH$129,AS$1,0),0)</f>
        <v>0</v>
      </c>
      <c r="AT10" s="13">
        <f>IFERROR(VLOOKUP($F10,'Visu totale'!$D$3:$DH$129,AT$1,0),0)</f>
        <v>0</v>
      </c>
      <c r="AU10" s="13">
        <f>IFERROR(VLOOKUP($F10,'Visu totale'!$D$3:$DH$129,AU$1,0),0)</f>
        <v>0</v>
      </c>
      <c r="AV10" s="13">
        <f>IFERROR(VLOOKUP($F10,'Visu totale'!$D$3:$DH$129,AV$1,0),0)</f>
        <v>0</v>
      </c>
      <c r="AW10" s="13">
        <f>IFERROR(VLOOKUP($F10,'Visu totale'!$D$3:$DH$129,AW$1,0),0)</f>
        <v>0</v>
      </c>
      <c r="AX10" s="13">
        <f>IFERROR(VLOOKUP($F10,'Visu totale'!$D$3:$DH$129,AX$1,0),0)</f>
        <v>0</v>
      </c>
      <c r="AY10" s="13">
        <f>IFERROR(VLOOKUP($F10,'Visu totale'!$D$3:$DH$129,AY$1,0),0)</f>
        <v>0</v>
      </c>
      <c r="AZ10" s="13">
        <f>IFERROR(VLOOKUP($F10,'Visu totale'!$D$3:$DH$129,AZ$1,0),0)</f>
        <v>0</v>
      </c>
      <c r="BA10" s="13">
        <f>IFERROR(VLOOKUP($F10,'Visu totale'!$D$3:$DH$129,BA$1,0),0)</f>
        <v>0</v>
      </c>
      <c r="BB10" s="15">
        <f>IFERROR(VLOOKUP($F10,'Visu totale'!$D$3:$DH$129,BB$1,0),0)</f>
        <v>0</v>
      </c>
      <c r="BC10" s="14">
        <f>IFERROR(VLOOKUP($F10,'Visu totale'!$D$3:$DH$129,BC$1,0),0)</f>
        <v>0</v>
      </c>
      <c r="BD10" s="13">
        <f>IFERROR(VLOOKUP($F10,'Visu totale'!$D$3:$DH$129,BD$1,0),0)</f>
        <v>0</v>
      </c>
      <c r="BE10" s="13">
        <f>IFERROR(VLOOKUP($F10,'Visu totale'!$D$3:$DH$129,BE$1,0),0)</f>
        <v>0</v>
      </c>
      <c r="BF10" s="13">
        <f>IFERROR(VLOOKUP($F10,'Visu totale'!$D$3:$DH$129,BF$1,0),0)</f>
        <v>0</v>
      </c>
      <c r="BG10" s="13">
        <f>IFERROR(VLOOKUP($F10,'Visu totale'!$D$3:$DH$129,BG$1,0),0)</f>
        <v>0</v>
      </c>
      <c r="BH10" s="13">
        <f>IFERROR(VLOOKUP($F10,'Visu totale'!$D$3:$DH$129,BH$1,0),0)</f>
        <v>0</v>
      </c>
      <c r="BI10" s="13">
        <f>IFERROR(VLOOKUP($F10,'Visu totale'!$D$3:$DH$129,BI$1,0),0)</f>
        <v>0</v>
      </c>
      <c r="BJ10" s="13">
        <f>IFERROR(VLOOKUP($F10,'Visu totale'!$D$3:$DH$129,BJ$1,0),0)</f>
        <v>0</v>
      </c>
      <c r="BK10" s="13">
        <f>IFERROR(VLOOKUP($F10,'Visu totale'!$D$3:$DH$129,BK$1,0),0)</f>
        <v>0</v>
      </c>
      <c r="BL10" s="13">
        <f>IFERROR(VLOOKUP($F10,'Visu totale'!$D$3:$DH$129,BL$1,0),0)</f>
        <v>0</v>
      </c>
      <c r="BM10" s="13">
        <f>IFERROR(VLOOKUP($F10,'Visu totale'!$D$3:$DH$129,BM$1,0),0)</f>
        <v>0</v>
      </c>
      <c r="BN10" s="15">
        <f>IFERROR(VLOOKUP($F10,'Visu totale'!$D$3:$DH$129,BN$1,0),0)</f>
        <v>0</v>
      </c>
      <c r="BO10" s="14">
        <f>IFERROR(VLOOKUP($F10,'Visu totale'!$D$3:$DH$129,BO$1,0),0)</f>
        <v>0</v>
      </c>
      <c r="BP10" s="13">
        <f>IFERROR(VLOOKUP($F10,'Visu totale'!$D$3:$DH$129,BP$1,0),0)</f>
        <v>0</v>
      </c>
      <c r="BQ10" s="13">
        <f>IFERROR(VLOOKUP($F10,'Visu totale'!$D$3:$DH$129,BQ$1,0),0)</f>
        <v>0</v>
      </c>
      <c r="BR10" s="13">
        <f>IFERROR(VLOOKUP($F10,'Visu totale'!$D$3:$DH$129,BR$1,0),0)</f>
        <v>0</v>
      </c>
      <c r="BS10" s="13">
        <f>IFERROR(VLOOKUP($F10,'Visu totale'!$D$3:$DH$129,BS$1,0),0)</f>
        <v>0</v>
      </c>
      <c r="BT10" s="13">
        <f>IFERROR(VLOOKUP($F10,'Visu totale'!$D$3:$DH$129,BT$1,0),0)</f>
        <v>0</v>
      </c>
      <c r="BU10" s="13">
        <f>IFERROR(VLOOKUP($F10,'Visu totale'!$D$3:$DH$129,BU$1,0),0)</f>
        <v>0</v>
      </c>
      <c r="BV10" s="13">
        <f>IFERROR(VLOOKUP($F10,'Visu totale'!$D$3:$DH$129,BV$1,0),0)</f>
        <v>0</v>
      </c>
      <c r="BW10" s="13">
        <f>IFERROR(VLOOKUP($F10,'Visu totale'!$D$3:$DH$129,BW$1,0),0)</f>
        <v>0</v>
      </c>
      <c r="BX10" s="13">
        <f>IFERROR(VLOOKUP($F10,'Visu totale'!$D$3:$DH$129,BX$1,0),0)</f>
        <v>0</v>
      </c>
      <c r="BY10" s="13">
        <f>IFERROR(VLOOKUP($F10,'Visu totale'!$D$3:$DH$129,BY$1,0),0)</f>
        <v>0</v>
      </c>
      <c r="BZ10" s="15">
        <f>IFERROR(VLOOKUP($F10,'Visu totale'!$D$3:$DH$129,BZ$1,0),0)</f>
        <v>0</v>
      </c>
      <c r="CA10" s="14">
        <f>IFERROR(VLOOKUP($F10,'Visu totale'!$D$3:$DH$129,CA$1,0),0)</f>
        <v>0</v>
      </c>
      <c r="CB10" s="13">
        <f>IFERROR(VLOOKUP($F10,'Visu totale'!$D$3:$DH$129,CB$1,0),0)</f>
        <v>0</v>
      </c>
      <c r="CC10" s="13">
        <f>IFERROR(VLOOKUP($F10,'Visu totale'!$D$3:$DH$129,CC$1,0),0)</f>
        <v>0</v>
      </c>
      <c r="CD10" s="13">
        <f>IFERROR(VLOOKUP($F10,'Visu totale'!$D$3:$DH$129,CD$1,0),0)</f>
        <v>0</v>
      </c>
      <c r="CE10" s="13">
        <f>IFERROR(VLOOKUP($F10,'Visu totale'!$D$3:$DH$129,CE$1,0),0)</f>
        <v>0</v>
      </c>
      <c r="CF10" s="13">
        <f>IFERROR(VLOOKUP($F10,'Visu totale'!$D$3:$DH$129,CF$1,0),0)</f>
        <v>0</v>
      </c>
      <c r="CG10" s="13">
        <f>IFERROR(VLOOKUP($F10,'Visu totale'!$D$3:$DH$129,CG$1,0),0)</f>
        <v>0</v>
      </c>
      <c r="CH10" s="13">
        <f>IFERROR(VLOOKUP($F10,'Visu totale'!$D$3:$DH$129,CH$1,0),0)</f>
        <v>0</v>
      </c>
      <c r="CI10" s="13">
        <f>IFERROR(VLOOKUP($F10,'Visu totale'!$D$3:$DH$129,CI$1,0),0)</f>
        <v>0</v>
      </c>
      <c r="CJ10" s="13">
        <f>IFERROR(VLOOKUP($F10,'Visu totale'!$D$3:$DH$129,CJ$1,0),0)</f>
        <v>0</v>
      </c>
      <c r="CK10" s="13">
        <f>IFERROR(VLOOKUP($F10,'Visu totale'!$D$3:$DH$129,CK$1,0),0)</f>
        <v>0</v>
      </c>
      <c r="CL10" s="15">
        <f>IFERROR(VLOOKUP($F10,'Visu totale'!$D$3:$DH$129,CL$1,0),0)</f>
        <v>0</v>
      </c>
      <c r="CM10" s="14">
        <f>IFERROR(VLOOKUP($F10,'Visu totale'!$D$3:$DH$129,CM$1,0),0)</f>
        <v>0</v>
      </c>
      <c r="CN10" s="13">
        <f>IFERROR(VLOOKUP($F10,'Visu totale'!$D$3:$DH$129,CN$1,0),0)</f>
        <v>0</v>
      </c>
      <c r="CO10" s="13">
        <f>IFERROR(VLOOKUP($F10,'Visu totale'!$D$3:$DH$129,CO$1,0),0)</f>
        <v>0</v>
      </c>
      <c r="CP10" s="13">
        <f>IFERROR(VLOOKUP($F10,'Visu totale'!$D$3:$DH$129,CP$1,0),0)</f>
        <v>0</v>
      </c>
      <c r="CQ10" s="13">
        <f>IFERROR(VLOOKUP($F10,'Visu totale'!$D$3:$DH$129,CQ$1,0),0)</f>
        <v>0</v>
      </c>
      <c r="CR10" s="13">
        <f>IFERROR(VLOOKUP($F10,'Visu totale'!$D$3:$DH$129,CR$1,0),0)</f>
        <v>0</v>
      </c>
      <c r="CS10" s="13">
        <f>IFERROR(VLOOKUP($F10,'Visu totale'!$D$3:$DH$129,CS$1,0),0)</f>
        <v>0</v>
      </c>
      <c r="CT10" s="13">
        <f>IFERROR(VLOOKUP($F10,'Visu totale'!$D$3:$DH$129,CT$1,0),0)</f>
        <v>0</v>
      </c>
      <c r="CU10" s="13">
        <f>IFERROR(VLOOKUP($F10,'Visu totale'!$D$3:$DH$129,CU$1,0),0)</f>
        <v>0</v>
      </c>
      <c r="CV10" s="13">
        <f>IFERROR(VLOOKUP($F10,'Visu totale'!$D$3:$DH$129,CV$1,0),0)</f>
        <v>0</v>
      </c>
      <c r="CW10" s="13">
        <f>IFERROR(VLOOKUP($F10,'Visu totale'!$D$3:$DH$129,CW$1,0),0)</f>
        <v>0</v>
      </c>
      <c r="CX10" s="15">
        <f>IFERROR(VLOOKUP($F10,'Visu totale'!$D$3:$DH$129,CX$1,0),0)</f>
        <v>0</v>
      </c>
      <c r="CY10" s="14">
        <f>IFERROR(VLOOKUP($F10,'Visu totale'!$D$3:$DH$129,CY$1,0),0)</f>
        <v>0</v>
      </c>
      <c r="CZ10" s="13">
        <f>IFERROR(VLOOKUP($F10,'Visu totale'!$D$3:$DH$129,CZ$1,0),0)</f>
        <v>0</v>
      </c>
      <c r="DA10" s="13">
        <f>IFERROR(VLOOKUP($F10,'Visu totale'!$D$3:$DH$129,DA$1,0),0)</f>
        <v>0</v>
      </c>
      <c r="DB10" s="13">
        <f>IFERROR(VLOOKUP($F10,'Visu totale'!$D$3:$DH$129,DB$1,0),0)</f>
        <v>0</v>
      </c>
      <c r="DC10" s="13">
        <f>IFERROR(VLOOKUP($F10,'Visu totale'!$D$3:$DH$129,DC$1,0),0)</f>
        <v>0</v>
      </c>
      <c r="DD10" s="13">
        <f>IFERROR(VLOOKUP($F10,'Visu totale'!$D$3:$DH$129,DD$1,0),0)</f>
        <v>0</v>
      </c>
      <c r="DE10" s="13">
        <f>IFERROR(VLOOKUP($F10,'Visu totale'!$D$3:$DH$129,DE$1,0),0)</f>
        <v>0</v>
      </c>
      <c r="DF10" s="13">
        <f>IFERROR(VLOOKUP($F10,'Visu totale'!$D$3:$DH$129,DF$1,0),0)</f>
        <v>0</v>
      </c>
      <c r="DG10" s="13">
        <f>IFERROR(VLOOKUP($F10,'Visu totale'!$D$3:$DH$129,DG$1,0),0)</f>
        <v>0</v>
      </c>
      <c r="DH10" s="13">
        <f>IFERROR(VLOOKUP($F10,'Visu totale'!$D$3:$DH$129,DH$1,0),0)</f>
        <v>0</v>
      </c>
      <c r="DI10" s="13">
        <f>IFERROR(VLOOKUP($F10,'Visu totale'!$D$3:$DH$129,DI$1,0),0)</f>
        <v>0</v>
      </c>
      <c r="DJ10" s="15">
        <f>IFERROR(VLOOKUP($F10,'Visu totale'!$D$3:$DH$129,DJ$1,0),0)</f>
        <v>0</v>
      </c>
    </row>
    <row r="11" spans="1:114" x14ac:dyDescent="0.25">
      <c r="A11" s="13"/>
      <c r="B11" s="13"/>
      <c r="C11" s="13"/>
      <c r="D11" s="13"/>
      <c r="E11" s="13"/>
      <c r="F11" s="17" t="s">
        <v>87</v>
      </c>
      <c r="G11" s="14">
        <f>IFERROR(VLOOKUP($F11,'Visu totale'!$D$3:$DH$129,G$1,0),0)</f>
        <v>0</v>
      </c>
      <c r="H11" s="13">
        <f>IFERROR(VLOOKUP($F11,'Visu totale'!$D$3:$DH$129,H$1,0),0)</f>
        <v>0</v>
      </c>
      <c r="I11" s="13">
        <f>IFERROR(VLOOKUP($F11,'Visu totale'!$D$3:$DH$129,I$1,0),0)</f>
        <v>0</v>
      </c>
      <c r="J11" s="13">
        <f>IFERROR(VLOOKUP($F11,'Visu totale'!$D$3:$DH$129,J$1,0),0)</f>
        <v>0</v>
      </c>
      <c r="K11" s="13">
        <f>IFERROR(VLOOKUP($F11,'Visu totale'!$D$3:$DH$129,K$1,0),0)</f>
        <v>0</v>
      </c>
      <c r="L11" s="13">
        <f>IFERROR(VLOOKUP($F11,'Visu totale'!$D$3:$DH$129,L$1,0),0)</f>
        <v>0</v>
      </c>
      <c r="M11" s="13">
        <f>IFERROR(VLOOKUP($F11,'Visu totale'!$D$3:$DH$129,M$1,0),0)</f>
        <v>0</v>
      </c>
      <c r="N11" s="13">
        <f>IFERROR(VLOOKUP($F11,'Visu totale'!$D$3:$DH$129,N$1,0),0)</f>
        <v>0</v>
      </c>
      <c r="O11" s="13">
        <f>IFERROR(VLOOKUP($F11,'Visu totale'!$D$3:$DH$129,O$1,0),0)</f>
        <v>0</v>
      </c>
      <c r="P11" s="13">
        <f>IFERROR(VLOOKUP($F11,'Visu totale'!$D$3:$DH$129,P$1,0),0)</f>
        <v>0</v>
      </c>
      <c r="Q11" s="13">
        <f>IFERROR(VLOOKUP($F11,'Visu totale'!$D$3:$DH$129,Q$1,0),0)</f>
        <v>0</v>
      </c>
      <c r="R11" s="15">
        <f>IFERROR(VLOOKUP($F11,'Visu totale'!$D$3:$DH$129,R$1,0),0)</f>
        <v>0</v>
      </c>
      <c r="S11" s="14">
        <f>IFERROR(VLOOKUP($F11,'Visu totale'!$D$3:$DH$129,S$1,0),0)</f>
        <v>0</v>
      </c>
      <c r="T11" s="13">
        <f>IFERROR(VLOOKUP($F11,'Visu totale'!$D$3:$DH$129,T$1,0),0)</f>
        <v>0</v>
      </c>
      <c r="U11" s="13">
        <f>IFERROR(VLOOKUP($F11,'Visu totale'!$D$3:$DH$129,U$1,0),0)</f>
        <v>0</v>
      </c>
      <c r="V11" s="13">
        <f>IFERROR(VLOOKUP($F11,'Visu totale'!$D$3:$DH$129,V$1,0),0)</f>
        <v>0</v>
      </c>
      <c r="W11" s="13">
        <f>IFERROR(VLOOKUP($F11,'Visu totale'!$D$3:$DH$129,W$1,0),0)</f>
        <v>0</v>
      </c>
      <c r="X11" s="13">
        <f>IFERROR(VLOOKUP($F11,'Visu totale'!$D$3:$DH$129,X$1,0),0)</f>
        <v>0</v>
      </c>
      <c r="Y11" s="13">
        <f>IFERROR(VLOOKUP($F11,'Visu totale'!$D$3:$DH$129,Y$1,0),0)</f>
        <v>0</v>
      </c>
      <c r="Z11" s="13">
        <f>IFERROR(VLOOKUP($F11,'Visu totale'!$D$3:$DH$129,Z$1,0),0)</f>
        <v>0</v>
      </c>
      <c r="AA11" s="13">
        <f>IFERROR(VLOOKUP($F11,'Visu totale'!$D$3:$DH$129,AA$1,0),0)</f>
        <v>0</v>
      </c>
      <c r="AB11" s="13">
        <f>IFERROR(VLOOKUP($F11,'Visu totale'!$D$3:$DH$129,AB$1,0),0)</f>
        <v>0</v>
      </c>
      <c r="AC11" s="13">
        <f>IFERROR(VLOOKUP($F11,'Visu totale'!$D$3:$DH$129,AC$1,0),0)</f>
        <v>0</v>
      </c>
      <c r="AD11" s="15">
        <f>IFERROR(VLOOKUP($F11,'Visu totale'!$D$3:$DH$129,AD$1,0),0)</f>
        <v>0</v>
      </c>
      <c r="AE11" s="14">
        <f>IFERROR(VLOOKUP($F11,'Visu totale'!$D$3:$DH$129,AE$1,0),0)</f>
        <v>0</v>
      </c>
      <c r="AF11" s="13">
        <f>IFERROR(VLOOKUP($F11,'Visu totale'!$D$3:$DH$129,AF$1,0),0)</f>
        <v>0</v>
      </c>
      <c r="AG11" s="13">
        <f>IFERROR(VLOOKUP($F11,'Visu totale'!$D$3:$DH$129,AG$1,0),0)</f>
        <v>0</v>
      </c>
      <c r="AH11" s="13">
        <f>IFERROR(VLOOKUP($F11,'Visu totale'!$D$3:$DH$129,AH$1,0),0)</f>
        <v>0</v>
      </c>
      <c r="AI11" s="13">
        <f>IFERROR(VLOOKUP($F11,'Visu totale'!$D$3:$DH$129,AI$1,0),0)</f>
        <v>0</v>
      </c>
      <c r="AJ11" s="13">
        <f>IFERROR(VLOOKUP($F11,'Visu totale'!$D$3:$DH$129,AJ$1,0),0)</f>
        <v>0</v>
      </c>
      <c r="AK11" s="13">
        <f>IFERROR(VLOOKUP($F11,'Visu totale'!$D$3:$DH$129,AK$1,0),0)</f>
        <v>0</v>
      </c>
      <c r="AL11" s="13">
        <f>IFERROR(VLOOKUP($F11,'Visu totale'!$D$3:$DH$129,AL$1,0),0)</f>
        <v>0</v>
      </c>
      <c r="AM11" s="13">
        <f>IFERROR(VLOOKUP($F11,'Visu totale'!$D$3:$DH$129,AM$1,0),0)</f>
        <v>0</v>
      </c>
      <c r="AN11" s="13">
        <f>IFERROR(VLOOKUP($F11,'Visu totale'!$D$3:$DH$129,AN$1,0),0)</f>
        <v>0</v>
      </c>
      <c r="AO11" s="13">
        <f>IFERROR(VLOOKUP($F11,'Visu totale'!$D$3:$DH$129,AO$1,0),0)</f>
        <v>0</v>
      </c>
      <c r="AP11" s="15">
        <f>IFERROR(VLOOKUP($F11,'Visu totale'!$D$3:$DH$129,AP$1,0),0)</f>
        <v>0</v>
      </c>
      <c r="AQ11" s="14">
        <f>IFERROR(VLOOKUP($F11,'Visu totale'!$D$3:$DH$129,AQ$1,0),0)</f>
        <v>0</v>
      </c>
      <c r="AR11" s="13">
        <f>IFERROR(VLOOKUP($F11,'Visu totale'!$D$3:$DH$129,AR$1,0),0)</f>
        <v>0</v>
      </c>
      <c r="AS11" s="13">
        <f>IFERROR(VLOOKUP($F11,'Visu totale'!$D$3:$DH$129,AS$1,0),0)</f>
        <v>0</v>
      </c>
      <c r="AT11" s="13">
        <f>IFERROR(VLOOKUP($F11,'Visu totale'!$D$3:$DH$129,AT$1,0),0)</f>
        <v>0</v>
      </c>
      <c r="AU11" s="13">
        <f>IFERROR(VLOOKUP($F11,'Visu totale'!$D$3:$DH$129,AU$1,0),0)</f>
        <v>0</v>
      </c>
      <c r="AV11" s="13">
        <f>IFERROR(VLOOKUP($F11,'Visu totale'!$D$3:$DH$129,AV$1,0),0)</f>
        <v>0</v>
      </c>
      <c r="AW11" s="13">
        <f>IFERROR(VLOOKUP($F11,'Visu totale'!$D$3:$DH$129,AW$1,0),0)</f>
        <v>0</v>
      </c>
      <c r="AX11" s="13">
        <f>IFERROR(VLOOKUP($F11,'Visu totale'!$D$3:$DH$129,AX$1,0),0)</f>
        <v>0</v>
      </c>
      <c r="AY11" s="13">
        <f>IFERROR(VLOOKUP($F11,'Visu totale'!$D$3:$DH$129,AY$1,0),0)</f>
        <v>0</v>
      </c>
      <c r="AZ11" s="13">
        <f>IFERROR(VLOOKUP($F11,'Visu totale'!$D$3:$DH$129,AZ$1,0),0)</f>
        <v>0</v>
      </c>
      <c r="BA11" s="13">
        <f>IFERROR(VLOOKUP($F11,'Visu totale'!$D$3:$DH$129,BA$1,0),0)</f>
        <v>0</v>
      </c>
      <c r="BB11" s="15">
        <f>IFERROR(VLOOKUP($F11,'Visu totale'!$D$3:$DH$129,BB$1,0),0)</f>
        <v>0</v>
      </c>
      <c r="BC11" s="14">
        <f>IFERROR(VLOOKUP($F11,'Visu totale'!$D$3:$DH$129,BC$1,0),0)</f>
        <v>0</v>
      </c>
      <c r="BD11" s="13">
        <f>IFERROR(VLOOKUP($F11,'Visu totale'!$D$3:$DH$129,BD$1,0),0)</f>
        <v>0</v>
      </c>
      <c r="BE11" s="13">
        <f>IFERROR(VLOOKUP($F11,'Visu totale'!$D$3:$DH$129,BE$1,0),0)</f>
        <v>0</v>
      </c>
      <c r="BF11" s="13">
        <f>IFERROR(VLOOKUP($F11,'Visu totale'!$D$3:$DH$129,BF$1,0),0)</f>
        <v>0</v>
      </c>
      <c r="BG11" s="13">
        <f>IFERROR(VLOOKUP($F11,'Visu totale'!$D$3:$DH$129,BG$1,0),0)</f>
        <v>0</v>
      </c>
      <c r="BH11" s="13">
        <f>IFERROR(VLOOKUP($F11,'Visu totale'!$D$3:$DH$129,BH$1,0),0)</f>
        <v>0</v>
      </c>
      <c r="BI11" s="13">
        <f>IFERROR(VLOOKUP($F11,'Visu totale'!$D$3:$DH$129,BI$1,0),0)</f>
        <v>0</v>
      </c>
      <c r="BJ11" s="13">
        <f>IFERROR(VLOOKUP($F11,'Visu totale'!$D$3:$DH$129,BJ$1,0),0)</f>
        <v>0</v>
      </c>
      <c r="BK11" s="13">
        <f>IFERROR(VLOOKUP($F11,'Visu totale'!$D$3:$DH$129,BK$1,0),0)</f>
        <v>0</v>
      </c>
      <c r="BL11" s="13">
        <f>IFERROR(VLOOKUP($F11,'Visu totale'!$D$3:$DH$129,BL$1,0),0)</f>
        <v>0</v>
      </c>
      <c r="BM11" s="13">
        <f>IFERROR(VLOOKUP($F11,'Visu totale'!$D$3:$DH$129,BM$1,0),0)</f>
        <v>0</v>
      </c>
      <c r="BN11" s="15">
        <f>IFERROR(VLOOKUP($F11,'Visu totale'!$D$3:$DH$129,BN$1,0),0)</f>
        <v>0</v>
      </c>
      <c r="BO11" s="14">
        <f>IFERROR(VLOOKUP($F11,'Visu totale'!$D$3:$DH$129,BO$1,0),0)</f>
        <v>0</v>
      </c>
      <c r="BP11" s="13">
        <f>IFERROR(VLOOKUP($F11,'Visu totale'!$D$3:$DH$129,BP$1,0),0)</f>
        <v>0</v>
      </c>
      <c r="BQ11" s="13">
        <f>IFERROR(VLOOKUP($F11,'Visu totale'!$D$3:$DH$129,BQ$1,0),0)</f>
        <v>0</v>
      </c>
      <c r="BR11" s="13">
        <f>IFERROR(VLOOKUP($F11,'Visu totale'!$D$3:$DH$129,BR$1,0),0)</f>
        <v>0</v>
      </c>
      <c r="BS11" s="13">
        <f>IFERROR(VLOOKUP($F11,'Visu totale'!$D$3:$DH$129,BS$1,0),0)</f>
        <v>0</v>
      </c>
      <c r="BT11" s="13">
        <f>IFERROR(VLOOKUP($F11,'Visu totale'!$D$3:$DH$129,BT$1,0),0)</f>
        <v>0</v>
      </c>
      <c r="BU11" s="13">
        <f>IFERROR(VLOOKUP($F11,'Visu totale'!$D$3:$DH$129,BU$1,0),0)</f>
        <v>0</v>
      </c>
      <c r="BV11" s="13">
        <f>IFERROR(VLOOKUP($F11,'Visu totale'!$D$3:$DH$129,BV$1,0),0)</f>
        <v>0</v>
      </c>
      <c r="BW11" s="13">
        <f>IFERROR(VLOOKUP($F11,'Visu totale'!$D$3:$DH$129,BW$1,0),0)</f>
        <v>0</v>
      </c>
      <c r="BX11" s="13">
        <f>IFERROR(VLOOKUP($F11,'Visu totale'!$D$3:$DH$129,BX$1,0),0)</f>
        <v>0</v>
      </c>
      <c r="BY11" s="13">
        <f>IFERROR(VLOOKUP($F11,'Visu totale'!$D$3:$DH$129,BY$1,0),0)</f>
        <v>0</v>
      </c>
      <c r="BZ11" s="15">
        <f>IFERROR(VLOOKUP($F11,'Visu totale'!$D$3:$DH$129,BZ$1,0),0)</f>
        <v>0</v>
      </c>
      <c r="CA11" s="14">
        <f>IFERROR(VLOOKUP($F11,'Visu totale'!$D$3:$DH$129,CA$1,0),0)</f>
        <v>0</v>
      </c>
      <c r="CB11" s="13">
        <f>IFERROR(VLOOKUP($F11,'Visu totale'!$D$3:$DH$129,CB$1,0),0)</f>
        <v>0</v>
      </c>
      <c r="CC11" s="13">
        <f>IFERROR(VLOOKUP($F11,'Visu totale'!$D$3:$DH$129,CC$1,0),0)</f>
        <v>0</v>
      </c>
      <c r="CD11" s="13">
        <f>IFERROR(VLOOKUP($F11,'Visu totale'!$D$3:$DH$129,CD$1,0),0)</f>
        <v>0</v>
      </c>
      <c r="CE11" s="13">
        <f>IFERROR(VLOOKUP($F11,'Visu totale'!$D$3:$DH$129,CE$1,0),0)</f>
        <v>0</v>
      </c>
      <c r="CF11" s="13">
        <f>IFERROR(VLOOKUP($F11,'Visu totale'!$D$3:$DH$129,CF$1,0),0)</f>
        <v>0</v>
      </c>
      <c r="CG11" s="13">
        <f>IFERROR(VLOOKUP($F11,'Visu totale'!$D$3:$DH$129,CG$1,0),0)</f>
        <v>0</v>
      </c>
      <c r="CH11" s="13">
        <f>IFERROR(VLOOKUP($F11,'Visu totale'!$D$3:$DH$129,CH$1,0),0)</f>
        <v>0</v>
      </c>
      <c r="CI11" s="13">
        <f>IFERROR(VLOOKUP($F11,'Visu totale'!$D$3:$DH$129,CI$1,0),0)</f>
        <v>0</v>
      </c>
      <c r="CJ11" s="13">
        <f>IFERROR(VLOOKUP($F11,'Visu totale'!$D$3:$DH$129,CJ$1,0),0)</f>
        <v>0</v>
      </c>
      <c r="CK11" s="13">
        <f>IFERROR(VLOOKUP($F11,'Visu totale'!$D$3:$DH$129,CK$1,0),0)</f>
        <v>0</v>
      </c>
      <c r="CL11" s="15">
        <f>IFERROR(VLOOKUP($F11,'Visu totale'!$D$3:$DH$129,CL$1,0),0)</f>
        <v>0</v>
      </c>
      <c r="CM11" s="14">
        <f>IFERROR(VLOOKUP($F11,'Visu totale'!$D$3:$DH$129,CM$1,0),0)</f>
        <v>0</v>
      </c>
      <c r="CN11" s="13">
        <f>IFERROR(VLOOKUP($F11,'Visu totale'!$D$3:$DH$129,CN$1,0),0)</f>
        <v>0</v>
      </c>
      <c r="CO11" s="13">
        <f>IFERROR(VLOOKUP($F11,'Visu totale'!$D$3:$DH$129,CO$1,0),0)</f>
        <v>0</v>
      </c>
      <c r="CP11" s="13">
        <f>IFERROR(VLOOKUP($F11,'Visu totale'!$D$3:$DH$129,CP$1,0),0)</f>
        <v>0</v>
      </c>
      <c r="CQ11" s="13">
        <f>IFERROR(VLOOKUP($F11,'Visu totale'!$D$3:$DH$129,CQ$1,0),0)</f>
        <v>0</v>
      </c>
      <c r="CR11" s="13">
        <f>IFERROR(VLOOKUP($F11,'Visu totale'!$D$3:$DH$129,CR$1,0),0)</f>
        <v>0</v>
      </c>
      <c r="CS11" s="13">
        <f>IFERROR(VLOOKUP($F11,'Visu totale'!$D$3:$DH$129,CS$1,0),0)</f>
        <v>0</v>
      </c>
      <c r="CT11" s="13">
        <f>IFERROR(VLOOKUP($F11,'Visu totale'!$D$3:$DH$129,CT$1,0),0)</f>
        <v>0</v>
      </c>
      <c r="CU11" s="13">
        <f>IFERROR(VLOOKUP($F11,'Visu totale'!$D$3:$DH$129,CU$1,0),0)</f>
        <v>0</v>
      </c>
      <c r="CV11" s="13">
        <f>IFERROR(VLOOKUP($F11,'Visu totale'!$D$3:$DH$129,CV$1,0),0)</f>
        <v>0</v>
      </c>
      <c r="CW11" s="13">
        <f>IFERROR(VLOOKUP($F11,'Visu totale'!$D$3:$DH$129,CW$1,0),0)</f>
        <v>0</v>
      </c>
      <c r="CX11" s="15">
        <f>IFERROR(VLOOKUP($F11,'Visu totale'!$D$3:$DH$129,CX$1,0),0)</f>
        <v>0</v>
      </c>
      <c r="CY11" s="14">
        <f>IFERROR(VLOOKUP($F11,'Visu totale'!$D$3:$DH$129,CY$1,0),0)</f>
        <v>0</v>
      </c>
      <c r="CZ11" s="13">
        <f>IFERROR(VLOOKUP($F11,'Visu totale'!$D$3:$DH$129,CZ$1,0),0)</f>
        <v>0</v>
      </c>
      <c r="DA11" s="13">
        <f>IFERROR(VLOOKUP($F11,'Visu totale'!$D$3:$DH$129,DA$1,0),0)</f>
        <v>0</v>
      </c>
      <c r="DB11" s="13">
        <f>IFERROR(VLOOKUP($F11,'Visu totale'!$D$3:$DH$129,DB$1,0),0)</f>
        <v>0</v>
      </c>
      <c r="DC11" s="13">
        <f>IFERROR(VLOOKUP($F11,'Visu totale'!$D$3:$DH$129,DC$1,0),0)</f>
        <v>0</v>
      </c>
      <c r="DD11" s="13">
        <f>IFERROR(VLOOKUP($F11,'Visu totale'!$D$3:$DH$129,DD$1,0),0)</f>
        <v>0</v>
      </c>
      <c r="DE11" s="13">
        <f>IFERROR(VLOOKUP($F11,'Visu totale'!$D$3:$DH$129,DE$1,0),0)</f>
        <v>0</v>
      </c>
      <c r="DF11" s="13">
        <f>IFERROR(VLOOKUP($F11,'Visu totale'!$D$3:$DH$129,DF$1,0),0)</f>
        <v>0</v>
      </c>
      <c r="DG11" s="13">
        <f>IFERROR(VLOOKUP($F11,'Visu totale'!$D$3:$DH$129,DG$1,0),0)</f>
        <v>0</v>
      </c>
      <c r="DH11" s="13">
        <f>IFERROR(VLOOKUP($F11,'Visu totale'!$D$3:$DH$129,DH$1,0),0)</f>
        <v>0</v>
      </c>
      <c r="DI11" s="13">
        <f>IFERROR(VLOOKUP($F11,'Visu totale'!$D$3:$DH$129,DI$1,0),0)</f>
        <v>0</v>
      </c>
      <c r="DJ11" s="15">
        <f>IFERROR(VLOOKUP($F11,'Visu totale'!$D$3:$DH$129,DJ$1,0),0)</f>
        <v>0</v>
      </c>
    </row>
  </sheetData>
  <mergeCells count="9">
    <mergeCell ref="CA2:CL2"/>
    <mergeCell ref="CM2:CX2"/>
    <mergeCell ref="CY2:DJ2"/>
    <mergeCell ref="G2:R2"/>
    <mergeCell ref="S2:AD2"/>
    <mergeCell ref="AE2:AP2"/>
    <mergeCell ref="AQ2:BB2"/>
    <mergeCell ref="BC2:BN2"/>
    <mergeCell ref="BO2:BZ2"/>
  </mergeCells>
  <conditionalFormatting sqref="G4:DJ11">
    <cfRule type="beginsWith" dxfId="24" priority="1" operator="beginsWith" text="S">
      <formula>LEFT(G4,LEN("S"))="S"</formula>
    </cfRule>
    <cfRule type="cellIs" dxfId="23" priority="2" operator="equal">
      <formula>"x"</formula>
    </cfRule>
    <cfRule type="beginsWith" dxfId="22" priority="3" operator="beginsWith" text="V">
      <formula>LEFT(G4,LEN("V"))="V"</formula>
    </cfRule>
    <cfRule type="cellIs" dxfId="21" priority="4" operator="greaterThan">
      <formula>25</formula>
    </cfRule>
    <cfRule type="cellIs" dxfId="20" priority="5" operator="greaterThanOrEqual">
      <formula>22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J19"/>
  <sheetViews>
    <sheetView zoomScale="55" zoomScaleNormal="55" workbookViewId="0">
      <pane xSplit="6" ySplit="3" topLeftCell="BU4" activePane="bottomRight" state="frozen"/>
      <selection pane="topRight" activeCell="E1" sqref="E1"/>
      <selection pane="bottomLeft" activeCell="A3" sqref="A3"/>
      <selection pane="bottomRight" activeCell="CY2" sqref="CY2:DJ2"/>
    </sheetView>
  </sheetViews>
  <sheetFormatPr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9" customWidth="1"/>
    <col min="5" max="5" width="13.85546875" bestFit="1" customWidth="1"/>
    <col min="6" max="6" width="8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8554687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57031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6.5703125" bestFit="1" customWidth="1"/>
    <col min="74" max="74" width="6.85546875" bestFit="1" customWidth="1"/>
    <col min="75" max="76" width="6.5703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6" width="6.5703125" bestFit="1" customWidth="1"/>
    <col min="97" max="97" width="5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</cols>
  <sheetData>
    <row r="1" spans="1:114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</row>
    <row r="2" spans="1:114" ht="20.25" x14ac:dyDescent="0.25">
      <c r="A2" s="11"/>
      <c r="B2" s="11"/>
      <c r="C2" s="11"/>
      <c r="D2" s="11"/>
      <c r="E2" s="11"/>
      <c r="F2" s="11"/>
      <c r="G2" s="32">
        <f>YEAR(DATE(2017,1,1))</f>
        <v>2017</v>
      </c>
      <c r="H2" s="33"/>
      <c r="I2" s="33"/>
      <c r="J2" s="33"/>
      <c r="K2" s="33"/>
      <c r="L2" s="33"/>
      <c r="M2" s="33"/>
      <c r="N2" s="33"/>
      <c r="O2" s="33"/>
      <c r="P2" s="33"/>
      <c r="Q2" s="33"/>
      <c r="R2" s="34"/>
      <c r="S2" s="32">
        <f>YEAR(DATE(2017,13,1))</f>
        <v>2018</v>
      </c>
      <c r="T2" s="33"/>
      <c r="U2" s="33"/>
      <c r="V2" s="33"/>
      <c r="W2" s="33"/>
      <c r="X2" s="33"/>
      <c r="Y2" s="33"/>
      <c r="Z2" s="33"/>
      <c r="AA2" s="33"/>
      <c r="AB2" s="33"/>
      <c r="AC2" s="33"/>
      <c r="AD2" s="34"/>
      <c r="AE2" s="32">
        <f>YEAR(DATE(2017,25,1))</f>
        <v>2019</v>
      </c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4"/>
      <c r="AQ2" s="32">
        <f>YEAR(DATE(2017,37,1))</f>
        <v>2020</v>
      </c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4"/>
      <c r="BC2" s="32">
        <f>YEAR(DATE(2017,49,1))</f>
        <v>2021</v>
      </c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2">
        <f>YEAR(DATE(2017,61,1))</f>
        <v>2022</v>
      </c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4"/>
      <c r="CA2" s="32">
        <f>YEAR(DATE(2017,73,1))</f>
        <v>2023</v>
      </c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4"/>
      <c r="CM2" s="32">
        <f>YEAR(DATE(2017,85,1))</f>
        <v>2024</v>
      </c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4"/>
      <c r="CY2" s="32">
        <f>YEAR(DATE(2017,97,1))</f>
        <v>2025</v>
      </c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4"/>
    </row>
    <row r="3" spans="1:114" x14ac:dyDescent="0.25">
      <c r="A3" s="7" t="s">
        <v>141</v>
      </c>
      <c r="B3" s="7" t="s">
        <v>145</v>
      </c>
      <c r="C3" s="7" t="s">
        <v>146</v>
      </c>
      <c r="D3" s="7" t="s">
        <v>142</v>
      </c>
      <c r="E3" s="7" t="s">
        <v>143</v>
      </c>
      <c r="F3" s="7" t="s">
        <v>144</v>
      </c>
      <c r="G3" s="18">
        <f>DATE(2017,1,1)</f>
        <v>42736</v>
      </c>
      <c r="H3" s="19">
        <f>DATE(2017,2,1)</f>
        <v>42767</v>
      </c>
      <c r="I3" s="19">
        <f>DATE(2017,3,1)</f>
        <v>42795</v>
      </c>
      <c r="J3" s="19">
        <f>DATE(2017,4,1)</f>
        <v>42826</v>
      </c>
      <c r="K3" s="19">
        <f>DATE(2017,5,1)</f>
        <v>42856</v>
      </c>
      <c r="L3" s="19">
        <f>DATE(2017,6,1)</f>
        <v>42887</v>
      </c>
      <c r="M3" s="19">
        <f>DATE(2017,7,1)</f>
        <v>42917</v>
      </c>
      <c r="N3" s="19">
        <f>DATE(2017,8,1)</f>
        <v>42948</v>
      </c>
      <c r="O3" s="19">
        <f>DATE(2017,9,1)</f>
        <v>42979</v>
      </c>
      <c r="P3" s="19">
        <f>DATE(2017,10,1)</f>
        <v>43009</v>
      </c>
      <c r="Q3" s="19">
        <f>DATE(2017,11,1)</f>
        <v>43040</v>
      </c>
      <c r="R3" s="20">
        <f>DATE(2017,12,1)</f>
        <v>43070</v>
      </c>
      <c r="S3" s="8">
        <f>DATE(2017,13,1)</f>
        <v>43101</v>
      </c>
      <c r="T3" s="9">
        <f>DATE(2017,14,1)</f>
        <v>43132</v>
      </c>
      <c r="U3" s="9">
        <f>DATE(2017,15,1)</f>
        <v>43160</v>
      </c>
      <c r="V3" s="9">
        <f>DATE(2017,16,1)</f>
        <v>43191</v>
      </c>
      <c r="W3" s="9">
        <f>DATE(2017,17,1)</f>
        <v>43221</v>
      </c>
      <c r="X3" s="9">
        <f>DATE(2017,18,1)</f>
        <v>43252</v>
      </c>
      <c r="Y3" s="9">
        <f>DATE(2017,19,1)</f>
        <v>43282</v>
      </c>
      <c r="Z3" s="9">
        <f>DATE(2017,20,1)</f>
        <v>43313</v>
      </c>
      <c r="AA3" s="9">
        <f>DATE(2017,21,1)</f>
        <v>43344</v>
      </c>
      <c r="AB3" s="9">
        <f>DATE(2017,22,1)</f>
        <v>43374</v>
      </c>
      <c r="AC3" s="9">
        <f>DATE(2017,23,1)</f>
        <v>43405</v>
      </c>
      <c r="AD3" s="10">
        <f>DATE(2017,24,1)</f>
        <v>43435</v>
      </c>
      <c r="AE3" s="8">
        <f>DATE(2017,25,1)</f>
        <v>43466</v>
      </c>
      <c r="AF3" s="9">
        <f>DATE(2017,26,1)</f>
        <v>43497</v>
      </c>
      <c r="AG3" s="9">
        <f>DATE(2017,27,1)</f>
        <v>43525</v>
      </c>
      <c r="AH3" s="9">
        <f>DATE(2017,28,1)</f>
        <v>43556</v>
      </c>
      <c r="AI3" s="9">
        <f>DATE(2017,29,1)</f>
        <v>43586</v>
      </c>
      <c r="AJ3" s="9">
        <f>DATE(2017,30,1)</f>
        <v>43617</v>
      </c>
      <c r="AK3" s="9">
        <f>DATE(2017,31,1)</f>
        <v>43647</v>
      </c>
      <c r="AL3" s="9">
        <f>DATE(2017,32,1)</f>
        <v>43678</v>
      </c>
      <c r="AM3" s="9">
        <f>DATE(2017,33,1)</f>
        <v>43709</v>
      </c>
      <c r="AN3" s="9">
        <f>DATE(2017,34,1)</f>
        <v>43739</v>
      </c>
      <c r="AO3" s="9">
        <f>DATE(2017,35,1)</f>
        <v>43770</v>
      </c>
      <c r="AP3" s="10">
        <f>DATE(2017,36,1)</f>
        <v>43800</v>
      </c>
      <c r="AQ3" s="8">
        <f>DATE(2017,37,1)</f>
        <v>43831</v>
      </c>
      <c r="AR3" s="9">
        <f>DATE(2017,38,1)</f>
        <v>43862</v>
      </c>
      <c r="AS3" s="9">
        <f>DATE(2017,39,1)</f>
        <v>43891</v>
      </c>
      <c r="AT3" s="9">
        <f>DATE(2017,40,1)</f>
        <v>43922</v>
      </c>
      <c r="AU3" s="9">
        <f>DATE(2017,41,1)</f>
        <v>43952</v>
      </c>
      <c r="AV3" s="9">
        <f>DATE(2017,42,1)</f>
        <v>43983</v>
      </c>
      <c r="AW3" s="9">
        <f>DATE(2017,43,1)</f>
        <v>44013</v>
      </c>
      <c r="AX3" s="9">
        <f>DATE(2017,44,1)</f>
        <v>44044</v>
      </c>
      <c r="AY3" s="9">
        <f>DATE(2017,45,1)</f>
        <v>44075</v>
      </c>
      <c r="AZ3" s="9">
        <f>DATE(2017,46,1)</f>
        <v>44105</v>
      </c>
      <c r="BA3" s="9">
        <f>DATE(2017,47,1)</f>
        <v>44136</v>
      </c>
      <c r="BB3" s="10">
        <f>DATE(2017,48,1)</f>
        <v>44166</v>
      </c>
      <c r="BC3" s="8">
        <f>DATE(2017,49,1)</f>
        <v>44197</v>
      </c>
      <c r="BD3" s="9">
        <f>DATE(2017,50,1)</f>
        <v>44228</v>
      </c>
      <c r="BE3" s="9">
        <f>DATE(2017,51,1)</f>
        <v>44256</v>
      </c>
      <c r="BF3" s="9">
        <f>DATE(2017,52,1)</f>
        <v>44287</v>
      </c>
      <c r="BG3" s="9">
        <f>DATE(2017,53,1)</f>
        <v>44317</v>
      </c>
      <c r="BH3" s="9">
        <f>DATE(2017,54,1)</f>
        <v>44348</v>
      </c>
      <c r="BI3" s="9">
        <f>DATE(2017,55,1)</f>
        <v>44378</v>
      </c>
      <c r="BJ3" s="9">
        <f>DATE(2017,56,1)</f>
        <v>44409</v>
      </c>
      <c r="BK3" s="9">
        <f>DATE(2017,57,1)</f>
        <v>44440</v>
      </c>
      <c r="BL3" s="9">
        <f>DATE(2017,58,1)</f>
        <v>44470</v>
      </c>
      <c r="BM3" s="9">
        <f>DATE(2017,59,1)</f>
        <v>44501</v>
      </c>
      <c r="BN3" s="10">
        <f>DATE(2017,60,1)</f>
        <v>44531</v>
      </c>
      <c r="BO3" s="8">
        <f>DATE(2017,61,1)</f>
        <v>44562</v>
      </c>
      <c r="BP3" s="9">
        <f>DATE(2017,62,1)</f>
        <v>44593</v>
      </c>
      <c r="BQ3" s="9">
        <f>DATE(2017,63,1)</f>
        <v>44621</v>
      </c>
      <c r="BR3" s="9">
        <f>DATE(2017,64,1)</f>
        <v>44652</v>
      </c>
      <c r="BS3" s="9">
        <f>DATE(2017,65,1)</f>
        <v>44682</v>
      </c>
      <c r="BT3" s="9">
        <f>DATE(2017,66,1)</f>
        <v>44713</v>
      </c>
      <c r="BU3" s="9">
        <f>DATE(2017,67,1)</f>
        <v>44743</v>
      </c>
      <c r="BV3" s="9">
        <f>DATE(2017,68,1)</f>
        <v>44774</v>
      </c>
      <c r="BW3" s="9">
        <f>DATE(2017,69,1)</f>
        <v>44805</v>
      </c>
      <c r="BX3" s="9">
        <f>DATE(2017,70,1)</f>
        <v>44835</v>
      </c>
      <c r="BY3" s="9">
        <f>DATE(2017,71,1)</f>
        <v>44866</v>
      </c>
      <c r="BZ3" s="10">
        <f>DATE(2017,72,1)</f>
        <v>44896</v>
      </c>
      <c r="CA3" s="8">
        <f>DATE(2017,73,1)</f>
        <v>44927</v>
      </c>
      <c r="CB3" s="9">
        <f>DATE(2017,74,1)</f>
        <v>44958</v>
      </c>
      <c r="CC3" s="9">
        <f>DATE(2017,75,1)</f>
        <v>44986</v>
      </c>
      <c r="CD3" s="9">
        <f>DATE(2017,76,1)</f>
        <v>45017</v>
      </c>
      <c r="CE3" s="9">
        <f>DATE(2017,77,1)</f>
        <v>45047</v>
      </c>
      <c r="CF3" s="9">
        <f>DATE(2017,78,1)</f>
        <v>45078</v>
      </c>
      <c r="CG3" s="9">
        <f>DATE(2017,79,1)</f>
        <v>45108</v>
      </c>
      <c r="CH3" s="9">
        <f>DATE(2017,80,1)</f>
        <v>45139</v>
      </c>
      <c r="CI3" s="9">
        <f>DATE(2017,81,1)</f>
        <v>45170</v>
      </c>
      <c r="CJ3" s="9">
        <f>DATE(2017,82,1)</f>
        <v>45200</v>
      </c>
      <c r="CK3" s="9">
        <f>DATE(2017,83,1)</f>
        <v>45231</v>
      </c>
      <c r="CL3" s="10">
        <f>DATE(2017,84,1)</f>
        <v>45261</v>
      </c>
      <c r="CM3" s="8">
        <f>DATE(2017,85,1)</f>
        <v>45292</v>
      </c>
      <c r="CN3" s="9">
        <f>DATE(2017,86,1)</f>
        <v>45323</v>
      </c>
      <c r="CO3" s="9">
        <f>DATE(2017,87,1)</f>
        <v>45352</v>
      </c>
      <c r="CP3" s="9">
        <f>DATE(2017,88,1)</f>
        <v>45383</v>
      </c>
      <c r="CQ3" s="9">
        <f>DATE(2017,89,1)</f>
        <v>45413</v>
      </c>
      <c r="CR3" s="9">
        <f>DATE(2017,90,1)</f>
        <v>45444</v>
      </c>
      <c r="CS3" s="9">
        <f>DATE(2017,91,1)</f>
        <v>45474</v>
      </c>
      <c r="CT3" s="9">
        <f>DATE(2017,92,1)</f>
        <v>45505</v>
      </c>
      <c r="CU3" s="9">
        <f>DATE(2017,93,1)</f>
        <v>45536</v>
      </c>
      <c r="CV3" s="9">
        <f>DATE(2017,94,1)</f>
        <v>45566</v>
      </c>
      <c r="CW3" s="9">
        <f>DATE(2017,95,1)</f>
        <v>45597</v>
      </c>
      <c r="CX3" s="10">
        <f>DATE(2017,96,1)</f>
        <v>45627</v>
      </c>
      <c r="CY3" s="8">
        <f>DATE(2017,97,1)</f>
        <v>45658</v>
      </c>
      <c r="CZ3" s="9">
        <f>DATE(2017,98,1)</f>
        <v>45689</v>
      </c>
      <c r="DA3" s="9">
        <f>DATE(2017,99,1)</f>
        <v>45717</v>
      </c>
      <c r="DB3" s="9">
        <f>DATE(2017,100,1)</f>
        <v>45748</v>
      </c>
      <c r="DC3" s="9">
        <f>DATE(2017,101,1)</f>
        <v>45778</v>
      </c>
      <c r="DD3" s="9">
        <f>DATE(2017,102,1)</f>
        <v>45809</v>
      </c>
      <c r="DE3" s="9">
        <f>DATE(2017,103,1)</f>
        <v>45839</v>
      </c>
      <c r="DF3" s="9">
        <f>DATE(2017,104,1)</f>
        <v>45870</v>
      </c>
      <c r="DG3" s="9">
        <f>DATE(2017,105,1)</f>
        <v>45901</v>
      </c>
      <c r="DH3" s="9">
        <f>DATE(2017,106,1)</f>
        <v>45931</v>
      </c>
      <c r="DI3" s="9">
        <f>DATE(2017,107,1)</f>
        <v>45962</v>
      </c>
      <c r="DJ3" s="10">
        <f>DATE(2017,108,1)</f>
        <v>45992</v>
      </c>
    </row>
    <row r="4" spans="1:114" s="12" customFormat="1" x14ac:dyDescent="0.25">
      <c r="A4" s="13"/>
      <c r="B4" s="13"/>
      <c r="C4" s="13"/>
      <c r="D4" s="13"/>
      <c r="E4" s="13"/>
      <c r="F4" s="17" t="s">
        <v>88</v>
      </c>
      <c r="G4" s="14">
        <f>IFERROR(VLOOKUP($F4,'Visu totale'!$D$3:$DH$129,G$1,0),0)</f>
        <v>0</v>
      </c>
      <c r="H4" s="13">
        <f>IFERROR(VLOOKUP($F4,'Visu totale'!$D$3:$DH$129,H$1,0),0)</f>
        <v>0</v>
      </c>
      <c r="I4" s="13">
        <f>IFERROR(VLOOKUP($F4,'Visu totale'!$D$3:$DH$129,I$1,0),0)</f>
        <v>0</v>
      </c>
      <c r="J4" s="13">
        <f>IFERROR(VLOOKUP($F4,'Visu totale'!$D$3:$DH$129,J$1,0),0)</f>
        <v>0</v>
      </c>
      <c r="K4" s="13">
        <f>IFERROR(VLOOKUP($F4,'Visu totale'!$D$3:$DH$129,K$1,0),0)</f>
        <v>0</v>
      </c>
      <c r="L4" s="13">
        <f>IFERROR(VLOOKUP($F4,'Visu totale'!$D$3:$DH$129,L$1,0),0)</f>
        <v>0</v>
      </c>
      <c r="M4" s="13">
        <f>IFERROR(VLOOKUP($F4,'Visu totale'!$D$3:$DH$129,M$1,0),0)</f>
        <v>0</v>
      </c>
      <c r="N4" s="13">
        <f>IFERROR(VLOOKUP($F4,'Visu totale'!$D$3:$DH$129,N$1,0),0)</f>
        <v>0</v>
      </c>
      <c r="O4" s="13">
        <f>IFERROR(VLOOKUP($F4,'Visu totale'!$D$3:$DH$129,O$1,0),0)</f>
        <v>0</v>
      </c>
      <c r="P4" s="13">
        <f>IFERROR(VLOOKUP($F4,'Visu totale'!$D$3:$DH$129,P$1,0),0)</f>
        <v>0</v>
      </c>
      <c r="Q4" s="13">
        <f>IFERROR(VLOOKUP($F4,'Visu totale'!$D$3:$DH$129,Q$1,0),0)</f>
        <v>0</v>
      </c>
      <c r="R4" s="15">
        <f>IFERROR(VLOOKUP($F4,'Visu totale'!$D$3:$DH$129,R$1,0),0)</f>
        <v>0</v>
      </c>
      <c r="S4" s="14">
        <f>IFERROR(VLOOKUP($F4,'Visu totale'!$D$3:$DH$129,S$1,0),0)</f>
        <v>0</v>
      </c>
      <c r="T4" s="13">
        <f>IFERROR(VLOOKUP($F4,'Visu totale'!$D$3:$DH$129,T$1,0),0)</f>
        <v>0</v>
      </c>
      <c r="U4" s="13">
        <f>IFERROR(VLOOKUP($F4,'Visu totale'!$D$3:$DH$129,U$1,0),0)</f>
        <v>0</v>
      </c>
      <c r="V4" s="13">
        <f>IFERROR(VLOOKUP($F4,'Visu totale'!$D$3:$DH$129,V$1,0),0)</f>
        <v>0</v>
      </c>
      <c r="W4" s="13">
        <f>IFERROR(VLOOKUP($F4,'Visu totale'!$D$3:$DH$129,W$1,0),0)</f>
        <v>0</v>
      </c>
      <c r="X4" s="13">
        <f>IFERROR(VLOOKUP($F4,'Visu totale'!$D$3:$DH$129,X$1,0),0)</f>
        <v>0</v>
      </c>
      <c r="Y4" s="13">
        <f>IFERROR(VLOOKUP($F4,'Visu totale'!$D$3:$DH$129,Y$1,0),0)</f>
        <v>0</v>
      </c>
      <c r="Z4" s="13">
        <f>IFERROR(VLOOKUP($F4,'Visu totale'!$D$3:$DH$129,Z$1,0),0)</f>
        <v>0</v>
      </c>
      <c r="AA4" s="13">
        <f>IFERROR(VLOOKUP($F4,'Visu totale'!$D$3:$DH$129,AA$1,0),0)</f>
        <v>0</v>
      </c>
      <c r="AB4" s="13">
        <f>IFERROR(VLOOKUP($F4,'Visu totale'!$D$3:$DH$129,AB$1,0),0)</f>
        <v>0</v>
      </c>
      <c r="AC4" s="13">
        <f>IFERROR(VLOOKUP($F4,'Visu totale'!$D$3:$DH$129,AC$1,0),0)</f>
        <v>0</v>
      </c>
      <c r="AD4" s="15">
        <f>IFERROR(VLOOKUP($F4,'Visu totale'!$D$3:$DH$129,AD$1,0),0)</f>
        <v>0</v>
      </c>
      <c r="AE4" s="14">
        <f>IFERROR(VLOOKUP($F4,'Visu totale'!$D$3:$DH$129,AE$1,0),0)</f>
        <v>0</v>
      </c>
      <c r="AF4" s="13">
        <f>IFERROR(VLOOKUP($F4,'Visu totale'!$D$3:$DH$129,AF$1,0),0)</f>
        <v>0</v>
      </c>
      <c r="AG4" s="13">
        <f>IFERROR(VLOOKUP($F4,'Visu totale'!$D$3:$DH$129,AG$1,0),0)</f>
        <v>0</v>
      </c>
      <c r="AH4" s="13">
        <f>IFERROR(VLOOKUP($F4,'Visu totale'!$D$3:$DH$129,AH$1,0),0)</f>
        <v>0</v>
      </c>
      <c r="AI4" s="13">
        <f>IFERROR(VLOOKUP($F4,'Visu totale'!$D$3:$DH$129,AI$1,0),0)</f>
        <v>0</v>
      </c>
      <c r="AJ4" s="13">
        <f>IFERROR(VLOOKUP($F4,'Visu totale'!$D$3:$DH$129,AJ$1,0),0)</f>
        <v>0</v>
      </c>
      <c r="AK4" s="13">
        <f>IFERROR(VLOOKUP($F4,'Visu totale'!$D$3:$DH$129,AK$1,0),0)</f>
        <v>0</v>
      </c>
      <c r="AL4" s="13">
        <f>IFERROR(VLOOKUP($F4,'Visu totale'!$D$3:$DH$129,AL$1,0),0)</f>
        <v>0</v>
      </c>
      <c r="AM4" s="13">
        <f>IFERROR(VLOOKUP($F4,'Visu totale'!$D$3:$DH$129,AM$1,0),0)</f>
        <v>0</v>
      </c>
      <c r="AN4" s="13">
        <f>IFERROR(VLOOKUP($F4,'Visu totale'!$D$3:$DH$129,AN$1,0),0)</f>
        <v>0</v>
      </c>
      <c r="AO4" s="13">
        <f>IFERROR(VLOOKUP($F4,'Visu totale'!$D$3:$DH$129,AO$1,0),0)</f>
        <v>0</v>
      </c>
      <c r="AP4" s="15">
        <f>IFERROR(VLOOKUP($F4,'Visu totale'!$D$3:$DH$129,AP$1,0),0)</f>
        <v>0</v>
      </c>
      <c r="AQ4" s="14">
        <f>IFERROR(VLOOKUP($F4,'Visu totale'!$D$3:$DH$129,AQ$1,0),0)</f>
        <v>0</v>
      </c>
      <c r="AR4" s="13">
        <f>IFERROR(VLOOKUP($F4,'Visu totale'!$D$3:$DH$129,AR$1,0),0)</f>
        <v>0</v>
      </c>
      <c r="AS4" s="13">
        <f>IFERROR(VLOOKUP($F4,'Visu totale'!$D$3:$DH$129,AS$1,0),0)</f>
        <v>0</v>
      </c>
      <c r="AT4" s="13">
        <f>IFERROR(VLOOKUP($F4,'Visu totale'!$D$3:$DH$129,AT$1,0),0)</f>
        <v>0</v>
      </c>
      <c r="AU4" s="13">
        <f>IFERROR(VLOOKUP($F4,'Visu totale'!$D$3:$DH$129,AU$1,0),0)</f>
        <v>0</v>
      </c>
      <c r="AV4" s="13">
        <f>IFERROR(VLOOKUP($F4,'Visu totale'!$D$3:$DH$129,AV$1,0),0)</f>
        <v>0</v>
      </c>
      <c r="AW4" s="13">
        <f>IFERROR(VLOOKUP($F4,'Visu totale'!$D$3:$DH$129,AW$1,0),0)</f>
        <v>0</v>
      </c>
      <c r="AX4" s="13">
        <f>IFERROR(VLOOKUP($F4,'Visu totale'!$D$3:$DH$129,AX$1,0),0)</f>
        <v>0</v>
      </c>
      <c r="AY4" s="13">
        <f>IFERROR(VLOOKUP($F4,'Visu totale'!$D$3:$DH$129,AY$1,0),0)</f>
        <v>0</v>
      </c>
      <c r="AZ4" s="13">
        <f>IFERROR(VLOOKUP($F4,'Visu totale'!$D$3:$DH$129,AZ$1,0),0)</f>
        <v>0</v>
      </c>
      <c r="BA4" s="13">
        <f>IFERROR(VLOOKUP($F4,'Visu totale'!$D$3:$DH$129,BA$1,0),0)</f>
        <v>0</v>
      </c>
      <c r="BB4" s="15">
        <f>IFERROR(VLOOKUP($F4,'Visu totale'!$D$3:$DH$129,BB$1,0),0)</f>
        <v>0</v>
      </c>
      <c r="BC4" s="14">
        <f>IFERROR(VLOOKUP($F4,'Visu totale'!$D$3:$DH$129,BC$1,0),0)</f>
        <v>0</v>
      </c>
      <c r="BD4" s="13">
        <f>IFERROR(VLOOKUP($F4,'Visu totale'!$D$3:$DH$129,BD$1,0),0)</f>
        <v>0</v>
      </c>
      <c r="BE4" s="13">
        <f>IFERROR(VLOOKUP($F4,'Visu totale'!$D$3:$DH$129,BE$1,0),0)</f>
        <v>0</v>
      </c>
      <c r="BF4" s="13">
        <f>IFERROR(VLOOKUP($F4,'Visu totale'!$D$3:$DH$129,BF$1,0),0)</f>
        <v>0</v>
      </c>
      <c r="BG4" s="13">
        <f>IFERROR(VLOOKUP($F4,'Visu totale'!$D$3:$DH$129,BG$1,0),0)</f>
        <v>0</v>
      </c>
      <c r="BH4" s="13">
        <f>IFERROR(VLOOKUP($F4,'Visu totale'!$D$3:$DH$129,BH$1,0),0)</f>
        <v>0</v>
      </c>
      <c r="BI4" s="13">
        <f>IFERROR(VLOOKUP($F4,'Visu totale'!$D$3:$DH$129,BI$1,0),0)</f>
        <v>0</v>
      </c>
      <c r="BJ4" s="13">
        <f>IFERROR(VLOOKUP($F4,'Visu totale'!$D$3:$DH$129,BJ$1,0),0)</f>
        <v>0</v>
      </c>
      <c r="BK4" s="13">
        <f>IFERROR(VLOOKUP($F4,'Visu totale'!$D$3:$DH$129,BK$1,0),0)</f>
        <v>0</v>
      </c>
      <c r="BL4" s="13">
        <f>IFERROR(VLOOKUP($F4,'Visu totale'!$D$3:$DH$129,BL$1,0),0)</f>
        <v>0</v>
      </c>
      <c r="BM4" s="13">
        <f>IFERROR(VLOOKUP($F4,'Visu totale'!$D$3:$DH$129,BM$1,0),0)</f>
        <v>0</v>
      </c>
      <c r="BN4" s="15">
        <f>IFERROR(VLOOKUP($F4,'Visu totale'!$D$3:$DH$129,BN$1,0),0)</f>
        <v>0</v>
      </c>
      <c r="BO4" s="14">
        <f>IFERROR(VLOOKUP($F4,'Visu totale'!$D$3:$DH$129,BO$1,0),0)</f>
        <v>0</v>
      </c>
      <c r="BP4" s="13">
        <f>IFERROR(VLOOKUP($F4,'Visu totale'!$D$3:$DH$129,BP$1,0),0)</f>
        <v>0</v>
      </c>
      <c r="BQ4" s="13">
        <f>IFERROR(VLOOKUP($F4,'Visu totale'!$D$3:$DH$129,BQ$1,0),0)</f>
        <v>0</v>
      </c>
      <c r="BR4" s="13">
        <f>IFERROR(VLOOKUP($F4,'Visu totale'!$D$3:$DH$129,BR$1,0),0)</f>
        <v>0</v>
      </c>
      <c r="BS4" s="13">
        <f>IFERROR(VLOOKUP($F4,'Visu totale'!$D$3:$DH$129,BS$1,0),0)</f>
        <v>0</v>
      </c>
      <c r="BT4" s="13">
        <f>IFERROR(VLOOKUP($F4,'Visu totale'!$D$3:$DH$129,BT$1,0),0)</f>
        <v>0</v>
      </c>
      <c r="BU4" s="13">
        <f>IFERROR(VLOOKUP($F4,'Visu totale'!$D$3:$DH$129,BU$1,0),0)</f>
        <v>0</v>
      </c>
      <c r="BV4" s="13">
        <f>IFERROR(VLOOKUP($F4,'Visu totale'!$D$3:$DH$129,BV$1,0),0)</f>
        <v>0</v>
      </c>
      <c r="BW4" s="13">
        <f>IFERROR(VLOOKUP($F4,'Visu totale'!$D$3:$DH$129,BW$1,0),0)</f>
        <v>0</v>
      </c>
      <c r="BX4" s="13">
        <f>IFERROR(VLOOKUP($F4,'Visu totale'!$D$3:$DH$129,BX$1,0),0)</f>
        <v>0</v>
      </c>
      <c r="BY4" s="13">
        <f>IFERROR(VLOOKUP($F4,'Visu totale'!$D$3:$DH$129,BY$1,0),0)</f>
        <v>0</v>
      </c>
      <c r="BZ4" s="15">
        <f>IFERROR(VLOOKUP($F4,'Visu totale'!$D$3:$DH$129,BZ$1,0),0)</f>
        <v>0</v>
      </c>
      <c r="CA4" s="14">
        <f>IFERROR(VLOOKUP($F4,'Visu totale'!$D$3:$DH$129,CA$1,0),0)</f>
        <v>0</v>
      </c>
      <c r="CB4" s="13">
        <f>IFERROR(VLOOKUP($F4,'Visu totale'!$D$3:$DH$129,CB$1,0),0)</f>
        <v>0</v>
      </c>
      <c r="CC4" s="13">
        <f>IFERROR(VLOOKUP($F4,'Visu totale'!$D$3:$DH$129,CC$1,0),0)</f>
        <v>0</v>
      </c>
      <c r="CD4" s="13">
        <f>IFERROR(VLOOKUP($F4,'Visu totale'!$D$3:$DH$129,CD$1,0),0)</f>
        <v>0</v>
      </c>
      <c r="CE4" s="13">
        <f>IFERROR(VLOOKUP($F4,'Visu totale'!$D$3:$DH$129,CE$1,0),0)</f>
        <v>0</v>
      </c>
      <c r="CF4" s="13">
        <f>IFERROR(VLOOKUP($F4,'Visu totale'!$D$3:$DH$129,CF$1,0),0)</f>
        <v>0</v>
      </c>
      <c r="CG4" s="13">
        <f>IFERROR(VLOOKUP($F4,'Visu totale'!$D$3:$DH$129,CG$1,0),0)</f>
        <v>0</v>
      </c>
      <c r="CH4" s="13">
        <f>IFERROR(VLOOKUP($F4,'Visu totale'!$D$3:$DH$129,CH$1,0),0)</f>
        <v>0</v>
      </c>
      <c r="CI4" s="13">
        <f>IFERROR(VLOOKUP($F4,'Visu totale'!$D$3:$DH$129,CI$1,0),0)</f>
        <v>0</v>
      </c>
      <c r="CJ4" s="13">
        <f>IFERROR(VLOOKUP($F4,'Visu totale'!$D$3:$DH$129,CJ$1,0),0)</f>
        <v>0</v>
      </c>
      <c r="CK4" s="13">
        <f>IFERROR(VLOOKUP($F4,'Visu totale'!$D$3:$DH$129,CK$1,0),0)</f>
        <v>0</v>
      </c>
      <c r="CL4" s="15">
        <f>IFERROR(VLOOKUP($F4,'Visu totale'!$D$3:$DH$129,CL$1,0),0)</f>
        <v>0</v>
      </c>
      <c r="CM4" s="14">
        <f>IFERROR(VLOOKUP($F4,'Visu totale'!$D$3:$DH$129,CM$1,0),0)</f>
        <v>0</v>
      </c>
      <c r="CN4" s="13">
        <f>IFERROR(VLOOKUP($F4,'Visu totale'!$D$3:$DH$129,CN$1,0),0)</f>
        <v>0</v>
      </c>
      <c r="CO4" s="13">
        <f>IFERROR(VLOOKUP($F4,'Visu totale'!$D$3:$DH$129,CO$1,0),0)</f>
        <v>0</v>
      </c>
      <c r="CP4" s="13">
        <f>IFERROR(VLOOKUP($F4,'Visu totale'!$D$3:$DH$129,CP$1,0),0)</f>
        <v>0</v>
      </c>
      <c r="CQ4" s="13">
        <f>IFERROR(VLOOKUP($F4,'Visu totale'!$D$3:$DH$129,CQ$1,0),0)</f>
        <v>0</v>
      </c>
      <c r="CR4" s="13">
        <f>IFERROR(VLOOKUP($F4,'Visu totale'!$D$3:$DH$129,CR$1,0),0)</f>
        <v>0</v>
      </c>
      <c r="CS4" s="13">
        <f>IFERROR(VLOOKUP($F4,'Visu totale'!$D$3:$DH$129,CS$1,0),0)</f>
        <v>0</v>
      </c>
      <c r="CT4" s="13">
        <f>IFERROR(VLOOKUP($F4,'Visu totale'!$D$3:$DH$129,CT$1,0),0)</f>
        <v>0</v>
      </c>
      <c r="CU4" s="13">
        <f>IFERROR(VLOOKUP($F4,'Visu totale'!$D$3:$DH$129,CU$1,0),0)</f>
        <v>0</v>
      </c>
      <c r="CV4" s="13">
        <f>IFERROR(VLOOKUP($F4,'Visu totale'!$D$3:$DH$129,CV$1,0),0)</f>
        <v>0</v>
      </c>
      <c r="CW4" s="13">
        <f>IFERROR(VLOOKUP($F4,'Visu totale'!$D$3:$DH$129,CW$1,0),0)</f>
        <v>0</v>
      </c>
      <c r="CX4" s="15">
        <f>IFERROR(VLOOKUP($F4,'Visu totale'!$D$3:$DH$129,CX$1,0),0)</f>
        <v>0</v>
      </c>
      <c r="CY4" s="14">
        <f>IFERROR(VLOOKUP($F4,'Visu totale'!$D$3:$DH$129,CY$1,0),0)</f>
        <v>0</v>
      </c>
      <c r="CZ4" s="13">
        <f>IFERROR(VLOOKUP($F4,'Visu totale'!$D$3:$DH$129,CZ$1,0),0)</f>
        <v>0</v>
      </c>
      <c r="DA4" s="13">
        <f>IFERROR(VLOOKUP($F4,'Visu totale'!$D$3:$DH$129,DA$1,0),0)</f>
        <v>0</v>
      </c>
      <c r="DB4" s="13">
        <f>IFERROR(VLOOKUP($F4,'Visu totale'!$D$3:$DH$129,DB$1,0),0)</f>
        <v>0</v>
      </c>
      <c r="DC4" s="13">
        <f>IFERROR(VLOOKUP($F4,'Visu totale'!$D$3:$DH$129,DC$1,0),0)</f>
        <v>0</v>
      </c>
      <c r="DD4" s="13">
        <f>IFERROR(VLOOKUP($F4,'Visu totale'!$D$3:$DH$129,DD$1,0),0)</f>
        <v>0</v>
      </c>
      <c r="DE4" s="13">
        <f>IFERROR(VLOOKUP($F4,'Visu totale'!$D$3:$DH$129,DE$1,0),0)</f>
        <v>0</v>
      </c>
      <c r="DF4" s="13">
        <f>IFERROR(VLOOKUP($F4,'Visu totale'!$D$3:$DH$129,DF$1,0),0)</f>
        <v>0</v>
      </c>
      <c r="DG4" s="13">
        <f>IFERROR(VLOOKUP($F4,'Visu totale'!$D$3:$DH$129,DG$1,0),0)</f>
        <v>0</v>
      </c>
      <c r="DH4" s="13">
        <f>IFERROR(VLOOKUP($F4,'Visu totale'!$D$3:$DH$129,DH$1,0),0)</f>
        <v>0</v>
      </c>
      <c r="DI4" s="13">
        <f>IFERROR(VLOOKUP($F4,'Visu totale'!$D$3:$DH$129,DI$1,0),0)</f>
        <v>0</v>
      </c>
      <c r="DJ4" s="15">
        <f>IFERROR(VLOOKUP($F4,'Visu totale'!$D$3:$DH$129,DJ$1,0),0)</f>
        <v>0</v>
      </c>
    </row>
    <row r="5" spans="1:114" s="12" customFormat="1" x14ac:dyDescent="0.25">
      <c r="A5" s="13"/>
      <c r="B5" s="13"/>
      <c r="C5" s="13"/>
      <c r="D5" s="13"/>
      <c r="E5" s="13"/>
      <c r="F5" s="17" t="s">
        <v>89</v>
      </c>
      <c r="G5" s="14">
        <f>IFERROR(VLOOKUP($F5,'Visu totale'!$D$3:$DH$129,G$1,0),0)</f>
        <v>0</v>
      </c>
      <c r="H5" s="13">
        <f>IFERROR(VLOOKUP($F5,'Visu totale'!$D$3:$DH$129,H$1,0),0)</f>
        <v>0</v>
      </c>
      <c r="I5" s="13">
        <f>IFERROR(VLOOKUP($F5,'Visu totale'!$D$3:$DH$129,I$1,0),0)</f>
        <v>0</v>
      </c>
      <c r="J5" s="13">
        <f>IFERROR(VLOOKUP($F5,'Visu totale'!$D$3:$DH$129,J$1,0),0)</f>
        <v>0</v>
      </c>
      <c r="K5" s="13">
        <f>IFERROR(VLOOKUP($F5,'Visu totale'!$D$3:$DH$129,K$1,0),0)</f>
        <v>0</v>
      </c>
      <c r="L5" s="13">
        <f>IFERROR(VLOOKUP($F5,'Visu totale'!$D$3:$DH$129,L$1,0),0)</f>
        <v>0</v>
      </c>
      <c r="M5" s="13">
        <f>IFERROR(VLOOKUP($F5,'Visu totale'!$D$3:$DH$129,M$1,0),0)</f>
        <v>0</v>
      </c>
      <c r="N5" s="13">
        <f>IFERROR(VLOOKUP($F5,'Visu totale'!$D$3:$DH$129,N$1,0),0)</f>
        <v>0</v>
      </c>
      <c r="O5" s="13">
        <f>IFERROR(VLOOKUP($F5,'Visu totale'!$D$3:$DH$129,O$1,0),0)</f>
        <v>0</v>
      </c>
      <c r="P5" s="13">
        <f>IFERROR(VLOOKUP($F5,'Visu totale'!$D$3:$DH$129,P$1,0),0)</f>
        <v>0</v>
      </c>
      <c r="Q5" s="13">
        <f>IFERROR(VLOOKUP($F5,'Visu totale'!$D$3:$DH$129,Q$1,0),0)</f>
        <v>0</v>
      </c>
      <c r="R5" s="15">
        <f>IFERROR(VLOOKUP($F5,'Visu totale'!$D$3:$DH$129,R$1,0),0)</f>
        <v>0</v>
      </c>
      <c r="S5" s="14">
        <f>IFERROR(VLOOKUP($F5,'Visu totale'!$D$3:$DH$129,S$1,0),0)</f>
        <v>0</v>
      </c>
      <c r="T5" s="13">
        <f>IFERROR(VLOOKUP($F5,'Visu totale'!$D$3:$DH$129,T$1,0),0)</f>
        <v>0</v>
      </c>
      <c r="U5" s="13">
        <f>IFERROR(VLOOKUP($F5,'Visu totale'!$D$3:$DH$129,U$1,0),0)</f>
        <v>0</v>
      </c>
      <c r="V5" s="13">
        <f>IFERROR(VLOOKUP($F5,'Visu totale'!$D$3:$DH$129,V$1,0),0)</f>
        <v>0</v>
      </c>
      <c r="W5" s="13">
        <f>IFERROR(VLOOKUP($F5,'Visu totale'!$D$3:$DH$129,W$1,0),0)</f>
        <v>0</v>
      </c>
      <c r="X5" s="13">
        <f>IFERROR(VLOOKUP($F5,'Visu totale'!$D$3:$DH$129,X$1,0),0)</f>
        <v>0</v>
      </c>
      <c r="Y5" s="13">
        <f>IFERROR(VLOOKUP($F5,'Visu totale'!$D$3:$DH$129,Y$1,0),0)</f>
        <v>0</v>
      </c>
      <c r="Z5" s="13">
        <f>IFERROR(VLOOKUP($F5,'Visu totale'!$D$3:$DH$129,Z$1,0),0)</f>
        <v>0</v>
      </c>
      <c r="AA5" s="13">
        <f>IFERROR(VLOOKUP($F5,'Visu totale'!$D$3:$DH$129,AA$1,0),0)</f>
        <v>0</v>
      </c>
      <c r="AB5" s="13">
        <f>IFERROR(VLOOKUP($F5,'Visu totale'!$D$3:$DH$129,AB$1,0),0)</f>
        <v>0</v>
      </c>
      <c r="AC5" s="13">
        <f>IFERROR(VLOOKUP($F5,'Visu totale'!$D$3:$DH$129,AC$1,0),0)</f>
        <v>0</v>
      </c>
      <c r="AD5" s="15">
        <f>IFERROR(VLOOKUP($F5,'Visu totale'!$D$3:$DH$129,AD$1,0),0)</f>
        <v>0</v>
      </c>
      <c r="AE5" s="14">
        <f>IFERROR(VLOOKUP($F5,'Visu totale'!$D$3:$DH$129,AE$1,0),0)</f>
        <v>0</v>
      </c>
      <c r="AF5" s="13">
        <f>IFERROR(VLOOKUP($F5,'Visu totale'!$D$3:$DH$129,AF$1,0),0)</f>
        <v>0</v>
      </c>
      <c r="AG5" s="13">
        <f>IFERROR(VLOOKUP($F5,'Visu totale'!$D$3:$DH$129,AG$1,0),0)</f>
        <v>0</v>
      </c>
      <c r="AH5" s="13">
        <f>IFERROR(VLOOKUP($F5,'Visu totale'!$D$3:$DH$129,AH$1,0),0)</f>
        <v>0</v>
      </c>
      <c r="AI5" s="13">
        <f>IFERROR(VLOOKUP($F5,'Visu totale'!$D$3:$DH$129,AI$1,0),0)</f>
        <v>0</v>
      </c>
      <c r="AJ5" s="13">
        <f>IFERROR(VLOOKUP($F5,'Visu totale'!$D$3:$DH$129,AJ$1,0),0)</f>
        <v>0</v>
      </c>
      <c r="AK5" s="13">
        <f>IFERROR(VLOOKUP($F5,'Visu totale'!$D$3:$DH$129,AK$1,0),0)</f>
        <v>0</v>
      </c>
      <c r="AL5" s="13">
        <f>IFERROR(VLOOKUP($F5,'Visu totale'!$D$3:$DH$129,AL$1,0),0)</f>
        <v>0</v>
      </c>
      <c r="AM5" s="13">
        <f>IFERROR(VLOOKUP($F5,'Visu totale'!$D$3:$DH$129,AM$1,0),0)</f>
        <v>0</v>
      </c>
      <c r="AN5" s="13">
        <f>IFERROR(VLOOKUP($F5,'Visu totale'!$D$3:$DH$129,AN$1,0),0)</f>
        <v>0</v>
      </c>
      <c r="AO5" s="13">
        <f>IFERROR(VLOOKUP($F5,'Visu totale'!$D$3:$DH$129,AO$1,0),0)</f>
        <v>0</v>
      </c>
      <c r="AP5" s="15">
        <f>IFERROR(VLOOKUP($F5,'Visu totale'!$D$3:$DH$129,AP$1,0),0)</f>
        <v>0</v>
      </c>
      <c r="AQ5" s="14">
        <f>IFERROR(VLOOKUP($F5,'Visu totale'!$D$3:$DH$129,AQ$1,0),0)</f>
        <v>0</v>
      </c>
      <c r="AR5" s="13">
        <f>IFERROR(VLOOKUP($F5,'Visu totale'!$D$3:$DH$129,AR$1,0),0)</f>
        <v>0</v>
      </c>
      <c r="AS5" s="13">
        <f>IFERROR(VLOOKUP($F5,'Visu totale'!$D$3:$DH$129,AS$1,0),0)</f>
        <v>0</v>
      </c>
      <c r="AT5" s="13">
        <f>IFERROR(VLOOKUP($F5,'Visu totale'!$D$3:$DH$129,AT$1,0),0)</f>
        <v>0</v>
      </c>
      <c r="AU5" s="13">
        <f>IFERROR(VLOOKUP($F5,'Visu totale'!$D$3:$DH$129,AU$1,0),0)</f>
        <v>0</v>
      </c>
      <c r="AV5" s="13">
        <f>IFERROR(VLOOKUP($F5,'Visu totale'!$D$3:$DH$129,AV$1,0),0)</f>
        <v>0</v>
      </c>
      <c r="AW5" s="13">
        <f>IFERROR(VLOOKUP($F5,'Visu totale'!$D$3:$DH$129,AW$1,0),0)</f>
        <v>0</v>
      </c>
      <c r="AX5" s="13">
        <f>IFERROR(VLOOKUP($F5,'Visu totale'!$D$3:$DH$129,AX$1,0),0)</f>
        <v>0</v>
      </c>
      <c r="AY5" s="13">
        <f>IFERROR(VLOOKUP($F5,'Visu totale'!$D$3:$DH$129,AY$1,0),0)</f>
        <v>0</v>
      </c>
      <c r="AZ5" s="13">
        <f>IFERROR(VLOOKUP($F5,'Visu totale'!$D$3:$DH$129,AZ$1,0),0)</f>
        <v>0</v>
      </c>
      <c r="BA5" s="13">
        <f>IFERROR(VLOOKUP($F5,'Visu totale'!$D$3:$DH$129,BA$1,0),0)</f>
        <v>0</v>
      </c>
      <c r="BB5" s="15">
        <f>IFERROR(VLOOKUP($F5,'Visu totale'!$D$3:$DH$129,BB$1,0),0)</f>
        <v>0</v>
      </c>
      <c r="BC5" s="14">
        <f>IFERROR(VLOOKUP($F5,'Visu totale'!$D$3:$DH$129,BC$1,0),0)</f>
        <v>0</v>
      </c>
      <c r="BD5" s="13">
        <f>IFERROR(VLOOKUP($F5,'Visu totale'!$D$3:$DH$129,BD$1,0),0)</f>
        <v>0</v>
      </c>
      <c r="BE5" s="13">
        <f>IFERROR(VLOOKUP($F5,'Visu totale'!$D$3:$DH$129,BE$1,0),0)</f>
        <v>0</v>
      </c>
      <c r="BF5" s="13">
        <f>IFERROR(VLOOKUP($F5,'Visu totale'!$D$3:$DH$129,BF$1,0),0)</f>
        <v>0</v>
      </c>
      <c r="BG5" s="13">
        <f>IFERROR(VLOOKUP($F5,'Visu totale'!$D$3:$DH$129,BG$1,0),0)</f>
        <v>0</v>
      </c>
      <c r="BH5" s="13">
        <f>IFERROR(VLOOKUP($F5,'Visu totale'!$D$3:$DH$129,BH$1,0),0)</f>
        <v>0</v>
      </c>
      <c r="BI5" s="13">
        <f>IFERROR(VLOOKUP($F5,'Visu totale'!$D$3:$DH$129,BI$1,0),0)</f>
        <v>0</v>
      </c>
      <c r="BJ5" s="13">
        <f>IFERROR(VLOOKUP($F5,'Visu totale'!$D$3:$DH$129,BJ$1,0),0)</f>
        <v>0</v>
      </c>
      <c r="BK5" s="13">
        <f>IFERROR(VLOOKUP($F5,'Visu totale'!$D$3:$DH$129,BK$1,0),0)</f>
        <v>0</v>
      </c>
      <c r="BL5" s="13">
        <f>IFERROR(VLOOKUP($F5,'Visu totale'!$D$3:$DH$129,BL$1,0),0)</f>
        <v>0</v>
      </c>
      <c r="BM5" s="13">
        <f>IFERROR(VLOOKUP($F5,'Visu totale'!$D$3:$DH$129,BM$1,0),0)</f>
        <v>0</v>
      </c>
      <c r="BN5" s="15">
        <f>IFERROR(VLOOKUP($F5,'Visu totale'!$D$3:$DH$129,BN$1,0),0)</f>
        <v>0</v>
      </c>
      <c r="BO5" s="14">
        <f>IFERROR(VLOOKUP($F5,'Visu totale'!$D$3:$DH$129,BO$1,0),0)</f>
        <v>0</v>
      </c>
      <c r="BP5" s="13">
        <f>IFERROR(VLOOKUP($F5,'Visu totale'!$D$3:$DH$129,BP$1,0),0)</f>
        <v>0</v>
      </c>
      <c r="BQ5" s="13">
        <f>IFERROR(VLOOKUP($F5,'Visu totale'!$D$3:$DH$129,BQ$1,0),0)</f>
        <v>0</v>
      </c>
      <c r="BR5" s="13">
        <f>IFERROR(VLOOKUP($F5,'Visu totale'!$D$3:$DH$129,BR$1,0),0)</f>
        <v>0</v>
      </c>
      <c r="BS5" s="13">
        <f>IFERROR(VLOOKUP($F5,'Visu totale'!$D$3:$DH$129,BS$1,0),0)</f>
        <v>0</v>
      </c>
      <c r="BT5" s="13">
        <f>IFERROR(VLOOKUP($F5,'Visu totale'!$D$3:$DH$129,BT$1,0),0)</f>
        <v>0</v>
      </c>
      <c r="BU5" s="13">
        <f>IFERROR(VLOOKUP($F5,'Visu totale'!$D$3:$DH$129,BU$1,0),0)</f>
        <v>0</v>
      </c>
      <c r="BV5" s="13">
        <f>IFERROR(VLOOKUP($F5,'Visu totale'!$D$3:$DH$129,BV$1,0),0)</f>
        <v>0</v>
      </c>
      <c r="BW5" s="13">
        <f>IFERROR(VLOOKUP($F5,'Visu totale'!$D$3:$DH$129,BW$1,0),0)</f>
        <v>0</v>
      </c>
      <c r="BX5" s="13">
        <f>IFERROR(VLOOKUP($F5,'Visu totale'!$D$3:$DH$129,BX$1,0),0)</f>
        <v>0</v>
      </c>
      <c r="BY5" s="13">
        <f>IFERROR(VLOOKUP($F5,'Visu totale'!$D$3:$DH$129,BY$1,0),0)</f>
        <v>0</v>
      </c>
      <c r="BZ5" s="15">
        <f>IFERROR(VLOOKUP($F5,'Visu totale'!$D$3:$DH$129,BZ$1,0),0)</f>
        <v>0</v>
      </c>
      <c r="CA5" s="14">
        <f>IFERROR(VLOOKUP($F5,'Visu totale'!$D$3:$DH$129,CA$1,0),0)</f>
        <v>0</v>
      </c>
      <c r="CB5" s="13">
        <f>IFERROR(VLOOKUP($F5,'Visu totale'!$D$3:$DH$129,CB$1,0),0)</f>
        <v>0</v>
      </c>
      <c r="CC5" s="13">
        <f>IFERROR(VLOOKUP($F5,'Visu totale'!$D$3:$DH$129,CC$1,0),0)</f>
        <v>0</v>
      </c>
      <c r="CD5" s="13">
        <f>IFERROR(VLOOKUP($F5,'Visu totale'!$D$3:$DH$129,CD$1,0),0)</f>
        <v>0</v>
      </c>
      <c r="CE5" s="13">
        <f>IFERROR(VLOOKUP($F5,'Visu totale'!$D$3:$DH$129,CE$1,0),0)</f>
        <v>0</v>
      </c>
      <c r="CF5" s="13">
        <f>IFERROR(VLOOKUP($F5,'Visu totale'!$D$3:$DH$129,CF$1,0),0)</f>
        <v>0</v>
      </c>
      <c r="CG5" s="13">
        <f>IFERROR(VLOOKUP($F5,'Visu totale'!$D$3:$DH$129,CG$1,0),0)</f>
        <v>0</v>
      </c>
      <c r="CH5" s="13">
        <f>IFERROR(VLOOKUP($F5,'Visu totale'!$D$3:$DH$129,CH$1,0),0)</f>
        <v>0</v>
      </c>
      <c r="CI5" s="13">
        <f>IFERROR(VLOOKUP($F5,'Visu totale'!$D$3:$DH$129,CI$1,0),0)</f>
        <v>0</v>
      </c>
      <c r="CJ5" s="13">
        <f>IFERROR(VLOOKUP($F5,'Visu totale'!$D$3:$DH$129,CJ$1,0),0)</f>
        <v>0</v>
      </c>
      <c r="CK5" s="13">
        <f>IFERROR(VLOOKUP($F5,'Visu totale'!$D$3:$DH$129,CK$1,0),0)</f>
        <v>0</v>
      </c>
      <c r="CL5" s="15">
        <f>IFERROR(VLOOKUP($F5,'Visu totale'!$D$3:$DH$129,CL$1,0),0)</f>
        <v>0</v>
      </c>
      <c r="CM5" s="14">
        <f>IFERROR(VLOOKUP($F5,'Visu totale'!$D$3:$DH$129,CM$1,0),0)</f>
        <v>0</v>
      </c>
      <c r="CN5" s="13">
        <f>IFERROR(VLOOKUP($F5,'Visu totale'!$D$3:$DH$129,CN$1,0),0)</f>
        <v>0</v>
      </c>
      <c r="CO5" s="13">
        <f>IFERROR(VLOOKUP($F5,'Visu totale'!$D$3:$DH$129,CO$1,0),0)</f>
        <v>0</v>
      </c>
      <c r="CP5" s="13">
        <f>IFERROR(VLOOKUP($F5,'Visu totale'!$D$3:$DH$129,CP$1,0),0)</f>
        <v>0</v>
      </c>
      <c r="CQ5" s="13">
        <f>IFERROR(VLOOKUP($F5,'Visu totale'!$D$3:$DH$129,CQ$1,0),0)</f>
        <v>0</v>
      </c>
      <c r="CR5" s="13">
        <f>IFERROR(VLOOKUP($F5,'Visu totale'!$D$3:$DH$129,CR$1,0),0)</f>
        <v>0</v>
      </c>
      <c r="CS5" s="13">
        <f>IFERROR(VLOOKUP($F5,'Visu totale'!$D$3:$DH$129,CS$1,0),0)</f>
        <v>0</v>
      </c>
      <c r="CT5" s="13">
        <f>IFERROR(VLOOKUP($F5,'Visu totale'!$D$3:$DH$129,CT$1,0),0)</f>
        <v>0</v>
      </c>
      <c r="CU5" s="13">
        <f>IFERROR(VLOOKUP($F5,'Visu totale'!$D$3:$DH$129,CU$1,0),0)</f>
        <v>0</v>
      </c>
      <c r="CV5" s="13">
        <f>IFERROR(VLOOKUP($F5,'Visu totale'!$D$3:$DH$129,CV$1,0),0)</f>
        <v>0</v>
      </c>
      <c r="CW5" s="13">
        <f>IFERROR(VLOOKUP($F5,'Visu totale'!$D$3:$DH$129,CW$1,0),0)</f>
        <v>0</v>
      </c>
      <c r="CX5" s="15">
        <f>IFERROR(VLOOKUP($F5,'Visu totale'!$D$3:$DH$129,CX$1,0),0)</f>
        <v>0</v>
      </c>
      <c r="CY5" s="14">
        <f>IFERROR(VLOOKUP($F5,'Visu totale'!$D$3:$DH$129,CY$1,0),0)</f>
        <v>0</v>
      </c>
      <c r="CZ5" s="13">
        <f>IFERROR(VLOOKUP($F5,'Visu totale'!$D$3:$DH$129,CZ$1,0),0)</f>
        <v>0</v>
      </c>
      <c r="DA5" s="13">
        <f>IFERROR(VLOOKUP($F5,'Visu totale'!$D$3:$DH$129,DA$1,0),0)</f>
        <v>0</v>
      </c>
      <c r="DB5" s="13">
        <f>IFERROR(VLOOKUP($F5,'Visu totale'!$D$3:$DH$129,DB$1,0),0)</f>
        <v>0</v>
      </c>
      <c r="DC5" s="13">
        <f>IFERROR(VLOOKUP($F5,'Visu totale'!$D$3:$DH$129,DC$1,0),0)</f>
        <v>0</v>
      </c>
      <c r="DD5" s="13">
        <f>IFERROR(VLOOKUP($F5,'Visu totale'!$D$3:$DH$129,DD$1,0),0)</f>
        <v>0</v>
      </c>
      <c r="DE5" s="13">
        <f>IFERROR(VLOOKUP($F5,'Visu totale'!$D$3:$DH$129,DE$1,0),0)</f>
        <v>0</v>
      </c>
      <c r="DF5" s="13">
        <f>IFERROR(VLOOKUP($F5,'Visu totale'!$D$3:$DH$129,DF$1,0),0)</f>
        <v>0</v>
      </c>
      <c r="DG5" s="13">
        <f>IFERROR(VLOOKUP($F5,'Visu totale'!$D$3:$DH$129,DG$1,0),0)</f>
        <v>0</v>
      </c>
      <c r="DH5" s="13">
        <f>IFERROR(VLOOKUP($F5,'Visu totale'!$D$3:$DH$129,DH$1,0),0)</f>
        <v>0</v>
      </c>
      <c r="DI5" s="13">
        <f>IFERROR(VLOOKUP($F5,'Visu totale'!$D$3:$DH$129,DI$1,0),0)</f>
        <v>0</v>
      </c>
      <c r="DJ5" s="15">
        <f>IFERROR(VLOOKUP($F5,'Visu totale'!$D$3:$DH$129,DJ$1,0),0)</f>
        <v>0</v>
      </c>
    </row>
    <row r="6" spans="1:114" s="12" customFormat="1" x14ac:dyDescent="0.25">
      <c r="A6" s="13"/>
      <c r="B6" s="13"/>
      <c r="C6" s="13"/>
      <c r="D6" s="13"/>
      <c r="E6" s="13"/>
      <c r="F6" s="17" t="s">
        <v>90</v>
      </c>
      <c r="G6" s="14">
        <f>IFERROR(VLOOKUP($F6,'Visu totale'!$D$3:$DH$129,G$1,0),0)</f>
        <v>0</v>
      </c>
      <c r="H6" s="13">
        <f>IFERROR(VLOOKUP($F6,'Visu totale'!$D$3:$DH$129,H$1,0),0)</f>
        <v>0</v>
      </c>
      <c r="I6" s="13">
        <f>IFERROR(VLOOKUP($F6,'Visu totale'!$D$3:$DH$129,I$1,0),0)</f>
        <v>0</v>
      </c>
      <c r="J6" s="13">
        <f>IFERROR(VLOOKUP($F6,'Visu totale'!$D$3:$DH$129,J$1,0),0)</f>
        <v>0</v>
      </c>
      <c r="K6" s="13">
        <f>IFERROR(VLOOKUP($F6,'Visu totale'!$D$3:$DH$129,K$1,0),0)</f>
        <v>0</v>
      </c>
      <c r="L6" s="13">
        <f>IFERROR(VLOOKUP($F6,'Visu totale'!$D$3:$DH$129,L$1,0),0)</f>
        <v>0</v>
      </c>
      <c r="M6" s="13">
        <f>IFERROR(VLOOKUP($F6,'Visu totale'!$D$3:$DH$129,M$1,0),0)</f>
        <v>0</v>
      </c>
      <c r="N6" s="13">
        <f>IFERROR(VLOOKUP($F6,'Visu totale'!$D$3:$DH$129,N$1,0),0)</f>
        <v>0</v>
      </c>
      <c r="O6" s="13">
        <f>IFERROR(VLOOKUP($F6,'Visu totale'!$D$3:$DH$129,O$1,0),0)</f>
        <v>0</v>
      </c>
      <c r="P6" s="13">
        <f>IFERROR(VLOOKUP($F6,'Visu totale'!$D$3:$DH$129,P$1,0),0)</f>
        <v>0</v>
      </c>
      <c r="Q6" s="13">
        <f>IFERROR(VLOOKUP($F6,'Visu totale'!$D$3:$DH$129,Q$1,0),0)</f>
        <v>0</v>
      </c>
      <c r="R6" s="15">
        <f>IFERROR(VLOOKUP($F6,'Visu totale'!$D$3:$DH$129,R$1,0),0)</f>
        <v>0</v>
      </c>
      <c r="S6" s="14">
        <f>IFERROR(VLOOKUP($F6,'Visu totale'!$D$3:$DH$129,S$1,0),0)</f>
        <v>0</v>
      </c>
      <c r="T6" s="13">
        <f>IFERROR(VLOOKUP($F6,'Visu totale'!$D$3:$DH$129,T$1,0),0)</f>
        <v>0</v>
      </c>
      <c r="U6" s="13">
        <f>IFERROR(VLOOKUP($F6,'Visu totale'!$D$3:$DH$129,U$1,0),0)</f>
        <v>0</v>
      </c>
      <c r="V6" s="13">
        <f>IFERROR(VLOOKUP($F6,'Visu totale'!$D$3:$DH$129,V$1,0),0)</f>
        <v>0</v>
      </c>
      <c r="W6" s="13">
        <f>IFERROR(VLOOKUP($F6,'Visu totale'!$D$3:$DH$129,W$1,0),0)</f>
        <v>0</v>
      </c>
      <c r="X6" s="13">
        <f>IFERROR(VLOOKUP($F6,'Visu totale'!$D$3:$DH$129,X$1,0),0)</f>
        <v>0</v>
      </c>
      <c r="Y6" s="13">
        <f>IFERROR(VLOOKUP($F6,'Visu totale'!$D$3:$DH$129,Y$1,0),0)</f>
        <v>0</v>
      </c>
      <c r="Z6" s="13">
        <f>IFERROR(VLOOKUP($F6,'Visu totale'!$D$3:$DH$129,Z$1,0),0)</f>
        <v>0</v>
      </c>
      <c r="AA6" s="13">
        <f>IFERROR(VLOOKUP($F6,'Visu totale'!$D$3:$DH$129,AA$1,0),0)</f>
        <v>0</v>
      </c>
      <c r="AB6" s="13">
        <f>IFERROR(VLOOKUP($F6,'Visu totale'!$D$3:$DH$129,AB$1,0),0)</f>
        <v>0</v>
      </c>
      <c r="AC6" s="13">
        <f>IFERROR(VLOOKUP($F6,'Visu totale'!$D$3:$DH$129,AC$1,0),0)</f>
        <v>0</v>
      </c>
      <c r="AD6" s="15">
        <f>IFERROR(VLOOKUP($F6,'Visu totale'!$D$3:$DH$129,AD$1,0),0)</f>
        <v>0</v>
      </c>
      <c r="AE6" s="14">
        <f>IFERROR(VLOOKUP($F6,'Visu totale'!$D$3:$DH$129,AE$1,0),0)</f>
        <v>0</v>
      </c>
      <c r="AF6" s="13">
        <f>IFERROR(VLOOKUP($F6,'Visu totale'!$D$3:$DH$129,AF$1,0),0)</f>
        <v>0</v>
      </c>
      <c r="AG6" s="13">
        <f>IFERROR(VLOOKUP($F6,'Visu totale'!$D$3:$DH$129,AG$1,0),0)</f>
        <v>0</v>
      </c>
      <c r="AH6" s="13">
        <f>IFERROR(VLOOKUP($F6,'Visu totale'!$D$3:$DH$129,AH$1,0),0)</f>
        <v>0</v>
      </c>
      <c r="AI6" s="13">
        <f>IFERROR(VLOOKUP($F6,'Visu totale'!$D$3:$DH$129,AI$1,0),0)</f>
        <v>0</v>
      </c>
      <c r="AJ6" s="13">
        <f>IFERROR(VLOOKUP($F6,'Visu totale'!$D$3:$DH$129,AJ$1,0),0)</f>
        <v>0</v>
      </c>
      <c r="AK6" s="13">
        <f>IFERROR(VLOOKUP($F6,'Visu totale'!$D$3:$DH$129,AK$1,0),0)</f>
        <v>0</v>
      </c>
      <c r="AL6" s="13">
        <f>IFERROR(VLOOKUP($F6,'Visu totale'!$D$3:$DH$129,AL$1,0),0)</f>
        <v>0</v>
      </c>
      <c r="AM6" s="13">
        <f>IFERROR(VLOOKUP($F6,'Visu totale'!$D$3:$DH$129,AM$1,0),0)</f>
        <v>0</v>
      </c>
      <c r="AN6" s="13">
        <f>IFERROR(VLOOKUP($F6,'Visu totale'!$D$3:$DH$129,AN$1,0),0)</f>
        <v>0</v>
      </c>
      <c r="AO6" s="13">
        <f>IFERROR(VLOOKUP($F6,'Visu totale'!$D$3:$DH$129,AO$1,0),0)</f>
        <v>0</v>
      </c>
      <c r="AP6" s="15">
        <f>IFERROR(VLOOKUP($F6,'Visu totale'!$D$3:$DH$129,AP$1,0),0)</f>
        <v>0</v>
      </c>
      <c r="AQ6" s="14">
        <f>IFERROR(VLOOKUP($F6,'Visu totale'!$D$3:$DH$129,AQ$1,0),0)</f>
        <v>0</v>
      </c>
      <c r="AR6" s="13">
        <f>IFERROR(VLOOKUP($F6,'Visu totale'!$D$3:$DH$129,AR$1,0),0)</f>
        <v>0</v>
      </c>
      <c r="AS6" s="13">
        <f>IFERROR(VLOOKUP($F6,'Visu totale'!$D$3:$DH$129,AS$1,0),0)</f>
        <v>0</v>
      </c>
      <c r="AT6" s="13">
        <f>IFERROR(VLOOKUP($F6,'Visu totale'!$D$3:$DH$129,AT$1,0),0)</f>
        <v>0</v>
      </c>
      <c r="AU6" s="13">
        <f>IFERROR(VLOOKUP($F6,'Visu totale'!$D$3:$DH$129,AU$1,0),0)</f>
        <v>0</v>
      </c>
      <c r="AV6" s="13">
        <f>IFERROR(VLOOKUP($F6,'Visu totale'!$D$3:$DH$129,AV$1,0),0)</f>
        <v>0</v>
      </c>
      <c r="AW6" s="13">
        <f>IFERROR(VLOOKUP($F6,'Visu totale'!$D$3:$DH$129,AW$1,0),0)</f>
        <v>0</v>
      </c>
      <c r="AX6" s="13">
        <f>IFERROR(VLOOKUP($F6,'Visu totale'!$D$3:$DH$129,AX$1,0),0)</f>
        <v>0</v>
      </c>
      <c r="AY6" s="13">
        <f>IFERROR(VLOOKUP($F6,'Visu totale'!$D$3:$DH$129,AY$1,0),0)</f>
        <v>0</v>
      </c>
      <c r="AZ6" s="13">
        <f>IFERROR(VLOOKUP($F6,'Visu totale'!$D$3:$DH$129,AZ$1,0),0)</f>
        <v>0</v>
      </c>
      <c r="BA6" s="13">
        <f>IFERROR(VLOOKUP($F6,'Visu totale'!$D$3:$DH$129,BA$1,0),0)</f>
        <v>0</v>
      </c>
      <c r="BB6" s="15">
        <f>IFERROR(VLOOKUP($F6,'Visu totale'!$D$3:$DH$129,BB$1,0),0)</f>
        <v>0</v>
      </c>
      <c r="BC6" s="14">
        <f>IFERROR(VLOOKUP($F6,'Visu totale'!$D$3:$DH$129,BC$1,0),0)</f>
        <v>0</v>
      </c>
      <c r="BD6" s="13">
        <f>IFERROR(VLOOKUP($F6,'Visu totale'!$D$3:$DH$129,BD$1,0),0)</f>
        <v>0</v>
      </c>
      <c r="BE6" s="13">
        <f>IFERROR(VLOOKUP($F6,'Visu totale'!$D$3:$DH$129,BE$1,0),0)</f>
        <v>0</v>
      </c>
      <c r="BF6" s="13">
        <f>IFERROR(VLOOKUP($F6,'Visu totale'!$D$3:$DH$129,BF$1,0),0)</f>
        <v>0</v>
      </c>
      <c r="BG6" s="13">
        <f>IFERROR(VLOOKUP($F6,'Visu totale'!$D$3:$DH$129,BG$1,0),0)</f>
        <v>0</v>
      </c>
      <c r="BH6" s="13">
        <f>IFERROR(VLOOKUP($F6,'Visu totale'!$D$3:$DH$129,BH$1,0),0)</f>
        <v>0</v>
      </c>
      <c r="BI6" s="13">
        <f>IFERROR(VLOOKUP($F6,'Visu totale'!$D$3:$DH$129,BI$1,0),0)</f>
        <v>0</v>
      </c>
      <c r="BJ6" s="13">
        <f>IFERROR(VLOOKUP($F6,'Visu totale'!$D$3:$DH$129,BJ$1,0),0)</f>
        <v>0</v>
      </c>
      <c r="BK6" s="13">
        <f>IFERROR(VLOOKUP($F6,'Visu totale'!$D$3:$DH$129,BK$1,0),0)</f>
        <v>0</v>
      </c>
      <c r="BL6" s="13">
        <f>IFERROR(VLOOKUP($F6,'Visu totale'!$D$3:$DH$129,BL$1,0),0)</f>
        <v>0</v>
      </c>
      <c r="BM6" s="13">
        <f>IFERROR(VLOOKUP($F6,'Visu totale'!$D$3:$DH$129,BM$1,0),0)</f>
        <v>0</v>
      </c>
      <c r="BN6" s="15">
        <f>IFERROR(VLOOKUP($F6,'Visu totale'!$D$3:$DH$129,BN$1,0),0)</f>
        <v>0</v>
      </c>
      <c r="BO6" s="14">
        <f>IFERROR(VLOOKUP($F6,'Visu totale'!$D$3:$DH$129,BO$1,0),0)</f>
        <v>0</v>
      </c>
      <c r="BP6" s="13">
        <f>IFERROR(VLOOKUP($F6,'Visu totale'!$D$3:$DH$129,BP$1,0),0)</f>
        <v>0</v>
      </c>
      <c r="BQ6" s="13">
        <f>IFERROR(VLOOKUP($F6,'Visu totale'!$D$3:$DH$129,BQ$1,0),0)</f>
        <v>0</v>
      </c>
      <c r="BR6" s="13">
        <f>IFERROR(VLOOKUP($F6,'Visu totale'!$D$3:$DH$129,BR$1,0),0)</f>
        <v>0</v>
      </c>
      <c r="BS6" s="13">
        <f>IFERROR(VLOOKUP($F6,'Visu totale'!$D$3:$DH$129,BS$1,0),0)</f>
        <v>0</v>
      </c>
      <c r="BT6" s="13">
        <f>IFERROR(VLOOKUP($F6,'Visu totale'!$D$3:$DH$129,BT$1,0),0)</f>
        <v>0</v>
      </c>
      <c r="BU6" s="13">
        <f>IFERROR(VLOOKUP($F6,'Visu totale'!$D$3:$DH$129,BU$1,0),0)</f>
        <v>0</v>
      </c>
      <c r="BV6" s="13">
        <f>IFERROR(VLOOKUP($F6,'Visu totale'!$D$3:$DH$129,BV$1,0),0)</f>
        <v>0</v>
      </c>
      <c r="BW6" s="13">
        <f>IFERROR(VLOOKUP($F6,'Visu totale'!$D$3:$DH$129,BW$1,0),0)</f>
        <v>0</v>
      </c>
      <c r="BX6" s="13">
        <f>IFERROR(VLOOKUP($F6,'Visu totale'!$D$3:$DH$129,BX$1,0),0)</f>
        <v>0</v>
      </c>
      <c r="BY6" s="13">
        <f>IFERROR(VLOOKUP($F6,'Visu totale'!$D$3:$DH$129,BY$1,0),0)</f>
        <v>0</v>
      </c>
      <c r="BZ6" s="15">
        <f>IFERROR(VLOOKUP($F6,'Visu totale'!$D$3:$DH$129,BZ$1,0),0)</f>
        <v>0</v>
      </c>
      <c r="CA6" s="14">
        <f>IFERROR(VLOOKUP($F6,'Visu totale'!$D$3:$DH$129,CA$1,0),0)</f>
        <v>0</v>
      </c>
      <c r="CB6" s="13">
        <f>IFERROR(VLOOKUP($F6,'Visu totale'!$D$3:$DH$129,CB$1,0),0)</f>
        <v>0</v>
      </c>
      <c r="CC6" s="13">
        <f>IFERROR(VLOOKUP($F6,'Visu totale'!$D$3:$DH$129,CC$1,0),0)</f>
        <v>0</v>
      </c>
      <c r="CD6" s="13">
        <f>IFERROR(VLOOKUP($F6,'Visu totale'!$D$3:$DH$129,CD$1,0),0)</f>
        <v>0</v>
      </c>
      <c r="CE6" s="13">
        <f>IFERROR(VLOOKUP($F6,'Visu totale'!$D$3:$DH$129,CE$1,0),0)</f>
        <v>0</v>
      </c>
      <c r="CF6" s="13">
        <f>IFERROR(VLOOKUP($F6,'Visu totale'!$D$3:$DH$129,CF$1,0),0)</f>
        <v>0</v>
      </c>
      <c r="CG6" s="13">
        <f>IFERROR(VLOOKUP($F6,'Visu totale'!$D$3:$DH$129,CG$1,0),0)</f>
        <v>0</v>
      </c>
      <c r="CH6" s="13">
        <f>IFERROR(VLOOKUP($F6,'Visu totale'!$D$3:$DH$129,CH$1,0),0)</f>
        <v>0</v>
      </c>
      <c r="CI6" s="13">
        <f>IFERROR(VLOOKUP($F6,'Visu totale'!$D$3:$DH$129,CI$1,0),0)</f>
        <v>0</v>
      </c>
      <c r="CJ6" s="13">
        <f>IFERROR(VLOOKUP($F6,'Visu totale'!$D$3:$DH$129,CJ$1,0),0)</f>
        <v>0</v>
      </c>
      <c r="CK6" s="13">
        <f>IFERROR(VLOOKUP($F6,'Visu totale'!$D$3:$DH$129,CK$1,0),0)</f>
        <v>0</v>
      </c>
      <c r="CL6" s="15">
        <f>IFERROR(VLOOKUP($F6,'Visu totale'!$D$3:$DH$129,CL$1,0),0)</f>
        <v>0</v>
      </c>
      <c r="CM6" s="14">
        <f>IFERROR(VLOOKUP($F6,'Visu totale'!$D$3:$DH$129,CM$1,0),0)</f>
        <v>0</v>
      </c>
      <c r="CN6" s="13">
        <f>IFERROR(VLOOKUP($F6,'Visu totale'!$D$3:$DH$129,CN$1,0),0)</f>
        <v>0</v>
      </c>
      <c r="CO6" s="13">
        <f>IFERROR(VLOOKUP($F6,'Visu totale'!$D$3:$DH$129,CO$1,0),0)</f>
        <v>0</v>
      </c>
      <c r="CP6" s="13">
        <f>IFERROR(VLOOKUP($F6,'Visu totale'!$D$3:$DH$129,CP$1,0),0)</f>
        <v>0</v>
      </c>
      <c r="CQ6" s="13">
        <f>IFERROR(VLOOKUP($F6,'Visu totale'!$D$3:$DH$129,CQ$1,0),0)</f>
        <v>0</v>
      </c>
      <c r="CR6" s="13">
        <f>IFERROR(VLOOKUP($F6,'Visu totale'!$D$3:$DH$129,CR$1,0),0)</f>
        <v>0</v>
      </c>
      <c r="CS6" s="13">
        <f>IFERROR(VLOOKUP($F6,'Visu totale'!$D$3:$DH$129,CS$1,0),0)</f>
        <v>0</v>
      </c>
      <c r="CT6" s="13">
        <f>IFERROR(VLOOKUP($F6,'Visu totale'!$D$3:$DH$129,CT$1,0),0)</f>
        <v>0</v>
      </c>
      <c r="CU6" s="13">
        <f>IFERROR(VLOOKUP($F6,'Visu totale'!$D$3:$DH$129,CU$1,0),0)</f>
        <v>0</v>
      </c>
      <c r="CV6" s="13">
        <f>IFERROR(VLOOKUP($F6,'Visu totale'!$D$3:$DH$129,CV$1,0),0)</f>
        <v>0</v>
      </c>
      <c r="CW6" s="13">
        <f>IFERROR(VLOOKUP($F6,'Visu totale'!$D$3:$DH$129,CW$1,0),0)</f>
        <v>0</v>
      </c>
      <c r="CX6" s="15">
        <f>IFERROR(VLOOKUP($F6,'Visu totale'!$D$3:$DH$129,CX$1,0),0)</f>
        <v>0</v>
      </c>
      <c r="CY6" s="14">
        <f>IFERROR(VLOOKUP($F6,'Visu totale'!$D$3:$DH$129,CY$1,0),0)</f>
        <v>0</v>
      </c>
      <c r="CZ6" s="13">
        <f>IFERROR(VLOOKUP($F6,'Visu totale'!$D$3:$DH$129,CZ$1,0),0)</f>
        <v>0</v>
      </c>
      <c r="DA6" s="13">
        <f>IFERROR(VLOOKUP($F6,'Visu totale'!$D$3:$DH$129,DA$1,0),0)</f>
        <v>0</v>
      </c>
      <c r="DB6" s="13">
        <f>IFERROR(VLOOKUP($F6,'Visu totale'!$D$3:$DH$129,DB$1,0),0)</f>
        <v>0</v>
      </c>
      <c r="DC6" s="13">
        <f>IFERROR(VLOOKUP($F6,'Visu totale'!$D$3:$DH$129,DC$1,0),0)</f>
        <v>0</v>
      </c>
      <c r="DD6" s="13">
        <f>IFERROR(VLOOKUP($F6,'Visu totale'!$D$3:$DH$129,DD$1,0),0)</f>
        <v>0</v>
      </c>
      <c r="DE6" s="13">
        <f>IFERROR(VLOOKUP($F6,'Visu totale'!$D$3:$DH$129,DE$1,0),0)</f>
        <v>0</v>
      </c>
      <c r="DF6" s="13">
        <f>IFERROR(VLOOKUP($F6,'Visu totale'!$D$3:$DH$129,DF$1,0),0)</f>
        <v>0</v>
      </c>
      <c r="DG6" s="13">
        <f>IFERROR(VLOOKUP($F6,'Visu totale'!$D$3:$DH$129,DG$1,0),0)</f>
        <v>0</v>
      </c>
      <c r="DH6" s="13">
        <f>IFERROR(VLOOKUP($F6,'Visu totale'!$D$3:$DH$129,DH$1,0),0)</f>
        <v>0</v>
      </c>
      <c r="DI6" s="13">
        <f>IFERROR(VLOOKUP($F6,'Visu totale'!$D$3:$DH$129,DI$1,0),0)</f>
        <v>0</v>
      </c>
      <c r="DJ6" s="15">
        <f>IFERROR(VLOOKUP($F6,'Visu totale'!$D$3:$DH$129,DJ$1,0),0)</f>
        <v>0</v>
      </c>
    </row>
    <row r="7" spans="1:114" s="12" customFormat="1" x14ac:dyDescent="0.25">
      <c r="A7" s="13"/>
      <c r="B7" s="13"/>
      <c r="C7" s="13"/>
      <c r="D7" s="13"/>
      <c r="E7" s="13"/>
      <c r="F7" s="17" t="s">
        <v>91</v>
      </c>
      <c r="G7" s="14">
        <f>IFERROR(VLOOKUP($F7,'Visu totale'!$D$3:$DH$129,G$1,0),0)</f>
        <v>0</v>
      </c>
      <c r="H7" s="13">
        <f>IFERROR(VLOOKUP($F7,'Visu totale'!$D$3:$DH$129,H$1,0),0)</f>
        <v>0</v>
      </c>
      <c r="I7" s="13">
        <f>IFERROR(VLOOKUP($F7,'Visu totale'!$D$3:$DH$129,I$1,0),0)</f>
        <v>0</v>
      </c>
      <c r="J7" s="13">
        <f>IFERROR(VLOOKUP($F7,'Visu totale'!$D$3:$DH$129,J$1,0),0)</f>
        <v>0</v>
      </c>
      <c r="K7" s="13">
        <f>IFERROR(VLOOKUP($F7,'Visu totale'!$D$3:$DH$129,K$1,0),0)</f>
        <v>0</v>
      </c>
      <c r="L7" s="13">
        <f>IFERROR(VLOOKUP($F7,'Visu totale'!$D$3:$DH$129,L$1,0),0)</f>
        <v>0</v>
      </c>
      <c r="M7" s="13">
        <f>IFERROR(VLOOKUP($F7,'Visu totale'!$D$3:$DH$129,M$1,0),0)</f>
        <v>0</v>
      </c>
      <c r="N7" s="13">
        <f>IFERROR(VLOOKUP($F7,'Visu totale'!$D$3:$DH$129,N$1,0),0)</f>
        <v>0</v>
      </c>
      <c r="O7" s="13">
        <f>IFERROR(VLOOKUP($F7,'Visu totale'!$D$3:$DH$129,O$1,0),0)</f>
        <v>0</v>
      </c>
      <c r="P7" s="13">
        <f>IFERROR(VLOOKUP($F7,'Visu totale'!$D$3:$DH$129,P$1,0),0)</f>
        <v>0</v>
      </c>
      <c r="Q7" s="13">
        <f>IFERROR(VLOOKUP($F7,'Visu totale'!$D$3:$DH$129,Q$1,0),0)</f>
        <v>0</v>
      </c>
      <c r="R7" s="15">
        <f>IFERROR(VLOOKUP($F7,'Visu totale'!$D$3:$DH$129,R$1,0),0)</f>
        <v>0</v>
      </c>
      <c r="S7" s="14">
        <f>IFERROR(VLOOKUP($F7,'Visu totale'!$D$3:$DH$129,S$1,0),0)</f>
        <v>0</v>
      </c>
      <c r="T7" s="13">
        <f>IFERROR(VLOOKUP($F7,'Visu totale'!$D$3:$DH$129,T$1,0),0)</f>
        <v>0</v>
      </c>
      <c r="U7" s="13">
        <f>IFERROR(VLOOKUP($F7,'Visu totale'!$D$3:$DH$129,U$1,0),0)</f>
        <v>0</v>
      </c>
      <c r="V7" s="13">
        <f>IFERROR(VLOOKUP($F7,'Visu totale'!$D$3:$DH$129,V$1,0),0)</f>
        <v>0</v>
      </c>
      <c r="W7" s="13">
        <f>IFERROR(VLOOKUP($F7,'Visu totale'!$D$3:$DH$129,W$1,0),0)</f>
        <v>0</v>
      </c>
      <c r="X7" s="13">
        <f>IFERROR(VLOOKUP($F7,'Visu totale'!$D$3:$DH$129,X$1,0),0)</f>
        <v>0</v>
      </c>
      <c r="Y7" s="13">
        <f>IFERROR(VLOOKUP($F7,'Visu totale'!$D$3:$DH$129,Y$1,0),0)</f>
        <v>0</v>
      </c>
      <c r="Z7" s="13">
        <f>IFERROR(VLOOKUP($F7,'Visu totale'!$D$3:$DH$129,Z$1,0),0)</f>
        <v>0</v>
      </c>
      <c r="AA7" s="13">
        <f>IFERROR(VLOOKUP($F7,'Visu totale'!$D$3:$DH$129,AA$1,0),0)</f>
        <v>0</v>
      </c>
      <c r="AB7" s="13">
        <f>IFERROR(VLOOKUP($F7,'Visu totale'!$D$3:$DH$129,AB$1,0),0)</f>
        <v>0</v>
      </c>
      <c r="AC7" s="13">
        <f>IFERROR(VLOOKUP($F7,'Visu totale'!$D$3:$DH$129,AC$1,0),0)</f>
        <v>0</v>
      </c>
      <c r="AD7" s="15">
        <f>IFERROR(VLOOKUP($F7,'Visu totale'!$D$3:$DH$129,AD$1,0),0)</f>
        <v>0</v>
      </c>
      <c r="AE7" s="14">
        <f>IFERROR(VLOOKUP($F7,'Visu totale'!$D$3:$DH$129,AE$1,0),0)</f>
        <v>0</v>
      </c>
      <c r="AF7" s="13">
        <f>IFERROR(VLOOKUP($F7,'Visu totale'!$D$3:$DH$129,AF$1,0),0)</f>
        <v>0</v>
      </c>
      <c r="AG7" s="13">
        <f>IFERROR(VLOOKUP($F7,'Visu totale'!$D$3:$DH$129,AG$1,0),0)</f>
        <v>0</v>
      </c>
      <c r="AH7" s="13">
        <f>IFERROR(VLOOKUP($F7,'Visu totale'!$D$3:$DH$129,AH$1,0),0)</f>
        <v>0</v>
      </c>
      <c r="AI7" s="13">
        <f>IFERROR(VLOOKUP($F7,'Visu totale'!$D$3:$DH$129,AI$1,0),0)</f>
        <v>0</v>
      </c>
      <c r="AJ7" s="13">
        <f>IFERROR(VLOOKUP($F7,'Visu totale'!$D$3:$DH$129,AJ$1,0),0)</f>
        <v>0</v>
      </c>
      <c r="AK7" s="13">
        <f>IFERROR(VLOOKUP($F7,'Visu totale'!$D$3:$DH$129,AK$1,0),0)</f>
        <v>0</v>
      </c>
      <c r="AL7" s="13">
        <f>IFERROR(VLOOKUP($F7,'Visu totale'!$D$3:$DH$129,AL$1,0),0)</f>
        <v>0</v>
      </c>
      <c r="AM7" s="13">
        <f>IFERROR(VLOOKUP($F7,'Visu totale'!$D$3:$DH$129,AM$1,0),0)</f>
        <v>0</v>
      </c>
      <c r="AN7" s="13">
        <f>IFERROR(VLOOKUP($F7,'Visu totale'!$D$3:$DH$129,AN$1,0),0)</f>
        <v>0</v>
      </c>
      <c r="AO7" s="13">
        <f>IFERROR(VLOOKUP($F7,'Visu totale'!$D$3:$DH$129,AO$1,0),0)</f>
        <v>0</v>
      </c>
      <c r="AP7" s="15">
        <f>IFERROR(VLOOKUP($F7,'Visu totale'!$D$3:$DH$129,AP$1,0),0)</f>
        <v>0</v>
      </c>
      <c r="AQ7" s="14">
        <f>IFERROR(VLOOKUP($F7,'Visu totale'!$D$3:$DH$129,AQ$1,0),0)</f>
        <v>0</v>
      </c>
      <c r="AR7" s="13">
        <f>IFERROR(VLOOKUP($F7,'Visu totale'!$D$3:$DH$129,AR$1,0),0)</f>
        <v>0</v>
      </c>
      <c r="AS7" s="13">
        <f>IFERROR(VLOOKUP($F7,'Visu totale'!$D$3:$DH$129,AS$1,0),0)</f>
        <v>0</v>
      </c>
      <c r="AT7" s="13">
        <f>IFERROR(VLOOKUP($F7,'Visu totale'!$D$3:$DH$129,AT$1,0),0)</f>
        <v>0</v>
      </c>
      <c r="AU7" s="13">
        <f>IFERROR(VLOOKUP($F7,'Visu totale'!$D$3:$DH$129,AU$1,0),0)</f>
        <v>0</v>
      </c>
      <c r="AV7" s="13">
        <f>IFERROR(VLOOKUP($F7,'Visu totale'!$D$3:$DH$129,AV$1,0),0)</f>
        <v>0</v>
      </c>
      <c r="AW7" s="13">
        <f>IFERROR(VLOOKUP($F7,'Visu totale'!$D$3:$DH$129,AW$1,0),0)</f>
        <v>0</v>
      </c>
      <c r="AX7" s="13">
        <f>IFERROR(VLOOKUP($F7,'Visu totale'!$D$3:$DH$129,AX$1,0),0)</f>
        <v>0</v>
      </c>
      <c r="AY7" s="13">
        <f>IFERROR(VLOOKUP($F7,'Visu totale'!$D$3:$DH$129,AY$1,0),0)</f>
        <v>0</v>
      </c>
      <c r="AZ7" s="13">
        <f>IFERROR(VLOOKUP($F7,'Visu totale'!$D$3:$DH$129,AZ$1,0),0)</f>
        <v>0</v>
      </c>
      <c r="BA7" s="13">
        <f>IFERROR(VLOOKUP($F7,'Visu totale'!$D$3:$DH$129,BA$1,0),0)</f>
        <v>0</v>
      </c>
      <c r="BB7" s="15">
        <f>IFERROR(VLOOKUP($F7,'Visu totale'!$D$3:$DH$129,BB$1,0),0)</f>
        <v>0</v>
      </c>
      <c r="BC7" s="14">
        <f>IFERROR(VLOOKUP($F7,'Visu totale'!$D$3:$DH$129,BC$1,0),0)</f>
        <v>0</v>
      </c>
      <c r="BD7" s="13">
        <f>IFERROR(VLOOKUP($F7,'Visu totale'!$D$3:$DH$129,BD$1,0),0)</f>
        <v>0</v>
      </c>
      <c r="BE7" s="13">
        <f>IFERROR(VLOOKUP($F7,'Visu totale'!$D$3:$DH$129,BE$1,0),0)</f>
        <v>0</v>
      </c>
      <c r="BF7" s="13">
        <f>IFERROR(VLOOKUP($F7,'Visu totale'!$D$3:$DH$129,BF$1,0),0)</f>
        <v>0</v>
      </c>
      <c r="BG7" s="13">
        <f>IFERROR(VLOOKUP($F7,'Visu totale'!$D$3:$DH$129,BG$1,0),0)</f>
        <v>0</v>
      </c>
      <c r="BH7" s="13">
        <f>IFERROR(VLOOKUP($F7,'Visu totale'!$D$3:$DH$129,BH$1,0),0)</f>
        <v>0</v>
      </c>
      <c r="BI7" s="13">
        <f>IFERROR(VLOOKUP($F7,'Visu totale'!$D$3:$DH$129,BI$1,0),0)</f>
        <v>0</v>
      </c>
      <c r="BJ7" s="13">
        <f>IFERROR(VLOOKUP($F7,'Visu totale'!$D$3:$DH$129,BJ$1,0),0)</f>
        <v>0</v>
      </c>
      <c r="BK7" s="13">
        <f>IFERROR(VLOOKUP($F7,'Visu totale'!$D$3:$DH$129,BK$1,0),0)</f>
        <v>0</v>
      </c>
      <c r="BL7" s="13">
        <f>IFERROR(VLOOKUP($F7,'Visu totale'!$D$3:$DH$129,BL$1,0),0)</f>
        <v>0</v>
      </c>
      <c r="BM7" s="13">
        <f>IFERROR(VLOOKUP($F7,'Visu totale'!$D$3:$DH$129,BM$1,0),0)</f>
        <v>0</v>
      </c>
      <c r="BN7" s="15">
        <f>IFERROR(VLOOKUP($F7,'Visu totale'!$D$3:$DH$129,BN$1,0),0)</f>
        <v>0</v>
      </c>
      <c r="BO7" s="14">
        <f>IFERROR(VLOOKUP($F7,'Visu totale'!$D$3:$DH$129,BO$1,0),0)</f>
        <v>0</v>
      </c>
      <c r="BP7" s="13">
        <f>IFERROR(VLOOKUP($F7,'Visu totale'!$D$3:$DH$129,BP$1,0),0)</f>
        <v>0</v>
      </c>
      <c r="BQ7" s="13">
        <f>IFERROR(VLOOKUP($F7,'Visu totale'!$D$3:$DH$129,BQ$1,0),0)</f>
        <v>0</v>
      </c>
      <c r="BR7" s="13">
        <f>IFERROR(VLOOKUP($F7,'Visu totale'!$D$3:$DH$129,BR$1,0),0)</f>
        <v>0</v>
      </c>
      <c r="BS7" s="13">
        <f>IFERROR(VLOOKUP($F7,'Visu totale'!$D$3:$DH$129,BS$1,0),0)</f>
        <v>0</v>
      </c>
      <c r="BT7" s="13">
        <f>IFERROR(VLOOKUP($F7,'Visu totale'!$D$3:$DH$129,BT$1,0),0)</f>
        <v>0</v>
      </c>
      <c r="BU7" s="13">
        <f>IFERROR(VLOOKUP($F7,'Visu totale'!$D$3:$DH$129,BU$1,0),0)</f>
        <v>0</v>
      </c>
      <c r="BV7" s="13">
        <f>IFERROR(VLOOKUP($F7,'Visu totale'!$D$3:$DH$129,BV$1,0),0)</f>
        <v>0</v>
      </c>
      <c r="BW7" s="13">
        <f>IFERROR(VLOOKUP($F7,'Visu totale'!$D$3:$DH$129,BW$1,0),0)</f>
        <v>0</v>
      </c>
      <c r="BX7" s="13">
        <f>IFERROR(VLOOKUP($F7,'Visu totale'!$D$3:$DH$129,BX$1,0),0)</f>
        <v>0</v>
      </c>
      <c r="BY7" s="13">
        <f>IFERROR(VLOOKUP($F7,'Visu totale'!$D$3:$DH$129,BY$1,0),0)</f>
        <v>0</v>
      </c>
      <c r="BZ7" s="15">
        <f>IFERROR(VLOOKUP($F7,'Visu totale'!$D$3:$DH$129,BZ$1,0),0)</f>
        <v>0</v>
      </c>
      <c r="CA7" s="14">
        <f>IFERROR(VLOOKUP($F7,'Visu totale'!$D$3:$DH$129,CA$1,0),0)</f>
        <v>0</v>
      </c>
      <c r="CB7" s="13">
        <f>IFERROR(VLOOKUP($F7,'Visu totale'!$D$3:$DH$129,CB$1,0),0)</f>
        <v>0</v>
      </c>
      <c r="CC7" s="13">
        <f>IFERROR(VLOOKUP($F7,'Visu totale'!$D$3:$DH$129,CC$1,0),0)</f>
        <v>0</v>
      </c>
      <c r="CD7" s="13">
        <f>IFERROR(VLOOKUP($F7,'Visu totale'!$D$3:$DH$129,CD$1,0),0)</f>
        <v>0</v>
      </c>
      <c r="CE7" s="13">
        <f>IFERROR(VLOOKUP($F7,'Visu totale'!$D$3:$DH$129,CE$1,0),0)</f>
        <v>0</v>
      </c>
      <c r="CF7" s="13">
        <f>IFERROR(VLOOKUP($F7,'Visu totale'!$D$3:$DH$129,CF$1,0),0)</f>
        <v>0</v>
      </c>
      <c r="CG7" s="13">
        <f>IFERROR(VLOOKUP($F7,'Visu totale'!$D$3:$DH$129,CG$1,0),0)</f>
        <v>0</v>
      </c>
      <c r="CH7" s="13">
        <f>IFERROR(VLOOKUP($F7,'Visu totale'!$D$3:$DH$129,CH$1,0),0)</f>
        <v>0</v>
      </c>
      <c r="CI7" s="13">
        <f>IFERROR(VLOOKUP($F7,'Visu totale'!$D$3:$DH$129,CI$1,0),0)</f>
        <v>0</v>
      </c>
      <c r="CJ7" s="13">
        <f>IFERROR(VLOOKUP($F7,'Visu totale'!$D$3:$DH$129,CJ$1,0),0)</f>
        <v>0</v>
      </c>
      <c r="CK7" s="13">
        <f>IFERROR(VLOOKUP($F7,'Visu totale'!$D$3:$DH$129,CK$1,0),0)</f>
        <v>0</v>
      </c>
      <c r="CL7" s="15">
        <f>IFERROR(VLOOKUP($F7,'Visu totale'!$D$3:$DH$129,CL$1,0),0)</f>
        <v>0</v>
      </c>
      <c r="CM7" s="14">
        <f>IFERROR(VLOOKUP($F7,'Visu totale'!$D$3:$DH$129,CM$1,0),0)</f>
        <v>0</v>
      </c>
      <c r="CN7" s="13">
        <f>IFERROR(VLOOKUP($F7,'Visu totale'!$D$3:$DH$129,CN$1,0),0)</f>
        <v>0</v>
      </c>
      <c r="CO7" s="13">
        <f>IFERROR(VLOOKUP($F7,'Visu totale'!$D$3:$DH$129,CO$1,0),0)</f>
        <v>0</v>
      </c>
      <c r="CP7" s="13">
        <f>IFERROR(VLOOKUP($F7,'Visu totale'!$D$3:$DH$129,CP$1,0),0)</f>
        <v>0</v>
      </c>
      <c r="CQ7" s="13">
        <f>IFERROR(VLOOKUP($F7,'Visu totale'!$D$3:$DH$129,CQ$1,0),0)</f>
        <v>0</v>
      </c>
      <c r="CR7" s="13">
        <f>IFERROR(VLOOKUP($F7,'Visu totale'!$D$3:$DH$129,CR$1,0),0)</f>
        <v>0</v>
      </c>
      <c r="CS7" s="13">
        <f>IFERROR(VLOOKUP($F7,'Visu totale'!$D$3:$DH$129,CS$1,0),0)</f>
        <v>0</v>
      </c>
      <c r="CT7" s="13">
        <f>IFERROR(VLOOKUP($F7,'Visu totale'!$D$3:$DH$129,CT$1,0),0)</f>
        <v>0</v>
      </c>
      <c r="CU7" s="13">
        <f>IFERROR(VLOOKUP($F7,'Visu totale'!$D$3:$DH$129,CU$1,0),0)</f>
        <v>0</v>
      </c>
      <c r="CV7" s="13">
        <f>IFERROR(VLOOKUP($F7,'Visu totale'!$D$3:$DH$129,CV$1,0),0)</f>
        <v>0</v>
      </c>
      <c r="CW7" s="13">
        <f>IFERROR(VLOOKUP($F7,'Visu totale'!$D$3:$DH$129,CW$1,0),0)</f>
        <v>0</v>
      </c>
      <c r="CX7" s="15">
        <f>IFERROR(VLOOKUP($F7,'Visu totale'!$D$3:$DH$129,CX$1,0),0)</f>
        <v>0</v>
      </c>
      <c r="CY7" s="14">
        <f>IFERROR(VLOOKUP($F7,'Visu totale'!$D$3:$DH$129,CY$1,0),0)</f>
        <v>0</v>
      </c>
      <c r="CZ7" s="13">
        <f>IFERROR(VLOOKUP($F7,'Visu totale'!$D$3:$DH$129,CZ$1,0),0)</f>
        <v>0</v>
      </c>
      <c r="DA7" s="13">
        <f>IFERROR(VLOOKUP($F7,'Visu totale'!$D$3:$DH$129,DA$1,0),0)</f>
        <v>0</v>
      </c>
      <c r="DB7" s="13">
        <f>IFERROR(VLOOKUP($F7,'Visu totale'!$D$3:$DH$129,DB$1,0),0)</f>
        <v>0</v>
      </c>
      <c r="DC7" s="13">
        <f>IFERROR(VLOOKUP($F7,'Visu totale'!$D$3:$DH$129,DC$1,0),0)</f>
        <v>0</v>
      </c>
      <c r="DD7" s="13">
        <f>IFERROR(VLOOKUP($F7,'Visu totale'!$D$3:$DH$129,DD$1,0),0)</f>
        <v>0</v>
      </c>
      <c r="DE7" s="13">
        <f>IFERROR(VLOOKUP($F7,'Visu totale'!$D$3:$DH$129,DE$1,0),0)</f>
        <v>0</v>
      </c>
      <c r="DF7" s="13">
        <f>IFERROR(VLOOKUP($F7,'Visu totale'!$D$3:$DH$129,DF$1,0),0)</f>
        <v>0</v>
      </c>
      <c r="DG7" s="13">
        <f>IFERROR(VLOOKUP($F7,'Visu totale'!$D$3:$DH$129,DG$1,0),0)</f>
        <v>0</v>
      </c>
      <c r="DH7" s="13">
        <f>IFERROR(VLOOKUP($F7,'Visu totale'!$D$3:$DH$129,DH$1,0),0)</f>
        <v>0</v>
      </c>
      <c r="DI7" s="13">
        <f>IFERROR(VLOOKUP($F7,'Visu totale'!$D$3:$DH$129,DI$1,0),0)</f>
        <v>0</v>
      </c>
      <c r="DJ7" s="15">
        <f>IFERROR(VLOOKUP($F7,'Visu totale'!$D$3:$DH$129,DJ$1,0),0)</f>
        <v>0</v>
      </c>
    </row>
    <row r="8" spans="1:114" s="12" customFormat="1" x14ac:dyDescent="0.25">
      <c r="A8" s="13"/>
      <c r="B8" s="13"/>
      <c r="C8" s="13"/>
      <c r="D8" s="13"/>
      <c r="E8" s="13"/>
      <c r="F8" s="17" t="s">
        <v>92</v>
      </c>
      <c r="G8" s="14">
        <f>IFERROR(VLOOKUP($F8,'Visu totale'!$D$3:$DH$129,G$1,0),0)</f>
        <v>0</v>
      </c>
      <c r="H8" s="13">
        <f>IFERROR(VLOOKUP($F8,'Visu totale'!$D$3:$DH$129,H$1,0),0)</f>
        <v>0</v>
      </c>
      <c r="I8" s="13">
        <f>IFERROR(VLOOKUP($F8,'Visu totale'!$D$3:$DH$129,I$1,0),0)</f>
        <v>0</v>
      </c>
      <c r="J8" s="13">
        <f>IFERROR(VLOOKUP($F8,'Visu totale'!$D$3:$DH$129,J$1,0),0)</f>
        <v>0</v>
      </c>
      <c r="K8" s="13">
        <f>IFERROR(VLOOKUP($F8,'Visu totale'!$D$3:$DH$129,K$1,0),0)</f>
        <v>0</v>
      </c>
      <c r="L8" s="13">
        <f>IFERROR(VLOOKUP($F8,'Visu totale'!$D$3:$DH$129,L$1,0),0)</f>
        <v>0</v>
      </c>
      <c r="M8" s="13">
        <f>IFERROR(VLOOKUP($F8,'Visu totale'!$D$3:$DH$129,M$1,0),0)</f>
        <v>0</v>
      </c>
      <c r="N8" s="13">
        <f>IFERROR(VLOOKUP($F8,'Visu totale'!$D$3:$DH$129,N$1,0),0)</f>
        <v>0</v>
      </c>
      <c r="O8" s="13">
        <f>IFERROR(VLOOKUP($F8,'Visu totale'!$D$3:$DH$129,O$1,0),0)</f>
        <v>0</v>
      </c>
      <c r="P8" s="13">
        <f>IFERROR(VLOOKUP($F8,'Visu totale'!$D$3:$DH$129,P$1,0),0)</f>
        <v>0</v>
      </c>
      <c r="Q8" s="13">
        <f>IFERROR(VLOOKUP($F8,'Visu totale'!$D$3:$DH$129,Q$1,0),0)</f>
        <v>0</v>
      </c>
      <c r="R8" s="15">
        <f>IFERROR(VLOOKUP($F8,'Visu totale'!$D$3:$DH$129,R$1,0),0)</f>
        <v>0</v>
      </c>
      <c r="S8" s="14">
        <f>IFERROR(VLOOKUP($F8,'Visu totale'!$D$3:$DH$129,S$1,0),0)</f>
        <v>0</v>
      </c>
      <c r="T8" s="13">
        <f>IFERROR(VLOOKUP($F8,'Visu totale'!$D$3:$DH$129,T$1,0),0)</f>
        <v>0</v>
      </c>
      <c r="U8" s="13">
        <f>IFERROR(VLOOKUP($F8,'Visu totale'!$D$3:$DH$129,U$1,0),0)</f>
        <v>0</v>
      </c>
      <c r="V8" s="13">
        <f>IFERROR(VLOOKUP($F8,'Visu totale'!$D$3:$DH$129,V$1,0),0)</f>
        <v>0</v>
      </c>
      <c r="W8" s="13">
        <f>IFERROR(VLOOKUP($F8,'Visu totale'!$D$3:$DH$129,W$1,0),0)</f>
        <v>0</v>
      </c>
      <c r="X8" s="13">
        <f>IFERROR(VLOOKUP($F8,'Visu totale'!$D$3:$DH$129,X$1,0),0)</f>
        <v>0</v>
      </c>
      <c r="Y8" s="13">
        <f>IFERROR(VLOOKUP($F8,'Visu totale'!$D$3:$DH$129,Y$1,0),0)</f>
        <v>0</v>
      </c>
      <c r="Z8" s="13">
        <f>IFERROR(VLOOKUP($F8,'Visu totale'!$D$3:$DH$129,Z$1,0),0)</f>
        <v>0</v>
      </c>
      <c r="AA8" s="13">
        <f>IFERROR(VLOOKUP($F8,'Visu totale'!$D$3:$DH$129,AA$1,0),0)</f>
        <v>0</v>
      </c>
      <c r="AB8" s="13">
        <f>IFERROR(VLOOKUP($F8,'Visu totale'!$D$3:$DH$129,AB$1,0),0)</f>
        <v>0</v>
      </c>
      <c r="AC8" s="13">
        <f>IFERROR(VLOOKUP($F8,'Visu totale'!$D$3:$DH$129,AC$1,0),0)</f>
        <v>0</v>
      </c>
      <c r="AD8" s="15">
        <f>IFERROR(VLOOKUP($F8,'Visu totale'!$D$3:$DH$129,AD$1,0),0)</f>
        <v>0</v>
      </c>
      <c r="AE8" s="14">
        <f>IFERROR(VLOOKUP($F8,'Visu totale'!$D$3:$DH$129,AE$1,0),0)</f>
        <v>0</v>
      </c>
      <c r="AF8" s="13">
        <f>IFERROR(VLOOKUP($F8,'Visu totale'!$D$3:$DH$129,AF$1,0),0)</f>
        <v>0</v>
      </c>
      <c r="AG8" s="13">
        <f>IFERROR(VLOOKUP($F8,'Visu totale'!$D$3:$DH$129,AG$1,0),0)</f>
        <v>0</v>
      </c>
      <c r="AH8" s="13">
        <f>IFERROR(VLOOKUP($F8,'Visu totale'!$D$3:$DH$129,AH$1,0),0)</f>
        <v>0</v>
      </c>
      <c r="AI8" s="13">
        <f>IFERROR(VLOOKUP($F8,'Visu totale'!$D$3:$DH$129,AI$1,0),0)</f>
        <v>0</v>
      </c>
      <c r="AJ8" s="13">
        <f>IFERROR(VLOOKUP($F8,'Visu totale'!$D$3:$DH$129,AJ$1,0),0)</f>
        <v>0</v>
      </c>
      <c r="AK8" s="13">
        <f>IFERROR(VLOOKUP($F8,'Visu totale'!$D$3:$DH$129,AK$1,0),0)</f>
        <v>0</v>
      </c>
      <c r="AL8" s="13">
        <f>IFERROR(VLOOKUP($F8,'Visu totale'!$D$3:$DH$129,AL$1,0),0)</f>
        <v>0</v>
      </c>
      <c r="AM8" s="13">
        <f>IFERROR(VLOOKUP($F8,'Visu totale'!$D$3:$DH$129,AM$1,0),0)</f>
        <v>0</v>
      </c>
      <c r="AN8" s="13">
        <f>IFERROR(VLOOKUP($F8,'Visu totale'!$D$3:$DH$129,AN$1,0),0)</f>
        <v>0</v>
      </c>
      <c r="AO8" s="13">
        <f>IFERROR(VLOOKUP($F8,'Visu totale'!$D$3:$DH$129,AO$1,0),0)</f>
        <v>0</v>
      </c>
      <c r="AP8" s="15">
        <f>IFERROR(VLOOKUP($F8,'Visu totale'!$D$3:$DH$129,AP$1,0),0)</f>
        <v>0</v>
      </c>
      <c r="AQ8" s="14">
        <f>IFERROR(VLOOKUP($F8,'Visu totale'!$D$3:$DH$129,AQ$1,0),0)</f>
        <v>0</v>
      </c>
      <c r="AR8" s="13">
        <f>IFERROR(VLOOKUP($F8,'Visu totale'!$D$3:$DH$129,AR$1,0),0)</f>
        <v>0</v>
      </c>
      <c r="AS8" s="13">
        <f>IFERROR(VLOOKUP($F8,'Visu totale'!$D$3:$DH$129,AS$1,0),0)</f>
        <v>0</v>
      </c>
      <c r="AT8" s="13">
        <f>IFERROR(VLOOKUP($F8,'Visu totale'!$D$3:$DH$129,AT$1,0),0)</f>
        <v>0</v>
      </c>
      <c r="AU8" s="13">
        <f>IFERROR(VLOOKUP($F8,'Visu totale'!$D$3:$DH$129,AU$1,0),0)</f>
        <v>0</v>
      </c>
      <c r="AV8" s="13">
        <f>IFERROR(VLOOKUP($F8,'Visu totale'!$D$3:$DH$129,AV$1,0),0)</f>
        <v>0</v>
      </c>
      <c r="AW8" s="13">
        <f>IFERROR(VLOOKUP($F8,'Visu totale'!$D$3:$DH$129,AW$1,0),0)</f>
        <v>0</v>
      </c>
      <c r="AX8" s="13">
        <f>IFERROR(VLOOKUP($F8,'Visu totale'!$D$3:$DH$129,AX$1,0),0)</f>
        <v>0</v>
      </c>
      <c r="AY8" s="13">
        <f>IFERROR(VLOOKUP($F8,'Visu totale'!$D$3:$DH$129,AY$1,0),0)</f>
        <v>0</v>
      </c>
      <c r="AZ8" s="13">
        <f>IFERROR(VLOOKUP($F8,'Visu totale'!$D$3:$DH$129,AZ$1,0),0)</f>
        <v>0</v>
      </c>
      <c r="BA8" s="13">
        <f>IFERROR(VLOOKUP($F8,'Visu totale'!$D$3:$DH$129,BA$1,0),0)</f>
        <v>0</v>
      </c>
      <c r="BB8" s="15">
        <f>IFERROR(VLOOKUP($F8,'Visu totale'!$D$3:$DH$129,BB$1,0),0)</f>
        <v>0</v>
      </c>
      <c r="BC8" s="14">
        <f>IFERROR(VLOOKUP($F8,'Visu totale'!$D$3:$DH$129,BC$1,0),0)</f>
        <v>0</v>
      </c>
      <c r="BD8" s="13">
        <f>IFERROR(VLOOKUP($F8,'Visu totale'!$D$3:$DH$129,BD$1,0),0)</f>
        <v>0</v>
      </c>
      <c r="BE8" s="13">
        <f>IFERROR(VLOOKUP($F8,'Visu totale'!$D$3:$DH$129,BE$1,0),0)</f>
        <v>0</v>
      </c>
      <c r="BF8" s="13">
        <f>IFERROR(VLOOKUP($F8,'Visu totale'!$D$3:$DH$129,BF$1,0),0)</f>
        <v>0</v>
      </c>
      <c r="BG8" s="13">
        <f>IFERROR(VLOOKUP($F8,'Visu totale'!$D$3:$DH$129,BG$1,0),0)</f>
        <v>0</v>
      </c>
      <c r="BH8" s="13">
        <f>IFERROR(VLOOKUP($F8,'Visu totale'!$D$3:$DH$129,BH$1,0),0)</f>
        <v>0</v>
      </c>
      <c r="BI8" s="13">
        <f>IFERROR(VLOOKUP($F8,'Visu totale'!$D$3:$DH$129,BI$1,0),0)</f>
        <v>0</v>
      </c>
      <c r="BJ8" s="13">
        <f>IFERROR(VLOOKUP($F8,'Visu totale'!$D$3:$DH$129,BJ$1,0),0)</f>
        <v>0</v>
      </c>
      <c r="BK8" s="13">
        <f>IFERROR(VLOOKUP($F8,'Visu totale'!$D$3:$DH$129,BK$1,0),0)</f>
        <v>0</v>
      </c>
      <c r="BL8" s="13">
        <f>IFERROR(VLOOKUP($F8,'Visu totale'!$D$3:$DH$129,BL$1,0),0)</f>
        <v>0</v>
      </c>
      <c r="BM8" s="13">
        <f>IFERROR(VLOOKUP($F8,'Visu totale'!$D$3:$DH$129,BM$1,0),0)</f>
        <v>0</v>
      </c>
      <c r="BN8" s="15">
        <f>IFERROR(VLOOKUP($F8,'Visu totale'!$D$3:$DH$129,BN$1,0),0)</f>
        <v>0</v>
      </c>
      <c r="BO8" s="14">
        <f>IFERROR(VLOOKUP($F8,'Visu totale'!$D$3:$DH$129,BO$1,0),0)</f>
        <v>0</v>
      </c>
      <c r="BP8" s="13">
        <f>IFERROR(VLOOKUP($F8,'Visu totale'!$D$3:$DH$129,BP$1,0),0)</f>
        <v>0</v>
      </c>
      <c r="BQ8" s="13">
        <f>IFERROR(VLOOKUP($F8,'Visu totale'!$D$3:$DH$129,BQ$1,0),0)</f>
        <v>0</v>
      </c>
      <c r="BR8" s="13">
        <f>IFERROR(VLOOKUP($F8,'Visu totale'!$D$3:$DH$129,BR$1,0),0)</f>
        <v>0</v>
      </c>
      <c r="BS8" s="13">
        <f>IFERROR(VLOOKUP($F8,'Visu totale'!$D$3:$DH$129,BS$1,0),0)</f>
        <v>0</v>
      </c>
      <c r="BT8" s="13">
        <f>IFERROR(VLOOKUP($F8,'Visu totale'!$D$3:$DH$129,BT$1,0),0)</f>
        <v>0</v>
      </c>
      <c r="BU8" s="13">
        <f>IFERROR(VLOOKUP($F8,'Visu totale'!$D$3:$DH$129,BU$1,0),0)</f>
        <v>0</v>
      </c>
      <c r="BV8" s="13">
        <f>IFERROR(VLOOKUP($F8,'Visu totale'!$D$3:$DH$129,BV$1,0),0)</f>
        <v>0</v>
      </c>
      <c r="BW8" s="13">
        <f>IFERROR(VLOOKUP($F8,'Visu totale'!$D$3:$DH$129,BW$1,0),0)</f>
        <v>0</v>
      </c>
      <c r="BX8" s="13">
        <f>IFERROR(VLOOKUP($F8,'Visu totale'!$D$3:$DH$129,BX$1,0),0)</f>
        <v>0</v>
      </c>
      <c r="BY8" s="13">
        <f>IFERROR(VLOOKUP($F8,'Visu totale'!$D$3:$DH$129,BY$1,0),0)</f>
        <v>0</v>
      </c>
      <c r="BZ8" s="15">
        <f>IFERROR(VLOOKUP($F8,'Visu totale'!$D$3:$DH$129,BZ$1,0),0)</f>
        <v>0</v>
      </c>
      <c r="CA8" s="14">
        <f>IFERROR(VLOOKUP($F8,'Visu totale'!$D$3:$DH$129,CA$1,0),0)</f>
        <v>0</v>
      </c>
      <c r="CB8" s="13">
        <f>IFERROR(VLOOKUP($F8,'Visu totale'!$D$3:$DH$129,CB$1,0),0)</f>
        <v>0</v>
      </c>
      <c r="CC8" s="13">
        <f>IFERROR(VLOOKUP($F8,'Visu totale'!$D$3:$DH$129,CC$1,0),0)</f>
        <v>0</v>
      </c>
      <c r="CD8" s="13">
        <f>IFERROR(VLOOKUP($F8,'Visu totale'!$D$3:$DH$129,CD$1,0),0)</f>
        <v>0</v>
      </c>
      <c r="CE8" s="13">
        <f>IFERROR(VLOOKUP($F8,'Visu totale'!$D$3:$DH$129,CE$1,0),0)</f>
        <v>0</v>
      </c>
      <c r="CF8" s="13">
        <f>IFERROR(VLOOKUP($F8,'Visu totale'!$D$3:$DH$129,CF$1,0),0)</f>
        <v>0</v>
      </c>
      <c r="CG8" s="13">
        <f>IFERROR(VLOOKUP($F8,'Visu totale'!$D$3:$DH$129,CG$1,0),0)</f>
        <v>0</v>
      </c>
      <c r="CH8" s="13">
        <f>IFERROR(VLOOKUP($F8,'Visu totale'!$D$3:$DH$129,CH$1,0),0)</f>
        <v>0</v>
      </c>
      <c r="CI8" s="13">
        <f>IFERROR(VLOOKUP($F8,'Visu totale'!$D$3:$DH$129,CI$1,0),0)</f>
        <v>0</v>
      </c>
      <c r="CJ8" s="13">
        <f>IFERROR(VLOOKUP($F8,'Visu totale'!$D$3:$DH$129,CJ$1,0),0)</f>
        <v>0</v>
      </c>
      <c r="CK8" s="13">
        <f>IFERROR(VLOOKUP($F8,'Visu totale'!$D$3:$DH$129,CK$1,0),0)</f>
        <v>0</v>
      </c>
      <c r="CL8" s="15">
        <f>IFERROR(VLOOKUP($F8,'Visu totale'!$D$3:$DH$129,CL$1,0),0)</f>
        <v>0</v>
      </c>
      <c r="CM8" s="14">
        <f>IFERROR(VLOOKUP($F8,'Visu totale'!$D$3:$DH$129,CM$1,0),0)</f>
        <v>0</v>
      </c>
      <c r="CN8" s="13">
        <f>IFERROR(VLOOKUP($F8,'Visu totale'!$D$3:$DH$129,CN$1,0),0)</f>
        <v>0</v>
      </c>
      <c r="CO8" s="13">
        <f>IFERROR(VLOOKUP($F8,'Visu totale'!$D$3:$DH$129,CO$1,0),0)</f>
        <v>0</v>
      </c>
      <c r="CP8" s="13">
        <f>IFERROR(VLOOKUP($F8,'Visu totale'!$D$3:$DH$129,CP$1,0),0)</f>
        <v>0</v>
      </c>
      <c r="CQ8" s="13">
        <f>IFERROR(VLOOKUP($F8,'Visu totale'!$D$3:$DH$129,CQ$1,0),0)</f>
        <v>0</v>
      </c>
      <c r="CR8" s="13">
        <f>IFERROR(VLOOKUP($F8,'Visu totale'!$D$3:$DH$129,CR$1,0),0)</f>
        <v>0</v>
      </c>
      <c r="CS8" s="13">
        <f>IFERROR(VLOOKUP($F8,'Visu totale'!$D$3:$DH$129,CS$1,0),0)</f>
        <v>0</v>
      </c>
      <c r="CT8" s="13">
        <f>IFERROR(VLOOKUP($F8,'Visu totale'!$D$3:$DH$129,CT$1,0),0)</f>
        <v>0</v>
      </c>
      <c r="CU8" s="13">
        <f>IFERROR(VLOOKUP($F8,'Visu totale'!$D$3:$DH$129,CU$1,0),0)</f>
        <v>0</v>
      </c>
      <c r="CV8" s="13">
        <f>IFERROR(VLOOKUP($F8,'Visu totale'!$D$3:$DH$129,CV$1,0),0)</f>
        <v>0</v>
      </c>
      <c r="CW8" s="13">
        <f>IFERROR(VLOOKUP($F8,'Visu totale'!$D$3:$DH$129,CW$1,0),0)</f>
        <v>0</v>
      </c>
      <c r="CX8" s="15">
        <f>IFERROR(VLOOKUP($F8,'Visu totale'!$D$3:$DH$129,CX$1,0),0)</f>
        <v>0</v>
      </c>
      <c r="CY8" s="14">
        <f>IFERROR(VLOOKUP($F8,'Visu totale'!$D$3:$DH$129,CY$1,0),0)</f>
        <v>0</v>
      </c>
      <c r="CZ8" s="13">
        <f>IFERROR(VLOOKUP($F8,'Visu totale'!$D$3:$DH$129,CZ$1,0),0)</f>
        <v>0</v>
      </c>
      <c r="DA8" s="13">
        <f>IFERROR(VLOOKUP($F8,'Visu totale'!$D$3:$DH$129,DA$1,0),0)</f>
        <v>0</v>
      </c>
      <c r="DB8" s="13">
        <f>IFERROR(VLOOKUP($F8,'Visu totale'!$D$3:$DH$129,DB$1,0),0)</f>
        <v>0</v>
      </c>
      <c r="DC8" s="13">
        <f>IFERROR(VLOOKUP($F8,'Visu totale'!$D$3:$DH$129,DC$1,0),0)</f>
        <v>0</v>
      </c>
      <c r="DD8" s="13">
        <f>IFERROR(VLOOKUP($F8,'Visu totale'!$D$3:$DH$129,DD$1,0),0)</f>
        <v>0</v>
      </c>
      <c r="DE8" s="13">
        <f>IFERROR(VLOOKUP($F8,'Visu totale'!$D$3:$DH$129,DE$1,0),0)</f>
        <v>0</v>
      </c>
      <c r="DF8" s="13">
        <f>IFERROR(VLOOKUP($F8,'Visu totale'!$D$3:$DH$129,DF$1,0),0)</f>
        <v>0</v>
      </c>
      <c r="DG8" s="13">
        <f>IFERROR(VLOOKUP($F8,'Visu totale'!$D$3:$DH$129,DG$1,0),0)</f>
        <v>0</v>
      </c>
      <c r="DH8" s="13">
        <f>IFERROR(VLOOKUP($F8,'Visu totale'!$D$3:$DH$129,DH$1,0),0)</f>
        <v>0</v>
      </c>
      <c r="DI8" s="13">
        <f>IFERROR(VLOOKUP($F8,'Visu totale'!$D$3:$DH$129,DI$1,0),0)</f>
        <v>0</v>
      </c>
      <c r="DJ8" s="15">
        <f>IFERROR(VLOOKUP($F8,'Visu totale'!$D$3:$DH$129,DJ$1,0),0)</f>
        <v>0</v>
      </c>
    </row>
    <row r="9" spans="1:114" s="12" customFormat="1" x14ac:dyDescent="0.25">
      <c r="A9" s="13"/>
      <c r="B9" s="13"/>
      <c r="C9" s="13"/>
      <c r="D9" s="13"/>
      <c r="E9" s="13"/>
      <c r="F9" s="17" t="s">
        <v>93</v>
      </c>
      <c r="G9" s="14">
        <f>IFERROR(VLOOKUP($F9,'Visu totale'!$D$3:$DH$129,G$1,0),0)</f>
        <v>0</v>
      </c>
      <c r="H9" s="13">
        <f>IFERROR(VLOOKUP($F9,'Visu totale'!$D$3:$DH$129,H$1,0),0)</f>
        <v>0</v>
      </c>
      <c r="I9" s="13">
        <f>IFERROR(VLOOKUP($F9,'Visu totale'!$D$3:$DH$129,I$1,0),0)</f>
        <v>0</v>
      </c>
      <c r="J9" s="13">
        <f>IFERROR(VLOOKUP($F9,'Visu totale'!$D$3:$DH$129,J$1,0),0)</f>
        <v>0</v>
      </c>
      <c r="K9" s="13">
        <f>IFERROR(VLOOKUP($F9,'Visu totale'!$D$3:$DH$129,K$1,0),0)</f>
        <v>0</v>
      </c>
      <c r="L9" s="13">
        <f>IFERROR(VLOOKUP($F9,'Visu totale'!$D$3:$DH$129,L$1,0),0)</f>
        <v>0</v>
      </c>
      <c r="M9" s="13">
        <f>IFERROR(VLOOKUP($F9,'Visu totale'!$D$3:$DH$129,M$1,0),0)</f>
        <v>0</v>
      </c>
      <c r="N9" s="13">
        <f>IFERROR(VLOOKUP($F9,'Visu totale'!$D$3:$DH$129,N$1,0),0)</f>
        <v>0</v>
      </c>
      <c r="O9" s="13">
        <f>IFERROR(VLOOKUP($F9,'Visu totale'!$D$3:$DH$129,O$1,0),0)</f>
        <v>0</v>
      </c>
      <c r="P9" s="13">
        <f>IFERROR(VLOOKUP($F9,'Visu totale'!$D$3:$DH$129,P$1,0),0)</f>
        <v>0</v>
      </c>
      <c r="Q9" s="13">
        <f>IFERROR(VLOOKUP($F9,'Visu totale'!$D$3:$DH$129,Q$1,0),0)</f>
        <v>0</v>
      </c>
      <c r="R9" s="15">
        <f>IFERROR(VLOOKUP($F9,'Visu totale'!$D$3:$DH$129,R$1,0),0)</f>
        <v>0</v>
      </c>
      <c r="S9" s="14">
        <f>IFERROR(VLOOKUP($F9,'Visu totale'!$D$3:$DH$129,S$1,0),0)</f>
        <v>0</v>
      </c>
      <c r="T9" s="13">
        <f>IFERROR(VLOOKUP($F9,'Visu totale'!$D$3:$DH$129,T$1,0),0)</f>
        <v>0</v>
      </c>
      <c r="U9" s="13">
        <f>IFERROR(VLOOKUP($F9,'Visu totale'!$D$3:$DH$129,U$1,0),0)</f>
        <v>0</v>
      </c>
      <c r="V9" s="13">
        <f>IFERROR(VLOOKUP($F9,'Visu totale'!$D$3:$DH$129,V$1,0),0)</f>
        <v>0</v>
      </c>
      <c r="W9" s="13">
        <f>IFERROR(VLOOKUP($F9,'Visu totale'!$D$3:$DH$129,W$1,0),0)</f>
        <v>0</v>
      </c>
      <c r="X9" s="13">
        <f>IFERROR(VLOOKUP($F9,'Visu totale'!$D$3:$DH$129,X$1,0),0)</f>
        <v>0</v>
      </c>
      <c r="Y9" s="13">
        <f>IFERROR(VLOOKUP($F9,'Visu totale'!$D$3:$DH$129,Y$1,0),0)</f>
        <v>0</v>
      </c>
      <c r="Z9" s="13">
        <f>IFERROR(VLOOKUP($F9,'Visu totale'!$D$3:$DH$129,Z$1,0),0)</f>
        <v>0</v>
      </c>
      <c r="AA9" s="13">
        <f>IFERROR(VLOOKUP($F9,'Visu totale'!$D$3:$DH$129,AA$1,0),0)</f>
        <v>0</v>
      </c>
      <c r="AB9" s="13">
        <f>IFERROR(VLOOKUP($F9,'Visu totale'!$D$3:$DH$129,AB$1,0),0)</f>
        <v>0</v>
      </c>
      <c r="AC9" s="13">
        <f>IFERROR(VLOOKUP($F9,'Visu totale'!$D$3:$DH$129,AC$1,0),0)</f>
        <v>0</v>
      </c>
      <c r="AD9" s="15">
        <f>IFERROR(VLOOKUP($F9,'Visu totale'!$D$3:$DH$129,AD$1,0),0)</f>
        <v>0</v>
      </c>
      <c r="AE9" s="14">
        <f>IFERROR(VLOOKUP($F9,'Visu totale'!$D$3:$DH$129,AE$1,0),0)</f>
        <v>0</v>
      </c>
      <c r="AF9" s="13">
        <f>IFERROR(VLOOKUP($F9,'Visu totale'!$D$3:$DH$129,AF$1,0),0)</f>
        <v>0</v>
      </c>
      <c r="AG9" s="13">
        <f>IFERROR(VLOOKUP($F9,'Visu totale'!$D$3:$DH$129,AG$1,0),0)</f>
        <v>0</v>
      </c>
      <c r="AH9" s="13">
        <f>IFERROR(VLOOKUP($F9,'Visu totale'!$D$3:$DH$129,AH$1,0),0)</f>
        <v>0</v>
      </c>
      <c r="AI9" s="13">
        <f>IFERROR(VLOOKUP($F9,'Visu totale'!$D$3:$DH$129,AI$1,0),0)</f>
        <v>0</v>
      </c>
      <c r="AJ9" s="13">
        <f>IFERROR(VLOOKUP($F9,'Visu totale'!$D$3:$DH$129,AJ$1,0),0)</f>
        <v>0</v>
      </c>
      <c r="AK9" s="13">
        <f>IFERROR(VLOOKUP($F9,'Visu totale'!$D$3:$DH$129,AK$1,0),0)</f>
        <v>0</v>
      </c>
      <c r="AL9" s="13">
        <f>IFERROR(VLOOKUP($F9,'Visu totale'!$D$3:$DH$129,AL$1,0),0)</f>
        <v>0</v>
      </c>
      <c r="AM9" s="13">
        <f>IFERROR(VLOOKUP($F9,'Visu totale'!$D$3:$DH$129,AM$1,0),0)</f>
        <v>0</v>
      </c>
      <c r="AN9" s="13">
        <f>IFERROR(VLOOKUP($F9,'Visu totale'!$D$3:$DH$129,AN$1,0),0)</f>
        <v>0</v>
      </c>
      <c r="AO9" s="13">
        <f>IFERROR(VLOOKUP($F9,'Visu totale'!$D$3:$DH$129,AO$1,0),0)</f>
        <v>0</v>
      </c>
      <c r="AP9" s="15">
        <f>IFERROR(VLOOKUP($F9,'Visu totale'!$D$3:$DH$129,AP$1,0),0)</f>
        <v>0</v>
      </c>
      <c r="AQ9" s="14">
        <f>IFERROR(VLOOKUP($F9,'Visu totale'!$D$3:$DH$129,AQ$1,0),0)</f>
        <v>0</v>
      </c>
      <c r="AR9" s="13">
        <f>IFERROR(VLOOKUP($F9,'Visu totale'!$D$3:$DH$129,AR$1,0),0)</f>
        <v>0</v>
      </c>
      <c r="AS9" s="13">
        <f>IFERROR(VLOOKUP($F9,'Visu totale'!$D$3:$DH$129,AS$1,0),0)</f>
        <v>0</v>
      </c>
      <c r="AT9" s="13">
        <f>IFERROR(VLOOKUP($F9,'Visu totale'!$D$3:$DH$129,AT$1,0),0)</f>
        <v>0</v>
      </c>
      <c r="AU9" s="13">
        <f>IFERROR(VLOOKUP($F9,'Visu totale'!$D$3:$DH$129,AU$1,0),0)</f>
        <v>0</v>
      </c>
      <c r="AV9" s="13">
        <f>IFERROR(VLOOKUP($F9,'Visu totale'!$D$3:$DH$129,AV$1,0),0)</f>
        <v>0</v>
      </c>
      <c r="AW9" s="13">
        <f>IFERROR(VLOOKUP($F9,'Visu totale'!$D$3:$DH$129,AW$1,0),0)</f>
        <v>0</v>
      </c>
      <c r="AX9" s="13">
        <f>IFERROR(VLOOKUP($F9,'Visu totale'!$D$3:$DH$129,AX$1,0),0)</f>
        <v>0</v>
      </c>
      <c r="AY9" s="13">
        <f>IFERROR(VLOOKUP($F9,'Visu totale'!$D$3:$DH$129,AY$1,0),0)</f>
        <v>0</v>
      </c>
      <c r="AZ9" s="13">
        <f>IFERROR(VLOOKUP($F9,'Visu totale'!$D$3:$DH$129,AZ$1,0),0)</f>
        <v>0</v>
      </c>
      <c r="BA9" s="13">
        <f>IFERROR(VLOOKUP($F9,'Visu totale'!$D$3:$DH$129,BA$1,0),0)</f>
        <v>0</v>
      </c>
      <c r="BB9" s="15">
        <f>IFERROR(VLOOKUP($F9,'Visu totale'!$D$3:$DH$129,BB$1,0),0)</f>
        <v>0</v>
      </c>
      <c r="BC9" s="14">
        <f>IFERROR(VLOOKUP($F9,'Visu totale'!$D$3:$DH$129,BC$1,0),0)</f>
        <v>0</v>
      </c>
      <c r="BD9" s="13">
        <f>IFERROR(VLOOKUP($F9,'Visu totale'!$D$3:$DH$129,BD$1,0),0)</f>
        <v>0</v>
      </c>
      <c r="BE9" s="13">
        <f>IFERROR(VLOOKUP($F9,'Visu totale'!$D$3:$DH$129,BE$1,0),0)</f>
        <v>0</v>
      </c>
      <c r="BF9" s="13">
        <f>IFERROR(VLOOKUP($F9,'Visu totale'!$D$3:$DH$129,BF$1,0),0)</f>
        <v>0</v>
      </c>
      <c r="BG9" s="13">
        <f>IFERROR(VLOOKUP($F9,'Visu totale'!$D$3:$DH$129,BG$1,0),0)</f>
        <v>0</v>
      </c>
      <c r="BH9" s="13">
        <f>IFERROR(VLOOKUP($F9,'Visu totale'!$D$3:$DH$129,BH$1,0),0)</f>
        <v>0</v>
      </c>
      <c r="BI9" s="13">
        <f>IFERROR(VLOOKUP($F9,'Visu totale'!$D$3:$DH$129,BI$1,0),0)</f>
        <v>0</v>
      </c>
      <c r="BJ9" s="13">
        <f>IFERROR(VLOOKUP($F9,'Visu totale'!$D$3:$DH$129,BJ$1,0),0)</f>
        <v>0</v>
      </c>
      <c r="BK9" s="13">
        <f>IFERROR(VLOOKUP($F9,'Visu totale'!$D$3:$DH$129,BK$1,0),0)</f>
        <v>0</v>
      </c>
      <c r="BL9" s="13">
        <f>IFERROR(VLOOKUP($F9,'Visu totale'!$D$3:$DH$129,BL$1,0),0)</f>
        <v>0</v>
      </c>
      <c r="BM9" s="13">
        <f>IFERROR(VLOOKUP($F9,'Visu totale'!$D$3:$DH$129,BM$1,0),0)</f>
        <v>0</v>
      </c>
      <c r="BN9" s="15">
        <f>IFERROR(VLOOKUP($F9,'Visu totale'!$D$3:$DH$129,BN$1,0),0)</f>
        <v>0</v>
      </c>
      <c r="BO9" s="14">
        <f>IFERROR(VLOOKUP($F9,'Visu totale'!$D$3:$DH$129,BO$1,0),0)</f>
        <v>0</v>
      </c>
      <c r="BP9" s="13">
        <f>IFERROR(VLOOKUP($F9,'Visu totale'!$D$3:$DH$129,BP$1,0),0)</f>
        <v>0</v>
      </c>
      <c r="BQ9" s="13">
        <f>IFERROR(VLOOKUP($F9,'Visu totale'!$D$3:$DH$129,BQ$1,0),0)</f>
        <v>0</v>
      </c>
      <c r="BR9" s="13">
        <f>IFERROR(VLOOKUP($F9,'Visu totale'!$D$3:$DH$129,BR$1,0),0)</f>
        <v>0</v>
      </c>
      <c r="BS9" s="13">
        <f>IFERROR(VLOOKUP($F9,'Visu totale'!$D$3:$DH$129,BS$1,0),0)</f>
        <v>0</v>
      </c>
      <c r="BT9" s="13">
        <f>IFERROR(VLOOKUP($F9,'Visu totale'!$D$3:$DH$129,BT$1,0),0)</f>
        <v>0</v>
      </c>
      <c r="BU9" s="13">
        <f>IFERROR(VLOOKUP($F9,'Visu totale'!$D$3:$DH$129,BU$1,0),0)</f>
        <v>0</v>
      </c>
      <c r="BV9" s="13">
        <f>IFERROR(VLOOKUP($F9,'Visu totale'!$D$3:$DH$129,BV$1,0),0)</f>
        <v>0</v>
      </c>
      <c r="BW9" s="13">
        <f>IFERROR(VLOOKUP($F9,'Visu totale'!$D$3:$DH$129,BW$1,0),0)</f>
        <v>0</v>
      </c>
      <c r="BX9" s="13">
        <f>IFERROR(VLOOKUP($F9,'Visu totale'!$D$3:$DH$129,BX$1,0),0)</f>
        <v>0</v>
      </c>
      <c r="BY9" s="13">
        <f>IFERROR(VLOOKUP($F9,'Visu totale'!$D$3:$DH$129,BY$1,0),0)</f>
        <v>0</v>
      </c>
      <c r="BZ9" s="15">
        <f>IFERROR(VLOOKUP($F9,'Visu totale'!$D$3:$DH$129,BZ$1,0),0)</f>
        <v>0</v>
      </c>
      <c r="CA9" s="14">
        <f>IFERROR(VLOOKUP($F9,'Visu totale'!$D$3:$DH$129,CA$1,0),0)</f>
        <v>0</v>
      </c>
      <c r="CB9" s="13">
        <f>IFERROR(VLOOKUP($F9,'Visu totale'!$D$3:$DH$129,CB$1,0),0)</f>
        <v>0</v>
      </c>
      <c r="CC9" s="13">
        <f>IFERROR(VLOOKUP($F9,'Visu totale'!$D$3:$DH$129,CC$1,0),0)</f>
        <v>0</v>
      </c>
      <c r="CD9" s="13">
        <f>IFERROR(VLOOKUP($F9,'Visu totale'!$D$3:$DH$129,CD$1,0),0)</f>
        <v>0</v>
      </c>
      <c r="CE9" s="13">
        <f>IFERROR(VLOOKUP($F9,'Visu totale'!$D$3:$DH$129,CE$1,0),0)</f>
        <v>0</v>
      </c>
      <c r="CF9" s="13">
        <f>IFERROR(VLOOKUP($F9,'Visu totale'!$D$3:$DH$129,CF$1,0),0)</f>
        <v>0</v>
      </c>
      <c r="CG9" s="13">
        <f>IFERROR(VLOOKUP($F9,'Visu totale'!$D$3:$DH$129,CG$1,0),0)</f>
        <v>0</v>
      </c>
      <c r="CH9" s="13">
        <f>IFERROR(VLOOKUP($F9,'Visu totale'!$D$3:$DH$129,CH$1,0),0)</f>
        <v>0</v>
      </c>
      <c r="CI9" s="13">
        <f>IFERROR(VLOOKUP($F9,'Visu totale'!$D$3:$DH$129,CI$1,0),0)</f>
        <v>0</v>
      </c>
      <c r="CJ9" s="13">
        <f>IFERROR(VLOOKUP($F9,'Visu totale'!$D$3:$DH$129,CJ$1,0),0)</f>
        <v>0</v>
      </c>
      <c r="CK9" s="13">
        <f>IFERROR(VLOOKUP($F9,'Visu totale'!$D$3:$DH$129,CK$1,0),0)</f>
        <v>0</v>
      </c>
      <c r="CL9" s="15">
        <f>IFERROR(VLOOKUP($F9,'Visu totale'!$D$3:$DH$129,CL$1,0),0)</f>
        <v>0</v>
      </c>
      <c r="CM9" s="14">
        <f>IFERROR(VLOOKUP($F9,'Visu totale'!$D$3:$DH$129,CM$1,0),0)</f>
        <v>0</v>
      </c>
      <c r="CN9" s="13">
        <f>IFERROR(VLOOKUP($F9,'Visu totale'!$D$3:$DH$129,CN$1,0),0)</f>
        <v>0</v>
      </c>
      <c r="CO9" s="13">
        <f>IFERROR(VLOOKUP($F9,'Visu totale'!$D$3:$DH$129,CO$1,0),0)</f>
        <v>0</v>
      </c>
      <c r="CP9" s="13">
        <f>IFERROR(VLOOKUP($F9,'Visu totale'!$D$3:$DH$129,CP$1,0),0)</f>
        <v>0</v>
      </c>
      <c r="CQ9" s="13">
        <f>IFERROR(VLOOKUP($F9,'Visu totale'!$D$3:$DH$129,CQ$1,0),0)</f>
        <v>0</v>
      </c>
      <c r="CR9" s="13">
        <f>IFERROR(VLOOKUP($F9,'Visu totale'!$D$3:$DH$129,CR$1,0),0)</f>
        <v>0</v>
      </c>
      <c r="CS9" s="13">
        <f>IFERROR(VLOOKUP($F9,'Visu totale'!$D$3:$DH$129,CS$1,0),0)</f>
        <v>0</v>
      </c>
      <c r="CT9" s="13">
        <f>IFERROR(VLOOKUP($F9,'Visu totale'!$D$3:$DH$129,CT$1,0),0)</f>
        <v>0</v>
      </c>
      <c r="CU9" s="13">
        <f>IFERROR(VLOOKUP($F9,'Visu totale'!$D$3:$DH$129,CU$1,0),0)</f>
        <v>0</v>
      </c>
      <c r="CV9" s="13">
        <f>IFERROR(VLOOKUP($F9,'Visu totale'!$D$3:$DH$129,CV$1,0),0)</f>
        <v>0</v>
      </c>
      <c r="CW9" s="13">
        <f>IFERROR(VLOOKUP($F9,'Visu totale'!$D$3:$DH$129,CW$1,0),0)</f>
        <v>0</v>
      </c>
      <c r="CX9" s="15">
        <f>IFERROR(VLOOKUP($F9,'Visu totale'!$D$3:$DH$129,CX$1,0),0)</f>
        <v>0</v>
      </c>
      <c r="CY9" s="14">
        <f>IFERROR(VLOOKUP($F9,'Visu totale'!$D$3:$DH$129,CY$1,0),0)</f>
        <v>0</v>
      </c>
      <c r="CZ9" s="13">
        <f>IFERROR(VLOOKUP($F9,'Visu totale'!$D$3:$DH$129,CZ$1,0),0)</f>
        <v>0</v>
      </c>
      <c r="DA9" s="13">
        <f>IFERROR(VLOOKUP($F9,'Visu totale'!$D$3:$DH$129,DA$1,0),0)</f>
        <v>0</v>
      </c>
      <c r="DB9" s="13">
        <f>IFERROR(VLOOKUP($F9,'Visu totale'!$D$3:$DH$129,DB$1,0),0)</f>
        <v>0</v>
      </c>
      <c r="DC9" s="13">
        <f>IFERROR(VLOOKUP($F9,'Visu totale'!$D$3:$DH$129,DC$1,0),0)</f>
        <v>0</v>
      </c>
      <c r="DD9" s="13">
        <f>IFERROR(VLOOKUP($F9,'Visu totale'!$D$3:$DH$129,DD$1,0),0)</f>
        <v>0</v>
      </c>
      <c r="DE9" s="13">
        <f>IFERROR(VLOOKUP($F9,'Visu totale'!$D$3:$DH$129,DE$1,0),0)</f>
        <v>0</v>
      </c>
      <c r="DF9" s="13">
        <f>IFERROR(VLOOKUP($F9,'Visu totale'!$D$3:$DH$129,DF$1,0),0)</f>
        <v>0</v>
      </c>
      <c r="DG9" s="13">
        <f>IFERROR(VLOOKUP($F9,'Visu totale'!$D$3:$DH$129,DG$1,0),0)</f>
        <v>0</v>
      </c>
      <c r="DH9" s="13">
        <f>IFERROR(VLOOKUP($F9,'Visu totale'!$D$3:$DH$129,DH$1,0),0)</f>
        <v>0</v>
      </c>
      <c r="DI9" s="13">
        <f>IFERROR(VLOOKUP($F9,'Visu totale'!$D$3:$DH$129,DI$1,0),0)</f>
        <v>0</v>
      </c>
      <c r="DJ9" s="15">
        <f>IFERROR(VLOOKUP($F9,'Visu totale'!$D$3:$DH$129,DJ$1,0),0)</f>
        <v>0</v>
      </c>
    </row>
    <row r="10" spans="1:114" s="12" customFormat="1" x14ac:dyDescent="0.25">
      <c r="A10" s="13"/>
      <c r="B10" s="13"/>
      <c r="C10" s="13"/>
      <c r="D10" s="13"/>
      <c r="E10" s="13"/>
      <c r="F10" s="17" t="s">
        <v>94</v>
      </c>
      <c r="G10" s="14">
        <f>IFERROR(VLOOKUP($F10,'Visu totale'!$D$3:$DH$129,G$1,0),0)</f>
        <v>0</v>
      </c>
      <c r="H10" s="13">
        <f>IFERROR(VLOOKUP($F10,'Visu totale'!$D$3:$DH$129,H$1,0),0)</f>
        <v>0</v>
      </c>
      <c r="I10" s="13">
        <f>IFERROR(VLOOKUP($F10,'Visu totale'!$D$3:$DH$129,I$1,0),0)</f>
        <v>0</v>
      </c>
      <c r="J10" s="13">
        <f>IFERROR(VLOOKUP($F10,'Visu totale'!$D$3:$DH$129,J$1,0),0)</f>
        <v>0</v>
      </c>
      <c r="K10" s="13">
        <f>IFERROR(VLOOKUP($F10,'Visu totale'!$D$3:$DH$129,K$1,0),0)</f>
        <v>0</v>
      </c>
      <c r="L10" s="13">
        <f>IFERROR(VLOOKUP($F10,'Visu totale'!$D$3:$DH$129,L$1,0),0)</f>
        <v>0</v>
      </c>
      <c r="M10" s="13">
        <f>IFERROR(VLOOKUP($F10,'Visu totale'!$D$3:$DH$129,M$1,0),0)</f>
        <v>0</v>
      </c>
      <c r="N10" s="13">
        <f>IFERROR(VLOOKUP($F10,'Visu totale'!$D$3:$DH$129,N$1,0),0)</f>
        <v>0</v>
      </c>
      <c r="O10" s="13">
        <f>IFERROR(VLOOKUP($F10,'Visu totale'!$D$3:$DH$129,O$1,0),0)</f>
        <v>0</v>
      </c>
      <c r="P10" s="13">
        <f>IFERROR(VLOOKUP($F10,'Visu totale'!$D$3:$DH$129,P$1,0),0)</f>
        <v>0</v>
      </c>
      <c r="Q10" s="13">
        <f>IFERROR(VLOOKUP($F10,'Visu totale'!$D$3:$DH$129,Q$1,0),0)</f>
        <v>0</v>
      </c>
      <c r="R10" s="15">
        <f>IFERROR(VLOOKUP($F10,'Visu totale'!$D$3:$DH$129,R$1,0),0)</f>
        <v>0</v>
      </c>
      <c r="S10" s="14">
        <f>IFERROR(VLOOKUP($F10,'Visu totale'!$D$3:$DH$129,S$1,0),0)</f>
        <v>0</v>
      </c>
      <c r="T10" s="13">
        <f>IFERROR(VLOOKUP($F10,'Visu totale'!$D$3:$DH$129,T$1,0),0)</f>
        <v>0</v>
      </c>
      <c r="U10" s="13">
        <f>IFERROR(VLOOKUP($F10,'Visu totale'!$D$3:$DH$129,U$1,0),0)</f>
        <v>0</v>
      </c>
      <c r="V10" s="13">
        <f>IFERROR(VLOOKUP($F10,'Visu totale'!$D$3:$DH$129,V$1,0),0)</f>
        <v>0</v>
      </c>
      <c r="W10" s="13">
        <f>IFERROR(VLOOKUP($F10,'Visu totale'!$D$3:$DH$129,W$1,0),0)</f>
        <v>0</v>
      </c>
      <c r="X10" s="13">
        <f>IFERROR(VLOOKUP($F10,'Visu totale'!$D$3:$DH$129,X$1,0),0)</f>
        <v>0</v>
      </c>
      <c r="Y10" s="13">
        <f>IFERROR(VLOOKUP($F10,'Visu totale'!$D$3:$DH$129,Y$1,0),0)</f>
        <v>0</v>
      </c>
      <c r="Z10" s="13">
        <f>IFERROR(VLOOKUP($F10,'Visu totale'!$D$3:$DH$129,Z$1,0),0)</f>
        <v>0</v>
      </c>
      <c r="AA10" s="13">
        <f>IFERROR(VLOOKUP($F10,'Visu totale'!$D$3:$DH$129,AA$1,0),0)</f>
        <v>0</v>
      </c>
      <c r="AB10" s="13">
        <f>IFERROR(VLOOKUP($F10,'Visu totale'!$D$3:$DH$129,AB$1,0),0)</f>
        <v>0</v>
      </c>
      <c r="AC10" s="13">
        <f>IFERROR(VLOOKUP($F10,'Visu totale'!$D$3:$DH$129,AC$1,0),0)</f>
        <v>0</v>
      </c>
      <c r="AD10" s="15">
        <f>IFERROR(VLOOKUP($F10,'Visu totale'!$D$3:$DH$129,AD$1,0),0)</f>
        <v>0</v>
      </c>
      <c r="AE10" s="14">
        <f>IFERROR(VLOOKUP($F10,'Visu totale'!$D$3:$DH$129,AE$1,0),0)</f>
        <v>0</v>
      </c>
      <c r="AF10" s="13">
        <f>IFERROR(VLOOKUP($F10,'Visu totale'!$D$3:$DH$129,AF$1,0),0)</f>
        <v>0</v>
      </c>
      <c r="AG10" s="13">
        <f>IFERROR(VLOOKUP($F10,'Visu totale'!$D$3:$DH$129,AG$1,0),0)</f>
        <v>0</v>
      </c>
      <c r="AH10" s="13">
        <f>IFERROR(VLOOKUP($F10,'Visu totale'!$D$3:$DH$129,AH$1,0),0)</f>
        <v>0</v>
      </c>
      <c r="AI10" s="13">
        <f>IFERROR(VLOOKUP($F10,'Visu totale'!$D$3:$DH$129,AI$1,0),0)</f>
        <v>0</v>
      </c>
      <c r="AJ10" s="13">
        <f>IFERROR(VLOOKUP($F10,'Visu totale'!$D$3:$DH$129,AJ$1,0),0)</f>
        <v>0</v>
      </c>
      <c r="AK10" s="13">
        <f>IFERROR(VLOOKUP($F10,'Visu totale'!$D$3:$DH$129,AK$1,0),0)</f>
        <v>0</v>
      </c>
      <c r="AL10" s="13">
        <f>IFERROR(VLOOKUP($F10,'Visu totale'!$D$3:$DH$129,AL$1,0),0)</f>
        <v>0</v>
      </c>
      <c r="AM10" s="13">
        <f>IFERROR(VLOOKUP($F10,'Visu totale'!$D$3:$DH$129,AM$1,0),0)</f>
        <v>0</v>
      </c>
      <c r="AN10" s="13">
        <f>IFERROR(VLOOKUP($F10,'Visu totale'!$D$3:$DH$129,AN$1,0),0)</f>
        <v>0</v>
      </c>
      <c r="AO10" s="13">
        <f>IFERROR(VLOOKUP($F10,'Visu totale'!$D$3:$DH$129,AO$1,0),0)</f>
        <v>0</v>
      </c>
      <c r="AP10" s="15">
        <f>IFERROR(VLOOKUP($F10,'Visu totale'!$D$3:$DH$129,AP$1,0),0)</f>
        <v>0</v>
      </c>
      <c r="AQ10" s="14">
        <f>IFERROR(VLOOKUP($F10,'Visu totale'!$D$3:$DH$129,AQ$1,0),0)</f>
        <v>0</v>
      </c>
      <c r="AR10" s="13">
        <f>IFERROR(VLOOKUP($F10,'Visu totale'!$D$3:$DH$129,AR$1,0),0)</f>
        <v>0</v>
      </c>
      <c r="AS10" s="13">
        <f>IFERROR(VLOOKUP($F10,'Visu totale'!$D$3:$DH$129,AS$1,0),0)</f>
        <v>0</v>
      </c>
      <c r="AT10" s="13">
        <f>IFERROR(VLOOKUP($F10,'Visu totale'!$D$3:$DH$129,AT$1,0),0)</f>
        <v>0</v>
      </c>
      <c r="AU10" s="13">
        <f>IFERROR(VLOOKUP($F10,'Visu totale'!$D$3:$DH$129,AU$1,0),0)</f>
        <v>0</v>
      </c>
      <c r="AV10" s="13">
        <f>IFERROR(VLOOKUP($F10,'Visu totale'!$D$3:$DH$129,AV$1,0),0)</f>
        <v>0</v>
      </c>
      <c r="AW10" s="13">
        <f>IFERROR(VLOOKUP($F10,'Visu totale'!$D$3:$DH$129,AW$1,0),0)</f>
        <v>0</v>
      </c>
      <c r="AX10" s="13">
        <f>IFERROR(VLOOKUP($F10,'Visu totale'!$D$3:$DH$129,AX$1,0),0)</f>
        <v>0</v>
      </c>
      <c r="AY10" s="13">
        <f>IFERROR(VLOOKUP($F10,'Visu totale'!$D$3:$DH$129,AY$1,0),0)</f>
        <v>0</v>
      </c>
      <c r="AZ10" s="13">
        <f>IFERROR(VLOOKUP($F10,'Visu totale'!$D$3:$DH$129,AZ$1,0),0)</f>
        <v>0</v>
      </c>
      <c r="BA10" s="13">
        <f>IFERROR(VLOOKUP($F10,'Visu totale'!$D$3:$DH$129,BA$1,0),0)</f>
        <v>0</v>
      </c>
      <c r="BB10" s="15">
        <f>IFERROR(VLOOKUP($F10,'Visu totale'!$D$3:$DH$129,BB$1,0),0)</f>
        <v>0</v>
      </c>
      <c r="BC10" s="14">
        <f>IFERROR(VLOOKUP($F10,'Visu totale'!$D$3:$DH$129,BC$1,0),0)</f>
        <v>0</v>
      </c>
      <c r="BD10" s="13">
        <f>IFERROR(VLOOKUP($F10,'Visu totale'!$D$3:$DH$129,BD$1,0),0)</f>
        <v>0</v>
      </c>
      <c r="BE10" s="13">
        <f>IFERROR(VLOOKUP($F10,'Visu totale'!$D$3:$DH$129,BE$1,0),0)</f>
        <v>0</v>
      </c>
      <c r="BF10" s="13">
        <f>IFERROR(VLOOKUP($F10,'Visu totale'!$D$3:$DH$129,BF$1,0),0)</f>
        <v>0</v>
      </c>
      <c r="BG10" s="13">
        <f>IFERROR(VLOOKUP($F10,'Visu totale'!$D$3:$DH$129,BG$1,0),0)</f>
        <v>0</v>
      </c>
      <c r="BH10" s="13">
        <f>IFERROR(VLOOKUP($F10,'Visu totale'!$D$3:$DH$129,BH$1,0),0)</f>
        <v>0</v>
      </c>
      <c r="BI10" s="13">
        <f>IFERROR(VLOOKUP($F10,'Visu totale'!$D$3:$DH$129,BI$1,0),0)</f>
        <v>0</v>
      </c>
      <c r="BJ10" s="13">
        <f>IFERROR(VLOOKUP($F10,'Visu totale'!$D$3:$DH$129,BJ$1,0),0)</f>
        <v>0</v>
      </c>
      <c r="BK10" s="13">
        <f>IFERROR(VLOOKUP($F10,'Visu totale'!$D$3:$DH$129,BK$1,0),0)</f>
        <v>0</v>
      </c>
      <c r="BL10" s="13">
        <f>IFERROR(VLOOKUP($F10,'Visu totale'!$D$3:$DH$129,BL$1,0),0)</f>
        <v>0</v>
      </c>
      <c r="BM10" s="13">
        <f>IFERROR(VLOOKUP($F10,'Visu totale'!$D$3:$DH$129,BM$1,0),0)</f>
        <v>0</v>
      </c>
      <c r="BN10" s="15">
        <f>IFERROR(VLOOKUP($F10,'Visu totale'!$D$3:$DH$129,BN$1,0),0)</f>
        <v>0</v>
      </c>
      <c r="BO10" s="14">
        <f>IFERROR(VLOOKUP($F10,'Visu totale'!$D$3:$DH$129,BO$1,0),0)</f>
        <v>0</v>
      </c>
      <c r="BP10" s="13">
        <f>IFERROR(VLOOKUP($F10,'Visu totale'!$D$3:$DH$129,BP$1,0),0)</f>
        <v>0</v>
      </c>
      <c r="BQ10" s="13">
        <f>IFERROR(VLOOKUP($F10,'Visu totale'!$D$3:$DH$129,BQ$1,0),0)</f>
        <v>0</v>
      </c>
      <c r="BR10" s="13">
        <f>IFERROR(VLOOKUP($F10,'Visu totale'!$D$3:$DH$129,BR$1,0),0)</f>
        <v>0</v>
      </c>
      <c r="BS10" s="13">
        <f>IFERROR(VLOOKUP($F10,'Visu totale'!$D$3:$DH$129,BS$1,0),0)</f>
        <v>0</v>
      </c>
      <c r="BT10" s="13">
        <f>IFERROR(VLOOKUP($F10,'Visu totale'!$D$3:$DH$129,BT$1,0),0)</f>
        <v>0</v>
      </c>
      <c r="BU10" s="13">
        <f>IFERROR(VLOOKUP($F10,'Visu totale'!$D$3:$DH$129,BU$1,0),0)</f>
        <v>0</v>
      </c>
      <c r="BV10" s="13">
        <f>IFERROR(VLOOKUP($F10,'Visu totale'!$D$3:$DH$129,BV$1,0),0)</f>
        <v>0</v>
      </c>
      <c r="BW10" s="13">
        <f>IFERROR(VLOOKUP($F10,'Visu totale'!$D$3:$DH$129,BW$1,0),0)</f>
        <v>0</v>
      </c>
      <c r="BX10" s="13">
        <f>IFERROR(VLOOKUP($F10,'Visu totale'!$D$3:$DH$129,BX$1,0),0)</f>
        <v>0</v>
      </c>
      <c r="BY10" s="13">
        <f>IFERROR(VLOOKUP($F10,'Visu totale'!$D$3:$DH$129,BY$1,0),0)</f>
        <v>0</v>
      </c>
      <c r="BZ10" s="15">
        <f>IFERROR(VLOOKUP($F10,'Visu totale'!$D$3:$DH$129,BZ$1,0),0)</f>
        <v>0</v>
      </c>
      <c r="CA10" s="14">
        <f>IFERROR(VLOOKUP($F10,'Visu totale'!$D$3:$DH$129,CA$1,0),0)</f>
        <v>0</v>
      </c>
      <c r="CB10" s="13">
        <f>IFERROR(VLOOKUP($F10,'Visu totale'!$D$3:$DH$129,CB$1,0),0)</f>
        <v>0</v>
      </c>
      <c r="CC10" s="13">
        <f>IFERROR(VLOOKUP($F10,'Visu totale'!$D$3:$DH$129,CC$1,0),0)</f>
        <v>0</v>
      </c>
      <c r="CD10" s="13">
        <f>IFERROR(VLOOKUP($F10,'Visu totale'!$D$3:$DH$129,CD$1,0),0)</f>
        <v>0</v>
      </c>
      <c r="CE10" s="13">
        <f>IFERROR(VLOOKUP($F10,'Visu totale'!$D$3:$DH$129,CE$1,0),0)</f>
        <v>0</v>
      </c>
      <c r="CF10" s="13">
        <f>IFERROR(VLOOKUP($F10,'Visu totale'!$D$3:$DH$129,CF$1,0),0)</f>
        <v>0</v>
      </c>
      <c r="CG10" s="13">
        <f>IFERROR(VLOOKUP($F10,'Visu totale'!$D$3:$DH$129,CG$1,0),0)</f>
        <v>0</v>
      </c>
      <c r="CH10" s="13">
        <f>IFERROR(VLOOKUP($F10,'Visu totale'!$D$3:$DH$129,CH$1,0),0)</f>
        <v>0</v>
      </c>
      <c r="CI10" s="13">
        <f>IFERROR(VLOOKUP($F10,'Visu totale'!$D$3:$DH$129,CI$1,0),0)</f>
        <v>0</v>
      </c>
      <c r="CJ10" s="13">
        <f>IFERROR(VLOOKUP($F10,'Visu totale'!$D$3:$DH$129,CJ$1,0),0)</f>
        <v>0</v>
      </c>
      <c r="CK10" s="13">
        <f>IFERROR(VLOOKUP($F10,'Visu totale'!$D$3:$DH$129,CK$1,0),0)</f>
        <v>0</v>
      </c>
      <c r="CL10" s="15">
        <f>IFERROR(VLOOKUP($F10,'Visu totale'!$D$3:$DH$129,CL$1,0),0)</f>
        <v>0</v>
      </c>
      <c r="CM10" s="14">
        <f>IFERROR(VLOOKUP($F10,'Visu totale'!$D$3:$DH$129,CM$1,0),0)</f>
        <v>0</v>
      </c>
      <c r="CN10" s="13">
        <f>IFERROR(VLOOKUP($F10,'Visu totale'!$D$3:$DH$129,CN$1,0),0)</f>
        <v>0</v>
      </c>
      <c r="CO10" s="13">
        <f>IFERROR(VLOOKUP($F10,'Visu totale'!$D$3:$DH$129,CO$1,0),0)</f>
        <v>0</v>
      </c>
      <c r="CP10" s="13">
        <f>IFERROR(VLOOKUP($F10,'Visu totale'!$D$3:$DH$129,CP$1,0),0)</f>
        <v>0</v>
      </c>
      <c r="CQ10" s="13">
        <f>IFERROR(VLOOKUP($F10,'Visu totale'!$D$3:$DH$129,CQ$1,0),0)</f>
        <v>0</v>
      </c>
      <c r="CR10" s="13">
        <f>IFERROR(VLOOKUP($F10,'Visu totale'!$D$3:$DH$129,CR$1,0),0)</f>
        <v>0</v>
      </c>
      <c r="CS10" s="13">
        <f>IFERROR(VLOOKUP($F10,'Visu totale'!$D$3:$DH$129,CS$1,0),0)</f>
        <v>0</v>
      </c>
      <c r="CT10" s="13">
        <f>IFERROR(VLOOKUP($F10,'Visu totale'!$D$3:$DH$129,CT$1,0),0)</f>
        <v>0</v>
      </c>
      <c r="CU10" s="13">
        <f>IFERROR(VLOOKUP($F10,'Visu totale'!$D$3:$DH$129,CU$1,0),0)</f>
        <v>0</v>
      </c>
      <c r="CV10" s="13">
        <f>IFERROR(VLOOKUP($F10,'Visu totale'!$D$3:$DH$129,CV$1,0),0)</f>
        <v>0</v>
      </c>
      <c r="CW10" s="13">
        <f>IFERROR(VLOOKUP($F10,'Visu totale'!$D$3:$DH$129,CW$1,0),0)</f>
        <v>0</v>
      </c>
      <c r="CX10" s="15">
        <f>IFERROR(VLOOKUP($F10,'Visu totale'!$D$3:$DH$129,CX$1,0),0)</f>
        <v>0</v>
      </c>
      <c r="CY10" s="14">
        <f>IFERROR(VLOOKUP($F10,'Visu totale'!$D$3:$DH$129,CY$1,0),0)</f>
        <v>0</v>
      </c>
      <c r="CZ10" s="13">
        <f>IFERROR(VLOOKUP($F10,'Visu totale'!$D$3:$DH$129,CZ$1,0),0)</f>
        <v>0</v>
      </c>
      <c r="DA10" s="13">
        <f>IFERROR(VLOOKUP($F10,'Visu totale'!$D$3:$DH$129,DA$1,0),0)</f>
        <v>0</v>
      </c>
      <c r="DB10" s="13">
        <f>IFERROR(VLOOKUP($F10,'Visu totale'!$D$3:$DH$129,DB$1,0),0)</f>
        <v>0</v>
      </c>
      <c r="DC10" s="13">
        <f>IFERROR(VLOOKUP($F10,'Visu totale'!$D$3:$DH$129,DC$1,0),0)</f>
        <v>0</v>
      </c>
      <c r="DD10" s="13">
        <f>IFERROR(VLOOKUP($F10,'Visu totale'!$D$3:$DH$129,DD$1,0),0)</f>
        <v>0</v>
      </c>
      <c r="DE10" s="13">
        <f>IFERROR(VLOOKUP($F10,'Visu totale'!$D$3:$DH$129,DE$1,0),0)</f>
        <v>0</v>
      </c>
      <c r="DF10" s="13">
        <f>IFERROR(VLOOKUP($F10,'Visu totale'!$D$3:$DH$129,DF$1,0),0)</f>
        <v>0</v>
      </c>
      <c r="DG10" s="13">
        <f>IFERROR(VLOOKUP($F10,'Visu totale'!$D$3:$DH$129,DG$1,0),0)</f>
        <v>0</v>
      </c>
      <c r="DH10" s="13">
        <f>IFERROR(VLOOKUP($F10,'Visu totale'!$D$3:$DH$129,DH$1,0),0)</f>
        <v>0</v>
      </c>
      <c r="DI10" s="13">
        <f>IFERROR(VLOOKUP($F10,'Visu totale'!$D$3:$DH$129,DI$1,0),0)</f>
        <v>0</v>
      </c>
      <c r="DJ10" s="15">
        <f>IFERROR(VLOOKUP($F10,'Visu totale'!$D$3:$DH$129,DJ$1,0),0)</f>
        <v>0</v>
      </c>
    </row>
    <row r="11" spans="1:114" s="12" customFormat="1" x14ac:dyDescent="0.25">
      <c r="A11" s="13"/>
      <c r="B11" s="13"/>
      <c r="C11" s="13"/>
      <c r="D11" s="13"/>
      <c r="E11" s="13"/>
      <c r="F11" s="17" t="s">
        <v>95</v>
      </c>
      <c r="G11" s="14">
        <f>IFERROR(VLOOKUP($F11,'Visu totale'!$D$3:$DH$129,G$1,0),0)</f>
        <v>0</v>
      </c>
      <c r="H11" s="13">
        <f>IFERROR(VLOOKUP($F11,'Visu totale'!$D$3:$DH$129,H$1,0),0)</f>
        <v>0</v>
      </c>
      <c r="I11" s="13">
        <f>IFERROR(VLOOKUP($F11,'Visu totale'!$D$3:$DH$129,I$1,0),0)</f>
        <v>0</v>
      </c>
      <c r="J11" s="13">
        <f>IFERROR(VLOOKUP($F11,'Visu totale'!$D$3:$DH$129,J$1,0),0)</f>
        <v>0</v>
      </c>
      <c r="K11" s="13">
        <f>IFERROR(VLOOKUP($F11,'Visu totale'!$D$3:$DH$129,K$1,0),0)</f>
        <v>0</v>
      </c>
      <c r="L11" s="13">
        <f>IFERROR(VLOOKUP($F11,'Visu totale'!$D$3:$DH$129,L$1,0),0)</f>
        <v>0</v>
      </c>
      <c r="M11" s="13">
        <f>IFERROR(VLOOKUP($F11,'Visu totale'!$D$3:$DH$129,M$1,0),0)</f>
        <v>0</v>
      </c>
      <c r="N11" s="13">
        <f>IFERROR(VLOOKUP($F11,'Visu totale'!$D$3:$DH$129,N$1,0),0)</f>
        <v>0</v>
      </c>
      <c r="O11" s="13">
        <f>IFERROR(VLOOKUP($F11,'Visu totale'!$D$3:$DH$129,O$1,0),0)</f>
        <v>0</v>
      </c>
      <c r="P11" s="13">
        <f>IFERROR(VLOOKUP($F11,'Visu totale'!$D$3:$DH$129,P$1,0),0)</f>
        <v>0</v>
      </c>
      <c r="Q11" s="13">
        <f>IFERROR(VLOOKUP($F11,'Visu totale'!$D$3:$DH$129,Q$1,0),0)</f>
        <v>0</v>
      </c>
      <c r="R11" s="15">
        <f>IFERROR(VLOOKUP($F11,'Visu totale'!$D$3:$DH$129,R$1,0),0)</f>
        <v>0</v>
      </c>
      <c r="S11" s="14">
        <f>IFERROR(VLOOKUP($F11,'Visu totale'!$D$3:$DH$129,S$1,0),0)</f>
        <v>0</v>
      </c>
      <c r="T11" s="13">
        <f>IFERROR(VLOOKUP($F11,'Visu totale'!$D$3:$DH$129,T$1,0),0)</f>
        <v>0</v>
      </c>
      <c r="U11" s="13">
        <f>IFERROR(VLOOKUP($F11,'Visu totale'!$D$3:$DH$129,U$1,0),0)</f>
        <v>0</v>
      </c>
      <c r="V11" s="13">
        <f>IFERROR(VLOOKUP($F11,'Visu totale'!$D$3:$DH$129,V$1,0),0)</f>
        <v>0</v>
      </c>
      <c r="W11" s="13">
        <f>IFERROR(VLOOKUP($F11,'Visu totale'!$D$3:$DH$129,W$1,0),0)</f>
        <v>0</v>
      </c>
      <c r="X11" s="13">
        <f>IFERROR(VLOOKUP($F11,'Visu totale'!$D$3:$DH$129,X$1,0),0)</f>
        <v>0</v>
      </c>
      <c r="Y11" s="13">
        <f>IFERROR(VLOOKUP($F11,'Visu totale'!$D$3:$DH$129,Y$1,0),0)</f>
        <v>0</v>
      </c>
      <c r="Z11" s="13">
        <f>IFERROR(VLOOKUP($F11,'Visu totale'!$D$3:$DH$129,Z$1,0),0)</f>
        <v>0</v>
      </c>
      <c r="AA11" s="13">
        <f>IFERROR(VLOOKUP($F11,'Visu totale'!$D$3:$DH$129,AA$1,0),0)</f>
        <v>0</v>
      </c>
      <c r="AB11" s="13">
        <f>IFERROR(VLOOKUP($F11,'Visu totale'!$D$3:$DH$129,AB$1,0),0)</f>
        <v>0</v>
      </c>
      <c r="AC11" s="13">
        <f>IFERROR(VLOOKUP($F11,'Visu totale'!$D$3:$DH$129,AC$1,0),0)</f>
        <v>0</v>
      </c>
      <c r="AD11" s="15">
        <f>IFERROR(VLOOKUP($F11,'Visu totale'!$D$3:$DH$129,AD$1,0),0)</f>
        <v>0</v>
      </c>
      <c r="AE11" s="14">
        <f>IFERROR(VLOOKUP($F11,'Visu totale'!$D$3:$DH$129,AE$1,0),0)</f>
        <v>0</v>
      </c>
      <c r="AF11" s="13">
        <f>IFERROR(VLOOKUP($F11,'Visu totale'!$D$3:$DH$129,AF$1,0),0)</f>
        <v>0</v>
      </c>
      <c r="AG11" s="13">
        <f>IFERROR(VLOOKUP($F11,'Visu totale'!$D$3:$DH$129,AG$1,0),0)</f>
        <v>0</v>
      </c>
      <c r="AH11" s="13">
        <f>IFERROR(VLOOKUP($F11,'Visu totale'!$D$3:$DH$129,AH$1,0),0)</f>
        <v>0</v>
      </c>
      <c r="AI11" s="13">
        <f>IFERROR(VLOOKUP($F11,'Visu totale'!$D$3:$DH$129,AI$1,0),0)</f>
        <v>0</v>
      </c>
      <c r="AJ11" s="13">
        <f>IFERROR(VLOOKUP($F11,'Visu totale'!$D$3:$DH$129,AJ$1,0),0)</f>
        <v>0</v>
      </c>
      <c r="AK11" s="13">
        <f>IFERROR(VLOOKUP($F11,'Visu totale'!$D$3:$DH$129,AK$1,0),0)</f>
        <v>0</v>
      </c>
      <c r="AL11" s="13">
        <f>IFERROR(VLOOKUP($F11,'Visu totale'!$D$3:$DH$129,AL$1,0),0)</f>
        <v>0</v>
      </c>
      <c r="AM11" s="13">
        <f>IFERROR(VLOOKUP($F11,'Visu totale'!$D$3:$DH$129,AM$1,0),0)</f>
        <v>0</v>
      </c>
      <c r="AN11" s="13">
        <f>IFERROR(VLOOKUP($F11,'Visu totale'!$D$3:$DH$129,AN$1,0),0)</f>
        <v>0</v>
      </c>
      <c r="AO11" s="13">
        <f>IFERROR(VLOOKUP($F11,'Visu totale'!$D$3:$DH$129,AO$1,0),0)</f>
        <v>0</v>
      </c>
      <c r="AP11" s="15">
        <f>IFERROR(VLOOKUP($F11,'Visu totale'!$D$3:$DH$129,AP$1,0),0)</f>
        <v>0</v>
      </c>
      <c r="AQ11" s="14">
        <f>IFERROR(VLOOKUP($F11,'Visu totale'!$D$3:$DH$129,AQ$1,0),0)</f>
        <v>0</v>
      </c>
      <c r="AR11" s="13">
        <f>IFERROR(VLOOKUP($F11,'Visu totale'!$D$3:$DH$129,AR$1,0),0)</f>
        <v>0</v>
      </c>
      <c r="AS11" s="13">
        <f>IFERROR(VLOOKUP($F11,'Visu totale'!$D$3:$DH$129,AS$1,0),0)</f>
        <v>0</v>
      </c>
      <c r="AT11" s="13">
        <f>IFERROR(VLOOKUP($F11,'Visu totale'!$D$3:$DH$129,AT$1,0),0)</f>
        <v>0</v>
      </c>
      <c r="AU11" s="13">
        <f>IFERROR(VLOOKUP($F11,'Visu totale'!$D$3:$DH$129,AU$1,0),0)</f>
        <v>0</v>
      </c>
      <c r="AV11" s="13">
        <f>IFERROR(VLOOKUP($F11,'Visu totale'!$D$3:$DH$129,AV$1,0),0)</f>
        <v>0</v>
      </c>
      <c r="AW11" s="13">
        <f>IFERROR(VLOOKUP($F11,'Visu totale'!$D$3:$DH$129,AW$1,0),0)</f>
        <v>0</v>
      </c>
      <c r="AX11" s="13">
        <f>IFERROR(VLOOKUP($F11,'Visu totale'!$D$3:$DH$129,AX$1,0),0)</f>
        <v>0</v>
      </c>
      <c r="AY11" s="13">
        <f>IFERROR(VLOOKUP($F11,'Visu totale'!$D$3:$DH$129,AY$1,0),0)</f>
        <v>0</v>
      </c>
      <c r="AZ11" s="13">
        <f>IFERROR(VLOOKUP($F11,'Visu totale'!$D$3:$DH$129,AZ$1,0),0)</f>
        <v>0</v>
      </c>
      <c r="BA11" s="13">
        <f>IFERROR(VLOOKUP($F11,'Visu totale'!$D$3:$DH$129,BA$1,0),0)</f>
        <v>0</v>
      </c>
      <c r="BB11" s="15">
        <f>IFERROR(VLOOKUP($F11,'Visu totale'!$D$3:$DH$129,BB$1,0),0)</f>
        <v>0</v>
      </c>
      <c r="BC11" s="14">
        <f>IFERROR(VLOOKUP($F11,'Visu totale'!$D$3:$DH$129,BC$1,0),0)</f>
        <v>0</v>
      </c>
      <c r="BD11" s="13">
        <f>IFERROR(VLOOKUP($F11,'Visu totale'!$D$3:$DH$129,BD$1,0),0)</f>
        <v>0</v>
      </c>
      <c r="BE11" s="13">
        <f>IFERROR(VLOOKUP($F11,'Visu totale'!$D$3:$DH$129,BE$1,0),0)</f>
        <v>0</v>
      </c>
      <c r="BF11" s="13">
        <f>IFERROR(VLOOKUP($F11,'Visu totale'!$D$3:$DH$129,BF$1,0),0)</f>
        <v>0</v>
      </c>
      <c r="BG11" s="13">
        <f>IFERROR(VLOOKUP($F11,'Visu totale'!$D$3:$DH$129,BG$1,0),0)</f>
        <v>0</v>
      </c>
      <c r="BH11" s="13">
        <f>IFERROR(VLOOKUP($F11,'Visu totale'!$D$3:$DH$129,BH$1,0),0)</f>
        <v>0</v>
      </c>
      <c r="BI11" s="13">
        <f>IFERROR(VLOOKUP($F11,'Visu totale'!$D$3:$DH$129,BI$1,0),0)</f>
        <v>0</v>
      </c>
      <c r="BJ11" s="13">
        <f>IFERROR(VLOOKUP($F11,'Visu totale'!$D$3:$DH$129,BJ$1,0),0)</f>
        <v>0</v>
      </c>
      <c r="BK11" s="13">
        <f>IFERROR(VLOOKUP($F11,'Visu totale'!$D$3:$DH$129,BK$1,0),0)</f>
        <v>0</v>
      </c>
      <c r="BL11" s="13">
        <f>IFERROR(VLOOKUP($F11,'Visu totale'!$D$3:$DH$129,BL$1,0),0)</f>
        <v>0</v>
      </c>
      <c r="BM11" s="13">
        <f>IFERROR(VLOOKUP($F11,'Visu totale'!$D$3:$DH$129,BM$1,0),0)</f>
        <v>0</v>
      </c>
      <c r="BN11" s="15">
        <f>IFERROR(VLOOKUP($F11,'Visu totale'!$D$3:$DH$129,BN$1,0),0)</f>
        <v>0</v>
      </c>
      <c r="BO11" s="14">
        <f>IFERROR(VLOOKUP($F11,'Visu totale'!$D$3:$DH$129,BO$1,0),0)</f>
        <v>0</v>
      </c>
      <c r="BP11" s="13">
        <f>IFERROR(VLOOKUP($F11,'Visu totale'!$D$3:$DH$129,BP$1,0),0)</f>
        <v>0</v>
      </c>
      <c r="BQ11" s="13">
        <f>IFERROR(VLOOKUP($F11,'Visu totale'!$D$3:$DH$129,BQ$1,0),0)</f>
        <v>0</v>
      </c>
      <c r="BR11" s="13">
        <f>IFERROR(VLOOKUP($F11,'Visu totale'!$D$3:$DH$129,BR$1,0),0)</f>
        <v>0</v>
      </c>
      <c r="BS11" s="13">
        <f>IFERROR(VLOOKUP($F11,'Visu totale'!$D$3:$DH$129,BS$1,0),0)</f>
        <v>0</v>
      </c>
      <c r="BT11" s="13">
        <f>IFERROR(VLOOKUP($F11,'Visu totale'!$D$3:$DH$129,BT$1,0),0)</f>
        <v>0</v>
      </c>
      <c r="BU11" s="13">
        <f>IFERROR(VLOOKUP($F11,'Visu totale'!$D$3:$DH$129,BU$1,0),0)</f>
        <v>0</v>
      </c>
      <c r="BV11" s="13">
        <f>IFERROR(VLOOKUP($F11,'Visu totale'!$D$3:$DH$129,BV$1,0),0)</f>
        <v>0</v>
      </c>
      <c r="BW11" s="13">
        <f>IFERROR(VLOOKUP($F11,'Visu totale'!$D$3:$DH$129,BW$1,0),0)</f>
        <v>0</v>
      </c>
      <c r="BX11" s="13">
        <f>IFERROR(VLOOKUP($F11,'Visu totale'!$D$3:$DH$129,BX$1,0),0)</f>
        <v>0</v>
      </c>
      <c r="BY11" s="13">
        <f>IFERROR(VLOOKUP($F11,'Visu totale'!$D$3:$DH$129,BY$1,0),0)</f>
        <v>0</v>
      </c>
      <c r="BZ11" s="15">
        <f>IFERROR(VLOOKUP($F11,'Visu totale'!$D$3:$DH$129,BZ$1,0),0)</f>
        <v>0</v>
      </c>
      <c r="CA11" s="14">
        <f>IFERROR(VLOOKUP($F11,'Visu totale'!$D$3:$DH$129,CA$1,0),0)</f>
        <v>0</v>
      </c>
      <c r="CB11" s="13">
        <f>IFERROR(VLOOKUP($F11,'Visu totale'!$D$3:$DH$129,CB$1,0),0)</f>
        <v>0</v>
      </c>
      <c r="CC11" s="13">
        <f>IFERROR(VLOOKUP($F11,'Visu totale'!$D$3:$DH$129,CC$1,0),0)</f>
        <v>0</v>
      </c>
      <c r="CD11" s="13">
        <f>IFERROR(VLOOKUP($F11,'Visu totale'!$D$3:$DH$129,CD$1,0),0)</f>
        <v>0</v>
      </c>
      <c r="CE11" s="13">
        <f>IFERROR(VLOOKUP($F11,'Visu totale'!$D$3:$DH$129,CE$1,0),0)</f>
        <v>0</v>
      </c>
      <c r="CF11" s="13">
        <f>IFERROR(VLOOKUP($F11,'Visu totale'!$D$3:$DH$129,CF$1,0),0)</f>
        <v>0</v>
      </c>
      <c r="CG11" s="13">
        <f>IFERROR(VLOOKUP($F11,'Visu totale'!$D$3:$DH$129,CG$1,0),0)</f>
        <v>0</v>
      </c>
      <c r="CH11" s="13">
        <f>IFERROR(VLOOKUP($F11,'Visu totale'!$D$3:$DH$129,CH$1,0),0)</f>
        <v>0</v>
      </c>
      <c r="CI11" s="13">
        <f>IFERROR(VLOOKUP($F11,'Visu totale'!$D$3:$DH$129,CI$1,0),0)</f>
        <v>0</v>
      </c>
      <c r="CJ11" s="13">
        <f>IFERROR(VLOOKUP($F11,'Visu totale'!$D$3:$DH$129,CJ$1,0),0)</f>
        <v>0</v>
      </c>
      <c r="CK11" s="13">
        <f>IFERROR(VLOOKUP($F11,'Visu totale'!$D$3:$DH$129,CK$1,0),0)</f>
        <v>0</v>
      </c>
      <c r="CL11" s="15">
        <f>IFERROR(VLOOKUP($F11,'Visu totale'!$D$3:$DH$129,CL$1,0),0)</f>
        <v>0</v>
      </c>
      <c r="CM11" s="14">
        <f>IFERROR(VLOOKUP($F11,'Visu totale'!$D$3:$DH$129,CM$1,0),0)</f>
        <v>0</v>
      </c>
      <c r="CN11" s="13">
        <f>IFERROR(VLOOKUP($F11,'Visu totale'!$D$3:$DH$129,CN$1,0),0)</f>
        <v>0</v>
      </c>
      <c r="CO11" s="13">
        <f>IFERROR(VLOOKUP($F11,'Visu totale'!$D$3:$DH$129,CO$1,0),0)</f>
        <v>0</v>
      </c>
      <c r="CP11" s="13">
        <f>IFERROR(VLOOKUP($F11,'Visu totale'!$D$3:$DH$129,CP$1,0),0)</f>
        <v>0</v>
      </c>
      <c r="CQ11" s="13">
        <f>IFERROR(VLOOKUP($F11,'Visu totale'!$D$3:$DH$129,CQ$1,0),0)</f>
        <v>0</v>
      </c>
      <c r="CR11" s="13">
        <f>IFERROR(VLOOKUP($F11,'Visu totale'!$D$3:$DH$129,CR$1,0),0)</f>
        <v>0</v>
      </c>
      <c r="CS11" s="13">
        <f>IFERROR(VLOOKUP($F11,'Visu totale'!$D$3:$DH$129,CS$1,0),0)</f>
        <v>0</v>
      </c>
      <c r="CT11" s="13">
        <f>IFERROR(VLOOKUP($F11,'Visu totale'!$D$3:$DH$129,CT$1,0),0)</f>
        <v>0</v>
      </c>
      <c r="CU11" s="13">
        <f>IFERROR(VLOOKUP($F11,'Visu totale'!$D$3:$DH$129,CU$1,0),0)</f>
        <v>0</v>
      </c>
      <c r="CV11" s="13">
        <f>IFERROR(VLOOKUP($F11,'Visu totale'!$D$3:$DH$129,CV$1,0),0)</f>
        <v>0</v>
      </c>
      <c r="CW11" s="13">
        <f>IFERROR(VLOOKUP($F11,'Visu totale'!$D$3:$DH$129,CW$1,0),0)</f>
        <v>0</v>
      </c>
      <c r="CX11" s="15">
        <f>IFERROR(VLOOKUP($F11,'Visu totale'!$D$3:$DH$129,CX$1,0),0)</f>
        <v>0</v>
      </c>
      <c r="CY11" s="14">
        <f>IFERROR(VLOOKUP($F11,'Visu totale'!$D$3:$DH$129,CY$1,0),0)</f>
        <v>0</v>
      </c>
      <c r="CZ11" s="13">
        <f>IFERROR(VLOOKUP($F11,'Visu totale'!$D$3:$DH$129,CZ$1,0),0)</f>
        <v>0</v>
      </c>
      <c r="DA11" s="13">
        <f>IFERROR(VLOOKUP($F11,'Visu totale'!$D$3:$DH$129,DA$1,0),0)</f>
        <v>0</v>
      </c>
      <c r="DB11" s="13">
        <f>IFERROR(VLOOKUP($F11,'Visu totale'!$D$3:$DH$129,DB$1,0),0)</f>
        <v>0</v>
      </c>
      <c r="DC11" s="13">
        <f>IFERROR(VLOOKUP($F11,'Visu totale'!$D$3:$DH$129,DC$1,0),0)</f>
        <v>0</v>
      </c>
      <c r="DD11" s="13">
        <f>IFERROR(VLOOKUP($F11,'Visu totale'!$D$3:$DH$129,DD$1,0),0)</f>
        <v>0</v>
      </c>
      <c r="DE11" s="13">
        <f>IFERROR(VLOOKUP($F11,'Visu totale'!$D$3:$DH$129,DE$1,0),0)</f>
        <v>0</v>
      </c>
      <c r="DF11" s="13">
        <f>IFERROR(VLOOKUP($F11,'Visu totale'!$D$3:$DH$129,DF$1,0),0)</f>
        <v>0</v>
      </c>
      <c r="DG11" s="13">
        <f>IFERROR(VLOOKUP($F11,'Visu totale'!$D$3:$DH$129,DG$1,0),0)</f>
        <v>0</v>
      </c>
      <c r="DH11" s="13">
        <f>IFERROR(VLOOKUP($F11,'Visu totale'!$D$3:$DH$129,DH$1,0),0)</f>
        <v>0</v>
      </c>
      <c r="DI11" s="13">
        <f>IFERROR(VLOOKUP($F11,'Visu totale'!$D$3:$DH$129,DI$1,0),0)</f>
        <v>0</v>
      </c>
      <c r="DJ11" s="15">
        <f>IFERROR(VLOOKUP($F11,'Visu totale'!$D$3:$DH$129,DJ$1,0),0)</f>
        <v>0</v>
      </c>
    </row>
    <row r="12" spans="1:114" s="12" customFormat="1" x14ac:dyDescent="0.25">
      <c r="A12" s="13"/>
      <c r="B12" s="13"/>
      <c r="C12" s="13"/>
      <c r="D12" s="13"/>
      <c r="E12" s="13"/>
      <c r="F12" s="17" t="s">
        <v>96</v>
      </c>
      <c r="G12" s="14">
        <f>IFERROR(VLOOKUP($F12,'Visu totale'!$D$3:$DH$129,G$1,0),0)</f>
        <v>0</v>
      </c>
      <c r="H12" s="13">
        <f>IFERROR(VLOOKUP($F12,'Visu totale'!$D$3:$DH$129,H$1,0),0)</f>
        <v>0</v>
      </c>
      <c r="I12" s="13">
        <f>IFERROR(VLOOKUP($F12,'Visu totale'!$D$3:$DH$129,I$1,0),0)</f>
        <v>0</v>
      </c>
      <c r="J12" s="13">
        <f>IFERROR(VLOOKUP($F12,'Visu totale'!$D$3:$DH$129,J$1,0),0)</f>
        <v>0</v>
      </c>
      <c r="K12" s="13">
        <f>IFERROR(VLOOKUP($F12,'Visu totale'!$D$3:$DH$129,K$1,0),0)</f>
        <v>0</v>
      </c>
      <c r="L12" s="13">
        <f>IFERROR(VLOOKUP($F12,'Visu totale'!$D$3:$DH$129,L$1,0),0)</f>
        <v>0</v>
      </c>
      <c r="M12" s="13">
        <f>IFERROR(VLOOKUP($F12,'Visu totale'!$D$3:$DH$129,M$1,0),0)</f>
        <v>0</v>
      </c>
      <c r="N12" s="13">
        <f>IFERROR(VLOOKUP($F12,'Visu totale'!$D$3:$DH$129,N$1,0),0)</f>
        <v>0</v>
      </c>
      <c r="O12" s="13">
        <f>IFERROR(VLOOKUP($F12,'Visu totale'!$D$3:$DH$129,O$1,0),0)</f>
        <v>0</v>
      </c>
      <c r="P12" s="13">
        <f>IFERROR(VLOOKUP($F12,'Visu totale'!$D$3:$DH$129,P$1,0),0)</f>
        <v>0</v>
      </c>
      <c r="Q12" s="13">
        <f>IFERROR(VLOOKUP($F12,'Visu totale'!$D$3:$DH$129,Q$1,0),0)</f>
        <v>0</v>
      </c>
      <c r="R12" s="15">
        <f>IFERROR(VLOOKUP($F12,'Visu totale'!$D$3:$DH$129,R$1,0),0)</f>
        <v>0</v>
      </c>
      <c r="S12" s="14">
        <f>IFERROR(VLOOKUP($F12,'Visu totale'!$D$3:$DH$129,S$1,0),0)</f>
        <v>0</v>
      </c>
      <c r="T12" s="13">
        <f>IFERROR(VLOOKUP($F12,'Visu totale'!$D$3:$DH$129,T$1,0),0)</f>
        <v>0</v>
      </c>
      <c r="U12" s="13">
        <f>IFERROR(VLOOKUP($F12,'Visu totale'!$D$3:$DH$129,U$1,0),0)</f>
        <v>0</v>
      </c>
      <c r="V12" s="13">
        <f>IFERROR(VLOOKUP($F12,'Visu totale'!$D$3:$DH$129,V$1,0),0)</f>
        <v>0</v>
      </c>
      <c r="W12" s="13">
        <f>IFERROR(VLOOKUP($F12,'Visu totale'!$D$3:$DH$129,W$1,0),0)</f>
        <v>0</v>
      </c>
      <c r="X12" s="13">
        <f>IFERROR(VLOOKUP($F12,'Visu totale'!$D$3:$DH$129,X$1,0),0)</f>
        <v>0</v>
      </c>
      <c r="Y12" s="13">
        <f>IFERROR(VLOOKUP($F12,'Visu totale'!$D$3:$DH$129,Y$1,0),0)</f>
        <v>0</v>
      </c>
      <c r="Z12" s="13">
        <f>IFERROR(VLOOKUP($F12,'Visu totale'!$D$3:$DH$129,Z$1,0),0)</f>
        <v>0</v>
      </c>
      <c r="AA12" s="13">
        <f>IFERROR(VLOOKUP($F12,'Visu totale'!$D$3:$DH$129,AA$1,0),0)</f>
        <v>0</v>
      </c>
      <c r="AB12" s="13">
        <f>IFERROR(VLOOKUP($F12,'Visu totale'!$D$3:$DH$129,AB$1,0),0)</f>
        <v>0</v>
      </c>
      <c r="AC12" s="13">
        <f>IFERROR(VLOOKUP($F12,'Visu totale'!$D$3:$DH$129,AC$1,0),0)</f>
        <v>0</v>
      </c>
      <c r="AD12" s="15">
        <f>IFERROR(VLOOKUP($F12,'Visu totale'!$D$3:$DH$129,AD$1,0),0)</f>
        <v>0</v>
      </c>
      <c r="AE12" s="14">
        <f>IFERROR(VLOOKUP($F12,'Visu totale'!$D$3:$DH$129,AE$1,0),0)</f>
        <v>0</v>
      </c>
      <c r="AF12" s="13">
        <f>IFERROR(VLOOKUP($F12,'Visu totale'!$D$3:$DH$129,AF$1,0),0)</f>
        <v>0</v>
      </c>
      <c r="AG12" s="13">
        <f>IFERROR(VLOOKUP($F12,'Visu totale'!$D$3:$DH$129,AG$1,0),0)</f>
        <v>0</v>
      </c>
      <c r="AH12" s="13">
        <f>IFERROR(VLOOKUP($F12,'Visu totale'!$D$3:$DH$129,AH$1,0),0)</f>
        <v>0</v>
      </c>
      <c r="AI12" s="13">
        <f>IFERROR(VLOOKUP($F12,'Visu totale'!$D$3:$DH$129,AI$1,0),0)</f>
        <v>0</v>
      </c>
      <c r="AJ12" s="13">
        <f>IFERROR(VLOOKUP($F12,'Visu totale'!$D$3:$DH$129,AJ$1,0),0)</f>
        <v>0</v>
      </c>
      <c r="AK12" s="13">
        <f>IFERROR(VLOOKUP($F12,'Visu totale'!$D$3:$DH$129,AK$1,0),0)</f>
        <v>0</v>
      </c>
      <c r="AL12" s="13">
        <f>IFERROR(VLOOKUP($F12,'Visu totale'!$D$3:$DH$129,AL$1,0),0)</f>
        <v>0</v>
      </c>
      <c r="AM12" s="13">
        <f>IFERROR(VLOOKUP($F12,'Visu totale'!$D$3:$DH$129,AM$1,0),0)</f>
        <v>0</v>
      </c>
      <c r="AN12" s="13">
        <f>IFERROR(VLOOKUP($F12,'Visu totale'!$D$3:$DH$129,AN$1,0),0)</f>
        <v>0</v>
      </c>
      <c r="AO12" s="13">
        <f>IFERROR(VLOOKUP($F12,'Visu totale'!$D$3:$DH$129,AO$1,0),0)</f>
        <v>0</v>
      </c>
      <c r="AP12" s="15">
        <f>IFERROR(VLOOKUP($F12,'Visu totale'!$D$3:$DH$129,AP$1,0),0)</f>
        <v>0</v>
      </c>
      <c r="AQ12" s="14">
        <f>IFERROR(VLOOKUP($F12,'Visu totale'!$D$3:$DH$129,AQ$1,0),0)</f>
        <v>0</v>
      </c>
      <c r="AR12" s="13">
        <f>IFERROR(VLOOKUP($F12,'Visu totale'!$D$3:$DH$129,AR$1,0),0)</f>
        <v>0</v>
      </c>
      <c r="AS12" s="13">
        <f>IFERROR(VLOOKUP($F12,'Visu totale'!$D$3:$DH$129,AS$1,0),0)</f>
        <v>0</v>
      </c>
      <c r="AT12" s="13">
        <f>IFERROR(VLOOKUP($F12,'Visu totale'!$D$3:$DH$129,AT$1,0),0)</f>
        <v>0</v>
      </c>
      <c r="AU12" s="13">
        <f>IFERROR(VLOOKUP($F12,'Visu totale'!$D$3:$DH$129,AU$1,0),0)</f>
        <v>0</v>
      </c>
      <c r="AV12" s="13">
        <f>IFERROR(VLOOKUP($F12,'Visu totale'!$D$3:$DH$129,AV$1,0),0)</f>
        <v>0</v>
      </c>
      <c r="AW12" s="13">
        <f>IFERROR(VLOOKUP($F12,'Visu totale'!$D$3:$DH$129,AW$1,0),0)</f>
        <v>0</v>
      </c>
      <c r="AX12" s="13">
        <f>IFERROR(VLOOKUP($F12,'Visu totale'!$D$3:$DH$129,AX$1,0),0)</f>
        <v>0</v>
      </c>
      <c r="AY12" s="13">
        <f>IFERROR(VLOOKUP($F12,'Visu totale'!$D$3:$DH$129,AY$1,0),0)</f>
        <v>0</v>
      </c>
      <c r="AZ12" s="13">
        <f>IFERROR(VLOOKUP($F12,'Visu totale'!$D$3:$DH$129,AZ$1,0),0)</f>
        <v>0</v>
      </c>
      <c r="BA12" s="13">
        <f>IFERROR(VLOOKUP($F12,'Visu totale'!$D$3:$DH$129,BA$1,0),0)</f>
        <v>0</v>
      </c>
      <c r="BB12" s="15">
        <f>IFERROR(VLOOKUP($F12,'Visu totale'!$D$3:$DH$129,BB$1,0),0)</f>
        <v>0</v>
      </c>
      <c r="BC12" s="14">
        <f>IFERROR(VLOOKUP($F12,'Visu totale'!$D$3:$DH$129,BC$1,0),0)</f>
        <v>0</v>
      </c>
      <c r="BD12" s="13">
        <f>IFERROR(VLOOKUP($F12,'Visu totale'!$D$3:$DH$129,BD$1,0),0)</f>
        <v>0</v>
      </c>
      <c r="BE12" s="13">
        <f>IFERROR(VLOOKUP($F12,'Visu totale'!$D$3:$DH$129,BE$1,0),0)</f>
        <v>0</v>
      </c>
      <c r="BF12" s="13">
        <f>IFERROR(VLOOKUP($F12,'Visu totale'!$D$3:$DH$129,BF$1,0),0)</f>
        <v>0</v>
      </c>
      <c r="BG12" s="13">
        <f>IFERROR(VLOOKUP($F12,'Visu totale'!$D$3:$DH$129,BG$1,0),0)</f>
        <v>0</v>
      </c>
      <c r="BH12" s="13">
        <f>IFERROR(VLOOKUP($F12,'Visu totale'!$D$3:$DH$129,BH$1,0),0)</f>
        <v>0</v>
      </c>
      <c r="BI12" s="13">
        <f>IFERROR(VLOOKUP($F12,'Visu totale'!$D$3:$DH$129,BI$1,0),0)</f>
        <v>0</v>
      </c>
      <c r="BJ12" s="13">
        <f>IFERROR(VLOOKUP($F12,'Visu totale'!$D$3:$DH$129,BJ$1,0),0)</f>
        <v>0</v>
      </c>
      <c r="BK12" s="13">
        <f>IFERROR(VLOOKUP($F12,'Visu totale'!$D$3:$DH$129,BK$1,0),0)</f>
        <v>0</v>
      </c>
      <c r="BL12" s="13">
        <f>IFERROR(VLOOKUP($F12,'Visu totale'!$D$3:$DH$129,BL$1,0),0)</f>
        <v>0</v>
      </c>
      <c r="BM12" s="13">
        <f>IFERROR(VLOOKUP($F12,'Visu totale'!$D$3:$DH$129,BM$1,0),0)</f>
        <v>0</v>
      </c>
      <c r="BN12" s="15">
        <f>IFERROR(VLOOKUP($F12,'Visu totale'!$D$3:$DH$129,BN$1,0),0)</f>
        <v>0</v>
      </c>
      <c r="BO12" s="14">
        <f>IFERROR(VLOOKUP($F12,'Visu totale'!$D$3:$DH$129,BO$1,0),0)</f>
        <v>0</v>
      </c>
      <c r="BP12" s="13">
        <f>IFERROR(VLOOKUP($F12,'Visu totale'!$D$3:$DH$129,BP$1,0),0)</f>
        <v>0</v>
      </c>
      <c r="BQ12" s="13">
        <f>IFERROR(VLOOKUP($F12,'Visu totale'!$D$3:$DH$129,BQ$1,0),0)</f>
        <v>0</v>
      </c>
      <c r="BR12" s="13">
        <f>IFERROR(VLOOKUP($F12,'Visu totale'!$D$3:$DH$129,BR$1,0),0)</f>
        <v>0</v>
      </c>
      <c r="BS12" s="13">
        <f>IFERROR(VLOOKUP($F12,'Visu totale'!$D$3:$DH$129,BS$1,0),0)</f>
        <v>0</v>
      </c>
      <c r="BT12" s="13">
        <f>IFERROR(VLOOKUP($F12,'Visu totale'!$D$3:$DH$129,BT$1,0),0)</f>
        <v>0</v>
      </c>
      <c r="BU12" s="13">
        <f>IFERROR(VLOOKUP($F12,'Visu totale'!$D$3:$DH$129,BU$1,0),0)</f>
        <v>0</v>
      </c>
      <c r="BV12" s="13">
        <f>IFERROR(VLOOKUP($F12,'Visu totale'!$D$3:$DH$129,BV$1,0),0)</f>
        <v>0</v>
      </c>
      <c r="BW12" s="13">
        <f>IFERROR(VLOOKUP($F12,'Visu totale'!$D$3:$DH$129,BW$1,0),0)</f>
        <v>0</v>
      </c>
      <c r="BX12" s="13">
        <f>IFERROR(VLOOKUP($F12,'Visu totale'!$D$3:$DH$129,BX$1,0),0)</f>
        <v>0</v>
      </c>
      <c r="BY12" s="13">
        <f>IFERROR(VLOOKUP($F12,'Visu totale'!$D$3:$DH$129,BY$1,0),0)</f>
        <v>0</v>
      </c>
      <c r="BZ12" s="15">
        <f>IFERROR(VLOOKUP($F12,'Visu totale'!$D$3:$DH$129,BZ$1,0),0)</f>
        <v>0</v>
      </c>
      <c r="CA12" s="14">
        <f>IFERROR(VLOOKUP($F12,'Visu totale'!$D$3:$DH$129,CA$1,0),0)</f>
        <v>0</v>
      </c>
      <c r="CB12" s="13">
        <f>IFERROR(VLOOKUP($F12,'Visu totale'!$D$3:$DH$129,CB$1,0),0)</f>
        <v>0</v>
      </c>
      <c r="CC12" s="13">
        <f>IFERROR(VLOOKUP($F12,'Visu totale'!$D$3:$DH$129,CC$1,0),0)</f>
        <v>0</v>
      </c>
      <c r="CD12" s="13">
        <f>IFERROR(VLOOKUP($F12,'Visu totale'!$D$3:$DH$129,CD$1,0),0)</f>
        <v>0</v>
      </c>
      <c r="CE12" s="13">
        <f>IFERROR(VLOOKUP($F12,'Visu totale'!$D$3:$DH$129,CE$1,0),0)</f>
        <v>0</v>
      </c>
      <c r="CF12" s="13">
        <f>IFERROR(VLOOKUP($F12,'Visu totale'!$D$3:$DH$129,CF$1,0),0)</f>
        <v>0</v>
      </c>
      <c r="CG12" s="13">
        <f>IFERROR(VLOOKUP($F12,'Visu totale'!$D$3:$DH$129,CG$1,0),0)</f>
        <v>0</v>
      </c>
      <c r="CH12" s="13">
        <f>IFERROR(VLOOKUP($F12,'Visu totale'!$D$3:$DH$129,CH$1,0),0)</f>
        <v>0</v>
      </c>
      <c r="CI12" s="13">
        <f>IFERROR(VLOOKUP($F12,'Visu totale'!$D$3:$DH$129,CI$1,0),0)</f>
        <v>0</v>
      </c>
      <c r="CJ12" s="13">
        <f>IFERROR(VLOOKUP($F12,'Visu totale'!$D$3:$DH$129,CJ$1,0),0)</f>
        <v>0</v>
      </c>
      <c r="CK12" s="13">
        <f>IFERROR(VLOOKUP($F12,'Visu totale'!$D$3:$DH$129,CK$1,0),0)</f>
        <v>0</v>
      </c>
      <c r="CL12" s="15">
        <f>IFERROR(VLOOKUP($F12,'Visu totale'!$D$3:$DH$129,CL$1,0),0)</f>
        <v>0</v>
      </c>
      <c r="CM12" s="14">
        <f>IFERROR(VLOOKUP($F12,'Visu totale'!$D$3:$DH$129,CM$1,0),0)</f>
        <v>0</v>
      </c>
      <c r="CN12" s="13">
        <f>IFERROR(VLOOKUP($F12,'Visu totale'!$D$3:$DH$129,CN$1,0),0)</f>
        <v>0</v>
      </c>
      <c r="CO12" s="13">
        <f>IFERROR(VLOOKUP($F12,'Visu totale'!$D$3:$DH$129,CO$1,0),0)</f>
        <v>0</v>
      </c>
      <c r="CP12" s="13">
        <f>IFERROR(VLOOKUP($F12,'Visu totale'!$D$3:$DH$129,CP$1,0),0)</f>
        <v>0</v>
      </c>
      <c r="CQ12" s="13">
        <f>IFERROR(VLOOKUP($F12,'Visu totale'!$D$3:$DH$129,CQ$1,0),0)</f>
        <v>0</v>
      </c>
      <c r="CR12" s="13">
        <f>IFERROR(VLOOKUP($F12,'Visu totale'!$D$3:$DH$129,CR$1,0),0)</f>
        <v>0</v>
      </c>
      <c r="CS12" s="13">
        <f>IFERROR(VLOOKUP($F12,'Visu totale'!$D$3:$DH$129,CS$1,0),0)</f>
        <v>0</v>
      </c>
      <c r="CT12" s="13">
        <f>IFERROR(VLOOKUP($F12,'Visu totale'!$D$3:$DH$129,CT$1,0),0)</f>
        <v>0</v>
      </c>
      <c r="CU12" s="13">
        <f>IFERROR(VLOOKUP($F12,'Visu totale'!$D$3:$DH$129,CU$1,0),0)</f>
        <v>0</v>
      </c>
      <c r="CV12" s="13">
        <f>IFERROR(VLOOKUP($F12,'Visu totale'!$D$3:$DH$129,CV$1,0),0)</f>
        <v>0</v>
      </c>
      <c r="CW12" s="13">
        <f>IFERROR(VLOOKUP($F12,'Visu totale'!$D$3:$DH$129,CW$1,0),0)</f>
        <v>0</v>
      </c>
      <c r="CX12" s="15">
        <f>IFERROR(VLOOKUP($F12,'Visu totale'!$D$3:$DH$129,CX$1,0),0)</f>
        <v>0</v>
      </c>
      <c r="CY12" s="14">
        <f>IFERROR(VLOOKUP($F12,'Visu totale'!$D$3:$DH$129,CY$1,0),0)</f>
        <v>0</v>
      </c>
      <c r="CZ12" s="13">
        <f>IFERROR(VLOOKUP($F12,'Visu totale'!$D$3:$DH$129,CZ$1,0),0)</f>
        <v>0</v>
      </c>
      <c r="DA12" s="13">
        <f>IFERROR(VLOOKUP($F12,'Visu totale'!$D$3:$DH$129,DA$1,0),0)</f>
        <v>0</v>
      </c>
      <c r="DB12" s="13">
        <f>IFERROR(VLOOKUP($F12,'Visu totale'!$D$3:$DH$129,DB$1,0),0)</f>
        <v>0</v>
      </c>
      <c r="DC12" s="13">
        <f>IFERROR(VLOOKUP($F12,'Visu totale'!$D$3:$DH$129,DC$1,0),0)</f>
        <v>0</v>
      </c>
      <c r="DD12" s="13">
        <f>IFERROR(VLOOKUP($F12,'Visu totale'!$D$3:$DH$129,DD$1,0),0)</f>
        <v>0</v>
      </c>
      <c r="DE12" s="13">
        <f>IFERROR(VLOOKUP($F12,'Visu totale'!$D$3:$DH$129,DE$1,0),0)</f>
        <v>0</v>
      </c>
      <c r="DF12" s="13">
        <f>IFERROR(VLOOKUP($F12,'Visu totale'!$D$3:$DH$129,DF$1,0),0)</f>
        <v>0</v>
      </c>
      <c r="DG12" s="13">
        <f>IFERROR(VLOOKUP($F12,'Visu totale'!$D$3:$DH$129,DG$1,0),0)</f>
        <v>0</v>
      </c>
      <c r="DH12" s="13">
        <f>IFERROR(VLOOKUP($F12,'Visu totale'!$D$3:$DH$129,DH$1,0),0)</f>
        <v>0</v>
      </c>
      <c r="DI12" s="13">
        <f>IFERROR(VLOOKUP($F12,'Visu totale'!$D$3:$DH$129,DI$1,0),0)</f>
        <v>0</v>
      </c>
      <c r="DJ12" s="15">
        <f>IFERROR(VLOOKUP($F12,'Visu totale'!$D$3:$DH$129,DJ$1,0),0)</f>
        <v>0</v>
      </c>
    </row>
    <row r="13" spans="1:114" s="12" customFormat="1" x14ac:dyDescent="0.25">
      <c r="A13" s="13"/>
      <c r="B13" s="13"/>
      <c r="C13" s="13"/>
      <c r="D13" s="13"/>
      <c r="E13" s="13"/>
      <c r="F13" s="17" t="s">
        <v>97</v>
      </c>
      <c r="G13" s="14">
        <f>IFERROR(VLOOKUP($F13,'Visu totale'!$D$3:$DH$129,G$1,0),0)</f>
        <v>0</v>
      </c>
      <c r="H13" s="13">
        <f>IFERROR(VLOOKUP($F13,'Visu totale'!$D$3:$DH$129,H$1,0),0)</f>
        <v>0</v>
      </c>
      <c r="I13" s="13">
        <f>IFERROR(VLOOKUP($F13,'Visu totale'!$D$3:$DH$129,I$1,0),0)</f>
        <v>0</v>
      </c>
      <c r="J13" s="13">
        <f>IFERROR(VLOOKUP($F13,'Visu totale'!$D$3:$DH$129,J$1,0),0)</f>
        <v>0</v>
      </c>
      <c r="K13" s="13">
        <f>IFERROR(VLOOKUP($F13,'Visu totale'!$D$3:$DH$129,K$1,0),0)</f>
        <v>0</v>
      </c>
      <c r="L13" s="13">
        <f>IFERROR(VLOOKUP($F13,'Visu totale'!$D$3:$DH$129,L$1,0),0)</f>
        <v>0</v>
      </c>
      <c r="M13" s="13">
        <f>IFERROR(VLOOKUP($F13,'Visu totale'!$D$3:$DH$129,M$1,0),0)</f>
        <v>0</v>
      </c>
      <c r="N13" s="13">
        <f>IFERROR(VLOOKUP($F13,'Visu totale'!$D$3:$DH$129,N$1,0),0)</f>
        <v>0</v>
      </c>
      <c r="O13" s="13">
        <f>IFERROR(VLOOKUP($F13,'Visu totale'!$D$3:$DH$129,O$1,0),0)</f>
        <v>0</v>
      </c>
      <c r="P13" s="13">
        <f>IFERROR(VLOOKUP($F13,'Visu totale'!$D$3:$DH$129,P$1,0),0)</f>
        <v>0</v>
      </c>
      <c r="Q13" s="13">
        <f>IFERROR(VLOOKUP($F13,'Visu totale'!$D$3:$DH$129,Q$1,0),0)</f>
        <v>0</v>
      </c>
      <c r="R13" s="15">
        <f>IFERROR(VLOOKUP($F13,'Visu totale'!$D$3:$DH$129,R$1,0),0)</f>
        <v>0</v>
      </c>
      <c r="S13" s="14">
        <f>IFERROR(VLOOKUP($F13,'Visu totale'!$D$3:$DH$129,S$1,0),0)</f>
        <v>0</v>
      </c>
      <c r="T13" s="13">
        <f>IFERROR(VLOOKUP($F13,'Visu totale'!$D$3:$DH$129,T$1,0),0)</f>
        <v>0</v>
      </c>
      <c r="U13" s="13">
        <f>IFERROR(VLOOKUP($F13,'Visu totale'!$D$3:$DH$129,U$1,0),0)</f>
        <v>0</v>
      </c>
      <c r="V13" s="13">
        <f>IFERROR(VLOOKUP($F13,'Visu totale'!$D$3:$DH$129,V$1,0),0)</f>
        <v>0</v>
      </c>
      <c r="W13" s="13">
        <f>IFERROR(VLOOKUP($F13,'Visu totale'!$D$3:$DH$129,W$1,0),0)</f>
        <v>0</v>
      </c>
      <c r="X13" s="13">
        <f>IFERROR(VLOOKUP($F13,'Visu totale'!$D$3:$DH$129,X$1,0),0)</f>
        <v>0</v>
      </c>
      <c r="Y13" s="13">
        <f>IFERROR(VLOOKUP($F13,'Visu totale'!$D$3:$DH$129,Y$1,0),0)</f>
        <v>0</v>
      </c>
      <c r="Z13" s="13">
        <f>IFERROR(VLOOKUP($F13,'Visu totale'!$D$3:$DH$129,Z$1,0),0)</f>
        <v>0</v>
      </c>
      <c r="AA13" s="13">
        <f>IFERROR(VLOOKUP($F13,'Visu totale'!$D$3:$DH$129,AA$1,0),0)</f>
        <v>0</v>
      </c>
      <c r="AB13" s="13">
        <f>IFERROR(VLOOKUP($F13,'Visu totale'!$D$3:$DH$129,AB$1,0),0)</f>
        <v>0</v>
      </c>
      <c r="AC13" s="13">
        <f>IFERROR(VLOOKUP($F13,'Visu totale'!$D$3:$DH$129,AC$1,0),0)</f>
        <v>0</v>
      </c>
      <c r="AD13" s="15">
        <f>IFERROR(VLOOKUP($F13,'Visu totale'!$D$3:$DH$129,AD$1,0),0)</f>
        <v>0</v>
      </c>
      <c r="AE13" s="14">
        <f>IFERROR(VLOOKUP($F13,'Visu totale'!$D$3:$DH$129,AE$1,0),0)</f>
        <v>0</v>
      </c>
      <c r="AF13" s="13">
        <f>IFERROR(VLOOKUP($F13,'Visu totale'!$D$3:$DH$129,AF$1,0),0)</f>
        <v>0</v>
      </c>
      <c r="AG13" s="13">
        <f>IFERROR(VLOOKUP($F13,'Visu totale'!$D$3:$DH$129,AG$1,0),0)</f>
        <v>0</v>
      </c>
      <c r="AH13" s="13">
        <f>IFERROR(VLOOKUP($F13,'Visu totale'!$D$3:$DH$129,AH$1,0),0)</f>
        <v>0</v>
      </c>
      <c r="AI13" s="13">
        <f>IFERROR(VLOOKUP($F13,'Visu totale'!$D$3:$DH$129,AI$1,0),0)</f>
        <v>0</v>
      </c>
      <c r="AJ13" s="13">
        <f>IFERROR(VLOOKUP($F13,'Visu totale'!$D$3:$DH$129,AJ$1,0),0)</f>
        <v>0</v>
      </c>
      <c r="AK13" s="13">
        <f>IFERROR(VLOOKUP($F13,'Visu totale'!$D$3:$DH$129,AK$1,0),0)</f>
        <v>0</v>
      </c>
      <c r="AL13" s="13">
        <f>IFERROR(VLOOKUP($F13,'Visu totale'!$D$3:$DH$129,AL$1,0),0)</f>
        <v>0</v>
      </c>
      <c r="AM13" s="13">
        <f>IFERROR(VLOOKUP($F13,'Visu totale'!$D$3:$DH$129,AM$1,0),0)</f>
        <v>0</v>
      </c>
      <c r="AN13" s="13">
        <f>IFERROR(VLOOKUP($F13,'Visu totale'!$D$3:$DH$129,AN$1,0),0)</f>
        <v>0</v>
      </c>
      <c r="AO13" s="13">
        <f>IFERROR(VLOOKUP($F13,'Visu totale'!$D$3:$DH$129,AO$1,0),0)</f>
        <v>0</v>
      </c>
      <c r="AP13" s="15">
        <f>IFERROR(VLOOKUP($F13,'Visu totale'!$D$3:$DH$129,AP$1,0),0)</f>
        <v>0</v>
      </c>
      <c r="AQ13" s="14">
        <f>IFERROR(VLOOKUP($F13,'Visu totale'!$D$3:$DH$129,AQ$1,0),0)</f>
        <v>0</v>
      </c>
      <c r="AR13" s="13">
        <f>IFERROR(VLOOKUP($F13,'Visu totale'!$D$3:$DH$129,AR$1,0),0)</f>
        <v>0</v>
      </c>
      <c r="AS13" s="13">
        <f>IFERROR(VLOOKUP($F13,'Visu totale'!$D$3:$DH$129,AS$1,0),0)</f>
        <v>0</v>
      </c>
      <c r="AT13" s="13">
        <f>IFERROR(VLOOKUP($F13,'Visu totale'!$D$3:$DH$129,AT$1,0),0)</f>
        <v>0</v>
      </c>
      <c r="AU13" s="13">
        <f>IFERROR(VLOOKUP($F13,'Visu totale'!$D$3:$DH$129,AU$1,0),0)</f>
        <v>0</v>
      </c>
      <c r="AV13" s="13">
        <f>IFERROR(VLOOKUP($F13,'Visu totale'!$D$3:$DH$129,AV$1,0),0)</f>
        <v>0</v>
      </c>
      <c r="AW13" s="13">
        <f>IFERROR(VLOOKUP($F13,'Visu totale'!$D$3:$DH$129,AW$1,0),0)</f>
        <v>0</v>
      </c>
      <c r="AX13" s="13">
        <f>IFERROR(VLOOKUP($F13,'Visu totale'!$D$3:$DH$129,AX$1,0),0)</f>
        <v>0</v>
      </c>
      <c r="AY13" s="13">
        <f>IFERROR(VLOOKUP($F13,'Visu totale'!$D$3:$DH$129,AY$1,0),0)</f>
        <v>0</v>
      </c>
      <c r="AZ13" s="13">
        <f>IFERROR(VLOOKUP($F13,'Visu totale'!$D$3:$DH$129,AZ$1,0),0)</f>
        <v>0</v>
      </c>
      <c r="BA13" s="13">
        <f>IFERROR(VLOOKUP($F13,'Visu totale'!$D$3:$DH$129,BA$1,0),0)</f>
        <v>0</v>
      </c>
      <c r="BB13" s="15">
        <f>IFERROR(VLOOKUP($F13,'Visu totale'!$D$3:$DH$129,BB$1,0),0)</f>
        <v>0</v>
      </c>
      <c r="BC13" s="14">
        <f>IFERROR(VLOOKUP($F13,'Visu totale'!$D$3:$DH$129,BC$1,0),0)</f>
        <v>0</v>
      </c>
      <c r="BD13" s="13">
        <f>IFERROR(VLOOKUP($F13,'Visu totale'!$D$3:$DH$129,BD$1,0),0)</f>
        <v>0</v>
      </c>
      <c r="BE13" s="13">
        <f>IFERROR(VLOOKUP($F13,'Visu totale'!$D$3:$DH$129,BE$1,0),0)</f>
        <v>0</v>
      </c>
      <c r="BF13" s="13">
        <f>IFERROR(VLOOKUP($F13,'Visu totale'!$D$3:$DH$129,BF$1,0),0)</f>
        <v>0</v>
      </c>
      <c r="BG13" s="13">
        <f>IFERROR(VLOOKUP($F13,'Visu totale'!$D$3:$DH$129,BG$1,0),0)</f>
        <v>0</v>
      </c>
      <c r="BH13" s="13">
        <f>IFERROR(VLOOKUP($F13,'Visu totale'!$D$3:$DH$129,BH$1,0),0)</f>
        <v>0</v>
      </c>
      <c r="BI13" s="13">
        <f>IFERROR(VLOOKUP($F13,'Visu totale'!$D$3:$DH$129,BI$1,0),0)</f>
        <v>0</v>
      </c>
      <c r="BJ13" s="13">
        <f>IFERROR(VLOOKUP($F13,'Visu totale'!$D$3:$DH$129,BJ$1,0),0)</f>
        <v>0</v>
      </c>
      <c r="BK13" s="13">
        <f>IFERROR(VLOOKUP($F13,'Visu totale'!$D$3:$DH$129,BK$1,0),0)</f>
        <v>0</v>
      </c>
      <c r="BL13" s="13">
        <f>IFERROR(VLOOKUP($F13,'Visu totale'!$D$3:$DH$129,BL$1,0),0)</f>
        <v>0</v>
      </c>
      <c r="BM13" s="13">
        <f>IFERROR(VLOOKUP($F13,'Visu totale'!$D$3:$DH$129,BM$1,0),0)</f>
        <v>0</v>
      </c>
      <c r="BN13" s="15">
        <f>IFERROR(VLOOKUP($F13,'Visu totale'!$D$3:$DH$129,BN$1,0),0)</f>
        <v>0</v>
      </c>
      <c r="BO13" s="14">
        <f>IFERROR(VLOOKUP($F13,'Visu totale'!$D$3:$DH$129,BO$1,0),0)</f>
        <v>0</v>
      </c>
      <c r="BP13" s="13">
        <f>IFERROR(VLOOKUP($F13,'Visu totale'!$D$3:$DH$129,BP$1,0),0)</f>
        <v>0</v>
      </c>
      <c r="BQ13" s="13">
        <f>IFERROR(VLOOKUP($F13,'Visu totale'!$D$3:$DH$129,BQ$1,0),0)</f>
        <v>0</v>
      </c>
      <c r="BR13" s="13">
        <f>IFERROR(VLOOKUP($F13,'Visu totale'!$D$3:$DH$129,BR$1,0),0)</f>
        <v>0</v>
      </c>
      <c r="BS13" s="13">
        <f>IFERROR(VLOOKUP($F13,'Visu totale'!$D$3:$DH$129,BS$1,0),0)</f>
        <v>0</v>
      </c>
      <c r="BT13" s="13">
        <f>IFERROR(VLOOKUP($F13,'Visu totale'!$D$3:$DH$129,BT$1,0),0)</f>
        <v>0</v>
      </c>
      <c r="BU13" s="13">
        <f>IFERROR(VLOOKUP($F13,'Visu totale'!$D$3:$DH$129,BU$1,0),0)</f>
        <v>0</v>
      </c>
      <c r="BV13" s="13">
        <f>IFERROR(VLOOKUP($F13,'Visu totale'!$D$3:$DH$129,BV$1,0),0)</f>
        <v>0</v>
      </c>
      <c r="BW13" s="13">
        <f>IFERROR(VLOOKUP($F13,'Visu totale'!$D$3:$DH$129,BW$1,0),0)</f>
        <v>0</v>
      </c>
      <c r="BX13" s="13">
        <f>IFERROR(VLOOKUP($F13,'Visu totale'!$D$3:$DH$129,BX$1,0),0)</f>
        <v>0</v>
      </c>
      <c r="BY13" s="13">
        <f>IFERROR(VLOOKUP($F13,'Visu totale'!$D$3:$DH$129,BY$1,0),0)</f>
        <v>0</v>
      </c>
      <c r="BZ13" s="15">
        <f>IFERROR(VLOOKUP($F13,'Visu totale'!$D$3:$DH$129,BZ$1,0),0)</f>
        <v>0</v>
      </c>
      <c r="CA13" s="14">
        <f>IFERROR(VLOOKUP($F13,'Visu totale'!$D$3:$DH$129,CA$1,0),0)</f>
        <v>0</v>
      </c>
      <c r="CB13" s="13">
        <f>IFERROR(VLOOKUP($F13,'Visu totale'!$D$3:$DH$129,CB$1,0),0)</f>
        <v>0</v>
      </c>
      <c r="CC13" s="13">
        <f>IFERROR(VLOOKUP($F13,'Visu totale'!$D$3:$DH$129,CC$1,0),0)</f>
        <v>0</v>
      </c>
      <c r="CD13" s="13">
        <f>IFERROR(VLOOKUP($F13,'Visu totale'!$D$3:$DH$129,CD$1,0),0)</f>
        <v>0</v>
      </c>
      <c r="CE13" s="13">
        <f>IFERROR(VLOOKUP($F13,'Visu totale'!$D$3:$DH$129,CE$1,0),0)</f>
        <v>0</v>
      </c>
      <c r="CF13" s="13">
        <f>IFERROR(VLOOKUP($F13,'Visu totale'!$D$3:$DH$129,CF$1,0),0)</f>
        <v>0</v>
      </c>
      <c r="CG13" s="13">
        <f>IFERROR(VLOOKUP($F13,'Visu totale'!$D$3:$DH$129,CG$1,0),0)</f>
        <v>0</v>
      </c>
      <c r="CH13" s="13">
        <f>IFERROR(VLOOKUP($F13,'Visu totale'!$D$3:$DH$129,CH$1,0),0)</f>
        <v>0</v>
      </c>
      <c r="CI13" s="13">
        <f>IFERROR(VLOOKUP($F13,'Visu totale'!$D$3:$DH$129,CI$1,0),0)</f>
        <v>0</v>
      </c>
      <c r="CJ13" s="13">
        <f>IFERROR(VLOOKUP($F13,'Visu totale'!$D$3:$DH$129,CJ$1,0),0)</f>
        <v>0</v>
      </c>
      <c r="CK13" s="13">
        <f>IFERROR(VLOOKUP($F13,'Visu totale'!$D$3:$DH$129,CK$1,0),0)</f>
        <v>0</v>
      </c>
      <c r="CL13" s="15">
        <f>IFERROR(VLOOKUP($F13,'Visu totale'!$D$3:$DH$129,CL$1,0),0)</f>
        <v>0</v>
      </c>
      <c r="CM13" s="14">
        <f>IFERROR(VLOOKUP($F13,'Visu totale'!$D$3:$DH$129,CM$1,0),0)</f>
        <v>0</v>
      </c>
      <c r="CN13" s="13">
        <f>IFERROR(VLOOKUP($F13,'Visu totale'!$D$3:$DH$129,CN$1,0),0)</f>
        <v>0</v>
      </c>
      <c r="CO13" s="13">
        <f>IFERROR(VLOOKUP($F13,'Visu totale'!$D$3:$DH$129,CO$1,0),0)</f>
        <v>0</v>
      </c>
      <c r="CP13" s="13">
        <f>IFERROR(VLOOKUP($F13,'Visu totale'!$D$3:$DH$129,CP$1,0),0)</f>
        <v>0</v>
      </c>
      <c r="CQ13" s="13">
        <f>IFERROR(VLOOKUP($F13,'Visu totale'!$D$3:$DH$129,CQ$1,0),0)</f>
        <v>0</v>
      </c>
      <c r="CR13" s="13">
        <f>IFERROR(VLOOKUP($F13,'Visu totale'!$D$3:$DH$129,CR$1,0),0)</f>
        <v>0</v>
      </c>
      <c r="CS13" s="13">
        <f>IFERROR(VLOOKUP($F13,'Visu totale'!$D$3:$DH$129,CS$1,0),0)</f>
        <v>0</v>
      </c>
      <c r="CT13" s="13">
        <f>IFERROR(VLOOKUP($F13,'Visu totale'!$D$3:$DH$129,CT$1,0),0)</f>
        <v>0</v>
      </c>
      <c r="CU13" s="13">
        <f>IFERROR(VLOOKUP($F13,'Visu totale'!$D$3:$DH$129,CU$1,0),0)</f>
        <v>0</v>
      </c>
      <c r="CV13" s="13">
        <f>IFERROR(VLOOKUP($F13,'Visu totale'!$D$3:$DH$129,CV$1,0),0)</f>
        <v>0</v>
      </c>
      <c r="CW13" s="13">
        <f>IFERROR(VLOOKUP($F13,'Visu totale'!$D$3:$DH$129,CW$1,0),0)</f>
        <v>0</v>
      </c>
      <c r="CX13" s="15">
        <f>IFERROR(VLOOKUP($F13,'Visu totale'!$D$3:$DH$129,CX$1,0),0)</f>
        <v>0</v>
      </c>
      <c r="CY13" s="14">
        <f>IFERROR(VLOOKUP($F13,'Visu totale'!$D$3:$DH$129,CY$1,0),0)</f>
        <v>0</v>
      </c>
      <c r="CZ13" s="13">
        <f>IFERROR(VLOOKUP($F13,'Visu totale'!$D$3:$DH$129,CZ$1,0),0)</f>
        <v>0</v>
      </c>
      <c r="DA13" s="13">
        <f>IFERROR(VLOOKUP($F13,'Visu totale'!$D$3:$DH$129,DA$1,0),0)</f>
        <v>0</v>
      </c>
      <c r="DB13" s="13">
        <f>IFERROR(VLOOKUP($F13,'Visu totale'!$D$3:$DH$129,DB$1,0),0)</f>
        <v>0</v>
      </c>
      <c r="DC13" s="13">
        <f>IFERROR(VLOOKUP($F13,'Visu totale'!$D$3:$DH$129,DC$1,0),0)</f>
        <v>0</v>
      </c>
      <c r="DD13" s="13">
        <f>IFERROR(VLOOKUP($F13,'Visu totale'!$D$3:$DH$129,DD$1,0),0)</f>
        <v>0</v>
      </c>
      <c r="DE13" s="13">
        <f>IFERROR(VLOOKUP($F13,'Visu totale'!$D$3:$DH$129,DE$1,0),0)</f>
        <v>0</v>
      </c>
      <c r="DF13" s="13">
        <f>IFERROR(VLOOKUP($F13,'Visu totale'!$D$3:$DH$129,DF$1,0),0)</f>
        <v>0</v>
      </c>
      <c r="DG13" s="13">
        <f>IFERROR(VLOOKUP($F13,'Visu totale'!$D$3:$DH$129,DG$1,0),0)</f>
        <v>0</v>
      </c>
      <c r="DH13" s="13">
        <f>IFERROR(VLOOKUP($F13,'Visu totale'!$D$3:$DH$129,DH$1,0),0)</f>
        <v>0</v>
      </c>
      <c r="DI13" s="13">
        <f>IFERROR(VLOOKUP($F13,'Visu totale'!$D$3:$DH$129,DI$1,0),0)</f>
        <v>0</v>
      </c>
      <c r="DJ13" s="15">
        <f>IFERROR(VLOOKUP($F13,'Visu totale'!$D$3:$DH$129,DJ$1,0),0)</f>
        <v>0</v>
      </c>
    </row>
    <row r="14" spans="1:114" s="12" customFormat="1" x14ac:dyDescent="0.25">
      <c r="A14" s="13"/>
      <c r="B14" s="13"/>
      <c r="C14" s="13"/>
      <c r="D14" s="13"/>
      <c r="E14" s="13"/>
      <c r="F14" s="17" t="s">
        <v>98</v>
      </c>
      <c r="G14" s="14">
        <f>IFERROR(VLOOKUP($F14,'Visu totale'!$D$3:$DH$129,G$1,0),0)</f>
        <v>0</v>
      </c>
      <c r="H14" s="13">
        <f>IFERROR(VLOOKUP($F14,'Visu totale'!$D$3:$DH$129,H$1,0),0)</f>
        <v>0</v>
      </c>
      <c r="I14" s="13">
        <f>IFERROR(VLOOKUP($F14,'Visu totale'!$D$3:$DH$129,I$1,0),0)</f>
        <v>0</v>
      </c>
      <c r="J14" s="13">
        <f>IFERROR(VLOOKUP($F14,'Visu totale'!$D$3:$DH$129,J$1,0),0)</f>
        <v>0</v>
      </c>
      <c r="K14" s="13">
        <f>IFERROR(VLOOKUP($F14,'Visu totale'!$D$3:$DH$129,K$1,0),0)</f>
        <v>0</v>
      </c>
      <c r="L14" s="13">
        <f>IFERROR(VLOOKUP($F14,'Visu totale'!$D$3:$DH$129,L$1,0),0)</f>
        <v>0</v>
      </c>
      <c r="M14" s="13">
        <f>IFERROR(VLOOKUP($F14,'Visu totale'!$D$3:$DH$129,M$1,0),0)</f>
        <v>0</v>
      </c>
      <c r="N14" s="13">
        <f>IFERROR(VLOOKUP($F14,'Visu totale'!$D$3:$DH$129,N$1,0),0)</f>
        <v>0</v>
      </c>
      <c r="O14" s="13">
        <f>IFERROR(VLOOKUP($F14,'Visu totale'!$D$3:$DH$129,O$1,0),0)</f>
        <v>0</v>
      </c>
      <c r="P14" s="13">
        <f>IFERROR(VLOOKUP($F14,'Visu totale'!$D$3:$DH$129,P$1,0),0)</f>
        <v>0</v>
      </c>
      <c r="Q14" s="13">
        <f>IFERROR(VLOOKUP($F14,'Visu totale'!$D$3:$DH$129,Q$1,0),0)</f>
        <v>0</v>
      </c>
      <c r="R14" s="15">
        <f>IFERROR(VLOOKUP($F14,'Visu totale'!$D$3:$DH$129,R$1,0),0)</f>
        <v>0</v>
      </c>
      <c r="S14" s="14">
        <f>IFERROR(VLOOKUP($F14,'Visu totale'!$D$3:$DH$129,S$1,0),0)</f>
        <v>0</v>
      </c>
      <c r="T14" s="13">
        <f>IFERROR(VLOOKUP($F14,'Visu totale'!$D$3:$DH$129,T$1,0),0)</f>
        <v>0</v>
      </c>
      <c r="U14" s="13">
        <f>IFERROR(VLOOKUP($F14,'Visu totale'!$D$3:$DH$129,U$1,0),0)</f>
        <v>0</v>
      </c>
      <c r="V14" s="13">
        <f>IFERROR(VLOOKUP($F14,'Visu totale'!$D$3:$DH$129,V$1,0),0)</f>
        <v>0</v>
      </c>
      <c r="W14" s="13">
        <f>IFERROR(VLOOKUP($F14,'Visu totale'!$D$3:$DH$129,W$1,0),0)</f>
        <v>0</v>
      </c>
      <c r="X14" s="13">
        <f>IFERROR(VLOOKUP($F14,'Visu totale'!$D$3:$DH$129,X$1,0),0)</f>
        <v>0</v>
      </c>
      <c r="Y14" s="13">
        <f>IFERROR(VLOOKUP($F14,'Visu totale'!$D$3:$DH$129,Y$1,0),0)</f>
        <v>0</v>
      </c>
      <c r="Z14" s="13">
        <f>IFERROR(VLOOKUP($F14,'Visu totale'!$D$3:$DH$129,Z$1,0),0)</f>
        <v>0</v>
      </c>
      <c r="AA14" s="13">
        <f>IFERROR(VLOOKUP($F14,'Visu totale'!$D$3:$DH$129,AA$1,0),0)</f>
        <v>0</v>
      </c>
      <c r="AB14" s="13">
        <f>IFERROR(VLOOKUP($F14,'Visu totale'!$D$3:$DH$129,AB$1,0),0)</f>
        <v>0</v>
      </c>
      <c r="AC14" s="13">
        <f>IFERROR(VLOOKUP($F14,'Visu totale'!$D$3:$DH$129,AC$1,0),0)</f>
        <v>0</v>
      </c>
      <c r="AD14" s="15">
        <f>IFERROR(VLOOKUP($F14,'Visu totale'!$D$3:$DH$129,AD$1,0),0)</f>
        <v>0</v>
      </c>
      <c r="AE14" s="14">
        <f>IFERROR(VLOOKUP($F14,'Visu totale'!$D$3:$DH$129,AE$1,0),0)</f>
        <v>0</v>
      </c>
      <c r="AF14" s="13">
        <f>IFERROR(VLOOKUP($F14,'Visu totale'!$D$3:$DH$129,AF$1,0),0)</f>
        <v>0</v>
      </c>
      <c r="AG14" s="13">
        <f>IFERROR(VLOOKUP($F14,'Visu totale'!$D$3:$DH$129,AG$1,0),0)</f>
        <v>0</v>
      </c>
      <c r="AH14" s="13">
        <f>IFERROR(VLOOKUP($F14,'Visu totale'!$D$3:$DH$129,AH$1,0),0)</f>
        <v>0</v>
      </c>
      <c r="AI14" s="13">
        <f>IFERROR(VLOOKUP($F14,'Visu totale'!$D$3:$DH$129,AI$1,0),0)</f>
        <v>0</v>
      </c>
      <c r="AJ14" s="13">
        <f>IFERROR(VLOOKUP($F14,'Visu totale'!$D$3:$DH$129,AJ$1,0),0)</f>
        <v>0</v>
      </c>
      <c r="AK14" s="13">
        <f>IFERROR(VLOOKUP($F14,'Visu totale'!$D$3:$DH$129,AK$1,0),0)</f>
        <v>0</v>
      </c>
      <c r="AL14" s="13">
        <f>IFERROR(VLOOKUP($F14,'Visu totale'!$D$3:$DH$129,AL$1,0),0)</f>
        <v>0</v>
      </c>
      <c r="AM14" s="13">
        <f>IFERROR(VLOOKUP($F14,'Visu totale'!$D$3:$DH$129,AM$1,0),0)</f>
        <v>0</v>
      </c>
      <c r="AN14" s="13">
        <f>IFERROR(VLOOKUP($F14,'Visu totale'!$D$3:$DH$129,AN$1,0),0)</f>
        <v>0</v>
      </c>
      <c r="AO14" s="13">
        <f>IFERROR(VLOOKUP($F14,'Visu totale'!$D$3:$DH$129,AO$1,0),0)</f>
        <v>0</v>
      </c>
      <c r="AP14" s="15">
        <f>IFERROR(VLOOKUP($F14,'Visu totale'!$D$3:$DH$129,AP$1,0),0)</f>
        <v>0</v>
      </c>
      <c r="AQ14" s="14">
        <f>IFERROR(VLOOKUP($F14,'Visu totale'!$D$3:$DH$129,AQ$1,0),0)</f>
        <v>0</v>
      </c>
      <c r="AR14" s="13">
        <f>IFERROR(VLOOKUP($F14,'Visu totale'!$D$3:$DH$129,AR$1,0),0)</f>
        <v>0</v>
      </c>
      <c r="AS14" s="13">
        <f>IFERROR(VLOOKUP($F14,'Visu totale'!$D$3:$DH$129,AS$1,0),0)</f>
        <v>0</v>
      </c>
      <c r="AT14" s="13">
        <f>IFERROR(VLOOKUP($F14,'Visu totale'!$D$3:$DH$129,AT$1,0),0)</f>
        <v>0</v>
      </c>
      <c r="AU14" s="13">
        <f>IFERROR(VLOOKUP($F14,'Visu totale'!$D$3:$DH$129,AU$1,0),0)</f>
        <v>0</v>
      </c>
      <c r="AV14" s="13">
        <f>IFERROR(VLOOKUP($F14,'Visu totale'!$D$3:$DH$129,AV$1,0),0)</f>
        <v>0</v>
      </c>
      <c r="AW14" s="13">
        <f>IFERROR(VLOOKUP($F14,'Visu totale'!$D$3:$DH$129,AW$1,0),0)</f>
        <v>0</v>
      </c>
      <c r="AX14" s="13">
        <f>IFERROR(VLOOKUP($F14,'Visu totale'!$D$3:$DH$129,AX$1,0),0)</f>
        <v>0</v>
      </c>
      <c r="AY14" s="13">
        <f>IFERROR(VLOOKUP($F14,'Visu totale'!$D$3:$DH$129,AY$1,0),0)</f>
        <v>0</v>
      </c>
      <c r="AZ14" s="13">
        <f>IFERROR(VLOOKUP($F14,'Visu totale'!$D$3:$DH$129,AZ$1,0),0)</f>
        <v>0</v>
      </c>
      <c r="BA14" s="13">
        <f>IFERROR(VLOOKUP($F14,'Visu totale'!$D$3:$DH$129,BA$1,0),0)</f>
        <v>0</v>
      </c>
      <c r="BB14" s="15">
        <f>IFERROR(VLOOKUP($F14,'Visu totale'!$D$3:$DH$129,BB$1,0),0)</f>
        <v>0</v>
      </c>
      <c r="BC14" s="14">
        <f>IFERROR(VLOOKUP($F14,'Visu totale'!$D$3:$DH$129,BC$1,0),0)</f>
        <v>0</v>
      </c>
      <c r="BD14" s="13">
        <f>IFERROR(VLOOKUP($F14,'Visu totale'!$D$3:$DH$129,BD$1,0),0)</f>
        <v>0</v>
      </c>
      <c r="BE14" s="13">
        <f>IFERROR(VLOOKUP($F14,'Visu totale'!$D$3:$DH$129,BE$1,0),0)</f>
        <v>0</v>
      </c>
      <c r="BF14" s="13">
        <f>IFERROR(VLOOKUP($F14,'Visu totale'!$D$3:$DH$129,BF$1,0),0)</f>
        <v>0</v>
      </c>
      <c r="BG14" s="13">
        <f>IFERROR(VLOOKUP($F14,'Visu totale'!$D$3:$DH$129,BG$1,0),0)</f>
        <v>0</v>
      </c>
      <c r="BH14" s="13">
        <f>IFERROR(VLOOKUP($F14,'Visu totale'!$D$3:$DH$129,BH$1,0),0)</f>
        <v>0</v>
      </c>
      <c r="BI14" s="13">
        <f>IFERROR(VLOOKUP($F14,'Visu totale'!$D$3:$DH$129,BI$1,0),0)</f>
        <v>0</v>
      </c>
      <c r="BJ14" s="13">
        <f>IFERROR(VLOOKUP($F14,'Visu totale'!$D$3:$DH$129,BJ$1,0),0)</f>
        <v>0</v>
      </c>
      <c r="BK14" s="13">
        <f>IFERROR(VLOOKUP($F14,'Visu totale'!$D$3:$DH$129,BK$1,0),0)</f>
        <v>0</v>
      </c>
      <c r="BL14" s="13">
        <f>IFERROR(VLOOKUP($F14,'Visu totale'!$D$3:$DH$129,BL$1,0),0)</f>
        <v>0</v>
      </c>
      <c r="BM14" s="13">
        <f>IFERROR(VLOOKUP($F14,'Visu totale'!$D$3:$DH$129,BM$1,0),0)</f>
        <v>0</v>
      </c>
      <c r="BN14" s="15">
        <f>IFERROR(VLOOKUP($F14,'Visu totale'!$D$3:$DH$129,BN$1,0),0)</f>
        <v>0</v>
      </c>
      <c r="BO14" s="14">
        <f>IFERROR(VLOOKUP($F14,'Visu totale'!$D$3:$DH$129,BO$1,0),0)</f>
        <v>0</v>
      </c>
      <c r="BP14" s="13">
        <f>IFERROR(VLOOKUP($F14,'Visu totale'!$D$3:$DH$129,BP$1,0),0)</f>
        <v>0</v>
      </c>
      <c r="BQ14" s="13">
        <f>IFERROR(VLOOKUP($F14,'Visu totale'!$D$3:$DH$129,BQ$1,0),0)</f>
        <v>0</v>
      </c>
      <c r="BR14" s="13">
        <f>IFERROR(VLOOKUP($F14,'Visu totale'!$D$3:$DH$129,BR$1,0),0)</f>
        <v>0</v>
      </c>
      <c r="BS14" s="13">
        <f>IFERROR(VLOOKUP($F14,'Visu totale'!$D$3:$DH$129,BS$1,0),0)</f>
        <v>0</v>
      </c>
      <c r="BT14" s="13">
        <f>IFERROR(VLOOKUP($F14,'Visu totale'!$D$3:$DH$129,BT$1,0),0)</f>
        <v>0</v>
      </c>
      <c r="BU14" s="13">
        <f>IFERROR(VLOOKUP($F14,'Visu totale'!$D$3:$DH$129,BU$1,0),0)</f>
        <v>0</v>
      </c>
      <c r="BV14" s="13">
        <f>IFERROR(VLOOKUP($F14,'Visu totale'!$D$3:$DH$129,BV$1,0),0)</f>
        <v>0</v>
      </c>
      <c r="BW14" s="13">
        <f>IFERROR(VLOOKUP($F14,'Visu totale'!$D$3:$DH$129,BW$1,0),0)</f>
        <v>0</v>
      </c>
      <c r="BX14" s="13">
        <f>IFERROR(VLOOKUP($F14,'Visu totale'!$D$3:$DH$129,BX$1,0),0)</f>
        <v>0</v>
      </c>
      <c r="BY14" s="13">
        <f>IFERROR(VLOOKUP($F14,'Visu totale'!$D$3:$DH$129,BY$1,0),0)</f>
        <v>0</v>
      </c>
      <c r="BZ14" s="15">
        <f>IFERROR(VLOOKUP($F14,'Visu totale'!$D$3:$DH$129,BZ$1,0),0)</f>
        <v>0</v>
      </c>
      <c r="CA14" s="14">
        <f>IFERROR(VLOOKUP($F14,'Visu totale'!$D$3:$DH$129,CA$1,0),0)</f>
        <v>0</v>
      </c>
      <c r="CB14" s="13">
        <f>IFERROR(VLOOKUP($F14,'Visu totale'!$D$3:$DH$129,CB$1,0),0)</f>
        <v>0</v>
      </c>
      <c r="CC14" s="13">
        <f>IFERROR(VLOOKUP($F14,'Visu totale'!$D$3:$DH$129,CC$1,0),0)</f>
        <v>0</v>
      </c>
      <c r="CD14" s="13">
        <f>IFERROR(VLOOKUP($F14,'Visu totale'!$D$3:$DH$129,CD$1,0),0)</f>
        <v>0</v>
      </c>
      <c r="CE14" s="13">
        <f>IFERROR(VLOOKUP($F14,'Visu totale'!$D$3:$DH$129,CE$1,0),0)</f>
        <v>0</v>
      </c>
      <c r="CF14" s="13">
        <f>IFERROR(VLOOKUP($F14,'Visu totale'!$D$3:$DH$129,CF$1,0),0)</f>
        <v>0</v>
      </c>
      <c r="CG14" s="13">
        <f>IFERROR(VLOOKUP($F14,'Visu totale'!$D$3:$DH$129,CG$1,0),0)</f>
        <v>0</v>
      </c>
      <c r="CH14" s="13">
        <f>IFERROR(VLOOKUP($F14,'Visu totale'!$D$3:$DH$129,CH$1,0),0)</f>
        <v>0</v>
      </c>
      <c r="CI14" s="13">
        <f>IFERROR(VLOOKUP($F14,'Visu totale'!$D$3:$DH$129,CI$1,0),0)</f>
        <v>0</v>
      </c>
      <c r="CJ14" s="13">
        <f>IFERROR(VLOOKUP($F14,'Visu totale'!$D$3:$DH$129,CJ$1,0),0)</f>
        <v>0</v>
      </c>
      <c r="CK14" s="13">
        <f>IFERROR(VLOOKUP($F14,'Visu totale'!$D$3:$DH$129,CK$1,0),0)</f>
        <v>0</v>
      </c>
      <c r="CL14" s="15">
        <f>IFERROR(VLOOKUP($F14,'Visu totale'!$D$3:$DH$129,CL$1,0),0)</f>
        <v>0</v>
      </c>
      <c r="CM14" s="14">
        <f>IFERROR(VLOOKUP($F14,'Visu totale'!$D$3:$DH$129,CM$1,0),0)</f>
        <v>0</v>
      </c>
      <c r="CN14" s="13">
        <f>IFERROR(VLOOKUP($F14,'Visu totale'!$D$3:$DH$129,CN$1,0),0)</f>
        <v>0</v>
      </c>
      <c r="CO14" s="13">
        <f>IFERROR(VLOOKUP($F14,'Visu totale'!$D$3:$DH$129,CO$1,0),0)</f>
        <v>0</v>
      </c>
      <c r="CP14" s="13">
        <f>IFERROR(VLOOKUP($F14,'Visu totale'!$D$3:$DH$129,CP$1,0),0)</f>
        <v>0</v>
      </c>
      <c r="CQ14" s="13">
        <f>IFERROR(VLOOKUP($F14,'Visu totale'!$D$3:$DH$129,CQ$1,0),0)</f>
        <v>0</v>
      </c>
      <c r="CR14" s="13">
        <f>IFERROR(VLOOKUP($F14,'Visu totale'!$D$3:$DH$129,CR$1,0),0)</f>
        <v>0</v>
      </c>
      <c r="CS14" s="13">
        <f>IFERROR(VLOOKUP($F14,'Visu totale'!$D$3:$DH$129,CS$1,0),0)</f>
        <v>0</v>
      </c>
      <c r="CT14" s="13">
        <f>IFERROR(VLOOKUP($F14,'Visu totale'!$D$3:$DH$129,CT$1,0),0)</f>
        <v>0</v>
      </c>
      <c r="CU14" s="13">
        <f>IFERROR(VLOOKUP($F14,'Visu totale'!$D$3:$DH$129,CU$1,0),0)</f>
        <v>0</v>
      </c>
      <c r="CV14" s="13">
        <f>IFERROR(VLOOKUP($F14,'Visu totale'!$D$3:$DH$129,CV$1,0),0)</f>
        <v>0</v>
      </c>
      <c r="CW14" s="13">
        <f>IFERROR(VLOOKUP($F14,'Visu totale'!$D$3:$DH$129,CW$1,0),0)</f>
        <v>0</v>
      </c>
      <c r="CX14" s="15">
        <f>IFERROR(VLOOKUP($F14,'Visu totale'!$D$3:$DH$129,CX$1,0),0)</f>
        <v>0</v>
      </c>
      <c r="CY14" s="14">
        <f>IFERROR(VLOOKUP($F14,'Visu totale'!$D$3:$DH$129,CY$1,0),0)</f>
        <v>0</v>
      </c>
      <c r="CZ14" s="13">
        <f>IFERROR(VLOOKUP($F14,'Visu totale'!$D$3:$DH$129,CZ$1,0),0)</f>
        <v>0</v>
      </c>
      <c r="DA14" s="13">
        <f>IFERROR(VLOOKUP($F14,'Visu totale'!$D$3:$DH$129,DA$1,0),0)</f>
        <v>0</v>
      </c>
      <c r="DB14" s="13">
        <f>IFERROR(VLOOKUP($F14,'Visu totale'!$D$3:$DH$129,DB$1,0),0)</f>
        <v>0</v>
      </c>
      <c r="DC14" s="13">
        <f>IFERROR(VLOOKUP($F14,'Visu totale'!$D$3:$DH$129,DC$1,0),0)</f>
        <v>0</v>
      </c>
      <c r="DD14" s="13">
        <f>IFERROR(VLOOKUP($F14,'Visu totale'!$D$3:$DH$129,DD$1,0),0)</f>
        <v>0</v>
      </c>
      <c r="DE14" s="13">
        <f>IFERROR(VLOOKUP($F14,'Visu totale'!$D$3:$DH$129,DE$1,0),0)</f>
        <v>0</v>
      </c>
      <c r="DF14" s="13">
        <f>IFERROR(VLOOKUP($F14,'Visu totale'!$D$3:$DH$129,DF$1,0),0)</f>
        <v>0</v>
      </c>
      <c r="DG14" s="13">
        <f>IFERROR(VLOOKUP($F14,'Visu totale'!$D$3:$DH$129,DG$1,0),0)</f>
        <v>0</v>
      </c>
      <c r="DH14" s="13">
        <f>IFERROR(VLOOKUP($F14,'Visu totale'!$D$3:$DH$129,DH$1,0),0)</f>
        <v>0</v>
      </c>
      <c r="DI14" s="13">
        <f>IFERROR(VLOOKUP($F14,'Visu totale'!$D$3:$DH$129,DI$1,0),0)</f>
        <v>0</v>
      </c>
      <c r="DJ14" s="15">
        <f>IFERROR(VLOOKUP($F14,'Visu totale'!$D$3:$DH$129,DJ$1,0),0)</f>
        <v>0</v>
      </c>
    </row>
    <row r="15" spans="1:114" s="12" customFormat="1" x14ac:dyDescent="0.25">
      <c r="A15" s="13"/>
      <c r="B15" s="13"/>
      <c r="C15" s="13"/>
      <c r="D15" s="13"/>
      <c r="E15" s="13"/>
      <c r="F15" s="17" t="s">
        <v>99</v>
      </c>
      <c r="G15" s="14">
        <f>IFERROR(VLOOKUP($F15,'Visu totale'!$D$3:$DH$129,G$1,0),0)</f>
        <v>0</v>
      </c>
      <c r="H15" s="13">
        <f>IFERROR(VLOOKUP($F15,'Visu totale'!$D$3:$DH$129,H$1,0),0)</f>
        <v>0</v>
      </c>
      <c r="I15" s="13">
        <f>IFERROR(VLOOKUP($F15,'Visu totale'!$D$3:$DH$129,I$1,0),0)</f>
        <v>0</v>
      </c>
      <c r="J15" s="13">
        <f>IFERROR(VLOOKUP($F15,'Visu totale'!$D$3:$DH$129,J$1,0),0)</f>
        <v>0</v>
      </c>
      <c r="K15" s="13">
        <f>IFERROR(VLOOKUP($F15,'Visu totale'!$D$3:$DH$129,K$1,0),0)</f>
        <v>0</v>
      </c>
      <c r="L15" s="13">
        <f>IFERROR(VLOOKUP($F15,'Visu totale'!$D$3:$DH$129,L$1,0),0)</f>
        <v>0</v>
      </c>
      <c r="M15" s="13">
        <f>IFERROR(VLOOKUP($F15,'Visu totale'!$D$3:$DH$129,M$1,0),0)</f>
        <v>0</v>
      </c>
      <c r="N15" s="13">
        <f>IFERROR(VLOOKUP($F15,'Visu totale'!$D$3:$DH$129,N$1,0),0)</f>
        <v>0</v>
      </c>
      <c r="O15" s="13">
        <f>IFERROR(VLOOKUP($F15,'Visu totale'!$D$3:$DH$129,O$1,0),0)</f>
        <v>0</v>
      </c>
      <c r="P15" s="13">
        <f>IFERROR(VLOOKUP($F15,'Visu totale'!$D$3:$DH$129,P$1,0),0)</f>
        <v>0</v>
      </c>
      <c r="Q15" s="13">
        <f>IFERROR(VLOOKUP($F15,'Visu totale'!$D$3:$DH$129,Q$1,0),0)</f>
        <v>0</v>
      </c>
      <c r="R15" s="15">
        <f>IFERROR(VLOOKUP($F15,'Visu totale'!$D$3:$DH$129,R$1,0),0)</f>
        <v>0</v>
      </c>
      <c r="S15" s="14">
        <f>IFERROR(VLOOKUP($F15,'Visu totale'!$D$3:$DH$129,S$1,0),0)</f>
        <v>0</v>
      </c>
      <c r="T15" s="13">
        <f>IFERROR(VLOOKUP($F15,'Visu totale'!$D$3:$DH$129,T$1,0),0)</f>
        <v>0</v>
      </c>
      <c r="U15" s="13">
        <f>IFERROR(VLOOKUP($F15,'Visu totale'!$D$3:$DH$129,U$1,0),0)</f>
        <v>0</v>
      </c>
      <c r="V15" s="13">
        <f>IFERROR(VLOOKUP($F15,'Visu totale'!$D$3:$DH$129,V$1,0),0)</f>
        <v>0</v>
      </c>
      <c r="W15" s="13">
        <f>IFERROR(VLOOKUP($F15,'Visu totale'!$D$3:$DH$129,W$1,0),0)</f>
        <v>0</v>
      </c>
      <c r="X15" s="13">
        <f>IFERROR(VLOOKUP($F15,'Visu totale'!$D$3:$DH$129,X$1,0),0)</f>
        <v>0</v>
      </c>
      <c r="Y15" s="13">
        <f>IFERROR(VLOOKUP($F15,'Visu totale'!$D$3:$DH$129,Y$1,0),0)</f>
        <v>0</v>
      </c>
      <c r="Z15" s="13">
        <f>IFERROR(VLOOKUP($F15,'Visu totale'!$D$3:$DH$129,Z$1,0),0)</f>
        <v>0</v>
      </c>
      <c r="AA15" s="13">
        <f>IFERROR(VLOOKUP($F15,'Visu totale'!$D$3:$DH$129,AA$1,0),0)</f>
        <v>0</v>
      </c>
      <c r="AB15" s="13">
        <f>IFERROR(VLOOKUP($F15,'Visu totale'!$D$3:$DH$129,AB$1,0),0)</f>
        <v>0</v>
      </c>
      <c r="AC15" s="13">
        <f>IFERROR(VLOOKUP($F15,'Visu totale'!$D$3:$DH$129,AC$1,0),0)</f>
        <v>0</v>
      </c>
      <c r="AD15" s="15">
        <f>IFERROR(VLOOKUP($F15,'Visu totale'!$D$3:$DH$129,AD$1,0),0)</f>
        <v>0</v>
      </c>
      <c r="AE15" s="14">
        <f>IFERROR(VLOOKUP($F15,'Visu totale'!$D$3:$DH$129,AE$1,0),0)</f>
        <v>0</v>
      </c>
      <c r="AF15" s="13">
        <f>IFERROR(VLOOKUP($F15,'Visu totale'!$D$3:$DH$129,AF$1,0),0)</f>
        <v>0</v>
      </c>
      <c r="AG15" s="13">
        <f>IFERROR(VLOOKUP($F15,'Visu totale'!$D$3:$DH$129,AG$1,0),0)</f>
        <v>0</v>
      </c>
      <c r="AH15" s="13">
        <f>IFERROR(VLOOKUP($F15,'Visu totale'!$D$3:$DH$129,AH$1,0),0)</f>
        <v>0</v>
      </c>
      <c r="AI15" s="13">
        <f>IFERROR(VLOOKUP($F15,'Visu totale'!$D$3:$DH$129,AI$1,0),0)</f>
        <v>0</v>
      </c>
      <c r="AJ15" s="13">
        <f>IFERROR(VLOOKUP($F15,'Visu totale'!$D$3:$DH$129,AJ$1,0),0)</f>
        <v>0</v>
      </c>
      <c r="AK15" s="13">
        <f>IFERROR(VLOOKUP($F15,'Visu totale'!$D$3:$DH$129,AK$1,0),0)</f>
        <v>0</v>
      </c>
      <c r="AL15" s="13">
        <f>IFERROR(VLOOKUP($F15,'Visu totale'!$D$3:$DH$129,AL$1,0),0)</f>
        <v>0</v>
      </c>
      <c r="AM15" s="13">
        <f>IFERROR(VLOOKUP($F15,'Visu totale'!$D$3:$DH$129,AM$1,0),0)</f>
        <v>0</v>
      </c>
      <c r="AN15" s="13">
        <f>IFERROR(VLOOKUP($F15,'Visu totale'!$D$3:$DH$129,AN$1,0),0)</f>
        <v>0</v>
      </c>
      <c r="AO15" s="13">
        <f>IFERROR(VLOOKUP($F15,'Visu totale'!$D$3:$DH$129,AO$1,0),0)</f>
        <v>0</v>
      </c>
      <c r="AP15" s="15">
        <f>IFERROR(VLOOKUP($F15,'Visu totale'!$D$3:$DH$129,AP$1,0),0)</f>
        <v>0</v>
      </c>
      <c r="AQ15" s="14">
        <f>IFERROR(VLOOKUP($F15,'Visu totale'!$D$3:$DH$129,AQ$1,0),0)</f>
        <v>0</v>
      </c>
      <c r="AR15" s="13">
        <f>IFERROR(VLOOKUP($F15,'Visu totale'!$D$3:$DH$129,AR$1,0),0)</f>
        <v>0</v>
      </c>
      <c r="AS15" s="13">
        <f>IFERROR(VLOOKUP($F15,'Visu totale'!$D$3:$DH$129,AS$1,0),0)</f>
        <v>0</v>
      </c>
      <c r="AT15" s="13">
        <f>IFERROR(VLOOKUP($F15,'Visu totale'!$D$3:$DH$129,AT$1,0),0)</f>
        <v>0</v>
      </c>
      <c r="AU15" s="13">
        <f>IFERROR(VLOOKUP($F15,'Visu totale'!$D$3:$DH$129,AU$1,0),0)</f>
        <v>0</v>
      </c>
      <c r="AV15" s="13">
        <f>IFERROR(VLOOKUP($F15,'Visu totale'!$D$3:$DH$129,AV$1,0),0)</f>
        <v>0</v>
      </c>
      <c r="AW15" s="13">
        <f>IFERROR(VLOOKUP($F15,'Visu totale'!$D$3:$DH$129,AW$1,0),0)</f>
        <v>0</v>
      </c>
      <c r="AX15" s="13">
        <f>IFERROR(VLOOKUP($F15,'Visu totale'!$D$3:$DH$129,AX$1,0),0)</f>
        <v>0</v>
      </c>
      <c r="AY15" s="13">
        <f>IFERROR(VLOOKUP($F15,'Visu totale'!$D$3:$DH$129,AY$1,0),0)</f>
        <v>0</v>
      </c>
      <c r="AZ15" s="13">
        <f>IFERROR(VLOOKUP($F15,'Visu totale'!$D$3:$DH$129,AZ$1,0),0)</f>
        <v>0</v>
      </c>
      <c r="BA15" s="13">
        <f>IFERROR(VLOOKUP($F15,'Visu totale'!$D$3:$DH$129,BA$1,0),0)</f>
        <v>0</v>
      </c>
      <c r="BB15" s="15">
        <f>IFERROR(VLOOKUP($F15,'Visu totale'!$D$3:$DH$129,BB$1,0),0)</f>
        <v>0</v>
      </c>
      <c r="BC15" s="14">
        <f>IFERROR(VLOOKUP($F15,'Visu totale'!$D$3:$DH$129,BC$1,0),0)</f>
        <v>0</v>
      </c>
      <c r="BD15" s="13">
        <f>IFERROR(VLOOKUP($F15,'Visu totale'!$D$3:$DH$129,BD$1,0),0)</f>
        <v>0</v>
      </c>
      <c r="BE15" s="13">
        <f>IFERROR(VLOOKUP($F15,'Visu totale'!$D$3:$DH$129,BE$1,0),0)</f>
        <v>0</v>
      </c>
      <c r="BF15" s="13">
        <f>IFERROR(VLOOKUP($F15,'Visu totale'!$D$3:$DH$129,BF$1,0),0)</f>
        <v>0</v>
      </c>
      <c r="BG15" s="13">
        <f>IFERROR(VLOOKUP($F15,'Visu totale'!$D$3:$DH$129,BG$1,0),0)</f>
        <v>0</v>
      </c>
      <c r="BH15" s="13">
        <f>IFERROR(VLOOKUP($F15,'Visu totale'!$D$3:$DH$129,BH$1,0),0)</f>
        <v>0</v>
      </c>
      <c r="BI15" s="13">
        <f>IFERROR(VLOOKUP($F15,'Visu totale'!$D$3:$DH$129,BI$1,0),0)</f>
        <v>0</v>
      </c>
      <c r="BJ15" s="13">
        <f>IFERROR(VLOOKUP($F15,'Visu totale'!$D$3:$DH$129,BJ$1,0),0)</f>
        <v>0</v>
      </c>
      <c r="BK15" s="13">
        <f>IFERROR(VLOOKUP($F15,'Visu totale'!$D$3:$DH$129,BK$1,0),0)</f>
        <v>0</v>
      </c>
      <c r="BL15" s="13">
        <f>IFERROR(VLOOKUP($F15,'Visu totale'!$D$3:$DH$129,BL$1,0),0)</f>
        <v>0</v>
      </c>
      <c r="BM15" s="13">
        <f>IFERROR(VLOOKUP($F15,'Visu totale'!$D$3:$DH$129,BM$1,0),0)</f>
        <v>0</v>
      </c>
      <c r="BN15" s="15">
        <f>IFERROR(VLOOKUP($F15,'Visu totale'!$D$3:$DH$129,BN$1,0),0)</f>
        <v>0</v>
      </c>
      <c r="BO15" s="14">
        <f>IFERROR(VLOOKUP($F15,'Visu totale'!$D$3:$DH$129,BO$1,0),0)</f>
        <v>0</v>
      </c>
      <c r="BP15" s="13">
        <f>IFERROR(VLOOKUP($F15,'Visu totale'!$D$3:$DH$129,BP$1,0),0)</f>
        <v>0</v>
      </c>
      <c r="BQ15" s="13">
        <f>IFERROR(VLOOKUP($F15,'Visu totale'!$D$3:$DH$129,BQ$1,0),0)</f>
        <v>0</v>
      </c>
      <c r="BR15" s="13">
        <f>IFERROR(VLOOKUP($F15,'Visu totale'!$D$3:$DH$129,BR$1,0),0)</f>
        <v>0</v>
      </c>
      <c r="BS15" s="13">
        <f>IFERROR(VLOOKUP($F15,'Visu totale'!$D$3:$DH$129,BS$1,0),0)</f>
        <v>0</v>
      </c>
      <c r="BT15" s="13">
        <f>IFERROR(VLOOKUP($F15,'Visu totale'!$D$3:$DH$129,BT$1,0),0)</f>
        <v>0</v>
      </c>
      <c r="BU15" s="13">
        <f>IFERROR(VLOOKUP($F15,'Visu totale'!$D$3:$DH$129,BU$1,0),0)</f>
        <v>0</v>
      </c>
      <c r="BV15" s="13">
        <f>IFERROR(VLOOKUP($F15,'Visu totale'!$D$3:$DH$129,BV$1,0),0)</f>
        <v>0</v>
      </c>
      <c r="BW15" s="13">
        <f>IFERROR(VLOOKUP($F15,'Visu totale'!$D$3:$DH$129,BW$1,0),0)</f>
        <v>0</v>
      </c>
      <c r="BX15" s="13">
        <f>IFERROR(VLOOKUP($F15,'Visu totale'!$D$3:$DH$129,BX$1,0),0)</f>
        <v>0</v>
      </c>
      <c r="BY15" s="13">
        <f>IFERROR(VLOOKUP($F15,'Visu totale'!$D$3:$DH$129,BY$1,0),0)</f>
        <v>0</v>
      </c>
      <c r="BZ15" s="15">
        <f>IFERROR(VLOOKUP($F15,'Visu totale'!$D$3:$DH$129,BZ$1,0),0)</f>
        <v>0</v>
      </c>
      <c r="CA15" s="14">
        <f>IFERROR(VLOOKUP($F15,'Visu totale'!$D$3:$DH$129,CA$1,0),0)</f>
        <v>0</v>
      </c>
      <c r="CB15" s="13">
        <f>IFERROR(VLOOKUP($F15,'Visu totale'!$D$3:$DH$129,CB$1,0),0)</f>
        <v>0</v>
      </c>
      <c r="CC15" s="13">
        <f>IFERROR(VLOOKUP($F15,'Visu totale'!$D$3:$DH$129,CC$1,0),0)</f>
        <v>0</v>
      </c>
      <c r="CD15" s="13">
        <f>IFERROR(VLOOKUP($F15,'Visu totale'!$D$3:$DH$129,CD$1,0),0)</f>
        <v>0</v>
      </c>
      <c r="CE15" s="13">
        <f>IFERROR(VLOOKUP($F15,'Visu totale'!$D$3:$DH$129,CE$1,0),0)</f>
        <v>0</v>
      </c>
      <c r="CF15" s="13">
        <f>IFERROR(VLOOKUP($F15,'Visu totale'!$D$3:$DH$129,CF$1,0),0)</f>
        <v>0</v>
      </c>
      <c r="CG15" s="13">
        <f>IFERROR(VLOOKUP($F15,'Visu totale'!$D$3:$DH$129,CG$1,0),0)</f>
        <v>0</v>
      </c>
      <c r="CH15" s="13">
        <f>IFERROR(VLOOKUP($F15,'Visu totale'!$D$3:$DH$129,CH$1,0),0)</f>
        <v>0</v>
      </c>
      <c r="CI15" s="13">
        <f>IFERROR(VLOOKUP($F15,'Visu totale'!$D$3:$DH$129,CI$1,0),0)</f>
        <v>0</v>
      </c>
      <c r="CJ15" s="13">
        <f>IFERROR(VLOOKUP($F15,'Visu totale'!$D$3:$DH$129,CJ$1,0),0)</f>
        <v>0</v>
      </c>
      <c r="CK15" s="13">
        <f>IFERROR(VLOOKUP($F15,'Visu totale'!$D$3:$DH$129,CK$1,0),0)</f>
        <v>0</v>
      </c>
      <c r="CL15" s="15">
        <f>IFERROR(VLOOKUP($F15,'Visu totale'!$D$3:$DH$129,CL$1,0),0)</f>
        <v>0</v>
      </c>
      <c r="CM15" s="14">
        <f>IFERROR(VLOOKUP($F15,'Visu totale'!$D$3:$DH$129,CM$1,0),0)</f>
        <v>0</v>
      </c>
      <c r="CN15" s="13">
        <f>IFERROR(VLOOKUP($F15,'Visu totale'!$D$3:$DH$129,CN$1,0),0)</f>
        <v>0</v>
      </c>
      <c r="CO15" s="13">
        <f>IFERROR(VLOOKUP($F15,'Visu totale'!$D$3:$DH$129,CO$1,0),0)</f>
        <v>0</v>
      </c>
      <c r="CP15" s="13">
        <f>IFERROR(VLOOKUP($F15,'Visu totale'!$D$3:$DH$129,CP$1,0),0)</f>
        <v>0</v>
      </c>
      <c r="CQ15" s="13">
        <f>IFERROR(VLOOKUP($F15,'Visu totale'!$D$3:$DH$129,CQ$1,0),0)</f>
        <v>0</v>
      </c>
      <c r="CR15" s="13">
        <f>IFERROR(VLOOKUP($F15,'Visu totale'!$D$3:$DH$129,CR$1,0),0)</f>
        <v>0</v>
      </c>
      <c r="CS15" s="13">
        <f>IFERROR(VLOOKUP($F15,'Visu totale'!$D$3:$DH$129,CS$1,0),0)</f>
        <v>0</v>
      </c>
      <c r="CT15" s="13">
        <f>IFERROR(VLOOKUP($F15,'Visu totale'!$D$3:$DH$129,CT$1,0),0)</f>
        <v>0</v>
      </c>
      <c r="CU15" s="13">
        <f>IFERROR(VLOOKUP($F15,'Visu totale'!$D$3:$DH$129,CU$1,0),0)</f>
        <v>0</v>
      </c>
      <c r="CV15" s="13">
        <f>IFERROR(VLOOKUP($F15,'Visu totale'!$D$3:$DH$129,CV$1,0),0)</f>
        <v>0</v>
      </c>
      <c r="CW15" s="13">
        <f>IFERROR(VLOOKUP($F15,'Visu totale'!$D$3:$DH$129,CW$1,0),0)</f>
        <v>0</v>
      </c>
      <c r="CX15" s="15">
        <f>IFERROR(VLOOKUP($F15,'Visu totale'!$D$3:$DH$129,CX$1,0),0)</f>
        <v>0</v>
      </c>
      <c r="CY15" s="14">
        <f>IFERROR(VLOOKUP($F15,'Visu totale'!$D$3:$DH$129,CY$1,0),0)</f>
        <v>0</v>
      </c>
      <c r="CZ15" s="13">
        <f>IFERROR(VLOOKUP($F15,'Visu totale'!$D$3:$DH$129,CZ$1,0),0)</f>
        <v>0</v>
      </c>
      <c r="DA15" s="13">
        <f>IFERROR(VLOOKUP($F15,'Visu totale'!$D$3:$DH$129,DA$1,0),0)</f>
        <v>0</v>
      </c>
      <c r="DB15" s="13">
        <f>IFERROR(VLOOKUP($F15,'Visu totale'!$D$3:$DH$129,DB$1,0),0)</f>
        <v>0</v>
      </c>
      <c r="DC15" s="13">
        <f>IFERROR(VLOOKUP($F15,'Visu totale'!$D$3:$DH$129,DC$1,0),0)</f>
        <v>0</v>
      </c>
      <c r="DD15" s="13">
        <f>IFERROR(VLOOKUP($F15,'Visu totale'!$D$3:$DH$129,DD$1,0),0)</f>
        <v>0</v>
      </c>
      <c r="DE15" s="13">
        <f>IFERROR(VLOOKUP($F15,'Visu totale'!$D$3:$DH$129,DE$1,0),0)</f>
        <v>0</v>
      </c>
      <c r="DF15" s="13">
        <f>IFERROR(VLOOKUP($F15,'Visu totale'!$D$3:$DH$129,DF$1,0),0)</f>
        <v>0</v>
      </c>
      <c r="DG15" s="13">
        <f>IFERROR(VLOOKUP($F15,'Visu totale'!$D$3:$DH$129,DG$1,0),0)</f>
        <v>0</v>
      </c>
      <c r="DH15" s="13">
        <f>IFERROR(VLOOKUP($F15,'Visu totale'!$D$3:$DH$129,DH$1,0),0)</f>
        <v>0</v>
      </c>
      <c r="DI15" s="13">
        <f>IFERROR(VLOOKUP($F15,'Visu totale'!$D$3:$DH$129,DI$1,0),0)</f>
        <v>0</v>
      </c>
      <c r="DJ15" s="15">
        <f>IFERROR(VLOOKUP($F15,'Visu totale'!$D$3:$DH$129,DJ$1,0),0)</f>
        <v>0</v>
      </c>
    </row>
    <row r="16" spans="1:114" s="12" customFormat="1" x14ac:dyDescent="0.25">
      <c r="A16" s="13"/>
      <c r="B16" s="13"/>
      <c r="C16" s="13"/>
      <c r="D16" s="13"/>
      <c r="E16" s="13"/>
      <c r="F16" s="17" t="s">
        <v>100</v>
      </c>
      <c r="G16" s="14">
        <f>IFERROR(VLOOKUP($F16,'Visu totale'!$D$3:$DH$129,G$1,0),0)</f>
        <v>0</v>
      </c>
      <c r="H16" s="13">
        <f>IFERROR(VLOOKUP($F16,'Visu totale'!$D$3:$DH$129,H$1,0),0)</f>
        <v>0</v>
      </c>
      <c r="I16" s="13">
        <f>IFERROR(VLOOKUP($F16,'Visu totale'!$D$3:$DH$129,I$1,0),0)</f>
        <v>0</v>
      </c>
      <c r="J16" s="13">
        <f>IFERROR(VLOOKUP($F16,'Visu totale'!$D$3:$DH$129,J$1,0),0)</f>
        <v>0</v>
      </c>
      <c r="K16" s="13">
        <f>IFERROR(VLOOKUP($F16,'Visu totale'!$D$3:$DH$129,K$1,0),0)</f>
        <v>0</v>
      </c>
      <c r="L16" s="13">
        <f>IFERROR(VLOOKUP($F16,'Visu totale'!$D$3:$DH$129,L$1,0),0)</f>
        <v>0</v>
      </c>
      <c r="M16" s="13">
        <f>IFERROR(VLOOKUP($F16,'Visu totale'!$D$3:$DH$129,M$1,0),0)</f>
        <v>0</v>
      </c>
      <c r="N16" s="13">
        <f>IFERROR(VLOOKUP($F16,'Visu totale'!$D$3:$DH$129,N$1,0),0)</f>
        <v>0</v>
      </c>
      <c r="O16" s="13">
        <f>IFERROR(VLOOKUP($F16,'Visu totale'!$D$3:$DH$129,O$1,0),0)</f>
        <v>0</v>
      </c>
      <c r="P16" s="13">
        <f>IFERROR(VLOOKUP($F16,'Visu totale'!$D$3:$DH$129,P$1,0),0)</f>
        <v>0</v>
      </c>
      <c r="Q16" s="13">
        <f>IFERROR(VLOOKUP($F16,'Visu totale'!$D$3:$DH$129,Q$1,0),0)</f>
        <v>0</v>
      </c>
      <c r="R16" s="15">
        <f>IFERROR(VLOOKUP($F16,'Visu totale'!$D$3:$DH$129,R$1,0),0)</f>
        <v>0</v>
      </c>
      <c r="S16" s="14">
        <f>IFERROR(VLOOKUP($F16,'Visu totale'!$D$3:$DH$129,S$1,0),0)</f>
        <v>0</v>
      </c>
      <c r="T16" s="13">
        <f>IFERROR(VLOOKUP($F16,'Visu totale'!$D$3:$DH$129,T$1,0),0)</f>
        <v>0</v>
      </c>
      <c r="U16" s="13">
        <f>IFERROR(VLOOKUP($F16,'Visu totale'!$D$3:$DH$129,U$1,0),0)</f>
        <v>0</v>
      </c>
      <c r="V16" s="13">
        <f>IFERROR(VLOOKUP($F16,'Visu totale'!$D$3:$DH$129,V$1,0),0)</f>
        <v>0</v>
      </c>
      <c r="W16" s="13">
        <f>IFERROR(VLOOKUP($F16,'Visu totale'!$D$3:$DH$129,W$1,0),0)</f>
        <v>0</v>
      </c>
      <c r="X16" s="13">
        <f>IFERROR(VLOOKUP($F16,'Visu totale'!$D$3:$DH$129,X$1,0),0)</f>
        <v>0</v>
      </c>
      <c r="Y16" s="13">
        <f>IFERROR(VLOOKUP($F16,'Visu totale'!$D$3:$DH$129,Y$1,0),0)</f>
        <v>0</v>
      </c>
      <c r="Z16" s="13">
        <f>IFERROR(VLOOKUP($F16,'Visu totale'!$D$3:$DH$129,Z$1,0),0)</f>
        <v>0</v>
      </c>
      <c r="AA16" s="13">
        <f>IFERROR(VLOOKUP($F16,'Visu totale'!$D$3:$DH$129,AA$1,0),0)</f>
        <v>0</v>
      </c>
      <c r="AB16" s="13">
        <f>IFERROR(VLOOKUP($F16,'Visu totale'!$D$3:$DH$129,AB$1,0),0)</f>
        <v>0</v>
      </c>
      <c r="AC16" s="13">
        <f>IFERROR(VLOOKUP($F16,'Visu totale'!$D$3:$DH$129,AC$1,0),0)</f>
        <v>0</v>
      </c>
      <c r="AD16" s="15">
        <f>IFERROR(VLOOKUP($F16,'Visu totale'!$D$3:$DH$129,AD$1,0),0)</f>
        <v>0</v>
      </c>
      <c r="AE16" s="14">
        <f>IFERROR(VLOOKUP($F16,'Visu totale'!$D$3:$DH$129,AE$1,0),0)</f>
        <v>0</v>
      </c>
      <c r="AF16" s="13">
        <f>IFERROR(VLOOKUP($F16,'Visu totale'!$D$3:$DH$129,AF$1,0),0)</f>
        <v>0</v>
      </c>
      <c r="AG16" s="13">
        <f>IFERROR(VLOOKUP($F16,'Visu totale'!$D$3:$DH$129,AG$1,0),0)</f>
        <v>0</v>
      </c>
      <c r="AH16" s="13">
        <f>IFERROR(VLOOKUP($F16,'Visu totale'!$D$3:$DH$129,AH$1,0),0)</f>
        <v>0</v>
      </c>
      <c r="AI16" s="13">
        <f>IFERROR(VLOOKUP($F16,'Visu totale'!$D$3:$DH$129,AI$1,0),0)</f>
        <v>0</v>
      </c>
      <c r="AJ16" s="13">
        <f>IFERROR(VLOOKUP($F16,'Visu totale'!$D$3:$DH$129,AJ$1,0),0)</f>
        <v>0</v>
      </c>
      <c r="AK16" s="13">
        <f>IFERROR(VLOOKUP($F16,'Visu totale'!$D$3:$DH$129,AK$1,0),0)</f>
        <v>0</v>
      </c>
      <c r="AL16" s="13">
        <f>IFERROR(VLOOKUP($F16,'Visu totale'!$D$3:$DH$129,AL$1,0),0)</f>
        <v>0</v>
      </c>
      <c r="AM16" s="13">
        <f>IFERROR(VLOOKUP($F16,'Visu totale'!$D$3:$DH$129,AM$1,0),0)</f>
        <v>0</v>
      </c>
      <c r="AN16" s="13">
        <f>IFERROR(VLOOKUP($F16,'Visu totale'!$D$3:$DH$129,AN$1,0),0)</f>
        <v>0</v>
      </c>
      <c r="AO16" s="13">
        <f>IFERROR(VLOOKUP($F16,'Visu totale'!$D$3:$DH$129,AO$1,0),0)</f>
        <v>0</v>
      </c>
      <c r="AP16" s="15">
        <f>IFERROR(VLOOKUP($F16,'Visu totale'!$D$3:$DH$129,AP$1,0),0)</f>
        <v>0</v>
      </c>
      <c r="AQ16" s="14">
        <f>IFERROR(VLOOKUP($F16,'Visu totale'!$D$3:$DH$129,AQ$1,0),0)</f>
        <v>0</v>
      </c>
      <c r="AR16" s="13">
        <f>IFERROR(VLOOKUP($F16,'Visu totale'!$D$3:$DH$129,AR$1,0),0)</f>
        <v>0</v>
      </c>
      <c r="AS16" s="13">
        <f>IFERROR(VLOOKUP($F16,'Visu totale'!$D$3:$DH$129,AS$1,0),0)</f>
        <v>0</v>
      </c>
      <c r="AT16" s="13">
        <f>IFERROR(VLOOKUP($F16,'Visu totale'!$D$3:$DH$129,AT$1,0),0)</f>
        <v>0</v>
      </c>
      <c r="AU16" s="13">
        <f>IFERROR(VLOOKUP($F16,'Visu totale'!$D$3:$DH$129,AU$1,0),0)</f>
        <v>0</v>
      </c>
      <c r="AV16" s="13">
        <f>IFERROR(VLOOKUP($F16,'Visu totale'!$D$3:$DH$129,AV$1,0),0)</f>
        <v>0</v>
      </c>
      <c r="AW16" s="13">
        <f>IFERROR(VLOOKUP($F16,'Visu totale'!$D$3:$DH$129,AW$1,0),0)</f>
        <v>0</v>
      </c>
      <c r="AX16" s="13">
        <f>IFERROR(VLOOKUP($F16,'Visu totale'!$D$3:$DH$129,AX$1,0),0)</f>
        <v>0</v>
      </c>
      <c r="AY16" s="13">
        <f>IFERROR(VLOOKUP($F16,'Visu totale'!$D$3:$DH$129,AY$1,0),0)</f>
        <v>0</v>
      </c>
      <c r="AZ16" s="13">
        <f>IFERROR(VLOOKUP($F16,'Visu totale'!$D$3:$DH$129,AZ$1,0),0)</f>
        <v>0</v>
      </c>
      <c r="BA16" s="13">
        <f>IFERROR(VLOOKUP($F16,'Visu totale'!$D$3:$DH$129,BA$1,0),0)</f>
        <v>0</v>
      </c>
      <c r="BB16" s="15">
        <f>IFERROR(VLOOKUP($F16,'Visu totale'!$D$3:$DH$129,BB$1,0),0)</f>
        <v>0</v>
      </c>
      <c r="BC16" s="14">
        <f>IFERROR(VLOOKUP($F16,'Visu totale'!$D$3:$DH$129,BC$1,0),0)</f>
        <v>0</v>
      </c>
      <c r="BD16" s="13">
        <f>IFERROR(VLOOKUP($F16,'Visu totale'!$D$3:$DH$129,BD$1,0),0)</f>
        <v>0</v>
      </c>
      <c r="BE16" s="13">
        <f>IFERROR(VLOOKUP($F16,'Visu totale'!$D$3:$DH$129,BE$1,0),0)</f>
        <v>0</v>
      </c>
      <c r="BF16" s="13">
        <f>IFERROR(VLOOKUP($F16,'Visu totale'!$D$3:$DH$129,BF$1,0),0)</f>
        <v>0</v>
      </c>
      <c r="BG16" s="13">
        <f>IFERROR(VLOOKUP($F16,'Visu totale'!$D$3:$DH$129,BG$1,0),0)</f>
        <v>0</v>
      </c>
      <c r="BH16" s="13">
        <f>IFERROR(VLOOKUP($F16,'Visu totale'!$D$3:$DH$129,BH$1,0),0)</f>
        <v>0</v>
      </c>
      <c r="BI16" s="13">
        <f>IFERROR(VLOOKUP($F16,'Visu totale'!$D$3:$DH$129,BI$1,0),0)</f>
        <v>0</v>
      </c>
      <c r="BJ16" s="13">
        <f>IFERROR(VLOOKUP($F16,'Visu totale'!$D$3:$DH$129,BJ$1,0),0)</f>
        <v>0</v>
      </c>
      <c r="BK16" s="13">
        <f>IFERROR(VLOOKUP($F16,'Visu totale'!$D$3:$DH$129,BK$1,0),0)</f>
        <v>0</v>
      </c>
      <c r="BL16" s="13">
        <f>IFERROR(VLOOKUP($F16,'Visu totale'!$D$3:$DH$129,BL$1,0),0)</f>
        <v>0</v>
      </c>
      <c r="BM16" s="13">
        <f>IFERROR(VLOOKUP($F16,'Visu totale'!$D$3:$DH$129,BM$1,0),0)</f>
        <v>0</v>
      </c>
      <c r="BN16" s="15">
        <f>IFERROR(VLOOKUP($F16,'Visu totale'!$D$3:$DH$129,BN$1,0),0)</f>
        <v>0</v>
      </c>
      <c r="BO16" s="14">
        <f>IFERROR(VLOOKUP($F16,'Visu totale'!$D$3:$DH$129,BO$1,0),0)</f>
        <v>0</v>
      </c>
      <c r="BP16" s="13">
        <f>IFERROR(VLOOKUP($F16,'Visu totale'!$D$3:$DH$129,BP$1,0),0)</f>
        <v>0</v>
      </c>
      <c r="BQ16" s="13">
        <f>IFERROR(VLOOKUP($F16,'Visu totale'!$D$3:$DH$129,BQ$1,0),0)</f>
        <v>0</v>
      </c>
      <c r="BR16" s="13">
        <f>IFERROR(VLOOKUP($F16,'Visu totale'!$D$3:$DH$129,BR$1,0),0)</f>
        <v>0</v>
      </c>
      <c r="BS16" s="13">
        <f>IFERROR(VLOOKUP($F16,'Visu totale'!$D$3:$DH$129,BS$1,0),0)</f>
        <v>0</v>
      </c>
      <c r="BT16" s="13">
        <f>IFERROR(VLOOKUP($F16,'Visu totale'!$D$3:$DH$129,BT$1,0),0)</f>
        <v>0</v>
      </c>
      <c r="BU16" s="13">
        <f>IFERROR(VLOOKUP($F16,'Visu totale'!$D$3:$DH$129,BU$1,0),0)</f>
        <v>0</v>
      </c>
      <c r="BV16" s="13">
        <f>IFERROR(VLOOKUP($F16,'Visu totale'!$D$3:$DH$129,BV$1,0),0)</f>
        <v>0</v>
      </c>
      <c r="BW16" s="13">
        <f>IFERROR(VLOOKUP($F16,'Visu totale'!$D$3:$DH$129,BW$1,0),0)</f>
        <v>0</v>
      </c>
      <c r="BX16" s="13">
        <f>IFERROR(VLOOKUP($F16,'Visu totale'!$D$3:$DH$129,BX$1,0),0)</f>
        <v>0</v>
      </c>
      <c r="BY16" s="13">
        <f>IFERROR(VLOOKUP($F16,'Visu totale'!$D$3:$DH$129,BY$1,0),0)</f>
        <v>0</v>
      </c>
      <c r="BZ16" s="15">
        <f>IFERROR(VLOOKUP($F16,'Visu totale'!$D$3:$DH$129,BZ$1,0),0)</f>
        <v>0</v>
      </c>
      <c r="CA16" s="14">
        <f>IFERROR(VLOOKUP($F16,'Visu totale'!$D$3:$DH$129,CA$1,0),0)</f>
        <v>0</v>
      </c>
      <c r="CB16" s="13">
        <f>IFERROR(VLOOKUP($F16,'Visu totale'!$D$3:$DH$129,CB$1,0),0)</f>
        <v>0</v>
      </c>
      <c r="CC16" s="13">
        <f>IFERROR(VLOOKUP($F16,'Visu totale'!$D$3:$DH$129,CC$1,0),0)</f>
        <v>0</v>
      </c>
      <c r="CD16" s="13">
        <f>IFERROR(VLOOKUP($F16,'Visu totale'!$D$3:$DH$129,CD$1,0),0)</f>
        <v>0</v>
      </c>
      <c r="CE16" s="13">
        <f>IFERROR(VLOOKUP($F16,'Visu totale'!$D$3:$DH$129,CE$1,0),0)</f>
        <v>0</v>
      </c>
      <c r="CF16" s="13">
        <f>IFERROR(VLOOKUP($F16,'Visu totale'!$D$3:$DH$129,CF$1,0),0)</f>
        <v>0</v>
      </c>
      <c r="CG16" s="13">
        <f>IFERROR(VLOOKUP($F16,'Visu totale'!$D$3:$DH$129,CG$1,0),0)</f>
        <v>0</v>
      </c>
      <c r="CH16" s="13">
        <f>IFERROR(VLOOKUP($F16,'Visu totale'!$D$3:$DH$129,CH$1,0),0)</f>
        <v>0</v>
      </c>
      <c r="CI16" s="13">
        <f>IFERROR(VLOOKUP($F16,'Visu totale'!$D$3:$DH$129,CI$1,0),0)</f>
        <v>0</v>
      </c>
      <c r="CJ16" s="13">
        <f>IFERROR(VLOOKUP($F16,'Visu totale'!$D$3:$DH$129,CJ$1,0),0)</f>
        <v>0</v>
      </c>
      <c r="CK16" s="13">
        <f>IFERROR(VLOOKUP($F16,'Visu totale'!$D$3:$DH$129,CK$1,0),0)</f>
        <v>0</v>
      </c>
      <c r="CL16" s="15">
        <f>IFERROR(VLOOKUP($F16,'Visu totale'!$D$3:$DH$129,CL$1,0),0)</f>
        <v>0</v>
      </c>
      <c r="CM16" s="14">
        <f>IFERROR(VLOOKUP($F16,'Visu totale'!$D$3:$DH$129,CM$1,0),0)</f>
        <v>0</v>
      </c>
      <c r="CN16" s="13">
        <f>IFERROR(VLOOKUP($F16,'Visu totale'!$D$3:$DH$129,CN$1,0),0)</f>
        <v>0</v>
      </c>
      <c r="CO16" s="13">
        <f>IFERROR(VLOOKUP($F16,'Visu totale'!$D$3:$DH$129,CO$1,0),0)</f>
        <v>0</v>
      </c>
      <c r="CP16" s="13">
        <f>IFERROR(VLOOKUP($F16,'Visu totale'!$D$3:$DH$129,CP$1,0),0)</f>
        <v>0</v>
      </c>
      <c r="CQ16" s="13">
        <f>IFERROR(VLOOKUP($F16,'Visu totale'!$D$3:$DH$129,CQ$1,0),0)</f>
        <v>0</v>
      </c>
      <c r="CR16" s="13">
        <f>IFERROR(VLOOKUP($F16,'Visu totale'!$D$3:$DH$129,CR$1,0),0)</f>
        <v>0</v>
      </c>
      <c r="CS16" s="13">
        <f>IFERROR(VLOOKUP($F16,'Visu totale'!$D$3:$DH$129,CS$1,0),0)</f>
        <v>0</v>
      </c>
      <c r="CT16" s="13">
        <f>IFERROR(VLOOKUP($F16,'Visu totale'!$D$3:$DH$129,CT$1,0),0)</f>
        <v>0</v>
      </c>
      <c r="CU16" s="13">
        <f>IFERROR(VLOOKUP($F16,'Visu totale'!$D$3:$DH$129,CU$1,0),0)</f>
        <v>0</v>
      </c>
      <c r="CV16" s="13">
        <f>IFERROR(VLOOKUP($F16,'Visu totale'!$D$3:$DH$129,CV$1,0),0)</f>
        <v>0</v>
      </c>
      <c r="CW16" s="13">
        <f>IFERROR(VLOOKUP($F16,'Visu totale'!$D$3:$DH$129,CW$1,0),0)</f>
        <v>0</v>
      </c>
      <c r="CX16" s="15">
        <f>IFERROR(VLOOKUP($F16,'Visu totale'!$D$3:$DH$129,CX$1,0),0)</f>
        <v>0</v>
      </c>
      <c r="CY16" s="14">
        <f>IFERROR(VLOOKUP($F16,'Visu totale'!$D$3:$DH$129,CY$1,0),0)</f>
        <v>0</v>
      </c>
      <c r="CZ16" s="13">
        <f>IFERROR(VLOOKUP($F16,'Visu totale'!$D$3:$DH$129,CZ$1,0),0)</f>
        <v>0</v>
      </c>
      <c r="DA16" s="13">
        <f>IFERROR(VLOOKUP($F16,'Visu totale'!$D$3:$DH$129,DA$1,0),0)</f>
        <v>0</v>
      </c>
      <c r="DB16" s="13">
        <f>IFERROR(VLOOKUP($F16,'Visu totale'!$D$3:$DH$129,DB$1,0),0)</f>
        <v>0</v>
      </c>
      <c r="DC16" s="13">
        <f>IFERROR(VLOOKUP($F16,'Visu totale'!$D$3:$DH$129,DC$1,0),0)</f>
        <v>0</v>
      </c>
      <c r="DD16" s="13">
        <f>IFERROR(VLOOKUP($F16,'Visu totale'!$D$3:$DH$129,DD$1,0),0)</f>
        <v>0</v>
      </c>
      <c r="DE16" s="13">
        <f>IFERROR(VLOOKUP($F16,'Visu totale'!$D$3:$DH$129,DE$1,0),0)</f>
        <v>0</v>
      </c>
      <c r="DF16" s="13">
        <f>IFERROR(VLOOKUP($F16,'Visu totale'!$D$3:$DH$129,DF$1,0),0)</f>
        <v>0</v>
      </c>
      <c r="DG16" s="13">
        <f>IFERROR(VLOOKUP($F16,'Visu totale'!$D$3:$DH$129,DG$1,0),0)</f>
        <v>0</v>
      </c>
      <c r="DH16" s="13">
        <f>IFERROR(VLOOKUP($F16,'Visu totale'!$D$3:$DH$129,DH$1,0),0)</f>
        <v>0</v>
      </c>
      <c r="DI16" s="13">
        <f>IFERROR(VLOOKUP($F16,'Visu totale'!$D$3:$DH$129,DI$1,0),0)</f>
        <v>0</v>
      </c>
      <c r="DJ16" s="15">
        <f>IFERROR(VLOOKUP($F16,'Visu totale'!$D$3:$DH$129,DJ$1,0),0)</f>
        <v>0</v>
      </c>
    </row>
    <row r="17" spans="1:114" s="12" customFormat="1" x14ac:dyDescent="0.25">
      <c r="A17" s="13"/>
      <c r="B17" s="13"/>
      <c r="C17" s="13"/>
      <c r="D17" s="13"/>
      <c r="E17" s="13"/>
      <c r="F17" s="17" t="s">
        <v>101</v>
      </c>
      <c r="G17" s="14">
        <f>IFERROR(VLOOKUP($F17,'Visu totale'!$D$3:$DH$129,G$1,0),0)</f>
        <v>0</v>
      </c>
      <c r="H17" s="13">
        <f>IFERROR(VLOOKUP($F17,'Visu totale'!$D$3:$DH$129,H$1,0),0)</f>
        <v>0</v>
      </c>
      <c r="I17" s="13">
        <f>IFERROR(VLOOKUP($F17,'Visu totale'!$D$3:$DH$129,I$1,0),0)</f>
        <v>0</v>
      </c>
      <c r="J17" s="13">
        <f>IFERROR(VLOOKUP($F17,'Visu totale'!$D$3:$DH$129,J$1,0),0)</f>
        <v>0</v>
      </c>
      <c r="K17" s="13">
        <f>IFERROR(VLOOKUP($F17,'Visu totale'!$D$3:$DH$129,K$1,0),0)</f>
        <v>0</v>
      </c>
      <c r="L17" s="13">
        <f>IFERROR(VLOOKUP($F17,'Visu totale'!$D$3:$DH$129,L$1,0),0)</f>
        <v>0</v>
      </c>
      <c r="M17" s="13">
        <f>IFERROR(VLOOKUP($F17,'Visu totale'!$D$3:$DH$129,M$1,0),0)</f>
        <v>0</v>
      </c>
      <c r="N17" s="13">
        <f>IFERROR(VLOOKUP($F17,'Visu totale'!$D$3:$DH$129,N$1,0),0)</f>
        <v>0</v>
      </c>
      <c r="O17" s="13">
        <f>IFERROR(VLOOKUP($F17,'Visu totale'!$D$3:$DH$129,O$1,0),0)</f>
        <v>0</v>
      </c>
      <c r="P17" s="13">
        <f>IFERROR(VLOOKUP($F17,'Visu totale'!$D$3:$DH$129,P$1,0),0)</f>
        <v>0</v>
      </c>
      <c r="Q17" s="13">
        <f>IFERROR(VLOOKUP($F17,'Visu totale'!$D$3:$DH$129,Q$1,0),0)</f>
        <v>0</v>
      </c>
      <c r="R17" s="15">
        <f>IFERROR(VLOOKUP($F17,'Visu totale'!$D$3:$DH$129,R$1,0),0)</f>
        <v>0</v>
      </c>
      <c r="S17" s="14">
        <f>IFERROR(VLOOKUP($F17,'Visu totale'!$D$3:$DH$129,S$1,0),0)</f>
        <v>0</v>
      </c>
      <c r="T17" s="13">
        <f>IFERROR(VLOOKUP($F17,'Visu totale'!$D$3:$DH$129,T$1,0),0)</f>
        <v>0</v>
      </c>
      <c r="U17" s="13">
        <f>IFERROR(VLOOKUP($F17,'Visu totale'!$D$3:$DH$129,U$1,0),0)</f>
        <v>0</v>
      </c>
      <c r="V17" s="13">
        <f>IFERROR(VLOOKUP($F17,'Visu totale'!$D$3:$DH$129,V$1,0),0)</f>
        <v>0</v>
      </c>
      <c r="W17" s="13">
        <f>IFERROR(VLOOKUP($F17,'Visu totale'!$D$3:$DH$129,W$1,0),0)</f>
        <v>0</v>
      </c>
      <c r="X17" s="13">
        <f>IFERROR(VLOOKUP($F17,'Visu totale'!$D$3:$DH$129,X$1,0),0)</f>
        <v>0</v>
      </c>
      <c r="Y17" s="13">
        <f>IFERROR(VLOOKUP($F17,'Visu totale'!$D$3:$DH$129,Y$1,0),0)</f>
        <v>0</v>
      </c>
      <c r="Z17" s="13">
        <f>IFERROR(VLOOKUP($F17,'Visu totale'!$D$3:$DH$129,Z$1,0),0)</f>
        <v>0</v>
      </c>
      <c r="AA17" s="13">
        <f>IFERROR(VLOOKUP($F17,'Visu totale'!$D$3:$DH$129,AA$1,0),0)</f>
        <v>0</v>
      </c>
      <c r="AB17" s="13">
        <f>IFERROR(VLOOKUP($F17,'Visu totale'!$D$3:$DH$129,AB$1,0),0)</f>
        <v>0</v>
      </c>
      <c r="AC17" s="13">
        <f>IFERROR(VLOOKUP($F17,'Visu totale'!$D$3:$DH$129,AC$1,0),0)</f>
        <v>0</v>
      </c>
      <c r="AD17" s="15">
        <f>IFERROR(VLOOKUP($F17,'Visu totale'!$D$3:$DH$129,AD$1,0),0)</f>
        <v>0</v>
      </c>
      <c r="AE17" s="14">
        <f>IFERROR(VLOOKUP($F17,'Visu totale'!$D$3:$DH$129,AE$1,0),0)</f>
        <v>0</v>
      </c>
      <c r="AF17" s="13">
        <f>IFERROR(VLOOKUP($F17,'Visu totale'!$D$3:$DH$129,AF$1,0),0)</f>
        <v>0</v>
      </c>
      <c r="AG17" s="13">
        <f>IFERROR(VLOOKUP($F17,'Visu totale'!$D$3:$DH$129,AG$1,0),0)</f>
        <v>0</v>
      </c>
      <c r="AH17" s="13">
        <f>IFERROR(VLOOKUP($F17,'Visu totale'!$D$3:$DH$129,AH$1,0),0)</f>
        <v>0</v>
      </c>
      <c r="AI17" s="13">
        <f>IFERROR(VLOOKUP($F17,'Visu totale'!$D$3:$DH$129,AI$1,0),0)</f>
        <v>0</v>
      </c>
      <c r="AJ17" s="13">
        <f>IFERROR(VLOOKUP($F17,'Visu totale'!$D$3:$DH$129,AJ$1,0),0)</f>
        <v>0</v>
      </c>
      <c r="AK17" s="13">
        <f>IFERROR(VLOOKUP($F17,'Visu totale'!$D$3:$DH$129,AK$1,0),0)</f>
        <v>0</v>
      </c>
      <c r="AL17" s="13">
        <f>IFERROR(VLOOKUP($F17,'Visu totale'!$D$3:$DH$129,AL$1,0),0)</f>
        <v>0</v>
      </c>
      <c r="AM17" s="13">
        <f>IFERROR(VLOOKUP($F17,'Visu totale'!$D$3:$DH$129,AM$1,0),0)</f>
        <v>0</v>
      </c>
      <c r="AN17" s="13">
        <f>IFERROR(VLOOKUP($F17,'Visu totale'!$D$3:$DH$129,AN$1,0),0)</f>
        <v>0</v>
      </c>
      <c r="AO17" s="13">
        <f>IFERROR(VLOOKUP($F17,'Visu totale'!$D$3:$DH$129,AO$1,0),0)</f>
        <v>0</v>
      </c>
      <c r="AP17" s="15">
        <f>IFERROR(VLOOKUP($F17,'Visu totale'!$D$3:$DH$129,AP$1,0),0)</f>
        <v>0</v>
      </c>
      <c r="AQ17" s="14">
        <f>IFERROR(VLOOKUP($F17,'Visu totale'!$D$3:$DH$129,AQ$1,0),0)</f>
        <v>0</v>
      </c>
      <c r="AR17" s="13">
        <f>IFERROR(VLOOKUP($F17,'Visu totale'!$D$3:$DH$129,AR$1,0),0)</f>
        <v>0</v>
      </c>
      <c r="AS17" s="13">
        <f>IFERROR(VLOOKUP($F17,'Visu totale'!$D$3:$DH$129,AS$1,0),0)</f>
        <v>0</v>
      </c>
      <c r="AT17" s="13">
        <f>IFERROR(VLOOKUP($F17,'Visu totale'!$D$3:$DH$129,AT$1,0),0)</f>
        <v>0</v>
      </c>
      <c r="AU17" s="13">
        <f>IFERROR(VLOOKUP($F17,'Visu totale'!$D$3:$DH$129,AU$1,0),0)</f>
        <v>0</v>
      </c>
      <c r="AV17" s="13">
        <f>IFERROR(VLOOKUP($F17,'Visu totale'!$D$3:$DH$129,AV$1,0),0)</f>
        <v>0</v>
      </c>
      <c r="AW17" s="13">
        <f>IFERROR(VLOOKUP($F17,'Visu totale'!$D$3:$DH$129,AW$1,0),0)</f>
        <v>0</v>
      </c>
      <c r="AX17" s="13">
        <f>IFERROR(VLOOKUP($F17,'Visu totale'!$D$3:$DH$129,AX$1,0),0)</f>
        <v>0</v>
      </c>
      <c r="AY17" s="13">
        <f>IFERROR(VLOOKUP($F17,'Visu totale'!$D$3:$DH$129,AY$1,0),0)</f>
        <v>0</v>
      </c>
      <c r="AZ17" s="13">
        <f>IFERROR(VLOOKUP($F17,'Visu totale'!$D$3:$DH$129,AZ$1,0),0)</f>
        <v>0</v>
      </c>
      <c r="BA17" s="13">
        <f>IFERROR(VLOOKUP($F17,'Visu totale'!$D$3:$DH$129,BA$1,0),0)</f>
        <v>0</v>
      </c>
      <c r="BB17" s="15">
        <f>IFERROR(VLOOKUP($F17,'Visu totale'!$D$3:$DH$129,BB$1,0),0)</f>
        <v>0</v>
      </c>
      <c r="BC17" s="14">
        <f>IFERROR(VLOOKUP($F17,'Visu totale'!$D$3:$DH$129,BC$1,0),0)</f>
        <v>0</v>
      </c>
      <c r="BD17" s="13">
        <f>IFERROR(VLOOKUP($F17,'Visu totale'!$D$3:$DH$129,BD$1,0),0)</f>
        <v>0</v>
      </c>
      <c r="BE17" s="13">
        <f>IFERROR(VLOOKUP($F17,'Visu totale'!$D$3:$DH$129,BE$1,0),0)</f>
        <v>0</v>
      </c>
      <c r="BF17" s="13">
        <f>IFERROR(VLOOKUP($F17,'Visu totale'!$D$3:$DH$129,BF$1,0),0)</f>
        <v>0</v>
      </c>
      <c r="BG17" s="13">
        <f>IFERROR(VLOOKUP($F17,'Visu totale'!$D$3:$DH$129,BG$1,0),0)</f>
        <v>0</v>
      </c>
      <c r="BH17" s="13">
        <f>IFERROR(VLOOKUP($F17,'Visu totale'!$D$3:$DH$129,BH$1,0),0)</f>
        <v>0</v>
      </c>
      <c r="BI17" s="13">
        <f>IFERROR(VLOOKUP($F17,'Visu totale'!$D$3:$DH$129,BI$1,0),0)</f>
        <v>0</v>
      </c>
      <c r="BJ17" s="13">
        <f>IFERROR(VLOOKUP($F17,'Visu totale'!$D$3:$DH$129,BJ$1,0),0)</f>
        <v>0</v>
      </c>
      <c r="BK17" s="13">
        <f>IFERROR(VLOOKUP($F17,'Visu totale'!$D$3:$DH$129,BK$1,0),0)</f>
        <v>0</v>
      </c>
      <c r="BL17" s="13">
        <f>IFERROR(VLOOKUP($F17,'Visu totale'!$D$3:$DH$129,BL$1,0),0)</f>
        <v>0</v>
      </c>
      <c r="BM17" s="13">
        <f>IFERROR(VLOOKUP($F17,'Visu totale'!$D$3:$DH$129,BM$1,0),0)</f>
        <v>0</v>
      </c>
      <c r="BN17" s="15">
        <f>IFERROR(VLOOKUP($F17,'Visu totale'!$D$3:$DH$129,BN$1,0),0)</f>
        <v>0</v>
      </c>
      <c r="BO17" s="14">
        <f>IFERROR(VLOOKUP($F17,'Visu totale'!$D$3:$DH$129,BO$1,0),0)</f>
        <v>0</v>
      </c>
      <c r="BP17" s="13">
        <f>IFERROR(VLOOKUP($F17,'Visu totale'!$D$3:$DH$129,BP$1,0),0)</f>
        <v>0</v>
      </c>
      <c r="BQ17" s="13">
        <f>IFERROR(VLOOKUP($F17,'Visu totale'!$D$3:$DH$129,BQ$1,0),0)</f>
        <v>0</v>
      </c>
      <c r="BR17" s="13">
        <f>IFERROR(VLOOKUP($F17,'Visu totale'!$D$3:$DH$129,BR$1,0),0)</f>
        <v>0</v>
      </c>
      <c r="BS17" s="13">
        <f>IFERROR(VLOOKUP($F17,'Visu totale'!$D$3:$DH$129,BS$1,0),0)</f>
        <v>0</v>
      </c>
      <c r="BT17" s="13">
        <f>IFERROR(VLOOKUP($F17,'Visu totale'!$D$3:$DH$129,BT$1,0),0)</f>
        <v>0</v>
      </c>
      <c r="BU17" s="13">
        <f>IFERROR(VLOOKUP($F17,'Visu totale'!$D$3:$DH$129,BU$1,0),0)</f>
        <v>0</v>
      </c>
      <c r="BV17" s="13">
        <f>IFERROR(VLOOKUP($F17,'Visu totale'!$D$3:$DH$129,BV$1,0),0)</f>
        <v>0</v>
      </c>
      <c r="BW17" s="13">
        <f>IFERROR(VLOOKUP($F17,'Visu totale'!$D$3:$DH$129,BW$1,0),0)</f>
        <v>0</v>
      </c>
      <c r="BX17" s="13">
        <f>IFERROR(VLOOKUP($F17,'Visu totale'!$D$3:$DH$129,BX$1,0),0)</f>
        <v>0</v>
      </c>
      <c r="BY17" s="13">
        <f>IFERROR(VLOOKUP($F17,'Visu totale'!$D$3:$DH$129,BY$1,0),0)</f>
        <v>0</v>
      </c>
      <c r="BZ17" s="15">
        <f>IFERROR(VLOOKUP($F17,'Visu totale'!$D$3:$DH$129,BZ$1,0),0)</f>
        <v>0</v>
      </c>
      <c r="CA17" s="14">
        <f>IFERROR(VLOOKUP($F17,'Visu totale'!$D$3:$DH$129,CA$1,0),0)</f>
        <v>0</v>
      </c>
      <c r="CB17" s="13">
        <f>IFERROR(VLOOKUP($F17,'Visu totale'!$D$3:$DH$129,CB$1,0),0)</f>
        <v>0</v>
      </c>
      <c r="CC17" s="13">
        <f>IFERROR(VLOOKUP($F17,'Visu totale'!$D$3:$DH$129,CC$1,0),0)</f>
        <v>0</v>
      </c>
      <c r="CD17" s="13">
        <f>IFERROR(VLOOKUP($F17,'Visu totale'!$D$3:$DH$129,CD$1,0),0)</f>
        <v>0</v>
      </c>
      <c r="CE17" s="13">
        <f>IFERROR(VLOOKUP($F17,'Visu totale'!$D$3:$DH$129,CE$1,0),0)</f>
        <v>0</v>
      </c>
      <c r="CF17" s="13">
        <f>IFERROR(VLOOKUP($F17,'Visu totale'!$D$3:$DH$129,CF$1,0),0)</f>
        <v>0</v>
      </c>
      <c r="CG17" s="13">
        <f>IFERROR(VLOOKUP($F17,'Visu totale'!$D$3:$DH$129,CG$1,0),0)</f>
        <v>0</v>
      </c>
      <c r="CH17" s="13">
        <f>IFERROR(VLOOKUP($F17,'Visu totale'!$D$3:$DH$129,CH$1,0),0)</f>
        <v>0</v>
      </c>
      <c r="CI17" s="13">
        <f>IFERROR(VLOOKUP($F17,'Visu totale'!$D$3:$DH$129,CI$1,0),0)</f>
        <v>0</v>
      </c>
      <c r="CJ17" s="13">
        <f>IFERROR(VLOOKUP($F17,'Visu totale'!$D$3:$DH$129,CJ$1,0),0)</f>
        <v>0</v>
      </c>
      <c r="CK17" s="13">
        <f>IFERROR(VLOOKUP($F17,'Visu totale'!$D$3:$DH$129,CK$1,0),0)</f>
        <v>0</v>
      </c>
      <c r="CL17" s="15">
        <f>IFERROR(VLOOKUP($F17,'Visu totale'!$D$3:$DH$129,CL$1,0),0)</f>
        <v>0</v>
      </c>
      <c r="CM17" s="14">
        <f>IFERROR(VLOOKUP($F17,'Visu totale'!$D$3:$DH$129,CM$1,0),0)</f>
        <v>0</v>
      </c>
      <c r="CN17" s="13">
        <f>IFERROR(VLOOKUP($F17,'Visu totale'!$D$3:$DH$129,CN$1,0),0)</f>
        <v>0</v>
      </c>
      <c r="CO17" s="13">
        <f>IFERROR(VLOOKUP($F17,'Visu totale'!$D$3:$DH$129,CO$1,0),0)</f>
        <v>0</v>
      </c>
      <c r="CP17" s="13">
        <f>IFERROR(VLOOKUP($F17,'Visu totale'!$D$3:$DH$129,CP$1,0),0)</f>
        <v>0</v>
      </c>
      <c r="CQ17" s="13">
        <f>IFERROR(VLOOKUP($F17,'Visu totale'!$D$3:$DH$129,CQ$1,0),0)</f>
        <v>0</v>
      </c>
      <c r="CR17" s="13">
        <f>IFERROR(VLOOKUP($F17,'Visu totale'!$D$3:$DH$129,CR$1,0),0)</f>
        <v>0</v>
      </c>
      <c r="CS17" s="13">
        <f>IFERROR(VLOOKUP($F17,'Visu totale'!$D$3:$DH$129,CS$1,0),0)</f>
        <v>0</v>
      </c>
      <c r="CT17" s="13">
        <f>IFERROR(VLOOKUP($F17,'Visu totale'!$D$3:$DH$129,CT$1,0),0)</f>
        <v>0</v>
      </c>
      <c r="CU17" s="13">
        <f>IFERROR(VLOOKUP($F17,'Visu totale'!$D$3:$DH$129,CU$1,0),0)</f>
        <v>0</v>
      </c>
      <c r="CV17" s="13">
        <f>IFERROR(VLOOKUP($F17,'Visu totale'!$D$3:$DH$129,CV$1,0),0)</f>
        <v>0</v>
      </c>
      <c r="CW17" s="13">
        <f>IFERROR(VLOOKUP($F17,'Visu totale'!$D$3:$DH$129,CW$1,0),0)</f>
        <v>0</v>
      </c>
      <c r="CX17" s="15">
        <f>IFERROR(VLOOKUP($F17,'Visu totale'!$D$3:$DH$129,CX$1,0),0)</f>
        <v>0</v>
      </c>
      <c r="CY17" s="14">
        <f>IFERROR(VLOOKUP($F17,'Visu totale'!$D$3:$DH$129,CY$1,0),0)</f>
        <v>0</v>
      </c>
      <c r="CZ17" s="13">
        <f>IFERROR(VLOOKUP($F17,'Visu totale'!$D$3:$DH$129,CZ$1,0),0)</f>
        <v>0</v>
      </c>
      <c r="DA17" s="13">
        <f>IFERROR(VLOOKUP($F17,'Visu totale'!$D$3:$DH$129,DA$1,0),0)</f>
        <v>0</v>
      </c>
      <c r="DB17" s="13">
        <f>IFERROR(VLOOKUP($F17,'Visu totale'!$D$3:$DH$129,DB$1,0),0)</f>
        <v>0</v>
      </c>
      <c r="DC17" s="13">
        <f>IFERROR(VLOOKUP($F17,'Visu totale'!$D$3:$DH$129,DC$1,0),0)</f>
        <v>0</v>
      </c>
      <c r="DD17" s="13">
        <f>IFERROR(VLOOKUP($F17,'Visu totale'!$D$3:$DH$129,DD$1,0),0)</f>
        <v>0</v>
      </c>
      <c r="DE17" s="13">
        <f>IFERROR(VLOOKUP($F17,'Visu totale'!$D$3:$DH$129,DE$1,0),0)</f>
        <v>0</v>
      </c>
      <c r="DF17" s="13">
        <f>IFERROR(VLOOKUP($F17,'Visu totale'!$D$3:$DH$129,DF$1,0),0)</f>
        <v>0</v>
      </c>
      <c r="DG17" s="13">
        <f>IFERROR(VLOOKUP($F17,'Visu totale'!$D$3:$DH$129,DG$1,0),0)</f>
        <v>0</v>
      </c>
      <c r="DH17" s="13">
        <f>IFERROR(VLOOKUP($F17,'Visu totale'!$D$3:$DH$129,DH$1,0),0)</f>
        <v>0</v>
      </c>
      <c r="DI17" s="13">
        <f>IFERROR(VLOOKUP($F17,'Visu totale'!$D$3:$DH$129,DI$1,0),0)</f>
        <v>0</v>
      </c>
      <c r="DJ17" s="15">
        <f>IFERROR(VLOOKUP($F17,'Visu totale'!$D$3:$DH$129,DJ$1,0),0)</f>
        <v>0</v>
      </c>
    </row>
    <row r="18" spans="1:114" s="12" customFormat="1" x14ac:dyDescent="0.25">
      <c r="A18" s="13"/>
      <c r="B18" s="13"/>
      <c r="C18" s="13"/>
      <c r="D18" s="13"/>
      <c r="E18" s="13"/>
      <c r="F18" s="17" t="s">
        <v>102</v>
      </c>
      <c r="G18" s="14">
        <f>IFERROR(VLOOKUP($F18,'Visu totale'!$D$3:$DH$129,G$1,0),0)</f>
        <v>0</v>
      </c>
      <c r="H18" s="13">
        <f>IFERROR(VLOOKUP($F18,'Visu totale'!$D$3:$DH$129,H$1,0),0)</f>
        <v>0</v>
      </c>
      <c r="I18" s="13">
        <f>IFERROR(VLOOKUP($F18,'Visu totale'!$D$3:$DH$129,I$1,0),0)</f>
        <v>0</v>
      </c>
      <c r="J18" s="13">
        <f>IFERROR(VLOOKUP($F18,'Visu totale'!$D$3:$DH$129,J$1,0),0)</f>
        <v>0</v>
      </c>
      <c r="K18" s="13">
        <f>IFERROR(VLOOKUP($F18,'Visu totale'!$D$3:$DH$129,K$1,0),0)</f>
        <v>0</v>
      </c>
      <c r="L18" s="13">
        <f>IFERROR(VLOOKUP($F18,'Visu totale'!$D$3:$DH$129,L$1,0),0)</f>
        <v>0</v>
      </c>
      <c r="M18" s="13">
        <f>IFERROR(VLOOKUP($F18,'Visu totale'!$D$3:$DH$129,M$1,0),0)</f>
        <v>0</v>
      </c>
      <c r="N18" s="13">
        <f>IFERROR(VLOOKUP($F18,'Visu totale'!$D$3:$DH$129,N$1,0),0)</f>
        <v>0</v>
      </c>
      <c r="O18" s="13">
        <f>IFERROR(VLOOKUP($F18,'Visu totale'!$D$3:$DH$129,O$1,0),0)</f>
        <v>0</v>
      </c>
      <c r="P18" s="13">
        <f>IFERROR(VLOOKUP($F18,'Visu totale'!$D$3:$DH$129,P$1,0),0)</f>
        <v>0</v>
      </c>
      <c r="Q18" s="13">
        <f>IFERROR(VLOOKUP($F18,'Visu totale'!$D$3:$DH$129,Q$1,0),0)</f>
        <v>0</v>
      </c>
      <c r="R18" s="15">
        <f>IFERROR(VLOOKUP($F18,'Visu totale'!$D$3:$DH$129,R$1,0),0)</f>
        <v>0</v>
      </c>
      <c r="S18" s="14">
        <f>IFERROR(VLOOKUP($F18,'Visu totale'!$D$3:$DH$129,S$1,0),0)</f>
        <v>0</v>
      </c>
      <c r="T18" s="13">
        <f>IFERROR(VLOOKUP($F18,'Visu totale'!$D$3:$DH$129,T$1,0),0)</f>
        <v>0</v>
      </c>
      <c r="U18" s="13">
        <f>IFERROR(VLOOKUP($F18,'Visu totale'!$D$3:$DH$129,U$1,0),0)</f>
        <v>0</v>
      </c>
      <c r="V18" s="13">
        <f>IFERROR(VLOOKUP($F18,'Visu totale'!$D$3:$DH$129,V$1,0),0)</f>
        <v>0</v>
      </c>
      <c r="W18" s="13">
        <f>IFERROR(VLOOKUP($F18,'Visu totale'!$D$3:$DH$129,W$1,0),0)</f>
        <v>0</v>
      </c>
      <c r="X18" s="13">
        <f>IFERROR(VLOOKUP($F18,'Visu totale'!$D$3:$DH$129,X$1,0),0)</f>
        <v>0</v>
      </c>
      <c r="Y18" s="13">
        <f>IFERROR(VLOOKUP($F18,'Visu totale'!$D$3:$DH$129,Y$1,0),0)</f>
        <v>0</v>
      </c>
      <c r="Z18" s="13">
        <f>IFERROR(VLOOKUP($F18,'Visu totale'!$D$3:$DH$129,Z$1,0),0)</f>
        <v>0</v>
      </c>
      <c r="AA18" s="13">
        <f>IFERROR(VLOOKUP($F18,'Visu totale'!$D$3:$DH$129,AA$1,0),0)</f>
        <v>0</v>
      </c>
      <c r="AB18" s="13">
        <f>IFERROR(VLOOKUP($F18,'Visu totale'!$D$3:$DH$129,AB$1,0),0)</f>
        <v>0</v>
      </c>
      <c r="AC18" s="13">
        <f>IFERROR(VLOOKUP($F18,'Visu totale'!$D$3:$DH$129,AC$1,0),0)</f>
        <v>0</v>
      </c>
      <c r="AD18" s="15">
        <f>IFERROR(VLOOKUP($F18,'Visu totale'!$D$3:$DH$129,AD$1,0),0)</f>
        <v>0</v>
      </c>
      <c r="AE18" s="14">
        <f>IFERROR(VLOOKUP($F18,'Visu totale'!$D$3:$DH$129,AE$1,0),0)</f>
        <v>0</v>
      </c>
      <c r="AF18" s="13">
        <f>IFERROR(VLOOKUP($F18,'Visu totale'!$D$3:$DH$129,AF$1,0),0)</f>
        <v>0</v>
      </c>
      <c r="AG18" s="13">
        <f>IFERROR(VLOOKUP($F18,'Visu totale'!$D$3:$DH$129,AG$1,0),0)</f>
        <v>0</v>
      </c>
      <c r="AH18" s="13">
        <f>IFERROR(VLOOKUP($F18,'Visu totale'!$D$3:$DH$129,AH$1,0),0)</f>
        <v>0</v>
      </c>
      <c r="AI18" s="13">
        <f>IFERROR(VLOOKUP($F18,'Visu totale'!$D$3:$DH$129,AI$1,0),0)</f>
        <v>0</v>
      </c>
      <c r="AJ18" s="13">
        <f>IFERROR(VLOOKUP($F18,'Visu totale'!$D$3:$DH$129,AJ$1,0),0)</f>
        <v>0</v>
      </c>
      <c r="AK18" s="13">
        <f>IFERROR(VLOOKUP($F18,'Visu totale'!$D$3:$DH$129,AK$1,0),0)</f>
        <v>0</v>
      </c>
      <c r="AL18" s="13">
        <f>IFERROR(VLOOKUP($F18,'Visu totale'!$D$3:$DH$129,AL$1,0),0)</f>
        <v>0</v>
      </c>
      <c r="AM18" s="13">
        <f>IFERROR(VLOOKUP($F18,'Visu totale'!$D$3:$DH$129,AM$1,0),0)</f>
        <v>0</v>
      </c>
      <c r="AN18" s="13">
        <f>IFERROR(VLOOKUP($F18,'Visu totale'!$D$3:$DH$129,AN$1,0),0)</f>
        <v>0</v>
      </c>
      <c r="AO18" s="13">
        <f>IFERROR(VLOOKUP($F18,'Visu totale'!$D$3:$DH$129,AO$1,0),0)</f>
        <v>0</v>
      </c>
      <c r="AP18" s="15">
        <f>IFERROR(VLOOKUP($F18,'Visu totale'!$D$3:$DH$129,AP$1,0),0)</f>
        <v>0</v>
      </c>
      <c r="AQ18" s="14">
        <f>IFERROR(VLOOKUP($F18,'Visu totale'!$D$3:$DH$129,AQ$1,0),0)</f>
        <v>0</v>
      </c>
      <c r="AR18" s="13">
        <f>IFERROR(VLOOKUP($F18,'Visu totale'!$D$3:$DH$129,AR$1,0),0)</f>
        <v>0</v>
      </c>
      <c r="AS18" s="13">
        <f>IFERROR(VLOOKUP($F18,'Visu totale'!$D$3:$DH$129,AS$1,0),0)</f>
        <v>0</v>
      </c>
      <c r="AT18" s="13">
        <f>IFERROR(VLOOKUP($F18,'Visu totale'!$D$3:$DH$129,AT$1,0),0)</f>
        <v>0</v>
      </c>
      <c r="AU18" s="13">
        <f>IFERROR(VLOOKUP($F18,'Visu totale'!$D$3:$DH$129,AU$1,0),0)</f>
        <v>0</v>
      </c>
      <c r="AV18" s="13">
        <f>IFERROR(VLOOKUP($F18,'Visu totale'!$D$3:$DH$129,AV$1,0),0)</f>
        <v>0</v>
      </c>
      <c r="AW18" s="13">
        <f>IFERROR(VLOOKUP($F18,'Visu totale'!$D$3:$DH$129,AW$1,0),0)</f>
        <v>0</v>
      </c>
      <c r="AX18" s="13">
        <f>IFERROR(VLOOKUP($F18,'Visu totale'!$D$3:$DH$129,AX$1,0),0)</f>
        <v>0</v>
      </c>
      <c r="AY18" s="13">
        <f>IFERROR(VLOOKUP($F18,'Visu totale'!$D$3:$DH$129,AY$1,0),0)</f>
        <v>0</v>
      </c>
      <c r="AZ18" s="13">
        <f>IFERROR(VLOOKUP($F18,'Visu totale'!$D$3:$DH$129,AZ$1,0),0)</f>
        <v>0</v>
      </c>
      <c r="BA18" s="13">
        <f>IFERROR(VLOOKUP($F18,'Visu totale'!$D$3:$DH$129,BA$1,0),0)</f>
        <v>0</v>
      </c>
      <c r="BB18" s="15">
        <f>IFERROR(VLOOKUP($F18,'Visu totale'!$D$3:$DH$129,BB$1,0),0)</f>
        <v>0</v>
      </c>
      <c r="BC18" s="14">
        <f>IFERROR(VLOOKUP($F18,'Visu totale'!$D$3:$DH$129,BC$1,0),0)</f>
        <v>0</v>
      </c>
      <c r="BD18" s="13">
        <f>IFERROR(VLOOKUP($F18,'Visu totale'!$D$3:$DH$129,BD$1,0),0)</f>
        <v>0</v>
      </c>
      <c r="BE18" s="13">
        <f>IFERROR(VLOOKUP($F18,'Visu totale'!$D$3:$DH$129,BE$1,0),0)</f>
        <v>0</v>
      </c>
      <c r="BF18" s="13">
        <f>IFERROR(VLOOKUP($F18,'Visu totale'!$D$3:$DH$129,BF$1,0),0)</f>
        <v>0</v>
      </c>
      <c r="BG18" s="13">
        <f>IFERROR(VLOOKUP($F18,'Visu totale'!$D$3:$DH$129,BG$1,0),0)</f>
        <v>0</v>
      </c>
      <c r="BH18" s="13">
        <f>IFERROR(VLOOKUP($F18,'Visu totale'!$D$3:$DH$129,BH$1,0),0)</f>
        <v>0</v>
      </c>
      <c r="BI18" s="13">
        <f>IFERROR(VLOOKUP($F18,'Visu totale'!$D$3:$DH$129,BI$1,0),0)</f>
        <v>0</v>
      </c>
      <c r="BJ18" s="13">
        <f>IFERROR(VLOOKUP($F18,'Visu totale'!$D$3:$DH$129,BJ$1,0),0)</f>
        <v>0</v>
      </c>
      <c r="BK18" s="13">
        <f>IFERROR(VLOOKUP($F18,'Visu totale'!$D$3:$DH$129,BK$1,0),0)</f>
        <v>0</v>
      </c>
      <c r="BL18" s="13">
        <f>IFERROR(VLOOKUP($F18,'Visu totale'!$D$3:$DH$129,BL$1,0),0)</f>
        <v>0</v>
      </c>
      <c r="BM18" s="13">
        <f>IFERROR(VLOOKUP($F18,'Visu totale'!$D$3:$DH$129,BM$1,0),0)</f>
        <v>0</v>
      </c>
      <c r="BN18" s="15">
        <f>IFERROR(VLOOKUP($F18,'Visu totale'!$D$3:$DH$129,BN$1,0),0)</f>
        <v>0</v>
      </c>
      <c r="BO18" s="14">
        <f>IFERROR(VLOOKUP($F18,'Visu totale'!$D$3:$DH$129,BO$1,0),0)</f>
        <v>0</v>
      </c>
      <c r="BP18" s="13">
        <f>IFERROR(VLOOKUP($F18,'Visu totale'!$D$3:$DH$129,BP$1,0),0)</f>
        <v>0</v>
      </c>
      <c r="BQ18" s="13">
        <f>IFERROR(VLOOKUP($F18,'Visu totale'!$D$3:$DH$129,BQ$1,0),0)</f>
        <v>0</v>
      </c>
      <c r="BR18" s="13">
        <f>IFERROR(VLOOKUP($F18,'Visu totale'!$D$3:$DH$129,BR$1,0),0)</f>
        <v>0</v>
      </c>
      <c r="BS18" s="13">
        <f>IFERROR(VLOOKUP($F18,'Visu totale'!$D$3:$DH$129,BS$1,0),0)</f>
        <v>0</v>
      </c>
      <c r="BT18" s="13">
        <f>IFERROR(VLOOKUP($F18,'Visu totale'!$D$3:$DH$129,BT$1,0),0)</f>
        <v>0</v>
      </c>
      <c r="BU18" s="13">
        <f>IFERROR(VLOOKUP($F18,'Visu totale'!$D$3:$DH$129,BU$1,0),0)</f>
        <v>0</v>
      </c>
      <c r="BV18" s="13">
        <f>IFERROR(VLOOKUP($F18,'Visu totale'!$D$3:$DH$129,BV$1,0),0)</f>
        <v>0</v>
      </c>
      <c r="BW18" s="13">
        <f>IFERROR(VLOOKUP($F18,'Visu totale'!$D$3:$DH$129,BW$1,0),0)</f>
        <v>0</v>
      </c>
      <c r="BX18" s="13">
        <f>IFERROR(VLOOKUP($F18,'Visu totale'!$D$3:$DH$129,BX$1,0),0)</f>
        <v>0</v>
      </c>
      <c r="BY18" s="13">
        <f>IFERROR(VLOOKUP($F18,'Visu totale'!$D$3:$DH$129,BY$1,0),0)</f>
        <v>0</v>
      </c>
      <c r="BZ18" s="15">
        <f>IFERROR(VLOOKUP($F18,'Visu totale'!$D$3:$DH$129,BZ$1,0),0)</f>
        <v>0</v>
      </c>
      <c r="CA18" s="14">
        <f>IFERROR(VLOOKUP($F18,'Visu totale'!$D$3:$DH$129,CA$1,0),0)</f>
        <v>0</v>
      </c>
      <c r="CB18" s="13">
        <f>IFERROR(VLOOKUP($F18,'Visu totale'!$D$3:$DH$129,CB$1,0),0)</f>
        <v>0</v>
      </c>
      <c r="CC18" s="13">
        <f>IFERROR(VLOOKUP($F18,'Visu totale'!$D$3:$DH$129,CC$1,0),0)</f>
        <v>0</v>
      </c>
      <c r="CD18" s="13">
        <f>IFERROR(VLOOKUP($F18,'Visu totale'!$D$3:$DH$129,CD$1,0),0)</f>
        <v>0</v>
      </c>
      <c r="CE18" s="13">
        <f>IFERROR(VLOOKUP($F18,'Visu totale'!$D$3:$DH$129,CE$1,0),0)</f>
        <v>0</v>
      </c>
      <c r="CF18" s="13">
        <f>IFERROR(VLOOKUP($F18,'Visu totale'!$D$3:$DH$129,CF$1,0),0)</f>
        <v>0</v>
      </c>
      <c r="CG18" s="13">
        <f>IFERROR(VLOOKUP($F18,'Visu totale'!$D$3:$DH$129,CG$1,0),0)</f>
        <v>0</v>
      </c>
      <c r="CH18" s="13">
        <f>IFERROR(VLOOKUP($F18,'Visu totale'!$D$3:$DH$129,CH$1,0),0)</f>
        <v>0</v>
      </c>
      <c r="CI18" s="13">
        <f>IFERROR(VLOOKUP($F18,'Visu totale'!$D$3:$DH$129,CI$1,0),0)</f>
        <v>0</v>
      </c>
      <c r="CJ18" s="13">
        <f>IFERROR(VLOOKUP($F18,'Visu totale'!$D$3:$DH$129,CJ$1,0),0)</f>
        <v>0</v>
      </c>
      <c r="CK18" s="13">
        <f>IFERROR(VLOOKUP($F18,'Visu totale'!$D$3:$DH$129,CK$1,0),0)</f>
        <v>0</v>
      </c>
      <c r="CL18" s="15">
        <f>IFERROR(VLOOKUP($F18,'Visu totale'!$D$3:$DH$129,CL$1,0),0)</f>
        <v>0</v>
      </c>
      <c r="CM18" s="14">
        <f>IFERROR(VLOOKUP($F18,'Visu totale'!$D$3:$DH$129,CM$1,0),0)</f>
        <v>0</v>
      </c>
      <c r="CN18" s="13">
        <f>IFERROR(VLOOKUP($F18,'Visu totale'!$D$3:$DH$129,CN$1,0),0)</f>
        <v>0</v>
      </c>
      <c r="CO18" s="13">
        <f>IFERROR(VLOOKUP($F18,'Visu totale'!$D$3:$DH$129,CO$1,0),0)</f>
        <v>0</v>
      </c>
      <c r="CP18" s="13">
        <f>IFERROR(VLOOKUP($F18,'Visu totale'!$D$3:$DH$129,CP$1,0),0)</f>
        <v>0</v>
      </c>
      <c r="CQ18" s="13">
        <f>IFERROR(VLOOKUP($F18,'Visu totale'!$D$3:$DH$129,CQ$1,0),0)</f>
        <v>0</v>
      </c>
      <c r="CR18" s="13">
        <f>IFERROR(VLOOKUP($F18,'Visu totale'!$D$3:$DH$129,CR$1,0),0)</f>
        <v>0</v>
      </c>
      <c r="CS18" s="13">
        <f>IFERROR(VLOOKUP($F18,'Visu totale'!$D$3:$DH$129,CS$1,0),0)</f>
        <v>0</v>
      </c>
      <c r="CT18" s="13">
        <f>IFERROR(VLOOKUP($F18,'Visu totale'!$D$3:$DH$129,CT$1,0),0)</f>
        <v>0</v>
      </c>
      <c r="CU18" s="13">
        <f>IFERROR(VLOOKUP($F18,'Visu totale'!$D$3:$DH$129,CU$1,0),0)</f>
        <v>0</v>
      </c>
      <c r="CV18" s="13">
        <f>IFERROR(VLOOKUP($F18,'Visu totale'!$D$3:$DH$129,CV$1,0),0)</f>
        <v>0</v>
      </c>
      <c r="CW18" s="13">
        <f>IFERROR(VLOOKUP($F18,'Visu totale'!$D$3:$DH$129,CW$1,0),0)</f>
        <v>0</v>
      </c>
      <c r="CX18" s="15">
        <f>IFERROR(VLOOKUP($F18,'Visu totale'!$D$3:$DH$129,CX$1,0),0)</f>
        <v>0</v>
      </c>
      <c r="CY18" s="14">
        <f>IFERROR(VLOOKUP($F18,'Visu totale'!$D$3:$DH$129,CY$1,0),0)</f>
        <v>0</v>
      </c>
      <c r="CZ18" s="13">
        <f>IFERROR(VLOOKUP($F18,'Visu totale'!$D$3:$DH$129,CZ$1,0),0)</f>
        <v>0</v>
      </c>
      <c r="DA18" s="13">
        <f>IFERROR(VLOOKUP($F18,'Visu totale'!$D$3:$DH$129,DA$1,0),0)</f>
        <v>0</v>
      </c>
      <c r="DB18" s="13">
        <f>IFERROR(VLOOKUP($F18,'Visu totale'!$D$3:$DH$129,DB$1,0),0)</f>
        <v>0</v>
      </c>
      <c r="DC18" s="13">
        <f>IFERROR(VLOOKUP($F18,'Visu totale'!$D$3:$DH$129,DC$1,0),0)</f>
        <v>0</v>
      </c>
      <c r="DD18" s="13">
        <f>IFERROR(VLOOKUP($F18,'Visu totale'!$D$3:$DH$129,DD$1,0),0)</f>
        <v>0</v>
      </c>
      <c r="DE18" s="13">
        <f>IFERROR(VLOOKUP($F18,'Visu totale'!$D$3:$DH$129,DE$1,0),0)</f>
        <v>0</v>
      </c>
      <c r="DF18" s="13">
        <f>IFERROR(VLOOKUP($F18,'Visu totale'!$D$3:$DH$129,DF$1,0),0)</f>
        <v>0</v>
      </c>
      <c r="DG18" s="13">
        <f>IFERROR(VLOOKUP($F18,'Visu totale'!$D$3:$DH$129,DG$1,0),0)</f>
        <v>0</v>
      </c>
      <c r="DH18" s="13">
        <f>IFERROR(VLOOKUP($F18,'Visu totale'!$D$3:$DH$129,DH$1,0),0)</f>
        <v>0</v>
      </c>
      <c r="DI18" s="13">
        <f>IFERROR(VLOOKUP($F18,'Visu totale'!$D$3:$DH$129,DI$1,0),0)</f>
        <v>0</v>
      </c>
      <c r="DJ18" s="15">
        <f>IFERROR(VLOOKUP($F18,'Visu totale'!$D$3:$DH$129,DJ$1,0),0)</f>
        <v>0</v>
      </c>
    </row>
    <row r="19" spans="1:114" s="12" customFormat="1" x14ac:dyDescent="0.25">
      <c r="A19" s="13"/>
      <c r="B19" s="13"/>
      <c r="C19" s="13"/>
      <c r="D19" s="13"/>
      <c r="E19" s="13"/>
      <c r="F19" s="17" t="s">
        <v>103</v>
      </c>
      <c r="G19" s="14">
        <f>IFERROR(VLOOKUP($F19,'Visu totale'!$D$3:$DH$129,G$1,0),0)</f>
        <v>0</v>
      </c>
      <c r="H19" s="13">
        <f>IFERROR(VLOOKUP($F19,'Visu totale'!$D$3:$DH$129,H$1,0),0)</f>
        <v>0</v>
      </c>
      <c r="I19" s="13">
        <f>IFERROR(VLOOKUP($F19,'Visu totale'!$D$3:$DH$129,I$1,0),0)</f>
        <v>0</v>
      </c>
      <c r="J19" s="13">
        <f>IFERROR(VLOOKUP($F19,'Visu totale'!$D$3:$DH$129,J$1,0),0)</f>
        <v>0</v>
      </c>
      <c r="K19" s="13">
        <f>IFERROR(VLOOKUP($F19,'Visu totale'!$D$3:$DH$129,K$1,0),0)</f>
        <v>0</v>
      </c>
      <c r="L19" s="13">
        <f>IFERROR(VLOOKUP($F19,'Visu totale'!$D$3:$DH$129,L$1,0),0)</f>
        <v>0</v>
      </c>
      <c r="M19" s="13">
        <f>IFERROR(VLOOKUP($F19,'Visu totale'!$D$3:$DH$129,M$1,0),0)</f>
        <v>0</v>
      </c>
      <c r="N19" s="13">
        <f>IFERROR(VLOOKUP($F19,'Visu totale'!$D$3:$DH$129,N$1,0),0)</f>
        <v>0</v>
      </c>
      <c r="O19" s="13">
        <f>IFERROR(VLOOKUP($F19,'Visu totale'!$D$3:$DH$129,O$1,0),0)</f>
        <v>0</v>
      </c>
      <c r="P19" s="13">
        <f>IFERROR(VLOOKUP($F19,'Visu totale'!$D$3:$DH$129,P$1,0),0)</f>
        <v>0</v>
      </c>
      <c r="Q19" s="13">
        <f>IFERROR(VLOOKUP($F19,'Visu totale'!$D$3:$DH$129,Q$1,0),0)</f>
        <v>0</v>
      </c>
      <c r="R19" s="15">
        <f>IFERROR(VLOOKUP($F19,'Visu totale'!$D$3:$DH$129,R$1,0),0)</f>
        <v>0</v>
      </c>
      <c r="S19" s="14">
        <f>IFERROR(VLOOKUP($F19,'Visu totale'!$D$3:$DH$129,S$1,0),0)</f>
        <v>0</v>
      </c>
      <c r="T19" s="13">
        <f>IFERROR(VLOOKUP($F19,'Visu totale'!$D$3:$DH$129,T$1,0),0)</f>
        <v>0</v>
      </c>
      <c r="U19" s="13">
        <f>IFERROR(VLOOKUP($F19,'Visu totale'!$D$3:$DH$129,U$1,0),0)</f>
        <v>0</v>
      </c>
      <c r="V19" s="13">
        <f>IFERROR(VLOOKUP($F19,'Visu totale'!$D$3:$DH$129,V$1,0),0)</f>
        <v>0</v>
      </c>
      <c r="W19" s="13">
        <f>IFERROR(VLOOKUP($F19,'Visu totale'!$D$3:$DH$129,W$1,0),0)</f>
        <v>0</v>
      </c>
      <c r="X19" s="13">
        <f>IFERROR(VLOOKUP($F19,'Visu totale'!$D$3:$DH$129,X$1,0),0)</f>
        <v>0</v>
      </c>
      <c r="Y19" s="13">
        <f>IFERROR(VLOOKUP($F19,'Visu totale'!$D$3:$DH$129,Y$1,0),0)</f>
        <v>0</v>
      </c>
      <c r="Z19" s="13">
        <f>IFERROR(VLOOKUP($F19,'Visu totale'!$D$3:$DH$129,Z$1,0),0)</f>
        <v>0</v>
      </c>
      <c r="AA19" s="13">
        <f>IFERROR(VLOOKUP($F19,'Visu totale'!$D$3:$DH$129,AA$1,0),0)</f>
        <v>0</v>
      </c>
      <c r="AB19" s="13">
        <f>IFERROR(VLOOKUP($F19,'Visu totale'!$D$3:$DH$129,AB$1,0),0)</f>
        <v>0</v>
      </c>
      <c r="AC19" s="13">
        <f>IFERROR(VLOOKUP($F19,'Visu totale'!$D$3:$DH$129,AC$1,0),0)</f>
        <v>0</v>
      </c>
      <c r="AD19" s="15">
        <f>IFERROR(VLOOKUP($F19,'Visu totale'!$D$3:$DH$129,AD$1,0),0)</f>
        <v>0</v>
      </c>
      <c r="AE19" s="14">
        <f>IFERROR(VLOOKUP($F19,'Visu totale'!$D$3:$DH$129,AE$1,0),0)</f>
        <v>0</v>
      </c>
      <c r="AF19" s="13">
        <f>IFERROR(VLOOKUP($F19,'Visu totale'!$D$3:$DH$129,AF$1,0),0)</f>
        <v>0</v>
      </c>
      <c r="AG19" s="13">
        <f>IFERROR(VLOOKUP($F19,'Visu totale'!$D$3:$DH$129,AG$1,0),0)</f>
        <v>0</v>
      </c>
      <c r="AH19" s="13">
        <f>IFERROR(VLOOKUP($F19,'Visu totale'!$D$3:$DH$129,AH$1,0),0)</f>
        <v>0</v>
      </c>
      <c r="AI19" s="13">
        <f>IFERROR(VLOOKUP($F19,'Visu totale'!$D$3:$DH$129,AI$1,0),0)</f>
        <v>0</v>
      </c>
      <c r="AJ19" s="13">
        <f>IFERROR(VLOOKUP($F19,'Visu totale'!$D$3:$DH$129,AJ$1,0),0)</f>
        <v>0</v>
      </c>
      <c r="AK19" s="13">
        <f>IFERROR(VLOOKUP($F19,'Visu totale'!$D$3:$DH$129,AK$1,0),0)</f>
        <v>0</v>
      </c>
      <c r="AL19" s="13">
        <f>IFERROR(VLOOKUP($F19,'Visu totale'!$D$3:$DH$129,AL$1,0),0)</f>
        <v>0</v>
      </c>
      <c r="AM19" s="13">
        <f>IFERROR(VLOOKUP($F19,'Visu totale'!$D$3:$DH$129,AM$1,0),0)</f>
        <v>0</v>
      </c>
      <c r="AN19" s="13">
        <f>IFERROR(VLOOKUP($F19,'Visu totale'!$D$3:$DH$129,AN$1,0),0)</f>
        <v>0</v>
      </c>
      <c r="AO19" s="13">
        <f>IFERROR(VLOOKUP($F19,'Visu totale'!$D$3:$DH$129,AO$1,0),0)</f>
        <v>0</v>
      </c>
      <c r="AP19" s="15">
        <f>IFERROR(VLOOKUP($F19,'Visu totale'!$D$3:$DH$129,AP$1,0),0)</f>
        <v>0</v>
      </c>
      <c r="AQ19" s="14">
        <f>IFERROR(VLOOKUP($F19,'Visu totale'!$D$3:$DH$129,AQ$1,0),0)</f>
        <v>0</v>
      </c>
      <c r="AR19" s="13">
        <f>IFERROR(VLOOKUP($F19,'Visu totale'!$D$3:$DH$129,AR$1,0),0)</f>
        <v>0</v>
      </c>
      <c r="AS19" s="13">
        <f>IFERROR(VLOOKUP($F19,'Visu totale'!$D$3:$DH$129,AS$1,0),0)</f>
        <v>0</v>
      </c>
      <c r="AT19" s="13">
        <f>IFERROR(VLOOKUP($F19,'Visu totale'!$D$3:$DH$129,AT$1,0),0)</f>
        <v>0</v>
      </c>
      <c r="AU19" s="13">
        <f>IFERROR(VLOOKUP($F19,'Visu totale'!$D$3:$DH$129,AU$1,0),0)</f>
        <v>0</v>
      </c>
      <c r="AV19" s="13">
        <f>IFERROR(VLOOKUP($F19,'Visu totale'!$D$3:$DH$129,AV$1,0),0)</f>
        <v>0</v>
      </c>
      <c r="AW19" s="13">
        <f>IFERROR(VLOOKUP($F19,'Visu totale'!$D$3:$DH$129,AW$1,0),0)</f>
        <v>0</v>
      </c>
      <c r="AX19" s="13">
        <f>IFERROR(VLOOKUP($F19,'Visu totale'!$D$3:$DH$129,AX$1,0),0)</f>
        <v>0</v>
      </c>
      <c r="AY19" s="13">
        <f>IFERROR(VLOOKUP($F19,'Visu totale'!$D$3:$DH$129,AY$1,0),0)</f>
        <v>0</v>
      </c>
      <c r="AZ19" s="13">
        <f>IFERROR(VLOOKUP($F19,'Visu totale'!$D$3:$DH$129,AZ$1,0),0)</f>
        <v>0</v>
      </c>
      <c r="BA19" s="13">
        <f>IFERROR(VLOOKUP($F19,'Visu totale'!$D$3:$DH$129,BA$1,0),0)</f>
        <v>0</v>
      </c>
      <c r="BB19" s="15">
        <f>IFERROR(VLOOKUP($F19,'Visu totale'!$D$3:$DH$129,BB$1,0),0)</f>
        <v>0</v>
      </c>
      <c r="BC19" s="14">
        <f>IFERROR(VLOOKUP($F19,'Visu totale'!$D$3:$DH$129,BC$1,0),0)</f>
        <v>0</v>
      </c>
      <c r="BD19" s="13">
        <f>IFERROR(VLOOKUP($F19,'Visu totale'!$D$3:$DH$129,BD$1,0),0)</f>
        <v>0</v>
      </c>
      <c r="BE19" s="13">
        <f>IFERROR(VLOOKUP($F19,'Visu totale'!$D$3:$DH$129,BE$1,0),0)</f>
        <v>0</v>
      </c>
      <c r="BF19" s="13">
        <f>IFERROR(VLOOKUP($F19,'Visu totale'!$D$3:$DH$129,BF$1,0),0)</f>
        <v>0</v>
      </c>
      <c r="BG19" s="13">
        <f>IFERROR(VLOOKUP($F19,'Visu totale'!$D$3:$DH$129,BG$1,0),0)</f>
        <v>0</v>
      </c>
      <c r="BH19" s="13">
        <f>IFERROR(VLOOKUP($F19,'Visu totale'!$D$3:$DH$129,BH$1,0),0)</f>
        <v>0</v>
      </c>
      <c r="BI19" s="13">
        <f>IFERROR(VLOOKUP($F19,'Visu totale'!$D$3:$DH$129,BI$1,0),0)</f>
        <v>0</v>
      </c>
      <c r="BJ19" s="13">
        <f>IFERROR(VLOOKUP($F19,'Visu totale'!$D$3:$DH$129,BJ$1,0),0)</f>
        <v>0</v>
      </c>
      <c r="BK19" s="13">
        <f>IFERROR(VLOOKUP($F19,'Visu totale'!$D$3:$DH$129,BK$1,0),0)</f>
        <v>0</v>
      </c>
      <c r="BL19" s="13">
        <f>IFERROR(VLOOKUP($F19,'Visu totale'!$D$3:$DH$129,BL$1,0),0)</f>
        <v>0</v>
      </c>
      <c r="BM19" s="13">
        <f>IFERROR(VLOOKUP($F19,'Visu totale'!$D$3:$DH$129,BM$1,0),0)</f>
        <v>0</v>
      </c>
      <c r="BN19" s="15">
        <f>IFERROR(VLOOKUP($F19,'Visu totale'!$D$3:$DH$129,BN$1,0),0)</f>
        <v>0</v>
      </c>
      <c r="BO19" s="14">
        <f>IFERROR(VLOOKUP($F19,'Visu totale'!$D$3:$DH$129,BO$1,0),0)</f>
        <v>0</v>
      </c>
      <c r="BP19" s="13">
        <f>IFERROR(VLOOKUP($F19,'Visu totale'!$D$3:$DH$129,BP$1,0),0)</f>
        <v>0</v>
      </c>
      <c r="BQ19" s="13">
        <f>IFERROR(VLOOKUP($F19,'Visu totale'!$D$3:$DH$129,BQ$1,0),0)</f>
        <v>0</v>
      </c>
      <c r="BR19" s="13">
        <f>IFERROR(VLOOKUP($F19,'Visu totale'!$D$3:$DH$129,BR$1,0),0)</f>
        <v>0</v>
      </c>
      <c r="BS19" s="13">
        <f>IFERROR(VLOOKUP($F19,'Visu totale'!$D$3:$DH$129,BS$1,0),0)</f>
        <v>0</v>
      </c>
      <c r="BT19" s="13">
        <f>IFERROR(VLOOKUP($F19,'Visu totale'!$D$3:$DH$129,BT$1,0),0)</f>
        <v>0</v>
      </c>
      <c r="BU19" s="13">
        <f>IFERROR(VLOOKUP($F19,'Visu totale'!$D$3:$DH$129,BU$1,0),0)</f>
        <v>0</v>
      </c>
      <c r="BV19" s="13">
        <f>IFERROR(VLOOKUP($F19,'Visu totale'!$D$3:$DH$129,BV$1,0),0)</f>
        <v>0</v>
      </c>
      <c r="BW19" s="13">
        <f>IFERROR(VLOOKUP($F19,'Visu totale'!$D$3:$DH$129,BW$1,0),0)</f>
        <v>0</v>
      </c>
      <c r="BX19" s="13">
        <f>IFERROR(VLOOKUP($F19,'Visu totale'!$D$3:$DH$129,BX$1,0),0)</f>
        <v>0</v>
      </c>
      <c r="BY19" s="13">
        <f>IFERROR(VLOOKUP($F19,'Visu totale'!$D$3:$DH$129,BY$1,0),0)</f>
        <v>0</v>
      </c>
      <c r="BZ19" s="15">
        <f>IFERROR(VLOOKUP($F19,'Visu totale'!$D$3:$DH$129,BZ$1,0),0)</f>
        <v>0</v>
      </c>
      <c r="CA19" s="14">
        <f>IFERROR(VLOOKUP($F19,'Visu totale'!$D$3:$DH$129,CA$1,0),0)</f>
        <v>0</v>
      </c>
      <c r="CB19" s="13">
        <f>IFERROR(VLOOKUP($F19,'Visu totale'!$D$3:$DH$129,CB$1,0),0)</f>
        <v>0</v>
      </c>
      <c r="CC19" s="13">
        <f>IFERROR(VLOOKUP($F19,'Visu totale'!$D$3:$DH$129,CC$1,0),0)</f>
        <v>0</v>
      </c>
      <c r="CD19" s="13">
        <f>IFERROR(VLOOKUP($F19,'Visu totale'!$D$3:$DH$129,CD$1,0),0)</f>
        <v>0</v>
      </c>
      <c r="CE19" s="13">
        <f>IFERROR(VLOOKUP($F19,'Visu totale'!$D$3:$DH$129,CE$1,0),0)</f>
        <v>0</v>
      </c>
      <c r="CF19" s="13">
        <f>IFERROR(VLOOKUP($F19,'Visu totale'!$D$3:$DH$129,CF$1,0),0)</f>
        <v>0</v>
      </c>
      <c r="CG19" s="13">
        <f>IFERROR(VLOOKUP($F19,'Visu totale'!$D$3:$DH$129,CG$1,0),0)</f>
        <v>0</v>
      </c>
      <c r="CH19" s="13">
        <f>IFERROR(VLOOKUP($F19,'Visu totale'!$D$3:$DH$129,CH$1,0),0)</f>
        <v>0</v>
      </c>
      <c r="CI19" s="13">
        <f>IFERROR(VLOOKUP($F19,'Visu totale'!$D$3:$DH$129,CI$1,0),0)</f>
        <v>0</v>
      </c>
      <c r="CJ19" s="13">
        <f>IFERROR(VLOOKUP($F19,'Visu totale'!$D$3:$DH$129,CJ$1,0),0)</f>
        <v>0</v>
      </c>
      <c r="CK19" s="13">
        <f>IFERROR(VLOOKUP($F19,'Visu totale'!$D$3:$DH$129,CK$1,0),0)</f>
        <v>0</v>
      </c>
      <c r="CL19" s="15">
        <f>IFERROR(VLOOKUP($F19,'Visu totale'!$D$3:$DH$129,CL$1,0),0)</f>
        <v>0</v>
      </c>
      <c r="CM19" s="14">
        <f>IFERROR(VLOOKUP($F19,'Visu totale'!$D$3:$DH$129,CM$1,0),0)</f>
        <v>0</v>
      </c>
      <c r="CN19" s="13">
        <f>IFERROR(VLOOKUP($F19,'Visu totale'!$D$3:$DH$129,CN$1,0),0)</f>
        <v>0</v>
      </c>
      <c r="CO19" s="13">
        <f>IFERROR(VLOOKUP($F19,'Visu totale'!$D$3:$DH$129,CO$1,0),0)</f>
        <v>0</v>
      </c>
      <c r="CP19" s="13">
        <f>IFERROR(VLOOKUP($F19,'Visu totale'!$D$3:$DH$129,CP$1,0),0)</f>
        <v>0</v>
      </c>
      <c r="CQ19" s="13">
        <f>IFERROR(VLOOKUP($F19,'Visu totale'!$D$3:$DH$129,CQ$1,0),0)</f>
        <v>0</v>
      </c>
      <c r="CR19" s="13">
        <f>IFERROR(VLOOKUP($F19,'Visu totale'!$D$3:$DH$129,CR$1,0),0)</f>
        <v>0</v>
      </c>
      <c r="CS19" s="13">
        <f>IFERROR(VLOOKUP($F19,'Visu totale'!$D$3:$DH$129,CS$1,0),0)</f>
        <v>0</v>
      </c>
      <c r="CT19" s="13">
        <f>IFERROR(VLOOKUP($F19,'Visu totale'!$D$3:$DH$129,CT$1,0),0)</f>
        <v>0</v>
      </c>
      <c r="CU19" s="13">
        <f>IFERROR(VLOOKUP($F19,'Visu totale'!$D$3:$DH$129,CU$1,0),0)</f>
        <v>0</v>
      </c>
      <c r="CV19" s="13">
        <f>IFERROR(VLOOKUP($F19,'Visu totale'!$D$3:$DH$129,CV$1,0),0)</f>
        <v>0</v>
      </c>
      <c r="CW19" s="13">
        <f>IFERROR(VLOOKUP($F19,'Visu totale'!$D$3:$DH$129,CW$1,0),0)</f>
        <v>0</v>
      </c>
      <c r="CX19" s="15">
        <f>IFERROR(VLOOKUP($F19,'Visu totale'!$D$3:$DH$129,CX$1,0),0)</f>
        <v>0</v>
      </c>
      <c r="CY19" s="14">
        <f>IFERROR(VLOOKUP($F19,'Visu totale'!$D$3:$DH$129,CY$1,0),0)</f>
        <v>0</v>
      </c>
      <c r="CZ19" s="13">
        <f>IFERROR(VLOOKUP($F19,'Visu totale'!$D$3:$DH$129,CZ$1,0),0)</f>
        <v>0</v>
      </c>
      <c r="DA19" s="13">
        <f>IFERROR(VLOOKUP($F19,'Visu totale'!$D$3:$DH$129,DA$1,0),0)</f>
        <v>0</v>
      </c>
      <c r="DB19" s="13">
        <f>IFERROR(VLOOKUP($F19,'Visu totale'!$D$3:$DH$129,DB$1,0),0)</f>
        <v>0</v>
      </c>
      <c r="DC19" s="13">
        <f>IFERROR(VLOOKUP($F19,'Visu totale'!$D$3:$DH$129,DC$1,0),0)</f>
        <v>0</v>
      </c>
      <c r="DD19" s="13">
        <f>IFERROR(VLOOKUP($F19,'Visu totale'!$D$3:$DH$129,DD$1,0),0)</f>
        <v>0</v>
      </c>
      <c r="DE19" s="13">
        <f>IFERROR(VLOOKUP($F19,'Visu totale'!$D$3:$DH$129,DE$1,0),0)</f>
        <v>0</v>
      </c>
      <c r="DF19" s="13">
        <f>IFERROR(VLOOKUP($F19,'Visu totale'!$D$3:$DH$129,DF$1,0),0)</f>
        <v>0</v>
      </c>
      <c r="DG19" s="13">
        <f>IFERROR(VLOOKUP($F19,'Visu totale'!$D$3:$DH$129,DG$1,0),0)</f>
        <v>0</v>
      </c>
      <c r="DH19" s="13">
        <f>IFERROR(VLOOKUP($F19,'Visu totale'!$D$3:$DH$129,DH$1,0),0)</f>
        <v>0</v>
      </c>
      <c r="DI19" s="13">
        <f>IFERROR(VLOOKUP($F19,'Visu totale'!$D$3:$DH$129,DI$1,0),0)</f>
        <v>0</v>
      </c>
      <c r="DJ19" s="15">
        <f>IFERROR(VLOOKUP($F19,'Visu totale'!$D$3:$DH$129,DJ$1,0),0)</f>
        <v>0</v>
      </c>
    </row>
  </sheetData>
  <mergeCells count="9">
    <mergeCell ref="CA2:CL2"/>
    <mergeCell ref="CM2:CX2"/>
    <mergeCell ref="CY2:DJ2"/>
    <mergeCell ref="G2:R2"/>
    <mergeCell ref="S2:AD2"/>
    <mergeCell ref="AE2:AP2"/>
    <mergeCell ref="AQ2:BB2"/>
    <mergeCell ref="BC2:BN2"/>
    <mergeCell ref="BO2:BZ2"/>
  </mergeCells>
  <conditionalFormatting sqref="G4:DJ19">
    <cfRule type="beginsWith" dxfId="19" priority="1" operator="beginsWith" text="S">
      <formula>LEFT(G4,LEN("S"))="S"</formula>
    </cfRule>
    <cfRule type="cellIs" dxfId="18" priority="2" operator="equal">
      <formula>"x"</formula>
    </cfRule>
    <cfRule type="beginsWith" dxfId="17" priority="3" operator="beginsWith" text="V">
      <formula>LEFT(G4,LEN("V"))="V"</formula>
    </cfRule>
    <cfRule type="cellIs" dxfId="16" priority="4" operator="greaterThan">
      <formula>25</formula>
    </cfRule>
    <cfRule type="cellIs" dxfId="15" priority="5" operator="greaterThanOrEqual">
      <formula>22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K77"/>
  <sheetViews>
    <sheetView zoomScale="55" zoomScaleNormal="55" workbookViewId="0">
      <pane xSplit="7" ySplit="3" topLeftCell="CO4" activePane="bottomRight" state="frozen"/>
      <selection pane="topRight" activeCell="E1" sqref="E1"/>
      <selection pane="bottomLeft" activeCell="A3" sqref="A3"/>
      <selection pane="bottomRight" activeCell="CZ2" sqref="CZ2:DK2"/>
    </sheetView>
  </sheetViews>
  <sheetFormatPr defaultColWidth="9.140625" defaultRowHeight="15" x14ac:dyDescent="0.25"/>
  <cols>
    <col min="1" max="1" width="6.5703125" bestFit="1" customWidth="1"/>
    <col min="2" max="2" width="11.5703125" bestFit="1" customWidth="1"/>
    <col min="3" max="3" width="11.85546875" bestFit="1" customWidth="1"/>
    <col min="4" max="4" width="7.140625" bestFit="1" customWidth="1"/>
    <col min="5" max="5" width="9" customWidth="1"/>
    <col min="6" max="6" width="13.85546875" customWidth="1"/>
    <col min="7" max="7" width="8.7109375" bestFit="1" customWidth="1"/>
    <col min="8" max="8" width="6.140625" bestFit="1" customWidth="1"/>
    <col min="9" max="9" width="6.5703125" bestFit="1" customWidth="1"/>
    <col min="10" max="10" width="6.85546875" bestFit="1" customWidth="1"/>
    <col min="11" max="11" width="6.5703125" bestFit="1" customWidth="1"/>
    <col min="12" max="12" width="7.140625" bestFit="1" customWidth="1"/>
    <col min="13" max="13" width="6.140625" customWidth="1"/>
    <col min="14" max="14" width="5.5703125" bestFit="1" customWidth="1"/>
    <col min="15" max="15" width="6.85546875" bestFit="1" customWidth="1"/>
    <col min="16" max="16" width="6.5703125" bestFit="1" customWidth="1"/>
    <col min="17" max="17" width="6.42578125" bestFit="1" customWidth="1"/>
    <col min="18" max="18" width="6.85546875" bestFit="1" customWidth="1"/>
    <col min="19" max="19" width="6.5703125" bestFit="1" customWidth="1"/>
    <col min="20" max="20" width="6.140625" bestFit="1" customWidth="1"/>
    <col min="21" max="21" width="6.5703125" bestFit="1" customWidth="1"/>
    <col min="22" max="22" width="6.85546875" bestFit="1" customWidth="1"/>
    <col min="23" max="23" width="6.5703125" bestFit="1" customWidth="1"/>
    <col min="24" max="24" width="7.140625" bestFit="1" customWidth="1"/>
    <col min="25" max="25" width="6.140625" bestFit="1" customWidth="1"/>
    <col min="26" max="26" width="5.5703125" bestFit="1" customWidth="1"/>
    <col min="27" max="27" width="6.85546875" bestFit="1" customWidth="1"/>
    <col min="28" max="28" width="6.5703125" bestFit="1" customWidth="1"/>
    <col min="29" max="29" width="6.42578125" bestFit="1" customWidth="1"/>
    <col min="30" max="30" width="6.85546875" bestFit="1" customWidth="1"/>
    <col min="31" max="31" width="6.5703125" bestFit="1" customWidth="1"/>
    <col min="32" max="32" width="6.140625" bestFit="1" customWidth="1"/>
    <col min="33" max="33" width="6.5703125" bestFit="1" customWidth="1"/>
    <col min="34" max="34" width="6.85546875" bestFit="1" customWidth="1"/>
    <col min="35" max="35" width="6.5703125" bestFit="1" customWidth="1"/>
    <col min="36" max="36" width="7.140625" bestFit="1" customWidth="1"/>
    <col min="37" max="37" width="6.140625" bestFit="1" customWidth="1"/>
    <col min="38" max="38" width="5.5703125" bestFit="1" customWidth="1"/>
    <col min="39" max="39" width="6.85546875" bestFit="1" customWidth="1"/>
    <col min="40" max="40" width="6.5703125" bestFit="1" customWidth="1"/>
    <col min="41" max="41" width="6.42578125" bestFit="1" customWidth="1"/>
    <col min="42" max="42" width="6.85546875" bestFit="1" customWidth="1"/>
    <col min="43" max="45" width="6.5703125" bestFit="1" customWidth="1"/>
    <col min="46" max="46" width="6.85546875" bestFit="1" customWidth="1"/>
    <col min="47" max="47" width="6.5703125" bestFit="1" customWidth="1"/>
    <col min="48" max="48" width="7.140625" bestFit="1" customWidth="1"/>
    <col min="49" max="50" width="6.5703125" bestFit="1" customWidth="1"/>
    <col min="51" max="51" width="6.85546875" bestFit="1" customWidth="1"/>
    <col min="52" max="53" width="6.5703125" bestFit="1" customWidth="1"/>
    <col min="54" max="54" width="6.85546875" bestFit="1" customWidth="1"/>
    <col min="55" max="57" width="6.5703125" bestFit="1" customWidth="1"/>
    <col min="58" max="58" width="6.85546875" bestFit="1" customWidth="1"/>
    <col min="59" max="59" width="6.5703125" bestFit="1" customWidth="1"/>
    <col min="60" max="60" width="7.140625" bestFit="1" customWidth="1"/>
    <col min="61" max="61" width="6.140625" bestFit="1" customWidth="1"/>
    <col min="62" max="62" width="5.5703125" bestFit="1" customWidth="1"/>
    <col min="63" max="63" width="6.85546875" bestFit="1" customWidth="1"/>
    <col min="64" max="64" width="6.5703125" bestFit="1" customWidth="1"/>
    <col min="65" max="65" width="6.42578125" bestFit="1" customWidth="1"/>
    <col min="66" max="66" width="6.85546875" bestFit="1" customWidth="1"/>
    <col min="67" max="67" width="6.5703125" bestFit="1" customWidth="1"/>
    <col min="68" max="68" width="6.140625" bestFit="1" customWidth="1"/>
    <col min="69" max="69" width="6.5703125" bestFit="1" customWidth="1"/>
    <col min="70" max="70" width="6.85546875" bestFit="1" customWidth="1"/>
    <col min="71" max="71" width="6.5703125" bestFit="1" customWidth="1"/>
    <col min="72" max="72" width="7.140625" bestFit="1" customWidth="1"/>
    <col min="73" max="73" width="6.140625" bestFit="1" customWidth="1"/>
    <col min="74" max="74" width="5.85546875" bestFit="1" customWidth="1"/>
    <col min="75" max="75" width="6.85546875" bestFit="1" customWidth="1"/>
    <col min="76" max="77" width="6.5703125" bestFit="1" customWidth="1"/>
    <col min="78" max="78" width="6.85546875" bestFit="1" customWidth="1"/>
    <col min="79" max="81" width="6.5703125" bestFit="1" customWidth="1"/>
    <col min="82" max="82" width="6.85546875" bestFit="1" customWidth="1"/>
    <col min="83" max="83" width="6.5703125" bestFit="1" customWidth="1"/>
    <col min="84" max="84" width="7.140625" bestFit="1" customWidth="1"/>
    <col min="85" max="86" width="6.5703125" bestFit="1" customWidth="1"/>
    <col min="87" max="87" width="6.85546875" bestFit="1" customWidth="1"/>
    <col min="88" max="89" width="6.5703125" bestFit="1" customWidth="1"/>
    <col min="90" max="90" width="6.85546875" bestFit="1" customWidth="1"/>
    <col min="91" max="93" width="6.5703125" bestFit="1" customWidth="1"/>
    <col min="94" max="94" width="6.85546875" bestFit="1" customWidth="1"/>
    <col min="95" max="95" width="6.5703125" bestFit="1" customWidth="1"/>
    <col min="96" max="96" width="7.140625" bestFit="1" customWidth="1"/>
    <col min="97" max="97" width="6.140625" bestFit="1" customWidth="1"/>
    <col min="98" max="98" width="5.85546875" bestFit="1" customWidth="1"/>
    <col min="99" max="99" width="6.85546875" bestFit="1" customWidth="1"/>
    <col min="100" max="100" width="6.5703125" bestFit="1" customWidth="1"/>
    <col min="101" max="101" width="6.42578125" bestFit="1" customWidth="1"/>
    <col min="102" max="102" width="6.85546875" bestFit="1" customWidth="1"/>
    <col min="103" max="103" width="6.5703125" bestFit="1" customWidth="1"/>
    <col min="104" max="104" width="6.140625" bestFit="1" customWidth="1"/>
    <col min="105" max="105" width="6.5703125" bestFit="1" customWidth="1"/>
    <col min="106" max="106" width="6.85546875" bestFit="1" customWidth="1"/>
    <col min="107" max="107" width="6.5703125" bestFit="1" customWidth="1"/>
    <col min="108" max="108" width="7.140625" bestFit="1" customWidth="1"/>
    <col min="109" max="110" width="6.5703125" bestFit="1" customWidth="1"/>
    <col min="111" max="111" width="6.85546875" bestFit="1" customWidth="1"/>
    <col min="112" max="113" width="6.5703125" bestFit="1" customWidth="1"/>
    <col min="114" max="114" width="6.85546875" bestFit="1" customWidth="1"/>
    <col min="115" max="115" width="6.5703125" bestFit="1" customWidth="1"/>
  </cols>
  <sheetData>
    <row r="1" spans="1:115" ht="15.75" hidden="1" thickBot="1" x14ac:dyDescent="0.3"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36</v>
      </c>
      <c r="AQ1">
        <v>37</v>
      </c>
      <c r="AR1">
        <v>38</v>
      </c>
      <c r="AS1">
        <v>39</v>
      </c>
      <c r="AT1">
        <v>40</v>
      </c>
      <c r="AU1">
        <v>41</v>
      </c>
      <c r="AV1">
        <v>42</v>
      </c>
      <c r="AW1">
        <v>43</v>
      </c>
      <c r="AX1">
        <v>44</v>
      </c>
      <c r="AY1">
        <v>45</v>
      </c>
      <c r="AZ1">
        <v>46</v>
      </c>
      <c r="BA1">
        <v>47</v>
      </c>
      <c r="BB1">
        <v>48</v>
      </c>
      <c r="BC1">
        <v>49</v>
      </c>
      <c r="BD1">
        <v>50</v>
      </c>
      <c r="BE1">
        <v>51</v>
      </c>
      <c r="BF1">
        <v>52</v>
      </c>
      <c r="BG1">
        <v>53</v>
      </c>
      <c r="BH1">
        <v>54</v>
      </c>
      <c r="BI1">
        <v>55</v>
      </c>
      <c r="BJ1">
        <v>56</v>
      </c>
      <c r="BK1">
        <v>57</v>
      </c>
      <c r="BL1">
        <v>58</v>
      </c>
      <c r="BM1">
        <v>59</v>
      </c>
      <c r="BN1">
        <v>60</v>
      </c>
      <c r="BO1">
        <v>61</v>
      </c>
      <c r="BP1">
        <v>62</v>
      </c>
      <c r="BQ1">
        <v>63</v>
      </c>
      <c r="BR1">
        <v>64</v>
      </c>
      <c r="BS1">
        <v>65</v>
      </c>
      <c r="BT1">
        <v>66</v>
      </c>
      <c r="BU1">
        <v>67</v>
      </c>
      <c r="BV1">
        <v>68</v>
      </c>
      <c r="BW1">
        <v>69</v>
      </c>
      <c r="BX1">
        <v>70</v>
      </c>
      <c r="BY1">
        <v>71</v>
      </c>
      <c r="BZ1">
        <v>72</v>
      </c>
      <c r="CA1">
        <v>73</v>
      </c>
      <c r="CB1">
        <v>74</v>
      </c>
      <c r="CC1">
        <v>75</v>
      </c>
      <c r="CD1">
        <v>76</v>
      </c>
      <c r="CE1">
        <v>77</v>
      </c>
      <c r="CF1">
        <v>78</v>
      </c>
      <c r="CG1">
        <v>79</v>
      </c>
      <c r="CH1">
        <v>80</v>
      </c>
      <c r="CI1">
        <v>81</v>
      </c>
      <c r="CJ1">
        <v>82</v>
      </c>
      <c r="CK1">
        <v>83</v>
      </c>
      <c r="CL1">
        <v>84</v>
      </c>
      <c r="CM1">
        <v>85</v>
      </c>
      <c r="CN1">
        <v>86</v>
      </c>
      <c r="CO1">
        <v>87</v>
      </c>
      <c r="CP1">
        <v>88</v>
      </c>
      <c r="CQ1">
        <v>89</v>
      </c>
      <c r="CR1">
        <v>90</v>
      </c>
      <c r="CS1">
        <v>91</v>
      </c>
      <c r="CT1">
        <v>92</v>
      </c>
      <c r="CU1">
        <v>93</v>
      </c>
      <c r="CV1">
        <v>94</v>
      </c>
      <c r="CW1">
        <v>95</v>
      </c>
      <c r="CX1">
        <v>96</v>
      </c>
      <c r="CY1">
        <v>97</v>
      </c>
      <c r="CZ1">
        <v>98</v>
      </c>
      <c r="DA1">
        <v>99</v>
      </c>
      <c r="DB1">
        <v>100</v>
      </c>
      <c r="DC1">
        <v>101</v>
      </c>
      <c r="DD1">
        <v>102</v>
      </c>
      <c r="DE1">
        <v>103</v>
      </c>
      <c r="DF1">
        <v>104</v>
      </c>
      <c r="DG1">
        <v>105</v>
      </c>
      <c r="DH1">
        <v>106</v>
      </c>
      <c r="DI1">
        <v>107</v>
      </c>
      <c r="DJ1">
        <v>108</v>
      </c>
      <c r="DK1">
        <v>109</v>
      </c>
    </row>
    <row r="2" spans="1:115" ht="20.25" x14ac:dyDescent="0.25">
      <c r="A2" s="11"/>
      <c r="B2" s="11"/>
      <c r="C2" s="11"/>
      <c r="D2" s="11"/>
      <c r="E2" s="11"/>
      <c r="F2" s="11"/>
      <c r="G2" s="11"/>
      <c r="H2" s="32">
        <f>YEAR(DATE(2017,1,1))</f>
        <v>2017</v>
      </c>
      <c r="I2" s="33"/>
      <c r="J2" s="33"/>
      <c r="K2" s="33"/>
      <c r="L2" s="33"/>
      <c r="M2" s="33"/>
      <c r="N2" s="33"/>
      <c r="O2" s="33"/>
      <c r="P2" s="33"/>
      <c r="Q2" s="33"/>
      <c r="R2" s="33"/>
      <c r="S2" s="34"/>
      <c r="T2" s="32">
        <f>YEAR(DATE(2017,13,1))</f>
        <v>2018</v>
      </c>
      <c r="U2" s="33"/>
      <c r="V2" s="33"/>
      <c r="W2" s="33"/>
      <c r="X2" s="33"/>
      <c r="Y2" s="33"/>
      <c r="Z2" s="33"/>
      <c r="AA2" s="33"/>
      <c r="AB2" s="33"/>
      <c r="AC2" s="33"/>
      <c r="AD2" s="33"/>
      <c r="AE2" s="34"/>
      <c r="AF2" s="32">
        <f>YEAR(DATE(2017,25,1))</f>
        <v>2019</v>
      </c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4"/>
      <c r="AR2" s="32">
        <f>YEAR(DATE(2017,37,1))</f>
        <v>2020</v>
      </c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4"/>
      <c r="BD2" s="32">
        <f>YEAR(DATE(2017,49,1))</f>
        <v>2021</v>
      </c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4"/>
      <c r="BP2" s="32">
        <f>YEAR(DATE(2017,61,1))</f>
        <v>2022</v>
      </c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4"/>
      <c r="CB2" s="32">
        <f>YEAR(DATE(2017,73,1))</f>
        <v>2023</v>
      </c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4"/>
      <c r="CN2" s="32">
        <f>YEAR(DATE(2017,85,1))</f>
        <v>2024</v>
      </c>
      <c r="CO2" s="33"/>
      <c r="CP2" s="33"/>
      <c r="CQ2" s="33"/>
      <c r="CR2" s="33"/>
      <c r="CS2" s="33"/>
      <c r="CT2" s="33"/>
      <c r="CU2" s="33"/>
      <c r="CV2" s="33"/>
      <c r="CW2" s="33"/>
      <c r="CX2" s="33"/>
      <c r="CY2" s="34"/>
      <c r="CZ2" s="32">
        <f>YEAR(DATE(2017,97,1))</f>
        <v>2025</v>
      </c>
      <c r="DA2" s="33"/>
      <c r="DB2" s="33"/>
      <c r="DC2" s="33"/>
      <c r="DD2" s="33"/>
      <c r="DE2" s="33"/>
      <c r="DF2" s="33"/>
      <c r="DG2" s="33"/>
      <c r="DH2" s="33"/>
      <c r="DI2" s="33"/>
      <c r="DJ2" s="33"/>
      <c r="DK2" s="34"/>
    </row>
    <row r="3" spans="1:115" x14ac:dyDescent="0.25">
      <c r="A3" s="7" t="s">
        <v>141</v>
      </c>
      <c r="B3" s="7" t="s">
        <v>145</v>
      </c>
      <c r="C3" s="7" t="s">
        <v>146</v>
      </c>
      <c r="D3" s="7" t="s">
        <v>147</v>
      </c>
      <c r="E3" s="7" t="s">
        <v>142</v>
      </c>
      <c r="F3" s="7" t="s">
        <v>143</v>
      </c>
      <c r="G3" s="7" t="s">
        <v>144</v>
      </c>
      <c r="H3" s="8">
        <f>DATE(2017,1,1)</f>
        <v>42736</v>
      </c>
      <c r="I3" s="9">
        <f>DATE(2017,2,1)</f>
        <v>42767</v>
      </c>
      <c r="J3" s="9">
        <f>DATE(2017,3,1)</f>
        <v>42795</v>
      </c>
      <c r="K3" s="9">
        <f>DATE(2017,4,1)</f>
        <v>42826</v>
      </c>
      <c r="L3" s="9">
        <f>DATE(2017,5,1)</f>
        <v>42856</v>
      </c>
      <c r="M3" s="9">
        <f>DATE(2017,6,1)</f>
        <v>42887</v>
      </c>
      <c r="N3" s="9">
        <f>DATE(2017,7,1)</f>
        <v>42917</v>
      </c>
      <c r="O3" s="9">
        <f>DATE(2017,8,1)</f>
        <v>42948</v>
      </c>
      <c r="P3" s="9">
        <f>DATE(2017,9,1)</f>
        <v>42979</v>
      </c>
      <c r="Q3" s="9">
        <f>DATE(2017,10,1)</f>
        <v>43009</v>
      </c>
      <c r="R3" s="9">
        <f>DATE(2017,11,1)</f>
        <v>43040</v>
      </c>
      <c r="S3" s="10">
        <f>DATE(2017,12,1)</f>
        <v>43070</v>
      </c>
      <c r="T3" s="8">
        <f>DATE(2017,13,1)</f>
        <v>43101</v>
      </c>
      <c r="U3" s="9">
        <f>DATE(2017,14,1)</f>
        <v>43132</v>
      </c>
      <c r="V3" s="9">
        <f>DATE(2017,15,1)</f>
        <v>43160</v>
      </c>
      <c r="W3" s="9">
        <f>DATE(2017,16,1)</f>
        <v>43191</v>
      </c>
      <c r="X3" s="9">
        <f>DATE(2017,17,1)</f>
        <v>43221</v>
      </c>
      <c r="Y3" s="9">
        <f>DATE(2017,18,1)</f>
        <v>43252</v>
      </c>
      <c r="Z3" s="9">
        <f>DATE(2017,19,1)</f>
        <v>43282</v>
      </c>
      <c r="AA3" s="9">
        <f>DATE(2017,20,1)</f>
        <v>43313</v>
      </c>
      <c r="AB3" s="9">
        <f>DATE(2017,21,1)</f>
        <v>43344</v>
      </c>
      <c r="AC3" s="9">
        <f>DATE(2017,22,1)</f>
        <v>43374</v>
      </c>
      <c r="AD3" s="9">
        <f>DATE(2017,23,1)</f>
        <v>43405</v>
      </c>
      <c r="AE3" s="10">
        <f>DATE(2017,24,1)</f>
        <v>43435</v>
      </c>
      <c r="AF3" s="8">
        <f>DATE(2017,25,1)</f>
        <v>43466</v>
      </c>
      <c r="AG3" s="9">
        <f>DATE(2017,26,1)</f>
        <v>43497</v>
      </c>
      <c r="AH3" s="9">
        <f>DATE(2017,27,1)</f>
        <v>43525</v>
      </c>
      <c r="AI3" s="9">
        <f>DATE(2017,28,1)</f>
        <v>43556</v>
      </c>
      <c r="AJ3" s="9">
        <f>DATE(2017,29,1)</f>
        <v>43586</v>
      </c>
      <c r="AK3" s="9">
        <f>DATE(2017,30,1)</f>
        <v>43617</v>
      </c>
      <c r="AL3" s="9">
        <f>DATE(2017,31,1)</f>
        <v>43647</v>
      </c>
      <c r="AM3" s="9">
        <f>DATE(2017,32,1)</f>
        <v>43678</v>
      </c>
      <c r="AN3" s="9">
        <f>DATE(2017,33,1)</f>
        <v>43709</v>
      </c>
      <c r="AO3" s="9">
        <f>DATE(2017,34,1)</f>
        <v>43739</v>
      </c>
      <c r="AP3" s="9">
        <f>DATE(2017,35,1)</f>
        <v>43770</v>
      </c>
      <c r="AQ3" s="10">
        <f>DATE(2017,36,1)</f>
        <v>43800</v>
      </c>
      <c r="AR3" s="8">
        <f>DATE(2017,37,1)</f>
        <v>43831</v>
      </c>
      <c r="AS3" s="9">
        <f>DATE(2017,38,1)</f>
        <v>43862</v>
      </c>
      <c r="AT3" s="9">
        <f>DATE(2017,39,1)</f>
        <v>43891</v>
      </c>
      <c r="AU3" s="9">
        <f>DATE(2017,40,1)</f>
        <v>43922</v>
      </c>
      <c r="AV3" s="9">
        <f>DATE(2017,41,1)</f>
        <v>43952</v>
      </c>
      <c r="AW3" s="9">
        <f>DATE(2017,42,1)</f>
        <v>43983</v>
      </c>
      <c r="AX3" s="9">
        <f>DATE(2017,43,1)</f>
        <v>44013</v>
      </c>
      <c r="AY3" s="9">
        <f>DATE(2017,44,1)</f>
        <v>44044</v>
      </c>
      <c r="AZ3" s="9">
        <f>DATE(2017,45,1)</f>
        <v>44075</v>
      </c>
      <c r="BA3" s="9">
        <f>DATE(2017,46,1)</f>
        <v>44105</v>
      </c>
      <c r="BB3" s="9">
        <f>DATE(2017,47,1)</f>
        <v>44136</v>
      </c>
      <c r="BC3" s="10">
        <f>DATE(2017,48,1)</f>
        <v>44166</v>
      </c>
      <c r="BD3" s="8">
        <f>DATE(2017,49,1)</f>
        <v>44197</v>
      </c>
      <c r="BE3" s="9">
        <f>DATE(2017,50,1)</f>
        <v>44228</v>
      </c>
      <c r="BF3" s="9">
        <f>DATE(2017,51,1)</f>
        <v>44256</v>
      </c>
      <c r="BG3" s="9">
        <f>DATE(2017,52,1)</f>
        <v>44287</v>
      </c>
      <c r="BH3" s="9">
        <f>DATE(2017,53,1)</f>
        <v>44317</v>
      </c>
      <c r="BI3" s="9">
        <f>DATE(2017,54,1)</f>
        <v>44348</v>
      </c>
      <c r="BJ3" s="9">
        <f>DATE(2017,55,1)</f>
        <v>44378</v>
      </c>
      <c r="BK3" s="9">
        <f>DATE(2017,56,1)</f>
        <v>44409</v>
      </c>
      <c r="BL3" s="9">
        <f>DATE(2017,57,1)</f>
        <v>44440</v>
      </c>
      <c r="BM3" s="9">
        <f>DATE(2017,58,1)</f>
        <v>44470</v>
      </c>
      <c r="BN3" s="9">
        <f>DATE(2017,59,1)</f>
        <v>44501</v>
      </c>
      <c r="BO3" s="10">
        <f>DATE(2017,60,1)</f>
        <v>44531</v>
      </c>
      <c r="BP3" s="8">
        <f>DATE(2017,61,1)</f>
        <v>44562</v>
      </c>
      <c r="BQ3" s="9">
        <f>DATE(2017,62,1)</f>
        <v>44593</v>
      </c>
      <c r="BR3" s="9">
        <f>DATE(2017,63,1)</f>
        <v>44621</v>
      </c>
      <c r="BS3" s="9">
        <f>DATE(2017,64,1)</f>
        <v>44652</v>
      </c>
      <c r="BT3" s="9">
        <f>DATE(2017,65,1)</f>
        <v>44682</v>
      </c>
      <c r="BU3" s="9">
        <f>DATE(2017,66,1)</f>
        <v>44713</v>
      </c>
      <c r="BV3" s="9">
        <f>DATE(2017,67,1)</f>
        <v>44743</v>
      </c>
      <c r="BW3" s="9">
        <f>DATE(2017,68,1)</f>
        <v>44774</v>
      </c>
      <c r="BX3" s="9">
        <f>DATE(2017,69,1)</f>
        <v>44805</v>
      </c>
      <c r="BY3" s="9">
        <f>DATE(2017,70,1)</f>
        <v>44835</v>
      </c>
      <c r="BZ3" s="9">
        <f>DATE(2017,71,1)</f>
        <v>44866</v>
      </c>
      <c r="CA3" s="10">
        <f>DATE(2017,72,1)</f>
        <v>44896</v>
      </c>
      <c r="CB3" s="8">
        <f>DATE(2017,73,1)</f>
        <v>44927</v>
      </c>
      <c r="CC3" s="9">
        <f>DATE(2017,74,1)</f>
        <v>44958</v>
      </c>
      <c r="CD3" s="9">
        <f>DATE(2017,75,1)</f>
        <v>44986</v>
      </c>
      <c r="CE3" s="9">
        <f>DATE(2017,76,1)</f>
        <v>45017</v>
      </c>
      <c r="CF3" s="9">
        <f>DATE(2017,77,1)</f>
        <v>45047</v>
      </c>
      <c r="CG3" s="9">
        <f>DATE(2017,78,1)</f>
        <v>45078</v>
      </c>
      <c r="CH3" s="9">
        <f>DATE(2017,79,1)</f>
        <v>45108</v>
      </c>
      <c r="CI3" s="9">
        <f>DATE(2017,80,1)</f>
        <v>45139</v>
      </c>
      <c r="CJ3" s="9">
        <f>DATE(2017,81,1)</f>
        <v>45170</v>
      </c>
      <c r="CK3" s="9">
        <f>DATE(2017,82,1)</f>
        <v>45200</v>
      </c>
      <c r="CL3" s="9">
        <f>DATE(2017,83,1)</f>
        <v>45231</v>
      </c>
      <c r="CM3" s="10">
        <f>DATE(2017,84,1)</f>
        <v>45261</v>
      </c>
      <c r="CN3" s="8">
        <f>DATE(2017,85,1)</f>
        <v>45292</v>
      </c>
      <c r="CO3" s="9">
        <f>DATE(2017,86,1)</f>
        <v>45323</v>
      </c>
      <c r="CP3" s="9">
        <f>DATE(2017,87,1)</f>
        <v>45352</v>
      </c>
      <c r="CQ3" s="9">
        <f>DATE(2017,88,1)</f>
        <v>45383</v>
      </c>
      <c r="CR3" s="9">
        <f>DATE(2017,89,1)</f>
        <v>45413</v>
      </c>
      <c r="CS3" s="9">
        <f>DATE(2017,90,1)</f>
        <v>45444</v>
      </c>
      <c r="CT3" s="9">
        <f>DATE(2017,91,1)</f>
        <v>45474</v>
      </c>
      <c r="CU3" s="9">
        <f>DATE(2017,92,1)</f>
        <v>45505</v>
      </c>
      <c r="CV3" s="9">
        <f>DATE(2017,93,1)</f>
        <v>45536</v>
      </c>
      <c r="CW3" s="9">
        <f>DATE(2017,94,1)</f>
        <v>45566</v>
      </c>
      <c r="CX3" s="9">
        <f>DATE(2017,95,1)</f>
        <v>45597</v>
      </c>
      <c r="CY3" s="10">
        <f>DATE(2017,96,1)</f>
        <v>45627</v>
      </c>
      <c r="CZ3" s="8">
        <f>DATE(2017,97,1)</f>
        <v>45658</v>
      </c>
      <c r="DA3" s="9">
        <f>DATE(2017,98,1)</f>
        <v>45689</v>
      </c>
      <c r="DB3" s="9">
        <f>DATE(2017,99,1)</f>
        <v>45717</v>
      </c>
      <c r="DC3" s="9">
        <f>DATE(2017,100,1)</f>
        <v>45748</v>
      </c>
      <c r="DD3" s="9">
        <f>DATE(2017,101,1)</f>
        <v>45778</v>
      </c>
      <c r="DE3" s="9">
        <f>DATE(2017,102,1)</f>
        <v>45809</v>
      </c>
      <c r="DF3" s="9">
        <f>DATE(2017,103,1)</f>
        <v>45839</v>
      </c>
      <c r="DG3" s="9">
        <f>DATE(2017,104,1)</f>
        <v>45870</v>
      </c>
      <c r="DH3" s="9">
        <f>DATE(2017,105,1)</f>
        <v>45901</v>
      </c>
      <c r="DI3" s="9">
        <f>DATE(2017,106,1)</f>
        <v>45931</v>
      </c>
      <c r="DJ3" s="9">
        <f>DATE(2017,107,1)</f>
        <v>45962</v>
      </c>
      <c r="DK3" s="10">
        <f>DATE(2017,108,1)</f>
        <v>45992</v>
      </c>
    </row>
    <row r="4" spans="1:115" x14ac:dyDescent="0.25">
      <c r="A4" s="13"/>
      <c r="B4" s="13"/>
      <c r="C4" s="13"/>
      <c r="D4" s="16"/>
      <c r="E4" s="13"/>
      <c r="F4" s="13"/>
      <c r="G4" s="17" t="s">
        <v>6</v>
      </c>
      <c r="H4" s="14">
        <f>IFERROR(VLOOKUP($G4,'Visu totale'!$D$3:$DH$129,H$1,0),0)</f>
        <v>0</v>
      </c>
      <c r="I4" s="13">
        <f>IFERROR(VLOOKUP($G4,'Visu totale'!$D$3:$DH$129,I$1,0),0)</f>
        <v>0</v>
      </c>
      <c r="J4" s="13">
        <f>IFERROR(VLOOKUP($G4,'Visu totale'!$D$3:$DH$129,J$1,0),0)</f>
        <v>0</v>
      </c>
      <c r="K4" s="13">
        <f>IFERROR(VLOOKUP($G4,'Visu totale'!$D$3:$DH$129,K$1,0),0)</f>
        <v>0</v>
      </c>
      <c r="L4" s="13">
        <f>IFERROR(VLOOKUP($G4,'Visu totale'!$D$3:$DH$129,L$1,0),0)</f>
        <v>0</v>
      </c>
      <c r="M4" s="13">
        <f>IFERROR(VLOOKUP($G4,'Visu totale'!$D$3:$DH$129,M$1,0),0)</f>
        <v>0</v>
      </c>
      <c r="N4" s="13">
        <f>IFERROR(VLOOKUP($G4,'Visu totale'!$D$3:$DH$129,N$1,0),0)</f>
        <v>0</v>
      </c>
      <c r="O4" s="13">
        <f>IFERROR(VLOOKUP($G4,'Visu totale'!$D$3:$DH$129,O$1,0),0)</f>
        <v>0</v>
      </c>
      <c r="P4" s="13">
        <f>IFERROR(VLOOKUP($G4,'Visu totale'!$D$3:$DH$129,P$1,0),0)</f>
        <v>0</v>
      </c>
      <c r="Q4" s="13">
        <f>IFERROR(VLOOKUP($G4,'Visu totale'!$D$3:$DH$129,Q$1,0),0)</f>
        <v>0</v>
      </c>
      <c r="R4" s="13">
        <f>IFERROR(VLOOKUP($G4,'Visu totale'!$D$3:$DH$129,R$1,0),0)</f>
        <v>0</v>
      </c>
      <c r="S4" s="15">
        <f>IFERROR(VLOOKUP($G4,'Visu totale'!$D$3:$DH$129,S$1,0),0)</f>
        <v>0</v>
      </c>
      <c r="T4" s="14">
        <f>IFERROR(VLOOKUP($G4,'Visu totale'!$D$3:$DH$129,T$1,0),0)</f>
        <v>0</v>
      </c>
      <c r="U4" s="13">
        <f>IFERROR(VLOOKUP($G4,'Visu totale'!$D$3:$DH$129,U$1,0),0)</f>
        <v>0</v>
      </c>
      <c r="V4" s="13">
        <f>IFERROR(VLOOKUP($G4,'Visu totale'!$D$3:$DH$129,V$1,0),0)</f>
        <v>0</v>
      </c>
      <c r="W4" s="13">
        <f>IFERROR(VLOOKUP($G4,'Visu totale'!$D$3:$DH$129,W$1,0),0)</f>
        <v>0</v>
      </c>
      <c r="X4" s="13">
        <f>IFERROR(VLOOKUP($G4,'Visu totale'!$D$3:$DH$129,X$1,0),0)</f>
        <v>0</v>
      </c>
      <c r="Y4" s="13">
        <f>IFERROR(VLOOKUP($G4,'Visu totale'!$D$3:$DH$129,Y$1,0),0)</f>
        <v>0</v>
      </c>
      <c r="Z4" s="13">
        <f>IFERROR(VLOOKUP($G4,'Visu totale'!$D$3:$DH$129,Z$1,0),0)</f>
        <v>0</v>
      </c>
      <c r="AA4" s="13">
        <f>IFERROR(VLOOKUP($G4,'Visu totale'!$D$3:$DH$129,AA$1,0),0)</f>
        <v>0</v>
      </c>
      <c r="AB4" s="13">
        <f>IFERROR(VLOOKUP($G4,'Visu totale'!$D$3:$DH$129,AB$1,0),0)</f>
        <v>0</v>
      </c>
      <c r="AC4" s="13">
        <f>IFERROR(VLOOKUP($G4,'Visu totale'!$D$3:$DH$129,AC$1,0),0)</f>
        <v>0</v>
      </c>
      <c r="AD4" s="13">
        <f>IFERROR(VLOOKUP($G4,'Visu totale'!$D$3:$DH$129,AD$1,0),0)</f>
        <v>0</v>
      </c>
      <c r="AE4" s="15">
        <f>IFERROR(VLOOKUP($G4,'Visu totale'!$D$3:$DH$129,AE$1,0),0)</f>
        <v>0</v>
      </c>
      <c r="AF4" s="14">
        <f>IFERROR(VLOOKUP($G4,'Visu totale'!$D$3:$DH$129,AF$1,0),0)</f>
        <v>0</v>
      </c>
      <c r="AG4" s="13">
        <f>IFERROR(VLOOKUP($G4,'Visu totale'!$D$3:$DH$129,AG$1,0),0)</f>
        <v>0</v>
      </c>
      <c r="AH4" s="13">
        <f>IFERROR(VLOOKUP($G4,'Visu totale'!$D$3:$DH$129,AH$1,0),0)</f>
        <v>0</v>
      </c>
      <c r="AI4" s="13">
        <f>IFERROR(VLOOKUP($G4,'Visu totale'!$D$3:$DH$129,AI$1,0),0)</f>
        <v>0</v>
      </c>
      <c r="AJ4" s="13">
        <f>IFERROR(VLOOKUP($G4,'Visu totale'!$D$3:$DH$129,AJ$1,0),0)</f>
        <v>0</v>
      </c>
      <c r="AK4" s="13">
        <f>IFERROR(VLOOKUP($G4,'Visu totale'!$D$3:$DH$129,AK$1,0),0)</f>
        <v>0</v>
      </c>
      <c r="AL4" s="13">
        <f>IFERROR(VLOOKUP($G4,'Visu totale'!$D$3:$DH$129,AL$1,0),0)</f>
        <v>0</v>
      </c>
      <c r="AM4" s="13">
        <f>IFERROR(VLOOKUP($G4,'Visu totale'!$D$3:$DH$129,AM$1,0),0)</f>
        <v>0</v>
      </c>
      <c r="AN4" s="13">
        <f>IFERROR(VLOOKUP($G4,'Visu totale'!$D$3:$DH$129,AN$1,0),0)</f>
        <v>0</v>
      </c>
      <c r="AO4" s="13">
        <f>IFERROR(VLOOKUP($G4,'Visu totale'!$D$3:$DH$129,AO$1,0),0)</f>
        <v>0</v>
      </c>
      <c r="AP4" s="13">
        <f>IFERROR(VLOOKUP($G4,'Visu totale'!$D$3:$DH$129,AP$1,0),0)</f>
        <v>0</v>
      </c>
      <c r="AQ4" s="15">
        <f>IFERROR(VLOOKUP($G4,'Visu totale'!$D$3:$DH$129,AQ$1,0),0)</f>
        <v>0</v>
      </c>
      <c r="AR4" s="14">
        <f>IFERROR(VLOOKUP($G4,'Visu totale'!$D$3:$DH$129,AR$1,0),0)</f>
        <v>0</v>
      </c>
      <c r="AS4" s="13">
        <f>IFERROR(VLOOKUP($G4,'Visu totale'!$D$3:$DH$129,AS$1,0),0)</f>
        <v>0</v>
      </c>
      <c r="AT4" s="13">
        <f>IFERROR(VLOOKUP($G4,'Visu totale'!$D$3:$DH$129,AT$1,0),0)</f>
        <v>0</v>
      </c>
      <c r="AU4" s="13">
        <f>IFERROR(VLOOKUP($G4,'Visu totale'!$D$3:$DH$129,AU$1,0),0)</f>
        <v>0</v>
      </c>
      <c r="AV4" s="13">
        <f>IFERROR(VLOOKUP($G4,'Visu totale'!$D$3:$DH$129,AV$1,0),0)</f>
        <v>0</v>
      </c>
      <c r="AW4" s="13">
        <f>IFERROR(VLOOKUP($G4,'Visu totale'!$D$3:$DH$129,AW$1,0),0)</f>
        <v>0</v>
      </c>
      <c r="AX4" s="13">
        <f>IFERROR(VLOOKUP($G4,'Visu totale'!$D$3:$DH$129,AX$1,0),0)</f>
        <v>0</v>
      </c>
      <c r="AY4" s="13">
        <f>IFERROR(VLOOKUP($G4,'Visu totale'!$D$3:$DH$129,AY$1,0),0)</f>
        <v>0</v>
      </c>
      <c r="AZ4" s="13">
        <f>IFERROR(VLOOKUP($G4,'Visu totale'!$D$3:$DH$129,AZ$1,0),0)</f>
        <v>0</v>
      </c>
      <c r="BA4" s="13">
        <f>IFERROR(VLOOKUP($G4,'Visu totale'!$D$3:$DH$129,BA$1,0),0)</f>
        <v>0</v>
      </c>
      <c r="BB4" s="13">
        <f>IFERROR(VLOOKUP($G4,'Visu totale'!$D$3:$DH$129,BB$1,0),0)</f>
        <v>0</v>
      </c>
      <c r="BC4" s="15">
        <f>IFERROR(VLOOKUP($G4,'Visu totale'!$D$3:$DH$129,BC$1,0),0)</f>
        <v>0</v>
      </c>
      <c r="BD4" s="14">
        <f>IFERROR(VLOOKUP($G4,'Visu totale'!$D$3:$DH$129,BD$1,0),0)</f>
        <v>0</v>
      </c>
      <c r="BE4" s="13">
        <f>IFERROR(VLOOKUP($G4,'Visu totale'!$D$3:$DH$129,BE$1,0),0)</f>
        <v>0</v>
      </c>
      <c r="BF4" s="13">
        <f>IFERROR(VLOOKUP($G4,'Visu totale'!$D$3:$DH$129,BF$1,0),0)</f>
        <v>0</v>
      </c>
      <c r="BG4" s="13">
        <f>IFERROR(VLOOKUP($G4,'Visu totale'!$D$3:$DH$129,BG$1,0),0)</f>
        <v>0</v>
      </c>
      <c r="BH4" s="13">
        <f>IFERROR(VLOOKUP($G4,'Visu totale'!$D$3:$DH$129,BH$1,0),0)</f>
        <v>0</v>
      </c>
      <c r="BI4" s="13">
        <f>IFERROR(VLOOKUP($G4,'Visu totale'!$D$3:$DH$129,BI$1,0),0)</f>
        <v>0</v>
      </c>
      <c r="BJ4" s="13">
        <f>IFERROR(VLOOKUP($G4,'Visu totale'!$D$3:$DH$129,BJ$1,0),0)</f>
        <v>0</v>
      </c>
      <c r="BK4" s="13">
        <f>IFERROR(VLOOKUP($G4,'Visu totale'!$D$3:$DH$129,BK$1,0),0)</f>
        <v>0</v>
      </c>
      <c r="BL4" s="13">
        <f>IFERROR(VLOOKUP($G4,'Visu totale'!$D$3:$DH$129,BL$1,0),0)</f>
        <v>0</v>
      </c>
      <c r="BM4" s="13">
        <f>IFERROR(VLOOKUP($G4,'Visu totale'!$D$3:$DH$129,BM$1,0),0)</f>
        <v>0</v>
      </c>
      <c r="BN4" s="13">
        <f>IFERROR(VLOOKUP($G4,'Visu totale'!$D$3:$DH$129,BN$1,0),0)</f>
        <v>0</v>
      </c>
      <c r="BO4" s="15">
        <f>IFERROR(VLOOKUP($G4,'Visu totale'!$D$3:$DH$129,BO$1,0),0)</f>
        <v>0</v>
      </c>
      <c r="BP4" s="14">
        <f>IFERROR(VLOOKUP($G4,'Visu totale'!$D$3:$DH$129,BP$1,0),0)</f>
        <v>0</v>
      </c>
      <c r="BQ4" s="13">
        <f>IFERROR(VLOOKUP($G4,'Visu totale'!$D$3:$DH$129,BQ$1,0),0)</f>
        <v>0</v>
      </c>
      <c r="BR4" s="13">
        <f>IFERROR(VLOOKUP($G4,'Visu totale'!$D$3:$DH$129,BR$1,0),0)</f>
        <v>0</v>
      </c>
      <c r="BS4" s="13">
        <f>IFERROR(VLOOKUP($G4,'Visu totale'!$D$3:$DH$129,BS$1,0),0)</f>
        <v>0</v>
      </c>
      <c r="BT4" s="13">
        <f>IFERROR(VLOOKUP($G4,'Visu totale'!$D$3:$DH$129,BT$1,0),0)</f>
        <v>0</v>
      </c>
      <c r="BU4" s="13">
        <f>IFERROR(VLOOKUP($G4,'Visu totale'!$D$3:$DH$129,BU$1,0),0)</f>
        <v>0</v>
      </c>
      <c r="BV4" s="13">
        <f>IFERROR(VLOOKUP($G4,'Visu totale'!$D$3:$DH$129,BV$1,0),0)</f>
        <v>0</v>
      </c>
      <c r="BW4" s="13">
        <f>IFERROR(VLOOKUP($G4,'Visu totale'!$D$3:$DH$129,BW$1,0),0)</f>
        <v>0</v>
      </c>
      <c r="BX4" s="13">
        <f>IFERROR(VLOOKUP($G4,'Visu totale'!$D$3:$DH$129,BX$1,0),0)</f>
        <v>0</v>
      </c>
      <c r="BY4" s="13">
        <f>IFERROR(VLOOKUP($G4,'Visu totale'!$D$3:$DH$129,BY$1,0),0)</f>
        <v>0</v>
      </c>
      <c r="BZ4" s="13">
        <f>IFERROR(VLOOKUP($G4,'Visu totale'!$D$3:$DH$129,BZ$1,0),0)</f>
        <v>0</v>
      </c>
      <c r="CA4" s="15">
        <f>IFERROR(VLOOKUP($G4,'Visu totale'!$D$3:$DH$129,CA$1,0),0)</f>
        <v>0</v>
      </c>
      <c r="CB4" s="14">
        <f>IFERROR(VLOOKUP($G4,'Visu totale'!$D$3:$DH$129,CB$1,0),0)</f>
        <v>0</v>
      </c>
      <c r="CC4" s="13">
        <f>IFERROR(VLOOKUP($G4,'Visu totale'!$D$3:$DH$129,CC$1,0),0)</f>
        <v>0</v>
      </c>
      <c r="CD4" s="13">
        <f>IFERROR(VLOOKUP($G4,'Visu totale'!$D$3:$DH$129,CD$1,0),0)</f>
        <v>0</v>
      </c>
      <c r="CE4" s="13">
        <f>IFERROR(VLOOKUP($G4,'Visu totale'!$D$3:$DH$129,CE$1,0),0)</f>
        <v>0</v>
      </c>
      <c r="CF4" s="13">
        <f>IFERROR(VLOOKUP($G4,'Visu totale'!$D$3:$DH$129,CF$1,0),0)</f>
        <v>0</v>
      </c>
      <c r="CG4" s="13">
        <f>IFERROR(VLOOKUP($G4,'Visu totale'!$D$3:$DH$129,CG$1,0),0)</f>
        <v>0</v>
      </c>
      <c r="CH4" s="13">
        <f>IFERROR(VLOOKUP($G4,'Visu totale'!$D$3:$DH$129,CH$1,0),0)</f>
        <v>0</v>
      </c>
      <c r="CI4" s="13">
        <f>IFERROR(VLOOKUP($G4,'Visu totale'!$D$3:$DH$129,CI$1,0),0)</f>
        <v>0</v>
      </c>
      <c r="CJ4" s="13">
        <f>IFERROR(VLOOKUP($G4,'Visu totale'!$D$3:$DH$129,CJ$1,0),0)</f>
        <v>0</v>
      </c>
      <c r="CK4" s="13">
        <f>IFERROR(VLOOKUP($G4,'Visu totale'!$D$3:$DH$129,CK$1,0),0)</f>
        <v>0</v>
      </c>
      <c r="CL4" s="13">
        <f>IFERROR(VLOOKUP($G4,'Visu totale'!$D$3:$DH$129,CL$1,0),0)</f>
        <v>0</v>
      </c>
      <c r="CM4" s="15">
        <f>IFERROR(VLOOKUP($G4,'Visu totale'!$D$3:$DH$129,CM$1,0),0)</f>
        <v>0</v>
      </c>
      <c r="CN4" s="14">
        <f>IFERROR(VLOOKUP($G4,'Visu totale'!$D$3:$DH$129,CN$1,0),0)</f>
        <v>0</v>
      </c>
      <c r="CO4" s="13">
        <f>IFERROR(VLOOKUP($G4,'Visu totale'!$D$3:$DH$129,CO$1,0),0)</f>
        <v>0</v>
      </c>
      <c r="CP4" s="13">
        <f>IFERROR(VLOOKUP($G4,'Visu totale'!$D$3:$DH$129,CP$1,0),0)</f>
        <v>0</v>
      </c>
      <c r="CQ4" s="13">
        <f>IFERROR(VLOOKUP($G4,'Visu totale'!$D$3:$DH$129,CQ$1,0),0)</f>
        <v>0</v>
      </c>
      <c r="CR4" s="13">
        <f>IFERROR(VLOOKUP($G4,'Visu totale'!$D$3:$DH$129,CR$1,0),0)</f>
        <v>0</v>
      </c>
      <c r="CS4" s="13">
        <f>IFERROR(VLOOKUP($G4,'Visu totale'!$D$3:$DH$129,CS$1,0),0)</f>
        <v>0</v>
      </c>
      <c r="CT4" s="13">
        <f>IFERROR(VLOOKUP($G4,'Visu totale'!$D$3:$DH$129,CT$1,0),0)</f>
        <v>0</v>
      </c>
      <c r="CU4" s="13">
        <f>IFERROR(VLOOKUP($G4,'Visu totale'!$D$3:$DH$129,CU$1,0),0)</f>
        <v>0</v>
      </c>
      <c r="CV4" s="13">
        <f>IFERROR(VLOOKUP($G4,'Visu totale'!$D$3:$DH$129,CV$1,0),0)</f>
        <v>0</v>
      </c>
      <c r="CW4" s="13">
        <f>IFERROR(VLOOKUP($G4,'Visu totale'!$D$3:$DH$129,CW$1,0),0)</f>
        <v>0</v>
      </c>
      <c r="CX4" s="13">
        <f>IFERROR(VLOOKUP($G4,'Visu totale'!$D$3:$DH$129,CX$1,0),0)</f>
        <v>0</v>
      </c>
      <c r="CY4" s="15">
        <f>IFERROR(VLOOKUP($G4,'Visu totale'!$D$3:$DH$129,CY$1,0),0)</f>
        <v>0</v>
      </c>
      <c r="CZ4" s="14">
        <f>IFERROR(VLOOKUP($G4,'Visu totale'!$D$3:$DH$129,CZ$1,0),0)</f>
        <v>0</v>
      </c>
      <c r="DA4" s="13">
        <f>IFERROR(VLOOKUP($G4,'Visu totale'!$D$3:$DH$129,DA$1,0),0)</f>
        <v>0</v>
      </c>
      <c r="DB4" s="13">
        <f>IFERROR(VLOOKUP($G4,'Visu totale'!$D$3:$DH$129,DB$1,0),0)</f>
        <v>0</v>
      </c>
      <c r="DC4" s="13">
        <f>IFERROR(VLOOKUP($G4,'Visu totale'!$D$3:$DH$129,DC$1,0),0)</f>
        <v>0</v>
      </c>
      <c r="DD4" s="13">
        <f>IFERROR(VLOOKUP($G4,'Visu totale'!$D$3:$DH$129,DD$1,0),0)</f>
        <v>0</v>
      </c>
      <c r="DE4" s="13">
        <f>IFERROR(VLOOKUP($G4,'Visu totale'!$D$3:$DH$129,DE$1,0),0)</f>
        <v>0</v>
      </c>
      <c r="DF4" s="13">
        <f>IFERROR(VLOOKUP($G4,'Visu totale'!$D$3:$DH$129,DF$1,0),0)</f>
        <v>0</v>
      </c>
      <c r="DG4" s="13">
        <f>IFERROR(VLOOKUP($G4,'Visu totale'!$D$3:$DH$129,DG$1,0),0)</f>
        <v>0</v>
      </c>
      <c r="DH4" s="13">
        <f>IFERROR(VLOOKUP($G4,'Visu totale'!$D$3:$DH$129,DH$1,0),0)</f>
        <v>0</v>
      </c>
      <c r="DI4" s="13">
        <f>IFERROR(VLOOKUP($G4,'Visu totale'!$D$3:$DH$129,DI$1,0),0)</f>
        <v>0</v>
      </c>
      <c r="DJ4" s="13">
        <f>IFERROR(VLOOKUP($G4,'Visu totale'!$D$3:$DH$129,DJ$1,0),0)</f>
        <v>0</v>
      </c>
      <c r="DK4" s="15">
        <f>IFERROR(VLOOKUP($G4,'Visu totale'!$D$3:$DH$129,DK$1,0),0)</f>
        <v>0</v>
      </c>
    </row>
    <row r="5" spans="1:115" x14ac:dyDescent="0.25">
      <c r="A5" s="13"/>
      <c r="B5" s="13"/>
      <c r="C5" s="13"/>
      <c r="D5" s="16"/>
      <c r="E5" s="13"/>
      <c r="F5" s="13"/>
      <c r="G5" s="17" t="s">
        <v>7</v>
      </c>
      <c r="H5" s="14">
        <f>IFERROR(VLOOKUP($G5,'Visu totale'!$D$3:$DH$129,H$1,0),0)</f>
        <v>0</v>
      </c>
      <c r="I5" s="13">
        <f>IFERROR(VLOOKUP($G5,'Visu totale'!$D$3:$DH$129,I$1,0),0)</f>
        <v>0</v>
      </c>
      <c r="J5" s="13">
        <f>IFERROR(VLOOKUP($G5,'Visu totale'!$D$3:$DH$129,J$1,0),0)</f>
        <v>0</v>
      </c>
      <c r="K5" s="13">
        <f>IFERROR(VLOOKUP($G5,'Visu totale'!$D$3:$DH$129,K$1,0),0)</f>
        <v>0</v>
      </c>
      <c r="L5" s="13">
        <f>IFERROR(VLOOKUP($G5,'Visu totale'!$D$3:$DH$129,L$1,0),0)</f>
        <v>0</v>
      </c>
      <c r="M5" s="13">
        <f>IFERROR(VLOOKUP($G5,'Visu totale'!$D$3:$DH$129,M$1,0),0)</f>
        <v>0</v>
      </c>
      <c r="N5" s="13">
        <f>IFERROR(VLOOKUP($G5,'Visu totale'!$D$3:$DH$129,N$1,0),0)</f>
        <v>0</v>
      </c>
      <c r="O5" s="13">
        <f>IFERROR(VLOOKUP($G5,'Visu totale'!$D$3:$DH$129,O$1,0),0)</f>
        <v>0</v>
      </c>
      <c r="P5" s="13">
        <f>IFERROR(VLOOKUP($G5,'Visu totale'!$D$3:$DH$129,P$1,0),0)</f>
        <v>0</v>
      </c>
      <c r="Q5" s="13">
        <f>IFERROR(VLOOKUP($G5,'Visu totale'!$D$3:$DH$129,Q$1,0),0)</f>
        <v>0</v>
      </c>
      <c r="R5" s="13">
        <f>IFERROR(VLOOKUP($G5,'Visu totale'!$D$3:$DH$129,R$1,0),0)</f>
        <v>0</v>
      </c>
      <c r="S5" s="15">
        <f>IFERROR(VLOOKUP($G5,'Visu totale'!$D$3:$DH$129,S$1,0),0)</f>
        <v>0</v>
      </c>
      <c r="T5" s="14">
        <f>IFERROR(VLOOKUP($G5,'Visu totale'!$D$3:$DH$129,T$1,0),0)</f>
        <v>0</v>
      </c>
      <c r="U5" s="13">
        <f>IFERROR(VLOOKUP($G5,'Visu totale'!$D$3:$DH$129,U$1,0),0)</f>
        <v>0</v>
      </c>
      <c r="V5" s="13">
        <f>IFERROR(VLOOKUP($G5,'Visu totale'!$D$3:$DH$129,V$1,0),0)</f>
        <v>0</v>
      </c>
      <c r="W5" s="13">
        <f>IFERROR(VLOOKUP($G5,'Visu totale'!$D$3:$DH$129,W$1,0),0)</f>
        <v>0</v>
      </c>
      <c r="X5" s="13">
        <f>IFERROR(VLOOKUP($G5,'Visu totale'!$D$3:$DH$129,X$1,0),0)</f>
        <v>0</v>
      </c>
      <c r="Y5" s="13">
        <f>IFERROR(VLOOKUP($G5,'Visu totale'!$D$3:$DH$129,Y$1,0),0)</f>
        <v>0</v>
      </c>
      <c r="Z5" s="13">
        <f>IFERROR(VLOOKUP($G5,'Visu totale'!$D$3:$DH$129,Z$1,0),0)</f>
        <v>0</v>
      </c>
      <c r="AA5" s="13">
        <f>IFERROR(VLOOKUP($G5,'Visu totale'!$D$3:$DH$129,AA$1,0),0)</f>
        <v>0</v>
      </c>
      <c r="AB5" s="13">
        <f>IFERROR(VLOOKUP($G5,'Visu totale'!$D$3:$DH$129,AB$1,0),0)</f>
        <v>0</v>
      </c>
      <c r="AC5" s="13">
        <f>IFERROR(VLOOKUP($G5,'Visu totale'!$D$3:$DH$129,AC$1,0),0)</f>
        <v>0</v>
      </c>
      <c r="AD5" s="13">
        <f>IFERROR(VLOOKUP($G5,'Visu totale'!$D$3:$DH$129,AD$1,0),0)</f>
        <v>0</v>
      </c>
      <c r="AE5" s="15">
        <f>IFERROR(VLOOKUP($G5,'Visu totale'!$D$3:$DH$129,AE$1,0),0)</f>
        <v>0</v>
      </c>
      <c r="AF5" s="14">
        <f>IFERROR(VLOOKUP($G5,'Visu totale'!$D$3:$DH$129,AF$1,0),0)</f>
        <v>0</v>
      </c>
      <c r="AG5" s="13">
        <f>IFERROR(VLOOKUP($G5,'Visu totale'!$D$3:$DH$129,AG$1,0),0)</f>
        <v>0</v>
      </c>
      <c r="AH5" s="13">
        <f>IFERROR(VLOOKUP($G5,'Visu totale'!$D$3:$DH$129,AH$1,0),0)</f>
        <v>0</v>
      </c>
      <c r="AI5" s="13">
        <f>IFERROR(VLOOKUP($G5,'Visu totale'!$D$3:$DH$129,AI$1,0),0)</f>
        <v>0</v>
      </c>
      <c r="AJ5" s="13">
        <f>IFERROR(VLOOKUP($G5,'Visu totale'!$D$3:$DH$129,AJ$1,0),0)</f>
        <v>0</v>
      </c>
      <c r="AK5" s="13">
        <f>IFERROR(VLOOKUP($G5,'Visu totale'!$D$3:$DH$129,AK$1,0),0)</f>
        <v>0</v>
      </c>
      <c r="AL5" s="13">
        <f>IFERROR(VLOOKUP($G5,'Visu totale'!$D$3:$DH$129,AL$1,0),0)</f>
        <v>0</v>
      </c>
      <c r="AM5" s="13">
        <f>IFERROR(VLOOKUP($G5,'Visu totale'!$D$3:$DH$129,AM$1,0),0)</f>
        <v>0</v>
      </c>
      <c r="AN5" s="13">
        <f>IFERROR(VLOOKUP($G5,'Visu totale'!$D$3:$DH$129,AN$1,0),0)</f>
        <v>0</v>
      </c>
      <c r="AO5" s="13">
        <f>IFERROR(VLOOKUP($G5,'Visu totale'!$D$3:$DH$129,AO$1,0),0)</f>
        <v>0</v>
      </c>
      <c r="AP5" s="13">
        <f>IFERROR(VLOOKUP($G5,'Visu totale'!$D$3:$DH$129,AP$1,0),0)</f>
        <v>0</v>
      </c>
      <c r="AQ5" s="15">
        <f>IFERROR(VLOOKUP($G5,'Visu totale'!$D$3:$DH$129,AQ$1,0),0)</f>
        <v>0</v>
      </c>
      <c r="AR5" s="14">
        <f>IFERROR(VLOOKUP($G5,'Visu totale'!$D$3:$DH$129,AR$1,0),0)</f>
        <v>0</v>
      </c>
      <c r="AS5" s="13">
        <f>IFERROR(VLOOKUP($G5,'Visu totale'!$D$3:$DH$129,AS$1,0),0)</f>
        <v>0</v>
      </c>
      <c r="AT5" s="13">
        <f>IFERROR(VLOOKUP($G5,'Visu totale'!$D$3:$DH$129,AT$1,0),0)</f>
        <v>0</v>
      </c>
      <c r="AU5" s="13">
        <f>IFERROR(VLOOKUP($G5,'Visu totale'!$D$3:$DH$129,AU$1,0),0)</f>
        <v>0</v>
      </c>
      <c r="AV5" s="13">
        <f>IFERROR(VLOOKUP($G5,'Visu totale'!$D$3:$DH$129,AV$1,0),0)</f>
        <v>0</v>
      </c>
      <c r="AW5" s="13">
        <f>IFERROR(VLOOKUP($G5,'Visu totale'!$D$3:$DH$129,AW$1,0),0)</f>
        <v>0</v>
      </c>
      <c r="AX5" s="13">
        <f>IFERROR(VLOOKUP($G5,'Visu totale'!$D$3:$DH$129,AX$1,0),0)</f>
        <v>0</v>
      </c>
      <c r="AY5" s="13">
        <f>IFERROR(VLOOKUP($G5,'Visu totale'!$D$3:$DH$129,AY$1,0),0)</f>
        <v>0</v>
      </c>
      <c r="AZ5" s="13">
        <f>IFERROR(VLOOKUP($G5,'Visu totale'!$D$3:$DH$129,AZ$1,0),0)</f>
        <v>0</v>
      </c>
      <c r="BA5" s="13">
        <f>IFERROR(VLOOKUP($G5,'Visu totale'!$D$3:$DH$129,BA$1,0),0)</f>
        <v>0</v>
      </c>
      <c r="BB5" s="13">
        <f>IFERROR(VLOOKUP($G5,'Visu totale'!$D$3:$DH$129,BB$1,0),0)</f>
        <v>0</v>
      </c>
      <c r="BC5" s="15">
        <f>IFERROR(VLOOKUP($G5,'Visu totale'!$D$3:$DH$129,BC$1,0),0)</f>
        <v>0</v>
      </c>
      <c r="BD5" s="14">
        <f>IFERROR(VLOOKUP($G5,'Visu totale'!$D$3:$DH$129,BD$1,0),0)</f>
        <v>0</v>
      </c>
      <c r="BE5" s="13">
        <f>IFERROR(VLOOKUP($G5,'Visu totale'!$D$3:$DH$129,BE$1,0),0)</f>
        <v>0</v>
      </c>
      <c r="BF5" s="13">
        <f>IFERROR(VLOOKUP($G5,'Visu totale'!$D$3:$DH$129,BF$1,0),0)</f>
        <v>0</v>
      </c>
      <c r="BG5" s="13">
        <f>IFERROR(VLOOKUP($G5,'Visu totale'!$D$3:$DH$129,BG$1,0),0)</f>
        <v>0</v>
      </c>
      <c r="BH5" s="13">
        <f>IFERROR(VLOOKUP($G5,'Visu totale'!$D$3:$DH$129,BH$1,0),0)</f>
        <v>0</v>
      </c>
      <c r="BI5" s="13">
        <f>IFERROR(VLOOKUP($G5,'Visu totale'!$D$3:$DH$129,BI$1,0),0)</f>
        <v>0</v>
      </c>
      <c r="BJ5" s="13">
        <f>IFERROR(VLOOKUP($G5,'Visu totale'!$D$3:$DH$129,BJ$1,0),0)</f>
        <v>0</v>
      </c>
      <c r="BK5" s="13">
        <f>IFERROR(VLOOKUP($G5,'Visu totale'!$D$3:$DH$129,BK$1,0),0)</f>
        <v>0</v>
      </c>
      <c r="BL5" s="13">
        <f>IFERROR(VLOOKUP($G5,'Visu totale'!$D$3:$DH$129,BL$1,0),0)</f>
        <v>0</v>
      </c>
      <c r="BM5" s="13">
        <f>IFERROR(VLOOKUP($G5,'Visu totale'!$D$3:$DH$129,BM$1,0),0)</f>
        <v>0</v>
      </c>
      <c r="BN5" s="13">
        <f>IFERROR(VLOOKUP($G5,'Visu totale'!$D$3:$DH$129,BN$1,0),0)</f>
        <v>0</v>
      </c>
      <c r="BO5" s="15">
        <f>IFERROR(VLOOKUP($G5,'Visu totale'!$D$3:$DH$129,BO$1,0),0)</f>
        <v>0</v>
      </c>
      <c r="BP5" s="14">
        <f>IFERROR(VLOOKUP($G5,'Visu totale'!$D$3:$DH$129,BP$1,0),0)</f>
        <v>0</v>
      </c>
      <c r="BQ5" s="13">
        <f>IFERROR(VLOOKUP($G5,'Visu totale'!$D$3:$DH$129,BQ$1,0),0)</f>
        <v>0</v>
      </c>
      <c r="BR5" s="13">
        <f>IFERROR(VLOOKUP($G5,'Visu totale'!$D$3:$DH$129,BR$1,0),0)</f>
        <v>0</v>
      </c>
      <c r="BS5" s="13">
        <f>IFERROR(VLOOKUP($G5,'Visu totale'!$D$3:$DH$129,BS$1,0),0)</f>
        <v>0</v>
      </c>
      <c r="BT5" s="13">
        <f>IFERROR(VLOOKUP($G5,'Visu totale'!$D$3:$DH$129,BT$1,0),0)</f>
        <v>0</v>
      </c>
      <c r="BU5" s="13">
        <f>IFERROR(VLOOKUP($G5,'Visu totale'!$D$3:$DH$129,BU$1,0),0)</f>
        <v>0</v>
      </c>
      <c r="BV5" s="13">
        <f>IFERROR(VLOOKUP($G5,'Visu totale'!$D$3:$DH$129,BV$1,0),0)</f>
        <v>0</v>
      </c>
      <c r="BW5" s="13">
        <f>IFERROR(VLOOKUP($G5,'Visu totale'!$D$3:$DH$129,BW$1,0),0)</f>
        <v>0</v>
      </c>
      <c r="BX5" s="13">
        <f>IFERROR(VLOOKUP($G5,'Visu totale'!$D$3:$DH$129,BX$1,0),0)</f>
        <v>0</v>
      </c>
      <c r="BY5" s="13">
        <f>IFERROR(VLOOKUP($G5,'Visu totale'!$D$3:$DH$129,BY$1,0),0)</f>
        <v>0</v>
      </c>
      <c r="BZ5" s="13">
        <f>IFERROR(VLOOKUP($G5,'Visu totale'!$D$3:$DH$129,BZ$1,0),0)</f>
        <v>0</v>
      </c>
      <c r="CA5" s="15">
        <f>IFERROR(VLOOKUP($G5,'Visu totale'!$D$3:$DH$129,CA$1,0),0)</f>
        <v>0</v>
      </c>
      <c r="CB5" s="14">
        <f>IFERROR(VLOOKUP($G5,'Visu totale'!$D$3:$DH$129,CB$1,0),0)</f>
        <v>0</v>
      </c>
      <c r="CC5" s="13">
        <f>IFERROR(VLOOKUP($G5,'Visu totale'!$D$3:$DH$129,CC$1,0),0)</f>
        <v>0</v>
      </c>
      <c r="CD5" s="13">
        <f>IFERROR(VLOOKUP($G5,'Visu totale'!$D$3:$DH$129,CD$1,0),0)</f>
        <v>0</v>
      </c>
      <c r="CE5" s="13">
        <f>IFERROR(VLOOKUP($G5,'Visu totale'!$D$3:$DH$129,CE$1,0),0)</f>
        <v>0</v>
      </c>
      <c r="CF5" s="13">
        <f>IFERROR(VLOOKUP($G5,'Visu totale'!$D$3:$DH$129,CF$1,0),0)</f>
        <v>0</v>
      </c>
      <c r="CG5" s="13">
        <f>IFERROR(VLOOKUP($G5,'Visu totale'!$D$3:$DH$129,CG$1,0),0)</f>
        <v>0</v>
      </c>
      <c r="CH5" s="13">
        <f>IFERROR(VLOOKUP($G5,'Visu totale'!$D$3:$DH$129,CH$1,0),0)</f>
        <v>0</v>
      </c>
      <c r="CI5" s="13">
        <f>IFERROR(VLOOKUP($G5,'Visu totale'!$D$3:$DH$129,CI$1,0),0)</f>
        <v>0</v>
      </c>
      <c r="CJ5" s="13">
        <f>IFERROR(VLOOKUP($G5,'Visu totale'!$D$3:$DH$129,CJ$1,0),0)</f>
        <v>0</v>
      </c>
      <c r="CK5" s="13">
        <f>IFERROR(VLOOKUP($G5,'Visu totale'!$D$3:$DH$129,CK$1,0),0)</f>
        <v>0</v>
      </c>
      <c r="CL5" s="13">
        <f>IFERROR(VLOOKUP($G5,'Visu totale'!$D$3:$DH$129,CL$1,0),0)</f>
        <v>0</v>
      </c>
      <c r="CM5" s="15">
        <f>IFERROR(VLOOKUP($G5,'Visu totale'!$D$3:$DH$129,CM$1,0),0)</f>
        <v>0</v>
      </c>
      <c r="CN5" s="14">
        <f>IFERROR(VLOOKUP($G5,'Visu totale'!$D$3:$DH$129,CN$1,0),0)</f>
        <v>0</v>
      </c>
      <c r="CO5" s="13">
        <f>IFERROR(VLOOKUP($G5,'Visu totale'!$D$3:$DH$129,CO$1,0),0)</f>
        <v>0</v>
      </c>
      <c r="CP5" s="13">
        <f>IFERROR(VLOOKUP($G5,'Visu totale'!$D$3:$DH$129,CP$1,0),0)</f>
        <v>0</v>
      </c>
      <c r="CQ5" s="13">
        <f>IFERROR(VLOOKUP($G5,'Visu totale'!$D$3:$DH$129,CQ$1,0),0)</f>
        <v>0</v>
      </c>
      <c r="CR5" s="13">
        <f>IFERROR(VLOOKUP($G5,'Visu totale'!$D$3:$DH$129,CR$1,0),0)</f>
        <v>0</v>
      </c>
      <c r="CS5" s="13">
        <f>IFERROR(VLOOKUP($G5,'Visu totale'!$D$3:$DH$129,CS$1,0),0)</f>
        <v>0</v>
      </c>
      <c r="CT5" s="13">
        <f>IFERROR(VLOOKUP($G5,'Visu totale'!$D$3:$DH$129,CT$1,0),0)</f>
        <v>0</v>
      </c>
      <c r="CU5" s="13">
        <f>IFERROR(VLOOKUP($G5,'Visu totale'!$D$3:$DH$129,CU$1,0),0)</f>
        <v>0</v>
      </c>
      <c r="CV5" s="13">
        <f>IFERROR(VLOOKUP($G5,'Visu totale'!$D$3:$DH$129,CV$1,0),0)</f>
        <v>0</v>
      </c>
      <c r="CW5" s="13">
        <f>IFERROR(VLOOKUP($G5,'Visu totale'!$D$3:$DH$129,CW$1,0),0)</f>
        <v>0</v>
      </c>
      <c r="CX5" s="13">
        <f>IFERROR(VLOOKUP($G5,'Visu totale'!$D$3:$DH$129,CX$1,0),0)</f>
        <v>0</v>
      </c>
      <c r="CY5" s="15">
        <f>IFERROR(VLOOKUP($G5,'Visu totale'!$D$3:$DH$129,CY$1,0),0)</f>
        <v>0</v>
      </c>
      <c r="CZ5" s="14">
        <f>IFERROR(VLOOKUP($G5,'Visu totale'!$D$3:$DH$129,CZ$1,0),0)</f>
        <v>0</v>
      </c>
      <c r="DA5" s="13">
        <f>IFERROR(VLOOKUP($G5,'Visu totale'!$D$3:$DH$129,DA$1,0),0)</f>
        <v>0</v>
      </c>
      <c r="DB5" s="13">
        <f>IFERROR(VLOOKUP($G5,'Visu totale'!$D$3:$DH$129,DB$1,0),0)</f>
        <v>0</v>
      </c>
      <c r="DC5" s="13">
        <f>IFERROR(VLOOKUP($G5,'Visu totale'!$D$3:$DH$129,DC$1,0),0)</f>
        <v>0</v>
      </c>
      <c r="DD5" s="13">
        <f>IFERROR(VLOOKUP($G5,'Visu totale'!$D$3:$DH$129,DD$1,0),0)</f>
        <v>0</v>
      </c>
      <c r="DE5" s="13">
        <f>IFERROR(VLOOKUP($G5,'Visu totale'!$D$3:$DH$129,DE$1,0),0)</f>
        <v>0</v>
      </c>
      <c r="DF5" s="13">
        <f>IFERROR(VLOOKUP($G5,'Visu totale'!$D$3:$DH$129,DF$1,0),0)</f>
        <v>0</v>
      </c>
      <c r="DG5" s="13">
        <f>IFERROR(VLOOKUP($G5,'Visu totale'!$D$3:$DH$129,DG$1,0),0)</f>
        <v>0</v>
      </c>
      <c r="DH5" s="13">
        <f>IFERROR(VLOOKUP($G5,'Visu totale'!$D$3:$DH$129,DH$1,0),0)</f>
        <v>0</v>
      </c>
      <c r="DI5" s="13">
        <f>IFERROR(VLOOKUP($G5,'Visu totale'!$D$3:$DH$129,DI$1,0),0)</f>
        <v>0</v>
      </c>
      <c r="DJ5" s="13">
        <f>IFERROR(VLOOKUP($G5,'Visu totale'!$D$3:$DH$129,DJ$1,0),0)</f>
        <v>0</v>
      </c>
      <c r="DK5" s="15">
        <f>IFERROR(VLOOKUP($G5,'Visu totale'!$D$3:$DH$129,DK$1,0),0)</f>
        <v>0</v>
      </c>
    </row>
    <row r="6" spans="1:115" x14ac:dyDescent="0.25">
      <c r="A6" s="13"/>
      <c r="B6" s="13"/>
      <c r="C6" s="13"/>
      <c r="D6" s="16"/>
      <c r="E6" s="13"/>
      <c r="F6" s="13"/>
      <c r="G6" s="17" t="s">
        <v>8</v>
      </c>
      <c r="H6" s="14">
        <f>IFERROR(VLOOKUP($G6,'Visu totale'!$D$3:$DH$129,H$1,0),0)</f>
        <v>0</v>
      </c>
      <c r="I6" s="13">
        <f>IFERROR(VLOOKUP($G6,'Visu totale'!$D$3:$DH$129,I$1,0),0)</f>
        <v>0</v>
      </c>
      <c r="J6" s="13">
        <f>IFERROR(VLOOKUP($G6,'Visu totale'!$D$3:$DH$129,J$1,0),0)</f>
        <v>0</v>
      </c>
      <c r="K6" s="13">
        <f>IFERROR(VLOOKUP($G6,'Visu totale'!$D$3:$DH$129,K$1,0),0)</f>
        <v>0</v>
      </c>
      <c r="L6" s="13">
        <f>IFERROR(VLOOKUP($G6,'Visu totale'!$D$3:$DH$129,L$1,0),0)</f>
        <v>0</v>
      </c>
      <c r="M6" s="13">
        <f>IFERROR(VLOOKUP($G6,'Visu totale'!$D$3:$DH$129,M$1,0),0)</f>
        <v>0</v>
      </c>
      <c r="N6" s="13">
        <f>IFERROR(VLOOKUP($G6,'Visu totale'!$D$3:$DH$129,N$1,0),0)</f>
        <v>0</v>
      </c>
      <c r="O6" s="13">
        <f>IFERROR(VLOOKUP($G6,'Visu totale'!$D$3:$DH$129,O$1,0),0)</f>
        <v>0</v>
      </c>
      <c r="P6" s="13">
        <f>IFERROR(VLOOKUP($G6,'Visu totale'!$D$3:$DH$129,P$1,0),0)</f>
        <v>0</v>
      </c>
      <c r="Q6" s="13">
        <f>IFERROR(VLOOKUP($G6,'Visu totale'!$D$3:$DH$129,Q$1,0),0)</f>
        <v>0</v>
      </c>
      <c r="R6" s="13">
        <f>IFERROR(VLOOKUP($G6,'Visu totale'!$D$3:$DH$129,R$1,0),0)</f>
        <v>0</v>
      </c>
      <c r="S6" s="15">
        <f>IFERROR(VLOOKUP($G6,'Visu totale'!$D$3:$DH$129,S$1,0),0)</f>
        <v>0</v>
      </c>
      <c r="T6" s="14">
        <f>IFERROR(VLOOKUP($G6,'Visu totale'!$D$3:$DH$129,T$1,0),0)</f>
        <v>0</v>
      </c>
      <c r="U6" s="13">
        <f>IFERROR(VLOOKUP($G6,'Visu totale'!$D$3:$DH$129,U$1,0),0)</f>
        <v>0</v>
      </c>
      <c r="V6" s="13">
        <f>IFERROR(VLOOKUP($G6,'Visu totale'!$D$3:$DH$129,V$1,0),0)</f>
        <v>0</v>
      </c>
      <c r="W6" s="13">
        <f>IFERROR(VLOOKUP($G6,'Visu totale'!$D$3:$DH$129,W$1,0),0)</f>
        <v>0</v>
      </c>
      <c r="X6" s="13">
        <f>IFERROR(VLOOKUP($G6,'Visu totale'!$D$3:$DH$129,X$1,0),0)</f>
        <v>0</v>
      </c>
      <c r="Y6" s="13">
        <f>IFERROR(VLOOKUP($G6,'Visu totale'!$D$3:$DH$129,Y$1,0),0)</f>
        <v>0</v>
      </c>
      <c r="Z6" s="13">
        <f>IFERROR(VLOOKUP($G6,'Visu totale'!$D$3:$DH$129,Z$1,0),0)</f>
        <v>0</v>
      </c>
      <c r="AA6" s="13">
        <f>IFERROR(VLOOKUP($G6,'Visu totale'!$D$3:$DH$129,AA$1,0),0)</f>
        <v>0</v>
      </c>
      <c r="AB6" s="13">
        <f>IFERROR(VLOOKUP($G6,'Visu totale'!$D$3:$DH$129,AB$1,0),0)</f>
        <v>0</v>
      </c>
      <c r="AC6" s="13">
        <f>IFERROR(VLOOKUP($G6,'Visu totale'!$D$3:$DH$129,AC$1,0),0)</f>
        <v>0</v>
      </c>
      <c r="AD6" s="13">
        <f>IFERROR(VLOOKUP($G6,'Visu totale'!$D$3:$DH$129,AD$1,0),0)</f>
        <v>0</v>
      </c>
      <c r="AE6" s="15">
        <f>IFERROR(VLOOKUP($G6,'Visu totale'!$D$3:$DH$129,AE$1,0),0)</f>
        <v>0</v>
      </c>
      <c r="AF6" s="14">
        <f>IFERROR(VLOOKUP($G6,'Visu totale'!$D$3:$DH$129,AF$1,0),0)</f>
        <v>0</v>
      </c>
      <c r="AG6" s="13">
        <f>IFERROR(VLOOKUP($G6,'Visu totale'!$D$3:$DH$129,AG$1,0),0)</f>
        <v>0</v>
      </c>
      <c r="AH6" s="13">
        <f>IFERROR(VLOOKUP($G6,'Visu totale'!$D$3:$DH$129,AH$1,0),0)</f>
        <v>0</v>
      </c>
      <c r="AI6" s="13">
        <f>IFERROR(VLOOKUP($G6,'Visu totale'!$D$3:$DH$129,AI$1,0),0)</f>
        <v>0</v>
      </c>
      <c r="AJ6" s="13">
        <f>IFERROR(VLOOKUP($G6,'Visu totale'!$D$3:$DH$129,AJ$1,0),0)</f>
        <v>0</v>
      </c>
      <c r="AK6" s="13">
        <f>IFERROR(VLOOKUP($G6,'Visu totale'!$D$3:$DH$129,AK$1,0),0)</f>
        <v>0</v>
      </c>
      <c r="AL6" s="13">
        <f>IFERROR(VLOOKUP($G6,'Visu totale'!$D$3:$DH$129,AL$1,0),0)</f>
        <v>0</v>
      </c>
      <c r="AM6" s="13">
        <f>IFERROR(VLOOKUP($G6,'Visu totale'!$D$3:$DH$129,AM$1,0),0)</f>
        <v>0</v>
      </c>
      <c r="AN6" s="13">
        <f>IFERROR(VLOOKUP($G6,'Visu totale'!$D$3:$DH$129,AN$1,0),0)</f>
        <v>0</v>
      </c>
      <c r="AO6" s="13">
        <f>IFERROR(VLOOKUP($G6,'Visu totale'!$D$3:$DH$129,AO$1,0),0)</f>
        <v>0</v>
      </c>
      <c r="AP6" s="13">
        <f>IFERROR(VLOOKUP($G6,'Visu totale'!$D$3:$DH$129,AP$1,0),0)</f>
        <v>0</v>
      </c>
      <c r="AQ6" s="15">
        <f>IFERROR(VLOOKUP($G6,'Visu totale'!$D$3:$DH$129,AQ$1,0),0)</f>
        <v>0</v>
      </c>
      <c r="AR6" s="14">
        <f>IFERROR(VLOOKUP($G6,'Visu totale'!$D$3:$DH$129,AR$1,0),0)</f>
        <v>0</v>
      </c>
      <c r="AS6" s="13">
        <f>IFERROR(VLOOKUP($G6,'Visu totale'!$D$3:$DH$129,AS$1,0),0)</f>
        <v>0</v>
      </c>
      <c r="AT6" s="13">
        <f>IFERROR(VLOOKUP($G6,'Visu totale'!$D$3:$DH$129,AT$1,0),0)</f>
        <v>0</v>
      </c>
      <c r="AU6" s="13">
        <f>IFERROR(VLOOKUP($G6,'Visu totale'!$D$3:$DH$129,AU$1,0),0)</f>
        <v>0</v>
      </c>
      <c r="AV6" s="13">
        <f>IFERROR(VLOOKUP($G6,'Visu totale'!$D$3:$DH$129,AV$1,0),0)</f>
        <v>0</v>
      </c>
      <c r="AW6" s="13">
        <f>IFERROR(VLOOKUP($G6,'Visu totale'!$D$3:$DH$129,AW$1,0),0)</f>
        <v>0</v>
      </c>
      <c r="AX6" s="13">
        <f>IFERROR(VLOOKUP($G6,'Visu totale'!$D$3:$DH$129,AX$1,0),0)</f>
        <v>0</v>
      </c>
      <c r="AY6" s="13">
        <f>IFERROR(VLOOKUP($G6,'Visu totale'!$D$3:$DH$129,AY$1,0),0)</f>
        <v>0</v>
      </c>
      <c r="AZ6" s="13">
        <f>IFERROR(VLOOKUP($G6,'Visu totale'!$D$3:$DH$129,AZ$1,0),0)</f>
        <v>0</v>
      </c>
      <c r="BA6" s="13">
        <f>IFERROR(VLOOKUP($G6,'Visu totale'!$D$3:$DH$129,BA$1,0),0)</f>
        <v>0</v>
      </c>
      <c r="BB6" s="13">
        <f>IFERROR(VLOOKUP($G6,'Visu totale'!$D$3:$DH$129,BB$1,0),0)</f>
        <v>0</v>
      </c>
      <c r="BC6" s="15">
        <f>IFERROR(VLOOKUP($G6,'Visu totale'!$D$3:$DH$129,BC$1,0),0)</f>
        <v>0</v>
      </c>
      <c r="BD6" s="14">
        <f>IFERROR(VLOOKUP($G6,'Visu totale'!$D$3:$DH$129,BD$1,0),0)</f>
        <v>0</v>
      </c>
      <c r="BE6" s="13">
        <f>IFERROR(VLOOKUP($G6,'Visu totale'!$D$3:$DH$129,BE$1,0),0)</f>
        <v>0</v>
      </c>
      <c r="BF6" s="13">
        <f>IFERROR(VLOOKUP($G6,'Visu totale'!$D$3:$DH$129,BF$1,0),0)</f>
        <v>0</v>
      </c>
      <c r="BG6" s="13">
        <f>IFERROR(VLOOKUP($G6,'Visu totale'!$D$3:$DH$129,BG$1,0),0)</f>
        <v>0</v>
      </c>
      <c r="BH6" s="13">
        <f>IFERROR(VLOOKUP($G6,'Visu totale'!$D$3:$DH$129,BH$1,0),0)</f>
        <v>0</v>
      </c>
      <c r="BI6" s="13">
        <f>IFERROR(VLOOKUP($G6,'Visu totale'!$D$3:$DH$129,BI$1,0),0)</f>
        <v>0</v>
      </c>
      <c r="BJ6" s="13">
        <f>IFERROR(VLOOKUP($G6,'Visu totale'!$D$3:$DH$129,BJ$1,0),0)</f>
        <v>0</v>
      </c>
      <c r="BK6" s="13">
        <f>IFERROR(VLOOKUP($G6,'Visu totale'!$D$3:$DH$129,BK$1,0),0)</f>
        <v>0</v>
      </c>
      <c r="BL6" s="13">
        <f>IFERROR(VLOOKUP($G6,'Visu totale'!$D$3:$DH$129,BL$1,0),0)</f>
        <v>0</v>
      </c>
      <c r="BM6" s="13">
        <f>IFERROR(VLOOKUP($G6,'Visu totale'!$D$3:$DH$129,BM$1,0),0)</f>
        <v>0</v>
      </c>
      <c r="BN6" s="13">
        <f>IFERROR(VLOOKUP($G6,'Visu totale'!$D$3:$DH$129,BN$1,0),0)</f>
        <v>0</v>
      </c>
      <c r="BO6" s="15">
        <f>IFERROR(VLOOKUP($G6,'Visu totale'!$D$3:$DH$129,BO$1,0),0)</f>
        <v>0</v>
      </c>
      <c r="BP6" s="14">
        <f>IFERROR(VLOOKUP($G6,'Visu totale'!$D$3:$DH$129,BP$1,0),0)</f>
        <v>0</v>
      </c>
      <c r="BQ6" s="13">
        <f>IFERROR(VLOOKUP($G6,'Visu totale'!$D$3:$DH$129,BQ$1,0),0)</f>
        <v>0</v>
      </c>
      <c r="BR6" s="13">
        <f>IFERROR(VLOOKUP($G6,'Visu totale'!$D$3:$DH$129,BR$1,0),0)</f>
        <v>0</v>
      </c>
      <c r="BS6" s="13">
        <f>IFERROR(VLOOKUP($G6,'Visu totale'!$D$3:$DH$129,BS$1,0),0)</f>
        <v>0</v>
      </c>
      <c r="BT6" s="13">
        <f>IFERROR(VLOOKUP($G6,'Visu totale'!$D$3:$DH$129,BT$1,0),0)</f>
        <v>0</v>
      </c>
      <c r="BU6" s="13">
        <f>IFERROR(VLOOKUP($G6,'Visu totale'!$D$3:$DH$129,BU$1,0),0)</f>
        <v>0</v>
      </c>
      <c r="BV6" s="13">
        <f>IFERROR(VLOOKUP($G6,'Visu totale'!$D$3:$DH$129,BV$1,0),0)</f>
        <v>0</v>
      </c>
      <c r="BW6" s="13">
        <f>IFERROR(VLOOKUP($G6,'Visu totale'!$D$3:$DH$129,BW$1,0),0)</f>
        <v>0</v>
      </c>
      <c r="BX6" s="13">
        <f>IFERROR(VLOOKUP($G6,'Visu totale'!$D$3:$DH$129,BX$1,0),0)</f>
        <v>0</v>
      </c>
      <c r="BY6" s="13">
        <f>IFERROR(VLOOKUP($G6,'Visu totale'!$D$3:$DH$129,BY$1,0),0)</f>
        <v>0</v>
      </c>
      <c r="BZ6" s="13">
        <f>IFERROR(VLOOKUP($G6,'Visu totale'!$D$3:$DH$129,BZ$1,0),0)</f>
        <v>0</v>
      </c>
      <c r="CA6" s="15">
        <f>IFERROR(VLOOKUP($G6,'Visu totale'!$D$3:$DH$129,CA$1,0),0)</f>
        <v>0</v>
      </c>
      <c r="CB6" s="14">
        <f>IFERROR(VLOOKUP($G6,'Visu totale'!$D$3:$DH$129,CB$1,0),0)</f>
        <v>0</v>
      </c>
      <c r="CC6" s="13">
        <f>IFERROR(VLOOKUP($G6,'Visu totale'!$D$3:$DH$129,CC$1,0),0)</f>
        <v>0</v>
      </c>
      <c r="CD6" s="13">
        <f>IFERROR(VLOOKUP($G6,'Visu totale'!$D$3:$DH$129,CD$1,0),0)</f>
        <v>0</v>
      </c>
      <c r="CE6" s="13">
        <f>IFERROR(VLOOKUP($G6,'Visu totale'!$D$3:$DH$129,CE$1,0),0)</f>
        <v>0</v>
      </c>
      <c r="CF6" s="13">
        <f>IFERROR(VLOOKUP($G6,'Visu totale'!$D$3:$DH$129,CF$1,0),0)</f>
        <v>0</v>
      </c>
      <c r="CG6" s="13">
        <f>IFERROR(VLOOKUP($G6,'Visu totale'!$D$3:$DH$129,CG$1,0),0)</f>
        <v>0</v>
      </c>
      <c r="CH6" s="13">
        <f>IFERROR(VLOOKUP($G6,'Visu totale'!$D$3:$DH$129,CH$1,0),0)</f>
        <v>0</v>
      </c>
      <c r="CI6" s="13">
        <f>IFERROR(VLOOKUP($G6,'Visu totale'!$D$3:$DH$129,CI$1,0),0)</f>
        <v>0</v>
      </c>
      <c r="CJ6" s="13">
        <f>IFERROR(VLOOKUP($G6,'Visu totale'!$D$3:$DH$129,CJ$1,0),0)</f>
        <v>0</v>
      </c>
      <c r="CK6" s="13">
        <f>IFERROR(VLOOKUP($G6,'Visu totale'!$D$3:$DH$129,CK$1,0),0)</f>
        <v>0</v>
      </c>
      <c r="CL6" s="13">
        <f>IFERROR(VLOOKUP($G6,'Visu totale'!$D$3:$DH$129,CL$1,0),0)</f>
        <v>0</v>
      </c>
      <c r="CM6" s="15">
        <f>IFERROR(VLOOKUP($G6,'Visu totale'!$D$3:$DH$129,CM$1,0),0)</f>
        <v>0</v>
      </c>
      <c r="CN6" s="14">
        <f>IFERROR(VLOOKUP($G6,'Visu totale'!$D$3:$DH$129,CN$1,0),0)</f>
        <v>0</v>
      </c>
      <c r="CO6" s="13">
        <f>IFERROR(VLOOKUP($G6,'Visu totale'!$D$3:$DH$129,CO$1,0),0)</f>
        <v>0</v>
      </c>
      <c r="CP6" s="13">
        <f>IFERROR(VLOOKUP($G6,'Visu totale'!$D$3:$DH$129,CP$1,0),0)</f>
        <v>0</v>
      </c>
      <c r="CQ6" s="13">
        <f>IFERROR(VLOOKUP($G6,'Visu totale'!$D$3:$DH$129,CQ$1,0),0)</f>
        <v>0</v>
      </c>
      <c r="CR6" s="13">
        <f>IFERROR(VLOOKUP($G6,'Visu totale'!$D$3:$DH$129,CR$1,0),0)</f>
        <v>0</v>
      </c>
      <c r="CS6" s="13">
        <f>IFERROR(VLOOKUP($G6,'Visu totale'!$D$3:$DH$129,CS$1,0),0)</f>
        <v>0</v>
      </c>
      <c r="CT6" s="13">
        <f>IFERROR(VLOOKUP($G6,'Visu totale'!$D$3:$DH$129,CT$1,0),0)</f>
        <v>0</v>
      </c>
      <c r="CU6" s="13">
        <f>IFERROR(VLOOKUP($G6,'Visu totale'!$D$3:$DH$129,CU$1,0),0)</f>
        <v>0</v>
      </c>
      <c r="CV6" s="13">
        <f>IFERROR(VLOOKUP($G6,'Visu totale'!$D$3:$DH$129,CV$1,0),0)</f>
        <v>0</v>
      </c>
      <c r="CW6" s="13">
        <f>IFERROR(VLOOKUP($G6,'Visu totale'!$D$3:$DH$129,CW$1,0),0)</f>
        <v>0</v>
      </c>
      <c r="CX6" s="13">
        <f>IFERROR(VLOOKUP($G6,'Visu totale'!$D$3:$DH$129,CX$1,0),0)</f>
        <v>0</v>
      </c>
      <c r="CY6" s="15">
        <f>IFERROR(VLOOKUP($G6,'Visu totale'!$D$3:$DH$129,CY$1,0),0)</f>
        <v>0</v>
      </c>
      <c r="CZ6" s="14">
        <f>IFERROR(VLOOKUP($G6,'Visu totale'!$D$3:$DH$129,CZ$1,0),0)</f>
        <v>0</v>
      </c>
      <c r="DA6" s="13">
        <f>IFERROR(VLOOKUP($G6,'Visu totale'!$D$3:$DH$129,DA$1,0),0)</f>
        <v>0</v>
      </c>
      <c r="DB6" s="13">
        <f>IFERROR(VLOOKUP($G6,'Visu totale'!$D$3:$DH$129,DB$1,0),0)</f>
        <v>0</v>
      </c>
      <c r="DC6" s="13">
        <f>IFERROR(VLOOKUP($G6,'Visu totale'!$D$3:$DH$129,DC$1,0),0)</f>
        <v>0</v>
      </c>
      <c r="DD6" s="13">
        <f>IFERROR(VLOOKUP($G6,'Visu totale'!$D$3:$DH$129,DD$1,0),0)</f>
        <v>0</v>
      </c>
      <c r="DE6" s="13">
        <f>IFERROR(VLOOKUP($G6,'Visu totale'!$D$3:$DH$129,DE$1,0),0)</f>
        <v>0</v>
      </c>
      <c r="DF6" s="13">
        <f>IFERROR(VLOOKUP($G6,'Visu totale'!$D$3:$DH$129,DF$1,0),0)</f>
        <v>0</v>
      </c>
      <c r="DG6" s="13">
        <f>IFERROR(VLOOKUP($G6,'Visu totale'!$D$3:$DH$129,DG$1,0),0)</f>
        <v>0</v>
      </c>
      <c r="DH6" s="13">
        <f>IFERROR(VLOOKUP($G6,'Visu totale'!$D$3:$DH$129,DH$1,0),0)</f>
        <v>0</v>
      </c>
      <c r="DI6" s="13">
        <f>IFERROR(VLOOKUP($G6,'Visu totale'!$D$3:$DH$129,DI$1,0),0)</f>
        <v>0</v>
      </c>
      <c r="DJ6" s="13">
        <f>IFERROR(VLOOKUP($G6,'Visu totale'!$D$3:$DH$129,DJ$1,0),0)</f>
        <v>0</v>
      </c>
      <c r="DK6" s="15">
        <f>IFERROR(VLOOKUP($G6,'Visu totale'!$D$3:$DH$129,DK$1,0),0)</f>
        <v>0</v>
      </c>
    </row>
    <row r="7" spans="1:115" x14ac:dyDescent="0.25">
      <c r="A7" s="13"/>
      <c r="B7" s="13"/>
      <c r="C7" s="13"/>
      <c r="D7" s="16"/>
      <c r="E7" s="13"/>
      <c r="F7" s="13"/>
      <c r="G7" s="17" t="s">
        <v>9</v>
      </c>
      <c r="H7" s="14">
        <f>IFERROR(VLOOKUP($G7,'Visu totale'!$D$3:$DH$129,H$1,0),0)</f>
        <v>0</v>
      </c>
      <c r="I7" s="13">
        <f>IFERROR(VLOOKUP($G7,'Visu totale'!$D$3:$DH$129,I$1,0),0)</f>
        <v>0</v>
      </c>
      <c r="J7" s="13">
        <f>IFERROR(VLOOKUP($G7,'Visu totale'!$D$3:$DH$129,J$1,0),0)</f>
        <v>0</v>
      </c>
      <c r="K7" s="13">
        <f>IFERROR(VLOOKUP($G7,'Visu totale'!$D$3:$DH$129,K$1,0),0)</f>
        <v>0</v>
      </c>
      <c r="L7" s="13">
        <f>IFERROR(VLOOKUP($G7,'Visu totale'!$D$3:$DH$129,L$1,0),0)</f>
        <v>0</v>
      </c>
      <c r="M7" s="13">
        <f>IFERROR(VLOOKUP($G7,'Visu totale'!$D$3:$DH$129,M$1,0),0)</f>
        <v>0</v>
      </c>
      <c r="N7" s="13">
        <f>IFERROR(VLOOKUP($G7,'Visu totale'!$D$3:$DH$129,N$1,0),0)</f>
        <v>0</v>
      </c>
      <c r="O7" s="13">
        <f>IFERROR(VLOOKUP($G7,'Visu totale'!$D$3:$DH$129,O$1,0),0)</f>
        <v>0</v>
      </c>
      <c r="P7" s="13">
        <f>IFERROR(VLOOKUP($G7,'Visu totale'!$D$3:$DH$129,P$1,0),0)</f>
        <v>0</v>
      </c>
      <c r="Q7" s="13">
        <f>IFERROR(VLOOKUP($G7,'Visu totale'!$D$3:$DH$129,Q$1,0),0)</f>
        <v>0</v>
      </c>
      <c r="R7" s="13">
        <f>IFERROR(VLOOKUP($G7,'Visu totale'!$D$3:$DH$129,R$1,0),0)</f>
        <v>0</v>
      </c>
      <c r="S7" s="15">
        <f>IFERROR(VLOOKUP($G7,'Visu totale'!$D$3:$DH$129,S$1,0),0)</f>
        <v>0</v>
      </c>
      <c r="T7" s="14">
        <f>IFERROR(VLOOKUP($G7,'Visu totale'!$D$3:$DH$129,T$1,0),0)</f>
        <v>0</v>
      </c>
      <c r="U7" s="13">
        <f>IFERROR(VLOOKUP($G7,'Visu totale'!$D$3:$DH$129,U$1,0),0)</f>
        <v>0</v>
      </c>
      <c r="V7" s="13">
        <f>IFERROR(VLOOKUP($G7,'Visu totale'!$D$3:$DH$129,V$1,0),0)</f>
        <v>0</v>
      </c>
      <c r="W7" s="13">
        <f>IFERROR(VLOOKUP($G7,'Visu totale'!$D$3:$DH$129,W$1,0),0)</f>
        <v>0</v>
      </c>
      <c r="X7" s="13">
        <f>IFERROR(VLOOKUP($G7,'Visu totale'!$D$3:$DH$129,X$1,0),0)</f>
        <v>0</v>
      </c>
      <c r="Y7" s="13">
        <f>IFERROR(VLOOKUP($G7,'Visu totale'!$D$3:$DH$129,Y$1,0),0)</f>
        <v>0</v>
      </c>
      <c r="Z7" s="13">
        <f>IFERROR(VLOOKUP($G7,'Visu totale'!$D$3:$DH$129,Z$1,0),0)</f>
        <v>0</v>
      </c>
      <c r="AA7" s="13">
        <f>IFERROR(VLOOKUP($G7,'Visu totale'!$D$3:$DH$129,AA$1,0),0)</f>
        <v>0</v>
      </c>
      <c r="AB7" s="13">
        <f>IFERROR(VLOOKUP($G7,'Visu totale'!$D$3:$DH$129,AB$1,0),0)</f>
        <v>0</v>
      </c>
      <c r="AC7" s="13">
        <f>IFERROR(VLOOKUP($G7,'Visu totale'!$D$3:$DH$129,AC$1,0),0)</f>
        <v>0</v>
      </c>
      <c r="AD7" s="13">
        <f>IFERROR(VLOOKUP($G7,'Visu totale'!$D$3:$DH$129,AD$1,0),0)</f>
        <v>0</v>
      </c>
      <c r="AE7" s="15">
        <f>IFERROR(VLOOKUP($G7,'Visu totale'!$D$3:$DH$129,AE$1,0),0)</f>
        <v>0</v>
      </c>
      <c r="AF7" s="14">
        <f>IFERROR(VLOOKUP($G7,'Visu totale'!$D$3:$DH$129,AF$1,0),0)</f>
        <v>0</v>
      </c>
      <c r="AG7" s="13">
        <f>IFERROR(VLOOKUP($G7,'Visu totale'!$D$3:$DH$129,AG$1,0),0)</f>
        <v>0</v>
      </c>
      <c r="AH7" s="13">
        <f>IFERROR(VLOOKUP($G7,'Visu totale'!$D$3:$DH$129,AH$1,0),0)</f>
        <v>0</v>
      </c>
      <c r="AI7" s="13">
        <f>IFERROR(VLOOKUP($G7,'Visu totale'!$D$3:$DH$129,AI$1,0),0)</f>
        <v>0</v>
      </c>
      <c r="AJ7" s="13">
        <f>IFERROR(VLOOKUP($G7,'Visu totale'!$D$3:$DH$129,AJ$1,0),0)</f>
        <v>0</v>
      </c>
      <c r="AK7" s="13">
        <f>IFERROR(VLOOKUP($G7,'Visu totale'!$D$3:$DH$129,AK$1,0),0)</f>
        <v>0</v>
      </c>
      <c r="AL7" s="13">
        <f>IFERROR(VLOOKUP($G7,'Visu totale'!$D$3:$DH$129,AL$1,0),0)</f>
        <v>0</v>
      </c>
      <c r="AM7" s="13">
        <f>IFERROR(VLOOKUP($G7,'Visu totale'!$D$3:$DH$129,AM$1,0),0)</f>
        <v>0</v>
      </c>
      <c r="AN7" s="13">
        <f>IFERROR(VLOOKUP($G7,'Visu totale'!$D$3:$DH$129,AN$1,0),0)</f>
        <v>0</v>
      </c>
      <c r="AO7" s="13">
        <f>IFERROR(VLOOKUP($G7,'Visu totale'!$D$3:$DH$129,AO$1,0),0)</f>
        <v>0</v>
      </c>
      <c r="AP7" s="13">
        <f>IFERROR(VLOOKUP($G7,'Visu totale'!$D$3:$DH$129,AP$1,0),0)</f>
        <v>0</v>
      </c>
      <c r="AQ7" s="15">
        <f>IFERROR(VLOOKUP($G7,'Visu totale'!$D$3:$DH$129,AQ$1,0),0)</f>
        <v>0</v>
      </c>
      <c r="AR7" s="14">
        <f>IFERROR(VLOOKUP($G7,'Visu totale'!$D$3:$DH$129,AR$1,0),0)</f>
        <v>0</v>
      </c>
      <c r="AS7" s="13">
        <f>IFERROR(VLOOKUP($G7,'Visu totale'!$D$3:$DH$129,AS$1,0),0)</f>
        <v>0</v>
      </c>
      <c r="AT7" s="13">
        <f>IFERROR(VLOOKUP($G7,'Visu totale'!$D$3:$DH$129,AT$1,0),0)</f>
        <v>0</v>
      </c>
      <c r="AU7" s="13">
        <f>IFERROR(VLOOKUP($G7,'Visu totale'!$D$3:$DH$129,AU$1,0),0)</f>
        <v>0</v>
      </c>
      <c r="AV7" s="13">
        <f>IFERROR(VLOOKUP($G7,'Visu totale'!$D$3:$DH$129,AV$1,0),0)</f>
        <v>0</v>
      </c>
      <c r="AW7" s="13">
        <f>IFERROR(VLOOKUP($G7,'Visu totale'!$D$3:$DH$129,AW$1,0),0)</f>
        <v>0</v>
      </c>
      <c r="AX7" s="13">
        <f>IFERROR(VLOOKUP($G7,'Visu totale'!$D$3:$DH$129,AX$1,0),0)</f>
        <v>0</v>
      </c>
      <c r="AY7" s="13">
        <f>IFERROR(VLOOKUP($G7,'Visu totale'!$D$3:$DH$129,AY$1,0),0)</f>
        <v>0</v>
      </c>
      <c r="AZ7" s="13">
        <f>IFERROR(VLOOKUP($G7,'Visu totale'!$D$3:$DH$129,AZ$1,0),0)</f>
        <v>0</v>
      </c>
      <c r="BA7" s="13">
        <f>IFERROR(VLOOKUP($G7,'Visu totale'!$D$3:$DH$129,BA$1,0),0)</f>
        <v>0</v>
      </c>
      <c r="BB7" s="13">
        <f>IFERROR(VLOOKUP($G7,'Visu totale'!$D$3:$DH$129,BB$1,0),0)</f>
        <v>0</v>
      </c>
      <c r="BC7" s="15">
        <f>IFERROR(VLOOKUP($G7,'Visu totale'!$D$3:$DH$129,BC$1,0),0)</f>
        <v>0</v>
      </c>
      <c r="BD7" s="14">
        <f>IFERROR(VLOOKUP($G7,'Visu totale'!$D$3:$DH$129,BD$1,0),0)</f>
        <v>0</v>
      </c>
      <c r="BE7" s="13">
        <f>IFERROR(VLOOKUP($G7,'Visu totale'!$D$3:$DH$129,BE$1,0),0)</f>
        <v>0</v>
      </c>
      <c r="BF7" s="13">
        <f>IFERROR(VLOOKUP($G7,'Visu totale'!$D$3:$DH$129,BF$1,0),0)</f>
        <v>0</v>
      </c>
      <c r="BG7" s="13">
        <f>IFERROR(VLOOKUP($G7,'Visu totale'!$D$3:$DH$129,BG$1,0),0)</f>
        <v>0</v>
      </c>
      <c r="BH7" s="13">
        <f>IFERROR(VLOOKUP($G7,'Visu totale'!$D$3:$DH$129,BH$1,0),0)</f>
        <v>0</v>
      </c>
      <c r="BI7" s="13">
        <f>IFERROR(VLOOKUP($G7,'Visu totale'!$D$3:$DH$129,BI$1,0),0)</f>
        <v>0</v>
      </c>
      <c r="BJ7" s="13">
        <f>IFERROR(VLOOKUP($G7,'Visu totale'!$D$3:$DH$129,BJ$1,0),0)</f>
        <v>0</v>
      </c>
      <c r="BK7" s="13">
        <f>IFERROR(VLOOKUP($G7,'Visu totale'!$D$3:$DH$129,BK$1,0),0)</f>
        <v>0</v>
      </c>
      <c r="BL7" s="13">
        <f>IFERROR(VLOOKUP($G7,'Visu totale'!$D$3:$DH$129,BL$1,0),0)</f>
        <v>0</v>
      </c>
      <c r="BM7" s="13">
        <f>IFERROR(VLOOKUP($G7,'Visu totale'!$D$3:$DH$129,BM$1,0),0)</f>
        <v>0</v>
      </c>
      <c r="BN7" s="13">
        <f>IFERROR(VLOOKUP($G7,'Visu totale'!$D$3:$DH$129,BN$1,0),0)</f>
        <v>0</v>
      </c>
      <c r="BO7" s="15">
        <f>IFERROR(VLOOKUP($G7,'Visu totale'!$D$3:$DH$129,BO$1,0),0)</f>
        <v>0</v>
      </c>
      <c r="BP7" s="14">
        <f>IFERROR(VLOOKUP($G7,'Visu totale'!$D$3:$DH$129,BP$1,0),0)</f>
        <v>0</v>
      </c>
      <c r="BQ7" s="13">
        <f>IFERROR(VLOOKUP($G7,'Visu totale'!$D$3:$DH$129,BQ$1,0),0)</f>
        <v>0</v>
      </c>
      <c r="BR7" s="13">
        <f>IFERROR(VLOOKUP($G7,'Visu totale'!$D$3:$DH$129,BR$1,0),0)</f>
        <v>0</v>
      </c>
      <c r="BS7" s="13">
        <f>IFERROR(VLOOKUP($G7,'Visu totale'!$D$3:$DH$129,BS$1,0),0)</f>
        <v>0</v>
      </c>
      <c r="BT7" s="13">
        <f>IFERROR(VLOOKUP($G7,'Visu totale'!$D$3:$DH$129,BT$1,0),0)</f>
        <v>0</v>
      </c>
      <c r="BU7" s="13">
        <f>IFERROR(VLOOKUP($G7,'Visu totale'!$D$3:$DH$129,BU$1,0),0)</f>
        <v>0</v>
      </c>
      <c r="BV7" s="13">
        <f>IFERROR(VLOOKUP($G7,'Visu totale'!$D$3:$DH$129,BV$1,0),0)</f>
        <v>0</v>
      </c>
      <c r="BW7" s="13">
        <f>IFERROR(VLOOKUP($G7,'Visu totale'!$D$3:$DH$129,BW$1,0),0)</f>
        <v>0</v>
      </c>
      <c r="BX7" s="13">
        <f>IFERROR(VLOOKUP($G7,'Visu totale'!$D$3:$DH$129,BX$1,0),0)</f>
        <v>0</v>
      </c>
      <c r="BY7" s="13">
        <f>IFERROR(VLOOKUP($G7,'Visu totale'!$D$3:$DH$129,BY$1,0),0)</f>
        <v>0</v>
      </c>
      <c r="BZ7" s="13">
        <f>IFERROR(VLOOKUP($G7,'Visu totale'!$D$3:$DH$129,BZ$1,0),0)</f>
        <v>0</v>
      </c>
      <c r="CA7" s="15">
        <f>IFERROR(VLOOKUP($G7,'Visu totale'!$D$3:$DH$129,CA$1,0),0)</f>
        <v>0</v>
      </c>
      <c r="CB7" s="14">
        <f>IFERROR(VLOOKUP($G7,'Visu totale'!$D$3:$DH$129,CB$1,0),0)</f>
        <v>0</v>
      </c>
      <c r="CC7" s="13">
        <f>IFERROR(VLOOKUP($G7,'Visu totale'!$D$3:$DH$129,CC$1,0),0)</f>
        <v>0</v>
      </c>
      <c r="CD7" s="13">
        <f>IFERROR(VLOOKUP($G7,'Visu totale'!$D$3:$DH$129,CD$1,0),0)</f>
        <v>0</v>
      </c>
      <c r="CE7" s="13">
        <f>IFERROR(VLOOKUP($G7,'Visu totale'!$D$3:$DH$129,CE$1,0),0)</f>
        <v>0</v>
      </c>
      <c r="CF7" s="13">
        <f>IFERROR(VLOOKUP($G7,'Visu totale'!$D$3:$DH$129,CF$1,0),0)</f>
        <v>0</v>
      </c>
      <c r="CG7" s="13">
        <f>IFERROR(VLOOKUP($G7,'Visu totale'!$D$3:$DH$129,CG$1,0),0)</f>
        <v>0</v>
      </c>
      <c r="CH7" s="13">
        <f>IFERROR(VLOOKUP($G7,'Visu totale'!$D$3:$DH$129,CH$1,0),0)</f>
        <v>0</v>
      </c>
      <c r="CI7" s="13">
        <f>IFERROR(VLOOKUP($G7,'Visu totale'!$D$3:$DH$129,CI$1,0),0)</f>
        <v>0</v>
      </c>
      <c r="CJ7" s="13">
        <f>IFERROR(VLOOKUP($G7,'Visu totale'!$D$3:$DH$129,CJ$1,0),0)</f>
        <v>0</v>
      </c>
      <c r="CK7" s="13">
        <f>IFERROR(VLOOKUP($G7,'Visu totale'!$D$3:$DH$129,CK$1,0),0)</f>
        <v>0</v>
      </c>
      <c r="CL7" s="13">
        <f>IFERROR(VLOOKUP($G7,'Visu totale'!$D$3:$DH$129,CL$1,0),0)</f>
        <v>0</v>
      </c>
      <c r="CM7" s="15">
        <f>IFERROR(VLOOKUP($G7,'Visu totale'!$D$3:$DH$129,CM$1,0),0)</f>
        <v>0</v>
      </c>
      <c r="CN7" s="14">
        <f>IFERROR(VLOOKUP($G7,'Visu totale'!$D$3:$DH$129,CN$1,0),0)</f>
        <v>0</v>
      </c>
      <c r="CO7" s="13">
        <f>IFERROR(VLOOKUP($G7,'Visu totale'!$D$3:$DH$129,CO$1,0),0)</f>
        <v>0</v>
      </c>
      <c r="CP7" s="13">
        <f>IFERROR(VLOOKUP($G7,'Visu totale'!$D$3:$DH$129,CP$1,0),0)</f>
        <v>0</v>
      </c>
      <c r="CQ7" s="13">
        <f>IFERROR(VLOOKUP($G7,'Visu totale'!$D$3:$DH$129,CQ$1,0),0)</f>
        <v>0</v>
      </c>
      <c r="CR7" s="13">
        <f>IFERROR(VLOOKUP($G7,'Visu totale'!$D$3:$DH$129,CR$1,0),0)</f>
        <v>0</v>
      </c>
      <c r="CS7" s="13">
        <f>IFERROR(VLOOKUP($G7,'Visu totale'!$D$3:$DH$129,CS$1,0),0)</f>
        <v>0</v>
      </c>
      <c r="CT7" s="13">
        <f>IFERROR(VLOOKUP($G7,'Visu totale'!$D$3:$DH$129,CT$1,0),0)</f>
        <v>0</v>
      </c>
      <c r="CU7" s="13">
        <f>IFERROR(VLOOKUP($G7,'Visu totale'!$D$3:$DH$129,CU$1,0),0)</f>
        <v>0</v>
      </c>
      <c r="CV7" s="13">
        <f>IFERROR(VLOOKUP($G7,'Visu totale'!$D$3:$DH$129,CV$1,0),0)</f>
        <v>0</v>
      </c>
      <c r="CW7" s="13">
        <f>IFERROR(VLOOKUP($G7,'Visu totale'!$D$3:$DH$129,CW$1,0),0)</f>
        <v>0</v>
      </c>
      <c r="CX7" s="13">
        <f>IFERROR(VLOOKUP($G7,'Visu totale'!$D$3:$DH$129,CX$1,0),0)</f>
        <v>0</v>
      </c>
      <c r="CY7" s="15">
        <f>IFERROR(VLOOKUP($G7,'Visu totale'!$D$3:$DH$129,CY$1,0),0)</f>
        <v>0</v>
      </c>
      <c r="CZ7" s="14">
        <f>IFERROR(VLOOKUP($G7,'Visu totale'!$D$3:$DH$129,CZ$1,0),0)</f>
        <v>0</v>
      </c>
      <c r="DA7" s="13">
        <f>IFERROR(VLOOKUP($G7,'Visu totale'!$D$3:$DH$129,DA$1,0),0)</f>
        <v>0</v>
      </c>
      <c r="DB7" s="13">
        <f>IFERROR(VLOOKUP($G7,'Visu totale'!$D$3:$DH$129,DB$1,0),0)</f>
        <v>0</v>
      </c>
      <c r="DC7" s="13">
        <f>IFERROR(VLOOKUP($G7,'Visu totale'!$D$3:$DH$129,DC$1,0),0)</f>
        <v>0</v>
      </c>
      <c r="DD7" s="13">
        <f>IFERROR(VLOOKUP($G7,'Visu totale'!$D$3:$DH$129,DD$1,0),0)</f>
        <v>0</v>
      </c>
      <c r="DE7" s="13">
        <f>IFERROR(VLOOKUP($G7,'Visu totale'!$D$3:$DH$129,DE$1,0),0)</f>
        <v>0</v>
      </c>
      <c r="DF7" s="13">
        <f>IFERROR(VLOOKUP($G7,'Visu totale'!$D$3:$DH$129,DF$1,0),0)</f>
        <v>0</v>
      </c>
      <c r="DG7" s="13">
        <f>IFERROR(VLOOKUP($G7,'Visu totale'!$D$3:$DH$129,DG$1,0),0)</f>
        <v>0</v>
      </c>
      <c r="DH7" s="13">
        <f>IFERROR(VLOOKUP($G7,'Visu totale'!$D$3:$DH$129,DH$1,0),0)</f>
        <v>0</v>
      </c>
      <c r="DI7" s="13">
        <f>IFERROR(VLOOKUP($G7,'Visu totale'!$D$3:$DH$129,DI$1,0),0)</f>
        <v>0</v>
      </c>
      <c r="DJ7" s="13">
        <f>IFERROR(VLOOKUP($G7,'Visu totale'!$D$3:$DH$129,DJ$1,0),0)</f>
        <v>0</v>
      </c>
      <c r="DK7" s="15">
        <f>IFERROR(VLOOKUP($G7,'Visu totale'!$D$3:$DH$129,DK$1,0),0)</f>
        <v>0</v>
      </c>
    </row>
    <row r="8" spans="1:115" x14ac:dyDescent="0.25">
      <c r="A8" s="13"/>
      <c r="B8" s="13"/>
      <c r="C8" s="13"/>
      <c r="D8" s="16"/>
      <c r="E8" s="13"/>
      <c r="F8" s="13"/>
      <c r="G8" s="17" t="s">
        <v>10</v>
      </c>
      <c r="H8" s="14">
        <f>IFERROR(VLOOKUP($G8,'Visu totale'!$D$3:$DH$129,H$1,0),0)</f>
        <v>0</v>
      </c>
      <c r="I8" s="13">
        <f>IFERROR(VLOOKUP($G8,'Visu totale'!$D$3:$DH$129,I$1,0),0)</f>
        <v>0</v>
      </c>
      <c r="J8" s="13">
        <f>IFERROR(VLOOKUP($G8,'Visu totale'!$D$3:$DH$129,J$1,0),0)</f>
        <v>0</v>
      </c>
      <c r="K8" s="13">
        <f>IFERROR(VLOOKUP($G8,'Visu totale'!$D$3:$DH$129,K$1,0),0)</f>
        <v>0</v>
      </c>
      <c r="L8" s="13">
        <f>IFERROR(VLOOKUP($G8,'Visu totale'!$D$3:$DH$129,L$1,0),0)</f>
        <v>0</v>
      </c>
      <c r="M8" s="13">
        <f>IFERROR(VLOOKUP($G8,'Visu totale'!$D$3:$DH$129,M$1,0),0)</f>
        <v>0</v>
      </c>
      <c r="N8" s="13">
        <f>IFERROR(VLOOKUP($G8,'Visu totale'!$D$3:$DH$129,N$1,0),0)</f>
        <v>0</v>
      </c>
      <c r="O8" s="13">
        <f>IFERROR(VLOOKUP($G8,'Visu totale'!$D$3:$DH$129,O$1,0),0)</f>
        <v>0</v>
      </c>
      <c r="P8" s="13">
        <f>IFERROR(VLOOKUP($G8,'Visu totale'!$D$3:$DH$129,P$1,0),0)</f>
        <v>0</v>
      </c>
      <c r="Q8" s="13">
        <f>IFERROR(VLOOKUP($G8,'Visu totale'!$D$3:$DH$129,Q$1,0),0)</f>
        <v>0</v>
      </c>
      <c r="R8" s="13">
        <f>IFERROR(VLOOKUP($G8,'Visu totale'!$D$3:$DH$129,R$1,0),0)</f>
        <v>0</v>
      </c>
      <c r="S8" s="15">
        <f>IFERROR(VLOOKUP($G8,'Visu totale'!$D$3:$DH$129,S$1,0),0)</f>
        <v>0</v>
      </c>
      <c r="T8" s="14">
        <f>IFERROR(VLOOKUP($G8,'Visu totale'!$D$3:$DH$129,T$1,0),0)</f>
        <v>0</v>
      </c>
      <c r="U8" s="13">
        <f>IFERROR(VLOOKUP($G8,'Visu totale'!$D$3:$DH$129,U$1,0),0)</f>
        <v>0</v>
      </c>
      <c r="V8" s="13">
        <f>IFERROR(VLOOKUP($G8,'Visu totale'!$D$3:$DH$129,V$1,0),0)</f>
        <v>0</v>
      </c>
      <c r="W8" s="13">
        <f>IFERROR(VLOOKUP($G8,'Visu totale'!$D$3:$DH$129,W$1,0),0)</f>
        <v>0</v>
      </c>
      <c r="X8" s="13">
        <f>IFERROR(VLOOKUP($G8,'Visu totale'!$D$3:$DH$129,X$1,0),0)</f>
        <v>0</v>
      </c>
      <c r="Y8" s="13">
        <f>IFERROR(VLOOKUP($G8,'Visu totale'!$D$3:$DH$129,Y$1,0),0)</f>
        <v>0</v>
      </c>
      <c r="Z8" s="13">
        <f>IFERROR(VLOOKUP($G8,'Visu totale'!$D$3:$DH$129,Z$1,0),0)</f>
        <v>0</v>
      </c>
      <c r="AA8" s="13">
        <f>IFERROR(VLOOKUP($G8,'Visu totale'!$D$3:$DH$129,AA$1,0),0)</f>
        <v>0</v>
      </c>
      <c r="AB8" s="13">
        <f>IFERROR(VLOOKUP($G8,'Visu totale'!$D$3:$DH$129,AB$1,0),0)</f>
        <v>0</v>
      </c>
      <c r="AC8" s="13">
        <f>IFERROR(VLOOKUP($G8,'Visu totale'!$D$3:$DH$129,AC$1,0),0)</f>
        <v>0</v>
      </c>
      <c r="AD8" s="13">
        <f>IFERROR(VLOOKUP($G8,'Visu totale'!$D$3:$DH$129,AD$1,0),0)</f>
        <v>0</v>
      </c>
      <c r="AE8" s="15">
        <f>IFERROR(VLOOKUP($G8,'Visu totale'!$D$3:$DH$129,AE$1,0),0)</f>
        <v>0</v>
      </c>
      <c r="AF8" s="14">
        <f>IFERROR(VLOOKUP($G8,'Visu totale'!$D$3:$DH$129,AF$1,0),0)</f>
        <v>0</v>
      </c>
      <c r="AG8" s="13">
        <f>IFERROR(VLOOKUP($G8,'Visu totale'!$D$3:$DH$129,AG$1,0),0)</f>
        <v>0</v>
      </c>
      <c r="AH8" s="13">
        <f>IFERROR(VLOOKUP($G8,'Visu totale'!$D$3:$DH$129,AH$1,0),0)</f>
        <v>0</v>
      </c>
      <c r="AI8" s="13">
        <f>IFERROR(VLOOKUP($G8,'Visu totale'!$D$3:$DH$129,AI$1,0),0)</f>
        <v>0</v>
      </c>
      <c r="AJ8" s="13">
        <f>IFERROR(VLOOKUP($G8,'Visu totale'!$D$3:$DH$129,AJ$1,0),0)</f>
        <v>0</v>
      </c>
      <c r="AK8" s="13">
        <f>IFERROR(VLOOKUP($G8,'Visu totale'!$D$3:$DH$129,AK$1,0),0)</f>
        <v>0</v>
      </c>
      <c r="AL8" s="13">
        <f>IFERROR(VLOOKUP($G8,'Visu totale'!$D$3:$DH$129,AL$1,0),0)</f>
        <v>0</v>
      </c>
      <c r="AM8" s="13">
        <f>IFERROR(VLOOKUP($G8,'Visu totale'!$D$3:$DH$129,AM$1,0),0)</f>
        <v>0</v>
      </c>
      <c r="AN8" s="13">
        <f>IFERROR(VLOOKUP($G8,'Visu totale'!$D$3:$DH$129,AN$1,0),0)</f>
        <v>0</v>
      </c>
      <c r="AO8" s="13">
        <f>IFERROR(VLOOKUP($G8,'Visu totale'!$D$3:$DH$129,AO$1,0),0)</f>
        <v>0</v>
      </c>
      <c r="AP8" s="13">
        <f>IFERROR(VLOOKUP($G8,'Visu totale'!$D$3:$DH$129,AP$1,0),0)</f>
        <v>0</v>
      </c>
      <c r="AQ8" s="15">
        <f>IFERROR(VLOOKUP($G8,'Visu totale'!$D$3:$DH$129,AQ$1,0),0)</f>
        <v>0</v>
      </c>
      <c r="AR8" s="14">
        <f>IFERROR(VLOOKUP($G8,'Visu totale'!$D$3:$DH$129,AR$1,0),0)</f>
        <v>0</v>
      </c>
      <c r="AS8" s="13">
        <f>IFERROR(VLOOKUP($G8,'Visu totale'!$D$3:$DH$129,AS$1,0),0)</f>
        <v>0</v>
      </c>
      <c r="AT8" s="13">
        <f>IFERROR(VLOOKUP($G8,'Visu totale'!$D$3:$DH$129,AT$1,0),0)</f>
        <v>0</v>
      </c>
      <c r="AU8" s="13">
        <f>IFERROR(VLOOKUP($G8,'Visu totale'!$D$3:$DH$129,AU$1,0),0)</f>
        <v>0</v>
      </c>
      <c r="AV8" s="13">
        <f>IFERROR(VLOOKUP($G8,'Visu totale'!$D$3:$DH$129,AV$1,0),0)</f>
        <v>0</v>
      </c>
      <c r="AW8" s="13">
        <f>IFERROR(VLOOKUP($G8,'Visu totale'!$D$3:$DH$129,AW$1,0),0)</f>
        <v>0</v>
      </c>
      <c r="AX8" s="13">
        <f>IFERROR(VLOOKUP($G8,'Visu totale'!$D$3:$DH$129,AX$1,0),0)</f>
        <v>0</v>
      </c>
      <c r="AY8" s="13">
        <f>IFERROR(VLOOKUP($G8,'Visu totale'!$D$3:$DH$129,AY$1,0),0)</f>
        <v>0</v>
      </c>
      <c r="AZ8" s="13">
        <f>IFERROR(VLOOKUP($G8,'Visu totale'!$D$3:$DH$129,AZ$1,0),0)</f>
        <v>0</v>
      </c>
      <c r="BA8" s="13">
        <f>IFERROR(VLOOKUP($G8,'Visu totale'!$D$3:$DH$129,BA$1,0),0)</f>
        <v>0</v>
      </c>
      <c r="BB8" s="13">
        <f>IFERROR(VLOOKUP($G8,'Visu totale'!$D$3:$DH$129,BB$1,0),0)</f>
        <v>0</v>
      </c>
      <c r="BC8" s="15">
        <f>IFERROR(VLOOKUP($G8,'Visu totale'!$D$3:$DH$129,BC$1,0),0)</f>
        <v>0</v>
      </c>
      <c r="BD8" s="14">
        <f>IFERROR(VLOOKUP($G8,'Visu totale'!$D$3:$DH$129,BD$1,0),0)</f>
        <v>0</v>
      </c>
      <c r="BE8" s="13">
        <f>IFERROR(VLOOKUP($G8,'Visu totale'!$D$3:$DH$129,BE$1,0),0)</f>
        <v>0</v>
      </c>
      <c r="BF8" s="13">
        <f>IFERROR(VLOOKUP($G8,'Visu totale'!$D$3:$DH$129,BF$1,0),0)</f>
        <v>0</v>
      </c>
      <c r="BG8" s="13">
        <f>IFERROR(VLOOKUP($G8,'Visu totale'!$D$3:$DH$129,BG$1,0),0)</f>
        <v>0</v>
      </c>
      <c r="BH8" s="13">
        <f>IFERROR(VLOOKUP($G8,'Visu totale'!$D$3:$DH$129,BH$1,0),0)</f>
        <v>0</v>
      </c>
      <c r="BI8" s="13">
        <f>IFERROR(VLOOKUP($G8,'Visu totale'!$D$3:$DH$129,BI$1,0),0)</f>
        <v>0</v>
      </c>
      <c r="BJ8" s="13">
        <f>IFERROR(VLOOKUP($G8,'Visu totale'!$D$3:$DH$129,BJ$1,0),0)</f>
        <v>0</v>
      </c>
      <c r="BK8" s="13">
        <f>IFERROR(VLOOKUP($G8,'Visu totale'!$D$3:$DH$129,BK$1,0),0)</f>
        <v>0</v>
      </c>
      <c r="BL8" s="13">
        <f>IFERROR(VLOOKUP($G8,'Visu totale'!$D$3:$DH$129,BL$1,0),0)</f>
        <v>0</v>
      </c>
      <c r="BM8" s="13">
        <f>IFERROR(VLOOKUP($G8,'Visu totale'!$D$3:$DH$129,BM$1,0),0)</f>
        <v>0</v>
      </c>
      <c r="BN8" s="13">
        <f>IFERROR(VLOOKUP($G8,'Visu totale'!$D$3:$DH$129,BN$1,0),0)</f>
        <v>0</v>
      </c>
      <c r="BO8" s="15">
        <f>IFERROR(VLOOKUP($G8,'Visu totale'!$D$3:$DH$129,BO$1,0),0)</f>
        <v>0</v>
      </c>
      <c r="BP8" s="14">
        <f>IFERROR(VLOOKUP($G8,'Visu totale'!$D$3:$DH$129,BP$1,0),0)</f>
        <v>0</v>
      </c>
      <c r="BQ8" s="13">
        <f>IFERROR(VLOOKUP($G8,'Visu totale'!$D$3:$DH$129,BQ$1,0),0)</f>
        <v>0</v>
      </c>
      <c r="BR8" s="13">
        <f>IFERROR(VLOOKUP($G8,'Visu totale'!$D$3:$DH$129,BR$1,0),0)</f>
        <v>0</v>
      </c>
      <c r="BS8" s="13">
        <f>IFERROR(VLOOKUP($G8,'Visu totale'!$D$3:$DH$129,BS$1,0),0)</f>
        <v>0</v>
      </c>
      <c r="BT8" s="13">
        <f>IFERROR(VLOOKUP($G8,'Visu totale'!$D$3:$DH$129,BT$1,0),0)</f>
        <v>0</v>
      </c>
      <c r="BU8" s="13">
        <f>IFERROR(VLOOKUP($G8,'Visu totale'!$D$3:$DH$129,BU$1,0),0)</f>
        <v>0</v>
      </c>
      <c r="BV8" s="13">
        <f>IFERROR(VLOOKUP($G8,'Visu totale'!$D$3:$DH$129,BV$1,0),0)</f>
        <v>0</v>
      </c>
      <c r="BW8" s="13">
        <f>IFERROR(VLOOKUP($G8,'Visu totale'!$D$3:$DH$129,BW$1,0),0)</f>
        <v>0</v>
      </c>
      <c r="BX8" s="13">
        <f>IFERROR(VLOOKUP($G8,'Visu totale'!$D$3:$DH$129,BX$1,0),0)</f>
        <v>0</v>
      </c>
      <c r="BY8" s="13">
        <f>IFERROR(VLOOKUP($G8,'Visu totale'!$D$3:$DH$129,BY$1,0),0)</f>
        <v>0</v>
      </c>
      <c r="BZ8" s="13">
        <f>IFERROR(VLOOKUP($G8,'Visu totale'!$D$3:$DH$129,BZ$1,0),0)</f>
        <v>0</v>
      </c>
      <c r="CA8" s="15">
        <f>IFERROR(VLOOKUP($G8,'Visu totale'!$D$3:$DH$129,CA$1,0),0)</f>
        <v>0</v>
      </c>
      <c r="CB8" s="14">
        <f>IFERROR(VLOOKUP($G8,'Visu totale'!$D$3:$DH$129,CB$1,0),0)</f>
        <v>0</v>
      </c>
      <c r="CC8" s="13">
        <f>IFERROR(VLOOKUP($G8,'Visu totale'!$D$3:$DH$129,CC$1,0),0)</f>
        <v>0</v>
      </c>
      <c r="CD8" s="13">
        <f>IFERROR(VLOOKUP($G8,'Visu totale'!$D$3:$DH$129,CD$1,0),0)</f>
        <v>0</v>
      </c>
      <c r="CE8" s="13">
        <f>IFERROR(VLOOKUP($G8,'Visu totale'!$D$3:$DH$129,CE$1,0),0)</f>
        <v>0</v>
      </c>
      <c r="CF8" s="13">
        <f>IFERROR(VLOOKUP($G8,'Visu totale'!$D$3:$DH$129,CF$1,0),0)</f>
        <v>0</v>
      </c>
      <c r="CG8" s="13">
        <f>IFERROR(VLOOKUP($G8,'Visu totale'!$D$3:$DH$129,CG$1,0),0)</f>
        <v>0</v>
      </c>
      <c r="CH8" s="13">
        <f>IFERROR(VLOOKUP($G8,'Visu totale'!$D$3:$DH$129,CH$1,0),0)</f>
        <v>0</v>
      </c>
      <c r="CI8" s="13">
        <f>IFERROR(VLOOKUP($G8,'Visu totale'!$D$3:$DH$129,CI$1,0),0)</f>
        <v>0</v>
      </c>
      <c r="CJ8" s="13">
        <f>IFERROR(VLOOKUP($G8,'Visu totale'!$D$3:$DH$129,CJ$1,0),0)</f>
        <v>0</v>
      </c>
      <c r="CK8" s="13">
        <f>IFERROR(VLOOKUP($G8,'Visu totale'!$D$3:$DH$129,CK$1,0),0)</f>
        <v>0</v>
      </c>
      <c r="CL8" s="13">
        <f>IFERROR(VLOOKUP($G8,'Visu totale'!$D$3:$DH$129,CL$1,0),0)</f>
        <v>0</v>
      </c>
      <c r="CM8" s="15">
        <f>IFERROR(VLOOKUP($G8,'Visu totale'!$D$3:$DH$129,CM$1,0),0)</f>
        <v>0</v>
      </c>
      <c r="CN8" s="14">
        <f>IFERROR(VLOOKUP($G8,'Visu totale'!$D$3:$DH$129,CN$1,0),0)</f>
        <v>0</v>
      </c>
      <c r="CO8" s="13">
        <f>IFERROR(VLOOKUP($G8,'Visu totale'!$D$3:$DH$129,CO$1,0),0)</f>
        <v>0</v>
      </c>
      <c r="CP8" s="13">
        <f>IFERROR(VLOOKUP($G8,'Visu totale'!$D$3:$DH$129,CP$1,0),0)</f>
        <v>0</v>
      </c>
      <c r="CQ8" s="13">
        <f>IFERROR(VLOOKUP($G8,'Visu totale'!$D$3:$DH$129,CQ$1,0),0)</f>
        <v>0</v>
      </c>
      <c r="CR8" s="13">
        <f>IFERROR(VLOOKUP($G8,'Visu totale'!$D$3:$DH$129,CR$1,0),0)</f>
        <v>0</v>
      </c>
      <c r="CS8" s="13">
        <f>IFERROR(VLOOKUP($G8,'Visu totale'!$D$3:$DH$129,CS$1,0),0)</f>
        <v>0</v>
      </c>
      <c r="CT8" s="13">
        <f>IFERROR(VLOOKUP($G8,'Visu totale'!$D$3:$DH$129,CT$1,0),0)</f>
        <v>0</v>
      </c>
      <c r="CU8" s="13">
        <f>IFERROR(VLOOKUP($G8,'Visu totale'!$D$3:$DH$129,CU$1,0),0)</f>
        <v>0</v>
      </c>
      <c r="CV8" s="13">
        <f>IFERROR(VLOOKUP($G8,'Visu totale'!$D$3:$DH$129,CV$1,0),0)</f>
        <v>0</v>
      </c>
      <c r="CW8" s="13">
        <f>IFERROR(VLOOKUP($G8,'Visu totale'!$D$3:$DH$129,CW$1,0),0)</f>
        <v>0</v>
      </c>
      <c r="CX8" s="13">
        <f>IFERROR(VLOOKUP($G8,'Visu totale'!$D$3:$DH$129,CX$1,0),0)</f>
        <v>0</v>
      </c>
      <c r="CY8" s="15">
        <f>IFERROR(VLOOKUP($G8,'Visu totale'!$D$3:$DH$129,CY$1,0),0)</f>
        <v>0</v>
      </c>
      <c r="CZ8" s="14">
        <f>IFERROR(VLOOKUP($G8,'Visu totale'!$D$3:$DH$129,CZ$1,0),0)</f>
        <v>0</v>
      </c>
      <c r="DA8" s="13">
        <f>IFERROR(VLOOKUP($G8,'Visu totale'!$D$3:$DH$129,DA$1,0),0)</f>
        <v>0</v>
      </c>
      <c r="DB8" s="13">
        <f>IFERROR(VLOOKUP($G8,'Visu totale'!$D$3:$DH$129,DB$1,0),0)</f>
        <v>0</v>
      </c>
      <c r="DC8" s="13">
        <f>IFERROR(VLOOKUP($G8,'Visu totale'!$D$3:$DH$129,DC$1,0),0)</f>
        <v>0</v>
      </c>
      <c r="DD8" s="13">
        <f>IFERROR(VLOOKUP($G8,'Visu totale'!$D$3:$DH$129,DD$1,0),0)</f>
        <v>0</v>
      </c>
      <c r="DE8" s="13">
        <f>IFERROR(VLOOKUP($G8,'Visu totale'!$D$3:$DH$129,DE$1,0),0)</f>
        <v>0</v>
      </c>
      <c r="DF8" s="13">
        <f>IFERROR(VLOOKUP($G8,'Visu totale'!$D$3:$DH$129,DF$1,0),0)</f>
        <v>0</v>
      </c>
      <c r="DG8" s="13">
        <f>IFERROR(VLOOKUP($G8,'Visu totale'!$D$3:$DH$129,DG$1,0),0)</f>
        <v>0</v>
      </c>
      <c r="DH8" s="13">
        <f>IFERROR(VLOOKUP($G8,'Visu totale'!$D$3:$DH$129,DH$1,0),0)</f>
        <v>0</v>
      </c>
      <c r="DI8" s="13">
        <f>IFERROR(VLOOKUP($G8,'Visu totale'!$D$3:$DH$129,DI$1,0),0)</f>
        <v>0</v>
      </c>
      <c r="DJ8" s="13">
        <f>IFERROR(VLOOKUP($G8,'Visu totale'!$D$3:$DH$129,DJ$1,0),0)</f>
        <v>0</v>
      </c>
      <c r="DK8" s="15">
        <f>IFERROR(VLOOKUP($G8,'Visu totale'!$D$3:$DH$129,DK$1,0),0)</f>
        <v>0</v>
      </c>
    </row>
    <row r="9" spans="1:115" x14ac:dyDescent="0.25">
      <c r="A9" s="13"/>
      <c r="B9" s="13"/>
      <c r="C9" s="13"/>
      <c r="D9" s="16"/>
      <c r="E9" s="13"/>
      <c r="F9" s="13"/>
      <c r="G9" s="17" t="s">
        <v>11</v>
      </c>
      <c r="H9" s="14">
        <f>IFERROR(VLOOKUP($G9,'Visu totale'!$D$3:$DH$129,H$1,0),0)</f>
        <v>0</v>
      </c>
      <c r="I9" s="13">
        <f>IFERROR(VLOOKUP($G9,'Visu totale'!$D$3:$DH$129,I$1,0),0)</f>
        <v>0</v>
      </c>
      <c r="J9" s="13">
        <f>IFERROR(VLOOKUP($G9,'Visu totale'!$D$3:$DH$129,J$1,0),0)</f>
        <v>0</v>
      </c>
      <c r="K9" s="13">
        <f>IFERROR(VLOOKUP($G9,'Visu totale'!$D$3:$DH$129,K$1,0),0)</f>
        <v>0</v>
      </c>
      <c r="L9" s="13">
        <f>IFERROR(VLOOKUP($G9,'Visu totale'!$D$3:$DH$129,L$1,0),0)</f>
        <v>0</v>
      </c>
      <c r="M9" s="13">
        <f>IFERROR(VLOOKUP($G9,'Visu totale'!$D$3:$DH$129,M$1,0),0)</f>
        <v>0</v>
      </c>
      <c r="N9" s="13">
        <f>IFERROR(VLOOKUP($G9,'Visu totale'!$D$3:$DH$129,N$1,0),0)</f>
        <v>0</v>
      </c>
      <c r="O9" s="13">
        <f>IFERROR(VLOOKUP($G9,'Visu totale'!$D$3:$DH$129,O$1,0),0)</f>
        <v>0</v>
      </c>
      <c r="P9" s="13">
        <f>IFERROR(VLOOKUP($G9,'Visu totale'!$D$3:$DH$129,P$1,0),0)</f>
        <v>0</v>
      </c>
      <c r="Q9" s="13">
        <f>IFERROR(VLOOKUP($G9,'Visu totale'!$D$3:$DH$129,Q$1,0),0)</f>
        <v>0</v>
      </c>
      <c r="R9" s="13">
        <f>IFERROR(VLOOKUP($G9,'Visu totale'!$D$3:$DH$129,R$1,0),0)</f>
        <v>0</v>
      </c>
      <c r="S9" s="15">
        <f>IFERROR(VLOOKUP($G9,'Visu totale'!$D$3:$DH$129,S$1,0),0)</f>
        <v>0</v>
      </c>
      <c r="T9" s="14">
        <f>IFERROR(VLOOKUP($G9,'Visu totale'!$D$3:$DH$129,T$1,0),0)</f>
        <v>0</v>
      </c>
      <c r="U9" s="13">
        <f>IFERROR(VLOOKUP($G9,'Visu totale'!$D$3:$DH$129,U$1,0),0)</f>
        <v>0</v>
      </c>
      <c r="V9" s="13">
        <f>IFERROR(VLOOKUP($G9,'Visu totale'!$D$3:$DH$129,V$1,0),0)</f>
        <v>0</v>
      </c>
      <c r="W9" s="13">
        <f>IFERROR(VLOOKUP($G9,'Visu totale'!$D$3:$DH$129,W$1,0),0)</f>
        <v>0</v>
      </c>
      <c r="X9" s="13">
        <f>IFERROR(VLOOKUP($G9,'Visu totale'!$D$3:$DH$129,X$1,0),0)</f>
        <v>0</v>
      </c>
      <c r="Y9" s="13">
        <f>IFERROR(VLOOKUP($G9,'Visu totale'!$D$3:$DH$129,Y$1,0),0)</f>
        <v>0</v>
      </c>
      <c r="Z9" s="13">
        <f>IFERROR(VLOOKUP($G9,'Visu totale'!$D$3:$DH$129,Z$1,0),0)</f>
        <v>0</v>
      </c>
      <c r="AA9" s="13">
        <f>IFERROR(VLOOKUP($G9,'Visu totale'!$D$3:$DH$129,AA$1,0),0)</f>
        <v>0</v>
      </c>
      <c r="AB9" s="13">
        <f>IFERROR(VLOOKUP($G9,'Visu totale'!$D$3:$DH$129,AB$1,0),0)</f>
        <v>0</v>
      </c>
      <c r="AC9" s="13">
        <f>IFERROR(VLOOKUP($G9,'Visu totale'!$D$3:$DH$129,AC$1,0),0)</f>
        <v>0</v>
      </c>
      <c r="AD9" s="13">
        <f>IFERROR(VLOOKUP($G9,'Visu totale'!$D$3:$DH$129,AD$1,0),0)</f>
        <v>0</v>
      </c>
      <c r="AE9" s="15">
        <f>IFERROR(VLOOKUP($G9,'Visu totale'!$D$3:$DH$129,AE$1,0),0)</f>
        <v>0</v>
      </c>
      <c r="AF9" s="14">
        <f>IFERROR(VLOOKUP($G9,'Visu totale'!$D$3:$DH$129,AF$1,0),0)</f>
        <v>0</v>
      </c>
      <c r="AG9" s="13">
        <f>IFERROR(VLOOKUP($G9,'Visu totale'!$D$3:$DH$129,AG$1,0),0)</f>
        <v>0</v>
      </c>
      <c r="AH9" s="13">
        <f>IFERROR(VLOOKUP($G9,'Visu totale'!$D$3:$DH$129,AH$1,0),0)</f>
        <v>0</v>
      </c>
      <c r="AI9" s="13">
        <f>IFERROR(VLOOKUP($G9,'Visu totale'!$D$3:$DH$129,AI$1,0),0)</f>
        <v>0</v>
      </c>
      <c r="AJ9" s="13">
        <f>IFERROR(VLOOKUP($G9,'Visu totale'!$D$3:$DH$129,AJ$1,0),0)</f>
        <v>0</v>
      </c>
      <c r="AK9" s="13">
        <f>IFERROR(VLOOKUP($G9,'Visu totale'!$D$3:$DH$129,AK$1,0),0)</f>
        <v>0</v>
      </c>
      <c r="AL9" s="13">
        <f>IFERROR(VLOOKUP($G9,'Visu totale'!$D$3:$DH$129,AL$1,0),0)</f>
        <v>0</v>
      </c>
      <c r="AM9" s="13">
        <f>IFERROR(VLOOKUP($G9,'Visu totale'!$D$3:$DH$129,AM$1,0),0)</f>
        <v>0</v>
      </c>
      <c r="AN9" s="13">
        <f>IFERROR(VLOOKUP($G9,'Visu totale'!$D$3:$DH$129,AN$1,0),0)</f>
        <v>0</v>
      </c>
      <c r="AO9" s="13">
        <f>IFERROR(VLOOKUP($G9,'Visu totale'!$D$3:$DH$129,AO$1,0),0)</f>
        <v>0</v>
      </c>
      <c r="AP9" s="13">
        <f>IFERROR(VLOOKUP($G9,'Visu totale'!$D$3:$DH$129,AP$1,0),0)</f>
        <v>0</v>
      </c>
      <c r="AQ9" s="15">
        <f>IFERROR(VLOOKUP($G9,'Visu totale'!$D$3:$DH$129,AQ$1,0),0)</f>
        <v>0</v>
      </c>
      <c r="AR9" s="14">
        <f>IFERROR(VLOOKUP($G9,'Visu totale'!$D$3:$DH$129,AR$1,0),0)</f>
        <v>0</v>
      </c>
      <c r="AS9" s="13">
        <f>IFERROR(VLOOKUP($G9,'Visu totale'!$D$3:$DH$129,AS$1,0),0)</f>
        <v>0</v>
      </c>
      <c r="AT9" s="13">
        <f>IFERROR(VLOOKUP($G9,'Visu totale'!$D$3:$DH$129,AT$1,0),0)</f>
        <v>0</v>
      </c>
      <c r="AU9" s="13">
        <f>IFERROR(VLOOKUP($G9,'Visu totale'!$D$3:$DH$129,AU$1,0),0)</f>
        <v>0</v>
      </c>
      <c r="AV9" s="13">
        <f>IFERROR(VLOOKUP($G9,'Visu totale'!$D$3:$DH$129,AV$1,0),0)</f>
        <v>0</v>
      </c>
      <c r="AW9" s="13">
        <f>IFERROR(VLOOKUP($G9,'Visu totale'!$D$3:$DH$129,AW$1,0),0)</f>
        <v>0</v>
      </c>
      <c r="AX9" s="13">
        <f>IFERROR(VLOOKUP($G9,'Visu totale'!$D$3:$DH$129,AX$1,0),0)</f>
        <v>0</v>
      </c>
      <c r="AY9" s="13">
        <f>IFERROR(VLOOKUP($G9,'Visu totale'!$D$3:$DH$129,AY$1,0),0)</f>
        <v>0</v>
      </c>
      <c r="AZ9" s="13">
        <f>IFERROR(VLOOKUP($G9,'Visu totale'!$D$3:$DH$129,AZ$1,0),0)</f>
        <v>0</v>
      </c>
      <c r="BA9" s="13">
        <f>IFERROR(VLOOKUP($G9,'Visu totale'!$D$3:$DH$129,BA$1,0),0)</f>
        <v>0</v>
      </c>
      <c r="BB9" s="13">
        <f>IFERROR(VLOOKUP($G9,'Visu totale'!$D$3:$DH$129,BB$1,0),0)</f>
        <v>0</v>
      </c>
      <c r="BC9" s="15">
        <f>IFERROR(VLOOKUP($G9,'Visu totale'!$D$3:$DH$129,BC$1,0),0)</f>
        <v>0</v>
      </c>
      <c r="BD9" s="14">
        <f>IFERROR(VLOOKUP($G9,'Visu totale'!$D$3:$DH$129,BD$1,0),0)</f>
        <v>0</v>
      </c>
      <c r="BE9" s="13">
        <f>IFERROR(VLOOKUP($G9,'Visu totale'!$D$3:$DH$129,BE$1,0),0)</f>
        <v>0</v>
      </c>
      <c r="BF9" s="13">
        <f>IFERROR(VLOOKUP($G9,'Visu totale'!$D$3:$DH$129,BF$1,0),0)</f>
        <v>0</v>
      </c>
      <c r="BG9" s="13">
        <f>IFERROR(VLOOKUP($G9,'Visu totale'!$D$3:$DH$129,BG$1,0),0)</f>
        <v>0</v>
      </c>
      <c r="BH9" s="13">
        <f>IFERROR(VLOOKUP($G9,'Visu totale'!$D$3:$DH$129,BH$1,0),0)</f>
        <v>0</v>
      </c>
      <c r="BI9" s="13">
        <f>IFERROR(VLOOKUP($G9,'Visu totale'!$D$3:$DH$129,BI$1,0),0)</f>
        <v>0</v>
      </c>
      <c r="BJ9" s="13">
        <f>IFERROR(VLOOKUP($G9,'Visu totale'!$D$3:$DH$129,BJ$1,0),0)</f>
        <v>0</v>
      </c>
      <c r="BK9" s="13">
        <f>IFERROR(VLOOKUP($G9,'Visu totale'!$D$3:$DH$129,BK$1,0),0)</f>
        <v>0</v>
      </c>
      <c r="BL9" s="13">
        <f>IFERROR(VLOOKUP($G9,'Visu totale'!$D$3:$DH$129,BL$1,0),0)</f>
        <v>0</v>
      </c>
      <c r="BM9" s="13">
        <f>IFERROR(VLOOKUP($G9,'Visu totale'!$D$3:$DH$129,BM$1,0),0)</f>
        <v>0</v>
      </c>
      <c r="BN9" s="13">
        <f>IFERROR(VLOOKUP($G9,'Visu totale'!$D$3:$DH$129,BN$1,0),0)</f>
        <v>0</v>
      </c>
      <c r="BO9" s="15">
        <f>IFERROR(VLOOKUP($G9,'Visu totale'!$D$3:$DH$129,BO$1,0),0)</f>
        <v>0</v>
      </c>
      <c r="BP9" s="14">
        <f>IFERROR(VLOOKUP($G9,'Visu totale'!$D$3:$DH$129,BP$1,0),0)</f>
        <v>0</v>
      </c>
      <c r="BQ9" s="13">
        <f>IFERROR(VLOOKUP($G9,'Visu totale'!$D$3:$DH$129,BQ$1,0),0)</f>
        <v>0</v>
      </c>
      <c r="BR9" s="13">
        <f>IFERROR(VLOOKUP($G9,'Visu totale'!$D$3:$DH$129,BR$1,0),0)</f>
        <v>0</v>
      </c>
      <c r="BS9" s="13">
        <f>IFERROR(VLOOKUP($G9,'Visu totale'!$D$3:$DH$129,BS$1,0),0)</f>
        <v>0</v>
      </c>
      <c r="BT9" s="13">
        <f>IFERROR(VLOOKUP($G9,'Visu totale'!$D$3:$DH$129,BT$1,0),0)</f>
        <v>0</v>
      </c>
      <c r="BU9" s="13">
        <f>IFERROR(VLOOKUP($G9,'Visu totale'!$D$3:$DH$129,BU$1,0),0)</f>
        <v>0</v>
      </c>
      <c r="BV9" s="13">
        <f>IFERROR(VLOOKUP($G9,'Visu totale'!$D$3:$DH$129,BV$1,0),0)</f>
        <v>0</v>
      </c>
      <c r="BW9" s="13">
        <f>IFERROR(VLOOKUP($G9,'Visu totale'!$D$3:$DH$129,BW$1,0),0)</f>
        <v>0</v>
      </c>
      <c r="BX9" s="13">
        <f>IFERROR(VLOOKUP($G9,'Visu totale'!$D$3:$DH$129,BX$1,0),0)</f>
        <v>0</v>
      </c>
      <c r="BY9" s="13">
        <f>IFERROR(VLOOKUP($G9,'Visu totale'!$D$3:$DH$129,BY$1,0),0)</f>
        <v>0</v>
      </c>
      <c r="BZ9" s="13">
        <f>IFERROR(VLOOKUP($G9,'Visu totale'!$D$3:$DH$129,BZ$1,0),0)</f>
        <v>0</v>
      </c>
      <c r="CA9" s="15">
        <f>IFERROR(VLOOKUP($G9,'Visu totale'!$D$3:$DH$129,CA$1,0),0)</f>
        <v>0</v>
      </c>
      <c r="CB9" s="14">
        <f>IFERROR(VLOOKUP($G9,'Visu totale'!$D$3:$DH$129,CB$1,0),0)</f>
        <v>0</v>
      </c>
      <c r="CC9" s="13">
        <f>IFERROR(VLOOKUP($G9,'Visu totale'!$D$3:$DH$129,CC$1,0),0)</f>
        <v>0</v>
      </c>
      <c r="CD9" s="13">
        <f>IFERROR(VLOOKUP($G9,'Visu totale'!$D$3:$DH$129,CD$1,0),0)</f>
        <v>0</v>
      </c>
      <c r="CE9" s="13">
        <f>IFERROR(VLOOKUP($G9,'Visu totale'!$D$3:$DH$129,CE$1,0),0)</f>
        <v>0</v>
      </c>
      <c r="CF9" s="13">
        <f>IFERROR(VLOOKUP($G9,'Visu totale'!$D$3:$DH$129,CF$1,0),0)</f>
        <v>0</v>
      </c>
      <c r="CG9" s="13">
        <f>IFERROR(VLOOKUP($G9,'Visu totale'!$D$3:$DH$129,CG$1,0),0)</f>
        <v>0</v>
      </c>
      <c r="CH9" s="13">
        <f>IFERROR(VLOOKUP($G9,'Visu totale'!$D$3:$DH$129,CH$1,0),0)</f>
        <v>0</v>
      </c>
      <c r="CI9" s="13">
        <f>IFERROR(VLOOKUP($G9,'Visu totale'!$D$3:$DH$129,CI$1,0),0)</f>
        <v>0</v>
      </c>
      <c r="CJ9" s="13">
        <f>IFERROR(VLOOKUP($G9,'Visu totale'!$D$3:$DH$129,CJ$1,0),0)</f>
        <v>0</v>
      </c>
      <c r="CK9" s="13">
        <f>IFERROR(VLOOKUP($G9,'Visu totale'!$D$3:$DH$129,CK$1,0),0)</f>
        <v>0</v>
      </c>
      <c r="CL9" s="13">
        <f>IFERROR(VLOOKUP($G9,'Visu totale'!$D$3:$DH$129,CL$1,0),0)</f>
        <v>0</v>
      </c>
      <c r="CM9" s="15">
        <f>IFERROR(VLOOKUP($G9,'Visu totale'!$D$3:$DH$129,CM$1,0),0)</f>
        <v>0</v>
      </c>
      <c r="CN9" s="14">
        <f>IFERROR(VLOOKUP($G9,'Visu totale'!$D$3:$DH$129,CN$1,0),0)</f>
        <v>0</v>
      </c>
      <c r="CO9" s="13">
        <f>IFERROR(VLOOKUP($G9,'Visu totale'!$D$3:$DH$129,CO$1,0),0)</f>
        <v>0</v>
      </c>
      <c r="CP9" s="13">
        <f>IFERROR(VLOOKUP($G9,'Visu totale'!$D$3:$DH$129,CP$1,0),0)</f>
        <v>0</v>
      </c>
      <c r="CQ9" s="13">
        <f>IFERROR(VLOOKUP($G9,'Visu totale'!$D$3:$DH$129,CQ$1,0),0)</f>
        <v>0</v>
      </c>
      <c r="CR9" s="13">
        <f>IFERROR(VLOOKUP($G9,'Visu totale'!$D$3:$DH$129,CR$1,0),0)</f>
        <v>0</v>
      </c>
      <c r="CS9" s="13">
        <f>IFERROR(VLOOKUP($G9,'Visu totale'!$D$3:$DH$129,CS$1,0),0)</f>
        <v>0</v>
      </c>
      <c r="CT9" s="13">
        <f>IFERROR(VLOOKUP($G9,'Visu totale'!$D$3:$DH$129,CT$1,0),0)</f>
        <v>0</v>
      </c>
      <c r="CU9" s="13">
        <f>IFERROR(VLOOKUP($G9,'Visu totale'!$D$3:$DH$129,CU$1,0),0)</f>
        <v>0</v>
      </c>
      <c r="CV9" s="13">
        <f>IFERROR(VLOOKUP($G9,'Visu totale'!$D$3:$DH$129,CV$1,0),0)</f>
        <v>0</v>
      </c>
      <c r="CW9" s="13">
        <f>IFERROR(VLOOKUP($G9,'Visu totale'!$D$3:$DH$129,CW$1,0),0)</f>
        <v>0</v>
      </c>
      <c r="CX9" s="13">
        <f>IFERROR(VLOOKUP($G9,'Visu totale'!$D$3:$DH$129,CX$1,0),0)</f>
        <v>0</v>
      </c>
      <c r="CY9" s="15">
        <f>IFERROR(VLOOKUP($G9,'Visu totale'!$D$3:$DH$129,CY$1,0),0)</f>
        <v>0</v>
      </c>
      <c r="CZ9" s="14">
        <f>IFERROR(VLOOKUP($G9,'Visu totale'!$D$3:$DH$129,CZ$1,0),0)</f>
        <v>0</v>
      </c>
      <c r="DA9" s="13">
        <f>IFERROR(VLOOKUP($G9,'Visu totale'!$D$3:$DH$129,DA$1,0),0)</f>
        <v>0</v>
      </c>
      <c r="DB9" s="13">
        <f>IFERROR(VLOOKUP($G9,'Visu totale'!$D$3:$DH$129,DB$1,0),0)</f>
        <v>0</v>
      </c>
      <c r="DC9" s="13">
        <f>IFERROR(VLOOKUP($G9,'Visu totale'!$D$3:$DH$129,DC$1,0),0)</f>
        <v>0</v>
      </c>
      <c r="DD9" s="13">
        <f>IFERROR(VLOOKUP($G9,'Visu totale'!$D$3:$DH$129,DD$1,0),0)</f>
        <v>0</v>
      </c>
      <c r="DE9" s="13">
        <f>IFERROR(VLOOKUP($G9,'Visu totale'!$D$3:$DH$129,DE$1,0),0)</f>
        <v>0</v>
      </c>
      <c r="DF9" s="13">
        <f>IFERROR(VLOOKUP($G9,'Visu totale'!$D$3:$DH$129,DF$1,0),0)</f>
        <v>0</v>
      </c>
      <c r="DG9" s="13">
        <f>IFERROR(VLOOKUP($G9,'Visu totale'!$D$3:$DH$129,DG$1,0),0)</f>
        <v>0</v>
      </c>
      <c r="DH9" s="13">
        <f>IFERROR(VLOOKUP($G9,'Visu totale'!$D$3:$DH$129,DH$1,0),0)</f>
        <v>0</v>
      </c>
      <c r="DI9" s="13">
        <f>IFERROR(VLOOKUP($G9,'Visu totale'!$D$3:$DH$129,DI$1,0),0)</f>
        <v>0</v>
      </c>
      <c r="DJ9" s="13">
        <f>IFERROR(VLOOKUP($G9,'Visu totale'!$D$3:$DH$129,DJ$1,0),0)</f>
        <v>0</v>
      </c>
      <c r="DK9" s="15">
        <f>IFERROR(VLOOKUP($G9,'Visu totale'!$D$3:$DH$129,DK$1,0),0)</f>
        <v>0</v>
      </c>
    </row>
    <row r="10" spans="1:115" x14ac:dyDescent="0.25">
      <c r="A10" s="13"/>
      <c r="B10" s="13"/>
      <c r="C10" s="13"/>
      <c r="D10" s="16"/>
      <c r="E10" s="13"/>
      <c r="F10" s="13"/>
      <c r="G10" s="17" t="s">
        <v>12</v>
      </c>
      <c r="H10" s="14">
        <f>IFERROR(VLOOKUP($G10,'Visu totale'!$D$3:$DH$129,H$1,0),0)</f>
        <v>0</v>
      </c>
      <c r="I10" s="13">
        <f>IFERROR(VLOOKUP($G10,'Visu totale'!$D$3:$DH$129,I$1,0),0)</f>
        <v>0</v>
      </c>
      <c r="J10" s="13">
        <f>IFERROR(VLOOKUP($G10,'Visu totale'!$D$3:$DH$129,J$1,0),0)</f>
        <v>0</v>
      </c>
      <c r="K10" s="13">
        <f>IFERROR(VLOOKUP($G10,'Visu totale'!$D$3:$DH$129,K$1,0),0)</f>
        <v>0</v>
      </c>
      <c r="L10" s="13">
        <f>IFERROR(VLOOKUP($G10,'Visu totale'!$D$3:$DH$129,L$1,0),0)</f>
        <v>0</v>
      </c>
      <c r="M10" s="13">
        <f>IFERROR(VLOOKUP($G10,'Visu totale'!$D$3:$DH$129,M$1,0),0)</f>
        <v>0</v>
      </c>
      <c r="N10" s="13">
        <f>IFERROR(VLOOKUP($G10,'Visu totale'!$D$3:$DH$129,N$1,0),0)</f>
        <v>0</v>
      </c>
      <c r="O10" s="13">
        <f>IFERROR(VLOOKUP($G10,'Visu totale'!$D$3:$DH$129,O$1,0),0)</f>
        <v>0</v>
      </c>
      <c r="P10" s="13">
        <f>IFERROR(VLOOKUP($G10,'Visu totale'!$D$3:$DH$129,P$1,0),0)</f>
        <v>0</v>
      </c>
      <c r="Q10" s="13">
        <f>IFERROR(VLOOKUP($G10,'Visu totale'!$D$3:$DH$129,Q$1,0),0)</f>
        <v>0</v>
      </c>
      <c r="R10" s="13">
        <f>IFERROR(VLOOKUP($G10,'Visu totale'!$D$3:$DH$129,R$1,0),0)</f>
        <v>0</v>
      </c>
      <c r="S10" s="15">
        <f>IFERROR(VLOOKUP($G10,'Visu totale'!$D$3:$DH$129,S$1,0),0)</f>
        <v>0</v>
      </c>
      <c r="T10" s="14">
        <f>IFERROR(VLOOKUP($G10,'Visu totale'!$D$3:$DH$129,T$1,0),0)</f>
        <v>0</v>
      </c>
      <c r="U10" s="13">
        <f>IFERROR(VLOOKUP($G10,'Visu totale'!$D$3:$DH$129,U$1,0),0)</f>
        <v>0</v>
      </c>
      <c r="V10" s="13">
        <f>IFERROR(VLOOKUP($G10,'Visu totale'!$D$3:$DH$129,V$1,0),0)</f>
        <v>0</v>
      </c>
      <c r="W10" s="13">
        <f>IFERROR(VLOOKUP($G10,'Visu totale'!$D$3:$DH$129,W$1,0),0)</f>
        <v>0</v>
      </c>
      <c r="X10" s="13">
        <f>IFERROR(VLOOKUP($G10,'Visu totale'!$D$3:$DH$129,X$1,0),0)</f>
        <v>0</v>
      </c>
      <c r="Y10" s="13">
        <f>IFERROR(VLOOKUP($G10,'Visu totale'!$D$3:$DH$129,Y$1,0),0)</f>
        <v>0</v>
      </c>
      <c r="Z10" s="13">
        <f>IFERROR(VLOOKUP($G10,'Visu totale'!$D$3:$DH$129,Z$1,0),0)</f>
        <v>0</v>
      </c>
      <c r="AA10" s="13">
        <f>IFERROR(VLOOKUP($G10,'Visu totale'!$D$3:$DH$129,AA$1,0),0)</f>
        <v>0</v>
      </c>
      <c r="AB10" s="13">
        <f>IFERROR(VLOOKUP($G10,'Visu totale'!$D$3:$DH$129,AB$1,0),0)</f>
        <v>0</v>
      </c>
      <c r="AC10" s="13">
        <f>IFERROR(VLOOKUP($G10,'Visu totale'!$D$3:$DH$129,AC$1,0),0)</f>
        <v>0</v>
      </c>
      <c r="AD10" s="13">
        <f>IFERROR(VLOOKUP($G10,'Visu totale'!$D$3:$DH$129,AD$1,0),0)</f>
        <v>0</v>
      </c>
      <c r="AE10" s="15">
        <f>IFERROR(VLOOKUP($G10,'Visu totale'!$D$3:$DH$129,AE$1,0),0)</f>
        <v>0</v>
      </c>
      <c r="AF10" s="14">
        <f>IFERROR(VLOOKUP($G10,'Visu totale'!$D$3:$DH$129,AF$1,0),0)</f>
        <v>0</v>
      </c>
      <c r="AG10" s="13">
        <f>IFERROR(VLOOKUP($G10,'Visu totale'!$D$3:$DH$129,AG$1,0),0)</f>
        <v>0</v>
      </c>
      <c r="AH10" s="13">
        <f>IFERROR(VLOOKUP($G10,'Visu totale'!$D$3:$DH$129,AH$1,0),0)</f>
        <v>0</v>
      </c>
      <c r="AI10" s="13">
        <f>IFERROR(VLOOKUP($G10,'Visu totale'!$D$3:$DH$129,AI$1,0),0)</f>
        <v>0</v>
      </c>
      <c r="AJ10" s="13">
        <f>IFERROR(VLOOKUP($G10,'Visu totale'!$D$3:$DH$129,AJ$1,0),0)</f>
        <v>0</v>
      </c>
      <c r="AK10" s="13">
        <f>IFERROR(VLOOKUP($G10,'Visu totale'!$D$3:$DH$129,AK$1,0),0)</f>
        <v>0</v>
      </c>
      <c r="AL10" s="13">
        <f>IFERROR(VLOOKUP($G10,'Visu totale'!$D$3:$DH$129,AL$1,0),0)</f>
        <v>0</v>
      </c>
      <c r="AM10" s="13">
        <f>IFERROR(VLOOKUP($G10,'Visu totale'!$D$3:$DH$129,AM$1,0),0)</f>
        <v>0</v>
      </c>
      <c r="AN10" s="13">
        <f>IFERROR(VLOOKUP($G10,'Visu totale'!$D$3:$DH$129,AN$1,0),0)</f>
        <v>0</v>
      </c>
      <c r="AO10" s="13">
        <f>IFERROR(VLOOKUP($G10,'Visu totale'!$D$3:$DH$129,AO$1,0),0)</f>
        <v>0</v>
      </c>
      <c r="AP10" s="13">
        <f>IFERROR(VLOOKUP($G10,'Visu totale'!$D$3:$DH$129,AP$1,0),0)</f>
        <v>0</v>
      </c>
      <c r="AQ10" s="15">
        <f>IFERROR(VLOOKUP($G10,'Visu totale'!$D$3:$DH$129,AQ$1,0),0)</f>
        <v>0</v>
      </c>
      <c r="AR10" s="14">
        <f>IFERROR(VLOOKUP($G10,'Visu totale'!$D$3:$DH$129,AR$1,0),0)</f>
        <v>0</v>
      </c>
      <c r="AS10" s="13">
        <f>IFERROR(VLOOKUP($G10,'Visu totale'!$D$3:$DH$129,AS$1,0),0)</f>
        <v>0</v>
      </c>
      <c r="AT10" s="13">
        <f>IFERROR(VLOOKUP($G10,'Visu totale'!$D$3:$DH$129,AT$1,0),0)</f>
        <v>0</v>
      </c>
      <c r="AU10" s="13">
        <f>IFERROR(VLOOKUP($G10,'Visu totale'!$D$3:$DH$129,AU$1,0),0)</f>
        <v>0</v>
      </c>
      <c r="AV10" s="13">
        <f>IFERROR(VLOOKUP($G10,'Visu totale'!$D$3:$DH$129,AV$1,0),0)</f>
        <v>0</v>
      </c>
      <c r="AW10" s="13">
        <f>IFERROR(VLOOKUP($G10,'Visu totale'!$D$3:$DH$129,AW$1,0),0)</f>
        <v>0</v>
      </c>
      <c r="AX10" s="13">
        <f>IFERROR(VLOOKUP($G10,'Visu totale'!$D$3:$DH$129,AX$1,0),0)</f>
        <v>0</v>
      </c>
      <c r="AY10" s="13">
        <f>IFERROR(VLOOKUP($G10,'Visu totale'!$D$3:$DH$129,AY$1,0),0)</f>
        <v>0</v>
      </c>
      <c r="AZ10" s="13">
        <f>IFERROR(VLOOKUP($G10,'Visu totale'!$D$3:$DH$129,AZ$1,0),0)</f>
        <v>0</v>
      </c>
      <c r="BA10" s="13">
        <f>IFERROR(VLOOKUP($G10,'Visu totale'!$D$3:$DH$129,BA$1,0),0)</f>
        <v>0</v>
      </c>
      <c r="BB10" s="13">
        <f>IFERROR(VLOOKUP($G10,'Visu totale'!$D$3:$DH$129,BB$1,0),0)</f>
        <v>0</v>
      </c>
      <c r="BC10" s="15">
        <f>IFERROR(VLOOKUP($G10,'Visu totale'!$D$3:$DH$129,BC$1,0),0)</f>
        <v>0</v>
      </c>
      <c r="BD10" s="14">
        <f>IFERROR(VLOOKUP($G10,'Visu totale'!$D$3:$DH$129,BD$1,0),0)</f>
        <v>0</v>
      </c>
      <c r="BE10" s="13">
        <f>IFERROR(VLOOKUP($G10,'Visu totale'!$D$3:$DH$129,BE$1,0),0)</f>
        <v>0</v>
      </c>
      <c r="BF10" s="13">
        <f>IFERROR(VLOOKUP($G10,'Visu totale'!$D$3:$DH$129,BF$1,0),0)</f>
        <v>0</v>
      </c>
      <c r="BG10" s="13">
        <f>IFERROR(VLOOKUP($G10,'Visu totale'!$D$3:$DH$129,BG$1,0),0)</f>
        <v>0</v>
      </c>
      <c r="BH10" s="13">
        <f>IFERROR(VLOOKUP($G10,'Visu totale'!$D$3:$DH$129,BH$1,0),0)</f>
        <v>0</v>
      </c>
      <c r="BI10" s="13">
        <f>IFERROR(VLOOKUP($G10,'Visu totale'!$D$3:$DH$129,BI$1,0),0)</f>
        <v>0</v>
      </c>
      <c r="BJ10" s="13">
        <f>IFERROR(VLOOKUP($G10,'Visu totale'!$D$3:$DH$129,BJ$1,0),0)</f>
        <v>0</v>
      </c>
      <c r="BK10" s="13">
        <f>IFERROR(VLOOKUP($G10,'Visu totale'!$D$3:$DH$129,BK$1,0),0)</f>
        <v>0</v>
      </c>
      <c r="BL10" s="13">
        <f>IFERROR(VLOOKUP($G10,'Visu totale'!$D$3:$DH$129,BL$1,0),0)</f>
        <v>0</v>
      </c>
      <c r="BM10" s="13">
        <f>IFERROR(VLOOKUP($G10,'Visu totale'!$D$3:$DH$129,BM$1,0),0)</f>
        <v>0</v>
      </c>
      <c r="BN10" s="13">
        <f>IFERROR(VLOOKUP($G10,'Visu totale'!$D$3:$DH$129,BN$1,0),0)</f>
        <v>0</v>
      </c>
      <c r="BO10" s="15">
        <f>IFERROR(VLOOKUP($G10,'Visu totale'!$D$3:$DH$129,BO$1,0),0)</f>
        <v>0</v>
      </c>
      <c r="BP10" s="14">
        <f>IFERROR(VLOOKUP($G10,'Visu totale'!$D$3:$DH$129,BP$1,0),0)</f>
        <v>0</v>
      </c>
      <c r="BQ10" s="13">
        <f>IFERROR(VLOOKUP($G10,'Visu totale'!$D$3:$DH$129,BQ$1,0),0)</f>
        <v>0</v>
      </c>
      <c r="BR10" s="13">
        <f>IFERROR(VLOOKUP($G10,'Visu totale'!$D$3:$DH$129,BR$1,0),0)</f>
        <v>0</v>
      </c>
      <c r="BS10" s="13">
        <f>IFERROR(VLOOKUP($G10,'Visu totale'!$D$3:$DH$129,BS$1,0),0)</f>
        <v>0</v>
      </c>
      <c r="BT10" s="13">
        <f>IFERROR(VLOOKUP($G10,'Visu totale'!$D$3:$DH$129,BT$1,0),0)</f>
        <v>0</v>
      </c>
      <c r="BU10" s="13">
        <f>IFERROR(VLOOKUP($G10,'Visu totale'!$D$3:$DH$129,BU$1,0),0)</f>
        <v>0</v>
      </c>
      <c r="BV10" s="13">
        <f>IFERROR(VLOOKUP($G10,'Visu totale'!$D$3:$DH$129,BV$1,0),0)</f>
        <v>0</v>
      </c>
      <c r="BW10" s="13">
        <f>IFERROR(VLOOKUP($G10,'Visu totale'!$D$3:$DH$129,BW$1,0),0)</f>
        <v>0</v>
      </c>
      <c r="BX10" s="13">
        <f>IFERROR(VLOOKUP($G10,'Visu totale'!$D$3:$DH$129,BX$1,0),0)</f>
        <v>0</v>
      </c>
      <c r="BY10" s="13">
        <f>IFERROR(VLOOKUP($G10,'Visu totale'!$D$3:$DH$129,BY$1,0),0)</f>
        <v>0</v>
      </c>
      <c r="BZ10" s="13">
        <f>IFERROR(VLOOKUP($G10,'Visu totale'!$D$3:$DH$129,BZ$1,0),0)</f>
        <v>0</v>
      </c>
      <c r="CA10" s="15">
        <f>IFERROR(VLOOKUP($G10,'Visu totale'!$D$3:$DH$129,CA$1,0),0)</f>
        <v>0</v>
      </c>
      <c r="CB10" s="14">
        <f>IFERROR(VLOOKUP($G10,'Visu totale'!$D$3:$DH$129,CB$1,0),0)</f>
        <v>0</v>
      </c>
      <c r="CC10" s="13">
        <f>IFERROR(VLOOKUP($G10,'Visu totale'!$D$3:$DH$129,CC$1,0),0)</f>
        <v>0</v>
      </c>
      <c r="CD10" s="13">
        <f>IFERROR(VLOOKUP($G10,'Visu totale'!$D$3:$DH$129,CD$1,0),0)</f>
        <v>0</v>
      </c>
      <c r="CE10" s="13">
        <f>IFERROR(VLOOKUP($G10,'Visu totale'!$D$3:$DH$129,CE$1,0),0)</f>
        <v>0</v>
      </c>
      <c r="CF10" s="13">
        <f>IFERROR(VLOOKUP($G10,'Visu totale'!$D$3:$DH$129,CF$1,0),0)</f>
        <v>0</v>
      </c>
      <c r="CG10" s="13">
        <f>IFERROR(VLOOKUP($G10,'Visu totale'!$D$3:$DH$129,CG$1,0),0)</f>
        <v>0</v>
      </c>
      <c r="CH10" s="13">
        <f>IFERROR(VLOOKUP($G10,'Visu totale'!$D$3:$DH$129,CH$1,0),0)</f>
        <v>0</v>
      </c>
      <c r="CI10" s="13">
        <f>IFERROR(VLOOKUP($G10,'Visu totale'!$D$3:$DH$129,CI$1,0),0)</f>
        <v>0</v>
      </c>
      <c r="CJ10" s="13">
        <f>IFERROR(VLOOKUP($G10,'Visu totale'!$D$3:$DH$129,CJ$1,0),0)</f>
        <v>0</v>
      </c>
      <c r="CK10" s="13">
        <f>IFERROR(VLOOKUP($G10,'Visu totale'!$D$3:$DH$129,CK$1,0),0)</f>
        <v>0</v>
      </c>
      <c r="CL10" s="13">
        <f>IFERROR(VLOOKUP($G10,'Visu totale'!$D$3:$DH$129,CL$1,0),0)</f>
        <v>0</v>
      </c>
      <c r="CM10" s="15">
        <f>IFERROR(VLOOKUP($G10,'Visu totale'!$D$3:$DH$129,CM$1,0),0)</f>
        <v>0</v>
      </c>
      <c r="CN10" s="14">
        <f>IFERROR(VLOOKUP($G10,'Visu totale'!$D$3:$DH$129,CN$1,0),0)</f>
        <v>0</v>
      </c>
      <c r="CO10" s="13">
        <f>IFERROR(VLOOKUP($G10,'Visu totale'!$D$3:$DH$129,CO$1,0),0)</f>
        <v>0</v>
      </c>
      <c r="CP10" s="13">
        <f>IFERROR(VLOOKUP($G10,'Visu totale'!$D$3:$DH$129,CP$1,0),0)</f>
        <v>0</v>
      </c>
      <c r="CQ10" s="13">
        <f>IFERROR(VLOOKUP($G10,'Visu totale'!$D$3:$DH$129,CQ$1,0),0)</f>
        <v>0</v>
      </c>
      <c r="CR10" s="13">
        <f>IFERROR(VLOOKUP($G10,'Visu totale'!$D$3:$DH$129,CR$1,0),0)</f>
        <v>0</v>
      </c>
      <c r="CS10" s="13">
        <f>IFERROR(VLOOKUP($G10,'Visu totale'!$D$3:$DH$129,CS$1,0),0)</f>
        <v>0</v>
      </c>
      <c r="CT10" s="13">
        <f>IFERROR(VLOOKUP($G10,'Visu totale'!$D$3:$DH$129,CT$1,0),0)</f>
        <v>0</v>
      </c>
      <c r="CU10" s="13">
        <f>IFERROR(VLOOKUP($G10,'Visu totale'!$D$3:$DH$129,CU$1,0),0)</f>
        <v>0</v>
      </c>
      <c r="CV10" s="13">
        <f>IFERROR(VLOOKUP($G10,'Visu totale'!$D$3:$DH$129,CV$1,0),0)</f>
        <v>0</v>
      </c>
      <c r="CW10" s="13">
        <f>IFERROR(VLOOKUP($G10,'Visu totale'!$D$3:$DH$129,CW$1,0),0)</f>
        <v>0</v>
      </c>
      <c r="CX10" s="13">
        <f>IFERROR(VLOOKUP($G10,'Visu totale'!$D$3:$DH$129,CX$1,0),0)</f>
        <v>0</v>
      </c>
      <c r="CY10" s="15">
        <f>IFERROR(VLOOKUP($G10,'Visu totale'!$D$3:$DH$129,CY$1,0),0)</f>
        <v>0</v>
      </c>
      <c r="CZ10" s="14">
        <f>IFERROR(VLOOKUP($G10,'Visu totale'!$D$3:$DH$129,CZ$1,0),0)</f>
        <v>0</v>
      </c>
      <c r="DA10" s="13">
        <f>IFERROR(VLOOKUP($G10,'Visu totale'!$D$3:$DH$129,DA$1,0),0)</f>
        <v>0</v>
      </c>
      <c r="DB10" s="13">
        <f>IFERROR(VLOOKUP($G10,'Visu totale'!$D$3:$DH$129,DB$1,0),0)</f>
        <v>0</v>
      </c>
      <c r="DC10" s="13">
        <f>IFERROR(VLOOKUP($G10,'Visu totale'!$D$3:$DH$129,DC$1,0),0)</f>
        <v>0</v>
      </c>
      <c r="DD10" s="13">
        <f>IFERROR(VLOOKUP($G10,'Visu totale'!$D$3:$DH$129,DD$1,0),0)</f>
        <v>0</v>
      </c>
      <c r="DE10" s="13">
        <f>IFERROR(VLOOKUP($G10,'Visu totale'!$D$3:$DH$129,DE$1,0),0)</f>
        <v>0</v>
      </c>
      <c r="DF10" s="13">
        <f>IFERROR(VLOOKUP($G10,'Visu totale'!$D$3:$DH$129,DF$1,0),0)</f>
        <v>0</v>
      </c>
      <c r="DG10" s="13">
        <f>IFERROR(VLOOKUP($G10,'Visu totale'!$D$3:$DH$129,DG$1,0),0)</f>
        <v>0</v>
      </c>
      <c r="DH10" s="13">
        <f>IFERROR(VLOOKUP($G10,'Visu totale'!$D$3:$DH$129,DH$1,0),0)</f>
        <v>0</v>
      </c>
      <c r="DI10" s="13">
        <f>IFERROR(VLOOKUP($G10,'Visu totale'!$D$3:$DH$129,DI$1,0),0)</f>
        <v>0</v>
      </c>
      <c r="DJ10" s="13">
        <f>IFERROR(VLOOKUP($G10,'Visu totale'!$D$3:$DH$129,DJ$1,0),0)</f>
        <v>0</v>
      </c>
      <c r="DK10" s="15">
        <f>IFERROR(VLOOKUP($G10,'Visu totale'!$D$3:$DH$129,DK$1,0),0)</f>
        <v>0</v>
      </c>
    </row>
    <row r="11" spans="1:115" x14ac:dyDescent="0.25">
      <c r="A11" s="13"/>
      <c r="B11" s="13"/>
      <c r="C11" s="13"/>
      <c r="D11" s="16"/>
      <c r="E11" s="13"/>
      <c r="F11" s="13"/>
      <c r="G11" s="17" t="s">
        <v>13</v>
      </c>
      <c r="H11" s="14">
        <f>IFERROR(VLOOKUP($G11,'Visu totale'!$D$3:$DH$129,H$1,0),0)</f>
        <v>0</v>
      </c>
      <c r="I11" s="13">
        <f>IFERROR(VLOOKUP($G11,'Visu totale'!$D$3:$DH$129,I$1,0),0)</f>
        <v>0</v>
      </c>
      <c r="J11" s="13">
        <f>IFERROR(VLOOKUP($G11,'Visu totale'!$D$3:$DH$129,J$1,0),0)</f>
        <v>0</v>
      </c>
      <c r="K11" s="13">
        <f>IFERROR(VLOOKUP($G11,'Visu totale'!$D$3:$DH$129,K$1,0),0)</f>
        <v>0</v>
      </c>
      <c r="L11" s="13">
        <f>IFERROR(VLOOKUP($G11,'Visu totale'!$D$3:$DH$129,L$1,0),0)</f>
        <v>0</v>
      </c>
      <c r="M11" s="13">
        <f>IFERROR(VLOOKUP($G11,'Visu totale'!$D$3:$DH$129,M$1,0),0)</f>
        <v>0</v>
      </c>
      <c r="N11" s="13">
        <f>IFERROR(VLOOKUP($G11,'Visu totale'!$D$3:$DH$129,N$1,0),0)</f>
        <v>0</v>
      </c>
      <c r="O11" s="13">
        <f>IFERROR(VLOOKUP($G11,'Visu totale'!$D$3:$DH$129,O$1,0),0)</f>
        <v>0</v>
      </c>
      <c r="P11" s="13">
        <f>IFERROR(VLOOKUP($G11,'Visu totale'!$D$3:$DH$129,P$1,0),0)</f>
        <v>0</v>
      </c>
      <c r="Q11" s="13">
        <f>IFERROR(VLOOKUP($G11,'Visu totale'!$D$3:$DH$129,Q$1,0),0)</f>
        <v>0</v>
      </c>
      <c r="R11" s="13">
        <f>IFERROR(VLOOKUP($G11,'Visu totale'!$D$3:$DH$129,R$1,0),0)</f>
        <v>0</v>
      </c>
      <c r="S11" s="15">
        <f>IFERROR(VLOOKUP($G11,'Visu totale'!$D$3:$DH$129,S$1,0),0)</f>
        <v>0</v>
      </c>
      <c r="T11" s="14">
        <f>IFERROR(VLOOKUP($G11,'Visu totale'!$D$3:$DH$129,T$1,0),0)</f>
        <v>0</v>
      </c>
      <c r="U11" s="13">
        <f>IFERROR(VLOOKUP($G11,'Visu totale'!$D$3:$DH$129,U$1,0),0)</f>
        <v>0</v>
      </c>
      <c r="V11" s="13">
        <f>IFERROR(VLOOKUP($G11,'Visu totale'!$D$3:$DH$129,V$1,0),0)</f>
        <v>0</v>
      </c>
      <c r="W11" s="13">
        <f>IFERROR(VLOOKUP($G11,'Visu totale'!$D$3:$DH$129,W$1,0),0)</f>
        <v>0</v>
      </c>
      <c r="X11" s="13">
        <f>IFERROR(VLOOKUP($G11,'Visu totale'!$D$3:$DH$129,X$1,0),0)</f>
        <v>0</v>
      </c>
      <c r="Y11" s="13">
        <f>IFERROR(VLOOKUP($G11,'Visu totale'!$D$3:$DH$129,Y$1,0),0)</f>
        <v>0</v>
      </c>
      <c r="Z11" s="13">
        <f>IFERROR(VLOOKUP($G11,'Visu totale'!$D$3:$DH$129,Z$1,0),0)</f>
        <v>0</v>
      </c>
      <c r="AA11" s="13">
        <f>IFERROR(VLOOKUP($G11,'Visu totale'!$D$3:$DH$129,AA$1,0),0)</f>
        <v>0</v>
      </c>
      <c r="AB11" s="13">
        <f>IFERROR(VLOOKUP($G11,'Visu totale'!$D$3:$DH$129,AB$1,0),0)</f>
        <v>0</v>
      </c>
      <c r="AC11" s="13">
        <f>IFERROR(VLOOKUP($G11,'Visu totale'!$D$3:$DH$129,AC$1,0),0)</f>
        <v>0</v>
      </c>
      <c r="AD11" s="13">
        <f>IFERROR(VLOOKUP($G11,'Visu totale'!$D$3:$DH$129,AD$1,0),0)</f>
        <v>0</v>
      </c>
      <c r="AE11" s="15">
        <f>IFERROR(VLOOKUP($G11,'Visu totale'!$D$3:$DH$129,AE$1,0),0)</f>
        <v>0</v>
      </c>
      <c r="AF11" s="14">
        <f>IFERROR(VLOOKUP($G11,'Visu totale'!$D$3:$DH$129,AF$1,0),0)</f>
        <v>0</v>
      </c>
      <c r="AG11" s="13">
        <f>IFERROR(VLOOKUP($G11,'Visu totale'!$D$3:$DH$129,AG$1,0),0)</f>
        <v>0</v>
      </c>
      <c r="AH11" s="13">
        <f>IFERROR(VLOOKUP($G11,'Visu totale'!$D$3:$DH$129,AH$1,0),0)</f>
        <v>0</v>
      </c>
      <c r="AI11" s="13">
        <f>IFERROR(VLOOKUP($G11,'Visu totale'!$D$3:$DH$129,AI$1,0),0)</f>
        <v>0</v>
      </c>
      <c r="AJ11" s="13">
        <f>IFERROR(VLOOKUP($G11,'Visu totale'!$D$3:$DH$129,AJ$1,0),0)</f>
        <v>0</v>
      </c>
      <c r="AK11" s="13">
        <f>IFERROR(VLOOKUP($G11,'Visu totale'!$D$3:$DH$129,AK$1,0),0)</f>
        <v>0</v>
      </c>
      <c r="AL11" s="13">
        <f>IFERROR(VLOOKUP($G11,'Visu totale'!$D$3:$DH$129,AL$1,0),0)</f>
        <v>0</v>
      </c>
      <c r="AM11" s="13">
        <f>IFERROR(VLOOKUP($G11,'Visu totale'!$D$3:$DH$129,AM$1,0),0)</f>
        <v>0</v>
      </c>
      <c r="AN11" s="13">
        <f>IFERROR(VLOOKUP($G11,'Visu totale'!$D$3:$DH$129,AN$1,0),0)</f>
        <v>0</v>
      </c>
      <c r="AO11" s="13">
        <f>IFERROR(VLOOKUP($G11,'Visu totale'!$D$3:$DH$129,AO$1,0),0)</f>
        <v>0</v>
      </c>
      <c r="AP11" s="13">
        <f>IFERROR(VLOOKUP($G11,'Visu totale'!$D$3:$DH$129,AP$1,0),0)</f>
        <v>0</v>
      </c>
      <c r="AQ11" s="15">
        <f>IFERROR(VLOOKUP($G11,'Visu totale'!$D$3:$DH$129,AQ$1,0),0)</f>
        <v>0</v>
      </c>
      <c r="AR11" s="14">
        <f>IFERROR(VLOOKUP($G11,'Visu totale'!$D$3:$DH$129,AR$1,0),0)</f>
        <v>0</v>
      </c>
      <c r="AS11" s="13">
        <f>IFERROR(VLOOKUP($G11,'Visu totale'!$D$3:$DH$129,AS$1,0),0)</f>
        <v>0</v>
      </c>
      <c r="AT11" s="13">
        <f>IFERROR(VLOOKUP($G11,'Visu totale'!$D$3:$DH$129,AT$1,0),0)</f>
        <v>0</v>
      </c>
      <c r="AU11" s="13">
        <f>IFERROR(VLOOKUP($G11,'Visu totale'!$D$3:$DH$129,AU$1,0),0)</f>
        <v>0</v>
      </c>
      <c r="AV11" s="13">
        <f>IFERROR(VLOOKUP($G11,'Visu totale'!$D$3:$DH$129,AV$1,0),0)</f>
        <v>0</v>
      </c>
      <c r="AW11" s="13">
        <f>IFERROR(VLOOKUP($G11,'Visu totale'!$D$3:$DH$129,AW$1,0),0)</f>
        <v>0</v>
      </c>
      <c r="AX11" s="13">
        <f>IFERROR(VLOOKUP($G11,'Visu totale'!$D$3:$DH$129,AX$1,0),0)</f>
        <v>0</v>
      </c>
      <c r="AY11" s="13">
        <f>IFERROR(VLOOKUP($G11,'Visu totale'!$D$3:$DH$129,AY$1,0),0)</f>
        <v>0</v>
      </c>
      <c r="AZ11" s="13">
        <f>IFERROR(VLOOKUP($G11,'Visu totale'!$D$3:$DH$129,AZ$1,0),0)</f>
        <v>0</v>
      </c>
      <c r="BA11" s="13">
        <f>IFERROR(VLOOKUP($G11,'Visu totale'!$D$3:$DH$129,BA$1,0),0)</f>
        <v>0</v>
      </c>
      <c r="BB11" s="13">
        <f>IFERROR(VLOOKUP($G11,'Visu totale'!$D$3:$DH$129,BB$1,0),0)</f>
        <v>0</v>
      </c>
      <c r="BC11" s="15">
        <f>IFERROR(VLOOKUP($G11,'Visu totale'!$D$3:$DH$129,BC$1,0),0)</f>
        <v>0</v>
      </c>
      <c r="BD11" s="14">
        <f>IFERROR(VLOOKUP($G11,'Visu totale'!$D$3:$DH$129,BD$1,0),0)</f>
        <v>0</v>
      </c>
      <c r="BE11" s="13">
        <f>IFERROR(VLOOKUP($G11,'Visu totale'!$D$3:$DH$129,BE$1,0),0)</f>
        <v>0</v>
      </c>
      <c r="BF11" s="13">
        <f>IFERROR(VLOOKUP($G11,'Visu totale'!$D$3:$DH$129,BF$1,0),0)</f>
        <v>0</v>
      </c>
      <c r="BG11" s="13">
        <f>IFERROR(VLOOKUP($G11,'Visu totale'!$D$3:$DH$129,BG$1,0),0)</f>
        <v>0</v>
      </c>
      <c r="BH11" s="13">
        <f>IFERROR(VLOOKUP($G11,'Visu totale'!$D$3:$DH$129,BH$1,0),0)</f>
        <v>0</v>
      </c>
      <c r="BI11" s="13">
        <f>IFERROR(VLOOKUP($G11,'Visu totale'!$D$3:$DH$129,BI$1,0),0)</f>
        <v>0</v>
      </c>
      <c r="BJ11" s="13">
        <f>IFERROR(VLOOKUP($G11,'Visu totale'!$D$3:$DH$129,BJ$1,0),0)</f>
        <v>0</v>
      </c>
      <c r="BK11" s="13">
        <f>IFERROR(VLOOKUP($G11,'Visu totale'!$D$3:$DH$129,BK$1,0),0)</f>
        <v>0</v>
      </c>
      <c r="BL11" s="13">
        <f>IFERROR(VLOOKUP($G11,'Visu totale'!$D$3:$DH$129,BL$1,0),0)</f>
        <v>0</v>
      </c>
      <c r="BM11" s="13">
        <f>IFERROR(VLOOKUP($G11,'Visu totale'!$D$3:$DH$129,BM$1,0),0)</f>
        <v>0</v>
      </c>
      <c r="BN11" s="13">
        <f>IFERROR(VLOOKUP($G11,'Visu totale'!$D$3:$DH$129,BN$1,0),0)</f>
        <v>0</v>
      </c>
      <c r="BO11" s="15">
        <f>IFERROR(VLOOKUP($G11,'Visu totale'!$D$3:$DH$129,BO$1,0),0)</f>
        <v>0</v>
      </c>
      <c r="BP11" s="14">
        <f>IFERROR(VLOOKUP($G11,'Visu totale'!$D$3:$DH$129,BP$1,0),0)</f>
        <v>0</v>
      </c>
      <c r="BQ11" s="13">
        <f>IFERROR(VLOOKUP($G11,'Visu totale'!$D$3:$DH$129,BQ$1,0),0)</f>
        <v>0</v>
      </c>
      <c r="BR11" s="13">
        <f>IFERROR(VLOOKUP($G11,'Visu totale'!$D$3:$DH$129,BR$1,0),0)</f>
        <v>0</v>
      </c>
      <c r="BS11" s="13">
        <f>IFERROR(VLOOKUP($G11,'Visu totale'!$D$3:$DH$129,BS$1,0),0)</f>
        <v>0</v>
      </c>
      <c r="BT11" s="13">
        <f>IFERROR(VLOOKUP($G11,'Visu totale'!$D$3:$DH$129,BT$1,0),0)</f>
        <v>0</v>
      </c>
      <c r="BU11" s="13">
        <f>IFERROR(VLOOKUP($G11,'Visu totale'!$D$3:$DH$129,BU$1,0),0)</f>
        <v>0</v>
      </c>
      <c r="BV11" s="13">
        <f>IFERROR(VLOOKUP($G11,'Visu totale'!$D$3:$DH$129,BV$1,0),0)</f>
        <v>0</v>
      </c>
      <c r="BW11" s="13">
        <f>IFERROR(VLOOKUP($G11,'Visu totale'!$D$3:$DH$129,BW$1,0),0)</f>
        <v>0</v>
      </c>
      <c r="BX11" s="13">
        <f>IFERROR(VLOOKUP($G11,'Visu totale'!$D$3:$DH$129,BX$1,0),0)</f>
        <v>0</v>
      </c>
      <c r="BY11" s="13">
        <f>IFERROR(VLOOKUP($G11,'Visu totale'!$D$3:$DH$129,BY$1,0),0)</f>
        <v>0</v>
      </c>
      <c r="BZ11" s="13">
        <f>IFERROR(VLOOKUP($G11,'Visu totale'!$D$3:$DH$129,BZ$1,0),0)</f>
        <v>0</v>
      </c>
      <c r="CA11" s="15">
        <f>IFERROR(VLOOKUP($G11,'Visu totale'!$D$3:$DH$129,CA$1,0),0)</f>
        <v>0</v>
      </c>
      <c r="CB11" s="14">
        <f>IFERROR(VLOOKUP($G11,'Visu totale'!$D$3:$DH$129,CB$1,0),0)</f>
        <v>0</v>
      </c>
      <c r="CC11" s="13">
        <f>IFERROR(VLOOKUP($G11,'Visu totale'!$D$3:$DH$129,CC$1,0),0)</f>
        <v>0</v>
      </c>
      <c r="CD11" s="13">
        <f>IFERROR(VLOOKUP($G11,'Visu totale'!$D$3:$DH$129,CD$1,0),0)</f>
        <v>0</v>
      </c>
      <c r="CE11" s="13">
        <f>IFERROR(VLOOKUP($G11,'Visu totale'!$D$3:$DH$129,CE$1,0),0)</f>
        <v>0</v>
      </c>
      <c r="CF11" s="13">
        <f>IFERROR(VLOOKUP($G11,'Visu totale'!$D$3:$DH$129,CF$1,0),0)</f>
        <v>0</v>
      </c>
      <c r="CG11" s="13">
        <f>IFERROR(VLOOKUP($G11,'Visu totale'!$D$3:$DH$129,CG$1,0),0)</f>
        <v>0</v>
      </c>
      <c r="CH11" s="13">
        <f>IFERROR(VLOOKUP($G11,'Visu totale'!$D$3:$DH$129,CH$1,0),0)</f>
        <v>0</v>
      </c>
      <c r="CI11" s="13">
        <f>IFERROR(VLOOKUP($G11,'Visu totale'!$D$3:$DH$129,CI$1,0),0)</f>
        <v>0</v>
      </c>
      <c r="CJ11" s="13">
        <f>IFERROR(VLOOKUP($G11,'Visu totale'!$D$3:$DH$129,CJ$1,0),0)</f>
        <v>0</v>
      </c>
      <c r="CK11" s="13">
        <f>IFERROR(VLOOKUP($G11,'Visu totale'!$D$3:$DH$129,CK$1,0),0)</f>
        <v>0</v>
      </c>
      <c r="CL11" s="13">
        <f>IFERROR(VLOOKUP($G11,'Visu totale'!$D$3:$DH$129,CL$1,0),0)</f>
        <v>0</v>
      </c>
      <c r="CM11" s="15">
        <f>IFERROR(VLOOKUP($G11,'Visu totale'!$D$3:$DH$129,CM$1,0),0)</f>
        <v>0</v>
      </c>
      <c r="CN11" s="14">
        <f>IFERROR(VLOOKUP($G11,'Visu totale'!$D$3:$DH$129,CN$1,0),0)</f>
        <v>0</v>
      </c>
      <c r="CO11" s="13">
        <f>IFERROR(VLOOKUP($G11,'Visu totale'!$D$3:$DH$129,CO$1,0),0)</f>
        <v>0</v>
      </c>
      <c r="CP11" s="13">
        <f>IFERROR(VLOOKUP($G11,'Visu totale'!$D$3:$DH$129,CP$1,0),0)</f>
        <v>0</v>
      </c>
      <c r="CQ11" s="13">
        <f>IFERROR(VLOOKUP($G11,'Visu totale'!$D$3:$DH$129,CQ$1,0),0)</f>
        <v>0</v>
      </c>
      <c r="CR11" s="13">
        <f>IFERROR(VLOOKUP($G11,'Visu totale'!$D$3:$DH$129,CR$1,0),0)</f>
        <v>0</v>
      </c>
      <c r="CS11" s="13">
        <f>IFERROR(VLOOKUP($G11,'Visu totale'!$D$3:$DH$129,CS$1,0),0)</f>
        <v>0</v>
      </c>
      <c r="CT11" s="13">
        <f>IFERROR(VLOOKUP($G11,'Visu totale'!$D$3:$DH$129,CT$1,0),0)</f>
        <v>0</v>
      </c>
      <c r="CU11" s="13">
        <f>IFERROR(VLOOKUP($G11,'Visu totale'!$D$3:$DH$129,CU$1,0),0)</f>
        <v>0</v>
      </c>
      <c r="CV11" s="13">
        <f>IFERROR(VLOOKUP($G11,'Visu totale'!$D$3:$DH$129,CV$1,0),0)</f>
        <v>0</v>
      </c>
      <c r="CW11" s="13">
        <f>IFERROR(VLOOKUP($G11,'Visu totale'!$D$3:$DH$129,CW$1,0),0)</f>
        <v>0</v>
      </c>
      <c r="CX11" s="13">
        <f>IFERROR(VLOOKUP($G11,'Visu totale'!$D$3:$DH$129,CX$1,0),0)</f>
        <v>0</v>
      </c>
      <c r="CY11" s="15">
        <f>IFERROR(VLOOKUP($G11,'Visu totale'!$D$3:$DH$129,CY$1,0),0)</f>
        <v>0</v>
      </c>
      <c r="CZ11" s="14">
        <f>IFERROR(VLOOKUP($G11,'Visu totale'!$D$3:$DH$129,CZ$1,0),0)</f>
        <v>0</v>
      </c>
      <c r="DA11" s="13">
        <f>IFERROR(VLOOKUP($G11,'Visu totale'!$D$3:$DH$129,DA$1,0),0)</f>
        <v>0</v>
      </c>
      <c r="DB11" s="13">
        <f>IFERROR(VLOOKUP($G11,'Visu totale'!$D$3:$DH$129,DB$1,0),0)</f>
        <v>0</v>
      </c>
      <c r="DC11" s="13">
        <f>IFERROR(VLOOKUP($G11,'Visu totale'!$D$3:$DH$129,DC$1,0),0)</f>
        <v>0</v>
      </c>
      <c r="DD11" s="13">
        <f>IFERROR(VLOOKUP($G11,'Visu totale'!$D$3:$DH$129,DD$1,0),0)</f>
        <v>0</v>
      </c>
      <c r="DE11" s="13">
        <f>IFERROR(VLOOKUP($G11,'Visu totale'!$D$3:$DH$129,DE$1,0),0)</f>
        <v>0</v>
      </c>
      <c r="DF11" s="13">
        <f>IFERROR(VLOOKUP($G11,'Visu totale'!$D$3:$DH$129,DF$1,0),0)</f>
        <v>0</v>
      </c>
      <c r="DG11" s="13">
        <f>IFERROR(VLOOKUP($G11,'Visu totale'!$D$3:$DH$129,DG$1,0),0)</f>
        <v>0</v>
      </c>
      <c r="DH11" s="13">
        <f>IFERROR(VLOOKUP($G11,'Visu totale'!$D$3:$DH$129,DH$1,0),0)</f>
        <v>0</v>
      </c>
      <c r="DI11" s="13">
        <f>IFERROR(VLOOKUP($G11,'Visu totale'!$D$3:$DH$129,DI$1,0),0)</f>
        <v>0</v>
      </c>
      <c r="DJ11" s="13">
        <f>IFERROR(VLOOKUP($G11,'Visu totale'!$D$3:$DH$129,DJ$1,0),0)</f>
        <v>0</v>
      </c>
      <c r="DK11" s="15">
        <f>IFERROR(VLOOKUP($G11,'Visu totale'!$D$3:$DH$129,DK$1,0),0)</f>
        <v>0</v>
      </c>
    </row>
    <row r="12" spans="1:115" x14ac:dyDescent="0.25">
      <c r="A12" s="13"/>
      <c r="B12" s="13"/>
      <c r="C12" s="13"/>
      <c r="D12" s="16"/>
      <c r="E12" s="13"/>
      <c r="F12" s="13"/>
      <c r="G12" s="17" t="s">
        <v>14</v>
      </c>
      <c r="H12" s="14">
        <f>IFERROR(VLOOKUP($G12,'Visu totale'!$D$3:$DH$129,H$1,0),0)</f>
        <v>0</v>
      </c>
      <c r="I12" s="13">
        <f>IFERROR(VLOOKUP($G12,'Visu totale'!$D$3:$DH$129,I$1,0),0)</f>
        <v>0</v>
      </c>
      <c r="J12" s="13">
        <f>IFERROR(VLOOKUP($G12,'Visu totale'!$D$3:$DH$129,J$1,0),0)</f>
        <v>0</v>
      </c>
      <c r="K12" s="13">
        <f>IFERROR(VLOOKUP($G12,'Visu totale'!$D$3:$DH$129,K$1,0),0)</f>
        <v>0</v>
      </c>
      <c r="L12" s="13">
        <f>IFERROR(VLOOKUP($G12,'Visu totale'!$D$3:$DH$129,L$1,0),0)</f>
        <v>0</v>
      </c>
      <c r="M12" s="13">
        <f>IFERROR(VLOOKUP($G12,'Visu totale'!$D$3:$DH$129,M$1,0),0)</f>
        <v>0</v>
      </c>
      <c r="N12" s="13">
        <f>IFERROR(VLOOKUP($G12,'Visu totale'!$D$3:$DH$129,N$1,0),0)</f>
        <v>0</v>
      </c>
      <c r="O12" s="13">
        <f>IFERROR(VLOOKUP($G12,'Visu totale'!$D$3:$DH$129,O$1,0),0)</f>
        <v>0</v>
      </c>
      <c r="P12" s="13">
        <f>IFERROR(VLOOKUP($G12,'Visu totale'!$D$3:$DH$129,P$1,0),0)</f>
        <v>0</v>
      </c>
      <c r="Q12" s="13">
        <f>IFERROR(VLOOKUP($G12,'Visu totale'!$D$3:$DH$129,Q$1,0),0)</f>
        <v>0</v>
      </c>
      <c r="R12" s="13">
        <f>IFERROR(VLOOKUP($G12,'Visu totale'!$D$3:$DH$129,R$1,0),0)</f>
        <v>0</v>
      </c>
      <c r="S12" s="15">
        <f>IFERROR(VLOOKUP($G12,'Visu totale'!$D$3:$DH$129,S$1,0),0)</f>
        <v>0</v>
      </c>
      <c r="T12" s="14">
        <f>IFERROR(VLOOKUP($G12,'Visu totale'!$D$3:$DH$129,T$1,0),0)</f>
        <v>0</v>
      </c>
      <c r="U12" s="13">
        <f>IFERROR(VLOOKUP($G12,'Visu totale'!$D$3:$DH$129,U$1,0),0)</f>
        <v>0</v>
      </c>
      <c r="V12" s="13">
        <f>IFERROR(VLOOKUP($G12,'Visu totale'!$D$3:$DH$129,V$1,0),0)</f>
        <v>0</v>
      </c>
      <c r="W12" s="13">
        <f>IFERROR(VLOOKUP($G12,'Visu totale'!$D$3:$DH$129,W$1,0),0)</f>
        <v>0</v>
      </c>
      <c r="X12" s="13">
        <f>IFERROR(VLOOKUP($G12,'Visu totale'!$D$3:$DH$129,X$1,0),0)</f>
        <v>0</v>
      </c>
      <c r="Y12" s="13">
        <f>IFERROR(VLOOKUP($G12,'Visu totale'!$D$3:$DH$129,Y$1,0),0)</f>
        <v>0</v>
      </c>
      <c r="Z12" s="13">
        <f>IFERROR(VLOOKUP($G12,'Visu totale'!$D$3:$DH$129,Z$1,0),0)</f>
        <v>0</v>
      </c>
      <c r="AA12" s="13">
        <f>IFERROR(VLOOKUP($G12,'Visu totale'!$D$3:$DH$129,AA$1,0),0)</f>
        <v>0</v>
      </c>
      <c r="AB12" s="13">
        <f>IFERROR(VLOOKUP($G12,'Visu totale'!$D$3:$DH$129,AB$1,0),0)</f>
        <v>0</v>
      </c>
      <c r="AC12" s="13">
        <f>IFERROR(VLOOKUP($G12,'Visu totale'!$D$3:$DH$129,AC$1,0),0)</f>
        <v>0</v>
      </c>
      <c r="AD12" s="13">
        <f>IFERROR(VLOOKUP($G12,'Visu totale'!$D$3:$DH$129,AD$1,0),0)</f>
        <v>0</v>
      </c>
      <c r="AE12" s="15">
        <f>IFERROR(VLOOKUP($G12,'Visu totale'!$D$3:$DH$129,AE$1,0),0)</f>
        <v>0</v>
      </c>
      <c r="AF12" s="14">
        <f>IFERROR(VLOOKUP($G12,'Visu totale'!$D$3:$DH$129,AF$1,0),0)</f>
        <v>0</v>
      </c>
      <c r="AG12" s="13">
        <f>IFERROR(VLOOKUP($G12,'Visu totale'!$D$3:$DH$129,AG$1,0),0)</f>
        <v>0</v>
      </c>
      <c r="AH12" s="13">
        <f>IFERROR(VLOOKUP($G12,'Visu totale'!$D$3:$DH$129,AH$1,0),0)</f>
        <v>0</v>
      </c>
      <c r="AI12" s="13">
        <f>IFERROR(VLOOKUP($G12,'Visu totale'!$D$3:$DH$129,AI$1,0),0)</f>
        <v>0</v>
      </c>
      <c r="AJ12" s="13">
        <f>IFERROR(VLOOKUP($G12,'Visu totale'!$D$3:$DH$129,AJ$1,0),0)</f>
        <v>0</v>
      </c>
      <c r="AK12" s="13">
        <f>IFERROR(VLOOKUP($G12,'Visu totale'!$D$3:$DH$129,AK$1,0),0)</f>
        <v>0</v>
      </c>
      <c r="AL12" s="13">
        <f>IFERROR(VLOOKUP($G12,'Visu totale'!$D$3:$DH$129,AL$1,0),0)</f>
        <v>0</v>
      </c>
      <c r="AM12" s="13">
        <f>IFERROR(VLOOKUP($G12,'Visu totale'!$D$3:$DH$129,AM$1,0),0)</f>
        <v>0</v>
      </c>
      <c r="AN12" s="13">
        <f>IFERROR(VLOOKUP($G12,'Visu totale'!$D$3:$DH$129,AN$1,0),0)</f>
        <v>0</v>
      </c>
      <c r="AO12" s="13">
        <f>IFERROR(VLOOKUP($G12,'Visu totale'!$D$3:$DH$129,AO$1,0),0)</f>
        <v>0</v>
      </c>
      <c r="AP12" s="13">
        <f>IFERROR(VLOOKUP($G12,'Visu totale'!$D$3:$DH$129,AP$1,0),0)</f>
        <v>0</v>
      </c>
      <c r="AQ12" s="15">
        <f>IFERROR(VLOOKUP($G12,'Visu totale'!$D$3:$DH$129,AQ$1,0),0)</f>
        <v>0</v>
      </c>
      <c r="AR12" s="14">
        <f>IFERROR(VLOOKUP($G12,'Visu totale'!$D$3:$DH$129,AR$1,0),0)</f>
        <v>0</v>
      </c>
      <c r="AS12" s="13">
        <f>IFERROR(VLOOKUP($G12,'Visu totale'!$D$3:$DH$129,AS$1,0),0)</f>
        <v>0</v>
      </c>
      <c r="AT12" s="13">
        <f>IFERROR(VLOOKUP($G12,'Visu totale'!$D$3:$DH$129,AT$1,0),0)</f>
        <v>0</v>
      </c>
      <c r="AU12" s="13">
        <f>IFERROR(VLOOKUP($G12,'Visu totale'!$D$3:$DH$129,AU$1,0),0)</f>
        <v>0</v>
      </c>
      <c r="AV12" s="13">
        <f>IFERROR(VLOOKUP($G12,'Visu totale'!$D$3:$DH$129,AV$1,0),0)</f>
        <v>0</v>
      </c>
      <c r="AW12" s="13">
        <f>IFERROR(VLOOKUP($G12,'Visu totale'!$D$3:$DH$129,AW$1,0),0)</f>
        <v>0</v>
      </c>
      <c r="AX12" s="13">
        <f>IFERROR(VLOOKUP($G12,'Visu totale'!$D$3:$DH$129,AX$1,0),0)</f>
        <v>0</v>
      </c>
      <c r="AY12" s="13">
        <f>IFERROR(VLOOKUP($G12,'Visu totale'!$D$3:$DH$129,AY$1,0),0)</f>
        <v>0</v>
      </c>
      <c r="AZ12" s="13">
        <f>IFERROR(VLOOKUP($G12,'Visu totale'!$D$3:$DH$129,AZ$1,0),0)</f>
        <v>0</v>
      </c>
      <c r="BA12" s="13">
        <f>IFERROR(VLOOKUP($G12,'Visu totale'!$D$3:$DH$129,BA$1,0),0)</f>
        <v>0</v>
      </c>
      <c r="BB12" s="13">
        <f>IFERROR(VLOOKUP($G12,'Visu totale'!$D$3:$DH$129,BB$1,0),0)</f>
        <v>0</v>
      </c>
      <c r="BC12" s="15">
        <f>IFERROR(VLOOKUP($G12,'Visu totale'!$D$3:$DH$129,BC$1,0),0)</f>
        <v>0</v>
      </c>
      <c r="BD12" s="14">
        <f>IFERROR(VLOOKUP($G12,'Visu totale'!$D$3:$DH$129,BD$1,0),0)</f>
        <v>0</v>
      </c>
      <c r="BE12" s="13">
        <f>IFERROR(VLOOKUP($G12,'Visu totale'!$D$3:$DH$129,BE$1,0),0)</f>
        <v>0</v>
      </c>
      <c r="BF12" s="13">
        <f>IFERROR(VLOOKUP($G12,'Visu totale'!$D$3:$DH$129,BF$1,0),0)</f>
        <v>0</v>
      </c>
      <c r="BG12" s="13">
        <f>IFERROR(VLOOKUP($G12,'Visu totale'!$D$3:$DH$129,BG$1,0),0)</f>
        <v>0</v>
      </c>
      <c r="BH12" s="13">
        <f>IFERROR(VLOOKUP($G12,'Visu totale'!$D$3:$DH$129,BH$1,0),0)</f>
        <v>0</v>
      </c>
      <c r="BI12" s="13">
        <f>IFERROR(VLOOKUP($G12,'Visu totale'!$D$3:$DH$129,BI$1,0),0)</f>
        <v>0</v>
      </c>
      <c r="BJ12" s="13">
        <f>IFERROR(VLOOKUP($G12,'Visu totale'!$D$3:$DH$129,BJ$1,0),0)</f>
        <v>0</v>
      </c>
      <c r="BK12" s="13">
        <f>IFERROR(VLOOKUP($G12,'Visu totale'!$D$3:$DH$129,BK$1,0),0)</f>
        <v>0</v>
      </c>
      <c r="BL12" s="13">
        <f>IFERROR(VLOOKUP($G12,'Visu totale'!$D$3:$DH$129,BL$1,0),0)</f>
        <v>0</v>
      </c>
      <c r="BM12" s="13">
        <f>IFERROR(VLOOKUP($G12,'Visu totale'!$D$3:$DH$129,BM$1,0),0)</f>
        <v>0</v>
      </c>
      <c r="BN12" s="13">
        <f>IFERROR(VLOOKUP($G12,'Visu totale'!$D$3:$DH$129,BN$1,0),0)</f>
        <v>0</v>
      </c>
      <c r="BO12" s="15">
        <f>IFERROR(VLOOKUP($G12,'Visu totale'!$D$3:$DH$129,BO$1,0),0)</f>
        <v>0</v>
      </c>
      <c r="BP12" s="14">
        <f>IFERROR(VLOOKUP($G12,'Visu totale'!$D$3:$DH$129,BP$1,0),0)</f>
        <v>0</v>
      </c>
      <c r="BQ12" s="13">
        <f>IFERROR(VLOOKUP($G12,'Visu totale'!$D$3:$DH$129,BQ$1,0),0)</f>
        <v>0</v>
      </c>
      <c r="BR12" s="13">
        <f>IFERROR(VLOOKUP($G12,'Visu totale'!$D$3:$DH$129,BR$1,0),0)</f>
        <v>0</v>
      </c>
      <c r="BS12" s="13">
        <f>IFERROR(VLOOKUP($G12,'Visu totale'!$D$3:$DH$129,BS$1,0),0)</f>
        <v>0</v>
      </c>
      <c r="BT12" s="13">
        <f>IFERROR(VLOOKUP($G12,'Visu totale'!$D$3:$DH$129,BT$1,0),0)</f>
        <v>0</v>
      </c>
      <c r="BU12" s="13">
        <f>IFERROR(VLOOKUP($G12,'Visu totale'!$D$3:$DH$129,BU$1,0),0)</f>
        <v>0</v>
      </c>
      <c r="BV12" s="13">
        <f>IFERROR(VLOOKUP($G12,'Visu totale'!$D$3:$DH$129,BV$1,0),0)</f>
        <v>0</v>
      </c>
      <c r="BW12" s="13">
        <f>IFERROR(VLOOKUP($G12,'Visu totale'!$D$3:$DH$129,BW$1,0),0)</f>
        <v>0</v>
      </c>
      <c r="BX12" s="13">
        <f>IFERROR(VLOOKUP($G12,'Visu totale'!$D$3:$DH$129,BX$1,0),0)</f>
        <v>0</v>
      </c>
      <c r="BY12" s="13">
        <f>IFERROR(VLOOKUP($G12,'Visu totale'!$D$3:$DH$129,BY$1,0),0)</f>
        <v>0</v>
      </c>
      <c r="BZ12" s="13">
        <f>IFERROR(VLOOKUP($G12,'Visu totale'!$D$3:$DH$129,BZ$1,0),0)</f>
        <v>0</v>
      </c>
      <c r="CA12" s="15">
        <f>IFERROR(VLOOKUP($G12,'Visu totale'!$D$3:$DH$129,CA$1,0),0)</f>
        <v>0</v>
      </c>
      <c r="CB12" s="14">
        <f>IFERROR(VLOOKUP($G12,'Visu totale'!$D$3:$DH$129,CB$1,0),0)</f>
        <v>0</v>
      </c>
      <c r="CC12" s="13">
        <f>IFERROR(VLOOKUP($G12,'Visu totale'!$D$3:$DH$129,CC$1,0),0)</f>
        <v>0</v>
      </c>
      <c r="CD12" s="13">
        <f>IFERROR(VLOOKUP($G12,'Visu totale'!$D$3:$DH$129,CD$1,0),0)</f>
        <v>0</v>
      </c>
      <c r="CE12" s="13">
        <f>IFERROR(VLOOKUP($G12,'Visu totale'!$D$3:$DH$129,CE$1,0),0)</f>
        <v>0</v>
      </c>
      <c r="CF12" s="13">
        <f>IFERROR(VLOOKUP($G12,'Visu totale'!$D$3:$DH$129,CF$1,0),0)</f>
        <v>0</v>
      </c>
      <c r="CG12" s="13">
        <f>IFERROR(VLOOKUP($G12,'Visu totale'!$D$3:$DH$129,CG$1,0),0)</f>
        <v>0</v>
      </c>
      <c r="CH12" s="13">
        <f>IFERROR(VLOOKUP($G12,'Visu totale'!$D$3:$DH$129,CH$1,0),0)</f>
        <v>0</v>
      </c>
      <c r="CI12" s="13">
        <f>IFERROR(VLOOKUP($G12,'Visu totale'!$D$3:$DH$129,CI$1,0),0)</f>
        <v>0</v>
      </c>
      <c r="CJ12" s="13">
        <f>IFERROR(VLOOKUP($G12,'Visu totale'!$D$3:$DH$129,CJ$1,0),0)</f>
        <v>0</v>
      </c>
      <c r="CK12" s="13">
        <f>IFERROR(VLOOKUP($G12,'Visu totale'!$D$3:$DH$129,CK$1,0),0)</f>
        <v>0</v>
      </c>
      <c r="CL12" s="13">
        <f>IFERROR(VLOOKUP($G12,'Visu totale'!$D$3:$DH$129,CL$1,0),0)</f>
        <v>0</v>
      </c>
      <c r="CM12" s="15">
        <f>IFERROR(VLOOKUP($G12,'Visu totale'!$D$3:$DH$129,CM$1,0),0)</f>
        <v>0</v>
      </c>
      <c r="CN12" s="14">
        <f>IFERROR(VLOOKUP($G12,'Visu totale'!$D$3:$DH$129,CN$1,0),0)</f>
        <v>0</v>
      </c>
      <c r="CO12" s="13">
        <f>IFERROR(VLOOKUP($G12,'Visu totale'!$D$3:$DH$129,CO$1,0),0)</f>
        <v>0</v>
      </c>
      <c r="CP12" s="13">
        <f>IFERROR(VLOOKUP($G12,'Visu totale'!$D$3:$DH$129,CP$1,0),0)</f>
        <v>0</v>
      </c>
      <c r="CQ12" s="13">
        <f>IFERROR(VLOOKUP($G12,'Visu totale'!$D$3:$DH$129,CQ$1,0),0)</f>
        <v>0</v>
      </c>
      <c r="CR12" s="13">
        <f>IFERROR(VLOOKUP($G12,'Visu totale'!$D$3:$DH$129,CR$1,0),0)</f>
        <v>0</v>
      </c>
      <c r="CS12" s="13">
        <f>IFERROR(VLOOKUP($G12,'Visu totale'!$D$3:$DH$129,CS$1,0),0)</f>
        <v>0</v>
      </c>
      <c r="CT12" s="13">
        <f>IFERROR(VLOOKUP($G12,'Visu totale'!$D$3:$DH$129,CT$1,0),0)</f>
        <v>0</v>
      </c>
      <c r="CU12" s="13">
        <f>IFERROR(VLOOKUP($G12,'Visu totale'!$D$3:$DH$129,CU$1,0),0)</f>
        <v>0</v>
      </c>
      <c r="CV12" s="13">
        <f>IFERROR(VLOOKUP($G12,'Visu totale'!$D$3:$DH$129,CV$1,0),0)</f>
        <v>0</v>
      </c>
      <c r="CW12" s="13">
        <f>IFERROR(VLOOKUP($G12,'Visu totale'!$D$3:$DH$129,CW$1,0),0)</f>
        <v>0</v>
      </c>
      <c r="CX12" s="13">
        <f>IFERROR(VLOOKUP($G12,'Visu totale'!$D$3:$DH$129,CX$1,0),0)</f>
        <v>0</v>
      </c>
      <c r="CY12" s="15">
        <f>IFERROR(VLOOKUP($G12,'Visu totale'!$D$3:$DH$129,CY$1,0),0)</f>
        <v>0</v>
      </c>
      <c r="CZ12" s="14">
        <f>IFERROR(VLOOKUP($G12,'Visu totale'!$D$3:$DH$129,CZ$1,0),0)</f>
        <v>0</v>
      </c>
      <c r="DA12" s="13">
        <f>IFERROR(VLOOKUP($G12,'Visu totale'!$D$3:$DH$129,DA$1,0),0)</f>
        <v>0</v>
      </c>
      <c r="DB12" s="13">
        <f>IFERROR(VLOOKUP($G12,'Visu totale'!$D$3:$DH$129,DB$1,0),0)</f>
        <v>0</v>
      </c>
      <c r="DC12" s="13">
        <f>IFERROR(VLOOKUP($G12,'Visu totale'!$D$3:$DH$129,DC$1,0),0)</f>
        <v>0</v>
      </c>
      <c r="DD12" s="13">
        <f>IFERROR(VLOOKUP($G12,'Visu totale'!$D$3:$DH$129,DD$1,0),0)</f>
        <v>0</v>
      </c>
      <c r="DE12" s="13">
        <f>IFERROR(VLOOKUP($G12,'Visu totale'!$D$3:$DH$129,DE$1,0),0)</f>
        <v>0</v>
      </c>
      <c r="DF12" s="13">
        <f>IFERROR(VLOOKUP($G12,'Visu totale'!$D$3:$DH$129,DF$1,0),0)</f>
        <v>0</v>
      </c>
      <c r="DG12" s="13">
        <f>IFERROR(VLOOKUP($G12,'Visu totale'!$D$3:$DH$129,DG$1,0),0)</f>
        <v>0</v>
      </c>
      <c r="DH12" s="13">
        <f>IFERROR(VLOOKUP($G12,'Visu totale'!$D$3:$DH$129,DH$1,0),0)</f>
        <v>0</v>
      </c>
      <c r="DI12" s="13">
        <f>IFERROR(VLOOKUP($G12,'Visu totale'!$D$3:$DH$129,DI$1,0),0)</f>
        <v>0</v>
      </c>
      <c r="DJ12" s="13">
        <f>IFERROR(VLOOKUP($G12,'Visu totale'!$D$3:$DH$129,DJ$1,0),0)</f>
        <v>0</v>
      </c>
      <c r="DK12" s="15">
        <f>IFERROR(VLOOKUP($G12,'Visu totale'!$D$3:$DH$129,DK$1,0),0)</f>
        <v>0</v>
      </c>
    </row>
    <row r="13" spans="1:115" x14ac:dyDescent="0.25">
      <c r="A13" s="13"/>
      <c r="B13" s="13"/>
      <c r="C13" s="13"/>
      <c r="D13" s="16"/>
      <c r="E13" s="13"/>
      <c r="F13" s="13"/>
      <c r="G13" s="17" t="s">
        <v>15</v>
      </c>
      <c r="H13" s="14">
        <f>IFERROR(VLOOKUP($G13,'Visu totale'!$D$3:$DH$129,H$1,0),0)</f>
        <v>0</v>
      </c>
      <c r="I13" s="13">
        <f>IFERROR(VLOOKUP($G13,'Visu totale'!$D$3:$DH$129,I$1,0),0)</f>
        <v>0</v>
      </c>
      <c r="J13" s="13">
        <f>IFERROR(VLOOKUP($G13,'Visu totale'!$D$3:$DH$129,J$1,0),0)</f>
        <v>0</v>
      </c>
      <c r="K13" s="13">
        <f>IFERROR(VLOOKUP($G13,'Visu totale'!$D$3:$DH$129,K$1,0),0)</f>
        <v>0</v>
      </c>
      <c r="L13" s="13">
        <f>IFERROR(VLOOKUP($G13,'Visu totale'!$D$3:$DH$129,L$1,0),0)</f>
        <v>0</v>
      </c>
      <c r="M13" s="13">
        <f>IFERROR(VLOOKUP($G13,'Visu totale'!$D$3:$DH$129,M$1,0),0)</f>
        <v>0</v>
      </c>
      <c r="N13" s="13">
        <f>IFERROR(VLOOKUP($G13,'Visu totale'!$D$3:$DH$129,N$1,0),0)</f>
        <v>0</v>
      </c>
      <c r="O13" s="13">
        <f>IFERROR(VLOOKUP($G13,'Visu totale'!$D$3:$DH$129,O$1,0),0)</f>
        <v>0</v>
      </c>
      <c r="P13" s="13">
        <f>IFERROR(VLOOKUP($G13,'Visu totale'!$D$3:$DH$129,P$1,0),0)</f>
        <v>0</v>
      </c>
      <c r="Q13" s="13">
        <f>IFERROR(VLOOKUP($G13,'Visu totale'!$D$3:$DH$129,Q$1,0),0)</f>
        <v>0</v>
      </c>
      <c r="R13" s="13">
        <f>IFERROR(VLOOKUP($G13,'Visu totale'!$D$3:$DH$129,R$1,0),0)</f>
        <v>0</v>
      </c>
      <c r="S13" s="15">
        <f>IFERROR(VLOOKUP($G13,'Visu totale'!$D$3:$DH$129,S$1,0),0)</f>
        <v>0</v>
      </c>
      <c r="T13" s="14">
        <f>IFERROR(VLOOKUP($G13,'Visu totale'!$D$3:$DH$129,T$1,0),0)</f>
        <v>0</v>
      </c>
      <c r="U13" s="13">
        <f>IFERROR(VLOOKUP($G13,'Visu totale'!$D$3:$DH$129,U$1,0),0)</f>
        <v>0</v>
      </c>
      <c r="V13" s="13">
        <f>IFERROR(VLOOKUP($G13,'Visu totale'!$D$3:$DH$129,V$1,0),0)</f>
        <v>0</v>
      </c>
      <c r="W13" s="13">
        <f>IFERROR(VLOOKUP($G13,'Visu totale'!$D$3:$DH$129,W$1,0),0)</f>
        <v>0</v>
      </c>
      <c r="X13" s="13">
        <f>IFERROR(VLOOKUP($G13,'Visu totale'!$D$3:$DH$129,X$1,0),0)</f>
        <v>0</v>
      </c>
      <c r="Y13" s="13">
        <f>IFERROR(VLOOKUP($G13,'Visu totale'!$D$3:$DH$129,Y$1,0),0)</f>
        <v>0</v>
      </c>
      <c r="Z13" s="13">
        <f>IFERROR(VLOOKUP($G13,'Visu totale'!$D$3:$DH$129,Z$1,0),0)</f>
        <v>0</v>
      </c>
      <c r="AA13" s="13">
        <f>IFERROR(VLOOKUP($G13,'Visu totale'!$D$3:$DH$129,AA$1,0),0)</f>
        <v>0</v>
      </c>
      <c r="AB13" s="13">
        <f>IFERROR(VLOOKUP($G13,'Visu totale'!$D$3:$DH$129,AB$1,0),0)</f>
        <v>0</v>
      </c>
      <c r="AC13" s="13">
        <f>IFERROR(VLOOKUP($G13,'Visu totale'!$D$3:$DH$129,AC$1,0),0)</f>
        <v>0</v>
      </c>
      <c r="AD13" s="13">
        <f>IFERROR(VLOOKUP($G13,'Visu totale'!$D$3:$DH$129,AD$1,0),0)</f>
        <v>0</v>
      </c>
      <c r="AE13" s="15">
        <f>IFERROR(VLOOKUP($G13,'Visu totale'!$D$3:$DH$129,AE$1,0),0)</f>
        <v>0</v>
      </c>
      <c r="AF13" s="14">
        <f>IFERROR(VLOOKUP($G13,'Visu totale'!$D$3:$DH$129,AF$1,0),0)</f>
        <v>0</v>
      </c>
      <c r="AG13" s="13">
        <f>IFERROR(VLOOKUP($G13,'Visu totale'!$D$3:$DH$129,AG$1,0),0)</f>
        <v>0</v>
      </c>
      <c r="AH13" s="13">
        <f>IFERROR(VLOOKUP($G13,'Visu totale'!$D$3:$DH$129,AH$1,0),0)</f>
        <v>0</v>
      </c>
      <c r="AI13" s="13">
        <f>IFERROR(VLOOKUP($G13,'Visu totale'!$D$3:$DH$129,AI$1,0),0)</f>
        <v>0</v>
      </c>
      <c r="AJ13" s="13">
        <f>IFERROR(VLOOKUP($G13,'Visu totale'!$D$3:$DH$129,AJ$1,0),0)</f>
        <v>0</v>
      </c>
      <c r="AK13" s="13">
        <f>IFERROR(VLOOKUP($G13,'Visu totale'!$D$3:$DH$129,AK$1,0),0)</f>
        <v>0</v>
      </c>
      <c r="AL13" s="13">
        <f>IFERROR(VLOOKUP($G13,'Visu totale'!$D$3:$DH$129,AL$1,0),0)</f>
        <v>0</v>
      </c>
      <c r="AM13" s="13">
        <f>IFERROR(VLOOKUP($G13,'Visu totale'!$D$3:$DH$129,AM$1,0),0)</f>
        <v>0</v>
      </c>
      <c r="AN13" s="13">
        <f>IFERROR(VLOOKUP($G13,'Visu totale'!$D$3:$DH$129,AN$1,0),0)</f>
        <v>0</v>
      </c>
      <c r="AO13" s="13">
        <f>IFERROR(VLOOKUP($G13,'Visu totale'!$D$3:$DH$129,AO$1,0),0)</f>
        <v>0</v>
      </c>
      <c r="AP13" s="13">
        <f>IFERROR(VLOOKUP($G13,'Visu totale'!$D$3:$DH$129,AP$1,0),0)</f>
        <v>0</v>
      </c>
      <c r="AQ13" s="15">
        <f>IFERROR(VLOOKUP($G13,'Visu totale'!$D$3:$DH$129,AQ$1,0),0)</f>
        <v>0</v>
      </c>
      <c r="AR13" s="14">
        <f>IFERROR(VLOOKUP($G13,'Visu totale'!$D$3:$DH$129,AR$1,0),0)</f>
        <v>0</v>
      </c>
      <c r="AS13" s="13">
        <f>IFERROR(VLOOKUP($G13,'Visu totale'!$D$3:$DH$129,AS$1,0),0)</f>
        <v>0</v>
      </c>
      <c r="AT13" s="13">
        <f>IFERROR(VLOOKUP($G13,'Visu totale'!$D$3:$DH$129,AT$1,0),0)</f>
        <v>0</v>
      </c>
      <c r="AU13" s="13">
        <f>IFERROR(VLOOKUP($G13,'Visu totale'!$D$3:$DH$129,AU$1,0),0)</f>
        <v>0</v>
      </c>
      <c r="AV13" s="13">
        <f>IFERROR(VLOOKUP($G13,'Visu totale'!$D$3:$DH$129,AV$1,0),0)</f>
        <v>0</v>
      </c>
      <c r="AW13" s="13">
        <f>IFERROR(VLOOKUP($G13,'Visu totale'!$D$3:$DH$129,AW$1,0),0)</f>
        <v>0</v>
      </c>
      <c r="AX13" s="13">
        <f>IFERROR(VLOOKUP($G13,'Visu totale'!$D$3:$DH$129,AX$1,0),0)</f>
        <v>0</v>
      </c>
      <c r="AY13" s="13">
        <f>IFERROR(VLOOKUP($G13,'Visu totale'!$D$3:$DH$129,AY$1,0),0)</f>
        <v>0</v>
      </c>
      <c r="AZ13" s="13">
        <f>IFERROR(VLOOKUP($G13,'Visu totale'!$D$3:$DH$129,AZ$1,0),0)</f>
        <v>0</v>
      </c>
      <c r="BA13" s="13">
        <f>IFERROR(VLOOKUP($G13,'Visu totale'!$D$3:$DH$129,BA$1,0),0)</f>
        <v>0</v>
      </c>
      <c r="BB13" s="13">
        <f>IFERROR(VLOOKUP($G13,'Visu totale'!$D$3:$DH$129,BB$1,0),0)</f>
        <v>0</v>
      </c>
      <c r="BC13" s="15">
        <f>IFERROR(VLOOKUP($G13,'Visu totale'!$D$3:$DH$129,BC$1,0),0)</f>
        <v>0</v>
      </c>
      <c r="BD13" s="14">
        <f>IFERROR(VLOOKUP($G13,'Visu totale'!$D$3:$DH$129,BD$1,0),0)</f>
        <v>0</v>
      </c>
      <c r="BE13" s="13">
        <f>IFERROR(VLOOKUP($G13,'Visu totale'!$D$3:$DH$129,BE$1,0),0)</f>
        <v>0</v>
      </c>
      <c r="BF13" s="13">
        <f>IFERROR(VLOOKUP($G13,'Visu totale'!$D$3:$DH$129,BF$1,0),0)</f>
        <v>0</v>
      </c>
      <c r="BG13" s="13">
        <f>IFERROR(VLOOKUP($G13,'Visu totale'!$D$3:$DH$129,BG$1,0),0)</f>
        <v>0</v>
      </c>
      <c r="BH13" s="13">
        <f>IFERROR(VLOOKUP($G13,'Visu totale'!$D$3:$DH$129,BH$1,0),0)</f>
        <v>0</v>
      </c>
      <c r="BI13" s="13">
        <f>IFERROR(VLOOKUP($G13,'Visu totale'!$D$3:$DH$129,BI$1,0),0)</f>
        <v>0</v>
      </c>
      <c r="BJ13" s="13">
        <f>IFERROR(VLOOKUP($G13,'Visu totale'!$D$3:$DH$129,BJ$1,0),0)</f>
        <v>0</v>
      </c>
      <c r="BK13" s="13">
        <f>IFERROR(VLOOKUP($G13,'Visu totale'!$D$3:$DH$129,BK$1,0),0)</f>
        <v>0</v>
      </c>
      <c r="BL13" s="13">
        <f>IFERROR(VLOOKUP($G13,'Visu totale'!$D$3:$DH$129,BL$1,0),0)</f>
        <v>0</v>
      </c>
      <c r="BM13" s="13">
        <f>IFERROR(VLOOKUP($G13,'Visu totale'!$D$3:$DH$129,BM$1,0),0)</f>
        <v>0</v>
      </c>
      <c r="BN13" s="13">
        <f>IFERROR(VLOOKUP($G13,'Visu totale'!$D$3:$DH$129,BN$1,0),0)</f>
        <v>0</v>
      </c>
      <c r="BO13" s="15">
        <f>IFERROR(VLOOKUP($G13,'Visu totale'!$D$3:$DH$129,BO$1,0),0)</f>
        <v>0</v>
      </c>
      <c r="BP13" s="14">
        <f>IFERROR(VLOOKUP($G13,'Visu totale'!$D$3:$DH$129,BP$1,0),0)</f>
        <v>0</v>
      </c>
      <c r="BQ13" s="13">
        <f>IFERROR(VLOOKUP($G13,'Visu totale'!$D$3:$DH$129,BQ$1,0),0)</f>
        <v>0</v>
      </c>
      <c r="BR13" s="13">
        <f>IFERROR(VLOOKUP($G13,'Visu totale'!$D$3:$DH$129,BR$1,0),0)</f>
        <v>0</v>
      </c>
      <c r="BS13" s="13">
        <f>IFERROR(VLOOKUP($G13,'Visu totale'!$D$3:$DH$129,BS$1,0),0)</f>
        <v>0</v>
      </c>
      <c r="BT13" s="13">
        <f>IFERROR(VLOOKUP($G13,'Visu totale'!$D$3:$DH$129,BT$1,0),0)</f>
        <v>0</v>
      </c>
      <c r="BU13" s="13">
        <f>IFERROR(VLOOKUP($G13,'Visu totale'!$D$3:$DH$129,BU$1,0),0)</f>
        <v>0</v>
      </c>
      <c r="BV13" s="13">
        <f>IFERROR(VLOOKUP($G13,'Visu totale'!$D$3:$DH$129,BV$1,0),0)</f>
        <v>0</v>
      </c>
      <c r="BW13" s="13">
        <f>IFERROR(VLOOKUP($G13,'Visu totale'!$D$3:$DH$129,BW$1,0),0)</f>
        <v>0</v>
      </c>
      <c r="BX13" s="13">
        <f>IFERROR(VLOOKUP($G13,'Visu totale'!$D$3:$DH$129,BX$1,0),0)</f>
        <v>0</v>
      </c>
      <c r="BY13" s="13">
        <f>IFERROR(VLOOKUP($G13,'Visu totale'!$D$3:$DH$129,BY$1,0),0)</f>
        <v>0</v>
      </c>
      <c r="BZ13" s="13">
        <f>IFERROR(VLOOKUP($G13,'Visu totale'!$D$3:$DH$129,BZ$1,0),0)</f>
        <v>0</v>
      </c>
      <c r="CA13" s="15">
        <f>IFERROR(VLOOKUP($G13,'Visu totale'!$D$3:$DH$129,CA$1,0),0)</f>
        <v>0</v>
      </c>
      <c r="CB13" s="14">
        <f>IFERROR(VLOOKUP($G13,'Visu totale'!$D$3:$DH$129,CB$1,0),0)</f>
        <v>0</v>
      </c>
      <c r="CC13" s="13">
        <f>IFERROR(VLOOKUP($G13,'Visu totale'!$D$3:$DH$129,CC$1,0),0)</f>
        <v>0</v>
      </c>
      <c r="CD13" s="13">
        <f>IFERROR(VLOOKUP($G13,'Visu totale'!$D$3:$DH$129,CD$1,0),0)</f>
        <v>0</v>
      </c>
      <c r="CE13" s="13">
        <f>IFERROR(VLOOKUP($G13,'Visu totale'!$D$3:$DH$129,CE$1,0),0)</f>
        <v>0</v>
      </c>
      <c r="CF13" s="13">
        <f>IFERROR(VLOOKUP($G13,'Visu totale'!$D$3:$DH$129,CF$1,0),0)</f>
        <v>0</v>
      </c>
      <c r="CG13" s="13">
        <f>IFERROR(VLOOKUP($G13,'Visu totale'!$D$3:$DH$129,CG$1,0),0)</f>
        <v>0</v>
      </c>
      <c r="CH13" s="13">
        <f>IFERROR(VLOOKUP($G13,'Visu totale'!$D$3:$DH$129,CH$1,0),0)</f>
        <v>0</v>
      </c>
      <c r="CI13" s="13">
        <f>IFERROR(VLOOKUP($G13,'Visu totale'!$D$3:$DH$129,CI$1,0),0)</f>
        <v>0</v>
      </c>
      <c r="CJ13" s="13">
        <f>IFERROR(VLOOKUP($G13,'Visu totale'!$D$3:$DH$129,CJ$1,0),0)</f>
        <v>0</v>
      </c>
      <c r="CK13" s="13">
        <f>IFERROR(VLOOKUP($G13,'Visu totale'!$D$3:$DH$129,CK$1,0),0)</f>
        <v>0</v>
      </c>
      <c r="CL13" s="13">
        <f>IFERROR(VLOOKUP($G13,'Visu totale'!$D$3:$DH$129,CL$1,0),0)</f>
        <v>0</v>
      </c>
      <c r="CM13" s="15">
        <f>IFERROR(VLOOKUP($G13,'Visu totale'!$D$3:$DH$129,CM$1,0),0)</f>
        <v>0</v>
      </c>
      <c r="CN13" s="14">
        <f>IFERROR(VLOOKUP($G13,'Visu totale'!$D$3:$DH$129,CN$1,0),0)</f>
        <v>0</v>
      </c>
      <c r="CO13" s="13">
        <f>IFERROR(VLOOKUP($G13,'Visu totale'!$D$3:$DH$129,CO$1,0),0)</f>
        <v>0</v>
      </c>
      <c r="CP13" s="13">
        <f>IFERROR(VLOOKUP($G13,'Visu totale'!$D$3:$DH$129,CP$1,0),0)</f>
        <v>0</v>
      </c>
      <c r="CQ13" s="13">
        <f>IFERROR(VLOOKUP($G13,'Visu totale'!$D$3:$DH$129,CQ$1,0),0)</f>
        <v>0</v>
      </c>
      <c r="CR13" s="13">
        <f>IFERROR(VLOOKUP($G13,'Visu totale'!$D$3:$DH$129,CR$1,0),0)</f>
        <v>0</v>
      </c>
      <c r="CS13" s="13">
        <f>IFERROR(VLOOKUP($G13,'Visu totale'!$D$3:$DH$129,CS$1,0),0)</f>
        <v>0</v>
      </c>
      <c r="CT13" s="13">
        <f>IFERROR(VLOOKUP($G13,'Visu totale'!$D$3:$DH$129,CT$1,0),0)</f>
        <v>0</v>
      </c>
      <c r="CU13" s="13">
        <f>IFERROR(VLOOKUP($G13,'Visu totale'!$D$3:$DH$129,CU$1,0),0)</f>
        <v>0</v>
      </c>
      <c r="CV13" s="13">
        <f>IFERROR(VLOOKUP($G13,'Visu totale'!$D$3:$DH$129,CV$1,0),0)</f>
        <v>0</v>
      </c>
      <c r="CW13" s="13">
        <f>IFERROR(VLOOKUP($G13,'Visu totale'!$D$3:$DH$129,CW$1,0),0)</f>
        <v>0</v>
      </c>
      <c r="CX13" s="13">
        <f>IFERROR(VLOOKUP($G13,'Visu totale'!$D$3:$DH$129,CX$1,0),0)</f>
        <v>0</v>
      </c>
      <c r="CY13" s="15">
        <f>IFERROR(VLOOKUP($G13,'Visu totale'!$D$3:$DH$129,CY$1,0),0)</f>
        <v>0</v>
      </c>
      <c r="CZ13" s="14">
        <f>IFERROR(VLOOKUP($G13,'Visu totale'!$D$3:$DH$129,CZ$1,0),0)</f>
        <v>0</v>
      </c>
      <c r="DA13" s="13">
        <f>IFERROR(VLOOKUP($G13,'Visu totale'!$D$3:$DH$129,DA$1,0),0)</f>
        <v>0</v>
      </c>
      <c r="DB13" s="13">
        <f>IFERROR(VLOOKUP($G13,'Visu totale'!$D$3:$DH$129,DB$1,0),0)</f>
        <v>0</v>
      </c>
      <c r="DC13" s="13">
        <f>IFERROR(VLOOKUP($G13,'Visu totale'!$D$3:$DH$129,DC$1,0),0)</f>
        <v>0</v>
      </c>
      <c r="DD13" s="13">
        <f>IFERROR(VLOOKUP($G13,'Visu totale'!$D$3:$DH$129,DD$1,0),0)</f>
        <v>0</v>
      </c>
      <c r="DE13" s="13">
        <f>IFERROR(VLOOKUP($G13,'Visu totale'!$D$3:$DH$129,DE$1,0),0)</f>
        <v>0</v>
      </c>
      <c r="DF13" s="13">
        <f>IFERROR(VLOOKUP($G13,'Visu totale'!$D$3:$DH$129,DF$1,0),0)</f>
        <v>0</v>
      </c>
      <c r="DG13" s="13">
        <f>IFERROR(VLOOKUP($G13,'Visu totale'!$D$3:$DH$129,DG$1,0),0)</f>
        <v>0</v>
      </c>
      <c r="DH13" s="13">
        <f>IFERROR(VLOOKUP($G13,'Visu totale'!$D$3:$DH$129,DH$1,0),0)</f>
        <v>0</v>
      </c>
      <c r="DI13" s="13">
        <f>IFERROR(VLOOKUP($G13,'Visu totale'!$D$3:$DH$129,DI$1,0),0)</f>
        <v>0</v>
      </c>
      <c r="DJ13" s="13">
        <f>IFERROR(VLOOKUP($G13,'Visu totale'!$D$3:$DH$129,DJ$1,0),0)</f>
        <v>0</v>
      </c>
      <c r="DK13" s="15">
        <f>IFERROR(VLOOKUP($G13,'Visu totale'!$D$3:$DH$129,DK$1,0),0)</f>
        <v>0</v>
      </c>
    </row>
    <row r="14" spans="1:115" x14ac:dyDescent="0.25">
      <c r="A14" s="13"/>
      <c r="B14" s="13"/>
      <c r="C14" s="13"/>
      <c r="D14" s="16"/>
      <c r="E14" s="13"/>
      <c r="F14" s="13"/>
      <c r="G14" s="17" t="s">
        <v>16</v>
      </c>
      <c r="H14" s="14">
        <f>IFERROR(VLOOKUP($G14,'Visu totale'!$D$3:$DH$129,H$1,0),0)</f>
        <v>0</v>
      </c>
      <c r="I14" s="13">
        <f>IFERROR(VLOOKUP($G14,'Visu totale'!$D$3:$DH$129,I$1,0),0)</f>
        <v>0</v>
      </c>
      <c r="J14" s="13">
        <f>IFERROR(VLOOKUP($G14,'Visu totale'!$D$3:$DH$129,J$1,0),0)</f>
        <v>0</v>
      </c>
      <c r="K14" s="13">
        <f>IFERROR(VLOOKUP($G14,'Visu totale'!$D$3:$DH$129,K$1,0),0)</f>
        <v>0</v>
      </c>
      <c r="L14" s="13">
        <f>IFERROR(VLOOKUP($G14,'Visu totale'!$D$3:$DH$129,L$1,0),0)</f>
        <v>0</v>
      </c>
      <c r="M14" s="13">
        <f>IFERROR(VLOOKUP($G14,'Visu totale'!$D$3:$DH$129,M$1,0),0)</f>
        <v>0</v>
      </c>
      <c r="N14" s="13">
        <f>IFERROR(VLOOKUP($G14,'Visu totale'!$D$3:$DH$129,N$1,0),0)</f>
        <v>0</v>
      </c>
      <c r="O14" s="13">
        <f>IFERROR(VLOOKUP($G14,'Visu totale'!$D$3:$DH$129,O$1,0),0)</f>
        <v>0</v>
      </c>
      <c r="P14" s="13">
        <f>IFERROR(VLOOKUP($G14,'Visu totale'!$D$3:$DH$129,P$1,0),0)</f>
        <v>0</v>
      </c>
      <c r="Q14" s="13">
        <f>IFERROR(VLOOKUP($G14,'Visu totale'!$D$3:$DH$129,Q$1,0),0)</f>
        <v>0</v>
      </c>
      <c r="R14" s="13">
        <f>IFERROR(VLOOKUP($G14,'Visu totale'!$D$3:$DH$129,R$1,0),0)</f>
        <v>0</v>
      </c>
      <c r="S14" s="15">
        <f>IFERROR(VLOOKUP($G14,'Visu totale'!$D$3:$DH$129,S$1,0),0)</f>
        <v>0</v>
      </c>
      <c r="T14" s="14">
        <f>IFERROR(VLOOKUP($G14,'Visu totale'!$D$3:$DH$129,T$1,0),0)</f>
        <v>0</v>
      </c>
      <c r="U14" s="13">
        <f>IFERROR(VLOOKUP($G14,'Visu totale'!$D$3:$DH$129,U$1,0),0)</f>
        <v>0</v>
      </c>
      <c r="V14" s="13">
        <f>IFERROR(VLOOKUP($G14,'Visu totale'!$D$3:$DH$129,V$1,0),0)</f>
        <v>0</v>
      </c>
      <c r="W14" s="13">
        <f>IFERROR(VLOOKUP($G14,'Visu totale'!$D$3:$DH$129,W$1,0),0)</f>
        <v>0</v>
      </c>
      <c r="X14" s="13">
        <f>IFERROR(VLOOKUP($G14,'Visu totale'!$D$3:$DH$129,X$1,0),0)</f>
        <v>0</v>
      </c>
      <c r="Y14" s="13">
        <f>IFERROR(VLOOKUP($G14,'Visu totale'!$D$3:$DH$129,Y$1,0),0)</f>
        <v>0</v>
      </c>
      <c r="Z14" s="13">
        <f>IFERROR(VLOOKUP($G14,'Visu totale'!$D$3:$DH$129,Z$1,0),0)</f>
        <v>0</v>
      </c>
      <c r="AA14" s="13">
        <f>IFERROR(VLOOKUP($G14,'Visu totale'!$D$3:$DH$129,AA$1,0),0)</f>
        <v>0</v>
      </c>
      <c r="AB14" s="13">
        <f>IFERROR(VLOOKUP($G14,'Visu totale'!$D$3:$DH$129,AB$1,0),0)</f>
        <v>0</v>
      </c>
      <c r="AC14" s="13">
        <f>IFERROR(VLOOKUP($G14,'Visu totale'!$D$3:$DH$129,AC$1,0),0)</f>
        <v>0</v>
      </c>
      <c r="AD14" s="13">
        <f>IFERROR(VLOOKUP($G14,'Visu totale'!$D$3:$DH$129,AD$1,0),0)</f>
        <v>0</v>
      </c>
      <c r="AE14" s="15">
        <f>IFERROR(VLOOKUP($G14,'Visu totale'!$D$3:$DH$129,AE$1,0),0)</f>
        <v>0</v>
      </c>
      <c r="AF14" s="14">
        <f>IFERROR(VLOOKUP($G14,'Visu totale'!$D$3:$DH$129,AF$1,0),0)</f>
        <v>0</v>
      </c>
      <c r="AG14" s="13">
        <f>IFERROR(VLOOKUP($G14,'Visu totale'!$D$3:$DH$129,AG$1,0),0)</f>
        <v>0</v>
      </c>
      <c r="AH14" s="13">
        <f>IFERROR(VLOOKUP($G14,'Visu totale'!$D$3:$DH$129,AH$1,0),0)</f>
        <v>0</v>
      </c>
      <c r="AI14" s="13">
        <f>IFERROR(VLOOKUP($G14,'Visu totale'!$D$3:$DH$129,AI$1,0),0)</f>
        <v>0</v>
      </c>
      <c r="AJ14" s="13">
        <f>IFERROR(VLOOKUP($G14,'Visu totale'!$D$3:$DH$129,AJ$1,0),0)</f>
        <v>0</v>
      </c>
      <c r="AK14" s="13">
        <f>IFERROR(VLOOKUP($G14,'Visu totale'!$D$3:$DH$129,AK$1,0),0)</f>
        <v>0</v>
      </c>
      <c r="AL14" s="13">
        <f>IFERROR(VLOOKUP($G14,'Visu totale'!$D$3:$DH$129,AL$1,0),0)</f>
        <v>0</v>
      </c>
      <c r="AM14" s="13">
        <f>IFERROR(VLOOKUP($G14,'Visu totale'!$D$3:$DH$129,AM$1,0),0)</f>
        <v>0</v>
      </c>
      <c r="AN14" s="13">
        <f>IFERROR(VLOOKUP($G14,'Visu totale'!$D$3:$DH$129,AN$1,0),0)</f>
        <v>0</v>
      </c>
      <c r="AO14" s="13">
        <f>IFERROR(VLOOKUP($G14,'Visu totale'!$D$3:$DH$129,AO$1,0),0)</f>
        <v>0</v>
      </c>
      <c r="AP14" s="13">
        <f>IFERROR(VLOOKUP($G14,'Visu totale'!$D$3:$DH$129,AP$1,0),0)</f>
        <v>0</v>
      </c>
      <c r="AQ14" s="15">
        <f>IFERROR(VLOOKUP($G14,'Visu totale'!$D$3:$DH$129,AQ$1,0),0)</f>
        <v>0</v>
      </c>
      <c r="AR14" s="14">
        <f>IFERROR(VLOOKUP($G14,'Visu totale'!$D$3:$DH$129,AR$1,0),0)</f>
        <v>0</v>
      </c>
      <c r="AS14" s="13">
        <f>IFERROR(VLOOKUP($G14,'Visu totale'!$D$3:$DH$129,AS$1,0),0)</f>
        <v>0</v>
      </c>
      <c r="AT14" s="13">
        <f>IFERROR(VLOOKUP($G14,'Visu totale'!$D$3:$DH$129,AT$1,0),0)</f>
        <v>0</v>
      </c>
      <c r="AU14" s="13">
        <f>IFERROR(VLOOKUP($G14,'Visu totale'!$D$3:$DH$129,AU$1,0),0)</f>
        <v>0</v>
      </c>
      <c r="AV14" s="13">
        <f>IFERROR(VLOOKUP($G14,'Visu totale'!$D$3:$DH$129,AV$1,0),0)</f>
        <v>0</v>
      </c>
      <c r="AW14" s="13">
        <f>IFERROR(VLOOKUP($G14,'Visu totale'!$D$3:$DH$129,AW$1,0),0)</f>
        <v>0</v>
      </c>
      <c r="AX14" s="13">
        <f>IFERROR(VLOOKUP($G14,'Visu totale'!$D$3:$DH$129,AX$1,0),0)</f>
        <v>0</v>
      </c>
      <c r="AY14" s="13">
        <f>IFERROR(VLOOKUP($G14,'Visu totale'!$D$3:$DH$129,AY$1,0),0)</f>
        <v>0</v>
      </c>
      <c r="AZ14" s="13">
        <f>IFERROR(VLOOKUP($G14,'Visu totale'!$D$3:$DH$129,AZ$1,0),0)</f>
        <v>0</v>
      </c>
      <c r="BA14" s="13">
        <f>IFERROR(VLOOKUP($G14,'Visu totale'!$D$3:$DH$129,BA$1,0),0)</f>
        <v>0</v>
      </c>
      <c r="BB14" s="13">
        <f>IFERROR(VLOOKUP($G14,'Visu totale'!$D$3:$DH$129,BB$1,0),0)</f>
        <v>0</v>
      </c>
      <c r="BC14" s="15">
        <f>IFERROR(VLOOKUP($G14,'Visu totale'!$D$3:$DH$129,BC$1,0),0)</f>
        <v>0</v>
      </c>
      <c r="BD14" s="14">
        <f>IFERROR(VLOOKUP($G14,'Visu totale'!$D$3:$DH$129,BD$1,0),0)</f>
        <v>0</v>
      </c>
      <c r="BE14" s="13">
        <f>IFERROR(VLOOKUP($G14,'Visu totale'!$D$3:$DH$129,BE$1,0),0)</f>
        <v>0</v>
      </c>
      <c r="BF14" s="13">
        <f>IFERROR(VLOOKUP($G14,'Visu totale'!$D$3:$DH$129,BF$1,0),0)</f>
        <v>0</v>
      </c>
      <c r="BG14" s="13">
        <f>IFERROR(VLOOKUP($G14,'Visu totale'!$D$3:$DH$129,BG$1,0),0)</f>
        <v>0</v>
      </c>
      <c r="BH14" s="13">
        <f>IFERROR(VLOOKUP($G14,'Visu totale'!$D$3:$DH$129,BH$1,0),0)</f>
        <v>0</v>
      </c>
      <c r="BI14" s="13">
        <f>IFERROR(VLOOKUP($G14,'Visu totale'!$D$3:$DH$129,BI$1,0),0)</f>
        <v>0</v>
      </c>
      <c r="BJ14" s="13">
        <f>IFERROR(VLOOKUP($G14,'Visu totale'!$D$3:$DH$129,BJ$1,0),0)</f>
        <v>0</v>
      </c>
      <c r="BK14" s="13">
        <f>IFERROR(VLOOKUP($G14,'Visu totale'!$D$3:$DH$129,BK$1,0),0)</f>
        <v>0</v>
      </c>
      <c r="BL14" s="13">
        <f>IFERROR(VLOOKUP($G14,'Visu totale'!$D$3:$DH$129,BL$1,0),0)</f>
        <v>0</v>
      </c>
      <c r="BM14" s="13">
        <f>IFERROR(VLOOKUP($G14,'Visu totale'!$D$3:$DH$129,BM$1,0),0)</f>
        <v>0</v>
      </c>
      <c r="BN14" s="13">
        <f>IFERROR(VLOOKUP($G14,'Visu totale'!$D$3:$DH$129,BN$1,0),0)</f>
        <v>0</v>
      </c>
      <c r="BO14" s="15">
        <f>IFERROR(VLOOKUP($G14,'Visu totale'!$D$3:$DH$129,BO$1,0),0)</f>
        <v>0</v>
      </c>
      <c r="BP14" s="14">
        <f>IFERROR(VLOOKUP($G14,'Visu totale'!$D$3:$DH$129,BP$1,0),0)</f>
        <v>0</v>
      </c>
      <c r="BQ14" s="13">
        <f>IFERROR(VLOOKUP($G14,'Visu totale'!$D$3:$DH$129,BQ$1,0),0)</f>
        <v>0</v>
      </c>
      <c r="BR14" s="13">
        <f>IFERROR(VLOOKUP($G14,'Visu totale'!$D$3:$DH$129,BR$1,0),0)</f>
        <v>0</v>
      </c>
      <c r="BS14" s="13">
        <f>IFERROR(VLOOKUP($G14,'Visu totale'!$D$3:$DH$129,BS$1,0),0)</f>
        <v>0</v>
      </c>
      <c r="BT14" s="13">
        <f>IFERROR(VLOOKUP($G14,'Visu totale'!$D$3:$DH$129,BT$1,0),0)</f>
        <v>0</v>
      </c>
      <c r="BU14" s="13">
        <f>IFERROR(VLOOKUP($G14,'Visu totale'!$D$3:$DH$129,BU$1,0),0)</f>
        <v>0</v>
      </c>
      <c r="BV14" s="13">
        <f>IFERROR(VLOOKUP($G14,'Visu totale'!$D$3:$DH$129,BV$1,0),0)</f>
        <v>0</v>
      </c>
      <c r="BW14" s="13">
        <f>IFERROR(VLOOKUP($G14,'Visu totale'!$D$3:$DH$129,BW$1,0),0)</f>
        <v>0</v>
      </c>
      <c r="BX14" s="13">
        <f>IFERROR(VLOOKUP($G14,'Visu totale'!$D$3:$DH$129,BX$1,0),0)</f>
        <v>0</v>
      </c>
      <c r="BY14" s="13">
        <f>IFERROR(VLOOKUP($G14,'Visu totale'!$D$3:$DH$129,BY$1,0),0)</f>
        <v>0</v>
      </c>
      <c r="BZ14" s="13">
        <f>IFERROR(VLOOKUP($G14,'Visu totale'!$D$3:$DH$129,BZ$1,0),0)</f>
        <v>0</v>
      </c>
      <c r="CA14" s="15">
        <f>IFERROR(VLOOKUP($G14,'Visu totale'!$D$3:$DH$129,CA$1,0),0)</f>
        <v>0</v>
      </c>
      <c r="CB14" s="14">
        <f>IFERROR(VLOOKUP($G14,'Visu totale'!$D$3:$DH$129,CB$1,0),0)</f>
        <v>0</v>
      </c>
      <c r="CC14" s="13">
        <f>IFERROR(VLOOKUP($G14,'Visu totale'!$D$3:$DH$129,CC$1,0),0)</f>
        <v>0</v>
      </c>
      <c r="CD14" s="13">
        <f>IFERROR(VLOOKUP($G14,'Visu totale'!$D$3:$DH$129,CD$1,0),0)</f>
        <v>0</v>
      </c>
      <c r="CE14" s="13">
        <f>IFERROR(VLOOKUP($G14,'Visu totale'!$D$3:$DH$129,CE$1,0),0)</f>
        <v>0</v>
      </c>
      <c r="CF14" s="13">
        <f>IFERROR(VLOOKUP($G14,'Visu totale'!$D$3:$DH$129,CF$1,0),0)</f>
        <v>0</v>
      </c>
      <c r="CG14" s="13">
        <f>IFERROR(VLOOKUP($G14,'Visu totale'!$D$3:$DH$129,CG$1,0),0)</f>
        <v>0</v>
      </c>
      <c r="CH14" s="13">
        <f>IFERROR(VLOOKUP($G14,'Visu totale'!$D$3:$DH$129,CH$1,0),0)</f>
        <v>0</v>
      </c>
      <c r="CI14" s="13">
        <f>IFERROR(VLOOKUP($G14,'Visu totale'!$D$3:$DH$129,CI$1,0),0)</f>
        <v>0</v>
      </c>
      <c r="CJ14" s="13">
        <f>IFERROR(VLOOKUP($G14,'Visu totale'!$D$3:$DH$129,CJ$1,0),0)</f>
        <v>0</v>
      </c>
      <c r="CK14" s="13">
        <f>IFERROR(VLOOKUP($G14,'Visu totale'!$D$3:$DH$129,CK$1,0),0)</f>
        <v>0</v>
      </c>
      <c r="CL14" s="13">
        <f>IFERROR(VLOOKUP($G14,'Visu totale'!$D$3:$DH$129,CL$1,0),0)</f>
        <v>0</v>
      </c>
      <c r="CM14" s="15">
        <f>IFERROR(VLOOKUP($G14,'Visu totale'!$D$3:$DH$129,CM$1,0),0)</f>
        <v>0</v>
      </c>
      <c r="CN14" s="14">
        <f>IFERROR(VLOOKUP($G14,'Visu totale'!$D$3:$DH$129,CN$1,0),0)</f>
        <v>0</v>
      </c>
      <c r="CO14" s="13">
        <f>IFERROR(VLOOKUP($G14,'Visu totale'!$D$3:$DH$129,CO$1,0),0)</f>
        <v>0</v>
      </c>
      <c r="CP14" s="13">
        <f>IFERROR(VLOOKUP($G14,'Visu totale'!$D$3:$DH$129,CP$1,0),0)</f>
        <v>0</v>
      </c>
      <c r="CQ14" s="13">
        <f>IFERROR(VLOOKUP($G14,'Visu totale'!$D$3:$DH$129,CQ$1,0),0)</f>
        <v>0</v>
      </c>
      <c r="CR14" s="13">
        <f>IFERROR(VLOOKUP($G14,'Visu totale'!$D$3:$DH$129,CR$1,0),0)</f>
        <v>0</v>
      </c>
      <c r="CS14" s="13">
        <f>IFERROR(VLOOKUP($G14,'Visu totale'!$D$3:$DH$129,CS$1,0),0)</f>
        <v>0</v>
      </c>
      <c r="CT14" s="13">
        <f>IFERROR(VLOOKUP($G14,'Visu totale'!$D$3:$DH$129,CT$1,0),0)</f>
        <v>0</v>
      </c>
      <c r="CU14" s="13">
        <f>IFERROR(VLOOKUP($G14,'Visu totale'!$D$3:$DH$129,CU$1,0),0)</f>
        <v>0</v>
      </c>
      <c r="CV14" s="13">
        <f>IFERROR(VLOOKUP($G14,'Visu totale'!$D$3:$DH$129,CV$1,0),0)</f>
        <v>0</v>
      </c>
      <c r="CW14" s="13">
        <f>IFERROR(VLOOKUP($G14,'Visu totale'!$D$3:$DH$129,CW$1,0),0)</f>
        <v>0</v>
      </c>
      <c r="CX14" s="13">
        <f>IFERROR(VLOOKUP($G14,'Visu totale'!$D$3:$DH$129,CX$1,0),0)</f>
        <v>0</v>
      </c>
      <c r="CY14" s="15">
        <f>IFERROR(VLOOKUP($G14,'Visu totale'!$D$3:$DH$129,CY$1,0),0)</f>
        <v>0</v>
      </c>
      <c r="CZ14" s="14">
        <f>IFERROR(VLOOKUP($G14,'Visu totale'!$D$3:$DH$129,CZ$1,0),0)</f>
        <v>0</v>
      </c>
      <c r="DA14" s="13">
        <f>IFERROR(VLOOKUP($G14,'Visu totale'!$D$3:$DH$129,DA$1,0),0)</f>
        <v>0</v>
      </c>
      <c r="DB14" s="13">
        <f>IFERROR(VLOOKUP($G14,'Visu totale'!$D$3:$DH$129,DB$1,0),0)</f>
        <v>0</v>
      </c>
      <c r="DC14" s="13">
        <f>IFERROR(VLOOKUP($G14,'Visu totale'!$D$3:$DH$129,DC$1,0),0)</f>
        <v>0</v>
      </c>
      <c r="DD14" s="13">
        <f>IFERROR(VLOOKUP($G14,'Visu totale'!$D$3:$DH$129,DD$1,0),0)</f>
        <v>0</v>
      </c>
      <c r="DE14" s="13">
        <f>IFERROR(VLOOKUP($G14,'Visu totale'!$D$3:$DH$129,DE$1,0),0)</f>
        <v>0</v>
      </c>
      <c r="DF14" s="13">
        <f>IFERROR(VLOOKUP($G14,'Visu totale'!$D$3:$DH$129,DF$1,0),0)</f>
        <v>0</v>
      </c>
      <c r="DG14" s="13">
        <f>IFERROR(VLOOKUP($G14,'Visu totale'!$D$3:$DH$129,DG$1,0),0)</f>
        <v>0</v>
      </c>
      <c r="DH14" s="13">
        <f>IFERROR(VLOOKUP($G14,'Visu totale'!$D$3:$DH$129,DH$1,0),0)</f>
        <v>0</v>
      </c>
      <c r="DI14" s="13">
        <f>IFERROR(VLOOKUP($G14,'Visu totale'!$D$3:$DH$129,DI$1,0),0)</f>
        <v>0</v>
      </c>
      <c r="DJ14" s="13">
        <f>IFERROR(VLOOKUP($G14,'Visu totale'!$D$3:$DH$129,DJ$1,0),0)</f>
        <v>0</v>
      </c>
      <c r="DK14" s="15">
        <f>IFERROR(VLOOKUP($G14,'Visu totale'!$D$3:$DH$129,DK$1,0),0)</f>
        <v>0</v>
      </c>
    </row>
    <row r="15" spans="1:115" x14ac:dyDescent="0.25">
      <c r="A15" s="13"/>
      <c r="B15" s="13"/>
      <c r="C15" s="13"/>
      <c r="D15" s="16"/>
      <c r="E15" s="13"/>
      <c r="F15" s="13"/>
      <c r="G15" s="17" t="s">
        <v>17</v>
      </c>
      <c r="H15" s="14">
        <f>IFERROR(VLOOKUP($G15,'Visu totale'!$D$3:$DH$129,H$1,0),0)</f>
        <v>0</v>
      </c>
      <c r="I15" s="13">
        <f>IFERROR(VLOOKUP($G15,'Visu totale'!$D$3:$DH$129,I$1,0),0)</f>
        <v>0</v>
      </c>
      <c r="J15" s="13">
        <f>IFERROR(VLOOKUP($G15,'Visu totale'!$D$3:$DH$129,J$1,0),0)</f>
        <v>0</v>
      </c>
      <c r="K15" s="13">
        <f>IFERROR(VLOOKUP($G15,'Visu totale'!$D$3:$DH$129,K$1,0),0)</f>
        <v>0</v>
      </c>
      <c r="L15" s="13">
        <f>IFERROR(VLOOKUP($G15,'Visu totale'!$D$3:$DH$129,L$1,0),0)</f>
        <v>0</v>
      </c>
      <c r="M15" s="13">
        <f>IFERROR(VLOOKUP($G15,'Visu totale'!$D$3:$DH$129,M$1,0),0)</f>
        <v>0</v>
      </c>
      <c r="N15" s="13">
        <f>IFERROR(VLOOKUP($G15,'Visu totale'!$D$3:$DH$129,N$1,0),0)</f>
        <v>0</v>
      </c>
      <c r="O15" s="13">
        <f>IFERROR(VLOOKUP($G15,'Visu totale'!$D$3:$DH$129,O$1,0),0)</f>
        <v>0</v>
      </c>
      <c r="P15" s="13">
        <f>IFERROR(VLOOKUP($G15,'Visu totale'!$D$3:$DH$129,P$1,0),0)</f>
        <v>0</v>
      </c>
      <c r="Q15" s="13">
        <f>IFERROR(VLOOKUP($G15,'Visu totale'!$D$3:$DH$129,Q$1,0),0)</f>
        <v>0</v>
      </c>
      <c r="R15" s="13">
        <f>IFERROR(VLOOKUP($G15,'Visu totale'!$D$3:$DH$129,R$1,0),0)</f>
        <v>0</v>
      </c>
      <c r="S15" s="15">
        <f>IFERROR(VLOOKUP($G15,'Visu totale'!$D$3:$DH$129,S$1,0),0)</f>
        <v>0</v>
      </c>
      <c r="T15" s="14">
        <f>IFERROR(VLOOKUP($G15,'Visu totale'!$D$3:$DH$129,T$1,0),0)</f>
        <v>0</v>
      </c>
      <c r="U15" s="13">
        <f>IFERROR(VLOOKUP($G15,'Visu totale'!$D$3:$DH$129,U$1,0),0)</f>
        <v>0</v>
      </c>
      <c r="V15" s="13">
        <f>IFERROR(VLOOKUP($G15,'Visu totale'!$D$3:$DH$129,V$1,0),0)</f>
        <v>0</v>
      </c>
      <c r="W15" s="13">
        <f>IFERROR(VLOOKUP($G15,'Visu totale'!$D$3:$DH$129,W$1,0),0)</f>
        <v>0</v>
      </c>
      <c r="X15" s="13">
        <f>IFERROR(VLOOKUP($G15,'Visu totale'!$D$3:$DH$129,X$1,0),0)</f>
        <v>0</v>
      </c>
      <c r="Y15" s="13">
        <f>IFERROR(VLOOKUP($G15,'Visu totale'!$D$3:$DH$129,Y$1,0),0)</f>
        <v>0</v>
      </c>
      <c r="Z15" s="13">
        <f>IFERROR(VLOOKUP($G15,'Visu totale'!$D$3:$DH$129,Z$1,0),0)</f>
        <v>0</v>
      </c>
      <c r="AA15" s="13">
        <f>IFERROR(VLOOKUP($G15,'Visu totale'!$D$3:$DH$129,AA$1,0),0)</f>
        <v>0</v>
      </c>
      <c r="AB15" s="13">
        <f>IFERROR(VLOOKUP($G15,'Visu totale'!$D$3:$DH$129,AB$1,0),0)</f>
        <v>0</v>
      </c>
      <c r="AC15" s="13">
        <f>IFERROR(VLOOKUP($G15,'Visu totale'!$D$3:$DH$129,AC$1,0),0)</f>
        <v>0</v>
      </c>
      <c r="AD15" s="13">
        <f>IFERROR(VLOOKUP($G15,'Visu totale'!$D$3:$DH$129,AD$1,0),0)</f>
        <v>0</v>
      </c>
      <c r="AE15" s="15">
        <f>IFERROR(VLOOKUP($G15,'Visu totale'!$D$3:$DH$129,AE$1,0),0)</f>
        <v>0</v>
      </c>
      <c r="AF15" s="14">
        <f>IFERROR(VLOOKUP($G15,'Visu totale'!$D$3:$DH$129,AF$1,0),0)</f>
        <v>0</v>
      </c>
      <c r="AG15" s="13">
        <f>IFERROR(VLOOKUP($G15,'Visu totale'!$D$3:$DH$129,AG$1,0),0)</f>
        <v>0</v>
      </c>
      <c r="AH15" s="13">
        <f>IFERROR(VLOOKUP($G15,'Visu totale'!$D$3:$DH$129,AH$1,0),0)</f>
        <v>0</v>
      </c>
      <c r="AI15" s="13">
        <f>IFERROR(VLOOKUP($G15,'Visu totale'!$D$3:$DH$129,AI$1,0),0)</f>
        <v>0</v>
      </c>
      <c r="AJ15" s="13">
        <f>IFERROR(VLOOKUP($G15,'Visu totale'!$D$3:$DH$129,AJ$1,0),0)</f>
        <v>0</v>
      </c>
      <c r="AK15" s="13">
        <f>IFERROR(VLOOKUP($G15,'Visu totale'!$D$3:$DH$129,AK$1,0),0)</f>
        <v>0</v>
      </c>
      <c r="AL15" s="13">
        <f>IFERROR(VLOOKUP($G15,'Visu totale'!$D$3:$DH$129,AL$1,0),0)</f>
        <v>0</v>
      </c>
      <c r="AM15" s="13">
        <f>IFERROR(VLOOKUP($G15,'Visu totale'!$D$3:$DH$129,AM$1,0),0)</f>
        <v>0</v>
      </c>
      <c r="AN15" s="13">
        <f>IFERROR(VLOOKUP($G15,'Visu totale'!$D$3:$DH$129,AN$1,0),0)</f>
        <v>0</v>
      </c>
      <c r="AO15" s="13">
        <f>IFERROR(VLOOKUP($G15,'Visu totale'!$D$3:$DH$129,AO$1,0),0)</f>
        <v>0</v>
      </c>
      <c r="AP15" s="13">
        <f>IFERROR(VLOOKUP($G15,'Visu totale'!$D$3:$DH$129,AP$1,0),0)</f>
        <v>0</v>
      </c>
      <c r="AQ15" s="15">
        <f>IFERROR(VLOOKUP($G15,'Visu totale'!$D$3:$DH$129,AQ$1,0),0)</f>
        <v>0</v>
      </c>
      <c r="AR15" s="14">
        <f>IFERROR(VLOOKUP($G15,'Visu totale'!$D$3:$DH$129,AR$1,0),0)</f>
        <v>0</v>
      </c>
      <c r="AS15" s="13">
        <f>IFERROR(VLOOKUP($G15,'Visu totale'!$D$3:$DH$129,AS$1,0),0)</f>
        <v>0</v>
      </c>
      <c r="AT15" s="13">
        <f>IFERROR(VLOOKUP($G15,'Visu totale'!$D$3:$DH$129,AT$1,0),0)</f>
        <v>0</v>
      </c>
      <c r="AU15" s="13">
        <f>IFERROR(VLOOKUP($G15,'Visu totale'!$D$3:$DH$129,AU$1,0),0)</f>
        <v>0</v>
      </c>
      <c r="AV15" s="13">
        <f>IFERROR(VLOOKUP($G15,'Visu totale'!$D$3:$DH$129,AV$1,0),0)</f>
        <v>0</v>
      </c>
      <c r="AW15" s="13">
        <f>IFERROR(VLOOKUP($G15,'Visu totale'!$D$3:$DH$129,AW$1,0),0)</f>
        <v>0</v>
      </c>
      <c r="AX15" s="13">
        <f>IFERROR(VLOOKUP($G15,'Visu totale'!$D$3:$DH$129,AX$1,0),0)</f>
        <v>0</v>
      </c>
      <c r="AY15" s="13">
        <f>IFERROR(VLOOKUP($G15,'Visu totale'!$D$3:$DH$129,AY$1,0),0)</f>
        <v>0</v>
      </c>
      <c r="AZ15" s="13">
        <f>IFERROR(VLOOKUP($G15,'Visu totale'!$D$3:$DH$129,AZ$1,0),0)</f>
        <v>0</v>
      </c>
      <c r="BA15" s="13">
        <f>IFERROR(VLOOKUP($G15,'Visu totale'!$D$3:$DH$129,BA$1,0),0)</f>
        <v>0</v>
      </c>
      <c r="BB15" s="13">
        <f>IFERROR(VLOOKUP($G15,'Visu totale'!$D$3:$DH$129,BB$1,0),0)</f>
        <v>0</v>
      </c>
      <c r="BC15" s="15">
        <f>IFERROR(VLOOKUP($G15,'Visu totale'!$D$3:$DH$129,BC$1,0),0)</f>
        <v>0</v>
      </c>
      <c r="BD15" s="14">
        <f>IFERROR(VLOOKUP($G15,'Visu totale'!$D$3:$DH$129,BD$1,0),0)</f>
        <v>0</v>
      </c>
      <c r="BE15" s="13">
        <f>IFERROR(VLOOKUP($G15,'Visu totale'!$D$3:$DH$129,BE$1,0),0)</f>
        <v>0</v>
      </c>
      <c r="BF15" s="13">
        <f>IFERROR(VLOOKUP($G15,'Visu totale'!$D$3:$DH$129,BF$1,0),0)</f>
        <v>0</v>
      </c>
      <c r="BG15" s="13">
        <f>IFERROR(VLOOKUP($G15,'Visu totale'!$D$3:$DH$129,BG$1,0),0)</f>
        <v>0</v>
      </c>
      <c r="BH15" s="13">
        <f>IFERROR(VLOOKUP($G15,'Visu totale'!$D$3:$DH$129,BH$1,0),0)</f>
        <v>0</v>
      </c>
      <c r="BI15" s="13">
        <f>IFERROR(VLOOKUP($G15,'Visu totale'!$D$3:$DH$129,BI$1,0),0)</f>
        <v>0</v>
      </c>
      <c r="BJ15" s="13">
        <f>IFERROR(VLOOKUP($G15,'Visu totale'!$D$3:$DH$129,BJ$1,0),0)</f>
        <v>0</v>
      </c>
      <c r="BK15" s="13">
        <f>IFERROR(VLOOKUP($G15,'Visu totale'!$D$3:$DH$129,BK$1,0),0)</f>
        <v>0</v>
      </c>
      <c r="BL15" s="13">
        <f>IFERROR(VLOOKUP($G15,'Visu totale'!$D$3:$DH$129,BL$1,0),0)</f>
        <v>0</v>
      </c>
      <c r="BM15" s="13">
        <f>IFERROR(VLOOKUP($G15,'Visu totale'!$D$3:$DH$129,BM$1,0),0)</f>
        <v>0</v>
      </c>
      <c r="BN15" s="13">
        <f>IFERROR(VLOOKUP($G15,'Visu totale'!$D$3:$DH$129,BN$1,0),0)</f>
        <v>0</v>
      </c>
      <c r="BO15" s="15">
        <f>IFERROR(VLOOKUP($G15,'Visu totale'!$D$3:$DH$129,BO$1,0),0)</f>
        <v>0</v>
      </c>
      <c r="BP15" s="14">
        <f>IFERROR(VLOOKUP($G15,'Visu totale'!$D$3:$DH$129,BP$1,0),0)</f>
        <v>0</v>
      </c>
      <c r="BQ15" s="13">
        <f>IFERROR(VLOOKUP($G15,'Visu totale'!$D$3:$DH$129,BQ$1,0),0)</f>
        <v>0</v>
      </c>
      <c r="BR15" s="13">
        <f>IFERROR(VLOOKUP($G15,'Visu totale'!$D$3:$DH$129,BR$1,0),0)</f>
        <v>0</v>
      </c>
      <c r="BS15" s="13">
        <f>IFERROR(VLOOKUP($G15,'Visu totale'!$D$3:$DH$129,BS$1,0),0)</f>
        <v>0</v>
      </c>
      <c r="BT15" s="13">
        <f>IFERROR(VLOOKUP($G15,'Visu totale'!$D$3:$DH$129,BT$1,0),0)</f>
        <v>0</v>
      </c>
      <c r="BU15" s="13">
        <f>IFERROR(VLOOKUP($G15,'Visu totale'!$D$3:$DH$129,BU$1,0),0)</f>
        <v>0</v>
      </c>
      <c r="BV15" s="13">
        <f>IFERROR(VLOOKUP($G15,'Visu totale'!$D$3:$DH$129,BV$1,0),0)</f>
        <v>0</v>
      </c>
      <c r="BW15" s="13">
        <f>IFERROR(VLOOKUP($G15,'Visu totale'!$D$3:$DH$129,BW$1,0),0)</f>
        <v>0</v>
      </c>
      <c r="BX15" s="13">
        <f>IFERROR(VLOOKUP($G15,'Visu totale'!$D$3:$DH$129,BX$1,0),0)</f>
        <v>0</v>
      </c>
      <c r="BY15" s="13">
        <f>IFERROR(VLOOKUP($G15,'Visu totale'!$D$3:$DH$129,BY$1,0),0)</f>
        <v>0</v>
      </c>
      <c r="BZ15" s="13">
        <f>IFERROR(VLOOKUP($G15,'Visu totale'!$D$3:$DH$129,BZ$1,0),0)</f>
        <v>0</v>
      </c>
      <c r="CA15" s="15">
        <f>IFERROR(VLOOKUP($G15,'Visu totale'!$D$3:$DH$129,CA$1,0),0)</f>
        <v>0</v>
      </c>
      <c r="CB15" s="14">
        <f>IFERROR(VLOOKUP($G15,'Visu totale'!$D$3:$DH$129,CB$1,0),0)</f>
        <v>0</v>
      </c>
      <c r="CC15" s="13">
        <f>IFERROR(VLOOKUP($G15,'Visu totale'!$D$3:$DH$129,CC$1,0),0)</f>
        <v>0</v>
      </c>
      <c r="CD15" s="13">
        <f>IFERROR(VLOOKUP($G15,'Visu totale'!$D$3:$DH$129,CD$1,0),0)</f>
        <v>0</v>
      </c>
      <c r="CE15" s="13">
        <f>IFERROR(VLOOKUP($G15,'Visu totale'!$D$3:$DH$129,CE$1,0),0)</f>
        <v>0</v>
      </c>
      <c r="CF15" s="13">
        <f>IFERROR(VLOOKUP($G15,'Visu totale'!$D$3:$DH$129,CF$1,0),0)</f>
        <v>0</v>
      </c>
      <c r="CG15" s="13">
        <f>IFERROR(VLOOKUP($G15,'Visu totale'!$D$3:$DH$129,CG$1,0),0)</f>
        <v>0</v>
      </c>
      <c r="CH15" s="13">
        <f>IFERROR(VLOOKUP($G15,'Visu totale'!$D$3:$DH$129,CH$1,0),0)</f>
        <v>0</v>
      </c>
      <c r="CI15" s="13">
        <f>IFERROR(VLOOKUP($G15,'Visu totale'!$D$3:$DH$129,CI$1,0),0)</f>
        <v>0</v>
      </c>
      <c r="CJ15" s="13">
        <f>IFERROR(VLOOKUP($G15,'Visu totale'!$D$3:$DH$129,CJ$1,0),0)</f>
        <v>0</v>
      </c>
      <c r="CK15" s="13">
        <f>IFERROR(VLOOKUP($G15,'Visu totale'!$D$3:$DH$129,CK$1,0),0)</f>
        <v>0</v>
      </c>
      <c r="CL15" s="13">
        <f>IFERROR(VLOOKUP($G15,'Visu totale'!$D$3:$DH$129,CL$1,0),0)</f>
        <v>0</v>
      </c>
      <c r="CM15" s="15">
        <f>IFERROR(VLOOKUP($G15,'Visu totale'!$D$3:$DH$129,CM$1,0),0)</f>
        <v>0</v>
      </c>
      <c r="CN15" s="14">
        <f>IFERROR(VLOOKUP($G15,'Visu totale'!$D$3:$DH$129,CN$1,0),0)</f>
        <v>0</v>
      </c>
      <c r="CO15" s="13">
        <f>IFERROR(VLOOKUP($G15,'Visu totale'!$D$3:$DH$129,CO$1,0),0)</f>
        <v>0</v>
      </c>
      <c r="CP15" s="13">
        <f>IFERROR(VLOOKUP($G15,'Visu totale'!$D$3:$DH$129,CP$1,0),0)</f>
        <v>0</v>
      </c>
      <c r="CQ15" s="13">
        <f>IFERROR(VLOOKUP($G15,'Visu totale'!$D$3:$DH$129,CQ$1,0),0)</f>
        <v>0</v>
      </c>
      <c r="CR15" s="13">
        <f>IFERROR(VLOOKUP($G15,'Visu totale'!$D$3:$DH$129,CR$1,0),0)</f>
        <v>0</v>
      </c>
      <c r="CS15" s="13">
        <f>IFERROR(VLOOKUP($G15,'Visu totale'!$D$3:$DH$129,CS$1,0),0)</f>
        <v>0</v>
      </c>
      <c r="CT15" s="13">
        <f>IFERROR(VLOOKUP($G15,'Visu totale'!$D$3:$DH$129,CT$1,0),0)</f>
        <v>0</v>
      </c>
      <c r="CU15" s="13">
        <f>IFERROR(VLOOKUP($G15,'Visu totale'!$D$3:$DH$129,CU$1,0),0)</f>
        <v>0</v>
      </c>
      <c r="CV15" s="13">
        <f>IFERROR(VLOOKUP($G15,'Visu totale'!$D$3:$DH$129,CV$1,0),0)</f>
        <v>0</v>
      </c>
      <c r="CW15" s="13">
        <f>IFERROR(VLOOKUP($G15,'Visu totale'!$D$3:$DH$129,CW$1,0),0)</f>
        <v>0</v>
      </c>
      <c r="CX15" s="13">
        <f>IFERROR(VLOOKUP($G15,'Visu totale'!$D$3:$DH$129,CX$1,0),0)</f>
        <v>0</v>
      </c>
      <c r="CY15" s="15">
        <f>IFERROR(VLOOKUP($G15,'Visu totale'!$D$3:$DH$129,CY$1,0),0)</f>
        <v>0</v>
      </c>
      <c r="CZ15" s="14">
        <f>IFERROR(VLOOKUP($G15,'Visu totale'!$D$3:$DH$129,CZ$1,0),0)</f>
        <v>0</v>
      </c>
      <c r="DA15" s="13">
        <f>IFERROR(VLOOKUP($G15,'Visu totale'!$D$3:$DH$129,DA$1,0),0)</f>
        <v>0</v>
      </c>
      <c r="DB15" s="13">
        <f>IFERROR(VLOOKUP($G15,'Visu totale'!$D$3:$DH$129,DB$1,0),0)</f>
        <v>0</v>
      </c>
      <c r="DC15" s="13">
        <f>IFERROR(VLOOKUP($G15,'Visu totale'!$D$3:$DH$129,DC$1,0),0)</f>
        <v>0</v>
      </c>
      <c r="DD15" s="13">
        <f>IFERROR(VLOOKUP($G15,'Visu totale'!$D$3:$DH$129,DD$1,0),0)</f>
        <v>0</v>
      </c>
      <c r="DE15" s="13">
        <f>IFERROR(VLOOKUP($G15,'Visu totale'!$D$3:$DH$129,DE$1,0),0)</f>
        <v>0</v>
      </c>
      <c r="DF15" s="13">
        <f>IFERROR(VLOOKUP($G15,'Visu totale'!$D$3:$DH$129,DF$1,0),0)</f>
        <v>0</v>
      </c>
      <c r="DG15" s="13">
        <f>IFERROR(VLOOKUP($G15,'Visu totale'!$D$3:$DH$129,DG$1,0),0)</f>
        <v>0</v>
      </c>
      <c r="DH15" s="13">
        <f>IFERROR(VLOOKUP($G15,'Visu totale'!$D$3:$DH$129,DH$1,0),0)</f>
        <v>0</v>
      </c>
      <c r="DI15" s="13">
        <f>IFERROR(VLOOKUP($G15,'Visu totale'!$D$3:$DH$129,DI$1,0),0)</f>
        <v>0</v>
      </c>
      <c r="DJ15" s="13">
        <f>IFERROR(VLOOKUP($G15,'Visu totale'!$D$3:$DH$129,DJ$1,0),0)</f>
        <v>0</v>
      </c>
      <c r="DK15" s="15">
        <f>IFERROR(VLOOKUP($G15,'Visu totale'!$D$3:$DH$129,DK$1,0),0)</f>
        <v>0</v>
      </c>
    </row>
    <row r="16" spans="1:115" x14ac:dyDescent="0.25">
      <c r="A16" s="13"/>
      <c r="B16" s="13"/>
      <c r="C16" s="13"/>
      <c r="D16" s="16"/>
      <c r="E16" s="13"/>
      <c r="F16" s="13"/>
      <c r="G16" s="17" t="s">
        <v>18</v>
      </c>
      <c r="H16" s="14">
        <f>IFERROR(VLOOKUP($G16,'Visu totale'!$D$3:$DH$129,H$1,0),0)</f>
        <v>0</v>
      </c>
      <c r="I16" s="13">
        <f>IFERROR(VLOOKUP($G16,'Visu totale'!$D$3:$DH$129,I$1,0),0)</f>
        <v>0</v>
      </c>
      <c r="J16" s="13">
        <f>IFERROR(VLOOKUP($G16,'Visu totale'!$D$3:$DH$129,J$1,0),0)</f>
        <v>0</v>
      </c>
      <c r="K16" s="13">
        <f>IFERROR(VLOOKUP($G16,'Visu totale'!$D$3:$DH$129,K$1,0),0)</f>
        <v>0</v>
      </c>
      <c r="L16" s="13">
        <f>IFERROR(VLOOKUP($G16,'Visu totale'!$D$3:$DH$129,L$1,0),0)</f>
        <v>0</v>
      </c>
      <c r="M16" s="13">
        <f>IFERROR(VLOOKUP($G16,'Visu totale'!$D$3:$DH$129,M$1,0),0)</f>
        <v>0</v>
      </c>
      <c r="N16" s="13">
        <f>IFERROR(VLOOKUP($G16,'Visu totale'!$D$3:$DH$129,N$1,0),0)</f>
        <v>0</v>
      </c>
      <c r="O16" s="13">
        <f>IFERROR(VLOOKUP($G16,'Visu totale'!$D$3:$DH$129,O$1,0),0)</f>
        <v>0</v>
      </c>
      <c r="P16" s="13">
        <f>IFERROR(VLOOKUP($G16,'Visu totale'!$D$3:$DH$129,P$1,0),0)</f>
        <v>0</v>
      </c>
      <c r="Q16" s="13">
        <f>IFERROR(VLOOKUP($G16,'Visu totale'!$D$3:$DH$129,Q$1,0),0)</f>
        <v>0</v>
      </c>
      <c r="R16" s="13">
        <f>IFERROR(VLOOKUP($G16,'Visu totale'!$D$3:$DH$129,R$1,0),0)</f>
        <v>0</v>
      </c>
      <c r="S16" s="15">
        <f>IFERROR(VLOOKUP($G16,'Visu totale'!$D$3:$DH$129,S$1,0),0)</f>
        <v>0</v>
      </c>
      <c r="T16" s="14">
        <f>IFERROR(VLOOKUP($G16,'Visu totale'!$D$3:$DH$129,T$1,0),0)</f>
        <v>0</v>
      </c>
      <c r="U16" s="13">
        <f>IFERROR(VLOOKUP($G16,'Visu totale'!$D$3:$DH$129,U$1,0),0)</f>
        <v>0</v>
      </c>
      <c r="V16" s="13">
        <f>IFERROR(VLOOKUP($G16,'Visu totale'!$D$3:$DH$129,V$1,0),0)</f>
        <v>0</v>
      </c>
      <c r="W16" s="13">
        <f>IFERROR(VLOOKUP($G16,'Visu totale'!$D$3:$DH$129,W$1,0),0)</f>
        <v>0</v>
      </c>
      <c r="X16" s="13">
        <f>IFERROR(VLOOKUP($G16,'Visu totale'!$D$3:$DH$129,X$1,0),0)</f>
        <v>0</v>
      </c>
      <c r="Y16" s="13">
        <f>IFERROR(VLOOKUP($G16,'Visu totale'!$D$3:$DH$129,Y$1,0),0)</f>
        <v>0</v>
      </c>
      <c r="Z16" s="13">
        <f>IFERROR(VLOOKUP($G16,'Visu totale'!$D$3:$DH$129,Z$1,0),0)</f>
        <v>0</v>
      </c>
      <c r="AA16" s="13">
        <f>IFERROR(VLOOKUP($G16,'Visu totale'!$D$3:$DH$129,AA$1,0),0)</f>
        <v>0</v>
      </c>
      <c r="AB16" s="13">
        <f>IFERROR(VLOOKUP($G16,'Visu totale'!$D$3:$DH$129,AB$1,0),0)</f>
        <v>0</v>
      </c>
      <c r="AC16" s="13">
        <f>IFERROR(VLOOKUP($G16,'Visu totale'!$D$3:$DH$129,AC$1,0),0)</f>
        <v>0</v>
      </c>
      <c r="AD16" s="13">
        <f>IFERROR(VLOOKUP($G16,'Visu totale'!$D$3:$DH$129,AD$1,0),0)</f>
        <v>0</v>
      </c>
      <c r="AE16" s="15">
        <f>IFERROR(VLOOKUP($G16,'Visu totale'!$D$3:$DH$129,AE$1,0),0)</f>
        <v>0</v>
      </c>
      <c r="AF16" s="14">
        <f>IFERROR(VLOOKUP($G16,'Visu totale'!$D$3:$DH$129,AF$1,0),0)</f>
        <v>0</v>
      </c>
      <c r="AG16" s="13">
        <f>IFERROR(VLOOKUP($G16,'Visu totale'!$D$3:$DH$129,AG$1,0),0)</f>
        <v>0</v>
      </c>
      <c r="AH16" s="13">
        <f>IFERROR(VLOOKUP($G16,'Visu totale'!$D$3:$DH$129,AH$1,0),0)</f>
        <v>0</v>
      </c>
      <c r="AI16" s="13">
        <f>IFERROR(VLOOKUP($G16,'Visu totale'!$D$3:$DH$129,AI$1,0),0)</f>
        <v>0</v>
      </c>
      <c r="AJ16" s="13">
        <f>IFERROR(VLOOKUP($G16,'Visu totale'!$D$3:$DH$129,AJ$1,0),0)</f>
        <v>0</v>
      </c>
      <c r="AK16" s="13">
        <f>IFERROR(VLOOKUP($G16,'Visu totale'!$D$3:$DH$129,AK$1,0),0)</f>
        <v>0</v>
      </c>
      <c r="AL16" s="13">
        <f>IFERROR(VLOOKUP($G16,'Visu totale'!$D$3:$DH$129,AL$1,0),0)</f>
        <v>0</v>
      </c>
      <c r="AM16" s="13">
        <f>IFERROR(VLOOKUP($G16,'Visu totale'!$D$3:$DH$129,AM$1,0),0)</f>
        <v>0</v>
      </c>
      <c r="AN16" s="13">
        <f>IFERROR(VLOOKUP($G16,'Visu totale'!$D$3:$DH$129,AN$1,0),0)</f>
        <v>0</v>
      </c>
      <c r="AO16" s="13">
        <f>IFERROR(VLOOKUP($G16,'Visu totale'!$D$3:$DH$129,AO$1,0),0)</f>
        <v>0</v>
      </c>
      <c r="AP16" s="13">
        <f>IFERROR(VLOOKUP($G16,'Visu totale'!$D$3:$DH$129,AP$1,0),0)</f>
        <v>0</v>
      </c>
      <c r="AQ16" s="15">
        <f>IFERROR(VLOOKUP($G16,'Visu totale'!$D$3:$DH$129,AQ$1,0),0)</f>
        <v>0</v>
      </c>
      <c r="AR16" s="14">
        <f>IFERROR(VLOOKUP($G16,'Visu totale'!$D$3:$DH$129,AR$1,0),0)</f>
        <v>0</v>
      </c>
      <c r="AS16" s="13">
        <f>IFERROR(VLOOKUP($G16,'Visu totale'!$D$3:$DH$129,AS$1,0),0)</f>
        <v>0</v>
      </c>
      <c r="AT16" s="13">
        <f>IFERROR(VLOOKUP($G16,'Visu totale'!$D$3:$DH$129,AT$1,0),0)</f>
        <v>0</v>
      </c>
      <c r="AU16" s="13">
        <f>IFERROR(VLOOKUP($G16,'Visu totale'!$D$3:$DH$129,AU$1,0),0)</f>
        <v>0</v>
      </c>
      <c r="AV16" s="13">
        <f>IFERROR(VLOOKUP($G16,'Visu totale'!$D$3:$DH$129,AV$1,0),0)</f>
        <v>0</v>
      </c>
      <c r="AW16" s="13">
        <f>IFERROR(VLOOKUP($G16,'Visu totale'!$D$3:$DH$129,AW$1,0),0)</f>
        <v>0</v>
      </c>
      <c r="AX16" s="13">
        <f>IFERROR(VLOOKUP($G16,'Visu totale'!$D$3:$DH$129,AX$1,0),0)</f>
        <v>0</v>
      </c>
      <c r="AY16" s="13">
        <f>IFERROR(VLOOKUP($G16,'Visu totale'!$D$3:$DH$129,AY$1,0),0)</f>
        <v>0</v>
      </c>
      <c r="AZ16" s="13">
        <f>IFERROR(VLOOKUP($G16,'Visu totale'!$D$3:$DH$129,AZ$1,0),0)</f>
        <v>0</v>
      </c>
      <c r="BA16" s="13">
        <f>IFERROR(VLOOKUP($G16,'Visu totale'!$D$3:$DH$129,BA$1,0),0)</f>
        <v>0</v>
      </c>
      <c r="BB16" s="13">
        <f>IFERROR(VLOOKUP($G16,'Visu totale'!$D$3:$DH$129,BB$1,0),0)</f>
        <v>0</v>
      </c>
      <c r="BC16" s="15">
        <f>IFERROR(VLOOKUP($G16,'Visu totale'!$D$3:$DH$129,BC$1,0),0)</f>
        <v>0</v>
      </c>
      <c r="BD16" s="14">
        <f>IFERROR(VLOOKUP($G16,'Visu totale'!$D$3:$DH$129,BD$1,0),0)</f>
        <v>0</v>
      </c>
      <c r="BE16" s="13">
        <f>IFERROR(VLOOKUP($G16,'Visu totale'!$D$3:$DH$129,BE$1,0),0)</f>
        <v>0</v>
      </c>
      <c r="BF16" s="13">
        <f>IFERROR(VLOOKUP($G16,'Visu totale'!$D$3:$DH$129,BF$1,0),0)</f>
        <v>0</v>
      </c>
      <c r="BG16" s="13">
        <f>IFERROR(VLOOKUP($G16,'Visu totale'!$D$3:$DH$129,BG$1,0),0)</f>
        <v>0</v>
      </c>
      <c r="BH16" s="13">
        <f>IFERROR(VLOOKUP($G16,'Visu totale'!$D$3:$DH$129,BH$1,0),0)</f>
        <v>0</v>
      </c>
      <c r="BI16" s="13">
        <f>IFERROR(VLOOKUP($G16,'Visu totale'!$D$3:$DH$129,BI$1,0),0)</f>
        <v>0</v>
      </c>
      <c r="BJ16" s="13">
        <f>IFERROR(VLOOKUP($G16,'Visu totale'!$D$3:$DH$129,BJ$1,0),0)</f>
        <v>0</v>
      </c>
      <c r="BK16" s="13">
        <f>IFERROR(VLOOKUP($G16,'Visu totale'!$D$3:$DH$129,BK$1,0),0)</f>
        <v>0</v>
      </c>
      <c r="BL16" s="13">
        <f>IFERROR(VLOOKUP($G16,'Visu totale'!$D$3:$DH$129,BL$1,0),0)</f>
        <v>0</v>
      </c>
      <c r="BM16" s="13">
        <f>IFERROR(VLOOKUP($G16,'Visu totale'!$D$3:$DH$129,BM$1,0),0)</f>
        <v>0</v>
      </c>
      <c r="BN16" s="13">
        <f>IFERROR(VLOOKUP($G16,'Visu totale'!$D$3:$DH$129,BN$1,0),0)</f>
        <v>0</v>
      </c>
      <c r="BO16" s="15">
        <f>IFERROR(VLOOKUP($G16,'Visu totale'!$D$3:$DH$129,BO$1,0),0)</f>
        <v>0</v>
      </c>
      <c r="BP16" s="14">
        <f>IFERROR(VLOOKUP($G16,'Visu totale'!$D$3:$DH$129,BP$1,0),0)</f>
        <v>0</v>
      </c>
      <c r="BQ16" s="13">
        <f>IFERROR(VLOOKUP($G16,'Visu totale'!$D$3:$DH$129,BQ$1,0),0)</f>
        <v>0</v>
      </c>
      <c r="BR16" s="13">
        <f>IFERROR(VLOOKUP($G16,'Visu totale'!$D$3:$DH$129,BR$1,0),0)</f>
        <v>0</v>
      </c>
      <c r="BS16" s="13">
        <f>IFERROR(VLOOKUP($G16,'Visu totale'!$D$3:$DH$129,BS$1,0),0)</f>
        <v>0</v>
      </c>
      <c r="BT16" s="13">
        <f>IFERROR(VLOOKUP($G16,'Visu totale'!$D$3:$DH$129,BT$1,0),0)</f>
        <v>0</v>
      </c>
      <c r="BU16" s="13">
        <f>IFERROR(VLOOKUP($G16,'Visu totale'!$D$3:$DH$129,BU$1,0),0)</f>
        <v>0</v>
      </c>
      <c r="BV16" s="13">
        <f>IFERROR(VLOOKUP($G16,'Visu totale'!$D$3:$DH$129,BV$1,0),0)</f>
        <v>0</v>
      </c>
      <c r="BW16" s="13">
        <f>IFERROR(VLOOKUP($G16,'Visu totale'!$D$3:$DH$129,BW$1,0),0)</f>
        <v>0</v>
      </c>
      <c r="BX16" s="13">
        <f>IFERROR(VLOOKUP($G16,'Visu totale'!$D$3:$DH$129,BX$1,0),0)</f>
        <v>0</v>
      </c>
      <c r="BY16" s="13">
        <f>IFERROR(VLOOKUP($G16,'Visu totale'!$D$3:$DH$129,BY$1,0),0)</f>
        <v>0</v>
      </c>
      <c r="BZ16" s="13">
        <f>IFERROR(VLOOKUP($G16,'Visu totale'!$D$3:$DH$129,BZ$1,0),0)</f>
        <v>0</v>
      </c>
      <c r="CA16" s="15">
        <f>IFERROR(VLOOKUP($G16,'Visu totale'!$D$3:$DH$129,CA$1,0),0)</f>
        <v>0</v>
      </c>
      <c r="CB16" s="14">
        <f>IFERROR(VLOOKUP($G16,'Visu totale'!$D$3:$DH$129,CB$1,0),0)</f>
        <v>0</v>
      </c>
      <c r="CC16" s="13">
        <f>IFERROR(VLOOKUP($G16,'Visu totale'!$D$3:$DH$129,CC$1,0),0)</f>
        <v>0</v>
      </c>
      <c r="CD16" s="13">
        <f>IFERROR(VLOOKUP($G16,'Visu totale'!$D$3:$DH$129,CD$1,0),0)</f>
        <v>0</v>
      </c>
      <c r="CE16" s="13">
        <f>IFERROR(VLOOKUP($G16,'Visu totale'!$D$3:$DH$129,CE$1,0),0)</f>
        <v>0</v>
      </c>
      <c r="CF16" s="13">
        <f>IFERROR(VLOOKUP($G16,'Visu totale'!$D$3:$DH$129,CF$1,0),0)</f>
        <v>0</v>
      </c>
      <c r="CG16" s="13">
        <f>IFERROR(VLOOKUP($G16,'Visu totale'!$D$3:$DH$129,CG$1,0),0)</f>
        <v>0</v>
      </c>
      <c r="CH16" s="13">
        <f>IFERROR(VLOOKUP($G16,'Visu totale'!$D$3:$DH$129,CH$1,0),0)</f>
        <v>0</v>
      </c>
      <c r="CI16" s="13">
        <f>IFERROR(VLOOKUP($G16,'Visu totale'!$D$3:$DH$129,CI$1,0),0)</f>
        <v>0</v>
      </c>
      <c r="CJ16" s="13">
        <f>IFERROR(VLOOKUP($G16,'Visu totale'!$D$3:$DH$129,CJ$1,0),0)</f>
        <v>0</v>
      </c>
      <c r="CK16" s="13">
        <f>IFERROR(VLOOKUP($G16,'Visu totale'!$D$3:$DH$129,CK$1,0),0)</f>
        <v>0</v>
      </c>
      <c r="CL16" s="13">
        <f>IFERROR(VLOOKUP($G16,'Visu totale'!$D$3:$DH$129,CL$1,0),0)</f>
        <v>0</v>
      </c>
      <c r="CM16" s="15">
        <f>IFERROR(VLOOKUP($G16,'Visu totale'!$D$3:$DH$129,CM$1,0),0)</f>
        <v>0</v>
      </c>
      <c r="CN16" s="14">
        <f>IFERROR(VLOOKUP($G16,'Visu totale'!$D$3:$DH$129,CN$1,0),0)</f>
        <v>0</v>
      </c>
      <c r="CO16" s="13">
        <f>IFERROR(VLOOKUP($G16,'Visu totale'!$D$3:$DH$129,CO$1,0),0)</f>
        <v>0</v>
      </c>
      <c r="CP16" s="13">
        <f>IFERROR(VLOOKUP($G16,'Visu totale'!$D$3:$DH$129,CP$1,0),0)</f>
        <v>0</v>
      </c>
      <c r="CQ16" s="13">
        <f>IFERROR(VLOOKUP($G16,'Visu totale'!$D$3:$DH$129,CQ$1,0),0)</f>
        <v>0</v>
      </c>
      <c r="CR16" s="13">
        <f>IFERROR(VLOOKUP($G16,'Visu totale'!$D$3:$DH$129,CR$1,0),0)</f>
        <v>0</v>
      </c>
      <c r="CS16" s="13">
        <f>IFERROR(VLOOKUP($G16,'Visu totale'!$D$3:$DH$129,CS$1,0),0)</f>
        <v>0</v>
      </c>
      <c r="CT16" s="13">
        <f>IFERROR(VLOOKUP($G16,'Visu totale'!$D$3:$DH$129,CT$1,0),0)</f>
        <v>0</v>
      </c>
      <c r="CU16" s="13">
        <f>IFERROR(VLOOKUP($G16,'Visu totale'!$D$3:$DH$129,CU$1,0),0)</f>
        <v>0</v>
      </c>
      <c r="CV16" s="13">
        <f>IFERROR(VLOOKUP($G16,'Visu totale'!$D$3:$DH$129,CV$1,0),0)</f>
        <v>0</v>
      </c>
      <c r="CW16" s="13">
        <f>IFERROR(VLOOKUP($G16,'Visu totale'!$D$3:$DH$129,CW$1,0),0)</f>
        <v>0</v>
      </c>
      <c r="CX16" s="13">
        <f>IFERROR(VLOOKUP($G16,'Visu totale'!$D$3:$DH$129,CX$1,0),0)</f>
        <v>0</v>
      </c>
      <c r="CY16" s="15">
        <f>IFERROR(VLOOKUP($G16,'Visu totale'!$D$3:$DH$129,CY$1,0),0)</f>
        <v>0</v>
      </c>
      <c r="CZ16" s="14">
        <f>IFERROR(VLOOKUP($G16,'Visu totale'!$D$3:$DH$129,CZ$1,0),0)</f>
        <v>0</v>
      </c>
      <c r="DA16" s="13">
        <f>IFERROR(VLOOKUP($G16,'Visu totale'!$D$3:$DH$129,DA$1,0),0)</f>
        <v>0</v>
      </c>
      <c r="DB16" s="13">
        <f>IFERROR(VLOOKUP($G16,'Visu totale'!$D$3:$DH$129,DB$1,0),0)</f>
        <v>0</v>
      </c>
      <c r="DC16" s="13">
        <f>IFERROR(VLOOKUP($G16,'Visu totale'!$D$3:$DH$129,DC$1,0),0)</f>
        <v>0</v>
      </c>
      <c r="DD16" s="13">
        <f>IFERROR(VLOOKUP($G16,'Visu totale'!$D$3:$DH$129,DD$1,0),0)</f>
        <v>0</v>
      </c>
      <c r="DE16" s="13">
        <f>IFERROR(VLOOKUP($G16,'Visu totale'!$D$3:$DH$129,DE$1,0),0)</f>
        <v>0</v>
      </c>
      <c r="DF16" s="13">
        <f>IFERROR(VLOOKUP($G16,'Visu totale'!$D$3:$DH$129,DF$1,0),0)</f>
        <v>0</v>
      </c>
      <c r="DG16" s="13">
        <f>IFERROR(VLOOKUP($G16,'Visu totale'!$D$3:$DH$129,DG$1,0),0)</f>
        <v>0</v>
      </c>
      <c r="DH16" s="13">
        <f>IFERROR(VLOOKUP($G16,'Visu totale'!$D$3:$DH$129,DH$1,0),0)</f>
        <v>0</v>
      </c>
      <c r="DI16" s="13">
        <f>IFERROR(VLOOKUP($G16,'Visu totale'!$D$3:$DH$129,DI$1,0),0)</f>
        <v>0</v>
      </c>
      <c r="DJ16" s="13">
        <f>IFERROR(VLOOKUP($G16,'Visu totale'!$D$3:$DH$129,DJ$1,0),0)</f>
        <v>0</v>
      </c>
      <c r="DK16" s="15">
        <f>IFERROR(VLOOKUP($G16,'Visu totale'!$D$3:$DH$129,DK$1,0),0)</f>
        <v>0</v>
      </c>
    </row>
    <row r="17" spans="1:115" x14ac:dyDescent="0.25">
      <c r="A17" s="13"/>
      <c r="B17" s="13"/>
      <c r="C17" s="13"/>
      <c r="D17" s="16"/>
      <c r="E17" s="13"/>
      <c r="F17" s="13"/>
      <c r="G17" s="17" t="s">
        <v>19</v>
      </c>
      <c r="H17" s="14">
        <f>IFERROR(VLOOKUP($G17,'Visu totale'!$D$3:$DH$129,H$1,0),0)</f>
        <v>0</v>
      </c>
      <c r="I17" s="13">
        <f>IFERROR(VLOOKUP($G17,'Visu totale'!$D$3:$DH$129,I$1,0),0)</f>
        <v>0</v>
      </c>
      <c r="J17" s="13">
        <f>IFERROR(VLOOKUP($G17,'Visu totale'!$D$3:$DH$129,J$1,0),0)</f>
        <v>0</v>
      </c>
      <c r="K17" s="13">
        <f>IFERROR(VLOOKUP($G17,'Visu totale'!$D$3:$DH$129,K$1,0),0)</f>
        <v>0</v>
      </c>
      <c r="L17" s="13">
        <f>IFERROR(VLOOKUP($G17,'Visu totale'!$D$3:$DH$129,L$1,0),0)</f>
        <v>0</v>
      </c>
      <c r="M17" s="13">
        <f>IFERROR(VLOOKUP($G17,'Visu totale'!$D$3:$DH$129,M$1,0),0)</f>
        <v>0</v>
      </c>
      <c r="N17" s="13">
        <f>IFERROR(VLOOKUP($G17,'Visu totale'!$D$3:$DH$129,N$1,0),0)</f>
        <v>0</v>
      </c>
      <c r="O17" s="13">
        <f>IFERROR(VLOOKUP($G17,'Visu totale'!$D$3:$DH$129,O$1,0),0)</f>
        <v>0</v>
      </c>
      <c r="P17" s="13">
        <f>IFERROR(VLOOKUP($G17,'Visu totale'!$D$3:$DH$129,P$1,0),0)</f>
        <v>0</v>
      </c>
      <c r="Q17" s="13">
        <f>IFERROR(VLOOKUP($G17,'Visu totale'!$D$3:$DH$129,Q$1,0),0)</f>
        <v>0</v>
      </c>
      <c r="R17" s="13">
        <f>IFERROR(VLOOKUP($G17,'Visu totale'!$D$3:$DH$129,R$1,0),0)</f>
        <v>0</v>
      </c>
      <c r="S17" s="15">
        <f>IFERROR(VLOOKUP($G17,'Visu totale'!$D$3:$DH$129,S$1,0),0)</f>
        <v>0</v>
      </c>
      <c r="T17" s="14">
        <f>IFERROR(VLOOKUP($G17,'Visu totale'!$D$3:$DH$129,T$1,0),0)</f>
        <v>0</v>
      </c>
      <c r="U17" s="13">
        <f>IFERROR(VLOOKUP($G17,'Visu totale'!$D$3:$DH$129,U$1,0),0)</f>
        <v>0</v>
      </c>
      <c r="V17" s="13">
        <f>IFERROR(VLOOKUP($G17,'Visu totale'!$D$3:$DH$129,V$1,0),0)</f>
        <v>0</v>
      </c>
      <c r="W17" s="13">
        <f>IFERROR(VLOOKUP($G17,'Visu totale'!$D$3:$DH$129,W$1,0),0)</f>
        <v>0</v>
      </c>
      <c r="X17" s="13">
        <f>IFERROR(VLOOKUP($G17,'Visu totale'!$D$3:$DH$129,X$1,0),0)</f>
        <v>0</v>
      </c>
      <c r="Y17" s="13">
        <f>IFERROR(VLOOKUP($G17,'Visu totale'!$D$3:$DH$129,Y$1,0),0)</f>
        <v>0</v>
      </c>
      <c r="Z17" s="13">
        <f>IFERROR(VLOOKUP($G17,'Visu totale'!$D$3:$DH$129,Z$1,0),0)</f>
        <v>0</v>
      </c>
      <c r="AA17" s="13">
        <f>IFERROR(VLOOKUP($G17,'Visu totale'!$D$3:$DH$129,AA$1,0),0)</f>
        <v>0</v>
      </c>
      <c r="AB17" s="13">
        <f>IFERROR(VLOOKUP($G17,'Visu totale'!$D$3:$DH$129,AB$1,0),0)</f>
        <v>0</v>
      </c>
      <c r="AC17" s="13">
        <f>IFERROR(VLOOKUP($G17,'Visu totale'!$D$3:$DH$129,AC$1,0),0)</f>
        <v>0</v>
      </c>
      <c r="AD17" s="13">
        <f>IFERROR(VLOOKUP($G17,'Visu totale'!$D$3:$DH$129,AD$1,0),0)</f>
        <v>0</v>
      </c>
      <c r="AE17" s="15">
        <f>IFERROR(VLOOKUP($G17,'Visu totale'!$D$3:$DH$129,AE$1,0),0)</f>
        <v>0</v>
      </c>
      <c r="AF17" s="14">
        <f>IFERROR(VLOOKUP($G17,'Visu totale'!$D$3:$DH$129,AF$1,0),0)</f>
        <v>0</v>
      </c>
      <c r="AG17" s="13">
        <f>IFERROR(VLOOKUP($G17,'Visu totale'!$D$3:$DH$129,AG$1,0),0)</f>
        <v>0</v>
      </c>
      <c r="AH17" s="13">
        <f>IFERROR(VLOOKUP($G17,'Visu totale'!$D$3:$DH$129,AH$1,0),0)</f>
        <v>0</v>
      </c>
      <c r="AI17" s="13">
        <f>IFERROR(VLOOKUP($G17,'Visu totale'!$D$3:$DH$129,AI$1,0),0)</f>
        <v>0</v>
      </c>
      <c r="AJ17" s="13">
        <f>IFERROR(VLOOKUP($G17,'Visu totale'!$D$3:$DH$129,AJ$1,0),0)</f>
        <v>0</v>
      </c>
      <c r="AK17" s="13">
        <f>IFERROR(VLOOKUP($G17,'Visu totale'!$D$3:$DH$129,AK$1,0),0)</f>
        <v>0</v>
      </c>
      <c r="AL17" s="13">
        <f>IFERROR(VLOOKUP($G17,'Visu totale'!$D$3:$DH$129,AL$1,0),0)</f>
        <v>0</v>
      </c>
      <c r="AM17" s="13">
        <f>IFERROR(VLOOKUP($G17,'Visu totale'!$D$3:$DH$129,AM$1,0),0)</f>
        <v>0</v>
      </c>
      <c r="AN17" s="13">
        <f>IFERROR(VLOOKUP($G17,'Visu totale'!$D$3:$DH$129,AN$1,0),0)</f>
        <v>0</v>
      </c>
      <c r="AO17" s="13">
        <f>IFERROR(VLOOKUP($G17,'Visu totale'!$D$3:$DH$129,AO$1,0),0)</f>
        <v>0</v>
      </c>
      <c r="AP17" s="13">
        <f>IFERROR(VLOOKUP($G17,'Visu totale'!$D$3:$DH$129,AP$1,0),0)</f>
        <v>0</v>
      </c>
      <c r="AQ17" s="15">
        <f>IFERROR(VLOOKUP($G17,'Visu totale'!$D$3:$DH$129,AQ$1,0),0)</f>
        <v>0</v>
      </c>
      <c r="AR17" s="14">
        <f>IFERROR(VLOOKUP($G17,'Visu totale'!$D$3:$DH$129,AR$1,0),0)</f>
        <v>0</v>
      </c>
      <c r="AS17" s="13">
        <f>IFERROR(VLOOKUP($G17,'Visu totale'!$D$3:$DH$129,AS$1,0),0)</f>
        <v>0</v>
      </c>
      <c r="AT17" s="13">
        <f>IFERROR(VLOOKUP($G17,'Visu totale'!$D$3:$DH$129,AT$1,0),0)</f>
        <v>0</v>
      </c>
      <c r="AU17" s="13">
        <f>IFERROR(VLOOKUP($G17,'Visu totale'!$D$3:$DH$129,AU$1,0),0)</f>
        <v>0</v>
      </c>
      <c r="AV17" s="13">
        <f>IFERROR(VLOOKUP($G17,'Visu totale'!$D$3:$DH$129,AV$1,0),0)</f>
        <v>0</v>
      </c>
      <c r="AW17" s="13">
        <f>IFERROR(VLOOKUP($G17,'Visu totale'!$D$3:$DH$129,AW$1,0),0)</f>
        <v>0</v>
      </c>
      <c r="AX17" s="13">
        <f>IFERROR(VLOOKUP($G17,'Visu totale'!$D$3:$DH$129,AX$1,0),0)</f>
        <v>0</v>
      </c>
      <c r="AY17" s="13">
        <f>IFERROR(VLOOKUP($G17,'Visu totale'!$D$3:$DH$129,AY$1,0),0)</f>
        <v>0</v>
      </c>
      <c r="AZ17" s="13">
        <f>IFERROR(VLOOKUP($G17,'Visu totale'!$D$3:$DH$129,AZ$1,0),0)</f>
        <v>0</v>
      </c>
      <c r="BA17" s="13">
        <f>IFERROR(VLOOKUP($G17,'Visu totale'!$D$3:$DH$129,BA$1,0),0)</f>
        <v>0</v>
      </c>
      <c r="BB17" s="13">
        <f>IFERROR(VLOOKUP($G17,'Visu totale'!$D$3:$DH$129,BB$1,0),0)</f>
        <v>0</v>
      </c>
      <c r="BC17" s="15">
        <f>IFERROR(VLOOKUP($G17,'Visu totale'!$D$3:$DH$129,BC$1,0),0)</f>
        <v>0</v>
      </c>
      <c r="BD17" s="14">
        <f>IFERROR(VLOOKUP($G17,'Visu totale'!$D$3:$DH$129,BD$1,0),0)</f>
        <v>0</v>
      </c>
      <c r="BE17" s="13">
        <f>IFERROR(VLOOKUP($G17,'Visu totale'!$D$3:$DH$129,BE$1,0),0)</f>
        <v>0</v>
      </c>
      <c r="BF17" s="13">
        <f>IFERROR(VLOOKUP($G17,'Visu totale'!$D$3:$DH$129,BF$1,0),0)</f>
        <v>0</v>
      </c>
      <c r="BG17" s="13">
        <f>IFERROR(VLOOKUP($G17,'Visu totale'!$D$3:$DH$129,BG$1,0),0)</f>
        <v>0</v>
      </c>
      <c r="BH17" s="13">
        <f>IFERROR(VLOOKUP($G17,'Visu totale'!$D$3:$DH$129,BH$1,0),0)</f>
        <v>0</v>
      </c>
      <c r="BI17" s="13">
        <f>IFERROR(VLOOKUP($G17,'Visu totale'!$D$3:$DH$129,BI$1,0),0)</f>
        <v>0</v>
      </c>
      <c r="BJ17" s="13">
        <f>IFERROR(VLOOKUP($G17,'Visu totale'!$D$3:$DH$129,BJ$1,0),0)</f>
        <v>0</v>
      </c>
      <c r="BK17" s="13">
        <f>IFERROR(VLOOKUP($G17,'Visu totale'!$D$3:$DH$129,BK$1,0),0)</f>
        <v>0</v>
      </c>
      <c r="BL17" s="13">
        <f>IFERROR(VLOOKUP($G17,'Visu totale'!$D$3:$DH$129,BL$1,0),0)</f>
        <v>0</v>
      </c>
      <c r="BM17" s="13">
        <f>IFERROR(VLOOKUP($G17,'Visu totale'!$D$3:$DH$129,BM$1,0),0)</f>
        <v>0</v>
      </c>
      <c r="BN17" s="13">
        <f>IFERROR(VLOOKUP($G17,'Visu totale'!$D$3:$DH$129,BN$1,0),0)</f>
        <v>0</v>
      </c>
      <c r="BO17" s="15">
        <f>IFERROR(VLOOKUP($G17,'Visu totale'!$D$3:$DH$129,BO$1,0),0)</f>
        <v>0</v>
      </c>
      <c r="BP17" s="14">
        <f>IFERROR(VLOOKUP($G17,'Visu totale'!$D$3:$DH$129,BP$1,0),0)</f>
        <v>0</v>
      </c>
      <c r="BQ17" s="13">
        <f>IFERROR(VLOOKUP($G17,'Visu totale'!$D$3:$DH$129,BQ$1,0),0)</f>
        <v>0</v>
      </c>
      <c r="BR17" s="13">
        <f>IFERROR(VLOOKUP($G17,'Visu totale'!$D$3:$DH$129,BR$1,0),0)</f>
        <v>0</v>
      </c>
      <c r="BS17" s="13">
        <f>IFERROR(VLOOKUP($G17,'Visu totale'!$D$3:$DH$129,BS$1,0),0)</f>
        <v>0</v>
      </c>
      <c r="BT17" s="13">
        <f>IFERROR(VLOOKUP($G17,'Visu totale'!$D$3:$DH$129,BT$1,0),0)</f>
        <v>0</v>
      </c>
      <c r="BU17" s="13">
        <f>IFERROR(VLOOKUP($G17,'Visu totale'!$D$3:$DH$129,BU$1,0),0)</f>
        <v>0</v>
      </c>
      <c r="BV17" s="13">
        <f>IFERROR(VLOOKUP($G17,'Visu totale'!$D$3:$DH$129,BV$1,0),0)</f>
        <v>0</v>
      </c>
      <c r="BW17" s="13">
        <f>IFERROR(VLOOKUP($G17,'Visu totale'!$D$3:$DH$129,BW$1,0),0)</f>
        <v>0</v>
      </c>
      <c r="BX17" s="13">
        <f>IFERROR(VLOOKUP($G17,'Visu totale'!$D$3:$DH$129,BX$1,0),0)</f>
        <v>0</v>
      </c>
      <c r="BY17" s="13">
        <f>IFERROR(VLOOKUP($G17,'Visu totale'!$D$3:$DH$129,BY$1,0),0)</f>
        <v>0</v>
      </c>
      <c r="BZ17" s="13">
        <f>IFERROR(VLOOKUP($G17,'Visu totale'!$D$3:$DH$129,BZ$1,0),0)</f>
        <v>0</v>
      </c>
      <c r="CA17" s="15">
        <f>IFERROR(VLOOKUP($G17,'Visu totale'!$D$3:$DH$129,CA$1,0),0)</f>
        <v>0</v>
      </c>
      <c r="CB17" s="14">
        <f>IFERROR(VLOOKUP($G17,'Visu totale'!$D$3:$DH$129,CB$1,0),0)</f>
        <v>0</v>
      </c>
      <c r="CC17" s="13">
        <f>IFERROR(VLOOKUP($G17,'Visu totale'!$D$3:$DH$129,CC$1,0),0)</f>
        <v>0</v>
      </c>
      <c r="CD17" s="13">
        <f>IFERROR(VLOOKUP($G17,'Visu totale'!$D$3:$DH$129,CD$1,0),0)</f>
        <v>0</v>
      </c>
      <c r="CE17" s="13">
        <f>IFERROR(VLOOKUP($G17,'Visu totale'!$D$3:$DH$129,CE$1,0),0)</f>
        <v>0</v>
      </c>
      <c r="CF17" s="13">
        <f>IFERROR(VLOOKUP($G17,'Visu totale'!$D$3:$DH$129,CF$1,0),0)</f>
        <v>0</v>
      </c>
      <c r="CG17" s="13">
        <f>IFERROR(VLOOKUP($G17,'Visu totale'!$D$3:$DH$129,CG$1,0),0)</f>
        <v>0</v>
      </c>
      <c r="CH17" s="13">
        <f>IFERROR(VLOOKUP($G17,'Visu totale'!$D$3:$DH$129,CH$1,0),0)</f>
        <v>0</v>
      </c>
      <c r="CI17" s="13">
        <f>IFERROR(VLOOKUP($G17,'Visu totale'!$D$3:$DH$129,CI$1,0),0)</f>
        <v>0</v>
      </c>
      <c r="CJ17" s="13">
        <f>IFERROR(VLOOKUP($G17,'Visu totale'!$D$3:$DH$129,CJ$1,0),0)</f>
        <v>0</v>
      </c>
      <c r="CK17" s="13">
        <f>IFERROR(VLOOKUP($G17,'Visu totale'!$D$3:$DH$129,CK$1,0),0)</f>
        <v>0</v>
      </c>
      <c r="CL17" s="13">
        <f>IFERROR(VLOOKUP($G17,'Visu totale'!$D$3:$DH$129,CL$1,0),0)</f>
        <v>0</v>
      </c>
      <c r="CM17" s="15">
        <f>IFERROR(VLOOKUP($G17,'Visu totale'!$D$3:$DH$129,CM$1,0),0)</f>
        <v>0</v>
      </c>
      <c r="CN17" s="14">
        <f>IFERROR(VLOOKUP($G17,'Visu totale'!$D$3:$DH$129,CN$1,0),0)</f>
        <v>0</v>
      </c>
      <c r="CO17" s="13">
        <f>IFERROR(VLOOKUP($G17,'Visu totale'!$D$3:$DH$129,CO$1,0),0)</f>
        <v>0</v>
      </c>
      <c r="CP17" s="13">
        <f>IFERROR(VLOOKUP($G17,'Visu totale'!$D$3:$DH$129,CP$1,0),0)</f>
        <v>0</v>
      </c>
      <c r="CQ17" s="13">
        <f>IFERROR(VLOOKUP($G17,'Visu totale'!$D$3:$DH$129,CQ$1,0),0)</f>
        <v>0</v>
      </c>
      <c r="CR17" s="13">
        <f>IFERROR(VLOOKUP($G17,'Visu totale'!$D$3:$DH$129,CR$1,0),0)</f>
        <v>0</v>
      </c>
      <c r="CS17" s="13">
        <f>IFERROR(VLOOKUP($G17,'Visu totale'!$D$3:$DH$129,CS$1,0),0)</f>
        <v>0</v>
      </c>
      <c r="CT17" s="13">
        <f>IFERROR(VLOOKUP($G17,'Visu totale'!$D$3:$DH$129,CT$1,0),0)</f>
        <v>0</v>
      </c>
      <c r="CU17" s="13">
        <f>IFERROR(VLOOKUP($G17,'Visu totale'!$D$3:$DH$129,CU$1,0),0)</f>
        <v>0</v>
      </c>
      <c r="CV17" s="13">
        <f>IFERROR(VLOOKUP($G17,'Visu totale'!$D$3:$DH$129,CV$1,0),0)</f>
        <v>0</v>
      </c>
      <c r="CW17" s="13">
        <f>IFERROR(VLOOKUP($G17,'Visu totale'!$D$3:$DH$129,CW$1,0),0)</f>
        <v>0</v>
      </c>
      <c r="CX17" s="13">
        <f>IFERROR(VLOOKUP($G17,'Visu totale'!$D$3:$DH$129,CX$1,0),0)</f>
        <v>0</v>
      </c>
      <c r="CY17" s="15">
        <f>IFERROR(VLOOKUP($G17,'Visu totale'!$D$3:$DH$129,CY$1,0),0)</f>
        <v>0</v>
      </c>
      <c r="CZ17" s="14">
        <f>IFERROR(VLOOKUP($G17,'Visu totale'!$D$3:$DH$129,CZ$1,0),0)</f>
        <v>0</v>
      </c>
      <c r="DA17" s="13">
        <f>IFERROR(VLOOKUP($G17,'Visu totale'!$D$3:$DH$129,DA$1,0),0)</f>
        <v>0</v>
      </c>
      <c r="DB17" s="13">
        <f>IFERROR(VLOOKUP($G17,'Visu totale'!$D$3:$DH$129,DB$1,0),0)</f>
        <v>0</v>
      </c>
      <c r="DC17" s="13">
        <f>IFERROR(VLOOKUP($G17,'Visu totale'!$D$3:$DH$129,DC$1,0),0)</f>
        <v>0</v>
      </c>
      <c r="DD17" s="13">
        <f>IFERROR(VLOOKUP($G17,'Visu totale'!$D$3:$DH$129,DD$1,0),0)</f>
        <v>0</v>
      </c>
      <c r="DE17" s="13">
        <f>IFERROR(VLOOKUP($G17,'Visu totale'!$D$3:$DH$129,DE$1,0),0)</f>
        <v>0</v>
      </c>
      <c r="DF17" s="13">
        <f>IFERROR(VLOOKUP($G17,'Visu totale'!$D$3:$DH$129,DF$1,0),0)</f>
        <v>0</v>
      </c>
      <c r="DG17" s="13">
        <f>IFERROR(VLOOKUP($G17,'Visu totale'!$D$3:$DH$129,DG$1,0),0)</f>
        <v>0</v>
      </c>
      <c r="DH17" s="13">
        <f>IFERROR(VLOOKUP($G17,'Visu totale'!$D$3:$DH$129,DH$1,0),0)</f>
        <v>0</v>
      </c>
      <c r="DI17" s="13">
        <f>IFERROR(VLOOKUP($G17,'Visu totale'!$D$3:$DH$129,DI$1,0),0)</f>
        <v>0</v>
      </c>
      <c r="DJ17" s="13">
        <f>IFERROR(VLOOKUP($G17,'Visu totale'!$D$3:$DH$129,DJ$1,0),0)</f>
        <v>0</v>
      </c>
      <c r="DK17" s="15">
        <f>IFERROR(VLOOKUP($G17,'Visu totale'!$D$3:$DH$129,DK$1,0),0)</f>
        <v>0</v>
      </c>
    </row>
    <row r="18" spans="1:115" x14ac:dyDescent="0.25">
      <c r="A18" s="13"/>
      <c r="B18" s="13"/>
      <c r="C18" s="13"/>
      <c r="D18" s="16"/>
      <c r="E18" s="13"/>
      <c r="F18" s="13"/>
      <c r="G18" s="17" t="s">
        <v>20</v>
      </c>
      <c r="H18" s="14">
        <f>IFERROR(VLOOKUP($G18,'Visu totale'!$D$3:$DH$129,H$1,0),0)</f>
        <v>0</v>
      </c>
      <c r="I18" s="13">
        <f>IFERROR(VLOOKUP($G18,'Visu totale'!$D$3:$DH$129,I$1,0),0)</f>
        <v>0</v>
      </c>
      <c r="J18" s="13">
        <f>IFERROR(VLOOKUP($G18,'Visu totale'!$D$3:$DH$129,J$1,0),0)</f>
        <v>0</v>
      </c>
      <c r="K18" s="13">
        <f>IFERROR(VLOOKUP($G18,'Visu totale'!$D$3:$DH$129,K$1,0),0)</f>
        <v>0</v>
      </c>
      <c r="L18" s="13">
        <f>IFERROR(VLOOKUP($G18,'Visu totale'!$D$3:$DH$129,L$1,0),0)</f>
        <v>0</v>
      </c>
      <c r="M18" s="13">
        <f>IFERROR(VLOOKUP($G18,'Visu totale'!$D$3:$DH$129,M$1,0),0)</f>
        <v>0</v>
      </c>
      <c r="N18" s="13">
        <f>IFERROR(VLOOKUP($G18,'Visu totale'!$D$3:$DH$129,N$1,0),0)</f>
        <v>0</v>
      </c>
      <c r="O18" s="13">
        <f>IFERROR(VLOOKUP($G18,'Visu totale'!$D$3:$DH$129,O$1,0),0)</f>
        <v>0</v>
      </c>
      <c r="P18" s="13">
        <f>IFERROR(VLOOKUP($G18,'Visu totale'!$D$3:$DH$129,P$1,0),0)</f>
        <v>0</v>
      </c>
      <c r="Q18" s="13">
        <f>IFERROR(VLOOKUP($G18,'Visu totale'!$D$3:$DH$129,Q$1,0),0)</f>
        <v>0</v>
      </c>
      <c r="R18" s="13">
        <f>IFERROR(VLOOKUP($G18,'Visu totale'!$D$3:$DH$129,R$1,0),0)</f>
        <v>0</v>
      </c>
      <c r="S18" s="15">
        <f>IFERROR(VLOOKUP($G18,'Visu totale'!$D$3:$DH$129,S$1,0),0)</f>
        <v>0</v>
      </c>
      <c r="T18" s="14">
        <f>IFERROR(VLOOKUP($G18,'Visu totale'!$D$3:$DH$129,T$1,0),0)</f>
        <v>0</v>
      </c>
      <c r="U18" s="13">
        <f>IFERROR(VLOOKUP($G18,'Visu totale'!$D$3:$DH$129,U$1,0),0)</f>
        <v>0</v>
      </c>
      <c r="V18" s="13">
        <f>IFERROR(VLOOKUP($G18,'Visu totale'!$D$3:$DH$129,V$1,0),0)</f>
        <v>0</v>
      </c>
      <c r="W18" s="13">
        <f>IFERROR(VLOOKUP($G18,'Visu totale'!$D$3:$DH$129,W$1,0),0)</f>
        <v>0</v>
      </c>
      <c r="X18" s="13">
        <f>IFERROR(VLOOKUP($G18,'Visu totale'!$D$3:$DH$129,X$1,0),0)</f>
        <v>0</v>
      </c>
      <c r="Y18" s="13">
        <f>IFERROR(VLOOKUP($G18,'Visu totale'!$D$3:$DH$129,Y$1,0),0)</f>
        <v>0</v>
      </c>
      <c r="Z18" s="13">
        <f>IFERROR(VLOOKUP($G18,'Visu totale'!$D$3:$DH$129,Z$1,0),0)</f>
        <v>0</v>
      </c>
      <c r="AA18" s="13">
        <f>IFERROR(VLOOKUP($G18,'Visu totale'!$D$3:$DH$129,AA$1,0),0)</f>
        <v>0</v>
      </c>
      <c r="AB18" s="13">
        <f>IFERROR(VLOOKUP($G18,'Visu totale'!$D$3:$DH$129,AB$1,0),0)</f>
        <v>0</v>
      </c>
      <c r="AC18" s="13">
        <f>IFERROR(VLOOKUP($G18,'Visu totale'!$D$3:$DH$129,AC$1,0),0)</f>
        <v>0</v>
      </c>
      <c r="AD18" s="13">
        <f>IFERROR(VLOOKUP($G18,'Visu totale'!$D$3:$DH$129,AD$1,0),0)</f>
        <v>0</v>
      </c>
      <c r="AE18" s="15">
        <f>IFERROR(VLOOKUP($G18,'Visu totale'!$D$3:$DH$129,AE$1,0),0)</f>
        <v>0</v>
      </c>
      <c r="AF18" s="14">
        <f>IFERROR(VLOOKUP($G18,'Visu totale'!$D$3:$DH$129,AF$1,0),0)</f>
        <v>0</v>
      </c>
      <c r="AG18" s="13">
        <f>IFERROR(VLOOKUP($G18,'Visu totale'!$D$3:$DH$129,AG$1,0),0)</f>
        <v>0</v>
      </c>
      <c r="AH18" s="13">
        <f>IFERROR(VLOOKUP($G18,'Visu totale'!$D$3:$DH$129,AH$1,0),0)</f>
        <v>0</v>
      </c>
      <c r="AI18" s="13">
        <f>IFERROR(VLOOKUP($G18,'Visu totale'!$D$3:$DH$129,AI$1,0),0)</f>
        <v>0</v>
      </c>
      <c r="AJ18" s="13">
        <f>IFERROR(VLOOKUP($G18,'Visu totale'!$D$3:$DH$129,AJ$1,0),0)</f>
        <v>0</v>
      </c>
      <c r="AK18" s="13">
        <f>IFERROR(VLOOKUP($G18,'Visu totale'!$D$3:$DH$129,AK$1,0),0)</f>
        <v>0</v>
      </c>
      <c r="AL18" s="13">
        <f>IFERROR(VLOOKUP($G18,'Visu totale'!$D$3:$DH$129,AL$1,0),0)</f>
        <v>0</v>
      </c>
      <c r="AM18" s="13">
        <f>IFERROR(VLOOKUP($G18,'Visu totale'!$D$3:$DH$129,AM$1,0),0)</f>
        <v>0</v>
      </c>
      <c r="AN18" s="13">
        <f>IFERROR(VLOOKUP($G18,'Visu totale'!$D$3:$DH$129,AN$1,0),0)</f>
        <v>0</v>
      </c>
      <c r="AO18" s="13">
        <f>IFERROR(VLOOKUP($G18,'Visu totale'!$D$3:$DH$129,AO$1,0),0)</f>
        <v>0</v>
      </c>
      <c r="AP18" s="13">
        <f>IFERROR(VLOOKUP($G18,'Visu totale'!$D$3:$DH$129,AP$1,0),0)</f>
        <v>0</v>
      </c>
      <c r="AQ18" s="15">
        <f>IFERROR(VLOOKUP($G18,'Visu totale'!$D$3:$DH$129,AQ$1,0),0)</f>
        <v>0</v>
      </c>
      <c r="AR18" s="14">
        <f>IFERROR(VLOOKUP($G18,'Visu totale'!$D$3:$DH$129,AR$1,0),0)</f>
        <v>0</v>
      </c>
      <c r="AS18" s="13">
        <f>IFERROR(VLOOKUP($G18,'Visu totale'!$D$3:$DH$129,AS$1,0),0)</f>
        <v>0</v>
      </c>
      <c r="AT18" s="13">
        <f>IFERROR(VLOOKUP($G18,'Visu totale'!$D$3:$DH$129,AT$1,0),0)</f>
        <v>0</v>
      </c>
      <c r="AU18" s="13">
        <f>IFERROR(VLOOKUP($G18,'Visu totale'!$D$3:$DH$129,AU$1,0),0)</f>
        <v>0</v>
      </c>
      <c r="AV18" s="13">
        <f>IFERROR(VLOOKUP($G18,'Visu totale'!$D$3:$DH$129,AV$1,0),0)</f>
        <v>0</v>
      </c>
      <c r="AW18" s="13">
        <f>IFERROR(VLOOKUP($G18,'Visu totale'!$D$3:$DH$129,AW$1,0),0)</f>
        <v>0</v>
      </c>
      <c r="AX18" s="13">
        <f>IFERROR(VLOOKUP($G18,'Visu totale'!$D$3:$DH$129,AX$1,0),0)</f>
        <v>0</v>
      </c>
      <c r="AY18" s="13">
        <f>IFERROR(VLOOKUP($G18,'Visu totale'!$D$3:$DH$129,AY$1,0),0)</f>
        <v>0</v>
      </c>
      <c r="AZ18" s="13">
        <f>IFERROR(VLOOKUP($G18,'Visu totale'!$D$3:$DH$129,AZ$1,0),0)</f>
        <v>0</v>
      </c>
      <c r="BA18" s="13">
        <f>IFERROR(VLOOKUP($G18,'Visu totale'!$D$3:$DH$129,BA$1,0),0)</f>
        <v>0</v>
      </c>
      <c r="BB18" s="13">
        <f>IFERROR(VLOOKUP($G18,'Visu totale'!$D$3:$DH$129,BB$1,0),0)</f>
        <v>0</v>
      </c>
      <c r="BC18" s="15">
        <f>IFERROR(VLOOKUP($G18,'Visu totale'!$D$3:$DH$129,BC$1,0),0)</f>
        <v>0</v>
      </c>
      <c r="BD18" s="14">
        <f>IFERROR(VLOOKUP($G18,'Visu totale'!$D$3:$DH$129,BD$1,0),0)</f>
        <v>0</v>
      </c>
      <c r="BE18" s="13">
        <f>IFERROR(VLOOKUP($G18,'Visu totale'!$D$3:$DH$129,BE$1,0),0)</f>
        <v>0</v>
      </c>
      <c r="BF18" s="13">
        <f>IFERROR(VLOOKUP($G18,'Visu totale'!$D$3:$DH$129,BF$1,0),0)</f>
        <v>0</v>
      </c>
      <c r="BG18" s="13">
        <f>IFERROR(VLOOKUP($G18,'Visu totale'!$D$3:$DH$129,BG$1,0),0)</f>
        <v>0</v>
      </c>
      <c r="BH18" s="13">
        <f>IFERROR(VLOOKUP($G18,'Visu totale'!$D$3:$DH$129,BH$1,0),0)</f>
        <v>0</v>
      </c>
      <c r="BI18" s="13">
        <f>IFERROR(VLOOKUP($G18,'Visu totale'!$D$3:$DH$129,BI$1,0),0)</f>
        <v>0</v>
      </c>
      <c r="BJ18" s="13">
        <f>IFERROR(VLOOKUP($G18,'Visu totale'!$D$3:$DH$129,BJ$1,0),0)</f>
        <v>0</v>
      </c>
      <c r="BK18" s="13">
        <f>IFERROR(VLOOKUP($G18,'Visu totale'!$D$3:$DH$129,BK$1,0),0)</f>
        <v>0</v>
      </c>
      <c r="BL18" s="13">
        <f>IFERROR(VLOOKUP($G18,'Visu totale'!$D$3:$DH$129,BL$1,0),0)</f>
        <v>0</v>
      </c>
      <c r="BM18" s="13">
        <f>IFERROR(VLOOKUP($G18,'Visu totale'!$D$3:$DH$129,BM$1,0),0)</f>
        <v>0</v>
      </c>
      <c r="BN18" s="13">
        <f>IFERROR(VLOOKUP($G18,'Visu totale'!$D$3:$DH$129,BN$1,0),0)</f>
        <v>0</v>
      </c>
      <c r="BO18" s="15">
        <f>IFERROR(VLOOKUP($G18,'Visu totale'!$D$3:$DH$129,BO$1,0),0)</f>
        <v>0</v>
      </c>
      <c r="BP18" s="14">
        <f>IFERROR(VLOOKUP($G18,'Visu totale'!$D$3:$DH$129,BP$1,0),0)</f>
        <v>0</v>
      </c>
      <c r="BQ18" s="13">
        <f>IFERROR(VLOOKUP($G18,'Visu totale'!$D$3:$DH$129,BQ$1,0),0)</f>
        <v>0</v>
      </c>
      <c r="BR18" s="13">
        <f>IFERROR(VLOOKUP($G18,'Visu totale'!$D$3:$DH$129,BR$1,0),0)</f>
        <v>0</v>
      </c>
      <c r="BS18" s="13">
        <f>IFERROR(VLOOKUP($G18,'Visu totale'!$D$3:$DH$129,BS$1,0),0)</f>
        <v>0</v>
      </c>
      <c r="BT18" s="13">
        <f>IFERROR(VLOOKUP($G18,'Visu totale'!$D$3:$DH$129,BT$1,0),0)</f>
        <v>0</v>
      </c>
      <c r="BU18" s="13">
        <f>IFERROR(VLOOKUP($G18,'Visu totale'!$D$3:$DH$129,BU$1,0),0)</f>
        <v>0</v>
      </c>
      <c r="BV18" s="13">
        <f>IFERROR(VLOOKUP($G18,'Visu totale'!$D$3:$DH$129,BV$1,0),0)</f>
        <v>0</v>
      </c>
      <c r="BW18" s="13">
        <f>IFERROR(VLOOKUP($G18,'Visu totale'!$D$3:$DH$129,BW$1,0),0)</f>
        <v>0</v>
      </c>
      <c r="BX18" s="13">
        <f>IFERROR(VLOOKUP($G18,'Visu totale'!$D$3:$DH$129,BX$1,0),0)</f>
        <v>0</v>
      </c>
      <c r="BY18" s="13">
        <f>IFERROR(VLOOKUP($G18,'Visu totale'!$D$3:$DH$129,BY$1,0),0)</f>
        <v>0</v>
      </c>
      <c r="BZ18" s="13">
        <f>IFERROR(VLOOKUP($G18,'Visu totale'!$D$3:$DH$129,BZ$1,0),0)</f>
        <v>0</v>
      </c>
      <c r="CA18" s="15">
        <f>IFERROR(VLOOKUP($G18,'Visu totale'!$D$3:$DH$129,CA$1,0),0)</f>
        <v>0</v>
      </c>
      <c r="CB18" s="14">
        <f>IFERROR(VLOOKUP($G18,'Visu totale'!$D$3:$DH$129,CB$1,0),0)</f>
        <v>0</v>
      </c>
      <c r="CC18" s="13">
        <f>IFERROR(VLOOKUP($G18,'Visu totale'!$D$3:$DH$129,CC$1,0),0)</f>
        <v>0</v>
      </c>
      <c r="CD18" s="13">
        <f>IFERROR(VLOOKUP($G18,'Visu totale'!$D$3:$DH$129,CD$1,0),0)</f>
        <v>0</v>
      </c>
      <c r="CE18" s="13">
        <f>IFERROR(VLOOKUP($G18,'Visu totale'!$D$3:$DH$129,CE$1,0),0)</f>
        <v>0</v>
      </c>
      <c r="CF18" s="13">
        <f>IFERROR(VLOOKUP($G18,'Visu totale'!$D$3:$DH$129,CF$1,0),0)</f>
        <v>0</v>
      </c>
      <c r="CG18" s="13">
        <f>IFERROR(VLOOKUP($G18,'Visu totale'!$D$3:$DH$129,CG$1,0),0)</f>
        <v>0</v>
      </c>
      <c r="CH18" s="13">
        <f>IFERROR(VLOOKUP($G18,'Visu totale'!$D$3:$DH$129,CH$1,0),0)</f>
        <v>0</v>
      </c>
      <c r="CI18" s="13">
        <f>IFERROR(VLOOKUP($G18,'Visu totale'!$D$3:$DH$129,CI$1,0),0)</f>
        <v>0</v>
      </c>
      <c r="CJ18" s="13">
        <f>IFERROR(VLOOKUP($G18,'Visu totale'!$D$3:$DH$129,CJ$1,0),0)</f>
        <v>0</v>
      </c>
      <c r="CK18" s="13">
        <f>IFERROR(VLOOKUP($G18,'Visu totale'!$D$3:$DH$129,CK$1,0),0)</f>
        <v>0</v>
      </c>
      <c r="CL18" s="13">
        <f>IFERROR(VLOOKUP($G18,'Visu totale'!$D$3:$DH$129,CL$1,0),0)</f>
        <v>0</v>
      </c>
      <c r="CM18" s="15">
        <f>IFERROR(VLOOKUP($G18,'Visu totale'!$D$3:$DH$129,CM$1,0),0)</f>
        <v>0</v>
      </c>
      <c r="CN18" s="14">
        <f>IFERROR(VLOOKUP($G18,'Visu totale'!$D$3:$DH$129,CN$1,0),0)</f>
        <v>0</v>
      </c>
      <c r="CO18" s="13">
        <f>IFERROR(VLOOKUP($G18,'Visu totale'!$D$3:$DH$129,CO$1,0),0)</f>
        <v>0</v>
      </c>
      <c r="CP18" s="13">
        <f>IFERROR(VLOOKUP($G18,'Visu totale'!$D$3:$DH$129,CP$1,0),0)</f>
        <v>0</v>
      </c>
      <c r="CQ18" s="13">
        <f>IFERROR(VLOOKUP($G18,'Visu totale'!$D$3:$DH$129,CQ$1,0),0)</f>
        <v>0</v>
      </c>
      <c r="CR18" s="13">
        <f>IFERROR(VLOOKUP($G18,'Visu totale'!$D$3:$DH$129,CR$1,0),0)</f>
        <v>0</v>
      </c>
      <c r="CS18" s="13">
        <f>IFERROR(VLOOKUP($G18,'Visu totale'!$D$3:$DH$129,CS$1,0),0)</f>
        <v>0</v>
      </c>
      <c r="CT18" s="13">
        <f>IFERROR(VLOOKUP($G18,'Visu totale'!$D$3:$DH$129,CT$1,0),0)</f>
        <v>0</v>
      </c>
      <c r="CU18" s="13">
        <f>IFERROR(VLOOKUP($G18,'Visu totale'!$D$3:$DH$129,CU$1,0),0)</f>
        <v>0</v>
      </c>
      <c r="CV18" s="13">
        <f>IFERROR(VLOOKUP($G18,'Visu totale'!$D$3:$DH$129,CV$1,0),0)</f>
        <v>0</v>
      </c>
      <c r="CW18" s="13">
        <f>IFERROR(VLOOKUP($G18,'Visu totale'!$D$3:$DH$129,CW$1,0),0)</f>
        <v>0</v>
      </c>
      <c r="CX18" s="13">
        <f>IFERROR(VLOOKUP($G18,'Visu totale'!$D$3:$DH$129,CX$1,0),0)</f>
        <v>0</v>
      </c>
      <c r="CY18" s="15">
        <f>IFERROR(VLOOKUP($G18,'Visu totale'!$D$3:$DH$129,CY$1,0),0)</f>
        <v>0</v>
      </c>
      <c r="CZ18" s="14">
        <f>IFERROR(VLOOKUP($G18,'Visu totale'!$D$3:$DH$129,CZ$1,0),0)</f>
        <v>0</v>
      </c>
      <c r="DA18" s="13">
        <f>IFERROR(VLOOKUP($G18,'Visu totale'!$D$3:$DH$129,DA$1,0),0)</f>
        <v>0</v>
      </c>
      <c r="DB18" s="13">
        <f>IFERROR(VLOOKUP($G18,'Visu totale'!$D$3:$DH$129,DB$1,0),0)</f>
        <v>0</v>
      </c>
      <c r="DC18" s="13">
        <f>IFERROR(VLOOKUP($G18,'Visu totale'!$D$3:$DH$129,DC$1,0),0)</f>
        <v>0</v>
      </c>
      <c r="DD18" s="13">
        <f>IFERROR(VLOOKUP($G18,'Visu totale'!$D$3:$DH$129,DD$1,0),0)</f>
        <v>0</v>
      </c>
      <c r="DE18" s="13">
        <f>IFERROR(VLOOKUP($G18,'Visu totale'!$D$3:$DH$129,DE$1,0),0)</f>
        <v>0</v>
      </c>
      <c r="DF18" s="13">
        <f>IFERROR(VLOOKUP($G18,'Visu totale'!$D$3:$DH$129,DF$1,0),0)</f>
        <v>0</v>
      </c>
      <c r="DG18" s="13">
        <f>IFERROR(VLOOKUP($G18,'Visu totale'!$D$3:$DH$129,DG$1,0),0)</f>
        <v>0</v>
      </c>
      <c r="DH18" s="13">
        <f>IFERROR(VLOOKUP($G18,'Visu totale'!$D$3:$DH$129,DH$1,0),0)</f>
        <v>0</v>
      </c>
      <c r="DI18" s="13">
        <f>IFERROR(VLOOKUP($G18,'Visu totale'!$D$3:$DH$129,DI$1,0),0)</f>
        <v>0</v>
      </c>
      <c r="DJ18" s="13">
        <f>IFERROR(VLOOKUP($G18,'Visu totale'!$D$3:$DH$129,DJ$1,0),0)</f>
        <v>0</v>
      </c>
      <c r="DK18" s="15">
        <f>IFERROR(VLOOKUP($G18,'Visu totale'!$D$3:$DH$129,DK$1,0),0)</f>
        <v>0</v>
      </c>
    </row>
    <row r="19" spans="1:115" x14ac:dyDescent="0.25">
      <c r="A19" s="13"/>
      <c r="B19" s="13"/>
      <c r="C19" s="13"/>
      <c r="D19" s="16"/>
      <c r="E19" s="13"/>
      <c r="F19" s="13"/>
      <c r="G19" s="17" t="s">
        <v>21</v>
      </c>
      <c r="H19" s="14">
        <f>IFERROR(VLOOKUP($G19,'Visu totale'!$D$3:$DH$129,H$1,0),0)</f>
        <v>0</v>
      </c>
      <c r="I19" s="13">
        <f>IFERROR(VLOOKUP($G19,'Visu totale'!$D$3:$DH$129,I$1,0),0)</f>
        <v>0</v>
      </c>
      <c r="J19" s="13">
        <f>IFERROR(VLOOKUP($G19,'Visu totale'!$D$3:$DH$129,J$1,0),0)</f>
        <v>0</v>
      </c>
      <c r="K19" s="13">
        <f>IFERROR(VLOOKUP($G19,'Visu totale'!$D$3:$DH$129,K$1,0),0)</f>
        <v>0</v>
      </c>
      <c r="L19" s="13">
        <f>IFERROR(VLOOKUP($G19,'Visu totale'!$D$3:$DH$129,L$1,0),0)</f>
        <v>0</v>
      </c>
      <c r="M19" s="13">
        <f>IFERROR(VLOOKUP($G19,'Visu totale'!$D$3:$DH$129,M$1,0),0)</f>
        <v>0</v>
      </c>
      <c r="N19" s="13">
        <f>IFERROR(VLOOKUP($G19,'Visu totale'!$D$3:$DH$129,N$1,0),0)</f>
        <v>0</v>
      </c>
      <c r="O19" s="13">
        <f>IFERROR(VLOOKUP($G19,'Visu totale'!$D$3:$DH$129,O$1,0),0)</f>
        <v>0</v>
      </c>
      <c r="P19" s="13">
        <f>IFERROR(VLOOKUP($G19,'Visu totale'!$D$3:$DH$129,P$1,0),0)</f>
        <v>0</v>
      </c>
      <c r="Q19" s="13">
        <f>IFERROR(VLOOKUP($G19,'Visu totale'!$D$3:$DH$129,Q$1,0),0)</f>
        <v>0</v>
      </c>
      <c r="R19" s="13">
        <f>IFERROR(VLOOKUP($G19,'Visu totale'!$D$3:$DH$129,R$1,0),0)</f>
        <v>0</v>
      </c>
      <c r="S19" s="15">
        <f>IFERROR(VLOOKUP($G19,'Visu totale'!$D$3:$DH$129,S$1,0),0)</f>
        <v>0</v>
      </c>
      <c r="T19" s="14">
        <f>IFERROR(VLOOKUP($G19,'Visu totale'!$D$3:$DH$129,T$1,0),0)</f>
        <v>0</v>
      </c>
      <c r="U19" s="13">
        <f>IFERROR(VLOOKUP($G19,'Visu totale'!$D$3:$DH$129,U$1,0),0)</f>
        <v>0</v>
      </c>
      <c r="V19" s="13">
        <f>IFERROR(VLOOKUP($G19,'Visu totale'!$D$3:$DH$129,V$1,0),0)</f>
        <v>0</v>
      </c>
      <c r="W19" s="13">
        <f>IFERROR(VLOOKUP($G19,'Visu totale'!$D$3:$DH$129,W$1,0),0)</f>
        <v>0</v>
      </c>
      <c r="X19" s="13">
        <f>IFERROR(VLOOKUP($G19,'Visu totale'!$D$3:$DH$129,X$1,0),0)</f>
        <v>0</v>
      </c>
      <c r="Y19" s="13">
        <f>IFERROR(VLOOKUP($G19,'Visu totale'!$D$3:$DH$129,Y$1,0),0)</f>
        <v>0</v>
      </c>
      <c r="Z19" s="13">
        <f>IFERROR(VLOOKUP($G19,'Visu totale'!$D$3:$DH$129,Z$1,0),0)</f>
        <v>0</v>
      </c>
      <c r="AA19" s="13">
        <f>IFERROR(VLOOKUP($G19,'Visu totale'!$D$3:$DH$129,AA$1,0),0)</f>
        <v>0</v>
      </c>
      <c r="AB19" s="13">
        <f>IFERROR(VLOOKUP($G19,'Visu totale'!$D$3:$DH$129,AB$1,0),0)</f>
        <v>0</v>
      </c>
      <c r="AC19" s="13">
        <f>IFERROR(VLOOKUP($G19,'Visu totale'!$D$3:$DH$129,AC$1,0),0)</f>
        <v>0</v>
      </c>
      <c r="AD19" s="13">
        <f>IFERROR(VLOOKUP($G19,'Visu totale'!$D$3:$DH$129,AD$1,0),0)</f>
        <v>0</v>
      </c>
      <c r="AE19" s="15">
        <f>IFERROR(VLOOKUP($G19,'Visu totale'!$D$3:$DH$129,AE$1,0),0)</f>
        <v>0</v>
      </c>
      <c r="AF19" s="14">
        <f>IFERROR(VLOOKUP($G19,'Visu totale'!$D$3:$DH$129,AF$1,0),0)</f>
        <v>0</v>
      </c>
      <c r="AG19" s="13">
        <f>IFERROR(VLOOKUP($G19,'Visu totale'!$D$3:$DH$129,AG$1,0),0)</f>
        <v>0</v>
      </c>
      <c r="AH19" s="13">
        <f>IFERROR(VLOOKUP($G19,'Visu totale'!$D$3:$DH$129,AH$1,0),0)</f>
        <v>0</v>
      </c>
      <c r="AI19" s="13">
        <f>IFERROR(VLOOKUP($G19,'Visu totale'!$D$3:$DH$129,AI$1,0),0)</f>
        <v>0</v>
      </c>
      <c r="AJ19" s="13">
        <f>IFERROR(VLOOKUP($G19,'Visu totale'!$D$3:$DH$129,AJ$1,0),0)</f>
        <v>0</v>
      </c>
      <c r="AK19" s="13">
        <f>IFERROR(VLOOKUP($G19,'Visu totale'!$D$3:$DH$129,AK$1,0),0)</f>
        <v>0</v>
      </c>
      <c r="AL19" s="13">
        <f>IFERROR(VLOOKUP($G19,'Visu totale'!$D$3:$DH$129,AL$1,0),0)</f>
        <v>0</v>
      </c>
      <c r="AM19" s="13">
        <f>IFERROR(VLOOKUP($G19,'Visu totale'!$D$3:$DH$129,AM$1,0),0)</f>
        <v>0</v>
      </c>
      <c r="AN19" s="13">
        <f>IFERROR(VLOOKUP($G19,'Visu totale'!$D$3:$DH$129,AN$1,0),0)</f>
        <v>0</v>
      </c>
      <c r="AO19" s="13">
        <f>IFERROR(VLOOKUP($G19,'Visu totale'!$D$3:$DH$129,AO$1,0),0)</f>
        <v>0</v>
      </c>
      <c r="AP19" s="13">
        <f>IFERROR(VLOOKUP($G19,'Visu totale'!$D$3:$DH$129,AP$1,0),0)</f>
        <v>0</v>
      </c>
      <c r="AQ19" s="15">
        <f>IFERROR(VLOOKUP($G19,'Visu totale'!$D$3:$DH$129,AQ$1,0),0)</f>
        <v>0</v>
      </c>
      <c r="AR19" s="14">
        <f>IFERROR(VLOOKUP($G19,'Visu totale'!$D$3:$DH$129,AR$1,0),0)</f>
        <v>0</v>
      </c>
      <c r="AS19" s="13">
        <f>IFERROR(VLOOKUP($G19,'Visu totale'!$D$3:$DH$129,AS$1,0),0)</f>
        <v>0</v>
      </c>
      <c r="AT19" s="13">
        <f>IFERROR(VLOOKUP($G19,'Visu totale'!$D$3:$DH$129,AT$1,0),0)</f>
        <v>0</v>
      </c>
      <c r="AU19" s="13">
        <f>IFERROR(VLOOKUP($G19,'Visu totale'!$D$3:$DH$129,AU$1,0),0)</f>
        <v>0</v>
      </c>
      <c r="AV19" s="13">
        <f>IFERROR(VLOOKUP($G19,'Visu totale'!$D$3:$DH$129,AV$1,0),0)</f>
        <v>0</v>
      </c>
      <c r="AW19" s="13">
        <f>IFERROR(VLOOKUP($G19,'Visu totale'!$D$3:$DH$129,AW$1,0),0)</f>
        <v>0</v>
      </c>
      <c r="AX19" s="13">
        <f>IFERROR(VLOOKUP($G19,'Visu totale'!$D$3:$DH$129,AX$1,0),0)</f>
        <v>0</v>
      </c>
      <c r="AY19" s="13">
        <f>IFERROR(VLOOKUP($G19,'Visu totale'!$D$3:$DH$129,AY$1,0),0)</f>
        <v>0</v>
      </c>
      <c r="AZ19" s="13">
        <f>IFERROR(VLOOKUP($G19,'Visu totale'!$D$3:$DH$129,AZ$1,0),0)</f>
        <v>0</v>
      </c>
      <c r="BA19" s="13">
        <f>IFERROR(VLOOKUP($G19,'Visu totale'!$D$3:$DH$129,BA$1,0),0)</f>
        <v>0</v>
      </c>
      <c r="BB19" s="13">
        <f>IFERROR(VLOOKUP($G19,'Visu totale'!$D$3:$DH$129,BB$1,0),0)</f>
        <v>0</v>
      </c>
      <c r="BC19" s="15">
        <f>IFERROR(VLOOKUP($G19,'Visu totale'!$D$3:$DH$129,BC$1,0),0)</f>
        <v>0</v>
      </c>
      <c r="BD19" s="14">
        <f>IFERROR(VLOOKUP($G19,'Visu totale'!$D$3:$DH$129,BD$1,0),0)</f>
        <v>0</v>
      </c>
      <c r="BE19" s="13">
        <f>IFERROR(VLOOKUP($G19,'Visu totale'!$D$3:$DH$129,BE$1,0),0)</f>
        <v>0</v>
      </c>
      <c r="BF19" s="13">
        <f>IFERROR(VLOOKUP($G19,'Visu totale'!$D$3:$DH$129,BF$1,0),0)</f>
        <v>0</v>
      </c>
      <c r="BG19" s="13">
        <f>IFERROR(VLOOKUP($G19,'Visu totale'!$D$3:$DH$129,BG$1,0),0)</f>
        <v>0</v>
      </c>
      <c r="BH19" s="13">
        <f>IFERROR(VLOOKUP($G19,'Visu totale'!$D$3:$DH$129,BH$1,0),0)</f>
        <v>0</v>
      </c>
      <c r="BI19" s="13">
        <f>IFERROR(VLOOKUP($G19,'Visu totale'!$D$3:$DH$129,BI$1,0),0)</f>
        <v>0</v>
      </c>
      <c r="BJ19" s="13">
        <f>IFERROR(VLOOKUP($G19,'Visu totale'!$D$3:$DH$129,BJ$1,0),0)</f>
        <v>0</v>
      </c>
      <c r="BK19" s="13">
        <f>IFERROR(VLOOKUP($G19,'Visu totale'!$D$3:$DH$129,BK$1,0),0)</f>
        <v>0</v>
      </c>
      <c r="BL19" s="13">
        <f>IFERROR(VLOOKUP($G19,'Visu totale'!$D$3:$DH$129,BL$1,0),0)</f>
        <v>0</v>
      </c>
      <c r="BM19" s="13">
        <f>IFERROR(VLOOKUP($G19,'Visu totale'!$D$3:$DH$129,BM$1,0),0)</f>
        <v>0</v>
      </c>
      <c r="BN19" s="13">
        <f>IFERROR(VLOOKUP($G19,'Visu totale'!$D$3:$DH$129,BN$1,0),0)</f>
        <v>0</v>
      </c>
      <c r="BO19" s="15">
        <f>IFERROR(VLOOKUP($G19,'Visu totale'!$D$3:$DH$129,BO$1,0),0)</f>
        <v>0</v>
      </c>
      <c r="BP19" s="14">
        <f>IFERROR(VLOOKUP($G19,'Visu totale'!$D$3:$DH$129,BP$1,0),0)</f>
        <v>0</v>
      </c>
      <c r="BQ19" s="13">
        <f>IFERROR(VLOOKUP($G19,'Visu totale'!$D$3:$DH$129,BQ$1,0),0)</f>
        <v>0</v>
      </c>
      <c r="BR19" s="13">
        <f>IFERROR(VLOOKUP($G19,'Visu totale'!$D$3:$DH$129,BR$1,0),0)</f>
        <v>0</v>
      </c>
      <c r="BS19" s="13">
        <f>IFERROR(VLOOKUP($G19,'Visu totale'!$D$3:$DH$129,BS$1,0),0)</f>
        <v>0</v>
      </c>
      <c r="BT19" s="13">
        <f>IFERROR(VLOOKUP($G19,'Visu totale'!$D$3:$DH$129,BT$1,0),0)</f>
        <v>0</v>
      </c>
      <c r="BU19" s="13">
        <f>IFERROR(VLOOKUP($G19,'Visu totale'!$D$3:$DH$129,BU$1,0),0)</f>
        <v>0</v>
      </c>
      <c r="BV19" s="13">
        <f>IFERROR(VLOOKUP($G19,'Visu totale'!$D$3:$DH$129,BV$1,0),0)</f>
        <v>0</v>
      </c>
      <c r="BW19" s="13">
        <f>IFERROR(VLOOKUP($G19,'Visu totale'!$D$3:$DH$129,BW$1,0),0)</f>
        <v>0</v>
      </c>
      <c r="BX19" s="13">
        <f>IFERROR(VLOOKUP($G19,'Visu totale'!$D$3:$DH$129,BX$1,0),0)</f>
        <v>0</v>
      </c>
      <c r="BY19" s="13">
        <f>IFERROR(VLOOKUP($G19,'Visu totale'!$D$3:$DH$129,BY$1,0),0)</f>
        <v>0</v>
      </c>
      <c r="BZ19" s="13">
        <f>IFERROR(VLOOKUP($G19,'Visu totale'!$D$3:$DH$129,BZ$1,0),0)</f>
        <v>0</v>
      </c>
      <c r="CA19" s="15">
        <f>IFERROR(VLOOKUP($G19,'Visu totale'!$D$3:$DH$129,CA$1,0),0)</f>
        <v>0</v>
      </c>
      <c r="CB19" s="14">
        <f>IFERROR(VLOOKUP($G19,'Visu totale'!$D$3:$DH$129,CB$1,0),0)</f>
        <v>0</v>
      </c>
      <c r="CC19" s="13">
        <f>IFERROR(VLOOKUP($G19,'Visu totale'!$D$3:$DH$129,CC$1,0),0)</f>
        <v>0</v>
      </c>
      <c r="CD19" s="13">
        <f>IFERROR(VLOOKUP($G19,'Visu totale'!$D$3:$DH$129,CD$1,0),0)</f>
        <v>0</v>
      </c>
      <c r="CE19" s="13">
        <f>IFERROR(VLOOKUP($G19,'Visu totale'!$D$3:$DH$129,CE$1,0),0)</f>
        <v>0</v>
      </c>
      <c r="CF19" s="13">
        <f>IFERROR(VLOOKUP($G19,'Visu totale'!$D$3:$DH$129,CF$1,0),0)</f>
        <v>0</v>
      </c>
      <c r="CG19" s="13">
        <f>IFERROR(VLOOKUP($G19,'Visu totale'!$D$3:$DH$129,CG$1,0),0)</f>
        <v>0</v>
      </c>
      <c r="CH19" s="13">
        <f>IFERROR(VLOOKUP($G19,'Visu totale'!$D$3:$DH$129,CH$1,0),0)</f>
        <v>0</v>
      </c>
      <c r="CI19" s="13">
        <f>IFERROR(VLOOKUP($G19,'Visu totale'!$D$3:$DH$129,CI$1,0),0)</f>
        <v>0</v>
      </c>
      <c r="CJ19" s="13">
        <f>IFERROR(VLOOKUP($G19,'Visu totale'!$D$3:$DH$129,CJ$1,0),0)</f>
        <v>0</v>
      </c>
      <c r="CK19" s="13">
        <f>IFERROR(VLOOKUP($G19,'Visu totale'!$D$3:$DH$129,CK$1,0),0)</f>
        <v>0</v>
      </c>
      <c r="CL19" s="13">
        <f>IFERROR(VLOOKUP($G19,'Visu totale'!$D$3:$DH$129,CL$1,0),0)</f>
        <v>0</v>
      </c>
      <c r="CM19" s="15">
        <f>IFERROR(VLOOKUP($G19,'Visu totale'!$D$3:$DH$129,CM$1,0),0)</f>
        <v>0</v>
      </c>
      <c r="CN19" s="14">
        <f>IFERROR(VLOOKUP($G19,'Visu totale'!$D$3:$DH$129,CN$1,0),0)</f>
        <v>0</v>
      </c>
      <c r="CO19" s="13">
        <f>IFERROR(VLOOKUP($G19,'Visu totale'!$D$3:$DH$129,CO$1,0),0)</f>
        <v>0</v>
      </c>
      <c r="CP19" s="13">
        <f>IFERROR(VLOOKUP($G19,'Visu totale'!$D$3:$DH$129,CP$1,0),0)</f>
        <v>0</v>
      </c>
      <c r="CQ19" s="13">
        <f>IFERROR(VLOOKUP($G19,'Visu totale'!$D$3:$DH$129,CQ$1,0),0)</f>
        <v>0</v>
      </c>
      <c r="CR19" s="13">
        <f>IFERROR(VLOOKUP($G19,'Visu totale'!$D$3:$DH$129,CR$1,0),0)</f>
        <v>0</v>
      </c>
      <c r="CS19" s="13">
        <f>IFERROR(VLOOKUP($G19,'Visu totale'!$D$3:$DH$129,CS$1,0),0)</f>
        <v>0</v>
      </c>
      <c r="CT19" s="13">
        <f>IFERROR(VLOOKUP($G19,'Visu totale'!$D$3:$DH$129,CT$1,0),0)</f>
        <v>0</v>
      </c>
      <c r="CU19" s="13">
        <f>IFERROR(VLOOKUP($G19,'Visu totale'!$D$3:$DH$129,CU$1,0),0)</f>
        <v>0</v>
      </c>
      <c r="CV19" s="13">
        <f>IFERROR(VLOOKUP($G19,'Visu totale'!$D$3:$DH$129,CV$1,0),0)</f>
        <v>0</v>
      </c>
      <c r="CW19" s="13">
        <f>IFERROR(VLOOKUP($G19,'Visu totale'!$D$3:$DH$129,CW$1,0),0)</f>
        <v>0</v>
      </c>
      <c r="CX19" s="13">
        <f>IFERROR(VLOOKUP($G19,'Visu totale'!$D$3:$DH$129,CX$1,0),0)</f>
        <v>0</v>
      </c>
      <c r="CY19" s="15">
        <f>IFERROR(VLOOKUP($G19,'Visu totale'!$D$3:$DH$129,CY$1,0),0)</f>
        <v>0</v>
      </c>
      <c r="CZ19" s="14">
        <f>IFERROR(VLOOKUP($G19,'Visu totale'!$D$3:$DH$129,CZ$1,0),0)</f>
        <v>0</v>
      </c>
      <c r="DA19" s="13">
        <f>IFERROR(VLOOKUP($G19,'Visu totale'!$D$3:$DH$129,DA$1,0),0)</f>
        <v>0</v>
      </c>
      <c r="DB19" s="13">
        <f>IFERROR(VLOOKUP($G19,'Visu totale'!$D$3:$DH$129,DB$1,0),0)</f>
        <v>0</v>
      </c>
      <c r="DC19" s="13">
        <f>IFERROR(VLOOKUP($G19,'Visu totale'!$D$3:$DH$129,DC$1,0),0)</f>
        <v>0</v>
      </c>
      <c r="DD19" s="13">
        <f>IFERROR(VLOOKUP($G19,'Visu totale'!$D$3:$DH$129,DD$1,0),0)</f>
        <v>0</v>
      </c>
      <c r="DE19" s="13">
        <f>IFERROR(VLOOKUP($G19,'Visu totale'!$D$3:$DH$129,DE$1,0),0)</f>
        <v>0</v>
      </c>
      <c r="DF19" s="13">
        <f>IFERROR(VLOOKUP($G19,'Visu totale'!$D$3:$DH$129,DF$1,0),0)</f>
        <v>0</v>
      </c>
      <c r="DG19" s="13">
        <f>IFERROR(VLOOKUP($G19,'Visu totale'!$D$3:$DH$129,DG$1,0),0)</f>
        <v>0</v>
      </c>
      <c r="DH19" s="13">
        <f>IFERROR(VLOOKUP($G19,'Visu totale'!$D$3:$DH$129,DH$1,0),0)</f>
        <v>0</v>
      </c>
      <c r="DI19" s="13">
        <f>IFERROR(VLOOKUP($G19,'Visu totale'!$D$3:$DH$129,DI$1,0),0)</f>
        <v>0</v>
      </c>
      <c r="DJ19" s="13">
        <f>IFERROR(VLOOKUP($G19,'Visu totale'!$D$3:$DH$129,DJ$1,0),0)</f>
        <v>0</v>
      </c>
      <c r="DK19" s="15">
        <f>IFERROR(VLOOKUP($G19,'Visu totale'!$D$3:$DH$129,DK$1,0),0)</f>
        <v>0</v>
      </c>
    </row>
    <row r="20" spans="1:115" x14ac:dyDescent="0.25">
      <c r="A20" s="13"/>
      <c r="B20" s="13"/>
      <c r="C20" s="13"/>
      <c r="D20" s="16"/>
      <c r="E20" s="13"/>
      <c r="F20" s="13"/>
      <c r="G20" s="17" t="s">
        <v>22</v>
      </c>
      <c r="H20" s="14">
        <f>IFERROR(VLOOKUP($G20,'Visu totale'!$D$3:$DH$129,H$1,0),0)</f>
        <v>0</v>
      </c>
      <c r="I20" s="13">
        <f>IFERROR(VLOOKUP($G20,'Visu totale'!$D$3:$DH$129,I$1,0),0)</f>
        <v>0</v>
      </c>
      <c r="J20" s="13">
        <f>IFERROR(VLOOKUP($G20,'Visu totale'!$D$3:$DH$129,J$1,0),0)</f>
        <v>0</v>
      </c>
      <c r="K20" s="13">
        <f>IFERROR(VLOOKUP($G20,'Visu totale'!$D$3:$DH$129,K$1,0),0)</f>
        <v>0</v>
      </c>
      <c r="L20" s="13">
        <f>IFERROR(VLOOKUP($G20,'Visu totale'!$D$3:$DH$129,L$1,0),0)</f>
        <v>0</v>
      </c>
      <c r="M20" s="13">
        <f>IFERROR(VLOOKUP($G20,'Visu totale'!$D$3:$DH$129,M$1,0),0)</f>
        <v>0</v>
      </c>
      <c r="N20" s="13">
        <f>IFERROR(VLOOKUP($G20,'Visu totale'!$D$3:$DH$129,N$1,0),0)</f>
        <v>0</v>
      </c>
      <c r="O20" s="13">
        <f>IFERROR(VLOOKUP($G20,'Visu totale'!$D$3:$DH$129,O$1,0),0)</f>
        <v>0</v>
      </c>
      <c r="P20" s="13">
        <f>IFERROR(VLOOKUP($G20,'Visu totale'!$D$3:$DH$129,P$1,0),0)</f>
        <v>0</v>
      </c>
      <c r="Q20" s="13">
        <f>IFERROR(VLOOKUP($G20,'Visu totale'!$D$3:$DH$129,Q$1,0),0)</f>
        <v>0</v>
      </c>
      <c r="R20" s="13">
        <f>IFERROR(VLOOKUP($G20,'Visu totale'!$D$3:$DH$129,R$1,0),0)</f>
        <v>0</v>
      </c>
      <c r="S20" s="15">
        <f>IFERROR(VLOOKUP($G20,'Visu totale'!$D$3:$DH$129,S$1,0),0)</f>
        <v>0</v>
      </c>
      <c r="T20" s="14">
        <f>IFERROR(VLOOKUP($G20,'Visu totale'!$D$3:$DH$129,T$1,0),0)</f>
        <v>0</v>
      </c>
      <c r="U20" s="13">
        <f>IFERROR(VLOOKUP($G20,'Visu totale'!$D$3:$DH$129,U$1,0),0)</f>
        <v>0</v>
      </c>
      <c r="V20" s="13">
        <f>IFERROR(VLOOKUP($G20,'Visu totale'!$D$3:$DH$129,V$1,0),0)</f>
        <v>0</v>
      </c>
      <c r="W20" s="13">
        <f>IFERROR(VLOOKUP($G20,'Visu totale'!$D$3:$DH$129,W$1,0),0)</f>
        <v>0</v>
      </c>
      <c r="X20" s="13">
        <f>IFERROR(VLOOKUP($G20,'Visu totale'!$D$3:$DH$129,X$1,0),0)</f>
        <v>0</v>
      </c>
      <c r="Y20" s="13">
        <f>IFERROR(VLOOKUP($G20,'Visu totale'!$D$3:$DH$129,Y$1,0),0)</f>
        <v>0</v>
      </c>
      <c r="Z20" s="13">
        <f>IFERROR(VLOOKUP($G20,'Visu totale'!$D$3:$DH$129,Z$1,0),0)</f>
        <v>0</v>
      </c>
      <c r="AA20" s="13">
        <f>IFERROR(VLOOKUP($G20,'Visu totale'!$D$3:$DH$129,AA$1,0),0)</f>
        <v>0</v>
      </c>
      <c r="AB20" s="13">
        <f>IFERROR(VLOOKUP($G20,'Visu totale'!$D$3:$DH$129,AB$1,0),0)</f>
        <v>0</v>
      </c>
      <c r="AC20" s="13">
        <f>IFERROR(VLOOKUP($G20,'Visu totale'!$D$3:$DH$129,AC$1,0),0)</f>
        <v>0</v>
      </c>
      <c r="AD20" s="13">
        <f>IFERROR(VLOOKUP($G20,'Visu totale'!$D$3:$DH$129,AD$1,0),0)</f>
        <v>0</v>
      </c>
      <c r="AE20" s="15">
        <f>IFERROR(VLOOKUP($G20,'Visu totale'!$D$3:$DH$129,AE$1,0),0)</f>
        <v>0</v>
      </c>
      <c r="AF20" s="14">
        <f>IFERROR(VLOOKUP($G20,'Visu totale'!$D$3:$DH$129,AF$1,0),0)</f>
        <v>0</v>
      </c>
      <c r="AG20" s="13">
        <f>IFERROR(VLOOKUP($G20,'Visu totale'!$D$3:$DH$129,AG$1,0),0)</f>
        <v>0</v>
      </c>
      <c r="AH20" s="13">
        <f>IFERROR(VLOOKUP($G20,'Visu totale'!$D$3:$DH$129,AH$1,0),0)</f>
        <v>0</v>
      </c>
      <c r="AI20" s="13">
        <f>IFERROR(VLOOKUP($G20,'Visu totale'!$D$3:$DH$129,AI$1,0),0)</f>
        <v>0</v>
      </c>
      <c r="AJ20" s="13">
        <f>IFERROR(VLOOKUP($G20,'Visu totale'!$D$3:$DH$129,AJ$1,0),0)</f>
        <v>0</v>
      </c>
      <c r="AK20" s="13">
        <f>IFERROR(VLOOKUP($G20,'Visu totale'!$D$3:$DH$129,AK$1,0),0)</f>
        <v>0</v>
      </c>
      <c r="AL20" s="13">
        <f>IFERROR(VLOOKUP($G20,'Visu totale'!$D$3:$DH$129,AL$1,0),0)</f>
        <v>0</v>
      </c>
      <c r="AM20" s="13">
        <f>IFERROR(VLOOKUP($G20,'Visu totale'!$D$3:$DH$129,AM$1,0),0)</f>
        <v>0</v>
      </c>
      <c r="AN20" s="13">
        <f>IFERROR(VLOOKUP($G20,'Visu totale'!$D$3:$DH$129,AN$1,0),0)</f>
        <v>0</v>
      </c>
      <c r="AO20" s="13">
        <f>IFERROR(VLOOKUP($G20,'Visu totale'!$D$3:$DH$129,AO$1,0),0)</f>
        <v>0</v>
      </c>
      <c r="AP20" s="13">
        <f>IFERROR(VLOOKUP($G20,'Visu totale'!$D$3:$DH$129,AP$1,0),0)</f>
        <v>0</v>
      </c>
      <c r="AQ20" s="15">
        <f>IFERROR(VLOOKUP($G20,'Visu totale'!$D$3:$DH$129,AQ$1,0),0)</f>
        <v>0</v>
      </c>
      <c r="AR20" s="14">
        <f>IFERROR(VLOOKUP($G20,'Visu totale'!$D$3:$DH$129,AR$1,0),0)</f>
        <v>0</v>
      </c>
      <c r="AS20" s="13">
        <f>IFERROR(VLOOKUP($G20,'Visu totale'!$D$3:$DH$129,AS$1,0),0)</f>
        <v>0</v>
      </c>
      <c r="AT20" s="13">
        <f>IFERROR(VLOOKUP($G20,'Visu totale'!$D$3:$DH$129,AT$1,0),0)</f>
        <v>0</v>
      </c>
      <c r="AU20" s="13">
        <f>IFERROR(VLOOKUP($G20,'Visu totale'!$D$3:$DH$129,AU$1,0),0)</f>
        <v>0</v>
      </c>
      <c r="AV20" s="13">
        <f>IFERROR(VLOOKUP($G20,'Visu totale'!$D$3:$DH$129,AV$1,0),0)</f>
        <v>0</v>
      </c>
      <c r="AW20" s="13">
        <f>IFERROR(VLOOKUP($G20,'Visu totale'!$D$3:$DH$129,AW$1,0),0)</f>
        <v>0</v>
      </c>
      <c r="AX20" s="13">
        <f>IFERROR(VLOOKUP($G20,'Visu totale'!$D$3:$DH$129,AX$1,0),0)</f>
        <v>0</v>
      </c>
      <c r="AY20" s="13">
        <f>IFERROR(VLOOKUP($G20,'Visu totale'!$D$3:$DH$129,AY$1,0),0)</f>
        <v>0</v>
      </c>
      <c r="AZ20" s="13">
        <f>IFERROR(VLOOKUP($G20,'Visu totale'!$D$3:$DH$129,AZ$1,0),0)</f>
        <v>0</v>
      </c>
      <c r="BA20" s="13">
        <f>IFERROR(VLOOKUP($G20,'Visu totale'!$D$3:$DH$129,BA$1,0),0)</f>
        <v>0</v>
      </c>
      <c r="BB20" s="13">
        <f>IFERROR(VLOOKUP($G20,'Visu totale'!$D$3:$DH$129,BB$1,0),0)</f>
        <v>0</v>
      </c>
      <c r="BC20" s="15">
        <f>IFERROR(VLOOKUP($G20,'Visu totale'!$D$3:$DH$129,BC$1,0),0)</f>
        <v>0</v>
      </c>
      <c r="BD20" s="14">
        <f>IFERROR(VLOOKUP($G20,'Visu totale'!$D$3:$DH$129,BD$1,0),0)</f>
        <v>0</v>
      </c>
      <c r="BE20" s="13">
        <f>IFERROR(VLOOKUP($G20,'Visu totale'!$D$3:$DH$129,BE$1,0),0)</f>
        <v>0</v>
      </c>
      <c r="BF20" s="13">
        <f>IFERROR(VLOOKUP($G20,'Visu totale'!$D$3:$DH$129,BF$1,0),0)</f>
        <v>0</v>
      </c>
      <c r="BG20" s="13">
        <f>IFERROR(VLOOKUP($G20,'Visu totale'!$D$3:$DH$129,BG$1,0),0)</f>
        <v>0</v>
      </c>
      <c r="BH20" s="13">
        <f>IFERROR(VLOOKUP($G20,'Visu totale'!$D$3:$DH$129,BH$1,0),0)</f>
        <v>0</v>
      </c>
      <c r="BI20" s="13">
        <f>IFERROR(VLOOKUP($G20,'Visu totale'!$D$3:$DH$129,BI$1,0),0)</f>
        <v>0</v>
      </c>
      <c r="BJ20" s="13">
        <f>IFERROR(VLOOKUP($G20,'Visu totale'!$D$3:$DH$129,BJ$1,0),0)</f>
        <v>0</v>
      </c>
      <c r="BK20" s="13">
        <f>IFERROR(VLOOKUP($G20,'Visu totale'!$D$3:$DH$129,BK$1,0),0)</f>
        <v>0</v>
      </c>
      <c r="BL20" s="13">
        <f>IFERROR(VLOOKUP($G20,'Visu totale'!$D$3:$DH$129,BL$1,0),0)</f>
        <v>0</v>
      </c>
      <c r="BM20" s="13">
        <f>IFERROR(VLOOKUP($G20,'Visu totale'!$D$3:$DH$129,BM$1,0),0)</f>
        <v>0</v>
      </c>
      <c r="BN20" s="13">
        <f>IFERROR(VLOOKUP($G20,'Visu totale'!$D$3:$DH$129,BN$1,0),0)</f>
        <v>0</v>
      </c>
      <c r="BO20" s="15">
        <f>IFERROR(VLOOKUP($G20,'Visu totale'!$D$3:$DH$129,BO$1,0),0)</f>
        <v>0</v>
      </c>
      <c r="BP20" s="14">
        <f>IFERROR(VLOOKUP($G20,'Visu totale'!$D$3:$DH$129,BP$1,0),0)</f>
        <v>0</v>
      </c>
      <c r="BQ20" s="13">
        <f>IFERROR(VLOOKUP($G20,'Visu totale'!$D$3:$DH$129,BQ$1,0),0)</f>
        <v>0</v>
      </c>
      <c r="BR20" s="13">
        <f>IFERROR(VLOOKUP($G20,'Visu totale'!$D$3:$DH$129,BR$1,0),0)</f>
        <v>0</v>
      </c>
      <c r="BS20" s="13">
        <f>IFERROR(VLOOKUP($G20,'Visu totale'!$D$3:$DH$129,BS$1,0),0)</f>
        <v>0</v>
      </c>
      <c r="BT20" s="13">
        <f>IFERROR(VLOOKUP($G20,'Visu totale'!$D$3:$DH$129,BT$1,0),0)</f>
        <v>0</v>
      </c>
      <c r="BU20" s="13">
        <f>IFERROR(VLOOKUP($G20,'Visu totale'!$D$3:$DH$129,BU$1,0),0)</f>
        <v>0</v>
      </c>
      <c r="BV20" s="13">
        <f>IFERROR(VLOOKUP($G20,'Visu totale'!$D$3:$DH$129,BV$1,0),0)</f>
        <v>0</v>
      </c>
      <c r="BW20" s="13">
        <f>IFERROR(VLOOKUP($G20,'Visu totale'!$D$3:$DH$129,BW$1,0),0)</f>
        <v>0</v>
      </c>
      <c r="BX20" s="13">
        <f>IFERROR(VLOOKUP($G20,'Visu totale'!$D$3:$DH$129,BX$1,0),0)</f>
        <v>0</v>
      </c>
      <c r="BY20" s="13">
        <f>IFERROR(VLOOKUP($G20,'Visu totale'!$D$3:$DH$129,BY$1,0),0)</f>
        <v>0</v>
      </c>
      <c r="BZ20" s="13">
        <f>IFERROR(VLOOKUP($G20,'Visu totale'!$D$3:$DH$129,BZ$1,0),0)</f>
        <v>0</v>
      </c>
      <c r="CA20" s="15">
        <f>IFERROR(VLOOKUP($G20,'Visu totale'!$D$3:$DH$129,CA$1,0),0)</f>
        <v>0</v>
      </c>
      <c r="CB20" s="14">
        <f>IFERROR(VLOOKUP($G20,'Visu totale'!$D$3:$DH$129,CB$1,0),0)</f>
        <v>0</v>
      </c>
      <c r="CC20" s="13">
        <f>IFERROR(VLOOKUP($G20,'Visu totale'!$D$3:$DH$129,CC$1,0),0)</f>
        <v>0</v>
      </c>
      <c r="CD20" s="13">
        <f>IFERROR(VLOOKUP($G20,'Visu totale'!$D$3:$DH$129,CD$1,0),0)</f>
        <v>0</v>
      </c>
      <c r="CE20" s="13">
        <f>IFERROR(VLOOKUP($G20,'Visu totale'!$D$3:$DH$129,CE$1,0),0)</f>
        <v>0</v>
      </c>
      <c r="CF20" s="13">
        <f>IFERROR(VLOOKUP($G20,'Visu totale'!$D$3:$DH$129,CF$1,0),0)</f>
        <v>0</v>
      </c>
      <c r="CG20" s="13">
        <f>IFERROR(VLOOKUP($G20,'Visu totale'!$D$3:$DH$129,CG$1,0),0)</f>
        <v>0</v>
      </c>
      <c r="CH20" s="13">
        <f>IFERROR(VLOOKUP($G20,'Visu totale'!$D$3:$DH$129,CH$1,0),0)</f>
        <v>0</v>
      </c>
      <c r="CI20" s="13">
        <f>IFERROR(VLOOKUP($G20,'Visu totale'!$D$3:$DH$129,CI$1,0),0)</f>
        <v>0</v>
      </c>
      <c r="CJ20" s="13">
        <f>IFERROR(VLOOKUP($G20,'Visu totale'!$D$3:$DH$129,CJ$1,0),0)</f>
        <v>0</v>
      </c>
      <c r="CK20" s="13">
        <f>IFERROR(VLOOKUP($G20,'Visu totale'!$D$3:$DH$129,CK$1,0),0)</f>
        <v>0</v>
      </c>
      <c r="CL20" s="13">
        <f>IFERROR(VLOOKUP($G20,'Visu totale'!$D$3:$DH$129,CL$1,0),0)</f>
        <v>0</v>
      </c>
      <c r="CM20" s="15">
        <f>IFERROR(VLOOKUP($G20,'Visu totale'!$D$3:$DH$129,CM$1,0),0)</f>
        <v>0</v>
      </c>
      <c r="CN20" s="14">
        <f>IFERROR(VLOOKUP($G20,'Visu totale'!$D$3:$DH$129,CN$1,0),0)</f>
        <v>0</v>
      </c>
      <c r="CO20" s="13">
        <f>IFERROR(VLOOKUP($G20,'Visu totale'!$D$3:$DH$129,CO$1,0),0)</f>
        <v>0</v>
      </c>
      <c r="CP20" s="13">
        <f>IFERROR(VLOOKUP($G20,'Visu totale'!$D$3:$DH$129,CP$1,0),0)</f>
        <v>0</v>
      </c>
      <c r="CQ20" s="13">
        <f>IFERROR(VLOOKUP($G20,'Visu totale'!$D$3:$DH$129,CQ$1,0),0)</f>
        <v>0</v>
      </c>
      <c r="CR20" s="13">
        <f>IFERROR(VLOOKUP($G20,'Visu totale'!$D$3:$DH$129,CR$1,0),0)</f>
        <v>0</v>
      </c>
      <c r="CS20" s="13">
        <f>IFERROR(VLOOKUP($G20,'Visu totale'!$D$3:$DH$129,CS$1,0),0)</f>
        <v>0</v>
      </c>
      <c r="CT20" s="13">
        <f>IFERROR(VLOOKUP($G20,'Visu totale'!$D$3:$DH$129,CT$1,0),0)</f>
        <v>0</v>
      </c>
      <c r="CU20" s="13">
        <f>IFERROR(VLOOKUP($G20,'Visu totale'!$D$3:$DH$129,CU$1,0),0)</f>
        <v>0</v>
      </c>
      <c r="CV20" s="13">
        <f>IFERROR(VLOOKUP($G20,'Visu totale'!$D$3:$DH$129,CV$1,0),0)</f>
        <v>0</v>
      </c>
      <c r="CW20" s="13">
        <f>IFERROR(VLOOKUP($G20,'Visu totale'!$D$3:$DH$129,CW$1,0),0)</f>
        <v>0</v>
      </c>
      <c r="CX20" s="13">
        <f>IFERROR(VLOOKUP($G20,'Visu totale'!$D$3:$DH$129,CX$1,0),0)</f>
        <v>0</v>
      </c>
      <c r="CY20" s="15">
        <f>IFERROR(VLOOKUP($G20,'Visu totale'!$D$3:$DH$129,CY$1,0),0)</f>
        <v>0</v>
      </c>
      <c r="CZ20" s="14">
        <f>IFERROR(VLOOKUP($G20,'Visu totale'!$D$3:$DH$129,CZ$1,0),0)</f>
        <v>0</v>
      </c>
      <c r="DA20" s="13">
        <f>IFERROR(VLOOKUP($G20,'Visu totale'!$D$3:$DH$129,DA$1,0),0)</f>
        <v>0</v>
      </c>
      <c r="DB20" s="13">
        <f>IFERROR(VLOOKUP($G20,'Visu totale'!$D$3:$DH$129,DB$1,0),0)</f>
        <v>0</v>
      </c>
      <c r="DC20" s="13">
        <f>IFERROR(VLOOKUP($G20,'Visu totale'!$D$3:$DH$129,DC$1,0),0)</f>
        <v>0</v>
      </c>
      <c r="DD20" s="13">
        <f>IFERROR(VLOOKUP($G20,'Visu totale'!$D$3:$DH$129,DD$1,0),0)</f>
        <v>0</v>
      </c>
      <c r="DE20" s="13">
        <f>IFERROR(VLOOKUP($G20,'Visu totale'!$D$3:$DH$129,DE$1,0),0)</f>
        <v>0</v>
      </c>
      <c r="DF20" s="13">
        <f>IFERROR(VLOOKUP($G20,'Visu totale'!$D$3:$DH$129,DF$1,0),0)</f>
        <v>0</v>
      </c>
      <c r="DG20" s="13">
        <f>IFERROR(VLOOKUP($G20,'Visu totale'!$D$3:$DH$129,DG$1,0),0)</f>
        <v>0</v>
      </c>
      <c r="DH20" s="13">
        <f>IFERROR(VLOOKUP($G20,'Visu totale'!$D$3:$DH$129,DH$1,0),0)</f>
        <v>0</v>
      </c>
      <c r="DI20" s="13">
        <f>IFERROR(VLOOKUP($G20,'Visu totale'!$D$3:$DH$129,DI$1,0),0)</f>
        <v>0</v>
      </c>
      <c r="DJ20" s="13">
        <f>IFERROR(VLOOKUP($G20,'Visu totale'!$D$3:$DH$129,DJ$1,0),0)</f>
        <v>0</v>
      </c>
      <c r="DK20" s="15">
        <f>IFERROR(VLOOKUP($G20,'Visu totale'!$D$3:$DH$129,DK$1,0),0)</f>
        <v>0</v>
      </c>
    </row>
    <row r="21" spans="1:115" x14ac:dyDescent="0.25">
      <c r="A21" s="13"/>
      <c r="B21" s="13"/>
      <c r="C21" s="13"/>
      <c r="D21" s="16"/>
      <c r="E21" s="13"/>
      <c r="F21" s="13"/>
      <c r="G21" s="17" t="s">
        <v>23</v>
      </c>
      <c r="H21" s="14">
        <f>IFERROR(VLOOKUP($G21,'Visu totale'!$D$3:$DH$129,H$1,0),0)</f>
        <v>0</v>
      </c>
      <c r="I21" s="13">
        <f>IFERROR(VLOOKUP($G21,'Visu totale'!$D$3:$DH$129,I$1,0),0)</f>
        <v>0</v>
      </c>
      <c r="J21" s="13">
        <f>IFERROR(VLOOKUP($G21,'Visu totale'!$D$3:$DH$129,J$1,0),0)</f>
        <v>0</v>
      </c>
      <c r="K21" s="13">
        <f>IFERROR(VLOOKUP($G21,'Visu totale'!$D$3:$DH$129,K$1,0),0)</f>
        <v>0</v>
      </c>
      <c r="L21" s="13">
        <f>IFERROR(VLOOKUP($G21,'Visu totale'!$D$3:$DH$129,L$1,0),0)</f>
        <v>0</v>
      </c>
      <c r="M21" s="13">
        <f>IFERROR(VLOOKUP($G21,'Visu totale'!$D$3:$DH$129,M$1,0),0)</f>
        <v>0</v>
      </c>
      <c r="N21" s="13">
        <f>IFERROR(VLOOKUP($G21,'Visu totale'!$D$3:$DH$129,N$1,0),0)</f>
        <v>0</v>
      </c>
      <c r="O21" s="13">
        <f>IFERROR(VLOOKUP($G21,'Visu totale'!$D$3:$DH$129,O$1,0),0)</f>
        <v>0</v>
      </c>
      <c r="P21" s="13">
        <f>IFERROR(VLOOKUP($G21,'Visu totale'!$D$3:$DH$129,P$1,0),0)</f>
        <v>0</v>
      </c>
      <c r="Q21" s="13">
        <f>IFERROR(VLOOKUP($G21,'Visu totale'!$D$3:$DH$129,Q$1,0),0)</f>
        <v>0</v>
      </c>
      <c r="R21" s="13">
        <f>IFERROR(VLOOKUP($G21,'Visu totale'!$D$3:$DH$129,R$1,0),0)</f>
        <v>0</v>
      </c>
      <c r="S21" s="15">
        <f>IFERROR(VLOOKUP($G21,'Visu totale'!$D$3:$DH$129,S$1,0),0)</f>
        <v>0</v>
      </c>
      <c r="T21" s="14">
        <f>IFERROR(VLOOKUP($G21,'Visu totale'!$D$3:$DH$129,T$1,0),0)</f>
        <v>0</v>
      </c>
      <c r="U21" s="13">
        <f>IFERROR(VLOOKUP($G21,'Visu totale'!$D$3:$DH$129,U$1,0),0)</f>
        <v>0</v>
      </c>
      <c r="V21" s="13">
        <f>IFERROR(VLOOKUP($G21,'Visu totale'!$D$3:$DH$129,V$1,0),0)</f>
        <v>0</v>
      </c>
      <c r="W21" s="13">
        <f>IFERROR(VLOOKUP($G21,'Visu totale'!$D$3:$DH$129,W$1,0),0)</f>
        <v>0</v>
      </c>
      <c r="X21" s="13">
        <f>IFERROR(VLOOKUP($G21,'Visu totale'!$D$3:$DH$129,X$1,0),0)</f>
        <v>0</v>
      </c>
      <c r="Y21" s="13">
        <f>IFERROR(VLOOKUP($G21,'Visu totale'!$D$3:$DH$129,Y$1,0),0)</f>
        <v>0</v>
      </c>
      <c r="Z21" s="13">
        <f>IFERROR(VLOOKUP($G21,'Visu totale'!$D$3:$DH$129,Z$1,0),0)</f>
        <v>0</v>
      </c>
      <c r="AA21" s="13">
        <f>IFERROR(VLOOKUP($G21,'Visu totale'!$D$3:$DH$129,AA$1,0),0)</f>
        <v>0</v>
      </c>
      <c r="AB21" s="13">
        <f>IFERROR(VLOOKUP($G21,'Visu totale'!$D$3:$DH$129,AB$1,0),0)</f>
        <v>0</v>
      </c>
      <c r="AC21" s="13">
        <f>IFERROR(VLOOKUP($G21,'Visu totale'!$D$3:$DH$129,AC$1,0),0)</f>
        <v>0</v>
      </c>
      <c r="AD21" s="13">
        <f>IFERROR(VLOOKUP($G21,'Visu totale'!$D$3:$DH$129,AD$1,0),0)</f>
        <v>0</v>
      </c>
      <c r="AE21" s="15">
        <f>IFERROR(VLOOKUP($G21,'Visu totale'!$D$3:$DH$129,AE$1,0),0)</f>
        <v>0</v>
      </c>
      <c r="AF21" s="14">
        <f>IFERROR(VLOOKUP($G21,'Visu totale'!$D$3:$DH$129,AF$1,0),0)</f>
        <v>0</v>
      </c>
      <c r="AG21" s="13">
        <f>IFERROR(VLOOKUP($G21,'Visu totale'!$D$3:$DH$129,AG$1,0),0)</f>
        <v>0</v>
      </c>
      <c r="AH21" s="13">
        <f>IFERROR(VLOOKUP($G21,'Visu totale'!$D$3:$DH$129,AH$1,0),0)</f>
        <v>0</v>
      </c>
      <c r="AI21" s="13">
        <f>IFERROR(VLOOKUP($G21,'Visu totale'!$D$3:$DH$129,AI$1,0),0)</f>
        <v>0</v>
      </c>
      <c r="AJ21" s="13">
        <f>IFERROR(VLOOKUP($G21,'Visu totale'!$D$3:$DH$129,AJ$1,0),0)</f>
        <v>0</v>
      </c>
      <c r="AK21" s="13">
        <f>IFERROR(VLOOKUP($G21,'Visu totale'!$D$3:$DH$129,AK$1,0),0)</f>
        <v>0</v>
      </c>
      <c r="AL21" s="13">
        <f>IFERROR(VLOOKUP($G21,'Visu totale'!$D$3:$DH$129,AL$1,0),0)</f>
        <v>0</v>
      </c>
      <c r="AM21" s="13">
        <f>IFERROR(VLOOKUP($G21,'Visu totale'!$D$3:$DH$129,AM$1,0),0)</f>
        <v>0</v>
      </c>
      <c r="AN21" s="13">
        <f>IFERROR(VLOOKUP($G21,'Visu totale'!$D$3:$DH$129,AN$1,0),0)</f>
        <v>0</v>
      </c>
      <c r="AO21" s="13">
        <f>IFERROR(VLOOKUP($G21,'Visu totale'!$D$3:$DH$129,AO$1,0),0)</f>
        <v>0</v>
      </c>
      <c r="AP21" s="13">
        <f>IFERROR(VLOOKUP($G21,'Visu totale'!$D$3:$DH$129,AP$1,0),0)</f>
        <v>0</v>
      </c>
      <c r="AQ21" s="15">
        <f>IFERROR(VLOOKUP($G21,'Visu totale'!$D$3:$DH$129,AQ$1,0),0)</f>
        <v>0</v>
      </c>
      <c r="AR21" s="14">
        <f>IFERROR(VLOOKUP($G21,'Visu totale'!$D$3:$DH$129,AR$1,0),0)</f>
        <v>0</v>
      </c>
      <c r="AS21" s="13">
        <f>IFERROR(VLOOKUP($G21,'Visu totale'!$D$3:$DH$129,AS$1,0),0)</f>
        <v>0</v>
      </c>
      <c r="AT21" s="13">
        <f>IFERROR(VLOOKUP($G21,'Visu totale'!$D$3:$DH$129,AT$1,0),0)</f>
        <v>0</v>
      </c>
      <c r="AU21" s="13">
        <f>IFERROR(VLOOKUP($G21,'Visu totale'!$D$3:$DH$129,AU$1,0),0)</f>
        <v>0</v>
      </c>
      <c r="AV21" s="13">
        <f>IFERROR(VLOOKUP($G21,'Visu totale'!$D$3:$DH$129,AV$1,0),0)</f>
        <v>0</v>
      </c>
      <c r="AW21" s="13">
        <f>IFERROR(VLOOKUP($G21,'Visu totale'!$D$3:$DH$129,AW$1,0),0)</f>
        <v>0</v>
      </c>
      <c r="AX21" s="13">
        <f>IFERROR(VLOOKUP($G21,'Visu totale'!$D$3:$DH$129,AX$1,0),0)</f>
        <v>0</v>
      </c>
      <c r="AY21" s="13">
        <f>IFERROR(VLOOKUP($G21,'Visu totale'!$D$3:$DH$129,AY$1,0),0)</f>
        <v>0</v>
      </c>
      <c r="AZ21" s="13">
        <f>IFERROR(VLOOKUP($G21,'Visu totale'!$D$3:$DH$129,AZ$1,0),0)</f>
        <v>0</v>
      </c>
      <c r="BA21" s="13">
        <f>IFERROR(VLOOKUP($G21,'Visu totale'!$D$3:$DH$129,BA$1,0),0)</f>
        <v>0</v>
      </c>
      <c r="BB21" s="13">
        <f>IFERROR(VLOOKUP($G21,'Visu totale'!$D$3:$DH$129,BB$1,0),0)</f>
        <v>0</v>
      </c>
      <c r="BC21" s="15">
        <f>IFERROR(VLOOKUP($G21,'Visu totale'!$D$3:$DH$129,BC$1,0),0)</f>
        <v>0</v>
      </c>
      <c r="BD21" s="14">
        <f>IFERROR(VLOOKUP($G21,'Visu totale'!$D$3:$DH$129,BD$1,0),0)</f>
        <v>0</v>
      </c>
      <c r="BE21" s="13">
        <f>IFERROR(VLOOKUP($G21,'Visu totale'!$D$3:$DH$129,BE$1,0),0)</f>
        <v>0</v>
      </c>
      <c r="BF21" s="13">
        <f>IFERROR(VLOOKUP($G21,'Visu totale'!$D$3:$DH$129,BF$1,0),0)</f>
        <v>0</v>
      </c>
      <c r="BG21" s="13">
        <f>IFERROR(VLOOKUP($G21,'Visu totale'!$D$3:$DH$129,BG$1,0),0)</f>
        <v>0</v>
      </c>
      <c r="BH21" s="13">
        <f>IFERROR(VLOOKUP($G21,'Visu totale'!$D$3:$DH$129,BH$1,0),0)</f>
        <v>0</v>
      </c>
      <c r="BI21" s="13">
        <f>IFERROR(VLOOKUP($G21,'Visu totale'!$D$3:$DH$129,BI$1,0),0)</f>
        <v>0</v>
      </c>
      <c r="BJ21" s="13">
        <f>IFERROR(VLOOKUP($G21,'Visu totale'!$D$3:$DH$129,BJ$1,0),0)</f>
        <v>0</v>
      </c>
      <c r="BK21" s="13">
        <f>IFERROR(VLOOKUP($G21,'Visu totale'!$D$3:$DH$129,BK$1,0),0)</f>
        <v>0</v>
      </c>
      <c r="BL21" s="13">
        <f>IFERROR(VLOOKUP($G21,'Visu totale'!$D$3:$DH$129,BL$1,0),0)</f>
        <v>0</v>
      </c>
      <c r="BM21" s="13">
        <f>IFERROR(VLOOKUP($G21,'Visu totale'!$D$3:$DH$129,BM$1,0),0)</f>
        <v>0</v>
      </c>
      <c r="BN21" s="13">
        <f>IFERROR(VLOOKUP($G21,'Visu totale'!$D$3:$DH$129,BN$1,0),0)</f>
        <v>0</v>
      </c>
      <c r="BO21" s="15">
        <f>IFERROR(VLOOKUP($G21,'Visu totale'!$D$3:$DH$129,BO$1,0),0)</f>
        <v>0</v>
      </c>
      <c r="BP21" s="14">
        <f>IFERROR(VLOOKUP($G21,'Visu totale'!$D$3:$DH$129,BP$1,0),0)</f>
        <v>0</v>
      </c>
      <c r="BQ21" s="13">
        <f>IFERROR(VLOOKUP($G21,'Visu totale'!$D$3:$DH$129,BQ$1,0),0)</f>
        <v>0</v>
      </c>
      <c r="BR21" s="13">
        <f>IFERROR(VLOOKUP($G21,'Visu totale'!$D$3:$DH$129,BR$1,0),0)</f>
        <v>0</v>
      </c>
      <c r="BS21" s="13">
        <f>IFERROR(VLOOKUP($G21,'Visu totale'!$D$3:$DH$129,BS$1,0),0)</f>
        <v>0</v>
      </c>
      <c r="BT21" s="13">
        <f>IFERROR(VLOOKUP($G21,'Visu totale'!$D$3:$DH$129,BT$1,0),0)</f>
        <v>0</v>
      </c>
      <c r="BU21" s="13">
        <f>IFERROR(VLOOKUP($G21,'Visu totale'!$D$3:$DH$129,BU$1,0),0)</f>
        <v>0</v>
      </c>
      <c r="BV21" s="13">
        <f>IFERROR(VLOOKUP($G21,'Visu totale'!$D$3:$DH$129,BV$1,0),0)</f>
        <v>0</v>
      </c>
      <c r="BW21" s="13">
        <f>IFERROR(VLOOKUP($G21,'Visu totale'!$D$3:$DH$129,BW$1,0),0)</f>
        <v>0</v>
      </c>
      <c r="BX21" s="13">
        <f>IFERROR(VLOOKUP($G21,'Visu totale'!$D$3:$DH$129,BX$1,0),0)</f>
        <v>0</v>
      </c>
      <c r="BY21" s="13">
        <f>IFERROR(VLOOKUP($G21,'Visu totale'!$D$3:$DH$129,BY$1,0),0)</f>
        <v>0</v>
      </c>
      <c r="BZ21" s="13">
        <f>IFERROR(VLOOKUP($G21,'Visu totale'!$D$3:$DH$129,BZ$1,0),0)</f>
        <v>0</v>
      </c>
      <c r="CA21" s="15">
        <f>IFERROR(VLOOKUP($G21,'Visu totale'!$D$3:$DH$129,CA$1,0),0)</f>
        <v>0</v>
      </c>
      <c r="CB21" s="14">
        <f>IFERROR(VLOOKUP($G21,'Visu totale'!$D$3:$DH$129,CB$1,0),0)</f>
        <v>0</v>
      </c>
      <c r="CC21" s="13">
        <f>IFERROR(VLOOKUP($G21,'Visu totale'!$D$3:$DH$129,CC$1,0),0)</f>
        <v>0</v>
      </c>
      <c r="CD21" s="13">
        <f>IFERROR(VLOOKUP($G21,'Visu totale'!$D$3:$DH$129,CD$1,0),0)</f>
        <v>0</v>
      </c>
      <c r="CE21" s="13">
        <f>IFERROR(VLOOKUP($G21,'Visu totale'!$D$3:$DH$129,CE$1,0),0)</f>
        <v>0</v>
      </c>
      <c r="CF21" s="13">
        <f>IFERROR(VLOOKUP($G21,'Visu totale'!$D$3:$DH$129,CF$1,0),0)</f>
        <v>0</v>
      </c>
      <c r="CG21" s="13">
        <f>IFERROR(VLOOKUP($G21,'Visu totale'!$D$3:$DH$129,CG$1,0),0)</f>
        <v>0</v>
      </c>
      <c r="CH21" s="13">
        <f>IFERROR(VLOOKUP($G21,'Visu totale'!$D$3:$DH$129,CH$1,0),0)</f>
        <v>0</v>
      </c>
      <c r="CI21" s="13">
        <f>IFERROR(VLOOKUP($G21,'Visu totale'!$D$3:$DH$129,CI$1,0),0)</f>
        <v>0</v>
      </c>
      <c r="CJ21" s="13">
        <f>IFERROR(VLOOKUP($G21,'Visu totale'!$D$3:$DH$129,CJ$1,0),0)</f>
        <v>0</v>
      </c>
      <c r="CK21" s="13">
        <f>IFERROR(VLOOKUP($G21,'Visu totale'!$D$3:$DH$129,CK$1,0),0)</f>
        <v>0</v>
      </c>
      <c r="CL21" s="13">
        <f>IFERROR(VLOOKUP($G21,'Visu totale'!$D$3:$DH$129,CL$1,0),0)</f>
        <v>0</v>
      </c>
      <c r="CM21" s="15">
        <f>IFERROR(VLOOKUP($G21,'Visu totale'!$D$3:$DH$129,CM$1,0),0)</f>
        <v>0</v>
      </c>
      <c r="CN21" s="14">
        <f>IFERROR(VLOOKUP($G21,'Visu totale'!$D$3:$DH$129,CN$1,0),0)</f>
        <v>0</v>
      </c>
      <c r="CO21" s="13">
        <f>IFERROR(VLOOKUP($G21,'Visu totale'!$D$3:$DH$129,CO$1,0),0)</f>
        <v>0</v>
      </c>
      <c r="CP21" s="13">
        <f>IFERROR(VLOOKUP($G21,'Visu totale'!$D$3:$DH$129,CP$1,0),0)</f>
        <v>0</v>
      </c>
      <c r="CQ21" s="13">
        <f>IFERROR(VLOOKUP($G21,'Visu totale'!$D$3:$DH$129,CQ$1,0),0)</f>
        <v>0</v>
      </c>
      <c r="CR21" s="13">
        <f>IFERROR(VLOOKUP($G21,'Visu totale'!$D$3:$DH$129,CR$1,0),0)</f>
        <v>0</v>
      </c>
      <c r="CS21" s="13">
        <f>IFERROR(VLOOKUP($G21,'Visu totale'!$D$3:$DH$129,CS$1,0),0)</f>
        <v>0</v>
      </c>
      <c r="CT21" s="13">
        <f>IFERROR(VLOOKUP($G21,'Visu totale'!$D$3:$DH$129,CT$1,0),0)</f>
        <v>0</v>
      </c>
      <c r="CU21" s="13">
        <f>IFERROR(VLOOKUP($G21,'Visu totale'!$D$3:$DH$129,CU$1,0),0)</f>
        <v>0</v>
      </c>
      <c r="CV21" s="13">
        <f>IFERROR(VLOOKUP($G21,'Visu totale'!$D$3:$DH$129,CV$1,0),0)</f>
        <v>0</v>
      </c>
      <c r="CW21" s="13">
        <f>IFERROR(VLOOKUP($G21,'Visu totale'!$D$3:$DH$129,CW$1,0),0)</f>
        <v>0</v>
      </c>
      <c r="CX21" s="13">
        <f>IFERROR(VLOOKUP($G21,'Visu totale'!$D$3:$DH$129,CX$1,0),0)</f>
        <v>0</v>
      </c>
      <c r="CY21" s="15">
        <f>IFERROR(VLOOKUP($G21,'Visu totale'!$D$3:$DH$129,CY$1,0),0)</f>
        <v>0</v>
      </c>
      <c r="CZ21" s="14">
        <f>IFERROR(VLOOKUP($G21,'Visu totale'!$D$3:$DH$129,CZ$1,0),0)</f>
        <v>0</v>
      </c>
      <c r="DA21" s="13">
        <f>IFERROR(VLOOKUP($G21,'Visu totale'!$D$3:$DH$129,DA$1,0),0)</f>
        <v>0</v>
      </c>
      <c r="DB21" s="13">
        <f>IFERROR(VLOOKUP($G21,'Visu totale'!$D$3:$DH$129,DB$1,0),0)</f>
        <v>0</v>
      </c>
      <c r="DC21" s="13">
        <f>IFERROR(VLOOKUP($G21,'Visu totale'!$D$3:$DH$129,DC$1,0),0)</f>
        <v>0</v>
      </c>
      <c r="DD21" s="13">
        <f>IFERROR(VLOOKUP($G21,'Visu totale'!$D$3:$DH$129,DD$1,0),0)</f>
        <v>0</v>
      </c>
      <c r="DE21" s="13">
        <f>IFERROR(VLOOKUP($G21,'Visu totale'!$D$3:$DH$129,DE$1,0),0)</f>
        <v>0</v>
      </c>
      <c r="DF21" s="13">
        <f>IFERROR(VLOOKUP($G21,'Visu totale'!$D$3:$DH$129,DF$1,0),0)</f>
        <v>0</v>
      </c>
      <c r="DG21" s="13">
        <f>IFERROR(VLOOKUP($G21,'Visu totale'!$D$3:$DH$129,DG$1,0),0)</f>
        <v>0</v>
      </c>
      <c r="DH21" s="13">
        <f>IFERROR(VLOOKUP($G21,'Visu totale'!$D$3:$DH$129,DH$1,0),0)</f>
        <v>0</v>
      </c>
      <c r="DI21" s="13">
        <f>IFERROR(VLOOKUP($G21,'Visu totale'!$D$3:$DH$129,DI$1,0),0)</f>
        <v>0</v>
      </c>
      <c r="DJ21" s="13">
        <f>IFERROR(VLOOKUP($G21,'Visu totale'!$D$3:$DH$129,DJ$1,0),0)</f>
        <v>0</v>
      </c>
      <c r="DK21" s="15">
        <f>IFERROR(VLOOKUP($G21,'Visu totale'!$D$3:$DH$129,DK$1,0),0)</f>
        <v>0</v>
      </c>
    </row>
    <row r="22" spans="1:115" x14ac:dyDescent="0.25">
      <c r="A22" s="13"/>
      <c r="B22" s="13"/>
      <c r="C22" s="13"/>
      <c r="D22" s="16"/>
      <c r="E22" s="13"/>
      <c r="F22" s="13"/>
      <c r="G22" s="17" t="s">
        <v>24</v>
      </c>
      <c r="H22" s="14">
        <f>IFERROR(VLOOKUP($G22,'Visu totale'!$D$3:$DH$129,H$1,0),0)</f>
        <v>0</v>
      </c>
      <c r="I22" s="13">
        <f>IFERROR(VLOOKUP($G22,'Visu totale'!$D$3:$DH$129,I$1,0),0)</f>
        <v>0</v>
      </c>
      <c r="J22" s="13">
        <f>IFERROR(VLOOKUP($G22,'Visu totale'!$D$3:$DH$129,J$1,0),0)</f>
        <v>0</v>
      </c>
      <c r="K22" s="13">
        <f>IFERROR(VLOOKUP($G22,'Visu totale'!$D$3:$DH$129,K$1,0),0)</f>
        <v>0</v>
      </c>
      <c r="L22" s="13">
        <f>IFERROR(VLOOKUP($G22,'Visu totale'!$D$3:$DH$129,L$1,0),0)</f>
        <v>0</v>
      </c>
      <c r="M22" s="13">
        <f>IFERROR(VLOOKUP($G22,'Visu totale'!$D$3:$DH$129,M$1,0),0)</f>
        <v>0</v>
      </c>
      <c r="N22" s="13">
        <f>IFERROR(VLOOKUP($G22,'Visu totale'!$D$3:$DH$129,N$1,0),0)</f>
        <v>0</v>
      </c>
      <c r="O22" s="13">
        <f>IFERROR(VLOOKUP($G22,'Visu totale'!$D$3:$DH$129,O$1,0),0)</f>
        <v>0</v>
      </c>
      <c r="P22" s="13">
        <f>IFERROR(VLOOKUP($G22,'Visu totale'!$D$3:$DH$129,P$1,0),0)</f>
        <v>0</v>
      </c>
      <c r="Q22" s="13">
        <f>IFERROR(VLOOKUP($G22,'Visu totale'!$D$3:$DH$129,Q$1,0),0)</f>
        <v>0</v>
      </c>
      <c r="R22" s="13">
        <f>IFERROR(VLOOKUP($G22,'Visu totale'!$D$3:$DH$129,R$1,0),0)</f>
        <v>0</v>
      </c>
      <c r="S22" s="15">
        <f>IFERROR(VLOOKUP($G22,'Visu totale'!$D$3:$DH$129,S$1,0),0)</f>
        <v>0</v>
      </c>
      <c r="T22" s="14">
        <f>IFERROR(VLOOKUP($G22,'Visu totale'!$D$3:$DH$129,T$1,0),0)</f>
        <v>0</v>
      </c>
      <c r="U22" s="13">
        <f>IFERROR(VLOOKUP($G22,'Visu totale'!$D$3:$DH$129,U$1,0),0)</f>
        <v>0</v>
      </c>
      <c r="V22" s="13">
        <f>IFERROR(VLOOKUP($G22,'Visu totale'!$D$3:$DH$129,V$1,0),0)</f>
        <v>0</v>
      </c>
      <c r="W22" s="13">
        <f>IFERROR(VLOOKUP($G22,'Visu totale'!$D$3:$DH$129,W$1,0),0)</f>
        <v>0</v>
      </c>
      <c r="X22" s="13">
        <f>IFERROR(VLOOKUP($G22,'Visu totale'!$D$3:$DH$129,X$1,0),0)</f>
        <v>0</v>
      </c>
      <c r="Y22" s="13">
        <f>IFERROR(VLOOKUP($G22,'Visu totale'!$D$3:$DH$129,Y$1,0),0)</f>
        <v>0</v>
      </c>
      <c r="Z22" s="13">
        <f>IFERROR(VLOOKUP($G22,'Visu totale'!$D$3:$DH$129,Z$1,0),0)</f>
        <v>0</v>
      </c>
      <c r="AA22" s="13">
        <f>IFERROR(VLOOKUP($G22,'Visu totale'!$D$3:$DH$129,AA$1,0),0)</f>
        <v>0</v>
      </c>
      <c r="AB22" s="13">
        <f>IFERROR(VLOOKUP($G22,'Visu totale'!$D$3:$DH$129,AB$1,0),0)</f>
        <v>0</v>
      </c>
      <c r="AC22" s="13">
        <f>IFERROR(VLOOKUP($G22,'Visu totale'!$D$3:$DH$129,AC$1,0),0)</f>
        <v>0</v>
      </c>
      <c r="AD22" s="13">
        <f>IFERROR(VLOOKUP($G22,'Visu totale'!$D$3:$DH$129,AD$1,0),0)</f>
        <v>0</v>
      </c>
      <c r="AE22" s="15">
        <f>IFERROR(VLOOKUP($G22,'Visu totale'!$D$3:$DH$129,AE$1,0),0)</f>
        <v>0</v>
      </c>
      <c r="AF22" s="14">
        <f>IFERROR(VLOOKUP($G22,'Visu totale'!$D$3:$DH$129,AF$1,0),0)</f>
        <v>0</v>
      </c>
      <c r="AG22" s="13">
        <f>IFERROR(VLOOKUP($G22,'Visu totale'!$D$3:$DH$129,AG$1,0),0)</f>
        <v>0</v>
      </c>
      <c r="AH22" s="13">
        <f>IFERROR(VLOOKUP($G22,'Visu totale'!$D$3:$DH$129,AH$1,0),0)</f>
        <v>0</v>
      </c>
      <c r="AI22" s="13">
        <f>IFERROR(VLOOKUP($G22,'Visu totale'!$D$3:$DH$129,AI$1,0),0)</f>
        <v>0</v>
      </c>
      <c r="AJ22" s="13">
        <f>IFERROR(VLOOKUP($G22,'Visu totale'!$D$3:$DH$129,AJ$1,0),0)</f>
        <v>0</v>
      </c>
      <c r="AK22" s="13">
        <f>IFERROR(VLOOKUP($G22,'Visu totale'!$D$3:$DH$129,AK$1,0),0)</f>
        <v>0</v>
      </c>
      <c r="AL22" s="13">
        <f>IFERROR(VLOOKUP($G22,'Visu totale'!$D$3:$DH$129,AL$1,0),0)</f>
        <v>0</v>
      </c>
      <c r="AM22" s="13">
        <f>IFERROR(VLOOKUP($G22,'Visu totale'!$D$3:$DH$129,AM$1,0),0)</f>
        <v>0</v>
      </c>
      <c r="AN22" s="13">
        <f>IFERROR(VLOOKUP($G22,'Visu totale'!$D$3:$DH$129,AN$1,0),0)</f>
        <v>0</v>
      </c>
      <c r="AO22" s="13">
        <f>IFERROR(VLOOKUP($G22,'Visu totale'!$D$3:$DH$129,AO$1,0),0)</f>
        <v>0</v>
      </c>
      <c r="AP22" s="13">
        <f>IFERROR(VLOOKUP($G22,'Visu totale'!$D$3:$DH$129,AP$1,0),0)</f>
        <v>0</v>
      </c>
      <c r="AQ22" s="15">
        <f>IFERROR(VLOOKUP($G22,'Visu totale'!$D$3:$DH$129,AQ$1,0),0)</f>
        <v>0</v>
      </c>
      <c r="AR22" s="14">
        <f>IFERROR(VLOOKUP($G22,'Visu totale'!$D$3:$DH$129,AR$1,0),0)</f>
        <v>0</v>
      </c>
      <c r="AS22" s="13">
        <f>IFERROR(VLOOKUP($G22,'Visu totale'!$D$3:$DH$129,AS$1,0),0)</f>
        <v>0</v>
      </c>
      <c r="AT22" s="13">
        <f>IFERROR(VLOOKUP($G22,'Visu totale'!$D$3:$DH$129,AT$1,0),0)</f>
        <v>0</v>
      </c>
      <c r="AU22" s="13">
        <f>IFERROR(VLOOKUP($G22,'Visu totale'!$D$3:$DH$129,AU$1,0),0)</f>
        <v>0</v>
      </c>
      <c r="AV22" s="13">
        <f>IFERROR(VLOOKUP($G22,'Visu totale'!$D$3:$DH$129,AV$1,0),0)</f>
        <v>0</v>
      </c>
      <c r="AW22" s="13">
        <f>IFERROR(VLOOKUP($G22,'Visu totale'!$D$3:$DH$129,AW$1,0),0)</f>
        <v>0</v>
      </c>
      <c r="AX22" s="13">
        <f>IFERROR(VLOOKUP($G22,'Visu totale'!$D$3:$DH$129,AX$1,0),0)</f>
        <v>0</v>
      </c>
      <c r="AY22" s="13">
        <f>IFERROR(VLOOKUP($G22,'Visu totale'!$D$3:$DH$129,AY$1,0),0)</f>
        <v>0</v>
      </c>
      <c r="AZ22" s="13">
        <f>IFERROR(VLOOKUP($G22,'Visu totale'!$D$3:$DH$129,AZ$1,0),0)</f>
        <v>0</v>
      </c>
      <c r="BA22" s="13">
        <f>IFERROR(VLOOKUP($G22,'Visu totale'!$D$3:$DH$129,BA$1,0),0)</f>
        <v>0</v>
      </c>
      <c r="BB22" s="13">
        <f>IFERROR(VLOOKUP($G22,'Visu totale'!$D$3:$DH$129,BB$1,0),0)</f>
        <v>0</v>
      </c>
      <c r="BC22" s="15">
        <f>IFERROR(VLOOKUP($G22,'Visu totale'!$D$3:$DH$129,BC$1,0),0)</f>
        <v>0</v>
      </c>
      <c r="BD22" s="14">
        <f>IFERROR(VLOOKUP($G22,'Visu totale'!$D$3:$DH$129,BD$1,0),0)</f>
        <v>0</v>
      </c>
      <c r="BE22" s="13">
        <f>IFERROR(VLOOKUP($G22,'Visu totale'!$D$3:$DH$129,BE$1,0),0)</f>
        <v>0</v>
      </c>
      <c r="BF22" s="13">
        <f>IFERROR(VLOOKUP($G22,'Visu totale'!$D$3:$DH$129,BF$1,0),0)</f>
        <v>0</v>
      </c>
      <c r="BG22" s="13">
        <f>IFERROR(VLOOKUP($G22,'Visu totale'!$D$3:$DH$129,BG$1,0),0)</f>
        <v>0</v>
      </c>
      <c r="BH22" s="13">
        <f>IFERROR(VLOOKUP($G22,'Visu totale'!$D$3:$DH$129,BH$1,0),0)</f>
        <v>0</v>
      </c>
      <c r="BI22" s="13">
        <f>IFERROR(VLOOKUP($G22,'Visu totale'!$D$3:$DH$129,BI$1,0),0)</f>
        <v>0</v>
      </c>
      <c r="BJ22" s="13">
        <f>IFERROR(VLOOKUP($G22,'Visu totale'!$D$3:$DH$129,BJ$1,0),0)</f>
        <v>0</v>
      </c>
      <c r="BK22" s="13">
        <f>IFERROR(VLOOKUP($G22,'Visu totale'!$D$3:$DH$129,BK$1,0),0)</f>
        <v>0</v>
      </c>
      <c r="BL22" s="13">
        <f>IFERROR(VLOOKUP($G22,'Visu totale'!$D$3:$DH$129,BL$1,0),0)</f>
        <v>0</v>
      </c>
      <c r="BM22" s="13">
        <f>IFERROR(VLOOKUP($G22,'Visu totale'!$D$3:$DH$129,BM$1,0),0)</f>
        <v>0</v>
      </c>
      <c r="BN22" s="13">
        <f>IFERROR(VLOOKUP($G22,'Visu totale'!$D$3:$DH$129,BN$1,0),0)</f>
        <v>0</v>
      </c>
      <c r="BO22" s="15">
        <f>IFERROR(VLOOKUP($G22,'Visu totale'!$D$3:$DH$129,BO$1,0),0)</f>
        <v>0</v>
      </c>
      <c r="BP22" s="14">
        <f>IFERROR(VLOOKUP($G22,'Visu totale'!$D$3:$DH$129,BP$1,0),0)</f>
        <v>0</v>
      </c>
      <c r="BQ22" s="13">
        <f>IFERROR(VLOOKUP($G22,'Visu totale'!$D$3:$DH$129,BQ$1,0),0)</f>
        <v>0</v>
      </c>
      <c r="BR22" s="13">
        <f>IFERROR(VLOOKUP($G22,'Visu totale'!$D$3:$DH$129,BR$1,0),0)</f>
        <v>0</v>
      </c>
      <c r="BS22" s="13">
        <f>IFERROR(VLOOKUP($G22,'Visu totale'!$D$3:$DH$129,BS$1,0),0)</f>
        <v>0</v>
      </c>
      <c r="BT22" s="13">
        <f>IFERROR(VLOOKUP($G22,'Visu totale'!$D$3:$DH$129,BT$1,0),0)</f>
        <v>0</v>
      </c>
      <c r="BU22" s="13">
        <f>IFERROR(VLOOKUP($G22,'Visu totale'!$D$3:$DH$129,BU$1,0),0)</f>
        <v>0</v>
      </c>
      <c r="BV22" s="13">
        <f>IFERROR(VLOOKUP($G22,'Visu totale'!$D$3:$DH$129,BV$1,0),0)</f>
        <v>0</v>
      </c>
      <c r="BW22" s="13">
        <f>IFERROR(VLOOKUP($G22,'Visu totale'!$D$3:$DH$129,BW$1,0),0)</f>
        <v>0</v>
      </c>
      <c r="BX22" s="13">
        <f>IFERROR(VLOOKUP($G22,'Visu totale'!$D$3:$DH$129,BX$1,0),0)</f>
        <v>0</v>
      </c>
      <c r="BY22" s="13">
        <f>IFERROR(VLOOKUP($G22,'Visu totale'!$D$3:$DH$129,BY$1,0),0)</f>
        <v>0</v>
      </c>
      <c r="BZ22" s="13">
        <f>IFERROR(VLOOKUP($G22,'Visu totale'!$D$3:$DH$129,BZ$1,0),0)</f>
        <v>0</v>
      </c>
      <c r="CA22" s="15">
        <f>IFERROR(VLOOKUP($G22,'Visu totale'!$D$3:$DH$129,CA$1,0),0)</f>
        <v>0</v>
      </c>
      <c r="CB22" s="14">
        <f>IFERROR(VLOOKUP($G22,'Visu totale'!$D$3:$DH$129,CB$1,0),0)</f>
        <v>0</v>
      </c>
      <c r="CC22" s="13">
        <f>IFERROR(VLOOKUP($G22,'Visu totale'!$D$3:$DH$129,CC$1,0),0)</f>
        <v>0</v>
      </c>
      <c r="CD22" s="13">
        <f>IFERROR(VLOOKUP($G22,'Visu totale'!$D$3:$DH$129,CD$1,0),0)</f>
        <v>0</v>
      </c>
      <c r="CE22" s="13">
        <f>IFERROR(VLOOKUP($G22,'Visu totale'!$D$3:$DH$129,CE$1,0),0)</f>
        <v>0</v>
      </c>
      <c r="CF22" s="13">
        <f>IFERROR(VLOOKUP($G22,'Visu totale'!$D$3:$DH$129,CF$1,0),0)</f>
        <v>0</v>
      </c>
      <c r="CG22" s="13">
        <f>IFERROR(VLOOKUP($G22,'Visu totale'!$D$3:$DH$129,CG$1,0),0)</f>
        <v>0</v>
      </c>
      <c r="CH22" s="13">
        <f>IFERROR(VLOOKUP($G22,'Visu totale'!$D$3:$DH$129,CH$1,0),0)</f>
        <v>0</v>
      </c>
      <c r="CI22" s="13">
        <f>IFERROR(VLOOKUP($G22,'Visu totale'!$D$3:$DH$129,CI$1,0),0)</f>
        <v>0</v>
      </c>
      <c r="CJ22" s="13">
        <f>IFERROR(VLOOKUP($G22,'Visu totale'!$D$3:$DH$129,CJ$1,0),0)</f>
        <v>0</v>
      </c>
      <c r="CK22" s="13">
        <f>IFERROR(VLOOKUP($G22,'Visu totale'!$D$3:$DH$129,CK$1,0),0)</f>
        <v>0</v>
      </c>
      <c r="CL22" s="13">
        <f>IFERROR(VLOOKUP($G22,'Visu totale'!$D$3:$DH$129,CL$1,0),0)</f>
        <v>0</v>
      </c>
      <c r="CM22" s="15">
        <f>IFERROR(VLOOKUP($G22,'Visu totale'!$D$3:$DH$129,CM$1,0),0)</f>
        <v>0</v>
      </c>
      <c r="CN22" s="14">
        <f>IFERROR(VLOOKUP($G22,'Visu totale'!$D$3:$DH$129,CN$1,0),0)</f>
        <v>0</v>
      </c>
      <c r="CO22" s="13">
        <f>IFERROR(VLOOKUP($G22,'Visu totale'!$D$3:$DH$129,CO$1,0),0)</f>
        <v>0</v>
      </c>
      <c r="CP22" s="13">
        <f>IFERROR(VLOOKUP($G22,'Visu totale'!$D$3:$DH$129,CP$1,0),0)</f>
        <v>0</v>
      </c>
      <c r="CQ22" s="13">
        <f>IFERROR(VLOOKUP($G22,'Visu totale'!$D$3:$DH$129,CQ$1,0),0)</f>
        <v>0</v>
      </c>
      <c r="CR22" s="13">
        <f>IFERROR(VLOOKUP($G22,'Visu totale'!$D$3:$DH$129,CR$1,0),0)</f>
        <v>0</v>
      </c>
      <c r="CS22" s="13">
        <f>IFERROR(VLOOKUP($G22,'Visu totale'!$D$3:$DH$129,CS$1,0),0)</f>
        <v>0</v>
      </c>
      <c r="CT22" s="13">
        <f>IFERROR(VLOOKUP($G22,'Visu totale'!$D$3:$DH$129,CT$1,0),0)</f>
        <v>0</v>
      </c>
      <c r="CU22" s="13">
        <f>IFERROR(VLOOKUP($G22,'Visu totale'!$D$3:$DH$129,CU$1,0),0)</f>
        <v>0</v>
      </c>
      <c r="CV22" s="13">
        <f>IFERROR(VLOOKUP($G22,'Visu totale'!$D$3:$DH$129,CV$1,0),0)</f>
        <v>0</v>
      </c>
      <c r="CW22" s="13">
        <f>IFERROR(VLOOKUP($G22,'Visu totale'!$D$3:$DH$129,CW$1,0),0)</f>
        <v>0</v>
      </c>
      <c r="CX22" s="13">
        <f>IFERROR(VLOOKUP($G22,'Visu totale'!$D$3:$DH$129,CX$1,0),0)</f>
        <v>0</v>
      </c>
      <c r="CY22" s="15">
        <f>IFERROR(VLOOKUP($G22,'Visu totale'!$D$3:$DH$129,CY$1,0),0)</f>
        <v>0</v>
      </c>
      <c r="CZ22" s="14">
        <f>IFERROR(VLOOKUP($G22,'Visu totale'!$D$3:$DH$129,CZ$1,0),0)</f>
        <v>0</v>
      </c>
      <c r="DA22" s="13">
        <f>IFERROR(VLOOKUP($G22,'Visu totale'!$D$3:$DH$129,DA$1,0),0)</f>
        <v>0</v>
      </c>
      <c r="DB22" s="13">
        <f>IFERROR(VLOOKUP($G22,'Visu totale'!$D$3:$DH$129,DB$1,0),0)</f>
        <v>0</v>
      </c>
      <c r="DC22" s="13">
        <f>IFERROR(VLOOKUP($G22,'Visu totale'!$D$3:$DH$129,DC$1,0),0)</f>
        <v>0</v>
      </c>
      <c r="DD22" s="13">
        <f>IFERROR(VLOOKUP($G22,'Visu totale'!$D$3:$DH$129,DD$1,0),0)</f>
        <v>0</v>
      </c>
      <c r="DE22" s="13">
        <f>IFERROR(VLOOKUP($G22,'Visu totale'!$D$3:$DH$129,DE$1,0),0)</f>
        <v>0</v>
      </c>
      <c r="DF22" s="13">
        <f>IFERROR(VLOOKUP($G22,'Visu totale'!$D$3:$DH$129,DF$1,0),0)</f>
        <v>0</v>
      </c>
      <c r="DG22" s="13">
        <f>IFERROR(VLOOKUP($G22,'Visu totale'!$D$3:$DH$129,DG$1,0),0)</f>
        <v>0</v>
      </c>
      <c r="DH22" s="13">
        <f>IFERROR(VLOOKUP($G22,'Visu totale'!$D$3:$DH$129,DH$1,0),0)</f>
        <v>0</v>
      </c>
      <c r="DI22" s="13">
        <f>IFERROR(VLOOKUP($G22,'Visu totale'!$D$3:$DH$129,DI$1,0),0)</f>
        <v>0</v>
      </c>
      <c r="DJ22" s="13">
        <f>IFERROR(VLOOKUP($G22,'Visu totale'!$D$3:$DH$129,DJ$1,0),0)</f>
        <v>0</v>
      </c>
      <c r="DK22" s="15">
        <f>IFERROR(VLOOKUP($G22,'Visu totale'!$D$3:$DH$129,DK$1,0),0)</f>
        <v>0</v>
      </c>
    </row>
    <row r="23" spans="1:115" x14ac:dyDescent="0.25">
      <c r="A23" s="13"/>
      <c r="B23" s="13"/>
      <c r="C23" s="13"/>
      <c r="D23" s="16"/>
      <c r="E23" s="13"/>
      <c r="F23" s="13"/>
      <c r="G23" s="17" t="s">
        <v>25</v>
      </c>
      <c r="H23" s="14">
        <f>IFERROR(VLOOKUP($G23,'Visu totale'!$D$3:$DH$129,H$1,0),0)</f>
        <v>0</v>
      </c>
      <c r="I23" s="13">
        <f>IFERROR(VLOOKUP($G23,'Visu totale'!$D$3:$DH$129,I$1,0),0)</f>
        <v>0</v>
      </c>
      <c r="J23" s="13">
        <f>IFERROR(VLOOKUP($G23,'Visu totale'!$D$3:$DH$129,J$1,0),0)</f>
        <v>0</v>
      </c>
      <c r="K23" s="13">
        <f>IFERROR(VLOOKUP($G23,'Visu totale'!$D$3:$DH$129,K$1,0),0)</f>
        <v>0</v>
      </c>
      <c r="L23" s="13">
        <f>IFERROR(VLOOKUP($G23,'Visu totale'!$D$3:$DH$129,L$1,0),0)</f>
        <v>0</v>
      </c>
      <c r="M23" s="13">
        <f>IFERROR(VLOOKUP($G23,'Visu totale'!$D$3:$DH$129,M$1,0),0)</f>
        <v>0</v>
      </c>
      <c r="N23" s="13">
        <f>IFERROR(VLOOKUP($G23,'Visu totale'!$D$3:$DH$129,N$1,0),0)</f>
        <v>0</v>
      </c>
      <c r="O23" s="13">
        <f>IFERROR(VLOOKUP($G23,'Visu totale'!$D$3:$DH$129,O$1,0),0)</f>
        <v>0</v>
      </c>
      <c r="P23" s="13">
        <f>IFERROR(VLOOKUP($G23,'Visu totale'!$D$3:$DH$129,P$1,0),0)</f>
        <v>0</v>
      </c>
      <c r="Q23" s="13">
        <f>IFERROR(VLOOKUP($G23,'Visu totale'!$D$3:$DH$129,Q$1,0),0)</f>
        <v>0</v>
      </c>
      <c r="R23" s="13">
        <f>IFERROR(VLOOKUP($G23,'Visu totale'!$D$3:$DH$129,R$1,0),0)</f>
        <v>0</v>
      </c>
      <c r="S23" s="15">
        <f>IFERROR(VLOOKUP($G23,'Visu totale'!$D$3:$DH$129,S$1,0),0)</f>
        <v>0</v>
      </c>
      <c r="T23" s="14">
        <f>IFERROR(VLOOKUP($G23,'Visu totale'!$D$3:$DH$129,T$1,0),0)</f>
        <v>0</v>
      </c>
      <c r="U23" s="13">
        <f>IFERROR(VLOOKUP($G23,'Visu totale'!$D$3:$DH$129,U$1,0),0)</f>
        <v>0</v>
      </c>
      <c r="V23" s="13">
        <f>IFERROR(VLOOKUP($G23,'Visu totale'!$D$3:$DH$129,V$1,0),0)</f>
        <v>0</v>
      </c>
      <c r="W23" s="13">
        <f>IFERROR(VLOOKUP($G23,'Visu totale'!$D$3:$DH$129,W$1,0),0)</f>
        <v>0</v>
      </c>
      <c r="X23" s="13">
        <f>IFERROR(VLOOKUP($G23,'Visu totale'!$D$3:$DH$129,X$1,0),0)</f>
        <v>0</v>
      </c>
      <c r="Y23" s="13">
        <f>IFERROR(VLOOKUP($G23,'Visu totale'!$D$3:$DH$129,Y$1,0),0)</f>
        <v>0</v>
      </c>
      <c r="Z23" s="13">
        <f>IFERROR(VLOOKUP($G23,'Visu totale'!$D$3:$DH$129,Z$1,0),0)</f>
        <v>0</v>
      </c>
      <c r="AA23" s="13">
        <f>IFERROR(VLOOKUP($G23,'Visu totale'!$D$3:$DH$129,AA$1,0),0)</f>
        <v>0</v>
      </c>
      <c r="AB23" s="13">
        <f>IFERROR(VLOOKUP($G23,'Visu totale'!$D$3:$DH$129,AB$1,0),0)</f>
        <v>0</v>
      </c>
      <c r="AC23" s="13">
        <f>IFERROR(VLOOKUP($G23,'Visu totale'!$D$3:$DH$129,AC$1,0),0)</f>
        <v>0</v>
      </c>
      <c r="AD23" s="13">
        <f>IFERROR(VLOOKUP($G23,'Visu totale'!$D$3:$DH$129,AD$1,0),0)</f>
        <v>0</v>
      </c>
      <c r="AE23" s="15">
        <f>IFERROR(VLOOKUP($G23,'Visu totale'!$D$3:$DH$129,AE$1,0),0)</f>
        <v>0</v>
      </c>
      <c r="AF23" s="14">
        <f>IFERROR(VLOOKUP($G23,'Visu totale'!$D$3:$DH$129,AF$1,0),0)</f>
        <v>0</v>
      </c>
      <c r="AG23" s="13">
        <f>IFERROR(VLOOKUP($G23,'Visu totale'!$D$3:$DH$129,AG$1,0),0)</f>
        <v>0</v>
      </c>
      <c r="AH23" s="13">
        <f>IFERROR(VLOOKUP($G23,'Visu totale'!$D$3:$DH$129,AH$1,0),0)</f>
        <v>0</v>
      </c>
      <c r="AI23" s="13">
        <f>IFERROR(VLOOKUP($G23,'Visu totale'!$D$3:$DH$129,AI$1,0),0)</f>
        <v>0</v>
      </c>
      <c r="AJ23" s="13">
        <f>IFERROR(VLOOKUP($G23,'Visu totale'!$D$3:$DH$129,AJ$1,0),0)</f>
        <v>0</v>
      </c>
      <c r="AK23" s="13">
        <f>IFERROR(VLOOKUP($G23,'Visu totale'!$D$3:$DH$129,AK$1,0),0)</f>
        <v>0</v>
      </c>
      <c r="AL23" s="13">
        <f>IFERROR(VLOOKUP($G23,'Visu totale'!$D$3:$DH$129,AL$1,0),0)</f>
        <v>0</v>
      </c>
      <c r="AM23" s="13">
        <f>IFERROR(VLOOKUP($G23,'Visu totale'!$D$3:$DH$129,AM$1,0),0)</f>
        <v>0</v>
      </c>
      <c r="AN23" s="13">
        <f>IFERROR(VLOOKUP($G23,'Visu totale'!$D$3:$DH$129,AN$1,0),0)</f>
        <v>0</v>
      </c>
      <c r="AO23" s="13">
        <f>IFERROR(VLOOKUP($G23,'Visu totale'!$D$3:$DH$129,AO$1,0),0)</f>
        <v>0</v>
      </c>
      <c r="AP23" s="13">
        <f>IFERROR(VLOOKUP($G23,'Visu totale'!$D$3:$DH$129,AP$1,0),0)</f>
        <v>0</v>
      </c>
      <c r="AQ23" s="15">
        <f>IFERROR(VLOOKUP($G23,'Visu totale'!$D$3:$DH$129,AQ$1,0),0)</f>
        <v>0</v>
      </c>
      <c r="AR23" s="14">
        <f>IFERROR(VLOOKUP($G23,'Visu totale'!$D$3:$DH$129,AR$1,0),0)</f>
        <v>0</v>
      </c>
      <c r="AS23" s="13">
        <f>IFERROR(VLOOKUP($G23,'Visu totale'!$D$3:$DH$129,AS$1,0),0)</f>
        <v>0</v>
      </c>
      <c r="AT23" s="13">
        <f>IFERROR(VLOOKUP($G23,'Visu totale'!$D$3:$DH$129,AT$1,0),0)</f>
        <v>0</v>
      </c>
      <c r="AU23" s="13">
        <f>IFERROR(VLOOKUP($G23,'Visu totale'!$D$3:$DH$129,AU$1,0),0)</f>
        <v>0</v>
      </c>
      <c r="AV23" s="13">
        <f>IFERROR(VLOOKUP($G23,'Visu totale'!$D$3:$DH$129,AV$1,0),0)</f>
        <v>0</v>
      </c>
      <c r="AW23" s="13">
        <f>IFERROR(VLOOKUP($G23,'Visu totale'!$D$3:$DH$129,AW$1,0),0)</f>
        <v>0</v>
      </c>
      <c r="AX23" s="13">
        <f>IFERROR(VLOOKUP($G23,'Visu totale'!$D$3:$DH$129,AX$1,0),0)</f>
        <v>0</v>
      </c>
      <c r="AY23" s="13">
        <f>IFERROR(VLOOKUP($G23,'Visu totale'!$D$3:$DH$129,AY$1,0),0)</f>
        <v>0</v>
      </c>
      <c r="AZ23" s="13">
        <f>IFERROR(VLOOKUP($G23,'Visu totale'!$D$3:$DH$129,AZ$1,0),0)</f>
        <v>0</v>
      </c>
      <c r="BA23" s="13">
        <f>IFERROR(VLOOKUP($G23,'Visu totale'!$D$3:$DH$129,BA$1,0),0)</f>
        <v>0</v>
      </c>
      <c r="BB23" s="13">
        <f>IFERROR(VLOOKUP($G23,'Visu totale'!$D$3:$DH$129,BB$1,0),0)</f>
        <v>0</v>
      </c>
      <c r="BC23" s="15">
        <f>IFERROR(VLOOKUP($G23,'Visu totale'!$D$3:$DH$129,BC$1,0),0)</f>
        <v>0</v>
      </c>
      <c r="BD23" s="14">
        <f>IFERROR(VLOOKUP($G23,'Visu totale'!$D$3:$DH$129,BD$1,0),0)</f>
        <v>0</v>
      </c>
      <c r="BE23" s="13">
        <f>IFERROR(VLOOKUP($G23,'Visu totale'!$D$3:$DH$129,BE$1,0),0)</f>
        <v>0</v>
      </c>
      <c r="BF23" s="13">
        <f>IFERROR(VLOOKUP($G23,'Visu totale'!$D$3:$DH$129,BF$1,0),0)</f>
        <v>0</v>
      </c>
      <c r="BG23" s="13">
        <f>IFERROR(VLOOKUP($G23,'Visu totale'!$D$3:$DH$129,BG$1,0),0)</f>
        <v>0</v>
      </c>
      <c r="BH23" s="13">
        <f>IFERROR(VLOOKUP($G23,'Visu totale'!$D$3:$DH$129,BH$1,0),0)</f>
        <v>0</v>
      </c>
      <c r="BI23" s="13">
        <f>IFERROR(VLOOKUP($G23,'Visu totale'!$D$3:$DH$129,BI$1,0),0)</f>
        <v>0</v>
      </c>
      <c r="BJ23" s="13">
        <f>IFERROR(VLOOKUP($G23,'Visu totale'!$D$3:$DH$129,BJ$1,0),0)</f>
        <v>0</v>
      </c>
      <c r="BK23" s="13">
        <f>IFERROR(VLOOKUP($G23,'Visu totale'!$D$3:$DH$129,BK$1,0),0)</f>
        <v>0</v>
      </c>
      <c r="BL23" s="13">
        <f>IFERROR(VLOOKUP($G23,'Visu totale'!$D$3:$DH$129,BL$1,0),0)</f>
        <v>0</v>
      </c>
      <c r="BM23" s="13">
        <f>IFERROR(VLOOKUP($G23,'Visu totale'!$D$3:$DH$129,BM$1,0),0)</f>
        <v>0</v>
      </c>
      <c r="BN23" s="13">
        <f>IFERROR(VLOOKUP($G23,'Visu totale'!$D$3:$DH$129,BN$1,0),0)</f>
        <v>0</v>
      </c>
      <c r="BO23" s="15">
        <f>IFERROR(VLOOKUP($G23,'Visu totale'!$D$3:$DH$129,BO$1,0),0)</f>
        <v>0</v>
      </c>
      <c r="BP23" s="14">
        <f>IFERROR(VLOOKUP($G23,'Visu totale'!$D$3:$DH$129,BP$1,0),0)</f>
        <v>0</v>
      </c>
      <c r="BQ23" s="13">
        <f>IFERROR(VLOOKUP($G23,'Visu totale'!$D$3:$DH$129,BQ$1,0),0)</f>
        <v>0</v>
      </c>
      <c r="BR23" s="13">
        <f>IFERROR(VLOOKUP($G23,'Visu totale'!$D$3:$DH$129,BR$1,0),0)</f>
        <v>0</v>
      </c>
      <c r="BS23" s="13">
        <f>IFERROR(VLOOKUP($G23,'Visu totale'!$D$3:$DH$129,BS$1,0),0)</f>
        <v>0</v>
      </c>
      <c r="BT23" s="13">
        <f>IFERROR(VLOOKUP($G23,'Visu totale'!$D$3:$DH$129,BT$1,0),0)</f>
        <v>0</v>
      </c>
      <c r="BU23" s="13">
        <f>IFERROR(VLOOKUP($G23,'Visu totale'!$D$3:$DH$129,BU$1,0),0)</f>
        <v>0</v>
      </c>
      <c r="BV23" s="13">
        <f>IFERROR(VLOOKUP($G23,'Visu totale'!$D$3:$DH$129,BV$1,0),0)</f>
        <v>0</v>
      </c>
      <c r="BW23" s="13">
        <f>IFERROR(VLOOKUP($G23,'Visu totale'!$D$3:$DH$129,BW$1,0),0)</f>
        <v>0</v>
      </c>
      <c r="BX23" s="13">
        <f>IFERROR(VLOOKUP($G23,'Visu totale'!$D$3:$DH$129,BX$1,0),0)</f>
        <v>0</v>
      </c>
      <c r="BY23" s="13">
        <f>IFERROR(VLOOKUP($G23,'Visu totale'!$D$3:$DH$129,BY$1,0),0)</f>
        <v>0</v>
      </c>
      <c r="BZ23" s="13">
        <f>IFERROR(VLOOKUP($G23,'Visu totale'!$D$3:$DH$129,BZ$1,0),0)</f>
        <v>0</v>
      </c>
      <c r="CA23" s="15">
        <f>IFERROR(VLOOKUP($G23,'Visu totale'!$D$3:$DH$129,CA$1,0),0)</f>
        <v>0</v>
      </c>
      <c r="CB23" s="14">
        <f>IFERROR(VLOOKUP($G23,'Visu totale'!$D$3:$DH$129,CB$1,0),0)</f>
        <v>0</v>
      </c>
      <c r="CC23" s="13">
        <f>IFERROR(VLOOKUP($G23,'Visu totale'!$D$3:$DH$129,CC$1,0),0)</f>
        <v>0</v>
      </c>
      <c r="CD23" s="13">
        <f>IFERROR(VLOOKUP($G23,'Visu totale'!$D$3:$DH$129,CD$1,0),0)</f>
        <v>0</v>
      </c>
      <c r="CE23" s="13">
        <f>IFERROR(VLOOKUP($G23,'Visu totale'!$D$3:$DH$129,CE$1,0),0)</f>
        <v>0</v>
      </c>
      <c r="CF23" s="13">
        <f>IFERROR(VLOOKUP($G23,'Visu totale'!$D$3:$DH$129,CF$1,0),0)</f>
        <v>0</v>
      </c>
      <c r="CG23" s="13">
        <f>IFERROR(VLOOKUP($G23,'Visu totale'!$D$3:$DH$129,CG$1,0),0)</f>
        <v>0</v>
      </c>
      <c r="CH23" s="13">
        <f>IFERROR(VLOOKUP($G23,'Visu totale'!$D$3:$DH$129,CH$1,0),0)</f>
        <v>0</v>
      </c>
      <c r="CI23" s="13">
        <f>IFERROR(VLOOKUP($G23,'Visu totale'!$D$3:$DH$129,CI$1,0),0)</f>
        <v>0</v>
      </c>
      <c r="CJ23" s="13">
        <f>IFERROR(VLOOKUP($G23,'Visu totale'!$D$3:$DH$129,CJ$1,0),0)</f>
        <v>0</v>
      </c>
      <c r="CK23" s="13">
        <f>IFERROR(VLOOKUP($G23,'Visu totale'!$D$3:$DH$129,CK$1,0),0)</f>
        <v>0</v>
      </c>
      <c r="CL23" s="13">
        <f>IFERROR(VLOOKUP($G23,'Visu totale'!$D$3:$DH$129,CL$1,0),0)</f>
        <v>0</v>
      </c>
      <c r="CM23" s="15">
        <f>IFERROR(VLOOKUP($G23,'Visu totale'!$D$3:$DH$129,CM$1,0),0)</f>
        <v>0</v>
      </c>
      <c r="CN23" s="14">
        <f>IFERROR(VLOOKUP($G23,'Visu totale'!$D$3:$DH$129,CN$1,0),0)</f>
        <v>0</v>
      </c>
      <c r="CO23" s="13">
        <f>IFERROR(VLOOKUP($G23,'Visu totale'!$D$3:$DH$129,CO$1,0),0)</f>
        <v>0</v>
      </c>
      <c r="CP23" s="13">
        <f>IFERROR(VLOOKUP($G23,'Visu totale'!$D$3:$DH$129,CP$1,0),0)</f>
        <v>0</v>
      </c>
      <c r="CQ23" s="13">
        <f>IFERROR(VLOOKUP($G23,'Visu totale'!$D$3:$DH$129,CQ$1,0),0)</f>
        <v>0</v>
      </c>
      <c r="CR23" s="13">
        <f>IFERROR(VLOOKUP($G23,'Visu totale'!$D$3:$DH$129,CR$1,0),0)</f>
        <v>0</v>
      </c>
      <c r="CS23" s="13">
        <f>IFERROR(VLOOKUP($G23,'Visu totale'!$D$3:$DH$129,CS$1,0),0)</f>
        <v>0</v>
      </c>
      <c r="CT23" s="13">
        <f>IFERROR(VLOOKUP($G23,'Visu totale'!$D$3:$DH$129,CT$1,0),0)</f>
        <v>0</v>
      </c>
      <c r="CU23" s="13">
        <f>IFERROR(VLOOKUP($G23,'Visu totale'!$D$3:$DH$129,CU$1,0),0)</f>
        <v>0</v>
      </c>
      <c r="CV23" s="13">
        <f>IFERROR(VLOOKUP($G23,'Visu totale'!$D$3:$DH$129,CV$1,0),0)</f>
        <v>0</v>
      </c>
      <c r="CW23" s="13">
        <f>IFERROR(VLOOKUP($G23,'Visu totale'!$D$3:$DH$129,CW$1,0),0)</f>
        <v>0</v>
      </c>
      <c r="CX23" s="13">
        <f>IFERROR(VLOOKUP($G23,'Visu totale'!$D$3:$DH$129,CX$1,0),0)</f>
        <v>0</v>
      </c>
      <c r="CY23" s="15">
        <f>IFERROR(VLOOKUP($G23,'Visu totale'!$D$3:$DH$129,CY$1,0),0)</f>
        <v>0</v>
      </c>
      <c r="CZ23" s="14">
        <f>IFERROR(VLOOKUP($G23,'Visu totale'!$D$3:$DH$129,CZ$1,0),0)</f>
        <v>0</v>
      </c>
      <c r="DA23" s="13">
        <f>IFERROR(VLOOKUP($G23,'Visu totale'!$D$3:$DH$129,DA$1,0),0)</f>
        <v>0</v>
      </c>
      <c r="DB23" s="13">
        <f>IFERROR(VLOOKUP($G23,'Visu totale'!$D$3:$DH$129,DB$1,0),0)</f>
        <v>0</v>
      </c>
      <c r="DC23" s="13">
        <f>IFERROR(VLOOKUP($G23,'Visu totale'!$D$3:$DH$129,DC$1,0),0)</f>
        <v>0</v>
      </c>
      <c r="DD23" s="13">
        <f>IFERROR(VLOOKUP($G23,'Visu totale'!$D$3:$DH$129,DD$1,0),0)</f>
        <v>0</v>
      </c>
      <c r="DE23" s="13">
        <f>IFERROR(VLOOKUP($G23,'Visu totale'!$D$3:$DH$129,DE$1,0),0)</f>
        <v>0</v>
      </c>
      <c r="DF23" s="13">
        <f>IFERROR(VLOOKUP($G23,'Visu totale'!$D$3:$DH$129,DF$1,0),0)</f>
        <v>0</v>
      </c>
      <c r="DG23" s="13">
        <f>IFERROR(VLOOKUP($G23,'Visu totale'!$D$3:$DH$129,DG$1,0),0)</f>
        <v>0</v>
      </c>
      <c r="DH23" s="13">
        <f>IFERROR(VLOOKUP($G23,'Visu totale'!$D$3:$DH$129,DH$1,0),0)</f>
        <v>0</v>
      </c>
      <c r="DI23" s="13">
        <f>IFERROR(VLOOKUP($G23,'Visu totale'!$D$3:$DH$129,DI$1,0),0)</f>
        <v>0</v>
      </c>
      <c r="DJ23" s="13">
        <f>IFERROR(VLOOKUP($G23,'Visu totale'!$D$3:$DH$129,DJ$1,0),0)</f>
        <v>0</v>
      </c>
      <c r="DK23" s="15">
        <f>IFERROR(VLOOKUP($G23,'Visu totale'!$D$3:$DH$129,DK$1,0),0)</f>
        <v>0</v>
      </c>
    </row>
    <row r="24" spans="1:115" x14ac:dyDescent="0.25">
      <c r="A24" s="13"/>
      <c r="B24" s="13"/>
      <c r="C24" s="13"/>
      <c r="D24" s="16"/>
      <c r="E24" s="13"/>
      <c r="F24" s="13"/>
      <c r="G24" s="17" t="s">
        <v>26</v>
      </c>
      <c r="H24" s="14">
        <f>IFERROR(VLOOKUP($G24,'Visu totale'!$D$3:$DH$129,H$1,0),0)</f>
        <v>0</v>
      </c>
      <c r="I24" s="13">
        <f>IFERROR(VLOOKUP($G24,'Visu totale'!$D$3:$DH$129,I$1,0),0)</f>
        <v>0</v>
      </c>
      <c r="J24" s="13">
        <f>IFERROR(VLOOKUP($G24,'Visu totale'!$D$3:$DH$129,J$1,0),0)</f>
        <v>0</v>
      </c>
      <c r="K24" s="13">
        <f>IFERROR(VLOOKUP($G24,'Visu totale'!$D$3:$DH$129,K$1,0),0)</f>
        <v>0</v>
      </c>
      <c r="L24" s="13">
        <f>IFERROR(VLOOKUP($G24,'Visu totale'!$D$3:$DH$129,L$1,0),0)</f>
        <v>0</v>
      </c>
      <c r="M24" s="13">
        <f>IFERROR(VLOOKUP($G24,'Visu totale'!$D$3:$DH$129,M$1,0),0)</f>
        <v>0</v>
      </c>
      <c r="N24" s="13">
        <f>IFERROR(VLOOKUP($G24,'Visu totale'!$D$3:$DH$129,N$1,0),0)</f>
        <v>0</v>
      </c>
      <c r="O24" s="13">
        <f>IFERROR(VLOOKUP($G24,'Visu totale'!$D$3:$DH$129,O$1,0),0)</f>
        <v>0</v>
      </c>
      <c r="P24" s="13">
        <f>IFERROR(VLOOKUP($G24,'Visu totale'!$D$3:$DH$129,P$1,0),0)</f>
        <v>0</v>
      </c>
      <c r="Q24" s="13">
        <f>IFERROR(VLOOKUP($G24,'Visu totale'!$D$3:$DH$129,Q$1,0),0)</f>
        <v>0</v>
      </c>
      <c r="R24" s="13">
        <f>IFERROR(VLOOKUP($G24,'Visu totale'!$D$3:$DH$129,R$1,0),0)</f>
        <v>0</v>
      </c>
      <c r="S24" s="15">
        <f>IFERROR(VLOOKUP($G24,'Visu totale'!$D$3:$DH$129,S$1,0),0)</f>
        <v>0</v>
      </c>
      <c r="T24" s="14">
        <f>IFERROR(VLOOKUP($G24,'Visu totale'!$D$3:$DH$129,T$1,0),0)</f>
        <v>0</v>
      </c>
      <c r="U24" s="13">
        <f>IFERROR(VLOOKUP($G24,'Visu totale'!$D$3:$DH$129,U$1,0),0)</f>
        <v>0</v>
      </c>
      <c r="V24" s="13">
        <f>IFERROR(VLOOKUP($G24,'Visu totale'!$D$3:$DH$129,V$1,0),0)</f>
        <v>0</v>
      </c>
      <c r="W24" s="13">
        <f>IFERROR(VLOOKUP($G24,'Visu totale'!$D$3:$DH$129,W$1,0),0)</f>
        <v>0</v>
      </c>
      <c r="X24" s="13">
        <f>IFERROR(VLOOKUP($G24,'Visu totale'!$D$3:$DH$129,X$1,0),0)</f>
        <v>0</v>
      </c>
      <c r="Y24" s="13">
        <f>IFERROR(VLOOKUP($G24,'Visu totale'!$D$3:$DH$129,Y$1,0),0)</f>
        <v>0</v>
      </c>
      <c r="Z24" s="13">
        <f>IFERROR(VLOOKUP($G24,'Visu totale'!$D$3:$DH$129,Z$1,0),0)</f>
        <v>0</v>
      </c>
      <c r="AA24" s="13">
        <f>IFERROR(VLOOKUP($G24,'Visu totale'!$D$3:$DH$129,AA$1,0),0)</f>
        <v>0</v>
      </c>
      <c r="AB24" s="13">
        <f>IFERROR(VLOOKUP($G24,'Visu totale'!$D$3:$DH$129,AB$1,0),0)</f>
        <v>0</v>
      </c>
      <c r="AC24" s="13">
        <f>IFERROR(VLOOKUP($G24,'Visu totale'!$D$3:$DH$129,AC$1,0),0)</f>
        <v>0</v>
      </c>
      <c r="AD24" s="13">
        <f>IFERROR(VLOOKUP($G24,'Visu totale'!$D$3:$DH$129,AD$1,0),0)</f>
        <v>0</v>
      </c>
      <c r="AE24" s="15">
        <f>IFERROR(VLOOKUP($G24,'Visu totale'!$D$3:$DH$129,AE$1,0),0)</f>
        <v>0</v>
      </c>
      <c r="AF24" s="14">
        <f>IFERROR(VLOOKUP($G24,'Visu totale'!$D$3:$DH$129,AF$1,0),0)</f>
        <v>0</v>
      </c>
      <c r="AG24" s="13">
        <f>IFERROR(VLOOKUP($G24,'Visu totale'!$D$3:$DH$129,AG$1,0),0)</f>
        <v>0</v>
      </c>
      <c r="AH24" s="13">
        <f>IFERROR(VLOOKUP($G24,'Visu totale'!$D$3:$DH$129,AH$1,0),0)</f>
        <v>0</v>
      </c>
      <c r="AI24" s="13">
        <f>IFERROR(VLOOKUP($G24,'Visu totale'!$D$3:$DH$129,AI$1,0),0)</f>
        <v>0</v>
      </c>
      <c r="AJ24" s="13">
        <f>IFERROR(VLOOKUP($G24,'Visu totale'!$D$3:$DH$129,AJ$1,0),0)</f>
        <v>0</v>
      </c>
      <c r="AK24" s="13">
        <f>IFERROR(VLOOKUP($G24,'Visu totale'!$D$3:$DH$129,AK$1,0),0)</f>
        <v>0</v>
      </c>
      <c r="AL24" s="13">
        <f>IFERROR(VLOOKUP($G24,'Visu totale'!$D$3:$DH$129,AL$1,0),0)</f>
        <v>0</v>
      </c>
      <c r="AM24" s="13">
        <f>IFERROR(VLOOKUP($G24,'Visu totale'!$D$3:$DH$129,AM$1,0),0)</f>
        <v>0</v>
      </c>
      <c r="AN24" s="13">
        <f>IFERROR(VLOOKUP($G24,'Visu totale'!$D$3:$DH$129,AN$1,0),0)</f>
        <v>0</v>
      </c>
      <c r="AO24" s="13">
        <f>IFERROR(VLOOKUP($G24,'Visu totale'!$D$3:$DH$129,AO$1,0),0)</f>
        <v>0</v>
      </c>
      <c r="AP24" s="13">
        <f>IFERROR(VLOOKUP($G24,'Visu totale'!$D$3:$DH$129,AP$1,0),0)</f>
        <v>0</v>
      </c>
      <c r="AQ24" s="15">
        <f>IFERROR(VLOOKUP($G24,'Visu totale'!$D$3:$DH$129,AQ$1,0),0)</f>
        <v>0</v>
      </c>
      <c r="AR24" s="14">
        <f>IFERROR(VLOOKUP($G24,'Visu totale'!$D$3:$DH$129,AR$1,0),0)</f>
        <v>0</v>
      </c>
      <c r="AS24" s="13">
        <f>IFERROR(VLOOKUP($G24,'Visu totale'!$D$3:$DH$129,AS$1,0),0)</f>
        <v>0</v>
      </c>
      <c r="AT24" s="13">
        <f>IFERROR(VLOOKUP($G24,'Visu totale'!$D$3:$DH$129,AT$1,0),0)</f>
        <v>0</v>
      </c>
      <c r="AU24" s="13">
        <f>IFERROR(VLOOKUP($G24,'Visu totale'!$D$3:$DH$129,AU$1,0),0)</f>
        <v>0</v>
      </c>
      <c r="AV24" s="13">
        <f>IFERROR(VLOOKUP($G24,'Visu totale'!$D$3:$DH$129,AV$1,0),0)</f>
        <v>0</v>
      </c>
      <c r="AW24" s="13">
        <f>IFERROR(VLOOKUP($G24,'Visu totale'!$D$3:$DH$129,AW$1,0),0)</f>
        <v>0</v>
      </c>
      <c r="AX24" s="13">
        <f>IFERROR(VLOOKUP($G24,'Visu totale'!$D$3:$DH$129,AX$1,0),0)</f>
        <v>0</v>
      </c>
      <c r="AY24" s="13">
        <f>IFERROR(VLOOKUP($G24,'Visu totale'!$D$3:$DH$129,AY$1,0),0)</f>
        <v>0</v>
      </c>
      <c r="AZ24" s="13">
        <f>IFERROR(VLOOKUP($G24,'Visu totale'!$D$3:$DH$129,AZ$1,0),0)</f>
        <v>0</v>
      </c>
      <c r="BA24" s="13">
        <f>IFERROR(VLOOKUP($G24,'Visu totale'!$D$3:$DH$129,BA$1,0),0)</f>
        <v>0</v>
      </c>
      <c r="BB24" s="13">
        <f>IFERROR(VLOOKUP($G24,'Visu totale'!$D$3:$DH$129,BB$1,0),0)</f>
        <v>0</v>
      </c>
      <c r="BC24" s="15">
        <f>IFERROR(VLOOKUP($G24,'Visu totale'!$D$3:$DH$129,BC$1,0),0)</f>
        <v>0</v>
      </c>
      <c r="BD24" s="14">
        <f>IFERROR(VLOOKUP($G24,'Visu totale'!$D$3:$DH$129,BD$1,0),0)</f>
        <v>0</v>
      </c>
      <c r="BE24" s="13">
        <f>IFERROR(VLOOKUP($G24,'Visu totale'!$D$3:$DH$129,BE$1,0),0)</f>
        <v>0</v>
      </c>
      <c r="BF24" s="13">
        <f>IFERROR(VLOOKUP($G24,'Visu totale'!$D$3:$DH$129,BF$1,0),0)</f>
        <v>0</v>
      </c>
      <c r="BG24" s="13">
        <f>IFERROR(VLOOKUP($G24,'Visu totale'!$D$3:$DH$129,BG$1,0),0)</f>
        <v>0</v>
      </c>
      <c r="BH24" s="13">
        <f>IFERROR(VLOOKUP($G24,'Visu totale'!$D$3:$DH$129,BH$1,0),0)</f>
        <v>0</v>
      </c>
      <c r="BI24" s="13">
        <f>IFERROR(VLOOKUP($G24,'Visu totale'!$D$3:$DH$129,BI$1,0),0)</f>
        <v>0</v>
      </c>
      <c r="BJ24" s="13">
        <f>IFERROR(VLOOKUP($G24,'Visu totale'!$D$3:$DH$129,BJ$1,0),0)</f>
        <v>0</v>
      </c>
      <c r="BK24" s="13">
        <f>IFERROR(VLOOKUP($G24,'Visu totale'!$D$3:$DH$129,BK$1,0),0)</f>
        <v>0</v>
      </c>
      <c r="BL24" s="13">
        <f>IFERROR(VLOOKUP($G24,'Visu totale'!$D$3:$DH$129,BL$1,0),0)</f>
        <v>0</v>
      </c>
      <c r="BM24" s="13">
        <f>IFERROR(VLOOKUP($G24,'Visu totale'!$D$3:$DH$129,BM$1,0),0)</f>
        <v>0</v>
      </c>
      <c r="BN24" s="13">
        <f>IFERROR(VLOOKUP($G24,'Visu totale'!$D$3:$DH$129,BN$1,0),0)</f>
        <v>0</v>
      </c>
      <c r="BO24" s="15">
        <f>IFERROR(VLOOKUP($G24,'Visu totale'!$D$3:$DH$129,BO$1,0),0)</f>
        <v>0</v>
      </c>
      <c r="BP24" s="14">
        <f>IFERROR(VLOOKUP($G24,'Visu totale'!$D$3:$DH$129,BP$1,0),0)</f>
        <v>0</v>
      </c>
      <c r="BQ24" s="13">
        <f>IFERROR(VLOOKUP($G24,'Visu totale'!$D$3:$DH$129,BQ$1,0),0)</f>
        <v>0</v>
      </c>
      <c r="BR24" s="13">
        <f>IFERROR(VLOOKUP($G24,'Visu totale'!$D$3:$DH$129,BR$1,0),0)</f>
        <v>0</v>
      </c>
      <c r="BS24" s="13">
        <f>IFERROR(VLOOKUP($G24,'Visu totale'!$D$3:$DH$129,BS$1,0),0)</f>
        <v>0</v>
      </c>
      <c r="BT24" s="13">
        <f>IFERROR(VLOOKUP($G24,'Visu totale'!$D$3:$DH$129,BT$1,0),0)</f>
        <v>0</v>
      </c>
      <c r="BU24" s="13">
        <f>IFERROR(VLOOKUP($G24,'Visu totale'!$D$3:$DH$129,BU$1,0),0)</f>
        <v>0</v>
      </c>
      <c r="BV24" s="13">
        <f>IFERROR(VLOOKUP($G24,'Visu totale'!$D$3:$DH$129,BV$1,0),0)</f>
        <v>0</v>
      </c>
      <c r="BW24" s="13">
        <f>IFERROR(VLOOKUP($G24,'Visu totale'!$D$3:$DH$129,BW$1,0),0)</f>
        <v>0</v>
      </c>
      <c r="BX24" s="13">
        <f>IFERROR(VLOOKUP($G24,'Visu totale'!$D$3:$DH$129,BX$1,0),0)</f>
        <v>0</v>
      </c>
      <c r="BY24" s="13">
        <f>IFERROR(VLOOKUP($G24,'Visu totale'!$D$3:$DH$129,BY$1,0),0)</f>
        <v>0</v>
      </c>
      <c r="BZ24" s="13">
        <f>IFERROR(VLOOKUP($G24,'Visu totale'!$D$3:$DH$129,BZ$1,0),0)</f>
        <v>0</v>
      </c>
      <c r="CA24" s="15">
        <f>IFERROR(VLOOKUP($G24,'Visu totale'!$D$3:$DH$129,CA$1,0),0)</f>
        <v>0</v>
      </c>
      <c r="CB24" s="14">
        <f>IFERROR(VLOOKUP($G24,'Visu totale'!$D$3:$DH$129,CB$1,0),0)</f>
        <v>0</v>
      </c>
      <c r="CC24" s="13">
        <f>IFERROR(VLOOKUP($G24,'Visu totale'!$D$3:$DH$129,CC$1,0),0)</f>
        <v>0</v>
      </c>
      <c r="CD24" s="13">
        <f>IFERROR(VLOOKUP($G24,'Visu totale'!$D$3:$DH$129,CD$1,0),0)</f>
        <v>0</v>
      </c>
      <c r="CE24" s="13">
        <f>IFERROR(VLOOKUP($G24,'Visu totale'!$D$3:$DH$129,CE$1,0),0)</f>
        <v>0</v>
      </c>
      <c r="CF24" s="13">
        <f>IFERROR(VLOOKUP($G24,'Visu totale'!$D$3:$DH$129,CF$1,0),0)</f>
        <v>0</v>
      </c>
      <c r="CG24" s="13">
        <f>IFERROR(VLOOKUP($G24,'Visu totale'!$D$3:$DH$129,CG$1,0),0)</f>
        <v>0</v>
      </c>
      <c r="CH24" s="13">
        <f>IFERROR(VLOOKUP($G24,'Visu totale'!$D$3:$DH$129,CH$1,0),0)</f>
        <v>0</v>
      </c>
      <c r="CI24" s="13">
        <f>IFERROR(VLOOKUP($G24,'Visu totale'!$D$3:$DH$129,CI$1,0),0)</f>
        <v>0</v>
      </c>
      <c r="CJ24" s="13">
        <f>IFERROR(VLOOKUP($G24,'Visu totale'!$D$3:$DH$129,CJ$1,0),0)</f>
        <v>0</v>
      </c>
      <c r="CK24" s="13">
        <f>IFERROR(VLOOKUP($G24,'Visu totale'!$D$3:$DH$129,CK$1,0),0)</f>
        <v>0</v>
      </c>
      <c r="CL24" s="13">
        <f>IFERROR(VLOOKUP($G24,'Visu totale'!$D$3:$DH$129,CL$1,0),0)</f>
        <v>0</v>
      </c>
      <c r="CM24" s="15">
        <f>IFERROR(VLOOKUP($G24,'Visu totale'!$D$3:$DH$129,CM$1,0),0)</f>
        <v>0</v>
      </c>
      <c r="CN24" s="14">
        <f>IFERROR(VLOOKUP($G24,'Visu totale'!$D$3:$DH$129,CN$1,0),0)</f>
        <v>0</v>
      </c>
      <c r="CO24" s="13">
        <f>IFERROR(VLOOKUP($G24,'Visu totale'!$D$3:$DH$129,CO$1,0),0)</f>
        <v>0</v>
      </c>
      <c r="CP24" s="13">
        <f>IFERROR(VLOOKUP($G24,'Visu totale'!$D$3:$DH$129,CP$1,0),0)</f>
        <v>0</v>
      </c>
      <c r="CQ24" s="13">
        <f>IFERROR(VLOOKUP($G24,'Visu totale'!$D$3:$DH$129,CQ$1,0),0)</f>
        <v>0</v>
      </c>
      <c r="CR24" s="13">
        <f>IFERROR(VLOOKUP($G24,'Visu totale'!$D$3:$DH$129,CR$1,0),0)</f>
        <v>0</v>
      </c>
      <c r="CS24" s="13">
        <f>IFERROR(VLOOKUP($G24,'Visu totale'!$D$3:$DH$129,CS$1,0),0)</f>
        <v>0</v>
      </c>
      <c r="CT24" s="13">
        <f>IFERROR(VLOOKUP($G24,'Visu totale'!$D$3:$DH$129,CT$1,0),0)</f>
        <v>0</v>
      </c>
      <c r="CU24" s="13">
        <f>IFERROR(VLOOKUP($G24,'Visu totale'!$D$3:$DH$129,CU$1,0),0)</f>
        <v>0</v>
      </c>
      <c r="CV24" s="13">
        <f>IFERROR(VLOOKUP($G24,'Visu totale'!$D$3:$DH$129,CV$1,0),0)</f>
        <v>0</v>
      </c>
      <c r="CW24" s="13">
        <f>IFERROR(VLOOKUP($G24,'Visu totale'!$D$3:$DH$129,CW$1,0),0)</f>
        <v>0</v>
      </c>
      <c r="CX24" s="13">
        <f>IFERROR(VLOOKUP($G24,'Visu totale'!$D$3:$DH$129,CX$1,0),0)</f>
        <v>0</v>
      </c>
      <c r="CY24" s="15">
        <f>IFERROR(VLOOKUP($G24,'Visu totale'!$D$3:$DH$129,CY$1,0),0)</f>
        <v>0</v>
      </c>
      <c r="CZ24" s="14">
        <f>IFERROR(VLOOKUP($G24,'Visu totale'!$D$3:$DH$129,CZ$1,0),0)</f>
        <v>0</v>
      </c>
      <c r="DA24" s="13">
        <f>IFERROR(VLOOKUP($G24,'Visu totale'!$D$3:$DH$129,DA$1,0),0)</f>
        <v>0</v>
      </c>
      <c r="DB24" s="13">
        <f>IFERROR(VLOOKUP($G24,'Visu totale'!$D$3:$DH$129,DB$1,0),0)</f>
        <v>0</v>
      </c>
      <c r="DC24" s="13">
        <f>IFERROR(VLOOKUP($G24,'Visu totale'!$D$3:$DH$129,DC$1,0),0)</f>
        <v>0</v>
      </c>
      <c r="DD24" s="13">
        <f>IFERROR(VLOOKUP($G24,'Visu totale'!$D$3:$DH$129,DD$1,0),0)</f>
        <v>0</v>
      </c>
      <c r="DE24" s="13">
        <f>IFERROR(VLOOKUP($G24,'Visu totale'!$D$3:$DH$129,DE$1,0),0)</f>
        <v>0</v>
      </c>
      <c r="DF24" s="13">
        <f>IFERROR(VLOOKUP($G24,'Visu totale'!$D$3:$DH$129,DF$1,0),0)</f>
        <v>0</v>
      </c>
      <c r="DG24" s="13">
        <f>IFERROR(VLOOKUP($G24,'Visu totale'!$D$3:$DH$129,DG$1,0),0)</f>
        <v>0</v>
      </c>
      <c r="DH24" s="13">
        <f>IFERROR(VLOOKUP($G24,'Visu totale'!$D$3:$DH$129,DH$1,0),0)</f>
        <v>0</v>
      </c>
      <c r="DI24" s="13">
        <f>IFERROR(VLOOKUP($G24,'Visu totale'!$D$3:$DH$129,DI$1,0),0)</f>
        <v>0</v>
      </c>
      <c r="DJ24" s="13">
        <f>IFERROR(VLOOKUP($G24,'Visu totale'!$D$3:$DH$129,DJ$1,0),0)</f>
        <v>0</v>
      </c>
      <c r="DK24" s="15">
        <f>IFERROR(VLOOKUP($G24,'Visu totale'!$D$3:$DH$129,DK$1,0),0)</f>
        <v>0</v>
      </c>
    </row>
    <row r="25" spans="1:115" x14ac:dyDescent="0.25">
      <c r="A25" s="13"/>
      <c r="B25" s="13"/>
      <c r="C25" s="13"/>
      <c r="D25" s="16"/>
      <c r="E25" s="13"/>
      <c r="F25" s="13"/>
      <c r="G25" s="17" t="s">
        <v>27</v>
      </c>
      <c r="H25" s="14">
        <f>IFERROR(VLOOKUP($G25,'Visu totale'!$D$3:$DH$129,H$1,0),0)</f>
        <v>0</v>
      </c>
      <c r="I25" s="13">
        <f>IFERROR(VLOOKUP($G25,'Visu totale'!$D$3:$DH$129,I$1,0),0)</f>
        <v>0</v>
      </c>
      <c r="J25" s="13">
        <f>IFERROR(VLOOKUP($G25,'Visu totale'!$D$3:$DH$129,J$1,0),0)</f>
        <v>0</v>
      </c>
      <c r="K25" s="13">
        <f>IFERROR(VLOOKUP($G25,'Visu totale'!$D$3:$DH$129,K$1,0),0)</f>
        <v>0</v>
      </c>
      <c r="L25" s="13">
        <f>IFERROR(VLOOKUP($G25,'Visu totale'!$D$3:$DH$129,L$1,0),0)</f>
        <v>0</v>
      </c>
      <c r="M25" s="13">
        <f>IFERROR(VLOOKUP($G25,'Visu totale'!$D$3:$DH$129,M$1,0),0)</f>
        <v>0</v>
      </c>
      <c r="N25" s="13">
        <f>IFERROR(VLOOKUP($G25,'Visu totale'!$D$3:$DH$129,N$1,0),0)</f>
        <v>0</v>
      </c>
      <c r="O25" s="13">
        <f>IFERROR(VLOOKUP($G25,'Visu totale'!$D$3:$DH$129,O$1,0),0)</f>
        <v>0</v>
      </c>
      <c r="P25" s="13">
        <f>IFERROR(VLOOKUP($G25,'Visu totale'!$D$3:$DH$129,P$1,0),0)</f>
        <v>0</v>
      </c>
      <c r="Q25" s="13">
        <f>IFERROR(VLOOKUP($G25,'Visu totale'!$D$3:$DH$129,Q$1,0),0)</f>
        <v>0</v>
      </c>
      <c r="R25" s="13">
        <f>IFERROR(VLOOKUP($G25,'Visu totale'!$D$3:$DH$129,R$1,0),0)</f>
        <v>0</v>
      </c>
      <c r="S25" s="15">
        <f>IFERROR(VLOOKUP($G25,'Visu totale'!$D$3:$DH$129,S$1,0),0)</f>
        <v>0</v>
      </c>
      <c r="T25" s="14">
        <f>IFERROR(VLOOKUP($G25,'Visu totale'!$D$3:$DH$129,T$1,0),0)</f>
        <v>0</v>
      </c>
      <c r="U25" s="13">
        <f>IFERROR(VLOOKUP($G25,'Visu totale'!$D$3:$DH$129,U$1,0),0)</f>
        <v>0</v>
      </c>
      <c r="V25" s="13">
        <f>IFERROR(VLOOKUP($G25,'Visu totale'!$D$3:$DH$129,V$1,0),0)</f>
        <v>0</v>
      </c>
      <c r="W25" s="13">
        <f>IFERROR(VLOOKUP($G25,'Visu totale'!$D$3:$DH$129,W$1,0),0)</f>
        <v>0</v>
      </c>
      <c r="X25" s="13">
        <f>IFERROR(VLOOKUP($G25,'Visu totale'!$D$3:$DH$129,X$1,0),0)</f>
        <v>0</v>
      </c>
      <c r="Y25" s="13">
        <f>IFERROR(VLOOKUP($G25,'Visu totale'!$D$3:$DH$129,Y$1,0),0)</f>
        <v>0</v>
      </c>
      <c r="Z25" s="13">
        <f>IFERROR(VLOOKUP($G25,'Visu totale'!$D$3:$DH$129,Z$1,0),0)</f>
        <v>0</v>
      </c>
      <c r="AA25" s="13">
        <f>IFERROR(VLOOKUP($G25,'Visu totale'!$D$3:$DH$129,AA$1,0),0)</f>
        <v>0</v>
      </c>
      <c r="AB25" s="13">
        <f>IFERROR(VLOOKUP($G25,'Visu totale'!$D$3:$DH$129,AB$1,0),0)</f>
        <v>0</v>
      </c>
      <c r="AC25" s="13">
        <f>IFERROR(VLOOKUP($G25,'Visu totale'!$D$3:$DH$129,AC$1,0),0)</f>
        <v>0</v>
      </c>
      <c r="AD25" s="13">
        <f>IFERROR(VLOOKUP($G25,'Visu totale'!$D$3:$DH$129,AD$1,0),0)</f>
        <v>0</v>
      </c>
      <c r="AE25" s="15">
        <f>IFERROR(VLOOKUP($G25,'Visu totale'!$D$3:$DH$129,AE$1,0),0)</f>
        <v>0</v>
      </c>
      <c r="AF25" s="14">
        <f>IFERROR(VLOOKUP($G25,'Visu totale'!$D$3:$DH$129,AF$1,0),0)</f>
        <v>0</v>
      </c>
      <c r="AG25" s="13">
        <f>IFERROR(VLOOKUP($G25,'Visu totale'!$D$3:$DH$129,AG$1,0),0)</f>
        <v>0</v>
      </c>
      <c r="AH25" s="13">
        <f>IFERROR(VLOOKUP($G25,'Visu totale'!$D$3:$DH$129,AH$1,0),0)</f>
        <v>0</v>
      </c>
      <c r="AI25" s="13">
        <f>IFERROR(VLOOKUP($G25,'Visu totale'!$D$3:$DH$129,AI$1,0),0)</f>
        <v>0</v>
      </c>
      <c r="AJ25" s="13">
        <f>IFERROR(VLOOKUP($G25,'Visu totale'!$D$3:$DH$129,AJ$1,0),0)</f>
        <v>0</v>
      </c>
      <c r="AK25" s="13">
        <f>IFERROR(VLOOKUP($G25,'Visu totale'!$D$3:$DH$129,AK$1,0),0)</f>
        <v>0</v>
      </c>
      <c r="AL25" s="13">
        <f>IFERROR(VLOOKUP($G25,'Visu totale'!$D$3:$DH$129,AL$1,0),0)</f>
        <v>0</v>
      </c>
      <c r="AM25" s="13">
        <f>IFERROR(VLOOKUP($G25,'Visu totale'!$D$3:$DH$129,AM$1,0),0)</f>
        <v>0</v>
      </c>
      <c r="AN25" s="13">
        <f>IFERROR(VLOOKUP($G25,'Visu totale'!$D$3:$DH$129,AN$1,0),0)</f>
        <v>0</v>
      </c>
      <c r="AO25" s="13">
        <f>IFERROR(VLOOKUP($G25,'Visu totale'!$D$3:$DH$129,AO$1,0),0)</f>
        <v>0</v>
      </c>
      <c r="AP25" s="13">
        <f>IFERROR(VLOOKUP($G25,'Visu totale'!$D$3:$DH$129,AP$1,0),0)</f>
        <v>0</v>
      </c>
      <c r="AQ25" s="15">
        <f>IFERROR(VLOOKUP($G25,'Visu totale'!$D$3:$DH$129,AQ$1,0),0)</f>
        <v>0</v>
      </c>
      <c r="AR25" s="14">
        <f>IFERROR(VLOOKUP($G25,'Visu totale'!$D$3:$DH$129,AR$1,0),0)</f>
        <v>0</v>
      </c>
      <c r="AS25" s="13">
        <f>IFERROR(VLOOKUP($G25,'Visu totale'!$D$3:$DH$129,AS$1,0),0)</f>
        <v>0</v>
      </c>
      <c r="AT25" s="13">
        <f>IFERROR(VLOOKUP($G25,'Visu totale'!$D$3:$DH$129,AT$1,0),0)</f>
        <v>0</v>
      </c>
      <c r="AU25" s="13">
        <f>IFERROR(VLOOKUP($G25,'Visu totale'!$D$3:$DH$129,AU$1,0),0)</f>
        <v>0</v>
      </c>
      <c r="AV25" s="13">
        <f>IFERROR(VLOOKUP($G25,'Visu totale'!$D$3:$DH$129,AV$1,0),0)</f>
        <v>0</v>
      </c>
      <c r="AW25" s="13">
        <f>IFERROR(VLOOKUP($G25,'Visu totale'!$D$3:$DH$129,AW$1,0),0)</f>
        <v>0</v>
      </c>
      <c r="AX25" s="13">
        <f>IFERROR(VLOOKUP($G25,'Visu totale'!$D$3:$DH$129,AX$1,0),0)</f>
        <v>0</v>
      </c>
      <c r="AY25" s="13">
        <f>IFERROR(VLOOKUP($G25,'Visu totale'!$D$3:$DH$129,AY$1,0),0)</f>
        <v>0</v>
      </c>
      <c r="AZ25" s="13">
        <f>IFERROR(VLOOKUP($G25,'Visu totale'!$D$3:$DH$129,AZ$1,0),0)</f>
        <v>0</v>
      </c>
      <c r="BA25" s="13">
        <f>IFERROR(VLOOKUP($G25,'Visu totale'!$D$3:$DH$129,BA$1,0),0)</f>
        <v>0</v>
      </c>
      <c r="BB25" s="13">
        <f>IFERROR(VLOOKUP($G25,'Visu totale'!$D$3:$DH$129,BB$1,0),0)</f>
        <v>0</v>
      </c>
      <c r="BC25" s="15">
        <f>IFERROR(VLOOKUP($G25,'Visu totale'!$D$3:$DH$129,BC$1,0),0)</f>
        <v>0</v>
      </c>
      <c r="BD25" s="14">
        <f>IFERROR(VLOOKUP($G25,'Visu totale'!$D$3:$DH$129,BD$1,0),0)</f>
        <v>0</v>
      </c>
      <c r="BE25" s="13">
        <f>IFERROR(VLOOKUP($G25,'Visu totale'!$D$3:$DH$129,BE$1,0),0)</f>
        <v>0</v>
      </c>
      <c r="BF25" s="13">
        <f>IFERROR(VLOOKUP($G25,'Visu totale'!$D$3:$DH$129,BF$1,0),0)</f>
        <v>0</v>
      </c>
      <c r="BG25" s="13">
        <f>IFERROR(VLOOKUP($G25,'Visu totale'!$D$3:$DH$129,BG$1,0),0)</f>
        <v>0</v>
      </c>
      <c r="BH25" s="13">
        <f>IFERROR(VLOOKUP($G25,'Visu totale'!$D$3:$DH$129,BH$1,0),0)</f>
        <v>0</v>
      </c>
      <c r="BI25" s="13">
        <f>IFERROR(VLOOKUP($G25,'Visu totale'!$D$3:$DH$129,BI$1,0),0)</f>
        <v>0</v>
      </c>
      <c r="BJ25" s="13">
        <f>IFERROR(VLOOKUP($G25,'Visu totale'!$D$3:$DH$129,BJ$1,0),0)</f>
        <v>0</v>
      </c>
      <c r="BK25" s="13">
        <f>IFERROR(VLOOKUP($G25,'Visu totale'!$D$3:$DH$129,BK$1,0),0)</f>
        <v>0</v>
      </c>
      <c r="BL25" s="13">
        <f>IFERROR(VLOOKUP($G25,'Visu totale'!$D$3:$DH$129,BL$1,0),0)</f>
        <v>0</v>
      </c>
      <c r="BM25" s="13">
        <f>IFERROR(VLOOKUP($G25,'Visu totale'!$D$3:$DH$129,BM$1,0),0)</f>
        <v>0</v>
      </c>
      <c r="BN25" s="13">
        <f>IFERROR(VLOOKUP($G25,'Visu totale'!$D$3:$DH$129,BN$1,0),0)</f>
        <v>0</v>
      </c>
      <c r="BO25" s="15">
        <f>IFERROR(VLOOKUP($G25,'Visu totale'!$D$3:$DH$129,BO$1,0),0)</f>
        <v>0</v>
      </c>
      <c r="BP25" s="14">
        <f>IFERROR(VLOOKUP($G25,'Visu totale'!$D$3:$DH$129,BP$1,0),0)</f>
        <v>0</v>
      </c>
      <c r="BQ25" s="13">
        <f>IFERROR(VLOOKUP($G25,'Visu totale'!$D$3:$DH$129,BQ$1,0),0)</f>
        <v>0</v>
      </c>
      <c r="BR25" s="13">
        <f>IFERROR(VLOOKUP($G25,'Visu totale'!$D$3:$DH$129,BR$1,0),0)</f>
        <v>0</v>
      </c>
      <c r="BS25" s="13">
        <f>IFERROR(VLOOKUP($G25,'Visu totale'!$D$3:$DH$129,BS$1,0),0)</f>
        <v>0</v>
      </c>
      <c r="BT25" s="13">
        <f>IFERROR(VLOOKUP($G25,'Visu totale'!$D$3:$DH$129,BT$1,0),0)</f>
        <v>0</v>
      </c>
      <c r="BU25" s="13">
        <f>IFERROR(VLOOKUP($G25,'Visu totale'!$D$3:$DH$129,BU$1,0),0)</f>
        <v>0</v>
      </c>
      <c r="BV25" s="13">
        <f>IFERROR(VLOOKUP($G25,'Visu totale'!$D$3:$DH$129,BV$1,0),0)</f>
        <v>0</v>
      </c>
      <c r="BW25" s="13">
        <f>IFERROR(VLOOKUP($G25,'Visu totale'!$D$3:$DH$129,BW$1,0),0)</f>
        <v>0</v>
      </c>
      <c r="BX25" s="13">
        <f>IFERROR(VLOOKUP($G25,'Visu totale'!$D$3:$DH$129,BX$1,0),0)</f>
        <v>0</v>
      </c>
      <c r="BY25" s="13">
        <f>IFERROR(VLOOKUP($G25,'Visu totale'!$D$3:$DH$129,BY$1,0),0)</f>
        <v>0</v>
      </c>
      <c r="BZ25" s="13">
        <f>IFERROR(VLOOKUP($G25,'Visu totale'!$D$3:$DH$129,BZ$1,0),0)</f>
        <v>0</v>
      </c>
      <c r="CA25" s="15">
        <f>IFERROR(VLOOKUP($G25,'Visu totale'!$D$3:$DH$129,CA$1,0),0)</f>
        <v>0</v>
      </c>
      <c r="CB25" s="14">
        <f>IFERROR(VLOOKUP($G25,'Visu totale'!$D$3:$DH$129,CB$1,0),0)</f>
        <v>0</v>
      </c>
      <c r="CC25" s="13">
        <f>IFERROR(VLOOKUP($G25,'Visu totale'!$D$3:$DH$129,CC$1,0),0)</f>
        <v>0</v>
      </c>
      <c r="CD25" s="13">
        <f>IFERROR(VLOOKUP($G25,'Visu totale'!$D$3:$DH$129,CD$1,0),0)</f>
        <v>0</v>
      </c>
      <c r="CE25" s="13">
        <f>IFERROR(VLOOKUP($G25,'Visu totale'!$D$3:$DH$129,CE$1,0),0)</f>
        <v>0</v>
      </c>
      <c r="CF25" s="13">
        <f>IFERROR(VLOOKUP($G25,'Visu totale'!$D$3:$DH$129,CF$1,0),0)</f>
        <v>0</v>
      </c>
      <c r="CG25" s="13">
        <f>IFERROR(VLOOKUP($G25,'Visu totale'!$D$3:$DH$129,CG$1,0),0)</f>
        <v>0</v>
      </c>
      <c r="CH25" s="13">
        <f>IFERROR(VLOOKUP($G25,'Visu totale'!$D$3:$DH$129,CH$1,0),0)</f>
        <v>0</v>
      </c>
      <c r="CI25" s="13">
        <f>IFERROR(VLOOKUP($G25,'Visu totale'!$D$3:$DH$129,CI$1,0),0)</f>
        <v>0</v>
      </c>
      <c r="CJ25" s="13">
        <f>IFERROR(VLOOKUP($G25,'Visu totale'!$D$3:$DH$129,CJ$1,0),0)</f>
        <v>0</v>
      </c>
      <c r="CK25" s="13">
        <f>IFERROR(VLOOKUP($G25,'Visu totale'!$D$3:$DH$129,CK$1,0),0)</f>
        <v>0</v>
      </c>
      <c r="CL25" s="13">
        <f>IFERROR(VLOOKUP($G25,'Visu totale'!$D$3:$DH$129,CL$1,0),0)</f>
        <v>0</v>
      </c>
      <c r="CM25" s="15">
        <f>IFERROR(VLOOKUP($G25,'Visu totale'!$D$3:$DH$129,CM$1,0),0)</f>
        <v>0</v>
      </c>
      <c r="CN25" s="14">
        <f>IFERROR(VLOOKUP($G25,'Visu totale'!$D$3:$DH$129,CN$1,0),0)</f>
        <v>0</v>
      </c>
      <c r="CO25" s="13">
        <f>IFERROR(VLOOKUP($G25,'Visu totale'!$D$3:$DH$129,CO$1,0),0)</f>
        <v>0</v>
      </c>
      <c r="CP25" s="13">
        <f>IFERROR(VLOOKUP($G25,'Visu totale'!$D$3:$DH$129,CP$1,0),0)</f>
        <v>0</v>
      </c>
      <c r="CQ25" s="13">
        <f>IFERROR(VLOOKUP($G25,'Visu totale'!$D$3:$DH$129,CQ$1,0),0)</f>
        <v>0</v>
      </c>
      <c r="CR25" s="13">
        <f>IFERROR(VLOOKUP($G25,'Visu totale'!$D$3:$DH$129,CR$1,0),0)</f>
        <v>0</v>
      </c>
      <c r="CS25" s="13">
        <f>IFERROR(VLOOKUP($G25,'Visu totale'!$D$3:$DH$129,CS$1,0),0)</f>
        <v>0</v>
      </c>
      <c r="CT25" s="13">
        <f>IFERROR(VLOOKUP($G25,'Visu totale'!$D$3:$DH$129,CT$1,0),0)</f>
        <v>0</v>
      </c>
      <c r="CU25" s="13">
        <f>IFERROR(VLOOKUP($G25,'Visu totale'!$D$3:$DH$129,CU$1,0),0)</f>
        <v>0</v>
      </c>
      <c r="CV25" s="13">
        <f>IFERROR(VLOOKUP($G25,'Visu totale'!$D$3:$DH$129,CV$1,0),0)</f>
        <v>0</v>
      </c>
      <c r="CW25" s="13">
        <f>IFERROR(VLOOKUP($G25,'Visu totale'!$D$3:$DH$129,CW$1,0),0)</f>
        <v>0</v>
      </c>
      <c r="CX25" s="13">
        <f>IFERROR(VLOOKUP($G25,'Visu totale'!$D$3:$DH$129,CX$1,0),0)</f>
        <v>0</v>
      </c>
      <c r="CY25" s="15">
        <f>IFERROR(VLOOKUP($G25,'Visu totale'!$D$3:$DH$129,CY$1,0),0)</f>
        <v>0</v>
      </c>
      <c r="CZ25" s="14">
        <f>IFERROR(VLOOKUP($G25,'Visu totale'!$D$3:$DH$129,CZ$1,0),0)</f>
        <v>0</v>
      </c>
      <c r="DA25" s="13">
        <f>IFERROR(VLOOKUP($G25,'Visu totale'!$D$3:$DH$129,DA$1,0),0)</f>
        <v>0</v>
      </c>
      <c r="DB25" s="13">
        <f>IFERROR(VLOOKUP($G25,'Visu totale'!$D$3:$DH$129,DB$1,0),0)</f>
        <v>0</v>
      </c>
      <c r="DC25" s="13">
        <f>IFERROR(VLOOKUP($G25,'Visu totale'!$D$3:$DH$129,DC$1,0),0)</f>
        <v>0</v>
      </c>
      <c r="DD25" s="13">
        <f>IFERROR(VLOOKUP($G25,'Visu totale'!$D$3:$DH$129,DD$1,0),0)</f>
        <v>0</v>
      </c>
      <c r="DE25" s="13">
        <f>IFERROR(VLOOKUP($G25,'Visu totale'!$D$3:$DH$129,DE$1,0),0)</f>
        <v>0</v>
      </c>
      <c r="DF25" s="13">
        <f>IFERROR(VLOOKUP($G25,'Visu totale'!$D$3:$DH$129,DF$1,0),0)</f>
        <v>0</v>
      </c>
      <c r="DG25" s="13">
        <f>IFERROR(VLOOKUP($G25,'Visu totale'!$D$3:$DH$129,DG$1,0),0)</f>
        <v>0</v>
      </c>
      <c r="DH25" s="13">
        <f>IFERROR(VLOOKUP($G25,'Visu totale'!$D$3:$DH$129,DH$1,0),0)</f>
        <v>0</v>
      </c>
      <c r="DI25" s="13">
        <f>IFERROR(VLOOKUP($G25,'Visu totale'!$D$3:$DH$129,DI$1,0),0)</f>
        <v>0</v>
      </c>
      <c r="DJ25" s="13">
        <f>IFERROR(VLOOKUP($G25,'Visu totale'!$D$3:$DH$129,DJ$1,0),0)</f>
        <v>0</v>
      </c>
      <c r="DK25" s="15">
        <f>IFERROR(VLOOKUP($G25,'Visu totale'!$D$3:$DH$129,DK$1,0),0)</f>
        <v>0</v>
      </c>
    </row>
    <row r="26" spans="1:115" x14ac:dyDescent="0.25">
      <c r="A26" s="13"/>
      <c r="B26" s="13"/>
      <c r="C26" s="13"/>
      <c r="D26" s="16"/>
      <c r="E26" s="13"/>
      <c r="F26" s="13"/>
      <c r="G26" s="17" t="s">
        <v>28</v>
      </c>
      <c r="H26" s="14">
        <f>IFERROR(VLOOKUP($G26,'Visu totale'!$D$3:$DH$129,H$1,0),0)</f>
        <v>0</v>
      </c>
      <c r="I26" s="13">
        <f>IFERROR(VLOOKUP($G26,'Visu totale'!$D$3:$DH$129,I$1,0),0)</f>
        <v>0</v>
      </c>
      <c r="J26" s="13">
        <f>IFERROR(VLOOKUP($G26,'Visu totale'!$D$3:$DH$129,J$1,0),0)</f>
        <v>0</v>
      </c>
      <c r="K26" s="13">
        <f>IFERROR(VLOOKUP($G26,'Visu totale'!$D$3:$DH$129,K$1,0),0)</f>
        <v>0</v>
      </c>
      <c r="L26" s="13">
        <f>IFERROR(VLOOKUP($G26,'Visu totale'!$D$3:$DH$129,L$1,0),0)</f>
        <v>0</v>
      </c>
      <c r="M26" s="13">
        <f>IFERROR(VLOOKUP($G26,'Visu totale'!$D$3:$DH$129,M$1,0),0)</f>
        <v>0</v>
      </c>
      <c r="N26" s="13">
        <f>IFERROR(VLOOKUP($G26,'Visu totale'!$D$3:$DH$129,N$1,0),0)</f>
        <v>0</v>
      </c>
      <c r="O26" s="13">
        <f>IFERROR(VLOOKUP($G26,'Visu totale'!$D$3:$DH$129,O$1,0),0)</f>
        <v>0</v>
      </c>
      <c r="P26" s="13">
        <f>IFERROR(VLOOKUP($G26,'Visu totale'!$D$3:$DH$129,P$1,0),0)</f>
        <v>0</v>
      </c>
      <c r="Q26" s="13">
        <f>IFERROR(VLOOKUP($G26,'Visu totale'!$D$3:$DH$129,Q$1,0),0)</f>
        <v>0</v>
      </c>
      <c r="R26" s="13">
        <f>IFERROR(VLOOKUP($G26,'Visu totale'!$D$3:$DH$129,R$1,0),0)</f>
        <v>0</v>
      </c>
      <c r="S26" s="15">
        <f>IFERROR(VLOOKUP($G26,'Visu totale'!$D$3:$DH$129,S$1,0),0)</f>
        <v>0</v>
      </c>
      <c r="T26" s="14">
        <f>IFERROR(VLOOKUP($G26,'Visu totale'!$D$3:$DH$129,T$1,0),0)</f>
        <v>0</v>
      </c>
      <c r="U26" s="13">
        <f>IFERROR(VLOOKUP($G26,'Visu totale'!$D$3:$DH$129,U$1,0),0)</f>
        <v>0</v>
      </c>
      <c r="V26" s="13">
        <f>IFERROR(VLOOKUP($G26,'Visu totale'!$D$3:$DH$129,V$1,0),0)</f>
        <v>0</v>
      </c>
      <c r="W26" s="13">
        <f>IFERROR(VLOOKUP($G26,'Visu totale'!$D$3:$DH$129,W$1,0),0)</f>
        <v>0</v>
      </c>
      <c r="X26" s="13">
        <f>IFERROR(VLOOKUP($G26,'Visu totale'!$D$3:$DH$129,X$1,0),0)</f>
        <v>0</v>
      </c>
      <c r="Y26" s="13">
        <f>IFERROR(VLOOKUP($G26,'Visu totale'!$D$3:$DH$129,Y$1,0),0)</f>
        <v>0</v>
      </c>
      <c r="Z26" s="13">
        <f>IFERROR(VLOOKUP($G26,'Visu totale'!$D$3:$DH$129,Z$1,0),0)</f>
        <v>0</v>
      </c>
      <c r="AA26" s="13">
        <f>IFERROR(VLOOKUP($G26,'Visu totale'!$D$3:$DH$129,AA$1,0),0)</f>
        <v>0</v>
      </c>
      <c r="AB26" s="13">
        <f>IFERROR(VLOOKUP($G26,'Visu totale'!$D$3:$DH$129,AB$1,0),0)</f>
        <v>0</v>
      </c>
      <c r="AC26" s="13">
        <f>IFERROR(VLOOKUP($G26,'Visu totale'!$D$3:$DH$129,AC$1,0),0)</f>
        <v>0</v>
      </c>
      <c r="AD26" s="13">
        <f>IFERROR(VLOOKUP($G26,'Visu totale'!$D$3:$DH$129,AD$1,0),0)</f>
        <v>0</v>
      </c>
      <c r="AE26" s="15">
        <f>IFERROR(VLOOKUP($G26,'Visu totale'!$D$3:$DH$129,AE$1,0),0)</f>
        <v>0</v>
      </c>
      <c r="AF26" s="14">
        <f>IFERROR(VLOOKUP($G26,'Visu totale'!$D$3:$DH$129,AF$1,0),0)</f>
        <v>0</v>
      </c>
      <c r="AG26" s="13">
        <f>IFERROR(VLOOKUP($G26,'Visu totale'!$D$3:$DH$129,AG$1,0),0)</f>
        <v>0</v>
      </c>
      <c r="AH26" s="13">
        <f>IFERROR(VLOOKUP($G26,'Visu totale'!$D$3:$DH$129,AH$1,0),0)</f>
        <v>0</v>
      </c>
      <c r="AI26" s="13">
        <f>IFERROR(VLOOKUP($G26,'Visu totale'!$D$3:$DH$129,AI$1,0),0)</f>
        <v>0</v>
      </c>
      <c r="AJ26" s="13">
        <f>IFERROR(VLOOKUP($G26,'Visu totale'!$D$3:$DH$129,AJ$1,0),0)</f>
        <v>0</v>
      </c>
      <c r="AK26" s="13">
        <f>IFERROR(VLOOKUP($G26,'Visu totale'!$D$3:$DH$129,AK$1,0),0)</f>
        <v>0</v>
      </c>
      <c r="AL26" s="13">
        <f>IFERROR(VLOOKUP($G26,'Visu totale'!$D$3:$DH$129,AL$1,0),0)</f>
        <v>0</v>
      </c>
      <c r="AM26" s="13">
        <f>IFERROR(VLOOKUP($G26,'Visu totale'!$D$3:$DH$129,AM$1,0),0)</f>
        <v>0</v>
      </c>
      <c r="AN26" s="13">
        <f>IFERROR(VLOOKUP($G26,'Visu totale'!$D$3:$DH$129,AN$1,0),0)</f>
        <v>0</v>
      </c>
      <c r="AO26" s="13">
        <f>IFERROR(VLOOKUP($G26,'Visu totale'!$D$3:$DH$129,AO$1,0),0)</f>
        <v>0</v>
      </c>
      <c r="AP26" s="13">
        <f>IFERROR(VLOOKUP($G26,'Visu totale'!$D$3:$DH$129,AP$1,0),0)</f>
        <v>0</v>
      </c>
      <c r="AQ26" s="15">
        <f>IFERROR(VLOOKUP($G26,'Visu totale'!$D$3:$DH$129,AQ$1,0),0)</f>
        <v>0</v>
      </c>
      <c r="AR26" s="14">
        <f>IFERROR(VLOOKUP($G26,'Visu totale'!$D$3:$DH$129,AR$1,0),0)</f>
        <v>0</v>
      </c>
      <c r="AS26" s="13">
        <f>IFERROR(VLOOKUP($G26,'Visu totale'!$D$3:$DH$129,AS$1,0),0)</f>
        <v>0</v>
      </c>
      <c r="AT26" s="13">
        <f>IFERROR(VLOOKUP($G26,'Visu totale'!$D$3:$DH$129,AT$1,0),0)</f>
        <v>0</v>
      </c>
      <c r="AU26" s="13">
        <f>IFERROR(VLOOKUP($G26,'Visu totale'!$D$3:$DH$129,AU$1,0),0)</f>
        <v>0</v>
      </c>
      <c r="AV26" s="13">
        <f>IFERROR(VLOOKUP($G26,'Visu totale'!$D$3:$DH$129,AV$1,0),0)</f>
        <v>0</v>
      </c>
      <c r="AW26" s="13">
        <f>IFERROR(VLOOKUP($G26,'Visu totale'!$D$3:$DH$129,AW$1,0),0)</f>
        <v>0</v>
      </c>
      <c r="AX26" s="13">
        <f>IFERROR(VLOOKUP($G26,'Visu totale'!$D$3:$DH$129,AX$1,0),0)</f>
        <v>0</v>
      </c>
      <c r="AY26" s="13">
        <f>IFERROR(VLOOKUP($G26,'Visu totale'!$D$3:$DH$129,AY$1,0),0)</f>
        <v>0</v>
      </c>
      <c r="AZ26" s="13">
        <f>IFERROR(VLOOKUP($G26,'Visu totale'!$D$3:$DH$129,AZ$1,0),0)</f>
        <v>0</v>
      </c>
      <c r="BA26" s="13">
        <f>IFERROR(VLOOKUP($G26,'Visu totale'!$D$3:$DH$129,BA$1,0),0)</f>
        <v>0</v>
      </c>
      <c r="BB26" s="13">
        <f>IFERROR(VLOOKUP($G26,'Visu totale'!$D$3:$DH$129,BB$1,0),0)</f>
        <v>0</v>
      </c>
      <c r="BC26" s="15">
        <f>IFERROR(VLOOKUP($G26,'Visu totale'!$D$3:$DH$129,BC$1,0),0)</f>
        <v>0</v>
      </c>
      <c r="BD26" s="14">
        <f>IFERROR(VLOOKUP($G26,'Visu totale'!$D$3:$DH$129,BD$1,0),0)</f>
        <v>0</v>
      </c>
      <c r="BE26" s="13">
        <f>IFERROR(VLOOKUP($G26,'Visu totale'!$D$3:$DH$129,BE$1,0),0)</f>
        <v>0</v>
      </c>
      <c r="BF26" s="13">
        <f>IFERROR(VLOOKUP($G26,'Visu totale'!$D$3:$DH$129,BF$1,0),0)</f>
        <v>0</v>
      </c>
      <c r="BG26" s="13">
        <f>IFERROR(VLOOKUP($G26,'Visu totale'!$D$3:$DH$129,BG$1,0),0)</f>
        <v>0</v>
      </c>
      <c r="BH26" s="13">
        <f>IFERROR(VLOOKUP($G26,'Visu totale'!$D$3:$DH$129,BH$1,0),0)</f>
        <v>0</v>
      </c>
      <c r="BI26" s="13">
        <f>IFERROR(VLOOKUP($G26,'Visu totale'!$D$3:$DH$129,BI$1,0),0)</f>
        <v>0</v>
      </c>
      <c r="BJ26" s="13">
        <f>IFERROR(VLOOKUP($G26,'Visu totale'!$D$3:$DH$129,BJ$1,0),0)</f>
        <v>0</v>
      </c>
      <c r="BK26" s="13">
        <f>IFERROR(VLOOKUP($G26,'Visu totale'!$D$3:$DH$129,BK$1,0),0)</f>
        <v>0</v>
      </c>
      <c r="BL26" s="13">
        <f>IFERROR(VLOOKUP($G26,'Visu totale'!$D$3:$DH$129,BL$1,0),0)</f>
        <v>0</v>
      </c>
      <c r="BM26" s="13">
        <f>IFERROR(VLOOKUP($G26,'Visu totale'!$D$3:$DH$129,BM$1,0),0)</f>
        <v>0</v>
      </c>
      <c r="BN26" s="13">
        <f>IFERROR(VLOOKUP($G26,'Visu totale'!$D$3:$DH$129,BN$1,0),0)</f>
        <v>0</v>
      </c>
      <c r="BO26" s="15">
        <f>IFERROR(VLOOKUP($G26,'Visu totale'!$D$3:$DH$129,BO$1,0),0)</f>
        <v>0</v>
      </c>
      <c r="BP26" s="14">
        <f>IFERROR(VLOOKUP($G26,'Visu totale'!$D$3:$DH$129,BP$1,0),0)</f>
        <v>0</v>
      </c>
      <c r="BQ26" s="13">
        <f>IFERROR(VLOOKUP($G26,'Visu totale'!$D$3:$DH$129,BQ$1,0),0)</f>
        <v>0</v>
      </c>
      <c r="BR26" s="13">
        <f>IFERROR(VLOOKUP($G26,'Visu totale'!$D$3:$DH$129,BR$1,0),0)</f>
        <v>0</v>
      </c>
      <c r="BS26" s="13">
        <f>IFERROR(VLOOKUP($G26,'Visu totale'!$D$3:$DH$129,BS$1,0),0)</f>
        <v>0</v>
      </c>
      <c r="BT26" s="13">
        <f>IFERROR(VLOOKUP($G26,'Visu totale'!$D$3:$DH$129,BT$1,0),0)</f>
        <v>0</v>
      </c>
      <c r="BU26" s="13">
        <f>IFERROR(VLOOKUP($G26,'Visu totale'!$D$3:$DH$129,BU$1,0),0)</f>
        <v>0</v>
      </c>
      <c r="BV26" s="13">
        <f>IFERROR(VLOOKUP($G26,'Visu totale'!$D$3:$DH$129,BV$1,0),0)</f>
        <v>0</v>
      </c>
      <c r="BW26" s="13">
        <f>IFERROR(VLOOKUP($G26,'Visu totale'!$D$3:$DH$129,BW$1,0),0)</f>
        <v>0</v>
      </c>
      <c r="BX26" s="13">
        <f>IFERROR(VLOOKUP($G26,'Visu totale'!$D$3:$DH$129,BX$1,0),0)</f>
        <v>0</v>
      </c>
      <c r="BY26" s="13">
        <f>IFERROR(VLOOKUP($G26,'Visu totale'!$D$3:$DH$129,BY$1,0),0)</f>
        <v>0</v>
      </c>
      <c r="BZ26" s="13">
        <f>IFERROR(VLOOKUP($G26,'Visu totale'!$D$3:$DH$129,BZ$1,0),0)</f>
        <v>0</v>
      </c>
      <c r="CA26" s="15">
        <f>IFERROR(VLOOKUP($G26,'Visu totale'!$D$3:$DH$129,CA$1,0),0)</f>
        <v>0</v>
      </c>
      <c r="CB26" s="14">
        <f>IFERROR(VLOOKUP($G26,'Visu totale'!$D$3:$DH$129,CB$1,0),0)</f>
        <v>0</v>
      </c>
      <c r="CC26" s="13">
        <f>IFERROR(VLOOKUP($G26,'Visu totale'!$D$3:$DH$129,CC$1,0),0)</f>
        <v>0</v>
      </c>
      <c r="CD26" s="13">
        <f>IFERROR(VLOOKUP($G26,'Visu totale'!$D$3:$DH$129,CD$1,0),0)</f>
        <v>0</v>
      </c>
      <c r="CE26" s="13">
        <f>IFERROR(VLOOKUP($G26,'Visu totale'!$D$3:$DH$129,CE$1,0),0)</f>
        <v>0</v>
      </c>
      <c r="CF26" s="13">
        <f>IFERROR(VLOOKUP($G26,'Visu totale'!$D$3:$DH$129,CF$1,0),0)</f>
        <v>0</v>
      </c>
      <c r="CG26" s="13">
        <f>IFERROR(VLOOKUP($G26,'Visu totale'!$D$3:$DH$129,CG$1,0),0)</f>
        <v>0</v>
      </c>
      <c r="CH26" s="13">
        <f>IFERROR(VLOOKUP($G26,'Visu totale'!$D$3:$DH$129,CH$1,0),0)</f>
        <v>0</v>
      </c>
      <c r="CI26" s="13">
        <f>IFERROR(VLOOKUP($G26,'Visu totale'!$D$3:$DH$129,CI$1,0),0)</f>
        <v>0</v>
      </c>
      <c r="CJ26" s="13">
        <f>IFERROR(VLOOKUP($G26,'Visu totale'!$D$3:$DH$129,CJ$1,0),0)</f>
        <v>0</v>
      </c>
      <c r="CK26" s="13">
        <f>IFERROR(VLOOKUP($G26,'Visu totale'!$D$3:$DH$129,CK$1,0),0)</f>
        <v>0</v>
      </c>
      <c r="CL26" s="13">
        <f>IFERROR(VLOOKUP($G26,'Visu totale'!$D$3:$DH$129,CL$1,0),0)</f>
        <v>0</v>
      </c>
      <c r="CM26" s="15">
        <f>IFERROR(VLOOKUP($G26,'Visu totale'!$D$3:$DH$129,CM$1,0),0)</f>
        <v>0</v>
      </c>
      <c r="CN26" s="14">
        <f>IFERROR(VLOOKUP($G26,'Visu totale'!$D$3:$DH$129,CN$1,0),0)</f>
        <v>0</v>
      </c>
      <c r="CO26" s="13">
        <f>IFERROR(VLOOKUP($G26,'Visu totale'!$D$3:$DH$129,CO$1,0),0)</f>
        <v>0</v>
      </c>
      <c r="CP26" s="13">
        <f>IFERROR(VLOOKUP($G26,'Visu totale'!$D$3:$DH$129,CP$1,0),0)</f>
        <v>0</v>
      </c>
      <c r="CQ26" s="13">
        <f>IFERROR(VLOOKUP($G26,'Visu totale'!$D$3:$DH$129,CQ$1,0),0)</f>
        <v>0</v>
      </c>
      <c r="CR26" s="13">
        <f>IFERROR(VLOOKUP($G26,'Visu totale'!$D$3:$DH$129,CR$1,0),0)</f>
        <v>0</v>
      </c>
      <c r="CS26" s="13">
        <f>IFERROR(VLOOKUP($G26,'Visu totale'!$D$3:$DH$129,CS$1,0),0)</f>
        <v>0</v>
      </c>
      <c r="CT26" s="13">
        <f>IFERROR(VLOOKUP($G26,'Visu totale'!$D$3:$DH$129,CT$1,0),0)</f>
        <v>0</v>
      </c>
      <c r="CU26" s="13">
        <f>IFERROR(VLOOKUP($G26,'Visu totale'!$D$3:$DH$129,CU$1,0),0)</f>
        <v>0</v>
      </c>
      <c r="CV26" s="13">
        <f>IFERROR(VLOOKUP($G26,'Visu totale'!$D$3:$DH$129,CV$1,0),0)</f>
        <v>0</v>
      </c>
      <c r="CW26" s="13">
        <f>IFERROR(VLOOKUP($G26,'Visu totale'!$D$3:$DH$129,CW$1,0),0)</f>
        <v>0</v>
      </c>
      <c r="CX26" s="13">
        <f>IFERROR(VLOOKUP($G26,'Visu totale'!$D$3:$DH$129,CX$1,0),0)</f>
        <v>0</v>
      </c>
      <c r="CY26" s="15">
        <f>IFERROR(VLOOKUP($G26,'Visu totale'!$D$3:$DH$129,CY$1,0),0)</f>
        <v>0</v>
      </c>
      <c r="CZ26" s="14">
        <f>IFERROR(VLOOKUP($G26,'Visu totale'!$D$3:$DH$129,CZ$1,0),0)</f>
        <v>0</v>
      </c>
      <c r="DA26" s="13">
        <f>IFERROR(VLOOKUP($G26,'Visu totale'!$D$3:$DH$129,DA$1,0),0)</f>
        <v>0</v>
      </c>
      <c r="DB26" s="13">
        <f>IFERROR(VLOOKUP($G26,'Visu totale'!$D$3:$DH$129,DB$1,0),0)</f>
        <v>0</v>
      </c>
      <c r="DC26" s="13">
        <f>IFERROR(VLOOKUP($G26,'Visu totale'!$D$3:$DH$129,DC$1,0),0)</f>
        <v>0</v>
      </c>
      <c r="DD26" s="13">
        <f>IFERROR(VLOOKUP($G26,'Visu totale'!$D$3:$DH$129,DD$1,0),0)</f>
        <v>0</v>
      </c>
      <c r="DE26" s="13">
        <f>IFERROR(VLOOKUP($G26,'Visu totale'!$D$3:$DH$129,DE$1,0),0)</f>
        <v>0</v>
      </c>
      <c r="DF26" s="13">
        <f>IFERROR(VLOOKUP($G26,'Visu totale'!$D$3:$DH$129,DF$1,0),0)</f>
        <v>0</v>
      </c>
      <c r="DG26" s="13">
        <f>IFERROR(VLOOKUP($G26,'Visu totale'!$D$3:$DH$129,DG$1,0),0)</f>
        <v>0</v>
      </c>
      <c r="DH26" s="13">
        <f>IFERROR(VLOOKUP($G26,'Visu totale'!$D$3:$DH$129,DH$1,0),0)</f>
        <v>0</v>
      </c>
      <c r="DI26" s="13">
        <f>IFERROR(VLOOKUP($G26,'Visu totale'!$D$3:$DH$129,DI$1,0),0)</f>
        <v>0</v>
      </c>
      <c r="DJ26" s="13">
        <f>IFERROR(VLOOKUP($G26,'Visu totale'!$D$3:$DH$129,DJ$1,0),0)</f>
        <v>0</v>
      </c>
      <c r="DK26" s="15">
        <f>IFERROR(VLOOKUP($G26,'Visu totale'!$D$3:$DH$129,DK$1,0),0)</f>
        <v>0</v>
      </c>
    </row>
    <row r="27" spans="1:115" x14ac:dyDescent="0.25">
      <c r="A27" s="13"/>
      <c r="B27" s="13"/>
      <c r="C27" s="13"/>
      <c r="D27" s="16"/>
      <c r="E27" s="13"/>
      <c r="F27" s="13"/>
      <c r="G27" s="17" t="s">
        <v>29</v>
      </c>
      <c r="H27" s="14">
        <f>IFERROR(VLOOKUP($G27,'Visu totale'!$D$3:$DH$129,H$1,0),0)</f>
        <v>0</v>
      </c>
      <c r="I27" s="13">
        <f>IFERROR(VLOOKUP($G27,'Visu totale'!$D$3:$DH$129,I$1,0),0)</f>
        <v>0</v>
      </c>
      <c r="J27" s="13">
        <f>IFERROR(VLOOKUP($G27,'Visu totale'!$D$3:$DH$129,J$1,0),0)</f>
        <v>0</v>
      </c>
      <c r="K27" s="13">
        <f>IFERROR(VLOOKUP($G27,'Visu totale'!$D$3:$DH$129,K$1,0),0)</f>
        <v>0</v>
      </c>
      <c r="L27" s="13">
        <f>IFERROR(VLOOKUP($G27,'Visu totale'!$D$3:$DH$129,L$1,0),0)</f>
        <v>0</v>
      </c>
      <c r="M27" s="13">
        <f>IFERROR(VLOOKUP($G27,'Visu totale'!$D$3:$DH$129,M$1,0),0)</f>
        <v>0</v>
      </c>
      <c r="N27" s="13">
        <f>IFERROR(VLOOKUP($G27,'Visu totale'!$D$3:$DH$129,N$1,0),0)</f>
        <v>0</v>
      </c>
      <c r="O27" s="13">
        <f>IFERROR(VLOOKUP($G27,'Visu totale'!$D$3:$DH$129,O$1,0),0)</f>
        <v>0</v>
      </c>
      <c r="P27" s="13">
        <f>IFERROR(VLOOKUP($G27,'Visu totale'!$D$3:$DH$129,P$1,0),0)</f>
        <v>0</v>
      </c>
      <c r="Q27" s="13">
        <f>IFERROR(VLOOKUP($G27,'Visu totale'!$D$3:$DH$129,Q$1,0),0)</f>
        <v>0</v>
      </c>
      <c r="R27" s="13">
        <f>IFERROR(VLOOKUP($G27,'Visu totale'!$D$3:$DH$129,R$1,0),0)</f>
        <v>0</v>
      </c>
      <c r="S27" s="15">
        <f>IFERROR(VLOOKUP($G27,'Visu totale'!$D$3:$DH$129,S$1,0),0)</f>
        <v>0</v>
      </c>
      <c r="T27" s="14">
        <f>IFERROR(VLOOKUP($G27,'Visu totale'!$D$3:$DH$129,T$1,0),0)</f>
        <v>0</v>
      </c>
      <c r="U27" s="13">
        <f>IFERROR(VLOOKUP($G27,'Visu totale'!$D$3:$DH$129,U$1,0),0)</f>
        <v>0</v>
      </c>
      <c r="V27" s="13">
        <f>IFERROR(VLOOKUP($G27,'Visu totale'!$D$3:$DH$129,V$1,0),0)</f>
        <v>0</v>
      </c>
      <c r="W27" s="13">
        <f>IFERROR(VLOOKUP($G27,'Visu totale'!$D$3:$DH$129,W$1,0),0)</f>
        <v>0</v>
      </c>
      <c r="X27" s="13">
        <f>IFERROR(VLOOKUP($G27,'Visu totale'!$D$3:$DH$129,X$1,0),0)</f>
        <v>0</v>
      </c>
      <c r="Y27" s="13">
        <f>IFERROR(VLOOKUP($G27,'Visu totale'!$D$3:$DH$129,Y$1,0),0)</f>
        <v>0</v>
      </c>
      <c r="Z27" s="13">
        <f>IFERROR(VLOOKUP($G27,'Visu totale'!$D$3:$DH$129,Z$1,0),0)</f>
        <v>0</v>
      </c>
      <c r="AA27" s="13">
        <f>IFERROR(VLOOKUP($G27,'Visu totale'!$D$3:$DH$129,AA$1,0),0)</f>
        <v>0</v>
      </c>
      <c r="AB27" s="13">
        <f>IFERROR(VLOOKUP($G27,'Visu totale'!$D$3:$DH$129,AB$1,0),0)</f>
        <v>0</v>
      </c>
      <c r="AC27" s="13">
        <f>IFERROR(VLOOKUP($G27,'Visu totale'!$D$3:$DH$129,AC$1,0),0)</f>
        <v>0</v>
      </c>
      <c r="AD27" s="13">
        <f>IFERROR(VLOOKUP($G27,'Visu totale'!$D$3:$DH$129,AD$1,0),0)</f>
        <v>0</v>
      </c>
      <c r="AE27" s="15">
        <f>IFERROR(VLOOKUP($G27,'Visu totale'!$D$3:$DH$129,AE$1,0),0)</f>
        <v>0</v>
      </c>
      <c r="AF27" s="14">
        <f>IFERROR(VLOOKUP($G27,'Visu totale'!$D$3:$DH$129,AF$1,0),0)</f>
        <v>0</v>
      </c>
      <c r="AG27" s="13">
        <f>IFERROR(VLOOKUP($G27,'Visu totale'!$D$3:$DH$129,AG$1,0),0)</f>
        <v>0</v>
      </c>
      <c r="AH27" s="13">
        <f>IFERROR(VLOOKUP($G27,'Visu totale'!$D$3:$DH$129,AH$1,0),0)</f>
        <v>0</v>
      </c>
      <c r="AI27" s="13">
        <f>IFERROR(VLOOKUP($G27,'Visu totale'!$D$3:$DH$129,AI$1,0),0)</f>
        <v>0</v>
      </c>
      <c r="AJ27" s="13">
        <f>IFERROR(VLOOKUP($G27,'Visu totale'!$D$3:$DH$129,AJ$1,0),0)</f>
        <v>0</v>
      </c>
      <c r="AK27" s="13">
        <f>IFERROR(VLOOKUP($G27,'Visu totale'!$D$3:$DH$129,AK$1,0),0)</f>
        <v>0</v>
      </c>
      <c r="AL27" s="13">
        <f>IFERROR(VLOOKUP($G27,'Visu totale'!$D$3:$DH$129,AL$1,0),0)</f>
        <v>0</v>
      </c>
      <c r="AM27" s="13">
        <f>IFERROR(VLOOKUP($G27,'Visu totale'!$D$3:$DH$129,AM$1,0),0)</f>
        <v>0</v>
      </c>
      <c r="AN27" s="13">
        <f>IFERROR(VLOOKUP($G27,'Visu totale'!$D$3:$DH$129,AN$1,0),0)</f>
        <v>0</v>
      </c>
      <c r="AO27" s="13">
        <f>IFERROR(VLOOKUP($G27,'Visu totale'!$D$3:$DH$129,AO$1,0),0)</f>
        <v>0</v>
      </c>
      <c r="AP27" s="13">
        <f>IFERROR(VLOOKUP($G27,'Visu totale'!$D$3:$DH$129,AP$1,0),0)</f>
        <v>0</v>
      </c>
      <c r="AQ27" s="15">
        <f>IFERROR(VLOOKUP($G27,'Visu totale'!$D$3:$DH$129,AQ$1,0),0)</f>
        <v>0</v>
      </c>
      <c r="AR27" s="14">
        <f>IFERROR(VLOOKUP($G27,'Visu totale'!$D$3:$DH$129,AR$1,0),0)</f>
        <v>0</v>
      </c>
      <c r="AS27" s="13">
        <f>IFERROR(VLOOKUP($G27,'Visu totale'!$D$3:$DH$129,AS$1,0),0)</f>
        <v>0</v>
      </c>
      <c r="AT27" s="13">
        <f>IFERROR(VLOOKUP($G27,'Visu totale'!$D$3:$DH$129,AT$1,0),0)</f>
        <v>0</v>
      </c>
      <c r="AU27" s="13">
        <f>IFERROR(VLOOKUP($G27,'Visu totale'!$D$3:$DH$129,AU$1,0),0)</f>
        <v>0</v>
      </c>
      <c r="AV27" s="13">
        <f>IFERROR(VLOOKUP($G27,'Visu totale'!$D$3:$DH$129,AV$1,0),0)</f>
        <v>0</v>
      </c>
      <c r="AW27" s="13">
        <f>IFERROR(VLOOKUP($G27,'Visu totale'!$D$3:$DH$129,AW$1,0),0)</f>
        <v>0</v>
      </c>
      <c r="AX27" s="13">
        <f>IFERROR(VLOOKUP($G27,'Visu totale'!$D$3:$DH$129,AX$1,0),0)</f>
        <v>0</v>
      </c>
      <c r="AY27" s="13">
        <f>IFERROR(VLOOKUP($G27,'Visu totale'!$D$3:$DH$129,AY$1,0),0)</f>
        <v>0</v>
      </c>
      <c r="AZ27" s="13">
        <f>IFERROR(VLOOKUP($G27,'Visu totale'!$D$3:$DH$129,AZ$1,0),0)</f>
        <v>0</v>
      </c>
      <c r="BA27" s="13">
        <f>IFERROR(VLOOKUP($G27,'Visu totale'!$D$3:$DH$129,BA$1,0),0)</f>
        <v>0</v>
      </c>
      <c r="BB27" s="13">
        <f>IFERROR(VLOOKUP($G27,'Visu totale'!$D$3:$DH$129,BB$1,0),0)</f>
        <v>0</v>
      </c>
      <c r="BC27" s="15">
        <f>IFERROR(VLOOKUP($G27,'Visu totale'!$D$3:$DH$129,BC$1,0),0)</f>
        <v>0</v>
      </c>
      <c r="BD27" s="14">
        <f>IFERROR(VLOOKUP($G27,'Visu totale'!$D$3:$DH$129,BD$1,0),0)</f>
        <v>0</v>
      </c>
      <c r="BE27" s="13">
        <f>IFERROR(VLOOKUP($G27,'Visu totale'!$D$3:$DH$129,BE$1,0),0)</f>
        <v>0</v>
      </c>
      <c r="BF27" s="13">
        <f>IFERROR(VLOOKUP($G27,'Visu totale'!$D$3:$DH$129,BF$1,0),0)</f>
        <v>0</v>
      </c>
      <c r="BG27" s="13">
        <f>IFERROR(VLOOKUP($G27,'Visu totale'!$D$3:$DH$129,BG$1,0),0)</f>
        <v>0</v>
      </c>
      <c r="BH27" s="13">
        <f>IFERROR(VLOOKUP($G27,'Visu totale'!$D$3:$DH$129,BH$1,0),0)</f>
        <v>0</v>
      </c>
      <c r="BI27" s="13">
        <f>IFERROR(VLOOKUP($G27,'Visu totale'!$D$3:$DH$129,BI$1,0),0)</f>
        <v>0</v>
      </c>
      <c r="BJ27" s="13">
        <f>IFERROR(VLOOKUP($G27,'Visu totale'!$D$3:$DH$129,BJ$1,0),0)</f>
        <v>0</v>
      </c>
      <c r="BK27" s="13">
        <f>IFERROR(VLOOKUP($G27,'Visu totale'!$D$3:$DH$129,BK$1,0),0)</f>
        <v>0</v>
      </c>
      <c r="BL27" s="13">
        <f>IFERROR(VLOOKUP($G27,'Visu totale'!$D$3:$DH$129,BL$1,0),0)</f>
        <v>0</v>
      </c>
      <c r="BM27" s="13">
        <f>IFERROR(VLOOKUP($G27,'Visu totale'!$D$3:$DH$129,BM$1,0),0)</f>
        <v>0</v>
      </c>
      <c r="BN27" s="13">
        <f>IFERROR(VLOOKUP($G27,'Visu totale'!$D$3:$DH$129,BN$1,0),0)</f>
        <v>0</v>
      </c>
      <c r="BO27" s="15">
        <f>IFERROR(VLOOKUP($G27,'Visu totale'!$D$3:$DH$129,BO$1,0),0)</f>
        <v>0</v>
      </c>
      <c r="BP27" s="14">
        <f>IFERROR(VLOOKUP($G27,'Visu totale'!$D$3:$DH$129,BP$1,0),0)</f>
        <v>0</v>
      </c>
      <c r="BQ27" s="13">
        <f>IFERROR(VLOOKUP($G27,'Visu totale'!$D$3:$DH$129,BQ$1,0),0)</f>
        <v>0</v>
      </c>
      <c r="BR27" s="13">
        <f>IFERROR(VLOOKUP($G27,'Visu totale'!$D$3:$DH$129,BR$1,0),0)</f>
        <v>0</v>
      </c>
      <c r="BS27" s="13">
        <f>IFERROR(VLOOKUP($G27,'Visu totale'!$D$3:$DH$129,BS$1,0),0)</f>
        <v>0</v>
      </c>
      <c r="BT27" s="13">
        <f>IFERROR(VLOOKUP($G27,'Visu totale'!$D$3:$DH$129,BT$1,0),0)</f>
        <v>0</v>
      </c>
      <c r="BU27" s="13">
        <f>IFERROR(VLOOKUP($G27,'Visu totale'!$D$3:$DH$129,BU$1,0),0)</f>
        <v>0</v>
      </c>
      <c r="BV27" s="13">
        <f>IFERROR(VLOOKUP($G27,'Visu totale'!$D$3:$DH$129,BV$1,0),0)</f>
        <v>0</v>
      </c>
      <c r="BW27" s="13">
        <f>IFERROR(VLOOKUP($G27,'Visu totale'!$D$3:$DH$129,BW$1,0),0)</f>
        <v>0</v>
      </c>
      <c r="BX27" s="13">
        <f>IFERROR(VLOOKUP($G27,'Visu totale'!$D$3:$DH$129,BX$1,0),0)</f>
        <v>0</v>
      </c>
      <c r="BY27" s="13">
        <f>IFERROR(VLOOKUP($G27,'Visu totale'!$D$3:$DH$129,BY$1,0),0)</f>
        <v>0</v>
      </c>
      <c r="BZ27" s="13">
        <f>IFERROR(VLOOKUP($G27,'Visu totale'!$D$3:$DH$129,BZ$1,0),0)</f>
        <v>0</v>
      </c>
      <c r="CA27" s="15">
        <f>IFERROR(VLOOKUP($G27,'Visu totale'!$D$3:$DH$129,CA$1,0),0)</f>
        <v>0</v>
      </c>
      <c r="CB27" s="14">
        <f>IFERROR(VLOOKUP($G27,'Visu totale'!$D$3:$DH$129,CB$1,0),0)</f>
        <v>0</v>
      </c>
      <c r="CC27" s="13">
        <f>IFERROR(VLOOKUP($G27,'Visu totale'!$D$3:$DH$129,CC$1,0),0)</f>
        <v>0</v>
      </c>
      <c r="CD27" s="13">
        <f>IFERROR(VLOOKUP($G27,'Visu totale'!$D$3:$DH$129,CD$1,0),0)</f>
        <v>0</v>
      </c>
      <c r="CE27" s="13">
        <f>IFERROR(VLOOKUP($G27,'Visu totale'!$D$3:$DH$129,CE$1,0),0)</f>
        <v>0</v>
      </c>
      <c r="CF27" s="13">
        <f>IFERROR(VLOOKUP($G27,'Visu totale'!$D$3:$DH$129,CF$1,0),0)</f>
        <v>0</v>
      </c>
      <c r="CG27" s="13">
        <f>IFERROR(VLOOKUP($G27,'Visu totale'!$D$3:$DH$129,CG$1,0),0)</f>
        <v>0</v>
      </c>
      <c r="CH27" s="13">
        <f>IFERROR(VLOOKUP($G27,'Visu totale'!$D$3:$DH$129,CH$1,0),0)</f>
        <v>0</v>
      </c>
      <c r="CI27" s="13">
        <f>IFERROR(VLOOKUP($G27,'Visu totale'!$D$3:$DH$129,CI$1,0),0)</f>
        <v>0</v>
      </c>
      <c r="CJ27" s="13">
        <f>IFERROR(VLOOKUP($G27,'Visu totale'!$D$3:$DH$129,CJ$1,0),0)</f>
        <v>0</v>
      </c>
      <c r="CK27" s="13">
        <f>IFERROR(VLOOKUP($G27,'Visu totale'!$D$3:$DH$129,CK$1,0),0)</f>
        <v>0</v>
      </c>
      <c r="CL27" s="13">
        <f>IFERROR(VLOOKUP($G27,'Visu totale'!$D$3:$DH$129,CL$1,0),0)</f>
        <v>0</v>
      </c>
      <c r="CM27" s="15">
        <f>IFERROR(VLOOKUP($G27,'Visu totale'!$D$3:$DH$129,CM$1,0),0)</f>
        <v>0</v>
      </c>
      <c r="CN27" s="14">
        <f>IFERROR(VLOOKUP($G27,'Visu totale'!$D$3:$DH$129,CN$1,0),0)</f>
        <v>0</v>
      </c>
      <c r="CO27" s="13">
        <f>IFERROR(VLOOKUP($G27,'Visu totale'!$D$3:$DH$129,CO$1,0),0)</f>
        <v>0</v>
      </c>
      <c r="CP27" s="13">
        <f>IFERROR(VLOOKUP($G27,'Visu totale'!$D$3:$DH$129,CP$1,0),0)</f>
        <v>0</v>
      </c>
      <c r="CQ27" s="13">
        <f>IFERROR(VLOOKUP($G27,'Visu totale'!$D$3:$DH$129,CQ$1,0),0)</f>
        <v>0</v>
      </c>
      <c r="CR27" s="13">
        <f>IFERROR(VLOOKUP($G27,'Visu totale'!$D$3:$DH$129,CR$1,0),0)</f>
        <v>0</v>
      </c>
      <c r="CS27" s="13">
        <f>IFERROR(VLOOKUP($G27,'Visu totale'!$D$3:$DH$129,CS$1,0),0)</f>
        <v>0</v>
      </c>
      <c r="CT27" s="13">
        <f>IFERROR(VLOOKUP($G27,'Visu totale'!$D$3:$DH$129,CT$1,0),0)</f>
        <v>0</v>
      </c>
      <c r="CU27" s="13">
        <f>IFERROR(VLOOKUP($G27,'Visu totale'!$D$3:$DH$129,CU$1,0),0)</f>
        <v>0</v>
      </c>
      <c r="CV27" s="13">
        <f>IFERROR(VLOOKUP($G27,'Visu totale'!$D$3:$DH$129,CV$1,0),0)</f>
        <v>0</v>
      </c>
      <c r="CW27" s="13">
        <f>IFERROR(VLOOKUP($G27,'Visu totale'!$D$3:$DH$129,CW$1,0),0)</f>
        <v>0</v>
      </c>
      <c r="CX27" s="13">
        <f>IFERROR(VLOOKUP($G27,'Visu totale'!$D$3:$DH$129,CX$1,0),0)</f>
        <v>0</v>
      </c>
      <c r="CY27" s="15">
        <f>IFERROR(VLOOKUP($G27,'Visu totale'!$D$3:$DH$129,CY$1,0),0)</f>
        <v>0</v>
      </c>
      <c r="CZ27" s="14">
        <f>IFERROR(VLOOKUP($G27,'Visu totale'!$D$3:$DH$129,CZ$1,0),0)</f>
        <v>0</v>
      </c>
      <c r="DA27" s="13">
        <f>IFERROR(VLOOKUP($G27,'Visu totale'!$D$3:$DH$129,DA$1,0),0)</f>
        <v>0</v>
      </c>
      <c r="DB27" s="13">
        <f>IFERROR(VLOOKUP($G27,'Visu totale'!$D$3:$DH$129,DB$1,0),0)</f>
        <v>0</v>
      </c>
      <c r="DC27" s="13">
        <f>IFERROR(VLOOKUP($G27,'Visu totale'!$D$3:$DH$129,DC$1,0),0)</f>
        <v>0</v>
      </c>
      <c r="DD27" s="13">
        <f>IFERROR(VLOOKUP($G27,'Visu totale'!$D$3:$DH$129,DD$1,0),0)</f>
        <v>0</v>
      </c>
      <c r="DE27" s="13">
        <f>IFERROR(VLOOKUP($G27,'Visu totale'!$D$3:$DH$129,DE$1,0),0)</f>
        <v>0</v>
      </c>
      <c r="DF27" s="13">
        <f>IFERROR(VLOOKUP($G27,'Visu totale'!$D$3:$DH$129,DF$1,0),0)</f>
        <v>0</v>
      </c>
      <c r="DG27" s="13">
        <f>IFERROR(VLOOKUP($G27,'Visu totale'!$D$3:$DH$129,DG$1,0),0)</f>
        <v>0</v>
      </c>
      <c r="DH27" s="13">
        <f>IFERROR(VLOOKUP($G27,'Visu totale'!$D$3:$DH$129,DH$1,0),0)</f>
        <v>0</v>
      </c>
      <c r="DI27" s="13">
        <f>IFERROR(VLOOKUP($G27,'Visu totale'!$D$3:$DH$129,DI$1,0),0)</f>
        <v>0</v>
      </c>
      <c r="DJ27" s="13">
        <f>IFERROR(VLOOKUP($G27,'Visu totale'!$D$3:$DH$129,DJ$1,0),0)</f>
        <v>0</v>
      </c>
      <c r="DK27" s="15">
        <f>IFERROR(VLOOKUP($G27,'Visu totale'!$D$3:$DH$129,DK$1,0),0)</f>
        <v>0</v>
      </c>
    </row>
    <row r="28" spans="1:115" x14ac:dyDescent="0.25">
      <c r="A28" s="13"/>
      <c r="B28" s="13"/>
      <c r="C28" s="13"/>
      <c r="D28" s="16"/>
      <c r="E28" s="13"/>
      <c r="F28" s="13"/>
      <c r="G28" s="17" t="s">
        <v>30</v>
      </c>
      <c r="H28" s="14">
        <f>IFERROR(VLOOKUP($G28,'Visu totale'!$D$3:$DH$129,H$1,0),0)</f>
        <v>0</v>
      </c>
      <c r="I28" s="13">
        <f>IFERROR(VLOOKUP($G28,'Visu totale'!$D$3:$DH$129,I$1,0),0)</f>
        <v>0</v>
      </c>
      <c r="J28" s="13">
        <f>IFERROR(VLOOKUP($G28,'Visu totale'!$D$3:$DH$129,J$1,0),0)</f>
        <v>0</v>
      </c>
      <c r="K28" s="13">
        <f>IFERROR(VLOOKUP($G28,'Visu totale'!$D$3:$DH$129,K$1,0),0)</f>
        <v>0</v>
      </c>
      <c r="L28" s="13">
        <f>IFERROR(VLOOKUP($G28,'Visu totale'!$D$3:$DH$129,L$1,0),0)</f>
        <v>0</v>
      </c>
      <c r="M28" s="13">
        <f>IFERROR(VLOOKUP($G28,'Visu totale'!$D$3:$DH$129,M$1,0),0)</f>
        <v>0</v>
      </c>
      <c r="N28" s="13">
        <f>IFERROR(VLOOKUP($G28,'Visu totale'!$D$3:$DH$129,N$1,0),0)</f>
        <v>0</v>
      </c>
      <c r="O28" s="13">
        <f>IFERROR(VLOOKUP($G28,'Visu totale'!$D$3:$DH$129,O$1,0),0)</f>
        <v>0</v>
      </c>
      <c r="P28" s="13">
        <f>IFERROR(VLOOKUP($G28,'Visu totale'!$D$3:$DH$129,P$1,0),0)</f>
        <v>0</v>
      </c>
      <c r="Q28" s="13">
        <f>IFERROR(VLOOKUP($G28,'Visu totale'!$D$3:$DH$129,Q$1,0),0)</f>
        <v>0</v>
      </c>
      <c r="R28" s="13">
        <f>IFERROR(VLOOKUP($G28,'Visu totale'!$D$3:$DH$129,R$1,0),0)</f>
        <v>0</v>
      </c>
      <c r="S28" s="15">
        <f>IFERROR(VLOOKUP($G28,'Visu totale'!$D$3:$DH$129,S$1,0),0)</f>
        <v>0</v>
      </c>
      <c r="T28" s="14">
        <f>IFERROR(VLOOKUP($G28,'Visu totale'!$D$3:$DH$129,T$1,0),0)</f>
        <v>0</v>
      </c>
      <c r="U28" s="13">
        <f>IFERROR(VLOOKUP($G28,'Visu totale'!$D$3:$DH$129,U$1,0),0)</f>
        <v>0</v>
      </c>
      <c r="V28" s="13">
        <f>IFERROR(VLOOKUP($G28,'Visu totale'!$D$3:$DH$129,V$1,0),0)</f>
        <v>0</v>
      </c>
      <c r="W28" s="13">
        <f>IFERROR(VLOOKUP($G28,'Visu totale'!$D$3:$DH$129,W$1,0),0)</f>
        <v>0</v>
      </c>
      <c r="X28" s="13">
        <f>IFERROR(VLOOKUP($G28,'Visu totale'!$D$3:$DH$129,X$1,0),0)</f>
        <v>0</v>
      </c>
      <c r="Y28" s="13">
        <f>IFERROR(VLOOKUP($G28,'Visu totale'!$D$3:$DH$129,Y$1,0),0)</f>
        <v>0</v>
      </c>
      <c r="Z28" s="13">
        <f>IFERROR(VLOOKUP($G28,'Visu totale'!$D$3:$DH$129,Z$1,0),0)</f>
        <v>0</v>
      </c>
      <c r="AA28" s="13">
        <f>IFERROR(VLOOKUP($G28,'Visu totale'!$D$3:$DH$129,AA$1,0),0)</f>
        <v>0</v>
      </c>
      <c r="AB28" s="13">
        <f>IFERROR(VLOOKUP($G28,'Visu totale'!$D$3:$DH$129,AB$1,0),0)</f>
        <v>0</v>
      </c>
      <c r="AC28" s="13">
        <f>IFERROR(VLOOKUP($G28,'Visu totale'!$D$3:$DH$129,AC$1,0),0)</f>
        <v>0</v>
      </c>
      <c r="AD28" s="13">
        <f>IFERROR(VLOOKUP($G28,'Visu totale'!$D$3:$DH$129,AD$1,0),0)</f>
        <v>0</v>
      </c>
      <c r="AE28" s="15">
        <f>IFERROR(VLOOKUP($G28,'Visu totale'!$D$3:$DH$129,AE$1,0),0)</f>
        <v>0</v>
      </c>
      <c r="AF28" s="14">
        <f>IFERROR(VLOOKUP($G28,'Visu totale'!$D$3:$DH$129,AF$1,0),0)</f>
        <v>0</v>
      </c>
      <c r="AG28" s="13">
        <f>IFERROR(VLOOKUP($G28,'Visu totale'!$D$3:$DH$129,AG$1,0),0)</f>
        <v>0</v>
      </c>
      <c r="AH28" s="13">
        <f>IFERROR(VLOOKUP($G28,'Visu totale'!$D$3:$DH$129,AH$1,0),0)</f>
        <v>0</v>
      </c>
      <c r="AI28" s="13">
        <f>IFERROR(VLOOKUP($G28,'Visu totale'!$D$3:$DH$129,AI$1,0),0)</f>
        <v>0</v>
      </c>
      <c r="AJ28" s="13">
        <f>IFERROR(VLOOKUP($G28,'Visu totale'!$D$3:$DH$129,AJ$1,0),0)</f>
        <v>0</v>
      </c>
      <c r="AK28" s="13">
        <f>IFERROR(VLOOKUP($G28,'Visu totale'!$D$3:$DH$129,AK$1,0),0)</f>
        <v>0</v>
      </c>
      <c r="AL28" s="13">
        <f>IFERROR(VLOOKUP($G28,'Visu totale'!$D$3:$DH$129,AL$1,0),0)</f>
        <v>0</v>
      </c>
      <c r="AM28" s="13">
        <f>IFERROR(VLOOKUP($G28,'Visu totale'!$D$3:$DH$129,AM$1,0),0)</f>
        <v>0</v>
      </c>
      <c r="AN28" s="13">
        <f>IFERROR(VLOOKUP($G28,'Visu totale'!$D$3:$DH$129,AN$1,0),0)</f>
        <v>0</v>
      </c>
      <c r="AO28" s="13">
        <f>IFERROR(VLOOKUP($G28,'Visu totale'!$D$3:$DH$129,AO$1,0),0)</f>
        <v>0</v>
      </c>
      <c r="AP28" s="13">
        <f>IFERROR(VLOOKUP($G28,'Visu totale'!$D$3:$DH$129,AP$1,0),0)</f>
        <v>0</v>
      </c>
      <c r="AQ28" s="15">
        <f>IFERROR(VLOOKUP($G28,'Visu totale'!$D$3:$DH$129,AQ$1,0),0)</f>
        <v>0</v>
      </c>
      <c r="AR28" s="14">
        <f>IFERROR(VLOOKUP($G28,'Visu totale'!$D$3:$DH$129,AR$1,0),0)</f>
        <v>0</v>
      </c>
      <c r="AS28" s="13">
        <f>IFERROR(VLOOKUP($G28,'Visu totale'!$D$3:$DH$129,AS$1,0),0)</f>
        <v>0</v>
      </c>
      <c r="AT28" s="13">
        <f>IFERROR(VLOOKUP($G28,'Visu totale'!$D$3:$DH$129,AT$1,0),0)</f>
        <v>0</v>
      </c>
      <c r="AU28" s="13">
        <f>IFERROR(VLOOKUP($G28,'Visu totale'!$D$3:$DH$129,AU$1,0),0)</f>
        <v>0</v>
      </c>
      <c r="AV28" s="13">
        <f>IFERROR(VLOOKUP($G28,'Visu totale'!$D$3:$DH$129,AV$1,0),0)</f>
        <v>0</v>
      </c>
      <c r="AW28" s="13">
        <f>IFERROR(VLOOKUP($G28,'Visu totale'!$D$3:$DH$129,AW$1,0),0)</f>
        <v>0</v>
      </c>
      <c r="AX28" s="13">
        <f>IFERROR(VLOOKUP($G28,'Visu totale'!$D$3:$DH$129,AX$1,0),0)</f>
        <v>0</v>
      </c>
      <c r="AY28" s="13">
        <f>IFERROR(VLOOKUP($G28,'Visu totale'!$D$3:$DH$129,AY$1,0),0)</f>
        <v>0</v>
      </c>
      <c r="AZ28" s="13">
        <f>IFERROR(VLOOKUP($G28,'Visu totale'!$D$3:$DH$129,AZ$1,0),0)</f>
        <v>0</v>
      </c>
      <c r="BA28" s="13">
        <f>IFERROR(VLOOKUP($G28,'Visu totale'!$D$3:$DH$129,BA$1,0),0)</f>
        <v>0</v>
      </c>
      <c r="BB28" s="13">
        <f>IFERROR(VLOOKUP($G28,'Visu totale'!$D$3:$DH$129,BB$1,0),0)</f>
        <v>0</v>
      </c>
      <c r="BC28" s="15">
        <f>IFERROR(VLOOKUP($G28,'Visu totale'!$D$3:$DH$129,BC$1,0),0)</f>
        <v>0</v>
      </c>
      <c r="BD28" s="14">
        <f>IFERROR(VLOOKUP($G28,'Visu totale'!$D$3:$DH$129,BD$1,0),0)</f>
        <v>0</v>
      </c>
      <c r="BE28" s="13">
        <f>IFERROR(VLOOKUP($G28,'Visu totale'!$D$3:$DH$129,BE$1,0),0)</f>
        <v>0</v>
      </c>
      <c r="BF28" s="13">
        <f>IFERROR(VLOOKUP($G28,'Visu totale'!$D$3:$DH$129,BF$1,0),0)</f>
        <v>0</v>
      </c>
      <c r="BG28" s="13">
        <f>IFERROR(VLOOKUP($G28,'Visu totale'!$D$3:$DH$129,BG$1,0),0)</f>
        <v>0</v>
      </c>
      <c r="BH28" s="13">
        <f>IFERROR(VLOOKUP($G28,'Visu totale'!$D$3:$DH$129,BH$1,0),0)</f>
        <v>0</v>
      </c>
      <c r="BI28" s="13">
        <f>IFERROR(VLOOKUP($G28,'Visu totale'!$D$3:$DH$129,BI$1,0),0)</f>
        <v>0</v>
      </c>
      <c r="BJ28" s="13">
        <f>IFERROR(VLOOKUP($G28,'Visu totale'!$D$3:$DH$129,BJ$1,0),0)</f>
        <v>0</v>
      </c>
      <c r="BK28" s="13">
        <f>IFERROR(VLOOKUP($G28,'Visu totale'!$D$3:$DH$129,BK$1,0),0)</f>
        <v>0</v>
      </c>
      <c r="BL28" s="13">
        <f>IFERROR(VLOOKUP($G28,'Visu totale'!$D$3:$DH$129,BL$1,0),0)</f>
        <v>0</v>
      </c>
      <c r="BM28" s="13">
        <f>IFERROR(VLOOKUP($G28,'Visu totale'!$D$3:$DH$129,BM$1,0),0)</f>
        <v>0</v>
      </c>
      <c r="BN28" s="13">
        <f>IFERROR(VLOOKUP($G28,'Visu totale'!$D$3:$DH$129,BN$1,0),0)</f>
        <v>0</v>
      </c>
      <c r="BO28" s="15">
        <f>IFERROR(VLOOKUP($G28,'Visu totale'!$D$3:$DH$129,BO$1,0),0)</f>
        <v>0</v>
      </c>
      <c r="BP28" s="14">
        <f>IFERROR(VLOOKUP($G28,'Visu totale'!$D$3:$DH$129,BP$1,0),0)</f>
        <v>0</v>
      </c>
      <c r="BQ28" s="13">
        <f>IFERROR(VLOOKUP($G28,'Visu totale'!$D$3:$DH$129,BQ$1,0),0)</f>
        <v>0</v>
      </c>
      <c r="BR28" s="13">
        <f>IFERROR(VLOOKUP($G28,'Visu totale'!$D$3:$DH$129,BR$1,0),0)</f>
        <v>0</v>
      </c>
      <c r="BS28" s="13">
        <f>IFERROR(VLOOKUP($G28,'Visu totale'!$D$3:$DH$129,BS$1,0),0)</f>
        <v>0</v>
      </c>
      <c r="BT28" s="13">
        <f>IFERROR(VLOOKUP($G28,'Visu totale'!$D$3:$DH$129,BT$1,0),0)</f>
        <v>0</v>
      </c>
      <c r="BU28" s="13">
        <f>IFERROR(VLOOKUP($G28,'Visu totale'!$D$3:$DH$129,BU$1,0),0)</f>
        <v>0</v>
      </c>
      <c r="BV28" s="13">
        <f>IFERROR(VLOOKUP($G28,'Visu totale'!$D$3:$DH$129,BV$1,0),0)</f>
        <v>0</v>
      </c>
      <c r="BW28" s="13">
        <f>IFERROR(VLOOKUP($G28,'Visu totale'!$D$3:$DH$129,BW$1,0),0)</f>
        <v>0</v>
      </c>
      <c r="BX28" s="13">
        <f>IFERROR(VLOOKUP($G28,'Visu totale'!$D$3:$DH$129,BX$1,0),0)</f>
        <v>0</v>
      </c>
      <c r="BY28" s="13">
        <f>IFERROR(VLOOKUP($G28,'Visu totale'!$D$3:$DH$129,BY$1,0),0)</f>
        <v>0</v>
      </c>
      <c r="BZ28" s="13">
        <f>IFERROR(VLOOKUP($G28,'Visu totale'!$D$3:$DH$129,BZ$1,0),0)</f>
        <v>0</v>
      </c>
      <c r="CA28" s="15">
        <f>IFERROR(VLOOKUP($G28,'Visu totale'!$D$3:$DH$129,CA$1,0),0)</f>
        <v>0</v>
      </c>
      <c r="CB28" s="14">
        <f>IFERROR(VLOOKUP($G28,'Visu totale'!$D$3:$DH$129,CB$1,0),0)</f>
        <v>0</v>
      </c>
      <c r="CC28" s="13">
        <f>IFERROR(VLOOKUP($G28,'Visu totale'!$D$3:$DH$129,CC$1,0),0)</f>
        <v>0</v>
      </c>
      <c r="CD28" s="13">
        <f>IFERROR(VLOOKUP($G28,'Visu totale'!$D$3:$DH$129,CD$1,0),0)</f>
        <v>0</v>
      </c>
      <c r="CE28" s="13">
        <f>IFERROR(VLOOKUP($G28,'Visu totale'!$D$3:$DH$129,CE$1,0),0)</f>
        <v>0</v>
      </c>
      <c r="CF28" s="13">
        <f>IFERROR(VLOOKUP($G28,'Visu totale'!$D$3:$DH$129,CF$1,0),0)</f>
        <v>0</v>
      </c>
      <c r="CG28" s="13">
        <f>IFERROR(VLOOKUP($G28,'Visu totale'!$D$3:$DH$129,CG$1,0),0)</f>
        <v>0</v>
      </c>
      <c r="CH28" s="13">
        <f>IFERROR(VLOOKUP($G28,'Visu totale'!$D$3:$DH$129,CH$1,0),0)</f>
        <v>0</v>
      </c>
      <c r="CI28" s="13">
        <f>IFERROR(VLOOKUP($G28,'Visu totale'!$D$3:$DH$129,CI$1,0),0)</f>
        <v>0</v>
      </c>
      <c r="CJ28" s="13">
        <f>IFERROR(VLOOKUP($G28,'Visu totale'!$D$3:$DH$129,CJ$1,0),0)</f>
        <v>0</v>
      </c>
      <c r="CK28" s="13">
        <f>IFERROR(VLOOKUP($G28,'Visu totale'!$D$3:$DH$129,CK$1,0),0)</f>
        <v>0</v>
      </c>
      <c r="CL28" s="13">
        <f>IFERROR(VLOOKUP($G28,'Visu totale'!$D$3:$DH$129,CL$1,0),0)</f>
        <v>0</v>
      </c>
      <c r="CM28" s="15">
        <f>IFERROR(VLOOKUP($G28,'Visu totale'!$D$3:$DH$129,CM$1,0),0)</f>
        <v>0</v>
      </c>
      <c r="CN28" s="14">
        <f>IFERROR(VLOOKUP($G28,'Visu totale'!$D$3:$DH$129,CN$1,0),0)</f>
        <v>0</v>
      </c>
      <c r="CO28" s="13">
        <f>IFERROR(VLOOKUP($G28,'Visu totale'!$D$3:$DH$129,CO$1,0),0)</f>
        <v>0</v>
      </c>
      <c r="CP28" s="13">
        <f>IFERROR(VLOOKUP($G28,'Visu totale'!$D$3:$DH$129,CP$1,0),0)</f>
        <v>0</v>
      </c>
      <c r="CQ28" s="13">
        <f>IFERROR(VLOOKUP($G28,'Visu totale'!$D$3:$DH$129,CQ$1,0),0)</f>
        <v>0</v>
      </c>
      <c r="CR28" s="13">
        <f>IFERROR(VLOOKUP($G28,'Visu totale'!$D$3:$DH$129,CR$1,0),0)</f>
        <v>0</v>
      </c>
      <c r="CS28" s="13">
        <f>IFERROR(VLOOKUP($G28,'Visu totale'!$D$3:$DH$129,CS$1,0),0)</f>
        <v>0</v>
      </c>
      <c r="CT28" s="13">
        <f>IFERROR(VLOOKUP($G28,'Visu totale'!$D$3:$DH$129,CT$1,0),0)</f>
        <v>0</v>
      </c>
      <c r="CU28" s="13">
        <f>IFERROR(VLOOKUP($G28,'Visu totale'!$D$3:$DH$129,CU$1,0),0)</f>
        <v>0</v>
      </c>
      <c r="CV28" s="13">
        <f>IFERROR(VLOOKUP($G28,'Visu totale'!$D$3:$DH$129,CV$1,0),0)</f>
        <v>0</v>
      </c>
      <c r="CW28" s="13">
        <f>IFERROR(VLOOKUP($G28,'Visu totale'!$D$3:$DH$129,CW$1,0),0)</f>
        <v>0</v>
      </c>
      <c r="CX28" s="13">
        <f>IFERROR(VLOOKUP($G28,'Visu totale'!$D$3:$DH$129,CX$1,0),0)</f>
        <v>0</v>
      </c>
      <c r="CY28" s="15">
        <f>IFERROR(VLOOKUP($G28,'Visu totale'!$D$3:$DH$129,CY$1,0),0)</f>
        <v>0</v>
      </c>
      <c r="CZ28" s="14">
        <f>IFERROR(VLOOKUP($G28,'Visu totale'!$D$3:$DH$129,CZ$1,0),0)</f>
        <v>0</v>
      </c>
      <c r="DA28" s="13">
        <f>IFERROR(VLOOKUP($G28,'Visu totale'!$D$3:$DH$129,DA$1,0),0)</f>
        <v>0</v>
      </c>
      <c r="DB28" s="13">
        <f>IFERROR(VLOOKUP($G28,'Visu totale'!$D$3:$DH$129,DB$1,0),0)</f>
        <v>0</v>
      </c>
      <c r="DC28" s="13">
        <f>IFERROR(VLOOKUP($G28,'Visu totale'!$D$3:$DH$129,DC$1,0),0)</f>
        <v>0</v>
      </c>
      <c r="DD28" s="13">
        <f>IFERROR(VLOOKUP($G28,'Visu totale'!$D$3:$DH$129,DD$1,0),0)</f>
        <v>0</v>
      </c>
      <c r="DE28" s="13">
        <f>IFERROR(VLOOKUP($G28,'Visu totale'!$D$3:$DH$129,DE$1,0),0)</f>
        <v>0</v>
      </c>
      <c r="DF28" s="13">
        <f>IFERROR(VLOOKUP($G28,'Visu totale'!$D$3:$DH$129,DF$1,0),0)</f>
        <v>0</v>
      </c>
      <c r="DG28" s="13">
        <f>IFERROR(VLOOKUP($G28,'Visu totale'!$D$3:$DH$129,DG$1,0),0)</f>
        <v>0</v>
      </c>
      <c r="DH28" s="13">
        <f>IFERROR(VLOOKUP($G28,'Visu totale'!$D$3:$DH$129,DH$1,0),0)</f>
        <v>0</v>
      </c>
      <c r="DI28" s="13">
        <f>IFERROR(VLOOKUP($G28,'Visu totale'!$D$3:$DH$129,DI$1,0),0)</f>
        <v>0</v>
      </c>
      <c r="DJ28" s="13">
        <f>IFERROR(VLOOKUP($G28,'Visu totale'!$D$3:$DH$129,DJ$1,0),0)</f>
        <v>0</v>
      </c>
      <c r="DK28" s="15">
        <f>IFERROR(VLOOKUP($G28,'Visu totale'!$D$3:$DH$129,DK$1,0),0)</f>
        <v>0</v>
      </c>
    </row>
    <row r="29" spans="1:115" x14ac:dyDescent="0.25">
      <c r="A29" s="13"/>
      <c r="B29" s="13"/>
      <c r="C29" s="13"/>
      <c r="D29" s="16"/>
      <c r="E29" s="13"/>
      <c r="F29" s="13"/>
      <c r="G29" s="17" t="s">
        <v>31</v>
      </c>
      <c r="H29" s="14">
        <f>IFERROR(VLOOKUP($G29,'Visu totale'!$D$3:$DH$129,H$1,0),0)</f>
        <v>0</v>
      </c>
      <c r="I29" s="13">
        <f>IFERROR(VLOOKUP($G29,'Visu totale'!$D$3:$DH$129,I$1,0),0)</f>
        <v>0</v>
      </c>
      <c r="J29" s="13">
        <f>IFERROR(VLOOKUP($G29,'Visu totale'!$D$3:$DH$129,J$1,0),0)</f>
        <v>0</v>
      </c>
      <c r="K29" s="13">
        <f>IFERROR(VLOOKUP($G29,'Visu totale'!$D$3:$DH$129,K$1,0),0)</f>
        <v>0</v>
      </c>
      <c r="L29" s="13">
        <f>IFERROR(VLOOKUP($G29,'Visu totale'!$D$3:$DH$129,L$1,0),0)</f>
        <v>0</v>
      </c>
      <c r="M29" s="13">
        <f>IFERROR(VLOOKUP($G29,'Visu totale'!$D$3:$DH$129,M$1,0),0)</f>
        <v>0</v>
      </c>
      <c r="N29" s="13">
        <f>IFERROR(VLOOKUP($G29,'Visu totale'!$D$3:$DH$129,N$1,0),0)</f>
        <v>0</v>
      </c>
      <c r="O29" s="13">
        <f>IFERROR(VLOOKUP($G29,'Visu totale'!$D$3:$DH$129,O$1,0),0)</f>
        <v>0</v>
      </c>
      <c r="P29" s="13">
        <f>IFERROR(VLOOKUP($G29,'Visu totale'!$D$3:$DH$129,P$1,0),0)</f>
        <v>0</v>
      </c>
      <c r="Q29" s="13">
        <f>IFERROR(VLOOKUP($G29,'Visu totale'!$D$3:$DH$129,Q$1,0),0)</f>
        <v>0</v>
      </c>
      <c r="R29" s="13">
        <f>IFERROR(VLOOKUP($G29,'Visu totale'!$D$3:$DH$129,R$1,0),0)</f>
        <v>0</v>
      </c>
      <c r="S29" s="15">
        <f>IFERROR(VLOOKUP($G29,'Visu totale'!$D$3:$DH$129,S$1,0),0)</f>
        <v>0</v>
      </c>
      <c r="T29" s="14">
        <f>IFERROR(VLOOKUP($G29,'Visu totale'!$D$3:$DH$129,T$1,0),0)</f>
        <v>0</v>
      </c>
      <c r="U29" s="13">
        <f>IFERROR(VLOOKUP($G29,'Visu totale'!$D$3:$DH$129,U$1,0),0)</f>
        <v>0</v>
      </c>
      <c r="V29" s="13">
        <f>IFERROR(VLOOKUP($G29,'Visu totale'!$D$3:$DH$129,V$1,0),0)</f>
        <v>0</v>
      </c>
      <c r="W29" s="13">
        <f>IFERROR(VLOOKUP($G29,'Visu totale'!$D$3:$DH$129,W$1,0),0)</f>
        <v>0</v>
      </c>
      <c r="X29" s="13">
        <f>IFERROR(VLOOKUP($G29,'Visu totale'!$D$3:$DH$129,X$1,0),0)</f>
        <v>0</v>
      </c>
      <c r="Y29" s="13">
        <f>IFERROR(VLOOKUP($G29,'Visu totale'!$D$3:$DH$129,Y$1,0),0)</f>
        <v>0</v>
      </c>
      <c r="Z29" s="13">
        <f>IFERROR(VLOOKUP($G29,'Visu totale'!$D$3:$DH$129,Z$1,0),0)</f>
        <v>0</v>
      </c>
      <c r="AA29" s="13">
        <f>IFERROR(VLOOKUP($G29,'Visu totale'!$D$3:$DH$129,AA$1,0),0)</f>
        <v>0</v>
      </c>
      <c r="AB29" s="13">
        <f>IFERROR(VLOOKUP($G29,'Visu totale'!$D$3:$DH$129,AB$1,0),0)</f>
        <v>0</v>
      </c>
      <c r="AC29" s="13">
        <f>IFERROR(VLOOKUP($G29,'Visu totale'!$D$3:$DH$129,AC$1,0),0)</f>
        <v>0</v>
      </c>
      <c r="AD29" s="13">
        <f>IFERROR(VLOOKUP($G29,'Visu totale'!$D$3:$DH$129,AD$1,0),0)</f>
        <v>0</v>
      </c>
      <c r="AE29" s="15">
        <f>IFERROR(VLOOKUP($G29,'Visu totale'!$D$3:$DH$129,AE$1,0),0)</f>
        <v>0</v>
      </c>
      <c r="AF29" s="14">
        <f>IFERROR(VLOOKUP($G29,'Visu totale'!$D$3:$DH$129,AF$1,0),0)</f>
        <v>0</v>
      </c>
      <c r="AG29" s="13">
        <f>IFERROR(VLOOKUP($G29,'Visu totale'!$D$3:$DH$129,AG$1,0),0)</f>
        <v>0</v>
      </c>
      <c r="AH29" s="13">
        <f>IFERROR(VLOOKUP($G29,'Visu totale'!$D$3:$DH$129,AH$1,0),0)</f>
        <v>0</v>
      </c>
      <c r="AI29" s="13">
        <f>IFERROR(VLOOKUP($G29,'Visu totale'!$D$3:$DH$129,AI$1,0),0)</f>
        <v>0</v>
      </c>
      <c r="AJ29" s="13">
        <f>IFERROR(VLOOKUP($G29,'Visu totale'!$D$3:$DH$129,AJ$1,0),0)</f>
        <v>0</v>
      </c>
      <c r="AK29" s="13">
        <f>IFERROR(VLOOKUP($G29,'Visu totale'!$D$3:$DH$129,AK$1,0),0)</f>
        <v>0</v>
      </c>
      <c r="AL29" s="13">
        <f>IFERROR(VLOOKUP($G29,'Visu totale'!$D$3:$DH$129,AL$1,0),0)</f>
        <v>0</v>
      </c>
      <c r="AM29" s="13">
        <f>IFERROR(VLOOKUP($G29,'Visu totale'!$D$3:$DH$129,AM$1,0),0)</f>
        <v>0</v>
      </c>
      <c r="AN29" s="13">
        <f>IFERROR(VLOOKUP($G29,'Visu totale'!$D$3:$DH$129,AN$1,0),0)</f>
        <v>0</v>
      </c>
      <c r="AO29" s="13">
        <f>IFERROR(VLOOKUP($G29,'Visu totale'!$D$3:$DH$129,AO$1,0),0)</f>
        <v>0</v>
      </c>
      <c r="AP29" s="13">
        <f>IFERROR(VLOOKUP($G29,'Visu totale'!$D$3:$DH$129,AP$1,0),0)</f>
        <v>0</v>
      </c>
      <c r="AQ29" s="15">
        <f>IFERROR(VLOOKUP($G29,'Visu totale'!$D$3:$DH$129,AQ$1,0),0)</f>
        <v>0</v>
      </c>
      <c r="AR29" s="14">
        <f>IFERROR(VLOOKUP($G29,'Visu totale'!$D$3:$DH$129,AR$1,0),0)</f>
        <v>0</v>
      </c>
      <c r="AS29" s="13">
        <f>IFERROR(VLOOKUP($G29,'Visu totale'!$D$3:$DH$129,AS$1,0),0)</f>
        <v>0</v>
      </c>
      <c r="AT29" s="13">
        <f>IFERROR(VLOOKUP($G29,'Visu totale'!$D$3:$DH$129,AT$1,0),0)</f>
        <v>0</v>
      </c>
      <c r="AU29" s="13">
        <f>IFERROR(VLOOKUP($G29,'Visu totale'!$D$3:$DH$129,AU$1,0),0)</f>
        <v>0</v>
      </c>
      <c r="AV29" s="13">
        <f>IFERROR(VLOOKUP($G29,'Visu totale'!$D$3:$DH$129,AV$1,0),0)</f>
        <v>0</v>
      </c>
      <c r="AW29" s="13">
        <f>IFERROR(VLOOKUP($G29,'Visu totale'!$D$3:$DH$129,AW$1,0),0)</f>
        <v>0</v>
      </c>
      <c r="AX29" s="13">
        <f>IFERROR(VLOOKUP($G29,'Visu totale'!$D$3:$DH$129,AX$1,0),0)</f>
        <v>0</v>
      </c>
      <c r="AY29" s="13">
        <f>IFERROR(VLOOKUP($G29,'Visu totale'!$D$3:$DH$129,AY$1,0),0)</f>
        <v>0</v>
      </c>
      <c r="AZ29" s="13">
        <f>IFERROR(VLOOKUP($G29,'Visu totale'!$D$3:$DH$129,AZ$1,0),0)</f>
        <v>0</v>
      </c>
      <c r="BA29" s="13">
        <f>IFERROR(VLOOKUP($G29,'Visu totale'!$D$3:$DH$129,BA$1,0),0)</f>
        <v>0</v>
      </c>
      <c r="BB29" s="13">
        <f>IFERROR(VLOOKUP($G29,'Visu totale'!$D$3:$DH$129,BB$1,0),0)</f>
        <v>0</v>
      </c>
      <c r="BC29" s="15">
        <f>IFERROR(VLOOKUP($G29,'Visu totale'!$D$3:$DH$129,BC$1,0),0)</f>
        <v>0</v>
      </c>
      <c r="BD29" s="14">
        <f>IFERROR(VLOOKUP($G29,'Visu totale'!$D$3:$DH$129,BD$1,0),0)</f>
        <v>0</v>
      </c>
      <c r="BE29" s="13">
        <f>IFERROR(VLOOKUP($G29,'Visu totale'!$D$3:$DH$129,BE$1,0),0)</f>
        <v>0</v>
      </c>
      <c r="BF29" s="13">
        <f>IFERROR(VLOOKUP($G29,'Visu totale'!$D$3:$DH$129,BF$1,0),0)</f>
        <v>0</v>
      </c>
      <c r="BG29" s="13">
        <f>IFERROR(VLOOKUP($G29,'Visu totale'!$D$3:$DH$129,BG$1,0),0)</f>
        <v>0</v>
      </c>
      <c r="BH29" s="13">
        <f>IFERROR(VLOOKUP($G29,'Visu totale'!$D$3:$DH$129,BH$1,0),0)</f>
        <v>0</v>
      </c>
      <c r="BI29" s="13">
        <f>IFERROR(VLOOKUP($G29,'Visu totale'!$D$3:$DH$129,BI$1,0),0)</f>
        <v>0</v>
      </c>
      <c r="BJ29" s="13">
        <f>IFERROR(VLOOKUP($G29,'Visu totale'!$D$3:$DH$129,BJ$1,0),0)</f>
        <v>0</v>
      </c>
      <c r="BK29" s="13">
        <f>IFERROR(VLOOKUP($G29,'Visu totale'!$D$3:$DH$129,BK$1,0),0)</f>
        <v>0</v>
      </c>
      <c r="BL29" s="13">
        <f>IFERROR(VLOOKUP($G29,'Visu totale'!$D$3:$DH$129,BL$1,0),0)</f>
        <v>0</v>
      </c>
      <c r="BM29" s="13">
        <f>IFERROR(VLOOKUP($G29,'Visu totale'!$D$3:$DH$129,BM$1,0),0)</f>
        <v>0</v>
      </c>
      <c r="BN29" s="13">
        <f>IFERROR(VLOOKUP($G29,'Visu totale'!$D$3:$DH$129,BN$1,0),0)</f>
        <v>0</v>
      </c>
      <c r="BO29" s="15">
        <f>IFERROR(VLOOKUP($G29,'Visu totale'!$D$3:$DH$129,BO$1,0),0)</f>
        <v>0</v>
      </c>
      <c r="BP29" s="14">
        <f>IFERROR(VLOOKUP($G29,'Visu totale'!$D$3:$DH$129,BP$1,0),0)</f>
        <v>0</v>
      </c>
      <c r="BQ29" s="13">
        <f>IFERROR(VLOOKUP($G29,'Visu totale'!$D$3:$DH$129,BQ$1,0),0)</f>
        <v>0</v>
      </c>
      <c r="BR29" s="13">
        <f>IFERROR(VLOOKUP($G29,'Visu totale'!$D$3:$DH$129,BR$1,0),0)</f>
        <v>0</v>
      </c>
      <c r="BS29" s="13">
        <f>IFERROR(VLOOKUP($G29,'Visu totale'!$D$3:$DH$129,BS$1,0),0)</f>
        <v>0</v>
      </c>
      <c r="BT29" s="13">
        <f>IFERROR(VLOOKUP($G29,'Visu totale'!$D$3:$DH$129,BT$1,0),0)</f>
        <v>0</v>
      </c>
      <c r="BU29" s="13">
        <f>IFERROR(VLOOKUP($G29,'Visu totale'!$D$3:$DH$129,BU$1,0),0)</f>
        <v>0</v>
      </c>
      <c r="BV29" s="13">
        <f>IFERROR(VLOOKUP($G29,'Visu totale'!$D$3:$DH$129,BV$1,0),0)</f>
        <v>0</v>
      </c>
      <c r="BW29" s="13">
        <f>IFERROR(VLOOKUP($G29,'Visu totale'!$D$3:$DH$129,BW$1,0),0)</f>
        <v>0</v>
      </c>
      <c r="BX29" s="13">
        <f>IFERROR(VLOOKUP($G29,'Visu totale'!$D$3:$DH$129,BX$1,0),0)</f>
        <v>0</v>
      </c>
      <c r="BY29" s="13">
        <f>IFERROR(VLOOKUP($G29,'Visu totale'!$D$3:$DH$129,BY$1,0),0)</f>
        <v>0</v>
      </c>
      <c r="BZ29" s="13">
        <f>IFERROR(VLOOKUP($G29,'Visu totale'!$D$3:$DH$129,BZ$1,0),0)</f>
        <v>0</v>
      </c>
      <c r="CA29" s="15">
        <f>IFERROR(VLOOKUP($G29,'Visu totale'!$D$3:$DH$129,CA$1,0),0)</f>
        <v>0</v>
      </c>
      <c r="CB29" s="14">
        <f>IFERROR(VLOOKUP($G29,'Visu totale'!$D$3:$DH$129,CB$1,0),0)</f>
        <v>0</v>
      </c>
      <c r="CC29" s="13">
        <f>IFERROR(VLOOKUP($G29,'Visu totale'!$D$3:$DH$129,CC$1,0),0)</f>
        <v>0</v>
      </c>
      <c r="CD29" s="13">
        <f>IFERROR(VLOOKUP($G29,'Visu totale'!$D$3:$DH$129,CD$1,0),0)</f>
        <v>0</v>
      </c>
      <c r="CE29" s="13">
        <f>IFERROR(VLOOKUP($G29,'Visu totale'!$D$3:$DH$129,CE$1,0),0)</f>
        <v>0</v>
      </c>
      <c r="CF29" s="13">
        <f>IFERROR(VLOOKUP($G29,'Visu totale'!$D$3:$DH$129,CF$1,0),0)</f>
        <v>0</v>
      </c>
      <c r="CG29" s="13">
        <f>IFERROR(VLOOKUP($G29,'Visu totale'!$D$3:$DH$129,CG$1,0),0)</f>
        <v>0</v>
      </c>
      <c r="CH29" s="13">
        <f>IFERROR(VLOOKUP($G29,'Visu totale'!$D$3:$DH$129,CH$1,0),0)</f>
        <v>0</v>
      </c>
      <c r="CI29" s="13">
        <f>IFERROR(VLOOKUP($G29,'Visu totale'!$D$3:$DH$129,CI$1,0),0)</f>
        <v>0</v>
      </c>
      <c r="CJ29" s="13">
        <f>IFERROR(VLOOKUP($G29,'Visu totale'!$D$3:$DH$129,CJ$1,0),0)</f>
        <v>0</v>
      </c>
      <c r="CK29" s="13">
        <f>IFERROR(VLOOKUP($G29,'Visu totale'!$D$3:$DH$129,CK$1,0),0)</f>
        <v>0</v>
      </c>
      <c r="CL29" s="13">
        <f>IFERROR(VLOOKUP($G29,'Visu totale'!$D$3:$DH$129,CL$1,0),0)</f>
        <v>0</v>
      </c>
      <c r="CM29" s="15">
        <f>IFERROR(VLOOKUP($G29,'Visu totale'!$D$3:$DH$129,CM$1,0),0)</f>
        <v>0</v>
      </c>
      <c r="CN29" s="14">
        <f>IFERROR(VLOOKUP($G29,'Visu totale'!$D$3:$DH$129,CN$1,0),0)</f>
        <v>0</v>
      </c>
      <c r="CO29" s="13">
        <f>IFERROR(VLOOKUP($G29,'Visu totale'!$D$3:$DH$129,CO$1,0),0)</f>
        <v>0</v>
      </c>
      <c r="CP29" s="13">
        <f>IFERROR(VLOOKUP($G29,'Visu totale'!$D$3:$DH$129,CP$1,0),0)</f>
        <v>0</v>
      </c>
      <c r="CQ29" s="13">
        <f>IFERROR(VLOOKUP($G29,'Visu totale'!$D$3:$DH$129,CQ$1,0),0)</f>
        <v>0</v>
      </c>
      <c r="CR29" s="13">
        <f>IFERROR(VLOOKUP($G29,'Visu totale'!$D$3:$DH$129,CR$1,0),0)</f>
        <v>0</v>
      </c>
      <c r="CS29" s="13">
        <f>IFERROR(VLOOKUP($G29,'Visu totale'!$D$3:$DH$129,CS$1,0),0)</f>
        <v>0</v>
      </c>
      <c r="CT29" s="13">
        <f>IFERROR(VLOOKUP($G29,'Visu totale'!$D$3:$DH$129,CT$1,0),0)</f>
        <v>0</v>
      </c>
      <c r="CU29" s="13">
        <f>IFERROR(VLOOKUP($G29,'Visu totale'!$D$3:$DH$129,CU$1,0),0)</f>
        <v>0</v>
      </c>
      <c r="CV29" s="13">
        <f>IFERROR(VLOOKUP($G29,'Visu totale'!$D$3:$DH$129,CV$1,0),0)</f>
        <v>0</v>
      </c>
      <c r="CW29" s="13">
        <f>IFERROR(VLOOKUP($G29,'Visu totale'!$D$3:$DH$129,CW$1,0),0)</f>
        <v>0</v>
      </c>
      <c r="CX29" s="13">
        <f>IFERROR(VLOOKUP($G29,'Visu totale'!$D$3:$DH$129,CX$1,0),0)</f>
        <v>0</v>
      </c>
      <c r="CY29" s="15">
        <f>IFERROR(VLOOKUP($G29,'Visu totale'!$D$3:$DH$129,CY$1,0),0)</f>
        <v>0</v>
      </c>
      <c r="CZ29" s="14">
        <f>IFERROR(VLOOKUP($G29,'Visu totale'!$D$3:$DH$129,CZ$1,0),0)</f>
        <v>0</v>
      </c>
      <c r="DA29" s="13">
        <f>IFERROR(VLOOKUP($G29,'Visu totale'!$D$3:$DH$129,DA$1,0),0)</f>
        <v>0</v>
      </c>
      <c r="DB29" s="13">
        <f>IFERROR(VLOOKUP($G29,'Visu totale'!$D$3:$DH$129,DB$1,0),0)</f>
        <v>0</v>
      </c>
      <c r="DC29" s="13">
        <f>IFERROR(VLOOKUP($G29,'Visu totale'!$D$3:$DH$129,DC$1,0),0)</f>
        <v>0</v>
      </c>
      <c r="DD29" s="13">
        <f>IFERROR(VLOOKUP($G29,'Visu totale'!$D$3:$DH$129,DD$1,0),0)</f>
        <v>0</v>
      </c>
      <c r="DE29" s="13">
        <f>IFERROR(VLOOKUP($G29,'Visu totale'!$D$3:$DH$129,DE$1,0),0)</f>
        <v>0</v>
      </c>
      <c r="DF29" s="13">
        <f>IFERROR(VLOOKUP($G29,'Visu totale'!$D$3:$DH$129,DF$1,0),0)</f>
        <v>0</v>
      </c>
      <c r="DG29" s="13">
        <f>IFERROR(VLOOKUP($G29,'Visu totale'!$D$3:$DH$129,DG$1,0),0)</f>
        <v>0</v>
      </c>
      <c r="DH29" s="13">
        <f>IFERROR(VLOOKUP($G29,'Visu totale'!$D$3:$DH$129,DH$1,0),0)</f>
        <v>0</v>
      </c>
      <c r="DI29" s="13">
        <f>IFERROR(VLOOKUP($G29,'Visu totale'!$D$3:$DH$129,DI$1,0),0)</f>
        <v>0</v>
      </c>
      <c r="DJ29" s="13">
        <f>IFERROR(VLOOKUP($G29,'Visu totale'!$D$3:$DH$129,DJ$1,0),0)</f>
        <v>0</v>
      </c>
      <c r="DK29" s="15">
        <f>IFERROR(VLOOKUP($G29,'Visu totale'!$D$3:$DH$129,DK$1,0),0)</f>
        <v>0</v>
      </c>
    </row>
    <row r="30" spans="1:115" x14ac:dyDescent="0.25">
      <c r="A30" s="13"/>
      <c r="B30" s="13"/>
      <c r="C30" s="13"/>
      <c r="D30" s="16"/>
      <c r="E30" s="13"/>
      <c r="F30" s="13"/>
      <c r="G30" s="17" t="s">
        <v>32</v>
      </c>
      <c r="H30" s="14">
        <f>IFERROR(VLOOKUP($G30,'Visu totale'!$D$3:$DH$129,H$1,0),0)</f>
        <v>0</v>
      </c>
      <c r="I30" s="13">
        <f>IFERROR(VLOOKUP($G30,'Visu totale'!$D$3:$DH$129,I$1,0),0)</f>
        <v>0</v>
      </c>
      <c r="J30" s="13">
        <f>IFERROR(VLOOKUP($G30,'Visu totale'!$D$3:$DH$129,J$1,0),0)</f>
        <v>0</v>
      </c>
      <c r="K30" s="13">
        <f>IFERROR(VLOOKUP($G30,'Visu totale'!$D$3:$DH$129,K$1,0),0)</f>
        <v>0</v>
      </c>
      <c r="L30" s="13">
        <f>IFERROR(VLOOKUP($G30,'Visu totale'!$D$3:$DH$129,L$1,0),0)</f>
        <v>0</v>
      </c>
      <c r="M30" s="13">
        <f>IFERROR(VLOOKUP($G30,'Visu totale'!$D$3:$DH$129,M$1,0),0)</f>
        <v>0</v>
      </c>
      <c r="N30" s="13">
        <f>IFERROR(VLOOKUP($G30,'Visu totale'!$D$3:$DH$129,N$1,0),0)</f>
        <v>0</v>
      </c>
      <c r="O30" s="13">
        <f>IFERROR(VLOOKUP($G30,'Visu totale'!$D$3:$DH$129,O$1,0),0)</f>
        <v>0</v>
      </c>
      <c r="P30" s="13">
        <f>IFERROR(VLOOKUP($G30,'Visu totale'!$D$3:$DH$129,P$1,0),0)</f>
        <v>0</v>
      </c>
      <c r="Q30" s="13">
        <f>IFERROR(VLOOKUP($G30,'Visu totale'!$D$3:$DH$129,Q$1,0),0)</f>
        <v>0</v>
      </c>
      <c r="R30" s="13">
        <f>IFERROR(VLOOKUP($G30,'Visu totale'!$D$3:$DH$129,R$1,0),0)</f>
        <v>0</v>
      </c>
      <c r="S30" s="15">
        <f>IFERROR(VLOOKUP($G30,'Visu totale'!$D$3:$DH$129,S$1,0),0)</f>
        <v>0</v>
      </c>
      <c r="T30" s="14">
        <f>IFERROR(VLOOKUP($G30,'Visu totale'!$D$3:$DH$129,T$1,0),0)</f>
        <v>0</v>
      </c>
      <c r="U30" s="13">
        <f>IFERROR(VLOOKUP($G30,'Visu totale'!$D$3:$DH$129,U$1,0),0)</f>
        <v>0</v>
      </c>
      <c r="V30" s="13">
        <f>IFERROR(VLOOKUP($G30,'Visu totale'!$D$3:$DH$129,V$1,0),0)</f>
        <v>0</v>
      </c>
      <c r="W30" s="13">
        <f>IFERROR(VLOOKUP($G30,'Visu totale'!$D$3:$DH$129,W$1,0),0)</f>
        <v>0</v>
      </c>
      <c r="X30" s="13">
        <f>IFERROR(VLOOKUP($G30,'Visu totale'!$D$3:$DH$129,X$1,0),0)</f>
        <v>0</v>
      </c>
      <c r="Y30" s="13">
        <f>IFERROR(VLOOKUP($G30,'Visu totale'!$D$3:$DH$129,Y$1,0),0)</f>
        <v>0</v>
      </c>
      <c r="Z30" s="13">
        <f>IFERROR(VLOOKUP($G30,'Visu totale'!$D$3:$DH$129,Z$1,0),0)</f>
        <v>0</v>
      </c>
      <c r="AA30" s="13">
        <f>IFERROR(VLOOKUP($G30,'Visu totale'!$D$3:$DH$129,AA$1,0),0)</f>
        <v>0</v>
      </c>
      <c r="AB30" s="13">
        <f>IFERROR(VLOOKUP($G30,'Visu totale'!$D$3:$DH$129,AB$1,0),0)</f>
        <v>0</v>
      </c>
      <c r="AC30" s="13">
        <f>IFERROR(VLOOKUP($G30,'Visu totale'!$D$3:$DH$129,AC$1,0),0)</f>
        <v>0</v>
      </c>
      <c r="AD30" s="13">
        <f>IFERROR(VLOOKUP($G30,'Visu totale'!$D$3:$DH$129,AD$1,0),0)</f>
        <v>0</v>
      </c>
      <c r="AE30" s="15">
        <f>IFERROR(VLOOKUP($G30,'Visu totale'!$D$3:$DH$129,AE$1,0),0)</f>
        <v>0</v>
      </c>
      <c r="AF30" s="14">
        <f>IFERROR(VLOOKUP($G30,'Visu totale'!$D$3:$DH$129,AF$1,0),0)</f>
        <v>0</v>
      </c>
      <c r="AG30" s="13">
        <f>IFERROR(VLOOKUP($G30,'Visu totale'!$D$3:$DH$129,AG$1,0),0)</f>
        <v>0</v>
      </c>
      <c r="AH30" s="13">
        <f>IFERROR(VLOOKUP($G30,'Visu totale'!$D$3:$DH$129,AH$1,0),0)</f>
        <v>0</v>
      </c>
      <c r="AI30" s="13">
        <f>IFERROR(VLOOKUP($G30,'Visu totale'!$D$3:$DH$129,AI$1,0),0)</f>
        <v>0</v>
      </c>
      <c r="AJ30" s="13">
        <f>IFERROR(VLOOKUP($G30,'Visu totale'!$D$3:$DH$129,AJ$1,0),0)</f>
        <v>0</v>
      </c>
      <c r="AK30" s="13">
        <f>IFERROR(VLOOKUP($G30,'Visu totale'!$D$3:$DH$129,AK$1,0),0)</f>
        <v>0</v>
      </c>
      <c r="AL30" s="13">
        <f>IFERROR(VLOOKUP($G30,'Visu totale'!$D$3:$DH$129,AL$1,0),0)</f>
        <v>0</v>
      </c>
      <c r="AM30" s="13">
        <f>IFERROR(VLOOKUP($G30,'Visu totale'!$D$3:$DH$129,AM$1,0),0)</f>
        <v>0</v>
      </c>
      <c r="AN30" s="13">
        <f>IFERROR(VLOOKUP($G30,'Visu totale'!$D$3:$DH$129,AN$1,0),0)</f>
        <v>0</v>
      </c>
      <c r="AO30" s="13">
        <f>IFERROR(VLOOKUP($G30,'Visu totale'!$D$3:$DH$129,AO$1,0),0)</f>
        <v>0</v>
      </c>
      <c r="AP30" s="13">
        <f>IFERROR(VLOOKUP($G30,'Visu totale'!$D$3:$DH$129,AP$1,0),0)</f>
        <v>0</v>
      </c>
      <c r="AQ30" s="15">
        <f>IFERROR(VLOOKUP($G30,'Visu totale'!$D$3:$DH$129,AQ$1,0),0)</f>
        <v>0</v>
      </c>
      <c r="AR30" s="14">
        <f>IFERROR(VLOOKUP($G30,'Visu totale'!$D$3:$DH$129,AR$1,0),0)</f>
        <v>0</v>
      </c>
      <c r="AS30" s="13">
        <f>IFERROR(VLOOKUP($G30,'Visu totale'!$D$3:$DH$129,AS$1,0),0)</f>
        <v>0</v>
      </c>
      <c r="AT30" s="13">
        <f>IFERROR(VLOOKUP($G30,'Visu totale'!$D$3:$DH$129,AT$1,0),0)</f>
        <v>0</v>
      </c>
      <c r="AU30" s="13">
        <f>IFERROR(VLOOKUP($G30,'Visu totale'!$D$3:$DH$129,AU$1,0),0)</f>
        <v>0</v>
      </c>
      <c r="AV30" s="13">
        <f>IFERROR(VLOOKUP($G30,'Visu totale'!$D$3:$DH$129,AV$1,0),0)</f>
        <v>0</v>
      </c>
      <c r="AW30" s="13">
        <f>IFERROR(VLOOKUP($G30,'Visu totale'!$D$3:$DH$129,AW$1,0),0)</f>
        <v>0</v>
      </c>
      <c r="AX30" s="13">
        <f>IFERROR(VLOOKUP($G30,'Visu totale'!$D$3:$DH$129,AX$1,0),0)</f>
        <v>0</v>
      </c>
      <c r="AY30" s="13">
        <f>IFERROR(VLOOKUP($G30,'Visu totale'!$D$3:$DH$129,AY$1,0),0)</f>
        <v>0</v>
      </c>
      <c r="AZ30" s="13">
        <f>IFERROR(VLOOKUP($G30,'Visu totale'!$D$3:$DH$129,AZ$1,0),0)</f>
        <v>0</v>
      </c>
      <c r="BA30" s="13">
        <f>IFERROR(VLOOKUP($G30,'Visu totale'!$D$3:$DH$129,BA$1,0),0)</f>
        <v>0</v>
      </c>
      <c r="BB30" s="13">
        <f>IFERROR(VLOOKUP($G30,'Visu totale'!$D$3:$DH$129,BB$1,0),0)</f>
        <v>0</v>
      </c>
      <c r="BC30" s="15">
        <f>IFERROR(VLOOKUP($G30,'Visu totale'!$D$3:$DH$129,BC$1,0),0)</f>
        <v>0</v>
      </c>
      <c r="BD30" s="14">
        <f>IFERROR(VLOOKUP($G30,'Visu totale'!$D$3:$DH$129,BD$1,0),0)</f>
        <v>0</v>
      </c>
      <c r="BE30" s="13">
        <f>IFERROR(VLOOKUP($G30,'Visu totale'!$D$3:$DH$129,BE$1,0),0)</f>
        <v>0</v>
      </c>
      <c r="BF30" s="13">
        <f>IFERROR(VLOOKUP($G30,'Visu totale'!$D$3:$DH$129,BF$1,0),0)</f>
        <v>0</v>
      </c>
      <c r="BG30" s="13">
        <f>IFERROR(VLOOKUP($G30,'Visu totale'!$D$3:$DH$129,BG$1,0),0)</f>
        <v>0</v>
      </c>
      <c r="BH30" s="13">
        <f>IFERROR(VLOOKUP($G30,'Visu totale'!$D$3:$DH$129,BH$1,0),0)</f>
        <v>0</v>
      </c>
      <c r="BI30" s="13">
        <f>IFERROR(VLOOKUP($G30,'Visu totale'!$D$3:$DH$129,BI$1,0),0)</f>
        <v>0</v>
      </c>
      <c r="BJ30" s="13">
        <f>IFERROR(VLOOKUP($G30,'Visu totale'!$D$3:$DH$129,BJ$1,0),0)</f>
        <v>0</v>
      </c>
      <c r="BK30" s="13">
        <f>IFERROR(VLOOKUP($G30,'Visu totale'!$D$3:$DH$129,BK$1,0),0)</f>
        <v>0</v>
      </c>
      <c r="BL30" s="13">
        <f>IFERROR(VLOOKUP($G30,'Visu totale'!$D$3:$DH$129,BL$1,0),0)</f>
        <v>0</v>
      </c>
      <c r="BM30" s="13">
        <f>IFERROR(VLOOKUP($G30,'Visu totale'!$D$3:$DH$129,BM$1,0),0)</f>
        <v>0</v>
      </c>
      <c r="BN30" s="13">
        <f>IFERROR(VLOOKUP($G30,'Visu totale'!$D$3:$DH$129,BN$1,0),0)</f>
        <v>0</v>
      </c>
      <c r="BO30" s="15">
        <f>IFERROR(VLOOKUP($G30,'Visu totale'!$D$3:$DH$129,BO$1,0),0)</f>
        <v>0</v>
      </c>
      <c r="BP30" s="14">
        <f>IFERROR(VLOOKUP($G30,'Visu totale'!$D$3:$DH$129,BP$1,0),0)</f>
        <v>0</v>
      </c>
      <c r="BQ30" s="13">
        <f>IFERROR(VLOOKUP($G30,'Visu totale'!$D$3:$DH$129,BQ$1,0),0)</f>
        <v>0</v>
      </c>
      <c r="BR30" s="13">
        <f>IFERROR(VLOOKUP($G30,'Visu totale'!$D$3:$DH$129,BR$1,0),0)</f>
        <v>0</v>
      </c>
      <c r="BS30" s="13">
        <f>IFERROR(VLOOKUP($G30,'Visu totale'!$D$3:$DH$129,BS$1,0),0)</f>
        <v>0</v>
      </c>
      <c r="BT30" s="13">
        <f>IFERROR(VLOOKUP($G30,'Visu totale'!$D$3:$DH$129,BT$1,0),0)</f>
        <v>0</v>
      </c>
      <c r="BU30" s="13">
        <f>IFERROR(VLOOKUP($G30,'Visu totale'!$D$3:$DH$129,BU$1,0),0)</f>
        <v>0</v>
      </c>
      <c r="BV30" s="13">
        <f>IFERROR(VLOOKUP($G30,'Visu totale'!$D$3:$DH$129,BV$1,0),0)</f>
        <v>0</v>
      </c>
      <c r="BW30" s="13">
        <f>IFERROR(VLOOKUP($G30,'Visu totale'!$D$3:$DH$129,BW$1,0),0)</f>
        <v>0</v>
      </c>
      <c r="BX30" s="13">
        <f>IFERROR(VLOOKUP($G30,'Visu totale'!$D$3:$DH$129,BX$1,0),0)</f>
        <v>0</v>
      </c>
      <c r="BY30" s="13">
        <f>IFERROR(VLOOKUP($G30,'Visu totale'!$D$3:$DH$129,BY$1,0),0)</f>
        <v>0</v>
      </c>
      <c r="BZ30" s="13">
        <f>IFERROR(VLOOKUP($G30,'Visu totale'!$D$3:$DH$129,BZ$1,0),0)</f>
        <v>0</v>
      </c>
      <c r="CA30" s="15">
        <f>IFERROR(VLOOKUP($G30,'Visu totale'!$D$3:$DH$129,CA$1,0),0)</f>
        <v>0</v>
      </c>
      <c r="CB30" s="14">
        <f>IFERROR(VLOOKUP($G30,'Visu totale'!$D$3:$DH$129,CB$1,0),0)</f>
        <v>0</v>
      </c>
      <c r="CC30" s="13">
        <f>IFERROR(VLOOKUP($G30,'Visu totale'!$D$3:$DH$129,CC$1,0),0)</f>
        <v>0</v>
      </c>
      <c r="CD30" s="13">
        <f>IFERROR(VLOOKUP($G30,'Visu totale'!$D$3:$DH$129,CD$1,0),0)</f>
        <v>0</v>
      </c>
      <c r="CE30" s="13">
        <f>IFERROR(VLOOKUP($G30,'Visu totale'!$D$3:$DH$129,CE$1,0),0)</f>
        <v>0</v>
      </c>
      <c r="CF30" s="13">
        <f>IFERROR(VLOOKUP($G30,'Visu totale'!$D$3:$DH$129,CF$1,0),0)</f>
        <v>0</v>
      </c>
      <c r="CG30" s="13">
        <f>IFERROR(VLOOKUP($G30,'Visu totale'!$D$3:$DH$129,CG$1,0),0)</f>
        <v>0</v>
      </c>
      <c r="CH30" s="13">
        <f>IFERROR(VLOOKUP($G30,'Visu totale'!$D$3:$DH$129,CH$1,0),0)</f>
        <v>0</v>
      </c>
      <c r="CI30" s="13">
        <f>IFERROR(VLOOKUP($G30,'Visu totale'!$D$3:$DH$129,CI$1,0),0)</f>
        <v>0</v>
      </c>
      <c r="CJ30" s="13">
        <f>IFERROR(VLOOKUP($G30,'Visu totale'!$D$3:$DH$129,CJ$1,0),0)</f>
        <v>0</v>
      </c>
      <c r="CK30" s="13">
        <f>IFERROR(VLOOKUP($G30,'Visu totale'!$D$3:$DH$129,CK$1,0),0)</f>
        <v>0</v>
      </c>
      <c r="CL30" s="13">
        <f>IFERROR(VLOOKUP($G30,'Visu totale'!$D$3:$DH$129,CL$1,0),0)</f>
        <v>0</v>
      </c>
      <c r="CM30" s="15">
        <f>IFERROR(VLOOKUP($G30,'Visu totale'!$D$3:$DH$129,CM$1,0),0)</f>
        <v>0</v>
      </c>
      <c r="CN30" s="14">
        <f>IFERROR(VLOOKUP($G30,'Visu totale'!$D$3:$DH$129,CN$1,0),0)</f>
        <v>0</v>
      </c>
      <c r="CO30" s="13">
        <f>IFERROR(VLOOKUP($G30,'Visu totale'!$D$3:$DH$129,CO$1,0),0)</f>
        <v>0</v>
      </c>
      <c r="CP30" s="13">
        <f>IFERROR(VLOOKUP($G30,'Visu totale'!$D$3:$DH$129,CP$1,0),0)</f>
        <v>0</v>
      </c>
      <c r="CQ30" s="13">
        <f>IFERROR(VLOOKUP($G30,'Visu totale'!$D$3:$DH$129,CQ$1,0),0)</f>
        <v>0</v>
      </c>
      <c r="CR30" s="13">
        <f>IFERROR(VLOOKUP($G30,'Visu totale'!$D$3:$DH$129,CR$1,0),0)</f>
        <v>0</v>
      </c>
      <c r="CS30" s="13">
        <f>IFERROR(VLOOKUP($G30,'Visu totale'!$D$3:$DH$129,CS$1,0),0)</f>
        <v>0</v>
      </c>
      <c r="CT30" s="13">
        <f>IFERROR(VLOOKUP($G30,'Visu totale'!$D$3:$DH$129,CT$1,0),0)</f>
        <v>0</v>
      </c>
      <c r="CU30" s="13">
        <f>IFERROR(VLOOKUP($G30,'Visu totale'!$D$3:$DH$129,CU$1,0),0)</f>
        <v>0</v>
      </c>
      <c r="CV30" s="13">
        <f>IFERROR(VLOOKUP($G30,'Visu totale'!$D$3:$DH$129,CV$1,0),0)</f>
        <v>0</v>
      </c>
      <c r="CW30" s="13">
        <f>IFERROR(VLOOKUP($G30,'Visu totale'!$D$3:$DH$129,CW$1,0),0)</f>
        <v>0</v>
      </c>
      <c r="CX30" s="13">
        <f>IFERROR(VLOOKUP($G30,'Visu totale'!$D$3:$DH$129,CX$1,0),0)</f>
        <v>0</v>
      </c>
      <c r="CY30" s="15">
        <f>IFERROR(VLOOKUP($G30,'Visu totale'!$D$3:$DH$129,CY$1,0),0)</f>
        <v>0</v>
      </c>
      <c r="CZ30" s="14">
        <f>IFERROR(VLOOKUP($G30,'Visu totale'!$D$3:$DH$129,CZ$1,0),0)</f>
        <v>0</v>
      </c>
      <c r="DA30" s="13">
        <f>IFERROR(VLOOKUP($G30,'Visu totale'!$D$3:$DH$129,DA$1,0),0)</f>
        <v>0</v>
      </c>
      <c r="DB30" s="13">
        <f>IFERROR(VLOOKUP($G30,'Visu totale'!$D$3:$DH$129,DB$1,0),0)</f>
        <v>0</v>
      </c>
      <c r="DC30" s="13">
        <f>IFERROR(VLOOKUP($G30,'Visu totale'!$D$3:$DH$129,DC$1,0),0)</f>
        <v>0</v>
      </c>
      <c r="DD30" s="13">
        <f>IFERROR(VLOOKUP($G30,'Visu totale'!$D$3:$DH$129,DD$1,0),0)</f>
        <v>0</v>
      </c>
      <c r="DE30" s="13">
        <f>IFERROR(VLOOKUP($G30,'Visu totale'!$D$3:$DH$129,DE$1,0),0)</f>
        <v>0</v>
      </c>
      <c r="DF30" s="13">
        <f>IFERROR(VLOOKUP($G30,'Visu totale'!$D$3:$DH$129,DF$1,0),0)</f>
        <v>0</v>
      </c>
      <c r="DG30" s="13">
        <f>IFERROR(VLOOKUP($G30,'Visu totale'!$D$3:$DH$129,DG$1,0),0)</f>
        <v>0</v>
      </c>
      <c r="DH30" s="13">
        <f>IFERROR(VLOOKUP($G30,'Visu totale'!$D$3:$DH$129,DH$1,0),0)</f>
        <v>0</v>
      </c>
      <c r="DI30" s="13">
        <f>IFERROR(VLOOKUP($G30,'Visu totale'!$D$3:$DH$129,DI$1,0),0)</f>
        <v>0</v>
      </c>
      <c r="DJ30" s="13">
        <f>IFERROR(VLOOKUP($G30,'Visu totale'!$D$3:$DH$129,DJ$1,0),0)</f>
        <v>0</v>
      </c>
      <c r="DK30" s="15">
        <f>IFERROR(VLOOKUP($G30,'Visu totale'!$D$3:$DH$129,DK$1,0),0)</f>
        <v>0</v>
      </c>
    </row>
    <row r="31" spans="1:115" x14ac:dyDescent="0.25">
      <c r="A31" s="13"/>
      <c r="B31" s="13"/>
      <c r="C31" s="13"/>
      <c r="D31" s="16"/>
      <c r="E31" s="13"/>
      <c r="F31" s="13"/>
      <c r="G31" s="17" t="s">
        <v>33</v>
      </c>
      <c r="H31" s="14">
        <f>IFERROR(VLOOKUP($G31,'Visu totale'!$D$3:$DH$129,H$1,0),0)</f>
        <v>0</v>
      </c>
      <c r="I31" s="13">
        <f>IFERROR(VLOOKUP($G31,'Visu totale'!$D$3:$DH$129,I$1,0),0)</f>
        <v>0</v>
      </c>
      <c r="J31" s="13">
        <f>IFERROR(VLOOKUP($G31,'Visu totale'!$D$3:$DH$129,J$1,0),0)</f>
        <v>0</v>
      </c>
      <c r="K31" s="13">
        <f>IFERROR(VLOOKUP($G31,'Visu totale'!$D$3:$DH$129,K$1,0),0)</f>
        <v>0</v>
      </c>
      <c r="L31" s="13">
        <f>IFERROR(VLOOKUP($G31,'Visu totale'!$D$3:$DH$129,L$1,0),0)</f>
        <v>0</v>
      </c>
      <c r="M31" s="13">
        <f>IFERROR(VLOOKUP($G31,'Visu totale'!$D$3:$DH$129,M$1,0),0)</f>
        <v>0</v>
      </c>
      <c r="N31" s="13">
        <f>IFERROR(VLOOKUP($G31,'Visu totale'!$D$3:$DH$129,N$1,0),0)</f>
        <v>0</v>
      </c>
      <c r="O31" s="13">
        <f>IFERROR(VLOOKUP($G31,'Visu totale'!$D$3:$DH$129,O$1,0),0)</f>
        <v>0</v>
      </c>
      <c r="P31" s="13">
        <f>IFERROR(VLOOKUP($G31,'Visu totale'!$D$3:$DH$129,P$1,0),0)</f>
        <v>0</v>
      </c>
      <c r="Q31" s="13">
        <f>IFERROR(VLOOKUP($G31,'Visu totale'!$D$3:$DH$129,Q$1,0),0)</f>
        <v>0</v>
      </c>
      <c r="R31" s="13">
        <f>IFERROR(VLOOKUP($G31,'Visu totale'!$D$3:$DH$129,R$1,0),0)</f>
        <v>0</v>
      </c>
      <c r="S31" s="15">
        <f>IFERROR(VLOOKUP($G31,'Visu totale'!$D$3:$DH$129,S$1,0),0)</f>
        <v>0</v>
      </c>
      <c r="T31" s="14">
        <f>IFERROR(VLOOKUP($G31,'Visu totale'!$D$3:$DH$129,T$1,0),0)</f>
        <v>0</v>
      </c>
      <c r="U31" s="13">
        <f>IFERROR(VLOOKUP($G31,'Visu totale'!$D$3:$DH$129,U$1,0),0)</f>
        <v>0</v>
      </c>
      <c r="V31" s="13">
        <f>IFERROR(VLOOKUP($G31,'Visu totale'!$D$3:$DH$129,V$1,0),0)</f>
        <v>0</v>
      </c>
      <c r="W31" s="13">
        <f>IFERROR(VLOOKUP($G31,'Visu totale'!$D$3:$DH$129,W$1,0),0)</f>
        <v>0</v>
      </c>
      <c r="X31" s="13">
        <f>IFERROR(VLOOKUP($G31,'Visu totale'!$D$3:$DH$129,X$1,0),0)</f>
        <v>0</v>
      </c>
      <c r="Y31" s="13">
        <f>IFERROR(VLOOKUP($G31,'Visu totale'!$D$3:$DH$129,Y$1,0),0)</f>
        <v>0</v>
      </c>
      <c r="Z31" s="13">
        <f>IFERROR(VLOOKUP($G31,'Visu totale'!$D$3:$DH$129,Z$1,0),0)</f>
        <v>0</v>
      </c>
      <c r="AA31" s="13">
        <f>IFERROR(VLOOKUP($G31,'Visu totale'!$D$3:$DH$129,AA$1,0),0)</f>
        <v>0</v>
      </c>
      <c r="AB31" s="13">
        <f>IFERROR(VLOOKUP($G31,'Visu totale'!$D$3:$DH$129,AB$1,0),0)</f>
        <v>0</v>
      </c>
      <c r="AC31" s="13">
        <f>IFERROR(VLOOKUP($G31,'Visu totale'!$D$3:$DH$129,AC$1,0),0)</f>
        <v>0</v>
      </c>
      <c r="AD31" s="13">
        <f>IFERROR(VLOOKUP($G31,'Visu totale'!$D$3:$DH$129,AD$1,0),0)</f>
        <v>0</v>
      </c>
      <c r="AE31" s="15">
        <f>IFERROR(VLOOKUP($G31,'Visu totale'!$D$3:$DH$129,AE$1,0),0)</f>
        <v>0</v>
      </c>
      <c r="AF31" s="14">
        <f>IFERROR(VLOOKUP($G31,'Visu totale'!$D$3:$DH$129,AF$1,0),0)</f>
        <v>0</v>
      </c>
      <c r="AG31" s="13">
        <f>IFERROR(VLOOKUP($G31,'Visu totale'!$D$3:$DH$129,AG$1,0),0)</f>
        <v>0</v>
      </c>
      <c r="AH31" s="13">
        <f>IFERROR(VLOOKUP($G31,'Visu totale'!$D$3:$DH$129,AH$1,0),0)</f>
        <v>0</v>
      </c>
      <c r="AI31" s="13">
        <f>IFERROR(VLOOKUP($G31,'Visu totale'!$D$3:$DH$129,AI$1,0),0)</f>
        <v>0</v>
      </c>
      <c r="AJ31" s="13">
        <f>IFERROR(VLOOKUP($G31,'Visu totale'!$D$3:$DH$129,AJ$1,0),0)</f>
        <v>0</v>
      </c>
      <c r="AK31" s="13">
        <f>IFERROR(VLOOKUP($G31,'Visu totale'!$D$3:$DH$129,AK$1,0),0)</f>
        <v>0</v>
      </c>
      <c r="AL31" s="13">
        <f>IFERROR(VLOOKUP($G31,'Visu totale'!$D$3:$DH$129,AL$1,0),0)</f>
        <v>0</v>
      </c>
      <c r="AM31" s="13">
        <f>IFERROR(VLOOKUP($G31,'Visu totale'!$D$3:$DH$129,AM$1,0),0)</f>
        <v>0</v>
      </c>
      <c r="AN31" s="13">
        <f>IFERROR(VLOOKUP($G31,'Visu totale'!$D$3:$DH$129,AN$1,0),0)</f>
        <v>0</v>
      </c>
      <c r="AO31" s="13">
        <f>IFERROR(VLOOKUP($G31,'Visu totale'!$D$3:$DH$129,AO$1,0),0)</f>
        <v>0</v>
      </c>
      <c r="AP31" s="13">
        <f>IFERROR(VLOOKUP($G31,'Visu totale'!$D$3:$DH$129,AP$1,0),0)</f>
        <v>0</v>
      </c>
      <c r="AQ31" s="15">
        <f>IFERROR(VLOOKUP($G31,'Visu totale'!$D$3:$DH$129,AQ$1,0),0)</f>
        <v>0</v>
      </c>
      <c r="AR31" s="14">
        <f>IFERROR(VLOOKUP($G31,'Visu totale'!$D$3:$DH$129,AR$1,0),0)</f>
        <v>0</v>
      </c>
      <c r="AS31" s="13">
        <f>IFERROR(VLOOKUP($G31,'Visu totale'!$D$3:$DH$129,AS$1,0),0)</f>
        <v>0</v>
      </c>
      <c r="AT31" s="13">
        <f>IFERROR(VLOOKUP($G31,'Visu totale'!$D$3:$DH$129,AT$1,0),0)</f>
        <v>0</v>
      </c>
      <c r="AU31" s="13">
        <f>IFERROR(VLOOKUP($G31,'Visu totale'!$D$3:$DH$129,AU$1,0),0)</f>
        <v>0</v>
      </c>
      <c r="AV31" s="13">
        <f>IFERROR(VLOOKUP($G31,'Visu totale'!$D$3:$DH$129,AV$1,0),0)</f>
        <v>0</v>
      </c>
      <c r="AW31" s="13">
        <f>IFERROR(VLOOKUP($G31,'Visu totale'!$D$3:$DH$129,AW$1,0),0)</f>
        <v>0</v>
      </c>
      <c r="AX31" s="13">
        <f>IFERROR(VLOOKUP($G31,'Visu totale'!$D$3:$DH$129,AX$1,0),0)</f>
        <v>0</v>
      </c>
      <c r="AY31" s="13">
        <f>IFERROR(VLOOKUP($G31,'Visu totale'!$D$3:$DH$129,AY$1,0),0)</f>
        <v>0</v>
      </c>
      <c r="AZ31" s="13">
        <f>IFERROR(VLOOKUP($G31,'Visu totale'!$D$3:$DH$129,AZ$1,0),0)</f>
        <v>0</v>
      </c>
      <c r="BA31" s="13">
        <f>IFERROR(VLOOKUP($G31,'Visu totale'!$D$3:$DH$129,BA$1,0),0)</f>
        <v>0</v>
      </c>
      <c r="BB31" s="13">
        <f>IFERROR(VLOOKUP($G31,'Visu totale'!$D$3:$DH$129,BB$1,0),0)</f>
        <v>0</v>
      </c>
      <c r="BC31" s="15">
        <f>IFERROR(VLOOKUP($G31,'Visu totale'!$D$3:$DH$129,BC$1,0),0)</f>
        <v>0</v>
      </c>
      <c r="BD31" s="14">
        <f>IFERROR(VLOOKUP($G31,'Visu totale'!$D$3:$DH$129,BD$1,0),0)</f>
        <v>0</v>
      </c>
      <c r="BE31" s="13">
        <f>IFERROR(VLOOKUP($G31,'Visu totale'!$D$3:$DH$129,BE$1,0),0)</f>
        <v>0</v>
      </c>
      <c r="BF31" s="13">
        <f>IFERROR(VLOOKUP($G31,'Visu totale'!$D$3:$DH$129,BF$1,0),0)</f>
        <v>0</v>
      </c>
      <c r="BG31" s="13">
        <f>IFERROR(VLOOKUP($G31,'Visu totale'!$D$3:$DH$129,BG$1,0),0)</f>
        <v>0</v>
      </c>
      <c r="BH31" s="13">
        <f>IFERROR(VLOOKUP($G31,'Visu totale'!$D$3:$DH$129,BH$1,0),0)</f>
        <v>0</v>
      </c>
      <c r="BI31" s="13">
        <f>IFERROR(VLOOKUP($G31,'Visu totale'!$D$3:$DH$129,BI$1,0),0)</f>
        <v>0</v>
      </c>
      <c r="BJ31" s="13">
        <f>IFERROR(VLOOKUP($G31,'Visu totale'!$D$3:$DH$129,BJ$1,0),0)</f>
        <v>0</v>
      </c>
      <c r="BK31" s="13">
        <f>IFERROR(VLOOKUP($G31,'Visu totale'!$D$3:$DH$129,BK$1,0),0)</f>
        <v>0</v>
      </c>
      <c r="BL31" s="13">
        <f>IFERROR(VLOOKUP($G31,'Visu totale'!$D$3:$DH$129,BL$1,0),0)</f>
        <v>0</v>
      </c>
      <c r="BM31" s="13">
        <f>IFERROR(VLOOKUP($G31,'Visu totale'!$D$3:$DH$129,BM$1,0),0)</f>
        <v>0</v>
      </c>
      <c r="BN31" s="13">
        <f>IFERROR(VLOOKUP($G31,'Visu totale'!$D$3:$DH$129,BN$1,0),0)</f>
        <v>0</v>
      </c>
      <c r="BO31" s="15">
        <f>IFERROR(VLOOKUP($G31,'Visu totale'!$D$3:$DH$129,BO$1,0),0)</f>
        <v>0</v>
      </c>
      <c r="BP31" s="14">
        <f>IFERROR(VLOOKUP($G31,'Visu totale'!$D$3:$DH$129,BP$1,0),0)</f>
        <v>0</v>
      </c>
      <c r="BQ31" s="13">
        <f>IFERROR(VLOOKUP($G31,'Visu totale'!$D$3:$DH$129,BQ$1,0),0)</f>
        <v>0</v>
      </c>
      <c r="BR31" s="13">
        <f>IFERROR(VLOOKUP($G31,'Visu totale'!$D$3:$DH$129,BR$1,0),0)</f>
        <v>0</v>
      </c>
      <c r="BS31" s="13">
        <f>IFERROR(VLOOKUP($G31,'Visu totale'!$D$3:$DH$129,BS$1,0),0)</f>
        <v>0</v>
      </c>
      <c r="BT31" s="13">
        <f>IFERROR(VLOOKUP($G31,'Visu totale'!$D$3:$DH$129,BT$1,0),0)</f>
        <v>0</v>
      </c>
      <c r="BU31" s="13">
        <f>IFERROR(VLOOKUP($G31,'Visu totale'!$D$3:$DH$129,BU$1,0),0)</f>
        <v>0</v>
      </c>
      <c r="BV31" s="13">
        <f>IFERROR(VLOOKUP($G31,'Visu totale'!$D$3:$DH$129,BV$1,0),0)</f>
        <v>0</v>
      </c>
      <c r="BW31" s="13">
        <f>IFERROR(VLOOKUP($G31,'Visu totale'!$D$3:$DH$129,BW$1,0),0)</f>
        <v>0</v>
      </c>
      <c r="BX31" s="13">
        <f>IFERROR(VLOOKUP($G31,'Visu totale'!$D$3:$DH$129,BX$1,0),0)</f>
        <v>0</v>
      </c>
      <c r="BY31" s="13">
        <f>IFERROR(VLOOKUP($G31,'Visu totale'!$D$3:$DH$129,BY$1,0),0)</f>
        <v>0</v>
      </c>
      <c r="BZ31" s="13">
        <f>IFERROR(VLOOKUP($G31,'Visu totale'!$D$3:$DH$129,BZ$1,0),0)</f>
        <v>0</v>
      </c>
      <c r="CA31" s="15">
        <f>IFERROR(VLOOKUP($G31,'Visu totale'!$D$3:$DH$129,CA$1,0),0)</f>
        <v>0</v>
      </c>
      <c r="CB31" s="14">
        <f>IFERROR(VLOOKUP($G31,'Visu totale'!$D$3:$DH$129,CB$1,0),0)</f>
        <v>0</v>
      </c>
      <c r="CC31" s="13">
        <f>IFERROR(VLOOKUP($G31,'Visu totale'!$D$3:$DH$129,CC$1,0),0)</f>
        <v>0</v>
      </c>
      <c r="CD31" s="13">
        <f>IFERROR(VLOOKUP($G31,'Visu totale'!$D$3:$DH$129,CD$1,0),0)</f>
        <v>0</v>
      </c>
      <c r="CE31" s="13">
        <f>IFERROR(VLOOKUP($G31,'Visu totale'!$D$3:$DH$129,CE$1,0),0)</f>
        <v>0</v>
      </c>
      <c r="CF31" s="13">
        <f>IFERROR(VLOOKUP($G31,'Visu totale'!$D$3:$DH$129,CF$1,0),0)</f>
        <v>0</v>
      </c>
      <c r="CG31" s="13">
        <f>IFERROR(VLOOKUP($G31,'Visu totale'!$D$3:$DH$129,CG$1,0),0)</f>
        <v>0</v>
      </c>
      <c r="CH31" s="13">
        <f>IFERROR(VLOOKUP($G31,'Visu totale'!$D$3:$DH$129,CH$1,0),0)</f>
        <v>0</v>
      </c>
      <c r="CI31" s="13">
        <f>IFERROR(VLOOKUP($G31,'Visu totale'!$D$3:$DH$129,CI$1,0),0)</f>
        <v>0</v>
      </c>
      <c r="CJ31" s="13">
        <f>IFERROR(VLOOKUP($G31,'Visu totale'!$D$3:$DH$129,CJ$1,0),0)</f>
        <v>0</v>
      </c>
      <c r="CK31" s="13">
        <f>IFERROR(VLOOKUP($G31,'Visu totale'!$D$3:$DH$129,CK$1,0),0)</f>
        <v>0</v>
      </c>
      <c r="CL31" s="13">
        <f>IFERROR(VLOOKUP($G31,'Visu totale'!$D$3:$DH$129,CL$1,0),0)</f>
        <v>0</v>
      </c>
      <c r="CM31" s="15">
        <f>IFERROR(VLOOKUP($G31,'Visu totale'!$D$3:$DH$129,CM$1,0),0)</f>
        <v>0</v>
      </c>
      <c r="CN31" s="14">
        <f>IFERROR(VLOOKUP($G31,'Visu totale'!$D$3:$DH$129,CN$1,0),0)</f>
        <v>0</v>
      </c>
      <c r="CO31" s="13">
        <f>IFERROR(VLOOKUP($G31,'Visu totale'!$D$3:$DH$129,CO$1,0),0)</f>
        <v>0</v>
      </c>
      <c r="CP31" s="13">
        <f>IFERROR(VLOOKUP($G31,'Visu totale'!$D$3:$DH$129,CP$1,0),0)</f>
        <v>0</v>
      </c>
      <c r="CQ31" s="13">
        <f>IFERROR(VLOOKUP($G31,'Visu totale'!$D$3:$DH$129,CQ$1,0),0)</f>
        <v>0</v>
      </c>
      <c r="CR31" s="13">
        <f>IFERROR(VLOOKUP($G31,'Visu totale'!$D$3:$DH$129,CR$1,0),0)</f>
        <v>0</v>
      </c>
      <c r="CS31" s="13">
        <f>IFERROR(VLOOKUP($G31,'Visu totale'!$D$3:$DH$129,CS$1,0),0)</f>
        <v>0</v>
      </c>
      <c r="CT31" s="13">
        <f>IFERROR(VLOOKUP($G31,'Visu totale'!$D$3:$DH$129,CT$1,0),0)</f>
        <v>0</v>
      </c>
      <c r="CU31" s="13">
        <f>IFERROR(VLOOKUP($G31,'Visu totale'!$D$3:$DH$129,CU$1,0),0)</f>
        <v>0</v>
      </c>
      <c r="CV31" s="13">
        <f>IFERROR(VLOOKUP($G31,'Visu totale'!$D$3:$DH$129,CV$1,0),0)</f>
        <v>0</v>
      </c>
      <c r="CW31" s="13">
        <f>IFERROR(VLOOKUP($G31,'Visu totale'!$D$3:$DH$129,CW$1,0),0)</f>
        <v>0</v>
      </c>
      <c r="CX31" s="13">
        <f>IFERROR(VLOOKUP($G31,'Visu totale'!$D$3:$DH$129,CX$1,0),0)</f>
        <v>0</v>
      </c>
      <c r="CY31" s="15">
        <f>IFERROR(VLOOKUP($G31,'Visu totale'!$D$3:$DH$129,CY$1,0),0)</f>
        <v>0</v>
      </c>
      <c r="CZ31" s="14">
        <f>IFERROR(VLOOKUP($G31,'Visu totale'!$D$3:$DH$129,CZ$1,0),0)</f>
        <v>0</v>
      </c>
      <c r="DA31" s="13">
        <f>IFERROR(VLOOKUP($G31,'Visu totale'!$D$3:$DH$129,DA$1,0),0)</f>
        <v>0</v>
      </c>
      <c r="DB31" s="13">
        <f>IFERROR(VLOOKUP($G31,'Visu totale'!$D$3:$DH$129,DB$1,0),0)</f>
        <v>0</v>
      </c>
      <c r="DC31" s="13">
        <f>IFERROR(VLOOKUP($G31,'Visu totale'!$D$3:$DH$129,DC$1,0),0)</f>
        <v>0</v>
      </c>
      <c r="DD31" s="13">
        <f>IFERROR(VLOOKUP($G31,'Visu totale'!$D$3:$DH$129,DD$1,0),0)</f>
        <v>0</v>
      </c>
      <c r="DE31" s="13">
        <f>IFERROR(VLOOKUP($G31,'Visu totale'!$D$3:$DH$129,DE$1,0),0)</f>
        <v>0</v>
      </c>
      <c r="DF31" s="13">
        <f>IFERROR(VLOOKUP($G31,'Visu totale'!$D$3:$DH$129,DF$1,0),0)</f>
        <v>0</v>
      </c>
      <c r="DG31" s="13">
        <f>IFERROR(VLOOKUP($G31,'Visu totale'!$D$3:$DH$129,DG$1,0),0)</f>
        <v>0</v>
      </c>
      <c r="DH31" s="13">
        <f>IFERROR(VLOOKUP($G31,'Visu totale'!$D$3:$DH$129,DH$1,0),0)</f>
        <v>0</v>
      </c>
      <c r="DI31" s="13">
        <f>IFERROR(VLOOKUP($G31,'Visu totale'!$D$3:$DH$129,DI$1,0),0)</f>
        <v>0</v>
      </c>
      <c r="DJ31" s="13">
        <f>IFERROR(VLOOKUP($G31,'Visu totale'!$D$3:$DH$129,DJ$1,0),0)</f>
        <v>0</v>
      </c>
      <c r="DK31" s="15">
        <f>IFERROR(VLOOKUP($G31,'Visu totale'!$D$3:$DH$129,DK$1,0),0)</f>
        <v>0</v>
      </c>
    </row>
    <row r="32" spans="1:115" x14ac:dyDescent="0.25">
      <c r="A32" s="13"/>
      <c r="B32" s="13"/>
      <c r="C32" s="13"/>
      <c r="D32" s="16"/>
      <c r="E32" s="13"/>
      <c r="F32" s="13"/>
      <c r="G32" s="17" t="s">
        <v>34</v>
      </c>
      <c r="H32" s="14">
        <f>IFERROR(VLOOKUP($G32,'Visu totale'!$D$3:$DH$129,H$1,0),0)</f>
        <v>0</v>
      </c>
      <c r="I32" s="13">
        <f>IFERROR(VLOOKUP($G32,'Visu totale'!$D$3:$DH$129,I$1,0),0)</f>
        <v>0</v>
      </c>
      <c r="J32" s="13">
        <f>IFERROR(VLOOKUP($G32,'Visu totale'!$D$3:$DH$129,J$1,0),0)</f>
        <v>0</v>
      </c>
      <c r="K32" s="13">
        <f>IFERROR(VLOOKUP($G32,'Visu totale'!$D$3:$DH$129,K$1,0),0)</f>
        <v>0</v>
      </c>
      <c r="L32" s="13">
        <f>IFERROR(VLOOKUP($G32,'Visu totale'!$D$3:$DH$129,L$1,0),0)</f>
        <v>0</v>
      </c>
      <c r="M32" s="13">
        <f>IFERROR(VLOOKUP($G32,'Visu totale'!$D$3:$DH$129,M$1,0),0)</f>
        <v>0</v>
      </c>
      <c r="N32" s="13">
        <f>IFERROR(VLOOKUP($G32,'Visu totale'!$D$3:$DH$129,N$1,0),0)</f>
        <v>0</v>
      </c>
      <c r="O32" s="13">
        <f>IFERROR(VLOOKUP($G32,'Visu totale'!$D$3:$DH$129,O$1,0),0)</f>
        <v>0</v>
      </c>
      <c r="P32" s="13">
        <f>IFERROR(VLOOKUP($G32,'Visu totale'!$D$3:$DH$129,P$1,0),0)</f>
        <v>0</v>
      </c>
      <c r="Q32" s="13">
        <f>IFERROR(VLOOKUP($G32,'Visu totale'!$D$3:$DH$129,Q$1,0),0)</f>
        <v>0</v>
      </c>
      <c r="R32" s="13">
        <f>IFERROR(VLOOKUP($G32,'Visu totale'!$D$3:$DH$129,R$1,0),0)</f>
        <v>0</v>
      </c>
      <c r="S32" s="15">
        <f>IFERROR(VLOOKUP($G32,'Visu totale'!$D$3:$DH$129,S$1,0),0)</f>
        <v>0</v>
      </c>
      <c r="T32" s="14">
        <f>IFERROR(VLOOKUP($G32,'Visu totale'!$D$3:$DH$129,T$1,0),0)</f>
        <v>0</v>
      </c>
      <c r="U32" s="13">
        <f>IFERROR(VLOOKUP($G32,'Visu totale'!$D$3:$DH$129,U$1,0),0)</f>
        <v>0</v>
      </c>
      <c r="V32" s="13">
        <f>IFERROR(VLOOKUP($G32,'Visu totale'!$D$3:$DH$129,V$1,0),0)</f>
        <v>0</v>
      </c>
      <c r="W32" s="13">
        <f>IFERROR(VLOOKUP($G32,'Visu totale'!$D$3:$DH$129,W$1,0),0)</f>
        <v>0</v>
      </c>
      <c r="X32" s="13">
        <f>IFERROR(VLOOKUP($G32,'Visu totale'!$D$3:$DH$129,X$1,0),0)</f>
        <v>0</v>
      </c>
      <c r="Y32" s="13">
        <f>IFERROR(VLOOKUP($G32,'Visu totale'!$D$3:$DH$129,Y$1,0),0)</f>
        <v>0</v>
      </c>
      <c r="Z32" s="13">
        <f>IFERROR(VLOOKUP($G32,'Visu totale'!$D$3:$DH$129,Z$1,0),0)</f>
        <v>0</v>
      </c>
      <c r="AA32" s="13">
        <f>IFERROR(VLOOKUP($G32,'Visu totale'!$D$3:$DH$129,AA$1,0),0)</f>
        <v>0</v>
      </c>
      <c r="AB32" s="13">
        <f>IFERROR(VLOOKUP($G32,'Visu totale'!$D$3:$DH$129,AB$1,0),0)</f>
        <v>0</v>
      </c>
      <c r="AC32" s="13">
        <f>IFERROR(VLOOKUP($G32,'Visu totale'!$D$3:$DH$129,AC$1,0),0)</f>
        <v>0</v>
      </c>
      <c r="AD32" s="13">
        <f>IFERROR(VLOOKUP($G32,'Visu totale'!$D$3:$DH$129,AD$1,0),0)</f>
        <v>0</v>
      </c>
      <c r="AE32" s="15">
        <f>IFERROR(VLOOKUP($G32,'Visu totale'!$D$3:$DH$129,AE$1,0),0)</f>
        <v>0</v>
      </c>
      <c r="AF32" s="14">
        <f>IFERROR(VLOOKUP($G32,'Visu totale'!$D$3:$DH$129,AF$1,0),0)</f>
        <v>0</v>
      </c>
      <c r="AG32" s="13">
        <f>IFERROR(VLOOKUP($G32,'Visu totale'!$D$3:$DH$129,AG$1,0),0)</f>
        <v>0</v>
      </c>
      <c r="AH32" s="13">
        <f>IFERROR(VLOOKUP($G32,'Visu totale'!$D$3:$DH$129,AH$1,0),0)</f>
        <v>0</v>
      </c>
      <c r="AI32" s="13">
        <f>IFERROR(VLOOKUP($G32,'Visu totale'!$D$3:$DH$129,AI$1,0),0)</f>
        <v>0</v>
      </c>
      <c r="AJ32" s="13">
        <f>IFERROR(VLOOKUP($G32,'Visu totale'!$D$3:$DH$129,AJ$1,0),0)</f>
        <v>0</v>
      </c>
      <c r="AK32" s="13">
        <f>IFERROR(VLOOKUP($G32,'Visu totale'!$D$3:$DH$129,AK$1,0),0)</f>
        <v>0</v>
      </c>
      <c r="AL32" s="13">
        <f>IFERROR(VLOOKUP($G32,'Visu totale'!$D$3:$DH$129,AL$1,0),0)</f>
        <v>0</v>
      </c>
      <c r="AM32" s="13">
        <f>IFERROR(VLOOKUP($G32,'Visu totale'!$D$3:$DH$129,AM$1,0),0)</f>
        <v>0</v>
      </c>
      <c r="AN32" s="13">
        <f>IFERROR(VLOOKUP($G32,'Visu totale'!$D$3:$DH$129,AN$1,0),0)</f>
        <v>0</v>
      </c>
      <c r="AO32" s="13">
        <f>IFERROR(VLOOKUP($G32,'Visu totale'!$D$3:$DH$129,AO$1,0),0)</f>
        <v>0</v>
      </c>
      <c r="AP32" s="13">
        <f>IFERROR(VLOOKUP($G32,'Visu totale'!$D$3:$DH$129,AP$1,0),0)</f>
        <v>0</v>
      </c>
      <c r="AQ32" s="15">
        <f>IFERROR(VLOOKUP($G32,'Visu totale'!$D$3:$DH$129,AQ$1,0),0)</f>
        <v>0</v>
      </c>
      <c r="AR32" s="14">
        <f>IFERROR(VLOOKUP($G32,'Visu totale'!$D$3:$DH$129,AR$1,0),0)</f>
        <v>0</v>
      </c>
      <c r="AS32" s="13">
        <f>IFERROR(VLOOKUP($G32,'Visu totale'!$D$3:$DH$129,AS$1,0),0)</f>
        <v>0</v>
      </c>
      <c r="AT32" s="13">
        <f>IFERROR(VLOOKUP($G32,'Visu totale'!$D$3:$DH$129,AT$1,0),0)</f>
        <v>0</v>
      </c>
      <c r="AU32" s="13">
        <f>IFERROR(VLOOKUP($G32,'Visu totale'!$D$3:$DH$129,AU$1,0),0)</f>
        <v>0</v>
      </c>
      <c r="AV32" s="13">
        <f>IFERROR(VLOOKUP($G32,'Visu totale'!$D$3:$DH$129,AV$1,0),0)</f>
        <v>0</v>
      </c>
      <c r="AW32" s="13">
        <f>IFERROR(VLOOKUP($G32,'Visu totale'!$D$3:$DH$129,AW$1,0),0)</f>
        <v>0</v>
      </c>
      <c r="AX32" s="13">
        <f>IFERROR(VLOOKUP($G32,'Visu totale'!$D$3:$DH$129,AX$1,0),0)</f>
        <v>0</v>
      </c>
      <c r="AY32" s="13">
        <f>IFERROR(VLOOKUP($G32,'Visu totale'!$D$3:$DH$129,AY$1,0),0)</f>
        <v>0</v>
      </c>
      <c r="AZ32" s="13">
        <f>IFERROR(VLOOKUP($G32,'Visu totale'!$D$3:$DH$129,AZ$1,0),0)</f>
        <v>0</v>
      </c>
      <c r="BA32" s="13">
        <f>IFERROR(VLOOKUP($G32,'Visu totale'!$D$3:$DH$129,BA$1,0),0)</f>
        <v>0</v>
      </c>
      <c r="BB32" s="13">
        <f>IFERROR(VLOOKUP($G32,'Visu totale'!$D$3:$DH$129,BB$1,0),0)</f>
        <v>0</v>
      </c>
      <c r="BC32" s="15">
        <f>IFERROR(VLOOKUP($G32,'Visu totale'!$D$3:$DH$129,BC$1,0),0)</f>
        <v>0</v>
      </c>
      <c r="BD32" s="14">
        <f>IFERROR(VLOOKUP($G32,'Visu totale'!$D$3:$DH$129,BD$1,0),0)</f>
        <v>0</v>
      </c>
      <c r="BE32" s="13">
        <f>IFERROR(VLOOKUP($G32,'Visu totale'!$D$3:$DH$129,BE$1,0),0)</f>
        <v>0</v>
      </c>
      <c r="BF32" s="13">
        <f>IFERROR(VLOOKUP($G32,'Visu totale'!$D$3:$DH$129,BF$1,0),0)</f>
        <v>0</v>
      </c>
      <c r="BG32" s="13">
        <f>IFERROR(VLOOKUP($G32,'Visu totale'!$D$3:$DH$129,BG$1,0),0)</f>
        <v>0</v>
      </c>
      <c r="BH32" s="13">
        <f>IFERROR(VLOOKUP($G32,'Visu totale'!$D$3:$DH$129,BH$1,0),0)</f>
        <v>0</v>
      </c>
      <c r="BI32" s="13">
        <f>IFERROR(VLOOKUP($G32,'Visu totale'!$D$3:$DH$129,BI$1,0),0)</f>
        <v>0</v>
      </c>
      <c r="BJ32" s="13">
        <f>IFERROR(VLOOKUP($G32,'Visu totale'!$D$3:$DH$129,BJ$1,0),0)</f>
        <v>0</v>
      </c>
      <c r="BK32" s="13">
        <f>IFERROR(VLOOKUP($G32,'Visu totale'!$D$3:$DH$129,BK$1,0),0)</f>
        <v>0</v>
      </c>
      <c r="BL32" s="13">
        <f>IFERROR(VLOOKUP($G32,'Visu totale'!$D$3:$DH$129,BL$1,0),0)</f>
        <v>0</v>
      </c>
      <c r="BM32" s="13">
        <f>IFERROR(VLOOKUP($G32,'Visu totale'!$D$3:$DH$129,BM$1,0),0)</f>
        <v>0</v>
      </c>
      <c r="BN32" s="13">
        <f>IFERROR(VLOOKUP($G32,'Visu totale'!$D$3:$DH$129,BN$1,0),0)</f>
        <v>0</v>
      </c>
      <c r="BO32" s="15">
        <f>IFERROR(VLOOKUP($G32,'Visu totale'!$D$3:$DH$129,BO$1,0),0)</f>
        <v>0</v>
      </c>
      <c r="BP32" s="14">
        <f>IFERROR(VLOOKUP($G32,'Visu totale'!$D$3:$DH$129,BP$1,0),0)</f>
        <v>0</v>
      </c>
      <c r="BQ32" s="13">
        <f>IFERROR(VLOOKUP($G32,'Visu totale'!$D$3:$DH$129,BQ$1,0),0)</f>
        <v>0</v>
      </c>
      <c r="BR32" s="13">
        <f>IFERROR(VLOOKUP($G32,'Visu totale'!$D$3:$DH$129,BR$1,0),0)</f>
        <v>0</v>
      </c>
      <c r="BS32" s="13">
        <f>IFERROR(VLOOKUP($G32,'Visu totale'!$D$3:$DH$129,BS$1,0),0)</f>
        <v>0</v>
      </c>
      <c r="BT32" s="13">
        <f>IFERROR(VLOOKUP($G32,'Visu totale'!$D$3:$DH$129,BT$1,0),0)</f>
        <v>0</v>
      </c>
      <c r="BU32" s="13">
        <f>IFERROR(VLOOKUP($G32,'Visu totale'!$D$3:$DH$129,BU$1,0),0)</f>
        <v>0</v>
      </c>
      <c r="BV32" s="13">
        <f>IFERROR(VLOOKUP($G32,'Visu totale'!$D$3:$DH$129,BV$1,0),0)</f>
        <v>0</v>
      </c>
      <c r="BW32" s="13">
        <f>IFERROR(VLOOKUP($G32,'Visu totale'!$D$3:$DH$129,BW$1,0),0)</f>
        <v>0</v>
      </c>
      <c r="BX32" s="13">
        <f>IFERROR(VLOOKUP($G32,'Visu totale'!$D$3:$DH$129,BX$1,0),0)</f>
        <v>0</v>
      </c>
      <c r="BY32" s="13">
        <f>IFERROR(VLOOKUP($G32,'Visu totale'!$D$3:$DH$129,BY$1,0),0)</f>
        <v>0</v>
      </c>
      <c r="BZ32" s="13">
        <f>IFERROR(VLOOKUP($G32,'Visu totale'!$D$3:$DH$129,BZ$1,0),0)</f>
        <v>0</v>
      </c>
      <c r="CA32" s="15">
        <f>IFERROR(VLOOKUP($G32,'Visu totale'!$D$3:$DH$129,CA$1,0),0)</f>
        <v>0</v>
      </c>
      <c r="CB32" s="14">
        <f>IFERROR(VLOOKUP($G32,'Visu totale'!$D$3:$DH$129,CB$1,0),0)</f>
        <v>0</v>
      </c>
      <c r="CC32" s="13">
        <f>IFERROR(VLOOKUP($G32,'Visu totale'!$D$3:$DH$129,CC$1,0),0)</f>
        <v>0</v>
      </c>
      <c r="CD32" s="13">
        <f>IFERROR(VLOOKUP($G32,'Visu totale'!$D$3:$DH$129,CD$1,0),0)</f>
        <v>0</v>
      </c>
      <c r="CE32" s="13">
        <f>IFERROR(VLOOKUP($G32,'Visu totale'!$D$3:$DH$129,CE$1,0),0)</f>
        <v>0</v>
      </c>
      <c r="CF32" s="13">
        <f>IFERROR(VLOOKUP($G32,'Visu totale'!$D$3:$DH$129,CF$1,0),0)</f>
        <v>0</v>
      </c>
      <c r="CG32" s="13">
        <f>IFERROR(VLOOKUP($G32,'Visu totale'!$D$3:$DH$129,CG$1,0),0)</f>
        <v>0</v>
      </c>
      <c r="CH32" s="13">
        <f>IFERROR(VLOOKUP($G32,'Visu totale'!$D$3:$DH$129,CH$1,0),0)</f>
        <v>0</v>
      </c>
      <c r="CI32" s="13">
        <f>IFERROR(VLOOKUP($G32,'Visu totale'!$D$3:$DH$129,CI$1,0),0)</f>
        <v>0</v>
      </c>
      <c r="CJ32" s="13">
        <f>IFERROR(VLOOKUP($G32,'Visu totale'!$D$3:$DH$129,CJ$1,0),0)</f>
        <v>0</v>
      </c>
      <c r="CK32" s="13">
        <f>IFERROR(VLOOKUP($G32,'Visu totale'!$D$3:$DH$129,CK$1,0),0)</f>
        <v>0</v>
      </c>
      <c r="CL32" s="13">
        <f>IFERROR(VLOOKUP($G32,'Visu totale'!$D$3:$DH$129,CL$1,0),0)</f>
        <v>0</v>
      </c>
      <c r="CM32" s="15">
        <f>IFERROR(VLOOKUP($G32,'Visu totale'!$D$3:$DH$129,CM$1,0),0)</f>
        <v>0</v>
      </c>
      <c r="CN32" s="14">
        <f>IFERROR(VLOOKUP($G32,'Visu totale'!$D$3:$DH$129,CN$1,0),0)</f>
        <v>0</v>
      </c>
      <c r="CO32" s="13">
        <f>IFERROR(VLOOKUP($G32,'Visu totale'!$D$3:$DH$129,CO$1,0),0)</f>
        <v>0</v>
      </c>
      <c r="CP32" s="13">
        <f>IFERROR(VLOOKUP($G32,'Visu totale'!$D$3:$DH$129,CP$1,0),0)</f>
        <v>0</v>
      </c>
      <c r="CQ32" s="13">
        <f>IFERROR(VLOOKUP($G32,'Visu totale'!$D$3:$DH$129,CQ$1,0),0)</f>
        <v>0</v>
      </c>
      <c r="CR32" s="13">
        <f>IFERROR(VLOOKUP($G32,'Visu totale'!$D$3:$DH$129,CR$1,0),0)</f>
        <v>0</v>
      </c>
      <c r="CS32" s="13">
        <f>IFERROR(VLOOKUP($G32,'Visu totale'!$D$3:$DH$129,CS$1,0),0)</f>
        <v>0</v>
      </c>
      <c r="CT32" s="13">
        <f>IFERROR(VLOOKUP($G32,'Visu totale'!$D$3:$DH$129,CT$1,0),0)</f>
        <v>0</v>
      </c>
      <c r="CU32" s="13">
        <f>IFERROR(VLOOKUP($G32,'Visu totale'!$D$3:$DH$129,CU$1,0),0)</f>
        <v>0</v>
      </c>
      <c r="CV32" s="13">
        <f>IFERROR(VLOOKUP($G32,'Visu totale'!$D$3:$DH$129,CV$1,0),0)</f>
        <v>0</v>
      </c>
      <c r="CW32" s="13">
        <f>IFERROR(VLOOKUP($G32,'Visu totale'!$D$3:$DH$129,CW$1,0),0)</f>
        <v>0</v>
      </c>
      <c r="CX32" s="13">
        <f>IFERROR(VLOOKUP($G32,'Visu totale'!$D$3:$DH$129,CX$1,0),0)</f>
        <v>0</v>
      </c>
      <c r="CY32" s="15">
        <f>IFERROR(VLOOKUP($G32,'Visu totale'!$D$3:$DH$129,CY$1,0),0)</f>
        <v>0</v>
      </c>
      <c r="CZ32" s="14">
        <f>IFERROR(VLOOKUP($G32,'Visu totale'!$D$3:$DH$129,CZ$1,0),0)</f>
        <v>0</v>
      </c>
      <c r="DA32" s="13">
        <f>IFERROR(VLOOKUP($G32,'Visu totale'!$D$3:$DH$129,DA$1,0),0)</f>
        <v>0</v>
      </c>
      <c r="DB32" s="13">
        <f>IFERROR(VLOOKUP($G32,'Visu totale'!$D$3:$DH$129,DB$1,0),0)</f>
        <v>0</v>
      </c>
      <c r="DC32" s="13">
        <f>IFERROR(VLOOKUP($G32,'Visu totale'!$D$3:$DH$129,DC$1,0),0)</f>
        <v>0</v>
      </c>
      <c r="DD32" s="13">
        <f>IFERROR(VLOOKUP($G32,'Visu totale'!$D$3:$DH$129,DD$1,0),0)</f>
        <v>0</v>
      </c>
      <c r="DE32" s="13">
        <f>IFERROR(VLOOKUP($G32,'Visu totale'!$D$3:$DH$129,DE$1,0),0)</f>
        <v>0</v>
      </c>
      <c r="DF32" s="13">
        <f>IFERROR(VLOOKUP($G32,'Visu totale'!$D$3:$DH$129,DF$1,0),0)</f>
        <v>0</v>
      </c>
      <c r="DG32" s="13">
        <f>IFERROR(VLOOKUP($G32,'Visu totale'!$D$3:$DH$129,DG$1,0),0)</f>
        <v>0</v>
      </c>
      <c r="DH32" s="13">
        <f>IFERROR(VLOOKUP($G32,'Visu totale'!$D$3:$DH$129,DH$1,0),0)</f>
        <v>0</v>
      </c>
      <c r="DI32" s="13">
        <f>IFERROR(VLOOKUP($G32,'Visu totale'!$D$3:$DH$129,DI$1,0),0)</f>
        <v>0</v>
      </c>
      <c r="DJ32" s="13">
        <f>IFERROR(VLOOKUP($G32,'Visu totale'!$D$3:$DH$129,DJ$1,0),0)</f>
        <v>0</v>
      </c>
      <c r="DK32" s="15">
        <f>IFERROR(VLOOKUP($G32,'Visu totale'!$D$3:$DH$129,DK$1,0),0)</f>
        <v>0</v>
      </c>
    </row>
    <row r="33" spans="1:115" x14ac:dyDescent="0.25">
      <c r="A33" s="13"/>
      <c r="B33" s="13"/>
      <c r="C33" s="13"/>
      <c r="D33" s="16"/>
      <c r="E33" s="13"/>
      <c r="F33" s="13"/>
      <c r="G33" s="17" t="s">
        <v>35</v>
      </c>
      <c r="H33" s="14">
        <f>IFERROR(VLOOKUP($G33,'Visu totale'!$D$3:$DH$129,H$1,0),0)</f>
        <v>0</v>
      </c>
      <c r="I33" s="13">
        <f>IFERROR(VLOOKUP($G33,'Visu totale'!$D$3:$DH$129,I$1,0),0)</f>
        <v>0</v>
      </c>
      <c r="J33" s="13">
        <f>IFERROR(VLOOKUP($G33,'Visu totale'!$D$3:$DH$129,J$1,0),0)</f>
        <v>0</v>
      </c>
      <c r="K33" s="13">
        <f>IFERROR(VLOOKUP($G33,'Visu totale'!$D$3:$DH$129,K$1,0),0)</f>
        <v>0</v>
      </c>
      <c r="L33" s="13">
        <f>IFERROR(VLOOKUP($G33,'Visu totale'!$D$3:$DH$129,L$1,0),0)</f>
        <v>0</v>
      </c>
      <c r="M33" s="13">
        <f>IFERROR(VLOOKUP($G33,'Visu totale'!$D$3:$DH$129,M$1,0),0)</f>
        <v>0</v>
      </c>
      <c r="N33" s="13">
        <f>IFERROR(VLOOKUP($G33,'Visu totale'!$D$3:$DH$129,N$1,0),0)</f>
        <v>0</v>
      </c>
      <c r="O33" s="13">
        <f>IFERROR(VLOOKUP($G33,'Visu totale'!$D$3:$DH$129,O$1,0),0)</f>
        <v>0</v>
      </c>
      <c r="P33" s="13">
        <f>IFERROR(VLOOKUP($G33,'Visu totale'!$D$3:$DH$129,P$1,0),0)</f>
        <v>0</v>
      </c>
      <c r="Q33" s="13">
        <f>IFERROR(VLOOKUP($G33,'Visu totale'!$D$3:$DH$129,Q$1,0),0)</f>
        <v>0</v>
      </c>
      <c r="R33" s="13">
        <f>IFERROR(VLOOKUP($G33,'Visu totale'!$D$3:$DH$129,R$1,0),0)</f>
        <v>0</v>
      </c>
      <c r="S33" s="15">
        <f>IFERROR(VLOOKUP($G33,'Visu totale'!$D$3:$DH$129,S$1,0),0)</f>
        <v>0</v>
      </c>
      <c r="T33" s="14">
        <f>IFERROR(VLOOKUP($G33,'Visu totale'!$D$3:$DH$129,T$1,0),0)</f>
        <v>0</v>
      </c>
      <c r="U33" s="13">
        <f>IFERROR(VLOOKUP($G33,'Visu totale'!$D$3:$DH$129,U$1,0),0)</f>
        <v>0</v>
      </c>
      <c r="V33" s="13">
        <f>IFERROR(VLOOKUP($G33,'Visu totale'!$D$3:$DH$129,V$1,0),0)</f>
        <v>0</v>
      </c>
      <c r="W33" s="13">
        <f>IFERROR(VLOOKUP($G33,'Visu totale'!$D$3:$DH$129,W$1,0),0)</f>
        <v>0</v>
      </c>
      <c r="X33" s="13">
        <f>IFERROR(VLOOKUP($G33,'Visu totale'!$D$3:$DH$129,X$1,0),0)</f>
        <v>0</v>
      </c>
      <c r="Y33" s="13">
        <f>IFERROR(VLOOKUP($G33,'Visu totale'!$D$3:$DH$129,Y$1,0),0)</f>
        <v>0</v>
      </c>
      <c r="Z33" s="13">
        <f>IFERROR(VLOOKUP($G33,'Visu totale'!$D$3:$DH$129,Z$1,0),0)</f>
        <v>0</v>
      </c>
      <c r="AA33" s="13">
        <f>IFERROR(VLOOKUP($G33,'Visu totale'!$D$3:$DH$129,AA$1,0),0)</f>
        <v>0</v>
      </c>
      <c r="AB33" s="13">
        <f>IFERROR(VLOOKUP($G33,'Visu totale'!$D$3:$DH$129,AB$1,0),0)</f>
        <v>0</v>
      </c>
      <c r="AC33" s="13">
        <f>IFERROR(VLOOKUP($G33,'Visu totale'!$D$3:$DH$129,AC$1,0),0)</f>
        <v>0</v>
      </c>
      <c r="AD33" s="13">
        <f>IFERROR(VLOOKUP($G33,'Visu totale'!$D$3:$DH$129,AD$1,0),0)</f>
        <v>0</v>
      </c>
      <c r="AE33" s="15">
        <f>IFERROR(VLOOKUP($G33,'Visu totale'!$D$3:$DH$129,AE$1,0),0)</f>
        <v>0</v>
      </c>
      <c r="AF33" s="14">
        <f>IFERROR(VLOOKUP($G33,'Visu totale'!$D$3:$DH$129,AF$1,0),0)</f>
        <v>0</v>
      </c>
      <c r="AG33" s="13">
        <f>IFERROR(VLOOKUP($G33,'Visu totale'!$D$3:$DH$129,AG$1,0),0)</f>
        <v>0</v>
      </c>
      <c r="AH33" s="13">
        <f>IFERROR(VLOOKUP($G33,'Visu totale'!$D$3:$DH$129,AH$1,0),0)</f>
        <v>0</v>
      </c>
      <c r="AI33" s="13">
        <f>IFERROR(VLOOKUP($G33,'Visu totale'!$D$3:$DH$129,AI$1,0),0)</f>
        <v>0</v>
      </c>
      <c r="AJ33" s="13">
        <f>IFERROR(VLOOKUP($G33,'Visu totale'!$D$3:$DH$129,AJ$1,0),0)</f>
        <v>0</v>
      </c>
      <c r="AK33" s="13">
        <f>IFERROR(VLOOKUP($G33,'Visu totale'!$D$3:$DH$129,AK$1,0),0)</f>
        <v>0</v>
      </c>
      <c r="AL33" s="13">
        <f>IFERROR(VLOOKUP($G33,'Visu totale'!$D$3:$DH$129,AL$1,0),0)</f>
        <v>0</v>
      </c>
      <c r="AM33" s="13">
        <f>IFERROR(VLOOKUP($G33,'Visu totale'!$D$3:$DH$129,AM$1,0),0)</f>
        <v>0</v>
      </c>
      <c r="AN33" s="13">
        <f>IFERROR(VLOOKUP($G33,'Visu totale'!$D$3:$DH$129,AN$1,0),0)</f>
        <v>0</v>
      </c>
      <c r="AO33" s="13">
        <f>IFERROR(VLOOKUP($G33,'Visu totale'!$D$3:$DH$129,AO$1,0),0)</f>
        <v>0</v>
      </c>
      <c r="AP33" s="13">
        <f>IFERROR(VLOOKUP($G33,'Visu totale'!$D$3:$DH$129,AP$1,0),0)</f>
        <v>0</v>
      </c>
      <c r="AQ33" s="15">
        <f>IFERROR(VLOOKUP($G33,'Visu totale'!$D$3:$DH$129,AQ$1,0),0)</f>
        <v>0</v>
      </c>
      <c r="AR33" s="14">
        <f>IFERROR(VLOOKUP($G33,'Visu totale'!$D$3:$DH$129,AR$1,0),0)</f>
        <v>0</v>
      </c>
      <c r="AS33" s="13">
        <f>IFERROR(VLOOKUP($G33,'Visu totale'!$D$3:$DH$129,AS$1,0),0)</f>
        <v>0</v>
      </c>
      <c r="AT33" s="13">
        <f>IFERROR(VLOOKUP($G33,'Visu totale'!$D$3:$DH$129,AT$1,0),0)</f>
        <v>0</v>
      </c>
      <c r="AU33" s="13">
        <f>IFERROR(VLOOKUP($G33,'Visu totale'!$D$3:$DH$129,AU$1,0),0)</f>
        <v>0</v>
      </c>
      <c r="AV33" s="13">
        <f>IFERROR(VLOOKUP($G33,'Visu totale'!$D$3:$DH$129,AV$1,0),0)</f>
        <v>0</v>
      </c>
      <c r="AW33" s="13">
        <f>IFERROR(VLOOKUP($G33,'Visu totale'!$D$3:$DH$129,AW$1,0),0)</f>
        <v>0</v>
      </c>
      <c r="AX33" s="13">
        <f>IFERROR(VLOOKUP($G33,'Visu totale'!$D$3:$DH$129,AX$1,0),0)</f>
        <v>0</v>
      </c>
      <c r="AY33" s="13">
        <f>IFERROR(VLOOKUP($G33,'Visu totale'!$D$3:$DH$129,AY$1,0),0)</f>
        <v>0</v>
      </c>
      <c r="AZ33" s="13">
        <f>IFERROR(VLOOKUP($G33,'Visu totale'!$D$3:$DH$129,AZ$1,0),0)</f>
        <v>0</v>
      </c>
      <c r="BA33" s="13">
        <f>IFERROR(VLOOKUP($G33,'Visu totale'!$D$3:$DH$129,BA$1,0),0)</f>
        <v>0</v>
      </c>
      <c r="BB33" s="13">
        <f>IFERROR(VLOOKUP($G33,'Visu totale'!$D$3:$DH$129,BB$1,0),0)</f>
        <v>0</v>
      </c>
      <c r="BC33" s="15">
        <f>IFERROR(VLOOKUP($G33,'Visu totale'!$D$3:$DH$129,BC$1,0),0)</f>
        <v>0</v>
      </c>
      <c r="BD33" s="14">
        <f>IFERROR(VLOOKUP($G33,'Visu totale'!$D$3:$DH$129,BD$1,0),0)</f>
        <v>0</v>
      </c>
      <c r="BE33" s="13">
        <f>IFERROR(VLOOKUP($G33,'Visu totale'!$D$3:$DH$129,BE$1,0),0)</f>
        <v>0</v>
      </c>
      <c r="BF33" s="13">
        <f>IFERROR(VLOOKUP($G33,'Visu totale'!$D$3:$DH$129,BF$1,0),0)</f>
        <v>0</v>
      </c>
      <c r="BG33" s="13">
        <f>IFERROR(VLOOKUP($G33,'Visu totale'!$D$3:$DH$129,BG$1,0),0)</f>
        <v>0</v>
      </c>
      <c r="BH33" s="13">
        <f>IFERROR(VLOOKUP($G33,'Visu totale'!$D$3:$DH$129,BH$1,0),0)</f>
        <v>0</v>
      </c>
      <c r="BI33" s="13">
        <f>IFERROR(VLOOKUP($G33,'Visu totale'!$D$3:$DH$129,BI$1,0),0)</f>
        <v>0</v>
      </c>
      <c r="BJ33" s="13">
        <f>IFERROR(VLOOKUP($G33,'Visu totale'!$D$3:$DH$129,BJ$1,0),0)</f>
        <v>0</v>
      </c>
      <c r="BK33" s="13">
        <f>IFERROR(VLOOKUP($G33,'Visu totale'!$D$3:$DH$129,BK$1,0),0)</f>
        <v>0</v>
      </c>
      <c r="BL33" s="13">
        <f>IFERROR(VLOOKUP($G33,'Visu totale'!$D$3:$DH$129,BL$1,0),0)</f>
        <v>0</v>
      </c>
      <c r="BM33" s="13">
        <f>IFERROR(VLOOKUP($G33,'Visu totale'!$D$3:$DH$129,BM$1,0),0)</f>
        <v>0</v>
      </c>
      <c r="BN33" s="13">
        <f>IFERROR(VLOOKUP($G33,'Visu totale'!$D$3:$DH$129,BN$1,0),0)</f>
        <v>0</v>
      </c>
      <c r="BO33" s="15">
        <f>IFERROR(VLOOKUP($G33,'Visu totale'!$D$3:$DH$129,BO$1,0),0)</f>
        <v>0</v>
      </c>
      <c r="BP33" s="14">
        <f>IFERROR(VLOOKUP($G33,'Visu totale'!$D$3:$DH$129,BP$1,0),0)</f>
        <v>0</v>
      </c>
      <c r="BQ33" s="13">
        <f>IFERROR(VLOOKUP($G33,'Visu totale'!$D$3:$DH$129,BQ$1,0),0)</f>
        <v>0</v>
      </c>
      <c r="BR33" s="13">
        <f>IFERROR(VLOOKUP($G33,'Visu totale'!$D$3:$DH$129,BR$1,0),0)</f>
        <v>0</v>
      </c>
      <c r="BS33" s="13">
        <f>IFERROR(VLOOKUP($G33,'Visu totale'!$D$3:$DH$129,BS$1,0),0)</f>
        <v>0</v>
      </c>
      <c r="BT33" s="13">
        <f>IFERROR(VLOOKUP($G33,'Visu totale'!$D$3:$DH$129,BT$1,0),0)</f>
        <v>0</v>
      </c>
      <c r="BU33" s="13">
        <f>IFERROR(VLOOKUP($G33,'Visu totale'!$D$3:$DH$129,BU$1,0),0)</f>
        <v>0</v>
      </c>
      <c r="BV33" s="13">
        <f>IFERROR(VLOOKUP($G33,'Visu totale'!$D$3:$DH$129,BV$1,0),0)</f>
        <v>0</v>
      </c>
      <c r="BW33" s="13">
        <f>IFERROR(VLOOKUP($G33,'Visu totale'!$D$3:$DH$129,BW$1,0),0)</f>
        <v>0</v>
      </c>
      <c r="BX33" s="13">
        <f>IFERROR(VLOOKUP($G33,'Visu totale'!$D$3:$DH$129,BX$1,0),0)</f>
        <v>0</v>
      </c>
      <c r="BY33" s="13">
        <f>IFERROR(VLOOKUP($G33,'Visu totale'!$D$3:$DH$129,BY$1,0),0)</f>
        <v>0</v>
      </c>
      <c r="BZ33" s="13">
        <f>IFERROR(VLOOKUP($G33,'Visu totale'!$D$3:$DH$129,BZ$1,0),0)</f>
        <v>0</v>
      </c>
      <c r="CA33" s="15">
        <f>IFERROR(VLOOKUP($G33,'Visu totale'!$D$3:$DH$129,CA$1,0),0)</f>
        <v>0</v>
      </c>
      <c r="CB33" s="14">
        <f>IFERROR(VLOOKUP($G33,'Visu totale'!$D$3:$DH$129,CB$1,0),0)</f>
        <v>0</v>
      </c>
      <c r="CC33" s="13">
        <f>IFERROR(VLOOKUP($G33,'Visu totale'!$D$3:$DH$129,CC$1,0),0)</f>
        <v>0</v>
      </c>
      <c r="CD33" s="13">
        <f>IFERROR(VLOOKUP($G33,'Visu totale'!$D$3:$DH$129,CD$1,0),0)</f>
        <v>0</v>
      </c>
      <c r="CE33" s="13">
        <f>IFERROR(VLOOKUP($G33,'Visu totale'!$D$3:$DH$129,CE$1,0),0)</f>
        <v>0</v>
      </c>
      <c r="CF33" s="13">
        <f>IFERROR(VLOOKUP($G33,'Visu totale'!$D$3:$DH$129,CF$1,0),0)</f>
        <v>0</v>
      </c>
      <c r="CG33" s="13">
        <f>IFERROR(VLOOKUP($G33,'Visu totale'!$D$3:$DH$129,CG$1,0),0)</f>
        <v>0</v>
      </c>
      <c r="CH33" s="13">
        <f>IFERROR(VLOOKUP($G33,'Visu totale'!$D$3:$DH$129,CH$1,0),0)</f>
        <v>0</v>
      </c>
      <c r="CI33" s="13">
        <f>IFERROR(VLOOKUP($G33,'Visu totale'!$D$3:$DH$129,CI$1,0),0)</f>
        <v>0</v>
      </c>
      <c r="CJ33" s="13">
        <f>IFERROR(VLOOKUP($G33,'Visu totale'!$D$3:$DH$129,CJ$1,0),0)</f>
        <v>0</v>
      </c>
      <c r="CK33" s="13">
        <f>IFERROR(VLOOKUP($G33,'Visu totale'!$D$3:$DH$129,CK$1,0),0)</f>
        <v>0</v>
      </c>
      <c r="CL33" s="13">
        <f>IFERROR(VLOOKUP($G33,'Visu totale'!$D$3:$DH$129,CL$1,0),0)</f>
        <v>0</v>
      </c>
      <c r="CM33" s="15">
        <f>IFERROR(VLOOKUP($G33,'Visu totale'!$D$3:$DH$129,CM$1,0),0)</f>
        <v>0</v>
      </c>
      <c r="CN33" s="14">
        <f>IFERROR(VLOOKUP($G33,'Visu totale'!$D$3:$DH$129,CN$1,0),0)</f>
        <v>0</v>
      </c>
      <c r="CO33" s="13">
        <f>IFERROR(VLOOKUP($G33,'Visu totale'!$D$3:$DH$129,CO$1,0),0)</f>
        <v>0</v>
      </c>
      <c r="CP33" s="13">
        <f>IFERROR(VLOOKUP($G33,'Visu totale'!$D$3:$DH$129,CP$1,0),0)</f>
        <v>0</v>
      </c>
      <c r="CQ33" s="13">
        <f>IFERROR(VLOOKUP($G33,'Visu totale'!$D$3:$DH$129,CQ$1,0),0)</f>
        <v>0</v>
      </c>
      <c r="CR33" s="13">
        <f>IFERROR(VLOOKUP($G33,'Visu totale'!$D$3:$DH$129,CR$1,0),0)</f>
        <v>0</v>
      </c>
      <c r="CS33" s="13">
        <f>IFERROR(VLOOKUP($G33,'Visu totale'!$D$3:$DH$129,CS$1,0),0)</f>
        <v>0</v>
      </c>
      <c r="CT33" s="13">
        <f>IFERROR(VLOOKUP($G33,'Visu totale'!$D$3:$DH$129,CT$1,0),0)</f>
        <v>0</v>
      </c>
      <c r="CU33" s="13">
        <f>IFERROR(VLOOKUP($G33,'Visu totale'!$D$3:$DH$129,CU$1,0),0)</f>
        <v>0</v>
      </c>
      <c r="CV33" s="13">
        <f>IFERROR(VLOOKUP($G33,'Visu totale'!$D$3:$DH$129,CV$1,0),0)</f>
        <v>0</v>
      </c>
      <c r="CW33" s="13">
        <f>IFERROR(VLOOKUP($G33,'Visu totale'!$D$3:$DH$129,CW$1,0),0)</f>
        <v>0</v>
      </c>
      <c r="CX33" s="13">
        <f>IFERROR(VLOOKUP($G33,'Visu totale'!$D$3:$DH$129,CX$1,0),0)</f>
        <v>0</v>
      </c>
      <c r="CY33" s="15">
        <f>IFERROR(VLOOKUP($G33,'Visu totale'!$D$3:$DH$129,CY$1,0),0)</f>
        <v>0</v>
      </c>
      <c r="CZ33" s="14">
        <f>IFERROR(VLOOKUP($G33,'Visu totale'!$D$3:$DH$129,CZ$1,0),0)</f>
        <v>0</v>
      </c>
      <c r="DA33" s="13">
        <f>IFERROR(VLOOKUP($G33,'Visu totale'!$D$3:$DH$129,DA$1,0),0)</f>
        <v>0</v>
      </c>
      <c r="DB33" s="13">
        <f>IFERROR(VLOOKUP($G33,'Visu totale'!$D$3:$DH$129,DB$1,0),0)</f>
        <v>0</v>
      </c>
      <c r="DC33" s="13">
        <f>IFERROR(VLOOKUP($G33,'Visu totale'!$D$3:$DH$129,DC$1,0),0)</f>
        <v>0</v>
      </c>
      <c r="DD33" s="13">
        <f>IFERROR(VLOOKUP($G33,'Visu totale'!$D$3:$DH$129,DD$1,0),0)</f>
        <v>0</v>
      </c>
      <c r="DE33" s="13">
        <f>IFERROR(VLOOKUP($G33,'Visu totale'!$D$3:$DH$129,DE$1,0),0)</f>
        <v>0</v>
      </c>
      <c r="DF33" s="13">
        <f>IFERROR(VLOOKUP($G33,'Visu totale'!$D$3:$DH$129,DF$1,0),0)</f>
        <v>0</v>
      </c>
      <c r="DG33" s="13">
        <f>IFERROR(VLOOKUP($G33,'Visu totale'!$D$3:$DH$129,DG$1,0),0)</f>
        <v>0</v>
      </c>
      <c r="DH33" s="13">
        <f>IFERROR(VLOOKUP($G33,'Visu totale'!$D$3:$DH$129,DH$1,0),0)</f>
        <v>0</v>
      </c>
      <c r="DI33" s="13">
        <f>IFERROR(VLOOKUP($G33,'Visu totale'!$D$3:$DH$129,DI$1,0),0)</f>
        <v>0</v>
      </c>
      <c r="DJ33" s="13">
        <f>IFERROR(VLOOKUP($G33,'Visu totale'!$D$3:$DH$129,DJ$1,0),0)</f>
        <v>0</v>
      </c>
      <c r="DK33" s="15">
        <f>IFERROR(VLOOKUP($G33,'Visu totale'!$D$3:$DH$129,DK$1,0),0)</f>
        <v>0</v>
      </c>
    </row>
    <row r="34" spans="1:115" x14ac:dyDescent="0.25">
      <c r="A34" s="13"/>
      <c r="B34" s="13"/>
      <c r="C34" s="13"/>
      <c r="D34" s="16"/>
      <c r="E34" s="13"/>
      <c r="F34" s="13"/>
      <c r="G34" s="17" t="s">
        <v>36</v>
      </c>
      <c r="H34" s="14">
        <f>IFERROR(VLOOKUP($G34,'Visu totale'!$D$3:$DH$129,H$1,0),0)</f>
        <v>0</v>
      </c>
      <c r="I34" s="13">
        <f>IFERROR(VLOOKUP($G34,'Visu totale'!$D$3:$DH$129,I$1,0),0)</f>
        <v>0</v>
      </c>
      <c r="J34" s="13">
        <f>IFERROR(VLOOKUP($G34,'Visu totale'!$D$3:$DH$129,J$1,0),0)</f>
        <v>0</v>
      </c>
      <c r="K34" s="13">
        <f>IFERROR(VLOOKUP($G34,'Visu totale'!$D$3:$DH$129,K$1,0),0)</f>
        <v>0</v>
      </c>
      <c r="L34" s="13">
        <f>IFERROR(VLOOKUP($G34,'Visu totale'!$D$3:$DH$129,L$1,0),0)</f>
        <v>0</v>
      </c>
      <c r="M34" s="13">
        <f>IFERROR(VLOOKUP($G34,'Visu totale'!$D$3:$DH$129,M$1,0),0)</f>
        <v>0</v>
      </c>
      <c r="N34" s="13">
        <f>IFERROR(VLOOKUP($G34,'Visu totale'!$D$3:$DH$129,N$1,0),0)</f>
        <v>0</v>
      </c>
      <c r="O34" s="13">
        <f>IFERROR(VLOOKUP($G34,'Visu totale'!$D$3:$DH$129,O$1,0),0)</f>
        <v>0</v>
      </c>
      <c r="P34" s="13">
        <f>IFERROR(VLOOKUP($G34,'Visu totale'!$D$3:$DH$129,P$1,0),0)</f>
        <v>0</v>
      </c>
      <c r="Q34" s="13">
        <f>IFERROR(VLOOKUP($G34,'Visu totale'!$D$3:$DH$129,Q$1,0),0)</f>
        <v>0</v>
      </c>
      <c r="R34" s="13">
        <f>IFERROR(VLOOKUP($G34,'Visu totale'!$D$3:$DH$129,R$1,0),0)</f>
        <v>0</v>
      </c>
      <c r="S34" s="15">
        <f>IFERROR(VLOOKUP($G34,'Visu totale'!$D$3:$DH$129,S$1,0),0)</f>
        <v>0</v>
      </c>
      <c r="T34" s="14">
        <f>IFERROR(VLOOKUP($G34,'Visu totale'!$D$3:$DH$129,T$1,0),0)</f>
        <v>0</v>
      </c>
      <c r="U34" s="13">
        <f>IFERROR(VLOOKUP($G34,'Visu totale'!$D$3:$DH$129,U$1,0),0)</f>
        <v>0</v>
      </c>
      <c r="V34" s="13">
        <f>IFERROR(VLOOKUP($G34,'Visu totale'!$D$3:$DH$129,V$1,0),0)</f>
        <v>0</v>
      </c>
      <c r="W34" s="13">
        <f>IFERROR(VLOOKUP($G34,'Visu totale'!$D$3:$DH$129,W$1,0),0)</f>
        <v>0</v>
      </c>
      <c r="X34" s="13">
        <f>IFERROR(VLOOKUP($G34,'Visu totale'!$D$3:$DH$129,X$1,0),0)</f>
        <v>0</v>
      </c>
      <c r="Y34" s="13">
        <f>IFERROR(VLOOKUP($G34,'Visu totale'!$D$3:$DH$129,Y$1,0),0)</f>
        <v>0</v>
      </c>
      <c r="Z34" s="13">
        <f>IFERROR(VLOOKUP($G34,'Visu totale'!$D$3:$DH$129,Z$1,0),0)</f>
        <v>0</v>
      </c>
      <c r="AA34" s="13">
        <f>IFERROR(VLOOKUP($G34,'Visu totale'!$D$3:$DH$129,AA$1,0),0)</f>
        <v>0</v>
      </c>
      <c r="AB34" s="13">
        <f>IFERROR(VLOOKUP($G34,'Visu totale'!$D$3:$DH$129,AB$1,0),0)</f>
        <v>0</v>
      </c>
      <c r="AC34" s="13">
        <f>IFERROR(VLOOKUP($G34,'Visu totale'!$D$3:$DH$129,AC$1,0),0)</f>
        <v>0</v>
      </c>
      <c r="AD34" s="13">
        <f>IFERROR(VLOOKUP($G34,'Visu totale'!$D$3:$DH$129,AD$1,0),0)</f>
        <v>0</v>
      </c>
      <c r="AE34" s="15">
        <f>IFERROR(VLOOKUP($G34,'Visu totale'!$D$3:$DH$129,AE$1,0),0)</f>
        <v>0</v>
      </c>
      <c r="AF34" s="14">
        <f>IFERROR(VLOOKUP($G34,'Visu totale'!$D$3:$DH$129,AF$1,0),0)</f>
        <v>0</v>
      </c>
      <c r="AG34" s="13">
        <f>IFERROR(VLOOKUP($G34,'Visu totale'!$D$3:$DH$129,AG$1,0),0)</f>
        <v>0</v>
      </c>
      <c r="AH34" s="13">
        <f>IFERROR(VLOOKUP($G34,'Visu totale'!$D$3:$DH$129,AH$1,0),0)</f>
        <v>0</v>
      </c>
      <c r="AI34" s="13">
        <f>IFERROR(VLOOKUP($G34,'Visu totale'!$D$3:$DH$129,AI$1,0),0)</f>
        <v>0</v>
      </c>
      <c r="AJ34" s="13">
        <f>IFERROR(VLOOKUP($G34,'Visu totale'!$D$3:$DH$129,AJ$1,0),0)</f>
        <v>0</v>
      </c>
      <c r="AK34" s="13">
        <f>IFERROR(VLOOKUP($G34,'Visu totale'!$D$3:$DH$129,AK$1,0),0)</f>
        <v>0</v>
      </c>
      <c r="AL34" s="13">
        <f>IFERROR(VLOOKUP($G34,'Visu totale'!$D$3:$DH$129,AL$1,0),0)</f>
        <v>0</v>
      </c>
      <c r="AM34" s="13">
        <f>IFERROR(VLOOKUP($G34,'Visu totale'!$D$3:$DH$129,AM$1,0),0)</f>
        <v>0</v>
      </c>
      <c r="AN34" s="13">
        <f>IFERROR(VLOOKUP($G34,'Visu totale'!$D$3:$DH$129,AN$1,0),0)</f>
        <v>0</v>
      </c>
      <c r="AO34" s="13">
        <f>IFERROR(VLOOKUP($G34,'Visu totale'!$D$3:$DH$129,AO$1,0),0)</f>
        <v>0</v>
      </c>
      <c r="AP34" s="13">
        <f>IFERROR(VLOOKUP($G34,'Visu totale'!$D$3:$DH$129,AP$1,0),0)</f>
        <v>0</v>
      </c>
      <c r="AQ34" s="15">
        <f>IFERROR(VLOOKUP($G34,'Visu totale'!$D$3:$DH$129,AQ$1,0),0)</f>
        <v>0</v>
      </c>
      <c r="AR34" s="14">
        <f>IFERROR(VLOOKUP($G34,'Visu totale'!$D$3:$DH$129,AR$1,0),0)</f>
        <v>0</v>
      </c>
      <c r="AS34" s="13">
        <f>IFERROR(VLOOKUP($G34,'Visu totale'!$D$3:$DH$129,AS$1,0),0)</f>
        <v>0</v>
      </c>
      <c r="AT34" s="13">
        <f>IFERROR(VLOOKUP($G34,'Visu totale'!$D$3:$DH$129,AT$1,0),0)</f>
        <v>0</v>
      </c>
      <c r="AU34" s="13">
        <f>IFERROR(VLOOKUP($G34,'Visu totale'!$D$3:$DH$129,AU$1,0),0)</f>
        <v>0</v>
      </c>
      <c r="AV34" s="13">
        <f>IFERROR(VLOOKUP($G34,'Visu totale'!$D$3:$DH$129,AV$1,0),0)</f>
        <v>0</v>
      </c>
      <c r="AW34" s="13">
        <f>IFERROR(VLOOKUP($G34,'Visu totale'!$D$3:$DH$129,AW$1,0),0)</f>
        <v>0</v>
      </c>
      <c r="AX34" s="13">
        <f>IFERROR(VLOOKUP($G34,'Visu totale'!$D$3:$DH$129,AX$1,0),0)</f>
        <v>0</v>
      </c>
      <c r="AY34" s="13">
        <f>IFERROR(VLOOKUP($G34,'Visu totale'!$D$3:$DH$129,AY$1,0),0)</f>
        <v>0</v>
      </c>
      <c r="AZ34" s="13">
        <f>IFERROR(VLOOKUP($G34,'Visu totale'!$D$3:$DH$129,AZ$1,0),0)</f>
        <v>0</v>
      </c>
      <c r="BA34" s="13">
        <f>IFERROR(VLOOKUP($G34,'Visu totale'!$D$3:$DH$129,BA$1,0),0)</f>
        <v>0</v>
      </c>
      <c r="BB34" s="13">
        <f>IFERROR(VLOOKUP($G34,'Visu totale'!$D$3:$DH$129,BB$1,0),0)</f>
        <v>0</v>
      </c>
      <c r="BC34" s="15">
        <f>IFERROR(VLOOKUP($G34,'Visu totale'!$D$3:$DH$129,BC$1,0),0)</f>
        <v>0</v>
      </c>
      <c r="BD34" s="14">
        <f>IFERROR(VLOOKUP($G34,'Visu totale'!$D$3:$DH$129,BD$1,0),0)</f>
        <v>0</v>
      </c>
      <c r="BE34" s="13">
        <f>IFERROR(VLOOKUP($G34,'Visu totale'!$D$3:$DH$129,BE$1,0),0)</f>
        <v>0</v>
      </c>
      <c r="BF34" s="13">
        <f>IFERROR(VLOOKUP($G34,'Visu totale'!$D$3:$DH$129,BF$1,0),0)</f>
        <v>0</v>
      </c>
      <c r="BG34" s="13">
        <f>IFERROR(VLOOKUP($G34,'Visu totale'!$D$3:$DH$129,BG$1,0),0)</f>
        <v>0</v>
      </c>
      <c r="BH34" s="13">
        <f>IFERROR(VLOOKUP($G34,'Visu totale'!$D$3:$DH$129,BH$1,0),0)</f>
        <v>0</v>
      </c>
      <c r="BI34" s="13">
        <f>IFERROR(VLOOKUP($G34,'Visu totale'!$D$3:$DH$129,BI$1,0),0)</f>
        <v>0</v>
      </c>
      <c r="BJ34" s="13">
        <f>IFERROR(VLOOKUP($G34,'Visu totale'!$D$3:$DH$129,BJ$1,0),0)</f>
        <v>0</v>
      </c>
      <c r="BK34" s="13">
        <f>IFERROR(VLOOKUP($G34,'Visu totale'!$D$3:$DH$129,BK$1,0),0)</f>
        <v>0</v>
      </c>
      <c r="BL34" s="13">
        <f>IFERROR(VLOOKUP($G34,'Visu totale'!$D$3:$DH$129,BL$1,0),0)</f>
        <v>0</v>
      </c>
      <c r="BM34" s="13">
        <f>IFERROR(VLOOKUP($G34,'Visu totale'!$D$3:$DH$129,BM$1,0),0)</f>
        <v>0</v>
      </c>
      <c r="BN34" s="13">
        <f>IFERROR(VLOOKUP($G34,'Visu totale'!$D$3:$DH$129,BN$1,0),0)</f>
        <v>0</v>
      </c>
      <c r="BO34" s="15">
        <f>IFERROR(VLOOKUP($G34,'Visu totale'!$D$3:$DH$129,BO$1,0),0)</f>
        <v>0</v>
      </c>
      <c r="BP34" s="14">
        <f>IFERROR(VLOOKUP($G34,'Visu totale'!$D$3:$DH$129,BP$1,0),0)</f>
        <v>0</v>
      </c>
      <c r="BQ34" s="13">
        <f>IFERROR(VLOOKUP($G34,'Visu totale'!$D$3:$DH$129,BQ$1,0),0)</f>
        <v>0</v>
      </c>
      <c r="BR34" s="13">
        <f>IFERROR(VLOOKUP($G34,'Visu totale'!$D$3:$DH$129,BR$1,0),0)</f>
        <v>0</v>
      </c>
      <c r="BS34" s="13">
        <f>IFERROR(VLOOKUP($G34,'Visu totale'!$D$3:$DH$129,BS$1,0),0)</f>
        <v>0</v>
      </c>
      <c r="BT34" s="13">
        <f>IFERROR(VLOOKUP($G34,'Visu totale'!$D$3:$DH$129,BT$1,0),0)</f>
        <v>0</v>
      </c>
      <c r="BU34" s="13">
        <f>IFERROR(VLOOKUP($G34,'Visu totale'!$D$3:$DH$129,BU$1,0),0)</f>
        <v>0</v>
      </c>
      <c r="BV34" s="13">
        <f>IFERROR(VLOOKUP($G34,'Visu totale'!$D$3:$DH$129,BV$1,0),0)</f>
        <v>0</v>
      </c>
      <c r="BW34" s="13">
        <f>IFERROR(VLOOKUP($G34,'Visu totale'!$D$3:$DH$129,BW$1,0),0)</f>
        <v>0</v>
      </c>
      <c r="BX34" s="13">
        <f>IFERROR(VLOOKUP($G34,'Visu totale'!$D$3:$DH$129,BX$1,0),0)</f>
        <v>0</v>
      </c>
      <c r="BY34" s="13">
        <f>IFERROR(VLOOKUP($G34,'Visu totale'!$D$3:$DH$129,BY$1,0),0)</f>
        <v>0</v>
      </c>
      <c r="BZ34" s="13">
        <f>IFERROR(VLOOKUP($G34,'Visu totale'!$D$3:$DH$129,BZ$1,0),0)</f>
        <v>0</v>
      </c>
      <c r="CA34" s="15">
        <f>IFERROR(VLOOKUP($G34,'Visu totale'!$D$3:$DH$129,CA$1,0),0)</f>
        <v>0</v>
      </c>
      <c r="CB34" s="14">
        <f>IFERROR(VLOOKUP($G34,'Visu totale'!$D$3:$DH$129,CB$1,0),0)</f>
        <v>0</v>
      </c>
      <c r="CC34" s="13">
        <f>IFERROR(VLOOKUP($G34,'Visu totale'!$D$3:$DH$129,CC$1,0),0)</f>
        <v>0</v>
      </c>
      <c r="CD34" s="13">
        <f>IFERROR(VLOOKUP($G34,'Visu totale'!$D$3:$DH$129,CD$1,0),0)</f>
        <v>0</v>
      </c>
      <c r="CE34" s="13">
        <f>IFERROR(VLOOKUP($G34,'Visu totale'!$D$3:$DH$129,CE$1,0),0)</f>
        <v>0</v>
      </c>
      <c r="CF34" s="13">
        <f>IFERROR(VLOOKUP($G34,'Visu totale'!$D$3:$DH$129,CF$1,0),0)</f>
        <v>0</v>
      </c>
      <c r="CG34" s="13">
        <f>IFERROR(VLOOKUP($G34,'Visu totale'!$D$3:$DH$129,CG$1,0),0)</f>
        <v>0</v>
      </c>
      <c r="CH34" s="13">
        <f>IFERROR(VLOOKUP($G34,'Visu totale'!$D$3:$DH$129,CH$1,0),0)</f>
        <v>0</v>
      </c>
      <c r="CI34" s="13">
        <f>IFERROR(VLOOKUP($G34,'Visu totale'!$D$3:$DH$129,CI$1,0),0)</f>
        <v>0</v>
      </c>
      <c r="CJ34" s="13">
        <f>IFERROR(VLOOKUP($G34,'Visu totale'!$D$3:$DH$129,CJ$1,0),0)</f>
        <v>0</v>
      </c>
      <c r="CK34" s="13">
        <f>IFERROR(VLOOKUP($G34,'Visu totale'!$D$3:$DH$129,CK$1,0),0)</f>
        <v>0</v>
      </c>
      <c r="CL34" s="13">
        <f>IFERROR(VLOOKUP($G34,'Visu totale'!$D$3:$DH$129,CL$1,0),0)</f>
        <v>0</v>
      </c>
      <c r="CM34" s="15">
        <f>IFERROR(VLOOKUP($G34,'Visu totale'!$D$3:$DH$129,CM$1,0),0)</f>
        <v>0</v>
      </c>
      <c r="CN34" s="14">
        <f>IFERROR(VLOOKUP($G34,'Visu totale'!$D$3:$DH$129,CN$1,0),0)</f>
        <v>0</v>
      </c>
      <c r="CO34" s="13">
        <f>IFERROR(VLOOKUP($G34,'Visu totale'!$D$3:$DH$129,CO$1,0),0)</f>
        <v>0</v>
      </c>
      <c r="CP34" s="13">
        <f>IFERROR(VLOOKUP($G34,'Visu totale'!$D$3:$DH$129,CP$1,0),0)</f>
        <v>0</v>
      </c>
      <c r="CQ34" s="13">
        <f>IFERROR(VLOOKUP($G34,'Visu totale'!$D$3:$DH$129,CQ$1,0),0)</f>
        <v>0</v>
      </c>
      <c r="CR34" s="13">
        <f>IFERROR(VLOOKUP($G34,'Visu totale'!$D$3:$DH$129,CR$1,0),0)</f>
        <v>0</v>
      </c>
      <c r="CS34" s="13">
        <f>IFERROR(VLOOKUP($G34,'Visu totale'!$D$3:$DH$129,CS$1,0),0)</f>
        <v>0</v>
      </c>
      <c r="CT34" s="13">
        <f>IFERROR(VLOOKUP($G34,'Visu totale'!$D$3:$DH$129,CT$1,0),0)</f>
        <v>0</v>
      </c>
      <c r="CU34" s="13">
        <f>IFERROR(VLOOKUP($G34,'Visu totale'!$D$3:$DH$129,CU$1,0),0)</f>
        <v>0</v>
      </c>
      <c r="CV34" s="13">
        <f>IFERROR(VLOOKUP($G34,'Visu totale'!$D$3:$DH$129,CV$1,0),0)</f>
        <v>0</v>
      </c>
      <c r="CW34" s="13">
        <f>IFERROR(VLOOKUP($G34,'Visu totale'!$D$3:$DH$129,CW$1,0),0)</f>
        <v>0</v>
      </c>
      <c r="CX34" s="13">
        <f>IFERROR(VLOOKUP($G34,'Visu totale'!$D$3:$DH$129,CX$1,0),0)</f>
        <v>0</v>
      </c>
      <c r="CY34" s="15">
        <f>IFERROR(VLOOKUP($G34,'Visu totale'!$D$3:$DH$129,CY$1,0),0)</f>
        <v>0</v>
      </c>
      <c r="CZ34" s="14">
        <f>IFERROR(VLOOKUP($G34,'Visu totale'!$D$3:$DH$129,CZ$1,0),0)</f>
        <v>0</v>
      </c>
      <c r="DA34" s="13">
        <f>IFERROR(VLOOKUP($G34,'Visu totale'!$D$3:$DH$129,DA$1,0),0)</f>
        <v>0</v>
      </c>
      <c r="DB34" s="13">
        <f>IFERROR(VLOOKUP($G34,'Visu totale'!$D$3:$DH$129,DB$1,0),0)</f>
        <v>0</v>
      </c>
      <c r="DC34" s="13">
        <f>IFERROR(VLOOKUP($G34,'Visu totale'!$D$3:$DH$129,DC$1,0),0)</f>
        <v>0</v>
      </c>
      <c r="DD34" s="13">
        <f>IFERROR(VLOOKUP($G34,'Visu totale'!$D$3:$DH$129,DD$1,0),0)</f>
        <v>0</v>
      </c>
      <c r="DE34" s="13">
        <f>IFERROR(VLOOKUP($G34,'Visu totale'!$D$3:$DH$129,DE$1,0),0)</f>
        <v>0</v>
      </c>
      <c r="DF34" s="13">
        <f>IFERROR(VLOOKUP($G34,'Visu totale'!$D$3:$DH$129,DF$1,0),0)</f>
        <v>0</v>
      </c>
      <c r="DG34" s="13">
        <f>IFERROR(VLOOKUP($G34,'Visu totale'!$D$3:$DH$129,DG$1,0),0)</f>
        <v>0</v>
      </c>
      <c r="DH34" s="13">
        <f>IFERROR(VLOOKUP($G34,'Visu totale'!$D$3:$DH$129,DH$1,0),0)</f>
        <v>0</v>
      </c>
      <c r="DI34" s="13">
        <f>IFERROR(VLOOKUP($G34,'Visu totale'!$D$3:$DH$129,DI$1,0),0)</f>
        <v>0</v>
      </c>
      <c r="DJ34" s="13">
        <f>IFERROR(VLOOKUP($G34,'Visu totale'!$D$3:$DH$129,DJ$1,0),0)</f>
        <v>0</v>
      </c>
      <c r="DK34" s="15">
        <f>IFERROR(VLOOKUP($G34,'Visu totale'!$D$3:$DH$129,DK$1,0),0)</f>
        <v>0</v>
      </c>
    </row>
    <row r="35" spans="1:115" x14ac:dyDescent="0.25">
      <c r="A35" s="13"/>
      <c r="B35" s="13"/>
      <c r="C35" s="13"/>
      <c r="D35" s="16"/>
      <c r="E35" s="13"/>
      <c r="F35" s="13"/>
      <c r="G35" s="17" t="s">
        <v>37</v>
      </c>
      <c r="H35" s="14">
        <f>IFERROR(VLOOKUP($G35,'Visu totale'!$D$3:$DH$129,H$1,0),0)</f>
        <v>0</v>
      </c>
      <c r="I35" s="13">
        <f>IFERROR(VLOOKUP($G35,'Visu totale'!$D$3:$DH$129,I$1,0),0)</f>
        <v>0</v>
      </c>
      <c r="J35" s="13">
        <f>IFERROR(VLOOKUP($G35,'Visu totale'!$D$3:$DH$129,J$1,0),0)</f>
        <v>0</v>
      </c>
      <c r="K35" s="13">
        <f>IFERROR(VLOOKUP($G35,'Visu totale'!$D$3:$DH$129,K$1,0),0)</f>
        <v>0</v>
      </c>
      <c r="L35" s="13">
        <f>IFERROR(VLOOKUP($G35,'Visu totale'!$D$3:$DH$129,L$1,0),0)</f>
        <v>0</v>
      </c>
      <c r="M35" s="13">
        <f>IFERROR(VLOOKUP($G35,'Visu totale'!$D$3:$DH$129,M$1,0),0)</f>
        <v>0</v>
      </c>
      <c r="N35" s="13">
        <f>IFERROR(VLOOKUP($G35,'Visu totale'!$D$3:$DH$129,N$1,0),0)</f>
        <v>0</v>
      </c>
      <c r="O35" s="13">
        <f>IFERROR(VLOOKUP($G35,'Visu totale'!$D$3:$DH$129,O$1,0),0)</f>
        <v>0</v>
      </c>
      <c r="P35" s="13">
        <f>IFERROR(VLOOKUP($G35,'Visu totale'!$D$3:$DH$129,P$1,0),0)</f>
        <v>0</v>
      </c>
      <c r="Q35" s="13">
        <f>IFERROR(VLOOKUP($G35,'Visu totale'!$D$3:$DH$129,Q$1,0),0)</f>
        <v>0</v>
      </c>
      <c r="R35" s="13">
        <f>IFERROR(VLOOKUP($G35,'Visu totale'!$D$3:$DH$129,R$1,0),0)</f>
        <v>0</v>
      </c>
      <c r="S35" s="15">
        <f>IFERROR(VLOOKUP($G35,'Visu totale'!$D$3:$DH$129,S$1,0),0)</f>
        <v>0</v>
      </c>
      <c r="T35" s="14">
        <f>IFERROR(VLOOKUP($G35,'Visu totale'!$D$3:$DH$129,T$1,0),0)</f>
        <v>0</v>
      </c>
      <c r="U35" s="13">
        <f>IFERROR(VLOOKUP($G35,'Visu totale'!$D$3:$DH$129,U$1,0),0)</f>
        <v>0</v>
      </c>
      <c r="V35" s="13">
        <f>IFERROR(VLOOKUP($G35,'Visu totale'!$D$3:$DH$129,V$1,0),0)</f>
        <v>0</v>
      </c>
      <c r="W35" s="13">
        <f>IFERROR(VLOOKUP($G35,'Visu totale'!$D$3:$DH$129,W$1,0),0)</f>
        <v>0</v>
      </c>
      <c r="X35" s="13">
        <f>IFERROR(VLOOKUP($G35,'Visu totale'!$D$3:$DH$129,X$1,0),0)</f>
        <v>0</v>
      </c>
      <c r="Y35" s="13">
        <f>IFERROR(VLOOKUP($G35,'Visu totale'!$D$3:$DH$129,Y$1,0),0)</f>
        <v>0</v>
      </c>
      <c r="Z35" s="13">
        <f>IFERROR(VLOOKUP($G35,'Visu totale'!$D$3:$DH$129,Z$1,0),0)</f>
        <v>0</v>
      </c>
      <c r="AA35" s="13">
        <f>IFERROR(VLOOKUP($G35,'Visu totale'!$D$3:$DH$129,AA$1,0),0)</f>
        <v>0</v>
      </c>
      <c r="AB35" s="13">
        <f>IFERROR(VLOOKUP($G35,'Visu totale'!$D$3:$DH$129,AB$1,0),0)</f>
        <v>0</v>
      </c>
      <c r="AC35" s="13">
        <f>IFERROR(VLOOKUP($G35,'Visu totale'!$D$3:$DH$129,AC$1,0),0)</f>
        <v>0</v>
      </c>
      <c r="AD35" s="13">
        <f>IFERROR(VLOOKUP($G35,'Visu totale'!$D$3:$DH$129,AD$1,0),0)</f>
        <v>0</v>
      </c>
      <c r="AE35" s="15">
        <f>IFERROR(VLOOKUP($G35,'Visu totale'!$D$3:$DH$129,AE$1,0),0)</f>
        <v>0</v>
      </c>
      <c r="AF35" s="14">
        <f>IFERROR(VLOOKUP($G35,'Visu totale'!$D$3:$DH$129,AF$1,0),0)</f>
        <v>0</v>
      </c>
      <c r="AG35" s="13">
        <f>IFERROR(VLOOKUP($G35,'Visu totale'!$D$3:$DH$129,AG$1,0),0)</f>
        <v>0</v>
      </c>
      <c r="AH35" s="13">
        <f>IFERROR(VLOOKUP($G35,'Visu totale'!$D$3:$DH$129,AH$1,0),0)</f>
        <v>0</v>
      </c>
      <c r="AI35" s="13">
        <f>IFERROR(VLOOKUP($G35,'Visu totale'!$D$3:$DH$129,AI$1,0),0)</f>
        <v>0</v>
      </c>
      <c r="AJ35" s="13">
        <f>IFERROR(VLOOKUP($G35,'Visu totale'!$D$3:$DH$129,AJ$1,0),0)</f>
        <v>0</v>
      </c>
      <c r="AK35" s="13">
        <f>IFERROR(VLOOKUP($G35,'Visu totale'!$D$3:$DH$129,AK$1,0),0)</f>
        <v>0</v>
      </c>
      <c r="AL35" s="13">
        <f>IFERROR(VLOOKUP($G35,'Visu totale'!$D$3:$DH$129,AL$1,0),0)</f>
        <v>0</v>
      </c>
      <c r="AM35" s="13">
        <f>IFERROR(VLOOKUP($G35,'Visu totale'!$D$3:$DH$129,AM$1,0),0)</f>
        <v>0</v>
      </c>
      <c r="AN35" s="13">
        <f>IFERROR(VLOOKUP($G35,'Visu totale'!$D$3:$DH$129,AN$1,0),0)</f>
        <v>0</v>
      </c>
      <c r="AO35" s="13">
        <f>IFERROR(VLOOKUP($G35,'Visu totale'!$D$3:$DH$129,AO$1,0),0)</f>
        <v>0</v>
      </c>
      <c r="AP35" s="13">
        <f>IFERROR(VLOOKUP($G35,'Visu totale'!$D$3:$DH$129,AP$1,0),0)</f>
        <v>0</v>
      </c>
      <c r="AQ35" s="15">
        <f>IFERROR(VLOOKUP($G35,'Visu totale'!$D$3:$DH$129,AQ$1,0),0)</f>
        <v>0</v>
      </c>
      <c r="AR35" s="14">
        <f>IFERROR(VLOOKUP($G35,'Visu totale'!$D$3:$DH$129,AR$1,0),0)</f>
        <v>0</v>
      </c>
      <c r="AS35" s="13">
        <f>IFERROR(VLOOKUP($G35,'Visu totale'!$D$3:$DH$129,AS$1,0),0)</f>
        <v>0</v>
      </c>
      <c r="AT35" s="13">
        <f>IFERROR(VLOOKUP($G35,'Visu totale'!$D$3:$DH$129,AT$1,0),0)</f>
        <v>0</v>
      </c>
      <c r="AU35" s="13">
        <f>IFERROR(VLOOKUP($G35,'Visu totale'!$D$3:$DH$129,AU$1,0),0)</f>
        <v>0</v>
      </c>
      <c r="AV35" s="13">
        <f>IFERROR(VLOOKUP($G35,'Visu totale'!$D$3:$DH$129,AV$1,0),0)</f>
        <v>0</v>
      </c>
      <c r="AW35" s="13">
        <f>IFERROR(VLOOKUP($G35,'Visu totale'!$D$3:$DH$129,AW$1,0),0)</f>
        <v>0</v>
      </c>
      <c r="AX35" s="13">
        <f>IFERROR(VLOOKUP($G35,'Visu totale'!$D$3:$DH$129,AX$1,0),0)</f>
        <v>0</v>
      </c>
      <c r="AY35" s="13">
        <f>IFERROR(VLOOKUP($G35,'Visu totale'!$D$3:$DH$129,AY$1,0),0)</f>
        <v>0</v>
      </c>
      <c r="AZ35" s="13">
        <f>IFERROR(VLOOKUP($G35,'Visu totale'!$D$3:$DH$129,AZ$1,0),0)</f>
        <v>0</v>
      </c>
      <c r="BA35" s="13">
        <f>IFERROR(VLOOKUP($G35,'Visu totale'!$D$3:$DH$129,BA$1,0),0)</f>
        <v>0</v>
      </c>
      <c r="BB35" s="13">
        <f>IFERROR(VLOOKUP($G35,'Visu totale'!$D$3:$DH$129,BB$1,0),0)</f>
        <v>0</v>
      </c>
      <c r="BC35" s="15">
        <f>IFERROR(VLOOKUP($G35,'Visu totale'!$D$3:$DH$129,BC$1,0),0)</f>
        <v>0</v>
      </c>
      <c r="BD35" s="14">
        <f>IFERROR(VLOOKUP($G35,'Visu totale'!$D$3:$DH$129,BD$1,0),0)</f>
        <v>0</v>
      </c>
      <c r="BE35" s="13">
        <f>IFERROR(VLOOKUP($G35,'Visu totale'!$D$3:$DH$129,BE$1,0),0)</f>
        <v>0</v>
      </c>
      <c r="BF35" s="13">
        <f>IFERROR(VLOOKUP($G35,'Visu totale'!$D$3:$DH$129,BF$1,0),0)</f>
        <v>0</v>
      </c>
      <c r="BG35" s="13">
        <f>IFERROR(VLOOKUP($G35,'Visu totale'!$D$3:$DH$129,BG$1,0),0)</f>
        <v>0</v>
      </c>
      <c r="BH35" s="13">
        <f>IFERROR(VLOOKUP($G35,'Visu totale'!$D$3:$DH$129,BH$1,0),0)</f>
        <v>0</v>
      </c>
      <c r="BI35" s="13">
        <f>IFERROR(VLOOKUP($G35,'Visu totale'!$D$3:$DH$129,BI$1,0),0)</f>
        <v>0</v>
      </c>
      <c r="BJ35" s="13">
        <f>IFERROR(VLOOKUP($G35,'Visu totale'!$D$3:$DH$129,BJ$1,0),0)</f>
        <v>0</v>
      </c>
      <c r="BK35" s="13">
        <f>IFERROR(VLOOKUP($G35,'Visu totale'!$D$3:$DH$129,BK$1,0),0)</f>
        <v>0</v>
      </c>
      <c r="BL35" s="13">
        <f>IFERROR(VLOOKUP($G35,'Visu totale'!$D$3:$DH$129,BL$1,0),0)</f>
        <v>0</v>
      </c>
      <c r="BM35" s="13">
        <f>IFERROR(VLOOKUP($G35,'Visu totale'!$D$3:$DH$129,BM$1,0),0)</f>
        <v>0</v>
      </c>
      <c r="BN35" s="13">
        <f>IFERROR(VLOOKUP($G35,'Visu totale'!$D$3:$DH$129,BN$1,0),0)</f>
        <v>0</v>
      </c>
      <c r="BO35" s="15">
        <f>IFERROR(VLOOKUP($G35,'Visu totale'!$D$3:$DH$129,BO$1,0),0)</f>
        <v>0</v>
      </c>
      <c r="BP35" s="14">
        <f>IFERROR(VLOOKUP($G35,'Visu totale'!$D$3:$DH$129,BP$1,0),0)</f>
        <v>0</v>
      </c>
      <c r="BQ35" s="13">
        <f>IFERROR(VLOOKUP($G35,'Visu totale'!$D$3:$DH$129,BQ$1,0),0)</f>
        <v>0</v>
      </c>
      <c r="BR35" s="13">
        <f>IFERROR(VLOOKUP($G35,'Visu totale'!$D$3:$DH$129,BR$1,0),0)</f>
        <v>0</v>
      </c>
      <c r="BS35" s="13">
        <f>IFERROR(VLOOKUP($G35,'Visu totale'!$D$3:$DH$129,BS$1,0),0)</f>
        <v>0</v>
      </c>
      <c r="BT35" s="13">
        <f>IFERROR(VLOOKUP($G35,'Visu totale'!$D$3:$DH$129,BT$1,0),0)</f>
        <v>0</v>
      </c>
      <c r="BU35" s="13">
        <f>IFERROR(VLOOKUP($G35,'Visu totale'!$D$3:$DH$129,BU$1,0),0)</f>
        <v>0</v>
      </c>
      <c r="BV35" s="13">
        <f>IFERROR(VLOOKUP($G35,'Visu totale'!$D$3:$DH$129,BV$1,0),0)</f>
        <v>0</v>
      </c>
      <c r="BW35" s="13">
        <f>IFERROR(VLOOKUP($G35,'Visu totale'!$D$3:$DH$129,BW$1,0),0)</f>
        <v>0</v>
      </c>
      <c r="BX35" s="13">
        <f>IFERROR(VLOOKUP($G35,'Visu totale'!$D$3:$DH$129,BX$1,0),0)</f>
        <v>0</v>
      </c>
      <c r="BY35" s="13">
        <f>IFERROR(VLOOKUP($G35,'Visu totale'!$D$3:$DH$129,BY$1,0),0)</f>
        <v>0</v>
      </c>
      <c r="BZ35" s="13">
        <f>IFERROR(VLOOKUP($G35,'Visu totale'!$D$3:$DH$129,BZ$1,0),0)</f>
        <v>0</v>
      </c>
      <c r="CA35" s="15">
        <f>IFERROR(VLOOKUP($G35,'Visu totale'!$D$3:$DH$129,CA$1,0),0)</f>
        <v>0</v>
      </c>
      <c r="CB35" s="14">
        <f>IFERROR(VLOOKUP($G35,'Visu totale'!$D$3:$DH$129,CB$1,0),0)</f>
        <v>0</v>
      </c>
      <c r="CC35" s="13">
        <f>IFERROR(VLOOKUP($G35,'Visu totale'!$D$3:$DH$129,CC$1,0),0)</f>
        <v>0</v>
      </c>
      <c r="CD35" s="13">
        <f>IFERROR(VLOOKUP($G35,'Visu totale'!$D$3:$DH$129,CD$1,0),0)</f>
        <v>0</v>
      </c>
      <c r="CE35" s="13">
        <f>IFERROR(VLOOKUP($G35,'Visu totale'!$D$3:$DH$129,CE$1,0),0)</f>
        <v>0</v>
      </c>
      <c r="CF35" s="13">
        <f>IFERROR(VLOOKUP($G35,'Visu totale'!$D$3:$DH$129,CF$1,0),0)</f>
        <v>0</v>
      </c>
      <c r="CG35" s="13">
        <f>IFERROR(VLOOKUP($G35,'Visu totale'!$D$3:$DH$129,CG$1,0),0)</f>
        <v>0</v>
      </c>
      <c r="CH35" s="13">
        <f>IFERROR(VLOOKUP($G35,'Visu totale'!$D$3:$DH$129,CH$1,0),0)</f>
        <v>0</v>
      </c>
      <c r="CI35" s="13">
        <f>IFERROR(VLOOKUP($G35,'Visu totale'!$D$3:$DH$129,CI$1,0),0)</f>
        <v>0</v>
      </c>
      <c r="CJ35" s="13">
        <f>IFERROR(VLOOKUP($G35,'Visu totale'!$D$3:$DH$129,CJ$1,0),0)</f>
        <v>0</v>
      </c>
      <c r="CK35" s="13">
        <f>IFERROR(VLOOKUP($G35,'Visu totale'!$D$3:$DH$129,CK$1,0),0)</f>
        <v>0</v>
      </c>
      <c r="CL35" s="13">
        <f>IFERROR(VLOOKUP($G35,'Visu totale'!$D$3:$DH$129,CL$1,0),0)</f>
        <v>0</v>
      </c>
      <c r="CM35" s="15">
        <f>IFERROR(VLOOKUP($G35,'Visu totale'!$D$3:$DH$129,CM$1,0),0)</f>
        <v>0</v>
      </c>
      <c r="CN35" s="14">
        <f>IFERROR(VLOOKUP($G35,'Visu totale'!$D$3:$DH$129,CN$1,0),0)</f>
        <v>0</v>
      </c>
      <c r="CO35" s="13">
        <f>IFERROR(VLOOKUP($G35,'Visu totale'!$D$3:$DH$129,CO$1,0),0)</f>
        <v>0</v>
      </c>
      <c r="CP35" s="13">
        <f>IFERROR(VLOOKUP($G35,'Visu totale'!$D$3:$DH$129,CP$1,0),0)</f>
        <v>0</v>
      </c>
      <c r="CQ35" s="13">
        <f>IFERROR(VLOOKUP($G35,'Visu totale'!$D$3:$DH$129,CQ$1,0),0)</f>
        <v>0</v>
      </c>
      <c r="CR35" s="13">
        <f>IFERROR(VLOOKUP($G35,'Visu totale'!$D$3:$DH$129,CR$1,0),0)</f>
        <v>0</v>
      </c>
      <c r="CS35" s="13">
        <f>IFERROR(VLOOKUP($G35,'Visu totale'!$D$3:$DH$129,CS$1,0),0)</f>
        <v>0</v>
      </c>
      <c r="CT35" s="13">
        <f>IFERROR(VLOOKUP($G35,'Visu totale'!$D$3:$DH$129,CT$1,0),0)</f>
        <v>0</v>
      </c>
      <c r="CU35" s="13">
        <f>IFERROR(VLOOKUP($G35,'Visu totale'!$D$3:$DH$129,CU$1,0),0)</f>
        <v>0</v>
      </c>
      <c r="CV35" s="13">
        <f>IFERROR(VLOOKUP($G35,'Visu totale'!$D$3:$DH$129,CV$1,0),0)</f>
        <v>0</v>
      </c>
      <c r="CW35" s="13">
        <f>IFERROR(VLOOKUP($G35,'Visu totale'!$D$3:$DH$129,CW$1,0),0)</f>
        <v>0</v>
      </c>
      <c r="CX35" s="13">
        <f>IFERROR(VLOOKUP($G35,'Visu totale'!$D$3:$DH$129,CX$1,0),0)</f>
        <v>0</v>
      </c>
      <c r="CY35" s="15">
        <f>IFERROR(VLOOKUP($G35,'Visu totale'!$D$3:$DH$129,CY$1,0),0)</f>
        <v>0</v>
      </c>
      <c r="CZ35" s="14">
        <f>IFERROR(VLOOKUP($G35,'Visu totale'!$D$3:$DH$129,CZ$1,0),0)</f>
        <v>0</v>
      </c>
      <c r="DA35" s="13">
        <f>IFERROR(VLOOKUP($G35,'Visu totale'!$D$3:$DH$129,DA$1,0),0)</f>
        <v>0</v>
      </c>
      <c r="DB35" s="13">
        <f>IFERROR(VLOOKUP($G35,'Visu totale'!$D$3:$DH$129,DB$1,0),0)</f>
        <v>0</v>
      </c>
      <c r="DC35" s="13">
        <f>IFERROR(VLOOKUP($G35,'Visu totale'!$D$3:$DH$129,DC$1,0),0)</f>
        <v>0</v>
      </c>
      <c r="DD35" s="13">
        <f>IFERROR(VLOOKUP($G35,'Visu totale'!$D$3:$DH$129,DD$1,0),0)</f>
        <v>0</v>
      </c>
      <c r="DE35" s="13">
        <f>IFERROR(VLOOKUP($G35,'Visu totale'!$D$3:$DH$129,DE$1,0),0)</f>
        <v>0</v>
      </c>
      <c r="DF35" s="13">
        <f>IFERROR(VLOOKUP($G35,'Visu totale'!$D$3:$DH$129,DF$1,0),0)</f>
        <v>0</v>
      </c>
      <c r="DG35" s="13">
        <f>IFERROR(VLOOKUP($G35,'Visu totale'!$D$3:$DH$129,DG$1,0),0)</f>
        <v>0</v>
      </c>
      <c r="DH35" s="13">
        <f>IFERROR(VLOOKUP($G35,'Visu totale'!$D$3:$DH$129,DH$1,0),0)</f>
        <v>0</v>
      </c>
      <c r="DI35" s="13">
        <f>IFERROR(VLOOKUP($G35,'Visu totale'!$D$3:$DH$129,DI$1,0),0)</f>
        <v>0</v>
      </c>
      <c r="DJ35" s="13">
        <f>IFERROR(VLOOKUP($G35,'Visu totale'!$D$3:$DH$129,DJ$1,0),0)</f>
        <v>0</v>
      </c>
      <c r="DK35" s="15">
        <f>IFERROR(VLOOKUP($G35,'Visu totale'!$D$3:$DH$129,DK$1,0),0)</f>
        <v>0</v>
      </c>
    </row>
    <row r="36" spans="1:115" x14ac:dyDescent="0.25">
      <c r="A36" s="13"/>
      <c r="B36" s="13"/>
      <c r="C36" s="13"/>
      <c r="D36" s="16"/>
      <c r="E36" s="13"/>
      <c r="F36" s="13"/>
      <c r="G36" s="17" t="s">
        <v>38</v>
      </c>
      <c r="H36" s="14">
        <f>IFERROR(VLOOKUP($G36,'Visu totale'!$D$3:$DH$129,H$1,0),0)</f>
        <v>0</v>
      </c>
      <c r="I36" s="13">
        <f>IFERROR(VLOOKUP($G36,'Visu totale'!$D$3:$DH$129,I$1,0),0)</f>
        <v>0</v>
      </c>
      <c r="J36" s="13">
        <f>IFERROR(VLOOKUP($G36,'Visu totale'!$D$3:$DH$129,J$1,0),0)</f>
        <v>0</v>
      </c>
      <c r="K36" s="13">
        <f>IFERROR(VLOOKUP($G36,'Visu totale'!$D$3:$DH$129,K$1,0),0)</f>
        <v>0</v>
      </c>
      <c r="L36" s="13">
        <f>IFERROR(VLOOKUP($G36,'Visu totale'!$D$3:$DH$129,L$1,0),0)</f>
        <v>0</v>
      </c>
      <c r="M36" s="13">
        <f>IFERROR(VLOOKUP($G36,'Visu totale'!$D$3:$DH$129,M$1,0),0)</f>
        <v>0</v>
      </c>
      <c r="N36" s="13">
        <f>IFERROR(VLOOKUP($G36,'Visu totale'!$D$3:$DH$129,N$1,0),0)</f>
        <v>0</v>
      </c>
      <c r="O36" s="13">
        <f>IFERROR(VLOOKUP($G36,'Visu totale'!$D$3:$DH$129,O$1,0),0)</f>
        <v>0</v>
      </c>
      <c r="P36" s="13">
        <f>IFERROR(VLOOKUP($G36,'Visu totale'!$D$3:$DH$129,P$1,0),0)</f>
        <v>0</v>
      </c>
      <c r="Q36" s="13">
        <f>IFERROR(VLOOKUP($G36,'Visu totale'!$D$3:$DH$129,Q$1,0),0)</f>
        <v>0</v>
      </c>
      <c r="R36" s="13">
        <f>IFERROR(VLOOKUP($G36,'Visu totale'!$D$3:$DH$129,R$1,0),0)</f>
        <v>0</v>
      </c>
      <c r="S36" s="15">
        <f>IFERROR(VLOOKUP($G36,'Visu totale'!$D$3:$DH$129,S$1,0),0)</f>
        <v>0</v>
      </c>
      <c r="T36" s="14">
        <f>IFERROR(VLOOKUP($G36,'Visu totale'!$D$3:$DH$129,T$1,0),0)</f>
        <v>0</v>
      </c>
      <c r="U36" s="13">
        <f>IFERROR(VLOOKUP($G36,'Visu totale'!$D$3:$DH$129,U$1,0),0)</f>
        <v>0</v>
      </c>
      <c r="V36" s="13">
        <f>IFERROR(VLOOKUP($G36,'Visu totale'!$D$3:$DH$129,V$1,0),0)</f>
        <v>0</v>
      </c>
      <c r="W36" s="13">
        <f>IFERROR(VLOOKUP($G36,'Visu totale'!$D$3:$DH$129,W$1,0),0)</f>
        <v>0</v>
      </c>
      <c r="X36" s="13">
        <f>IFERROR(VLOOKUP($G36,'Visu totale'!$D$3:$DH$129,X$1,0),0)</f>
        <v>0</v>
      </c>
      <c r="Y36" s="13">
        <f>IFERROR(VLOOKUP($G36,'Visu totale'!$D$3:$DH$129,Y$1,0),0)</f>
        <v>0</v>
      </c>
      <c r="Z36" s="13">
        <f>IFERROR(VLOOKUP($G36,'Visu totale'!$D$3:$DH$129,Z$1,0),0)</f>
        <v>0</v>
      </c>
      <c r="AA36" s="13">
        <f>IFERROR(VLOOKUP($G36,'Visu totale'!$D$3:$DH$129,AA$1,0),0)</f>
        <v>0</v>
      </c>
      <c r="AB36" s="13">
        <f>IFERROR(VLOOKUP($G36,'Visu totale'!$D$3:$DH$129,AB$1,0),0)</f>
        <v>0</v>
      </c>
      <c r="AC36" s="13">
        <f>IFERROR(VLOOKUP($G36,'Visu totale'!$D$3:$DH$129,AC$1,0),0)</f>
        <v>0</v>
      </c>
      <c r="AD36" s="13">
        <f>IFERROR(VLOOKUP($G36,'Visu totale'!$D$3:$DH$129,AD$1,0),0)</f>
        <v>0</v>
      </c>
      <c r="AE36" s="15">
        <f>IFERROR(VLOOKUP($G36,'Visu totale'!$D$3:$DH$129,AE$1,0),0)</f>
        <v>0</v>
      </c>
      <c r="AF36" s="14">
        <f>IFERROR(VLOOKUP($G36,'Visu totale'!$D$3:$DH$129,AF$1,0),0)</f>
        <v>0</v>
      </c>
      <c r="AG36" s="13">
        <f>IFERROR(VLOOKUP($G36,'Visu totale'!$D$3:$DH$129,AG$1,0),0)</f>
        <v>0</v>
      </c>
      <c r="AH36" s="13">
        <f>IFERROR(VLOOKUP($G36,'Visu totale'!$D$3:$DH$129,AH$1,0),0)</f>
        <v>0</v>
      </c>
      <c r="AI36" s="13">
        <f>IFERROR(VLOOKUP($G36,'Visu totale'!$D$3:$DH$129,AI$1,0),0)</f>
        <v>0</v>
      </c>
      <c r="AJ36" s="13">
        <f>IFERROR(VLOOKUP($G36,'Visu totale'!$D$3:$DH$129,AJ$1,0),0)</f>
        <v>0</v>
      </c>
      <c r="AK36" s="13">
        <f>IFERROR(VLOOKUP($G36,'Visu totale'!$D$3:$DH$129,AK$1,0),0)</f>
        <v>0</v>
      </c>
      <c r="AL36" s="13">
        <f>IFERROR(VLOOKUP($G36,'Visu totale'!$D$3:$DH$129,AL$1,0),0)</f>
        <v>0</v>
      </c>
      <c r="AM36" s="13">
        <f>IFERROR(VLOOKUP($G36,'Visu totale'!$D$3:$DH$129,AM$1,0),0)</f>
        <v>0</v>
      </c>
      <c r="AN36" s="13">
        <f>IFERROR(VLOOKUP($G36,'Visu totale'!$D$3:$DH$129,AN$1,0),0)</f>
        <v>0</v>
      </c>
      <c r="AO36" s="13">
        <f>IFERROR(VLOOKUP($G36,'Visu totale'!$D$3:$DH$129,AO$1,0),0)</f>
        <v>0</v>
      </c>
      <c r="AP36" s="13">
        <f>IFERROR(VLOOKUP($G36,'Visu totale'!$D$3:$DH$129,AP$1,0),0)</f>
        <v>0</v>
      </c>
      <c r="AQ36" s="15">
        <f>IFERROR(VLOOKUP($G36,'Visu totale'!$D$3:$DH$129,AQ$1,0),0)</f>
        <v>0</v>
      </c>
      <c r="AR36" s="14">
        <f>IFERROR(VLOOKUP($G36,'Visu totale'!$D$3:$DH$129,AR$1,0),0)</f>
        <v>0</v>
      </c>
      <c r="AS36" s="13">
        <f>IFERROR(VLOOKUP($G36,'Visu totale'!$D$3:$DH$129,AS$1,0),0)</f>
        <v>0</v>
      </c>
      <c r="AT36" s="13">
        <f>IFERROR(VLOOKUP($G36,'Visu totale'!$D$3:$DH$129,AT$1,0),0)</f>
        <v>0</v>
      </c>
      <c r="AU36" s="13">
        <f>IFERROR(VLOOKUP($G36,'Visu totale'!$D$3:$DH$129,AU$1,0),0)</f>
        <v>0</v>
      </c>
      <c r="AV36" s="13">
        <f>IFERROR(VLOOKUP($G36,'Visu totale'!$D$3:$DH$129,AV$1,0),0)</f>
        <v>0</v>
      </c>
      <c r="AW36" s="13">
        <f>IFERROR(VLOOKUP($G36,'Visu totale'!$D$3:$DH$129,AW$1,0),0)</f>
        <v>0</v>
      </c>
      <c r="AX36" s="13">
        <f>IFERROR(VLOOKUP($G36,'Visu totale'!$D$3:$DH$129,AX$1,0),0)</f>
        <v>0</v>
      </c>
      <c r="AY36" s="13">
        <f>IFERROR(VLOOKUP($G36,'Visu totale'!$D$3:$DH$129,AY$1,0),0)</f>
        <v>0</v>
      </c>
      <c r="AZ36" s="13">
        <f>IFERROR(VLOOKUP($G36,'Visu totale'!$D$3:$DH$129,AZ$1,0),0)</f>
        <v>0</v>
      </c>
      <c r="BA36" s="13">
        <f>IFERROR(VLOOKUP($G36,'Visu totale'!$D$3:$DH$129,BA$1,0),0)</f>
        <v>0</v>
      </c>
      <c r="BB36" s="13">
        <f>IFERROR(VLOOKUP($G36,'Visu totale'!$D$3:$DH$129,BB$1,0),0)</f>
        <v>0</v>
      </c>
      <c r="BC36" s="15">
        <f>IFERROR(VLOOKUP($G36,'Visu totale'!$D$3:$DH$129,BC$1,0),0)</f>
        <v>0</v>
      </c>
      <c r="BD36" s="14">
        <f>IFERROR(VLOOKUP($G36,'Visu totale'!$D$3:$DH$129,BD$1,0),0)</f>
        <v>0</v>
      </c>
      <c r="BE36" s="13">
        <f>IFERROR(VLOOKUP($G36,'Visu totale'!$D$3:$DH$129,BE$1,0),0)</f>
        <v>0</v>
      </c>
      <c r="BF36" s="13">
        <f>IFERROR(VLOOKUP($G36,'Visu totale'!$D$3:$DH$129,BF$1,0),0)</f>
        <v>0</v>
      </c>
      <c r="BG36" s="13">
        <f>IFERROR(VLOOKUP($G36,'Visu totale'!$D$3:$DH$129,BG$1,0),0)</f>
        <v>0</v>
      </c>
      <c r="BH36" s="13">
        <f>IFERROR(VLOOKUP($G36,'Visu totale'!$D$3:$DH$129,BH$1,0),0)</f>
        <v>0</v>
      </c>
      <c r="BI36" s="13">
        <f>IFERROR(VLOOKUP($G36,'Visu totale'!$D$3:$DH$129,BI$1,0),0)</f>
        <v>0</v>
      </c>
      <c r="BJ36" s="13">
        <f>IFERROR(VLOOKUP($G36,'Visu totale'!$D$3:$DH$129,BJ$1,0),0)</f>
        <v>0</v>
      </c>
      <c r="BK36" s="13">
        <f>IFERROR(VLOOKUP($G36,'Visu totale'!$D$3:$DH$129,BK$1,0),0)</f>
        <v>0</v>
      </c>
      <c r="BL36" s="13">
        <f>IFERROR(VLOOKUP($G36,'Visu totale'!$D$3:$DH$129,BL$1,0),0)</f>
        <v>0</v>
      </c>
      <c r="BM36" s="13">
        <f>IFERROR(VLOOKUP($G36,'Visu totale'!$D$3:$DH$129,BM$1,0),0)</f>
        <v>0</v>
      </c>
      <c r="BN36" s="13">
        <f>IFERROR(VLOOKUP($G36,'Visu totale'!$D$3:$DH$129,BN$1,0),0)</f>
        <v>0</v>
      </c>
      <c r="BO36" s="15">
        <f>IFERROR(VLOOKUP($G36,'Visu totale'!$D$3:$DH$129,BO$1,0),0)</f>
        <v>0</v>
      </c>
      <c r="BP36" s="14">
        <f>IFERROR(VLOOKUP($G36,'Visu totale'!$D$3:$DH$129,BP$1,0),0)</f>
        <v>0</v>
      </c>
      <c r="BQ36" s="13">
        <f>IFERROR(VLOOKUP($G36,'Visu totale'!$D$3:$DH$129,BQ$1,0),0)</f>
        <v>0</v>
      </c>
      <c r="BR36" s="13">
        <f>IFERROR(VLOOKUP($G36,'Visu totale'!$D$3:$DH$129,BR$1,0),0)</f>
        <v>0</v>
      </c>
      <c r="BS36" s="13">
        <f>IFERROR(VLOOKUP($G36,'Visu totale'!$D$3:$DH$129,BS$1,0),0)</f>
        <v>0</v>
      </c>
      <c r="BT36" s="13">
        <f>IFERROR(VLOOKUP($G36,'Visu totale'!$D$3:$DH$129,BT$1,0),0)</f>
        <v>0</v>
      </c>
      <c r="BU36" s="13">
        <f>IFERROR(VLOOKUP($G36,'Visu totale'!$D$3:$DH$129,BU$1,0),0)</f>
        <v>0</v>
      </c>
      <c r="BV36" s="13">
        <f>IFERROR(VLOOKUP($G36,'Visu totale'!$D$3:$DH$129,BV$1,0),0)</f>
        <v>0</v>
      </c>
      <c r="BW36" s="13">
        <f>IFERROR(VLOOKUP($G36,'Visu totale'!$D$3:$DH$129,BW$1,0),0)</f>
        <v>0</v>
      </c>
      <c r="BX36" s="13">
        <f>IFERROR(VLOOKUP($G36,'Visu totale'!$D$3:$DH$129,BX$1,0),0)</f>
        <v>0</v>
      </c>
      <c r="BY36" s="13">
        <f>IFERROR(VLOOKUP($G36,'Visu totale'!$D$3:$DH$129,BY$1,0),0)</f>
        <v>0</v>
      </c>
      <c r="BZ36" s="13">
        <f>IFERROR(VLOOKUP($G36,'Visu totale'!$D$3:$DH$129,BZ$1,0),0)</f>
        <v>0</v>
      </c>
      <c r="CA36" s="15">
        <f>IFERROR(VLOOKUP($G36,'Visu totale'!$D$3:$DH$129,CA$1,0),0)</f>
        <v>0</v>
      </c>
      <c r="CB36" s="14">
        <f>IFERROR(VLOOKUP($G36,'Visu totale'!$D$3:$DH$129,CB$1,0),0)</f>
        <v>0</v>
      </c>
      <c r="CC36" s="13">
        <f>IFERROR(VLOOKUP($G36,'Visu totale'!$D$3:$DH$129,CC$1,0),0)</f>
        <v>0</v>
      </c>
      <c r="CD36" s="13">
        <f>IFERROR(VLOOKUP($G36,'Visu totale'!$D$3:$DH$129,CD$1,0),0)</f>
        <v>0</v>
      </c>
      <c r="CE36" s="13">
        <f>IFERROR(VLOOKUP($G36,'Visu totale'!$D$3:$DH$129,CE$1,0),0)</f>
        <v>0</v>
      </c>
      <c r="CF36" s="13">
        <f>IFERROR(VLOOKUP($G36,'Visu totale'!$D$3:$DH$129,CF$1,0),0)</f>
        <v>0</v>
      </c>
      <c r="CG36" s="13">
        <f>IFERROR(VLOOKUP($G36,'Visu totale'!$D$3:$DH$129,CG$1,0),0)</f>
        <v>0</v>
      </c>
      <c r="CH36" s="13">
        <f>IFERROR(VLOOKUP($G36,'Visu totale'!$D$3:$DH$129,CH$1,0),0)</f>
        <v>0</v>
      </c>
      <c r="CI36" s="13">
        <f>IFERROR(VLOOKUP($G36,'Visu totale'!$D$3:$DH$129,CI$1,0),0)</f>
        <v>0</v>
      </c>
      <c r="CJ36" s="13">
        <f>IFERROR(VLOOKUP($G36,'Visu totale'!$D$3:$DH$129,CJ$1,0),0)</f>
        <v>0</v>
      </c>
      <c r="CK36" s="13">
        <f>IFERROR(VLOOKUP($G36,'Visu totale'!$D$3:$DH$129,CK$1,0),0)</f>
        <v>0</v>
      </c>
      <c r="CL36" s="13">
        <f>IFERROR(VLOOKUP($G36,'Visu totale'!$D$3:$DH$129,CL$1,0),0)</f>
        <v>0</v>
      </c>
      <c r="CM36" s="15">
        <f>IFERROR(VLOOKUP($G36,'Visu totale'!$D$3:$DH$129,CM$1,0),0)</f>
        <v>0</v>
      </c>
      <c r="CN36" s="14">
        <f>IFERROR(VLOOKUP($G36,'Visu totale'!$D$3:$DH$129,CN$1,0),0)</f>
        <v>0</v>
      </c>
      <c r="CO36" s="13">
        <f>IFERROR(VLOOKUP($G36,'Visu totale'!$D$3:$DH$129,CO$1,0),0)</f>
        <v>0</v>
      </c>
      <c r="CP36" s="13">
        <f>IFERROR(VLOOKUP($G36,'Visu totale'!$D$3:$DH$129,CP$1,0),0)</f>
        <v>0</v>
      </c>
      <c r="CQ36" s="13">
        <f>IFERROR(VLOOKUP($G36,'Visu totale'!$D$3:$DH$129,CQ$1,0),0)</f>
        <v>0</v>
      </c>
      <c r="CR36" s="13">
        <f>IFERROR(VLOOKUP($G36,'Visu totale'!$D$3:$DH$129,CR$1,0),0)</f>
        <v>0</v>
      </c>
      <c r="CS36" s="13">
        <f>IFERROR(VLOOKUP($G36,'Visu totale'!$D$3:$DH$129,CS$1,0),0)</f>
        <v>0</v>
      </c>
      <c r="CT36" s="13">
        <f>IFERROR(VLOOKUP($G36,'Visu totale'!$D$3:$DH$129,CT$1,0),0)</f>
        <v>0</v>
      </c>
      <c r="CU36" s="13">
        <f>IFERROR(VLOOKUP($G36,'Visu totale'!$D$3:$DH$129,CU$1,0),0)</f>
        <v>0</v>
      </c>
      <c r="CV36" s="13">
        <f>IFERROR(VLOOKUP($G36,'Visu totale'!$D$3:$DH$129,CV$1,0),0)</f>
        <v>0</v>
      </c>
      <c r="CW36" s="13">
        <f>IFERROR(VLOOKUP($G36,'Visu totale'!$D$3:$DH$129,CW$1,0),0)</f>
        <v>0</v>
      </c>
      <c r="CX36" s="13">
        <f>IFERROR(VLOOKUP($G36,'Visu totale'!$D$3:$DH$129,CX$1,0),0)</f>
        <v>0</v>
      </c>
      <c r="CY36" s="15">
        <f>IFERROR(VLOOKUP($G36,'Visu totale'!$D$3:$DH$129,CY$1,0),0)</f>
        <v>0</v>
      </c>
      <c r="CZ36" s="14">
        <f>IFERROR(VLOOKUP($G36,'Visu totale'!$D$3:$DH$129,CZ$1,0),0)</f>
        <v>0</v>
      </c>
      <c r="DA36" s="13">
        <f>IFERROR(VLOOKUP($G36,'Visu totale'!$D$3:$DH$129,DA$1,0),0)</f>
        <v>0</v>
      </c>
      <c r="DB36" s="13">
        <f>IFERROR(VLOOKUP($G36,'Visu totale'!$D$3:$DH$129,DB$1,0),0)</f>
        <v>0</v>
      </c>
      <c r="DC36" s="13">
        <f>IFERROR(VLOOKUP($G36,'Visu totale'!$D$3:$DH$129,DC$1,0),0)</f>
        <v>0</v>
      </c>
      <c r="DD36" s="13">
        <f>IFERROR(VLOOKUP($G36,'Visu totale'!$D$3:$DH$129,DD$1,0),0)</f>
        <v>0</v>
      </c>
      <c r="DE36" s="13">
        <f>IFERROR(VLOOKUP($G36,'Visu totale'!$D$3:$DH$129,DE$1,0),0)</f>
        <v>0</v>
      </c>
      <c r="DF36" s="13">
        <f>IFERROR(VLOOKUP($G36,'Visu totale'!$D$3:$DH$129,DF$1,0),0)</f>
        <v>0</v>
      </c>
      <c r="DG36" s="13">
        <f>IFERROR(VLOOKUP($G36,'Visu totale'!$D$3:$DH$129,DG$1,0),0)</f>
        <v>0</v>
      </c>
      <c r="DH36" s="13">
        <f>IFERROR(VLOOKUP($G36,'Visu totale'!$D$3:$DH$129,DH$1,0),0)</f>
        <v>0</v>
      </c>
      <c r="DI36" s="13">
        <f>IFERROR(VLOOKUP($G36,'Visu totale'!$D$3:$DH$129,DI$1,0),0)</f>
        <v>0</v>
      </c>
      <c r="DJ36" s="13">
        <f>IFERROR(VLOOKUP($G36,'Visu totale'!$D$3:$DH$129,DJ$1,0),0)</f>
        <v>0</v>
      </c>
      <c r="DK36" s="15">
        <f>IFERROR(VLOOKUP($G36,'Visu totale'!$D$3:$DH$129,DK$1,0),0)</f>
        <v>0</v>
      </c>
    </row>
    <row r="37" spans="1:115" x14ac:dyDescent="0.25">
      <c r="A37" s="13"/>
      <c r="B37" s="13"/>
      <c r="C37" s="13"/>
      <c r="D37" s="16"/>
      <c r="E37" s="13"/>
      <c r="F37" s="13"/>
      <c r="G37" s="17" t="s">
        <v>39</v>
      </c>
      <c r="H37" s="14">
        <f>IFERROR(VLOOKUP($G37,'Visu totale'!$D$3:$DH$129,H$1,0),0)</f>
        <v>0</v>
      </c>
      <c r="I37" s="13">
        <f>IFERROR(VLOOKUP($G37,'Visu totale'!$D$3:$DH$129,I$1,0),0)</f>
        <v>0</v>
      </c>
      <c r="J37" s="13">
        <f>IFERROR(VLOOKUP($G37,'Visu totale'!$D$3:$DH$129,J$1,0),0)</f>
        <v>0</v>
      </c>
      <c r="K37" s="13">
        <f>IFERROR(VLOOKUP($G37,'Visu totale'!$D$3:$DH$129,K$1,0),0)</f>
        <v>0</v>
      </c>
      <c r="L37" s="13">
        <f>IFERROR(VLOOKUP($G37,'Visu totale'!$D$3:$DH$129,L$1,0),0)</f>
        <v>0</v>
      </c>
      <c r="M37" s="13">
        <f>IFERROR(VLOOKUP($G37,'Visu totale'!$D$3:$DH$129,M$1,0),0)</f>
        <v>0</v>
      </c>
      <c r="N37" s="13">
        <f>IFERROR(VLOOKUP($G37,'Visu totale'!$D$3:$DH$129,N$1,0),0)</f>
        <v>0</v>
      </c>
      <c r="O37" s="13">
        <f>IFERROR(VLOOKUP($G37,'Visu totale'!$D$3:$DH$129,O$1,0),0)</f>
        <v>0</v>
      </c>
      <c r="P37" s="13">
        <f>IFERROR(VLOOKUP($G37,'Visu totale'!$D$3:$DH$129,P$1,0),0)</f>
        <v>0</v>
      </c>
      <c r="Q37" s="13">
        <f>IFERROR(VLOOKUP($G37,'Visu totale'!$D$3:$DH$129,Q$1,0),0)</f>
        <v>0</v>
      </c>
      <c r="R37" s="13">
        <f>IFERROR(VLOOKUP($G37,'Visu totale'!$D$3:$DH$129,R$1,0),0)</f>
        <v>0</v>
      </c>
      <c r="S37" s="15">
        <f>IFERROR(VLOOKUP($G37,'Visu totale'!$D$3:$DH$129,S$1,0),0)</f>
        <v>0</v>
      </c>
      <c r="T37" s="14">
        <f>IFERROR(VLOOKUP($G37,'Visu totale'!$D$3:$DH$129,T$1,0),0)</f>
        <v>0</v>
      </c>
      <c r="U37" s="13">
        <f>IFERROR(VLOOKUP($G37,'Visu totale'!$D$3:$DH$129,U$1,0),0)</f>
        <v>0</v>
      </c>
      <c r="V37" s="13">
        <f>IFERROR(VLOOKUP($G37,'Visu totale'!$D$3:$DH$129,V$1,0),0)</f>
        <v>0</v>
      </c>
      <c r="W37" s="13">
        <f>IFERROR(VLOOKUP($G37,'Visu totale'!$D$3:$DH$129,W$1,0),0)</f>
        <v>0</v>
      </c>
      <c r="X37" s="13">
        <f>IFERROR(VLOOKUP($G37,'Visu totale'!$D$3:$DH$129,X$1,0),0)</f>
        <v>0</v>
      </c>
      <c r="Y37" s="13">
        <f>IFERROR(VLOOKUP($G37,'Visu totale'!$D$3:$DH$129,Y$1,0),0)</f>
        <v>0</v>
      </c>
      <c r="Z37" s="13">
        <f>IFERROR(VLOOKUP($G37,'Visu totale'!$D$3:$DH$129,Z$1,0),0)</f>
        <v>0</v>
      </c>
      <c r="AA37" s="13">
        <f>IFERROR(VLOOKUP($G37,'Visu totale'!$D$3:$DH$129,AA$1,0),0)</f>
        <v>0</v>
      </c>
      <c r="AB37" s="13">
        <f>IFERROR(VLOOKUP($G37,'Visu totale'!$D$3:$DH$129,AB$1,0),0)</f>
        <v>0</v>
      </c>
      <c r="AC37" s="13">
        <f>IFERROR(VLOOKUP($G37,'Visu totale'!$D$3:$DH$129,AC$1,0),0)</f>
        <v>0</v>
      </c>
      <c r="AD37" s="13">
        <f>IFERROR(VLOOKUP($G37,'Visu totale'!$D$3:$DH$129,AD$1,0),0)</f>
        <v>0</v>
      </c>
      <c r="AE37" s="15">
        <f>IFERROR(VLOOKUP($G37,'Visu totale'!$D$3:$DH$129,AE$1,0),0)</f>
        <v>0</v>
      </c>
      <c r="AF37" s="14">
        <f>IFERROR(VLOOKUP($G37,'Visu totale'!$D$3:$DH$129,AF$1,0),0)</f>
        <v>0</v>
      </c>
      <c r="AG37" s="13">
        <f>IFERROR(VLOOKUP($G37,'Visu totale'!$D$3:$DH$129,AG$1,0),0)</f>
        <v>0</v>
      </c>
      <c r="AH37" s="13">
        <f>IFERROR(VLOOKUP($G37,'Visu totale'!$D$3:$DH$129,AH$1,0),0)</f>
        <v>0</v>
      </c>
      <c r="AI37" s="13">
        <f>IFERROR(VLOOKUP($G37,'Visu totale'!$D$3:$DH$129,AI$1,0),0)</f>
        <v>0</v>
      </c>
      <c r="AJ37" s="13">
        <f>IFERROR(VLOOKUP($G37,'Visu totale'!$D$3:$DH$129,AJ$1,0),0)</f>
        <v>0</v>
      </c>
      <c r="AK37" s="13">
        <f>IFERROR(VLOOKUP($G37,'Visu totale'!$D$3:$DH$129,AK$1,0),0)</f>
        <v>0</v>
      </c>
      <c r="AL37" s="13">
        <f>IFERROR(VLOOKUP($G37,'Visu totale'!$D$3:$DH$129,AL$1,0),0)</f>
        <v>0</v>
      </c>
      <c r="AM37" s="13">
        <f>IFERROR(VLOOKUP($G37,'Visu totale'!$D$3:$DH$129,AM$1,0),0)</f>
        <v>0</v>
      </c>
      <c r="AN37" s="13">
        <f>IFERROR(VLOOKUP($G37,'Visu totale'!$D$3:$DH$129,AN$1,0),0)</f>
        <v>0</v>
      </c>
      <c r="AO37" s="13">
        <f>IFERROR(VLOOKUP($G37,'Visu totale'!$D$3:$DH$129,AO$1,0),0)</f>
        <v>0</v>
      </c>
      <c r="AP37" s="13">
        <f>IFERROR(VLOOKUP($G37,'Visu totale'!$D$3:$DH$129,AP$1,0),0)</f>
        <v>0</v>
      </c>
      <c r="AQ37" s="15">
        <f>IFERROR(VLOOKUP($G37,'Visu totale'!$D$3:$DH$129,AQ$1,0),0)</f>
        <v>0</v>
      </c>
      <c r="AR37" s="14">
        <f>IFERROR(VLOOKUP($G37,'Visu totale'!$D$3:$DH$129,AR$1,0),0)</f>
        <v>0</v>
      </c>
      <c r="AS37" s="13">
        <f>IFERROR(VLOOKUP($G37,'Visu totale'!$D$3:$DH$129,AS$1,0),0)</f>
        <v>0</v>
      </c>
      <c r="AT37" s="13">
        <f>IFERROR(VLOOKUP($G37,'Visu totale'!$D$3:$DH$129,AT$1,0),0)</f>
        <v>0</v>
      </c>
      <c r="AU37" s="13">
        <f>IFERROR(VLOOKUP($G37,'Visu totale'!$D$3:$DH$129,AU$1,0),0)</f>
        <v>0</v>
      </c>
      <c r="AV37" s="13">
        <f>IFERROR(VLOOKUP($G37,'Visu totale'!$D$3:$DH$129,AV$1,0),0)</f>
        <v>0</v>
      </c>
      <c r="AW37" s="13">
        <f>IFERROR(VLOOKUP($G37,'Visu totale'!$D$3:$DH$129,AW$1,0),0)</f>
        <v>0</v>
      </c>
      <c r="AX37" s="13">
        <f>IFERROR(VLOOKUP($G37,'Visu totale'!$D$3:$DH$129,AX$1,0),0)</f>
        <v>0</v>
      </c>
      <c r="AY37" s="13">
        <f>IFERROR(VLOOKUP($G37,'Visu totale'!$D$3:$DH$129,AY$1,0),0)</f>
        <v>0</v>
      </c>
      <c r="AZ37" s="13">
        <f>IFERROR(VLOOKUP($G37,'Visu totale'!$D$3:$DH$129,AZ$1,0),0)</f>
        <v>0</v>
      </c>
      <c r="BA37" s="13">
        <f>IFERROR(VLOOKUP($G37,'Visu totale'!$D$3:$DH$129,BA$1,0),0)</f>
        <v>0</v>
      </c>
      <c r="BB37" s="13">
        <f>IFERROR(VLOOKUP($G37,'Visu totale'!$D$3:$DH$129,BB$1,0),0)</f>
        <v>0</v>
      </c>
      <c r="BC37" s="15">
        <f>IFERROR(VLOOKUP($G37,'Visu totale'!$D$3:$DH$129,BC$1,0),0)</f>
        <v>0</v>
      </c>
      <c r="BD37" s="14">
        <f>IFERROR(VLOOKUP($G37,'Visu totale'!$D$3:$DH$129,BD$1,0),0)</f>
        <v>0</v>
      </c>
      <c r="BE37" s="13">
        <f>IFERROR(VLOOKUP($G37,'Visu totale'!$D$3:$DH$129,BE$1,0),0)</f>
        <v>0</v>
      </c>
      <c r="BF37" s="13">
        <f>IFERROR(VLOOKUP($G37,'Visu totale'!$D$3:$DH$129,BF$1,0),0)</f>
        <v>0</v>
      </c>
      <c r="BG37" s="13">
        <f>IFERROR(VLOOKUP($G37,'Visu totale'!$D$3:$DH$129,BG$1,0),0)</f>
        <v>0</v>
      </c>
      <c r="BH37" s="13">
        <f>IFERROR(VLOOKUP($G37,'Visu totale'!$D$3:$DH$129,BH$1,0),0)</f>
        <v>0</v>
      </c>
      <c r="BI37" s="13">
        <f>IFERROR(VLOOKUP($G37,'Visu totale'!$D$3:$DH$129,BI$1,0),0)</f>
        <v>0</v>
      </c>
      <c r="BJ37" s="13">
        <f>IFERROR(VLOOKUP($G37,'Visu totale'!$D$3:$DH$129,BJ$1,0),0)</f>
        <v>0</v>
      </c>
      <c r="BK37" s="13">
        <f>IFERROR(VLOOKUP($G37,'Visu totale'!$D$3:$DH$129,BK$1,0),0)</f>
        <v>0</v>
      </c>
      <c r="BL37" s="13">
        <f>IFERROR(VLOOKUP($G37,'Visu totale'!$D$3:$DH$129,BL$1,0),0)</f>
        <v>0</v>
      </c>
      <c r="BM37" s="13">
        <f>IFERROR(VLOOKUP($G37,'Visu totale'!$D$3:$DH$129,BM$1,0),0)</f>
        <v>0</v>
      </c>
      <c r="BN37" s="13">
        <f>IFERROR(VLOOKUP($G37,'Visu totale'!$D$3:$DH$129,BN$1,0),0)</f>
        <v>0</v>
      </c>
      <c r="BO37" s="15">
        <f>IFERROR(VLOOKUP($G37,'Visu totale'!$D$3:$DH$129,BO$1,0),0)</f>
        <v>0</v>
      </c>
      <c r="BP37" s="14">
        <f>IFERROR(VLOOKUP($G37,'Visu totale'!$D$3:$DH$129,BP$1,0),0)</f>
        <v>0</v>
      </c>
      <c r="BQ37" s="13">
        <f>IFERROR(VLOOKUP($G37,'Visu totale'!$D$3:$DH$129,BQ$1,0),0)</f>
        <v>0</v>
      </c>
      <c r="BR37" s="13">
        <f>IFERROR(VLOOKUP($G37,'Visu totale'!$D$3:$DH$129,BR$1,0),0)</f>
        <v>0</v>
      </c>
      <c r="BS37" s="13">
        <f>IFERROR(VLOOKUP($G37,'Visu totale'!$D$3:$DH$129,BS$1,0),0)</f>
        <v>0</v>
      </c>
      <c r="BT37" s="13">
        <f>IFERROR(VLOOKUP($G37,'Visu totale'!$D$3:$DH$129,BT$1,0),0)</f>
        <v>0</v>
      </c>
      <c r="BU37" s="13">
        <f>IFERROR(VLOOKUP($G37,'Visu totale'!$D$3:$DH$129,BU$1,0),0)</f>
        <v>0</v>
      </c>
      <c r="BV37" s="13">
        <f>IFERROR(VLOOKUP($G37,'Visu totale'!$D$3:$DH$129,BV$1,0),0)</f>
        <v>0</v>
      </c>
      <c r="BW37" s="13">
        <f>IFERROR(VLOOKUP($G37,'Visu totale'!$D$3:$DH$129,BW$1,0),0)</f>
        <v>0</v>
      </c>
      <c r="BX37" s="13">
        <f>IFERROR(VLOOKUP($G37,'Visu totale'!$D$3:$DH$129,BX$1,0),0)</f>
        <v>0</v>
      </c>
      <c r="BY37" s="13">
        <f>IFERROR(VLOOKUP($G37,'Visu totale'!$D$3:$DH$129,BY$1,0),0)</f>
        <v>0</v>
      </c>
      <c r="BZ37" s="13">
        <f>IFERROR(VLOOKUP($G37,'Visu totale'!$D$3:$DH$129,BZ$1,0),0)</f>
        <v>0</v>
      </c>
      <c r="CA37" s="15">
        <f>IFERROR(VLOOKUP($G37,'Visu totale'!$D$3:$DH$129,CA$1,0),0)</f>
        <v>0</v>
      </c>
      <c r="CB37" s="14">
        <f>IFERROR(VLOOKUP($G37,'Visu totale'!$D$3:$DH$129,CB$1,0),0)</f>
        <v>0</v>
      </c>
      <c r="CC37" s="13">
        <f>IFERROR(VLOOKUP($G37,'Visu totale'!$D$3:$DH$129,CC$1,0),0)</f>
        <v>0</v>
      </c>
      <c r="CD37" s="13">
        <f>IFERROR(VLOOKUP($G37,'Visu totale'!$D$3:$DH$129,CD$1,0),0)</f>
        <v>0</v>
      </c>
      <c r="CE37" s="13">
        <f>IFERROR(VLOOKUP($G37,'Visu totale'!$D$3:$DH$129,CE$1,0),0)</f>
        <v>0</v>
      </c>
      <c r="CF37" s="13">
        <f>IFERROR(VLOOKUP($G37,'Visu totale'!$D$3:$DH$129,CF$1,0),0)</f>
        <v>0</v>
      </c>
      <c r="CG37" s="13">
        <f>IFERROR(VLOOKUP($G37,'Visu totale'!$D$3:$DH$129,CG$1,0),0)</f>
        <v>0</v>
      </c>
      <c r="CH37" s="13">
        <f>IFERROR(VLOOKUP($G37,'Visu totale'!$D$3:$DH$129,CH$1,0),0)</f>
        <v>0</v>
      </c>
      <c r="CI37" s="13">
        <f>IFERROR(VLOOKUP($G37,'Visu totale'!$D$3:$DH$129,CI$1,0),0)</f>
        <v>0</v>
      </c>
      <c r="CJ37" s="13">
        <f>IFERROR(VLOOKUP($G37,'Visu totale'!$D$3:$DH$129,CJ$1,0),0)</f>
        <v>0</v>
      </c>
      <c r="CK37" s="13">
        <f>IFERROR(VLOOKUP($G37,'Visu totale'!$D$3:$DH$129,CK$1,0),0)</f>
        <v>0</v>
      </c>
      <c r="CL37" s="13">
        <f>IFERROR(VLOOKUP($G37,'Visu totale'!$D$3:$DH$129,CL$1,0),0)</f>
        <v>0</v>
      </c>
      <c r="CM37" s="15">
        <f>IFERROR(VLOOKUP($G37,'Visu totale'!$D$3:$DH$129,CM$1,0),0)</f>
        <v>0</v>
      </c>
      <c r="CN37" s="14">
        <f>IFERROR(VLOOKUP($G37,'Visu totale'!$D$3:$DH$129,CN$1,0),0)</f>
        <v>0</v>
      </c>
      <c r="CO37" s="13">
        <f>IFERROR(VLOOKUP($G37,'Visu totale'!$D$3:$DH$129,CO$1,0),0)</f>
        <v>0</v>
      </c>
      <c r="CP37" s="13">
        <f>IFERROR(VLOOKUP($G37,'Visu totale'!$D$3:$DH$129,CP$1,0),0)</f>
        <v>0</v>
      </c>
      <c r="CQ37" s="13">
        <f>IFERROR(VLOOKUP($G37,'Visu totale'!$D$3:$DH$129,CQ$1,0),0)</f>
        <v>0</v>
      </c>
      <c r="CR37" s="13">
        <f>IFERROR(VLOOKUP($G37,'Visu totale'!$D$3:$DH$129,CR$1,0),0)</f>
        <v>0</v>
      </c>
      <c r="CS37" s="13">
        <f>IFERROR(VLOOKUP($G37,'Visu totale'!$D$3:$DH$129,CS$1,0),0)</f>
        <v>0</v>
      </c>
      <c r="CT37" s="13">
        <f>IFERROR(VLOOKUP($G37,'Visu totale'!$D$3:$DH$129,CT$1,0),0)</f>
        <v>0</v>
      </c>
      <c r="CU37" s="13">
        <f>IFERROR(VLOOKUP($G37,'Visu totale'!$D$3:$DH$129,CU$1,0),0)</f>
        <v>0</v>
      </c>
      <c r="CV37" s="13">
        <f>IFERROR(VLOOKUP($G37,'Visu totale'!$D$3:$DH$129,CV$1,0),0)</f>
        <v>0</v>
      </c>
      <c r="CW37" s="13">
        <f>IFERROR(VLOOKUP($G37,'Visu totale'!$D$3:$DH$129,CW$1,0),0)</f>
        <v>0</v>
      </c>
      <c r="CX37" s="13">
        <f>IFERROR(VLOOKUP($G37,'Visu totale'!$D$3:$DH$129,CX$1,0),0)</f>
        <v>0</v>
      </c>
      <c r="CY37" s="15">
        <f>IFERROR(VLOOKUP($G37,'Visu totale'!$D$3:$DH$129,CY$1,0),0)</f>
        <v>0</v>
      </c>
      <c r="CZ37" s="14">
        <f>IFERROR(VLOOKUP($G37,'Visu totale'!$D$3:$DH$129,CZ$1,0),0)</f>
        <v>0</v>
      </c>
      <c r="DA37" s="13">
        <f>IFERROR(VLOOKUP($G37,'Visu totale'!$D$3:$DH$129,DA$1,0),0)</f>
        <v>0</v>
      </c>
      <c r="DB37" s="13">
        <f>IFERROR(VLOOKUP($G37,'Visu totale'!$D$3:$DH$129,DB$1,0),0)</f>
        <v>0</v>
      </c>
      <c r="DC37" s="13">
        <f>IFERROR(VLOOKUP($G37,'Visu totale'!$D$3:$DH$129,DC$1,0),0)</f>
        <v>0</v>
      </c>
      <c r="DD37" s="13">
        <f>IFERROR(VLOOKUP($G37,'Visu totale'!$D$3:$DH$129,DD$1,0),0)</f>
        <v>0</v>
      </c>
      <c r="DE37" s="13">
        <f>IFERROR(VLOOKUP($G37,'Visu totale'!$D$3:$DH$129,DE$1,0),0)</f>
        <v>0</v>
      </c>
      <c r="DF37" s="13">
        <f>IFERROR(VLOOKUP($G37,'Visu totale'!$D$3:$DH$129,DF$1,0),0)</f>
        <v>0</v>
      </c>
      <c r="DG37" s="13">
        <f>IFERROR(VLOOKUP($G37,'Visu totale'!$D$3:$DH$129,DG$1,0),0)</f>
        <v>0</v>
      </c>
      <c r="DH37" s="13">
        <f>IFERROR(VLOOKUP($G37,'Visu totale'!$D$3:$DH$129,DH$1,0),0)</f>
        <v>0</v>
      </c>
      <c r="DI37" s="13">
        <f>IFERROR(VLOOKUP($G37,'Visu totale'!$D$3:$DH$129,DI$1,0),0)</f>
        <v>0</v>
      </c>
      <c r="DJ37" s="13">
        <f>IFERROR(VLOOKUP($G37,'Visu totale'!$D$3:$DH$129,DJ$1,0),0)</f>
        <v>0</v>
      </c>
      <c r="DK37" s="15">
        <f>IFERROR(VLOOKUP($G37,'Visu totale'!$D$3:$DH$129,DK$1,0),0)</f>
        <v>0</v>
      </c>
    </row>
    <row r="38" spans="1:115" x14ac:dyDescent="0.25">
      <c r="A38" s="13"/>
      <c r="B38" s="13"/>
      <c r="C38" s="13"/>
      <c r="D38" s="16"/>
      <c r="E38" s="13"/>
      <c r="F38" s="13"/>
      <c r="G38" s="17" t="s">
        <v>40</v>
      </c>
      <c r="H38" s="14">
        <f>IFERROR(VLOOKUP($G38,'Visu totale'!$D$3:$DH$129,H$1,0),0)</f>
        <v>0</v>
      </c>
      <c r="I38" s="13">
        <f>IFERROR(VLOOKUP($G38,'Visu totale'!$D$3:$DH$129,I$1,0),0)</f>
        <v>0</v>
      </c>
      <c r="J38" s="13">
        <f>IFERROR(VLOOKUP($G38,'Visu totale'!$D$3:$DH$129,J$1,0),0)</f>
        <v>0</v>
      </c>
      <c r="K38" s="13">
        <f>IFERROR(VLOOKUP($G38,'Visu totale'!$D$3:$DH$129,K$1,0),0)</f>
        <v>0</v>
      </c>
      <c r="L38" s="13">
        <f>IFERROR(VLOOKUP($G38,'Visu totale'!$D$3:$DH$129,L$1,0),0)</f>
        <v>0</v>
      </c>
      <c r="M38" s="13">
        <f>IFERROR(VLOOKUP($G38,'Visu totale'!$D$3:$DH$129,M$1,0),0)</f>
        <v>0</v>
      </c>
      <c r="N38" s="13">
        <f>IFERROR(VLOOKUP($G38,'Visu totale'!$D$3:$DH$129,N$1,0),0)</f>
        <v>0</v>
      </c>
      <c r="O38" s="13">
        <f>IFERROR(VLOOKUP($G38,'Visu totale'!$D$3:$DH$129,O$1,0),0)</f>
        <v>0</v>
      </c>
      <c r="P38" s="13">
        <f>IFERROR(VLOOKUP($G38,'Visu totale'!$D$3:$DH$129,P$1,0),0)</f>
        <v>0</v>
      </c>
      <c r="Q38" s="13">
        <f>IFERROR(VLOOKUP($G38,'Visu totale'!$D$3:$DH$129,Q$1,0),0)</f>
        <v>0</v>
      </c>
      <c r="R38" s="13">
        <f>IFERROR(VLOOKUP($G38,'Visu totale'!$D$3:$DH$129,R$1,0),0)</f>
        <v>0</v>
      </c>
      <c r="S38" s="15">
        <f>IFERROR(VLOOKUP($G38,'Visu totale'!$D$3:$DH$129,S$1,0),0)</f>
        <v>0</v>
      </c>
      <c r="T38" s="14">
        <f>IFERROR(VLOOKUP($G38,'Visu totale'!$D$3:$DH$129,T$1,0),0)</f>
        <v>0</v>
      </c>
      <c r="U38" s="13">
        <f>IFERROR(VLOOKUP($G38,'Visu totale'!$D$3:$DH$129,U$1,0),0)</f>
        <v>0</v>
      </c>
      <c r="V38" s="13">
        <f>IFERROR(VLOOKUP($G38,'Visu totale'!$D$3:$DH$129,V$1,0),0)</f>
        <v>0</v>
      </c>
      <c r="W38" s="13">
        <f>IFERROR(VLOOKUP($G38,'Visu totale'!$D$3:$DH$129,W$1,0),0)</f>
        <v>0</v>
      </c>
      <c r="X38" s="13">
        <f>IFERROR(VLOOKUP($G38,'Visu totale'!$D$3:$DH$129,X$1,0),0)</f>
        <v>0</v>
      </c>
      <c r="Y38" s="13">
        <f>IFERROR(VLOOKUP($G38,'Visu totale'!$D$3:$DH$129,Y$1,0),0)</f>
        <v>0</v>
      </c>
      <c r="Z38" s="13">
        <f>IFERROR(VLOOKUP($G38,'Visu totale'!$D$3:$DH$129,Z$1,0),0)</f>
        <v>0</v>
      </c>
      <c r="AA38" s="13">
        <f>IFERROR(VLOOKUP($G38,'Visu totale'!$D$3:$DH$129,AA$1,0),0)</f>
        <v>0</v>
      </c>
      <c r="AB38" s="13">
        <f>IFERROR(VLOOKUP($G38,'Visu totale'!$D$3:$DH$129,AB$1,0),0)</f>
        <v>0</v>
      </c>
      <c r="AC38" s="13">
        <f>IFERROR(VLOOKUP($G38,'Visu totale'!$D$3:$DH$129,AC$1,0),0)</f>
        <v>0</v>
      </c>
      <c r="AD38" s="13">
        <f>IFERROR(VLOOKUP($G38,'Visu totale'!$D$3:$DH$129,AD$1,0),0)</f>
        <v>0</v>
      </c>
      <c r="AE38" s="15">
        <f>IFERROR(VLOOKUP($G38,'Visu totale'!$D$3:$DH$129,AE$1,0),0)</f>
        <v>0</v>
      </c>
      <c r="AF38" s="14">
        <f>IFERROR(VLOOKUP($G38,'Visu totale'!$D$3:$DH$129,AF$1,0),0)</f>
        <v>0</v>
      </c>
      <c r="AG38" s="13">
        <f>IFERROR(VLOOKUP($G38,'Visu totale'!$D$3:$DH$129,AG$1,0),0)</f>
        <v>0</v>
      </c>
      <c r="AH38" s="13">
        <f>IFERROR(VLOOKUP($G38,'Visu totale'!$D$3:$DH$129,AH$1,0),0)</f>
        <v>0</v>
      </c>
      <c r="AI38" s="13">
        <f>IFERROR(VLOOKUP($G38,'Visu totale'!$D$3:$DH$129,AI$1,0),0)</f>
        <v>0</v>
      </c>
      <c r="AJ38" s="13">
        <f>IFERROR(VLOOKUP($G38,'Visu totale'!$D$3:$DH$129,AJ$1,0),0)</f>
        <v>0</v>
      </c>
      <c r="AK38" s="13">
        <f>IFERROR(VLOOKUP($G38,'Visu totale'!$D$3:$DH$129,AK$1,0),0)</f>
        <v>0</v>
      </c>
      <c r="AL38" s="13">
        <f>IFERROR(VLOOKUP($G38,'Visu totale'!$D$3:$DH$129,AL$1,0),0)</f>
        <v>0</v>
      </c>
      <c r="AM38" s="13">
        <f>IFERROR(VLOOKUP($G38,'Visu totale'!$D$3:$DH$129,AM$1,0),0)</f>
        <v>0</v>
      </c>
      <c r="AN38" s="13">
        <f>IFERROR(VLOOKUP($G38,'Visu totale'!$D$3:$DH$129,AN$1,0),0)</f>
        <v>0</v>
      </c>
      <c r="AO38" s="13">
        <f>IFERROR(VLOOKUP($G38,'Visu totale'!$D$3:$DH$129,AO$1,0),0)</f>
        <v>0</v>
      </c>
      <c r="AP38" s="13">
        <f>IFERROR(VLOOKUP($G38,'Visu totale'!$D$3:$DH$129,AP$1,0),0)</f>
        <v>0</v>
      </c>
      <c r="AQ38" s="15">
        <f>IFERROR(VLOOKUP($G38,'Visu totale'!$D$3:$DH$129,AQ$1,0),0)</f>
        <v>0</v>
      </c>
      <c r="AR38" s="14">
        <f>IFERROR(VLOOKUP($G38,'Visu totale'!$D$3:$DH$129,AR$1,0),0)</f>
        <v>0</v>
      </c>
      <c r="AS38" s="13">
        <f>IFERROR(VLOOKUP($G38,'Visu totale'!$D$3:$DH$129,AS$1,0),0)</f>
        <v>0</v>
      </c>
      <c r="AT38" s="13">
        <f>IFERROR(VLOOKUP($G38,'Visu totale'!$D$3:$DH$129,AT$1,0),0)</f>
        <v>0</v>
      </c>
      <c r="AU38" s="13">
        <f>IFERROR(VLOOKUP($G38,'Visu totale'!$D$3:$DH$129,AU$1,0),0)</f>
        <v>0</v>
      </c>
      <c r="AV38" s="13">
        <f>IFERROR(VLOOKUP($G38,'Visu totale'!$D$3:$DH$129,AV$1,0),0)</f>
        <v>0</v>
      </c>
      <c r="AW38" s="13">
        <f>IFERROR(VLOOKUP($G38,'Visu totale'!$D$3:$DH$129,AW$1,0),0)</f>
        <v>0</v>
      </c>
      <c r="AX38" s="13">
        <f>IFERROR(VLOOKUP($G38,'Visu totale'!$D$3:$DH$129,AX$1,0),0)</f>
        <v>0</v>
      </c>
      <c r="AY38" s="13">
        <f>IFERROR(VLOOKUP($G38,'Visu totale'!$D$3:$DH$129,AY$1,0),0)</f>
        <v>0</v>
      </c>
      <c r="AZ38" s="13">
        <f>IFERROR(VLOOKUP($G38,'Visu totale'!$D$3:$DH$129,AZ$1,0),0)</f>
        <v>0</v>
      </c>
      <c r="BA38" s="13">
        <f>IFERROR(VLOOKUP($G38,'Visu totale'!$D$3:$DH$129,BA$1,0),0)</f>
        <v>0</v>
      </c>
      <c r="BB38" s="13">
        <f>IFERROR(VLOOKUP($G38,'Visu totale'!$D$3:$DH$129,BB$1,0),0)</f>
        <v>0</v>
      </c>
      <c r="BC38" s="15">
        <f>IFERROR(VLOOKUP($G38,'Visu totale'!$D$3:$DH$129,BC$1,0),0)</f>
        <v>0</v>
      </c>
      <c r="BD38" s="14">
        <f>IFERROR(VLOOKUP($G38,'Visu totale'!$D$3:$DH$129,BD$1,0),0)</f>
        <v>0</v>
      </c>
      <c r="BE38" s="13">
        <f>IFERROR(VLOOKUP($G38,'Visu totale'!$D$3:$DH$129,BE$1,0),0)</f>
        <v>0</v>
      </c>
      <c r="BF38" s="13">
        <f>IFERROR(VLOOKUP($G38,'Visu totale'!$D$3:$DH$129,BF$1,0),0)</f>
        <v>0</v>
      </c>
      <c r="BG38" s="13">
        <f>IFERROR(VLOOKUP($G38,'Visu totale'!$D$3:$DH$129,BG$1,0),0)</f>
        <v>0</v>
      </c>
      <c r="BH38" s="13">
        <f>IFERROR(VLOOKUP($G38,'Visu totale'!$D$3:$DH$129,BH$1,0),0)</f>
        <v>0</v>
      </c>
      <c r="BI38" s="13">
        <f>IFERROR(VLOOKUP($G38,'Visu totale'!$D$3:$DH$129,BI$1,0),0)</f>
        <v>0</v>
      </c>
      <c r="BJ38" s="13">
        <f>IFERROR(VLOOKUP($G38,'Visu totale'!$D$3:$DH$129,BJ$1,0),0)</f>
        <v>0</v>
      </c>
      <c r="BK38" s="13">
        <f>IFERROR(VLOOKUP($G38,'Visu totale'!$D$3:$DH$129,BK$1,0),0)</f>
        <v>0</v>
      </c>
      <c r="BL38" s="13">
        <f>IFERROR(VLOOKUP($G38,'Visu totale'!$D$3:$DH$129,BL$1,0),0)</f>
        <v>0</v>
      </c>
      <c r="BM38" s="13">
        <f>IFERROR(VLOOKUP($G38,'Visu totale'!$D$3:$DH$129,BM$1,0),0)</f>
        <v>0</v>
      </c>
      <c r="BN38" s="13">
        <f>IFERROR(VLOOKUP($G38,'Visu totale'!$D$3:$DH$129,BN$1,0),0)</f>
        <v>0</v>
      </c>
      <c r="BO38" s="15">
        <f>IFERROR(VLOOKUP($G38,'Visu totale'!$D$3:$DH$129,BO$1,0),0)</f>
        <v>0</v>
      </c>
      <c r="BP38" s="14">
        <f>IFERROR(VLOOKUP($G38,'Visu totale'!$D$3:$DH$129,BP$1,0),0)</f>
        <v>0</v>
      </c>
      <c r="BQ38" s="13">
        <f>IFERROR(VLOOKUP($G38,'Visu totale'!$D$3:$DH$129,BQ$1,0),0)</f>
        <v>0</v>
      </c>
      <c r="BR38" s="13">
        <f>IFERROR(VLOOKUP($G38,'Visu totale'!$D$3:$DH$129,BR$1,0),0)</f>
        <v>0</v>
      </c>
      <c r="BS38" s="13">
        <f>IFERROR(VLOOKUP($G38,'Visu totale'!$D$3:$DH$129,BS$1,0),0)</f>
        <v>0</v>
      </c>
      <c r="BT38" s="13">
        <f>IFERROR(VLOOKUP($G38,'Visu totale'!$D$3:$DH$129,BT$1,0),0)</f>
        <v>0</v>
      </c>
      <c r="BU38" s="13">
        <f>IFERROR(VLOOKUP($G38,'Visu totale'!$D$3:$DH$129,BU$1,0),0)</f>
        <v>0</v>
      </c>
      <c r="BV38" s="13">
        <f>IFERROR(VLOOKUP($G38,'Visu totale'!$D$3:$DH$129,BV$1,0),0)</f>
        <v>0</v>
      </c>
      <c r="BW38" s="13">
        <f>IFERROR(VLOOKUP($G38,'Visu totale'!$D$3:$DH$129,BW$1,0),0)</f>
        <v>0</v>
      </c>
      <c r="BX38" s="13">
        <f>IFERROR(VLOOKUP($G38,'Visu totale'!$D$3:$DH$129,BX$1,0),0)</f>
        <v>0</v>
      </c>
      <c r="BY38" s="13">
        <f>IFERROR(VLOOKUP($G38,'Visu totale'!$D$3:$DH$129,BY$1,0),0)</f>
        <v>0</v>
      </c>
      <c r="BZ38" s="13">
        <f>IFERROR(VLOOKUP($G38,'Visu totale'!$D$3:$DH$129,BZ$1,0),0)</f>
        <v>0</v>
      </c>
      <c r="CA38" s="15">
        <f>IFERROR(VLOOKUP($G38,'Visu totale'!$D$3:$DH$129,CA$1,0),0)</f>
        <v>0</v>
      </c>
      <c r="CB38" s="14">
        <f>IFERROR(VLOOKUP($G38,'Visu totale'!$D$3:$DH$129,CB$1,0),0)</f>
        <v>0</v>
      </c>
      <c r="CC38" s="13">
        <f>IFERROR(VLOOKUP($G38,'Visu totale'!$D$3:$DH$129,CC$1,0),0)</f>
        <v>0</v>
      </c>
      <c r="CD38" s="13">
        <f>IFERROR(VLOOKUP($G38,'Visu totale'!$D$3:$DH$129,CD$1,0),0)</f>
        <v>0</v>
      </c>
      <c r="CE38" s="13">
        <f>IFERROR(VLOOKUP($G38,'Visu totale'!$D$3:$DH$129,CE$1,0),0)</f>
        <v>0</v>
      </c>
      <c r="CF38" s="13">
        <f>IFERROR(VLOOKUP($G38,'Visu totale'!$D$3:$DH$129,CF$1,0),0)</f>
        <v>0</v>
      </c>
      <c r="CG38" s="13">
        <f>IFERROR(VLOOKUP($G38,'Visu totale'!$D$3:$DH$129,CG$1,0),0)</f>
        <v>0</v>
      </c>
      <c r="CH38" s="13">
        <f>IFERROR(VLOOKUP($G38,'Visu totale'!$D$3:$DH$129,CH$1,0),0)</f>
        <v>0</v>
      </c>
      <c r="CI38" s="13">
        <f>IFERROR(VLOOKUP($G38,'Visu totale'!$D$3:$DH$129,CI$1,0),0)</f>
        <v>0</v>
      </c>
      <c r="CJ38" s="13">
        <f>IFERROR(VLOOKUP($G38,'Visu totale'!$D$3:$DH$129,CJ$1,0),0)</f>
        <v>0</v>
      </c>
      <c r="CK38" s="13">
        <f>IFERROR(VLOOKUP($G38,'Visu totale'!$D$3:$DH$129,CK$1,0),0)</f>
        <v>0</v>
      </c>
      <c r="CL38" s="13">
        <f>IFERROR(VLOOKUP($G38,'Visu totale'!$D$3:$DH$129,CL$1,0),0)</f>
        <v>0</v>
      </c>
      <c r="CM38" s="15">
        <f>IFERROR(VLOOKUP($G38,'Visu totale'!$D$3:$DH$129,CM$1,0),0)</f>
        <v>0</v>
      </c>
      <c r="CN38" s="14">
        <f>IFERROR(VLOOKUP($G38,'Visu totale'!$D$3:$DH$129,CN$1,0),0)</f>
        <v>0</v>
      </c>
      <c r="CO38" s="13">
        <f>IFERROR(VLOOKUP($G38,'Visu totale'!$D$3:$DH$129,CO$1,0),0)</f>
        <v>0</v>
      </c>
      <c r="CP38" s="13">
        <f>IFERROR(VLOOKUP($G38,'Visu totale'!$D$3:$DH$129,CP$1,0),0)</f>
        <v>0</v>
      </c>
      <c r="CQ38" s="13">
        <f>IFERROR(VLOOKUP($G38,'Visu totale'!$D$3:$DH$129,CQ$1,0),0)</f>
        <v>0</v>
      </c>
      <c r="CR38" s="13">
        <f>IFERROR(VLOOKUP($G38,'Visu totale'!$D$3:$DH$129,CR$1,0),0)</f>
        <v>0</v>
      </c>
      <c r="CS38" s="13">
        <f>IFERROR(VLOOKUP($G38,'Visu totale'!$D$3:$DH$129,CS$1,0),0)</f>
        <v>0</v>
      </c>
      <c r="CT38" s="13">
        <f>IFERROR(VLOOKUP($G38,'Visu totale'!$D$3:$DH$129,CT$1,0),0)</f>
        <v>0</v>
      </c>
      <c r="CU38" s="13">
        <f>IFERROR(VLOOKUP($G38,'Visu totale'!$D$3:$DH$129,CU$1,0),0)</f>
        <v>0</v>
      </c>
      <c r="CV38" s="13">
        <f>IFERROR(VLOOKUP($G38,'Visu totale'!$D$3:$DH$129,CV$1,0),0)</f>
        <v>0</v>
      </c>
      <c r="CW38" s="13">
        <f>IFERROR(VLOOKUP($G38,'Visu totale'!$D$3:$DH$129,CW$1,0),0)</f>
        <v>0</v>
      </c>
      <c r="CX38" s="13">
        <f>IFERROR(VLOOKUP($G38,'Visu totale'!$D$3:$DH$129,CX$1,0),0)</f>
        <v>0</v>
      </c>
      <c r="CY38" s="15">
        <f>IFERROR(VLOOKUP($G38,'Visu totale'!$D$3:$DH$129,CY$1,0),0)</f>
        <v>0</v>
      </c>
      <c r="CZ38" s="14">
        <f>IFERROR(VLOOKUP($G38,'Visu totale'!$D$3:$DH$129,CZ$1,0),0)</f>
        <v>0</v>
      </c>
      <c r="DA38" s="13">
        <f>IFERROR(VLOOKUP($G38,'Visu totale'!$D$3:$DH$129,DA$1,0),0)</f>
        <v>0</v>
      </c>
      <c r="DB38" s="13">
        <f>IFERROR(VLOOKUP($G38,'Visu totale'!$D$3:$DH$129,DB$1,0),0)</f>
        <v>0</v>
      </c>
      <c r="DC38" s="13">
        <f>IFERROR(VLOOKUP($G38,'Visu totale'!$D$3:$DH$129,DC$1,0),0)</f>
        <v>0</v>
      </c>
      <c r="DD38" s="13">
        <f>IFERROR(VLOOKUP($G38,'Visu totale'!$D$3:$DH$129,DD$1,0),0)</f>
        <v>0</v>
      </c>
      <c r="DE38" s="13">
        <f>IFERROR(VLOOKUP($G38,'Visu totale'!$D$3:$DH$129,DE$1,0),0)</f>
        <v>0</v>
      </c>
      <c r="DF38" s="13">
        <f>IFERROR(VLOOKUP($G38,'Visu totale'!$D$3:$DH$129,DF$1,0),0)</f>
        <v>0</v>
      </c>
      <c r="DG38" s="13">
        <f>IFERROR(VLOOKUP($G38,'Visu totale'!$D$3:$DH$129,DG$1,0),0)</f>
        <v>0</v>
      </c>
      <c r="DH38" s="13">
        <f>IFERROR(VLOOKUP($G38,'Visu totale'!$D$3:$DH$129,DH$1,0),0)</f>
        <v>0</v>
      </c>
      <c r="DI38" s="13">
        <f>IFERROR(VLOOKUP($G38,'Visu totale'!$D$3:$DH$129,DI$1,0),0)</f>
        <v>0</v>
      </c>
      <c r="DJ38" s="13">
        <f>IFERROR(VLOOKUP($G38,'Visu totale'!$D$3:$DH$129,DJ$1,0),0)</f>
        <v>0</v>
      </c>
      <c r="DK38" s="15">
        <f>IFERROR(VLOOKUP($G38,'Visu totale'!$D$3:$DH$129,DK$1,0),0)</f>
        <v>0</v>
      </c>
    </row>
    <row r="39" spans="1:115" x14ac:dyDescent="0.25">
      <c r="A39" s="13"/>
      <c r="B39" s="13"/>
      <c r="C39" s="13"/>
      <c r="D39" s="16"/>
      <c r="E39" s="13"/>
      <c r="F39" s="13"/>
      <c r="G39" s="17" t="s">
        <v>41</v>
      </c>
      <c r="H39" s="14">
        <f>IFERROR(VLOOKUP($G39,'Visu totale'!$D$3:$DH$129,H$1,0),0)</f>
        <v>0</v>
      </c>
      <c r="I39" s="13">
        <f>IFERROR(VLOOKUP($G39,'Visu totale'!$D$3:$DH$129,I$1,0),0)</f>
        <v>0</v>
      </c>
      <c r="J39" s="13">
        <f>IFERROR(VLOOKUP($G39,'Visu totale'!$D$3:$DH$129,J$1,0),0)</f>
        <v>0</v>
      </c>
      <c r="K39" s="13">
        <f>IFERROR(VLOOKUP($G39,'Visu totale'!$D$3:$DH$129,K$1,0),0)</f>
        <v>0</v>
      </c>
      <c r="L39" s="13">
        <f>IFERROR(VLOOKUP($G39,'Visu totale'!$D$3:$DH$129,L$1,0),0)</f>
        <v>0</v>
      </c>
      <c r="M39" s="13">
        <f>IFERROR(VLOOKUP($G39,'Visu totale'!$D$3:$DH$129,M$1,0),0)</f>
        <v>0</v>
      </c>
      <c r="N39" s="13">
        <f>IFERROR(VLOOKUP($G39,'Visu totale'!$D$3:$DH$129,N$1,0),0)</f>
        <v>0</v>
      </c>
      <c r="O39" s="13">
        <f>IFERROR(VLOOKUP($G39,'Visu totale'!$D$3:$DH$129,O$1,0),0)</f>
        <v>0</v>
      </c>
      <c r="P39" s="13">
        <f>IFERROR(VLOOKUP($G39,'Visu totale'!$D$3:$DH$129,P$1,0),0)</f>
        <v>0</v>
      </c>
      <c r="Q39" s="13">
        <f>IFERROR(VLOOKUP($G39,'Visu totale'!$D$3:$DH$129,Q$1,0),0)</f>
        <v>0</v>
      </c>
      <c r="R39" s="13">
        <f>IFERROR(VLOOKUP($G39,'Visu totale'!$D$3:$DH$129,R$1,0),0)</f>
        <v>0</v>
      </c>
      <c r="S39" s="15">
        <f>IFERROR(VLOOKUP($G39,'Visu totale'!$D$3:$DH$129,S$1,0),0)</f>
        <v>0</v>
      </c>
      <c r="T39" s="14">
        <f>IFERROR(VLOOKUP($G39,'Visu totale'!$D$3:$DH$129,T$1,0),0)</f>
        <v>0</v>
      </c>
      <c r="U39" s="13">
        <f>IFERROR(VLOOKUP($G39,'Visu totale'!$D$3:$DH$129,U$1,0),0)</f>
        <v>0</v>
      </c>
      <c r="V39" s="13">
        <f>IFERROR(VLOOKUP($G39,'Visu totale'!$D$3:$DH$129,V$1,0),0)</f>
        <v>0</v>
      </c>
      <c r="W39" s="13">
        <f>IFERROR(VLOOKUP($G39,'Visu totale'!$D$3:$DH$129,W$1,0),0)</f>
        <v>0</v>
      </c>
      <c r="X39" s="13">
        <f>IFERROR(VLOOKUP($G39,'Visu totale'!$D$3:$DH$129,X$1,0),0)</f>
        <v>0</v>
      </c>
      <c r="Y39" s="13">
        <f>IFERROR(VLOOKUP($G39,'Visu totale'!$D$3:$DH$129,Y$1,0),0)</f>
        <v>0</v>
      </c>
      <c r="Z39" s="13">
        <f>IFERROR(VLOOKUP($G39,'Visu totale'!$D$3:$DH$129,Z$1,0),0)</f>
        <v>0</v>
      </c>
      <c r="AA39" s="13">
        <f>IFERROR(VLOOKUP($G39,'Visu totale'!$D$3:$DH$129,AA$1,0),0)</f>
        <v>0</v>
      </c>
      <c r="AB39" s="13">
        <f>IFERROR(VLOOKUP($G39,'Visu totale'!$D$3:$DH$129,AB$1,0),0)</f>
        <v>0</v>
      </c>
      <c r="AC39" s="13">
        <f>IFERROR(VLOOKUP($G39,'Visu totale'!$D$3:$DH$129,AC$1,0),0)</f>
        <v>0</v>
      </c>
      <c r="AD39" s="13">
        <f>IFERROR(VLOOKUP($G39,'Visu totale'!$D$3:$DH$129,AD$1,0),0)</f>
        <v>0</v>
      </c>
      <c r="AE39" s="15">
        <f>IFERROR(VLOOKUP($G39,'Visu totale'!$D$3:$DH$129,AE$1,0),0)</f>
        <v>0</v>
      </c>
      <c r="AF39" s="14">
        <f>IFERROR(VLOOKUP($G39,'Visu totale'!$D$3:$DH$129,AF$1,0),0)</f>
        <v>0</v>
      </c>
      <c r="AG39" s="13">
        <f>IFERROR(VLOOKUP($G39,'Visu totale'!$D$3:$DH$129,AG$1,0),0)</f>
        <v>0</v>
      </c>
      <c r="AH39" s="13">
        <f>IFERROR(VLOOKUP($G39,'Visu totale'!$D$3:$DH$129,AH$1,0),0)</f>
        <v>0</v>
      </c>
      <c r="AI39" s="13">
        <f>IFERROR(VLOOKUP($G39,'Visu totale'!$D$3:$DH$129,AI$1,0),0)</f>
        <v>0</v>
      </c>
      <c r="AJ39" s="13">
        <f>IFERROR(VLOOKUP($G39,'Visu totale'!$D$3:$DH$129,AJ$1,0),0)</f>
        <v>0</v>
      </c>
      <c r="AK39" s="13">
        <f>IFERROR(VLOOKUP($G39,'Visu totale'!$D$3:$DH$129,AK$1,0),0)</f>
        <v>0</v>
      </c>
      <c r="AL39" s="13">
        <f>IFERROR(VLOOKUP($G39,'Visu totale'!$D$3:$DH$129,AL$1,0),0)</f>
        <v>0</v>
      </c>
      <c r="AM39" s="13">
        <f>IFERROR(VLOOKUP($G39,'Visu totale'!$D$3:$DH$129,AM$1,0),0)</f>
        <v>0</v>
      </c>
      <c r="AN39" s="13">
        <f>IFERROR(VLOOKUP($G39,'Visu totale'!$D$3:$DH$129,AN$1,0),0)</f>
        <v>0</v>
      </c>
      <c r="AO39" s="13">
        <f>IFERROR(VLOOKUP($G39,'Visu totale'!$D$3:$DH$129,AO$1,0),0)</f>
        <v>0</v>
      </c>
      <c r="AP39" s="13">
        <f>IFERROR(VLOOKUP($G39,'Visu totale'!$D$3:$DH$129,AP$1,0),0)</f>
        <v>0</v>
      </c>
      <c r="AQ39" s="15">
        <f>IFERROR(VLOOKUP($G39,'Visu totale'!$D$3:$DH$129,AQ$1,0),0)</f>
        <v>0</v>
      </c>
      <c r="AR39" s="14">
        <f>IFERROR(VLOOKUP($G39,'Visu totale'!$D$3:$DH$129,AR$1,0),0)</f>
        <v>0</v>
      </c>
      <c r="AS39" s="13">
        <f>IFERROR(VLOOKUP($G39,'Visu totale'!$D$3:$DH$129,AS$1,0),0)</f>
        <v>0</v>
      </c>
      <c r="AT39" s="13">
        <f>IFERROR(VLOOKUP($G39,'Visu totale'!$D$3:$DH$129,AT$1,0),0)</f>
        <v>0</v>
      </c>
      <c r="AU39" s="13">
        <f>IFERROR(VLOOKUP($G39,'Visu totale'!$D$3:$DH$129,AU$1,0),0)</f>
        <v>0</v>
      </c>
      <c r="AV39" s="13">
        <f>IFERROR(VLOOKUP($G39,'Visu totale'!$D$3:$DH$129,AV$1,0),0)</f>
        <v>0</v>
      </c>
      <c r="AW39" s="13">
        <f>IFERROR(VLOOKUP($G39,'Visu totale'!$D$3:$DH$129,AW$1,0),0)</f>
        <v>0</v>
      </c>
      <c r="AX39" s="13">
        <f>IFERROR(VLOOKUP($G39,'Visu totale'!$D$3:$DH$129,AX$1,0),0)</f>
        <v>0</v>
      </c>
      <c r="AY39" s="13">
        <f>IFERROR(VLOOKUP($G39,'Visu totale'!$D$3:$DH$129,AY$1,0),0)</f>
        <v>0</v>
      </c>
      <c r="AZ39" s="13">
        <f>IFERROR(VLOOKUP($G39,'Visu totale'!$D$3:$DH$129,AZ$1,0),0)</f>
        <v>0</v>
      </c>
      <c r="BA39" s="13">
        <f>IFERROR(VLOOKUP($G39,'Visu totale'!$D$3:$DH$129,BA$1,0),0)</f>
        <v>0</v>
      </c>
      <c r="BB39" s="13">
        <f>IFERROR(VLOOKUP($G39,'Visu totale'!$D$3:$DH$129,BB$1,0),0)</f>
        <v>0</v>
      </c>
      <c r="BC39" s="15">
        <f>IFERROR(VLOOKUP($G39,'Visu totale'!$D$3:$DH$129,BC$1,0),0)</f>
        <v>0</v>
      </c>
      <c r="BD39" s="14">
        <f>IFERROR(VLOOKUP($G39,'Visu totale'!$D$3:$DH$129,BD$1,0),0)</f>
        <v>0</v>
      </c>
      <c r="BE39" s="13">
        <f>IFERROR(VLOOKUP($G39,'Visu totale'!$D$3:$DH$129,BE$1,0),0)</f>
        <v>0</v>
      </c>
      <c r="BF39" s="13">
        <f>IFERROR(VLOOKUP($G39,'Visu totale'!$D$3:$DH$129,BF$1,0),0)</f>
        <v>0</v>
      </c>
      <c r="BG39" s="13">
        <f>IFERROR(VLOOKUP($G39,'Visu totale'!$D$3:$DH$129,BG$1,0),0)</f>
        <v>0</v>
      </c>
      <c r="BH39" s="13">
        <f>IFERROR(VLOOKUP($G39,'Visu totale'!$D$3:$DH$129,BH$1,0),0)</f>
        <v>0</v>
      </c>
      <c r="BI39" s="13">
        <f>IFERROR(VLOOKUP($G39,'Visu totale'!$D$3:$DH$129,BI$1,0),0)</f>
        <v>0</v>
      </c>
      <c r="BJ39" s="13">
        <f>IFERROR(VLOOKUP($G39,'Visu totale'!$D$3:$DH$129,BJ$1,0),0)</f>
        <v>0</v>
      </c>
      <c r="BK39" s="13">
        <f>IFERROR(VLOOKUP($G39,'Visu totale'!$D$3:$DH$129,BK$1,0),0)</f>
        <v>0</v>
      </c>
      <c r="BL39" s="13">
        <f>IFERROR(VLOOKUP($G39,'Visu totale'!$D$3:$DH$129,BL$1,0),0)</f>
        <v>0</v>
      </c>
      <c r="BM39" s="13">
        <f>IFERROR(VLOOKUP($G39,'Visu totale'!$D$3:$DH$129,BM$1,0),0)</f>
        <v>0</v>
      </c>
      <c r="BN39" s="13">
        <f>IFERROR(VLOOKUP($G39,'Visu totale'!$D$3:$DH$129,BN$1,0),0)</f>
        <v>0</v>
      </c>
      <c r="BO39" s="15">
        <f>IFERROR(VLOOKUP($G39,'Visu totale'!$D$3:$DH$129,BO$1,0),0)</f>
        <v>0</v>
      </c>
      <c r="BP39" s="14">
        <f>IFERROR(VLOOKUP($G39,'Visu totale'!$D$3:$DH$129,BP$1,0),0)</f>
        <v>0</v>
      </c>
      <c r="BQ39" s="13">
        <f>IFERROR(VLOOKUP($G39,'Visu totale'!$D$3:$DH$129,BQ$1,0),0)</f>
        <v>0</v>
      </c>
      <c r="BR39" s="13">
        <f>IFERROR(VLOOKUP($G39,'Visu totale'!$D$3:$DH$129,BR$1,0),0)</f>
        <v>0</v>
      </c>
      <c r="BS39" s="13">
        <f>IFERROR(VLOOKUP($G39,'Visu totale'!$D$3:$DH$129,BS$1,0),0)</f>
        <v>0</v>
      </c>
      <c r="BT39" s="13">
        <f>IFERROR(VLOOKUP($G39,'Visu totale'!$D$3:$DH$129,BT$1,0),0)</f>
        <v>0</v>
      </c>
      <c r="BU39" s="13">
        <f>IFERROR(VLOOKUP($G39,'Visu totale'!$D$3:$DH$129,BU$1,0),0)</f>
        <v>0</v>
      </c>
      <c r="BV39" s="13">
        <f>IFERROR(VLOOKUP($G39,'Visu totale'!$D$3:$DH$129,BV$1,0),0)</f>
        <v>0</v>
      </c>
      <c r="BW39" s="13">
        <f>IFERROR(VLOOKUP($G39,'Visu totale'!$D$3:$DH$129,BW$1,0),0)</f>
        <v>0</v>
      </c>
      <c r="BX39" s="13">
        <f>IFERROR(VLOOKUP($G39,'Visu totale'!$D$3:$DH$129,BX$1,0),0)</f>
        <v>0</v>
      </c>
      <c r="BY39" s="13">
        <f>IFERROR(VLOOKUP($G39,'Visu totale'!$D$3:$DH$129,BY$1,0),0)</f>
        <v>0</v>
      </c>
      <c r="BZ39" s="13">
        <f>IFERROR(VLOOKUP($G39,'Visu totale'!$D$3:$DH$129,BZ$1,0),0)</f>
        <v>0</v>
      </c>
      <c r="CA39" s="15">
        <f>IFERROR(VLOOKUP($G39,'Visu totale'!$D$3:$DH$129,CA$1,0),0)</f>
        <v>0</v>
      </c>
      <c r="CB39" s="14">
        <f>IFERROR(VLOOKUP($G39,'Visu totale'!$D$3:$DH$129,CB$1,0),0)</f>
        <v>0</v>
      </c>
      <c r="CC39" s="13">
        <f>IFERROR(VLOOKUP($G39,'Visu totale'!$D$3:$DH$129,CC$1,0),0)</f>
        <v>0</v>
      </c>
      <c r="CD39" s="13">
        <f>IFERROR(VLOOKUP($G39,'Visu totale'!$D$3:$DH$129,CD$1,0),0)</f>
        <v>0</v>
      </c>
      <c r="CE39" s="13">
        <f>IFERROR(VLOOKUP($G39,'Visu totale'!$D$3:$DH$129,CE$1,0),0)</f>
        <v>0</v>
      </c>
      <c r="CF39" s="13">
        <f>IFERROR(VLOOKUP($G39,'Visu totale'!$D$3:$DH$129,CF$1,0),0)</f>
        <v>0</v>
      </c>
      <c r="CG39" s="13">
        <f>IFERROR(VLOOKUP($G39,'Visu totale'!$D$3:$DH$129,CG$1,0),0)</f>
        <v>0</v>
      </c>
      <c r="CH39" s="13">
        <f>IFERROR(VLOOKUP($G39,'Visu totale'!$D$3:$DH$129,CH$1,0),0)</f>
        <v>0</v>
      </c>
      <c r="CI39" s="13">
        <f>IFERROR(VLOOKUP($G39,'Visu totale'!$D$3:$DH$129,CI$1,0),0)</f>
        <v>0</v>
      </c>
      <c r="CJ39" s="13">
        <f>IFERROR(VLOOKUP($G39,'Visu totale'!$D$3:$DH$129,CJ$1,0),0)</f>
        <v>0</v>
      </c>
      <c r="CK39" s="13">
        <f>IFERROR(VLOOKUP($G39,'Visu totale'!$D$3:$DH$129,CK$1,0),0)</f>
        <v>0</v>
      </c>
      <c r="CL39" s="13">
        <f>IFERROR(VLOOKUP($G39,'Visu totale'!$D$3:$DH$129,CL$1,0),0)</f>
        <v>0</v>
      </c>
      <c r="CM39" s="15">
        <f>IFERROR(VLOOKUP($G39,'Visu totale'!$D$3:$DH$129,CM$1,0),0)</f>
        <v>0</v>
      </c>
      <c r="CN39" s="14">
        <f>IFERROR(VLOOKUP($G39,'Visu totale'!$D$3:$DH$129,CN$1,0),0)</f>
        <v>0</v>
      </c>
      <c r="CO39" s="13">
        <f>IFERROR(VLOOKUP($G39,'Visu totale'!$D$3:$DH$129,CO$1,0),0)</f>
        <v>0</v>
      </c>
      <c r="CP39" s="13">
        <f>IFERROR(VLOOKUP($G39,'Visu totale'!$D$3:$DH$129,CP$1,0),0)</f>
        <v>0</v>
      </c>
      <c r="CQ39" s="13">
        <f>IFERROR(VLOOKUP($G39,'Visu totale'!$D$3:$DH$129,CQ$1,0),0)</f>
        <v>0</v>
      </c>
      <c r="CR39" s="13">
        <f>IFERROR(VLOOKUP($G39,'Visu totale'!$D$3:$DH$129,CR$1,0),0)</f>
        <v>0</v>
      </c>
      <c r="CS39" s="13">
        <f>IFERROR(VLOOKUP($G39,'Visu totale'!$D$3:$DH$129,CS$1,0),0)</f>
        <v>0</v>
      </c>
      <c r="CT39" s="13">
        <f>IFERROR(VLOOKUP($G39,'Visu totale'!$D$3:$DH$129,CT$1,0),0)</f>
        <v>0</v>
      </c>
      <c r="CU39" s="13">
        <f>IFERROR(VLOOKUP($G39,'Visu totale'!$D$3:$DH$129,CU$1,0),0)</f>
        <v>0</v>
      </c>
      <c r="CV39" s="13">
        <f>IFERROR(VLOOKUP($G39,'Visu totale'!$D$3:$DH$129,CV$1,0),0)</f>
        <v>0</v>
      </c>
      <c r="CW39" s="13">
        <f>IFERROR(VLOOKUP($G39,'Visu totale'!$D$3:$DH$129,CW$1,0),0)</f>
        <v>0</v>
      </c>
      <c r="CX39" s="13">
        <f>IFERROR(VLOOKUP($G39,'Visu totale'!$D$3:$DH$129,CX$1,0),0)</f>
        <v>0</v>
      </c>
      <c r="CY39" s="15">
        <f>IFERROR(VLOOKUP($G39,'Visu totale'!$D$3:$DH$129,CY$1,0),0)</f>
        <v>0</v>
      </c>
      <c r="CZ39" s="14">
        <f>IFERROR(VLOOKUP($G39,'Visu totale'!$D$3:$DH$129,CZ$1,0),0)</f>
        <v>0</v>
      </c>
      <c r="DA39" s="13">
        <f>IFERROR(VLOOKUP($G39,'Visu totale'!$D$3:$DH$129,DA$1,0),0)</f>
        <v>0</v>
      </c>
      <c r="DB39" s="13">
        <f>IFERROR(VLOOKUP($G39,'Visu totale'!$D$3:$DH$129,DB$1,0),0)</f>
        <v>0</v>
      </c>
      <c r="DC39" s="13">
        <f>IFERROR(VLOOKUP($G39,'Visu totale'!$D$3:$DH$129,DC$1,0),0)</f>
        <v>0</v>
      </c>
      <c r="DD39" s="13">
        <f>IFERROR(VLOOKUP($G39,'Visu totale'!$D$3:$DH$129,DD$1,0),0)</f>
        <v>0</v>
      </c>
      <c r="DE39" s="13">
        <f>IFERROR(VLOOKUP($G39,'Visu totale'!$D$3:$DH$129,DE$1,0),0)</f>
        <v>0</v>
      </c>
      <c r="DF39" s="13">
        <f>IFERROR(VLOOKUP($G39,'Visu totale'!$D$3:$DH$129,DF$1,0),0)</f>
        <v>0</v>
      </c>
      <c r="DG39" s="13">
        <f>IFERROR(VLOOKUP($G39,'Visu totale'!$D$3:$DH$129,DG$1,0),0)</f>
        <v>0</v>
      </c>
      <c r="DH39" s="13">
        <f>IFERROR(VLOOKUP($G39,'Visu totale'!$D$3:$DH$129,DH$1,0),0)</f>
        <v>0</v>
      </c>
      <c r="DI39" s="13">
        <f>IFERROR(VLOOKUP($G39,'Visu totale'!$D$3:$DH$129,DI$1,0),0)</f>
        <v>0</v>
      </c>
      <c r="DJ39" s="13">
        <f>IFERROR(VLOOKUP($G39,'Visu totale'!$D$3:$DH$129,DJ$1,0),0)</f>
        <v>0</v>
      </c>
      <c r="DK39" s="15">
        <f>IFERROR(VLOOKUP($G39,'Visu totale'!$D$3:$DH$129,DK$1,0),0)</f>
        <v>0</v>
      </c>
    </row>
    <row r="40" spans="1:115" x14ac:dyDescent="0.25">
      <c r="A40" s="13"/>
      <c r="B40" s="13"/>
      <c r="C40" s="13"/>
      <c r="D40" s="16"/>
      <c r="E40" s="13"/>
      <c r="F40" s="13"/>
      <c r="G40" s="17" t="s">
        <v>42</v>
      </c>
      <c r="H40" s="14">
        <f>IFERROR(VLOOKUP($G40,'Visu totale'!$D$3:$DH$129,H$1,0),0)</f>
        <v>0</v>
      </c>
      <c r="I40" s="13">
        <f>IFERROR(VLOOKUP($G40,'Visu totale'!$D$3:$DH$129,I$1,0),0)</f>
        <v>0</v>
      </c>
      <c r="J40" s="13">
        <f>IFERROR(VLOOKUP($G40,'Visu totale'!$D$3:$DH$129,J$1,0),0)</f>
        <v>0</v>
      </c>
      <c r="K40" s="13">
        <f>IFERROR(VLOOKUP($G40,'Visu totale'!$D$3:$DH$129,K$1,0),0)</f>
        <v>0</v>
      </c>
      <c r="L40" s="13">
        <f>IFERROR(VLOOKUP($G40,'Visu totale'!$D$3:$DH$129,L$1,0),0)</f>
        <v>0</v>
      </c>
      <c r="M40" s="13">
        <f>IFERROR(VLOOKUP($G40,'Visu totale'!$D$3:$DH$129,M$1,0),0)</f>
        <v>0</v>
      </c>
      <c r="N40" s="13">
        <f>IFERROR(VLOOKUP($G40,'Visu totale'!$D$3:$DH$129,N$1,0),0)</f>
        <v>0</v>
      </c>
      <c r="O40" s="13">
        <f>IFERROR(VLOOKUP($G40,'Visu totale'!$D$3:$DH$129,O$1,0),0)</f>
        <v>0</v>
      </c>
      <c r="P40" s="13">
        <f>IFERROR(VLOOKUP($G40,'Visu totale'!$D$3:$DH$129,P$1,0),0)</f>
        <v>0</v>
      </c>
      <c r="Q40" s="13">
        <f>IFERROR(VLOOKUP($G40,'Visu totale'!$D$3:$DH$129,Q$1,0),0)</f>
        <v>0</v>
      </c>
      <c r="R40" s="13">
        <f>IFERROR(VLOOKUP($G40,'Visu totale'!$D$3:$DH$129,R$1,0),0)</f>
        <v>0</v>
      </c>
      <c r="S40" s="15">
        <f>IFERROR(VLOOKUP($G40,'Visu totale'!$D$3:$DH$129,S$1,0),0)</f>
        <v>0</v>
      </c>
      <c r="T40" s="14">
        <f>IFERROR(VLOOKUP($G40,'Visu totale'!$D$3:$DH$129,T$1,0),0)</f>
        <v>0</v>
      </c>
      <c r="U40" s="13">
        <f>IFERROR(VLOOKUP($G40,'Visu totale'!$D$3:$DH$129,U$1,0),0)</f>
        <v>0</v>
      </c>
      <c r="V40" s="13">
        <f>IFERROR(VLOOKUP($G40,'Visu totale'!$D$3:$DH$129,V$1,0),0)</f>
        <v>0</v>
      </c>
      <c r="W40" s="13">
        <f>IFERROR(VLOOKUP($G40,'Visu totale'!$D$3:$DH$129,W$1,0),0)</f>
        <v>0</v>
      </c>
      <c r="X40" s="13">
        <f>IFERROR(VLOOKUP($G40,'Visu totale'!$D$3:$DH$129,X$1,0),0)</f>
        <v>0</v>
      </c>
      <c r="Y40" s="13">
        <f>IFERROR(VLOOKUP($G40,'Visu totale'!$D$3:$DH$129,Y$1,0),0)</f>
        <v>0</v>
      </c>
      <c r="Z40" s="13">
        <f>IFERROR(VLOOKUP($G40,'Visu totale'!$D$3:$DH$129,Z$1,0),0)</f>
        <v>0</v>
      </c>
      <c r="AA40" s="13">
        <f>IFERROR(VLOOKUP($G40,'Visu totale'!$D$3:$DH$129,AA$1,0),0)</f>
        <v>0</v>
      </c>
      <c r="AB40" s="13">
        <f>IFERROR(VLOOKUP($G40,'Visu totale'!$D$3:$DH$129,AB$1,0),0)</f>
        <v>0</v>
      </c>
      <c r="AC40" s="13">
        <f>IFERROR(VLOOKUP($G40,'Visu totale'!$D$3:$DH$129,AC$1,0),0)</f>
        <v>0</v>
      </c>
      <c r="AD40" s="13">
        <f>IFERROR(VLOOKUP($G40,'Visu totale'!$D$3:$DH$129,AD$1,0),0)</f>
        <v>0</v>
      </c>
      <c r="AE40" s="15">
        <f>IFERROR(VLOOKUP($G40,'Visu totale'!$D$3:$DH$129,AE$1,0),0)</f>
        <v>0</v>
      </c>
      <c r="AF40" s="14">
        <f>IFERROR(VLOOKUP($G40,'Visu totale'!$D$3:$DH$129,AF$1,0),0)</f>
        <v>0</v>
      </c>
      <c r="AG40" s="13">
        <f>IFERROR(VLOOKUP($G40,'Visu totale'!$D$3:$DH$129,AG$1,0),0)</f>
        <v>0</v>
      </c>
      <c r="AH40" s="13">
        <f>IFERROR(VLOOKUP($G40,'Visu totale'!$D$3:$DH$129,AH$1,0),0)</f>
        <v>0</v>
      </c>
      <c r="AI40" s="13">
        <f>IFERROR(VLOOKUP($G40,'Visu totale'!$D$3:$DH$129,AI$1,0),0)</f>
        <v>0</v>
      </c>
      <c r="AJ40" s="13">
        <f>IFERROR(VLOOKUP($G40,'Visu totale'!$D$3:$DH$129,AJ$1,0),0)</f>
        <v>0</v>
      </c>
      <c r="AK40" s="13">
        <f>IFERROR(VLOOKUP($G40,'Visu totale'!$D$3:$DH$129,AK$1,0),0)</f>
        <v>0</v>
      </c>
      <c r="AL40" s="13">
        <f>IFERROR(VLOOKUP($G40,'Visu totale'!$D$3:$DH$129,AL$1,0),0)</f>
        <v>0</v>
      </c>
      <c r="AM40" s="13">
        <f>IFERROR(VLOOKUP($G40,'Visu totale'!$D$3:$DH$129,AM$1,0),0)</f>
        <v>0</v>
      </c>
      <c r="AN40" s="13">
        <f>IFERROR(VLOOKUP($G40,'Visu totale'!$D$3:$DH$129,AN$1,0),0)</f>
        <v>0</v>
      </c>
      <c r="AO40" s="13">
        <f>IFERROR(VLOOKUP($G40,'Visu totale'!$D$3:$DH$129,AO$1,0),0)</f>
        <v>0</v>
      </c>
      <c r="AP40" s="13">
        <f>IFERROR(VLOOKUP($G40,'Visu totale'!$D$3:$DH$129,AP$1,0),0)</f>
        <v>0</v>
      </c>
      <c r="AQ40" s="15">
        <f>IFERROR(VLOOKUP($G40,'Visu totale'!$D$3:$DH$129,AQ$1,0),0)</f>
        <v>0</v>
      </c>
      <c r="AR40" s="14">
        <f>IFERROR(VLOOKUP($G40,'Visu totale'!$D$3:$DH$129,AR$1,0),0)</f>
        <v>0</v>
      </c>
      <c r="AS40" s="13">
        <f>IFERROR(VLOOKUP($G40,'Visu totale'!$D$3:$DH$129,AS$1,0),0)</f>
        <v>0</v>
      </c>
      <c r="AT40" s="13">
        <f>IFERROR(VLOOKUP($G40,'Visu totale'!$D$3:$DH$129,AT$1,0),0)</f>
        <v>0</v>
      </c>
      <c r="AU40" s="13">
        <f>IFERROR(VLOOKUP($G40,'Visu totale'!$D$3:$DH$129,AU$1,0),0)</f>
        <v>0</v>
      </c>
      <c r="AV40" s="13">
        <f>IFERROR(VLOOKUP($G40,'Visu totale'!$D$3:$DH$129,AV$1,0),0)</f>
        <v>0</v>
      </c>
      <c r="AW40" s="13">
        <f>IFERROR(VLOOKUP($G40,'Visu totale'!$D$3:$DH$129,AW$1,0),0)</f>
        <v>0</v>
      </c>
      <c r="AX40" s="13">
        <f>IFERROR(VLOOKUP($G40,'Visu totale'!$D$3:$DH$129,AX$1,0),0)</f>
        <v>0</v>
      </c>
      <c r="AY40" s="13">
        <f>IFERROR(VLOOKUP($G40,'Visu totale'!$D$3:$DH$129,AY$1,0),0)</f>
        <v>0</v>
      </c>
      <c r="AZ40" s="13">
        <f>IFERROR(VLOOKUP($G40,'Visu totale'!$D$3:$DH$129,AZ$1,0),0)</f>
        <v>0</v>
      </c>
      <c r="BA40" s="13">
        <f>IFERROR(VLOOKUP($G40,'Visu totale'!$D$3:$DH$129,BA$1,0),0)</f>
        <v>0</v>
      </c>
      <c r="BB40" s="13">
        <f>IFERROR(VLOOKUP($G40,'Visu totale'!$D$3:$DH$129,BB$1,0),0)</f>
        <v>0</v>
      </c>
      <c r="BC40" s="15">
        <f>IFERROR(VLOOKUP($G40,'Visu totale'!$D$3:$DH$129,BC$1,0),0)</f>
        <v>0</v>
      </c>
      <c r="BD40" s="14">
        <f>IFERROR(VLOOKUP($G40,'Visu totale'!$D$3:$DH$129,BD$1,0),0)</f>
        <v>0</v>
      </c>
      <c r="BE40" s="13">
        <f>IFERROR(VLOOKUP($G40,'Visu totale'!$D$3:$DH$129,BE$1,0),0)</f>
        <v>0</v>
      </c>
      <c r="BF40" s="13">
        <f>IFERROR(VLOOKUP($G40,'Visu totale'!$D$3:$DH$129,BF$1,0),0)</f>
        <v>0</v>
      </c>
      <c r="BG40" s="13">
        <f>IFERROR(VLOOKUP($G40,'Visu totale'!$D$3:$DH$129,BG$1,0),0)</f>
        <v>0</v>
      </c>
      <c r="BH40" s="13">
        <f>IFERROR(VLOOKUP($G40,'Visu totale'!$D$3:$DH$129,BH$1,0),0)</f>
        <v>0</v>
      </c>
      <c r="BI40" s="13">
        <f>IFERROR(VLOOKUP($G40,'Visu totale'!$D$3:$DH$129,BI$1,0),0)</f>
        <v>0</v>
      </c>
      <c r="BJ40" s="13">
        <f>IFERROR(VLOOKUP($G40,'Visu totale'!$D$3:$DH$129,BJ$1,0),0)</f>
        <v>0</v>
      </c>
      <c r="BK40" s="13">
        <f>IFERROR(VLOOKUP($G40,'Visu totale'!$D$3:$DH$129,BK$1,0),0)</f>
        <v>0</v>
      </c>
      <c r="BL40" s="13">
        <f>IFERROR(VLOOKUP($G40,'Visu totale'!$D$3:$DH$129,BL$1,0),0)</f>
        <v>0</v>
      </c>
      <c r="BM40" s="13">
        <f>IFERROR(VLOOKUP($G40,'Visu totale'!$D$3:$DH$129,BM$1,0),0)</f>
        <v>0</v>
      </c>
      <c r="BN40" s="13">
        <f>IFERROR(VLOOKUP($G40,'Visu totale'!$D$3:$DH$129,BN$1,0),0)</f>
        <v>0</v>
      </c>
      <c r="BO40" s="15">
        <f>IFERROR(VLOOKUP($G40,'Visu totale'!$D$3:$DH$129,BO$1,0),0)</f>
        <v>0</v>
      </c>
      <c r="BP40" s="14">
        <f>IFERROR(VLOOKUP($G40,'Visu totale'!$D$3:$DH$129,BP$1,0),0)</f>
        <v>0</v>
      </c>
      <c r="BQ40" s="13">
        <f>IFERROR(VLOOKUP($G40,'Visu totale'!$D$3:$DH$129,BQ$1,0),0)</f>
        <v>0</v>
      </c>
      <c r="BR40" s="13">
        <f>IFERROR(VLOOKUP($G40,'Visu totale'!$D$3:$DH$129,BR$1,0),0)</f>
        <v>0</v>
      </c>
      <c r="BS40" s="13">
        <f>IFERROR(VLOOKUP($G40,'Visu totale'!$D$3:$DH$129,BS$1,0),0)</f>
        <v>0</v>
      </c>
      <c r="BT40" s="13">
        <f>IFERROR(VLOOKUP($G40,'Visu totale'!$D$3:$DH$129,BT$1,0),0)</f>
        <v>0</v>
      </c>
      <c r="BU40" s="13">
        <f>IFERROR(VLOOKUP($G40,'Visu totale'!$D$3:$DH$129,BU$1,0),0)</f>
        <v>0</v>
      </c>
      <c r="BV40" s="13">
        <f>IFERROR(VLOOKUP($G40,'Visu totale'!$D$3:$DH$129,BV$1,0),0)</f>
        <v>0</v>
      </c>
      <c r="BW40" s="13">
        <f>IFERROR(VLOOKUP($G40,'Visu totale'!$D$3:$DH$129,BW$1,0),0)</f>
        <v>0</v>
      </c>
      <c r="BX40" s="13">
        <f>IFERROR(VLOOKUP($G40,'Visu totale'!$D$3:$DH$129,BX$1,0),0)</f>
        <v>0</v>
      </c>
      <c r="BY40" s="13">
        <f>IFERROR(VLOOKUP($G40,'Visu totale'!$D$3:$DH$129,BY$1,0),0)</f>
        <v>0</v>
      </c>
      <c r="BZ40" s="13">
        <f>IFERROR(VLOOKUP($G40,'Visu totale'!$D$3:$DH$129,BZ$1,0),0)</f>
        <v>0</v>
      </c>
      <c r="CA40" s="15">
        <f>IFERROR(VLOOKUP($G40,'Visu totale'!$D$3:$DH$129,CA$1,0),0)</f>
        <v>0</v>
      </c>
      <c r="CB40" s="14">
        <f>IFERROR(VLOOKUP($G40,'Visu totale'!$D$3:$DH$129,CB$1,0),0)</f>
        <v>0</v>
      </c>
      <c r="CC40" s="13">
        <f>IFERROR(VLOOKUP($G40,'Visu totale'!$D$3:$DH$129,CC$1,0),0)</f>
        <v>0</v>
      </c>
      <c r="CD40" s="13">
        <f>IFERROR(VLOOKUP($G40,'Visu totale'!$D$3:$DH$129,CD$1,0),0)</f>
        <v>0</v>
      </c>
      <c r="CE40" s="13">
        <f>IFERROR(VLOOKUP($G40,'Visu totale'!$D$3:$DH$129,CE$1,0),0)</f>
        <v>0</v>
      </c>
      <c r="CF40" s="13">
        <f>IFERROR(VLOOKUP($G40,'Visu totale'!$D$3:$DH$129,CF$1,0),0)</f>
        <v>0</v>
      </c>
      <c r="CG40" s="13">
        <f>IFERROR(VLOOKUP($G40,'Visu totale'!$D$3:$DH$129,CG$1,0),0)</f>
        <v>0</v>
      </c>
      <c r="CH40" s="13">
        <f>IFERROR(VLOOKUP($G40,'Visu totale'!$D$3:$DH$129,CH$1,0),0)</f>
        <v>0</v>
      </c>
      <c r="CI40" s="13">
        <f>IFERROR(VLOOKUP($G40,'Visu totale'!$D$3:$DH$129,CI$1,0),0)</f>
        <v>0</v>
      </c>
      <c r="CJ40" s="13">
        <f>IFERROR(VLOOKUP($G40,'Visu totale'!$D$3:$DH$129,CJ$1,0),0)</f>
        <v>0</v>
      </c>
      <c r="CK40" s="13">
        <f>IFERROR(VLOOKUP($G40,'Visu totale'!$D$3:$DH$129,CK$1,0),0)</f>
        <v>0</v>
      </c>
      <c r="CL40" s="13">
        <f>IFERROR(VLOOKUP($G40,'Visu totale'!$D$3:$DH$129,CL$1,0),0)</f>
        <v>0</v>
      </c>
      <c r="CM40" s="15">
        <f>IFERROR(VLOOKUP($G40,'Visu totale'!$D$3:$DH$129,CM$1,0),0)</f>
        <v>0</v>
      </c>
      <c r="CN40" s="14">
        <f>IFERROR(VLOOKUP($G40,'Visu totale'!$D$3:$DH$129,CN$1,0),0)</f>
        <v>0</v>
      </c>
      <c r="CO40" s="13">
        <f>IFERROR(VLOOKUP($G40,'Visu totale'!$D$3:$DH$129,CO$1,0),0)</f>
        <v>0</v>
      </c>
      <c r="CP40" s="13">
        <f>IFERROR(VLOOKUP($G40,'Visu totale'!$D$3:$DH$129,CP$1,0),0)</f>
        <v>0</v>
      </c>
      <c r="CQ40" s="13">
        <f>IFERROR(VLOOKUP($G40,'Visu totale'!$D$3:$DH$129,CQ$1,0),0)</f>
        <v>0</v>
      </c>
      <c r="CR40" s="13">
        <f>IFERROR(VLOOKUP($G40,'Visu totale'!$D$3:$DH$129,CR$1,0),0)</f>
        <v>0</v>
      </c>
      <c r="CS40" s="13">
        <f>IFERROR(VLOOKUP($G40,'Visu totale'!$D$3:$DH$129,CS$1,0),0)</f>
        <v>0</v>
      </c>
      <c r="CT40" s="13">
        <f>IFERROR(VLOOKUP($G40,'Visu totale'!$D$3:$DH$129,CT$1,0),0)</f>
        <v>0</v>
      </c>
      <c r="CU40" s="13">
        <f>IFERROR(VLOOKUP($G40,'Visu totale'!$D$3:$DH$129,CU$1,0),0)</f>
        <v>0</v>
      </c>
      <c r="CV40" s="13">
        <f>IFERROR(VLOOKUP($G40,'Visu totale'!$D$3:$DH$129,CV$1,0),0)</f>
        <v>0</v>
      </c>
      <c r="CW40" s="13">
        <f>IFERROR(VLOOKUP($G40,'Visu totale'!$D$3:$DH$129,CW$1,0),0)</f>
        <v>0</v>
      </c>
      <c r="CX40" s="13">
        <f>IFERROR(VLOOKUP($G40,'Visu totale'!$D$3:$DH$129,CX$1,0),0)</f>
        <v>0</v>
      </c>
      <c r="CY40" s="15">
        <f>IFERROR(VLOOKUP($G40,'Visu totale'!$D$3:$DH$129,CY$1,0),0)</f>
        <v>0</v>
      </c>
      <c r="CZ40" s="14">
        <f>IFERROR(VLOOKUP($G40,'Visu totale'!$D$3:$DH$129,CZ$1,0),0)</f>
        <v>0</v>
      </c>
      <c r="DA40" s="13">
        <f>IFERROR(VLOOKUP($G40,'Visu totale'!$D$3:$DH$129,DA$1,0),0)</f>
        <v>0</v>
      </c>
      <c r="DB40" s="13">
        <f>IFERROR(VLOOKUP($G40,'Visu totale'!$D$3:$DH$129,DB$1,0),0)</f>
        <v>0</v>
      </c>
      <c r="DC40" s="13">
        <f>IFERROR(VLOOKUP($G40,'Visu totale'!$D$3:$DH$129,DC$1,0),0)</f>
        <v>0</v>
      </c>
      <c r="DD40" s="13">
        <f>IFERROR(VLOOKUP($G40,'Visu totale'!$D$3:$DH$129,DD$1,0),0)</f>
        <v>0</v>
      </c>
      <c r="DE40" s="13">
        <f>IFERROR(VLOOKUP($G40,'Visu totale'!$D$3:$DH$129,DE$1,0),0)</f>
        <v>0</v>
      </c>
      <c r="DF40" s="13">
        <f>IFERROR(VLOOKUP($G40,'Visu totale'!$D$3:$DH$129,DF$1,0),0)</f>
        <v>0</v>
      </c>
      <c r="DG40" s="13">
        <f>IFERROR(VLOOKUP($G40,'Visu totale'!$D$3:$DH$129,DG$1,0),0)</f>
        <v>0</v>
      </c>
      <c r="DH40" s="13">
        <f>IFERROR(VLOOKUP($G40,'Visu totale'!$D$3:$DH$129,DH$1,0),0)</f>
        <v>0</v>
      </c>
      <c r="DI40" s="13">
        <f>IFERROR(VLOOKUP($G40,'Visu totale'!$D$3:$DH$129,DI$1,0),0)</f>
        <v>0</v>
      </c>
      <c r="DJ40" s="13">
        <f>IFERROR(VLOOKUP($G40,'Visu totale'!$D$3:$DH$129,DJ$1,0),0)</f>
        <v>0</v>
      </c>
      <c r="DK40" s="15">
        <f>IFERROR(VLOOKUP($G40,'Visu totale'!$D$3:$DH$129,DK$1,0),0)</f>
        <v>0</v>
      </c>
    </row>
    <row r="41" spans="1:115" x14ac:dyDescent="0.25">
      <c r="A41" s="13"/>
      <c r="B41" s="13"/>
      <c r="C41" s="13"/>
      <c r="D41" s="16"/>
      <c r="E41" s="13"/>
      <c r="F41" s="13"/>
      <c r="G41" s="17" t="s">
        <v>43</v>
      </c>
      <c r="H41" s="14">
        <f>IFERROR(VLOOKUP($G41,'Visu totale'!$D$3:$DH$129,H$1,0),0)</f>
        <v>0</v>
      </c>
      <c r="I41" s="13">
        <f>IFERROR(VLOOKUP($G41,'Visu totale'!$D$3:$DH$129,I$1,0),0)</f>
        <v>0</v>
      </c>
      <c r="J41" s="13">
        <f>IFERROR(VLOOKUP($G41,'Visu totale'!$D$3:$DH$129,J$1,0),0)</f>
        <v>0</v>
      </c>
      <c r="K41" s="13">
        <f>IFERROR(VLOOKUP($G41,'Visu totale'!$D$3:$DH$129,K$1,0),0)</f>
        <v>0</v>
      </c>
      <c r="L41" s="13">
        <f>IFERROR(VLOOKUP($G41,'Visu totale'!$D$3:$DH$129,L$1,0),0)</f>
        <v>0</v>
      </c>
      <c r="M41" s="13">
        <f>IFERROR(VLOOKUP($G41,'Visu totale'!$D$3:$DH$129,M$1,0),0)</f>
        <v>0</v>
      </c>
      <c r="N41" s="13">
        <f>IFERROR(VLOOKUP($G41,'Visu totale'!$D$3:$DH$129,N$1,0),0)</f>
        <v>0</v>
      </c>
      <c r="O41" s="13">
        <f>IFERROR(VLOOKUP($G41,'Visu totale'!$D$3:$DH$129,O$1,0),0)</f>
        <v>0</v>
      </c>
      <c r="P41" s="13">
        <f>IFERROR(VLOOKUP($G41,'Visu totale'!$D$3:$DH$129,P$1,0),0)</f>
        <v>0</v>
      </c>
      <c r="Q41" s="13">
        <f>IFERROR(VLOOKUP($G41,'Visu totale'!$D$3:$DH$129,Q$1,0),0)</f>
        <v>0</v>
      </c>
      <c r="R41" s="13">
        <f>IFERROR(VLOOKUP($G41,'Visu totale'!$D$3:$DH$129,R$1,0),0)</f>
        <v>0</v>
      </c>
      <c r="S41" s="15">
        <f>IFERROR(VLOOKUP($G41,'Visu totale'!$D$3:$DH$129,S$1,0),0)</f>
        <v>0</v>
      </c>
      <c r="T41" s="14">
        <f>IFERROR(VLOOKUP($G41,'Visu totale'!$D$3:$DH$129,T$1,0),0)</f>
        <v>0</v>
      </c>
      <c r="U41" s="13">
        <f>IFERROR(VLOOKUP($G41,'Visu totale'!$D$3:$DH$129,U$1,0),0)</f>
        <v>0</v>
      </c>
      <c r="V41" s="13">
        <f>IFERROR(VLOOKUP($G41,'Visu totale'!$D$3:$DH$129,V$1,0),0)</f>
        <v>0</v>
      </c>
      <c r="W41" s="13">
        <f>IFERROR(VLOOKUP($G41,'Visu totale'!$D$3:$DH$129,W$1,0),0)</f>
        <v>0</v>
      </c>
      <c r="X41" s="13">
        <f>IFERROR(VLOOKUP($G41,'Visu totale'!$D$3:$DH$129,X$1,0),0)</f>
        <v>0</v>
      </c>
      <c r="Y41" s="13">
        <f>IFERROR(VLOOKUP($G41,'Visu totale'!$D$3:$DH$129,Y$1,0),0)</f>
        <v>0</v>
      </c>
      <c r="Z41" s="13">
        <f>IFERROR(VLOOKUP($G41,'Visu totale'!$D$3:$DH$129,Z$1,0),0)</f>
        <v>0</v>
      </c>
      <c r="AA41" s="13">
        <f>IFERROR(VLOOKUP($G41,'Visu totale'!$D$3:$DH$129,AA$1,0),0)</f>
        <v>0</v>
      </c>
      <c r="AB41" s="13">
        <f>IFERROR(VLOOKUP($G41,'Visu totale'!$D$3:$DH$129,AB$1,0),0)</f>
        <v>0</v>
      </c>
      <c r="AC41" s="13">
        <f>IFERROR(VLOOKUP($G41,'Visu totale'!$D$3:$DH$129,AC$1,0),0)</f>
        <v>0</v>
      </c>
      <c r="AD41" s="13">
        <f>IFERROR(VLOOKUP($G41,'Visu totale'!$D$3:$DH$129,AD$1,0),0)</f>
        <v>0</v>
      </c>
      <c r="AE41" s="15">
        <f>IFERROR(VLOOKUP($G41,'Visu totale'!$D$3:$DH$129,AE$1,0),0)</f>
        <v>0</v>
      </c>
      <c r="AF41" s="14">
        <f>IFERROR(VLOOKUP($G41,'Visu totale'!$D$3:$DH$129,AF$1,0),0)</f>
        <v>0</v>
      </c>
      <c r="AG41" s="13">
        <f>IFERROR(VLOOKUP($G41,'Visu totale'!$D$3:$DH$129,AG$1,0),0)</f>
        <v>0</v>
      </c>
      <c r="AH41" s="13">
        <f>IFERROR(VLOOKUP($G41,'Visu totale'!$D$3:$DH$129,AH$1,0),0)</f>
        <v>0</v>
      </c>
      <c r="AI41" s="13">
        <f>IFERROR(VLOOKUP($G41,'Visu totale'!$D$3:$DH$129,AI$1,0),0)</f>
        <v>0</v>
      </c>
      <c r="AJ41" s="13">
        <f>IFERROR(VLOOKUP($G41,'Visu totale'!$D$3:$DH$129,AJ$1,0),0)</f>
        <v>0</v>
      </c>
      <c r="AK41" s="13">
        <f>IFERROR(VLOOKUP($G41,'Visu totale'!$D$3:$DH$129,AK$1,0),0)</f>
        <v>0</v>
      </c>
      <c r="AL41" s="13">
        <f>IFERROR(VLOOKUP($G41,'Visu totale'!$D$3:$DH$129,AL$1,0),0)</f>
        <v>0</v>
      </c>
      <c r="AM41" s="13">
        <f>IFERROR(VLOOKUP($G41,'Visu totale'!$D$3:$DH$129,AM$1,0),0)</f>
        <v>0</v>
      </c>
      <c r="AN41" s="13">
        <f>IFERROR(VLOOKUP($G41,'Visu totale'!$D$3:$DH$129,AN$1,0),0)</f>
        <v>0</v>
      </c>
      <c r="AO41" s="13">
        <f>IFERROR(VLOOKUP($G41,'Visu totale'!$D$3:$DH$129,AO$1,0),0)</f>
        <v>0</v>
      </c>
      <c r="AP41" s="13">
        <f>IFERROR(VLOOKUP($G41,'Visu totale'!$D$3:$DH$129,AP$1,0),0)</f>
        <v>0</v>
      </c>
      <c r="AQ41" s="15">
        <f>IFERROR(VLOOKUP($G41,'Visu totale'!$D$3:$DH$129,AQ$1,0),0)</f>
        <v>0</v>
      </c>
      <c r="AR41" s="14">
        <f>IFERROR(VLOOKUP($G41,'Visu totale'!$D$3:$DH$129,AR$1,0),0)</f>
        <v>0</v>
      </c>
      <c r="AS41" s="13">
        <f>IFERROR(VLOOKUP($G41,'Visu totale'!$D$3:$DH$129,AS$1,0),0)</f>
        <v>0</v>
      </c>
      <c r="AT41" s="13">
        <f>IFERROR(VLOOKUP($G41,'Visu totale'!$D$3:$DH$129,AT$1,0),0)</f>
        <v>0</v>
      </c>
      <c r="AU41" s="13">
        <f>IFERROR(VLOOKUP($G41,'Visu totale'!$D$3:$DH$129,AU$1,0),0)</f>
        <v>0</v>
      </c>
      <c r="AV41" s="13">
        <f>IFERROR(VLOOKUP($G41,'Visu totale'!$D$3:$DH$129,AV$1,0),0)</f>
        <v>0</v>
      </c>
      <c r="AW41" s="13">
        <f>IFERROR(VLOOKUP($G41,'Visu totale'!$D$3:$DH$129,AW$1,0),0)</f>
        <v>0</v>
      </c>
      <c r="AX41" s="13">
        <f>IFERROR(VLOOKUP($G41,'Visu totale'!$D$3:$DH$129,AX$1,0),0)</f>
        <v>0</v>
      </c>
      <c r="AY41" s="13">
        <f>IFERROR(VLOOKUP($G41,'Visu totale'!$D$3:$DH$129,AY$1,0),0)</f>
        <v>0</v>
      </c>
      <c r="AZ41" s="13">
        <f>IFERROR(VLOOKUP($G41,'Visu totale'!$D$3:$DH$129,AZ$1,0),0)</f>
        <v>0</v>
      </c>
      <c r="BA41" s="13">
        <f>IFERROR(VLOOKUP($G41,'Visu totale'!$D$3:$DH$129,BA$1,0),0)</f>
        <v>0</v>
      </c>
      <c r="BB41" s="13">
        <f>IFERROR(VLOOKUP($G41,'Visu totale'!$D$3:$DH$129,BB$1,0),0)</f>
        <v>0</v>
      </c>
      <c r="BC41" s="15">
        <f>IFERROR(VLOOKUP($G41,'Visu totale'!$D$3:$DH$129,BC$1,0),0)</f>
        <v>0</v>
      </c>
      <c r="BD41" s="14">
        <f>IFERROR(VLOOKUP($G41,'Visu totale'!$D$3:$DH$129,BD$1,0),0)</f>
        <v>0</v>
      </c>
      <c r="BE41" s="13">
        <f>IFERROR(VLOOKUP($G41,'Visu totale'!$D$3:$DH$129,BE$1,0),0)</f>
        <v>0</v>
      </c>
      <c r="BF41" s="13">
        <f>IFERROR(VLOOKUP($G41,'Visu totale'!$D$3:$DH$129,BF$1,0),0)</f>
        <v>0</v>
      </c>
      <c r="BG41" s="13">
        <f>IFERROR(VLOOKUP($G41,'Visu totale'!$D$3:$DH$129,BG$1,0),0)</f>
        <v>0</v>
      </c>
      <c r="BH41" s="13">
        <f>IFERROR(VLOOKUP($G41,'Visu totale'!$D$3:$DH$129,BH$1,0),0)</f>
        <v>0</v>
      </c>
      <c r="BI41" s="13">
        <f>IFERROR(VLOOKUP($G41,'Visu totale'!$D$3:$DH$129,BI$1,0),0)</f>
        <v>0</v>
      </c>
      <c r="BJ41" s="13">
        <f>IFERROR(VLOOKUP($G41,'Visu totale'!$D$3:$DH$129,BJ$1,0),0)</f>
        <v>0</v>
      </c>
      <c r="BK41" s="13">
        <f>IFERROR(VLOOKUP($G41,'Visu totale'!$D$3:$DH$129,BK$1,0),0)</f>
        <v>0</v>
      </c>
      <c r="BL41" s="13">
        <f>IFERROR(VLOOKUP($G41,'Visu totale'!$D$3:$DH$129,BL$1,0),0)</f>
        <v>0</v>
      </c>
      <c r="BM41" s="13">
        <f>IFERROR(VLOOKUP($G41,'Visu totale'!$D$3:$DH$129,BM$1,0),0)</f>
        <v>0</v>
      </c>
      <c r="BN41" s="13">
        <f>IFERROR(VLOOKUP($G41,'Visu totale'!$D$3:$DH$129,BN$1,0),0)</f>
        <v>0</v>
      </c>
      <c r="BO41" s="15">
        <f>IFERROR(VLOOKUP($G41,'Visu totale'!$D$3:$DH$129,BO$1,0),0)</f>
        <v>0</v>
      </c>
      <c r="BP41" s="14">
        <f>IFERROR(VLOOKUP($G41,'Visu totale'!$D$3:$DH$129,BP$1,0),0)</f>
        <v>0</v>
      </c>
      <c r="BQ41" s="13">
        <f>IFERROR(VLOOKUP($G41,'Visu totale'!$D$3:$DH$129,BQ$1,0),0)</f>
        <v>0</v>
      </c>
      <c r="BR41" s="13">
        <f>IFERROR(VLOOKUP($G41,'Visu totale'!$D$3:$DH$129,BR$1,0),0)</f>
        <v>0</v>
      </c>
      <c r="BS41" s="13">
        <f>IFERROR(VLOOKUP($G41,'Visu totale'!$D$3:$DH$129,BS$1,0),0)</f>
        <v>0</v>
      </c>
      <c r="BT41" s="13">
        <f>IFERROR(VLOOKUP($G41,'Visu totale'!$D$3:$DH$129,BT$1,0),0)</f>
        <v>0</v>
      </c>
      <c r="BU41" s="13">
        <f>IFERROR(VLOOKUP($G41,'Visu totale'!$D$3:$DH$129,BU$1,0),0)</f>
        <v>0</v>
      </c>
      <c r="BV41" s="13">
        <f>IFERROR(VLOOKUP($G41,'Visu totale'!$D$3:$DH$129,BV$1,0),0)</f>
        <v>0</v>
      </c>
      <c r="BW41" s="13">
        <f>IFERROR(VLOOKUP($G41,'Visu totale'!$D$3:$DH$129,BW$1,0),0)</f>
        <v>0</v>
      </c>
      <c r="BX41" s="13">
        <f>IFERROR(VLOOKUP($G41,'Visu totale'!$D$3:$DH$129,BX$1,0),0)</f>
        <v>0</v>
      </c>
      <c r="BY41" s="13">
        <f>IFERROR(VLOOKUP($G41,'Visu totale'!$D$3:$DH$129,BY$1,0),0)</f>
        <v>0</v>
      </c>
      <c r="BZ41" s="13">
        <f>IFERROR(VLOOKUP($G41,'Visu totale'!$D$3:$DH$129,BZ$1,0),0)</f>
        <v>0</v>
      </c>
      <c r="CA41" s="15">
        <f>IFERROR(VLOOKUP($G41,'Visu totale'!$D$3:$DH$129,CA$1,0),0)</f>
        <v>0</v>
      </c>
      <c r="CB41" s="14">
        <f>IFERROR(VLOOKUP($G41,'Visu totale'!$D$3:$DH$129,CB$1,0),0)</f>
        <v>0</v>
      </c>
      <c r="CC41" s="13">
        <f>IFERROR(VLOOKUP($G41,'Visu totale'!$D$3:$DH$129,CC$1,0),0)</f>
        <v>0</v>
      </c>
      <c r="CD41" s="13">
        <f>IFERROR(VLOOKUP($G41,'Visu totale'!$D$3:$DH$129,CD$1,0),0)</f>
        <v>0</v>
      </c>
      <c r="CE41" s="13">
        <f>IFERROR(VLOOKUP($G41,'Visu totale'!$D$3:$DH$129,CE$1,0),0)</f>
        <v>0</v>
      </c>
      <c r="CF41" s="13">
        <f>IFERROR(VLOOKUP($G41,'Visu totale'!$D$3:$DH$129,CF$1,0),0)</f>
        <v>0</v>
      </c>
      <c r="CG41" s="13">
        <f>IFERROR(VLOOKUP($G41,'Visu totale'!$D$3:$DH$129,CG$1,0),0)</f>
        <v>0</v>
      </c>
      <c r="CH41" s="13">
        <f>IFERROR(VLOOKUP($G41,'Visu totale'!$D$3:$DH$129,CH$1,0),0)</f>
        <v>0</v>
      </c>
      <c r="CI41" s="13">
        <f>IFERROR(VLOOKUP($G41,'Visu totale'!$D$3:$DH$129,CI$1,0),0)</f>
        <v>0</v>
      </c>
      <c r="CJ41" s="13">
        <f>IFERROR(VLOOKUP($G41,'Visu totale'!$D$3:$DH$129,CJ$1,0),0)</f>
        <v>0</v>
      </c>
      <c r="CK41" s="13">
        <f>IFERROR(VLOOKUP($G41,'Visu totale'!$D$3:$DH$129,CK$1,0),0)</f>
        <v>0</v>
      </c>
      <c r="CL41" s="13">
        <f>IFERROR(VLOOKUP($G41,'Visu totale'!$D$3:$DH$129,CL$1,0),0)</f>
        <v>0</v>
      </c>
      <c r="CM41" s="15">
        <f>IFERROR(VLOOKUP($G41,'Visu totale'!$D$3:$DH$129,CM$1,0),0)</f>
        <v>0</v>
      </c>
      <c r="CN41" s="14">
        <f>IFERROR(VLOOKUP($G41,'Visu totale'!$D$3:$DH$129,CN$1,0),0)</f>
        <v>0</v>
      </c>
      <c r="CO41" s="13">
        <f>IFERROR(VLOOKUP($G41,'Visu totale'!$D$3:$DH$129,CO$1,0),0)</f>
        <v>0</v>
      </c>
      <c r="CP41" s="13">
        <f>IFERROR(VLOOKUP($G41,'Visu totale'!$D$3:$DH$129,CP$1,0),0)</f>
        <v>0</v>
      </c>
      <c r="CQ41" s="13">
        <f>IFERROR(VLOOKUP($G41,'Visu totale'!$D$3:$DH$129,CQ$1,0),0)</f>
        <v>0</v>
      </c>
      <c r="CR41" s="13">
        <f>IFERROR(VLOOKUP($G41,'Visu totale'!$D$3:$DH$129,CR$1,0),0)</f>
        <v>0</v>
      </c>
      <c r="CS41" s="13">
        <f>IFERROR(VLOOKUP($G41,'Visu totale'!$D$3:$DH$129,CS$1,0),0)</f>
        <v>0</v>
      </c>
      <c r="CT41" s="13">
        <f>IFERROR(VLOOKUP($G41,'Visu totale'!$D$3:$DH$129,CT$1,0),0)</f>
        <v>0</v>
      </c>
      <c r="CU41" s="13">
        <f>IFERROR(VLOOKUP($G41,'Visu totale'!$D$3:$DH$129,CU$1,0),0)</f>
        <v>0</v>
      </c>
      <c r="CV41" s="13">
        <f>IFERROR(VLOOKUP($G41,'Visu totale'!$D$3:$DH$129,CV$1,0),0)</f>
        <v>0</v>
      </c>
      <c r="CW41" s="13">
        <f>IFERROR(VLOOKUP($G41,'Visu totale'!$D$3:$DH$129,CW$1,0),0)</f>
        <v>0</v>
      </c>
      <c r="CX41" s="13">
        <f>IFERROR(VLOOKUP($G41,'Visu totale'!$D$3:$DH$129,CX$1,0),0)</f>
        <v>0</v>
      </c>
      <c r="CY41" s="15">
        <f>IFERROR(VLOOKUP($G41,'Visu totale'!$D$3:$DH$129,CY$1,0),0)</f>
        <v>0</v>
      </c>
      <c r="CZ41" s="14">
        <f>IFERROR(VLOOKUP($G41,'Visu totale'!$D$3:$DH$129,CZ$1,0),0)</f>
        <v>0</v>
      </c>
      <c r="DA41" s="13">
        <f>IFERROR(VLOOKUP($G41,'Visu totale'!$D$3:$DH$129,DA$1,0),0)</f>
        <v>0</v>
      </c>
      <c r="DB41" s="13">
        <f>IFERROR(VLOOKUP($G41,'Visu totale'!$D$3:$DH$129,DB$1,0),0)</f>
        <v>0</v>
      </c>
      <c r="DC41" s="13">
        <f>IFERROR(VLOOKUP($G41,'Visu totale'!$D$3:$DH$129,DC$1,0),0)</f>
        <v>0</v>
      </c>
      <c r="DD41" s="13">
        <f>IFERROR(VLOOKUP($G41,'Visu totale'!$D$3:$DH$129,DD$1,0),0)</f>
        <v>0</v>
      </c>
      <c r="DE41" s="13">
        <f>IFERROR(VLOOKUP($G41,'Visu totale'!$D$3:$DH$129,DE$1,0),0)</f>
        <v>0</v>
      </c>
      <c r="DF41" s="13">
        <f>IFERROR(VLOOKUP($G41,'Visu totale'!$D$3:$DH$129,DF$1,0),0)</f>
        <v>0</v>
      </c>
      <c r="DG41" s="13">
        <f>IFERROR(VLOOKUP($G41,'Visu totale'!$D$3:$DH$129,DG$1,0),0)</f>
        <v>0</v>
      </c>
      <c r="DH41" s="13">
        <f>IFERROR(VLOOKUP($G41,'Visu totale'!$D$3:$DH$129,DH$1,0),0)</f>
        <v>0</v>
      </c>
      <c r="DI41" s="13">
        <f>IFERROR(VLOOKUP($G41,'Visu totale'!$D$3:$DH$129,DI$1,0),0)</f>
        <v>0</v>
      </c>
      <c r="DJ41" s="13">
        <f>IFERROR(VLOOKUP($G41,'Visu totale'!$D$3:$DH$129,DJ$1,0),0)</f>
        <v>0</v>
      </c>
      <c r="DK41" s="15">
        <f>IFERROR(VLOOKUP($G41,'Visu totale'!$D$3:$DH$129,DK$1,0),0)</f>
        <v>0</v>
      </c>
    </row>
    <row r="42" spans="1:115" x14ac:dyDescent="0.25">
      <c r="A42" s="13"/>
      <c r="B42" s="13"/>
      <c r="C42" s="13"/>
      <c r="D42" s="16"/>
      <c r="E42" s="13"/>
      <c r="F42" s="13"/>
      <c r="G42" s="17" t="s">
        <v>44</v>
      </c>
      <c r="H42" s="14">
        <f>IFERROR(VLOOKUP($G42,'Visu totale'!$D$3:$DH$129,H$1,0),0)</f>
        <v>0</v>
      </c>
      <c r="I42" s="13">
        <f>IFERROR(VLOOKUP($G42,'Visu totale'!$D$3:$DH$129,I$1,0),0)</f>
        <v>0</v>
      </c>
      <c r="J42" s="13">
        <f>IFERROR(VLOOKUP($G42,'Visu totale'!$D$3:$DH$129,J$1,0),0)</f>
        <v>0</v>
      </c>
      <c r="K42" s="13">
        <f>IFERROR(VLOOKUP($G42,'Visu totale'!$D$3:$DH$129,K$1,0),0)</f>
        <v>0</v>
      </c>
      <c r="L42" s="13">
        <f>IFERROR(VLOOKUP($G42,'Visu totale'!$D$3:$DH$129,L$1,0),0)</f>
        <v>0</v>
      </c>
      <c r="M42" s="13">
        <f>IFERROR(VLOOKUP($G42,'Visu totale'!$D$3:$DH$129,M$1,0),0)</f>
        <v>0</v>
      </c>
      <c r="N42" s="13">
        <f>IFERROR(VLOOKUP($G42,'Visu totale'!$D$3:$DH$129,N$1,0),0)</f>
        <v>0</v>
      </c>
      <c r="O42" s="13">
        <f>IFERROR(VLOOKUP($G42,'Visu totale'!$D$3:$DH$129,O$1,0),0)</f>
        <v>0</v>
      </c>
      <c r="P42" s="13">
        <f>IFERROR(VLOOKUP($G42,'Visu totale'!$D$3:$DH$129,P$1,0),0)</f>
        <v>0</v>
      </c>
      <c r="Q42" s="13">
        <f>IFERROR(VLOOKUP($G42,'Visu totale'!$D$3:$DH$129,Q$1,0),0)</f>
        <v>0</v>
      </c>
      <c r="R42" s="13">
        <f>IFERROR(VLOOKUP($G42,'Visu totale'!$D$3:$DH$129,R$1,0),0)</f>
        <v>0</v>
      </c>
      <c r="S42" s="15">
        <f>IFERROR(VLOOKUP($G42,'Visu totale'!$D$3:$DH$129,S$1,0),0)</f>
        <v>0</v>
      </c>
      <c r="T42" s="14">
        <f>IFERROR(VLOOKUP($G42,'Visu totale'!$D$3:$DH$129,T$1,0),0)</f>
        <v>0</v>
      </c>
      <c r="U42" s="13">
        <f>IFERROR(VLOOKUP($G42,'Visu totale'!$D$3:$DH$129,U$1,0),0)</f>
        <v>0</v>
      </c>
      <c r="V42" s="13">
        <f>IFERROR(VLOOKUP($G42,'Visu totale'!$D$3:$DH$129,V$1,0),0)</f>
        <v>0</v>
      </c>
      <c r="W42" s="13">
        <f>IFERROR(VLOOKUP($G42,'Visu totale'!$D$3:$DH$129,W$1,0),0)</f>
        <v>0</v>
      </c>
      <c r="X42" s="13">
        <f>IFERROR(VLOOKUP($G42,'Visu totale'!$D$3:$DH$129,X$1,0),0)</f>
        <v>0</v>
      </c>
      <c r="Y42" s="13">
        <f>IFERROR(VLOOKUP($G42,'Visu totale'!$D$3:$DH$129,Y$1,0),0)</f>
        <v>0</v>
      </c>
      <c r="Z42" s="13">
        <f>IFERROR(VLOOKUP($G42,'Visu totale'!$D$3:$DH$129,Z$1,0),0)</f>
        <v>0</v>
      </c>
      <c r="AA42" s="13">
        <f>IFERROR(VLOOKUP($G42,'Visu totale'!$D$3:$DH$129,AA$1,0),0)</f>
        <v>0</v>
      </c>
      <c r="AB42" s="13">
        <f>IFERROR(VLOOKUP($G42,'Visu totale'!$D$3:$DH$129,AB$1,0),0)</f>
        <v>0</v>
      </c>
      <c r="AC42" s="13">
        <f>IFERROR(VLOOKUP($G42,'Visu totale'!$D$3:$DH$129,AC$1,0),0)</f>
        <v>0</v>
      </c>
      <c r="AD42" s="13">
        <f>IFERROR(VLOOKUP($G42,'Visu totale'!$D$3:$DH$129,AD$1,0),0)</f>
        <v>0</v>
      </c>
      <c r="AE42" s="15">
        <f>IFERROR(VLOOKUP($G42,'Visu totale'!$D$3:$DH$129,AE$1,0),0)</f>
        <v>0</v>
      </c>
      <c r="AF42" s="14">
        <f>IFERROR(VLOOKUP($G42,'Visu totale'!$D$3:$DH$129,AF$1,0),0)</f>
        <v>0</v>
      </c>
      <c r="AG42" s="13">
        <f>IFERROR(VLOOKUP($G42,'Visu totale'!$D$3:$DH$129,AG$1,0),0)</f>
        <v>0</v>
      </c>
      <c r="AH42" s="13">
        <f>IFERROR(VLOOKUP($G42,'Visu totale'!$D$3:$DH$129,AH$1,0),0)</f>
        <v>0</v>
      </c>
      <c r="AI42" s="13">
        <f>IFERROR(VLOOKUP($G42,'Visu totale'!$D$3:$DH$129,AI$1,0),0)</f>
        <v>0</v>
      </c>
      <c r="AJ42" s="13">
        <f>IFERROR(VLOOKUP($G42,'Visu totale'!$D$3:$DH$129,AJ$1,0),0)</f>
        <v>0</v>
      </c>
      <c r="AK42" s="13">
        <f>IFERROR(VLOOKUP($G42,'Visu totale'!$D$3:$DH$129,AK$1,0),0)</f>
        <v>0</v>
      </c>
      <c r="AL42" s="13">
        <f>IFERROR(VLOOKUP($G42,'Visu totale'!$D$3:$DH$129,AL$1,0),0)</f>
        <v>0</v>
      </c>
      <c r="AM42" s="13">
        <f>IFERROR(VLOOKUP($G42,'Visu totale'!$D$3:$DH$129,AM$1,0),0)</f>
        <v>0</v>
      </c>
      <c r="AN42" s="13">
        <f>IFERROR(VLOOKUP($G42,'Visu totale'!$D$3:$DH$129,AN$1,0),0)</f>
        <v>0</v>
      </c>
      <c r="AO42" s="13">
        <f>IFERROR(VLOOKUP($G42,'Visu totale'!$D$3:$DH$129,AO$1,0),0)</f>
        <v>0</v>
      </c>
      <c r="AP42" s="13">
        <f>IFERROR(VLOOKUP($G42,'Visu totale'!$D$3:$DH$129,AP$1,0),0)</f>
        <v>0</v>
      </c>
      <c r="AQ42" s="15">
        <f>IFERROR(VLOOKUP($G42,'Visu totale'!$D$3:$DH$129,AQ$1,0),0)</f>
        <v>0</v>
      </c>
      <c r="AR42" s="14">
        <f>IFERROR(VLOOKUP($G42,'Visu totale'!$D$3:$DH$129,AR$1,0),0)</f>
        <v>0</v>
      </c>
      <c r="AS42" s="13">
        <f>IFERROR(VLOOKUP($G42,'Visu totale'!$D$3:$DH$129,AS$1,0),0)</f>
        <v>0</v>
      </c>
      <c r="AT42" s="13">
        <f>IFERROR(VLOOKUP($G42,'Visu totale'!$D$3:$DH$129,AT$1,0),0)</f>
        <v>0</v>
      </c>
      <c r="AU42" s="13">
        <f>IFERROR(VLOOKUP($G42,'Visu totale'!$D$3:$DH$129,AU$1,0),0)</f>
        <v>0</v>
      </c>
      <c r="AV42" s="13">
        <f>IFERROR(VLOOKUP($G42,'Visu totale'!$D$3:$DH$129,AV$1,0),0)</f>
        <v>0</v>
      </c>
      <c r="AW42" s="13">
        <f>IFERROR(VLOOKUP($G42,'Visu totale'!$D$3:$DH$129,AW$1,0),0)</f>
        <v>0</v>
      </c>
      <c r="AX42" s="13">
        <f>IFERROR(VLOOKUP($G42,'Visu totale'!$D$3:$DH$129,AX$1,0),0)</f>
        <v>0</v>
      </c>
      <c r="AY42" s="13">
        <f>IFERROR(VLOOKUP($G42,'Visu totale'!$D$3:$DH$129,AY$1,0),0)</f>
        <v>0</v>
      </c>
      <c r="AZ42" s="13">
        <f>IFERROR(VLOOKUP($G42,'Visu totale'!$D$3:$DH$129,AZ$1,0),0)</f>
        <v>0</v>
      </c>
      <c r="BA42" s="13">
        <f>IFERROR(VLOOKUP($G42,'Visu totale'!$D$3:$DH$129,BA$1,0),0)</f>
        <v>0</v>
      </c>
      <c r="BB42" s="13">
        <f>IFERROR(VLOOKUP($G42,'Visu totale'!$D$3:$DH$129,BB$1,0),0)</f>
        <v>0</v>
      </c>
      <c r="BC42" s="15">
        <f>IFERROR(VLOOKUP($G42,'Visu totale'!$D$3:$DH$129,BC$1,0),0)</f>
        <v>0</v>
      </c>
      <c r="BD42" s="14">
        <f>IFERROR(VLOOKUP($G42,'Visu totale'!$D$3:$DH$129,BD$1,0),0)</f>
        <v>0</v>
      </c>
      <c r="BE42" s="13">
        <f>IFERROR(VLOOKUP($G42,'Visu totale'!$D$3:$DH$129,BE$1,0),0)</f>
        <v>0</v>
      </c>
      <c r="BF42" s="13">
        <f>IFERROR(VLOOKUP($G42,'Visu totale'!$D$3:$DH$129,BF$1,0),0)</f>
        <v>0</v>
      </c>
      <c r="BG42" s="13">
        <f>IFERROR(VLOOKUP($G42,'Visu totale'!$D$3:$DH$129,BG$1,0),0)</f>
        <v>0</v>
      </c>
      <c r="BH42" s="13">
        <f>IFERROR(VLOOKUP($G42,'Visu totale'!$D$3:$DH$129,BH$1,0),0)</f>
        <v>0</v>
      </c>
      <c r="BI42" s="13">
        <f>IFERROR(VLOOKUP($G42,'Visu totale'!$D$3:$DH$129,BI$1,0),0)</f>
        <v>0</v>
      </c>
      <c r="BJ42" s="13">
        <f>IFERROR(VLOOKUP($G42,'Visu totale'!$D$3:$DH$129,BJ$1,0),0)</f>
        <v>0</v>
      </c>
      <c r="BK42" s="13">
        <f>IFERROR(VLOOKUP($G42,'Visu totale'!$D$3:$DH$129,BK$1,0),0)</f>
        <v>0</v>
      </c>
      <c r="BL42" s="13">
        <f>IFERROR(VLOOKUP($G42,'Visu totale'!$D$3:$DH$129,BL$1,0),0)</f>
        <v>0</v>
      </c>
      <c r="BM42" s="13">
        <f>IFERROR(VLOOKUP($G42,'Visu totale'!$D$3:$DH$129,BM$1,0),0)</f>
        <v>0</v>
      </c>
      <c r="BN42" s="13">
        <f>IFERROR(VLOOKUP($G42,'Visu totale'!$D$3:$DH$129,BN$1,0),0)</f>
        <v>0</v>
      </c>
      <c r="BO42" s="15">
        <f>IFERROR(VLOOKUP($G42,'Visu totale'!$D$3:$DH$129,BO$1,0),0)</f>
        <v>0</v>
      </c>
      <c r="BP42" s="14">
        <f>IFERROR(VLOOKUP($G42,'Visu totale'!$D$3:$DH$129,BP$1,0),0)</f>
        <v>0</v>
      </c>
      <c r="BQ42" s="13">
        <f>IFERROR(VLOOKUP($G42,'Visu totale'!$D$3:$DH$129,BQ$1,0),0)</f>
        <v>0</v>
      </c>
      <c r="BR42" s="13">
        <f>IFERROR(VLOOKUP($G42,'Visu totale'!$D$3:$DH$129,BR$1,0),0)</f>
        <v>0</v>
      </c>
      <c r="BS42" s="13">
        <f>IFERROR(VLOOKUP($G42,'Visu totale'!$D$3:$DH$129,BS$1,0),0)</f>
        <v>0</v>
      </c>
      <c r="BT42" s="13">
        <f>IFERROR(VLOOKUP($G42,'Visu totale'!$D$3:$DH$129,BT$1,0),0)</f>
        <v>0</v>
      </c>
      <c r="BU42" s="13">
        <f>IFERROR(VLOOKUP($G42,'Visu totale'!$D$3:$DH$129,BU$1,0),0)</f>
        <v>0</v>
      </c>
      <c r="BV42" s="13">
        <f>IFERROR(VLOOKUP($G42,'Visu totale'!$D$3:$DH$129,BV$1,0),0)</f>
        <v>0</v>
      </c>
      <c r="BW42" s="13">
        <f>IFERROR(VLOOKUP($G42,'Visu totale'!$D$3:$DH$129,BW$1,0),0)</f>
        <v>0</v>
      </c>
      <c r="BX42" s="13">
        <f>IFERROR(VLOOKUP($G42,'Visu totale'!$D$3:$DH$129,BX$1,0),0)</f>
        <v>0</v>
      </c>
      <c r="BY42" s="13">
        <f>IFERROR(VLOOKUP($G42,'Visu totale'!$D$3:$DH$129,BY$1,0),0)</f>
        <v>0</v>
      </c>
      <c r="BZ42" s="13">
        <f>IFERROR(VLOOKUP($G42,'Visu totale'!$D$3:$DH$129,BZ$1,0),0)</f>
        <v>0</v>
      </c>
      <c r="CA42" s="15">
        <f>IFERROR(VLOOKUP($G42,'Visu totale'!$D$3:$DH$129,CA$1,0),0)</f>
        <v>0</v>
      </c>
      <c r="CB42" s="14">
        <f>IFERROR(VLOOKUP($G42,'Visu totale'!$D$3:$DH$129,CB$1,0),0)</f>
        <v>0</v>
      </c>
      <c r="CC42" s="13">
        <f>IFERROR(VLOOKUP($G42,'Visu totale'!$D$3:$DH$129,CC$1,0),0)</f>
        <v>0</v>
      </c>
      <c r="CD42" s="13">
        <f>IFERROR(VLOOKUP($G42,'Visu totale'!$D$3:$DH$129,CD$1,0),0)</f>
        <v>0</v>
      </c>
      <c r="CE42" s="13">
        <f>IFERROR(VLOOKUP($G42,'Visu totale'!$D$3:$DH$129,CE$1,0),0)</f>
        <v>0</v>
      </c>
      <c r="CF42" s="13">
        <f>IFERROR(VLOOKUP($G42,'Visu totale'!$D$3:$DH$129,CF$1,0),0)</f>
        <v>0</v>
      </c>
      <c r="CG42" s="13">
        <f>IFERROR(VLOOKUP($G42,'Visu totale'!$D$3:$DH$129,CG$1,0),0)</f>
        <v>0</v>
      </c>
      <c r="CH42" s="13">
        <f>IFERROR(VLOOKUP($G42,'Visu totale'!$D$3:$DH$129,CH$1,0),0)</f>
        <v>0</v>
      </c>
      <c r="CI42" s="13">
        <f>IFERROR(VLOOKUP($G42,'Visu totale'!$D$3:$DH$129,CI$1,0),0)</f>
        <v>0</v>
      </c>
      <c r="CJ42" s="13">
        <f>IFERROR(VLOOKUP($G42,'Visu totale'!$D$3:$DH$129,CJ$1,0),0)</f>
        <v>0</v>
      </c>
      <c r="CK42" s="13">
        <f>IFERROR(VLOOKUP($G42,'Visu totale'!$D$3:$DH$129,CK$1,0),0)</f>
        <v>0</v>
      </c>
      <c r="CL42" s="13">
        <f>IFERROR(VLOOKUP($G42,'Visu totale'!$D$3:$DH$129,CL$1,0),0)</f>
        <v>0</v>
      </c>
      <c r="CM42" s="15">
        <f>IFERROR(VLOOKUP($G42,'Visu totale'!$D$3:$DH$129,CM$1,0),0)</f>
        <v>0</v>
      </c>
      <c r="CN42" s="14">
        <f>IFERROR(VLOOKUP($G42,'Visu totale'!$D$3:$DH$129,CN$1,0),0)</f>
        <v>0</v>
      </c>
      <c r="CO42" s="13">
        <f>IFERROR(VLOOKUP($G42,'Visu totale'!$D$3:$DH$129,CO$1,0),0)</f>
        <v>0</v>
      </c>
      <c r="CP42" s="13">
        <f>IFERROR(VLOOKUP($G42,'Visu totale'!$D$3:$DH$129,CP$1,0),0)</f>
        <v>0</v>
      </c>
      <c r="CQ42" s="13">
        <f>IFERROR(VLOOKUP($G42,'Visu totale'!$D$3:$DH$129,CQ$1,0),0)</f>
        <v>0</v>
      </c>
      <c r="CR42" s="13">
        <f>IFERROR(VLOOKUP($G42,'Visu totale'!$D$3:$DH$129,CR$1,0),0)</f>
        <v>0</v>
      </c>
      <c r="CS42" s="13">
        <f>IFERROR(VLOOKUP($G42,'Visu totale'!$D$3:$DH$129,CS$1,0),0)</f>
        <v>0</v>
      </c>
      <c r="CT42" s="13">
        <f>IFERROR(VLOOKUP($G42,'Visu totale'!$D$3:$DH$129,CT$1,0),0)</f>
        <v>0</v>
      </c>
      <c r="CU42" s="13">
        <f>IFERROR(VLOOKUP($G42,'Visu totale'!$D$3:$DH$129,CU$1,0),0)</f>
        <v>0</v>
      </c>
      <c r="CV42" s="13">
        <f>IFERROR(VLOOKUP($G42,'Visu totale'!$D$3:$DH$129,CV$1,0),0)</f>
        <v>0</v>
      </c>
      <c r="CW42" s="13">
        <f>IFERROR(VLOOKUP($G42,'Visu totale'!$D$3:$DH$129,CW$1,0),0)</f>
        <v>0</v>
      </c>
      <c r="CX42" s="13">
        <f>IFERROR(VLOOKUP($G42,'Visu totale'!$D$3:$DH$129,CX$1,0),0)</f>
        <v>0</v>
      </c>
      <c r="CY42" s="15">
        <f>IFERROR(VLOOKUP($G42,'Visu totale'!$D$3:$DH$129,CY$1,0),0)</f>
        <v>0</v>
      </c>
      <c r="CZ42" s="14">
        <f>IFERROR(VLOOKUP($G42,'Visu totale'!$D$3:$DH$129,CZ$1,0),0)</f>
        <v>0</v>
      </c>
      <c r="DA42" s="13">
        <f>IFERROR(VLOOKUP($G42,'Visu totale'!$D$3:$DH$129,DA$1,0),0)</f>
        <v>0</v>
      </c>
      <c r="DB42" s="13">
        <f>IFERROR(VLOOKUP($G42,'Visu totale'!$D$3:$DH$129,DB$1,0),0)</f>
        <v>0</v>
      </c>
      <c r="DC42" s="13">
        <f>IFERROR(VLOOKUP($G42,'Visu totale'!$D$3:$DH$129,DC$1,0),0)</f>
        <v>0</v>
      </c>
      <c r="DD42" s="13">
        <f>IFERROR(VLOOKUP($G42,'Visu totale'!$D$3:$DH$129,DD$1,0),0)</f>
        <v>0</v>
      </c>
      <c r="DE42" s="13">
        <f>IFERROR(VLOOKUP($G42,'Visu totale'!$D$3:$DH$129,DE$1,0),0)</f>
        <v>0</v>
      </c>
      <c r="DF42" s="13">
        <f>IFERROR(VLOOKUP($G42,'Visu totale'!$D$3:$DH$129,DF$1,0),0)</f>
        <v>0</v>
      </c>
      <c r="DG42" s="13">
        <f>IFERROR(VLOOKUP($G42,'Visu totale'!$D$3:$DH$129,DG$1,0),0)</f>
        <v>0</v>
      </c>
      <c r="DH42" s="13">
        <f>IFERROR(VLOOKUP($G42,'Visu totale'!$D$3:$DH$129,DH$1,0),0)</f>
        <v>0</v>
      </c>
      <c r="DI42" s="13">
        <f>IFERROR(VLOOKUP($G42,'Visu totale'!$D$3:$DH$129,DI$1,0),0)</f>
        <v>0</v>
      </c>
      <c r="DJ42" s="13">
        <f>IFERROR(VLOOKUP($G42,'Visu totale'!$D$3:$DH$129,DJ$1,0),0)</f>
        <v>0</v>
      </c>
      <c r="DK42" s="15">
        <f>IFERROR(VLOOKUP($G42,'Visu totale'!$D$3:$DH$129,DK$1,0),0)</f>
        <v>0</v>
      </c>
    </row>
    <row r="43" spans="1:115" x14ac:dyDescent="0.25">
      <c r="A43" s="13"/>
      <c r="B43" s="13"/>
      <c r="C43" s="13"/>
      <c r="D43" s="16"/>
      <c r="E43" s="13"/>
      <c r="F43" s="13"/>
      <c r="G43" s="17" t="s">
        <v>45</v>
      </c>
      <c r="H43" s="14">
        <f>IFERROR(VLOOKUP($G43,'Visu totale'!$D$3:$DH$129,H$1,0),0)</f>
        <v>0</v>
      </c>
      <c r="I43" s="13">
        <f>IFERROR(VLOOKUP($G43,'Visu totale'!$D$3:$DH$129,I$1,0),0)</f>
        <v>0</v>
      </c>
      <c r="J43" s="13">
        <f>IFERROR(VLOOKUP($G43,'Visu totale'!$D$3:$DH$129,J$1,0),0)</f>
        <v>0</v>
      </c>
      <c r="K43" s="13">
        <f>IFERROR(VLOOKUP($G43,'Visu totale'!$D$3:$DH$129,K$1,0),0)</f>
        <v>0</v>
      </c>
      <c r="L43" s="13">
        <f>IFERROR(VLOOKUP($G43,'Visu totale'!$D$3:$DH$129,L$1,0),0)</f>
        <v>0</v>
      </c>
      <c r="M43" s="13">
        <f>IFERROR(VLOOKUP($G43,'Visu totale'!$D$3:$DH$129,M$1,0),0)</f>
        <v>0</v>
      </c>
      <c r="N43" s="13">
        <f>IFERROR(VLOOKUP($G43,'Visu totale'!$D$3:$DH$129,N$1,0),0)</f>
        <v>0</v>
      </c>
      <c r="O43" s="13">
        <f>IFERROR(VLOOKUP($G43,'Visu totale'!$D$3:$DH$129,O$1,0),0)</f>
        <v>0</v>
      </c>
      <c r="P43" s="13">
        <f>IFERROR(VLOOKUP($G43,'Visu totale'!$D$3:$DH$129,P$1,0),0)</f>
        <v>0</v>
      </c>
      <c r="Q43" s="13">
        <f>IFERROR(VLOOKUP($G43,'Visu totale'!$D$3:$DH$129,Q$1,0),0)</f>
        <v>0</v>
      </c>
      <c r="R43" s="13">
        <f>IFERROR(VLOOKUP($G43,'Visu totale'!$D$3:$DH$129,R$1,0),0)</f>
        <v>0</v>
      </c>
      <c r="S43" s="15">
        <f>IFERROR(VLOOKUP($G43,'Visu totale'!$D$3:$DH$129,S$1,0),0)</f>
        <v>0</v>
      </c>
      <c r="T43" s="14">
        <f>IFERROR(VLOOKUP($G43,'Visu totale'!$D$3:$DH$129,T$1,0),0)</f>
        <v>0</v>
      </c>
      <c r="U43" s="13">
        <f>IFERROR(VLOOKUP($G43,'Visu totale'!$D$3:$DH$129,U$1,0),0)</f>
        <v>0</v>
      </c>
      <c r="V43" s="13">
        <f>IFERROR(VLOOKUP($G43,'Visu totale'!$D$3:$DH$129,V$1,0),0)</f>
        <v>0</v>
      </c>
      <c r="W43" s="13">
        <f>IFERROR(VLOOKUP($G43,'Visu totale'!$D$3:$DH$129,W$1,0),0)</f>
        <v>0</v>
      </c>
      <c r="X43" s="13">
        <f>IFERROR(VLOOKUP($G43,'Visu totale'!$D$3:$DH$129,X$1,0),0)</f>
        <v>0</v>
      </c>
      <c r="Y43" s="13">
        <f>IFERROR(VLOOKUP($G43,'Visu totale'!$D$3:$DH$129,Y$1,0),0)</f>
        <v>0</v>
      </c>
      <c r="Z43" s="13">
        <f>IFERROR(VLOOKUP($G43,'Visu totale'!$D$3:$DH$129,Z$1,0),0)</f>
        <v>0</v>
      </c>
      <c r="AA43" s="13">
        <f>IFERROR(VLOOKUP($G43,'Visu totale'!$D$3:$DH$129,AA$1,0),0)</f>
        <v>0</v>
      </c>
      <c r="AB43" s="13">
        <f>IFERROR(VLOOKUP($G43,'Visu totale'!$D$3:$DH$129,AB$1,0),0)</f>
        <v>0</v>
      </c>
      <c r="AC43" s="13">
        <f>IFERROR(VLOOKUP($G43,'Visu totale'!$D$3:$DH$129,AC$1,0),0)</f>
        <v>0</v>
      </c>
      <c r="AD43" s="13">
        <f>IFERROR(VLOOKUP($G43,'Visu totale'!$D$3:$DH$129,AD$1,0),0)</f>
        <v>0</v>
      </c>
      <c r="AE43" s="15">
        <f>IFERROR(VLOOKUP($G43,'Visu totale'!$D$3:$DH$129,AE$1,0),0)</f>
        <v>0</v>
      </c>
      <c r="AF43" s="14">
        <f>IFERROR(VLOOKUP($G43,'Visu totale'!$D$3:$DH$129,AF$1,0),0)</f>
        <v>0</v>
      </c>
      <c r="AG43" s="13">
        <f>IFERROR(VLOOKUP($G43,'Visu totale'!$D$3:$DH$129,AG$1,0),0)</f>
        <v>0</v>
      </c>
      <c r="AH43" s="13">
        <f>IFERROR(VLOOKUP($G43,'Visu totale'!$D$3:$DH$129,AH$1,0),0)</f>
        <v>0</v>
      </c>
      <c r="AI43" s="13">
        <f>IFERROR(VLOOKUP($G43,'Visu totale'!$D$3:$DH$129,AI$1,0),0)</f>
        <v>0</v>
      </c>
      <c r="AJ43" s="13">
        <f>IFERROR(VLOOKUP($G43,'Visu totale'!$D$3:$DH$129,AJ$1,0),0)</f>
        <v>0</v>
      </c>
      <c r="AK43" s="13">
        <f>IFERROR(VLOOKUP($G43,'Visu totale'!$D$3:$DH$129,AK$1,0),0)</f>
        <v>0</v>
      </c>
      <c r="AL43" s="13">
        <f>IFERROR(VLOOKUP($G43,'Visu totale'!$D$3:$DH$129,AL$1,0),0)</f>
        <v>0</v>
      </c>
      <c r="AM43" s="13">
        <f>IFERROR(VLOOKUP($G43,'Visu totale'!$D$3:$DH$129,AM$1,0),0)</f>
        <v>0</v>
      </c>
      <c r="AN43" s="13">
        <f>IFERROR(VLOOKUP($G43,'Visu totale'!$D$3:$DH$129,AN$1,0),0)</f>
        <v>0</v>
      </c>
      <c r="AO43" s="13">
        <f>IFERROR(VLOOKUP($G43,'Visu totale'!$D$3:$DH$129,AO$1,0),0)</f>
        <v>0</v>
      </c>
      <c r="AP43" s="13">
        <f>IFERROR(VLOOKUP($G43,'Visu totale'!$D$3:$DH$129,AP$1,0),0)</f>
        <v>0</v>
      </c>
      <c r="AQ43" s="15">
        <f>IFERROR(VLOOKUP($G43,'Visu totale'!$D$3:$DH$129,AQ$1,0),0)</f>
        <v>0</v>
      </c>
      <c r="AR43" s="14">
        <f>IFERROR(VLOOKUP($G43,'Visu totale'!$D$3:$DH$129,AR$1,0),0)</f>
        <v>0</v>
      </c>
      <c r="AS43" s="13">
        <f>IFERROR(VLOOKUP($G43,'Visu totale'!$D$3:$DH$129,AS$1,0),0)</f>
        <v>0</v>
      </c>
      <c r="AT43" s="13">
        <f>IFERROR(VLOOKUP($G43,'Visu totale'!$D$3:$DH$129,AT$1,0),0)</f>
        <v>0</v>
      </c>
      <c r="AU43" s="13">
        <f>IFERROR(VLOOKUP($G43,'Visu totale'!$D$3:$DH$129,AU$1,0),0)</f>
        <v>0</v>
      </c>
      <c r="AV43" s="13">
        <f>IFERROR(VLOOKUP($G43,'Visu totale'!$D$3:$DH$129,AV$1,0),0)</f>
        <v>0</v>
      </c>
      <c r="AW43" s="13">
        <f>IFERROR(VLOOKUP($G43,'Visu totale'!$D$3:$DH$129,AW$1,0),0)</f>
        <v>0</v>
      </c>
      <c r="AX43" s="13">
        <f>IFERROR(VLOOKUP($G43,'Visu totale'!$D$3:$DH$129,AX$1,0),0)</f>
        <v>0</v>
      </c>
      <c r="AY43" s="13">
        <f>IFERROR(VLOOKUP($G43,'Visu totale'!$D$3:$DH$129,AY$1,0),0)</f>
        <v>0</v>
      </c>
      <c r="AZ43" s="13">
        <f>IFERROR(VLOOKUP($G43,'Visu totale'!$D$3:$DH$129,AZ$1,0),0)</f>
        <v>0</v>
      </c>
      <c r="BA43" s="13">
        <f>IFERROR(VLOOKUP($G43,'Visu totale'!$D$3:$DH$129,BA$1,0),0)</f>
        <v>0</v>
      </c>
      <c r="BB43" s="13">
        <f>IFERROR(VLOOKUP($G43,'Visu totale'!$D$3:$DH$129,BB$1,0),0)</f>
        <v>0</v>
      </c>
      <c r="BC43" s="15">
        <f>IFERROR(VLOOKUP($G43,'Visu totale'!$D$3:$DH$129,BC$1,0),0)</f>
        <v>0</v>
      </c>
      <c r="BD43" s="14">
        <f>IFERROR(VLOOKUP($G43,'Visu totale'!$D$3:$DH$129,BD$1,0),0)</f>
        <v>0</v>
      </c>
      <c r="BE43" s="13">
        <f>IFERROR(VLOOKUP($G43,'Visu totale'!$D$3:$DH$129,BE$1,0),0)</f>
        <v>0</v>
      </c>
      <c r="BF43" s="13">
        <f>IFERROR(VLOOKUP($G43,'Visu totale'!$D$3:$DH$129,BF$1,0),0)</f>
        <v>0</v>
      </c>
      <c r="BG43" s="13">
        <f>IFERROR(VLOOKUP($G43,'Visu totale'!$D$3:$DH$129,BG$1,0),0)</f>
        <v>0</v>
      </c>
      <c r="BH43" s="13">
        <f>IFERROR(VLOOKUP($G43,'Visu totale'!$D$3:$DH$129,BH$1,0),0)</f>
        <v>0</v>
      </c>
      <c r="BI43" s="13">
        <f>IFERROR(VLOOKUP($G43,'Visu totale'!$D$3:$DH$129,BI$1,0),0)</f>
        <v>0</v>
      </c>
      <c r="BJ43" s="13">
        <f>IFERROR(VLOOKUP($G43,'Visu totale'!$D$3:$DH$129,BJ$1,0),0)</f>
        <v>0</v>
      </c>
      <c r="BK43" s="13">
        <f>IFERROR(VLOOKUP($G43,'Visu totale'!$D$3:$DH$129,BK$1,0),0)</f>
        <v>0</v>
      </c>
      <c r="BL43" s="13">
        <f>IFERROR(VLOOKUP($G43,'Visu totale'!$D$3:$DH$129,BL$1,0),0)</f>
        <v>0</v>
      </c>
      <c r="BM43" s="13">
        <f>IFERROR(VLOOKUP($G43,'Visu totale'!$D$3:$DH$129,BM$1,0),0)</f>
        <v>0</v>
      </c>
      <c r="BN43" s="13">
        <f>IFERROR(VLOOKUP($G43,'Visu totale'!$D$3:$DH$129,BN$1,0),0)</f>
        <v>0</v>
      </c>
      <c r="BO43" s="15">
        <f>IFERROR(VLOOKUP($G43,'Visu totale'!$D$3:$DH$129,BO$1,0),0)</f>
        <v>0</v>
      </c>
      <c r="BP43" s="14">
        <f>IFERROR(VLOOKUP($G43,'Visu totale'!$D$3:$DH$129,BP$1,0),0)</f>
        <v>0</v>
      </c>
      <c r="BQ43" s="13">
        <f>IFERROR(VLOOKUP($G43,'Visu totale'!$D$3:$DH$129,BQ$1,0),0)</f>
        <v>0</v>
      </c>
      <c r="BR43" s="13">
        <f>IFERROR(VLOOKUP($G43,'Visu totale'!$D$3:$DH$129,BR$1,0),0)</f>
        <v>0</v>
      </c>
      <c r="BS43" s="13">
        <f>IFERROR(VLOOKUP($G43,'Visu totale'!$D$3:$DH$129,BS$1,0),0)</f>
        <v>0</v>
      </c>
      <c r="BT43" s="13">
        <f>IFERROR(VLOOKUP($G43,'Visu totale'!$D$3:$DH$129,BT$1,0),0)</f>
        <v>0</v>
      </c>
      <c r="BU43" s="13">
        <f>IFERROR(VLOOKUP($G43,'Visu totale'!$D$3:$DH$129,BU$1,0),0)</f>
        <v>0</v>
      </c>
      <c r="BV43" s="13">
        <f>IFERROR(VLOOKUP($G43,'Visu totale'!$D$3:$DH$129,BV$1,0),0)</f>
        <v>0</v>
      </c>
      <c r="BW43" s="13">
        <f>IFERROR(VLOOKUP($G43,'Visu totale'!$D$3:$DH$129,BW$1,0),0)</f>
        <v>0</v>
      </c>
      <c r="BX43" s="13">
        <f>IFERROR(VLOOKUP($G43,'Visu totale'!$D$3:$DH$129,BX$1,0),0)</f>
        <v>0</v>
      </c>
      <c r="BY43" s="13">
        <f>IFERROR(VLOOKUP($G43,'Visu totale'!$D$3:$DH$129,BY$1,0),0)</f>
        <v>0</v>
      </c>
      <c r="BZ43" s="13">
        <f>IFERROR(VLOOKUP($G43,'Visu totale'!$D$3:$DH$129,BZ$1,0),0)</f>
        <v>0</v>
      </c>
      <c r="CA43" s="15">
        <f>IFERROR(VLOOKUP($G43,'Visu totale'!$D$3:$DH$129,CA$1,0),0)</f>
        <v>0</v>
      </c>
      <c r="CB43" s="14">
        <f>IFERROR(VLOOKUP($G43,'Visu totale'!$D$3:$DH$129,CB$1,0),0)</f>
        <v>0</v>
      </c>
      <c r="CC43" s="13">
        <f>IFERROR(VLOOKUP($G43,'Visu totale'!$D$3:$DH$129,CC$1,0),0)</f>
        <v>0</v>
      </c>
      <c r="CD43" s="13">
        <f>IFERROR(VLOOKUP($G43,'Visu totale'!$D$3:$DH$129,CD$1,0),0)</f>
        <v>0</v>
      </c>
      <c r="CE43" s="13">
        <f>IFERROR(VLOOKUP($G43,'Visu totale'!$D$3:$DH$129,CE$1,0),0)</f>
        <v>0</v>
      </c>
      <c r="CF43" s="13">
        <f>IFERROR(VLOOKUP($G43,'Visu totale'!$D$3:$DH$129,CF$1,0),0)</f>
        <v>0</v>
      </c>
      <c r="CG43" s="13">
        <f>IFERROR(VLOOKUP($G43,'Visu totale'!$D$3:$DH$129,CG$1,0),0)</f>
        <v>0</v>
      </c>
      <c r="CH43" s="13">
        <f>IFERROR(VLOOKUP($G43,'Visu totale'!$D$3:$DH$129,CH$1,0),0)</f>
        <v>0</v>
      </c>
      <c r="CI43" s="13">
        <f>IFERROR(VLOOKUP($G43,'Visu totale'!$D$3:$DH$129,CI$1,0),0)</f>
        <v>0</v>
      </c>
      <c r="CJ43" s="13">
        <f>IFERROR(VLOOKUP($G43,'Visu totale'!$D$3:$DH$129,CJ$1,0),0)</f>
        <v>0</v>
      </c>
      <c r="CK43" s="13">
        <f>IFERROR(VLOOKUP($G43,'Visu totale'!$D$3:$DH$129,CK$1,0),0)</f>
        <v>0</v>
      </c>
      <c r="CL43" s="13">
        <f>IFERROR(VLOOKUP($G43,'Visu totale'!$D$3:$DH$129,CL$1,0),0)</f>
        <v>0</v>
      </c>
      <c r="CM43" s="15">
        <f>IFERROR(VLOOKUP($G43,'Visu totale'!$D$3:$DH$129,CM$1,0),0)</f>
        <v>0</v>
      </c>
      <c r="CN43" s="14">
        <f>IFERROR(VLOOKUP($G43,'Visu totale'!$D$3:$DH$129,CN$1,0),0)</f>
        <v>0</v>
      </c>
      <c r="CO43" s="13">
        <f>IFERROR(VLOOKUP($G43,'Visu totale'!$D$3:$DH$129,CO$1,0),0)</f>
        <v>0</v>
      </c>
      <c r="CP43" s="13">
        <f>IFERROR(VLOOKUP($G43,'Visu totale'!$D$3:$DH$129,CP$1,0),0)</f>
        <v>0</v>
      </c>
      <c r="CQ43" s="13">
        <f>IFERROR(VLOOKUP($G43,'Visu totale'!$D$3:$DH$129,CQ$1,0),0)</f>
        <v>0</v>
      </c>
      <c r="CR43" s="13">
        <f>IFERROR(VLOOKUP($G43,'Visu totale'!$D$3:$DH$129,CR$1,0),0)</f>
        <v>0</v>
      </c>
      <c r="CS43" s="13">
        <f>IFERROR(VLOOKUP($G43,'Visu totale'!$D$3:$DH$129,CS$1,0),0)</f>
        <v>0</v>
      </c>
      <c r="CT43" s="13">
        <f>IFERROR(VLOOKUP($G43,'Visu totale'!$D$3:$DH$129,CT$1,0),0)</f>
        <v>0</v>
      </c>
      <c r="CU43" s="13">
        <f>IFERROR(VLOOKUP($G43,'Visu totale'!$D$3:$DH$129,CU$1,0),0)</f>
        <v>0</v>
      </c>
      <c r="CV43" s="13">
        <f>IFERROR(VLOOKUP($G43,'Visu totale'!$D$3:$DH$129,CV$1,0),0)</f>
        <v>0</v>
      </c>
      <c r="CW43" s="13">
        <f>IFERROR(VLOOKUP($G43,'Visu totale'!$D$3:$DH$129,CW$1,0),0)</f>
        <v>0</v>
      </c>
      <c r="CX43" s="13">
        <f>IFERROR(VLOOKUP($G43,'Visu totale'!$D$3:$DH$129,CX$1,0),0)</f>
        <v>0</v>
      </c>
      <c r="CY43" s="15">
        <f>IFERROR(VLOOKUP($G43,'Visu totale'!$D$3:$DH$129,CY$1,0),0)</f>
        <v>0</v>
      </c>
      <c r="CZ43" s="14">
        <f>IFERROR(VLOOKUP($G43,'Visu totale'!$D$3:$DH$129,CZ$1,0),0)</f>
        <v>0</v>
      </c>
      <c r="DA43" s="13">
        <f>IFERROR(VLOOKUP($G43,'Visu totale'!$D$3:$DH$129,DA$1,0),0)</f>
        <v>0</v>
      </c>
      <c r="DB43" s="13">
        <f>IFERROR(VLOOKUP($G43,'Visu totale'!$D$3:$DH$129,DB$1,0),0)</f>
        <v>0</v>
      </c>
      <c r="DC43" s="13">
        <f>IFERROR(VLOOKUP($G43,'Visu totale'!$D$3:$DH$129,DC$1,0),0)</f>
        <v>0</v>
      </c>
      <c r="DD43" s="13">
        <f>IFERROR(VLOOKUP($G43,'Visu totale'!$D$3:$DH$129,DD$1,0),0)</f>
        <v>0</v>
      </c>
      <c r="DE43" s="13">
        <f>IFERROR(VLOOKUP($G43,'Visu totale'!$D$3:$DH$129,DE$1,0),0)</f>
        <v>0</v>
      </c>
      <c r="DF43" s="13">
        <f>IFERROR(VLOOKUP($G43,'Visu totale'!$D$3:$DH$129,DF$1,0),0)</f>
        <v>0</v>
      </c>
      <c r="DG43" s="13">
        <f>IFERROR(VLOOKUP($G43,'Visu totale'!$D$3:$DH$129,DG$1,0),0)</f>
        <v>0</v>
      </c>
      <c r="DH43" s="13">
        <f>IFERROR(VLOOKUP($G43,'Visu totale'!$D$3:$DH$129,DH$1,0),0)</f>
        <v>0</v>
      </c>
      <c r="DI43" s="13">
        <f>IFERROR(VLOOKUP($G43,'Visu totale'!$D$3:$DH$129,DI$1,0),0)</f>
        <v>0</v>
      </c>
      <c r="DJ43" s="13">
        <f>IFERROR(VLOOKUP($G43,'Visu totale'!$D$3:$DH$129,DJ$1,0),0)</f>
        <v>0</v>
      </c>
      <c r="DK43" s="15">
        <f>IFERROR(VLOOKUP($G43,'Visu totale'!$D$3:$DH$129,DK$1,0),0)</f>
        <v>0</v>
      </c>
    </row>
    <row r="44" spans="1:115" x14ac:dyDescent="0.25">
      <c r="A44" s="13"/>
      <c r="B44" s="13"/>
      <c r="C44" s="13"/>
      <c r="D44" s="16"/>
      <c r="E44" s="13"/>
      <c r="F44" s="13"/>
      <c r="G44" s="17" t="s">
        <v>46</v>
      </c>
      <c r="H44" s="14">
        <f>IFERROR(VLOOKUP($G44,'Visu totale'!$D$3:$DH$129,H$1,0),0)</f>
        <v>0</v>
      </c>
      <c r="I44" s="13">
        <f>IFERROR(VLOOKUP($G44,'Visu totale'!$D$3:$DH$129,I$1,0),0)</f>
        <v>0</v>
      </c>
      <c r="J44" s="13">
        <f>IFERROR(VLOOKUP($G44,'Visu totale'!$D$3:$DH$129,J$1,0),0)</f>
        <v>0</v>
      </c>
      <c r="K44" s="13">
        <f>IFERROR(VLOOKUP($G44,'Visu totale'!$D$3:$DH$129,K$1,0),0)</f>
        <v>0</v>
      </c>
      <c r="L44" s="13">
        <f>IFERROR(VLOOKUP($G44,'Visu totale'!$D$3:$DH$129,L$1,0),0)</f>
        <v>0</v>
      </c>
      <c r="M44" s="13">
        <f>IFERROR(VLOOKUP($G44,'Visu totale'!$D$3:$DH$129,M$1,0),0)</f>
        <v>0</v>
      </c>
      <c r="N44" s="13">
        <f>IFERROR(VLOOKUP($G44,'Visu totale'!$D$3:$DH$129,N$1,0),0)</f>
        <v>0</v>
      </c>
      <c r="O44" s="13">
        <f>IFERROR(VLOOKUP($G44,'Visu totale'!$D$3:$DH$129,O$1,0),0)</f>
        <v>0</v>
      </c>
      <c r="P44" s="13">
        <f>IFERROR(VLOOKUP($G44,'Visu totale'!$D$3:$DH$129,P$1,0),0)</f>
        <v>0</v>
      </c>
      <c r="Q44" s="13">
        <f>IFERROR(VLOOKUP($G44,'Visu totale'!$D$3:$DH$129,Q$1,0),0)</f>
        <v>0</v>
      </c>
      <c r="R44" s="13">
        <f>IFERROR(VLOOKUP($G44,'Visu totale'!$D$3:$DH$129,R$1,0),0)</f>
        <v>0</v>
      </c>
      <c r="S44" s="15">
        <f>IFERROR(VLOOKUP($G44,'Visu totale'!$D$3:$DH$129,S$1,0),0)</f>
        <v>0</v>
      </c>
      <c r="T44" s="14">
        <f>IFERROR(VLOOKUP($G44,'Visu totale'!$D$3:$DH$129,T$1,0),0)</f>
        <v>0</v>
      </c>
      <c r="U44" s="13">
        <f>IFERROR(VLOOKUP($G44,'Visu totale'!$D$3:$DH$129,U$1,0),0)</f>
        <v>0</v>
      </c>
      <c r="V44" s="13">
        <f>IFERROR(VLOOKUP($G44,'Visu totale'!$D$3:$DH$129,V$1,0),0)</f>
        <v>0</v>
      </c>
      <c r="W44" s="13">
        <f>IFERROR(VLOOKUP($G44,'Visu totale'!$D$3:$DH$129,W$1,0),0)</f>
        <v>0</v>
      </c>
      <c r="X44" s="13">
        <f>IFERROR(VLOOKUP($G44,'Visu totale'!$D$3:$DH$129,X$1,0),0)</f>
        <v>0</v>
      </c>
      <c r="Y44" s="13">
        <f>IFERROR(VLOOKUP($G44,'Visu totale'!$D$3:$DH$129,Y$1,0),0)</f>
        <v>0</v>
      </c>
      <c r="Z44" s="13">
        <f>IFERROR(VLOOKUP($G44,'Visu totale'!$D$3:$DH$129,Z$1,0),0)</f>
        <v>0</v>
      </c>
      <c r="AA44" s="13">
        <f>IFERROR(VLOOKUP($G44,'Visu totale'!$D$3:$DH$129,AA$1,0),0)</f>
        <v>0</v>
      </c>
      <c r="AB44" s="13">
        <f>IFERROR(VLOOKUP($G44,'Visu totale'!$D$3:$DH$129,AB$1,0),0)</f>
        <v>0</v>
      </c>
      <c r="AC44" s="13">
        <f>IFERROR(VLOOKUP($G44,'Visu totale'!$D$3:$DH$129,AC$1,0),0)</f>
        <v>0</v>
      </c>
      <c r="AD44" s="13">
        <f>IFERROR(VLOOKUP($G44,'Visu totale'!$D$3:$DH$129,AD$1,0),0)</f>
        <v>0</v>
      </c>
      <c r="AE44" s="15">
        <f>IFERROR(VLOOKUP($G44,'Visu totale'!$D$3:$DH$129,AE$1,0),0)</f>
        <v>0</v>
      </c>
      <c r="AF44" s="14">
        <f>IFERROR(VLOOKUP($G44,'Visu totale'!$D$3:$DH$129,AF$1,0),0)</f>
        <v>0</v>
      </c>
      <c r="AG44" s="13">
        <f>IFERROR(VLOOKUP($G44,'Visu totale'!$D$3:$DH$129,AG$1,0),0)</f>
        <v>0</v>
      </c>
      <c r="AH44" s="13">
        <f>IFERROR(VLOOKUP($G44,'Visu totale'!$D$3:$DH$129,AH$1,0),0)</f>
        <v>0</v>
      </c>
      <c r="AI44" s="13">
        <f>IFERROR(VLOOKUP($G44,'Visu totale'!$D$3:$DH$129,AI$1,0),0)</f>
        <v>0</v>
      </c>
      <c r="AJ44" s="13">
        <f>IFERROR(VLOOKUP($G44,'Visu totale'!$D$3:$DH$129,AJ$1,0),0)</f>
        <v>0</v>
      </c>
      <c r="AK44" s="13">
        <f>IFERROR(VLOOKUP($G44,'Visu totale'!$D$3:$DH$129,AK$1,0),0)</f>
        <v>0</v>
      </c>
      <c r="AL44" s="13">
        <f>IFERROR(VLOOKUP($G44,'Visu totale'!$D$3:$DH$129,AL$1,0),0)</f>
        <v>0</v>
      </c>
      <c r="AM44" s="13">
        <f>IFERROR(VLOOKUP($G44,'Visu totale'!$D$3:$DH$129,AM$1,0),0)</f>
        <v>0</v>
      </c>
      <c r="AN44" s="13">
        <f>IFERROR(VLOOKUP($G44,'Visu totale'!$D$3:$DH$129,AN$1,0),0)</f>
        <v>0</v>
      </c>
      <c r="AO44" s="13">
        <f>IFERROR(VLOOKUP($G44,'Visu totale'!$D$3:$DH$129,AO$1,0),0)</f>
        <v>0</v>
      </c>
      <c r="AP44" s="13">
        <f>IFERROR(VLOOKUP($G44,'Visu totale'!$D$3:$DH$129,AP$1,0),0)</f>
        <v>0</v>
      </c>
      <c r="AQ44" s="15">
        <f>IFERROR(VLOOKUP($G44,'Visu totale'!$D$3:$DH$129,AQ$1,0),0)</f>
        <v>0</v>
      </c>
      <c r="AR44" s="14">
        <f>IFERROR(VLOOKUP($G44,'Visu totale'!$D$3:$DH$129,AR$1,0),0)</f>
        <v>0</v>
      </c>
      <c r="AS44" s="13">
        <f>IFERROR(VLOOKUP($G44,'Visu totale'!$D$3:$DH$129,AS$1,0),0)</f>
        <v>0</v>
      </c>
      <c r="AT44" s="13">
        <f>IFERROR(VLOOKUP($G44,'Visu totale'!$D$3:$DH$129,AT$1,0),0)</f>
        <v>0</v>
      </c>
      <c r="AU44" s="13">
        <f>IFERROR(VLOOKUP($G44,'Visu totale'!$D$3:$DH$129,AU$1,0),0)</f>
        <v>0</v>
      </c>
      <c r="AV44" s="13">
        <f>IFERROR(VLOOKUP($G44,'Visu totale'!$D$3:$DH$129,AV$1,0),0)</f>
        <v>0</v>
      </c>
      <c r="AW44" s="13">
        <f>IFERROR(VLOOKUP($G44,'Visu totale'!$D$3:$DH$129,AW$1,0),0)</f>
        <v>0</v>
      </c>
      <c r="AX44" s="13">
        <f>IFERROR(VLOOKUP($G44,'Visu totale'!$D$3:$DH$129,AX$1,0),0)</f>
        <v>0</v>
      </c>
      <c r="AY44" s="13">
        <f>IFERROR(VLOOKUP($G44,'Visu totale'!$D$3:$DH$129,AY$1,0),0)</f>
        <v>0</v>
      </c>
      <c r="AZ44" s="13">
        <f>IFERROR(VLOOKUP($G44,'Visu totale'!$D$3:$DH$129,AZ$1,0),0)</f>
        <v>0</v>
      </c>
      <c r="BA44" s="13">
        <f>IFERROR(VLOOKUP($G44,'Visu totale'!$D$3:$DH$129,BA$1,0),0)</f>
        <v>0</v>
      </c>
      <c r="BB44" s="13">
        <f>IFERROR(VLOOKUP($G44,'Visu totale'!$D$3:$DH$129,BB$1,0),0)</f>
        <v>0</v>
      </c>
      <c r="BC44" s="15">
        <f>IFERROR(VLOOKUP($G44,'Visu totale'!$D$3:$DH$129,BC$1,0),0)</f>
        <v>0</v>
      </c>
      <c r="BD44" s="14">
        <f>IFERROR(VLOOKUP($G44,'Visu totale'!$D$3:$DH$129,BD$1,0),0)</f>
        <v>0</v>
      </c>
      <c r="BE44" s="13">
        <f>IFERROR(VLOOKUP($G44,'Visu totale'!$D$3:$DH$129,BE$1,0),0)</f>
        <v>0</v>
      </c>
      <c r="BF44" s="13">
        <f>IFERROR(VLOOKUP($G44,'Visu totale'!$D$3:$DH$129,BF$1,0),0)</f>
        <v>0</v>
      </c>
      <c r="BG44" s="13">
        <f>IFERROR(VLOOKUP($G44,'Visu totale'!$D$3:$DH$129,BG$1,0),0)</f>
        <v>0</v>
      </c>
      <c r="BH44" s="13">
        <f>IFERROR(VLOOKUP($G44,'Visu totale'!$D$3:$DH$129,BH$1,0),0)</f>
        <v>0</v>
      </c>
      <c r="BI44" s="13">
        <f>IFERROR(VLOOKUP($G44,'Visu totale'!$D$3:$DH$129,BI$1,0),0)</f>
        <v>0</v>
      </c>
      <c r="BJ44" s="13">
        <f>IFERROR(VLOOKUP($G44,'Visu totale'!$D$3:$DH$129,BJ$1,0),0)</f>
        <v>0</v>
      </c>
      <c r="BK44" s="13">
        <f>IFERROR(VLOOKUP($G44,'Visu totale'!$D$3:$DH$129,BK$1,0),0)</f>
        <v>0</v>
      </c>
      <c r="BL44" s="13">
        <f>IFERROR(VLOOKUP($G44,'Visu totale'!$D$3:$DH$129,BL$1,0),0)</f>
        <v>0</v>
      </c>
      <c r="BM44" s="13">
        <f>IFERROR(VLOOKUP($G44,'Visu totale'!$D$3:$DH$129,BM$1,0),0)</f>
        <v>0</v>
      </c>
      <c r="BN44" s="13">
        <f>IFERROR(VLOOKUP($G44,'Visu totale'!$D$3:$DH$129,BN$1,0),0)</f>
        <v>0</v>
      </c>
      <c r="BO44" s="15">
        <f>IFERROR(VLOOKUP($G44,'Visu totale'!$D$3:$DH$129,BO$1,0),0)</f>
        <v>0</v>
      </c>
      <c r="BP44" s="14">
        <f>IFERROR(VLOOKUP($G44,'Visu totale'!$D$3:$DH$129,BP$1,0),0)</f>
        <v>0</v>
      </c>
      <c r="BQ44" s="13">
        <f>IFERROR(VLOOKUP($G44,'Visu totale'!$D$3:$DH$129,BQ$1,0),0)</f>
        <v>0</v>
      </c>
      <c r="BR44" s="13">
        <f>IFERROR(VLOOKUP($G44,'Visu totale'!$D$3:$DH$129,BR$1,0),0)</f>
        <v>0</v>
      </c>
      <c r="BS44" s="13">
        <f>IFERROR(VLOOKUP($G44,'Visu totale'!$D$3:$DH$129,BS$1,0),0)</f>
        <v>0</v>
      </c>
      <c r="BT44" s="13">
        <f>IFERROR(VLOOKUP($G44,'Visu totale'!$D$3:$DH$129,BT$1,0),0)</f>
        <v>0</v>
      </c>
      <c r="BU44" s="13">
        <f>IFERROR(VLOOKUP($G44,'Visu totale'!$D$3:$DH$129,BU$1,0),0)</f>
        <v>0</v>
      </c>
      <c r="BV44" s="13">
        <f>IFERROR(VLOOKUP($G44,'Visu totale'!$D$3:$DH$129,BV$1,0),0)</f>
        <v>0</v>
      </c>
      <c r="BW44" s="13">
        <f>IFERROR(VLOOKUP($G44,'Visu totale'!$D$3:$DH$129,BW$1,0),0)</f>
        <v>0</v>
      </c>
      <c r="BX44" s="13">
        <f>IFERROR(VLOOKUP($G44,'Visu totale'!$D$3:$DH$129,BX$1,0),0)</f>
        <v>0</v>
      </c>
      <c r="BY44" s="13">
        <f>IFERROR(VLOOKUP($G44,'Visu totale'!$D$3:$DH$129,BY$1,0),0)</f>
        <v>0</v>
      </c>
      <c r="BZ44" s="13">
        <f>IFERROR(VLOOKUP($G44,'Visu totale'!$D$3:$DH$129,BZ$1,0),0)</f>
        <v>0</v>
      </c>
      <c r="CA44" s="15">
        <f>IFERROR(VLOOKUP($G44,'Visu totale'!$D$3:$DH$129,CA$1,0),0)</f>
        <v>0</v>
      </c>
      <c r="CB44" s="14">
        <f>IFERROR(VLOOKUP($G44,'Visu totale'!$D$3:$DH$129,CB$1,0),0)</f>
        <v>0</v>
      </c>
      <c r="CC44" s="13">
        <f>IFERROR(VLOOKUP($G44,'Visu totale'!$D$3:$DH$129,CC$1,0),0)</f>
        <v>0</v>
      </c>
      <c r="CD44" s="13">
        <f>IFERROR(VLOOKUP($G44,'Visu totale'!$D$3:$DH$129,CD$1,0),0)</f>
        <v>0</v>
      </c>
      <c r="CE44" s="13">
        <f>IFERROR(VLOOKUP($G44,'Visu totale'!$D$3:$DH$129,CE$1,0),0)</f>
        <v>0</v>
      </c>
      <c r="CF44" s="13">
        <f>IFERROR(VLOOKUP($G44,'Visu totale'!$D$3:$DH$129,CF$1,0),0)</f>
        <v>0</v>
      </c>
      <c r="CG44" s="13">
        <f>IFERROR(VLOOKUP($G44,'Visu totale'!$D$3:$DH$129,CG$1,0),0)</f>
        <v>0</v>
      </c>
      <c r="CH44" s="13">
        <f>IFERROR(VLOOKUP($G44,'Visu totale'!$D$3:$DH$129,CH$1,0),0)</f>
        <v>0</v>
      </c>
      <c r="CI44" s="13">
        <f>IFERROR(VLOOKUP($G44,'Visu totale'!$D$3:$DH$129,CI$1,0),0)</f>
        <v>0</v>
      </c>
      <c r="CJ44" s="13">
        <f>IFERROR(VLOOKUP($G44,'Visu totale'!$D$3:$DH$129,CJ$1,0),0)</f>
        <v>0</v>
      </c>
      <c r="CK44" s="13">
        <f>IFERROR(VLOOKUP($G44,'Visu totale'!$D$3:$DH$129,CK$1,0),0)</f>
        <v>0</v>
      </c>
      <c r="CL44" s="13">
        <f>IFERROR(VLOOKUP($G44,'Visu totale'!$D$3:$DH$129,CL$1,0),0)</f>
        <v>0</v>
      </c>
      <c r="CM44" s="15">
        <f>IFERROR(VLOOKUP($G44,'Visu totale'!$D$3:$DH$129,CM$1,0),0)</f>
        <v>0</v>
      </c>
      <c r="CN44" s="14">
        <f>IFERROR(VLOOKUP($G44,'Visu totale'!$D$3:$DH$129,CN$1,0),0)</f>
        <v>0</v>
      </c>
      <c r="CO44" s="13">
        <f>IFERROR(VLOOKUP($G44,'Visu totale'!$D$3:$DH$129,CO$1,0),0)</f>
        <v>0</v>
      </c>
      <c r="CP44" s="13">
        <f>IFERROR(VLOOKUP($G44,'Visu totale'!$D$3:$DH$129,CP$1,0),0)</f>
        <v>0</v>
      </c>
      <c r="CQ44" s="13">
        <f>IFERROR(VLOOKUP($G44,'Visu totale'!$D$3:$DH$129,CQ$1,0),0)</f>
        <v>0</v>
      </c>
      <c r="CR44" s="13">
        <f>IFERROR(VLOOKUP($G44,'Visu totale'!$D$3:$DH$129,CR$1,0),0)</f>
        <v>0</v>
      </c>
      <c r="CS44" s="13">
        <f>IFERROR(VLOOKUP($G44,'Visu totale'!$D$3:$DH$129,CS$1,0),0)</f>
        <v>0</v>
      </c>
      <c r="CT44" s="13">
        <f>IFERROR(VLOOKUP($G44,'Visu totale'!$D$3:$DH$129,CT$1,0),0)</f>
        <v>0</v>
      </c>
      <c r="CU44" s="13">
        <f>IFERROR(VLOOKUP($G44,'Visu totale'!$D$3:$DH$129,CU$1,0),0)</f>
        <v>0</v>
      </c>
      <c r="CV44" s="13">
        <f>IFERROR(VLOOKUP($G44,'Visu totale'!$D$3:$DH$129,CV$1,0),0)</f>
        <v>0</v>
      </c>
      <c r="CW44" s="13">
        <f>IFERROR(VLOOKUP($G44,'Visu totale'!$D$3:$DH$129,CW$1,0),0)</f>
        <v>0</v>
      </c>
      <c r="CX44" s="13">
        <f>IFERROR(VLOOKUP($G44,'Visu totale'!$D$3:$DH$129,CX$1,0),0)</f>
        <v>0</v>
      </c>
      <c r="CY44" s="15">
        <f>IFERROR(VLOOKUP($G44,'Visu totale'!$D$3:$DH$129,CY$1,0),0)</f>
        <v>0</v>
      </c>
      <c r="CZ44" s="14">
        <f>IFERROR(VLOOKUP($G44,'Visu totale'!$D$3:$DH$129,CZ$1,0),0)</f>
        <v>0</v>
      </c>
      <c r="DA44" s="13">
        <f>IFERROR(VLOOKUP($G44,'Visu totale'!$D$3:$DH$129,DA$1,0),0)</f>
        <v>0</v>
      </c>
      <c r="DB44" s="13">
        <f>IFERROR(VLOOKUP($G44,'Visu totale'!$D$3:$DH$129,DB$1,0),0)</f>
        <v>0</v>
      </c>
      <c r="DC44" s="13">
        <f>IFERROR(VLOOKUP($G44,'Visu totale'!$D$3:$DH$129,DC$1,0),0)</f>
        <v>0</v>
      </c>
      <c r="DD44" s="13">
        <f>IFERROR(VLOOKUP($G44,'Visu totale'!$D$3:$DH$129,DD$1,0),0)</f>
        <v>0</v>
      </c>
      <c r="DE44" s="13">
        <f>IFERROR(VLOOKUP($G44,'Visu totale'!$D$3:$DH$129,DE$1,0),0)</f>
        <v>0</v>
      </c>
      <c r="DF44" s="13">
        <f>IFERROR(VLOOKUP($G44,'Visu totale'!$D$3:$DH$129,DF$1,0),0)</f>
        <v>0</v>
      </c>
      <c r="DG44" s="13">
        <f>IFERROR(VLOOKUP($G44,'Visu totale'!$D$3:$DH$129,DG$1,0),0)</f>
        <v>0</v>
      </c>
      <c r="DH44" s="13">
        <f>IFERROR(VLOOKUP($G44,'Visu totale'!$D$3:$DH$129,DH$1,0),0)</f>
        <v>0</v>
      </c>
      <c r="DI44" s="13">
        <f>IFERROR(VLOOKUP($G44,'Visu totale'!$D$3:$DH$129,DI$1,0),0)</f>
        <v>0</v>
      </c>
      <c r="DJ44" s="13">
        <f>IFERROR(VLOOKUP($G44,'Visu totale'!$D$3:$DH$129,DJ$1,0),0)</f>
        <v>0</v>
      </c>
      <c r="DK44" s="15">
        <f>IFERROR(VLOOKUP($G44,'Visu totale'!$D$3:$DH$129,DK$1,0),0)</f>
        <v>0</v>
      </c>
    </row>
    <row r="45" spans="1:115" x14ac:dyDescent="0.25">
      <c r="A45" s="13"/>
      <c r="B45" s="13"/>
      <c r="C45" s="13"/>
      <c r="D45" s="16"/>
      <c r="E45" s="13"/>
      <c r="F45" s="13"/>
      <c r="G45" s="17" t="s">
        <v>47</v>
      </c>
      <c r="H45" s="14">
        <f>IFERROR(VLOOKUP($G45,'Visu totale'!$D$3:$DH$129,H$1,0),0)</f>
        <v>0</v>
      </c>
      <c r="I45" s="13">
        <f>IFERROR(VLOOKUP($G45,'Visu totale'!$D$3:$DH$129,I$1,0),0)</f>
        <v>0</v>
      </c>
      <c r="J45" s="13">
        <f>IFERROR(VLOOKUP($G45,'Visu totale'!$D$3:$DH$129,J$1,0),0)</f>
        <v>0</v>
      </c>
      <c r="K45" s="13">
        <f>IFERROR(VLOOKUP($G45,'Visu totale'!$D$3:$DH$129,K$1,0),0)</f>
        <v>0</v>
      </c>
      <c r="L45" s="13">
        <f>IFERROR(VLOOKUP($G45,'Visu totale'!$D$3:$DH$129,L$1,0),0)</f>
        <v>0</v>
      </c>
      <c r="M45" s="13">
        <f>IFERROR(VLOOKUP($G45,'Visu totale'!$D$3:$DH$129,M$1,0),0)</f>
        <v>0</v>
      </c>
      <c r="N45" s="13">
        <f>IFERROR(VLOOKUP($G45,'Visu totale'!$D$3:$DH$129,N$1,0),0)</f>
        <v>0</v>
      </c>
      <c r="O45" s="13">
        <f>IFERROR(VLOOKUP($G45,'Visu totale'!$D$3:$DH$129,O$1,0),0)</f>
        <v>0</v>
      </c>
      <c r="P45" s="13">
        <f>IFERROR(VLOOKUP($G45,'Visu totale'!$D$3:$DH$129,P$1,0),0)</f>
        <v>0</v>
      </c>
      <c r="Q45" s="13">
        <f>IFERROR(VLOOKUP($G45,'Visu totale'!$D$3:$DH$129,Q$1,0),0)</f>
        <v>0</v>
      </c>
      <c r="R45" s="13">
        <f>IFERROR(VLOOKUP($G45,'Visu totale'!$D$3:$DH$129,R$1,0),0)</f>
        <v>0</v>
      </c>
      <c r="S45" s="15">
        <f>IFERROR(VLOOKUP($G45,'Visu totale'!$D$3:$DH$129,S$1,0),0)</f>
        <v>0</v>
      </c>
      <c r="T45" s="14">
        <f>IFERROR(VLOOKUP($G45,'Visu totale'!$D$3:$DH$129,T$1,0),0)</f>
        <v>0</v>
      </c>
      <c r="U45" s="13">
        <f>IFERROR(VLOOKUP($G45,'Visu totale'!$D$3:$DH$129,U$1,0),0)</f>
        <v>0</v>
      </c>
      <c r="V45" s="13">
        <f>IFERROR(VLOOKUP($G45,'Visu totale'!$D$3:$DH$129,V$1,0),0)</f>
        <v>0</v>
      </c>
      <c r="W45" s="13">
        <f>IFERROR(VLOOKUP($G45,'Visu totale'!$D$3:$DH$129,W$1,0),0)</f>
        <v>0</v>
      </c>
      <c r="X45" s="13">
        <f>IFERROR(VLOOKUP($G45,'Visu totale'!$D$3:$DH$129,X$1,0),0)</f>
        <v>0</v>
      </c>
      <c r="Y45" s="13">
        <f>IFERROR(VLOOKUP($G45,'Visu totale'!$D$3:$DH$129,Y$1,0),0)</f>
        <v>0</v>
      </c>
      <c r="Z45" s="13">
        <f>IFERROR(VLOOKUP($G45,'Visu totale'!$D$3:$DH$129,Z$1,0),0)</f>
        <v>0</v>
      </c>
      <c r="AA45" s="13">
        <f>IFERROR(VLOOKUP($G45,'Visu totale'!$D$3:$DH$129,AA$1,0),0)</f>
        <v>0</v>
      </c>
      <c r="AB45" s="13">
        <f>IFERROR(VLOOKUP($G45,'Visu totale'!$D$3:$DH$129,AB$1,0),0)</f>
        <v>0</v>
      </c>
      <c r="AC45" s="13">
        <f>IFERROR(VLOOKUP($G45,'Visu totale'!$D$3:$DH$129,AC$1,0),0)</f>
        <v>0</v>
      </c>
      <c r="AD45" s="13">
        <f>IFERROR(VLOOKUP($G45,'Visu totale'!$D$3:$DH$129,AD$1,0),0)</f>
        <v>0</v>
      </c>
      <c r="AE45" s="15">
        <f>IFERROR(VLOOKUP($G45,'Visu totale'!$D$3:$DH$129,AE$1,0),0)</f>
        <v>0</v>
      </c>
      <c r="AF45" s="14">
        <f>IFERROR(VLOOKUP($G45,'Visu totale'!$D$3:$DH$129,AF$1,0),0)</f>
        <v>0</v>
      </c>
      <c r="AG45" s="13">
        <f>IFERROR(VLOOKUP($G45,'Visu totale'!$D$3:$DH$129,AG$1,0),0)</f>
        <v>0</v>
      </c>
      <c r="AH45" s="13">
        <f>IFERROR(VLOOKUP($G45,'Visu totale'!$D$3:$DH$129,AH$1,0),0)</f>
        <v>0</v>
      </c>
      <c r="AI45" s="13">
        <f>IFERROR(VLOOKUP($G45,'Visu totale'!$D$3:$DH$129,AI$1,0),0)</f>
        <v>0</v>
      </c>
      <c r="AJ45" s="13">
        <f>IFERROR(VLOOKUP($G45,'Visu totale'!$D$3:$DH$129,AJ$1,0),0)</f>
        <v>0</v>
      </c>
      <c r="AK45" s="13">
        <f>IFERROR(VLOOKUP($G45,'Visu totale'!$D$3:$DH$129,AK$1,0),0)</f>
        <v>0</v>
      </c>
      <c r="AL45" s="13">
        <f>IFERROR(VLOOKUP($G45,'Visu totale'!$D$3:$DH$129,AL$1,0),0)</f>
        <v>0</v>
      </c>
      <c r="AM45" s="13">
        <f>IFERROR(VLOOKUP($G45,'Visu totale'!$D$3:$DH$129,AM$1,0),0)</f>
        <v>0</v>
      </c>
      <c r="AN45" s="13">
        <f>IFERROR(VLOOKUP($G45,'Visu totale'!$D$3:$DH$129,AN$1,0),0)</f>
        <v>0</v>
      </c>
      <c r="AO45" s="13">
        <f>IFERROR(VLOOKUP($G45,'Visu totale'!$D$3:$DH$129,AO$1,0),0)</f>
        <v>0</v>
      </c>
      <c r="AP45" s="13">
        <f>IFERROR(VLOOKUP($G45,'Visu totale'!$D$3:$DH$129,AP$1,0),0)</f>
        <v>0</v>
      </c>
      <c r="AQ45" s="15">
        <f>IFERROR(VLOOKUP($G45,'Visu totale'!$D$3:$DH$129,AQ$1,0),0)</f>
        <v>0</v>
      </c>
      <c r="AR45" s="14">
        <f>IFERROR(VLOOKUP($G45,'Visu totale'!$D$3:$DH$129,AR$1,0),0)</f>
        <v>0</v>
      </c>
      <c r="AS45" s="13">
        <f>IFERROR(VLOOKUP($G45,'Visu totale'!$D$3:$DH$129,AS$1,0),0)</f>
        <v>0</v>
      </c>
      <c r="AT45" s="13">
        <f>IFERROR(VLOOKUP($G45,'Visu totale'!$D$3:$DH$129,AT$1,0),0)</f>
        <v>0</v>
      </c>
      <c r="AU45" s="13">
        <f>IFERROR(VLOOKUP($G45,'Visu totale'!$D$3:$DH$129,AU$1,0),0)</f>
        <v>0</v>
      </c>
      <c r="AV45" s="13">
        <f>IFERROR(VLOOKUP($G45,'Visu totale'!$D$3:$DH$129,AV$1,0),0)</f>
        <v>0</v>
      </c>
      <c r="AW45" s="13">
        <f>IFERROR(VLOOKUP($G45,'Visu totale'!$D$3:$DH$129,AW$1,0),0)</f>
        <v>0</v>
      </c>
      <c r="AX45" s="13">
        <f>IFERROR(VLOOKUP($G45,'Visu totale'!$D$3:$DH$129,AX$1,0),0)</f>
        <v>0</v>
      </c>
      <c r="AY45" s="13">
        <f>IFERROR(VLOOKUP($G45,'Visu totale'!$D$3:$DH$129,AY$1,0),0)</f>
        <v>0</v>
      </c>
      <c r="AZ45" s="13">
        <f>IFERROR(VLOOKUP($G45,'Visu totale'!$D$3:$DH$129,AZ$1,0),0)</f>
        <v>0</v>
      </c>
      <c r="BA45" s="13">
        <f>IFERROR(VLOOKUP($G45,'Visu totale'!$D$3:$DH$129,BA$1,0),0)</f>
        <v>0</v>
      </c>
      <c r="BB45" s="13">
        <f>IFERROR(VLOOKUP($G45,'Visu totale'!$D$3:$DH$129,BB$1,0),0)</f>
        <v>0</v>
      </c>
      <c r="BC45" s="15">
        <f>IFERROR(VLOOKUP($G45,'Visu totale'!$D$3:$DH$129,BC$1,0),0)</f>
        <v>0</v>
      </c>
      <c r="BD45" s="14">
        <f>IFERROR(VLOOKUP($G45,'Visu totale'!$D$3:$DH$129,BD$1,0),0)</f>
        <v>0</v>
      </c>
      <c r="BE45" s="13">
        <f>IFERROR(VLOOKUP($G45,'Visu totale'!$D$3:$DH$129,BE$1,0),0)</f>
        <v>0</v>
      </c>
      <c r="BF45" s="13">
        <f>IFERROR(VLOOKUP($G45,'Visu totale'!$D$3:$DH$129,BF$1,0),0)</f>
        <v>0</v>
      </c>
      <c r="BG45" s="13">
        <f>IFERROR(VLOOKUP($G45,'Visu totale'!$D$3:$DH$129,BG$1,0),0)</f>
        <v>0</v>
      </c>
      <c r="BH45" s="13">
        <f>IFERROR(VLOOKUP($G45,'Visu totale'!$D$3:$DH$129,BH$1,0),0)</f>
        <v>0</v>
      </c>
      <c r="BI45" s="13">
        <f>IFERROR(VLOOKUP($G45,'Visu totale'!$D$3:$DH$129,BI$1,0),0)</f>
        <v>0</v>
      </c>
      <c r="BJ45" s="13">
        <f>IFERROR(VLOOKUP($G45,'Visu totale'!$D$3:$DH$129,BJ$1,0),0)</f>
        <v>0</v>
      </c>
      <c r="BK45" s="13">
        <f>IFERROR(VLOOKUP($G45,'Visu totale'!$D$3:$DH$129,BK$1,0),0)</f>
        <v>0</v>
      </c>
      <c r="BL45" s="13">
        <f>IFERROR(VLOOKUP($G45,'Visu totale'!$D$3:$DH$129,BL$1,0),0)</f>
        <v>0</v>
      </c>
      <c r="BM45" s="13">
        <f>IFERROR(VLOOKUP($G45,'Visu totale'!$D$3:$DH$129,BM$1,0),0)</f>
        <v>0</v>
      </c>
      <c r="BN45" s="13">
        <f>IFERROR(VLOOKUP($G45,'Visu totale'!$D$3:$DH$129,BN$1,0),0)</f>
        <v>0</v>
      </c>
      <c r="BO45" s="15">
        <f>IFERROR(VLOOKUP($G45,'Visu totale'!$D$3:$DH$129,BO$1,0),0)</f>
        <v>0</v>
      </c>
      <c r="BP45" s="14">
        <f>IFERROR(VLOOKUP($G45,'Visu totale'!$D$3:$DH$129,BP$1,0),0)</f>
        <v>0</v>
      </c>
      <c r="BQ45" s="13">
        <f>IFERROR(VLOOKUP($G45,'Visu totale'!$D$3:$DH$129,BQ$1,0),0)</f>
        <v>0</v>
      </c>
      <c r="BR45" s="13">
        <f>IFERROR(VLOOKUP($G45,'Visu totale'!$D$3:$DH$129,BR$1,0),0)</f>
        <v>0</v>
      </c>
      <c r="BS45" s="13">
        <f>IFERROR(VLOOKUP($G45,'Visu totale'!$D$3:$DH$129,BS$1,0),0)</f>
        <v>0</v>
      </c>
      <c r="BT45" s="13">
        <f>IFERROR(VLOOKUP($G45,'Visu totale'!$D$3:$DH$129,BT$1,0),0)</f>
        <v>0</v>
      </c>
      <c r="BU45" s="13">
        <f>IFERROR(VLOOKUP($G45,'Visu totale'!$D$3:$DH$129,BU$1,0),0)</f>
        <v>0</v>
      </c>
      <c r="BV45" s="13">
        <f>IFERROR(VLOOKUP($G45,'Visu totale'!$D$3:$DH$129,BV$1,0),0)</f>
        <v>0</v>
      </c>
      <c r="BW45" s="13">
        <f>IFERROR(VLOOKUP($G45,'Visu totale'!$D$3:$DH$129,BW$1,0),0)</f>
        <v>0</v>
      </c>
      <c r="BX45" s="13">
        <f>IFERROR(VLOOKUP($G45,'Visu totale'!$D$3:$DH$129,BX$1,0),0)</f>
        <v>0</v>
      </c>
      <c r="BY45" s="13">
        <f>IFERROR(VLOOKUP($G45,'Visu totale'!$D$3:$DH$129,BY$1,0),0)</f>
        <v>0</v>
      </c>
      <c r="BZ45" s="13">
        <f>IFERROR(VLOOKUP($G45,'Visu totale'!$D$3:$DH$129,BZ$1,0),0)</f>
        <v>0</v>
      </c>
      <c r="CA45" s="15">
        <f>IFERROR(VLOOKUP($G45,'Visu totale'!$D$3:$DH$129,CA$1,0),0)</f>
        <v>0</v>
      </c>
      <c r="CB45" s="14">
        <f>IFERROR(VLOOKUP($G45,'Visu totale'!$D$3:$DH$129,CB$1,0),0)</f>
        <v>0</v>
      </c>
      <c r="CC45" s="13">
        <f>IFERROR(VLOOKUP($G45,'Visu totale'!$D$3:$DH$129,CC$1,0),0)</f>
        <v>0</v>
      </c>
      <c r="CD45" s="13">
        <f>IFERROR(VLOOKUP($G45,'Visu totale'!$D$3:$DH$129,CD$1,0),0)</f>
        <v>0</v>
      </c>
      <c r="CE45" s="13">
        <f>IFERROR(VLOOKUP($G45,'Visu totale'!$D$3:$DH$129,CE$1,0),0)</f>
        <v>0</v>
      </c>
      <c r="CF45" s="13">
        <f>IFERROR(VLOOKUP($G45,'Visu totale'!$D$3:$DH$129,CF$1,0),0)</f>
        <v>0</v>
      </c>
      <c r="CG45" s="13">
        <f>IFERROR(VLOOKUP($G45,'Visu totale'!$D$3:$DH$129,CG$1,0),0)</f>
        <v>0</v>
      </c>
      <c r="CH45" s="13">
        <f>IFERROR(VLOOKUP($G45,'Visu totale'!$D$3:$DH$129,CH$1,0),0)</f>
        <v>0</v>
      </c>
      <c r="CI45" s="13">
        <f>IFERROR(VLOOKUP($G45,'Visu totale'!$D$3:$DH$129,CI$1,0),0)</f>
        <v>0</v>
      </c>
      <c r="CJ45" s="13">
        <f>IFERROR(VLOOKUP($G45,'Visu totale'!$D$3:$DH$129,CJ$1,0),0)</f>
        <v>0</v>
      </c>
      <c r="CK45" s="13">
        <f>IFERROR(VLOOKUP($G45,'Visu totale'!$D$3:$DH$129,CK$1,0),0)</f>
        <v>0</v>
      </c>
      <c r="CL45" s="13">
        <f>IFERROR(VLOOKUP($G45,'Visu totale'!$D$3:$DH$129,CL$1,0),0)</f>
        <v>0</v>
      </c>
      <c r="CM45" s="15">
        <f>IFERROR(VLOOKUP($G45,'Visu totale'!$D$3:$DH$129,CM$1,0),0)</f>
        <v>0</v>
      </c>
      <c r="CN45" s="14">
        <f>IFERROR(VLOOKUP($G45,'Visu totale'!$D$3:$DH$129,CN$1,0),0)</f>
        <v>0</v>
      </c>
      <c r="CO45" s="13">
        <f>IFERROR(VLOOKUP($G45,'Visu totale'!$D$3:$DH$129,CO$1,0),0)</f>
        <v>0</v>
      </c>
      <c r="CP45" s="13">
        <f>IFERROR(VLOOKUP($G45,'Visu totale'!$D$3:$DH$129,CP$1,0),0)</f>
        <v>0</v>
      </c>
      <c r="CQ45" s="13">
        <f>IFERROR(VLOOKUP($G45,'Visu totale'!$D$3:$DH$129,CQ$1,0),0)</f>
        <v>0</v>
      </c>
      <c r="CR45" s="13">
        <f>IFERROR(VLOOKUP($G45,'Visu totale'!$D$3:$DH$129,CR$1,0),0)</f>
        <v>0</v>
      </c>
      <c r="CS45" s="13">
        <f>IFERROR(VLOOKUP($G45,'Visu totale'!$D$3:$DH$129,CS$1,0),0)</f>
        <v>0</v>
      </c>
      <c r="CT45" s="13">
        <f>IFERROR(VLOOKUP($G45,'Visu totale'!$D$3:$DH$129,CT$1,0),0)</f>
        <v>0</v>
      </c>
      <c r="CU45" s="13">
        <f>IFERROR(VLOOKUP($G45,'Visu totale'!$D$3:$DH$129,CU$1,0),0)</f>
        <v>0</v>
      </c>
      <c r="CV45" s="13">
        <f>IFERROR(VLOOKUP($G45,'Visu totale'!$D$3:$DH$129,CV$1,0),0)</f>
        <v>0</v>
      </c>
      <c r="CW45" s="13">
        <f>IFERROR(VLOOKUP($G45,'Visu totale'!$D$3:$DH$129,CW$1,0),0)</f>
        <v>0</v>
      </c>
      <c r="CX45" s="13">
        <f>IFERROR(VLOOKUP($G45,'Visu totale'!$D$3:$DH$129,CX$1,0),0)</f>
        <v>0</v>
      </c>
      <c r="CY45" s="15">
        <f>IFERROR(VLOOKUP($G45,'Visu totale'!$D$3:$DH$129,CY$1,0),0)</f>
        <v>0</v>
      </c>
      <c r="CZ45" s="14">
        <f>IFERROR(VLOOKUP($G45,'Visu totale'!$D$3:$DH$129,CZ$1,0),0)</f>
        <v>0</v>
      </c>
      <c r="DA45" s="13">
        <f>IFERROR(VLOOKUP($G45,'Visu totale'!$D$3:$DH$129,DA$1,0),0)</f>
        <v>0</v>
      </c>
      <c r="DB45" s="13">
        <f>IFERROR(VLOOKUP($G45,'Visu totale'!$D$3:$DH$129,DB$1,0),0)</f>
        <v>0</v>
      </c>
      <c r="DC45" s="13">
        <f>IFERROR(VLOOKUP($G45,'Visu totale'!$D$3:$DH$129,DC$1,0),0)</f>
        <v>0</v>
      </c>
      <c r="DD45" s="13">
        <f>IFERROR(VLOOKUP($G45,'Visu totale'!$D$3:$DH$129,DD$1,0),0)</f>
        <v>0</v>
      </c>
      <c r="DE45" s="13">
        <f>IFERROR(VLOOKUP($G45,'Visu totale'!$D$3:$DH$129,DE$1,0),0)</f>
        <v>0</v>
      </c>
      <c r="DF45" s="13">
        <f>IFERROR(VLOOKUP($G45,'Visu totale'!$D$3:$DH$129,DF$1,0),0)</f>
        <v>0</v>
      </c>
      <c r="DG45" s="13">
        <f>IFERROR(VLOOKUP($G45,'Visu totale'!$D$3:$DH$129,DG$1,0),0)</f>
        <v>0</v>
      </c>
      <c r="DH45" s="13">
        <f>IFERROR(VLOOKUP($G45,'Visu totale'!$D$3:$DH$129,DH$1,0),0)</f>
        <v>0</v>
      </c>
      <c r="DI45" s="13">
        <f>IFERROR(VLOOKUP($G45,'Visu totale'!$D$3:$DH$129,DI$1,0),0)</f>
        <v>0</v>
      </c>
      <c r="DJ45" s="13">
        <f>IFERROR(VLOOKUP($G45,'Visu totale'!$D$3:$DH$129,DJ$1,0),0)</f>
        <v>0</v>
      </c>
      <c r="DK45" s="15">
        <f>IFERROR(VLOOKUP($G45,'Visu totale'!$D$3:$DH$129,DK$1,0),0)</f>
        <v>0</v>
      </c>
    </row>
    <row r="46" spans="1:115" x14ac:dyDescent="0.25">
      <c r="A46" s="13"/>
      <c r="B46" s="13"/>
      <c r="C46" s="13"/>
      <c r="D46" s="16"/>
      <c r="E46" s="13"/>
      <c r="F46" s="13"/>
      <c r="G46" s="17" t="s">
        <v>48</v>
      </c>
      <c r="H46" s="14">
        <f>IFERROR(VLOOKUP($G46,'Visu totale'!$D$3:$DH$129,H$1,0),0)</f>
        <v>0</v>
      </c>
      <c r="I46" s="13">
        <f>IFERROR(VLOOKUP($G46,'Visu totale'!$D$3:$DH$129,I$1,0),0)</f>
        <v>0</v>
      </c>
      <c r="J46" s="13">
        <f>IFERROR(VLOOKUP($G46,'Visu totale'!$D$3:$DH$129,J$1,0),0)</f>
        <v>0</v>
      </c>
      <c r="K46" s="13">
        <f>IFERROR(VLOOKUP($G46,'Visu totale'!$D$3:$DH$129,K$1,0),0)</f>
        <v>0</v>
      </c>
      <c r="L46" s="13">
        <f>IFERROR(VLOOKUP($G46,'Visu totale'!$D$3:$DH$129,L$1,0),0)</f>
        <v>0</v>
      </c>
      <c r="M46" s="13">
        <f>IFERROR(VLOOKUP($G46,'Visu totale'!$D$3:$DH$129,M$1,0),0)</f>
        <v>0</v>
      </c>
      <c r="N46" s="13">
        <f>IFERROR(VLOOKUP($G46,'Visu totale'!$D$3:$DH$129,N$1,0),0)</f>
        <v>0</v>
      </c>
      <c r="O46" s="13">
        <f>IFERROR(VLOOKUP($G46,'Visu totale'!$D$3:$DH$129,O$1,0),0)</f>
        <v>0</v>
      </c>
      <c r="P46" s="13">
        <f>IFERROR(VLOOKUP($G46,'Visu totale'!$D$3:$DH$129,P$1,0),0)</f>
        <v>0</v>
      </c>
      <c r="Q46" s="13">
        <f>IFERROR(VLOOKUP($G46,'Visu totale'!$D$3:$DH$129,Q$1,0),0)</f>
        <v>0</v>
      </c>
      <c r="R46" s="13">
        <f>IFERROR(VLOOKUP($G46,'Visu totale'!$D$3:$DH$129,R$1,0),0)</f>
        <v>0</v>
      </c>
      <c r="S46" s="15">
        <f>IFERROR(VLOOKUP($G46,'Visu totale'!$D$3:$DH$129,S$1,0),0)</f>
        <v>0</v>
      </c>
      <c r="T46" s="14">
        <f>IFERROR(VLOOKUP($G46,'Visu totale'!$D$3:$DH$129,T$1,0),0)</f>
        <v>0</v>
      </c>
      <c r="U46" s="13">
        <f>IFERROR(VLOOKUP($G46,'Visu totale'!$D$3:$DH$129,U$1,0),0)</f>
        <v>0</v>
      </c>
      <c r="V46" s="13">
        <f>IFERROR(VLOOKUP($G46,'Visu totale'!$D$3:$DH$129,V$1,0),0)</f>
        <v>0</v>
      </c>
      <c r="W46" s="13">
        <f>IFERROR(VLOOKUP($G46,'Visu totale'!$D$3:$DH$129,W$1,0),0)</f>
        <v>0</v>
      </c>
      <c r="X46" s="13">
        <f>IFERROR(VLOOKUP($G46,'Visu totale'!$D$3:$DH$129,X$1,0),0)</f>
        <v>0</v>
      </c>
      <c r="Y46" s="13">
        <f>IFERROR(VLOOKUP($G46,'Visu totale'!$D$3:$DH$129,Y$1,0),0)</f>
        <v>0</v>
      </c>
      <c r="Z46" s="13">
        <f>IFERROR(VLOOKUP($G46,'Visu totale'!$D$3:$DH$129,Z$1,0),0)</f>
        <v>0</v>
      </c>
      <c r="AA46" s="13">
        <f>IFERROR(VLOOKUP($G46,'Visu totale'!$D$3:$DH$129,AA$1,0),0)</f>
        <v>0</v>
      </c>
      <c r="AB46" s="13">
        <f>IFERROR(VLOOKUP($G46,'Visu totale'!$D$3:$DH$129,AB$1,0),0)</f>
        <v>0</v>
      </c>
      <c r="AC46" s="13">
        <f>IFERROR(VLOOKUP($G46,'Visu totale'!$D$3:$DH$129,AC$1,0),0)</f>
        <v>0</v>
      </c>
      <c r="AD46" s="13">
        <f>IFERROR(VLOOKUP($G46,'Visu totale'!$D$3:$DH$129,AD$1,0),0)</f>
        <v>0</v>
      </c>
      <c r="AE46" s="15">
        <f>IFERROR(VLOOKUP($G46,'Visu totale'!$D$3:$DH$129,AE$1,0),0)</f>
        <v>0</v>
      </c>
      <c r="AF46" s="14">
        <f>IFERROR(VLOOKUP($G46,'Visu totale'!$D$3:$DH$129,AF$1,0),0)</f>
        <v>0</v>
      </c>
      <c r="AG46" s="13">
        <f>IFERROR(VLOOKUP($G46,'Visu totale'!$D$3:$DH$129,AG$1,0),0)</f>
        <v>0</v>
      </c>
      <c r="AH46" s="13">
        <f>IFERROR(VLOOKUP($G46,'Visu totale'!$D$3:$DH$129,AH$1,0),0)</f>
        <v>0</v>
      </c>
      <c r="AI46" s="13">
        <f>IFERROR(VLOOKUP($G46,'Visu totale'!$D$3:$DH$129,AI$1,0),0)</f>
        <v>0</v>
      </c>
      <c r="AJ46" s="13">
        <f>IFERROR(VLOOKUP($G46,'Visu totale'!$D$3:$DH$129,AJ$1,0),0)</f>
        <v>0</v>
      </c>
      <c r="AK46" s="13">
        <f>IFERROR(VLOOKUP($G46,'Visu totale'!$D$3:$DH$129,AK$1,0),0)</f>
        <v>0</v>
      </c>
      <c r="AL46" s="13">
        <f>IFERROR(VLOOKUP($G46,'Visu totale'!$D$3:$DH$129,AL$1,0),0)</f>
        <v>0</v>
      </c>
      <c r="AM46" s="13">
        <f>IFERROR(VLOOKUP($G46,'Visu totale'!$D$3:$DH$129,AM$1,0),0)</f>
        <v>0</v>
      </c>
      <c r="AN46" s="13">
        <f>IFERROR(VLOOKUP($G46,'Visu totale'!$D$3:$DH$129,AN$1,0),0)</f>
        <v>0</v>
      </c>
      <c r="AO46" s="13">
        <f>IFERROR(VLOOKUP($G46,'Visu totale'!$D$3:$DH$129,AO$1,0),0)</f>
        <v>0</v>
      </c>
      <c r="AP46" s="13">
        <f>IFERROR(VLOOKUP($G46,'Visu totale'!$D$3:$DH$129,AP$1,0),0)</f>
        <v>0</v>
      </c>
      <c r="AQ46" s="15">
        <f>IFERROR(VLOOKUP($G46,'Visu totale'!$D$3:$DH$129,AQ$1,0),0)</f>
        <v>0</v>
      </c>
      <c r="AR46" s="14">
        <f>IFERROR(VLOOKUP($G46,'Visu totale'!$D$3:$DH$129,AR$1,0),0)</f>
        <v>0</v>
      </c>
      <c r="AS46" s="13">
        <f>IFERROR(VLOOKUP($G46,'Visu totale'!$D$3:$DH$129,AS$1,0),0)</f>
        <v>0</v>
      </c>
      <c r="AT46" s="13">
        <f>IFERROR(VLOOKUP($G46,'Visu totale'!$D$3:$DH$129,AT$1,0),0)</f>
        <v>0</v>
      </c>
      <c r="AU46" s="13">
        <f>IFERROR(VLOOKUP($G46,'Visu totale'!$D$3:$DH$129,AU$1,0),0)</f>
        <v>0</v>
      </c>
      <c r="AV46" s="13">
        <f>IFERROR(VLOOKUP($G46,'Visu totale'!$D$3:$DH$129,AV$1,0),0)</f>
        <v>0</v>
      </c>
      <c r="AW46" s="13">
        <f>IFERROR(VLOOKUP($G46,'Visu totale'!$D$3:$DH$129,AW$1,0),0)</f>
        <v>0</v>
      </c>
      <c r="AX46" s="13">
        <f>IFERROR(VLOOKUP($G46,'Visu totale'!$D$3:$DH$129,AX$1,0),0)</f>
        <v>0</v>
      </c>
      <c r="AY46" s="13">
        <f>IFERROR(VLOOKUP($G46,'Visu totale'!$D$3:$DH$129,AY$1,0),0)</f>
        <v>0</v>
      </c>
      <c r="AZ46" s="13">
        <f>IFERROR(VLOOKUP($G46,'Visu totale'!$D$3:$DH$129,AZ$1,0),0)</f>
        <v>0</v>
      </c>
      <c r="BA46" s="13">
        <f>IFERROR(VLOOKUP($G46,'Visu totale'!$D$3:$DH$129,BA$1,0),0)</f>
        <v>0</v>
      </c>
      <c r="BB46" s="13">
        <f>IFERROR(VLOOKUP($G46,'Visu totale'!$D$3:$DH$129,BB$1,0),0)</f>
        <v>0</v>
      </c>
      <c r="BC46" s="15">
        <f>IFERROR(VLOOKUP($G46,'Visu totale'!$D$3:$DH$129,BC$1,0),0)</f>
        <v>0</v>
      </c>
      <c r="BD46" s="14">
        <f>IFERROR(VLOOKUP($G46,'Visu totale'!$D$3:$DH$129,BD$1,0),0)</f>
        <v>0</v>
      </c>
      <c r="BE46" s="13">
        <f>IFERROR(VLOOKUP($G46,'Visu totale'!$D$3:$DH$129,BE$1,0),0)</f>
        <v>0</v>
      </c>
      <c r="BF46" s="13">
        <f>IFERROR(VLOOKUP($G46,'Visu totale'!$D$3:$DH$129,BF$1,0),0)</f>
        <v>0</v>
      </c>
      <c r="BG46" s="13">
        <f>IFERROR(VLOOKUP($G46,'Visu totale'!$D$3:$DH$129,BG$1,0),0)</f>
        <v>0</v>
      </c>
      <c r="BH46" s="13">
        <f>IFERROR(VLOOKUP($G46,'Visu totale'!$D$3:$DH$129,BH$1,0),0)</f>
        <v>0</v>
      </c>
      <c r="BI46" s="13">
        <f>IFERROR(VLOOKUP($G46,'Visu totale'!$D$3:$DH$129,BI$1,0),0)</f>
        <v>0</v>
      </c>
      <c r="BJ46" s="13">
        <f>IFERROR(VLOOKUP($G46,'Visu totale'!$D$3:$DH$129,BJ$1,0),0)</f>
        <v>0</v>
      </c>
      <c r="BK46" s="13">
        <f>IFERROR(VLOOKUP($G46,'Visu totale'!$D$3:$DH$129,BK$1,0),0)</f>
        <v>0</v>
      </c>
      <c r="BL46" s="13">
        <f>IFERROR(VLOOKUP($G46,'Visu totale'!$D$3:$DH$129,BL$1,0),0)</f>
        <v>0</v>
      </c>
      <c r="BM46" s="13">
        <f>IFERROR(VLOOKUP($G46,'Visu totale'!$D$3:$DH$129,BM$1,0),0)</f>
        <v>0</v>
      </c>
      <c r="BN46" s="13">
        <f>IFERROR(VLOOKUP($G46,'Visu totale'!$D$3:$DH$129,BN$1,0),0)</f>
        <v>0</v>
      </c>
      <c r="BO46" s="15">
        <f>IFERROR(VLOOKUP($G46,'Visu totale'!$D$3:$DH$129,BO$1,0),0)</f>
        <v>0</v>
      </c>
      <c r="BP46" s="14">
        <f>IFERROR(VLOOKUP($G46,'Visu totale'!$D$3:$DH$129,BP$1,0),0)</f>
        <v>0</v>
      </c>
      <c r="BQ46" s="13">
        <f>IFERROR(VLOOKUP($G46,'Visu totale'!$D$3:$DH$129,BQ$1,0),0)</f>
        <v>0</v>
      </c>
      <c r="BR46" s="13">
        <f>IFERROR(VLOOKUP($G46,'Visu totale'!$D$3:$DH$129,BR$1,0),0)</f>
        <v>0</v>
      </c>
      <c r="BS46" s="13">
        <f>IFERROR(VLOOKUP($G46,'Visu totale'!$D$3:$DH$129,BS$1,0),0)</f>
        <v>0</v>
      </c>
      <c r="BT46" s="13">
        <f>IFERROR(VLOOKUP($G46,'Visu totale'!$D$3:$DH$129,BT$1,0),0)</f>
        <v>0</v>
      </c>
      <c r="BU46" s="13">
        <f>IFERROR(VLOOKUP($G46,'Visu totale'!$D$3:$DH$129,BU$1,0),0)</f>
        <v>0</v>
      </c>
      <c r="BV46" s="13">
        <f>IFERROR(VLOOKUP($G46,'Visu totale'!$D$3:$DH$129,BV$1,0),0)</f>
        <v>0</v>
      </c>
      <c r="BW46" s="13">
        <f>IFERROR(VLOOKUP($G46,'Visu totale'!$D$3:$DH$129,BW$1,0),0)</f>
        <v>0</v>
      </c>
      <c r="BX46" s="13">
        <f>IFERROR(VLOOKUP($G46,'Visu totale'!$D$3:$DH$129,BX$1,0),0)</f>
        <v>0</v>
      </c>
      <c r="BY46" s="13">
        <f>IFERROR(VLOOKUP($G46,'Visu totale'!$D$3:$DH$129,BY$1,0),0)</f>
        <v>0</v>
      </c>
      <c r="BZ46" s="13">
        <f>IFERROR(VLOOKUP($G46,'Visu totale'!$D$3:$DH$129,BZ$1,0),0)</f>
        <v>0</v>
      </c>
      <c r="CA46" s="15">
        <f>IFERROR(VLOOKUP($G46,'Visu totale'!$D$3:$DH$129,CA$1,0),0)</f>
        <v>0</v>
      </c>
      <c r="CB46" s="14">
        <f>IFERROR(VLOOKUP($G46,'Visu totale'!$D$3:$DH$129,CB$1,0),0)</f>
        <v>0</v>
      </c>
      <c r="CC46" s="13">
        <f>IFERROR(VLOOKUP($G46,'Visu totale'!$D$3:$DH$129,CC$1,0),0)</f>
        <v>0</v>
      </c>
      <c r="CD46" s="13">
        <f>IFERROR(VLOOKUP($G46,'Visu totale'!$D$3:$DH$129,CD$1,0),0)</f>
        <v>0</v>
      </c>
      <c r="CE46" s="13">
        <f>IFERROR(VLOOKUP($G46,'Visu totale'!$D$3:$DH$129,CE$1,0),0)</f>
        <v>0</v>
      </c>
      <c r="CF46" s="13">
        <f>IFERROR(VLOOKUP($G46,'Visu totale'!$D$3:$DH$129,CF$1,0),0)</f>
        <v>0</v>
      </c>
      <c r="CG46" s="13">
        <f>IFERROR(VLOOKUP($G46,'Visu totale'!$D$3:$DH$129,CG$1,0),0)</f>
        <v>0</v>
      </c>
      <c r="CH46" s="13">
        <f>IFERROR(VLOOKUP($G46,'Visu totale'!$D$3:$DH$129,CH$1,0),0)</f>
        <v>0</v>
      </c>
      <c r="CI46" s="13">
        <f>IFERROR(VLOOKUP($G46,'Visu totale'!$D$3:$DH$129,CI$1,0),0)</f>
        <v>0</v>
      </c>
      <c r="CJ46" s="13">
        <f>IFERROR(VLOOKUP($G46,'Visu totale'!$D$3:$DH$129,CJ$1,0),0)</f>
        <v>0</v>
      </c>
      <c r="CK46" s="13">
        <f>IFERROR(VLOOKUP($G46,'Visu totale'!$D$3:$DH$129,CK$1,0),0)</f>
        <v>0</v>
      </c>
      <c r="CL46" s="13">
        <f>IFERROR(VLOOKUP($G46,'Visu totale'!$D$3:$DH$129,CL$1,0),0)</f>
        <v>0</v>
      </c>
      <c r="CM46" s="15">
        <f>IFERROR(VLOOKUP($G46,'Visu totale'!$D$3:$DH$129,CM$1,0),0)</f>
        <v>0</v>
      </c>
      <c r="CN46" s="14">
        <f>IFERROR(VLOOKUP($G46,'Visu totale'!$D$3:$DH$129,CN$1,0),0)</f>
        <v>0</v>
      </c>
      <c r="CO46" s="13">
        <f>IFERROR(VLOOKUP($G46,'Visu totale'!$D$3:$DH$129,CO$1,0),0)</f>
        <v>0</v>
      </c>
      <c r="CP46" s="13">
        <f>IFERROR(VLOOKUP($G46,'Visu totale'!$D$3:$DH$129,CP$1,0),0)</f>
        <v>0</v>
      </c>
      <c r="CQ46" s="13">
        <f>IFERROR(VLOOKUP($G46,'Visu totale'!$D$3:$DH$129,CQ$1,0),0)</f>
        <v>0</v>
      </c>
      <c r="CR46" s="13">
        <f>IFERROR(VLOOKUP($G46,'Visu totale'!$D$3:$DH$129,CR$1,0),0)</f>
        <v>0</v>
      </c>
      <c r="CS46" s="13">
        <f>IFERROR(VLOOKUP($G46,'Visu totale'!$D$3:$DH$129,CS$1,0),0)</f>
        <v>0</v>
      </c>
      <c r="CT46" s="13">
        <f>IFERROR(VLOOKUP($G46,'Visu totale'!$D$3:$DH$129,CT$1,0),0)</f>
        <v>0</v>
      </c>
      <c r="CU46" s="13">
        <f>IFERROR(VLOOKUP($G46,'Visu totale'!$D$3:$DH$129,CU$1,0),0)</f>
        <v>0</v>
      </c>
      <c r="CV46" s="13">
        <f>IFERROR(VLOOKUP($G46,'Visu totale'!$D$3:$DH$129,CV$1,0),0)</f>
        <v>0</v>
      </c>
      <c r="CW46" s="13">
        <f>IFERROR(VLOOKUP($G46,'Visu totale'!$D$3:$DH$129,CW$1,0),0)</f>
        <v>0</v>
      </c>
      <c r="CX46" s="13">
        <f>IFERROR(VLOOKUP($G46,'Visu totale'!$D$3:$DH$129,CX$1,0),0)</f>
        <v>0</v>
      </c>
      <c r="CY46" s="15">
        <f>IFERROR(VLOOKUP($G46,'Visu totale'!$D$3:$DH$129,CY$1,0),0)</f>
        <v>0</v>
      </c>
      <c r="CZ46" s="14">
        <f>IFERROR(VLOOKUP($G46,'Visu totale'!$D$3:$DH$129,CZ$1,0),0)</f>
        <v>0</v>
      </c>
      <c r="DA46" s="13">
        <f>IFERROR(VLOOKUP($G46,'Visu totale'!$D$3:$DH$129,DA$1,0),0)</f>
        <v>0</v>
      </c>
      <c r="DB46" s="13">
        <f>IFERROR(VLOOKUP($G46,'Visu totale'!$D$3:$DH$129,DB$1,0),0)</f>
        <v>0</v>
      </c>
      <c r="DC46" s="13">
        <f>IFERROR(VLOOKUP($G46,'Visu totale'!$D$3:$DH$129,DC$1,0),0)</f>
        <v>0</v>
      </c>
      <c r="DD46" s="13">
        <f>IFERROR(VLOOKUP($G46,'Visu totale'!$D$3:$DH$129,DD$1,0),0)</f>
        <v>0</v>
      </c>
      <c r="DE46" s="13">
        <f>IFERROR(VLOOKUP($G46,'Visu totale'!$D$3:$DH$129,DE$1,0),0)</f>
        <v>0</v>
      </c>
      <c r="DF46" s="13">
        <f>IFERROR(VLOOKUP($G46,'Visu totale'!$D$3:$DH$129,DF$1,0),0)</f>
        <v>0</v>
      </c>
      <c r="DG46" s="13">
        <f>IFERROR(VLOOKUP($G46,'Visu totale'!$D$3:$DH$129,DG$1,0),0)</f>
        <v>0</v>
      </c>
      <c r="DH46" s="13">
        <f>IFERROR(VLOOKUP($G46,'Visu totale'!$D$3:$DH$129,DH$1,0),0)</f>
        <v>0</v>
      </c>
      <c r="DI46" s="13">
        <f>IFERROR(VLOOKUP($G46,'Visu totale'!$D$3:$DH$129,DI$1,0),0)</f>
        <v>0</v>
      </c>
      <c r="DJ46" s="13">
        <f>IFERROR(VLOOKUP($G46,'Visu totale'!$D$3:$DH$129,DJ$1,0),0)</f>
        <v>0</v>
      </c>
      <c r="DK46" s="15">
        <f>IFERROR(VLOOKUP($G46,'Visu totale'!$D$3:$DH$129,DK$1,0),0)</f>
        <v>0</v>
      </c>
    </row>
    <row r="47" spans="1:115" x14ac:dyDescent="0.25">
      <c r="A47" s="13"/>
      <c r="B47" s="13"/>
      <c r="C47" s="13"/>
      <c r="D47" s="16"/>
      <c r="E47" s="13"/>
      <c r="F47" s="13"/>
      <c r="G47" s="17" t="s">
        <v>49</v>
      </c>
      <c r="H47" s="14">
        <f>IFERROR(VLOOKUP($G47,'Visu totale'!$D$3:$DH$129,H$1,0),0)</f>
        <v>0</v>
      </c>
      <c r="I47" s="13">
        <f>IFERROR(VLOOKUP($G47,'Visu totale'!$D$3:$DH$129,I$1,0),0)</f>
        <v>0</v>
      </c>
      <c r="J47" s="13">
        <f>IFERROR(VLOOKUP($G47,'Visu totale'!$D$3:$DH$129,J$1,0),0)</f>
        <v>0</v>
      </c>
      <c r="K47" s="13">
        <f>IFERROR(VLOOKUP($G47,'Visu totale'!$D$3:$DH$129,K$1,0),0)</f>
        <v>0</v>
      </c>
      <c r="L47" s="13">
        <f>IFERROR(VLOOKUP($G47,'Visu totale'!$D$3:$DH$129,L$1,0),0)</f>
        <v>0</v>
      </c>
      <c r="M47" s="13">
        <f>IFERROR(VLOOKUP($G47,'Visu totale'!$D$3:$DH$129,M$1,0),0)</f>
        <v>0</v>
      </c>
      <c r="N47" s="13">
        <f>IFERROR(VLOOKUP($G47,'Visu totale'!$D$3:$DH$129,N$1,0),0)</f>
        <v>0</v>
      </c>
      <c r="O47" s="13">
        <f>IFERROR(VLOOKUP($G47,'Visu totale'!$D$3:$DH$129,O$1,0),0)</f>
        <v>0</v>
      </c>
      <c r="P47" s="13">
        <f>IFERROR(VLOOKUP($G47,'Visu totale'!$D$3:$DH$129,P$1,0),0)</f>
        <v>0</v>
      </c>
      <c r="Q47" s="13">
        <f>IFERROR(VLOOKUP($G47,'Visu totale'!$D$3:$DH$129,Q$1,0),0)</f>
        <v>0</v>
      </c>
      <c r="R47" s="13">
        <f>IFERROR(VLOOKUP($G47,'Visu totale'!$D$3:$DH$129,R$1,0),0)</f>
        <v>0</v>
      </c>
      <c r="S47" s="15">
        <f>IFERROR(VLOOKUP($G47,'Visu totale'!$D$3:$DH$129,S$1,0),0)</f>
        <v>0</v>
      </c>
      <c r="T47" s="14">
        <f>IFERROR(VLOOKUP($G47,'Visu totale'!$D$3:$DH$129,T$1,0),0)</f>
        <v>0</v>
      </c>
      <c r="U47" s="13">
        <f>IFERROR(VLOOKUP($G47,'Visu totale'!$D$3:$DH$129,U$1,0),0)</f>
        <v>0</v>
      </c>
      <c r="V47" s="13">
        <f>IFERROR(VLOOKUP($G47,'Visu totale'!$D$3:$DH$129,V$1,0),0)</f>
        <v>0</v>
      </c>
      <c r="W47" s="13">
        <f>IFERROR(VLOOKUP($G47,'Visu totale'!$D$3:$DH$129,W$1,0),0)</f>
        <v>0</v>
      </c>
      <c r="X47" s="13">
        <f>IFERROR(VLOOKUP($G47,'Visu totale'!$D$3:$DH$129,X$1,0),0)</f>
        <v>0</v>
      </c>
      <c r="Y47" s="13">
        <f>IFERROR(VLOOKUP($G47,'Visu totale'!$D$3:$DH$129,Y$1,0),0)</f>
        <v>0</v>
      </c>
      <c r="Z47" s="13">
        <f>IFERROR(VLOOKUP($G47,'Visu totale'!$D$3:$DH$129,Z$1,0),0)</f>
        <v>0</v>
      </c>
      <c r="AA47" s="13">
        <f>IFERROR(VLOOKUP($G47,'Visu totale'!$D$3:$DH$129,AA$1,0),0)</f>
        <v>0</v>
      </c>
      <c r="AB47" s="13">
        <f>IFERROR(VLOOKUP($G47,'Visu totale'!$D$3:$DH$129,AB$1,0),0)</f>
        <v>0</v>
      </c>
      <c r="AC47" s="13">
        <f>IFERROR(VLOOKUP($G47,'Visu totale'!$D$3:$DH$129,AC$1,0),0)</f>
        <v>0</v>
      </c>
      <c r="AD47" s="13">
        <f>IFERROR(VLOOKUP($G47,'Visu totale'!$D$3:$DH$129,AD$1,0),0)</f>
        <v>0</v>
      </c>
      <c r="AE47" s="15">
        <f>IFERROR(VLOOKUP($G47,'Visu totale'!$D$3:$DH$129,AE$1,0),0)</f>
        <v>0</v>
      </c>
      <c r="AF47" s="14">
        <f>IFERROR(VLOOKUP($G47,'Visu totale'!$D$3:$DH$129,AF$1,0),0)</f>
        <v>0</v>
      </c>
      <c r="AG47" s="13">
        <f>IFERROR(VLOOKUP($G47,'Visu totale'!$D$3:$DH$129,AG$1,0),0)</f>
        <v>0</v>
      </c>
      <c r="AH47" s="13">
        <f>IFERROR(VLOOKUP($G47,'Visu totale'!$D$3:$DH$129,AH$1,0),0)</f>
        <v>0</v>
      </c>
      <c r="AI47" s="13">
        <f>IFERROR(VLOOKUP($G47,'Visu totale'!$D$3:$DH$129,AI$1,0),0)</f>
        <v>0</v>
      </c>
      <c r="AJ47" s="13">
        <f>IFERROR(VLOOKUP($G47,'Visu totale'!$D$3:$DH$129,AJ$1,0),0)</f>
        <v>0</v>
      </c>
      <c r="AK47" s="13">
        <f>IFERROR(VLOOKUP($G47,'Visu totale'!$D$3:$DH$129,AK$1,0),0)</f>
        <v>0</v>
      </c>
      <c r="AL47" s="13">
        <f>IFERROR(VLOOKUP($G47,'Visu totale'!$D$3:$DH$129,AL$1,0),0)</f>
        <v>0</v>
      </c>
      <c r="AM47" s="13">
        <f>IFERROR(VLOOKUP($G47,'Visu totale'!$D$3:$DH$129,AM$1,0),0)</f>
        <v>0</v>
      </c>
      <c r="AN47" s="13">
        <f>IFERROR(VLOOKUP($G47,'Visu totale'!$D$3:$DH$129,AN$1,0),0)</f>
        <v>0</v>
      </c>
      <c r="AO47" s="13">
        <f>IFERROR(VLOOKUP($G47,'Visu totale'!$D$3:$DH$129,AO$1,0),0)</f>
        <v>0</v>
      </c>
      <c r="AP47" s="13">
        <f>IFERROR(VLOOKUP($G47,'Visu totale'!$D$3:$DH$129,AP$1,0),0)</f>
        <v>0</v>
      </c>
      <c r="AQ47" s="15">
        <f>IFERROR(VLOOKUP($G47,'Visu totale'!$D$3:$DH$129,AQ$1,0),0)</f>
        <v>0</v>
      </c>
      <c r="AR47" s="14">
        <f>IFERROR(VLOOKUP($G47,'Visu totale'!$D$3:$DH$129,AR$1,0),0)</f>
        <v>0</v>
      </c>
      <c r="AS47" s="13">
        <f>IFERROR(VLOOKUP($G47,'Visu totale'!$D$3:$DH$129,AS$1,0),0)</f>
        <v>0</v>
      </c>
      <c r="AT47" s="13">
        <f>IFERROR(VLOOKUP($G47,'Visu totale'!$D$3:$DH$129,AT$1,0),0)</f>
        <v>0</v>
      </c>
      <c r="AU47" s="13">
        <f>IFERROR(VLOOKUP($G47,'Visu totale'!$D$3:$DH$129,AU$1,0),0)</f>
        <v>0</v>
      </c>
      <c r="AV47" s="13">
        <f>IFERROR(VLOOKUP($G47,'Visu totale'!$D$3:$DH$129,AV$1,0),0)</f>
        <v>0</v>
      </c>
      <c r="AW47" s="13">
        <f>IFERROR(VLOOKUP($G47,'Visu totale'!$D$3:$DH$129,AW$1,0),0)</f>
        <v>0</v>
      </c>
      <c r="AX47" s="13">
        <f>IFERROR(VLOOKUP($G47,'Visu totale'!$D$3:$DH$129,AX$1,0),0)</f>
        <v>0</v>
      </c>
      <c r="AY47" s="13">
        <f>IFERROR(VLOOKUP($G47,'Visu totale'!$D$3:$DH$129,AY$1,0),0)</f>
        <v>0</v>
      </c>
      <c r="AZ47" s="13">
        <f>IFERROR(VLOOKUP($G47,'Visu totale'!$D$3:$DH$129,AZ$1,0),0)</f>
        <v>0</v>
      </c>
      <c r="BA47" s="13">
        <f>IFERROR(VLOOKUP($G47,'Visu totale'!$D$3:$DH$129,BA$1,0),0)</f>
        <v>0</v>
      </c>
      <c r="BB47" s="13">
        <f>IFERROR(VLOOKUP($G47,'Visu totale'!$D$3:$DH$129,BB$1,0),0)</f>
        <v>0</v>
      </c>
      <c r="BC47" s="15">
        <f>IFERROR(VLOOKUP($G47,'Visu totale'!$D$3:$DH$129,BC$1,0),0)</f>
        <v>0</v>
      </c>
      <c r="BD47" s="14">
        <f>IFERROR(VLOOKUP($G47,'Visu totale'!$D$3:$DH$129,BD$1,0),0)</f>
        <v>0</v>
      </c>
      <c r="BE47" s="13">
        <f>IFERROR(VLOOKUP($G47,'Visu totale'!$D$3:$DH$129,BE$1,0),0)</f>
        <v>0</v>
      </c>
      <c r="BF47" s="13">
        <f>IFERROR(VLOOKUP($G47,'Visu totale'!$D$3:$DH$129,BF$1,0),0)</f>
        <v>0</v>
      </c>
      <c r="BG47" s="13">
        <f>IFERROR(VLOOKUP($G47,'Visu totale'!$D$3:$DH$129,BG$1,0),0)</f>
        <v>0</v>
      </c>
      <c r="BH47" s="13">
        <f>IFERROR(VLOOKUP($G47,'Visu totale'!$D$3:$DH$129,BH$1,0),0)</f>
        <v>0</v>
      </c>
      <c r="BI47" s="13">
        <f>IFERROR(VLOOKUP($G47,'Visu totale'!$D$3:$DH$129,BI$1,0),0)</f>
        <v>0</v>
      </c>
      <c r="BJ47" s="13">
        <f>IFERROR(VLOOKUP($G47,'Visu totale'!$D$3:$DH$129,BJ$1,0),0)</f>
        <v>0</v>
      </c>
      <c r="BK47" s="13">
        <f>IFERROR(VLOOKUP($G47,'Visu totale'!$D$3:$DH$129,BK$1,0),0)</f>
        <v>0</v>
      </c>
      <c r="BL47" s="13">
        <f>IFERROR(VLOOKUP($G47,'Visu totale'!$D$3:$DH$129,BL$1,0),0)</f>
        <v>0</v>
      </c>
      <c r="BM47" s="13">
        <f>IFERROR(VLOOKUP($G47,'Visu totale'!$D$3:$DH$129,BM$1,0),0)</f>
        <v>0</v>
      </c>
      <c r="BN47" s="13">
        <f>IFERROR(VLOOKUP($G47,'Visu totale'!$D$3:$DH$129,BN$1,0),0)</f>
        <v>0</v>
      </c>
      <c r="BO47" s="15">
        <f>IFERROR(VLOOKUP($G47,'Visu totale'!$D$3:$DH$129,BO$1,0),0)</f>
        <v>0</v>
      </c>
      <c r="BP47" s="14">
        <f>IFERROR(VLOOKUP($G47,'Visu totale'!$D$3:$DH$129,BP$1,0),0)</f>
        <v>0</v>
      </c>
      <c r="BQ47" s="13">
        <f>IFERROR(VLOOKUP($G47,'Visu totale'!$D$3:$DH$129,BQ$1,0),0)</f>
        <v>0</v>
      </c>
      <c r="BR47" s="13">
        <f>IFERROR(VLOOKUP($G47,'Visu totale'!$D$3:$DH$129,BR$1,0),0)</f>
        <v>0</v>
      </c>
      <c r="BS47" s="13">
        <f>IFERROR(VLOOKUP($G47,'Visu totale'!$D$3:$DH$129,BS$1,0),0)</f>
        <v>0</v>
      </c>
      <c r="BT47" s="13">
        <f>IFERROR(VLOOKUP($G47,'Visu totale'!$D$3:$DH$129,BT$1,0),0)</f>
        <v>0</v>
      </c>
      <c r="BU47" s="13">
        <f>IFERROR(VLOOKUP($G47,'Visu totale'!$D$3:$DH$129,BU$1,0),0)</f>
        <v>0</v>
      </c>
      <c r="BV47" s="13">
        <f>IFERROR(VLOOKUP($G47,'Visu totale'!$D$3:$DH$129,BV$1,0),0)</f>
        <v>0</v>
      </c>
      <c r="BW47" s="13">
        <f>IFERROR(VLOOKUP($G47,'Visu totale'!$D$3:$DH$129,BW$1,0),0)</f>
        <v>0</v>
      </c>
      <c r="BX47" s="13">
        <f>IFERROR(VLOOKUP($G47,'Visu totale'!$D$3:$DH$129,BX$1,0),0)</f>
        <v>0</v>
      </c>
      <c r="BY47" s="13">
        <f>IFERROR(VLOOKUP($G47,'Visu totale'!$D$3:$DH$129,BY$1,0),0)</f>
        <v>0</v>
      </c>
      <c r="BZ47" s="13">
        <f>IFERROR(VLOOKUP($G47,'Visu totale'!$D$3:$DH$129,BZ$1,0),0)</f>
        <v>0</v>
      </c>
      <c r="CA47" s="15">
        <f>IFERROR(VLOOKUP($G47,'Visu totale'!$D$3:$DH$129,CA$1,0),0)</f>
        <v>0</v>
      </c>
      <c r="CB47" s="14">
        <f>IFERROR(VLOOKUP($G47,'Visu totale'!$D$3:$DH$129,CB$1,0),0)</f>
        <v>0</v>
      </c>
      <c r="CC47" s="13">
        <f>IFERROR(VLOOKUP($G47,'Visu totale'!$D$3:$DH$129,CC$1,0),0)</f>
        <v>0</v>
      </c>
      <c r="CD47" s="13">
        <f>IFERROR(VLOOKUP($G47,'Visu totale'!$D$3:$DH$129,CD$1,0),0)</f>
        <v>0</v>
      </c>
      <c r="CE47" s="13">
        <f>IFERROR(VLOOKUP($G47,'Visu totale'!$D$3:$DH$129,CE$1,0),0)</f>
        <v>0</v>
      </c>
      <c r="CF47" s="13">
        <f>IFERROR(VLOOKUP($G47,'Visu totale'!$D$3:$DH$129,CF$1,0),0)</f>
        <v>0</v>
      </c>
      <c r="CG47" s="13">
        <f>IFERROR(VLOOKUP($G47,'Visu totale'!$D$3:$DH$129,CG$1,0),0)</f>
        <v>0</v>
      </c>
      <c r="CH47" s="13">
        <f>IFERROR(VLOOKUP($G47,'Visu totale'!$D$3:$DH$129,CH$1,0),0)</f>
        <v>0</v>
      </c>
      <c r="CI47" s="13">
        <f>IFERROR(VLOOKUP($G47,'Visu totale'!$D$3:$DH$129,CI$1,0),0)</f>
        <v>0</v>
      </c>
      <c r="CJ47" s="13">
        <f>IFERROR(VLOOKUP($G47,'Visu totale'!$D$3:$DH$129,CJ$1,0),0)</f>
        <v>0</v>
      </c>
      <c r="CK47" s="13">
        <f>IFERROR(VLOOKUP($G47,'Visu totale'!$D$3:$DH$129,CK$1,0),0)</f>
        <v>0</v>
      </c>
      <c r="CL47" s="13">
        <f>IFERROR(VLOOKUP($G47,'Visu totale'!$D$3:$DH$129,CL$1,0),0)</f>
        <v>0</v>
      </c>
      <c r="CM47" s="15">
        <f>IFERROR(VLOOKUP($G47,'Visu totale'!$D$3:$DH$129,CM$1,0),0)</f>
        <v>0</v>
      </c>
      <c r="CN47" s="14">
        <f>IFERROR(VLOOKUP($G47,'Visu totale'!$D$3:$DH$129,CN$1,0),0)</f>
        <v>0</v>
      </c>
      <c r="CO47" s="13">
        <f>IFERROR(VLOOKUP($G47,'Visu totale'!$D$3:$DH$129,CO$1,0),0)</f>
        <v>0</v>
      </c>
      <c r="CP47" s="13">
        <f>IFERROR(VLOOKUP($G47,'Visu totale'!$D$3:$DH$129,CP$1,0),0)</f>
        <v>0</v>
      </c>
      <c r="CQ47" s="13">
        <f>IFERROR(VLOOKUP($G47,'Visu totale'!$D$3:$DH$129,CQ$1,0),0)</f>
        <v>0</v>
      </c>
      <c r="CR47" s="13">
        <f>IFERROR(VLOOKUP($G47,'Visu totale'!$D$3:$DH$129,CR$1,0),0)</f>
        <v>0</v>
      </c>
      <c r="CS47" s="13">
        <f>IFERROR(VLOOKUP($G47,'Visu totale'!$D$3:$DH$129,CS$1,0),0)</f>
        <v>0</v>
      </c>
      <c r="CT47" s="13">
        <f>IFERROR(VLOOKUP($G47,'Visu totale'!$D$3:$DH$129,CT$1,0),0)</f>
        <v>0</v>
      </c>
      <c r="CU47" s="13">
        <f>IFERROR(VLOOKUP($G47,'Visu totale'!$D$3:$DH$129,CU$1,0),0)</f>
        <v>0</v>
      </c>
      <c r="CV47" s="13">
        <f>IFERROR(VLOOKUP($G47,'Visu totale'!$D$3:$DH$129,CV$1,0),0)</f>
        <v>0</v>
      </c>
      <c r="CW47" s="13">
        <f>IFERROR(VLOOKUP($G47,'Visu totale'!$D$3:$DH$129,CW$1,0),0)</f>
        <v>0</v>
      </c>
      <c r="CX47" s="13">
        <f>IFERROR(VLOOKUP($G47,'Visu totale'!$D$3:$DH$129,CX$1,0),0)</f>
        <v>0</v>
      </c>
      <c r="CY47" s="15">
        <f>IFERROR(VLOOKUP($G47,'Visu totale'!$D$3:$DH$129,CY$1,0),0)</f>
        <v>0</v>
      </c>
      <c r="CZ47" s="14">
        <f>IFERROR(VLOOKUP($G47,'Visu totale'!$D$3:$DH$129,CZ$1,0),0)</f>
        <v>0</v>
      </c>
      <c r="DA47" s="13">
        <f>IFERROR(VLOOKUP($G47,'Visu totale'!$D$3:$DH$129,DA$1,0),0)</f>
        <v>0</v>
      </c>
      <c r="DB47" s="13">
        <f>IFERROR(VLOOKUP($G47,'Visu totale'!$D$3:$DH$129,DB$1,0),0)</f>
        <v>0</v>
      </c>
      <c r="DC47" s="13">
        <f>IFERROR(VLOOKUP($G47,'Visu totale'!$D$3:$DH$129,DC$1,0),0)</f>
        <v>0</v>
      </c>
      <c r="DD47" s="13">
        <f>IFERROR(VLOOKUP($G47,'Visu totale'!$D$3:$DH$129,DD$1,0),0)</f>
        <v>0</v>
      </c>
      <c r="DE47" s="13">
        <f>IFERROR(VLOOKUP($G47,'Visu totale'!$D$3:$DH$129,DE$1,0),0)</f>
        <v>0</v>
      </c>
      <c r="DF47" s="13">
        <f>IFERROR(VLOOKUP($G47,'Visu totale'!$D$3:$DH$129,DF$1,0),0)</f>
        <v>0</v>
      </c>
      <c r="DG47" s="13">
        <f>IFERROR(VLOOKUP($G47,'Visu totale'!$D$3:$DH$129,DG$1,0),0)</f>
        <v>0</v>
      </c>
      <c r="DH47" s="13">
        <f>IFERROR(VLOOKUP($G47,'Visu totale'!$D$3:$DH$129,DH$1,0),0)</f>
        <v>0</v>
      </c>
      <c r="DI47" s="13">
        <f>IFERROR(VLOOKUP($G47,'Visu totale'!$D$3:$DH$129,DI$1,0),0)</f>
        <v>0</v>
      </c>
      <c r="DJ47" s="13">
        <f>IFERROR(VLOOKUP($G47,'Visu totale'!$D$3:$DH$129,DJ$1,0),0)</f>
        <v>0</v>
      </c>
      <c r="DK47" s="15">
        <f>IFERROR(VLOOKUP($G47,'Visu totale'!$D$3:$DH$129,DK$1,0),0)</f>
        <v>0</v>
      </c>
    </row>
    <row r="48" spans="1:115" x14ac:dyDescent="0.25">
      <c r="A48" s="13"/>
      <c r="B48" s="13"/>
      <c r="C48" s="13"/>
      <c r="D48" s="16"/>
      <c r="E48" s="13"/>
      <c r="F48" s="13"/>
      <c r="G48" s="17" t="s">
        <v>50</v>
      </c>
      <c r="H48" s="14">
        <f>IFERROR(VLOOKUP($G48,'Visu totale'!$D$3:$DH$129,H$1,0),0)</f>
        <v>0</v>
      </c>
      <c r="I48" s="13">
        <f>IFERROR(VLOOKUP($G48,'Visu totale'!$D$3:$DH$129,I$1,0),0)</f>
        <v>0</v>
      </c>
      <c r="J48" s="13">
        <f>IFERROR(VLOOKUP($G48,'Visu totale'!$D$3:$DH$129,J$1,0),0)</f>
        <v>0</v>
      </c>
      <c r="K48" s="13">
        <f>IFERROR(VLOOKUP($G48,'Visu totale'!$D$3:$DH$129,K$1,0),0)</f>
        <v>0</v>
      </c>
      <c r="L48" s="13">
        <f>IFERROR(VLOOKUP($G48,'Visu totale'!$D$3:$DH$129,L$1,0),0)</f>
        <v>0</v>
      </c>
      <c r="M48" s="13">
        <f>IFERROR(VLOOKUP($G48,'Visu totale'!$D$3:$DH$129,M$1,0),0)</f>
        <v>0</v>
      </c>
      <c r="N48" s="13">
        <f>IFERROR(VLOOKUP($G48,'Visu totale'!$D$3:$DH$129,N$1,0),0)</f>
        <v>0</v>
      </c>
      <c r="O48" s="13">
        <f>IFERROR(VLOOKUP($G48,'Visu totale'!$D$3:$DH$129,O$1,0),0)</f>
        <v>0</v>
      </c>
      <c r="P48" s="13">
        <f>IFERROR(VLOOKUP($G48,'Visu totale'!$D$3:$DH$129,P$1,0),0)</f>
        <v>0</v>
      </c>
      <c r="Q48" s="13">
        <f>IFERROR(VLOOKUP($G48,'Visu totale'!$D$3:$DH$129,Q$1,0),0)</f>
        <v>0</v>
      </c>
      <c r="R48" s="13">
        <f>IFERROR(VLOOKUP($G48,'Visu totale'!$D$3:$DH$129,R$1,0),0)</f>
        <v>0</v>
      </c>
      <c r="S48" s="15">
        <f>IFERROR(VLOOKUP($G48,'Visu totale'!$D$3:$DH$129,S$1,0),0)</f>
        <v>0</v>
      </c>
      <c r="T48" s="14">
        <f>IFERROR(VLOOKUP($G48,'Visu totale'!$D$3:$DH$129,T$1,0),0)</f>
        <v>0</v>
      </c>
      <c r="U48" s="13">
        <f>IFERROR(VLOOKUP($G48,'Visu totale'!$D$3:$DH$129,U$1,0),0)</f>
        <v>0</v>
      </c>
      <c r="V48" s="13">
        <f>IFERROR(VLOOKUP($G48,'Visu totale'!$D$3:$DH$129,V$1,0),0)</f>
        <v>0</v>
      </c>
      <c r="W48" s="13">
        <f>IFERROR(VLOOKUP($G48,'Visu totale'!$D$3:$DH$129,W$1,0),0)</f>
        <v>0</v>
      </c>
      <c r="X48" s="13">
        <f>IFERROR(VLOOKUP($G48,'Visu totale'!$D$3:$DH$129,X$1,0),0)</f>
        <v>0</v>
      </c>
      <c r="Y48" s="13">
        <f>IFERROR(VLOOKUP($G48,'Visu totale'!$D$3:$DH$129,Y$1,0),0)</f>
        <v>0</v>
      </c>
      <c r="Z48" s="13">
        <f>IFERROR(VLOOKUP($G48,'Visu totale'!$D$3:$DH$129,Z$1,0),0)</f>
        <v>0</v>
      </c>
      <c r="AA48" s="13">
        <f>IFERROR(VLOOKUP($G48,'Visu totale'!$D$3:$DH$129,AA$1,0),0)</f>
        <v>0</v>
      </c>
      <c r="AB48" s="13">
        <f>IFERROR(VLOOKUP($G48,'Visu totale'!$D$3:$DH$129,AB$1,0),0)</f>
        <v>0</v>
      </c>
      <c r="AC48" s="13">
        <f>IFERROR(VLOOKUP($G48,'Visu totale'!$D$3:$DH$129,AC$1,0),0)</f>
        <v>0</v>
      </c>
      <c r="AD48" s="13">
        <f>IFERROR(VLOOKUP($G48,'Visu totale'!$D$3:$DH$129,AD$1,0),0)</f>
        <v>0</v>
      </c>
      <c r="AE48" s="15">
        <f>IFERROR(VLOOKUP($G48,'Visu totale'!$D$3:$DH$129,AE$1,0),0)</f>
        <v>0</v>
      </c>
      <c r="AF48" s="14">
        <f>IFERROR(VLOOKUP($G48,'Visu totale'!$D$3:$DH$129,AF$1,0),0)</f>
        <v>0</v>
      </c>
      <c r="AG48" s="13">
        <f>IFERROR(VLOOKUP($G48,'Visu totale'!$D$3:$DH$129,AG$1,0),0)</f>
        <v>0</v>
      </c>
      <c r="AH48" s="13">
        <f>IFERROR(VLOOKUP($G48,'Visu totale'!$D$3:$DH$129,AH$1,0),0)</f>
        <v>0</v>
      </c>
      <c r="AI48" s="13">
        <f>IFERROR(VLOOKUP($G48,'Visu totale'!$D$3:$DH$129,AI$1,0),0)</f>
        <v>0</v>
      </c>
      <c r="AJ48" s="13">
        <f>IFERROR(VLOOKUP($G48,'Visu totale'!$D$3:$DH$129,AJ$1,0),0)</f>
        <v>0</v>
      </c>
      <c r="AK48" s="13">
        <f>IFERROR(VLOOKUP($G48,'Visu totale'!$D$3:$DH$129,AK$1,0),0)</f>
        <v>0</v>
      </c>
      <c r="AL48" s="13">
        <f>IFERROR(VLOOKUP($G48,'Visu totale'!$D$3:$DH$129,AL$1,0),0)</f>
        <v>0</v>
      </c>
      <c r="AM48" s="13">
        <f>IFERROR(VLOOKUP($G48,'Visu totale'!$D$3:$DH$129,AM$1,0),0)</f>
        <v>0</v>
      </c>
      <c r="AN48" s="13">
        <f>IFERROR(VLOOKUP($G48,'Visu totale'!$D$3:$DH$129,AN$1,0),0)</f>
        <v>0</v>
      </c>
      <c r="AO48" s="13">
        <f>IFERROR(VLOOKUP($G48,'Visu totale'!$D$3:$DH$129,AO$1,0),0)</f>
        <v>0</v>
      </c>
      <c r="AP48" s="13">
        <f>IFERROR(VLOOKUP($G48,'Visu totale'!$D$3:$DH$129,AP$1,0),0)</f>
        <v>0</v>
      </c>
      <c r="AQ48" s="15">
        <f>IFERROR(VLOOKUP($G48,'Visu totale'!$D$3:$DH$129,AQ$1,0),0)</f>
        <v>0</v>
      </c>
      <c r="AR48" s="14">
        <f>IFERROR(VLOOKUP($G48,'Visu totale'!$D$3:$DH$129,AR$1,0),0)</f>
        <v>0</v>
      </c>
      <c r="AS48" s="13">
        <f>IFERROR(VLOOKUP($G48,'Visu totale'!$D$3:$DH$129,AS$1,0),0)</f>
        <v>0</v>
      </c>
      <c r="AT48" s="13">
        <f>IFERROR(VLOOKUP($G48,'Visu totale'!$D$3:$DH$129,AT$1,0),0)</f>
        <v>0</v>
      </c>
      <c r="AU48" s="13">
        <f>IFERROR(VLOOKUP($G48,'Visu totale'!$D$3:$DH$129,AU$1,0),0)</f>
        <v>0</v>
      </c>
      <c r="AV48" s="13">
        <f>IFERROR(VLOOKUP($G48,'Visu totale'!$D$3:$DH$129,AV$1,0),0)</f>
        <v>0</v>
      </c>
      <c r="AW48" s="13">
        <f>IFERROR(VLOOKUP($G48,'Visu totale'!$D$3:$DH$129,AW$1,0),0)</f>
        <v>0</v>
      </c>
      <c r="AX48" s="13">
        <f>IFERROR(VLOOKUP($G48,'Visu totale'!$D$3:$DH$129,AX$1,0),0)</f>
        <v>0</v>
      </c>
      <c r="AY48" s="13">
        <f>IFERROR(VLOOKUP($G48,'Visu totale'!$D$3:$DH$129,AY$1,0),0)</f>
        <v>0</v>
      </c>
      <c r="AZ48" s="13">
        <f>IFERROR(VLOOKUP($G48,'Visu totale'!$D$3:$DH$129,AZ$1,0),0)</f>
        <v>0</v>
      </c>
      <c r="BA48" s="13">
        <f>IFERROR(VLOOKUP($G48,'Visu totale'!$D$3:$DH$129,BA$1,0),0)</f>
        <v>0</v>
      </c>
      <c r="BB48" s="13">
        <f>IFERROR(VLOOKUP($G48,'Visu totale'!$D$3:$DH$129,BB$1,0),0)</f>
        <v>0</v>
      </c>
      <c r="BC48" s="15">
        <f>IFERROR(VLOOKUP($G48,'Visu totale'!$D$3:$DH$129,BC$1,0),0)</f>
        <v>0</v>
      </c>
      <c r="BD48" s="14">
        <f>IFERROR(VLOOKUP($G48,'Visu totale'!$D$3:$DH$129,BD$1,0),0)</f>
        <v>0</v>
      </c>
      <c r="BE48" s="13">
        <f>IFERROR(VLOOKUP($G48,'Visu totale'!$D$3:$DH$129,BE$1,0),0)</f>
        <v>0</v>
      </c>
      <c r="BF48" s="13">
        <f>IFERROR(VLOOKUP($G48,'Visu totale'!$D$3:$DH$129,BF$1,0),0)</f>
        <v>0</v>
      </c>
      <c r="BG48" s="13">
        <f>IFERROR(VLOOKUP($G48,'Visu totale'!$D$3:$DH$129,BG$1,0),0)</f>
        <v>0</v>
      </c>
      <c r="BH48" s="13">
        <f>IFERROR(VLOOKUP($G48,'Visu totale'!$D$3:$DH$129,BH$1,0),0)</f>
        <v>0</v>
      </c>
      <c r="BI48" s="13">
        <f>IFERROR(VLOOKUP($G48,'Visu totale'!$D$3:$DH$129,BI$1,0),0)</f>
        <v>0</v>
      </c>
      <c r="BJ48" s="13">
        <f>IFERROR(VLOOKUP($G48,'Visu totale'!$D$3:$DH$129,BJ$1,0),0)</f>
        <v>0</v>
      </c>
      <c r="BK48" s="13">
        <f>IFERROR(VLOOKUP($G48,'Visu totale'!$D$3:$DH$129,BK$1,0),0)</f>
        <v>0</v>
      </c>
      <c r="BL48" s="13">
        <f>IFERROR(VLOOKUP($G48,'Visu totale'!$D$3:$DH$129,BL$1,0),0)</f>
        <v>0</v>
      </c>
      <c r="BM48" s="13">
        <f>IFERROR(VLOOKUP($G48,'Visu totale'!$D$3:$DH$129,BM$1,0),0)</f>
        <v>0</v>
      </c>
      <c r="BN48" s="13">
        <f>IFERROR(VLOOKUP($G48,'Visu totale'!$D$3:$DH$129,BN$1,0),0)</f>
        <v>0</v>
      </c>
      <c r="BO48" s="15">
        <f>IFERROR(VLOOKUP($G48,'Visu totale'!$D$3:$DH$129,BO$1,0),0)</f>
        <v>0</v>
      </c>
      <c r="BP48" s="14">
        <f>IFERROR(VLOOKUP($G48,'Visu totale'!$D$3:$DH$129,BP$1,0),0)</f>
        <v>0</v>
      </c>
      <c r="BQ48" s="13">
        <f>IFERROR(VLOOKUP($G48,'Visu totale'!$D$3:$DH$129,BQ$1,0),0)</f>
        <v>0</v>
      </c>
      <c r="BR48" s="13">
        <f>IFERROR(VLOOKUP($G48,'Visu totale'!$D$3:$DH$129,BR$1,0),0)</f>
        <v>0</v>
      </c>
      <c r="BS48" s="13">
        <f>IFERROR(VLOOKUP($G48,'Visu totale'!$D$3:$DH$129,BS$1,0),0)</f>
        <v>0</v>
      </c>
      <c r="BT48" s="13">
        <f>IFERROR(VLOOKUP($G48,'Visu totale'!$D$3:$DH$129,BT$1,0),0)</f>
        <v>0</v>
      </c>
      <c r="BU48" s="13">
        <f>IFERROR(VLOOKUP($G48,'Visu totale'!$D$3:$DH$129,BU$1,0),0)</f>
        <v>0</v>
      </c>
      <c r="BV48" s="13">
        <f>IFERROR(VLOOKUP($G48,'Visu totale'!$D$3:$DH$129,BV$1,0),0)</f>
        <v>0</v>
      </c>
      <c r="BW48" s="13">
        <f>IFERROR(VLOOKUP($G48,'Visu totale'!$D$3:$DH$129,BW$1,0),0)</f>
        <v>0</v>
      </c>
      <c r="BX48" s="13">
        <f>IFERROR(VLOOKUP($G48,'Visu totale'!$D$3:$DH$129,BX$1,0),0)</f>
        <v>0</v>
      </c>
      <c r="BY48" s="13">
        <f>IFERROR(VLOOKUP($G48,'Visu totale'!$D$3:$DH$129,BY$1,0),0)</f>
        <v>0</v>
      </c>
      <c r="BZ48" s="13">
        <f>IFERROR(VLOOKUP($G48,'Visu totale'!$D$3:$DH$129,BZ$1,0),0)</f>
        <v>0</v>
      </c>
      <c r="CA48" s="15">
        <f>IFERROR(VLOOKUP($G48,'Visu totale'!$D$3:$DH$129,CA$1,0),0)</f>
        <v>0</v>
      </c>
      <c r="CB48" s="14">
        <f>IFERROR(VLOOKUP($G48,'Visu totale'!$D$3:$DH$129,CB$1,0),0)</f>
        <v>0</v>
      </c>
      <c r="CC48" s="13">
        <f>IFERROR(VLOOKUP($G48,'Visu totale'!$D$3:$DH$129,CC$1,0),0)</f>
        <v>0</v>
      </c>
      <c r="CD48" s="13">
        <f>IFERROR(VLOOKUP($G48,'Visu totale'!$D$3:$DH$129,CD$1,0),0)</f>
        <v>0</v>
      </c>
      <c r="CE48" s="13">
        <f>IFERROR(VLOOKUP($G48,'Visu totale'!$D$3:$DH$129,CE$1,0),0)</f>
        <v>0</v>
      </c>
      <c r="CF48" s="13">
        <f>IFERROR(VLOOKUP($G48,'Visu totale'!$D$3:$DH$129,CF$1,0),0)</f>
        <v>0</v>
      </c>
      <c r="CG48" s="13">
        <f>IFERROR(VLOOKUP($G48,'Visu totale'!$D$3:$DH$129,CG$1,0),0)</f>
        <v>0</v>
      </c>
      <c r="CH48" s="13">
        <f>IFERROR(VLOOKUP($G48,'Visu totale'!$D$3:$DH$129,CH$1,0),0)</f>
        <v>0</v>
      </c>
      <c r="CI48" s="13">
        <f>IFERROR(VLOOKUP($G48,'Visu totale'!$D$3:$DH$129,CI$1,0),0)</f>
        <v>0</v>
      </c>
      <c r="CJ48" s="13">
        <f>IFERROR(VLOOKUP($G48,'Visu totale'!$D$3:$DH$129,CJ$1,0),0)</f>
        <v>0</v>
      </c>
      <c r="CK48" s="13">
        <f>IFERROR(VLOOKUP($G48,'Visu totale'!$D$3:$DH$129,CK$1,0),0)</f>
        <v>0</v>
      </c>
      <c r="CL48" s="13">
        <f>IFERROR(VLOOKUP($G48,'Visu totale'!$D$3:$DH$129,CL$1,0),0)</f>
        <v>0</v>
      </c>
      <c r="CM48" s="15">
        <f>IFERROR(VLOOKUP($G48,'Visu totale'!$D$3:$DH$129,CM$1,0),0)</f>
        <v>0</v>
      </c>
      <c r="CN48" s="14">
        <f>IFERROR(VLOOKUP($G48,'Visu totale'!$D$3:$DH$129,CN$1,0),0)</f>
        <v>0</v>
      </c>
      <c r="CO48" s="13">
        <f>IFERROR(VLOOKUP($G48,'Visu totale'!$D$3:$DH$129,CO$1,0),0)</f>
        <v>0</v>
      </c>
      <c r="CP48" s="13">
        <f>IFERROR(VLOOKUP($G48,'Visu totale'!$D$3:$DH$129,CP$1,0),0)</f>
        <v>0</v>
      </c>
      <c r="CQ48" s="13">
        <f>IFERROR(VLOOKUP($G48,'Visu totale'!$D$3:$DH$129,CQ$1,0),0)</f>
        <v>0</v>
      </c>
      <c r="CR48" s="13">
        <f>IFERROR(VLOOKUP($G48,'Visu totale'!$D$3:$DH$129,CR$1,0),0)</f>
        <v>0</v>
      </c>
      <c r="CS48" s="13">
        <f>IFERROR(VLOOKUP($G48,'Visu totale'!$D$3:$DH$129,CS$1,0),0)</f>
        <v>0</v>
      </c>
      <c r="CT48" s="13">
        <f>IFERROR(VLOOKUP($G48,'Visu totale'!$D$3:$DH$129,CT$1,0),0)</f>
        <v>0</v>
      </c>
      <c r="CU48" s="13">
        <f>IFERROR(VLOOKUP($G48,'Visu totale'!$D$3:$DH$129,CU$1,0),0)</f>
        <v>0</v>
      </c>
      <c r="CV48" s="13">
        <f>IFERROR(VLOOKUP($G48,'Visu totale'!$D$3:$DH$129,CV$1,0),0)</f>
        <v>0</v>
      </c>
      <c r="CW48" s="13">
        <f>IFERROR(VLOOKUP($G48,'Visu totale'!$D$3:$DH$129,CW$1,0),0)</f>
        <v>0</v>
      </c>
      <c r="CX48" s="13">
        <f>IFERROR(VLOOKUP($G48,'Visu totale'!$D$3:$DH$129,CX$1,0),0)</f>
        <v>0</v>
      </c>
      <c r="CY48" s="15">
        <f>IFERROR(VLOOKUP($G48,'Visu totale'!$D$3:$DH$129,CY$1,0),0)</f>
        <v>0</v>
      </c>
      <c r="CZ48" s="14">
        <f>IFERROR(VLOOKUP($G48,'Visu totale'!$D$3:$DH$129,CZ$1,0),0)</f>
        <v>0</v>
      </c>
      <c r="DA48" s="13">
        <f>IFERROR(VLOOKUP($G48,'Visu totale'!$D$3:$DH$129,DA$1,0),0)</f>
        <v>0</v>
      </c>
      <c r="DB48" s="13">
        <f>IFERROR(VLOOKUP($G48,'Visu totale'!$D$3:$DH$129,DB$1,0),0)</f>
        <v>0</v>
      </c>
      <c r="DC48" s="13">
        <f>IFERROR(VLOOKUP($G48,'Visu totale'!$D$3:$DH$129,DC$1,0),0)</f>
        <v>0</v>
      </c>
      <c r="DD48" s="13">
        <f>IFERROR(VLOOKUP($G48,'Visu totale'!$D$3:$DH$129,DD$1,0),0)</f>
        <v>0</v>
      </c>
      <c r="DE48" s="13">
        <f>IFERROR(VLOOKUP($G48,'Visu totale'!$D$3:$DH$129,DE$1,0),0)</f>
        <v>0</v>
      </c>
      <c r="DF48" s="13">
        <f>IFERROR(VLOOKUP($G48,'Visu totale'!$D$3:$DH$129,DF$1,0),0)</f>
        <v>0</v>
      </c>
      <c r="DG48" s="13">
        <f>IFERROR(VLOOKUP($G48,'Visu totale'!$D$3:$DH$129,DG$1,0),0)</f>
        <v>0</v>
      </c>
      <c r="DH48" s="13">
        <f>IFERROR(VLOOKUP($G48,'Visu totale'!$D$3:$DH$129,DH$1,0),0)</f>
        <v>0</v>
      </c>
      <c r="DI48" s="13">
        <f>IFERROR(VLOOKUP($G48,'Visu totale'!$D$3:$DH$129,DI$1,0),0)</f>
        <v>0</v>
      </c>
      <c r="DJ48" s="13">
        <f>IFERROR(VLOOKUP($G48,'Visu totale'!$D$3:$DH$129,DJ$1,0),0)</f>
        <v>0</v>
      </c>
      <c r="DK48" s="15">
        <f>IFERROR(VLOOKUP($G48,'Visu totale'!$D$3:$DH$129,DK$1,0),0)</f>
        <v>0</v>
      </c>
    </row>
    <row r="49" spans="1:115" x14ac:dyDescent="0.25">
      <c r="A49" s="13"/>
      <c r="B49" s="13"/>
      <c r="C49" s="13"/>
      <c r="D49" s="16"/>
      <c r="E49" s="13"/>
      <c r="F49" s="13"/>
      <c r="G49" s="17" t="s">
        <v>51</v>
      </c>
      <c r="H49" s="14">
        <f>IFERROR(VLOOKUP($G49,'Visu totale'!$D$3:$DH$129,H$1,0),0)</f>
        <v>0</v>
      </c>
      <c r="I49" s="13">
        <f>IFERROR(VLOOKUP($G49,'Visu totale'!$D$3:$DH$129,I$1,0),0)</f>
        <v>0</v>
      </c>
      <c r="J49" s="13">
        <f>IFERROR(VLOOKUP($G49,'Visu totale'!$D$3:$DH$129,J$1,0),0)</f>
        <v>0</v>
      </c>
      <c r="K49" s="13">
        <f>IFERROR(VLOOKUP($G49,'Visu totale'!$D$3:$DH$129,K$1,0),0)</f>
        <v>0</v>
      </c>
      <c r="L49" s="13">
        <f>IFERROR(VLOOKUP($G49,'Visu totale'!$D$3:$DH$129,L$1,0),0)</f>
        <v>0</v>
      </c>
      <c r="M49" s="13">
        <f>IFERROR(VLOOKUP($G49,'Visu totale'!$D$3:$DH$129,M$1,0),0)</f>
        <v>0</v>
      </c>
      <c r="N49" s="13">
        <f>IFERROR(VLOOKUP($G49,'Visu totale'!$D$3:$DH$129,N$1,0),0)</f>
        <v>0</v>
      </c>
      <c r="O49" s="13">
        <f>IFERROR(VLOOKUP($G49,'Visu totale'!$D$3:$DH$129,O$1,0),0)</f>
        <v>0</v>
      </c>
      <c r="P49" s="13">
        <f>IFERROR(VLOOKUP($G49,'Visu totale'!$D$3:$DH$129,P$1,0),0)</f>
        <v>0</v>
      </c>
      <c r="Q49" s="13">
        <f>IFERROR(VLOOKUP($G49,'Visu totale'!$D$3:$DH$129,Q$1,0),0)</f>
        <v>0</v>
      </c>
      <c r="R49" s="13">
        <f>IFERROR(VLOOKUP($G49,'Visu totale'!$D$3:$DH$129,R$1,0),0)</f>
        <v>0</v>
      </c>
      <c r="S49" s="15">
        <f>IFERROR(VLOOKUP($G49,'Visu totale'!$D$3:$DH$129,S$1,0),0)</f>
        <v>0</v>
      </c>
      <c r="T49" s="14">
        <f>IFERROR(VLOOKUP($G49,'Visu totale'!$D$3:$DH$129,T$1,0),0)</f>
        <v>0</v>
      </c>
      <c r="U49" s="13">
        <f>IFERROR(VLOOKUP($G49,'Visu totale'!$D$3:$DH$129,U$1,0),0)</f>
        <v>0</v>
      </c>
      <c r="V49" s="13">
        <f>IFERROR(VLOOKUP($G49,'Visu totale'!$D$3:$DH$129,V$1,0),0)</f>
        <v>0</v>
      </c>
      <c r="W49" s="13">
        <f>IFERROR(VLOOKUP($G49,'Visu totale'!$D$3:$DH$129,W$1,0),0)</f>
        <v>0</v>
      </c>
      <c r="X49" s="13">
        <f>IFERROR(VLOOKUP($G49,'Visu totale'!$D$3:$DH$129,X$1,0),0)</f>
        <v>0</v>
      </c>
      <c r="Y49" s="13">
        <f>IFERROR(VLOOKUP($G49,'Visu totale'!$D$3:$DH$129,Y$1,0),0)</f>
        <v>0</v>
      </c>
      <c r="Z49" s="13">
        <f>IFERROR(VLOOKUP($G49,'Visu totale'!$D$3:$DH$129,Z$1,0),0)</f>
        <v>0</v>
      </c>
      <c r="AA49" s="13">
        <f>IFERROR(VLOOKUP($G49,'Visu totale'!$D$3:$DH$129,AA$1,0),0)</f>
        <v>0</v>
      </c>
      <c r="AB49" s="13">
        <f>IFERROR(VLOOKUP($G49,'Visu totale'!$D$3:$DH$129,AB$1,0),0)</f>
        <v>0</v>
      </c>
      <c r="AC49" s="13">
        <f>IFERROR(VLOOKUP($G49,'Visu totale'!$D$3:$DH$129,AC$1,0),0)</f>
        <v>0</v>
      </c>
      <c r="AD49" s="13">
        <f>IFERROR(VLOOKUP($G49,'Visu totale'!$D$3:$DH$129,AD$1,0),0)</f>
        <v>0</v>
      </c>
      <c r="AE49" s="15">
        <f>IFERROR(VLOOKUP($G49,'Visu totale'!$D$3:$DH$129,AE$1,0),0)</f>
        <v>0</v>
      </c>
      <c r="AF49" s="14">
        <f>IFERROR(VLOOKUP($G49,'Visu totale'!$D$3:$DH$129,AF$1,0),0)</f>
        <v>0</v>
      </c>
      <c r="AG49" s="13">
        <f>IFERROR(VLOOKUP($G49,'Visu totale'!$D$3:$DH$129,AG$1,0),0)</f>
        <v>0</v>
      </c>
      <c r="AH49" s="13">
        <f>IFERROR(VLOOKUP($G49,'Visu totale'!$D$3:$DH$129,AH$1,0),0)</f>
        <v>0</v>
      </c>
      <c r="AI49" s="13">
        <f>IFERROR(VLOOKUP($G49,'Visu totale'!$D$3:$DH$129,AI$1,0),0)</f>
        <v>0</v>
      </c>
      <c r="AJ49" s="13">
        <f>IFERROR(VLOOKUP($G49,'Visu totale'!$D$3:$DH$129,AJ$1,0),0)</f>
        <v>0</v>
      </c>
      <c r="AK49" s="13">
        <f>IFERROR(VLOOKUP($G49,'Visu totale'!$D$3:$DH$129,AK$1,0),0)</f>
        <v>0</v>
      </c>
      <c r="AL49" s="13">
        <f>IFERROR(VLOOKUP($G49,'Visu totale'!$D$3:$DH$129,AL$1,0),0)</f>
        <v>0</v>
      </c>
      <c r="AM49" s="13">
        <f>IFERROR(VLOOKUP($G49,'Visu totale'!$D$3:$DH$129,AM$1,0),0)</f>
        <v>0</v>
      </c>
      <c r="AN49" s="13">
        <f>IFERROR(VLOOKUP($G49,'Visu totale'!$D$3:$DH$129,AN$1,0),0)</f>
        <v>0</v>
      </c>
      <c r="AO49" s="13">
        <f>IFERROR(VLOOKUP($G49,'Visu totale'!$D$3:$DH$129,AO$1,0),0)</f>
        <v>0</v>
      </c>
      <c r="AP49" s="13">
        <f>IFERROR(VLOOKUP($G49,'Visu totale'!$D$3:$DH$129,AP$1,0),0)</f>
        <v>0</v>
      </c>
      <c r="AQ49" s="15">
        <f>IFERROR(VLOOKUP($G49,'Visu totale'!$D$3:$DH$129,AQ$1,0),0)</f>
        <v>0</v>
      </c>
      <c r="AR49" s="14">
        <f>IFERROR(VLOOKUP($G49,'Visu totale'!$D$3:$DH$129,AR$1,0),0)</f>
        <v>0</v>
      </c>
      <c r="AS49" s="13">
        <f>IFERROR(VLOOKUP($G49,'Visu totale'!$D$3:$DH$129,AS$1,0),0)</f>
        <v>0</v>
      </c>
      <c r="AT49" s="13">
        <f>IFERROR(VLOOKUP($G49,'Visu totale'!$D$3:$DH$129,AT$1,0),0)</f>
        <v>0</v>
      </c>
      <c r="AU49" s="13">
        <f>IFERROR(VLOOKUP($G49,'Visu totale'!$D$3:$DH$129,AU$1,0),0)</f>
        <v>0</v>
      </c>
      <c r="AV49" s="13">
        <f>IFERROR(VLOOKUP($G49,'Visu totale'!$D$3:$DH$129,AV$1,0),0)</f>
        <v>0</v>
      </c>
      <c r="AW49" s="13">
        <f>IFERROR(VLOOKUP($G49,'Visu totale'!$D$3:$DH$129,AW$1,0),0)</f>
        <v>0</v>
      </c>
      <c r="AX49" s="13">
        <f>IFERROR(VLOOKUP($G49,'Visu totale'!$D$3:$DH$129,AX$1,0),0)</f>
        <v>0</v>
      </c>
      <c r="AY49" s="13">
        <f>IFERROR(VLOOKUP($G49,'Visu totale'!$D$3:$DH$129,AY$1,0),0)</f>
        <v>0</v>
      </c>
      <c r="AZ49" s="13">
        <f>IFERROR(VLOOKUP($G49,'Visu totale'!$D$3:$DH$129,AZ$1,0),0)</f>
        <v>0</v>
      </c>
      <c r="BA49" s="13">
        <f>IFERROR(VLOOKUP($G49,'Visu totale'!$D$3:$DH$129,BA$1,0),0)</f>
        <v>0</v>
      </c>
      <c r="BB49" s="13">
        <f>IFERROR(VLOOKUP($G49,'Visu totale'!$D$3:$DH$129,BB$1,0),0)</f>
        <v>0</v>
      </c>
      <c r="BC49" s="15">
        <f>IFERROR(VLOOKUP($G49,'Visu totale'!$D$3:$DH$129,BC$1,0),0)</f>
        <v>0</v>
      </c>
      <c r="BD49" s="14">
        <f>IFERROR(VLOOKUP($G49,'Visu totale'!$D$3:$DH$129,BD$1,0),0)</f>
        <v>0</v>
      </c>
      <c r="BE49" s="13">
        <f>IFERROR(VLOOKUP($G49,'Visu totale'!$D$3:$DH$129,BE$1,0),0)</f>
        <v>0</v>
      </c>
      <c r="BF49" s="13">
        <f>IFERROR(VLOOKUP($G49,'Visu totale'!$D$3:$DH$129,BF$1,0),0)</f>
        <v>0</v>
      </c>
      <c r="BG49" s="13">
        <f>IFERROR(VLOOKUP($G49,'Visu totale'!$D$3:$DH$129,BG$1,0),0)</f>
        <v>0</v>
      </c>
      <c r="BH49" s="13">
        <f>IFERROR(VLOOKUP($G49,'Visu totale'!$D$3:$DH$129,BH$1,0),0)</f>
        <v>0</v>
      </c>
      <c r="BI49" s="13">
        <f>IFERROR(VLOOKUP($G49,'Visu totale'!$D$3:$DH$129,BI$1,0),0)</f>
        <v>0</v>
      </c>
      <c r="BJ49" s="13">
        <f>IFERROR(VLOOKUP($G49,'Visu totale'!$D$3:$DH$129,BJ$1,0),0)</f>
        <v>0</v>
      </c>
      <c r="BK49" s="13">
        <f>IFERROR(VLOOKUP($G49,'Visu totale'!$D$3:$DH$129,BK$1,0),0)</f>
        <v>0</v>
      </c>
      <c r="BL49" s="13">
        <f>IFERROR(VLOOKUP($G49,'Visu totale'!$D$3:$DH$129,BL$1,0),0)</f>
        <v>0</v>
      </c>
      <c r="BM49" s="13">
        <f>IFERROR(VLOOKUP($G49,'Visu totale'!$D$3:$DH$129,BM$1,0),0)</f>
        <v>0</v>
      </c>
      <c r="BN49" s="13">
        <f>IFERROR(VLOOKUP($G49,'Visu totale'!$D$3:$DH$129,BN$1,0),0)</f>
        <v>0</v>
      </c>
      <c r="BO49" s="15">
        <f>IFERROR(VLOOKUP($G49,'Visu totale'!$D$3:$DH$129,BO$1,0),0)</f>
        <v>0</v>
      </c>
      <c r="BP49" s="14">
        <f>IFERROR(VLOOKUP($G49,'Visu totale'!$D$3:$DH$129,BP$1,0),0)</f>
        <v>0</v>
      </c>
      <c r="BQ49" s="13">
        <f>IFERROR(VLOOKUP($G49,'Visu totale'!$D$3:$DH$129,BQ$1,0),0)</f>
        <v>0</v>
      </c>
      <c r="BR49" s="13">
        <f>IFERROR(VLOOKUP($G49,'Visu totale'!$D$3:$DH$129,BR$1,0),0)</f>
        <v>0</v>
      </c>
      <c r="BS49" s="13">
        <f>IFERROR(VLOOKUP($G49,'Visu totale'!$D$3:$DH$129,BS$1,0),0)</f>
        <v>0</v>
      </c>
      <c r="BT49" s="13">
        <f>IFERROR(VLOOKUP($G49,'Visu totale'!$D$3:$DH$129,BT$1,0),0)</f>
        <v>0</v>
      </c>
      <c r="BU49" s="13">
        <f>IFERROR(VLOOKUP($G49,'Visu totale'!$D$3:$DH$129,BU$1,0),0)</f>
        <v>0</v>
      </c>
      <c r="BV49" s="13">
        <f>IFERROR(VLOOKUP($G49,'Visu totale'!$D$3:$DH$129,BV$1,0),0)</f>
        <v>0</v>
      </c>
      <c r="BW49" s="13">
        <f>IFERROR(VLOOKUP($G49,'Visu totale'!$D$3:$DH$129,BW$1,0),0)</f>
        <v>0</v>
      </c>
      <c r="BX49" s="13">
        <f>IFERROR(VLOOKUP($G49,'Visu totale'!$D$3:$DH$129,BX$1,0),0)</f>
        <v>0</v>
      </c>
      <c r="BY49" s="13">
        <f>IFERROR(VLOOKUP($G49,'Visu totale'!$D$3:$DH$129,BY$1,0),0)</f>
        <v>0</v>
      </c>
      <c r="BZ49" s="13">
        <f>IFERROR(VLOOKUP($G49,'Visu totale'!$D$3:$DH$129,BZ$1,0),0)</f>
        <v>0</v>
      </c>
      <c r="CA49" s="15">
        <f>IFERROR(VLOOKUP($G49,'Visu totale'!$D$3:$DH$129,CA$1,0),0)</f>
        <v>0</v>
      </c>
      <c r="CB49" s="14">
        <f>IFERROR(VLOOKUP($G49,'Visu totale'!$D$3:$DH$129,CB$1,0),0)</f>
        <v>0</v>
      </c>
      <c r="CC49" s="13">
        <f>IFERROR(VLOOKUP($G49,'Visu totale'!$D$3:$DH$129,CC$1,0),0)</f>
        <v>0</v>
      </c>
      <c r="CD49" s="13">
        <f>IFERROR(VLOOKUP($G49,'Visu totale'!$D$3:$DH$129,CD$1,0),0)</f>
        <v>0</v>
      </c>
      <c r="CE49" s="13">
        <f>IFERROR(VLOOKUP($G49,'Visu totale'!$D$3:$DH$129,CE$1,0),0)</f>
        <v>0</v>
      </c>
      <c r="CF49" s="13">
        <f>IFERROR(VLOOKUP($G49,'Visu totale'!$D$3:$DH$129,CF$1,0),0)</f>
        <v>0</v>
      </c>
      <c r="CG49" s="13">
        <f>IFERROR(VLOOKUP($G49,'Visu totale'!$D$3:$DH$129,CG$1,0),0)</f>
        <v>0</v>
      </c>
      <c r="CH49" s="13">
        <f>IFERROR(VLOOKUP($G49,'Visu totale'!$D$3:$DH$129,CH$1,0),0)</f>
        <v>0</v>
      </c>
      <c r="CI49" s="13">
        <f>IFERROR(VLOOKUP($G49,'Visu totale'!$D$3:$DH$129,CI$1,0),0)</f>
        <v>0</v>
      </c>
      <c r="CJ49" s="13">
        <f>IFERROR(VLOOKUP($G49,'Visu totale'!$D$3:$DH$129,CJ$1,0),0)</f>
        <v>0</v>
      </c>
      <c r="CK49" s="13">
        <f>IFERROR(VLOOKUP($G49,'Visu totale'!$D$3:$DH$129,CK$1,0),0)</f>
        <v>0</v>
      </c>
      <c r="CL49" s="13">
        <f>IFERROR(VLOOKUP($G49,'Visu totale'!$D$3:$DH$129,CL$1,0),0)</f>
        <v>0</v>
      </c>
      <c r="CM49" s="15">
        <f>IFERROR(VLOOKUP($G49,'Visu totale'!$D$3:$DH$129,CM$1,0),0)</f>
        <v>0</v>
      </c>
      <c r="CN49" s="14">
        <f>IFERROR(VLOOKUP($G49,'Visu totale'!$D$3:$DH$129,CN$1,0),0)</f>
        <v>0</v>
      </c>
      <c r="CO49" s="13">
        <f>IFERROR(VLOOKUP($G49,'Visu totale'!$D$3:$DH$129,CO$1,0),0)</f>
        <v>0</v>
      </c>
      <c r="CP49" s="13">
        <f>IFERROR(VLOOKUP($G49,'Visu totale'!$D$3:$DH$129,CP$1,0),0)</f>
        <v>0</v>
      </c>
      <c r="CQ49" s="13">
        <f>IFERROR(VLOOKUP($G49,'Visu totale'!$D$3:$DH$129,CQ$1,0),0)</f>
        <v>0</v>
      </c>
      <c r="CR49" s="13">
        <f>IFERROR(VLOOKUP($G49,'Visu totale'!$D$3:$DH$129,CR$1,0),0)</f>
        <v>0</v>
      </c>
      <c r="CS49" s="13">
        <f>IFERROR(VLOOKUP($G49,'Visu totale'!$D$3:$DH$129,CS$1,0),0)</f>
        <v>0</v>
      </c>
      <c r="CT49" s="13">
        <f>IFERROR(VLOOKUP($G49,'Visu totale'!$D$3:$DH$129,CT$1,0),0)</f>
        <v>0</v>
      </c>
      <c r="CU49" s="13">
        <f>IFERROR(VLOOKUP($G49,'Visu totale'!$D$3:$DH$129,CU$1,0),0)</f>
        <v>0</v>
      </c>
      <c r="CV49" s="13">
        <f>IFERROR(VLOOKUP($G49,'Visu totale'!$D$3:$DH$129,CV$1,0),0)</f>
        <v>0</v>
      </c>
      <c r="CW49" s="13">
        <f>IFERROR(VLOOKUP($G49,'Visu totale'!$D$3:$DH$129,CW$1,0),0)</f>
        <v>0</v>
      </c>
      <c r="CX49" s="13">
        <f>IFERROR(VLOOKUP($G49,'Visu totale'!$D$3:$DH$129,CX$1,0),0)</f>
        <v>0</v>
      </c>
      <c r="CY49" s="15">
        <f>IFERROR(VLOOKUP($G49,'Visu totale'!$D$3:$DH$129,CY$1,0),0)</f>
        <v>0</v>
      </c>
      <c r="CZ49" s="14">
        <f>IFERROR(VLOOKUP($G49,'Visu totale'!$D$3:$DH$129,CZ$1,0),0)</f>
        <v>0</v>
      </c>
      <c r="DA49" s="13">
        <f>IFERROR(VLOOKUP($G49,'Visu totale'!$D$3:$DH$129,DA$1,0),0)</f>
        <v>0</v>
      </c>
      <c r="DB49" s="13">
        <f>IFERROR(VLOOKUP($G49,'Visu totale'!$D$3:$DH$129,DB$1,0),0)</f>
        <v>0</v>
      </c>
      <c r="DC49" s="13">
        <f>IFERROR(VLOOKUP($G49,'Visu totale'!$D$3:$DH$129,DC$1,0),0)</f>
        <v>0</v>
      </c>
      <c r="DD49" s="13">
        <f>IFERROR(VLOOKUP($G49,'Visu totale'!$D$3:$DH$129,DD$1,0),0)</f>
        <v>0</v>
      </c>
      <c r="DE49" s="13">
        <f>IFERROR(VLOOKUP($G49,'Visu totale'!$D$3:$DH$129,DE$1,0),0)</f>
        <v>0</v>
      </c>
      <c r="DF49" s="13">
        <f>IFERROR(VLOOKUP($G49,'Visu totale'!$D$3:$DH$129,DF$1,0),0)</f>
        <v>0</v>
      </c>
      <c r="DG49" s="13">
        <f>IFERROR(VLOOKUP($G49,'Visu totale'!$D$3:$DH$129,DG$1,0),0)</f>
        <v>0</v>
      </c>
      <c r="DH49" s="13">
        <f>IFERROR(VLOOKUP($G49,'Visu totale'!$D$3:$DH$129,DH$1,0),0)</f>
        <v>0</v>
      </c>
      <c r="DI49" s="13">
        <f>IFERROR(VLOOKUP($G49,'Visu totale'!$D$3:$DH$129,DI$1,0),0)</f>
        <v>0</v>
      </c>
      <c r="DJ49" s="13">
        <f>IFERROR(VLOOKUP($G49,'Visu totale'!$D$3:$DH$129,DJ$1,0),0)</f>
        <v>0</v>
      </c>
      <c r="DK49" s="15">
        <f>IFERROR(VLOOKUP($G49,'Visu totale'!$D$3:$DH$129,DK$1,0),0)</f>
        <v>0</v>
      </c>
    </row>
    <row r="50" spans="1:115" x14ac:dyDescent="0.25">
      <c r="A50" s="13"/>
      <c r="B50" s="13"/>
      <c r="C50" s="13"/>
      <c r="D50" s="16"/>
      <c r="E50" s="13"/>
      <c r="F50" s="13"/>
      <c r="G50" s="17" t="s">
        <v>52</v>
      </c>
      <c r="H50" s="14">
        <f>IFERROR(VLOOKUP($G50,'Visu totale'!$D$3:$DH$129,H$1,0),0)</f>
        <v>0</v>
      </c>
      <c r="I50" s="13">
        <f>IFERROR(VLOOKUP($G50,'Visu totale'!$D$3:$DH$129,I$1,0),0)</f>
        <v>0</v>
      </c>
      <c r="J50" s="13">
        <f>IFERROR(VLOOKUP($G50,'Visu totale'!$D$3:$DH$129,J$1,0),0)</f>
        <v>0</v>
      </c>
      <c r="K50" s="13">
        <f>IFERROR(VLOOKUP($G50,'Visu totale'!$D$3:$DH$129,K$1,0),0)</f>
        <v>0</v>
      </c>
      <c r="L50" s="13">
        <f>IFERROR(VLOOKUP($G50,'Visu totale'!$D$3:$DH$129,L$1,0),0)</f>
        <v>0</v>
      </c>
      <c r="M50" s="13">
        <f>IFERROR(VLOOKUP($G50,'Visu totale'!$D$3:$DH$129,M$1,0),0)</f>
        <v>0</v>
      </c>
      <c r="N50" s="13">
        <f>IFERROR(VLOOKUP($G50,'Visu totale'!$D$3:$DH$129,N$1,0),0)</f>
        <v>0</v>
      </c>
      <c r="O50" s="13">
        <f>IFERROR(VLOOKUP($G50,'Visu totale'!$D$3:$DH$129,O$1,0),0)</f>
        <v>0</v>
      </c>
      <c r="P50" s="13">
        <f>IFERROR(VLOOKUP($G50,'Visu totale'!$D$3:$DH$129,P$1,0),0)</f>
        <v>0</v>
      </c>
      <c r="Q50" s="13">
        <f>IFERROR(VLOOKUP($G50,'Visu totale'!$D$3:$DH$129,Q$1,0),0)</f>
        <v>0</v>
      </c>
      <c r="R50" s="13">
        <f>IFERROR(VLOOKUP($G50,'Visu totale'!$D$3:$DH$129,R$1,0),0)</f>
        <v>0</v>
      </c>
      <c r="S50" s="15">
        <f>IFERROR(VLOOKUP($G50,'Visu totale'!$D$3:$DH$129,S$1,0),0)</f>
        <v>0</v>
      </c>
      <c r="T50" s="14">
        <f>IFERROR(VLOOKUP($G50,'Visu totale'!$D$3:$DH$129,T$1,0),0)</f>
        <v>0</v>
      </c>
      <c r="U50" s="13">
        <f>IFERROR(VLOOKUP($G50,'Visu totale'!$D$3:$DH$129,U$1,0),0)</f>
        <v>0</v>
      </c>
      <c r="V50" s="13">
        <f>IFERROR(VLOOKUP($G50,'Visu totale'!$D$3:$DH$129,V$1,0),0)</f>
        <v>0</v>
      </c>
      <c r="W50" s="13">
        <f>IFERROR(VLOOKUP($G50,'Visu totale'!$D$3:$DH$129,W$1,0),0)</f>
        <v>0</v>
      </c>
      <c r="X50" s="13">
        <f>IFERROR(VLOOKUP($G50,'Visu totale'!$D$3:$DH$129,X$1,0),0)</f>
        <v>0</v>
      </c>
      <c r="Y50" s="13">
        <f>IFERROR(VLOOKUP($G50,'Visu totale'!$D$3:$DH$129,Y$1,0),0)</f>
        <v>0</v>
      </c>
      <c r="Z50" s="13">
        <f>IFERROR(VLOOKUP($G50,'Visu totale'!$D$3:$DH$129,Z$1,0),0)</f>
        <v>0</v>
      </c>
      <c r="AA50" s="13">
        <f>IFERROR(VLOOKUP($G50,'Visu totale'!$D$3:$DH$129,AA$1,0),0)</f>
        <v>0</v>
      </c>
      <c r="AB50" s="13">
        <f>IFERROR(VLOOKUP($G50,'Visu totale'!$D$3:$DH$129,AB$1,0),0)</f>
        <v>0</v>
      </c>
      <c r="AC50" s="13">
        <f>IFERROR(VLOOKUP($G50,'Visu totale'!$D$3:$DH$129,AC$1,0),0)</f>
        <v>0</v>
      </c>
      <c r="AD50" s="13">
        <f>IFERROR(VLOOKUP($G50,'Visu totale'!$D$3:$DH$129,AD$1,0),0)</f>
        <v>0</v>
      </c>
      <c r="AE50" s="15">
        <f>IFERROR(VLOOKUP($G50,'Visu totale'!$D$3:$DH$129,AE$1,0),0)</f>
        <v>0</v>
      </c>
      <c r="AF50" s="14">
        <f>IFERROR(VLOOKUP($G50,'Visu totale'!$D$3:$DH$129,AF$1,0),0)</f>
        <v>0</v>
      </c>
      <c r="AG50" s="13">
        <f>IFERROR(VLOOKUP($G50,'Visu totale'!$D$3:$DH$129,AG$1,0),0)</f>
        <v>0</v>
      </c>
      <c r="AH50" s="13">
        <f>IFERROR(VLOOKUP($G50,'Visu totale'!$D$3:$DH$129,AH$1,0),0)</f>
        <v>0</v>
      </c>
      <c r="AI50" s="13">
        <f>IFERROR(VLOOKUP($G50,'Visu totale'!$D$3:$DH$129,AI$1,0),0)</f>
        <v>0</v>
      </c>
      <c r="AJ50" s="13">
        <f>IFERROR(VLOOKUP($G50,'Visu totale'!$D$3:$DH$129,AJ$1,0),0)</f>
        <v>0</v>
      </c>
      <c r="AK50" s="13">
        <f>IFERROR(VLOOKUP($G50,'Visu totale'!$D$3:$DH$129,AK$1,0),0)</f>
        <v>0</v>
      </c>
      <c r="AL50" s="13">
        <f>IFERROR(VLOOKUP($G50,'Visu totale'!$D$3:$DH$129,AL$1,0),0)</f>
        <v>0</v>
      </c>
      <c r="AM50" s="13">
        <f>IFERROR(VLOOKUP($G50,'Visu totale'!$D$3:$DH$129,AM$1,0),0)</f>
        <v>0</v>
      </c>
      <c r="AN50" s="13">
        <f>IFERROR(VLOOKUP($G50,'Visu totale'!$D$3:$DH$129,AN$1,0),0)</f>
        <v>0</v>
      </c>
      <c r="AO50" s="13">
        <f>IFERROR(VLOOKUP($G50,'Visu totale'!$D$3:$DH$129,AO$1,0),0)</f>
        <v>0</v>
      </c>
      <c r="AP50" s="13">
        <f>IFERROR(VLOOKUP($G50,'Visu totale'!$D$3:$DH$129,AP$1,0),0)</f>
        <v>0</v>
      </c>
      <c r="AQ50" s="15">
        <f>IFERROR(VLOOKUP($G50,'Visu totale'!$D$3:$DH$129,AQ$1,0),0)</f>
        <v>0</v>
      </c>
      <c r="AR50" s="14">
        <f>IFERROR(VLOOKUP($G50,'Visu totale'!$D$3:$DH$129,AR$1,0),0)</f>
        <v>0</v>
      </c>
      <c r="AS50" s="13">
        <f>IFERROR(VLOOKUP($G50,'Visu totale'!$D$3:$DH$129,AS$1,0),0)</f>
        <v>0</v>
      </c>
      <c r="AT50" s="13">
        <f>IFERROR(VLOOKUP($G50,'Visu totale'!$D$3:$DH$129,AT$1,0),0)</f>
        <v>0</v>
      </c>
      <c r="AU50" s="13">
        <f>IFERROR(VLOOKUP($G50,'Visu totale'!$D$3:$DH$129,AU$1,0),0)</f>
        <v>0</v>
      </c>
      <c r="AV50" s="13">
        <f>IFERROR(VLOOKUP($G50,'Visu totale'!$D$3:$DH$129,AV$1,0),0)</f>
        <v>0</v>
      </c>
      <c r="AW50" s="13">
        <f>IFERROR(VLOOKUP($G50,'Visu totale'!$D$3:$DH$129,AW$1,0),0)</f>
        <v>0</v>
      </c>
      <c r="AX50" s="13">
        <f>IFERROR(VLOOKUP($G50,'Visu totale'!$D$3:$DH$129,AX$1,0),0)</f>
        <v>0</v>
      </c>
      <c r="AY50" s="13">
        <f>IFERROR(VLOOKUP($G50,'Visu totale'!$D$3:$DH$129,AY$1,0),0)</f>
        <v>0</v>
      </c>
      <c r="AZ50" s="13">
        <f>IFERROR(VLOOKUP($G50,'Visu totale'!$D$3:$DH$129,AZ$1,0),0)</f>
        <v>0</v>
      </c>
      <c r="BA50" s="13">
        <f>IFERROR(VLOOKUP($G50,'Visu totale'!$D$3:$DH$129,BA$1,0),0)</f>
        <v>0</v>
      </c>
      <c r="BB50" s="13">
        <f>IFERROR(VLOOKUP($G50,'Visu totale'!$D$3:$DH$129,BB$1,0),0)</f>
        <v>0</v>
      </c>
      <c r="BC50" s="15">
        <f>IFERROR(VLOOKUP($G50,'Visu totale'!$D$3:$DH$129,BC$1,0),0)</f>
        <v>0</v>
      </c>
      <c r="BD50" s="14">
        <f>IFERROR(VLOOKUP($G50,'Visu totale'!$D$3:$DH$129,BD$1,0),0)</f>
        <v>0</v>
      </c>
      <c r="BE50" s="13">
        <f>IFERROR(VLOOKUP($G50,'Visu totale'!$D$3:$DH$129,BE$1,0),0)</f>
        <v>0</v>
      </c>
      <c r="BF50" s="13">
        <f>IFERROR(VLOOKUP($G50,'Visu totale'!$D$3:$DH$129,BF$1,0),0)</f>
        <v>0</v>
      </c>
      <c r="BG50" s="13">
        <f>IFERROR(VLOOKUP($G50,'Visu totale'!$D$3:$DH$129,BG$1,0),0)</f>
        <v>0</v>
      </c>
      <c r="BH50" s="13">
        <f>IFERROR(VLOOKUP($G50,'Visu totale'!$D$3:$DH$129,BH$1,0),0)</f>
        <v>0</v>
      </c>
      <c r="BI50" s="13">
        <f>IFERROR(VLOOKUP($G50,'Visu totale'!$D$3:$DH$129,BI$1,0),0)</f>
        <v>0</v>
      </c>
      <c r="BJ50" s="13">
        <f>IFERROR(VLOOKUP($G50,'Visu totale'!$D$3:$DH$129,BJ$1,0),0)</f>
        <v>0</v>
      </c>
      <c r="BK50" s="13">
        <f>IFERROR(VLOOKUP($G50,'Visu totale'!$D$3:$DH$129,BK$1,0),0)</f>
        <v>0</v>
      </c>
      <c r="BL50" s="13">
        <f>IFERROR(VLOOKUP($G50,'Visu totale'!$D$3:$DH$129,BL$1,0),0)</f>
        <v>0</v>
      </c>
      <c r="BM50" s="13">
        <f>IFERROR(VLOOKUP($G50,'Visu totale'!$D$3:$DH$129,BM$1,0),0)</f>
        <v>0</v>
      </c>
      <c r="BN50" s="13">
        <f>IFERROR(VLOOKUP($G50,'Visu totale'!$D$3:$DH$129,BN$1,0),0)</f>
        <v>0</v>
      </c>
      <c r="BO50" s="15">
        <f>IFERROR(VLOOKUP($G50,'Visu totale'!$D$3:$DH$129,BO$1,0),0)</f>
        <v>0</v>
      </c>
      <c r="BP50" s="14">
        <f>IFERROR(VLOOKUP($G50,'Visu totale'!$D$3:$DH$129,BP$1,0),0)</f>
        <v>0</v>
      </c>
      <c r="BQ50" s="13">
        <f>IFERROR(VLOOKUP($G50,'Visu totale'!$D$3:$DH$129,BQ$1,0),0)</f>
        <v>0</v>
      </c>
      <c r="BR50" s="13">
        <f>IFERROR(VLOOKUP($G50,'Visu totale'!$D$3:$DH$129,BR$1,0),0)</f>
        <v>0</v>
      </c>
      <c r="BS50" s="13">
        <f>IFERROR(VLOOKUP($G50,'Visu totale'!$D$3:$DH$129,BS$1,0),0)</f>
        <v>0</v>
      </c>
      <c r="BT50" s="13">
        <f>IFERROR(VLOOKUP($G50,'Visu totale'!$D$3:$DH$129,BT$1,0),0)</f>
        <v>0</v>
      </c>
      <c r="BU50" s="13">
        <f>IFERROR(VLOOKUP($G50,'Visu totale'!$D$3:$DH$129,BU$1,0),0)</f>
        <v>0</v>
      </c>
      <c r="BV50" s="13">
        <f>IFERROR(VLOOKUP($G50,'Visu totale'!$D$3:$DH$129,BV$1,0),0)</f>
        <v>0</v>
      </c>
      <c r="BW50" s="13">
        <f>IFERROR(VLOOKUP($G50,'Visu totale'!$D$3:$DH$129,BW$1,0),0)</f>
        <v>0</v>
      </c>
      <c r="BX50" s="13">
        <f>IFERROR(VLOOKUP($G50,'Visu totale'!$D$3:$DH$129,BX$1,0),0)</f>
        <v>0</v>
      </c>
      <c r="BY50" s="13">
        <f>IFERROR(VLOOKUP($G50,'Visu totale'!$D$3:$DH$129,BY$1,0),0)</f>
        <v>0</v>
      </c>
      <c r="BZ50" s="13">
        <f>IFERROR(VLOOKUP($G50,'Visu totale'!$D$3:$DH$129,BZ$1,0),0)</f>
        <v>0</v>
      </c>
      <c r="CA50" s="15">
        <f>IFERROR(VLOOKUP($G50,'Visu totale'!$D$3:$DH$129,CA$1,0),0)</f>
        <v>0</v>
      </c>
      <c r="CB50" s="14">
        <f>IFERROR(VLOOKUP($G50,'Visu totale'!$D$3:$DH$129,CB$1,0),0)</f>
        <v>0</v>
      </c>
      <c r="CC50" s="13">
        <f>IFERROR(VLOOKUP($G50,'Visu totale'!$D$3:$DH$129,CC$1,0),0)</f>
        <v>0</v>
      </c>
      <c r="CD50" s="13">
        <f>IFERROR(VLOOKUP($G50,'Visu totale'!$D$3:$DH$129,CD$1,0),0)</f>
        <v>0</v>
      </c>
      <c r="CE50" s="13">
        <f>IFERROR(VLOOKUP($G50,'Visu totale'!$D$3:$DH$129,CE$1,0),0)</f>
        <v>0</v>
      </c>
      <c r="CF50" s="13">
        <f>IFERROR(VLOOKUP($G50,'Visu totale'!$D$3:$DH$129,CF$1,0),0)</f>
        <v>0</v>
      </c>
      <c r="CG50" s="13">
        <f>IFERROR(VLOOKUP($G50,'Visu totale'!$D$3:$DH$129,CG$1,0),0)</f>
        <v>0</v>
      </c>
      <c r="CH50" s="13">
        <f>IFERROR(VLOOKUP($G50,'Visu totale'!$D$3:$DH$129,CH$1,0),0)</f>
        <v>0</v>
      </c>
      <c r="CI50" s="13">
        <f>IFERROR(VLOOKUP($G50,'Visu totale'!$D$3:$DH$129,CI$1,0),0)</f>
        <v>0</v>
      </c>
      <c r="CJ50" s="13">
        <f>IFERROR(VLOOKUP($G50,'Visu totale'!$D$3:$DH$129,CJ$1,0),0)</f>
        <v>0</v>
      </c>
      <c r="CK50" s="13">
        <f>IFERROR(VLOOKUP($G50,'Visu totale'!$D$3:$DH$129,CK$1,0),0)</f>
        <v>0</v>
      </c>
      <c r="CL50" s="13">
        <f>IFERROR(VLOOKUP($G50,'Visu totale'!$D$3:$DH$129,CL$1,0),0)</f>
        <v>0</v>
      </c>
      <c r="CM50" s="15">
        <f>IFERROR(VLOOKUP($G50,'Visu totale'!$D$3:$DH$129,CM$1,0),0)</f>
        <v>0</v>
      </c>
      <c r="CN50" s="14">
        <f>IFERROR(VLOOKUP($G50,'Visu totale'!$D$3:$DH$129,CN$1,0),0)</f>
        <v>0</v>
      </c>
      <c r="CO50" s="13">
        <f>IFERROR(VLOOKUP($G50,'Visu totale'!$D$3:$DH$129,CO$1,0),0)</f>
        <v>0</v>
      </c>
      <c r="CP50" s="13">
        <f>IFERROR(VLOOKUP($G50,'Visu totale'!$D$3:$DH$129,CP$1,0),0)</f>
        <v>0</v>
      </c>
      <c r="CQ50" s="13">
        <f>IFERROR(VLOOKUP($G50,'Visu totale'!$D$3:$DH$129,CQ$1,0),0)</f>
        <v>0</v>
      </c>
      <c r="CR50" s="13">
        <f>IFERROR(VLOOKUP($G50,'Visu totale'!$D$3:$DH$129,CR$1,0),0)</f>
        <v>0</v>
      </c>
      <c r="CS50" s="13">
        <f>IFERROR(VLOOKUP($G50,'Visu totale'!$D$3:$DH$129,CS$1,0),0)</f>
        <v>0</v>
      </c>
      <c r="CT50" s="13">
        <f>IFERROR(VLOOKUP($G50,'Visu totale'!$D$3:$DH$129,CT$1,0),0)</f>
        <v>0</v>
      </c>
      <c r="CU50" s="13">
        <f>IFERROR(VLOOKUP($G50,'Visu totale'!$D$3:$DH$129,CU$1,0),0)</f>
        <v>0</v>
      </c>
      <c r="CV50" s="13">
        <f>IFERROR(VLOOKUP($G50,'Visu totale'!$D$3:$DH$129,CV$1,0),0)</f>
        <v>0</v>
      </c>
      <c r="CW50" s="13">
        <f>IFERROR(VLOOKUP($G50,'Visu totale'!$D$3:$DH$129,CW$1,0),0)</f>
        <v>0</v>
      </c>
      <c r="CX50" s="13">
        <f>IFERROR(VLOOKUP($G50,'Visu totale'!$D$3:$DH$129,CX$1,0),0)</f>
        <v>0</v>
      </c>
      <c r="CY50" s="15">
        <f>IFERROR(VLOOKUP($G50,'Visu totale'!$D$3:$DH$129,CY$1,0),0)</f>
        <v>0</v>
      </c>
      <c r="CZ50" s="14">
        <f>IFERROR(VLOOKUP($G50,'Visu totale'!$D$3:$DH$129,CZ$1,0),0)</f>
        <v>0</v>
      </c>
      <c r="DA50" s="13">
        <f>IFERROR(VLOOKUP($G50,'Visu totale'!$D$3:$DH$129,DA$1,0),0)</f>
        <v>0</v>
      </c>
      <c r="DB50" s="13">
        <f>IFERROR(VLOOKUP($G50,'Visu totale'!$D$3:$DH$129,DB$1,0),0)</f>
        <v>0</v>
      </c>
      <c r="DC50" s="13">
        <f>IFERROR(VLOOKUP($G50,'Visu totale'!$D$3:$DH$129,DC$1,0),0)</f>
        <v>0</v>
      </c>
      <c r="DD50" s="13">
        <f>IFERROR(VLOOKUP($G50,'Visu totale'!$D$3:$DH$129,DD$1,0),0)</f>
        <v>0</v>
      </c>
      <c r="DE50" s="13">
        <f>IFERROR(VLOOKUP($G50,'Visu totale'!$D$3:$DH$129,DE$1,0),0)</f>
        <v>0</v>
      </c>
      <c r="DF50" s="13">
        <f>IFERROR(VLOOKUP($G50,'Visu totale'!$D$3:$DH$129,DF$1,0),0)</f>
        <v>0</v>
      </c>
      <c r="DG50" s="13">
        <f>IFERROR(VLOOKUP($G50,'Visu totale'!$D$3:$DH$129,DG$1,0),0)</f>
        <v>0</v>
      </c>
      <c r="DH50" s="13">
        <f>IFERROR(VLOOKUP($G50,'Visu totale'!$D$3:$DH$129,DH$1,0),0)</f>
        <v>0</v>
      </c>
      <c r="DI50" s="13">
        <f>IFERROR(VLOOKUP($G50,'Visu totale'!$D$3:$DH$129,DI$1,0),0)</f>
        <v>0</v>
      </c>
      <c r="DJ50" s="13">
        <f>IFERROR(VLOOKUP($G50,'Visu totale'!$D$3:$DH$129,DJ$1,0),0)</f>
        <v>0</v>
      </c>
      <c r="DK50" s="15">
        <f>IFERROR(VLOOKUP($G50,'Visu totale'!$D$3:$DH$129,DK$1,0),0)</f>
        <v>0</v>
      </c>
    </row>
    <row r="51" spans="1:115" x14ac:dyDescent="0.25">
      <c r="A51" s="13"/>
      <c r="B51" s="13"/>
      <c r="C51" s="13"/>
      <c r="D51" s="16"/>
      <c r="E51" s="13"/>
      <c r="F51" s="13"/>
      <c r="G51" s="17" t="s">
        <v>53</v>
      </c>
      <c r="H51" s="14">
        <f>IFERROR(VLOOKUP($G51,'Visu totale'!$D$3:$DH$129,H$1,0),0)</f>
        <v>0</v>
      </c>
      <c r="I51" s="13">
        <f>IFERROR(VLOOKUP($G51,'Visu totale'!$D$3:$DH$129,I$1,0),0)</f>
        <v>0</v>
      </c>
      <c r="J51" s="13">
        <f>IFERROR(VLOOKUP($G51,'Visu totale'!$D$3:$DH$129,J$1,0),0)</f>
        <v>0</v>
      </c>
      <c r="K51" s="13">
        <f>IFERROR(VLOOKUP($G51,'Visu totale'!$D$3:$DH$129,K$1,0),0)</f>
        <v>0</v>
      </c>
      <c r="L51" s="13">
        <f>IFERROR(VLOOKUP($G51,'Visu totale'!$D$3:$DH$129,L$1,0),0)</f>
        <v>0</v>
      </c>
      <c r="M51" s="13">
        <f>IFERROR(VLOOKUP($G51,'Visu totale'!$D$3:$DH$129,M$1,0),0)</f>
        <v>0</v>
      </c>
      <c r="N51" s="13">
        <f>IFERROR(VLOOKUP($G51,'Visu totale'!$D$3:$DH$129,N$1,0),0)</f>
        <v>0</v>
      </c>
      <c r="O51" s="13">
        <f>IFERROR(VLOOKUP($G51,'Visu totale'!$D$3:$DH$129,O$1,0),0)</f>
        <v>0</v>
      </c>
      <c r="P51" s="13">
        <f>IFERROR(VLOOKUP($G51,'Visu totale'!$D$3:$DH$129,P$1,0),0)</f>
        <v>0</v>
      </c>
      <c r="Q51" s="13">
        <f>IFERROR(VLOOKUP($G51,'Visu totale'!$D$3:$DH$129,Q$1,0),0)</f>
        <v>0</v>
      </c>
      <c r="R51" s="13">
        <f>IFERROR(VLOOKUP($G51,'Visu totale'!$D$3:$DH$129,R$1,0),0)</f>
        <v>0</v>
      </c>
      <c r="S51" s="15">
        <f>IFERROR(VLOOKUP($G51,'Visu totale'!$D$3:$DH$129,S$1,0),0)</f>
        <v>0</v>
      </c>
      <c r="T51" s="14">
        <f>IFERROR(VLOOKUP($G51,'Visu totale'!$D$3:$DH$129,T$1,0),0)</f>
        <v>0</v>
      </c>
      <c r="U51" s="13">
        <f>IFERROR(VLOOKUP($G51,'Visu totale'!$D$3:$DH$129,U$1,0),0)</f>
        <v>0</v>
      </c>
      <c r="V51" s="13">
        <f>IFERROR(VLOOKUP($G51,'Visu totale'!$D$3:$DH$129,V$1,0),0)</f>
        <v>0</v>
      </c>
      <c r="W51" s="13">
        <f>IFERROR(VLOOKUP($G51,'Visu totale'!$D$3:$DH$129,W$1,0),0)</f>
        <v>0</v>
      </c>
      <c r="X51" s="13">
        <f>IFERROR(VLOOKUP($G51,'Visu totale'!$D$3:$DH$129,X$1,0),0)</f>
        <v>0</v>
      </c>
      <c r="Y51" s="13">
        <f>IFERROR(VLOOKUP($G51,'Visu totale'!$D$3:$DH$129,Y$1,0),0)</f>
        <v>0</v>
      </c>
      <c r="Z51" s="13">
        <f>IFERROR(VLOOKUP($G51,'Visu totale'!$D$3:$DH$129,Z$1,0),0)</f>
        <v>0</v>
      </c>
      <c r="AA51" s="13">
        <f>IFERROR(VLOOKUP($G51,'Visu totale'!$D$3:$DH$129,AA$1,0),0)</f>
        <v>0</v>
      </c>
      <c r="AB51" s="13">
        <f>IFERROR(VLOOKUP($G51,'Visu totale'!$D$3:$DH$129,AB$1,0),0)</f>
        <v>0</v>
      </c>
      <c r="AC51" s="13">
        <f>IFERROR(VLOOKUP($G51,'Visu totale'!$D$3:$DH$129,AC$1,0),0)</f>
        <v>0</v>
      </c>
      <c r="AD51" s="13">
        <f>IFERROR(VLOOKUP($G51,'Visu totale'!$D$3:$DH$129,AD$1,0),0)</f>
        <v>0</v>
      </c>
      <c r="AE51" s="15">
        <f>IFERROR(VLOOKUP($G51,'Visu totale'!$D$3:$DH$129,AE$1,0),0)</f>
        <v>0</v>
      </c>
      <c r="AF51" s="14">
        <f>IFERROR(VLOOKUP($G51,'Visu totale'!$D$3:$DH$129,AF$1,0),0)</f>
        <v>0</v>
      </c>
      <c r="AG51" s="13">
        <f>IFERROR(VLOOKUP($G51,'Visu totale'!$D$3:$DH$129,AG$1,0),0)</f>
        <v>0</v>
      </c>
      <c r="AH51" s="13">
        <f>IFERROR(VLOOKUP($G51,'Visu totale'!$D$3:$DH$129,AH$1,0),0)</f>
        <v>0</v>
      </c>
      <c r="AI51" s="13">
        <f>IFERROR(VLOOKUP($G51,'Visu totale'!$D$3:$DH$129,AI$1,0),0)</f>
        <v>0</v>
      </c>
      <c r="AJ51" s="13">
        <f>IFERROR(VLOOKUP($G51,'Visu totale'!$D$3:$DH$129,AJ$1,0),0)</f>
        <v>0</v>
      </c>
      <c r="AK51" s="13">
        <f>IFERROR(VLOOKUP($G51,'Visu totale'!$D$3:$DH$129,AK$1,0),0)</f>
        <v>0</v>
      </c>
      <c r="AL51" s="13">
        <f>IFERROR(VLOOKUP($G51,'Visu totale'!$D$3:$DH$129,AL$1,0),0)</f>
        <v>0</v>
      </c>
      <c r="AM51" s="13">
        <f>IFERROR(VLOOKUP($G51,'Visu totale'!$D$3:$DH$129,AM$1,0),0)</f>
        <v>0</v>
      </c>
      <c r="AN51" s="13">
        <f>IFERROR(VLOOKUP($G51,'Visu totale'!$D$3:$DH$129,AN$1,0),0)</f>
        <v>0</v>
      </c>
      <c r="AO51" s="13">
        <f>IFERROR(VLOOKUP($G51,'Visu totale'!$D$3:$DH$129,AO$1,0),0)</f>
        <v>0</v>
      </c>
      <c r="AP51" s="13">
        <f>IFERROR(VLOOKUP($G51,'Visu totale'!$D$3:$DH$129,AP$1,0),0)</f>
        <v>0</v>
      </c>
      <c r="AQ51" s="15">
        <f>IFERROR(VLOOKUP($G51,'Visu totale'!$D$3:$DH$129,AQ$1,0),0)</f>
        <v>0</v>
      </c>
      <c r="AR51" s="14">
        <f>IFERROR(VLOOKUP($G51,'Visu totale'!$D$3:$DH$129,AR$1,0),0)</f>
        <v>0</v>
      </c>
      <c r="AS51" s="13">
        <f>IFERROR(VLOOKUP($G51,'Visu totale'!$D$3:$DH$129,AS$1,0),0)</f>
        <v>0</v>
      </c>
      <c r="AT51" s="13">
        <f>IFERROR(VLOOKUP($G51,'Visu totale'!$D$3:$DH$129,AT$1,0),0)</f>
        <v>0</v>
      </c>
      <c r="AU51" s="13">
        <f>IFERROR(VLOOKUP($G51,'Visu totale'!$D$3:$DH$129,AU$1,0),0)</f>
        <v>0</v>
      </c>
      <c r="AV51" s="13">
        <f>IFERROR(VLOOKUP($G51,'Visu totale'!$D$3:$DH$129,AV$1,0),0)</f>
        <v>0</v>
      </c>
      <c r="AW51" s="13">
        <f>IFERROR(VLOOKUP($G51,'Visu totale'!$D$3:$DH$129,AW$1,0),0)</f>
        <v>0</v>
      </c>
      <c r="AX51" s="13">
        <f>IFERROR(VLOOKUP($G51,'Visu totale'!$D$3:$DH$129,AX$1,0),0)</f>
        <v>0</v>
      </c>
      <c r="AY51" s="13">
        <f>IFERROR(VLOOKUP($G51,'Visu totale'!$D$3:$DH$129,AY$1,0),0)</f>
        <v>0</v>
      </c>
      <c r="AZ51" s="13">
        <f>IFERROR(VLOOKUP($G51,'Visu totale'!$D$3:$DH$129,AZ$1,0),0)</f>
        <v>0</v>
      </c>
      <c r="BA51" s="13">
        <f>IFERROR(VLOOKUP($G51,'Visu totale'!$D$3:$DH$129,BA$1,0),0)</f>
        <v>0</v>
      </c>
      <c r="BB51" s="13">
        <f>IFERROR(VLOOKUP($G51,'Visu totale'!$D$3:$DH$129,BB$1,0),0)</f>
        <v>0</v>
      </c>
      <c r="BC51" s="15">
        <f>IFERROR(VLOOKUP($G51,'Visu totale'!$D$3:$DH$129,BC$1,0),0)</f>
        <v>0</v>
      </c>
      <c r="BD51" s="14">
        <f>IFERROR(VLOOKUP($G51,'Visu totale'!$D$3:$DH$129,BD$1,0),0)</f>
        <v>0</v>
      </c>
      <c r="BE51" s="13">
        <f>IFERROR(VLOOKUP($G51,'Visu totale'!$D$3:$DH$129,BE$1,0),0)</f>
        <v>0</v>
      </c>
      <c r="BF51" s="13">
        <f>IFERROR(VLOOKUP($G51,'Visu totale'!$D$3:$DH$129,BF$1,0),0)</f>
        <v>0</v>
      </c>
      <c r="BG51" s="13">
        <f>IFERROR(VLOOKUP($G51,'Visu totale'!$D$3:$DH$129,BG$1,0),0)</f>
        <v>0</v>
      </c>
      <c r="BH51" s="13">
        <f>IFERROR(VLOOKUP($G51,'Visu totale'!$D$3:$DH$129,BH$1,0),0)</f>
        <v>0</v>
      </c>
      <c r="BI51" s="13">
        <f>IFERROR(VLOOKUP($G51,'Visu totale'!$D$3:$DH$129,BI$1,0),0)</f>
        <v>0</v>
      </c>
      <c r="BJ51" s="13">
        <f>IFERROR(VLOOKUP($G51,'Visu totale'!$D$3:$DH$129,BJ$1,0),0)</f>
        <v>0</v>
      </c>
      <c r="BK51" s="13">
        <f>IFERROR(VLOOKUP($G51,'Visu totale'!$D$3:$DH$129,BK$1,0),0)</f>
        <v>0</v>
      </c>
      <c r="BL51" s="13">
        <f>IFERROR(VLOOKUP($G51,'Visu totale'!$D$3:$DH$129,BL$1,0),0)</f>
        <v>0</v>
      </c>
      <c r="BM51" s="13">
        <f>IFERROR(VLOOKUP($G51,'Visu totale'!$D$3:$DH$129,BM$1,0),0)</f>
        <v>0</v>
      </c>
      <c r="BN51" s="13">
        <f>IFERROR(VLOOKUP($G51,'Visu totale'!$D$3:$DH$129,BN$1,0),0)</f>
        <v>0</v>
      </c>
      <c r="BO51" s="15">
        <f>IFERROR(VLOOKUP($G51,'Visu totale'!$D$3:$DH$129,BO$1,0),0)</f>
        <v>0</v>
      </c>
      <c r="BP51" s="14">
        <f>IFERROR(VLOOKUP($G51,'Visu totale'!$D$3:$DH$129,BP$1,0),0)</f>
        <v>0</v>
      </c>
      <c r="BQ51" s="13">
        <f>IFERROR(VLOOKUP($G51,'Visu totale'!$D$3:$DH$129,BQ$1,0),0)</f>
        <v>0</v>
      </c>
      <c r="BR51" s="13">
        <f>IFERROR(VLOOKUP($G51,'Visu totale'!$D$3:$DH$129,BR$1,0),0)</f>
        <v>0</v>
      </c>
      <c r="BS51" s="13">
        <f>IFERROR(VLOOKUP($G51,'Visu totale'!$D$3:$DH$129,BS$1,0),0)</f>
        <v>0</v>
      </c>
      <c r="BT51" s="13">
        <f>IFERROR(VLOOKUP($G51,'Visu totale'!$D$3:$DH$129,BT$1,0),0)</f>
        <v>0</v>
      </c>
      <c r="BU51" s="13">
        <f>IFERROR(VLOOKUP($G51,'Visu totale'!$D$3:$DH$129,BU$1,0),0)</f>
        <v>0</v>
      </c>
      <c r="BV51" s="13">
        <f>IFERROR(VLOOKUP($G51,'Visu totale'!$D$3:$DH$129,BV$1,0),0)</f>
        <v>0</v>
      </c>
      <c r="BW51" s="13">
        <f>IFERROR(VLOOKUP($G51,'Visu totale'!$D$3:$DH$129,BW$1,0),0)</f>
        <v>0</v>
      </c>
      <c r="BX51" s="13">
        <f>IFERROR(VLOOKUP($G51,'Visu totale'!$D$3:$DH$129,BX$1,0),0)</f>
        <v>0</v>
      </c>
      <c r="BY51" s="13">
        <f>IFERROR(VLOOKUP($G51,'Visu totale'!$D$3:$DH$129,BY$1,0),0)</f>
        <v>0</v>
      </c>
      <c r="BZ51" s="13">
        <f>IFERROR(VLOOKUP($G51,'Visu totale'!$D$3:$DH$129,BZ$1,0),0)</f>
        <v>0</v>
      </c>
      <c r="CA51" s="15">
        <f>IFERROR(VLOOKUP($G51,'Visu totale'!$D$3:$DH$129,CA$1,0),0)</f>
        <v>0</v>
      </c>
      <c r="CB51" s="14">
        <f>IFERROR(VLOOKUP($G51,'Visu totale'!$D$3:$DH$129,CB$1,0),0)</f>
        <v>0</v>
      </c>
      <c r="CC51" s="13">
        <f>IFERROR(VLOOKUP($G51,'Visu totale'!$D$3:$DH$129,CC$1,0),0)</f>
        <v>0</v>
      </c>
      <c r="CD51" s="13">
        <f>IFERROR(VLOOKUP($G51,'Visu totale'!$D$3:$DH$129,CD$1,0),0)</f>
        <v>0</v>
      </c>
      <c r="CE51" s="13">
        <f>IFERROR(VLOOKUP($G51,'Visu totale'!$D$3:$DH$129,CE$1,0),0)</f>
        <v>0</v>
      </c>
      <c r="CF51" s="13">
        <f>IFERROR(VLOOKUP($G51,'Visu totale'!$D$3:$DH$129,CF$1,0),0)</f>
        <v>0</v>
      </c>
      <c r="CG51" s="13">
        <f>IFERROR(VLOOKUP($G51,'Visu totale'!$D$3:$DH$129,CG$1,0),0)</f>
        <v>0</v>
      </c>
      <c r="CH51" s="13">
        <f>IFERROR(VLOOKUP($G51,'Visu totale'!$D$3:$DH$129,CH$1,0),0)</f>
        <v>0</v>
      </c>
      <c r="CI51" s="13">
        <f>IFERROR(VLOOKUP($G51,'Visu totale'!$D$3:$DH$129,CI$1,0),0)</f>
        <v>0</v>
      </c>
      <c r="CJ51" s="13">
        <f>IFERROR(VLOOKUP($G51,'Visu totale'!$D$3:$DH$129,CJ$1,0),0)</f>
        <v>0</v>
      </c>
      <c r="CK51" s="13">
        <f>IFERROR(VLOOKUP($G51,'Visu totale'!$D$3:$DH$129,CK$1,0),0)</f>
        <v>0</v>
      </c>
      <c r="CL51" s="13">
        <f>IFERROR(VLOOKUP($G51,'Visu totale'!$D$3:$DH$129,CL$1,0),0)</f>
        <v>0</v>
      </c>
      <c r="CM51" s="15">
        <f>IFERROR(VLOOKUP($G51,'Visu totale'!$D$3:$DH$129,CM$1,0),0)</f>
        <v>0</v>
      </c>
      <c r="CN51" s="14">
        <f>IFERROR(VLOOKUP($G51,'Visu totale'!$D$3:$DH$129,CN$1,0),0)</f>
        <v>0</v>
      </c>
      <c r="CO51" s="13">
        <f>IFERROR(VLOOKUP($G51,'Visu totale'!$D$3:$DH$129,CO$1,0),0)</f>
        <v>0</v>
      </c>
      <c r="CP51" s="13">
        <f>IFERROR(VLOOKUP($G51,'Visu totale'!$D$3:$DH$129,CP$1,0),0)</f>
        <v>0</v>
      </c>
      <c r="CQ51" s="13">
        <f>IFERROR(VLOOKUP($G51,'Visu totale'!$D$3:$DH$129,CQ$1,0),0)</f>
        <v>0</v>
      </c>
      <c r="CR51" s="13">
        <f>IFERROR(VLOOKUP($G51,'Visu totale'!$D$3:$DH$129,CR$1,0),0)</f>
        <v>0</v>
      </c>
      <c r="CS51" s="13">
        <f>IFERROR(VLOOKUP($G51,'Visu totale'!$D$3:$DH$129,CS$1,0),0)</f>
        <v>0</v>
      </c>
      <c r="CT51" s="13">
        <f>IFERROR(VLOOKUP($G51,'Visu totale'!$D$3:$DH$129,CT$1,0),0)</f>
        <v>0</v>
      </c>
      <c r="CU51" s="13">
        <f>IFERROR(VLOOKUP($G51,'Visu totale'!$D$3:$DH$129,CU$1,0),0)</f>
        <v>0</v>
      </c>
      <c r="CV51" s="13">
        <f>IFERROR(VLOOKUP($G51,'Visu totale'!$D$3:$DH$129,CV$1,0),0)</f>
        <v>0</v>
      </c>
      <c r="CW51" s="13">
        <f>IFERROR(VLOOKUP($G51,'Visu totale'!$D$3:$DH$129,CW$1,0),0)</f>
        <v>0</v>
      </c>
      <c r="CX51" s="13">
        <f>IFERROR(VLOOKUP($G51,'Visu totale'!$D$3:$DH$129,CX$1,0),0)</f>
        <v>0</v>
      </c>
      <c r="CY51" s="15">
        <f>IFERROR(VLOOKUP($G51,'Visu totale'!$D$3:$DH$129,CY$1,0),0)</f>
        <v>0</v>
      </c>
      <c r="CZ51" s="14">
        <f>IFERROR(VLOOKUP($G51,'Visu totale'!$D$3:$DH$129,CZ$1,0),0)</f>
        <v>0</v>
      </c>
      <c r="DA51" s="13">
        <f>IFERROR(VLOOKUP($G51,'Visu totale'!$D$3:$DH$129,DA$1,0),0)</f>
        <v>0</v>
      </c>
      <c r="DB51" s="13">
        <f>IFERROR(VLOOKUP($G51,'Visu totale'!$D$3:$DH$129,DB$1,0),0)</f>
        <v>0</v>
      </c>
      <c r="DC51" s="13">
        <f>IFERROR(VLOOKUP($G51,'Visu totale'!$D$3:$DH$129,DC$1,0),0)</f>
        <v>0</v>
      </c>
      <c r="DD51" s="13">
        <f>IFERROR(VLOOKUP($G51,'Visu totale'!$D$3:$DH$129,DD$1,0),0)</f>
        <v>0</v>
      </c>
      <c r="DE51" s="13">
        <f>IFERROR(VLOOKUP($G51,'Visu totale'!$D$3:$DH$129,DE$1,0),0)</f>
        <v>0</v>
      </c>
      <c r="DF51" s="13">
        <f>IFERROR(VLOOKUP($G51,'Visu totale'!$D$3:$DH$129,DF$1,0),0)</f>
        <v>0</v>
      </c>
      <c r="DG51" s="13">
        <f>IFERROR(VLOOKUP($G51,'Visu totale'!$D$3:$DH$129,DG$1,0),0)</f>
        <v>0</v>
      </c>
      <c r="DH51" s="13">
        <f>IFERROR(VLOOKUP($G51,'Visu totale'!$D$3:$DH$129,DH$1,0),0)</f>
        <v>0</v>
      </c>
      <c r="DI51" s="13">
        <f>IFERROR(VLOOKUP($G51,'Visu totale'!$D$3:$DH$129,DI$1,0),0)</f>
        <v>0</v>
      </c>
      <c r="DJ51" s="13">
        <f>IFERROR(VLOOKUP($G51,'Visu totale'!$D$3:$DH$129,DJ$1,0),0)</f>
        <v>0</v>
      </c>
      <c r="DK51" s="15">
        <f>IFERROR(VLOOKUP($G51,'Visu totale'!$D$3:$DH$129,DK$1,0),0)</f>
        <v>0</v>
      </c>
    </row>
    <row r="52" spans="1:115" x14ac:dyDescent="0.25">
      <c r="A52" s="13"/>
      <c r="B52" s="13"/>
      <c r="C52" s="13"/>
      <c r="D52" s="16"/>
      <c r="E52" s="13"/>
      <c r="F52" s="13"/>
      <c r="G52" s="17" t="s">
        <v>54</v>
      </c>
      <c r="H52" s="14">
        <f>IFERROR(VLOOKUP($G52,'Visu totale'!$D$3:$DH$129,H$1,0),0)</f>
        <v>0</v>
      </c>
      <c r="I52" s="13">
        <f>IFERROR(VLOOKUP($G52,'Visu totale'!$D$3:$DH$129,I$1,0),0)</f>
        <v>0</v>
      </c>
      <c r="J52" s="13">
        <f>IFERROR(VLOOKUP($G52,'Visu totale'!$D$3:$DH$129,J$1,0),0)</f>
        <v>0</v>
      </c>
      <c r="K52" s="13">
        <f>IFERROR(VLOOKUP($G52,'Visu totale'!$D$3:$DH$129,K$1,0),0)</f>
        <v>0</v>
      </c>
      <c r="L52" s="13">
        <f>IFERROR(VLOOKUP($G52,'Visu totale'!$D$3:$DH$129,L$1,0),0)</f>
        <v>0</v>
      </c>
      <c r="M52" s="13">
        <f>IFERROR(VLOOKUP($G52,'Visu totale'!$D$3:$DH$129,M$1,0),0)</f>
        <v>0</v>
      </c>
      <c r="N52" s="13">
        <f>IFERROR(VLOOKUP($G52,'Visu totale'!$D$3:$DH$129,N$1,0),0)</f>
        <v>0</v>
      </c>
      <c r="O52" s="13">
        <f>IFERROR(VLOOKUP($G52,'Visu totale'!$D$3:$DH$129,O$1,0),0)</f>
        <v>0</v>
      </c>
      <c r="P52" s="13">
        <f>IFERROR(VLOOKUP($G52,'Visu totale'!$D$3:$DH$129,P$1,0),0)</f>
        <v>0</v>
      </c>
      <c r="Q52" s="13">
        <f>IFERROR(VLOOKUP($G52,'Visu totale'!$D$3:$DH$129,Q$1,0),0)</f>
        <v>0</v>
      </c>
      <c r="R52" s="13">
        <f>IFERROR(VLOOKUP($G52,'Visu totale'!$D$3:$DH$129,R$1,0),0)</f>
        <v>0</v>
      </c>
      <c r="S52" s="15">
        <f>IFERROR(VLOOKUP($G52,'Visu totale'!$D$3:$DH$129,S$1,0),0)</f>
        <v>0</v>
      </c>
      <c r="T52" s="14">
        <f>IFERROR(VLOOKUP($G52,'Visu totale'!$D$3:$DH$129,T$1,0),0)</f>
        <v>0</v>
      </c>
      <c r="U52" s="13">
        <f>IFERROR(VLOOKUP($G52,'Visu totale'!$D$3:$DH$129,U$1,0),0)</f>
        <v>0</v>
      </c>
      <c r="V52" s="13">
        <f>IFERROR(VLOOKUP($G52,'Visu totale'!$D$3:$DH$129,V$1,0),0)</f>
        <v>0</v>
      </c>
      <c r="W52" s="13">
        <f>IFERROR(VLOOKUP($G52,'Visu totale'!$D$3:$DH$129,W$1,0),0)</f>
        <v>0</v>
      </c>
      <c r="X52" s="13">
        <f>IFERROR(VLOOKUP($G52,'Visu totale'!$D$3:$DH$129,X$1,0),0)</f>
        <v>0</v>
      </c>
      <c r="Y52" s="13">
        <f>IFERROR(VLOOKUP($G52,'Visu totale'!$D$3:$DH$129,Y$1,0),0)</f>
        <v>0</v>
      </c>
      <c r="Z52" s="13">
        <f>IFERROR(VLOOKUP($G52,'Visu totale'!$D$3:$DH$129,Z$1,0),0)</f>
        <v>0</v>
      </c>
      <c r="AA52" s="13">
        <f>IFERROR(VLOOKUP($G52,'Visu totale'!$D$3:$DH$129,AA$1,0),0)</f>
        <v>0</v>
      </c>
      <c r="AB52" s="13">
        <f>IFERROR(VLOOKUP($G52,'Visu totale'!$D$3:$DH$129,AB$1,0),0)</f>
        <v>0</v>
      </c>
      <c r="AC52" s="13">
        <f>IFERROR(VLOOKUP($G52,'Visu totale'!$D$3:$DH$129,AC$1,0),0)</f>
        <v>0</v>
      </c>
      <c r="AD52" s="13">
        <f>IFERROR(VLOOKUP($G52,'Visu totale'!$D$3:$DH$129,AD$1,0),0)</f>
        <v>0</v>
      </c>
      <c r="AE52" s="15">
        <f>IFERROR(VLOOKUP($G52,'Visu totale'!$D$3:$DH$129,AE$1,0),0)</f>
        <v>0</v>
      </c>
      <c r="AF52" s="14">
        <f>IFERROR(VLOOKUP($G52,'Visu totale'!$D$3:$DH$129,AF$1,0),0)</f>
        <v>0</v>
      </c>
      <c r="AG52" s="13">
        <f>IFERROR(VLOOKUP($G52,'Visu totale'!$D$3:$DH$129,AG$1,0),0)</f>
        <v>0</v>
      </c>
      <c r="AH52" s="13">
        <f>IFERROR(VLOOKUP($G52,'Visu totale'!$D$3:$DH$129,AH$1,0),0)</f>
        <v>0</v>
      </c>
      <c r="AI52" s="13">
        <f>IFERROR(VLOOKUP($G52,'Visu totale'!$D$3:$DH$129,AI$1,0),0)</f>
        <v>0</v>
      </c>
      <c r="AJ52" s="13">
        <f>IFERROR(VLOOKUP($G52,'Visu totale'!$D$3:$DH$129,AJ$1,0),0)</f>
        <v>0</v>
      </c>
      <c r="AK52" s="13">
        <f>IFERROR(VLOOKUP($G52,'Visu totale'!$D$3:$DH$129,AK$1,0),0)</f>
        <v>0</v>
      </c>
      <c r="AL52" s="13">
        <f>IFERROR(VLOOKUP($G52,'Visu totale'!$D$3:$DH$129,AL$1,0),0)</f>
        <v>0</v>
      </c>
      <c r="AM52" s="13">
        <f>IFERROR(VLOOKUP($G52,'Visu totale'!$D$3:$DH$129,AM$1,0),0)</f>
        <v>0</v>
      </c>
      <c r="AN52" s="13">
        <f>IFERROR(VLOOKUP($G52,'Visu totale'!$D$3:$DH$129,AN$1,0),0)</f>
        <v>0</v>
      </c>
      <c r="AO52" s="13">
        <f>IFERROR(VLOOKUP($G52,'Visu totale'!$D$3:$DH$129,AO$1,0),0)</f>
        <v>0</v>
      </c>
      <c r="AP52" s="13">
        <f>IFERROR(VLOOKUP($G52,'Visu totale'!$D$3:$DH$129,AP$1,0),0)</f>
        <v>0</v>
      </c>
      <c r="AQ52" s="15">
        <f>IFERROR(VLOOKUP($G52,'Visu totale'!$D$3:$DH$129,AQ$1,0),0)</f>
        <v>0</v>
      </c>
      <c r="AR52" s="14">
        <f>IFERROR(VLOOKUP($G52,'Visu totale'!$D$3:$DH$129,AR$1,0),0)</f>
        <v>0</v>
      </c>
      <c r="AS52" s="13">
        <f>IFERROR(VLOOKUP($G52,'Visu totale'!$D$3:$DH$129,AS$1,0),0)</f>
        <v>0</v>
      </c>
      <c r="AT52" s="13">
        <f>IFERROR(VLOOKUP($G52,'Visu totale'!$D$3:$DH$129,AT$1,0),0)</f>
        <v>0</v>
      </c>
      <c r="AU52" s="13">
        <f>IFERROR(VLOOKUP($G52,'Visu totale'!$D$3:$DH$129,AU$1,0),0)</f>
        <v>0</v>
      </c>
      <c r="AV52" s="13">
        <f>IFERROR(VLOOKUP($G52,'Visu totale'!$D$3:$DH$129,AV$1,0),0)</f>
        <v>0</v>
      </c>
      <c r="AW52" s="13">
        <f>IFERROR(VLOOKUP($G52,'Visu totale'!$D$3:$DH$129,AW$1,0),0)</f>
        <v>0</v>
      </c>
      <c r="AX52" s="13">
        <f>IFERROR(VLOOKUP($G52,'Visu totale'!$D$3:$DH$129,AX$1,0),0)</f>
        <v>0</v>
      </c>
      <c r="AY52" s="13">
        <f>IFERROR(VLOOKUP($G52,'Visu totale'!$D$3:$DH$129,AY$1,0),0)</f>
        <v>0</v>
      </c>
      <c r="AZ52" s="13">
        <f>IFERROR(VLOOKUP($G52,'Visu totale'!$D$3:$DH$129,AZ$1,0),0)</f>
        <v>0</v>
      </c>
      <c r="BA52" s="13">
        <f>IFERROR(VLOOKUP($G52,'Visu totale'!$D$3:$DH$129,BA$1,0),0)</f>
        <v>0</v>
      </c>
      <c r="BB52" s="13">
        <f>IFERROR(VLOOKUP($G52,'Visu totale'!$D$3:$DH$129,BB$1,0),0)</f>
        <v>0</v>
      </c>
      <c r="BC52" s="15">
        <f>IFERROR(VLOOKUP($G52,'Visu totale'!$D$3:$DH$129,BC$1,0),0)</f>
        <v>0</v>
      </c>
      <c r="BD52" s="14">
        <f>IFERROR(VLOOKUP($G52,'Visu totale'!$D$3:$DH$129,BD$1,0),0)</f>
        <v>0</v>
      </c>
      <c r="BE52" s="13">
        <f>IFERROR(VLOOKUP($G52,'Visu totale'!$D$3:$DH$129,BE$1,0),0)</f>
        <v>0</v>
      </c>
      <c r="BF52" s="13">
        <f>IFERROR(VLOOKUP($G52,'Visu totale'!$D$3:$DH$129,BF$1,0),0)</f>
        <v>0</v>
      </c>
      <c r="BG52" s="13">
        <f>IFERROR(VLOOKUP($G52,'Visu totale'!$D$3:$DH$129,BG$1,0),0)</f>
        <v>0</v>
      </c>
      <c r="BH52" s="13">
        <f>IFERROR(VLOOKUP($G52,'Visu totale'!$D$3:$DH$129,BH$1,0),0)</f>
        <v>0</v>
      </c>
      <c r="BI52" s="13">
        <f>IFERROR(VLOOKUP($G52,'Visu totale'!$D$3:$DH$129,BI$1,0),0)</f>
        <v>0</v>
      </c>
      <c r="BJ52" s="13">
        <f>IFERROR(VLOOKUP($G52,'Visu totale'!$D$3:$DH$129,BJ$1,0),0)</f>
        <v>0</v>
      </c>
      <c r="BK52" s="13">
        <f>IFERROR(VLOOKUP($G52,'Visu totale'!$D$3:$DH$129,BK$1,0),0)</f>
        <v>0</v>
      </c>
      <c r="BL52" s="13">
        <f>IFERROR(VLOOKUP($G52,'Visu totale'!$D$3:$DH$129,BL$1,0),0)</f>
        <v>0</v>
      </c>
      <c r="BM52" s="13">
        <f>IFERROR(VLOOKUP($G52,'Visu totale'!$D$3:$DH$129,BM$1,0),0)</f>
        <v>0</v>
      </c>
      <c r="BN52" s="13">
        <f>IFERROR(VLOOKUP($G52,'Visu totale'!$D$3:$DH$129,BN$1,0),0)</f>
        <v>0</v>
      </c>
      <c r="BO52" s="15">
        <f>IFERROR(VLOOKUP($G52,'Visu totale'!$D$3:$DH$129,BO$1,0),0)</f>
        <v>0</v>
      </c>
      <c r="BP52" s="14">
        <f>IFERROR(VLOOKUP($G52,'Visu totale'!$D$3:$DH$129,BP$1,0),0)</f>
        <v>0</v>
      </c>
      <c r="BQ52" s="13">
        <f>IFERROR(VLOOKUP($G52,'Visu totale'!$D$3:$DH$129,BQ$1,0),0)</f>
        <v>0</v>
      </c>
      <c r="BR52" s="13">
        <f>IFERROR(VLOOKUP($G52,'Visu totale'!$D$3:$DH$129,BR$1,0),0)</f>
        <v>0</v>
      </c>
      <c r="BS52" s="13">
        <f>IFERROR(VLOOKUP($G52,'Visu totale'!$D$3:$DH$129,BS$1,0),0)</f>
        <v>0</v>
      </c>
      <c r="BT52" s="13">
        <f>IFERROR(VLOOKUP($G52,'Visu totale'!$D$3:$DH$129,BT$1,0),0)</f>
        <v>0</v>
      </c>
      <c r="BU52" s="13">
        <f>IFERROR(VLOOKUP($G52,'Visu totale'!$D$3:$DH$129,BU$1,0),0)</f>
        <v>0</v>
      </c>
      <c r="BV52" s="13">
        <f>IFERROR(VLOOKUP($G52,'Visu totale'!$D$3:$DH$129,BV$1,0),0)</f>
        <v>0</v>
      </c>
      <c r="BW52" s="13">
        <f>IFERROR(VLOOKUP($G52,'Visu totale'!$D$3:$DH$129,BW$1,0),0)</f>
        <v>0</v>
      </c>
      <c r="BX52" s="13">
        <f>IFERROR(VLOOKUP($G52,'Visu totale'!$D$3:$DH$129,BX$1,0),0)</f>
        <v>0</v>
      </c>
      <c r="BY52" s="13">
        <f>IFERROR(VLOOKUP($G52,'Visu totale'!$D$3:$DH$129,BY$1,0),0)</f>
        <v>0</v>
      </c>
      <c r="BZ52" s="13">
        <f>IFERROR(VLOOKUP($G52,'Visu totale'!$D$3:$DH$129,BZ$1,0),0)</f>
        <v>0</v>
      </c>
      <c r="CA52" s="15">
        <f>IFERROR(VLOOKUP($G52,'Visu totale'!$D$3:$DH$129,CA$1,0),0)</f>
        <v>0</v>
      </c>
      <c r="CB52" s="14">
        <f>IFERROR(VLOOKUP($G52,'Visu totale'!$D$3:$DH$129,CB$1,0),0)</f>
        <v>0</v>
      </c>
      <c r="CC52" s="13">
        <f>IFERROR(VLOOKUP($G52,'Visu totale'!$D$3:$DH$129,CC$1,0),0)</f>
        <v>0</v>
      </c>
      <c r="CD52" s="13">
        <f>IFERROR(VLOOKUP($G52,'Visu totale'!$D$3:$DH$129,CD$1,0),0)</f>
        <v>0</v>
      </c>
      <c r="CE52" s="13">
        <f>IFERROR(VLOOKUP($G52,'Visu totale'!$D$3:$DH$129,CE$1,0),0)</f>
        <v>0</v>
      </c>
      <c r="CF52" s="13">
        <f>IFERROR(VLOOKUP($G52,'Visu totale'!$D$3:$DH$129,CF$1,0),0)</f>
        <v>0</v>
      </c>
      <c r="CG52" s="13">
        <f>IFERROR(VLOOKUP($G52,'Visu totale'!$D$3:$DH$129,CG$1,0),0)</f>
        <v>0</v>
      </c>
      <c r="CH52" s="13">
        <f>IFERROR(VLOOKUP($G52,'Visu totale'!$D$3:$DH$129,CH$1,0),0)</f>
        <v>0</v>
      </c>
      <c r="CI52" s="13">
        <f>IFERROR(VLOOKUP($G52,'Visu totale'!$D$3:$DH$129,CI$1,0),0)</f>
        <v>0</v>
      </c>
      <c r="CJ52" s="13">
        <f>IFERROR(VLOOKUP($G52,'Visu totale'!$D$3:$DH$129,CJ$1,0),0)</f>
        <v>0</v>
      </c>
      <c r="CK52" s="13">
        <f>IFERROR(VLOOKUP($G52,'Visu totale'!$D$3:$DH$129,CK$1,0),0)</f>
        <v>0</v>
      </c>
      <c r="CL52" s="13">
        <f>IFERROR(VLOOKUP($G52,'Visu totale'!$D$3:$DH$129,CL$1,0),0)</f>
        <v>0</v>
      </c>
      <c r="CM52" s="15">
        <f>IFERROR(VLOOKUP($G52,'Visu totale'!$D$3:$DH$129,CM$1,0),0)</f>
        <v>0</v>
      </c>
      <c r="CN52" s="14">
        <f>IFERROR(VLOOKUP($G52,'Visu totale'!$D$3:$DH$129,CN$1,0),0)</f>
        <v>0</v>
      </c>
      <c r="CO52" s="13">
        <f>IFERROR(VLOOKUP($G52,'Visu totale'!$D$3:$DH$129,CO$1,0),0)</f>
        <v>0</v>
      </c>
      <c r="CP52" s="13">
        <f>IFERROR(VLOOKUP($G52,'Visu totale'!$D$3:$DH$129,CP$1,0),0)</f>
        <v>0</v>
      </c>
      <c r="CQ52" s="13">
        <f>IFERROR(VLOOKUP($G52,'Visu totale'!$D$3:$DH$129,CQ$1,0),0)</f>
        <v>0</v>
      </c>
      <c r="CR52" s="13">
        <f>IFERROR(VLOOKUP($G52,'Visu totale'!$D$3:$DH$129,CR$1,0),0)</f>
        <v>0</v>
      </c>
      <c r="CS52" s="13">
        <f>IFERROR(VLOOKUP($G52,'Visu totale'!$D$3:$DH$129,CS$1,0),0)</f>
        <v>0</v>
      </c>
      <c r="CT52" s="13">
        <f>IFERROR(VLOOKUP($G52,'Visu totale'!$D$3:$DH$129,CT$1,0),0)</f>
        <v>0</v>
      </c>
      <c r="CU52" s="13">
        <f>IFERROR(VLOOKUP($G52,'Visu totale'!$D$3:$DH$129,CU$1,0),0)</f>
        <v>0</v>
      </c>
      <c r="CV52" s="13">
        <f>IFERROR(VLOOKUP($G52,'Visu totale'!$D$3:$DH$129,CV$1,0),0)</f>
        <v>0</v>
      </c>
      <c r="CW52" s="13">
        <f>IFERROR(VLOOKUP($G52,'Visu totale'!$D$3:$DH$129,CW$1,0),0)</f>
        <v>0</v>
      </c>
      <c r="CX52" s="13">
        <f>IFERROR(VLOOKUP($G52,'Visu totale'!$D$3:$DH$129,CX$1,0),0)</f>
        <v>0</v>
      </c>
      <c r="CY52" s="15">
        <f>IFERROR(VLOOKUP($G52,'Visu totale'!$D$3:$DH$129,CY$1,0),0)</f>
        <v>0</v>
      </c>
      <c r="CZ52" s="14">
        <f>IFERROR(VLOOKUP($G52,'Visu totale'!$D$3:$DH$129,CZ$1,0),0)</f>
        <v>0</v>
      </c>
      <c r="DA52" s="13">
        <f>IFERROR(VLOOKUP($G52,'Visu totale'!$D$3:$DH$129,DA$1,0),0)</f>
        <v>0</v>
      </c>
      <c r="DB52" s="13">
        <f>IFERROR(VLOOKUP($G52,'Visu totale'!$D$3:$DH$129,DB$1,0),0)</f>
        <v>0</v>
      </c>
      <c r="DC52" s="13">
        <f>IFERROR(VLOOKUP($G52,'Visu totale'!$D$3:$DH$129,DC$1,0),0)</f>
        <v>0</v>
      </c>
      <c r="DD52" s="13">
        <f>IFERROR(VLOOKUP($G52,'Visu totale'!$D$3:$DH$129,DD$1,0),0)</f>
        <v>0</v>
      </c>
      <c r="DE52" s="13">
        <f>IFERROR(VLOOKUP($G52,'Visu totale'!$D$3:$DH$129,DE$1,0),0)</f>
        <v>0</v>
      </c>
      <c r="DF52" s="13">
        <f>IFERROR(VLOOKUP($G52,'Visu totale'!$D$3:$DH$129,DF$1,0),0)</f>
        <v>0</v>
      </c>
      <c r="DG52" s="13">
        <f>IFERROR(VLOOKUP($G52,'Visu totale'!$D$3:$DH$129,DG$1,0),0)</f>
        <v>0</v>
      </c>
      <c r="DH52" s="13">
        <f>IFERROR(VLOOKUP($G52,'Visu totale'!$D$3:$DH$129,DH$1,0),0)</f>
        <v>0</v>
      </c>
      <c r="DI52" s="13">
        <f>IFERROR(VLOOKUP($G52,'Visu totale'!$D$3:$DH$129,DI$1,0),0)</f>
        <v>0</v>
      </c>
      <c r="DJ52" s="13">
        <f>IFERROR(VLOOKUP($G52,'Visu totale'!$D$3:$DH$129,DJ$1,0),0)</f>
        <v>0</v>
      </c>
      <c r="DK52" s="15">
        <f>IFERROR(VLOOKUP($G52,'Visu totale'!$D$3:$DH$129,DK$1,0),0)</f>
        <v>0</v>
      </c>
    </row>
    <row r="53" spans="1:115" x14ac:dyDescent="0.25">
      <c r="A53" s="13"/>
      <c r="B53" s="13"/>
      <c r="C53" s="13"/>
      <c r="D53" s="16"/>
      <c r="E53" s="13"/>
      <c r="F53" s="13"/>
      <c r="G53" s="17" t="s">
        <v>55</v>
      </c>
      <c r="H53" s="14">
        <f>IFERROR(VLOOKUP($G53,'Visu totale'!$D$3:$DH$129,H$1,0),0)</f>
        <v>0</v>
      </c>
      <c r="I53" s="13">
        <f>IFERROR(VLOOKUP($G53,'Visu totale'!$D$3:$DH$129,I$1,0),0)</f>
        <v>0</v>
      </c>
      <c r="J53" s="13">
        <f>IFERROR(VLOOKUP($G53,'Visu totale'!$D$3:$DH$129,J$1,0),0)</f>
        <v>0</v>
      </c>
      <c r="K53" s="13">
        <f>IFERROR(VLOOKUP($G53,'Visu totale'!$D$3:$DH$129,K$1,0),0)</f>
        <v>0</v>
      </c>
      <c r="L53" s="13">
        <f>IFERROR(VLOOKUP($G53,'Visu totale'!$D$3:$DH$129,L$1,0),0)</f>
        <v>0</v>
      </c>
      <c r="M53" s="13">
        <f>IFERROR(VLOOKUP($G53,'Visu totale'!$D$3:$DH$129,M$1,0),0)</f>
        <v>0</v>
      </c>
      <c r="N53" s="13">
        <f>IFERROR(VLOOKUP($G53,'Visu totale'!$D$3:$DH$129,N$1,0),0)</f>
        <v>0</v>
      </c>
      <c r="O53" s="13">
        <f>IFERROR(VLOOKUP($G53,'Visu totale'!$D$3:$DH$129,O$1,0),0)</f>
        <v>0</v>
      </c>
      <c r="P53" s="13">
        <f>IFERROR(VLOOKUP($G53,'Visu totale'!$D$3:$DH$129,P$1,0),0)</f>
        <v>0</v>
      </c>
      <c r="Q53" s="13">
        <f>IFERROR(VLOOKUP($G53,'Visu totale'!$D$3:$DH$129,Q$1,0),0)</f>
        <v>0</v>
      </c>
      <c r="R53" s="13">
        <f>IFERROR(VLOOKUP($G53,'Visu totale'!$D$3:$DH$129,R$1,0),0)</f>
        <v>0</v>
      </c>
      <c r="S53" s="15">
        <f>IFERROR(VLOOKUP($G53,'Visu totale'!$D$3:$DH$129,S$1,0),0)</f>
        <v>0</v>
      </c>
      <c r="T53" s="14">
        <f>IFERROR(VLOOKUP($G53,'Visu totale'!$D$3:$DH$129,T$1,0),0)</f>
        <v>0</v>
      </c>
      <c r="U53" s="13">
        <f>IFERROR(VLOOKUP($G53,'Visu totale'!$D$3:$DH$129,U$1,0),0)</f>
        <v>0</v>
      </c>
      <c r="V53" s="13">
        <f>IFERROR(VLOOKUP($G53,'Visu totale'!$D$3:$DH$129,V$1,0),0)</f>
        <v>0</v>
      </c>
      <c r="W53" s="13">
        <f>IFERROR(VLOOKUP($G53,'Visu totale'!$D$3:$DH$129,W$1,0),0)</f>
        <v>0</v>
      </c>
      <c r="X53" s="13">
        <f>IFERROR(VLOOKUP($G53,'Visu totale'!$D$3:$DH$129,X$1,0),0)</f>
        <v>0</v>
      </c>
      <c r="Y53" s="13">
        <f>IFERROR(VLOOKUP($G53,'Visu totale'!$D$3:$DH$129,Y$1,0),0)</f>
        <v>0</v>
      </c>
      <c r="Z53" s="13">
        <f>IFERROR(VLOOKUP($G53,'Visu totale'!$D$3:$DH$129,Z$1,0),0)</f>
        <v>0</v>
      </c>
      <c r="AA53" s="13">
        <f>IFERROR(VLOOKUP($G53,'Visu totale'!$D$3:$DH$129,AA$1,0),0)</f>
        <v>0</v>
      </c>
      <c r="AB53" s="13">
        <f>IFERROR(VLOOKUP($G53,'Visu totale'!$D$3:$DH$129,AB$1,0),0)</f>
        <v>0</v>
      </c>
      <c r="AC53" s="13">
        <f>IFERROR(VLOOKUP($G53,'Visu totale'!$D$3:$DH$129,AC$1,0),0)</f>
        <v>0</v>
      </c>
      <c r="AD53" s="13">
        <f>IFERROR(VLOOKUP($G53,'Visu totale'!$D$3:$DH$129,AD$1,0),0)</f>
        <v>0</v>
      </c>
      <c r="AE53" s="15">
        <f>IFERROR(VLOOKUP($G53,'Visu totale'!$D$3:$DH$129,AE$1,0),0)</f>
        <v>0</v>
      </c>
      <c r="AF53" s="14">
        <f>IFERROR(VLOOKUP($G53,'Visu totale'!$D$3:$DH$129,AF$1,0),0)</f>
        <v>0</v>
      </c>
      <c r="AG53" s="13">
        <f>IFERROR(VLOOKUP($G53,'Visu totale'!$D$3:$DH$129,AG$1,0),0)</f>
        <v>0</v>
      </c>
      <c r="AH53" s="13">
        <f>IFERROR(VLOOKUP($G53,'Visu totale'!$D$3:$DH$129,AH$1,0),0)</f>
        <v>0</v>
      </c>
      <c r="AI53" s="13">
        <f>IFERROR(VLOOKUP($G53,'Visu totale'!$D$3:$DH$129,AI$1,0),0)</f>
        <v>0</v>
      </c>
      <c r="AJ53" s="13">
        <f>IFERROR(VLOOKUP($G53,'Visu totale'!$D$3:$DH$129,AJ$1,0),0)</f>
        <v>0</v>
      </c>
      <c r="AK53" s="13">
        <f>IFERROR(VLOOKUP($G53,'Visu totale'!$D$3:$DH$129,AK$1,0),0)</f>
        <v>0</v>
      </c>
      <c r="AL53" s="13">
        <f>IFERROR(VLOOKUP($G53,'Visu totale'!$D$3:$DH$129,AL$1,0),0)</f>
        <v>0</v>
      </c>
      <c r="AM53" s="13">
        <f>IFERROR(VLOOKUP($G53,'Visu totale'!$D$3:$DH$129,AM$1,0),0)</f>
        <v>0</v>
      </c>
      <c r="AN53" s="13">
        <f>IFERROR(VLOOKUP($G53,'Visu totale'!$D$3:$DH$129,AN$1,0),0)</f>
        <v>0</v>
      </c>
      <c r="AO53" s="13">
        <f>IFERROR(VLOOKUP($G53,'Visu totale'!$D$3:$DH$129,AO$1,0),0)</f>
        <v>0</v>
      </c>
      <c r="AP53" s="13">
        <f>IFERROR(VLOOKUP($G53,'Visu totale'!$D$3:$DH$129,AP$1,0),0)</f>
        <v>0</v>
      </c>
      <c r="AQ53" s="15">
        <f>IFERROR(VLOOKUP($G53,'Visu totale'!$D$3:$DH$129,AQ$1,0),0)</f>
        <v>0</v>
      </c>
      <c r="AR53" s="14">
        <f>IFERROR(VLOOKUP($G53,'Visu totale'!$D$3:$DH$129,AR$1,0),0)</f>
        <v>0</v>
      </c>
      <c r="AS53" s="13">
        <f>IFERROR(VLOOKUP($G53,'Visu totale'!$D$3:$DH$129,AS$1,0),0)</f>
        <v>0</v>
      </c>
      <c r="AT53" s="13">
        <f>IFERROR(VLOOKUP($G53,'Visu totale'!$D$3:$DH$129,AT$1,0),0)</f>
        <v>0</v>
      </c>
      <c r="AU53" s="13">
        <f>IFERROR(VLOOKUP($G53,'Visu totale'!$D$3:$DH$129,AU$1,0),0)</f>
        <v>0</v>
      </c>
      <c r="AV53" s="13">
        <f>IFERROR(VLOOKUP($G53,'Visu totale'!$D$3:$DH$129,AV$1,0),0)</f>
        <v>0</v>
      </c>
      <c r="AW53" s="13">
        <f>IFERROR(VLOOKUP($G53,'Visu totale'!$D$3:$DH$129,AW$1,0),0)</f>
        <v>0</v>
      </c>
      <c r="AX53" s="13">
        <f>IFERROR(VLOOKUP($G53,'Visu totale'!$D$3:$DH$129,AX$1,0),0)</f>
        <v>0</v>
      </c>
      <c r="AY53" s="13">
        <f>IFERROR(VLOOKUP($G53,'Visu totale'!$D$3:$DH$129,AY$1,0),0)</f>
        <v>0</v>
      </c>
      <c r="AZ53" s="13">
        <f>IFERROR(VLOOKUP($G53,'Visu totale'!$D$3:$DH$129,AZ$1,0),0)</f>
        <v>0</v>
      </c>
      <c r="BA53" s="13">
        <f>IFERROR(VLOOKUP($G53,'Visu totale'!$D$3:$DH$129,BA$1,0),0)</f>
        <v>0</v>
      </c>
      <c r="BB53" s="13">
        <f>IFERROR(VLOOKUP($G53,'Visu totale'!$D$3:$DH$129,BB$1,0),0)</f>
        <v>0</v>
      </c>
      <c r="BC53" s="15">
        <f>IFERROR(VLOOKUP($G53,'Visu totale'!$D$3:$DH$129,BC$1,0),0)</f>
        <v>0</v>
      </c>
      <c r="BD53" s="14">
        <f>IFERROR(VLOOKUP($G53,'Visu totale'!$D$3:$DH$129,BD$1,0),0)</f>
        <v>0</v>
      </c>
      <c r="BE53" s="13">
        <f>IFERROR(VLOOKUP($G53,'Visu totale'!$D$3:$DH$129,BE$1,0),0)</f>
        <v>0</v>
      </c>
      <c r="BF53" s="13">
        <f>IFERROR(VLOOKUP($G53,'Visu totale'!$D$3:$DH$129,BF$1,0),0)</f>
        <v>0</v>
      </c>
      <c r="BG53" s="13">
        <f>IFERROR(VLOOKUP($G53,'Visu totale'!$D$3:$DH$129,BG$1,0),0)</f>
        <v>0</v>
      </c>
      <c r="BH53" s="13">
        <f>IFERROR(VLOOKUP($G53,'Visu totale'!$D$3:$DH$129,BH$1,0),0)</f>
        <v>0</v>
      </c>
      <c r="BI53" s="13">
        <f>IFERROR(VLOOKUP($G53,'Visu totale'!$D$3:$DH$129,BI$1,0),0)</f>
        <v>0</v>
      </c>
      <c r="BJ53" s="13">
        <f>IFERROR(VLOOKUP($G53,'Visu totale'!$D$3:$DH$129,BJ$1,0),0)</f>
        <v>0</v>
      </c>
      <c r="BK53" s="13">
        <f>IFERROR(VLOOKUP($G53,'Visu totale'!$D$3:$DH$129,BK$1,0),0)</f>
        <v>0</v>
      </c>
      <c r="BL53" s="13">
        <f>IFERROR(VLOOKUP($G53,'Visu totale'!$D$3:$DH$129,BL$1,0),0)</f>
        <v>0</v>
      </c>
      <c r="BM53" s="13">
        <f>IFERROR(VLOOKUP($G53,'Visu totale'!$D$3:$DH$129,BM$1,0),0)</f>
        <v>0</v>
      </c>
      <c r="BN53" s="13">
        <f>IFERROR(VLOOKUP($G53,'Visu totale'!$D$3:$DH$129,BN$1,0),0)</f>
        <v>0</v>
      </c>
      <c r="BO53" s="15">
        <f>IFERROR(VLOOKUP($G53,'Visu totale'!$D$3:$DH$129,BO$1,0),0)</f>
        <v>0</v>
      </c>
      <c r="BP53" s="14">
        <f>IFERROR(VLOOKUP($G53,'Visu totale'!$D$3:$DH$129,BP$1,0),0)</f>
        <v>0</v>
      </c>
      <c r="BQ53" s="13">
        <f>IFERROR(VLOOKUP($G53,'Visu totale'!$D$3:$DH$129,BQ$1,0),0)</f>
        <v>0</v>
      </c>
      <c r="BR53" s="13">
        <f>IFERROR(VLOOKUP($G53,'Visu totale'!$D$3:$DH$129,BR$1,0),0)</f>
        <v>0</v>
      </c>
      <c r="BS53" s="13">
        <f>IFERROR(VLOOKUP($G53,'Visu totale'!$D$3:$DH$129,BS$1,0),0)</f>
        <v>0</v>
      </c>
      <c r="BT53" s="13">
        <f>IFERROR(VLOOKUP($G53,'Visu totale'!$D$3:$DH$129,BT$1,0),0)</f>
        <v>0</v>
      </c>
      <c r="BU53" s="13">
        <f>IFERROR(VLOOKUP($G53,'Visu totale'!$D$3:$DH$129,BU$1,0),0)</f>
        <v>0</v>
      </c>
      <c r="BV53" s="13">
        <f>IFERROR(VLOOKUP($G53,'Visu totale'!$D$3:$DH$129,BV$1,0),0)</f>
        <v>0</v>
      </c>
      <c r="BW53" s="13">
        <f>IFERROR(VLOOKUP($G53,'Visu totale'!$D$3:$DH$129,BW$1,0),0)</f>
        <v>0</v>
      </c>
      <c r="BX53" s="13">
        <f>IFERROR(VLOOKUP($G53,'Visu totale'!$D$3:$DH$129,BX$1,0),0)</f>
        <v>0</v>
      </c>
      <c r="BY53" s="13">
        <f>IFERROR(VLOOKUP($G53,'Visu totale'!$D$3:$DH$129,BY$1,0),0)</f>
        <v>0</v>
      </c>
      <c r="BZ53" s="13">
        <f>IFERROR(VLOOKUP($G53,'Visu totale'!$D$3:$DH$129,BZ$1,0),0)</f>
        <v>0</v>
      </c>
      <c r="CA53" s="15">
        <f>IFERROR(VLOOKUP($G53,'Visu totale'!$D$3:$DH$129,CA$1,0),0)</f>
        <v>0</v>
      </c>
      <c r="CB53" s="14">
        <f>IFERROR(VLOOKUP($G53,'Visu totale'!$D$3:$DH$129,CB$1,0),0)</f>
        <v>0</v>
      </c>
      <c r="CC53" s="13">
        <f>IFERROR(VLOOKUP($G53,'Visu totale'!$D$3:$DH$129,CC$1,0),0)</f>
        <v>0</v>
      </c>
      <c r="CD53" s="13">
        <f>IFERROR(VLOOKUP($G53,'Visu totale'!$D$3:$DH$129,CD$1,0),0)</f>
        <v>0</v>
      </c>
      <c r="CE53" s="13">
        <f>IFERROR(VLOOKUP($G53,'Visu totale'!$D$3:$DH$129,CE$1,0),0)</f>
        <v>0</v>
      </c>
      <c r="CF53" s="13">
        <f>IFERROR(VLOOKUP($G53,'Visu totale'!$D$3:$DH$129,CF$1,0),0)</f>
        <v>0</v>
      </c>
      <c r="CG53" s="13">
        <f>IFERROR(VLOOKUP($G53,'Visu totale'!$D$3:$DH$129,CG$1,0),0)</f>
        <v>0</v>
      </c>
      <c r="CH53" s="13">
        <f>IFERROR(VLOOKUP($G53,'Visu totale'!$D$3:$DH$129,CH$1,0),0)</f>
        <v>0</v>
      </c>
      <c r="CI53" s="13">
        <f>IFERROR(VLOOKUP($G53,'Visu totale'!$D$3:$DH$129,CI$1,0),0)</f>
        <v>0</v>
      </c>
      <c r="CJ53" s="13">
        <f>IFERROR(VLOOKUP($G53,'Visu totale'!$D$3:$DH$129,CJ$1,0),0)</f>
        <v>0</v>
      </c>
      <c r="CK53" s="13">
        <f>IFERROR(VLOOKUP($G53,'Visu totale'!$D$3:$DH$129,CK$1,0),0)</f>
        <v>0</v>
      </c>
      <c r="CL53" s="13">
        <f>IFERROR(VLOOKUP($G53,'Visu totale'!$D$3:$DH$129,CL$1,0),0)</f>
        <v>0</v>
      </c>
      <c r="CM53" s="15">
        <f>IFERROR(VLOOKUP($G53,'Visu totale'!$D$3:$DH$129,CM$1,0),0)</f>
        <v>0</v>
      </c>
      <c r="CN53" s="14">
        <f>IFERROR(VLOOKUP($G53,'Visu totale'!$D$3:$DH$129,CN$1,0),0)</f>
        <v>0</v>
      </c>
      <c r="CO53" s="13">
        <f>IFERROR(VLOOKUP($G53,'Visu totale'!$D$3:$DH$129,CO$1,0),0)</f>
        <v>0</v>
      </c>
      <c r="CP53" s="13">
        <f>IFERROR(VLOOKUP($G53,'Visu totale'!$D$3:$DH$129,CP$1,0),0)</f>
        <v>0</v>
      </c>
      <c r="CQ53" s="13">
        <f>IFERROR(VLOOKUP($G53,'Visu totale'!$D$3:$DH$129,CQ$1,0),0)</f>
        <v>0</v>
      </c>
      <c r="CR53" s="13">
        <f>IFERROR(VLOOKUP($G53,'Visu totale'!$D$3:$DH$129,CR$1,0),0)</f>
        <v>0</v>
      </c>
      <c r="CS53" s="13">
        <f>IFERROR(VLOOKUP($G53,'Visu totale'!$D$3:$DH$129,CS$1,0),0)</f>
        <v>0</v>
      </c>
      <c r="CT53" s="13">
        <f>IFERROR(VLOOKUP($G53,'Visu totale'!$D$3:$DH$129,CT$1,0),0)</f>
        <v>0</v>
      </c>
      <c r="CU53" s="13">
        <f>IFERROR(VLOOKUP($G53,'Visu totale'!$D$3:$DH$129,CU$1,0),0)</f>
        <v>0</v>
      </c>
      <c r="CV53" s="13">
        <f>IFERROR(VLOOKUP($G53,'Visu totale'!$D$3:$DH$129,CV$1,0),0)</f>
        <v>0</v>
      </c>
      <c r="CW53" s="13">
        <f>IFERROR(VLOOKUP($G53,'Visu totale'!$D$3:$DH$129,CW$1,0),0)</f>
        <v>0</v>
      </c>
      <c r="CX53" s="13">
        <f>IFERROR(VLOOKUP($G53,'Visu totale'!$D$3:$DH$129,CX$1,0),0)</f>
        <v>0</v>
      </c>
      <c r="CY53" s="15">
        <f>IFERROR(VLOOKUP($G53,'Visu totale'!$D$3:$DH$129,CY$1,0),0)</f>
        <v>0</v>
      </c>
      <c r="CZ53" s="14">
        <f>IFERROR(VLOOKUP($G53,'Visu totale'!$D$3:$DH$129,CZ$1,0),0)</f>
        <v>0</v>
      </c>
      <c r="DA53" s="13">
        <f>IFERROR(VLOOKUP($G53,'Visu totale'!$D$3:$DH$129,DA$1,0),0)</f>
        <v>0</v>
      </c>
      <c r="DB53" s="13">
        <f>IFERROR(VLOOKUP($G53,'Visu totale'!$D$3:$DH$129,DB$1,0),0)</f>
        <v>0</v>
      </c>
      <c r="DC53" s="13">
        <f>IFERROR(VLOOKUP($G53,'Visu totale'!$D$3:$DH$129,DC$1,0),0)</f>
        <v>0</v>
      </c>
      <c r="DD53" s="13">
        <f>IFERROR(VLOOKUP($G53,'Visu totale'!$D$3:$DH$129,DD$1,0),0)</f>
        <v>0</v>
      </c>
      <c r="DE53" s="13">
        <f>IFERROR(VLOOKUP($G53,'Visu totale'!$D$3:$DH$129,DE$1,0),0)</f>
        <v>0</v>
      </c>
      <c r="DF53" s="13">
        <f>IFERROR(VLOOKUP($G53,'Visu totale'!$D$3:$DH$129,DF$1,0),0)</f>
        <v>0</v>
      </c>
      <c r="DG53" s="13">
        <f>IFERROR(VLOOKUP($G53,'Visu totale'!$D$3:$DH$129,DG$1,0),0)</f>
        <v>0</v>
      </c>
      <c r="DH53" s="13">
        <f>IFERROR(VLOOKUP($G53,'Visu totale'!$D$3:$DH$129,DH$1,0),0)</f>
        <v>0</v>
      </c>
      <c r="DI53" s="13">
        <f>IFERROR(VLOOKUP($G53,'Visu totale'!$D$3:$DH$129,DI$1,0),0)</f>
        <v>0</v>
      </c>
      <c r="DJ53" s="13">
        <f>IFERROR(VLOOKUP($G53,'Visu totale'!$D$3:$DH$129,DJ$1,0),0)</f>
        <v>0</v>
      </c>
      <c r="DK53" s="15">
        <f>IFERROR(VLOOKUP($G53,'Visu totale'!$D$3:$DH$129,DK$1,0),0)</f>
        <v>0</v>
      </c>
    </row>
    <row r="54" spans="1:115" x14ac:dyDescent="0.25">
      <c r="A54" s="13"/>
      <c r="B54" s="13"/>
      <c r="C54" s="13"/>
      <c r="D54" s="16"/>
      <c r="E54" s="13"/>
      <c r="F54" s="13"/>
      <c r="G54" s="17" t="s">
        <v>56</v>
      </c>
      <c r="H54" s="14">
        <f>IFERROR(VLOOKUP($G54,'Visu totale'!$D$3:$DH$129,H$1,0),0)</f>
        <v>0</v>
      </c>
      <c r="I54" s="13">
        <f>IFERROR(VLOOKUP($G54,'Visu totale'!$D$3:$DH$129,I$1,0),0)</f>
        <v>0</v>
      </c>
      <c r="J54" s="13">
        <f>IFERROR(VLOOKUP($G54,'Visu totale'!$D$3:$DH$129,J$1,0),0)</f>
        <v>0</v>
      </c>
      <c r="K54" s="13">
        <f>IFERROR(VLOOKUP($G54,'Visu totale'!$D$3:$DH$129,K$1,0),0)</f>
        <v>0</v>
      </c>
      <c r="L54" s="13">
        <f>IFERROR(VLOOKUP($G54,'Visu totale'!$D$3:$DH$129,L$1,0),0)</f>
        <v>0</v>
      </c>
      <c r="M54" s="13">
        <f>IFERROR(VLOOKUP($G54,'Visu totale'!$D$3:$DH$129,M$1,0),0)</f>
        <v>0</v>
      </c>
      <c r="N54" s="13">
        <f>IFERROR(VLOOKUP($G54,'Visu totale'!$D$3:$DH$129,N$1,0),0)</f>
        <v>0</v>
      </c>
      <c r="O54" s="13">
        <f>IFERROR(VLOOKUP($G54,'Visu totale'!$D$3:$DH$129,O$1,0),0)</f>
        <v>0</v>
      </c>
      <c r="P54" s="13">
        <f>IFERROR(VLOOKUP($G54,'Visu totale'!$D$3:$DH$129,P$1,0),0)</f>
        <v>0</v>
      </c>
      <c r="Q54" s="13">
        <f>IFERROR(VLOOKUP($G54,'Visu totale'!$D$3:$DH$129,Q$1,0),0)</f>
        <v>0</v>
      </c>
      <c r="R54" s="13">
        <f>IFERROR(VLOOKUP($G54,'Visu totale'!$D$3:$DH$129,R$1,0),0)</f>
        <v>0</v>
      </c>
      <c r="S54" s="15">
        <f>IFERROR(VLOOKUP($G54,'Visu totale'!$D$3:$DH$129,S$1,0),0)</f>
        <v>0</v>
      </c>
      <c r="T54" s="14">
        <f>IFERROR(VLOOKUP($G54,'Visu totale'!$D$3:$DH$129,T$1,0),0)</f>
        <v>0</v>
      </c>
      <c r="U54" s="13">
        <f>IFERROR(VLOOKUP($G54,'Visu totale'!$D$3:$DH$129,U$1,0),0)</f>
        <v>0</v>
      </c>
      <c r="V54" s="13">
        <f>IFERROR(VLOOKUP($G54,'Visu totale'!$D$3:$DH$129,V$1,0),0)</f>
        <v>0</v>
      </c>
      <c r="W54" s="13">
        <f>IFERROR(VLOOKUP($G54,'Visu totale'!$D$3:$DH$129,W$1,0),0)</f>
        <v>0</v>
      </c>
      <c r="X54" s="13">
        <f>IFERROR(VLOOKUP($G54,'Visu totale'!$D$3:$DH$129,X$1,0),0)</f>
        <v>0</v>
      </c>
      <c r="Y54" s="13">
        <f>IFERROR(VLOOKUP($G54,'Visu totale'!$D$3:$DH$129,Y$1,0),0)</f>
        <v>0</v>
      </c>
      <c r="Z54" s="13">
        <f>IFERROR(VLOOKUP($G54,'Visu totale'!$D$3:$DH$129,Z$1,0),0)</f>
        <v>0</v>
      </c>
      <c r="AA54" s="13">
        <f>IFERROR(VLOOKUP($G54,'Visu totale'!$D$3:$DH$129,AA$1,0),0)</f>
        <v>0</v>
      </c>
      <c r="AB54" s="13">
        <f>IFERROR(VLOOKUP($G54,'Visu totale'!$D$3:$DH$129,AB$1,0),0)</f>
        <v>0</v>
      </c>
      <c r="AC54" s="13">
        <f>IFERROR(VLOOKUP($G54,'Visu totale'!$D$3:$DH$129,AC$1,0),0)</f>
        <v>0</v>
      </c>
      <c r="AD54" s="13">
        <f>IFERROR(VLOOKUP($G54,'Visu totale'!$D$3:$DH$129,AD$1,0),0)</f>
        <v>0</v>
      </c>
      <c r="AE54" s="15">
        <f>IFERROR(VLOOKUP($G54,'Visu totale'!$D$3:$DH$129,AE$1,0),0)</f>
        <v>0</v>
      </c>
      <c r="AF54" s="14">
        <f>IFERROR(VLOOKUP($G54,'Visu totale'!$D$3:$DH$129,AF$1,0),0)</f>
        <v>0</v>
      </c>
      <c r="AG54" s="13">
        <f>IFERROR(VLOOKUP($G54,'Visu totale'!$D$3:$DH$129,AG$1,0),0)</f>
        <v>0</v>
      </c>
      <c r="AH54" s="13">
        <f>IFERROR(VLOOKUP($G54,'Visu totale'!$D$3:$DH$129,AH$1,0),0)</f>
        <v>0</v>
      </c>
      <c r="AI54" s="13">
        <f>IFERROR(VLOOKUP($G54,'Visu totale'!$D$3:$DH$129,AI$1,0),0)</f>
        <v>0</v>
      </c>
      <c r="AJ54" s="13">
        <f>IFERROR(VLOOKUP($G54,'Visu totale'!$D$3:$DH$129,AJ$1,0),0)</f>
        <v>0</v>
      </c>
      <c r="AK54" s="13">
        <f>IFERROR(VLOOKUP($G54,'Visu totale'!$D$3:$DH$129,AK$1,0),0)</f>
        <v>0</v>
      </c>
      <c r="AL54" s="13">
        <f>IFERROR(VLOOKUP($G54,'Visu totale'!$D$3:$DH$129,AL$1,0),0)</f>
        <v>0</v>
      </c>
      <c r="AM54" s="13">
        <f>IFERROR(VLOOKUP($G54,'Visu totale'!$D$3:$DH$129,AM$1,0),0)</f>
        <v>0</v>
      </c>
      <c r="AN54" s="13">
        <f>IFERROR(VLOOKUP($G54,'Visu totale'!$D$3:$DH$129,AN$1,0),0)</f>
        <v>0</v>
      </c>
      <c r="AO54" s="13">
        <f>IFERROR(VLOOKUP($G54,'Visu totale'!$D$3:$DH$129,AO$1,0),0)</f>
        <v>0</v>
      </c>
      <c r="AP54" s="13">
        <f>IFERROR(VLOOKUP($G54,'Visu totale'!$D$3:$DH$129,AP$1,0),0)</f>
        <v>0</v>
      </c>
      <c r="AQ54" s="15">
        <f>IFERROR(VLOOKUP($G54,'Visu totale'!$D$3:$DH$129,AQ$1,0),0)</f>
        <v>0</v>
      </c>
      <c r="AR54" s="14">
        <f>IFERROR(VLOOKUP($G54,'Visu totale'!$D$3:$DH$129,AR$1,0),0)</f>
        <v>0</v>
      </c>
      <c r="AS54" s="13">
        <f>IFERROR(VLOOKUP($G54,'Visu totale'!$D$3:$DH$129,AS$1,0),0)</f>
        <v>0</v>
      </c>
      <c r="AT54" s="13">
        <f>IFERROR(VLOOKUP($G54,'Visu totale'!$D$3:$DH$129,AT$1,0),0)</f>
        <v>0</v>
      </c>
      <c r="AU54" s="13">
        <f>IFERROR(VLOOKUP($G54,'Visu totale'!$D$3:$DH$129,AU$1,0),0)</f>
        <v>0</v>
      </c>
      <c r="AV54" s="13">
        <f>IFERROR(VLOOKUP($G54,'Visu totale'!$D$3:$DH$129,AV$1,0),0)</f>
        <v>0</v>
      </c>
      <c r="AW54" s="13">
        <f>IFERROR(VLOOKUP($G54,'Visu totale'!$D$3:$DH$129,AW$1,0),0)</f>
        <v>0</v>
      </c>
      <c r="AX54" s="13">
        <f>IFERROR(VLOOKUP($G54,'Visu totale'!$D$3:$DH$129,AX$1,0),0)</f>
        <v>0</v>
      </c>
      <c r="AY54" s="13">
        <f>IFERROR(VLOOKUP($G54,'Visu totale'!$D$3:$DH$129,AY$1,0),0)</f>
        <v>0</v>
      </c>
      <c r="AZ54" s="13">
        <f>IFERROR(VLOOKUP($G54,'Visu totale'!$D$3:$DH$129,AZ$1,0),0)</f>
        <v>0</v>
      </c>
      <c r="BA54" s="13">
        <f>IFERROR(VLOOKUP($G54,'Visu totale'!$D$3:$DH$129,BA$1,0),0)</f>
        <v>0</v>
      </c>
      <c r="BB54" s="13">
        <f>IFERROR(VLOOKUP($G54,'Visu totale'!$D$3:$DH$129,BB$1,0),0)</f>
        <v>0</v>
      </c>
      <c r="BC54" s="15">
        <f>IFERROR(VLOOKUP($G54,'Visu totale'!$D$3:$DH$129,BC$1,0),0)</f>
        <v>0</v>
      </c>
      <c r="BD54" s="14">
        <f>IFERROR(VLOOKUP($G54,'Visu totale'!$D$3:$DH$129,BD$1,0),0)</f>
        <v>0</v>
      </c>
      <c r="BE54" s="13">
        <f>IFERROR(VLOOKUP($G54,'Visu totale'!$D$3:$DH$129,BE$1,0),0)</f>
        <v>0</v>
      </c>
      <c r="BF54" s="13">
        <f>IFERROR(VLOOKUP($G54,'Visu totale'!$D$3:$DH$129,BF$1,0),0)</f>
        <v>0</v>
      </c>
      <c r="BG54" s="13">
        <f>IFERROR(VLOOKUP($G54,'Visu totale'!$D$3:$DH$129,BG$1,0),0)</f>
        <v>0</v>
      </c>
      <c r="BH54" s="13">
        <f>IFERROR(VLOOKUP($G54,'Visu totale'!$D$3:$DH$129,BH$1,0),0)</f>
        <v>0</v>
      </c>
      <c r="BI54" s="13">
        <f>IFERROR(VLOOKUP($G54,'Visu totale'!$D$3:$DH$129,BI$1,0),0)</f>
        <v>0</v>
      </c>
      <c r="BJ54" s="13">
        <f>IFERROR(VLOOKUP($G54,'Visu totale'!$D$3:$DH$129,BJ$1,0),0)</f>
        <v>0</v>
      </c>
      <c r="BK54" s="13">
        <f>IFERROR(VLOOKUP($G54,'Visu totale'!$D$3:$DH$129,BK$1,0),0)</f>
        <v>0</v>
      </c>
      <c r="BL54" s="13">
        <f>IFERROR(VLOOKUP($G54,'Visu totale'!$D$3:$DH$129,BL$1,0),0)</f>
        <v>0</v>
      </c>
      <c r="BM54" s="13">
        <f>IFERROR(VLOOKUP($G54,'Visu totale'!$D$3:$DH$129,BM$1,0),0)</f>
        <v>0</v>
      </c>
      <c r="BN54" s="13">
        <f>IFERROR(VLOOKUP($G54,'Visu totale'!$D$3:$DH$129,BN$1,0),0)</f>
        <v>0</v>
      </c>
      <c r="BO54" s="15">
        <f>IFERROR(VLOOKUP($G54,'Visu totale'!$D$3:$DH$129,BO$1,0),0)</f>
        <v>0</v>
      </c>
      <c r="BP54" s="14">
        <f>IFERROR(VLOOKUP($G54,'Visu totale'!$D$3:$DH$129,BP$1,0),0)</f>
        <v>0</v>
      </c>
      <c r="BQ54" s="13">
        <f>IFERROR(VLOOKUP($G54,'Visu totale'!$D$3:$DH$129,BQ$1,0),0)</f>
        <v>0</v>
      </c>
      <c r="BR54" s="13">
        <f>IFERROR(VLOOKUP($G54,'Visu totale'!$D$3:$DH$129,BR$1,0),0)</f>
        <v>0</v>
      </c>
      <c r="BS54" s="13">
        <f>IFERROR(VLOOKUP($G54,'Visu totale'!$D$3:$DH$129,BS$1,0),0)</f>
        <v>0</v>
      </c>
      <c r="BT54" s="13">
        <f>IFERROR(VLOOKUP($G54,'Visu totale'!$D$3:$DH$129,BT$1,0),0)</f>
        <v>0</v>
      </c>
      <c r="BU54" s="13">
        <f>IFERROR(VLOOKUP($G54,'Visu totale'!$D$3:$DH$129,BU$1,0),0)</f>
        <v>0</v>
      </c>
      <c r="BV54" s="13">
        <f>IFERROR(VLOOKUP($G54,'Visu totale'!$D$3:$DH$129,BV$1,0),0)</f>
        <v>0</v>
      </c>
      <c r="BW54" s="13">
        <f>IFERROR(VLOOKUP($G54,'Visu totale'!$D$3:$DH$129,BW$1,0),0)</f>
        <v>0</v>
      </c>
      <c r="BX54" s="13">
        <f>IFERROR(VLOOKUP($G54,'Visu totale'!$D$3:$DH$129,BX$1,0),0)</f>
        <v>0</v>
      </c>
      <c r="BY54" s="13">
        <f>IFERROR(VLOOKUP($G54,'Visu totale'!$D$3:$DH$129,BY$1,0),0)</f>
        <v>0</v>
      </c>
      <c r="BZ54" s="13">
        <f>IFERROR(VLOOKUP($G54,'Visu totale'!$D$3:$DH$129,BZ$1,0),0)</f>
        <v>0</v>
      </c>
      <c r="CA54" s="15">
        <f>IFERROR(VLOOKUP($G54,'Visu totale'!$D$3:$DH$129,CA$1,0),0)</f>
        <v>0</v>
      </c>
      <c r="CB54" s="14">
        <f>IFERROR(VLOOKUP($G54,'Visu totale'!$D$3:$DH$129,CB$1,0),0)</f>
        <v>0</v>
      </c>
      <c r="CC54" s="13">
        <f>IFERROR(VLOOKUP($G54,'Visu totale'!$D$3:$DH$129,CC$1,0),0)</f>
        <v>0</v>
      </c>
      <c r="CD54" s="13">
        <f>IFERROR(VLOOKUP($G54,'Visu totale'!$D$3:$DH$129,CD$1,0),0)</f>
        <v>0</v>
      </c>
      <c r="CE54" s="13">
        <f>IFERROR(VLOOKUP($G54,'Visu totale'!$D$3:$DH$129,CE$1,0),0)</f>
        <v>0</v>
      </c>
      <c r="CF54" s="13">
        <f>IFERROR(VLOOKUP($G54,'Visu totale'!$D$3:$DH$129,CF$1,0),0)</f>
        <v>0</v>
      </c>
      <c r="CG54" s="13">
        <f>IFERROR(VLOOKUP($G54,'Visu totale'!$D$3:$DH$129,CG$1,0),0)</f>
        <v>0</v>
      </c>
      <c r="CH54" s="13">
        <f>IFERROR(VLOOKUP($G54,'Visu totale'!$D$3:$DH$129,CH$1,0),0)</f>
        <v>0</v>
      </c>
      <c r="CI54" s="13">
        <f>IFERROR(VLOOKUP($G54,'Visu totale'!$D$3:$DH$129,CI$1,0),0)</f>
        <v>0</v>
      </c>
      <c r="CJ54" s="13">
        <f>IFERROR(VLOOKUP($G54,'Visu totale'!$D$3:$DH$129,CJ$1,0),0)</f>
        <v>0</v>
      </c>
      <c r="CK54" s="13">
        <f>IFERROR(VLOOKUP($G54,'Visu totale'!$D$3:$DH$129,CK$1,0),0)</f>
        <v>0</v>
      </c>
      <c r="CL54" s="13">
        <f>IFERROR(VLOOKUP($G54,'Visu totale'!$D$3:$DH$129,CL$1,0),0)</f>
        <v>0</v>
      </c>
      <c r="CM54" s="15">
        <f>IFERROR(VLOOKUP($G54,'Visu totale'!$D$3:$DH$129,CM$1,0),0)</f>
        <v>0</v>
      </c>
      <c r="CN54" s="14">
        <f>IFERROR(VLOOKUP($G54,'Visu totale'!$D$3:$DH$129,CN$1,0),0)</f>
        <v>0</v>
      </c>
      <c r="CO54" s="13">
        <f>IFERROR(VLOOKUP($G54,'Visu totale'!$D$3:$DH$129,CO$1,0),0)</f>
        <v>0</v>
      </c>
      <c r="CP54" s="13">
        <f>IFERROR(VLOOKUP($G54,'Visu totale'!$D$3:$DH$129,CP$1,0),0)</f>
        <v>0</v>
      </c>
      <c r="CQ54" s="13">
        <f>IFERROR(VLOOKUP($G54,'Visu totale'!$D$3:$DH$129,CQ$1,0),0)</f>
        <v>0</v>
      </c>
      <c r="CR54" s="13">
        <f>IFERROR(VLOOKUP($G54,'Visu totale'!$D$3:$DH$129,CR$1,0),0)</f>
        <v>0</v>
      </c>
      <c r="CS54" s="13">
        <f>IFERROR(VLOOKUP($G54,'Visu totale'!$D$3:$DH$129,CS$1,0),0)</f>
        <v>0</v>
      </c>
      <c r="CT54" s="13">
        <f>IFERROR(VLOOKUP($G54,'Visu totale'!$D$3:$DH$129,CT$1,0),0)</f>
        <v>0</v>
      </c>
      <c r="CU54" s="13">
        <f>IFERROR(VLOOKUP($G54,'Visu totale'!$D$3:$DH$129,CU$1,0),0)</f>
        <v>0</v>
      </c>
      <c r="CV54" s="13">
        <f>IFERROR(VLOOKUP($G54,'Visu totale'!$D$3:$DH$129,CV$1,0),0)</f>
        <v>0</v>
      </c>
      <c r="CW54" s="13">
        <f>IFERROR(VLOOKUP($G54,'Visu totale'!$D$3:$DH$129,CW$1,0),0)</f>
        <v>0</v>
      </c>
      <c r="CX54" s="13">
        <f>IFERROR(VLOOKUP($G54,'Visu totale'!$D$3:$DH$129,CX$1,0),0)</f>
        <v>0</v>
      </c>
      <c r="CY54" s="15">
        <f>IFERROR(VLOOKUP($G54,'Visu totale'!$D$3:$DH$129,CY$1,0),0)</f>
        <v>0</v>
      </c>
      <c r="CZ54" s="14">
        <f>IFERROR(VLOOKUP($G54,'Visu totale'!$D$3:$DH$129,CZ$1,0),0)</f>
        <v>0</v>
      </c>
      <c r="DA54" s="13">
        <f>IFERROR(VLOOKUP($G54,'Visu totale'!$D$3:$DH$129,DA$1,0),0)</f>
        <v>0</v>
      </c>
      <c r="DB54" s="13">
        <f>IFERROR(VLOOKUP($G54,'Visu totale'!$D$3:$DH$129,DB$1,0),0)</f>
        <v>0</v>
      </c>
      <c r="DC54" s="13">
        <f>IFERROR(VLOOKUP($G54,'Visu totale'!$D$3:$DH$129,DC$1,0),0)</f>
        <v>0</v>
      </c>
      <c r="DD54" s="13">
        <f>IFERROR(VLOOKUP($G54,'Visu totale'!$D$3:$DH$129,DD$1,0),0)</f>
        <v>0</v>
      </c>
      <c r="DE54" s="13">
        <f>IFERROR(VLOOKUP($G54,'Visu totale'!$D$3:$DH$129,DE$1,0),0)</f>
        <v>0</v>
      </c>
      <c r="DF54" s="13">
        <f>IFERROR(VLOOKUP($G54,'Visu totale'!$D$3:$DH$129,DF$1,0),0)</f>
        <v>0</v>
      </c>
      <c r="DG54" s="13">
        <f>IFERROR(VLOOKUP($G54,'Visu totale'!$D$3:$DH$129,DG$1,0),0)</f>
        <v>0</v>
      </c>
      <c r="DH54" s="13">
        <f>IFERROR(VLOOKUP($G54,'Visu totale'!$D$3:$DH$129,DH$1,0),0)</f>
        <v>0</v>
      </c>
      <c r="DI54" s="13">
        <f>IFERROR(VLOOKUP($G54,'Visu totale'!$D$3:$DH$129,DI$1,0),0)</f>
        <v>0</v>
      </c>
      <c r="DJ54" s="13">
        <f>IFERROR(VLOOKUP($G54,'Visu totale'!$D$3:$DH$129,DJ$1,0),0)</f>
        <v>0</v>
      </c>
      <c r="DK54" s="15">
        <f>IFERROR(VLOOKUP($G54,'Visu totale'!$D$3:$DH$129,DK$1,0),0)</f>
        <v>0</v>
      </c>
    </row>
    <row r="55" spans="1:115" x14ac:dyDescent="0.25">
      <c r="A55" s="13"/>
      <c r="B55" s="13"/>
      <c r="C55" s="13"/>
      <c r="D55" s="16"/>
      <c r="E55" s="13"/>
      <c r="F55" s="13"/>
      <c r="G55" s="17" t="s">
        <v>57</v>
      </c>
      <c r="H55" s="14">
        <f>IFERROR(VLOOKUP($G55,'Visu totale'!$D$3:$DH$129,H$1,0),0)</f>
        <v>0</v>
      </c>
      <c r="I55" s="13">
        <f>IFERROR(VLOOKUP($G55,'Visu totale'!$D$3:$DH$129,I$1,0),0)</f>
        <v>0</v>
      </c>
      <c r="J55" s="13">
        <f>IFERROR(VLOOKUP($G55,'Visu totale'!$D$3:$DH$129,J$1,0),0)</f>
        <v>0</v>
      </c>
      <c r="K55" s="13">
        <f>IFERROR(VLOOKUP($G55,'Visu totale'!$D$3:$DH$129,K$1,0),0)</f>
        <v>0</v>
      </c>
      <c r="L55" s="13">
        <f>IFERROR(VLOOKUP($G55,'Visu totale'!$D$3:$DH$129,L$1,0),0)</f>
        <v>0</v>
      </c>
      <c r="M55" s="13">
        <f>IFERROR(VLOOKUP($G55,'Visu totale'!$D$3:$DH$129,M$1,0),0)</f>
        <v>0</v>
      </c>
      <c r="N55" s="13">
        <f>IFERROR(VLOOKUP($G55,'Visu totale'!$D$3:$DH$129,N$1,0),0)</f>
        <v>0</v>
      </c>
      <c r="O55" s="13">
        <f>IFERROR(VLOOKUP($G55,'Visu totale'!$D$3:$DH$129,O$1,0),0)</f>
        <v>0</v>
      </c>
      <c r="P55" s="13">
        <f>IFERROR(VLOOKUP($G55,'Visu totale'!$D$3:$DH$129,P$1,0),0)</f>
        <v>0</v>
      </c>
      <c r="Q55" s="13">
        <f>IFERROR(VLOOKUP($G55,'Visu totale'!$D$3:$DH$129,Q$1,0),0)</f>
        <v>0</v>
      </c>
      <c r="R55" s="13">
        <f>IFERROR(VLOOKUP($G55,'Visu totale'!$D$3:$DH$129,R$1,0),0)</f>
        <v>0</v>
      </c>
      <c r="S55" s="15">
        <f>IFERROR(VLOOKUP($G55,'Visu totale'!$D$3:$DH$129,S$1,0),0)</f>
        <v>0</v>
      </c>
      <c r="T55" s="14">
        <f>IFERROR(VLOOKUP($G55,'Visu totale'!$D$3:$DH$129,T$1,0),0)</f>
        <v>0</v>
      </c>
      <c r="U55" s="13">
        <f>IFERROR(VLOOKUP($G55,'Visu totale'!$D$3:$DH$129,U$1,0),0)</f>
        <v>0</v>
      </c>
      <c r="V55" s="13">
        <f>IFERROR(VLOOKUP($G55,'Visu totale'!$D$3:$DH$129,V$1,0),0)</f>
        <v>0</v>
      </c>
      <c r="W55" s="13">
        <f>IFERROR(VLOOKUP($G55,'Visu totale'!$D$3:$DH$129,W$1,0),0)</f>
        <v>0</v>
      </c>
      <c r="X55" s="13">
        <f>IFERROR(VLOOKUP($G55,'Visu totale'!$D$3:$DH$129,X$1,0),0)</f>
        <v>0</v>
      </c>
      <c r="Y55" s="13">
        <f>IFERROR(VLOOKUP($G55,'Visu totale'!$D$3:$DH$129,Y$1,0),0)</f>
        <v>0</v>
      </c>
      <c r="Z55" s="13">
        <f>IFERROR(VLOOKUP($G55,'Visu totale'!$D$3:$DH$129,Z$1,0),0)</f>
        <v>0</v>
      </c>
      <c r="AA55" s="13">
        <f>IFERROR(VLOOKUP($G55,'Visu totale'!$D$3:$DH$129,AA$1,0),0)</f>
        <v>0</v>
      </c>
      <c r="AB55" s="13">
        <f>IFERROR(VLOOKUP($G55,'Visu totale'!$D$3:$DH$129,AB$1,0),0)</f>
        <v>0</v>
      </c>
      <c r="AC55" s="13">
        <f>IFERROR(VLOOKUP($G55,'Visu totale'!$D$3:$DH$129,AC$1,0),0)</f>
        <v>0</v>
      </c>
      <c r="AD55" s="13">
        <f>IFERROR(VLOOKUP($G55,'Visu totale'!$D$3:$DH$129,AD$1,0),0)</f>
        <v>0</v>
      </c>
      <c r="AE55" s="15">
        <f>IFERROR(VLOOKUP($G55,'Visu totale'!$D$3:$DH$129,AE$1,0),0)</f>
        <v>0</v>
      </c>
      <c r="AF55" s="14">
        <f>IFERROR(VLOOKUP($G55,'Visu totale'!$D$3:$DH$129,AF$1,0),0)</f>
        <v>0</v>
      </c>
      <c r="AG55" s="13">
        <f>IFERROR(VLOOKUP($G55,'Visu totale'!$D$3:$DH$129,AG$1,0),0)</f>
        <v>0</v>
      </c>
      <c r="AH55" s="13">
        <f>IFERROR(VLOOKUP($G55,'Visu totale'!$D$3:$DH$129,AH$1,0),0)</f>
        <v>0</v>
      </c>
      <c r="AI55" s="13">
        <f>IFERROR(VLOOKUP($G55,'Visu totale'!$D$3:$DH$129,AI$1,0),0)</f>
        <v>0</v>
      </c>
      <c r="AJ55" s="13">
        <f>IFERROR(VLOOKUP($G55,'Visu totale'!$D$3:$DH$129,AJ$1,0),0)</f>
        <v>0</v>
      </c>
      <c r="AK55" s="13">
        <f>IFERROR(VLOOKUP($G55,'Visu totale'!$D$3:$DH$129,AK$1,0),0)</f>
        <v>0</v>
      </c>
      <c r="AL55" s="13">
        <f>IFERROR(VLOOKUP($G55,'Visu totale'!$D$3:$DH$129,AL$1,0),0)</f>
        <v>0</v>
      </c>
      <c r="AM55" s="13">
        <f>IFERROR(VLOOKUP($G55,'Visu totale'!$D$3:$DH$129,AM$1,0),0)</f>
        <v>0</v>
      </c>
      <c r="AN55" s="13">
        <f>IFERROR(VLOOKUP($G55,'Visu totale'!$D$3:$DH$129,AN$1,0),0)</f>
        <v>0</v>
      </c>
      <c r="AO55" s="13">
        <f>IFERROR(VLOOKUP($G55,'Visu totale'!$D$3:$DH$129,AO$1,0),0)</f>
        <v>0</v>
      </c>
      <c r="AP55" s="13">
        <f>IFERROR(VLOOKUP($G55,'Visu totale'!$D$3:$DH$129,AP$1,0),0)</f>
        <v>0</v>
      </c>
      <c r="AQ55" s="15">
        <f>IFERROR(VLOOKUP($G55,'Visu totale'!$D$3:$DH$129,AQ$1,0),0)</f>
        <v>0</v>
      </c>
      <c r="AR55" s="14">
        <f>IFERROR(VLOOKUP($G55,'Visu totale'!$D$3:$DH$129,AR$1,0),0)</f>
        <v>0</v>
      </c>
      <c r="AS55" s="13">
        <f>IFERROR(VLOOKUP($G55,'Visu totale'!$D$3:$DH$129,AS$1,0),0)</f>
        <v>0</v>
      </c>
      <c r="AT55" s="13">
        <f>IFERROR(VLOOKUP($G55,'Visu totale'!$D$3:$DH$129,AT$1,0),0)</f>
        <v>0</v>
      </c>
      <c r="AU55" s="13">
        <f>IFERROR(VLOOKUP($G55,'Visu totale'!$D$3:$DH$129,AU$1,0),0)</f>
        <v>0</v>
      </c>
      <c r="AV55" s="13">
        <f>IFERROR(VLOOKUP($G55,'Visu totale'!$D$3:$DH$129,AV$1,0),0)</f>
        <v>0</v>
      </c>
      <c r="AW55" s="13">
        <f>IFERROR(VLOOKUP($G55,'Visu totale'!$D$3:$DH$129,AW$1,0),0)</f>
        <v>0</v>
      </c>
      <c r="AX55" s="13">
        <f>IFERROR(VLOOKUP($G55,'Visu totale'!$D$3:$DH$129,AX$1,0),0)</f>
        <v>0</v>
      </c>
      <c r="AY55" s="13">
        <f>IFERROR(VLOOKUP($G55,'Visu totale'!$D$3:$DH$129,AY$1,0),0)</f>
        <v>0</v>
      </c>
      <c r="AZ55" s="13">
        <f>IFERROR(VLOOKUP($G55,'Visu totale'!$D$3:$DH$129,AZ$1,0),0)</f>
        <v>0</v>
      </c>
      <c r="BA55" s="13">
        <f>IFERROR(VLOOKUP($G55,'Visu totale'!$D$3:$DH$129,BA$1,0),0)</f>
        <v>0</v>
      </c>
      <c r="BB55" s="13">
        <f>IFERROR(VLOOKUP($G55,'Visu totale'!$D$3:$DH$129,BB$1,0),0)</f>
        <v>0</v>
      </c>
      <c r="BC55" s="15">
        <f>IFERROR(VLOOKUP($G55,'Visu totale'!$D$3:$DH$129,BC$1,0),0)</f>
        <v>0</v>
      </c>
      <c r="BD55" s="14">
        <f>IFERROR(VLOOKUP($G55,'Visu totale'!$D$3:$DH$129,BD$1,0),0)</f>
        <v>0</v>
      </c>
      <c r="BE55" s="13">
        <f>IFERROR(VLOOKUP($G55,'Visu totale'!$D$3:$DH$129,BE$1,0),0)</f>
        <v>0</v>
      </c>
      <c r="BF55" s="13">
        <f>IFERROR(VLOOKUP($G55,'Visu totale'!$D$3:$DH$129,BF$1,0),0)</f>
        <v>0</v>
      </c>
      <c r="BG55" s="13">
        <f>IFERROR(VLOOKUP($G55,'Visu totale'!$D$3:$DH$129,BG$1,0),0)</f>
        <v>0</v>
      </c>
      <c r="BH55" s="13">
        <f>IFERROR(VLOOKUP($G55,'Visu totale'!$D$3:$DH$129,BH$1,0),0)</f>
        <v>0</v>
      </c>
      <c r="BI55" s="13">
        <f>IFERROR(VLOOKUP($G55,'Visu totale'!$D$3:$DH$129,BI$1,0),0)</f>
        <v>0</v>
      </c>
      <c r="BJ55" s="13">
        <f>IFERROR(VLOOKUP($G55,'Visu totale'!$D$3:$DH$129,BJ$1,0),0)</f>
        <v>0</v>
      </c>
      <c r="BK55" s="13">
        <f>IFERROR(VLOOKUP($G55,'Visu totale'!$D$3:$DH$129,BK$1,0),0)</f>
        <v>0</v>
      </c>
      <c r="BL55" s="13">
        <f>IFERROR(VLOOKUP($G55,'Visu totale'!$D$3:$DH$129,BL$1,0),0)</f>
        <v>0</v>
      </c>
      <c r="BM55" s="13">
        <f>IFERROR(VLOOKUP($G55,'Visu totale'!$D$3:$DH$129,BM$1,0),0)</f>
        <v>0</v>
      </c>
      <c r="BN55" s="13">
        <f>IFERROR(VLOOKUP($G55,'Visu totale'!$D$3:$DH$129,BN$1,0),0)</f>
        <v>0</v>
      </c>
      <c r="BO55" s="15">
        <f>IFERROR(VLOOKUP($G55,'Visu totale'!$D$3:$DH$129,BO$1,0),0)</f>
        <v>0</v>
      </c>
      <c r="BP55" s="14">
        <f>IFERROR(VLOOKUP($G55,'Visu totale'!$D$3:$DH$129,BP$1,0),0)</f>
        <v>0</v>
      </c>
      <c r="BQ55" s="13">
        <f>IFERROR(VLOOKUP($G55,'Visu totale'!$D$3:$DH$129,BQ$1,0),0)</f>
        <v>0</v>
      </c>
      <c r="BR55" s="13">
        <f>IFERROR(VLOOKUP($G55,'Visu totale'!$D$3:$DH$129,BR$1,0),0)</f>
        <v>0</v>
      </c>
      <c r="BS55" s="13">
        <f>IFERROR(VLOOKUP($G55,'Visu totale'!$D$3:$DH$129,BS$1,0),0)</f>
        <v>0</v>
      </c>
      <c r="BT55" s="13">
        <f>IFERROR(VLOOKUP($G55,'Visu totale'!$D$3:$DH$129,BT$1,0),0)</f>
        <v>0</v>
      </c>
      <c r="BU55" s="13">
        <f>IFERROR(VLOOKUP($G55,'Visu totale'!$D$3:$DH$129,BU$1,0),0)</f>
        <v>0</v>
      </c>
      <c r="BV55" s="13">
        <f>IFERROR(VLOOKUP($G55,'Visu totale'!$D$3:$DH$129,BV$1,0),0)</f>
        <v>0</v>
      </c>
      <c r="BW55" s="13">
        <f>IFERROR(VLOOKUP($G55,'Visu totale'!$D$3:$DH$129,BW$1,0),0)</f>
        <v>0</v>
      </c>
      <c r="BX55" s="13">
        <f>IFERROR(VLOOKUP($G55,'Visu totale'!$D$3:$DH$129,BX$1,0),0)</f>
        <v>0</v>
      </c>
      <c r="BY55" s="13">
        <f>IFERROR(VLOOKUP($G55,'Visu totale'!$D$3:$DH$129,BY$1,0),0)</f>
        <v>0</v>
      </c>
      <c r="BZ55" s="13">
        <f>IFERROR(VLOOKUP($G55,'Visu totale'!$D$3:$DH$129,BZ$1,0),0)</f>
        <v>0</v>
      </c>
      <c r="CA55" s="15">
        <f>IFERROR(VLOOKUP($G55,'Visu totale'!$D$3:$DH$129,CA$1,0),0)</f>
        <v>0</v>
      </c>
      <c r="CB55" s="14">
        <f>IFERROR(VLOOKUP($G55,'Visu totale'!$D$3:$DH$129,CB$1,0),0)</f>
        <v>0</v>
      </c>
      <c r="CC55" s="13">
        <f>IFERROR(VLOOKUP($G55,'Visu totale'!$D$3:$DH$129,CC$1,0),0)</f>
        <v>0</v>
      </c>
      <c r="CD55" s="13">
        <f>IFERROR(VLOOKUP($G55,'Visu totale'!$D$3:$DH$129,CD$1,0),0)</f>
        <v>0</v>
      </c>
      <c r="CE55" s="13">
        <f>IFERROR(VLOOKUP($G55,'Visu totale'!$D$3:$DH$129,CE$1,0),0)</f>
        <v>0</v>
      </c>
      <c r="CF55" s="13">
        <f>IFERROR(VLOOKUP($G55,'Visu totale'!$D$3:$DH$129,CF$1,0),0)</f>
        <v>0</v>
      </c>
      <c r="CG55" s="13">
        <f>IFERROR(VLOOKUP($G55,'Visu totale'!$D$3:$DH$129,CG$1,0),0)</f>
        <v>0</v>
      </c>
      <c r="CH55" s="13">
        <f>IFERROR(VLOOKUP($G55,'Visu totale'!$D$3:$DH$129,CH$1,0),0)</f>
        <v>0</v>
      </c>
      <c r="CI55" s="13">
        <f>IFERROR(VLOOKUP($G55,'Visu totale'!$D$3:$DH$129,CI$1,0),0)</f>
        <v>0</v>
      </c>
      <c r="CJ55" s="13">
        <f>IFERROR(VLOOKUP($G55,'Visu totale'!$D$3:$DH$129,CJ$1,0),0)</f>
        <v>0</v>
      </c>
      <c r="CK55" s="13">
        <f>IFERROR(VLOOKUP($G55,'Visu totale'!$D$3:$DH$129,CK$1,0),0)</f>
        <v>0</v>
      </c>
      <c r="CL55" s="13">
        <f>IFERROR(VLOOKUP($G55,'Visu totale'!$D$3:$DH$129,CL$1,0),0)</f>
        <v>0</v>
      </c>
      <c r="CM55" s="15">
        <f>IFERROR(VLOOKUP($G55,'Visu totale'!$D$3:$DH$129,CM$1,0),0)</f>
        <v>0</v>
      </c>
      <c r="CN55" s="14">
        <f>IFERROR(VLOOKUP($G55,'Visu totale'!$D$3:$DH$129,CN$1,0),0)</f>
        <v>0</v>
      </c>
      <c r="CO55" s="13">
        <f>IFERROR(VLOOKUP($G55,'Visu totale'!$D$3:$DH$129,CO$1,0),0)</f>
        <v>0</v>
      </c>
      <c r="CP55" s="13">
        <f>IFERROR(VLOOKUP($G55,'Visu totale'!$D$3:$DH$129,CP$1,0),0)</f>
        <v>0</v>
      </c>
      <c r="CQ55" s="13">
        <f>IFERROR(VLOOKUP($G55,'Visu totale'!$D$3:$DH$129,CQ$1,0),0)</f>
        <v>0</v>
      </c>
      <c r="CR55" s="13">
        <f>IFERROR(VLOOKUP($G55,'Visu totale'!$D$3:$DH$129,CR$1,0),0)</f>
        <v>0</v>
      </c>
      <c r="CS55" s="13">
        <f>IFERROR(VLOOKUP($G55,'Visu totale'!$D$3:$DH$129,CS$1,0),0)</f>
        <v>0</v>
      </c>
      <c r="CT55" s="13">
        <f>IFERROR(VLOOKUP($G55,'Visu totale'!$D$3:$DH$129,CT$1,0),0)</f>
        <v>0</v>
      </c>
      <c r="CU55" s="13">
        <f>IFERROR(VLOOKUP($G55,'Visu totale'!$D$3:$DH$129,CU$1,0),0)</f>
        <v>0</v>
      </c>
      <c r="CV55" s="13">
        <f>IFERROR(VLOOKUP($G55,'Visu totale'!$D$3:$DH$129,CV$1,0),0)</f>
        <v>0</v>
      </c>
      <c r="CW55" s="13">
        <f>IFERROR(VLOOKUP($G55,'Visu totale'!$D$3:$DH$129,CW$1,0),0)</f>
        <v>0</v>
      </c>
      <c r="CX55" s="13">
        <f>IFERROR(VLOOKUP($G55,'Visu totale'!$D$3:$DH$129,CX$1,0),0)</f>
        <v>0</v>
      </c>
      <c r="CY55" s="15">
        <f>IFERROR(VLOOKUP($G55,'Visu totale'!$D$3:$DH$129,CY$1,0),0)</f>
        <v>0</v>
      </c>
      <c r="CZ55" s="14">
        <f>IFERROR(VLOOKUP($G55,'Visu totale'!$D$3:$DH$129,CZ$1,0),0)</f>
        <v>0</v>
      </c>
      <c r="DA55" s="13">
        <f>IFERROR(VLOOKUP($G55,'Visu totale'!$D$3:$DH$129,DA$1,0),0)</f>
        <v>0</v>
      </c>
      <c r="DB55" s="13">
        <f>IFERROR(VLOOKUP($G55,'Visu totale'!$D$3:$DH$129,DB$1,0),0)</f>
        <v>0</v>
      </c>
      <c r="DC55" s="13">
        <f>IFERROR(VLOOKUP($G55,'Visu totale'!$D$3:$DH$129,DC$1,0),0)</f>
        <v>0</v>
      </c>
      <c r="DD55" s="13">
        <f>IFERROR(VLOOKUP($G55,'Visu totale'!$D$3:$DH$129,DD$1,0),0)</f>
        <v>0</v>
      </c>
      <c r="DE55" s="13">
        <f>IFERROR(VLOOKUP($G55,'Visu totale'!$D$3:$DH$129,DE$1,0),0)</f>
        <v>0</v>
      </c>
      <c r="DF55" s="13">
        <f>IFERROR(VLOOKUP($G55,'Visu totale'!$D$3:$DH$129,DF$1,0),0)</f>
        <v>0</v>
      </c>
      <c r="DG55" s="13">
        <f>IFERROR(VLOOKUP($G55,'Visu totale'!$D$3:$DH$129,DG$1,0),0)</f>
        <v>0</v>
      </c>
      <c r="DH55" s="13">
        <f>IFERROR(VLOOKUP($G55,'Visu totale'!$D$3:$DH$129,DH$1,0),0)</f>
        <v>0</v>
      </c>
      <c r="DI55" s="13">
        <f>IFERROR(VLOOKUP($G55,'Visu totale'!$D$3:$DH$129,DI$1,0),0)</f>
        <v>0</v>
      </c>
      <c r="DJ55" s="13">
        <f>IFERROR(VLOOKUP($G55,'Visu totale'!$D$3:$DH$129,DJ$1,0),0)</f>
        <v>0</v>
      </c>
      <c r="DK55" s="15">
        <f>IFERROR(VLOOKUP($G55,'Visu totale'!$D$3:$DH$129,DK$1,0),0)</f>
        <v>0</v>
      </c>
    </row>
    <row r="56" spans="1:115" x14ac:dyDescent="0.25">
      <c r="A56" s="13"/>
      <c r="B56" s="13"/>
      <c r="C56" s="13"/>
      <c r="D56" s="16"/>
      <c r="E56" s="13"/>
      <c r="F56" s="13"/>
      <c r="G56" s="17" t="s">
        <v>58</v>
      </c>
      <c r="H56" s="14">
        <f>IFERROR(VLOOKUP($G56,'Visu totale'!$D$3:$DH$129,H$1,0),0)</f>
        <v>0</v>
      </c>
      <c r="I56" s="13">
        <f>IFERROR(VLOOKUP($G56,'Visu totale'!$D$3:$DH$129,I$1,0),0)</f>
        <v>0</v>
      </c>
      <c r="J56" s="13">
        <f>IFERROR(VLOOKUP($G56,'Visu totale'!$D$3:$DH$129,J$1,0),0)</f>
        <v>0</v>
      </c>
      <c r="K56" s="13">
        <f>IFERROR(VLOOKUP($G56,'Visu totale'!$D$3:$DH$129,K$1,0),0)</f>
        <v>0</v>
      </c>
      <c r="L56" s="13">
        <f>IFERROR(VLOOKUP($G56,'Visu totale'!$D$3:$DH$129,L$1,0),0)</f>
        <v>0</v>
      </c>
      <c r="M56" s="13">
        <f>IFERROR(VLOOKUP($G56,'Visu totale'!$D$3:$DH$129,M$1,0),0)</f>
        <v>0</v>
      </c>
      <c r="N56" s="13">
        <f>IFERROR(VLOOKUP($G56,'Visu totale'!$D$3:$DH$129,N$1,0),0)</f>
        <v>0</v>
      </c>
      <c r="O56" s="13">
        <f>IFERROR(VLOOKUP($G56,'Visu totale'!$D$3:$DH$129,O$1,0),0)</f>
        <v>0</v>
      </c>
      <c r="P56" s="13">
        <f>IFERROR(VLOOKUP($G56,'Visu totale'!$D$3:$DH$129,P$1,0),0)</f>
        <v>0</v>
      </c>
      <c r="Q56" s="13">
        <f>IFERROR(VLOOKUP($G56,'Visu totale'!$D$3:$DH$129,Q$1,0),0)</f>
        <v>0</v>
      </c>
      <c r="R56" s="13">
        <f>IFERROR(VLOOKUP($G56,'Visu totale'!$D$3:$DH$129,R$1,0),0)</f>
        <v>0</v>
      </c>
      <c r="S56" s="15">
        <f>IFERROR(VLOOKUP($G56,'Visu totale'!$D$3:$DH$129,S$1,0),0)</f>
        <v>0</v>
      </c>
      <c r="T56" s="14">
        <f>IFERROR(VLOOKUP($G56,'Visu totale'!$D$3:$DH$129,T$1,0),0)</f>
        <v>0</v>
      </c>
      <c r="U56" s="13">
        <f>IFERROR(VLOOKUP($G56,'Visu totale'!$D$3:$DH$129,U$1,0),0)</f>
        <v>0</v>
      </c>
      <c r="V56" s="13">
        <f>IFERROR(VLOOKUP($G56,'Visu totale'!$D$3:$DH$129,V$1,0),0)</f>
        <v>0</v>
      </c>
      <c r="W56" s="13">
        <f>IFERROR(VLOOKUP($G56,'Visu totale'!$D$3:$DH$129,W$1,0),0)</f>
        <v>0</v>
      </c>
      <c r="X56" s="13">
        <f>IFERROR(VLOOKUP($G56,'Visu totale'!$D$3:$DH$129,X$1,0),0)</f>
        <v>0</v>
      </c>
      <c r="Y56" s="13">
        <f>IFERROR(VLOOKUP($G56,'Visu totale'!$D$3:$DH$129,Y$1,0),0)</f>
        <v>0</v>
      </c>
      <c r="Z56" s="13">
        <f>IFERROR(VLOOKUP($G56,'Visu totale'!$D$3:$DH$129,Z$1,0),0)</f>
        <v>0</v>
      </c>
      <c r="AA56" s="13">
        <f>IFERROR(VLOOKUP($G56,'Visu totale'!$D$3:$DH$129,AA$1,0),0)</f>
        <v>0</v>
      </c>
      <c r="AB56" s="13">
        <f>IFERROR(VLOOKUP($G56,'Visu totale'!$D$3:$DH$129,AB$1,0),0)</f>
        <v>0</v>
      </c>
      <c r="AC56" s="13">
        <f>IFERROR(VLOOKUP($G56,'Visu totale'!$D$3:$DH$129,AC$1,0),0)</f>
        <v>0</v>
      </c>
      <c r="AD56" s="13">
        <f>IFERROR(VLOOKUP($G56,'Visu totale'!$D$3:$DH$129,AD$1,0),0)</f>
        <v>0</v>
      </c>
      <c r="AE56" s="15">
        <f>IFERROR(VLOOKUP($G56,'Visu totale'!$D$3:$DH$129,AE$1,0),0)</f>
        <v>0</v>
      </c>
      <c r="AF56" s="14">
        <f>IFERROR(VLOOKUP($G56,'Visu totale'!$D$3:$DH$129,AF$1,0),0)</f>
        <v>0</v>
      </c>
      <c r="AG56" s="13">
        <f>IFERROR(VLOOKUP($G56,'Visu totale'!$D$3:$DH$129,AG$1,0),0)</f>
        <v>0</v>
      </c>
      <c r="AH56" s="13">
        <f>IFERROR(VLOOKUP($G56,'Visu totale'!$D$3:$DH$129,AH$1,0),0)</f>
        <v>0</v>
      </c>
      <c r="AI56" s="13">
        <f>IFERROR(VLOOKUP($G56,'Visu totale'!$D$3:$DH$129,AI$1,0),0)</f>
        <v>0</v>
      </c>
      <c r="AJ56" s="13">
        <f>IFERROR(VLOOKUP($G56,'Visu totale'!$D$3:$DH$129,AJ$1,0),0)</f>
        <v>0</v>
      </c>
      <c r="AK56" s="13">
        <f>IFERROR(VLOOKUP($G56,'Visu totale'!$D$3:$DH$129,AK$1,0),0)</f>
        <v>0</v>
      </c>
      <c r="AL56" s="13">
        <f>IFERROR(VLOOKUP($G56,'Visu totale'!$D$3:$DH$129,AL$1,0),0)</f>
        <v>0</v>
      </c>
      <c r="AM56" s="13">
        <f>IFERROR(VLOOKUP($G56,'Visu totale'!$D$3:$DH$129,AM$1,0),0)</f>
        <v>0</v>
      </c>
      <c r="AN56" s="13">
        <f>IFERROR(VLOOKUP($G56,'Visu totale'!$D$3:$DH$129,AN$1,0),0)</f>
        <v>0</v>
      </c>
      <c r="AO56" s="13">
        <f>IFERROR(VLOOKUP($G56,'Visu totale'!$D$3:$DH$129,AO$1,0),0)</f>
        <v>0</v>
      </c>
      <c r="AP56" s="13">
        <f>IFERROR(VLOOKUP($G56,'Visu totale'!$D$3:$DH$129,AP$1,0),0)</f>
        <v>0</v>
      </c>
      <c r="AQ56" s="15">
        <f>IFERROR(VLOOKUP($G56,'Visu totale'!$D$3:$DH$129,AQ$1,0),0)</f>
        <v>0</v>
      </c>
      <c r="AR56" s="14">
        <f>IFERROR(VLOOKUP($G56,'Visu totale'!$D$3:$DH$129,AR$1,0),0)</f>
        <v>0</v>
      </c>
      <c r="AS56" s="13">
        <f>IFERROR(VLOOKUP($G56,'Visu totale'!$D$3:$DH$129,AS$1,0),0)</f>
        <v>0</v>
      </c>
      <c r="AT56" s="13">
        <f>IFERROR(VLOOKUP($G56,'Visu totale'!$D$3:$DH$129,AT$1,0),0)</f>
        <v>0</v>
      </c>
      <c r="AU56" s="13">
        <f>IFERROR(VLOOKUP($G56,'Visu totale'!$D$3:$DH$129,AU$1,0),0)</f>
        <v>0</v>
      </c>
      <c r="AV56" s="13">
        <f>IFERROR(VLOOKUP($G56,'Visu totale'!$D$3:$DH$129,AV$1,0),0)</f>
        <v>0</v>
      </c>
      <c r="AW56" s="13">
        <f>IFERROR(VLOOKUP($G56,'Visu totale'!$D$3:$DH$129,AW$1,0),0)</f>
        <v>0</v>
      </c>
      <c r="AX56" s="13">
        <f>IFERROR(VLOOKUP($G56,'Visu totale'!$D$3:$DH$129,AX$1,0),0)</f>
        <v>0</v>
      </c>
      <c r="AY56" s="13">
        <f>IFERROR(VLOOKUP($G56,'Visu totale'!$D$3:$DH$129,AY$1,0),0)</f>
        <v>0</v>
      </c>
      <c r="AZ56" s="13">
        <f>IFERROR(VLOOKUP($G56,'Visu totale'!$D$3:$DH$129,AZ$1,0),0)</f>
        <v>0</v>
      </c>
      <c r="BA56" s="13">
        <f>IFERROR(VLOOKUP($G56,'Visu totale'!$D$3:$DH$129,BA$1,0),0)</f>
        <v>0</v>
      </c>
      <c r="BB56" s="13">
        <f>IFERROR(VLOOKUP($G56,'Visu totale'!$D$3:$DH$129,BB$1,0),0)</f>
        <v>0</v>
      </c>
      <c r="BC56" s="15">
        <f>IFERROR(VLOOKUP($G56,'Visu totale'!$D$3:$DH$129,BC$1,0),0)</f>
        <v>0</v>
      </c>
      <c r="BD56" s="14">
        <f>IFERROR(VLOOKUP($G56,'Visu totale'!$D$3:$DH$129,BD$1,0),0)</f>
        <v>0</v>
      </c>
      <c r="BE56" s="13">
        <f>IFERROR(VLOOKUP($G56,'Visu totale'!$D$3:$DH$129,BE$1,0),0)</f>
        <v>0</v>
      </c>
      <c r="BF56" s="13">
        <f>IFERROR(VLOOKUP($G56,'Visu totale'!$D$3:$DH$129,BF$1,0),0)</f>
        <v>0</v>
      </c>
      <c r="BG56" s="13">
        <f>IFERROR(VLOOKUP($G56,'Visu totale'!$D$3:$DH$129,BG$1,0),0)</f>
        <v>0</v>
      </c>
      <c r="BH56" s="13">
        <f>IFERROR(VLOOKUP($G56,'Visu totale'!$D$3:$DH$129,BH$1,0),0)</f>
        <v>0</v>
      </c>
      <c r="BI56" s="13">
        <f>IFERROR(VLOOKUP($G56,'Visu totale'!$D$3:$DH$129,BI$1,0),0)</f>
        <v>0</v>
      </c>
      <c r="BJ56" s="13">
        <f>IFERROR(VLOOKUP($G56,'Visu totale'!$D$3:$DH$129,BJ$1,0),0)</f>
        <v>0</v>
      </c>
      <c r="BK56" s="13">
        <f>IFERROR(VLOOKUP($G56,'Visu totale'!$D$3:$DH$129,BK$1,0),0)</f>
        <v>0</v>
      </c>
      <c r="BL56" s="13">
        <f>IFERROR(VLOOKUP($G56,'Visu totale'!$D$3:$DH$129,BL$1,0),0)</f>
        <v>0</v>
      </c>
      <c r="BM56" s="13">
        <f>IFERROR(VLOOKUP($G56,'Visu totale'!$D$3:$DH$129,BM$1,0),0)</f>
        <v>0</v>
      </c>
      <c r="BN56" s="13">
        <f>IFERROR(VLOOKUP($G56,'Visu totale'!$D$3:$DH$129,BN$1,0),0)</f>
        <v>0</v>
      </c>
      <c r="BO56" s="15">
        <f>IFERROR(VLOOKUP($G56,'Visu totale'!$D$3:$DH$129,BO$1,0),0)</f>
        <v>0</v>
      </c>
      <c r="BP56" s="14">
        <f>IFERROR(VLOOKUP($G56,'Visu totale'!$D$3:$DH$129,BP$1,0),0)</f>
        <v>0</v>
      </c>
      <c r="BQ56" s="13">
        <f>IFERROR(VLOOKUP($G56,'Visu totale'!$D$3:$DH$129,BQ$1,0),0)</f>
        <v>0</v>
      </c>
      <c r="BR56" s="13">
        <f>IFERROR(VLOOKUP($G56,'Visu totale'!$D$3:$DH$129,BR$1,0),0)</f>
        <v>0</v>
      </c>
      <c r="BS56" s="13">
        <f>IFERROR(VLOOKUP($G56,'Visu totale'!$D$3:$DH$129,BS$1,0),0)</f>
        <v>0</v>
      </c>
      <c r="BT56" s="13">
        <f>IFERROR(VLOOKUP($G56,'Visu totale'!$D$3:$DH$129,BT$1,0),0)</f>
        <v>0</v>
      </c>
      <c r="BU56" s="13">
        <f>IFERROR(VLOOKUP($G56,'Visu totale'!$D$3:$DH$129,BU$1,0),0)</f>
        <v>0</v>
      </c>
      <c r="BV56" s="13">
        <f>IFERROR(VLOOKUP($G56,'Visu totale'!$D$3:$DH$129,BV$1,0),0)</f>
        <v>0</v>
      </c>
      <c r="BW56" s="13">
        <f>IFERROR(VLOOKUP($G56,'Visu totale'!$D$3:$DH$129,BW$1,0),0)</f>
        <v>0</v>
      </c>
      <c r="BX56" s="13">
        <f>IFERROR(VLOOKUP($G56,'Visu totale'!$D$3:$DH$129,BX$1,0),0)</f>
        <v>0</v>
      </c>
      <c r="BY56" s="13">
        <f>IFERROR(VLOOKUP($G56,'Visu totale'!$D$3:$DH$129,BY$1,0),0)</f>
        <v>0</v>
      </c>
      <c r="BZ56" s="13">
        <f>IFERROR(VLOOKUP($G56,'Visu totale'!$D$3:$DH$129,BZ$1,0),0)</f>
        <v>0</v>
      </c>
      <c r="CA56" s="15">
        <f>IFERROR(VLOOKUP($G56,'Visu totale'!$D$3:$DH$129,CA$1,0),0)</f>
        <v>0</v>
      </c>
      <c r="CB56" s="14">
        <f>IFERROR(VLOOKUP($G56,'Visu totale'!$D$3:$DH$129,CB$1,0),0)</f>
        <v>0</v>
      </c>
      <c r="CC56" s="13">
        <f>IFERROR(VLOOKUP($G56,'Visu totale'!$D$3:$DH$129,CC$1,0),0)</f>
        <v>0</v>
      </c>
      <c r="CD56" s="13">
        <f>IFERROR(VLOOKUP($G56,'Visu totale'!$D$3:$DH$129,CD$1,0),0)</f>
        <v>0</v>
      </c>
      <c r="CE56" s="13">
        <f>IFERROR(VLOOKUP($G56,'Visu totale'!$D$3:$DH$129,CE$1,0),0)</f>
        <v>0</v>
      </c>
      <c r="CF56" s="13">
        <f>IFERROR(VLOOKUP($G56,'Visu totale'!$D$3:$DH$129,CF$1,0),0)</f>
        <v>0</v>
      </c>
      <c r="CG56" s="13">
        <f>IFERROR(VLOOKUP($G56,'Visu totale'!$D$3:$DH$129,CG$1,0),0)</f>
        <v>0</v>
      </c>
      <c r="CH56" s="13">
        <f>IFERROR(VLOOKUP($G56,'Visu totale'!$D$3:$DH$129,CH$1,0),0)</f>
        <v>0</v>
      </c>
      <c r="CI56" s="13">
        <f>IFERROR(VLOOKUP($G56,'Visu totale'!$D$3:$DH$129,CI$1,0),0)</f>
        <v>0</v>
      </c>
      <c r="CJ56" s="13">
        <f>IFERROR(VLOOKUP($G56,'Visu totale'!$D$3:$DH$129,CJ$1,0),0)</f>
        <v>0</v>
      </c>
      <c r="CK56" s="13">
        <f>IFERROR(VLOOKUP($G56,'Visu totale'!$D$3:$DH$129,CK$1,0),0)</f>
        <v>0</v>
      </c>
      <c r="CL56" s="13">
        <f>IFERROR(VLOOKUP($G56,'Visu totale'!$D$3:$DH$129,CL$1,0),0)</f>
        <v>0</v>
      </c>
      <c r="CM56" s="15">
        <f>IFERROR(VLOOKUP($G56,'Visu totale'!$D$3:$DH$129,CM$1,0),0)</f>
        <v>0</v>
      </c>
      <c r="CN56" s="14">
        <f>IFERROR(VLOOKUP($G56,'Visu totale'!$D$3:$DH$129,CN$1,0),0)</f>
        <v>0</v>
      </c>
      <c r="CO56" s="13">
        <f>IFERROR(VLOOKUP($G56,'Visu totale'!$D$3:$DH$129,CO$1,0),0)</f>
        <v>0</v>
      </c>
      <c r="CP56" s="13">
        <f>IFERROR(VLOOKUP($G56,'Visu totale'!$D$3:$DH$129,CP$1,0),0)</f>
        <v>0</v>
      </c>
      <c r="CQ56" s="13">
        <f>IFERROR(VLOOKUP($G56,'Visu totale'!$D$3:$DH$129,CQ$1,0),0)</f>
        <v>0</v>
      </c>
      <c r="CR56" s="13">
        <f>IFERROR(VLOOKUP($G56,'Visu totale'!$D$3:$DH$129,CR$1,0),0)</f>
        <v>0</v>
      </c>
      <c r="CS56" s="13">
        <f>IFERROR(VLOOKUP($G56,'Visu totale'!$D$3:$DH$129,CS$1,0),0)</f>
        <v>0</v>
      </c>
      <c r="CT56" s="13">
        <f>IFERROR(VLOOKUP($G56,'Visu totale'!$D$3:$DH$129,CT$1,0),0)</f>
        <v>0</v>
      </c>
      <c r="CU56" s="13">
        <f>IFERROR(VLOOKUP($G56,'Visu totale'!$D$3:$DH$129,CU$1,0),0)</f>
        <v>0</v>
      </c>
      <c r="CV56" s="13">
        <f>IFERROR(VLOOKUP($G56,'Visu totale'!$D$3:$DH$129,CV$1,0),0)</f>
        <v>0</v>
      </c>
      <c r="CW56" s="13">
        <f>IFERROR(VLOOKUP($G56,'Visu totale'!$D$3:$DH$129,CW$1,0),0)</f>
        <v>0</v>
      </c>
      <c r="CX56" s="13">
        <f>IFERROR(VLOOKUP($G56,'Visu totale'!$D$3:$DH$129,CX$1,0),0)</f>
        <v>0</v>
      </c>
      <c r="CY56" s="15">
        <f>IFERROR(VLOOKUP($G56,'Visu totale'!$D$3:$DH$129,CY$1,0),0)</f>
        <v>0</v>
      </c>
      <c r="CZ56" s="14">
        <f>IFERROR(VLOOKUP($G56,'Visu totale'!$D$3:$DH$129,CZ$1,0),0)</f>
        <v>0</v>
      </c>
      <c r="DA56" s="13">
        <f>IFERROR(VLOOKUP($G56,'Visu totale'!$D$3:$DH$129,DA$1,0),0)</f>
        <v>0</v>
      </c>
      <c r="DB56" s="13">
        <f>IFERROR(VLOOKUP($G56,'Visu totale'!$D$3:$DH$129,DB$1,0),0)</f>
        <v>0</v>
      </c>
      <c r="DC56" s="13">
        <f>IFERROR(VLOOKUP($G56,'Visu totale'!$D$3:$DH$129,DC$1,0),0)</f>
        <v>0</v>
      </c>
      <c r="DD56" s="13">
        <f>IFERROR(VLOOKUP($G56,'Visu totale'!$D$3:$DH$129,DD$1,0),0)</f>
        <v>0</v>
      </c>
      <c r="DE56" s="13">
        <f>IFERROR(VLOOKUP($G56,'Visu totale'!$D$3:$DH$129,DE$1,0),0)</f>
        <v>0</v>
      </c>
      <c r="DF56" s="13">
        <f>IFERROR(VLOOKUP($G56,'Visu totale'!$D$3:$DH$129,DF$1,0),0)</f>
        <v>0</v>
      </c>
      <c r="DG56" s="13">
        <f>IFERROR(VLOOKUP($G56,'Visu totale'!$D$3:$DH$129,DG$1,0),0)</f>
        <v>0</v>
      </c>
      <c r="DH56" s="13">
        <f>IFERROR(VLOOKUP($G56,'Visu totale'!$D$3:$DH$129,DH$1,0),0)</f>
        <v>0</v>
      </c>
      <c r="DI56" s="13">
        <f>IFERROR(VLOOKUP($G56,'Visu totale'!$D$3:$DH$129,DI$1,0),0)</f>
        <v>0</v>
      </c>
      <c r="DJ56" s="13">
        <f>IFERROR(VLOOKUP($G56,'Visu totale'!$D$3:$DH$129,DJ$1,0),0)</f>
        <v>0</v>
      </c>
      <c r="DK56" s="15">
        <f>IFERROR(VLOOKUP($G56,'Visu totale'!$D$3:$DH$129,DK$1,0),0)</f>
        <v>0</v>
      </c>
    </row>
    <row r="57" spans="1:115" x14ac:dyDescent="0.25">
      <c r="A57" s="13"/>
      <c r="B57" s="13"/>
      <c r="C57" s="13"/>
      <c r="D57" s="16"/>
      <c r="E57" s="13"/>
      <c r="F57" s="13"/>
      <c r="G57" s="17" t="s">
        <v>59</v>
      </c>
      <c r="H57" s="14">
        <f>IFERROR(VLOOKUP($G57,'Visu totale'!$D$3:$DH$129,H$1,0),0)</f>
        <v>0</v>
      </c>
      <c r="I57" s="13">
        <f>IFERROR(VLOOKUP($G57,'Visu totale'!$D$3:$DH$129,I$1,0),0)</f>
        <v>0</v>
      </c>
      <c r="J57" s="13">
        <f>IFERROR(VLOOKUP($G57,'Visu totale'!$D$3:$DH$129,J$1,0),0)</f>
        <v>0</v>
      </c>
      <c r="K57" s="13">
        <f>IFERROR(VLOOKUP($G57,'Visu totale'!$D$3:$DH$129,K$1,0),0)</f>
        <v>0</v>
      </c>
      <c r="L57" s="13">
        <f>IFERROR(VLOOKUP($G57,'Visu totale'!$D$3:$DH$129,L$1,0),0)</f>
        <v>0</v>
      </c>
      <c r="M57" s="13">
        <f>IFERROR(VLOOKUP($G57,'Visu totale'!$D$3:$DH$129,M$1,0),0)</f>
        <v>0</v>
      </c>
      <c r="N57" s="13">
        <f>IFERROR(VLOOKUP($G57,'Visu totale'!$D$3:$DH$129,N$1,0),0)</f>
        <v>0</v>
      </c>
      <c r="O57" s="13">
        <f>IFERROR(VLOOKUP($G57,'Visu totale'!$D$3:$DH$129,O$1,0),0)</f>
        <v>0</v>
      </c>
      <c r="P57" s="13">
        <f>IFERROR(VLOOKUP($G57,'Visu totale'!$D$3:$DH$129,P$1,0),0)</f>
        <v>0</v>
      </c>
      <c r="Q57" s="13">
        <f>IFERROR(VLOOKUP($G57,'Visu totale'!$D$3:$DH$129,Q$1,0),0)</f>
        <v>0</v>
      </c>
      <c r="R57" s="13">
        <f>IFERROR(VLOOKUP($G57,'Visu totale'!$D$3:$DH$129,R$1,0),0)</f>
        <v>0</v>
      </c>
      <c r="S57" s="15">
        <f>IFERROR(VLOOKUP($G57,'Visu totale'!$D$3:$DH$129,S$1,0),0)</f>
        <v>0</v>
      </c>
      <c r="T57" s="14">
        <f>IFERROR(VLOOKUP($G57,'Visu totale'!$D$3:$DH$129,T$1,0),0)</f>
        <v>0</v>
      </c>
      <c r="U57" s="13">
        <f>IFERROR(VLOOKUP($G57,'Visu totale'!$D$3:$DH$129,U$1,0),0)</f>
        <v>0</v>
      </c>
      <c r="V57" s="13">
        <f>IFERROR(VLOOKUP($G57,'Visu totale'!$D$3:$DH$129,V$1,0),0)</f>
        <v>0</v>
      </c>
      <c r="W57" s="13">
        <f>IFERROR(VLOOKUP($G57,'Visu totale'!$D$3:$DH$129,W$1,0),0)</f>
        <v>0</v>
      </c>
      <c r="X57" s="13">
        <f>IFERROR(VLOOKUP($G57,'Visu totale'!$D$3:$DH$129,X$1,0),0)</f>
        <v>0</v>
      </c>
      <c r="Y57" s="13">
        <f>IFERROR(VLOOKUP($G57,'Visu totale'!$D$3:$DH$129,Y$1,0),0)</f>
        <v>0</v>
      </c>
      <c r="Z57" s="13">
        <f>IFERROR(VLOOKUP($G57,'Visu totale'!$D$3:$DH$129,Z$1,0),0)</f>
        <v>0</v>
      </c>
      <c r="AA57" s="13">
        <f>IFERROR(VLOOKUP($G57,'Visu totale'!$D$3:$DH$129,AA$1,0),0)</f>
        <v>0</v>
      </c>
      <c r="AB57" s="13">
        <f>IFERROR(VLOOKUP($G57,'Visu totale'!$D$3:$DH$129,AB$1,0),0)</f>
        <v>0</v>
      </c>
      <c r="AC57" s="13">
        <f>IFERROR(VLOOKUP($G57,'Visu totale'!$D$3:$DH$129,AC$1,0),0)</f>
        <v>0</v>
      </c>
      <c r="AD57" s="13">
        <f>IFERROR(VLOOKUP($G57,'Visu totale'!$D$3:$DH$129,AD$1,0),0)</f>
        <v>0</v>
      </c>
      <c r="AE57" s="15">
        <f>IFERROR(VLOOKUP($G57,'Visu totale'!$D$3:$DH$129,AE$1,0),0)</f>
        <v>0</v>
      </c>
      <c r="AF57" s="14">
        <f>IFERROR(VLOOKUP($G57,'Visu totale'!$D$3:$DH$129,AF$1,0),0)</f>
        <v>0</v>
      </c>
      <c r="AG57" s="13">
        <f>IFERROR(VLOOKUP($G57,'Visu totale'!$D$3:$DH$129,AG$1,0),0)</f>
        <v>0</v>
      </c>
      <c r="AH57" s="13">
        <f>IFERROR(VLOOKUP($G57,'Visu totale'!$D$3:$DH$129,AH$1,0),0)</f>
        <v>0</v>
      </c>
      <c r="AI57" s="13">
        <f>IFERROR(VLOOKUP($G57,'Visu totale'!$D$3:$DH$129,AI$1,0),0)</f>
        <v>0</v>
      </c>
      <c r="AJ57" s="13">
        <f>IFERROR(VLOOKUP($G57,'Visu totale'!$D$3:$DH$129,AJ$1,0),0)</f>
        <v>0</v>
      </c>
      <c r="AK57" s="13">
        <f>IFERROR(VLOOKUP($G57,'Visu totale'!$D$3:$DH$129,AK$1,0),0)</f>
        <v>0</v>
      </c>
      <c r="AL57" s="13">
        <f>IFERROR(VLOOKUP($G57,'Visu totale'!$D$3:$DH$129,AL$1,0),0)</f>
        <v>0</v>
      </c>
      <c r="AM57" s="13">
        <f>IFERROR(VLOOKUP($G57,'Visu totale'!$D$3:$DH$129,AM$1,0),0)</f>
        <v>0</v>
      </c>
      <c r="AN57" s="13">
        <f>IFERROR(VLOOKUP($G57,'Visu totale'!$D$3:$DH$129,AN$1,0),0)</f>
        <v>0</v>
      </c>
      <c r="AO57" s="13">
        <f>IFERROR(VLOOKUP($G57,'Visu totale'!$D$3:$DH$129,AO$1,0),0)</f>
        <v>0</v>
      </c>
      <c r="AP57" s="13">
        <f>IFERROR(VLOOKUP($G57,'Visu totale'!$D$3:$DH$129,AP$1,0),0)</f>
        <v>0</v>
      </c>
      <c r="AQ57" s="15">
        <f>IFERROR(VLOOKUP($G57,'Visu totale'!$D$3:$DH$129,AQ$1,0),0)</f>
        <v>0</v>
      </c>
      <c r="AR57" s="14">
        <f>IFERROR(VLOOKUP($G57,'Visu totale'!$D$3:$DH$129,AR$1,0),0)</f>
        <v>0</v>
      </c>
      <c r="AS57" s="13">
        <f>IFERROR(VLOOKUP($G57,'Visu totale'!$D$3:$DH$129,AS$1,0),0)</f>
        <v>0</v>
      </c>
      <c r="AT57" s="13">
        <f>IFERROR(VLOOKUP($G57,'Visu totale'!$D$3:$DH$129,AT$1,0),0)</f>
        <v>0</v>
      </c>
      <c r="AU57" s="13">
        <f>IFERROR(VLOOKUP($G57,'Visu totale'!$D$3:$DH$129,AU$1,0),0)</f>
        <v>0</v>
      </c>
      <c r="AV57" s="13">
        <f>IFERROR(VLOOKUP($G57,'Visu totale'!$D$3:$DH$129,AV$1,0),0)</f>
        <v>0</v>
      </c>
      <c r="AW57" s="13">
        <f>IFERROR(VLOOKUP($G57,'Visu totale'!$D$3:$DH$129,AW$1,0),0)</f>
        <v>0</v>
      </c>
      <c r="AX57" s="13">
        <f>IFERROR(VLOOKUP($G57,'Visu totale'!$D$3:$DH$129,AX$1,0),0)</f>
        <v>0</v>
      </c>
      <c r="AY57" s="13">
        <f>IFERROR(VLOOKUP($G57,'Visu totale'!$D$3:$DH$129,AY$1,0),0)</f>
        <v>0</v>
      </c>
      <c r="AZ57" s="13">
        <f>IFERROR(VLOOKUP($G57,'Visu totale'!$D$3:$DH$129,AZ$1,0),0)</f>
        <v>0</v>
      </c>
      <c r="BA57" s="13">
        <f>IFERROR(VLOOKUP($G57,'Visu totale'!$D$3:$DH$129,BA$1,0),0)</f>
        <v>0</v>
      </c>
      <c r="BB57" s="13">
        <f>IFERROR(VLOOKUP($G57,'Visu totale'!$D$3:$DH$129,BB$1,0),0)</f>
        <v>0</v>
      </c>
      <c r="BC57" s="15">
        <f>IFERROR(VLOOKUP($G57,'Visu totale'!$D$3:$DH$129,BC$1,0),0)</f>
        <v>0</v>
      </c>
      <c r="BD57" s="14">
        <f>IFERROR(VLOOKUP($G57,'Visu totale'!$D$3:$DH$129,BD$1,0),0)</f>
        <v>0</v>
      </c>
      <c r="BE57" s="13">
        <f>IFERROR(VLOOKUP($G57,'Visu totale'!$D$3:$DH$129,BE$1,0),0)</f>
        <v>0</v>
      </c>
      <c r="BF57" s="13">
        <f>IFERROR(VLOOKUP($G57,'Visu totale'!$D$3:$DH$129,BF$1,0),0)</f>
        <v>0</v>
      </c>
      <c r="BG57" s="13">
        <f>IFERROR(VLOOKUP($G57,'Visu totale'!$D$3:$DH$129,BG$1,0),0)</f>
        <v>0</v>
      </c>
      <c r="BH57" s="13">
        <f>IFERROR(VLOOKUP($G57,'Visu totale'!$D$3:$DH$129,BH$1,0),0)</f>
        <v>0</v>
      </c>
      <c r="BI57" s="13">
        <f>IFERROR(VLOOKUP($G57,'Visu totale'!$D$3:$DH$129,BI$1,0),0)</f>
        <v>0</v>
      </c>
      <c r="BJ57" s="13">
        <f>IFERROR(VLOOKUP($G57,'Visu totale'!$D$3:$DH$129,BJ$1,0),0)</f>
        <v>0</v>
      </c>
      <c r="BK57" s="13">
        <f>IFERROR(VLOOKUP($G57,'Visu totale'!$D$3:$DH$129,BK$1,0),0)</f>
        <v>0</v>
      </c>
      <c r="BL57" s="13">
        <f>IFERROR(VLOOKUP($G57,'Visu totale'!$D$3:$DH$129,BL$1,0),0)</f>
        <v>0</v>
      </c>
      <c r="BM57" s="13">
        <f>IFERROR(VLOOKUP($G57,'Visu totale'!$D$3:$DH$129,BM$1,0),0)</f>
        <v>0</v>
      </c>
      <c r="BN57" s="13">
        <f>IFERROR(VLOOKUP($G57,'Visu totale'!$D$3:$DH$129,BN$1,0),0)</f>
        <v>0</v>
      </c>
      <c r="BO57" s="15">
        <f>IFERROR(VLOOKUP($G57,'Visu totale'!$D$3:$DH$129,BO$1,0),0)</f>
        <v>0</v>
      </c>
      <c r="BP57" s="14">
        <f>IFERROR(VLOOKUP($G57,'Visu totale'!$D$3:$DH$129,BP$1,0),0)</f>
        <v>0</v>
      </c>
      <c r="BQ57" s="13">
        <f>IFERROR(VLOOKUP($G57,'Visu totale'!$D$3:$DH$129,BQ$1,0),0)</f>
        <v>0</v>
      </c>
      <c r="BR57" s="13">
        <f>IFERROR(VLOOKUP($G57,'Visu totale'!$D$3:$DH$129,BR$1,0),0)</f>
        <v>0</v>
      </c>
      <c r="BS57" s="13">
        <f>IFERROR(VLOOKUP($G57,'Visu totale'!$D$3:$DH$129,BS$1,0),0)</f>
        <v>0</v>
      </c>
      <c r="BT57" s="13">
        <f>IFERROR(VLOOKUP($G57,'Visu totale'!$D$3:$DH$129,BT$1,0),0)</f>
        <v>0</v>
      </c>
      <c r="BU57" s="13">
        <f>IFERROR(VLOOKUP($G57,'Visu totale'!$D$3:$DH$129,BU$1,0),0)</f>
        <v>0</v>
      </c>
      <c r="BV57" s="13">
        <f>IFERROR(VLOOKUP($G57,'Visu totale'!$D$3:$DH$129,BV$1,0),0)</f>
        <v>0</v>
      </c>
      <c r="BW57" s="13">
        <f>IFERROR(VLOOKUP($G57,'Visu totale'!$D$3:$DH$129,BW$1,0),0)</f>
        <v>0</v>
      </c>
      <c r="BX57" s="13">
        <f>IFERROR(VLOOKUP($G57,'Visu totale'!$D$3:$DH$129,BX$1,0),0)</f>
        <v>0</v>
      </c>
      <c r="BY57" s="13">
        <f>IFERROR(VLOOKUP($G57,'Visu totale'!$D$3:$DH$129,BY$1,0),0)</f>
        <v>0</v>
      </c>
      <c r="BZ57" s="13">
        <f>IFERROR(VLOOKUP($G57,'Visu totale'!$D$3:$DH$129,BZ$1,0),0)</f>
        <v>0</v>
      </c>
      <c r="CA57" s="15">
        <f>IFERROR(VLOOKUP($G57,'Visu totale'!$D$3:$DH$129,CA$1,0),0)</f>
        <v>0</v>
      </c>
      <c r="CB57" s="14">
        <f>IFERROR(VLOOKUP($G57,'Visu totale'!$D$3:$DH$129,CB$1,0),0)</f>
        <v>0</v>
      </c>
      <c r="CC57" s="13">
        <f>IFERROR(VLOOKUP($G57,'Visu totale'!$D$3:$DH$129,CC$1,0),0)</f>
        <v>0</v>
      </c>
      <c r="CD57" s="13">
        <f>IFERROR(VLOOKUP($G57,'Visu totale'!$D$3:$DH$129,CD$1,0),0)</f>
        <v>0</v>
      </c>
      <c r="CE57" s="13">
        <f>IFERROR(VLOOKUP($G57,'Visu totale'!$D$3:$DH$129,CE$1,0),0)</f>
        <v>0</v>
      </c>
      <c r="CF57" s="13">
        <f>IFERROR(VLOOKUP($G57,'Visu totale'!$D$3:$DH$129,CF$1,0),0)</f>
        <v>0</v>
      </c>
      <c r="CG57" s="13">
        <f>IFERROR(VLOOKUP($G57,'Visu totale'!$D$3:$DH$129,CG$1,0),0)</f>
        <v>0</v>
      </c>
      <c r="CH57" s="13">
        <f>IFERROR(VLOOKUP($G57,'Visu totale'!$D$3:$DH$129,CH$1,0),0)</f>
        <v>0</v>
      </c>
      <c r="CI57" s="13">
        <f>IFERROR(VLOOKUP($G57,'Visu totale'!$D$3:$DH$129,CI$1,0),0)</f>
        <v>0</v>
      </c>
      <c r="CJ57" s="13">
        <f>IFERROR(VLOOKUP($G57,'Visu totale'!$D$3:$DH$129,CJ$1,0),0)</f>
        <v>0</v>
      </c>
      <c r="CK57" s="13">
        <f>IFERROR(VLOOKUP($G57,'Visu totale'!$D$3:$DH$129,CK$1,0),0)</f>
        <v>0</v>
      </c>
      <c r="CL57" s="13">
        <f>IFERROR(VLOOKUP($G57,'Visu totale'!$D$3:$DH$129,CL$1,0),0)</f>
        <v>0</v>
      </c>
      <c r="CM57" s="15">
        <f>IFERROR(VLOOKUP($G57,'Visu totale'!$D$3:$DH$129,CM$1,0),0)</f>
        <v>0</v>
      </c>
      <c r="CN57" s="14">
        <f>IFERROR(VLOOKUP($G57,'Visu totale'!$D$3:$DH$129,CN$1,0),0)</f>
        <v>0</v>
      </c>
      <c r="CO57" s="13">
        <f>IFERROR(VLOOKUP($G57,'Visu totale'!$D$3:$DH$129,CO$1,0),0)</f>
        <v>0</v>
      </c>
      <c r="CP57" s="13">
        <f>IFERROR(VLOOKUP($G57,'Visu totale'!$D$3:$DH$129,CP$1,0),0)</f>
        <v>0</v>
      </c>
      <c r="CQ57" s="13">
        <f>IFERROR(VLOOKUP($G57,'Visu totale'!$D$3:$DH$129,CQ$1,0),0)</f>
        <v>0</v>
      </c>
      <c r="CR57" s="13">
        <f>IFERROR(VLOOKUP($G57,'Visu totale'!$D$3:$DH$129,CR$1,0),0)</f>
        <v>0</v>
      </c>
      <c r="CS57" s="13">
        <f>IFERROR(VLOOKUP($G57,'Visu totale'!$D$3:$DH$129,CS$1,0),0)</f>
        <v>0</v>
      </c>
      <c r="CT57" s="13">
        <f>IFERROR(VLOOKUP($G57,'Visu totale'!$D$3:$DH$129,CT$1,0),0)</f>
        <v>0</v>
      </c>
      <c r="CU57" s="13">
        <f>IFERROR(VLOOKUP($G57,'Visu totale'!$D$3:$DH$129,CU$1,0),0)</f>
        <v>0</v>
      </c>
      <c r="CV57" s="13">
        <f>IFERROR(VLOOKUP($G57,'Visu totale'!$D$3:$DH$129,CV$1,0),0)</f>
        <v>0</v>
      </c>
      <c r="CW57" s="13">
        <f>IFERROR(VLOOKUP($G57,'Visu totale'!$D$3:$DH$129,CW$1,0),0)</f>
        <v>0</v>
      </c>
      <c r="CX57" s="13">
        <f>IFERROR(VLOOKUP($G57,'Visu totale'!$D$3:$DH$129,CX$1,0),0)</f>
        <v>0</v>
      </c>
      <c r="CY57" s="15">
        <f>IFERROR(VLOOKUP($G57,'Visu totale'!$D$3:$DH$129,CY$1,0),0)</f>
        <v>0</v>
      </c>
      <c r="CZ57" s="14">
        <f>IFERROR(VLOOKUP($G57,'Visu totale'!$D$3:$DH$129,CZ$1,0),0)</f>
        <v>0</v>
      </c>
      <c r="DA57" s="13">
        <f>IFERROR(VLOOKUP($G57,'Visu totale'!$D$3:$DH$129,DA$1,0),0)</f>
        <v>0</v>
      </c>
      <c r="DB57" s="13">
        <f>IFERROR(VLOOKUP($G57,'Visu totale'!$D$3:$DH$129,DB$1,0),0)</f>
        <v>0</v>
      </c>
      <c r="DC57" s="13">
        <f>IFERROR(VLOOKUP($G57,'Visu totale'!$D$3:$DH$129,DC$1,0),0)</f>
        <v>0</v>
      </c>
      <c r="DD57" s="13">
        <f>IFERROR(VLOOKUP($G57,'Visu totale'!$D$3:$DH$129,DD$1,0),0)</f>
        <v>0</v>
      </c>
      <c r="DE57" s="13">
        <f>IFERROR(VLOOKUP($G57,'Visu totale'!$D$3:$DH$129,DE$1,0),0)</f>
        <v>0</v>
      </c>
      <c r="DF57" s="13">
        <f>IFERROR(VLOOKUP($G57,'Visu totale'!$D$3:$DH$129,DF$1,0),0)</f>
        <v>0</v>
      </c>
      <c r="DG57" s="13">
        <f>IFERROR(VLOOKUP($G57,'Visu totale'!$D$3:$DH$129,DG$1,0),0)</f>
        <v>0</v>
      </c>
      <c r="DH57" s="13">
        <f>IFERROR(VLOOKUP($G57,'Visu totale'!$D$3:$DH$129,DH$1,0),0)</f>
        <v>0</v>
      </c>
      <c r="DI57" s="13">
        <f>IFERROR(VLOOKUP($G57,'Visu totale'!$D$3:$DH$129,DI$1,0),0)</f>
        <v>0</v>
      </c>
      <c r="DJ57" s="13">
        <f>IFERROR(VLOOKUP($G57,'Visu totale'!$D$3:$DH$129,DJ$1,0),0)</f>
        <v>0</v>
      </c>
      <c r="DK57" s="15">
        <f>IFERROR(VLOOKUP($G57,'Visu totale'!$D$3:$DH$129,DK$1,0),0)</f>
        <v>0</v>
      </c>
    </row>
    <row r="58" spans="1:115" x14ac:dyDescent="0.25">
      <c r="A58" s="13"/>
      <c r="B58" s="13"/>
      <c r="C58" s="13"/>
      <c r="D58" s="16"/>
      <c r="E58" s="13"/>
      <c r="F58" s="13"/>
      <c r="G58" s="17" t="s">
        <v>60</v>
      </c>
      <c r="H58" s="14">
        <f>IFERROR(VLOOKUP($G58,'Visu totale'!$D$3:$DH$129,H$1,0),0)</f>
        <v>0</v>
      </c>
      <c r="I58" s="13">
        <f>IFERROR(VLOOKUP($G58,'Visu totale'!$D$3:$DH$129,I$1,0),0)</f>
        <v>0</v>
      </c>
      <c r="J58" s="13">
        <f>IFERROR(VLOOKUP($G58,'Visu totale'!$D$3:$DH$129,J$1,0),0)</f>
        <v>0</v>
      </c>
      <c r="K58" s="13">
        <f>IFERROR(VLOOKUP($G58,'Visu totale'!$D$3:$DH$129,K$1,0),0)</f>
        <v>0</v>
      </c>
      <c r="L58" s="13">
        <f>IFERROR(VLOOKUP($G58,'Visu totale'!$D$3:$DH$129,L$1,0),0)</f>
        <v>0</v>
      </c>
      <c r="M58" s="13">
        <f>IFERROR(VLOOKUP($G58,'Visu totale'!$D$3:$DH$129,M$1,0),0)</f>
        <v>0</v>
      </c>
      <c r="N58" s="13">
        <f>IFERROR(VLOOKUP($G58,'Visu totale'!$D$3:$DH$129,N$1,0),0)</f>
        <v>0</v>
      </c>
      <c r="O58" s="13">
        <f>IFERROR(VLOOKUP($G58,'Visu totale'!$D$3:$DH$129,O$1,0),0)</f>
        <v>0</v>
      </c>
      <c r="P58" s="13">
        <f>IFERROR(VLOOKUP($G58,'Visu totale'!$D$3:$DH$129,P$1,0),0)</f>
        <v>0</v>
      </c>
      <c r="Q58" s="13">
        <f>IFERROR(VLOOKUP($G58,'Visu totale'!$D$3:$DH$129,Q$1,0),0)</f>
        <v>0</v>
      </c>
      <c r="R58" s="13">
        <f>IFERROR(VLOOKUP($G58,'Visu totale'!$D$3:$DH$129,R$1,0),0)</f>
        <v>0</v>
      </c>
      <c r="S58" s="15">
        <f>IFERROR(VLOOKUP($G58,'Visu totale'!$D$3:$DH$129,S$1,0),0)</f>
        <v>0</v>
      </c>
      <c r="T58" s="14">
        <f>IFERROR(VLOOKUP($G58,'Visu totale'!$D$3:$DH$129,T$1,0),0)</f>
        <v>0</v>
      </c>
      <c r="U58" s="13">
        <f>IFERROR(VLOOKUP($G58,'Visu totale'!$D$3:$DH$129,U$1,0),0)</f>
        <v>0</v>
      </c>
      <c r="V58" s="13">
        <f>IFERROR(VLOOKUP($G58,'Visu totale'!$D$3:$DH$129,V$1,0),0)</f>
        <v>0</v>
      </c>
      <c r="W58" s="13">
        <f>IFERROR(VLOOKUP($G58,'Visu totale'!$D$3:$DH$129,W$1,0),0)</f>
        <v>0</v>
      </c>
      <c r="X58" s="13">
        <f>IFERROR(VLOOKUP($G58,'Visu totale'!$D$3:$DH$129,X$1,0),0)</f>
        <v>0</v>
      </c>
      <c r="Y58" s="13">
        <f>IFERROR(VLOOKUP($G58,'Visu totale'!$D$3:$DH$129,Y$1,0),0)</f>
        <v>0</v>
      </c>
      <c r="Z58" s="13">
        <f>IFERROR(VLOOKUP($G58,'Visu totale'!$D$3:$DH$129,Z$1,0),0)</f>
        <v>0</v>
      </c>
      <c r="AA58" s="13">
        <f>IFERROR(VLOOKUP($G58,'Visu totale'!$D$3:$DH$129,AA$1,0),0)</f>
        <v>0</v>
      </c>
      <c r="AB58" s="13">
        <f>IFERROR(VLOOKUP($G58,'Visu totale'!$D$3:$DH$129,AB$1,0),0)</f>
        <v>0</v>
      </c>
      <c r="AC58" s="13">
        <f>IFERROR(VLOOKUP($G58,'Visu totale'!$D$3:$DH$129,AC$1,0),0)</f>
        <v>0</v>
      </c>
      <c r="AD58" s="13">
        <f>IFERROR(VLOOKUP($G58,'Visu totale'!$D$3:$DH$129,AD$1,0),0)</f>
        <v>0</v>
      </c>
      <c r="AE58" s="15">
        <f>IFERROR(VLOOKUP($G58,'Visu totale'!$D$3:$DH$129,AE$1,0),0)</f>
        <v>0</v>
      </c>
      <c r="AF58" s="14">
        <f>IFERROR(VLOOKUP($G58,'Visu totale'!$D$3:$DH$129,AF$1,0),0)</f>
        <v>0</v>
      </c>
      <c r="AG58" s="13">
        <f>IFERROR(VLOOKUP($G58,'Visu totale'!$D$3:$DH$129,AG$1,0),0)</f>
        <v>0</v>
      </c>
      <c r="AH58" s="13">
        <f>IFERROR(VLOOKUP($G58,'Visu totale'!$D$3:$DH$129,AH$1,0),0)</f>
        <v>0</v>
      </c>
      <c r="AI58" s="13">
        <f>IFERROR(VLOOKUP($G58,'Visu totale'!$D$3:$DH$129,AI$1,0),0)</f>
        <v>0</v>
      </c>
      <c r="AJ58" s="13">
        <f>IFERROR(VLOOKUP($G58,'Visu totale'!$D$3:$DH$129,AJ$1,0),0)</f>
        <v>0</v>
      </c>
      <c r="AK58" s="13">
        <f>IFERROR(VLOOKUP($G58,'Visu totale'!$D$3:$DH$129,AK$1,0),0)</f>
        <v>0</v>
      </c>
      <c r="AL58" s="13">
        <f>IFERROR(VLOOKUP($G58,'Visu totale'!$D$3:$DH$129,AL$1,0),0)</f>
        <v>0</v>
      </c>
      <c r="AM58" s="13">
        <f>IFERROR(VLOOKUP($G58,'Visu totale'!$D$3:$DH$129,AM$1,0),0)</f>
        <v>0</v>
      </c>
      <c r="AN58" s="13">
        <f>IFERROR(VLOOKUP($G58,'Visu totale'!$D$3:$DH$129,AN$1,0),0)</f>
        <v>0</v>
      </c>
      <c r="AO58" s="13">
        <f>IFERROR(VLOOKUP($G58,'Visu totale'!$D$3:$DH$129,AO$1,0),0)</f>
        <v>0</v>
      </c>
      <c r="AP58" s="13">
        <f>IFERROR(VLOOKUP($G58,'Visu totale'!$D$3:$DH$129,AP$1,0),0)</f>
        <v>0</v>
      </c>
      <c r="AQ58" s="15">
        <f>IFERROR(VLOOKUP($G58,'Visu totale'!$D$3:$DH$129,AQ$1,0),0)</f>
        <v>0</v>
      </c>
      <c r="AR58" s="14">
        <f>IFERROR(VLOOKUP($G58,'Visu totale'!$D$3:$DH$129,AR$1,0),0)</f>
        <v>0</v>
      </c>
      <c r="AS58" s="13">
        <f>IFERROR(VLOOKUP($G58,'Visu totale'!$D$3:$DH$129,AS$1,0),0)</f>
        <v>0</v>
      </c>
      <c r="AT58" s="13">
        <f>IFERROR(VLOOKUP($G58,'Visu totale'!$D$3:$DH$129,AT$1,0),0)</f>
        <v>0</v>
      </c>
      <c r="AU58" s="13">
        <f>IFERROR(VLOOKUP($G58,'Visu totale'!$D$3:$DH$129,AU$1,0),0)</f>
        <v>0</v>
      </c>
      <c r="AV58" s="13">
        <f>IFERROR(VLOOKUP($G58,'Visu totale'!$D$3:$DH$129,AV$1,0),0)</f>
        <v>0</v>
      </c>
      <c r="AW58" s="13">
        <f>IFERROR(VLOOKUP($G58,'Visu totale'!$D$3:$DH$129,AW$1,0),0)</f>
        <v>0</v>
      </c>
      <c r="AX58" s="13">
        <f>IFERROR(VLOOKUP($G58,'Visu totale'!$D$3:$DH$129,AX$1,0),0)</f>
        <v>0</v>
      </c>
      <c r="AY58" s="13">
        <f>IFERROR(VLOOKUP($G58,'Visu totale'!$D$3:$DH$129,AY$1,0),0)</f>
        <v>0</v>
      </c>
      <c r="AZ58" s="13">
        <f>IFERROR(VLOOKUP($G58,'Visu totale'!$D$3:$DH$129,AZ$1,0),0)</f>
        <v>0</v>
      </c>
      <c r="BA58" s="13">
        <f>IFERROR(VLOOKUP($G58,'Visu totale'!$D$3:$DH$129,BA$1,0),0)</f>
        <v>0</v>
      </c>
      <c r="BB58" s="13">
        <f>IFERROR(VLOOKUP($G58,'Visu totale'!$D$3:$DH$129,BB$1,0),0)</f>
        <v>0</v>
      </c>
      <c r="BC58" s="15">
        <f>IFERROR(VLOOKUP($G58,'Visu totale'!$D$3:$DH$129,BC$1,0),0)</f>
        <v>0</v>
      </c>
      <c r="BD58" s="14">
        <f>IFERROR(VLOOKUP($G58,'Visu totale'!$D$3:$DH$129,BD$1,0),0)</f>
        <v>0</v>
      </c>
      <c r="BE58" s="13">
        <f>IFERROR(VLOOKUP($G58,'Visu totale'!$D$3:$DH$129,BE$1,0),0)</f>
        <v>0</v>
      </c>
      <c r="BF58" s="13">
        <f>IFERROR(VLOOKUP($G58,'Visu totale'!$D$3:$DH$129,BF$1,0),0)</f>
        <v>0</v>
      </c>
      <c r="BG58" s="13">
        <f>IFERROR(VLOOKUP($G58,'Visu totale'!$D$3:$DH$129,BG$1,0),0)</f>
        <v>0</v>
      </c>
      <c r="BH58" s="13">
        <f>IFERROR(VLOOKUP($G58,'Visu totale'!$D$3:$DH$129,BH$1,0),0)</f>
        <v>0</v>
      </c>
      <c r="BI58" s="13">
        <f>IFERROR(VLOOKUP($G58,'Visu totale'!$D$3:$DH$129,BI$1,0),0)</f>
        <v>0</v>
      </c>
      <c r="BJ58" s="13">
        <f>IFERROR(VLOOKUP($G58,'Visu totale'!$D$3:$DH$129,BJ$1,0),0)</f>
        <v>0</v>
      </c>
      <c r="BK58" s="13">
        <f>IFERROR(VLOOKUP($G58,'Visu totale'!$D$3:$DH$129,BK$1,0),0)</f>
        <v>0</v>
      </c>
      <c r="BL58" s="13">
        <f>IFERROR(VLOOKUP($G58,'Visu totale'!$D$3:$DH$129,BL$1,0),0)</f>
        <v>0</v>
      </c>
      <c r="BM58" s="13">
        <f>IFERROR(VLOOKUP($G58,'Visu totale'!$D$3:$DH$129,BM$1,0),0)</f>
        <v>0</v>
      </c>
      <c r="BN58" s="13">
        <f>IFERROR(VLOOKUP($G58,'Visu totale'!$D$3:$DH$129,BN$1,0),0)</f>
        <v>0</v>
      </c>
      <c r="BO58" s="15">
        <f>IFERROR(VLOOKUP($G58,'Visu totale'!$D$3:$DH$129,BO$1,0),0)</f>
        <v>0</v>
      </c>
      <c r="BP58" s="14">
        <f>IFERROR(VLOOKUP($G58,'Visu totale'!$D$3:$DH$129,BP$1,0),0)</f>
        <v>0</v>
      </c>
      <c r="BQ58" s="13">
        <f>IFERROR(VLOOKUP($G58,'Visu totale'!$D$3:$DH$129,BQ$1,0),0)</f>
        <v>0</v>
      </c>
      <c r="BR58" s="13">
        <f>IFERROR(VLOOKUP($G58,'Visu totale'!$D$3:$DH$129,BR$1,0),0)</f>
        <v>0</v>
      </c>
      <c r="BS58" s="13">
        <f>IFERROR(VLOOKUP($G58,'Visu totale'!$D$3:$DH$129,BS$1,0),0)</f>
        <v>0</v>
      </c>
      <c r="BT58" s="13">
        <f>IFERROR(VLOOKUP($G58,'Visu totale'!$D$3:$DH$129,BT$1,0),0)</f>
        <v>0</v>
      </c>
      <c r="BU58" s="13">
        <f>IFERROR(VLOOKUP($G58,'Visu totale'!$D$3:$DH$129,BU$1,0),0)</f>
        <v>0</v>
      </c>
      <c r="BV58" s="13">
        <f>IFERROR(VLOOKUP($G58,'Visu totale'!$D$3:$DH$129,BV$1,0),0)</f>
        <v>0</v>
      </c>
      <c r="BW58" s="13">
        <f>IFERROR(VLOOKUP($G58,'Visu totale'!$D$3:$DH$129,BW$1,0),0)</f>
        <v>0</v>
      </c>
      <c r="BX58" s="13">
        <f>IFERROR(VLOOKUP($G58,'Visu totale'!$D$3:$DH$129,BX$1,0),0)</f>
        <v>0</v>
      </c>
      <c r="BY58" s="13">
        <f>IFERROR(VLOOKUP($G58,'Visu totale'!$D$3:$DH$129,BY$1,0),0)</f>
        <v>0</v>
      </c>
      <c r="BZ58" s="13">
        <f>IFERROR(VLOOKUP($G58,'Visu totale'!$D$3:$DH$129,BZ$1,0),0)</f>
        <v>0</v>
      </c>
      <c r="CA58" s="15">
        <f>IFERROR(VLOOKUP($G58,'Visu totale'!$D$3:$DH$129,CA$1,0),0)</f>
        <v>0</v>
      </c>
      <c r="CB58" s="14">
        <f>IFERROR(VLOOKUP($G58,'Visu totale'!$D$3:$DH$129,CB$1,0),0)</f>
        <v>0</v>
      </c>
      <c r="CC58" s="13">
        <f>IFERROR(VLOOKUP($G58,'Visu totale'!$D$3:$DH$129,CC$1,0),0)</f>
        <v>0</v>
      </c>
      <c r="CD58" s="13">
        <f>IFERROR(VLOOKUP($G58,'Visu totale'!$D$3:$DH$129,CD$1,0),0)</f>
        <v>0</v>
      </c>
      <c r="CE58" s="13">
        <f>IFERROR(VLOOKUP($G58,'Visu totale'!$D$3:$DH$129,CE$1,0),0)</f>
        <v>0</v>
      </c>
      <c r="CF58" s="13">
        <f>IFERROR(VLOOKUP($G58,'Visu totale'!$D$3:$DH$129,CF$1,0),0)</f>
        <v>0</v>
      </c>
      <c r="CG58" s="13">
        <f>IFERROR(VLOOKUP($G58,'Visu totale'!$D$3:$DH$129,CG$1,0),0)</f>
        <v>0</v>
      </c>
      <c r="CH58" s="13">
        <f>IFERROR(VLOOKUP($G58,'Visu totale'!$D$3:$DH$129,CH$1,0),0)</f>
        <v>0</v>
      </c>
      <c r="CI58" s="13">
        <f>IFERROR(VLOOKUP($G58,'Visu totale'!$D$3:$DH$129,CI$1,0),0)</f>
        <v>0</v>
      </c>
      <c r="CJ58" s="13">
        <f>IFERROR(VLOOKUP($G58,'Visu totale'!$D$3:$DH$129,CJ$1,0),0)</f>
        <v>0</v>
      </c>
      <c r="CK58" s="13">
        <f>IFERROR(VLOOKUP($G58,'Visu totale'!$D$3:$DH$129,CK$1,0),0)</f>
        <v>0</v>
      </c>
      <c r="CL58" s="13">
        <f>IFERROR(VLOOKUP($G58,'Visu totale'!$D$3:$DH$129,CL$1,0),0)</f>
        <v>0</v>
      </c>
      <c r="CM58" s="15">
        <f>IFERROR(VLOOKUP($G58,'Visu totale'!$D$3:$DH$129,CM$1,0),0)</f>
        <v>0</v>
      </c>
      <c r="CN58" s="14">
        <f>IFERROR(VLOOKUP($G58,'Visu totale'!$D$3:$DH$129,CN$1,0),0)</f>
        <v>0</v>
      </c>
      <c r="CO58" s="13">
        <f>IFERROR(VLOOKUP($G58,'Visu totale'!$D$3:$DH$129,CO$1,0),0)</f>
        <v>0</v>
      </c>
      <c r="CP58" s="13">
        <f>IFERROR(VLOOKUP($G58,'Visu totale'!$D$3:$DH$129,CP$1,0),0)</f>
        <v>0</v>
      </c>
      <c r="CQ58" s="13">
        <f>IFERROR(VLOOKUP($G58,'Visu totale'!$D$3:$DH$129,CQ$1,0),0)</f>
        <v>0</v>
      </c>
      <c r="CR58" s="13">
        <f>IFERROR(VLOOKUP($G58,'Visu totale'!$D$3:$DH$129,CR$1,0),0)</f>
        <v>0</v>
      </c>
      <c r="CS58" s="13">
        <f>IFERROR(VLOOKUP($G58,'Visu totale'!$D$3:$DH$129,CS$1,0),0)</f>
        <v>0</v>
      </c>
      <c r="CT58" s="13">
        <f>IFERROR(VLOOKUP($G58,'Visu totale'!$D$3:$DH$129,CT$1,0),0)</f>
        <v>0</v>
      </c>
      <c r="CU58" s="13">
        <f>IFERROR(VLOOKUP($G58,'Visu totale'!$D$3:$DH$129,CU$1,0),0)</f>
        <v>0</v>
      </c>
      <c r="CV58" s="13">
        <f>IFERROR(VLOOKUP($G58,'Visu totale'!$D$3:$DH$129,CV$1,0),0)</f>
        <v>0</v>
      </c>
      <c r="CW58" s="13">
        <f>IFERROR(VLOOKUP($G58,'Visu totale'!$D$3:$DH$129,CW$1,0),0)</f>
        <v>0</v>
      </c>
      <c r="CX58" s="13">
        <f>IFERROR(VLOOKUP($G58,'Visu totale'!$D$3:$DH$129,CX$1,0),0)</f>
        <v>0</v>
      </c>
      <c r="CY58" s="15">
        <f>IFERROR(VLOOKUP($G58,'Visu totale'!$D$3:$DH$129,CY$1,0),0)</f>
        <v>0</v>
      </c>
      <c r="CZ58" s="14">
        <f>IFERROR(VLOOKUP($G58,'Visu totale'!$D$3:$DH$129,CZ$1,0),0)</f>
        <v>0</v>
      </c>
      <c r="DA58" s="13">
        <f>IFERROR(VLOOKUP($G58,'Visu totale'!$D$3:$DH$129,DA$1,0),0)</f>
        <v>0</v>
      </c>
      <c r="DB58" s="13">
        <f>IFERROR(VLOOKUP($G58,'Visu totale'!$D$3:$DH$129,DB$1,0),0)</f>
        <v>0</v>
      </c>
      <c r="DC58" s="13">
        <f>IFERROR(VLOOKUP($G58,'Visu totale'!$D$3:$DH$129,DC$1,0),0)</f>
        <v>0</v>
      </c>
      <c r="DD58" s="13">
        <f>IFERROR(VLOOKUP($G58,'Visu totale'!$D$3:$DH$129,DD$1,0),0)</f>
        <v>0</v>
      </c>
      <c r="DE58" s="13">
        <f>IFERROR(VLOOKUP($G58,'Visu totale'!$D$3:$DH$129,DE$1,0),0)</f>
        <v>0</v>
      </c>
      <c r="DF58" s="13">
        <f>IFERROR(VLOOKUP($G58,'Visu totale'!$D$3:$DH$129,DF$1,0),0)</f>
        <v>0</v>
      </c>
      <c r="DG58" s="13">
        <f>IFERROR(VLOOKUP($G58,'Visu totale'!$D$3:$DH$129,DG$1,0),0)</f>
        <v>0</v>
      </c>
      <c r="DH58" s="13">
        <f>IFERROR(VLOOKUP($G58,'Visu totale'!$D$3:$DH$129,DH$1,0),0)</f>
        <v>0</v>
      </c>
      <c r="DI58" s="13">
        <f>IFERROR(VLOOKUP($G58,'Visu totale'!$D$3:$DH$129,DI$1,0),0)</f>
        <v>0</v>
      </c>
      <c r="DJ58" s="13">
        <f>IFERROR(VLOOKUP($G58,'Visu totale'!$D$3:$DH$129,DJ$1,0),0)</f>
        <v>0</v>
      </c>
      <c r="DK58" s="15">
        <f>IFERROR(VLOOKUP($G58,'Visu totale'!$D$3:$DH$129,DK$1,0),0)</f>
        <v>0</v>
      </c>
    </row>
    <row r="59" spans="1:115" x14ac:dyDescent="0.25">
      <c r="A59" s="13"/>
      <c r="B59" s="13"/>
      <c r="C59" s="13"/>
      <c r="D59" s="16"/>
      <c r="E59" s="13"/>
      <c r="F59" s="13"/>
      <c r="G59" s="17" t="s">
        <v>61</v>
      </c>
      <c r="H59" s="14">
        <f>IFERROR(VLOOKUP($G59,'Visu totale'!$D$3:$DH$129,H$1,0),0)</f>
        <v>0</v>
      </c>
      <c r="I59" s="13">
        <f>IFERROR(VLOOKUP($G59,'Visu totale'!$D$3:$DH$129,I$1,0),0)</f>
        <v>0</v>
      </c>
      <c r="J59" s="13">
        <f>IFERROR(VLOOKUP($G59,'Visu totale'!$D$3:$DH$129,J$1,0),0)</f>
        <v>0</v>
      </c>
      <c r="K59" s="13">
        <f>IFERROR(VLOOKUP($G59,'Visu totale'!$D$3:$DH$129,K$1,0),0)</f>
        <v>0</v>
      </c>
      <c r="L59" s="13">
        <f>IFERROR(VLOOKUP($G59,'Visu totale'!$D$3:$DH$129,L$1,0),0)</f>
        <v>0</v>
      </c>
      <c r="M59" s="13">
        <f>IFERROR(VLOOKUP($G59,'Visu totale'!$D$3:$DH$129,M$1,0),0)</f>
        <v>0</v>
      </c>
      <c r="N59" s="13">
        <f>IFERROR(VLOOKUP($G59,'Visu totale'!$D$3:$DH$129,N$1,0),0)</f>
        <v>0</v>
      </c>
      <c r="O59" s="13">
        <f>IFERROR(VLOOKUP($G59,'Visu totale'!$D$3:$DH$129,O$1,0),0)</f>
        <v>0</v>
      </c>
      <c r="P59" s="13">
        <f>IFERROR(VLOOKUP($G59,'Visu totale'!$D$3:$DH$129,P$1,0),0)</f>
        <v>0</v>
      </c>
      <c r="Q59" s="13">
        <f>IFERROR(VLOOKUP($G59,'Visu totale'!$D$3:$DH$129,Q$1,0),0)</f>
        <v>0</v>
      </c>
      <c r="R59" s="13">
        <f>IFERROR(VLOOKUP($G59,'Visu totale'!$D$3:$DH$129,R$1,0),0)</f>
        <v>0</v>
      </c>
      <c r="S59" s="15">
        <f>IFERROR(VLOOKUP($G59,'Visu totale'!$D$3:$DH$129,S$1,0),0)</f>
        <v>0</v>
      </c>
      <c r="T59" s="14">
        <f>IFERROR(VLOOKUP($G59,'Visu totale'!$D$3:$DH$129,T$1,0),0)</f>
        <v>0</v>
      </c>
      <c r="U59" s="13">
        <f>IFERROR(VLOOKUP($G59,'Visu totale'!$D$3:$DH$129,U$1,0),0)</f>
        <v>0</v>
      </c>
      <c r="V59" s="13">
        <f>IFERROR(VLOOKUP($G59,'Visu totale'!$D$3:$DH$129,V$1,0),0)</f>
        <v>0</v>
      </c>
      <c r="W59" s="13">
        <f>IFERROR(VLOOKUP($G59,'Visu totale'!$D$3:$DH$129,W$1,0),0)</f>
        <v>0</v>
      </c>
      <c r="X59" s="13">
        <f>IFERROR(VLOOKUP($G59,'Visu totale'!$D$3:$DH$129,X$1,0),0)</f>
        <v>0</v>
      </c>
      <c r="Y59" s="13">
        <f>IFERROR(VLOOKUP($G59,'Visu totale'!$D$3:$DH$129,Y$1,0),0)</f>
        <v>0</v>
      </c>
      <c r="Z59" s="13">
        <f>IFERROR(VLOOKUP($G59,'Visu totale'!$D$3:$DH$129,Z$1,0),0)</f>
        <v>0</v>
      </c>
      <c r="AA59" s="13">
        <f>IFERROR(VLOOKUP($G59,'Visu totale'!$D$3:$DH$129,AA$1,0),0)</f>
        <v>0</v>
      </c>
      <c r="AB59" s="13">
        <f>IFERROR(VLOOKUP($G59,'Visu totale'!$D$3:$DH$129,AB$1,0),0)</f>
        <v>0</v>
      </c>
      <c r="AC59" s="13">
        <f>IFERROR(VLOOKUP($G59,'Visu totale'!$D$3:$DH$129,AC$1,0),0)</f>
        <v>0</v>
      </c>
      <c r="AD59" s="13">
        <f>IFERROR(VLOOKUP($G59,'Visu totale'!$D$3:$DH$129,AD$1,0),0)</f>
        <v>0</v>
      </c>
      <c r="AE59" s="15">
        <f>IFERROR(VLOOKUP($G59,'Visu totale'!$D$3:$DH$129,AE$1,0),0)</f>
        <v>0</v>
      </c>
      <c r="AF59" s="14">
        <f>IFERROR(VLOOKUP($G59,'Visu totale'!$D$3:$DH$129,AF$1,0),0)</f>
        <v>0</v>
      </c>
      <c r="AG59" s="13">
        <f>IFERROR(VLOOKUP($G59,'Visu totale'!$D$3:$DH$129,AG$1,0),0)</f>
        <v>0</v>
      </c>
      <c r="AH59" s="13">
        <f>IFERROR(VLOOKUP($G59,'Visu totale'!$D$3:$DH$129,AH$1,0),0)</f>
        <v>0</v>
      </c>
      <c r="AI59" s="13">
        <f>IFERROR(VLOOKUP($G59,'Visu totale'!$D$3:$DH$129,AI$1,0),0)</f>
        <v>0</v>
      </c>
      <c r="AJ59" s="13">
        <f>IFERROR(VLOOKUP($G59,'Visu totale'!$D$3:$DH$129,AJ$1,0),0)</f>
        <v>0</v>
      </c>
      <c r="AK59" s="13">
        <f>IFERROR(VLOOKUP($G59,'Visu totale'!$D$3:$DH$129,AK$1,0),0)</f>
        <v>0</v>
      </c>
      <c r="AL59" s="13">
        <f>IFERROR(VLOOKUP($G59,'Visu totale'!$D$3:$DH$129,AL$1,0),0)</f>
        <v>0</v>
      </c>
      <c r="AM59" s="13">
        <f>IFERROR(VLOOKUP($G59,'Visu totale'!$D$3:$DH$129,AM$1,0),0)</f>
        <v>0</v>
      </c>
      <c r="AN59" s="13">
        <f>IFERROR(VLOOKUP($G59,'Visu totale'!$D$3:$DH$129,AN$1,0),0)</f>
        <v>0</v>
      </c>
      <c r="AO59" s="13">
        <f>IFERROR(VLOOKUP($G59,'Visu totale'!$D$3:$DH$129,AO$1,0),0)</f>
        <v>0</v>
      </c>
      <c r="AP59" s="13">
        <f>IFERROR(VLOOKUP($G59,'Visu totale'!$D$3:$DH$129,AP$1,0),0)</f>
        <v>0</v>
      </c>
      <c r="AQ59" s="15">
        <f>IFERROR(VLOOKUP($G59,'Visu totale'!$D$3:$DH$129,AQ$1,0),0)</f>
        <v>0</v>
      </c>
      <c r="AR59" s="14">
        <f>IFERROR(VLOOKUP($G59,'Visu totale'!$D$3:$DH$129,AR$1,0),0)</f>
        <v>0</v>
      </c>
      <c r="AS59" s="13">
        <f>IFERROR(VLOOKUP($G59,'Visu totale'!$D$3:$DH$129,AS$1,0),0)</f>
        <v>0</v>
      </c>
      <c r="AT59" s="13">
        <f>IFERROR(VLOOKUP($G59,'Visu totale'!$D$3:$DH$129,AT$1,0),0)</f>
        <v>0</v>
      </c>
      <c r="AU59" s="13">
        <f>IFERROR(VLOOKUP($G59,'Visu totale'!$D$3:$DH$129,AU$1,0),0)</f>
        <v>0</v>
      </c>
      <c r="AV59" s="13">
        <f>IFERROR(VLOOKUP($G59,'Visu totale'!$D$3:$DH$129,AV$1,0),0)</f>
        <v>0</v>
      </c>
      <c r="AW59" s="13">
        <f>IFERROR(VLOOKUP($G59,'Visu totale'!$D$3:$DH$129,AW$1,0),0)</f>
        <v>0</v>
      </c>
      <c r="AX59" s="13">
        <f>IFERROR(VLOOKUP($G59,'Visu totale'!$D$3:$DH$129,AX$1,0),0)</f>
        <v>0</v>
      </c>
      <c r="AY59" s="13">
        <f>IFERROR(VLOOKUP($G59,'Visu totale'!$D$3:$DH$129,AY$1,0),0)</f>
        <v>0</v>
      </c>
      <c r="AZ59" s="13">
        <f>IFERROR(VLOOKUP($G59,'Visu totale'!$D$3:$DH$129,AZ$1,0),0)</f>
        <v>0</v>
      </c>
      <c r="BA59" s="13">
        <f>IFERROR(VLOOKUP($G59,'Visu totale'!$D$3:$DH$129,BA$1,0),0)</f>
        <v>0</v>
      </c>
      <c r="BB59" s="13">
        <f>IFERROR(VLOOKUP($G59,'Visu totale'!$D$3:$DH$129,BB$1,0),0)</f>
        <v>0</v>
      </c>
      <c r="BC59" s="15">
        <f>IFERROR(VLOOKUP($G59,'Visu totale'!$D$3:$DH$129,BC$1,0),0)</f>
        <v>0</v>
      </c>
      <c r="BD59" s="14">
        <f>IFERROR(VLOOKUP($G59,'Visu totale'!$D$3:$DH$129,BD$1,0),0)</f>
        <v>0</v>
      </c>
      <c r="BE59" s="13">
        <f>IFERROR(VLOOKUP($G59,'Visu totale'!$D$3:$DH$129,BE$1,0),0)</f>
        <v>0</v>
      </c>
      <c r="BF59" s="13">
        <f>IFERROR(VLOOKUP($G59,'Visu totale'!$D$3:$DH$129,BF$1,0),0)</f>
        <v>0</v>
      </c>
      <c r="BG59" s="13">
        <f>IFERROR(VLOOKUP($G59,'Visu totale'!$D$3:$DH$129,BG$1,0),0)</f>
        <v>0</v>
      </c>
      <c r="BH59" s="13">
        <f>IFERROR(VLOOKUP($G59,'Visu totale'!$D$3:$DH$129,BH$1,0),0)</f>
        <v>0</v>
      </c>
      <c r="BI59" s="13">
        <f>IFERROR(VLOOKUP($G59,'Visu totale'!$D$3:$DH$129,BI$1,0),0)</f>
        <v>0</v>
      </c>
      <c r="BJ59" s="13">
        <f>IFERROR(VLOOKUP($G59,'Visu totale'!$D$3:$DH$129,BJ$1,0),0)</f>
        <v>0</v>
      </c>
      <c r="BK59" s="13">
        <f>IFERROR(VLOOKUP($G59,'Visu totale'!$D$3:$DH$129,BK$1,0),0)</f>
        <v>0</v>
      </c>
      <c r="BL59" s="13">
        <f>IFERROR(VLOOKUP($G59,'Visu totale'!$D$3:$DH$129,BL$1,0),0)</f>
        <v>0</v>
      </c>
      <c r="BM59" s="13">
        <f>IFERROR(VLOOKUP($G59,'Visu totale'!$D$3:$DH$129,BM$1,0),0)</f>
        <v>0</v>
      </c>
      <c r="BN59" s="13">
        <f>IFERROR(VLOOKUP($G59,'Visu totale'!$D$3:$DH$129,BN$1,0),0)</f>
        <v>0</v>
      </c>
      <c r="BO59" s="15">
        <f>IFERROR(VLOOKUP($G59,'Visu totale'!$D$3:$DH$129,BO$1,0),0)</f>
        <v>0</v>
      </c>
      <c r="BP59" s="14">
        <f>IFERROR(VLOOKUP($G59,'Visu totale'!$D$3:$DH$129,BP$1,0),0)</f>
        <v>0</v>
      </c>
      <c r="BQ59" s="13">
        <f>IFERROR(VLOOKUP($G59,'Visu totale'!$D$3:$DH$129,BQ$1,0),0)</f>
        <v>0</v>
      </c>
      <c r="BR59" s="13">
        <f>IFERROR(VLOOKUP($G59,'Visu totale'!$D$3:$DH$129,BR$1,0),0)</f>
        <v>0</v>
      </c>
      <c r="BS59" s="13">
        <f>IFERROR(VLOOKUP($G59,'Visu totale'!$D$3:$DH$129,BS$1,0),0)</f>
        <v>0</v>
      </c>
      <c r="BT59" s="13">
        <f>IFERROR(VLOOKUP($G59,'Visu totale'!$D$3:$DH$129,BT$1,0),0)</f>
        <v>0</v>
      </c>
      <c r="BU59" s="13">
        <f>IFERROR(VLOOKUP($G59,'Visu totale'!$D$3:$DH$129,BU$1,0),0)</f>
        <v>0</v>
      </c>
      <c r="BV59" s="13">
        <f>IFERROR(VLOOKUP($G59,'Visu totale'!$D$3:$DH$129,BV$1,0),0)</f>
        <v>0</v>
      </c>
      <c r="BW59" s="13">
        <f>IFERROR(VLOOKUP($G59,'Visu totale'!$D$3:$DH$129,BW$1,0),0)</f>
        <v>0</v>
      </c>
      <c r="BX59" s="13">
        <f>IFERROR(VLOOKUP($G59,'Visu totale'!$D$3:$DH$129,BX$1,0),0)</f>
        <v>0</v>
      </c>
      <c r="BY59" s="13">
        <f>IFERROR(VLOOKUP($G59,'Visu totale'!$D$3:$DH$129,BY$1,0),0)</f>
        <v>0</v>
      </c>
      <c r="BZ59" s="13">
        <f>IFERROR(VLOOKUP($G59,'Visu totale'!$D$3:$DH$129,BZ$1,0),0)</f>
        <v>0</v>
      </c>
      <c r="CA59" s="15">
        <f>IFERROR(VLOOKUP($G59,'Visu totale'!$D$3:$DH$129,CA$1,0),0)</f>
        <v>0</v>
      </c>
      <c r="CB59" s="14">
        <f>IFERROR(VLOOKUP($G59,'Visu totale'!$D$3:$DH$129,CB$1,0),0)</f>
        <v>0</v>
      </c>
      <c r="CC59" s="13">
        <f>IFERROR(VLOOKUP($G59,'Visu totale'!$D$3:$DH$129,CC$1,0),0)</f>
        <v>0</v>
      </c>
      <c r="CD59" s="13">
        <f>IFERROR(VLOOKUP($G59,'Visu totale'!$D$3:$DH$129,CD$1,0),0)</f>
        <v>0</v>
      </c>
      <c r="CE59" s="13">
        <f>IFERROR(VLOOKUP($G59,'Visu totale'!$D$3:$DH$129,CE$1,0),0)</f>
        <v>0</v>
      </c>
      <c r="CF59" s="13">
        <f>IFERROR(VLOOKUP($G59,'Visu totale'!$D$3:$DH$129,CF$1,0),0)</f>
        <v>0</v>
      </c>
      <c r="CG59" s="13">
        <f>IFERROR(VLOOKUP($G59,'Visu totale'!$D$3:$DH$129,CG$1,0),0)</f>
        <v>0</v>
      </c>
      <c r="CH59" s="13">
        <f>IFERROR(VLOOKUP($G59,'Visu totale'!$D$3:$DH$129,CH$1,0),0)</f>
        <v>0</v>
      </c>
      <c r="CI59" s="13">
        <f>IFERROR(VLOOKUP($G59,'Visu totale'!$D$3:$DH$129,CI$1,0),0)</f>
        <v>0</v>
      </c>
      <c r="CJ59" s="13">
        <f>IFERROR(VLOOKUP($G59,'Visu totale'!$D$3:$DH$129,CJ$1,0),0)</f>
        <v>0</v>
      </c>
      <c r="CK59" s="13">
        <f>IFERROR(VLOOKUP($G59,'Visu totale'!$D$3:$DH$129,CK$1,0),0)</f>
        <v>0</v>
      </c>
      <c r="CL59" s="13">
        <f>IFERROR(VLOOKUP($G59,'Visu totale'!$D$3:$DH$129,CL$1,0),0)</f>
        <v>0</v>
      </c>
      <c r="CM59" s="15">
        <f>IFERROR(VLOOKUP($G59,'Visu totale'!$D$3:$DH$129,CM$1,0),0)</f>
        <v>0</v>
      </c>
      <c r="CN59" s="14">
        <f>IFERROR(VLOOKUP($G59,'Visu totale'!$D$3:$DH$129,CN$1,0),0)</f>
        <v>0</v>
      </c>
      <c r="CO59" s="13">
        <f>IFERROR(VLOOKUP($G59,'Visu totale'!$D$3:$DH$129,CO$1,0),0)</f>
        <v>0</v>
      </c>
      <c r="CP59" s="13">
        <f>IFERROR(VLOOKUP($G59,'Visu totale'!$D$3:$DH$129,CP$1,0),0)</f>
        <v>0</v>
      </c>
      <c r="CQ59" s="13">
        <f>IFERROR(VLOOKUP($G59,'Visu totale'!$D$3:$DH$129,CQ$1,0),0)</f>
        <v>0</v>
      </c>
      <c r="CR59" s="13">
        <f>IFERROR(VLOOKUP($G59,'Visu totale'!$D$3:$DH$129,CR$1,0),0)</f>
        <v>0</v>
      </c>
      <c r="CS59" s="13">
        <f>IFERROR(VLOOKUP($G59,'Visu totale'!$D$3:$DH$129,CS$1,0),0)</f>
        <v>0</v>
      </c>
      <c r="CT59" s="13">
        <f>IFERROR(VLOOKUP($G59,'Visu totale'!$D$3:$DH$129,CT$1,0),0)</f>
        <v>0</v>
      </c>
      <c r="CU59" s="13">
        <f>IFERROR(VLOOKUP($G59,'Visu totale'!$D$3:$DH$129,CU$1,0),0)</f>
        <v>0</v>
      </c>
      <c r="CV59" s="13">
        <f>IFERROR(VLOOKUP($G59,'Visu totale'!$D$3:$DH$129,CV$1,0),0)</f>
        <v>0</v>
      </c>
      <c r="CW59" s="13">
        <f>IFERROR(VLOOKUP($G59,'Visu totale'!$D$3:$DH$129,CW$1,0),0)</f>
        <v>0</v>
      </c>
      <c r="CX59" s="13">
        <f>IFERROR(VLOOKUP($G59,'Visu totale'!$D$3:$DH$129,CX$1,0),0)</f>
        <v>0</v>
      </c>
      <c r="CY59" s="15">
        <f>IFERROR(VLOOKUP($G59,'Visu totale'!$D$3:$DH$129,CY$1,0),0)</f>
        <v>0</v>
      </c>
      <c r="CZ59" s="14">
        <f>IFERROR(VLOOKUP($G59,'Visu totale'!$D$3:$DH$129,CZ$1,0),0)</f>
        <v>0</v>
      </c>
      <c r="DA59" s="13">
        <f>IFERROR(VLOOKUP($G59,'Visu totale'!$D$3:$DH$129,DA$1,0),0)</f>
        <v>0</v>
      </c>
      <c r="DB59" s="13">
        <f>IFERROR(VLOOKUP($G59,'Visu totale'!$D$3:$DH$129,DB$1,0),0)</f>
        <v>0</v>
      </c>
      <c r="DC59" s="13">
        <f>IFERROR(VLOOKUP($G59,'Visu totale'!$D$3:$DH$129,DC$1,0),0)</f>
        <v>0</v>
      </c>
      <c r="DD59" s="13">
        <f>IFERROR(VLOOKUP($G59,'Visu totale'!$D$3:$DH$129,DD$1,0),0)</f>
        <v>0</v>
      </c>
      <c r="DE59" s="13">
        <f>IFERROR(VLOOKUP($G59,'Visu totale'!$D$3:$DH$129,DE$1,0),0)</f>
        <v>0</v>
      </c>
      <c r="DF59" s="13">
        <f>IFERROR(VLOOKUP($G59,'Visu totale'!$D$3:$DH$129,DF$1,0),0)</f>
        <v>0</v>
      </c>
      <c r="DG59" s="13">
        <f>IFERROR(VLOOKUP($G59,'Visu totale'!$D$3:$DH$129,DG$1,0),0)</f>
        <v>0</v>
      </c>
      <c r="DH59" s="13">
        <f>IFERROR(VLOOKUP($G59,'Visu totale'!$D$3:$DH$129,DH$1,0),0)</f>
        <v>0</v>
      </c>
      <c r="DI59" s="13">
        <f>IFERROR(VLOOKUP($G59,'Visu totale'!$D$3:$DH$129,DI$1,0),0)</f>
        <v>0</v>
      </c>
      <c r="DJ59" s="13">
        <f>IFERROR(VLOOKUP($G59,'Visu totale'!$D$3:$DH$129,DJ$1,0),0)</f>
        <v>0</v>
      </c>
      <c r="DK59" s="15">
        <f>IFERROR(VLOOKUP($G59,'Visu totale'!$D$3:$DH$129,DK$1,0),0)</f>
        <v>0</v>
      </c>
    </row>
    <row r="60" spans="1:115" x14ac:dyDescent="0.25">
      <c r="A60" s="13"/>
      <c r="B60" s="13"/>
      <c r="C60" s="13"/>
      <c r="D60" s="16"/>
      <c r="E60" s="13"/>
      <c r="F60" s="13"/>
      <c r="G60" s="17" t="s">
        <v>62</v>
      </c>
      <c r="H60" s="14">
        <f>IFERROR(VLOOKUP($G60,'Visu totale'!$D$3:$DH$129,H$1,0),0)</f>
        <v>0</v>
      </c>
      <c r="I60" s="13">
        <f>IFERROR(VLOOKUP($G60,'Visu totale'!$D$3:$DH$129,I$1,0),0)</f>
        <v>0</v>
      </c>
      <c r="J60" s="13">
        <f>IFERROR(VLOOKUP($G60,'Visu totale'!$D$3:$DH$129,J$1,0),0)</f>
        <v>0</v>
      </c>
      <c r="K60" s="13">
        <f>IFERROR(VLOOKUP($G60,'Visu totale'!$D$3:$DH$129,K$1,0),0)</f>
        <v>0</v>
      </c>
      <c r="L60" s="13">
        <f>IFERROR(VLOOKUP($G60,'Visu totale'!$D$3:$DH$129,L$1,0),0)</f>
        <v>0</v>
      </c>
      <c r="M60" s="13">
        <f>IFERROR(VLOOKUP($G60,'Visu totale'!$D$3:$DH$129,M$1,0),0)</f>
        <v>0</v>
      </c>
      <c r="N60" s="13">
        <f>IFERROR(VLOOKUP($G60,'Visu totale'!$D$3:$DH$129,N$1,0),0)</f>
        <v>0</v>
      </c>
      <c r="O60" s="13">
        <f>IFERROR(VLOOKUP($G60,'Visu totale'!$D$3:$DH$129,O$1,0),0)</f>
        <v>0</v>
      </c>
      <c r="P60" s="13">
        <f>IFERROR(VLOOKUP($G60,'Visu totale'!$D$3:$DH$129,P$1,0),0)</f>
        <v>0</v>
      </c>
      <c r="Q60" s="13">
        <f>IFERROR(VLOOKUP($G60,'Visu totale'!$D$3:$DH$129,Q$1,0),0)</f>
        <v>0</v>
      </c>
      <c r="R60" s="13">
        <f>IFERROR(VLOOKUP($G60,'Visu totale'!$D$3:$DH$129,R$1,0),0)</f>
        <v>0</v>
      </c>
      <c r="S60" s="15">
        <f>IFERROR(VLOOKUP($G60,'Visu totale'!$D$3:$DH$129,S$1,0),0)</f>
        <v>0</v>
      </c>
      <c r="T60" s="14">
        <f>IFERROR(VLOOKUP($G60,'Visu totale'!$D$3:$DH$129,T$1,0),0)</f>
        <v>0</v>
      </c>
      <c r="U60" s="13">
        <f>IFERROR(VLOOKUP($G60,'Visu totale'!$D$3:$DH$129,U$1,0),0)</f>
        <v>0</v>
      </c>
      <c r="V60" s="13">
        <f>IFERROR(VLOOKUP($G60,'Visu totale'!$D$3:$DH$129,V$1,0),0)</f>
        <v>0</v>
      </c>
      <c r="W60" s="13">
        <f>IFERROR(VLOOKUP($G60,'Visu totale'!$D$3:$DH$129,W$1,0),0)</f>
        <v>0</v>
      </c>
      <c r="X60" s="13">
        <f>IFERROR(VLOOKUP($G60,'Visu totale'!$D$3:$DH$129,X$1,0),0)</f>
        <v>0</v>
      </c>
      <c r="Y60" s="13">
        <f>IFERROR(VLOOKUP($G60,'Visu totale'!$D$3:$DH$129,Y$1,0),0)</f>
        <v>0</v>
      </c>
      <c r="Z60" s="13">
        <f>IFERROR(VLOOKUP($G60,'Visu totale'!$D$3:$DH$129,Z$1,0),0)</f>
        <v>0</v>
      </c>
      <c r="AA60" s="13">
        <f>IFERROR(VLOOKUP($G60,'Visu totale'!$D$3:$DH$129,AA$1,0),0)</f>
        <v>0</v>
      </c>
      <c r="AB60" s="13">
        <f>IFERROR(VLOOKUP($G60,'Visu totale'!$D$3:$DH$129,AB$1,0),0)</f>
        <v>0</v>
      </c>
      <c r="AC60" s="13">
        <f>IFERROR(VLOOKUP($G60,'Visu totale'!$D$3:$DH$129,AC$1,0),0)</f>
        <v>0</v>
      </c>
      <c r="AD60" s="13">
        <f>IFERROR(VLOOKUP($G60,'Visu totale'!$D$3:$DH$129,AD$1,0),0)</f>
        <v>0</v>
      </c>
      <c r="AE60" s="15">
        <f>IFERROR(VLOOKUP($G60,'Visu totale'!$D$3:$DH$129,AE$1,0),0)</f>
        <v>0</v>
      </c>
      <c r="AF60" s="14">
        <f>IFERROR(VLOOKUP($G60,'Visu totale'!$D$3:$DH$129,AF$1,0),0)</f>
        <v>0</v>
      </c>
      <c r="AG60" s="13">
        <f>IFERROR(VLOOKUP($G60,'Visu totale'!$D$3:$DH$129,AG$1,0),0)</f>
        <v>0</v>
      </c>
      <c r="AH60" s="13">
        <f>IFERROR(VLOOKUP($G60,'Visu totale'!$D$3:$DH$129,AH$1,0),0)</f>
        <v>0</v>
      </c>
      <c r="AI60" s="13">
        <f>IFERROR(VLOOKUP($G60,'Visu totale'!$D$3:$DH$129,AI$1,0),0)</f>
        <v>0</v>
      </c>
      <c r="AJ60" s="13">
        <f>IFERROR(VLOOKUP($G60,'Visu totale'!$D$3:$DH$129,AJ$1,0),0)</f>
        <v>0</v>
      </c>
      <c r="AK60" s="13">
        <f>IFERROR(VLOOKUP($G60,'Visu totale'!$D$3:$DH$129,AK$1,0),0)</f>
        <v>0</v>
      </c>
      <c r="AL60" s="13">
        <f>IFERROR(VLOOKUP($G60,'Visu totale'!$D$3:$DH$129,AL$1,0),0)</f>
        <v>0</v>
      </c>
      <c r="AM60" s="13">
        <f>IFERROR(VLOOKUP($G60,'Visu totale'!$D$3:$DH$129,AM$1,0),0)</f>
        <v>0</v>
      </c>
      <c r="AN60" s="13">
        <f>IFERROR(VLOOKUP($G60,'Visu totale'!$D$3:$DH$129,AN$1,0),0)</f>
        <v>0</v>
      </c>
      <c r="AO60" s="13">
        <f>IFERROR(VLOOKUP($G60,'Visu totale'!$D$3:$DH$129,AO$1,0),0)</f>
        <v>0</v>
      </c>
      <c r="AP60" s="13">
        <f>IFERROR(VLOOKUP($G60,'Visu totale'!$D$3:$DH$129,AP$1,0),0)</f>
        <v>0</v>
      </c>
      <c r="AQ60" s="15">
        <f>IFERROR(VLOOKUP($G60,'Visu totale'!$D$3:$DH$129,AQ$1,0),0)</f>
        <v>0</v>
      </c>
      <c r="AR60" s="14">
        <f>IFERROR(VLOOKUP($G60,'Visu totale'!$D$3:$DH$129,AR$1,0),0)</f>
        <v>0</v>
      </c>
      <c r="AS60" s="13">
        <f>IFERROR(VLOOKUP($G60,'Visu totale'!$D$3:$DH$129,AS$1,0),0)</f>
        <v>0</v>
      </c>
      <c r="AT60" s="13">
        <f>IFERROR(VLOOKUP($G60,'Visu totale'!$D$3:$DH$129,AT$1,0),0)</f>
        <v>0</v>
      </c>
      <c r="AU60" s="13">
        <f>IFERROR(VLOOKUP($G60,'Visu totale'!$D$3:$DH$129,AU$1,0),0)</f>
        <v>0</v>
      </c>
      <c r="AV60" s="13">
        <f>IFERROR(VLOOKUP($G60,'Visu totale'!$D$3:$DH$129,AV$1,0),0)</f>
        <v>0</v>
      </c>
      <c r="AW60" s="13">
        <f>IFERROR(VLOOKUP($G60,'Visu totale'!$D$3:$DH$129,AW$1,0),0)</f>
        <v>0</v>
      </c>
      <c r="AX60" s="13">
        <f>IFERROR(VLOOKUP($G60,'Visu totale'!$D$3:$DH$129,AX$1,0),0)</f>
        <v>0</v>
      </c>
      <c r="AY60" s="13">
        <f>IFERROR(VLOOKUP($G60,'Visu totale'!$D$3:$DH$129,AY$1,0),0)</f>
        <v>0</v>
      </c>
      <c r="AZ60" s="13">
        <f>IFERROR(VLOOKUP($G60,'Visu totale'!$D$3:$DH$129,AZ$1,0),0)</f>
        <v>0</v>
      </c>
      <c r="BA60" s="13">
        <f>IFERROR(VLOOKUP($G60,'Visu totale'!$D$3:$DH$129,BA$1,0),0)</f>
        <v>0</v>
      </c>
      <c r="BB60" s="13">
        <f>IFERROR(VLOOKUP($G60,'Visu totale'!$D$3:$DH$129,BB$1,0),0)</f>
        <v>0</v>
      </c>
      <c r="BC60" s="15">
        <f>IFERROR(VLOOKUP($G60,'Visu totale'!$D$3:$DH$129,BC$1,0),0)</f>
        <v>0</v>
      </c>
      <c r="BD60" s="14">
        <f>IFERROR(VLOOKUP($G60,'Visu totale'!$D$3:$DH$129,BD$1,0),0)</f>
        <v>0</v>
      </c>
      <c r="BE60" s="13">
        <f>IFERROR(VLOOKUP($G60,'Visu totale'!$D$3:$DH$129,BE$1,0),0)</f>
        <v>0</v>
      </c>
      <c r="BF60" s="13">
        <f>IFERROR(VLOOKUP($G60,'Visu totale'!$D$3:$DH$129,BF$1,0),0)</f>
        <v>0</v>
      </c>
      <c r="BG60" s="13">
        <f>IFERROR(VLOOKUP($G60,'Visu totale'!$D$3:$DH$129,BG$1,0),0)</f>
        <v>0</v>
      </c>
      <c r="BH60" s="13">
        <f>IFERROR(VLOOKUP($G60,'Visu totale'!$D$3:$DH$129,BH$1,0),0)</f>
        <v>0</v>
      </c>
      <c r="BI60" s="13">
        <f>IFERROR(VLOOKUP($G60,'Visu totale'!$D$3:$DH$129,BI$1,0),0)</f>
        <v>0</v>
      </c>
      <c r="BJ60" s="13">
        <f>IFERROR(VLOOKUP($G60,'Visu totale'!$D$3:$DH$129,BJ$1,0),0)</f>
        <v>0</v>
      </c>
      <c r="BK60" s="13">
        <f>IFERROR(VLOOKUP($G60,'Visu totale'!$D$3:$DH$129,BK$1,0),0)</f>
        <v>0</v>
      </c>
      <c r="BL60" s="13">
        <f>IFERROR(VLOOKUP($G60,'Visu totale'!$D$3:$DH$129,BL$1,0),0)</f>
        <v>0</v>
      </c>
      <c r="BM60" s="13">
        <f>IFERROR(VLOOKUP($G60,'Visu totale'!$D$3:$DH$129,BM$1,0),0)</f>
        <v>0</v>
      </c>
      <c r="BN60" s="13">
        <f>IFERROR(VLOOKUP($G60,'Visu totale'!$D$3:$DH$129,BN$1,0),0)</f>
        <v>0</v>
      </c>
      <c r="BO60" s="15">
        <f>IFERROR(VLOOKUP($G60,'Visu totale'!$D$3:$DH$129,BO$1,0),0)</f>
        <v>0</v>
      </c>
      <c r="BP60" s="14">
        <f>IFERROR(VLOOKUP($G60,'Visu totale'!$D$3:$DH$129,BP$1,0),0)</f>
        <v>0</v>
      </c>
      <c r="BQ60" s="13">
        <f>IFERROR(VLOOKUP($G60,'Visu totale'!$D$3:$DH$129,BQ$1,0),0)</f>
        <v>0</v>
      </c>
      <c r="BR60" s="13">
        <f>IFERROR(VLOOKUP($G60,'Visu totale'!$D$3:$DH$129,BR$1,0),0)</f>
        <v>0</v>
      </c>
      <c r="BS60" s="13">
        <f>IFERROR(VLOOKUP($G60,'Visu totale'!$D$3:$DH$129,BS$1,0),0)</f>
        <v>0</v>
      </c>
      <c r="BT60" s="13">
        <f>IFERROR(VLOOKUP($G60,'Visu totale'!$D$3:$DH$129,BT$1,0),0)</f>
        <v>0</v>
      </c>
      <c r="BU60" s="13">
        <f>IFERROR(VLOOKUP($G60,'Visu totale'!$D$3:$DH$129,BU$1,0),0)</f>
        <v>0</v>
      </c>
      <c r="BV60" s="13">
        <f>IFERROR(VLOOKUP($G60,'Visu totale'!$D$3:$DH$129,BV$1,0),0)</f>
        <v>0</v>
      </c>
      <c r="BW60" s="13">
        <f>IFERROR(VLOOKUP($G60,'Visu totale'!$D$3:$DH$129,BW$1,0),0)</f>
        <v>0</v>
      </c>
      <c r="BX60" s="13">
        <f>IFERROR(VLOOKUP($G60,'Visu totale'!$D$3:$DH$129,BX$1,0),0)</f>
        <v>0</v>
      </c>
      <c r="BY60" s="13">
        <f>IFERROR(VLOOKUP($G60,'Visu totale'!$D$3:$DH$129,BY$1,0),0)</f>
        <v>0</v>
      </c>
      <c r="BZ60" s="13">
        <f>IFERROR(VLOOKUP($G60,'Visu totale'!$D$3:$DH$129,BZ$1,0),0)</f>
        <v>0</v>
      </c>
      <c r="CA60" s="15">
        <f>IFERROR(VLOOKUP($G60,'Visu totale'!$D$3:$DH$129,CA$1,0),0)</f>
        <v>0</v>
      </c>
      <c r="CB60" s="14">
        <f>IFERROR(VLOOKUP($G60,'Visu totale'!$D$3:$DH$129,CB$1,0),0)</f>
        <v>0</v>
      </c>
      <c r="CC60" s="13">
        <f>IFERROR(VLOOKUP($G60,'Visu totale'!$D$3:$DH$129,CC$1,0),0)</f>
        <v>0</v>
      </c>
      <c r="CD60" s="13">
        <f>IFERROR(VLOOKUP($G60,'Visu totale'!$D$3:$DH$129,CD$1,0),0)</f>
        <v>0</v>
      </c>
      <c r="CE60" s="13">
        <f>IFERROR(VLOOKUP($G60,'Visu totale'!$D$3:$DH$129,CE$1,0),0)</f>
        <v>0</v>
      </c>
      <c r="CF60" s="13">
        <f>IFERROR(VLOOKUP($G60,'Visu totale'!$D$3:$DH$129,CF$1,0),0)</f>
        <v>0</v>
      </c>
      <c r="CG60" s="13">
        <f>IFERROR(VLOOKUP($G60,'Visu totale'!$D$3:$DH$129,CG$1,0),0)</f>
        <v>0</v>
      </c>
      <c r="CH60" s="13">
        <f>IFERROR(VLOOKUP($G60,'Visu totale'!$D$3:$DH$129,CH$1,0),0)</f>
        <v>0</v>
      </c>
      <c r="CI60" s="13">
        <f>IFERROR(VLOOKUP($G60,'Visu totale'!$D$3:$DH$129,CI$1,0),0)</f>
        <v>0</v>
      </c>
      <c r="CJ60" s="13">
        <f>IFERROR(VLOOKUP($G60,'Visu totale'!$D$3:$DH$129,CJ$1,0),0)</f>
        <v>0</v>
      </c>
      <c r="CK60" s="13">
        <f>IFERROR(VLOOKUP($G60,'Visu totale'!$D$3:$DH$129,CK$1,0),0)</f>
        <v>0</v>
      </c>
      <c r="CL60" s="13">
        <f>IFERROR(VLOOKUP($G60,'Visu totale'!$D$3:$DH$129,CL$1,0),0)</f>
        <v>0</v>
      </c>
      <c r="CM60" s="15">
        <f>IFERROR(VLOOKUP($G60,'Visu totale'!$D$3:$DH$129,CM$1,0),0)</f>
        <v>0</v>
      </c>
      <c r="CN60" s="14">
        <f>IFERROR(VLOOKUP($G60,'Visu totale'!$D$3:$DH$129,CN$1,0),0)</f>
        <v>0</v>
      </c>
      <c r="CO60" s="13">
        <f>IFERROR(VLOOKUP($G60,'Visu totale'!$D$3:$DH$129,CO$1,0),0)</f>
        <v>0</v>
      </c>
      <c r="CP60" s="13">
        <f>IFERROR(VLOOKUP($G60,'Visu totale'!$D$3:$DH$129,CP$1,0),0)</f>
        <v>0</v>
      </c>
      <c r="CQ60" s="13">
        <f>IFERROR(VLOOKUP($G60,'Visu totale'!$D$3:$DH$129,CQ$1,0),0)</f>
        <v>0</v>
      </c>
      <c r="CR60" s="13">
        <f>IFERROR(VLOOKUP($G60,'Visu totale'!$D$3:$DH$129,CR$1,0),0)</f>
        <v>0</v>
      </c>
      <c r="CS60" s="13">
        <f>IFERROR(VLOOKUP($G60,'Visu totale'!$D$3:$DH$129,CS$1,0),0)</f>
        <v>0</v>
      </c>
      <c r="CT60" s="13">
        <f>IFERROR(VLOOKUP($G60,'Visu totale'!$D$3:$DH$129,CT$1,0),0)</f>
        <v>0</v>
      </c>
      <c r="CU60" s="13">
        <f>IFERROR(VLOOKUP($G60,'Visu totale'!$D$3:$DH$129,CU$1,0),0)</f>
        <v>0</v>
      </c>
      <c r="CV60" s="13">
        <f>IFERROR(VLOOKUP($G60,'Visu totale'!$D$3:$DH$129,CV$1,0),0)</f>
        <v>0</v>
      </c>
      <c r="CW60" s="13">
        <f>IFERROR(VLOOKUP($G60,'Visu totale'!$D$3:$DH$129,CW$1,0),0)</f>
        <v>0</v>
      </c>
      <c r="CX60" s="13">
        <f>IFERROR(VLOOKUP($G60,'Visu totale'!$D$3:$DH$129,CX$1,0),0)</f>
        <v>0</v>
      </c>
      <c r="CY60" s="15">
        <f>IFERROR(VLOOKUP($G60,'Visu totale'!$D$3:$DH$129,CY$1,0),0)</f>
        <v>0</v>
      </c>
      <c r="CZ60" s="14">
        <f>IFERROR(VLOOKUP($G60,'Visu totale'!$D$3:$DH$129,CZ$1,0),0)</f>
        <v>0</v>
      </c>
      <c r="DA60" s="13">
        <f>IFERROR(VLOOKUP($G60,'Visu totale'!$D$3:$DH$129,DA$1,0),0)</f>
        <v>0</v>
      </c>
      <c r="DB60" s="13">
        <f>IFERROR(VLOOKUP($G60,'Visu totale'!$D$3:$DH$129,DB$1,0),0)</f>
        <v>0</v>
      </c>
      <c r="DC60" s="13">
        <f>IFERROR(VLOOKUP($G60,'Visu totale'!$D$3:$DH$129,DC$1,0),0)</f>
        <v>0</v>
      </c>
      <c r="DD60" s="13">
        <f>IFERROR(VLOOKUP($G60,'Visu totale'!$D$3:$DH$129,DD$1,0),0)</f>
        <v>0</v>
      </c>
      <c r="DE60" s="13">
        <f>IFERROR(VLOOKUP($G60,'Visu totale'!$D$3:$DH$129,DE$1,0),0)</f>
        <v>0</v>
      </c>
      <c r="DF60" s="13">
        <f>IFERROR(VLOOKUP($G60,'Visu totale'!$D$3:$DH$129,DF$1,0),0)</f>
        <v>0</v>
      </c>
      <c r="DG60" s="13">
        <f>IFERROR(VLOOKUP($G60,'Visu totale'!$D$3:$DH$129,DG$1,0),0)</f>
        <v>0</v>
      </c>
      <c r="DH60" s="13">
        <f>IFERROR(VLOOKUP($G60,'Visu totale'!$D$3:$DH$129,DH$1,0),0)</f>
        <v>0</v>
      </c>
      <c r="DI60" s="13">
        <f>IFERROR(VLOOKUP($G60,'Visu totale'!$D$3:$DH$129,DI$1,0),0)</f>
        <v>0</v>
      </c>
      <c r="DJ60" s="13">
        <f>IFERROR(VLOOKUP($G60,'Visu totale'!$D$3:$DH$129,DJ$1,0),0)</f>
        <v>0</v>
      </c>
      <c r="DK60" s="15">
        <f>IFERROR(VLOOKUP($G60,'Visu totale'!$D$3:$DH$129,DK$1,0),0)</f>
        <v>0</v>
      </c>
    </row>
    <row r="61" spans="1:115" x14ac:dyDescent="0.25">
      <c r="A61" s="13"/>
      <c r="B61" s="13"/>
      <c r="C61" s="13"/>
      <c r="D61" s="16"/>
      <c r="E61" s="13"/>
      <c r="F61" s="13"/>
      <c r="G61" s="17" t="s">
        <v>63</v>
      </c>
      <c r="H61" s="14">
        <f>IFERROR(VLOOKUP($G61,'Visu totale'!$D$3:$DH$129,H$1,0),0)</f>
        <v>0</v>
      </c>
      <c r="I61" s="13">
        <f>IFERROR(VLOOKUP($G61,'Visu totale'!$D$3:$DH$129,I$1,0),0)</f>
        <v>0</v>
      </c>
      <c r="J61" s="13">
        <f>IFERROR(VLOOKUP($G61,'Visu totale'!$D$3:$DH$129,J$1,0),0)</f>
        <v>0</v>
      </c>
      <c r="K61" s="13">
        <f>IFERROR(VLOOKUP($G61,'Visu totale'!$D$3:$DH$129,K$1,0),0)</f>
        <v>0</v>
      </c>
      <c r="L61" s="13">
        <f>IFERROR(VLOOKUP($G61,'Visu totale'!$D$3:$DH$129,L$1,0),0)</f>
        <v>0</v>
      </c>
      <c r="M61" s="13">
        <f>IFERROR(VLOOKUP($G61,'Visu totale'!$D$3:$DH$129,M$1,0),0)</f>
        <v>0</v>
      </c>
      <c r="N61" s="13">
        <f>IFERROR(VLOOKUP($G61,'Visu totale'!$D$3:$DH$129,N$1,0),0)</f>
        <v>0</v>
      </c>
      <c r="O61" s="13">
        <f>IFERROR(VLOOKUP($G61,'Visu totale'!$D$3:$DH$129,O$1,0),0)</f>
        <v>0</v>
      </c>
      <c r="P61" s="13">
        <f>IFERROR(VLOOKUP($G61,'Visu totale'!$D$3:$DH$129,P$1,0),0)</f>
        <v>0</v>
      </c>
      <c r="Q61" s="13">
        <f>IFERROR(VLOOKUP($G61,'Visu totale'!$D$3:$DH$129,Q$1,0),0)</f>
        <v>0</v>
      </c>
      <c r="R61" s="13">
        <f>IFERROR(VLOOKUP($G61,'Visu totale'!$D$3:$DH$129,R$1,0),0)</f>
        <v>0</v>
      </c>
      <c r="S61" s="15">
        <f>IFERROR(VLOOKUP($G61,'Visu totale'!$D$3:$DH$129,S$1,0),0)</f>
        <v>0</v>
      </c>
      <c r="T61" s="14">
        <f>IFERROR(VLOOKUP($G61,'Visu totale'!$D$3:$DH$129,T$1,0),0)</f>
        <v>0</v>
      </c>
      <c r="U61" s="13">
        <f>IFERROR(VLOOKUP($G61,'Visu totale'!$D$3:$DH$129,U$1,0),0)</f>
        <v>0</v>
      </c>
      <c r="V61" s="13">
        <f>IFERROR(VLOOKUP($G61,'Visu totale'!$D$3:$DH$129,V$1,0),0)</f>
        <v>0</v>
      </c>
      <c r="W61" s="13">
        <f>IFERROR(VLOOKUP($G61,'Visu totale'!$D$3:$DH$129,W$1,0),0)</f>
        <v>0</v>
      </c>
      <c r="X61" s="13">
        <f>IFERROR(VLOOKUP($G61,'Visu totale'!$D$3:$DH$129,X$1,0),0)</f>
        <v>0</v>
      </c>
      <c r="Y61" s="13">
        <f>IFERROR(VLOOKUP($G61,'Visu totale'!$D$3:$DH$129,Y$1,0),0)</f>
        <v>0</v>
      </c>
      <c r="Z61" s="13">
        <f>IFERROR(VLOOKUP($G61,'Visu totale'!$D$3:$DH$129,Z$1,0),0)</f>
        <v>0</v>
      </c>
      <c r="AA61" s="13">
        <f>IFERROR(VLOOKUP($G61,'Visu totale'!$D$3:$DH$129,AA$1,0),0)</f>
        <v>0</v>
      </c>
      <c r="AB61" s="13">
        <f>IFERROR(VLOOKUP($G61,'Visu totale'!$D$3:$DH$129,AB$1,0),0)</f>
        <v>0</v>
      </c>
      <c r="AC61" s="13">
        <f>IFERROR(VLOOKUP($G61,'Visu totale'!$D$3:$DH$129,AC$1,0),0)</f>
        <v>0</v>
      </c>
      <c r="AD61" s="13">
        <f>IFERROR(VLOOKUP($G61,'Visu totale'!$D$3:$DH$129,AD$1,0),0)</f>
        <v>0</v>
      </c>
      <c r="AE61" s="15">
        <f>IFERROR(VLOOKUP($G61,'Visu totale'!$D$3:$DH$129,AE$1,0),0)</f>
        <v>0</v>
      </c>
      <c r="AF61" s="14">
        <f>IFERROR(VLOOKUP($G61,'Visu totale'!$D$3:$DH$129,AF$1,0),0)</f>
        <v>0</v>
      </c>
      <c r="AG61" s="13">
        <f>IFERROR(VLOOKUP($G61,'Visu totale'!$D$3:$DH$129,AG$1,0),0)</f>
        <v>0</v>
      </c>
      <c r="AH61" s="13">
        <f>IFERROR(VLOOKUP($G61,'Visu totale'!$D$3:$DH$129,AH$1,0),0)</f>
        <v>0</v>
      </c>
      <c r="AI61" s="13">
        <f>IFERROR(VLOOKUP($G61,'Visu totale'!$D$3:$DH$129,AI$1,0),0)</f>
        <v>0</v>
      </c>
      <c r="AJ61" s="13">
        <f>IFERROR(VLOOKUP($G61,'Visu totale'!$D$3:$DH$129,AJ$1,0),0)</f>
        <v>0</v>
      </c>
      <c r="AK61" s="13">
        <f>IFERROR(VLOOKUP($G61,'Visu totale'!$D$3:$DH$129,AK$1,0),0)</f>
        <v>0</v>
      </c>
      <c r="AL61" s="13">
        <f>IFERROR(VLOOKUP($G61,'Visu totale'!$D$3:$DH$129,AL$1,0),0)</f>
        <v>0</v>
      </c>
      <c r="AM61" s="13">
        <f>IFERROR(VLOOKUP($G61,'Visu totale'!$D$3:$DH$129,AM$1,0),0)</f>
        <v>0</v>
      </c>
      <c r="AN61" s="13">
        <f>IFERROR(VLOOKUP($G61,'Visu totale'!$D$3:$DH$129,AN$1,0),0)</f>
        <v>0</v>
      </c>
      <c r="AO61" s="13">
        <f>IFERROR(VLOOKUP($G61,'Visu totale'!$D$3:$DH$129,AO$1,0),0)</f>
        <v>0</v>
      </c>
      <c r="AP61" s="13">
        <f>IFERROR(VLOOKUP($G61,'Visu totale'!$D$3:$DH$129,AP$1,0),0)</f>
        <v>0</v>
      </c>
      <c r="AQ61" s="15">
        <f>IFERROR(VLOOKUP($G61,'Visu totale'!$D$3:$DH$129,AQ$1,0),0)</f>
        <v>0</v>
      </c>
      <c r="AR61" s="14">
        <f>IFERROR(VLOOKUP($G61,'Visu totale'!$D$3:$DH$129,AR$1,0),0)</f>
        <v>0</v>
      </c>
      <c r="AS61" s="13">
        <f>IFERROR(VLOOKUP($G61,'Visu totale'!$D$3:$DH$129,AS$1,0),0)</f>
        <v>0</v>
      </c>
      <c r="AT61" s="13">
        <f>IFERROR(VLOOKUP($G61,'Visu totale'!$D$3:$DH$129,AT$1,0),0)</f>
        <v>0</v>
      </c>
      <c r="AU61" s="13">
        <f>IFERROR(VLOOKUP($G61,'Visu totale'!$D$3:$DH$129,AU$1,0),0)</f>
        <v>0</v>
      </c>
      <c r="AV61" s="13">
        <f>IFERROR(VLOOKUP($G61,'Visu totale'!$D$3:$DH$129,AV$1,0),0)</f>
        <v>0</v>
      </c>
      <c r="AW61" s="13">
        <f>IFERROR(VLOOKUP($G61,'Visu totale'!$D$3:$DH$129,AW$1,0),0)</f>
        <v>0</v>
      </c>
      <c r="AX61" s="13">
        <f>IFERROR(VLOOKUP($G61,'Visu totale'!$D$3:$DH$129,AX$1,0),0)</f>
        <v>0</v>
      </c>
      <c r="AY61" s="13">
        <f>IFERROR(VLOOKUP($G61,'Visu totale'!$D$3:$DH$129,AY$1,0),0)</f>
        <v>0</v>
      </c>
      <c r="AZ61" s="13">
        <f>IFERROR(VLOOKUP($G61,'Visu totale'!$D$3:$DH$129,AZ$1,0),0)</f>
        <v>0</v>
      </c>
      <c r="BA61" s="13">
        <f>IFERROR(VLOOKUP($G61,'Visu totale'!$D$3:$DH$129,BA$1,0),0)</f>
        <v>0</v>
      </c>
      <c r="BB61" s="13">
        <f>IFERROR(VLOOKUP($G61,'Visu totale'!$D$3:$DH$129,BB$1,0),0)</f>
        <v>0</v>
      </c>
      <c r="BC61" s="15">
        <f>IFERROR(VLOOKUP($G61,'Visu totale'!$D$3:$DH$129,BC$1,0),0)</f>
        <v>0</v>
      </c>
      <c r="BD61" s="14">
        <f>IFERROR(VLOOKUP($G61,'Visu totale'!$D$3:$DH$129,BD$1,0),0)</f>
        <v>0</v>
      </c>
      <c r="BE61" s="13">
        <f>IFERROR(VLOOKUP($G61,'Visu totale'!$D$3:$DH$129,BE$1,0),0)</f>
        <v>0</v>
      </c>
      <c r="BF61" s="13">
        <f>IFERROR(VLOOKUP($G61,'Visu totale'!$D$3:$DH$129,BF$1,0),0)</f>
        <v>0</v>
      </c>
      <c r="BG61" s="13">
        <f>IFERROR(VLOOKUP($G61,'Visu totale'!$D$3:$DH$129,BG$1,0),0)</f>
        <v>0</v>
      </c>
      <c r="BH61" s="13">
        <f>IFERROR(VLOOKUP($G61,'Visu totale'!$D$3:$DH$129,BH$1,0),0)</f>
        <v>0</v>
      </c>
      <c r="BI61" s="13">
        <f>IFERROR(VLOOKUP($G61,'Visu totale'!$D$3:$DH$129,BI$1,0),0)</f>
        <v>0</v>
      </c>
      <c r="BJ61" s="13">
        <f>IFERROR(VLOOKUP($G61,'Visu totale'!$D$3:$DH$129,BJ$1,0),0)</f>
        <v>0</v>
      </c>
      <c r="BK61" s="13">
        <f>IFERROR(VLOOKUP($G61,'Visu totale'!$D$3:$DH$129,BK$1,0),0)</f>
        <v>0</v>
      </c>
      <c r="BL61" s="13">
        <f>IFERROR(VLOOKUP($G61,'Visu totale'!$D$3:$DH$129,BL$1,0),0)</f>
        <v>0</v>
      </c>
      <c r="BM61" s="13">
        <f>IFERROR(VLOOKUP($G61,'Visu totale'!$D$3:$DH$129,BM$1,0),0)</f>
        <v>0</v>
      </c>
      <c r="BN61" s="13">
        <f>IFERROR(VLOOKUP($G61,'Visu totale'!$D$3:$DH$129,BN$1,0),0)</f>
        <v>0</v>
      </c>
      <c r="BO61" s="15">
        <f>IFERROR(VLOOKUP($G61,'Visu totale'!$D$3:$DH$129,BO$1,0),0)</f>
        <v>0</v>
      </c>
      <c r="BP61" s="14">
        <f>IFERROR(VLOOKUP($G61,'Visu totale'!$D$3:$DH$129,BP$1,0),0)</f>
        <v>0</v>
      </c>
      <c r="BQ61" s="13">
        <f>IFERROR(VLOOKUP($G61,'Visu totale'!$D$3:$DH$129,BQ$1,0),0)</f>
        <v>0</v>
      </c>
      <c r="BR61" s="13">
        <f>IFERROR(VLOOKUP($G61,'Visu totale'!$D$3:$DH$129,BR$1,0),0)</f>
        <v>0</v>
      </c>
      <c r="BS61" s="13">
        <f>IFERROR(VLOOKUP($G61,'Visu totale'!$D$3:$DH$129,BS$1,0),0)</f>
        <v>0</v>
      </c>
      <c r="BT61" s="13">
        <f>IFERROR(VLOOKUP($G61,'Visu totale'!$D$3:$DH$129,BT$1,0),0)</f>
        <v>0</v>
      </c>
      <c r="BU61" s="13">
        <f>IFERROR(VLOOKUP($G61,'Visu totale'!$D$3:$DH$129,BU$1,0),0)</f>
        <v>0</v>
      </c>
      <c r="BV61" s="13">
        <f>IFERROR(VLOOKUP($G61,'Visu totale'!$D$3:$DH$129,BV$1,0),0)</f>
        <v>0</v>
      </c>
      <c r="BW61" s="13">
        <f>IFERROR(VLOOKUP($G61,'Visu totale'!$D$3:$DH$129,BW$1,0),0)</f>
        <v>0</v>
      </c>
      <c r="BX61" s="13">
        <f>IFERROR(VLOOKUP($G61,'Visu totale'!$D$3:$DH$129,BX$1,0),0)</f>
        <v>0</v>
      </c>
      <c r="BY61" s="13">
        <f>IFERROR(VLOOKUP($G61,'Visu totale'!$D$3:$DH$129,BY$1,0),0)</f>
        <v>0</v>
      </c>
      <c r="BZ61" s="13">
        <f>IFERROR(VLOOKUP($G61,'Visu totale'!$D$3:$DH$129,BZ$1,0),0)</f>
        <v>0</v>
      </c>
      <c r="CA61" s="15">
        <f>IFERROR(VLOOKUP($G61,'Visu totale'!$D$3:$DH$129,CA$1,0),0)</f>
        <v>0</v>
      </c>
      <c r="CB61" s="14">
        <f>IFERROR(VLOOKUP($G61,'Visu totale'!$D$3:$DH$129,CB$1,0),0)</f>
        <v>0</v>
      </c>
      <c r="CC61" s="13">
        <f>IFERROR(VLOOKUP($G61,'Visu totale'!$D$3:$DH$129,CC$1,0),0)</f>
        <v>0</v>
      </c>
      <c r="CD61" s="13">
        <f>IFERROR(VLOOKUP($G61,'Visu totale'!$D$3:$DH$129,CD$1,0),0)</f>
        <v>0</v>
      </c>
      <c r="CE61" s="13">
        <f>IFERROR(VLOOKUP($G61,'Visu totale'!$D$3:$DH$129,CE$1,0),0)</f>
        <v>0</v>
      </c>
      <c r="CF61" s="13">
        <f>IFERROR(VLOOKUP($G61,'Visu totale'!$D$3:$DH$129,CF$1,0),0)</f>
        <v>0</v>
      </c>
      <c r="CG61" s="13">
        <f>IFERROR(VLOOKUP($G61,'Visu totale'!$D$3:$DH$129,CG$1,0),0)</f>
        <v>0</v>
      </c>
      <c r="CH61" s="13">
        <f>IFERROR(VLOOKUP($G61,'Visu totale'!$D$3:$DH$129,CH$1,0),0)</f>
        <v>0</v>
      </c>
      <c r="CI61" s="13">
        <f>IFERROR(VLOOKUP($G61,'Visu totale'!$D$3:$DH$129,CI$1,0),0)</f>
        <v>0</v>
      </c>
      <c r="CJ61" s="13">
        <f>IFERROR(VLOOKUP($G61,'Visu totale'!$D$3:$DH$129,CJ$1,0),0)</f>
        <v>0</v>
      </c>
      <c r="CK61" s="13">
        <f>IFERROR(VLOOKUP($G61,'Visu totale'!$D$3:$DH$129,CK$1,0),0)</f>
        <v>0</v>
      </c>
      <c r="CL61" s="13">
        <f>IFERROR(VLOOKUP($G61,'Visu totale'!$D$3:$DH$129,CL$1,0),0)</f>
        <v>0</v>
      </c>
      <c r="CM61" s="15">
        <f>IFERROR(VLOOKUP($G61,'Visu totale'!$D$3:$DH$129,CM$1,0),0)</f>
        <v>0</v>
      </c>
      <c r="CN61" s="14">
        <f>IFERROR(VLOOKUP($G61,'Visu totale'!$D$3:$DH$129,CN$1,0),0)</f>
        <v>0</v>
      </c>
      <c r="CO61" s="13">
        <f>IFERROR(VLOOKUP($G61,'Visu totale'!$D$3:$DH$129,CO$1,0),0)</f>
        <v>0</v>
      </c>
      <c r="CP61" s="13">
        <f>IFERROR(VLOOKUP($G61,'Visu totale'!$D$3:$DH$129,CP$1,0),0)</f>
        <v>0</v>
      </c>
      <c r="CQ61" s="13">
        <f>IFERROR(VLOOKUP($G61,'Visu totale'!$D$3:$DH$129,CQ$1,0),0)</f>
        <v>0</v>
      </c>
      <c r="CR61" s="13">
        <f>IFERROR(VLOOKUP($G61,'Visu totale'!$D$3:$DH$129,CR$1,0),0)</f>
        <v>0</v>
      </c>
      <c r="CS61" s="13">
        <f>IFERROR(VLOOKUP($G61,'Visu totale'!$D$3:$DH$129,CS$1,0),0)</f>
        <v>0</v>
      </c>
      <c r="CT61" s="13">
        <f>IFERROR(VLOOKUP($G61,'Visu totale'!$D$3:$DH$129,CT$1,0),0)</f>
        <v>0</v>
      </c>
      <c r="CU61" s="13">
        <f>IFERROR(VLOOKUP($G61,'Visu totale'!$D$3:$DH$129,CU$1,0),0)</f>
        <v>0</v>
      </c>
      <c r="CV61" s="13">
        <f>IFERROR(VLOOKUP($G61,'Visu totale'!$D$3:$DH$129,CV$1,0),0)</f>
        <v>0</v>
      </c>
      <c r="CW61" s="13">
        <f>IFERROR(VLOOKUP($G61,'Visu totale'!$D$3:$DH$129,CW$1,0),0)</f>
        <v>0</v>
      </c>
      <c r="CX61" s="13">
        <f>IFERROR(VLOOKUP($G61,'Visu totale'!$D$3:$DH$129,CX$1,0),0)</f>
        <v>0</v>
      </c>
      <c r="CY61" s="15">
        <f>IFERROR(VLOOKUP($G61,'Visu totale'!$D$3:$DH$129,CY$1,0),0)</f>
        <v>0</v>
      </c>
      <c r="CZ61" s="14">
        <f>IFERROR(VLOOKUP($G61,'Visu totale'!$D$3:$DH$129,CZ$1,0),0)</f>
        <v>0</v>
      </c>
      <c r="DA61" s="13">
        <f>IFERROR(VLOOKUP($G61,'Visu totale'!$D$3:$DH$129,DA$1,0),0)</f>
        <v>0</v>
      </c>
      <c r="DB61" s="13">
        <f>IFERROR(VLOOKUP($G61,'Visu totale'!$D$3:$DH$129,DB$1,0),0)</f>
        <v>0</v>
      </c>
      <c r="DC61" s="13">
        <f>IFERROR(VLOOKUP($G61,'Visu totale'!$D$3:$DH$129,DC$1,0),0)</f>
        <v>0</v>
      </c>
      <c r="DD61" s="13">
        <f>IFERROR(VLOOKUP($G61,'Visu totale'!$D$3:$DH$129,DD$1,0),0)</f>
        <v>0</v>
      </c>
      <c r="DE61" s="13">
        <f>IFERROR(VLOOKUP($G61,'Visu totale'!$D$3:$DH$129,DE$1,0),0)</f>
        <v>0</v>
      </c>
      <c r="DF61" s="13">
        <f>IFERROR(VLOOKUP($G61,'Visu totale'!$D$3:$DH$129,DF$1,0),0)</f>
        <v>0</v>
      </c>
      <c r="DG61" s="13">
        <f>IFERROR(VLOOKUP($G61,'Visu totale'!$D$3:$DH$129,DG$1,0),0)</f>
        <v>0</v>
      </c>
      <c r="DH61" s="13">
        <f>IFERROR(VLOOKUP($G61,'Visu totale'!$D$3:$DH$129,DH$1,0),0)</f>
        <v>0</v>
      </c>
      <c r="DI61" s="13">
        <f>IFERROR(VLOOKUP($G61,'Visu totale'!$D$3:$DH$129,DI$1,0),0)</f>
        <v>0</v>
      </c>
      <c r="DJ61" s="13">
        <f>IFERROR(VLOOKUP($G61,'Visu totale'!$D$3:$DH$129,DJ$1,0),0)</f>
        <v>0</v>
      </c>
      <c r="DK61" s="15">
        <f>IFERROR(VLOOKUP($G61,'Visu totale'!$D$3:$DH$129,DK$1,0),0)</f>
        <v>0</v>
      </c>
    </row>
    <row r="62" spans="1:115" x14ac:dyDescent="0.25">
      <c r="A62" s="13"/>
      <c r="B62" s="13"/>
      <c r="C62" s="13"/>
      <c r="D62" s="16"/>
      <c r="E62" s="13"/>
      <c r="F62" s="13"/>
      <c r="G62" s="17" t="s">
        <v>64</v>
      </c>
      <c r="H62" s="14">
        <f>IFERROR(VLOOKUP($G62,'Visu totale'!$D$3:$DH$129,H$1,0),0)</f>
        <v>0</v>
      </c>
      <c r="I62" s="13">
        <f>IFERROR(VLOOKUP($G62,'Visu totale'!$D$3:$DH$129,I$1,0),0)</f>
        <v>0</v>
      </c>
      <c r="J62" s="13">
        <f>IFERROR(VLOOKUP($G62,'Visu totale'!$D$3:$DH$129,J$1,0),0)</f>
        <v>0</v>
      </c>
      <c r="K62" s="13">
        <f>IFERROR(VLOOKUP($G62,'Visu totale'!$D$3:$DH$129,K$1,0),0)</f>
        <v>0</v>
      </c>
      <c r="L62" s="13">
        <f>IFERROR(VLOOKUP($G62,'Visu totale'!$D$3:$DH$129,L$1,0),0)</f>
        <v>0</v>
      </c>
      <c r="M62" s="13">
        <f>IFERROR(VLOOKUP($G62,'Visu totale'!$D$3:$DH$129,M$1,0),0)</f>
        <v>0</v>
      </c>
      <c r="N62" s="13">
        <f>IFERROR(VLOOKUP($G62,'Visu totale'!$D$3:$DH$129,N$1,0),0)</f>
        <v>0</v>
      </c>
      <c r="O62" s="13">
        <f>IFERROR(VLOOKUP($G62,'Visu totale'!$D$3:$DH$129,O$1,0),0)</f>
        <v>0</v>
      </c>
      <c r="P62" s="13">
        <f>IFERROR(VLOOKUP($G62,'Visu totale'!$D$3:$DH$129,P$1,0),0)</f>
        <v>0</v>
      </c>
      <c r="Q62" s="13">
        <f>IFERROR(VLOOKUP($G62,'Visu totale'!$D$3:$DH$129,Q$1,0),0)</f>
        <v>0</v>
      </c>
      <c r="R62" s="13">
        <f>IFERROR(VLOOKUP($G62,'Visu totale'!$D$3:$DH$129,R$1,0),0)</f>
        <v>0</v>
      </c>
      <c r="S62" s="15">
        <f>IFERROR(VLOOKUP($G62,'Visu totale'!$D$3:$DH$129,S$1,0),0)</f>
        <v>0</v>
      </c>
      <c r="T62" s="14">
        <f>IFERROR(VLOOKUP($G62,'Visu totale'!$D$3:$DH$129,T$1,0),0)</f>
        <v>0</v>
      </c>
      <c r="U62" s="13">
        <f>IFERROR(VLOOKUP($G62,'Visu totale'!$D$3:$DH$129,U$1,0),0)</f>
        <v>0</v>
      </c>
      <c r="V62" s="13">
        <f>IFERROR(VLOOKUP($G62,'Visu totale'!$D$3:$DH$129,V$1,0),0)</f>
        <v>0</v>
      </c>
      <c r="W62" s="13">
        <f>IFERROR(VLOOKUP($G62,'Visu totale'!$D$3:$DH$129,W$1,0),0)</f>
        <v>0</v>
      </c>
      <c r="X62" s="13">
        <f>IFERROR(VLOOKUP($G62,'Visu totale'!$D$3:$DH$129,X$1,0),0)</f>
        <v>0</v>
      </c>
      <c r="Y62" s="13">
        <f>IFERROR(VLOOKUP($G62,'Visu totale'!$D$3:$DH$129,Y$1,0),0)</f>
        <v>0</v>
      </c>
      <c r="Z62" s="13">
        <f>IFERROR(VLOOKUP($G62,'Visu totale'!$D$3:$DH$129,Z$1,0),0)</f>
        <v>0</v>
      </c>
      <c r="AA62" s="13">
        <f>IFERROR(VLOOKUP($G62,'Visu totale'!$D$3:$DH$129,AA$1,0),0)</f>
        <v>0</v>
      </c>
      <c r="AB62" s="13">
        <f>IFERROR(VLOOKUP($G62,'Visu totale'!$D$3:$DH$129,AB$1,0),0)</f>
        <v>0</v>
      </c>
      <c r="AC62" s="13">
        <f>IFERROR(VLOOKUP($G62,'Visu totale'!$D$3:$DH$129,AC$1,0),0)</f>
        <v>0</v>
      </c>
      <c r="AD62" s="13">
        <f>IFERROR(VLOOKUP($G62,'Visu totale'!$D$3:$DH$129,AD$1,0),0)</f>
        <v>0</v>
      </c>
      <c r="AE62" s="15">
        <f>IFERROR(VLOOKUP($G62,'Visu totale'!$D$3:$DH$129,AE$1,0),0)</f>
        <v>0</v>
      </c>
      <c r="AF62" s="14">
        <f>IFERROR(VLOOKUP($G62,'Visu totale'!$D$3:$DH$129,AF$1,0),0)</f>
        <v>0</v>
      </c>
      <c r="AG62" s="13">
        <f>IFERROR(VLOOKUP($G62,'Visu totale'!$D$3:$DH$129,AG$1,0),0)</f>
        <v>0</v>
      </c>
      <c r="AH62" s="13">
        <f>IFERROR(VLOOKUP($G62,'Visu totale'!$D$3:$DH$129,AH$1,0),0)</f>
        <v>0</v>
      </c>
      <c r="AI62" s="13">
        <f>IFERROR(VLOOKUP($G62,'Visu totale'!$D$3:$DH$129,AI$1,0),0)</f>
        <v>0</v>
      </c>
      <c r="AJ62" s="13">
        <f>IFERROR(VLOOKUP($G62,'Visu totale'!$D$3:$DH$129,AJ$1,0),0)</f>
        <v>0</v>
      </c>
      <c r="AK62" s="13">
        <f>IFERROR(VLOOKUP($G62,'Visu totale'!$D$3:$DH$129,AK$1,0),0)</f>
        <v>0</v>
      </c>
      <c r="AL62" s="13">
        <f>IFERROR(VLOOKUP($G62,'Visu totale'!$D$3:$DH$129,AL$1,0),0)</f>
        <v>0</v>
      </c>
      <c r="AM62" s="13">
        <f>IFERROR(VLOOKUP($G62,'Visu totale'!$D$3:$DH$129,AM$1,0),0)</f>
        <v>0</v>
      </c>
      <c r="AN62" s="13">
        <f>IFERROR(VLOOKUP($G62,'Visu totale'!$D$3:$DH$129,AN$1,0),0)</f>
        <v>0</v>
      </c>
      <c r="AO62" s="13">
        <f>IFERROR(VLOOKUP($G62,'Visu totale'!$D$3:$DH$129,AO$1,0),0)</f>
        <v>0</v>
      </c>
      <c r="AP62" s="13">
        <f>IFERROR(VLOOKUP($G62,'Visu totale'!$D$3:$DH$129,AP$1,0),0)</f>
        <v>0</v>
      </c>
      <c r="AQ62" s="15">
        <f>IFERROR(VLOOKUP($G62,'Visu totale'!$D$3:$DH$129,AQ$1,0),0)</f>
        <v>0</v>
      </c>
      <c r="AR62" s="14">
        <f>IFERROR(VLOOKUP($G62,'Visu totale'!$D$3:$DH$129,AR$1,0),0)</f>
        <v>0</v>
      </c>
      <c r="AS62" s="13">
        <f>IFERROR(VLOOKUP($G62,'Visu totale'!$D$3:$DH$129,AS$1,0),0)</f>
        <v>0</v>
      </c>
      <c r="AT62" s="13">
        <f>IFERROR(VLOOKUP($G62,'Visu totale'!$D$3:$DH$129,AT$1,0),0)</f>
        <v>0</v>
      </c>
      <c r="AU62" s="13">
        <f>IFERROR(VLOOKUP($G62,'Visu totale'!$D$3:$DH$129,AU$1,0),0)</f>
        <v>0</v>
      </c>
      <c r="AV62" s="13">
        <f>IFERROR(VLOOKUP($G62,'Visu totale'!$D$3:$DH$129,AV$1,0),0)</f>
        <v>0</v>
      </c>
      <c r="AW62" s="13">
        <f>IFERROR(VLOOKUP($G62,'Visu totale'!$D$3:$DH$129,AW$1,0),0)</f>
        <v>0</v>
      </c>
      <c r="AX62" s="13">
        <f>IFERROR(VLOOKUP($G62,'Visu totale'!$D$3:$DH$129,AX$1,0),0)</f>
        <v>0</v>
      </c>
      <c r="AY62" s="13">
        <f>IFERROR(VLOOKUP($G62,'Visu totale'!$D$3:$DH$129,AY$1,0),0)</f>
        <v>0</v>
      </c>
      <c r="AZ62" s="13">
        <f>IFERROR(VLOOKUP($G62,'Visu totale'!$D$3:$DH$129,AZ$1,0),0)</f>
        <v>0</v>
      </c>
      <c r="BA62" s="13">
        <f>IFERROR(VLOOKUP($G62,'Visu totale'!$D$3:$DH$129,BA$1,0),0)</f>
        <v>0</v>
      </c>
      <c r="BB62" s="13">
        <f>IFERROR(VLOOKUP($G62,'Visu totale'!$D$3:$DH$129,BB$1,0),0)</f>
        <v>0</v>
      </c>
      <c r="BC62" s="15">
        <f>IFERROR(VLOOKUP($G62,'Visu totale'!$D$3:$DH$129,BC$1,0),0)</f>
        <v>0</v>
      </c>
      <c r="BD62" s="14">
        <f>IFERROR(VLOOKUP($G62,'Visu totale'!$D$3:$DH$129,BD$1,0),0)</f>
        <v>0</v>
      </c>
      <c r="BE62" s="13">
        <f>IFERROR(VLOOKUP($G62,'Visu totale'!$D$3:$DH$129,BE$1,0),0)</f>
        <v>0</v>
      </c>
      <c r="BF62" s="13">
        <f>IFERROR(VLOOKUP($G62,'Visu totale'!$D$3:$DH$129,BF$1,0),0)</f>
        <v>0</v>
      </c>
      <c r="BG62" s="13">
        <f>IFERROR(VLOOKUP($G62,'Visu totale'!$D$3:$DH$129,BG$1,0),0)</f>
        <v>0</v>
      </c>
      <c r="BH62" s="13">
        <f>IFERROR(VLOOKUP($G62,'Visu totale'!$D$3:$DH$129,BH$1,0),0)</f>
        <v>0</v>
      </c>
      <c r="BI62" s="13">
        <f>IFERROR(VLOOKUP($G62,'Visu totale'!$D$3:$DH$129,BI$1,0),0)</f>
        <v>0</v>
      </c>
      <c r="BJ62" s="13">
        <f>IFERROR(VLOOKUP($G62,'Visu totale'!$D$3:$DH$129,BJ$1,0),0)</f>
        <v>0</v>
      </c>
      <c r="BK62" s="13">
        <f>IFERROR(VLOOKUP($G62,'Visu totale'!$D$3:$DH$129,BK$1,0),0)</f>
        <v>0</v>
      </c>
      <c r="BL62" s="13">
        <f>IFERROR(VLOOKUP($G62,'Visu totale'!$D$3:$DH$129,BL$1,0),0)</f>
        <v>0</v>
      </c>
      <c r="BM62" s="13">
        <f>IFERROR(VLOOKUP($G62,'Visu totale'!$D$3:$DH$129,BM$1,0),0)</f>
        <v>0</v>
      </c>
      <c r="BN62" s="13">
        <f>IFERROR(VLOOKUP($G62,'Visu totale'!$D$3:$DH$129,BN$1,0),0)</f>
        <v>0</v>
      </c>
      <c r="BO62" s="15">
        <f>IFERROR(VLOOKUP($G62,'Visu totale'!$D$3:$DH$129,BO$1,0),0)</f>
        <v>0</v>
      </c>
      <c r="BP62" s="14">
        <f>IFERROR(VLOOKUP($G62,'Visu totale'!$D$3:$DH$129,BP$1,0),0)</f>
        <v>0</v>
      </c>
      <c r="BQ62" s="13">
        <f>IFERROR(VLOOKUP($G62,'Visu totale'!$D$3:$DH$129,BQ$1,0),0)</f>
        <v>0</v>
      </c>
      <c r="BR62" s="13">
        <f>IFERROR(VLOOKUP($G62,'Visu totale'!$D$3:$DH$129,BR$1,0),0)</f>
        <v>0</v>
      </c>
      <c r="BS62" s="13">
        <f>IFERROR(VLOOKUP($G62,'Visu totale'!$D$3:$DH$129,BS$1,0),0)</f>
        <v>0</v>
      </c>
      <c r="BT62" s="13">
        <f>IFERROR(VLOOKUP($G62,'Visu totale'!$D$3:$DH$129,BT$1,0),0)</f>
        <v>0</v>
      </c>
      <c r="BU62" s="13">
        <f>IFERROR(VLOOKUP($G62,'Visu totale'!$D$3:$DH$129,BU$1,0),0)</f>
        <v>0</v>
      </c>
      <c r="BV62" s="13">
        <f>IFERROR(VLOOKUP($G62,'Visu totale'!$D$3:$DH$129,BV$1,0),0)</f>
        <v>0</v>
      </c>
      <c r="BW62" s="13">
        <f>IFERROR(VLOOKUP($G62,'Visu totale'!$D$3:$DH$129,BW$1,0),0)</f>
        <v>0</v>
      </c>
      <c r="BX62" s="13">
        <f>IFERROR(VLOOKUP($G62,'Visu totale'!$D$3:$DH$129,BX$1,0),0)</f>
        <v>0</v>
      </c>
      <c r="BY62" s="13">
        <f>IFERROR(VLOOKUP($G62,'Visu totale'!$D$3:$DH$129,BY$1,0),0)</f>
        <v>0</v>
      </c>
      <c r="BZ62" s="13">
        <f>IFERROR(VLOOKUP($G62,'Visu totale'!$D$3:$DH$129,BZ$1,0),0)</f>
        <v>0</v>
      </c>
      <c r="CA62" s="15">
        <f>IFERROR(VLOOKUP($G62,'Visu totale'!$D$3:$DH$129,CA$1,0),0)</f>
        <v>0</v>
      </c>
      <c r="CB62" s="14">
        <f>IFERROR(VLOOKUP($G62,'Visu totale'!$D$3:$DH$129,CB$1,0),0)</f>
        <v>0</v>
      </c>
      <c r="CC62" s="13">
        <f>IFERROR(VLOOKUP($G62,'Visu totale'!$D$3:$DH$129,CC$1,0),0)</f>
        <v>0</v>
      </c>
      <c r="CD62" s="13">
        <f>IFERROR(VLOOKUP($G62,'Visu totale'!$D$3:$DH$129,CD$1,0),0)</f>
        <v>0</v>
      </c>
      <c r="CE62" s="13">
        <f>IFERROR(VLOOKUP($G62,'Visu totale'!$D$3:$DH$129,CE$1,0),0)</f>
        <v>0</v>
      </c>
      <c r="CF62" s="13">
        <f>IFERROR(VLOOKUP($G62,'Visu totale'!$D$3:$DH$129,CF$1,0),0)</f>
        <v>0</v>
      </c>
      <c r="CG62" s="13">
        <f>IFERROR(VLOOKUP($G62,'Visu totale'!$D$3:$DH$129,CG$1,0),0)</f>
        <v>0</v>
      </c>
      <c r="CH62" s="13">
        <f>IFERROR(VLOOKUP($G62,'Visu totale'!$D$3:$DH$129,CH$1,0),0)</f>
        <v>0</v>
      </c>
      <c r="CI62" s="13">
        <f>IFERROR(VLOOKUP($G62,'Visu totale'!$D$3:$DH$129,CI$1,0),0)</f>
        <v>0</v>
      </c>
      <c r="CJ62" s="13">
        <f>IFERROR(VLOOKUP($G62,'Visu totale'!$D$3:$DH$129,CJ$1,0),0)</f>
        <v>0</v>
      </c>
      <c r="CK62" s="13">
        <f>IFERROR(VLOOKUP($G62,'Visu totale'!$D$3:$DH$129,CK$1,0),0)</f>
        <v>0</v>
      </c>
      <c r="CL62" s="13">
        <f>IFERROR(VLOOKUP($G62,'Visu totale'!$D$3:$DH$129,CL$1,0),0)</f>
        <v>0</v>
      </c>
      <c r="CM62" s="15">
        <f>IFERROR(VLOOKUP($G62,'Visu totale'!$D$3:$DH$129,CM$1,0),0)</f>
        <v>0</v>
      </c>
      <c r="CN62" s="14">
        <f>IFERROR(VLOOKUP($G62,'Visu totale'!$D$3:$DH$129,CN$1,0),0)</f>
        <v>0</v>
      </c>
      <c r="CO62" s="13">
        <f>IFERROR(VLOOKUP($G62,'Visu totale'!$D$3:$DH$129,CO$1,0),0)</f>
        <v>0</v>
      </c>
      <c r="CP62" s="13">
        <f>IFERROR(VLOOKUP($G62,'Visu totale'!$D$3:$DH$129,CP$1,0),0)</f>
        <v>0</v>
      </c>
      <c r="CQ62" s="13">
        <f>IFERROR(VLOOKUP($G62,'Visu totale'!$D$3:$DH$129,CQ$1,0),0)</f>
        <v>0</v>
      </c>
      <c r="CR62" s="13">
        <f>IFERROR(VLOOKUP($G62,'Visu totale'!$D$3:$DH$129,CR$1,0),0)</f>
        <v>0</v>
      </c>
      <c r="CS62" s="13">
        <f>IFERROR(VLOOKUP($G62,'Visu totale'!$D$3:$DH$129,CS$1,0),0)</f>
        <v>0</v>
      </c>
      <c r="CT62" s="13">
        <f>IFERROR(VLOOKUP($G62,'Visu totale'!$D$3:$DH$129,CT$1,0),0)</f>
        <v>0</v>
      </c>
      <c r="CU62" s="13">
        <f>IFERROR(VLOOKUP($G62,'Visu totale'!$D$3:$DH$129,CU$1,0),0)</f>
        <v>0</v>
      </c>
      <c r="CV62" s="13">
        <f>IFERROR(VLOOKUP($G62,'Visu totale'!$D$3:$DH$129,CV$1,0),0)</f>
        <v>0</v>
      </c>
      <c r="CW62" s="13">
        <f>IFERROR(VLOOKUP($G62,'Visu totale'!$D$3:$DH$129,CW$1,0),0)</f>
        <v>0</v>
      </c>
      <c r="CX62" s="13">
        <f>IFERROR(VLOOKUP($G62,'Visu totale'!$D$3:$DH$129,CX$1,0),0)</f>
        <v>0</v>
      </c>
      <c r="CY62" s="15">
        <f>IFERROR(VLOOKUP($G62,'Visu totale'!$D$3:$DH$129,CY$1,0),0)</f>
        <v>0</v>
      </c>
      <c r="CZ62" s="14">
        <f>IFERROR(VLOOKUP($G62,'Visu totale'!$D$3:$DH$129,CZ$1,0),0)</f>
        <v>0</v>
      </c>
      <c r="DA62" s="13">
        <f>IFERROR(VLOOKUP($G62,'Visu totale'!$D$3:$DH$129,DA$1,0),0)</f>
        <v>0</v>
      </c>
      <c r="DB62" s="13">
        <f>IFERROR(VLOOKUP($G62,'Visu totale'!$D$3:$DH$129,DB$1,0),0)</f>
        <v>0</v>
      </c>
      <c r="DC62" s="13">
        <f>IFERROR(VLOOKUP($G62,'Visu totale'!$D$3:$DH$129,DC$1,0),0)</f>
        <v>0</v>
      </c>
      <c r="DD62" s="13">
        <f>IFERROR(VLOOKUP($G62,'Visu totale'!$D$3:$DH$129,DD$1,0),0)</f>
        <v>0</v>
      </c>
      <c r="DE62" s="13">
        <f>IFERROR(VLOOKUP($G62,'Visu totale'!$D$3:$DH$129,DE$1,0),0)</f>
        <v>0</v>
      </c>
      <c r="DF62" s="13">
        <f>IFERROR(VLOOKUP($G62,'Visu totale'!$D$3:$DH$129,DF$1,0),0)</f>
        <v>0</v>
      </c>
      <c r="DG62" s="13">
        <f>IFERROR(VLOOKUP($G62,'Visu totale'!$D$3:$DH$129,DG$1,0),0)</f>
        <v>0</v>
      </c>
      <c r="DH62" s="13">
        <f>IFERROR(VLOOKUP($G62,'Visu totale'!$D$3:$DH$129,DH$1,0),0)</f>
        <v>0</v>
      </c>
      <c r="DI62" s="13">
        <f>IFERROR(VLOOKUP($G62,'Visu totale'!$D$3:$DH$129,DI$1,0),0)</f>
        <v>0</v>
      </c>
      <c r="DJ62" s="13">
        <f>IFERROR(VLOOKUP($G62,'Visu totale'!$D$3:$DH$129,DJ$1,0),0)</f>
        <v>0</v>
      </c>
      <c r="DK62" s="15">
        <f>IFERROR(VLOOKUP($G62,'Visu totale'!$D$3:$DH$129,DK$1,0),0)</f>
        <v>0</v>
      </c>
    </row>
    <row r="63" spans="1:115" x14ac:dyDescent="0.25">
      <c r="A63" s="13"/>
      <c r="B63" s="13"/>
      <c r="C63" s="13"/>
      <c r="D63" s="16"/>
      <c r="E63" s="13"/>
      <c r="F63" s="13"/>
      <c r="G63" s="17" t="s">
        <v>65</v>
      </c>
      <c r="H63" s="14">
        <f>IFERROR(VLOOKUP($G63,'Visu totale'!$D$3:$DH$129,H$1,0),0)</f>
        <v>0</v>
      </c>
      <c r="I63" s="13">
        <f>IFERROR(VLOOKUP($G63,'Visu totale'!$D$3:$DH$129,I$1,0),0)</f>
        <v>0</v>
      </c>
      <c r="J63" s="13">
        <f>IFERROR(VLOOKUP($G63,'Visu totale'!$D$3:$DH$129,J$1,0),0)</f>
        <v>0</v>
      </c>
      <c r="K63" s="13">
        <f>IFERROR(VLOOKUP($G63,'Visu totale'!$D$3:$DH$129,K$1,0),0)</f>
        <v>0</v>
      </c>
      <c r="L63" s="13">
        <f>IFERROR(VLOOKUP($G63,'Visu totale'!$D$3:$DH$129,L$1,0),0)</f>
        <v>0</v>
      </c>
      <c r="M63" s="13">
        <f>IFERROR(VLOOKUP($G63,'Visu totale'!$D$3:$DH$129,M$1,0),0)</f>
        <v>0</v>
      </c>
      <c r="N63" s="13">
        <f>IFERROR(VLOOKUP($G63,'Visu totale'!$D$3:$DH$129,N$1,0),0)</f>
        <v>0</v>
      </c>
      <c r="O63" s="13">
        <f>IFERROR(VLOOKUP($G63,'Visu totale'!$D$3:$DH$129,O$1,0),0)</f>
        <v>0</v>
      </c>
      <c r="P63" s="13">
        <f>IFERROR(VLOOKUP($G63,'Visu totale'!$D$3:$DH$129,P$1,0),0)</f>
        <v>0</v>
      </c>
      <c r="Q63" s="13">
        <f>IFERROR(VLOOKUP($G63,'Visu totale'!$D$3:$DH$129,Q$1,0),0)</f>
        <v>0</v>
      </c>
      <c r="R63" s="13">
        <f>IFERROR(VLOOKUP($G63,'Visu totale'!$D$3:$DH$129,R$1,0),0)</f>
        <v>0</v>
      </c>
      <c r="S63" s="15">
        <f>IFERROR(VLOOKUP($G63,'Visu totale'!$D$3:$DH$129,S$1,0),0)</f>
        <v>0</v>
      </c>
      <c r="T63" s="14">
        <f>IFERROR(VLOOKUP($G63,'Visu totale'!$D$3:$DH$129,T$1,0),0)</f>
        <v>0</v>
      </c>
      <c r="U63" s="13">
        <f>IFERROR(VLOOKUP($G63,'Visu totale'!$D$3:$DH$129,U$1,0),0)</f>
        <v>0</v>
      </c>
      <c r="V63" s="13">
        <f>IFERROR(VLOOKUP($G63,'Visu totale'!$D$3:$DH$129,V$1,0),0)</f>
        <v>0</v>
      </c>
      <c r="W63" s="13">
        <f>IFERROR(VLOOKUP($G63,'Visu totale'!$D$3:$DH$129,W$1,0),0)</f>
        <v>0</v>
      </c>
      <c r="X63" s="13">
        <f>IFERROR(VLOOKUP($G63,'Visu totale'!$D$3:$DH$129,X$1,0),0)</f>
        <v>0</v>
      </c>
      <c r="Y63" s="13">
        <f>IFERROR(VLOOKUP($G63,'Visu totale'!$D$3:$DH$129,Y$1,0),0)</f>
        <v>0</v>
      </c>
      <c r="Z63" s="13">
        <f>IFERROR(VLOOKUP($G63,'Visu totale'!$D$3:$DH$129,Z$1,0),0)</f>
        <v>0</v>
      </c>
      <c r="AA63" s="13">
        <f>IFERROR(VLOOKUP($G63,'Visu totale'!$D$3:$DH$129,AA$1,0),0)</f>
        <v>0</v>
      </c>
      <c r="AB63" s="13">
        <f>IFERROR(VLOOKUP($G63,'Visu totale'!$D$3:$DH$129,AB$1,0),0)</f>
        <v>0</v>
      </c>
      <c r="AC63" s="13">
        <f>IFERROR(VLOOKUP($G63,'Visu totale'!$D$3:$DH$129,AC$1,0),0)</f>
        <v>0</v>
      </c>
      <c r="AD63" s="13">
        <f>IFERROR(VLOOKUP($G63,'Visu totale'!$D$3:$DH$129,AD$1,0),0)</f>
        <v>0</v>
      </c>
      <c r="AE63" s="15">
        <f>IFERROR(VLOOKUP($G63,'Visu totale'!$D$3:$DH$129,AE$1,0),0)</f>
        <v>0</v>
      </c>
      <c r="AF63" s="14">
        <f>IFERROR(VLOOKUP($G63,'Visu totale'!$D$3:$DH$129,AF$1,0),0)</f>
        <v>0</v>
      </c>
      <c r="AG63" s="13">
        <f>IFERROR(VLOOKUP($G63,'Visu totale'!$D$3:$DH$129,AG$1,0),0)</f>
        <v>0</v>
      </c>
      <c r="AH63" s="13">
        <f>IFERROR(VLOOKUP($G63,'Visu totale'!$D$3:$DH$129,AH$1,0),0)</f>
        <v>0</v>
      </c>
      <c r="AI63" s="13">
        <f>IFERROR(VLOOKUP($G63,'Visu totale'!$D$3:$DH$129,AI$1,0),0)</f>
        <v>0</v>
      </c>
      <c r="AJ63" s="13">
        <f>IFERROR(VLOOKUP($G63,'Visu totale'!$D$3:$DH$129,AJ$1,0),0)</f>
        <v>0</v>
      </c>
      <c r="AK63" s="13">
        <f>IFERROR(VLOOKUP($G63,'Visu totale'!$D$3:$DH$129,AK$1,0),0)</f>
        <v>0</v>
      </c>
      <c r="AL63" s="13">
        <f>IFERROR(VLOOKUP($G63,'Visu totale'!$D$3:$DH$129,AL$1,0),0)</f>
        <v>0</v>
      </c>
      <c r="AM63" s="13">
        <f>IFERROR(VLOOKUP($G63,'Visu totale'!$D$3:$DH$129,AM$1,0),0)</f>
        <v>0</v>
      </c>
      <c r="AN63" s="13">
        <f>IFERROR(VLOOKUP($G63,'Visu totale'!$D$3:$DH$129,AN$1,0),0)</f>
        <v>0</v>
      </c>
      <c r="AO63" s="13">
        <f>IFERROR(VLOOKUP($G63,'Visu totale'!$D$3:$DH$129,AO$1,0),0)</f>
        <v>0</v>
      </c>
      <c r="AP63" s="13">
        <f>IFERROR(VLOOKUP($G63,'Visu totale'!$D$3:$DH$129,AP$1,0),0)</f>
        <v>0</v>
      </c>
      <c r="AQ63" s="15">
        <f>IFERROR(VLOOKUP($G63,'Visu totale'!$D$3:$DH$129,AQ$1,0),0)</f>
        <v>0</v>
      </c>
      <c r="AR63" s="14">
        <f>IFERROR(VLOOKUP($G63,'Visu totale'!$D$3:$DH$129,AR$1,0),0)</f>
        <v>0</v>
      </c>
      <c r="AS63" s="13">
        <f>IFERROR(VLOOKUP($G63,'Visu totale'!$D$3:$DH$129,AS$1,0),0)</f>
        <v>0</v>
      </c>
      <c r="AT63" s="13">
        <f>IFERROR(VLOOKUP($G63,'Visu totale'!$D$3:$DH$129,AT$1,0),0)</f>
        <v>0</v>
      </c>
      <c r="AU63" s="13">
        <f>IFERROR(VLOOKUP($G63,'Visu totale'!$D$3:$DH$129,AU$1,0),0)</f>
        <v>0</v>
      </c>
      <c r="AV63" s="13">
        <f>IFERROR(VLOOKUP($G63,'Visu totale'!$D$3:$DH$129,AV$1,0),0)</f>
        <v>0</v>
      </c>
      <c r="AW63" s="13">
        <f>IFERROR(VLOOKUP($G63,'Visu totale'!$D$3:$DH$129,AW$1,0),0)</f>
        <v>0</v>
      </c>
      <c r="AX63" s="13">
        <f>IFERROR(VLOOKUP($G63,'Visu totale'!$D$3:$DH$129,AX$1,0),0)</f>
        <v>0</v>
      </c>
      <c r="AY63" s="13">
        <f>IFERROR(VLOOKUP($G63,'Visu totale'!$D$3:$DH$129,AY$1,0),0)</f>
        <v>0</v>
      </c>
      <c r="AZ63" s="13">
        <f>IFERROR(VLOOKUP($G63,'Visu totale'!$D$3:$DH$129,AZ$1,0),0)</f>
        <v>0</v>
      </c>
      <c r="BA63" s="13">
        <f>IFERROR(VLOOKUP($G63,'Visu totale'!$D$3:$DH$129,BA$1,0),0)</f>
        <v>0</v>
      </c>
      <c r="BB63" s="13">
        <f>IFERROR(VLOOKUP($G63,'Visu totale'!$D$3:$DH$129,BB$1,0),0)</f>
        <v>0</v>
      </c>
      <c r="BC63" s="15">
        <f>IFERROR(VLOOKUP($G63,'Visu totale'!$D$3:$DH$129,BC$1,0),0)</f>
        <v>0</v>
      </c>
      <c r="BD63" s="14">
        <f>IFERROR(VLOOKUP($G63,'Visu totale'!$D$3:$DH$129,BD$1,0),0)</f>
        <v>0</v>
      </c>
      <c r="BE63" s="13">
        <f>IFERROR(VLOOKUP($G63,'Visu totale'!$D$3:$DH$129,BE$1,0),0)</f>
        <v>0</v>
      </c>
      <c r="BF63" s="13">
        <f>IFERROR(VLOOKUP($G63,'Visu totale'!$D$3:$DH$129,BF$1,0),0)</f>
        <v>0</v>
      </c>
      <c r="BG63" s="13">
        <f>IFERROR(VLOOKUP($G63,'Visu totale'!$D$3:$DH$129,BG$1,0),0)</f>
        <v>0</v>
      </c>
      <c r="BH63" s="13">
        <f>IFERROR(VLOOKUP($G63,'Visu totale'!$D$3:$DH$129,BH$1,0),0)</f>
        <v>0</v>
      </c>
      <c r="BI63" s="13">
        <f>IFERROR(VLOOKUP($G63,'Visu totale'!$D$3:$DH$129,BI$1,0),0)</f>
        <v>0</v>
      </c>
      <c r="BJ63" s="13">
        <f>IFERROR(VLOOKUP($G63,'Visu totale'!$D$3:$DH$129,BJ$1,0),0)</f>
        <v>0</v>
      </c>
      <c r="BK63" s="13">
        <f>IFERROR(VLOOKUP($G63,'Visu totale'!$D$3:$DH$129,BK$1,0),0)</f>
        <v>0</v>
      </c>
      <c r="BL63" s="13">
        <f>IFERROR(VLOOKUP($G63,'Visu totale'!$D$3:$DH$129,BL$1,0),0)</f>
        <v>0</v>
      </c>
      <c r="BM63" s="13">
        <f>IFERROR(VLOOKUP($G63,'Visu totale'!$D$3:$DH$129,BM$1,0),0)</f>
        <v>0</v>
      </c>
      <c r="BN63" s="13">
        <f>IFERROR(VLOOKUP($G63,'Visu totale'!$D$3:$DH$129,BN$1,0),0)</f>
        <v>0</v>
      </c>
      <c r="BO63" s="15">
        <f>IFERROR(VLOOKUP($G63,'Visu totale'!$D$3:$DH$129,BO$1,0),0)</f>
        <v>0</v>
      </c>
      <c r="BP63" s="14">
        <f>IFERROR(VLOOKUP($G63,'Visu totale'!$D$3:$DH$129,BP$1,0),0)</f>
        <v>0</v>
      </c>
      <c r="BQ63" s="13">
        <f>IFERROR(VLOOKUP($G63,'Visu totale'!$D$3:$DH$129,BQ$1,0),0)</f>
        <v>0</v>
      </c>
      <c r="BR63" s="13">
        <f>IFERROR(VLOOKUP($G63,'Visu totale'!$D$3:$DH$129,BR$1,0),0)</f>
        <v>0</v>
      </c>
      <c r="BS63" s="13">
        <f>IFERROR(VLOOKUP($G63,'Visu totale'!$D$3:$DH$129,BS$1,0),0)</f>
        <v>0</v>
      </c>
      <c r="BT63" s="13">
        <f>IFERROR(VLOOKUP($G63,'Visu totale'!$D$3:$DH$129,BT$1,0),0)</f>
        <v>0</v>
      </c>
      <c r="BU63" s="13">
        <f>IFERROR(VLOOKUP($G63,'Visu totale'!$D$3:$DH$129,BU$1,0),0)</f>
        <v>0</v>
      </c>
      <c r="BV63" s="13">
        <f>IFERROR(VLOOKUP($G63,'Visu totale'!$D$3:$DH$129,BV$1,0),0)</f>
        <v>0</v>
      </c>
      <c r="BW63" s="13">
        <f>IFERROR(VLOOKUP($G63,'Visu totale'!$D$3:$DH$129,BW$1,0),0)</f>
        <v>0</v>
      </c>
      <c r="BX63" s="13">
        <f>IFERROR(VLOOKUP($G63,'Visu totale'!$D$3:$DH$129,BX$1,0),0)</f>
        <v>0</v>
      </c>
      <c r="BY63" s="13">
        <f>IFERROR(VLOOKUP($G63,'Visu totale'!$D$3:$DH$129,BY$1,0),0)</f>
        <v>0</v>
      </c>
      <c r="BZ63" s="13">
        <f>IFERROR(VLOOKUP($G63,'Visu totale'!$D$3:$DH$129,BZ$1,0),0)</f>
        <v>0</v>
      </c>
      <c r="CA63" s="15">
        <f>IFERROR(VLOOKUP($G63,'Visu totale'!$D$3:$DH$129,CA$1,0),0)</f>
        <v>0</v>
      </c>
      <c r="CB63" s="14">
        <f>IFERROR(VLOOKUP($G63,'Visu totale'!$D$3:$DH$129,CB$1,0),0)</f>
        <v>0</v>
      </c>
      <c r="CC63" s="13">
        <f>IFERROR(VLOOKUP($G63,'Visu totale'!$D$3:$DH$129,CC$1,0),0)</f>
        <v>0</v>
      </c>
      <c r="CD63" s="13">
        <f>IFERROR(VLOOKUP($G63,'Visu totale'!$D$3:$DH$129,CD$1,0),0)</f>
        <v>0</v>
      </c>
      <c r="CE63" s="13">
        <f>IFERROR(VLOOKUP($G63,'Visu totale'!$D$3:$DH$129,CE$1,0),0)</f>
        <v>0</v>
      </c>
      <c r="CF63" s="13">
        <f>IFERROR(VLOOKUP($G63,'Visu totale'!$D$3:$DH$129,CF$1,0),0)</f>
        <v>0</v>
      </c>
      <c r="CG63" s="13">
        <f>IFERROR(VLOOKUP($G63,'Visu totale'!$D$3:$DH$129,CG$1,0),0)</f>
        <v>0</v>
      </c>
      <c r="CH63" s="13">
        <f>IFERROR(VLOOKUP($G63,'Visu totale'!$D$3:$DH$129,CH$1,0),0)</f>
        <v>0</v>
      </c>
      <c r="CI63" s="13">
        <f>IFERROR(VLOOKUP($G63,'Visu totale'!$D$3:$DH$129,CI$1,0),0)</f>
        <v>0</v>
      </c>
      <c r="CJ63" s="13">
        <f>IFERROR(VLOOKUP($G63,'Visu totale'!$D$3:$DH$129,CJ$1,0),0)</f>
        <v>0</v>
      </c>
      <c r="CK63" s="13">
        <f>IFERROR(VLOOKUP($G63,'Visu totale'!$D$3:$DH$129,CK$1,0),0)</f>
        <v>0</v>
      </c>
      <c r="CL63" s="13">
        <f>IFERROR(VLOOKUP($G63,'Visu totale'!$D$3:$DH$129,CL$1,0),0)</f>
        <v>0</v>
      </c>
      <c r="CM63" s="15">
        <f>IFERROR(VLOOKUP($G63,'Visu totale'!$D$3:$DH$129,CM$1,0),0)</f>
        <v>0</v>
      </c>
      <c r="CN63" s="14">
        <f>IFERROR(VLOOKUP($G63,'Visu totale'!$D$3:$DH$129,CN$1,0),0)</f>
        <v>0</v>
      </c>
      <c r="CO63" s="13">
        <f>IFERROR(VLOOKUP($G63,'Visu totale'!$D$3:$DH$129,CO$1,0),0)</f>
        <v>0</v>
      </c>
      <c r="CP63" s="13">
        <f>IFERROR(VLOOKUP($G63,'Visu totale'!$D$3:$DH$129,CP$1,0),0)</f>
        <v>0</v>
      </c>
      <c r="CQ63" s="13">
        <f>IFERROR(VLOOKUP($G63,'Visu totale'!$D$3:$DH$129,CQ$1,0),0)</f>
        <v>0</v>
      </c>
      <c r="CR63" s="13">
        <f>IFERROR(VLOOKUP($G63,'Visu totale'!$D$3:$DH$129,CR$1,0),0)</f>
        <v>0</v>
      </c>
      <c r="CS63" s="13">
        <f>IFERROR(VLOOKUP($G63,'Visu totale'!$D$3:$DH$129,CS$1,0),0)</f>
        <v>0</v>
      </c>
      <c r="CT63" s="13">
        <f>IFERROR(VLOOKUP($G63,'Visu totale'!$D$3:$DH$129,CT$1,0),0)</f>
        <v>0</v>
      </c>
      <c r="CU63" s="13">
        <f>IFERROR(VLOOKUP($G63,'Visu totale'!$D$3:$DH$129,CU$1,0),0)</f>
        <v>0</v>
      </c>
      <c r="CV63" s="13">
        <f>IFERROR(VLOOKUP($G63,'Visu totale'!$D$3:$DH$129,CV$1,0),0)</f>
        <v>0</v>
      </c>
      <c r="CW63" s="13">
        <f>IFERROR(VLOOKUP($G63,'Visu totale'!$D$3:$DH$129,CW$1,0),0)</f>
        <v>0</v>
      </c>
      <c r="CX63" s="13">
        <f>IFERROR(VLOOKUP($G63,'Visu totale'!$D$3:$DH$129,CX$1,0),0)</f>
        <v>0</v>
      </c>
      <c r="CY63" s="15">
        <f>IFERROR(VLOOKUP($G63,'Visu totale'!$D$3:$DH$129,CY$1,0),0)</f>
        <v>0</v>
      </c>
      <c r="CZ63" s="14">
        <f>IFERROR(VLOOKUP($G63,'Visu totale'!$D$3:$DH$129,CZ$1,0),0)</f>
        <v>0</v>
      </c>
      <c r="DA63" s="13">
        <f>IFERROR(VLOOKUP($G63,'Visu totale'!$D$3:$DH$129,DA$1,0),0)</f>
        <v>0</v>
      </c>
      <c r="DB63" s="13">
        <f>IFERROR(VLOOKUP($G63,'Visu totale'!$D$3:$DH$129,DB$1,0),0)</f>
        <v>0</v>
      </c>
      <c r="DC63" s="13">
        <f>IFERROR(VLOOKUP($G63,'Visu totale'!$D$3:$DH$129,DC$1,0),0)</f>
        <v>0</v>
      </c>
      <c r="DD63" s="13">
        <f>IFERROR(VLOOKUP($G63,'Visu totale'!$D$3:$DH$129,DD$1,0),0)</f>
        <v>0</v>
      </c>
      <c r="DE63" s="13">
        <f>IFERROR(VLOOKUP($G63,'Visu totale'!$D$3:$DH$129,DE$1,0),0)</f>
        <v>0</v>
      </c>
      <c r="DF63" s="13">
        <f>IFERROR(VLOOKUP($G63,'Visu totale'!$D$3:$DH$129,DF$1,0),0)</f>
        <v>0</v>
      </c>
      <c r="DG63" s="13">
        <f>IFERROR(VLOOKUP($G63,'Visu totale'!$D$3:$DH$129,DG$1,0),0)</f>
        <v>0</v>
      </c>
      <c r="DH63" s="13">
        <f>IFERROR(VLOOKUP($G63,'Visu totale'!$D$3:$DH$129,DH$1,0),0)</f>
        <v>0</v>
      </c>
      <c r="DI63" s="13">
        <f>IFERROR(VLOOKUP($G63,'Visu totale'!$D$3:$DH$129,DI$1,0),0)</f>
        <v>0</v>
      </c>
      <c r="DJ63" s="13">
        <f>IFERROR(VLOOKUP($G63,'Visu totale'!$D$3:$DH$129,DJ$1,0),0)</f>
        <v>0</v>
      </c>
      <c r="DK63" s="15">
        <f>IFERROR(VLOOKUP($G63,'Visu totale'!$D$3:$DH$129,DK$1,0),0)</f>
        <v>0</v>
      </c>
    </row>
    <row r="64" spans="1:115" x14ac:dyDescent="0.25">
      <c r="A64" s="13"/>
      <c r="B64" s="13"/>
      <c r="C64" s="13"/>
      <c r="D64" s="16"/>
      <c r="E64" s="13"/>
      <c r="F64" s="13"/>
      <c r="G64" s="17" t="s">
        <v>66</v>
      </c>
      <c r="H64" s="14">
        <f>IFERROR(VLOOKUP($G64,'Visu totale'!$D$3:$DH$129,H$1,0),0)</f>
        <v>0</v>
      </c>
      <c r="I64" s="13">
        <f>IFERROR(VLOOKUP($G64,'Visu totale'!$D$3:$DH$129,I$1,0),0)</f>
        <v>0</v>
      </c>
      <c r="J64" s="13">
        <f>IFERROR(VLOOKUP($G64,'Visu totale'!$D$3:$DH$129,J$1,0),0)</f>
        <v>0</v>
      </c>
      <c r="K64" s="13">
        <f>IFERROR(VLOOKUP($G64,'Visu totale'!$D$3:$DH$129,K$1,0),0)</f>
        <v>0</v>
      </c>
      <c r="L64" s="13">
        <f>IFERROR(VLOOKUP($G64,'Visu totale'!$D$3:$DH$129,L$1,0),0)</f>
        <v>0</v>
      </c>
      <c r="M64" s="13">
        <f>IFERROR(VLOOKUP($G64,'Visu totale'!$D$3:$DH$129,M$1,0),0)</f>
        <v>0</v>
      </c>
      <c r="N64" s="13">
        <f>IFERROR(VLOOKUP($G64,'Visu totale'!$D$3:$DH$129,N$1,0),0)</f>
        <v>0</v>
      </c>
      <c r="O64" s="13">
        <f>IFERROR(VLOOKUP($G64,'Visu totale'!$D$3:$DH$129,O$1,0),0)</f>
        <v>0</v>
      </c>
      <c r="P64" s="13">
        <f>IFERROR(VLOOKUP($G64,'Visu totale'!$D$3:$DH$129,P$1,0),0)</f>
        <v>0</v>
      </c>
      <c r="Q64" s="13">
        <f>IFERROR(VLOOKUP($G64,'Visu totale'!$D$3:$DH$129,Q$1,0),0)</f>
        <v>0</v>
      </c>
      <c r="R64" s="13">
        <f>IFERROR(VLOOKUP($G64,'Visu totale'!$D$3:$DH$129,R$1,0),0)</f>
        <v>0</v>
      </c>
      <c r="S64" s="15">
        <f>IFERROR(VLOOKUP($G64,'Visu totale'!$D$3:$DH$129,S$1,0),0)</f>
        <v>0</v>
      </c>
      <c r="T64" s="14">
        <f>IFERROR(VLOOKUP($G64,'Visu totale'!$D$3:$DH$129,T$1,0),0)</f>
        <v>0</v>
      </c>
      <c r="U64" s="13">
        <f>IFERROR(VLOOKUP($G64,'Visu totale'!$D$3:$DH$129,U$1,0),0)</f>
        <v>0</v>
      </c>
      <c r="V64" s="13">
        <f>IFERROR(VLOOKUP($G64,'Visu totale'!$D$3:$DH$129,V$1,0),0)</f>
        <v>0</v>
      </c>
      <c r="W64" s="13">
        <f>IFERROR(VLOOKUP($G64,'Visu totale'!$D$3:$DH$129,W$1,0),0)</f>
        <v>0</v>
      </c>
      <c r="X64" s="13">
        <f>IFERROR(VLOOKUP($G64,'Visu totale'!$D$3:$DH$129,X$1,0),0)</f>
        <v>0</v>
      </c>
      <c r="Y64" s="13">
        <f>IFERROR(VLOOKUP($G64,'Visu totale'!$D$3:$DH$129,Y$1,0),0)</f>
        <v>0</v>
      </c>
      <c r="Z64" s="13">
        <f>IFERROR(VLOOKUP($G64,'Visu totale'!$D$3:$DH$129,Z$1,0),0)</f>
        <v>0</v>
      </c>
      <c r="AA64" s="13">
        <f>IFERROR(VLOOKUP($G64,'Visu totale'!$D$3:$DH$129,AA$1,0),0)</f>
        <v>0</v>
      </c>
      <c r="AB64" s="13">
        <f>IFERROR(VLOOKUP($G64,'Visu totale'!$D$3:$DH$129,AB$1,0),0)</f>
        <v>0</v>
      </c>
      <c r="AC64" s="13">
        <f>IFERROR(VLOOKUP($G64,'Visu totale'!$D$3:$DH$129,AC$1,0),0)</f>
        <v>0</v>
      </c>
      <c r="AD64" s="13">
        <f>IFERROR(VLOOKUP($G64,'Visu totale'!$D$3:$DH$129,AD$1,0),0)</f>
        <v>0</v>
      </c>
      <c r="AE64" s="15">
        <f>IFERROR(VLOOKUP($G64,'Visu totale'!$D$3:$DH$129,AE$1,0),0)</f>
        <v>0</v>
      </c>
      <c r="AF64" s="14">
        <f>IFERROR(VLOOKUP($G64,'Visu totale'!$D$3:$DH$129,AF$1,0),0)</f>
        <v>0</v>
      </c>
      <c r="AG64" s="13">
        <f>IFERROR(VLOOKUP($G64,'Visu totale'!$D$3:$DH$129,AG$1,0),0)</f>
        <v>0</v>
      </c>
      <c r="AH64" s="13">
        <f>IFERROR(VLOOKUP($G64,'Visu totale'!$D$3:$DH$129,AH$1,0),0)</f>
        <v>0</v>
      </c>
      <c r="AI64" s="13">
        <f>IFERROR(VLOOKUP($G64,'Visu totale'!$D$3:$DH$129,AI$1,0),0)</f>
        <v>0</v>
      </c>
      <c r="AJ64" s="13">
        <f>IFERROR(VLOOKUP($G64,'Visu totale'!$D$3:$DH$129,AJ$1,0),0)</f>
        <v>0</v>
      </c>
      <c r="AK64" s="13">
        <f>IFERROR(VLOOKUP($G64,'Visu totale'!$D$3:$DH$129,AK$1,0),0)</f>
        <v>0</v>
      </c>
      <c r="AL64" s="13">
        <f>IFERROR(VLOOKUP($G64,'Visu totale'!$D$3:$DH$129,AL$1,0),0)</f>
        <v>0</v>
      </c>
      <c r="AM64" s="13">
        <f>IFERROR(VLOOKUP($G64,'Visu totale'!$D$3:$DH$129,AM$1,0),0)</f>
        <v>0</v>
      </c>
      <c r="AN64" s="13">
        <f>IFERROR(VLOOKUP($G64,'Visu totale'!$D$3:$DH$129,AN$1,0),0)</f>
        <v>0</v>
      </c>
      <c r="AO64" s="13">
        <f>IFERROR(VLOOKUP($G64,'Visu totale'!$D$3:$DH$129,AO$1,0),0)</f>
        <v>0</v>
      </c>
      <c r="AP64" s="13">
        <f>IFERROR(VLOOKUP($G64,'Visu totale'!$D$3:$DH$129,AP$1,0),0)</f>
        <v>0</v>
      </c>
      <c r="AQ64" s="15">
        <f>IFERROR(VLOOKUP($G64,'Visu totale'!$D$3:$DH$129,AQ$1,0),0)</f>
        <v>0</v>
      </c>
      <c r="AR64" s="14">
        <f>IFERROR(VLOOKUP($G64,'Visu totale'!$D$3:$DH$129,AR$1,0),0)</f>
        <v>0</v>
      </c>
      <c r="AS64" s="13">
        <f>IFERROR(VLOOKUP($G64,'Visu totale'!$D$3:$DH$129,AS$1,0),0)</f>
        <v>0</v>
      </c>
      <c r="AT64" s="13">
        <f>IFERROR(VLOOKUP($G64,'Visu totale'!$D$3:$DH$129,AT$1,0),0)</f>
        <v>0</v>
      </c>
      <c r="AU64" s="13">
        <f>IFERROR(VLOOKUP($G64,'Visu totale'!$D$3:$DH$129,AU$1,0),0)</f>
        <v>0</v>
      </c>
      <c r="AV64" s="13">
        <f>IFERROR(VLOOKUP($G64,'Visu totale'!$D$3:$DH$129,AV$1,0),0)</f>
        <v>0</v>
      </c>
      <c r="AW64" s="13">
        <f>IFERROR(VLOOKUP($G64,'Visu totale'!$D$3:$DH$129,AW$1,0),0)</f>
        <v>0</v>
      </c>
      <c r="AX64" s="13">
        <f>IFERROR(VLOOKUP($G64,'Visu totale'!$D$3:$DH$129,AX$1,0),0)</f>
        <v>0</v>
      </c>
      <c r="AY64" s="13">
        <f>IFERROR(VLOOKUP($G64,'Visu totale'!$D$3:$DH$129,AY$1,0),0)</f>
        <v>0</v>
      </c>
      <c r="AZ64" s="13">
        <f>IFERROR(VLOOKUP($G64,'Visu totale'!$D$3:$DH$129,AZ$1,0),0)</f>
        <v>0</v>
      </c>
      <c r="BA64" s="13">
        <f>IFERROR(VLOOKUP($G64,'Visu totale'!$D$3:$DH$129,BA$1,0),0)</f>
        <v>0</v>
      </c>
      <c r="BB64" s="13">
        <f>IFERROR(VLOOKUP($G64,'Visu totale'!$D$3:$DH$129,BB$1,0),0)</f>
        <v>0</v>
      </c>
      <c r="BC64" s="15">
        <f>IFERROR(VLOOKUP($G64,'Visu totale'!$D$3:$DH$129,BC$1,0),0)</f>
        <v>0</v>
      </c>
      <c r="BD64" s="14">
        <f>IFERROR(VLOOKUP($G64,'Visu totale'!$D$3:$DH$129,BD$1,0),0)</f>
        <v>0</v>
      </c>
      <c r="BE64" s="13">
        <f>IFERROR(VLOOKUP($G64,'Visu totale'!$D$3:$DH$129,BE$1,0),0)</f>
        <v>0</v>
      </c>
      <c r="BF64" s="13">
        <f>IFERROR(VLOOKUP($G64,'Visu totale'!$D$3:$DH$129,BF$1,0),0)</f>
        <v>0</v>
      </c>
      <c r="BG64" s="13">
        <f>IFERROR(VLOOKUP($G64,'Visu totale'!$D$3:$DH$129,BG$1,0),0)</f>
        <v>0</v>
      </c>
      <c r="BH64" s="13">
        <f>IFERROR(VLOOKUP($G64,'Visu totale'!$D$3:$DH$129,BH$1,0),0)</f>
        <v>0</v>
      </c>
      <c r="BI64" s="13">
        <f>IFERROR(VLOOKUP($G64,'Visu totale'!$D$3:$DH$129,BI$1,0),0)</f>
        <v>0</v>
      </c>
      <c r="BJ64" s="13">
        <f>IFERROR(VLOOKUP($G64,'Visu totale'!$D$3:$DH$129,BJ$1,0),0)</f>
        <v>0</v>
      </c>
      <c r="BK64" s="13">
        <f>IFERROR(VLOOKUP($G64,'Visu totale'!$D$3:$DH$129,BK$1,0),0)</f>
        <v>0</v>
      </c>
      <c r="BL64" s="13">
        <f>IFERROR(VLOOKUP($G64,'Visu totale'!$D$3:$DH$129,BL$1,0),0)</f>
        <v>0</v>
      </c>
      <c r="BM64" s="13">
        <f>IFERROR(VLOOKUP($G64,'Visu totale'!$D$3:$DH$129,BM$1,0),0)</f>
        <v>0</v>
      </c>
      <c r="BN64" s="13">
        <f>IFERROR(VLOOKUP($G64,'Visu totale'!$D$3:$DH$129,BN$1,0),0)</f>
        <v>0</v>
      </c>
      <c r="BO64" s="15">
        <f>IFERROR(VLOOKUP($G64,'Visu totale'!$D$3:$DH$129,BO$1,0),0)</f>
        <v>0</v>
      </c>
      <c r="BP64" s="14">
        <f>IFERROR(VLOOKUP($G64,'Visu totale'!$D$3:$DH$129,BP$1,0),0)</f>
        <v>0</v>
      </c>
      <c r="BQ64" s="13">
        <f>IFERROR(VLOOKUP($G64,'Visu totale'!$D$3:$DH$129,BQ$1,0),0)</f>
        <v>0</v>
      </c>
      <c r="BR64" s="13">
        <f>IFERROR(VLOOKUP($G64,'Visu totale'!$D$3:$DH$129,BR$1,0),0)</f>
        <v>0</v>
      </c>
      <c r="BS64" s="13">
        <f>IFERROR(VLOOKUP($G64,'Visu totale'!$D$3:$DH$129,BS$1,0),0)</f>
        <v>0</v>
      </c>
      <c r="BT64" s="13">
        <f>IFERROR(VLOOKUP($G64,'Visu totale'!$D$3:$DH$129,BT$1,0),0)</f>
        <v>0</v>
      </c>
      <c r="BU64" s="13">
        <f>IFERROR(VLOOKUP($G64,'Visu totale'!$D$3:$DH$129,BU$1,0),0)</f>
        <v>0</v>
      </c>
      <c r="BV64" s="13">
        <f>IFERROR(VLOOKUP($G64,'Visu totale'!$D$3:$DH$129,BV$1,0),0)</f>
        <v>0</v>
      </c>
      <c r="BW64" s="13">
        <f>IFERROR(VLOOKUP($G64,'Visu totale'!$D$3:$DH$129,BW$1,0),0)</f>
        <v>0</v>
      </c>
      <c r="BX64" s="13">
        <f>IFERROR(VLOOKUP($G64,'Visu totale'!$D$3:$DH$129,BX$1,0),0)</f>
        <v>0</v>
      </c>
      <c r="BY64" s="13">
        <f>IFERROR(VLOOKUP($G64,'Visu totale'!$D$3:$DH$129,BY$1,0),0)</f>
        <v>0</v>
      </c>
      <c r="BZ64" s="13">
        <f>IFERROR(VLOOKUP($G64,'Visu totale'!$D$3:$DH$129,BZ$1,0),0)</f>
        <v>0</v>
      </c>
      <c r="CA64" s="15">
        <f>IFERROR(VLOOKUP($G64,'Visu totale'!$D$3:$DH$129,CA$1,0),0)</f>
        <v>0</v>
      </c>
      <c r="CB64" s="14">
        <f>IFERROR(VLOOKUP($G64,'Visu totale'!$D$3:$DH$129,CB$1,0),0)</f>
        <v>0</v>
      </c>
      <c r="CC64" s="13">
        <f>IFERROR(VLOOKUP($G64,'Visu totale'!$D$3:$DH$129,CC$1,0),0)</f>
        <v>0</v>
      </c>
      <c r="CD64" s="13">
        <f>IFERROR(VLOOKUP($G64,'Visu totale'!$D$3:$DH$129,CD$1,0),0)</f>
        <v>0</v>
      </c>
      <c r="CE64" s="13">
        <f>IFERROR(VLOOKUP($G64,'Visu totale'!$D$3:$DH$129,CE$1,0),0)</f>
        <v>0</v>
      </c>
      <c r="CF64" s="13">
        <f>IFERROR(VLOOKUP($G64,'Visu totale'!$D$3:$DH$129,CF$1,0),0)</f>
        <v>0</v>
      </c>
      <c r="CG64" s="13">
        <f>IFERROR(VLOOKUP($G64,'Visu totale'!$D$3:$DH$129,CG$1,0),0)</f>
        <v>0</v>
      </c>
      <c r="CH64" s="13">
        <f>IFERROR(VLOOKUP($G64,'Visu totale'!$D$3:$DH$129,CH$1,0),0)</f>
        <v>0</v>
      </c>
      <c r="CI64" s="13">
        <f>IFERROR(VLOOKUP($G64,'Visu totale'!$D$3:$DH$129,CI$1,0),0)</f>
        <v>0</v>
      </c>
      <c r="CJ64" s="13">
        <f>IFERROR(VLOOKUP($G64,'Visu totale'!$D$3:$DH$129,CJ$1,0),0)</f>
        <v>0</v>
      </c>
      <c r="CK64" s="13">
        <f>IFERROR(VLOOKUP($G64,'Visu totale'!$D$3:$DH$129,CK$1,0),0)</f>
        <v>0</v>
      </c>
      <c r="CL64" s="13">
        <f>IFERROR(VLOOKUP($G64,'Visu totale'!$D$3:$DH$129,CL$1,0),0)</f>
        <v>0</v>
      </c>
      <c r="CM64" s="15">
        <f>IFERROR(VLOOKUP($G64,'Visu totale'!$D$3:$DH$129,CM$1,0),0)</f>
        <v>0</v>
      </c>
      <c r="CN64" s="14">
        <f>IFERROR(VLOOKUP($G64,'Visu totale'!$D$3:$DH$129,CN$1,0),0)</f>
        <v>0</v>
      </c>
      <c r="CO64" s="13">
        <f>IFERROR(VLOOKUP($G64,'Visu totale'!$D$3:$DH$129,CO$1,0),0)</f>
        <v>0</v>
      </c>
      <c r="CP64" s="13">
        <f>IFERROR(VLOOKUP($G64,'Visu totale'!$D$3:$DH$129,CP$1,0),0)</f>
        <v>0</v>
      </c>
      <c r="CQ64" s="13">
        <f>IFERROR(VLOOKUP($G64,'Visu totale'!$D$3:$DH$129,CQ$1,0),0)</f>
        <v>0</v>
      </c>
      <c r="CR64" s="13">
        <f>IFERROR(VLOOKUP($G64,'Visu totale'!$D$3:$DH$129,CR$1,0),0)</f>
        <v>0</v>
      </c>
      <c r="CS64" s="13">
        <f>IFERROR(VLOOKUP($G64,'Visu totale'!$D$3:$DH$129,CS$1,0),0)</f>
        <v>0</v>
      </c>
      <c r="CT64" s="13">
        <f>IFERROR(VLOOKUP($G64,'Visu totale'!$D$3:$DH$129,CT$1,0),0)</f>
        <v>0</v>
      </c>
      <c r="CU64" s="13">
        <f>IFERROR(VLOOKUP($G64,'Visu totale'!$D$3:$DH$129,CU$1,0),0)</f>
        <v>0</v>
      </c>
      <c r="CV64" s="13">
        <f>IFERROR(VLOOKUP($G64,'Visu totale'!$D$3:$DH$129,CV$1,0),0)</f>
        <v>0</v>
      </c>
      <c r="CW64" s="13">
        <f>IFERROR(VLOOKUP($G64,'Visu totale'!$D$3:$DH$129,CW$1,0),0)</f>
        <v>0</v>
      </c>
      <c r="CX64" s="13">
        <f>IFERROR(VLOOKUP($G64,'Visu totale'!$D$3:$DH$129,CX$1,0),0)</f>
        <v>0</v>
      </c>
      <c r="CY64" s="15">
        <f>IFERROR(VLOOKUP($G64,'Visu totale'!$D$3:$DH$129,CY$1,0),0)</f>
        <v>0</v>
      </c>
      <c r="CZ64" s="14">
        <f>IFERROR(VLOOKUP($G64,'Visu totale'!$D$3:$DH$129,CZ$1,0),0)</f>
        <v>0</v>
      </c>
      <c r="DA64" s="13">
        <f>IFERROR(VLOOKUP($G64,'Visu totale'!$D$3:$DH$129,DA$1,0),0)</f>
        <v>0</v>
      </c>
      <c r="DB64" s="13">
        <f>IFERROR(VLOOKUP($G64,'Visu totale'!$D$3:$DH$129,DB$1,0),0)</f>
        <v>0</v>
      </c>
      <c r="DC64" s="13">
        <f>IFERROR(VLOOKUP($G64,'Visu totale'!$D$3:$DH$129,DC$1,0),0)</f>
        <v>0</v>
      </c>
      <c r="DD64" s="13">
        <f>IFERROR(VLOOKUP($G64,'Visu totale'!$D$3:$DH$129,DD$1,0),0)</f>
        <v>0</v>
      </c>
      <c r="DE64" s="13">
        <f>IFERROR(VLOOKUP($G64,'Visu totale'!$D$3:$DH$129,DE$1,0),0)</f>
        <v>0</v>
      </c>
      <c r="DF64" s="13">
        <f>IFERROR(VLOOKUP($G64,'Visu totale'!$D$3:$DH$129,DF$1,0),0)</f>
        <v>0</v>
      </c>
      <c r="DG64" s="13">
        <f>IFERROR(VLOOKUP($G64,'Visu totale'!$D$3:$DH$129,DG$1,0),0)</f>
        <v>0</v>
      </c>
      <c r="DH64" s="13">
        <f>IFERROR(VLOOKUP($G64,'Visu totale'!$D$3:$DH$129,DH$1,0),0)</f>
        <v>0</v>
      </c>
      <c r="DI64" s="13">
        <f>IFERROR(VLOOKUP($G64,'Visu totale'!$D$3:$DH$129,DI$1,0),0)</f>
        <v>0</v>
      </c>
      <c r="DJ64" s="13">
        <f>IFERROR(VLOOKUP($G64,'Visu totale'!$D$3:$DH$129,DJ$1,0),0)</f>
        <v>0</v>
      </c>
      <c r="DK64" s="15">
        <f>IFERROR(VLOOKUP($G64,'Visu totale'!$D$3:$DH$129,DK$1,0),0)</f>
        <v>0</v>
      </c>
    </row>
    <row r="65" spans="1:115" x14ac:dyDescent="0.25">
      <c r="A65" s="13"/>
      <c r="B65" s="13"/>
      <c r="C65" s="13"/>
      <c r="D65" s="16"/>
      <c r="E65" s="13"/>
      <c r="F65" s="13"/>
      <c r="G65" s="17" t="s">
        <v>67</v>
      </c>
      <c r="H65" s="14">
        <f>IFERROR(VLOOKUP($G65,'Visu totale'!$D$3:$DH$129,H$1,0),0)</f>
        <v>0</v>
      </c>
      <c r="I65" s="13">
        <f>IFERROR(VLOOKUP($G65,'Visu totale'!$D$3:$DH$129,I$1,0),0)</f>
        <v>0</v>
      </c>
      <c r="J65" s="13">
        <f>IFERROR(VLOOKUP($G65,'Visu totale'!$D$3:$DH$129,J$1,0),0)</f>
        <v>0</v>
      </c>
      <c r="K65" s="13">
        <f>IFERROR(VLOOKUP($G65,'Visu totale'!$D$3:$DH$129,K$1,0),0)</f>
        <v>0</v>
      </c>
      <c r="L65" s="13">
        <f>IFERROR(VLOOKUP($G65,'Visu totale'!$D$3:$DH$129,L$1,0),0)</f>
        <v>0</v>
      </c>
      <c r="M65" s="13">
        <f>IFERROR(VLOOKUP($G65,'Visu totale'!$D$3:$DH$129,M$1,0),0)</f>
        <v>0</v>
      </c>
      <c r="N65" s="13">
        <f>IFERROR(VLOOKUP($G65,'Visu totale'!$D$3:$DH$129,N$1,0),0)</f>
        <v>0</v>
      </c>
      <c r="O65" s="13">
        <f>IFERROR(VLOOKUP($G65,'Visu totale'!$D$3:$DH$129,O$1,0),0)</f>
        <v>0</v>
      </c>
      <c r="P65" s="13">
        <f>IFERROR(VLOOKUP($G65,'Visu totale'!$D$3:$DH$129,P$1,0),0)</f>
        <v>0</v>
      </c>
      <c r="Q65" s="13">
        <f>IFERROR(VLOOKUP($G65,'Visu totale'!$D$3:$DH$129,Q$1,0),0)</f>
        <v>0</v>
      </c>
      <c r="R65" s="13">
        <f>IFERROR(VLOOKUP($G65,'Visu totale'!$D$3:$DH$129,R$1,0),0)</f>
        <v>0</v>
      </c>
      <c r="S65" s="15">
        <f>IFERROR(VLOOKUP($G65,'Visu totale'!$D$3:$DH$129,S$1,0),0)</f>
        <v>0</v>
      </c>
      <c r="T65" s="14">
        <f>IFERROR(VLOOKUP($G65,'Visu totale'!$D$3:$DH$129,T$1,0),0)</f>
        <v>0</v>
      </c>
      <c r="U65" s="13">
        <f>IFERROR(VLOOKUP($G65,'Visu totale'!$D$3:$DH$129,U$1,0),0)</f>
        <v>0</v>
      </c>
      <c r="V65" s="13">
        <f>IFERROR(VLOOKUP($G65,'Visu totale'!$D$3:$DH$129,V$1,0),0)</f>
        <v>0</v>
      </c>
      <c r="W65" s="13">
        <f>IFERROR(VLOOKUP($G65,'Visu totale'!$D$3:$DH$129,W$1,0),0)</f>
        <v>0</v>
      </c>
      <c r="X65" s="13">
        <f>IFERROR(VLOOKUP($G65,'Visu totale'!$D$3:$DH$129,X$1,0),0)</f>
        <v>0</v>
      </c>
      <c r="Y65" s="13">
        <f>IFERROR(VLOOKUP($G65,'Visu totale'!$D$3:$DH$129,Y$1,0),0)</f>
        <v>0</v>
      </c>
      <c r="Z65" s="13">
        <f>IFERROR(VLOOKUP($G65,'Visu totale'!$D$3:$DH$129,Z$1,0),0)</f>
        <v>0</v>
      </c>
      <c r="AA65" s="13">
        <f>IFERROR(VLOOKUP($G65,'Visu totale'!$D$3:$DH$129,AA$1,0),0)</f>
        <v>0</v>
      </c>
      <c r="AB65" s="13">
        <f>IFERROR(VLOOKUP($G65,'Visu totale'!$D$3:$DH$129,AB$1,0),0)</f>
        <v>0</v>
      </c>
      <c r="AC65" s="13">
        <f>IFERROR(VLOOKUP($G65,'Visu totale'!$D$3:$DH$129,AC$1,0),0)</f>
        <v>0</v>
      </c>
      <c r="AD65" s="13">
        <f>IFERROR(VLOOKUP($G65,'Visu totale'!$D$3:$DH$129,AD$1,0),0)</f>
        <v>0</v>
      </c>
      <c r="AE65" s="15">
        <f>IFERROR(VLOOKUP($G65,'Visu totale'!$D$3:$DH$129,AE$1,0),0)</f>
        <v>0</v>
      </c>
      <c r="AF65" s="14">
        <f>IFERROR(VLOOKUP($G65,'Visu totale'!$D$3:$DH$129,AF$1,0),0)</f>
        <v>0</v>
      </c>
      <c r="AG65" s="13">
        <f>IFERROR(VLOOKUP($G65,'Visu totale'!$D$3:$DH$129,AG$1,0),0)</f>
        <v>0</v>
      </c>
      <c r="AH65" s="13">
        <f>IFERROR(VLOOKUP($G65,'Visu totale'!$D$3:$DH$129,AH$1,0),0)</f>
        <v>0</v>
      </c>
      <c r="AI65" s="13">
        <f>IFERROR(VLOOKUP($G65,'Visu totale'!$D$3:$DH$129,AI$1,0),0)</f>
        <v>0</v>
      </c>
      <c r="AJ65" s="13">
        <f>IFERROR(VLOOKUP($G65,'Visu totale'!$D$3:$DH$129,AJ$1,0),0)</f>
        <v>0</v>
      </c>
      <c r="AK65" s="13">
        <f>IFERROR(VLOOKUP($G65,'Visu totale'!$D$3:$DH$129,AK$1,0),0)</f>
        <v>0</v>
      </c>
      <c r="AL65" s="13">
        <f>IFERROR(VLOOKUP($G65,'Visu totale'!$D$3:$DH$129,AL$1,0),0)</f>
        <v>0</v>
      </c>
      <c r="AM65" s="13">
        <f>IFERROR(VLOOKUP($G65,'Visu totale'!$D$3:$DH$129,AM$1,0),0)</f>
        <v>0</v>
      </c>
      <c r="AN65" s="13">
        <f>IFERROR(VLOOKUP($G65,'Visu totale'!$D$3:$DH$129,AN$1,0),0)</f>
        <v>0</v>
      </c>
      <c r="AO65" s="13">
        <f>IFERROR(VLOOKUP($G65,'Visu totale'!$D$3:$DH$129,AO$1,0),0)</f>
        <v>0</v>
      </c>
      <c r="AP65" s="13">
        <f>IFERROR(VLOOKUP($G65,'Visu totale'!$D$3:$DH$129,AP$1,0),0)</f>
        <v>0</v>
      </c>
      <c r="AQ65" s="15">
        <f>IFERROR(VLOOKUP($G65,'Visu totale'!$D$3:$DH$129,AQ$1,0),0)</f>
        <v>0</v>
      </c>
      <c r="AR65" s="14">
        <f>IFERROR(VLOOKUP($G65,'Visu totale'!$D$3:$DH$129,AR$1,0),0)</f>
        <v>0</v>
      </c>
      <c r="AS65" s="13">
        <f>IFERROR(VLOOKUP($G65,'Visu totale'!$D$3:$DH$129,AS$1,0),0)</f>
        <v>0</v>
      </c>
      <c r="AT65" s="13">
        <f>IFERROR(VLOOKUP($G65,'Visu totale'!$D$3:$DH$129,AT$1,0),0)</f>
        <v>0</v>
      </c>
      <c r="AU65" s="13">
        <f>IFERROR(VLOOKUP($G65,'Visu totale'!$D$3:$DH$129,AU$1,0),0)</f>
        <v>0</v>
      </c>
      <c r="AV65" s="13">
        <f>IFERROR(VLOOKUP($G65,'Visu totale'!$D$3:$DH$129,AV$1,0),0)</f>
        <v>0</v>
      </c>
      <c r="AW65" s="13">
        <f>IFERROR(VLOOKUP($G65,'Visu totale'!$D$3:$DH$129,AW$1,0),0)</f>
        <v>0</v>
      </c>
      <c r="AX65" s="13">
        <f>IFERROR(VLOOKUP($G65,'Visu totale'!$D$3:$DH$129,AX$1,0),0)</f>
        <v>0</v>
      </c>
      <c r="AY65" s="13">
        <f>IFERROR(VLOOKUP($G65,'Visu totale'!$D$3:$DH$129,AY$1,0),0)</f>
        <v>0</v>
      </c>
      <c r="AZ65" s="13">
        <f>IFERROR(VLOOKUP($G65,'Visu totale'!$D$3:$DH$129,AZ$1,0),0)</f>
        <v>0</v>
      </c>
      <c r="BA65" s="13">
        <f>IFERROR(VLOOKUP($G65,'Visu totale'!$D$3:$DH$129,BA$1,0),0)</f>
        <v>0</v>
      </c>
      <c r="BB65" s="13">
        <f>IFERROR(VLOOKUP($G65,'Visu totale'!$D$3:$DH$129,BB$1,0),0)</f>
        <v>0</v>
      </c>
      <c r="BC65" s="15">
        <f>IFERROR(VLOOKUP($G65,'Visu totale'!$D$3:$DH$129,BC$1,0),0)</f>
        <v>0</v>
      </c>
      <c r="BD65" s="14">
        <f>IFERROR(VLOOKUP($G65,'Visu totale'!$D$3:$DH$129,BD$1,0),0)</f>
        <v>0</v>
      </c>
      <c r="BE65" s="13">
        <f>IFERROR(VLOOKUP($G65,'Visu totale'!$D$3:$DH$129,BE$1,0),0)</f>
        <v>0</v>
      </c>
      <c r="BF65" s="13">
        <f>IFERROR(VLOOKUP($G65,'Visu totale'!$D$3:$DH$129,BF$1,0),0)</f>
        <v>0</v>
      </c>
      <c r="BG65" s="13">
        <f>IFERROR(VLOOKUP($G65,'Visu totale'!$D$3:$DH$129,BG$1,0),0)</f>
        <v>0</v>
      </c>
      <c r="BH65" s="13">
        <f>IFERROR(VLOOKUP($G65,'Visu totale'!$D$3:$DH$129,BH$1,0),0)</f>
        <v>0</v>
      </c>
      <c r="BI65" s="13">
        <f>IFERROR(VLOOKUP($G65,'Visu totale'!$D$3:$DH$129,BI$1,0),0)</f>
        <v>0</v>
      </c>
      <c r="BJ65" s="13">
        <f>IFERROR(VLOOKUP($G65,'Visu totale'!$D$3:$DH$129,BJ$1,0),0)</f>
        <v>0</v>
      </c>
      <c r="BK65" s="13">
        <f>IFERROR(VLOOKUP($G65,'Visu totale'!$D$3:$DH$129,BK$1,0),0)</f>
        <v>0</v>
      </c>
      <c r="BL65" s="13">
        <f>IFERROR(VLOOKUP($G65,'Visu totale'!$D$3:$DH$129,BL$1,0),0)</f>
        <v>0</v>
      </c>
      <c r="BM65" s="13">
        <f>IFERROR(VLOOKUP($G65,'Visu totale'!$D$3:$DH$129,BM$1,0),0)</f>
        <v>0</v>
      </c>
      <c r="BN65" s="13">
        <f>IFERROR(VLOOKUP($G65,'Visu totale'!$D$3:$DH$129,BN$1,0),0)</f>
        <v>0</v>
      </c>
      <c r="BO65" s="15">
        <f>IFERROR(VLOOKUP($G65,'Visu totale'!$D$3:$DH$129,BO$1,0),0)</f>
        <v>0</v>
      </c>
      <c r="BP65" s="14">
        <f>IFERROR(VLOOKUP($G65,'Visu totale'!$D$3:$DH$129,BP$1,0),0)</f>
        <v>0</v>
      </c>
      <c r="BQ65" s="13">
        <f>IFERROR(VLOOKUP($G65,'Visu totale'!$D$3:$DH$129,BQ$1,0),0)</f>
        <v>0</v>
      </c>
      <c r="BR65" s="13">
        <f>IFERROR(VLOOKUP($G65,'Visu totale'!$D$3:$DH$129,BR$1,0),0)</f>
        <v>0</v>
      </c>
      <c r="BS65" s="13">
        <f>IFERROR(VLOOKUP($G65,'Visu totale'!$D$3:$DH$129,BS$1,0),0)</f>
        <v>0</v>
      </c>
      <c r="BT65" s="13">
        <f>IFERROR(VLOOKUP($G65,'Visu totale'!$D$3:$DH$129,BT$1,0),0)</f>
        <v>0</v>
      </c>
      <c r="BU65" s="13">
        <f>IFERROR(VLOOKUP($G65,'Visu totale'!$D$3:$DH$129,BU$1,0),0)</f>
        <v>0</v>
      </c>
      <c r="BV65" s="13">
        <f>IFERROR(VLOOKUP($G65,'Visu totale'!$D$3:$DH$129,BV$1,0),0)</f>
        <v>0</v>
      </c>
      <c r="BW65" s="13">
        <f>IFERROR(VLOOKUP($G65,'Visu totale'!$D$3:$DH$129,BW$1,0),0)</f>
        <v>0</v>
      </c>
      <c r="BX65" s="13">
        <f>IFERROR(VLOOKUP($G65,'Visu totale'!$D$3:$DH$129,BX$1,0),0)</f>
        <v>0</v>
      </c>
      <c r="BY65" s="13">
        <f>IFERROR(VLOOKUP($G65,'Visu totale'!$D$3:$DH$129,BY$1,0),0)</f>
        <v>0</v>
      </c>
      <c r="BZ65" s="13">
        <f>IFERROR(VLOOKUP($G65,'Visu totale'!$D$3:$DH$129,BZ$1,0),0)</f>
        <v>0</v>
      </c>
      <c r="CA65" s="15">
        <f>IFERROR(VLOOKUP($G65,'Visu totale'!$D$3:$DH$129,CA$1,0),0)</f>
        <v>0</v>
      </c>
      <c r="CB65" s="14">
        <f>IFERROR(VLOOKUP($G65,'Visu totale'!$D$3:$DH$129,CB$1,0),0)</f>
        <v>0</v>
      </c>
      <c r="CC65" s="13">
        <f>IFERROR(VLOOKUP($G65,'Visu totale'!$D$3:$DH$129,CC$1,0),0)</f>
        <v>0</v>
      </c>
      <c r="CD65" s="13">
        <f>IFERROR(VLOOKUP($G65,'Visu totale'!$D$3:$DH$129,CD$1,0),0)</f>
        <v>0</v>
      </c>
      <c r="CE65" s="13">
        <f>IFERROR(VLOOKUP($G65,'Visu totale'!$D$3:$DH$129,CE$1,0),0)</f>
        <v>0</v>
      </c>
      <c r="CF65" s="13">
        <f>IFERROR(VLOOKUP($G65,'Visu totale'!$D$3:$DH$129,CF$1,0),0)</f>
        <v>0</v>
      </c>
      <c r="CG65" s="13">
        <f>IFERROR(VLOOKUP($G65,'Visu totale'!$D$3:$DH$129,CG$1,0),0)</f>
        <v>0</v>
      </c>
      <c r="CH65" s="13">
        <f>IFERROR(VLOOKUP($G65,'Visu totale'!$D$3:$DH$129,CH$1,0),0)</f>
        <v>0</v>
      </c>
      <c r="CI65" s="13">
        <f>IFERROR(VLOOKUP($G65,'Visu totale'!$D$3:$DH$129,CI$1,0),0)</f>
        <v>0</v>
      </c>
      <c r="CJ65" s="13">
        <f>IFERROR(VLOOKUP($G65,'Visu totale'!$D$3:$DH$129,CJ$1,0),0)</f>
        <v>0</v>
      </c>
      <c r="CK65" s="13">
        <f>IFERROR(VLOOKUP($G65,'Visu totale'!$D$3:$DH$129,CK$1,0),0)</f>
        <v>0</v>
      </c>
      <c r="CL65" s="13">
        <f>IFERROR(VLOOKUP($G65,'Visu totale'!$D$3:$DH$129,CL$1,0),0)</f>
        <v>0</v>
      </c>
      <c r="CM65" s="15">
        <f>IFERROR(VLOOKUP($G65,'Visu totale'!$D$3:$DH$129,CM$1,0),0)</f>
        <v>0</v>
      </c>
      <c r="CN65" s="14">
        <f>IFERROR(VLOOKUP($G65,'Visu totale'!$D$3:$DH$129,CN$1,0),0)</f>
        <v>0</v>
      </c>
      <c r="CO65" s="13">
        <f>IFERROR(VLOOKUP($G65,'Visu totale'!$D$3:$DH$129,CO$1,0),0)</f>
        <v>0</v>
      </c>
      <c r="CP65" s="13">
        <f>IFERROR(VLOOKUP($G65,'Visu totale'!$D$3:$DH$129,CP$1,0),0)</f>
        <v>0</v>
      </c>
      <c r="CQ65" s="13">
        <f>IFERROR(VLOOKUP($G65,'Visu totale'!$D$3:$DH$129,CQ$1,0),0)</f>
        <v>0</v>
      </c>
      <c r="CR65" s="13">
        <f>IFERROR(VLOOKUP($G65,'Visu totale'!$D$3:$DH$129,CR$1,0),0)</f>
        <v>0</v>
      </c>
      <c r="CS65" s="13">
        <f>IFERROR(VLOOKUP($G65,'Visu totale'!$D$3:$DH$129,CS$1,0),0)</f>
        <v>0</v>
      </c>
      <c r="CT65" s="13">
        <f>IFERROR(VLOOKUP($G65,'Visu totale'!$D$3:$DH$129,CT$1,0),0)</f>
        <v>0</v>
      </c>
      <c r="CU65" s="13">
        <f>IFERROR(VLOOKUP($G65,'Visu totale'!$D$3:$DH$129,CU$1,0),0)</f>
        <v>0</v>
      </c>
      <c r="CV65" s="13">
        <f>IFERROR(VLOOKUP($G65,'Visu totale'!$D$3:$DH$129,CV$1,0),0)</f>
        <v>0</v>
      </c>
      <c r="CW65" s="13">
        <f>IFERROR(VLOOKUP($G65,'Visu totale'!$D$3:$DH$129,CW$1,0),0)</f>
        <v>0</v>
      </c>
      <c r="CX65" s="13">
        <f>IFERROR(VLOOKUP($G65,'Visu totale'!$D$3:$DH$129,CX$1,0),0)</f>
        <v>0</v>
      </c>
      <c r="CY65" s="15">
        <f>IFERROR(VLOOKUP($G65,'Visu totale'!$D$3:$DH$129,CY$1,0),0)</f>
        <v>0</v>
      </c>
      <c r="CZ65" s="14">
        <f>IFERROR(VLOOKUP($G65,'Visu totale'!$D$3:$DH$129,CZ$1,0),0)</f>
        <v>0</v>
      </c>
      <c r="DA65" s="13">
        <f>IFERROR(VLOOKUP($G65,'Visu totale'!$D$3:$DH$129,DA$1,0),0)</f>
        <v>0</v>
      </c>
      <c r="DB65" s="13">
        <f>IFERROR(VLOOKUP($G65,'Visu totale'!$D$3:$DH$129,DB$1,0),0)</f>
        <v>0</v>
      </c>
      <c r="DC65" s="13">
        <f>IFERROR(VLOOKUP($G65,'Visu totale'!$D$3:$DH$129,DC$1,0),0)</f>
        <v>0</v>
      </c>
      <c r="DD65" s="13">
        <f>IFERROR(VLOOKUP($G65,'Visu totale'!$D$3:$DH$129,DD$1,0),0)</f>
        <v>0</v>
      </c>
      <c r="DE65" s="13">
        <f>IFERROR(VLOOKUP($G65,'Visu totale'!$D$3:$DH$129,DE$1,0),0)</f>
        <v>0</v>
      </c>
      <c r="DF65" s="13">
        <f>IFERROR(VLOOKUP($G65,'Visu totale'!$D$3:$DH$129,DF$1,0),0)</f>
        <v>0</v>
      </c>
      <c r="DG65" s="13">
        <f>IFERROR(VLOOKUP($G65,'Visu totale'!$D$3:$DH$129,DG$1,0),0)</f>
        <v>0</v>
      </c>
      <c r="DH65" s="13">
        <f>IFERROR(VLOOKUP($G65,'Visu totale'!$D$3:$DH$129,DH$1,0),0)</f>
        <v>0</v>
      </c>
      <c r="DI65" s="13">
        <f>IFERROR(VLOOKUP($G65,'Visu totale'!$D$3:$DH$129,DI$1,0),0)</f>
        <v>0</v>
      </c>
      <c r="DJ65" s="13">
        <f>IFERROR(VLOOKUP($G65,'Visu totale'!$D$3:$DH$129,DJ$1,0),0)</f>
        <v>0</v>
      </c>
      <c r="DK65" s="15">
        <f>IFERROR(VLOOKUP($G65,'Visu totale'!$D$3:$DH$129,DK$1,0),0)</f>
        <v>0</v>
      </c>
    </row>
    <row r="66" spans="1:115" x14ac:dyDescent="0.25">
      <c r="A66" s="13"/>
      <c r="B66" s="13"/>
      <c r="C66" s="13"/>
      <c r="D66" s="16"/>
      <c r="E66" s="13"/>
      <c r="F66" s="13"/>
      <c r="G66" s="17" t="s">
        <v>68</v>
      </c>
      <c r="H66" s="14">
        <f>IFERROR(VLOOKUP($G66,'Visu totale'!$D$3:$DH$129,H$1,0),0)</f>
        <v>0</v>
      </c>
      <c r="I66" s="13">
        <f>IFERROR(VLOOKUP($G66,'Visu totale'!$D$3:$DH$129,I$1,0),0)</f>
        <v>0</v>
      </c>
      <c r="J66" s="13">
        <f>IFERROR(VLOOKUP($G66,'Visu totale'!$D$3:$DH$129,J$1,0),0)</f>
        <v>0</v>
      </c>
      <c r="K66" s="13">
        <f>IFERROR(VLOOKUP($G66,'Visu totale'!$D$3:$DH$129,K$1,0),0)</f>
        <v>0</v>
      </c>
      <c r="L66" s="13">
        <f>IFERROR(VLOOKUP($G66,'Visu totale'!$D$3:$DH$129,L$1,0),0)</f>
        <v>0</v>
      </c>
      <c r="M66" s="13">
        <f>IFERROR(VLOOKUP($G66,'Visu totale'!$D$3:$DH$129,M$1,0),0)</f>
        <v>0</v>
      </c>
      <c r="N66" s="13">
        <f>IFERROR(VLOOKUP($G66,'Visu totale'!$D$3:$DH$129,N$1,0),0)</f>
        <v>0</v>
      </c>
      <c r="O66" s="13">
        <f>IFERROR(VLOOKUP($G66,'Visu totale'!$D$3:$DH$129,O$1,0),0)</f>
        <v>0</v>
      </c>
      <c r="P66" s="13">
        <f>IFERROR(VLOOKUP($G66,'Visu totale'!$D$3:$DH$129,P$1,0),0)</f>
        <v>0</v>
      </c>
      <c r="Q66" s="13">
        <f>IFERROR(VLOOKUP($G66,'Visu totale'!$D$3:$DH$129,Q$1,0),0)</f>
        <v>0</v>
      </c>
      <c r="R66" s="13">
        <f>IFERROR(VLOOKUP($G66,'Visu totale'!$D$3:$DH$129,R$1,0),0)</f>
        <v>0</v>
      </c>
      <c r="S66" s="15">
        <f>IFERROR(VLOOKUP($G66,'Visu totale'!$D$3:$DH$129,S$1,0),0)</f>
        <v>0</v>
      </c>
      <c r="T66" s="14">
        <f>IFERROR(VLOOKUP($G66,'Visu totale'!$D$3:$DH$129,T$1,0),0)</f>
        <v>0</v>
      </c>
      <c r="U66" s="13">
        <f>IFERROR(VLOOKUP($G66,'Visu totale'!$D$3:$DH$129,U$1,0),0)</f>
        <v>0</v>
      </c>
      <c r="V66" s="13">
        <f>IFERROR(VLOOKUP($G66,'Visu totale'!$D$3:$DH$129,V$1,0),0)</f>
        <v>0</v>
      </c>
      <c r="W66" s="13">
        <f>IFERROR(VLOOKUP($G66,'Visu totale'!$D$3:$DH$129,W$1,0),0)</f>
        <v>0</v>
      </c>
      <c r="X66" s="13">
        <f>IFERROR(VLOOKUP($G66,'Visu totale'!$D$3:$DH$129,X$1,0),0)</f>
        <v>0</v>
      </c>
      <c r="Y66" s="13">
        <f>IFERROR(VLOOKUP($G66,'Visu totale'!$D$3:$DH$129,Y$1,0),0)</f>
        <v>0</v>
      </c>
      <c r="Z66" s="13">
        <f>IFERROR(VLOOKUP($G66,'Visu totale'!$D$3:$DH$129,Z$1,0),0)</f>
        <v>0</v>
      </c>
      <c r="AA66" s="13">
        <f>IFERROR(VLOOKUP($G66,'Visu totale'!$D$3:$DH$129,AA$1,0),0)</f>
        <v>0</v>
      </c>
      <c r="AB66" s="13">
        <f>IFERROR(VLOOKUP($G66,'Visu totale'!$D$3:$DH$129,AB$1,0),0)</f>
        <v>0</v>
      </c>
      <c r="AC66" s="13">
        <f>IFERROR(VLOOKUP($G66,'Visu totale'!$D$3:$DH$129,AC$1,0),0)</f>
        <v>0</v>
      </c>
      <c r="AD66" s="13">
        <f>IFERROR(VLOOKUP($G66,'Visu totale'!$D$3:$DH$129,AD$1,0),0)</f>
        <v>0</v>
      </c>
      <c r="AE66" s="15">
        <f>IFERROR(VLOOKUP($G66,'Visu totale'!$D$3:$DH$129,AE$1,0),0)</f>
        <v>0</v>
      </c>
      <c r="AF66" s="14">
        <f>IFERROR(VLOOKUP($G66,'Visu totale'!$D$3:$DH$129,AF$1,0),0)</f>
        <v>0</v>
      </c>
      <c r="AG66" s="13">
        <f>IFERROR(VLOOKUP($G66,'Visu totale'!$D$3:$DH$129,AG$1,0),0)</f>
        <v>0</v>
      </c>
      <c r="AH66" s="13">
        <f>IFERROR(VLOOKUP($G66,'Visu totale'!$D$3:$DH$129,AH$1,0),0)</f>
        <v>0</v>
      </c>
      <c r="AI66" s="13">
        <f>IFERROR(VLOOKUP($G66,'Visu totale'!$D$3:$DH$129,AI$1,0),0)</f>
        <v>0</v>
      </c>
      <c r="AJ66" s="13">
        <f>IFERROR(VLOOKUP($G66,'Visu totale'!$D$3:$DH$129,AJ$1,0),0)</f>
        <v>0</v>
      </c>
      <c r="AK66" s="13">
        <f>IFERROR(VLOOKUP($G66,'Visu totale'!$D$3:$DH$129,AK$1,0),0)</f>
        <v>0</v>
      </c>
      <c r="AL66" s="13">
        <f>IFERROR(VLOOKUP($G66,'Visu totale'!$D$3:$DH$129,AL$1,0),0)</f>
        <v>0</v>
      </c>
      <c r="AM66" s="13">
        <f>IFERROR(VLOOKUP($G66,'Visu totale'!$D$3:$DH$129,AM$1,0),0)</f>
        <v>0</v>
      </c>
      <c r="AN66" s="13">
        <f>IFERROR(VLOOKUP($G66,'Visu totale'!$D$3:$DH$129,AN$1,0),0)</f>
        <v>0</v>
      </c>
      <c r="AO66" s="13">
        <f>IFERROR(VLOOKUP($G66,'Visu totale'!$D$3:$DH$129,AO$1,0),0)</f>
        <v>0</v>
      </c>
      <c r="AP66" s="13">
        <f>IFERROR(VLOOKUP($G66,'Visu totale'!$D$3:$DH$129,AP$1,0),0)</f>
        <v>0</v>
      </c>
      <c r="AQ66" s="15">
        <f>IFERROR(VLOOKUP($G66,'Visu totale'!$D$3:$DH$129,AQ$1,0),0)</f>
        <v>0</v>
      </c>
      <c r="AR66" s="14">
        <f>IFERROR(VLOOKUP($G66,'Visu totale'!$D$3:$DH$129,AR$1,0),0)</f>
        <v>0</v>
      </c>
      <c r="AS66" s="13">
        <f>IFERROR(VLOOKUP($G66,'Visu totale'!$D$3:$DH$129,AS$1,0),0)</f>
        <v>0</v>
      </c>
      <c r="AT66" s="13">
        <f>IFERROR(VLOOKUP($G66,'Visu totale'!$D$3:$DH$129,AT$1,0),0)</f>
        <v>0</v>
      </c>
      <c r="AU66" s="13">
        <f>IFERROR(VLOOKUP($G66,'Visu totale'!$D$3:$DH$129,AU$1,0),0)</f>
        <v>0</v>
      </c>
      <c r="AV66" s="13">
        <f>IFERROR(VLOOKUP($G66,'Visu totale'!$D$3:$DH$129,AV$1,0),0)</f>
        <v>0</v>
      </c>
      <c r="AW66" s="13">
        <f>IFERROR(VLOOKUP($G66,'Visu totale'!$D$3:$DH$129,AW$1,0),0)</f>
        <v>0</v>
      </c>
      <c r="AX66" s="13">
        <f>IFERROR(VLOOKUP($G66,'Visu totale'!$D$3:$DH$129,AX$1,0),0)</f>
        <v>0</v>
      </c>
      <c r="AY66" s="13">
        <f>IFERROR(VLOOKUP($G66,'Visu totale'!$D$3:$DH$129,AY$1,0),0)</f>
        <v>0</v>
      </c>
      <c r="AZ66" s="13">
        <f>IFERROR(VLOOKUP($G66,'Visu totale'!$D$3:$DH$129,AZ$1,0),0)</f>
        <v>0</v>
      </c>
      <c r="BA66" s="13">
        <f>IFERROR(VLOOKUP($G66,'Visu totale'!$D$3:$DH$129,BA$1,0),0)</f>
        <v>0</v>
      </c>
      <c r="BB66" s="13">
        <f>IFERROR(VLOOKUP($G66,'Visu totale'!$D$3:$DH$129,BB$1,0),0)</f>
        <v>0</v>
      </c>
      <c r="BC66" s="15">
        <f>IFERROR(VLOOKUP($G66,'Visu totale'!$D$3:$DH$129,BC$1,0),0)</f>
        <v>0</v>
      </c>
      <c r="BD66" s="14">
        <f>IFERROR(VLOOKUP($G66,'Visu totale'!$D$3:$DH$129,BD$1,0),0)</f>
        <v>0</v>
      </c>
      <c r="BE66" s="13">
        <f>IFERROR(VLOOKUP($G66,'Visu totale'!$D$3:$DH$129,BE$1,0),0)</f>
        <v>0</v>
      </c>
      <c r="BF66" s="13">
        <f>IFERROR(VLOOKUP($G66,'Visu totale'!$D$3:$DH$129,BF$1,0),0)</f>
        <v>0</v>
      </c>
      <c r="BG66" s="13">
        <f>IFERROR(VLOOKUP($G66,'Visu totale'!$D$3:$DH$129,BG$1,0),0)</f>
        <v>0</v>
      </c>
      <c r="BH66" s="13">
        <f>IFERROR(VLOOKUP($G66,'Visu totale'!$D$3:$DH$129,BH$1,0),0)</f>
        <v>0</v>
      </c>
      <c r="BI66" s="13">
        <f>IFERROR(VLOOKUP($G66,'Visu totale'!$D$3:$DH$129,BI$1,0),0)</f>
        <v>0</v>
      </c>
      <c r="BJ66" s="13">
        <f>IFERROR(VLOOKUP($G66,'Visu totale'!$D$3:$DH$129,BJ$1,0),0)</f>
        <v>0</v>
      </c>
      <c r="BK66" s="13">
        <f>IFERROR(VLOOKUP($G66,'Visu totale'!$D$3:$DH$129,BK$1,0),0)</f>
        <v>0</v>
      </c>
      <c r="BL66" s="13">
        <f>IFERROR(VLOOKUP($G66,'Visu totale'!$D$3:$DH$129,BL$1,0),0)</f>
        <v>0</v>
      </c>
      <c r="BM66" s="13">
        <f>IFERROR(VLOOKUP($G66,'Visu totale'!$D$3:$DH$129,BM$1,0),0)</f>
        <v>0</v>
      </c>
      <c r="BN66" s="13">
        <f>IFERROR(VLOOKUP($G66,'Visu totale'!$D$3:$DH$129,BN$1,0),0)</f>
        <v>0</v>
      </c>
      <c r="BO66" s="15">
        <f>IFERROR(VLOOKUP($G66,'Visu totale'!$D$3:$DH$129,BO$1,0),0)</f>
        <v>0</v>
      </c>
      <c r="BP66" s="14">
        <f>IFERROR(VLOOKUP($G66,'Visu totale'!$D$3:$DH$129,BP$1,0),0)</f>
        <v>0</v>
      </c>
      <c r="BQ66" s="13">
        <f>IFERROR(VLOOKUP($G66,'Visu totale'!$D$3:$DH$129,BQ$1,0),0)</f>
        <v>0</v>
      </c>
      <c r="BR66" s="13">
        <f>IFERROR(VLOOKUP($G66,'Visu totale'!$D$3:$DH$129,BR$1,0),0)</f>
        <v>0</v>
      </c>
      <c r="BS66" s="13">
        <f>IFERROR(VLOOKUP($G66,'Visu totale'!$D$3:$DH$129,BS$1,0),0)</f>
        <v>0</v>
      </c>
      <c r="BT66" s="13">
        <f>IFERROR(VLOOKUP($G66,'Visu totale'!$D$3:$DH$129,BT$1,0),0)</f>
        <v>0</v>
      </c>
      <c r="BU66" s="13">
        <f>IFERROR(VLOOKUP($G66,'Visu totale'!$D$3:$DH$129,BU$1,0),0)</f>
        <v>0</v>
      </c>
      <c r="BV66" s="13">
        <f>IFERROR(VLOOKUP($G66,'Visu totale'!$D$3:$DH$129,BV$1,0),0)</f>
        <v>0</v>
      </c>
      <c r="BW66" s="13">
        <f>IFERROR(VLOOKUP($G66,'Visu totale'!$D$3:$DH$129,BW$1,0),0)</f>
        <v>0</v>
      </c>
      <c r="BX66" s="13">
        <f>IFERROR(VLOOKUP($G66,'Visu totale'!$D$3:$DH$129,BX$1,0),0)</f>
        <v>0</v>
      </c>
      <c r="BY66" s="13">
        <f>IFERROR(VLOOKUP($G66,'Visu totale'!$D$3:$DH$129,BY$1,0),0)</f>
        <v>0</v>
      </c>
      <c r="BZ66" s="13">
        <f>IFERROR(VLOOKUP($G66,'Visu totale'!$D$3:$DH$129,BZ$1,0),0)</f>
        <v>0</v>
      </c>
      <c r="CA66" s="15">
        <f>IFERROR(VLOOKUP($G66,'Visu totale'!$D$3:$DH$129,CA$1,0),0)</f>
        <v>0</v>
      </c>
      <c r="CB66" s="14">
        <f>IFERROR(VLOOKUP($G66,'Visu totale'!$D$3:$DH$129,CB$1,0),0)</f>
        <v>0</v>
      </c>
      <c r="CC66" s="13">
        <f>IFERROR(VLOOKUP($G66,'Visu totale'!$D$3:$DH$129,CC$1,0),0)</f>
        <v>0</v>
      </c>
      <c r="CD66" s="13">
        <f>IFERROR(VLOOKUP($G66,'Visu totale'!$D$3:$DH$129,CD$1,0),0)</f>
        <v>0</v>
      </c>
      <c r="CE66" s="13">
        <f>IFERROR(VLOOKUP($G66,'Visu totale'!$D$3:$DH$129,CE$1,0),0)</f>
        <v>0</v>
      </c>
      <c r="CF66" s="13">
        <f>IFERROR(VLOOKUP($G66,'Visu totale'!$D$3:$DH$129,CF$1,0),0)</f>
        <v>0</v>
      </c>
      <c r="CG66" s="13">
        <f>IFERROR(VLOOKUP($G66,'Visu totale'!$D$3:$DH$129,CG$1,0),0)</f>
        <v>0</v>
      </c>
      <c r="CH66" s="13">
        <f>IFERROR(VLOOKUP($G66,'Visu totale'!$D$3:$DH$129,CH$1,0),0)</f>
        <v>0</v>
      </c>
      <c r="CI66" s="13">
        <f>IFERROR(VLOOKUP($G66,'Visu totale'!$D$3:$DH$129,CI$1,0),0)</f>
        <v>0</v>
      </c>
      <c r="CJ66" s="13">
        <f>IFERROR(VLOOKUP($G66,'Visu totale'!$D$3:$DH$129,CJ$1,0),0)</f>
        <v>0</v>
      </c>
      <c r="CK66" s="13">
        <f>IFERROR(VLOOKUP($G66,'Visu totale'!$D$3:$DH$129,CK$1,0),0)</f>
        <v>0</v>
      </c>
      <c r="CL66" s="13">
        <f>IFERROR(VLOOKUP($G66,'Visu totale'!$D$3:$DH$129,CL$1,0),0)</f>
        <v>0</v>
      </c>
      <c r="CM66" s="15">
        <f>IFERROR(VLOOKUP($G66,'Visu totale'!$D$3:$DH$129,CM$1,0),0)</f>
        <v>0</v>
      </c>
      <c r="CN66" s="14">
        <f>IFERROR(VLOOKUP($G66,'Visu totale'!$D$3:$DH$129,CN$1,0),0)</f>
        <v>0</v>
      </c>
      <c r="CO66" s="13">
        <f>IFERROR(VLOOKUP($G66,'Visu totale'!$D$3:$DH$129,CO$1,0),0)</f>
        <v>0</v>
      </c>
      <c r="CP66" s="13">
        <f>IFERROR(VLOOKUP($G66,'Visu totale'!$D$3:$DH$129,CP$1,0),0)</f>
        <v>0</v>
      </c>
      <c r="CQ66" s="13">
        <f>IFERROR(VLOOKUP($G66,'Visu totale'!$D$3:$DH$129,CQ$1,0),0)</f>
        <v>0</v>
      </c>
      <c r="CR66" s="13">
        <f>IFERROR(VLOOKUP($G66,'Visu totale'!$D$3:$DH$129,CR$1,0),0)</f>
        <v>0</v>
      </c>
      <c r="CS66" s="13">
        <f>IFERROR(VLOOKUP($G66,'Visu totale'!$D$3:$DH$129,CS$1,0),0)</f>
        <v>0</v>
      </c>
      <c r="CT66" s="13">
        <f>IFERROR(VLOOKUP($G66,'Visu totale'!$D$3:$DH$129,CT$1,0),0)</f>
        <v>0</v>
      </c>
      <c r="CU66" s="13">
        <f>IFERROR(VLOOKUP($G66,'Visu totale'!$D$3:$DH$129,CU$1,0),0)</f>
        <v>0</v>
      </c>
      <c r="CV66" s="13">
        <f>IFERROR(VLOOKUP($G66,'Visu totale'!$D$3:$DH$129,CV$1,0),0)</f>
        <v>0</v>
      </c>
      <c r="CW66" s="13">
        <f>IFERROR(VLOOKUP($G66,'Visu totale'!$D$3:$DH$129,CW$1,0),0)</f>
        <v>0</v>
      </c>
      <c r="CX66" s="13">
        <f>IFERROR(VLOOKUP($G66,'Visu totale'!$D$3:$DH$129,CX$1,0),0)</f>
        <v>0</v>
      </c>
      <c r="CY66" s="15">
        <f>IFERROR(VLOOKUP($G66,'Visu totale'!$D$3:$DH$129,CY$1,0),0)</f>
        <v>0</v>
      </c>
      <c r="CZ66" s="14">
        <f>IFERROR(VLOOKUP($G66,'Visu totale'!$D$3:$DH$129,CZ$1,0),0)</f>
        <v>0</v>
      </c>
      <c r="DA66" s="13">
        <f>IFERROR(VLOOKUP($G66,'Visu totale'!$D$3:$DH$129,DA$1,0),0)</f>
        <v>0</v>
      </c>
      <c r="DB66" s="13">
        <f>IFERROR(VLOOKUP($G66,'Visu totale'!$D$3:$DH$129,DB$1,0),0)</f>
        <v>0</v>
      </c>
      <c r="DC66" s="13">
        <f>IFERROR(VLOOKUP($G66,'Visu totale'!$D$3:$DH$129,DC$1,0),0)</f>
        <v>0</v>
      </c>
      <c r="DD66" s="13">
        <f>IFERROR(VLOOKUP($G66,'Visu totale'!$D$3:$DH$129,DD$1,0),0)</f>
        <v>0</v>
      </c>
      <c r="DE66" s="13">
        <f>IFERROR(VLOOKUP($G66,'Visu totale'!$D$3:$DH$129,DE$1,0),0)</f>
        <v>0</v>
      </c>
      <c r="DF66" s="13">
        <f>IFERROR(VLOOKUP($G66,'Visu totale'!$D$3:$DH$129,DF$1,0),0)</f>
        <v>0</v>
      </c>
      <c r="DG66" s="13">
        <f>IFERROR(VLOOKUP($G66,'Visu totale'!$D$3:$DH$129,DG$1,0),0)</f>
        <v>0</v>
      </c>
      <c r="DH66" s="13">
        <f>IFERROR(VLOOKUP($G66,'Visu totale'!$D$3:$DH$129,DH$1,0),0)</f>
        <v>0</v>
      </c>
      <c r="DI66" s="13">
        <f>IFERROR(VLOOKUP($G66,'Visu totale'!$D$3:$DH$129,DI$1,0),0)</f>
        <v>0</v>
      </c>
      <c r="DJ66" s="13">
        <f>IFERROR(VLOOKUP($G66,'Visu totale'!$D$3:$DH$129,DJ$1,0),0)</f>
        <v>0</v>
      </c>
      <c r="DK66" s="15">
        <f>IFERROR(VLOOKUP($G66,'Visu totale'!$D$3:$DH$129,DK$1,0),0)</f>
        <v>0</v>
      </c>
    </row>
    <row r="67" spans="1:115" x14ac:dyDescent="0.25">
      <c r="A67" s="13"/>
      <c r="B67" s="13"/>
      <c r="C67" s="13"/>
      <c r="D67" s="16"/>
      <c r="E67" s="13"/>
      <c r="F67" s="13"/>
      <c r="G67" s="17" t="s">
        <v>69</v>
      </c>
      <c r="H67" s="14">
        <f>IFERROR(VLOOKUP($G67,'Visu totale'!$D$3:$DH$129,H$1,0),0)</f>
        <v>0</v>
      </c>
      <c r="I67" s="13">
        <f>IFERROR(VLOOKUP($G67,'Visu totale'!$D$3:$DH$129,I$1,0),0)</f>
        <v>0</v>
      </c>
      <c r="J67" s="13">
        <f>IFERROR(VLOOKUP($G67,'Visu totale'!$D$3:$DH$129,J$1,0),0)</f>
        <v>0</v>
      </c>
      <c r="K67" s="13">
        <f>IFERROR(VLOOKUP($G67,'Visu totale'!$D$3:$DH$129,K$1,0),0)</f>
        <v>0</v>
      </c>
      <c r="L67" s="13">
        <f>IFERROR(VLOOKUP($G67,'Visu totale'!$D$3:$DH$129,L$1,0),0)</f>
        <v>0</v>
      </c>
      <c r="M67" s="13">
        <f>IFERROR(VLOOKUP($G67,'Visu totale'!$D$3:$DH$129,M$1,0),0)</f>
        <v>0</v>
      </c>
      <c r="N67" s="13">
        <f>IFERROR(VLOOKUP($G67,'Visu totale'!$D$3:$DH$129,N$1,0),0)</f>
        <v>0</v>
      </c>
      <c r="O67" s="13">
        <f>IFERROR(VLOOKUP($G67,'Visu totale'!$D$3:$DH$129,O$1,0),0)</f>
        <v>0</v>
      </c>
      <c r="P67" s="13">
        <f>IFERROR(VLOOKUP($G67,'Visu totale'!$D$3:$DH$129,P$1,0),0)</f>
        <v>0</v>
      </c>
      <c r="Q67" s="13">
        <f>IFERROR(VLOOKUP($G67,'Visu totale'!$D$3:$DH$129,Q$1,0),0)</f>
        <v>0</v>
      </c>
      <c r="R67" s="13">
        <f>IFERROR(VLOOKUP($G67,'Visu totale'!$D$3:$DH$129,R$1,0),0)</f>
        <v>0</v>
      </c>
      <c r="S67" s="15">
        <f>IFERROR(VLOOKUP($G67,'Visu totale'!$D$3:$DH$129,S$1,0),0)</f>
        <v>0</v>
      </c>
      <c r="T67" s="14">
        <f>IFERROR(VLOOKUP($G67,'Visu totale'!$D$3:$DH$129,T$1,0),0)</f>
        <v>0</v>
      </c>
      <c r="U67" s="13">
        <f>IFERROR(VLOOKUP($G67,'Visu totale'!$D$3:$DH$129,U$1,0),0)</f>
        <v>0</v>
      </c>
      <c r="V67" s="13">
        <f>IFERROR(VLOOKUP($G67,'Visu totale'!$D$3:$DH$129,V$1,0),0)</f>
        <v>0</v>
      </c>
      <c r="W67" s="13">
        <f>IFERROR(VLOOKUP($G67,'Visu totale'!$D$3:$DH$129,W$1,0),0)</f>
        <v>0</v>
      </c>
      <c r="X67" s="13">
        <f>IFERROR(VLOOKUP($G67,'Visu totale'!$D$3:$DH$129,X$1,0),0)</f>
        <v>0</v>
      </c>
      <c r="Y67" s="13">
        <f>IFERROR(VLOOKUP($G67,'Visu totale'!$D$3:$DH$129,Y$1,0),0)</f>
        <v>0</v>
      </c>
      <c r="Z67" s="13">
        <f>IFERROR(VLOOKUP($G67,'Visu totale'!$D$3:$DH$129,Z$1,0),0)</f>
        <v>0</v>
      </c>
      <c r="AA67" s="13">
        <f>IFERROR(VLOOKUP($G67,'Visu totale'!$D$3:$DH$129,AA$1,0),0)</f>
        <v>0</v>
      </c>
      <c r="AB67" s="13">
        <f>IFERROR(VLOOKUP($G67,'Visu totale'!$D$3:$DH$129,AB$1,0),0)</f>
        <v>0</v>
      </c>
      <c r="AC67" s="13">
        <f>IFERROR(VLOOKUP($G67,'Visu totale'!$D$3:$DH$129,AC$1,0),0)</f>
        <v>0</v>
      </c>
      <c r="AD67" s="13">
        <f>IFERROR(VLOOKUP($G67,'Visu totale'!$D$3:$DH$129,AD$1,0),0)</f>
        <v>0</v>
      </c>
      <c r="AE67" s="15">
        <f>IFERROR(VLOOKUP($G67,'Visu totale'!$D$3:$DH$129,AE$1,0),0)</f>
        <v>0</v>
      </c>
      <c r="AF67" s="14">
        <f>IFERROR(VLOOKUP($G67,'Visu totale'!$D$3:$DH$129,AF$1,0),0)</f>
        <v>0</v>
      </c>
      <c r="AG67" s="13">
        <f>IFERROR(VLOOKUP($G67,'Visu totale'!$D$3:$DH$129,AG$1,0),0)</f>
        <v>0</v>
      </c>
      <c r="AH67" s="13">
        <f>IFERROR(VLOOKUP($G67,'Visu totale'!$D$3:$DH$129,AH$1,0),0)</f>
        <v>0</v>
      </c>
      <c r="AI67" s="13">
        <f>IFERROR(VLOOKUP($G67,'Visu totale'!$D$3:$DH$129,AI$1,0),0)</f>
        <v>0</v>
      </c>
      <c r="AJ67" s="13">
        <f>IFERROR(VLOOKUP($G67,'Visu totale'!$D$3:$DH$129,AJ$1,0),0)</f>
        <v>0</v>
      </c>
      <c r="AK67" s="13">
        <f>IFERROR(VLOOKUP($G67,'Visu totale'!$D$3:$DH$129,AK$1,0),0)</f>
        <v>0</v>
      </c>
      <c r="AL67" s="13">
        <f>IFERROR(VLOOKUP($G67,'Visu totale'!$D$3:$DH$129,AL$1,0),0)</f>
        <v>0</v>
      </c>
      <c r="AM67" s="13">
        <f>IFERROR(VLOOKUP($G67,'Visu totale'!$D$3:$DH$129,AM$1,0),0)</f>
        <v>0</v>
      </c>
      <c r="AN67" s="13">
        <f>IFERROR(VLOOKUP($G67,'Visu totale'!$D$3:$DH$129,AN$1,0),0)</f>
        <v>0</v>
      </c>
      <c r="AO67" s="13">
        <f>IFERROR(VLOOKUP($G67,'Visu totale'!$D$3:$DH$129,AO$1,0),0)</f>
        <v>0</v>
      </c>
      <c r="AP67" s="13">
        <f>IFERROR(VLOOKUP($G67,'Visu totale'!$D$3:$DH$129,AP$1,0),0)</f>
        <v>0</v>
      </c>
      <c r="AQ67" s="15">
        <f>IFERROR(VLOOKUP($G67,'Visu totale'!$D$3:$DH$129,AQ$1,0),0)</f>
        <v>0</v>
      </c>
      <c r="AR67" s="14">
        <f>IFERROR(VLOOKUP($G67,'Visu totale'!$D$3:$DH$129,AR$1,0),0)</f>
        <v>0</v>
      </c>
      <c r="AS67" s="13">
        <f>IFERROR(VLOOKUP($G67,'Visu totale'!$D$3:$DH$129,AS$1,0),0)</f>
        <v>0</v>
      </c>
      <c r="AT67" s="13">
        <f>IFERROR(VLOOKUP($G67,'Visu totale'!$D$3:$DH$129,AT$1,0),0)</f>
        <v>0</v>
      </c>
      <c r="AU67" s="13">
        <f>IFERROR(VLOOKUP($G67,'Visu totale'!$D$3:$DH$129,AU$1,0),0)</f>
        <v>0</v>
      </c>
      <c r="AV67" s="13">
        <f>IFERROR(VLOOKUP($G67,'Visu totale'!$D$3:$DH$129,AV$1,0),0)</f>
        <v>0</v>
      </c>
      <c r="AW67" s="13">
        <f>IFERROR(VLOOKUP($G67,'Visu totale'!$D$3:$DH$129,AW$1,0),0)</f>
        <v>0</v>
      </c>
      <c r="AX67" s="13">
        <f>IFERROR(VLOOKUP($G67,'Visu totale'!$D$3:$DH$129,AX$1,0),0)</f>
        <v>0</v>
      </c>
      <c r="AY67" s="13">
        <f>IFERROR(VLOOKUP($G67,'Visu totale'!$D$3:$DH$129,AY$1,0),0)</f>
        <v>0</v>
      </c>
      <c r="AZ67" s="13">
        <f>IFERROR(VLOOKUP($G67,'Visu totale'!$D$3:$DH$129,AZ$1,0),0)</f>
        <v>0</v>
      </c>
      <c r="BA67" s="13">
        <f>IFERROR(VLOOKUP($G67,'Visu totale'!$D$3:$DH$129,BA$1,0),0)</f>
        <v>0</v>
      </c>
      <c r="BB67" s="13">
        <f>IFERROR(VLOOKUP($G67,'Visu totale'!$D$3:$DH$129,BB$1,0),0)</f>
        <v>0</v>
      </c>
      <c r="BC67" s="15">
        <f>IFERROR(VLOOKUP($G67,'Visu totale'!$D$3:$DH$129,BC$1,0),0)</f>
        <v>0</v>
      </c>
      <c r="BD67" s="14">
        <f>IFERROR(VLOOKUP($G67,'Visu totale'!$D$3:$DH$129,BD$1,0),0)</f>
        <v>0</v>
      </c>
      <c r="BE67" s="13">
        <f>IFERROR(VLOOKUP($G67,'Visu totale'!$D$3:$DH$129,BE$1,0),0)</f>
        <v>0</v>
      </c>
      <c r="BF67" s="13">
        <f>IFERROR(VLOOKUP($G67,'Visu totale'!$D$3:$DH$129,BF$1,0),0)</f>
        <v>0</v>
      </c>
      <c r="BG67" s="13">
        <f>IFERROR(VLOOKUP($G67,'Visu totale'!$D$3:$DH$129,BG$1,0),0)</f>
        <v>0</v>
      </c>
      <c r="BH67" s="13">
        <f>IFERROR(VLOOKUP($G67,'Visu totale'!$D$3:$DH$129,BH$1,0),0)</f>
        <v>0</v>
      </c>
      <c r="BI67" s="13">
        <f>IFERROR(VLOOKUP($G67,'Visu totale'!$D$3:$DH$129,BI$1,0),0)</f>
        <v>0</v>
      </c>
      <c r="BJ67" s="13">
        <f>IFERROR(VLOOKUP($G67,'Visu totale'!$D$3:$DH$129,BJ$1,0),0)</f>
        <v>0</v>
      </c>
      <c r="BK67" s="13">
        <f>IFERROR(VLOOKUP($G67,'Visu totale'!$D$3:$DH$129,BK$1,0),0)</f>
        <v>0</v>
      </c>
      <c r="BL67" s="13">
        <f>IFERROR(VLOOKUP($G67,'Visu totale'!$D$3:$DH$129,BL$1,0),0)</f>
        <v>0</v>
      </c>
      <c r="BM67" s="13">
        <f>IFERROR(VLOOKUP($G67,'Visu totale'!$D$3:$DH$129,BM$1,0),0)</f>
        <v>0</v>
      </c>
      <c r="BN67" s="13">
        <f>IFERROR(VLOOKUP($G67,'Visu totale'!$D$3:$DH$129,BN$1,0),0)</f>
        <v>0</v>
      </c>
      <c r="BO67" s="15">
        <f>IFERROR(VLOOKUP($G67,'Visu totale'!$D$3:$DH$129,BO$1,0),0)</f>
        <v>0</v>
      </c>
      <c r="BP67" s="14">
        <f>IFERROR(VLOOKUP($G67,'Visu totale'!$D$3:$DH$129,BP$1,0),0)</f>
        <v>0</v>
      </c>
      <c r="BQ67" s="13">
        <f>IFERROR(VLOOKUP($G67,'Visu totale'!$D$3:$DH$129,BQ$1,0),0)</f>
        <v>0</v>
      </c>
      <c r="BR67" s="13">
        <f>IFERROR(VLOOKUP($G67,'Visu totale'!$D$3:$DH$129,BR$1,0),0)</f>
        <v>0</v>
      </c>
      <c r="BS67" s="13">
        <f>IFERROR(VLOOKUP($G67,'Visu totale'!$D$3:$DH$129,BS$1,0),0)</f>
        <v>0</v>
      </c>
      <c r="BT67" s="13">
        <f>IFERROR(VLOOKUP($G67,'Visu totale'!$D$3:$DH$129,BT$1,0),0)</f>
        <v>0</v>
      </c>
      <c r="BU67" s="13">
        <f>IFERROR(VLOOKUP($G67,'Visu totale'!$D$3:$DH$129,BU$1,0),0)</f>
        <v>0</v>
      </c>
      <c r="BV67" s="13">
        <f>IFERROR(VLOOKUP($G67,'Visu totale'!$D$3:$DH$129,BV$1,0),0)</f>
        <v>0</v>
      </c>
      <c r="BW67" s="13">
        <f>IFERROR(VLOOKUP($G67,'Visu totale'!$D$3:$DH$129,BW$1,0),0)</f>
        <v>0</v>
      </c>
      <c r="BX67" s="13">
        <f>IFERROR(VLOOKUP($G67,'Visu totale'!$D$3:$DH$129,BX$1,0),0)</f>
        <v>0</v>
      </c>
      <c r="BY67" s="13">
        <f>IFERROR(VLOOKUP($G67,'Visu totale'!$D$3:$DH$129,BY$1,0),0)</f>
        <v>0</v>
      </c>
      <c r="BZ67" s="13">
        <f>IFERROR(VLOOKUP($G67,'Visu totale'!$D$3:$DH$129,BZ$1,0),0)</f>
        <v>0</v>
      </c>
      <c r="CA67" s="15">
        <f>IFERROR(VLOOKUP($G67,'Visu totale'!$D$3:$DH$129,CA$1,0),0)</f>
        <v>0</v>
      </c>
      <c r="CB67" s="14">
        <f>IFERROR(VLOOKUP($G67,'Visu totale'!$D$3:$DH$129,CB$1,0),0)</f>
        <v>0</v>
      </c>
      <c r="CC67" s="13">
        <f>IFERROR(VLOOKUP($G67,'Visu totale'!$D$3:$DH$129,CC$1,0),0)</f>
        <v>0</v>
      </c>
      <c r="CD67" s="13">
        <f>IFERROR(VLOOKUP($G67,'Visu totale'!$D$3:$DH$129,CD$1,0),0)</f>
        <v>0</v>
      </c>
      <c r="CE67" s="13">
        <f>IFERROR(VLOOKUP($G67,'Visu totale'!$D$3:$DH$129,CE$1,0),0)</f>
        <v>0</v>
      </c>
      <c r="CF67" s="13">
        <f>IFERROR(VLOOKUP($G67,'Visu totale'!$D$3:$DH$129,CF$1,0),0)</f>
        <v>0</v>
      </c>
      <c r="CG67" s="13">
        <f>IFERROR(VLOOKUP($G67,'Visu totale'!$D$3:$DH$129,CG$1,0),0)</f>
        <v>0</v>
      </c>
      <c r="CH67" s="13">
        <f>IFERROR(VLOOKUP($G67,'Visu totale'!$D$3:$DH$129,CH$1,0),0)</f>
        <v>0</v>
      </c>
      <c r="CI67" s="13">
        <f>IFERROR(VLOOKUP($G67,'Visu totale'!$D$3:$DH$129,CI$1,0),0)</f>
        <v>0</v>
      </c>
      <c r="CJ67" s="13">
        <f>IFERROR(VLOOKUP($G67,'Visu totale'!$D$3:$DH$129,CJ$1,0),0)</f>
        <v>0</v>
      </c>
      <c r="CK67" s="13">
        <f>IFERROR(VLOOKUP($G67,'Visu totale'!$D$3:$DH$129,CK$1,0),0)</f>
        <v>0</v>
      </c>
      <c r="CL67" s="13">
        <f>IFERROR(VLOOKUP($G67,'Visu totale'!$D$3:$DH$129,CL$1,0),0)</f>
        <v>0</v>
      </c>
      <c r="CM67" s="15">
        <f>IFERROR(VLOOKUP($G67,'Visu totale'!$D$3:$DH$129,CM$1,0),0)</f>
        <v>0</v>
      </c>
      <c r="CN67" s="14">
        <f>IFERROR(VLOOKUP($G67,'Visu totale'!$D$3:$DH$129,CN$1,0),0)</f>
        <v>0</v>
      </c>
      <c r="CO67" s="13">
        <f>IFERROR(VLOOKUP($G67,'Visu totale'!$D$3:$DH$129,CO$1,0),0)</f>
        <v>0</v>
      </c>
      <c r="CP67" s="13">
        <f>IFERROR(VLOOKUP($G67,'Visu totale'!$D$3:$DH$129,CP$1,0),0)</f>
        <v>0</v>
      </c>
      <c r="CQ67" s="13">
        <f>IFERROR(VLOOKUP($G67,'Visu totale'!$D$3:$DH$129,CQ$1,0),0)</f>
        <v>0</v>
      </c>
      <c r="CR67" s="13">
        <f>IFERROR(VLOOKUP($G67,'Visu totale'!$D$3:$DH$129,CR$1,0),0)</f>
        <v>0</v>
      </c>
      <c r="CS67" s="13">
        <f>IFERROR(VLOOKUP($G67,'Visu totale'!$D$3:$DH$129,CS$1,0),0)</f>
        <v>0</v>
      </c>
      <c r="CT67" s="13">
        <f>IFERROR(VLOOKUP($G67,'Visu totale'!$D$3:$DH$129,CT$1,0),0)</f>
        <v>0</v>
      </c>
      <c r="CU67" s="13">
        <f>IFERROR(VLOOKUP($G67,'Visu totale'!$D$3:$DH$129,CU$1,0),0)</f>
        <v>0</v>
      </c>
      <c r="CV67" s="13">
        <f>IFERROR(VLOOKUP($G67,'Visu totale'!$D$3:$DH$129,CV$1,0),0)</f>
        <v>0</v>
      </c>
      <c r="CW67" s="13">
        <f>IFERROR(VLOOKUP($G67,'Visu totale'!$D$3:$DH$129,CW$1,0),0)</f>
        <v>0</v>
      </c>
      <c r="CX67" s="13">
        <f>IFERROR(VLOOKUP($G67,'Visu totale'!$D$3:$DH$129,CX$1,0),0)</f>
        <v>0</v>
      </c>
      <c r="CY67" s="15">
        <f>IFERROR(VLOOKUP($G67,'Visu totale'!$D$3:$DH$129,CY$1,0),0)</f>
        <v>0</v>
      </c>
      <c r="CZ67" s="14">
        <f>IFERROR(VLOOKUP($G67,'Visu totale'!$D$3:$DH$129,CZ$1,0),0)</f>
        <v>0</v>
      </c>
      <c r="DA67" s="13">
        <f>IFERROR(VLOOKUP($G67,'Visu totale'!$D$3:$DH$129,DA$1,0),0)</f>
        <v>0</v>
      </c>
      <c r="DB67" s="13">
        <f>IFERROR(VLOOKUP($G67,'Visu totale'!$D$3:$DH$129,DB$1,0),0)</f>
        <v>0</v>
      </c>
      <c r="DC67" s="13">
        <f>IFERROR(VLOOKUP($G67,'Visu totale'!$D$3:$DH$129,DC$1,0),0)</f>
        <v>0</v>
      </c>
      <c r="DD67" s="13">
        <f>IFERROR(VLOOKUP($G67,'Visu totale'!$D$3:$DH$129,DD$1,0),0)</f>
        <v>0</v>
      </c>
      <c r="DE67" s="13">
        <f>IFERROR(VLOOKUP($G67,'Visu totale'!$D$3:$DH$129,DE$1,0),0)</f>
        <v>0</v>
      </c>
      <c r="DF67" s="13">
        <f>IFERROR(VLOOKUP($G67,'Visu totale'!$D$3:$DH$129,DF$1,0),0)</f>
        <v>0</v>
      </c>
      <c r="DG67" s="13">
        <f>IFERROR(VLOOKUP($G67,'Visu totale'!$D$3:$DH$129,DG$1,0),0)</f>
        <v>0</v>
      </c>
      <c r="DH67" s="13">
        <f>IFERROR(VLOOKUP($G67,'Visu totale'!$D$3:$DH$129,DH$1,0),0)</f>
        <v>0</v>
      </c>
      <c r="DI67" s="13">
        <f>IFERROR(VLOOKUP($G67,'Visu totale'!$D$3:$DH$129,DI$1,0),0)</f>
        <v>0</v>
      </c>
      <c r="DJ67" s="13">
        <f>IFERROR(VLOOKUP($G67,'Visu totale'!$D$3:$DH$129,DJ$1,0),0)</f>
        <v>0</v>
      </c>
      <c r="DK67" s="15">
        <f>IFERROR(VLOOKUP($G67,'Visu totale'!$D$3:$DH$129,DK$1,0),0)</f>
        <v>0</v>
      </c>
    </row>
    <row r="68" spans="1:115" x14ac:dyDescent="0.25">
      <c r="A68" s="13"/>
      <c r="B68" s="13"/>
      <c r="C68" s="13"/>
      <c r="D68" s="16"/>
      <c r="E68" s="13"/>
      <c r="F68" s="13"/>
      <c r="G68" s="17" t="s">
        <v>70</v>
      </c>
      <c r="H68" s="14">
        <f>IFERROR(VLOOKUP($G68,'Visu totale'!$D$3:$DH$129,H$1,0),0)</f>
        <v>0</v>
      </c>
      <c r="I68" s="13">
        <f>IFERROR(VLOOKUP($G68,'Visu totale'!$D$3:$DH$129,I$1,0),0)</f>
        <v>0</v>
      </c>
      <c r="J68" s="13">
        <f>IFERROR(VLOOKUP($G68,'Visu totale'!$D$3:$DH$129,J$1,0),0)</f>
        <v>0</v>
      </c>
      <c r="K68" s="13">
        <f>IFERROR(VLOOKUP($G68,'Visu totale'!$D$3:$DH$129,K$1,0),0)</f>
        <v>0</v>
      </c>
      <c r="L68" s="13">
        <f>IFERROR(VLOOKUP($G68,'Visu totale'!$D$3:$DH$129,L$1,0),0)</f>
        <v>0</v>
      </c>
      <c r="M68" s="13">
        <f>IFERROR(VLOOKUP($G68,'Visu totale'!$D$3:$DH$129,M$1,0),0)</f>
        <v>0</v>
      </c>
      <c r="N68" s="13">
        <f>IFERROR(VLOOKUP($G68,'Visu totale'!$D$3:$DH$129,N$1,0),0)</f>
        <v>0</v>
      </c>
      <c r="O68" s="13">
        <f>IFERROR(VLOOKUP($G68,'Visu totale'!$D$3:$DH$129,O$1,0),0)</f>
        <v>0</v>
      </c>
      <c r="P68" s="13">
        <f>IFERROR(VLOOKUP($G68,'Visu totale'!$D$3:$DH$129,P$1,0),0)</f>
        <v>0</v>
      </c>
      <c r="Q68" s="13">
        <f>IFERROR(VLOOKUP($G68,'Visu totale'!$D$3:$DH$129,Q$1,0),0)</f>
        <v>0</v>
      </c>
      <c r="R68" s="13">
        <f>IFERROR(VLOOKUP($G68,'Visu totale'!$D$3:$DH$129,R$1,0),0)</f>
        <v>0</v>
      </c>
      <c r="S68" s="15">
        <f>IFERROR(VLOOKUP($G68,'Visu totale'!$D$3:$DH$129,S$1,0),0)</f>
        <v>0</v>
      </c>
      <c r="T68" s="14">
        <f>IFERROR(VLOOKUP($G68,'Visu totale'!$D$3:$DH$129,T$1,0),0)</f>
        <v>0</v>
      </c>
      <c r="U68" s="13">
        <f>IFERROR(VLOOKUP($G68,'Visu totale'!$D$3:$DH$129,U$1,0),0)</f>
        <v>0</v>
      </c>
      <c r="V68" s="13">
        <f>IFERROR(VLOOKUP($G68,'Visu totale'!$D$3:$DH$129,V$1,0),0)</f>
        <v>0</v>
      </c>
      <c r="W68" s="13">
        <f>IFERROR(VLOOKUP($G68,'Visu totale'!$D$3:$DH$129,W$1,0),0)</f>
        <v>0</v>
      </c>
      <c r="X68" s="13">
        <f>IFERROR(VLOOKUP($G68,'Visu totale'!$D$3:$DH$129,X$1,0),0)</f>
        <v>0</v>
      </c>
      <c r="Y68" s="13">
        <f>IFERROR(VLOOKUP($G68,'Visu totale'!$D$3:$DH$129,Y$1,0),0)</f>
        <v>0</v>
      </c>
      <c r="Z68" s="13">
        <f>IFERROR(VLOOKUP($G68,'Visu totale'!$D$3:$DH$129,Z$1,0),0)</f>
        <v>0</v>
      </c>
      <c r="AA68" s="13">
        <f>IFERROR(VLOOKUP($G68,'Visu totale'!$D$3:$DH$129,AA$1,0),0)</f>
        <v>0</v>
      </c>
      <c r="AB68" s="13">
        <f>IFERROR(VLOOKUP($G68,'Visu totale'!$D$3:$DH$129,AB$1,0),0)</f>
        <v>0</v>
      </c>
      <c r="AC68" s="13">
        <f>IFERROR(VLOOKUP($G68,'Visu totale'!$D$3:$DH$129,AC$1,0),0)</f>
        <v>0</v>
      </c>
      <c r="AD68" s="13">
        <f>IFERROR(VLOOKUP($G68,'Visu totale'!$D$3:$DH$129,AD$1,0),0)</f>
        <v>0</v>
      </c>
      <c r="AE68" s="15">
        <f>IFERROR(VLOOKUP($G68,'Visu totale'!$D$3:$DH$129,AE$1,0),0)</f>
        <v>0</v>
      </c>
      <c r="AF68" s="14">
        <f>IFERROR(VLOOKUP($G68,'Visu totale'!$D$3:$DH$129,AF$1,0),0)</f>
        <v>0</v>
      </c>
      <c r="AG68" s="13">
        <f>IFERROR(VLOOKUP($G68,'Visu totale'!$D$3:$DH$129,AG$1,0),0)</f>
        <v>0</v>
      </c>
      <c r="AH68" s="13">
        <f>IFERROR(VLOOKUP($G68,'Visu totale'!$D$3:$DH$129,AH$1,0),0)</f>
        <v>0</v>
      </c>
      <c r="AI68" s="13">
        <f>IFERROR(VLOOKUP($G68,'Visu totale'!$D$3:$DH$129,AI$1,0),0)</f>
        <v>0</v>
      </c>
      <c r="AJ68" s="13">
        <f>IFERROR(VLOOKUP($G68,'Visu totale'!$D$3:$DH$129,AJ$1,0),0)</f>
        <v>0</v>
      </c>
      <c r="AK68" s="13">
        <f>IFERROR(VLOOKUP($G68,'Visu totale'!$D$3:$DH$129,AK$1,0),0)</f>
        <v>0</v>
      </c>
      <c r="AL68" s="13">
        <f>IFERROR(VLOOKUP($G68,'Visu totale'!$D$3:$DH$129,AL$1,0),0)</f>
        <v>0</v>
      </c>
      <c r="AM68" s="13">
        <f>IFERROR(VLOOKUP($G68,'Visu totale'!$D$3:$DH$129,AM$1,0),0)</f>
        <v>0</v>
      </c>
      <c r="AN68" s="13">
        <f>IFERROR(VLOOKUP($G68,'Visu totale'!$D$3:$DH$129,AN$1,0),0)</f>
        <v>0</v>
      </c>
      <c r="AO68" s="13">
        <f>IFERROR(VLOOKUP($G68,'Visu totale'!$D$3:$DH$129,AO$1,0),0)</f>
        <v>0</v>
      </c>
      <c r="AP68" s="13">
        <f>IFERROR(VLOOKUP($G68,'Visu totale'!$D$3:$DH$129,AP$1,0),0)</f>
        <v>0</v>
      </c>
      <c r="AQ68" s="15">
        <f>IFERROR(VLOOKUP($G68,'Visu totale'!$D$3:$DH$129,AQ$1,0),0)</f>
        <v>0</v>
      </c>
      <c r="AR68" s="14">
        <f>IFERROR(VLOOKUP($G68,'Visu totale'!$D$3:$DH$129,AR$1,0),0)</f>
        <v>0</v>
      </c>
      <c r="AS68" s="13">
        <f>IFERROR(VLOOKUP($G68,'Visu totale'!$D$3:$DH$129,AS$1,0),0)</f>
        <v>0</v>
      </c>
      <c r="AT68" s="13">
        <f>IFERROR(VLOOKUP($G68,'Visu totale'!$D$3:$DH$129,AT$1,0),0)</f>
        <v>0</v>
      </c>
      <c r="AU68" s="13">
        <f>IFERROR(VLOOKUP($G68,'Visu totale'!$D$3:$DH$129,AU$1,0),0)</f>
        <v>0</v>
      </c>
      <c r="AV68" s="13">
        <f>IFERROR(VLOOKUP($G68,'Visu totale'!$D$3:$DH$129,AV$1,0),0)</f>
        <v>0</v>
      </c>
      <c r="AW68" s="13">
        <f>IFERROR(VLOOKUP($G68,'Visu totale'!$D$3:$DH$129,AW$1,0),0)</f>
        <v>0</v>
      </c>
      <c r="AX68" s="13">
        <f>IFERROR(VLOOKUP($G68,'Visu totale'!$D$3:$DH$129,AX$1,0),0)</f>
        <v>0</v>
      </c>
      <c r="AY68" s="13">
        <f>IFERROR(VLOOKUP($G68,'Visu totale'!$D$3:$DH$129,AY$1,0),0)</f>
        <v>0</v>
      </c>
      <c r="AZ68" s="13">
        <f>IFERROR(VLOOKUP($G68,'Visu totale'!$D$3:$DH$129,AZ$1,0),0)</f>
        <v>0</v>
      </c>
      <c r="BA68" s="13">
        <f>IFERROR(VLOOKUP($G68,'Visu totale'!$D$3:$DH$129,BA$1,0),0)</f>
        <v>0</v>
      </c>
      <c r="BB68" s="13">
        <f>IFERROR(VLOOKUP($G68,'Visu totale'!$D$3:$DH$129,BB$1,0),0)</f>
        <v>0</v>
      </c>
      <c r="BC68" s="15">
        <f>IFERROR(VLOOKUP($G68,'Visu totale'!$D$3:$DH$129,BC$1,0),0)</f>
        <v>0</v>
      </c>
      <c r="BD68" s="14">
        <f>IFERROR(VLOOKUP($G68,'Visu totale'!$D$3:$DH$129,BD$1,0),0)</f>
        <v>0</v>
      </c>
      <c r="BE68" s="13">
        <f>IFERROR(VLOOKUP($G68,'Visu totale'!$D$3:$DH$129,BE$1,0),0)</f>
        <v>0</v>
      </c>
      <c r="BF68" s="13">
        <f>IFERROR(VLOOKUP($G68,'Visu totale'!$D$3:$DH$129,BF$1,0),0)</f>
        <v>0</v>
      </c>
      <c r="BG68" s="13">
        <f>IFERROR(VLOOKUP($G68,'Visu totale'!$D$3:$DH$129,BG$1,0),0)</f>
        <v>0</v>
      </c>
      <c r="BH68" s="13">
        <f>IFERROR(VLOOKUP($G68,'Visu totale'!$D$3:$DH$129,BH$1,0),0)</f>
        <v>0</v>
      </c>
      <c r="BI68" s="13">
        <f>IFERROR(VLOOKUP($G68,'Visu totale'!$D$3:$DH$129,BI$1,0),0)</f>
        <v>0</v>
      </c>
      <c r="BJ68" s="13">
        <f>IFERROR(VLOOKUP($G68,'Visu totale'!$D$3:$DH$129,BJ$1,0),0)</f>
        <v>0</v>
      </c>
      <c r="BK68" s="13">
        <f>IFERROR(VLOOKUP($G68,'Visu totale'!$D$3:$DH$129,BK$1,0),0)</f>
        <v>0</v>
      </c>
      <c r="BL68" s="13">
        <f>IFERROR(VLOOKUP($G68,'Visu totale'!$D$3:$DH$129,BL$1,0),0)</f>
        <v>0</v>
      </c>
      <c r="BM68" s="13">
        <f>IFERROR(VLOOKUP($G68,'Visu totale'!$D$3:$DH$129,BM$1,0),0)</f>
        <v>0</v>
      </c>
      <c r="BN68" s="13">
        <f>IFERROR(VLOOKUP($G68,'Visu totale'!$D$3:$DH$129,BN$1,0),0)</f>
        <v>0</v>
      </c>
      <c r="BO68" s="15">
        <f>IFERROR(VLOOKUP($G68,'Visu totale'!$D$3:$DH$129,BO$1,0),0)</f>
        <v>0</v>
      </c>
      <c r="BP68" s="14">
        <f>IFERROR(VLOOKUP($G68,'Visu totale'!$D$3:$DH$129,BP$1,0),0)</f>
        <v>0</v>
      </c>
      <c r="BQ68" s="13">
        <f>IFERROR(VLOOKUP($G68,'Visu totale'!$D$3:$DH$129,BQ$1,0),0)</f>
        <v>0</v>
      </c>
      <c r="BR68" s="13">
        <f>IFERROR(VLOOKUP($G68,'Visu totale'!$D$3:$DH$129,BR$1,0),0)</f>
        <v>0</v>
      </c>
      <c r="BS68" s="13">
        <f>IFERROR(VLOOKUP($G68,'Visu totale'!$D$3:$DH$129,BS$1,0),0)</f>
        <v>0</v>
      </c>
      <c r="BT68" s="13">
        <f>IFERROR(VLOOKUP($G68,'Visu totale'!$D$3:$DH$129,BT$1,0),0)</f>
        <v>0</v>
      </c>
      <c r="BU68" s="13">
        <f>IFERROR(VLOOKUP($G68,'Visu totale'!$D$3:$DH$129,BU$1,0),0)</f>
        <v>0</v>
      </c>
      <c r="BV68" s="13">
        <f>IFERROR(VLOOKUP($G68,'Visu totale'!$D$3:$DH$129,BV$1,0),0)</f>
        <v>0</v>
      </c>
      <c r="BW68" s="13">
        <f>IFERROR(VLOOKUP($G68,'Visu totale'!$D$3:$DH$129,BW$1,0),0)</f>
        <v>0</v>
      </c>
      <c r="BX68" s="13">
        <f>IFERROR(VLOOKUP($G68,'Visu totale'!$D$3:$DH$129,BX$1,0),0)</f>
        <v>0</v>
      </c>
      <c r="BY68" s="13">
        <f>IFERROR(VLOOKUP($G68,'Visu totale'!$D$3:$DH$129,BY$1,0),0)</f>
        <v>0</v>
      </c>
      <c r="BZ68" s="13">
        <f>IFERROR(VLOOKUP($G68,'Visu totale'!$D$3:$DH$129,BZ$1,0),0)</f>
        <v>0</v>
      </c>
      <c r="CA68" s="15">
        <f>IFERROR(VLOOKUP($G68,'Visu totale'!$D$3:$DH$129,CA$1,0),0)</f>
        <v>0</v>
      </c>
      <c r="CB68" s="14">
        <f>IFERROR(VLOOKUP($G68,'Visu totale'!$D$3:$DH$129,CB$1,0),0)</f>
        <v>0</v>
      </c>
      <c r="CC68" s="13">
        <f>IFERROR(VLOOKUP($G68,'Visu totale'!$D$3:$DH$129,CC$1,0),0)</f>
        <v>0</v>
      </c>
      <c r="CD68" s="13">
        <f>IFERROR(VLOOKUP($G68,'Visu totale'!$D$3:$DH$129,CD$1,0),0)</f>
        <v>0</v>
      </c>
      <c r="CE68" s="13">
        <f>IFERROR(VLOOKUP($G68,'Visu totale'!$D$3:$DH$129,CE$1,0),0)</f>
        <v>0</v>
      </c>
      <c r="CF68" s="13">
        <f>IFERROR(VLOOKUP($G68,'Visu totale'!$D$3:$DH$129,CF$1,0),0)</f>
        <v>0</v>
      </c>
      <c r="CG68" s="13">
        <f>IFERROR(VLOOKUP($G68,'Visu totale'!$D$3:$DH$129,CG$1,0),0)</f>
        <v>0</v>
      </c>
      <c r="CH68" s="13">
        <f>IFERROR(VLOOKUP($G68,'Visu totale'!$D$3:$DH$129,CH$1,0),0)</f>
        <v>0</v>
      </c>
      <c r="CI68" s="13">
        <f>IFERROR(VLOOKUP($G68,'Visu totale'!$D$3:$DH$129,CI$1,0),0)</f>
        <v>0</v>
      </c>
      <c r="CJ68" s="13">
        <f>IFERROR(VLOOKUP($G68,'Visu totale'!$D$3:$DH$129,CJ$1,0),0)</f>
        <v>0</v>
      </c>
      <c r="CK68" s="13">
        <f>IFERROR(VLOOKUP($G68,'Visu totale'!$D$3:$DH$129,CK$1,0),0)</f>
        <v>0</v>
      </c>
      <c r="CL68" s="13">
        <f>IFERROR(VLOOKUP($G68,'Visu totale'!$D$3:$DH$129,CL$1,0),0)</f>
        <v>0</v>
      </c>
      <c r="CM68" s="15">
        <f>IFERROR(VLOOKUP($G68,'Visu totale'!$D$3:$DH$129,CM$1,0),0)</f>
        <v>0</v>
      </c>
      <c r="CN68" s="14">
        <f>IFERROR(VLOOKUP($G68,'Visu totale'!$D$3:$DH$129,CN$1,0),0)</f>
        <v>0</v>
      </c>
      <c r="CO68" s="13">
        <f>IFERROR(VLOOKUP($G68,'Visu totale'!$D$3:$DH$129,CO$1,0),0)</f>
        <v>0</v>
      </c>
      <c r="CP68" s="13">
        <f>IFERROR(VLOOKUP($G68,'Visu totale'!$D$3:$DH$129,CP$1,0),0)</f>
        <v>0</v>
      </c>
      <c r="CQ68" s="13">
        <f>IFERROR(VLOOKUP($G68,'Visu totale'!$D$3:$DH$129,CQ$1,0),0)</f>
        <v>0</v>
      </c>
      <c r="CR68" s="13">
        <f>IFERROR(VLOOKUP($G68,'Visu totale'!$D$3:$DH$129,CR$1,0),0)</f>
        <v>0</v>
      </c>
      <c r="CS68" s="13">
        <f>IFERROR(VLOOKUP($G68,'Visu totale'!$D$3:$DH$129,CS$1,0),0)</f>
        <v>0</v>
      </c>
      <c r="CT68" s="13">
        <f>IFERROR(VLOOKUP($G68,'Visu totale'!$D$3:$DH$129,CT$1,0),0)</f>
        <v>0</v>
      </c>
      <c r="CU68" s="13">
        <f>IFERROR(VLOOKUP($G68,'Visu totale'!$D$3:$DH$129,CU$1,0),0)</f>
        <v>0</v>
      </c>
      <c r="CV68" s="13">
        <f>IFERROR(VLOOKUP($G68,'Visu totale'!$D$3:$DH$129,CV$1,0),0)</f>
        <v>0</v>
      </c>
      <c r="CW68" s="13">
        <f>IFERROR(VLOOKUP($G68,'Visu totale'!$D$3:$DH$129,CW$1,0),0)</f>
        <v>0</v>
      </c>
      <c r="CX68" s="13">
        <f>IFERROR(VLOOKUP($G68,'Visu totale'!$D$3:$DH$129,CX$1,0),0)</f>
        <v>0</v>
      </c>
      <c r="CY68" s="15">
        <f>IFERROR(VLOOKUP($G68,'Visu totale'!$D$3:$DH$129,CY$1,0),0)</f>
        <v>0</v>
      </c>
      <c r="CZ68" s="14">
        <f>IFERROR(VLOOKUP($G68,'Visu totale'!$D$3:$DH$129,CZ$1,0),0)</f>
        <v>0</v>
      </c>
      <c r="DA68" s="13">
        <f>IFERROR(VLOOKUP($G68,'Visu totale'!$D$3:$DH$129,DA$1,0),0)</f>
        <v>0</v>
      </c>
      <c r="DB68" s="13">
        <f>IFERROR(VLOOKUP($G68,'Visu totale'!$D$3:$DH$129,DB$1,0),0)</f>
        <v>0</v>
      </c>
      <c r="DC68" s="13">
        <f>IFERROR(VLOOKUP($G68,'Visu totale'!$D$3:$DH$129,DC$1,0),0)</f>
        <v>0</v>
      </c>
      <c r="DD68" s="13">
        <f>IFERROR(VLOOKUP($G68,'Visu totale'!$D$3:$DH$129,DD$1,0),0)</f>
        <v>0</v>
      </c>
      <c r="DE68" s="13">
        <f>IFERROR(VLOOKUP($G68,'Visu totale'!$D$3:$DH$129,DE$1,0),0)</f>
        <v>0</v>
      </c>
      <c r="DF68" s="13">
        <f>IFERROR(VLOOKUP($G68,'Visu totale'!$D$3:$DH$129,DF$1,0),0)</f>
        <v>0</v>
      </c>
      <c r="DG68" s="13">
        <f>IFERROR(VLOOKUP($G68,'Visu totale'!$D$3:$DH$129,DG$1,0),0)</f>
        <v>0</v>
      </c>
      <c r="DH68" s="13">
        <f>IFERROR(VLOOKUP($G68,'Visu totale'!$D$3:$DH$129,DH$1,0),0)</f>
        <v>0</v>
      </c>
      <c r="DI68" s="13">
        <f>IFERROR(VLOOKUP($G68,'Visu totale'!$D$3:$DH$129,DI$1,0),0)</f>
        <v>0</v>
      </c>
      <c r="DJ68" s="13">
        <f>IFERROR(VLOOKUP($G68,'Visu totale'!$D$3:$DH$129,DJ$1,0),0)</f>
        <v>0</v>
      </c>
      <c r="DK68" s="15">
        <f>IFERROR(VLOOKUP($G68,'Visu totale'!$D$3:$DH$129,DK$1,0),0)</f>
        <v>0</v>
      </c>
    </row>
    <row r="69" spans="1:115" x14ac:dyDescent="0.25">
      <c r="A69" s="13"/>
      <c r="B69" s="13"/>
      <c r="C69" s="13"/>
      <c r="D69" s="16"/>
      <c r="E69" s="13"/>
      <c r="F69" s="13"/>
      <c r="G69" s="17" t="s">
        <v>71</v>
      </c>
      <c r="H69" s="14">
        <f>IFERROR(VLOOKUP($G69,'Visu totale'!$D$3:$DH$129,H$1,0),0)</f>
        <v>0</v>
      </c>
      <c r="I69" s="13">
        <f>IFERROR(VLOOKUP($G69,'Visu totale'!$D$3:$DH$129,I$1,0),0)</f>
        <v>0</v>
      </c>
      <c r="J69" s="13">
        <f>IFERROR(VLOOKUP($G69,'Visu totale'!$D$3:$DH$129,J$1,0),0)</f>
        <v>0</v>
      </c>
      <c r="K69" s="13">
        <f>IFERROR(VLOOKUP($G69,'Visu totale'!$D$3:$DH$129,K$1,0),0)</f>
        <v>0</v>
      </c>
      <c r="L69" s="13">
        <f>IFERROR(VLOOKUP($G69,'Visu totale'!$D$3:$DH$129,L$1,0),0)</f>
        <v>0</v>
      </c>
      <c r="M69" s="13">
        <f>IFERROR(VLOOKUP($G69,'Visu totale'!$D$3:$DH$129,M$1,0),0)</f>
        <v>0</v>
      </c>
      <c r="N69" s="13">
        <f>IFERROR(VLOOKUP($G69,'Visu totale'!$D$3:$DH$129,N$1,0),0)</f>
        <v>0</v>
      </c>
      <c r="O69" s="13">
        <f>IFERROR(VLOOKUP($G69,'Visu totale'!$D$3:$DH$129,O$1,0),0)</f>
        <v>0</v>
      </c>
      <c r="P69" s="13">
        <f>IFERROR(VLOOKUP($G69,'Visu totale'!$D$3:$DH$129,P$1,0),0)</f>
        <v>0</v>
      </c>
      <c r="Q69" s="13">
        <f>IFERROR(VLOOKUP($G69,'Visu totale'!$D$3:$DH$129,Q$1,0),0)</f>
        <v>0</v>
      </c>
      <c r="R69" s="13">
        <f>IFERROR(VLOOKUP($G69,'Visu totale'!$D$3:$DH$129,R$1,0),0)</f>
        <v>0</v>
      </c>
      <c r="S69" s="15">
        <f>IFERROR(VLOOKUP($G69,'Visu totale'!$D$3:$DH$129,S$1,0),0)</f>
        <v>0</v>
      </c>
      <c r="T69" s="14">
        <f>IFERROR(VLOOKUP($G69,'Visu totale'!$D$3:$DH$129,T$1,0),0)</f>
        <v>0</v>
      </c>
      <c r="U69" s="13">
        <f>IFERROR(VLOOKUP($G69,'Visu totale'!$D$3:$DH$129,U$1,0),0)</f>
        <v>0</v>
      </c>
      <c r="V69" s="13">
        <f>IFERROR(VLOOKUP($G69,'Visu totale'!$D$3:$DH$129,V$1,0),0)</f>
        <v>0</v>
      </c>
      <c r="W69" s="13">
        <f>IFERROR(VLOOKUP($G69,'Visu totale'!$D$3:$DH$129,W$1,0),0)</f>
        <v>0</v>
      </c>
      <c r="X69" s="13">
        <f>IFERROR(VLOOKUP($G69,'Visu totale'!$D$3:$DH$129,X$1,0),0)</f>
        <v>0</v>
      </c>
      <c r="Y69" s="13">
        <f>IFERROR(VLOOKUP($G69,'Visu totale'!$D$3:$DH$129,Y$1,0),0)</f>
        <v>0</v>
      </c>
      <c r="Z69" s="13">
        <f>IFERROR(VLOOKUP($G69,'Visu totale'!$D$3:$DH$129,Z$1,0),0)</f>
        <v>0</v>
      </c>
      <c r="AA69" s="13">
        <f>IFERROR(VLOOKUP($G69,'Visu totale'!$D$3:$DH$129,AA$1,0),0)</f>
        <v>0</v>
      </c>
      <c r="AB69" s="13">
        <f>IFERROR(VLOOKUP($G69,'Visu totale'!$D$3:$DH$129,AB$1,0),0)</f>
        <v>0</v>
      </c>
      <c r="AC69" s="13">
        <f>IFERROR(VLOOKUP($G69,'Visu totale'!$D$3:$DH$129,AC$1,0),0)</f>
        <v>0</v>
      </c>
      <c r="AD69" s="13">
        <f>IFERROR(VLOOKUP($G69,'Visu totale'!$D$3:$DH$129,AD$1,0),0)</f>
        <v>0</v>
      </c>
      <c r="AE69" s="15">
        <f>IFERROR(VLOOKUP($G69,'Visu totale'!$D$3:$DH$129,AE$1,0),0)</f>
        <v>0</v>
      </c>
      <c r="AF69" s="14">
        <f>IFERROR(VLOOKUP($G69,'Visu totale'!$D$3:$DH$129,AF$1,0),0)</f>
        <v>0</v>
      </c>
      <c r="AG69" s="13">
        <f>IFERROR(VLOOKUP($G69,'Visu totale'!$D$3:$DH$129,AG$1,0),0)</f>
        <v>0</v>
      </c>
      <c r="AH69" s="13">
        <f>IFERROR(VLOOKUP($G69,'Visu totale'!$D$3:$DH$129,AH$1,0),0)</f>
        <v>0</v>
      </c>
      <c r="AI69" s="13">
        <f>IFERROR(VLOOKUP($G69,'Visu totale'!$D$3:$DH$129,AI$1,0),0)</f>
        <v>0</v>
      </c>
      <c r="AJ69" s="13">
        <f>IFERROR(VLOOKUP($G69,'Visu totale'!$D$3:$DH$129,AJ$1,0),0)</f>
        <v>0</v>
      </c>
      <c r="AK69" s="13">
        <f>IFERROR(VLOOKUP($G69,'Visu totale'!$D$3:$DH$129,AK$1,0),0)</f>
        <v>0</v>
      </c>
      <c r="AL69" s="13">
        <f>IFERROR(VLOOKUP($G69,'Visu totale'!$D$3:$DH$129,AL$1,0),0)</f>
        <v>0</v>
      </c>
      <c r="AM69" s="13">
        <f>IFERROR(VLOOKUP($G69,'Visu totale'!$D$3:$DH$129,AM$1,0),0)</f>
        <v>0</v>
      </c>
      <c r="AN69" s="13">
        <f>IFERROR(VLOOKUP($G69,'Visu totale'!$D$3:$DH$129,AN$1,0),0)</f>
        <v>0</v>
      </c>
      <c r="AO69" s="13">
        <f>IFERROR(VLOOKUP($G69,'Visu totale'!$D$3:$DH$129,AO$1,0),0)</f>
        <v>0</v>
      </c>
      <c r="AP69" s="13">
        <f>IFERROR(VLOOKUP($G69,'Visu totale'!$D$3:$DH$129,AP$1,0),0)</f>
        <v>0</v>
      </c>
      <c r="AQ69" s="15">
        <f>IFERROR(VLOOKUP($G69,'Visu totale'!$D$3:$DH$129,AQ$1,0),0)</f>
        <v>0</v>
      </c>
      <c r="AR69" s="14">
        <f>IFERROR(VLOOKUP($G69,'Visu totale'!$D$3:$DH$129,AR$1,0),0)</f>
        <v>0</v>
      </c>
      <c r="AS69" s="13">
        <f>IFERROR(VLOOKUP($G69,'Visu totale'!$D$3:$DH$129,AS$1,0),0)</f>
        <v>0</v>
      </c>
      <c r="AT69" s="13">
        <f>IFERROR(VLOOKUP($G69,'Visu totale'!$D$3:$DH$129,AT$1,0),0)</f>
        <v>0</v>
      </c>
      <c r="AU69" s="13">
        <f>IFERROR(VLOOKUP($G69,'Visu totale'!$D$3:$DH$129,AU$1,0),0)</f>
        <v>0</v>
      </c>
      <c r="AV69" s="13">
        <f>IFERROR(VLOOKUP($G69,'Visu totale'!$D$3:$DH$129,AV$1,0),0)</f>
        <v>0</v>
      </c>
      <c r="AW69" s="13">
        <f>IFERROR(VLOOKUP($G69,'Visu totale'!$D$3:$DH$129,AW$1,0),0)</f>
        <v>0</v>
      </c>
      <c r="AX69" s="13">
        <f>IFERROR(VLOOKUP($G69,'Visu totale'!$D$3:$DH$129,AX$1,0),0)</f>
        <v>0</v>
      </c>
      <c r="AY69" s="13">
        <f>IFERROR(VLOOKUP($G69,'Visu totale'!$D$3:$DH$129,AY$1,0),0)</f>
        <v>0</v>
      </c>
      <c r="AZ69" s="13">
        <f>IFERROR(VLOOKUP($G69,'Visu totale'!$D$3:$DH$129,AZ$1,0),0)</f>
        <v>0</v>
      </c>
      <c r="BA69" s="13">
        <f>IFERROR(VLOOKUP($G69,'Visu totale'!$D$3:$DH$129,BA$1,0),0)</f>
        <v>0</v>
      </c>
      <c r="BB69" s="13">
        <f>IFERROR(VLOOKUP($G69,'Visu totale'!$D$3:$DH$129,BB$1,0),0)</f>
        <v>0</v>
      </c>
      <c r="BC69" s="15">
        <f>IFERROR(VLOOKUP($G69,'Visu totale'!$D$3:$DH$129,BC$1,0),0)</f>
        <v>0</v>
      </c>
      <c r="BD69" s="14">
        <f>IFERROR(VLOOKUP($G69,'Visu totale'!$D$3:$DH$129,BD$1,0),0)</f>
        <v>0</v>
      </c>
      <c r="BE69" s="13">
        <f>IFERROR(VLOOKUP($G69,'Visu totale'!$D$3:$DH$129,BE$1,0),0)</f>
        <v>0</v>
      </c>
      <c r="BF69" s="13">
        <f>IFERROR(VLOOKUP($G69,'Visu totale'!$D$3:$DH$129,BF$1,0),0)</f>
        <v>0</v>
      </c>
      <c r="BG69" s="13">
        <f>IFERROR(VLOOKUP($G69,'Visu totale'!$D$3:$DH$129,BG$1,0),0)</f>
        <v>0</v>
      </c>
      <c r="BH69" s="13">
        <f>IFERROR(VLOOKUP($G69,'Visu totale'!$D$3:$DH$129,BH$1,0),0)</f>
        <v>0</v>
      </c>
      <c r="BI69" s="13">
        <f>IFERROR(VLOOKUP($G69,'Visu totale'!$D$3:$DH$129,BI$1,0),0)</f>
        <v>0</v>
      </c>
      <c r="BJ69" s="13">
        <f>IFERROR(VLOOKUP($G69,'Visu totale'!$D$3:$DH$129,BJ$1,0),0)</f>
        <v>0</v>
      </c>
      <c r="BK69" s="13">
        <f>IFERROR(VLOOKUP($G69,'Visu totale'!$D$3:$DH$129,BK$1,0),0)</f>
        <v>0</v>
      </c>
      <c r="BL69" s="13">
        <f>IFERROR(VLOOKUP($G69,'Visu totale'!$D$3:$DH$129,BL$1,0),0)</f>
        <v>0</v>
      </c>
      <c r="BM69" s="13">
        <f>IFERROR(VLOOKUP($G69,'Visu totale'!$D$3:$DH$129,BM$1,0),0)</f>
        <v>0</v>
      </c>
      <c r="BN69" s="13">
        <f>IFERROR(VLOOKUP($G69,'Visu totale'!$D$3:$DH$129,BN$1,0),0)</f>
        <v>0</v>
      </c>
      <c r="BO69" s="15">
        <f>IFERROR(VLOOKUP($G69,'Visu totale'!$D$3:$DH$129,BO$1,0),0)</f>
        <v>0</v>
      </c>
      <c r="BP69" s="14">
        <f>IFERROR(VLOOKUP($G69,'Visu totale'!$D$3:$DH$129,BP$1,0),0)</f>
        <v>0</v>
      </c>
      <c r="BQ69" s="13">
        <f>IFERROR(VLOOKUP($G69,'Visu totale'!$D$3:$DH$129,BQ$1,0),0)</f>
        <v>0</v>
      </c>
      <c r="BR69" s="13">
        <f>IFERROR(VLOOKUP($G69,'Visu totale'!$D$3:$DH$129,BR$1,0),0)</f>
        <v>0</v>
      </c>
      <c r="BS69" s="13">
        <f>IFERROR(VLOOKUP($G69,'Visu totale'!$D$3:$DH$129,BS$1,0),0)</f>
        <v>0</v>
      </c>
      <c r="BT69" s="13">
        <f>IFERROR(VLOOKUP($G69,'Visu totale'!$D$3:$DH$129,BT$1,0),0)</f>
        <v>0</v>
      </c>
      <c r="BU69" s="13">
        <f>IFERROR(VLOOKUP($G69,'Visu totale'!$D$3:$DH$129,BU$1,0),0)</f>
        <v>0</v>
      </c>
      <c r="BV69" s="13">
        <f>IFERROR(VLOOKUP($G69,'Visu totale'!$D$3:$DH$129,BV$1,0),0)</f>
        <v>0</v>
      </c>
      <c r="BW69" s="13">
        <f>IFERROR(VLOOKUP($G69,'Visu totale'!$D$3:$DH$129,BW$1,0),0)</f>
        <v>0</v>
      </c>
      <c r="BX69" s="13">
        <f>IFERROR(VLOOKUP($G69,'Visu totale'!$D$3:$DH$129,BX$1,0),0)</f>
        <v>0</v>
      </c>
      <c r="BY69" s="13">
        <f>IFERROR(VLOOKUP($G69,'Visu totale'!$D$3:$DH$129,BY$1,0),0)</f>
        <v>0</v>
      </c>
      <c r="BZ69" s="13">
        <f>IFERROR(VLOOKUP($G69,'Visu totale'!$D$3:$DH$129,BZ$1,0),0)</f>
        <v>0</v>
      </c>
      <c r="CA69" s="15">
        <f>IFERROR(VLOOKUP($G69,'Visu totale'!$D$3:$DH$129,CA$1,0),0)</f>
        <v>0</v>
      </c>
      <c r="CB69" s="14">
        <f>IFERROR(VLOOKUP($G69,'Visu totale'!$D$3:$DH$129,CB$1,0),0)</f>
        <v>0</v>
      </c>
      <c r="CC69" s="13">
        <f>IFERROR(VLOOKUP($G69,'Visu totale'!$D$3:$DH$129,CC$1,0),0)</f>
        <v>0</v>
      </c>
      <c r="CD69" s="13">
        <f>IFERROR(VLOOKUP($G69,'Visu totale'!$D$3:$DH$129,CD$1,0),0)</f>
        <v>0</v>
      </c>
      <c r="CE69" s="13">
        <f>IFERROR(VLOOKUP($G69,'Visu totale'!$D$3:$DH$129,CE$1,0),0)</f>
        <v>0</v>
      </c>
      <c r="CF69" s="13">
        <f>IFERROR(VLOOKUP($G69,'Visu totale'!$D$3:$DH$129,CF$1,0),0)</f>
        <v>0</v>
      </c>
      <c r="CG69" s="13">
        <f>IFERROR(VLOOKUP($G69,'Visu totale'!$D$3:$DH$129,CG$1,0),0)</f>
        <v>0</v>
      </c>
      <c r="CH69" s="13">
        <f>IFERROR(VLOOKUP($G69,'Visu totale'!$D$3:$DH$129,CH$1,0),0)</f>
        <v>0</v>
      </c>
      <c r="CI69" s="13">
        <f>IFERROR(VLOOKUP($G69,'Visu totale'!$D$3:$DH$129,CI$1,0),0)</f>
        <v>0</v>
      </c>
      <c r="CJ69" s="13">
        <f>IFERROR(VLOOKUP($G69,'Visu totale'!$D$3:$DH$129,CJ$1,0),0)</f>
        <v>0</v>
      </c>
      <c r="CK69" s="13">
        <f>IFERROR(VLOOKUP($G69,'Visu totale'!$D$3:$DH$129,CK$1,0),0)</f>
        <v>0</v>
      </c>
      <c r="CL69" s="13">
        <f>IFERROR(VLOOKUP($G69,'Visu totale'!$D$3:$DH$129,CL$1,0),0)</f>
        <v>0</v>
      </c>
      <c r="CM69" s="15">
        <f>IFERROR(VLOOKUP($G69,'Visu totale'!$D$3:$DH$129,CM$1,0),0)</f>
        <v>0</v>
      </c>
      <c r="CN69" s="14">
        <f>IFERROR(VLOOKUP($G69,'Visu totale'!$D$3:$DH$129,CN$1,0),0)</f>
        <v>0</v>
      </c>
      <c r="CO69" s="13">
        <f>IFERROR(VLOOKUP($G69,'Visu totale'!$D$3:$DH$129,CO$1,0),0)</f>
        <v>0</v>
      </c>
      <c r="CP69" s="13">
        <f>IFERROR(VLOOKUP($G69,'Visu totale'!$D$3:$DH$129,CP$1,0),0)</f>
        <v>0</v>
      </c>
      <c r="CQ69" s="13">
        <f>IFERROR(VLOOKUP($G69,'Visu totale'!$D$3:$DH$129,CQ$1,0),0)</f>
        <v>0</v>
      </c>
      <c r="CR69" s="13">
        <f>IFERROR(VLOOKUP($G69,'Visu totale'!$D$3:$DH$129,CR$1,0),0)</f>
        <v>0</v>
      </c>
      <c r="CS69" s="13">
        <f>IFERROR(VLOOKUP($G69,'Visu totale'!$D$3:$DH$129,CS$1,0),0)</f>
        <v>0</v>
      </c>
      <c r="CT69" s="13">
        <f>IFERROR(VLOOKUP($G69,'Visu totale'!$D$3:$DH$129,CT$1,0),0)</f>
        <v>0</v>
      </c>
      <c r="CU69" s="13">
        <f>IFERROR(VLOOKUP($G69,'Visu totale'!$D$3:$DH$129,CU$1,0),0)</f>
        <v>0</v>
      </c>
      <c r="CV69" s="13">
        <f>IFERROR(VLOOKUP($G69,'Visu totale'!$D$3:$DH$129,CV$1,0),0)</f>
        <v>0</v>
      </c>
      <c r="CW69" s="13">
        <f>IFERROR(VLOOKUP($G69,'Visu totale'!$D$3:$DH$129,CW$1,0),0)</f>
        <v>0</v>
      </c>
      <c r="CX69" s="13">
        <f>IFERROR(VLOOKUP($G69,'Visu totale'!$D$3:$DH$129,CX$1,0),0)</f>
        <v>0</v>
      </c>
      <c r="CY69" s="15">
        <f>IFERROR(VLOOKUP($G69,'Visu totale'!$D$3:$DH$129,CY$1,0),0)</f>
        <v>0</v>
      </c>
      <c r="CZ69" s="14">
        <f>IFERROR(VLOOKUP($G69,'Visu totale'!$D$3:$DH$129,CZ$1,0),0)</f>
        <v>0</v>
      </c>
      <c r="DA69" s="13">
        <f>IFERROR(VLOOKUP($G69,'Visu totale'!$D$3:$DH$129,DA$1,0),0)</f>
        <v>0</v>
      </c>
      <c r="DB69" s="13">
        <f>IFERROR(VLOOKUP($G69,'Visu totale'!$D$3:$DH$129,DB$1,0),0)</f>
        <v>0</v>
      </c>
      <c r="DC69" s="13">
        <f>IFERROR(VLOOKUP($G69,'Visu totale'!$D$3:$DH$129,DC$1,0),0)</f>
        <v>0</v>
      </c>
      <c r="DD69" s="13">
        <f>IFERROR(VLOOKUP($G69,'Visu totale'!$D$3:$DH$129,DD$1,0),0)</f>
        <v>0</v>
      </c>
      <c r="DE69" s="13">
        <f>IFERROR(VLOOKUP($G69,'Visu totale'!$D$3:$DH$129,DE$1,0),0)</f>
        <v>0</v>
      </c>
      <c r="DF69" s="13">
        <f>IFERROR(VLOOKUP($G69,'Visu totale'!$D$3:$DH$129,DF$1,0),0)</f>
        <v>0</v>
      </c>
      <c r="DG69" s="13">
        <f>IFERROR(VLOOKUP($G69,'Visu totale'!$D$3:$DH$129,DG$1,0),0)</f>
        <v>0</v>
      </c>
      <c r="DH69" s="13">
        <f>IFERROR(VLOOKUP($G69,'Visu totale'!$D$3:$DH$129,DH$1,0),0)</f>
        <v>0</v>
      </c>
      <c r="DI69" s="13">
        <f>IFERROR(VLOOKUP($G69,'Visu totale'!$D$3:$DH$129,DI$1,0),0)</f>
        <v>0</v>
      </c>
      <c r="DJ69" s="13">
        <f>IFERROR(VLOOKUP($G69,'Visu totale'!$D$3:$DH$129,DJ$1,0),0)</f>
        <v>0</v>
      </c>
      <c r="DK69" s="15">
        <f>IFERROR(VLOOKUP($G69,'Visu totale'!$D$3:$DH$129,DK$1,0),0)</f>
        <v>0</v>
      </c>
    </row>
    <row r="70" spans="1:115" x14ac:dyDescent="0.25">
      <c r="A70" s="13"/>
      <c r="B70" s="13"/>
      <c r="C70" s="13"/>
      <c r="D70" s="16"/>
      <c r="E70" s="13"/>
      <c r="F70" s="13"/>
      <c r="G70" s="17" t="s">
        <v>72</v>
      </c>
      <c r="H70" s="14">
        <f>IFERROR(VLOOKUP($G70,'Visu totale'!$D$3:$DH$129,H$1,0),0)</f>
        <v>0</v>
      </c>
      <c r="I70" s="13">
        <f>IFERROR(VLOOKUP($G70,'Visu totale'!$D$3:$DH$129,I$1,0),0)</f>
        <v>0</v>
      </c>
      <c r="J70" s="13">
        <f>IFERROR(VLOOKUP($G70,'Visu totale'!$D$3:$DH$129,J$1,0),0)</f>
        <v>0</v>
      </c>
      <c r="K70" s="13">
        <f>IFERROR(VLOOKUP($G70,'Visu totale'!$D$3:$DH$129,K$1,0),0)</f>
        <v>0</v>
      </c>
      <c r="L70" s="13">
        <f>IFERROR(VLOOKUP($G70,'Visu totale'!$D$3:$DH$129,L$1,0),0)</f>
        <v>0</v>
      </c>
      <c r="M70" s="13">
        <f>IFERROR(VLOOKUP($G70,'Visu totale'!$D$3:$DH$129,M$1,0),0)</f>
        <v>0</v>
      </c>
      <c r="N70" s="13">
        <f>IFERROR(VLOOKUP($G70,'Visu totale'!$D$3:$DH$129,N$1,0),0)</f>
        <v>0</v>
      </c>
      <c r="O70" s="13">
        <f>IFERROR(VLOOKUP($G70,'Visu totale'!$D$3:$DH$129,O$1,0),0)</f>
        <v>0</v>
      </c>
      <c r="P70" s="13">
        <f>IFERROR(VLOOKUP($G70,'Visu totale'!$D$3:$DH$129,P$1,0),0)</f>
        <v>0</v>
      </c>
      <c r="Q70" s="13">
        <f>IFERROR(VLOOKUP($G70,'Visu totale'!$D$3:$DH$129,Q$1,0),0)</f>
        <v>0</v>
      </c>
      <c r="R70" s="13">
        <f>IFERROR(VLOOKUP($G70,'Visu totale'!$D$3:$DH$129,R$1,0),0)</f>
        <v>0</v>
      </c>
      <c r="S70" s="15">
        <f>IFERROR(VLOOKUP($G70,'Visu totale'!$D$3:$DH$129,S$1,0),0)</f>
        <v>0</v>
      </c>
      <c r="T70" s="14">
        <f>IFERROR(VLOOKUP($G70,'Visu totale'!$D$3:$DH$129,T$1,0),0)</f>
        <v>0</v>
      </c>
      <c r="U70" s="13">
        <f>IFERROR(VLOOKUP($G70,'Visu totale'!$D$3:$DH$129,U$1,0),0)</f>
        <v>0</v>
      </c>
      <c r="V70" s="13">
        <f>IFERROR(VLOOKUP($G70,'Visu totale'!$D$3:$DH$129,V$1,0),0)</f>
        <v>0</v>
      </c>
      <c r="W70" s="13">
        <f>IFERROR(VLOOKUP($G70,'Visu totale'!$D$3:$DH$129,W$1,0),0)</f>
        <v>0</v>
      </c>
      <c r="X70" s="13">
        <f>IFERROR(VLOOKUP($G70,'Visu totale'!$D$3:$DH$129,X$1,0),0)</f>
        <v>0</v>
      </c>
      <c r="Y70" s="13">
        <f>IFERROR(VLOOKUP($G70,'Visu totale'!$D$3:$DH$129,Y$1,0),0)</f>
        <v>0</v>
      </c>
      <c r="Z70" s="13">
        <f>IFERROR(VLOOKUP($G70,'Visu totale'!$D$3:$DH$129,Z$1,0),0)</f>
        <v>0</v>
      </c>
      <c r="AA70" s="13">
        <f>IFERROR(VLOOKUP($G70,'Visu totale'!$D$3:$DH$129,AA$1,0),0)</f>
        <v>0</v>
      </c>
      <c r="AB70" s="13">
        <f>IFERROR(VLOOKUP($G70,'Visu totale'!$D$3:$DH$129,AB$1,0),0)</f>
        <v>0</v>
      </c>
      <c r="AC70" s="13">
        <f>IFERROR(VLOOKUP($G70,'Visu totale'!$D$3:$DH$129,AC$1,0),0)</f>
        <v>0</v>
      </c>
      <c r="AD70" s="13">
        <f>IFERROR(VLOOKUP($G70,'Visu totale'!$D$3:$DH$129,AD$1,0),0)</f>
        <v>0</v>
      </c>
      <c r="AE70" s="15">
        <f>IFERROR(VLOOKUP($G70,'Visu totale'!$D$3:$DH$129,AE$1,0),0)</f>
        <v>0</v>
      </c>
      <c r="AF70" s="14">
        <f>IFERROR(VLOOKUP($G70,'Visu totale'!$D$3:$DH$129,AF$1,0),0)</f>
        <v>0</v>
      </c>
      <c r="AG70" s="13">
        <f>IFERROR(VLOOKUP($G70,'Visu totale'!$D$3:$DH$129,AG$1,0),0)</f>
        <v>0</v>
      </c>
      <c r="AH70" s="13">
        <f>IFERROR(VLOOKUP($G70,'Visu totale'!$D$3:$DH$129,AH$1,0),0)</f>
        <v>0</v>
      </c>
      <c r="AI70" s="13">
        <f>IFERROR(VLOOKUP($G70,'Visu totale'!$D$3:$DH$129,AI$1,0),0)</f>
        <v>0</v>
      </c>
      <c r="AJ70" s="13">
        <f>IFERROR(VLOOKUP($G70,'Visu totale'!$D$3:$DH$129,AJ$1,0),0)</f>
        <v>0</v>
      </c>
      <c r="AK70" s="13">
        <f>IFERROR(VLOOKUP($G70,'Visu totale'!$D$3:$DH$129,AK$1,0),0)</f>
        <v>0</v>
      </c>
      <c r="AL70" s="13">
        <f>IFERROR(VLOOKUP($G70,'Visu totale'!$D$3:$DH$129,AL$1,0),0)</f>
        <v>0</v>
      </c>
      <c r="AM70" s="13">
        <f>IFERROR(VLOOKUP($G70,'Visu totale'!$D$3:$DH$129,AM$1,0),0)</f>
        <v>0</v>
      </c>
      <c r="AN70" s="13">
        <f>IFERROR(VLOOKUP($G70,'Visu totale'!$D$3:$DH$129,AN$1,0),0)</f>
        <v>0</v>
      </c>
      <c r="AO70" s="13">
        <f>IFERROR(VLOOKUP($G70,'Visu totale'!$D$3:$DH$129,AO$1,0),0)</f>
        <v>0</v>
      </c>
      <c r="AP70" s="13">
        <f>IFERROR(VLOOKUP($G70,'Visu totale'!$D$3:$DH$129,AP$1,0),0)</f>
        <v>0</v>
      </c>
      <c r="AQ70" s="15">
        <f>IFERROR(VLOOKUP($G70,'Visu totale'!$D$3:$DH$129,AQ$1,0),0)</f>
        <v>0</v>
      </c>
      <c r="AR70" s="14">
        <f>IFERROR(VLOOKUP($G70,'Visu totale'!$D$3:$DH$129,AR$1,0),0)</f>
        <v>0</v>
      </c>
      <c r="AS70" s="13">
        <f>IFERROR(VLOOKUP($G70,'Visu totale'!$D$3:$DH$129,AS$1,0),0)</f>
        <v>0</v>
      </c>
      <c r="AT70" s="13">
        <f>IFERROR(VLOOKUP($G70,'Visu totale'!$D$3:$DH$129,AT$1,0),0)</f>
        <v>0</v>
      </c>
      <c r="AU70" s="13">
        <f>IFERROR(VLOOKUP($G70,'Visu totale'!$D$3:$DH$129,AU$1,0),0)</f>
        <v>0</v>
      </c>
      <c r="AV70" s="13">
        <f>IFERROR(VLOOKUP($G70,'Visu totale'!$D$3:$DH$129,AV$1,0),0)</f>
        <v>0</v>
      </c>
      <c r="AW70" s="13">
        <f>IFERROR(VLOOKUP($G70,'Visu totale'!$D$3:$DH$129,AW$1,0),0)</f>
        <v>0</v>
      </c>
      <c r="AX70" s="13">
        <f>IFERROR(VLOOKUP($G70,'Visu totale'!$D$3:$DH$129,AX$1,0),0)</f>
        <v>0</v>
      </c>
      <c r="AY70" s="13">
        <f>IFERROR(VLOOKUP($G70,'Visu totale'!$D$3:$DH$129,AY$1,0),0)</f>
        <v>0</v>
      </c>
      <c r="AZ70" s="13">
        <f>IFERROR(VLOOKUP($G70,'Visu totale'!$D$3:$DH$129,AZ$1,0),0)</f>
        <v>0</v>
      </c>
      <c r="BA70" s="13">
        <f>IFERROR(VLOOKUP($G70,'Visu totale'!$D$3:$DH$129,BA$1,0),0)</f>
        <v>0</v>
      </c>
      <c r="BB70" s="13">
        <f>IFERROR(VLOOKUP($G70,'Visu totale'!$D$3:$DH$129,BB$1,0),0)</f>
        <v>0</v>
      </c>
      <c r="BC70" s="15">
        <f>IFERROR(VLOOKUP($G70,'Visu totale'!$D$3:$DH$129,BC$1,0),0)</f>
        <v>0</v>
      </c>
      <c r="BD70" s="14">
        <f>IFERROR(VLOOKUP($G70,'Visu totale'!$D$3:$DH$129,BD$1,0),0)</f>
        <v>0</v>
      </c>
      <c r="BE70" s="13">
        <f>IFERROR(VLOOKUP($G70,'Visu totale'!$D$3:$DH$129,BE$1,0),0)</f>
        <v>0</v>
      </c>
      <c r="BF70" s="13">
        <f>IFERROR(VLOOKUP($G70,'Visu totale'!$D$3:$DH$129,BF$1,0),0)</f>
        <v>0</v>
      </c>
      <c r="BG70" s="13">
        <f>IFERROR(VLOOKUP($G70,'Visu totale'!$D$3:$DH$129,BG$1,0),0)</f>
        <v>0</v>
      </c>
      <c r="BH70" s="13">
        <f>IFERROR(VLOOKUP($G70,'Visu totale'!$D$3:$DH$129,BH$1,0),0)</f>
        <v>0</v>
      </c>
      <c r="BI70" s="13">
        <f>IFERROR(VLOOKUP($G70,'Visu totale'!$D$3:$DH$129,BI$1,0),0)</f>
        <v>0</v>
      </c>
      <c r="BJ70" s="13">
        <f>IFERROR(VLOOKUP($G70,'Visu totale'!$D$3:$DH$129,BJ$1,0),0)</f>
        <v>0</v>
      </c>
      <c r="BK70" s="13">
        <f>IFERROR(VLOOKUP($G70,'Visu totale'!$D$3:$DH$129,BK$1,0),0)</f>
        <v>0</v>
      </c>
      <c r="BL70" s="13">
        <f>IFERROR(VLOOKUP($G70,'Visu totale'!$D$3:$DH$129,BL$1,0),0)</f>
        <v>0</v>
      </c>
      <c r="BM70" s="13">
        <f>IFERROR(VLOOKUP($G70,'Visu totale'!$D$3:$DH$129,BM$1,0),0)</f>
        <v>0</v>
      </c>
      <c r="BN70" s="13">
        <f>IFERROR(VLOOKUP($G70,'Visu totale'!$D$3:$DH$129,BN$1,0),0)</f>
        <v>0</v>
      </c>
      <c r="BO70" s="15">
        <f>IFERROR(VLOOKUP($G70,'Visu totale'!$D$3:$DH$129,BO$1,0),0)</f>
        <v>0</v>
      </c>
      <c r="BP70" s="14">
        <f>IFERROR(VLOOKUP($G70,'Visu totale'!$D$3:$DH$129,BP$1,0),0)</f>
        <v>0</v>
      </c>
      <c r="BQ70" s="13">
        <f>IFERROR(VLOOKUP($G70,'Visu totale'!$D$3:$DH$129,BQ$1,0),0)</f>
        <v>0</v>
      </c>
      <c r="BR70" s="13">
        <f>IFERROR(VLOOKUP($G70,'Visu totale'!$D$3:$DH$129,BR$1,0),0)</f>
        <v>0</v>
      </c>
      <c r="BS70" s="13">
        <f>IFERROR(VLOOKUP($G70,'Visu totale'!$D$3:$DH$129,BS$1,0),0)</f>
        <v>0</v>
      </c>
      <c r="BT70" s="13">
        <f>IFERROR(VLOOKUP($G70,'Visu totale'!$D$3:$DH$129,BT$1,0),0)</f>
        <v>0</v>
      </c>
      <c r="BU70" s="13">
        <f>IFERROR(VLOOKUP($G70,'Visu totale'!$D$3:$DH$129,BU$1,0),0)</f>
        <v>0</v>
      </c>
      <c r="BV70" s="13">
        <f>IFERROR(VLOOKUP($G70,'Visu totale'!$D$3:$DH$129,BV$1,0),0)</f>
        <v>0</v>
      </c>
      <c r="BW70" s="13">
        <f>IFERROR(VLOOKUP($G70,'Visu totale'!$D$3:$DH$129,BW$1,0),0)</f>
        <v>0</v>
      </c>
      <c r="BX70" s="13">
        <f>IFERROR(VLOOKUP($G70,'Visu totale'!$D$3:$DH$129,BX$1,0),0)</f>
        <v>0</v>
      </c>
      <c r="BY70" s="13">
        <f>IFERROR(VLOOKUP($G70,'Visu totale'!$D$3:$DH$129,BY$1,0),0)</f>
        <v>0</v>
      </c>
      <c r="BZ70" s="13">
        <f>IFERROR(VLOOKUP($G70,'Visu totale'!$D$3:$DH$129,BZ$1,0),0)</f>
        <v>0</v>
      </c>
      <c r="CA70" s="15">
        <f>IFERROR(VLOOKUP($G70,'Visu totale'!$D$3:$DH$129,CA$1,0),0)</f>
        <v>0</v>
      </c>
      <c r="CB70" s="14">
        <f>IFERROR(VLOOKUP($G70,'Visu totale'!$D$3:$DH$129,CB$1,0),0)</f>
        <v>0</v>
      </c>
      <c r="CC70" s="13">
        <f>IFERROR(VLOOKUP($G70,'Visu totale'!$D$3:$DH$129,CC$1,0),0)</f>
        <v>0</v>
      </c>
      <c r="CD70" s="13">
        <f>IFERROR(VLOOKUP($G70,'Visu totale'!$D$3:$DH$129,CD$1,0),0)</f>
        <v>0</v>
      </c>
      <c r="CE70" s="13">
        <f>IFERROR(VLOOKUP($G70,'Visu totale'!$D$3:$DH$129,CE$1,0),0)</f>
        <v>0</v>
      </c>
      <c r="CF70" s="13">
        <f>IFERROR(VLOOKUP($G70,'Visu totale'!$D$3:$DH$129,CF$1,0),0)</f>
        <v>0</v>
      </c>
      <c r="CG70" s="13">
        <f>IFERROR(VLOOKUP($G70,'Visu totale'!$D$3:$DH$129,CG$1,0),0)</f>
        <v>0</v>
      </c>
      <c r="CH70" s="13">
        <f>IFERROR(VLOOKUP($G70,'Visu totale'!$D$3:$DH$129,CH$1,0),0)</f>
        <v>0</v>
      </c>
      <c r="CI70" s="13">
        <f>IFERROR(VLOOKUP($G70,'Visu totale'!$D$3:$DH$129,CI$1,0),0)</f>
        <v>0</v>
      </c>
      <c r="CJ70" s="13">
        <f>IFERROR(VLOOKUP($G70,'Visu totale'!$D$3:$DH$129,CJ$1,0),0)</f>
        <v>0</v>
      </c>
      <c r="CK70" s="13">
        <f>IFERROR(VLOOKUP($G70,'Visu totale'!$D$3:$DH$129,CK$1,0),0)</f>
        <v>0</v>
      </c>
      <c r="CL70" s="13">
        <f>IFERROR(VLOOKUP($G70,'Visu totale'!$D$3:$DH$129,CL$1,0),0)</f>
        <v>0</v>
      </c>
      <c r="CM70" s="15">
        <f>IFERROR(VLOOKUP($G70,'Visu totale'!$D$3:$DH$129,CM$1,0),0)</f>
        <v>0</v>
      </c>
      <c r="CN70" s="14">
        <f>IFERROR(VLOOKUP($G70,'Visu totale'!$D$3:$DH$129,CN$1,0),0)</f>
        <v>0</v>
      </c>
      <c r="CO70" s="13">
        <f>IFERROR(VLOOKUP($G70,'Visu totale'!$D$3:$DH$129,CO$1,0),0)</f>
        <v>0</v>
      </c>
      <c r="CP70" s="13">
        <f>IFERROR(VLOOKUP($G70,'Visu totale'!$D$3:$DH$129,CP$1,0),0)</f>
        <v>0</v>
      </c>
      <c r="CQ70" s="13">
        <f>IFERROR(VLOOKUP($G70,'Visu totale'!$D$3:$DH$129,CQ$1,0),0)</f>
        <v>0</v>
      </c>
      <c r="CR70" s="13">
        <f>IFERROR(VLOOKUP($G70,'Visu totale'!$D$3:$DH$129,CR$1,0),0)</f>
        <v>0</v>
      </c>
      <c r="CS70" s="13">
        <f>IFERROR(VLOOKUP($G70,'Visu totale'!$D$3:$DH$129,CS$1,0),0)</f>
        <v>0</v>
      </c>
      <c r="CT70" s="13">
        <f>IFERROR(VLOOKUP($G70,'Visu totale'!$D$3:$DH$129,CT$1,0),0)</f>
        <v>0</v>
      </c>
      <c r="CU70" s="13">
        <f>IFERROR(VLOOKUP($G70,'Visu totale'!$D$3:$DH$129,CU$1,0),0)</f>
        <v>0</v>
      </c>
      <c r="CV70" s="13">
        <f>IFERROR(VLOOKUP($G70,'Visu totale'!$D$3:$DH$129,CV$1,0),0)</f>
        <v>0</v>
      </c>
      <c r="CW70" s="13">
        <f>IFERROR(VLOOKUP($G70,'Visu totale'!$D$3:$DH$129,CW$1,0),0)</f>
        <v>0</v>
      </c>
      <c r="CX70" s="13">
        <f>IFERROR(VLOOKUP($G70,'Visu totale'!$D$3:$DH$129,CX$1,0),0)</f>
        <v>0</v>
      </c>
      <c r="CY70" s="15">
        <f>IFERROR(VLOOKUP($G70,'Visu totale'!$D$3:$DH$129,CY$1,0),0)</f>
        <v>0</v>
      </c>
      <c r="CZ70" s="14">
        <f>IFERROR(VLOOKUP($G70,'Visu totale'!$D$3:$DH$129,CZ$1,0),0)</f>
        <v>0</v>
      </c>
      <c r="DA70" s="13">
        <f>IFERROR(VLOOKUP($G70,'Visu totale'!$D$3:$DH$129,DA$1,0),0)</f>
        <v>0</v>
      </c>
      <c r="DB70" s="13">
        <f>IFERROR(VLOOKUP($G70,'Visu totale'!$D$3:$DH$129,DB$1,0),0)</f>
        <v>0</v>
      </c>
      <c r="DC70" s="13">
        <f>IFERROR(VLOOKUP($G70,'Visu totale'!$D$3:$DH$129,DC$1,0),0)</f>
        <v>0</v>
      </c>
      <c r="DD70" s="13">
        <f>IFERROR(VLOOKUP($G70,'Visu totale'!$D$3:$DH$129,DD$1,0),0)</f>
        <v>0</v>
      </c>
      <c r="DE70" s="13">
        <f>IFERROR(VLOOKUP($G70,'Visu totale'!$D$3:$DH$129,DE$1,0),0)</f>
        <v>0</v>
      </c>
      <c r="DF70" s="13">
        <f>IFERROR(VLOOKUP($G70,'Visu totale'!$D$3:$DH$129,DF$1,0),0)</f>
        <v>0</v>
      </c>
      <c r="DG70" s="13">
        <f>IFERROR(VLOOKUP($G70,'Visu totale'!$D$3:$DH$129,DG$1,0),0)</f>
        <v>0</v>
      </c>
      <c r="DH70" s="13">
        <f>IFERROR(VLOOKUP($G70,'Visu totale'!$D$3:$DH$129,DH$1,0),0)</f>
        <v>0</v>
      </c>
      <c r="DI70" s="13">
        <f>IFERROR(VLOOKUP($G70,'Visu totale'!$D$3:$DH$129,DI$1,0),0)</f>
        <v>0</v>
      </c>
      <c r="DJ70" s="13">
        <f>IFERROR(VLOOKUP($G70,'Visu totale'!$D$3:$DH$129,DJ$1,0),0)</f>
        <v>0</v>
      </c>
      <c r="DK70" s="15">
        <f>IFERROR(VLOOKUP($G70,'Visu totale'!$D$3:$DH$129,DK$1,0),0)</f>
        <v>0</v>
      </c>
    </row>
    <row r="71" spans="1:115" x14ac:dyDescent="0.25">
      <c r="A71" s="13"/>
      <c r="B71" s="13"/>
      <c r="C71" s="13"/>
      <c r="D71" s="16"/>
      <c r="E71" s="13"/>
      <c r="F71" s="13"/>
      <c r="G71" s="17" t="s">
        <v>73</v>
      </c>
      <c r="H71" s="14">
        <f>IFERROR(VLOOKUP($G71,'Visu totale'!$D$3:$DH$129,H$1,0),0)</f>
        <v>0</v>
      </c>
      <c r="I71" s="13">
        <f>IFERROR(VLOOKUP($G71,'Visu totale'!$D$3:$DH$129,I$1,0),0)</f>
        <v>0</v>
      </c>
      <c r="J71" s="13">
        <f>IFERROR(VLOOKUP($G71,'Visu totale'!$D$3:$DH$129,J$1,0),0)</f>
        <v>0</v>
      </c>
      <c r="K71" s="13">
        <f>IFERROR(VLOOKUP($G71,'Visu totale'!$D$3:$DH$129,K$1,0),0)</f>
        <v>0</v>
      </c>
      <c r="L71" s="13">
        <f>IFERROR(VLOOKUP($G71,'Visu totale'!$D$3:$DH$129,L$1,0),0)</f>
        <v>0</v>
      </c>
      <c r="M71" s="13">
        <f>IFERROR(VLOOKUP($G71,'Visu totale'!$D$3:$DH$129,M$1,0),0)</f>
        <v>0</v>
      </c>
      <c r="N71" s="13">
        <f>IFERROR(VLOOKUP($G71,'Visu totale'!$D$3:$DH$129,N$1,0),0)</f>
        <v>0</v>
      </c>
      <c r="O71" s="13">
        <f>IFERROR(VLOOKUP($G71,'Visu totale'!$D$3:$DH$129,O$1,0),0)</f>
        <v>0</v>
      </c>
      <c r="P71" s="13">
        <f>IFERROR(VLOOKUP($G71,'Visu totale'!$D$3:$DH$129,P$1,0),0)</f>
        <v>0</v>
      </c>
      <c r="Q71" s="13">
        <f>IFERROR(VLOOKUP($G71,'Visu totale'!$D$3:$DH$129,Q$1,0),0)</f>
        <v>0</v>
      </c>
      <c r="R71" s="13">
        <f>IFERROR(VLOOKUP($G71,'Visu totale'!$D$3:$DH$129,R$1,0),0)</f>
        <v>0</v>
      </c>
      <c r="S71" s="15">
        <f>IFERROR(VLOOKUP($G71,'Visu totale'!$D$3:$DH$129,S$1,0),0)</f>
        <v>0</v>
      </c>
      <c r="T71" s="14">
        <f>IFERROR(VLOOKUP($G71,'Visu totale'!$D$3:$DH$129,T$1,0),0)</f>
        <v>0</v>
      </c>
      <c r="U71" s="13">
        <f>IFERROR(VLOOKUP($G71,'Visu totale'!$D$3:$DH$129,U$1,0),0)</f>
        <v>0</v>
      </c>
      <c r="V71" s="13">
        <f>IFERROR(VLOOKUP($G71,'Visu totale'!$D$3:$DH$129,V$1,0),0)</f>
        <v>0</v>
      </c>
      <c r="W71" s="13">
        <f>IFERROR(VLOOKUP($G71,'Visu totale'!$D$3:$DH$129,W$1,0),0)</f>
        <v>0</v>
      </c>
      <c r="X71" s="13">
        <f>IFERROR(VLOOKUP($G71,'Visu totale'!$D$3:$DH$129,X$1,0),0)</f>
        <v>0</v>
      </c>
      <c r="Y71" s="13">
        <f>IFERROR(VLOOKUP($G71,'Visu totale'!$D$3:$DH$129,Y$1,0),0)</f>
        <v>0</v>
      </c>
      <c r="Z71" s="13">
        <f>IFERROR(VLOOKUP($G71,'Visu totale'!$D$3:$DH$129,Z$1,0),0)</f>
        <v>0</v>
      </c>
      <c r="AA71" s="13">
        <f>IFERROR(VLOOKUP($G71,'Visu totale'!$D$3:$DH$129,AA$1,0),0)</f>
        <v>0</v>
      </c>
      <c r="AB71" s="13">
        <f>IFERROR(VLOOKUP($G71,'Visu totale'!$D$3:$DH$129,AB$1,0),0)</f>
        <v>0</v>
      </c>
      <c r="AC71" s="13">
        <f>IFERROR(VLOOKUP($G71,'Visu totale'!$D$3:$DH$129,AC$1,0),0)</f>
        <v>0</v>
      </c>
      <c r="AD71" s="13">
        <f>IFERROR(VLOOKUP($G71,'Visu totale'!$D$3:$DH$129,AD$1,0),0)</f>
        <v>0</v>
      </c>
      <c r="AE71" s="15">
        <f>IFERROR(VLOOKUP($G71,'Visu totale'!$D$3:$DH$129,AE$1,0),0)</f>
        <v>0</v>
      </c>
      <c r="AF71" s="14">
        <f>IFERROR(VLOOKUP($G71,'Visu totale'!$D$3:$DH$129,AF$1,0),0)</f>
        <v>0</v>
      </c>
      <c r="AG71" s="13">
        <f>IFERROR(VLOOKUP($G71,'Visu totale'!$D$3:$DH$129,AG$1,0),0)</f>
        <v>0</v>
      </c>
      <c r="AH71" s="13">
        <f>IFERROR(VLOOKUP($G71,'Visu totale'!$D$3:$DH$129,AH$1,0),0)</f>
        <v>0</v>
      </c>
      <c r="AI71" s="13">
        <f>IFERROR(VLOOKUP($G71,'Visu totale'!$D$3:$DH$129,AI$1,0),0)</f>
        <v>0</v>
      </c>
      <c r="AJ71" s="13">
        <f>IFERROR(VLOOKUP($G71,'Visu totale'!$D$3:$DH$129,AJ$1,0),0)</f>
        <v>0</v>
      </c>
      <c r="AK71" s="13">
        <f>IFERROR(VLOOKUP($G71,'Visu totale'!$D$3:$DH$129,AK$1,0),0)</f>
        <v>0</v>
      </c>
      <c r="AL71" s="13">
        <f>IFERROR(VLOOKUP($G71,'Visu totale'!$D$3:$DH$129,AL$1,0),0)</f>
        <v>0</v>
      </c>
      <c r="AM71" s="13">
        <f>IFERROR(VLOOKUP($G71,'Visu totale'!$D$3:$DH$129,AM$1,0),0)</f>
        <v>0</v>
      </c>
      <c r="AN71" s="13">
        <f>IFERROR(VLOOKUP($G71,'Visu totale'!$D$3:$DH$129,AN$1,0),0)</f>
        <v>0</v>
      </c>
      <c r="AO71" s="13">
        <f>IFERROR(VLOOKUP($G71,'Visu totale'!$D$3:$DH$129,AO$1,0),0)</f>
        <v>0</v>
      </c>
      <c r="AP71" s="13">
        <f>IFERROR(VLOOKUP($G71,'Visu totale'!$D$3:$DH$129,AP$1,0),0)</f>
        <v>0</v>
      </c>
      <c r="AQ71" s="15">
        <f>IFERROR(VLOOKUP($G71,'Visu totale'!$D$3:$DH$129,AQ$1,0),0)</f>
        <v>0</v>
      </c>
      <c r="AR71" s="14">
        <f>IFERROR(VLOOKUP($G71,'Visu totale'!$D$3:$DH$129,AR$1,0),0)</f>
        <v>0</v>
      </c>
      <c r="AS71" s="13">
        <f>IFERROR(VLOOKUP($G71,'Visu totale'!$D$3:$DH$129,AS$1,0),0)</f>
        <v>0</v>
      </c>
      <c r="AT71" s="13">
        <f>IFERROR(VLOOKUP($G71,'Visu totale'!$D$3:$DH$129,AT$1,0),0)</f>
        <v>0</v>
      </c>
      <c r="AU71" s="13">
        <f>IFERROR(VLOOKUP($G71,'Visu totale'!$D$3:$DH$129,AU$1,0),0)</f>
        <v>0</v>
      </c>
      <c r="AV71" s="13">
        <f>IFERROR(VLOOKUP($G71,'Visu totale'!$D$3:$DH$129,AV$1,0),0)</f>
        <v>0</v>
      </c>
      <c r="AW71" s="13">
        <f>IFERROR(VLOOKUP($G71,'Visu totale'!$D$3:$DH$129,AW$1,0),0)</f>
        <v>0</v>
      </c>
      <c r="AX71" s="13">
        <f>IFERROR(VLOOKUP($G71,'Visu totale'!$D$3:$DH$129,AX$1,0),0)</f>
        <v>0</v>
      </c>
      <c r="AY71" s="13">
        <f>IFERROR(VLOOKUP($G71,'Visu totale'!$D$3:$DH$129,AY$1,0),0)</f>
        <v>0</v>
      </c>
      <c r="AZ71" s="13">
        <f>IFERROR(VLOOKUP($G71,'Visu totale'!$D$3:$DH$129,AZ$1,0),0)</f>
        <v>0</v>
      </c>
      <c r="BA71" s="13">
        <f>IFERROR(VLOOKUP($G71,'Visu totale'!$D$3:$DH$129,BA$1,0),0)</f>
        <v>0</v>
      </c>
      <c r="BB71" s="13">
        <f>IFERROR(VLOOKUP($G71,'Visu totale'!$D$3:$DH$129,BB$1,0),0)</f>
        <v>0</v>
      </c>
      <c r="BC71" s="15">
        <f>IFERROR(VLOOKUP($G71,'Visu totale'!$D$3:$DH$129,BC$1,0),0)</f>
        <v>0</v>
      </c>
      <c r="BD71" s="14">
        <f>IFERROR(VLOOKUP($G71,'Visu totale'!$D$3:$DH$129,BD$1,0),0)</f>
        <v>0</v>
      </c>
      <c r="BE71" s="13">
        <f>IFERROR(VLOOKUP($G71,'Visu totale'!$D$3:$DH$129,BE$1,0),0)</f>
        <v>0</v>
      </c>
      <c r="BF71" s="13">
        <f>IFERROR(VLOOKUP($G71,'Visu totale'!$D$3:$DH$129,BF$1,0),0)</f>
        <v>0</v>
      </c>
      <c r="BG71" s="13">
        <f>IFERROR(VLOOKUP($G71,'Visu totale'!$D$3:$DH$129,BG$1,0),0)</f>
        <v>0</v>
      </c>
      <c r="BH71" s="13">
        <f>IFERROR(VLOOKUP($G71,'Visu totale'!$D$3:$DH$129,BH$1,0),0)</f>
        <v>0</v>
      </c>
      <c r="BI71" s="13">
        <f>IFERROR(VLOOKUP($G71,'Visu totale'!$D$3:$DH$129,BI$1,0),0)</f>
        <v>0</v>
      </c>
      <c r="BJ71" s="13">
        <f>IFERROR(VLOOKUP($G71,'Visu totale'!$D$3:$DH$129,BJ$1,0),0)</f>
        <v>0</v>
      </c>
      <c r="BK71" s="13">
        <f>IFERROR(VLOOKUP($G71,'Visu totale'!$D$3:$DH$129,BK$1,0),0)</f>
        <v>0</v>
      </c>
      <c r="BL71" s="13">
        <f>IFERROR(VLOOKUP($G71,'Visu totale'!$D$3:$DH$129,BL$1,0),0)</f>
        <v>0</v>
      </c>
      <c r="BM71" s="13">
        <f>IFERROR(VLOOKUP($G71,'Visu totale'!$D$3:$DH$129,BM$1,0),0)</f>
        <v>0</v>
      </c>
      <c r="BN71" s="13">
        <f>IFERROR(VLOOKUP($G71,'Visu totale'!$D$3:$DH$129,BN$1,0),0)</f>
        <v>0</v>
      </c>
      <c r="BO71" s="15">
        <f>IFERROR(VLOOKUP($G71,'Visu totale'!$D$3:$DH$129,BO$1,0),0)</f>
        <v>0</v>
      </c>
      <c r="BP71" s="14">
        <f>IFERROR(VLOOKUP($G71,'Visu totale'!$D$3:$DH$129,BP$1,0),0)</f>
        <v>0</v>
      </c>
      <c r="BQ71" s="13">
        <f>IFERROR(VLOOKUP($G71,'Visu totale'!$D$3:$DH$129,BQ$1,0),0)</f>
        <v>0</v>
      </c>
      <c r="BR71" s="13">
        <f>IFERROR(VLOOKUP($G71,'Visu totale'!$D$3:$DH$129,BR$1,0),0)</f>
        <v>0</v>
      </c>
      <c r="BS71" s="13">
        <f>IFERROR(VLOOKUP($G71,'Visu totale'!$D$3:$DH$129,BS$1,0),0)</f>
        <v>0</v>
      </c>
      <c r="BT71" s="13">
        <f>IFERROR(VLOOKUP($G71,'Visu totale'!$D$3:$DH$129,BT$1,0),0)</f>
        <v>0</v>
      </c>
      <c r="BU71" s="13">
        <f>IFERROR(VLOOKUP($G71,'Visu totale'!$D$3:$DH$129,BU$1,0),0)</f>
        <v>0</v>
      </c>
      <c r="BV71" s="13">
        <f>IFERROR(VLOOKUP($G71,'Visu totale'!$D$3:$DH$129,BV$1,0),0)</f>
        <v>0</v>
      </c>
      <c r="BW71" s="13">
        <f>IFERROR(VLOOKUP($G71,'Visu totale'!$D$3:$DH$129,BW$1,0),0)</f>
        <v>0</v>
      </c>
      <c r="BX71" s="13">
        <f>IFERROR(VLOOKUP($G71,'Visu totale'!$D$3:$DH$129,BX$1,0),0)</f>
        <v>0</v>
      </c>
      <c r="BY71" s="13">
        <f>IFERROR(VLOOKUP($G71,'Visu totale'!$D$3:$DH$129,BY$1,0),0)</f>
        <v>0</v>
      </c>
      <c r="BZ71" s="13">
        <f>IFERROR(VLOOKUP($G71,'Visu totale'!$D$3:$DH$129,BZ$1,0),0)</f>
        <v>0</v>
      </c>
      <c r="CA71" s="15">
        <f>IFERROR(VLOOKUP($G71,'Visu totale'!$D$3:$DH$129,CA$1,0),0)</f>
        <v>0</v>
      </c>
      <c r="CB71" s="14">
        <f>IFERROR(VLOOKUP($G71,'Visu totale'!$D$3:$DH$129,CB$1,0),0)</f>
        <v>0</v>
      </c>
      <c r="CC71" s="13">
        <f>IFERROR(VLOOKUP($G71,'Visu totale'!$D$3:$DH$129,CC$1,0),0)</f>
        <v>0</v>
      </c>
      <c r="CD71" s="13">
        <f>IFERROR(VLOOKUP($G71,'Visu totale'!$D$3:$DH$129,CD$1,0),0)</f>
        <v>0</v>
      </c>
      <c r="CE71" s="13">
        <f>IFERROR(VLOOKUP($G71,'Visu totale'!$D$3:$DH$129,CE$1,0),0)</f>
        <v>0</v>
      </c>
      <c r="CF71" s="13">
        <f>IFERROR(VLOOKUP($G71,'Visu totale'!$D$3:$DH$129,CF$1,0),0)</f>
        <v>0</v>
      </c>
      <c r="CG71" s="13">
        <f>IFERROR(VLOOKUP($G71,'Visu totale'!$D$3:$DH$129,CG$1,0),0)</f>
        <v>0</v>
      </c>
      <c r="CH71" s="13">
        <f>IFERROR(VLOOKUP($G71,'Visu totale'!$D$3:$DH$129,CH$1,0),0)</f>
        <v>0</v>
      </c>
      <c r="CI71" s="13">
        <f>IFERROR(VLOOKUP($G71,'Visu totale'!$D$3:$DH$129,CI$1,0),0)</f>
        <v>0</v>
      </c>
      <c r="CJ71" s="13">
        <f>IFERROR(VLOOKUP($G71,'Visu totale'!$D$3:$DH$129,CJ$1,0),0)</f>
        <v>0</v>
      </c>
      <c r="CK71" s="13">
        <f>IFERROR(VLOOKUP($G71,'Visu totale'!$D$3:$DH$129,CK$1,0),0)</f>
        <v>0</v>
      </c>
      <c r="CL71" s="13">
        <f>IFERROR(VLOOKUP($G71,'Visu totale'!$D$3:$DH$129,CL$1,0),0)</f>
        <v>0</v>
      </c>
      <c r="CM71" s="15">
        <f>IFERROR(VLOOKUP($G71,'Visu totale'!$D$3:$DH$129,CM$1,0),0)</f>
        <v>0</v>
      </c>
      <c r="CN71" s="14">
        <f>IFERROR(VLOOKUP($G71,'Visu totale'!$D$3:$DH$129,CN$1,0),0)</f>
        <v>0</v>
      </c>
      <c r="CO71" s="13">
        <f>IFERROR(VLOOKUP($G71,'Visu totale'!$D$3:$DH$129,CO$1,0),0)</f>
        <v>0</v>
      </c>
      <c r="CP71" s="13">
        <f>IFERROR(VLOOKUP($G71,'Visu totale'!$D$3:$DH$129,CP$1,0),0)</f>
        <v>0</v>
      </c>
      <c r="CQ71" s="13">
        <f>IFERROR(VLOOKUP($G71,'Visu totale'!$D$3:$DH$129,CQ$1,0),0)</f>
        <v>0</v>
      </c>
      <c r="CR71" s="13">
        <f>IFERROR(VLOOKUP($G71,'Visu totale'!$D$3:$DH$129,CR$1,0),0)</f>
        <v>0</v>
      </c>
      <c r="CS71" s="13">
        <f>IFERROR(VLOOKUP($G71,'Visu totale'!$D$3:$DH$129,CS$1,0),0)</f>
        <v>0</v>
      </c>
      <c r="CT71" s="13">
        <f>IFERROR(VLOOKUP($G71,'Visu totale'!$D$3:$DH$129,CT$1,0),0)</f>
        <v>0</v>
      </c>
      <c r="CU71" s="13">
        <f>IFERROR(VLOOKUP($G71,'Visu totale'!$D$3:$DH$129,CU$1,0),0)</f>
        <v>0</v>
      </c>
      <c r="CV71" s="13">
        <f>IFERROR(VLOOKUP($G71,'Visu totale'!$D$3:$DH$129,CV$1,0),0)</f>
        <v>0</v>
      </c>
      <c r="CW71" s="13">
        <f>IFERROR(VLOOKUP($G71,'Visu totale'!$D$3:$DH$129,CW$1,0),0)</f>
        <v>0</v>
      </c>
      <c r="CX71" s="13">
        <f>IFERROR(VLOOKUP($G71,'Visu totale'!$D$3:$DH$129,CX$1,0),0)</f>
        <v>0</v>
      </c>
      <c r="CY71" s="15">
        <f>IFERROR(VLOOKUP($G71,'Visu totale'!$D$3:$DH$129,CY$1,0),0)</f>
        <v>0</v>
      </c>
      <c r="CZ71" s="14">
        <f>IFERROR(VLOOKUP($G71,'Visu totale'!$D$3:$DH$129,CZ$1,0),0)</f>
        <v>0</v>
      </c>
      <c r="DA71" s="13">
        <f>IFERROR(VLOOKUP($G71,'Visu totale'!$D$3:$DH$129,DA$1,0),0)</f>
        <v>0</v>
      </c>
      <c r="DB71" s="13">
        <f>IFERROR(VLOOKUP($G71,'Visu totale'!$D$3:$DH$129,DB$1,0),0)</f>
        <v>0</v>
      </c>
      <c r="DC71" s="13">
        <f>IFERROR(VLOOKUP($G71,'Visu totale'!$D$3:$DH$129,DC$1,0),0)</f>
        <v>0</v>
      </c>
      <c r="DD71" s="13">
        <f>IFERROR(VLOOKUP($G71,'Visu totale'!$D$3:$DH$129,DD$1,0),0)</f>
        <v>0</v>
      </c>
      <c r="DE71" s="13">
        <f>IFERROR(VLOOKUP($G71,'Visu totale'!$D$3:$DH$129,DE$1,0),0)</f>
        <v>0</v>
      </c>
      <c r="DF71" s="13">
        <f>IFERROR(VLOOKUP($G71,'Visu totale'!$D$3:$DH$129,DF$1,0),0)</f>
        <v>0</v>
      </c>
      <c r="DG71" s="13">
        <f>IFERROR(VLOOKUP($G71,'Visu totale'!$D$3:$DH$129,DG$1,0),0)</f>
        <v>0</v>
      </c>
      <c r="DH71" s="13">
        <f>IFERROR(VLOOKUP($G71,'Visu totale'!$D$3:$DH$129,DH$1,0),0)</f>
        <v>0</v>
      </c>
      <c r="DI71" s="13">
        <f>IFERROR(VLOOKUP($G71,'Visu totale'!$D$3:$DH$129,DI$1,0),0)</f>
        <v>0</v>
      </c>
      <c r="DJ71" s="13">
        <f>IFERROR(VLOOKUP($G71,'Visu totale'!$D$3:$DH$129,DJ$1,0),0)</f>
        <v>0</v>
      </c>
      <c r="DK71" s="15">
        <f>IFERROR(VLOOKUP($G71,'Visu totale'!$D$3:$DH$129,DK$1,0),0)</f>
        <v>0</v>
      </c>
    </row>
    <row r="72" spans="1:115" x14ac:dyDescent="0.25">
      <c r="A72" s="13"/>
      <c r="B72" s="13"/>
      <c r="C72" s="13"/>
      <c r="D72" s="16"/>
      <c r="E72" s="13"/>
      <c r="F72" s="13"/>
      <c r="G72" s="17" t="s">
        <v>74</v>
      </c>
      <c r="H72" s="14">
        <f>IFERROR(VLOOKUP($G72,'Visu totale'!$D$3:$DH$129,H$1,0),0)</f>
        <v>0</v>
      </c>
      <c r="I72" s="13">
        <f>IFERROR(VLOOKUP($G72,'Visu totale'!$D$3:$DH$129,I$1,0),0)</f>
        <v>0</v>
      </c>
      <c r="J72" s="13">
        <f>IFERROR(VLOOKUP($G72,'Visu totale'!$D$3:$DH$129,J$1,0),0)</f>
        <v>0</v>
      </c>
      <c r="K72" s="13">
        <f>IFERROR(VLOOKUP($G72,'Visu totale'!$D$3:$DH$129,K$1,0),0)</f>
        <v>0</v>
      </c>
      <c r="L72" s="13">
        <f>IFERROR(VLOOKUP($G72,'Visu totale'!$D$3:$DH$129,L$1,0),0)</f>
        <v>0</v>
      </c>
      <c r="M72" s="13">
        <f>IFERROR(VLOOKUP($G72,'Visu totale'!$D$3:$DH$129,M$1,0),0)</f>
        <v>0</v>
      </c>
      <c r="N72" s="13">
        <f>IFERROR(VLOOKUP($G72,'Visu totale'!$D$3:$DH$129,N$1,0),0)</f>
        <v>0</v>
      </c>
      <c r="O72" s="13">
        <f>IFERROR(VLOOKUP($G72,'Visu totale'!$D$3:$DH$129,O$1,0),0)</f>
        <v>0</v>
      </c>
      <c r="P72" s="13">
        <f>IFERROR(VLOOKUP($G72,'Visu totale'!$D$3:$DH$129,P$1,0),0)</f>
        <v>0</v>
      </c>
      <c r="Q72" s="13">
        <f>IFERROR(VLOOKUP($G72,'Visu totale'!$D$3:$DH$129,Q$1,0),0)</f>
        <v>0</v>
      </c>
      <c r="R72" s="13">
        <f>IFERROR(VLOOKUP($G72,'Visu totale'!$D$3:$DH$129,R$1,0),0)</f>
        <v>0</v>
      </c>
      <c r="S72" s="15">
        <f>IFERROR(VLOOKUP($G72,'Visu totale'!$D$3:$DH$129,S$1,0),0)</f>
        <v>0</v>
      </c>
      <c r="T72" s="14">
        <f>IFERROR(VLOOKUP($G72,'Visu totale'!$D$3:$DH$129,T$1,0),0)</f>
        <v>0</v>
      </c>
      <c r="U72" s="13">
        <f>IFERROR(VLOOKUP($G72,'Visu totale'!$D$3:$DH$129,U$1,0),0)</f>
        <v>0</v>
      </c>
      <c r="V72" s="13">
        <f>IFERROR(VLOOKUP($G72,'Visu totale'!$D$3:$DH$129,V$1,0),0)</f>
        <v>0</v>
      </c>
      <c r="W72" s="13">
        <f>IFERROR(VLOOKUP($G72,'Visu totale'!$D$3:$DH$129,W$1,0),0)</f>
        <v>0</v>
      </c>
      <c r="X72" s="13">
        <f>IFERROR(VLOOKUP($G72,'Visu totale'!$D$3:$DH$129,X$1,0),0)</f>
        <v>0</v>
      </c>
      <c r="Y72" s="13">
        <f>IFERROR(VLOOKUP($G72,'Visu totale'!$D$3:$DH$129,Y$1,0),0)</f>
        <v>0</v>
      </c>
      <c r="Z72" s="13">
        <f>IFERROR(VLOOKUP($G72,'Visu totale'!$D$3:$DH$129,Z$1,0),0)</f>
        <v>0</v>
      </c>
      <c r="AA72" s="13">
        <f>IFERROR(VLOOKUP($G72,'Visu totale'!$D$3:$DH$129,AA$1,0),0)</f>
        <v>0</v>
      </c>
      <c r="AB72" s="13">
        <f>IFERROR(VLOOKUP($G72,'Visu totale'!$D$3:$DH$129,AB$1,0),0)</f>
        <v>0</v>
      </c>
      <c r="AC72" s="13">
        <f>IFERROR(VLOOKUP($G72,'Visu totale'!$D$3:$DH$129,AC$1,0),0)</f>
        <v>0</v>
      </c>
      <c r="AD72" s="13">
        <f>IFERROR(VLOOKUP($G72,'Visu totale'!$D$3:$DH$129,AD$1,0),0)</f>
        <v>0</v>
      </c>
      <c r="AE72" s="15">
        <f>IFERROR(VLOOKUP($G72,'Visu totale'!$D$3:$DH$129,AE$1,0),0)</f>
        <v>0</v>
      </c>
      <c r="AF72" s="14">
        <f>IFERROR(VLOOKUP($G72,'Visu totale'!$D$3:$DH$129,AF$1,0),0)</f>
        <v>0</v>
      </c>
      <c r="AG72" s="13">
        <f>IFERROR(VLOOKUP($G72,'Visu totale'!$D$3:$DH$129,AG$1,0),0)</f>
        <v>0</v>
      </c>
      <c r="AH72" s="13">
        <f>IFERROR(VLOOKUP($G72,'Visu totale'!$D$3:$DH$129,AH$1,0),0)</f>
        <v>0</v>
      </c>
      <c r="AI72" s="13">
        <f>IFERROR(VLOOKUP($G72,'Visu totale'!$D$3:$DH$129,AI$1,0),0)</f>
        <v>0</v>
      </c>
      <c r="AJ72" s="13">
        <f>IFERROR(VLOOKUP($G72,'Visu totale'!$D$3:$DH$129,AJ$1,0),0)</f>
        <v>0</v>
      </c>
      <c r="AK72" s="13">
        <f>IFERROR(VLOOKUP($G72,'Visu totale'!$D$3:$DH$129,AK$1,0),0)</f>
        <v>0</v>
      </c>
      <c r="AL72" s="13">
        <f>IFERROR(VLOOKUP($G72,'Visu totale'!$D$3:$DH$129,AL$1,0),0)</f>
        <v>0</v>
      </c>
      <c r="AM72" s="13">
        <f>IFERROR(VLOOKUP($G72,'Visu totale'!$D$3:$DH$129,AM$1,0),0)</f>
        <v>0</v>
      </c>
      <c r="AN72" s="13">
        <f>IFERROR(VLOOKUP($G72,'Visu totale'!$D$3:$DH$129,AN$1,0),0)</f>
        <v>0</v>
      </c>
      <c r="AO72" s="13">
        <f>IFERROR(VLOOKUP($G72,'Visu totale'!$D$3:$DH$129,AO$1,0),0)</f>
        <v>0</v>
      </c>
      <c r="AP72" s="13">
        <f>IFERROR(VLOOKUP($G72,'Visu totale'!$D$3:$DH$129,AP$1,0),0)</f>
        <v>0</v>
      </c>
      <c r="AQ72" s="15">
        <f>IFERROR(VLOOKUP($G72,'Visu totale'!$D$3:$DH$129,AQ$1,0),0)</f>
        <v>0</v>
      </c>
      <c r="AR72" s="14">
        <f>IFERROR(VLOOKUP($G72,'Visu totale'!$D$3:$DH$129,AR$1,0),0)</f>
        <v>0</v>
      </c>
      <c r="AS72" s="13">
        <f>IFERROR(VLOOKUP($G72,'Visu totale'!$D$3:$DH$129,AS$1,0),0)</f>
        <v>0</v>
      </c>
      <c r="AT72" s="13">
        <f>IFERROR(VLOOKUP($G72,'Visu totale'!$D$3:$DH$129,AT$1,0),0)</f>
        <v>0</v>
      </c>
      <c r="AU72" s="13">
        <f>IFERROR(VLOOKUP($G72,'Visu totale'!$D$3:$DH$129,AU$1,0),0)</f>
        <v>0</v>
      </c>
      <c r="AV72" s="13">
        <f>IFERROR(VLOOKUP($G72,'Visu totale'!$D$3:$DH$129,AV$1,0),0)</f>
        <v>0</v>
      </c>
      <c r="AW72" s="13">
        <f>IFERROR(VLOOKUP($G72,'Visu totale'!$D$3:$DH$129,AW$1,0),0)</f>
        <v>0</v>
      </c>
      <c r="AX72" s="13">
        <f>IFERROR(VLOOKUP($G72,'Visu totale'!$D$3:$DH$129,AX$1,0),0)</f>
        <v>0</v>
      </c>
      <c r="AY72" s="13">
        <f>IFERROR(VLOOKUP($G72,'Visu totale'!$D$3:$DH$129,AY$1,0),0)</f>
        <v>0</v>
      </c>
      <c r="AZ72" s="13">
        <f>IFERROR(VLOOKUP($G72,'Visu totale'!$D$3:$DH$129,AZ$1,0),0)</f>
        <v>0</v>
      </c>
      <c r="BA72" s="13">
        <f>IFERROR(VLOOKUP($G72,'Visu totale'!$D$3:$DH$129,BA$1,0),0)</f>
        <v>0</v>
      </c>
      <c r="BB72" s="13">
        <f>IFERROR(VLOOKUP($G72,'Visu totale'!$D$3:$DH$129,BB$1,0),0)</f>
        <v>0</v>
      </c>
      <c r="BC72" s="15">
        <f>IFERROR(VLOOKUP($G72,'Visu totale'!$D$3:$DH$129,BC$1,0),0)</f>
        <v>0</v>
      </c>
      <c r="BD72" s="14">
        <f>IFERROR(VLOOKUP($G72,'Visu totale'!$D$3:$DH$129,BD$1,0),0)</f>
        <v>0</v>
      </c>
      <c r="BE72" s="13">
        <f>IFERROR(VLOOKUP($G72,'Visu totale'!$D$3:$DH$129,BE$1,0),0)</f>
        <v>0</v>
      </c>
      <c r="BF72" s="13">
        <f>IFERROR(VLOOKUP($G72,'Visu totale'!$D$3:$DH$129,BF$1,0),0)</f>
        <v>0</v>
      </c>
      <c r="BG72" s="13">
        <f>IFERROR(VLOOKUP($G72,'Visu totale'!$D$3:$DH$129,BG$1,0),0)</f>
        <v>0</v>
      </c>
      <c r="BH72" s="13">
        <f>IFERROR(VLOOKUP($G72,'Visu totale'!$D$3:$DH$129,BH$1,0),0)</f>
        <v>0</v>
      </c>
      <c r="BI72" s="13">
        <f>IFERROR(VLOOKUP($G72,'Visu totale'!$D$3:$DH$129,BI$1,0),0)</f>
        <v>0</v>
      </c>
      <c r="BJ72" s="13">
        <f>IFERROR(VLOOKUP($G72,'Visu totale'!$D$3:$DH$129,BJ$1,0),0)</f>
        <v>0</v>
      </c>
      <c r="BK72" s="13">
        <f>IFERROR(VLOOKUP($G72,'Visu totale'!$D$3:$DH$129,BK$1,0),0)</f>
        <v>0</v>
      </c>
      <c r="BL72" s="13">
        <f>IFERROR(VLOOKUP($G72,'Visu totale'!$D$3:$DH$129,BL$1,0),0)</f>
        <v>0</v>
      </c>
      <c r="BM72" s="13">
        <f>IFERROR(VLOOKUP($G72,'Visu totale'!$D$3:$DH$129,BM$1,0),0)</f>
        <v>0</v>
      </c>
      <c r="BN72" s="13">
        <f>IFERROR(VLOOKUP($G72,'Visu totale'!$D$3:$DH$129,BN$1,0),0)</f>
        <v>0</v>
      </c>
      <c r="BO72" s="15">
        <f>IFERROR(VLOOKUP($G72,'Visu totale'!$D$3:$DH$129,BO$1,0),0)</f>
        <v>0</v>
      </c>
      <c r="BP72" s="14">
        <f>IFERROR(VLOOKUP($G72,'Visu totale'!$D$3:$DH$129,BP$1,0),0)</f>
        <v>0</v>
      </c>
      <c r="BQ72" s="13">
        <f>IFERROR(VLOOKUP($G72,'Visu totale'!$D$3:$DH$129,BQ$1,0),0)</f>
        <v>0</v>
      </c>
      <c r="BR72" s="13">
        <f>IFERROR(VLOOKUP($G72,'Visu totale'!$D$3:$DH$129,BR$1,0),0)</f>
        <v>0</v>
      </c>
      <c r="BS72" s="13">
        <f>IFERROR(VLOOKUP($G72,'Visu totale'!$D$3:$DH$129,BS$1,0),0)</f>
        <v>0</v>
      </c>
      <c r="BT72" s="13">
        <f>IFERROR(VLOOKUP($G72,'Visu totale'!$D$3:$DH$129,BT$1,0),0)</f>
        <v>0</v>
      </c>
      <c r="BU72" s="13">
        <f>IFERROR(VLOOKUP($G72,'Visu totale'!$D$3:$DH$129,BU$1,0),0)</f>
        <v>0</v>
      </c>
      <c r="BV72" s="13">
        <f>IFERROR(VLOOKUP($G72,'Visu totale'!$D$3:$DH$129,BV$1,0),0)</f>
        <v>0</v>
      </c>
      <c r="BW72" s="13">
        <f>IFERROR(VLOOKUP($G72,'Visu totale'!$D$3:$DH$129,BW$1,0),0)</f>
        <v>0</v>
      </c>
      <c r="BX72" s="13">
        <f>IFERROR(VLOOKUP($G72,'Visu totale'!$D$3:$DH$129,BX$1,0),0)</f>
        <v>0</v>
      </c>
      <c r="BY72" s="13">
        <f>IFERROR(VLOOKUP($G72,'Visu totale'!$D$3:$DH$129,BY$1,0),0)</f>
        <v>0</v>
      </c>
      <c r="BZ72" s="13">
        <f>IFERROR(VLOOKUP($G72,'Visu totale'!$D$3:$DH$129,BZ$1,0),0)</f>
        <v>0</v>
      </c>
      <c r="CA72" s="15">
        <f>IFERROR(VLOOKUP($G72,'Visu totale'!$D$3:$DH$129,CA$1,0),0)</f>
        <v>0</v>
      </c>
      <c r="CB72" s="14">
        <f>IFERROR(VLOOKUP($G72,'Visu totale'!$D$3:$DH$129,CB$1,0),0)</f>
        <v>0</v>
      </c>
      <c r="CC72" s="13">
        <f>IFERROR(VLOOKUP($G72,'Visu totale'!$D$3:$DH$129,CC$1,0),0)</f>
        <v>0</v>
      </c>
      <c r="CD72" s="13">
        <f>IFERROR(VLOOKUP($G72,'Visu totale'!$D$3:$DH$129,CD$1,0),0)</f>
        <v>0</v>
      </c>
      <c r="CE72" s="13">
        <f>IFERROR(VLOOKUP($G72,'Visu totale'!$D$3:$DH$129,CE$1,0),0)</f>
        <v>0</v>
      </c>
      <c r="CF72" s="13">
        <f>IFERROR(VLOOKUP($G72,'Visu totale'!$D$3:$DH$129,CF$1,0),0)</f>
        <v>0</v>
      </c>
      <c r="CG72" s="13">
        <f>IFERROR(VLOOKUP($G72,'Visu totale'!$D$3:$DH$129,CG$1,0),0)</f>
        <v>0</v>
      </c>
      <c r="CH72" s="13">
        <f>IFERROR(VLOOKUP($G72,'Visu totale'!$D$3:$DH$129,CH$1,0),0)</f>
        <v>0</v>
      </c>
      <c r="CI72" s="13">
        <f>IFERROR(VLOOKUP($G72,'Visu totale'!$D$3:$DH$129,CI$1,0),0)</f>
        <v>0</v>
      </c>
      <c r="CJ72" s="13">
        <f>IFERROR(VLOOKUP($G72,'Visu totale'!$D$3:$DH$129,CJ$1,0),0)</f>
        <v>0</v>
      </c>
      <c r="CK72" s="13">
        <f>IFERROR(VLOOKUP($G72,'Visu totale'!$D$3:$DH$129,CK$1,0),0)</f>
        <v>0</v>
      </c>
      <c r="CL72" s="13">
        <f>IFERROR(VLOOKUP($G72,'Visu totale'!$D$3:$DH$129,CL$1,0),0)</f>
        <v>0</v>
      </c>
      <c r="CM72" s="15">
        <f>IFERROR(VLOOKUP($G72,'Visu totale'!$D$3:$DH$129,CM$1,0),0)</f>
        <v>0</v>
      </c>
      <c r="CN72" s="14">
        <f>IFERROR(VLOOKUP($G72,'Visu totale'!$D$3:$DH$129,CN$1,0),0)</f>
        <v>0</v>
      </c>
      <c r="CO72" s="13">
        <f>IFERROR(VLOOKUP($G72,'Visu totale'!$D$3:$DH$129,CO$1,0),0)</f>
        <v>0</v>
      </c>
      <c r="CP72" s="13">
        <f>IFERROR(VLOOKUP($G72,'Visu totale'!$D$3:$DH$129,CP$1,0),0)</f>
        <v>0</v>
      </c>
      <c r="CQ72" s="13">
        <f>IFERROR(VLOOKUP($G72,'Visu totale'!$D$3:$DH$129,CQ$1,0),0)</f>
        <v>0</v>
      </c>
      <c r="CR72" s="13">
        <f>IFERROR(VLOOKUP($G72,'Visu totale'!$D$3:$DH$129,CR$1,0),0)</f>
        <v>0</v>
      </c>
      <c r="CS72" s="13">
        <f>IFERROR(VLOOKUP($G72,'Visu totale'!$D$3:$DH$129,CS$1,0),0)</f>
        <v>0</v>
      </c>
      <c r="CT72" s="13">
        <f>IFERROR(VLOOKUP($G72,'Visu totale'!$D$3:$DH$129,CT$1,0),0)</f>
        <v>0</v>
      </c>
      <c r="CU72" s="13">
        <f>IFERROR(VLOOKUP($G72,'Visu totale'!$D$3:$DH$129,CU$1,0),0)</f>
        <v>0</v>
      </c>
      <c r="CV72" s="13">
        <f>IFERROR(VLOOKUP($G72,'Visu totale'!$D$3:$DH$129,CV$1,0),0)</f>
        <v>0</v>
      </c>
      <c r="CW72" s="13">
        <f>IFERROR(VLOOKUP($G72,'Visu totale'!$D$3:$DH$129,CW$1,0),0)</f>
        <v>0</v>
      </c>
      <c r="CX72" s="13">
        <f>IFERROR(VLOOKUP($G72,'Visu totale'!$D$3:$DH$129,CX$1,0),0)</f>
        <v>0</v>
      </c>
      <c r="CY72" s="15">
        <f>IFERROR(VLOOKUP($G72,'Visu totale'!$D$3:$DH$129,CY$1,0),0)</f>
        <v>0</v>
      </c>
      <c r="CZ72" s="14">
        <f>IFERROR(VLOOKUP($G72,'Visu totale'!$D$3:$DH$129,CZ$1,0),0)</f>
        <v>0</v>
      </c>
      <c r="DA72" s="13">
        <f>IFERROR(VLOOKUP($G72,'Visu totale'!$D$3:$DH$129,DA$1,0),0)</f>
        <v>0</v>
      </c>
      <c r="DB72" s="13">
        <f>IFERROR(VLOOKUP($G72,'Visu totale'!$D$3:$DH$129,DB$1,0),0)</f>
        <v>0</v>
      </c>
      <c r="DC72" s="13">
        <f>IFERROR(VLOOKUP($G72,'Visu totale'!$D$3:$DH$129,DC$1,0),0)</f>
        <v>0</v>
      </c>
      <c r="DD72" s="13">
        <f>IFERROR(VLOOKUP($G72,'Visu totale'!$D$3:$DH$129,DD$1,0),0)</f>
        <v>0</v>
      </c>
      <c r="DE72" s="13">
        <f>IFERROR(VLOOKUP($G72,'Visu totale'!$D$3:$DH$129,DE$1,0),0)</f>
        <v>0</v>
      </c>
      <c r="DF72" s="13">
        <f>IFERROR(VLOOKUP($G72,'Visu totale'!$D$3:$DH$129,DF$1,0),0)</f>
        <v>0</v>
      </c>
      <c r="DG72" s="13">
        <f>IFERROR(VLOOKUP($G72,'Visu totale'!$D$3:$DH$129,DG$1,0),0)</f>
        <v>0</v>
      </c>
      <c r="DH72" s="13">
        <f>IFERROR(VLOOKUP($G72,'Visu totale'!$D$3:$DH$129,DH$1,0),0)</f>
        <v>0</v>
      </c>
      <c r="DI72" s="13">
        <f>IFERROR(VLOOKUP($G72,'Visu totale'!$D$3:$DH$129,DI$1,0),0)</f>
        <v>0</v>
      </c>
      <c r="DJ72" s="13">
        <f>IFERROR(VLOOKUP($G72,'Visu totale'!$D$3:$DH$129,DJ$1,0),0)</f>
        <v>0</v>
      </c>
      <c r="DK72" s="15">
        <f>IFERROR(VLOOKUP($G72,'Visu totale'!$D$3:$DH$129,DK$1,0),0)</f>
        <v>0</v>
      </c>
    </row>
    <row r="73" spans="1:115" x14ac:dyDescent="0.25">
      <c r="A73" s="13"/>
      <c r="B73" s="13"/>
      <c r="C73" s="13"/>
      <c r="D73" s="16"/>
      <c r="E73" s="13"/>
      <c r="F73" s="13"/>
      <c r="G73" s="17" t="s">
        <v>75</v>
      </c>
      <c r="H73" s="14">
        <f>IFERROR(VLOOKUP($G73,'Visu totale'!$D$3:$DH$129,H$1,0),0)</f>
        <v>0</v>
      </c>
      <c r="I73" s="13">
        <f>IFERROR(VLOOKUP($G73,'Visu totale'!$D$3:$DH$129,I$1,0),0)</f>
        <v>0</v>
      </c>
      <c r="J73" s="13">
        <f>IFERROR(VLOOKUP($G73,'Visu totale'!$D$3:$DH$129,J$1,0),0)</f>
        <v>0</v>
      </c>
      <c r="K73" s="13">
        <f>IFERROR(VLOOKUP($G73,'Visu totale'!$D$3:$DH$129,K$1,0),0)</f>
        <v>0</v>
      </c>
      <c r="L73" s="13">
        <f>IFERROR(VLOOKUP($G73,'Visu totale'!$D$3:$DH$129,L$1,0),0)</f>
        <v>0</v>
      </c>
      <c r="M73" s="13">
        <f>IFERROR(VLOOKUP($G73,'Visu totale'!$D$3:$DH$129,M$1,0),0)</f>
        <v>0</v>
      </c>
      <c r="N73" s="13">
        <f>IFERROR(VLOOKUP($G73,'Visu totale'!$D$3:$DH$129,N$1,0),0)</f>
        <v>0</v>
      </c>
      <c r="O73" s="13">
        <f>IFERROR(VLOOKUP($G73,'Visu totale'!$D$3:$DH$129,O$1,0),0)</f>
        <v>0</v>
      </c>
      <c r="P73" s="13">
        <f>IFERROR(VLOOKUP($G73,'Visu totale'!$D$3:$DH$129,P$1,0),0)</f>
        <v>0</v>
      </c>
      <c r="Q73" s="13">
        <f>IFERROR(VLOOKUP($G73,'Visu totale'!$D$3:$DH$129,Q$1,0),0)</f>
        <v>0</v>
      </c>
      <c r="R73" s="13">
        <f>IFERROR(VLOOKUP($G73,'Visu totale'!$D$3:$DH$129,R$1,0),0)</f>
        <v>0</v>
      </c>
      <c r="S73" s="15">
        <f>IFERROR(VLOOKUP($G73,'Visu totale'!$D$3:$DH$129,S$1,0),0)</f>
        <v>0</v>
      </c>
      <c r="T73" s="14">
        <f>IFERROR(VLOOKUP($G73,'Visu totale'!$D$3:$DH$129,T$1,0),0)</f>
        <v>0</v>
      </c>
      <c r="U73" s="13">
        <f>IFERROR(VLOOKUP($G73,'Visu totale'!$D$3:$DH$129,U$1,0),0)</f>
        <v>0</v>
      </c>
      <c r="V73" s="13">
        <f>IFERROR(VLOOKUP($G73,'Visu totale'!$D$3:$DH$129,V$1,0),0)</f>
        <v>0</v>
      </c>
      <c r="W73" s="13">
        <f>IFERROR(VLOOKUP($G73,'Visu totale'!$D$3:$DH$129,W$1,0),0)</f>
        <v>0</v>
      </c>
      <c r="X73" s="13">
        <f>IFERROR(VLOOKUP($G73,'Visu totale'!$D$3:$DH$129,X$1,0),0)</f>
        <v>0</v>
      </c>
      <c r="Y73" s="13">
        <f>IFERROR(VLOOKUP($G73,'Visu totale'!$D$3:$DH$129,Y$1,0),0)</f>
        <v>0</v>
      </c>
      <c r="Z73" s="13">
        <f>IFERROR(VLOOKUP($G73,'Visu totale'!$D$3:$DH$129,Z$1,0),0)</f>
        <v>0</v>
      </c>
      <c r="AA73" s="13">
        <f>IFERROR(VLOOKUP($G73,'Visu totale'!$D$3:$DH$129,AA$1,0),0)</f>
        <v>0</v>
      </c>
      <c r="AB73" s="13">
        <f>IFERROR(VLOOKUP($G73,'Visu totale'!$D$3:$DH$129,AB$1,0),0)</f>
        <v>0</v>
      </c>
      <c r="AC73" s="13">
        <f>IFERROR(VLOOKUP($G73,'Visu totale'!$D$3:$DH$129,AC$1,0),0)</f>
        <v>0</v>
      </c>
      <c r="AD73" s="13">
        <f>IFERROR(VLOOKUP($G73,'Visu totale'!$D$3:$DH$129,AD$1,0),0)</f>
        <v>0</v>
      </c>
      <c r="AE73" s="15">
        <f>IFERROR(VLOOKUP($G73,'Visu totale'!$D$3:$DH$129,AE$1,0),0)</f>
        <v>0</v>
      </c>
      <c r="AF73" s="14">
        <f>IFERROR(VLOOKUP($G73,'Visu totale'!$D$3:$DH$129,AF$1,0),0)</f>
        <v>0</v>
      </c>
      <c r="AG73" s="13">
        <f>IFERROR(VLOOKUP($G73,'Visu totale'!$D$3:$DH$129,AG$1,0),0)</f>
        <v>0</v>
      </c>
      <c r="AH73" s="13">
        <f>IFERROR(VLOOKUP($G73,'Visu totale'!$D$3:$DH$129,AH$1,0),0)</f>
        <v>0</v>
      </c>
      <c r="AI73" s="13">
        <f>IFERROR(VLOOKUP($G73,'Visu totale'!$D$3:$DH$129,AI$1,0),0)</f>
        <v>0</v>
      </c>
      <c r="AJ73" s="13">
        <f>IFERROR(VLOOKUP($G73,'Visu totale'!$D$3:$DH$129,AJ$1,0),0)</f>
        <v>0</v>
      </c>
      <c r="AK73" s="13">
        <f>IFERROR(VLOOKUP($G73,'Visu totale'!$D$3:$DH$129,AK$1,0),0)</f>
        <v>0</v>
      </c>
      <c r="AL73" s="13">
        <f>IFERROR(VLOOKUP($G73,'Visu totale'!$D$3:$DH$129,AL$1,0),0)</f>
        <v>0</v>
      </c>
      <c r="AM73" s="13">
        <f>IFERROR(VLOOKUP($G73,'Visu totale'!$D$3:$DH$129,AM$1,0),0)</f>
        <v>0</v>
      </c>
      <c r="AN73" s="13">
        <f>IFERROR(VLOOKUP($G73,'Visu totale'!$D$3:$DH$129,AN$1,0),0)</f>
        <v>0</v>
      </c>
      <c r="AO73" s="13">
        <f>IFERROR(VLOOKUP($G73,'Visu totale'!$D$3:$DH$129,AO$1,0),0)</f>
        <v>0</v>
      </c>
      <c r="AP73" s="13">
        <f>IFERROR(VLOOKUP($G73,'Visu totale'!$D$3:$DH$129,AP$1,0),0)</f>
        <v>0</v>
      </c>
      <c r="AQ73" s="15">
        <f>IFERROR(VLOOKUP($G73,'Visu totale'!$D$3:$DH$129,AQ$1,0),0)</f>
        <v>0</v>
      </c>
      <c r="AR73" s="14">
        <f>IFERROR(VLOOKUP($G73,'Visu totale'!$D$3:$DH$129,AR$1,0),0)</f>
        <v>0</v>
      </c>
      <c r="AS73" s="13">
        <f>IFERROR(VLOOKUP($G73,'Visu totale'!$D$3:$DH$129,AS$1,0),0)</f>
        <v>0</v>
      </c>
      <c r="AT73" s="13">
        <f>IFERROR(VLOOKUP($G73,'Visu totale'!$D$3:$DH$129,AT$1,0),0)</f>
        <v>0</v>
      </c>
      <c r="AU73" s="13">
        <f>IFERROR(VLOOKUP($G73,'Visu totale'!$D$3:$DH$129,AU$1,0),0)</f>
        <v>0</v>
      </c>
      <c r="AV73" s="13">
        <f>IFERROR(VLOOKUP($G73,'Visu totale'!$D$3:$DH$129,AV$1,0),0)</f>
        <v>0</v>
      </c>
      <c r="AW73" s="13">
        <f>IFERROR(VLOOKUP($G73,'Visu totale'!$D$3:$DH$129,AW$1,0),0)</f>
        <v>0</v>
      </c>
      <c r="AX73" s="13">
        <f>IFERROR(VLOOKUP($G73,'Visu totale'!$D$3:$DH$129,AX$1,0),0)</f>
        <v>0</v>
      </c>
      <c r="AY73" s="13">
        <f>IFERROR(VLOOKUP($G73,'Visu totale'!$D$3:$DH$129,AY$1,0),0)</f>
        <v>0</v>
      </c>
      <c r="AZ73" s="13">
        <f>IFERROR(VLOOKUP($G73,'Visu totale'!$D$3:$DH$129,AZ$1,0),0)</f>
        <v>0</v>
      </c>
      <c r="BA73" s="13">
        <f>IFERROR(VLOOKUP($G73,'Visu totale'!$D$3:$DH$129,BA$1,0),0)</f>
        <v>0</v>
      </c>
      <c r="BB73" s="13">
        <f>IFERROR(VLOOKUP($G73,'Visu totale'!$D$3:$DH$129,BB$1,0),0)</f>
        <v>0</v>
      </c>
      <c r="BC73" s="15">
        <f>IFERROR(VLOOKUP($G73,'Visu totale'!$D$3:$DH$129,BC$1,0),0)</f>
        <v>0</v>
      </c>
      <c r="BD73" s="14">
        <f>IFERROR(VLOOKUP($G73,'Visu totale'!$D$3:$DH$129,BD$1,0),0)</f>
        <v>0</v>
      </c>
      <c r="BE73" s="13">
        <f>IFERROR(VLOOKUP($G73,'Visu totale'!$D$3:$DH$129,BE$1,0),0)</f>
        <v>0</v>
      </c>
      <c r="BF73" s="13">
        <f>IFERROR(VLOOKUP($G73,'Visu totale'!$D$3:$DH$129,BF$1,0),0)</f>
        <v>0</v>
      </c>
      <c r="BG73" s="13">
        <f>IFERROR(VLOOKUP($G73,'Visu totale'!$D$3:$DH$129,BG$1,0),0)</f>
        <v>0</v>
      </c>
      <c r="BH73" s="13">
        <f>IFERROR(VLOOKUP($G73,'Visu totale'!$D$3:$DH$129,BH$1,0),0)</f>
        <v>0</v>
      </c>
      <c r="BI73" s="13">
        <f>IFERROR(VLOOKUP($G73,'Visu totale'!$D$3:$DH$129,BI$1,0),0)</f>
        <v>0</v>
      </c>
      <c r="BJ73" s="13">
        <f>IFERROR(VLOOKUP($G73,'Visu totale'!$D$3:$DH$129,BJ$1,0),0)</f>
        <v>0</v>
      </c>
      <c r="BK73" s="13">
        <f>IFERROR(VLOOKUP($G73,'Visu totale'!$D$3:$DH$129,BK$1,0),0)</f>
        <v>0</v>
      </c>
      <c r="BL73" s="13">
        <f>IFERROR(VLOOKUP($G73,'Visu totale'!$D$3:$DH$129,BL$1,0),0)</f>
        <v>0</v>
      </c>
      <c r="BM73" s="13">
        <f>IFERROR(VLOOKUP($G73,'Visu totale'!$D$3:$DH$129,BM$1,0),0)</f>
        <v>0</v>
      </c>
      <c r="BN73" s="13">
        <f>IFERROR(VLOOKUP($G73,'Visu totale'!$D$3:$DH$129,BN$1,0),0)</f>
        <v>0</v>
      </c>
      <c r="BO73" s="15">
        <f>IFERROR(VLOOKUP($G73,'Visu totale'!$D$3:$DH$129,BO$1,0),0)</f>
        <v>0</v>
      </c>
      <c r="BP73" s="14">
        <f>IFERROR(VLOOKUP($G73,'Visu totale'!$D$3:$DH$129,BP$1,0),0)</f>
        <v>0</v>
      </c>
      <c r="BQ73" s="13">
        <f>IFERROR(VLOOKUP($G73,'Visu totale'!$D$3:$DH$129,BQ$1,0),0)</f>
        <v>0</v>
      </c>
      <c r="BR73" s="13">
        <f>IFERROR(VLOOKUP($G73,'Visu totale'!$D$3:$DH$129,BR$1,0),0)</f>
        <v>0</v>
      </c>
      <c r="BS73" s="13">
        <f>IFERROR(VLOOKUP($G73,'Visu totale'!$D$3:$DH$129,BS$1,0),0)</f>
        <v>0</v>
      </c>
      <c r="BT73" s="13">
        <f>IFERROR(VLOOKUP($G73,'Visu totale'!$D$3:$DH$129,BT$1,0),0)</f>
        <v>0</v>
      </c>
      <c r="BU73" s="13">
        <f>IFERROR(VLOOKUP($G73,'Visu totale'!$D$3:$DH$129,BU$1,0),0)</f>
        <v>0</v>
      </c>
      <c r="BV73" s="13">
        <f>IFERROR(VLOOKUP($G73,'Visu totale'!$D$3:$DH$129,BV$1,0),0)</f>
        <v>0</v>
      </c>
      <c r="BW73" s="13">
        <f>IFERROR(VLOOKUP($G73,'Visu totale'!$D$3:$DH$129,BW$1,0),0)</f>
        <v>0</v>
      </c>
      <c r="BX73" s="13">
        <f>IFERROR(VLOOKUP($G73,'Visu totale'!$D$3:$DH$129,BX$1,0),0)</f>
        <v>0</v>
      </c>
      <c r="BY73" s="13">
        <f>IFERROR(VLOOKUP($G73,'Visu totale'!$D$3:$DH$129,BY$1,0),0)</f>
        <v>0</v>
      </c>
      <c r="BZ73" s="13">
        <f>IFERROR(VLOOKUP($G73,'Visu totale'!$D$3:$DH$129,BZ$1,0),0)</f>
        <v>0</v>
      </c>
      <c r="CA73" s="15">
        <f>IFERROR(VLOOKUP($G73,'Visu totale'!$D$3:$DH$129,CA$1,0),0)</f>
        <v>0</v>
      </c>
      <c r="CB73" s="14">
        <f>IFERROR(VLOOKUP($G73,'Visu totale'!$D$3:$DH$129,CB$1,0),0)</f>
        <v>0</v>
      </c>
      <c r="CC73" s="13">
        <f>IFERROR(VLOOKUP($G73,'Visu totale'!$D$3:$DH$129,CC$1,0),0)</f>
        <v>0</v>
      </c>
      <c r="CD73" s="13">
        <f>IFERROR(VLOOKUP($G73,'Visu totale'!$D$3:$DH$129,CD$1,0),0)</f>
        <v>0</v>
      </c>
      <c r="CE73" s="13">
        <f>IFERROR(VLOOKUP($G73,'Visu totale'!$D$3:$DH$129,CE$1,0),0)</f>
        <v>0</v>
      </c>
      <c r="CF73" s="13">
        <f>IFERROR(VLOOKUP($G73,'Visu totale'!$D$3:$DH$129,CF$1,0),0)</f>
        <v>0</v>
      </c>
      <c r="CG73" s="13">
        <f>IFERROR(VLOOKUP($G73,'Visu totale'!$D$3:$DH$129,CG$1,0),0)</f>
        <v>0</v>
      </c>
      <c r="CH73" s="13">
        <f>IFERROR(VLOOKUP($G73,'Visu totale'!$D$3:$DH$129,CH$1,0),0)</f>
        <v>0</v>
      </c>
      <c r="CI73" s="13">
        <f>IFERROR(VLOOKUP($G73,'Visu totale'!$D$3:$DH$129,CI$1,0),0)</f>
        <v>0</v>
      </c>
      <c r="CJ73" s="13">
        <f>IFERROR(VLOOKUP($G73,'Visu totale'!$D$3:$DH$129,CJ$1,0),0)</f>
        <v>0</v>
      </c>
      <c r="CK73" s="13">
        <f>IFERROR(VLOOKUP($G73,'Visu totale'!$D$3:$DH$129,CK$1,0),0)</f>
        <v>0</v>
      </c>
      <c r="CL73" s="13">
        <f>IFERROR(VLOOKUP($G73,'Visu totale'!$D$3:$DH$129,CL$1,0),0)</f>
        <v>0</v>
      </c>
      <c r="CM73" s="15">
        <f>IFERROR(VLOOKUP($G73,'Visu totale'!$D$3:$DH$129,CM$1,0),0)</f>
        <v>0</v>
      </c>
      <c r="CN73" s="14">
        <f>IFERROR(VLOOKUP($G73,'Visu totale'!$D$3:$DH$129,CN$1,0),0)</f>
        <v>0</v>
      </c>
      <c r="CO73" s="13">
        <f>IFERROR(VLOOKUP($G73,'Visu totale'!$D$3:$DH$129,CO$1,0),0)</f>
        <v>0</v>
      </c>
      <c r="CP73" s="13">
        <f>IFERROR(VLOOKUP($G73,'Visu totale'!$D$3:$DH$129,CP$1,0),0)</f>
        <v>0</v>
      </c>
      <c r="CQ73" s="13">
        <f>IFERROR(VLOOKUP($G73,'Visu totale'!$D$3:$DH$129,CQ$1,0),0)</f>
        <v>0</v>
      </c>
      <c r="CR73" s="13">
        <f>IFERROR(VLOOKUP($G73,'Visu totale'!$D$3:$DH$129,CR$1,0),0)</f>
        <v>0</v>
      </c>
      <c r="CS73" s="13">
        <f>IFERROR(VLOOKUP($G73,'Visu totale'!$D$3:$DH$129,CS$1,0),0)</f>
        <v>0</v>
      </c>
      <c r="CT73" s="13">
        <f>IFERROR(VLOOKUP($G73,'Visu totale'!$D$3:$DH$129,CT$1,0),0)</f>
        <v>0</v>
      </c>
      <c r="CU73" s="13">
        <f>IFERROR(VLOOKUP($G73,'Visu totale'!$D$3:$DH$129,CU$1,0),0)</f>
        <v>0</v>
      </c>
      <c r="CV73" s="13">
        <f>IFERROR(VLOOKUP($G73,'Visu totale'!$D$3:$DH$129,CV$1,0),0)</f>
        <v>0</v>
      </c>
      <c r="CW73" s="13">
        <f>IFERROR(VLOOKUP($G73,'Visu totale'!$D$3:$DH$129,CW$1,0),0)</f>
        <v>0</v>
      </c>
      <c r="CX73" s="13">
        <f>IFERROR(VLOOKUP($G73,'Visu totale'!$D$3:$DH$129,CX$1,0),0)</f>
        <v>0</v>
      </c>
      <c r="CY73" s="15">
        <f>IFERROR(VLOOKUP($G73,'Visu totale'!$D$3:$DH$129,CY$1,0),0)</f>
        <v>0</v>
      </c>
      <c r="CZ73" s="14">
        <f>IFERROR(VLOOKUP($G73,'Visu totale'!$D$3:$DH$129,CZ$1,0),0)</f>
        <v>0</v>
      </c>
      <c r="DA73" s="13">
        <f>IFERROR(VLOOKUP($G73,'Visu totale'!$D$3:$DH$129,DA$1,0),0)</f>
        <v>0</v>
      </c>
      <c r="DB73" s="13">
        <f>IFERROR(VLOOKUP($G73,'Visu totale'!$D$3:$DH$129,DB$1,0),0)</f>
        <v>0</v>
      </c>
      <c r="DC73" s="13">
        <f>IFERROR(VLOOKUP($G73,'Visu totale'!$D$3:$DH$129,DC$1,0),0)</f>
        <v>0</v>
      </c>
      <c r="DD73" s="13">
        <f>IFERROR(VLOOKUP($G73,'Visu totale'!$D$3:$DH$129,DD$1,0),0)</f>
        <v>0</v>
      </c>
      <c r="DE73" s="13">
        <f>IFERROR(VLOOKUP($G73,'Visu totale'!$D$3:$DH$129,DE$1,0),0)</f>
        <v>0</v>
      </c>
      <c r="DF73" s="13">
        <f>IFERROR(VLOOKUP($G73,'Visu totale'!$D$3:$DH$129,DF$1,0),0)</f>
        <v>0</v>
      </c>
      <c r="DG73" s="13">
        <f>IFERROR(VLOOKUP($G73,'Visu totale'!$D$3:$DH$129,DG$1,0),0)</f>
        <v>0</v>
      </c>
      <c r="DH73" s="13">
        <f>IFERROR(VLOOKUP($G73,'Visu totale'!$D$3:$DH$129,DH$1,0),0)</f>
        <v>0</v>
      </c>
      <c r="DI73" s="13">
        <f>IFERROR(VLOOKUP($G73,'Visu totale'!$D$3:$DH$129,DI$1,0),0)</f>
        <v>0</v>
      </c>
      <c r="DJ73" s="13">
        <f>IFERROR(VLOOKUP($G73,'Visu totale'!$D$3:$DH$129,DJ$1,0),0)</f>
        <v>0</v>
      </c>
      <c r="DK73" s="15">
        <f>IFERROR(VLOOKUP($G73,'Visu totale'!$D$3:$DH$129,DK$1,0),0)</f>
        <v>0</v>
      </c>
    </row>
    <row r="74" spans="1:115" x14ac:dyDescent="0.25">
      <c r="A74" s="13"/>
      <c r="B74" s="13"/>
      <c r="C74" s="13"/>
      <c r="D74" s="16"/>
      <c r="E74" s="13"/>
      <c r="F74" s="13"/>
      <c r="G74" s="17" t="s">
        <v>76</v>
      </c>
      <c r="H74" s="14">
        <f>IFERROR(VLOOKUP($G74,'Visu totale'!$D$3:$DH$129,H$1,0),0)</f>
        <v>0</v>
      </c>
      <c r="I74" s="13">
        <f>IFERROR(VLOOKUP($G74,'Visu totale'!$D$3:$DH$129,I$1,0),0)</f>
        <v>0</v>
      </c>
      <c r="J74" s="13">
        <f>IFERROR(VLOOKUP($G74,'Visu totale'!$D$3:$DH$129,J$1,0),0)</f>
        <v>0</v>
      </c>
      <c r="K74" s="13">
        <f>IFERROR(VLOOKUP($G74,'Visu totale'!$D$3:$DH$129,K$1,0),0)</f>
        <v>0</v>
      </c>
      <c r="L74" s="13">
        <f>IFERROR(VLOOKUP($G74,'Visu totale'!$D$3:$DH$129,L$1,0),0)</f>
        <v>0</v>
      </c>
      <c r="M74" s="13">
        <f>IFERROR(VLOOKUP($G74,'Visu totale'!$D$3:$DH$129,M$1,0),0)</f>
        <v>0</v>
      </c>
      <c r="N74" s="13">
        <f>IFERROR(VLOOKUP($G74,'Visu totale'!$D$3:$DH$129,N$1,0),0)</f>
        <v>0</v>
      </c>
      <c r="O74" s="13">
        <f>IFERROR(VLOOKUP($G74,'Visu totale'!$D$3:$DH$129,O$1,0),0)</f>
        <v>0</v>
      </c>
      <c r="P74" s="13">
        <f>IFERROR(VLOOKUP($G74,'Visu totale'!$D$3:$DH$129,P$1,0),0)</f>
        <v>0</v>
      </c>
      <c r="Q74" s="13">
        <f>IFERROR(VLOOKUP($G74,'Visu totale'!$D$3:$DH$129,Q$1,0),0)</f>
        <v>0</v>
      </c>
      <c r="R74" s="13">
        <f>IFERROR(VLOOKUP($G74,'Visu totale'!$D$3:$DH$129,R$1,0),0)</f>
        <v>0</v>
      </c>
      <c r="S74" s="15">
        <f>IFERROR(VLOOKUP($G74,'Visu totale'!$D$3:$DH$129,S$1,0),0)</f>
        <v>0</v>
      </c>
      <c r="T74" s="14">
        <f>IFERROR(VLOOKUP($G74,'Visu totale'!$D$3:$DH$129,T$1,0),0)</f>
        <v>0</v>
      </c>
      <c r="U74" s="13">
        <f>IFERROR(VLOOKUP($G74,'Visu totale'!$D$3:$DH$129,U$1,0),0)</f>
        <v>0</v>
      </c>
      <c r="V74" s="13">
        <f>IFERROR(VLOOKUP($G74,'Visu totale'!$D$3:$DH$129,V$1,0),0)</f>
        <v>0</v>
      </c>
      <c r="W74" s="13">
        <f>IFERROR(VLOOKUP($G74,'Visu totale'!$D$3:$DH$129,W$1,0),0)</f>
        <v>0</v>
      </c>
      <c r="X74" s="13">
        <f>IFERROR(VLOOKUP($G74,'Visu totale'!$D$3:$DH$129,X$1,0),0)</f>
        <v>0</v>
      </c>
      <c r="Y74" s="13">
        <f>IFERROR(VLOOKUP($G74,'Visu totale'!$D$3:$DH$129,Y$1,0),0)</f>
        <v>0</v>
      </c>
      <c r="Z74" s="13">
        <f>IFERROR(VLOOKUP($G74,'Visu totale'!$D$3:$DH$129,Z$1,0),0)</f>
        <v>0</v>
      </c>
      <c r="AA74" s="13">
        <f>IFERROR(VLOOKUP($G74,'Visu totale'!$D$3:$DH$129,AA$1,0),0)</f>
        <v>0</v>
      </c>
      <c r="AB74" s="13">
        <f>IFERROR(VLOOKUP($G74,'Visu totale'!$D$3:$DH$129,AB$1,0),0)</f>
        <v>0</v>
      </c>
      <c r="AC74" s="13">
        <f>IFERROR(VLOOKUP($G74,'Visu totale'!$D$3:$DH$129,AC$1,0),0)</f>
        <v>0</v>
      </c>
      <c r="AD74" s="13">
        <f>IFERROR(VLOOKUP($G74,'Visu totale'!$D$3:$DH$129,AD$1,0),0)</f>
        <v>0</v>
      </c>
      <c r="AE74" s="15">
        <f>IFERROR(VLOOKUP($G74,'Visu totale'!$D$3:$DH$129,AE$1,0),0)</f>
        <v>0</v>
      </c>
      <c r="AF74" s="14">
        <f>IFERROR(VLOOKUP($G74,'Visu totale'!$D$3:$DH$129,AF$1,0),0)</f>
        <v>0</v>
      </c>
      <c r="AG74" s="13">
        <f>IFERROR(VLOOKUP($G74,'Visu totale'!$D$3:$DH$129,AG$1,0),0)</f>
        <v>0</v>
      </c>
      <c r="AH74" s="13">
        <f>IFERROR(VLOOKUP($G74,'Visu totale'!$D$3:$DH$129,AH$1,0),0)</f>
        <v>0</v>
      </c>
      <c r="AI74" s="13">
        <f>IFERROR(VLOOKUP($G74,'Visu totale'!$D$3:$DH$129,AI$1,0),0)</f>
        <v>0</v>
      </c>
      <c r="AJ74" s="13">
        <f>IFERROR(VLOOKUP($G74,'Visu totale'!$D$3:$DH$129,AJ$1,0),0)</f>
        <v>0</v>
      </c>
      <c r="AK74" s="13">
        <f>IFERROR(VLOOKUP($G74,'Visu totale'!$D$3:$DH$129,AK$1,0),0)</f>
        <v>0</v>
      </c>
      <c r="AL74" s="13">
        <f>IFERROR(VLOOKUP($G74,'Visu totale'!$D$3:$DH$129,AL$1,0),0)</f>
        <v>0</v>
      </c>
      <c r="AM74" s="13">
        <f>IFERROR(VLOOKUP($G74,'Visu totale'!$D$3:$DH$129,AM$1,0),0)</f>
        <v>0</v>
      </c>
      <c r="AN74" s="13">
        <f>IFERROR(VLOOKUP($G74,'Visu totale'!$D$3:$DH$129,AN$1,0),0)</f>
        <v>0</v>
      </c>
      <c r="AO74" s="13">
        <f>IFERROR(VLOOKUP($G74,'Visu totale'!$D$3:$DH$129,AO$1,0),0)</f>
        <v>0</v>
      </c>
      <c r="AP74" s="13">
        <f>IFERROR(VLOOKUP($G74,'Visu totale'!$D$3:$DH$129,AP$1,0),0)</f>
        <v>0</v>
      </c>
      <c r="AQ74" s="15">
        <f>IFERROR(VLOOKUP($G74,'Visu totale'!$D$3:$DH$129,AQ$1,0),0)</f>
        <v>0</v>
      </c>
      <c r="AR74" s="14">
        <f>IFERROR(VLOOKUP($G74,'Visu totale'!$D$3:$DH$129,AR$1,0),0)</f>
        <v>0</v>
      </c>
      <c r="AS74" s="13">
        <f>IFERROR(VLOOKUP($G74,'Visu totale'!$D$3:$DH$129,AS$1,0),0)</f>
        <v>0</v>
      </c>
      <c r="AT74" s="13">
        <f>IFERROR(VLOOKUP($G74,'Visu totale'!$D$3:$DH$129,AT$1,0),0)</f>
        <v>0</v>
      </c>
      <c r="AU74" s="13">
        <f>IFERROR(VLOOKUP($G74,'Visu totale'!$D$3:$DH$129,AU$1,0),0)</f>
        <v>0</v>
      </c>
      <c r="AV74" s="13">
        <f>IFERROR(VLOOKUP($G74,'Visu totale'!$D$3:$DH$129,AV$1,0),0)</f>
        <v>0</v>
      </c>
      <c r="AW74" s="13">
        <f>IFERROR(VLOOKUP($G74,'Visu totale'!$D$3:$DH$129,AW$1,0),0)</f>
        <v>0</v>
      </c>
      <c r="AX74" s="13">
        <f>IFERROR(VLOOKUP($G74,'Visu totale'!$D$3:$DH$129,AX$1,0),0)</f>
        <v>0</v>
      </c>
      <c r="AY74" s="13">
        <f>IFERROR(VLOOKUP($G74,'Visu totale'!$D$3:$DH$129,AY$1,0),0)</f>
        <v>0</v>
      </c>
      <c r="AZ74" s="13">
        <f>IFERROR(VLOOKUP($G74,'Visu totale'!$D$3:$DH$129,AZ$1,0),0)</f>
        <v>0</v>
      </c>
      <c r="BA74" s="13">
        <f>IFERROR(VLOOKUP($G74,'Visu totale'!$D$3:$DH$129,BA$1,0),0)</f>
        <v>0</v>
      </c>
      <c r="BB74" s="13">
        <f>IFERROR(VLOOKUP($G74,'Visu totale'!$D$3:$DH$129,BB$1,0),0)</f>
        <v>0</v>
      </c>
      <c r="BC74" s="15">
        <f>IFERROR(VLOOKUP($G74,'Visu totale'!$D$3:$DH$129,BC$1,0),0)</f>
        <v>0</v>
      </c>
      <c r="BD74" s="14">
        <f>IFERROR(VLOOKUP($G74,'Visu totale'!$D$3:$DH$129,BD$1,0),0)</f>
        <v>0</v>
      </c>
      <c r="BE74" s="13">
        <f>IFERROR(VLOOKUP($G74,'Visu totale'!$D$3:$DH$129,BE$1,0),0)</f>
        <v>0</v>
      </c>
      <c r="BF74" s="13">
        <f>IFERROR(VLOOKUP($G74,'Visu totale'!$D$3:$DH$129,BF$1,0),0)</f>
        <v>0</v>
      </c>
      <c r="BG74" s="13">
        <f>IFERROR(VLOOKUP($G74,'Visu totale'!$D$3:$DH$129,BG$1,0),0)</f>
        <v>0</v>
      </c>
      <c r="BH74" s="13">
        <f>IFERROR(VLOOKUP($G74,'Visu totale'!$D$3:$DH$129,BH$1,0),0)</f>
        <v>0</v>
      </c>
      <c r="BI74" s="13">
        <f>IFERROR(VLOOKUP($G74,'Visu totale'!$D$3:$DH$129,BI$1,0),0)</f>
        <v>0</v>
      </c>
      <c r="BJ74" s="13">
        <f>IFERROR(VLOOKUP($G74,'Visu totale'!$D$3:$DH$129,BJ$1,0),0)</f>
        <v>0</v>
      </c>
      <c r="BK74" s="13">
        <f>IFERROR(VLOOKUP($G74,'Visu totale'!$D$3:$DH$129,BK$1,0),0)</f>
        <v>0</v>
      </c>
      <c r="BL74" s="13">
        <f>IFERROR(VLOOKUP($G74,'Visu totale'!$D$3:$DH$129,BL$1,0),0)</f>
        <v>0</v>
      </c>
      <c r="BM74" s="13">
        <f>IFERROR(VLOOKUP($G74,'Visu totale'!$D$3:$DH$129,BM$1,0),0)</f>
        <v>0</v>
      </c>
      <c r="BN74" s="13">
        <f>IFERROR(VLOOKUP($G74,'Visu totale'!$D$3:$DH$129,BN$1,0),0)</f>
        <v>0</v>
      </c>
      <c r="BO74" s="15">
        <f>IFERROR(VLOOKUP($G74,'Visu totale'!$D$3:$DH$129,BO$1,0),0)</f>
        <v>0</v>
      </c>
      <c r="BP74" s="14">
        <f>IFERROR(VLOOKUP($G74,'Visu totale'!$D$3:$DH$129,BP$1,0),0)</f>
        <v>0</v>
      </c>
      <c r="BQ74" s="13">
        <f>IFERROR(VLOOKUP($G74,'Visu totale'!$D$3:$DH$129,BQ$1,0),0)</f>
        <v>0</v>
      </c>
      <c r="BR74" s="13">
        <f>IFERROR(VLOOKUP($G74,'Visu totale'!$D$3:$DH$129,BR$1,0),0)</f>
        <v>0</v>
      </c>
      <c r="BS74" s="13">
        <f>IFERROR(VLOOKUP($G74,'Visu totale'!$D$3:$DH$129,BS$1,0),0)</f>
        <v>0</v>
      </c>
      <c r="BT74" s="13">
        <f>IFERROR(VLOOKUP($G74,'Visu totale'!$D$3:$DH$129,BT$1,0),0)</f>
        <v>0</v>
      </c>
      <c r="BU74" s="13">
        <f>IFERROR(VLOOKUP($G74,'Visu totale'!$D$3:$DH$129,BU$1,0),0)</f>
        <v>0</v>
      </c>
      <c r="BV74" s="13">
        <f>IFERROR(VLOOKUP($G74,'Visu totale'!$D$3:$DH$129,BV$1,0),0)</f>
        <v>0</v>
      </c>
      <c r="BW74" s="13">
        <f>IFERROR(VLOOKUP($G74,'Visu totale'!$D$3:$DH$129,BW$1,0),0)</f>
        <v>0</v>
      </c>
      <c r="BX74" s="13">
        <f>IFERROR(VLOOKUP($G74,'Visu totale'!$D$3:$DH$129,BX$1,0),0)</f>
        <v>0</v>
      </c>
      <c r="BY74" s="13">
        <f>IFERROR(VLOOKUP($G74,'Visu totale'!$D$3:$DH$129,BY$1,0),0)</f>
        <v>0</v>
      </c>
      <c r="BZ74" s="13">
        <f>IFERROR(VLOOKUP($G74,'Visu totale'!$D$3:$DH$129,BZ$1,0),0)</f>
        <v>0</v>
      </c>
      <c r="CA74" s="15">
        <f>IFERROR(VLOOKUP($G74,'Visu totale'!$D$3:$DH$129,CA$1,0),0)</f>
        <v>0</v>
      </c>
      <c r="CB74" s="14">
        <f>IFERROR(VLOOKUP($G74,'Visu totale'!$D$3:$DH$129,CB$1,0),0)</f>
        <v>0</v>
      </c>
      <c r="CC74" s="13">
        <f>IFERROR(VLOOKUP($G74,'Visu totale'!$D$3:$DH$129,CC$1,0),0)</f>
        <v>0</v>
      </c>
      <c r="CD74" s="13">
        <f>IFERROR(VLOOKUP($G74,'Visu totale'!$D$3:$DH$129,CD$1,0),0)</f>
        <v>0</v>
      </c>
      <c r="CE74" s="13">
        <f>IFERROR(VLOOKUP($G74,'Visu totale'!$D$3:$DH$129,CE$1,0),0)</f>
        <v>0</v>
      </c>
      <c r="CF74" s="13">
        <f>IFERROR(VLOOKUP($G74,'Visu totale'!$D$3:$DH$129,CF$1,0),0)</f>
        <v>0</v>
      </c>
      <c r="CG74" s="13">
        <f>IFERROR(VLOOKUP($G74,'Visu totale'!$D$3:$DH$129,CG$1,0),0)</f>
        <v>0</v>
      </c>
      <c r="CH74" s="13">
        <f>IFERROR(VLOOKUP($G74,'Visu totale'!$D$3:$DH$129,CH$1,0),0)</f>
        <v>0</v>
      </c>
      <c r="CI74" s="13">
        <f>IFERROR(VLOOKUP($G74,'Visu totale'!$D$3:$DH$129,CI$1,0),0)</f>
        <v>0</v>
      </c>
      <c r="CJ74" s="13">
        <f>IFERROR(VLOOKUP($G74,'Visu totale'!$D$3:$DH$129,CJ$1,0),0)</f>
        <v>0</v>
      </c>
      <c r="CK74" s="13">
        <f>IFERROR(VLOOKUP($G74,'Visu totale'!$D$3:$DH$129,CK$1,0),0)</f>
        <v>0</v>
      </c>
      <c r="CL74" s="13">
        <f>IFERROR(VLOOKUP($G74,'Visu totale'!$D$3:$DH$129,CL$1,0),0)</f>
        <v>0</v>
      </c>
      <c r="CM74" s="15">
        <f>IFERROR(VLOOKUP($G74,'Visu totale'!$D$3:$DH$129,CM$1,0),0)</f>
        <v>0</v>
      </c>
      <c r="CN74" s="14">
        <f>IFERROR(VLOOKUP($G74,'Visu totale'!$D$3:$DH$129,CN$1,0),0)</f>
        <v>0</v>
      </c>
      <c r="CO74" s="13">
        <f>IFERROR(VLOOKUP($G74,'Visu totale'!$D$3:$DH$129,CO$1,0),0)</f>
        <v>0</v>
      </c>
      <c r="CP74" s="13">
        <f>IFERROR(VLOOKUP($G74,'Visu totale'!$D$3:$DH$129,CP$1,0),0)</f>
        <v>0</v>
      </c>
      <c r="CQ74" s="13">
        <f>IFERROR(VLOOKUP($G74,'Visu totale'!$D$3:$DH$129,CQ$1,0),0)</f>
        <v>0</v>
      </c>
      <c r="CR74" s="13">
        <f>IFERROR(VLOOKUP($G74,'Visu totale'!$D$3:$DH$129,CR$1,0),0)</f>
        <v>0</v>
      </c>
      <c r="CS74" s="13">
        <f>IFERROR(VLOOKUP($G74,'Visu totale'!$D$3:$DH$129,CS$1,0),0)</f>
        <v>0</v>
      </c>
      <c r="CT74" s="13">
        <f>IFERROR(VLOOKUP($G74,'Visu totale'!$D$3:$DH$129,CT$1,0),0)</f>
        <v>0</v>
      </c>
      <c r="CU74" s="13">
        <f>IFERROR(VLOOKUP($G74,'Visu totale'!$D$3:$DH$129,CU$1,0),0)</f>
        <v>0</v>
      </c>
      <c r="CV74" s="13">
        <f>IFERROR(VLOOKUP($G74,'Visu totale'!$D$3:$DH$129,CV$1,0),0)</f>
        <v>0</v>
      </c>
      <c r="CW74" s="13">
        <f>IFERROR(VLOOKUP($G74,'Visu totale'!$D$3:$DH$129,CW$1,0),0)</f>
        <v>0</v>
      </c>
      <c r="CX74" s="13">
        <f>IFERROR(VLOOKUP($G74,'Visu totale'!$D$3:$DH$129,CX$1,0),0)</f>
        <v>0</v>
      </c>
      <c r="CY74" s="15">
        <f>IFERROR(VLOOKUP($G74,'Visu totale'!$D$3:$DH$129,CY$1,0),0)</f>
        <v>0</v>
      </c>
      <c r="CZ74" s="14">
        <f>IFERROR(VLOOKUP($G74,'Visu totale'!$D$3:$DH$129,CZ$1,0),0)</f>
        <v>0</v>
      </c>
      <c r="DA74" s="13">
        <f>IFERROR(VLOOKUP($G74,'Visu totale'!$D$3:$DH$129,DA$1,0),0)</f>
        <v>0</v>
      </c>
      <c r="DB74" s="13">
        <f>IFERROR(VLOOKUP($G74,'Visu totale'!$D$3:$DH$129,DB$1,0),0)</f>
        <v>0</v>
      </c>
      <c r="DC74" s="13">
        <f>IFERROR(VLOOKUP($G74,'Visu totale'!$D$3:$DH$129,DC$1,0),0)</f>
        <v>0</v>
      </c>
      <c r="DD74" s="13">
        <f>IFERROR(VLOOKUP($G74,'Visu totale'!$D$3:$DH$129,DD$1,0),0)</f>
        <v>0</v>
      </c>
      <c r="DE74" s="13">
        <f>IFERROR(VLOOKUP($G74,'Visu totale'!$D$3:$DH$129,DE$1,0),0)</f>
        <v>0</v>
      </c>
      <c r="DF74" s="13">
        <f>IFERROR(VLOOKUP($G74,'Visu totale'!$D$3:$DH$129,DF$1,0),0)</f>
        <v>0</v>
      </c>
      <c r="DG74" s="13">
        <f>IFERROR(VLOOKUP($G74,'Visu totale'!$D$3:$DH$129,DG$1,0),0)</f>
        <v>0</v>
      </c>
      <c r="DH74" s="13">
        <f>IFERROR(VLOOKUP($G74,'Visu totale'!$D$3:$DH$129,DH$1,0),0)</f>
        <v>0</v>
      </c>
      <c r="DI74" s="13">
        <f>IFERROR(VLOOKUP($G74,'Visu totale'!$D$3:$DH$129,DI$1,0),0)</f>
        <v>0</v>
      </c>
      <c r="DJ74" s="13">
        <f>IFERROR(VLOOKUP($G74,'Visu totale'!$D$3:$DH$129,DJ$1,0),0)</f>
        <v>0</v>
      </c>
      <c r="DK74" s="15">
        <f>IFERROR(VLOOKUP($G74,'Visu totale'!$D$3:$DH$129,DK$1,0),0)</f>
        <v>0</v>
      </c>
    </row>
    <row r="75" spans="1:115" x14ac:dyDescent="0.25">
      <c r="A75" s="13"/>
      <c r="B75" s="13"/>
      <c r="C75" s="13"/>
      <c r="D75" s="16"/>
      <c r="E75" s="13"/>
      <c r="F75" s="13"/>
      <c r="G75" s="17" t="s">
        <v>77</v>
      </c>
      <c r="H75" s="14">
        <f>IFERROR(VLOOKUP($G75,'Visu totale'!$D$3:$DH$129,H$1,0),0)</f>
        <v>0</v>
      </c>
      <c r="I75" s="13">
        <f>IFERROR(VLOOKUP($G75,'Visu totale'!$D$3:$DH$129,I$1,0),0)</f>
        <v>0</v>
      </c>
      <c r="J75" s="13">
        <f>IFERROR(VLOOKUP($G75,'Visu totale'!$D$3:$DH$129,J$1,0),0)</f>
        <v>0</v>
      </c>
      <c r="K75" s="13">
        <f>IFERROR(VLOOKUP($G75,'Visu totale'!$D$3:$DH$129,K$1,0),0)</f>
        <v>0</v>
      </c>
      <c r="L75" s="13">
        <f>IFERROR(VLOOKUP($G75,'Visu totale'!$D$3:$DH$129,L$1,0),0)</f>
        <v>0</v>
      </c>
      <c r="M75" s="13">
        <f>IFERROR(VLOOKUP($G75,'Visu totale'!$D$3:$DH$129,M$1,0),0)</f>
        <v>0</v>
      </c>
      <c r="N75" s="13">
        <f>IFERROR(VLOOKUP($G75,'Visu totale'!$D$3:$DH$129,N$1,0),0)</f>
        <v>0</v>
      </c>
      <c r="O75" s="13">
        <f>IFERROR(VLOOKUP($G75,'Visu totale'!$D$3:$DH$129,O$1,0),0)</f>
        <v>0</v>
      </c>
      <c r="P75" s="13">
        <f>IFERROR(VLOOKUP($G75,'Visu totale'!$D$3:$DH$129,P$1,0),0)</f>
        <v>0</v>
      </c>
      <c r="Q75" s="13">
        <f>IFERROR(VLOOKUP($G75,'Visu totale'!$D$3:$DH$129,Q$1,0),0)</f>
        <v>0</v>
      </c>
      <c r="R75" s="13">
        <f>IFERROR(VLOOKUP($G75,'Visu totale'!$D$3:$DH$129,R$1,0),0)</f>
        <v>0</v>
      </c>
      <c r="S75" s="15">
        <f>IFERROR(VLOOKUP($G75,'Visu totale'!$D$3:$DH$129,S$1,0),0)</f>
        <v>0</v>
      </c>
      <c r="T75" s="14">
        <f>IFERROR(VLOOKUP($G75,'Visu totale'!$D$3:$DH$129,T$1,0),0)</f>
        <v>0</v>
      </c>
      <c r="U75" s="13">
        <f>IFERROR(VLOOKUP($G75,'Visu totale'!$D$3:$DH$129,U$1,0),0)</f>
        <v>0</v>
      </c>
      <c r="V75" s="13">
        <f>IFERROR(VLOOKUP($G75,'Visu totale'!$D$3:$DH$129,V$1,0),0)</f>
        <v>0</v>
      </c>
      <c r="W75" s="13">
        <f>IFERROR(VLOOKUP($G75,'Visu totale'!$D$3:$DH$129,W$1,0),0)</f>
        <v>0</v>
      </c>
      <c r="X75" s="13">
        <f>IFERROR(VLOOKUP($G75,'Visu totale'!$D$3:$DH$129,X$1,0),0)</f>
        <v>0</v>
      </c>
      <c r="Y75" s="13">
        <f>IFERROR(VLOOKUP($G75,'Visu totale'!$D$3:$DH$129,Y$1,0),0)</f>
        <v>0</v>
      </c>
      <c r="Z75" s="13">
        <f>IFERROR(VLOOKUP($G75,'Visu totale'!$D$3:$DH$129,Z$1,0),0)</f>
        <v>0</v>
      </c>
      <c r="AA75" s="13">
        <f>IFERROR(VLOOKUP($G75,'Visu totale'!$D$3:$DH$129,AA$1,0),0)</f>
        <v>0</v>
      </c>
      <c r="AB75" s="13">
        <f>IFERROR(VLOOKUP($G75,'Visu totale'!$D$3:$DH$129,AB$1,0),0)</f>
        <v>0</v>
      </c>
      <c r="AC75" s="13">
        <f>IFERROR(VLOOKUP($G75,'Visu totale'!$D$3:$DH$129,AC$1,0),0)</f>
        <v>0</v>
      </c>
      <c r="AD75" s="13">
        <f>IFERROR(VLOOKUP($G75,'Visu totale'!$D$3:$DH$129,AD$1,0),0)</f>
        <v>0</v>
      </c>
      <c r="AE75" s="15">
        <f>IFERROR(VLOOKUP($G75,'Visu totale'!$D$3:$DH$129,AE$1,0),0)</f>
        <v>0</v>
      </c>
      <c r="AF75" s="14">
        <f>IFERROR(VLOOKUP($G75,'Visu totale'!$D$3:$DH$129,AF$1,0),0)</f>
        <v>0</v>
      </c>
      <c r="AG75" s="13">
        <f>IFERROR(VLOOKUP($G75,'Visu totale'!$D$3:$DH$129,AG$1,0),0)</f>
        <v>0</v>
      </c>
      <c r="AH75" s="13">
        <f>IFERROR(VLOOKUP($G75,'Visu totale'!$D$3:$DH$129,AH$1,0),0)</f>
        <v>0</v>
      </c>
      <c r="AI75" s="13">
        <f>IFERROR(VLOOKUP($G75,'Visu totale'!$D$3:$DH$129,AI$1,0),0)</f>
        <v>0</v>
      </c>
      <c r="AJ75" s="13">
        <f>IFERROR(VLOOKUP($G75,'Visu totale'!$D$3:$DH$129,AJ$1,0),0)</f>
        <v>0</v>
      </c>
      <c r="AK75" s="13">
        <f>IFERROR(VLOOKUP($G75,'Visu totale'!$D$3:$DH$129,AK$1,0),0)</f>
        <v>0</v>
      </c>
      <c r="AL75" s="13">
        <f>IFERROR(VLOOKUP($G75,'Visu totale'!$D$3:$DH$129,AL$1,0),0)</f>
        <v>0</v>
      </c>
      <c r="AM75" s="13">
        <f>IFERROR(VLOOKUP($G75,'Visu totale'!$D$3:$DH$129,AM$1,0),0)</f>
        <v>0</v>
      </c>
      <c r="AN75" s="13">
        <f>IFERROR(VLOOKUP($G75,'Visu totale'!$D$3:$DH$129,AN$1,0),0)</f>
        <v>0</v>
      </c>
      <c r="AO75" s="13">
        <f>IFERROR(VLOOKUP($G75,'Visu totale'!$D$3:$DH$129,AO$1,0),0)</f>
        <v>0</v>
      </c>
      <c r="AP75" s="13">
        <f>IFERROR(VLOOKUP($G75,'Visu totale'!$D$3:$DH$129,AP$1,0),0)</f>
        <v>0</v>
      </c>
      <c r="AQ75" s="15">
        <f>IFERROR(VLOOKUP($G75,'Visu totale'!$D$3:$DH$129,AQ$1,0),0)</f>
        <v>0</v>
      </c>
      <c r="AR75" s="14">
        <f>IFERROR(VLOOKUP($G75,'Visu totale'!$D$3:$DH$129,AR$1,0),0)</f>
        <v>0</v>
      </c>
      <c r="AS75" s="13">
        <f>IFERROR(VLOOKUP($G75,'Visu totale'!$D$3:$DH$129,AS$1,0),0)</f>
        <v>0</v>
      </c>
      <c r="AT75" s="13">
        <f>IFERROR(VLOOKUP($G75,'Visu totale'!$D$3:$DH$129,AT$1,0),0)</f>
        <v>0</v>
      </c>
      <c r="AU75" s="13">
        <f>IFERROR(VLOOKUP($G75,'Visu totale'!$D$3:$DH$129,AU$1,0),0)</f>
        <v>0</v>
      </c>
      <c r="AV75" s="13">
        <f>IFERROR(VLOOKUP($G75,'Visu totale'!$D$3:$DH$129,AV$1,0),0)</f>
        <v>0</v>
      </c>
      <c r="AW75" s="13">
        <f>IFERROR(VLOOKUP($G75,'Visu totale'!$D$3:$DH$129,AW$1,0),0)</f>
        <v>0</v>
      </c>
      <c r="AX75" s="13">
        <f>IFERROR(VLOOKUP($G75,'Visu totale'!$D$3:$DH$129,AX$1,0),0)</f>
        <v>0</v>
      </c>
      <c r="AY75" s="13">
        <f>IFERROR(VLOOKUP($G75,'Visu totale'!$D$3:$DH$129,AY$1,0),0)</f>
        <v>0</v>
      </c>
      <c r="AZ75" s="13">
        <f>IFERROR(VLOOKUP($G75,'Visu totale'!$D$3:$DH$129,AZ$1,0),0)</f>
        <v>0</v>
      </c>
      <c r="BA75" s="13">
        <f>IFERROR(VLOOKUP($G75,'Visu totale'!$D$3:$DH$129,BA$1,0),0)</f>
        <v>0</v>
      </c>
      <c r="BB75" s="13">
        <f>IFERROR(VLOOKUP($G75,'Visu totale'!$D$3:$DH$129,BB$1,0),0)</f>
        <v>0</v>
      </c>
      <c r="BC75" s="15">
        <f>IFERROR(VLOOKUP($G75,'Visu totale'!$D$3:$DH$129,BC$1,0),0)</f>
        <v>0</v>
      </c>
      <c r="BD75" s="14">
        <f>IFERROR(VLOOKUP($G75,'Visu totale'!$D$3:$DH$129,BD$1,0),0)</f>
        <v>0</v>
      </c>
      <c r="BE75" s="13">
        <f>IFERROR(VLOOKUP($G75,'Visu totale'!$D$3:$DH$129,BE$1,0),0)</f>
        <v>0</v>
      </c>
      <c r="BF75" s="13">
        <f>IFERROR(VLOOKUP($G75,'Visu totale'!$D$3:$DH$129,BF$1,0),0)</f>
        <v>0</v>
      </c>
      <c r="BG75" s="13">
        <f>IFERROR(VLOOKUP($G75,'Visu totale'!$D$3:$DH$129,BG$1,0),0)</f>
        <v>0</v>
      </c>
      <c r="BH75" s="13">
        <f>IFERROR(VLOOKUP($G75,'Visu totale'!$D$3:$DH$129,BH$1,0),0)</f>
        <v>0</v>
      </c>
      <c r="BI75" s="13">
        <f>IFERROR(VLOOKUP($G75,'Visu totale'!$D$3:$DH$129,BI$1,0),0)</f>
        <v>0</v>
      </c>
      <c r="BJ75" s="13">
        <f>IFERROR(VLOOKUP($G75,'Visu totale'!$D$3:$DH$129,BJ$1,0),0)</f>
        <v>0</v>
      </c>
      <c r="BK75" s="13">
        <f>IFERROR(VLOOKUP($G75,'Visu totale'!$D$3:$DH$129,BK$1,0),0)</f>
        <v>0</v>
      </c>
      <c r="BL75" s="13">
        <f>IFERROR(VLOOKUP($G75,'Visu totale'!$D$3:$DH$129,BL$1,0),0)</f>
        <v>0</v>
      </c>
      <c r="BM75" s="13">
        <f>IFERROR(VLOOKUP($G75,'Visu totale'!$D$3:$DH$129,BM$1,0),0)</f>
        <v>0</v>
      </c>
      <c r="BN75" s="13">
        <f>IFERROR(VLOOKUP($G75,'Visu totale'!$D$3:$DH$129,BN$1,0),0)</f>
        <v>0</v>
      </c>
      <c r="BO75" s="15">
        <f>IFERROR(VLOOKUP($G75,'Visu totale'!$D$3:$DH$129,BO$1,0),0)</f>
        <v>0</v>
      </c>
      <c r="BP75" s="14">
        <f>IFERROR(VLOOKUP($G75,'Visu totale'!$D$3:$DH$129,BP$1,0),0)</f>
        <v>0</v>
      </c>
      <c r="BQ75" s="13">
        <f>IFERROR(VLOOKUP($G75,'Visu totale'!$D$3:$DH$129,BQ$1,0),0)</f>
        <v>0</v>
      </c>
      <c r="BR75" s="13">
        <f>IFERROR(VLOOKUP($G75,'Visu totale'!$D$3:$DH$129,BR$1,0),0)</f>
        <v>0</v>
      </c>
      <c r="BS75" s="13">
        <f>IFERROR(VLOOKUP($G75,'Visu totale'!$D$3:$DH$129,BS$1,0),0)</f>
        <v>0</v>
      </c>
      <c r="BT75" s="13">
        <f>IFERROR(VLOOKUP($G75,'Visu totale'!$D$3:$DH$129,BT$1,0),0)</f>
        <v>0</v>
      </c>
      <c r="BU75" s="13">
        <f>IFERROR(VLOOKUP($G75,'Visu totale'!$D$3:$DH$129,BU$1,0),0)</f>
        <v>0</v>
      </c>
      <c r="BV75" s="13">
        <f>IFERROR(VLOOKUP($G75,'Visu totale'!$D$3:$DH$129,BV$1,0),0)</f>
        <v>0</v>
      </c>
      <c r="BW75" s="13">
        <f>IFERROR(VLOOKUP($G75,'Visu totale'!$D$3:$DH$129,BW$1,0),0)</f>
        <v>0</v>
      </c>
      <c r="BX75" s="13">
        <f>IFERROR(VLOOKUP($G75,'Visu totale'!$D$3:$DH$129,BX$1,0),0)</f>
        <v>0</v>
      </c>
      <c r="BY75" s="13">
        <f>IFERROR(VLOOKUP($G75,'Visu totale'!$D$3:$DH$129,BY$1,0),0)</f>
        <v>0</v>
      </c>
      <c r="BZ75" s="13">
        <f>IFERROR(VLOOKUP($G75,'Visu totale'!$D$3:$DH$129,BZ$1,0),0)</f>
        <v>0</v>
      </c>
      <c r="CA75" s="15">
        <f>IFERROR(VLOOKUP($G75,'Visu totale'!$D$3:$DH$129,CA$1,0),0)</f>
        <v>0</v>
      </c>
      <c r="CB75" s="14">
        <f>IFERROR(VLOOKUP($G75,'Visu totale'!$D$3:$DH$129,CB$1,0),0)</f>
        <v>0</v>
      </c>
      <c r="CC75" s="13">
        <f>IFERROR(VLOOKUP($G75,'Visu totale'!$D$3:$DH$129,CC$1,0),0)</f>
        <v>0</v>
      </c>
      <c r="CD75" s="13">
        <f>IFERROR(VLOOKUP($G75,'Visu totale'!$D$3:$DH$129,CD$1,0),0)</f>
        <v>0</v>
      </c>
      <c r="CE75" s="13">
        <f>IFERROR(VLOOKUP($G75,'Visu totale'!$D$3:$DH$129,CE$1,0),0)</f>
        <v>0</v>
      </c>
      <c r="CF75" s="13">
        <f>IFERROR(VLOOKUP($G75,'Visu totale'!$D$3:$DH$129,CF$1,0),0)</f>
        <v>0</v>
      </c>
      <c r="CG75" s="13">
        <f>IFERROR(VLOOKUP($G75,'Visu totale'!$D$3:$DH$129,CG$1,0),0)</f>
        <v>0</v>
      </c>
      <c r="CH75" s="13">
        <f>IFERROR(VLOOKUP($G75,'Visu totale'!$D$3:$DH$129,CH$1,0),0)</f>
        <v>0</v>
      </c>
      <c r="CI75" s="13">
        <f>IFERROR(VLOOKUP($G75,'Visu totale'!$D$3:$DH$129,CI$1,0),0)</f>
        <v>0</v>
      </c>
      <c r="CJ75" s="13">
        <f>IFERROR(VLOOKUP($G75,'Visu totale'!$D$3:$DH$129,CJ$1,0),0)</f>
        <v>0</v>
      </c>
      <c r="CK75" s="13">
        <f>IFERROR(VLOOKUP($G75,'Visu totale'!$D$3:$DH$129,CK$1,0),0)</f>
        <v>0</v>
      </c>
      <c r="CL75" s="13">
        <f>IFERROR(VLOOKUP($G75,'Visu totale'!$D$3:$DH$129,CL$1,0),0)</f>
        <v>0</v>
      </c>
      <c r="CM75" s="15">
        <f>IFERROR(VLOOKUP($G75,'Visu totale'!$D$3:$DH$129,CM$1,0),0)</f>
        <v>0</v>
      </c>
      <c r="CN75" s="14">
        <f>IFERROR(VLOOKUP($G75,'Visu totale'!$D$3:$DH$129,CN$1,0),0)</f>
        <v>0</v>
      </c>
      <c r="CO75" s="13">
        <f>IFERROR(VLOOKUP($G75,'Visu totale'!$D$3:$DH$129,CO$1,0),0)</f>
        <v>0</v>
      </c>
      <c r="CP75" s="13">
        <f>IFERROR(VLOOKUP($G75,'Visu totale'!$D$3:$DH$129,CP$1,0),0)</f>
        <v>0</v>
      </c>
      <c r="CQ75" s="13">
        <f>IFERROR(VLOOKUP($G75,'Visu totale'!$D$3:$DH$129,CQ$1,0),0)</f>
        <v>0</v>
      </c>
      <c r="CR75" s="13">
        <f>IFERROR(VLOOKUP($G75,'Visu totale'!$D$3:$DH$129,CR$1,0),0)</f>
        <v>0</v>
      </c>
      <c r="CS75" s="13">
        <f>IFERROR(VLOOKUP($G75,'Visu totale'!$D$3:$DH$129,CS$1,0),0)</f>
        <v>0</v>
      </c>
      <c r="CT75" s="13">
        <f>IFERROR(VLOOKUP($G75,'Visu totale'!$D$3:$DH$129,CT$1,0),0)</f>
        <v>0</v>
      </c>
      <c r="CU75" s="13">
        <f>IFERROR(VLOOKUP($G75,'Visu totale'!$D$3:$DH$129,CU$1,0),0)</f>
        <v>0</v>
      </c>
      <c r="CV75" s="13">
        <f>IFERROR(VLOOKUP($G75,'Visu totale'!$D$3:$DH$129,CV$1,0),0)</f>
        <v>0</v>
      </c>
      <c r="CW75" s="13">
        <f>IFERROR(VLOOKUP($G75,'Visu totale'!$D$3:$DH$129,CW$1,0),0)</f>
        <v>0</v>
      </c>
      <c r="CX75" s="13">
        <f>IFERROR(VLOOKUP($G75,'Visu totale'!$D$3:$DH$129,CX$1,0),0)</f>
        <v>0</v>
      </c>
      <c r="CY75" s="15">
        <f>IFERROR(VLOOKUP($G75,'Visu totale'!$D$3:$DH$129,CY$1,0),0)</f>
        <v>0</v>
      </c>
      <c r="CZ75" s="14">
        <f>IFERROR(VLOOKUP($G75,'Visu totale'!$D$3:$DH$129,CZ$1,0),0)</f>
        <v>0</v>
      </c>
      <c r="DA75" s="13">
        <f>IFERROR(VLOOKUP($G75,'Visu totale'!$D$3:$DH$129,DA$1,0),0)</f>
        <v>0</v>
      </c>
      <c r="DB75" s="13">
        <f>IFERROR(VLOOKUP($G75,'Visu totale'!$D$3:$DH$129,DB$1,0),0)</f>
        <v>0</v>
      </c>
      <c r="DC75" s="13">
        <f>IFERROR(VLOOKUP($G75,'Visu totale'!$D$3:$DH$129,DC$1,0),0)</f>
        <v>0</v>
      </c>
      <c r="DD75" s="13">
        <f>IFERROR(VLOOKUP($G75,'Visu totale'!$D$3:$DH$129,DD$1,0),0)</f>
        <v>0</v>
      </c>
      <c r="DE75" s="13">
        <f>IFERROR(VLOOKUP($G75,'Visu totale'!$D$3:$DH$129,DE$1,0),0)</f>
        <v>0</v>
      </c>
      <c r="DF75" s="13">
        <f>IFERROR(VLOOKUP($G75,'Visu totale'!$D$3:$DH$129,DF$1,0),0)</f>
        <v>0</v>
      </c>
      <c r="DG75" s="13">
        <f>IFERROR(VLOOKUP($G75,'Visu totale'!$D$3:$DH$129,DG$1,0),0)</f>
        <v>0</v>
      </c>
      <c r="DH75" s="13">
        <f>IFERROR(VLOOKUP($G75,'Visu totale'!$D$3:$DH$129,DH$1,0),0)</f>
        <v>0</v>
      </c>
      <c r="DI75" s="13">
        <f>IFERROR(VLOOKUP($G75,'Visu totale'!$D$3:$DH$129,DI$1,0),0)</f>
        <v>0</v>
      </c>
      <c r="DJ75" s="13">
        <f>IFERROR(VLOOKUP($G75,'Visu totale'!$D$3:$DH$129,DJ$1,0),0)</f>
        <v>0</v>
      </c>
      <c r="DK75" s="15">
        <f>IFERROR(VLOOKUP($G75,'Visu totale'!$D$3:$DH$129,DK$1,0),0)</f>
        <v>0</v>
      </c>
    </row>
    <row r="76" spans="1:115" x14ac:dyDescent="0.25">
      <c r="A76" s="13"/>
      <c r="B76" s="13"/>
      <c r="C76" s="13"/>
      <c r="D76" s="16"/>
      <c r="E76" s="13"/>
      <c r="F76" s="13"/>
      <c r="G76" s="17" t="s">
        <v>78</v>
      </c>
      <c r="H76" s="14">
        <f>IFERROR(VLOOKUP($G76,'Visu totale'!$D$3:$DH$129,H$1,0),0)</f>
        <v>0</v>
      </c>
      <c r="I76" s="13">
        <f>IFERROR(VLOOKUP($G76,'Visu totale'!$D$3:$DH$129,I$1,0),0)</f>
        <v>0</v>
      </c>
      <c r="J76" s="13">
        <f>IFERROR(VLOOKUP($G76,'Visu totale'!$D$3:$DH$129,J$1,0),0)</f>
        <v>0</v>
      </c>
      <c r="K76" s="13">
        <f>IFERROR(VLOOKUP($G76,'Visu totale'!$D$3:$DH$129,K$1,0),0)</f>
        <v>0</v>
      </c>
      <c r="L76" s="13">
        <f>IFERROR(VLOOKUP($G76,'Visu totale'!$D$3:$DH$129,L$1,0),0)</f>
        <v>0</v>
      </c>
      <c r="M76" s="13">
        <f>IFERROR(VLOOKUP($G76,'Visu totale'!$D$3:$DH$129,M$1,0),0)</f>
        <v>0</v>
      </c>
      <c r="N76" s="13">
        <f>IFERROR(VLOOKUP($G76,'Visu totale'!$D$3:$DH$129,N$1,0),0)</f>
        <v>0</v>
      </c>
      <c r="O76" s="13">
        <f>IFERROR(VLOOKUP($G76,'Visu totale'!$D$3:$DH$129,O$1,0),0)</f>
        <v>0</v>
      </c>
      <c r="P76" s="13">
        <f>IFERROR(VLOOKUP($G76,'Visu totale'!$D$3:$DH$129,P$1,0),0)</f>
        <v>0</v>
      </c>
      <c r="Q76" s="13">
        <f>IFERROR(VLOOKUP($G76,'Visu totale'!$D$3:$DH$129,Q$1,0),0)</f>
        <v>0</v>
      </c>
      <c r="R76" s="13">
        <f>IFERROR(VLOOKUP($G76,'Visu totale'!$D$3:$DH$129,R$1,0),0)</f>
        <v>0</v>
      </c>
      <c r="S76" s="15">
        <f>IFERROR(VLOOKUP($G76,'Visu totale'!$D$3:$DH$129,S$1,0),0)</f>
        <v>0</v>
      </c>
      <c r="T76" s="14">
        <f>IFERROR(VLOOKUP($G76,'Visu totale'!$D$3:$DH$129,T$1,0),0)</f>
        <v>0</v>
      </c>
      <c r="U76" s="13">
        <f>IFERROR(VLOOKUP($G76,'Visu totale'!$D$3:$DH$129,U$1,0),0)</f>
        <v>0</v>
      </c>
      <c r="V76" s="13">
        <f>IFERROR(VLOOKUP($G76,'Visu totale'!$D$3:$DH$129,V$1,0),0)</f>
        <v>0</v>
      </c>
      <c r="W76" s="13">
        <f>IFERROR(VLOOKUP($G76,'Visu totale'!$D$3:$DH$129,W$1,0),0)</f>
        <v>0</v>
      </c>
      <c r="X76" s="13">
        <f>IFERROR(VLOOKUP($G76,'Visu totale'!$D$3:$DH$129,X$1,0),0)</f>
        <v>0</v>
      </c>
      <c r="Y76" s="13">
        <f>IFERROR(VLOOKUP($G76,'Visu totale'!$D$3:$DH$129,Y$1,0),0)</f>
        <v>0</v>
      </c>
      <c r="Z76" s="13">
        <f>IFERROR(VLOOKUP($G76,'Visu totale'!$D$3:$DH$129,Z$1,0),0)</f>
        <v>0</v>
      </c>
      <c r="AA76" s="13">
        <f>IFERROR(VLOOKUP($G76,'Visu totale'!$D$3:$DH$129,AA$1,0),0)</f>
        <v>0</v>
      </c>
      <c r="AB76" s="13">
        <f>IFERROR(VLOOKUP($G76,'Visu totale'!$D$3:$DH$129,AB$1,0),0)</f>
        <v>0</v>
      </c>
      <c r="AC76" s="13">
        <f>IFERROR(VLOOKUP($G76,'Visu totale'!$D$3:$DH$129,AC$1,0),0)</f>
        <v>0</v>
      </c>
      <c r="AD76" s="13">
        <f>IFERROR(VLOOKUP($G76,'Visu totale'!$D$3:$DH$129,AD$1,0),0)</f>
        <v>0</v>
      </c>
      <c r="AE76" s="15">
        <f>IFERROR(VLOOKUP($G76,'Visu totale'!$D$3:$DH$129,AE$1,0),0)</f>
        <v>0</v>
      </c>
      <c r="AF76" s="14">
        <f>IFERROR(VLOOKUP($G76,'Visu totale'!$D$3:$DH$129,AF$1,0),0)</f>
        <v>0</v>
      </c>
      <c r="AG76" s="13">
        <f>IFERROR(VLOOKUP($G76,'Visu totale'!$D$3:$DH$129,AG$1,0),0)</f>
        <v>0</v>
      </c>
      <c r="AH76" s="13">
        <f>IFERROR(VLOOKUP($G76,'Visu totale'!$D$3:$DH$129,AH$1,0),0)</f>
        <v>0</v>
      </c>
      <c r="AI76" s="13">
        <f>IFERROR(VLOOKUP($G76,'Visu totale'!$D$3:$DH$129,AI$1,0),0)</f>
        <v>0</v>
      </c>
      <c r="AJ76" s="13">
        <f>IFERROR(VLOOKUP($G76,'Visu totale'!$D$3:$DH$129,AJ$1,0),0)</f>
        <v>0</v>
      </c>
      <c r="AK76" s="13">
        <f>IFERROR(VLOOKUP($G76,'Visu totale'!$D$3:$DH$129,AK$1,0),0)</f>
        <v>0</v>
      </c>
      <c r="AL76" s="13">
        <f>IFERROR(VLOOKUP($G76,'Visu totale'!$D$3:$DH$129,AL$1,0),0)</f>
        <v>0</v>
      </c>
      <c r="AM76" s="13">
        <f>IFERROR(VLOOKUP($G76,'Visu totale'!$D$3:$DH$129,AM$1,0),0)</f>
        <v>0</v>
      </c>
      <c r="AN76" s="13">
        <f>IFERROR(VLOOKUP($G76,'Visu totale'!$D$3:$DH$129,AN$1,0),0)</f>
        <v>0</v>
      </c>
      <c r="AO76" s="13">
        <f>IFERROR(VLOOKUP($G76,'Visu totale'!$D$3:$DH$129,AO$1,0),0)</f>
        <v>0</v>
      </c>
      <c r="AP76" s="13">
        <f>IFERROR(VLOOKUP($G76,'Visu totale'!$D$3:$DH$129,AP$1,0),0)</f>
        <v>0</v>
      </c>
      <c r="AQ76" s="15">
        <f>IFERROR(VLOOKUP($G76,'Visu totale'!$D$3:$DH$129,AQ$1,0),0)</f>
        <v>0</v>
      </c>
      <c r="AR76" s="14">
        <f>IFERROR(VLOOKUP($G76,'Visu totale'!$D$3:$DH$129,AR$1,0),0)</f>
        <v>0</v>
      </c>
      <c r="AS76" s="13">
        <f>IFERROR(VLOOKUP($G76,'Visu totale'!$D$3:$DH$129,AS$1,0),0)</f>
        <v>0</v>
      </c>
      <c r="AT76" s="13">
        <f>IFERROR(VLOOKUP($G76,'Visu totale'!$D$3:$DH$129,AT$1,0),0)</f>
        <v>0</v>
      </c>
      <c r="AU76" s="13">
        <f>IFERROR(VLOOKUP($G76,'Visu totale'!$D$3:$DH$129,AU$1,0),0)</f>
        <v>0</v>
      </c>
      <c r="AV76" s="13">
        <f>IFERROR(VLOOKUP($G76,'Visu totale'!$D$3:$DH$129,AV$1,0),0)</f>
        <v>0</v>
      </c>
      <c r="AW76" s="13">
        <f>IFERROR(VLOOKUP($G76,'Visu totale'!$D$3:$DH$129,AW$1,0),0)</f>
        <v>0</v>
      </c>
      <c r="AX76" s="13">
        <f>IFERROR(VLOOKUP($G76,'Visu totale'!$D$3:$DH$129,AX$1,0),0)</f>
        <v>0</v>
      </c>
      <c r="AY76" s="13">
        <f>IFERROR(VLOOKUP($G76,'Visu totale'!$D$3:$DH$129,AY$1,0),0)</f>
        <v>0</v>
      </c>
      <c r="AZ76" s="13">
        <f>IFERROR(VLOOKUP($G76,'Visu totale'!$D$3:$DH$129,AZ$1,0),0)</f>
        <v>0</v>
      </c>
      <c r="BA76" s="13">
        <f>IFERROR(VLOOKUP($G76,'Visu totale'!$D$3:$DH$129,BA$1,0),0)</f>
        <v>0</v>
      </c>
      <c r="BB76" s="13">
        <f>IFERROR(VLOOKUP($G76,'Visu totale'!$D$3:$DH$129,BB$1,0),0)</f>
        <v>0</v>
      </c>
      <c r="BC76" s="15">
        <f>IFERROR(VLOOKUP($G76,'Visu totale'!$D$3:$DH$129,BC$1,0),0)</f>
        <v>0</v>
      </c>
      <c r="BD76" s="14">
        <f>IFERROR(VLOOKUP($G76,'Visu totale'!$D$3:$DH$129,BD$1,0),0)</f>
        <v>0</v>
      </c>
      <c r="BE76" s="13">
        <f>IFERROR(VLOOKUP($G76,'Visu totale'!$D$3:$DH$129,BE$1,0),0)</f>
        <v>0</v>
      </c>
      <c r="BF76" s="13">
        <f>IFERROR(VLOOKUP($G76,'Visu totale'!$D$3:$DH$129,BF$1,0),0)</f>
        <v>0</v>
      </c>
      <c r="BG76" s="13">
        <f>IFERROR(VLOOKUP($G76,'Visu totale'!$D$3:$DH$129,BG$1,0),0)</f>
        <v>0</v>
      </c>
      <c r="BH76" s="13">
        <f>IFERROR(VLOOKUP($G76,'Visu totale'!$D$3:$DH$129,BH$1,0),0)</f>
        <v>0</v>
      </c>
      <c r="BI76" s="13">
        <f>IFERROR(VLOOKUP($G76,'Visu totale'!$D$3:$DH$129,BI$1,0),0)</f>
        <v>0</v>
      </c>
      <c r="BJ76" s="13">
        <f>IFERROR(VLOOKUP($G76,'Visu totale'!$D$3:$DH$129,BJ$1,0),0)</f>
        <v>0</v>
      </c>
      <c r="BK76" s="13">
        <f>IFERROR(VLOOKUP($G76,'Visu totale'!$D$3:$DH$129,BK$1,0),0)</f>
        <v>0</v>
      </c>
      <c r="BL76" s="13">
        <f>IFERROR(VLOOKUP($G76,'Visu totale'!$D$3:$DH$129,BL$1,0),0)</f>
        <v>0</v>
      </c>
      <c r="BM76" s="13">
        <f>IFERROR(VLOOKUP($G76,'Visu totale'!$D$3:$DH$129,BM$1,0),0)</f>
        <v>0</v>
      </c>
      <c r="BN76" s="13">
        <f>IFERROR(VLOOKUP($G76,'Visu totale'!$D$3:$DH$129,BN$1,0),0)</f>
        <v>0</v>
      </c>
      <c r="BO76" s="15">
        <f>IFERROR(VLOOKUP($G76,'Visu totale'!$D$3:$DH$129,BO$1,0),0)</f>
        <v>0</v>
      </c>
      <c r="BP76" s="14">
        <f>IFERROR(VLOOKUP($G76,'Visu totale'!$D$3:$DH$129,BP$1,0),0)</f>
        <v>0</v>
      </c>
      <c r="BQ76" s="13">
        <f>IFERROR(VLOOKUP($G76,'Visu totale'!$D$3:$DH$129,BQ$1,0),0)</f>
        <v>0</v>
      </c>
      <c r="BR76" s="13">
        <f>IFERROR(VLOOKUP($G76,'Visu totale'!$D$3:$DH$129,BR$1,0),0)</f>
        <v>0</v>
      </c>
      <c r="BS76" s="13">
        <f>IFERROR(VLOOKUP($G76,'Visu totale'!$D$3:$DH$129,BS$1,0),0)</f>
        <v>0</v>
      </c>
      <c r="BT76" s="13">
        <f>IFERROR(VLOOKUP($G76,'Visu totale'!$D$3:$DH$129,BT$1,0),0)</f>
        <v>0</v>
      </c>
      <c r="BU76" s="13">
        <f>IFERROR(VLOOKUP($G76,'Visu totale'!$D$3:$DH$129,BU$1,0),0)</f>
        <v>0</v>
      </c>
      <c r="BV76" s="13">
        <f>IFERROR(VLOOKUP($G76,'Visu totale'!$D$3:$DH$129,BV$1,0),0)</f>
        <v>0</v>
      </c>
      <c r="BW76" s="13">
        <f>IFERROR(VLOOKUP($G76,'Visu totale'!$D$3:$DH$129,BW$1,0),0)</f>
        <v>0</v>
      </c>
      <c r="BX76" s="13">
        <f>IFERROR(VLOOKUP($G76,'Visu totale'!$D$3:$DH$129,BX$1,0),0)</f>
        <v>0</v>
      </c>
      <c r="BY76" s="13">
        <f>IFERROR(VLOOKUP($G76,'Visu totale'!$D$3:$DH$129,BY$1,0),0)</f>
        <v>0</v>
      </c>
      <c r="BZ76" s="13">
        <f>IFERROR(VLOOKUP($G76,'Visu totale'!$D$3:$DH$129,BZ$1,0),0)</f>
        <v>0</v>
      </c>
      <c r="CA76" s="15">
        <f>IFERROR(VLOOKUP($G76,'Visu totale'!$D$3:$DH$129,CA$1,0),0)</f>
        <v>0</v>
      </c>
      <c r="CB76" s="14">
        <f>IFERROR(VLOOKUP($G76,'Visu totale'!$D$3:$DH$129,CB$1,0),0)</f>
        <v>0</v>
      </c>
      <c r="CC76" s="13">
        <f>IFERROR(VLOOKUP($G76,'Visu totale'!$D$3:$DH$129,CC$1,0),0)</f>
        <v>0</v>
      </c>
      <c r="CD76" s="13">
        <f>IFERROR(VLOOKUP($G76,'Visu totale'!$D$3:$DH$129,CD$1,0),0)</f>
        <v>0</v>
      </c>
      <c r="CE76" s="13">
        <f>IFERROR(VLOOKUP($G76,'Visu totale'!$D$3:$DH$129,CE$1,0),0)</f>
        <v>0</v>
      </c>
      <c r="CF76" s="13">
        <f>IFERROR(VLOOKUP($G76,'Visu totale'!$D$3:$DH$129,CF$1,0),0)</f>
        <v>0</v>
      </c>
      <c r="CG76" s="13">
        <f>IFERROR(VLOOKUP($G76,'Visu totale'!$D$3:$DH$129,CG$1,0),0)</f>
        <v>0</v>
      </c>
      <c r="CH76" s="13">
        <f>IFERROR(VLOOKUP($G76,'Visu totale'!$D$3:$DH$129,CH$1,0),0)</f>
        <v>0</v>
      </c>
      <c r="CI76" s="13">
        <f>IFERROR(VLOOKUP($G76,'Visu totale'!$D$3:$DH$129,CI$1,0),0)</f>
        <v>0</v>
      </c>
      <c r="CJ76" s="13">
        <f>IFERROR(VLOOKUP($G76,'Visu totale'!$D$3:$DH$129,CJ$1,0),0)</f>
        <v>0</v>
      </c>
      <c r="CK76" s="13">
        <f>IFERROR(VLOOKUP($G76,'Visu totale'!$D$3:$DH$129,CK$1,0),0)</f>
        <v>0</v>
      </c>
      <c r="CL76" s="13">
        <f>IFERROR(VLOOKUP($G76,'Visu totale'!$D$3:$DH$129,CL$1,0),0)</f>
        <v>0</v>
      </c>
      <c r="CM76" s="15">
        <f>IFERROR(VLOOKUP($G76,'Visu totale'!$D$3:$DH$129,CM$1,0),0)</f>
        <v>0</v>
      </c>
      <c r="CN76" s="14">
        <f>IFERROR(VLOOKUP($G76,'Visu totale'!$D$3:$DH$129,CN$1,0),0)</f>
        <v>0</v>
      </c>
      <c r="CO76" s="13">
        <f>IFERROR(VLOOKUP($G76,'Visu totale'!$D$3:$DH$129,CO$1,0),0)</f>
        <v>0</v>
      </c>
      <c r="CP76" s="13">
        <f>IFERROR(VLOOKUP($G76,'Visu totale'!$D$3:$DH$129,CP$1,0),0)</f>
        <v>0</v>
      </c>
      <c r="CQ76" s="13">
        <f>IFERROR(VLOOKUP($G76,'Visu totale'!$D$3:$DH$129,CQ$1,0),0)</f>
        <v>0</v>
      </c>
      <c r="CR76" s="13">
        <f>IFERROR(VLOOKUP($G76,'Visu totale'!$D$3:$DH$129,CR$1,0),0)</f>
        <v>0</v>
      </c>
      <c r="CS76" s="13">
        <f>IFERROR(VLOOKUP($G76,'Visu totale'!$D$3:$DH$129,CS$1,0),0)</f>
        <v>0</v>
      </c>
      <c r="CT76" s="13">
        <f>IFERROR(VLOOKUP($G76,'Visu totale'!$D$3:$DH$129,CT$1,0),0)</f>
        <v>0</v>
      </c>
      <c r="CU76" s="13">
        <f>IFERROR(VLOOKUP($G76,'Visu totale'!$D$3:$DH$129,CU$1,0),0)</f>
        <v>0</v>
      </c>
      <c r="CV76" s="13">
        <f>IFERROR(VLOOKUP($G76,'Visu totale'!$D$3:$DH$129,CV$1,0),0)</f>
        <v>0</v>
      </c>
      <c r="CW76" s="13">
        <f>IFERROR(VLOOKUP($G76,'Visu totale'!$D$3:$DH$129,CW$1,0),0)</f>
        <v>0</v>
      </c>
      <c r="CX76" s="13">
        <f>IFERROR(VLOOKUP($G76,'Visu totale'!$D$3:$DH$129,CX$1,0),0)</f>
        <v>0</v>
      </c>
      <c r="CY76" s="15">
        <f>IFERROR(VLOOKUP($G76,'Visu totale'!$D$3:$DH$129,CY$1,0),0)</f>
        <v>0</v>
      </c>
      <c r="CZ76" s="14">
        <f>IFERROR(VLOOKUP($G76,'Visu totale'!$D$3:$DH$129,CZ$1,0),0)</f>
        <v>0</v>
      </c>
      <c r="DA76" s="13">
        <f>IFERROR(VLOOKUP($G76,'Visu totale'!$D$3:$DH$129,DA$1,0),0)</f>
        <v>0</v>
      </c>
      <c r="DB76" s="13">
        <f>IFERROR(VLOOKUP($G76,'Visu totale'!$D$3:$DH$129,DB$1,0),0)</f>
        <v>0</v>
      </c>
      <c r="DC76" s="13">
        <f>IFERROR(VLOOKUP($G76,'Visu totale'!$D$3:$DH$129,DC$1,0),0)</f>
        <v>0</v>
      </c>
      <c r="DD76" s="13">
        <f>IFERROR(VLOOKUP($G76,'Visu totale'!$D$3:$DH$129,DD$1,0),0)</f>
        <v>0</v>
      </c>
      <c r="DE76" s="13">
        <f>IFERROR(VLOOKUP($G76,'Visu totale'!$D$3:$DH$129,DE$1,0),0)</f>
        <v>0</v>
      </c>
      <c r="DF76" s="13">
        <f>IFERROR(VLOOKUP($G76,'Visu totale'!$D$3:$DH$129,DF$1,0),0)</f>
        <v>0</v>
      </c>
      <c r="DG76" s="13">
        <f>IFERROR(VLOOKUP($G76,'Visu totale'!$D$3:$DH$129,DG$1,0),0)</f>
        <v>0</v>
      </c>
      <c r="DH76" s="13">
        <f>IFERROR(VLOOKUP($G76,'Visu totale'!$D$3:$DH$129,DH$1,0),0)</f>
        <v>0</v>
      </c>
      <c r="DI76" s="13">
        <f>IFERROR(VLOOKUP($G76,'Visu totale'!$D$3:$DH$129,DI$1,0),0)</f>
        <v>0</v>
      </c>
      <c r="DJ76" s="13">
        <f>IFERROR(VLOOKUP($G76,'Visu totale'!$D$3:$DH$129,DJ$1,0),0)</f>
        <v>0</v>
      </c>
      <c r="DK76" s="15">
        <f>IFERROR(VLOOKUP($G76,'Visu totale'!$D$3:$DH$129,DK$1,0),0)</f>
        <v>0</v>
      </c>
    </row>
    <row r="77" spans="1:115" x14ac:dyDescent="0.25">
      <c r="A77" s="13"/>
      <c r="B77" s="13"/>
      <c r="C77" s="13"/>
      <c r="D77" s="16"/>
      <c r="E77" s="13"/>
      <c r="F77" s="13"/>
      <c r="G77" s="17" t="s">
        <v>79</v>
      </c>
      <c r="H77" s="14">
        <f>IFERROR(VLOOKUP($G77,'Visu totale'!$D$3:$DH$129,H$1,0),0)</f>
        <v>0</v>
      </c>
      <c r="I77" s="13">
        <f>IFERROR(VLOOKUP($G77,'Visu totale'!$D$3:$DH$129,I$1,0),0)</f>
        <v>0</v>
      </c>
      <c r="J77" s="13">
        <f>IFERROR(VLOOKUP($G77,'Visu totale'!$D$3:$DH$129,J$1,0),0)</f>
        <v>0</v>
      </c>
      <c r="K77" s="13">
        <f>IFERROR(VLOOKUP($G77,'Visu totale'!$D$3:$DH$129,K$1,0),0)</f>
        <v>0</v>
      </c>
      <c r="L77" s="13">
        <f>IFERROR(VLOOKUP($G77,'Visu totale'!$D$3:$DH$129,L$1,0),0)</f>
        <v>0</v>
      </c>
      <c r="M77" s="13">
        <f>IFERROR(VLOOKUP($G77,'Visu totale'!$D$3:$DH$129,M$1,0),0)</f>
        <v>0</v>
      </c>
      <c r="N77" s="13">
        <f>IFERROR(VLOOKUP($G77,'Visu totale'!$D$3:$DH$129,N$1,0),0)</f>
        <v>0</v>
      </c>
      <c r="O77" s="13">
        <f>IFERROR(VLOOKUP($G77,'Visu totale'!$D$3:$DH$129,O$1,0),0)</f>
        <v>0</v>
      </c>
      <c r="P77" s="13">
        <f>IFERROR(VLOOKUP($G77,'Visu totale'!$D$3:$DH$129,P$1,0),0)</f>
        <v>0</v>
      </c>
      <c r="Q77" s="13">
        <f>IFERROR(VLOOKUP($G77,'Visu totale'!$D$3:$DH$129,Q$1,0),0)</f>
        <v>0</v>
      </c>
      <c r="R77" s="13">
        <f>IFERROR(VLOOKUP($G77,'Visu totale'!$D$3:$DH$129,R$1,0),0)</f>
        <v>0</v>
      </c>
      <c r="S77" s="15">
        <f>IFERROR(VLOOKUP($G77,'Visu totale'!$D$3:$DH$129,S$1,0),0)</f>
        <v>0</v>
      </c>
      <c r="T77" s="14">
        <f>IFERROR(VLOOKUP($G77,'Visu totale'!$D$3:$DH$129,T$1,0),0)</f>
        <v>0</v>
      </c>
      <c r="U77" s="13">
        <f>IFERROR(VLOOKUP($G77,'Visu totale'!$D$3:$DH$129,U$1,0),0)</f>
        <v>0</v>
      </c>
      <c r="V77" s="13">
        <f>IFERROR(VLOOKUP($G77,'Visu totale'!$D$3:$DH$129,V$1,0),0)</f>
        <v>0</v>
      </c>
      <c r="W77" s="13">
        <f>IFERROR(VLOOKUP($G77,'Visu totale'!$D$3:$DH$129,W$1,0),0)</f>
        <v>0</v>
      </c>
      <c r="X77" s="13">
        <f>IFERROR(VLOOKUP($G77,'Visu totale'!$D$3:$DH$129,X$1,0),0)</f>
        <v>0</v>
      </c>
      <c r="Y77" s="13">
        <f>IFERROR(VLOOKUP($G77,'Visu totale'!$D$3:$DH$129,Y$1,0),0)</f>
        <v>0</v>
      </c>
      <c r="Z77" s="13">
        <f>IFERROR(VLOOKUP($G77,'Visu totale'!$D$3:$DH$129,Z$1,0),0)</f>
        <v>0</v>
      </c>
      <c r="AA77" s="13">
        <f>IFERROR(VLOOKUP($G77,'Visu totale'!$D$3:$DH$129,AA$1,0),0)</f>
        <v>0</v>
      </c>
      <c r="AB77" s="13">
        <f>IFERROR(VLOOKUP($G77,'Visu totale'!$D$3:$DH$129,AB$1,0),0)</f>
        <v>0</v>
      </c>
      <c r="AC77" s="13">
        <f>IFERROR(VLOOKUP($G77,'Visu totale'!$D$3:$DH$129,AC$1,0),0)</f>
        <v>0</v>
      </c>
      <c r="AD77" s="13">
        <f>IFERROR(VLOOKUP($G77,'Visu totale'!$D$3:$DH$129,AD$1,0),0)</f>
        <v>0</v>
      </c>
      <c r="AE77" s="15">
        <f>IFERROR(VLOOKUP($G77,'Visu totale'!$D$3:$DH$129,AE$1,0),0)</f>
        <v>0</v>
      </c>
      <c r="AF77" s="14">
        <f>IFERROR(VLOOKUP($G77,'Visu totale'!$D$3:$DH$129,AF$1,0),0)</f>
        <v>0</v>
      </c>
      <c r="AG77" s="13">
        <f>IFERROR(VLOOKUP($G77,'Visu totale'!$D$3:$DH$129,AG$1,0),0)</f>
        <v>0</v>
      </c>
      <c r="AH77" s="13">
        <f>IFERROR(VLOOKUP($G77,'Visu totale'!$D$3:$DH$129,AH$1,0),0)</f>
        <v>0</v>
      </c>
      <c r="AI77" s="13">
        <f>IFERROR(VLOOKUP($G77,'Visu totale'!$D$3:$DH$129,AI$1,0),0)</f>
        <v>0</v>
      </c>
      <c r="AJ77" s="13">
        <f>IFERROR(VLOOKUP($G77,'Visu totale'!$D$3:$DH$129,AJ$1,0),0)</f>
        <v>0</v>
      </c>
      <c r="AK77" s="13">
        <f>IFERROR(VLOOKUP($G77,'Visu totale'!$D$3:$DH$129,AK$1,0),0)</f>
        <v>0</v>
      </c>
      <c r="AL77" s="13">
        <f>IFERROR(VLOOKUP($G77,'Visu totale'!$D$3:$DH$129,AL$1,0),0)</f>
        <v>0</v>
      </c>
      <c r="AM77" s="13">
        <f>IFERROR(VLOOKUP($G77,'Visu totale'!$D$3:$DH$129,AM$1,0),0)</f>
        <v>0</v>
      </c>
      <c r="AN77" s="13">
        <f>IFERROR(VLOOKUP($G77,'Visu totale'!$D$3:$DH$129,AN$1,0),0)</f>
        <v>0</v>
      </c>
      <c r="AO77" s="13">
        <f>IFERROR(VLOOKUP($G77,'Visu totale'!$D$3:$DH$129,AO$1,0),0)</f>
        <v>0</v>
      </c>
      <c r="AP77" s="13">
        <f>IFERROR(VLOOKUP($G77,'Visu totale'!$D$3:$DH$129,AP$1,0),0)</f>
        <v>0</v>
      </c>
      <c r="AQ77" s="15">
        <f>IFERROR(VLOOKUP($G77,'Visu totale'!$D$3:$DH$129,AQ$1,0),0)</f>
        <v>0</v>
      </c>
      <c r="AR77" s="14">
        <f>IFERROR(VLOOKUP($G77,'Visu totale'!$D$3:$DH$129,AR$1,0),0)</f>
        <v>0</v>
      </c>
      <c r="AS77" s="13">
        <f>IFERROR(VLOOKUP($G77,'Visu totale'!$D$3:$DH$129,AS$1,0),0)</f>
        <v>0</v>
      </c>
      <c r="AT77" s="13">
        <f>IFERROR(VLOOKUP($G77,'Visu totale'!$D$3:$DH$129,AT$1,0),0)</f>
        <v>0</v>
      </c>
      <c r="AU77" s="13">
        <f>IFERROR(VLOOKUP($G77,'Visu totale'!$D$3:$DH$129,AU$1,0),0)</f>
        <v>0</v>
      </c>
      <c r="AV77" s="13">
        <f>IFERROR(VLOOKUP($G77,'Visu totale'!$D$3:$DH$129,AV$1,0),0)</f>
        <v>0</v>
      </c>
      <c r="AW77" s="13">
        <f>IFERROR(VLOOKUP($G77,'Visu totale'!$D$3:$DH$129,AW$1,0),0)</f>
        <v>0</v>
      </c>
      <c r="AX77" s="13">
        <f>IFERROR(VLOOKUP($G77,'Visu totale'!$D$3:$DH$129,AX$1,0),0)</f>
        <v>0</v>
      </c>
      <c r="AY77" s="13">
        <f>IFERROR(VLOOKUP($G77,'Visu totale'!$D$3:$DH$129,AY$1,0),0)</f>
        <v>0</v>
      </c>
      <c r="AZ77" s="13">
        <f>IFERROR(VLOOKUP($G77,'Visu totale'!$D$3:$DH$129,AZ$1,0),0)</f>
        <v>0</v>
      </c>
      <c r="BA77" s="13">
        <f>IFERROR(VLOOKUP($G77,'Visu totale'!$D$3:$DH$129,BA$1,0),0)</f>
        <v>0</v>
      </c>
      <c r="BB77" s="13">
        <f>IFERROR(VLOOKUP($G77,'Visu totale'!$D$3:$DH$129,BB$1,0),0)</f>
        <v>0</v>
      </c>
      <c r="BC77" s="15">
        <f>IFERROR(VLOOKUP($G77,'Visu totale'!$D$3:$DH$129,BC$1,0),0)</f>
        <v>0</v>
      </c>
      <c r="BD77" s="14">
        <f>IFERROR(VLOOKUP($G77,'Visu totale'!$D$3:$DH$129,BD$1,0),0)</f>
        <v>0</v>
      </c>
      <c r="BE77" s="13">
        <f>IFERROR(VLOOKUP($G77,'Visu totale'!$D$3:$DH$129,BE$1,0),0)</f>
        <v>0</v>
      </c>
      <c r="BF77" s="13">
        <f>IFERROR(VLOOKUP($G77,'Visu totale'!$D$3:$DH$129,BF$1,0),0)</f>
        <v>0</v>
      </c>
      <c r="BG77" s="13">
        <f>IFERROR(VLOOKUP($G77,'Visu totale'!$D$3:$DH$129,BG$1,0),0)</f>
        <v>0</v>
      </c>
      <c r="BH77" s="13">
        <f>IFERROR(VLOOKUP($G77,'Visu totale'!$D$3:$DH$129,BH$1,0),0)</f>
        <v>0</v>
      </c>
      <c r="BI77" s="13">
        <f>IFERROR(VLOOKUP($G77,'Visu totale'!$D$3:$DH$129,BI$1,0),0)</f>
        <v>0</v>
      </c>
      <c r="BJ77" s="13">
        <f>IFERROR(VLOOKUP($G77,'Visu totale'!$D$3:$DH$129,BJ$1,0),0)</f>
        <v>0</v>
      </c>
      <c r="BK77" s="13">
        <f>IFERROR(VLOOKUP($G77,'Visu totale'!$D$3:$DH$129,BK$1,0),0)</f>
        <v>0</v>
      </c>
      <c r="BL77" s="13">
        <f>IFERROR(VLOOKUP($G77,'Visu totale'!$D$3:$DH$129,BL$1,0),0)</f>
        <v>0</v>
      </c>
      <c r="BM77" s="13">
        <f>IFERROR(VLOOKUP($G77,'Visu totale'!$D$3:$DH$129,BM$1,0),0)</f>
        <v>0</v>
      </c>
      <c r="BN77" s="13">
        <f>IFERROR(VLOOKUP($G77,'Visu totale'!$D$3:$DH$129,BN$1,0),0)</f>
        <v>0</v>
      </c>
      <c r="BO77" s="15">
        <f>IFERROR(VLOOKUP($G77,'Visu totale'!$D$3:$DH$129,BO$1,0),0)</f>
        <v>0</v>
      </c>
      <c r="BP77" s="14">
        <f>IFERROR(VLOOKUP($G77,'Visu totale'!$D$3:$DH$129,BP$1,0),0)</f>
        <v>0</v>
      </c>
      <c r="BQ77" s="13">
        <f>IFERROR(VLOOKUP($G77,'Visu totale'!$D$3:$DH$129,BQ$1,0),0)</f>
        <v>0</v>
      </c>
      <c r="BR77" s="13">
        <f>IFERROR(VLOOKUP($G77,'Visu totale'!$D$3:$DH$129,BR$1,0),0)</f>
        <v>0</v>
      </c>
      <c r="BS77" s="13">
        <f>IFERROR(VLOOKUP($G77,'Visu totale'!$D$3:$DH$129,BS$1,0),0)</f>
        <v>0</v>
      </c>
      <c r="BT77" s="13">
        <f>IFERROR(VLOOKUP($G77,'Visu totale'!$D$3:$DH$129,BT$1,0),0)</f>
        <v>0</v>
      </c>
      <c r="BU77" s="13">
        <f>IFERROR(VLOOKUP($G77,'Visu totale'!$D$3:$DH$129,BU$1,0),0)</f>
        <v>0</v>
      </c>
      <c r="BV77" s="13">
        <f>IFERROR(VLOOKUP($G77,'Visu totale'!$D$3:$DH$129,BV$1,0),0)</f>
        <v>0</v>
      </c>
      <c r="BW77" s="13">
        <f>IFERROR(VLOOKUP($G77,'Visu totale'!$D$3:$DH$129,BW$1,0),0)</f>
        <v>0</v>
      </c>
      <c r="BX77" s="13">
        <f>IFERROR(VLOOKUP($G77,'Visu totale'!$D$3:$DH$129,BX$1,0),0)</f>
        <v>0</v>
      </c>
      <c r="BY77" s="13">
        <f>IFERROR(VLOOKUP($G77,'Visu totale'!$D$3:$DH$129,BY$1,0),0)</f>
        <v>0</v>
      </c>
      <c r="BZ77" s="13">
        <f>IFERROR(VLOOKUP($G77,'Visu totale'!$D$3:$DH$129,BZ$1,0),0)</f>
        <v>0</v>
      </c>
      <c r="CA77" s="15">
        <f>IFERROR(VLOOKUP($G77,'Visu totale'!$D$3:$DH$129,CA$1,0),0)</f>
        <v>0</v>
      </c>
      <c r="CB77" s="14">
        <f>IFERROR(VLOOKUP($G77,'Visu totale'!$D$3:$DH$129,CB$1,0),0)</f>
        <v>0</v>
      </c>
      <c r="CC77" s="13">
        <f>IFERROR(VLOOKUP($G77,'Visu totale'!$D$3:$DH$129,CC$1,0),0)</f>
        <v>0</v>
      </c>
      <c r="CD77" s="13">
        <f>IFERROR(VLOOKUP($G77,'Visu totale'!$D$3:$DH$129,CD$1,0),0)</f>
        <v>0</v>
      </c>
      <c r="CE77" s="13">
        <f>IFERROR(VLOOKUP($G77,'Visu totale'!$D$3:$DH$129,CE$1,0),0)</f>
        <v>0</v>
      </c>
      <c r="CF77" s="13">
        <f>IFERROR(VLOOKUP($G77,'Visu totale'!$D$3:$DH$129,CF$1,0),0)</f>
        <v>0</v>
      </c>
      <c r="CG77" s="13">
        <f>IFERROR(VLOOKUP($G77,'Visu totale'!$D$3:$DH$129,CG$1,0),0)</f>
        <v>0</v>
      </c>
      <c r="CH77" s="13">
        <f>IFERROR(VLOOKUP($G77,'Visu totale'!$D$3:$DH$129,CH$1,0),0)</f>
        <v>0</v>
      </c>
      <c r="CI77" s="13">
        <f>IFERROR(VLOOKUP($G77,'Visu totale'!$D$3:$DH$129,CI$1,0),0)</f>
        <v>0</v>
      </c>
      <c r="CJ77" s="13">
        <f>IFERROR(VLOOKUP($G77,'Visu totale'!$D$3:$DH$129,CJ$1,0),0)</f>
        <v>0</v>
      </c>
      <c r="CK77" s="13">
        <f>IFERROR(VLOOKUP($G77,'Visu totale'!$D$3:$DH$129,CK$1,0),0)</f>
        <v>0</v>
      </c>
      <c r="CL77" s="13">
        <f>IFERROR(VLOOKUP($G77,'Visu totale'!$D$3:$DH$129,CL$1,0),0)</f>
        <v>0</v>
      </c>
      <c r="CM77" s="15">
        <f>IFERROR(VLOOKUP($G77,'Visu totale'!$D$3:$DH$129,CM$1,0),0)</f>
        <v>0</v>
      </c>
      <c r="CN77" s="14">
        <f>IFERROR(VLOOKUP($G77,'Visu totale'!$D$3:$DH$129,CN$1,0),0)</f>
        <v>0</v>
      </c>
      <c r="CO77" s="13">
        <f>IFERROR(VLOOKUP($G77,'Visu totale'!$D$3:$DH$129,CO$1,0),0)</f>
        <v>0</v>
      </c>
      <c r="CP77" s="13">
        <f>IFERROR(VLOOKUP($G77,'Visu totale'!$D$3:$DH$129,CP$1,0),0)</f>
        <v>0</v>
      </c>
      <c r="CQ77" s="13">
        <f>IFERROR(VLOOKUP($G77,'Visu totale'!$D$3:$DH$129,CQ$1,0),0)</f>
        <v>0</v>
      </c>
      <c r="CR77" s="13">
        <f>IFERROR(VLOOKUP($G77,'Visu totale'!$D$3:$DH$129,CR$1,0),0)</f>
        <v>0</v>
      </c>
      <c r="CS77" s="13">
        <f>IFERROR(VLOOKUP($G77,'Visu totale'!$D$3:$DH$129,CS$1,0),0)</f>
        <v>0</v>
      </c>
      <c r="CT77" s="13">
        <f>IFERROR(VLOOKUP($G77,'Visu totale'!$D$3:$DH$129,CT$1,0),0)</f>
        <v>0</v>
      </c>
      <c r="CU77" s="13">
        <f>IFERROR(VLOOKUP($G77,'Visu totale'!$D$3:$DH$129,CU$1,0),0)</f>
        <v>0</v>
      </c>
      <c r="CV77" s="13">
        <f>IFERROR(VLOOKUP($G77,'Visu totale'!$D$3:$DH$129,CV$1,0),0)</f>
        <v>0</v>
      </c>
      <c r="CW77" s="13">
        <f>IFERROR(VLOOKUP($G77,'Visu totale'!$D$3:$DH$129,CW$1,0),0)</f>
        <v>0</v>
      </c>
      <c r="CX77" s="13">
        <f>IFERROR(VLOOKUP($G77,'Visu totale'!$D$3:$DH$129,CX$1,0),0)</f>
        <v>0</v>
      </c>
      <c r="CY77" s="15">
        <f>IFERROR(VLOOKUP($G77,'Visu totale'!$D$3:$DH$129,CY$1,0),0)</f>
        <v>0</v>
      </c>
      <c r="CZ77" s="14">
        <f>IFERROR(VLOOKUP($G77,'Visu totale'!$D$3:$DH$129,CZ$1,0),0)</f>
        <v>0</v>
      </c>
      <c r="DA77" s="13">
        <f>IFERROR(VLOOKUP($G77,'Visu totale'!$D$3:$DH$129,DA$1,0),0)</f>
        <v>0</v>
      </c>
      <c r="DB77" s="13">
        <f>IFERROR(VLOOKUP($G77,'Visu totale'!$D$3:$DH$129,DB$1,0),0)</f>
        <v>0</v>
      </c>
      <c r="DC77" s="13">
        <f>IFERROR(VLOOKUP($G77,'Visu totale'!$D$3:$DH$129,DC$1,0),0)</f>
        <v>0</v>
      </c>
      <c r="DD77" s="13">
        <f>IFERROR(VLOOKUP($G77,'Visu totale'!$D$3:$DH$129,DD$1,0),0)</f>
        <v>0</v>
      </c>
      <c r="DE77" s="13">
        <f>IFERROR(VLOOKUP($G77,'Visu totale'!$D$3:$DH$129,DE$1,0),0)</f>
        <v>0</v>
      </c>
      <c r="DF77" s="13">
        <f>IFERROR(VLOOKUP($G77,'Visu totale'!$D$3:$DH$129,DF$1,0),0)</f>
        <v>0</v>
      </c>
      <c r="DG77" s="13">
        <f>IFERROR(VLOOKUP($G77,'Visu totale'!$D$3:$DH$129,DG$1,0),0)</f>
        <v>0</v>
      </c>
      <c r="DH77" s="13">
        <f>IFERROR(VLOOKUP($G77,'Visu totale'!$D$3:$DH$129,DH$1,0),0)</f>
        <v>0</v>
      </c>
      <c r="DI77" s="13">
        <f>IFERROR(VLOOKUP($G77,'Visu totale'!$D$3:$DH$129,DI$1,0),0)</f>
        <v>0</v>
      </c>
      <c r="DJ77" s="13">
        <f>IFERROR(VLOOKUP($G77,'Visu totale'!$D$3:$DH$129,DJ$1,0),0)</f>
        <v>0</v>
      </c>
      <c r="DK77" s="15">
        <f>IFERROR(VLOOKUP($G77,'Visu totale'!$D$3:$DH$129,DK$1,0),0)</f>
        <v>0</v>
      </c>
    </row>
  </sheetData>
  <mergeCells count="9">
    <mergeCell ref="CB2:CM2"/>
    <mergeCell ref="CN2:CY2"/>
    <mergeCell ref="CZ2:DK2"/>
    <mergeCell ref="H2:S2"/>
    <mergeCell ref="T2:AE2"/>
    <mergeCell ref="AF2:AQ2"/>
    <mergeCell ref="AR2:BC2"/>
    <mergeCell ref="BD2:BO2"/>
    <mergeCell ref="BP2:CA2"/>
  </mergeCells>
  <conditionalFormatting sqref="H4:DK77">
    <cfRule type="beginsWith" dxfId="14" priority="1" operator="beginsWith" text="S">
      <formula>LEFT(H4,LEN("S"))="S"</formula>
    </cfRule>
    <cfRule type="cellIs" dxfId="13" priority="2" operator="equal">
      <formula>"x"</formula>
    </cfRule>
    <cfRule type="beginsWith" dxfId="12" priority="3" operator="beginsWith" text="V">
      <formula>LEFT(H4,LEN("V"))="V"</formula>
    </cfRule>
    <cfRule type="cellIs" dxfId="11" priority="4" operator="greaterThan">
      <formula>25</formula>
    </cfRule>
    <cfRule type="cellIs" dxfId="10" priority="5" operator="greaterThanOrEqual">
      <formula>22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J32"/>
  <sheetViews>
    <sheetView zoomScale="55" zoomScaleNormal="55" workbookViewId="0">
      <pane xSplit="6" ySplit="3" topLeftCell="CM4" activePane="bottomRight" state="frozen"/>
      <selection pane="topRight" activeCell="E1" sqref="E1"/>
      <selection pane="bottomLeft" activeCell="A3" sqref="A3"/>
      <selection pane="bottomRight" activeCell="CY2" sqref="CY2:DJ2"/>
    </sheetView>
  </sheetViews>
  <sheetFormatPr defaultColWidth="9.140625" defaultRowHeight="15" x14ac:dyDescent="0.25"/>
  <cols>
    <col min="1" max="1" width="6.5703125" bestFit="1" customWidth="1"/>
    <col min="2" max="2" width="11.5703125" bestFit="1" customWidth="1"/>
    <col min="3" max="3" width="16.7109375" bestFit="1" customWidth="1"/>
    <col min="4" max="4" width="9" bestFit="1" customWidth="1"/>
    <col min="5" max="5" width="13.85546875" bestFit="1" customWidth="1"/>
    <col min="6" max="6" width="9.7109375" bestFit="1" customWidth="1"/>
    <col min="7" max="7" width="6.140625" bestFit="1" customWidth="1"/>
    <col min="8" max="8" width="6.5703125" bestFit="1" customWidth="1"/>
    <col min="9" max="9" width="6.85546875" bestFit="1" customWidth="1"/>
    <col min="10" max="10" width="6.5703125" bestFit="1" customWidth="1"/>
    <col min="11" max="11" width="7.140625" bestFit="1" customWidth="1"/>
    <col min="12" max="12" width="6.140625" bestFit="1" customWidth="1"/>
    <col min="13" max="13" width="5.5703125" bestFit="1" customWidth="1"/>
    <col min="14" max="14" width="6.85546875" bestFit="1" customWidth="1"/>
    <col min="15" max="15" width="6.5703125" bestFit="1" customWidth="1"/>
    <col min="16" max="16" width="6.42578125" bestFit="1" customWidth="1"/>
    <col min="17" max="17" width="6.85546875" bestFit="1" customWidth="1"/>
    <col min="18" max="18" width="6.5703125" bestFit="1" customWidth="1"/>
    <col min="19" max="19" width="6.140625" bestFit="1" customWidth="1"/>
    <col min="20" max="20" width="6.5703125" bestFit="1" customWidth="1"/>
    <col min="21" max="21" width="6.85546875" bestFit="1" customWidth="1"/>
    <col min="22" max="22" width="6.5703125" bestFit="1" customWidth="1"/>
    <col min="23" max="23" width="7.140625" bestFit="1" customWidth="1"/>
    <col min="24" max="24" width="6.140625" bestFit="1" customWidth="1"/>
    <col min="25" max="25" width="5.5703125" bestFit="1" customWidth="1"/>
    <col min="26" max="26" width="6.85546875" bestFit="1" customWidth="1"/>
    <col min="27" max="27" width="6.5703125" bestFit="1" customWidth="1"/>
    <col min="28" max="28" width="6.42578125" bestFit="1" customWidth="1"/>
    <col min="29" max="29" width="6.85546875" bestFit="1" customWidth="1"/>
    <col min="30" max="30" width="6.5703125" bestFit="1" customWidth="1"/>
    <col min="31" max="31" width="6.140625" bestFit="1" customWidth="1"/>
    <col min="32" max="32" width="6.5703125" bestFit="1" customWidth="1"/>
    <col min="33" max="33" width="6.85546875" bestFit="1" customWidth="1"/>
    <col min="34" max="34" width="6.5703125" bestFit="1" customWidth="1"/>
    <col min="35" max="35" width="7.140625" bestFit="1" customWidth="1"/>
    <col min="36" max="36" width="6.140625" bestFit="1" customWidth="1"/>
    <col min="37" max="37" width="5.5703125" bestFit="1" customWidth="1"/>
    <col min="38" max="38" width="6.85546875" bestFit="1" customWidth="1"/>
    <col min="39" max="39" width="6.5703125" bestFit="1" customWidth="1"/>
    <col min="40" max="40" width="6.42578125" bestFit="1" customWidth="1"/>
    <col min="41" max="41" width="6.85546875" bestFit="1" customWidth="1"/>
    <col min="42" max="42" width="6.5703125" bestFit="1" customWidth="1"/>
    <col min="43" max="43" width="6.140625" bestFit="1" customWidth="1"/>
    <col min="44" max="44" width="6.5703125" bestFit="1" customWidth="1"/>
    <col min="45" max="45" width="6.85546875" bestFit="1" customWidth="1"/>
    <col min="46" max="46" width="6.5703125" bestFit="1" customWidth="1"/>
    <col min="47" max="47" width="7.140625" bestFit="1" customWidth="1"/>
    <col min="48" max="48" width="6.140625" bestFit="1" customWidth="1"/>
    <col min="49" max="49" width="5.5703125" bestFit="1" customWidth="1"/>
    <col min="50" max="50" width="6.85546875" bestFit="1" customWidth="1"/>
    <col min="51" max="51" width="6.5703125" bestFit="1" customWidth="1"/>
    <col min="52" max="52" width="6.42578125" bestFit="1" customWidth="1"/>
    <col min="53" max="53" width="6.85546875" bestFit="1" customWidth="1"/>
    <col min="54" max="54" width="6.5703125" bestFit="1" customWidth="1"/>
    <col min="55" max="55" width="6.140625" bestFit="1" customWidth="1"/>
    <col min="56" max="56" width="6.5703125" bestFit="1" customWidth="1"/>
    <col min="57" max="57" width="6.85546875" bestFit="1" customWidth="1"/>
    <col min="58" max="58" width="6.5703125" bestFit="1" customWidth="1"/>
    <col min="59" max="59" width="7.140625" bestFit="1" customWidth="1"/>
    <col min="60" max="60" width="6.140625" bestFit="1" customWidth="1"/>
    <col min="61" max="61" width="5.5703125" bestFit="1" customWidth="1"/>
    <col min="62" max="62" width="6.85546875" bestFit="1" customWidth="1"/>
    <col min="63" max="63" width="6.5703125" bestFit="1" customWidth="1"/>
    <col min="64" max="64" width="6.42578125" bestFit="1" customWidth="1"/>
    <col min="65" max="65" width="6.85546875" bestFit="1" customWidth="1"/>
    <col min="66" max="66" width="6.5703125" bestFit="1" customWidth="1"/>
    <col min="67" max="67" width="6.140625" bestFit="1" customWidth="1"/>
    <col min="68" max="68" width="6.5703125" bestFit="1" customWidth="1"/>
    <col min="69" max="69" width="6.85546875" bestFit="1" customWidth="1"/>
    <col min="70" max="70" width="6.5703125" bestFit="1" customWidth="1"/>
    <col min="71" max="71" width="7.140625" bestFit="1" customWidth="1"/>
    <col min="72" max="72" width="6.140625" bestFit="1" customWidth="1"/>
    <col min="73" max="73" width="5.5703125" bestFit="1" customWidth="1"/>
    <col min="74" max="74" width="6.85546875" bestFit="1" customWidth="1"/>
    <col min="75" max="75" width="6.5703125" bestFit="1" customWidth="1"/>
    <col min="76" max="76" width="6.42578125" bestFit="1" customWidth="1"/>
    <col min="77" max="77" width="6.85546875" bestFit="1" customWidth="1"/>
    <col min="78" max="78" width="6.5703125" bestFit="1" customWidth="1"/>
    <col min="79" max="79" width="6.140625" bestFit="1" customWidth="1"/>
    <col min="80" max="80" width="6.5703125" bestFit="1" customWidth="1"/>
    <col min="81" max="81" width="6.85546875" bestFit="1" customWidth="1"/>
    <col min="82" max="82" width="6.5703125" bestFit="1" customWidth="1"/>
    <col min="83" max="83" width="7.140625" bestFit="1" customWidth="1"/>
    <col min="84" max="84" width="6.140625" bestFit="1" customWidth="1"/>
    <col min="85" max="85" width="5.5703125" bestFit="1" customWidth="1"/>
    <col min="86" max="86" width="6.85546875" bestFit="1" customWidth="1"/>
    <col min="87" max="87" width="6.5703125" bestFit="1" customWidth="1"/>
    <col min="88" max="88" width="6.42578125" bestFit="1" customWidth="1"/>
    <col min="89" max="89" width="6.85546875" bestFit="1" customWidth="1"/>
    <col min="90" max="90" width="6.5703125" bestFit="1" customWidth="1"/>
    <col min="91" max="91" width="6.140625" bestFit="1" customWidth="1"/>
    <col min="92" max="92" width="6.5703125" bestFit="1" customWidth="1"/>
    <col min="93" max="93" width="6.85546875" bestFit="1" customWidth="1"/>
    <col min="94" max="94" width="6.5703125" bestFit="1" customWidth="1"/>
    <col min="95" max="95" width="7.140625" bestFit="1" customWidth="1"/>
    <col min="96" max="97" width="6.5703125" bestFit="1" customWidth="1"/>
    <col min="98" max="98" width="6.85546875" bestFit="1" customWidth="1"/>
    <col min="99" max="99" width="6.5703125" bestFit="1" customWidth="1"/>
    <col min="100" max="100" width="6.42578125" bestFit="1" customWidth="1"/>
    <col min="101" max="101" width="6.85546875" bestFit="1" customWidth="1"/>
    <col min="102" max="102" width="6.5703125" bestFit="1" customWidth="1"/>
    <col min="103" max="103" width="6.140625" bestFit="1" customWidth="1"/>
    <col min="104" max="104" width="6.5703125" bestFit="1" customWidth="1"/>
    <col min="105" max="105" width="6.85546875" bestFit="1" customWidth="1"/>
    <col min="106" max="106" width="6.5703125" bestFit="1" customWidth="1"/>
    <col min="107" max="107" width="7.140625" bestFit="1" customWidth="1"/>
    <col min="108" max="108" width="6.140625" bestFit="1" customWidth="1"/>
    <col min="109" max="109" width="5.5703125" bestFit="1" customWidth="1"/>
    <col min="110" max="110" width="6.85546875" bestFit="1" customWidth="1"/>
    <col min="111" max="111" width="6.5703125" bestFit="1" customWidth="1"/>
    <col min="112" max="112" width="6.42578125" bestFit="1" customWidth="1"/>
    <col min="113" max="113" width="6.85546875" bestFit="1" customWidth="1"/>
    <col min="114" max="114" width="6.5703125" bestFit="1" customWidth="1"/>
  </cols>
  <sheetData>
    <row r="1" spans="1:114" ht="15.75" hidden="1" thickBot="1" x14ac:dyDescent="0.3">
      <c r="G1">
        <v>2</v>
      </c>
      <c r="H1">
        <v>3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  <c r="P1">
        <v>11</v>
      </c>
      <c r="Q1">
        <v>12</v>
      </c>
      <c r="R1">
        <v>13</v>
      </c>
      <c r="S1">
        <v>14</v>
      </c>
      <c r="T1">
        <v>15</v>
      </c>
      <c r="U1">
        <v>16</v>
      </c>
      <c r="V1">
        <v>17</v>
      </c>
      <c r="W1">
        <v>18</v>
      </c>
      <c r="X1">
        <v>19</v>
      </c>
      <c r="Y1">
        <v>20</v>
      </c>
      <c r="Z1">
        <v>21</v>
      </c>
      <c r="AA1">
        <v>22</v>
      </c>
      <c r="AB1">
        <v>23</v>
      </c>
      <c r="AC1">
        <v>24</v>
      </c>
      <c r="AD1">
        <v>25</v>
      </c>
      <c r="AE1">
        <v>26</v>
      </c>
      <c r="AF1">
        <v>27</v>
      </c>
      <c r="AG1">
        <v>28</v>
      </c>
      <c r="AH1">
        <v>29</v>
      </c>
      <c r="AI1">
        <v>30</v>
      </c>
      <c r="AJ1">
        <v>31</v>
      </c>
      <c r="AK1">
        <v>32</v>
      </c>
      <c r="AL1">
        <v>33</v>
      </c>
      <c r="AM1">
        <v>34</v>
      </c>
      <c r="AN1">
        <v>35</v>
      </c>
      <c r="AO1">
        <v>36</v>
      </c>
      <c r="AP1">
        <v>37</v>
      </c>
      <c r="AQ1">
        <v>38</v>
      </c>
      <c r="AR1">
        <v>39</v>
      </c>
      <c r="AS1">
        <v>40</v>
      </c>
      <c r="AT1">
        <v>41</v>
      </c>
      <c r="AU1">
        <v>42</v>
      </c>
      <c r="AV1">
        <v>43</v>
      </c>
      <c r="AW1">
        <v>44</v>
      </c>
      <c r="AX1">
        <v>45</v>
      </c>
      <c r="AY1">
        <v>46</v>
      </c>
      <c r="AZ1">
        <v>47</v>
      </c>
      <c r="BA1">
        <v>48</v>
      </c>
      <c r="BB1">
        <v>49</v>
      </c>
      <c r="BC1">
        <v>50</v>
      </c>
      <c r="BD1">
        <v>51</v>
      </c>
      <c r="BE1">
        <v>52</v>
      </c>
      <c r="BF1">
        <v>53</v>
      </c>
      <c r="BG1">
        <v>54</v>
      </c>
      <c r="BH1">
        <v>55</v>
      </c>
      <c r="BI1">
        <v>56</v>
      </c>
      <c r="BJ1">
        <v>57</v>
      </c>
      <c r="BK1">
        <v>58</v>
      </c>
      <c r="BL1">
        <v>59</v>
      </c>
      <c r="BM1">
        <v>60</v>
      </c>
      <c r="BN1">
        <v>61</v>
      </c>
      <c r="BO1">
        <v>62</v>
      </c>
      <c r="BP1">
        <v>63</v>
      </c>
      <c r="BQ1">
        <v>64</v>
      </c>
      <c r="BR1">
        <v>65</v>
      </c>
      <c r="BS1">
        <v>66</v>
      </c>
      <c r="BT1">
        <v>67</v>
      </c>
      <c r="BU1">
        <v>68</v>
      </c>
      <c r="BV1">
        <v>69</v>
      </c>
      <c r="BW1">
        <v>70</v>
      </c>
      <c r="BX1">
        <v>71</v>
      </c>
      <c r="BY1">
        <v>72</v>
      </c>
      <c r="BZ1">
        <v>73</v>
      </c>
      <c r="CA1">
        <v>74</v>
      </c>
      <c r="CB1">
        <v>75</v>
      </c>
      <c r="CC1">
        <v>76</v>
      </c>
      <c r="CD1">
        <v>77</v>
      </c>
      <c r="CE1">
        <v>78</v>
      </c>
      <c r="CF1">
        <v>79</v>
      </c>
      <c r="CG1">
        <v>80</v>
      </c>
      <c r="CH1">
        <v>81</v>
      </c>
      <c r="CI1">
        <v>82</v>
      </c>
      <c r="CJ1">
        <v>83</v>
      </c>
      <c r="CK1">
        <v>84</v>
      </c>
      <c r="CL1">
        <v>85</v>
      </c>
      <c r="CM1">
        <v>86</v>
      </c>
      <c r="CN1">
        <v>87</v>
      </c>
      <c r="CO1">
        <v>88</v>
      </c>
      <c r="CP1">
        <v>89</v>
      </c>
      <c r="CQ1">
        <v>90</v>
      </c>
      <c r="CR1">
        <v>91</v>
      </c>
      <c r="CS1">
        <v>92</v>
      </c>
      <c r="CT1">
        <v>93</v>
      </c>
      <c r="CU1">
        <v>94</v>
      </c>
      <c r="CV1">
        <v>95</v>
      </c>
      <c r="CW1">
        <v>96</v>
      </c>
      <c r="CX1">
        <v>97</v>
      </c>
      <c r="CY1">
        <v>98</v>
      </c>
      <c r="CZ1">
        <v>99</v>
      </c>
      <c r="DA1">
        <v>100</v>
      </c>
      <c r="DB1">
        <v>101</v>
      </c>
      <c r="DC1">
        <v>102</v>
      </c>
      <c r="DD1">
        <v>103</v>
      </c>
      <c r="DE1">
        <v>104</v>
      </c>
      <c r="DF1">
        <v>105</v>
      </c>
      <c r="DG1">
        <v>106</v>
      </c>
      <c r="DH1">
        <v>107</v>
      </c>
      <c r="DI1">
        <v>108</v>
      </c>
      <c r="DJ1">
        <v>109</v>
      </c>
    </row>
    <row r="2" spans="1:114" ht="20.25" x14ac:dyDescent="0.25">
      <c r="A2" s="11"/>
      <c r="B2" s="11"/>
      <c r="C2" s="11"/>
      <c r="D2" s="11"/>
      <c r="E2" s="11"/>
      <c r="F2" s="11"/>
      <c r="G2" s="32">
        <f>YEAR(DATE(2017,1,1))</f>
        <v>2017</v>
      </c>
      <c r="H2" s="33"/>
      <c r="I2" s="33"/>
      <c r="J2" s="33"/>
      <c r="K2" s="33"/>
      <c r="L2" s="33"/>
      <c r="M2" s="33"/>
      <c r="N2" s="33"/>
      <c r="O2" s="33"/>
      <c r="P2" s="33"/>
      <c r="Q2" s="33"/>
      <c r="R2" s="34"/>
      <c r="S2" s="32">
        <f>YEAR(DATE(2017,13,1))</f>
        <v>2018</v>
      </c>
      <c r="T2" s="33"/>
      <c r="U2" s="33"/>
      <c r="V2" s="33"/>
      <c r="W2" s="33"/>
      <c r="X2" s="33"/>
      <c r="Y2" s="33"/>
      <c r="Z2" s="33"/>
      <c r="AA2" s="33"/>
      <c r="AB2" s="33"/>
      <c r="AC2" s="33"/>
      <c r="AD2" s="34"/>
      <c r="AE2" s="32">
        <f>YEAR(DATE(2017,25,1))</f>
        <v>2019</v>
      </c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4"/>
      <c r="AQ2" s="32">
        <f>YEAR(DATE(2017,37,1))</f>
        <v>2020</v>
      </c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4"/>
      <c r="BC2" s="32">
        <f>YEAR(DATE(2017,49,1))</f>
        <v>2021</v>
      </c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4"/>
      <c r="BO2" s="32">
        <f>YEAR(DATE(2017,61,1))</f>
        <v>2022</v>
      </c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4"/>
      <c r="CA2" s="32">
        <f>YEAR(DATE(2017,73,1))</f>
        <v>2023</v>
      </c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4"/>
      <c r="CM2" s="32">
        <f>YEAR(DATE(2017,85,1))</f>
        <v>2024</v>
      </c>
      <c r="CN2" s="33"/>
      <c r="CO2" s="33"/>
      <c r="CP2" s="33"/>
      <c r="CQ2" s="33"/>
      <c r="CR2" s="33"/>
      <c r="CS2" s="33"/>
      <c r="CT2" s="33"/>
      <c r="CU2" s="33"/>
      <c r="CV2" s="33"/>
      <c r="CW2" s="33"/>
      <c r="CX2" s="34"/>
      <c r="CY2" s="32">
        <f>YEAR(DATE(2017,97,1))</f>
        <v>2025</v>
      </c>
      <c r="CZ2" s="33"/>
      <c r="DA2" s="33"/>
      <c r="DB2" s="33"/>
      <c r="DC2" s="33"/>
      <c r="DD2" s="33"/>
      <c r="DE2" s="33"/>
      <c r="DF2" s="33"/>
      <c r="DG2" s="33"/>
      <c r="DH2" s="33"/>
      <c r="DI2" s="33"/>
      <c r="DJ2" s="34"/>
    </row>
    <row r="3" spans="1:114" x14ac:dyDescent="0.25">
      <c r="A3" s="7" t="s">
        <v>141</v>
      </c>
      <c r="B3" s="7" t="s">
        <v>145</v>
      </c>
      <c r="C3" s="7" t="s">
        <v>148</v>
      </c>
      <c r="D3" s="7" t="s">
        <v>142</v>
      </c>
      <c r="E3" s="7" t="s">
        <v>143</v>
      </c>
      <c r="F3" s="7" t="s">
        <v>144</v>
      </c>
      <c r="G3" s="8">
        <f>DATE(2017,1,1)</f>
        <v>42736</v>
      </c>
      <c r="H3" s="9">
        <f>DATE(2017,2,1)</f>
        <v>42767</v>
      </c>
      <c r="I3" s="9">
        <f>DATE(2017,3,1)</f>
        <v>42795</v>
      </c>
      <c r="J3" s="9">
        <f>DATE(2017,4,1)</f>
        <v>42826</v>
      </c>
      <c r="K3" s="9">
        <f>DATE(2017,5,1)</f>
        <v>42856</v>
      </c>
      <c r="L3" s="9">
        <f>DATE(2017,6,1)</f>
        <v>42887</v>
      </c>
      <c r="M3" s="9">
        <f>DATE(2017,7,1)</f>
        <v>42917</v>
      </c>
      <c r="N3" s="9">
        <f>DATE(2017,8,1)</f>
        <v>42948</v>
      </c>
      <c r="O3" s="9">
        <f>DATE(2017,9,1)</f>
        <v>42979</v>
      </c>
      <c r="P3" s="9">
        <f>DATE(2017,10,1)</f>
        <v>43009</v>
      </c>
      <c r="Q3" s="9">
        <f>DATE(2017,11,1)</f>
        <v>43040</v>
      </c>
      <c r="R3" s="10">
        <f>DATE(2017,12,1)</f>
        <v>43070</v>
      </c>
      <c r="S3" s="8">
        <f>DATE(2017,13,1)</f>
        <v>43101</v>
      </c>
      <c r="T3" s="9">
        <f>DATE(2017,14,1)</f>
        <v>43132</v>
      </c>
      <c r="U3" s="9">
        <f>DATE(2017,15,1)</f>
        <v>43160</v>
      </c>
      <c r="V3" s="9">
        <f>DATE(2017,16,1)</f>
        <v>43191</v>
      </c>
      <c r="W3" s="9">
        <f>DATE(2017,17,1)</f>
        <v>43221</v>
      </c>
      <c r="X3" s="9">
        <f>DATE(2017,18,1)</f>
        <v>43252</v>
      </c>
      <c r="Y3" s="9">
        <f>DATE(2017,19,1)</f>
        <v>43282</v>
      </c>
      <c r="Z3" s="9">
        <f>DATE(2017,20,1)</f>
        <v>43313</v>
      </c>
      <c r="AA3" s="9">
        <f>DATE(2017,21,1)</f>
        <v>43344</v>
      </c>
      <c r="AB3" s="9">
        <f>DATE(2017,22,1)</f>
        <v>43374</v>
      </c>
      <c r="AC3" s="9">
        <f>DATE(2017,23,1)</f>
        <v>43405</v>
      </c>
      <c r="AD3" s="10">
        <f>DATE(2017,24,1)</f>
        <v>43435</v>
      </c>
      <c r="AE3" s="8">
        <f>DATE(2017,25,1)</f>
        <v>43466</v>
      </c>
      <c r="AF3" s="9">
        <f>DATE(2017,26,1)</f>
        <v>43497</v>
      </c>
      <c r="AG3" s="9">
        <f>DATE(2017,27,1)</f>
        <v>43525</v>
      </c>
      <c r="AH3" s="9">
        <f>DATE(2017,28,1)</f>
        <v>43556</v>
      </c>
      <c r="AI3" s="9">
        <f>DATE(2017,29,1)</f>
        <v>43586</v>
      </c>
      <c r="AJ3" s="9">
        <f>DATE(2017,30,1)</f>
        <v>43617</v>
      </c>
      <c r="AK3" s="9">
        <f>DATE(2017,31,1)</f>
        <v>43647</v>
      </c>
      <c r="AL3" s="9">
        <f>DATE(2017,32,1)</f>
        <v>43678</v>
      </c>
      <c r="AM3" s="9">
        <f>DATE(2017,33,1)</f>
        <v>43709</v>
      </c>
      <c r="AN3" s="9">
        <f>DATE(2017,34,1)</f>
        <v>43739</v>
      </c>
      <c r="AO3" s="9">
        <f>DATE(2017,35,1)</f>
        <v>43770</v>
      </c>
      <c r="AP3" s="10">
        <f>DATE(2017,36,1)</f>
        <v>43800</v>
      </c>
      <c r="AQ3" s="8">
        <f>DATE(2017,37,1)</f>
        <v>43831</v>
      </c>
      <c r="AR3" s="9">
        <f>DATE(2017,38,1)</f>
        <v>43862</v>
      </c>
      <c r="AS3" s="9">
        <f>DATE(2017,39,1)</f>
        <v>43891</v>
      </c>
      <c r="AT3" s="9">
        <f>DATE(2017,40,1)</f>
        <v>43922</v>
      </c>
      <c r="AU3" s="9">
        <f>DATE(2017,41,1)</f>
        <v>43952</v>
      </c>
      <c r="AV3" s="9">
        <f>DATE(2017,42,1)</f>
        <v>43983</v>
      </c>
      <c r="AW3" s="9">
        <f>DATE(2017,43,1)</f>
        <v>44013</v>
      </c>
      <c r="AX3" s="9">
        <f>DATE(2017,44,1)</f>
        <v>44044</v>
      </c>
      <c r="AY3" s="9">
        <f>DATE(2017,45,1)</f>
        <v>44075</v>
      </c>
      <c r="AZ3" s="9">
        <f>DATE(2017,46,1)</f>
        <v>44105</v>
      </c>
      <c r="BA3" s="9">
        <f>DATE(2017,47,1)</f>
        <v>44136</v>
      </c>
      <c r="BB3" s="10">
        <f>DATE(2017,48,1)</f>
        <v>44166</v>
      </c>
      <c r="BC3" s="8">
        <f>DATE(2017,49,1)</f>
        <v>44197</v>
      </c>
      <c r="BD3" s="9">
        <f>DATE(2017,50,1)</f>
        <v>44228</v>
      </c>
      <c r="BE3" s="9">
        <f>DATE(2017,51,1)</f>
        <v>44256</v>
      </c>
      <c r="BF3" s="9">
        <f>DATE(2017,52,1)</f>
        <v>44287</v>
      </c>
      <c r="BG3" s="9">
        <f>DATE(2017,53,1)</f>
        <v>44317</v>
      </c>
      <c r="BH3" s="9">
        <f>DATE(2017,54,1)</f>
        <v>44348</v>
      </c>
      <c r="BI3" s="9">
        <f>DATE(2017,55,1)</f>
        <v>44378</v>
      </c>
      <c r="BJ3" s="9">
        <f>DATE(2017,56,1)</f>
        <v>44409</v>
      </c>
      <c r="BK3" s="9">
        <f>DATE(2017,57,1)</f>
        <v>44440</v>
      </c>
      <c r="BL3" s="9">
        <f>DATE(2017,58,1)</f>
        <v>44470</v>
      </c>
      <c r="BM3" s="9">
        <f>DATE(2017,59,1)</f>
        <v>44501</v>
      </c>
      <c r="BN3" s="10">
        <f>DATE(2017,60,1)</f>
        <v>44531</v>
      </c>
      <c r="BO3" s="8">
        <f>DATE(2017,61,1)</f>
        <v>44562</v>
      </c>
      <c r="BP3" s="9">
        <f>DATE(2017,62,1)</f>
        <v>44593</v>
      </c>
      <c r="BQ3" s="9">
        <f>DATE(2017,63,1)</f>
        <v>44621</v>
      </c>
      <c r="BR3" s="9">
        <f>DATE(2017,64,1)</f>
        <v>44652</v>
      </c>
      <c r="BS3" s="9">
        <f>DATE(2017,65,1)</f>
        <v>44682</v>
      </c>
      <c r="BT3" s="9">
        <f>DATE(2017,66,1)</f>
        <v>44713</v>
      </c>
      <c r="BU3" s="9">
        <f>DATE(2017,67,1)</f>
        <v>44743</v>
      </c>
      <c r="BV3" s="9">
        <f>DATE(2017,68,1)</f>
        <v>44774</v>
      </c>
      <c r="BW3" s="9">
        <f>DATE(2017,69,1)</f>
        <v>44805</v>
      </c>
      <c r="BX3" s="9">
        <f>DATE(2017,70,1)</f>
        <v>44835</v>
      </c>
      <c r="BY3" s="9">
        <f>DATE(2017,71,1)</f>
        <v>44866</v>
      </c>
      <c r="BZ3" s="10">
        <f>DATE(2017,72,1)</f>
        <v>44896</v>
      </c>
      <c r="CA3" s="8">
        <f>DATE(2017,73,1)</f>
        <v>44927</v>
      </c>
      <c r="CB3" s="9">
        <f>DATE(2017,74,1)</f>
        <v>44958</v>
      </c>
      <c r="CC3" s="9">
        <f>DATE(2017,75,1)</f>
        <v>44986</v>
      </c>
      <c r="CD3" s="9">
        <f>DATE(2017,76,1)</f>
        <v>45017</v>
      </c>
      <c r="CE3" s="9">
        <f>DATE(2017,77,1)</f>
        <v>45047</v>
      </c>
      <c r="CF3" s="9">
        <f>DATE(2017,78,1)</f>
        <v>45078</v>
      </c>
      <c r="CG3" s="9">
        <f>DATE(2017,79,1)</f>
        <v>45108</v>
      </c>
      <c r="CH3" s="9">
        <f>DATE(2017,80,1)</f>
        <v>45139</v>
      </c>
      <c r="CI3" s="9">
        <f>DATE(2017,81,1)</f>
        <v>45170</v>
      </c>
      <c r="CJ3" s="9">
        <f>DATE(2017,82,1)</f>
        <v>45200</v>
      </c>
      <c r="CK3" s="9">
        <f>DATE(2017,83,1)</f>
        <v>45231</v>
      </c>
      <c r="CL3" s="10">
        <f>DATE(2017,84,1)</f>
        <v>45261</v>
      </c>
      <c r="CM3" s="8">
        <f>DATE(2017,85,1)</f>
        <v>45292</v>
      </c>
      <c r="CN3" s="9">
        <f>DATE(2017,86,1)</f>
        <v>45323</v>
      </c>
      <c r="CO3" s="9">
        <f>DATE(2017,87,1)</f>
        <v>45352</v>
      </c>
      <c r="CP3" s="9">
        <f>DATE(2017,88,1)</f>
        <v>45383</v>
      </c>
      <c r="CQ3" s="9">
        <f>DATE(2017,89,1)</f>
        <v>45413</v>
      </c>
      <c r="CR3" s="9">
        <f>DATE(2017,90,1)</f>
        <v>45444</v>
      </c>
      <c r="CS3" s="9">
        <f>DATE(2017,91,1)</f>
        <v>45474</v>
      </c>
      <c r="CT3" s="9">
        <f>DATE(2017,92,1)</f>
        <v>45505</v>
      </c>
      <c r="CU3" s="9">
        <f>DATE(2017,93,1)</f>
        <v>45536</v>
      </c>
      <c r="CV3" s="9">
        <f>DATE(2017,94,1)</f>
        <v>45566</v>
      </c>
      <c r="CW3" s="9">
        <f>DATE(2017,95,1)</f>
        <v>45597</v>
      </c>
      <c r="CX3" s="10">
        <f>DATE(2017,96,1)</f>
        <v>45627</v>
      </c>
      <c r="CY3" s="8">
        <f>DATE(2017,97,1)</f>
        <v>45658</v>
      </c>
      <c r="CZ3" s="9">
        <f>DATE(2017,98,1)</f>
        <v>45689</v>
      </c>
      <c r="DA3" s="9">
        <f>DATE(2017,99,1)</f>
        <v>45717</v>
      </c>
      <c r="DB3" s="9">
        <f>DATE(2017,100,1)</f>
        <v>45748</v>
      </c>
      <c r="DC3" s="9">
        <f>DATE(2017,101,1)</f>
        <v>45778</v>
      </c>
      <c r="DD3" s="9">
        <f>DATE(2017,102,1)</f>
        <v>45809</v>
      </c>
      <c r="DE3" s="9">
        <f>DATE(2017,103,1)</f>
        <v>45839</v>
      </c>
      <c r="DF3" s="9">
        <f>DATE(2017,104,1)</f>
        <v>45870</v>
      </c>
      <c r="DG3" s="9">
        <f>DATE(2017,105,1)</f>
        <v>45901</v>
      </c>
      <c r="DH3" s="9">
        <f>DATE(2017,106,1)</f>
        <v>45931</v>
      </c>
      <c r="DI3" s="9">
        <f>DATE(2017,107,1)</f>
        <v>45962</v>
      </c>
      <c r="DJ3" s="10">
        <f>DATE(2017,108,1)</f>
        <v>45992</v>
      </c>
    </row>
    <row r="4" spans="1:114" s="12" customFormat="1" x14ac:dyDescent="0.25">
      <c r="A4" s="13"/>
      <c r="B4" s="13"/>
      <c r="C4" s="13"/>
      <c r="D4" s="13"/>
      <c r="E4" s="13"/>
      <c r="F4" s="17" t="s">
        <v>104</v>
      </c>
      <c r="G4" s="14">
        <f>IFERROR(VLOOKUP($F4,'Visu totale'!$D$3:$DH$129,G$1,0),0)</f>
        <v>0</v>
      </c>
      <c r="H4" s="13">
        <f>IFERROR(VLOOKUP($F4,'Visu totale'!$D$3:$DH$129,H$1,0),0)</f>
        <v>0</v>
      </c>
      <c r="I4" s="13">
        <f>IFERROR(VLOOKUP($F4,'Visu totale'!$D$3:$DH$129,I$1,0),0)</f>
        <v>0</v>
      </c>
      <c r="J4" s="13">
        <f>IFERROR(VLOOKUP($F4,'Visu totale'!$D$3:$DH$129,J$1,0),0)</f>
        <v>0</v>
      </c>
      <c r="K4" s="13">
        <f>IFERROR(VLOOKUP($F4,'Visu totale'!$D$3:$DH$129,K$1,0),0)</f>
        <v>0</v>
      </c>
      <c r="L4" s="13">
        <f>IFERROR(VLOOKUP($F4,'Visu totale'!$D$3:$DH$129,L$1,0),0)</f>
        <v>0</v>
      </c>
      <c r="M4" s="13">
        <f>IFERROR(VLOOKUP($F4,'Visu totale'!$D$3:$DH$129,M$1,0),0)</f>
        <v>0</v>
      </c>
      <c r="N4" s="13">
        <f>IFERROR(VLOOKUP($F4,'Visu totale'!$D$3:$DH$129,N$1,0),0)</f>
        <v>0</v>
      </c>
      <c r="O4" s="13">
        <f>IFERROR(VLOOKUP($F4,'Visu totale'!$D$3:$DH$129,O$1,0),0)</f>
        <v>0</v>
      </c>
      <c r="P4" s="13">
        <f>IFERROR(VLOOKUP($F4,'Visu totale'!$D$3:$DH$129,P$1,0),0)</f>
        <v>0</v>
      </c>
      <c r="Q4" s="13">
        <f>IFERROR(VLOOKUP($F4,'Visu totale'!$D$3:$DH$129,Q$1,0),0)</f>
        <v>0</v>
      </c>
      <c r="R4" s="15">
        <f>IFERROR(VLOOKUP($F4,'Visu totale'!$D$3:$DH$129,R$1,0),0)</f>
        <v>0</v>
      </c>
      <c r="S4" s="14">
        <f>IFERROR(VLOOKUP($F4,'Visu totale'!$D$3:$DH$129,S$1,0),0)</f>
        <v>0</v>
      </c>
      <c r="T4" s="13">
        <f>IFERROR(VLOOKUP($F4,'Visu totale'!$D$3:$DH$129,T$1,0),0)</f>
        <v>0</v>
      </c>
      <c r="U4" s="13">
        <f>IFERROR(VLOOKUP($F4,'Visu totale'!$D$3:$DH$129,U$1,0),0)</f>
        <v>0</v>
      </c>
      <c r="V4" s="13">
        <f>IFERROR(VLOOKUP($F4,'Visu totale'!$D$3:$DH$129,V$1,0),0)</f>
        <v>0</v>
      </c>
      <c r="W4" s="13">
        <f>IFERROR(VLOOKUP($F4,'Visu totale'!$D$3:$DH$129,W$1,0),0)</f>
        <v>0</v>
      </c>
      <c r="X4" s="13">
        <f>IFERROR(VLOOKUP($F4,'Visu totale'!$D$3:$DH$129,X$1,0),0)</f>
        <v>0</v>
      </c>
      <c r="Y4" s="13">
        <f>IFERROR(VLOOKUP($F4,'Visu totale'!$D$3:$DH$129,Y$1,0),0)</f>
        <v>0</v>
      </c>
      <c r="Z4" s="13">
        <f>IFERROR(VLOOKUP($F4,'Visu totale'!$D$3:$DH$129,Z$1,0),0)</f>
        <v>0</v>
      </c>
      <c r="AA4" s="13">
        <f>IFERROR(VLOOKUP($F4,'Visu totale'!$D$3:$DH$129,AA$1,0),0)</f>
        <v>0</v>
      </c>
      <c r="AB4" s="13">
        <f>IFERROR(VLOOKUP($F4,'Visu totale'!$D$3:$DH$129,AB$1,0),0)</f>
        <v>0</v>
      </c>
      <c r="AC4" s="13">
        <f>IFERROR(VLOOKUP($F4,'Visu totale'!$D$3:$DH$129,AC$1,0),0)</f>
        <v>0</v>
      </c>
      <c r="AD4" s="15">
        <f>IFERROR(VLOOKUP($F4,'Visu totale'!$D$3:$DH$129,AD$1,0),0)</f>
        <v>0</v>
      </c>
      <c r="AE4" s="14">
        <f>IFERROR(VLOOKUP($F4,'Visu totale'!$D$3:$DH$129,AE$1,0),0)</f>
        <v>0</v>
      </c>
      <c r="AF4" s="13">
        <f>IFERROR(VLOOKUP($F4,'Visu totale'!$D$3:$DH$129,AF$1,0),0)</f>
        <v>0</v>
      </c>
      <c r="AG4" s="13">
        <f>IFERROR(VLOOKUP($F4,'Visu totale'!$D$3:$DH$129,AG$1,0),0)</f>
        <v>0</v>
      </c>
      <c r="AH4" s="13">
        <f>IFERROR(VLOOKUP($F4,'Visu totale'!$D$3:$DH$129,AH$1,0),0)</f>
        <v>0</v>
      </c>
      <c r="AI4" s="13">
        <f>IFERROR(VLOOKUP($F4,'Visu totale'!$D$3:$DH$129,AI$1,0),0)</f>
        <v>0</v>
      </c>
      <c r="AJ4" s="13">
        <f>IFERROR(VLOOKUP($F4,'Visu totale'!$D$3:$DH$129,AJ$1,0),0)</f>
        <v>0</v>
      </c>
      <c r="AK4" s="13">
        <f>IFERROR(VLOOKUP($F4,'Visu totale'!$D$3:$DH$129,AK$1,0),0)</f>
        <v>0</v>
      </c>
      <c r="AL4" s="13">
        <f>IFERROR(VLOOKUP($F4,'Visu totale'!$D$3:$DH$129,AL$1,0),0)</f>
        <v>0</v>
      </c>
      <c r="AM4" s="13">
        <f>IFERROR(VLOOKUP($F4,'Visu totale'!$D$3:$DH$129,AM$1,0),0)</f>
        <v>0</v>
      </c>
      <c r="AN4" s="13">
        <f>IFERROR(VLOOKUP($F4,'Visu totale'!$D$3:$DH$129,AN$1,0),0)</f>
        <v>0</v>
      </c>
      <c r="AO4" s="13">
        <f>IFERROR(VLOOKUP($F4,'Visu totale'!$D$3:$DH$129,AO$1,0),0)</f>
        <v>0</v>
      </c>
      <c r="AP4" s="15">
        <f>IFERROR(VLOOKUP($F4,'Visu totale'!$D$3:$DH$129,AP$1,0),0)</f>
        <v>0</v>
      </c>
      <c r="AQ4" s="14">
        <f>IFERROR(VLOOKUP($F4,'Visu totale'!$D$3:$DH$129,AQ$1,0),0)</f>
        <v>0</v>
      </c>
      <c r="AR4" s="13">
        <f>IFERROR(VLOOKUP($F4,'Visu totale'!$D$3:$DH$129,AR$1,0),0)</f>
        <v>0</v>
      </c>
      <c r="AS4" s="13">
        <f>IFERROR(VLOOKUP($F4,'Visu totale'!$D$3:$DH$129,AS$1,0),0)</f>
        <v>0</v>
      </c>
      <c r="AT4" s="13">
        <f>IFERROR(VLOOKUP($F4,'Visu totale'!$D$3:$DH$129,AT$1,0),0)</f>
        <v>0</v>
      </c>
      <c r="AU4" s="13">
        <f>IFERROR(VLOOKUP($F4,'Visu totale'!$D$3:$DH$129,AU$1,0),0)</f>
        <v>0</v>
      </c>
      <c r="AV4" s="13">
        <f>IFERROR(VLOOKUP($F4,'Visu totale'!$D$3:$DH$129,AV$1,0),0)</f>
        <v>0</v>
      </c>
      <c r="AW4" s="13">
        <f>IFERROR(VLOOKUP($F4,'Visu totale'!$D$3:$DH$129,AW$1,0),0)</f>
        <v>0</v>
      </c>
      <c r="AX4" s="13">
        <f>IFERROR(VLOOKUP($F4,'Visu totale'!$D$3:$DH$129,AX$1,0),0)</f>
        <v>0</v>
      </c>
      <c r="AY4" s="13">
        <f>IFERROR(VLOOKUP($F4,'Visu totale'!$D$3:$DH$129,AY$1,0),0)</f>
        <v>0</v>
      </c>
      <c r="AZ4" s="13">
        <f>IFERROR(VLOOKUP($F4,'Visu totale'!$D$3:$DH$129,AZ$1,0),0)</f>
        <v>0</v>
      </c>
      <c r="BA4" s="13">
        <f>IFERROR(VLOOKUP($F4,'Visu totale'!$D$3:$DH$129,BA$1,0),0)</f>
        <v>0</v>
      </c>
      <c r="BB4" s="15">
        <f>IFERROR(VLOOKUP($F4,'Visu totale'!$D$3:$DH$129,BB$1,0),0)</f>
        <v>0</v>
      </c>
      <c r="BC4" s="14">
        <f>IFERROR(VLOOKUP($F4,'Visu totale'!$D$3:$DH$129,BC$1,0),0)</f>
        <v>0</v>
      </c>
      <c r="BD4" s="13">
        <f>IFERROR(VLOOKUP($F4,'Visu totale'!$D$3:$DH$129,BD$1,0),0)</f>
        <v>0</v>
      </c>
      <c r="BE4" s="13">
        <f>IFERROR(VLOOKUP($F4,'Visu totale'!$D$3:$DH$129,BE$1,0),0)</f>
        <v>0</v>
      </c>
      <c r="BF4" s="13">
        <f>IFERROR(VLOOKUP($F4,'Visu totale'!$D$3:$DH$129,BF$1,0),0)</f>
        <v>0</v>
      </c>
      <c r="BG4" s="13">
        <f>IFERROR(VLOOKUP($F4,'Visu totale'!$D$3:$DH$129,BG$1,0),0)</f>
        <v>0</v>
      </c>
      <c r="BH4" s="13">
        <f>IFERROR(VLOOKUP($F4,'Visu totale'!$D$3:$DH$129,BH$1,0),0)</f>
        <v>0</v>
      </c>
      <c r="BI4" s="13">
        <f>IFERROR(VLOOKUP($F4,'Visu totale'!$D$3:$DH$129,BI$1,0),0)</f>
        <v>0</v>
      </c>
      <c r="BJ4" s="13">
        <f>IFERROR(VLOOKUP($F4,'Visu totale'!$D$3:$DH$129,BJ$1,0),0)</f>
        <v>0</v>
      </c>
      <c r="BK4" s="13">
        <f>IFERROR(VLOOKUP($F4,'Visu totale'!$D$3:$DH$129,BK$1,0),0)</f>
        <v>0</v>
      </c>
      <c r="BL4" s="13">
        <f>IFERROR(VLOOKUP($F4,'Visu totale'!$D$3:$DH$129,BL$1,0),0)</f>
        <v>0</v>
      </c>
      <c r="BM4" s="13">
        <f>IFERROR(VLOOKUP($F4,'Visu totale'!$D$3:$DH$129,BM$1,0),0)</f>
        <v>0</v>
      </c>
      <c r="BN4" s="15">
        <f>IFERROR(VLOOKUP($F4,'Visu totale'!$D$3:$DH$129,BN$1,0),0)</f>
        <v>0</v>
      </c>
      <c r="BO4" s="14">
        <f>IFERROR(VLOOKUP($F4,'Visu totale'!$D$3:$DH$129,BO$1,0),0)</f>
        <v>0</v>
      </c>
      <c r="BP4" s="13">
        <f>IFERROR(VLOOKUP($F4,'Visu totale'!$D$3:$DH$129,BP$1,0),0)</f>
        <v>0</v>
      </c>
      <c r="BQ4" s="13">
        <f>IFERROR(VLOOKUP($F4,'Visu totale'!$D$3:$DH$129,BQ$1,0),0)</f>
        <v>0</v>
      </c>
      <c r="BR4" s="13">
        <f>IFERROR(VLOOKUP($F4,'Visu totale'!$D$3:$DH$129,BR$1,0),0)</f>
        <v>0</v>
      </c>
      <c r="BS4" s="13">
        <f>IFERROR(VLOOKUP($F4,'Visu totale'!$D$3:$DH$129,BS$1,0),0)</f>
        <v>0</v>
      </c>
      <c r="BT4" s="13">
        <f>IFERROR(VLOOKUP($F4,'Visu totale'!$D$3:$DH$129,BT$1,0),0)</f>
        <v>0</v>
      </c>
      <c r="BU4" s="13">
        <f>IFERROR(VLOOKUP($F4,'Visu totale'!$D$3:$DH$129,BU$1,0),0)</f>
        <v>0</v>
      </c>
      <c r="BV4" s="13">
        <f>IFERROR(VLOOKUP($F4,'Visu totale'!$D$3:$DH$129,BV$1,0),0)</f>
        <v>0</v>
      </c>
      <c r="BW4" s="13">
        <f>IFERROR(VLOOKUP($F4,'Visu totale'!$D$3:$DH$129,BW$1,0),0)</f>
        <v>0</v>
      </c>
      <c r="BX4" s="13">
        <f>IFERROR(VLOOKUP($F4,'Visu totale'!$D$3:$DH$129,BX$1,0),0)</f>
        <v>0</v>
      </c>
      <c r="BY4" s="13">
        <f>IFERROR(VLOOKUP($F4,'Visu totale'!$D$3:$DH$129,BY$1,0),0)</f>
        <v>0</v>
      </c>
      <c r="BZ4" s="15">
        <f>IFERROR(VLOOKUP($F4,'Visu totale'!$D$3:$DH$129,BZ$1,0),0)</f>
        <v>0</v>
      </c>
      <c r="CA4" s="14">
        <f>IFERROR(VLOOKUP($F4,'Visu totale'!$D$3:$DH$129,CA$1,0),0)</f>
        <v>0</v>
      </c>
      <c r="CB4" s="13">
        <f>IFERROR(VLOOKUP($F4,'Visu totale'!$D$3:$DH$129,CB$1,0),0)</f>
        <v>0</v>
      </c>
      <c r="CC4" s="13">
        <f>IFERROR(VLOOKUP($F4,'Visu totale'!$D$3:$DH$129,CC$1,0),0)</f>
        <v>0</v>
      </c>
      <c r="CD4" s="13">
        <f>IFERROR(VLOOKUP($F4,'Visu totale'!$D$3:$DH$129,CD$1,0),0)</f>
        <v>0</v>
      </c>
      <c r="CE4" s="13">
        <f>IFERROR(VLOOKUP($F4,'Visu totale'!$D$3:$DH$129,CE$1,0),0)</f>
        <v>0</v>
      </c>
      <c r="CF4" s="13">
        <f>IFERROR(VLOOKUP($F4,'Visu totale'!$D$3:$DH$129,CF$1,0),0)</f>
        <v>0</v>
      </c>
      <c r="CG4" s="13">
        <f>IFERROR(VLOOKUP($F4,'Visu totale'!$D$3:$DH$129,CG$1,0),0)</f>
        <v>0</v>
      </c>
      <c r="CH4" s="13">
        <f>IFERROR(VLOOKUP($F4,'Visu totale'!$D$3:$DH$129,CH$1,0),0)</f>
        <v>0</v>
      </c>
      <c r="CI4" s="13">
        <f>IFERROR(VLOOKUP($F4,'Visu totale'!$D$3:$DH$129,CI$1,0),0)</f>
        <v>0</v>
      </c>
      <c r="CJ4" s="13">
        <f>IFERROR(VLOOKUP($F4,'Visu totale'!$D$3:$DH$129,CJ$1,0),0)</f>
        <v>0</v>
      </c>
      <c r="CK4" s="13">
        <f>IFERROR(VLOOKUP($F4,'Visu totale'!$D$3:$DH$129,CK$1,0),0)</f>
        <v>0</v>
      </c>
      <c r="CL4" s="15">
        <f>IFERROR(VLOOKUP($F4,'Visu totale'!$D$3:$DH$129,CL$1,0),0)</f>
        <v>0</v>
      </c>
      <c r="CM4" s="14">
        <f>IFERROR(VLOOKUP($F4,'Visu totale'!$D$3:$DH$129,CM$1,0),0)</f>
        <v>0</v>
      </c>
      <c r="CN4" s="13">
        <f>IFERROR(VLOOKUP($F4,'Visu totale'!$D$3:$DH$129,CN$1,0),0)</f>
        <v>0</v>
      </c>
      <c r="CO4" s="13">
        <f>IFERROR(VLOOKUP($F4,'Visu totale'!$D$3:$DH$129,CO$1,0),0)</f>
        <v>0</v>
      </c>
      <c r="CP4" s="13">
        <f>IFERROR(VLOOKUP($F4,'Visu totale'!$D$3:$DH$129,CP$1,0),0)</f>
        <v>0</v>
      </c>
      <c r="CQ4" s="13">
        <f>IFERROR(VLOOKUP($F4,'Visu totale'!$D$3:$DH$129,CQ$1,0),0)</f>
        <v>0</v>
      </c>
      <c r="CR4" s="13">
        <f>IFERROR(VLOOKUP($F4,'Visu totale'!$D$3:$DH$129,CR$1,0),0)</f>
        <v>0</v>
      </c>
      <c r="CS4" s="13">
        <f>IFERROR(VLOOKUP($F4,'Visu totale'!$D$3:$DH$129,CS$1,0),0)</f>
        <v>0</v>
      </c>
      <c r="CT4" s="13">
        <f>IFERROR(VLOOKUP($F4,'Visu totale'!$D$3:$DH$129,CT$1,0),0)</f>
        <v>0</v>
      </c>
      <c r="CU4" s="13">
        <f>IFERROR(VLOOKUP($F4,'Visu totale'!$D$3:$DH$129,CU$1,0),0)</f>
        <v>0</v>
      </c>
      <c r="CV4" s="13">
        <f>IFERROR(VLOOKUP($F4,'Visu totale'!$D$3:$DH$129,CV$1,0),0)</f>
        <v>0</v>
      </c>
      <c r="CW4" s="13">
        <f>IFERROR(VLOOKUP($F4,'Visu totale'!$D$3:$DH$129,CW$1,0),0)</f>
        <v>0</v>
      </c>
      <c r="CX4" s="15">
        <f>IFERROR(VLOOKUP($F4,'Visu totale'!$D$3:$DH$129,CX$1,0),0)</f>
        <v>0</v>
      </c>
      <c r="CY4" s="14">
        <f>IFERROR(VLOOKUP($F4,'Visu totale'!$D$3:$DH$129,CY$1,0),0)</f>
        <v>0</v>
      </c>
      <c r="CZ4" s="13">
        <f>IFERROR(VLOOKUP($F4,'Visu totale'!$D$3:$DH$129,CZ$1,0),0)</f>
        <v>0</v>
      </c>
      <c r="DA4" s="13">
        <f>IFERROR(VLOOKUP($F4,'Visu totale'!$D$3:$DH$129,DA$1,0),0)</f>
        <v>0</v>
      </c>
      <c r="DB4" s="13">
        <f>IFERROR(VLOOKUP($F4,'Visu totale'!$D$3:$DH$129,DB$1,0),0)</f>
        <v>0</v>
      </c>
      <c r="DC4" s="13">
        <f>IFERROR(VLOOKUP($F4,'Visu totale'!$D$3:$DH$129,DC$1,0),0)</f>
        <v>0</v>
      </c>
      <c r="DD4" s="13">
        <f>IFERROR(VLOOKUP($F4,'Visu totale'!$D$3:$DH$129,DD$1,0),0)</f>
        <v>0</v>
      </c>
      <c r="DE4" s="13">
        <f>IFERROR(VLOOKUP($F4,'Visu totale'!$D$3:$DH$129,DE$1,0),0)</f>
        <v>0</v>
      </c>
      <c r="DF4" s="13">
        <f>IFERROR(VLOOKUP($F4,'Visu totale'!$D$3:$DH$129,DF$1,0),0)</f>
        <v>0</v>
      </c>
      <c r="DG4" s="13">
        <f>IFERROR(VLOOKUP($F4,'Visu totale'!$D$3:$DH$129,DG$1,0),0)</f>
        <v>0</v>
      </c>
      <c r="DH4" s="13">
        <f>IFERROR(VLOOKUP($F4,'Visu totale'!$D$3:$DH$129,DH$1,0),0)</f>
        <v>0</v>
      </c>
      <c r="DI4" s="13">
        <f>IFERROR(VLOOKUP($F4,'Visu totale'!$D$3:$DH$129,DI$1,0),0)</f>
        <v>0</v>
      </c>
      <c r="DJ4" s="15">
        <f>IFERROR(VLOOKUP($F4,'Visu totale'!$D$3:$DH$129,DJ$1,0),0)</f>
        <v>0</v>
      </c>
    </row>
    <row r="5" spans="1:114" s="12" customFormat="1" x14ac:dyDescent="0.25">
      <c r="A5" s="13"/>
      <c r="B5" s="13"/>
      <c r="C5" s="13"/>
      <c r="D5" s="13"/>
      <c r="E5" s="13"/>
      <c r="F5" s="17" t="s">
        <v>105</v>
      </c>
      <c r="G5" s="14">
        <f>IFERROR(VLOOKUP($F5,'Visu totale'!$D$3:$DH$129,G$1,0),0)</f>
        <v>0</v>
      </c>
      <c r="H5" s="13">
        <f>IFERROR(VLOOKUP($F5,'Visu totale'!$D$3:$DH$129,H$1,0),0)</f>
        <v>0</v>
      </c>
      <c r="I5" s="13">
        <f>IFERROR(VLOOKUP($F5,'Visu totale'!$D$3:$DH$129,I$1,0),0)</f>
        <v>0</v>
      </c>
      <c r="J5" s="13">
        <f>IFERROR(VLOOKUP($F5,'Visu totale'!$D$3:$DH$129,J$1,0),0)</f>
        <v>0</v>
      </c>
      <c r="K5" s="13">
        <f>IFERROR(VLOOKUP($F5,'Visu totale'!$D$3:$DH$129,K$1,0),0)</f>
        <v>0</v>
      </c>
      <c r="L5" s="13">
        <f>IFERROR(VLOOKUP($F5,'Visu totale'!$D$3:$DH$129,L$1,0),0)</f>
        <v>0</v>
      </c>
      <c r="M5" s="13">
        <f>IFERROR(VLOOKUP($F5,'Visu totale'!$D$3:$DH$129,M$1,0),0)</f>
        <v>0</v>
      </c>
      <c r="N5" s="13">
        <f>IFERROR(VLOOKUP($F5,'Visu totale'!$D$3:$DH$129,N$1,0),0)</f>
        <v>0</v>
      </c>
      <c r="O5" s="13">
        <f>IFERROR(VLOOKUP($F5,'Visu totale'!$D$3:$DH$129,O$1,0),0)</f>
        <v>0</v>
      </c>
      <c r="P5" s="13">
        <f>IFERROR(VLOOKUP($F5,'Visu totale'!$D$3:$DH$129,P$1,0),0)</f>
        <v>0</v>
      </c>
      <c r="Q5" s="13">
        <f>IFERROR(VLOOKUP($F5,'Visu totale'!$D$3:$DH$129,Q$1,0),0)</f>
        <v>0</v>
      </c>
      <c r="R5" s="15">
        <f>IFERROR(VLOOKUP($F5,'Visu totale'!$D$3:$DH$129,R$1,0),0)</f>
        <v>0</v>
      </c>
      <c r="S5" s="14">
        <f>IFERROR(VLOOKUP($F5,'Visu totale'!$D$3:$DH$129,S$1,0),0)</f>
        <v>0</v>
      </c>
      <c r="T5" s="13">
        <f>IFERROR(VLOOKUP($F5,'Visu totale'!$D$3:$DH$129,T$1,0),0)</f>
        <v>0</v>
      </c>
      <c r="U5" s="13">
        <f>IFERROR(VLOOKUP($F5,'Visu totale'!$D$3:$DH$129,U$1,0),0)</f>
        <v>0</v>
      </c>
      <c r="V5" s="13">
        <f>IFERROR(VLOOKUP($F5,'Visu totale'!$D$3:$DH$129,V$1,0),0)</f>
        <v>0</v>
      </c>
      <c r="W5" s="13">
        <f>IFERROR(VLOOKUP($F5,'Visu totale'!$D$3:$DH$129,W$1,0),0)</f>
        <v>0</v>
      </c>
      <c r="X5" s="13">
        <f>IFERROR(VLOOKUP($F5,'Visu totale'!$D$3:$DH$129,X$1,0),0)</f>
        <v>0</v>
      </c>
      <c r="Y5" s="13">
        <f>IFERROR(VLOOKUP($F5,'Visu totale'!$D$3:$DH$129,Y$1,0),0)</f>
        <v>0</v>
      </c>
      <c r="Z5" s="13">
        <f>IFERROR(VLOOKUP($F5,'Visu totale'!$D$3:$DH$129,Z$1,0),0)</f>
        <v>0</v>
      </c>
      <c r="AA5" s="13">
        <f>IFERROR(VLOOKUP($F5,'Visu totale'!$D$3:$DH$129,AA$1,0),0)</f>
        <v>0</v>
      </c>
      <c r="AB5" s="13">
        <f>IFERROR(VLOOKUP($F5,'Visu totale'!$D$3:$DH$129,AB$1,0),0)</f>
        <v>0</v>
      </c>
      <c r="AC5" s="13">
        <f>IFERROR(VLOOKUP($F5,'Visu totale'!$D$3:$DH$129,AC$1,0),0)</f>
        <v>0</v>
      </c>
      <c r="AD5" s="15">
        <f>IFERROR(VLOOKUP($F5,'Visu totale'!$D$3:$DH$129,AD$1,0),0)</f>
        <v>0</v>
      </c>
      <c r="AE5" s="14">
        <f>IFERROR(VLOOKUP($F5,'Visu totale'!$D$3:$DH$129,AE$1,0),0)</f>
        <v>0</v>
      </c>
      <c r="AF5" s="13">
        <f>IFERROR(VLOOKUP($F5,'Visu totale'!$D$3:$DH$129,AF$1,0),0)</f>
        <v>0</v>
      </c>
      <c r="AG5" s="13">
        <f>IFERROR(VLOOKUP($F5,'Visu totale'!$D$3:$DH$129,AG$1,0),0)</f>
        <v>0</v>
      </c>
      <c r="AH5" s="13">
        <f>IFERROR(VLOOKUP($F5,'Visu totale'!$D$3:$DH$129,AH$1,0),0)</f>
        <v>0</v>
      </c>
      <c r="AI5" s="13">
        <f>IFERROR(VLOOKUP($F5,'Visu totale'!$D$3:$DH$129,AI$1,0),0)</f>
        <v>0</v>
      </c>
      <c r="AJ5" s="13">
        <f>IFERROR(VLOOKUP($F5,'Visu totale'!$D$3:$DH$129,AJ$1,0),0)</f>
        <v>0</v>
      </c>
      <c r="AK5" s="13">
        <f>IFERROR(VLOOKUP($F5,'Visu totale'!$D$3:$DH$129,AK$1,0),0)</f>
        <v>0</v>
      </c>
      <c r="AL5" s="13">
        <f>IFERROR(VLOOKUP($F5,'Visu totale'!$D$3:$DH$129,AL$1,0),0)</f>
        <v>0</v>
      </c>
      <c r="AM5" s="13">
        <f>IFERROR(VLOOKUP($F5,'Visu totale'!$D$3:$DH$129,AM$1,0),0)</f>
        <v>0</v>
      </c>
      <c r="AN5" s="13">
        <f>IFERROR(VLOOKUP($F5,'Visu totale'!$D$3:$DH$129,AN$1,0),0)</f>
        <v>0</v>
      </c>
      <c r="AO5" s="13">
        <f>IFERROR(VLOOKUP($F5,'Visu totale'!$D$3:$DH$129,AO$1,0),0)</f>
        <v>0</v>
      </c>
      <c r="AP5" s="15">
        <f>IFERROR(VLOOKUP($F5,'Visu totale'!$D$3:$DH$129,AP$1,0),0)</f>
        <v>0</v>
      </c>
      <c r="AQ5" s="14">
        <f>IFERROR(VLOOKUP($F5,'Visu totale'!$D$3:$DH$129,AQ$1,0),0)</f>
        <v>0</v>
      </c>
      <c r="AR5" s="13">
        <f>IFERROR(VLOOKUP($F5,'Visu totale'!$D$3:$DH$129,AR$1,0),0)</f>
        <v>0</v>
      </c>
      <c r="AS5" s="13">
        <f>IFERROR(VLOOKUP($F5,'Visu totale'!$D$3:$DH$129,AS$1,0),0)</f>
        <v>0</v>
      </c>
      <c r="AT5" s="13">
        <f>IFERROR(VLOOKUP($F5,'Visu totale'!$D$3:$DH$129,AT$1,0),0)</f>
        <v>0</v>
      </c>
      <c r="AU5" s="13">
        <f>IFERROR(VLOOKUP($F5,'Visu totale'!$D$3:$DH$129,AU$1,0),0)</f>
        <v>0</v>
      </c>
      <c r="AV5" s="13">
        <f>IFERROR(VLOOKUP($F5,'Visu totale'!$D$3:$DH$129,AV$1,0),0)</f>
        <v>0</v>
      </c>
      <c r="AW5" s="13">
        <f>IFERROR(VLOOKUP($F5,'Visu totale'!$D$3:$DH$129,AW$1,0),0)</f>
        <v>0</v>
      </c>
      <c r="AX5" s="13">
        <f>IFERROR(VLOOKUP($F5,'Visu totale'!$D$3:$DH$129,AX$1,0),0)</f>
        <v>0</v>
      </c>
      <c r="AY5" s="13">
        <f>IFERROR(VLOOKUP($F5,'Visu totale'!$D$3:$DH$129,AY$1,0),0)</f>
        <v>0</v>
      </c>
      <c r="AZ5" s="13">
        <f>IFERROR(VLOOKUP($F5,'Visu totale'!$D$3:$DH$129,AZ$1,0),0)</f>
        <v>0</v>
      </c>
      <c r="BA5" s="13">
        <f>IFERROR(VLOOKUP($F5,'Visu totale'!$D$3:$DH$129,BA$1,0),0)</f>
        <v>0</v>
      </c>
      <c r="BB5" s="15">
        <f>IFERROR(VLOOKUP($F5,'Visu totale'!$D$3:$DH$129,BB$1,0),0)</f>
        <v>0</v>
      </c>
      <c r="BC5" s="14">
        <f>IFERROR(VLOOKUP($F5,'Visu totale'!$D$3:$DH$129,BC$1,0),0)</f>
        <v>0</v>
      </c>
      <c r="BD5" s="13">
        <f>IFERROR(VLOOKUP($F5,'Visu totale'!$D$3:$DH$129,BD$1,0),0)</f>
        <v>0</v>
      </c>
      <c r="BE5" s="13">
        <f>IFERROR(VLOOKUP($F5,'Visu totale'!$D$3:$DH$129,BE$1,0),0)</f>
        <v>0</v>
      </c>
      <c r="BF5" s="13">
        <f>IFERROR(VLOOKUP($F5,'Visu totale'!$D$3:$DH$129,BF$1,0),0)</f>
        <v>0</v>
      </c>
      <c r="BG5" s="13">
        <f>IFERROR(VLOOKUP($F5,'Visu totale'!$D$3:$DH$129,BG$1,0),0)</f>
        <v>0</v>
      </c>
      <c r="BH5" s="13">
        <f>IFERROR(VLOOKUP($F5,'Visu totale'!$D$3:$DH$129,BH$1,0),0)</f>
        <v>0</v>
      </c>
      <c r="BI5" s="13">
        <f>IFERROR(VLOOKUP($F5,'Visu totale'!$D$3:$DH$129,BI$1,0),0)</f>
        <v>0</v>
      </c>
      <c r="BJ5" s="13">
        <f>IFERROR(VLOOKUP($F5,'Visu totale'!$D$3:$DH$129,BJ$1,0),0)</f>
        <v>0</v>
      </c>
      <c r="BK5" s="13">
        <f>IFERROR(VLOOKUP($F5,'Visu totale'!$D$3:$DH$129,BK$1,0),0)</f>
        <v>0</v>
      </c>
      <c r="BL5" s="13">
        <f>IFERROR(VLOOKUP($F5,'Visu totale'!$D$3:$DH$129,BL$1,0),0)</f>
        <v>0</v>
      </c>
      <c r="BM5" s="13">
        <f>IFERROR(VLOOKUP($F5,'Visu totale'!$D$3:$DH$129,BM$1,0),0)</f>
        <v>0</v>
      </c>
      <c r="BN5" s="15">
        <f>IFERROR(VLOOKUP($F5,'Visu totale'!$D$3:$DH$129,BN$1,0),0)</f>
        <v>0</v>
      </c>
      <c r="BO5" s="14">
        <f>IFERROR(VLOOKUP($F5,'Visu totale'!$D$3:$DH$129,BO$1,0),0)</f>
        <v>0</v>
      </c>
      <c r="BP5" s="13">
        <f>IFERROR(VLOOKUP($F5,'Visu totale'!$D$3:$DH$129,BP$1,0),0)</f>
        <v>0</v>
      </c>
      <c r="BQ5" s="13">
        <f>IFERROR(VLOOKUP($F5,'Visu totale'!$D$3:$DH$129,BQ$1,0),0)</f>
        <v>0</v>
      </c>
      <c r="BR5" s="13">
        <f>IFERROR(VLOOKUP($F5,'Visu totale'!$D$3:$DH$129,BR$1,0),0)</f>
        <v>0</v>
      </c>
      <c r="BS5" s="13">
        <f>IFERROR(VLOOKUP($F5,'Visu totale'!$D$3:$DH$129,BS$1,0),0)</f>
        <v>0</v>
      </c>
      <c r="BT5" s="13">
        <f>IFERROR(VLOOKUP($F5,'Visu totale'!$D$3:$DH$129,BT$1,0),0)</f>
        <v>0</v>
      </c>
      <c r="BU5" s="13">
        <f>IFERROR(VLOOKUP($F5,'Visu totale'!$D$3:$DH$129,BU$1,0),0)</f>
        <v>0</v>
      </c>
      <c r="BV5" s="13">
        <f>IFERROR(VLOOKUP($F5,'Visu totale'!$D$3:$DH$129,BV$1,0),0)</f>
        <v>0</v>
      </c>
      <c r="BW5" s="13">
        <f>IFERROR(VLOOKUP($F5,'Visu totale'!$D$3:$DH$129,BW$1,0),0)</f>
        <v>0</v>
      </c>
      <c r="BX5" s="13">
        <f>IFERROR(VLOOKUP($F5,'Visu totale'!$D$3:$DH$129,BX$1,0),0)</f>
        <v>0</v>
      </c>
      <c r="BY5" s="13">
        <f>IFERROR(VLOOKUP($F5,'Visu totale'!$D$3:$DH$129,BY$1,0),0)</f>
        <v>0</v>
      </c>
      <c r="BZ5" s="15">
        <f>IFERROR(VLOOKUP($F5,'Visu totale'!$D$3:$DH$129,BZ$1,0),0)</f>
        <v>0</v>
      </c>
      <c r="CA5" s="14">
        <f>IFERROR(VLOOKUP($F5,'Visu totale'!$D$3:$DH$129,CA$1,0),0)</f>
        <v>0</v>
      </c>
      <c r="CB5" s="13">
        <f>IFERROR(VLOOKUP($F5,'Visu totale'!$D$3:$DH$129,CB$1,0),0)</f>
        <v>0</v>
      </c>
      <c r="CC5" s="13">
        <f>IFERROR(VLOOKUP($F5,'Visu totale'!$D$3:$DH$129,CC$1,0),0)</f>
        <v>0</v>
      </c>
      <c r="CD5" s="13">
        <f>IFERROR(VLOOKUP($F5,'Visu totale'!$D$3:$DH$129,CD$1,0),0)</f>
        <v>0</v>
      </c>
      <c r="CE5" s="13">
        <f>IFERROR(VLOOKUP($F5,'Visu totale'!$D$3:$DH$129,CE$1,0),0)</f>
        <v>0</v>
      </c>
      <c r="CF5" s="13">
        <f>IFERROR(VLOOKUP($F5,'Visu totale'!$D$3:$DH$129,CF$1,0),0)</f>
        <v>0</v>
      </c>
      <c r="CG5" s="13">
        <f>IFERROR(VLOOKUP($F5,'Visu totale'!$D$3:$DH$129,CG$1,0),0)</f>
        <v>0</v>
      </c>
      <c r="CH5" s="13">
        <f>IFERROR(VLOOKUP($F5,'Visu totale'!$D$3:$DH$129,CH$1,0),0)</f>
        <v>0</v>
      </c>
      <c r="CI5" s="13">
        <f>IFERROR(VLOOKUP($F5,'Visu totale'!$D$3:$DH$129,CI$1,0),0)</f>
        <v>0</v>
      </c>
      <c r="CJ5" s="13">
        <f>IFERROR(VLOOKUP($F5,'Visu totale'!$D$3:$DH$129,CJ$1,0),0)</f>
        <v>0</v>
      </c>
      <c r="CK5" s="13">
        <f>IFERROR(VLOOKUP($F5,'Visu totale'!$D$3:$DH$129,CK$1,0),0)</f>
        <v>0</v>
      </c>
      <c r="CL5" s="15">
        <f>IFERROR(VLOOKUP($F5,'Visu totale'!$D$3:$DH$129,CL$1,0),0)</f>
        <v>0</v>
      </c>
      <c r="CM5" s="14">
        <f>IFERROR(VLOOKUP($F5,'Visu totale'!$D$3:$DH$129,CM$1,0),0)</f>
        <v>0</v>
      </c>
      <c r="CN5" s="13">
        <f>IFERROR(VLOOKUP($F5,'Visu totale'!$D$3:$DH$129,CN$1,0),0)</f>
        <v>0</v>
      </c>
      <c r="CO5" s="13">
        <f>IFERROR(VLOOKUP($F5,'Visu totale'!$D$3:$DH$129,CO$1,0),0)</f>
        <v>0</v>
      </c>
      <c r="CP5" s="13">
        <f>IFERROR(VLOOKUP($F5,'Visu totale'!$D$3:$DH$129,CP$1,0),0)</f>
        <v>0</v>
      </c>
      <c r="CQ5" s="13">
        <f>IFERROR(VLOOKUP($F5,'Visu totale'!$D$3:$DH$129,CQ$1,0),0)</f>
        <v>0</v>
      </c>
      <c r="CR5" s="13">
        <f>IFERROR(VLOOKUP($F5,'Visu totale'!$D$3:$DH$129,CR$1,0),0)</f>
        <v>0</v>
      </c>
      <c r="CS5" s="13">
        <f>IFERROR(VLOOKUP($F5,'Visu totale'!$D$3:$DH$129,CS$1,0),0)</f>
        <v>0</v>
      </c>
      <c r="CT5" s="13">
        <f>IFERROR(VLOOKUP($F5,'Visu totale'!$D$3:$DH$129,CT$1,0),0)</f>
        <v>0</v>
      </c>
      <c r="CU5" s="13">
        <f>IFERROR(VLOOKUP($F5,'Visu totale'!$D$3:$DH$129,CU$1,0),0)</f>
        <v>0</v>
      </c>
      <c r="CV5" s="13">
        <f>IFERROR(VLOOKUP($F5,'Visu totale'!$D$3:$DH$129,CV$1,0),0)</f>
        <v>0</v>
      </c>
      <c r="CW5" s="13">
        <f>IFERROR(VLOOKUP($F5,'Visu totale'!$D$3:$DH$129,CW$1,0),0)</f>
        <v>0</v>
      </c>
      <c r="CX5" s="15">
        <f>IFERROR(VLOOKUP($F5,'Visu totale'!$D$3:$DH$129,CX$1,0),0)</f>
        <v>0</v>
      </c>
      <c r="CY5" s="14">
        <f>IFERROR(VLOOKUP($F5,'Visu totale'!$D$3:$DH$129,CY$1,0),0)</f>
        <v>0</v>
      </c>
      <c r="CZ5" s="13">
        <f>IFERROR(VLOOKUP($F5,'Visu totale'!$D$3:$DH$129,CZ$1,0),0)</f>
        <v>0</v>
      </c>
      <c r="DA5" s="13">
        <f>IFERROR(VLOOKUP($F5,'Visu totale'!$D$3:$DH$129,DA$1,0),0)</f>
        <v>0</v>
      </c>
      <c r="DB5" s="13">
        <f>IFERROR(VLOOKUP($F5,'Visu totale'!$D$3:$DH$129,DB$1,0),0)</f>
        <v>0</v>
      </c>
      <c r="DC5" s="13">
        <f>IFERROR(VLOOKUP($F5,'Visu totale'!$D$3:$DH$129,DC$1,0),0)</f>
        <v>0</v>
      </c>
      <c r="DD5" s="13">
        <f>IFERROR(VLOOKUP($F5,'Visu totale'!$D$3:$DH$129,DD$1,0),0)</f>
        <v>0</v>
      </c>
      <c r="DE5" s="13">
        <f>IFERROR(VLOOKUP($F5,'Visu totale'!$D$3:$DH$129,DE$1,0),0)</f>
        <v>0</v>
      </c>
      <c r="DF5" s="13">
        <f>IFERROR(VLOOKUP($F5,'Visu totale'!$D$3:$DH$129,DF$1,0),0)</f>
        <v>0</v>
      </c>
      <c r="DG5" s="13">
        <f>IFERROR(VLOOKUP($F5,'Visu totale'!$D$3:$DH$129,DG$1,0),0)</f>
        <v>0</v>
      </c>
      <c r="DH5" s="13">
        <f>IFERROR(VLOOKUP($F5,'Visu totale'!$D$3:$DH$129,DH$1,0),0)</f>
        <v>0</v>
      </c>
      <c r="DI5" s="13">
        <f>IFERROR(VLOOKUP($F5,'Visu totale'!$D$3:$DH$129,DI$1,0),0)</f>
        <v>0</v>
      </c>
      <c r="DJ5" s="15">
        <f>IFERROR(VLOOKUP($F5,'Visu totale'!$D$3:$DH$129,DJ$1,0),0)</f>
        <v>0</v>
      </c>
    </row>
    <row r="6" spans="1:114" s="12" customFormat="1" x14ac:dyDescent="0.25">
      <c r="A6" s="13"/>
      <c r="B6" s="13"/>
      <c r="C6" s="13"/>
      <c r="D6" s="13"/>
      <c r="E6" s="13"/>
      <c r="F6" s="17" t="s">
        <v>106</v>
      </c>
      <c r="G6" s="14">
        <f>IFERROR(VLOOKUP($F6,'Visu totale'!$D$3:$DH$129,G$1,0),0)</f>
        <v>0</v>
      </c>
      <c r="H6" s="13">
        <f>IFERROR(VLOOKUP($F6,'Visu totale'!$D$3:$DH$129,H$1,0),0)</f>
        <v>0</v>
      </c>
      <c r="I6" s="13">
        <f>IFERROR(VLOOKUP($F6,'Visu totale'!$D$3:$DH$129,I$1,0),0)</f>
        <v>0</v>
      </c>
      <c r="J6" s="13">
        <f>IFERROR(VLOOKUP($F6,'Visu totale'!$D$3:$DH$129,J$1,0),0)</f>
        <v>0</v>
      </c>
      <c r="K6" s="13">
        <f>IFERROR(VLOOKUP($F6,'Visu totale'!$D$3:$DH$129,K$1,0),0)</f>
        <v>0</v>
      </c>
      <c r="L6" s="13">
        <f>IFERROR(VLOOKUP($F6,'Visu totale'!$D$3:$DH$129,L$1,0),0)</f>
        <v>0</v>
      </c>
      <c r="M6" s="13">
        <f>IFERROR(VLOOKUP($F6,'Visu totale'!$D$3:$DH$129,M$1,0),0)</f>
        <v>0</v>
      </c>
      <c r="N6" s="13">
        <f>IFERROR(VLOOKUP($F6,'Visu totale'!$D$3:$DH$129,N$1,0),0)</f>
        <v>0</v>
      </c>
      <c r="O6" s="13">
        <f>IFERROR(VLOOKUP($F6,'Visu totale'!$D$3:$DH$129,O$1,0),0)</f>
        <v>0</v>
      </c>
      <c r="P6" s="13">
        <f>IFERROR(VLOOKUP($F6,'Visu totale'!$D$3:$DH$129,P$1,0),0)</f>
        <v>0</v>
      </c>
      <c r="Q6" s="13">
        <f>IFERROR(VLOOKUP($F6,'Visu totale'!$D$3:$DH$129,Q$1,0),0)</f>
        <v>0</v>
      </c>
      <c r="R6" s="15">
        <f>IFERROR(VLOOKUP($F6,'Visu totale'!$D$3:$DH$129,R$1,0),0)</f>
        <v>0</v>
      </c>
      <c r="S6" s="14">
        <f>IFERROR(VLOOKUP($F6,'Visu totale'!$D$3:$DH$129,S$1,0),0)</f>
        <v>0</v>
      </c>
      <c r="T6" s="13">
        <f>IFERROR(VLOOKUP($F6,'Visu totale'!$D$3:$DH$129,T$1,0),0)</f>
        <v>0</v>
      </c>
      <c r="U6" s="13">
        <f>IFERROR(VLOOKUP($F6,'Visu totale'!$D$3:$DH$129,U$1,0),0)</f>
        <v>0</v>
      </c>
      <c r="V6" s="13">
        <f>IFERROR(VLOOKUP($F6,'Visu totale'!$D$3:$DH$129,V$1,0),0)</f>
        <v>0</v>
      </c>
      <c r="W6" s="13">
        <f>IFERROR(VLOOKUP($F6,'Visu totale'!$D$3:$DH$129,W$1,0),0)</f>
        <v>0</v>
      </c>
      <c r="X6" s="13">
        <f>IFERROR(VLOOKUP($F6,'Visu totale'!$D$3:$DH$129,X$1,0),0)</f>
        <v>0</v>
      </c>
      <c r="Y6" s="13">
        <f>IFERROR(VLOOKUP($F6,'Visu totale'!$D$3:$DH$129,Y$1,0),0)</f>
        <v>0</v>
      </c>
      <c r="Z6" s="13">
        <f>IFERROR(VLOOKUP($F6,'Visu totale'!$D$3:$DH$129,Z$1,0),0)</f>
        <v>0</v>
      </c>
      <c r="AA6" s="13">
        <f>IFERROR(VLOOKUP($F6,'Visu totale'!$D$3:$DH$129,AA$1,0),0)</f>
        <v>0</v>
      </c>
      <c r="AB6" s="13">
        <f>IFERROR(VLOOKUP($F6,'Visu totale'!$D$3:$DH$129,AB$1,0),0)</f>
        <v>0</v>
      </c>
      <c r="AC6" s="13">
        <f>IFERROR(VLOOKUP($F6,'Visu totale'!$D$3:$DH$129,AC$1,0),0)</f>
        <v>0</v>
      </c>
      <c r="AD6" s="15">
        <f>IFERROR(VLOOKUP($F6,'Visu totale'!$D$3:$DH$129,AD$1,0),0)</f>
        <v>0</v>
      </c>
      <c r="AE6" s="14">
        <f>IFERROR(VLOOKUP($F6,'Visu totale'!$D$3:$DH$129,AE$1,0),0)</f>
        <v>0</v>
      </c>
      <c r="AF6" s="13">
        <f>IFERROR(VLOOKUP($F6,'Visu totale'!$D$3:$DH$129,AF$1,0),0)</f>
        <v>0</v>
      </c>
      <c r="AG6" s="13">
        <f>IFERROR(VLOOKUP($F6,'Visu totale'!$D$3:$DH$129,AG$1,0),0)</f>
        <v>0</v>
      </c>
      <c r="AH6" s="13">
        <f>IFERROR(VLOOKUP($F6,'Visu totale'!$D$3:$DH$129,AH$1,0),0)</f>
        <v>0</v>
      </c>
      <c r="AI6" s="13">
        <f>IFERROR(VLOOKUP($F6,'Visu totale'!$D$3:$DH$129,AI$1,0),0)</f>
        <v>0</v>
      </c>
      <c r="AJ6" s="13">
        <f>IFERROR(VLOOKUP($F6,'Visu totale'!$D$3:$DH$129,AJ$1,0),0)</f>
        <v>0</v>
      </c>
      <c r="AK6" s="13">
        <f>IFERROR(VLOOKUP($F6,'Visu totale'!$D$3:$DH$129,AK$1,0),0)</f>
        <v>0</v>
      </c>
      <c r="AL6" s="13">
        <f>IFERROR(VLOOKUP($F6,'Visu totale'!$D$3:$DH$129,AL$1,0),0)</f>
        <v>0</v>
      </c>
      <c r="AM6" s="13">
        <f>IFERROR(VLOOKUP($F6,'Visu totale'!$D$3:$DH$129,AM$1,0),0)</f>
        <v>0</v>
      </c>
      <c r="AN6" s="13">
        <f>IFERROR(VLOOKUP($F6,'Visu totale'!$D$3:$DH$129,AN$1,0),0)</f>
        <v>0</v>
      </c>
      <c r="AO6" s="13">
        <f>IFERROR(VLOOKUP($F6,'Visu totale'!$D$3:$DH$129,AO$1,0),0)</f>
        <v>0</v>
      </c>
      <c r="AP6" s="15">
        <f>IFERROR(VLOOKUP($F6,'Visu totale'!$D$3:$DH$129,AP$1,0),0)</f>
        <v>0</v>
      </c>
      <c r="AQ6" s="14">
        <f>IFERROR(VLOOKUP($F6,'Visu totale'!$D$3:$DH$129,AQ$1,0),0)</f>
        <v>0</v>
      </c>
      <c r="AR6" s="13">
        <f>IFERROR(VLOOKUP($F6,'Visu totale'!$D$3:$DH$129,AR$1,0),0)</f>
        <v>0</v>
      </c>
      <c r="AS6" s="13">
        <f>IFERROR(VLOOKUP($F6,'Visu totale'!$D$3:$DH$129,AS$1,0),0)</f>
        <v>0</v>
      </c>
      <c r="AT6" s="13">
        <f>IFERROR(VLOOKUP($F6,'Visu totale'!$D$3:$DH$129,AT$1,0),0)</f>
        <v>0</v>
      </c>
      <c r="AU6" s="13">
        <f>IFERROR(VLOOKUP($F6,'Visu totale'!$D$3:$DH$129,AU$1,0),0)</f>
        <v>0</v>
      </c>
      <c r="AV6" s="13">
        <f>IFERROR(VLOOKUP($F6,'Visu totale'!$D$3:$DH$129,AV$1,0),0)</f>
        <v>0</v>
      </c>
      <c r="AW6" s="13">
        <f>IFERROR(VLOOKUP($F6,'Visu totale'!$D$3:$DH$129,AW$1,0),0)</f>
        <v>0</v>
      </c>
      <c r="AX6" s="13">
        <f>IFERROR(VLOOKUP($F6,'Visu totale'!$D$3:$DH$129,AX$1,0),0)</f>
        <v>0</v>
      </c>
      <c r="AY6" s="13">
        <f>IFERROR(VLOOKUP($F6,'Visu totale'!$D$3:$DH$129,AY$1,0),0)</f>
        <v>0</v>
      </c>
      <c r="AZ6" s="13">
        <f>IFERROR(VLOOKUP($F6,'Visu totale'!$D$3:$DH$129,AZ$1,0),0)</f>
        <v>0</v>
      </c>
      <c r="BA6" s="13">
        <f>IFERROR(VLOOKUP($F6,'Visu totale'!$D$3:$DH$129,BA$1,0),0)</f>
        <v>0</v>
      </c>
      <c r="BB6" s="15">
        <f>IFERROR(VLOOKUP($F6,'Visu totale'!$D$3:$DH$129,BB$1,0),0)</f>
        <v>0</v>
      </c>
      <c r="BC6" s="14">
        <f>IFERROR(VLOOKUP($F6,'Visu totale'!$D$3:$DH$129,BC$1,0),0)</f>
        <v>0</v>
      </c>
      <c r="BD6" s="13">
        <f>IFERROR(VLOOKUP($F6,'Visu totale'!$D$3:$DH$129,BD$1,0),0)</f>
        <v>0</v>
      </c>
      <c r="BE6" s="13">
        <f>IFERROR(VLOOKUP($F6,'Visu totale'!$D$3:$DH$129,BE$1,0),0)</f>
        <v>0</v>
      </c>
      <c r="BF6" s="13">
        <f>IFERROR(VLOOKUP($F6,'Visu totale'!$D$3:$DH$129,BF$1,0),0)</f>
        <v>0</v>
      </c>
      <c r="BG6" s="13">
        <f>IFERROR(VLOOKUP($F6,'Visu totale'!$D$3:$DH$129,BG$1,0),0)</f>
        <v>0</v>
      </c>
      <c r="BH6" s="13">
        <f>IFERROR(VLOOKUP($F6,'Visu totale'!$D$3:$DH$129,BH$1,0),0)</f>
        <v>0</v>
      </c>
      <c r="BI6" s="13">
        <f>IFERROR(VLOOKUP($F6,'Visu totale'!$D$3:$DH$129,BI$1,0),0)</f>
        <v>0</v>
      </c>
      <c r="BJ6" s="13">
        <f>IFERROR(VLOOKUP($F6,'Visu totale'!$D$3:$DH$129,BJ$1,0),0)</f>
        <v>0</v>
      </c>
      <c r="BK6" s="13">
        <f>IFERROR(VLOOKUP($F6,'Visu totale'!$D$3:$DH$129,BK$1,0),0)</f>
        <v>0</v>
      </c>
      <c r="BL6" s="13">
        <f>IFERROR(VLOOKUP($F6,'Visu totale'!$D$3:$DH$129,BL$1,0),0)</f>
        <v>0</v>
      </c>
      <c r="BM6" s="13">
        <f>IFERROR(VLOOKUP($F6,'Visu totale'!$D$3:$DH$129,BM$1,0),0)</f>
        <v>0</v>
      </c>
      <c r="BN6" s="15">
        <f>IFERROR(VLOOKUP($F6,'Visu totale'!$D$3:$DH$129,BN$1,0),0)</f>
        <v>0</v>
      </c>
      <c r="BO6" s="14">
        <f>IFERROR(VLOOKUP($F6,'Visu totale'!$D$3:$DH$129,BO$1,0),0)</f>
        <v>0</v>
      </c>
      <c r="BP6" s="13">
        <f>IFERROR(VLOOKUP($F6,'Visu totale'!$D$3:$DH$129,BP$1,0),0)</f>
        <v>0</v>
      </c>
      <c r="BQ6" s="13">
        <f>IFERROR(VLOOKUP($F6,'Visu totale'!$D$3:$DH$129,BQ$1,0),0)</f>
        <v>0</v>
      </c>
      <c r="BR6" s="13">
        <f>IFERROR(VLOOKUP($F6,'Visu totale'!$D$3:$DH$129,BR$1,0),0)</f>
        <v>0</v>
      </c>
      <c r="BS6" s="13">
        <f>IFERROR(VLOOKUP($F6,'Visu totale'!$D$3:$DH$129,BS$1,0),0)</f>
        <v>0</v>
      </c>
      <c r="BT6" s="13">
        <f>IFERROR(VLOOKUP($F6,'Visu totale'!$D$3:$DH$129,BT$1,0),0)</f>
        <v>0</v>
      </c>
      <c r="BU6" s="13">
        <f>IFERROR(VLOOKUP($F6,'Visu totale'!$D$3:$DH$129,BU$1,0),0)</f>
        <v>0</v>
      </c>
      <c r="BV6" s="13">
        <f>IFERROR(VLOOKUP($F6,'Visu totale'!$D$3:$DH$129,BV$1,0),0)</f>
        <v>0</v>
      </c>
      <c r="BW6" s="13">
        <f>IFERROR(VLOOKUP($F6,'Visu totale'!$D$3:$DH$129,BW$1,0),0)</f>
        <v>0</v>
      </c>
      <c r="BX6" s="13">
        <f>IFERROR(VLOOKUP($F6,'Visu totale'!$D$3:$DH$129,BX$1,0),0)</f>
        <v>0</v>
      </c>
      <c r="BY6" s="13">
        <f>IFERROR(VLOOKUP($F6,'Visu totale'!$D$3:$DH$129,BY$1,0),0)</f>
        <v>0</v>
      </c>
      <c r="BZ6" s="15">
        <f>IFERROR(VLOOKUP($F6,'Visu totale'!$D$3:$DH$129,BZ$1,0),0)</f>
        <v>0</v>
      </c>
      <c r="CA6" s="14">
        <f>IFERROR(VLOOKUP($F6,'Visu totale'!$D$3:$DH$129,CA$1,0),0)</f>
        <v>0</v>
      </c>
      <c r="CB6" s="13">
        <f>IFERROR(VLOOKUP($F6,'Visu totale'!$D$3:$DH$129,CB$1,0),0)</f>
        <v>0</v>
      </c>
      <c r="CC6" s="13">
        <f>IFERROR(VLOOKUP($F6,'Visu totale'!$D$3:$DH$129,CC$1,0),0)</f>
        <v>0</v>
      </c>
      <c r="CD6" s="13">
        <f>IFERROR(VLOOKUP($F6,'Visu totale'!$D$3:$DH$129,CD$1,0),0)</f>
        <v>0</v>
      </c>
      <c r="CE6" s="13">
        <f>IFERROR(VLOOKUP($F6,'Visu totale'!$D$3:$DH$129,CE$1,0),0)</f>
        <v>0</v>
      </c>
      <c r="CF6" s="13">
        <f>IFERROR(VLOOKUP($F6,'Visu totale'!$D$3:$DH$129,CF$1,0),0)</f>
        <v>0</v>
      </c>
      <c r="CG6" s="13">
        <f>IFERROR(VLOOKUP($F6,'Visu totale'!$D$3:$DH$129,CG$1,0),0)</f>
        <v>0</v>
      </c>
      <c r="CH6" s="13">
        <f>IFERROR(VLOOKUP($F6,'Visu totale'!$D$3:$DH$129,CH$1,0),0)</f>
        <v>0</v>
      </c>
      <c r="CI6" s="13">
        <f>IFERROR(VLOOKUP($F6,'Visu totale'!$D$3:$DH$129,CI$1,0),0)</f>
        <v>0</v>
      </c>
      <c r="CJ6" s="13">
        <f>IFERROR(VLOOKUP($F6,'Visu totale'!$D$3:$DH$129,CJ$1,0),0)</f>
        <v>0</v>
      </c>
      <c r="CK6" s="13">
        <f>IFERROR(VLOOKUP($F6,'Visu totale'!$D$3:$DH$129,CK$1,0),0)</f>
        <v>0</v>
      </c>
      <c r="CL6" s="15">
        <f>IFERROR(VLOOKUP($F6,'Visu totale'!$D$3:$DH$129,CL$1,0),0)</f>
        <v>0</v>
      </c>
      <c r="CM6" s="14">
        <f>IFERROR(VLOOKUP($F6,'Visu totale'!$D$3:$DH$129,CM$1,0),0)</f>
        <v>0</v>
      </c>
      <c r="CN6" s="13">
        <f>IFERROR(VLOOKUP($F6,'Visu totale'!$D$3:$DH$129,CN$1,0),0)</f>
        <v>0</v>
      </c>
      <c r="CO6" s="13">
        <f>IFERROR(VLOOKUP($F6,'Visu totale'!$D$3:$DH$129,CO$1,0),0)</f>
        <v>0</v>
      </c>
      <c r="CP6" s="13">
        <f>IFERROR(VLOOKUP($F6,'Visu totale'!$D$3:$DH$129,CP$1,0),0)</f>
        <v>0</v>
      </c>
      <c r="CQ6" s="13">
        <f>IFERROR(VLOOKUP($F6,'Visu totale'!$D$3:$DH$129,CQ$1,0),0)</f>
        <v>0</v>
      </c>
      <c r="CR6" s="13">
        <f>IFERROR(VLOOKUP($F6,'Visu totale'!$D$3:$DH$129,CR$1,0),0)</f>
        <v>0</v>
      </c>
      <c r="CS6" s="13">
        <f>IFERROR(VLOOKUP($F6,'Visu totale'!$D$3:$DH$129,CS$1,0),0)</f>
        <v>0</v>
      </c>
      <c r="CT6" s="13">
        <f>IFERROR(VLOOKUP($F6,'Visu totale'!$D$3:$DH$129,CT$1,0),0)</f>
        <v>0</v>
      </c>
      <c r="CU6" s="13">
        <f>IFERROR(VLOOKUP($F6,'Visu totale'!$D$3:$DH$129,CU$1,0),0)</f>
        <v>0</v>
      </c>
      <c r="CV6" s="13">
        <f>IFERROR(VLOOKUP($F6,'Visu totale'!$D$3:$DH$129,CV$1,0),0)</f>
        <v>0</v>
      </c>
      <c r="CW6" s="13">
        <f>IFERROR(VLOOKUP($F6,'Visu totale'!$D$3:$DH$129,CW$1,0),0)</f>
        <v>0</v>
      </c>
      <c r="CX6" s="15">
        <f>IFERROR(VLOOKUP($F6,'Visu totale'!$D$3:$DH$129,CX$1,0),0)</f>
        <v>0</v>
      </c>
      <c r="CY6" s="14">
        <f>IFERROR(VLOOKUP($F6,'Visu totale'!$D$3:$DH$129,CY$1,0),0)</f>
        <v>0</v>
      </c>
      <c r="CZ6" s="13">
        <f>IFERROR(VLOOKUP($F6,'Visu totale'!$D$3:$DH$129,CZ$1,0),0)</f>
        <v>0</v>
      </c>
      <c r="DA6" s="13">
        <f>IFERROR(VLOOKUP($F6,'Visu totale'!$D$3:$DH$129,DA$1,0),0)</f>
        <v>0</v>
      </c>
      <c r="DB6" s="13">
        <f>IFERROR(VLOOKUP($F6,'Visu totale'!$D$3:$DH$129,DB$1,0),0)</f>
        <v>0</v>
      </c>
      <c r="DC6" s="13">
        <f>IFERROR(VLOOKUP($F6,'Visu totale'!$D$3:$DH$129,DC$1,0),0)</f>
        <v>0</v>
      </c>
      <c r="DD6" s="13">
        <f>IFERROR(VLOOKUP($F6,'Visu totale'!$D$3:$DH$129,DD$1,0),0)</f>
        <v>0</v>
      </c>
      <c r="DE6" s="13">
        <f>IFERROR(VLOOKUP($F6,'Visu totale'!$D$3:$DH$129,DE$1,0),0)</f>
        <v>0</v>
      </c>
      <c r="DF6" s="13">
        <f>IFERROR(VLOOKUP($F6,'Visu totale'!$D$3:$DH$129,DF$1,0),0)</f>
        <v>0</v>
      </c>
      <c r="DG6" s="13">
        <f>IFERROR(VLOOKUP($F6,'Visu totale'!$D$3:$DH$129,DG$1,0),0)</f>
        <v>0</v>
      </c>
      <c r="DH6" s="13">
        <f>IFERROR(VLOOKUP($F6,'Visu totale'!$D$3:$DH$129,DH$1,0),0)</f>
        <v>0</v>
      </c>
      <c r="DI6" s="13">
        <f>IFERROR(VLOOKUP($F6,'Visu totale'!$D$3:$DH$129,DI$1,0),0)</f>
        <v>0</v>
      </c>
      <c r="DJ6" s="15">
        <f>IFERROR(VLOOKUP($F6,'Visu totale'!$D$3:$DH$129,DJ$1,0),0)</f>
        <v>0</v>
      </c>
    </row>
    <row r="7" spans="1:114" s="12" customFormat="1" x14ac:dyDescent="0.25">
      <c r="A7" s="13"/>
      <c r="B7" s="13"/>
      <c r="C7" s="13"/>
      <c r="D7" s="13"/>
      <c r="E7" s="13"/>
      <c r="F7" s="17" t="s">
        <v>107</v>
      </c>
      <c r="G7" s="14">
        <f>IFERROR(VLOOKUP($F7,'Visu totale'!$D$3:$DH$129,G$1,0),0)</f>
        <v>0</v>
      </c>
      <c r="H7" s="13">
        <f>IFERROR(VLOOKUP($F7,'Visu totale'!$D$3:$DH$129,H$1,0),0)</f>
        <v>0</v>
      </c>
      <c r="I7" s="13">
        <f>IFERROR(VLOOKUP($F7,'Visu totale'!$D$3:$DH$129,I$1,0),0)</f>
        <v>0</v>
      </c>
      <c r="J7" s="13">
        <f>IFERROR(VLOOKUP($F7,'Visu totale'!$D$3:$DH$129,J$1,0),0)</f>
        <v>0</v>
      </c>
      <c r="K7" s="13">
        <f>IFERROR(VLOOKUP($F7,'Visu totale'!$D$3:$DH$129,K$1,0),0)</f>
        <v>0</v>
      </c>
      <c r="L7" s="13">
        <f>IFERROR(VLOOKUP($F7,'Visu totale'!$D$3:$DH$129,L$1,0),0)</f>
        <v>0</v>
      </c>
      <c r="M7" s="13">
        <f>IFERROR(VLOOKUP($F7,'Visu totale'!$D$3:$DH$129,M$1,0),0)</f>
        <v>0</v>
      </c>
      <c r="N7" s="13">
        <f>IFERROR(VLOOKUP($F7,'Visu totale'!$D$3:$DH$129,N$1,0),0)</f>
        <v>0</v>
      </c>
      <c r="O7" s="13">
        <f>IFERROR(VLOOKUP($F7,'Visu totale'!$D$3:$DH$129,O$1,0),0)</f>
        <v>0</v>
      </c>
      <c r="P7" s="13">
        <f>IFERROR(VLOOKUP($F7,'Visu totale'!$D$3:$DH$129,P$1,0),0)</f>
        <v>0</v>
      </c>
      <c r="Q7" s="13">
        <f>IFERROR(VLOOKUP($F7,'Visu totale'!$D$3:$DH$129,Q$1,0),0)</f>
        <v>0</v>
      </c>
      <c r="R7" s="15">
        <f>IFERROR(VLOOKUP($F7,'Visu totale'!$D$3:$DH$129,R$1,0),0)</f>
        <v>0</v>
      </c>
      <c r="S7" s="14">
        <f>IFERROR(VLOOKUP($F7,'Visu totale'!$D$3:$DH$129,S$1,0),0)</f>
        <v>0</v>
      </c>
      <c r="T7" s="13">
        <f>IFERROR(VLOOKUP($F7,'Visu totale'!$D$3:$DH$129,T$1,0),0)</f>
        <v>0</v>
      </c>
      <c r="U7" s="13">
        <f>IFERROR(VLOOKUP($F7,'Visu totale'!$D$3:$DH$129,U$1,0),0)</f>
        <v>0</v>
      </c>
      <c r="V7" s="13">
        <f>IFERROR(VLOOKUP($F7,'Visu totale'!$D$3:$DH$129,V$1,0),0)</f>
        <v>0</v>
      </c>
      <c r="W7" s="13">
        <f>IFERROR(VLOOKUP($F7,'Visu totale'!$D$3:$DH$129,W$1,0),0)</f>
        <v>0</v>
      </c>
      <c r="X7" s="13">
        <f>IFERROR(VLOOKUP($F7,'Visu totale'!$D$3:$DH$129,X$1,0),0)</f>
        <v>0</v>
      </c>
      <c r="Y7" s="13">
        <f>IFERROR(VLOOKUP($F7,'Visu totale'!$D$3:$DH$129,Y$1,0),0)</f>
        <v>0</v>
      </c>
      <c r="Z7" s="13">
        <f>IFERROR(VLOOKUP($F7,'Visu totale'!$D$3:$DH$129,Z$1,0),0)</f>
        <v>0</v>
      </c>
      <c r="AA7" s="13">
        <f>IFERROR(VLOOKUP($F7,'Visu totale'!$D$3:$DH$129,AA$1,0),0)</f>
        <v>0</v>
      </c>
      <c r="AB7" s="13">
        <f>IFERROR(VLOOKUP($F7,'Visu totale'!$D$3:$DH$129,AB$1,0),0)</f>
        <v>0</v>
      </c>
      <c r="AC7" s="13">
        <f>IFERROR(VLOOKUP($F7,'Visu totale'!$D$3:$DH$129,AC$1,0),0)</f>
        <v>0</v>
      </c>
      <c r="AD7" s="15">
        <f>IFERROR(VLOOKUP($F7,'Visu totale'!$D$3:$DH$129,AD$1,0),0)</f>
        <v>0</v>
      </c>
      <c r="AE7" s="14">
        <f>IFERROR(VLOOKUP($F7,'Visu totale'!$D$3:$DH$129,AE$1,0),0)</f>
        <v>0</v>
      </c>
      <c r="AF7" s="13">
        <f>IFERROR(VLOOKUP($F7,'Visu totale'!$D$3:$DH$129,AF$1,0),0)</f>
        <v>0</v>
      </c>
      <c r="AG7" s="13">
        <f>IFERROR(VLOOKUP($F7,'Visu totale'!$D$3:$DH$129,AG$1,0),0)</f>
        <v>0</v>
      </c>
      <c r="AH7" s="13">
        <f>IFERROR(VLOOKUP($F7,'Visu totale'!$D$3:$DH$129,AH$1,0),0)</f>
        <v>0</v>
      </c>
      <c r="AI7" s="13">
        <f>IFERROR(VLOOKUP($F7,'Visu totale'!$D$3:$DH$129,AI$1,0),0)</f>
        <v>0</v>
      </c>
      <c r="AJ7" s="13">
        <f>IFERROR(VLOOKUP($F7,'Visu totale'!$D$3:$DH$129,AJ$1,0),0)</f>
        <v>0</v>
      </c>
      <c r="AK7" s="13">
        <f>IFERROR(VLOOKUP($F7,'Visu totale'!$D$3:$DH$129,AK$1,0),0)</f>
        <v>0</v>
      </c>
      <c r="AL7" s="13">
        <f>IFERROR(VLOOKUP($F7,'Visu totale'!$D$3:$DH$129,AL$1,0),0)</f>
        <v>0</v>
      </c>
      <c r="AM7" s="13">
        <f>IFERROR(VLOOKUP($F7,'Visu totale'!$D$3:$DH$129,AM$1,0),0)</f>
        <v>0</v>
      </c>
      <c r="AN7" s="13">
        <f>IFERROR(VLOOKUP($F7,'Visu totale'!$D$3:$DH$129,AN$1,0),0)</f>
        <v>0</v>
      </c>
      <c r="AO7" s="13">
        <f>IFERROR(VLOOKUP($F7,'Visu totale'!$D$3:$DH$129,AO$1,0),0)</f>
        <v>0</v>
      </c>
      <c r="AP7" s="15">
        <f>IFERROR(VLOOKUP($F7,'Visu totale'!$D$3:$DH$129,AP$1,0),0)</f>
        <v>0</v>
      </c>
      <c r="AQ7" s="14">
        <f>IFERROR(VLOOKUP($F7,'Visu totale'!$D$3:$DH$129,AQ$1,0),0)</f>
        <v>0</v>
      </c>
      <c r="AR7" s="13">
        <f>IFERROR(VLOOKUP($F7,'Visu totale'!$D$3:$DH$129,AR$1,0),0)</f>
        <v>0</v>
      </c>
      <c r="AS7" s="13">
        <f>IFERROR(VLOOKUP($F7,'Visu totale'!$D$3:$DH$129,AS$1,0),0)</f>
        <v>0</v>
      </c>
      <c r="AT7" s="13">
        <f>IFERROR(VLOOKUP($F7,'Visu totale'!$D$3:$DH$129,AT$1,0),0)</f>
        <v>0</v>
      </c>
      <c r="AU7" s="13">
        <f>IFERROR(VLOOKUP($F7,'Visu totale'!$D$3:$DH$129,AU$1,0),0)</f>
        <v>0</v>
      </c>
      <c r="AV7" s="13">
        <f>IFERROR(VLOOKUP($F7,'Visu totale'!$D$3:$DH$129,AV$1,0),0)</f>
        <v>0</v>
      </c>
      <c r="AW7" s="13">
        <f>IFERROR(VLOOKUP($F7,'Visu totale'!$D$3:$DH$129,AW$1,0),0)</f>
        <v>0</v>
      </c>
      <c r="AX7" s="13">
        <f>IFERROR(VLOOKUP($F7,'Visu totale'!$D$3:$DH$129,AX$1,0),0)</f>
        <v>0</v>
      </c>
      <c r="AY7" s="13">
        <f>IFERROR(VLOOKUP($F7,'Visu totale'!$D$3:$DH$129,AY$1,0),0)</f>
        <v>0</v>
      </c>
      <c r="AZ7" s="13">
        <f>IFERROR(VLOOKUP($F7,'Visu totale'!$D$3:$DH$129,AZ$1,0),0)</f>
        <v>0</v>
      </c>
      <c r="BA7" s="13">
        <f>IFERROR(VLOOKUP($F7,'Visu totale'!$D$3:$DH$129,BA$1,0),0)</f>
        <v>0</v>
      </c>
      <c r="BB7" s="15">
        <f>IFERROR(VLOOKUP($F7,'Visu totale'!$D$3:$DH$129,BB$1,0),0)</f>
        <v>0</v>
      </c>
      <c r="BC7" s="14">
        <f>IFERROR(VLOOKUP($F7,'Visu totale'!$D$3:$DH$129,BC$1,0),0)</f>
        <v>0</v>
      </c>
      <c r="BD7" s="13">
        <f>IFERROR(VLOOKUP($F7,'Visu totale'!$D$3:$DH$129,BD$1,0),0)</f>
        <v>0</v>
      </c>
      <c r="BE7" s="13">
        <f>IFERROR(VLOOKUP($F7,'Visu totale'!$D$3:$DH$129,BE$1,0),0)</f>
        <v>0</v>
      </c>
      <c r="BF7" s="13">
        <f>IFERROR(VLOOKUP($F7,'Visu totale'!$D$3:$DH$129,BF$1,0),0)</f>
        <v>0</v>
      </c>
      <c r="BG7" s="13">
        <f>IFERROR(VLOOKUP($F7,'Visu totale'!$D$3:$DH$129,BG$1,0),0)</f>
        <v>0</v>
      </c>
      <c r="BH7" s="13">
        <f>IFERROR(VLOOKUP($F7,'Visu totale'!$D$3:$DH$129,BH$1,0),0)</f>
        <v>0</v>
      </c>
      <c r="BI7" s="13">
        <f>IFERROR(VLOOKUP($F7,'Visu totale'!$D$3:$DH$129,BI$1,0),0)</f>
        <v>0</v>
      </c>
      <c r="BJ7" s="13">
        <f>IFERROR(VLOOKUP($F7,'Visu totale'!$D$3:$DH$129,BJ$1,0),0)</f>
        <v>0</v>
      </c>
      <c r="BK7" s="13">
        <f>IFERROR(VLOOKUP($F7,'Visu totale'!$D$3:$DH$129,BK$1,0),0)</f>
        <v>0</v>
      </c>
      <c r="BL7" s="13">
        <f>IFERROR(VLOOKUP($F7,'Visu totale'!$D$3:$DH$129,BL$1,0),0)</f>
        <v>0</v>
      </c>
      <c r="BM7" s="13">
        <f>IFERROR(VLOOKUP($F7,'Visu totale'!$D$3:$DH$129,BM$1,0),0)</f>
        <v>0</v>
      </c>
      <c r="BN7" s="15">
        <f>IFERROR(VLOOKUP($F7,'Visu totale'!$D$3:$DH$129,BN$1,0),0)</f>
        <v>0</v>
      </c>
      <c r="BO7" s="14">
        <f>IFERROR(VLOOKUP($F7,'Visu totale'!$D$3:$DH$129,BO$1,0),0)</f>
        <v>0</v>
      </c>
      <c r="BP7" s="13">
        <f>IFERROR(VLOOKUP($F7,'Visu totale'!$D$3:$DH$129,BP$1,0),0)</f>
        <v>0</v>
      </c>
      <c r="BQ7" s="13">
        <f>IFERROR(VLOOKUP($F7,'Visu totale'!$D$3:$DH$129,BQ$1,0),0)</f>
        <v>0</v>
      </c>
      <c r="BR7" s="13">
        <f>IFERROR(VLOOKUP($F7,'Visu totale'!$D$3:$DH$129,BR$1,0),0)</f>
        <v>0</v>
      </c>
      <c r="BS7" s="13">
        <f>IFERROR(VLOOKUP($F7,'Visu totale'!$D$3:$DH$129,BS$1,0),0)</f>
        <v>0</v>
      </c>
      <c r="BT7" s="13">
        <f>IFERROR(VLOOKUP($F7,'Visu totale'!$D$3:$DH$129,BT$1,0),0)</f>
        <v>0</v>
      </c>
      <c r="BU7" s="13">
        <f>IFERROR(VLOOKUP($F7,'Visu totale'!$D$3:$DH$129,BU$1,0),0)</f>
        <v>0</v>
      </c>
      <c r="BV7" s="13">
        <f>IFERROR(VLOOKUP($F7,'Visu totale'!$D$3:$DH$129,BV$1,0),0)</f>
        <v>0</v>
      </c>
      <c r="BW7" s="13">
        <f>IFERROR(VLOOKUP($F7,'Visu totale'!$D$3:$DH$129,BW$1,0),0)</f>
        <v>0</v>
      </c>
      <c r="BX7" s="13">
        <f>IFERROR(VLOOKUP($F7,'Visu totale'!$D$3:$DH$129,BX$1,0),0)</f>
        <v>0</v>
      </c>
      <c r="BY7" s="13">
        <f>IFERROR(VLOOKUP($F7,'Visu totale'!$D$3:$DH$129,BY$1,0),0)</f>
        <v>0</v>
      </c>
      <c r="BZ7" s="15">
        <f>IFERROR(VLOOKUP($F7,'Visu totale'!$D$3:$DH$129,BZ$1,0),0)</f>
        <v>0</v>
      </c>
      <c r="CA7" s="14">
        <f>IFERROR(VLOOKUP($F7,'Visu totale'!$D$3:$DH$129,CA$1,0),0)</f>
        <v>0</v>
      </c>
      <c r="CB7" s="13">
        <f>IFERROR(VLOOKUP($F7,'Visu totale'!$D$3:$DH$129,CB$1,0),0)</f>
        <v>0</v>
      </c>
      <c r="CC7" s="13">
        <f>IFERROR(VLOOKUP($F7,'Visu totale'!$D$3:$DH$129,CC$1,0),0)</f>
        <v>0</v>
      </c>
      <c r="CD7" s="13">
        <f>IFERROR(VLOOKUP($F7,'Visu totale'!$D$3:$DH$129,CD$1,0),0)</f>
        <v>0</v>
      </c>
      <c r="CE7" s="13">
        <f>IFERROR(VLOOKUP($F7,'Visu totale'!$D$3:$DH$129,CE$1,0),0)</f>
        <v>0</v>
      </c>
      <c r="CF7" s="13">
        <f>IFERROR(VLOOKUP($F7,'Visu totale'!$D$3:$DH$129,CF$1,0),0)</f>
        <v>0</v>
      </c>
      <c r="CG7" s="13">
        <f>IFERROR(VLOOKUP($F7,'Visu totale'!$D$3:$DH$129,CG$1,0),0)</f>
        <v>0</v>
      </c>
      <c r="CH7" s="13">
        <f>IFERROR(VLOOKUP($F7,'Visu totale'!$D$3:$DH$129,CH$1,0),0)</f>
        <v>0</v>
      </c>
      <c r="CI7" s="13">
        <f>IFERROR(VLOOKUP($F7,'Visu totale'!$D$3:$DH$129,CI$1,0),0)</f>
        <v>0</v>
      </c>
      <c r="CJ7" s="13">
        <f>IFERROR(VLOOKUP($F7,'Visu totale'!$D$3:$DH$129,CJ$1,0),0)</f>
        <v>0</v>
      </c>
      <c r="CK7" s="13">
        <f>IFERROR(VLOOKUP($F7,'Visu totale'!$D$3:$DH$129,CK$1,0),0)</f>
        <v>0</v>
      </c>
      <c r="CL7" s="15">
        <f>IFERROR(VLOOKUP($F7,'Visu totale'!$D$3:$DH$129,CL$1,0),0)</f>
        <v>0</v>
      </c>
      <c r="CM7" s="14">
        <f>IFERROR(VLOOKUP($F7,'Visu totale'!$D$3:$DH$129,CM$1,0),0)</f>
        <v>0</v>
      </c>
      <c r="CN7" s="13">
        <f>IFERROR(VLOOKUP($F7,'Visu totale'!$D$3:$DH$129,CN$1,0),0)</f>
        <v>0</v>
      </c>
      <c r="CO7" s="13">
        <f>IFERROR(VLOOKUP($F7,'Visu totale'!$D$3:$DH$129,CO$1,0),0)</f>
        <v>0</v>
      </c>
      <c r="CP7" s="13">
        <f>IFERROR(VLOOKUP($F7,'Visu totale'!$D$3:$DH$129,CP$1,0),0)</f>
        <v>0</v>
      </c>
      <c r="CQ7" s="13">
        <f>IFERROR(VLOOKUP($F7,'Visu totale'!$D$3:$DH$129,CQ$1,0),0)</f>
        <v>0</v>
      </c>
      <c r="CR7" s="13">
        <f>IFERROR(VLOOKUP($F7,'Visu totale'!$D$3:$DH$129,CR$1,0),0)</f>
        <v>0</v>
      </c>
      <c r="CS7" s="13">
        <f>IFERROR(VLOOKUP($F7,'Visu totale'!$D$3:$DH$129,CS$1,0),0)</f>
        <v>0</v>
      </c>
      <c r="CT7" s="13">
        <f>IFERROR(VLOOKUP($F7,'Visu totale'!$D$3:$DH$129,CT$1,0),0)</f>
        <v>0</v>
      </c>
      <c r="CU7" s="13">
        <f>IFERROR(VLOOKUP($F7,'Visu totale'!$D$3:$DH$129,CU$1,0),0)</f>
        <v>0</v>
      </c>
      <c r="CV7" s="13">
        <f>IFERROR(VLOOKUP($F7,'Visu totale'!$D$3:$DH$129,CV$1,0),0)</f>
        <v>0</v>
      </c>
      <c r="CW7" s="13">
        <f>IFERROR(VLOOKUP($F7,'Visu totale'!$D$3:$DH$129,CW$1,0),0)</f>
        <v>0</v>
      </c>
      <c r="CX7" s="15">
        <f>IFERROR(VLOOKUP($F7,'Visu totale'!$D$3:$DH$129,CX$1,0),0)</f>
        <v>0</v>
      </c>
      <c r="CY7" s="14">
        <f>IFERROR(VLOOKUP($F7,'Visu totale'!$D$3:$DH$129,CY$1,0),0)</f>
        <v>0</v>
      </c>
      <c r="CZ7" s="13">
        <f>IFERROR(VLOOKUP($F7,'Visu totale'!$D$3:$DH$129,CZ$1,0),0)</f>
        <v>0</v>
      </c>
      <c r="DA7" s="13">
        <f>IFERROR(VLOOKUP($F7,'Visu totale'!$D$3:$DH$129,DA$1,0),0)</f>
        <v>0</v>
      </c>
      <c r="DB7" s="13">
        <f>IFERROR(VLOOKUP($F7,'Visu totale'!$D$3:$DH$129,DB$1,0),0)</f>
        <v>0</v>
      </c>
      <c r="DC7" s="13">
        <f>IFERROR(VLOOKUP($F7,'Visu totale'!$D$3:$DH$129,DC$1,0),0)</f>
        <v>0</v>
      </c>
      <c r="DD7" s="13">
        <f>IFERROR(VLOOKUP($F7,'Visu totale'!$D$3:$DH$129,DD$1,0),0)</f>
        <v>0</v>
      </c>
      <c r="DE7" s="13">
        <f>IFERROR(VLOOKUP($F7,'Visu totale'!$D$3:$DH$129,DE$1,0),0)</f>
        <v>0</v>
      </c>
      <c r="DF7" s="13">
        <f>IFERROR(VLOOKUP($F7,'Visu totale'!$D$3:$DH$129,DF$1,0),0)</f>
        <v>0</v>
      </c>
      <c r="DG7" s="13">
        <f>IFERROR(VLOOKUP($F7,'Visu totale'!$D$3:$DH$129,DG$1,0),0)</f>
        <v>0</v>
      </c>
      <c r="DH7" s="13">
        <f>IFERROR(VLOOKUP($F7,'Visu totale'!$D$3:$DH$129,DH$1,0),0)</f>
        <v>0</v>
      </c>
      <c r="DI7" s="13">
        <f>IFERROR(VLOOKUP($F7,'Visu totale'!$D$3:$DH$129,DI$1,0),0)</f>
        <v>0</v>
      </c>
      <c r="DJ7" s="15">
        <f>IFERROR(VLOOKUP($F7,'Visu totale'!$D$3:$DH$129,DJ$1,0),0)</f>
        <v>0</v>
      </c>
    </row>
    <row r="8" spans="1:114" s="12" customFormat="1" x14ac:dyDescent="0.25">
      <c r="A8" s="13"/>
      <c r="B8" s="13"/>
      <c r="C8" s="13"/>
      <c r="D8" s="13"/>
      <c r="E8" s="13"/>
      <c r="F8" s="17" t="s">
        <v>108</v>
      </c>
      <c r="G8" s="14">
        <f>IFERROR(VLOOKUP($F8,'Visu totale'!$D$3:$DH$129,G$1,0),0)</f>
        <v>0</v>
      </c>
      <c r="H8" s="13">
        <f>IFERROR(VLOOKUP($F8,'Visu totale'!$D$3:$DH$129,H$1,0),0)</f>
        <v>0</v>
      </c>
      <c r="I8" s="13">
        <f>IFERROR(VLOOKUP($F8,'Visu totale'!$D$3:$DH$129,I$1,0),0)</f>
        <v>0</v>
      </c>
      <c r="J8" s="13">
        <f>IFERROR(VLOOKUP($F8,'Visu totale'!$D$3:$DH$129,J$1,0),0)</f>
        <v>0</v>
      </c>
      <c r="K8" s="13">
        <f>IFERROR(VLOOKUP($F8,'Visu totale'!$D$3:$DH$129,K$1,0),0)</f>
        <v>0</v>
      </c>
      <c r="L8" s="13">
        <f>IFERROR(VLOOKUP($F8,'Visu totale'!$D$3:$DH$129,L$1,0),0)</f>
        <v>0</v>
      </c>
      <c r="M8" s="13">
        <f>IFERROR(VLOOKUP($F8,'Visu totale'!$D$3:$DH$129,M$1,0),0)</f>
        <v>0</v>
      </c>
      <c r="N8" s="13">
        <f>IFERROR(VLOOKUP($F8,'Visu totale'!$D$3:$DH$129,N$1,0),0)</f>
        <v>0</v>
      </c>
      <c r="O8" s="13">
        <f>IFERROR(VLOOKUP($F8,'Visu totale'!$D$3:$DH$129,O$1,0),0)</f>
        <v>0</v>
      </c>
      <c r="P8" s="13">
        <f>IFERROR(VLOOKUP($F8,'Visu totale'!$D$3:$DH$129,P$1,0),0)</f>
        <v>0</v>
      </c>
      <c r="Q8" s="13">
        <f>IFERROR(VLOOKUP($F8,'Visu totale'!$D$3:$DH$129,Q$1,0),0)</f>
        <v>0</v>
      </c>
      <c r="R8" s="15">
        <f>IFERROR(VLOOKUP($F8,'Visu totale'!$D$3:$DH$129,R$1,0),0)</f>
        <v>0</v>
      </c>
      <c r="S8" s="14">
        <f>IFERROR(VLOOKUP($F8,'Visu totale'!$D$3:$DH$129,S$1,0),0)</f>
        <v>0</v>
      </c>
      <c r="T8" s="13">
        <f>IFERROR(VLOOKUP($F8,'Visu totale'!$D$3:$DH$129,T$1,0),0)</f>
        <v>0</v>
      </c>
      <c r="U8" s="13">
        <f>IFERROR(VLOOKUP($F8,'Visu totale'!$D$3:$DH$129,U$1,0),0)</f>
        <v>0</v>
      </c>
      <c r="V8" s="13">
        <f>IFERROR(VLOOKUP($F8,'Visu totale'!$D$3:$DH$129,V$1,0),0)</f>
        <v>0</v>
      </c>
      <c r="W8" s="13">
        <f>IFERROR(VLOOKUP($F8,'Visu totale'!$D$3:$DH$129,W$1,0),0)</f>
        <v>0</v>
      </c>
      <c r="X8" s="13">
        <f>IFERROR(VLOOKUP($F8,'Visu totale'!$D$3:$DH$129,X$1,0),0)</f>
        <v>0</v>
      </c>
      <c r="Y8" s="13">
        <f>IFERROR(VLOOKUP($F8,'Visu totale'!$D$3:$DH$129,Y$1,0),0)</f>
        <v>0</v>
      </c>
      <c r="Z8" s="13">
        <f>IFERROR(VLOOKUP($F8,'Visu totale'!$D$3:$DH$129,Z$1,0),0)</f>
        <v>0</v>
      </c>
      <c r="AA8" s="13">
        <f>IFERROR(VLOOKUP($F8,'Visu totale'!$D$3:$DH$129,AA$1,0),0)</f>
        <v>0</v>
      </c>
      <c r="AB8" s="13">
        <f>IFERROR(VLOOKUP($F8,'Visu totale'!$D$3:$DH$129,AB$1,0),0)</f>
        <v>0</v>
      </c>
      <c r="AC8" s="13">
        <f>IFERROR(VLOOKUP($F8,'Visu totale'!$D$3:$DH$129,AC$1,0),0)</f>
        <v>0</v>
      </c>
      <c r="AD8" s="15">
        <f>IFERROR(VLOOKUP($F8,'Visu totale'!$D$3:$DH$129,AD$1,0),0)</f>
        <v>0</v>
      </c>
      <c r="AE8" s="14">
        <f>IFERROR(VLOOKUP($F8,'Visu totale'!$D$3:$DH$129,AE$1,0),0)</f>
        <v>0</v>
      </c>
      <c r="AF8" s="13">
        <f>IFERROR(VLOOKUP($F8,'Visu totale'!$D$3:$DH$129,AF$1,0),0)</f>
        <v>0</v>
      </c>
      <c r="AG8" s="13">
        <f>IFERROR(VLOOKUP($F8,'Visu totale'!$D$3:$DH$129,AG$1,0),0)</f>
        <v>0</v>
      </c>
      <c r="AH8" s="13">
        <f>IFERROR(VLOOKUP($F8,'Visu totale'!$D$3:$DH$129,AH$1,0),0)</f>
        <v>0</v>
      </c>
      <c r="AI8" s="13">
        <f>IFERROR(VLOOKUP($F8,'Visu totale'!$D$3:$DH$129,AI$1,0),0)</f>
        <v>0</v>
      </c>
      <c r="AJ8" s="13">
        <f>IFERROR(VLOOKUP($F8,'Visu totale'!$D$3:$DH$129,AJ$1,0),0)</f>
        <v>0</v>
      </c>
      <c r="AK8" s="13">
        <f>IFERROR(VLOOKUP($F8,'Visu totale'!$D$3:$DH$129,AK$1,0),0)</f>
        <v>0</v>
      </c>
      <c r="AL8" s="13">
        <f>IFERROR(VLOOKUP($F8,'Visu totale'!$D$3:$DH$129,AL$1,0),0)</f>
        <v>0</v>
      </c>
      <c r="AM8" s="13">
        <f>IFERROR(VLOOKUP($F8,'Visu totale'!$D$3:$DH$129,AM$1,0),0)</f>
        <v>0</v>
      </c>
      <c r="AN8" s="13">
        <f>IFERROR(VLOOKUP($F8,'Visu totale'!$D$3:$DH$129,AN$1,0),0)</f>
        <v>0</v>
      </c>
      <c r="AO8" s="13">
        <f>IFERROR(VLOOKUP($F8,'Visu totale'!$D$3:$DH$129,AO$1,0),0)</f>
        <v>0</v>
      </c>
      <c r="AP8" s="15">
        <f>IFERROR(VLOOKUP($F8,'Visu totale'!$D$3:$DH$129,AP$1,0),0)</f>
        <v>0</v>
      </c>
      <c r="AQ8" s="14">
        <f>IFERROR(VLOOKUP($F8,'Visu totale'!$D$3:$DH$129,AQ$1,0),0)</f>
        <v>0</v>
      </c>
      <c r="AR8" s="13">
        <f>IFERROR(VLOOKUP($F8,'Visu totale'!$D$3:$DH$129,AR$1,0),0)</f>
        <v>0</v>
      </c>
      <c r="AS8" s="13">
        <f>IFERROR(VLOOKUP($F8,'Visu totale'!$D$3:$DH$129,AS$1,0),0)</f>
        <v>0</v>
      </c>
      <c r="AT8" s="13">
        <f>IFERROR(VLOOKUP($F8,'Visu totale'!$D$3:$DH$129,AT$1,0),0)</f>
        <v>0</v>
      </c>
      <c r="AU8" s="13">
        <f>IFERROR(VLOOKUP($F8,'Visu totale'!$D$3:$DH$129,AU$1,0),0)</f>
        <v>0</v>
      </c>
      <c r="AV8" s="13">
        <f>IFERROR(VLOOKUP($F8,'Visu totale'!$D$3:$DH$129,AV$1,0),0)</f>
        <v>0</v>
      </c>
      <c r="AW8" s="13">
        <f>IFERROR(VLOOKUP($F8,'Visu totale'!$D$3:$DH$129,AW$1,0),0)</f>
        <v>0</v>
      </c>
      <c r="AX8" s="13">
        <f>IFERROR(VLOOKUP($F8,'Visu totale'!$D$3:$DH$129,AX$1,0),0)</f>
        <v>0</v>
      </c>
      <c r="AY8" s="13">
        <f>IFERROR(VLOOKUP($F8,'Visu totale'!$D$3:$DH$129,AY$1,0),0)</f>
        <v>0</v>
      </c>
      <c r="AZ8" s="13">
        <f>IFERROR(VLOOKUP($F8,'Visu totale'!$D$3:$DH$129,AZ$1,0),0)</f>
        <v>0</v>
      </c>
      <c r="BA8" s="13">
        <f>IFERROR(VLOOKUP($F8,'Visu totale'!$D$3:$DH$129,BA$1,0),0)</f>
        <v>0</v>
      </c>
      <c r="BB8" s="15">
        <f>IFERROR(VLOOKUP($F8,'Visu totale'!$D$3:$DH$129,BB$1,0),0)</f>
        <v>0</v>
      </c>
      <c r="BC8" s="14">
        <f>IFERROR(VLOOKUP($F8,'Visu totale'!$D$3:$DH$129,BC$1,0),0)</f>
        <v>0</v>
      </c>
      <c r="BD8" s="13">
        <f>IFERROR(VLOOKUP($F8,'Visu totale'!$D$3:$DH$129,BD$1,0),0)</f>
        <v>0</v>
      </c>
      <c r="BE8" s="13">
        <f>IFERROR(VLOOKUP($F8,'Visu totale'!$D$3:$DH$129,BE$1,0),0)</f>
        <v>0</v>
      </c>
      <c r="BF8" s="13">
        <f>IFERROR(VLOOKUP($F8,'Visu totale'!$D$3:$DH$129,BF$1,0),0)</f>
        <v>0</v>
      </c>
      <c r="BG8" s="13">
        <f>IFERROR(VLOOKUP($F8,'Visu totale'!$D$3:$DH$129,BG$1,0),0)</f>
        <v>0</v>
      </c>
      <c r="BH8" s="13">
        <f>IFERROR(VLOOKUP($F8,'Visu totale'!$D$3:$DH$129,BH$1,0),0)</f>
        <v>0</v>
      </c>
      <c r="BI8" s="13">
        <f>IFERROR(VLOOKUP($F8,'Visu totale'!$D$3:$DH$129,BI$1,0),0)</f>
        <v>0</v>
      </c>
      <c r="BJ8" s="13">
        <f>IFERROR(VLOOKUP($F8,'Visu totale'!$D$3:$DH$129,BJ$1,0),0)</f>
        <v>0</v>
      </c>
      <c r="BK8" s="13">
        <f>IFERROR(VLOOKUP($F8,'Visu totale'!$D$3:$DH$129,BK$1,0),0)</f>
        <v>0</v>
      </c>
      <c r="BL8" s="13">
        <f>IFERROR(VLOOKUP($F8,'Visu totale'!$D$3:$DH$129,BL$1,0),0)</f>
        <v>0</v>
      </c>
      <c r="BM8" s="13">
        <f>IFERROR(VLOOKUP($F8,'Visu totale'!$D$3:$DH$129,BM$1,0),0)</f>
        <v>0</v>
      </c>
      <c r="BN8" s="15">
        <f>IFERROR(VLOOKUP($F8,'Visu totale'!$D$3:$DH$129,BN$1,0),0)</f>
        <v>0</v>
      </c>
      <c r="BO8" s="14">
        <f>IFERROR(VLOOKUP($F8,'Visu totale'!$D$3:$DH$129,BO$1,0),0)</f>
        <v>0</v>
      </c>
      <c r="BP8" s="13">
        <f>IFERROR(VLOOKUP($F8,'Visu totale'!$D$3:$DH$129,BP$1,0),0)</f>
        <v>0</v>
      </c>
      <c r="BQ8" s="13">
        <f>IFERROR(VLOOKUP($F8,'Visu totale'!$D$3:$DH$129,BQ$1,0),0)</f>
        <v>0</v>
      </c>
      <c r="BR8" s="13">
        <f>IFERROR(VLOOKUP($F8,'Visu totale'!$D$3:$DH$129,BR$1,0),0)</f>
        <v>0</v>
      </c>
      <c r="BS8" s="13">
        <f>IFERROR(VLOOKUP($F8,'Visu totale'!$D$3:$DH$129,BS$1,0),0)</f>
        <v>0</v>
      </c>
      <c r="BT8" s="13">
        <f>IFERROR(VLOOKUP($F8,'Visu totale'!$D$3:$DH$129,BT$1,0),0)</f>
        <v>0</v>
      </c>
      <c r="BU8" s="13">
        <f>IFERROR(VLOOKUP($F8,'Visu totale'!$D$3:$DH$129,BU$1,0),0)</f>
        <v>0</v>
      </c>
      <c r="BV8" s="13">
        <f>IFERROR(VLOOKUP($F8,'Visu totale'!$D$3:$DH$129,BV$1,0),0)</f>
        <v>0</v>
      </c>
      <c r="BW8" s="13">
        <f>IFERROR(VLOOKUP($F8,'Visu totale'!$D$3:$DH$129,BW$1,0),0)</f>
        <v>0</v>
      </c>
      <c r="BX8" s="13">
        <f>IFERROR(VLOOKUP($F8,'Visu totale'!$D$3:$DH$129,BX$1,0),0)</f>
        <v>0</v>
      </c>
      <c r="BY8" s="13">
        <f>IFERROR(VLOOKUP($F8,'Visu totale'!$D$3:$DH$129,BY$1,0),0)</f>
        <v>0</v>
      </c>
      <c r="BZ8" s="15">
        <f>IFERROR(VLOOKUP($F8,'Visu totale'!$D$3:$DH$129,BZ$1,0),0)</f>
        <v>0</v>
      </c>
      <c r="CA8" s="14">
        <f>IFERROR(VLOOKUP($F8,'Visu totale'!$D$3:$DH$129,CA$1,0),0)</f>
        <v>0</v>
      </c>
      <c r="CB8" s="13">
        <f>IFERROR(VLOOKUP($F8,'Visu totale'!$D$3:$DH$129,CB$1,0),0)</f>
        <v>0</v>
      </c>
      <c r="CC8" s="13">
        <f>IFERROR(VLOOKUP($F8,'Visu totale'!$D$3:$DH$129,CC$1,0),0)</f>
        <v>0</v>
      </c>
      <c r="CD8" s="13">
        <f>IFERROR(VLOOKUP($F8,'Visu totale'!$D$3:$DH$129,CD$1,0),0)</f>
        <v>0</v>
      </c>
      <c r="CE8" s="13">
        <f>IFERROR(VLOOKUP($F8,'Visu totale'!$D$3:$DH$129,CE$1,0),0)</f>
        <v>0</v>
      </c>
      <c r="CF8" s="13">
        <f>IFERROR(VLOOKUP($F8,'Visu totale'!$D$3:$DH$129,CF$1,0),0)</f>
        <v>0</v>
      </c>
      <c r="CG8" s="13">
        <f>IFERROR(VLOOKUP($F8,'Visu totale'!$D$3:$DH$129,CG$1,0),0)</f>
        <v>0</v>
      </c>
      <c r="CH8" s="13">
        <f>IFERROR(VLOOKUP($F8,'Visu totale'!$D$3:$DH$129,CH$1,0),0)</f>
        <v>0</v>
      </c>
      <c r="CI8" s="13">
        <f>IFERROR(VLOOKUP($F8,'Visu totale'!$D$3:$DH$129,CI$1,0),0)</f>
        <v>0</v>
      </c>
      <c r="CJ8" s="13">
        <f>IFERROR(VLOOKUP($F8,'Visu totale'!$D$3:$DH$129,CJ$1,0),0)</f>
        <v>0</v>
      </c>
      <c r="CK8" s="13">
        <f>IFERROR(VLOOKUP($F8,'Visu totale'!$D$3:$DH$129,CK$1,0),0)</f>
        <v>0</v>
      </c>
      <c r="CL8" s="15">
        <f>IFERROR(VLOOKUP($F8,'Visu totale'!$D$3:$DH$129,CL$1,0),0)</f>
        <v>0</v>
      </c>
      <c r="CM8" s="14">
        <f>IFERROR(VLOOKUP($F8,'Visu totale'!$D$3:$DH$129,CM$1,0),0)</f>
        <v>0</v>
      </c>
      <c r="CN8" s="13">
        <f>IFERROR(VLOOKUP($F8,'Visu totale'!$D$3:$DH$129,CN$1,0),0)</f>
        <v>0</v>
      </c>
      <c r="CO8" s="13">
        <f>IFERROR(VLOOKUP($F8,'Visu totale'!$D$3:$DH$129,CO$1,0),0)</f>
        <v>0</v>
      </c>
      <c r="CP8" s="13">
        <f>IFERROR(VLOOKUP($F8,'Visu totale'!$D$3:$DH$129,CP$1,0),0)</f>
        <v>0</v>
      </c>
      <c r="CQ8" s="13">
        <f>IFERROR(VLOOKUP($F8,'Visu totale'!$D$3:$DH$129,CQ$1,0),0)</f>
        <v>0</v>
      </c>
      <c r="CR8" s="13">
        <f>IFERROR(VLOOKUP($F8,'Visu totale'!$D$3:$DH$129,CR$1,0),0)</f>
        <v>0</v>
      </c>
      <c r="CS8" s="13">
        <f>IFERROR(VLOOKUP($F8,'Visu totale'!$D$3:$DH$129,CS$1,0),0)</f>
        <v>0</v>
      </c>
      <c r="CT8" s="13">
        <f>IFERROR(VLOOKUP($F8,'Visu totale'!$D$3:$DH$129,CT$1,0),0)</f>
        <v>0</v>
      </c>
      <c r="CU8" s="13">
        <f>IFERROR(VLOOKUP($F8,'Visu totale'!$D$3:$DH$129,CU$1,0),0)</f>
        <v>0</v>
      </c>
      <c r="CV8" s="13">
        <f>IFERROR(VLOOKUP($F8,'Visu totale'!$D$3:$DH$129,CV$1,0),0)</f>
        <v>0</v>
      </c>
      <c r="CW8" s="13">
        <f>IFERROR(VLOOKUP($F8,'Visu totale'!$D$3:$DH$129,CW$1,0),0)</f>
        <v>0</v>
      </c>
      <c r="CX8" s="15">
        <f>IFERROR(VLOOKUP($F8,'Visu totale'!$D$3:$DH$129,CX$1,0),0)</f>
        <v>0</v>
      </c>
      <c r="CY8" s="14">
        <f>IFERROR(VLOOKUP($F8,'Visu totale'!$D$3:$DH$129,CY$1,0),0)</f>
        <v>0</v>
      </c>
      <c r="CZ8" s="13">
        <f>IFERROR(VLOOKUP($F8,'Visu totale'!$D$3:$DH$129,CZ$1,0),0)</f>
        <v>0</v>
      </c>
      <c r="DA8" s="13">
        <f>IFERROR(VLOOKUP($F8,'Visu totale'!$D$3:$DH$129,DA$1,0),0)</f>
        <v>0</v>
      </c>
      <c r="DB8" s="13">
        <f>IFERROR(VLOOKUP($F8,'Visu totale'!$D$3:$DH$129,DB$1,0),0)</f>
        <v>0</v>
      </c>
      <c r="DC8" s="13">
        <f>IFERROR(VLOOKUP($F8,'Visu totale'!$D$3:$DH$129,DC$1,0),0)</f>
        <v>0</v>
      </c>
      <c r="DD8" s="13">
        <f>IFERROR(VLOOKUP($F8,'Visu totale'!$D$3:$DH$129,DD$1,0),0)</f>
        <v>0</v>
      </c>
      <c r="DE8" s="13">
        <f>IFERROR(VLOOKUP($F8,'Visu totale'!$D$3:$DH$129,DE$1,0),0)</f>
        <v>0</v>
      </c>
      <c r="DF8" s="13">
        <f>IFERROR(VLOOKUP($F8,'Visu totale'!$D$3:$DH$129,DF$1,0),0)</f>
        <v>0</v>
      </c>
      <c r="DG8" s="13">
        <f>IFERROR(VLOOKUP($F8,'Visu totale'!$D$3:$DH$129,DG$1,0),0)</f>
        <v>0</v>
      </c>
      <c r="DH8" s="13">
        <f>IFERROR(VLOOKUP($F8,'Visu totale'!$D$3:$DH$129,DH$1,0),0)</f>
        <v>0</v>
      </c>
      <c r="DI8" s="13">
        <f>IFERROR(VLOOKUP($F8,'Visu totale'!$D$3:$DH$129,DI$1,0),0)</f>
        <v>0</v>
      </c>
      <c r="DJ8" s="15">
        <f>IFERROR(VLOOKUP($F8,'Visu totale'!$D$3:$DH$129,DJ$1,0),0)</f>
        <v>0</v>
      </c>
    </row>
    <row r="9" spans="1:114" s="12" customFormat="1" x14ac:dyDescent="0.25">
      <c r="A9" s="13"/>
      <c r="B9" s="13"/>
      <c r="C9" s="13"/>
      <c r="D9" s="13"/>
      <c r="E9" s="13"/>
      <c r="F9" s="17" t="s">
        <v>109</v>
      </c>
      <c r="G9" s="14">
        <f>IFERROR(VLOOKUP($F9,'Visu totale'!$D$3:$DH$129,G$1,0),0)</f>
        <v>0</v>
      </c>
      <c r="H9" s="13">
        <f>IFERROR(VLOOKUP($F9,'Visu totale'!$D$3:$DH$129,H$1,0),0)</f>
        <v>0</v>
      </c>
      <c r="I9" s="13">
        <f>IFERROR(VLOOKUP($F9,'Visu totale'!$D$3:$DH$129,I$1,0),0)</f>
        <v>0</v>
      </c>
      <c r="J9" s="13">
        <f>IFERROR(VLOOKUP($F9,'Visu totale'!$D$3:$DH$129,J$1,0),0)</f>
        <v>0</v>
      </c>
      <c r="K9" s="13">
        <f>IFERROR(VLOOKUP($F9,'Visu totale'!$D$3:$DH$129,K$1,0),0)</f>
        <v>0</v>
      </c>
      <c r="L9" s="13">
        <f>IFERROR(VLOOKUP($F9,'Visu totale'!$D$3:$DH$129,L$1,0),0)</f>
        <v>0</v>
      </c>
      <c r="M9" s="13">
        <f>IFERROR(VLOOKUP($F9,'Visu totale'!$D$3:$DH$129,M$1,0),0)</f>
        <v>0</v>
      </c>
      <c r="N9" s="13">
        <f>IFERROR(VLOOKUP($F9,'Visu totale'!$D$3:$DH$129,N$1,0),0)</f>
        <v>0</v>
      </c>
      <c r="O9" s="13">
        <f>IFERROR(VLOOKUP($F9,'Visu totale'!$D$3:$DH$129,O$1,0),0)</f>
        <v>0</v>
      </c>
      <c r="P9" s="13">
        <f>IFERROR(VLOOKUP($F9,'Visu totale'!$D$3:$DH$129,P$1,0),0)</f>
        <v>0</v>
      </c>
      <c r="Q9" s="13">
        <f>IFERROR(VLOOKUP($F9,'Visu totale'!$D$3:$DH$129,Q$1,0),0)</f>
        <v>0</v>
      </c>
      <c r="R9" s="15">
        <f>IFERROR(VLOOKUP($F9,'Visu totale'!$D$3:$DH$129,R$1,0),0)</f>
        <v>0</v>
      </c>
      <c r="S9" s="14">
        <f>IFERROR(VLOOKUP($F9,'Visu totale'!$D$3:$DH$129,S$1,0),0)</f>
        <v>0</v>
      </c>
      <c r="T9" s="13">
        <f>IFERROR(VLOOKUP($F9,'Visu totale'!$D$3:$DH$129,T$1,0),0)</f>
        <v>0</v>
      </c>
      <c r="U9" s="13">
        <f>IFERROR(VLOOKUP($F9,'Visu totale'!$D$3:$DH$129,U$1,0),0)</f>
        <v>0</v>
      </c>
      <c r="V9" s="13">
        <f>IFERROR(VLOOKUP($F9,'Visu totale'!$D$3:$DH$129,V$1,0),0)</f>
        <v>0</v>
      </c>
      <c r="W9" s="13">
        <f>IFERROR(VLOOKUP($F9,'Visu totale'!$D$3:$DH$129,W$1,0),0)</f>
        <v>0</v>
      </c>
      <c r="X9" s="13">
        <f>IFERROR(VLOOKUP($F9,'Visu totale'!$D$3:$DH$129,X$1,0),0)</f>
        <v>0</v>
      </c>
      <c r="Y9" s="13">
        <f>IFERROR(VLOOKUP($F9,'Visu totale'!$D$3:$DH$129,Y$1,0),0)</f>
        <v>0</v>
      </c>
      <c r="Z9" s="13">
        <f>IFERROR(VLOOKUP($F9,'Visu totale'!$D$3:$DH$129,Z$1,0),0)</f>
        <v>0</v>
      </c>
      <c r="AA9" s="13">
        <f>IFERROR(VLOOKUP($F9,'Visu totale'!$D$3:$DH$129,AA$1,0),0)</f>
        <v>0</v>
      </c>
      <c r="AB9" s="13">
        <f>IFERROR(VLOOKUP($F9,'Visu totale'!$D$3:$DH$129,AB$1,0),0)</f>
        <v>0</v>
      </c>
      <c r="AC9" s="13">
        <f>IFERROR(VLOOKUP($F9,'Visu totale'!$D$3:$DH$129,AC$1,0),0)</f>
        <v>0</v>
      </c>
      <c r="AD9" s="15">
        <f>IFERROR(VLOOKUP($F9,'Visu totale'!$D$3:$DH$129,AD$1,0),0)</f>
        <v>0</v>
      </c>
      <c r="AE9" s="14">
        <f>IFERROR(VLOOKUP($F9,'Visu totale'!$D$3:$DH$129,AE$1,0),0)</f>
        <v>0</v>
      </c>
      <c r="AF9" s="13">
        <f>IFERROR(VLOOKUP($F9,'Visu totale'!$D$3:$DH$129,AF$1,0),0)</f>
        <v>0</v>
      </c>
      <c r="AG9" s="13">
        <f>IFERROR(VLOOKUP($F9,'Visu totale'!$D$3:$DH$129,AG$1,0),0)</f>
        <v>0</v>
      </c>
      <c r="AH9" s="13">
        <f>IFERROR(VLOOKUP($F9,'Visu totale'!$D$3:$DH$129,AH$1,0),0)</f>
        <v>0</v>
      </c>
      <c r="AI9" s="13">
        <f>IFERROR(VLOOKUP($F9,'Visu totale'!$D$3:$DH$129,AI$1,0),0)</f>
        <v>0</v>
      </c>
      <c r="AJ9" s="13">
        <f>IFERROR(VLOOKUP($F9,'Visu totale'!$D$3:$DH$129,AJ$1,0),0)</f>
        <v>0</v>
      </c>
      <c r="AK9" s="13">
        <f>IFERROR(VLOOKUP($F9,'Visu totale'!$D$3:$DH$129,AK$1,0),0)</f>
        <v>0</v>
      </c>
      <c r="AL9" s="13">
        <f>IFERROR(VLOOKUP($F9,'Visu totale'!$D$3:$DH$129,AL$1,0),0)</f>
        <v>0</v>
      </c>
      <c r="AM9" s="13">
        <f>IFERROR(VLOOKUP($F9,'Visu totale'!$D$3:$DH$129,AM$1,0),0)</f>
        <v>0</v>
      </c>
      <c r="AN9" s="13">
        <f>IFERROR(VLOOKUP($F9,'Visu totale'!$D$3:$DH$129,AN$1,0),0)</f>
        <v>0</v>
      </c>
      <c r="AO9" s="13">
        <f>IFERROR(VLOOKUP($F9,'Visu totale'!$D$3:$DH$129,AO$1,0),0)</f>
        <v>0</v>
      </c>
      <c r="AP9" s="15">
        <f>IFERROR(VLOOKUP($F9,'Visu totale'!$D$3:$DH$129,AP$1,0),0)</f>
        <v>0</v>
      </c>
      <c r="AQ9" s="14">
        <f>IFERROR(VLOOKUP($F9,'Visu totale'!$D$3:$DH$129,AQ$1,0),0)</f>
        <v>0</v>
      </c>
      <c r="AR9" s="13">
        <f>IFERROR(VLOOKUP($F9,'Visu totale'!$D$3:$DH$129,AR$1,0),0)</f>
        <v>0</v>
      </c>
      <c r="AS9" s="13">
        <f>IFERROR(VLOOKUP($F9,'Visu totale'!$D$3:$DH$129,AS$1,0),0)</f>
        <v>0</v>
      </c>
      <c r="AT9" s="13">
        <f>IFERROR(VLOOKUP($F9,'Visu totale'!$D$3:$DH$129,AT$1,0),0)</f>
        <v>0</v>
      </c>
      <c r="AU9" s="13">
        <f>IFERROR(VLOOKUP($F9,'Visu totale'!$D$3:$DH$129,AU$1,0),0)</f>
        <v>0</v>
      </c>
      <c r="AV9" s="13">
        <f>IFERROR(VLOOKUP($F9,'Visu totale'!$D$3:$DH$129,AV$1,0),0)</f>
        <v>0</v>
      </c>
      <c r="AW9" s="13">
        <f>IFERROR(VLOOKUP($F9,'Visu totale'!$D$3:$DH$129,AW$1,0),0)</f>
        <v>0</v>
      </c>
      <c r="AX9" s="13">
        <f>IFERROR(VLOOKUP($F9,'Visu totale'!$D$3:$DH$129,AX$1,0),0)</f>
        <v>0</v>
      </c>
      <c r="AY9" s="13">
        <f>IFERROR(VLOOKUP($F9,'Visu totale'!$D$3:$DH$129,AY$1,0),0)</f>
        <v>0</v>
      </c>
      <c r="AZ9" s="13">
        <f>IFERROR(VLOOKUP($F9,'Visu totale'!$D$3:$DH$129,AZ$1,0),0)</f>
        <v>0</v>
      </c>
      <c r="BA9" s="13">
        <f>IFERROR(VLOOKUP($F9,'Visu totale'!$D$3:$DH$129,BA$1,0),0)</f>
        <v>0</v>
      </c>
      <c r="BB9" s="15">
        <f>IFERROR(VLOOKUP($F9,'Visu totale'!$D$3:$DH$129,BB$1,0),0)</f>
        <v>0</v>
      </c>
      <c r="BC9" s="14">
        <f>IFERROR(VLOOKUP($F9,'Visu totale'!$D$3:$DH$129,BC$1,0),0)</f>
        <v>0</v>
      </c>
      <c r="BD9" s="13">
        <f>IFERROR(VLOOKUP($F9,'Visu totale'!$D$3:$DH$129,BD$1,0),0)</f>
        <v>0</v>
      </c>
      <c r="BE9" s="13">
        <f>IFERROR(VLOOKUP($F9,'Visu totale'!$D$3:$DH$129,BE$1,0),0)</f>
        <v>0</v>
      </c>
      <c r="BF9" s="13">
        <f>IFERROR(VLOOKUP($F9,'Visu totale'!$D$3:$DH$129,BF$1,0),0)</f>
        <v>0</v>
      </c>
      <c r="BG9" s="13">
        <f>IFERROR(VLOOKUP($F9,'Visu totale'!$D$3:$DH$129,BG$1,0),0)</f>
        <v>0</v>
      </c>
      <c r="BH9" s="13">
        <f>IFERROR(VLOOKUP($F9,'Visu totale'!$D$3:$DH$129,BH$1,0),0)</f>
        <v>0</v>
      </c>
      <c r="BI9" s="13">
        <f>IFERROR(VLOOKUP($F9,'Visu totale'!$D$3:$DH$129,BI$1,0),0)</f>
        <v>0</v>
      </c>
      <c r="BJ9" s="13">
        <f>IFERROR(VLOOKUP($F9,'Visu totale'!$D$3:$DH$129,BJ$1,0),0)</f>
        <v>0</v>
      </c>
      <c r="BK9" s="13">
        <f>IFERROR(VLOOKUP($F9,'Visu totale'!$D$3:$DH$129,BK$1,0),0)</f>
        <v>0</v>
      </c>
      <c r="BL9" s="13">
        <f>IFERROR(VLOOKUP($F9,'Visu totale'!$D$3:$DH$129,BL$1,0),0)</f>
        <v>0</v>
      </c>
      <c r="BM9" s="13">
        <f>IFERROR(VLOOKUP($F9,'Visu totale'!$D$3:$DH$129,BM$1,0),0)</f>
        <v>0</v>
      </c>
      <c r="BN9" s="15">
        <f>IFERROR(VLOOKUP($F9,'Visu totale'!$D$3:$DH$129,BN$1,0),0)</f>
        <v>0</v>
      </c>
      <c r="BO9" s="14">
        <f>IFERROR(VLOOKUP($F9,'Visu totale'!$D$3:$DH$129,BO$1,0),0)</f>
        <v>0</v>
      </c>
      <c r="BP9" s="13">
        <f>IFERROR(VLOOKUP($F9,'Visu totale'!$D$3:$DH$129,BP$1,0),0)</f>
        <v>0</v>
      </c>
      <c r="BQ9" s="13">
        <f>IFERROR(VLOOKUP($F9,'Visu totale'!$D$3:$DH$129,BQ$1,0),0)</f>
        <v>0</v>
      </c>
      <c r="BR9" s="13">
        <f>IFERROR(VLOOKUP($F9,'Visu totale'!$D$3:$DH$129,BR$1,0),0)</f>
        <v>0</v>
      </c>
      <c r="BS9" s="13">
        <f>IFERROR(VLOOKUP($F9,'Visu totale'!$D$3:$DH$129,BS$1,0),0)</f>
        <v>0</v>
      </c>
      <c r="BT9" s="13">
        <f>IFERROR(VLOOKUP($F9,'Visu totale'!$D$3:$DH$129,BT$1,0),0)</f>
        <v>0</v>
      </c>
      <c r="BU9" s="13">
        <f>IFERROR(VLOOKUP($F9,'Visu totale'!$D$3:$DH$129,BU$1,0),0)</f>
        <v>0</v>
      </c>
      <c r="BV9" s="13">
        <f>IFERROR(VLOOKUP($F9,'Visu totale'!$D$3:$DH$129,BV$1,0),0)</f>
        <v>0</v>
      </c>
      <c r="BW9" s="13">
        <f>IFERROR(VLOOKUP($F9,'Visu totale'!$D$3:$DH$129,BW$1,0),0)</f>
        <v>0</v>
      </c>
      <c r="BX9" s="13">
        <f>IFERROR(VLOOKUP($F9,'Visu totale'!$D$3:$DH$129,BX$1,0),0)</f>
        <v>0</v>
      </c>
      <c r="BY9" s="13">
        <f>IFERROR(VLOOKUP($F9,'Visu totale'!$D$3:$DH$129,BY$1,0),0)</f>
        <v>0</v>
      </c>
      <c r="BZ9" s="15">
        <f>IFERROR(VLOOKUP($F9,'Visu totale'!$D$3:$DH$129,BZ$1,0),0)</f>
        <v>0</v>
      </c>
      <c r="CA9" s="14">
        <f>IFERROR(VLOOKUP($F9,'Visu totale'!$D$3:$DH$129,CA$1,0),0)</f>
        <v>0</v>
      </c>
      <c r="CB9" s="13">
        <f>IFERROR(VLOOKUP($F9,'Visu totale'!$D$3:$DH$129,CB$1,0),0)</f>
        <v>0</v>
      </c>
      <c r="CC9" s="13">
        <f>IFERROR(VLOOKUP($F9,'Visu totale'!$D$3:$DH$129,CC$1,0),0)</f>
        <v>0</v>
      </c>
      <c r="CD9" s="13">
        <f>IFERROR(VLOOKUP($F9,'Visu totale'!$D$3:$DH$129,CD$1,0),0)</f>
        <v>0</v>
      </c>
      <c r="CE9" s="13">
        <f>IFERROR(VLOOKUP($F9,'Visu totale'!$D$3:$DH$129,CE$1,0),0)</f>
        <v>0</v>
      </c>
      <c r="CF9" s="13">
        <f>IFERROR(VLOOKUP($F9,'Visu totale'!$D$3:$DH$129,CF$1,0),0)</f>
        <v>0</v>
      </c>
      <c r="CG9" s="13">
        <f>IFERROR(VLOOKUP($F9,'Visu totale'!$D$3:$DH$129,CG$1,0),0)</f>
        <v>0</v>
      </c>
      <c r="CH9" s="13">
        <f>IFERROR(VLOOKUP($F9,'Visu totale'!$D$3:$DH$129,CH$1,0),0)</f>
        <v>0</v>
      </c>
      <c r="CI9" s="13">
        <f>IFERROR(VLOOKUP($F9,'Visu totale'!$D$3:$DH$129,CI$1,0),0)</f>
        <v>0</v>
      </c>
      <c r="CJ9" s="13">
        <f>IFERROR(VLOOKUP($F9,'Visu totale'!$D$3:$DH$129,CJ$1,0),0)</f>
        <v>0</v>
      </c>
      <c r="CK9" s="13">
        <f>IFERROR(VLOOKUP($F9,'Visu totale'!$D$3:$DH$129,CK$1,0),0)</f>
        <v>0</v>
      </c>
      <c r="CL9" s="15">
        <f>IFERROR(VLOOKUP($F9,'Visu totale'!$D$3:$DH$129,CL$1,0),0)</f>
        <v>0</v>
      </c>
      <c r="CM9" s="14">
        <f>IFERROR(VLOOKUP($F9,'Visu totale'!$D$3:$DH$129,CM$1,0),0)</f>
        <v>0</v>
      </c>
      <c r="CN9" s="13">
        <f>IFERROR(VLOOKUP($F9,'Visu totale'!$D$3:$DH$129,CN$1,0),0)</f>
        <v>0</v>
      </c>
      <c r="CO9" s="13">
        <f>IFERROR(VLOOKUP($F9,'Visu totale'!$D$3:$DH$129,CO$1,0),0)</f>
        <v>0</v>
      </c>
      <c r="CP9" s="13">
        <f>IFERROR(VLOOKUP($F9,'Visu totale'!$D$3:$DH$129,CP$1,0),0)</f>
        <v>0</v>
      </c>
      <c r="CQ9" s="13">
        <f>IFERROR(VLOOKUP($F9,'Visu totale'!$D$3:$DH$129,CQ$1,0),0)</f>
        <v>0</v>
      </c>
      <c r="CR9" s="13">
        <f>IFERROR(VLOOKUP($F9,'Visu totale'!$D$3:$DH$129,CR$1,0),0)</f>
        <v>0</v>
      </c>
      <c r="CS9" s="13">
        <f>IFERROR(VLOOKUP($F9,'Visu totale'!$D$3:$DH$129,CS$1,0),0)</f>
        <v>0</v>
      </c>
      <c r="CT9" s="13">
        <f>IFERROR(VLOOKUP($F9,'Visu totale'!$D$3:$DH$129,CT$1,0),0)</f>
        <v>0</v>
      </c>
      <c r="CU9" s="13">
        <f>IFERROR(VLOOKUP($F9,'Visu totale'!$D$3:$DH$129,CU$1,0),0)</f>
        <v>0</v>
      </c>
      <c r="CV9" s="13">
        <f>IFERROR(VLOOKUP($F9,'Visu totale'!$D$3:$DH$129,CV$1,0),0)</f>
        <v>0</v>
      </c>
      <c r="CW9" s="13">
        <f>IFERROR(VLOOKUP($F9,'Visu totale'!$D$3:$DH$129,CW$1,0),0)</f>
        <v>0</v>
      </c>
      <c r="CX9" s="15">
        <f>IFERROR(VLOOKUP($F9,'Visu totale'!$D$3:$DH$129,CX$1,0),0)</f>
        <v>0</v>
      </c>
      <c r="CY9" s="14">
        <f>IFERROR(VLOOKUP($F9,'Visu totale'!$D$3:$DH$129,CY$1,0),0)</f>
        <v>0</v>
      </c>
      <c r="CZ9" s="13">
        <f>IFERROR(VLOOKUP($F9,'Visu totale'!$D$3:$DH$129,CZ$1,0),0)</f>
        <v>0</v>
      </c>
      <c r="DA9" s="13">
        <f>IFERROR(VLOOKUP($F9,'Visu totale'!$D$3:$DH$129,DA$1,0),0)</f>
        <v>0</v>
      </c>
      <c r="DB9" s="13">
        <f>IFERROR(VLOOKUP($F9,'Visu totale'!$D$3:$DH$129,DB$1,0),0)</f>
        <v>0</v>
      </c>
      <c r="DC9" s="13">
        <f>IFERROR(VLOOKUP($F9,'Visu totale'!$D$3:$DH$129,DC$1,0),0)</f>
        <v>0</v>
      </c>
      <c r="DD9" s="13">
        <f>IFERROR(VLOOKUP($F9,'Visu totale'!$D$3:$DH$129,DD$1,0),0)</f>
        <v>0</v>
      </c>
      <c r="DE9" s="13">
        <f>IFERROR(VLOOKUP($F9,'Visu totale'!$D$3:$DH$129,DE$1,0),0)</f>
        <v>0</v>
      </c>
      <c r="DF9" s="13">
        <f>IFERROR(VLOOKUP($F9,'Visu totale'!$D$3:$DH$129,DF$1,0),0)</f>
        <v>0</v>
      </c>
      <c r="DG9" s="13">
        <f>IFERROR(VLOOKUP($F9,'Visu totale'!$D$3:$DH$129,DG$1,0),0)</f>
        <v>0</v>
      </c>
      <c r="DH9" s="13">
        <f>IFERROR(VLOOKUP($F9,'Visu totale'!$D$3:$DH$129,DH$1,0),0)</f>
        <v>0</v>
      </c>
      <c r="DI9" s="13">
        <f>IFERROR(VLOOKUP($F9,'Visu totale'!$D$3:$DH$129,DI$1,0),0)</f>
        <v>0</v>
      </c>
      <c r="DJ9" s="15">
        <f>IFERROR(VLOOKUP($F9,'Visu totale'!$D$3:$DH$129,DJ$1,0),0)</f>
        <v>0</v>
      </c>
    </row>
    <row r="10" spans="1:114" s="12" customFormat="1" x14ac:dyDescent="0.25">
      <c r="A10" s="13"/>
      <c r="B10" s="13"/>
      <c r="C10" s="13"/>
      <c r="D10" s="13"/>
      <c r="E10" s="13"/>
      <c r="F10" s="17" t="s">
        <v>110</v>
      </c>
      <c r="G10" s="14">
        <f>IFERROR(VLOOKUP($F10,'Visu totale'!$D$3:$DH$129,G$1,0),0)</f>
        <v>0</v>
      </c>
      <c r="H10" s="13">
        <f>IFERROR(VLOOKUP($F10,'Visu totale'!$D$3:$DH$129,H$1,0),0)</f>
        <v>0</v>
      </c>
      <c r="I10" s="13">
        <f>IFERROR(VLOOKUP($F10,'Visu totale'!$D$3:$DH$129,I$1,0),0)</f>
        <v>0</v>
      </c>
      <c r="J10" s="13">
        <f>IFERROR(VLOOKUP($F10,'Visu totale'!$D$3:$DH$129,J$1,0),0)</f>
        <v>0</v>
      </c>
      <c r="K10" s="13">
        <f>IFERROR(VLOOKUP($F10,'Visu totale'!$D$3:$DH$129,K$1,0),0)</f>
        <v>0</v>
      </c>
      <c r="L10" s="13">
        <f>IFERROR(VLOOKUP($F10,'Visu totale'!$D$3:$DH$129,L$1,0),0)</f>
        <v>0</v>
      </c>
      <c r="M10" s="13">
        <f>IFERROR(VLOOKUP($F10,'Visu totale'!$D$3:$DH$129,M$1,0),0)</f>
        <v>0</v>
      </c>
      <c r="N10" s="13">
        <f>IFERROR(VLOOKUP($F10,'Visu totale'!$D$3:$DH$129,N$1,0),0)</f>
        <v>0</v>
      </c>
      <c r="O10" s="13">
        <f>IFERROR(VLOOKUP($F10,'Visu totale'!$D$3:$DH$129,O$1,0),0)</f>
        <v>0</v>
      </c>
      <c r="P10" s="13">
        <f>IFERROR(VLOOKUP($F10,'Visu totale'!$D$3:$DH$129,P$1,0),0)</f>
        <v>0</v>
      </c>
      <c r="Q10" s="13">
        <f>IFERROR(VLOOKUP($F10,'Visu totale'!$D$3:$DH$129,Q$1,0),0)</f>
        <v>0</v>
      </c>
      <c r="R10" s="15">
        <f>IFERROR(VLOOKUP($F10,'Visu totale'!$D$3:$DH$129,R$1,0),0)</f>
        <v>0</v>
      </c>
      <c r="S10" s="14">
        <f>IFERROR(VLOOKUP($F10,'Visu totale'!$D$3:$DH$129,S$1,0),0)</f>
        <v>0</v>
      </c>
      <c r="T10" s="13">
        <f>IFERROR(VLOOKUP($F10,'Visu totale'!$D$3:$DH$129,T$1,0),0)</f>
        <v>0</v>
      </c>
      <c r="U10" s="13">
        <f>IFERROR(VLOOKUP($F10,'Visu totale'!$D$3:$DH$129,U$1,0),0)</f>
        <v>0</v>
      </c>
      <c r="V10" s="13">
        <f>IFERROR(VLOOKUP($F10,'Visu totale'!$D$3:$DH$129,V$1,0),0)</f>
        <v>0</v>
      </c>
      <c r="W10" s="13">
        <f>IFERROR(VLOOKUP($F10,'Visu totale'!$D$3:$DH$129,W$1,0),0)</f>
        <v>0</v>
      </c>
      <c r="X10" s="13">
        <f>IFERROR(VLOOKUP($F10,'Visu totale'!$D$3:$DH$129,X$1,0),0)</f>
        <v>0</v>
      </c>
      <c r="Y10" s="13">
        <f>IFERROR(VLOOKUP($F10,'Visu totale'!$D$3:$DH$129,Y$1,0),0)</f>
        <v>0</v>
      </c>
      <c r="Z10" s="13">
        <f>IFERROR(VLOOKUP($F10,'Visu totale'!$D$3:$DH$129,Z$1,0),0)</f>
        <v>0</v>
      </c>
      <c r="AA10" s="13">
        <f>IFERROR(VLOOKUP($F10,'Visu totale'!$D$3:$DH$129,AA$1,0),0)</f>
        <v>0</v>
      </c>
      <c r="AB10" s="13">
        <f>IFERROR(VLOOKUP($F10,'Visu totale'!$D$3:$DH$129,AB$1,0),0)</f>
        <v>0</v>
      </c>
      <c r="AC10" s="13">
        <f>IFERROR(VLOOKUP($F10,'Visu totale'!$D$3:$DH$129,AC$1,0),0)</f>
        <v>0</v>
      </c>
      <c r="AD10" s="15">
        <f>IFERROR(VLOOKUP($F10,'Visu totale'!$D$3:$DH$129,AD$1,0),0)</f>
        <v>0</v>
      </c>
      <c r="AE10" s="14">
        <f>IFERROR(VLOOKUP($F10,'Visu totale'!$D$3:$DH$129,AE$1,0),0)</f>
        <v>0</v>
      </c>
      <c r="AF10" s="13">
        <f>IFERROR(VLOOKUP($F10,'Visu totale'!$D$3:$DH$129,AF$1,0),0)</f>
        <v>0</v>
      </c>
      <c r="AG10" s="13">
        <f>IFERROR(VLOOKUP($F10,'Visu totale'!$D$3:$DH$129,AG$1,0),0)</f>
        <v>0</v>
      </c>
      <c r="AH10" s="13">
        <f>IFERROR(VLOOKUP($F10,'Visu totale'!$D$3:$DH$129,AH$1,0),0)</f>
        <v>0</v>
      </c>
      <c r="AI10" s="13">
        <f>IFERROR(VLOOKUP($F10,'Visu totale'!$D$3:$DH$129,AI$1,0),0)</f>
        <v>0</v>
      </c>
      <c r="AJ10" s="13">
        <f>IFERROR(VLOOKUP($F10,'Visu totale'!$D$3:$DH$129,AJ$1,0),0)</f>
        <v>0</v>
      </c>
      <c r="AK10" s="13">
        <f>IFERROR(VLOOKUP($F10,'Visu totale'!$D$3:$DH$129,AK$1,0),0)</f>
        <v>0</v>
      </c>
      <c r="AL10" s="13">
        <f>IFERROR(VLOOKUP($F10,'Visu totale'!$D$3:$DH$129,AL$1,0),0)</f>
        <v>0</v>
      </c>
      <c r="AM10" s="13">
        <f>IFERROR(VLOOKUP($F10,'Visu totale'!$D$3:$DH$129,AM$1,0),0)</f>
        <v>0</v>
      </c>
      <c r="AN10" s="13">
        <f>IFERROR(VLOOKUP($F10,'Visu totale'!$D$3:$DH$129,AN$1,0),0)</f>
        <v>0</v>
      </c>
      <c r="AO10" s="13">
        <f>IFERROR(VLOOKUP($F10,'Visu totale'!$D$3:$DH$129,AO$1,0),0)</f>
        <v>0</v>
      </c>
      <c r="AP10" s="15">
        <f>IFERROR(VLOOKUP($F10,'Visu totale'!$D$3:$DH$129,AP$1,0),0)</f>
        <v>0</v>
      </c>
      <c r="AQ10" s="14">
        <f>IFERROR(VLOOKUP($F10,'Visu totale'!$D$3:$DH$129,AQ$1,0),0)</f>
        <v>0</v>
      </c>
      <c r="AR10" s="13">
        <f>IFERROR(VLOOKUP($F10,'Visu totale'!$D$3:$DH$129,AR$1,0),0)</f>
        <v>0</v>
      </c>
      <c r="AS10" s="13">
        <f>IFERROR(VLOOKUP($F10,'Visu totale'!$D$3:$DH$129,AS$1,0),0)</f>
        <v>0</v>
      </c>
      <c r="AT10" s="13">
        <f>IFERROR(VLOOKUP($F10,'Visu totale'!$D$3:$DH$129,AT$1,0),0)</f>
        <v>0</v>
      </c>
      <c r="AU10" s="13">
        <f>IFERROR(VLOOKUP($F10,'Visu totale'!$D$3:$DH$129,AU$1,0),0)</f>
        <v>0</v>
      </c>
      <c r="AV10" s="13">
        <f>IFERROR(VLOOKUP($F10,'Visu totale'!$D$3:$DH$129,AV$1,0),0)</f>
        <v>0</v>
      </c>
      <c r="AW10" s="13">
        <f>IFERROR(VLOOKUP($F10,'Visu totale'!$D$3:$DH$129,AW$1,0),0)</f>
        <v>0</v>
      </c>
      <c r="AX10" s="13">
        <f>IFERROR(VLOOKUP($F10,'Visu totale'!$D$3:$DH$129,AX$1,0),0)</f>
        <v>0</v>
      </c>
      <c r="AY10" s="13">
        <f>IFERROR(VLOOKUP($F10,'Visu totale'!$D$3:$DH$129,AY$1,0),0)</f>
        <v>0</v>
      </c>
      <c r="AZ10" s="13">
        <f>IFERROR(VLOOKUP($F10,'Visu totale'!$D$3:$DH$129,AZ$1,0),0)</f>
        <v>0</v>
      </c>
      <c r="BA10" s="13">
        <f>IFERROR(VLOOKUP($F10,'Visu totale'!$D$3:$DH$129,BA$1,0),0)</f>
        <v>0</v>
      </c>
      <c r="BB10" s="15">
        <f>IFERROR(VLOOKUP($F10,'Visu totale'!$D$3:$DH$129,BB$1,0),0)</f>
        <v>0</v>
      </c>
      <c r="BC10" s="14">
        <f>IFERROR(VLOOKUP($F10,'Visu totale'!$D$3:$DH$129,BC$1,0),0)</f>
        <v>0</v>
      </c>
      <c r="BD10" s="13">
        <f>IFERROR(VLOOKUP($F10,'Visu totale'!$D$3:$DH$129,BD$1,0),0)</f>
        <v>0</v>
      </c>
      <c r="BE10" s="13">
        <f>IFERROR(VLOOKUP($F10,'Visu totale'!$D$3:$DH$129,BE$1,0),0)</f>
        <v>0</v>
      </c>
      <c r="BF10" s="13">
        <f>IFERROR(VLOOKUP($F10,'Visu totale'!$D$3:$DH$129,BF$1,0),0)</f>
        <v>0</v>
      </c>
      <c r="BG10" s="13">
        <f>IFERROR(VLOOKUP($F10,'Visu totale'!$D$3:$DH$129,BG$1,0),0)</f>
        <v>0</v>
      </c>
      <c r="BH10" s="13">
        <f>IFERROR(VLOOKUP($F10,'Visu totale'!$D$3:$DH$129,BH$1,0),0)</f>
        <v>0</v>
      </c>
      <c r="BI10" s="13">
        <f>IFERROR(VLOOKUP($F10,'Visu totale'!$D$3:$DH$129,BI$1,0),0)</f>
        <v>0</v>
      </c>
      <c r="BJ10" s="13">
        <f>IFERROR(VLOOKUP($F10,'Visu totale'!$D$3:$DH$129,BJ$1,0),0)</f>
        <v>0</v>
      </c>
      <c r="BK10" s="13">
        <f>IFERROR(VLOOKUP($F10,'Visu totale'!$D$3:$DH$129,BK$1,0),0)</f>
        <v>0</v>
      </c>
      <c r="BL10" s="13">
        <f>IFERROR(VLOOKUP($F10,'Visu totale'!$D$3:$DH$129,BL$1,0),0)</f>
        <v>0</v>
      </c>
      <c r="BM10" s="13">
        <f>IFERROR(VLOOKUP($F10,'Visu totale'!$D$3:$DH$129,BM$1,0),0)</f>
        <v>0</v>
      </c>
      <c r="BN10" s="15">
        <f>IFERROR(VLOOKUP($F10,'Visu totale'!$D$3:$DH$129,BN$1,0),0)</f>
        <v>0</v>
      </c>
      <c r="BO10" s="14">
        <f>IFERROR(VLOOKUP($F10,'Visu totale'!$D$3:$DH$129,BO$1,0),0)</f>
        <v>0</v>
      </c>
      <c r="BP10" s="13">
        <f>IFERROR(VLOOKUP($F10,'Visu totale'!$D$3:$DH$129,BP$1,0),0)</f>
        <v>0</v>
      </c>
      <c r="BQ10" s="13">
        <f>IFERROR(VLOOKUP($F10,'Visu totale'!$D$3:$DH$129,BQ$1,0),0)</f>
        <v>0</v>
      </c>
      <c r="BR10" s="13">
        <f>IFERROR(VLOOKUP($F10,'Visu totale'!$D$3:$DH$129,BR$1,0),0)</f>
        <v>0</v>
      </c>
      <c r="BS10" s="13">
        <f>IFERROR(VLOOKUP($F10,'Visu totale'!$D$3:$DH$129,BS$1,0),0)</f>
        <v>0</v>
      </c>
      <c r="BT10" s="13">
        <f>IFERROR(VLOOKUP($F10,'Visu totale'!$D$3:$DH$129,BT$1,0),0)</f>
        <v>0</v>
      </c>
      <c r="BU10" s="13">
        <f>IFERROR(VLOOKUP($F10,'Visu totale'!$D$3:$DH$129,BU$1,0),0)</f>
        <v>0</v>
      </c>
      <c r="BV10" s="13">
        <f>IFERROR(VLOOKUP($F10,'Visu totale'!$D$3:$DH$129,BV$1,0),0)</f>
        <v>0</v>
      </c>
      <c r="BW10" s="13">
        <f>IFERROR(VLOOKUP($F10,'Visu totale'!$D$3:$DH$129,BW$1,0),0)</f>
        <v>0</v>
      </c>
      <c r="BX10" s="13">
        <f>IFERROR(VLOOKUP($F10,'Visu totale'!$D$3:$DH$129,BX$1,0),0)</f>
        <v>0</v>
      </c>
      <c r="BY10" s="13">
        <f>IFERROR(VLOOKUP($F10,'Visu totale'!$D$3:$DH$129,BY$1,0),0)</f>
        <v>0</v>
      </c>
      <c r="BZ10" s="15">
        <f>IFERROR(VLOOKUP($F10,'Visu totale'!$D$3:$DH$129,BZ$1,0),0)</f>
        <v>0</v>
      </c>
      <c r="CA10" s="14">
        <f>IFERROR(VLOOKUP($F10,'Visu totale'!$D$3:$DH$129,CA$1,0),0)</f>
        <v>0</v>
      </c>
      <c r="CB10" s="13">
        <f>IFERROR(VLOOKUP($F10,'Visu totale'!$D$3:$DH$129,CB$1,0),0)</f>
        <v>0</v>
      </c>
      <c r="CC10" s="13">
        <f>IFERROR(VLOOKUP($F10,'Visu totale'!$D$3:$DH$129,CC$1,0),0)</f>
        <v>0</v>
      </c>
      <c r="CD10" s="13">
        <f>IFERROR(VLOOKUP($F10,'Visu totale'!$D$3:$DH$129,CD$1,0),0)</f>
        <v>0</v>
      </c>
      <c r="CE10" s="13">
        <f>IFERROR(VLOOKUP($F10,'Visu totale'!$D$3:$DH$129,CE$1,0),0)</f>
        <v>0</v>
      </c>
      <c r="CF10" s="13">
        <f>IFERROR(VLOOKUP($F10,'Visu totale'!$D$3:$DH$129,CF$1,0),0)</f>
        <v>0</v>
      </c>
      <c r="CG10" s="13">
        <f>IFERROR(VLOOKUP($F10,'Visu totale'!$D$3:$DH$129,CG$1,0),0)</f>
        <v>0</v>
      </c>
      <c r="CH10" s="13">
        <f>IFERROR(VLOOKUP($F10,'Visu totale'!$D$3:$DH$129,CH$1,0),0)</f>
        <v>0</v>
      </c>
      <c r="CI10" s="13">
        <f>IFERROR(VLOOKUP($F10,'Visu totale'!$D$3:$DH$129,CI$1,0),0)</f>
        <v>0</v>
      </c>
      <c r="CJ10" s="13">
        <f>IFERROR(VLOOKUP($F10,'Visu totale'!$D$3:$DH$129,CJ$1,0),0)</f>
        <v>0</v>
      </c>
      <c r="CK10" s="13">
        <f>IFERROR(VLOOKUP($F10,'Visu totale'!$D$3:$DH$129,CK$1,0),0)</f>
        <v>0</v>
      </c>
      <c r="CL10" s="15">
        <f>IFERROR(VLOOKUP($F10,'Visu totale'!$D$3:$DH$129,CL$1,0),0)</f>
        <v>0</v>
      </c>
      <c r="CM10" s="14">
        <f>IFERROR(VLOOKUP($F10,'Visu totale'!$D$3:$DH$129,CM$1,0),0)</f>
        <v>0</v>
      </c>
      <c r="CN10" s="13">
        <f>IFERROR(VLOOKUP($F10,'Visu totale'!$D$3:$DH$129,CN$1,0),0)</f>
        <v>0</v>
      </c>
      <c r="CO10" s="13">
        <f>IFERROR(VLOOKUP($F10,'Visu totale'!$D$3:$DH$129,CO$1,0),0)</f>
        <v>0</v>
      </c>
      <c r="CP10" s="13">
        <f>IFERROR(VLOOKUP($F10,'Visu totale'!$D$3:$DH$129,CP$1,0),0)</f>
        <v>0</v>
      </c>
      <c r="CQ10" s="13">
        <f>IFERROR(VLOOKUP($F10,'Visu totale'!$D$3:$DH$129,CQ$1,0),0)</f>
        <v>0</v>
      </c>
      <c r="CR10" s="13">
        <f>IFERROR(VLOOKUP($F10,'Visu totale'!$D$3:$DH$129,CR$1,0),0)</f>
        <v>0</v>
      </c>
      <c r="CS10" s="13">
        <f>IFERROR(VLOOKUP($F10,'Visu totale'!$D$3:$DH$129,CS$1,0),0)</f>
        <v>0</v>
      </c>
      <c r="CT10" s="13">
        <f>IFERROR(VLOOKUP($F10,'Visu totale'!$D$3:$DH$129,CT$1,0),0)</f>
        <v>0</v>
      </c>
      <c r="CU10" s="13">
        <f>IFERROR(VLOOKUP($F10,'Visu totale'!$D$3:$DH$129,CU$1,0),0)</f>
        <v>0</v>
      </c>
      <c r="CV10" s="13">
        <f>IFERROR(VLOOKUP($F10,'Visu totale'!$D$3:$DH$129,CV$1,0),0)</f>
        <v>0</v>
      </c>
      <c r="CW10" s="13">
        <f>IFERROR(VLOOKUP($F10,'Visu totale'!$D$3:$DH$129,CW$1,0),0)</f>
        <v>0</v>
      </c>
      <c r="CX10" s="15">
        <f>IFERROR(VLOOKUP($F10,'Visu totale'!$D$3:$DH$129,CX$1,0),0)</f>
        <v>0</v>
      </c>
      <c r="CY10" s="14">
        <f>IFERROR(VLOOKUP($F10,'Visu totale'!$D$3:$DH$129,CY$1,0),0)</f>
        <v>0</v>
      </c>
      <c r="CZ10" s="13">
        <f>IFERROR(VLOOKUP($F10,'Visu totale'!$D$3:$DH$129,CZ$1,0),0)</f>
        <v>0</v>
      </c>
      <c r="DA10" s="13">
        <f>IFERROR(VLOOKUP($F10,'Visu totale'!$D$3:$DH$129,DA$1,0),0)</f>
        <v>0</v>
      </c>
      <c r="DB10" s="13">
        <f>IFERROR(VLOOKUP($F10,'Visu totale'!$D$3:$DH$129,DB$1,0),0)</f>
        <v>0</v>
      </c>
      <c r="DC10" s="13">
        <f>IFERROR(VLOOKUP($F10,'Visu totale'!$D$3:$DH$129,DC$1,0),0)</f>
        <v>0</v>
      </c>
      <c r="DD10" s="13">
        <f>IFERROR(VLOOKUP($F10,'Visu totale'!$D$3:$DH$129,DD$1,0),0)</f>
        <v>0</v>
      </c>
      <c r="DE10" s="13">
        <f>IFERROR(VLOOKUP($F10,'Visu totale'!$D$3:$DH$129,DE$1,0),0)</f>
        <v>0</v>
      </c>
      <c r="DF10" s="13">
        <f>IFERROR(VLOOKUP($F10,'Visu totale'!$D$3:$DH$129,DF$1,0),0)</f>
        <v>0</v>
      </c>
      <c r="DG10" s="13">
        <f>IFERROR(VLOOKUP($F10,'Visu totale'!$D$3:$DH$129,DG$1,0),0)</f>
        <v>0</v>
      </c>
      <c r="DH10" s="13">
        <f>IFERROR(VLOOKUP($F10,'Visu totale'!$D$3:$DH$129,DH$1,0),0)</f>
        <v>0</v>
      </c>
      <c r="DI10" s="13">
        <f>IFERROR(VLOOKUP($F10,'Visu totale'!$D$3:$DH$129,DI$1,0),0)</f>
        <v>0</v>
      </c>
      <c r="DJ10" s="15">
        <f>IFERROR(VLOOKUP($F10,'Visu totale'!$D$3:$DH$129,DJ$1,0),0)</f>
        <v>0</v>
      </c>
    </row>
    <row r="11" spans="1:114" s="12" customFormat="1" x14ac:dyDescent="0.25">
      <c r="A11" s="13"/>
      <c r="B11" s="13"/>
      <c r="C11" s="13"/>
      <c r="D11" s="13"/>
      <c r="E11" s="13"/>
      <c r="F11" s="17" t="s">
        <v>111</v>
      </c>
      <c r="G11" s="14">
        <f>IFERROR(VLOOKUP($F11,'Visu totale'!$D$3:$DH$129,G$1,0),0)</f>
        <v>0</v>
      </c>
      <c r="H11" s="13">
        <f>IFERROR(VLOOKUP($F11,'Visu totale'!$D$3:$DH$129,H$1,0),0)</f>
        <v>0</v>
      </c>
      <c r="I11" s="13">
        <f>IFERROR(VLOOKUP($F11,'Visu totale'!$D$3:$DH$129,I$1,0),0)</f>
        <v>0</v>
      </c>
      <c r="J11" s="13">
        <f>IFERROR(VLOOKUP($F11,'Visu totale'!$D$3:$DH$129,J$1,0),0)</f>
        <v>0</v>
      </c>
      <c r="K11" s="13">
        <f>IFERROR(VLOOKUP($F11,'Visu totale'!$D$3:$DH$129,K$1,0),0)</f>
        <v>0</v>
      </c>
      <c r="L11" s="13">
        <f>IFERROR(VLOOKUP($F11,'Visu totale'!$D$3:$DH$129,L$1,0),0)</f>
        <v>0</v>
      </c>
      <c r="M11" s="13">
        <f>IFERROR(VLOOKUP($F11,'Visu totale'!$D$3:$DH$129,M$1,0),0)</f>
        <v>0</v>
      </c>
      <c r="N11" s="13">
        <f>IFERROR(VLOOKUP($F11,'Visu totale'!$D$3:$DH$129,N$1,0),0)</f>
        <v>0</v>
      </c>
      <c r="O11" s="13">
        <f>IFERROR(VLOOKUP($F11,'Visu totale'!$D$3:$DH$129,O$1,0),0)</f>
        <v>0</v>
      </c>
      <c r="P11" s="13">
        <f>IFERROR(VLOOKUP($F11,'Visu totale'!$D$3:$DH$129,P$1,0),0)</f>
        <v>0</v>
      </c>
      <c r="Q11" s="13">
        <f>IFERROR(VLOOKUP($F11,'Visu totale'!$D$3:$DH$129,Q$1,0),0)</f>
        <v>0</v>
      </c>
      <c r="R11" s="15">
        <f>IFERROR(VLOOKUP($F11,'Visu totale'!$D$3:$DH$129,R$1,0),0)</f>
        <v>0</v>
      </c>
      <c r="S11" s="14">
        <f>IFERROR(VLOOKUP($F11,'Visu totale'!$D$3:$DH$129,S$1,0),0)</f>
        <v>0</v>
      </c>
      <c r="T11" s="13">
        <f>IFERROR(VLOOKUP($F11,'Visu totale'!$D$3:$DH$129,T$1,0),0)</f>
        <v>0</v>
      </c>
      <c r="U11" s="13">
        <f>IFERROR(VLOOKUP($F11,'Visu totale'!$D$3:$DH$129,U$1,0),0)</f>
        <v>0</v>
      </c>
      <c r="V11" s="13">
        <f>IFERROR(VLOOKUP($F11,'Visu totale'!$D$3:$DH$129,V$1,0),0)</f>
        <v>0</v>
      </c>
      <c r="W11" s="13">
        <f>IFERROR(VLOOKUP($F11,'Visu totale'!$D$3:$DH$129,W$1,0),0)</f>
        <v>0</v>
      </c>
      <c r="X11" s="13">
        <f>IFERROR(VLOOKUP($F11,'Visu totale'!$D$3:$DH$129,X$1,0),0)</f>
        <v>0</v>
      </c>
      <c r="Y11" s="13">
        <f>IFERROR(VLOOKUP($F11,'Visu totale'!$D$3:$DH$129,Y$1,0),0)</f>
        <v>0</v>
      </c>
      <c r="Z11" s="13">
        <f>IFERROR(VLOOKUP($F11,'Visu totale'!$D$3:$DH$129,Z$1,0),0)</f>
        <v>0</v>
      </c>
      <c r="AA11" s="13">
        <f>IFERROR(VLOOKUP($F11,'Visu totale'!$D$3:$DH$129,AA$1,0),0)</f>
        <v>0</v>
      </c>
      <c r="AB11" s="13">
        <f>IFERROR(VLOOKUP($F11,'Visu totale'!$D$3:$DH$129,AB$1,0),0)</f>
        <v>0</v>
      </c>
      <c r="AC11" s="13">
        <f>IFERROR(VLOOKUP($F11,'Visu totale'!$D$3:$DH$129,AC$1,0),0)</f>
        <v>0</v>
      </c>
      <c r="AD11" s="15">
        <f>IFERROR(VLOOKUP($F11,'Visu totale'!$D$3:$DH$129,AD$1,0),0)</f>
        <v>0</v>
      </c>
      <c r="AE11" s="14">
        <f>IFERROR(VLOOKUP($F11,'Visu totale'!$D$3:$DH$129,AE$1,0),0)</f>
        <v>0</v>
      </c>
      <c r="AF11" s="13">
        <f>IFERROR(VLOOKUP($F11,'Visu totale'!$D$3:$DH$129,AF$1,0),0)</f>
        <v>0</v>
      </c>
      <c r="AG11" s="13">
        <f>IFERROR(VLOOKUP($F11,'Visu totale'!$D$3:$DH$129,AG$1,0),0)</f>
        <v>0</v>
      </c>
      <c r="AH11" s="13">
        <f>IFERROR(VLOOKUP($F11,'Visu totale'!$D$3:$DH$129,AH$1,0),0)</f>
        <v>0</v>
      </c>
      <c r="AI11" s="13">
        <f>IFERROR(VLOOKUP($F11,'Visu totale'!$D$3:$DH$129,AI$1,0),0)</f>
        <v>0</v>
      </c>
      <c r="AJ11" s="13">
        <f>IFERROR(VLOOKUP($F11,'Visu totale'!$D$3:$DH$129,AJ$1,0),0)</f>
        <v>0</v>
      </c>
      <c r="AK11" s="13">
        <f>IFERROR(VLOOKUP($F11,'Visu totale'!$D$3:$DH$129,AK$1,0),0)</f>
        <v>0</v>
      </c>
      <c r="AL11" s="13">
        <f>IFERROR(VLOOKUP($F11,'Visu totale'!$D$3:$DH$129,AL$1,0),0)</f>
        <v>0</v>
      </c>
      <c r="AM11" s="13">
        <f>IFERROR(VLOOKUP($F11,'Visu totale'!$D$3:$DH$129,AM$1,0),0)</f>
        <v>0</v>
      </c>
      <c r="AN11" s="13">
        <f>IFERROR(VLOOKUP($F11,'Visu totale'!$D$3:$DH$129,AN$1,0),0)</f>
        <v>0</v>
      </c>
      <c r="AO11" s="13">
        <f>IFERROR(VLOOKUP($F11,'Visu totale'!$D$3:$DH$129,AO$1,0),0)</f>
        <v>0</v>
      </c>
      <c r="AP11" s="15">
        <f>IFERROR(VLOOKUP($F11,'Visu totale'!$D$3:$DH$129,AP$1,0),0)</f>
        <v>0</v>
      </c>
      <c r="AQ11" s="14">
        <f>IFERROR(VLOOKUP($F11,'Visu totale'!$D$3:$DH$129,AQ$1,0),0)</f>
        <v>0</v>
      </c>
      <c r="AR11" s="13">
        <f>IFERROR(VLOOKUP($F11,'Visu totale'!$D$3:$DH$129,AR$1,0),0)</f>
        <v>0</v>
      </c>
      <c r="AS11" s="13">
        <f>IFERROR(VLOOKUP($F11,'Visu totale'!$D$3:$DH$129,AS$1,0),0)</f>
        <v>0</v>
      </c>
      <c r="AT11" s="13">
        <f>IFERROR(VLOOKUP($F11,'Visu totale'!$D$3:$DH$129,AT$1,0),0)</f>
        <v>0</v>
      </c>
      <c r="AU11" s="13">
        <f>IFERROR(VLOOKUP($F11,'Visu totale'!$D$3:$DH$129,AU$1,0),0)</f>
        <v>0</v>
      </c>
      <c r="AV11" s="13">
        <f>IFERROR(VLOOKUP($F11,'Visu totale'!$D$3:$DH$129,AV$1,0),0)</f>
        <v>0</v>
      </c>
      <c r="AW11" s="13">
        <f>IFERROR(VLOOKUP($F11,'Visu totale'!$D$3:$DH$129,AW$1,0),0)</f>
        <v>0</v>
      </c>
      <c r="AX11" s="13">
        <f>IFERROR(VLOOKUP($F11,'Visu totale'!$D$3:$DH$129,AX$1,0),0)</f>
        <v>0</v>
      </c>
      <c r="AY11" s="13">
        <f>IFERROR(VLOOKUP($F11,'Visu totale'!$D$3:$DH$129,AY$1,0),0)</f>
        <v>0</v>
      </c>
      <c r="AZ11" s="13">
        <f>IFERROR(VLOOKUP($F11,'Visu totale'!$D$3:$DH$129,AZ$1,0),0)</f>
        <v>0</v>
      </c>
      <c r="BA11" s="13">
        <f>IFERROR(VLOOKUP($F11,'Visu totale'!$D$3:$DH$129,BA$1,0),0)</f>
        <v>0</v>
      </c>
      <c r="BB11" s="15">
        <f>IFERROR(VLOOKUP($F11,'Visu totale'!$D$3:$DH$129,BB$1,0),0)</f>
        <v>0</v>
      </c>
      <c r="BC11" s="14">
        <f>IFERROR(VLOOKUP($F11,'Visu totale'!$D$3:$DH$129,BC$1,0),0)</f>
        <v>0</v>
      </c>
      <c r="BD11" s="13">
        <f>IFERROR(VLOOKUP($F11,'Visu totale'!$D$3:$DH$129,BD$1,0),0)</f>
        <v>0</v>
      </c>
      <c r="BE11" s="13">
        <f>IFERROR(VLOOKUP($F11,'Visu totale'!$D$3:$DH$129,BE$1,0),0)</f>
        <v>0</v>
      </c>
      <c r="BF11" s="13">
        <f>IFERROR(VLOOKUP($F11,'Visu totale'!$D$3:$DH$129,BF$1,0),0)</f>
        <v>0</v>
      </c>
      <c r="BG11" s="13">
        <f>IFERROR(VLOOKUP($F11,'Visu totale'!$D$3:$DH$129,BG$1,0),0)</f>
        <v>0</v>
      </c>
      <c r="BH11" s="13">
        <f>IFERROR(VLOOKUP($F11,'Visu totale'!$D$3:$DH$129,BH$1,0),0)</f>
        <v>0</v>
      </c>
      <c r="BI11" s="13">
        <f>IFERROR(VLOOKUP($F11,'Visu totale'!$D$3:$DH$129,BI$1,0),0)</f>
        <v>0</v>
      </c>
      <c r="BJ11" s="13">
        <f>IFERROR(VLOOKUP($F11,'Visu totale'!$D$3:$DH$129,BJ$1,0),0)</f>
        <v>0</v>
      </c>
      <c r="BK11" s="13">
        <f>IFERROR(VLOOKUP($F11,'Visu totale'!$D$3:$DH$129,BK$1,0),0)</f>
        <v>0</v>
      </c>
      <c r="BL11" s="13">
        <f>IFERROR(VLOOKUP($F11,'Visu totale'!$D$3:$DH$129,BL$1,0),0)</f>
        <v>0</v>
      </c>
      <c r="BM11" s="13">
        <f>IFERROR(VLOOKUP($F11,'Visu totale'!$D$3:$DH$129,BM$1,0),0)</f>
        <v>0</v>
      </c>
      <c r="BN11" s="15">
        <f>IFERROR(VLOOKUP($F11,'Visu totale'!$D$3:$DH$129,BN$1,0),0)</f>
        <v>0</v>
      </c>
      <c r="BO11" s="14">
        <f>IFERROR(VLOOKUP($F11,'Visu totale'!$D$3:$DH$129,BO$1,0),0)</f>
        <v>0</v>
      </c>
      <c r="BP11" s="13">
        <f>IFERROR(VLOOKUP($F11,'Visu totale'!$D$3:$DH$129,BP$1,0),0)</f>
        <v>0</v>
      </c>
      <c r="BQ11" s="13">
        <f>IFERROR(VLOOKUP($F11,'Visu totale'!$D$3:$DH$129,BQ$1,0),0)</f>
        <v>0</v>
      </c>
      <c r="BR11" s="13">
        <f>IFERROR(VLOOKUP($F11,'Visu totale'!$D$3:$DH$129,BR$1,0),0)</f>
        <v>0</v>
      </c>
      <c r="BS11" s="13">
        <f>IFERROR(VLOOKUP($F11,'Visu totale'!$D$3:$DH$129,BS$1,0),0)</f>
        <v>0</v>
      </c>
      <c r="BT11" s="13">
        <f>IFERROR(VLOOKUP($F11,'Visu totale'!$D$3:$DH$129,BT$1,0),0)</f>
        <v>0</v>
      </c>
      <c r="BU11" s="13">
        <f>IFERROR(VLOOKUP($F11,'Visu totale'!$D$3:$DH$129,BU$1,0),0)</f>
        <v>0</v>
      </c>
      <c r="BV11" s="13">
        <f>IFERROR(VLOOKUP($F11,'Visu totale'!$D$3:$DH$129,BV$1,0),0)</f>
        <v>0</v>
      </c>
      <c r="BW11" s="13">
        <f>IFERROR(VLOOKUP($F11,'Visu totale'!$D$3:$DH$129,BW$1,0),0)</f>
        <v>0</v>
      </c>
      <c r="BX11" s="13">
        <f>IFERROR(VLOOKUP($F11,'Visu totale'!$D$3:$DH$129,BX$1,0),0)</f>
        <v>0</v>
      </c>
      <c r="BY11" s="13">
        <f>IFERROR(VLOOKUP($F11,'Visu totale'!$D$3:$DH$129,BY$1,0),0)</f>
        <v>0</v>
      </c>
      <c r="BZ11" s="15">
        <f>IFERROR(VLOOKUP($F11,'Visu totale'!$D$3:$DH$129,BZ$1,0),0)</f>
        <v>0</v>
      </c>
      <c r="CA11" s="14">
        <f>IFERROR(VLOOKUP($F11,'Visu totale'!$D$3:$DH$129,CA$1,0),0)</f>
        <v>0</v>
      </c>
      <c r="CB11" s="13">
        <f>IFERROR(VLOOKUP($F11,'Visu totale'!$D$3:$DH$129,CB$1,0),0)</f>
        <v>0</v>
      </c>
      <c r="CC11" s="13">
        <f>IFERROR(VLOOKUP($F11,'Visu totale'!$D$3:$DH$129,CC$1,0),0)</f>
        <v>0</v>
      </c>
      <c r="CD11" s="13">
        <f>IFERROR(VLOOKUP($F11,'Visu totale'!$D$3:$DH$129,CD$1,0),0)</f>
        <v>0</v>
      </c>
      <c r="CE11" s="13">
        <f>IFERROR(VLOOKUP($F11,'Visu totale'!$D$3:$DH$129,CE$1,0),0)</f>
        <v>0</v>
      </c>
      <c r="CF11" s="13">
        <f>IFERROR(VLOOKUP($F11,'Visu totale'!$D$3:$DH$129,CF$1,0),0)</f>
        <v>0</v>
      </c>
      <c r="CG11" s="13">
        <f>IFERROR(VLOOKUP($F11,'Visu totale'!$D$3:$DH$129,CG$1,0),0)</f>
        <v>0</v>
      </c>
      <c r="CH11" s="13">
        <f>IFERROR(VLOOKUP($F11,'Visu totale'!$D$3:$DH$129,CH$1,0),0)</f>
        <v>0</v>
      </c>
      <c r="CI11" s="13">
        <f>IFERROR(VLOOKUP($F11,'Visu totale'!$D$3:$DH$129,CI$1,0),0)</f>
        <v>0</v>
      </c>
      <c r="CJ11" s="13">
        <f>IFERROR(VLOOKUP($F11,'Visu totale'!$D$3:$DH$129,CJ$1,0),0)</f>
        <v>0</v>
      </c>
      <c r="CK11" s="13">
        <f>IFERROR(VLOOKUP($F11,'Visu totale'!$D$3:$DH$129,CK$1,0),0)</f>
        <v>0</v>
      </c>
      <c r="CL11" s="15">
        <f>IFERROR(VLOOKUP($F11,'Visu totale'!$D$3:$DH$129,CL$1,0),0)</f>
        <v>0</v>
      </c>
      <c r="CM11" s="14">
        <f>IFERROR(VLOOKUP($F11,'Visu totale'!$D$3:$DH$129,CM$1,0),0)</f>
        <v>0</v>
      </c>
      <c r="CN11" s="13">
        <f>IFERROR(VLOOKUP($F11,'Visu totale'!$D$3:$DH$129,CN$1,0),0)</f>
        <v>0</v>
      </c>
      <c r="CO11" s="13">
        <f>IFERROR(VLOOKUP($F11,'Visu totale'!$D$3:$DH$129,CO$1,0),0)</f>
        <v>0</v>
      </c>
      <c r="CP11" s="13">
        <f>IFERROR(VLOOKUP($F11,'Visu totale'!$D$3:$DH$129,CP$1,0),0)</f>
        <v>0</v>
      </c>
      <c r="CQ11" s="13">
        <f>IFERROR(VLOOKUP($F11,'Visu totale'!$D$3:$DH$129,CQ$1,0),0)</f>
        <v>0</v>
      </c>
      <c r="CR11" s="13">
        <f>IFERROR(VLOOKUP($F11,'Visu totale'!$D$3:$DH$129,CR$1,0),0)</f>
        <v>0</v>
      </c>
      <c r="CS11" s="13">
        <f>IFERROR(VLOOKUP($F11,'Visu totale'!$D$3:$DH$129,CS$1,0),0)</f>
        <v>0</v>
      </c>
      <c r="CT11" s="13">
        <f>IFERROR(VLOOKUP($F11,'Visu totale'!$D$3:$DH$129,CT$1,0),0)</f>
        <v>0</v>
      </c>
      <c r="CU11" s="13">
        <f>IFERROR(VLOOKUP($F11,'Visu totale'!$D$3:$DH$129,CU$1,0),0)</f>
        <v>0</v>
      </c>
      <c r="CV11" s="13">
        <f>IFERROR(VLOOKUP($F11,'Visu totale'!$D$3:$DH$129,CV$1,0),0)</f>
        <v>0</v>
      </c>
      <c r="CW11" s="13">
        <f>IFERROR(VLOOKUP($F11,'Visu totale'!$D$3:$DH$129,CW$1,0),0)</f>
        <v>0</v>
      </c>
      <c r="CX11" s="15">
        <f>IFERROR(VLOOKUP($F11,'Visu totale'!$D$3:$DH$129,CX$1,0),0)</f>
        <v>0</v>
      </c>
      <c r="CY11" s="14">
        <f>IFERROR(VLOOKUP($F11,'Visu totale'!$D$3:$DH$129,CY$1,0),0)</f>
        <v>0</v>
      </c>
      <c r="CZ11" s="13">
        <f>IFERROR(VLOOKUP($F11,'Visu totale'!$D$3:$DH$129,CZ$1,0),0)</f>
        <v>0</v>
      </c>
      <c r="DA11" s="13">
        <f>IFERROR(VLOOKUP($F11,'Visu totale'!$D$3:$DH$129,DA$1,0),0)</f>
        <v>0</v>
      </c>
      <c r="DB11" s="13">
        <f>IFERROR(VLOOKUP($F11,'Visu totale'!$D$3:$DH$129,DB$1,0),0)</f>
        <v>0</v>
      </c>
      <c r="DC11" s="13">
        <f>IFERROR(VLOOKUP($F11,'Visu totale'!$D$3:$DH$129,DC$1,0),0)</f>
        <v>0</v>
      </c>
      <c r="DD11" s="13">
        <f>IFERROR(VLOOKUP($F11,'Visu totale'!$D$3:$DH$129,DD$1,0),0)</f>
        <v>0</v>
      </c>
      <c r="DE11" s="13">
        <f>IFERROR(VLOOKUP($F11,'Visu totale'!$D$3:$DH$129,DE$1,0),0)</f>
        <v>0</v>
      </c>
      <c r="DF11" s="13">
        <f>IFERROR(VLOOKUP($F11,'Visu totale'!$D$3:$DH$129,DF$1,0),0)</f>
        <v>0</v>
      </c>
      <c r="DG11" s="13">
        <f>IFERROR(VLOOKUP($F11,'Visu totale'!$D$3:$DH$129,DG$1,0),0)</f>
        <v>0</v>
      </c>
      <c r="DH11" s="13">
        <f>IFERROR(VLOOKUP($F11,'Visu totale'!$D$3:$DH$129,DH$1,0),0)</f>
        <v>0</v>
      </c>
      <c r="DI11" s="13">
        <f>IFERROR(VLOOKUP($F11,'Visu totale'!$D$3:$DH$129,DI$1,0),0)</f>
        <v>0</v>
      </c>
      <c r="DJ11" s="15">
        <f>IFERROR(VLOOKUP($F11,'Visu totale'!$D$3:$DH$129,DJ$1,0),0)</f>
        <v>0</v>
      </c>
    </row>
    <row r="12" spans="1:114" s="12" customFormat="1" x14ac:dyDescent="0.25">
      <c r="A12" s="13"/>
      <c r="B12" s="13"/>
      <c r="C12" s="13"/>
      <c r="D12" s="13"/>
      <c r="E12" s="13"/>
      <c r="F12" s="17" t="s">
        <v>112</v>
      </c>
      <c r="G12" s="14">
        <f>IFERROR(VLOOKUP($F12,'Visu totale'!$D$3:$DH$129,G$1,0),0)</f>
        <v>0</v>
      </c>
      <c r="H12" s="13">
        <f>IFERROR(VLOOKUP($F12,'Visu totale'!$D$3:$DH$129,H$1,0),0)</f>
        <v>0</v>
      </c>
      <c r="I12" s="13">
        <f>IFERROR(VLOOKUP($F12,'Visu totale'!$D$3:$DH$129,I$1,0),0)</f>
        <v>0</v>
      </c>
      <c r="J12" s="13">
        <f>IFERROR(VLOOKUP($F12,'Visu totale'!$D$3:$DH$129,J$1,0),0)</f>
        <v>0</v>
      </c>
      <c r="K12" s="13">
        <f>IFERROR(VLOOKUP($F12,'Visu totale'!$D$3:$DH$129,K$1,0),0)</f>
        <v>0</v>
      </c>
      <c r="L12" s="13">
        <f>IFERROR(VLOOKUP($F12,'Visu totale'!$D$3:$DH$129,L$1,0),0)</f>
        <v>0</v>
      </c>
      <c r="M12" s="13">
        <f>IFERROR(VLOOKUP($F12,'Visu totale'!$D$3:$DH$129,M$1,0),0)</f>
        <v>0</v>
      </c>
      <c r="N12" s="13">
        <f>IFERROR(VLOOKUP($F12,'Visu totale'!$D$3:$DH$129,N$1,0),0)</f>
        <v>0</v>
      </c>
      <c r="O12" s="13">
        <f>IFERROR(VLOOKUP($F12,'Visu totale'!$D$3:$DH$129,O$1,0),0)</f>
        <v>0</v>
      </c>
      <c r="P12" s="13">
        <f>IFERROR(VLOOKUP($F12,'Visu totale'!$D$3:$DH$129,P$1,0),0)</f>
        <v>0</v>
      </c>
      <c r="Q12" s="13">
        <f>IFERROR(VLOOKUP($F12,'Visu totale'!$D$3:$DH$129,Q$1,0),0)</f>
        <v>0</v>
      </c>
      <c r="R12" s="15">
        <f>IFERROR(VLOOKUP($F12,'Visu totale'!$D$3:$DH$129,R$1,0),0)</f>
        <v>0</v>
      </c>
      <c r="S12" s="14">
        <f>IFERROR(VLOOKUP($F12,'Visu totale'!$D$3:$DH$129,S$1,0),0)</f>
        <v>0</v>
      </c>
      <c r="T12" s="13">
        <f>IFERROR(VLOOKUP($F12,'Visu totale'!$D$3:$DH$129,T$1,0),0)</f>
        <v>0</v>
      </c>
      <c r="U12" s="13">
        <f>IFERROR(VLOOKUP($F12,'Visu totale'!$D$3:$DH$129,U$1,0),0)</f>
        <v>0</v>
      </c>
      <c r="V12" s="13">
        <f>IFERROR(VLOOKUP($F12,'Visu totale'!$D$3:$DH$129,V$1,0),0)</f>
        <v>0</v>
      </c>
      <c r="W12" s="13">
        <f>IFERROR(VLOOKUP($F12,'Visu totale'!$D$3:$DH$129,W$1,0),0)</f>
        <v>0</v>
      </c>
      <c r="X12" s="13">
        <f>IFERROR(VLOOKUP($F12,'Visu totale'!$D$3:$DH$129,X$1,0),0)</f>
        <v>0</v>
      </c>
      <c r="Y12" s="13">
        <f>IFERROR(VLOOKUP($F12,'Visu totale'!$D$3:$DH$129,Y$1,0),0)</f>
        <v>0</v>
      </c>
      <c r="Z12" s="13">
        <f>IFERROR(VLOOKUP($F12,'Visu totale'!$D$3:$DH$129,Z$1,0),0)</f>
        <v>0</v>
      </c>
      <c r="AA12" s="13">
        <f>IFERROR(VLOOKUP($F12,'Visu totale'!$D$3:$DH$129,AA$1,0),0)</f>
        <v>0</v>
      </c>
      <c r="AB12" s="13">
        <f>IFERROR(VLOOKUP($F12,'Visu totale'!$D$3:$DH$129,AB$1,0),0)</f>
        <v>0</v>
      </c>
      <c r="AC12" s="13">
        <f>IFERROR(VLOOKUP($F12,'Visu totale'!$D$3:$DH$129,AC$1,0),0)</f>
        <v>0</v>
      </c>
      <c r="AD12" s="15">
        <f>IFERROR(VLOOKUP($F12,'Visu totale'!$D$3:$DH$129,AD$1,0),0)</f>
        <v>0</v>
      </c>
      <c r="AE12" s="14">
        <f>IFERROR(VLOOKUP($F12,'Visu totale'!$D$3:$DH$129,AE$1,0),0)</f>
        <v>0</v>
      </c>
      <c r="AF12" s="13">
        <f>IFERROR(VLOOKUP($F12,'Visu totale'!$D$3:$DH$129,AF$1,0),0)</f>
        <v>0</v>
      </c>
      <c r="AG12" s="13">
        <f>IFERROR(VLOOKUP($F12,'Visu totale'!$D$3:$DH$129,AG$1,0),0)</f>
        <v>0</v>
      </c>
      <c r="AH12" s="13">
        <f>IFERROR(VLOOKUP($F12,'Visu totale'!$D$3:$DH$129,AH$1,0),0)</f>
        <v>0</v>
      </c>
      <c r="AI12" s="13">
        <f>IFERROR(VLOOKUP($F12,'Visu totale'!$D$3:$DH$129,AI$1,0),0)</f>
        <v>0</v>
      </c>
      <c r="AJ12" s="13">
        <f>IFERROR(VLOOKUP($F12,'Visu totale'!$D$3:$DH$129,AJ$1,0),0)</f>
        <v>0</v>
      </c>
      <c r="AK12" s="13">
        <f>IFERROR(VLOOKUP($F12,'Visu totale'!$D$3:$DH$129,AK$1,0),0)</f>
        <v>0</v>
      </c>
      <c r="AL12" s="13">
        <f>IFERROR(VLOOKUP($F12,'Visu totale'!$D$3:$DH$129,AL$1,0),0)</f>
        <v>0</v>
      </c>
      <c r="AM12" s="13">
        <f>IFERROR(VLOOKUP($F12,'Visu totale'!$D$3:$DH$129,AM$1,0),0)</f>
        <v>0</v>
      </c>
      <c r="AN12" s="13">
        <f>IFERROR(VLOOKUP($F12,'Visu totale'!$D$3:$DH$129,AN$1,0),0)</f>
        <v>0</v>
      </c>
      <c r="AO12" s="13">
        <f>IFERROR(VLOOKUP($F12,'Visu totale'!$D$3:$DH$129,AO$1,0),0)</f>
        <v>0</v>
      </c>
      <c r="AP12" s="15">
        <f>IFERROR(VLOOKUP($F12,'Visu totale'!$D$3:$DH$129,AP$1,0),0)</f>
        <v>0</v>
      </c>
      <c r="AQ12" s="14">
        <f>IFERROR(VLOOKUP($F12,'Visu totale'!$D$3:$DH$129,AQ$1,0),0)</f>
        <v>0</v>
      </c>
      <c r="AR12" s="13">
        <f>IFERROR(VLOOKUP($F12,'Visu totale'!$D$3:$DH$129,AR$1,0),0)</f>
        <v>0</v>
      </c>
      <c r="AS12" s="13">
        <f>IFERROR(VLOOKUP($F12,'Visu totale'!$D$3:$DH$129,AS$1,0),0)</f>
        <v>0</v>
      </c>
      <c r="AT12" s="13">
        <f>IFERROR(VLOOKUP($F12,'Visu totale'!$D$3:$DH$129,AT$1,0),0)</f>
        <v>0</v>
      </c>
      <c r="AU12" s="13">
        <f>IFERROR(VLOOKUP($F12,'Visu totale'!$D$3:$DH$129,AU$1,0),0)</f>
        <v>0</v>
      </c>
      <c r="AV12" s="13">
        <f>IFERROR(VLOOKUP($F12,'Visu totale'!$D$3:$DH$129,AV$1,0),0)</f>
        <v>0</v>
      </c>
      <c r="AW12" s="13">
        <f>IFERROR(VLOOKUP($F12,'Visu totale'!$D$3:$DH$129,AW$1,0),0)</f>
        <v>0</v>
      </c>
      <c r="AX12" s="13">
        <f>IFERROR(VLOOKUP($F12,'Visu totale'!$D$3:$DH$129,AX$1,0),0)</f>
        <v>0</v>
      </c>
      <c r="AY12" s="13">
        <f>IFERROR(VLOOKUP($F12,'Visu totale'!$D$3:$DH$129,AY$1,0),0)</f>
        <v>0</v>
      </c>
      <c r="AZ12" s="13">
        <f>IFERROR(VLOOKUP($F12,'Visu totale'!$D$3:$DH$129,AZ$1,0),0)</f>
        <v>0</v>
      </c>
      <c r="BA12" s="13">
        <f>IFERROR(VLOOKUP($F12,'Visu totale'!$D$3:$DH$129,BA$1,0),0)</f>
        <v>0</v>
      </c>
      <c r="BB12" s="15">
        <f>IFERROR(VLOOKUP($F12,'Visu totale'!$D$3:$DH$129,BB$1,0),0)</f>
        <v>0</v>
      </c>
      <c r="BC12" s="14">
        <f>IFERROR(VLOOKUP($F12,'Visu totale'!$D$3:$DH$129,BC$1,0),0)</f>
        <v>0</v>
      </c>
      <c r="BD12" s="13">
        <f>IFERROR(VLOOKUP($F12,'Visu totale'!$D$3:$DH$129,BD$1,0),0)</f>
        <v>0</v>
      </c>
      <c r="BE12" s="13">
        <f>IFERROR(VLOOKUP($F12,'Visu totale'!$D$3:$DH$129,BE$1,0),0)</f>
        <v>0</v>
      </c>
      <c r="BF12" s="13">
        <f>IFERROR(VLOOKUP($F12,'Visu totale'!$D$3:$DH$129,BF$1,0),0)</f>
        <v>0</v>
      </c>
      <c r="BG12" s="13">
        <f>IFERROR(VLOOKUP($F12,'Visu totale'!$D$3:$DH$129,BG$1,0),0)</f>
        <v>0</v>
      </c>
      <c r="BH12" s="13">
        <f>IFERROR(VLOOKUP($F12,'Visu totale'!$D$3:$DH$129,BH$1,0),0)</f>
        <v>0</v>
      </c>
      <c r="BI12" s="13">
        <f>IFERROR(VLOOKUP($F12,'Visu totale'!$D$3:$DH$129,BI$1,0),0)</f>
        <v>0</v>
      </c>
      <c r="BJ12" s="13">
        <f>IFERROR(VLOOKUP($F12,'Visu totale'!$D$3:$DH$129,BJ$1,0),0)</f>
        <v>0</v>
      </c>
      <c r="BK12" s="13">
        <f>IFERROR(VLOOKUP($F12,'Visu totale'!$D$3:$DH$129,BK$1,0),0)</f>
        <v>0</v>
      </c>
      <c r="BL12" s="13">
        <f>IFERROR(VLOOKUP($F12,'Visu totale'!$D$3:$DH$129,BL$1,0),0)</f>
        <v>0</v>
      </c>
      <c r="BM12" s="13">
        <f>IFERROR(VLOOKUP($F12,'Visu totale'!$D$3:$DH$129,BM$1,0),0)</f>
        <v>0</v>
      </c>
      <c r="BN12" s="15">
        <f>IFERROR(VLOOKUP($F12,'Visu totale'!$D$3:$DH$129,BN$1,0),0)</f>
        <v>0</v>
      </c>
      <c r="BO12" s="14">
        <f>IFERROR(VLOOKUP($F12,'Visu totale'!$D$3:$DH$129,BO$1,0),0)</f>
        <v>0</v>
      </c>
      <c r="BP12" s="13">
        <f>IFERROR(VLOOKUP($F12,'Visu totale'!$D$3:$DH$129,BP$1,0),0)</f>
        <v>0</v>
      </c>
      <c r="BQ12" s="13">
        <f>IFERROR(VLOOKUP($F12,'Visu totale'!$D$3:$DH$129,BQ$1,0),0)</f>
        <v>0</v>
      </c>
      <c r="BR12" s="13">
        <f>IFERROR(VLOOKUP($F12,'Visu totale'!$D$3:$DH$129,BR$1,0),0)</f>
        <v>0</v>
      </c>
      <c r="BS12" s="13">
        <f>IFERROR(VLOOKUP($F12,'Visu totale'!$D$3:$DH$129,BS$1,0),0)</f>
        <v>0</v>
      </c>
      <c r="BT12" s="13">
        <f>IFERROR(VLOOKUP($F12,'Visu totale'!$D$3:$DH$129,BT$1,0),0)</f>
        <v>0</v>
      </c>
      <c r="BU12" s="13">
        <f>IFERROR(VLOOKUP($F12,'Visu totale'!$D$3:$DH$129,BU$1,0),0)</f>
        <v>0</v>
      </c>
      <c r="BV12" s="13">
        <f>IFERROR(VLOOKUP($F12,'Visu totale'!$D$3:$DH$129,BV$1,0),0)</f>
        <v>0</v>
      </c>
      <c r="BW12" s="13">
        <f>IFERROR(VLOOKUP($F12,'Visu totale'!$D$3:$DH$129,BW$1,0),0)</f>
        <v>0</v>
      </c>
      <c r="BX12" s="13">
        <f>IFERROR(VLOOKUP($F12,'Visu totale'!$D$3:$DH$129,BX$1,0),0)</f>
        <v>0</v>
      </c>
      <c r="BY12" s="13">
        <f>IFERROR(VLOOKUP($F12,'Visu totale'!$D$3:$DH$129,BY$1,0),0)</f>
        <v>0</v>
      </c>
      <c r="BZ12" s="15">
        <f>IFERROR(VLOOKUP($F12,'Visu totale'!$D$3:$DH$129,BZ$1,0),0)</f>
        <v>0</v>
      </c>
      <c r="CA12" s="14">
        <f>IFERROR(VLOOKUP($F12,'Visu totale'!$D$3:$DH$129,CA$1,0),0)</f>
        <v>0</v>
      </c>
      <c r="CB12" s="13">
        <f>IFERROR(VLOOKUP($F12,'Visu totale'!$D$3:$DH$129,CB$1,0),0)</f>
        <v>0</v>
      </c>
      <c r="CC12" s="13">
        <f>IFERROR(VLOOKUP($F12,'Visu totale'!$D$3:$DH$129,CC$1,0),0)</f>
        <v>0</v>
      </c>
      <c r="CD12" s="13">
        <f>IFERROR(VLOOKUP($F12,'Visu totale'!$D$3:$DH$129,CD$1,0),0)</f>
        <v>0</v>
      </c>
      <c r="CE12" s="13">
        <f>IFERROR(VLOOKUP($F12,'Visu totale'!$D$3:$DH$129,CE$1,0),0)</f>
        <v>0</v>
      </c>
      <c r="CF12" s="13">
        <f>IFERROR(VLOOKUP($F12,'Visu totale'!$D$3:$DH$129,CF$1,0),0)</f>
        <v>0</v>
      </c>
      <c r="CG12" s="13">
        <f>IFERROR(VLOOKUP($F12,'Visu totale'!$D$3:$DH$129,CG$1,0),0)</f>
        <v>0</v>
      </c>
      <c r="CH12" s="13">
        <f>IFERROR(VLOOKUP($F12,'Visu totale'!$D$3:$DH$129,CH$1,0),0)</f>
        <v>0</v>
      </c>
      <c r="CI12" s="13">
        <f>IFERROR(VLOOKUP($F12,'Visu totale'!$D$3:$DH$129,CI$1,0),0)</f>
        <v>0</v>
      </c>
      <c r="CJ12" s="13">
        <f>IFERROR(VLOOKUP($F12,'Visu totale'!$D$3:$DH$129,CJ$1,0),0)</f>
        <v>0</v>
      </c>
      <c r="CK12" s="13">
        <f>IFERROR(VLOOKUP($F12,'Visu totale'!$D$3:$DH$129,CK$1,0),0)</f>
        <v>0</v>
      </c>
      <c r="CL12" s="15">
        <f>IFERROR(VLOOKUP($F12,'Visu totale'!$D$3:$DH$129,CL$1,0),0)</f>
        <v>0</v>
      </c>
      <c r="CM12" s="14">
        <f>IFERROR(VLOOKUP($F12,'Visu totale'!$D$3:$DH$129,CM$1,0),0)</f>
        <v>0</v>
      </c>
      <c r="CN12" s="13">
        <f>IFERROR(VLOOKUP($F12,'Visu totale'!$D$3:$DH$129,CN$1,0),0)</f>
        <v>0</v>
      </c>
      <c r="CO12" s="13">
        <f>IFERROR(VLOOKUP($F12,'Visu totale'!$D$3:$DH$129,CO$1,0),0)</f>
        <v>0</v>
      </c>
      <c r="CP12" s="13">
        <f>IFERROR(VLOOKUP($F12,'Visu totale'!$D$3:$DH$129,CP$1,0),0)</f>
        <v>0</v>
      </c>
      <c r="CQ12" s="13">
        <f>IFERROR(VLOOKUP($F12,'Visu totale'!$D$3:$DH$129,CQ$1,0),0)</f>
        <v>0</v>
      </c>
      <c r="CR12" s="13">
        <f>IFERROR(VLOOKUP($F12,'Visu totale'!$D$3:$DH$129,CR$1,0),0)</f>
        <v>0</v>
      </c>
      <c r="CS12" s="13">
        <f>IFERROR(VLOOKUP($F12,'Visu totale'!$D$3:$DH$129,CS$1,0),0)</f>
        <v>0</v>
      </c>
      <c r="CT12" s="13">
        <f>IFERROR(VLOOKUP($F12,'Visu totale'!$D$3:$DH$129,CT$1,0),0)</f>
        <v>0</v>
      </c>
      <c r="CU12" s="13">
        <f>IFERROR(VLOOKUP($F12,'Visu totale'!$D$3:$DH$129,CU$1,0),0)</f>
        <v>0</v>
      </c>
      <c r="CV12" s="13">
        <f>IFERROR(VLOOKUP($F12,'Visu totale'!$D$3:$DH$129,CV$1,0),0)</f>
        <v>0</v>
      </c>
      <c r="CW12" s="13">
        <f>IFERROR(VLOOKUP($F12,'Visu totale'!$D$3:$DH$129,CW$1,0),0)</f>
        <v>0</v>
      </c>
      <c r="CX12" s="15">
        <f>IFERROR(VLOOKUP($F12,'Visu totale'!$D$3:$DH$129,CX$1,0),0)</f>
        <v>0</v>
      </c>
      <c r="CY12" s="14">
        <f>IFERROR(VLOOKUP($F12,'Visu totale'!$D$3:$DH$129,CY$1,0),0)</f>
        <v>0</v>
      </c>
      <c r="CZ12" s="13">
        <f>IFERROR(VLOOKUP($F12,'Visu totale'!$D$3:$DH$129,CZ$1,0),0)</f>
        <v>0</v>
      </c>
      <c r="DA12" s="13">
        <f>IFERROR(VLOOKUP($F12,'Visu totale'!$D$3:$DH$129,DA$1,0),0)</f>
        <v>0</v>
      </c>
      <c r="DB12" s="13">
        <f>IFERROR(VLOOKUP($F12,'Visu totale'!$D$3:$DH$129,DB$1,0),0)</f>
        <v>0</v>
      </c>
      <c r="DC12" s="13">
        <f>IFERROR(VLOOKUP($F12,'Visu totale'!$D$3:$DH$129,DC$1,0),0)</f>
        <v>0</v>
      </c>
      <c r="DD12" s="13">
        <f>IFERROR(VLOOKUP($F12,'Visu totale'!$D$3:$DH$129,DD$1,0),0)</f>
        <v>0</v>
      </c>
      <c r="DE12" s="13">
        <f>IFERROR(VLOOKUP($F12,'Visu totale'!$D$3:$DH$129,DE$1,0),0)</f>
        <v>0</v>
      </c>
      <c r="DF12" s="13">
        <f>IFERROR(VLOOKUP($F12,'Visu totale'!$D$3:$DH$129,DF$1,0),0)</f>
        <v>0</v>
      </c>
      <c r="DG12" s="13">
        <f>IFERROR(VLOOKUP($F12,'Visu totale'!$D$3:$DH$129,DG$1,0),0)</f>
        <v>0</v>
      </c>
      <c r="DH12" s="13">
        <f>IFERROR(VLOOKUP($F12,'Visu totale'!$D$3:$DH$129,DH$1,0),0)</f>
        <v>0</v>
      </c>
      <c r="DI12" s="13">
        <f>IFERROR(VLOOKUP($F12,'Visu totale'!$D$3:$DH$129,DI$1,0),0)</f>
        <v>0</v>
      </c>
      <c r="DJ12" s="15">
        <f>IFERROR(VLOOKUP($F12,'Visu totale'!$D$3:$DH$129,DJ$1,0),0)</f>
        <v>0</v>
      </c>
    </row>
    <row r="13" spans="1:114" s="12" customFormat="1" x14ac:dyDescent="0.25">
      <c r="A13" s="13"/>
      <c r="B13" s="13"/>
      <c r="C13" s="13"/>
      <c r="D13" s="13"/>
      <c r="E13" s="13"/>
      <c r="F13" s="17" t="s">
        <v>113</v>
      </c>
      <c r="G13" s="14">
        <f>IFERROR(VLOOKUP($F13,'Visu totale'!$D$3:$DH$129,G$1,0),0)</f>
        <v>0</v>
      </c>
      <c r="H13" s="13">
        <f>IFERROR(VLOOKUP($F13,'Visu totale'!$D$3:$DH$129,H$1,0),0)</f>
        <v>0</v>
      </c>
      <c r="I13" s="13">
        <f>IFERROR(VLOOKUP($F13,'Visu totale'!$D$3:$DH$129,I$1,0),0)</f>
        <v>0</v>
      </c>
      <c r="J13" s="13">
        <f>IFERROR(VLOOKUP($F13,'Visu totale'!$D$3:$DH$129,J$1,0),0)</f>
        <v>0</v>
      </c>
      <c r="K13" s="13">
        <f>IFERROR(VLOOKUP($F13,'Visu totale'!$D$3:$DH$129,K$1,0),0)</f>
        <v>0</v>
      </c>
      <c r="L13" s="13">
        <f>IFERROR(VLOOKUP($F13,'Visu totale'!$D$3:$DH$129,L$1,0),0)</f>
        <v>0</v>
      </c>
      <c r="M13" s="13">
        <f>IFERROR(VLOOKUP($F13,'Visu totale'!$D$3:$DH$129,M$1,0),0)</f>
        <v>0</v>
      </c>
      <c r="N13" s="13">
        <f>IFERROR(VLOOKUP($F13,'Visu totale'!$D$3:$DH$129,N$1,0),0)</f>
        <v>0</v>
      </c>
      <c r="O13" s="13">
        <f>IFERROR(VLOOKUP($F13,'Visu totale'!$D$3:$DH$129,O$1,0),0)</f>
        <v>0</v>
      </c>
      <c r="P13" s="13">
        <f>IFERROR(VLOOKUP($F13,'Visu totale'!$D$3:$DH$129,P$1,0),0)</f>
        <v>0</v>
      </c>
      <c r="Q13" s="13">
        <f>IFERROR(VLOOKUP($F13,'Visu totale'!$D$3:$DH$129,Q$1,0),0)</f>
        <v>0</v>
      </c>
      <c r="R13" s="15">
        <f>IFERROR(VLOOKUP($F13,'Visu totale'!$D$3:$DH$129,R$1,0),0)</f>
        <v>0</v>
      </c>
      <c r="S13" s="14">
        <f>IFERROR(VLOOKUP($F13,'Visu totale'!$D$3:$DH$129,S$1,0),0)</f>
        <v>0</v>
      </c>
      <c r="T13" s="13">
        <f>IFERROR(VLOOKUP($F13,'Visu totale'!$D$3:$DH$129,T$1,0),0)</f>
        <v>0</v>
      </c>
      <c r="U13" s="13">
        <f>IFERROR(VLOOKUP($F13,'Visu totale'!$D$3:$DH$129,U$1,0),0)</f>
        <v>0</v>
      </c>
      <c r="V13" s="13">
        <f>IFERROR(VLOOKUP($F13,'Visu totale'!$D$3:$DH$129,V$1,0),0)</f>
        <v>0</v>
      </c>
      <c r="W13" s="13">
        <f>IFERROR(VLOOKUP($F13,'Visu totale'!$D$3:$DH$129,W$1,0),0)</f>
        <v>0</v>
      </c>
      <c r="X13" s="13">
        <f>IFERROR(VLOOKUP($F13,'Visu totale'!$D$3:$DH$129,X$1,0),0)</f>
        <v>0</v>
      </c>
      <c r="Y13" s="13">
        <f>IFERROR(VLOOKUP($F13,'Visu totale'!$D$3:$DH$129,Y$1,0),0)</f>
        <v>0</v>
      </c>
      <c r="Z13" s="13">
        <f>IFERROR(VLOOKUP($F13,'Visu totale'!$D$3:$DH$129,Z$1,0),0)</f>
        <v>0</v>
      </c>
      <c r="AA13" s="13">
        <f>IFERROR(VLOOKUP($F13,'Visu totale'!$D$3:$DH$129,AA$1,0),0)</f>
        <v>0</v>
      </c>
      <c r="AB13" s="13">
        <f>IFERROR(VLOOKUP($F13,'Visu totale'!$D$3:$DH$129,AB$1,0),0)</f>
        <v>0</v>
      </c>
      <c r="AC13" s="13">
        <f>IFERROR(VLOOKUP($F13,'Visu totale'!$D$3:$DH$129,AC$1,0),0)</f>
        <v>0</v>
      </c>
      <c r="AD13" s="15">
        <f>IFERROR(VLOOKUP($F13,'Visu totale'!$D$3:$DH$129,AD$1,0),0)</f>
        <v>0</v>
      </c>
      <c r="AE13" s="14">
        <f>IFERROR(VLOOKUP($F13,'Visu totale'!$D$3:$DH$129,AE$1,0),0)</f>
        <v>0</v>
      </c>
      <c r="AF13" s="13">
        <f>IFERROR(VLOOKUP($F13,'Visu totale'!$D$3:$DH$129,AF$1,0),0)</f>
        <v>0</v>
      </c>
      <c r="AG13" s="13">
        <f>IFERROR(VLOOKUP($F13,'Visu totale'!$D$3:$DH$129,AG$1,0),0)</f>
        <v>0</v>
      </c>
      <c r="AH13" s="13">
        <f>IFERROR(VLOOKUP($F13,'Visu totale'!$D$3:$DH$129,AH$1,0),0)</f>
        <v>0</v>
      </c>
      <c r="AI13" s="13">
        <f>IFERROR(VLOOKUP($F13,'Visu totale'!$D$3:$DH$129,AI$1,0),0)</f>
        <v>0</v>
      </c>
      <c r="AJ13" s="13">
        <f>IFERROR(VLOOKUP($F13,'Visu totale'!$D$3:$DH$129,AJ$1,0),0)</f>
        <v>0</v>
      </c>
      <c r="AK13" s="13">
        <f>IFERROR(VLOOKUP($F13,'Visu totale'!$D$3:$DH$129,AK$1,0),0)</f>
        <v>0</v>
      </c>
      <c r="AL13" s="13">
        <f>IFERROR(VLOOKUP($F13,'Visu totale'!$D$3:$DH$129,AL$1,0),0)</f>
        <v>0</v>
      </c>
      <c r="AM13" s="13">
        <f>IFERROR(VLOOKUP($F13,'Visu totale'!$D$3:$DH$129,AM$1,0),0)</f>
        <v>0</v>
      </c>
      <c r="AN13" s="13">
        <f>IFERROR(VLOOKUP($F13,'Visu totale'!$D$3:$DH$129,AN$1,0),0)</f>
        <v>0</v>
      </c>
      <c r="AO13" s="13">
        <f>IFERROR(VLOOKUP($F13,'Visu totale'!$D$3:$DH$129,AO$1,0),0)</f>
        <v>0</v>
      </c>
      <c r="AP13" s="15">
        <f>IFERROR(VLOOKUP($F13,'Visu totale'!$D$3:$DH$129,AP$1,0),0)</f>
        <v>0</v>
      </c>
      <c r="AQ13" s="14">
        <f>IFERROR(VLOOKUP($F13,'Visu totale'!$D$3:$DH$129,AQ$1,0),0)</f>
        <v>0</v>
      </c>
      <c r="AR13" s="13">
        <f>IFERROR(VLOOKUP($F13,'Visu totale'!$D$3:$DH$129,AR$1,0),0)</f>
        <v>0</v>
      </c>
      <c r="AS13" s="13">
        <f>IFERROR(VLOOKUP($F13,'Visu totale'!$D$3:$DH$129,AS$1,0),0)</f>
        <v>0</v>
      </c>
      <c r="AT13" s="13">
        <f>IFERROR(VLOOKUP($F13,'Visu totale'!$D$3:$DH$129,AT$1,0),0)</f>
        <v>0</v>
      </c>
      <c r="AU13" s="13">
        <f>IFERROR(VLOOKUP($F13,'Visu totale'!$D$3:$DH$129,AU$1,0),0)</f>
        <v>0</v>
      </c>
      <c r="AV13" s="13">
        <f>IFERROR(VLOOKUP($F13,'Visu totale'!$D$3:$DH$129,AV$1,0),0)</f>
        <v>0</v>
      </c>
      <c r="AW13" s="13">
        <f>IFERROR(VLOOKUP($F13,'Visu totale'!$D$3:$DH$129,AW$1,0),0)</f>
        <v>0</v>
      </c>
      <c r="AX13" s="13">
        <f>IFERROR(VLOOKUP($F13,'Visu totale'!$D$3:$DH$129,AX$1,0),0)</f>
        <v>0</v>
      </c>
      <c r="AY13" s="13">
        <f>IFERROR(VLOOKUP($F13,'Visu totale'!$D$3:$DH$129,AY$1,0),0)</f>
        <v>0</v>
      </c>
      <c r="AZ13" s="13">
        <f>IFERROR(VLOOKUP($F13,'Visu totale'!$D$3:$DH$129,AZ$1,0),0)</f>
        <v>0</v>
      </c>
      <c r="BA13" s="13">
        <f>IFERROR(VLOOKUP($F13,'Visu totale'!$D$3:$DH$129,BA$1,0),0)</f>
        <v>0</v>
      </c>
      <c r="BB13" s="15">
        <f>IFERROR(VLOOKUP($F13,'Visu totale'!$D$3:$DH$129,BB$1,0),0)</f>
        <v>0</v>
      </c>
      <c r="BC13" s="14">
        <f>IFERROR(VLOOKUP($F13,'Visu totale'!$D$3:$DH$129,BC$1,0),0)</f>
        <v>0</v>
      </c>
      <c r="BD13" s="13">
        <f>IFERROR(VLOOKUP($F13,'Visu totale'!$D$3:$DH$129,BD$1,0),0)</f>
        <v>0</v>
      </c>
      <c r="BE13" s="13">
        <f>IFERROR(VLOOKUP($F13,'Visu totale'!$D$3:$DH$129,BE$1,0),0)</f>
        <v>0</v>
      </c>
      <c r="BF13" s="13">
        <f>IFERROR(VLOOKUP($F13,'Visu totale'!$D$3:$DH$129,BF$1,0),0)</f>
        <v>0</v>
      </c>
      <c r="BG13" s="13">
        <f>IFERROR(VLOOKUP($F13,'Visu totale'!$D$3:$DH$129,BG$1,0),0)</f>
        <v>0</v>
      </c>
      <c r="BH13" s="13">
        <f>IFERROR(VLOOKUP($F13,'Visu totale'!$D$3:$DH$129,BH$1,0),0)</f>
        <v>0</v>
      </c>
      <c r="BI13" s="13">
        <f>IFERROR(VLOOKUP($F13,'Visu totale'!$D$3:$DH$129,BI$1,0),0)</f>
        <v>0</v>
      </c>
      <c r="BJ13" s="13">
        <f>IFERROR(VLOOKUP($F13,'Visu totale'!$D$3:$DH$129,BJ$1,0),0)</f>
        <v>0</v>
      </c>
      <c r="BK13" s="13">
        <f>IFERROR(VLOOKUP($F13,'Visu totale'!$D$3:$DH$129,BK$1,0),0)</f>
        <v>0</v>
      </c>
      <c r="BL13" s="13">
        <f>IFERROR(VLOOKUP($F13,'Visu totale'!$D$3:$DH$129,BL$1,0),0)</f>
        <v>0</v>
      </c>
      <c r="BM13" s="13">
        <f>IFERROR(VLOOKUP($F13,'Visu totale'!$D$3:$DH$129,BM$1,0),0)</f>
        <v>0</v>
      </c>
      <c r="BN13" s="15">
        <f>IFERROR(VLOOKUP($F13,'Visu totale'!$D$3:$DH$129,BN$1,0),0)</f>
        <v>0</v>
      </c>
      <c r="BO13" s="14">
        <f>IFERROR(VLOOKUP($F13,'Visu totale'!$D$3:$DH$129,BO$1,0),0)</f>
        <v>0</v>
      </c>
      <c r="BP13" s="13">
        <f>IFERROR(VLOOKUP($F13,'Visu totale'!$D$3:$DH$129,BP$1,0),0)</f>
        <v>0</v>
      </c>
      <c r="BQ13" s="13">
        <f>IFERROR(VLOOKUP($F13,'Visu totale'!$D$3:$DH$129,BQ$1,0),0)</f>
        <v>0</v>
      </c>
      <c r="BR13" s="13">
        <f>IFERROR(VLOOKUP($F13,'Visu totale'!$D$3:$DH$129,BR$1,0),0)</f>
        <v>0</v>
      </c>
      <c r="BS13" s="13">
        <f>IFERROR(VLOOKUP($F13,'Visu totale'!$D$3:$DH$129,BS$1,0),0)</f>
        <v>0</v>
      </c>
      <c r="BT13" s="13">
        <f>IFERROR(VLOOKUP($F13,'Visu totale'!$D$3:$DH$129,BT$1,0),0)</f>
        <v>0</v>
      </c>
      <c r="BU13" s="13">
        <f>IFERROR(VLOOKUP($F13,'Visu totale'!$D$3:$DH$129,BU$1,0),0)</f>
        <v>0</v>
      </c>
      <c r="BV13" s="13">
        <f>IFERROR(VLOOKUP($F13,'Visu totale'!$D$3:$DH$129,BV$1,0),0)</f>
        <v>0</v>
      </c>
      <c r="BW13" s="13">
        <f>IFERROR(VLOOKUP($F13,'Visu totale'!$D$3:$DH$129,BW$1,0),0)</f>
        <v>0</v>
      </c>
      <c r="BX13" s="13">
        <f>IFERROR(VLOOKUP($F13,'Visu totale'!$D$3:$DH$129,BX$1,0),0)</f>
        <v>0</v>
      </c>
      <c r="BY13" s="13">
        <f>IFERROR(VLOOKUP($F13,'Visu totale'!$D$3:$DH$129,BY$1,0),0)</f>
        <v>0</v>
      </c>
      <c r="BZ13" s="15">
        <f>IFERROR(VLOOKUP($F13,'Visu totale'!$D$3:$DH$129,BZ$1,0),0)</f>
        <v>0</v>
      </c>
      <c r="CA13" s="14">
        <f>IFERROR(VLOOKUP($F13,'Visu totale'!$D$3:$DH$129,CA$1,0),0)</f>
        <v>0</v>
      </c>
      <c r="CB13" s="13">
        <f>IFERROR(VLOOKUP($F13,'Visu totale'!$D$3:$DH$129,CB$1,0),0)</f>
        <v>0</v>
      </c>
      <c r="CC13" s="13">
        <f>IFERROR(VLOOKUP($F13,'Visu totale'!$D$3:$DH$129,CC$1,0),0)</f>
        <v>0</v>
      </c>
      <c r="CD13" s="13">
        <f>IFERROR(VLOOKUP($F13,'Visu totale'!$D$3:$DH$129,CD$1,0),0)</f>
        <v>0</v>
      </c>
      <c r="CE13" s="13">
        <f>IFERROR(VLOOKUP($F13,'Visu totale'!$D$3:$DH$129,CE$1,0),0)</f>
        <v>0</v>
      </c>
      <c r="CF13" s="13">
        <f>IFERROR(VLOOKUP($F13,'Visu totale'!$D$3:$DH$129,CF$1,0),0)</f>
        <v>0</v>
      </c>
      <c r="CG13" s="13">
        <f>IFERROR(VLOOKUP($F13,'Visu totale'!$D$3:$DH$129,CG$1,0),0)</f>
        <v>0</v>
      </c>
      <c r="CH13" s="13">
        <f>IFERROR(VLOOKUP($F13,'Visu totale'!$D$3:$DH$129,CH$1,0),0)</f>
        <v>0</v>
      </c>
      <c r="CI13" s="13">
        <f>IFERROR(VLOOKUP($F13,'Visu totale'!$D$3:$DH$129,CI$1,0),0)</f>
        <v>0</v>
      </c>
      <c r="CJ13" s="13">
        <f>IFERROR(VLOOKUP($F13,'Visu totale'!$D$3:$DH$129,CJ$1,0),0)</f>
        <v>0</v>
      </c>
      <c r="CK13" s="13">
        <f>IFERROR(VLOOKUP($F13,'Visu totale'!$D$3:$DH$129,CK$1,0),0)</f>
        <v>0</v>
      </c>
      <c r="CL13" s="15">
        <f>IFERROR(VLOOKUP($F13,'Visu totale'!$D$3:$DH$129,CL$1,0),0)</f>
        <v>0</v>
      </c>
      <c r="CM13" s="14">
        <f>IFERROR(VLOOKUP($F13,'Visu totale'!$D$3:$DH$129,CM$1,0),0)</f>
        <v>0</v>
      </c>
      <c r="CN13" s="13">
        <f>IFERROR(VLOOKUP($F13,'Visu totale'!$D$3:$DH$129,CN$1,0),0)</f>
        <v>0</v>
      </c>
      <c r="CO13" s="13">
        <f>IFERROR(VLOOKUP($F13,'Visu totale'!$D$3:$DH$129,CO$1,0),0)</f>
        <v>0</v>
      </c>
      <c r="CP13" s="13">
        <f>IFERROR(VLOOKUP($F13,'Visu totale'!$D$3:$DH$129,CP$1,0),0)</f>
        <v>0</v>
      </c>
      <c r="CQ13" s="13">
        <f>IFERROR(VLOOKUP($F13,'Visu totale'!$D$3:$DH$129,CQ$1,0),0)</f>
        <v>0</v>
      </c>
      <c r="CR13" s="13">
        <f>IFERROR(VLOOKUP($F13,'Visu totale'!$D$3:$DH$129,CR$1,0),0)</f>
        <v>0</v>
      </c>
      <c r="CS13" s="13">
        <f>IFERROR(VLOOKUP($F13,'Visu totale'!$D$3:$DH$129,CS$1,0),0)</f>
        <v>0</v>
      </c>
      <c r="CT13" s="13">
        <f>IFERROR(VLOOKUP($F13,'Visu totale'!$D$3:$DH$129,CT$1,0),0)</f>
        <v>0</v>
      </c>
      <c r="CU13" s="13">
        <f>IFERROR(VLOOKUP($F13,'Visu totale'!$D$3:$DH$129,CU$1,0),0)</f>
        <v>0</v>
      </c>
      <c r="CV13" s="13">
        <f>IFERROR(VLOOKUP($F13,'Visu totale'!$D$3:$DH$129,CV$1,0),0)</f>
        <v>0</v>
      </c>
      <c r="CW13" s="13">
        <f>IFERROR(VLOOKUP($F13,'Visu totale'!$D$3:$DH$129,CW$1,0),0)</f>
        <v>0</v>
      </c>
      <c r="CX13" s="15">
        <f>IFERROR(VLOOKUP($F13,'Visu totale'!$D$3:$DH$129,CX$1,0),0)</f>
        <v>0</v>
      </c>
      <c r="CY13" s="14">
        <f>IFERROR(VLOOKUP($F13,'Visu totale'!$D$3:$DH$129,CY$1,0),0)</f>
        <v>0</v>
      </c>
      <c r="CZ13" s="13">
        <f>IFERROR(VLOOKUP($F13,'Visu totale'!$D$3:$DH$129,CZ$1,0),0)</f>
        <v>0</v>
      </c>
      <c r="DA13" s="13">
        <f>IFERROR(VLOOKUP($F13,'Visu totale'!$D$3:$DH$129,DA$1,0),0)</f>
        <v>0</v>
      </c>
      <c r="DB13" s="13">
        <f>IFERROR(VLOOKUP($F13,'Visu totale'!$D$3:$DH$129,DB$1,0),0)</f>
        <v>0</v>
      </c>
      <c r="DC13" s="13">
        <f>IFERROR(VLOOKUP($F13,'Visu totale'!$D$3:$DH$129,DC$1,0),0)</f>
        <v>0</v>
      </c>
      <c r="DD13" s="13">
        <f>IFERROR(VLOOKUP($F13,'Visu totale'!$D$3:$DH$129,DD$1,0),0)</f>
        <v>0</v>
      </c>
      <c r="DE13" s="13">
        <f>IFERROR(VLOOKUP($F13,'Visu totale'!$D$3:$DH$129,DE$1,0),0)</f>
        <v>0</v>
      </c>
      <c r="DF13" s="13">
        <f>IFERROR(VLOOKUP($F13,'Visu totale'!$D$3:$DH$129,DF$1,0),0)</f>
        <v>0</v>
      </c>
      <c r="DG13" s="13">
        <f>IFERROR(VLOOKUP($F13,'Visu totale'!$D$3:$DH$129,DG$1,0),0)</f>
        <v>0</v>
      </c>
      <c r="DH13" s="13">
        <f>IFERROR(VLOOKUP($F13,'Visu totale'!$D$3:$DH$129,DH$1,0),0)</f>
        <v>0</v>
      </c>
      <c r="DI13" s="13">
        <f>IFERROR(VLOOKUP($F13,'Visu totale'!$D$3:$DH$129,DI$1,0),0)</f>
        <v>0</v>
      </c>
      <c r="DJ13" s="15">
        <f>IFERROR(VLOOKUP($F13,'Visu totale'!$D$3:$DH$129,DJ$1,0),0)</f>
        <v>0</v>
      </c>
    </row>
    <row r="14" spans="1:114" s="12" customFormat="1" x14ac:dyDescent="0.25">
      <c r="A14" s="13"/>
      <c r="B14" s="13"/>
      <c r="C14" s="13"/>
      <c r="D14" s="13"/>
      <c r="E14" s="13"/>
      <c r="F14" s="17" t="s">
        <v>114</v>
      </c>
      <c r="G14" s="14">
        <f>IFERROR(VLOOKUP($F14,'Visu totale'!$D$3:$DH$129,G$1,0),0)</f>
        <v>0</v>
      </c>
      <c r="H14" s="13">
        <f>IFERROR(VLOOKUP($F14,'Visu totale'!$D$3:$DH$129,H$1,0),0)</f>
        <v>0</v>
      </c>
      <c r="I14" s="13">
        <f>IFERROR(VLOOKUP($F14,'Visu totale'!$D$3:$DH$129,I$1,0),0)</f>
        <v>0</v>
      </c>
      <c r="J14" s="13">
        <f>IFERROR(VLOOKUP($F14,'Visu totale'!$D$3:$DH$129,J$1,0),0)</f>
        <v>0</v>
      </c>
      <c r="K14" s="13">
        <f>IFERROR(VLOOKUP($F14,'Visu totale'!$D$3:$DH$129,K$1,0),0)</f>
        <v>0</v>
      </c>
      <c r="L14" s="13">
        <f>IFERROR(VLOOKUP($F14,'Visu totale'!$D$3:$DH$129,L$1,0),0)</f>
        <v>0</v>
      </c>
      <c r="M14" s="13">
        <f>IFERROR(VLOOKUP($F14,'Visu totale'!$D$3:$DH$129,M$1,0),0)</f>
        <v>0</v>
      </c>
      <c r="N14" s="13">
        <f>IFERROR(VLOOKUP($F14,'Visu totale'!$D$3:$DH$129,N$1,0),0)</f>
        <v>0</v>
      </c>
      <c r="O14" s="13">
        <f>IFERROR(VLOOKUP($F14,'Visu totale'!$D$3:$DH$129,O$1,0),0)</f>
        <v>0</v>
      </c>
      <c r="P14" s="13">
        <f>IFERROR(VLOOKUP($F14,'Visu totale'!$D$3:$DH$129,P$1,0),0)</f>
        <v>0</v>
      </c>
      <c r="Q14" s="13">
        <f>IFERROR(VLOOKUP($F14,'Visu totale'!$D$3:$DH$129,Q$1,0),0)</f>
        <v>0</v>
      </c>
      <c r="R14" s="15">
        <f>IFERROR(VLOOKUP($F14,'Visu totale'!$D$3:$DH$129,R$1,0),0)</f>
        <v>0</v>
      </c>
      <c r="S14" s="14">
        <f>IFERROR(VLOOKUP($F14,'Visu totale'!$D$3:$DH$129,S$1,0),0)</f>
        <v>0</v>
      </c>
      <c r="T14" s="13">
        <f>IFERROR(VLOOKUP($F14,'Visu totale'!$D$3:$DH$129,T$1,0),0)</f>
        <v>0</v>
      </c>
      <c r="U14" s="13">
        <f>IFERROR(VLOOKUP($F14,'Visu totale'!$D$3:$DH$129,U$1,0),0)</f>
        <v>0</v>
      </c>
      <c r="V14" s="13">
        <f>IFERROR(VLOOKUP($F14,'Visu totale'!$D$3:$DH$129,V$1,0),0)</f>
        <v>0</v>
      </c>
      <c r="W14" s="13">
        <f>IFERROR(VLOOKUP($F14,'Visu totale'!$D$3:$DH$129,W$1,0),0)</f>
        <v>0</v>
      </c>
      <c r="X14" s="13">
        <f>IFERROR(VLOOKUP($F14,'Visu totale'!$D$3:$DH$129,X$1,0),0)</f>
        <v>0</v>
      </c>
      <c r="Y14" s="13">
        <f>IFERROR(VLOOKUP($F14,'Visu totale'!$D$3:$DH$129,Y$1,0),0)</f>
        <v>0</v>
      </c>
      <c r="Z14" s="13">
        <f>IFERROR(VLOOKUP($F14,'Visu totale'!$D$3:$DH$129,Z$1,0),0)</f>
        <v>0</v>
      </c>
      <c r="AA14" s="13">
        <f>IFERROR(VLOOKUP($F14,'Visu totale'!$D$3:$DH$129,AA$1,0),0)</f>
        <v>0</v>
      </c>
      <c r="AB14" s="13">
        <f>IFERROR(VLOOKUP($F14,'Visu totale'!$D$3:$DH$129,AB$1,0),0)</f>
        <v>0</v>
      </c>
      <c r="AC14" s="13">
        <f>IFERROR(VLOOKUP($F14,'Visu totale'!$D$3:$DH$129,AC$1,0),0)</f>
        <v>0</v>
      </c>
      <c r="AD14" s="15">
        <f>IFERROR(VLOOKUP($F14,'Visu totale'!$D$3:$DH$129,AD$1,0),0)</f>
        <v>0</v>
      </c>
      <c r="AE14" s="14">
        <f>IFERROR(VLOOKUP($F14,'Visu totale'!$D$3:$DH$129,AE$1,0),0)</f>
        <v>0</v>
      </c>
      <c r="AF14" s="13">
        <f>IFERROR(VLOOKUP($F14,'Visu totale'!$D$3:$DH$129,AF$1,0),0)</f>
        <v>0</v>
      </c>
      <c r="AG14" s="13">
        <f>IFERROR(VLOOKUP($F14,'Visu totale'!$D$3:$DH$129,AG$1,0),0)</f>
        <v>0</v>
      </c>
      <c r="AH14" s="13">
        <f>IFERROR(VLOOKUP($F14,'Visu totale'!$D$3:$DH$129,AH$1,0),0)</f>
        <v>0</v>
      </c>
      <c r="AI14" s="13">
        <f>IFERROR(VLOOKUP($F14,'Visu totale'!$D$3:$DH$129,AI$1,0),0)</f>
        <v>0</v>
      </c>
      <c r="AJ14" s="13">
        <f>IFERROR(VLOOKUP($F14,'Visu totale'!$D$3:$DH$129,AJ$1,0),0)</f>
        <v>0</v>
      </c>
      <c r="AK14" s="13">
        <f>IFERROR(VLOOKUP($F14,'Visu totale'!$D$3:$DH$129,AK$1,0),0)</f>
        <v>0</v>
      </c>
      <c r="AL14" s="13">
        <f>IFERROR(VLOOKUP($F14,'Visu totale'!$D$3:$DH$129,AL$1,0),0)</f>
        <v>0</v>
      </c>
      <c r="AM14" s="13">
        <f>IFERROR(VLOOKUP($F14,'Visu totale'!$D$3:$DH$129,AM$1,0),0)</f>
        <v>0</v>
      </c>
      <c r="AN14" s="13">
        <f>IFERROR(VLOOKUP($F14,'Visu totale'!$D$3:$DH$129,AN$1,0),0)</f>
        <v>0</v>
      </c>
      <c r="AO14" s="13">
        <f>IFERROR(VLOOKUP($F14,'Visu totale'!$D$3:$DH$129,AO$1,0),0)</f>
        <v>0</v>
      </c>
      <c r="AP14" s="15">
        <f>IFERROR(VLOOKUP($F14,'Visu totale'!$D$3:$DH$129,AP$1,0),0)</f>
        <v>0</v>
      </c>
      <c r="AQ14" s="14">
        <f>IFERROR(VLOOKUP($F14,'Visu totale'!$D$3:$DH$129,AQ$1,0),0)</f>
        <v>0</v>
      </c>
      <c r="AR14" s="13">
        <f>IFERROR(VLOOKUP($F14,'Visu totale'!$D$3:$DH$129,AR$1,0),0)</f>
        <v>0</v>
      </c>
      <c r="AS14" s="13">
        <f>IFERROR(VLOOKUP($F14,'Visu totale'!$D$3:$DH$129,AS$1,0),0)</f>
        <v>0</v>
      </c>
      <c r="AT14" s="13">
        <f>IFERROR(VLOOKUP($F14,'Visu totale'!$D$3:$DH$129,AT$1,0),0)</f>
        <v>0</v>
      </c>
      <c r="AU14" s="13">
        <f>IFERROR(VLOOKUP($F14,'Visu totale'!$D$3:$DH$129,AU$1,0),0)</f>
        <v>0</v>
      </c>
      <c r="AV14" s="13">
        <f>IFERROR(VLOOKUP($F14,'Visu totale'!$D$3:$DH$129,AV$1,0),0)</f>
        <v>0</v>
      </c>
      <c r="AW14" s="13">
        <f>IFERROR(VLOOKUP($F14,'Visu totale'!$D$3:$DH$129,AW$1,0),0)</f>
        <v>0</v>
      </c>
      <c r="AX14" s="13">
        <f>IFERROR(VLOOKUP($F14,'Visu totale'!$D$3:$DH$129,AX$1,0),0)</f>
        <v>0</v>
      </c>
      <c r="AY14" s="13">
        <f>IFERROR(VLOOKUP($F14,'Visu totale'!$D$3:$DH$129,AY$1,0),0)</f>
        <v>0</v>
      </c>
      <c r="AZ14" s="13">
        <f>IFERROR(VLOOKUP($F14,'Visu totale'!$D$3:$DH$129,AZ$1,0),0)</f>
        <v>0</v>
      </c>
      <c r="BA14" s="13">
        <f>IFERROR(VLOOKUP($F14,'Visu totale'!$D$3:$DH$129,BA$1,0),0)</f>
        <v>0</v>
      </c>
      <c r="BB14" s="15">
        <f>IFERROR(VLOOKUP($F14,'Visu totale'!$D$3:$DH$129,BB$1,0),0)</f>
        <v>0</v>
      </c>
      <c r="BC14" s="14">
        <f>IFERROR(VLOOKUP($F14,'Visu totale'!$D$3:$DH$129,BC$1,0),0)</f>
        <v>0</v>
      </c>
      <c r="BD14" s="13">
        <f>IFERROR(VLOOKUP($F14,'Visu totale'!$D$3:$DH$129,BD$1,0),0)</f>
        <v>0</v>
      </c>
      <c r="BE14" s="13">
        <f>IFERROR(VLOOKUP($F14,'Visu totale'!$D$3:$DH$129,BE$1,0),0)</f>
        <v>0</v>
      </c>
      <c r="BF14" s="13">
        <f>IFERROR(VLOOKUP($F14,'Visu totale'!$D$3:$DH$129,BF$1,0),0)</f>
        <v>0</v>
      </c>
      <c r="BG14" s="13">
        <f>IFERROR(VLOOKUP($F14,'Visu totale'!$D$3:$DH$129,BG$1,0),0)</f>
        <v>0</v>
      </c>
      <c r="BH14" s="13">
        <f>IFERROR(VLOOKUP($F14,'Visu totale'!$D$3:$DH$129,BH$1,0),0)</f>
        <v>0</v>
      </c>
      <c r="BI14" s="13">
        <f>IFERROR(VLOOKUP($F14,'Visu totale'!$D$3:$DH$129,BI$1,0),0)</f>
        <v>0</v>
      </c>
      <c r="BJ14" s="13">
        <f>IFERROR(VLOOKUP($F14,'Visu totale'!$D$3:$DH$129,BJ$1,0),0)</f>
        <v>0</v>
      </c>
      <c r="BK14" s="13">
        <f>IFERROR(VLOOKUP($F14,'Visu totale'!$D$3:$DH$129,BK$1,0),0)</f>
        <v>0</v>
      </c>
      <c r="BL14" s="13">
        <f>IFERROR(VLOOKUP($F14,'Visu totale'!$D$3:$DH$129,BL$1,0),0)</f>
        <v>0</v>
      </c>
      <c r="BM14" s="13">
        <f>IFERROR(VLOOKUP($F14,'Visu totale'!$D$3:$DH$129,BM$1,0),0)</f>
        <v>0</v>
      </c>
      <c r="BN14" s="15">
        <f>IFERROR(VLOOKUP($F14,'Visu totale'!$D$3:$DH$129,BN$1,0),0)</f>
        <v>0</v>
      </c>
      <c r="BO14" s="14">
        <f>IFERROR(VLOOKUP($F14,'Visu totale'!$D$3:$DH$129,BO$1,0),0)</f>
        <v>0</v>
      </c>
      <c r="BP14" s="13">
        <f>IFERROR(VLOOKUP($F14,'Visu totale'!$D$3:$DH$129,BP$1,0),0)</f>
        <v>0</v>
      </c>
      <c r="BQ14" s="13">
        <f>IFERROR(VLOOKUP($F14,'Visu totale'!$D$3:$DH$129,BQ$1,0),0)</f>
        <v>0</v>
      </c>
      <c r="BR14" s="13">
        <f>IFERROR(VLOOKUP($F14,'Visu totale'!$D$3:$DH$129,BR$1,0),0)</f>
        <v>0</v>
      </c>
      <c r="BS14" s="13">
        <f>IFERROR(VLOOKUP($F14,'Visu totale'!$D$3:$DH$129,BS$1,0),0)</f>
        <v>0</v>
      </c>
      <c r="BT14" s="13">
        <f>IFERROR(VLOOKUP($F14,'Visu totale'!$D$3:$DH$129,BT$1,0),0)</f>
        <v>0</v>
      </c>
      <c r="BU14" s="13">
        <f>IFERROR(VLOOKUP($F14,'Visu totale'!$D$3:$DH$129,BU$1,0),0)</f>
        <v>0</v>
      </c>
      <c r="BV14" s="13">
        <f>IFERROR(VLOOKUP($F14,'Visu totale'!$D$3:$DH$129,BV$1,0),0)</f>
        <v>0</v>
      </c>
      <c r="BW14" s="13">
        <f>IFERROR(VLOOKUP($F14,'Visu totale'!$D$3:$DH$129,BW$1,0),0)</f>
        <v>0</v>
      </c>
      <c r="BX14" s="13">
        <f>IFERROR(VLOOKUP($F14,'Visu totale'!$D$3:$DH$129,BX$1,0),0)</f>
        <v>0</v>
      </c>
      <c r="BY14" s="13">
        <f>IFERROR(VLOOKUP($F14,'Visu totale'!$D$3:$DH$129,BY$1,0),0)</f>
        <v>0</v>
      </c>
      <c r="BZ14" s="15">
        <f>IFERROR(VLOOKUP($F14,'Visu totale'!$D$3:$DH$129,BZ$1,0),0)</f>
        <v>0</v>
      </c>
      <c r="CA14" s="14">
        <f>IFERROR(VLOOKUP($F14,'Visu totale'!$D$3:$DH$129,CA$1,0),0)</f>
        <v>0</v>
      </c>
      <c r="CB14" s="13">
        <f>IFERROR(VLOOKUP($F14,'Visu totale'!$D$3:$DH$129,CB$1,0),0)</f>
        <v>0</v>
      </c>
      <c r="CC14" s="13">
        <f>IFERROR(VLOOKUP($F14,'Visu totale'!$D$3:$DH$129,CC$1,0),0)</f>
        <v>0</v>
      </c>
      <c r="CD14" s="13">
        <f>IFERROR(VLOOKUP($F14,'Visu totale'!$D$3:$DH$129,CD$1,0),0)</f>
        <v>0</v>
      </c>
      <c r="CE14" s="13">
        <f>IFERROR(VLOOKUP($F14,'Visu totale'!$D$3:$DH$129,CE$1,0),0)</f>
        <v>0</v>
      </c>
      <c r="CF14" s="13">
        <f>IFERROR(VLOOKUP($F14,'Visu totale'!$D$3:$DH$129,CF$1,0),0)</f>
        <v>0</v>
      </c>
      <c r="CG14" s="13">
        <f>IFERROR(VLOOKUP($F14,'Visu totale'!$D$3:$DH$129,CG$1,0),0)</f>
        <v>0</v>
      </c>
      <c r="CH14" s="13">
        <f>IFERROR(VLOOKUP($F14,'Visu totale'!$D$3:$DH$129,CH$1,0),0)</f>
        <v>0</v>
      </c>
      <c r="CI14" s="13">
        <f>IFERROR(VLOOKUP($F14,'Visu totale'!$D$3:$DH$129,CI$1,0),0)</f>
        <v>0</v>
      </c>
      <c r="CJ14" s="13">
        <f>IFERROR(VLOOKUP($F14,'Visu totale'!$D$3:$DH$129,CJ$1,0),0)</f>
        <v>0</v>
      </c>
      <c r="CK14" s="13">
        <f>IFERROR(VLOOKUP($F14,'Visu totale'!$D$3:$DH$129,CK$1,0),0)</f>
        <v>0</v>
      </c>
      <c r="CL14" s="15">
        <f>IFERROR(VLOOKUP($F14,'Visu totale'!$D$3:$DH$129,CL$1,0),0)</f>
        <v>0</v>
      </c>
      <c r="CM14" s="14">
        <f>IFERROR(VLOOKUP($F14,'Visu totale'!$D$3:$DH$129,CM$1,0),0)</f>
        <v>0</v>
      </c>
      <c r="CN14" s="13">
        <f>IFERROR(VLOOKUP($F14,'Visu totale'!$D$3:$DH$129,CN$1,0),0)</f>
        <v>0</v>
      </c>
      <c r="CO14" s="13">
        <f>IFERROR(VLOOKUP($F14,'Visu totale'!$D$3:$DH$129,CO$1,0),0)</f>
        <v>0</v>
      </c>
      <c r="CP14" s="13">
        <f>IFERROR(VLOOKUP($F14,'Visu totale'!$D$3:$DH$129,CP$1,0),0)</f>
        <v>0</v>
      </c>
      <c r="CQ14" s="13">
        <f>IFERROR(VLOOKUP($F14,'Visu totale'!$D$3:$DH$129,CQ$1,0),0)</f>
        <v>0</v>
      </c>
      <c r="CR14" s="13">
        <f>IFERROR(VLOOKUP($F14,'Visu totale'!$D$3:$DH$129,CR$1,0),0)</f>
        <v>0</v>
      </c>
      <c r="CS14" s="13">
        <f>IFERROR(VLOOKUP($F14,'Visu totale'!$D$3:$DH$129,CS$1,0),0)</f>
        <v>0</v>
      </c>
      <c r="CT14" s="13">
        <f>IFERROR(VLOOKUP($F14,'Visu totale'!$D$3:$DH$129,CT$1,0),0)</f>
        <v>0</v>
      </c>
      <c r="CU14" s="13">
        <f>IFERROR(VLOOKUP($F14,'Visu totale'!$D$3:$DH$129,CU$1,0),0)</f>
        <v>0</v>
      </c>
      <c r="CV14" s="13">
        <f>IFERROR(VLOOKUP($F14,'Visu totale'!$D$3:$DH$129,CV$1,0),0)</f>
        <v>0</v>
      </c>
      <c r="CW14" s="13">
        <f>IFERROR(VLOOKUP($F14,'Visu totale'!$D$3:$DH$129,CW$1,0),0)</f>
        <v>0</v>
      </c>
      <c r="CX14" s="15">
        <f>IFERROR(VLOOKUP($F14,'Visu totale'!$D$3:$DH$129,CX$1,0),0)</f>
        <v>0</v>
      </c>
      <c r="CY14" s="14">
        <f>IFERROR(VLOOKUP($F14,'Visu totale'!$D$3:$DH$129,CY$1,0),0)</f>
        <v>0</v>
      </c>
      <c r="CZ14" s="13">
        <f>IFERROR(VLOOKUP($F14,'Visu totale'!$D$3:$DH$129,CZ$1,0),0)</f>
        <v>0</v>
      </c>
      <c r="DA14" s="13">
        <f>IFERROR(VLOOKUP($F14,'Visu totale'!$D$3:$DH$129,DA$1,0),0)</f>
        <v>0</v>
      </c>
      <c r="DB14" s="13">
        <f>IFERROR(VLOOKUP($F14,'Visu totale'!$D$3:$DH$129,DB$1,0),0)</f>
        <v>0</v>
      </c>
      <c r="DC14" s="13">
        <f>IFERROR(VLOOKUP($F14,'Visu totale'!$D$3:$DH$129,DC$1,0),0)</f>
        <v>0</v>
      </c>
      <c r="DD14" s="13">
        <f>IFERROR(VLOOKUP($F14,'Visu totale'!$D$3:$DH$129,DD$1,0),0)</f>
        <v>0</v>
      </c>
      <c r="DE14" s="13">
        <f>IFERROR(VLOOKUP($F14,'Visu totale'!$D$3:$DH$129,DE$1,0),0)</f>
        <v>0</v>
      </c>
      <c r="DF14" s="13">
        <f>IFERROR(VLOOKUP($F14,'Visu totale'!$D$3:$DH$129,DF$1,0),0)</f>
        <v>0</v>
      </c>
      <c r="DG14" s="13">
        <f>IFERROR(VLOOKUP($F14,'Visu totale'!$D$3:$DH$129,DG$1,0),0)</f>
        <v>0</v>
      </c>
      <c r="DH14" s="13">
        <f>IFERROR(VLOOKUP($F14,'Visu totale'!$D$3:$DH$129,DH$1,0),0)</f>
        <v>0</v>
      </c>
      <c r="DI14" s="13">
        <f>IFERROR(VLOOKUP($F14,'Visu totale'!$D$3:$DH$129,DI$1,0),0)</f>
        <v>0</v>
      </c>
      <c r="DJ14" s="15">
        <f>IFERROR(VLOOKUP($F14,'Visu totale'!$D$3:$DH$129,DJ$1,0),0)</f>
        <v>0</v>
      </c>
    </row>
    <row r="15" spans="1:114" s="12" customFormat="1" x14ac:dyDescent="0.25">
      <c r="A15" s="13"/>
      <c r="B15" s="13"/>
      <c r="C15" s="13"/>
      <c r="D15" s="13"/>
      <c r="E15" s="13"/>
      <c r="F15" s="17" t="s">
        <v>115</v>
      </c>
      <c r="G15" s="14">
        <f>IFERROR(VLOOKUP($F15,'Visu totale'!$D$3:$DH$129,G$1,0),0)</f>
        <v>0</v>
      </c>
      <c r="H15" s="13">
        <f>IFERROR(VLOOKUP($F15,'Visu totale'!$D$3:$DH$129,H$1,0),0)</f>
        <v>0</v>
      </c>
      <c r="I15" s="13">
        <f>IFERROR(VLOOKUP($F15,'Visu totale'!$D$3:$DH$129,I$1,0),0)</f>
        <v>0</v>
      </c>
      <c r="J15" s="13">
        <f>IFERROR(VLOOKUP($F15,'Visu totale'!$D$3:$DH$129,J$1,0),0)</f>
        <v>0</v>
      </c>
      <c r="K15" s="13">
        <f>IFERROR(VLOOKUP($F15,'Visu totale'!$D$3:$DH$129,K$1,0),0)</f>
        <v>0</v>
      </c>
      <c r="L15" s="13">
        <f>IFERROR(VLOOKUP($F15,'Visu totale'!$D$3:$DH$129,L$1,0),0)</f>
        <v>0</v>
      </c>
      <c r="M15" s="13">
        <f>IFERROR(VLOOKUP($F15,'Visu totale'!$D$3:$DH$129,M$1,0),0)</f>
        <v>0</v>
      </c>
      <c r="N15" s="13">
        <f>IFERROR(VLOOKUP($F15,'Visu totale'!$D$3:$DH$129,N$1,0),0)</f>
        <v>0</v>
      </c>
      <c r="O15" s="13">
        <f>IFERROR(VLOOKUP($F15,'Visu totale'!$D$3:$DH$129,O$1,0),0)</f>
        <v>0</v>
      </c>
      <c r="P15" s="13">
        <f>IFERROR(VLOOKUP($F15,'Visu totale'!$D$3:$DH$129,P$1,0),0)</f>
        <v>0</v>
      </c>
      <c r="Q15" s="13">
        <f>IFERROR(VLOOKUP($F15,'Visu totale'!$D$3:$DH$129,Q$1,0),0)</f>
        <v>0</v>
      </c>
      <c r="R15" s="15">
        <f>IFERROR(VLOOKUP($F15,'Visu totale'!$D$3:$DH$129,R$1,0),0)</f>
        <v>0</v>
      </c>
      <c r="S15" s="14">
        <f>IFERROR(VLOOKUP($F15,'Visu totale'!$D$3:$DH$129,S$1,0),0)</f>
        <v>0</v>
      </c>
      <c r="T15" s="13">
        <f>IFERROR(VLOOKUP($F15,'Visu totale'!$D$3:$DH$129,T$1,0),0)</f>
        <v>0</v>
      </c>
      <c r="U15" s="13">
        <f>IFERROR(VLOOKUP($F15,'Visu totale'!$D$3:$DH$129,U$1,0),0)</f>
        <v>0</v>
      </c>
      <c r="V15" s="13">
        <f>IFERROR(VLOOKUP($F15,'Visu totale'!$D$3:$DH$129,V$1,0),0)</f>
        <v>0</v>
      </c>
      <c r="W15" s="13">
        <f>IFERROR(VLOOKUP($F15,'Visu totale'!$D$3:$DH$129,W$1,0),0)</f>
        <v>0</v>
      </c>
      <c r="X15" s="13">
        <f>IFERROR(VLOOKUP($F15,'Visu totale'!$D$3:$DH$129,X$1,0),0)</f>
        <v>0</v>
      </c>
      <c r="Y15" s="13">
        <f>IFERROR(VLOOKUP($F15,'Visu totale'!$D$3:$DH$129,Y$1,0),0)</f>
        <v>0</v>
      </c>
      <c r="Z15" s="13">
        <f>IFERROR(VLOOKUP($F15,'Visu totale'!$D$3:$DH$129,Z$1,0),0)</f>
        <v>0</v>
      </c>
      <c r="AA15" s="13">
        <f>IFERROR(VLOOKUP($F15,'Visu totale'!$D$3:$DH$129,AA$1,0),0)</f>
        <v>0</v>
      </c>
      <c r="AB15" s="13">
        <f>IFERROR(VLOOKUP($F15,'Visu totale'!$D$3:$DH$129,AB$1,0),0)</f>
        <v>0</v>
      </c>
      <c r="AC15" s="13">
        <f>IFERROR(VLOOKUP($F15,'Visu totale'!$D$3:$DH$129,AC$1,0),0)</f>
        <v>0</v>
      </c>
      <c r="AD15" s="15">
        <f>IFERROR(VLOOKUP($F15,'Visu totale'!$D$3:$DH$129,AD$1,0),0)</f>
        <v>0</v>
      </c>
      <c r="AE15" s="14">
        <f>IFERROR(VLOOKUP($F15,'Visu totale'!$D$3:$DH$129,AE$1,0),0)</f>
        <v>0</v>
      </c>
      <c r="AF15" s="13">
        <f>IFERROR(VLOOKUP($F15,'Visu totale'!$D$3:$DH$129,AF$1,0),0)</f>
        <v>0</v>
      </c>
      <c r="AG15" s="13">
        <f>IFERROR(VLOOKUP($F15,'Visu totale'!$D$3:$DH$129,AG$1,0),0)</f>
        <v>0</v>
      </c>
      <c r="AH15" s="13">
        <f>IFERROR(VLOOKUP($F15,'Visu totale'!$D$3:$DH$129,AH$1,0),0)</f>
        <v>0</v>
      </c>
      <c r="AI15" s="13">
        <f>IFERROR(VLOOKUP($F15,'Visu totale'!$D$3:$DH$129,AI$1,0),0)</f>
        <v>0</v>
      </c>
      <c r="AJ15" s="13">
        <f>IFERROR(VLOOKUP($F15,'Visu totale'!$D$3:$DH$129,AJ$1,0),0)</f>
        <v>0</v>
      </c>
      <c r="AK15" s="13">
        <f>IFERROR(VLOOKUP($F15,'Visu totale'!$D$3:$DH$129,AK$1,0),0)</f>
        <v>0</v>
      </c>
      <c r="AL15" s="13">
        <f>IFERROR(VLOOKUP($F15,'Visu totale'!$D$3:$DH$129,AL$1,0),0)</f>
        <v>0</v>
      </c>
      <c r="AM15" s="13">
        <f>IFERROR(VLOOKUP($F15,'Visu totale'!$D$3:$DH$129,AM$1,0),0)</f>
        <v>0</v>
      </c>
      <c r="AN15" s="13">
        <f>IFERROR(VLOOKUP($F15,'Visu totale'!$D$3:$DH$129,AN$1,0),0)</f>
        <v>0</v>
      </c>
      <c r="AO15" s="13">
        <f>IFERROR(VLOOKUP($F15,'Visu totale'!$D$3:$DH$129,AO$1,0),0)</f>
        <v>0</v>
      </c>
      <c r="AP15" s="15">
        <f>IFERROR(VLOOKUP($F15,'Visu totale'!$D$3:$DH$129,AP$1,0),0)</f>
        <v>0</v>
      </c>
      <c r="AQ15" s="14">
        <f>IFERROR(VLOOKUP($F15,'Visu totale'!$D$3:$DH$129,AQ$1,0),0)</f>
        <v>0</v>
      </c>
      <c r="AR15" s="13">
        <f>IFERROR(VLOOKUP($F15,'Visu totale'!$D$3:$DH$129,AR$1,0),0)</f>
        <v>0</v>
      </c>
      <c r="AS15" s="13">
        <f>IFERROR(VLOOKUP($F15,'Visu totale'!$D$3:$DH$129,AS$1,0),0)</f>
        <v>0</v>
      </c>
      <c r="AT15" s="13">
        <f>IFERROR(VLOOKUP($F15,'Visu totale'!$D$3:$DH$129,AT$1,0),0)</f>
        <v>0</v>
      </c>
      <c r="AU15" s="13">
        <f>IFERROR(VLOOKUP($F15,'Visu totale'!$D$3:$DH$129,AU$1,0),0)</f>
        <v>0</v>
      </c>
      <c r="AV15" s="13">
        <f>IFERROR(VLOOKUP($F15,'Visu totale'!$D$3:$DH$129,AV$1,0),0)</f>
        <v>0</v>
      </c>
      <c r="AW15" s="13">
        <f>IFERROR(VLOOKUP($F15,'Visu totale'!$D$3:$DH$129,AW$1,0),0)</f>
        <v>0</v>
      </c>
      <c r="AX15" s="13">
        <f>IFERROR(VLOOKUP($F15,'Visu totale'!$D$3:$DH$129,AX$1,0),0)</f>
        <v>0</v>
      </c>
      <c r="AY15" s="13">
        <f>IFERROR(VLOOKUP($F15,'Visu totale'!$D$3:$DH$129,AY$1,0),0)</f>
        <v>0</v>
      </c>
      <c r="AZ15" s="13">
        <f>IFERROR(VLOOKUP($F15,'Visu totale'!$D$3:$DH$129,AZ$1,0),0)</f>
        <v>0</v>
      </c>
      <c r="BA15" s="13">
        <f>IFERROR(VLOOKUP($F15,'Visu totale'!$D$3:$DH$129,BA$1,0),0)</f>
        <v>0</v>
      </c>
      <c r="BB15" s="15">
        <f>IFERROR(VLOOKUP($F15,'Visu totale'!$D$3:$DH$129,BB$1,0),0)</f>
        <v>0</v>
      </c>
      <c r="BC15" s="14">
        <f>IFERROR(VLOOKUP($F15,'Visu totale'!$D$3:$DH$129,BC$1,0),0)</f>
        <v>0</v>
      </c>
      <c r="BD15" s="13">
        <f>IFERROR(VLOOKUP($F15,'Visu totale'!$D$3:$DH$129,BD$1,0),0)</f>
        <v>0</v>
      </c>
      <c r="BE15" s="13">
        <f>IFERROR(VLOOKUP($F15,'Visu totale'!$D$3:$DH$129,BE$1,0),0)</f>
        <v>0</v>
      </c>
      <c r="BF15" s="13">
        <f>IFERROR(VLOOKUP($F15,'Visu totale'!$D$3:$DH$129,BF$1,0),0)</f>
        <v>0</v>
      </c>
      <c r="BG15" s="13">
        <f>IFERROR(VLOOKUP($F15,'Visu totale'!$D$3:$DH$129,BG$1,0),0)</f>
        <v>0</v>
      </c>
      <c r="BH15" s="13">
        <f>IFERROR(VLOOKUP($F15,'Visu totale'!$D$3:$DH$129,BH$1,0),0)</f>
        <v>0</v>
      </c>
      <c r="BI15" s="13">
        <f>IFERROR(VLOOKUP($F15,'Visu totale'!$D$3:$DH$129,BI$1,0),0)</f>
        <v>0</v>
      </c>
      <c r="BJ15" s="13">
        <f>IFERROR(VLOOKUP($F15,'Visu totale'!$D$3:$DH$129,BJ$1,0),0)</f>
        <v>0</v>
      </c>
      <c r="BK15" s="13">
        <f>IFERROR(VLOOKUP($F15,'Visu totale'!$D$3:$DH$129,BK$1,0),0)</f>
        <v>0</v>
      </c>
      <c r="BL15" s="13">
        <f>IFERROR(VLOOKUP($F15,'Visu totale'!$D$3:$DH$129,BL$1,0),0)</f>
        <v>0</v>
      </c>
      <c r="BM15" s="13">
        <f>IFERROR(VLOOKUP($F15,'Visu totale'!$D$3:$DH$129,BM$1,0),0)</f>
        <v>0</v>
      </c>
      <c r="BN15" s="15">
        <f>IFERROR(VLOOKUP($F15,'Visu totale'!$D$3:$DH$129,BN$1,0),0)</f>
        <v>0</v>
      </c>
      <c r="BO15" s="14">
        <f>IFERROR(VLOOKUP($F15,'Visu totale'!$D$3:$DH$129,BO$1,0),0)</f>
        <v>0</v>
      </c>
      <c r="BP15" s="13">
        <f>IFERROR(VLOOKUP($F15,'Visu totale'!$D$3:$DH$129,BP$1,0),0)</f>
        <v>0</v>
      </c>
      <c r="BQ15" s="13">
        <f>IFERROR(VLOOKUP($F15,'Visu totale'!$D$3:$DH$129,BQ$1,0),0)</f>
        <v>0</v>
      </c>
      <c r="BR15" s="13">
        <f>IFERROR(VLOOKUP($F15,'Visu totale'!$D$3:$DH$129,BR$1,0),0)</f>
        <v>0</v>
      </c>
      <c r="BS15" s="13">
        <f>IFERROR(VLOOKUP($F15,'Visu totale'!$D$3:$DH$129,BS$1,0),0)</f>
        <v>0</v>
      </c>
      <c r="BT15" s="13">
        <f>IFERROR(VLOOKUP($F15,'Visu totale'!$D$3:$DH$129,BT$1,0),0)</f>
        <v>0</v>
      </c>
      <c r="BU15" s="13">
        <f>IFERROR(VLOOKUP($F15,'Visu totale'!$D$3:$DH$129,BU$1,0),0)</f>
        <v>0</v>
      </c>
      <c r="BV15" s="13">
        <f>IFERROR(VLOOKUP($F15,'Visu totale'!$D$3:$DH$129,BV$1,0),0)</f>
        <v>0</v>
      </c>
      <c r="BW15" s="13">
        <f>IFERROR(VLOOKUP($F15,'Visu totale'!$D$3:$DH$129,BW$1,0),0)</f>
        <v>0</v>
      </c>
      <c r="BX15" s="13">
        <f>IFERROR(VLOOKUP($F15,'Visu totale'!$D$3:$DH$129,BX$1,0),0)</f>
        <v>0</v>
      </c>
      <c r="BY15" s="13">
        <f>IFERROR(VLOOKUP($F15,'Visu totale'!$D$3:$DH$129,BY$1,0),0)</f>
        <v>0</v>
      </c>
      <c r="BZ15" s="15">
        <f>IFERROR(VLOOKUP($F15,'Visu totale'!$D$3:$DH$129,BZ$1,0),0)</f>
        <v>0</v>
      </c>
      <c r="CA15" s="14">
        <f>IFERROR(VLOOKUP($F15,'Visu totale'!$D$3:$DH$129,CA$1,0),0)</f>
        <v>0</v>
      </c>
      <c r="CB15" s="13">
        <f>IFERROR(VLOOKUP($F15,'Visu totale'!$D$3:$DH$129,CB$1,0),0)</f>
        <v>0</v>
      </c>
      <c r="CC15" s="13">
        <f>IFERROR(VLOOKUP($F15,'Visu totale'!$D$3:$DH$129,CC$1,0),0)</f>
        <v>0</v>
      </c>
      <c r="CD15" s="13">
        <f>IFERROR(VLOOKUP($F15,'Visu totale'!$D$3:$DH$129,CD$1,0),0)</f>
        <v>0</v>
      </c>
      <c r="CE15" s="13">
        <f>IFERROR(VLOOKUP($F15,'Visu totale'!$D$3:$DH$129,CE$1,0),0)</f>
        <v>0</v>
      </c>
      <c r="CF15" s="13">
        <f>IFERROR(VLOOKUP($F15,'Visu totale'!$D$3:$DH$129,CF$1,0),0)</f>
        <v>0</v>
      </c>
      <c r="CG15" s="13">
        <f>IFERROR(VLOOKUP($F15,'Visu totale'!$D$3:$DH$129,CG$1,0),0)</f>
        <v>0</v>
      </c>
      <c r="CH15" s="13">
        <f>IFERROR(VLOOKUP($F15,'Visu totale'!$D$3:$DH$129,CH$1,0),0)</f>
        <v>0</v>
      </c>
      <c r="CI15" s="13">
        <f>IFERROR(VLOOKUP($F15,'Visu totale'!$D$3:$DH$129,CI$1,0),0)</f>
        <v>0</v>
      </c>
      <c r="CJ15" s="13">
        <f>IFERROR(VLOOKUP($F15,'Visu totale'!$D$3:$DH$129,CJ$1,0),0)</f>
        <v>0</v>
      </c>
      <c r="CK15" s="13">
        <f>IFERROR(VLOOKUP($F15,'Visu totale'!$D$3:$DH$129,CK$1,0),0)</f>
        <v>0</v>
      </c>
      <c r="CL15" s="15">
        <f>IFERROR(VLOOKUP($F15,'Visu totale'!$D$3:$DH$129,CL$1,0),0)</f>
        <v>0</v>
      </c>
      <c r="CM15" s="14">
        <f>IFERROR(VLOOKUP($F15,'Visu totale'!$D$3:$DH$129,CM$1,0),0)</f>
        <v>0</v>
      </c>
      <c r="CN15" s="13">
        <f>IFERROR(VLOOKUP($F15,'Visu totale'!$D$3:$DH$129,CN$1,0),0)</f>
        <v>0</v>
      </c>
      <c r="CO15" s="13">
        <f>IFERROR(VLOOKUP($F15,'Visu totale'!$D$3:$DH$129,CO$1,0),0)</f>
        <v>0</v>
      </c>
      <c r="CP15" s="13">
        <f>IFERROR(VLOOKUP($F15,'Visu totale'!$D$3:$DH$129,CP$1,0),0)</f>
        <v>0</v>
      </c>
      <c r="CQ15" s="13">
        <f>IFERROR(VLOOKUP($F15,'Visu totale'!$D$3:$DH$129,CQ$1,0),0)</f>
        <v>0</v>
      </c>
      <c r="CR15" s="13">
        <f>IFERROR(VLOOKUP($F15,'Visu totale'!$D$3:$DH$129,CR$1,0),0)</f>
        <v>0</v>
      </c>
      <c r="CS15" s="13">
        <f>IFERROR(VLOOKUP($F15,'Visu totale'!$D$3:$DH$129,CS$1,0),0)</f>
        <v>0</v>
      </c>
      <c r="CT15" s="13">
        <f>IFERROR(VLOOKUP($F15,'Visu totale'!$D$3:$DH$129,CT$1,0),0)</f>
        <v>0</v>
      </c>
      <c r="CU15" s="13">
        <f>IFERROR(VLOOKUP($F15,'Visu totale'!$D$3:$DH$129,CU$1,0),0)</f>
        <v>0</v>
      </c>
      <c r="CV15" s="13">
        <f>IFERROR(VLOOKUP($F15,'Visu totale'!$D$3:$DH$129,CV$1,0),0)</f>
        <v>0</v>
      </c>
      <c r="CW15" s="13">
        <f>IFERROR(VLOOKUP($F15,'Visu totale'!$D$3:$DH$129,CW$1,0),0)</f>
        <v>0</v>
      </c>
      <c r="CX15" s="15">
        <f>IFERROR(VLOOKUP($F15,'Visu totale'!$D$3:$DH$129,CX$1,0),0)</f>
        <v>0</v>
      </c>
      <c r="CY15" s="14">
        <f>IFERROR(VLOOKUP($F15,'Visu totale'!$D$3:$DH$129,CY$1,0),0)</f>
        <v>0</v>
      </c>
      <c r="CZ15" s="13">
        <f>IFERROR(VLOOKUP($F15,'Visu totale'!$D$3:$DH$129,CZ$1,0),0)</f>
        <v>0</v>
      </c>
      <c r="DA15" s="13">
        <f>IFERROR(VLOOKUP($F15,'Visu totale'!$D$3:$DH$129,DA$1,0),0)</f>
        <v>0</v>
      </c>
      <c r="DB15" s="13">
        <f>IFERROR(VLOOKUP($F15,'Visu totale'!$D$3:$DH$129,DB$1,0),0)</f>
        <v>0</v>
      </c>
      <c r="DC15" s="13">
        <f>IFERROR(VLOOKUP($F15,'Visu totale'!$D$3:$DH$129,DC$1,0),0)</f>
        <v>0</v>
      </c>
      <c r="DD15" s="13">
        <f>IFERROR(VLOOKUP($F15,'Visu totale'!$D$3:$DH$129,DD$1,0),0)</f>
        <v>0</v>
      </c>
      <c r="DE15" s="13">
        <f>IFERROR(VLOOKUP($F15,'Visu totale'!$D$3:$DH$129,DE$1,0),0)</f>
        <v>0</v>
      </c>
      <c r="DF15" s="13">
        <f>IFERROR(VLOOKUP($F15,'Visu totale'!$D$3:$DH$129,DF$1,0),0)</f>
        <v>0</v>
      </c>
      <c r="DG15" s="13">
        <f>IFERROR(VLOOKUP($F15,'Visu totale'!$D$3:$DH$129,DG$1,0),0)</f>
        <v>0</v>
      </c>
      <c r="DH15" s="13">
        <f>IFERROR(VLOOKUP($F15,'Visu totale'!$D$3:$DH$129,DH$1,0),0)</f>
        <v>0</v>
      </c>
      <c r="DI15" s="13">
        <f>IFERROR(VLOOKUP($F15,'Visu totale'!$D$3:$DH$129,DI$1,0),0)</f>
        <v>0</v>
      </c>
      <c r="DJ15" s="15">
        <f>IFERROR(VLOOKUP($F15,'Visu totale'!$D$3:$DH$129,DJ$1,0),0)</f>
        <v>0</v>
      </c>
    </row>
    <row r="16" spans="1:114" s="12" customFormat="1" x14ac:dyDescent="0.25">
      <c r="A16" s="13"/>
      <c r="B16" s="13"/>
      <c r="C16" s="13"/>
      <c r="D16" s="13"/>
      <c r="E16" s="13"/>
      <c r="F16" s="17" t="s">
        <v>116</v>
      </c>
      <c r="G16" s="14">
        <f>IFERROR(VLOOKUP($F16,'Visu totale'!$D$3:$DH$129,G$1,0),0)</f>
        <v>0</v>
      </c>
      <c r="H16" s="13">
        <f>IFERROR(VLOOKUP($F16,'Visu totale'!$D$3:$DH$129,H$1,0),0)</f>
        <v>0</v>
      </c>
      <c r="I16" s="13">
        <f>IFERROR(VLOOKUP($F16,'Visu totale'!$D$3:$DH$129,I$1,0),0)</f>
        <v>0</v>
      </c>
      <c r="J16" s="13">
        <f>IFERROR(VLOOKUP($F16,'Visu totale'!$D$3:$DH$129,J$1,0),0)</f>
        <v>0</v>
      </c>
      <c r="K16" s="13">
        <f>IFERROR(VLOOKUP($F16,'Visu totale'!$D$3:$DH$129,K$1,0),0)</f>
        <v>0</v>
      </c>
      <c r="L16" s="13">
        <f>IFERROR(VLOOKUP($F16,'Visu totale'!$D$3:$DH$129,L$1,0),0)</f>
        <v>0</v>
      </c>
      <c r="M16" s="13">
        <f>IFERROR(VLOOKUP($F16,'Visu totale'!$D$3:$DH$129,M$1,0),0)</f>
        <v>0</v>
      </c>
      <c r="N16" s="13">
        <f>IFERROR(VLOOKUP($F16,'Visu totale'!$D$3:$DH$129,N$1,0),0)</f>
        <v>0</v>
      </c>
      <c r="O16" s="13">
        <f>IFERROR(VLOOKUP($F16,'Visu totale'!$D$3:$DH$129,O$1,0),0)</f>
        <v>0</v>
      </c>
      <c r="P16" s="13">
        <f>IFERROR(VLOOKUP($F16,'Visu totale'!$D$3:$DH$129,P$1,0),0)</f>
        <v>0</v>
      </c>
      <c r="Q16" s="13">
        <f>IFERROR(VLOOKUP($F16,'Visu totale'!$D$3:$DH$129,Q$1,0),0)</f>
        <v>0</v>
      </c>
      <c r="R16" s="15">
        <f>IFERROR(VLOOKUP($F16,'Visu totale'!$D$3:$DH$129,R$1,0),0)</f>
        <v>0</v>
      </c>
      <c r="S16" s="14">
        <f>IFERROR(VLOOKUP($F16,'Visu totale'!$D$3:$DH$129,S$1,0),0)</f>
        <v>0</v>
      </c>
      <c r="T16" s="13">
        <f>IFERROR(VLOOKUP($F16,'Visu totale'!$D$3:$DH$129,T$1,0),0)</f>
        <v>0</v>
      </c>
      <c r="U16" s="13">
        <f>IFERROR(VLOOKUP($F16,'Visu totale'!$D$3:$DH$129,U$1,0),0)</f>
        <v>0</v>
      </c>
      <c r="V16" s="13">
        <f>IFERROR(VLOOKUP($F16,'Visu totale'!$D$3:$DH$129,V$1,0),0)</f>
        <v>0</v>
      </c>
      <c r="W16" s="13">
        <f>IFERROR(VLOOKUP($F16,'Visu totale'!$D$3:$DH$129,W$1,0),0)</f>
        <v>0</v>
      </c>
      <c r="X16" s="13">
        <f>IFERROR(VLOOKUP($F16,'Visu totale'!$D$3:$DH$129,X$1,0),0)</f>
        <v>0</v>
      </c>
      <c r="Y16" s="13">
        <f>IFERROR(VLOOKUP($F16,'Visu totale'!$D$3:$DH$129,Y$1,0),0)</f>
        <v>0</v>
      </c>
      <c r="Z16" s="13">
        <f>IFERROR(VLOOKUP($F16,'Visu totale'!$D$3:$DH$129,Z$1,0),0)</f>
        <v>0</v>
      </c>
      <c r="AA16" s="13">
        <f>IFERROR(VLOOKUP($F16,'Visu totale'!$D$3:$DH$129,AA$1,0),0)</f>
        <v>0</v>
      </c>
      <c r="AB16" s="13">
        <f>IFERROR(VLOOKUP($F16,'Visu totale'!$D$3:$DH$129,AB$1,0),0)</f>
        <v>0</v>
      </c>
      <c r="AC16" s="13">
        <f>IFERROR(VLOOKUP($F16,'Visu totale'!$D$3:$DH$129,AC$1,0),0)</f>
        <v>0</v>
      </c>
      <c r="AD16" s="15">
        <f>IFERROR(VLOOKUP($F16,'Visu totale'!$D$3:$DH$129,AD$1,0),0)</f>
        <v>0</v>
      </c>
      <c r="AE16" s="14">
        <f>IFERROR(VLOOKUP($F16,'Visu totale'!$D$3:$DH$129,AE$1,0),0)</f>
        <v>0</v>
      </c>
      <c r="AF16" s="13">
        <f>IFERROR(VLOOKUP($F16,'Visu totale'!$D$3:$DH$129,AF$1,0),0)</f>
        <v>0</v>
      </c>
      <c r="AG16" s="13">
        <f>IFERROR(VLOOKUP($F16,'Visu totale'!$D$3:$DH$129,AG$1,0),0)</f>
        <v>0</v>
      </c>
      <c r="AH16" s="13">
        <f>IFERROR(VLOOKUP($F16,'Visu totale'!$D$3:$DH$129,AH$1,0),0)</f>
        <v>0</v>
      </c>
      <c r="AI16" s="13">
        <f>IFERROR(VLOOKUP($F16,'Visu totale'!$D$3:$DH$129,AI$1,0),0)</f>
        <v>0</v>
      </c>
      <c r="AJ16" s="13">
        <f>IFERROR(VLOOKUP($F16,'Visu totale'!$D$3:$DH$129,AJ$1,0),0)</f>
        <v>0</v>
      </c>
      <c r="AK16" s="13">
        <f>IFERROR(VLOOKUP($F16,'Visu totale'!$D$3:$DH$129,AK$1,0),0)</f>
        <v>0</v>
      </c>
      <c r="AL16" s="13">
        <f>IFERROR(VLOOKUP($F16,'Visu totale'!$D$3:$DH$129,AL$1,0),0)</f>
        <v>0</v>
      </c>
      <c r="AM16" s="13">
        <f>IFERROR(VLOOKUP($F16,'Visu totale'!$D$3:$DH$129,AM$1,0),0)</f>
        <v>0</v>
      </c>
      <c r="AN16" s="13">
        <f>IFERROR(VLOOKUP($F16,'Visu totale'!$D$3:$DH$129,AN$1,0),0)</f>
        <v>0</v>
      </c>
      <c r="AO16" s="13">
        <f>IFERROR(VLOOKUP($F16,'Visu totale'!$D$3:$DH$129,AO$1,0),0)</f>
        <v>0</v>
      </c>
      <c r="AP16" s="15">
        <f>IFERROR(VLOOKUP($F16,'Visu totale'!$D$3:$DH$129,AP$1,0),0)</f>
        <v>0</v>
      </c>
      <c r="AQ16" s="14">
        <f>IFERROR(VLOOKUP($F16,'Visu totale'!$D$3:$DH$129,AQ$1,0),0)</f>
        <v>0</v>
      </c>
      <c r="AR16" s="13">
        <f>IFERROR(VLOOKUP($F16,'Visu totale'!$D$3:$DH$129,AR$1,0),0)</f>
        <v>0</v>
      </c>
      <c r="AS16" s="13">
        <f>IFERROR(VLOOKUP($F16,'Visu totale'!$D$3:$DH$129,AS$1,0),0)</f>
        <v>0</v>
      </c>
      <c r="AT16" s="13">
        <f>IFERROR(VLOOKUP($F16,'Visu totale'!$D$3:$DH$129,AT$1,0),0)</f>
        <v>0</v>
      </c>
      <c r="AU16" s="13">
        <f>IFERROR(VLOOKUP($F16,'Visu totale'!$D$3:$DH$129,AU$1,0),0)</f>
        <v>0</v>
      </c>
      <c r="AV16" s="13">
        <f>IFERROR(VLOOKUP($F16,'Visu totale'!$D$3:$DH$129,AV$1,0),0)</f>
        <v>0</v>
      </c>
      <c r="AW16" s="13">
        <f>IFERROR(VLOOKUP($F16,'Visu totale'!$D$3:$DH$129,AW$1,0),0)</f>
        <v>0</v>
      </c>
      <c r="AX16" s="13">
        <f>IFERROR(VLOOKUP($F16,'Visu totale'!$D$3:$DH$129,AX$1,0),0)</f>
        <v>0</v>
      </c>
      <c r="AY16" s="13">
        <f>IFERROR(VLOOKUP($F16,'Visu totale'!$D$3:$DH$129,AY$1,0),0)</f>
        <v>0</v>
      </c>
      <c r="AZ16" s="13">
        <f>IFERROR(VLOOKUP($F16,'Visu totale'!$D$3:$DH$129,AZ$1,0),0)</f>
        <v>0</v>
      </c>
      <c r="BA16" s="13">
        <f>IFERROR(VLOOKUP($F16,'Visu totale'!$D$3:$DH$129,BA$1,0),0)</f>
        <v>0</v>
      </c>
      <c r="BB16" s="15">
        <f>IFERROR(VLOOKUP($F16,'Visu totale'!$D$3:$DH$129,BB$1,0),0)</f>
        <v>0</v>
      </c>
      <c r="BC16" s="14">
        <f>IFERROR(VLOOKUP($F16,'Visu totale'!$D$3:$DH$129,BC$1,0),0)</f>
        <v>0</v>
      </c>
      <c r="BD16" s="13">
        <f>IFERROR(VLOOKUP($F16,'Visu totale'!$D$3:$DH$129,BD$1,0),0)</f>
        <v>0</v>
      </c>
      <c r="BE16" s="13">
        <f>IFERROR(VLOOKUP($F16,'Visu totale'!$D$3:$DH$129,BE$1,0),0)</f>
        <v>0</v>
      </c>
      <c r="BF16" s="13">
        <f>IFERROR(VLOOKUP($F16,'Visu totale'!$D$3:$DH$129,BF$1,0),0)</f>
        <v>0</v>
      </c>
      <c r="BG16" s="13">
        <f>IFERROR(VLOOKUP($F16,'Visu totale'!$D$3:$DH$129,BG$1,0),0)</f>
        <v>0</v>
      </c>
      <c r="BH16" s="13">
        <f>IFERROR(VLOOKUP($F16,'Visu totale'!$D$3:$DH$129,BH$1,0),0)</f>
        <v>0</v>
      </c>
      <c r="BI16" s="13">
        <f>IFERROR(VLOOKUP($F16,'Visu totale'!$D$3:$DH$129,BI$1,0),0)</f>
        <v>0</v>
      </c>
      <c r="BJ16" s="13">
        <f>IFERROR(VLOOKUP($F16,'Visu totale'!$D$3:$DH$129,BJ$1,0),0)</f>
        <v>0</v>
      </c>
      <c r="BK16" s="13">
        <f>IFERROR(VLOOKUP($F16,'Visu totale'!$D$3:$DH$129,BK$1,0),0)</f>
        <v>0</v>
      </c>
      <c r="BL16" s="13">
        <f>IFERROR(VLOOKUP($F16,'Visu totale'!$D$3:$DH$129,BL$1,0),0)</f>
        <v>0</v>
      </c>
      <c r="BM16" s="13">
        <f>IFERROR(VLOOKUP($F16,'Visu totale'!$D$3:$DH$129,BM$1,0),0)</f>
        <v>0</v>
      </c>
      <c r="BN16" s="15">
        <f>IFERROR(VLOOKUP($F16,'Visu totale'!$D$3:$DH$129,BN$1,0),0)</f>
        <v>0</v>
      </c>
      <c r="BO16" s="14">
        <f>IFERROR(VLOOKUP($F16,'Visu totale'!$D$3:$DH$129,BO$1,0),0)</f>
        <v>0</v>
      </c>
      <c r="BP16" s="13">
        <f>IFERROR(VLOOKUP($F16,'Visu totale'!$D$3:$DH$129,BP$1,0),0)</f>
        <v>0</v>
      </c>
      <c r="BQ16" s="13">
        <f>IFERROR(VLOOKUP($F16,'Visu totale'!$D$3:$DH$129,BQ$1,0),0)</f>
        <v>0</v>
      </c>
      <c r="BR16" s="13">
        <f>IFERROR(VLOOKUP($F16,'Visu totale'!$D$3:$DH$129,BR$1,0),0)</f>
        <v>0</v>
      </c>
      <c r="BS16" s="13">
        <f>IFERROR(VLOOKUP($F16,'Visu totale'!$D$3:$DH$129,BS$1,0),0)</f>
        <v>0</v>
      </c>
      <c r="BT16" s="13">
        <f>IFERROR(VLOOKUP($F16,'Visu totale'!$D$3:$DH$129,BT$1,0),0)</f>
        <v>0</v>
      </c>
      <c r="BU16" s="13">
        <f>IFERROR(VLOOKUP($F16,'Visu totale'!$D$3:$DH$129,BU$1,0),0)</f>
        <v>0</v>
      </c>
      <c r="BV16" s="13">
        <f>IFERROR(VLOOKUP($F16,'Visu totale'!$D$3:$DH$129,BV$1,0),0)</f>
        <v>0</v>
      </c>
      <c r="BW16" s="13">
        <f>IFERROR(VLOOKUP($F16,'Visu totale'!$D$3:$DH$129,BW$1,0),0)</f>
        <v>0</v>
      </c>
      <c r="BX16" s="13">
        <f>IFERROR(VLOOKUP($F16,'Visu totale'!$D$3:$DH$129,BX$1,0),0)</f>
        <v>0</v>
      </c>
      <c r="BY16" s="13">
        <f>IFERROR(VLOOKUP($F16,'Visu totale'!$D$3:$DH$129,BY$1,0),0)</f>
        <v>0</v>
      </c>
      <c r="BZ16" s="15">
        <f>IFERROR(VLOOKUP($F16,'Visu totale'!$D$3:$DH$129,BZ$1,0),0)</f>
        <v>0</v>
      </c>
      <c r="CA16" s="14">
        <f>IFERROR(VLOOKUP($F16,'Visu totale'!$D$3:$DH$129,CA$1,0),0)</f>
        <v>0</v>
      </c>
      <c r="CB16" s="13">
        <f>IFERROR(VLOOKUP($F16,'Visu totale'!$D$3:$DH$129,CB$1,0),0)</f>
        <v>0</v>
      </c>
      <c r="CC16" s="13">
        <f>IFERROR(VLOOKUP($F16,'Visu totale'!$D$3:$DH$129,CC$1,0),0)</f>
        <v>0</v>
      </c>
      <c r="CD16" s="13">
        <f>IFERROR(VLOOKUP($F16,'Visu totale'!$D$3:$DH$129,CD$1,0),0)</f>
        <v>0</v>
      </c>
      <c r="CE16" s="13">
        <f>IFERROR(VLOOKUP($F16,'Visu totale'!$D$3:$DH$129,CE$1,0),0)</f>
        <v>0</v>
      </c>
      <c r="CF16" s="13">
        <f>IFERROR(VLOOKUP($F16,'Visu totale'!$D$3:$DH$129,CF$1,0),0)</f>
        <v>0</v>
      </c>
      <c r="CG16" s="13">
        <f>IFERROR(VLOOKUP($F16,'Visu totale'!$D$3:$DH$129,CG$1,0),0)</f>
        <v>0</v>
      </c>
      <c r="CH16" s="13">
        <f>IFERROR(VLOOKUP($F16,'Visu totale'!$D$3:$DH$129,CH$1,0),0)</f>
        <v>0</v>
      </c>
      <c r="CI16" s="13">
        <f>IFERROR(VLOOKUP($F16,'Visu totale'!$D$3:$DH$129,CI$1,0),0)</f>
        <v>0</v>
      </c>
      <c r="CJ16" s="13">
        <f>IFERROR(VLOOKUP($F16,'Visu totale'!$D$3:$DH$129,CJ$1,0),0)</f>
        <v>0</v>
      </c>
      <c r="CK16" s="13">
        <f>IFERROR(VLOOKUP($F16,'Visu totale'!$D$3:$DH$129,CK$1,0),0)</f>
        <v>0</v>
      </c>
      <c r="CL16" s="15">
        <f>IFERROR(VLOOKUP($F16,'Visu totale'!$D$3:$DH$129,CL$1,0),0)</f>
        <v>0</v>
      </c>
      <c r="CM16" s="14">
        <f>IFERROR(VLOOKUP($F16,'Visu totale'!$D$3:$DH$129,CM$1,0),0)</f>
        <v>0</v>
      </c>
      <c r="CN16" s="13">
        <f>IFERROR(VLOOKUP($F16,'Visu totale'!$D$3:$DH$129,CN$1,0),0)</f>
        <v>0</v>
      </c>
      <c r="CO16" s="13">
        <f>IFERROR(VLOOKUP($F16,'Visu totale'!$D$3:$DH$129,CO$1,0),0)</f>
        <v>0</v>
      </c>
      <c r="CP16" s="13">
        <f>IFERROR(VLOOKUP($F16,'Visu totale'!$D$3:$DH$129,CP$1,0),0)</f>
        <v>0</v>
      </c>
      <c r="CQ16" s="13">
        <f>IFERROR(VLOOKUP($F16,'Visu totale'!$D$3:$DH$129,CQ$1,0),0)</f>
        <v>0</v>
      </c>
      <c r="CR16" s="13">
        <f>IFERROR(VLOOKUP($F16,'Visu totale'!$D$3:$DH$129,CR$1,0),0)</f>
        <v>0</v>
      </c>
      <c r="CS16" s="13">
        <f>IFERROR(VLOOKUP($F16,'Visu totale'!$D$3:$DH$129,CS$1,0),0)</f>
        <v>0</v>
      </c>
      <c r="CT16" s="13">
        <f>IFERROR(VLOOKUP($F16,'Visu totale'!$D$3:$DH$129,CT$1,0),0)</f>
        <v>0</v>
      </c>
      <c r="CU16" s="13">
        <f>IFERROR(VLOOKUP($F16,'Visu totale'!$D$3:$DH$129,CU$1,0),0)</f>
        <v>0</v>
      </c>
      <c r="CV16" s="13">
        <f>IFERROR(VLOOKUP($F16,'Visu totale'!$D$3:$DH$129,CV$1,0),0)</f>
        <v>0</v>
      </c>
      <c r="CW16" s="13">
        <f>IFERROR(VLOOKUP($F16,'Visu totale'!$D$3:$DH$129,CW$1,0),0)</f>
        <v>0</v>
      </c>
      <c r="CX16" s="15">
        <f>IFERROR(VLOOKUP($F16,'Visu totale'!$D$3:$DH$129,CX$1,0),0)</f>
        <v>0</v>
      </c>
      <c r="CY16" s="14">
        <f>IFERROR(VLOOKUP($F16,'Visu totale'!$D$3:$DH$129,CY$1,0),0)</f>
        <v>0</v>
      </c>
      <c r="CZ16" s="13">
        <f>IFERROR(VLOOKUP($F16,'Visu totale'!$D$3:$DH$129,CZ$1,0),0)</f>
        <v>0</v>
      </c>
      <c r="DA16" s="13">
        <f>IFERROR(VLOOKUP($F16,'Visu totale'!$D$3:$DH$129,DA$1,0),0)</f>
        <v>0</v>
      </c>
      <c r="DB16" s="13">
        <f>IFERROR(VLOOKUP($F16,'Visu totale'!$D$3:$DH$129,DB$1,0),0)</f>
        <v>0</v>
      </c>
      <c r="DC16" s="13">
        <f>IFERROR(VLOOKUP($F16,'Visu totale'!$D$3:$DH$129,DC$1,0),0)</f>
        <v>0</v>
      </c>
      <c r="DD16" s="13">
        <f>IFERROR(VLOOKUP($F16,'Visu totale'!$D$3:$DH$129,DD$1,0),0)</f>
        <v>0</v>
      </c>
      <c r="DE16" s="13">
        <f>IFERROR(VLOOKUP($F16,'Visu totale'!$D$3:$DH$129,DE$1,0),0)</f>
        <v>0</v>
      </c>
      <c r="DF16" s="13">
        <f>IFERROR(VLOOKUP($F16,'Visu totale'!$D$3:$DH$129,DF$1,0),0)</f>
        <v>0</v>
      </c>
      <c r="DG16" s="13">
        <f>IFERROR(VLOOKUP($F16,'Visu totale'!$D$3:$DH$129,DG$1,0),0)</f>
        <v>0</v>
      </c>
      <c r="DH16" s="13">
        <f>IFERROR(VLOOKUP($F16,'Visu totale'!$D$3:$DH$129,DH$1,0),0)</f>
        <v>0</v>
      </c>
      <c r="DI16" s="13">
        <f>IFERROR(VLOOKUP($F16,'Visu totale'!$D$3:$DH$129,DI$1,0),0)</f>
        <v>0</v>
      </c>
      <c r="DJ16" s="15">
        <f>IFERROR(VLOOKUP($F16,'Visu totale'!$D$3:$DH$129,DJ$1,0),0)</f>
        <v>0</v>
      </c>
    </row>
    <row r="17" spans="1:114" s="12" customFormat="1" x14ac:dyDescent="0.25">
      <c r="A17" s="13"/>
      <c r="B17" s="13"/>
      <c r="C17" s="13"/>
      <c r="D17" s="13"/>
      <c r="E17" s="13"/>
      <c r="F17" s="17" t="s">
        <v>117</v>
      </c>
      <c r="G17" s="14">
        <f>IFERROR(VLOOKUP($F17,'Visu totale'!$D$3:$DH$129,G$1,0),0)</f>
        <v>0</v>
      </c>
      <c r="H17" s="13">
        <f>IFERROR(VLOOKUP($F17,'Visu totale'!$D$3:$DH$129,H$1,0),0)</f>
        <v>0</v>
      </c>
      <c r="I17" s="13">
        <f>IFERROR(VLOOKUP($F17,'Visu totale'!$D$3:$DH$129,I$1,0),0)</f>
        <v>0</v>
      </c>
      <c r="J17" s="13">
        <f>IFERROR(VLOOKUP($F17,'Visu totale'!$D$3:$DH$129,J$1,0),0)</f>
        <v>0</v>
      </c>
      <c r="K17" s="13">
        <f>IFERROR(VLOOKUP($F17,'Visu totale'!$D$3:$DH$129,K$1,0),0)</f>
        <v>0</v>
      </c>
      <c r="L17" s="13">
        <f>IFERROR(VLOOKUP($F17,'Visu totale'!$D$3:$DH$129,L$1,0),0)</f>
        <v>0</v>
      </c>
      <c r="M17" s="13">
        <f>IFERROR(VLOOKUP($F17,'Visu totale'!$D$3:$DH$129,M$1,0),0)</f>
        <v>0</v>
      </c>
      <c r="N17" s="13">
        <f>IFERROR(VLOOKUP($F17,'Visu totale'!$D$3:$DH$129,N$1,0),0)</f>
        <v>0</v>
      </c>
      <c r="O17" s="13">
        <f>IFERROR(VLOOKUP($F17,'Visu totale'!$D$3:$DH$129,O$1,0),0)</f>
        <v>0</v>
      </c>
      <c r="P17" s="13">
        <f>IFERROR(VLOOKUP($F17,'Visu totale'!$D$3:$DH$129,P$1,0),0)</f>
        <v>0</v>
      </c>
      <c r="Q17" s="13">
        <f>IFERROR(VLOOKUP($F17,'Visu totale'!$D$3:$DH$129,Q$1,0),0)</f>
        <v>0</v>
      </c>
      <c r="R17" s="15">
        <f>IFERROR(VLOOKUP($F17,'Visu totale'!$D$3:$DH$129,R$1,0),0)</f>
        <v>0</v>
      </c>
      <c r="S17" s="14">
        <f>IFERROR(VLOOKUP($F17,'Visu totale'!$D$3:$DH$129,S$1,0),0)</f>
        <v>0</v>
      </c>
      <c r="T17" s="13">
        <f>IFERROR(VLOOKUP($F17,'Visu totale'!$D$3:$DH$129,T$1,0),0)</f>
        <v>0</v>
      </c>
      <c r="U17" s="13">
        <f>IFERROR(VLOOKUP($F17,'Visu totale'!$D$3:$DH$129,U$1,0),0)</f>
        <v>0</v>
      </c>
      <c r="V17" s="13">
        <f>IFERROR(VLOOKUP($F17,'Visu totale'!$D$3:$DH$129,V$1,0),0)</f>
        <v>0</v>
      </c>
      <c r="W17" s="13">
        <f>IFERROR(VLOOKUP($F17,'Visu totale'!$D$3:$DH$129,W$1,0),0)</f>
        <v>0</v>
      </c>
      <c r="X17" s="13">
        <f>IFERROR(VLOOKUP($F17,'Visu totale'!$D$3:$DH$129,X$1,0),0)</f>
        <v>0</v>
      </c>
      <c r="Y17" s="13">
        <f>IFERROR(VLOOKUP($F17,'Visu totale'!$D$3:$DH$129,Y$1,0),0)</f>
        <v>0</v>
      </c>
      <c r="Z17" s="13">
        <f>IFERROR(VLOOKUP($F17,'Visu totale'!$D$3:$DH$129,Z$1,0),0)</f>
        <v>0</v>
      </c>
      <c r="AA17" s="13">
        <f>IFERROR(VLOOKUP($F17,'Visu totale'!$D$3:$DH$129,AA$1,0),0)</f>
        <v>0</v>
      </c>
      <c r="AB17" s="13">
        <f>IFERROR(VLOOKUP($F17,'Visu totale'!$D$3:$DH$129,AB$1,0),0)</f>
        <v>0</v>
      </c>
      <c r="AC17" s="13">
        <f>IFERROR(VLOOKUP($F17,'Visu totale'!$D$3:$DH$129,AC$1,0),0)</f>
        <v>0</v>
      </c>
      <c r="AD17" s="15">
        <f>IFERROR(VLOOKUP($F17,'Visu totale'!$D$3:$DH$129,AD$1,0),0)</f>
        <v>0</v>
      </c>
      <c r="AE17" s="14">
        <f>IFERROR(VLOOKUP($F17,'Visu totale'!$D$3:$DH$129,AE$1,0),0)</f>
        <v>0</v>
      </c>
      <c r="AF17" s="13">
        <f>IFERROR(VLOOKUP($F17,'Visu totale'!$D$3:$DH$129,AF$1,0),0)</f>
        <v>0</v>
      </c>
      <c r="AG17" s="13">
        <f>IFERROR(VLOOKUP($F17,'Visu totale'!$D$3:$DH$129,AG$1,0),0)</f>
        <v>0</v>
      </c>
      <c r="AH17" s="13">
        <f>IFERROR(VLOOKUP($F17,'Visu totale'!$D$3:$DH$129,AH$1,0),0)</f>
        <v>0</v>
      </c>
      <c r="AI17" s="13">
        <f>IFERROR(VLOOKUP($F17,'Visu totale'!$D$3:$DH$129,AI$1,0),0)</f>
        <v>0</v>
      </c>
      <c r="AJ17" s="13">
        <f>IFERROR(VLOOKUP($F17,'Visu totale'!$D$3:$DH$129,AJ$1,0),0)</f>
        <v>0</v>
      </c>
      <c r="AK17" s="13">
        <f>IFERROR(VLOOKUP($F17,'Visu totale'!$D$3:$DH$129,AK$1,0),0)</f>
        <v>0</v>
      </c>
      <c r="AL17" s="13">
        <f>IFERROR(VLOOKUP($F17,'Visu totale'!$D$3:$DH$129,AL$1,0),0)</f>
        <v>0</v>
      </c>
      <c r="AM17" s="13">
        <f>IFERROR(VLOOKUP($F17,'Visu totale'!$D$3:$DH$129,AM$1,0),0)</f>
        <v>0</v>
      </c>
      <c r="AN17" s="13">
        <f>IFERROR(VLOOKUP($F17,'Visu totale'!$D$3:$DH$129,AN$1,0),0)</f>
        <v>0</v>
      </c>
      <c r="AO17" s="13">
        <f>IFERROR(VLOOKUP($F17,'Visu totale'!$D$3:$DH$129,AO$1,0),0)</f>
        <v>0</v>
      </c>
      <c r="AP17" s="15">
        <f>IFERROR(VLOOKUP($F17,'Visu totale'!$D$3:$DH$129,AP$1,0),0)</f>
        <v>0</v>
      </c>
      <c r="AQ17" s="14">
        <f>IFERROR(VLOOKUP($F17,'Visu totale'!$D$3:$DH$129,AQ$1,0),0)</f>
        <v>0</v>
      </c>
      <c r="AR17" s="13">
        <f>IFERROR(VLOOKUP($F17,'Visu totale'!$D$3:$DH$129,AR$1,0),0)</f>
        <v>0</v>
      </c>
      <c r="AS17" s="13">
        <f>IFERROR(VLOOKUP($F17,'Visu totale'!$D$3:$DH$129,AS$1,0),0)</f>
        <v>0</v>
      </c>
      <c r="AT17" s="13">
        <f>IFERROR(VLOOKUP($F17,'Visu totale'!$D$3:$DH$129,AT$1,0),0)</f>
        <v>0</v>
      </c>
      <c r="AU17" s="13">
        <f>IFERROR(VLOOKUP($F17,'Visu totale'!$D$3:$DH$129,AU$1,0),0)</f>
        <v>0</v>
      </c>
      <c r="AV17" s="13">
        <f>IFERROR(VLOOKUP($F17,'Visu totale'!$D$3:$DH$129,AV$1,0),0)</f>
        <v>0</v>
      </c>
      <c r="AW17" s="13">
        <f>IFERROR(VLOOKUP($F17,'Visu totale'!$D$3:$DH$129,AW$1,0),0)</f>
        <v>0</v>
      </c>
      <c r="AX17" s="13">
        <f>IFERROR(VLOOKUP($F17,'Visu totale'!$D$3:$DH$129,AX$1,0),0)</f>
        <v>0</v>
      </c>
      <c r="AY17" s="13">
        <f>IFERROR(VLOOKUP($F17,'Visu totale'!$D$3:$DH$129,AY$1,0),0)</f>
        <v>0</v>
      </c>
      <c r="AZ17" s="13">
        <f>IFERROR(VLOOKUP($F17,'Visu totale'!$D$3:$DH$129,AZ$1,0),0)</f>
        <v>0</v>
      </c>
      <c r="BA17" s="13">
        <f>IFERROR(VLOOKUP($F17,'Visu totale'!$D$3:$DH$129,BA$1,0),0)</f>
        <v>0</v>
      </c>
      <c r="BB17" s="15">
        <f>IFERROR(VLOOKUP($F17,'Visu totale'!$D$3:$DH$129,BB$1,0),0)</f>
        <v>0</v>
      </c>
      <c r="BC17" s="14">
        <f>IFERROR(VLOOKUP($F17,'Visu totale'!$D$3:$DH$129,BC$1,0),0)</f>
        <v>0</v>
      </c>
      <c r="BD17" s="13">
        <f>IFERROR(VLOOKUP($F17,'Visu totale'!$D$3:$DH$129,BD$1,0),0)</f>
        <v>0</v>
      </c>
      <c r="BE17" s="13">
        <f>IFERROR(VLOOKUP($F17,'Visu totale'!$D$3:$DH$129,BE$1,0),0)</f>
        <v>0</v>
      </c>
      <c r="BF17" s="13">
        <f>IFERROR(VLOOKUP($F17,'Visu totale'!$D$3:$DH$129,BF$1,0),0)</f>
        <v>0</v>
      </c>
      <c r="BG17" s="13">
        <f>IFERROR(VLOOKUP($F17,'Visu totale'!$D$3:$DH$129,BG$1,0),0)</f>
        <v>0</v>
      </c>
      <c r="BH17" s="13">
        <f>IFERROR(VLOOKUP($F17,'Visu totale'!$D$3:$DH$129,BH$1,0),0)</f>
        <v>0</v>
      </c>
      <c r="BI17" s="13">
        <f>IFERROR(VLOOKUP($F17,'Visu totale'!$D$3:$DH$129,BI$1,0),0)</f>
        <v>0</v>
      </c>
      <c r="BJ17" s="13">
        <f>IFERROR(VLOOKUP($F17,'Visu totale'!$D$3:$DH$129,BJ$1,0),0)</f>
        <v>0</v>
      </c>
      <c r="BK17" s="13">
        <f>IFERROR(VLOOKUP($F17,'Visu totale'!$D$3:$DH$129,BK$1,0),0)</f>
        <v>0</v>
      </c>
      <c r="BL17" s="13">
        <f>IFERROR(VLOOKUP($F17,'Visu totale'!$D$3:$DH$129,BL$1,0),0)</f>
        <v>0</v>
      </c>
      <c r="BM17" s="13">
        <f>IFERROR(VLOOKUP($F17,'Visu totale'!$D$3:$DH$129,BM$1,0),0)</f>
        <v>0</v>
      </c>
      <c r="BN17" s="15">
        <f>IFERROR(VLOOKUP($F17,'Visu totale'!$D$3:$DH$129,BN$1,0),0)</f>
        <v>0</v>
      </c>
      <c r="BO17" s="14">
        <f>IFERROR(VLOOKUP($F17,'Visu totale'!$D$3:$DH$129,BO$1,0),0)</f>
        <v>0</v>
      </c>
      <c r="BP17" s="13">
        <f>IFERROR(VLOOKUP($F17,'Visu totale'!$D$3:$DH$129,BP$1,0),0)</f>
        <v>0</v>
      </c>
      <c r="BQ17" s="13">
        <f>IFERROR(VLOOKUP($F17,'Visu totale'!$D$3:$DH$129,BQ$1,0),0)</f>
        <v>0</v>
      </c>
      <c r="BR17" s="13">
        <f>IFERROR(VLOOKUP($F17,'Visu totale'!$D$3:$DH$129,BR$1,0),0)</f>
        <v>0</v>
      </c>
      <c r="BS17" s="13">
        <f>IFERROR(VLOOKUP($F17,'Visu totale'!$D$3:$DH$129,BS$1,0),0)</f>
        <v>0</v>
      </c>
      <c r="BT17" s="13">
        <f>IFERROR(VLOOKUP($F17,'Visu totale'!$D$3:$DH$129,BT$1,0),0)</f>
        <v>0</v>
      </c>
      <c r="BU17" s="13">
        <f>IFERROR(VLOOKUP($F17,'Visu totale'!$D$3:$DH$129,BU$1,0),0)</f>
        <v>0</v>
      </c>
      <c r="BV17" s="13">
        <f>IFERROR(VLOOKUP($F17,'Visu totale'!$D$3:$DH$129,BV$1,0),0)</f>
        <v>0</v>
      </c>
      <c r="BW17" s="13">
        <f>IFERROR(VLOOKUP($F17,'Visu totale'!$D$3:$DH$129,BW$1,0),0)</f>
        <v>0</v>
      </c>
      <c r="BX17" s="13">
        <f>IFERROR(VLOOKUP($F17,'Visu totale'!$D$3:$DH$129,BX$1,0),0)</f>
        <v>0</v>
      </c>
      <c r="BY17" s="13">
        <f>IFERROR(VLOOKUP($F17,'Visu totale'!$D$3:$DH$129,BY$1,0),0)</f>
        <v>0</v>
      </c>
      <c r="BZ17" s="15">
        <f>IFERROR(VLOOKUP($F17,'Visu totale'!$D$3:$DH$129,BZ$1,0),0)</f>
        <v>0</v>
      </c>
      <c r="CA17" s="14">
        <f>IFERROR(VLOOKUP($F17,'Visu totale'!$D$3:$DH$129,CA$1,0),0)</f>
        <v>0</v>
      </c>
      <c r="CB17" s="13">
        <f>IFERROR(VLOOKUP($F17,'Visu totale'!$D$3:$DH$129,CB$1,0),0)</f>
        <v>0</v>
      </c>
      <c r="CC17" s="13">
        <f>IFERROR(VLOOKUP($F17,'Visu totale'!$D$3:$DH$129,CC$1,0),0)</f>
        <v>0</v>
      </c>
      <c r="CD17" s="13">
        <f>IFERROR(VLOOKUP($F17,'Visu totale'!$D$3:$DH$129,CD$1,0),0)</f>
        <v>0</v>
      </c>
      <c r="CE17" s="13">
        <f>IFERROR(VLOOKUP($F17,'Visu totale'!$D$3:$DH$129,CE$1,0),0)</f>
        <v>0</v>
      </c>
      <c r="CF17" s="13">
        <f>IFERROR(VLOOKUP($F17,'Visu totale'!$D$3:$DH$129,CF$1,0),0)</f>
        <v>0</v>
      </c>
      <c r="CG17" s="13">
        <f>IFERROR(VLOOKUP($F17,'Visu totale'!$D$3:$DH$129,CG$1,0),0)</f>
        <v>0</v>
      </c>
      <c r="CH17" s="13">
        <f>IFERROR(VLOOKUP($F17,'Visu totale'!$D$3:$DH$129,CH$1,0),0)</f>
        <v>0</v>
      </c>
      <c r="CI17" s="13">
        <f>IFERROR(VLOOKUP($F17,'Visu totale'!$D$3:$DH$129,CI$1,0),0)</f>
        <v>0</v>
      </c>
      <c r="CJ17" s="13">
        <f>IFERROR(VLOOKUP($F17,'Visu totale'!$D$3:$DH$129,CJ$1,0),0)</f>
        <v>0</v>
      </c>
      <c r="CK17" s="13">
        <f>IFERROR(VLOOKUP($F17,'Visu totale'!$D$3:$DH$129,CK$1,0),0)</f>
        <v>0</v>
      </c>
      <c r="CL17" s="15">
        <f>IFERROR(VLOOKUP($F17,'Visu totale'!$D$3:$DH$129,CL$1,0),0)</f>
        <v>0</v>
      </c>
      <c r="CM17" s="14">
        <f>IFERROR(VLOOKUP($F17,'Visu totale'!$D$3:$DH$129,CM$1,0),0)</f>
        <v>0</v>
      </c>
      <c r="CN17" s="13">
        <f>IFERROR(VLOOKUP($F17,'Visu totale'!$D$3:$DH$129,CN$1,0),0)</f>
        <v>0</v>
      </c>
      <c r="CO17" s="13">
        <f>IFERROR(VLOOKUP($F17,'Visu totale'!$D$3:$DH$129,CO$1,0),0)</f>
        <v>0</v>
      </c>
      <c r="CP17" s="13">
        <f>IFERROR(VLOOKUP($F17,'Visu totale'!$D$3:$DH$129,CP$1,0),0)</f>
        <v>0</v>
      </c>
      <c r="CQ17" s="13">
        <f>IFERROR(VLOOKUP($F17,'Visu totale'!$D$3:$DH$129,CQ$1,0),0)</f>
        <v>0</v>
      </c>
      <c r="CR17" s="13">
        <f>IFERROR(VLOOKUP($F17,'Visu totale'!$D$3:$DH$129,CR$1,0),0)</f>
        <v>0</v>
      </c>
      <c r="CS17" s="13">
        <f>IFERROR(VLOOKUP($F17,'Visu totale'!$D$3:$DH$129,CS$1,0),0)</f>
        <v>0</v>
      </c>
      <c r="CT17" s="13">
        <f>IFERROR(VLOOKUP($F17,'Visu totale'!$D$3:$DH$129,CT$1,0),0)</f>
        <v>0</v>
      </c>
      <c r="CU17" s="13">
        <f>IFERROR(VLOOKUP($F17,'Visu totale'!$D$3:$DH$129,CU$1,0),0)</f>
        <v>0</v>
      </c>
      <c r="CV17" s="13">
        <f>IFERROR(VLOOKUP($F17,'Visu totale'!$D$3:$DH$129,CV$1,0),0)</f>
        <v>0</v>
      </c>
      <c r="CW17" s="13">
        <f>IFERROR(VLOOKUP($F17,'Visu totale'!$D$3:$DH$129,CW$1,0),0)</f>
        <v>0</v>
      </c>
      <c r="CX17" s="15">
        <f>IFERROR(VLOOKUP($F17,'Visu totale'!$D$3:$DH$129,CX$1,0),0)</f>
        <v>0</v>
      </c>
      <c r="CY17" s="14">
        <f>IFERROR(VLOOKUP($F17,'Visu totale'!$D$3:$DH$129,CY$1,0),0)</f>
        <v>0</v>
      </c>
      <c r="CZ17" s="13">
        <f>IFERROR(VLOOKUP($F17,'Visu totale'!$D$3:$DH$129,CZ$1,0),0)</f>
        <v>0</v>
      </c>
      <c r="DA17" s="13">
        <f>IFERROR(VLOOKUP($F17,'Visu totale'!$D$3:$DH$129,DA$1,0),0)</f>
        <v>0</v>
      </c>
      <c r="DB17" s="13">
        <f>IFERROR(VLOOKUP($F17,'Visu totale'!$D$3:$DH$129,DB$1,0),0)</f>
        <v>0</v>
      </c>
      <c r="DC17" s="13">
        <f>IFERROR(VLOOKUP($F17,'Visu totale'!$D$3:$DH$129,DC$1,0),0)</f>
        <v>0</v>
      </c>
      <c r="DD17" s="13">
        <f>IFERROR(VLOOKUP($F17,'Visu totale'!$D$3:$DH$129,DD$1,0),0)</f>
        <v>0</v>
      </c>
      <c r="DE17" s="13">
        <f>IFERROR(VLOOKUP($F17,'Visu totale'!$D$3:$DH$129,DE$1,0),0)</f>
        <v>0</v>
      </c>
      <c r="DF17" s="13">
        <f>IFERROR(VLOOKUP($F17,'Visu totale'!$D$3:$DH$129,DF$1,0),0)</f>
        <v>0</v>
      </c>
      <c r="DG17" s="13">
        <f>IFERROR(VLOOKUP($F17,'Visu totale'!$D$3:$DH$129,DG$1,0),0)</f>
        <v>0</v>
      </c>
      <c r="DH17" s="13">
        <f>IFERROR(VLOOKUP($F17,'Visu totale'!$D$3:$DH$129,DH$1,0),0)</f>
        <v>0</v>
      </c>
      <c r="DI17" s="13">
        <f>IFERROR(VLOOKUP($F17,'Visu totale'!$D$3:$DH$129,DI$1,0),0)</f>
        <v>0</v>
      </c>
      <c r="DJ17" s="15">
        <f>IFERROR(VLOOKUP($F17,'Visu totale'!$D$3:$DH$129,DJ$1,0),0)</f>
        <v>0</v>
      </c>
    </row>
    <row r="18" spans="1:114" s="12" customFormat="1" x14ac:dyDescent="0.25">
      <c r="A18" s="13"/>
      <c r="B18" s="13"/>
      <c r="C18" s="13"/>
      <c r="D18" s="13"/>
      <c r="E18" s="13"/>
      <c r="F18" s="17" t="s">
        <v>118</v>
      </c>
      <c r="G18" s="14">
        <f>IFERROR(VLOOKUP($F18,'Visu totale'!$D$3:$DH$129,G$1,0),0)</f>
        <v>0</v>
      </c>
      <c r="H18" s="13">
        <f>IFERROR(VLOOKUP($F18,'Visu totale'!$D$3:$DH$129,H$1,0),0)</f>
        <v>0</v>
      </c>
      <c r="I18" s="13">
        <f>IFERROR(VLOOKUP($F18,'Visu totale'!$D$3:$DH$129,I$1,0),0)</f>
        <v>0</v>
      </c>
      <c r="J18" s="13">
        <f>IFERROR(VLOOKUP($F18,'Visu totale'!$D$3:$DH$129,J$1,0),0)</f>
        <v>0</v>
      </c>
      <c r="K18" s="13">
        <f>IFERROR(VLOOKUP($F18,'Visu totale'!$D$3:$DH$129,K$1,0),0)</f>
        <v>0</v>
      </c>
      <c r="L18" s="13">
        <f>IFERROR(VLOOKUP($F18,'Visu totale'!$D$3:$DH$129,L$1,0),0)</f>
        <v>0</v>
      </c>
      <c r="M18" s="13">
        <f>IFERROR(VLOOKUP($F18,'Visu totale'!$D$3:$DH$129,M$1,0),0)</f>
        <v>0</v>
      </c>
      <c r="N18" s="13">
        <f>IFERROR(VLOOKUP($F18,'Visu totale'!$D$3:$DH$129,N$1,0),0)</f>
        <v>0</v>
      </c>
      <c r="O18" s="13">
        <f>IFERROR(VLOOKUP($F18,'Visu totale'!$D$3:$DH$129,O$1,0),0)</f>
        <v>0</v>
      </c>
      <c r="P18" s="13">
        <f>IFERROR(VLOOKUP($F18,'Visu totale'!$D$3:$DH$129,P$1,0),0)</f>
        <v>0</v>
      </c>
      <c r="Q18" s="13">
        <f>IFERROR(VLOOKUP($F18,'Visu totale'!$D$3:$DH$129,Q$1,0),0)</f>
        <v>0</v>
      </c>
      <c r="R18" s="15">
        <f>IFERROR(VLOOKUP($F18,'Visu totale'!$D$3:$DH$129,R$1,0),0)</f>
        <v>0</v>
      </c>
      <c r="S18" s="14">
        <f>IFERROR(VLOOKUP($F18,'Visu totale'!$D$3:$DH$129,S$1,0),0)</f>
        <v>0</v>
      </c>
      <c r="T18" s="13">
        <f>IFERROR(VLOOKUP($F18,'Visu totale'!$D$3:$DH$129,T$1,0),0)</f>
        <v>0</v>
      </c>
      <c r="U18" s="13">
        <f>IFERROR(VLOOKUP($F18,'Visu totale'!$D$3:$DH$129,U$1,0),0)</f>
        <v>0</v>
      </c>
      <c r="V18" s="13">
        <f>IFERROR(VLOOKUP($F18,'Visu totale'!$D$3:$DH$129,V$1,0),0)</f>
        <v>0</v>
      </c>
      <c r="W18" s="13">
        <f>IFERROR(VLOOKUP($F18,'Visu totale'!$D$3:$DH$129,W$1,0),0)</f>
        <v>0</v>
      </c>
      <c r="X18" s="13">
        <f>IFERROR(VLOOKUP($F18,'Visu totale'!$D$3:$DH$129,X$1,0),0)</f>
        <v>0</v>
      </c>
      <c r="Y18" s="13">
        <f>IFERROR(VLOOKUP($F18,'Visu totale'!$D$3:$DH$129,Y$1,0),0)</f>
        <v>0</v>
      </c>
      <c r="Z18" s="13">
        <f>IFERROR(VLOOKUP($F18,'Visu totale'!$D$3:$DH$129,Z$1,0),0)</f>
        <v>0</v>
      </c>
      <c r="AA18" s="13">
        <f>IFERROR(VLOOKUP($F18,'Visu totale'!$D$3:$DH$129,AA$1,0),0)</f>
        <v>0</v>
      </c>
      <c r="AB18" s="13">
        <f>IFERROR(VLOOKUP($F18,'Visu totale'!$D$3:$DH$129,AB$1,0),0)</f>
        <v>0</v>
      </c>
      <c r="AC18" s="13">
        <f>IFERROR(VLOOKUP($F18,'Visu totale'!$D$3:$DH$129,AC$1,0),0)</f>
        <v>0</v>
      </c>
      <c r="AD18" s="15">
        <f>IFERROR(VLOOKUP($F18,'Visu totale'!$D$3:$DH$129,AD$1,0),0)</f>
        <v>0</v>
      </c>
      <c r="AE18" s="14">
        <f>IFERROR(VLOOKUP($F18,'Visu totale'!$D$3:$DH$129,AE$1,0),0)</f>
        <v>0</v>
      </c>
      <c r="AF18" s="13">
        <f>IFERROR(VLOOKUP($F18,'Visu totale'!$D$3:$DH$129,AF$1,0),0)</f>
        <v>0</v>
      </c>
      <c r="AG18" s="13">
        <f>IFERROR(VLOOKUP($F18,'Visu totale'!$D$3:$DH$129,AG$1,0),0)</f>
        <v>0</v>
      </c>
      <c r="AH18" s="13">
        <f>IFERROR(VLOOKUP($F18,'Visu totale'!$D$3:$DH$129,AH$1,0),0)</f>
        <v>0</v>
      </c>
      <c r="AI18" s="13">
        <f>IFERROR(VLOOKUP($F18,'Visu totale'!$D$3:$DH$129,AI$1,0),0)</f>
        <v>0</v>
      </c>
      <c r="AJ18" s="13">
        <f>IFERROR(VLOOKUP($F18,'Visu totale'!$D$3:$DH$129,AJ$1,0),0)</f>
        <v>0</v>
      </c>
      <c r="AK18" s="13">
        <f>IFERROR(VLOOKUP($F18,'Visu totale'!$D$3:$DH$129,AK$1,0),0)</f>
        <v>0</v>
      </c>
      <c r="AL18" s="13">
        <f>IFERROR(VLOOKUP($F18,'Visu totale'!$D$3:$DH$129,AL$1,0),0)</f>
        <v>0</v>
      </c>
      <c r="AM18" s="13">
        <f>IFERROR(VLOOKUP($F18,'Visu totale'!$D$3:$DH$129,AM$1,0),0)</f>
        <v>0</v>
      </c>
      <c r="AN18" s="13">
        <f>IFERROR(VLOOKUP($F18,'Visu totale'!$D$3:$DH$129,AN$1,0),0)</f>
        <v>0</v>
      </c>
      <c r="AO18" s="13">
        <f>IFERROR(VLOOKUP($F18,'Visu totale'!$D$3:$DH$129,AO$1,0),0)</f>
        <v>0</v>
      </c>
      <c r="AP18" s="15">
        <f>IFERROR(VLOOKUP($F18,'Visu totale'!$D$3:$DH$129,AP$1,0),0)</f>
        <v>0</v>
      </c>
      <c r="AQ18" s="14">
        <f>IFERROR(VLOOKUP($F18,'Visu totale'!$D$3:$DH$129,AQ$1,0),0)</f>
        <v>0</v>
      </c>
      <c r="AR18" s="13">
        <f>IFERROR(VLOOKUP($F18,'Visu totale'!$D$3:$DH$129,AR$1,0),0)</f>
        <v>0</v>
      </c>
      <c r="AS18" s="13">
        <f>IFERROR(VLOOKUP($F18,'Visu totale'!$D$3:$DH$129,AS$1,0),0)</f>
        <v>0</v>
      </c>
      <c r="AT18" s="13">
        <f>IFERROR(VLOOKUP($F18,'Visu totale'!$D$3:$DH$129,AT$1,0),0)</f>
        <v>0</v>
      </c>
      <c r="AU18" s="13">
        <f>IFERROR(VLOOKUP($F18,'Visu totale'!$D$3:$DH$129,AU$1,0),0)</f>
        <v>0</v>
      </c>
      <c r="AV18" s="13">
        <f>IFERROR(VLOOKUP($F18,'Visu totale'!$D$3:$DH$129,AV$1,0),0)</f>
        <v>0</v>
      </c>
      <c r="AW18" s="13">
        <f>IFERROR(VLOOKUP($F18,'Visu totale'!$D$3:$DH$129,AW$1,0),0)</f>
        <v>0</v>
      </c>
      <c r="AX18" s="13">
        <f>IFERROR(VLOOKUP($F18,'Visu totale'!$D$3:$DH$129,AX$1,0),0)</f>
        <v>0</v>
      </c>
      <c r="AY18" s="13">
        <f>IFERROR(VLOOKUP($F18,'Visu totale'!$D$3:$DH$129,AY$1,0),0)</f>
        <v>0</v>
      </c>
      <c r="AZ18" s="13">
        <f>IFERROR(VLOOKUP($F18,'Visu totale'!$D$3:$DH$129,AZ$1,0),0)</f>
        <v>0</v>
      </c>
      <c r="BA18" s="13">
        <f>IFERROR(VLOOKUP($F18,'Visu totale'!$D$3:$DH$129,BA$1,0),0)</f>
        <v>0</v>
      </c>
      <c r="BB18" s="15">
        <f>IFERROR(VLOOKUP($F18,'Visu totale'!$D$3:$DH$129,BB$1,0),0)</f>
        <v>0</v>
      </c>
      <c r="BC18" s="14">
        <f>IFERROR(VLOOKUP($F18,'Visu totale'!$D$3:$DH$129,BC$1,0),0)</f>
        <v>0</v>
      </c>
      <c r="BD18" s="13">
        <f>IFERROR(VLOOKUP($F18,'Visu totale'!$D$3:$DH$129,BD$1,0),0)</f>
        <v>0</v>
      </c>
      <c r="BE18" s="13">
        <f>IFERROR(VLOOKUP($F18,'Visu totale'!$D$3:$DH$129,BE$1,0),0)</f>
        <v>0</v>
      </c>
      <c r="BF18" s="13">
        <f>IFERROR(VLOOKUP($F18,'Visu totale'!$D$3:$DH$129,BF$1,0),0)</f>
        <v>0</v>
      </c>
      <c r="BG18" s="13">
        <f>IFERROR(VLOOKUP($F18,'Visu totale'!$D$3:$DH$129,BG$1,0),0)</f>
        <v>0</v>
      </c>
      <c r="BH18" s="13">
        <f>IFERROR(VLOOKUP($F18,'Visu totale'!$D$3:$DH$129,BH$1,0),0)</f>
        <v>0</v>
      </c>
      <c r="BI18" s="13">
        <f>IFERROR(VLOOKUP($F18,'Visu totale'!$D$3:$DH$129,BI$1,0),0)</f>
        <v>0</v>
      </c>
      <c r="BJ18" s="13">
        <f>IFERROR(VLOOKUP($F18,'Visu totale'!$D$3:$DH$129,BJ$1,0),0)</f>
        <v>0</v>
      </c>
      <c r="BK18" s="13">
        <f>IFERROR(VLOOKUP($F18,'Visu totale'!$D$3:$DH$129,BK$1,0),0)</f>
        <v>0</v>
      </c>
      <c r="BL18" s="13">
        <f>IFERROR(VLOOKUP($F18,'Visu totale'!$D$3:$DH$129,BL$1,0),0)</f>
        <v>0</v>
      </c>
      <c r="BM18" s="13">
        <f>IFERROR(VLOOKUP($F18,'Visu totale'!$D$3:$DH$129,BM$1,0),0)</f>
        <v>0</v>
      </c>
      <c r="BN18" s="15">
        <f>IFERROR(VLOOKUP($F18,'Visu totale'!$D$3:$DH$129,BN$1,0),0)</f>
        <v>0</v>
      </c>
      <c r="BO18" s="14">
        <f>IFERROR(VLOOKUP($F18,'Visu totale'!$D$3:$DH$129,BO$1,0),0)</f>
        <v>0</v>
      </c>
      <c r="BP18" s="13">
        <f>IFERROR(VLOOKUP($F18,'Visu totale'!$D$3:$DH$129,BP$1,0),0)</f>
        <v>0</v>
      </c>
      <c r="BQ18" s="13">
        <f>IFERROR(VLOOKUP($F18,'Visu totale'!$D$3:$DH$129,BQ$1,0),0)</f>
        <v>0</v>
      </c>
      <c r="BR18" s="13">
        <f>IFERROR(VLOOKUP($F18,'Visu totale'!$D$3:$DH$129,BR$1,0),0)</f>
        <v>0</v>
      </c>
      <c r="BS18" s="13">
        <f>IFERROR(VLOOKUP($F18,'Visu totale'!$D$3:$DH$129,BS$1,0),0)</f>
        <v>0</v>
      </c>
      <c r="BT18" s="13">
        <f>IFERROR(VLOOKUP($F18,'Visu totale'!$D$3:$DH$129,BT$1,0),0)</f>
        <v>0</v>
      </c>
      <c r="BU18" s="13">
        <f>IFERROR(VLOOKUP($F18,'Visu totale'!$D$3:$DH$129,BU$1,0),0)</f>
        <v>0</v>
      </c>
      <c r="BV18" s="13">
        <f>IFERROR(VLOOKUP($F18,'Visu totale'!$D$3:$DH$129,BV$1,0),0)</f>
        <v>0</v>
      </c>
      <c r="BW18" s="13">
        <f>IFERROR(VLOOKUP($F18,'Visu totale'!$D$3:$DH$129,BW$1,0),0)</f>
        <v>0</v>
      </c>
      <c r="BX18" s="13">
        <f>IFERROR(VLOOKUP($F18,'Visu totale'!$D$3:$DH$129,BX$1,0),0)</f>
        <v>0</v>
      </c>
      <c r="BY18" s="13">
        <f>IFERROR(VLOOKUP($F18,'Visu totale'!$D$3:$DH$129,BY$1,0),0)</f>
        <v>0</v>
      </c>
      <c r="BZ18" s="15">
        <f>IFERROR(VLOOKUP($F18,'Visu totale'!$D$3:$DH$129,BZ$1,0),0)</f>
        <v>0</v>
      </c>
      <c r="CA18" s="14">
        <f>IFERROR(VLOOKUP($F18,'Visu totale'!$D$3:$DH$129,CA$1,0),0)</f>
        <v>0</v>
      </c>
      <c r="CB18" s="13">
        <f>IFERROR(VLOOKUP($F18,'Visu totale'!$D$3:$DH$129,CB$1,0),0)</f>
        <v>0</v>
      </c>
      <c r="CC18" s="13">
        <f>IFERROR(VLOOKUP($F18,'Visu totale'!$D$3:$DH$129,CC$1,0),0)</f>
        <v>0</v>
      </c>
      <c r="CD18" s="13">
        <f>IFERROR(VLOOKUP($F18,'Visu totale'!$D$3:$DH$129,CD$1,0),0)</f>
        <v>0</v>
      </c>
      <c r="CE18" s="13">
        <f>IFERROR(VLOOKUP($F18,'Visu totale'!$D$3:$DH$129,CE$1,0),0)</f>
        <v>0</v>
      </c>
      <c r="CF18" s="13">
        <f>IFERROR(VLOOKUP($F18,'Visu totale'!$D$3:$DH$129,CF$1,0),0)</f>
        <v>0</v>
      </c>
      <c r="CG18" s="13">
        <f>IFERROR(VLOOKUP($F18,'Visu totale'!$D$3:$DH$129,CG$1,0),0)</f>
        <v>0</v>
      </c>
      <c r="CH18" s="13">
        <f>IFERROR(VLOOKUP($F18,'Visu totale'!$D$3:$DH$129,CH$1,0),0)</f>
        <v>0</v>
      </c>
      <c r="CI18" s="13">
        <f>IFERROR(VLOOKUP($F18,'Visu totale'!$D$3:$DH$129,CI$1,0),0)</f>
        <v>0</v>
      </c>
      <c r="CJ18" s="13">
        <f>IFERROR(VLOOKUP($F18,'Visu totale'!$D$3:$DH$129,CJ$1,0),0)</f>
        <v>0</v>
      </c>
      <c r="CK18" s="13">
        <f>IFERROR(VLOOKUP($F18,'Visu totale'!$D$3:$DH$129,CK$1,0),0)</f>
        <v>0</v>
      </c>
      <c r="CL18" s="15">
        <f>IFERROR(VLOOKUP($F18,'Visu totale'!$D$3:$DH$129,CL$1,0),0)</f>
        <v>0</v>
      </c>
      <c r="CM18" s="14">
        <f>IFERROR(VLOOKUP($F18,'Visu totale'!$D$3:$DH$129,CM$1,0),0)</f>
        <v>0</v>
      </c>
      <c r="CN18" s="13">
        <f>IFERROR(VLOOKUP($F18,'Visu totale'!$D$3:$DH$129,CN$1,0),0)</f>
        <v>0</v>
      </c>
      <c r="CO18" s="13">
        <f>IFERROR(VLOOKUP($F18,'Visu totale'!$D$3:$DH$129,CO$1,0),0)</f>
        <v>0</v>
      </c>
      <c r="CP18" s="13">
        <f>IFERROR(VLOOKUP($F18,'Visu totale'!$D$3:$DH$129,CP$1,0),0)</f>
        <v>0</v>
      </c>
      <c r="CQ18" s="13">
        <f>IFERROR(VLOOKUP($F18,'Visu totale'!$D$3:$DH$129,CQ$1,0),0)</f>
        <v>0</v>
      </c>
      <c r="CR18" s="13">
        <f>IFERROR(VLOOKUP($F18,'Visu totale'!$D$3:$DH$129,CR$1,0),0)</f>
        <v>0</v>
      </c>
      <c r="CS18" s="13">
        <f>IFERROR(VLOOKUP($F18,'Visu totale'!$D$3:$DH$129,CS$1,0),0)</f>
        <v>0</v>
      </c>
      <c r="CT18" s="13">
        <f>IFERROR(VLOOKUP($F18,'Visu totale'!$D$3:$DH$129,CT$1,0),0)</f>
        <v>0</v>
      </c>
      <c r="CU18" s="13">
        <f>IFERROR(VLOOKUP($F18,'Visu totale'!$D$3:$DH$129,CU$1,0),0)</f>
        <v>0</v>
      </c>
      <c r="CV18" s="13">
        <f>IFERROR(VLOOKUP($F18,'Visu totale'!$D$3:$DH$129,CV$1,0),0)</f>
        <v>0</v>
      </c>
      <c r="CW18" s="13">
        <f>IFERROR(VLOOKUP($F18,'Visu totale'!$D$3:$DH$129,CW$1,0),0)</f>
        <v>0</v>
      </c>
      <c r="CX18" s="15">
        <f>IFERROR(VLOOKUP($F18,'Visu totale'!$D$3:$DH$129,CX$1,0),0)</f>
        <v>0</v>
      </c>
      <c r="CY18" s="14">
        <f>IFERROR(VLOOKUP($F18,'Visu totale'!$D$3:$DH$129,CY$1,0),0)</f>
        <v>0</v>
      </c>
      <c r="CZ18" s="13">
        <f>IFERROR(VLOOKUP($F18,'Visu totale'!$D$3:$DH$129,CZ$1,0),0)</f>
        <v>0</v>
      </c>
      <c r="DA18" s="13">
        <f>IFERROR(VLOOKUP($F18,'Visu totale'!$D$3:$DH$129,DA$1,0),0)</f>
        <v>0</v>
      </c>
      <c r="DB18" s="13">
        <f>IFERROR(VLOOKUP($F18,'Visu totale'!$D$3:$DH$129,DB$1,0),0)</f>
        <v>0</v>
      </c>
      <c r="DC18" s="13">
        <f>IFERROR(VLOOKUP($F18,'Visu totale'!$D$3:$DH$129,DC$1,0),0)</f>
        <v>0</v>
      </c>
      <c r="DD18" s="13">
        <f>IFERROR(VLOOKUP($F18,'Visu totale'!$D$3:$DH$129,DD$1,0),0)</f>
        <v>0</v>
      </c>
      <c r="DE18" s="13">
        <f>IFERROR(VLOOKUP($F18,'Visu totale'!$D$3:$DH$129,DE$1,0),0)</f>
        <v>0</v>
      </c>
      <c r="DF18" s="13">
        <f>IFERROR(VLOOKUP($F18,'Visu totale'!$D$3:$DH$129,DF$1,0),0)</f>
        <v>0</v>
      </c>
      <c r="DG18" s="13">
        <f>IFERROR(VLOOKUP($F18,'Visu totale'!$D$3:$DH$129,DG$1,0),0)</f>
        <v>0</v>
      </c>
      <c r="DH18" s="13">
        <f>IFERROR(VLOOKUP($F18,'Visu totale'!$D$3:$DH$129,DH$1,0),0)</f>
        <v>0</v>
      </c>
      <c r="DI18" s="13">
        <f>IFERROR(VLOOKUP($F18,'Visu totale'!$D$3:$DH$129,DI$1,0),0)</f>
        <v>0</v>
      </c>
      <c r="DJ18" s="15">
        <f>IFERROR(VLOOKUP($F18,'Visu totale'!$D$3:$DH$129,DJ$1,0),0)</f>
        <v>0</v>
      </c>
    </row>
    <row r="19" spans="1:114" s="12" customFormat="1" x14ac:dyDescent="0.25">
      <c r="A19" s="13"/>
      <c r="B19" s="13"/>
      <c r="C19" s="13"/>
      <c r="D19" s="13"/>
      <c r="E19" s="13"/>
      <c r="F19" s="17" t="s">
        <v>119</v>
      </c>
      <c r="G19" s="14">
        <f>IFERROR(VLOOKUP($F19,'Visu totale'!$D$3:$DH$129,G$1,0),0)</f>
        <v>0</v>
      </c>
      <c r="H19" s="13">
        <f>IFERROR(VLOOKUP($F19,'Visu totale'!$D$3:$DH$129,H$1,0),0)</f>
        <v>0</v>
      </c>
      <c r="I19" s="13">
        <f>IFERROR(VLOOKUP($F19,'Visu totale'!$D$3:$DH$129,I$1,0),0)</f>
        <v>0</v>
      </c>
      <c r="J19" s="13">
        <f>IFERROR(VLOOKUP($F19,'Visu totale'!$D$3:$DH$129,J$1,0),0)</f>
        <v>0</v>
      </c>
      <c r="K19" s="13">
        <f>IFERROR(VLOOKUP($F19,'Visu totale'!$D$3:$DH$129,K$1,0),0)</f>
        <v>0</v>
      </c>
      <c r="L19" s="13">
        <f>IFERROR(VLOOKUP($F19,'Visu totale'!$D$3:$DH$129,L$1,0),0)</f>
        <v>0</v>
      </c>
      <c r="M19" s="13">
        <f>IFERROR(VLOOKUP($F19,'Visu totale'!$D$3:$DH$129,M$1,0),0)</f>
        <v>0</v>
      </c>
      <c r="N19" s="13">
        <f>IFERROR(VLOOKUP($F19,'Visu totale'!$D$3:$DH$129,N$1,0),0)</f>
        <v>0</v>
      </c>
      <c r="O19" s="13">
        <f>IFERROR(VLOOKUP($F19,'Visu totale'!$D$3:$DH$129,O$1,0),0)</f>
        <v>0</v>
      </c>
      <c r="P19" s="13">
        <f>IFERROR(VLOOKUP($F19,'Visu totale'!$D$3:$DH$129,P$1,0),0)</f>
        <v>0</v>
      </c>
      <c r="Q19" s="13">
        <f>IFERROR(VLOOKUP($F19,'Visu totale'!$D$3:$DH$129,Q$1,0),0)</f>
        <v>0</v>
      </c>
      <c r="R19" s="15">
        <f>IFERROR(VLOOKUP($F19,'Visu totale'!$D$3:$DH$129,R$1,0),0)</f>
        <v>0</v>
      </c>
      <c r="S19" s="14">
        <f>IFERROR(VLOOKUP($F19,'Visu totale'!$D$3:$DH$129,S$1,0),0)</f>
        <v>0</v>
      </c>
      <c r="T19" s="13">
        <f>IFERROR(VLOOKUP($F19,'Visu totale'!$D$3:$DH$129,T$1,0),0)</f>
        <v>0</v>
      </c>
      <c r="U19" s="13">
        <f>IFERROR(VLOOKUP($F19,'Visu totale'!$D$3:$DH$129,U$1,0),0)</f>
        <v>0</v>
      </c>
      <c r="V19" s="13">
        <f>IFERROR(VLOOKUP($F19,'Visu totale'!$D$3:$DH$129,V$1,0),0)</f>
        <v>0</v>
      </c>
      <c r="W19" s="13">
        <f>IFERROR(VLOOKUP($F19,'Visu totale'!$D$3:$DH$129,W$1,0),0)</f>
        <v>0</v>
      </c>
      <c r="X19" s="13">
        <f>IFERROR(VLOOKUP($F19,'Visu totale'!$D$3:$DH$129,X$1,0),0)</f>
        <v>0</v>
      </c>
      <c r="Y19" s="13">
        <f>IFERROR(VLOOKUP($F19,'Visu totale'!$D$3:$DH$129,Y$1,0),0)</f>
        <v>0</v>
      </c>
      <c r="Z19" s="13">
        <f>IFERROR(VLOOKUP($F19,'Visu totale'!$D$3:$DH$129,Z$1,0),0)</f>
        <v>0</v>
      </c>
      <c r="AA19" s="13">
        <f>IFERROR(VLOOKUP($F19,'Visu totale'!$D$3:$DH$129,AA$1,0),0)</f>
        <v>0</v>
      </c>
      <c r="AB19" s="13">
        <f>IFERROR(VLOOKUP($F19,'Visu totale'!$D$3:$DH$129,AB$1,0),0)</f>
        <v>0</v>
      </c>
      <c r="AC19" s="13">
        <f>IFERROR(VLOOKUP($F19,'Visu totale'!$D$3:$DH$129,AC$1,0),0)</f>
        <v>0</v>
      </c>
      <c r="AD19" s="15">
        <f>IFERROR(VLOOKUP($F19,'Visu totale'!$D$3:$DH$129,AD$1,0),0)</f>
        <v>0</v>
      </c>
      <c r="AE19" s="14">
        <f>IFERROR(VLOOKUP($F19,'Visu totale'!$D$3:$DH$129,AE$1,0),0)</f>
        <v>0</v>
      </c>
      <c r="AF19" s="13">
        <f>IFERROR(VLOOKUP($F19,'Visu totale'!$D$3:$DH$129,AF$1,0),0)</f>
        <v>0</v>
      </c>
      <c r="AG19" s="13">
        <f>IFERROR(VLOOKUP($F19,'Visu totale'!$D$3:$DH$129,AG$1,0),0)</f>
        <v>0</v>
      </c>
      <c r="AH19" s="13">
        <f>IFERROR(VLOOKUP($F19,'Visu totale'!$D$3:$DH$129,AH$1,0),0)</f>
        <v>0</v>
      </c>
      <c r="AI19" s="13">
        <f>IFERROR(VLOOKUP($F19,'Visu totale'!$D$3:$DH$129,AI$1,0),0)</f>
        <v>0</v>
      </c>
      <c r="AJ19" s="13">
        <f>IFERROR(VLOOKUP($F19,'Visu totale'!$D$3:$DH$129,AJ$1,0),0)</f>
        <v>0</v>
      </c>
      <c r="AK19" s="13">
        <f>IFERROR(VLOOKUP($F19,'Visu totale'!$D$3:$DH$129,AK$1,0),0)</f>
        <v>0</v>
      </c>
      <c r="AL19" s="13">
        <f>IFERROR(VLOOKUP($F19,'Visu totale'!$D$3:$DH$129,AL$1,0),0)</f>
        <v>0</v>
      </c>
      <c r="AM19" s="13">
        <f>IFERROR(VLOOKUP($F19,'Visu totale'!$D$3:$DH$129,AM$1,0),0)</f>
        <v>0</v>
      </c>
      <c r="AN19" s="13">
        <f>IFERROR(VLOOKUP($F19,'Visu totale'!$D$3:$DH$129,AN$1,0),0)</f>
        <v>0</v>
      </c>
      <c r="AO19" s="13">
        <f>IFERROR(VLOOKUP($F19,'Visu totale'!$D$3:$DH$129,AO$1,0),0)</f>
        <v>0</v>
      </c>
      <c r="AP19" s="15">
        <f>IFERROR(VLOOKUP($F19,'Visu totale'!$D$3:$DH$129,AP$1,0),0)</f>
        <v>0</v>
      </c>
      <c r="AQ19" s="14">
        <f>IFERROR(VLOOKUP($F19,'Visu totale'!$D$3:$DH$129,AQ$1,0),0)</f>
        <v>0</v>
      </c>
      <c r="AR19" s="13">
        <f>IFERROR(VLOOKUP($F19,'Visu totale'!$D$3:$DH$129,AR$1,0),0)</f>
        <v>0</v>
      </c>
      <c r="AS19" s="13">
        <f>IFERROR(VLOOKUP($F19,'Visu totale'!$D$3:$DH$129,AS$1,0),0)</f>
        <v>0</v>
      </c>
      <c r="AT19" s="13">
        <f>IFERROR(VLOOKUP($F19,'Visu totale'!$D$3:$DH$129,AT$1,0),0)</f>
        <v>0</v>
      </c>
      <c r="AU19" s="13">
        <f>IFERROR(VLOOKUP($F19,'Visu totale'!$D$3:$DH$129,AU$1,0),0)</f>
        <v>0</v>
      </c>
      <c r="AV19" s="13">
        <f>IFERROR(VLOOKUP($F19,'Visu totale'!$D$3:$DH$129,AV$1,0),0)</f>
        <v>0</v>
      </c>
      <c r="AW19" s="13">
        <f>IFERROR(VLOOKUP($F19,'Visu totale'!$D$3:$DH$129,AW$1,0),0)</f>
        <v>0</v>
      </c>
      <c r="AX19" s="13">
        <f>IFERROR(VLOOKUP($F19,'Visu totale'!$D$3:$DH$129,AX$1,0),0)</f>
        <v>0</v>
      </c>
      <c r="AY19" s="13">
        <f>IFERROR(VLOOKUP($F19,'Visu totale'!$D$3:$DH$129,AY$1,0),0)</f>
        <v>0</v>
      </c>
      <c r="AZ19" s="13">
        <f>IFERROR(VLOOKUP($F19,'Visu totale'!$D$3:$DH$129,AZ$1,0),0)</f>
        <v>0</v>
      </c>
      <c r="BA19" s="13">
        <f>IFERROR(VLOOKUP($F19,'Visu totale'!$D$3:$DH$129,BA$1,0),0)</f>
        <v>0</v>
      </c>
      <c r="BB19" s="15">
        <f>IFERROR(VLOOKUP($F19,'Visu totale'!$D$3:$DH$129,BB$1,0),0)</f>
        <v>0</v>
      </c>
      <c r="BC19" s="14">
        <f>IFERROR(VLOOKUP($F19,'Visu totale'!$D$3:$DH$129,BC$1,0),0)</f>
        <v>0</v>
      </c>
      <c r="BD19" s="13">
        <f>IFERROR(VLOOKUP($F19,'Visu totale'!$D$3:$DH$129,BD$1,0),0)</f>
        <v>0</v>
      </c>
      <c r="BE19" s="13">
        <f>IFERROR(VLOOKUP($F19,'Visu totale'!$D$3:$DH$129,BE$1,0),0)</f>
        <v>0</v>
      </c>
      <c r="BF19" s="13">
        <f>IFERROR(VLOOKUP($F19,'Visu totale'!$D$3:$DH$129,BF$1,0),0)</f>
        <v>0</v>
      </c>
      <c r="BG19" s="13">
        <f>IFERROR(VLOOKUP($F19,'Visu totale'!$D$3:$DH$129,BG$1,0),0)</f>
        <v>0</v>
      </c>
      <c r="BH19" s="13">
        <f>IFERROR(VLOOKUP($F19,'Visu totale'!$D$3:$DH$129,BH$1,0),0)</f>
        <v>0</v>
      </c>
      <c r="BI19" s="13">
        <f>IFERROR(VLOOKUP($F19,'Visu totale'!$D$3:$DH$129,BI$1,0),0)</f>
        <v>0</v>
      </c>
      <c r="BJ19" s="13">
        <f>IFERROR(VLOOKUP($F19,'Visu totale'!$D$3:$DH$129,BJ$1,0),0)</f>
        <v>0</v>
      </c>
      <c r="BK19" s="13">
        <f>IFERROR(VLOOKUP($F19,'Visu totale'!$D$3:$DH$129,BK$1,0),0)</f>
        <v>0</v>
      </c>
      <c r="BL19" s="13">
        <f>IFERROR(VLOOKUP($F19,'Visu totale'!$D$3:$DH$129,BL$1,0),0)</f>
        <v>0</v>
      </c>
      <c r="BM19" s="13">
        <f>IFERROR(VLOOKUP($F19,'Visu totale'!$D$3:$DH$129,BM$1,0),0)</f>
        <v>0</v>
      </c>
      <c r="BN19" s="15">
        <f>IFERROR(VLOOKUP($F19,'Visu totale'!$D$3:$DH$129,BN$1,0),0)</f>
        <v>0</v>
      </c>
      <c r="BO19" s="14">
        <f>IFERROR(VLOOKUP($F19,'Visu totale'!$D$3:$DH$129,BO$1,0),0)</f>
        <v>0</v>
      </c>
      <c r="BP19" s="13">
        <f>IFERROR(VLOOKUP($F19,'Visu totale'!$D$3:$DH$129,BP$1,0),0)</f>
        <v>0</v>
      </c>
      <c r="BQ19" s="13">
        <f>IFERROR(VLOOKUP($F19,'Visu totale'!$D$3:$DH$129,BQ$1,0),0)</f>
        <v>0</v>
      </c>
      <c r="BR19" s="13">
        <f>IFERROR(VLOOKUP($F19,'Visu totale'!$D$3:$DH$129,BR$1,0),0)</f>
        <v>0</v>
      </c>
      <c r="BS19" s="13">
        <f>IFERROR(VLOOKUP($F19,'Visu totale'!$D$3:$DH$129,BS$1,0),0)</f>
        <v>0</v>
      </c>
      <c r="BT19" s="13">
        <f>IFERROR(VLOOKUP($F19,'Visu totale'!$D$3:$DH$129,BT$1,0),0)</f>
        <v>0</v>
      </c>
      <c r="BU19" s="13">
        <f>IFERROR(VLOOKUP($F19,'Visu totale'!$D$3:$DH$129,BU$1,0),0)</f>
        <v>0</v>
      </c>
      <c r="BV19" s="13">
        <f>IFERROR(VLOOKUP($F19,'Visu totale'!$D$3:$DH$129,BV$1,0),0)</f>
        <v>0</v>
      </c>
      <c r="BW19" s="13">
        <f>IFERROR(VLOOKUP($F19,'Visu totale'!$D$3:$DH$129,BW$1,0),0)</f>
        <v>0</v>
      </c>
      <c r="BX19" s="13">
        <f>IFERROR(VLOOKUP($F19,'Visu totale'!$D$3:$DH$129,BX$1,0),0)</f>
        <v>0</v>
      </c>
      <c r="BY19" s="13">
        <f>IFERROR(VLOOKUP($F19,'Visu totale'!$D$3:$DH$129,BY$1,0),0)</f>
        <v>0</v>
      </c>
      <c r="BZ19" s="15">
        <f>IFERROR(VLOOKUP($F19,'Visu totale'!$D$3:$DH$129,BZ$1,0),0)</f>
        <v>0</v>
      </c>
      <c r="CA19" s="14">
        <f>IFERROR(VLOOKUP($F19,'Visu totale'!$D$3:$DH$129,CA$1,0),0)</f>
        <v>0</v>
      </c>
      <c r="CB19" s="13">
        <f>IFERROR(VLOOKUP($F19,'Visu totale'!$D$3:$DH$129,CB$1,0),0)</f>
        <v>0</v>
      </c>
      <c r="CC19" s="13">
        <f>IFERROR(VLOOKUP($F19,'Visu totale'!$D$3:$DH$129,CC$1,0),0)</f>
        <v>0</v>
      </c>
      <c r="CD19" s="13">
        <f>IFERROR(VLOOKUP($F19,'Visu totale'!$D$3:$DH$129,CD$1,0),0)</f>
        <v>0</v>
      </c>
      <c r="CE19" s="13">
        <f>IFERROR(VLOOKUP($F19,'Visu totale'!$D$3:$DH$129,CE$1,0),0)</f>
        <v>0</v>
      </c>
      <c r="CF19" s="13">
        <f>IFERROR(VLOOKUP($F19,'Visu totale'!$D$3:$DH$129,CF$1,0),0)</f>
        <v>0</v>
      </c>
      <c r="CG19" s="13">
        <f>IFERROR(VLOOKUP($F19,'Visu totale'!$D$3:$DH$129,CG$1,0),0)</f>
        <v>0</v>
      </c>
      <c r="CH19" s="13">
        <f>IFERROR(VLOOKUP($F19,'Visu totale'!$D$3:$DH$129,CH$1,0),0)</f>
        <v>0</v>
      </c>
      <c r="CI19" s="13">
        <f>IFERROR(VLOOKUP($F19,'Visu totale'!$D$3:$DH$129,CI$1,0),0)</f>
        <v>0</v>
      </c>
      <c r="CJ19" s="13">
        <f>IFERROR(VLOOKUP($F19,'Visu totale'!$D$3:$DH$129,CJ$1,0),0)</f>
        <v>0</v>
      </c>
      <c r="CK19" s="13">
        <f>IFERROR(VLOOKUP($F19,'Visu totale'!$D$3:$DH$129,CK$1,0),0)</f>
        <v>0</v>
      </c>
      <c r="CL19" s="15">
        <f>IFERROR(VLOOKUP($F19,'Visu totale'!$D$3:$DH$129,CL$1,0),0)</f>
        <v>0</v>
      </c>
      <c r="CM19" s="14">
        <f>IFERROR(VLOOKUP($F19,'Visu totale'!$D$3:$DH$129,CM$1,0),0)</f>
        <v>0</v>
      </c>
      <c r="CN19" s="13">
        <f>IFERROR(VLOOKUP($F19,'Visu totale'!$D$3:$DH$129,CN$1,0),0)</f>
        <v>0</v>
      </c>
      <c r="CO19" s="13">
        <f>IFERROR(VLOOKUP($F19,'Visu totale'!$D$3:$DH$129,CO$1,0),0)</f>
        <v>0</v>
      </c>
      <c r="CP19" s="13">
        <f>IFERROR(VLOOKUP($F19,'Visu totale'!$D$3:$DH$129,CP$1,0),0)</f>
        <v>0</v>
      </c>
      <c r="CQ19" s="13">
        <f>IFERROR(VLOOKUP($F19,'Visu totale'!$D$3:$DH$129,CQ$1,0),0)</f>
        <v>0</v>
      </c>
      <c r="CR19" s="13">
        <f>IFERROR(VLOOKUP($F19,'Visu totale'!$D$3:$DH$129,CR$1,0),0)</f>
        <v>0</v>
      </c>
      <c r="CS19" s="13">
        <f>IFERROR(VLOOKUP($F19,'Visu totale'!$D$3:$DH$129,CS$1,0),0)</f>
        <v>0</v>
      </c>
      <c r="CT19" s="13">
        <f>IFERROR(VLOOKUP($F19,'Visu totale'!$D$3:$DH$129,CT$1,0),0)</f>
        <v>0</v>
      </c>
      <c r="CU19" s="13">
        <f>IFERROR(VLOOKUP($F19,'Visu totale'!$D$3:$DH$129,CU$1,0),0)</f>
        <v>0</v>
      </c>
      <c r="CV19" s="13">
        <f>IFERROR(VLOOKUP($F19,'Visu totale'!$D$3:$DH$129,CV$1,0),0)</f>
        <v>0</v>
      </c>
      <c r="CW19" s="13">
        <f>IFERROR(VLOOKUP($F19,'Visu totale'!$D$3:$DH$129,CW$1,0),0)</f>
        <v>0</v>
      </c>
      <c r="CX19" s="15">
        <f>IFERROR(VLOOKUP($F19,'Visu totale'!$D$3:$DH$129,CX$1,0),0)</f>
        <v>0</v>
      </c>
      <c r="CY19" s="14">
        <f>IFERROR(VLOOKUP($F19,'Visu totale'!$D$3:$DH$129,CY$1,0),0)</f>
        <v>0</v>
      </c>
      <c r="CZ19" s="13">
        <f>IFERROR(VLOOKUP($F19,'Visu totale'!$D$3:$DH$129,CZ$1,0),0)</f>
        <v>0</v>
      </c>
      <c r="DA19" s="13">
        <f>IFERROR(VLOOKUP($F19,'Visu totale'!$D$3:$DH$129,DA$1,0),0)</f>
        <v>0</v>
      </c>
      <c r="DB19" s="13">
        <f>IFERROR(VLOOKUP($F19,'Visu totale'!$D$3:$DH$129,DB$1,0),0)</f>
        <v>0</v>
      </c>
      <c r="DC19" s="13">
        <f>IFERROR(VLOOKUP($F19,'Visu totale'!$D$3:$DH$129,DC$1,0),0)</f>
        <v>0</v>
      </c>
      <c r="DD19" s="13">
        <f>IFERROR(VLOOKUP($F19,'Visu totale'!$D$3:$DH$129,DD$1,0),0)</f>
        <v>0</v>
      </c>
      <c r="DE19" s="13">
        <f>IFERROR(VLOOKUP($F19,'Visu totale'!$D$3:$DH$129,DE$1,0),0)</f>
        <v>0</v>
      </c>
      <c r="DF19" s="13">
        <f>IFERROR(VLOOKUP($F19,'Visu totale'!$D$3:$DH$129,DF$1,0),0)</f>
        <v>0</v>
      </c>
      <c r="DG19" s="13">
        <f>IFERROR(VLOOKUP($F19,'Visu totale'!$D$3:$DH$129,DG$1,0),0)</f>
        <v>0</v>
      </c>
      <c r="DH19" s="13">
        <f>IFERROR(VLOOKUP($F19,'Visu totale'!$D$3:$DH$129,DH$1,0),0)</f>
        <v>0</v>
      </c>
      <c r="DI19" s="13">
        <f>IFERROR(VLOOKUP($F19,'Visu totale'!$D$3:$DH$129,DI$1,0),0)</f>
        <v>0</v>
      </c>
      <c r="DJ19" s="15">
        <f>IFERROR(VLOOKUP($F19,'Visu totale'!$D$3:$DH$129,DJ$1,0),0)</f>
        <v>0</v>
      </c>
    </row>
    <row r="20" spans="1:114" s="12" customFormat="1" x14ac:dyDescent="0.25">
      <c r="A20" s="13"/>
      <c r="B20" s="13"/>
      <c r="C20" s="13"/>
      <c r="D20" s="13"/>
      <c r="E20" s="13"/>
      <c r="F20" s="17" t="s">
        <v>120</v>
      </c>
      <c r="G20" s="14">
        <f>IFERROR(VLOOKUP($F20,'Visu totale'!$D$3:$DH$129,G$1,0),0)</f>
        <v>0</v>
      </c>
      <c r="H20" s="13">
        <f>IFERROR(VLOOKUP($F20,'Visu totale'!$D$3:$DH$129,H$1,0),0)</f>
        <v>0</v>
      </c>
      <c r="I20" s="13">
        <f>IFERROR(VLOOKUP($F20,'Visu totale'!$D$3:$DH$129,I$1,0),0)</f>
        <v>0</v>
      </c>
      <c r="J20" s="13">
        <f>IFERROR(VLOOKUP($F20,'Visu totale'!$D$3:$DH$129,J$1,0),0)</f>
        <v>0</v>
      </c>
      <c r="K20" s="13">
        <f>IFERROR(VLOOKUP($F20,'Visu totale'!$D$3:$DH$129,K$1,0),0)</f>
        <v>0</v>
      </c>
      <c r="L20" s="13">
        <f>IFERROR(VLOOKUP($F20,'Visu totale'!$D$3:$DH$129,L$1,0),0)</f>
        <v>0</v>
      </c>
      <c r="M20" s="13">
        <f>IFERROR(VLOOKUP($F20,'Visu totale'!$D$3:$DH$129,M$1,0),0)</f>
        <v>0</v>
      </c>
      <c r="N20" s="13">
        <f>IFERROR(VLOOKUP($F20,'Visu totale'!$D$3:$DH$129,N$1,0),0)</f>
        <v>0</v>
      </c>
      <c r="O20" s="13">
        <f>IFERROR(VLOOKUP($F20,'Visu totale'!$D$3:$DH$129,O$1,0),0)</f>
        <v>0</v>
      </c>
      <c r="P20" s="13">
        <f>IFERROR(VLOOKUP($F20,'Visu totale'!$D$3:$DH$129,P$1,0),0)</f>
        <v>0</v>
      </c>
      <c r="Q20" s="13">
        <f>IFERROR(VLOOKUP($F20,'Visu totale'!$D$3:$DH$129,Q$1,0),0)</f>
        <v>0</v>
      </c>
      <c r="R20" s="15">
        <f>IFERROR(VLOOKUP($F20,'Visu totale'!$D$3:$DH$129,R$1,0),0)</f>
        <v>0</v>
      </c>
      <c r="S20" s="14">
        <f>IFERROR(VLOOKUP($F20,'Visu totale'!$D$3:$DH$129,S$1,0),0)</f>
        <v>0</v>
      </c>
      <c r="T20" s="13">
        <f>IFERROR(VLOOKUP($F20,'Visu totale'!$D$3:$DH$129,T$1,0),0)</f>
        <v>0</v>
      </c>
      <c r="U20" s="13">
        <f>IFERROR(VLOOKUP($F20,'Visu totale'!$D$3:$DH$129,U$1,0),0)</f>
        <v>0</v>
      </c>
      <c r="V20" s="13">
        <f>IFERROR(VLOOKUP($F20,'Visu totale'!$D$3:$DH$129,V$1,0),0)</f>
        <v>0</v>
      </c>
      <c r="W20" s="13">
        <f>IFERROR(VLOOKUP($F20,'Visu totale'!$D$3:$DH$129,W$1,0),0)</f>
        <v>0</v>
      </c>
      <c r="X20" s="13">
        <f>IFERROR(VLOOKUP($F20,'Visu totale'!$D$3:$DH$129,X$1,0),0)</f>
        <v>0</v>
      </c>
      <c r="Y20" s="13">
        <f>IFERROR(VLOOKUP($F20,'Visu totale'!$D$3:$DH$129,Y$1,0),0)</f>
        <v>0</v>
      </c>
      <c r="Z20" s="13">
        <f>IFERROR(VLOOKUP($F20,'Visu totale'!$D$3:$DH$129,Z$1,0),0)</f>
        <v>0</v>
      </c>
      <c r="AA20" s="13">
        <f>IFERROR(VLOOKUP($F20,'Visu totale'!$D$3:$DH$129,AA$1,0),0)</f>
        <v>0</v>
      </c>
      <c r="AB20" s="13">
        <f>IFERROR(VLOOKUP($F20,'Visu totale'!$D$3:$DH$129,AB$1,0),0)</f>
        <v>0</v>
      </c>
      <c r="AC20" s="13">
        <f>IFERROR(VLOOKUP($F20,'Visu totale'!$D$3:$DH$129,AC$1,0),0)</f>
        <v>0</v>
      </c>
      <c r="AD20" s="15">
        <f>IFERROR(VLOOKUP($F20,'Visu totale'!$D$3:$DH$129,AD$1,0),0)</f>
        <v>0</v>
      </c>
      <c r="AE20" s="14">
        <f>IFERROR(VLOOKUP($F20,'Visu totale'!$D$3:$DH$129,AE$1,0),0)</f>
        <v>0</v>
      </c>
      <c r="AF20" s="13">
        <f>IFERROR(VLOOKUP($F20,'Visu totale'!$D$3:$DH$129,AF$1,0),0)</f>
        <v>0</v>
      </c>
      <c r="AG20" s="13">
        <f>IFERROR(VLOOKUP($F20,'Visu totale'!$D$3:$DH$129,AG$1,0),0)</f>
        <v>0</v>
      </c>
      <c r="AH20" s="13">
        <f>IFERROR(VLOOKUP($F20,'Visu totale'!$D$3:$DH$129,AH$1,0),0)</f>
        <v>0</v>
      </c>
      <c r="AI20" s="13">
        <f>IFERROR(VLOOKUP($F20,'Visu totale'!$D$3:$DH$129,AI$1,0),0)</f>
        <v>0</v>
      </c>
      <c r="AJ20" s="13">
        <f>IFERROR(VLOOKUP($F20,'Visu totale'!$D$3:$DH$129,AJ$1,0),0)</f>
        <v>0</v>
      </c>
      <c r="AK20" s="13">
        <f>IFERROR(VLOOKUP($F20,'Visu totale'!$D$3:$DH$129,AK$1,0),0)</f>
        <v>0</v>
      </c>
      <c r="AL20" s="13">
        <f>IFERROR(VLOOKUP($F20,'Visu totale'!$D$3:$DH$129,AL$1,0),0)</f>
        <v>0</v>
      </c>
      <c r="AM20" s="13">
        <f>IFERROR(VLOOKUP($F20,'Visu totale'!$D$3:$DH$129,AM$1,0),0)</f>
        <v>0</v>
      </c>
      <c r="AN20" s="13">
        <f>IFERROR(VLOOKUP($F20,'Visu totale'!$D$3:$DH$129,AN$1,0),0)</f>
        <v>0</v>
      </c>
      <c r="AO20" s="13">
        <f>IFERROR(VLOOKUP($F20,'Visu totale'!$D$3:$DH$129,AO$1,0),0)</f>
        <v>0</v>
      </c>
      <c r="AP20" s="15">
        <f>IFERROR(VLOOKUP($F20,'Visu totale'!$D$3:$DH$129,AP$1,0),0)</f>
        <v>0</v>
      </c>
      <c r="AQ20" s="14">
        <f>IFERROR(VLOOKUP($F20,'Visu totale'!$D$3:$DH$129,AQ$1,0),0)</f>
        <v>0</v>
      </c>
      <c r="AR20" s="13">
        <f>IFERROR(VLOOKUP($F20,'Visu totale'!$D$3:$DH$129,AR$1,0),0)</f>
        <v>0</v>
      </c>
      <c r="AS20" s="13">
        <f>IFERROR(VLOOKUP($F20,'Visu totale'!$D$3:$DH$129,AS$1,0),0)</f>
        <v>0</v>
      </c>
      <c r="AT20" s="13">
        <f>IFERROR(VLOOKUP($F20,'Visu totale'!$D$3:$DH$129,AT$1,0),0)</f>
        <v>0</v>
      </c>
      <c r="AU20" s="13">
        <f>IFERROR(VLOOKUP($F20,'Visu totale'!$D$3:$DH$129,AU$1,0),0)</f>
        <v>0</v>
      </c>
      <c r="AV20" s="13">
        <f>IFERROR(VLOOKUP($F20,'Visu totale'!$D$3:$DH$129,AV$1,0),0)</f>
        <v>0</v>
      </c>
      <c r="AW20" s="13">
        <f>IFERROR(VLOOKUP($F20,'Visu totale'!$D$3:$DH$129,AW$1,0),0)</f>
        <v>0</v>
      </c>
      <c r="AX20" s="13">
        <f>IFERROR(VLOOKUP($F20,'Visu totale'!$D$3:$DH$129,AX$1,0),0)</f>
        <v>0</v>
      </c>
      <c r="AY20" s="13">
        <f>IFERROR(VLOOKUP($F20,'Visu totale'!$D$3:$DH$129,AY$1,0),0)</f>
        <v>0</v>
      </c>
      <c r="AZ20" s="13">
        <f>IFERROR(VLOOKUP($F20,'Visu totale'!$D$3:$DH$129,AZ$1,0),0)</f>
        <v>0</v>
      </c>
      <c r="BA20" s="13">
        <f>IFERROR(VLOOKUP($F20,'Visu totale'!$D$3:$DH$129,BA$1,0),0)</f>
        <v>0</v>
      </c>
      <c r="BB20" s="15">
        <f>IFERROR(VLOOKUP($F20,'Visu totale'!$D$3:$DH$129,BB$1,0),0)</f>
        <v>0</v>
      </c>
      <c r="BC20" s="14">
        <f>IFERROR(VLOOKUP($F20,'Visu totale'!$D$3:$DH$129,BC$1,0),0)</f>
        <v>0</v>
      </c>
      <c r="BD20" s="13">
        <f>IFERROR(VLOOKUP($F20,'Visu totale'!$D$3:$DH$129,BD$1,0),0)</f>
        <v>0</v>
      </c>
      <c r="BE20" s="13">
        <f>IFERROR(VLOOKUP($F20,'Visu totale'!$D$3:$DH$129,BE$1,0),0)</f>
        <v>0</v>
      </c>
      <c r="BF20" s="13">
        <f>IFERROR(VLOOKUP($F20,'Visu totale'!$D$3:$DH$129,BF$1,0),0)</f>
        <v>0</v>
      </c>
      <c r="BG20" s="13">
        <f>IFERROR(VLOOKUP($F20,'Visu totale'!$D$3:$DH$129,BG$1,0),0)</f>
        <v>0</v>
      </c>
      <c r="BH20" s="13">
        <f>IFERROR(VLOOKUP($F20,'Visu totale'!$D$3:$DH$129,BH$1,0),0)</f>
        <v>0</v>
      </c>
      <c r="BI20" s="13">
        <f>IFERROR(VLOOKUP($F20,'Visu totale'!$D$3:$DH$129,BI$1,0),0)</f>
        <v>0</v>
      </c>
      <c r="BJ20" s="13">
        <f>IFERROR(VLOOKUP($F20,'Visu totale'!$D$3:$DH$129,BJ$1,0),0)</f>
        <v>0</v>
      </c>
      <c r="BK20" s="13">
        <f>IFERROR(VLOOKUP($F20,'Visu totale'!$D$3:$DH$129,BK$1,0),0)</f>
        <v>0</v>
      </c>
      <c r="BL20" s="13">
        <f>IFERROR(VLOOKUP($F20,'Visu totale'!$D$3:$DH$129,BL$1,0),0)</f>
        <v>0</v>
      </c>
      <c r="BM20" s="13">
        <f>IFERROR(VLOOKUP($F20,'Visu totale'!$D$3:$DH$129,BM$1,0),0)</f>
        <v>0</v>
      </c>
      <c r="BN20" s="15">
        <f>IFERROR(VLOOKUP($F20,'Visu totale'!$D$3:$DH$129,BN$1,0),0)</f>
        <v>0</v>
      </c>
      <c r="BO20" s="14">
        <f>IFERROR(VLOOKUP($F20,'Visu totale'!$D$3:$DH$129,BO$1,0),0)</f>
        <v>0</v>
      </c>
      <c r="BP20" s="13">
        <f>IFERROR(VLOOKUP($F20,'Visu totale'!$D$3:$DH$129,BP$1,0),0)</f>
        <v>0</v>
      </c>
      <c r="BQ20" s="13">
        <f>IFERROR(VLOOKUP($F20,'Visu totale'!$D$3:$DH$129,BQ$1,0),0)</f>
        <v>0</v>
      </c>
      <c r="BR20" s="13">
        <f>IFERROR(VLOOKUP($F20,'Visu totale'!$D$3:$DH$129,BR$1,0),0)</f>
        <v>0</v>
      </c>
      <c r="BS20" s="13">
        <f>IFERROR(VLOOKUP($F20,'Visu totale'!$D$3:$DH$129,BS$1,0),0)</f>
        <v>0</v>
      </c>
      <c r="BT20" s="13">
        <f>IFERROR(VLOOKUP($F20,'Visu totale'!$D$3:$DH$129,BT$1,0),0)</f>
        <v>0</v>
      </c>
      <c r="BU20" s="13">
        <f>IFERROR(VLOOKUP($F20,'Visu totale'!$D$3:$DH$129,BU$1,0),0)</f>
        <v>0</v>
      </c>
      <c r="BV20" s="13">
        <f>IFERROR(VLOOKUP($F20,'Visu totale'!$D$3:$DH$129,BV$1,0),0)</f>
        <v>0</v>
      </c>
      <c r="BW20" s="13">
        <f>IFERROR(VLOOKUP($F20,'Visu totale'!$D$3:$DH$129,BW$1,0),0)</f>
        <v>0</v>
      </c>
      <c r="BX20" s="13">
        <f>IFERROR(VLOOKUP($F20,'Visu totale'!$D$3:$DH$129,BX$1,0),0)</f>
        <v>0</v>
      </c>
      <c r="BY20" s="13">
        <f>IFERROR(VLOOKUP($F20,'Visu totale'!$D$3:$DH$129,BY$1,0),0)</f>
        <v>0</v>
      </c>
      <c r="BZ20" s="15">
        <f>IFERROR(VLOOKUP($F20,'Visu totale'!$D$3:$DH$129,BZ$1,0),0)</f>
        <v>0</v>
      </c>
      <c r="CA20" s="14">
        <f>IFERROR(VLOOKUP($F20,'Visu totale'!$D$3:$DH$129,CA$1,0),0)</f>
        <v>0</v>
      </c>
      <c r="CB20" s="13">
        <f>IFERROR(VLOOKUP($F20,'Visu totale'!$D$3:$DH$129,CB$1,0),0)</f>
        <v>0</v>
      </c>
      <c r="CC20" s="13">
        <f>IFERROR(VLOOKUP($F20,'Visu totale'!$D$3:$DH$129,CC$1,0),0)</f>
        <v>0</v>
      </c>
      <c r="CD20" s="13">
        <f>IFERROR(VLOOKUP($F20,'Visu totale'!$D$3:$DH$129,CD$1,0),0)</f>
        <v>0</v>
      </c>
      <c r="CE20" s="13">
        <f>IFERROR(VLOOKUP($F20,'Visu totale'!$D$3:$DH$129,CE$1,0),0)</f>
        <v>0</v>
      </c>
      <c r="CF20" s="13">
        <f>IFERROR(VLOOKUP($F20,'Visu totale'!$D$3:$DH$129,CF$1,0),0)</f>
        <v>0</v>
      </c>
      <c r="CG20" s="13">
        <f>IFERROR(VLOOKUP($F20,'Visu totale'!$D$3:$DH$129,CG$1,0),0)</f>
        <v>0</v>
      </c>
      <c r="CH20" s="13">
        <f>IFERROR(VLOOKUP($F20,'Visu totale'!$D$3:$DH$129,CH$1,0),0)</f>
        <v>0</v>
      </c>
      <c r="CI20" s="13">
        <f>IFERROR(VLOOKUP($F20,'Visu totale'!$D$3:$DH$129,CI$1,0),0)</f>
        <v>0</v>
      </c>
      <c r="CJ20" s="13">
        <f>IFERROR(VLOOKUP($F20,'Visu totale'!$D$3:$DH$129,CJ$1,0),0)</f>
        <v>0</v>
      </c>
      <c r="CK20" s="13">
        <f>IFERROR(VLOOKUP($F20,'Visu totale'!$D$3:$DH$129,CK$1,0),0)</f>
        <v>0</v>
      </c>
      <c r="CL20" s="15">
        <f>IFERROR(VLOOKUP($F20,'Visu totale'!$D$3:$DH$129,CL$1,0),0)</f>
        <v>0</v>
      </c>
      <c r="CM20" s="14">
        <f>IFERROR(VLOOKUP($F20,'Visu totale'!$D$3:$DH$129,CM$1,0),0)</f>
        <v>0</v>
      </c>
      <c r="CN20" s="13">
        <f>IFERROR(VLOOKUP($F20,'Visu totale'!$D$3:$DH$129,CN$1,0),0)</f>
        <v>0</v>
      </c>
      <c r="CO20" s="13">
        <f>IFERROR(VLOOKUP($F20,'Visu totale'!$D$3:$DH$129,CO$1,0),0)</f>
        <v>0</v>
      </c>
      <c r="CP20" s="13">
        <f>IFERROR(VLOOKUP($F20,'Visu totale'!$D$3:$DH$129,CP$1,0),0)</f>
        <v>0</v>
      </c>
      <c r="CQ20" s="13">
        <f>IFERROR(VLOOKUP($F20,'Visu totale'!$D$3:$DH$129,CQ$1,0),0)</f>
        <v>0</v>
      </c>
      <c r="CR20" s="13">
        <f>IFERROR(VLOOKUP($F20,'Visu totale'!$D$3:$DH$129,CR$1,0),0)</f>
        <v>0</v>
      </c>
      <c r="CS20" s="13">
        <f>IFERROR(VLOOKUP($F20,'Visu totale'!$D$3:$DH$129,CS$1,0),0)</f>
        <v>0</v>
      </c>
      <c r="CT20" s="13">
        <f>IFERROR(VLOOKUP($F20,'Visu totale'!$D$3:$DH$129,CT$1,0),0)</f>
        <v>0</v>
      </c>
      <c r="CU20" s="13">
        <f>IFERROR(VLOOKUP($F20,'Visu totale'!$D$3:$DH$129,CU$1,0),0)</f>
        <v>0</v>
      </c>
      <c r="CV20" s="13">
        <f>IFERROR(VLOOKUP($F20,'Visu totale'!$D$3:$DH$129,CV$1,0),0)</f>
        <v>0</v>
      </c>
      <c r="CW20" s="13">
        <f>IFERROR(VLOOKUP($F20,'Visu totale'!$D$3:$DH$129,CW$1,0),0)</f>
        <v>0</v>
      </c>
      <c r="CX20" s="15">
        <f>IFERROR(VLOOKUP($F20,'Visu totale'!$D$3:$DH$129,CX$1,0),0)</f>
        <v>0</v>
      </c>
      <c r="CY20" s="14">
        <f>IFERROR(VLOOKUP($F20,'Visu totale'!$D$3:$DH$129,CY$1,0),0)</f>
        <v>0</v>
      </c>
      <c r="CZ20" s="13">
        <f>IFERROR(VLOOKUP($F20,'Visu totale'!$D$3:$DH$129,CZ$1,0),0)</f>
        <v>0</v>
      </c>
      <c r="DA20" s="13">
        <f>IFERROR(VLOOKUP($F20,'Visu totale'!$D$3:$DH$129,DA$1,0),0)</f>
        <v>0</v>
      </c>
      <c r="DB20" s="13">
        <f>IFERROR(VLOOKUP($F20,'Visu totale'!$D$3:$DH$129,DB$1,0),0)</f>
        <v>0</v>
      </c>
      <c r="DC20" s="13">
        <f>IFERROR(VLOOKUP($F20,'Visu totale'!$D$3:$DH$129,DC$1,0),0)</f>
        <v>0</v>
      </c>
      <c r="DD20" s="13">
        <f>IFERROR(VLOOKUP($F20,'Visu totale'!$D$3:$DH$129,DD$1,0),0)</f>
        <v>0</v>
      </c>
      <c r="DE20" s="13">
        <f>IFERROR(VLOOKUP($F20,'Visu totale'!$D$3:$DH$129,DE$1,0),0)</f>
        <v>0</v>
      </c>
      <c r="DF20" s="13">
        <f>IFERROR(VLOOKUP($F20,'Visu totale'!$D$3:$DH$129,DF$1,0),0)</f>
        <v>0</v>
      </c>
      <c r="DG20" s="13">
        <f>IFERROR(VLOOKUP($F20,'Visu totale'!$D$3:$DH$129,DG$1,0),0)</f>
        <v>0</v>
      </c>
      <c r="DH20" s="13">
        <f>IFERROR(VLOOKUP($F20,'Visu totale'!$D$3:$DH$129,DH$1,0),0)</f>
        <v>0</v>
      </c>
      <c r="DI20" s="13">
        <f>IFERROR(VLOOKUP($F20,'Visu totale'!$D$3:$DH$129,DI$1,0),0)</f>
        <v>0</v>
      </c>
      <c r="DJ20" s="15">
        <f>IFERROR(VLOOKUP($F20,'Visu totale'!$D$3:$DH$129,DJ$1,0),0)</f>
        <v>0</v>
      </c>
    </row>
    <row r="21" spans="1:114" s="12" customFormat="1" x14ac:dyDescent="0.25">
      <c r="A21" s="13"/>
      <c r="B21" s="13"/>
      <c r="C21" s="13"/>
      <c r="D21" s="13"/>
      <c r="E21" s="13"/>
      <c r="F21" s="17" t="s">
        <v>121</v>
      </c>
      <c r="G21" s="14">
        <f>IFERROR(VLOOKUP($F21,'Visu totale'!$D$3:$DH$129,G$1,0),0)</f>
        <v>0</v>
      </c>
      <c r="H21" s="13">
        <f>IFERROR(VLOOKUP($F21,'Visu totale'!$D$3:$DH$129,H$1,0),0)</f>
        <v>0</v>
      </c>
      <c r="I21" s="13">
        <f>IFERROR(VLOOKUP($F21,'Visu totale'!$D$3:$DH$129,I$1,0),0)</f>
        <v>0</v>
      </c>
      <c r="J21" s="13">
        <f>IFERROR(VLOOKUP($F21,'Visu totale'!$D$3:$DH$129,J$1,0),0)</f>
        <v>0</v>
      </c>
      <c r="K21" s="13">
        <f>IFERROR(VLOOKUP($F21,'Visu totale'!$D$3:$DH$129,K$1,0),0)</f>
        <v>0</v>
      </c>
      <c r="L21" s="13">
        <f>IFERROR(VLOOKUP($F21,'Visu totale'!$D$3:$DH$129,L$1,0),0)</f>
        <v>0</v>
      </c>
      <c r="M21" s="13">
        <f>IFERROR(VLOOKUP($F21,'Visu totale'!$D$3:$DH$129,M$1,0),0)</f>
        <v>0</v>
      </c>
      <c r="N21" s="13">
        <f>IFERROR(VLOOKUP($F21,'Visu totale'!$D$3:$DH$129,N$1,0),0)</f>
        <v>0</v>
      </c>
      <c r="O21" s="13">
        <f>IFERROR(VLOOKUP($F21,'Visu totale'!$D$3:$DH$129,O$1,0),0)</f>
        <v>0</v>
      </c>
      <c r="P21" s="13">
        <f>IFERROR(VLOOKUP($F21,'Visu totale'!$D$3:$DH$129,P$1,0),0)</f>
        <v>0</v>
      </c>
      <c r="Q21" s="13">
        <f>IFERROR(VLOOKUP($F21,'Visu totale'!$D$3:$DH$129,Q$1,0),0)</f>
        <v>0</v>
      </c>
      <c r="R21" s="15">
        <f>IFERROR(VLOOKUP($F21,'Visu totale'!$D$3:$DH$129,R$1,0),0)</f>
        <v>0</v>
      </c>
      <c r="S21" s="14">
        <f>IFERROR(VLOOKUP($F21,'Visu totale'!$D$3:$DH$129,S$1,0),0)</f>
        <v>0</v>
      </c>
      <c r="T21" s="13">
        <f>IFERROR(VLOOKUP($F21,'Visu totale'!$D$3:$DH$129,T$1,0),0)</f>
        <v>0</v>
      </c>
      <c r="U21" s="13">
        <f>IFERROR(VLOOKUP($F21,'Visu totale'!$D$3:$DH$129,U$1,0),0)</f>
        <v>0</v>
      </c>
      <c r="V21" s="13">
        <f>IFERROR(VLOOKUP($F21,'Visu totale'!$D$3:$DH$129,V$1,0),0)</f>
        <v>0</v>
      </c>
      <c r="W21" s="13">
        <f>IFERROR(VLOOKUP($F21,'Visu totale'!$D$3:$DH$129,W$1,0),0)</f>
        <v>0</v>
      </c>
      <c r="X21" s="13">
        <f>IFERROR(VLOOKUP($F21,'Visu totale'!$D$3:$DH$129,X$1,0),0)</f>
        <v>0</v>
      </c>
      <c r="Y21" s="13">
        <f>IFERROR(VLOOKUP($F21,'Visu totale'!$D$3:$DH$129,Y$1,0),0)</f>
        <v>0</v>
      </c>
      <c r="Z21" s="13">
        <f>IFERROR(VLOOKUP($F21,'Visu totale'!$D$3:$DH$129,Z$1,0),0)</f>
        <v>0</v>
      </c>
      <c r="AA21" s="13">
        <f>IFERROR(VLOOKUP($F21,'Visu totale'!$D$3:$DH$129,AA$1,0),0)</f>
        <v>0</v>
      </c>
      <c r="AB21" s="13">
        <f>IFERROR(VLOOKUP($F21,'Visu totale'!$D$3:$DH$129,AB$1,0),0)</f>
        <v>0</v>
      </c>
      <c r="AC21" s="13">
        <f>IFERROR(VLOOKUP($F21,'Visu totale'!$D$3:$DH$129,AC$1,0),0)</f>
        <v>0</v>
      </c>
      <c r="AD21" s="15">
        <f>IFERROR(VLOOKUP($F21,'Visu totale'!$D$3:$DH$129,AD$1,0),0)</f>
        <v>0</v>
      </c>
      <c r="AE21" s="14">
        <f>IFERROR(VLOOKUP($F21,'Visu totale'!$D$3:$DH$129,AE$1,0),0)</f>
        <v>0</v>
      </c>
      <c r="AF21" s="13">
        <f>IFERROR(VLOOKUP($F21,'Visu totale'!$D$3:$DH$129,AF$1,0),0)</f>
        <v>0</v>
      </c>
      <c r="AG21" s="13">
        <f>IFERROR(VLOOKUP($F21,'Visu totale'!$D$3:$DH$129,AG$1,0),0)</f>
        <v>0</v>
      </c>
      <c r="AH21" s="13">
        <f>IFERROR(VLOOKUP($F21,'Visu totale'!$D$3:$DH$129,AH$1,0),0)</f>
        <v>0</v>
      </c>
      <c r="AI21" s="13">
        <f>IFERROR(VLOOKUP($F21,'Visu totale'!$D$3:$DH$129,AI$1,0),0)</f>
        <v>0</v>
      </c>
      <c r="AJ21" s="13">
        <f>IFERROR(VLOOKUP($F21,'Visu totale'!$D$3:$DH$129,AJ$1,0),0)</f>
        <v>0</v>
      </c>
      <c r="AK21" s="13">
        <f>IFERROR(VLOOKUP($F21,'Visu totale'!$D$3:$DH$129,AK$1,0),0)</f>
        <v>0</v>
      </c>
      <c r="AL21" s="13">
        <f>IFERROR(VLOOKUP($F21,'Visu totale'!$D$3:$DH$129,AL$1,0),0)</f>
        <v>0</v>
      </c>
      <c r="AM21" s="13">
        <f>IFERROR(VLOOKUP($F21,'Visu totale'!$D$3:$DH$129,AM$1,0),0)</f>
        <v>0</v>
      </c>
      <c r="AN21" s="13">
        <f>IFERROR(VLOOKUP($F21,'Visu totale'!$D$3:$DH$129,AN$1,0),0)</f>
        <v>0</v>
      </c>
      <c r="AO21" s="13">
        <f>IFERROR(VLOOKUP($F21,'Visu totale'!$D$3:$DH$129,AO$1,0),0)</f>
        <v>0</v>
      </c>
      <c r="AP21" s="15">
        <f>IFERROR(VLOOKUP($F21,'Visu totale'!$D$3:$DH$129,AP$1,0),0)</f>
        <v>0</v>
      </c>
      <c r="AQ21" s="14">
        <f>IFERROR(VLOOKUP($F21,'Visu totale'!$D$3:$DH$129,AQ$1,0),0)</f>
        <v>0</v>
      </c>
      <c r="AR21" s="13">
        <f>IFERROR(VLOOKUP($F21,'Visu totale'!$D$3:$DH$129,AR$1,0),0)</f>
        <v>0</v>
      </c>
      <c r="AS21" s="13">
        <f>IFERROR(VLOOKUP($F21,'Visu totale'!$D$3:$DH$129,AS$1,0),0)</f>
        <v>0</v>
      </c>
      <c r="AT21" s="13">
        <f>IFERROR(VLOOKUP($F21,'Visu totale'!$D$3:$DH$129,AT$1,0),0)</f>
        <v>0</v>
      </c>
      <c r="AU21" s="13">
        <f>IFERROR(VLOOKUP($F21,'Visu totale'!$D$3:$DH$129,AU$1,0),0)</f>
        <v>0</v>
      </c>
      <c r="AV21" s="13">
        <f>IFERROR(VLOOKUP($F21,'Visu totale'!$D$3:$DH$129,AV$1,0),0)</f>
        <v>0</v>
      </c>
      <c r="AW21" s="13">
        <f>IFERROR(VLOOKUP($F21,'Visu totale'!$D$3:$DH$129,AW$1,0),0)</f>
        <v>0</v>
      </c>
      <c r="AX21" s="13">
        <f>IFERROR(VLOOKUP($F21,'Visu totale'!$D$3:$DH$129,AX$1,0),0)</f>
        <v>0</v>
      </c>
      <c r="AY21" s="13">
        <f>IFERROR(VLOOKUP($F21,'Visu totale'!$D$3:$DH$129,AY$1,0),0)</f>
        <v>0</v>
      </c>
      <c r="AZ21" s="13">
        <f>IFERROR(VLOOKUP($F21,'Visu totale'!$D$3:$DH$129,AZ$1,0),0)</f>
        <v>0</v>
      </c>
      <c r="BA21" s="13">
        <f>IFERROR(VLOOKUP($F21,'Visu totale'!$D$3:$DH$129,BA$1,0),0)</f>
        <v>0</v>
      </c>
      <c r="BB21" s="15">
        <f>IFERROR(VLOOKUP($F21,'Visu totale'!$D$3:$DH$129,BB$1,0),0)</f>
        <v>0</v>
      </c>
      <c r="BC21" s="14">
        <f>IFERROR(VLOOKUP($F21,'Visu totale'!$D$3:$DH$129,BC$1,0),0)</f>
        <v>0</v>
      </c>
      <c r="BD21" s="13">
        <f>IFERROR(VLOOKUP($F21,'Visu totale'!$D$3:$DH$129,BD$1,0),0)</f>
        <v>0</v>
      </c>
      <c r="BE21" s="13">
        <f>IFERROR(VLOOKUP($F21,'Visu totale'!$D$3:$DH$129,BE$1,0),0)</f>
        <v>0</v>
      </c>
      <c r="BF21" s="13">
        <f>IFERROR(VLOOKUP($F21,'Visu totale'!$D$3:$DH$129,BF$1,0),0)</f>
        <v>0</v>
      </c>
      <c r="BG21" s="13">
        <f>IFERROR(VLOOKUP($F21,'Visu totale'!$D$3:$DH$129,BG$1,0),0)</f>
        <v>0</v>
      </c>
      <c r="BH21" s="13">
        <f>IFERROR(VLOOKUP($F21,'Visu totale'!$D$3:$DH$129,BH$1,0),0)</f>
        <v>0</v>
      </c>
      <c r="BI21" s="13">
        <f>IFERROR(VLOOKUP($F21,'Visu totale'!$D$3:$DH$129,BI$1,0),0)</f>
        <v>0</v>
      </c>
      <c r="BJ21" s="13">
        <f>IFERROR(VLOOKUP($F21,'Visu totale'!$D$3:$DH$129,BJ$1,0),0)</f>
        <v>0</v>
      </c>
      <c r="BK21" s="13">
        <f>IFERROR(VLOOKUP($F21,'Visu totale'!$D$3:$DH$129,BK$1,0),0)</f>
        <v>0</v>
      </c>
      <c r="BL21" s="13">
        <f>IFERROR(VLOOKUP($F21,'Visu totale'!$D$3:$DH$129,BL$1,0),0)</f>
        <v>0</v>
      </c>
      <c r="BM21" s="13">
        <f>IFERROR(VLOOKUP($F21,'Visu totale'!$D$3:$DH$129,BM$1,0),0)</f>
        <v>0</v>
      </c>
      <c r="BN21" s="15">
        <f>IFERROR(VLOOKUP($F21,'Visu totale'!$D$3:$DH$129,BN$1,0),0)</f>
        <v>0</v>
      </c>
      <c r="BO21" s="14">
        <f>IFERROR(VLOOKUP($F21,'Visu totale'!$D$3:$DH$129,BO$1,0),0)</f>
        <v>0</v>
      </c>
      <c r="BP21" s="13">
        <f>IFERROR(VLOOKUP($F21,'Visu totale'!$D$3:$DH$129,BP$1,0),0)</f>
        <v>0</v>
      </c>
      <c r="BQ21" s="13">
        <f>IFERROR(VLOOKUP($F21,'Visu totale'!$D$3:$DH$129,BQ$1,0),0)</f>
        <v>0</v>
      </c>
      <c r="BR21" s="13">
        <f>IFERROR(VLOOKUP($F21,'Visu totale'!$D$3:$DH$129,BR$1,0),0)</f>
        <v>0</v>
      </c>
      <c r="BS21" s="13">
        <f>IFERROR(VLOOKUP($F21,'Visu totale'!$D$3:$DH$129,BS$1,0),0)</f>
        <v>0</v>
      </c>
      <c r="BT21" s="13">
        <f>IFERROR(VLOOKUP($F21,'Visu totale'!$D$3:$DH$129,BT$1,0),0)</f>
        <v>0</v>
      </c>
      <c r="BU21" s="13">
        <f>IFERROR(VLOOKUP($F21,'Visu totale'!$D$3:$DH$129,BU$1,0),0)</f>
        <v>0</v>
      </c>
      <c r="BV21" s="13">
        <f>IFERROR(VLOOKUP($F21,'Visu totale'!$D$3:$DH$129,BV$1,0),0)</f>
        <v>0</v>
      </c>
      <c r="BW21" s="13">
        <f>IFERROR(VLOOKUP($F21,'Visu totale'!$D$3:$DH$129,BW$1,0),0)</f>
        <v>0</v>
      </c>
      <c r="BX21" s="13">
        <f>IFERROR(VLOOKUP($F21,'Visu totale'!$D$3:$DH$129,BX$1,0),0)</f>
        <v>0</v>
      </c>
      <c r="BY21" s="13">
        <f>IFERROR(VLOOKUP($F21,'Visu totale'!$D$3:$DH$129,BY$1,0),0)</f>
        <v>0</v>
      </c>
      <c r="BZ21" s="15">
        <f>IFERROR(VLOOKUP($F21,'Visu totale'!$D$3:$DH$129,BZ$1,0),0)</f>
        <v>0</v>
      </c>
      <c r="CA21" s="14">
        <f>IFERROR(VLOOKUP($F21,'Visu totale'!$D$3:$DH$129,CA$1,0),0)</f>
        <v>0</v>
      </c>
      <c r="CB21" s="13">
        <f>IFERROR(VLOOKUP($F21,'Visu totale'!$D$3:$DH$129,CB$1,0),0)</f>
        <v>0</v>
      </c>
      <c r="CC21" s="13">
        <f>IFERROR(VLOOKUP($F21,'Visu totale'!$D$3:$DH$129,CC$1,0),0)</f>
        <v>0</v>
      </c>
      <c r="CD21" s="13">
        <f>IFERROR(VLOOKUP($F21,'Visu totale'!$D$3:$DH$129,CD$1,0),0)</f>
        <v>0</v>
      </c>
      <c r="CE21" s="13">
        <f>IFERROR(VLOOKUP($F21,'Visu totale'!$D$3:$DH$129,CE$1,0),0)</f>
        <v>0</v>
      </c>
      <c r="CF21" s="13">
        <f>IFERROR(VLOOKUP($F21,'Visu totale'!$D$3:$DH$129,CF$1,0),0)</f>
        <v>0</v>
      </c>
      <c r="CG21" s="13">
        <f>IFERROR(VLOOKUP($F21,'Visu totale'!$D$3:$DH$129,CG$1,0),0)</f>
        <v>0</v>
      </c>
      <c r="CH21" s="13">
        <f>IFERROR(VLOOKUP($F21,'Visu totale'!$D$3:$DH$129,CH$1,0),0)</f>
        <v>0</v>
      </c>
      <c r="CI21" s="13">
        <f>IFERROR(VLOOKUP($F21,'Visu totale'!$D$3:$DH$129,CI$1,0),0)</f>
        <v>0</v>
      </c>
      <c r="CJ21" s="13">
        <f>IFERROR(VLOOKUP($F21,'Visu totale'!$D$3:$DH$129,CJ$1,0),0)</f>
        <v>0</v>
      </c>
      <c r="CK21" s="13">
        <f>IFERROR(VLOOKUP($F21,'Visu totale'!$D$3:$DH$129,CK$1,0),0)</f>
        <v>0</v>
      </c>
      <c r="CL21" s="15">
        <f>IFERROR(VLOOKUP($F21,'Visu totale'!$D$3:$DH$129,CL$1,0),0)</f>
        <v>0</v>
      </c>
      <c r="CM21" s="14">
        <f>IFERROR(VLOOKUP($F21,'Visu totale'!$D$3:$DH$129,CM$1,0),0)</f>
        <v>0</v>
      </c>
      <c r="CN21" s="13">
        <f>IFERROR(VLOOKUP($F21,'Visu totale'!$D$3:$DH$129,CN$1,0),0)</f>
        <v>0</v>
      </c>
      <c r="CO21" s="13">
        <f>IFERROR(VLOOKUP($F21,'Visu totale'!$D$3:$DH$129,CO$1,0),0)</f>
        <v>0</v>
      </c>
      <c r="CP21" s="13">
        <f>IFERROR(VLOOKUP($F21,'Visu totale'!$D$3:$DH$129,CP$1,0),0)</f>
        <v>0</v>
      </c>
      <c r="CQ21" s="13">
        <f>IFERROR(VLOOKUP($F21,'Visu totale'!$D$3:$DH$129,CQ$1,0),0)</f>
        <v>0</v>
      </c>
      <c r="CR21" s="13">
        <f>IFERROR(VLOOKUP($F21,'Visu totale'!$D$3:$DH$129,CR$1,0),0)</f>
        <v>0</v>
      </c>
      <c r="CS21" s="13">
        <f>IFERROR(VLOOKUP($F21,'Visu totale'!$D$3:$DH$129,CS$1,0),0)</f>
        <v>0</v>
      </c>
      <c r="CT21" s="13">
        <f>IFERROR(VLOOKUP($F21,'Visu totale'!$D$3:$DH$129,CT$1,0),0)</f>
        <v>0</v>
      </c>
      <c r="CU21" s="13">
        <f>IFERROR(VLOOKUP($F21,'Visu totale'!$D$3:$DH$129,CU$1,0),0)</f>
        <v>0</v>
      </c>
      <c r="CV21" s="13">
        <f>IFERROR(VLOOKUP($F21,'Visu totale'!$D$3:$DH$129,CV$1,0),0)</f>
        <v>0</v>
      </c>
      <c r="CW21" s="13">
        <f>IFERROR(VLOOKUP($F21,'Visu totale'!$D$3:$DH$129,CW$1,0),0)</f>
        <v>0</v>
      </c>
      <c r="CX21" s="15">
        <f>IFERROR(VLOOKUP($F21,'Visu totale'!$D$3:$DH$129,CX$1,0),0)</f>
        <v>0</v>
      </c>
      <c r="CY21" s="14">
        <f>IFERROR(VLOOKUP($F21,'Visu totale'!$D$3:$DH$129,CY$1,0),0)</f>
        <v>0</v>
      </c>
      <c r="CZ21" s="13">
        <f>IFERROR(VLOOKUP($F21,'Visu totale'!$D$3:$DH$129,CZ$1,0),0)</f>
        <v>0</v>
      </c>
      <c r="DA21" s="13">
        <f>IFERROR(VLOOKUP($F21,'Visu totale'!$D$3:$DH$129,DA$1,0),0)</f>
        <v>0</v>
      </c>
      <c r="DB21" s="13">
        <f>IFERROR(VLOOKUP($F21,'Visu totale'!$D$3:$DH$129,DB$1,0),0)</f>
        <v>0</v>
      </c>
      <c r="DC21" s="13">
        <f>IFERROR(VLOOKUP($F21,'Visu totale'!$D$3:$DH$129,DC$1,0),0)</f>
        <v>0</v>
      </c>
      <c r="DD21" s="13">
        <f>IFERROR(VLOOKUP($F21,'Visu totale'!$D$3:$DH$129,DD$1,0),0)</f>
        <v>0</v>
      </c>
      <c r="DE21" s="13">
        <f>IFERROR(VLOOKUP($F21,'Visu totale'!$D$3:$DH$129,DE$1,0),0)</f>
        <v>0</v>
      </c>
      <c r="DF21" s="13">
        <f>IFERROR(VLOOKUP($F21,'Visu totale'!$D$3:$DH$129,DF$1,0),0)</f>
        <v>0</v>
      </c>
      <c r="DG21" s="13">
        <f>IFERROR(VLOOKUP($F21,'Visu totale'!$D$3:$DH$129,DG$1,0),0)</f>
        <v>0</v>
      </c>
      <c r="DH21" s="13">
        <f>IFERROR(VLOOKUP($F21,'Visu totale'!$D$3:$DH$129,DH$1,0),0)</f>
        <v>0</v>
      </c>
      <c r="DI21" s="13">
        <f>IFERROR(VLOOKUP($F21,'Visu totale'!$D$3:$DH$129,DI$1,0),0)</f>
        <v>0</v>
      </c>
      <c r="DJ21" s="15">
        <f>IFERROR(VLOOKUP($F21,'Visu totale'!$D$3:$DH$129,DJ$1,0),0)</f>
        <v>0</v>
      </c>
    </row>
    <row r="22" spans="1:114" s="12" customFormat="1" x14ac:dyDescent="0.25">
      <c r="A22" s="13"/>
      <c r="B22" s="13"/>
      <c r="C22" s="13"/>
      <c r="D22" s="13"/>
      <c r="E22" s="13"/>
      <c r="F22" s="17" t="s">
        <v>122</v>
      </c>
      <c r="G22" s="14">
        <f>IFERROR(VLOOKUP($F22,'Visu totale'!$D$3:$DH$129,G$1,0),0)</f>
        <v>0</v>
      </c>
      <c r="H22" s="13">
        <f>IFERROR(VLOOKUP($F22,'Visu totale'!$D$3:$DH$129,H$1,0),0)</f>
        <v>0</v>
      </c>
      <c r="I22" s="13">
        <f>IFERROR(VLOOKUP($F22,'Visu totale'!$D$3:$DH$129,I$1,0),0)</f>
        <v>0</v>
      </c>
      <c r="J22" s="13">
        <f>IFERROR(VLOOKUP($F22,'Visu totale'!$D$3:$DH$129,J$1,0),0)</f>
        <v>0</v>
      </c>
      <c r="K22" s="13">
        <f>IFERROR(VLOOKUP($F22,'Visu totale'!$D$3:$DH$129,K$1,0),0)</f>
        <v>0</v>
      </c>
      <c r="L22" s="13">
        <f>IFERROR(VLOOKUP($F22,'Visu totale'!$D$3:$DH$129,L$1,0),0)</f>
        <v>0</v>
      </c>
      <c r="M22" s="13">
        <f>IFERROR(VLOOKUP($F22,'Visu totale'!$D$3:$DH$129,M$1,0),0)</f>
        <v>0</v>
      </c>
      <c r="N22" s="13">
        <f>IFERROR(VLOOKUP($F22,'Visu totale'!$D$3:$DH$129,N$1,0),0)</f>
        <v>0</v>
      </c>
      <c r="O22" s="13">
        <f>IFERROR(VLOOKUP($F22,'Visu totale'!$D$3:$DH$129,O$1,0),0)</f>
        <v>0</v>
      </c>
      <c r="P22" s="13">
        <f>IFERROR(VLOOKUP($F22,'Visu totale'!$D$3:$DH$129,P$1,0),0)</f>
        <v>0</v>
      </c>
      <c r="Q22" s="13">
        <f>IFERROR(VLOOKUP($F22,'Visu totale'!$D$3:$DH$129,Q$1,0),0)</f>
        <v>0</v>
      </c>
      <c r="R22" s="15">
        <f>IFERROR(VLOOKUP($F22,'Visu totale'!$D$3:$DH$129,R$1,0),0)</f>
        <v>0</v>
      </c>
      <c r="S22" s="14">
        <f>IFERROR(VLOOKUP($F22,'Visu totale'!$D$3:$DH$129,S$1,0),0)</f>
        <v>0</v>
      </c>
      <c r="T22" s="13">
        <f>IFERROR(VLOOKUP($F22,'Visu totale'!$D$3:$DH$129,T$1,0),0)</f>
        <v>0</v>
      </c>
      <c r="U22" s="13">
        <f>IFERROR(VLOOKUP($F22,'Visu totale'!$D$3:$DH$129,U$1,0),0)</f>
        <v>0</v>
      </c>
      <c r="V22" s="13">
        <f>IFERROR(VLOOKUP($F22,'Visu totale'!$D$3:$DH$129,V$1,0),0)</f>
        <v>0</v>
      </c>
      <c r="W22" s="13">
        <f>IFERROR(VLOOKUP($F22,'Visu totale'!$D$3:$DH$129,W$1,0),0)</f>
        <v>0</v>
      </c>
      <c r="X22" s="13">
        <f>IFERROR(VLOOKUP($F22,'Visu totale'!$D$3:$DH$129,X$1,0),0)</f>
        <v>0</v>
      </c>
      <c r="Y22" s="13">
        <f>IFERROR(VLOOKUP($F22,'Visu totale'!$D$3:$DH$129,Y$1,0),0)</f>
        <v>0</v>
      </c>
      <c r="Z22" s="13">
        <f>IFERROR(VLOOKUP($F22,'Visu totale'!$D$3:$DH$129,Z$1,0),0)</f>
        <v>0</v>
      </c>
      <c r="AA22" s="13">
        <f>IFERROR(VLOOKUP($F22,'Visu totale'!$D$3:$DH$129,AA$1,0),0)</f>
        <v>0</v>
      </c>
      <c r="AB22" s="13">
        <f>IFERROR(VLOOKUP($F22,'Visu totale'!$D$3:$DH$129,AB$1,0),0)</f>
        <v>0</v>
      </c>
      <c r="AC22" s="13">
        <f>IFERROR(VLOOKUP($F22,'Visu totale'!$D$3:$DH$129,AC$1,0),0)</f>
        <v>0</v>
      </c>
      <c r="AD22" s="15">
        <f>IFERROR(VLOOKUP($F22,'Visu totale'!$D$3:$DH$129,AD$1,0),0)</f>
        <v>0</v>
      </c>
      <c r="AE22" s="14">
        <f>IFERROR(VLOOKUP($F22,'Visu totale'!$D$3:$DH$129,AE$1,0),0)</f>
        <v>0</v>
      </c>
      <c r="AF22" s="13">
        <f>IFERROR(VLOOKUP($F22,'Visu totale'!$D$3:$DH$129,AF$1,0),0)</f>
        <v>0</v>
      </c>
      <c r="AG22" s="13">
        <f>IFERROR(VLOOKUP($F22,'Visu totale'!$D$3:$DH$129,AG$1,0),0)</f>
        <v>0</v>
      </c>
      <c r="AH22" s="13">
        <f>IFERROR(VLOOKUP($F22,'Visu totale'!$D$3:$DH$129,AH$1,0),0)</f>
        <v>0</v>
      </c>
      <c r="AI22" s="13">
        <f>IFERROR(VLOOKUP($F22,'Visu totale'!$D$3:$DH$129,AI$1,0),0)</f>
        <v>0</v>
      </c>
      <c r="AJ22" s="13">
        <f>IFERROR(VLOOKUP($F22,'Visu totale'!$D$3:$DH$129,AJ$1,0),0)</f>
        <v>0</v>
      </c>
      <c r="AK22" s="13">
        <f>IFERROR(VLOOKUP($F22,'Visu totale'!$D$3:$DH$129,AK$1,0),0)</f>
        <v>0</v>
      </c>
      <c r="AL22" s="13">
        <f>IFERROR(VLOOKUP($F22,'Visu totale'!$D$3:$DH$129,AL$1,0),0)</f>
        <v>0</v>
      </c>
      <c r="AM22" s="13">
        <f>IFERROR(VLOOKUP($F22,'Visu totale'!$D$3:$DH$129,AM$1,0),0)</f>
        <v>0</v>
      </c>
      <c r="AN22" s="13">
        <f>IFERROR(VLOOKUP($F22,'Visu totale'!$D$3:$DH$129,AN$1,0),0)</f>
        <v>0</v>
      </c>
      <c r="AO22" s="13">
        <f>IFERROR(VLOOKUP($F22,'Visu totale'!$D$3:$DH$129,AO$1,0),0)</f>
        <v>0</v>
      </c>
      <c r="AP22" s="15">
        <f>IFERROR(VLOOKUP($F22,'Visu totale'!$D$3:$DH$129,AP$1,0),0)</f>
        <v>0</v>
      </c>
      <c r="AQ22" s="14">
        <f>IFERROR(VLOOKUP($F22,'Visu totale'!$D$3:$DH$129,AQ$1,0),0)</f>
        <v>0</v>
      </c>
      <c r="AR22" s="13">
        <f>IFERROR(VLOOKUP($F22,'Visu totale'!$D$3:$DH$129,AR$1,0),0)</f>
        <v>0</v>
      </c>
      <c r="AS22" s="13">
        <f>IFERROR(VLOOKUP($F22,'Visu totale'!$D$3:$DH$129,AS$1,0),0)</f>
        <v>0</v>
      </c>
      <c r="AT22" s="13">
        <f>IFERROR(VLOOKUP($F22,'Visu totale'!$D$3:$DH$129,AT$1,0),0)</f>
        <v>0</v>
      </c>
      <c r="AU22" s="13">
        <f>IFERROR(VLOOKUP($F22,'Visu totale'!$D$3:$DH$129,AU$1,0),0)</f>
        <v>0</v>
      </c>
      <c r="AV22" s="13">
        <f>IFERROR(VLOOKUP($F22,'Visu totale'!$D$3:$DH$129,AV$1,0),0)</f>
        <v>0</v>
      </c>
      <c r="AW22" s="13">
        <f>IFERROR(VLOOKUP($F22,'Visu totale'!$D$3:$DH$129,AW$1,0),0)</f>
        <v>0</v>
      </c>
      <c r="AX22" s="13">
        <f>IFERROR(VLOOKUP($F22,'Visu totale'!$D$3:$DH$129,AX$1,0),0)</f>
        <v>0</v>
      </c>
      <c r="AY22" s="13">
        <f>IFERROR(VLOOKUP($F22,'Visu totale'!$D$3:$DH$129,AY$1,0),0)</f>
        <v>0</v>
      </c>
      <c r="AZ22" s="13">
        <f>IFERROR(VLOOKUP($F22,'Visu totale'!$D$3:$DH$129,AZ$1,0),0)</f>
        <v>0</v>
      </c>
      <c r="BA22" s="13">
        <f>IFERROR(VLOOKUP($F22,'Visu totale'!$D$3:$DH$129,BA$1,0),0)</f>
        <v>0</v>
      </c>
      <c r="BB22" s="15">
        <f>IFERROR(VLOOKUP($F22,'Visu totale'!$D$3:$DH$129,BB$1,0),0)</f>
        <v>0</v>
      </c>
      <c r="BC22" s="14">
        <f>IFERROR(VLOOKUP($F22,'Visu totale'!$D$3:$DH$129,BC$1,0),0)</f>
        <v>0</v>
      </c>
      <c r="BD22" s="13">
        <f>IFERROR(VLOOKUP($F22,'Visu totale'!$D$3:$DH$129,BD$1,0),0)</f>
        <v>0</v>
      </c>
      <c r="BE22" s="13">
        <f>IFERROR(VLOOKUP($F22,'Visu totale'!$D$3:$DH$129,BE$1,0),0)</f>
        <v>0</v>
      </c>
      <c r="BF22" s="13">
        <f>IFERROR(VLOOKUP($F22,'Visu totale'!$D$3:$DH$129,BF$1,0),0)</f>
        <v>0</v>
      </c>
      <c r="BG22" s="13">
        <f>IFERROR(VLOOKUP($F22,'Visu totale'!$D$3:$DH$129,BG$1,0),0)</f>
        <v>0</v>
      </c>
      <c r="BH22" s="13">
        <f>IFERROR(VLOOKUP($F22,'Visu totale'!$D$3:$DH$129,BH$1,0),0)</f>
        <v>0</v>
      </c>
      <c r="BI22" s="13">
        <f>IFERROR(VLOOKUP($F22,'Visu totale'!$D$3:$DH$129,BI$1,0),0)</f>
        <v>0</v>
      </c>
      <c r="BJ22" s="13">
        <f>IFERROR(VLOOKUP($F22,'Visu totale'!$D$3:$DH$129,BJ$1,0),0)</f>
        <v>0</v>
      </c>
      <c r="BK22" s="13">
        <f>IFERROR(VLOOKUP($F22,'Visu totale'!$D$3:$DH$129,BK$1,0),0)</f>
        <v>0</v>
      </c>
      <c r="BL22" s="13">
        <f>IFERROR(VLOOKUP($F22,'Visu totale'!$D$3:$DH$129,BL$1,0),0)</f>
        <v>0</v>
      </c>
      <c r="BM22" s="13">
        <f>IFERROR(VLOOKUP($F22,'Visu totale'!$D$3:$DH$129,BM$1,0),0)</f>
        <v>0</v>
      </c>
      <c r="BN22" s="15">
        <f>IFERROR(VLOOKUP($F22,'Visu totale'!$D$3:$DH$129,BN$1,0),0)</f>
        <v>0</v>
      </c>
      <c r="BO22" s="14">
        <f>IFERROR(VLOOKUP($F22,'Visu totale'!$D$3:$DH$129,BO$1,0),0)</f>
        <v>0</v>
      </c>
      <c r="BP22" s="13">
        <f>IFERROR(VLOOKUP($F22,'Visu totale'!$D$3:$DH$129,BP$1,0),0)</f>
        <v>0</v>
      </c>
      <c r="BQ22" s="13">
        <f>IFERROR(VLOOKUP($F22,'Visu totale'!$D$3:$DH$129,BQ$1,0),0)</f>
        <v>0</v>
      </c>
      <c r="BR22" s="13">
        <f>IFERROR(VLOOKUP($F22,'Visu totale'!$D$3:$DH$129,BR$1,0),0)</f>
        <v>0</v>
      </c>
      <c r="BS22" s="13">
        <f>IFERROR(VLOOKUP($F22,'Visu totale'!$D$3:$DH$129,BS$1,0),0)</f>
        <v>0</v>
      </c>
      <c r="BT22" s="13">
        <f>IFERROR(VLOOKUP($F22,'Visu totale'!$D$3:$DH$129,BT$1,0),0)</f>
        <v>0</v>
      </c>
      <c r="BU22" s="13">
        <f>IFERROR(VLOOKUP($F22,'Visu totale'!$D$3:$DH$129,BU$1,0),0)</f>
        <v>0</v>
      </c>
      <c r="BV22" s="13">
        <f>IFERROR(VLOOKUP($F22,'Visu totale'!$D$3:$DH$129,BV$1,0),0)</f>
        <v>0</v>
      </c>
      <c r="BW22" s="13">
        <f>IFERROR(VLOOKUP($F22,'Visu totale'!$D$3:$DH$129,BW$1,0),0)</f>
        <v>0</v>
      </c>
      <c r="BX22" s="13">
        <f>IFERROR(VLOOKUP($F22,'Visu totale'!$D$3:$DH$129,BX$1,0),0)</f>
        <v>0</v>
      </c>
      <c r="BY22" s="13">
        <f>IFERROR(VLOOKUP($F22,'Visu totale'!$D$3:$DH$129,BY$1,0),0)</f>
        <v>0</v>
      </c>
      <c r="BZ22" s="15">
        <f>IFERROR(VLOOKUP($F22,'Visu totale'!$D$3:$DH$129,BZ$1,0),0)</f>
        <v>0</v>
      </c>
      <c r="CA22" s="14">
        <f>IFERROR(VLOOKUP($F22,'Visu totale'!$D$3:$DH$129,CA$1,0),0)</f>
        <v>0</v>
      </c>
      <c r="CB22" s="13">
        <f>IFERROR(VLOOKUP($F22,'Visu totale'!$D$3:$DH$129,CB$1,0),0)</f>
        <v>0</v>
      </c>
      <c r="CC22" s="13">
        <f>IFERROR(VLOOKUP($F22,'Visu totale'!$D$3:$DH$129,CC$1,0),0)</f>
        <v>0</v>
      </c>
      <c r="CD22" s="13">
        <f>IFERROR(VLOOKUP($F22,'Visu totale'!$D$3:$DH$129,CD$1,0),0)</f>
        <v>0</v>
      </c>
      <c r="CE22" s="13">
        <f>IFERROR(VLOOKUP($F22,'Visu totale'!$D$3:$DH$129,CE$1,0),0)</f>
        <v>0</v>
      </c>
      <c r="CF22" s="13">
        <f>IFERROR(VLOOKUP($F22,'Visu totale'!$D$3:$DH$129,CF$1,0),0)</f>
        <v>0</v>
      </c>
      <c r="CG22" s="13">
        <f>IFERROR(VLOOKUP($F22,'Visu totale'!$D$3:$DH$129,CG$1,0),0)</f>
        <v>0</v>
      </c>
      <c r="CH22" s="13">
        <f>IFERROR(VLOOKUP($F22,'Visu totale'!$D$3:$DH$129,CH$1,0),0)</f>
        <v>0</v>
      </c>
      <c r="CI22" s="13">
        <f>IFERROR(VLOOKUP($F22,'Visu totale'!$D$3:$DH$129,CI$1,0),0)</f>
        <v>0</v>
      </c>
      <c r="CJ22" s="13">
        <f>IFERROR(VLOOKUP($F22,'Visu totale'!$D$3:$DH$129,CJ$1,0),0)</f>
        <v>0</v>
      </c>
      <c r="CK22" s="13">
        <f>IFERROR(VLOOKUP($F22,'Visu totale'!$D$3:$DH$129,CK$1,0),0)</f>
        <v>0</v>
      </c>
      <c r="CL22" s="15">
        <f>IFERROR(VLOOKUP($F22,'Visu totale'!$D$3:$DH$129,CL$1,0),0)</f>
        <v>0</v>
      </c>
      <c r="CM22" s="14">
        <f>IFERROR(VLOOKUP($F22,'Visu totale'!$D$3:$DH$129,CM$1,0),0)</f>
        <v>0</v>
      </c>
      <c r="CN22" s="13">
        <f>IFERROR(VLOOKUP($F22,'Visu totale'!$D$3:$DH$129,CN$1,0),0)</f>
        <v>0</v>
      </c>
      <c r="CO22" s="13">
        <f>IFERROR(VLOOKUP($F22,'Visu totale'!$D$3:$DH$129,CO$1,0),0)</f>
        <v>0</v>
      </c>
      <c r="CP22" s="13">
        <f>IFERROR(VLOOKUP($F22,'Visu totale'!$D$3:$DH$129,CP$1,0),0)</f>
        <v>0</v>
      </c>
      <c r="CQ22" s="13">
        <f>IFERROR(VLOOKUP($F22,'Visu totale'!$D$3:$DH$129,CQ$1,0),0)</f>
        <v>0</v>
      </c>
      <c r="CR22" s="13">
        <f>IFERROR(VLOOKUP($F22,'Visu totale'!$D$3:$DH$129,CR$1,0),0)</f>
        <v>0</v>
      </c>
      <c r="CS22" s="13">
        <f>IFERROR(VLOOKUP($F22,'Visu totale'!$D$3:$DH$129,CS$1,0),0)</f>
        <v>0</v>
      </c>
      <c r="CT22" s="13">
        <f>IFERROR(VLOOKUP($F22,'Visu totale'!$D$3:$DH$129,CT$1,0),0)</f>
        <v>0</v>
      </c>
      <c r="CU22" s="13">
        <f>IFERROR(VLOOKUP($F22,'Visu totale'!$D$3:$DH$129,CU$1,0),0)</f>
        <v>0</v>
      </c>
      <c r="CV22" s="13">
        <f>IFERROR(VLOOKUP($F22,'Visu totale'!$D$3:$DH$129,CV$1,0),0)</f>
        <v>0</v>
      </c>
      <c r="CW22" s="13">
        <f>IFERROR(VLOOKUP($F22,'Visu totale'!$D$3:$DH$129,CW$1,0),0)</f>
        <v>0</v>
      </c>
      <c r="CX22" s="15">
        <f>IFERROR(VLOOKUP($F22,'Visu totale'!$D$3:$DH$129,CX$1,0),0)</f>
        <v>0</v>
      </c>
      <c r="CY22" s="14">
        <f>IFERROR(VLOOKUP($F22,'Visu totale'!$D$3:$DH$129,CY$1,0),0)</f>
        <v>0</v>
      </c>
      <c r="CZ22" s="13">
        <f>IFERROR(VLOOKUP($F22,'Visu totale'!$D$3:$DH$129,CZ$1,0),0)</f>
        <v>0</v>
      </c>
      <c r="DA22" s="13">
        <f>IFERROR(VLOOKUP($F22,'Visu totale'!$D$3:$DH$129,DA$1,0),0)</f>
        <v>0</v>
      </c>
      <c r="DB22" s="13">
        <f>IFERROR(VLOOKUP($F22,'Visu totale'!$D$3:$DH$129,DB$1,0),0)</f>
        <v>0</v>
      </c>
      <c r="DC22" s="13">
        <f>IFERROR(VLOOKUP($F22,'Visu totale'!$D$3:$DH$129,DC$1,0),0)</f>
        <v>0</v>
      </c>
      <c r="DD22" s="13">
        <f>IFERROR(VLOOKUP($F22,'Visu totale'!$D$3:$DH$129,DD$1,0),0)</f>
        <v>0</v>
      </c>
      <c r="DE22" s="13">
        <f>IFERROR(VLOOKUP($F22,'Visu totale'!$D$3:$DH$129,DE$1,0),0)</f>
        <v>0</v>
      </c>
      <c r="DF22" s="13">
        <f>IFERROR(VLOOKUP($F22,'Visu totale'!$D$3:$DH$129,DF$1,0),0)</f>
        <v>0</v>
      </c>
      <c r="DG22" s="13">
        <f>IFERROR(VLOOKUP($F22,'Visu totale'!$D$3:$DH$129,DG$1,0),0)</f>
        <v>0</v>
      </c>
      <c r="DH22" s="13">
        <f>IFERROR(VLOOKUP($F22,'Visu totale'!$D$3:$DH$129,DH$1,0),0)</f>
        <v>0</v>
      </c>
      <c r="DI22" s="13">
        <f>IFERROR(VLOOKUP($F22,'Visu totale'!$D$3:$DH$129,DI$1,0),0)</f>
        <v>0</v>
      </c>
      <c r="DJ22" s="15">
        <f>IFERROR(VLOOKUP($F22,'Visu totale'!$D$3:$DH$129,DJ$1,0),0)</f>
        <v>0</v>
      </c>
    </row>
    <row r="23" spans="1:114" s="12" customFormat="1" x14ac:dyDescent="0.25">
      <c r="A23" s="13"/>
      <c r="B23" s="13"/>
      <c r="C23" s="13"/>
      <c r="D23" s="13"/>
      <c r="E23" s="13"/>
      <c r="F23" s="17" t="s">
        <v>123</v>
      </c>
      <c r="G23" s="14">
        <f>IFERROR(VLOOKUP($F23,'Visu totale'!$D$3:$DH$129,G$1,0),0)</f>
        <v>0</v>
      </c>
      <c r="H23" s="13">
        <f>IFERROR(VLOOKUP($F23,'Visu totale'!$D$3:$DH$129,H$1,0),0)</f>
        <v>0</v>
      </c>
      <c r="I23" s="13">
        <f>IFERROR(VLOOKUP($F23,'Visu totale'!$D$3:$DH$129,I$1,0),0)</f>
        <v>0</v>
      </c>
      <c r="J23" s="13">
        <f>IFERROR(VLOOKUP($F23,'Visu totale'!$D$3:$DH$129,J$1,0),0)</f>
        <v>0</v>
      </c>
      <c r="K23" s="13">
        <f>IFERROR(VLOOKUP($F23,'Visu totale'!$D$3:$DH$129,K$1,0),0)</f>
        <v>0</v>
      </c>
      <c r="L23" s="13">
        <f>IFERROR(VLOOKUP($F23,'Visu totale'!$D$3:$DH$129,L$1,0),0)</f>
        <v>0</v>
      </c>
      <c r="M23" s="13">
        <f>IFERROR(VLOOKUP($F23,'Visu totale'!$D$3:$DH$129,M$1,0),0)</f>
        <v>0</v>
      </c>
      <c r="N23" s="13">
        <f>IFERROR(VLOOKUP($F23,'Visu totale'!$D$3:$DH$129,N$1,0),0)</f>
        <v>0</v>
      </c>
      <c r="O23" s="13">
        <f>IFERROR(VLOOKUP($F23,'Visu totale'!$D$3:$DH$129,O$1,0),0)</f>
        <v>0</v>
      </c>
      <c r="P23" s="13">
        <f>IFERROR(VLOOKUP($F23,'Visu totale'!$D$3:$DH$129,P$1,0),0)</f>
        <v>0</v>
      </c>
      <c r="Q23" s="13">
        <f>IFERROR(VLOOKUP($F23,'Visu totale'!$D$3:$DH$129,Q$1,0),0)</f>
        <v>0</v>
      </c>
      <c r="R23" s="15">
        <f>IFERROR(VLOOKUP($F23,'Visu totale'!$D$3:$DH$129,R$1,0),0)</f>
        <v>0</v>
      </c>
      <c r="S23" s="14">
        <f>IFERROR(VLOOKUP($F23,'Visu totale'!$D$3:$DH$129,S$1,0),0)</f>
        <v>0</v>
      </c>
      <c r="T23" s="13">
        <f>IFERROR(VLOOKUP($F23,'Visu totale'!$D$3:$DH$129,T$1,0),0)</f>
        <v>0</v>
      </c>
      <c r="U23" s="13">
        <f>IFERROR(VLOOKUP($F23,'Visu totale'!$D$3:$DH$129,U$1,0),0)</f>
        <v>0</v>
      </c>
      <c r="V23" s="13">
        <f>IFERROR(VLOOKUP($F23,'Visu totale'!$D$3:$DH$129,V$1,0),0)</f>
        <v>0</v>
      </c>
      <c r="W23" s="13">
        <f>IFERROR(VLOOKUP($F23,'Visu totale'!$D$3:$DH$129,W$1,0),0)</f>
        <v>0</v>
      </c>
      <c r="X23" s="13">
        <f>IFERROR(VLOOKUP($F23,'Visu totale'!$D$3:$DH$129,X$1,0),0)</f>
        <v>0</v>
      </c>
      <c r="Y23" s="13">
        <f>IFERROR(VLOOKUP($F23,'Visu totale'!$D$3:$DH$129,Y$1,0),0)</f>
        <v>0</v>
      </c>
      <c r="Z23" s="13">
        <f>IFERROR(VLOOKUP($F23,'Visu totale'!$D$3:$DH$129,Z$1,0),0)</f>
        <v>0</v>
      </c>
      <c r="AA23" s="13">
        <f>IFERROR(VLOOKUP($F23,'Visu totale'!$D$3:$DH$129,AA$1,0),0)</f>
        <v>0</v>
      </c>
      <c r="AB23" s="13">
        <f>IFERROR(VLOOKUP($F23,'Visu totale'!$D$3:$DH$129,AB$1,0),0)</f>
        <v>0</v>
      </c>
      <c r="AC23" s="13">
        <f>IFERROR(VLOOKUP($F23,'Visu totale'!$D$3:$DH$129,AC$1,0),0)</f>
        <v>0</v>
      </c>
      <c r="AD23" s="15">
        <f>IFERROR(VLOOKUP($F23,'Visu totale'!$D$3:$DH$129,AD$1,0),0)</f>
        <v>0</v>
      </c>
      <c r="AE23" s="14">
        <f>IFERROR(VLOOKUP($F23,'Visu totale'!$D$3:$DH$129,AE$1,0),0)</f>
        <v>0</v>
      </c>
      <c r="AF23" s="13">
        <f>IFERROR(VLOOKUP($F23,'Visu totale'!$D$3:$DH$129,AF$1,0),0)</f>
        <v>0</v>
      </c>
      <c r="AG23" s="13">
        <f>IFERROR(VLOOKUP($F23,'Visu totale'!$D$3:$DH$129,AG$1,0),0)</f>
        <v>0</v>
      </c>
      <c r="AH23" s="13">
        <f>IFERROR(VLOOKUP($F23,'Visu totale'!$D$3:$DH$129,AH$1,0),0)</f>
        <v>0</v>
      </c>
      <c r="AI23" s="13">
        <f>IFERROR(VLOOKUP($F23,'Visu totale'!$D$3:$DH$129,AI$1,0),0)</f>
        <v>0</v>
      </c>
      <c r="AJ23" s="13">
        <f>IFERROR(VLOOKUP($F23,'Visu totale'!$D$3:$DH$129,AJ$1,0),0)</f>
        <v>0</v>
      </c>
      <c r="AK23" s="13">
        <f>IFERROR(VLOOKUP($F23,'Visu totale'!$D$3:$DH$129,AK$1,0),0)</f>
        <v>0</v>
      </c>
      <c r="AL23" s="13">
        <f>IFERROR(VLOOKUP($F23,'Visu totale'!$D$3:$DH$129,AL$1,0),0)</f>
        <v>0</v>
      </c>
      <c r="AM23" s="13">
        <f>IFERROR(VLOOKUP($F23,'Visu totale'!$D$3:$DH$129,AM$1,0),0)</f>
        <v>0</v>
      </c>
      <c r="AN23" s="13">
        <f>IFERROR(VLOOKUP($F23,'Visu totale'!$D$3:$DH$129,AN$1,0),0)</f>
        <v>0</v>
      </c>
      <c r="AO23" s="13">
        <f>IFERROR(VLOOKUP($F23,'Visu totale'!$D$3:$DH$129,AO$1,0),0)</f>
        <v>0</v>
      </c>
      <c r="AP23" s="15">
        <f>IFERROR(VLOOKUP($F23,'Visu totale'!$D$3:$DH$129,AP$1,0),0)</f>
        <v>0</v>
      </c>
      <c r="AQ23" s="14">
        <f>IFERROR(VLOOKUP($F23,'Visu totale'!$D$3:$DH$129,AQ$1,0),0)</f>
        <v>0</v>
      </c>
      <c r="AR23" s="13">
        <f>IFERROR(VLOOKUP($F23,'Visu totale'!$D$3:$DH$129,AR$1,0),0)</f>
        <v>0</v>
      </c>
      <c r="AS23" s="13">
        <f>IFERROR(VLOOKUP($F23,'Visu totale'!$D$3:$DH$129,AS$1,0),0)</f>
        <v>0</v>
      </c>
      <c r="AT23" s="13">
        <f>IFERROR(VLOOKUP($F23,'Visu totale'!$D$3:$DH$129,AT$1,0),0)</f>
        <v>0</v>
      </c>
      <c r="AU23" s="13">
        <f>IFERROR(VLOOKUP($F23,'Visu totale'!$D$3:$DH$129,AU$1,0),0)</f>
        <v>0</v>
      </c>
      <c r="AV23" s="13">
        <f>IFERROR(VLOOKUP($F23,'Visu totale'!$D$3:$DH$129,AV$1,0),0)</f>
        <v>0</v>
      </c>
      <c r="AW23" s="13">
        <f>IFERROR(VLOOKUP($F23,'Visu totale'!$D$3:$DH$129,AW$1,0),0)</f>
        <v>0</v>
      </c>
      <c r="AX23" s="13">
        <f>IFERROR(VLOOKUP($F23,'Visu totale'!$D$3:$DH$129,AX$1,0),0)</f>
        <v>0</v>
      </c>
      <c r="AY23" s="13">
        <f>IFERROR(VLOOKUP($F23,'Visu totale'!$D$3:$DH$129,AY$1,0),0)</f>
        <v>0</v>
      </c>
      <c r="AZ23" s="13">
        <f>IFERROR(VLOOKUP($F23,'Visu totale'!$D$3:$DH$129,AZ$1,0),0)</f>
        <v>0</v>
      </c>
      <c r="BA23" s="13">
        <f>IFERROR(VLOOKUP($F23,'Visu totale'!$D$3:$DH$129,BA$1,0),0)</f>
        <v>0</v>
      </c>
      <c r="BB23" s="15">
        <f>IFERROR(VLOOKUP($F23,'Visu totale'!$D$3:$DH$129,BB$1,0),0)</f>
        <v>0</v>
      </c>
      <c r="BC23" s="14">
        <f>IFERROR(VLOOKUP($F23,'Visu totale'!$D$3:$DH$129,BC$1,0),0)</f>
        <v>0</v>
      </c>
      <c r="BD23" s="13">
        <f>IFERROR(VLOOKUP($F23,'Visu totale'!$D$3:$DH$129,BD$1,0),0)</f>
        <v>0</v>
      </c>
      <c r="BE23" s="13">
        <f>IFERROR(VLOOKUP($F23,'Visu totale'!$D$3:$DH$129,BE$1,0),0)</f>
        <v>0</v>
      </c>
      <c r="BF23" s="13">
        <f>IFERROR(VLOOKUP($F23,'Visu totale'!$D$3:$DH$129,BF$1,0),0)</f>
        <v>0</v>
      </c>
      <c r="BG23" s="13">
        <f>IFERROR(VLOOKUP($F23,'Visu totale'!$D$3:$DH$129,BG$1,0),0)</f>
        <v>0</v>
      </c>
      <c r="BH23" s="13">
        <f>IFERROR(VLOOKUP($F23,'Visu totale'!$D$3:$DH$129,BH$1,0),0)</f>
        <v>0</v>
      </c>
      <c r="BI23" s="13">
        <f>IFERROR(VLOOKUP($F23,'Visu totale'!$D$3:$DH$129,BI$1,0),0)</f>
        <v>0</v>
      </c>
      <c r="BJ23" s="13">
        <f>IFERROR(VLOOKUP($F23,'Visu totale'!$D$3:$DH$129,BJ$1,0),0)</f>
        <v>0</v>
      </c>
      <c r="BK23" s="13">
        <f>IFERROR(VLOOKUP($F23,'Visu totale'!$D$3:$DH$129,BK$1,0),0)</f>
        <v>0</v>
      </c>
      <c r="BL23" s="13">
        <f>IFERROR(VLOOKUP($F23,'Visu totale'!$D$3:$DH$129,BL$1,0),0)</f>
        <v>0</v>
      </c>
      <c r="BM23" s="13">
        <f>IFERROR(VLOOKUP($F23,'Visu totale'!$D$3:$DH$129,BM$1,0),0)</f>
        <v>0</v>
      </c>
      <c r="BN23" s="15">
        <f>IFERROR(VLOOKUP($F23,'Visu totale'!$D$3:$DH$129,BN$1,0),0)</f>
        <v>0</v>
      </c>
      <c r="BO23" s="14">
        <f>IFERROR(VLOOKUP($F23,'Visu totale'!$D$3:$DH$129,BO$1,0),0)</f>
        <v>0</v>
      </c>
      <c r="BP23" s="13">
        <f>IFERROR(VLOOKUP($F23,'Visu totale'!$D$3:$DH$129,BP$1,0),0)</f>
        <v>0</v>
      </c>
      <c r="BQ23" s="13">
        <f>IFERROR(VLOOKUP($F23,'Visu totale'!$D$3:$DH$129,BQ$1,0),0)</f>
        <v>0</v>
      </c>
      <c r="BR23" s="13">
        <f>IFERROR(VLOOKUP($F23,'Visu totale'!$D$3:$DH$129,BR$1,0),0)</f>
        <v>0</v>
      </c>
      <c r="BS23" s="13">
        <f>IFERROR(VLOOKUP($F23,'Visu totale'!$D$3:$DH$129,BS$1,0),0)</f>
        <v>0</v>
      </c>
      <c r="BT23" s="13">
        <f>IFERROR(VLOOKUP($F23,'Visu totale'!$D$3:$DH$129,BT$1,0),0)</f>
        <v>0</v>
      </c>
      <c r="BU23" s="13">
        <f>IFERROR(VLOOKUP($F23,'Visu totale'!$D$3:$DH$129,BU$1,0),0)</f>
        <v>0</v>
      </c>
      <c r="BV23" s="13">
        <f>IFERROR(VLOOKUP($F23,'Visu totale'!$D$3:$DH$129,BV$1,0),0)</f>
        <v>0</v>
      </c>
      <c r="BW23" s="13">
        <f>IFERROR(VLOOKUP($F23,'Visu totale'!$D$3:$DH$129,BW$1,0),0)</f>
        <v>0</v>
      </c>
      <c r="BX23" s="13">
        <f>IFERROR(VLOOKUP($F23,'Visu totale'!$D$3:$DH$129,BX$1,0),0)</f>
        <v>0</v>
      </c>
      <c r="BY23" s="13">
        <f>IFERROR(VLOOKUP($F23,'Visu totale'!$D$3:$DH$129,BY$1,0),0)</f>
        <v>0</v>
      </c>
      <c r="BZ23" s="15">
        <f>IFERROR(VLOOKUP($F23,'Visu totale'!$D$3:$DH$129,BZ$1,0),0)</f>
        <v>0</v>
      </c>
      <c r="CA23" s="14">
        <f>IFERROR(VLOOKUP($F23,'Visu totale'!$D$3:$DH$129,CA$1,0),0)</f>
        <v>0</v>
      </c>
      <c r="CB23" s="13">
        <f>IFERROR(VLOOKUP($F23,'Visu totale'!$D$3:$DH$129,CB$1,0),0)</f>
        <v>0</v>
      </c>
      <c r="CC23" s="13">
        <f>IFERROR(VLOOKUP($F23,'Visu totale'!$D$3:$DH$129,CC$1,0),0)</f>
        <v>0</v>
      </c>
      <c r="CD23" s="13">
        <f>IFERROR(VLOOKUP($F23,'Visu totale'!$D$3:$DH$129,CD$1,0),0)</f>
        <v>0</v>
      </c>
      <c r="CE23" s="13">
        <f>IFERROR(VLOOKUP($F23,'Visu totale'!$D$3:$DH$129,CE$1,0),0)</f>
        <v>0</v>
      </c>
      <c r="CF23" s="13">
        <f>IFERROR(VLOOKUP($F23,'Visu totale'!$D$3:$DH$129,CF$1,0),0)</f>
        <v>0</v>
      </c>
      <c r="CG23" s="13">
        <f>IFERROR(VLOOKUP($F23,'Visu totale'!$D$3:$DH$129,CG$1,0),0)</f>
        <v>0</v>
      </c>
      <c r="CH23" s="13">
        <f>IFERROR(VLOOKUP($F23,'Visu totale'!$D$3:$DH$129,CH$1,0),0)</f>
        <v>0</v>
      </c>
      <c r="CI23" s="13">
        <f>IFERROR(VLOOKUP($F23,'Visu totale'!$D$3:$DH$129,CI$1,0),0)</f>
        <v>0</v>
      </c>
      <c r="CJ23" s="13">
        <f>IFERROR(VLOOKUP($F23,'Visu totale'!$D$3:$DH$129,CJ$1,0),0)</f>
        <v>0</v>
      </c>
      <c r="CK23" s="13">
        <f>IFERROR(VLOOKUP($F23,'Visu totale'!$D$3:$DH$129,CK$1,0),0)</f>
        <v>0</v>
      </c>
      <c r="CL23" s="15">
        <f>IFERROR(VLOOKUP($F23,'Visu totale'!$D$3:$DH$129,CL$1,0),0)</f>
        <v>0</v>
      </c>
      <c r="CM23" s="14">
        <f>IFERROR(VLOOKUP($F23,'Visu totale'!$D$3:$DH$129,CM$1,0),0)</f>
        <v>0</v>
      </c>
      <c r="CN23" s="13">
        <f>IFERROR(VLOOKUP($F23,'Visu totale'!$D$3:$DH$129,CN$1,0),0)</f>
        <v>0</v>
      </c>
      <c r="CO23" s="13">
        <f>IFERROR(VLOOKUP($F23,'Visu totale'!$D$3:$DH$129,CO$1,0),0)</f>
        <v>0</v>
      </c>
      <c r="CP23" s="13">
        <f>IFERROR(VLOOKUP($F23,'Visu totale'!$D$3:$DH$129,CP$1,0),0)</f>
        <v>0</v>
      </c>
      <c r="CQ23" s="13">
        <f>IFERROR(VLOOKUP($F23,'Visu totale'!$D$3:$DH$129,CQ$1,0),0)</f>
        <v>0</v>
      </c>
      <c r="CR23" s="13">
        <f>IFERROR(VLOOKUP($F23,'Visu totale'!$D$3:$DH$129,CR$1,0),0)</f>
        <v>0</v>
      </c>
      <c r="CS23" s="13">
        <f>IFERROR(VLOOKUP($F23,'Visu totale'!$D$3:$DH$129,CS$1,0),0)</f>
        <v>0</v>
      </c>
      <c r="CT23" s="13">
        <f>IFERROR(VLOOKUP($F23,'Visu totale'!$D$3:$DH$129,CT$1,0),0)</f>
        <v>0</v>
      </c>
      <c r="CU23" s="13">
        <f>IFERROR(VLOOKUP($F23,'Visu totale'!$D$3:$DH$129,CU$1,0),0)</f>
        <v>0</v>
      </c>
      <c r="CV23" s="13">
        <f>IFERROR(VLOOKUP($F23,'Visu totale'!$D$3:$DH$129,CV$1,0),0)</f>
        <v>0</v>
      </c>
      <c r="CW23" s="13">
        <f>IFERROR(VLOOKUP($F23,'Visu totale'!$D$3:$DH$129,CW$1,0),0)</f>
        <v>0</v>
      </c>
      <c r="CX23" s="15">
        <f>IFERROR(VLOOKUP($F23,'Visu totale'!$D$3:$DH$129,CX$1,0),0)</f>
        <v>0</v>
      </c>
      <c r="CY23" s="14">
        <f>IFERROR(VLOOKUP($F23,'Visu totale'!$D$3:$DH$129,CY$1,0),0)</f>
        <v>0</v>
      </c>
      <c r="CZ23" s="13">
        <f>IFERROR(VLOOKUP($F23,'Visu totale'!$D$3:$DH$129,CZ$1,0),0)</f>
        <v>0</v>
      </c>
      <c r="DA23" s="13">
        <f>IFERROR(VLOOKUP($F23,'Visu totale'!$D$3:$DH$129,DA$1,0),0)</f>
        <v>0</v>
      </c>
      <c r="DB23" s="13">
        <f>IFERROR(VLOOKUP($F23,'Visu totale'!$D$3:$DH$129,DB$1,0),0)</f>
        <v>0</v>
      </c>
      <c r="DC23" s="13">
        <f>IFERROR(VLOOKUP($F23,'Visu totale'!$D$3:$DH$129,DC$1,0),0)</f>
        <v>0</v>
      </c>
      <c r="DD23" s="13">
        <f>IFERROR(VLOOKUP($F23,'Visu totale'!$D$3:$DH$129,DD$1,0),0)</f>
        <v>0</v>
      </c>
      <c r="DE23" s="13">
        <f>IFERROR(VLOOKUP($F23,'Visu totale'!$D$3:$DH$129,DE$1,0),0)</f>
        <v>0</v>
      </c>
      <c r="DF23" s="13">
        <f>IFERROR(VLOOKUP($F23,'Visu totale'!$D$3:$DH$129,DF$1,0),0)</f>
        <v>0</v>
      </c>
      <c r="DG23" s="13">
        <f>IFERROR(VLOOKUP($F23,'Visu totale'!$D$3:$DH$129,DG$1,0),0)</f>
        <v>0</v>
      </c>
      <c r="DH23" s="13">
        <f>IFERROR(VLOOKUP($F23,'Visu totale'!$D$3:$DH$129,DH$1,0),0)</f>
        <v>0</v>
      </c>
      <c r="DI23" s="13">
        <f>IFERROR(VLOOKUP($F23,'Visu totale'!$D$3:$DH$129,DI$1,0),0)</f>
        <v>0</v>
      </c>
      <c r="DJ23" s="15">
        <f>IFERROR(VLOOKUP($F23,'Visu totale'!$D$3:$DH$129,DJ$1,0),0)</f>
        <v>0</v>
      </c>
    </row>
    <row r="24" spans="1:114" s="12" customFormat="1" x14ac:dyDescent="0.25">
      <c r="A24" s="13"/>
      <c r="B24" s="13"/>
      <c r="C24" s="13"/>
      <c r="D24" s="13"/>
      <c r="E24" s="13"/>
      <c r="F24" s="17" t="s">
        <v>124</v>
      </c>
      <c r="G24" s="14">
        <f>IFERROR(VLOOKUP($F24,'Visu totale'!$D$3:$DH$129,G$1,0),0)</f>
        <v>0</v>
      </c>
      <c r="H24" s="13">
        <f>IFERROR(VLOOKUP($F24,'Visu totale'!$D$3:$DH$129,H$1,0),0)</f>
        <v>0</v>
      </c>
      <c r="I24" s="13">
        <f>IFERROR(VLOOKUP($F24,'Visu totale'!$D$3:$DH$129,I$1,0),0)</f>
        <v>0</v>
      </c>
      <c r="J24" s="13">
        <f>IFERROR(VLOOKUP($F24,'Visu totale'!$D$3:$DH$129,J$1,0),0)</f>
        <v>0</v>
      </c>
      <c r="K24" s="13">
        <f>IFERROR(VLOOKUP($F24,'Visu totale'!$D$3:$DH$129,K$1,0),0)</f>
        <v>0</v>
      </c>
      <c r="L24" s="13">
        <f>IFERROR(VLOOKUP($F24,'Visu totale'!$D$3:$DH$129,L$1,0),0)</f>
        <v>0</v>
      </c>
      <c r="M24" s="13">
        <f>IFERROR(VLOOKUP($F24,'Visu totale'!$D$3:$DH$129,M$1,0),0)</f>
        <v>0</v>
      </c>
      <c r="N24" s="13">
        <f>IFERROR(VLOOKUP($F24,'Visu totale'!$D$3:$DH$129,N$1,0),0)</f>
        <v>0</v>
      </c>
      <c r="O24" s="13">
        <f>IFERROR(VLOOKUP($F24,'Visu totale'!$D$3:$DH$129,O$1,0),0)</f>
        <v>0</v>
      </c>
      <c r="P24" s="13">
        <f>IFERROR(VLOOKUP($F24,'Visu totale'!$D$3:$DH$129,P$1,0),0)</f>
        <v>0</v>
      </c>
      <c r="Q24" s="13">
        <f>IFERROR(VLOOKUP($F24,'Visu totale'!$D$3:$DH$129,Q$1,0),0)</f>
        <v>0</v>
      </c>
      <c r="R24" s="15">
        <f>IFERROR(VLOOKUP($F24,'Visu totale'!$D$3:$DH$129,R$1,0),0)</f>
        <v>0</v>
      </c>
      <c r="S24" s="14">
        <f>IFERROR(VLOOKUP($F24,'Visu totale'!$D$3:$DH$129,S$1,0),0)</f>
        <v>0</v>
      </c>
      <c r="T24" s="13">
        <f>IFERROR(VLOOKUP($F24,'Visu totale'!$D$3:$DH$129,T$1,0),0)</f>
        <v>0</v>
      </c>
      <c r="U24" s="13">
        <f>IFERROR(VLOOKUP($F24,'Visu totale'!$D$3:$DH$129,U$1,0),0)</f>
        <v>0</v>
      </c>
      <c r="V24" s="13">
        <f>IFERROR(VLOOKUP($F24,'Visu totale'!$D$3:$DH$129,V$1,0),0)</f>
        <v>0</v>
      </c>
      <c r="W24" s="13">
        <f>IFERROR(VLOOKUP($F24,'Visu totale'!$D$3:$DH$129,W$1,0),0)</f>
        <v>0</v>
      </c>
      <c r="X24" s="13">
        <f>IFERROR(VLOOKUP($F24,'Visu totale'!$D$3:$DH$129,X$1,0),0)</f>
        <v>0</v>
      </c>
      <c r="Y24" s="13">
        <f>IFERROR(VLOOKUP($F24,'Visu totale'!$D$3:$DH$129,Y$1,0),0)</f>
        <v>0</v>
      </c>
      <c r="Z24" s="13">
        <f>IFERROR(VLOOKUP($F24,'Visu totale'!$D$3:$DH$129,Z$1,0),0)</f>
        <v>0</v>
      </c>
      <c r="AA24" s="13">
        <f>IFERROR(VLOOKUP($F24,'Visu totale'!$D$3:$DH$129,AA$1,0),0)</f>
        <v>0</v>
      </c>
      <c r="AB24" s="13">
        <f>IFERROR(VLOOKUP($F24,'Visu totale'!$D$3:$DH$129,AB$1,0),0)</f>
        <v>0</v>
      </c>
      <c r="AC24" s="13">
        <f>IFERROR(VLOOKUP($F24,'Visu totale'!$D$3:$DH$129,AC$1,0),0)</f>
        <v>0</v>
      </c>
      <c r="AD24" s="15">
        <f>IFERROR(VLOOKUP($F24,'Visu totale'!$D$3:$DH$129,AD$1,0),0)</f>
        <v>0</v>
      </c>
      <c r="AE24" s="14">
        <f>IFERROR(VLOOKUP($F24,'Visu totale'!$D$3:$DH$129,AE$1,0),0)</f>
        <v>0</v>
      </c>
      <c r="AF24" s="13">
        <f>IFERROR(VLOOKUP($F24,'Visu totale'!$D$3:$DH$129,AF$1,0),0)</f>
        <v>0</v>
      </c>
      <c r="AG24" s="13">
        <f>IFERROR(VLOOKUP($F24,'Visu totale'!$D$3:$DH$129,AG$1,0),0)</f>
        <v>0</v>
      </c>
      <c r="AH24" s="13">
        <f>IFERROR(VLOOKUP($F24,'Visu totale'!$D$3:$DH$129,AH$1,0),0)</f>
        <v>0</v>
      </c>
      <c r="AI24" s="13">
        <f>IFERROR(VLOOKUP($F24,'Visu totale'!$D$3:$DH$129,AI$1,0),0)</f>
        <v>0</v>
      </c>
      <c r="AJ24" s="13">
        <f>IFERROR(VLOOKUP($F24,'Visu totale'!$D$3:$DH$129,AJ$1,0),0)</f>
        <v>0</v>
      </c>
      <c r="AK24" s="13">
        <f>IFERROR(VLOOKUP($F24,'Visu totale'!$D$3:$DH$129,AK$1,0),0)</f>
        <v>0</v>
      </c>
      <c r="AL24" s="13">
        <f>IFERROR(VLOOKUP($F24,'Visu totale'!$D$3:$DH$129,AL$1,0),0)</f>
        <v>0</v>
      </c>
      <c r="AM24" s="13">
        <f>IFERROR(VLOOKUP($F24,'Visu totale'!$D$3:$DH$129,AM$1,0),0)</f>
        <v>0</v>
      </c>
      <c r="AN24" s="13">
        <f>IFERROR(VLOOKUP($F24,'Visu totale'!$D$3:$DH$129,AN$1,0),0)</f>
        <v>0</v>
      </c>
      <c r="AO24" s="13">
        <f>IFERROR(VLOOKUP($F24,'Visu totale'!$D$3:$DH$129,AO$1,0),0)</f>
        <v>0</v>
      </c>
      <c r="AP24" s="15">
        <f>IFERROR(VLOOKUP($F24,'Visu totale'!$D$3:$DH$129,AP$1,0),0)</f>
        <v>0</v>
      </c>
      <c r="AQ24" s="14">
        <f>IFERROR(VLOOKUP($F24,'Visu totale'!$D$3:$DH$129,AQ$1,0),0)</f>
        <v>0</v>
      </c>
      <c r="AR24" s="13">
        <f>IFERROR(VLOOKUP($F24,'Visu totale'!$D$3:$DH$129,AR$1,0),0)</f>
        <v>0</v>
      </c>
      <c r="AS24" s="13">
        <f>IFERROR(VLOOKUP($F24,'Visu totale'!$D$3:$DH$129,AS$1,0),0)</f>
        <v>0</v>
      </c>
      <c r="AT24" s="13">
        <f>IFERROR(VLOOKUP($F24,'Visu totale'!$D$3:$DH$129,AT$1,0),0)</f>
        <v>0</v>
      </c>
      <c r="AU24" s="13">
        <f>IFERROR(VLOOKUP($F24,'Visu totale'!$D$3:$DH$129,AU$1,0),0)</f>
        <v>0</v>
      </c>
      <c r="AV24" s="13">
        <f>IFERROR(VLOOKUP($F24,'Visu totale'!$D$3:$DH$129,AV$1,0),0)</f>
        <v>0</v>
      </c>
      <c r="AW24" s="13">
        <f>IFERROR(VLOOKUP($F24,'Visu totale'!$D$3:$DH$129,AW$1,0),0)</f>
        <v>0</v>
      </c>
      <c r="AX24" s="13">
        <f>IFERROR(VLOOKUP($F24,'Visu totale'!$D$3:$DH$129,AX$1,0),0)</f>
        <v>0</v>
      </c>
      <c r="AY24" s="13">
        <f>IFERROR(VLOOKUP($F24,'Visu totale'!$D$3:$DH$129,AY$1,0),0)</f>
        <v>0</v>
      </c>
      <c r="AZ24" s="13">
        <f>IFERROR(VLOOKUP($F24,'Visu totale'!$D$3:$DH$129,AZ$1,0),0)</f>
        <v>0</v>
      </c>
      <c r="BA24" s="13">
        <f>IFERROR(VLOOKUP($F24,'Visu totale'!$D$3:$DH$129,BA$1,0),0)</f>
        <v>0</v>
      </c>
      <c r="BB24" s="15">
        <f>IFERROR(VLOOKUP($F24,'Visu totale'!$D$3:$DH$129,BB$1,0),0)</f>
        <v>0</v>
      </c>
      <c r="BC24" s="14">
        <f>IFERROR(VLOOKUP($F24,'Visu totale'!$D$3:$DH$129,BC$1,0),0)</f>
        <v>0</v>
      </c>
      <c r="BD24" s="13">
        <f>IFERROR(VLOOKUP($F24,'Visu totale'!$D$3:$DH$129,BD$1,0),0)</f>
        <v>0</v>
      </c>
      <c r="BE24" s="13">
        <f>IFERROR(VLOOKUP($F24,'Visu totale'!$D$3:$DH$129,BE$1,0),0)</f>
        <v>0</v>
      </c>
      <c r="BF24" s="13">
        <f>IFERROR(VLOOKUP($F24,'Visu totale'!$D$3:$DH$129,BF$1,0),0)</f>
        <v>0</v>
      </c>
      <c r="BG24" s="13">
        <f>IFERROR(VLOOKUP($F24,'Visu totale'!$D$3:$DH$129,BG$1,0),0)</f>
        <v>0</v>
      </c>
      <c r="BH24" s="13">
        <f>IFERROR(VLOOKUP($F24,'Visu totale'!$D$3:$DH$129,BH$1,0),0)</f>
        <v>0</v>
      </c>
      <c r="BI24" s="13">
        <f>IFERROR(VLOOKUP($F24,'Visu totale'!$D$3:$DH$129,BI$1,0),0)</f>
        <v>0</v>
      </c>
      <c r="BJ24" s="13">
        <f>IFERROR(VLOOKUP($F24,'Visu totale'!$D$3:$DH$129,BJ$1,0),0)</f>
        <v>0</v>
      </c>
      <c r="BK24" s="13">
        <f>IFERROR(VLOOKUP($F24,'Visu totale'!$D$3:$DH$129,BK$1,0),0)</f>
        <v>0</v>
      </c>
      <c r="BL24" s="13">
        <f>IFERROR(VLOOKUP($F24,'Visu totale'!$D$3:$DH$129,BL$1,0),0)</f>
        <v>0</v>
      </c>
      <c r="BM24" s="13">
        <f>IFERROR(VLOOKUP($F24,'Visu totale'!$D$3:$DH$129,BM$1,0),0)</f>
        <v>0</v>
      </c>
      <c r="BN24" s="15">
        <f>IFERROR(VLOOKUP($F24,'Visu totale'!$D$3:$DH$129,BN$1,0),0)</f>
        <v>0</v>
      </c>
      <c r="BO24" s="14">
        <f>IFERROR(VLOOKUP($F24,'Visu totale'!$D$3:$DH$129,BO$1,0),0)</f>
        <v>0</v>
      </c>
      <c r="BP24" s="13">
        <f>IFERROR(VLOOKUP($F24,'Visu totale'!$D$3:$DH$129,BP$1,0),0)</f>
        <v>0</v>
      </c>
      <c r="BQ24" s="13">
        <f>IFERROR(VLOOKUP($F24,'Visu totale'!$D$3:$DH$129,BQ$1,0),0)</f>
        <v>0</v>
      </c>
      <c r="BR24" s="13">
        <f>IFERROR(VLOOKUP($F24,'Visu totale'!$D$3:$DH$129,BR$1,0),0)</f>
        <v>0</v>
      </c>
      <c r="BS24" s="13">
        <f>IFERROR(VLOOKUP($F24,'Visu totale'!$D$3:$DH$129,BS$1,0),0)</f>
        <v>0</v>
      </c>
      <c r="BT24" s="13">
        <f>IFERROR(VLOOKUP($F24,'Visu totale'!$D$3:$DH$129,BT$1,0),0)</f>
        <v>0</v>
      </c>
      <c r="BU24" s="13">
        <f>IFERROR(VLOOKUP($F24,'Visu totale'!$D$3:$DH$129,BU$1,0),0)</f>
        <v>0</v>
      </c>
      <c r="BV24" s="13">
        <f>IFERROR(VLOOKUP($F24,'Visu totale'!$D$3:$DH$129,BV$1,0),0)</f>
        <v>0</v>
      </c>
      <c r="BW24" s="13">
        <f>IFERROR(VLOOKUP($F24,'Visu totale'!$D$3:$DH$129,BW$1,0),0)</f>
        <v>0</v>
      </c>
      <c r="BX24" s="13">
        <f>IFERROR(VLOOKUP($F24,'Visu totale'!$D$3:$DH$129,BX$1,0),0)</f>
        <v>0</v>
      </c>
      <c r="BY24" s="13">
        <f>IFERROR(VLOOKUP($F24,'Visu totale'!$D$3:$DH$129,BY$1,0),0)</f>
        <v>0</v>
      </c>
      <c r="BZ24" s="15">
        <f>IFERROR(VLOOKUP($F24,'Visu totale'!$D$3:$DH$129,BZ$1,0),0)</f>
        <v>0</v>
      </c>
      <c r="CA24" s="14">
        <f>IFERROR(VLOOKUP($F24,'Visu totale'!$D$3:$DH$129,CA$1,0),0)</f>
        <v>0</v>
      </c>
      <c r="CB24" s="13">
        <f>IFERROR(VLOOKUP($F24,'Visu totale'!$D$3:$DH$129,CB$1,0),0)</f>
        <v>0</v>
      </c>
      <c r="CC24" s="13">
        <f>IFERROR(VLOOKUP($F24,'Visu totale'!$D$3:$DH$129,CC$1,0),0)</f>
        <v>0</v>
      </c>
      <c r="CD24" s="13">
        <f>IFERROR(VLOOKUP($F24,'Visu totale'!$D$3:$DH$129,CD$1,0),0)</f>
        <v>0</v>
      </c>
      <c r="CE24" s="13">
        <f>IFERROR(VLOOKUP($F24,'Visu totale'!$D$3:$DH$129,CE$1,0),0)</f>
        <v>0</v>
      </c>
      <c r="CF24" s="13">
        <f>IFERROR(VLOOKUP($F24,'Visu totale'!$D$3:$DH$129,CF$1,0),0)</f>
        <v>0</v>
      </c>
      <c r="CG24" s="13">
        <f>IFERROR(VLOOKUP($F24,'Visu totale'!$D$3:$DH$129,CG$1,0),0)</f>
        <v>0</v>
      </c>
      <c r="CH24" s="13">
        <f>IFERROR(VLOOKUP($F24,'Visu totale'!$D$3:$DH$129,CH$1,0),0)</f>
        <v>0</v>
      </c>
      <c r="CI24" s="13">
        <f>IFERROR(VLOOKUP($F24,'Visu totale'!$D$3:$DH$129,CI$1,0),0)</f>
        <v>0</v>
      </c>
      <c r="CJ24" s="13">
        <f>IFERROR(VLOOKUP($F24,'Visu totale'!$D$3:$DH$129,CJ$1,0),0)</f>
        <v>0</v>
      </c>
      <c r="CK24" s="13">
        <f>IFERROR(VLOOKUP($F24,'Visu totale'!$D$3:$DH$129,CK$1,0),0)</f>
        <v>0</v>
      </c>
      <c r="CL24" s="15">
        <f>IFERROR(VLOOKUP($F24,'Visu totale'!$D$3:$DH$129,CL$1,0),0)</f>
        <v>0</v>
      </c>
      <c r="CM24" s="14">
        <f>IFERROR(VLOOKUP($F24,'Visu totale'!$D$3:$DH$129,CM$1,0),0)</f>
        <v>0</v>
      </c>
      <c r="CN24" s="13">
        <f>IFERROR(VLOOKUP($F24,'Visu totale'!$D$3:$DH$129,CN$1,0),0)</f>
        <v>0</v>
      </c>
      <c r="CO24" s="13">
        <f>IFERROR(VLOOKUP($F24,'Visu totale'!$D$3:$DH$129,CO$1,0),0)</f>
        <v>0</v>
      </c>
      <c r="CP24" s="13">
        <f>IFERROR(VLOOKUP($F24,'Visu totale'!$D$3:$DH$129,CP$1,0),0)</f>
        <v>0</v>
      </c>
      <c r="CQ24" s="13">
        <f>IFERROR(VLOOKUP($F24,'Visu totale'!$D$3:$DH$129,CQ$1,0),0)</f>
        <v>0</v>
      </c>
      <c r="CR24" s="13">
        <f>IFERROR(VLOOKUP($F24,'Visu totale'!$D$3:$DH$129,CR$1,0),0)</f>
        <v>0</v>
      </c>
      <c r="CS24" s="13">
        <f>IFERROR(VLOOKUP($F24,'Visu totale'!$D$3:$DH$129,CS$1,0),0)</f>
        <v>0</v>
      </c>
      <c r="CT24" s="13">
        <f>IFERROR(VLOOKUP($F24,'Visu totale'!$D$3:$DH$129,CT$1,0),0)</f>
        <v>0</v>
      </c>
      <c r="CU24" s="13">
        <f>IFERROR(VLOOKUP($F24,'Visu totale'!$D$3:$DH$129,CU$1,0),0)</f>
        <v>0</v>
      </c>
      <c r="CV24" s="13">
        <f>IFERROR(VLOOKUP($F24,'Visu totale'!$D$3:$DH$129,CV$1,0),0)</f>
        <v>0</v>
      </c>
      <c r="CW24" s="13">
        <f>IFERROR(VLOOKUP($F24,'Visu totale'!$D$3:$DH$129,CW$1,0),0)</f>
        <v>0</v>
      </c>
      <c r="CX24" s="15">
        <f>IFERROR(VLOOKUP($F24,'Visu totale'!$D$3:$DH$129,CX$1,0),0)</f>
        <v>0</v>
      </c>
      <c r="CY24" s="14">
        <f>IFERROR(VLOOKUP($F24,'Visu totale'!$D$3:$DH$129,CY$1,0),0)</f>
        <v>0</v>
      </c>
      <c r="CZ24" s="13">
        <f>IFERROR(VLOOKUP($F24,'Visu totale'!$D$3:$DH$129,CZ$1,0),0)</f>
        <v>0</v>
      </c>
      <c r="DA24" s="13">
        <f>IFERROR(VLOOKUP($F24,'Visu totale'!$D$3:$DH$129,DA$1,0),0)</f>
        <v>0</v>
      </c>
      <c r="DB24" s="13">
        <f>IFERROR(VLOOKUP($F24,'Visu totale'!$D$3:$DH$129,DB$1,0),0)</f>
        <v>0</v>
      </c>
      <c r="DC24" s="13">
        <f>IFERROR(VLOOKUP($F24,'Visu totale'!$D$3:$DH$129,DC$1,0),0)</f>
        <v>0</v>
      </c>
      <c r="DD24" s="13">
        <f>IFERROR(VLOOKUP($F24,'Visu totale'!$D$3:$DH$129,DD$1,0),0)</f>
        <v>0</v>
      </c>
      <c r="DE24" s="13">
        <f>IFERROR(VLOOKUP($F24,'Visu totale'!$D$3:$DH$129,DE$1,0),0)</f>
        <v>0</v>
      </c>
      <c r="DF24" s="13">
        <f>IFERROR(VLOOKUP($F24,'Visu totale'!$D$3:$DH$129,DF$1,0),0)</f>
        <v>0</v>
      </c>
      <c r="DG24" s="13">
        <f>IFERROR(VLOOKUP($F24,'Visu totale'!$D$3:$DH$129,DG$1,0),0)</f>
        <v>0</v>
      </c>
      <c r="DH24" s="13">
        <f>IFERROR(VLOOKUP($F24,'Visu totale'!$D$3:$DH$129,DH$1,0),0)</f>
        <v>0</v>
      </c>
      <c r="DI24" s="13">
        <f>IFERROR(VLOOKUP($F24,'Visu totale'!$D$3:$DH$129,DI$1,0),0)</f>
        <v>0</v>
      </c>
      <c r="DJ24" s="15">
        <f>IFERROR(VLOOKUP($F24,'Visu totale'!$D$3:$DH$129,DJ$1,0),0)</f>
        <v>0</v>
      </c>
    </row>
    <row r="25" spans="1:114" s="12" customFormat="1" x14ac:dyDescent="0.25">
      <c r="A25" s="13"/>
      <c r="B25" s="13"/>
      <c r="C25" s="13"/>
      <c r="D25" s="13"/>
      <c r="E25" s="13"/>
      <c r="F25" s="17" t="s">
        <v>125</v>
      </c>
      <c r="G25" s="14">
        <f>IFERROR(VLOOKUP($F25,'Visu totale'!$D$3:$DH$129,G$1,0),0)</f>
        <v>0</v>
      </c>
      <c r="H25" s="13">
        <f>IFERROR(VLOOKUP($F25,'Visu totale'!$D$3:$DH$129,H$1,0),0)</f>
        <v>0</v>
      </c>
      <c r="I25" s="13">
        <f>IFERROR(VLOOKUP($F25,'Visu totale'!$D$3:$DH$129,I$1,0),0)</f>
        <v>0</v>
      </c>
      <c r="J25" s="13">
        <f>IFERROR(VLOOKUP($F25,'Visu totale'!$D$3:$DH$129,J$1,0),0)</f>
        <v>0</v>
      </c>
      <c r="K25" s="13">
        <f>IFERROR(VLOOKUP($F25,'Visu totale'!$D$3:$DH$129,K$1,0),0)</f>
        <v>0</v>
      </c>
      <c r="L25" s="13">
        <f>IFERROR(VLOOKUP($F25,'Visu totale'!$D$3:$DH$129,L$1,0),0)</f>
        <v>0</v>
      </c>
      <c r="M25" s="13">
        <f>IFERROR(VLOOKUP($F25,'Visu totale'!$D$3:$DH$129,M$1,0),0)</f>
        <v>0</v>
      </c>
      <c r="N25" s="13">
        <f>IFERROR(VLOOKUP($F25,'Visu totale'!$D$3:$DH$129,N$1,0),0)</f>
        <v>0</v>
      </c>
      <c r="O25" s="13">
        <f>IFERROR(VLOOKUP($F25,'Visu totale'!$D$3:$DH$129,O$1,0),0)</f>
        <v>0</v>
      </c>
      <c r="P25" s="13">
        <f>IFERROR(VLOOKUP($F25,'Visu totale'!$D$3:$DH$129,P$1,0),0)</f>
        <v>0</v>
      </c>
      <c r="Q25" s="13">
        <f>IFERROR(VLOOKUP($F25,'Visu totale'!$D$3:$DH$129,Q$1,0),0)</f>
        <v>0</v>
      </c>
      <c r="R25" s="15">
        <f>IFERROR(VLOOKUP($F25,'Visu totale'!$D$3:$DH$129,R$1,0),0)</f>
        <v>0</v>
      </c>
      <c r="S25" s="14">
        <f>IFERROR(VLOOKUP($F25,'Visu totale'!$D$3:$DH$129,S$1,0),0)</f>
        <v>0</v>
      </c>
      <c r="T25" s="13">
        <f>IFERROR(VLOOKUP($F25,'Visu totale'!$D$3:$DH$129,T$1,0),0)</f>
        <v>0</v>
      </c>
      <c r="U25" s="13">
        <f>IFERROR(VLOOKUP($F25,'Visu totale'!$D$3:$DH$129,U$1,0),0)</f>
        <v>0</v>
      </c>
      <c r="V25" s="13">
        <f>IFERROR(VLOOKUP($F25,'Visu totale'!$D$3:$DH$129,V$1,0),0)</f>
        <v>0</v>
      </c>
      <c r="W25" s="13">
        <f>IFERROR(VLOOKUP($F25,'Visu totale'!$D$3:$DH$129,W$1,0),0)</f>
        <v>0</v>
      </c>
      <c r="X25" s="13">
        <f>IFERROR(VLOOKUP($F25,'Visu totale'!$D$3:$DH$129,X$1,0),0)</f>
        <v>0</v>
      </c>
      <c r="Y25" s="13">
        <f>IFERROR(VLOOKUP($F25,'Visu totale'!$D$3:$DH$129,Y$1,0),0)</f>
        <v>0</v>
      </c>
      <c r="Z25" s="13">
        <f>IFERROR(VLOOKUP($F25,'Visu totale'!$D$3:$DH$129,Z$1,0),0)</f>
        <v>0</v>
      </c>
      <c r="AA25" s="13">
        <f>IFERROR(VLOOKUP($F25,'Visu totale'!$D$3:$DH$129,AA$1,0),0)</f>
        <v>0</v>
      </c>
      <c r="AB25" s="13">
        <f>IFERROR(VLOOKUP($F25,'Visu totale'!$D$3:$DH$129,AB$1,0),0)</f>
        <v>0</v>
      </c>
      <c r="AC25" s="13">
        <f>IFERROR(VLOOKUP($F25,'Visu totale'!$D$3:$DH$129,AC$1,0),0)</f>
        <v>0</v>
      </c>
      <c r="AD25" s="15">
        <f>IFERROR(VLOOKUP($F25,'Visu totale'!$D$3:$DH$129,AD$1,0),0)</f>
        <v>0</v>
      </c>
      <c r="AE25" s="14">
        <f>IFERROR(VLOOKUP($F25,'Visu totale'!$D$3:$DH$129,AE$1,0),0)</f>
        <v>0</v>
      </c>
      <c r="AF25" s="13">
        <f>IFERROR(VLOOKUP($F25,'Visu totale'!$D$3:$DH$129,AF$1,0),0)</f>
        <v>0</v>
      </c>
      <c r="AG25" s="13">
        <f>IFERROR(VLOOKUP($F25,'Visu totale'!$D$3:$DH$129,AG$1,0),0)</f>
        <v>0</v>
      </c>
      <c r="AH25" s="13">
        <f>IFERROR(VLOOKUP($F25,'Visu totale'!$D$3:$DH$129,AH$1,0),0)</f>
        <v>0</v>
      </c>
      <c r="AI25" s="13">
        <f>IFERROR(VLOOKUP($F25,'Visu totale'!$D$3:$DH$129,AI$1,0),0)</f>
        <v>0</v>
      </c>
      <c r="AJ25" s="13">
        <f>IFERROR(VLOOKUP($F25,'Visu totale'!$D$3:$DH$129,AJ$1,0),0)</f>
        <v>0</v>
      </c>
      <c r="AK25" s="13">
        <f>IFERROR(VLOOKUP($F25,'Visu totale'!$D$3:$DH$129,AK$1,0),0)</f>
        <v>0</v>
      </c>
      <c r="AL25" s="13">
        <f>IFERROR(VLOOKUP($F25,'Visu totale'!$D$3:$DH$129,AL$1,0),0)</f>
        <v>0</v>
      </c>
      <c r="AM25" s="13">
        <f>IFERROR(VLOOKUP($F25,'Visu totale'!$D$3:$DH$129,AM$1,0),0)</f>
        <v>0</v>
      </c>
      <c r="AN25" s="13">
        <f>IFERROR(VLOOKUP($F25,'Visu totale'!$D$3:$DH$129,AN$1,0),0)</f>
        <v>0</v>
      </c>
      <c r="AO25" s="13">
        <f>IFERROR(VLOOKUP($F25,'Visu totale'!$D$3:$DH$129,AO$1,0),0)</f>
        <v>0</v>
      </c>
      <c r="AP25" s="15">
        <f>IFERROR(VLOOKUP($F25,'Visu totale'!$D$3:$DH$129,AP$1,0),0)</f>
        <v>0</v>
      </c>
      <c r="AQ25" s="14">
        <f>IFERROR(VLOOKUP($F25,'Visu totale'!$D$3:$DH$129,AQ$1,0),0)</f>
        <v>0</v>
      </c>
      <c r="AR25" s="13">
        <f>IFERROR(VLOOKUP($F25,'Visu totale'!$D$3:$DH$129,AR$1,0),0)</f>
        <v>0</v>
      </c>
      <c r="AS25" s="13">
        <f>IFERROR(VLOOKUP($F25,'Visu totale'!$D$3:$DH$129,AS$1,0),0)</f>
        <v>0</v>
      </c>
      <c r="AT25" s="13">
        <f>IFERROR(VLOOKUP($F25,'Visu totale'!$D$3:$DH$129,AT$1,0),0)</f>
        <v>0</v>
      </c>
      <c r="AU25" s="13">
        <f>IFERROR(VLOOKUP($F25,'Visu totale'!$D$3:$DH$129,AU$1,0),0)</f>
        <v>0</v>
      </c>
      <c r="AV25" s="13">
        <f>IFERROR(VLOOKUP($F25,'Visu totale'!$D$3:$DH$129,AV$1,0),0)</f>
        <v>0</v>
      </c>
      <c r="AW25" s="13">
        <f>IFERROR(VLOOKUP($F25,'Visu totale'!$D$3:$DH$129,AW$1,0),0)</f>
        <v>0</v>
      </c>
      <c r="AX25" s="13">
        <f>IFERROR(VLOOKUP($F25,'Visu totale'!$D$3:$DH$129,AX$1,0),0)</f>
        <v>0</v>
      </c>
      <c r="AY25" s="13">
        <f>IFERROR(VLOOKUP($F25,'Visu totale'!$D$3:$DH$129,AY$1,0),0)</f>
        <v>0</v>
      </c>
      <c r="AZ25" s="13">
        <f>IFERROR(VLOOKUP($F25,'Visu totale'!$D$3:$DH$129,AZ$1,0),0)</f>
        <v>0</v>
      </c>
      <c r="BA25" s="13">
        <f>IFERROR(VLOOKUP($F25,'Visu totale'!$D$3:$DH$129,BA$1,0),0)</f>
        <v>0</v>
      </c>
      <c r="BB25" s="15">
        <f>IFERROR(VLOOKUP($F25,'Visu totale'!$D$3:$DH$129,BB$1,0),0)</f>
        <v>0</v>
      </c>
      <c r="BC25" s="14">
        <f>IFERROR(VLOOKUP($F25,'Visu totale'!$D$3:$DH$129,BC$1,0),0)</f>
        <v>0</v>
      </c>
      <c r="BD25" s="13">
        <f>IFERROR(VLOOKUP($F25,'Visu totale'!$D$3:$DH$129,BD$1,0),0)</f>
        <v>0</v>
      </c>
      <c r="BE25" s="13">
        <f>IFERROR(VLOOKUP($F25,'Visu totale'!$D$3:$DH$129,BE$1,0),0)</f>
        <v>0</v>
      </c>
      <c r="BF25" s="13">
        <f>IFERROR(VLOOKUP($F25,'Visu totale'!$D$3:$DH$129,BF$1,0),0)</f>
        <v>0</v>
      </c>
      <c r="BG25" s="13">
        <f>IFERROR(VLOOKUP($F25,'Visu totale'!$D$3:$DH$129,BG$1,0),0)</f>
        <v>0</v>
      </c>
      <c r="BH25" s="13">
        <f>IFERROR(VLOOKUP($F25,'Visu totale'!$D$3:$DH$129,BH$1,0),0)</f>
        <v>0</v>
      </c>
      <c r="BI25" s="13">
        <f>IFERROR(VLOOKUP($F25,'Visu totale'!$D$3:$DH$129,BI$1,0),0)</f>
        <v>0</v>
      </c>
      <c r="BJ25" s="13">
        <f>IFERROR(VLOOKUP($F25,'Visu totale'!$D$3:$DH$129,BJ$1,0),0)</f>
        <v>0</v>
      </c>
      <c r="BK25" s="13">
        <f>IFERROR(VLOOKUP($F25,'Visu totale'!$D$3:$DH$129,BK$1,0),0)</f>
        <v>0</v>
      </c>
      <c r="BL25" s="13">
        <f>IFERROR(VLOOKUP($F25,'Visu totale'!$D$3:$DH$129,BL$1,0),0)</f>
        <v>0</v>
      </c>
      <c r="BM25" s="13">
        <f>IFERROR(VLOOKUP($F25,'Visu totale'!$D$3:$DH$129,BM$1,0),0)</f>
        <v>0</v>
      </c>
      <c r="BN25" s="15">
        <f>IFERROR(VLOOKUP($F25,'Visu totale'!$D$3:$DH$129,BN$1,0),0)</f>
        <v>0</v>
      </c>
      <c r="BO25" s="14">
        <f>IFERROR(VLOOKUP($F25,'Visu totale'!$D$3:$DH$129,BO$1,0),0)</f>
        <v>0</v>
      </c>
      <c r="BP25" s="13">
        <f>IFERROR(VLOOKUP($F25,'Visu totale'!$D$3:$DH$129,BP$1,0),0)</f>
        <v>0</v>
      </c>
      <c r="BQ25" s="13">
        <f>IFERROR(VLOOKUP($F25,'Visu totale'!$D$3:$DH$129,BQ$1,0),0)</f>
        <v>0</v>
      </c>
      <c r="BR25" s="13">
        <f>IFERROR(VLOOKUP($F25,'Visu totale'!$D$3:$DH$129,BR$1,0),0)</f>
        <v>0</v>
      </c>
      <c r="BS25" s="13">
        <f>IFERROR(VLOOKUP($F25,'Visu totale'!$D$3:$DH$129,BS$1,0),0)</f>
        <v>0</v>
      </c>
      <c r="BT25" s="13">
        <f>IFERROR(VLOOKUP($F25,'Visu totale'!$D$3:$DH$129,BT$1,0),0)</f>
        <v>0</v>
      </c>
      <c r="BU25" s="13">
        <f>IFERROR(VLOOKUP($F25,'Visu totale'!$D$3:$DH$129,BU$1,0),0)</f>
        <v>0</v>
      </c>
      <c r="BV25" s="13">
        <f>IFERROR(VLOOKUP($F25,'Visu totale'!$D$3:$DH$129,BV$1,0),0)</f>
        <v>0</v>
      </c>
      <c r="BW25" s="13">
        <f>IFERROR(VLOOKUP($F25,'Visu totale'!$D$3:$DH$129,BW$1,0),0)</f>
        <v>0</v>
      </c>
      <c r="BX25" s="13">
        <f>IFERROR(VLOOKUP($F25,'Visu totale'!$D$3:$DH$129,BX$1,0),0)</f>
        <v>0</v>
      </c>
      <c r="BY25" s="13">
        <f>IFERROR(VLOOKUP($F25,'Visu totale'!$D$3:$DH$129,BY$1,0),0)</f>
        <v>0</v>
      </c>
      <c r="BZ25" s="15">
        <f>IFERROR(VLOOKUP($F25,'Visu totale'!$D$3:$DH$129,BZ$1,0),0)</f>
        <v>0</v>
      </c>
      <c r="CA25" s="14">
        <f>IFERROR(VLOOKUP($F25,'Visu totale'!$D$3:$DH$129,CA$1,0),0)</f>
        <v>0</v>
      </c>
      <c r="CB25" s="13">
        <f>IFERROR(VLOOKUP($F25,'Visu totale'!$D$3:$DH$129,CB$1,0),0)</f>
        <v>0</v>
      </c>
      <c r="CC25" s="13">
        <f>IFERROR(VLOOKUP($F25,'Visu totale'!$D$3:$DH$129,CC$1,0),0)</f>
        <v>0</v>
      </c>
      <c r="CD25" s="13">
        <f>IFERROR(VLOOKUP($F25,'Visu totale'!$D$3:$DH$129,CD$1,0),0)</f>
        <v>0</v>
      </c>
      <c r="CE25" s="13">
        <f>IFERROR(VLOOKUP($F25,'Visu totale'!$D$3:$DH$129,CE$1,0),0)</f>
        <v>0</v>
      </c>
      <c r="CF25" s="13">
        <f>IFERROR(VLOOKUP($F25,'Visu totale'!$D$3:$DH$129,CF$1,0),0)</f>
        <v>0</v>
      </c>
      <c r="CG25" s="13">
        <f>IFERROR(VLOOKUP($F25,'Visu totale'!$D$3:$DH$129,CG$1,0),0)</f>
        <v>0</v>
      </c>
      <c r="CH25" s="13">
        <f>IFERROR(VLOOKUP($F25,'Visu totale'!$D$3:$DH$129,CH$1,0),0)</f>
        <v>0</v>
      </c>
      <c r="CI25" s="13">
        <f>IFERROR(VLOOKUP($F25,'Visu totale'!$D$3:$DH$129,CI$1,0),0)</f>
        <v>0</v>
      </c>
      <c r="CJ25" s="13">
        <f>IFERROR(VLOOKUP($F25,'Visu totale'!$D$3:$DH$129,CJ$1,0),0)</f>
        <v>0</v>
      </c>
      <c r="CK25" s="13">
        <f>IFERROR(VLOOKUP($F25,'Visu totale'!$D$3:$DH$129,CK$1,0),0)</f>
        <v>0</v>
      </c>
      <c r="CL25" s="15">
        <f>IFERROR(VLOOKUP($F25,'Visu totale'!$D$3:$DH$129,CL$1,0),0)</f>
        <v>0</v>
      </c>
      <c r="CM25" s="14">
        <f>IFERROR(VLOOKUP($F25,'Visu totale'!$D$3:$DH$129,CM$1,0),0)</f>
        <v>0</v>
      </c>
      <c r="CN25" s="13">
        <f>IFERROR(VLOOKUP($F25,'Visu totale'!$D$3:$DH$129,CN$1,0),0)</f>
        <v>0</v>
      </c>
      <c r="CO25" s="13">
        <f>IFERROR(VLOOKUP($F25,'Visu totale'!$D$3:$DH$129,CO$1,0),0)</f>
        <v>0</v>
      </c>
      <c r="CP25" s="13">
        <f>IFERROR(VLOOKUP($F25,'Visu totale'!$D$3:$DH$129,CP$1,0),0)</f>
        <v>0</v>
      </c>
      <c r="CQ25" s="13">
        <f>IFERROR(VLOOKUP($F25,'Visu totale'!$D$3:$DH$129,CQ$1,0),0)</f>
        <v>0</v>
      </c>
      <c r="CR25" s="13">
        <f>IFERROR(VLOOKUP($F25,'Visu totale'!$D$3:$DH$129,CR$1,0),0)</f>
        <v>0</v>
      </c>
      <c r="CS25" s="13">
        <f>IFERROR(VLOOKUP($F25,'Visu totale'!$D$3:$DH$129,CS$1,0),0)</f>
        <v>0</v>
      </c>
      <c r="CT25" s="13">
        <f>IFERROR(VLOOKUP($F25,'Visu totale'!$D$3:$DH$129,CT$1,0),0)</f>
        <v>0</v>
      </c>
      <c r="CU25" s="13">
        <f>IFERROR(VLOOKUP($F25,'Visu totale'!$D$3:$DH$129,CU$1,0),0)</f>
        <v>0</v>
      </c>
      <c r="CV25" s="13">
        <f>IFERROR(VLOOKUP($F25,'Visu totale'!$D$3:$DH$129,CV$1,0),0)</f>
        <v>0</v>
      </c>
      <c r="CW25" s="13">
        <f>IFERROR(VLOOKUP($F25,'Visu totale'!$D$3:$DH$129,CW$1,0),0)</f>
        <v>0</v>
      </c>
      <c r="CX25" s="15">
        <f>IFERROR(VLOOKUP($F25,'Visu totale'!$D$3:$DH$129,CX$1,0),0)</f>
        <v>0</v>
      </c>
      <c r="CY25" s="14">
        <f>IFERROR(VLOOKUP($F25,'Visu totale'!$D$3:$DH$129,CY$1,0),0)</f>
        <v>0</v>
      </c>
      <c r="CZ25" s="13">
        <f>IFERROR(VLOOKUP($F25,'Visu totale'!$D$3:$DH$129,CZ$1,0),0)</f>
        <v>0</v>
      </c>
      <c r="DA25" s="13">
        <f>IFERROR(VLOOKUP($F25,'Visu totale'!$D$3:$DH$129,DA$1,0),0)</f>
        <v>0</v>
      </c>
      <c r="DB25" s="13">
        <f>IFERROR(VLOOKUP($F25,'Visu totale'!$D$3:$DH$129,DB$1,0),0)</f>
        <v>0</v>
      </c>
      <c r="DC25" s="13">
        <f>IFERROR(VLOOKUP($F25,'Visu totale'!$D$3:$DH$129,DC$1,0),0)</f>
        <v>0</v>
      </c>
      <c r="DD25" s="13">
        <f>IFERROR(VLOOKUP($F25,'Visu totale'!$D$3:$DH$129,DD$1,0),0)</f>
        <v>0</v>
      </c>
      <c r="DE25" s="13">
        <f>IFERROR(VLOOKUP($F25,'Visu totale'!$D$3:$DH$129,DE$1,0),0)</f>
        <v>0</v>
      </c>
      <c r="DF25" s="13">
        <f>IFERROR(VLOOKUP($F25,'Visu totale'!$D$3:$DH$129,DF$1,0),0)</f>
        <v>0</v>
      </c>
      <c r="DG25" s="13">
        <f>IFERROR(VLOOKUP($F25,'Visu totale'!$D$3:$DH$129,DG$1,0),0)</f>
        <v>0</v>
      </c>
      <c r="DH25" s="13">
        <f>IFERROR(VLOOKUP($F25,'Visu totale'!$D$3:$DH$129,DH$1,0),0)</f>
        <v>0</v>
      </c>
      <c r="DI25" s="13">
        <f>IFERROR(VLOOKUP($F25,'Visu totale'!$D$3:$DH$129,DI$1,0),0)</f>
        <v>0</v>
      </c>
      <c r="DJ25" s="15">
        <f>IFERROR(VLOOKUP($F25,'Visu totale'!$D$3:$DH$129,DJ$1,0),0)</f>
        <v>0</v>
      </c>
    </row>
    <row r="26" spans="1:114" s="12" customFormat="1" x14ac:dyDescent="0.25">
      <c r="A26" s="13"/>
      <c r="B26" s="13"/>
      <c r="C26" s="13"/>
      <c r="D26" s="13"/>
      <c r="E26" s="13"/>
      <c r="F26" s="17" t="s">
        <v>126</v>
      </c>
      <c r="G26" s="14">
        <f>IFERROR(VLOOKUP($F26,'Visu totale'!$D$3:$DH$129,G$1,0),0)</f>
        <v>0</v>
      </c>
      <c r="H26" s="13">
        <f>IFERROR(VLOOKUP($F26,'Visu totale'!$D$3:$DH$129,H$1,0),0)</f>
        <v>0</v>
      </c>
      <c r="I26" s="13">
        <f>IFERROR(VLOOKUP($F26,'Visu totale'!$D$3:$DH$129,I$1,0),0)</f>
        <v>0</v>
      </c>
      <c r="J26" s="13">
        <f>IFERROR(VLOOKUP($F26,'Visu totale'!$D$3:$DH$129,J$1,0),0)</f>
        <v>0</v>
      </c>
      <c r="K26" s="13">
        <f>IFERROR(VLOOKUP($F26,'Visu totale'!$D$3:$DH$129,K$1,0),0)</f>
        <v>0</v>
      </c>
      <c r="L26" s="13">
        <f>IFERROR(VLOOKUP($F26,'Visu totale'!$D$3:$DH$129,L$1,0),0)</f>
        <v>0</v>
      </c>
      <c r="M26" s="13">
        <f>IFERROR(VLOOKUP($F26,'Visu totale'!$D$3:$DH$129,M$1,0),0)</f>
        <v>0</v>
      </c>
      <c r="N26" s="13">
        <f>IFERROR(VLOOKUP($F26,'Visu totale'!$D$3:$DH$129,N$1,0),0)</f>
        <v>0</v>
      </c>
      <c r="O26" s="13">
        <f>IFERROR(VLOOKUP($F26,'Visu totale'!$D$3:$DH$129,O$1,0),0)</f>
        <v>0</v>
      </c>
      <c r="P26" s="13">
        <f>IFERROR(VLOOKUP($F26,'Visu totale'!$D$3:$DH$129,P$1,0),0)</f>
        <v>0</v>
      </c>
      <c r="Q26" s="13">
        <f>IFERROR(VLOOKUP($F26,'Visu totale'!$D$3:$DH$129,Q$1,0),0)</f>
        <v>0</v>
      </c>
      <c r="R26" s="15">
        <f>IFERROR(VLOOKUP($F26,'Visu totale'!$D$3:$DH$129,R$1,0),0)</f>
        <v>0</v>
      </c>
      <c r="S26" s="14">
        <f>IFERROR(VLOOKUP($F26,'Visu totale'!$D$3:$DH$129,S$1,0),0)</f>
        <v>0</v>
      </c>
      <c r="T26" s="13">
        <f>IFERROR(VLOOKUP($F26,'Visu totale'!$D$3:$DH$129,T$1,0),0)</f>
        <v>0</v>
      </c>
      <c r="U26" s="13">
        <f>IFERROR(VLOOKUP($F26,'Visu totale'!$D$3:$DH$129,U$1,0),0)</f>
        <v>0</v>
      </c>
      <c r="V26" s="13">
        <f>IFERROR(VLOOKUP($F26,'Visu totale'!$D$3:$DH$129,V$1,0),0)</f>
        <v>0</v>
      </c>
      <c r="W26" s="13">
        <f>IFERROR(VLOOKUP($F26,'Visu totale'!$D$3:$DH$129,W$1,0),0)</f>
        <v>0</v>
      </c>
      <c r="X26" s="13">
        <f>IFERROR(VLOOKUP($F26,'Visu totale'!$D$3:$DH$129,X$1,0),0)</f>
        <v>0</v>
      </c>
      <c r="Y26" s="13">
        <f>IFERROR(VLOOKUP($F26,'Visu totale'!$D$3:$DH$129,Y$1,0),0)</f>
        <v>0</v>
      </c>
      <c r="Z26" s="13">
        <f>IFERROR(VLOOKUP($F26,'Visu totale'!$D$3:$DH$129,Z$1,0),0)</f>
        <v>0</v>
      </c>
      <c r="AA26" s="13">
        <f>IFERROR(VLOOKUP($F26,'Visu totale'!$D$3:$DH$129,AA$1,0),0)</f>
        <v>0</v>
      </c>
      <c r="AB26" s="13">
        <f>IFERROR(VLOOKUP($F26,'Visu totale'!$D$3:$DH$129,AB$1,0),0)</f>
        <v>0</v>
      </c>
      <c r="AC26" s="13">
        <f>IFERROR(VLOOKUP($F26,'Visu totale'!$D$3:$DH$129,AC$1,0),0)</f>
        <v>0</v>
      </c>
      <c r="AD26" s="15">
        <f>IFERROR(VLOOKUP($F26,'Visu totale'!$D$3:$DH$129,AD$1,0),0)</f>
        <v>0</v>
      </c>
      <c r="AE26" s="14">
        <f>IFERROR(VLOOKUP($F26,'Visu totale'!$D$3:$DH$129,AE$1,0),0)</f>
        <v>0</v>
      </c>
      <c r="AF26" s="13">
        <f>IFERROR(VLOOKUP($F26,'Visu totale'!$D$3:$DH$129,AF$1,0),0)</f>
        <v>0</v>
      </c>
      <c r="AG26" s="13">
        <f>IFERROR(VLOOKUP($F26,'Visu totale'!$D$3:$DH$129,AG$1,0),0)</f>
        <v>0</v>
      </c>
      <c r="AH26" s="13">
        <f>IFERROR(VLOOKUP($F26,'Visu totale'!$D$3:$DH$129,AH$1,0),0)</f>
        <v>0</v>
      </c>
      <c r="AI26" s="13">
        <f>IFERROR(VLOOKUP($F26,'Visu totale'!$D$3:$DH$129,AI$1,0),0)</f>
        <v>0</v>
      </c>
      <c r="AJ26" s="13">
        <f>IFERROR(VLOOKUP($F26,'Visu totale'!$D$3:$DH$129,AJ$1,0),0)</f>
        <v>0</v>
      </c>
      <c r="AK26" s="13">
        <f>IFERROR(VLOOKUP($F26,'Visu totale'!$D$3:$DH$129,AK$1,0),0)</f>
        <v>0</v>
      </c>
      <c r="AL26" s="13">
        <f>IFERROR(VLOOKUP($F26,'Visu totale'!$D$3:$DH$129,AL$1,0),0)</f>
        <v>0</v>
      </c>
      <c r="AM26" s="13">
        <f>IFERROR(VLOOKUP($F26,'Visu totale'!$D$3:$DH$129,AM$1,0),0)</f>
        <v>0</v>
      </c>
      <c r="AN26" s="13">
        <f>IFERROR(VLOOKUP($F26,'Visu totale'!$D$3:$DH$129,AN$1,0),0)</f>
        <v>0</v>
      </c>
      <c r="AO26" s="13">
        <f>IFERROR(VLOOKUP($F26,'Visu totale'!$D$3:$DH$129,AO$1,0),0)</f>
        <v>0</v>
      </c>
      <c r="AP26" s="15">
        <f>IFERROR(VLOOKUP($F26,'Visu totale'!$D$3:$DH$129,AP$1,0),0)</f>
        <v>0</v>
      </c>
      <c r="AQ26" s="14">
        <f>IFERROR(VLOOKUP($F26,'Visu totale'!$D$3:$DH$129,AQ$1,0),0)</f>
        <v>0</v>
      </c>
      <c r="AR26" s="13">
        <f>IFERROR(VLOOKUP($F26,'Visu totale'!$D$3:$DH$129,AR$1,0),0)</f>
        <v>0</v>
      </c>
      <c r="AS26" s="13">
        <f>IFERROR(VLOOKUP($F26,'Visu totale'!$D$3:$DH$129,AS$1,0),0)</f>
        <v>0</v>
      </c>
      <c r="AT26" s="13">
        <f>IFERROR(VLOOKUP($F26,'Visu totale'!$D$3:$DH$129,AT$1,0),0)</f>
        <v>0</v>
      </c>
      <c r="AU26" s="13">
        <f>IFERROR(VLOOKUP($F26,'Visu totale'!$D$3:$DH$129,AU$1,0),0)</f>
        <v>0</v>
      </c>
      <c r="AV26" s="13">
        <f>IFERROR(VLOOKUP($F26,'Visu totale'!$D$3:$DH$129,AV$1,0),0)</f>
        <v>0</v>
      </c>
      <c r="AW26" s="13">
        <f>IFERROR(VLOOKUP($F26,'Visu totale'!$D$3:$DH$129,AW$1,0),0)</f>
        <v>0</v>
      </c>
      <c r="AX26" s="13">
        <f>IFERROR(VLOOKUP($F26,'Visu totale'!$D$3:$DH$129,AX$1,0),0)</f>
        <v>0</v>
      </c>
      <c r="AY26" s="13">
        <f>IFERROR(VLOOKUP($F26,'Visu totale'!$D$3:$DH$129,AY$1,0),0)</f>
        <v>0</v>
      </c>
      <c r="AZ26" s="13">
        <f>IFERROR(VLOOKUP($F26,'Visu totale'!$D$3:$DH$129,AZ$1,0),0)</f>
        <v>0</v>
      </c>
      <c r="BA26" s="13">
        <f>IFERROR(VLOOKUP($F26,'Visu totale'!$D$3:$DH$129,BA$1,0),0)</f>
        <v>0</v>
      </c>
      <c r="BB26" s="15">
        <f>IFERROR(VLOOKUP($F26,'Visu totale'!$D$3:$DH$129,BB$1,0),0)</f>
        <v>0</v>
      </c>
      <c r="BC26" s="14">
        <f>IFERROR(VLOOKUP($F26,'Visu totale'!$D$3:$DH$129,BC$1,0),0)</f>
        <v>0</v>
      </c>
      <c r="BD26" s="13">
        <f>IFERROR(VLOOKUP($F26,'Visu totale'!$D$3:$DH$129,BD$1,0),0)</f>
        <v>0</v>
      </c>
      <c r="BE26" s="13">
        <f>IFERROR(VLOOKUP($F26,'Visu totale'!$D$3:$DH$129,BE$1,0),0)</f>
        <v>0</v>
      </c>
      <c r="BF26" s="13">
        <f>IFERROR(VLOOKUP($F26,'Visu totale'!$D$3:$DH$129,BF$1,0),0)</f>
        <v>0</v>
      </c>
      <c r="BG26" s="13">
        <f>IFERROR(VLOOKUP($F26,'Visu totale'!$D$3:$DH$129,BG$1,0),0)</f>
        <v>0</v>
      </c>
      <c r="BH26" s="13">
        <f>IFERROR(VLOOKUP($F26,'Visu totale'!$D$3:$DH$129,BH$1,0),0)</f>
        <v>0</v>
      </c>
      <c r="BI26" s="13">
        <f>IFERROR(VLOOKUP($F26,'Visu totale'!$D$3:$DH$129,BI$1,0),0)</f>
        <v>0</v>
      </c>
      <c r="BJ26" s="13">
        <f>IFERROR(VLOOKUP($F26,'Visu totale'!$D$3:$DH$129,BJ$1,0),0)</f>
        <v>0</v>
      </c>
      <c r="BK26" s="13">
        <f>IFERROR(VLOOKUP($F26,'Visu totale'!$D$3:$DH$129,BK$1,0),0)</f>
        <v>0</v>
      </c>
      <c r="BL26" s="13">
        <f>IFERROR(VLOOKUP($F26,'Visu totale'!$D$3:$DH$129,BL$1,0),0)</f>
        <v>0</v>
      </c>
      <c r="BM26" s="13">
        <f>IFERROR(VLOOKUP($F26,'Visu totale'!$D$3:$DH$129,BM$1,0),0)</f>
        <v>0</v>
      </c>
      <c r="BN26" s="15">
        <f>IFERROR(VLOOKUP($F26,'Visu totale'!$D$3:$DH$129,BN$1,0),0)</f>
        <v>0</v>
      </c>
      <c r="BO26" s="14">
        <f>IFERROR(VLOOKUP($F26,'Visu totale'!$D$3:$DH$129,BO$1,0),0)</f>
        <v>0</v>
      </c>
      <c r="BP26" s="13">
        <f>IFERROR(VLOOKUP($F26,'Visu totale'!$D$3:$DH$129,BP$1,0),0)</f>
        <v>0</v>
      </c>
      <c r="BQ26" s="13">
        <f>IFERROR(VLOOKUP($F26,'Visu totale'!$D$3:$DH$129,BQ$1,0),0)</f>
        <v>0</v>
      </c>
      <c r="BR26" s="13">
        <f>IFERROR(VLOOKUP($F26,'Visu totale'!$D$3:$DH$129,BR$1,0),0)</f>
        <v>0</v>
      </c>
      <c r="BS26" s="13">
        <f>IFERROR(VLOOKUP($F26,'Visu totale'!$D$3:$DH$129,BS$1,0),0)</f>
        <v>0</v>
      </c>
      <c r="BT26" s="13">
        <f>IFERROR(VLOOKUP($F26,'Visu totale'!$D$3:$DH$129,BT$1,0),0)</f>
        <v>0</v>
      </c>
      <c r="BU26" s="13">
        <f>IFERROR(VLOOKUP($F26,'Visu totale'!$D$3:$DH$129,BU$1,0),0)</f>
        <v>0</v>
      </c>
      <c r="BV26" s="13">
        <f>IFERROR(VLOOKUP($F26,'Visu totale'!$D$3:$DH$129,BV$1,0),0)</f>
        <v>0</v>
      </c>
      <c r="BW26" s="13">
        <f>IFERROR(VLOOKUP($F26,'Visu totale'!$D$3:$DH$129,BW$1,0),0)</f>
        <v>0</v>
      </c>
      <c r="BX26" s="13">
        <f>IFERROR(VLOOKUP($F26,'Visu totale'!$D$3:$DH$129,BX$1,0),0)</f>
        <v>0</v>
      </c>
      <c r="BY26" s="13">
        <f>IFERROR(VLOOKUP($F26,'Visu totale'!$D$3:$DH$129,BY$1,0),0)</f>
        <v>0</v>
      </c>
      <c r="BZ26" s="15">
        <f>IFERROR(VLOOKUP($F26,'Visu totale'!$D$3:$DH$129,BZ$1,0),0)</f>
        <v>0</v>
      </c>
      <c r="CA26" s="14">
        <f>IFERROR(VLOOKUP($F26,'Visu totale'!$D$3:$DH$129,CA$1,0),0)</f>
        <v>0</v>
      </c>
      <c r="CB26" s="13">
        <f>IFERROR(VLOOKUP($F26,'Visu totale'!$D$3:$DH$129,CB$1,0),0)</f>
        <v>0</v>
      </c>
      <c r="CC26" s="13">
        <f>IFERROR(VLOOKUP($F26,'Visu totale'!$D$3:$DH$129,CC$1,0),0)</f>
        <v>0</v>
      </c>
      <c r="CD26" s="13">
        <f>IFERROR(VLOOKUP($F26,'Visu totale'!$D$3:$DH$129,CD$1,0),0)</f>
        <v>0</v>
      </c>
      <c r="CE26" s="13">
        <f>IFERROR(VLOOKUP($F26,'Visu totale'!$D$3:$DH$129,CE$1,0),0)</f>
        <v>0</v>
      </c>
      <c r="CF26" s="13">
        <f>IFERROR(VLOOKUP($F26,'Visu totale'!$D$3:$DH$129,CF$1,0),0)</f>
        <v>0</v>
      </c>
      <c r="CG26" s="13">
        <f>IFERROR(VLOOKUP($F26,'Visu totale'!$D$3:$DH$129,CG$1,0),0)</f>
        <v>0</v>
      </c>
      <c r="CH26" s="13">
        <f>IFERROR(VLOOKUP($F26,'Visu totale'!$D$3:$DH$129,CH$1,0),0)</f>
        <v>0</v>
      </c>
      <c r="CI26" s="13">
        <f>IFERROR(VLOOKUP($F26,'Visu totale'!$D$3:$DH$129,CI$1,0),0)</f>
        <v>0</v>
      </c>
      <c r="CJ26" s="13">
        <f>IFERROR(VLOOKUP($F26,'Visu totale'!$D$3:$DH$129,CJ$1,0),0)</f>
        <v>0</v>
      </c>
      <c r="CK26" s="13">
        <f>IFERROR(VLOOKUP($F26,'Visu totale'!$D$3:$DH$129,CK$1,0),0)</f>
        <v>0</v>
      </c>
      <c r="CL26" s="15">
        <f>IFERROR(VLOOKUP($F26,'Visu totale'!$D$3:$DH$129,CL$1,0),0)</f>
        <v>0</v>
      </c>
      <c r="CM26" s="14">
        <f>IFERROR(VLOOKUP($F26,'Visu totale'!$D$3:$DH$129,CM$1,0),0)</f>
        <v>0</v>
      </c>
      <c r="CN26" s="13">
        <f>IFERROR(VLOOKUP($F26,'Visu totale'!$D$3:$DH$129,CN$1,0),0)</f>
        <v>0</v>
      </c>
      <c r="CO26" s="13">
        <f>IFERROR(VLOOKUP($F26,'Visu totale'!$D$3:$DH$129,CO$1,0),0)</f>
        <v>0</v>
      </c>
      <c r="CP26" s="13">
        <f>IFERROR(VLOOKUP($F26,'Visu totale'!$D$3:$DH$129,CP$1,0),0)</f>
        <v>0</v>
      </c>
      <c r="CQ26" s="13">
        <f>IFERROR(VLOOKUP($F26,'Visu totale'!$D$3:$DH$129,CQ$1,0),0)</f>
        <v>0</v>
      </c>
      <c r="CR26" s="13">
        <f>IFERROR(VLOOKUP($F26,'Visu totale'!$D$3:$DH$129,CR$1,0),0)</f>
        <v>0</v>
      </c>
      <c r="CS26" s="13">
        <f>IFERROR(VLOOKUP($F26,'Visu totale'!$D$3:$DH$129,CS$1,0),0)</f>
        <v>0</v>
      </c>
      <c r="CT26" s="13">
        <f>IFERROR(VLOOKUP($F26,'Visu totale'!$D$3:$DH$129,CT$1,0),0)</f>
        <v>0</v>
      </c>
      <c r="CU26" s="13">
        <f>IFERROR(VLOOKUP($F26,'Visu totale'!$D$3:$DH$129,CU$1,0),0)</f>
        <v>0</v>
      </c>
      <c r="CV26" s="13">
        <f>IFERROR(VLOOKUP($F26,'Visu totale'!$D$3:$DH$129,CV$1,0),0)</f>
        <v>0</v>
      </c>
      <c r="CW26" s="13">
        <f>IFERROR(VLOOKUP($F26,'Visu totale'!$D$3:$DH$129,CW$1,0),0)</f>
        <v>0</v>
      </c>
      <c r="CX26" s="15">
        <f>IFERROR(VLOOKUP($F26,'Visu totale'!$D$3:$DH$129,CX$1,0),0)</f>
        <v>0</v>
      </c>
      <c r="CY26" s="14">
        <f>IFERROR(VLOOKUP($F26,'Visu totale'!$D$3:$DH$129,CY$1,0),0)</f>
        <v>0</v>
      </c>
      <c r="CZ26" s="13">
        <f>IFERROR(VLOOKUP($F26,'Visu totale'!$D$3:$DH$129,CZ$1,0),0)</f>
        <v>0</v>
      </c>
      <c r="DA26" s="13">
        <f>IFERROR(VLOOKUP($F26,'Visu totale'!$D$3:$DH$129,DA$1,0),0)</f>
        <v>0</v>
      </c>
      <c r="DB26" s="13">
        <f>IFERROR(VLOOKUP($F26,'Visu totale'!$D$3:$DH$129,DB$1,0),0)</f>
        <v>0</v>
      </c>
      <c r="DC26" s="13">
        <f>IFERROR(VLOOKUP($F26,'Visu totale'!$D$3:$DH$129,DC$1,0),0)</f>
        <v>0</v>
      </c>
      <c r="DD26" s="13">
        <f>IFERROR(VLOOKUP($F26,'Visu totale'!$D$3:$DH$129,DD$1,0),0)</f>
        <v>0</v>
      </c>
      <c r="DE26" s="13">
        <f>IFERROR(VLOOKUP($F26,'Visu totale'!$D$3:$DH$129,DE$1,0),0)</f>
        <v>0</v>
      </c>
      <c r="DF26" s="13">
        <f>IFERROR(VLOOKUP($F26,'Visu totale'!$D$3:$DH$129,DF$1,0),0)</f>
        <v>0</v>
      </c>
      <c r="DG26" s="13">
        <f>IFERROR(VLOOKUP($F26,'Visu totale'!$D$3:$DH$129,DG$1,0),0)</f>
        <v>0</v>
      </c>
      <c r="DH26" s="13">
        <f>IFERROR(VLOOKUP($F26,'Visu totale'!$D$3:$DH$129,DH$1,0),0)</f>
        <v>0</v>
      </c>
      <c r="DI26" s="13">
        <f>IFERROR(VLOOKUP($F26,'Visu totale'!$D$3:$DH$129,DI$1,0),0)</f>
        <v>0</v>
      </c>
      <c r="DJ26" s="15">
        <f>IFERROR(VLOOKUP($F26,'Visu totale'!$D$3:$DH$129,DJ$1,0),0)</f>
        <v>0</v>
      </c>
    </row>
    <row r="27" spans="1:114" s="12" customFormat="1" x14ac:dyDescent="0.25">
      <c r="A27" s="13"/>
      <c r="B27" s="13"/>
      <c r="C27" s="13"/>
      <c r="D27" s="13"/>
      <c r="E27" s="13"/>
      <c r="F27" s="17" t="s">
        <v>127</v>
      </c>
      <c r="G27" s="14">
        <f>IFERROR(VLOOKUP($F27,'Visu totale'!$D$3:$DH$129,G$1,0),0)</f>
        <v>0</v>
      </c>
      <c r="H27" s="13">
        <f>IFERROR(VLOOKUP($F27,'Visu totale'!$D$3:$DH$129,H$1,0),0)</f>
        <v>0</v>
      </c>
      <c r="I27" s="13">
        <f>IFERROR(VLOOKUP($F27,'Visu totale'!$D$3:$DH$129,I$1,0),0)</f>
        <v>0</v>
      </c>
      <c r="J27" s="13">
        <f>IFERROR(VLOOKUP($F27,'Visu totale'!$D$3:$DH$129,J$1,0),0)</f>
        <v>0</v>
      </c>
      <c r="K27" s="13">
        <f>IFERROR(VLOOKUP($F27,'Visu totale'!$D$3:$DH$129,K$1,0),0)</f>
        <v>0</v>
      </c>
      <c r="L27" s="13">
        <f>IFERROR(VLOOKUP($F27,'Visu totale'!$D$3:$DH$129,L$1,0),0)</f>
        <v>0</v>
      </c>
      <c r="M27" s="13">
        <f>IFERROR(VLOOKUP($F27,'Visu totale'!$D$3:$DH$129,M$1,0),0)</f>
        <v>0</v>
      </c>
      <c r="N27" s="13">
        <f>IFERROR(VLOOKUP($F27,'Visu totale'!$D$3:$DH$129,N$1,0),0)</f>
        <v>0</v>
      </c>
      <c r="O27" s="13">
        <f>IFERROR(VLOOKUP($F27,'Visu totale'!$D$3:$DH$129,O$1,0),0)</f>
        <v>0</v>
      </c>
      <c r="P27" s="13">
        <f>IFERROR(VLOOKUP($F27,'Visu totale'!$D$3:$DH$129,P$1,0),0)</f>
        <v>0</v>
      </c>
      <c r="Q27" s="13">
        <f>IFERROR(VLOOKUP($F27,'Visu totale'!$D$3:$DH$129,Q$1,0),0)</f>
        <v>0</v>
      </c>
      <c r="R27" s="15">
        <f>IFERROR(VLOOKUP($F27,'Visu totale'!$D$3:$DH$129,R$1,0),0)</f>
        <v>0</v>
      </c>
      <c r="S27" s="14">
        <f>IFERROR(VLOOKUP($F27,'Visu totale'!$D$3:$DH$129,S$1,0),0)</f>
        <v>0</v>
      </c>
      <c r="T27" s="13">
        <f>IFERROR(VLOOKUP($F27,'Visu totale'!$D$3:$DH$129,T$1,0),0)</f>
        <v>0</v>
      </c>
      <c r="U27" s="13">
        <f>IFERROR(VLOOKUP($F27,'Visu totale'!$D$3:$DH$129,U$1,0),0)</f>
        <v>0</v>
      </c>
      <c r="V27" s="13">
        <f>IFERROR(VLOOKUP($F27,'Visu totale'!$D$3:$DH$129,V$1,0),0)</f>
        <v>0</v>
      </c>
      <c r="W27" s="13">
        <f>IFERROR(VLOOKUP($F27,'Visu totale'!$D$3:$DH$129,W$1,0),0)</f>
        <v>0</v>
      </c>
      <c r="X27" s="13">
        <f>IFERROR(VLOOKUP($F27,'Visu totale'!$D$3:$DH$129,X$1,0),0)</f>
        <v>0</v>
      </c>
      <c r="Y27" s="13">
        <f>IFERROR(VLOOKUP($F27,'Visu totale'!$D$3:$DH$129,Y$1,0),0)</f>
        <v>0</v>
      </c>
      <c r="Z27" s="13">
        <f>IFERROR(VLOOKUP($F27,'Visu totale'!$D$3:$DH$129,Z$1,0),0)</f>
        <v>0</v>
      </c>
      <c r="AA27" s="13">
        <f>IFERROR(VLOOKUP($F27,'Visu totale'!$D$3:$DH$129,AA$1,0),0)</f>
        <v>0</v>
      </c>
      <c r="AB27" s="13">
        <f>IFERROR(VLOOKUP($F27,'Visu totale'!$D$3:$DH$129,AB$1,0),0)</f>
        <v>0</v>
      </c>
      <c r="AC27" s="13">
        <f>IFERROR(VLOOKUP($F27,'Visu totale'!$D$3:$DH$129,AC$1,0),0)</f>
        <v>0</v>
      </c>
      <c r="AD27" s="15">
        <f>IFERROR(VLOOKUP($F27,'Visu totale'!$D$3:$DH$129,AD$1,0),0)</f>
        <v>0</v>
      </c>
      <c r="AE27" s="14">
        <f>IFERROR(VLOOKUP($F27,'Visu totale'!$D$3:$DH$129,AE$1,0),0)</f>
        <v>0</v>
      </c>
      <c r="AF27" s="13">
        <f>IFERROR(VLOOKUP($F27,'Visu totale'!$D$3:$DH$129,AF$1,0),0)</f>
        <v>0</v>
      </c>
      <c r="AG27" s="13">
        <f>IFERROR(VLOOKUP($F27,'Visu totale'!$D$3:$DH$129,AG$1,0),0)</f>
        <v>0</v>
      </c>
      <c r="AH27" s="13">
        <f>IFERROR(VLOOKUP($F27,'Visu totale'!$D$3:$DH$129,AH$1,0),0)</f>
        <v>0</v>
      </c>
      <c r="AI27" s="13">
        <f>IFERROR(VLOOKUP($F27,'Visu totale'!$D$3:$DH$129,AI$1,0),0)</f>
        <v>0</v>
      </c>
      <c r="AJ27" s="13">
        <f>IFERROR(VLOOKUP($F27,'Visu totale'!$D$3:$DH$129,AJ$1,0),0)</f>
        <v>0</v>
      </c>
      <c r="AK27" s="13">
        <f>IFERROR(VLOOKUP($F27,'Visu totale'!$D$3:$DH$129,AK$1,0),0)</f>
        <v>0</v>
      </c>
      <c r="AL27" s="13">
        <f>IFERROR(VLOOKUP($F27,'Visu totale'!$D$3:$DH$129,AL$1,0),0)</f>
        <v>0</v>
      </c>
      <c r="AM27" s="13">
        <f>IFERROR(VLOOKUP($F27,'Visu totale'!$D$3:$DH$129,AM$1,0),0)</f>
        <v>0</v>
      </c>
      <c r="AN27" s="13">
        <f>IFERROR(VLOOKUP($F27,'Visu totale'!$D$3:$DH$129,AN$1,0),0)</f>
        <v>0</v>
      </c>
      <c r="AO27" s="13">
        <f>IFERROR(VLOOKUP($F27,'Visu totale'!$D$3:$DH$129,AO$1,0),0)</f>
        <v>0</v>
      </c>
      <c r="AP27" s="15">
        <f>IFERROR(VLOOKUP($F27,'Visu totale'!$D$3:$DH$129,AP$1,0),0)</f>
        <v>0</v>
      </c>
      <c r="AQ27" s="14">
        <f>IFERROR(VLOOKUP($F27,'Visu totale'!$D$3:$DH$129,AQ$1,0),0)</f>
        <v>0</v>
      </c>
      <c r="AR27" s="13">
        <f>IFERROR(VLOOKUP($F27,'Visu totale'!$D$3:$DH$129,AR$1,0),0)</f>
        <v>0</v>
      </c>
      <c r="AS27" s="13">
        <f>IFERROR(VLOOKUP($F27,'Visu totale'!$D$3:$DH$129,AS$1,0),0)</f>
        <v>0</v>
      </c>
      <c r="AT27" s="13">
        <f>IFERROR(VLOOKUP($F27,'Visu totale'!$D$3:$DH$129,AT$1,0),0)</f>
        <v>0</v>
      </c>
      <c r="AU27" s="13">
        <f>IFERROR(VLOOKUP($F27,'Visu totale'!$D$3:$DH$129,AU$1,0),0)</f>
        <v>0</v>
      </c>
      <c r="AV27" s="13">
        <f>IFERROR(VLOOKUP($F27,'Visu totale'!$D$3:$DH$129,AV$1,0),0)</f>
        <v>0</v>
      </c>
      <c r="AW27" s="13">
        <f>IFERROR(VLOOKUP($F27,'Visu totale'!$D$3:$DH$129,AW$1,0),0)</f>
        <v>0</v>
      </c>
      <c r="AX27" s="13">
        <f>IFERROR(VLOOKUP($F27,'Visu totale'!$D$3:$DH$129,AX$1,0),0)</f>
        <v>0</v>
      </c>
      <c r="AY27" s="13">
        <f>IFERROR(VLOOKUP($F27,'Visu totale'!$D$3:$DH$129,AY$1,0),0)</f>
        <v>0</v>
      </c>
      <c r="AZ27" s="13">
        <f>IFERROR(VLOOKUP($F27,'Visu totale'!$D$3:$DH$129,AZ$1,0),0)</f>
        <v>0</v>
      </c>
      <c r="BA27" s="13">
        <f>IFERROR(VLOOKUP($F27,'Visu totale'!$D$3:$DH$129,BA$1,0),0)</f>
        <v>0</v>
      </c>
      <c r="BB27" s="15">
        <f>IFERROR(VLOOKUP($F27,'Visu totale'!$D$3:$DH$129,BB$1,0),0)</f>
        <v>0</v>
      </c>
      <c r="BC27" s="14">
        <f>IFERROR(VLOOKUP($F27,'Visu totale'!$D$3:$DH$129,BC$1,0),0)</f>
        <v>0</v>
      </c>
      <c r="BD27" s="13">
        <f>IFERROR(VLOOKUP($F27,'Visu totale'!$D$3:$DH$129,BD$1,0),0)</f>
        <v>0</v>
      </c>
      <c r="BE27" s="13">
        <f>IFERROR(VLOOKUP($F27,'Visu totale'!$D$3:$DH$129,BE$1,0),0)</f>
        <v>0</v>
      </c>
      <c r="BF27" s="13">
        <f>IFERROR(VLOOKUP($F27,'Visu totale'!$D$3:$DH$129,BF$1,0),0)</f>
        <v>0</v>
      </c>
      <c r="BG27" s="13">
        <f>IFERROR(VLOOKUP($F27,'Visu totale'!$D$3:$DH$129,BG$1,0),0)</f>
        <v>0</v>
      </c>
      <c r="BH27" s="13">
        <f>IFERROR(VLOOKUP($F27,'Visu totale'!$D$3:$DH$129,BH$1,0),0)</f>
        <v>0</v>
      </c>
      <c r="BI27" s="13">
        <f>IFERROR(VLOOKUP($F27,'Visu totale'!$D$3:$DH$129,BI$1,0),0)</f>
        <v>0</v>
      </c>
      <c r="BJ27" s="13">
        <f>IFERROR(VLOOKUP($F27,'Visu totale'!$D$3:$DH$129,BJ$1,0),0)</f>
        <v>0</v>
      </c>
      <c r="BK27" s="13">
        <f>IFERROR(VLOOKUP($F27,'Visu totale'!$D$3:$DH$129,BK$1,0),0)</f>
        <v>0</v>
      </c>
      <c r="BL27" s="13">
        <f>IFERROR(VLOOKUP($F27,'Visu totale'!$D$3:$DH$129,BL$1,0),0)</f>
        <v>0</v>
      </c>
      <c r="BM27" s="13">
        <f>IFERROR(VLOOKUP($F27,'Visu totale'!$D$3:$DH$129,BM$1,0),0)</f>
        <v>0</v>
      </c>
      <c r="BN27" s="15">
        <f>IFERROR(VLOOKUP($F27,'Visu totale'!$D$3:$DH$129,BN$1,0),0)</f>
        <v>0</v>
      </c>
      <c r="BO27" s="14">
        <f>IFERROR(VLOOKUP($F27,'Visu totale'!$D$3:$DH$129,BO$1,0),0)</f>
        <v>0</v>
      </c>
      <c r="BP27" s="13">
        <f>IFERROR(VLOOKUP($F27,'Visu totale'!$D$3:$DH$129,BP$1,0),0)</f>
        <v>0</v>
      </c>
      <c r="BQ27" s="13">
        <f>IFERROR(VLOOKUP($F27,'Visu totale'!$D$3:$DH$129,BQ$1,0),0)</f>
        <v>0</v>
      </c>
      <c r="BR27" s="13">
        <f>IFERROR(VLOOKUP($F27,'Visu totale'!$D$3:$DH$129,BR$1,0),0)</f>
        <v>0</v>
      </c>
      <c r="BS27" s="13">
        <f>IFERROR(VLOOKUP($F27,'Visu totale'!$D$3:$DH$129,BS$1,0),0)</f>
        <v>0</v>
      </c>
      <c r="BT27" s="13">
        <f>IFERROR(VLOOKUP($F27,'Visu totale'!$D$3:$DH$129,BT$1,0),0)</f>
        <v>0</v>
      </c>
      <c r="BU27" s="13">
        <f>IFERROR(VLOOKUP($F27,'Visu totale'!$D$3:$DH$129,BU$1,0),0)</f>
        <v>0</v>
      </c>
      <c r="BV27" s="13">
        <f>IFERROR(VLOOKUP($F27,'Visu totale'!$D$3:$DH$129,BV$1,0),0)</f>
        <v>0</v>
      </c>
      <c r="BW27" s="13">
        <f>IFERROR(VLOOKUP($F27,'Visu totale'!$D$3:$DH$129,BW$1,0),0)</f>
        <v>0</v>
      </c>
      <c r="BX27" s="13">
        <f>IFERROR(VLOOKUP($F27,'Visu totale'!$D$3:$DH$129,BX$1,0),0)</f>
        <v>0</v>
      </c>
      <c r="BY27" s="13">
        <f>IFERROR(VLOOKUP($F27,'Visu totale'!$D$3:$DH$129,BY$1,0),0)</f>
        <v>0</v>
      </c>
      <c r="BZ27" s="15">
        <f>IFERROR(VLOOKUP($F27,'Visu totale'!$D$3:$DH$129,BZ$1,0),0)</f>
        <v>0</v>
      </c>
      <c r="CA27" s="14">
        <f>IFERROR(VLOOKUP($F27,'Visu totale'!$D$3:$DH$129,CA$1,0),0)</f>
        <v>0</v>
      </c>
      <c r="CB27" s="13">
        <f>IFERROR(VLOOKUP($F27,'Visu totale'!$D$3:$DH$129,CB$1,0),0)</f>
        <v>0</v>
      </c>
      <c r="CC27" s="13">
        <f>IFERROR(VLOOKUP($F27,'Visu totale'!$D$3:$DH$129,CC$1,0),0)</f>
        <v>0</v>
      </c>
      <c r="CD27" s="13">
        <f>IFERROR(VLOOKUP($F27,'Visu totale'!$D$3:$DH$129,CD$1,0),0)</f>
        <v>0</v>
      </c>
      <c r="CE27" s="13">
        <f>IFERROR(VLOOKUP($F27,'Visu totale'!$D$3:$DH$129,CE$1,0),0)</f>
        <v>0</v>
      </c>
      <c r="CF27" s="13">
        <f>IFERROR(VLOOKUP($F27,'Visu totale'!$D$3:$DH$129,CF$1,0),0)</f>
        <v>0</v>
      </c>
      <c r="CG27" s="13">
        <f>IFERROR(VLOOKUP($F27,'Visu totale'!$D$3:$DH$129,CG$1,0),0)</f>
        <v>0</v>
      </c>
      <c r="CH27" s="13">
        <f>IFERROR(VLOOKUP($F27,'Visu totale'!$D$3:$DH$129,CH$1,0),0)</f>
        <v>0</v>
      </c>
      <c r="CI27" s="13">
        <f>IFERROR(VLOOKUP($F27,'Visu totale'!$D$3:$DH$129,CI$1,0),0)</f>
        <v>0</v>
      </c>
      <c r="CJ27" s="13">
        <f>IFERROR(VLOOKUP($F27,'Visu totale'!$D$3:$DH$129,CJ$1,0),0)</f>
        <v>0</v>
      </c>
      <c r="CK27" s="13">
        <f>IFERROR(VLOOKUP($F27,'Visu totale'!$D$3:$DH$129,CK$1,0),0)</f>
        <v>0</v>
      </c>
      <c r="CL27" s="15">
        <f>IFERROR(VLOOKUP($F27,'Visu totale'!$D$3:$DH$129,CL$1,0),0)</f>
        <v>0</v>
      </c>
      <c r="CM27" s="14">
        <f>IFERROR(VLOOKUP($F27,'Visu totale'!$D$3:$DH$129,CM$1,0),0)</f>
        <v>0</v>
      </c>
      <c r="CN27" s="13">
        <f>IFERROR(VLOOKUP($F27,'Visu totale'!$D$3:$DH$129,CN$1,0),0)</f>
        <v>0</v>
      </c>
      <c r="CO27" s="13">
        <f>IFERROR(VLOOKUP($F27,'Visu totale'!$D$3:$DH$129,CO$1,0),0)</f>
        <v>0</v>
      </c>
      <c r="CP27" s="13">
        <f>IFERROR(VLOOKUP($F27,'Visu totale'!$D$3:$DH$129,CP$1,0),0)</f>
        <v>0</v>
      </c>
      <c r="CQ27" s="13">
        <f>IFERROR(VLOOKUP($F27,'Visu totale'!$D$3:$DH$129,CQ$1,0),0)</f>
        <v>0</v>
      </c>
      <c r="CR27" s="13">
        <f>IFERROR(VLOOKUP($F27,'Visu totale'!$D$3:$DH$129,CR$1,0),0)</f>
        <v>0</v>
      </c>
      <c r="CS27" s="13">
        <f>IFERROR(VLOOKUP($F27,'Visu totale'!$D$3:$DH$129,CS$1,0),0)</f>
        <v>0</v>
      </c>
      <c r="CT27" s="13">
        <f>IFERROR(VLOOKUP($F27,'Visu totale'!$D$3:$DH$129,CT$1,0),0)</f>
        <v>0</v>
      </c>
      <c r="CU27" s="13">
        <f>IFERROR(VLOOKUP($F27,'Visu totale'!$D$3:$DH$129,CU$1,0),0)</f>
        <v>0</v>
      </c>
      <c r="CV27" s="13">
        <f>IFERROR(VLOOKUP($F27,'Visu totale'!$D$3:$DH$129,CV$1,0),0)</f>
        <v>0</v>
      </c>
      <c r="CW27" s="13">
        <f>IFERROR(VLOOKUP($F27,'Visu totale'!$D$3:$DH$129,CW$1,0),0)</f>
        <v>0</v>
      </c>
      <c r="CX27" s="15">
        <f>IFERROR(VLOOKUP($F27,'Visu totale'!$D$3:$DH$129,CX$1,0),0)</f>
        <v>0</v>
      </c>
      <c r="CY27" s="14">
        <f>IFERROR(VLOOKUP($F27,'Visu totale'!$D$3:$DH$129,CY$1,0),0)</f>
        <v>0</v>
      </c>
      <c r="CZ27" s="13">
        <f>IFERROR(VLOOKUP($F27,'Visu totale'!$D$3:$DH$129,CZ$1,0),0)</f>
        <v>0</v>
      </c>
      <c r="DA27" s="13">
        <f>IFERROR(VLOOKUP($F27,'Visu totale'!$D$3:$DH$129,DA$1,0),0)</f>
        <v>0</v>
      </c>
      <c r="DB27" s="13">
        <f>IFERROR(VLOOKUP($F27,'Visu totale'!$D$3:$DH$129,DB$1,0),0)</f>
        <v>0</v>
      </c>
      <c r="DC27" s="13">
        <f>IFERROR(VLOOKUP($F27,'Visu totale'!$D$3:$DH$129,DC$1,0),0)</f>
        <v>0</v>
      </c>
      <c r="DD27" s="13">
        <f>IFERROR(VLOOKUP($F27,'Visu totale'!$D$3:$DH$129,DD$1,0),0)</f>
        <v>0</v>
      </c>
      <c r="DE27" s="13">
        <f>IFERROR(VLOOKUP($F27,'Visu totale'!$D$3:$DH$129,DE$1,0),0)</f>
        <v>0</v>
      </c>
      <c r="DF27" s="13">
        <f>IFERROR(VLOOKUP($F27,'Visu totale'!$D$3:$DH$129,DF$1,0),0)</f>
        <v>0</v>
      </c>
      <c r="DG27" s="13">
        <f>IFERROR(VLOOKUP($F27,'Visu totale'!$D$3:$DH$129,DG$1,0),0)</f>
        <v>0</v>
      </c>
      <c r="DH27" s="13">
        <f>IFERROR(VLOOKUP($F27,'Visu totale'!$D$3:$DH$129,DH$1,0),0)</f>
        <v>0</v>
      </c>
      <c r="DI27" s="13">
        <f>IFERROR(VLOOKUP($F27,'Visu totale'!$D$3:$DH$129,DI$1,0),0)</f>
        <v>0</v>
      </c>
      <c r="DJ27" s="15">
        <f>IFERROR(VLOOKUP($F27,'Visu totale'!$D$3:$DH$129,DJ$1,0),0)</f>
        <v>0</v>
      </c>
    </row>
    <row r="28" spans="1:114" s="12" customFormat="1" x14ac:dyDescent="0.25">
      <c r="A28" s="13"/>
      <c r="B28" s="13"/>
      <c r="C28" s="13"/>
      <c r="D28" s="13"/>
      <c r="E28" s="13"/>
      <c r="F28" s="17" t="s">
        <v>128</v>
      </c>
      <c r="G28" s="14">
        <f>IFERROR(VLOOKUP($F28,'Visu totale'!$D$3:$DH$129,G$1,0),0)</f>
        <v>0</v>
      </c>
      <c r="H28" s="13">
        <f>IFERROR(VLOOKUP($F28,'Visu totale'!$D$3:$DH$129,H$1,0),0)</f>
        <v>0</v>
      </c>
      <c r="I28" s="13">
        <f>IFERROR(VLOOKUP($F28,'Visu totale'!$D$3:$DH$129,I$1,0),0)</f>
        <v>0</v>
      </c>
      <c r="J28" s="13">
        <f>IFERROR(VLOOKUP($F28,'Visu totale'!$D$3:$DH$129,J$1,0),0)</f>
        <v>0</v>
      </c>
      <c r="K28" s="13">
        <f>IFERROR(VLOOKUP($F28,'Visu totale'!$D$3:$DH$129,K$1,0),0)</f>
        <v>0</v>
      </c>
      <c r="L28" s="13">
        <f>IFERROR(VLOOKUP($F28,'Visu totale'!$D$3:$DH$129,L$1,0),0)</f>
        <v>0</v>
      </c>
      <c r="M28" s="13">
        <f>IFERROR(VLOOKUP($F28,'Visu totale'!$D$3:$DH$129,M$1,0),0)</f>
        <v>0</v>
      </c>
      <c r="N28" s="13">
        <f>IFERROR(VLOOKUP($F28,'Visu totale'!$D$3:$DH$129,N$1,0),0)</f>
        <v>0</v>
      </c>
      <c r="O28" s="13">
        <f>IFERROR(VLOOKUP($F28,'Visu totale'!$D$3:$DH$129,O$1,0),0)</f>
        <v>0</v>
      </c>
      <c r="P28" s="13">
        <f>IFERROR(VLOOKUP($F28,'Visu totale'!$D$3:$DH$129,P$1,0),0)</f>
        <v>0</v>
      </c>
      <c r="Q28" s="13">
        <f>IFERROR(VLOOKUP($F28,'Visu totale'!$D$3:$DH$129,Q$1,0),0)</f>
        <v>0</v>
      </c>
      <c r="R28" s="15">
        <f>IFERROR(VLOOKUP($F28,'Visu totale'!$D$3:$DH$129,R$1,0),0)</f>
        <v>0</v>
      </c>
      <c r="S28" s="14">
        <f>IFERROR(VLOOKUP($F28,'Visu totale'!$D$3:$DH$129,S$1,0),0)</f>
        <v>0</v>
      </c>
      <c r="T28" s="13">
        <f>IFERROR(VLOOKUP($F28,'Visu totale'!$D$3:$DH$129,T$1,0),0)</f>
        <v>0</v>
      </c>
      <c r="U28" s="13">
        <f>IFERROR(VLOOKUP($F28,'Visu totale'!$D$3:$DH$129,U$1,0),0)</f>
        <v>0</v>
      </c>
      <c r="V28" s="13">
        <f>IFERROR(VLOOKUP($F28,'Visu totale'!$D$3:$DH$129,V$1,0),0)</f>
        <v>0</v>
      </c>
      <c r="W28" s="13">
        <f>IFERROR(VLOOKUP($F28,'Visu totale'!$D$3:$DH$129,W$1,0),0)</f>
        <v>0</v>
      </c>
      <c r="X28" s="13">
        <f>IFERROR(VLOOKUP($F28,'Visu totale'!$D$3:$DH$129,X$1,0),0)</f>
        <v>0</v>
      </c>
      <c r="Y28" s="13">
        <f>IFERROR(VLOOKUP($F28,'Visu totale'!$D$3:$DH$129,Y$1,0),0)</f>
        <v>0</v>
      </c>
      <c r="Z28" s="13">
        <f>IFERROR(VLOOKUP($F28,'Visu totale'!$D$3:$DH$129,Z$1,0),0)</f>
        <v>0</v>
      </c>
      <c r="AA28" s="13">
        <f>IFERROR(VLOOKUP($F28,'Visu totale'!$D$3:$DH$129,AA$1,0),0)</f>
        <v>0</v>
      </c>
      <c r="AB28" s="13">
        <f>IFERROR(VLOOKUP($F28,'Visu totale'!$D$3:$DH$129,AB$1,0),0)</f>
        <v>0</v>
      </c>
      <c r="AC28" s="13">
        <f>IFERROR(VLOOKUP($F28,'Visu totale'!$D$3:$DH$129,AC$1,0),0)</f>
        <v>0</v>
      </c>
      <c r="AD28" s="15">
        <f>IFERROR(VLOOKUP($F28,'Visu totale'!$D$3:$DH$129,AD$1,0),0)</f>
        <v>0</v>
      </c>
      <c r="AE28" s="14">
        <f>IFERROR(VLOOKUP($F28,'Visu totale'!$D$3:$DH$129,AE$1,0),0)</f>
        <v>0</v>
      </c>
      <c r="AF28" s="13">
        <f>IFERROR(VLOOKUP($F28,'Visu totale'!$D$3:$DH$129,AF$1,0),0)</f>
        <v>0</v>
      </c>
      <c r="AG28" s="13">
        <f>IFERROR(VLOOKUP($F28,'Visu totale'!$D$3:$DH$129,AG$1,0),0)</f>
        <v>0</v>
      </c>
      <c r="AH28" s="13">
        <f>IFERROR(VLOOKUP($F28,'Visu totale'!$D$3:$DH$129,AH$1,0),0)</f>
        <v>0</v>
      </c>
      <c r="AI28" s="13">
        <f>IFERROR(VLOOKUP($F28,'Visu totale'!$D$3:$DH$129,AI$1,0),0)</f>
        <v>0</v>
      </c>
      <c r="AJ28" s="13">
        <f>IFERROR(VLOOKUP($F28,'Visu totale'!$D$3:$DH$129,AJ$1,0),0)</f>
        <v>0</v>
      </c>
      <c r="AK28" s="13">
        <f>IFERROR(VLOOKUP($F28,'Visu totale'!$D$3:$DH$129,AK$1,0),0)</f>
        <v>0</v>
      </c>
      <c r="AL28" s="13">
        <f>IFERROR(VLOOKUP($F28,'Visu totale'!$D$3:$DH$129,AL$1,0),0)</f>
        <v>0</v>
      </c>
      <c r="AM28" s="13">
        <f>IFERROR(VLOOKUP($F28,'Visu totale'!$D$3:$DH$129,AM$1,0),0)</f>
        <v>0</v>
      </c>
      <c r="AN28" s="13">
        <f>IFERROR(VLOOKUP($F28,'Visu totale'!$D$3:$DH$129,AN$1,0),0)</f>
        <v>0</v>
      </c>
      <c r="AO28" s="13">
        <f>IFERROR(VLOOKUP($F28,'Visu totale'!$D$3:$DH$129,AO$1,0),0)</f>
        <v>0</v>
      </c>
      <c r="AP28" s="15">
        <f>IFERROR(VLOOKUP($F28,'Visu totale'!$D$3:$DH$129,AP$1,0),0)</f>
        <v>0</v>
      </c>
      <c r="AQ28" s="14">
        <f>IFERROR(VLOOKUP($F28,'Visu totale'!$D$3:$DH$129,AQ$1,0),0)</f>
        <v>0</v>
      </c>
      <c r="AR28" s="13">
        <f>IFERROR(VLOOKUP($F28,'Visu totale'!$D$3:$DH$129,AR$1,0),0)</f>
        <v>0</v>
      </c>
      <c r="AS28" s="13">
        <f>IFERROR(VLOOKUP($F28,'Visu totale'!$D$3:$DH$129,AS$1,0),0)</f>
        <v>0</v>
      </c>
      <c r="AT28" s="13">
        <f>IFERROR(VLOOKUP($F28,'Visu totale'!$D$3:$DH$129,AT$1,0),0)</f>
        <v>0</v>
      </c>
      <c r="AU28" s="13">
        <f>IFERROR(VLOOKUP($F28,'Visu totale'!$D$3:$DH$129,AU$1,0),0)</f>
        <v>0</v>
      </c>
      <c r="AV28" s="13">
        <f>IFERROR(VLOOKUP($F28,'Visu totale'!$D$3:$DH$129,AV$1,0),0)</f>
        <v>0</v>
      </c>
      <c r="AW28" s="13">
        <f>IFERROR(VLOOKUP($F28,'Visu totale'!$D$3:$DH$129,AW$1,0),0)</f>
        <v>0</v>
      </c>
      <c r="AX28" s="13">
        <f>IFERROR(VLOOKUP($F28,'Visu totale'!$D$3:$DH$129,AX$1,0),0)</f>
        <v>0</v>
      </c>
      <c r="AY28" s="13">
        <f>IFERROR(VLOOKUP($F28,'Visu totale'!$D$3:$DH$129,AY$1,0),0)</f>
        <v>0</v>
      </c>
      <c r="AZ28" s="13">
        <f>IFERROR(VLOOKUP($F28,'Visu totale'!$D$3:$DH$129,AZ$1,0),0)</f>
        <v>0</v>
      </c>
      <c r="BA28" s="13">
        <f>IFERROR(VLOOKUP($F28,'Visu totale'!$D$3:$DH$129,BA$1,0),0)</f>
        <v>0</v>
      </c>
      <c r="BB28" s="15">
        <f>IFERROR(VLOOKUP($F28,'Visu totale'!$D$3:$DH$129,BB$1,0),0)</f>
        <v>0</v>
      </c>
      <c r="BC28" s="14">
        <f>IFERROR(VLOOKUP($F28,'Visu totale'!$D$3:$DH$129,BC$1,0),0)</f>
        <v>0</v>
      </c>
      <c r="BD28" s="13">
        <f>IFERROR(VLOOKUP($F28,'Visu totale'!$D$3:$DH$129,BD$1,0),0)</f>
        <v>0</v>
      </c>
      <c r="BE28" s="13">
        <f>IFERROR(VLOOKUP($F28,'Visu totale'!$D$3:$DH$129,BE$1,0),0)</f>
        <v>0</v>
      </c>
      <c r="BF28" s="13">
        <f>IFERROR(VLOOKUP($F28,'Visu totale'!$D$3:$DH$129,BF$1,0),0)</f>
        <v>0</v>
      </c>
      <c r="BG28" s="13">
        <f>IFERROR(VLOOKUP($F28,'Visu totale'!$D$3:$DH$129,BG$1,0),0)</f>
        <v>0</v>
      </c>
      <c r="BH28" s="13">
        <f>IFERROR(VLOOKUP($F28,'Visu totale'!$D$3:$DH$129,BH$1,0),0)</f>
        <v>0</v>
      </c>
      <c r="BI28" s="13">
        <f>IFERROR(VLOOKUP($F28,'Visu totale'!$D$3:$DH$129,BI$1,0),0)</f>
        <v>0</v>
      </c>
      <c r="BJ28" s="13">
        <f>IFERROR(VLOOKUP($F28,'Visu totale'!$D$3:$DH$129,BJ$1,0),0)</f>
        <v>0</v>
      </c>
      <c r="BK28" s="13">
        <f>IFERROR(VLOOKUP($F28,'Visu totale'!$D$3:$DH$129,BK$1,0),0)</f>
        <v>0</v>
      </c>
      <c r="BL28" s="13">
        <f>IFERROR(VLOOKUP($F28,'Visu totale'!$D$3:$DH$129,BL$1,0),0)</f>
        <v>0</v>
      </c>
      <c r="BM28" s="13">
        <f>IFERROR(VLOOKUP($F28,'Visu totale'!$D$3:$DH$129,BM$1,0),0)</f>
        <v>0</v>
      </c>
      <c r="BN28" s="15">
        <f>IFERROR(VLOOKUP($F28,'Visu totale'!$D$3:$DH$129,BN$1,0),0)</f>
        <v>0</v>
      </c>
      <c r="BO28" s="14">
        <f>IFERROR(VLOOKUP($F28,'Visu totale'!$D$3:$DH$129,BO$1,0),0)</f>
        <v>0</v>
      </c>
      <c r="BP28" s="13">
        <f>IFERROR(VLOOKUP($F28,'Visu totale'!$D$3:$DH$129,BP$1,0),0)</f>
        <v>0</v>
      </c>
      <c r="BQ28" s="13">
        <f>IFERROR(VLOOKUP($F28,'Visu totale'!$D$3:$DH$129,BQ$1,0),0)</f>
        <v>0</v>
      </c>
      <c r="BR28" s="13">
        <f>IFERROR(VLOOKUP($F28,'Visu totale'!$D$3:$DH$129,BR$1,0),0)</f>
        <v>0</v>
      </c>
      <c r="BS28" s="13">
        <f>IFERROR(VLOOKUP($F28,'Visu totale'!$D$3:$DH$129,BS$1,0),0)</f>
        <v>0</v>
      </c>
      <c r="BT28" s="13">
        <f>IFERROR(VLOOKUP($F28,'Visu totale'!$D$3:$DH$129,BT$1,0),0)</f>
        <v>0</v>
      </c>
      <c r="BU28" s="13">
        <f>IFERROR(VLOOKUP($F28,'Visu totale'!$D$3:$DH$129,BU$1,0),0)</f>
        <v>0</v>
      </c>
      <c r="BV28" s="13">
        <f>IFERROR(VLOOKUP($F28,'Visu totale'!$D$3:$DH$129,BV$1,0),0)</f>
        <v>0</v>
      </c>
      <c r="BW28" s="13">
        <f>IFERROR(VLOOKUP($F28,'Visu totale'!$D$3:$DH$129,BW$1,0),0)</f>
        <v>0</v>
      </c>
      <c r="BX28" s="13">
        <f>IFERROR(VLOOKUP($F28,'Visu totale'!$D$3:$DH$129,BX$1,0),0)</f>
        <v>0</v>
      </c>
      <c r="BY28" s="13">
        <f>IFERROR(VLOOKUP($F28,'Visu totale'!$D$3:$DH$129,BY$1,0),0)</f>
        <v>0</v>
      </c>
      <c r="BZ28" s="15">
        <f>IFERROR(VLOOKUP($F28,'Visu totale'!$D$3:$DH$129,BZ$1,0),0)</f>
        <v>0</v>
      </c>
      <c r="CA28" s="14">
        <f>IFERROR(VLOOKUP($F28,'Visu totale'!$D$3:$DH$129,CA$1,0),0)</f>
        <v>0</v>
      </c>
      <c r="CB28" s="13">
        <f>IFERROR(VLOOKUP($F28,'Visu totale'!$D$3:$DH$129,CB$1,0),0)</f>
        <v>0</v>
      </c>
      <c r="CC28" s="13">
        <f>IFERROR(VLOOKUP($F28,'Visu totale'!$D$3:$DH$129,CC$1,0),0)</f>
        <v>0</v>
      </c>
      <c r="CD28" s="13">
        <f>IFERROR(VLOOKUP($F28,'Visu totale'!$D$3:$DH$129,CD$1,0),0)</f>
        <v>0</v>
      </c>
      <c r="CE28" s="13">
        <f>IFERROR(VLOOKUP($F28,'Visu totale'!$D$3:$DH$129,CE$1,0),0)</f>
        <v>0</v>
      </c>
      <c r="CF28" s="13">
        <f>IFERROR(VLOOKUP($F28,'Visu totale'!$D$3:$DH$129,CF$1,0),0)</f>
        <v>0</v>
      </c>
      <c r="CG28" s="13">
        <f>IFERROR(VLOOKUP($F28,'Visu totale'!$D$3:$DH$129,CG$1,0),0)</f>
        <v>0</v>
      </c>
      <c r="CH28" s="13">
        <f>IFERROR(VLOOKUP($F28,'Visu totale'!$D$3:$DH$129,CH$1,0),0)</f>
        <v>0</v>
      </c>
      <c r="CI28" s="13">
        <f>IFERROR(VLOOKUP($F28,'Visu totale'!$D$3:$DH$129,CI$1,0),0)</f>
        <v>0</v>
      </c>
      <c r="CJ28" s="13">
        <f>IFERROR(VLOOKUP($F28,'Visu totale'!$D$3:$DH$129,CJ$1,0),0)</f>
        <v>0</v>
      </c>
      <c r="CK28" s="13">
        <f>IFERROR(VLOOKUP($F28,'Visu totale'!$D$3:$DH$129,CK$1,0),0)</f>
        <v>0</v>
      </c>
      <c r="CL28" s="15">
        <f>IFERROR(VLOOKUP($F28,'Visu totale'!$D$3:$DH$129,CL$1,0),0)</f>
        <v>0</v>
      </c>
      <c r="CM28" s="14">
        <f>IFERROR(VLOOKUP($F28,'Visu totale'!$D$3:$DH$129,CM$1,0),0)</f>
        <v>0</v>
      </c>
      <c r="CN28" s="13">
        <f>IFERROR(VLOOKUP($F28,'Visu totale'!$D$3:$DH$129,CN$1,0),0)</f>
        <v>0</v>
      </c>
      <c r="CO28" s="13">
        <f>IFERROR(VLOOKUP($F28,'Visu totale'!$D$3:$DH$129,CO$1,0),0)</f>
        <v>0</v>
      </c>
      <c r="CP28" s="13">
        <f>IFERROR(VLOOKUP($F28,'Visu totale'!$D$3:$DH$129,CP$1,0),0)</f>
        <v>0</v>
      </c>
      <c r="CQ28" s="13">
        <f>IFERROR(VLOOKUP($F28,'Visu totale'!$D$3:$DH$129,CQ$1,0),0)</f>
        <v>0</v>
      </c>
      <c r="CR28" s="13">
        <f>IFERROR(VLOOKUP($F28,'Visu totale'!$D$3:$DH$129,CR$1,0),0)</f>
        <v>0</v>
      </c>
      <c r="CS28" s="13">
        <f>IFERROR(VLOOKUP($F28,'Visu totale'!$D$3:$DH$129,CS$1,0),0)</f>
        <v>0</v>
      </c>
      <c r="CT28" s="13">
        <f>IFERROR(VLOOKUP($F28,'Visu totale'!$D$3:$DH$129,CT$1,0),0)</f>
        <v>0</v>
      </c>
      <c r="CU28" s="13">
        <f>IFERROR(VLOOKUP($F28,'Visu totale'!$D$3:$DH$129,CU$1,0),0)</f>
        <v>0</v>
      </c>
      <c r="CV28" s="13">
        <f>IFERROR(VLOOKUP($F28,'Visu totale'!$D$3:$DH$129,CV$1,0),0)</f>
        <v>0</v>
      </c>
      <c r="CW28" s="13">
        <f>IFERROR(VLOOKUP($F28,'Visu totale'!$D$3:$DH$129,CW$1,0),0)</f>
        <v>0</v>
      </c>
      <c r="CX28" s="15">
        <f>IFERROR(VLOOKUP($F28,'Visu totale'!$D$3:$DH$129,CX$1,0),0)</f>
        <v>0</v>
      </c>
      <c r="CY28" s="14">
        <f>IFERROR(VLOOKUP($F28,'Visu totale'!$D$3:$DH$129,CY$1,0),0)</f>
        <v>0</v>
      </c>
      <c r="CZ28" s="13">
        <f>IFERROR(VLOOKUP($F28,'Visu totale'!$D$3:$DH$129,CZ$1,0),0)</f>
        <v>0</v>
      </c>
      <c r="DA28" s="13">
        <f>IFERROR(VLOOKUP($F28,'Visu totale'!$D$3:$DH$129,DA$1,0),0)</f>
        <v>0</v>
      </c>
      <c r="DB28" s="13">
        <f>IFERROR(VLOOKUP($F28,'Visu totale'!$D$3:$DH$129,DB$1,0),0)</f>
        <v>0</v>
      </c>
      <c r="DC28" s="13">
        <f>IFERROR(VLOOKUP($F28,'Visu totale'!$D$3:$DH$129,DC$1,0),0)</f>
        <v>0</v>
      </c>
      <c r="DD28" s="13">
        <f>IFERROR(VLOOKUP($F28,'Visu totale'!$D$3:$DH$129,DD$1,0),0)</f>
        <v>0</v>
      </c>
      <c r="DE28" s="13">
        <f>IFERROR(VLOOKUP($F28,'Visu totale'!$D$3:$DH$129,DE$1,0),0)</f>
        <v>0</v>
      </c>
      <c r="DF28" s="13">
        <f>IFERROR(VLOOKUP($F28,'Visu totale'!$D$3:$DH$129,DF$1,0),0)</f>
        <v>0</v>
      </c>
      <c r="DG28" s="13">
        <f>IFERROR(VLOOKUP($F28,'Visu totale'!$D$3:$DH$129,DG$1,0),0)</f>
        <v>0</v>
      </c>
      <c r="DH28" s="13">
        <f>IFERROR(VLOOKUP($F28,'Visu totale'!$D$3:$DH$129,DH$1,0),0)</f>
        <v>0</v>
      </c>
      <c r="DI28" s="13">
        <f>IFERROR(VLOOKUP($F28,'Visu totale'!$D$3:$DH$129,DI$1,0),0)</f>
        <v>0</v>
      </c>
      <c r="DJ28" s="15">
        <f>IFERROR(VLOOKUP($F28,'Visu totale'!$D$3:$DH$129,DJ$1,0),0)</f>
        <v>0</v>
      </c>
    </row>
    <row r="29" spans="1:114" s="12" customFormat="1" x14ac:dyDescent="0.25">
      <c r="A29" s="13"/>
      <c r="B29" s="13"/>
      <c r="C29" s="13"/>
      <c r="D29" s="13"/>
      <c r="E29" s="13"/>
      <c r="F29" s="17" t="s">
        <v>129</v>
      </c>
      <c r="G29" s="14">
        <f>IFERROR(VLOOKUP($F29,'Visu totale'!$D$3:$DH$129,G$1,0),0)</f>
        <v>0</v>
      </c>
      <c r="H29" s="13">
        <f>IFERROR(VLOOKUP($F29,'Visu totale'!$D$3:$DH$129,H$1,0),0)</f>
        <v>0</v>
      </c>
      <c r="I29" s="13">
        <f>IFERROR(VLOOKUP($F29,'Visu totale'!$D$3:$DH$129,I$1,0),0)</f>
        <v>0</v>
      </c>
      <c r="J29" s="13">
        <f>IFERROR(VLOOKUP($F29,'Visu totale'!$D$3:$DH$129,J$1,0),0)</f>
        <v>0</v>
      </c>
      <c r="K29" s="13">
        <f>IFERROR(VLOOKUP($F29,'Visu totale'!$D$3:$DH$129,K$1,0),0)</f>
        <v>0</v>
      </c>
      <c r="L29" s="13">
        <f>IFERROR(VLOOKUP($F29,'Visu totale'!$D$3:$DH$129,L$1,0),0)</f>
        <v>0</v>
      </c>
      <c r="M29" s="13">
        <f>IFERROR(VLOOKUP($F29,'Visu totale'!$D$3:$DH$129,M$1,0),0)</f>
        <v>0</v>
      </c>
      <c r="N29" s="13">
        <f>IFERROR(VLOOKUP($F29,'Visu totale'!$D$3:$DH$129,N$1,0),0)</f>
        <v>0</v>
      </c>
      <c r="O29" s="13">
        <f>IFERROR(VLOOKUP($F29,'Visu totale'!$D$3:$DH$129,O$1,0),0)</f>
        <v>0</v>
      </c>
      <c r="P29" s="13">
        <f>IFERROR(VLOOKUP($F29,'Visu totale'!$D$3:$DH$129,P$1,0),0)</f>
        <v>0</v>
      </c>
      <c r="Q29" s="13">
        <f>IFERROR(VLOOKUP($F29,'Visu totale'!$D$3:$DH$129,Q$1,0),0)</f>
        <v>0</v>
      </c>
      <c r="R29" s="15">
        <f>IFERROR(VLOOKUP($F29,'Visu totale'!$D$3:$DH$129,R$1,0),0)</f>
        <v>0</v>
      </c>
      <c r="S29" s="14">
        <f>IFERROR(VLOOKUP($F29,'Visu totale'!$D$3:$DH$129,S$1,0),0)</f>
        <v>0</v>
      </c>
      <c r="T29" s="13">
        <f>IFERROR(VLOOKUP($F29,'Visu totale'!$D$3:$DH$129,T$1,0),0)</f>
        <v>0</v>
      </c>
      <c r="U29" s="13">
        <f>IFERROR(VLOOKUP($F29,'Visu totale'!$D$3:$DH$129,U$1,0),0)</f>
        <v>0</v>
      </c>
      <c r="V29" s="13">
        <f>IFERROR(VLOOKUP($F29,'Visu totale'!$D$3:$DH$129,V$1,0),0)</f>
        <v>0</v>
      </c>
      <c r="W29" s="13">
        <f>IFERROR(VLOOKUP($F29,'Visu totale'!$D$3:$DH$129,W$1,0),0)</f>
        <v>0</v>
      </c>
      <c r="X29" s="13">
        <f>IFERROR(VLOOKUP($F29,'Visu totale'!$D$3:$DH$129,X$1,0),0)</f>
        <v>0</v>
      </c>
      <c r="Y29" s="13">
        <f>IFERROR(VLOOKUP($F29,'Visu totale'!$D$3:$DH$129,Y$1,0),0)</f>
        <v>0</v>
      </c>
      <c r="Z29" s="13">
        <f>IFERROR(VLOOKUP($F29,'Visu totale'!$D$3:$DH$129,Z$1,0),0)</f>
        <v>0</v>
      </c>
      <c r="AA29" s="13">
        <f>IFERROR(VLOOKUP($F29,'Visu totale'!$D$3:$DH$129,AA$1,0),0)</f>
        <v>0</v>
      </c>
      <c r="AB29" s="13">
        <f>IFERROR(VLOOKUP($F29,'Visu totale'!$D$3:$DH$129,AB$1,0),0)</f>
        <v>0</v>
      </c>
      <c r="AC29" s="13">
        <f>IFERROR(VLOOKUP($F29,'Visu totale'!$D$3:$DH$129,AC$1,0),0)</f>
        <v>0</v>
      </c>
      <c r="AD29" s="15">
        <f>IFERROR(VLOOKUP($F29,'Visu totale'!$D$3:$DH$129,AD$1,0),0)</f>
        <v>0</v>
      </c>
      <c r="AE29" s="14">
        <f>IFERROR(VLOOKUP($F29,'Visu totale'!$D$3:$DH$129,AE$1,0),0)</f>
        <v>0</v>
      </c>
      <c r="AF29" s="13">
        <f>IFERROR(VLOOKUP($F29,'Visu totale'!$D$3:$DH$129,AF$1,0),0)</f>
        <v>0</v>
      </c>
      <c r="AG29" s="13">
        <f>IFERROR(VLOOKUP($F29,'Visu totale'!$D$3:$DH$129,AG$1,0),0)</f>
        <v>0</v>
      </c>
      <c r="AH29" s="13">
        <f>IFERROR(VLOOKUP($F29,'Visu totale'!$D$3:$DH$129,AH$1,0),0)</f>
        <v>0</v>
      </c>
      <c r="AI29" s="13">
        <f>IFERROR(VLOOKUP($F29,'Visu totale'!$D$3:$DH$129,AI$1,0),0)</f>
        <v>0</v>
      </c>
      <c r="AJ29" s="13">
        <f>IFERROR(VLOOKUP($F29,'Visu totale'!$D$3:$DH$129,AJ$1,0),0)</f>
        <v>0</v>
      </c>
      <c r="AK29" s="13">
        <f>IFERROR(VLOOKUP($F29,'Visu totale'!$D$3:$DH$129,AK$1,0),0)</f>
        <v>0</v>
      </c>
      <c r="AL29" s="13">
        <f>IFERROR(VLOOKUP($F29,'Visu totale'!$D$3:$DH$129,AL$1,0),0)</f>
        <v>0</v>
      </c>
      <c r="AM29" s="13">
        <f>IFERROR(VLOOKUP($F29,'Visu totale'!$D$3:$DH$129,AM$1,0),0)</f>
        <v>0</v>
      </c>
      <c r="AN29" s="13">
        <f>IFERROR(VLOOKUP($F29,'Visu totale'!$D$3:$DH$129,AN$1,0),0)</f>
        <v>0</v>
      </c>
      <c r="AO29" s="13">
        <f>IFERROR(VLOOKUP($F29,'Visu totale'!$D$3:$DH$129,AO$1,0),0)</f>
        <v>0</v>
      </c>
      <c r="AP29" s="15">
        <f>IFERROR(VLOOKUP($F29,'Visu totale'!$D$3:$DH$129,AP$1,0),0)</f>
        <v>0</v>
      </c>
      <c r="AQ29" s="14">
        <f>IFERROR(VLOOKUP($F29,'Visu totale'!$D$3:$DH$129,AQ$1,0),0)</f>
        <v>0</v>
      </c>
      <c r="AR29" s="13">
        <f>IFERROR(VLOOKUP($F29,'Visu totale'!$D$3:$DH$129,AR$1,0),0)</f>
        <v>0</v>
      </c>
      <c r="AS29" s="13">
        <f>IFERROR(VLOOKUP($F29,'Visu totale'!$D$3:$DH$129,AS$1,0),0)</f>
        <v>0</v>
      </c>
      <c r="AT29" s="13">
        <f>IFERROR(VLOOKUP($F29,'Visu totale'!$D$3:$DH$129,AT$1,0),0)</f>
        <v>0</v>
      </c>
      <c r="AU29" s="13">
        <f>IFERROR(VLOOKUP($F29,'Visu totale'!$D$3:$DH$129,AU$1,0),0)</f>
        <v>0</v>
      </c>
      <c r="AV29" s="13">
        <f>IFERROR(VLOOKUP($F29,'Visu totale'!$D$3:$DH$129,AV$1,0),0)</f>
        <v>0</v>
      </c>
      <c r="AW29" s="13">
        <f>IFERROR(VLOOKUP($F29,'Visu totale'!$D$3:$DH$129,AW$1,0),0)</f>
        <v>0</v>
      </c>
      <c r="AX29" s="13">
        <f>IFERROR(VLOOKUP($F29,'Visu totale'!$D$3:$DH$129,AX$1,0),0)</f>
        <v>0</v>
      </c>
      <c r="AY29" s="13">
        <f>IFERROR(VLOOKUP($F29,'Visu totale'!$D$3:$DH$129,AY$1,0),0)</f>
        <v>0</v>
      </c>
      <c r="AZ29" s="13">
        <f>IFERROR(VLOOKUP($F29,'Visu totale'!$D$3:$DH$129,AZ$1,0),0)</f>
        <v>0</v>
      </c>
      <c r="BA29" s="13">
        <f>IFERROR(VLOOKUP($F29,'Visu totale'!$D$3:$DH$129,BA$1,0),0)</f>
        <v>0</v>
      </c>
      <c r="BB29" s="15">
        <f>IFERROR(VLOOKUP($F29,'Visu totale'!$D$3:$DH$129,BB$1,0),0)</f>
        <v>0</v>
      </c>
      <c r="BC29" s="14">
        <f>IFERROR(VLOOKUP($F29,'Visu totale'!$D$3:$DH$129,BC$1,0),0)</f>
        <v>0</v>
      </c>
      <c r="BD29" s="13">
        <f>IFERROR(VLOOKUP($F29,'Visu totale'!$D$3:$DH$129,BD$1,0),0)</f>
        <v>0</v>
      </c>
      <c r="BE29" s="13">
        <f>IFERROR(VLOOKUP($F29,'Visu totale'!$D$3:$DH$129,BE$1,0),0)</f>
        <v>0</v>
      </c>
      <c r="BF29" s="13">
        <f>IFERROR(VLOOKUP($F29,'Visu totale'!$D$3:$DH$129,BF$1,0),0)</f>
        <v>0</v>
      </c>
      <c r="BG29" s="13">
        <f>IFERROR(VLOOKUP($F29,'Visu totale'!$D$3:$DH$129,BG$1,0),0)</f>
        <v>0</v>
      </c>
      <c r="BH29" s="13">
        <f>IFERROR(VLOOKUP($F29,'Visu totale'!$D$3:$DH$129,BH$1,0),0)</f>
        <v>0</v>
      </c>
      <c r="BI29" s="13">
        <f>IFERROR(VLOOKUP($F29,'Visu totale'!$D$3:$DH$129,BI$1,0),0)</f>
        <v>0</v>
      </c>
      <c r="BJ29" s="13">
        <f>IFERROR(VLOOKUP($F29,'Visu totale'!$D$3:$DH$129,BJ$1,0),0)</f>
        <v>0</v>
      </c>
      <c r="BK29" s="13">
        <f>IFERROR(VLOOKUP($F29,'Visu totale'!$D$3:$DH$129,BK$1,0),0)</f>
        <v>0</v>
      </c>
      <c r="BL29" s="13">
        <f>IFERROR(VLOOKUP($F29,'Visu totale'!$D$3:$DH$129,BL$1,0),0)</f>
        <v>0</v>
      </c>
      <c r="BM29" s="13">
        <f>IFERROR(VLOOKUP($F29,'Visu totale'!$D$3:$DH$129,BM$1,0),0)</f>
        <v>0</v>
      </c>
      <c r="BN29" s="15">
        <f>IFERROR(VLOOKUP($F29,'Visu totale'!$D$3:$DH$129,BN$1,0),0)</f>
        <v>0</v>
      </c>
      <c r="BO29" s="14">
        <f>IFERROR(VLOOKUP($F29,'Visu totale'!$D$3:$DH$129,BO$1,0),0)</f>
        <v>0</v>
      </c>
      <c r="BP29" s="13">
        <f>IFERROR(VLOOKUP($F29,'Visu totale'!$D$3:$DH$129,BP$1,0),0)</f>
        <v>0</v>
      </c>
      <c r="BQ29" s="13">
        <f>IFERROR(VLOOKUP($F29,'Visu totale'!$D$3:$DH$129,BQ$1,0),0)</f>
        <v>0</v>
      </c>
      <c r="BR29" s="13">
        <f>IFERROR(VLOOKUP($F29,'Visu totale'!$D$3:$DH$129,BR$1,0),0)</f>
        <v>0</v>
      </c>
      <c r="BS29" s="13">
        <f>IFERROR(VLOOKUP($F29,'Visu totale'!$D$3:$DH$129,BS$1,0),0)</f>
        <v>0</v>
      </c>
      <c r="BT29" s="13">
        <f>IFERROR(VLOOKUP($F29,'Visu totale'!$D$3:$DH$129,BT$1,0),0)</f>
        <v>0</v>
      </c>
      <c r="BU29" s="13">
        <f>IFERROR(VLOOKUP($F29,'Visu totale'!$D$3:$DH$129,BU$1,0),0)</f>
        <v>0</v>
      </c>
      <c r="BV29" s="13">
        <f>IFERROR(VLOOKUP($F29,'Visu totale'!$D$3:$DH$129,BV$1,0),0)</f>
        <v>0</v>
      </c>
      <c r="BW29" s="13">
        <f>IFERROR(VLOOKUP($F29,'Visu totale'!$D$3:$DH$129,BW$1,0),0)</f>
        <v>0</v>
      </c>
      <c r="BX29" s="13">
        <f>IFERROR(VLOOKUP($F29,'Visu totale'!$D$3:$DH$129,BX$1,0),0)</f>
        <v>0</v>
      </c>
      <c r="BY29" s="13">
        <f>IFERROR(VLOOKUP($F29,'Visu totale'!$D$3:$DH$129,BY$1,0),0)</f>
        <v>0</v>
      </c>
      <c r="BZ29" s="15">
        <f>IFERROR(VLOOKUP($F29,'Visu totale'!$D$3:$DH$129,BZ$1,0),0)</f>
        <v>0</v>
      </c>
      <c r="CA29" s="14">
        <f>IFERROR(VLOOKUP($F29,'Visu totale'!$D$3:$DH$129,CA$1,0),0)</f>
        <v>0</v>
      </c>
      <c r="CB29" s="13">
        <f>IFERROR(VLOOKUP($F29,'Visu totale'!$D$3:$DH$129,CB$1,0),0)</f>
        <v>0</v>
      </c>
      <c r="CC29" s="13">
        <f>IFERROR(VLOOKUP($F29,'Visu totale'!$D$3:$DH$129,CC$1,0),0)</f>
        <v>0</v>
      </c>
      <c r="CD29" s="13">
        <f>IFERROR(VLOOKUP($F29,'Visu totale'!$D$3:$DH$129,CD$1,0),0)</f>
        <v>0</v>
      </c>
      <c r="CE29" s="13">
        <f>IFERROR(VLOOKUP($F29,'Visu totale'!$D$3:$DH$129,CE$1,0),0)</f>
        <v>0</v>
      </c>
      <c r="CF29" s="13">
        <f>IFERROR(VLOOKUP($F29,'Visu totale'!$D$3:$DH$129,CF$1,0),0)</f>
        <v>0</v>
      </c>
      <c r="CG29" s="13">
        <f>IFERROR(VLOOKUP($F29,'Visu totale'!$D$3:$DH$129,CG$1,0),0)</f>
        <v>0</v>
      </c>
      <c r="CH29" s="13">
        <f>IFERROR(VLOOKUP($F29,'Visu totale'!$D$3:$DH$129,CH$1,0),0)</f>
        <v>0</v>
      </c>
      <c r="CI29" s="13">
        <f>IFERROR(VLOOKUP($F29,'Visu totale'!$D$3:$DH$129,CI$1,0),0)</f>
        <v>0</v>
      </c>
      <c r="CJ29" s="13">
        <f>IFERROR(VLOOKUP($F29,'Visu totale'!$D$3:$DH$129,CJ$1,0),0)</f>
        <v>0</v>
      </c>
      <c r="CK29" s="13">
        <f>IFERROR(VLOOKUP($F29,'Visu totale'!$D$3:$DH$129,CK$1,0),0)</f>
        <v>0</v>
      </c>
      <c r="CL29" s="15">
        <f>IFERROR(VLOOKUP($F29,'Visu totale'!$D$3:$DH$129,CL$1,0),0)</f>
        <v>0</v>
      </c>
      <c r="CM29" s="14">
        <f>IFERROR(VLOOKUP($F29,'Visu totale'!$D$3:$DH$129,CM$1,0),0)</f>
        <v>0</v>
      </c>
      <c r="CN29" s="13">
        <f>IFERROR(VLOOKUP($F29,'Visu totale'!$D$3:$DH$129,CN$1,0),0)</f>
        <v>0</v>
      </c>
      <c r="CO29" s="13">
        <f>IFERROR(VLOOKUP($F29,'Visu totale'!$D$3:$DH$129,CO$1,0),0)</f>
        <v>0</v>
      </c>
      <c r="CP29" s="13">
        <f>IFERROR(VLOOKUP($F29,'Visu totale'!$D$3:$DH$129,CP$1,0),0)</f>
        <v>0</v>
      </c>
      <c r="CQ29" s="13">
        <f>IFERROR(VLOOKUP($F29,'Visu totale'!$D$3:$DH$129,CQ$1,0),0)</f>
        <v>0</v>
      </c>
      <c r="CR29" s="13">
        <f>IFERROR(VLOOKUP($F29,'Visu totale'!$D$3:$DH$129,CR$1,0),0)</f>
        <v>0</v>
      </c>
      <c r="CS29" s="13">
        <f>IFERROR(VLOOKUP($F29,'Visu totale'!$D$3:$DH$129,CS$1,0),0)</f>
        <v>0</v>
      </c>
      <c r="CT29" s="13">
        <f>IFERROR(VLOOKUP($F29,'Visu totale'!$D$3:$DH$129,CT$1,0),0)</f>
        <v>0</v>
      </c>
      <c r="CU29" s="13">
        <f>IFERROR(VLOOKUP($F29,'Visu totale'!$D$3:$DH$129,CU$1,0),0)</f>
        <v>0</v>
      </c>
      <c r="CV29" s="13">
        <f>IFERROR(VLOOKUP($F29,'Visu totale'!$D$3:$DH$129,CV$1,0),0)</f>
        <v>0</v>
      </c>
      <c r="CW29" s="13">
        <f>IFERROR(VLOOKUP($F29,'Visu totale'!$D$3:$DH$129,CW$1,0),0)</f>
        <v>0</v>
      </c>
      <c r="CX29" s="15">
        <f>IFERROR(VLOOKUP($F29,'Visu totale'!$D$3:$DH$129,CX$1,0),0)</f>
        <v>0</v>
      </c>
      <c r="CY29" s="14">
        <f>IFERROR(VLOOKUP($F29,'Visu totale'!$D$3:$DH$129,CY$1,0),0)</f>
        <v>0</v>
      </c>
      <c r="CZ29" s="13">
        <f>IFERROR(VLOOKUP($F29,'Visu totale'!$D$3:$DH$129,CZ$1,0),0)</f>
        <v>0</v>
      </c>
      <c r="DA29" s="13">
        <f>IFERROR(VLOOKUP($F29,'Visu totale'!$D$3:$DH$129,DA$1,0),0)</f>
        <v>0</v>
      </c>
      <c r="DB29" s="13">
        <f>IFERROR(VLOOKUP($F29,'Visu totale'!$D$3:$DH$129,DB$1,0),0)</f>
        <v>0</v>
      </c>
      <c r="DC29" s="13">
        <f>IFERROR(VLOOKUP($F29,'Visu totale'!$D$3:$DH$129,DC$1,0),0)</f>
        <v>0</v>
      </c>
      <c r="DD29" s="13">
        <f>IFERROR(VLOOKUP($F29,'Visu totale'!$D$3:$DH$129,DD$1,0),0)</f>
        <v>0</v>
      </c>
      <c r="DE29" s="13">
        <f>IFERROR(VLOOKUP($F29,'Visu totale'!$D$3:$DH$129,DE$1,0),0)</f>
        <v>0</v>
      </c>
      <c r="DF29" s="13">
        <f>IFERROR(VLOOKUP($F29,'Visu totale'!$D$3:$DH$129,DF$1,0),0)</f>
        <v>0</v>
      </c>
      <c r="DG29" s="13">
        <f>IFERROR(VLOOKUP($F29,'Visu totale'!$D$3:$DH$129,DG$1,0),0)</f>
        <v>0</v>
      </c>
      <c r="DH29" s="13">
        <f>IFERROR(VLOOKUP($F29,'Visu totale'!$D$3:$DH$129,DH$1,0),0)</f>
        <v>0</v>
      </c>
      <c r="DI29" s="13">
        <f>IFERROR(VLOOKUP($F29,'Visu totale'!$D$3:$DH$129,DI$1,0),0)</f>
        <v>0</v>
      </c>
      <c r="DJ29" s="15">
        <f>IFERROR(VLOOKUP($F29,'Visu totale'!$D$3:$DH$129,DJ$1,0),0)</f>
        <v>0</v>
      </c>
    </row>
    <row r="30" spans="1:114" s="12" customFormat="1" x14ac:dyDescent="0.25">
      <c r="A30" s="13"/>
      <c r="B30" s="13"/>
      <c r="C30" s="13"/>
      <c r="D30" s="13"/>
      <c r="E30" s="13"/>
      <c r="F30" s="17" t="s">
        <v>130</v>
      </c>
      <c r="G30" s="14">
        <f>IFERROR(VLOOKUP($F30,'Visu totale'!$D$3:$DH$129,G$1,0),0)</f>
        <v>0</v>
      </c>
      <c r="H30" s="13">
        <f>IFERROR(VLOOKUP($F30,'Visu totale'!$D$3:$DH$129,H$1,0),0)</f>
        <v>0</v>
      </c>
      <c r="I30" s="13">
        <f>IFERROR(VLOOKUP($F30,'Visu totale'!$D$3:$DH$129,I$1,0),0)</f>
        <v>0</v>
      </c>
      <c r="J30" s="13">
        <f>IFERROR(VLOOKUP($F30,'Visu totale'!$D$3:$DH$129,J$1,0),0)</f>
        <v>0</v>
      </c>
      <c r="K30" s="13">
        <f>IFERROR(VLOOKUP($F30,'Visu totale'!$D$3:$DH$129,K$1,0),0)</f>
        <v>0</v>
      </c>
      <c r="L30" s="13">
        <f>IFERROR(VLOOKUP($F30,'Visu totale'!$D$3:$DH$129,L$1,0),0)</f>
        <v>0</v>
      </c>
      <c r="M30" s="13">
        <f>IFERROR(VLOOKUP($F30,'Visu totale'!$D$3:$DH$129,M$1,0),0)</f>
        <v>0</v>
      </c>
      <c r="N30" s="13">
        <f>IFERROR(VLOOKUP($F30,'Visu totale'!$D$3:$DH$129,N$1,0),0)</f>
        <v>0</v>
      </c>
      <c r="O30" s="13">
        <f>IFERROR(VLOOKUP($F30,'Visu totale'!$D$3:$DH$129,O$1,0),0)</f>
        <v>0</v>
      </c>
      <c r="P30" s="13">
        <f>IFERROR(VLOOKUP($F30,'Visu totale'!$D$3:$DH$129,P$1,0),0)</f>
        <v>0</v>
      </c>
      <c r="Q30" s="13">
        <f>IFERROR(VLOOKUP($F30,'Visu totale'!$D$3:$DH$129,Q$1,0),0)</f>
        <v>0</v>
      </c>
      <c r="R30" s="15">
        <f>IFERROR(VLOOKUP($F30,'Visu totale'!$D$3:$DH$129,R$1,0),0)</f>
        <v>0</v>
      </c>
      <c r="S30" s="14">
        <f>IFERROR(VLOOKUP($F30,'Visu totale'!$D$3:$DH$129,S$1,0),0)</f>
        <v>0</v>
      </c>
      <c r="T30" s="13">
        <f>IFERROR(VLOOKUP($F30,'Visu totale'!$D$3:$DH$129,T$1,0),0)</f>
        <v>0</v>
      </c>
      <c r="U30" s="13">
        <f>IFERROR(VLOOKUP($F30,'Visu totale'!$D$3:$DH$129,U$1,0),0)</f>
        <v>0</v>
      </c>
      <c r="V30" s="13">
        <f>IFERROR(VLOOKUP($F30,'Visu totale'!$D$3:$DH$129,V$1,0),0)</f>
        <v>0</v>
      </c>
      <c r="W30" s="13">
        <f>IFERROR(VLOOKUP($F30,'Visu totale'!$D$3:$DH$129,W$1,0),0)</f>
        <v>0</v>
      </c>
      <c r="X30" s="13">
        <f>IFERROR(VLOOKUP($F30,'Visu totale'!$D$3:$DH$129,X$1,0),0)</f>
        <v>0</v>
      </c>
      <c r="Y30" s="13">
        <f>IFERROR(VLOOKUP($F30,'Visu totale'!$D$3:$DH$129,Y$1,0),0)</f>
        <v>0</v>
      </c>
      <c r="Z30" s="13">
        <f>IFERROR(VLOOKUP($F30,'Visu totale'!$D$3:$DH$129,Z$1,0),0)</f>
        <v>0</v>
      </c>
      <c r="AA30" s="13">
        <f>IFERROR(VLOOKUP($F30,'Visu totale'!$D$3:$DH$129,AA$1,0),0)</f>
        <v>0</v>
      </c>
      <c r="AB30" s="13">
        <f>IFERROR(VLOOKUP($F30,'Visu totale'!$D$3:$DH$129,AB$1,0),0)</f>
        <v>0</v>
      </c>
      <c r="AC30" s="13">
        <f>IFERROR(VLOOKUP($F30,'Visu totale'!$D$3:$DH$129,AC$1,0),0)</f>
        <v>0</v>
      </c>
      <c r="AD30" s="15">
        <f>IFERROR(VLOOKUP($F30,'Visu totale'!$D$3:$DH$129,AD$1,0),0)</f>
        <v>0</v>
      </c>
      <c r="AE30" s="14">
        <f>IFERROR(VLOOKUP($F30,'Visu totale'!$D$3:$DH$129,AE$1,0),0)</f>
        <v>0</v>
      </c>
      <c r="AF30" s="13">
        <f>IFERROR(VLOOKUP($F30,'Visu totale'!$D$3:$DH$129,AF$1,0),0)</f>
        <v>0</v>
      </c>
      <c r="AG30" s="13">
        <f>IFERROR(VLOOKUP($F30,'Visu totale'!$D$3:$DH$129,AG$1,0),0)</f>
        <v>0</v>
      </c>
      <c r="AH30" s="13">
        <f>IFERROR(VLOOKUP($F30,'Visu totale'!$D$3:$DH$129,AH$1,0),0)</f>
        <v>0</v>
      </c>
      <c r="AI30" s="13">
        <f>IFERROR(VLOOKUP($F30,'Visu totale'!$D$3:$DH$129,AI$1,0),0)</f>
        <v>0</v>
      </c>
      <c r="AJ30" s="13">
        <f>IFERROR(VLOOKUP($F30,'Visu totale'!$D$3:$DH$129,AJ$1,0),0)</f>
        <v>0</v>
      </c>
      <c r="AK30" s="13">
        <f>IFERROR(VLOOKUP($F30,'Visu totale'!$D$3:$DH$129,AK$1,0),0)</f>
        <v>0</v>
      </c>
      <c r="AL30" s="13">
        <f>IFERROR(VLOOKUP($F30,'Visu totale'!$D$3:$DH$129,AL$1,0),0)</f>
        <v>0</v>
      </c>
      <c r="AM30" s="13">
        <f>IFERROR(VLOOKUP($F30,'Visu totale'!$D$3:$DH$129,AM$1,0),0)</f>
        <v>0</v>
      </c>
      <c r="AN30" s="13">
        <f>IFERROR(VLOOKUP($F30,'Visu totale'!$D$3:$DH$129,AN$1,0),0)</f>
        <v>0</v>
      </c>
      <c r="AO30" s="13">
        <f>IFERROR(VLOOKUP($F30,'Visu totale'!$D$3:$DH$129,AO$1,0),0)</f>
        <v>0</v>
      </c>
      <c r="AP30" s="15">
        <f>IFERROR(VLOOKUP($F30,'Visu totale'!$D$3:$DH$129,AP$1,0),0)</f>
        <v>0</v>
      </c>
      <c r="AQ30" s="14">
        <f>IFERROR(VLOOKUP($F30,'Visu totale'!$D$3:$DH$129,AQ$1,0),0)</f>
        <v>0</v>
      </c>
      <c r="AR30" s="13">
        <f>IFERROR(VLOOKUP($F30,'Visu totale'!$D$3:$DH$129,AR$1,0),0)</f>
        <v>0</v>
      </c>
      <c r="AS30" s="13">
        <f>IFERROR(VLOOKUP($F30,'Visu totale'!$D$3:$DH$129,AS$1,0),0)</f>
        <v>0</v>
      </c>
      <c r="AT30" s="13">
        <f>IFERROR(VLOOKUP($F30,'Visu totale'!$D$3:$DH$129,AT$1,0),0)</f>
        <v>0</v>
      </c>
      <c r="AU30" s="13">
        <f>IFERROR(VLOOKUP($F30,'Visu totale'!$D$3:$DH$129,AU$1,0),0)</f>
        <v>0</v>
      </c>
      <c r="AV30" s="13">
        <f>IFERROR(VLOOKUP($F30,'Visu totale'!$D$3:$DH$129,AV$1,0),0)</f>
        <v>0</v>
      </c>
      <c r="AW30" s="13">
        <f>IFERROR(VLOOKUP($F30,'Visu totale'!$D$3:$DH$129,AW$1,0),0)</f>
        <v>0</v>
      </c>
      <c r="AX30" s="13">
        <f>IFERROR(VLOOKUP($F30,'Visu totale'!$D$3:$DH$129,AX$1,0),0)</f>
        <v>0</v>
      </c>
      <c r="AY30" s="13">
        <f>IFERROR(VLOOKUP($F30,'Visu totale'!$D$3:$DH$129,AY$1,0),0)</f>
        <v>0</v>
      </c>
      <c r="AZ30" s="13">
        <f>IFERROR(VLOOKUP($F30,'Visu totale'!$D$3:$DH$129,AZ$1,0),0)</f>
        <v>0</v>
      </c>
      <c r="BA30" s="13">
        <f>IFERROR(VLOOKUP($F30,'Visu totale'!$D$3:$DH$129,BA$1,0),0)</f>
        <v>0</v>
      </c>
      <c r="BB30" s="15">
        <f>IFERROR(VLOOKUP($F30,'Visu totale'!$D$3:$DH$129,BB$1,0),0)</f>
        <v>0</v>
      </c>
      <c r="BC30" s="14">
        <f>IFERROR(VLOOKUP($F30,'Visu totale'!$D$3:$DH$129,BC$1,0),0)</f>
        <v>0</v>
      </c>
      <c r="BD30" s="13">
        <f>IFERROR(VLOOKUP($F30,'Visu totale'!$D$3:$DH$129,BD$1,0),0)</f>
        <v>0</v>
      </c>
      <c r="BE30" s="13">
        <f>IFERROR(VLOOKUP($F30,'Visu totale'!$D$3:$DH$129,BE$1,0),0)</f>
        <v>0</v>
      </c>
      <c r="BF30" s="13">
        <f>IFERROR(VLOOKUP($F30,'Visu totale'!$D$3:$DH$129,BF$1,0),0)</f>
        <v>0</v>
      </c>
      <c r="BG30" s="13">
        <f>IFERROR(VLOOKUP($F30,'Visu totale'!$D$3:$DH$129,BG$1,0),0)</f>
        <v>0</v>
      </c>
      <c r="BH30" s="13">
        <f>IFERROR(VLOOKUP($F30,'Visu totale'!$D$3:$DH$129,BH$1,0),0)</f>
        <v>0</v>
      </c>
      <c r="BI30" s="13">
        <f>IFERROR(VLOOKUP($F30,'Visu totale'!$D$3:$DH$129,BI$1,0),0)</f>
        <v>0</v>
      </c>
      <c r="BJ30" s="13">
        <f>IFERROR(VLOOKUP($F30,'Visu totale'!$D$3:$DH$129,BJ$1,0),0)</f>
        <v>0</v>
      </c>
      <c r="BK30" s="13">
        <f>IFERROR(VLOOKUP($F30,'Visu totale'!$D$3:$DH$129,BK$1,0),0)</f>
        <v>0</v>
      </c>
      <c r="BL30" s="13">
        <f>IFERROR(VLOOKUP($F30,'Visu totale'!$D$3:$DH$129,BL$1,0),0)</f>
        <v>0</v>
      </c>
      <c r="BM30" s="13">
        <f>IFERROR(VLOOKUP($F30,'Visu totale'!$D$3:$DH$129,BM$1,0),0)</f>
        <v>0</v>
      </c>
      <c r="BN30" s="15">
        <f>IFERROR(VLOOKUP($F30,'Visu totale'!$D$3:$DH$129,BN$1,0),0)</f>
        <v>0</v>
      </c>
      <c r="BO30" s="14">
        <f>IFERROR(VLOOKUP($F30,'Visu totale'!$D$3:$DH$129,BO$1,0),0)</f>
        <v>0</v>
      </c>
      <c r="BP30" s="13">
        <f>IFERROR(VLOOKUP($F30,'Visu totale'!$D$3:$DH$129,BP$1,0),0)</f>
        <v>0</v>
      </c>
      <c r="BQ30" s="13">
        <f>IFERROR(VLOOKUP($F30,'Visu totale'!$D$3:$DH$129,BQ$1,0),0)</f>
        <v>0</v>
      </c>
      <c r="BR30" s="13">
        <f>IFERROR(VLOOKUP($F30,'Visu totale'!$D$3:$DH$129,BR$1,0),0)</f>
        <v>0</v>
      </c>
      <c r="BS30" s="13">
        <f>IFERROR(VLOOKUP($F30,'Visu totale'!$D$3:$DH$129,BS$1,0),0)</f>
        <v>0</v>
      </c>
      <c r="BT30" s="13">
        <f>IFERROR(VLOOKUP($F30,'Visu totale'!$D$3:$DH$129,BT$1,0),0)</f>
        <v>0</v>
      </c>
      <c r="BU30" s="13">
        <f>IFERROR(VLOOKUP($F30,'Visu totale'!$D$3:$DH$129,BU$1,0),0)</f>
        <v>0</v>
      </c>
      <c r="BV30" s="13">
        <f>IFERROR(VLOOKUP($F30,'Visu totale'!$D$3:$DH$129,BV$1,0),0)</f>
        <v>0</v>
      </c>
      <c r="BW30" s="13">
        <f>IFERROR(VLOOKUP($F30,'Visu totale'!$D$3:$DH$129,BW$1,0),0)</f>
        <v>0</v>
      </c>
      <c r="BX30" s="13">
        <f>IFERROR(VLOOKUP($F30,'Visu totale'!$D$3:$DH$129,BX$1,0),0)</f>
        <v>0</v>
      </c>
      <c r="BY30" s="13">
        <f>IFERROR(VLOOKUP($F30,'Visu totale'!$D$3:$DH$129,BY$1,0),0)</f>
        <v>0</v>
      </c>
      <c r="BZ30" s="15">
        <f>IFERROR(VLOOKUP($F30,'Visu totale'!$D$3:$DH$129,BZ$1,0),0)</f>
        <v>0</v>
      </c>
      <c r="CA30" s="14">
        <f>IFERROR(VLOOKUP($F30,'Visu totale'!$D$3:$DH$129,CA$1,0),0)</f>
        <v>0</v>
      </c>
      <c r="CB30" s="13">
        <f>IFERROR(VLOOKUP($F30,'Visu totale'!$D$3:$DH$129,CB$1,0),0)</f>
        <v>0</v>
      </c>
      <c r="CC30" s="13">
        <f>IFERROR(VLOOKUP($F30,'Visu totale'!$D$3:$DH$129,CC$1,0),0)</f>
        <v>0</v>
      </c>
      <c r="CD30" s="13">
        <f>IFERROR(VLOOKUP($F30,'Visu totale'!$D$3:$DH$129,CD$1,0),0)</f>
        <v>0</v>
      </c>
      <c r="CE30" s="13">
        <f>IFERROR(VLOOKUP($F30,'Visu totale'!$D$3:$DH$129,CE$1,0),0)</f>
        <v>0</v>
      </c>
      <c r="CF30" s="13">
        <f>IFERROR(VLOOKUP($F30,'Visu totale'!$D$3:$DH$129,CF$1,0),0)</f>
        <v>0</v>
      </c>
      <c r="CG30" s="13">
        <f>IFERROR(VLOOKUP($F30,'Visu totale'!$D$3:$DH$129,CG$1,0),0)</f>
        <v>0</v>
      </c>
      <c r="CH30" s="13">
        <f>IFERROR(VLOOKUP($F30,'Visu totale'!$D$3:$DH$129,CH$1,0),0)</f>
        <v>0</v>
      </c>
      <c r="CI30" s="13">
        <f>IFERROR(VLOOKUP($F30,'Visu totale'!$D$3:$DH$129,CI$1,0),0)</f>
        <v>0</v>
      </c>
      <c r="CJ30" s="13">
        <f>IFERROR(VLOOKUP($F30,'Visu totale'!$D$3:$DH$129,CJ$1,0),0)</f>
        <v>0</v>
      </c>
      <c r="CK30" s="13">
        <f>IFERROR(VLOOKUP($F30,'Visu totale'!$D$3:$DH$129,CK$1,0),0)</f>
        <v>0</v>
      </c>
      <c r="CL30" s="15">
        <f>IFERROR(VLOOKUP($F30,'Visu totale'!$D$3:$DH$129,CL$1,0),0)</f>
        <v>0</v>
      </c>
      <c r="CM30" s="14">
        <f>IFERROR(VLOOKUP($F30,'Visu totale'!$D$3:$DH$129,CM$1,0),0)</f>
        <v>0</v>
      </c>
      <c r="CN30" s="13">
        <f>IFERROR(VLOOKUP($F30,'Visu totale'!$D$3:$DH$129,CN$1,0),0)</f>
        <v>0</v>
      </c>
      <c r="CO30" s="13">
        <f>IFERROR(VLOOKUP($F30,'Visu totale'!$D$3:$DH$129,CO$1,0),0)</f>
        <v>0</v>
      </c>
      <c r="CP30" s="13">
        <f>IFERROR(VLOOKUP($F30,'Visu totale'!$D$3:$DH$129,CP$1,0),0)</f>
        <v>0</v>
      </c>
      <c r="CQ30" s="13">
        <f>IFERROR(VLOOKUP($F30,'Visu totale'!$D$3:$DH$129,CQ$1,0),0)</f>
        <v>0</v>
      </c>
      <c r="CR30" s="13">
        <f>IFERROR(VLOOKUP($F30,'Visu totale'!$D$3:$DH$129,CR$1,0),0)</f>
        <v>0</v>
      </c>
      <c r="CS30" s="13">
        <f>IFERROR(VLOOKUP($F30,'Visu totale'!$D$3:$DH$129,CS$1,0),0)</f>
        <v>0</v>
      </c>
      <c r="CT30" s="13">
        <f>IFERROR(VLOOKUP($F30,'Visu totale'!$D$3:$DH$129,CT$1,0),0)</f>
        <v>0</v>
      </c>
      <c r="CU30" s="13">
        <f>IFERROR(VLOOKUP($F30,'Visu totale'!$D$3:$DH$129,CU$1,0),0)</f>
        <v>0</v>
      </c>
      <c r="CV30" s="13">
        <f>IFERROR(VLOOKUP($F30,'Visu totale'!$D$3:$DH$129,CV$1,0),0)</f>
        <v>0</v>
      </c>
      <c r="CW30" s="13">
        <f>IFERROR(VLOOKUP($F30,'Visu totale'!$D$3:$DH$129,CW$1,0),0)</f>
        <v>0</v>
      </c>
      <c r="CX30" s="15">
        <f>IFERROR(VLOOKUP($F30,'Visu totale'!$D$3:$DH$129,CX$1,0),0)</f>
        <v>0</v>
      </c>
      <c r="CY30" s="14">
        <f>IFERROR(VLOOKUP($F30,'Visu totale'!$D$3:$DH$129,CY$1,0),0)</f>
        <v>0</v>
      </c>
      <c r="CZ30" s="13">
        <f>IFERROR(VLOOKUP($F30,'Visu totale'!$D$3:$DH$129,CZ$1,0),0)</f>
        <v>0</v>
      </c>
      <c r="DA30" s="13">
        <f>IFERROR(VLOOKUP($F30,'Visu totale'!$D$3:$DH$129,DA$1,0),0)</f>
        <v>0</v>
      </c>
      <c r="DB30" s="13">
        <f>IFERROR(VLOOKUP($F30,'Visu totale'!$D$3:$DH$129,DB$1,0),0)</f>
        <v>0</v>
      </c>
      <c r="DC30" s="13">
        <f>IFERROR(VLOOKUP($F30,'Visu totale'!$D$3:$DH$129,DC$1,0),0)</f>
        <v>0</v>
      </c>
      <c r="DD30" s="13">
        <f>IFERROR(VLOOKUP($F30,'Visu totale'!$D$3:$DH$129,DD$1,0),0)</f>
        <v>0</v>
      </c>
      <c r="DE30" s="13">
        <f>IFERROR(VLOOKUP($F30,'Visu totale'!$D$3:$DH$129,DE$1,0),0)</f>
        <v>0</v>
      </c>
      <c r="DF30" s="13">
        <f>IFERROR(VLOOKUP($F30,'Visu totale'!$D$3:$DH$129,DF$1,0),0)</f>
        <v>0</v>
      </c>
      <c r="DG30" s="13">
        <f>IFERROR(VLOOKUP($F30,'Visu totale'!$D$3:$DH$129,DG$1,0),0)</f>
        <v>0</v>
      </c>
      <c r="DH30" s="13">
        <f>IFERROR(VLOOKUP($F30,'Visu totale'!$D$3:$DH$129,DH$1,0),0)</f>
        <v>0</v>
      </c>
      <c r="DI30" s="13">
        <f>IFERROR(VLOOKUP($F30,'Visu totale'!$D$3:$DH$129,DI$1,0),0)</f>
        <v>0</v>
      </c>
      <c r="DJ30" s="15">
        <f>IFERROR(VLOOKUP($F30,'Visu totale'!$D$3:$DH$129,DJ$1,0),0)</f>
        <v>0</v>
      </c>
    </row>
    <row r="31" spans="1:114" s="12" customFormat="1" x14ac:dyDescent="0.25">
      <c r="A31" s="13"/>
      <c r="B31" s="13"/>
      <c r="C31" s="13"/>
      <c r="D31" s="13"/>
      <c r="E31" s="13"/>
      <c r="F31" s="17" t="s">
        <v>131</v>
      </c>
      <c r="G31" s="14">
        <f>IFERROR(VLOOKUP($F31,'Visu totale'!$D$3:$DH$129,G$1,0),0)</f>
        <v>0</v>
      </c>
      <c r="H31" s="13">
        <f>IFERROR(VLOOKUP($F31,'Visu totale'!$D$3:$DH$129,H$1,0),0)</f>
        <v>0</v>
      </c>
      <c r="I31" s="13">
        <f>IFERROR(VLOOKUP($F31,'Visu totale'!$D$3:$DH$129,I$1,0),0)</f>
        <v>0</v>
      </c>
      <c r="J31" s="13">
        <f>IFERROR(VLOOKUP($F31,'Visu totale'!$D$3:$DH$129,J$1,0),0)</f>
        <v>0</v>
      </c>
      <c r="K31" s="13">
        <f>IFERROR(VLOOKUP($F31,'Visu totale'!$D$3:$DH$129,K$1,0),0)</f>
        <v>0</v>
      </c>
      <c r="L31" s="13">
        <f>IFERROR(VLOOKUP($F31,'Visu totale'!$D$3:$DH$129,L$1,0),0)</f>
        <v>0</v>
      </c>
      <c r="M31" s="13">
        <f>IFERROR(VLOOKUP($F31,'Visu totale'!$D$3:$DH$129,M$1,0),0)</f>
        <v>0</v>
      </c>
      <c r="N31" s="13">
        <f>IFERROR(VLOOKUP($F31,'Visu totale'!$D$3:$DH$129,N$1,0),0)</f>
        <v>0</v>
      </c>
      <c r="O31" s="13">
        <f>IFERROR(VLOOKUP($F31,'Visu totale'!$D$3:$DH$129,O$1,0),0)</f>
        <v>0</v>
      </c>
      <c r="P31" s="13">
        <f>IFERROR(VLOOKUP($F31,'Visu totale'!$D$3:$DH$129,P$1,0),0)</f>
        <v>0</v>
      </c>
      <c r="Q31" s="13">
        <f>IFERROR(VLOOKUP($F31,'Visu totale'!$D$3:$DH$129,Q$1,0),0)</f>
        <v>0</v>
      </c>
      <c r="R31" s="15">
        <f>IFERROR(VLOOKUP($F31,'Visu totale'!$D$3:$DH$129,R$1,0),0)</f>
        <v>0</v>
      </c>
      <c r="S31" s="14">
        <f>IFERROR(VLOOKUP($F31,'Visu totale'!$D$3:$DH$129,S$1,0),0)</f>
        <v>0</v>
      </c>
      <c r="T31" s="13">
        <f>IFERROR(VLOOKUP($F31,'Visu totale'!$D$3:$DH$129,T$1,0),0)</f>
        <v>0</v>
      </c>
      <c r="U31" s="13">
        <f>IFERROR(VLOOKUP($F31,'Visu totale'!$D$3:$DH$129,U$1,0),0)</f>
        <v>0</v>
      </c>
      <c r="V31" s="13">
        <f>IFERROR(VLOOKUP($F31,'Visu totale'!$D$3:$DH$129,V$1,0),0)</f>
        <v>0</v>
      </c>
      <c r="W31" s="13">
        <f>IFERROR(VLOOKUP($F31,'Visu totale'!$D$3:$DH$129,W$1,0),0)</f>
        <v>0</v>
      </c>
      <c r="X31" s="13">
        <f>IFERROR(VLOOKUP($F31,'Visu totale'!$D$3:$DH$129,X$1,0),0)</f>
        <v>0</v>
      </c>
      <c r="Y31" s="13">
        <f>IFERROR(VLOOKUP($F31,'Visu totale'!$D$3:$DH$129,Y$1,0),0)</f>
        <v>0</v>
      </c>
      <c r="Z31" s="13">
        <f>IFERROR(VLOOKUP($F31,'Visu totale'!$D$3:$DH$129,Z$1,0),0)</f>
        <v>0</v>
      </c>
      <c r="AA31" s="13">
        <f>IFERROR(VLOOKUP($F31,'Visu totale'!$D$3:$DH$129,AA$1,0),0)</f>
        <v>0</v>
      </c>
      <c r="AB31" s="13">
        <f>IFERROR(VLOOKUP($F31,'Visu totale'!$D$3:$DH$129,AB$1,0),0)</f>
        <v>0</v>
      </c>
      <c r="AC31" s="13">
        <f>IFERROR(VLOOKUP($F31,'Visu totale'!$D$3:$DH$129,AC$1,0),0)</f>
        <v>0</v>
      </c>
      <c r="AD31" s="15">
        <f>IFERROR(VLOOKUP($F31,'Visu totale'!$D$3:$DH$129,AD$1,0),0)</f>
        <v>0</v>
      </c>
      <c r="AE31" s="14">
        <f>IFERROR(VLOOKUP($F31,'Visu totale'!$D$3:$DH$129,AE$1,0),0)</f>
        <v>0</v>
      </c>
      <c r="AF31" s="13">
        <f>IFERROR(VLOOKUP($F31,'Visu totale'!$D$3:$DH$129,AF$1,0),0)</f>
        <v>0</v>
      </c>
      <c r="AG31" s="13">
        <f>IFERROR(VLOOKUP($F31,'Visu totale'!$D$3:$DH$129,AG$1,0),0)</f>
        <v>0</v>
      </c>
      <c r="AH31" s="13">
        <f>IFERROR(VLOOKUP($F31,'Visu totale'!$D$3:$DH$129,AH$1,0),0)</f>
        <v>0</v>
      </c>
      <c r="AI31" s="13">
        <f>IFERROR(VLOOKUP($F31,'Visu totale'!$D$3:$DH$129,AI$1,0),0)</f>
        <v>0</v>
      </c>
      <c r="AJ31" s="13">
        <f>IFERROR(VLOOKUP($F31,'Visu totale'!$D$3:$DH$129,AJ$1,0),0)</f>
        <v>0</v>
      </c>
      <c r="AK31" s="13">
        <f>IFERROR(VLOOKUP($F31,'Visu totale'!$D$3:$DH$129,AK$1,0),0)</f>
        <v>0</v>
      </c>
      <c r="AL31" s="13">
        <f>IFERROR(VLOOKUP($F31,'Visu totale'!$D$3:$DH$129,AL$1,0),0)</f>
        <v>0</v>
      </c>
      <c r="AM31" s="13">
        <f>IFERROR(VLOOKUP($F31,'Visu totale'!$D$3:$DH$129,AM$1,0),0)</f>
        <v>0</v>
      </c>
      <c r="AN31" s="13">
        <f>IFERROR(VLOOKUP($F31,'Visu totale'!$D$3:$DH$129,AN$1,0),0)</f>
        <v>0</v>
      </c>
      <c r="AO31" s="13">
        <f>IFERROR(VLOOKUP($F31,'Visu totale'!$D$3:$DH$129,AO$1,0),0)</f>
        <v>0</v>
      </c>
      <c r="AP31" s="15">
        <f>IFERROR(VLOOKUP($F31,'Visu totale'!$D$3:$DH$129,AP$1,0),0)</f>
        <v>0</v>
      </c>
      <c r="AQ31" s="14">
        <f>IFERROR(VLOOKUP($F31,'Visu totale'!$D$3:$DH$129,AQ$1,0),0)</f>
        <v>0</v>
      </c>
      <c r="AR31" s="13">
        <f>IFERROR(VLOOKUP($F31,'Visu totale'!$D$3:$DH$129,AR$1,0),0)</f>
        <v>0</v>
      </c>
      <c r="AS31" s="13">
        <f>IFERROR(VLOOKUP($F31,'Visu totale'!$D$3:$DH$129,AS$1,0),0)</f>
        <v>0</v>
      </c>
      <c r="AT31" s="13">
        <f>IFERROR(VLOOKUP($F31,'Visu totale'!$D$3:$DH$129,AT$1,0),0)</f>
        <v>0</v>
      </c>
      <c r="AU31" s="13">
        <f>IFERROR(VLOOKUP($F31,'Visu totale'!$D$3:$DH$129,AU$1,0),0)</f>
        <v>0</v>
      </c>
      <c r="AV31" s="13">
        <f>IFERROR(VLOOKUP($F31,'Visu totale'!$D$3:$DH$129,AV$1,0),0)</f>
        <v>0</v>
      </c>
      <c r="AW31" s="13">
        <f>IFERROR(VLOOKUP($F31,'Visu totale'!$D$3:$DH$129,AW$1,0),0)</f>
        <v>0</v>
      </c>
      <c r="AX31" s="13">
        <f>IFERROR(VLOOKUP($F31,'Visu totale'!$D$3:$DH$129,AX$1,0),0)</f>
        <v>0</v>
      </c>
      <c r="AY31" s="13">
        <f>IFERROR(VLOOKUP($F31,'Visu totale'!$D$3:$DH$129,AY$1,0),0)</f>
        <v>0</v>
      </c>
      <c r="AZ31" s="13">
        <f>IFERROR(VLOOKUP($F31,'Visu totale'!$D$3:$DH$129,AZ$1,0),0)</f>
        <v>0</v>
      </c>
      <c r="BA31" s="13">
        <f>IFERROR(VLOOKUP($F31,'Visu totale'!$D$3:$DH$129,BA$1,0),0)</f>
        <v>0</v>
      </c>
      <c r="BB31" s="15">
        <f>IFERROR(VLOOKUP($F31,'Visu totale'!$D$3:$DH$129,BB$1,0),0)</f>
        <v>0</v>
      </c>
      <c r="BC31" s="14">
        <f>IFERROR(VLOOKUP($F31,'Visu totale'!$D$3:$DH$129,BC$1,0),0)</f>
        <v>0</v>
      </c>
      <c r="BD31" s="13">
        <f>IFERROR(VLOOKUP($F31,'Visu totale'!$D$3:$DH$129,BD$1,0),0)</f>
        <v>0</v>
      </c>
      <c r="BE31" s="13">
        <f>IFERROR(VLOOKUP($F31,'Visu totale'!$D$3:$DH$129,BE$1,0),0)</f>
        <v>0</v>
      </c>
      <c r="BF31" s="13">
        <f>IFERROR(VLOOKUP($F31,'Visu totale'!$D$3:$DH$129,BF$1,0),0)</f>
        <v>0</v>
      </c>
      <c r="BG31" s="13">
        <f>IFERROR(VLOOKUP($F31,'Visu totale'!$D$3:$DH$129,BG$1,0),0)</f>
        <v>0</v>
      </c>
      <c r="BH31" s="13">
        <f>IFERROR(VLOOKUP($F31,'Visu totale'!$D$3:$DH$129,BH$1,0),0)</f>
        <v>0</v>
      </c>
      <c r="BI31" s="13">
        <f>IFERROR(VLOOKUP($F31,'Visu totale'!$D$3:$DH$129,BI$1,0),0)</f>
        <v>0</v>
      </c>
      <c r="BJ31" s="13">
        <f>IFERROR(VLOOKUP($F31,'Visu totale'!$D$3:$DH$129,BJ$1,0),0)</f>
        <v>0</v>
      </c>
      <c r="BK31" s="13">
        <f>IFERROR(VLOOKUP($F31,'Visu totale'!$D$3:$DH$129,BK$1,0),0)</f>
        <v>0</v>
      </c>
      <c r="BL31" s="13">
        <f>IFERROR(VLOOKUP($F31,'Visu totale'!$D$3:$DH$129,BL$1,0),0)</f>
        <v>0</v>
      </c>
      <c r="BM31" s="13">
        <f>IFERROR(VLOOKUP($F31,'Visu totale'!$D$3:$DH$129,BM$1,0),0)</f>
        <v>0</v>
      </c>
      <c r="BN31" s="15">
        <f>IFERROR(VLOOKUP($F31,'Visu totale'!$D$3:$DH$129,BN$1,0),0)</f>
        <v>0</v>
      </c>
      <c r="BO31" s="14">
        <f>IFERROR(VLOOKUP($F31,'Visu totale'!$D$3:$DH$129,BO$1,0),0)</f>
        <v>0</v>
      </c>
      <c r="BP31" s="13">
        <f>IFERROR(VLOOKUP($F31,'Visu totale'!$D$3:$DH$129,BP$1,0),0)</f>
        <v>0</v>
      </c>
      <c r="BQ31" s="13">
        <f>IFERROR(VLOOKUP($F31,'Visu totale'!$D$3:$DH$129,BQ$1,0),0)</f>
        <v>0</v>
      </c>
      <c r="BR31" s="13">
        <f>IFERROR(VLOOKUP($F31,'Visu totale'!$D$3:$DH$129,BR$1,0),0)</f>
        <v>0</v>
      </c>
      <c r="BS31" s="13">
        <f>IFERROR(VLOOKUP($F31,'Visu totale'!$D$3:$DH$129,BS$1,0),0)</f>
        <v>0</v>
      </c>
      <c r="BT31" s="13">
        <f>IFERROR(VLOOKUP($F31,'Visu totale'!$D$3:$DH$129,BT$1,0),0)</f>
        <v>0</v>
      </c>
      <c r="BU31" s="13">
        <f>IFERROR(VLOOKUP($F31,'Visu totale'!$D$3:$DH$129,BU$1,0),0)</f>
        <v>0</v>
      </c>
      <c r="BV31" s="13">
        <f>IFERROR(VLOOKUP($F31,'Visu totale'!$D$3:$DH$129,BV$1,0),0)</f>
        <v>0</v>
      </c>
      <c r="BW31" s="13">
        <f>IFERROR(VLOOKUP($F31,'Visu totale'!$D$3:$DH$129,BW$1,0),0)</f>
        <v>0</v>
      </c>
      <c r="BX31" s="13">
        <f>IFERROR(VLOOKUP($F31,'Visu totale'!$D$3:$DH$129,BX$1,0),0)</f>
        <v>0</v>
      </c>
      <c r="BY31" s="13">
        <f>IFERROR(VLOOKUP($F31,'Visu totale'!$D$3:$DH$129,BY$1,0),0)</f>
        <v>0</v>
      </c>
      <c r="BZ31" s="15">
        <f>IFERROR(VLOOKUP($F31,'Visu totale'!$D$3:$DH$129,BZ$1,0),0)</f>
        <v>0</v>
      </c>
      <c r="CA31" s="14">
        <f>IFERROR(VLOOKUP($F31,'Visu totale'!$D$3:$DH$129,CA$1,0),0)</f>
        <v>0</v>
      </c>
      <c r="CB31" s="13">
        <f>IFERROR(VLOOKUP($F31,'Visu totale'!$D$3:$DH$129,CB$1,0),0)</f>
        <v>0</v>
      </c>
      <c r="CC31" s="13">
        <f>IFERROR(VLOOKUP($F31,'Visu totale'!$D$3:$DH$129,CC$1,0),0)</f>
        <v>0</v>
      </c>
      <c r="CD31" s="13">
        <f>IFERROR(VLOOKUP($F31,'Visu totale'!$D$3:$DH$129,CD$1,0),0)</f>
        <v>0</v>
      </c>
      <c r="CE31" s="13">
        <f>IFERROR(VLOOKUP($F31,'Visu totale'!$D$3:$DH$129,CE$1,0),0)</f>
        <v>0</v>
      </c>
      <c r="CF31" s="13">
        <f>IFERROR(VLOOKUP($F31,'Visu totale'!$D$3:$DH$129,CF$1,0),0)</f>
        <v>0</v>
      </c>
      <c r="CG31" s="13">
        <f>IFERROR(VLOOKUP($F31,'Visu totale'!$D$3:$DH$129,CG$1,0),0)</f>
        <v>0</v>
      </c>
      <c r="CH31" s="13">
        <f>IFERROR(VLOOKUP($F31,'Visu totale'!$D$3:$DH$129,CH$1,0),0)</f>
        <v>0</v>
      </c>
      <c r="CI31" s="13">
        <f>IFERROR(VLOOKUP($F31,'Visu totale'!$D$3:$DH$129,CI$1,0),0)</f>
        <v>0</v>
      </c>
      <c r="CJ31" s="13">
        <f>IFERROR(VLOOKUP($F31,'Visu totale'!$D$3:$DH$129,CJ$1,0),0)</f>
        <v>0</v>
      </c>
      <c r="CK31" s="13">
        <f>IFERROR(VLOOKUP($F31,'Visu totale'!$D$3:$DH$129,CK$1,0),0)</f>
        <v>0</v>
      </c>
      <c r="CL31" s="15">
        <f>IFERROR(VLOOKUP($F31,'Visu totale'!$D$3:$DH$129,CL$1,0),0)</f>
        <v>0</v>
      </c>
      <c r="CM31" s="14">
        <f>IFERROR(VLOOKUP($F31,'Visu totale'!$D$3:$DH$129,CM$1,0),0)</f>
        <v>0</v>
      </c>
      <c r="CN31" s="13">
        <f>IFERROR(VLOOKUP($F31,'Visu totale'!$D$3:$DH$129,CN$1,0),0)</f>
        <v>0</v>
      </c>
      <c r="CO31" s="13">
        <f>IFERROR(VLOOKUP($F31,'Visu totale'!$D$3:$DH$129,CO$1,0),0)</f>
        <v>0</v>
      </c>
      <c r="CP31" s="13">
        <f>IFERROR(VLOOKUP($F31,'Visu totale'!$D$3:$DH$129,CP$1,0),0)</f>
        <v>0</v>
      </c>
      <c r="CQ31" s="13">
        <f>IFERROR(VLOOKUP($F31,'Visu totale'!$D$3:$DH$129,CQ$1,0),0)</f>
        <v>0</v>
      </c>
      <c r="CR31" s="13">
        <f>IFERROR(VLOOKUP($F31,'Visu totale'!$D$3:$DH$129,CR$1,0),0)</f>
        <v>0</v>
      </c>
      <c r="CS31" s="13">
        <f>IFERROR(VLOOKUP($F31,'Visu totale'!$D$3:$DH$129,CS$1,0),0)</f>
        <v>0</v>
      </c>
      <c r="CT31" s="13">
        <f>IFERROR(VLOOKUP($F31,'Visu totale'!$D$3:$DH$129,CT$1,0),0)</f>
        <v>0</v>
      </c>
      <c r="CU31" s="13">
        <f>IFERROR(VLOOKUP($F31,'Visu totale'!$D$3:$DH$129,CU$1,0),0)</f>
        <v>0</v>
      </c>
      <c r="CV31" s="13">
        <f>IFERROR(VLOOKUP($F31,'Visu totale'!$D$3:$DH$129,CV$1,0),0)</f>
        <v>0</v>
      </c>
      <c r="CW31" s="13">
        <f>IFERROR(VLOOKUP($F31,'Visu totale'!$D$3:$DH$129,CW$1,0),0)</f>
        <v>0</v>
      </c>
      <c r="CX31" s="15">
        <f>IFERROR(VLOOKUP($F31,'Visu totale'!$D$3:$DH$129,CX$1,0),0)</f>
        <v>0</v>
      </c>
      <c r="CY31" s="14">
        <f>IFERROR(VLOOKUP($F31,'Visu totale'!$D$3:$DH$129,CY$1,0),0)</f>
        <v>0</v>
      </c>
      <c r="CZ31" s="13">
        <f>IFERROR(VLOOKUP($F31,'Visu totale'!$D$3:$DH$129,CZ$1,0),0)</f>
        <v>0</v>
      </c>
      <c r="DA31" s="13">
        <f>IFERROR(VLOOKUP($F31,'Visu totale'!$D$3:$DH$129,DA$1,0),0)</f>
        <v>0</v>
      </c>
      <c r="DB31" s="13">
        <f>IFERROR(VLOOKUP($F31,'Visu totale'!$D$3:$DH$129,DB$1,0),0)</f>
        <v>0</v>
      </c>
      <c r="DC31" s="13">
        <f>IFERROR(VLOOKUP($F31,'Visu totale'!$D$3:$DH$129,DC$1,0),0)</f>
        <v>0</v>
      </c>
      <c r="DD31" s="13">
        <f>IFERROR(VLOOKUP($F31,'Visu totale'!$D$3:$DH$129,DD$1,0),0)</f>
        <v>0</v>
      </c>
      <c r="DE31" s="13">
        <f>IFERROR(VLOOKUP($F31,'Visu totale'!$D$3:$DH$129,DE$1,0),0)</f>
        <v>0</v>
      </c>
      <c r="DF31" s="13">
        <f>IFERROR(VLOOKUP($F31,'Visu totale'!$D$3:$DH$129,DF$1,0),0)</f>
        <v>0</v>
      </c>
      <c r="DG31" s="13">
        <f>IFERROR(VLOOKUP($F31,'Visu totale'!$D$3:$DH$129,DG$1,0),0)</f>
        <v>0</v>
      </c>
      <c r="DH31" s="13">
        <f>IFERROR(VLOOKUP($F31,'Visu totale'!$D$3:$DH$129,DH$1,0),0)</f>
        <v>0</v>
      </c>
      <c r="DI31" s="13">
        <f>IFERROR(VLOOKUP($F31,'Visu totale'!$D$3:$DH$129,DI$1,0),0)</f>
        <v>0</v>
      </c>
      <c r="DJ31" s="15">
        <f>IFERROR(VLOOKUP($F31,'Visu totale'!$D$3:$DH$129,DJ$1,0),0)</f>
        <v>0</v>
      </c>
    </row>
    <row r="32" spans="1:114" s="12" customFormat="1" x14ac:dyDescent="0.25">
      <c r="A32" s="13"/>
      <c r="B32" s="13"/>
      <c r="C32" s="13"/>
      <c r="D32" s="13"/>
      <c r="E32" s="13"/>
      <c r="F32" s="17" t="s">
        <v>132</v>
      </c>
      <c r="G32" s="14">
        <f>IFERROR(VLOOKUP($F32,'Visu totale'!$D$3:$DH$129,G$1,0),0)</f>
        <v>0</v>
      </c>
      <c r="H32" s="13">
        <f>IFERROR(VLOOKUP($F32,'Visu totale'!$D$3:$DH$129,H$1,0),0)</f>
        <v>0</v>
      </c>
      <c r="I32" s="13">
        <f>IFERROR(VLOOKUP($F32,'Visu totale'!$D$3:$DH$129,I$1,0),0)</f>
        <v>0</v>
      </c>
      <c r="J32" s="13">
        <f>IFERROR(VLOOKUP($F32,'Visu totale'!$D$3:$DH$129,J$1,0),0)</f>
        <v>0</v>
      </c>
      <c r="K32" s="13">
        <f>IFERROR(VLOOKUP($F32,'Visu totale'!$D$3:$DH$129,K$1,0),0)</f>
        <v>0</v>
      </c>
      <c r="L32" s="13">
        <f>IFERROR(VLOOKUP($F32,'Visu totale'!$D$3:$DH$129,L$1,0),0)</f>
        <v>0</v>
      </c>
      <c r="M32" s="13">
        <f>IFERROR(VLOOKUP($F32,'Visu totale'!$D$3:$DH$129,M$1,0),0)</f>
        <v>0</v>
      </c>
      <c r="N32" s="13">
        <f>IFERROR(VLOOKUP($F32,'Visu totale'!$D$3:$DH$129,N$1,0),0)</f>
        <v>0</v>
      </c>
      <c r="O32" s="13">
        <f>IFERROR(VLOOKUP($F32,'Visu totale'!$D$3:$DH$129,O$1,0),0)</f>
        <v>0</v>
      </c>
      <c r="P32" s="13">
        <f>IFERROR(VLOOKUP($F32,'Visu totale'!$D$3:$DH$129,P$1,0),0)</f>
        <v>0</v>
      </c>
      <c r="Q32" s="13">
        <f>IFERROR(VLOOKUP($F32,'Visu totale'!$D$3:$DH$129,Q$1,0),0)</f>
        <v>0</v>
      </c>
      <c r="R32" s="15">
        <f>IFERROR(VLOOKUP($F32,'Visu totale'!$D$3:$DH$129,R$1,0),0)</f>
        <v>0</v>
      </c>
      <c r="S32" s="14">
        <f>IFERROR(VLOOKUP($F32,'Visu totale'!$D$3:$DH$129,S$1,0),0)</f>
        <v>0</v>
      </c>
      <c r="T32" s="13">
        <f>IFERROR(VLOOKUP($F32,'Visu totale'!$D$3:$DH$129,T$1,0),0)</f>
        <v>0</v>
      </c>
      <c r="U32" s="13">
        <f>IFERROR(VLOOKUP($F32,'Visu totale'!$D$3:$DH$129,U$1,0),0)</f>
        <v>0</v>
      </c>
      <c r="V32" s="13">
        <f>IFERROR(VLOOKUP($F32,'Visu totale'!$D$3:$DH$129,V$1,0),0)</f>
        <v>0</v>
      </c>
      <c r="W32" s="13">
        <f>IFERROR(VLOOKUP($F32,'Visu totale'!$D$3:$DH$129,W$1,0),0)</f>
        <v>0</v>
      </c>
      <c r="X32" s="13">
        <f>IFERROR(VLOOKUP($F32,'Visu totale'!$D$3:$DH$129,X$1,0),0)</f>
        <v>0</v>
      </c>
      <c r="Y32" s="13">
        <f>IFERROR(VLOOKUP($F32,'Visu totale'!$D$3:$DH$129,Y$1,0),0)</f>
        <v>0</v>
      </c>
      <c r="Z32" s="13">
        <f>IFERROR(VLOOKUP($F32,'Visu totale'!$D$3:$DH$129,Z$1,0),0)</f>
        <v>0</v>
      </c>
      <c r="AA32" s="13">
        <f>IFERROR(VLOOKUP($F32,'Visu totale'!$D$3:$DH$129,AA$1,0),0)</f>
        <v>0</v>
      </c>
      <c r="AB32" s="13">
        <f>IFERROR(VLOOKUP($F32,'Visu totale'!$D$3:$DH$129,AB$1,0),0)</f>
        <v>0</v>
      </c>
      <c r="AC32" s="13">
        <f>IFERROR(VLOOKUP($F32,'Visu totale'!$D$3:$DH$129,AC$1,0),0)</f>
        <v>0</v>
      </c>
      <c r="AD32" s="15">
        <f>IFERROR(VLOOKUP($F32,'Visu totale'!$D$3:$DH$129,AD$1,0),0)</f>
        <v>0</v>
      </c>
      <c r="AE32" s="14">
        <f>IFERROR(VLOOKUP($F32,'Visu totale'!$D$3:$DH$129,AE$1,0),0)</f>
        <v>0</v>
      </c>
      <c r="AF32" s="13">
        <f>IFERROR(VLOOKUP($F32,'Visu totale'!$D$3:$DH$129,AF$1,0),0)</f>
        <v>0</v>
      </c>
      <c r="AG32" s="13">
        <f>IFERROR(VLOOKUP($F32,'Visu totale'!$D$3:$DH$129,AG$1,0),0)</f>
        <v>0</v>
      </c>
      <c r="AH32" s="13">
        <f>IFERROR(VLOOKUP($F32,'Visu totale'!$D$3:$DH$129,AH$1,0),0)</f>
        <v>0</v>
      </c>
      <c r="AI32" s="13">
        <f>IFERROR(VLOOKUP($F32,'Visu totale'!$D$3:$DH$129,AI$1,0),0)</f>
        <v>0</v>
      </c>
      <c r="AJ32" s="13">
        <f>IFERROR(VLOOKUP($F32,'Visu totale'!$D$3:$DH$129,AJ$1,0),0)</f>
        <v>0</v>
      </c>
      <c r="AK32" s="13">
        <f>IFERROR(VLOOKUP($F32,'Visu totale'!$D$3:$DH$129,AK$1,0),0)</f>
        <v>0</v>
      </c>
      <c r="AL32" s="13">
        <f>IFERROR(VLOOKUP($F32,'Visu totale'!$D$3:$DH$129,AL$1,0),0)</f>
        <v>0</v>
      </c>
      <c r="AM32" s="13">
        <f>IFERROR(VLOOKUP($F32,'Visu totale'!$D$3:$DH$129,AM$1,0),0)</f>
        <v>0</v>
      </c>
      <c r="AN32" s="13">
        <f>IFERROR(VLOOKUP($F32,'Visu totale'!$D$3:$DH$129,AN$1,0),0)</f>
        <v>0</v>
      </c>
      <c r="AO32" s="13">
        <f>IFERROR(VLOOKUP($F32,'Visu totale'!$D$3:$DH$129,AO$1,0),0)</f>
        <v>0</v>
      </c>
      <c r="AP32" s="15">
        <f>IFERROR(VLOOKUP($F32,'Visu totale'!$D$3:$DH$129,AP$1,0),0)</f>
        <v>0</v>
      </c>
      <c r="AQ32" s="14">
        <f>IFERROR(VLOOKUP($F32,'Visu totale'!$D$3:$DH$129,AQ$1,0),0)</f>
        <v>0</v>
      </c>
      <c r="AR32" s="13">
        <f>IFERROR(VLOOKUP($F32,'Visu totale'!$D$3:$DH$129,AR$1,0),0)</f>
        <v>0</v>
      </c>
      <c r="AS32" s="13">
        <f>IFERROR(VLOOKUP($F32,'Visu totale'!$D$3:$DH$129,AS$1,0),0)</f>
        <v>0</v>
      </c>
      <c r="AT32" s="13">
        <f>IFERROR(VLOOKUP($F32,'Visu totale'!$D$3:$DH$129,AT$1,0),0)</f>
        <v>0</v>
      </c>
      <c r="AU32" s="13">
        <f>IFERROR(VLOOKUP($F32,'Visu totale'!$D$3:$DH$129,AU$1,0),0)</f>
        <v>0</v>
      </c>
      <c r="AV32" s="13">
        <f>IFERROR(VLOOKUP($F32,'Visu totale'!$D$3:$DH$129,AV$1,0),0)</f>
        <v>0</v>
      </c>
      <c r="AW32" s="13">
        <f>IFERROR(VLOOKUP($F32,'Visu totale'!$D$3:$DH$129,AW$1,0),0)</f>
        <v>0</v>
      </c>
      <c r="AX32" s="13">
        <f>IFERROR(VLOOKUP($F32,'Visu totale'!$D$3:$DH$129,AX$1,0),0)</f>
        <v>0</v>
      </c>
      <c r="AY32" s="13">
        <f>IFERROR(VLOOKUP($F32,'Visu totale'!$D$3:$DH$129,AY$1,0),0)</f>
        <v>0</v>
      </c>
      <c r="AZ32" s="13">
        <f>IFERROR(VLOOKUP($F32,'Visu totale'!$D$3:$DH$129,AZ$1,0),0)</f>
        <v>0</v>
      </c>
      <c r="BA32" s="13">
        <f>IFERROR(VLOOKUP($F32,'Visu totale'!$D$3:$DH$129,BA$1,0),0)</f>
        <v>0</v>
      </c>
      <c r="BB32" s="15">
        <f>IFERROR(VLOOKUP($F32,'Visu totale'!$D$3:$DH$129,BB$1,0),0)</f>
        <v>0</v>
      </c>
      <c r="BC32" s="14">
        <f>IFERROR(VLOOKUP($F32,'Visu totale'!$D$3:$DH$129,BC$1,0),0)</f>
        <v>0</v>
      </c>
      <c r="BD32" s="13">
        <f>IFERROR(VLOOKUP($F32,'Visu totale'!$D$3:$DH$129,BD$1,0),0)</f>
        <v>0</v>
      </c>
      <c r="BE32" s="13">
        <f>IFERROR(VLOOKUP($F32,'Visu totale'!$D$3:$DH$129,BE$1,0),0)</f>
        <v>0</v>
      </c>
      <c r="BF32" s="13">
        <f>IFERROR(VLOOKUP($F32,'Visu totale'!$D$3:$DH$129,BF$1,0),0)</f>
        <v>0</v>
      </c>
      <c r="BG32" s="13">
        <f>IFERROR(VLOOKUP($F32,'Visu totale'!$D$3:$DH$129,BG$1,0),0)</f>
        <v>0</v>
      </c>
      <c r="BH32" s="13">
        <f>IFERROR(VLOOKUP($F32,'Visu totale'!$D$3:$DH$129,BH$1,0),0)</f>
        <v>0</v>
      </c>
      <c r="BI32" s="13">
        <f>IFERROR(VLOOKUP($F32,'Visu totale'!$D$3:$DH$129,BI$1,0),0)</f>
        <v>0</v>
      </c>
      <c r="BJ32" s="13">
        <f>IFERROR(VLOOKUP($F32,'Visu totale'!$D$3:$DH$129,BJ$1,0),0)</f>
        <v>0</v>
      </c>
      <c r="BK32" s="13">
        <f>IFERROR(VLOOKUP($F32,'Visu totale'!$D$3:$DH$129,BK$1,0),0)</f>
        <v>0</v>
      </c>
      <c r="BL32" s="13">
        <f>IFERROR(VLOOKUP($F32,'Visu totale'!$D$3:$DH$129,BL$1,0),0)</f>
        <v>0</v>
      </c>
      <c r="BM32" s="13">
        <f>IFERROR(VLOOKUP($F32,'Visu totale'!$D$3:$DH$129,BM$1,0),0)</f>
        <v>0</v>
      </c>
      <c r="BN32" s="15">
        <f>IFERROR(VLOOKUP($F32,'Visu totale'!$D$3:$DH$129,BN$1,0),0)</f>
        <v>0</v>
      </c>
      <c r="BO32" s="14">
        <f>IFERROR(VLOOKUP($F32,'Visu totale'!$D$3:$DH$129,BO$1,0),0)</f>
        <v>0</v>
      </c>
      <c r="BP32" s="13">
        <f>IFERROR(VLOOKUP($F32,'Visu totale'!$D$3:$DH$129,BP$1,0),0)</f>
        <v>0</v>
      </c>
      <c r="BQ32" s="13">
        <f>IFERROR(VLOOKUP($F32,'Visu totale'!$D$3:$DH$129,BQ$1,0),0)</f>
        <v>0</v>
      </c>
      <c r="BR32" s="13">
        <f>IFERROR(VLOOKUP($F32,'Visu totale'!$D$3:$DH$129,BR$1,0),0)</f>
        <v>0</v>
      </c>
      <c r="BS32" s="13">
        <f>IFERROR(VLOOKUP($F32,'Visu totale'!$D$3:$DH$129,BS$1,0),0)</f>
        <v>0</v>
      </c>
      <c r="BT32" s="13">
        <f>IFERROR(VLOOKUP($F32,'Visu totale'!$D$3:$DH$129,BT$1,0),0)</f>
        <v>0</v>
      </c>
      <c r="BU32" s="13">
        <f>IFERROR(VLOOKUP($F32,'Visu totale'!$D$3:$DH$129,BU$1,0),0)</f>
        <v>0</v>
      </c>
      <c r="BV32" s="13">
        <f>IFERROR(VLOOKUP($F32,'Visu totale'!$D$3:$DH$129,BV$1,0),0)</f>
        <v>0</v>
      </c>
      <c r="BW32" s="13">
        <f>IFERROR(VLOOKUP($F32,'Visu totale'!$D$3:$DH$129,BW$1,0),0)</f>
        <v>0</v>
      </c>
      <c r="BX32" s="13">
        <f>IFERROR(VLOOKUP($F32,'Visu totale'!$D$3:$DH$129,BX$1,0),0)</f>
        <v>0</v>
      </c>
      <c r="BY32" s="13">
        <f>IFERROR(VLOOKUP($F32,'Visu totale'!$D$3:$DH$129,BY$1,0),0)</f>
        <v>0</v>
      </c>
      <c r="BZ32" s="15">
        <f>IFERROR(VLOOKUP($F32,'Visu totale'!$D$3:$DH$129,BZ$1,0),0)</f>
        <v>0</v>
      </c>
      <c r="CA32" s="14">
        <f>IFERROR(VLOOKUP($F32,'Visu totale'!$D$3:$DH$129,CA$1,0),0)</f>
        <v>0</v>
      </c>
      <c r="CB32" s="13">
        <f>IFERROR(VLOOKUP($F32,'Visu totale'!$D$3:$DH$129,CB$1,0),0)</f>
        <v>0</v>
      </c>
      <c r="CC32" s="13">
        <f>IFERROR(VLOOKUP($F32,'Visu totale'!$D$3:$DH$129,CC$1,0),0)</f>
        <v>0</v>
      </c>
      <c r="CD32" s="13">
        <f>IFERROR(VLOOKUP($F32,'Visu totale'!$D$3:$DH$129,CD$1,0),0)</f>
        <v>0</v>
      </c>
      <c r="CE32" s="13">
        <f>IFERROR(VLOOKUP($F32,'Visu totale'!$D$3:$DH$129,CE$1,0),0)</f>
        <v>0</v>
      </c>
      <c r="CF32" s="13">
        <f>IFERROR(VLOOKUP($F32,'Visu totale'!$D$3:$DH$129,CF$1,0),0)</f>
        <v>0</v>
      </c>
      <c r="CG32" s="13">
        <f>IFERROR(VLOOKUP($F32,'Visu totale'!$D$3:$DH$129,CG$1,0),0)</f>
        <v>0</v>
      </c>
      <c r="CH32" s="13">
        <f>IFERROR(VLOOKUP($F32,'Visu totale'!$D$3:$DH$129,CH$1,0),0)</f>
        <v>0</v>
      </c>
      <c r="CI32" s="13">
        <f>IFERROR(VLOOKUP($F32,'Visu totale'!$D$3:$DH$129,CI$1,0),0)</f>
        <v>0</v>
      </c>
      <c r="CJ32" s="13">
        <f>IFERROR(VLOOKUP($F32,'Visu totale'!$D$3:$DH$129,CJ$1,0),0)</f>
        <v>0</v>
      </c>
      <c r="CK32" s="13">
        <f>IFERROR(VLOOKUP($F32,'Visu totale'!$D$3:$DH$129,CK$1,0),0)</f>
        <v>0</v>
      </c>
      <c r="CL32" s="15">
        <f>IFERROR(VLOOKUP($F32,'Visu totale'!$D$3:$DH$129,CL$1,0),0)</f>
        <v>0</v>
      </c>
      <c r="CM32" s="14">
        <f>IFERROR(VLOOKUP($F32,'Visu totale'!$D$3:$DH$129,CM$1,0),0)</f>
        <v>0</v>
      </c>
      <c r="CN32" s="13">
        <f>IFERROR(VLOOKUP($F32,'Visu totale'!$D$3:$DH$129,CN$1,0),0)</f>
        <v>0</v>
      </c>
      <c r="CO32" s="13">
        <f>IFERROR(VLOOKUP($F32,'Visu totale'!$D$3:$DH$129,CO$1,0),0)</f>
        <v>0</v>
      </c>
      <c r="CP32" s="13">
        <f>IFERROR(VLOOKUP($F32,'Visu totale'!$D$3:$DH$129,CP$1,0),0)</f>
        <v>0</v>
      </c>
      <c r="CQ32" s="13">
        <f>IFERROR(VLOOKUP($F32,'Visu totale'!$D$3:$DH$129,CQ$1,0),0)</f>
        <v>0</v>
      </c>
      <c r="CR32" s="13">
        <f>IFERROR(VLOOKUP($F32,'Visu totale'!$D$3:$DH$129,CR$1,0),0)</f>
        <v>0</v>
      </c>
      <c r="CS32" s="13">
        <f>IFERROR(VLOOKUP($F32,'Visu totale'!$D$3:$DH$129,CS$1,0),0)</f>
        <v>0</v>
      </c>
      <c r="CT32" s="13">
        <f>IFERROR(VLOOKUP($F32,'Visu totale'!$D$3:$DH$129,CT$1,0),0)</f>
        <v>0</v>
      </c>
      <c r="CU32" s="13">
        <f>IFERROR(VLOOKUP($F32,'Visu totale'!$D$3:$DH$129,CU$1,0),0)</f>
        <v>0</v>
      </c>
      <c r="CV32" s="13">
        <f>IFERROR(VLOOKUP($F32,'Visu totale'!$D$3:$DH$129,CV$1,0),0)</f>
        <v>0</v>
      </c>
      <c r="CW32" s="13">
        <f>IFERROR(VLOOKUP($F32,'Visu totale'!$D$3:$DH$129,CW$1,0),0)</f>
        <v>0</v>
      </c>
      <c r="CX32" s="15">
        <f>IFERROR(VLOOKUP($F32,'Visu totale'!$D$3:$DH$129,CX$1,0),0)</f>
        <v>0</v>
      </c>
      <c r="CY32" s="14">
        <f>IFERROR(VLOOKUP($F32,'Visu totale'!$D$3:$DH$129,CY$1,0),0)</f>
        <v>0</v>
      </c>
      <c r="CZ32" s="13">
        <f>IFERROR(VLOOKUP($F32,'Visu totale'!$D$3:$DH$129,CZ$1,0),0)</f>
        <v>0</v>
      </c>
      <c r="DA32" s="13">
        <f>IFERROR(VLOOKUP($F32,'Visu totale'!$D$3:$DH$129,DA$1,0),0)</f>
        <v>0</v>
      </c>
      <c r="DB32" s="13">
        <f>IFERROR(VLOOKUP($F32,'Visu totale'!$D$3:$DH$129,DB$1,0),0)</f>
        <v>0</v>
      </c>
      <c r="DC32" s="13">
        <f>IFERROR(VLOOKUP($F32,'Visu totale'!$D$3:$DH$129,DC$1,0),0)</f>
        <v>0</v>
      </c>
      <c r="DD32" s="13">
        <f>IFERROR(VLOOKUP($F32,'Visu totale'!$D$3:$DH$129,DD$1,0),0)</f>
        <v>0</v>
      </c>
      <c r="DE32" s="13">
        <f>IFERROR(VLOOKUP($F32,'Visu totale'!$D$3:$DH$129,DE$1,0),0)</f>
        <v>0</v>
      </c>
      <c r="DF32" s="13">
        <f>IFERROR(VLOOKUP($F32,'Visu totale'!$D$3:$DH$129,DF$1,0),0)</f>
        <v>0</v>
      </c>
      <c r="DG32" s="13">
        <f>IFERROR(VLOOKUP($F32,'Visu totale'!$D$3:$DH$129,DG$1,0),0)</f>
        <v>0</v>
      </c>
      <c r="DH32" s="13">
        <f>IFERROR(VLOOKUP($F32,'Visu totale'!$D$3:$DH$129,DH$1,0),0)</f>
        <v>0</v>
      </c>
      <c r="DI32" s="13">
        <f>IFERROR(VLOOKUP($F32,'Visu totale'!$D$3:$DH$129,DI$1,0),0)</f>
        <v>0</v>
      </c>
      <c r="DJ32" s="15">
        <f>IFERROR(VLOOKUP($F32,'Visu totale'!$D$3:$DH$129,DJ$1,0),0)</f>
        <v>0</v>
      </c>
    </row>
  </sheetData>
  <mergeCells count="9">
    <mergeCell ref="CA2:CL2"/>
    <mergeCell ref="CM2:CX2"/>
    <mergeCell ref="CY2:DJ2"/>
    <mergeCell ref="G2:R2"/>
    <mergeCell ref="S2:AD2"/>
    <mergeCell ref="AE2:AP2"/>
    <mergeCell ref="AQ2:BB2"/>
    <mergeCell ref="BC2:BN2"/>
    <mergeCell ref="BO2:BZ2"/>
  </mergeCells>
  <conditionalFormatting sqref="G4:DJ32">
    <cfRule type="beginsWith" dxfId="9" priority="1" operator="beginsWith" text="S">
      <formula>LEFT(G4,LEN("S"))="S"</formula>
    </cfRule>
    <cfRule type="cellIs" dxfId="8" priority="2" operator="equal">
      <formula>"x"</formula>
    </cfRule>
    <cfRule type="beginsWith" dxfId="7" priority="3" operator="beginsWith" text="V">
      <formula>LEFT(G4,LEN("V"))="V"</formula>
    </cfRule>
    <cfRule type="cellIs" dxfId="6" priority="4" operator="greaterThan">
      <formula>25</formula>
    </cfRule>
    <cfRule type="cellIs" dxfId="5" priority="5" operator="greaterThanOrEqual">
      <formula>22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29"/>
  <sheetViews>
    <sheetView topLeftCell="B2" zoomScale="55" zoomScaleNormal="55" workbookViewId="0">
      <selection activeCell="T35" sqref="T35"/>
    </sheetView>
  </sheetViews>
  <sheetFormatPr defaultColWidth="11.42578125" defaultRowHeight="15" x14ac:dyDescent="0.25"/>
  <cols>
    <col min="1" max="1" width="16" hidden="1" customWidth="1"/>
    <col min="2" max="2" width="6.5703125" bestFit="1" customWidth="1"/>
    <col min="3" max="3" width="9" bestFit="1" customWidth="1"/>
    <col min="4" max="4" width="9.7109375" bestFit="1" customWidth="1"/>
    <col min="5" max="5" width="12.85546875" bestFit="1" customWidth="1"/>
    <col min="6" max="6" width="6.42578125" bestFit="1" customWidth="1"/>
    <col min="7" max="7" width="6.5703125" bestFit="1" customWidth="1"/>
    <col min="8" max="8" width="6.85546875" bestFit="1" customWidth="1"/>
    <col min="9" max="9" width="6.5703125" bestFit="1" customWidth="1"/>
    <col min="10" max="10" width="7.140625" bestFit="1" customWidth="1"/>
    <col min="11" max="12" width="6.42578125" bestFit="1" customWidth="1"/>
    <col min="13" max="13" width="6.85546875" bestFit="1" customWidth="1"/>
    <col min="14" max="14" width="6.5703125" bestFit="1" customWidth="1"/>
    <col min="15" max="15" width="6.42578125" bestFit="1" customWidth="1"/>
    <col min="16" max="16" width="6.85546875" bestFit="1" customWidth="1"/>
    <col min="17" max="17" width="6.5703125" bestFit="1" customWidth="1"/>
    <col min="18" max="18" width="6.42578125" bestFit="1" customWidth="1"/>
    <col min="19" max="19" width="6.5703125" bestFit="1" customWidth="1"/>
    <col min="20" max="20" width="6.85546875" bestFit="1" customWidth="1"/>
    <col min="21" max="21" width="6.5703125" bestFit="1" customWidth="1"/>
    <col min="22" max="22" width="7.140625" bestFit="1" customWidth="1"/>
    <col min="23" max="24" width="6.42578125" bestFit="1" customWidth="1"/>
    <col min="25" max="25" width="6.85546875" bestFit="1" customWidth="1"/>
    <col min="26" max="26" width="6.5703125" bestFit="1" customWidth="1"/>
    <col min="27" max="27" width="6.42578125" bestFit="1" customWidth="1"/>
    <col min="28" max="28" width="6.85546875" bestFit="1" customWidth="1"/>
    <col min="29" max="29" width="6.5703125" bestFit="1" customWidth="1"/>
    <col min="30" max="30" width="6.42578125" bestFit="1" customWidth="1"/>
    <col min="31" max="31" width="6.5703125" bestFit="1" customWidth="1"/>
    <col min="32" max="32" width="6.85546875" bestFit="1" customWidth="1"/>
    <col min="33" max="33" width="6.5703125" bestFit="1" customWidth="1"/>
    <col min="34" max="34" width="7.140625" bestFit="1" customWidth="1"/>
    <col min="35" max="36" width="6.42578125" bestFit="1" customWidth="1"/>
    <col min="37" max="37" width="6.85546875" bestFit="1" customWidth="1"/>
    <col min="38" max="38" width="6.5703125" bestFit="1" customWidth="1"/>
    <col min="39" max="39" width="6.42578125" bestFit="1" customWidth="1"/>
    <col min="40" max="40" width="6.85546875" bestFit="1" customWidth="1"/>
    <col min="41" max="41" width="6.5703125" bestFit="1" customWidth="1"/>
    <col min="42" max="42" width="6.42578125" bestFit="1" customWidth="1"/>
    <col min="43" max="43" width="6.5703125" bestFit="1" customWidth="1"/>
    <col min="44" max="44" width="6.85546875" bestFit="1" customWidth="1"/>
    <col min="45" max="45" width="6.5703125" bestFit="1" customWidth="1"/>
    <col min="46" max="46" width="7.140625" bestFit="1" customWidth="1"/>
    <col min="47" max="48" width="6.42578125" bestFit="1" customWidth="1"/>
    <col min="49" max="49" width="6.85546875" bestFit="1" customWidth="1"/>
    <col min="50" max="50" width="6.5703125" bestFit="1" customWidth="1"/>
    <col min="51" max="51" width="6.42578125" bestFit="1" customWidth="1"/>
    <col min="52" max="52" width="6.85546875" bestFit="1" customWidth="1"/>
    <col min="53" max="53" width="6.5703125" bestFit="1" customWidth="1"/>
    <col min="54" max="54" width="6.42578125" bestFit="1" customWidth="1"/>
    <col min="55" max="55" width="6.5703125" bestFit="1" customWidth="1"/>
    <col min="56" max="56" width="6.85546875" bestFit="1" customWidth="1"/>
    <col min="57" max="57" width="6.5703125" bestFit="1" customWidth="1"/>
    <col min="58" max="58" width="7.140625" bestFit="1" customWidth="1"/>
    <col min="59" max="60" width="6.42578125" bestFit="1" customWidth="1"/>
    <col min="61" max="61" width="6.85546875" bestFit="1" customWidth="1"/>
    <col min="62" max="62" width="6.5703125" bestFit="1" customWidth="1"/>
    <col min="63" max="63" width="6.42578125" bestFit="1" customWidth="1"/>
    <col min="64" max="64" width="6.85546875" bestFit="1" customWidth="1"/>
    <col min="65" max="65" width="6.5703125" bestFit="1" customWidth="1"/>
    <col min="66" max="66" width="6.42578125" bestFit="1" customWidth="1"/>
    <col min="67" max="67" width="6.5703125" bestFit="1" customWidth="1"/>
    <col min="68" max="68" width="6.85546875" bestFit="1" customWidth="1"/>
    <col min="69" max="69" width="6.5703125" bestFit="1" customWidth="1"/>
    <col min="70" max="70" width="7.140625" bestFit="1" customWidth="1"/>
    <col min="71" max="72" width="6.42578125" bestFit="1" customWidth="1"/>
    <col min="73" max="78" width="6.85546875" bestFit="1" customWidth="1"/>
    <col min="79" max="79" width="6.5703125" bestFit="1" customWidth="1"/>
    <col min="80" max="80" width="6.85546875" bestFit="1" customWidth="1"/>
    <col min="81" max="81" width="6.5703125" bestFit="1" customWidth="1"/>
    <col min="82" max="82" width="7.140625" bestFit="1" customWidth="1"/>
    <col min="83" max="83" width="6.85546875" bestFit="1" customWidth="1"/>
    <col min="84" max="84" width="6.5703125" bestFit="1" customWidth="1"/>
    <col min="85" max="88" width="6.85546875" bestFit="1" customWidth="1"/>
    <col min="89" max="89" width="6.5703125" bestFit="1" customWidth="1"/>
    <col min="90" max="90" width="6.42578125" bestFit="1" customWidth="1"/>
    <col min="91" max="91" width="6.5703125" bestFit="1" customWidth="1"/>
    <col min="92" max="92" width="6.85546875" bestFit="1" customWidth="1"/>
    <col min="93" max="93" width="6.5703125" bestFit="1" customWidth="1"/>
    <col min="94" max="94" width="7.140625" bestFit="1" customWidth="1"/>
    <col min="95" max="96" width="6.5703125" bestFit="1" customWidth="1"/>
    <col min="97" max="97" width="6.85546875" bestFit="1" customWidth="1"/>
    <col min="98" max="98" width="6.5703125" bestFit="1" customWidth="1"/>
    <col min="99" max="99" width="6.42578125" bestFit="1" customWidth="1"/>
    <col min="100" max="100" width="6.85546875" bestFit="1" customWidth="1"/>
    <col min="101" max="101" width="6.5703125" bestFit="1" customWidth="1"/>
    <col min="102" max="102" width="6.42578125" bestFit="1" customWidth="1"/>
    <col min="103" max="103" width="6.5703125" bestFit="1" customWidth="1"/>
    <col min="104" max="104" width="6.85546875" bestFit="1" customWidth="1"/>
    <col min="105" max="105" width="6.5703125" bestFit="1" customWidth="1"/>
    <col min="106" max="106" width="7.140625" bestFit="1" customWidth="1"/>
    <col min="107" max="108" width="6.42578125" bestFit="1" customWidth="1"/>
    <col min="109" max="109" width="6.85546875" bestFit="1" customWidth="1"/>
    <col min="110" max="110" width="6.5703125" bestFit="1" customWidth="1"/>
    <col min="111" max="111" width="6.42578125" bestFit="1" customWidth="1"/>
    <col min="112" max="112" width="6.85546875" bestFit="1" customWidth="1"/>
    <col min="113" max="113" width="6.5703125" bestFit="1" customWidth="1"/>
    <col min="114" max="16384" width="11.42578125" style="28"/>
  </cols>
  <sheetData>
    <row r="1" spans="1:113" hidden="1" x14ac:dyDescent="0.25">
      <c r="F1">
        <v>2</v>
      </c>
      <c r="G1">
        <v>3</v>
      </c>
      <c r="H1">
        <v>4</v>
      </c>
      <c r="I1">
        <v>5</v>
      </c>
      <c r="J1">
        <v>6</v>
      </c>
      <c r="K1">
        <v>7</v>
      </c>
      <c r="L1">
        <v>8</v>
      </c>
      <c r="M1">
        <v>9</v>
      </c>
      <c r="N1">
        <v>10</v>
      </c>
      <c r="O1">
        <v>11</v>
      </c>
      <c r="P1">
        <v>12</v>
      </c>
      <c r="Q1">
        <v>13</v>
      </c>
      <c r="R1">
        <v>14</v>
      </c>
      <c r="S1">
        <v>15</v>
      </c>
      <c r="T1">
        <v>16</v>
      </c>
      <c r="U1">
        <v>17</v>
      </c>
      <c r="V1">
        <v>18</v>
      </c>
      <c r="W1">
        <v>19</v>
      </c>
      <c r="X1">
        <v>20</v>
      </c>
      <c r="Y1">
        <v>21</v>
      </c>
      <c r="Z1">
        <v>22</v>
      </c>
      <c r="AA1">
        <v>23</v>
      </c>
      <c r="AB1">
        <v>24</v>
      </c>
      <c r="AC1">
        <v>25</v>
      </c>
      <c r="AD1">
        <v>26</v>
      </c>
      <c r="AE1">
        <v>27</v>
      </c>
      <c r="AF1">
        <v>28</v>
      </c>
      <c r="AG1">
        <v>29</v>
      </c>
      <c r="AH1">
        <v>30</v>
      </c>
      <c r="AI1">
        <v>31</v>
      </c>
      <c r="AJ1">
        <v>32</v>
      </c>
      <c r="AK1">
        <v>33</v>
      </c>
      <c r="AL1">
        <v>34</v>
      </c>
      <c r="AM1">
        <v>35</v>
      </c>
      <c r="AN1">
        <v>36</v>
      </c>
      <c r="AO1">
        <v>37</v>
      </c>
      <c r="AP1">
        <v>38</v>
      </c>
      <c r="AQ1">
        <v>39</v>
      </c>
      <c r="AR1">
        <v>40</v>
      </c>
      <c r="AS1">
        <v>41</v>
      </c>
      <c r="AT1">
        <v>42</v>
      </c>
      <c r="AU1">
        <v>43</v>
      </c>
      <c r="AV1">
        <v>44</v>
      </c>
      <c r="AW1">
        <v>45</v>
      </c>
      <c r="AX1">
        <v>46</v>
      </c>
      <c r="AY1">
        <v>47</v>
      </c>
      <c r="AZ1">
        <v>48</v>
      </c>
      <c r="BA1">
        <v>49</v>
      </c>
      <c r="BB1">
        <v>50</v>
      </c>
      <c r="BC1">
        <v>51</v>
      </c>
      <c r="BD1">
        <v>52</v>
      </c>
      <c r="BE1">
        <v>53</v>
      </c>
      <c r="BF1">
        <v>54</v>
      </c>
      <c r="BG1">
        <v>55</v>
      </c>
      <c r="BH1">
        <v>56</v>
      </c>
      <c r="BI1">
        <v>57</v>
      </c>
      <c r="BJ1">
        <v>58</v>
      </c>
      <c r="BK1">
        <v>59</v>
      </c>
      <c r="BL1">
        <v>60</v>
      </c>
      <c r="BM1">
        <v>61</v>
      </c>
      <c r="BN1">
        <v>62</v>
      </c>
      <c r="BO1">
        <v>63</v>
      </c>
      <c r="BP1">
        <v>64</v>
      </c>
      <c r="BQ1">
        <v>65</v>
      </c>
      <c r="BR1">
        <v>66</v>
      </c>
      <c r="BS1">
        <v>67</v>
      </c>
      <c r="BT1">
        <v>68</v>
      </c>
      <c r="BU1">
        <v>69</v>
      </c>
      <c r="BV1">
        <v>70</v>
      </c>
      <c r="BW1">
        <v>71</v>
      </c>
      <c r="BX1">
        <v>72</v>
      </c>
      <c r="BY1">
        <v>73</v>
      </c>
      <c r="BZ1">
        <v>74</v>
      </c>
      <c r="CA1">
        <v>75</v>
      </c>
      <c r="CB1">
        <v>76</v>
      </c>
      <c r="CC1">
        <v>77</v>
      </c>
      <c r="CD1">
        <v>78</v>
      </c>
      <c r="CE1">
        <v>79</v>
      </c>
      <c r="CF1">
        <v>80</v>
      </c>
      <c r="CG1">
        <v>81</v>
      </c>
      <c r="CH1">
        <v>82</v>
      </c>
      <c r="CI1">
        <v>83</v>
      </c>
      <c r="CJ1">
        <v>84</v>
      </c>
      <c r="CK1">
        <v>85</v>
      </c>
      <c r="CL1">
        <v>86</v>
      </c>
      <c r="CM1">
        <v>87</v>
      </c>
      <c r="CN1">
        <v>88</v>
      </c>
      <c r="CO1">
        <v>89</v>
      </c>
      <c r="CP1">
        <v>90</v>
      </c>
      <c r="CQ1">
        <v>91</v>
      </c>
      <c r="CR1">
        <v>92</v>
      </c>
      <c r="CS1">
        <v>93</v>
      </c>
      <c r="CT1">
        <v>94</v>
      </c>
      <c r="CU1">
        <v>95</v>
      </c>
      <c r="CV1">
        <v>96</v>
      </c>
      <c r="CW1">
        <v>97</v>
      </c>
      <c r="CX1">
        <v>98</v>
      </c>
      <c r="CY1">
        <v>99</v>
      </c>
      <c r="CZ1">
        <v>100</v>
      </c>
      <c r="DA1">
        <v>101</v>
      </c>
      <c r="DB1">
        <v>102</v>
      </c>
      <c r="DC1">
        <v>103</v>
      </c>
      <c r="DD1">
        <v>104</v>
      </c>
      <c r="DE1">
        <v>105</v>
      </c>
      <c r="DF1">
        <v>106</v>
      </c>
      <c r="DG1">
        <v>107</v>
      </c>
      <c r="DH1">
        <v>108</v>
      </c>
      <c r="DI1">
        <v>109</v>
      </c>
    </row>
    <row r="2" spans="1:113" s="29" customFormat="1" ht="20.25" x14ac:dyDescent="0.25">
      <c r="A2" s="11"/>
      <c r="B2" s="11"/>
      <c r="C2" s="11"/>
      <c r="D2" s="11"/>
      <c r="E2" s="11"/>
      <c r="F2" s="32">
        <f>YEAR(DATE(2017,1,1))</f>
        <v>2017</v>
      </c>
      <c r="G2" s="33"/>
      <c r="H2" s="33"/>
      <c r="I2" s="33"/>
      <c r="J2" s="33"/>
      <c r="K2" s="33"/>
      <c r="L2" s="33"/>
      <c r="M2" s="33"/>
      <c r="N2" s="33"/>
      <c r="O2" s="33"/>
      <c r="P2" s="33"/>
      <c r="Q2" s="34"/>
      <c r="R2" s="32">
        <f>YEAR(DATE(2017,13,1))</f>
        <v>2018</v>
      </c>
      <c r="S2" s="33"/>
      <c r="T2" s="33"/>
      <c r="U2" s="33"/>
      <c r="V2" s="33"/>
      <c r="W2" s="33"/>
      <c r="X2" s="33"/>
      <c r="Y2" s="33"/>
      <c r="Z2" s="33"/>
      <c r="AA2" s="33"/>
      <c r="AB2" s="33"/>
      <c r="AC2" s="34"/>
      <c r="AD2" s="32">
        <f>YEAR(DATE(2017,25,1))</f>
        <v>2019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4"/>
      <c r="AP2" s="32">
        <f>YEAR(DATE(2017,37,1))</f>
        <v>2020</v>
      </c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4"/>
      <c r="BB2" s="32">
        <f>YEAR(DATE(2017,49,1))</f>
        <v>2021</v>
      </c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4"/>
      <c r="BN2" s="32">
        <f>YEAR(DATE(2017,61,1))</f>
        <v>2022</v>
      </c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4"/>
      <c r="BZ2" s="32">
        <f>YEAR(DATE(2017,73,1))</f>
        <v>2023</v>
      </c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4"/>
      <c r="CL2" s="32">
        <f>YEAR(DATE(2017,85,1))</f>
        <v>2024</v>
      </c>
      <c r="CM2" s="33"/>
      <c r="CN2" s="33"/>
      <c r="CO2" s="33"/>
      <c r="CP2" s="33"/>
      <c r="CQ2" s="33"/>
      <c r="CR2" s="33"/>
      <c r="CS2" s="33"/>
      <c r="CT2" s="33"/>
      <c r="CU2" s="33"/>
      <c r="CV2" s="33"/>
      <c r="CW2" s="34"/>
      <c r="CX2" s="32">
        <f>YEAR(DATE(2017,97,1))</f>
        <v>2025</v>
      </c>
      <c r="CY2" s="33"/>
      <c r="CZ2" s="33"/>
      <c r="DA2" s="33"/>
      <c r="DB2" s="33"/>
      <c r="DC2" s="33"/>
      <c r="DD2" s="33"/>
      <c r="DE2" s="33"/>
      <c r="DF2" s="33"/>
      <c r="DG2" s="33"/>
      <c r="DH2" s="33"/>
      <c r="DI2" s="34"/>
    </row>
    <row r="3" spans="1:113" x14ac:dyDescent="0.25">
      <c r="A3" s="7" t="s">
        <v>155</v>
      </c>
      <c r="B3" s="7" t="s">
        <v>141</v>
      </c>
      <c r="C3" s="7" t="s">
        <v>142</v>
      </c>
      <c r="D3" s="7" t="s">
        <v>6</v>
      </c>
      <c r="E3" s="7" t="s">
        <v>154</v>
      </c>
      <c r="F3" s="8">
        <f>DATE(2017,1,1)</f>
        <v>42736</v>
      </c>
      <c r="G3" s="9">
        <f>DATE(2017,2,1)</f>
        <v>42767</v>
      </c>
      <c r="H3" s="9">
        <f>DATE(2017,3,1)</f>
        <v>42795</v>
      </c>
      <c r="I3" s="9">
        <f>DATE(2017,4,1)</f>
        <v>42826</v>
      </c>
      <c r="J3" s="9">
        <f>DATE(2017,5,1)</f>
        <v>42856</v>
      </c>
      <c r="K3" s="9">
        <f>DATE(2017,6,1)</f>
        <v>42887</v>
      </c>
      <c r="L3" s="9">
        <f>DATE(2017,7,1)</f>
        <v>42917</v>
      </c>
      <c r="M3" s="9">
        <f>DATE(2017,8,1)</f>
        <v>42948</v>
      </c>
      <c r="N3" s="9">
        <f>DATE(2017,9,1)</f>
        <v>42979</v>
      </c>
      <c r="O3" s="9">
        <f>DATE(2017,10,1)</f>
        <v>43009</v>
      </c>
      <c r="P3" s="9">
        <f>DATE(2017,11,1)</f>
        <v>43040</v>
      </c>
      <c r="Q3" s="10">
        <f>DATE(2017,12,1)</f>
        <v>43070</v>
      </c>
      <c r="R3" s="8">
        <f>DATE(2017,13,1)</f>
        <v>43101</v>
      </c>
      <c r="S3" s="9">
        <f>DATE(2017,14,1)</f>
        <v>43132</v>
      </c>
      <c r="T3" s="9">
        <f>DATE(2017,15,1)</f>
        <v>43160</v>
      </c>
      <c r="U3" s="9">
        <f>DATE(2017,16,1)</f>
        <v>43191</v>
      </c>
      <c r="V3" s="9">
        <f>DATE(2017,17,1)</f>
        <v>43221</v>
      </c>
      <c r="W3" s="9">
        <f>DATE(2017,18,1)</f>
        <v>43252</v>
      </c>
      <c r="X3" s="9">
        <f>DATE(2017,19,1)</f>
        <v>43282</v>
      </c>
      <c r="Y3" s="9">
        <f>DATE(2017,20,1)</f>
        <v>43313</v>
      </c>
      <c r="Z3" s="9">
        <f>DATE(2017,21,1)</f>
        <v>43344</v>
      </c>
      <c r="AA3" s="9">
        <f>DATE(2017,22,1)</f>
        <v>43374</v>
      </c>
      <c r="AB3" s="9">
        <f>DATE(2017,23,1)</f>
        <v>43405</v>
      </c>
      <c r="AC3" s="10">
        <f>DATE(2017,24,1)</f>
        <v>43435</v>
      </c>
      <c r="AD3" s="8">
        <f>DATE(2017,25,1)</f>
        <v>43466</v>
      </c>
      <c r="AE3" s="9">
        <f>DATE(2017,26,1)</f>
        <v>43497</v>
      </c>
      <c r="AF3" s="9">
        <f>DATE(2017,27,1)</f>
        <v>43525</v>
      </c>
      <c r="AG3" s="9">
        <f>DATE(2017,28,1)</f>
        <v>43556</v>
      </c>
      <c r="AH3" s="9">
        <f>DATE(2017,29,1)</f>
        <v>43586</v>
      </c>
      <c r="AI3" s="9">
        <f>DATE(2017,30,1)</f>
        <v>43617</v>
      </c>
      <c r="AJ3" s="9">
        <f>DATE(2017,31,1)</f>
        <v>43647</v>
      </c>
      <c r="AK3" s="9">
        <f>DATE(2017,32,1)</f>
        <v>43678</v>
      </c>
      <c r="AL3" s="9">
        <f>DATE(2017,33,1)</f>
        <v>43709</v>
      </c>
      <c r="AM3" s="9">
        <f>DATE(2017,34,1)</f>
        <v>43739</v>
      </c>
      <c r="AN3" s="9">
        <f>DATE(2017,35,1)</f>
        <v>43770</v>
      </c>
      <c r="AO3" s="10">
        <f>DATE(2017,36,1)</f>
        <v>43800</v>
      </c>
      <c r="AP3" s="8">
        <f>DATE(2017,37,1)</f>
        <v>43831</v>
      </c>
      <c r="AQ3" s="9">
        <f>DATE(2017,38,1)</f>
        <v>43862</v>
      </c>
      <c r="AR3" s="9">
        <f>DATE(2017,39,1)</f>
        <v>43891</v>
      </c>
      <c r="AS3" s="9">
        <f>DATE(2017,40,1)</f>
        <v>43922</v>
      </c>
      <c r="AT3" s="9">
        <f>DATE(2017,41,1)</f>
        <v>43952</v>
      </c>
      <c r="AU3" s="9">
        <f>DATE(2017,42,1)</f>
        <v>43983</v>
      </c>
      <c r="AV3" s="9">
        <f>DATE(2017,43,1)</f>
        <v>44013</v>
      </c>
      <c r="AW3" s="9">
        <f>DATE(2017,44,1)</f>
        <v>44044</v>
      </c>
      <c r="AX3" s="9">
        <f>DATE(2017,45,1)</f>
        <v>44075</v>
      </c>
      <c r="AY3" s="9">
        <f>DATE(2017,46,1)</f>
        <v>44105</v>
      </c>
      <c r="AZ3" s="9">
        <f>DATE(2017,47,1)</f>
        <v>44136</v>
      </c>
      <c r="BA3" s="10">
        <f>DATE(2017,48,1)</f>
        <v>44166</v>
      </c>
      <c r="BB3" s="8">
        <f>DATE(2017,49,1)</f>
        <v>44197</v>
      </c>
      <c r="BC3" s="9">
        <f>DATE(2017,50,1)</f>
        <v>44228</v>
      </c>
      <c r="BD3" s="9">
        <f>DATE(2017,51,1)</f>
        <v>44256</v>
      </c>
      <c r="BE3" s="9">
        <f>DATE(2017,52,1)</f>
        <v>44287</v>
      </c>
      <c r="BF3" s="9">
        <f>DATE(2017,53,1)</f>
        <v>44317</v>
      </c>
      <c r="BG3" s="9">
        <f>DATE(2017,54,1)</f>
        <v>44348</v>
      </c>
      <c r="BH3" s="9">
        <f>DATE(2017,55,1)</f>
        <v>44378</v>
      </c>
      <c r="BI3" s="9">
        <f>DATE(2017,56,1)</f>
        <v>44409</v>
      </c>
      <c r="BJ3" s="9">
        <f>DATE(2017,57,1)</f>
        <v>44440</v>
      </c>
      <c r="BK3" s="9">
        <f>DATE(2017,58,1)</f>
        <v>44470</v>
      </c>
      <c r="BL3" s="9">
        <f>DATE(2017,59,1)</f>
        <v>44501</v>
      </c>
      <c r="BM3" s="10">
        <f>DATE(2017,60,1)</f>
        <v>44531</v>
      </c>
      <c r="BN3" s="8">
        <f>DATE(2017,61,1)</f>
        <v>44562</v>
      </c>
      <c r="BO3" s="9">
        <f>DATE(2017,62,1)</f>
        <v>44593</v>
      </c>
      <c r="BP3" s="9">
        <f>DATE(2017,63,1)</f>
        <v>44621</v>
      </c>
      <c r="BQ3" s="9">
        <f>DATE(2017,64,1)</f>
        <v>44652</v>
      </c>
      <c r="BR3" s="9">
        <f>DATE(2017,65,1)</f>
        <v>44682</v>
      </c>
      <c r="BS3" s="9">
        <f>DATE(2017,66,1)</f>
        <v>44713</v>
      </c>
      <c r="BT3" s="9">
        <f>DATE(2017,67,1)</f>
        <v>44743</v>
      </c>
      <c r="BU3" s="9">
        <f>DATE(2017,68,1)</f>
        <v>44774</v>
      </c>
      <c r="BV3" s="9">
        <f>DATE(2017,69,1)</f>
        <v>44805</v>
      </c>
      <c r="BW3" s="9">
        <f>DATE(2017,70,1)</f>
        <v>44835</v>
      </c>
      <c r="BX3" s="9">
        <f>DATE(2017,71,1)</f>
        <v>44866</v>
      </c>
      <c r="BY3" s="10">
        <f>DATE(2017,72,1)</f>
        <v>44896</v>
      </c>
      <c r="BZ3" s="8">
        <f>DATE(2017,73,1)</f>
        <v>44927</v>
      </c>
      <c r="CA3" s="9">
        <f>DATE(2017,74,1)</f>
        <v>44958</v>
      </c>
      <c r="CB3" s="9">
        <f>DATE(2017,75,1)</f>
        <v>44986</v>
      </c>
      <c r="CC3" s="9">
        <f>DATE(2017,76,1)</f>
        <v>45017</v>
      </c>
      <c r="CD3" s="9">
        <f>DATE(2017,77,1)</f>
        <v>45047</v>
      </c>
      <c r="CE3" s="9">
        <f>DATE(2017,78,1)</f>
        <v>45078</v>
      </c>
      <c r="CF3" s="9">
        <f>DATE(2017,79,1)</f>
        <v>45108</v>
      </c>
      <c r="CG3" s="9">
        <f>DATE(2017,80,1)</f>
        <v>45139</v>
      </c>
      <c r="CH3" s="9">
        <f>DATE(2017,81,1)</f>
        <v>45170</v>
      </c>
      <c r="CI3" s="9">
        <f>DATE(2017,82,1)</f>
        <v>45200</v>
      </c>
      <c r="CJ3" s="9">
        <f>DATE(2017,83,1)</f>
        <v>45231</v>
      </c>
      <c r="CK3" s="10">
        <f>DATE(2017,84,1)</f>
        <v>45261</v>
      </c>
      <c r="CL3" s="8">
        <f>DATE(2017,85,1)</f>
        <v>45292</v>
      </c>
      <c r="CM3" s="9">
        <f>DATE(2017,86,1)</f>
        <v>45323</v>
      </c>
      <c r="CN3" s="9">
        <f>DATE(2017,87,1)</f>
        <v>45352</v>
      </c>
      <c r="CO3" s="9">
        <f>DATE(2017,88,1)</f>
        <v>45383</v>
      </c>
      <c r="CP3" s="9">
        <f>DATE(2017,89,1)</f>
        <v>45413</v>
      </c>
      <c r="CQ3" s="9">
        <f>DATE(2017,90,1)</f>
        <v>45444</v>
      </c>
      <c r="CR3" s="9">
        <f>DATE(2017,91,1)</f>
        <v>45474</v>
      </c>
      <c r="CS3" s="9">
        <f>DATE(2017,92,1)</f>
        <v>45505</v>
      </c>
      <c r="CT3" s="9">
        <f>DATE(2017,93,1)</f>
        <v>45536</v>
      </c>
      <c r="CU3" s="9">
        <f>DATE(2017,94,1)</f>
        <v>45566</v>
      </c>
      <c r="CV3" s="9">
        <f>DATE(2017,95,1)</f>
        <v>45597</v>
      </c>
      <c r="CW3" s="10">
        <f>DATE(2017,96,1)</f>
        <v>45627</v>
      </c>
      <c r="CX3" s="8">
        <f>DATE(2017,97,1)</f>
        <v>45658</v>
      </c>
      <c r="CY3" s="9">
        <f>DATE(2017,98,1)</f>
        <v>45689</v>
      </c>
      <c r="CZ3" s="9">
        <f>DATE(2017,99,1)</f>
        <v>45717</v>
      </c>
      <c r="DA3" s="9">
        <f>DATE(2017,100,1)</f>
        <v>45748</v>
      </c>
      <c r="DB3" s="9">
        <f>DATE(2017,101,1)</f>
        <v>45778</v>
      </c>
      <c r="DC3" s="9">
        <f>DATE(2017,102,1)</f>
        <v>45809</v>
      </c>
      <c r="DD3" s="9">
        <f>DATE(2017,103,1)</f>
        <v>45839</v>
      </c>
      <c r="DE3" s="9">
        <f>DATE(2017,104,1)</f>
        <v>45870</v>
      </c>
      <c r="DF3" s="9">
        <f>DATE(2017,105,1)</f>
        <v>45901</v>
      </c>
      <c r="DG3" s="9">
        <f>DATE(2017,106,1)</f>
        <v>45931</v>
      </c>
      <c r="DH3" s="9">
        <f>DATE(2017,107,1)</f>
        <v>45962</v>
      </c>
      <c r="DI3" s="10">
        <f>DATE(2017,108,1)</f>
        <v>45992</v>
      </c>
    </row>
    <row r="4" spans="1:113" x14ac:dyDescent="0.25">
      <c r="A4" s="13" t="str">
        <f t="shared" ref="A4:A35" si="0">B4&amp;LEFT(D4,1)</f>
        <v>V15D</v>
      </c>
      <c r="B4" s="13" t="str">
        <f>VLOOKUP(D4,'[1]Avions (Potentiels)'!$B$2:$H$128,7,FALSE)</f>
        <v>V15</v>
      </c>
      <c r="C4" s="13"/>
      <c r="D4" s="16" t="s">
        <v>7</v>
      </c>
      <c r="E4" s="13">
        <f>IFERROR(VALUE(SUBSTITUTE(VLOOKUP(D4,'[1]Avions (Potentiels)'!$B:$E,4,0),".",",")),VALUE(VLOOKUP(D4,'[1]Avions (Potentiels)'!$B:$E,4,0)))</f>
        <v>379</v>
      </c>
      <c r="F4" s="25">
        <f>IF(ISNUMBER(VLOOKUP($D4,'Visu totale'!$D:$DH,F$1,0)),E4-VLOOKUP($D4,'Visu totale'!$D:$DH,F$1,0),IF(LEFT(VLOOKUP($D4,'Visu totale'!$D:$DH,F$1,0),1)="V",IF(E4&gt;=INDEX('[1]Définition Maintenances'!$G:$G,MATCH($A4,'[1]Définition Maintenances'!$K:$K,0)),E4,INDEX('[1]Définition Maintenances'!$G:$G,MATCH($A4,'[1]Définition Maintenances'!$K:$K,0))+E4),E4))</f>
        <v>379</v>
      </c>
      <c r="G4" s="26">
        <f>IF(ISNUMBER(VLOOKUP($D4,'Visu totale'!$D:$DH,G$1,0)),F4-VLOOKUP($D4,'Visu totale'!$D:$DH,G$1,0),IF(LEFT(VLOOKUP($D4,'Visu totale'!$D:$DH,G$1,0),1)="V",IF(F4&gt;=INDEX('[1]Définition Maintenances'!$G:$G,MATCH($A4,'[1]Définition Maintenances'!$K:$K,0)),F4,INDEX('[1]Définition Maintenances'!$G:$G,MATCH($A4,'[1]Définition Maintenances'!$K:$K,0))+F4),F4))</f>
        <v>379</v>
      </c>
      <c r="H4" s="26">
        <f>IF(ISNUMBER(VLOOKUP($D4,'Visu totale'!$D:$DH,H$1,0)),G4-VLOOKUP($D4,'Visu totale'!$D:$DH,H$1,0),IF(LEFT(VLOOKUP($D4,'Visu totale'!$D:$DH,H$1,0),1)="V",IF(G4&gt;=INDEX('[1]Définition Maintenances'!$G:$G,MATCH($A4,'[1]Définition Maintenances'!$K:$K,0)),G4,INDEX('[1]Définition Maintenances'!$G:$G,MATCH($A4,'[1]Définition Maintenances'!$K:$K,0))+G4),G4))</f>
        <v>379</v>
      </c>
      <c r="I4" s="26">
        <f>IF(ISNUMBER(VLOOKUP($D4,'Visu totale'!$D:$DH,I$1,0)),H4-VLOOKUP($D4,'Visu totale'!$D:$DH,I$1,0),IF(LEFT(VLOOKUP($D4,'Visu totale'!$D:$DH,I$1,0),1)="V",IF(H4&gt;=INDEX('[1]Définition Maintenances'!$G:$G,MATCH($A4,'[1]Définition Maintenances'!$K:$K,0)),H4,INDEX('[1]Définition Maintenances'!$G:$G,MATCH($A4,'[1]Définition Maintenances'!$K:$K,0))+H4),H4))</f>
        <v>379</v>
      </c>
      <c r="J4" s="26">
        <f>IF(ISNUMBER(VLOOKUP($D4,'Visu totale'!$D:$DH,J$1,0)),I4-VLOOKUP($D4,'Visu totale'!$D:$DH,J$1,0),IF(LEFT(VLOOKUP($D4,'Visu totale'!$D:$DH,J$1,0),1)="V",IF(I4&gt;=INDEX('[1]Définition Maintenances'!$G:$G,MATCH($A4,'[1]Définition Maintenances'!$K:$K,0)),I4,INDEX('[1]Définition Maintenances'!$G:$G,MATCH($A4,'[1]Définition Maintenances'!$K:$K,0))+I4),I4))</f>
        <v>379</v>
      </c>
      <c r="K4" s="26">
        <f>IF(ISNUMBER(VLOOKUP($D4,'Visu totale'!$D:$DH,K$1,0)),J4-VLOOKUP($D4,'Visu totale'!$D:$DH,K$1,0),IF(LEFT(VLOOKUP($D4,'Visu totale'!$D:$DH,K$1,0),1)="V",IF(J4&gt;=INDEX('[1]Définition Maintenances'!$G:$G,MATCH($A4,'[1]Définition Maintenances'!$K:$K,0)),J4,INDEX('[1]Définition Maintenances'!$G:$G,MATCH($A4,'[1]Définition Maintenances'!$K:$K,0))+J4),J4))</f>
        <v>379</v>
      </c>
      <c r="L4" s="26">
        <f>IF(ISNUMBER(VLOOKUP($D4,'Visu totale'!$D:$DH,L$1,0)),K4-VLOOKUP($D4,'Visu totale'!$D:$DH,L$1,0),IF(LEFT(VLOOKUP($D4,'Visu totale'!$D:$DH,L$1,0),1)="V",IF(K4&gt;=INDEX('[1]Définition Maintenances'!$G:$G,MATCH($A4,'[1]Définition Maintenances'!$K:$K,0)),K4,INDEX('[1]Définition Maintenances'!$G:$G,MATCH($A4,'[1]Définition Maintenances'!$K:$K,0))+K4),K4))</f>
        <v>379</v>
      </c>
      <c r="M4" s="26">
        <f>IF(ISNUMBER(VLOOKUP($D4,'Visu totale'!$D:$DH,M$1,0)),L4-VLOOKUP($D4,'Visu totale'!$D:$DH,M$1,0),IF(LEFT(VLOOKUP($D4,'Visu totale'!$D:$DH,M$1,0),1)="V",IF(L4&gt;=INDEX('[1]Définition Maintenances'!$G:$G,MATCH($A4,'[1]Définition Maintenances'!$K:$K,0)),L4,INDEX('[1]Définition Maintenances'!$G:$G,MATCH($A4,'[1]Définition Maintenances'!$K:$K,0))+L4),L4))</f>
        <v>379</v>
      </c>
      <c r="N4" s="26">
        <f>IF(ISNUMBER(VLOOKUP($D4,'Visu totale'!$D:$DH,N$1,0)),M4-VLOOKUP($D4,'Visu totale'!$D:$DH,N$1,0),IF(LEFT(VLOOKUP($D4,'Visu totale'!$D:$DH,N$1,0),1)="V",IF(M4&gt;=INDEX('[1]Définition Maintenances'!$G:$G,MATCH($A4,'[1]Définition Maintenances'!$K:$K,0)),M4,INDEX('[1]Définition Maintenances'!$G:$G,MATCH($A4,'[1]Définition Maintenances'!$K:$K,0))+M4),M4))</f>
        <v>379</v>
      </c>
      <c r="O4" s="26">
        <f>IF(ISNUMBER(VLOOKUP($D4,'Visu totale'!$D:$DH,O$1,0)),N4-VLOOKUP($D4,'Visu totale'!$D:$DH,O$1,0),IF(LEFT(VLOOKUP($D4,'Visu totale'!$D:$DH,O$1,0),1)="V",IF(N4&gt;=INDEX('[1]Définition Maintenances'!$G:$G,MATCH($A4,'[1]Définition Maintenances'!$K:$K,0)),N4,INDEX('[1]Définition Maintenances'!$G:$G,MATCH($A4,'[1]Définition Maintenances'!$K:$K,0))+N4),N4))</f>
        <v>379</v>
      </c>
      <c r="P4" s="26">
        <f>IF(ISNUMBER(VLOOKUP($D4,'Visu totale'!$D:$DH,P$1,0)),O4-VLOOKUP($D4,'Visu totale'!$D:$DH,P$1,0),IF(LEFT(VLOOKUP($D4,'Visu totale'!$D:$DH,P$1,0),1)="V",IF(O4&gt;=INDEX('[1]Définition Maintenances'!$G:$G,MATCH($A4,'[1]Définition Maintenances'!$K:$K,0)),O4,INDEX('[1]Définition Maintenances'!$G:$G,MATCH($A4,'[1]Définition Maintenances'!$K:$K,0))+O4),O4))</f>
        <v>379</v>
      </c>
      <c r="Q4" s="27">
        <f>IF(ISNUMBER(VLOOKUP($D4,'Visu totale'!$D:$DH,Q$1,0)),P4-VLOOKUP($D4,'Visu totale'!$D:$DH,Q$1,0),IF(LEFT(VLOOKUP($D4,'Visu totale'!$D:$DH,Q$1,0),1)="V",IF(P4&gt;=INDEX('[1]Définition Maintenances'!$G:$G,MATCH($A4,'[1]Définition Maintenances'!$K:$K,0)),P4,INDEX('[1]Définition Maintenances'!$G:$G,MATCH($A4,'[1]Définition Maintenances'!$K:$K,0))+P4),P4))</f>
        <v>379</v>
      </c>
      <c r="R4" s="25">
        <f>IF(ISNUMBER(VLOOKUP($D4,'Visu totale'!$D:$DH,R$1,0)),Q4-VLOOKUP($D4,'Visu totale'!$D:$DH,R$1,0),IF(LEFT(VLOOKUP($D4,'Visu totale'!$D:$DH,R$1,0),1)="V",IF(Q4&gt;=INDEX('[1]Définition Maintenances'!$G:$G,MATCH($A4,'[1]Définition Maintenances'!$K:$K,0)),Q4,INDEX('[1]Définition Maintenances'!$G:$G,MATCH($A4,'[1]Définition Maintenances'!$K:$K,0))+Q4),Q4))</f>
        <v>379</v>
      </c>
      <c r="S4" s="26">
        <f>IF(ISNUMBER(VLOOKUP($D4,'Visu totale'!$D:$DH,S$1,0)),R4-VLOOKUP($D4,'Visu totale'!$D:$DH,S$1,0),IF(LEFT(VLOOKUP($D4,'Visu totale'!$D:$DH,S$1,0),1)="V",IF(R4&gt;=INDEX('[1]Définition Maintenances'!$G:$G,MATCH($A4,'[1]Définition Maintenances'!$K:$K,0)),R4,INDEX('[1]Définition Maintenances'!$G:$G,MATCH($A4,'[1]Définition Maintenances'!$K:$K,0))+R4),R4))</f>
        <v>379</v>
      </c>
      <c r="T4" s="26">
        <f>IF(ISNUMBER(VLOOKUP($D4,'Visu totale'!$D:$DH,T$1,0)),S4-VLOOKUP($D4,'Visu totale'!$D:$DH,T$1,0),IF(LEFT(VLOOKUP($D4,'Visu totale'!$D:$DH,T$1,0),1)="V",IF(S4&gt;=INDEX('[1]Définition Maintenances'!$G:$G,MATCH($A4,'[1]Définition Maintenances'!$K:$K,0)),S4,INDEX('[1]Définition Maintenances'!$G:$G,MATCH($A4,'[1]Définition Maintenances'!$K:$K,0))+S4),S4))</f>
        <v>379</v>
      </c>
      <c r="U4" s="26">
        <f>IF(ISNUMBER(VLOOKUP($D4,'Visu totale'!$D:$DH,U$1,0)),T4-VLOOKUP($D4,'Visu totale'!$D:$DH,U$1,0),IF(LEFT(VLOOKUP($D4,'Visu totale'!$D:$DH,U$1,0),1)="V",IF(T4&gt;=INDEX('[1]Définition Maintenances'!$G:$G,MATCH($A4,'[1]Définition Maintenances'!$K:$K,0)),T4,INDEX('[1]Définition Maintenances'!$G:$G,MATCH($A4,'[1]Définition Maintenances'!$K:$K,0))+T4),T4))</f>
        <v>379</v>
      </c>
      <c r="V4" s="26">
        <f>IF(ISNUMBER(VLOOKUP($D4,'Visu totale'!$D:$DH,V$1,0)),U4-VLOOKUP($D4,'Visu totale'!$D:$DH,V$1,0),IF(LEFT(VLOOKUP($D4,'Visu totale'!$D:$DH,V$1,0),1)="V",IF(U4&gt;=INDEX('[1]Définition Maintenances'!$G:$G,MATCH($A4,'[1]Définition Maintenances'!$K:$K,0)),U4,INDEX('[1]Définition Maintenances'!$G:$G,MATCH($A4,'[1]Définition Maintenances'!$K:$K,0))+U4),U4))</f>
        <v>379</v>
      </c>
      <c r="W4" s="26">
        <f>IF(ISNUMBER(VLOOKUP($D4,'Visu totale'!$D:$DH,W$1,0)),V4-VLOOKUP($D4,'Visu totale'!$D:$DH,W$1,0),IF(LEFT(VLOOKUP($D4,'Visu totale'!$D:$DH,W$1,0),1)="V",IF(V4&gt;=INDEX('[1]Définition Maintenances'!$G:$G,MATCH($A4,'[1]Définition Maintenances'!$K:$K,0)),V4,INDEX('[1]Définition Maintenances'!$G:$G,MATCH($A4,'[1]Définition Maintenances'!$K:$K,0))+V4),V4))</f>
        <v>379</v>
      </c>
      <c r="X4" s="26">
        <f>IF(ISNUMBER(VLOOKUP($D4,'Visu totale'!$D:$DH,X$1,0)),W4-VLOOKUP($D4,'Visu totale'!$D:$DH,X$1,0),IF(LEFT(VLOOKUP($D4,'Visu totale'!$D:$DH,X$1,0),1)="V",IF(W4&gt;=INDEX('[1]Définition Maintenances'!$G:$G,MATCH($A4,'[1]Définition Maintenances'!$K:$K,0)),W4,INDEX('[1]Définition Maintenances'!$G:$G,MATCH($A4,'[1]Définition Maintenances'!$K:$K,0))+W4),W4))</f>
        <v>379</v>
      </c>
      <c r="Y4" s="26">
        <f>IF(ISNUMBER(VLOOKUP($D4,'Visu totale'!$D:$DH,Y$1,0)),X4-VLOOKUP($D4,'Visu totale'!$D:$DH,Y$1,0),IF(LEFT(VLOOKUP($D4,'Visu totale'!$D:$DH,Y$1,0),1)="V",IF(X4&gt;=INDEX('[1]Définition Maintenances'!$G:$G,MATCH($A4,'[1]Définition Maintenances'!$K:$K,0)),X4,INDEX('[1]Définition Maintenances'!$G:$G,MATCH($A4,'[1]Définition Maintenances'!$K:$K,0))+X4),X4))</f>
        <v>379</v>
      </c>
      <c r="Z4" s="26">
        <f>IF(ISNUMBER(VLOOKUP($D4,'Visu totale'!$D:$DH,Z$1,0)),Y4-VLOOKUP($D4,'Visu totale'!$D:$DH,Z$1,0),IF(LEFT(VLOOKUP($D4,'Visu totale'!$D:$DH,Z$1,0),1)="V",IF(Y4&gt;=INDEX('[1]Définition Maintenances'!$G:$G,MATCH($A4,'[1]Définition Maintenances'!$K:$K,0)),Y4,INDEX('[1]Définition Maintenances'!$G:$G,MATCH($A4,'[1]Définition Maintenances'!$K:$K,0))+Y4),Y4))</f>
        <v>379</v>
      </c>
      <c r="AA4" s="26">
        <f>IF(ISNUMBER(VLOOKUP($D4,'Visu totale'!$D:$DH,AA$1,0)),Z4-VLOOKUP($D4,'Visu totale'!$D:$DH,AA$1,0),IF(LEFT(VLOOKUP($D4,'Visu totale'!$D:$DH,AA$1,0),1)="V",IF(Z4&gt;=INDEX('[1]Définition Maintenances'!$G:$G,MATCH($A4,'[1]Définition Maintenances'!$K:$K,0)),Z4,INDEX('[1]Définition Maintenances'!$G:$G,MATCH($A4,'[1]Définition Maintenances'!$K:$K,0))+Z4),Z4))</f>
        <v>379</v>
      </c>
      <c r="AB4" s="26">
        <f>IF(ISNUMBER(VLOOKUP($D4,'Visu totale'!$D:$DH,AB$1,0)),AA4-VLOOKUP($D4,'Visu totale'!$D:$DH,AB$1,0),IF(LEFT(VLOOKUP($D4,'Visu totale'!$D:$DH,AB$1,0),1)="V",IF(AA4&gt;=INDEX('[1]Définition Maintenances'!$G:$G,MATCH($A4,'[1]Définition Maintenances'!$K:$K,0)),AA4,INDEX('[1]Définition Maintenances'!$G:$G,MATCH($A4,'[1]Définition Maintenances'!$K:$K,0))+AA4),AA4))</f>
        <v>379</v>
      </c>
      <c r="AC4" s="27">
        <f>IF(ISNUMBER(VLOOKUP($D4,'Visu totale'!$D:$DH,AC$1,0)),AB4-VLOOKUP($D4,'Visu totale'!$D:$DH,AC$1,0),IF(LEFT(VLOOKUP($D4,'Visu totale'!$D:$DH,AC$1,0),1)="V",IF(AB4&gt;=INDEX('[1]Définition Maintenances'!$G:$G,MATCH($A4,'[1]Définition Maintenances'!$K:$K,0)),AB4,INDEX('[1]Définition Maintenances'!$G:$G,MATCH($A4,'[1]Définition Maintenances'!$K:$K,0))+AB4),AB4))</f>
        <v>379</v>
      </c>
      <c r="AD4" s="25">
        <f>IF(ISNUMBER(VLOOKUP($D4,'Visu totale'!$D:$DH,AD$1,0)),AC4-VLOOKUP($D4,'Visu totale'!$D:$DH,AD$1,0),IF(LEFT(VLOOKUP($D4,'Visu totale'!$D:$DH,AD$1,0),1)="V",IF(AC4&gt;=INDEX('[1]Définition Maintenances'!$G:$G,MATCH($A4,'[1]Définition Maintenances'!$K:$K,0)),AC4,INDEX('[1]Définition Maintenances'!$G:$G,MATCH($A4,'[1]Définition Maintenances'!$K:$K,0))+AC4),AC4))</f>
        <v>379</v>
      </c>
      <c r="AE4" s="26">
        <f>IF(ISNUMBER(VLOOKUP($D4,'Visu totale'!$D:$DH,AE$1,0)),AD4-VLOOKUP($D4,'Visu totale'!$D:$DH,AE$1,0),IF(LEFT(VLOOKUP($D4,'Visu totale'!$D:$DH,AE$1,0),1)="V",IF(AD4&gt;=INDEX('[1]Définition Maintenances'!$G:$G,MATCH($A4,'[1]Définition Maintenances'!$K:$K,0)),AD4,INDEX('[1]Définition Maintenances'!$G:$G,MATCH($A4,'[1]Définition Maintenances'!$K:$K,0))+AD4),AD4))</f>
        <v>379</v>
      </c>
      <c r="AF4" s="26">
        <f>IF(ISNUMBER(VLOOKUP($D4,'Visu totale'!$D:$DH,AF$1,0)),AE4-VLOOKUP($D4,'Visu totale'!$D:$DH,AF$1,0),IF(LEFT(VLOOKUP($D4,'Visu totale'!$D:$DH,AF$1,0),1)="V",IF(AE4&gt;=INDEX('[1]Définition Maintenances'!$G:$G,MATCH($A4,'[1]Définition Maintenances'!$K:$K,0)),AE4,INDEX('[1]Définition Maintenances'!$G:$G,MATCH($A4,'[1]Définition Maintenances'!$K:$K,0))+AE4),AE4))</f>
        <v>379</v>
      </c>
      <c r="AG4" s="26">
        <f>IF(ISNUMBER(VLOOKUP($D4,'Visu totale'!$D:$DH,AG$1,0)),AF4-VLOOKUP($D4,'Visu totale'!$D:$DH,AG$1,0),IF(LEFT(VLOOKUP($D4,'Visu totale'!$D:$DH,AG$1,0),1)="V",IF(AF4&gt;=INDEX('[1]Définition Maintenances'!$G:$G,MATCH($A4,'[1]Définition Maintenances'!$K:$K,0)),AF4,INDEX('[1]Définition Maintenances'!$G:$G,MATCH($A4,'[1]Définition Maintenances'!$K:$K,0))+AF4),AF4))</f>
        <v>379</v>
      </c>
      <c r="AH4" s="26">
        <f>IF(ISNUMBER(VLOOKUP($D4,'Visu totale'!$D:$DH,AH$1,0)),AG4-VLOOKUP($D4,'Visu totale'!$D:$DH,AH$1,0),IF(LEFT(VLOOKUP($D4,'Visu totale'!$D:$DH,AH$1,0),1)="V",IF(AG4&gt;=INDEX('[1]Définition Maintenances'!$G:$G,MATCH($A4,'[1]Définition Maintenances'!$K:$K,0)),AG4,INDEX('[1]Définition Maintenances'!$G:$G,MATCH($A4,'[1]Définition Maintenances'!$K:$K,0))+AG4),AG4))</f>
        <v>379</v>
      </c>
      <c r="AI4" s="26">
        <f>IF(ISNUMBER(VLOOKUP($D4,'Visu totale'!$D:$DH,AI$1,0)),AH4-VLOOKUP($D4,'Visu totale'!$D:$DH,AI$1,0),IF(LEFT(VLOOKUP($D4,'Visu totale'!$D:$DH,AI$1,0),1)="V",IF(AH4&gt;=INDEX('[1]Définition Maintenances'!$G:$G,MATCH($A4,'[1]Définition Maintenances'!$K:$K,0)),AH4,INDEX('[1]Définition Maintenances'!$G:$G,MATCH($A4,'[1]Définition Maintenances'!$K:$K,0))+AH4),AH4))</f>
        <v>379</v>
      </c>
      <c r="AJ4" s="26">
        <f>IF(ISNUMBER(VLOOKUP($D4,'Visu totale'!$D:$DH,AJ$1,0)),AI4-VLOOKUP($D4,'Visu totale'!$D:$DH,AJ$1,0),IF(LEFT(VLOOKUP($D4,'Visu totale'!$D:$DH,AJ$1,0),1)="V",IF(AI4&gt;=INDEX('[1]Définition Maintenances'!$G:$G,MATCH($A4,'[1]Définition Maintenances'!$K:$K,0)),AI4,INDEX('[1]Définition Maintenances'!$G:$G,MATCH($A4,'[1]Définition Maintenances'!$K:$K,0))+AI4),AI4))</f>
        <v>379</v>
      </c>
      <c r="AK4" s="26">
        <f>IF(ISNUMBER(VLOOKUP($D4,'Visu totale'!$D:$DH,AK$1,0)),AJ4-VLOOKUP($D4,'Visu totale'!$D:$DH,AK$1,0),IF(LEFT(VLOOKUP($D4,'Visu totale'!$D:$DH,AK$1,0),1)="V",IF(AJ4&gt;=INDEX('[1]Définition Maintenances'!$G:$G,MATCH($A4,'[1]Définition Maintenances'!$K:$K,0)),AJ4,INDEX('[1]Définition Maintenances'!$G:$G,MATCH($A4,'[1]Définition Maintenances'!$K:$K,0))+AJ4),AJ4))</f>
        <v>379</v>
      </c>
      <c r="AL4" s="26">
        <f>IF(ISNUMBER(VLOOKUP($D4,'Visu totale'!$D:$DH,AL$1,0)),AK4-VLOOKUP($D4,'Visu totale'!$D:$DH,AL$1,0),IF(LEFT(VLOOKUP($D4,'Visu totale'!$D:$DH,AL$1,0),1)="V",IF(AK4&gt;=INDEX('[1]Définition Maintenances'!$G:$G,MATCH($A4,'[1]Définition Maintenances'!$K:$K,0)),AK4,INDEX('[1]Définition Maintenances'!$G:$G,MATCH($A4,'[1]Définition Maintenances'!$K:$K,0))+AK4),AK4))</f>
        <v>379</v>
      </c>
      <c r="AM4" s="26">
        <f>IF(ISNUMBER(VLOOKUP($D4,'Visu totale'!$D:$DH,AM$1,0)),AL4-VLOOKUP($D4,'Visu totale'!$D:$DH,AM$1,0),IF(LEFT(VLOOKUP($D4,'Visu totale'!$D:$DH,AM$1,0),1)="V",IF(AL4&gt;=INDEX('[1]Définition Maintenances'!$G:$G,MATCH($A4,'[1]Définition Maintenances'!$K:$K,0)),AL4,INDEX('[1]Définition Maintenances'!$G:$G,MATCH($A4,'[1]Définition Maintenances'!$K:$K,0))+AL4),AL4))</f>
        <v>379</v>
      </c>
      <c r="AN4" s="26">
        <f>IF(ISNUMBER(VLOOKUP($D4,'Visu totale'!$D:$DH,AN$1,0)),AM4-VLOOKUP($D4,'Visu totale'!$D:$DH,AN$1,0),IF(LEFT(VLOOKUP($D4,'Visu totale'!$D:$DH,AN$1,0),1)="V",IF(AM4&gt;=INDEX('[1]Définition Maintenances'!$G:$G,MATCH($A4,'[1]Définition Maintenances'!$K:$K,0)),AM4,INDEX('[1]Définition Maintenances'!$G:$G,MATCH($A4,'[1]Définition Maintenances'!$K:$K,0))+AM4),AM4))</f>
        <v>379</v>
      </c>
      <c r="AO4" s="27">
        <f>IF(ISNUMBER(VLOOKUP($D4,'Visu totale'!$D:$DH,AO$1,0)),AN4-VLOOKUP($D4,'Visu totale'!$D:$DH,AO$1,0),IF(LEFT(VLOOKUP($D4,'Visu totale'!$D:$DH,AO$1,0),1)="V",IF(AN4&gt;=INDEX('[1]Définition Maintenances'!$G:$G,MATCH($A4,'[1]Définition Maintenances'!$K:$K,0)),AN4,INDEX('[1]Définition Maintenances'!$G:$G,MATCH($A4,'[1]Définition Maintenances'!$K:$K,0))+AN4),AN4))</f>
        <v>379</v>
      </c>
      <c r="AP4" s="25">
        <f>IF(ISNUMBER(VLOOKUP($D4,'Visu totale'!$D:$DH,AP$1,0)),AO4-VLOOKUP($D4,'Visu totale'!$D:$DH,AP$1,0),IF(LEFT(VLOOKUP($D4,'Visu totale'!$D:$DH,AP$1,0),1)="V",IF(AO4&gt;=INDEX('[1]Définition Maintenances'!$G:$G,MATCH($A4,'[1]Définition Maintenances'!$K:$K,0)),AO4,INDEX('[1]Définition Maintenances'!$G:$G,MATCH($A4,'[1]Définition Maintenances'!$K:$K,0))+AO4),AO4))</f>
        <v>379</v>
      </c>
      <c r="AQ4" s="26">
        <f>IF(ISNUMBER(VLOOKUP($D4,'Visu totale'!$D:$DH,AQ$1,0)),AP4-VLOOKUP($D4,'Visu totale'!$D:$DH,AQ$1,0),IF(LEFT(VLOOKUP($D4,'Visu totale'!$D:$DH,AQ$1,0),1)="V",IF(AP4&gt;=INDEX('[1]Définition Maintenances'!$G:$G,MATCH($A4,'[1]Définition Maintenances'!$K:$K,0)),AP4,INDEX('[1]Définition Maintenances'!$G:$G,MATCH($A4,'[1]Définition Maintenances'!$K:$K,0))+AP4),AP4))</f>
        <v>379</v>
      </c>
      <c r="AR4" s="26">
        <f>IF(ISNUMBER(VLOOKUP($D4,'Visu totale'!$D:$DH,AR$1,0)),AQ4-VLOOKUP($D4,'Visu totale'!$D:$DH,AR$1,0),IF(LEFT(VLOOKUP($D4,'Visu totale'!$D:$DH,AR$1,0),1)="V",IF(AQ4&gt;=INDEX('[1]Définition Maintenances'!$G:$G,MATCH($A4,'[1]Définition Maintenances'!$K:$K,0)),AQ4,INDEX('[1]Définition Maintenances'!$G:$G,MATCH($A4,'[1]Définition Maintenances'!$K:$K,0))+AQ4),AQ4))</f>
        <v>379</v>
      </c>
      <c r="AS4" s="26">
        <f>IF(ISNUMBER(VLOOKUP($D4,'Visu totale'!$D:$DH,AS$1,0)),AR4-VLOOKUP($D4,'Visu totale'!$D:$DH,AS$1,0),IF(LEFT(VLOOKUP($D4,'Visu totale'!$D:$DH,AS$1,0),1)="V",IF(AR4&gt;=INDEX('[1]Définition Maintenances'!$G:$G,MATCH($A4,'[1]Définition Maintenances'!$K:$K,0)),AR4,INDEX('[1]Définition Maintenances'!$G:$G,MATCH($A4,'[1]Définition Maintenances'!$K:$K,0))+AR4),AR4))</f>
        <v>379</v>
      </c>
      <c r="AT4" s="26">
        <f>IF(ISNUMBER(VLOOKUP($D4,'Visu totale'!$D:$DH,AT$1,0)),AS4-VLOOKUP($D4,'Visu totale'!$D:$DH,AT$1,0),IF(LEFT(VLOOKUP($D4,'Visu totale'!$D:$DH,AT$1,0),1)="V",IF(AS4&gt;=INDEX('[1]Définition Maintenances'!$G:$G,MATCH($A4,'[1]Définition Maintenances'!$K:$K,0)),AS4,INDEX('[1]Définition Maintenances'!$G:$G,MATCH($A4,'[1]Définition Maintenances'!$K:$K,0))+AS4),AS4))</f>
        <v>379</v>
      </c>
      <c r="AU4" s="26">
        <f>IF(ISNUMBER(VLOOKUP($D4,'Visu totale'!$D:$DH,AU$1,0)),AT4-VLOOKUP($D4,'Visu totale'!$D:$DH,AU$1,0),IF(LEFT(VLOOKUP($D4,'Visu totale'!$D:$DH,AU$1,0),1)="V",IF(AT4&gt;=INDEX('[1]Définition Maintenances'!$G:$G,MATCH($A4,'[1]Définition Maintenances'!$K:$K,0)),AT4,INDEX('[1]Définition Maintenances'!$G:$G,MATCH($A4,'[1]Définition Maintenances'!$K:$K,0))+AT4),AT4))</f>
        <v>379</v>
      </c>
      <c r="AV4" s="26">
        <f>IF(ISNUMBER(VLOOKUP($D4,'Visu totale'!$D:$DH,AV$1,0)),AU4-VLOOKUP($D4,'Visu totale'!$D:$DH,AV$1,0),IF(LEFT(VLOOKUP($D4,'Visu totale'!$D:$DH,AV$1,0),1)="V",IF(AU4&gt;=INDEX('[1]Définition Maintenances'!$G:$G,MATCH($A4,'[1]Définition Maintenances'!$K:$K,0)),AU4,INDEX('[1]Définition Maintenances'!$G:$G,MATCH($A4,'[1]Définition Maintenances'!$K:$K,0))+AU4),AU4))</f>
        <v>379</v>
      </c>
      <c r="AW4" s="26">
        <f>IF(ISNUMBER(VLOOKUP($D4,'Visu totale'!$D:$DH,AW$1,0)),AV4-VLOOKUP($D4,'Visu totale'!$D:$DH,AW$1,0),IF(LEFT(VLOOKUP($D4,'Visu totale'!$D:$DH,AW$1,0),1)="V",IF(AV4&gt;=INDEX('[1]Définition Maintenances'!$G:$G,MATCH($A4,'[1]Définition Maintenances'!$K:$K,0)),AV4,INDEX('[1]Définition Maintenances'!$G:$G,MATCH($A4,'[1]Définition Maintenances'!$K:$K,0))+AV4),AV4))</f>
        <v>379</v>
      </c>
      <c r="AX4" s="26">
        <f>IF(ISNUMBER(VLOOKUP($D4,'Visu totale'!$D:$DH,AX$1,0)),AW4-VLOOKUP($D4,'Visu totale'!$D:$DH,AX$1,0),IF(LEFT(VLOOKUP($D4,'Visu totale'!$D:$DH,AX$1,0),1)="V",IF(AW4&gt;=INDEX('[1]Définition Maintenances'!$G:$G,MATCH($A4,'[1]Définition Maintenances'!$K:$K,0)),AW4,INDEX('[1]Définition Maintenances'!$G:$G,MATCH($A4,'[1]Définition Maintenances'!$K:$K,0))+AW4),AW4))</f>
        <v>379</v>
      </c>
      <c r="AY4" s="26">
        <f>IF(ISNUMBER(VLOOKUP($D4,'Visu totale'!$D:$DH,AY$1,0)),AX4-VLOOKUP($D4,'Visu totale'!$D:$DH,AY$1,0),IF(LEFT(VLOOKUP($D4,'Visu totale'!$D:$DH,AY$1,0),1)="V",IF(AX4&gt;=INDEX('[1]Définition Maintenances'!$G:$G,MATCH($A4,'[1]Définition Maintenances'!$K:$K,0)),AX4,INDEX('[1]Définition Maintenances'!$G:$G,MATCH($A4,'[1]Définition Maintenances'!$K:$K,0))+AX4),AX4))</f>
        <v>379</v>
      </c>
      <c r="AZ4" s="26">
        <f>IF(ISNUMBER(VLOOKUP($D4,'Visu totale'!$D:$DH,AZ$1,0)),AY4-VLOOKUP($D4,'Visu totale'!$D:$DH,AZ$1,0),IF(LEFT(VLOOKUP($D4,'Visu totale'!$D:$DH,AZ$1,0),1)="V",IF(AY4&gt;=INDEX('[1]Définition Maintenances'!$G:$G,MATCH($A4,'[1]Définition Maintenances'!$K:$K,0)),AY4,INDEX('[1]Définition Maintenances'!$G:$G,MATCH($A4,'[1]Définition Maintenances'!$K:$K,0))+AY4),AY4))</f>
        <v>379</v>
      </c>
      <c r="BA4" s="27">
        <f>IF(ISNUMBER(VLOOKUP($D4,'Visu totale'!$D:$DH,BA$1,0)),AZ4-VLOOKUP($D4,'Visu totale'!$D:$DH,BA$1,0),IF(LEFT(VLOOKUP($D4,'Visu totale'!$D:$DH,BA$1,0),1)="V",IF(AZ4&gt;=INDEX('[1]Définition Maintenances'!$G:$G,MATCH($A4,'[1]Définition Maintenances'!$K:$K,0)),AZ4,INDEX('[1]Définition Maintenances'!$G:$G,MATCH($A4,'[1]Définition Maintenances'!$K:$K,0))+AZ4),AZ4))</f>
        <v>379</v>
      </c>
      <c r="BB4" s="25">
        <f>IF(ISNUMBER(VLOOKUP($D4,'Visu totale'!$D:$DH,BB$1,0)),BA4-VLOOKUP($D4,'Visu totale'!$D:$DH,BB$1,0),IF(LEFT(VLOOKUP($D4,'Visu totale'!$D:$DH,BB$1,0),1)="V",IF(BA4&gt;=INDEX('[1]Définition Maintenances'!$G:$G,MATCH($A4,'[1]Définition Maintenances'!$K:$K,0)),BA4,INDEX('[1]Définition Maintenances'!$G:$G,MATCH($A4,'[1]Définition Maintenances'!$K:$K,0))+BA4),BA4))</f>
        <v>379</v>
      </c>
      <c r="BC4" s="26">
        <f>IF(ISNUMBER(VLOOKUP($D4,'Visu totale'!$D:$DH,BC$1,0)),BB4-VLOOKUP($D4,'Visu totale'!$D:$DH,BC$1,0),IF(LEFT(VLOOKUP($D4,'Visu totale'!$D:$DH,BC$1,0),1)="V",IF(BB4&gt;=INDEX('[1]Définition Maintenances'!$G:$G,MATCH($A4,'[1]Définition Maintenances'!$K:$K,0)),BB4,INDEX('[1]Définition Maintenances'!$G:$G,MATCH($A4,'[1]Définition Maintenances'!$K:$K,0))+BB4),BB4))</f>
        <v>379</v>
      </c>
      <c r="BD4" s="26">
        <f>IF(ISNUMBER(VLOOKUP($D4,'Visu totale'!$D:$DH,BD$1,0)),BC4-VLOOKUP($D4,'Visu totale'!$D:$DH,BD$1,0),IF(LEFT(VLOOKUP($D4,'Visu totale'!$D:$DH,BD$1,0),1)="V",IF(BC4&gt;=INDEX('[1]Définition Maintenances'!$G:$G,MATCH($A4,'[1]Définition Maintenances'!$K:$K,0)),BC4,INDEX('[1]Définition Maintenances'!$G:$G,MATCH($A4,'[1]Définition Maintenances'!$K:$K,0))+BC4),BC4))</f>
        <v>379</v>
      </c>
      <c r="BE4" s="26">
        <f>IF(ISNUMBER(VLOOKUP($D4,'Visu totale'!$D:$DH,BE$1,0)),BD4-VLOOKUP($D4,'Visu totale'!$D:$DH,BE$1,0),IF(LEFT(VLOOKUP($D4,'Visu totale'!$D:$DH,BE$1,0),1)="V",IF(BD4&gt;=INDEX('[1]Définition Maintenances'!$G:$G,MATCH($A4,'[1]Définition Maintenances'!$K:$K,0)),BD4,INDEX('[1]Définition Maintenances'!$G:$G,MATCH($A4,'[1]Définition Maintenances'!$K:$K,0))+BD4),BD4))</f>
        <v>379</v>
      </c>
      <c r="BF4" s="26">
        <f>IF(ISNUMBER(VLOOKUP($D4,'Visu totale'!$D:$DH,BF$1,0)),BE4-VLOOKUP($D4,'Visu totale'!$D:$DH,BF$1,0),IF(LEFT(VLOOKUP($D4,'Visu totale'!$D:$DH,BF$1,0),1)="V",IF(BE4&gt;=INDEX('[1]Définition Maintenances'!$G:$G,MATCH($A4,'[1]Définition Maintenances'!$K:$K,0)),BE4,INDEX('[1]Définition Maintenances'!$G:$G,MATCH($A4,'[1]Définition Maintenances'!$K:$K,0))+BE4),BE4))</f>
        <v>379</v>
      </c>
      <c r="BG4" s="26">
        <f>IF(ISNUMBER(VLOOKUP($D4,'Visu totale'!$D:$DH,BG$1,0)),BF4-VLOOKUP($D4,'Visu totale'!$D:$DH,BG$1,0),IF(LEFT(VLOOKUP($D4,'Visu totale'!$D:$DH,BG$1,0),1)="V",IF(BF4&gt;=INDEX('[1]Définition Maintenances'!$G:$G,MATCH($A4,'[1]Définition Maintenances'!$K:$K,0)),BF4,INDEX('[1]Définition Maintenances'!$G:$G,MATCH($A4,'[1]Définition Maintenances'!$K:$K,0))+BF4),BF4))</f>
        <v>379</v>
      </c>
      <c r="BH4" s="26">
        <f>IF(ISNUMBER(VLOOKUP($D4,'Visu totale'!$D:$DH,BH$1,0)),BG4-VLOOKUP($D4,'Visu totale'!$D:$DH,BH$1,0),IF(LEFT(VLOOKUP($D4,'Visu totale'!$D:$DH,BH$1,0),1)="V",IF(BG4&gt;=INDEX('[1]Définition Maintenances'!$G:$G,MATCH($A4,'[1]Définition Maintenances'!$K:$K,0)),BG4,INDEX('[1]Définition Maintenances'!$G:$G,MATCH($A4,'[1]Définition Maintenances'!$K:$K,0))+BG4),BG4))</f>
        <v>379</v>
      </c>
      <c r="BI4" s="26">
        <f>IF(ISNUMBER(VLOOKUP($D4,'Visu totale'!$D:$DH,BI$1,0)),BH4-VLOOKUP($D4,'Visu totale'!$D:$DH,BI$1,0),IF(LEFT(VLOOKUP($D4,'Visu totale'!$D:$DH,BI$1,0),1)="V",IF(BH4&gt;=INDEX('[1]Définition Maintenances'!$G:$G,MATCH($A4,'[1]Définition Maintenances'!$K:$K,0)),BH4,INDEX('[1]Définition Maintenances'!$G:$G,MATCH($A4,'[1]Définition Maintenances'!$K:$K,0))+BH4),BH4))</f>
        <v>379</v>
      </c>
      <c r="BJ4" s="26">
        <f>IF(ISNUMBER(VLOOKUP($D4,'Visu totale'!$D:$DH,BJ$1,0)),BI4-VLOOKUP($D4,'Visu totale'!$D:$DH,BJ$1,0),IF(LEFT(VLOOKUP($D4,'Visu totale'!$D:$DH,BJ$1,0),1)="V",IF(BI4&gt;=INDEX('[1]Définition Maintenances'!$G:$G,MATCH($A4,'[1]Définition Maintenances'!$K:$K,0)),BI4,INDEX('[1]Définition Maintenances'!$G:$G,MATCH($A4,'[1]Définition Maintenances'!$K:$K,0))+BI4),BI4))</f>
        <v>379</v>
      </c>
      <c r="BK4" s="26">
        <f>IF(ISNUMBER(VLOOKUP($D4,'Visu totale'!$D:$DH,BK$1,0)),BJ4-VLOOKUP($D4,'Visu totale'!$D:$DH,BK$1,0),IF(LEFT(VLOOKUP($D4,'Visu totale'!$D:$DH,BK$1,0),1)="V",IF(BJ4&gt;=INDEX('[1]Définition Maintenances'!$G:$G,MATCH($A4,'[1]Définition Maintenances'!$K:$K,0)),BJ4,INDEX('[1]Définition Maintenances'!$G:$G,MATCH($A4,'[1]Définition Maintenances'!$K:$K,0))+BJ4),BJ4))</f>
        <v>379</v>
      </c>
      <c r="BL4" s="26">
        <f>IF(ISNUMBER(VLOOKUP($D4,'Visu totale'!$D:$DH,BL$1,0)),BK4-VLOOKUP($D4,'Visu totale'!$D:$DH,BL$1,0),IF(LEFT(VLOOKUP($D4,'Visu totale'!$D:$DH,BL$1,0),1)="V",IF(BK4&gt;=INDEX('[1]Définition Maintenances'!$G:$G,MATCH($A4,'[1]Définition Maintenances'!$K:$K,0)),BK4,INDEX('[1]Définition Maintenances'!$G:$G,MATCH($A4,'[1]Définition Maintenances'!$K:$K,0))+BK4),BK4))</f>
        <v>379</v>
      </c>
      <c r="BM4" s="27">
        <f>IF(ISNUMBER(VLOOKUP($D4,'Visu totale'!$D:$DH,BM$1,0)),BL4-VLOOKUP($D4,'Visu totale'!$D:$DH,BM$1,0),IF(LEFT(VLOOKUP($D4,'Visu totale'!$D:$DH,BM$1,0),1)="V",IF(BL4&gt;=INDEX('[1]Définition Maintenances'!$G:$G,MATCH($A4,'[1]Définition Maintenances'!$K:$K,0)),BL4,INDEX('[1]Définition Maintenances'!$G:$G,MATCH($A4,'[1]Définition Maintenances'!$K:$K,0))+BL4),BL4))</f>
        <v>379</v>
      </c>
      <c r="BN4" s="25">
        <f>IF(ISNUMBER(VLOOKUP($D4,'Visu totale'!$D:$DH,BN$1,0)),BM4-VLOOKUP($D4,'Visu totale'!$D:$DH,BN$1,0),IF(LEFT(VLOOKUP($D4,'Visu totale'!$D:$DH,BN$1,0),1)="V",IF(BM4&gt;=INDEX('[1]Définition Maintenances'!$G:$G,MATCH($A4,'[1]Définition Maintenances'!$K:$K,0)),BM4,INDEX('[1]Définition Maintenances'!$G:$G,MATCH($A4,'[1]Définition Maintenances'!$K:$K,0))+BM4),BM4))</f>
        <v>379</v>
      </c>
      <c r="BO4" s="26">
        <f>IF(ISNUMBER(VLOOKUP($D4,'Visu totale'!$D:$DH,BO$1,0)),BN4-VLOOKUP($D4,'Visu totale'!$D:$DH,BO$1,0),IF(LEFT(VLOOKUP($D4,'Visu totale'!$D:$DH,BO$1,0),1)="V",IF(BN4&gt;=INDEX('[1]Définition Maintenances'!$G:$G,MATCH($A4,'[1]Définition Maintenances'!$K:$K,0)),BN4,INDEX('[1]Définition Maintenances'!$G:$G,MATCH($A4,'[1]Définition Maintenances'!$K:$K,0))+BN4),BN4))</f>
        <v>379</v>
      </c>
      <c r="BP4" s="26">
        <f>IF(ISNUMBER(VLOOKUP($D4,'Visu totale'!$D:$DH,BP$1,0)),BO4-VLOOKUP($D4,'Visu totale'!$D:$DH,BP$1,0),IF(LEFT(VLOOKUP($D4,'Visu totale'!$D:$DH,BP$1,0),1)="V",IF(BO4&gt;=INDEX('[1]Définition Maintenances'!$G:$G,MATCH($A4,'[1]Définition Maintenances'!$K:$K,0)),BO4,INDEX('[1]Définition Maintenances'!$G:$G,MATCH($A4,'[1]Définition Maintenances'!$K:$K,0))+BO4),BO4))</f>
        <v>379</v>
      </c>
      <c r="BQ4" s="26">
        <f>IF(ISNUMBER(VLOOKUP($D4,'Visu totale'!$D:$DH,BQ$1,0)),BP4-VLOOKUP($D4,'Visu totale'!$D:$DH,BQ$1,0),IF(LEFT(VLOOKUP($D4,'Visu totale'!$D:$DH,BQ$1,0),1)="V",IF(BP4&gt;=INDEX('[1]Définition Maintenances'!$G:$G,MATCH($A4,'[1]Définition Maintenances'!$K:$K,0)),BP4,INDEX('[1]Définition Maintenances'!$G:$G,MATCH($A4,'[1]Définition Maintenances'!$K:$K,0))+BP4),BP4))</f>
        <v>379</v>
      </c>
      <c r="BR4" s="26">
        <f>IF(ISNUMBER(VLOOKUP($D4,'Visu totale'!$D:$DH,BR$1,0)),BQ4-VLOOKUP($D4,'Visu totale'!$D:$DH,BR$1,0),IF(LEFT(VLOOKUP($D4,'Visu totale'!$D:$DH,BR$1,0),1)="V",IF(BQ4&gt;=INDEX('[1]Définition Maintenances'!$G:$G,MATCH($A4,'[1]Définition Maintenances'!$K:$K,0)),BQ4,INDEX('[1]Définition Maintenances'!$G:$G,MATCH($A4,'[1]Définition Maintenances'!$K:$K,0))+BQ4),BQ4))</f>
        <v>379</v>
      </c>
      <c r="BS4" s="26">
        <f>IF(ISNUMBER(VLOOKUP($D4,'Visu totale'!$D:$DH,BS$1,0)),BR4-VLOOKUP($D4,'Visu totale'!$D:$DH,BS$1,0),IF(LEFT(VLOOKUP($D4,'Visu totale'!$D:$DH,BS$1,0),1)="V",IF(BR4&gt;=INDEX('[1]Définition Maintenances'!$G:$G,MATCH($A4,'[1]Définition Maintenances'!$K:$K,0)),BR4,INDEX('[1]Définition Maintenances'!$G:$G,MATCH($A4,'[1]Définition Maintenances'!$K:$K,0))+BR4),BR4))</f>
        <v>379</v>
      </c>
      <c r="BT4" s="26">
        <f>IF(ISNUMBER(VLOOKUP($D4,'Visu totale'!$D:$DH,BT$1,0)),BS4-VLOOKUP($D4,'Visu totale'!$D:$DH,BT$1,0),IF(LEFT(VLOOKUP($D4,'Visu totale'!$D:$DH,BT$1,0),1)="V",IF(BS4&gt;=INDEX('[1]Définition Maintenances'!$G:$G,MATCH($A4,'[1]Définition Maintenances'!$K:$K,0)),BS4,INDEX('[1]Définition Maintenances'!$G:$G,MATCH($A4,'[1]Définition Maintenances'!$K:$K,0))+BS4),BS4))</f>
        <v>379</v>
      </c>
      <c r="BU4" s="26">
        <f>IF(ISNUMBER(VLOOKUP($D4,'Visu totale'!$D:$DH,BU$1,0)),BT4-VLOOKUP($D4,'Visu totale'!$D:$DH,BU$1,0),IF(LEFT(VLOOKUP($D4,'Visu totale'!$D:$DH,BU$1,0),1)="V",IF(BT4&gt;=INDEX('[1]Définition Maintenances'!$G:$G,MATCH($A4,'[1]Définition Maintenances'!$K:$K,0)),BT4,INDEX('[1]Définition Maintenances'!$G:$G,MATCH($A4,'[1]Définition Maintenances'!$K:$K,0))+BT4),BT4))</f>
        <v>379</v>
      </c>
      <c r="BV4" s="26">
        <f>IF(ISNUMBER(VLOOKUP($D4,'Visu totale'!$D:$DH,BV$1,0)),BU4-VLOOKUP($D4,'Visu totale'!$D:$DH,BV$1,0),IF(LEFT(VLOOKUP($D4,'Visu totale'!$D:$DH,BV$1,0),1)="V",IF(BU4&gt;=INDEX('[1]Définition Maintenances'!$G:$G,MATCH($A4,'[1]Définition Maintenances'!$K:$K,0)),BU4,INDEX('[1]Définition Maintenances'!$G:$G,MATCH($A4,'[1]Définition Maintenances'!$K:$K,0))+BU4),BU4))</f>
        <v>379</v>
      </c>
      <c r="BW4" s="26">
        <f>IF(ISNUMBER(VLOOKUP($D4,'Visu totale'!$D:$DH,BW$1,0)),BV4-VLOOKUP($D4,'Visu totale'!$D:$DH,BW$1,0),IF(LEFT(VLOOKUP($D4,'Visu totale'!$D:$DH,BW$1,0),1)="V",IF(BV4&gt;=INDEX('[1]Définition Maintenances'!$G:$G,MATCH($A4,'[1]Définition Maintenances'!$K:$K,0)),BV4,INDEX('[1]Définition Maintenances'!$G:$G,MATCH($A4,'[1]Définition Maintenances'!$K:$K,0))+BV4),BV4))</f>
        <v>379</v>
      </c>
      <c r="BX4" s="26">
        <f>IF(ISNUMBER(VLOOKUP($D4,'Visu totale'!$D:$DH,BX$1,0)),BW4-VLOOKUP($D4,'Visu totale'!$D:$DH,BX$1,0),IF(LEFT(VLOOKUP($D4,'Visu totale'!$D:$DH,BX$1,0),1)="V",IF(BW4&gt;=INDEX('[1]Définition Maintenances'!$G:$G,MATCH($A4,'[1]Définition Maintenances'!$K:$K,0)),BW4,INDEX('[1]Définition Maintenances'!$G:$G,MATCH($A4,'[1]Définition Maintenances'!$K:$K,0))+BW4),BW4))</f>
        <v>379</v>
      </c>
      <c r="BY4" s="27">
        <f>IF(ISNUMBER(VLOOKUP($D4,'Visu totale'!$D:$DH,BY$1,0)),BX4-VLOOKUP($D4,'Visu totale'!$D:$DH,BY$1,0),IF(LEFT(VLOOKUP($D4,'Visu totale'!$D:$DH,BY$1,0),1)="V",IF(BX4&gt;=INDEX('[1]Définition Maintenances'!$G:$G,MATCH($A4,'[1]Définition Maintenances'!$K:$K,0)),BX4,INDEX('[1]Définition Maintenances'!$G:$G,MATCH($A4,'[1]Définition Maintenances'!$K:$K,0))+BX4),BX4))</f>
        <v>379</v>
      </c>
      <c r="BZ4" s="25">
        <f>IF(ISNUMBER(VLOOKUP($D4,'Visu totale'!$D:$DH,BZ$1,0)),BY4-VLOOKUP($D4,'Visu totale'!$D:$DH,BZ$1,0),IF(LEFT(VLOOKUP($D4,'Visu totale'!$D:$DH,BZ$1,0),1)="V",IF(BY4&gt;=INDEX('[1]Définition Maintenances'!$G:$G,MATCH($A4,'[1]Définition Maintenances'!$K:$K,0)),BY4,INDEX('[1]Définition Maintenances'!$G:$G,MATCH($A4,'[1]Définition Maintenances'!$K:$K,0))+BY4),BY4))</f>
        <v>379</v>
      </c>
      <c r="CA4" s="26">
        <f>IF(ISNUMBER(VLOOKUP($D4,'Visu totale'!$D:$DH,CA$1,0)),BZ4-VLOOKUP($D4,'Visu totale'!$D:$DH,CA$1,0),IF(LEFT(VLOOKUP($D4,'Visu totale'!$D:$DH,CA$1,0),1)="V",IF(BZ4&gt;=INDEX('[1]Définition Maintenances'!$G:$G,MATCH($A4,'[1]Définition Maintenances'!$K:$K,0)),BZ4,INDEX('[1]Définition Maintenances'!$G:$G,MATCH($A4,'[1]Définition Maintenances'!$K:$K,0))+BZ4),BZ4))</f>
        <v>379</v>
      </c>
      <c r="CB4" s="26">
        <f>IF(ISNUMBER(VLOOKUP($D4,'Visu totale'!$D:$DH,CB$1,0)),CA4-VLOOKUP($D4,'Visu totale'!$D:$DH,CB$1,0),IF(LEFT(VLOOKUP($D4,'Visu totale'!$D:$DH,CB$1,0),1)="V",IF(CA4&gt;=INDEX('[1]Définition Maintenances'!$G:$G,MATCH($A4,'[1]Définition Maintenances'!$K:$K,0)),CA4,INDEX('[1]Définition Maintenances'!$G:$G,MATCH($A4,'[1]Définition Maintenances'!$K:$K,0))+CA4),CA4))</f>
        <v>379</v>
      </c>
      <c r="CC4" s="26">
        <f>IF(ISNUMBER(VLOOKUP($D4,'Visu totale'!$D:$DH,CC$1,0)),CB4-VLOOKUP($D4,'Visu totale'!$D:$DH,CC$1,0),IF(LEFT(VLOOKUP($D4,'Visu totale'!$D:$DH,CC$1,0),1)="V",IF(CB4&gt;=INDEX('[1]Définition Maintenances'!$G:$G,MATCH($A4,'[1]Définition Maintenances'!$K:$K,0)),CB4,INDEX('[1]Définition Maintenances'!$G:$G,MATCH($A4,'[1]Définition Maintenances'!$K:$K,0))+CB4),CB4))</f>
        <v>379</v>
      </c>
      <c r="CD4" s="26">
        <f>IF(ISNUMBER(VLOOKUP($D4,'Visu totale'!$D:$DH,CD$1,0)),CC4-VLOOKUP($D4,'Visu totale'!$D:$DH,CD$1,0),IF(LEFT(VLOOKUP($D4,'Visu totale'!$D:$DH,CD$1,0),1)="V",IF(CC4&gt;=INDEX('[1]Définition Maintenances'!$G:$G,MATCH($A4,'[1]Définition Maintenances'!$K:$K,0)),CC4,INDEX('[1]Définition Maintenances'!$G:$G,MATCH($A4,'[1]Définition Maintenances'!$K:$K,0))+CC4),CC4))</f>
        <v>379</v>
      </c>
      <c r="CE4" s="26">
        <f>IF(ISNUMBER(VLOOKUP($D4,'Visu totale'!$D:$DH,CE$1,0)),CD4-VLOOKUP($D4,'Visu totale'!$D:$DH,CE$1,0),IF(LEFT(VLOOKUP($D4,'Visu totale'!$D:$DH,CE$1,0),1)="V",IF(CD4&gt;=INDEX('[1]Définition Maintenances'!$G:$G,MATCH($A4,'[1]Définition Maintenances'!$K:$K,0)),CD4,INDEX('[1]Définition Maintenances'!$G:$G,MATCH($A4,'[1]Définition Maintenances'!$K:$K,0))+CD4),CD4))</f>
        <v>379</v>
      </c>
      <c r="CF4" s="26">
        <f>IF(ISNUMBER(VLOOKUP($D4,'Visu totale'!$D:$DH,CF$1,0)),CE4-VLOOKUP($D4,'Visu totale'!$D:$DH,CF$1,0),IF(LEFT(VLOOKUP($D4,'Visu totale'!$D:$DH,CF$1,0),1)="V",IF(CE4&gt;=INDEX('[1]Définition Maintenances'!$G:$G,MATCH($A4,'[1]Définition Maintenances'!$K:$K,0)),CE4,INDEX('[1]Définition Maintenances'!$G:$G,MATCH($A4,'[1]Définition Maintenances'!$K:$K,0))+CE4),CE4))</f>
        <v>379</v>
      </c>
      <c r="CG4" s="26">
        <f>IF(ISNUMBER(VLOOKUP($D4,'Visu totale'!$D:$DH,CG$1,0)),CF4-VLOOKUP($D4,'Visu totale'!$D:$DH,CG$1,0),IF(LEFT(VLOOKUP($D4,'Visu totale'!$D:$DH,CG$1,0),1)="V",IF(CF4&gt;=INDEX('[1]Définition Maintenances'!$G:$G,MATCH($A4,'[1]Définition Maintenances'!$K:$K,0)),CF4,INDEX('[1]Définition Maintenances'!$G:$G,MATCH($A4,'[1]Définition Maintenances'!$K:$K,0))+CF4),CF4))</f>
        <v>379</v>
      </c>
      <c r="CH4" s="26">
        <f>IF(ISNUMBER(VLOOKUP($D4,'Visu totale'!$D:$DH,CH$1,0)),CG4-VLOOKUP($D4,'Visu totale'!$D:$DH,CH$1,0),IF(LEFT(VLOOKUP($D4,'Visu totale'!$D:$DH,CH$1,0),1)="V",IF(CG4&gt;=INDEX('[1]Définition Maintenances'!$G:$G,MATCH($A4,'[1]Définition Maintenances'!$K:$K,0)),CG4,INDEX('[1]Définition Maintenances'!$G:$G,MATCH($A4,'[1]Définition Maintenances'!$K:$K,0))+CG4),CG4))</f>
        <v>379</v>
      </c>
      <c r="CI4" s="26">
        <f>IF(ISNUMBER(VLOOKUP($D4,'Visu totale'!$D:$DH,CI$1,0)),CH4-VLOOKUP($D4,'Visu totale'!$D:$DH,CI$1,0),IF(LEFT(VLOOKUP($D4,'Visu totale'!$D:$DH,CI$1,0),1)="V",IF(CH4&gt;=INDEX('[1]Définition Maintenances'!$G:$G,MATCH($A4,'[1]Définition Maintenances'!$K:$K,0)),CH4,INDEX('[1]Définition Maintenances'!$G:$G,MATCH($A4,'[1]Définition Maintenances'!$K:$K,0))+CH4),CH4))</f>
        <v>379</v>
      </c>
      <c r="CJ4" s="26">
        <f>IF(ISNUMBER(VLOOKUP($D4,'Visu totale'!$D:$DH,CJ$1,0)),CI4-VLOOKUP($D4,'Visu totale'!$D:$DH,CJ$1,0),IF(LEFT(VLOOKUP($D4,'Visu totale'!$D:$DH,CJ$1,0),1)="V",IF(CI4&gt;=INDEX('[1]Définition Maintenances'!$G:$G,MATCH($A4,'[1]Définition Maintenances'!$K:$K,0)),CI4,INDEX('[1]Définition Maintenances'!$G:$G,MATCH($A4,'[1]Définition Maintenances'!$K:$K,0))+CI4),CI4))</f>
        <v>379</v>
      </c>
      <c r="CK4" s="27">
        <f>IF(ISNUMBER(VLOOKUP($D4,'Visu totale'!$D:$DH,CK$1,0)),CJ4-VLOOKUP($D4,'Visu totale'!$D:$DH,CK$1,0),IF(LEFT(VLOOKUP($D4,'Visu totale'!$D:$DH,CK$1,0),1)="V",IF(CJ4&gt;=INDEX('[1]Définition Maintenances'!$G:$G,MATCH($A4,'[1]Définition Maintenances'!$K:$K,0)),CJ4,INDEX('[1]Définition Maintenances'!$G:$G,MATCH($A4,'[1]Définition Maintenances'!$K:$K,0))+CJ4),CJ4))</f>
        <v>379</v>
      </c>
      <c r="CL4" s="25">
        <f>IF(ISNUMBER(VLOOKUP($D4,'Visu totale'!$D:$DH,CL$1,0)),CK4-VLOOKUP($D4,'Visu totale'!$D:$DH,CL$1,0),IF(LEFT(VLOOKUP($D4,'Visu totale'!$D:$DH,CL$1,0),1)="V",IF(CK4&gt;=INDEX('[1]Définition Maintenances'!$G:$G,MATCH($A4,'[1]Définition Maintenances'!$K:$K,0)),CK4,INDEX('[1]Définition Maintenances'!$G:$G,MATCH($A4,'[1]Définition Maintenances'!$K:$K,0))+CK4),CK4))</f>
        <v>379</v>
      </c>
      <c r="CM4" s="26">
        <f>IF(ISNUMBER(VLOOKUP($D4,'Visu totale'!$D:$DH,CM$1,0)),CL4-VLOOKUP($D4,'Visu totale'!$D:$DH,CM$1,0),IF(LEFT(VLOOKUP($D4,'Visu totale'!$D:$DH,CM$1,0),1)="V",IF(CL4&gt;=INDEX('[1]Définition Maintenances'!$G:$G,MATCH($A4,'[1]Définition Maintenances'!$K:$K,0)),CL4,INDEX('[1]Définition Maintenances'!$G:$G,MATCH($A4,'[1]Définition Maintenances'!$K:$K,0))+CL4),CL4))</f>
        <v>379</v>
      </c>
      <c r="CN4" s="26">
        <f>IF(ISNUMBER(VLOOKUP($D4,'Visu totale'!$D:$DH,CN$1,0)),CM4-VLOOKUP($D4,'Visu totale'!$D:$DH,CN$1,0),IF(LEFT(VLOOKUP($D4,'Visu totale'!$D:$DH,CN$1,0),1)="V",IF(CM4&gt;=INDEX('[1]Définition Maintenances'!$G:$G,MATCH($A4,'[1]Définition Maintenances'!$K:$K,0)),CM4,INDEX('[1]Définition Maintenances'!$G:$G,MATCH($A4,'[1]Définition Maintenances'!$K:$K,0))+CM4),CM4))</f>
        <v>379</v>
      </c>
      <c r="CO4" s="26">
        <f>IF(ISNUMBER(VLOOKUP($D4,'Visu totale'!$D:$DH,CO$1,0)),CN4-VLOOKUP($D4,'Visu totale'!$D:$DH,CO$1,0),IF(LEFT(VLOOKUP($D4,'Visu totale'!$D:$DH,CO$1,0),1)="V",IF(CN4&gt;=INDEX('[1]Définition Maintenances'!$G:$G,MATCH($A4,'[1]Définition Maintenances'!$K:$K,0)),CN4,INDEX('[1]Définition Maintenances'!$G:$G,MATCH($A4,'[1]Définition Maintenances'!$K:$K,0))+CN4),CN4))</f>
        <v>379</v>
      </c>
      <c r="CP4" s="26">
        <f>IF(ISNUMBER(VLOOKUP($D4,'Visu totale'!$D:$DH,CP$1,0)),CO4-VLOOKUP($D4,'Visu totale'!$D:$DH,CP$1,0),IF(LEFT(VLOOKUP($D4,'Visu totale'!$D:$DH,CP$1,0),1)="V",IF(CO4&gt;=INDEX('[1]Définition Maintenances'!$G:$G,MATCH($A4,'[1]Définition Maintenances'!$K:$K,0)),CO4,INDEX('[1]Définition Maintenances'!$G:$G,MATCH($A4,'[1]Définition Maintenances'!$K:$K,0))+CO4),CO4))</f>
        <v>379</v>
      </c>
      <c r="CQ4" s="26">
        <f>IF(ISNUMBER(VLOOKUP($D4,'Visu totale'!$D:$DH,CQ$1,0)),CP4-VLOOKUP($D4,'Visu totale'!$D:$DH,CQ$1,0),IF(LEFT(VLOOKUP($D4,'Visu totale'!$D:$DH,CQ$1,0),1)="V",IF(CP4&gt;=INDEX('[1]Définition Maintenances'!$G:$G,MATCH($A4,'[1]Définition Maintenances'!$K:$K,0)),CP4,INDEX('[1]Définition Maintenances'!$G:$G,MATCH($A4,'[1]Définition Maintenances'!$K:$K,0))+CP4),CP4))</f>
        <v>379</v>
      </c>
      <c r="CR4" s="26">
        <f>IF(ISNUMBER(VLOOKUP($D4,'Visu totale'!$D:$DH,CR$1,0)),CQ4-VLOOKUP($D4,'Visu totale'!$D:$DH,CR$1,0),IF(LEFT(VLOOKUP($D4,'Visu totale'!$D:$DH,CR$1,0),1)="V",IF(CQ4&gt;=INDEX('[1]Définition Maintenances'!$G:$G,MATCH($A4,'[1]Définition Maintenances'!$K:$K,0)),CQ4,INDEX('[1]Définition Maintenances'!$G:$G,MATCH($A4,'[1]Définition Maintenances'!$K:$K,0))+CQ4),CQ4))</f>
        <v>379</v>
      </c>
      <c r="CS4" s="26">
        <f>IF(ISNUMBER(VLOOKUP($D4,'Visu totale'!$D:$DH,CS$1,0)),CR4-VLOOKUP($D4,'Visu totale'!$D:$DH,CS$1,0),IF(LEFT(VLOOKUP($D4,'Visu totale'!$D:$DH,CS$1,0),1)="V",IF(CR4&gt;=INDEX('[1]Définition Maintenances'!$G:$G,MATCH($A4,'[1]Définition Maintenances'!$K:$K,0)),CR4,INDEX('[1]Définition Maintenances'!$G:$G,MATCH($A4,'[1]Définition Maintenances'!$K:$K,0))+CR4),CR4))</f>
        <v>379</v>
      </c>
      <c r="CT4" s="26">
        <f>IF(ISNUMBER(VLOOKUP($D4,'Visu totale'!$D:$DH,CT$1,0)),CS4-VLOOKUP($D4,'Visu totale'!$D:$DH,CT$1,0),IF(LEFT(VLOOKUP($D4,'Visu totale'!$D:$DH,CT$1,0),1)="V",IF(CS4&gt;=INDEX('[1]Définition Maintenances'!$G:$G,MATCH($A4,'[1]Définition Maintenances'!$K:$K,0)),CS4,INDEX('[1]Définition Maintenances'!$G:$G,MATCH($A4,'[1]Définition Maintenances'!$K:$K,0))+CS4),CS4))</f>
        <v>379</v>
      </c>
      <c r="CU4" s="26">
        <f>IF(ISNUMBER(VLOOKUP($D4,'Visu totale'!$D:$DH,CU$1,0)),CT4-VLOOKUP($D4,'Visu totale'!$D:$DH,CU$1,0),IF(LEFT(VLOOKUP($D4,'Visu totale'!$D:$DH,CU$1,0),1)="V",IF(CT4&gt;=INDEX('[1]Définition Maintenances'!$G:$G,MATCH($A4,'[1]Définition Maintenances'!$K:$K,0)),CT4,INDEX('[1]Définition Maintenances'!$G:$G,MATCH($A4,'[1]Définition Maintenances'!$K:$K,0))+CT4),CT4))</f>
        <v>379</v>
      </c>
      <c r="CV4" s="26">
        <f>IF(ISNUMBER(VLOOKUP($D4,'Visu totale'!$D:$DH,CV$1,0)),CU4-VLOOKUP($D4,'Visu totale'!$D:$DH,CV$1,0),IF(LEFT(VLOOKUP($D4,'Visu totale'!$D:$DH,CV$1,0),1)="V",IF(CU4&gt;=INDEX('[1]Définition Maintenances'!$G:$G,MATCH($A4,'[1]Définition Maintenances'!$K:$K,0)),CU4,INDEX('[1]Définition Maintenances'!$G:$G,MATCH($A4,'[1]Définition Maintenances'!$K:$K,0))+CU4),CU4))</f>
        <v>379</v>
      </c>
      <c r="CW4" s="27">
        <f>IF(ISNUMBER(VLOOKUP($D4,'Visu totale'!$D:$DH,CW$1,0)),CV4-VLOOKUP($D4,'Visu totale'!$D:$DH,CW$1,0),IF(LEFT(VLOOKUP($D4,'Visu totale'!$D:$DH,CW$1,0),1)="V",IF(CV4&gt;=INDEX('[1]Définition Maintenances'!$G:$G,MATCH($A4,'[1]Définition Maintenances'!$K:$K,0)),CV4,INDEX('[1]Définition Maintenances'!$G:$G,MATCH($A4,'[1]Définition Maintenances'!$K:$K,0))+CV4),CV4))</f>
        <v>379</v>
      </c>
      <c r="CX4" s="25">
        <f>IF(ISNUMBER(VLOOKUP($D4,'Visu totale'!$D:$DH,CX$1,0)),CW4-VLOOKUP($D4,'Visu totale'!$D:$DH,CX$1,0),IF(LEFT(VLOOKUP($D4,'Visu totale'!$D:$DH,CX$1,0),1)="V",IF(CW4&gt;=INDEX('[1]Définition Maintenances'!$G:$G,MATCH($A4,'[1]Définition Maintenances'!$K:$K,0)),CW4,INDEX('[1]Définition Maintenances'!$G:$G,MATCH($A4,'[1]Définition Maintenances'!$K:$K,0))+CW4),CW4))</f>
        <v>379</v>
      </c>
      <c r="CY4" s="26">
        <f>IF(ISNUMBER(VLOOKUP($D4,'Visu totale'!$D:$DH,CY$1,0)),CX4-VLOOKUP($D4,'Visu totale'!$D:$DH,CY$1,0),IF(LEFT(VLOOKUP($D4,'Visu totale'!$D:$DH,CY$1,0),1)="V",IF(CX4&gt;=INDEX('[1]Définition Maintenances'!$G:$G,MATCH($A4,'[1]Définition Maintenances'!$K:$K,0)),CX4,INDEX('[1]Définition Maintenances'!$G:$G,MATCH($A4,'[1]Définition Maintenances'!$K:$K,0))+CX4),CX4))</f>
        <v>379</v>
      </c>
      <c r="CZ4" s="26">
        <f>IF(ISNUMBER(VLOOKUP($D4,'Visu totale'!$D:$DH,CZ$1,0)),CY4-VLOOKUP($D4,'Visu totale'!$D:$DH,CZ$1,0),IF(LEFT(VLOOKUP($D4,'Visu totale'!$D:$DH,CZ$1,0),1)="V",IF(CY4&gt;=INDEX('[1]Définition Maintenances'!$G:$G,MATCH($A4,'[1]Définition Maintenances'!$K:$K,0)),CY4,INDEX('[1]Définition Maintenances'!$G:$G,MATCH($A4,'[1]Définition Maintenances'!$K:$K,0))+CY4),CY4))</f>
        <v>379</v>
      </c>
      <c r="DA4" s="26">
        <f>IF(ISNUMBER(VLOOKUP($D4,'Visu totale'!$D:$DH,DA$1,0)),CZ4-VLOOKUP($D4,'Visu totale'!$D:$DH,DA$1,0),IF(LEFT(VLOOKUP($D4,'Visu totale'!$D:$DH,DA$1,0),1)="V",IF(CZ4&gt;=INDEX('[1]Définition Maintenances'!$G:$G,MATCH($A4,'[1]Définition Maintenances'!$K:$K,0)),CZ4,INDEX('[1]Définition Maintenances'!$G:$G,MATCH($A4,'[1]Définition Maintenances'!$K:$K,0))+CZ4),CZ4))</f>
        <v>379</v>
      </c>
      <c r="DB4" s="26">
        <f>IF(ISNUMBER(VLOOKUP($D4,'Visu totale'!$D:$DH,DB$1,0)),DA4-VLOOKUP($D4,'Visu totale'!$D:$DH,DB$1,0),IF(LEFT(VLOOKUP($D4,'Visu totale'!$D:$DH,DB$1,0),1)="V",IF(DA4&gt;=INDEX('[1]Définition Maintenances'!$G:$G,MATCH($A4,'[1]Définition Maintenances'!$K:$K,0)),DA4,INDEX('[1]Définition Maintenances'!$G:$G,MATCH($A4,'[1]Définition Maintenances'!$K:$K,0))+DA4),DA4))</f>
        <v>379</v>
      </c>
      <c r="DC4" s="26">
        <f>IF(ISNUMBER(VLOOKUP($D4,'Visu totale'!$D:$DH,DC$1,0)),DB4-VLOOKUP($D4,'Visu totale'!$D:$DH,DC$1,0),IF(LEFT(VLOOKUP($D4,'Visu totale'!$D:$DH,DC$1,0),1)="V",IF(DB4&gt;=INDEX('[1]Définition Maintenances'!$G:$G,MATCH($A4,'[1]Définition Maintenances'!$K:$K,0)),DB4,INDEX('[1]Définition Maintenances'!$G:$G,MATCH($A4,'[1]Définition Maintenances'!$K:$K,0))+DB4),DB4))</f>
        <v>379</v>
      </c>
      <c r="DD4" s="26">
        <f>IF(ISNUMBER(VLOOKUP($D4,'Visu totale'!$D:$DH,DD$1,0)),DC4-VLOOKUP($D4,'Visu totale'!$D:$DH,DD$1,0),IF(LEFT(VLOOKUP($D4,'Visu totale'!$D:$DH,DD$1,0),1)="V",IF(DC4&gt;=INDEX('[1]Définition Maintenances'!$G:$G,MATCH($A4,'[1]Définition Maintenances'!$K:$K,0)),DC4,INDEX('[1]Définition Maintenances'!$G:$G,MATCH($A4,'[1]Définition Maintenances'!$K:$K,0))+DC4),DC4))</f>
        <v>379</v>
      </c>
      <c r="DE4" s="26">
        <f>IF(ISNUMBER(VLOOKUP($D4,'Visu totale'!$D:$DH,DE$1,0)),DD4-VLOOKUP($D4,'Visu totale'!$D:$DH,DE$1,0),IF(LEFT(VLOOKUP($D4,'Visu totale'!$D:$DH,DE$1,0),1)="V",IF(DD4&gt;=INDEX('[1]Définition Maintenances'!$G:$G,MATCH($A4,'[1]Définition Maintenances'!$K:$K,0)),DD4,INDEX('[1]Définition Maintenances'!$G:$G,MATCH($A4,'[1]Définition Maintenances'!$K:$K,0))+DD4),DD4))</f>
        <v>379</v>
      </c>
      <c r="DF4" s="26">
        <f>IF(ISNUMBER(VLOOKUP($D4,'Visu totale'!$D:$DH,DF$1,0)),DE4-VLOOKUP($D4,'Visu totale'!$D:$DH,DF$1,0),IF(LEFT(VLOOKUP($D4,'Visu totale'!$D:$DH,DF$1,0),1)="V",IF(DE4&gt;=INDEX('[1]Définition Maintenances'!$G:$G,MATCH($A4,'[1]Définition Maintenances'!$K:$K,0)),DE4,INDEX('[1]Définition Maintenances'!$G:$G,MATCH($A4,'[1]Définition Maintenances'!$K:$K,0))+DE4),DE4))</f>
        <v>379</v>
      </c>
      <c r="DG4" s="26">
        <f>IF(ISNUMBER(VLOOKUP($D4,'Visu totale'!$D:$DH,DG$1,0)),DF4-VLOOKUP($D4,'Visu totale'!$D:$DH,DG$1,0),IF(LEFT(VLOOKUP($D4,'Visu totale'!$D:$DH,DG$1,0),1)="V",IF(DF4&gt;=INDEX('[1]Définition Maintenances'!$G:$G,MATCH($A4,'[1]Définition Maintenances'!$K:$K,0)),DF4,INDEX('[1]Définition Maintenances'!$G:$G,MATCH($A4,'[1]Définition Maintenances'!$K:$K,0))+DF4),DF4))</f>
        <v>379</v>
      </c>
      <c r="DH4" s="26">
        <f>IF(ISNUMBER(VLOOKUP($D4,'Visu totale'!$D:$DH,DH$1,0)),DG4-VLOOKUP($D4,'Visu totale'!$D:$DH,DH$1,0),IF(LEFT(VLOOKUP($D4,'Visu totale'!$D:$DH,DH$1,0),1)="V",IF(DG4&gt;=INDEX('[1]Définition Maintenances'!$G:$G,MATCH($A4,'[1]Définition Maintenances'!$K:$K,0)),DG4,INDEX('[1]Définition Maintenances'!$G:$G,MATCH($A4,'[1]Définition Maintenances'!$K:$K,0))+DG4),DG4))</f>
        <v>379</v>
      </c>
      <c r="DI4" s="27">
        <f>IF(ISNUMBER(VLOOKUP($D4,'Visu totale'!$D:$DH,DI$1,0)),DH4-VLOOKUP($D4,'Visu totale'!$D:$DH,DI$1,0),IF(LEFT(VLOOKUP($D4,'Visu totale'!$D:$DH,DI$1,0),1)="V",IF(DH4&gt;=INDEX('[1]Définition Maintenances'!$G:$G,MATCH($A4,'[1]Définition Maintenances'!$K:$K,0)),DH4,INDEX('[1]Définition Maintenances'!$G:$G,MATCH($A4,'[1]Définition Maintenances'!$K:$K,0))+DH4),DH4))</f>
        <v>379</v>
      </c>
    </row>
    <row r="5" spans="1:113" x14ac:dyDescent="0.25">
      <c r="A5" s="13" t="str">
        <f t="shared" si="0"/>
        <v>V10D</v>
      </c>
      <c r="B5" s="13" t="str">
        <f>VLOOKUP(D5,'[1]Avions (Potentiels)'!$B$2:$H$128,7,FALSE)</f>
        <v>V10</v>
      </c>
      <c r="C5" s="13"/>
      <c r="D5" s="16" t="s">
        <v>8</v>
      </c>
      <c r="E5" s="13">
        <f>IFERROR(VALUE(SUBSTITUTE(VLOOKUP(D5,'[1]Avions (Potentiels)'!$B:$E,4,0),".",",")),VALUE(VLOOKUP(D5,'[1]Avions (Potentiels)'!$B:$E,4,0)))</f>
        <v>548</v>
      </c>
      <c r="F5" s="25">
        <f>IF(ISNUMBER(VLOOKUP($D5,'Visu totale'!$D:$DH,F$1,0)),E5-VLOOKUP($D5,'Visu totale'!$D:$DH,F$1,0),IF(LEFT(VLOOKUP($D5,'Visu totale'!$D:$DH,F$1,0),1)="V",IF(E5&gt;=INDEX('[1]Définition Maintenances'!$G:$G,MATCH($A5,'[1]Définition Maintenances'!$K:$K,0)),E5,INDEX('[1]Définition Maintenances'!$G:$G,MATCH($A5,'[1]Définition Maintenances'!$K:$K,0))+E5),E5))</f>
        <v>548</v>
      </c>
      <c r="G5" s="26">
        <f>IF(ISNUMBER(VLOOKUP($D5,'Visu totale'!$D:$DH,G$1,0)),F5-VLOOKUP($D5,'Visu totale'!$D:$DH,G$1,0),IF(LEFT(VLOOKUP($D5,'Visu totale'!$D:$DH,G$1,0),1)="V",IF(F5&gt;=INDEX('[1]Définition Maintenances'!$G:$G,MATCH($A5,'[1]Définition Maintenances'!$K:$K,0)),F5,INDEX('[1]Définition Maintenances'!$G:$G,MATCH($A5,'[1]Définition Maintenances'!$K:$K,0))+F5),F5))</f>
        <v>548</v>
      </c>
      <c r="H5" s="26">
        <f>IF(ISNUMBER(VLOOKUP($D5,'Visu totale'!$D:$DH,H$1,0)),G5-VLOOKUP($D5,'Visu totale'!$D:$DH,H$1,0),IF(LEFT(VLOOKUP($D5,'Visu totale'!$D:$DH,H$1,0),1)="V",IF(G5&gt;=INDEX('[1]Définition Maintenances'!$G:$G,MATCH($A5,'[1]Définition Maintenances'!$K:$K,0)),G5,INDEX('[1]Définition Maintenances'!$G:$G,MATCH($A5,'[1]Définition Maintenances'!$K:$K,0))+G5),G5))</f>
        <v>548</v>
      </c>
      <c r="I5" s="26">
        <f>IF(ISNUMBER(VLOOKUP($D5,'Visu totale'!$D:$DH,I$1,0)),H5-VLOOKUP($D5,'Visu totale'!$D:$DH,I$1,0),IF(LEFT(VLOOKUP($D5,'Visu totale'!$D:$DH,I$1,0),1)="V",IF(H5&gt;=INDEX('[1]Définition Maintenances'!$G:$G,MATCH($A5,'[1]Définition Maintenances'!$K:$K,0)),H5,INDEX('[1]Définition Maintenances'!$G:$G,MATCH($A5,'[1]Définition Maintenances'!$K:$K,0))+H5),H5))</f>
        <v>548</v>
      </c>
      <c r="J5" s="26">
        <f>IF(ISNUMBER(VLOOKUP($D5,'Visu totale'!$D:$DH,J$1,0)),I5-VLOOKUP($D5,'Visu totale'!$D:$DH,J$1,0),IF(LEFT(VLOOKUP($D5,'Visu totale'!$D:$DH,J$1,0),1)="V",IF(I5&gt;=INDEX('[1]Définition Maintenances'!$G:$G,MATCH($A5,'[1]Définition Maintenances'!$K:$K,0)),I5,INDEX('[1]Définition Maintenances'!$G:$G,MATCH($A5,'[1]Définition Maintenances'!$K:$K,0))+I5),I5))</f>
        <v>548</v>
      </c>
      <c r="K5" s="26">
        <f>IF(ISNUMBER(VLOOKUP($D5,'Visu totale'!$D:$DH,K$1,0)),J5-VLOOKUP($D5,'Visu totale'!$D:$DH,K$1,0),IF(LEFT(VLOOKUP($D5,'Visu totale'!$D:$DH,K$1,0),1)="V",IF(J5&gt;=INDEX('[1]Définition Maintenances'!$G:$G,MATCH($A5,'[1]Définition Maintenances'!$K:$K,0)),J5,INDEX('[1]Définition Maintenances'!$G:$G,MATCH($A5,'[1]Définition Maintenances'!$K:$K,0))+J5),J5))</f>
        <v>548</v>
      </c>
      <c r="L5" s="26">
        <f>IF(ISNUMBER(VLOOKUP($D5,'Visu totale'!$D:$DH,L$1,0)),K5-VLOOKUP($D5,'Visu totale'!$D:$DH,L$1,0),IF(LEFT(VLOOKUP($D5,'Visu totale'!$D:$DH,L$1,0),1)="V",IF(K5&gt;=INDEX('[1]Définition Maintenances'!$G:$G,MATCH($A5,'[1]Définition Maintenances'!$K:$K,0)),K5,INDEX('[1]Définition Maintenances'!$G:$G,MATCH($A5,'[1]Définition Maintenances'!$K:$K,0))+K5),K5))</f>
        <v>548</v>
      </c>
      <c r="M5" s="26">
        <f>IF(ISNUMBER(VLOOKUP($D5,'Visu totale'!$D:$DH,M$1,0)),L5-VLOOKUP($D5,'Visu totale'!$D:$DH,M$1,0),IF(LEFT(VLOOKUP($D5,'Visu totale'!$D:$DH,M$1,0),1)="V",IF(L5&gt;=INDEX('[1]Définition Maintenances'!$G:$G,MATCH($A5,'[1]Définition Maintenances'!$K:$K,0)),L5,INDEX('[1]Définition Maintenances'!$G:$G,MATCH($A5,'[1]Définition Maintenances'!$K:$K,0))+L5),L5))</f>
        <v>548</v>
      </c>
      <c r="N5" s="26">
        <f>IF(ISNUMBER(VLOOKUP($D5,'Visu totale'!$D:$DH,N$1,0)),M5-VLOOKUP($D5,'Visu totale'!$D:$DH,N$1,0),IF(LEFT(VLOOKUP($D5,'Visu totale'!$D:$DH,N$1,0),1)="V",IF(M5&gt;=INDEX('[1]Définition Maintenances'!$G:$G,MATCH($A5,'[1]Définition Maintenances'!$K:$K,0)),M5,INDEX('[1]Définition Maintenances'!$G:$G,MATCH($A5,'[1]Définition Maintenances'!$K:$K,0))+M5),M5))</f>
        <v>548</v>
      </c>
      <c r="O5" s="26">
        <f>IF(ISNUMBER(VLOOKUP($D5,'Visu totale'!$D:$DH,O$1,0)),N5-VLOOKUP($D5,'Visu totale'!$D:$DH,O$1,0),IF(LEFT(VLOOKUP($D5,'Visu totale'!$D:$DH,O$1,0),1)="V",IF(N5&gt;=INDEX('[1]Définition Maintenances'!$G:$G,MATCH($A5,'[1]Définition Maintenances'!$K:$K,0)),N5,INDEX('[1]Définition Maintenances'!$G:$G,MATCH($A5,'[1]Définition Maintenances'!$K:$K,0))+N5),N5))</f>
        <v>548</v>
      </c>
      <c r="P5" s="26">
        <f>IF(ISNUMBER(VLOOKUP($D5,'Visu totale'!$D:$DH,P$1,0)),O5-VLOOKUP($D5,'Visu totale'!$D:$DH,P$1,0),IF(LEFT(VLOOKUP($D5,'Visu totale'!$D:$DH,P$1,0),1)="V",IF(O5&gt;=INDEX('[1]Définition Maintenances'!$G:$G,MATCH($A5,'[1]Définition Maintenances'!$K:$K,0)),O5,INDEX('[1]Définition Maintenances'!$G:$G,MATCH($A5,'[1]Définition Maintenances'!$K:$K,0))+O5),O5))</f>
        <v>548</v>
      </c>
      <c r="Q5" s="27">
        <f>IF(ISNUMBER(VLOOKUP($D5,'Visu totale'!$D:$DH,Q$1,0)),P5-VLOOKUP($D5,'Visu totale'!$D:$DH,Q$1,0),IF(LEFT(VLOOKUP($D5,'Visu totale'!$D:$DH,Q$1,0),1)="V",IF(P5&gt;=INDEX('[1]Définition Maintenances'!$G:$G,MATCH($A5,'[1]Définition Maintenances'!$K:$K,0)),P5,INDEX('[1]Définition Maintenances'!$G:$G,MATCH($A5,'[1]Définition Maintenances'!$K:$K,0))+P5),P5))</f>
        <v>548</v>
      </c>
      <c r="R5" s="25">
        <f>IF(ISNUMBER(VLOOKUP($D5,'Visu totale'!$D:$DH,R$1,0)),Q5-VLOOKUP($D5,'Visu totale'!$D:$DH,R$1,0),IF(LEFT(VLOOKUP($D5,'Visu totale'!$D:$DH,R$1,0),1)="V",IF(Q5&gt;=INDEX('[1]Définition Maintenances'!$G:$G,MATCH($A5,'[1]Définition Maintenances'!$K:$K,0)),Q5,INDEX('[1]Définition Maintenances'!$G:$G,MATCH($A5,'[1]Définition Maintenances'!$K:$K,0))+Q5),Q5))</f>
        <v>548</v>
      </c>
      <c r="S5" s="26">
        <f>IF(ISNUMBER(VLOOKUP($D5,'Visu totale'!$D:$DH,S$1,0)),R5-VLOOKUP($D5,'Visu totale'!$D:$DH,S$1,0),IF(LEFT(VLOOKUP($D5,'Visu totale'!$D:$DH,S$1,0),1)="V",IF(R5&gt;=INDEX('[1]Définition Maintenances'!$G:$G,MATCH($A5,'[1]Définition Maintenances'!$K:$K,0)),R5,INDEX('[1]Définition Maintenances'!$G:$G,MATCH($A5,'[1]Définition Maintenances'!$K:$K,0))+R5),R5))</f>
        <v>548</v>
      </c>
      <c r="T5" s="26">
        <f>IF(ISNUMBER(VLOOKUP($D5,'Visu totale'!$D:$DH,T$1,0)),S5-VLOOKUP($D5,'Visu totale'!$D:$DH,T$1,0),IF(LEFT(VLOOKUP($D5,'Visu totale'!$D:$DH,T$1,0),1)="V",IF(S5&gt;=INDEX('[1]Définition Maintenances'!$G:$G,MATCH($A5,'[1]Définition Maintenances'!$K:$K,0)),S5,INDEX('[1]Définition Maintenances'!$G:$G,MATCH($A5,'[1]Définition Maintenances'!$K:$K,0))+S5),S5))</f>
        <v>548</v>
      </c>
      <c r="U5" s="26">
        <f>IF(ISNUMBER(VLOOKUP($D5,'Visu totale'!$D:$DH,U$1,0)),T5-VLOOKUP($D5,'Visu totale'!$D:$DH,U$1,0),IF(LEFT(VLOOKUP($D5,'Visu totale'!$D:$DH,U$1,0),1)="V",IF(T5&gt;=INDEX('[1]Définition Maintenances'!$G:$G,MATCH($A5,'[1]Définition Maintenances'!$K:$K,0)),T5,INDEX('[1]Définition Maintenances'!$G:$G,MATCH($A5,'[1]Définition Maintenances'!$K:$K,0))+T5),T5))</f>
        <v>548</v>
      </c>
      <c r="V5" s="26">
        <f>IF(ISNUMBER(VLOOKUP($D5,'Visu totale'!$D:$DH,V$1,0)),U5-VLOOKUP($D5,'Visu totale'!$D:$DH,V$1,0),IF(LEFT(VLOOKUP($D5,'Visu totale'!$D:$DH,V$1,0),1)="V",IF(U5&gt;=INDEX('[1]Définition Maintenances'!$G:$G,MATCH($A5,'[1]Définition Maintenances'!$K:$K,0)),U5,INDEX('[1]Définition Maintenances'!$G:$G,MATCH($A5,'[1]Définition Maintenances'!$K:$K,0))+U5),U5))</f>
        <v>548</v>
      </c>
      <c r="W5" s="26">
        <f>IF(ISNUMBER(VLOOKUP($D5,'Visu totale'!$D:$DH,W$1,0)),V5-VLOOKUP($D5,'Visu totale'!$D:$DH,W$1,0),IF(LEFT(VLOOKUP($D5,'Visu totale'!$D:$DH,W$1,0),1)="V",IF(V5&gt;=INDEX('[1]Définition Maintenances'!$G:$G,MATCH($A5,'[1]Définition Maintenances'!$K:$K,0)),V5,INDEX('[1]Définition Maintenances'!$G:$G,MATCH($A5,'[1]Définition Maintenances'!$K:$K,0))+V5),V5))</f>
        <v>548</v>
      </c>
      <c r="X5" s="26">
        <f>IF(ISNUMBER(VLOOKUP($D5,'Visu totale'!$D:$DH,X$1,0)),W5-VLOOKUP($D5,'Visu totale'!$D:$DH,X$1,0),IF(LEFT(VLOOKUP($D5,'Visu totale'!$D:$DH,X$1,0),1)="V",IF(W5&gt;=INDEX('[1]Définition Maintenances'!$G:$G,MATCH($A5,'[1]Définition Maintenances'!$K:$K,0)),W5,INDEX('[1]Définition Maintenances'!$G:$G,MATCH($A5,'[1]Définition Maintenances'!$K:$K,0))+W5),W5))</f>
        <v>548</v>
      </c>
      <c r="Y5" s="26">
        <f>IF(ISNUMBER(VLOOKUP($D5,'Visu totale'!$D:$DH,Y$1,0)),X5-VLOOKUP($D5,'Visu totale'!$D:$DH,Y$1,0),IF(LEFT(VLOOKUP($D5,'Visu totale'!$D:$DH,Y$1,0),1)="V",IF(X5&gt;=INDEX('[1]Définition Maintenances'!$G:$G,MATCH($A5,'[1]Définition Maintenances'!$K:$K,0)),X5,INDEX('[1]Définition Maintenances'!$G:$G,MATCH($A5,'[1]Définition Maintenances'!$K:$K,0))+X5),X5))</f>
        <v>548</v>
      </c>
      <c r="Z5" s="26">
        <f>IF(ISNUMBER(VLOOKUP($D5,'Visu totale'!$D:$DH,Z$1,0)),Y5-VLOOKUP($D5,'Visu totale'!$D:$DH,Z$1,0),IF(LEFT(VLOOKUP($D5,'Visu totale'!$D:$DH,Z$1,0),1)="V",IF(Y5&gt;=INDEX('[1]Définition Maintenances'!$G:$G,MATCH($A5,'[1]Définition Maintenances'!$K:$K,0)),Y5,INDEX('[1]Définition Maintenances'!$G:$G,MATCH($A5,'[1]Définition Maintenances'!$K:$K,0))+Y5),Y5))</f>
        <v>548</v>
      </c>
      <c r="AA5" s="26">
        <f>IF(ISNUMBER(VLOOKUP($D5,'Visu totale'!$D:$DH,AA$1,0)),Z5-VLOOKUP($D5,'Visu totale'!$D:$DH,AA$1,0),IF(LEFT(VLOOKUP($D5,'Visu totale'!$D:$DH,AA$1,0),1)="V",IF(Z5&gt;=INDEX('[1]Définition Maintenances'!$G:$G,MATCH($A5,'[1]Définition Maintenances'!$K:$K,0)),Z5,INDEX('[1]Définition Maintenances'!$G:$G,MATCH($A5,'[1]Définition Maintenances'!$K:$K,0))+Z5),Z5))</f>
        <v>548</v>
      </c>
      <c r="AB5" s="26">
        <f>IF(ISNUMBER(VLOOKUP($D5,'Visu totale'!$D:$DH,AB$1,0)),AA5-VLOOKUP($D5,'Visu totale'!$D:$DH,AB$1,0),IF(LEFT(VLOOKUP($D5,'Visu totale'!$D:$DH,AB$1,0),1)="V",IF(AA5&gt;=INDEX('[1]Définition Maintenances'!$G:$G,MATCH($A5,'[1]Définition Maintenances'!$K:$K,0)),AA5,INDEX('[1]Définition Maintenances'!$G:$G,MATCH($A5,'[1]Définition Maintenances'!$K:$K,0))+AA5),AA5))</f>
        <v>548</v>
      </c>
      <c r="AC5" s="27">
        <f>IF(ISNUMBER(VLOOKUP($D5,'Visu totale'!$D:$DH,AC$1,0)),AB5-VLOOKUP($D5,'Visu totale'!$D:$DH,AC$1,0),IF(LEFT(VLOOKUP($D5,'Visu totale'!$D:$DH,AC$1,0),1)="V",IF(AB5&gt;=INDEX('[1]Définition Maintenances'!$G:$G,MATCH($A5,'[1]Définition Maintenances'!$K:$K,0)),AB5,INDEX('[1]Définition Maintenances'!$G:$G,MATCH($A5,'[1]Définition Maintenances'!$K:$K,0))+AB5),AB5))</f>
        <v>548</v>
      </c>
      <c r="AD5" s="25">
        <f>IF(ISNUMBER(VLOOKUP($D5,'Visu totale'!$D:$DH,AD$1,0)),AC5-VLOOKUP($D5,'Visu totale'!$D:$DH,AD$1,0),IF(LEFT(VLOOKUP($D5,'Visu totale'!$D:$DH,AD$1,0),1)="V",IF(AC5&gt;=INDEX('[1]Définition Maintenances'!$G:$G,MATCH($A5,'[1]Définition Maintenances'!$K:$K,0)),AC5,INDEX('[1]Définition Maintenances'!$G:$G,MATCH($A5,'[1]Définition Maintenances'!$K:$K,0))+AC5),AC5))</f>
        <v>548</v>
      </c>
      <c r="AE5" s="26">
        <f>IF(ISNUMBER(VLOOKUP($D5,'Visu totale'!$D:$DH,AE$1,0)),AD5-VLOOKUP($D5,'Visu totale'!$D:$DH,AE$1,0),IF(LEFT(VLOOKUP($D5,'Visu totale'!$D:$DH,AE$1,0),1)="V",IF(AD5&gt;=INDEX('[1]Définition Maintenances'!$G:$G,MATCH($A5,'[1]Définition Maintenances'!$K:$K,0)),AD5,INDEX('[1]Définition Maintenances'!$G:$G,MATCH($A5,'[1]Définition Maintenances'!$K:$K,0))+AD5),AD5))</f>
        <v>548</v>
      </c>
      <c r="AF5" s="26">
        <f>IF(ISNUMBER(VLOOKUP($D5,'Visu totale'!$D:$DH,AF$1,0)),AE5-VLOOKUP($D5,'Visu totale'!$D:$DH,AF$1,0),IF(LEFT(VLOOKUP($D5,'Visu totale'!$D:$DH,AF$1,0),1)="V",IF(AE5&gt;=INDEX('[1]Définition Maintenances'!$G:$G,MATCH($A5,'[1]Définition Maintenances'!$K:$K,0)),AE5,INDEX('[1]Définition Maintenances'!$G:$G,MATCH($A5,'[1]Définition Maintenances'!$K:$K,0))+AE5),AE5))</f>
        <v>548</v>
      </c>
      <c r="AG5" s="26">
        <f>IF(ISNUMBER(VLOOKUP($D5,'Visu totale'!$D:$DH,AG$1,0)),AF5-VLOOKUP($D5,'Visu totale'!$D:$DH,AG$1,0),IF(LEFT(VLOOKUP($D5,'Visu totale'!$D:$DH,AG$1,0),1)="V",IF(AF5&gt;=INDEX('[1]Définition Maintenances'!$G:$G,MATCH($A5,'[1]Définition Maintenances'!$K:$K,0)),AF5,INDEX('[1]Définition Maintenances'!$G:$G,MATCH($A5,'[1]Définition Maintenances'!$K:$K,0))+AF5),AF5))</f>
        <v>548</v>
      </c>
      <c r="AH5" s="26">
        <f>IF(ISNUMBER(VLOOKUP($D5,'Visu totale'!$D:$DH,AH$1,0)),AG5-VLOOKUP($D5,'Visu totale'!$D:$DH,AH$1,0),IF(LEFT(VLOOKUP($D5,'Visu totale'!$D:$DH,AH$1,0),1)="V",IF(AG5&gt;=INDEX('[1]Définition Maintenances'!$G:$G,MATCH($A5,'[1]Définition Maintenances'!$K:$K,0)),AG5,INDEX('[1]Définition Maintenances'!$G:$G,MATCH($A5,'[1]Définition Maintenances'!$K:$K,0))+AG5),AG5))</f>
        <v>548</v>
      </c>
      <c r="AI5" s="26">
        <f>IF(ISNUMBER(VLOOKUP($D5,'Visu totale'!$D:$DH,AI$1,0)),AH5-VLOOKUP($D5,'Visu totale'!$D:$DH,AI$1,0),IF(LEFT(VLOOKUP($D5,'Visu totale'!$D:$DH,AI$1,0),1)="V",IF(AH5&gt;=INDEX('[1]Définition Maintenances'!$G:$G,MATCH($A5,'[1]Définition Maintenances'!$K:$K,0)),AH5,INDEX('[1]Définition Maintenances'!$G:$G,MATCH($A5,'[1]Définition Maintenances'!$K:$K,0))+AH5),AH5))</f>
        <v>548</v>
      </c>
      <c r="AJ5" s="26">
        <f>IF(ISNUMBER(VLOOKUP($D5,'Visu totale'!$D:$DH,AJ$1,0)),AI5-VLOOKUP($D5,'Visu totale'!$D:$DH,AJ$1,0),IF(LEFT(VLOOKUP($D5,'Visu totale'!$D:$DH,AJ$1,0),1)="V",IF(AI5&gt;=INDEX('[1]Définition Maintenances'!$G:$G,MATCH($A5,'[1]Définition Maintenances'!$K:$K,0)),AI5,INDEX('[1]Définition Maintenances'!$G:$G,MATCH($A5,'[1]Définition Maintenances'!$K:$K,0))+AI5),AI5))</f>
        <v>548</v>
      </c>
      <c r="AK5" s="26">
        <f>IF(ISNUMBER(VLOOKUP($D5,'Visu totale'!$D:$DH,AK$1,0)),AJ5-VLOOKUP($D5,'Visu totale'!$D:$DH,AK$1,0),IF(LEFT(VLOOKUP($D5,'Visu totale'!$D:$DH,AK$1,0),1)="V",IF(AJ5&gt;=INDEX('[1]Définition Maintenances'!$G:$G,MATCH($A5,'[1]Définition Maintenances'!$K:$K,0)),AJ5,INDEX('[1]Définition Maintenances'!$G:$G,MATCH($A5,'[1]Définition Maintenances'!$K:$K,0))+AJ5),AJ5))</f>
        <v>548</v>
      </c>
      <c r="AL5" s="26">
        <f>IF(ISNUMBER(VLOOKUP($D5,'Visu totale'!$D:$DH,AL$1,0)),AK5-VLOOKUP($D5,'Visu totale'!$D:$DH,AL$1,0),IF(LEFT(VLOOKUP($D5,'Visu totale'!$D:$DH,AL$1,0),1)="V",IF(AK5&gt;=INDEX('[1]Définition Maintenances'!$G:$G,MATCH($A5,'[1]Définition Maintenances'!$K:$K,0)),AK5,INDEX('[1]Définition Maintenances'!$G:$G,MATCH($A5,'[1]Définition Maintenances'!$K:$K,0))+AK5),AK5))</f>
        <v>548</v>
      </c>
      <c r="AM5" s="26">
        <f>IF(ISNUMBER(VLOOKUP($D5,'Visu totale'!$D:$DH,AM$1,0)),AL5-VLOOKUP($D5,'Visu totale'!$D:$DH,AM$1,0),IF(LEFT(VLOOKUP($D5,'Visu totale'!$D:$DH,AM$1,0),1)="V",IF(AL5&gt;=INDEX('[1]Définition Maintenances'!$G:$G,MATCH($A5,'[1]Définition Maintenances'!$K:$K,0)),AL5,INDEX('[1]Définition Maintenances'!$G:$G,MATCH($A5,'[1]Définition Maintenances'!$K:$K,0))+AL5),AL5))</f>
        <v>548</v>
      </c>
      <c r="AN5" s="26">
        <f>IF(ISNUMBER(VLOOKUP($D5,'Visu totale'!$D:$DH,AN$1,0)),AM5-VLOOKUP($D5,'Visu totale'!$D:$DH,AN$1,0),IF(LEFT(VLOOKUP($D5,'Visu totale'!$D:$DH,AN$1,0),1)="V",IF(AM5&gt;=INDEX('[1]Définition Maintenances'!$G:$G,MATCH($A5,'[1]Définition Maintenances'!$K:$K,0)),AM5,INDEX('[1]Définition Maintenances'!$G:$G,MATCH($A5,'[1]Définition Maintenances'!$K:$K,0))+AM5),AM5))</f>
        <v>548</v>
      </c>
      <c r="AO5" s="27">
        <f>IF(ISNUMBER(VLOOKUP($D5,'Visu totale'!$D:$DH,AO$1,0)),AN5-VLOOKUP($D5,'Visu totale'!$D:$DH,AO$1,0),IF(LEFT(VLOOKUP($D5,'Visu totale'!$D:$DH,AO$1,0),1)="V",IF(AN5&gt;=INDEX('[1]Définition Maintenances'!$G:$G,MATCH($A5,'[1]Définition Maintenances'!$K:$K,0)),AN5,INDEX('[1]Définition Maintenances'!$G:$G,MATCH($A5,'[1]Définition Maintenances'!$K:$K,0))+AN5),AN5))</f>
        <v>548</v>
      </c>
      <c r="AP5" s="25">
        <f>IF(ISNUMBER(VLOOKUP($D5,'Visu totale'!$D:$DH,AP$1,0)),AO5-VLOOKUP($D5,'Visu totale'!$D:$DH,AP$1,0),IF(LEFT(VLOOKUP($D5,'Visu totale'!$D:$DH,AP$1,0),1)="V",IF(AO5&gt;=INDEX('[1]Définition Maintenances'!$G:$G,MATCH($A5,'[1]Définition Maintenances'!$K:$K,0)),AO5,INDEX('[1]Définition Maintenances'!$G:$G,MATCH($A5,'[1]Définition Maintenances'!$K:$K,0))+AO5),AO5))</f>
        <v>548</v>
      </c>
      <c r="AQ5" s="26">
        <f>IF(ISNUMBER(VLOOKUP($D5,'Visu totale'!$D:$DH,AQ$1,0)),AP5-VLOOKUP($D5,'Visu totale'!$D:$DH,AQ$1,0),IF(LEFT(VLOOKUP($D5,'Visu totale'!$D:$DH,AQ$1,0),1)="V",IF(AP5&gt;=INDEX('[1]Définition Maintenances'!$G:$G,MATCH($A5,'[1]Définition Maintenances'!$K:$K,0)),AP5,INDEX('[1]Définition Maintenances'!$G:$G,MATCH($A5,'[1]Définition Maintenances'!$K:$K,0))+AP5),AP5))</f>
        <v>548</v>
      </c>
      <c r="AR5" s="26">
        <f>IF(ISNUMBER(VLOOKUP($D5,'Visu totale'!$D:$DH,AR$1,0)),AQ5-VLOOKUP($D5,'Visu totale'!$D:$DH,AR$1,0),IF(LEFT(VLOOKUP($D5,'Visu totale'!$D:$DH,AR$1,0),1)="V",IF(AQ5&gt;=INDEX('[1]Définition Maintenances'!$G:$G,MATCH($A5,'[1]Définition Maintenances'!$K:$K,0)),AQ5,INDEX('[1]Définition Maintenances'!$G:$G,MATCH($A5,'[1]Définition Maintenances'!$K:$K,0))+AQ5),AQ5))</f>
        <v>548</v>
      </c>
      <c r="AS5" s="26">
        <f>IF(ISNUMBER(VLOOKUP($D5,'Visu totale'!$D:$DH,AS$1,0)),AR5-VLOOKUP($D5,'Visu totale'!$D:$DH,AS$1,0),IF(LEFT(VLOOKUP($D5,'Visu totale'!$D:$DH,AS$1,0),1)="V",IF(AR5&gt;=INDEX('[1]Définition Maintenances'!$G:$G,MATCH($A5,'[1]Définition Maintenances'!$K:$K,0)),AR5,INDEX('[1]Définition Maintenances'!$G:$G,MATCH($A5,'[1]Définition Maintenances'!$K:$K,0))+AR5),AR5))</f>
        <v>548</v>
      </c>
      <c r="AT5" s="26">
        <f>IF(ISNUMBER(VLOOKUP($D5,'Visu totale'!$D:$DH,AT$1,0)),AS5-VLOOKUP($D5,'Visu totale'!$D:$DH,AT$1,0),IF(LEFT(VLOOKUP($D5,'Visu totale'!$D:$DH,AT$1,0),1)="V",IF(AS5&gt;=INDEX('[1]Définition Maintenances'!$G:$G,MATCH($A5,'[1]Définition Maintenances'!$K:$K,0)),AS5,INDEX('[1]Définition Maintenances'!$G:$G,MATCH($A5,'[1]Définition Maintenances'!$K:$K,0))+AS5),AS5))</f>
        <v>548</v>
      </c>
      <c r="AU5" s="26">
        <f>IF(ISNUMBER(VLOOKUP($D5,'Visu totale'!$D:$DH,AU$1,0)),AT5-VLOOKUP($D5,'Visu totale'!$D:$DH,AU$1,0),IF(LEFT(VLOOKUP($D5,'Visu totale'!$D:$DH,AU$1,0),1)="V",IF(AT5&gt;=INDEX('[1]Définition Maintenances'!$G:$G,MATCH($A5,'[1]Définition Maintenances'!$K:$K,0)),AT5,INDEX('[1]Définition Maintenances'!$G:$G,MATCH($A5,'[1]Définition Maintenances'!$K:$K,0))+AT5),AT5))</f>
        <v>548</v>
      </c>
      <c r="AV5" s="26">
        <f>IF(ISNUMBER(VLOOKUP($D5,'Visu totale'!$D:$DH,AV$1,0)),AU5-VLOOKUP($D5,'Visu totale'!$D:$DH,AV$1,0),IF(LEFT(VLOOKUP($D5,'Visu totale'!$D:$DH,AV$1,0),1)="V",IF(AU5&gt;=INDEX('[1]Définition Maintenances'!$G:$G,MATCH($A5,'[1]Définition Maintenances'!$K:$K,0)),AU5,INDEX('[1]Définition Maintenances'!$G:$G,MATCH($A5,'[1]Définition Maintenances'!$K:$K,0))+AU5),AU5))</f>
        <v>548</v>
      </c>
      <c r="AW5" s="26">
        <f>IF(ISNUMBER(VLOOKUP($D5,'Visu totale'!$D:$DH,AW$1,0)),AV5-VLOOKUP($D5,'Visu totale'!$D:$DH,AW$1,0),IF(LEFT(VLOOKUP($D5,'Visu totale'!$D:$DH,AW$1,0),1)="V",IF(AV5&gt;=INDEX('[1]Définition Maintenances'!$G:$G,MATCH($A5,'[1]Définition Maintenances'!$K:$K,0)),AV5,INDEX('[1]Définition Maintenances'!$G:$G,MATCH($A5,'[1]Définition Maintenances'!$K:$K,0))+AV5),AV5))</f>
        <v>548</v>
      </c>
      <c r="AX5" s="26">
        <f>IF(ISNUMBER(VLOOKUP($D5,'Visu totale'!$D:$DH,AX$1,0)),AW5-VLOOKUP($D5,'Visu totale'!$D:$DH,AX$1,0),IF(LEFT(VLOOKUP($D5,'Visu totale'!$D:$DH,AX$1,0),1)="V",IF(AW5&gt;=INDEX('[1]Définition Maintenances'!$G:$G,MATCH($A5,'[1]Définition Maintenances'!$K:$K,0)),AW5,INDEX('[1]Définition Maintenances'!$G:$G,MATCH($A5,'[1]Définition Maintenances'!$K:$K,0))+AW5),AW5))</f>
        <v>548</v>
      </c>
      <c r="AY5" s="26">
        <f>IF(ISNUMBER(VLOOKUP($D5,'Visu totale'!$D:$DH,AY$1,0)),AX5-VLOOKUP($D5,'Visu totale'!$D:$DH,AY$1,0),IF(LEFT(VLOOKUP($D5,'Visu totale'!$D:$DH,AY$1,0),1)="V",IF(AX5&gt;=INDEX('[1]Définition Maintenances'!$G:$G,MATCH($A5,'[1]Définition Maintenances'!$K:$K,0)),AX5,INDEX('[1]Définition Maintenances'!$G:$G,MATCH($A5,'[1]Définition Maintenances'!$K:$K,0))+AX5),AX5))</f>
        <v>548</v>
      </c>
      <c r="AZ5" s="26">
        <f>IF(ISNUMBER(VLOOKUP($D5,'Visu totale'!$D:$DH,AZ$1,0)),AY5-VLOOKUP($D5,'Visu totale'!$D:$DH,AZ$1,0),IF(LEFT(VLOOKUP($D5,'Visu totale'!$D:$DH,AZ$1,0),1)="V",IF(AY5&gt;=INDEX('[1]Définition Maintenances'!$G:$G,MATCH($A5,'[1]Définition Maintenances'!$K:$K,0)),AY5,INDEX('[1]Définition Maintenances'!$G:$G,MATCH($A5,'[1]Définition Maintenances'!$K:$K,0))+AY5),AY5))</f>
        <v>548</v>
      </c>
      <c r="BA5" s="27">
        <f>IF(ISNUMBER(VLOOKUP($D5,'Visu totale'!$D:$DH,BA$1,0)),AZ5-VLOOKUP($D5,'Visu totale'!$D:$DH,BA$1,0),IF(LEFT(VLOOKUP($D5,'Visu totale'!$D:$DH,BA$1,0),1)="V",IF(AZ5&gt;=INDEX('[1]Définition Maintenances'!$G:$G,MATCH($A5,'[1]Définition Maintenances'!$K:$K,0)),AZ5,INDEX('[1]Définition Maintenances'!$G:$G,MATCH($A5,'[1]Définition Maintenances'!$K:$K,0))+AZ5),AZ5))</f>
        <v>548</v>
      </c>
      <c r="BB5" s="25">
        <f>IF(ISNUMBER(VLOOKUP($D5,'Visu totale'!$D:$DH,BB$1,0)),BA5-VLOOKUP($D5,'Visu totale'!$D:$DH,BB$1,0),IF(LEFT(VLOOKUP($D5,'Visu totale'!$D:$DH,BB$1,0),1)="V",IF(BA5&gt;=INDEX('[1]Définition Maintenances'!$G:$G,MATCH($A5,'[1]Définition Maintenances'!$K:$K,0)),BA5,INDEX('[1]Définition Maintenances'!$G:$G,MATCH($A5,'[1]Définition Maintenances'!$K:$K,0))+BA5),BA5))</f>
        <v>548</v>
      </c>
      <c r="BC5" s="26">
        <f>IF(ISNUMBER(VLOOKUP($D5,'Visu totale'!$D:$DH,BC$1,0)),BB5-VLOOKUP($D5,'Visu totale'!$D:$DH,BC$1,0),IF(LEFT(VLOOKUP($D5,'Visu totale'!$D:$DH,BC$1,0),1)="V",IF(BB5&gt;=INDEX('[1]Définition Maintenances'!$G:$G,MATCH($A5,'[1]Définition Maintenances'!$K:$K,0)),BB5,INDEX('[1]Définition Maintenances'!$G:$G,MATCH($A5,'[1]Définition Maintenances'!$K:$K,0))+BB5),BB5))</f>
        <v>548</v>
      </c>
      <c r="BD5" s="26">
        <f>IF(ISNUMBER(VLOOKUP($D5,'Visu totale'!$D:$DH,BD$1,0)),BC5-VLOOKUP($D5,'Visu totale'!$D:$DH,BD$1,0),IF(LEFT(VLOOKUP($D5,'Visu totale'!$D:$DH,BD$1,0),1)="V",IF(BC5&gt;=INDEX('[1]Définition Maintenances'!$G:$G,MATCH($A5,'[1]Définition Maintenances'!$K:$K,0)),BC5,INDEX('[1]Définition Maintenances'!$G:$G,MATCH($A5,'[1]Définition Maintenances'!$K:$K,0))+BC5),BC5))</f>
        <v>548</v>
      </c>
      <c r="BE5" s="26">
        <f>IF(ISNUMBER(VLOOKUP($D5,'Visu totale'!$D:$DH,BE$1,0)),BD5-VLOOKUP($D5,'Visu totale'!$D:$DH,BE$1,0),IF(LEFT(VLOOKUP($D5,'Visu totale'!$D:$DH,BE$1,0),1)="V",IF(BD5&gt;=INDEX('[1]Définition Maintenances'!$G:$G,MATCH($A5,'[1]Définition Maintenances'!$K:$K,0)),BD5,INDEX('[1]Définition Maintenances'!$G:$G,MATCH($A5,'[1]Définition Maintenances'!$K:$K,0))+BD5),BD5))</f>
        <v>548</v>
      </c>
      <c r="BF5" s="26">
        <f>IF(ISNUMBER(VLOOKUP($D5,'Visu totale'!$D:$DH,BF$1,0)),BE5-VLOOKUP($D5,'Visu totale'!$D:$DH,BF$1,0),IF(LEFT(VLOOKUP($D5,'Visu totale'!$D:$DH,BF$1,0),1)="V",IF(BE5&gt;=INDEX('[1]Définition Maintenances'!$G:$G,MATCH($A5,'[1]Définition Maintenances'!$K:$K,0)),BE5,INDEX('[1]Définition Maintenances'!$G:$G,MATCH($A5,'[1]Définition Maintenances'!$K:$K,0))+BE5),BE5))</f>
        <v>548</v>
      </c>
      <c r="BG5" s="26">
        <f>IF(ISNUMBER(VLOOKUP($D5,'Visu totale'!$D:$DH,BG$1,0)),BF5-VLOOKUP($D5,'Visu totale'!$D:$DH,BG$1,0),IF(LEFT(VLOOKUP($D5,'Visu totale'!$D:$DH,BG$1,0),1)="V",IF(BF5&gt;=INDEX('[1]Définition Maintenances'!$G:$G,MATCH($A5,'[1]Définition Maintenances'!$K:$K,0)),BF5,INDEX('[1]Définition Maintenances'!$G:$G,MATCH($A5,'[1]Définition Maintenances'!$K:$K,0))+BF5),BF5))</f>
        <v>548</v>
      </c>
      <c r="BH5" s="26">
        <f>IF(ISNUMBER(VLOOKUP($D5,'Visu totale'!$D:$DH,BH$1,0)),BG5-VLOOKUP($D5,'Visu totale'!$D:$DH,BH$1,0),IF(LEFT(VLOOKUP($D5,'Visu totale'!$D:$DH,BH$1,0),1)="V",IF(BG5&gt;=INDEX('[1]Définition Maintenances'!$G:$G,MATCH($A5,'[1]Définition Maintenances'!$K:$K,0)),BG5,INDEX('[1]Définition Maintenances'!$G:$G,MATCH($A5,'[1]Définition Maintenances'!$K:$K,0))+BG5),BG5))</f>
        <v>548</v>
      </c>
      <c r="BI5" s="26">
        <f>IF(ISNUMBER(VLOOKUP($D5,'Visu totale'!$D:$DH,BI$1,0)),BH5-VLOOKUP($D5,'Visu totale'!$D:$DH,BI$1,0),IF(LEFT(VLOOKUP($D5,'Visu totale'!$D:$DH,BI$1,0),1)="V",IF(BH5&gt;=INDEX('[1]Définition Maintenances'!$G:$G,MATCH($A5,'[1]Définition Maintenances'!$K:$K,0)),BH5,INDEX('[1]Définition Maintenances'!$G:$G,MATCH($A5,'[1]Définition Maintenances'!$K:$K,0))+BH5),BH5))</f>
        <v>548</v>
      </c>
      <c r="BJ5" s="26">
        <f>IF(ISNUMBER(VLOOKUP($D5,'Visu totale'!$D:$DH,BJ$1,0)),BI5-VLOOKUP($D5,'Visu totale'!$D:$DH,BJ$1,0),IF(LEFT(VLOOKUP($D5,'Visu totale'!$D:$DH,BJ$1,0),1)="V",IF(BI5&gt;=INDEX('[1]Définition Maintenances'!$G:$G,MATCH($A5,'[1]Définition Maintenances'!$K:$K,0)),BI5,INDEX('[1]Définition Maintenances'!$G:$G,MATCH($A5,'[1]Définition Maintenances'!$K:$K,0))+BI5),BI5))</f>
        <v>548</v>
      </c>
      <c r="BK5" s="26">
        <f>IF(ISNUMBER(VLOOKUP($D5,'Visu totale'!$D:$DH,BK$1,0)),BJ5-VLOOKUP($D5,'Visu totale'!$D:$DH,BK$1,0),IF(LEFT(VLOOKUP($D5,'Visu totale'!$D:$DH,BK$1,0),1)="V",IF(BJ5&gt;=INDEX('[1]Définition Maintenances'!$G:$G,MATCH($A5,'[1]Définition Maintenances'!$K:$K,0)),BJ5,INDEX('[1]Définition Maintenances'!$G:$G,MATCH($A5,'[1]Définition Maintenances'!$K:$K,0))+BJ5),BJ5))</f>
        <v>548</v>
      </c>
      <c r="BL5" s="26">
        <f>IF(ISNUMBER(VLOOKUP($D5,'Visu totale'!$D:$DH,BL$1,0)),BK5-VLOOKUP($D5,'Visu totale'!$D:$DH,BL$1,0),IF(LEFT(VLOOKUP($D5,'Visu totale'!$D:$DH,BL$1,0),1)="V",IF(BK5&gt;=INDEX('[1]Définition Maintenances'!$G:$G,MATCH($A5,'[1]Définition Maintenances'!$K:$K,0)),BK5,INDEX('[1]Définition Maintenances'!$G:$G,MATCH($A5,'[1]Définition Maintenances'!$K:$K,0))+BK5),BK5))</f>
        <v>548</v>
      </c>
      <c r="BM5" s="27">
        <f>IF(ISNUMBER(VLOOKUP($D5,'Visu totale'!$D:$DH,BM$1,0)),BL5-VLOOKUP($D5,'Visu totale'!$D:$DH,BM$1,0),IF(LEFT(VLOOKUP($D5,'Visu totale'!$D:$DH,BM$1,0),1)="V",IF(BL5&gt;=INDEX('[1]Définition Maintenances'!$G:$G,MATCH($A5,'[1]Définition Maintenances'!$K:$K,0)),BL5,INDEX('[1]Définition Maintenances'!$G:$G,MATCH($A5,'[1]Définition Maintenances'!$K:$K,0))+BL5),BL5))</f>
        <v>548</v>
      </c>
      <c r="BN5" s="25">
        <f>IF(ISNUMBER(VLOOKUP($D5,'Visu totale'!$D:$DH,BN$1,0)),BM5-VLOOKUP($D5,'Visu totale'!$D:$DH,BN$1,0),IF(LEFT(VLOOKUP($D5,'Visu totale'!$D:$DH,BN$1,0),1)="V",IF(BM5&gt;=INDEX('[1]Définition Maintenances'!$G:$G,MATCH($A5,'[1]Définition Maintenances'!$K:$K,0)),BM5,INDEX('[1]Définition Maintenances'!$G:$G,MATCH($A5,'[1]Définition Maintenances'!$K:$K,0))+BM5),BM5))</f>
        <v>548</v>
      </c>
      <c r="BO5" s="26">
        <f>IF(ISNUMBER(VLOOKUP($D5,'Visu totale'!$D:$DH,BO$1,0)),BN5-VLOOKUP($D5,'Visu totale'!$D:$DH,BO$1,0),IF(LEFT(VLOOKUP($D5,'Visu totale'!$D:$DH,BO$1,0),1)="V",IF(BN5&gt;=INDEX('[1]Définition Maintenances'!$G:$G,MATCH($A5,'[1]Définition Maintenances'!$K:$K,0)),BN5,INDEX('[1]Définition Maintenances'!$G:$G,MATCH($A5,'[1]Définition Maintenances'!$K:$K,0))+BN5),BN5))</f>
        <v>548</v>
      </c>
      <c r="BP5" s="26">
        <f>IF(ISNUMBER(VLOOKUP($D5,'Visu totale'!$D:$DH,BP$1,0)),BO5-VLOOKUP($D5,'Visu totale'!$D:$DH,BP$1,0),IF(LEFT(VLOOKUP($D5,'Visu totale'!$D:$DH,BP$1,0),1)="V",IF(BO5&gt;=INDEX('[1]Définition Maintenances'!$G:$G,MATCH($A5,'[1]Définition Maintenances'!$K:$K,0)),BO5,INDEX('[1]Définition Maintenances'!$G:$G,MATCH($A5,'[1]Définition Maintenances'!$K:$K,0))+BO5),BO5))</f>
        <v>548</v>
      </c>
      <c r="BQ5" s="26">
        <f>IF(ISNUMBER(VLOOKUP($D5,'Visu totale'!$D:$DH,BQ$1,0)),BP5-VLOOKUP($D5,'Visu totale'!$D:$DH,BQ$1,0),IF(LEFT(VLOOKUP($D5,'Visu totale'!$D:$DH,BQ$1,0),1)="V",IF(BP5&gt;=INDEX('[1]Définition Maintenances'!$G:$G,MATCH($A5,'[1]Définition Maintenances'!$K:$K,0)),BP5,INDEX('[1]Définition Maintenances'!$G:$G,MATCH($A5,'[1]Définition Maintenances'!$K:$K,0))+BP5),BP5))</f>
        <v>548</v>
      </c>
      <c r="BR5" s="26">
        <f>IF(ISNUMBER(VLOOKUP($D5,'Visu totale'!$D:$DH,BR$1,0)),BQ5-VLOOKUP($D5,'Visu totale'!$D:$DH,BR$1,0),IF(LEFT(VLOOKUP($D5,'Visu totale'!$D:$DH,BR$1,0),1)="V",IF(BQ5&gt;=INDEX('[1]Définition Maintenances'!$G:$G,MATCH($A5,'[1]Définition Maintenances'!$K:$K,0)),BQ5,INDEX('[1]Définition Maintenances'!$G:$G,MATCH($A5,'[1]Définition Maintenances'!$K:$K,0))+BQ5),BQ5))</f>
        <v>548</v>
      </c>
      <c r="BS5" s="26">
        <f>IF(ISNUMBER(VLOOKUP($D5,'Visu totale'!$D:$DH,BS$1,0)),BR5-VLOOKUP($D5,'Visu totale'!$D:$DH,BS$1,0),IF(LEFT(VLOOKUP($D5,'Visu totale'!$D:$DH,BS$1,0),1)="V",IF(BR5&gt;=INDEX('[1]Définition Maintenances'!$G:$G,MATCH($A5,'[1]Définition Maintenances'!$K:$K,0)),BR5,INDEX('[1]Définition Maintenances'!$G:$G,MATCH($A5,'[1]Définition Maintenances'!$K:$K,0))+BR5),BR5))</f>
        <v>548</v>
      </c>
      <c r="BT5" s="26">
        <f>IF(ISNUMBER(VLOOKUP($D5,'Visu totale'!$D:$DH,BT$1,0)),BS5-VLOOKUP($D5,'Visu totale'!$D:$DH,BT$1,0),IF(LEFT(VLOOKUP($D5,'Visu totale'!$D:$DH,BT$1,0),1)="V",IF(BS5&gt;=INDEX('[1]Définition Maintenances'!$G:$G,MATCH($A5,'[1]Définition Maintenances'!$K:$K,0)),BS5,INDEX('[1]Définition Maintenances'!$G:$G,MATCH($A5,'[1]Définition Maintenances'!$K:$K,0))+BS5),BS5))</f>
        <v>548</v>
      </c>
      <c r="BU5" s="26">
        <f>IF(ISNUMBER(VLOOKUP($D5,'Visu totale'!$D:$DH,BU$1,0)),BT5-VLOOKUP($D5,'Visu totale'!$D:$DH,BU$1,0),IF(LEFT(VLOOKUP($D5,'Visu totale'!$D:$DH,BU$1,0),1)="V",IF(BT5&gt;=INDEX('[1]Définition Maintenances'!$G:$G,MATCH($A5,'[1]Définition Maintenances'!$K:$K,0)),BT5,INDEX('[1]Définition Maintenances'!$G:$G,MATCH($A5,'[1]Définition Maintenances'!$K:$K,0))+BT5),BT5))</f>
        <v>548</v>
      </c>
      <c r="BV5" s="26">
        <f>IF(ISNUMBER(VLOOKUP($D5,'Visu totale'!$D:$DH,BV$1,0)),BU5-VLOOKUP($D5,'Visu totale'!$D:$DH,BV$1,0),IF(LEFT(VLOOKUP($D5,'Visu totale'!$D:$DH,BV$1,0),1)="V",IF(BU5&gt;=INDEX('[1]Définition Maintenances'!$G:$G,MATCH($A5,'[1]Définition Maintenances'!$K:$K,0)),BU5,INDEX('[1]Définition Maintenances'!$G:$G,MATCH($A5,'[1]Définition Maintenances'!$K:$K,0))+BU5),BU5))</f>
        <v>548</v>
      </c>
      <c r="BW5" s="26">
        <f>IF(ISNUMBER(VLOOKUP($D5,'Visu totale'!$D:$DH,BW$1,0)),BV5-VLOOKUP($D5,'Visu totale'!$D:$DH,BW$1,0),IF(LEFT(VLOOKUP($D5,'Visu totale'!$D:$DH,BW$1,0),1)="V",IF(BV5&gt;=INDEX('[1]Définition Maintenances'!$G:$G,MATCH($A5,'[1]Définition Maintenances'!$K:$K,0)),BV5,INDEX('[1]Définition Maintenances'!$G:$G,MATCH($A5,'[1]Définition Maintenances'!$K:$K,0))+BV5),BV5))</f>
        <v>548</v>
      </c>
      <c r="BX5" s="26">
        <f>IF(ISNUMBER(VLOOKUP($D5,'Visu totale'!$D:$DH,BX$1,0)),BW5-VLOOKUP($D5,'Visu totale'!$D:$DH,BX$1,0),IF(LEFT(VLOOKUP($D5,'Visu totale'!$D:$DH,BX$1,0),1)="V",IF(BW5&gt;=INDEX('[1]Définition Maintenances'!$G:$G,MATCH($A5,'[1]Définition Maintenances'!$K:$K,0)),BW5,INDEX('[1]Définition Maintenances'!$G:$G,MATCH($A5,'[1]Définition Maintenances'!$K:$K,0))+BW5),BW5))</f>
        <v>548</v>
      </c>
      <c r="BY5" s="27">
        <f>IF(ISNUMBER(VLOOKUP($D5,'Visu totale'!$D:$DH,BY$1,0)),BX5-VLOOKUP($D5,'Visu totale'!$D:$DH,BY$1,0),IF(LEFT(VLOOKUP($D5,'Visu totale'!$D:$DH,BY$1,0),1)="V",IF(BX5&gt;=INDEX('[1]Définition Maintenances'!$G:$G,MATCH($A5,'[1]Définition Maintenances'!$K:$K,0)),BX5,INDEX('[1]Définition Maintenances'!$G:$G,MATCH($A5,'[1]Définition Maintenances'!$K:$K,0))+BX5),BX5))</f>
        <v>548</v>
      </c>
      <c r="BZ5" s="25">
        <f>IF(ISNUMBER(VLOOKUP($D5,'Visu totale'!$D:$DH,BZ$1,0)),BY5-VLOOKUP($D5,'Visu totale'!$D:$DH,BZ$1,0),IF(LEFT(VLOOKUP($D5,'Visu totale'!$D:$DH,BZ$1,0),1)="V",IF(BY5&gt;=INDEX('[1]Définition Maintenances'!$G:$G,MATCH($A5,'[1]Définition Maintenances'!$K:$K,0)),BY5,INDEX('[1]Définition Maintenances'!$G:$G,MATCH($A5,'[1]Définition Maintenances'!$K:$K,0))+BY5),BY5))</f>
        <v>548</v>
      </c>
      <c r="CA5" s="26">
        <f>IF(ISNUMBER(VLOOKUP($D5,'Visu totale'!$D:$DH,CA$1,0)),BZ5-VLOOKUP($D5,'Visu totale'!$D:$DH,CA$1,0),IF(LEFT(VLOOKUP($D5,'Visu totale'!$D:$DH,CA$1,0),1)="V",IF(BZ5&gt;=INDEX('[1]Définition Maintenances'!$G:$G,MATCH($A5,'[1]Définition Maintenances'!$K:$K,0)),BZ5,INDEX('[1]Définition Maintenances'!$G:$G,MATCH($A5,'[1]Définition Maintenances'!$K:$K,0))+BZ5),BZ5))</f>
        <v>548</v>
      </c>
      <c r="CB5" s="26">
        <f>IF(ISNUMBER(VLOOKUP($D5,'Visu totale'!$D:$DH,CB$1,0)),CA5-VLOOKUP($D5,'Visu totale'!$D:$DH,CB$1,0),IF(LEFT(VLOOKUP($D5,'Visu totale'!$D:$DH,CB$1,0),1)="V",IF(CA5&gt;=INDEX('[1]Définition Maintenances'!$G:$G,MATCH($A5,'[1]Définition Maintenances'!$K:$K,0)),CA5,INDEX('[1]Définition Maintenances'!$G:$G,MATCH($A5,'[1]Définition Maintenances'!$K:$K,0))+CA5),CA5))</f>
        <v>548</v>
      </c>
      <c r="CC5" s="26">
        <f>IF(ISNUMBER(VLOOKUP($D5,'Visu totale'!$D:$DH,CC$1,0)),CB5-VLOOKUP($D5,'Visu totale'!$D:$DH,CC$1,0),IF(LEFT(VLOOKUP($D5,'Visu totale'!$D:$DH,CC$1,0),1)="V",IF(CB5&gt;=INDEX('[1]Définition Maintenances'!$G:$G,MATCH($A5,'[1]Définition Maintenances'!$K:$K,0)),CB5,INDEX('[1]Définition Maintenances'!$G:$G,MATCH($A5,'[1]Définition Maintenances'!$K:$K,0))+CB5),CB5))</f>
        <v>548</v>
      </c>
      <c r="CD5" s="26">
        <f>IF(ISNUMBER(VLOOKUP($D5,'Visu totale'!$D:$DH,CD$1,0)),CC5-VLOOKUP($D5,'Visu totale'!$D:$DH,CD$1,0),IF(LEFT(VLOOKUP($D5,'Visu totale'!$D:$DH,CD$1,0),1)="V",IF(CC5&gt;=INDEX('[1]Définition Maintenances'!$G:$G,MATCH($A5,'[1]Définition Maintenances'!$K:$K,0)),CC5,INDEX('[1]Définition Maintenances'!$G:$G,MATCH($A5,'[1]Définition Maintenances'!$K:$K,0))+CC5),CC5))</f>
        <v>548</v>
      </c>
      <c r="CE5" s="26">
        <f>IF(ISNUMBER(VLOOKUP($D5,'Visu totale'!$D:$DH,CE$1,0)),CD5-VLOOKUP($D5,'Visu totale'!$D:$DH,CE$1,0),IF(LEFT(VLOOKUP($D5,'Visu totale'!$D:$DH,CE$1,0),1)="V",IF(CD5&gt;=INDEX('[1]Définition Maintenances'!$G:$G,MATCH($A5,'[1]Définition Maintenances'!$K:$K,0)),CD5,INDEX('[1]Définition Maintenances'!$G:$G,MATCH($A5,'[1]Définition Maintenances'!$K:$K,0))+CD5),CD5))</f>
        <v>548</v>
      </c>
      <c r="CF5" s="26">
        <f>IF(ISNUMBER(VLOOKUP($D5,'Visu totale'!$D:$DH,CF$1,0)),CE5-VLOOKUP($D5,'Visu totale'!$D:$DH,CF$1,0),IF(LEFT(VLOOKUP($D5,'Visu totale'!$D:$DH,CF$1,0),1)="V",IF(CE5&gt;=INDEX('[1]Définition Maintenances'!$G:$G,MATCH($A5,'[1]Définition Maintenances'!$K:$K,0)),CE5,INDEX('[1]Définition Maintenances'!$G:$G,MATCH($A5,'[1]Définition Maintenances'!$K:$K,0))+CE5),CE5))</f>
        <v>548</v>
      </c>
      <c r="CG5" s="26">
        <f>IF(ISNUMBER(VLOOKUP($D5,'Visu totale'!$D:$DH,CG$1,0)),CF5-VLOOKUP($D5,'Visu totale'!$D:$DH,CG$1,0),IF(LEFT(VLOOKUP($D5,'Visu totale'!$D:$DH,CG$1,0),1)="V",IF(CF5&gt;=INDEX('[1]Définition Maintenances'!$G:$G,MATCH($A5,'[1]Définition Maintenances'!$K:$K,0)),CF5,INDEX('[1]Définition Maintenances'!$G:$G,MATCH($A5,'[1]Définition Maintenances'!$K:$K,0))+CF5),CF5))</f>
        <v>548</v>
      </c>
      <c r="CH5" s="26">
        <f>IF(ISNUMBER(VLOOKUP($D5,'Visu totale'!$D:$DH,CH$1,0)),CG5-VLOOKUP($D5,'Visu totale'!$D:$DH,CH$1,0),IF(LEFT(VLOOKUP($D5,'Visu totale'!$D:$DH,CH$1,0),1)="V",IF(CG5&gt;=INDEX('[1]Définition Maintenances'!$G:$G,MATCH($A5,'[1]Définition Maintenances'!$K:$K,0)),CG5,INDEX('[1]Définition Maintenances'!$G:$G,MATCH($A5,'[1]Définition Maintenances'!$K:$K,0))+CG5),CG5))</f>
        <v>548</v>
      </c>
      <c r="CI5" s="26">
        <f>IF(ISNUMBER(VLOOKUP($D5,'Visu totale'!$D:$DH,CI$1,0)),CH5-VLOOKUP($D5,'Visu totale'!$D:$DH,CI$1,0),IF(LEFT(VLOOKUP($D5,'Visu totale'!$D:$DH,CI$1,0),1)="V",IF(CH5&gt;=INDEX('[1]Définition Maintenances'!$G:$G,MATCH($A5,'[1]Définition Maintenances'!$K:$K,0)),CH5,INDEX('[1]Définition Maintenances'!$G:$G,MATCH($A5,'[1]Définition Maintenances'!$K:$K,0))+CH5),CH5))</f>
        <v>548</v>
      </c>
      <c r="CJ5" s="26">
        <f>IF(ISNUMBER(VLOOKUP($D5,'Visu totale'!$D:$DH,CJ$1,0)),CI5-VLOOKUP($D5,'Visu totale'!$D:$DH,CJ$1,0),IF(LEFT(VLOOKUP($D5,'Visu totale'!$D:$DH,CJ$1,0),1)="V",IF(CI5&gt;=INDEX('[1]Définition Maintenances'!$G:$G,MATCH($A5,'[1]Définition Maintenances'!$K:$K,0)),CI5,INDEX('[1]Définition Maintenances'!$G:$G,MATCH($A5,'[1]Définition Maintenances'!$K:$K,0))+CI5),CI5))</f>
        <v>548</v>
      </c>
      <c r="CK5" s="27">
        <f>IF(ISNUMBER(VLOOKUP($D5,'Visu totale'!$D:$DH,CK$1,0)),CJ5-VLOOKUP($D5,'Visu totale'!$D:$DH,CK$1,0),IF(LEFT(VLOOKUP($D5,'Visu totale'!$D:$DH,CK$1,0),1)="V",IF(CJ5&gt;=INDEX('[1]Définition Maintenances'!$G:$G,MATCH($A5,'[1]Définition Maintenances'!$K:$K,0)),CJ5,INDEX('[1]Définition Maintenances'!$G:$G,MATCH($A5,'[1]Définition Maintenances'!$K:$K,0))+CJ5),CJ5))</f>
        <v>548</v>
      </c>
      <c r="CL5" s="25">
        <f>IF(ISNUMBER(VLOOKUP($D5,'Visu totale'!$D:$DH,CL$1,0)),CK5-VLOOKUP($D5,'Visu totale'!$D:$DH,CL$1,0),IF(LEFT(VLOOKUP($D5,'Visu totale'!$D:$DH,CL$1,0),1)="V",IF(CK5&gt;=INDEX('[1]Définition Maintenances'!$G:$G,MATCH($A5,'[1]Définition Maintenances'!$K:$K,0)),CK5,INDEX('[1]Définition Maintenances'!$G:$G,MATCH($A5,'[1]Définition Maintenances'!$K:$K,0))+CK5),CK5))</f>
        <v>548</v>
      </c>
      <c r="CM5" s="26">
        <f>IF(ISNUMBER(VLOOKUP($D5,'Visu totale'!$D:$DH,CM$1,0)),CL5-VLOOKUP($D5,'Visu totale'!$D:$DH,CM$1,0),IF(LEFT(VLOOKUP($D5,'Visu totale'!$D:$DH,CM$1,0),1)="V",IF(CL5&gt;=INDEX('[1]Définition Maintenances'!$G:$G,MATCH($A5,'[1]Définition Maintenances'!$K:$K,0)),CL5,INDEX('[1]Définition Maintenances'!$G:$G,MATCH($A5,'[1]Définition Maintenances'!$K:$K,0))+CL5),CL5))</f>
        <v>548</v>
      </c>
      <c r="CN5" s="26">
        <f>IF(ISNUMBER(VLOOKUP($D5,'Visu totale'!$D:$DH,CN$1,0)),CM5-VLOOKUP($D5,'Visu totale'!$D:$DH,CN$1,0),IF(LEFT(VLOOKUP($D5,'Visu totale'!$D:$DH,CN$1,0),1)="V",IF(CM5&gt;=INDEX('[1]Définition Maintenances'!$G:$G,MATCH($A5,'[1]Définition Maintenances'!$K:$K,0)),CM5,INDEX('[1]Définition Maintenances'!$G:$G,MATCH($A5,'[1]Définition Maintenances'!$K:$K,0))+CM5),CM5))</f>
        <v>548</v>
      </c>
      <c r="CO5" s="26">
        <f>IF(ISNUMBER(VLOOKUP($D5,'Visu totale'!$D:$DH,CO$1,0)),CN5-VLOOKUP($D5,'Visu totale'!$D:$DH,CO$1,0),IF(LEFT(VLOOKUP($D5,'Visu totale'!$D:$DH,CO$1,0),1)="V",IF(CN5&gt;=INDEX('[1]Définition Maintenances'!$G:$G,MATCH($A5,'[1]Définition Maintenances'!$K:$K,0)),CN5,INDEX('[1]Définition Maintenances'!$G:$G,MATCH($A5,'[1]Définition Maintenances'!$K:$K,0))+CN5),CN5))</f>
        <v>548</v>
      </c>
      <c r="CP5" s="26">
        <f>IF(ISNUMBER(VLOOKUP($D5,'Visu totale'!$D:$DH,CP$1,0)),CO5-VLOOKUP($D5,'Visu totale'!$D:$DH,CP$1,0),IF(LEFT(VLOOKUP($D5,'Visu totale'!$D:$DH,CP$1,0),1)="V",IF(CO5&gt;=INDEX('[1]Définition Maintenances'!$G:$G,MATCH($A5,'[1]Définition Maintenances'!$K:$K,0)),CO5,INDEX('[1]Définition Maintenances'!$G:$G,MATCH($A5,'[1]Définition Maintenances'!$K:$K,0))+CO5),CO5))</f>
        <v>548</v>
      </c>
      <c r="CQ5" s="26">
        <f>IF(ISNUMBER(VLOOKUP($D5,'Visu totale'!$D:$DH,CQ$1,0)),CP5-VLOOKUP($D5,'Visu totale'!$D:$DH,CQ$1,0),IF(LEFT(VLOOKUP($D5,'Visu totale'!$D:$DH,CQ$1,0),1)="V",IF(CP5&gt;=INDEX('[1]Définition Maintenances'!$G:$G,MATCH($A5,'[1]Définition Maintenances'!$K:$K,0)),CP5,INDEX('[1]Définition Maintenances'!$G:$G,MATCH($A5,'[1]Définition Maintenances'!$K:$K,0))+CP5),CP5))</f>
        <v>548</v>
      </c>
      <c r="CR5" s="26">
        <f>IF(ISNUMBER(VLOOKUP($D5,'Visu totale'!$D:$DH,CR$1,0)),CQ5-VLOOKUP($D5,'Visu totale'!$D:$DH,CR$1,0),IF(LEFT(VLOOKUP($D5,'Visu totale'!$D:$DH,CR$1,0),1)="V",IF(CQ5&gt;=INDEX('[1]Définition Maintenances'!$G:$G,MATCH($A5,'[1]Définition Maintenances'!$K:$K,0)),CQ5,INDEX('[1]Définition Maintenances'!$G:$G,MATCH($A5,'[1]Définition Maintenances'!$K:$K,0))+CQ5),CQ5))</f>
        <v>548</v>
      </c>
      <c r="CS5" s="26">
        <f>IF(ISNUMBER(VLOOKUP($D5,'Visu totale'!$D:$DH,CS$1,0)),CR5-VLOOKUP($D5,'Visu totale'!$D:$DH,CS$1,0),IF(LEFT(VLOOKUP($D5,'Visu totale'!$D:$DH,CS$1,0),1)="V",IF(CR5&gt;=INDEX('[1]Définition Maintenances'!$G:$G,MATCH($A5,'[1]Définition Maintenances'!$K:$K,0)),CR5,INDEX('[1]Définition Maintenances'!$G:$G,MATCH($A5,'[1]Définition Maintenances'!$K:$K,0))+CR5),CR5))</f>
        <v>548</v>
      </c>
      <c r="CT5" s="26">
        <f>IF(ISNUMBER(VLOOKUP($D5,'Visu totale'!$D:$DH,CT$1,0)),CS5-VLOOKUP($D5,'Visu totale'!$D:$DH,CT$1,0),IF(LEFT(VLOOKUP($D5,'Visu totale'!$D:$DH,CT$1,0),1)="V",IF(CS5&gt;=INDEX('[1]Définition Maintenances'!$G:$G,MATCH($A5,'[1]Définition Maintenances'!$K:$K,0)),CS5,INDEX('[1]Définition Maintenances'!$G:$G,MATCH($A5,'[1]Définition Maintenances'!$K:$K,0))+CS5),CS5))</f>
        <v>548</v>
      </c>
      <c r="CU5" s="26">
        <f>IF(ISNUMBER(VLOOKUP($D5,'Visu totale'!$D:$DH,CU$1,0)),CT5-VLOOKUP($D5,'Visu totale'!$D:$DH,CU$1,0),IF(LEFT(VLOOKUP($D5,'Visu totale'!$D:$DH,CU$1,0),1)="V",IF(CT5&gt;=INDEX('[1]Définition Maintenances'!$G:$G,MATCH($A5,'[1]Définition Maintenances'!$K:$K,0)),CT5,INDEX('[1]Définition Maintenances'!$G:$G,MATCH($A5,'[1]Définition Maintenances'!$K:$K,0))+CT5),CT5))</f>
        <v>548</v>
      </c>
      <c r="CV5" s="26">
        <f>IF(ISNUMBER(VLOOKUP($D5,'Visu totale'!$D:$DH,CV$1,0)),CU5-VLOOKUP($D5,'Visu totale'!$D:$DH,CV$1,0),IF(LEFT(VLOOKUP($D5,'Visu totale'!$D:$DH,CV$1,0),1)="V",IF(CU5&gt;=INDEX('[1]Définition Maintenances'!$G:$G,MATCH($A5,'[1]Définition Maintenances'!$K:$K,0)),CU5,INDEX('[1]Définition Maintenances'!$G:$G,MATCH($A5,'[1]Définition Maintenances'!$K:$K,0))+CU5),CU5))</f>
        <v>548</v>
      </c>
      <c r="CW5" s="27">
        <f>IF(ISNUMBER(VLOOKUP($D5,'Visu totale'!$D:$DH,CW$1,0)),CV5-VLOOKUP($D5,'Visu totale'!$D:$DH,CW$1,0),IF(LEFT(VLOOKUP($D5,'Visu totale'!$D:$DH,CW$1,0),1)="V",IF(CV5&gt;=INDEX('[1]Définition Maintenances'!$G:$G,MATCH($A5,'[1]Définition Maintenances'!$K:$K,0)),CV5,INDEX('[1]Définition Maintenances'!$G:$G,MATCH($A5,'[1]Définition Maintenances'!$K:$K,0))+CV5),CV5))</f>
        <v>548</v>
      </c>
      <c r="CX5" s="25">
        <f>IF(ISNUMBER(VLOOKUP($D5,'Visu totale'!$D:$DH,CX$1,0)),CW5-VLOOKUP($D5,'Visu totale'!$D:$DH,CX$1,0),IF(LEFT(VLOOKUP($D5,'Visu totale'!$D:$DH,CX$1,0),1)="V",IF(CW5&gt;=INDEX('[1]Définition Maintenances'!$G:$G,MATCH($A5,'[1]Définition Maintenances'!$K:$K,0)),CW5,INDEX('[1]Définition Maintenances'!$G:$G,MATCH($A5,'[1]Définition Maintenances'!$K:$K,0))+CW5),CW5))</f>
        <v>548</v>
      </c>
      <c r="CY5" s="26">
        <f>IF(ISNUMBER(VLOOKUP($D5,'Visu totale'!$D:$DH,CY$1,0)),CX5-VLOOKUP($D5,'Visu totale'!$D:$DH,CY$1,0),IF(LEFT(VLOOKUP($D5,'Visu totale'!$D:$DH,CY$1,0),1)="V",IF(CX5&gt;=INDEX('[1]Définition Maintenances'!$G:$G,MATCH($A5,'[1]Définition Maintenances'!$K:$K,0)),CX5,INDEX('[1]Définition Maintenances'!$G:$G,MATCH($A5,'[1]Définition Maintenances'!$K:$K,0))+CX5),CX5))</f>
        <v>548</v>
      </c>
      <c r="CZ5" s="26">
        <f>IF(ISNUMBER(VLOOKUP($D5,'Visu totale'!$D:$DH,CZ$1,0)),CY5-VLOOKUP($D5,'Visu totale'!$D:$DH,CZ$1,0),IF(LEFT(VLOOKUP($D5,'Visu totale'!$D:$DH,CZ$1,0),1)="V",IF(CY5&gt;=INDEX('[1]Définition Maintenances'!$G:$G,MATCH($A5,'[1]Définition Maintenances'!$K:$K,0)),CY5,INDEX('[1]Définition Maintenances'!$G:$G,MATCH($A5,'[1]Définition Maintenances'!$K:$K,0))+CY5),CY5))</f>
        <v>548</v>
      </c>
      <c r="DA5" s="26">
        <f>IF(ISNUMBER(VLOOKUP($D5,'Visu totale'!$D:$DH,DA$1,0)),CZ5-VLOOKUP($D5,'Visu totale'!$D:$DH,DA$1,0),IF(LEFT(VLOOKUP($D5,'Visu totale'!$D:$DH,DA$1,0),1)="V",IF(CZ5&gt;=INDEX('[1]Définition Maintenances'!$G:$G,MATCH($A5,'[1]Définition Maintenances'!$K:$K,0)),CZ5,INDEX('[1]Définition Maintenances'!$G:$G,MATCH($A5,'[1]Définition Maintenances'!$K:$K,0))+CZ5),CZ5))</f>
        <v>548</v>
      </c>
      <c r="DB5" s="26">
        <f>IF(ISNUMBER(VLOOKUP($D5,'Visu totale'!$D:$DH,DB$1,0)),DA5-VLOOKUP($D5,'Visu totale'!$D:$DH,DB$1,0),IF(LEFT(VLOOKUP($D5,'Visu totale'!$D:$DH,DB$1,0),1)="V",IF(DA5&gt;=INDEX('[1]Définition Maintenances'!$G:$G,MATCH($A5,'[1]Définition Maintenances'!$K:$K,0)),DA5,INDEX('[1]Définition Maintenances'!$G:$G,MATCH($A5,'[1]Définition Maintenances'!$K:$K,0))+DA5),DA5))</f>
        <v>548</v>
      </c>
      <c r="DC5" s="26">
        <f>IF(ISNUMBER(VLOOKUP($D5,'Visu totale'!$D:$DH,DC$1,0)),DB5-VLOOKUP($D5,'Visu totale'!$D:$DH,DC$1,0),IF(LEFT(VLOOKUP($D5,'Visu totale'!$D:$DH,DC$1,0),1)="V",IF(DB5&gt;=INDEX('[1]Définition Maintenances'!$G:$G,MATCH($A5,'[1]Définition Maintenances'!$K:$K,0)),DB5,INDEX('[1]Définition Maintenances'!$G:$G,MATCH($A5,'[1]Définition Maintenances'!$K:$K,0))+DB5),DB5))</f>
        <v>548</v>
      </c>
      <c r="DD5" s="26">
        <f>IF(ISNUMBER(VLOOKUP($D5,'Visu totale'!$D:$DH,DD$1,0)),DC5-VLOOKUP($D5,'Visu totale'!$D:$DH,DD$1,0),IF(LEFT(VLOOKUP($D5,'Visu totale'!$D:$DH,DD$1,0),1)="V",IF(DC5&gt;=INDEX('[1]Définition Maintenances'!$G:$G,MATCH($A5,'[1]Définition Maintenances'!$K:$K,0)),DC5,INDEX('[1]Définition Maintenances'!$G:$G,MATCH($A5,'[1]Définition Maintenances'!$K:$K,0))+DC5),DC5))</f>
        <v>548</v>
      </c>
      <c r="DE5" s="26">
        <f>IF(ISNUMBER(VLOOKUP($D5,'Visu totale'!$D:$DH,DE$1,0)),DD5-VLOOKUP($D5,'Visu totale'!$D:$DH,DE$1,0),IF(LEFT(VLOOKUP($D5,'Visu totale'!$D:$DH,DE$1,0),1)="V",IF(DD5&gt;=INDEX('[1]Définition Maintenances'!$G:$G,MATCH($A5,'[1]Définition Maintenances'!$K:$K,0)),DD5,INDEX('[1]Définition Maintenances'!$G:$G,MATCH($A5,'[1]Définition Maintenances'!$K:$K,0))+DD5),DD5))</f>
        <v>548</v>
      </c>
      <c r="DF5" s="26">
        <f>IF(ISNUMBER(VLOOKUP($D5,'Visu totale'!$D:$DH,DF$1,0)),DE5-VLOOKUP($D5,'Visu totale'!$D:$DH,DF$1,0),IF(LEFT(VLOOKUP($D5,'Visu totale'!$D:$DH,DF$1,0),1)="V",IF(DE5&gt;=INDEX('[1]Définition Maintenances'!$G:$G,MATCH($A5,'[1]Définition Maintenances'!$K:$K,0)),DE5,INDEX('[1]Définition Maintenances'!$G:$G,MATCH($A5,'[1]Définition Maintenances'!$K:$K,0))+DE5),DE5))</f>
        <v>548</v>
      </c>
      <c r="DG5" s="26">
        <f>IF(ISNUMBER(VLOOKUP($D5,'Visu totale'!$D:$DH,DG$1,0)),DF5-VLOOKUP($D5,'Visu totale'!$D:$DH,DG$1,0),IF(LEFT(VLOOKUP($D5,'Visu totale'!$D:$DH,DG$1,0),1)="V",IF(DF5&gt;=INDEX('[1]Définition Maintenances'!$G:$G,MATCH($A5,'[1]Définition Maintenances'!$K:$K,0)),DF5,INDEX('[1]Définition Maintenances'!$G:$G,MATCH($A5,'[1]Définition Maintenances'!$K:$K,0))+DF5),DF5))</f>
        <v>548</v>
      </c>
      <c r="DH5" s="26">
        <f>IF(ISNUMBER(VLOOKUP($D5,'Visu totale'!$D:$DH,DH$1,0)),DG5-VLOOKUP($D5,'Visu totale'!$D:$DH,DH$1,0),IF(LEFT(VLOOKUP($D5,'Visu totale'!$D:$DH,DH$1,0),1)="V",IF(DG5&gt;=INDEX('[1]Définition Maintenances'!$G:$G,MATCH($A5,'[1]Définition Maintenances'!$K:$K,0)),DG5,INDEX('[1]Définition Maintenances'!$G:$G,MATCH($A5,'[1]Définition Maintenances'!$K:$K,0))+DG5),DG5))</f>
        <v>548</v>
      </c>
      <c r="DI5" s="27">
        <f>IF(ISNUMBER(VLOOKUP($D5,'Visu totale'!$D:$DH,DI$1,0)),DH5-VLOOKUP($D5,'Visu totale'!$D:$DH,DI$1,0),IF(LEFT(VLOOKUP($D5,'Visu totale'!$D:$DH,DI$1,0),1)="V",IF(DH5&gt;=INDEX('[1]Définition Maintenances'!$G:$G,MATCH($A5,'[1]Définition Maintenances'!$K:$K,0)),DH5,INDEX('[1]Définition Maintenances'!$G:$G,MATCH($A5,'[1]Définition Maintenances'!$K:$K,0))+DH5),DH5))</f>
        <v>548</v>
      </c>
    </row>
    <row r="6" spans="1:113" x14ac:dyDescent="0.25">
      <c r="A6" s="13" t="str">
        <f t="shared" si="0"/>
        <v>V30D</v>
      </c>
      <c r="B6" s="13" t="str">
        <f>VLOOKUP(D6,'[1]Avions (Potentiels)'!$B$2:$H$128,7,FALSE)</f>
        <v>V30</v>
      </c>
      <c r="C6" s="13"/>
      <c r="D6" s="16" t="s">
        <v>9</v>
      </c>
      <c r="E6" s="13">
        <f>IFERROR(VALUE(SUBSTITUTE(VLOOKUP(D6,'[1]Avions (Potentiels)'!$B:$E,4,0),".",",")),VALUE(VLOOKUP(D6,'[1]Avions (Potentiels)'!$B:$E,4,0)))</f>
        <v>9</v>
      </c>
      <c r="F6" s="25">
        <f>IF(ISNUMBER(VLOOKUP($D6,'Visu totale'!$D:$DH,F$1,0)),E6-VLOOKUP($D6,'Visu totale'!$D:$DH,F$1,0),IF(LEFT(VLOOKUP($D6,'Visu totale'!$D:$DH,F$1,0),1)="V",IF(E6&gt;=INDEX('[1]Définition Maintenances'!$G:$G,MATCH($A6,'[1]Définition Maintenances'!$K:$K,0)),E6,INDEX('[1]Définition Maintenances'!$G:$G,MATCH($A6,'[1]Définition Maintenances'!$K:$K,0))+E6),E6))</f>
        <v>9</v>
      </c>
      <c r="G6" s="26">
        <f>IF(ISNUMBER(VLOOKUP($D6,'Visu totale'!$D:$DH,G$1,0)),F6-VLOOKUP($D6,'Visu totale'!$D:$DH,G$1,0),IF(LEFT(VLOOKUP($D6,'Visu totale'!$D:$DH,G$1,0),1)="V",IF(F6&gt;=INDEX('[1]Définition Maintenances'!$G:$G,MATCH($A6,'[1]Définition Maintenances'!$K:$K,0)),F6,INDEX('[1]Définition Maintenances'!$G:$G,MATCH($A6,'[1]Définition Maintenances'!$K:$K,0))+F6),F6))</f>
        <v>9</v>
      </c>
      <c r="H6" s="26">
        <f>IF(ISNUMBER(VLOOKUP($D6,'Visu totale'!$D:$DH,H$1,0)),G6-VLOOKUP($D6,'Visu totale'!$D:$DH,H$1,0),IF(LEFT(VLOOKUP($D6,'Visu totale'!$D:$DH,H$1,0),1)="V",IF(G6&gt;=INDEX('[1]Définition Maintenances'!$G:$G,MATCH($A6,'[1]Définition Maintenances'!$K:$K,0)),G6,INDEX('[1]Définition Maintenances'!$G:$G,MATCH($A6,'[1]Définition Maintenances'!$K:$K,0))+G6),G6))</f>
        <v>9</v>
      </c>
      <c r="I6" s="26">
        <f>IF(ISNUMBER(VLOOKUP($D6,'Visu totale'!$D:$DH,I$1,0)),H6-VLOOKUP($D6,'Visu totale'!$D:$DH,I$1,0),IF(LEFT(VLOOKUP($D6,'Visu totale'!$D:$DH,I$1,0),1)="V",IF(H6&gt;=INDEX('[1]Définition Maintenances'!$G:$G,MATCH($A6,'[1]Définition Maintenances'!$K:$K,0)),H6,INDEX('[1]Définition Maintenances'!$G:$G,MATCH($A6,'[1]Définition Maintenances'!$K:$K,0))+H6),H6))</f>
        <v>9</v>
      </c>
      <c r="J6" s="26">
        <f>IF(ISNUMBER(VLOOKUP($D6,'Visu totale'!$D:$DH,J$1,0)),I6-VLOOKUP($D6,'Visu totale'!$D:$DH,J$1,0),IF(LEFT(VLOOKUP($D6,'Visu totale'!$D:$DH,J$1,0),1)="V",IF(I6&gt;=INDEX('[1]Définition Maintenances'!$G:$G,MATCH($A6,'[1]Définition Maintenances'!$K:$K,0)),I6,INDEX('[1]Définition Maintenances'!$G:$G,MATCH($A6,'[1]Définition Maintenances'!$K:$K,0))+I6),I6))</f>
        <v>9</v>
      </c>
      <c r="K6" s="26">
        <f>IF(ISNUMBER(VLOOKUP($D6,'Visu totale'!$D:$DH,K$1,0)),J6-VLOOKUP($D6,'Visu totale'!$D:$DH,K$1,0),IF(LEFT(VLOOKUP($D6,'Visu totale'!$D:$DH,K$1,0),1)="V",IF(J6&gt;=INDEX('[1]Définition Maintenances'!$G:$G,MATCH($A6,'[1]Définition Maintenances'!$K:$K,0)),J6,INDEX('[1]Définition Maintenances'!$G:$G,MATCH($A6,'[1]Définition Maintenances'!$K:$K,0))+J6),J6))</f>
        <v>9</v>
      </c>
      <c r="L6" s="26">
        <f>IF(ISNUMBER(VLOOKUP($D6,'Visu totale'!$D:$DH,L$1,0)),K6-VLOOKUP($D6,'Visu totale'!$D:$DH,L$1,0),IF(LEFT(VLOOKUP($D6,'Visu totale'!$D:$DH,L$1,0),1)="V",IF(K6&gt;=INDEX('[1]Définition Maintenances'!$G:$G,MATCH($A6,'[1]Définition Maintenances'!$K:$K,0)),K6,INDEX('[1]Définition Maintenances'!$G:$G,MATCH($A6,'[1]Définition Maintenances'!$K:$K,0))+K6),K6))</f>
        <v>9</v>
      </c>
      <c r="M6" s="26">
        <f>IF(ISNUMBER(VLOOKUP($D6,'Visu totale'!$D:$DH,M$1,0)),L6-VLOOKUP($D6,'Visu totale'!$D:$DH,M$1,0),IF(LEFT(VLOOKUP($D6,'Visu totale'!$D:$DH,M$1,0),1)="V",IF(L6&gt;=INDEX('[1]Définition Maintenances'!$G:$G,MATCH($A6,'[1]Définition Maintenances'!$K:$K,0)),L6,INDEX('[1]Définition Maintenances'!$G:$G,MATCH($A6,'[1]Définition Maintenances'!$K:$K,0))+L6),L6))</f>
        <v>9</v>
      </c>
      <c r="N6" s="26">
        <f>IF(ISNUMBER(VLOOKUP($D6,'Visu totale'!$D:$DH,N$1,0)),M6-VLOOKUP($D6,'Visu totale'!$D:$DH,N$1,0),IF(LEFT(VLOOKUP($D6,'Visu totale'!$D:$DH,N$1,0),1)="V",IF(M6&gt;=INDEX('[1]Définition Maintenances'!$G:$G,MATCH($A6,'[1]Définition Maintenances'!$K:$K,0)),M6,INDEX('[1]Définition Maintenances'!$G:$G,MATCH($A6,'[1]Définition Maintenances'!$K:$K,0))+M6),M6))</f>
        <v>9</v>
      </c>
      <c r="O6" s="26">
        <f>IF(ISNUMBER(VLOOKUP($D6,'Visu totale'!$D:$DH,O$1,0)),N6-VLOOKUP($D6,'Visu totale'!$D:$DH,O$1,0),IF(LEFT(VLOOKUP($D6,'Visu totale'!$D:$DH,O$1,0),1)="V",IF(N6&gt;=INDEX('[1]Définition Maintenances'!$G:$G,MATCH($A6,'[1]Définition Maintenances'!$K:$K,0)),N6,INDEX('[1]Définition Maintenances'!$G:$G,MATCH($A6,'[1]Définition Maintenances'!$K:$K,0))+N6),N6))</f>
        <v>9</v>
      </c>
      <c r="P6" s="26">
        <f>IF(ISNUMBER(VLOOKUP($D6,'Visu totale'!$D:$DH,P$1,0)),O6-VLOOKUP($D6,'Visu totale'!$D:$DH,P$1,0),IF(LEFT(VLOOKUP($D6,'Visu totale'!$D:$DH,P$1,0),1)="V",IF(O6&gt;=INDEX('[1]Définition Maintenances'!$G:$G,MATCH($A6,'[1]Définition Maintenances'!$K:$K,0)),O6,INDEX('[1]Définition Maintenances'!$G:$G,MATCH($A6,'[1]Définition Maintenances'!$K:$K,0))+O6),O6))</f>
        <v>9</v>
      </c>
      <c r="Q6" s="27">
        <f>IF(ISNUMBER(VLOOKUP($D6,'Visu totale'!$D:$DH,Q$1,0)),P6-VLOOKUP($D6,'Visu totale'!$D:$DH,Q$1,0),IF(LEFT(VLOOKUP($D6,'Visu totale'!$D:$DH,Q$1,0),1)="V",IF(P6&gt;=INDEX('[1]Définition Maintenances'!$G:$G,MATCH($A6,'[1]Définition Maintenances'!$K:$K,0)),P6,INDEX('[1]Définition Maintenances'!$G:$G,MATCH($A6,'[1]Définition Maintenances'!$K:$K,0))+P6),P6))</f>
        <v>9</v>
      </c>
      <c r="R6" s="25">
        <f>IF(ISNUMBER(VLOOKUP($D6,'Visu totale'!$D:$DH,R$1,0)),Q6-VLOOKUP($D6,'Visu totale'!$D:$DH,R$1,0),IF(LEFT(VLOOKUP($D6,'Visu totale'!$D:$DH,R$1,0),1)="V",IF(Q6&gt;=INDEX('[1]Définition Maintenances'!$G:$G,MATCH($A6,'[1]Définition Maintenances'!$K:$K,0)),Q6,INDEX('[1]Définition Maintenances'!$G:$G,MATCH($A6,'[1]Définition Maintenances'!$K:$K,0))+Q6),Q6))</f>
        <v>9</v>
      </c>
      <c r="S6" s="26">
        <f>IF(ISNUMBER(VLOOKUP($D6,'Visu totale'!$D:$DH,S$1,0)),R6-VLOOKUP($D6,'Visu totale'!$D:$DH,S$1,0),IF(LEFT(VLOOKUP($D6,'Visu totale'!$D:$DH,S$1,0),1)="V",IF(R6&gt;=INDEX('[1]Définition Maintenances'!$G:$G,MATCH($A6,'[1]Définition Maintenances'!$K:$K,0)),R6,INDEX('[1]Définition Maintenances'!$G:$G,MATCH($A6,'[1]Définition Maintenances'!$K:$K,0))+R6),R6))</f>
        <v>9</v>
      </c>
      <c r="T6" s="26">
        <f>IF(ISNUMBER(VLOOKUP($D6,'Visu totale'!$D:$DH,T$1,0)),S6-VLOOKUP($D6,'Visu totale'!$D:$DH,T$1,0),IF(LEFT(VLOOKUP($D6,'Visu totale'!$D:$DH,T$1,0),1)="V",IF(S6&gt;=INDEX('[1]Définition Maintenances'!$G:$G,MATCH($A6,'[1]Définition Maintenances'!$K:$K,0)),S6,INDEX('[1]Définition Maintenances'!$G:$G,MATCH($A6,'[1]Définition Maintenances'!$K:$K,0))+S6),S6))</f>
        <v>9</v>
      </c>
      <c r="U6" s="26">
        <f>IF(ISNUMBER(VLOOKUP($D6,'Visu totale'!$D:$DH,U$1,0)),T6-VLOOKUP($D6,'Visu totale'!$D:$DH,U$1,0),IF(LEFT(VLOOKUP($D6,'Visu totale'!$D:$DH,U$1,0),1)="V",IF(T6&gt;=INDEX('[1]Définition Maintenances'!$G:$G,MATCH($A6,'[1]Définition Maintenances'!$K:$K,0)),T6,INDEX('[1]Définition Maintenances'!$G:$G,MATCH($A6,'[1]Définition Maintenances'!$K:$K,0))+T6),T6))</f>
        <v>9</v>
      </c>
      <c r="V6" s="26">
        <f>IF(ISNUMBER(VLOOKUP($D6,'Visu totale'!$D:$DH,V$1,0)),U6-VLOOKUP($D6,'Visu totale'!$D:$DH,V$1,0),IF(LEFT(VLOOKUP($D6,'Visu totale'!$D:$DH,V$1,0),1)="V",IF(U6&gt;=INDEX('[1]Définition Maintenances'!$G:$G,MATCH($A6,'[1]Définition Maintenances'!$K:$K,0)),U6,INDEX('[1]Définition Maintenances'!$G:$G,MATCH($A6,'[1]Définition Maintenances'!$K:$K,0))+U6),U6))</f>
        <v>9</v>
      </c>
      <c r="W6" s="26">
        <f>IF(ISNUMBER(VLOOKUP($D6,'Visu totale'!$D:$DH,W$1,0)),V6-VLOOKUP($D6,'Visu totale'!$D:$DH,W$1,0),IF(LEFT(VLOOKUP($D6,'Visu totale'!$D:$DH,W$1,0),1)="V",IF(V6&gt;=INDEX('[1]Définition Maintenances'!$G:$G,MATCH($A6,'[1]Définition Maintenances'!$K:$K,0)),V6,INDEX('[1]Définition Maintenances'!$G:$G,MATCH($A6,'[1]Définition Maintenances'!$K:$K,0))+V6),V6))</f>
        <v>9</v>
      </c>
      <c r="X6" s="26">
        <f>IF(ISNUMBER(VLOOKUP($D6,'Visu totale'!$D:$DH,X$1,0)),W6-VLOOKUP($D6,'Visu totale'!$D:$DH,X$1,0),IF(LEFT(VLOOKUP($D6,'Visu totale'!$D:$DH,X$1,0),1)="V",IF(W6&gt;=INDEX('[1]Définition Maintenances'!$G:$G,MATCH($A6,'[1]Définition Maintenances'!$K:$K,0)),W6,INDEX('[1]Définition Maintenances'!$G:$G,MATCH($A6,'[1]Définition Maintenances'!$K:$K,0))+W6),W6))</f>
        <v>9</v>
      </c>
      <c r="Y6" s="26">
        <f>IF(ISNUMBER(VLOOKUP($D6,'Visu totale'!$D:$DH,Y$1,0)),X6-VLOOKUP($D6,'Visu totale'!$D:$DH,Y$1,0),IF(LEFT(VLOOKUP($D6,'Visu totale'!$D:$DH,Y$1,0),1)="V",IF(X6&gt;=INDEX('[1]Définition Maintenances'!$G:$G,MATCH($A6,'[1]Définition Maintenances'!$K:$K,0)),X6,INDEX('[1]Définition Maintenances'!$G:$G,MATCH($A6,'[1]Définition Maintenances'!$K:$K,0))+X6),X6))</f>
        <v>9</v>
      </c>
      <c r="Z6" s="26">
        <f>IF(ISNUMBER(VLOOKUP($D6,'Visu totale'!$D:$DH,Z$1,0)),Y6-VLOOKUP($D6,'Visu totale'!$D:$DH,Z$1,0),IF(LEFT(VLOOKUP($D6,'Visu totale'!$D:$DH,Z$1,0),1)="V",IF(Y6&gt;=INDEX('[1]Définition Maintenances'!$G:$G,MATCH($A6,'[1]Définition Maintenances'!$K:$K,0)),Y6,INDEX('[1]Définition Maintenances'!$G:$G,MATCH($A6,'[1]Définition Maintenances'!$K:$K,0))+Y6),Y6))</f>
        <v>9</v>
      </c>
      <c r="AA6" s="26">
        <f>IF(ISNUMBER(VLOOKUP($D6,'Visu totale'!$D:$DH,AA$1,0)),Z6-VLOOKUP($D6,'Visu totale'!$D:$DH,AA$1,0),IF(LEFT(VLOOKUP($D6,'Visu totale'!$D:$DH,AA$1,0),1)="V",IF(Z6&gt;=INDEX('[1]Définition Maintenances'!$G:$G,MATCH($A6,'[1]Définition Maintenances'!$K:$K,0)),Z6,INDEX('[1]Définition Maintenances'!$G:$G,MATCH($A6,'[1]Définition Maintenances'!$K:$K,0))+Z6),Z6))</f>
        <v>9</v>
      </c>
      <c r="AB6" s="26">
        <f>IF(ISNUMBER(VLOOKUP($D6,'Visu totale'!$D:$DH,AB$1,0)),AA6-VLOOKUP($D6,'Visu totale'!$D:$DH,AB$1,0),IF(LEFT(VLOOKUP($D6,'Visu totale'!$D:$DH,AB$1,0),1)="V",IF(AA6&gt;=INDEX('[1]Définition Maintenances'!$G:$G,MATCH($A6,'[1]Définition Maintenances'!$K:$K,0)),AA6,INDEX('[1]Définition Maintenances'!$G:$G,MATCH($A6,'[1]Définition Maintenances'!$K:$K,0))+AA6),AA6))</f>
        <v>9</v>
      </c>
      <c r="AC6" s="27">
        <f>IF(ISNUMBER(VLOOKUP($D6,'Visu totale'!$D:$DH,AC$1,0)),AB6-VLOOKUP($D6,'Visu totale'!$D:$DH,AC$1,0),IF(LEFT(VLOOKUP($D6,'Visu totale'!$D:$DH,AC$1,0),1)="V",IF(AB6&gt;=INDEX('[1]Définition Maintenances'!$G:$G,MATCH($A6,'[1]Définition Maintenances'!$K:$K,0)),AB6,INDEX('[1]Définition Maintenances'!$G:$G,MATCH($A6,'[1]Définition Maintenances'!$K:$K,0))+AB6),AB6))</f>
        <v>9</v>
      </c>
      <c r="AD6" s="25">
        <f>IF(ISNUMBER(VLOOKUP($D6,'Visu totale'!$D:$DH,AD$1,0)),AC6-VLOOKUP($D6,'Visu totale'!$D:$DH,AD$1,0),IF(LEFT(VLOOKUP($D6,'Visu totale'!$D:$DH,AD$1,0),1)="V",IF(AC6&gt;=INDEX('[1]Définition Maintenances'!$G:$G,MATCH($A6,'[1]Définition Maintenances'!$K:$K,0)),AC6,INDEX('[1]Définition Maintenances'!$G:$G,MATCH($A6,'[1]Définition Maintenances'!$K:$K,0))+AC6),AC6))</f>
        <v>9</v>
      </c>
      <c r="AE6" s="26">
        <f>IF(ISNUMBER(VLOOKUP($D6,'Visu totale'!$D:$DH,AE$1,0)),AD6-VLOOKUP($D6,'Visu totale'!$D:$DH,AE$1,0),IF(LEFT(VLOOKUP($D6,'Visu totale'!$D:$DH,AE$1,0),1)="V",IF(AD6&gt;=INDEX('[1]Définition Maintenances'!$G:$G,MATCH($A6,'[1]Définition Maintenances'!$K:$K,0)),AD6,INDEX('[1]Définition Maintenances'!$G:$G,MATCH($A6,'[1]Définition Maintenances'!$K:$K,0))+AD6),AD6))</f>
        <v>9</v>
      </c>
      <c r="AF6" s="26">
        <f>IF(ISNUMBER(VLOOKUP($D6,'Visu totale'!$D:$DH,AF$1,0)),AE6-VLOOKUP($D6,'Visu totale'!$D:$DH,AF$1,0),IF(LEFT(VLOOKUP($D6,'Visu totale'!$D:$DH,AF$1,0),1)="V",IF(AE6&gt;=INDEX('[1]Définition Maintenances'!$G:$G,MATCH($A6,'[1]Définition Maintenances'!$K:$K,0)),AE6,INDEX('[1]Définition Maintenances'!$G:$G,MATCH($A6,'[1]Définition Maintenances'!$K:$K,0))+AE6),AE6))</f>
        <v>9</v>
      </c>
      <c r="AG6" s="26">
        <f>IF(ISNUMBER(VLOOKUP($D6,'Visu totale'!$D:$DH,AG$1,0)),AF6-VLOOKUP($D6,'Visu totale'!$D:$DH,AG$1,0),IF(LEFT(VLOOKUP($D6,'Visu totale'!$D:$DH,AG$1,0),1)="V",IF(AF6&gt;=INDEX('[1]Définition Maintenances'!$G:$G,MATCH($A6,'[1]Définition Maintenances'!$K:$K,0)),AF6,INDEX('[1]Définition Maintenances'!$G:$G,MATCH($A6,'[1]Définition Maintenances'!$K:$K,0))+AF6),AF6))</f>
        <v>9</v>
      </c>
      <c r="AH6" s="26">
        <f>IF(ISNUMBER(VLOOKUP($D6,'Visu totale'!$D:$DH,AH$1,0)),AG6-VLOOKUP($D6,'Visu totale'!$D:$DH,AH$1,0),IF(LEFT(VLOOKUP($D6,'Visu totale'!$D:$DH,AH$1,0),1)="V",IF(AG6&gt;=INDEX('[1]Définition Maintenances'!$G:$G,MATCH($A6,'[1]Définition Maintenances'!$K:$K,0)),AG6,INDEX('[1]Définition Maintenances'!$G:$G,MATCH($A6,'[1]Définition Maintenances'!$K:$K,0))+AG6),AG6))</f>
        <v>9</v>
      </c>
      <c r="AI6" s="26">
        <f>IF(ISNUMBER(VLOOKUP($D6,'Visu totale'!$D:$DH,AI$1,0)),AH6-VLOOKUP($D6,'Visu totale'!$D:$DH,AI$1,0),IF(LEFT(VLOOKUP($D6,'Visu totale'!$D:$DH,AI$1,0),1)="V",IF(AH6&gt;=INDEX('[1]Définition Maintenances'!$G:$G,MATCH($A6,'[1]Définition Maintenances'!$K:$K,0)),AH6,INDEX('[1]Définition Maintenances'!$G:$G,MATCH($A6,'[1]Définition Maintenances'!$K:$K,0))+AH6),AH6))</f>
        <v>9</v>
      </c>
      <c r="AJ6" s="26">
        <f>IF(ISNUMBER(VLOOKUP($D6,'Visu totale'!$D:$DH,AJ$1,0)),AI6-VLOOKUP($D6,'Visu totale'!$D:$DH,AJ$1,0),IF(LEFT(VLOOKUP($D6,'Visu totale'!$D:$DH,AJ$1,0),1)="V",IF(AI6&gt;=INDEX('[1]Définition Maintenances'!$G:$G,MATCH($A6,'[1]Définition Maintenances'!$K:$K,0)),AI6,INDEX('[1]Définition Maintenances'!$G:$G,MATCH($A6,'[1]Définition Maintenances'!$K:$K,0))+AI6),AI6))</f>
        <v>9</v>
      </c>
      <c r="AK6" s="26">
        <f>IF(ISNUMBER(VLOOKUP($D6,'Visu totale'!$D:$DH,AK$1,0)),AJ6-VLOOKUP($D6,'Visu totale'!$D:$DH,AK$1,0),IF(LEFT(VLOOKUP($D6,'Visu totale'!$D:$DH,AK$1,0),1)="V",IF(AJ6&gt;=INDEX('[1]Définition Maintenances'!$G:$G,MATCH($A6,'[1]Définition Maintenances'!$K:$K,0)),AJ6,INDEX('[1]Définition Maintenances'!$G:$G,MATCH($A6,'[1]Définition Maintenances'!$K:$K,0))+AJ6),AJ6))</f>
        <v>9</v>
      </c>
      <c r="AL6" s="26">
        <f>IF(ISNUMBER(VLOOKUP($D6,'Visu totale'!$D:$DH,AL$1,0)),AK6-VLOOKUP($D6,'Visu totale'!$D:$DH,AL$1,0),IF(LEFT(VLOOKUP($D6,'Visu totale'!$D:$DH,AL$1,0),1)="V",IF(AK6&gt;=INDEX('[1]Définition Maintenances'!$G:$G,MATCH($A6,'[1]Définition Maintenances'!$K:$K,0)),AK6,INDEX('[1]Définition Maintenances'!$G:$G,MATCH($A6,'[1]Définition Maintenances'!$K:$K,0))+AK6),AK6))</f>
        <v>9</v>
      </c>
      <c r="AM6" s="26">
        <f>IF(ISNUMBER(VLOOKUP($D6,'Visu totale'!$D:$DH,AM$1,0)),AL6-VLOOKUP($D6,'Visu totale'!$D:$DH,AM$1,0),IF(LEFT(VLOOKUP($D6,'Visu totale'!$D:$DH,AM$1,0),1)="V",IF(AL6&gt;=INDEX('[1]Définition Maintenances'!$G:$G,MATCH($A6,'[1]Définition Maintenances'!$K:$K,0)),AL6,INDEX('[1]Définition Maintenances'!$G:$G,MATCH($A6,'[1]Définition Maintenances'!$K:$K,0))+AL6),AL6))</f>
        <v>9</v>
      </c>
      <c r="AN6" s="26">
        <f>IF(ISNUMBER(VLOOKUP($D6,'Visu totale'!$D:$DH,AN$1,0)),AM6-VLOOKUP($D6,'Visu totale'!$D:$DH,AN$1,0),IF(LEFT(VLOOKUP($D6,'Visu totale'!$D:$DH,AN$1,0),1)="V",IF(AM6&gt;=INDEX('[1]Définition Maintenances'!$G:$G,MATCH($A6,'[1]Définition Maintenances'!$K:$K,0)),AM6,INDEX('[1]Définition Maintenances'!$G:$G,MATCH($A6,'[1]Définition Maintenances'!$K:$K,0))+AM6),AM6))</f>
        <v>9</v>
      </c>
      <c r="AO6" s="27">
        <f>IF(ISNUMBER(VLOOKUP($D6,'Visu totale'!$D:$DH,AO$1,0)),AN6-VLOOKUP($D6,'Visu totale'!$D:$DH,AO$1,0),IF(LEFT(VLOOKUP($D6,'Visu totale'!$D:$DH,AO$1,0),1)="V",IF(AN6&gt;=INDEX('[1]Définition Maintenances'!$G:$G,MATCH($A6,'[1]Définition Maintenances'!$K:$K,0)),AN6,INDEX('[1]Définition Maintenances'!$G:$G,MATCH($A6,'[1]Définition Maintenances'!$K:$K,0))+AN6),AN6))</f>
        <v>9</v>
      </c>
      <c r="AP6" s="25">
        <f>IF(ISNUMBER(VLOOKUP($D6,'Visu totale'!$D:$DH,AP$1,0)),AO6-VLOOKUP($D6,'Visu totale'!$D:$DH,AP$1,0),IF(LEFT(VLOOKUP($D6,'Visu totale'!$D:$DH,AP$1,0),1)="V",IF(AO6&gt;=INDEX('[1]Définition Maintenances'!$G:$G,MATCH($A6,'[1]Définition Maintenances'!$K:$K,0)),AO6,INDEX('[1]Définition Maintenances'!$G:$G,MATCH($A6,'[1]Définition Maintenances'!$K:$K,0))+AO6),AO6))</f>
        <v>9</v>
      </c>
      <c r="AQ6" s="26">
        <f>IF(ISNUMBER(VLOOKUP($D6,'Visu totale'!$D:$DH,AQ$1,0)),AP6-VLOOKUP($D6,'Visu totale'!$D:$DH,AQ$1,0),IF(LEFT(VLOOKUP($D6,'Visu totale'!$D:$DH,AQ$1,0),1)="V",IF(AP6&gt;=INDEX('[1]Définition Maintenances'!$G:$G,MATCH($A6,'[1]Définition Maintenances'!$K:$K,0)),AP6,INDEX('[1]Définition Maintenances'!$G:$G,MATCH($A6,'[1]Définition Maintenances'!$K:$K,0))+AP6),AP6))</f>
        <v>9</v>
      </c>
      <c r="AR6" s="26">
        <f>IF(ISNUMBER(VLOOKUP($D6,'Visu totale'!$D:$DH,AR$1,0)),AQ6-VLOOKUP($D6,'Visu totale'!$D:$DH,AR$1,0),IF(LEFT(VLOOKUP($D6,'Visu totale'!$D:$DH,AR$1,0),1)="V",IF(AQ6&gt;=INDEX('[1]Définition Maintenances'!$G:$G,MATCH($A6,'[1]Définition Maintenances'!$K:$K,0)),AQ6,INDEX('[1]Définition Maintenances'!$G:$G,MATCH($A6,'[1]Définition Maintenances'!$K:$K,0))+AQ6),AQ6))</f>
        <v>9</v>
      </c>
      <c r="AS6" s="26">
        <f>IF(ISNUMBER(VLOOKUP($D6,'Visu totale'!$D:$DH,AS$1,0)),AR6-VLOOKUP($D6,'Visu totale'!$D:$DH,AS$1,0),IF(LEFT(VLOOKUP($D6,'Visu totale'!$D:$DH,AS$1,0),1)="V",IF(AR6&gt;=INDEX('[1]Définition Maintenances'!$G:$G,MATCH($A6,'[1]Définition Maintenances'!$K:$K,0)),AR6,INDEX('[1]Définition Maintenances'!$G:$G,MATCH($A6,'[1]Définition Maintenances'!$K:$K,0))+AR6),AR6))</f>
        <v>9</v>
      </c>
      <c r="AT6" s="26">
        <f>IF(ISNUMBER(VLOOKUP($D6,'Visu totale'!$D:$DH,AT$1,0)),AS6-VLOOKUP($D6,'Visu totale'!$D:$DH,AT$1,0),IF(LEFT(VLOOKUP($D6,'Visu totale'!$D:$DH,AT$1,0),1)="V",IF(AS6&gt;=INDEX('[1]Définition Maintenances'!$G:$G,MATCH($A6,'[1]Définition Maintenances'!$K:$K,0)),AS6,INDEX('[1]Définition Maintenances'!$G:$G,MATCH($A6,'[1]Définition Maintenances'!$K:$K,0))+AS6),AS6))</f>
        <v>9</v>
      </c>
      <c r="AU6" s="26">
        <f>IF(ISNUMBER(VLOOKUP($D6,'Visu totale'!$D:$DH,AU$1,0)),AT6-VLOOKUP($D6,'Visu totale'!$D:$DH,AU$1,0),IF(LEFT(VLOOKUP($D6,'Visu totale'!$D:$DH,AU$1,0),1)="V",IF(AT6&gt;=INDEX('[1]Définition Maintenances'!$G:$G,MATCH($A6,'[1]Définition Maintenances'!$K:$K,0)),AT6,INDEX('[1]Définition Maintenances'!$G:$G,MATCH($A6,'[1]Définition Maintenances'!$K:$K,0))+AT6),AT6))</f>
        <v>9</v>
      </c>
      <c r="AV6" s="26">
        <f>IF(ISNUMBER(VLOOKUP($D6,'Visu totale'!$D:$DH,AV$1,0)),AU6-VLOOKUP($D6,'Visu totale'!$D:$DH,AV$1,0),IF(LEFT(VLOOKUP($D6,'Visu totale'!$D:$DH,AV$1,0),1)="V",IF(AU6&gt;=INDEX('[1]Définition Maintenances'!$G:$G,MATCH($A6,'[1]Définition Maintenances'!$K:$K,0)),AU6,INDEX('[1]Définition Maintenances'!$G:$G,MATCH($A6,'[1]Définition Maintenances'!$K:$K,0))+AU6),AU6))</f>
        <v>9</v>
      </c>
      <c r="AW6" s="26">
        <f>IF(ISNUMBER(VLOOKUP($D6,'Visu totale'!$D:$DH,AW$1,0)),AV6-VLOOKUP($D6,'Visu totale'!$D:$DH,AW$1,0),IF(LEFT(VLOOKUP($D6,'Visu totale'!$D:$DH,AW$1,0),1)="V",IF(AV6&gt;=INDEX('[1]Définition Maintenances'!$G:$G,MATCH($A6,'[1]Définition Maintenances'!$K:$K,0)),AV6,INDEX('[1]Définition Maintenances'!$G:$G,MATCH($A6,'[1]Définition Maintenances'!$K:$K,0))+AV6),AV6))</f>
        <v>9</v>
      </c>
      <c r="AX6" s="26">
        <f>IF(ISNUMBER(VLOOKUP($D6,'Visu totale'!$D:$DH,AX$1,0)),AW6-VLOOKUP($D6,'Visu totale'!$D:$DH,AX$1,0),IF(LEFT(VLOOKUP($D6,'Visu totale'!$D:$DH,AX$1,0),1)="V",IF(AW6&gt;=INDEX('[1]Définition Maintenances'!$G:$G,MATCH($A6,'[1]Définition Maintenances'!$K:$K,0)),AW6,INDEX('[1]Définition Maintenances'!$G:$G,MATCH($A6,'[1]Définition Maintenances'!$K:$K,0))+AW6),AW6))</f>
        <v>9</v>
      </c>
      <c r="AY6" s="26">
        <f>IF(ISNUMBER(VLOOKUP($D6,'Visu totale'!$D:$DH,AY$1,0)),AX6-VLOOKUP($D6,'Visu totale'!$D:$DH,AY$1,0),IF(LEFT(VLOOKUP($D6,'Visu totale'!$D:$DH,AY$1,0),1)="V",IF(AX6&gt;=INDEX('[1]Définition Maintenances'!$G:$G,MATCH($A6,'[1]Définition Maintenances'!$K:$K,0)),AX6,INDEX('[1]Définition Maintenances'!$G:$G,MATCH($A6,'[1]Définition Maintenances'!$K:$K,0))+AX6),AX6))</f>
        <v>9</v>
      </c>
      <c r="AZ6" s="26">
        <f>IF(ISNUMBER(VLOOKUP($D6,'Visu totale'!$D:$DH,AZ$1,0)),AY6-VLOOKUP($D6,'Visu totale'!$D:$DH,AZ$1,0),IF(LEFT(VLOOKUP($D6,'Visu totale'!$D:$DH,AZ$1,0),1)="V",IF(AY6&gt;=INDEX('[1]Définition Maintenances'!$G:$G,MATCH($A6,'[1]Définition Maintenances'!$K:$K,0)),AY6,INDEX('[1]Définition Maintenances'!$G:$G,MATCH($A6,'[1]Définition Maintenances'!$K:$K,0))+AY6),AY6))</f>
        <v>9</v>
      </c>
      <c r="BA6" s="27">
        <f>IF(ISNUMBER(VLOOKUP($D6,'Visu totale'!$D:$DH,BA$1,0)),AZ6-VLOOKUP($D6,'Visu totale'!$D:$DH,BA$1,0),IF(LEFT(VLOOKUP($D6,'Visu totale'!$D:$DH,BA$1,0),1)="V",IF(AZ6&gt;=INDEX('[1]Définition Maintenances'!$G:$G,MATCH($A6,'[1]Définition Maintenances'!$K:$K,0)),AZ6,INDEX('[1]Définition Maintenances'!$G:$G,MATCH($A6,'[1]Définition Maintenances'!$K:$K,0))+AZ6),AZ6))</f>
        <v>9</v>
      </c>
      <c r="BB6" s="25">
        <f>IF(ISNUMBER(VLOOKUP($D6,'Visu totale'!$D:$DH,BB$1,0)),BA6-VLOOKUP($D6,'Visu totale'!$D:$DH,BB$1,0),IF(LEFT(VLOOKUP($D6,'Visu totale'!$D:$DH,BB$1,0),1)="V",IF(BA6&gt;=INDEX('[1]Définition Maintenances'!$G:$G,MATCH($A6,'[1]Définition Maintenances'!$K:$K,0)),BA6,INDEX('[1]Définition Maintenances'!$G:$G,MATCH($A6,'[1]Définition Maintenances'!$K:$K,0))+BA6),BA6))</f>
        <v>9</v>
      </c>
      <c r="BC6" s="26">
        <f>IF(ISNUMBER(VLOOKUP($D6,'Visu totale'!$D:$DH,BC$1,0)),BB6-VLOOKUP($D6,'Visu totale'!$D:$DH,BC$1,0),IF(LEFT(VLOOKUP($D6,'Visu totale'!$D:$DH,BC$1,0),1)="V",IF(BB6&gt;=INDEX('[1]Définition Maintenances'!$G:$G,MATCH($A6,'[1]Définition Maintenances'!$K:$K,0)),BB6,INDEX('[1]Définition Maintenances'!$G:$G,MATCH($A6,'[1]Définition Maintenances'!$K:$K,0))+BB6),BB6))</f>
        <v>9</v>
      </c>
      <c r="BD6" s="26">
        <f>IF(ISNUMBER(VLOOKUP($D6,'Visu totale'!$D:$DH,BD$1,0)),BC6-VLOOKUP($D6,'Visu totale'!$D:$DH,BD$1,0),IF(LEFT(VLOOKUP($D6,'Visu totale'!$D:$DH,BD$1,0),1)="V",IF(BC6&gt;=INDEX('[1]Définition Maintenances'!$G:$G,MATCH($A6,'[1]Définition Maintenances'!$K:$K,0)),BC6,INDEX('[1]Définition Maintenances'!$G:$G,MATCH($A6,'[1]Définition Maintenances'!$K:$K,0))+BC6),BC6))</f>
        <v>9</v>
      </c>
      <c r="BE6" s="26">
        <f>IF(ISNUMBER(VLOOKUP($D6,'Visu totale'!$D:$DH,BE$1,0)),BD6-VLOOKUP($D6,'Visu totale'!$D:$DH,BE$1,0),IF(LEFT(VLOOKUP($D6,'Visu totale'!$D:$DH,BE$1,0),1)="V",IF(BD6&gt;=INDEX('[1]Définition Maintenances'!$G:$G,MATCH($A6,'[1]Définition Maintenances'!$K:$K,0)),BD6,INDEX('[1]Définition Maintenances'!$G:$G,MATCH($A6,'[1]Définition Maintenances'!$K:$K,0))+BD6),BD6))</f>
        <v>9</v>
      </c>
      <c r="BF6" s="26">
        <f>IF(ISNUMBER(VLOOKUP($D6,'Visu totale'!$D:$DH,BF$1,0)),BE6-VLOOKUP($D6,'Visu totale'!$D:$DH,BF$1,0),IF(LEFT(VLOOKUP($D6,'Visu totale'!$D:$DH,BF$1,0),1)="V",IF(BE6&gt;=INDEX('[1]Définition Maintenances'!$G:$G,MATCH($A6,'[1]Définition Maintenances'!$K:$K,0)),BE6,INDEX('[1]Définition Maintenances'!$G:$G,MATCH($A6,'[1]Définition Maintenances'!$K:$K,0))+BE6),BE6))</f>
        <v>9</v>
      </c>
      <c r="BG6" s="26">
        <f>IF(ISNUMBER(VLOOKUP($D6,'Visu totale'!$D:$DH,BG$1,0)),BF6-VLOOKUP($D6,'Visu totale'!$D:$DH,BG$1,0),IF(LEFT(VLOOKUP($D6,'Visu totale'!$D:$DH,BG$1,0),1)="V",IF(BF6&gt;=INDEX('[1]Définition Maintenances'!$G:$G,MATCH($A6,'[1]Définition Maintenances'!$K:$K,0)),BF6,INDEX('[1]Définition Maintenances'!$G:$G,MATCH($A6,'[1]Définition Maintenances'!$K:$K,0))+BF6),BF6))</f>
        <v>9</v>
      </c>
      <c r="BH6" s="26">
        <f>IF(ISNUMBER(VLOOKUP($D6,'Visu totale'!$D:$DH,BH$1,0)),BG6-VLOOKUP($D6,'Visu totale'!$D:$DH,BH$1,0),IF(LEFT(VLOOKUP($D6,'Visu totale'!$D:$DH,BH$1,0),1)="V",IF(BG6&gt;=INDEX('[1]Définition Maintenances'!$G:$G,MATCH($A6,'[1]Définition Maintenances'!$K:$K,0)),BG6,INDEX('[1]Définition Maintenances'!$G:$G,MATCH($A6,'[1]Définition Maintenances'!$K:$K,0))+BG6),BG6))</f>
        <v>9</v>
      </c>
      <c r="BI6" s="26">
        <f>IF(ISNUMBER(VLOOKUP($D6,'Visu totale'!$D:$DH,BI$1,0)),BH6-VLOOKUP($D6,'Visu totale'!$D:$DH,BI$1,0),IF(LEFT(VLOOKUP($D6,'Visu totale'!$D:$DH,BI$1,0),1)="V",IF(BH6&gt;=INDEX('[1]Définition Maintenances'!$G:$G,MATCH($A6,'[1]Définition Maintenances'!$K:$K,0)),BH6,INDEX('[1]Définition Maintenances'!$G:$G,MATCH($A6,'[1]Définition Maintenances'!$K:$K,0))+BH6),BH6))</f>
        <v>9</v>
      </c>
      <c r="BJ6" s="26">
        <f>IF(ISNUMBER(VLOOKUP($D6,'Visu totale'!$D:$DH,BJ$1,0)),BI6-VLOOKUP($D6,'Visu totale'!$D:$DH,BJ$1,0),IF(LEFT(VLOOKUP($D6,'Visu totale'!$D:$DH,BJ$1,0),1)="V",IF(BI6&gt;=INDEX('[1]Définition Maintenances'!$G:$G,MATCH($A6,'[1]Définition Maintenances'!$K:$K,0)),BI6,INDEX('[1]Définition Maintenances'!$G:$G,MATCH($A6,'[1]Définition Maintenances'!$K:$K,0))+BI6),BI6))</f>
        <v>9</v>
      </c>
      <c r="BK6" s="26">
        <f>IF(ISNUMBER(VLOOKUP($D6,'Visu totale'!$D:$DH,BK$1,0)),BJ6-VLOOKUP($D6,'Visu totale'!$D:$DH,BK$1,0),IF(LEFT(VLOOKUP($D6,'Visu totale'!$D:$DH,BK$1,0),1)="V",IF(BJ6&gt;=INDEX('[1]Définition Maintenances'!$G:$G,MATCH($A6,'[1]Définition Maintenances'!$K:$K,0)),BJ6,INDEX('[1]Définition Maintenances'!$G:$G,MATCH($A6,'[1]Définition Maintenances'!$K:$K,0))+BJ6),BJ6))</f>
        <v>9</v>
      </c>
      <c r="BL6" s="26">
        <f>IF(ISNUMBER(VLOOKUP($D6,'Visu totale'!$D:$DH,BL$1,0)),BK6-VLOOKUP($D6,'Visu totale'!$D:$DH,BL$1,0),IF(LEFT(VLOOKUP($D6,'Visu totale'!$D:$DH,BL$1,0),1)="V",IF(BK6&gt;=INDEX('[1]Définition Maintenances'!$G:$G,MATCH($A6,'[1]Définition Maintenances'!$K:$K,0)),BK6,INDEX('[1]Définition Maintenances'!$G:$G,MATCH($A6,'[1]Définition Maintenances'!$K:$K,0))+BK6),BK6))</f>
        <v>9</v>
      </c>
      <c r="BM6" s="27">
        <f>IF(ISNUMBER(VLOOKUP($D6,'Visu totale'!$D:$DH,BM$1,0)),BL6-VLOOKUP($D6,'Visu totale'!$D:$DH,BM$1,0),IF(LEFT(VLOOKUP($D6,'Visu totale'!$D:$DH,BM$1,0),1)="V",IF(BL6&gt;=INDEX('[1]Définition Maintenances'!$G:$G,MATCH($A6,'[1]Définition Maintenances'!$K:$K,0)),BL6,INDEX('[1]Définition Maintenances'!$G:$G,MATCH($A6,'[1]Définition Maintenances'!$K:$K,0))+BL6),BL6))</f>
        <v>9</v>
      </c>
      <c r="BN6" s="25">
        <f>IF(ISNUMBER(VLOOKUP($D6,'Visu totale'!$D:$DH,BN$1,0)),BM6-VLOOKUP($D6,'Visu totale'!$D:$DH,BN$1,0),IF(LEFT(VLOOKUP($D6,'Visu totale'!$D:$DH,BN$1,0),1)="V",IF(BM6&gt;=INDEX('[1]Définition Maintenances'!$G:$G,MATCH($A6,'[1]Définition Maintenances'!$K:$K,0)),BM6,INDEX('[1]Définition Maintenances'!$G:$G,MATCH($A6,'[1]Définition Maintenances'!$K:$K,0))+BM6),BM6))</f>
        <v>9</v>
      </c>
      <c r="BO6" s="26">
        <f>IF(ISNUMBER(VLOOKUP($D6,'Visu totale'!$D:$DH,BO$1,0)),BN6-VLOOKUP($D6,'Visu totale'!$D:$DH,BO$1,0),IF(LEFT(VLOOKUP($D6,'Visu totale'!$D:$DH,BO$1,0),1)="V",IF(BN6&gt;=INDEX('[1]Définition Maintenances'!$G:$G,MATCH($A6,'[1]Définition Maintenances'!$K:$K,0)),BN6,INDEX('[1]Définition Maintenances'!$G:$G,MATCH($A6,'[1]Définition Maintenances'!$K:$K,0))+BN6),BN6))</f>
        <v>9</v>
      </c>
      <c r="BP6" s="26">
        <f>IF(ISNUMBER(VLOOKUP($D6,'Visu totale'!$D:$DH,BP$1,0)),BO6-VLOOKUP($D6,'Visu totale'!$D:$DH,BP$1,0),IF(LEFT(VLOOKUP($D6,'Visu totale'!$D:$DH,BP$1,0),1)="V",IF(BO6&gt;=INDEX('[1]Définition Maintenances'!$G:$G,MATCH($A6,'[1]Définition Maintenances'!$K:$K,0)),BO6,INDEX('[1]Définition Maintenances'!$G:$G,MATCH($A6,'[1]Définition Maintenances'!$K:$K,0))+BO6),BO6))</f>
        <v>9</v>
      </c>
      <c r="BQ6" s="26">
        <f>IF(ISNUMBER(VLOOKUP($D6,'Visu totale'!$D:$DH,BQ$1,0)),BP6-VLOOKUP($D6,'Visu totale'!$D:$DH,BQ$1,0),IF(LEFT(VLOOKUP($D6,'Visu totale'!$D:$DH,BQ$1,0),1)="V",IF(BP6&gt;=INDEX('[1]Définition Maintenances'!$G:$G,MATCH($A6,'[1]Définition Maintenances'!$K:$K,0)),BP6,INDEX('[1]Définition Maintenances'!$G:$G,MATCH($A6,'[1]Définition Maintenances'!$K:$K,0))+BP6),BP6))</f>
        <v>9</v>
      </c>
      <c r="BR6" s="26">
        <f>IF(ISNUMBER(VLOOKUP($D6,'Visu totale'!$D:$DH,BR$1,0)),BQ6-VLOOKUP($D6,'Visu totale'!$D:$DH,BR$1,0),IF(LEFT(VLOOKUP($D6,'Visu totale'!$D:$DH,BR$1,0),1)="V",IF(BQ6&gt;=INDEX('[1]Définition Maintenances'!$G:$G,MATCH($A6,'[1]Définition Maintenances'!$K:$K,0)),BQ6,INDEX('[1]Définition Maintenances'!$G:$G,MATCH($A6,'[1]Définition Maintenances'!$K:$K,0))+BQ6),BQ6))</f>
        <v>9</v>
      </c>
      <c r="BS6" s="26">
        <f>IF(ISNUMBER(VLOOKUP($D6,'Visu totale'!$D:$DH,BS$1,0)),BR6-VLOOKUP($D6,'Visu totale'!$D:$DH,BS$1,0),IF(LEFT(VLOOKUP($D6,'Visu totale'!$D:$DH,BS$1,0),1)="V",IF(BR6&gt;=INDEX('[1]Définition Maintenances'!$G:$G,MATCH($A6,'[1]Définition Maintenances'!$K:$K,0)),BR6,INDEX('[1]Définition Maintenances'!$G:$G,MATCH($A6,'[1]Définition Maintenances'!$K:$K,0))+BR6),BR6))</f>
        <v>9</v>
      </c>
      <c r="BT6" s="26">
        <f>IF(ISNUMBER(VLOOKUP($D6,'Visu totale'!$D:$DH,BT$1,0)),BS6-VLOOKUP($D6,'Visu totale'!$D:$DH,BT$1,0),IF(LEFT(VLOOKUP($D6,'Visu totale'!$D:$DH,BT$1,0),1)="V",IF(BS6&gt;=INDEX('[1]Définition Maintenances'!$G:$G,MATCH($A6,'[1]Définition Maintenances'!$K:$K,0)),BS6,INDEX('[1]Définition Maintenances'!$G:$G,MATCH($A6,'[1]Définition Maintenances'!$K:$K,0))+BS6),BS6))</f>
        <v>9</v>
      </c>
      <c r="BU6" s="26">
        <f>IF(ISNUMBER(VLOOKUP($D6,'Visu totale'!$D:$DH,BU$1,0)),BT6-VLOOKUP($D6,'Visu totale'!$D:$DH,BU$1,0),IF(LEFT(VLOOKUP($D6,'Visu totale'!$D:$DH,BU$1,0),1)="V",IF(BT6&gt;=INDEX('[1]Définition Maintenances'!$G:$G,MATCH($A6,'[1]Définition Maintenances'!$K:$K,0)),BT6,INDEX('[1]Définition Maintenances'!$G:$G,MATCH($A6,'[1]Définition Maintenances'!$K:$K,0))+BT6),BT6))</f>
        <v>9</v>
      </c>
      <c r="BV6" s="26">
        <f>IF(ISNUMBER(VLOOKUP($D6,'Visu totale'!$D:$DH,BV$1,0)),BU6-VLOOKUP($D6,'Visu totale'!$D:$DH,BV$1,0),IF(LEFT(VLOOKUP($D6,'Visu totale'!$D:$DH,BV$1,0),1)="V",IF(BU6&gt;=INDEX('[1]Définition Maintenances'!$G:$G,MATCH($A6,'[1]Définition Maintenances'!$K:$K,0)),BU6,INDEX('[1]Définition Maintenances'!$G:$G,MATCH($A6,'[1]Définition Maintenances'!$K:$K,0))+BU6),BU6))</f>
        <v>9</v>
      </c>
      <c r="BW6" s="26">
        <f>IF(ISNUMBER(VLOOKUP($D6,'Visu totale'!$D:$DH,BW$1,0)),BV6-VLOOKUP($D6,'Visu totale'!$D:$DH,BW$1,0),IF(LEFT(VLOOKUP($D6,'Visu totale'!$D:$DH,BW$1,0),1)="V",IF(BV6&gt;=INDEX('[1]Définition Maintenances'!$G:$G,MATCH($A6,'[1]Définition Maintenances'!$K:$K,0)),BV6,INDEX('[1]Définition Maintenances'!$G:$G,MATCH($A6,'[1]Définition Maintenances'!$K:$K,0))+BV6),BV6))</f>
        <v>9</v>
      </c>
      <c r="BX6" s="26">
        <f>IF(ISNUMBER(VLOOKUP($D6,'Visu totale'!$D:$DH,BX$1,0)),BW6-VLOOKUP($D6,'Visu totale'!$D:$DH,BX$1,0),IF(LEFT(VLOOKUP($D6,'Visu totale'!$D:$DH,BX$1,0),1)="V",IF(BW6&gt;=INDEX('[1]Définition Maintenances'!$G:$G,MATCH($A6,'[1]Définition Maintenances'!$K:$K,0)),BW6,INDEX('[1]Définition Maintenances'!$G:$G,MATCH($A6,'[1]Définition Maintenances'!$K:$K,0))+BW6),BW6))</f>
        <v>9</v>
      </c>
      <c r="BY6" s="27">
        <f>IF(ISNUMBER(VLOOKUP($D6,'Visu totale'!$D:$DH,BY$1,0)),BX6-VLOOKUP($D6,'Visu totale'!$D:$DH,BY$1,0),IF(LEFT(VLOOKUP($D6,'Visu totale'!$D:$DH,BY$1,0),1)="V",IF(BX6&gt;=INDEX('[1]Définition Maintenances'!$G:$G,MATCH($A6,'[1]Définition Maintenances'!$K:$K,0)),BX6,INDEX('[1]Définition Maintenances'!$G:$G,MATCH($A6,'[1]Définition Maintenances'!$K:$K,0))+BX6),BX6))</f>
        <v>9</v>
      </c>
      <c r="BZ6" s="25">
        <f>IF(ISNUMBER(VLOOKUP($D6,'Visu totale'!$D:$DH,BZ$1,0)),BY6-VLOOKUP($D6,'Visu totale'!$D:$DH,BZ$1,0),IF(LEFT(VLOOKUP($D6,'Visu totale'!$D:$DH,BZ$1,0),1)="V",IF(BY6&gt;=INDEX('[1]Définition Maintenances'!$G:$G,MATCH($A6,'[1]Définition Maintenances'!$K:$K,0)),BY6,INDEX('[1]Définition Maintenances'!$G:$G,MATCH($A6,'[1]Définition Maintenances'!$K:$K,0))+BY6),BY6))</f>
        <v>9</v>
      </c>
      <c r="CA6" s="26">
        <f>IF(ISNUMBER(VLOOKUP($D6,'Visu totale'!$D:$DH,CA$1,0)),BZ6-VLOOKUP($D6,'Visu totale'!$D:$DH,CA$1,0),IF(LEFT(VLOOKUP($D6,'Visu totale'!$D:$DH,CA$1,0),1)="V",IF(BZ6&gt;=INDEX('[1]Définition Maintenances'!$G:$G,MATCH($A6,'[1]Définition Maintenances'!$K:$K,0)),BZ6,INDEX('[1]Définition Maintenances'!$G:$G,MATCH($A6,'[1]Définition Maintenances'!$K:$K,0))+BZ6),BZ6))</f>
        <v>9</v>
      </c>
      <c r="CB6" s="26">
        <f>IF(ISNUMBER(VLOOKUP($D6,'Visu totale'!$D:$DH,CB$1,0)),CA6-VLOOKUP($D6,'Visu totale'!$D:$DH,CB$1,0),IF(LEFT(VLOOKUP($D6,'Visu totale'!$D:$DH,CB$1,0),1)="V",IF(CA6&gt;=INDEX('[1]Définition Maintenances'!$G:$G,MATCH($A6,'[1]Définition Maintenances'!$K:$K,0)),CA6,INDEX('[1]Définition Maintenances'!$G:$G,MATCH($A6,'[1]Définition Maintenances'!$K:$K,0))+CA6),CA6))</f>
        <v>9</v>
      </c>
      <c r="CC6" s="26">
        <f>IF(ISNUMBER(VLOOKUP($D6,'Visu totale'!$D:$DH,CC$1,0)),CB6-VLOOKUP($D6,'Visu totale'!$D:$DH,CC$1,0),IF(LEFT(VLOOKUP($D6,'Visu totale'!$D:$DH,CC$1,0),1)="V",IF(CB6&gt;=INDEX('[1]Définition Maintenances'!$G:$G,MATCH($A6,'[1]Définition Maintenances'!$K:$K,0)),CB6,INDEX('[1]Définition Maintenances'!$G:$G,MATCH($A6,'[1]Définition Maintenances'!$K:$K,0))+CB6),CB6))</f>
        <v>9</v>
      </c>
      <c r="CD6" s="26">
        <f>IF(ISNUMBER(VLOOKUP($D6,'Visu totale'!$D:$DH,CD$1,0)),CC6-VLOOKUP($D6,'Visu totale'!$D:$DH,CD$1,0),IF(LEFT(VLOOKUP($D6,'Visu totale'!$D:$DH,CD$1,0),1)="V",IF(CC6&gt;=INDEX('[1]Définition Maintenances'!$G:$G,MATCH($A6,'[1]Définition Maintenances'!$K:$K,0)),CC6,INDEX('[1]Définition Maintenances'!$G:$G,MATCH($A6,'[1]Définition Maintenances'!$K:$K,0))+CC6),CC6))</f>
        <v>9</v>
      </c>
      <c r="CE6" s="26">
        <f>IF(ISNUMBER(VLOOKUP($D6,'Visu totale'!$D:$DH,CE$1,0)),CD6-VLOOKUP($D6,'Visu totale'!$D:$DH,CE$1,0),IF(LEFT(VLOOKUP($D6,'Visu totale'!$D:$DH,CE$1,0),1)="V",IF(CD6&gt;=INDEX('[1]Définition Maintenances'!$G:$G,MATCH($A6,'[1]Définition Maintenances'!$K:$K,0)),CD6,INDEX('[1]Définition Maintenances'!$G:$G,MATCH($A6,'[1]Définition Maintenances'!$K:$K,0))+CD6),CD6))</f>
        <v>9</v>
      </c>
      <c r="CF6" s="26">
        <f>IF(ISNUMBER(VLOOKUP($D6,'Visu totale'!$D:$DH,CF$1,0)),CE6-VLOOKUP($D6,'Visu totale'!$D:$DH,CF$1,0),IF(LEFT(VLOOKUP($D6,'Visu totale'!$D:$DH,CF$1,0),1)="V",IF(CE6&gt;=INDEX('[1]Définition Maintenances'!$G:$G,MATCH($A6,'[1]Définition Maintenances'!$K:$K,0)),CE6,INDEX('[1]Définition Maintenances'!$G:$G,MATCH($A6,'[1]Définition Maintenances'!$K:$K,0))+CE6),CE6))</f>
        <v>9</v>
      </c>
      <c r="CG6" s="26">
        <f>IF(ISNUMBER(VLOOKUP($D6,'Visu totale'!$D:$DH,CG$1,0)),CF6-VLOOKUP($D6,'Visu totale'!$D:$DH,CG$1,0),IF(LEFT(VLOOKUP($D6,'Visu totale'!$D:$DH,CG$1,0),1)="V",IF(CF6&gt;=INDEX('[1]Définition Maintenances'!$G:$G,MATCH($A6,'[1]Définition Maintenances'!$K:$K,0)),CF6,INDEX('[1]Définition Maintenances'!$G:$G,MATCH($A6,'[1]Définition Maintenances'!$K:$K,0))+CF6),CF6))</f>
        <v>9</v>
      </c>
      <c r="CH6" s="26">
        <f>IF(ISNUMBER(VLOOKUP($D6,'Visu totale'!$D:$DH,CH$1,0)),CG6-VLOOKUP($D6,'Visu totale'!$D:$DH,CH$1,0),IF(LEFT(VLOOKUP($D6,'Visu totale'!$D:$DH,CH$1,0),1)="V",IF(CG6&gt;=INDEX('[1]Définition Maintenances'!$G:$G,MATCH($A6,'[1]Définition Maintenances'!$K:$K,0)),CG6,INDEX('[1]Définition Maintenances'!$G:$G,MATCH($A6,'[1]Définition Maintenances'!$K:$K,0))+CG6),CG6))</f>
        <v>9</v>
      </c>
      <c r="CI6" s="26">
        <f>IF(ISNUMBER(VLOOKUP($D6,'Visu totale'!$D:$DH,CI$1,0)),CH6-VLOOKUP($D6,'Visu totale'!$D:$DH,CI$1,0),IF(LEFT(VLOOKUP($D6,'Visu totale'!$D:$DH,CI$1,0),1)="V",IF(CH6&gt;=INDEX('[1]Définition Maintenances'!$G:$G,MATCH($A6,'[1]Définition Maintenances'!$K:$K,0)),CH6,INDEX('[1]Définition Maintenances'!$G:$G,MATCH($A6,'[1]Définition Maintenances'!$K:$K,0))+CH6),CH6))</f>
        <v>9</v>
      </c>
      <c r="CJ6" s="26">
        <f>IF(ISNUMBER(VLOOKUP($D6,'Visu totale'!$D:$DH,CJ$1,0)),CI6-VLOOKUP($D6,'Visu totale'!$D:$DH,CJ$1,0),IF(LEFT(VLOOKUP($D6,'Visu totale'!$D:$DH,CJ$1,0),1)="V",IF(CI6&gt;=INDEX('[1]Définition Maintenances'!$G:$G,MATCH($A6,'[1]Définition Maintenances'!$K:$K,0)),CI6,INDEX('[1]Définition Maintenances'!$G:$G,MATCH($A6,'[1]Définition Maintenances'!$K:$K,0))+CI6),CI6))</f>
        <v>9</v>
      </c>
      <c r="CK6" s="27">
        <f>IF(ISNUMBER(VLOOKUP($D6,'Visu totale'!$D:$DH,CK$1,0)),CJ6-VLOOKUP($D6,'Visu totale'!$D:$DH,CK$1,0),IF(LEFT(VLOOKUP($D6,'Visu totale'!$D:$DH,CK$1,0),1)="V",IF(CJ6&gt;=INDEX('[1]Définition Maintenances'!$G:$G,MATCH($A6,'[1]Définition Maintenances'!$K:$K,0)),CJ6,INDEX('[1]Définition Maintenances'!$G:$G,MATCH($A6,'[1]Définition Maintenances'!$K:$K,0))+CJ6),CJ6))</f>
        <v>9</v>
      </c>
      <c r="CL6" s="25">
        <f>IF(ISNUMBER(VLOOKUP($D6,'Visu totale'!$D:$DH,CL$1,0)),CK6-VLOOKUP($D6,'Visu totale'!$D:$DH,CL$1,0),IF(LEFT(VLOOKUP($D6,'Visu totale'!$D:$DH,CL$1,0),1)="V",IF(CK6&gt;=INDEX('[1]Définition Maintenances'!$G:$G,MATCH($A6,'[1]Définition Maintenances'!$K:$K,0)),CK6,INDEX('[1]Définition Maintenances'!$G:$G,MATCH($A6,'[1]Définition Maintenances'!$K:$K,0))+CK6),CK6))</f>
        <v>9</v>
      </c>
      <c r="CM6" s="26">
        <f>IF(ISNUMBER(VLOOKUP($D6,'Visu totale'!$D:$DH,CM$1,0)),CL6-VLOOKUP($D6,'Visu totale'!$D:$DH,CM$1,0),IF(LEFT(VLOOKUP($D6,'Visu totale'!$D:$DH,CM$1,0),1)="V",IF(CL6&gt;=INDEX('[1]Définition Maintenances'!$G:$G,MATCH($A6,'[1]Définition Maintenances'!$K:$K,0)),CL6,INDEX('[1]Définition Maintenances'!$G:$G,MATCH($A6,'[1]Définition Maintenances'!$K:$K,0))+CL6),CL6))</f>
        <v>9</v>
      </c>
      <c r="CN6" s="26">
        <f>IF(ISNUMBER(VLOOKUP($D6,'Visu totale'!$D:$DH,CN$1,0)),CM6-VLOOKUP($D6,'Visu totale'!$D:$DH,CN$1,0),IF(LEFT(VLOOKUP($D6,'Visu totale'!$D:$DH,CN$1,0),1)="V",IF(CM6&gt;=INDEX('[1]Définition Maintenances'!$G:$G,MATCH($A6,'[1]Définition Maintenances'!$K:$K,0)),CM6,INDEX('[1]Définition Maintenances'!$G:$G,MATCH($A6,'[1]Définition Maintenances'!$K:$K,0))+CM6),CM6))</f>
        <v>9</v>
      </c>
      <c r="CO6" s="26">
        <f>IF(ISNUMBER(VLOOKUP($D6,'Visu totale'!$D:$DH,CO$1,0)),CN6-VLOOKUP($D6,'Visu totale'!$D:$DH,CO$1,0),IF(LEFT(VLOOKUP($D6,'Visu totale'!$D:$DH,CO$1,0),1)="V",IF(CN6&gt;=INDEX('[1]Définition Maintenances'!$G:$G,MATCH($A6,'[1]Définition Maintenances'!$K:$K,0)),CN6,INDEX('[1]Définition Maintenances'!$G:$G,MATCH($A6,'[1]Définition Maintenances'!$K:$K,0))+CN6),CN6))</f>
        <v>9</v>
      </c>
      <c r="CP6" s="26">
        <f>IF(ISNUMBER(VLOOKUP($D6,'Visu totale'!$D:$DH,CP$1,0)),CO6-VLOOKUP($D6,'Visu totale'!$D:$DH,CP$1,0),IF(LEFT(VLOOKUP($D6,'Visu totale'!$D:$DH,CP$1,0),1)="V",IF(CO6&gt;=INDEX('[1]Définition Maintenances'!$G:$G,MATCH($A6,'[1]Définition Maintenances'!$K:$K,0)),CO6,INDEX('[1]Définition Maintenances'!$G:$G,MATCH($A6,'[1]Définition Maintenances'!$K:$K,0))+CO6),CO6))</f>
        <v>9</v>
      </c>
      <c r="CQ6" s="26">
        <f>IF(ISNUMBER(VLOOKUP($D6,'Visu totale'!$D:$DH,CQ$1,0)),CP6-VLOOKUP($D6,'Visu totale'!$D:$DH,CQ$1,0),IF(LEFT(VLOOKUP($D6,'Visu totale'!$D:$DH,CQ$1,0),1)="V",IF(CP6&gt;=INDEX('[1]Définition Maintenances'!$G:$G,MATCH($A6,'[1]Définition Maintenances'!$K:$K,0)),CP6,INDEX('[1]Définition Maintenances'!$G:$G,MATCH($A6,'[1]Définition Maintenances'!$K:$K,0))+CP6),CP6))</f>
        <v>9</v>
      </c>
      <c r="CR6" s="26">
        <f>IF(ISNUMBER(VLOOKUP($D6,'Visu totale'!$D:$DH,CR$1,0)),CQ6-VLOOKUP($D6,'Visu totale'!$D:$DH,CR$1,0),IF(LEFT(VLOOKUP($D6,'Visu totale'!$D:$DH,CR$1,0),1)="V",IF(CQ6&gt;=INDEX('[1]Définition Maintenances'!$G:$G,MATCH($A6,'[1]Définition Maintenances'!$K:$K,0)),CQ6,INDEX('[1]Définition Maintenances'!$G:$G,MATCH($A6,'[1]Définition Maintenances'!$K:$K,0))+CQ6),CQ6))</f>
        <v>9</v>
      </c>
      <c r="CS6" s="26">
        <f>IF(ISNUMBER(VLOOKUP($D6,'Visu totale'!$D:$DH,CS$1,0)),CR6-VLOOKUP($D6,'Visu totale'!$D:$DH,CS$1,0),IF(LEFT(VLOOKUP($D6,'Visu totale'!$D:$DH,CS$1,0),1)="V",IF(CR6&gt;=INDEX('[1]Définition Maintenances'!$G:$G,MATCH($A6,'[1]Définition Maintenances'!$K:$K,0)),CR6,INDEX('[1]Définition Maintenances'!$G:$G,MATCH($A6,'[1]Définition Maintenances'!$K:$K,0))+CR6),CR6))</f>
        <v>9</v>
      </c>
      <c r="CT6" s="26">
        <f>IF(ISNUMBER(VLOOKUP($D6,'Visu totale'!$D:$DH,CT$1,0)),CS6-VLOOKUP($D6,'Visu totale'!$D:$DH,CT$1,0),IF(LEFT(VLOOKUP($D6,'Visu totale'!$D:$DH,CT$1,0),1)="V",IF(CS6&gt;=INDEX('[1]Définition Maintenances'!$G:$G,MATCH($A6,'[1]Définition Maintenances'!$K:$K,0)),CS6,INDEX('[1]Définition Maintenances'!$G:$G,MATCH($A6,'[1]Définition Maintenances'!$K:$K,0))+CS6),CS6))</f>
        <v>9</v>
      </c>
      <c r="CU6" s="26">
        <f>IF(ISNUMBER(VLOOKUP($D6,'Visu totale'!$D:$DH,CU$1,0)),CT6-VLOOKUP($D6,'Visu totale'!$D:$DH,CU$1,0),IF(LEFT(VLOOKUP($D6,'Visu totale'!$D:$DH,CU$1,0),1)="V",IF(CT6&gt;=INDEX('[1]Définition Maintenances'!$G:$G,MATCH($A6,'[1]Définition Maintenances'!$K:$K,0)),CT6,INDEX('[1]Définition Maintenances'!$G:$G,MATCH($A6,'[1]Définition Maintenances'!$K:$K,0))+CT6),CT6))</f>
        <v>9</v>
      </c>
      <c r="CV6" s="26">
        <f>IF(ISNUMBER(VLOOKUP($D6,'Visu totale'!$D:$DH,CV$1,0)),CU6-VLOOKUP($D6,'Visu totale'!$D:$DH,CV$1,0),IF(LEFT(VLOOKUP($D6,'Visu totale'!$D:$DH,CV$1,0),1)="V",IF(CU6&gt;=INDEX('[1]Définition Maintenances'!$G:$G,MATCH($A6,'[1]Définition Maintenances'!$K:$K,0)),CU6,INDEX('[1]Définition Maintenances'!$G:$G,MATCH($A6,'[1]Définition Maintenances'!$K:$K,0))+CU6),CU6))</f>
        <v>9</v>
      </c>
      <c r="CW6" s="27">
        <f>IF(ISNUMBER(VLOOKUP($D6,'Visu totale'!$D:$DH,CW$1,0)),CV6-VLOOKUP($D6,'Visu totale'!$D:$DH,CW$1,0),IF(LEFT(VLOOKUP($D6,'Visu totale'!$D:$DH,CW$1,0),1)="V",IF(CV6&gt;=INDEX('[1]Définition Maintenances'!$G:$G,MATCH($A6,'[1]Définition Maintenances'!$K:$K,0)),CV6,INDEX('[1]Définition Maintenances'!$G:$G,MATCH($A6,'[1]Définition Maintenances'!$K:$K,0))+CV6),CV6))</f>
        <v>9</v>
      </c>
      <c r="CX6" s="25">
        <f>IF(ISNUMBER(VLOOKUP($D6,'Visu totale'!$D:$DH,CX$1,0)),CW6-VLOOKUP($D6,'Visu totale'!$D:$DH,CX$1,0),IF(LEFT(VLOOKUP($D6,'Visu totale'!$D:$DH,CX$1,0),1)="V",IF(CW6&gt;=INDEX('[1]Définition Maintenances'!$G:$G,MATCH($A6,'[1]Définition Maintenances'!$K:$K,0)),CW6,INDEX('[1]Définition Maintenances'!$G:$G,MATCH($A6,'[1]Définition Maintenances'!$K:$K,0))+CW6),CW6))</f>
        <v>9</v>
      </c>
      <c r="CY6" s="26">
        <f>IF(ISNUMBER(VLOOKUP($D6,'Visu totale'!$D:$DH,CY$1,0)),CX6-VLOOKUP($D6,'Visu totale'!$D:$DH,CY$1,0),IF(LEFT(VLOOKUP($D6,'Visu totale'!$D:$DH,CY$1,0),1)="V",IF(CX6&gt;=INDEX('[1]Définition Maintenances'!$G:$G,MATCH($A6,'[1]Définition Maintenances'!$K:$K,0)),CX6,INDEX('[1]Définition Maintenances'!$G:$G,MATCH($A6,'[1]Définition Maintenances'!$K:$K,0))+CX6),CX6))</f>
        <v>9</v>
      </c>
      <c r="CZ6" s="26">
        <f>IF(ISNUMBER(VLOOKUP($D6,'Visu totale'!$D:$DH,CZ$1,0)),CY6-VLOOKUP($D6,'Visu totale'!$D:$DH,CZ$1,0),IF(LEFT(VLOOKUP($D6,'Visu totale'!$D:$DH,CZ$1,0),1)="V",IF(CY6&gt;=INDEX('[1]Définition Maintenances'!$G:$G,MATCH($A6,'[1]Définition Maintenances'!$K:$K,0)),CY6,INDEX('[1]Définition Maintenances'!$G:$G,MATCH($A6,'[1]Définition Maintenances'!$K:$K,0))+CY6),CY6))</f>
        <v>9</v>
      </c>
      <c r="DA6" s="26">
        <f>IF(ISNUMBER(VLOOKUP($D6,'Visu totale'!$D:$DH,DA$1,0)),CZ6-VLOOKUP($D6,'Visu totale'!$D:$DH,DA$1,0),IF(LEFT(VLOOKUP($D6,'Visu totale'!$D:$DH,DA$1,0),1)="V",IF(CZ6&gt;=INDEX('[1]Définition Maintenances'!$G:$G,MATCH($A6,'[1]Définition Maintenances'!$K:$K,0)),CZ6,INDEX('[1]Définition Maintenances'!$G:$G,MATCH($A6,'[1]Définition Maintenances'!$K:$K,0))+CZ6),CZ6))</f>
        <v>9</v>
      </c>
      <c r="DB6" s="26">
        <f>IF(ISNUMBER(VLOOKUP($D6,'Visu totale'!$D:$DH,DB$1,0)),DA6-VLOOKUP($D6,'Visu totale'!$D:$DH,DB$1,0),IF(LEFT(VLOOKUP($D6,'Visu totale'!$D:$DH,DB$1,0),1)="V",IF(DA6&gt;=INDEX('[1]Définition Maintenances'!$G:$G,MATCH($A6,'[1]Définition Maintenances'!$K:$K,0)),DA6,INDEX('[1]Définition Maintenances'!$G:$G,MATCH($A6,'[1]Définition Maintenances'!$K:$K,0))+DA6),DA6))</f>
        <v>9</v>
      </c>
      <c r="DC6" s="26">
        <f>IF(ISNUMBER(VLOOKUP($D6,'Visu totale'!$D:$DH,DC$1,0)),DB6-VLOOKUP($D6,'Visu totale'!$D:$DH,DC$1,0),IF(LEFT(VLOOKUP($D6,'Visu totale'!$D:$DH,DC$1,0),1)="V",IF(DB6&gt;=INDEX('[1]Définition Maintenances'!$G:$G,MATCH($A6,'[1]Définition Maintenances'!$K:$K,0)),DB6,INDEX('[1]Définition Maintenances'!$G:$G,MATCH($A6,'[1]Définition Maintenances'!$K:$K,0))+DB6),DB6))</f>
        <v>9</v>
      </c>
      <c r="DD6" s="26">
        <f>IF(ISNUMBER(VLOOKUP($D6,'Visu totale'!$D:$DH,DD$1,0)),DC6-VLOOKUP($D6,'Visu totale'!$D:$DH,DD$1,0),IF(LEFT(VLOOKUP($D6,'Visu totale'!$D:$DH,DD$1,0),1)="V",IF(DC6&gt;=INDEX('[1]Définition Maintenances'!$G:$G,MATCH($A6,'[1]Définition Maintenances'!$K:$K,0)),DC6,INDEX('[1]Définition Maintenances'!$G:$G,MATCH($A6,'[1]Définition Maintenances'!$K:$K,0))+DC6),DC6))</f>
        <v>9</v>
      </c>
      <c r="DE6" s="26">
        <f>IF(ISNUMBER(VLOOKUP($D6,'Visu totale'!$D:$DH,DE$1,0)),DD6-VLOOKUP($D6,'Visu totale'!$D:$DH,DE$1,0),IF(LEFT(VLOOKUP($D6,'Visu totale'!$D:$DH,DE$1,0),1)="V",IF(DD6&gt;=INDEX('[1]Définition Maintenances'!$G:$G,MATCH($A6,'[1]Définition Maintenances'!$K:$K,0)),DD6,INDEX('[1]Définition Maintenances'!$G:$G,MATCH($A6,'[1]Définition Maintenances'!$K:$K,0))+DD6),DD6))</f>
        <v>9</v>
      </c>
      <c r="DF6" s="26">
        <f>IF(ISNUMBER(VLOOKUP($D6,'Visu totale'!$D:$DH,DF$1,0)),DE6-VLOOKUP($D6,'Visu totale'!$D:$DH,DF$1,0),IF(LEFT(VLOOKUP($D6,'Visu totale'!$D:$DH,DF$1,0),1)="V",IF(DE6&gt;=INDEX('[1]Définition Maintenances'!$G:$G,MATCH($A6,'[1]Définition Maintenances'!$K:$K,0)),DE6,INDEX('[1]Définition Maintenances'!$G:$G,MATCH($A6,'[1]Définition Maintenances'!$K:$K,0))+DE6),DE6))</f>
        <v>9</v>
      </c>
      <c r="DG6" s="26">
        <f>IF(ISNUMBER(VLOOKUP($D6,'Visu totale'!$D:$DH,DG$1,0)),DF6-VLOOKUP($D6,'Visu totale'!$D:$DH,DG$1,0),IF(LEFT(VLOOKUP($D6,'Visu totale'!$D:$DH,DG$1,0),1)="V",IF(DF6&gt;=INDEX('[1]Définition Maintenances'!$G:$G,MATCH($A6,'[1]Définition Maintenances'!$K:$K,0)),DF6,INDEX('[1]Définition Maintenances'!$G:$G,MATCH($A6,'[1]Définition Maintenances'!$K:$K,0))+DF6),DF6))</f>
        <v>9</v>
      </c>
      <c r="DH6" s="26">
        <f>IF(ISNUMBER(VLOOKUP($D6,'Visu totale'!$D:$DH,DH$1,0)),DG6-VLOOKUP($D6,'Visu totale'!$D:$DH,DH$1,0),IF(LEFT(VLOOKUP($D6,'Visu totale'!$D:$DH,DH$1,0),1)="V",IF(DG6&gt;=INDEX('[1]Définition Maintenances'!$G:$G,MATCH($A6,'[1]Définition Maintenances'!$K:$K,0)),DG6,INDEX('[1]Définition Maintenances'!$G:$G,MATCH($A6,'[1]Définition Maintenances'!$K:$K,0))+DG6),DG6))</f>
        <v>9</v>
      </c>
      <c r="DI6" s="27">
        <f>IF(ISNUMBER(VLOOKUP($D6,'Visu totale'!$D:$DH,DI$1,0)),DH6-VLOOKUP($D6,'Visu totale'!$D:$DH,DI$1,0),IF(LEFT(VLOOKUP($D6,'Visu totale'!$D:$DH,DI$1,0),1)="V",IF(DH6&gt;=INDEX('[1]Définition Maintenances'!$G:$G,MATCH($A6,'[1]Définition Maintenances'!$K:$K,0)),DH6,INDEX('[1]Définition Maintenances'!$G:$G,MATCH($A6,'[1]Définition Maintenances'!$K:$K,0))+DH6),DH6))</f>
        <v>9</v>
      </c>
    </row>
    <row r="7" spans="1:113" x14ac:dyDescent="0.25">
      <c r="A7" s="13" t="str">
        <f t="shared" si="0"/>
        <v>V10D</v>
      </c>
      <c r="B7" s="13" t="str">
        <f>VLOOKUP(D7,'[1]Avions (Potentiels)'!$B$2:$H$128,7,FALSE)</f>
        <v>V10</v>
      </c>
      <c r="C7" s="13"/>
      <c r="D7" s="16" t="s">
        <v>10</v>
      </c>
      <c r="E7" s="13">
        <f>IFERROR(VALUE(SUBSTITUTE(VLOOKUP(D7,'[1]Avions (Potentiels)'!$B:$E,4,0),".",",")),VALUE(VLOOKUP(D7,'[1]Avions (Potentiels)'!$B:$E,4,0)))</f>
        <v>1200</v>
      </c>
      <c r="F7" s="25">
        <f>IF(ISNUMBER(VLOOKUP($D7,'Visu totale'!$D:$DH,F$1,0)),E7-VLOOKUP($D7,'Visu totale'!$D:$DH,F$1,0),IF(LEFT(VLOOKUP($D7,'Visu totale'!$D:$DH,F$1,0),1)="V",IF(E7&gt;=INDEX('[1]Définition Maintenances'!$G:$G,MATCH($A7,'[1]Définition Maintenances'!$K:$K,0)),E7,INDEX('[1]Définition Maintenances'!$G:$G,MATCH($A7,'[1]Définition Maintenances'!$K:$K,0))+E7),E7))</f>
        <v>1200</v>
      </c>
      <c r="G7" s="26">
        <f>IF(ISNUMBER(VLOOKUP($D7,'Visu totale'!$D:$DH,G$1,0)),F7-VLOOKUP($D7,'Visu totale'!$D:$DH,G$1,0),IF(LEFT(VLOOKUP($D7,'Visu totale'!$D:$DH,G$1,0),1)="V",IF(F7&gt;=INDEX('[1]Définition Maintenances'!$G:$G,MATCH($A7,'[1]Définition Maintenances'!$K:$K,0)),F7,INDEX('[1]Définition Maintenances'!$G:$G,MATCH($A7,'[1]Définition Maintenances'!$K:$K,0))+F7),F7))</f>
        <v>1200</v>
      </c>
      <c r="H7" s="26">
        <f>IF(ISNUMBER(VLOOKUP($D7,'Visu totale'!$D:$DH,H$1,0)),G7-VLOOKUP($D7,'Visu totale'!$D:$DH,H$1,0),IF(LEFT(VLOOKUP($D7,'Visu totale'!$D:$DH,H$1,0),1)="V",IF(G7&gt;=INDEX('[1]Définition Maintenances'!$G:$G,MATCH($A7,'[1]Définition Maintenances'!$K:$K,0)),G7,INDEX('[1]Définition Maintenances'!$G:$G,MATCH($A7,'[1]Définition Maintenances'!$K:$K,0))+G7),G7))</f>
        <v>1200</v>
      </c>
      <c r="I7" s="26">
        <f>IF(ISNUMBER(VLOOKUP($D7,'Visu totale'!$D:$DH,I$1,0)),H7-VLOOKUP($D7,'Visu totale'!$D:$DH,I$1,0),IF(LEFT(VLOOKUP($D7,'Visu totale'!$D:$DH,I$1,0),1)="V",IF(H7&gt;=INDEX('[1]Définition Maintenances'!$G:$G,MATCH($A7,'[1]Définition Maintenances'!$K:$K,0)),H7,INDEX('[1]Définition Maintenances'!$G:$G,MATCH($A7,'[1]Définition Maintenances'!$K:$K,0))+H7),H7))</f>
        <v>1200</v>
      </c>
      <c r="J7" s="26">
        <f>IF(ISNUMBER(VLOOKUP($D7,'Visu totale'!$D:$DH,J$1,0)),I7-VLOOKUP($D7,'Visu totale'!$D:$DH,J$1,0),IF(LEFT(VLOOKUP($D7,'Visu totale'!$D:$DH,J$1,0),1)="V",IF(I7&gt;=INDEX('[1]Définition Maintenances'!$G:$G,MATCH($A7,'[1]Définition Maintenances'!$K:$K,0)),I7,INDEX('[1]Définition Maintenances'!$G:$G,MATCH($A7,'[1]Définition Maintenances'!$K:$K,0))+I7),I7))</f>
        <v>1200</v>
      </c>
      <c r="K7" s="26">
        <f>IF(ISNUMBER(VLOOKUP($D7,'Visu totale'!$D:$DH,K$1,0)),J7-VLOOKUP($D7,'Visu totale'!$D:$DH,K$1,0),IF(LEFT(VLOOKUP($D7,'Visu totale'!$D:$DH,K$1,0),1)="V",IF(J7&gt;=INDEX('[1]Définition Maintenances'!$G:$G,MATCH($A7,'[1]Définition Maintenances'!$K:$K,0)),J7,INDEX('[1]Définition Maintenances'!$G:$G,MATCH($A7,'[1]Définition Maintenances'!$K:$K,0))+J7),J7))</f>
        <v>1200</v>
      </c>
      <c r="L7" s="26">
        <f>IF(ISNUMBER(VLOOKUP($D7,'Visu totale'!$D:$DH,L$1,0)),K7-VLOOKUP($D7,'Visu totale'!$D:$DH,L$1,0),IF(LEFT(VLOOKUP($D7,'Visu totale'!$D:$DH,L$1,0),1)="V",IF(K7&gt;=INDEX('[1]Définition Maintenances'!$G:$G,MATCH($A7,'[1]Définition Maintenances'!$K:$K,0)),K7,INDEX('[1]Définition Maintenances'!$G:$G,MATCH($A7,'[1]Définition Maintenances'!$K:$K,0))+K7),K7))</f>
        <v>1200</v>
      </c>
      <c r="M7" s="26">
        <f>IF(ISNUMBER(VLOOKUP($D7,'Visu totale'!$D:$DH,M$1,0)),L7-VLOOKUP($D7,'Visu totale'!$D:$DH,M$1,0),IF(LEFT(VLOOKUP($D7,'Visu totale'!$D:$DH,M$1,0),1)="V",IF(L7&gt;=INDEX('[1]Définition Maintenances'!$G:$G,MATCH($A7,'[1]Définition Maintenances'!$K:$K,0)),L7,INDEX('[1]Définition Maintenances'!$G:$G,MATCH($A7,'[1]Définition Maintenances'!$K:$K,0))+L7),L7))</f>
        <v>1200</v>
      </c>
      <c r="N7" s="26">
        <f>IF(ISNUMBER(VLOOKUP($D7,'Visu totale'!$D:$DH,N$1,0)),M7-VLOOKUP($D7,'Visu totale'!$D:$DH,N$1,0),IF(LEFT(VLOOKUP($D7,'Visu totale'!$D:$DH,N$1,0),1)="V",IF(M7&gt;=INDEX('[1]Définition Maintenances'!$G:$G,MATCH($A7,'[1]Définition Maintenances'!$K:$K,0)),M7,INDEX('[1]Définition Maintenances'!$G:$G,MATCH($A7,'[1]Définition Maintenances'!$K:$K,0))+M7),M7))</f>
        <v>1200</v>
      </c>
      <c r="O7" s="26">
        <f>IF(ISNUMBER(VLOOKUP($D7,'Visu totale'!$D:$DH,O$1,0)),N7-VLOOKUP($D7,'Visu totale'!$D:$DH,O$1,0),IF(LEFT(VLOOKUP($D7,'Visu totale'!$D:$DH,O$1,0),1)="V",IF(N7&gt;=INDEX('[1]Définition Maintenances'!$G:$G,MATCH($A7,'[1]Définition Maintenances'!$K:$K,0)),N7,INDEX('[1]Définition Maintenances'!$G:$G,MATCH($A7,'[1]Définition Maintenances'!$K:$K,0))+N7),N7))</f>
        <v>1200</v>
      </c>
      <c r="P7" s="26">
        <f>IF(ISNUMBER(VLOOKUP($D7,'Visu totale'!$D:$DH,P$1,0)),O7-VLOOKUP($D7,'Visu totale'!$D:$DH,P$1,0),IF(LEFT(VLOOKUP($D7,'Visu totale'!$D:$DH,P$1,0),1)="V",IF(O7&gt;=INDEX('[1]Définition Maintenances'!$G:$G,MATCH($A7,'[1]Définition Maintenances'!$K:$K,0)),O7,INDEX('[1]Définition Maintenances'!$G:$G,MATCH($A7,'[1]Définition Maintenances'!$K:$K,0))+O7),O7))</f>
        <v>1200</v>
      </c>
      <c r="Q7" s="27">
        <f>IF(ISNUMBER(VLOOKUP($D7,'Visu totale'!$D:$DH,Q$1,0)),P7-VLOOKUP($D7,'Visu totale'!$D:$DH,Q$1,0),IF(LEFT(VLOOKUP($D7,'Visu totale'!$D:$DH,Q$1,0),1)="V",IF(P7&gt;=INDEX('[1]Définition Maintenances'!$G:$G,MATCH($A7,'[1]Définition Maintenances'!$K:$K,0)),P7,INDEX('[1]Définition Maintenances'!$G:$G,MATCH($A7,'[1]Définition Maintenances'!$K:$K,0))+P7),P7))</f>
        <v>1200</v>
      </c>
      <c r="R7" s="25">
        <f>IF(ISNUMBER(VLOOKUP($D7,'Visu totale'!$D:$DH,R$1,0)),Q7-VLOOKUP($D7,'Visu totale'!$D:$DH,R$1,0),IF(LEFT(VLOOKUP($D7,'Visu totale'!$D:$DH,R$1,0),1)="V",IF(Q7&gt;=INDEX('[1]Définition Maintenances'!$G:$G,MATCH($A7,'[1]Définition Maintenances'!$K:$K,0)),Q7,INDEX('[1]Définition Maintenances'!$G:$G,MATCH($A7,'[1]Définition Maintenances'!$K:$K,0))+Q7),Q7))</f>
        <v>1200</v>
      </c>
      <c r="S7" s="26">
        <f>IF(ISNUMBER(VLOOKUP($D7,'Visu totale'!$D:$DH,S$1,0)),R7-VLOOKUP($D7,'Visu totale'!$D:$DH,S$1,0),IF(LEFT(VLOOKUP($D7,'Visu totale'!$D:$DH,S$1,0),1)="V",IF(R7&gt;=INDEX('[1]Définition Maintenances'!$G:$G,MATCH($A7,'[1]Définition Maintenances'!$K:$K,0)),R7,INDEX('[1]Définition Maintenances'!$G:$G,MATCH($A7,'[1]Définition Maintenances'!$K:$K,0))+R7),R7))</f>
        <v>1200</v>
      </c>
      <c r="T7" s="26">
        <f>IF(ISNUMBER(VLOOKUP($D7,'Visu totale'!$D:$DH,T$1,0)),S7-VLOOKUP($D7,'Visu totale'!$D:$DH,T$1,0),IF(LEFT(VLOOKUP($D7,'Visu totale'!$D:$DH,T$1,0),1)="V",IF(S7&gt;=INDEX('[1]Définition Maintenances'!$G:$G,MATCH($A7,'[1]Définition Maintenances'!$K:$K,0)),S7,INDEX('[1]Définition Maintenances'!$G:$G,MATCH($A7,'[1]Définition Maintenances'!$K:$K,0))+S7),S7))</f>
        <v>1200</v>
      </c>
      <c r="U7" s="26">
        <f>IF(ISNUMBER(VLOOKUP($D7,'Visu totale'!$D:$DH,U$1,0)),T7-VLOOKUP($D7,'Visu totale'!$D:$DH,U$1,0),IF(LEFT(VLOOKUP($D7,'Visu totale'!$D:$DH,U$1,0),1)="V",IF(T7&gt;=INDEX('[1]Définition Maintenances'!$G:$G,MATCH($A7,'[1]Définition Maintenances'!$K:$K,0)),T7,INDEX('[1]Définition Maintenances'!$G:$G,MATCH($A7,'[1]Définition Maintenances'!$K:$K,0))+T7),T7))</f>
        <v>1200</v>
      </c>
      <c r="V7" s="26">
        <f>IF(ISNUMBER(VLOOKUP($D7,'Visu totale'!$D:$DH,V$1,0)),U7-VLOOKUP($D7,'Visu totale'!$D:$DH,V$1,0),IF(LEFT(VLOOKUP($D7,'Visu totale'!$D:$DH,V$1,0),1)="V",IF(U7&gt;=INDEX('[1]Définition Maintenances'!$G:$G,MATCH($A7,'[1]Définition Maintenances'!$K:$K,0)),U7,INDEX('[1]Définition Maintenances'!$G:$G,MATCH($A7,'[1]Définition Maintenances'!$K:$K,0))+U7),U7))</f>
        <v>1200</v>
      </c>
      <c r="W7" s="26">
        <f>IF(ISNUMBER(VLOOKUP($D7,'Visu totale'!$D:$DH,W$1,0)),V7-VLOOKUP($D7,'Visu totale'!$D:$DH,W$1,0),IF(LEFT(VLOOKUP($D7,'Visu totale'!$D:$DH,W$1,0),1)="V",IF(V7&gt;=INDEX('[1]Définition Maintenances'!$G:$G,MATCH($A7,'[1]Définition Maintenances'!$K:$K,0)),V7,INDEX('[1]Définition Maintenances'!$G:$G,MATCH($A7,'[1]Définition Maintenances'!$K:$K,0))+V7),V7))</f>
        <v>1200</v>
      </c>
      <c r="X7" s="26">
        <f>IF(ISNUMBER(VLOOKUP($D7,'Visu totale'!$D:$DH,X$1,0)),W7-VLOOKUP($D7,'Visu totale'!$D:$DH,X$1,0),IF(LEFT(VLOOKUP($D7,'Visu totale'!$D:$DH,X$1,0),1)="V",IF(W7&gt;=INDEX('[1]Définition Maintenances'!$G:$G,MATCH($A7,'[1]Définition Maintenances'!$K:$K,0)),W7,INDEX('[1]Définition Maintenances'!$G:$G,MATCH($A7,'[1]Définition Maintenances'!$K:$K,0))+W7),W7))</f>
        <v>1200</v>
      </c>
      <c r="Y7" s="26">
        <f>IF(ISNUMBER(VLOOKUP($D7,'Visu totale'!$D:$DH,Y$1,0)),X7-VLOOKUP($D7,'Visu totale'!$D:$DH,Y$1,0),IF(LEFT(VLOOKUP($D7,'Visu totale'!$D:$DH,Y$1,0),1)="V",IF(X7&gt;=INDEX('[1]Définition Maintenances'!$G:$G,MATCH($A7,'[1]Définition Maintenances'!$K:$K,0)),X7,INDEX('[1]Définition Maintenances'!$G:$G,MATCH($A7,'[1]Définition Maintenances'!$K:$K,0))+X7),X7))</f>
        <v>1200</v>
      </c>
      <c r="Z7" s="26">
        <f>IF(ISNUMBER(VLOOKUP($D7,'Visu totale'!$D:$DH,Z$1,0)),Y7-VLOOKUP($D7,'Visu totale'!$D:$DH,Z$1,0),IF(LEFT(VLOOKUP($D7,'Visu totale'!$D:$DH,Z$1,0),1)="V",IF(Y7&gt;=INDEX('[1]Définition Maintenances'!$G:$G,MATCH($A7,'[1]Définition Maintenances'!$K:$K,0)),Y7,INDEX('[1]Définition Maintenances'!$G:$G,MATCH($A7,'[1]Définition Maintenances'!$K:$K,0))+Y7),Y7))</f>
        <v>1200</v>
      </c>
      <c r="AA7" s="26">
        <f>IF(ISNUMBER(VLOOKUP($D7,'Visu totale'!$D:$DH,AA$1,0)),Z7-VLOOKUP($D7,'Visu totale'!$D:$DH,AA$1,0),IF(LEFT(VLOOKUP($D7,'Visu totale'!$D:$DH,AA$1,0),1)="V",IF(Z7&gt;=INDEX('[1]Définition Maintenances'!$G:$G,MATCH($A7,'[1]Définition Maintenances'!$K:$K,0)),Z7,INDEX('[1]Définition Maintenances'!$G:$G,MATCH($A7,'[1]Définition Maintenances'!$K:$K,0))+Z7),Z7))</f>
        <v>1200</v>
      </c>
      <c r="AB7" s="26">
        <f>IF(ISNUMBER(VLOOKUP($D7,'Visu totale'!$D:$DH,AB$1,0)),AA7-VLOOKUP($D7,'Visu totale'!$D:$DH,AB$1,0),IF(LEFT(VLOOKUP($D7,'Visu totale'!$D:$DH,AB$1,0),1)="V",IF(AA7&gt;=INDEX('[1]Définition Maintenances'!$G:$G,MATCH($A7,'[1]Définition Maintenances'!$K:$K,0)),AA7,INDEX('[1]Définition Maintenances'!$G:$G,MATCH($A7,'[1]Définition Maintenances'!$K:$K,0))+AA7),AA7))</f>
        <v>1200</v>
      </c>
      <c r="AC7" s="27">
        <f>IF(ISNUMBER(VLOOKUP($D7,'Visu totale'!$D:$DH,AC$1,0)),AB7-VLOOKUP($D7,'Visu totale'!$D:$DH,AC$1,0),IF(LEFT(VLOOKUP($D7,'Visu totale'!$D:$DH,AC$1,0),1)="V",IF(AB7&gt;=INDEX('[1]Définition Maintenances'!$G:$G,MATCH($A7,'[1]Définition Maintenances'!$K:$K,0)),AB7,INDEX('[1]Définition Maintenances'!$G:$G,MATCH($A7,'[1]Définition Maintenances'!$K:$K,0))+AB7),AB7))</f>
        <v>1200</v>
      </c>
      <c r="AD7" s="25">
        <f>IF(ISNUMBER(VLOOKUP($D7,'Visu totale'!$D:$DH,AD$1,0)),AC7-VLOOKUP($D7,'Visu totale'!$D:$DH,AD$1,0),IF(LEFT(VLOOKUP($D7,'Visu totale'!$D:$DH,AD$1,0),1)="V",IF(AC7&gt;=INDEX('[1]Définition Maintenances'!$G:$G,MATCH($A7,'[1]Définition Maintenances'!$K:$K,0)),AC7,INDEX('[1]Définition Maintenances'!$G:$G,MATCH($A7,'[1]Définition Maintenances'!$K:$K,0))+AC7),AC7))</f>
        <v>1200</v>
      </c>
      <c r="AE7" s="26">
        <f>IF(ISNUMBER(VLOOKUP($D7,'Visu totale'!$D:$DH,AE$1,0)),AD7-VLOOKUP($D7,'Visu totale'!$D:$DH,AE$1,0),IF(LEFT(VLOOKUP($D7,'Visu totale'!$D:$DH,AE$1,0),1)="V",IF(AD7&gt;=INDEX('[1]Définition Maintenances'!$G:$G,MATCH($A7,'[1]Définition Maintenances'!$K:$K,0)),AD7,INDEX('[1]Définition Maintenances'!$G:$G,MATCH($A7,'[1]Définition Maintenances'!$K:$K,0))+AD7),AD7))</f>
        <v>1200</v>
      </c>
      <c r="AF7" s="26">
        <f>IF(ISNUMBER(VLOOKUP($D7,'Visu totale'!$D:$DH,AF$1,0)),AE7-VLOOKUP($D7,'Visu totale'!$D:$DH,AF$1,0),IF(LEFT(VLOOKUP($D7,'Visu totale'!$D:$DH,AF$1,0),1)="V",IF(AE7&gt;=INDEX('[1]Définition Maintenances'!$G:$G,MATCH($A7,'[1]Définition Maintenances'!$K:$K,0)),AE7,INDEX('[1]Définition Maintenances'!$G:$G,MATCH($A7,'[1]Définition Maintenances'!$K:$K,0))+AE7),AE7))</f>
        <v>1200</v>
      </c>
      <c r="AG7" s="26">
        <f>IF(ISNUMBER(VLOOKUP($D7,'Visu totale'!$D:$DH,AG$1,0)),AF7-VLOOKUP($D7,'Visu totale'!$D:$DH,AG$1,0),IF(LEFT(VLOOKUP($D7,'Visu totale'!$D:$DH,AG$1,0),1)="V",IF(AF7&gt;=INDEX('[1]Définition Maintenances'!$G:$G,MATCH($A7,'[1]Définition Maintenances'!$K:$K,0)),AF7,INDEX('[1]Définition Maintenances'!$G:$G,MATCH($A7,'[1]Définition Maintenances'!$K:$K,0))+AF7),AF7))</f>
        <v>1200</v>
      </c>
      <c r="AH7" s="26">
        <f>IF(ISNUMBER(VLOOKUP($D7,'Visu totale'!$D:$DH,AH$1,0)),AG7-VLOOKUP($D7,'Visu totale'!$D:$DH,AH$1,0),IF(LEFT(VLOOKUP($D7,'Visu totale'!$D:$DH,AH$1,0),1)="V",IF(AG7&gt;=INDEX('[1]Définition Maintenances'!$G:$G,MATCH($A7,'[1]Définition Maintenances'!$K:$K,0)),AG7,INDEX('[1]Définition Maintenances'!$G:$G,MATCH($A7,'[1]Définition Maintenances'!$K:$K,0))+AG7),AG7))</f>
        <v>1200</v>
      </c>
      <c r="AI7" s="26">
        <f>IF(ISNUMBER(VLOOKUP($D7,'Visu totale'!$D:$DH,AI$1,0)),AH7-VLOOKUP($D7,'Visu totale'!$D:$DH,AI$1,0),IF(LEFT(VLOOKUP($D7,'Visu totale'!$D:$DH,AI$1,0),1)="V",IF(AH7&gt;=INDEX('[1]Définition Maintenances'!$G:$G,MATCH($A7,'[1]Définition Maintenances'!$K:$K,0)),AH7,INDEX('[1]Définition Maintenances'!$G:$G,MATCH($A7,'[1]Définition Maintenances'!$K:$K,0))+AH7),AH7))</f>
        <v>1200</v>
      </c>
      <c r="AJ7" s="26">
        <f>IF(ISNUMBER(VLOOKUP($D7,'Visu totale'!$D:$DH,AJ$1,0)),AI7-VLOOKUP($D7,'Visu totale'!$D:$DH,AJ$1,0),IF(LEFT(VLOOKUP($D7,'Visu totale'!$D:$DH,AJ$1,0),1)="V",IF(AI7&gt;=INDEX('[1]Définition Maintenances'!$G:$G,MATCH($A7,'[1]Définition Maintenances'!$K:$K,0)),AI7,INDEX('[1]Définition Maintenances'!$G:$G,MATCH($A7,'[1]Définition Maintenances'!$K:$K,0))+AI7),AI7))</f>
        <v>1200</v>
      </c>
      <c r="AK7" s="26">
        <f>IF(ISNUMBER(VLOOKUP($D7,'Visu totale'!$D:$DH,AK$1,0)),AJ7-VLOOKUP($D7,'Visu totale'!$D:$DH,AK$1,0),IF(LEFT(VLOOKUP($D7,'Visu totale'!$D:$DH,AK$1,0),1)="V",IF(AJ7&gt;=INDEX('[1]Définition Maintenances'!$G:$G,MATCH($A7,'[1]Définition Maintenances'!$K:$K,0)),AJ7,INDEX('[1]Définition Maintenances'!$G:$G,MATCH($A7,'[1]Définition Maintenances'!$K:$K,0))+AJ7),AJ7))</f>
        <v>1200</v>
      </c>
      <c r="AL7" s="26">
        <f>IF(ISNUMBER(VLOOKUP($D7,'Visu totale'!$D:$DH,AL$1,0)),AK7-VLOOKUP($D7,'Visu totale'!$D:$DH,AL$1,0),IF(LEFT(VLOOKUP($D7,'Visu totale'!$D:$DH,AL$1,0),1)="V",IF(AK7&gt;=INDEX('[1]Définition Maintenances'!$G:$G,MATCH($A7,'[1]Définition Maintenances'!$K:$K,0)),AK7,INDEX('[1]Définition Maintenances'!$G:$G,MATCH($A7,'[1]Définition Maintenances'!$K:$K,0))+AK7),AK7))</f>
        <v>1200</v>
      </c>
      <c r="AM7" s="26">
        <f>IF(ISNUMBER(VLOOKUP($D7,'Visu totale'!$D:$DH,AM$1,0)),AL7-VLOOKUP($D7,'Visu totale'!$D:$DH,AM$1,0),IF(LEFT(VLOOKUP($D7,'Visu totale'!$D:$DH,AM$1,0),1)="V",IF(AL7&gt;=INDEX('[1]Définition Maintenances'!$G:$G,MATCH($A7,'[1]Définition Maintenances'!$K:$K,0)),AL7,INDEX('[1]Définition Maintenances'!$G:$G,MATCH($A7,'[1]Définition Maintenances'!$K:$K,0))+AL7),AL7))</f>
        <v>1200</v>
      </c>
      <c r="AN7" s="26">
        <f>IF(ISNUMBER(VLOOKUP($D7,'Visu totale'!$D:$DH,AN$1,0)),AM7-VLOOKUP($D7,'Visu totale'!$D:$DH,AN$1,0),IF(LEFT(VLOOKUP($D7,'Visu totale'!$D:$DH,AN$1,0),1)="V",IF(AM7&gt;=INDEX('[1]Définition Maintenances'!$G:$G,MATCH($A7,'[1]Définition Maintenances'!$K:$K,0)),AM7,INDEX('[1]Définition Maintenances'!$G:$G,MATCH($A7,'[1]Définition Maintenances'!$K:$K,0))+AM7),AM7))</f>
        <v>1200</v>
      </c>
      <c r="AO7" s="27">
        <f>IF(ISNUMBER(VLOOKUP($D7,'Visu totale'!$D:$DH,AO$1,0)),AN7-VLOOKUP($D7,'Visu totale'!$D:$DH,AO$1,0),IF(LEFT(VLOOKUP($D7,'Visu totale'!$D:$DH,AO$1,0),1)="V",IF(AN7&gt;=INDEX('[1]Définition Maintenances'!$G:$G,MATCH($A7,'[1]Définition Maintenances'!$K:$K,0)),AN7,INDEX('[1]Définition Maintenances'!$G:$G,MATCH($A7,'[1]Définition Maintenances'!$K:$K,0))+AN7),AN7))</f>
        <v>1200</v>
      </c>
      <c r="AP7" s="25">
        <f>IF(ISNUMBER(VLOOKUP($D7,'Visu totale'!$D:$DH,AP$1,0)),AO7-VLOOKUP($D7,'Visu totale'!$D:$DH,AP$1,0),IF(LEFT(VLOOKUP($D7,'Visu totale'!$D:$DH,AP$1,0),1)="V",IF(AO7&gt;=INDEX('[1]Définition Maintenances'!$G:$G,MATCH($A7,'[1]Définition Maintenances'!$K:$K,0)),AO7,INDEX('[1]Définition Maintenances'!$G:$G,MATCH($A7,'[1]Définition Maintenances'!$K:$K,0))+AO7),AO7))</f>
        <v>1200</v>
      </c>
      <c r="AQ7" s="26">
        <f>IF(ISNUMBER(VLOOKUP($D7,'Visu totale'!$D:$DH,AQ$1,0)),AP7-VLOOKUP($D7,'Visu totale'!$D:$DH,AQ$1,0),IF(LEFT(VLOOKUP($D7,'Visu totale'!$D:$DH,AQ$1,0),1)="V",IF(AP7&gt;=INDEX('[1]Définition Maintenances'!$G:$G,MATCH($A7,'[1]Définition Maintenances'!$K:$K,0)),AP7,INDEX('[1]Définition Maintenances'!$G:$G,MATCH($A7,'[1]Définition Maintenances'!$K:$K,0))+AP7),AP7))</f>
        <v>1200</v>
      </c>
      <c r="AR7" s="26">
        <f>IF(ISNUMBER(VLOOKUP($D7,'Visu totale'!$D:$DH,AR$1,0)),AQ7-VLOOKUP($D7,'Visu totale'!$D:$DH,AR$1,0),IF(LEFT(VLOOKUP($D7,'Visu totale'!$D:$DH,AR$1,0),1)="V",IF(AQ7&gt;=INDEX('[1]Définition Maintenances'!$G:$G,MATCH($A7,'[1]Définition Maintenances'!$K:$K,0)),AQ7,INDEX('[1]Définition Maintenances'!$G:$G,MATCH($A7,'[1]Définition Maintenances'!$K:$K,0))+AQ7),AQ7))</f>
        <v>1200</v>
      </c>
      <c r="AS7" s="26">
        <f>IF(ISNUMBER(VLOOKUP($D7,'Visu totale'!$D:$DH,AS$1,0)),AR7-VLOOKUP($D7,'Visu totale'!$D:$DH,AS$1,0),IF(LEFT(VLOOKUP($D7,'Visu totale'!$D:$DH,AS$1,0),1)="V",IF(AR7&gt;=INDEX('[1]Définition Maintenances'!$G:$G,MATCH($A7,'[1]Définition Maintenances'!$K:$K,0)),AR7,INDEX('[1]Définition Maintenances'!$G:$G,MATCH($A7,'[1]Définition Maintenances'!$K:$K,0))+AR7),AR7))</f>
        <v>1200</v>
      </c>
      <c r="AT7" s="26">
        <f>IF(ISNUMBER(VLOOKUP($D7,'Visu totale'!$D:$DH,AT$1,0)),AS7-VLOOKUP($D7,'Visu totale'!$D:$DH,AT$1,0),IF(LEFT(VLOOKUP($D7,'Visu totale'!$D:$DH,AT$1,0),1)="V",IF(AS7&gt;=INDEX('[1]Définition Maintenances'!$G:$G,MATCH($A7,'[1]Définition Maintenances'!$K:$K,0)),AS7,INDEX('[1]Définition Maintenances'!$G:$G,MATCH($A7,'[1]Définition Maintenances'!$K:$K,0))+AS7),AS7))</f>
        <v>1200</v>
      </c>
      <c r="AU7" s="26">
        <f>IF(ISNUMBER(VLOOKUP($D7,'Visu totale'!$D:$DH,AU$1,0)),AT7-VLOOKUP($D7,'Visu totale'!$D:$DH,AU$1,0),IF(LEFT(VLOOKUP($D7,'Visu totale'!$D:$DH,AU$1,0),1)="V",IF(AT7&gt;=INDEX('[1]Définition Maintenances'!$G:$G,MATCH($A7,'[1]Définition Maintenances'!$K:$K,0)),AT7,INDEX('[1]Définition Maintenances'!$G:$G,MATCH($A7,'[1]Définition Maintenances'!$K:$K,0))+AT7),AT7))</f>
        <v>1200</v>
      </c>
      <c r="AV7" s="26">
        <f>IF(ISNUMBER(VLOOKUP($D7,'Visu totale'!$D:$DH,AV$1,0)),AU7-VLOOKUP($D7,'Visu totale'!$D:$DH,AV$1,0),IF(LEFT(VLOOKUP($D7,'Visu totale'!$D:$DH,AV$1,0),1)="V",IF(AU7&gt;=INDEX('[1]Définition Maintenances'!$G:$G,MATCH($A7,'[1]Définition Maintenances'!$K:$K,0)),AU7,INDEX('[1]Définition Maintenances'!$G:$G,MATCH($A7,'[1]Définition Maintenances'!$K:$K,0))+AU7),AU7))</f>
        <v>1200</v>
      </c>
      <c r="AW7" s="26">
        <f>IF(ISNUMBER(VLOOKUP($D7,'Visu totale'!$D:$DH,AW$1,0)),AV7-VLOOKUP($D7,'Visu totale'!$D:$DH,AW$1,0),IF(LEFT(VLOOKUP($D7,'Visu totale'!$D:$DH,AW$1,0),1)="V",IF(AV7&gt;=INDEX('[1]Définition Maintenances'!$G:$G,MATCH($A7,'[1]Définition Maintenances'!$K:$K,0)),AV7,INDEX('[1]Définition Maintenances'!$G:$G,MATCH($A7,'[1]Définition Maintenances'!$K:$K,0))+AV7),AV7))</f>
        <v>1200</v>
      </c>
      <c r="AX7" s="26">
        <f>IF(ISNUMBER(VLOOKUP($D7,'Visu totale'!$D:$DH,AX$1,0)),AW7-VLOOKUP($D7,'Visu totale'!$D:$DH,AX$1,0),IF(LEFT(VLOOKUP($D7,'Visu totale'!$D:$DH,AX$1,0),1)="V",IF(AW7&gt;=INDEX('[1]Définition Maintenances'!$G:$G,MATCH($A7,'[1]Définition Maintenances'!$K:$K,0)),AW7,INDEX('[1]Définition Maintenances'!$G:$G,MATCH($A7,'[1]Définition Maintenances'!$K:$K,0))+AW7),AW7))</f>
        <v>1200</v>
      </c>
      <c r="AY7" s="26">
        <f>IF(ISNUMBER(VLOOKUP($D7,'Visu totale'!$D:$DH,AY$1,0)),AX7-VLOOKUP($D7,'Visu totale'!$D:$DH,AY$1,0),IF(LEFT(VLOOKUP($D7,'Visu totale'!$D:$DH,AY$1,0),1)="V",IF(AX7&gt;=INDEX('[1]Définition Maintenances'!$G:$G,MATCH($A7,'[1]Définition Maintenances'!$K:$K,0)),AX7,INDEX('[1]Définition Maintenances'!$G:$G,MATCH($A7,'[1]Définition Maintenances'!$K:$K,0))+AX7),AX7))</f>
        <v>1200</v>
      </c>
      <c r="AZ7" s="26">
        <f>IF(ISNUMBER(VLOOKUP($D7,'Visu totale'!$D:$DH,AZ$1,0)),AY7-VLOOKUP($D7,'Visu totale'!$D:$DH,AZ$1,0),IF(LEFT(VLOOKUP($D7,'Visu totale'!$D:$DH,AZ$1,0),1)="V",IF(AY7&gt;=INDEX('[1]Définition Maintenances'!$G:$G,MATCH($A7,'[1]Définition Maintenances'!$K:$K,0)),AY7,INDEX('[1]Définition Maintenances'!$G:$G,MATCH($A7,'[1]Définition Maintenances'!$K:$K,0))+AY7),AY7))</f>
        <v>1200</v>
      </c>
      <c r="BA7" s="27">
        <f>IF(ISNUMBER(VLOOKUP($D7,'Visu totale'!$D:$DH,BA$1,0)),AZ7-VLOOKUP($D7,'Visu totale'!$D:$DH,BA$1,0),IF(LEFT(VLOOKUP($D7,'Visu totale'!$D:$DH,BA$1,0),1)="V",IF(AZ7&gt;=INDEX('[1]Définition Maintenances'!$G:$G,MATCH($A7,'[1]Définition Maintenances'!$K:$K,0)),AZ7,INDEX('[1]Définition Maintenances'!$G:$G,MATCH($A7,'[1]Définition Maintenances'!$K:$K,0))+AZ7),AZ7))</f>
        <v>1200</v>
      </c>
      <c r="BB7" s="25">
        <f>IF(ISNUMBER(VLOOKUP($D7,'Visu totale'!$D:$DH,BB$1,0)),BA7-VLOOKUP($D7,'Visu totale'!$D:$DH,BB$1,0),IF(LEFT(VLOOKUP($D7,'Visu totale'!$D:$DH,BB$1,0),1)="V",IF(BA7&gt;=INDEX('[1]Définition Maintenances'!$G:$G,MATCH($A7,'[1]Définition Maintenances'!$K:$K,0)),BA7,INDEX('[1]Définition Maintenances'!$G:$G,MATCH($A7,'[1]Définition Maintenances'!$K:$K,0))+BA7),BA7))</f>
        <v>1200</v>
      </c>
      <c r="BC7" s="26">
        <f>IF(ISNUMBER(VLOOKUP($D7,'Visu totale'!$D:$DH,BC$1,0)),BB7-VLOOKUP($D7,'Visu totale'!$D:$DH,BC$1,0),IF(LEFT(VLOOKUP($D7,'Visu totale'!$D:$DH,BC$1,0),1)="V",IF(BB7&gt;=INDEX('[1]Définition Maintenances'!$G:$G,MATCH($A7,'[1]Définition Maintenances'!$K:$K,0)),BB7,INDEX('[1]Définition Maintenances'!$G:$G,MATCH($A7,'[1]Définition Maintenances'!$K:$K,0))+BB7),BB7))</f>
        <v>1200</v>
      </c>
      <c r="BD7" s="26">
        <f>IF(ISNUMBER(VLOOKUP($D7,'Visu totale'!$D:$DH,BD$1,0)),BC7-VLOOKUP($D7,'Visu totale'!$D:$DH,BD$1,0),IF(LEFT(VLOOKUP($D7,'Visu totale'!$D:$DH,BD$1,0),1)="V",IF(BC7&gt;=INDEX('[1]Définition Maintenances'!$G:$G,MATCH($A7,'[1]Définition Maintenances'!$K:$K,0)),BC7,INDEX('[1]Définition Maintenances'!$G:$G,MATCH($A7,'[1]Définition Maintenances'!$K:$K,0))+BC7),BC7))</f>
        <v>1200</v>
      </c>
      <c r="BE7" s="26">
        <f>IF(ISNUMBER(VLOOKUP($D7,'Visu totale'!$D:$DH,BE$1,0)),BD7-VLOOKUP($D7,'Visu totale'!$D:$DH,BE$1,0),IF(LEFT(VLOOKUP($D7,'Visu totale'!$D:$DH,BE$1,0),1)="V",IF(BD7&gt;=INDEX('[1]Définition Maintenances'!$G:$G,MATCH($A7,'[1]Définition Maintenances'!$K:$K,0)),BD7,INDEX('[1]Définition Maintenances'!$G:$G,MATCH($A7,'[1]Définition Maintenances'!$K:$K,0))+BD7),BD7))</f>
        <v>1200</v>
      </c>
      <c r="BF7" s="26">
        <f>IF(ISNUMBER(VLOOKUP($D7,'Visu totale'!$D:$DH,BF$1,0)),BE7-VLOOKUP($D7,'Visu totale'!$D:$DH,BF$1,0),IF(LEFT(VLOOKUP($D7,'Visu totale'!$D:$DH,BF$1,0),1)="V",IF(BE7&gt;=INDEX('[1]Définition Maintenances'!$G:$G,MATCH($A7,'[1]Définition Maintenances'!$K:$K,0)),BE7,INDEX('[1]Définition Maintenances'!$G:$G,MATCH($A7,'[1]Définition Maintenances'!$K:$K,0))+BE7),BE7))</f>
        <v>1200</v>
      </c>
      <c r="BG7" s="26">
        <f>IF(ISNUMBER(VLOOKUP($D7,'Visu totale'!$D:$DH,BG$1,0)),BF7-VLOOKUP($D7,'Visu totale'!$D:$DH,BG$1,0),IF(LEFT(VLOOKUP($D7,'Visu totale'!$D:$DH,BG$1,0),1)="V",IF(BF7&gt;=INDEX('[1]Définition Maintenances'!$G:$G,MATCH($A7,'[1]Définition Maintenances'!$K:$K,0)),BF7,INDEX('[1]Définition Maintenances'!$G:$G,MATCH($A7,'[1]Définition Maintenances'!$K:$K,0))+BF7),BF7))</f>
        <v>1200</v>
      </c>
      <c r="BH7" s="26">
        <f>IF(ISNUMBER(VLOOKUP($D7,'Visu totale'!$D:$DH,BH$1,0)),BG7-VLOOKUP($D7,'Visu totale'!$D:$DH,BH$1,0),IF(LEFT(VLOOKUP($D7,'Visu totale'!$D:$DH,BH$1,0),1)="V",IF(BG7&gt;=INDEX('[1]Définition Maintenances'!$G:$G,MATCH($A7,'[1]Définition Maintenances'!$K:$K,0)),BG7,INDEX('[1]Définition Maintenances'!$G:$G,MATCH($A7,'[1]Définition Maintenances'!$K:$K,0))+BG7),BG7))</f>
        <v>1200</v>
      </c>
      <c r="BI7" s="26">
        <f>IF(ISNUMBER(VLOOKUP($D7,'Visu totale'!$D:$DH,BI$1,0)),BH7-VLOOKUP($D7,'Visu totale'!$D:$DH,BI$1,0),IF(LEFT(VLOOKUP($D7,'Visu totale'!$D:$DH,BI$1,0),1)="V",IF(BH7&gt;=INDEX('[1]Définition Maintenances'!$G:$G,MATCH($A7,'[1]Définition Maintenances'!$K:$K,0)),BH7,INDEX('[1]Définition Maintenances'!$G:$G,MATCH($A7,'[1]Définition Maintenances'!$K:$K,0))+BH7),BH7))</f>
        <v>1200</v>
      </c>
      <c r="BJ7" s="26">
        <f>IF(ISNUMBER(VLOOKUP($D7,'Visu totale'!$D:$DH,BJ$1,0)),BI7-VLOOKUP($D7,'Visu totale'!$D:$DH,BJ$1,0),IF(LEFT(VLOOKUP($D7,'Visu totale'!$D:$DH,BJ$1,0),1)="V",IF(BI7&gt;=INDEX('[1]Définition Maintenances'!$G:$G,MATCH($A7,'[1]Définition Maintenances'!$K:$K,0)),BI7,INDEX('[1]Définition Maintenances'!$G:$G,MATCH($A7,'[1]Définition Maintenances'!$K:$K,0))+BI7),BI7))</f>
        <v>1200</v>
      </c>
      <c r="BK7" s="26">
        <f>IF(ISNUMBER(VLOOKUP($D7,'Visu totale'!$D:$DH,BK$1,0)),BJ7-VLOOKUP($D7,'Visu totale'!$D:$DH,BK$1,0),IF(LEFT(VLOOKUP($D7,'Visu totale'!$D:$DH,BK$1,0),1)="V",IF(BJ7&gt;=INDEX('[1]Définition Maintenances'!$G:$G,MATCH($A7,'[1]Définition Maintenances'!$K:$K,0)),BJ7,INDEX('[1]Définition Maintenances'!$G:$G,MATCH($A7,'[1]Définition Maintenances'!$K:$K,0))+BJ7),BJ7))</f>
        <v>1200</v>
      </c>
      <c r="BL7" s="26">
        <f>IF(ISNUMBER(VLOOKUP($D7,'Visu totale'!$D:$DH,BL$1,0)),BK7-VLOOKUP($D7,'Visu totale'!$D:$DH,BL$1,0),IF(LEFT(VLOOKUP($D7,'Visu totale'!$D:$DH,BL$1,0),1)="V",IF(BK7&gt;=INDEX('[1]Définition Maintenances'!$G:$G,MATCH($A7,'[1]Définition Maintenances'!$K:$K,0)),BK7,INDEX('[1]Définition Maintenances'!$G:$G,MATCH($A7,'[1]Définition Maintenances'!$K:$K,0))+BK7),BK7))</f>
        <v>1200</v>
      </c>
      <c r="BM7" s="27">
        <f>IF(ISNUMBER(VLOOKUP($D7,'Visu totale'!$D:$DH,BM$1,0)),BL7-VLOOKUP($D7,'Visu totale'!$D:$DH,BM$1,0),IF(LEFT(VLOOKUP($D7,'Visu totale'!$D:$DH,BM$1,0),1)="V",IF(BL7&gt;=INDEX('[1]Définition Maintenances'!$G:$G,MATCH($A7,'[1]Définition Maintenances'!$K:$K,0)),BL7,INDEX('[1]Définition Maintenances'!$G:$G,MATCH($A7,'[1]Définition Maintenances'!$K:$K,0))+BL7),BL7))</f>
        <v>1200</v>
      </c>
      <c r="BN7" s="25">
        <f>IF(ISNUMBER(VLOOKUP($D7,'Visu totale'!$D:$DH,BN$1,0)),BM7-VLOOKUP($D7,'Visu totale'!$D:$DH,BN$1,0),IF(LEFT(VLOOKUP($D7,'Visu totale'!$D:$DH,BN$1,0),1)="V",IF(BM7&gt;=INDEX('[1]Définition Maintenances'!$G:$G,MATCH($A7,'[1]Définition Maintenances'!$K:$K,0)),BM7,INDEX('[1]Définition Maintenances'!$G:$G,MATCH($A7,'[1]Définition Maintenances'!$K:$K,0))+BM7),BM7))</f>
        <v>1200</v>
      </c>
      <c r="BO7" s="26">
        <f>IF(ISNUMBER(VLOOKUP($D7,'Visu totale'!$D:$DH,BO$1,0)),BN7-VLOOKUP($D7,'Visu totale'!$D:$DH,BO$1,0),IF(LEFT(VLOOKUP($D7,'Visu totale'!$D:$DH,BO$1,0),1)="V",IF(BN7&gt;=INDEX('[1]Définition Maintenances'!$G:$G,MATCH($A7,'[1]Définition Maintenances'!$K:$K,0)),BN7,INDEX('[1]Définition Maintenances'!$G:$G,MATCH($A7,'[1]Définition Maintenances'!$K:$K,0))+BN7),BN7))</f>
        <v>1200</v>
      </c>
      <c r="BP7" s="26">
        <f>IF(ISNUMBER(VLOOKUP($D7,'Visu totale'!$D:$DH,BP$1,0)),BO7-VLOOKUP($D7,'Visu totale'!$D:$DH,BP$1,0),IF(LEFT(VLOOKUP($D7,'Visu totale'!$D:$DH,BP$1,0),1)="V",IF(BO7&gt;=INDEX('[1]Définition Maintenances'!$G:$G,MATCH($A7,'[1]Définition Maintenances'!$K:$K,0)),BO7,INDEX('[1]Définition Maintenances'!$G:$G,MATCH($A7,'[1]Définition Maintenances'!$K:$K,0))+BO7),BO7))</f>
        <v>1200</v>
      </c>
      <c r="BQ7" s="26">
        <f>IF(ISNUMBER(VLOOKUP($D7,'Visu totale'!$D:$DH,BQ$1,0)),BP7-VLOOKUP($D7,'Visu totale'!$D:$DH,BQ$1,0),IF(LEFT(VLOOKUP($D7,'Visu totale'!$D:$DH,BQ$1,0),1)="V",IF(BP7&gt;=INDEX('[1]Définition Maintenances'!$G:$G,MATCH($A7,'[1]Définition Maintenances'!$K:$K,0)),BP7,INDEX('[1]Définition Maintenances'!$G:$G,MATCH($A7,'[1]Définition Maintenances'!$K:$K,0))+BP7),BP7))</f>
        <v>1200</v>
      </c>
      <c r="BR7" s="26">
        <f>IF(ISNUMBER(VLOOKUP($D7,'Visu totale'!$D:$DH,BR$1,0)),BQ7-VLOOKUP($D7,'Visu totale'!$D:$DH,BR$1,0),IF(LEFT(VLOOKUP($D7,'Visu totale'!$D:$DH,BR$1,0),1)="V",IF(BQ7&gt;=INDEX('[1]Définition Maintenances'!$G:$G,MATCH($A7,'[1]Définition Maintenances'!$K:$K,0)),BQ7,INDEX('[1]Définition Maintenances'!$G:$G,MATCH($A7,'[1]Définition Maintenances'!$K:$K,0))+BQ7),BQ7))</f>
        <v>1200</v>
      </c>
      <c r="BS7" s="26">
        <f>IF(ISNUMBER(VLOOKUP($D7,'Visu totale'!$D:$DH,BS$1,0)),BR7-VLOOKUP($D7,'Visu totale'!$D:$DH,BS$1,0),IF(LEFT(VLOOKUP($D7,'Visu totale'!$D:$DH,BS$1,0),1)="V",IF(BR7&gt;=INDEX('[1]Définition Maintenances'!$G:$G,MATCH($A7,'[1]Définition Maintenances'!$K:$K,0)),BR7,INDEX('[1]Définition Maintenances'!$G:$G,MATCH($A7,'[1]Définition Maintenances'!$K:$K,0))+BR7),BR7))</f>
        <v>1200</v>
      </c>
      <c r="BT7" s="26">
        <f>IF(ISNUMBER(VLOOKUP($D7,'Visu totale'!$D:$DH,BT$1,0)),BS7-VLOOKUP($D7,'Visu totale'!$D:$DH,BT$1,0),IF(LEFT(VLOOKUP($D7,'Visu totale'!$D:$DH,BT$1,0),1)="V",IF(BS7&gt;=INDEX('[1]Définition Maintenances'!$G:$G,MATCH($A7,'[1]Définition Maintenances'!$K:$K,0)),BS7,INDEX('[1]Définition Maintenances'!$G:$G,MATCH($A7,'[1]Définition Maintenances'!$K:$K,0))+BS7),BS7))</f>
        <v>1200</v>
      </c>
      <c r="BU7" s="26">
        <f>IF(ISNUMBER(VLOOKUP($D7,'Visu totale'!$D:$DH,BU$1,0)),BT7-VLOOKUP($D7,'Visu totale'!$D:$DH,BU$1,0),IF(LEFT(VLOOKUP($D7,'Visu totale'!$D:$DH,BU$1,0),1)="V",IF(BT7&gt;=INDEX('[1]Définition Maintenances'!$G:$G,MATCH($A7,'[1]Définition Maintenances'!$K:$K,0)),BT7,INDEX('[1]Définition Maintenances'!$G:$G,MATCH($A7,'[1]Définition Maintenances'!$K:$K,0))+BT7),BT7))</f>
        <v>1200</v>
      </c>
      <c r="BV7" s="26">
        <f>IF(ISNUMBER(VLOOKUP($D7,'Visu totale'!$D:$DH,BV$1,0)),BU7-VLOOKUP($D7,'Visu totale'!$D:$DH,BV$1,0),IF(LEFT(VLOOKUP($D7,'Visu totale'!$D:$DH,BV$1,0),1)="V",IF(BU7&gt;=INDEX('[1]Définition Maintenances'!$G:$G,MATCH($A7,'[1]Définition Maintenances'!$K:$K,0)),BU7,INDEX('[1]Définition Maintenances'!$G:$G,MATCH($A7,'[1]Définition Maintenances'!$K:$K,0))+BU7),BU7))</f>
        <v>1200</v>
      </c>
      <c r="BW7" s="26">
        <f>IF(ISNUMBER(VLOOKUP($D7,'Visu totale'!$D:$DH,BW$1,0)),BV7-VLOOKUP($D7,'Visu totale'!$D:$DH,BW$1,0),IF(LEFT(VLOOKUP($D7,'Visu totale'!$D:$DH,BW$1,0),1)="V",IF(BV7&gt;=INDEX('[1]Définition Maintenances'!$G:$G,MATCH($A7,'[1]Définition Maintenances'!$K:$K,0)),BV7,INDEX('[1]Définition Maintenances'!$G:$G,MATCH($A7,'[1]Définition Maintenances'!$K:$K,0))+BV7),BV7))</f>
        <v>1200</v>
      </c>
      <c r="BX7" s="26">
        <f>IF(ISNUMBER(VLOOKUP($D7,'Visu totale'!$D:$DH,BX$1,0)),BW7-VLOOKUP($D7,'Visu totale'!$D:$DH,BX$1,0),IF(LEFT(VLOOKUP($D7,'Visu totale'!$D:$DH,BX$1,0),1)="V",IF(BW7&gt;=INDEX('[1]Définition Maintenances'!$G:$G,MATCH($A7,'[1]Définition Maintenances'!$K:$K,0)),BW7,INDEX('[1]Définition Maintenances'!$G:$G,MATCH($A7,'[1]Définition Maintenances'!$K:$K,0))+BW7),BW7))</f>
        <v>1200</v>
      </c>
      <c r="BY7" s="27">
        <f>IF(ISNUMBER(VLOOKUP($D7,'Visu totale'!$D:$DH,BY$1,0)),BX7-VLOOKUP($D7,'Visu totale'!$D:$DH,BY$1,0),IF(LEFT(VLOOKUP($D7,'Visu totale'!$D:$DH,BY$1,0),1)="V",IF(BX7&gt;=INDEX('[1]Définition Maintenances'!$G:$G,MATCH($A7,'[1]Définition Maintenances'!$K:$K,0)),BX7,INDEX('[1]Définition Maintenances'!$G:$G,MATCH($A7,'[1]Définition Maintenances'!$K:$K,0))+BX7),BX7))</f>
        <v>1200</v>
      </c>
      <c r="BZ7" s="25">
        <f>IF(ISNUMBER(VLOOKUP($D7,'Visu totale'!$D:$DH,BZ$1,0)),BY7-VLOOKUP($D7,'Visu totale'!$D:$DH,BZ$1,0),IF(LEFT(VLOOKUP($D7,'Visu totale'!$D:$DH,BZ$1,0),1)="V",IF(BY7&gt;=INDEX('[1]Définition Maintenances'!$G:$G,MATCH($A7,'[1]Définition Maintenances'!$K:$K,0)),BY7,INDEX('[1]Définition Maintenances'!$G:$G,MATCH($A7,'[1]Définition Maintenances'!$K:$K,0))+BY7),BY7))</f>
        <v>1200</v>
      </c>
      <c r="CA7" s="26">
        <f>IF(ISNUMBER(VLOOKUP($D7,'Visu totale'!$D:$DH,CA$1,0)),BZ7-VLOOKUP($D7,'Visu totale'!$D:$DH,CA$1,0),IF(LEFT(VLOOKUP($D7,'Visu totale'!$D:$DH,CA$1,0),1)="V",IF(BZ7&gt;=INDEX('[1]Définition Maintenances'!$G:$G,MATCH($A7,'[1]Définition Maintenances'!$K:$K,0)),BZ7,INDEX('[1]Définition Maintenances'!$G:$G,MATCH($A7,'[1]Définition Maintenances'!$K:$K,0))+BZ7),BZ7))</f>
        <v>1200</v>
      </c>
      <c r="CB7" s="26">
        <f>IF(ISNUMBER(VLOOKUP($D7,'Visu totale'!$D:$DH,CB$1,0)),CA7-VLOOKUP($D7,'Visu totale'!$D:$DH,CB$1,0),IF(LEFT(VLOOKUP($D7,'Visu totale'!$D:$DH,CB$1,0),1)="V",IF(CA7&gt;=INDEX('[1]Définition Maintenances'!$G:$G,MATCH($A7,'[1]Définition Maintenances'!$K:$K,0)),CA7,INDEX('[1]Définition Maintenances'!$G:$G,MATCH($A7,'[1]Définition Maintenances'!$K:$K,0))+CA7),CA7))</f>
        <v>1200</v>
      </c>
      <c r="CC7" s="26">
        <f>IF(ISNUMBER(VLOOKUP($D7,'Visu totale'!$D:$DH,CC$1,0)),CB7-VLOOKUP($D7,'Visu totale'!$D:$DH,CC$1,0),IF(LEFT(VLOOKUP($D7,'Visu totale'!$D:$DH,CC$1,0),1)="V",IF(CB7&gt;=INDEX('[1]Définition Maintenances'!$G:$G,MATCH($A7,'[1]Définition Maintenances'!$K:$K,0)),CB7,INDEX('[1]Définition Maintenances'!$G:$G,MATCH($A7,'[1]Définition Maintenances'!$K:$K,0))+CB7),CB7))</f>
        <v>1200</v>
      </c>
      <c r="CD7" s="26">
        <f>IF(ISNUMBER(VLOOKUP($D7,'Visu totale'!$D:$DH,CD$1,0)),CC7-VLOOKUP($D7,'Visu totale'!$D:$DH,CD$1,0),IF(LEFT(VLOOKUP($D7,'Visu totale'!$D:$DH,CD$1,0),1)="V",IF(CC7&gt;=INDEX('[1]Définition Maintenances'!$G:$G,MATCH($A7,'[1]Définition Maintenances'!$K:$K,0)),CC7,INDEX('[1]Définition Maintenances'!$G:$G,MATCH($A7,'[1]Définition Maintenances'!$K:$K,0))+CC7),CC7))</f>
        <v>1200</v>
      </c>
      <c r="CE7" s="26">
        <f>IF(ISNUMBER(VLOOKUP($D7,'Visu totale'!$D:$DH,CE$1,0)),CD7-VLOOKUP($D7,'Visu totale'!$D:$DH,CE$1,0),IF(LEFT(VLOOKUP($D7,'Visu totale'!$D:$DH,CE$1,0),1)="V",IF(CD7&gt;=INDEX('[1]Définition Maintenances'!$G:$G,MATCH($A7,'[1]Définition Maintenances'!$K:$K,0)),CD7,INDEX('[1]Définition Maintenances'!$G:$G,MATCH($A7,'[1]Définition Maintenances'!$K:$K,0))+CD7),CD7))</f>
        <v>1200</v>
      </c>
      <c r="CF7" s="26">
        <f>IF(ISNUMBER(VLOOKUP($D7,'Visu totale'!$D:$DH,CF$1,0)),CE7-VLOOKUP($D7,'Visu totale'!$D:$DH,CF$1,0),IF(LEFT(VLOOKUP($D7,'Visu totale'!$D:$DH,CF$1,0),1)="V",IF(CE7&gt;=INDEX('[1]Définition Maintenances'!$G:$G,MATCH($A7,'[1]Définition Maintenances'!$K:$K,0)),CE7,INDEX('[1]Définition Maintenances'!$G:$G,MATCH($A7,'[1]Définition Maintenances'!$K:$K,0))+CE7),CE7))</f>
        <v>1200</v>
      </c>
      <c r="CG7" s="26">
        <f>IF(ISNUMBER(VLOOKUP($D7,'Visu totale'!$D:$DH,CG$1,0)),CF7-VLOOKUP($D7,'Visu totale'!$D:$DH,CG$1,0),IF(LEFT(VLOOKUP($D7,'Visu totale'!$D:$DH,CG$1,0),1)="V",IF(CF7&gt;=INDEX('[1]Définition Maintenances'!$G:$G,MATCH($A7,'[1]Définition Maintenances'!$K:$K,0)),CF7,INDEX('[1]Définition Maintenances'!$G:$G,MATCH($A7,'[1]Définition Maintenances'!$K:$K,0))+CF7),CF7))</f>
        <v>1200</v>
      </c>
      <c r="CH7" s="26">
        <f>IF(ISNUMBER(VLOOKUP($D7,'Visu totale'!$D:$DH,CH$1,0)),CG7-VLOOKUP($D7,'Visu totale'!$D:$DH,CH$1,0),IF(LEFT(VLOOKUP($D7,'Visu totale'!$D:$DH,CH$1,0),1)="V",IF(CG7&gt;=INDEX('[1]Définition Maintenances'!$G:$G,MATCH($A7,'[1]Définition Maintenances'!$K:$K,0)),CG7,INDEX('[1]Définition Maintenances'!$G:$G,MATCH($A7,'[1]Définition Maintenances'!$K:$K,0))+CG7),CG7))</f>
        <v>1200</v>
      </c>
      <c r="CI7" s="26">
        <f>IF(ISNUMBER(VLOOKUP($D7,'Visu totale'!$D:$DH,CI$1,0)),CH7-VLOOKUP($D7,'Visu totale'!$D:$DH,CI$1,0),IF(LEFT(VLOOKUP($D7,'Visu totale'!$D:$DH,CI$1,0),1)="V",IF(CH7&gt;=INDEX('[1]Définition Maintenances'!$G:$G,MATCH($A7,'[1]Définition Maintenances'!$K:$K,0)),CH7,INDEX('[1]Définition Maintenances'!$G:$G,MATCH($A7,'[1]Définition Maintenances'!$K:$K,0))+CH7),CH7))</f>
        <v>1200</v>
      </c>
      <c r="CJ7" s="26">
        <f>IF(ISNUMBER(VLOOKUP($D7,'Visu totale'!$D:$DH,CJ$1,0)),CI7-VLOOKUP($D7,'Visu totale'!$D:$DH,CJ$1,0),IF(LEFT(VLOOKUP($D7,'Visu totale'!$D:$DH,CJ$1,0),1)="V",IF(CI7&gt;=INDEX('[1]Définition Maintenances'!$G:$G,MATCH($A7,'[1]Définition Maintenances'!$K:$K,0)),CI7,INDEX('[1]Définition Maintenances'!$G:$G,MATCH($A7,'[1]Définition Maintenances'!$K:$K,0))+CI7),CI7))</f>
        <v>1200</v>
      </c>
      <c r="CK7" s="27">
        <f>IF(ISNUMBER(VLOOKUP($D7,'Visu totale'!$D:$DH,CK$1,0)),CJ7-VLOOKUP($D7,'Visu totale'!$D:$DH,CK$1,0),IF(LEFT(VLOOKUP($D7,'Visu totale'!$D:$DH,CK$1,0),1)="V",IF(CJ7&gt;=INDEX('[1]Définition Maintenances'!$G:$G,MATCH($A7,'[1]Définition Maintenances'!$K:$K,0)),CJ7,INDEX('[1]Définition Maintenances'!$G:$G,MATCH($A7,'[1]Définition Maintenances'!$K:$K,0))+CJ7),CJ7))</f>
        <v>1200</v>
      </c>
      <c r="CL7" s="25">
        <f>IF(ISNUMBER(VLOOKUP($D7,'Visu totale'!$D:$DH,CL$1,0)),CK7-VLOOKUP($D7,'Visu totale'!$D:$DH,CL$1,0),IF(LEFT(VLOOKUP($D7,'Visu totale'!$D:$DH,CL$1,0),1)="V",IF(CK7&gt;=INDEX('[1]Définition Maintenances'!$G:$G,MATCH($A7,'[1]Définition Maintenances'!$K:$K,0)),CK7,INDEX('[1]Définition Maintenances'!$G:$G,MATCH($A7,'[1]Définition Maintenances'!$K:$K,0))+CK7),CK7))</f>
        <v>1200</v>
      </c>
      <c r="CM7" s="26">
        <f>IF(ISNUMBER(VLOOKUP($D7,'Visu totale'!$D:$DH,CM$1,0)),CL7-VLOOKUP($D7,'Visu totale'!$D:$DH,CM$1,0),IF(LEFT(VLOOKUP($D7,'Visu totale'!$D:$DH,CM$1,0),1)="V",IF(CL7&gt;=INDEX('[1]Définition Maintenances'!$G:$G,MATCH($A7,'[1]Définition Maintenances'!$K:$K,0)),CL7,INDEX('[1]Définition Maintenances'!$G:$G,MATCH($A7,'[1]Définition Maintenances'!$K:$K,0))+CL7),CL7))</f>
        <v>1200</v>
      </c>
      <c r="CN7" s="26">
        <f>IF(ISNUMBER(VLOOKUP($D7,'Visu totale'!$D:$DH,CN$1,0)),CM7-VLOOKUP($D7,'Visu totale'!$D:$DH,CN$1,0),IF(LEFT(VLOOKUP($D7,'Visu totale'!$D:$DH,CN$1,0),1)="V",IF(CM7&gt;=INDEX('[1]Définition Maintenances'!$G:$G,MATCH($A7,'[1]Définition Maintenances'!$K:$K,0)),CM7,INDEX('[1]Définition Maintenances'!$G:$G,MATCH($A7,'[1]Définition Maintenances'!$K:$K,0))+CM7),CM7))</f>
        <v>1200</v>
      </c>
      <c r="CO7" s="26">
        <f>IF(ISNUMBER(VLOOKUP($D7,'Visu totale'!$D:$DH,CO$1,0)),CN7-VLOOKUP($D7,'Visu totale'!$D:$DH,CO$1,0),IF(LEFT(VLOOKUP($D7,'Visu totale'!$D:$DH,CO$1,0),1)="V",IF(CN7&gt;=INDEX('[1]Définition Maintenances'!$G:$G,MATCH($A7,'[1]Définition Maintenances'!$K:$K,0)),CN7,INDEX('[1]Définition Maintenances'!$G:$G,MATCH($A7,'[1]Définition Maintenances'!$K:$K,0))+CN7),CN7))</f>
        <v>1200</v>
      </c>
      <c r="CP7" s="26">
        <f>IF(ISNUMBER(VLOOKUP($D7,'Visu totale'!$D:$DH,CP$1,0)),CO7-VLOOKUP($D7,'Visu totale'!$D:$DH,CP$1,0),IF(LEFT(VLOOKUP($D7,'Visu totale'!$D:$DH,CP$1,0),1)="V",IF(CO7&gt;=INDEX('[1]Définition Maintenances'!$G:$G,MATCH($A7,'[1]Définition Maintenances'!$K:$K,0)),CO7,INDEX('[1]Définition Maintenances'!$G:$G,MATCH($A7,'[1]Définition Maintenances'!$K:$K,0))+CO7),CO7))</f>
        <v>1200</v>
      </c>
      <c r="CQ7" s="26">
        <f>IF(ISNUMBER(VLOOKUP($D7,'Visu totale'!$D:$DH,CQ$1,0)),CP7-VLOOKUP($D7,'Visu totale'!$D:$DH,CQ$1,0),IF(LEFT(VLOOKUP($D7,'Visu totale'!$D:$DH,CQ$1,0),1)="V",IF(CP7&gt;=INDEX('[1]Définition Maintenances'!$G:$G,MATCH($A7,'[1]Définition Maintenances'!$K:$K,0)),CP7,INDEX('[1]Définition Maintenances'!$G:$G,MATCH($A7,'[1]Définition Maintenances'!$K:$K,0))+CP7),CP7))</f>
        <v>1200</v>
      </c>
      <c r="CR7" s="26">
        <f>IF(ISNUMBER(VLOOKUP($D7,'Visu totale'!$D:$DH,CR$1,0)),CQ7-VLOOKUP($D7,'Visu totale'!$D:$DH,CR$1,0),IF(LEFT(VLOOKUP($D7,'Visu totale'!$D:$DH,CR$1,0),1)="V",IF(CQ7&gt;=INDEX('[1]Définition Maintenances'!$G:$G,MATCH($A7,'[1]Définition Maintenances'!$K:$K,0)),CQ7,INDEX('[1]Définition Maintenances'!$G:$G,MATCH($A7,'[1]Définition Maintenances'!$K:$K,0))+CQ7),CQ7))</f>
        <v>1200</v>
      </c>
      <c r="CS7" s="26">
        <f>IF(ISNUMBER(VLOOKUP($D7,'Visu totale'!$D:$DH,CS$1,0)),CR7-VLOOKUP($D7,'Visu totale'!$D:$DH,CS$1,0),IF(LEFT(VLOOKUP($D7,'Visu totale'!$D:$DH,CS$1,0),1)="V",IF(CR7&gt;=INDEX('[1]Définition Maintenances'!$G:$G,MATCH($A7,'[1]Définition Maintenances'!$K:$K,0)),CR7,INDEX('[1]Définition Maintenances'!$G:$G,MATCH($A7,'[1]Définition Maintenances'!$K:$K,0))+CR7),CR7))</f>
        <v>1200</v>
      </c>
      <c r="CT7" s="26">
        <f>IF(ISNUMBER(VLOOKUP($D7,'Visu totale'!$D:$DH,CT$1,0)),CS7-VLOOKUP($D7,'Visu totale'!$D:$DH,CT$1,0),IF(LEFT(VLOOKUP($D7,'Visu totale'!$D:$DH,CT$1,0),1)="V",IF(CS7&gt;=INDEX('[1]Définition Maintenances'!$G:$G,MATCH($A7,'[1]Définition Maintenances'!$K:$K,0)),CS7,INDEX('[1]Définition Maintenances'!$G:$G,MATCH($A7,'[1]Définition Maintenances'!$K:$K,0))+CS7),CS7))</f>
        <v>1200</v>
      </c>
      <c r="CU7" s="26">
        <f>IF(ISNUMBER(VLOOKUP($D7,'Visu totale'!$D:$DH,CU$1,0)),CT7-VLOOKUP($D7,'Visu totale'!$D:$DH,CU$1,0),IF(LEFT(VLOOKUP($D7,'Visu totale'!$D:$DH,CU$1,0),1)="V",IF(CT7&gt;=INDEX('[1]Définition Maintenances'!$G:$G,MATCH($A7,'[1]Définition Maintenances'!$K:$K,0)),CT7,INDEX('[1]Définition Maintenances'!$G:$G,MATCH($A7,'[1]Définition Maintenances'!$K:$K,0))+CT7),CT7))</f>
        <v>1200</v>
      </c>
      <c r="CV7" s="26">
        <f>IF(ISNUMBER(VLOOKUP($D7,'Visu totale'!$D:$DH,CV$1,0)),CU7-VLOOKUP($D7,'Visu totale'!$D:$DH,CV$1,0),IF(LEFT(VLOOKUP($D7,'Visu totale'!$D:$DH,CV$1,0),1)="V",IF(CU7&gt;=INDEX('[1]Définition Maintenances'!$G:$G,MATCH($A7,'[1]Définition Maintenances'!$K:$K,0)),CU7,INDEX('[1]Définition Maintenances'!$G:$G,MATCH($A7,'[1]Définition Maintenances'!$K:$K,0))+CU7),CU7))</f>
        <v>1200</v>
      </c>
      <c r="CW7" s="27">
        <f>IF(ISNUMBER(VLOOKUP($D7,'Visu totale'!$D:$DH,CW$1,0)),CV7-VLOOKUP($D7,'Visu totale'!$D:$DH,CW$1,0),IF(LEFT(VLOOKUP($D7,'Visu totale'!$D:$DH,CW$1,0),1)="V",IF(CV7&gt;=INDEX('[1]Définition Maintenances'!$G:$G,MATCH($A7,'[1]Définition Maintenances'!$K:$K,0)),CV7,INDEX('[1]Définition Maintenances'!$G:$G,MATCH($A7,'[1]Définition Maintenances'!$K:$K,0))+CV7),CV7))</f>
        <v>1200</v>
      </c>
      <c r="CX7" s="25">
        <f>IF(ISNUMBER(VLOOKUP($D7,'Visu totale'!$D:$DH,CX$1,0)),CW7-VLOOKUP($D7,'Visu totale'!$D:$DH,CX$1,0),IF(LEFT(VLOOKUP($D7,'Visu totale'!$D:$DH,CX$1,0),1)="V",IF(CW7&gt;=INDEX('[1]Définition Maintenances'!$G:$G,MATCH($A7,'[1]Définition Maintenances'!$K:$K,0)),CW7,INDEX('[1]Définition Maintenances'!$G:$G,MATCH($A7,'[1]Définition Maintenances'!$K:$K,0))+CW7),CW7))</f>
        <v>1200</v>
      </c>
      <c r="CY7" s="26">
        <f>IF(ISNUMBER(VLOOKUP($D7,'Visu totale'!$D:$DH,CY$1,0)),CX7-VLOOKUP($D7,'Visu totale'!$D:$DH,CY$1,0),IF(LEFT(VLOOKUP($D7,'Visu totale'!$D:$DH,CY$1,0),1)="V",IF(CX7&gt;=INDEX('[1]Définition Maintenances'!$G:$G,MATCH($A7,'[1]Définition Maintenances'!$K:$K,0)),CX7,INDEX('[1]Définition Maintenances'!$G:$G,MATCH($A7,'[1]Définition Maintenances'!$K:$K,0))+CX7),CX7))</f>
        <v>1200</v>
      </c>
      <c r="CZ7" s="26">
        <f>IF(ISNUMBER(VLOOKUP($D7,'Visu totale'!$D:$DH,CZ$1,0)),CY7-VLOOKUP($D7,'Visu totale'!$D:$DH,CZ$1,0),IF(LEFT(VLOOKUP($D7,'Visu totale'!$D:$DH,CZ$1,0),1)="V",IF(CY7&gt;=INDEX('[1]Définition Maintenances'!$G:$G,MATCH($A7,'[1]Définition Maintenances'!$K:$K,0)),CY7,INDEX('[1]Définition Maintenances'!$G:$G,MATCH($A7,'[1]Définition Maintenances'!$K:$K,0))+CY7),CY7))</f>
        <v>1200</v>
      </c>
      <c r="DA7" s="26">
        <f>IF(ISNUMBER(VLOOKUP($D7,'Visu totale'!$D:$DH,DA$1,0)),CZ7-VLOOKUP($D7,'Visu totale'!$D:$DH,DA$1,0),IF(LEFT(VLOOKUP($D7,'Visu totale'!$D:$DH,DA$1,0),1)="V",IF(CZ7&gt;=INDEX('[1]Définition Maintenances'!$G:$G,MATCH($A7,'[1]Définition Maintenances'!$K:$K,0)),CZ7,INDEX('[1]Définition Maintenances'!$G:$G,MATCH($A7,'[1]Définition Maintenances'!$K:$K,0))+CZ7),CZ7))</f>
        <v>1200</v>
      </c>
      <c r="DB7" s="26">
        <f>IF(ISNUMBER(VLOOKUP($D7,'Visu totale'!$D:$DH,DB$1,0)),DA7-VLOOKUP($D7,'Visu totale'!$D:$DH,DB$1,0),IF(LEFT(VLOOKUP($D7,'Visu totale'!$D:$DH,DB$1,0),1)="V",IF(DA7&gt;=INDEX('[1]Définition Maintenances'!$G:$G,MATCH($A7,'[1]Définition Maintenances'!$K:$K,0)),DA7,INDEX('[1]Définition Maintenances'!$G:$G,MATCH($A7,'[1]Définition Maintenances'!$K:$K,0))+DA7),DA7))</f>
        <v>1200</v>
      </c>
      <c r="DC7" s="26">
        <f>IF(ISNUMBER(VLOOKUP($D7,'Visu totale'!$D:$DH,DC$1,0)),DB7-VLOOKUP($D7,'Visu totale'!$D:$DH,DC$1,0),IF(LEFT(VLOOKUP($D7,'Visu totale'!$D:$DH,DC$1,0),1)="V",IF(DB7&gt;=INDEX('[1]Définition Maintenances'!$G:$G,MATCH($A7,'[1]Définition Maintenances'!$K:$K,0)),DB7,INDEX('[1]Définition Maintenances'!$G:$G,MATCH($A7,'[1]Définition Maintenances'!$K:$K,0))+DB7),DB7))</f>
        <v>1200</v>
      </c>
      <c r="DD7" s="26">
        <f>IF(ISNUMBER(VLOOKUP($D7,'Visu totale'!$D:$DH,DD$1,0)),DC7-VLOOKUP($D7,'Visu totale'!$D:$DH,DD$1,0),IF(LEFT(VLOOKUP($D7,'Visu totale'!$D:$DH,DD$1,0),1)="V",IF(DC7&gt;=INDEX('[1]Définition Maintenances'!$G:$G,MATCH($A7,'[1]Définition Maintenances'!$K:$K,0)),DC7,INDEX('[1]Définition Maintenances'!$G:$G,MATCH($A7,'[1]Définition Maintenances'!$K:$K,0))+DC7),DC7))</f>
        <v>1200</v>
      </c>
      <c r="DE7" s="26">
        <f>IF(ISNUMBER(VLOOKUP($D7,'Visu totale'!$D:$DH,DE$1,0)),DD7-VLOOKUP($D7,'Visu totale'!$D:$DH,DE$1,0),IF(LEFT(VLOOKUP($D7,'Visu totale'!$D:$DH,DE$1,0),1)="V",IF(DD7&gt;=INDEX('[1]Définition Maintenances'!$G:$G,MATCH($A7,'[1]Définition Maintenances'!$K:$K,0)),DD7,INDEX('[1]Définition Maintenances'!$G:$G,MATCH($A7,'[1]Définition Maintenances'!$K:$K,0))+DD7),DD7))</f>
        <v>1200</v>
      </c>
      <c r="DF7" s="26">
        <f>IF(ISNUMBER(VLOOKUP($D7,'Visu totale'!$D:$DH,DF$1,0)),DE7-VLOOKUP($D7,'Visu totale'!$D:$DH,DF$1,0),IF(LEFT(VLOOKUP($D7,'Visu totale'!$D:$DH,DF$1,0),1)="V",IF(DE7&gt;=INDEX('[1]Définition Maintenances'!$G:$G,MATCH($A7,'[1]Définition Maintenances'!$K:$K,0)),DE7,INDEX('[1]Définition Maintenances'!$G:$G,MATCH($A7,'[1]Définition Maintenances'!$K:$K,0))+DE7),DE7))</f>
        <v>1200</v>
      </c>
      <c r="DG7" s="26">
        <f>IF(ISNUMBER(VLOOKUP($D7,'Visu totale'!$D:$DH,DG$1,0)),DF7-VLOOKUP($D7,'Visu totale'!$D:$DH,DG$1,0),IF(LEFT(VLOOKUP($D7,'Visu totale'!$D:$DH,DG$1,0),1)="V",IF(DF7&gt;=INDEX('[1]Définition Maintenances'!$G:$G,MATCH($A7,'[1]Définition Maintenances'!$K:$K,0)),DF7,INDEX('[1]Définition Maintenances'!$G:$G,MATCH($A7,'[1]Définition Maintenances'!$K:$K,0))+DF7),DF7))</f>
        <v>1200</v>
      </c>
      <c r="DH7" s="26">
        <f>IF(ISNUMBER(VLOOKUP($D7,'Visu totale'!$D:$DH,DH$1,0)),DG7-VLOOKUP($D7,'Visu totale'!$D:$DH,DH$1,0),IF(LEFT(VLOOKUP($D7,'Visu totale'!$D:$DH,DH$1,0),1)="V",IF(DG7&gt;=INDEX('[1]Définition Maintenances'!$G:$G,MATCH($A7,'[1]Définition Maintenances'!$K:$K,0)),DG7,INDEX('[1]Définition Maintenances'!$G:$G,MATCH($A7,'[1]Définition Maintenances'!$K:$K,0))+DG7),DG7))</f>
        <v>1200</v>
      </c>
      <c r="DI7" s="27">
        <f>IF(ISNUMBER(VLOOKUP($D7,'Visu totale'!$D:$DH,DI$1,0)),DH7-VLOOKUP($D7,'Visu totale'!$D:$DH,DI$1,0),IF(LEFT(VLOOKUP($D7,'Visu totale'!$D:$DH,DI$1,0),1)="V",IF(DH7&gt;=INDEX('[1]Définition Maintenances'!$G:$G,MATCH($A7,'[1]Définition Maintenances'!$K:$K,0)),DH7,INDEX('[1]Définition Maintenances'!$G:$G,MATCH($A7,'[1]Définition Maintenances'!$K:$K,0))+DH7),DH7))</f>
        <v>1200</v>
      </c>
    </row>
    <row r="8" spans="1:113" x14ac:dyDescent="0.25">
      <c r="A8" s="13" t="str">
        <f t="shared" si="0"/>
        <v>V5D</v>
      </c>
      <c r="B8" s="13" t="str">
        <f>VLOOKUP(D8,'[1]Avions (Potentiels)'!$B$2:$H$128,7,FALSE)</f>
        <v>V5</v>
      </c>
      <c r="C8" s="13"/>
      <c r="D8" s="16" t="s">
        <v>11</v>
      </c>
      <c r="E8" s="13">
        <f>IFERROR(VALUE(SUBSTITUTE(VLOOKUP(D8,'[1]Avions (Potentiels)'!$B:$E,4,0),".",",")),VALUE(VLOOKUP(D8,'[1]Avions (Potentiels)'!$B:$E,4,0)))</f>
        <v>929</v>
      </c>
      <c r="F8" s="25">
        <f>IF(ISNUMBER(VLOOKUP($D8,'Visu totale'!$D:$DH,F$1,0)),E8-VLOOKUP($D8,'Visu totale'!$D:$DH,F$1,0),IF(LEFT(VLOOKUP($D8,'Visu totale'!$D:$DH,F$1,0),1)="V",IF(E8&gt;=INDEX('[1]Définition Maintenances'!$G:$G,MATCH($A8,'[1]Définition Maintenances'!$K:$K,0)),E8,INDEX('[1]Définition Maintenances'!$G:$G,MATCH($A8,'[1]Définition Maintenances'!$K:$K,0))+E8),E8))</f>
        <v>929</v>
      </c>
      <c r="G8" s="26">
        <f>IF(ISNUMBER(VLOOKUP($D8,'Visu totale'!$D:$DH,G$1,0)),F8-VLOOKUP($D8,'Visu totale'!$D:$DH,G$1,0),IF(LEFT(VLOOKUP($D8,'Visu totale'!$D:$DH,G$1,0),1)="V",IF(F8&gt;=INDEX('[1]Définition Maintenances'!$G:$G,MATCH($A8,'[1]Définition Maintenances'!$K:$K,0)),F8,INDEX('[1]Définition Maintenances'!$G:$G,MATCH($A8,'[1]Définition Maintenances'!$K:$K,0))+F8),F8))</f>
        <v>929</v>
      </c>
      <c r="H8" s="26">
        <f>IF(ISNUMBER(VLOOKUP($D8,'Visu totale'!$D:$DH,H$1,0)),G8-VLOOKUP($D8,'Visu totale'!$D:$DH,H$1,0),IF(LEFT(VLOOKUP($D8,'Visu totale'!$D:$DH,H$1,0),1)="V",IF(G8&gt;=INDEX('[1]Définition Maintenances'!$G:$G,MATCH($A8,'[1]Définition Maintenances'!$K:$K,0)),G8,INDEX('[1]Définition Maintenances'!$G:$G,MATCH($A8,'[1]Définition Maintenances'!$K:$K,0))+G8),G8))</f>
        <v>929</v>
      </c>
      <c r="I8" s="26">
        <f>IF(ISNUMBER(VLOOKUP($D8,'Visu totale'!$D:$DH,I$1,0)),H8-VLOOKUP($D8,'Visu totale'!$D:$DH,I$1,0),IF(LEFT(VLOOKUP($D8,'Visu totale'!$D:$DH,I$1,0),1)="V",IF(H8&gt;=INDEX('[1]Définition Maintenances'!$G:$G,MATCH($A8,'[1]Définition Maintenances'!$K:$K,0)),H8,INDEX('[1]Définition Maintenances'!$G:$G,MATCH($A8,'[1]Définition Maintenances'!$K:$K,0))+H8),H8))</f>
        <v>929</v>
      </c>
      <c r="J8" s="26">
        <f>IF(ISNUMBER(VLOOKUP($D8,'Visu totale'!$D:$DH,J$1,0)),I8-VLOOKUP($D8,'Visu totale'!$D:$DH,J$1,0),IF(LEFT(VLOOKUP($D8,'Visu totale'!$D:$DH,J$1,0),1)="V",IF(I8&gt;=INDEX('[1]Définition Maintenances'!$G:$G,MATCH($A8,'[1]Définition Maintenances'!$K:$K,0)),I8,INDEX('[1]Définition Maintenances'!$G:$G,MATCH($A8,'[1]Définition Maintenances'!$K:$K,0))+I8),I8))</f>
        <v>929</v>
      </c>
      <c r="K8" s="26">
        <f>IF(ISNUMBER(VLOOKUP($D8,'Visu totale'!$D:$DH,K$1,0)),J8-VLOOKUP($D8,'Visu totale'!$D:$DH,K$1,0),IF(LEFT(VLOOKUP($D8,'Visu totale'!$D:$DH,K$1,0),1)="V",IF(J8&gt;=INDEX('[1]Définition Maintenances'!$G:$G,MATCH($A8,'[1]Définition Maintenances'!$K:$K,0)),J8,INDEX('[1]Définition Maintenances'!$G:$G,MATCH($A8,'[1]Définition Maintenances'!$K:$K,0))+J8),J8))</f>
        <v>929</v>
      </c>
      <c r="L8" s="26">
        <f>IF(ISNUMBER(VLOOKUP($D8,'Visu totale'!$D:$DH,L$1,0)),K8-VLOOKUP($D8,'Visu totale'!$D:$DH,L$1,0),IF(LEFT(VLOOKUP($D8,'Visu totale'!$D:$DH,L$1,0),1)="V",IF(K8&gt;=INDEX('[1]Définition Maintenances'!$G:$G,MATCH($A8,'[1]Définition Maintenances'!$K:$K,0)),K8,INDEX('[1]Définition Maintenances'!$G:$G,MATCH($A8,'[1]Définition Maintenances'!$K:$K,0))+K8),K8))</f>
        <v>929</v>
      </c>
      <c r="M8" s="26">
        <f>IF(ISNUMBER(VLOOKUP($D8,'Visu totale'!$D:$DH,M$1,0)),L8-VLOOKUP($D8,'Visu totale'!$D:$DH,M$1,0),IF(LEFT(VLOOKUP($D8,'Visu totale'!$D:$DH,M$1,0),1)="V",IF(L8&gt;=INDEX('[1]Définition Maintenances'!$G:$G,MATCH($A8,'[1]Définition Maintenances'!$K:$K,0)),L8,INDEX('[1]Définition Maintenances'!$G:$G,MATCH($A8,'[1]Définition Maintenances'!$K:$K,0))+L8),L8))</f>
        <v>929</v>
      </c>
      <c r="N8" s="26">
        <f>IF(ISNUMBER(VLOOKUP($D8,'Visu totale'!$D:$DH,N$1,0)),M8-VLOOKUP($D8,'Visu totale'!$D:$DH,N$1,0),IF(LEFT(VLOOKUP($D8,'Visu totale'!$D:$DH,N$1,0),1)="V",IF(M8&gt;=INDEX('[1]Définition Maintenances'!$G:$G,MATCH($A8,'[1]Définition Maintenances'!$K:$K,0)),M8,INDEX('[1]Définition Maintenances'!$G:$G,MATCH($A8,'[1]Définition Maintenances'!$K:$K,0))+M8),M8))</f>
        <v>929</v>
      </c>
      <c r="O8" s="26">
        <f>IF(ISNUMBER(VLOOKUP($D8,'Visu totale'!$D:$DH,O$1,0)),N8-VLOOKUP($D8,'Visu totale'!$D:$DH,O$1,0),IF(LEFT(VLOOKUP($D8,'Visu totale'!$D:$DH,O$1,0),1)="V",IF(N8&gt;=INDEX('[1]Définition Maintenances'!$G:$G,MATCH($A8,'[1]Définition Maintenances'!$K:$K,0)),N8,INDEX('[1]Définition Maintenances'!$G:$G,MATCH($A8,'[1]Définition Maintenances'!$K:$K,0))+N8),N8))</f>
        <v>929</v>
      </c>
      <c r="P8" s="26">
        <f>IF(ISNUMBER(VLOOKUP($D8,'Visu totale'!$D:$DH,P$1,0)),O8-VLOOKUP($D8,'Visu totale'!$D:$DH,P$1,0),IF(LEFT(VLOOKUP($D8,'Visu totale'!$D:$DH,P$1,0),1)="V",IF(O8&gt;=INDEX('[1]Définition Maintenances'!$G:$G,MATCH($A8,'[1]Définition Maintenances'!$K:$K,0)),O8,INDEX('[1]Définition Maintenances'!$G:$G,MATCH($A8,'[1]Définition Maintenances'!$K:$K,0))+O8),O8))</f>
        <v>929</v>
      </c>
      <c r="Q8" s="27">
        <f>IF(ISNUMBER(VLOOKUP($D8,'Visu totale'!$D:$DH,Q$1,0)),P8-VLOOKUP($D8,'Visu totale'!$D:$DH,Q$1,0),IF(LEFT(VLOOKUP($D8,'Visu totale'!$D:$DH,Q$1,0),1)="V",IF(P8&gt;=INDEX('[1]Définition Maintenances'!$G:$G,MATCH($A8,'[1]Définition Maintenances'!$K:$K,0)),P8,INDEX('[1]Définition Maintenances'!$G:$G,MATCH($A8,'[1]Définition Maintenances'!$K:$K,0))+P8),P8))</f>
        <v>929</v>
      </c>
      <c r="R8" s="25">
        <f>IF(ISNUMBER(VLOOKUP($D8,'Visu totale'!$D:$DH,R$1,0)),Q8-VLOOKUP($D8,'Visu totale'!$D:$DH,R$1,0),IF(LEFT(VLOOKUP($D8,'Visu totale'!$D:$DH,R$1,0),1)="V",IF(Q8&gt;=INDEX('[1]Définition Maintenances'!$G:$G,MATCH($A8,'[1]Définition Maintenances'!$K:$K,0)),Q8,INDEX('[1]Définition Maintenances'!$G:$G,MATCH($A8,'[1]Définition Maintenances'!$K:$K,0))+Q8),Q8))</f>
        <v>929</v>
      </c>
      <c r="S8" s="26">
        <f>IF(ISNUMBER(VLOOKUP($D8,'Visu totale'!$D:$DH,S$1,0)),R8-VLOOKUP($D8,'Visu totale'!$D:$DH,S$1,0),IF(LEFT(VLOOKUP($D8,'Visu totale'!$D:$DH,S$1,0),1)="V",IF(R8&gt;=INDEX('[1]Définition Maintenances'!$G:$G,MATCH($A8,'[1]Définition Maintenances'!$K:$K,0)),R8,INDEX('[1]Définition Maintenances'!$G:$G,MATCH($A8,'[1]Définition Maintenances'!$K:$K,0))+R8),R8))</f>
        <v>929</v>
      </c>
      <c r="T8" s="26">
        <f>IF(ISNUMBER(VLOOKUP($D8,'Visu totale'!$D:$DH,T$1,0)),S8-VLOOKUP($D8,'Visu totale'!$D:$DH,T$1,0),IF(LEFT(VLOOKUP($D8,'Visu totale'!$D:$DH,T$1,0),1)="V",IF(S8&gt;=INDEX('[1]Définition Maintenances'!$G:$G,MATCH($A8,'[1]Définition Maintenances'!$K:$K,0)),S8,INDEX('[1]Définition Maintenances'!$G:$G,MATCH($A8,'[1]Définition Maintenances'!$K:$K,0))+S8),S8))</f>
        <v>929</v>
      </c>
      <c r="U8" s="26">
        <f>IF(ISNUMBER(VLOOKUP($D8,'Visu totale'!$D:$DH,U$1,0)),T8-VLOOKUP($D8,'Visu totale'!$D:$DH,U$1,0),IF(LEFT(VLOOKUP($D8,'Visu totale'!$D:$DH,U$1,0),1)="V",IF(T8&gt;=INDEX('[1]Définition Maintenances'!$G:$G,MATCH($A8,'[1]Définition Maintenances'!$K:$K,0)),T8,INDEX('[1]Définition Maintenances'!$G:$G,MATCH($A8,'[1]Définition Maintenances'!$K:$K,0))+T8),T8))</f>
        <v>929</v>
      </c>
      <c r="V8" s="26">
        <f>IF(ISNUMBER(VLOOKUP($D8,'Visu totale'!$D:$DH,V$1,0)),U8-VLOOKUP($D8,'Visu totale'!$D:$DH,V$1,0),IF(LEFT(VLOOKUP($D8,'Visu totale'!$D:$DH,V$1,0),1)="V",IF(U8&gt;=INDEX('[1]Définition Maintenances'!$G:$G,MATCH($A8,'[1]Définition Maintenances'!$K:$K,0)),U8,INDEX('[1]Définition Maintenances'!$G:$G,MATCH($A8,'[1]Définition Maintenances'!$K:$K,0))+U8),U8))</f>
        <v>929</v>
      </c>
      <c r="W8" s="26">
        <f>IF(ISNUMBER(VLOOKUP($D8,'Visu totale'!$D:$DH,W$1,0)),V8-VLOOKUP($D8,'Visu totale'!$D:$DH,W$1,0),IF(LEFT(VLOOKUP($D8,'Visu totale'!$D:$DH,W$1,0),1)="V",IF(V8&gt;=INDEX('[1]Définition Maintenances'!$G:$G,MATCH($A8,'[1]Définition Maintenances'!$K:$K,0)),V8,INDEX('[1]Définition Maintenances'!$G:$G,MATCH($A8,'[1]Définition Maintenances'!$K:$K,0))+V8),V8))</f>
        <v>929</v>
      </c>
      <c r="X8" s="26">
        <f>IF(ISNUMBER(VLOOKUP($D8,'Visu totale'!$D:$DH,X$1,0)),W8-VLOOKUP($D8,'Visu totale'!$D:$DH,X$1,0),IF(LEFT(VLOOKUP($D8,'Visu totale'!$D:$DH,X$1,0),1)="V",IF(W8&gt;=INDEX('[1]Définition Maintenances'!$G:$G,MATCH($A8,'[1]Définition Maintenances'!$K:$K,0)),W8,INDEX('[1]Définition Maintenances'!$G:$G,MATCH($A8,'[1]Définition Maintenances'!$K:$K,0))+W8),W8))</f>
        <v>929</v>
      </c>
      <c r="Y8" s="26">
        <f>IF(ISNUMBER(VLOOKUP($D8,'Visu totale'!$D:$DH,Y$1,0)),X8-VLOOKUP($D8,'Visu totale'!$D:$DH,Y$1,0),IF(LEFT(VLOOKUP($D8,'Visu totale'!$D:$DH,Y$1,0),1)="V",IF(X8&gt;=INDEX('[1]Définition Maintenances'!$G:$G,MATCH($A8,'[1]Définition Maintenances'!$K:$K,0)),X8,INDEX('[1]Définition Maintenances'!$G:$G,MATCH($A8,'[1]Définition Maintenances'!$K:$K,0))+X8),X8))</f>
        <v>929</v>
      </c>
      <c r="Z8" s="26">
        <f>IF(ISNUMBER(VLOOKUP($D8,'Visu totale'!$D:$DH,Z$1,0)),Y8-VLOOKUP($D8,'Visu totale'!$D:$DH,Z$1,0),IF(LEFT(VLOOKUP($D8,'Visu totale'!$D:$DH,Z$1,0),1)="V",IF(Y8&gt;=INDEX('[1]Définition Maintenances'!$G:$G,MATCH($A8,'[1]Définition Maintenances'!$K:$K,0)),Y8,INDEX('[1]Définition Maintenances'!$G:$G,MATCH($A8,'[1]Définition Maintenances'!$K:$K,0))+Y8),Y8))</f>
        <v>929</v>
      </c>
      <c r="AA8" s="26">
        <f>IF(ISNUMBER(VLOOKUP($D8,'Visu totale'!$D:$DH,AA$1,0)),Z8-VLOOKUP($D8,'Visu totale'!$D:$DH,AA$1,0),IF(LEFT(VLOOKUP($D8,'Visu totale'!$D:$DH,AA$1,0),1)="V",IF(Z8&gt;=INDEX('[1]Définition Maintenances'!$G:$G,MATCH($A8,'[1]Définition Maintenances'!$K:$K,0)),Z8,INDEX('[1]Définition Maintenances'!$G:$G,MATCH($A8,'[1]Définition Maintenances'!$K:$K,0))+Z8),Z8))</f>
        <v>929</v>
      </c>
      <c r="AB8" s="26">
        <f>IF(ISNUMBER(VLOOKUP($D8,'Visu totale'!$D:$DH,AB$1,0)),AA8-VLOOKUP($D8,'Visu totale'!$D:$DH,AB$1,0),IF(LEFT(VLOOKUP($D8,'Visu totale'!$D:$DH,AB$1,0),1)="V",IF(AA8&gt;=INDEX('[1]Définition Maintenances'!$G:$G,MATCH($A8,'[1]Définition Maintenances'!$K:$K,0)),AA8,INDEX('[1]Définition Maintenances'!$G:$G,MATCH($A8,'[1]Définition Maintenances'!$K:$K,0))+AA8),AA8))</f>
        <v>929</v>
      </c>
      <c r="AC8" s="27">
        <f>IF(ISNUMBER(VLOOKUP($D8,'Visu totale'!$D:$DH,AC$1,0)),AB8-VLOOKUP($D8,'Visu totale'!$D:$DH,AC$1,0),IF(LEFT(VLOOKUP($D8,'Visu totale'!$D:$DH,AC$1,0),1)="V",IF(AB8&gt;=INDEX('[1]Définition Maintenances'!$G:$G,MATCH($A8,'[1]Définition Maintenances'!$K:$K,0)),AB8,INDEX('[1]Définition Maintenances'!$G:$G,MATCH($A8,'[1]Définition Maintenances'!$K:$K,0))+AB8),AB8))</f>
        <v>929</v>
      </c>
      <c r="AD8" s="25">
        <f>IF(ISNUMBER(VLOOKUP($D8,'Visu totale'!$D:$DH,AD$1,0)),AC8-VLOOKUP($D8,'Visu totale'!$D:$DH,AD$1,0),IF(LEFT(VLOOKUP($D8,'Visu totale'!$D:$DH,AD$1,0),1)="V",IF(AC8&gt;=INDEX('[1]Définition Maintenances'!$G:$G,MATCH($A8,'[1]Définition Maintenances'!$K:$K,0)),AC8,INDEX('[1]Définition Maintenances'!$G:$G,MATCH($A8,'[1]Définition Maintenances'!$K:$K,0))+AC8),AC8))</f>
        <v>929</v>
      </c>
      <c r="AE8" s="26">
        <f>IF(ISNUMBER(VLOOKUP($D8,'Visu totale'!$D:$DH,AE$1,0)),AD8-VLOOKUP($D8,'Visu totale'!$D:$DH,AE$1,0),IF(LEFT(VLOOKUP($D8,'Visu totale'!$D:$DH,AE$1,0),1)="V",IF(AD8&gt;=INDEX('[1]Définition Maintenances'!$G:$G,MATCH($A8,'[1]Définition Maintenances'!$K:$K,0)),AD8,INDEX('[1]Définition Maintenances'!$G:$G,MATCH($A8,'[1]Définition Maintenances'!$K:$K,0))+AD8),AD8))</f>
        <v>929</v>
      </c>
      <c r="AF8" s="26">
        <f>IF(ISNUMBER(VLOOKUP($D8,'Visu totale'!$D:$DH,AF$1,0)),AE8-VLOOKUP($D8,'Visu totale'!$D:$DH,AF$1,0),IF(LEFT(VLOOKUP($D8,'Visu totale'!$D:$DH,AF$1,0),1)="V",IF(AE8&gt;=INDEX('[1]Définition Maintenances'!$G:$G,MATCH($A8,'[1]Définition Maintenances'!$K:$K,0)),AE8,INDEX('[1]Définition Maintenances'!$G:$G,MATCH($A8,'[1]Définition Maintenances'!$K:$K,0))+AE8),AE8))</f>
        <v>929</v>
      </c>
      <c r="AG8" s="26">
        <f>IF(ISNUMBER(VLOOKUP($D8,'Visu totale'!$D:$DH,AG$1,0)),AF8-VLOOKUP($D8,'Visu totale'!$D:$DH,AG$1,0),IF(LEFT(VLOOKUP($D8,'Visu totale'!$D:$DH,AG$1,0),1)="V",IF(AF8&gt;=INDEX('[1]Définition Maintenances'!$G:$G,MATCH($A8,'[1]Définition Maintenances'!$K:$K,0)),AF8,INDEX('[1]Définition Maintenances'!$G:$G,MATCH($A8,'[1]Définition Maintenances'!$K:$K,0))+AF8),AF8))</f>
        <v>929</v>
      </c>
      <c r="AH8" s="26">
        <f>IF(ISNUMBER(VLOOKUP($D8,'Visu totale'!$D:$DH,AH$1,0)),AG8-VLOOKUP($D8,'Visu totale'!$D:$DH,AH$1,0),IF(LEFT(VLOOKUP($D8,'Visu totale'!$D:$DH,AH$1,0),1)="V",IF(AG8&gt;=INDEX('[1]Définition Maintenances'!$G:$G,MATCH($A8,'[1]Définition Maintenances'!$K:$K,0)),AG8,INDEX('[1]Définition Maintenances'!$G:$G,MATCH($A8,'[1]Définition Maintenances'!$K:$K,0))+AG8),AG8))</f>
        <v>929</v>
      </c>
      <c r="AI8" s="26">
        <f>IF(ISNUMBER(VLOOKUP($D8,'Visu totale'!$D:$DH,AI$1,0)),AH8-VLOOKUP($D8,'Visu totale'!$D:$DH,AI$1,0),IF(LEFT(VLOOKUP($D8,'Visu totale'!$D:$DH,AI$1,0),1)="V",IF(AH8&gt;=INDEX('[1]Définition Maintenances'!$G:$G,MATCH($A8,'[1]Définition Maintenances'!$K:$K,0)),AH8,INDEX('[1]Définition Maintenances'!$G:$G,MATCH($A8,'[1]Définition Maintenances'!$K:$K,0))+AH8),AH8))</f>
        <v>929</v>
      </c>
      <c r="AJ8" s="26">
        <f>IF(ISNUMBER(VLOOKUP($D8,'Visu totale'!$D:$DH,AJ$1,0)),AI8-VLOOKUP($D8,'Visu totale'!$D:$DH,AJ$1,0),IF(LEFT(VLOOKUP($D8,'Visu totale'!$D:$DH,AJ$1,0),1)="V",IF(AI8&gt;=INDEX('[1]Définition Maintenances'!$G:$G,MATCH($A8,'[1]Définition Maintenances'!$K:$K,0)),AI8,INDEX('[1]Définition Maintenances'!$G:$G,MATCH($A8,'[1]Définition Maintenances'!$K:$K,0))+AI8),AI8))</f>
        <v>929</v>
      </c>
      <c r="AK8" s="26">
        <f>IF(ISNUMBER(VLOOKUP($D8,'Visu totale'!$D:$DH,AK$1,0)),AJ8-VLOOKUP($D8,'Visu totale'!$D:$DH,AK$1,0),IF(LEFT(VLOOKUP($D8,'Visu totale'!$D:$DH,AK$1,0),1)="V",IF(AJ8&gt;=INDEX('[1]Définition Maintenances'!$G:$G,MATCH($A8,'[1]Définition Maintenances'!$K:$K,0)),AJ8,INDEX('[1]Définition Maintenances'!$G:$G,MATCH($A8,'[1]Définition Maintenances'!$K:$K,0))+AJ8),AJ8))</f>
        <v>929</v>
      </c>
      <c r="AL8" s="26">
        <f>IF(ISNUMBER(VLOOKUP($D8,'Visu totale'!$D:$DH,AL$1,0)),AK8-VLOOKUP($D8,'Visu totale'!$D:$DH,AL$1,0),IF(LEFT(VLOOKUP($D8,'Visu totale'!$D:$DH,AL$1,0),1)="V",IF(AK8&gt;=INDEX('[1]Définition Maintenances'!$G:$G,MATCH($A8,'[1]Définition Maintenances'!$K:$K,0)),AK8,INDEX('[1]Définition Maintenances'!$G:$G,MATCH($A8,'[1]Définition Maintenances'!$K:$K,0))+AK8),AK8))</f>
        <v>929</v>
      </c>
      <c r="AM8" s="26">
        <f>IF(ISNUMBER(VLOOKUP($D8,'Visu totale'!$D:$DH,AM$1,0)),AL8-VLOOKUP($D8,'Visu totale'!$D:$DH,AM$1,0),IF(LEFT(VLOOKUP($D8,'Visu totale'!$D:$DH,AM$1,0),1)="V",IF(AL8&gt;=INDEX('[1]Définition Maintenances'!$G:$G,MATCH($A8,'[1]Définition Maintenances'!$K:$K,0)),AL8,INDEX('[1]Définition Maintenances'!$G:$G,MATCH($A8,'[1]Définition Maintenances'!$K:$K,0))+AL8),AL8))</f>
        <v>929</v>
      </c>
      <c r="AN8" s="26">
        <f>IF(ISNUMBER(VLOOKUP($D8,'Visu totale'!$D:$DH,AN$1,0)),AM8-VLOOKUP($D8,'Visu totale'!$D:$DH,AN$1,0),IF(LEFT(VLOOKUP($D8,'Visu totale'!$D:$DH,AN$1,0),1)="V",IF(AM8&gt;=INDEX('[1]Définition Maintenances'!$G:$G,MATCH($A8,'[1]Définition Maintenances'!$K:$K,0)),AM8,INDEX('[1]Définition Maintenances'!$G:$G,MATCH($A8,'[1]Définition Maintenances'!$K:$K,0))+AM8),AM8))</f>
        <v>929</v>
      </c>
      <c r="AO8" s="27">
        <f>IF(ISNUMBER(VLOOKUP($D8,'Visu totale'!$D:$DH,AO$1,0)),AN8-VLOOKUP($D8,'Visu totale'!$D:$DH,AO$1,0),IF(LEFT(VLOOKUP($D8,'Visu totale'!$D:$DH,AO$1,0),1)="V",IF(AN8&gt;=INDEX('[1]Définition Maintenances'!$G:$G,MATCH($A8,'[1]Définition Maintenances'!$K:$K,0)),AN8,INDEX('[1]Définition Maintenances'!$G:$G,MATCH($A8,'[1]Définition Maintenances'!$K:$K,0))+AN8),AN8))</f>
        <v>929</v>
      </c>
      <c r="AP8" s="25">
        <f>IF(ISNUMBER(VLOOKUP($D8,'Visu totale'!$D:$DH,AP$1,0)),AO8-VLOOKUP($D8,'Visu totale'!$D:$DH,AP$1,0),IF(LEFT(VLOOKUP($D8,'Visu totale'!$D:$DH,AP$1,0),1)="V",IF(AO8&gt;=INDEX('[1]Définition Maintenances'!$G:$G,MATCH($A8,'[1]Définition Maintenances'!$K:$K,0)),AO8,INDEX('[1]Définition Maintenances'!$G:$G,MATCH($A8,'[1]Définition Maintenances'!$K:$K,0))+AO8),AO8))</f>
        <v>929</v>
      </c>
      <c r="AQ8" s="26">
        <f>IF(ISNUMBER(VLOOKUP($D8,'Visu totale'!$D:$DH,AQ$1,0)),AP8-VLOOKUP($D8,'Visu totale'!$D:$DH,AQ$1,0),IF(LEFT(VLOOKUP($D8,'Visu totale'!$D:$DH,AQ$1,0),1)="V",IF(AP8&gt;=INDEX('[1]Définition Maintenances'!$G:$G,MATCH($A8,'[1]Définition Maintenances'!$K:$K,0)),AP8,INDEX('[1]Définition Maintenances'!$G:$G,MATCH($A8,'[1]Définition Maintenances'!$K:$K,0))+AP8),AP8))</f>
        <v>929</v>
      </c>
      <c r="AR8" s="26">
        <f>IF(ISNUMBER(VLOOKUP($D8,'Visu totale'!$D:$DH,AR$1,0)),AQ8-VLOOKUP($D8,'Visu totale'!$D:$DH,AR$1,0),IF(LEFT(VLOOKUP($D8,'Visu totale'!$D:$DH,AR$1,0),1)="V",IF(AQ8&gt;=INDEX('[1]Définition Maintenances'!$G:$G,MATCH($A8,'[1]Définition Maintenances'!$K:$K,0)),AQ8,INDEX('[1]Définition Maintenances'!$G:$G,MATCH($A8,'[1]Définition Maintenances'!$K:$K,0))+AQ8),AQ8))</f>
        <v>929</v>
      </c>
      <c r="AS8" s="26">
        <f>IF(ISNUMBER(VLOOKUP($D8,'Visu totale'!$D:$DH,AS$1,0)),AR8-VLOOKUP($D8,'Visu totale'!$D:$DH,AS$1,0),IF(LEFT(VLOOKUP($D8,'Visu totale'!$D:$DH,AS$1,0),1)="V",IF(AR8&gt;=INDEX('[1]Définition Maintenances'!$G:$G,MATCH($A8,'[1]Définition Maintenances'!$K:$K,0)),AR8,INDEX('[1]Définition Maintenances'!$G:$G,MATCH($A8,'[1]Définition Maintenances'!$K:$K,0))+AR8),AR8))</f>
        <v>929</v>
      </c>
      <c r="AT8" s="26">
        <f>IF(ISNUMBER(VLOOKUP($D8,'Visu totale'!$D:$DH,AT$1,0)),AS8-VLOOKUP($D8,'Visu totale'!$D:$DH,AT$1,0),IF(LEFT(VLOOKUP($D8,'Visu totale'!$D:$DH,AT$1,0),1)="V",IF(AS8&gt;=INDEX('[1]Définition Maintenances'!$G:$G,MATCH($A8,'[1]Définition Maintenances'!$K:$K,0)),AS8,INDEX('[1]Définition Maintenances'!$G:$G,MATCH($A8,'[1]Définition Maintenances'!$K:$K,0))+AS8),AS8))</f>
        <v>929</v>
      </c>
      <c r="AU8" s="26">
        <f>IF(ISNUMBER(VLOOKUP($D8,'Visu totale'!$D:$DH,AU$1,0)),AT8-VLOOKUP($D8,'Visu totale'!$D:$DH,AU$1,0),IF(LEFT(VLOOKUP($D8,'Visu totale'!$D:$DH,AU$1,0),1)="V",IF(AT8&gt;=INDEX('[1]Définition Maintenances'!$G:$G,MATCH($A8,'[1]Définition Maintenances'!$K:$K,0)),AT8,INDEX('[1]Définition Maintenances'!$G:$G,MATCH($A8,'[1]Définition Maintenances'!$K:$K,0))+AT8),AT8))</f>
        <v>929</v>
      </c>
      <c r="AV8" s="26">
        <f>IF(ISNUMBER(VLOOKUP($D8,'Visu totale'!$D:$DH,AV$1,0)),AU8-VLOOKUP($D8,'Visu totale'!$D:$DH,AV$1,0),IF(LEFT(VLOOKUP($D8,'Visu totale'!$D:$DH,AV$1,0),1)="V",IF(AU8&gt;=INDEX('[1]Définition Maintenances'!$G:$G,MATCH($A8,'[1]Définition Maintenances'!$K:$K,0)),AU8,INDEX('[1]Définition Maintenances'!$G:$G,MATCH($A8,'[1]Définition Maintenances'!$K:$K,0))+AU8),AU8))</f>
        <v>929</v>
      </c>
      <c r="AW8" s="26">
        <f>IF(ISNUMBER(VLOOKUP($D8,'Visu totale'!$D:$DH,AW$1,0)),AV8-VLOOKUP($D8,'Visu totale'!$D:$DH,AW$1,0),IF(LEFT(VLOOKUP($D8,'Visu totale'!$D:$DH,AW$1,0),1)="V",IF(AV8&gt;=INDEX('[1]Définition Maintenances'!$G:$G,MATCH($A8,'[1]Définition Maintenances'!$K:$K,0)),AV8,INDEX('[1]Définition Maintenances'!$G:$G,MATCH($A8,'[1]Définition Maintenances'!$K:$K,0))+AV8),AV8))</f>
        <v>929</v>
      </c>
      <c r="AX8" s="26">
        <f>IF(ISNUMBER(VLOOKUP($D8,'Visu totale'!$D:$DH,AX$1,0)),AW8-VLOOKUP($D8,'Visu totale'!$D:$DH,AX$1,0),IF(LEFT(VLOOKUP($D8,'Visu totale'!$D:$DH,AX$1,0),1)="V",IF(AW8&gt;=INDEX('[1]Définition Maintenances'!$G:$G,MATCH($A8,'[1]Définition Maintenances'!$K:$K,0)),AW8,INDEX('[1]Définition Maintenances'!$G:$G,MATCH($A8,'[1]Définition Maintenances'!$K:$K,0))+AW8),AW8))</f>
        <v>929</v>
      </c>
      <c r="AY8" s="26">
        <f>IF(ISNUMBER(VLOOKUP($D8,'Visu totale'!$D:$DH,AY$1,0)),AX8-VLOOKUP($D8,'Visu totale'!$D:$DH,AY$1,0),IF(LEFT(VLOOKUP($D8,'Visu totale'!$D:$DH,AY$1,0),1)="V",IF(AX8&gt;=INDEX('[1]Définition Maintenances'!$G:$G,MATCH($A8,'[1]Définition Maintenances'!$K:$K,0)),AX8,INDEX('[1]Définition Maintenances'!$G:$G,MATCH($A8,'[1]Définition Maintenances'!$K:$K,0))+AX8),AX8))</f>
        <v>929</v>
      </c>
      <c r="AZ8" s="26">
        <f>IF(ISNUMBER(VLOOKUP($D8,'Visu totale'!$D:$DH,AZ$1,0)),AY8-VLOOKUP($D8,'Visu totale'!$D:$DH,AZ$1,0),IF(LEFT(VLOOKUP($D8,'Visu totale'!$D:$DH,AZ$1,0),1)="V",IF(AY8&gt;=INDEX('[1]Définition Maintenances'!$G:$G,MATCH($A8,'[1]Définition Maintenances'!$K:$K,0)),AY8,INDEX('[1]Définition Maintenances'!$G:$G,MATCH($A8,'[1]Définition Maintenances'!$K:$K,0))+AY8),AY8))</f>
        <v>929</v>
      </c>
      <c r="BA8" s="27">
        <f>IF(ISNUMBER(VLOOKUP($D8,'Visu totale'!$D:$DH,BA$1,0)),AZ8-VLOOKUP($D8,'Visu totale'!$D:$DH,BA$1,0),IF(LEFT(VLOOKUP($D8,'Visu totale'!$D:$DH,BA$1,0),1)="V",IF(AZ8&gt;=INDEX('[1]Définition Maintenances'!$G:$G,MATCH($A8,'[1]Définition Maintenances'!$K:$K,0)),AZ8,INDEX('[1]Définition Maintenances'!$G:$G,MATCH($A8,'[1]Définition Maintenances'!$K:$K,0))+AZ8),AZ8))</f>
        <v>929</v>
      </c>
      <c r="BB8" s="25">
        <f>IF(ISNUMBER(VLOOKUP($D8,'Visu totale'!$D:$DH,BB$1,0)),BA8-VLOOKUP($D8,'Visu totale'!$D:$DH,BB$1,0),IF(LEFT(VLOOKUP($D8,'Visu totale'!$D:$DH,BB$1,0),1)="V",IF(BA8&gt;=INDEX('[1]Définition Maintenances'!$G:$G,MATCH($A8,'[1]Définition Maintenances'!$K:$K,0)),BA8,INDEX('[1]Définition Maintenances'!$G:$G,MATCH($A8,'[1]Définition Maintenances'!$K:$K,0))+BA8),BA8))</f>
        <v>929</v>
      </c>
      <c r="BC8" s="26">
        <f>IF(ISNUMBER(VLOOKUP($D8,'Visu totale'!$D:$DH,BC$1,0)),BB8-VLOOKUP($D8,'Visu totale'!$D:$DH,BC$1,0),IF(LEFT(VLOOKUP($D8,'Visu totale'!$D:$DH,BC$1,0),1)="V",IF(BB8&gt;=INDEX('[1]Définition Maintenances'!$G:$G,MATCH($A8,'[1]Définition Maintenances'!$K:$K,0)),BB8,INDEX('[1]Définition Maintenances'!$G:$G,MATCH($A8,'[1]Définition Maintenances'!$K:$K,0))+BB8),BB8))</f>
        <v>929</v>
      </c>
      <c r="BD8" s="26">
        <f>IF(ISNUMBER(VLOOKUP($D8,'Visu totale'!$D:$DH,BD$1,0)),BC8-VLOOKUP($D8,'Visu totale'!$D:$DH,BD$1,0),IF(LEFT(VLOOKUP($D8,'Visu totale'!$D:$DH,BD$1,0),1)="V",IF(BC8&gt;=INDEX('[1]Définition Maintenances'!$G:$G,MATCH($A8,'[1]Définition Maintenances'!$K:$K,0)),BC8,INDEX('[1]Définition Maintenances'!$G:$G,MATCH($A8,'[1]Définition Maintenances'!$K:$K,0))+BC8),BC8))</f>
        <v>929</v>
      </c>
      <c r="BE8" s="26">
        <f>IF(ISNUMBER(VLOOKUP($D8,'Visu totale'!$D:$DH,BE$1,0)),BD8-VLOOKUP($D8,'Visu totale'!$D:$DH,BE$1,0),IF(LEFT(VLOOKUP($D8,'Visu totale'!$D:$DH,BE$1,0),1)="V",IF(BD8&gt;=INDEX('[1]Définition Maintenances'!$G:$G,MATCH($A8,'[1]Définition Maintenances'!$K:$K,0)),BD8,INDEX('[1]Définition Maintenances'!$G:$G,MATCH($A8,'[1]Définition Maintenances'!$K:$K,0))+BD8),BD8))</f>
        <v>929</v>
      </c>
      <c r="BF8" s="26">
        <f>IF(ISNUMBER(VLOOKUP($D8,'Visu totale'!$D:$DH,BF$1,0)),BE8-VLOOKUP($D8,'Visu totale'!$D:$DH,BF$1,0),IF(LEFT(VLOOKUP($D8,'Visu totale'!$D:$DH,BF$1,0),1)="V",IF(BE8&gt;=INDEX('[1]Définition Maintenances'!$G:$G,MATCH($A8,'[1]Définition Maintenances'!$K:$K,0)),BE8,INDEX('[1]Définition Maintenances'!$G:$G,MATCH($A8,'[1]Définition Maintenances'!$K:$K,0))+BE8),BE8))</f>
        <v>929</v>
      </c>
      <c r="BG8" s="26">
        <f>IF(ISNUMBER(VLOOKUP($D8,'Visu totale'!$D:$DH,BG$1,0)),BF8-VLOOKUP($D8,'Visu totale'!$D:$DH,BG$1,0),IF(LEFT(VLOOKUP($D8,'Visu totale'!$D:$DH,BG$1,0),1)="V",IF(BF8&gt;=INDEX('[1]Définition Maintenances'!$G:$G,MATCH($A8,'[1]Définition Maintenances'!$K:$K,0)),BF8,INDEX('[1]Définition Maintenances'!$G:$G,MATCH($A8,'[1]Définition Maintenances'!$K:$K,0))+BF8),BF8))</f>
        <v>929</v>
      </c>
      <c r="BH8" s="26">
        <f>IF(ISNUMBER(VLOOKUP($D8,'Visu totale'!$D:$DH,BH$1,0)),BG8-VLOOKUP($D8,'Visu totale'!$D:$DH,BH$1,0),IF(LEFT(VLOOKUP($D8,'Visu totale'!$D:$DH,BH$1,0),1)="V",IF(BG8&gt;=INDEX('[1]Définition Maintenances'!$G:$G,MATCH($A8,'[1]Définition Maintenances'!$K:$K,0)),BG8,INDEX('[1]Définition Maintenances'!$G:$G,MATCH($A8,'[1]Définition Maintenances'!$K:$K,0))+BG8),BG8))</f>
        <v>929</v>
      </c>
      <c r="BI8" s="26">
        <f>IF(ISNUMBER(VLOOKUP($D8,'Visu totale'!$D:$DH,BI$1,0)),BH8-VLOOKUP($D8,'Visu totale'!$D:$DH,BI$1,0),IF(LEFT(VLOOKUP($D8,'Visu totale'!$D:$DH,BI$1,0),1)="V",IF(BH8&gt;=INDEX('[1]Définition Maintenances'!$G:$G,MATCH($A8,'[1]Définition Maintenances'!$K:$K,0)),BH8,INDEX('[1]Définition Maintenances'!$G:$G,MATCH($A8,'[1]Définition Maintenances'!$K:$K,0))+BH8),BH8))</f>
        <v>929</v>
      </c>
      <c r="BJ8" s="26">
        <f>IF(ISNUMBER(VLOOKUP($D8,'Visu totale'!$D:$DH,BJ$1,0)),BI8-VLOOKUP($D8,'Visu totale'!$D:$DH,BJ$1,0),IF(LEFT(VLOOKUP($D8,'Visu totale'!$D:$DH,BJ$1,0),1)="V",IF(BI8&gt;=INDEX('[1]Définition Maintenances'!$G:$G,MATCH($A8,'[1]Définition Maintenances'!$K:$K,0)),BI8,INDEX('[1]Définition Maintenances'!$G:$G,MATCH($A8,'[1]Définition Maintenances'!$K:$K,0))+BI8),BI8))</f>
        <v>929</v>
      </c>
      <c r="BK8" s="26">
        <f>IF(ISNUMBER(VLOOKUP($D8,'Visu totale'!$D:$DH,BK$1,0)),BJ8-VLOOKUP($D8,'Visu totale'!$D:$DH,BK$1,0),IF(LEFT(VLOOKUP($D8,'Visu totale'!$D:$DH,BK$1,0),1)="V",IF(BJ8&gt;=INDEX('[1]Définition Maintenances'!$G:$G,MATCH($A8,'[1]Définition Maintenances'!$K:$K,0)),BJ8,INDEX('[1]Définition Maintenances'!$G:$G,MATCH($A8,'[1]Définition Maintenances'!$K:$K,0))+BJ8),BJ8))</f>
        <v>929</v>
      </c>
      <c r="BL8" s="26">
        <f>IF(ISNUMBER(VLOOKUP($D8,'Visu totale'!$D:$DH,BL$1,0)),BK8-VLOOKUP($D8,'Visu totale'!$D:$DH,BL$1,0),IF(LEFT(VLOOKUP($D8,'Visu totale'!$D:$DH,BL$1,0),1)="V",IF(BK8&gt;=INDEX('[1]Définition Maintenances'!$G:$G,MATCH($A8,'[1]Définition Maintenances'!$K:$K,0)),BK8,INDEX('[1]Définition Maintenances'!$G:$G,MATCH($A8,'[1]Définition Maintenances'!$K:$K,0))+BK8),BK8))</f>
        <v>929</v>
      </c>
      <c r="BM8" s="27">
        <f>IF(ISNUMBER(VLOOKUP($D8,'Visu totale'!$D:$DH,BM$1,0)),BL8-VLOOKUP($D8,'Visu totale'!$D:$DH,BM$1,0),IF(LEFT(VLOOKUP($D8,'Visu totale'!$D:$DH,BM$1,0),1)="V",IF(BL8&gt;=INDEX('[1]Définition Maintenances'!$G:$G,MATCH($A8,'[1]Définition Maintenances'!$K:$K,0)),BL8,INDEX('[1]Définition Maintenances'!$G:$G,MATCH($A8,'[1]Définition Maintenances'!$K:$K,0))+BL8),BL8))</f>
        <v>929</v>
      </c>
      <c r="BN8" s="25">
        <f>IF(ISNUMBER(VLOOKUP($D8,'Visu totale'!$D:$DH,BN$1,0)),BM8-VLOOKUP($D8,'Visu totale'!$D:$DH,BN$1,0),IF(LEFT(VLOOKUP($D8,'Visu totale'!$D:$DH,BN$1,0),1)="V",IF(BM8&gt;=INDEX('[1]Définition Maintenances'!$G:$G,MATCH($A8,'[1]Définition Maintenances'!$K:$K,0)),BM8,INDEX('[1]Définition Maintenances'!$G:$G,MATCH($A8,'[1]Définition Maintenances'!$K:$K,0))+BM8),BM8))</f>
        <v>929</v>
      </c>
      <c r="BO8" s="26">
        <f>IF(ISNUMBER(VLOOKUP($D8,'Visu totale'!$D:$DH,BO$1,0)),BN8-VLOOKUP($D8,'Visu totale'!$D:$DH,BO$1,0),IF(LEFT(VLOOKUP($D8,'Visu totale'!$D:$DH,BO$1,0),1)="V",IF(BN8&gt;=INDEX('[1]Définition Maintenances'!$G:$G,MATCH($A8,'[1]Définition Maintenances'!$K:$K,0)),BN8,INDEX('[1]Définition Maintenances'!$G:$G,MATCH($A8,'[1]Définition Maintenances'!$K:$K,0))+BN8),BN8))</f>
        <v>929</v>
      </c>
      <c r="BP8" s="26">
        <f>IF(ISNUMBER(VLOOKUP($D8,'Visu totale'!$D:$DH,BP$1,0)),BO8-VLOOKUP($D8,'Visu totale'!$D:$DH,BP$1,0),IF(LEFT(VLOOKUP($D8,'Visu totale'!$D:$DH,BP$1,0),1)="V",IF(BO8&gt;=INDEX('[1]Définition Maintenances'!$G:$G,MATCH($A8,'[1]Définition Maintenances'!$K:$K,0)),BO8,INDEX('[1]Définition Maintenances'!$G:$G,MATCH($A8,'[1]Définition Maintenances'!$K:$K,0))+BO8),BO8))</f>
        <v>929</v>
      </c>
      <c r="BQ8" s="26">
        <f>IF(ISNUMBER(VLOOKUP($D8,'Visu totale'!$D:$DH,BQ$1,0)),BP8-VLOOKUP($D8,'Visu totale'!$D:$DH,BQ$1,0),IF(LEFT(VLOOKUP($D8,'Visu totale'!$D:$DH,BQ$1,0),1)="V",IF(BP8&gt;=INDEX('[1]Définition Maintenances'!$G:$G,MATCH($A8,'[1]Définition Maintenances'!$K:$K,0)),BP8,INDEX('[1]Définition Maintenances'!$G:$G,MATCH($A8,'[1]Définition Maintenances'!$K:$K,0))+BP8),BP8))</f>
        <v>929</v>
      </c>
      <c r="BR8" s="26">
        <f>IF(ISNUMBER(VLOOKUP($D8,'Visu totale'!$D:$DH,BR$1,0)),BQ8-VLOOKUP($D8,'Visu totale'!$D:$DH,BR$1,0),IF(LEFT(VLOOKUP($D8,'Visu totale'!$D:$DH,BR$1,0),1)="V",IF(BQ8&gt;=INDEX('[1]Définition Maintenances'!$G:$G,MATCH($A8,'[1]Définition Maintenances'!$K:$K,0)),BQ8,INDEX('[1]Définition Maintenances'!$G:$G,MATCH($A8,'[1]Définition Maintenances'!$K:$K,0))+BQ8),BQ8))</f>
        <v>929</v>
      </c>
      <c r="BS8" s="26">
        <f>IF(ISNUMBER(VLOOKUP($D8,'Visu totale'!$D:$DH,BS$1,0)),BR8-VLOOKUP($D8,'Visu totale'!$D:$DH,BS$1,0),IF(LEFT(VLOOKUP($D8,'Visu totale'!$D:$DH,BS$1,0),1)="V",IF(BR8&gt;=INDEX('[1]Définition Maintenances'!$G:$G,MATCH($A8,'[1]Définition Maintenances'!$K:$K,0)),BR8,INDEX('[1]Définition Maintenances'!$G:$G,MATCH($A8,'[1]Définition Maintenances'!$K:$K,0))+BR8),BR8))</f>
        <v>929</v>
      </c>
      <c r="BT8" s="26">
        <f>IF(ISNUMBER(VLOOKUP($D8,'Visu totale'!$D:$DH,BT$1,0)),BS8-VLOOKUP($D8,'Visu totale'!$D:$DH,BT$1,0),IF(LEFT(VLOOKUP($D8,'Visu totale'!$D:$DH,BT$1,0),1)="V",IF(BS8&gt;=INDEX('[1]Définition Maintenances'!$G:$G,MATCH($A8,'[1]Définition Maintenances'!$K:$K,0)),BS8,INDEX('[1]Définition Maintenances'!$G:$G,MATCH($A8,'[1]Définition Maintenances'!$K:$K,0))+BS8),BS8))</f>
        <v>929</v>
      </c>
      <c r="BU8" s="26">
        <f>IF(ISNUMBER(VLOOKUP($D8,'Visu totale'!$D:$DH,BU$1,0)),BT8-VLOOKUP($D8,'Visu totale'!$D:$DH,BU$1,0),IF(LEFT(VLOOKUP($D8,'Visu totale'!$D:$DH,BU$1,0),1)="V",IF(BT8&gt;=INDEX('[1]Définition Maintenances'!$G:$G,MATCH($A8,'[1]Définition Maintenances'!$K:$K,0)),BT8,INDEX('[1]Définition Maintenances'!$G:$G,MATCH($A8,'[1]Définition Maintenances'!$K:$K,0))+BT8),BT8))</f>
        <v>929</v>
      </c>
      <c r="BV8" s="26">
        <f>IF(ISNUMBER(VLOOKUP($D8,'Visu totale'!$D:$DH,BV$1,0)),BU8-VLOOKUP($D8,'Visu totale'!$D:$DH,BV$1,0),IF(LEFT(VLOOKUP($D8,'Visu totale'!$D:$DH,BV$1,0),1)="V",IF(BU8&gt;=INDEX('[1]Définition Maintenances'!$G:$G,MATCH($A8,'[1]Définition Maintenances'!$K:$K,0)),BU8,INDEX('[1]Définition Maintenances'!$G:$G,MATCH($A8,'[1]Définition Maintenances'!$K:$K,0))+BU8),BU8))</f>
        <v>929</v>
      </c>
      <c r="BW8" s="26">
        <f>IF(ISNUMBER(VLOOKUP($D8,'Visu totale'!$D:$DH,BW$1,0)),BV8-VLOOKUP($D8,'Visu totale'!$D:$DH,BW$1,0),IF(LEFT(VLOOKUP($D8,'Visu totale'!$D:$DH,BW$1,0),1)="V",IF(BV8&gt;=INDEX('[1]Définition Maintenances'!$G:$G,MATCH($A8,'[1]Définition Maintenances'!$K:$K,0)),BV8,INDEX('[1]Définition Maintenances'!$G:$G,MATCH($A8,'[1]Définition Maintenances'!$K:$K,0))+BV8),BV8))</f>
        <v>929</v>
      </c>
      <c r="BX8" s="26">
        <f>IF(ISNUMBER(VLOOKUP($D8,'Visu totale'!$D:$DH,BX$1,0)),BW8-VLOOKUP($D8,'Visu totale'!$D:$DH,BX$1,0),IF(LEFT(VLOOKUP($D8,'Visu totale'!$D:$DH,BX$1,0),1)="V",IF(BW8&gt;=INDEX('[1]Définition Maintenances'!$G:$G,MATCH($A8,'[1]Définition Maintenances'!$K:$K,0)),BW8,INDEX('[1]Définition Maintenances'!$G:$G,MATCH($A8,'[1]Définition Maintenances'!$K:$K,0))+BW8),BW8))</f>
        <v>929</v>
      </c>
      <c r="BY8" s="27">
        <f>IF(ISNUMBER(VLOOKUP($D8,'Visu totale'!$D:$DH,BY$1,0)),BX8-VLOOKUP($D8,'Visu totale'!$D:$DH,BY$1,0),IF(LEFT(VLOOKUP($D8,'Visu totale'!$D:$DH,BY$1,0),1)="V",IF(BX8&gt;=INDEX('[1]Définition Maintenances'!$G:$G,MATCH($A8,'[1]Définition Maintenances'!$K:$K,0)),BX8,INDEX('[1]Définition Maintenances'!$G:$G,MATCH($A8,'[1]Définition Maintenances'!$K:$K,0))+BX8),BX8))</f>
        <v>929</v>
      </c>
      <c r="BZ8" s="25">
        <f>IF(ISNUMBER(VLOOKUP($D8,'Visu totale'!$D:$DH,BZ$1,0)),BY8-VLOOKUP($D8,'Visu totale'!$D:$DH,BZ$1,0),IF(LEFT(VLOOKUP($D8,'Visu totale'!$D:$DH,BZ$1,0),1)="V",IF(BY8&gt;=INDEX('[1]Définition Maintenances'!$G:$G,MATCH($A8,'[1]Définition Maintenances'!$K:$K,0)),BY8,INDEX('[1]Définition Maintenances'!$G:$G,MATCH($A8,'[1]Définition Maintenances'!$K:$K,0))+BY8),BY8))</f>
        <v>929</v>
      </c>
      <c r="CA8" s="26">
        <f>IF(ISNUMBER(VLOOKUP($D8,'Visu totale'!$D:$DH,CA$1,0)),BZ8-VLOOKUP($D8,'Visu totale'!$D:$DH,CA$1,0),IF(LEFT(VLOOKUP($D8,'Visu totale'!$D:$DH,CA$1,0),1)="V",IF(BZ8&gt;=INDEX('[1]Définition Maintenances'!$G:$G,MATCH($A8,'[1]Définition Maintenances'!$K:$K,0)),BZ8,INDEX('[1]Définition Maintenances'!$G:$G,MATCH($A8,'[1]Définition Maintenances'!$K:$K,0))+BZ8),BZ8))</f>
        <v>929</v>
      </c>
      <c r="CB8" s="26">
        <f>IF(ISNUMBER(VLOOKUP($D8,'Visu totale'!$D:$DH,CB$1,0)),CA8-VLOOKUP($D8,'Visu totale'!$D:$DH,CB$1,0),IF(LEFT(VLOOKUP($D8,'Visu totale'!$D:$DH,CB$1,0),1)="V",IF(CA8&gt;=INDEX('[1]Définition Maintenances'!$G:$G,MATCH($A8,'[1]Définition Maintenances'!$K:$K,0)),CA8,INDEX('[1]Définition Maintenances'!$G:$G,MATCH($A8,'[1]Définition Maintenances'!$K:$K,0))+CA8),CA8))</f>
        <v>929</v>
      </c>
      <c r="CC8" s="26">
        <f>IF(ISNUMBER(VLOOKUP($D8,'Visu totale'!$D:$DH,CC$1,0)),CB8-VLOOKUP($D8,'Visu totale'!$D:$DH,CC$1,0),IF(LEFT(VLOOKUP($D8,'Visu totale'!$D:$DH,CC$1,0),1)="V",IF(CB8&gt;=INDEX('[1]Définition Maintenances'!$G:$G,MATCH($A8,'[1]Définition Maintenances'!$K:$K,0)),CB8,INDEX('[1]Définition Maintenances'!$G:$G,MATCH($A8,'[1]Définition Maintenances'!$K:$K,0))+CB8),CB8))</f>
        <v>929</v>
      </c>
      <c r="CD8" s="26">
        <f>IF(ISNUMBER(VLOOKUP($D8,'Visu totale'!$D:$DH,CD$1,0)),CC8-VLOOKUP($D8,'Visu totale'!$D:$DH,CD$1,0),IF(LEFT(VLOOKUP($D8,'Visu totale'!$D:$DH,CD$1,0),1)="V",IF(CC8&gt;=INDEX('[1]Définition Maintenances'!$G:$G,MATCH($A8,'[1]Définition Maintenances'!$K:$K,0)),CC8,INDEX('[1]Définition Maintenances'!$G:$G,MATCH($A8,'[1]Définition Maintenances'!$K:$K,0))+CC8),CC8))</f>
        <v>929</v>
      </c>
      <c r="CE8" s="26">
        <f>IF(ISNUMBER(VLOOKUP($D8,'Visu totale'!$D:$DH,CE$1,0)),CD8-VLOOKUP($D8,'Visu totale'!$D:$DH,CE$1,0),IF(LEFT(VLOOKUP($D8,'Visu totale'!$D:$DH,CE$1,0),1)="V",IF(CD8&gt;=INDEX('[1]Définition Maintenances'!$G:$G,MATCH($A8,'[1]Définition Maintenances'!$K:$K,0)),CD8,INDEX('[1]Définition Maintenances'!$G:$G,MATCH($A8,'[1]Définition Maintenances'!$K:$K,0))+CD8),CD8))</f>
        <v>929</v>
      </c>
      <c r="CF8" s="26">
        <f>IF(ISNUMBER(VLOOKUP($D8,'Visu totale'!$D:$DH,CF$1,0)),CE8-VLOOKUP($D8,'Visu totale'!$D:$DH,CF$1,0),IF(LEFT(VLOOKUP($D8,'Visu totale'!$D:$DH,CF$1,0),1)="V",IF(CE8&gt;=INDEX('[1]Définition Maintenances'!$G:$G,MATCH($A8,'[1]Définition Maintenances'!$K:$K,0)),CE8,INDEX('[1]Définition Maintenances'!$G:$G,MATCH($A8,'[1]Définition Maintenances'!$K:$K,0))+CE8),CE8))</f>
        <v>929</v>
      </c>
      <c r="CG8" s="26">
        <f>IF(ISNUMBER(VLOOKUP($D8,'Visu totale'!$D:$DH,CG$1,0)),CF8-VLOOKUP($D8,'Visu totale'!$D:$DH,CG$1,0),IF(LEFT(VLOOKUP($D8,'Visu totale'!$D:$DH,CG$1,0),1)="V",IF(CF8&gt;=INDEX('[1]Définition Maintenances'!$G:$G,MATCH($A8,'[1]Définition Maintenances'!$K:$K,0)),CF8,INDEX('[1]Définition Maintenances'!$G:$G,MATCH($A8,'[1]Définition Maintenances'!$K:$K,0))+CF8),CF8))</f>
        <v>929</v>
      </c>
      <c r="CH8" s="26">
        <f>IF(ISNUMBER(VLOOKUP($D8,'Visu totale'!$D:$DH,CH$1,0)),CG8-VLOOKUP($D8,'Visu totale'!$D:$DH,CH$1,0),IF(LEFT(VLOOKUP($D8,'Visu totale'!$D:$DH,CH$1,0),1)="V",IF(CG8&gt;=INDEX('[1]Définition Maintenances'!$G:$G,MATCH($A8,'[1]Définition Maintenances'!$K:$K,0)),CG8,INDEX('[1]Définition Maintenances'!$G:$G,MATCH($A8,'[1]Définition Maintenances'!$K:$K,0))+CG8),CG8))</f>
        <v>929</v>
      </c>
      <c r="CI8" s="26">
        <f>IF(ISNUMBER(VLOOKUP($D8,'Visu totale'!$D:$DH,CI$1,0)),CH8-VLOOKUP($D8,'Visu totale'!$D:$DH,CI$1,0),IF(LEFT(VLOOKUP($D8,'Visu totale'!$D:$DH,CI$1,0),1)="V",IF(CH8&gt;=INDEX('[1]Définition Maintenances'!$G:$G,MATCH($A8,'[1]Définition Maintenances'!$K:$K,0)),CH8,INDEX('[1]Définition Maintenances'!$G:$G,MATCH($A8,'[1]Définition Maintenances'!$K:$K,0))+CH8),CH8))</f>
        <v>929</v>
      </c>
      <c r="CJ8" s="26">
        <f>IF(ISNUMBER(VLOOKUP($D8,'Visu totale'!$D:$DH,CJ$1,0)),CI8-VLOOKUP($D8,'Visu totale'!$D:$DH,CJ$1,0),IF(LEFT(VLOOKUP($D8,'Visu totale'!$D:$DH,CJ$1,0),1)="V",IF(CI8&gt;=INDEX('[1]Définition Maintenances'!$G:$G,MATCH($A8,'[1]Définition Maintenances'!$K:$K,0)),CI8,INDEX('[1]Définition Maintenances'!$G:$G,MATCH($A8,'[1]Définition Maintenances'!$K:$K,0))+CI8),CI8))</f>
        <v>929</v>
      </c>
      <c r="CK8" s="27">
        <f>IF(ISNUMBER(VLOOKUP($D8,'Visu totale'!$D:$DH,CK$1,0)),CJ8-VLOOKUP($D8,'Visu totale'!$D:$DH,CK$1,0),IF(LEFT(VLOOKUP($D8,'Visu totale'!$D:$DH,CK$1,0),1)="V",IF(CJ8&gt;=INDEX('[1]Définition Maintenances'!$G:$G,MATCH($A8,'[1]Définition Maintenances'!$K:$K,0)),CJ8,INDEX('[1]Définition Maintenances'!$G:$G,MATCH($A8,'[1]Définition Maintenances'!$K:$K,0))+CJ8),CJ8))</f>
        <v>929</v>
      </c>
      <c r="CL8" s="25">
        <f>IF(ISNUMBER(VLOOKUP($D8,'Visu totale'!$D:$DH,CL$1,0)),CK8-VLOOKUP($D8,'Visu totale'!$D:$DH,CL$1,0),IF(LEFT(VLOOKUP($D8,'Visu totale'!$D:$DH,CL$1,0),1)="V",IF(CK8&gt;=INDEX('[1]Définition Maintenances'!$G:$G,MATCH($A8,'[1]Définition Maintenances'!$K:$K,0)),CK8,INDEX('[1]Définition Maintenances'!$G:$G,MATCH($A8,'[1]Définition Maintenances'!$K:$K,0))+CK8),CK8))</f>
        <v>929</v>
      </c>
      <c r="CM8" s="26">
        <f>IF(ISNUMBER(VLOOKUP($D8,'Visu totale'!$D:$DH,CM$1,0)),CL8-VLOOKUP($D8,'Visu totale'!$D:$DH,CM$1,0),IF(LEFT(VLOOKUP($D8,'Visu totale'!$D:$DH,CM$1,0),1)="V",IF(CL8&gt;=INDEX('[1]Définition Maintenances'!$G:$G,MATCH($A8,'[1]Définition Maintenances'!$K:$K,0)),CL8,INDEX('[1]Définition Maintenances'!$G:$G,MATCH($A8,'[1]Définition Maintenances'!$K:$K,0))+CL8),CL8))</f>
        <v>929</v>
      </c>
      <c r="CN8" s="26">
        <f>IF(ISNUMBER(VLOOKUP($D8,'Visu totale'!$D:$DH,CN$1,0)),CM8-VLOOKUP($D8,'Visu totale'!$D:$DH,CN$1,0),IF(LEFT(VLOOKUP($D8,'Visu totale'!$D:$DH,CN$1,0),1)="V",IF(CM8&gt;=INDEX('[1]Définition Maintenances'!$G:$G,MATCH($A8,'[1]Définition Maintenances'!$K:$K,0)),CM8,INDEX('[1]Définition Maintenances'!$G:$G,MATCH($A8,'[1]Définition Maintenances'!$K:$K,0))+CM8),CM8))</f>
        <v>929</v>
      </c>
      <c r="CO8" s="26">
        <f>IF(ISNUMBER(VLOOKUP($D8,'Visu totale'!$D:$DH,CO$1,0)),CN8-VLOOKUP($D8,'Visu totale'!$D:$DH,CO$1,0),IF(LEFT(VLOOKUP($D8,'Visu totale'!$D:$DH,CO$1,0),1)="V",IF(CN8&gt;=INDEX('[1]Définition Maintenances'!$G:$G,MATCH($A8,'[1]Définition Maintenances'!$K:$K,0)),CN8,INDEX('[1]Définition Maintenances'!$G:$G,MATCH($A8,'[1]Définition Maintenances'!$K:$K,0))+CN8),CN8))</f>
        <v>929</v>
      </c>
      <c r="CP8" s="26">
        <f>IF(ISNUMBER(VLOOKUP($D8,'Visu totale'!$D:$DH,CP$1,0)),CO8-VLOOKUP($D8,'Visu totale'!$D:$DH,CP$1,0),IF(LEFT(VLOOKUP($D8,'Visu totale'!$D:$DH,CP$1,0),1)="V",IF(CO8&gt;=INDEX('[1]Définition Maintenances'!$G:$G,MATCH($A8,'[1]Définition Maintenances'!$K:$K,0)),CO8,INDEX('[1]Définition Maintenances'!$G:$G,MATCH($A8,'[1]Définition Maintenances'!$K:$K,0))+CO8),CO8))</f>
        <v>929</v>
      </c>
      <c r="CQ8" s="26">
        <f>IF(ISNUMBER(VLOOKUP($D8,'Visu totale'!$D:$DH,CQ$1,0)),CP8-VLOOKUP($D8,'Visu totale'!$D:$DH,CQ$1,0),IF(LEFT(VLOOKUP($D8,'Visu totale'!$D:$DH,CQ$1,0),1)="V",IF(CP8&gt;=INDEX('[1]Définition Maintenances'!$G:$G,MATCH($A8,'[1]Définition Maintenances'!$K:$K,0)),CP8,INDEX('[1]Définition Maintenances'!$G:$G,MATCH($A8,'[1]Définition Maintenances'!$K:$K,0))+CP8),CP8))</f>
        <v>929</v>
      </c>
      <c r="CR8" s="26">
        <f>IF(ISNUMBER(VLOOKUP($D8,'Visu totale'!$D:$DH,CR$1,0)),CQ8-VLOOKUP($D8,'Visu totale'!$D:$DH,CR$1,0),IF(LEFT(VLOOKUP($D8,'Visu totale'!$D:$DH,CR$1,0),1)="V",IF(CQ8&gt;=INDEX('[1]Définition Maintenances'!$G:$G,MATCH($A8,'[1]Définition Maintenances'!$K:$K,0)),CQ8,INDEX('[1]Définition Maintenances'!$G:$G,MATCH($A8,'[1]Définition Maintenances'!$K:$K,0))+CQ8),CQ8))</f>
        <v>929</v>
      </c>
      <c r="CS8" s="26">
        <f>IF(ISNUMBER(VLOOKUP($D8,'Visu totale'!$D:$DH,CS$1,0)),CR8-VLOOKUP($D8,'Visu totale'!$D:$DH,CS$1,0),IF(LEFT(VLOOKUP($D8,'Visu totale'!$D:$DH,CS$1,0),1)="V",IF(CR8&gt;=INDEX('[1]Définition Maintenances'!$G:$G,MATCH($A8,'[1]Définition Maintenances'!$K:$K,0)),CR8,INDEX('[1]Définition Maintenances'!$G:$G,MATCH($A8,'[1]Définition Maintenances'!$K:$K,0))+CR8),CR8))</f>
        <v>929</v>
      </c>
      <c r="CT8" s="26">
        <f>IF(ISNUMBER(VLOOKUP($D8,'Visu totale'!$D:$DH,CT$1,0)),CS8-VLOOKUP($D8,'Visu totale'!$D:$DH,CT$1,0),IF(LEFT(VLOOKUP($D8,'Visu totale'!$D:$DH,CT$1,0),1)="V",IF(CS8&gt;=INDEX('[1]Définition Maintenances'!$G:$G,MATCH($A8,'[1]Définition Maintenances'!$K:$K,0)),CS8,INDEX('[1]Définition Maintenances'!$G:$G,MATCH($A8,'[1]Définition Maintenances'!$K:$K,0))+CS8),CS8))</f>
        <v>929</v>
      </c>
      <c r="CU8" s="26">
        <f>IF(ISNUMBER(VLOOKUP($D8,'Visu totale'!$D:$DH,CU$1,0)),CT8-VLOOKUP($D8,'Visu totale'!$D:$DH,CU$1,0),IF(LEFT(VLOOKUP($D8,'Visu totale'!$D:$DH,CU$1,0),1)="V",IF(CT8&gt;=INDEX('[1]Définition Maintenances'!$G:$G,MATCH($A8,'[1]Définition Maintenances'!$K:$K,0)),CT8,INDEX('[1]Définition Maintenances'!$G:$G,MATCH($A8,'[1]Définition Maintenances'!$K:$K,0))+CT8),CT8))</f>
        <v>929</v>
      </c>
      <c r="CV8" s="26">
        <f>IF(ISNUMBER(VLOOKUP($D8,'Visu totale'!$D:$DH,CV$1,0)),CU8-VLOOKUP($D8,'Visu totale'!$D:$DH,CV$1,0),IF(LEFT(VLOOKUP($D8,'Visu totale'!$D:$DH,CV$1,0),1)="V",IF(CU8&gt;=INDEX('[1]Définition Maintenances'!$G:$G,MATCH($A8,'[1]Définition Maintenances'!$K:$K,0)),CU8,INDEX('[1]Définition Maintenances'!$G:$G,MATCH($A8,'[1]Définition Maintenances'!$K:$K,0))+CU8),CU8))</f>
        <v>929</v>
      </c>
      <c r="CW8" s="27">
        <f>IF(ISNUMBER(VLOOKUP($D8,'Visu totale'!$D:$DH,CW$1,0)),CV8-VLOOKUP($D8,'Visu totale'!$D:$DH,CW$1,0),IF(LEFT(VLOOKUP($D8,'Visu totale'!$D:$DH,CW$1,0),1)="V",IF(CV8&gt;=INDEX('[1]Définition Maintenances'!$G:$G,MATCH($A8,'[1]Définition Maintenances'!$K:$K,0)),CV8,INDEX('[1]Définition Maintenances'!$G:$G,MATCH($A8,'[1]Définition Maintenances'!$K:$K,0))+CV8),CV8))</f>
        <v>929</v>
      </c>
      <c r="CX8" s="25">
        <f>IF(ISNUMBER(VLOOKUP($D8,'Visu totale'!$D:$DH,CX$1,0)),CW8-VLOOKUP($D8,'Visu totale'!$D:$DH,CX$1,0),IF(LEFT(VLOOKUP($D8,'Visu totale'!$D:$DH,CX$1,0),1)="V",IF(CW8&gt;=INDEX('[1]Définition Maintenances'!$G:$G,MATCH($A8,'[1]Définition Maintenances'!$K:$K,0)),CW8,INDEX('[1]Définition Maintenances'!$G:$G,MATCH($A8,'[1]Définition Maintenances'!$K:$K,0))+CW8),CW8))</f>
        <v>929</v>
      </c>
      <c r="CY8" s="26">
        <f>IF(ISNUMBER(VLOOKUP($D8,'Visu totale'!$D:$DH,CY$1,0)),CX8-VLOOKUP($D8,'Visu totale'!$D:$DH,CY$1,0),IF(LEFT(VLOOKUP($D8,'Visu totale'!$D:$DH,CY$1,0),1)="V",IF(CX8&gt;=INDEX('[1]Définition Maintenances'!$G:$G,MATCH($A8,'[1]Définition Maintenances'!$K:$K,0)),CX8,INDEX('[1]Définition Maintenances'!$G:$G,MATCH($A8,'[1]Définition Maintenances'!$K:$K,0))+CX8),CX8))</f>
        <v>929</v>
      </c>
      <c r="CZ8" s="26">
        <f>IF(ISNUMBER(VLOOKUP($D8,'Visu totale'!$D:$DH,CZ$1,0)),CY8-VLOOKUP($D8,'Visu totale'!$D:$DH,CZ$1,0),IF(LEFT(VLOOKUP($D8,'Visu totale'!$D:$DH,CZ$1,0),1)="V",IF(CY8&gt;=INDEX('[1]Définition Maintenances'!$G:$G,MATCH($A8,'[1]Définition Maintenances'!$K:$K,0)),CY8,INDEX('[1]Définition Maintenances'!$G:$G,MATCH($A8,'[1]Définition Maintenances'!$K:$K,0))+CY8),CY8))</f>
        <v>929</v>
      </c>
      <c r="DA8" s="26">
        <f>IF(ISNUMBER(VLOOKUP($D8,'Visu totale'!$D:$DH,DA$1,0)),CZ8-VLOOKUP($D8,'Visu totale'!$D:$DH,DA$1,0),IF(LEFT(VLOOKUP($D8,'Visu totale'!$D:$DH,DA$1,0),1)="V",IF(CZ8&gt;=INDEX('[1]Définition Maintenances'!$G:$G,MATCH($A8,'[1]Définition Maintenances'!$K:$K,0)),CZ8,INDEX('[1]Définition Maintenances'!$G:$G,MATCH($A8,'[1]Définition Maintenances'!$K:$K,0))+CZ8),CZ8))</f>
        <v>929</v>
      </c>
      <c r="DB8" s="26">
        <f>IF(ISNUMBER(VLOOKUP($D8,'Visu totale'!$D:$DH,DB$1,0)),DA8-VLOOKUP($D8,'Visu totale'!$D:$DH,DB$1,0),IF(LEFT(VLOOKUP($D8,'Visu totale'!$D:$DH,DB$1,0),1)="V",IF(DA8&gt;=INDEX('[1]Définition Maintenances'!$G:$G,MATCH($A8,'[1]Définition Maintenances'!$K:$K,0)),DA8,INDEX('[1]Définition Maintenances'!$G:$G,MATCH($A8,'[1]Définition Maintenances'!$K:$K,0))+DA8),DA8))</f>
        <v>929</v>
      </c>
      <c r="DC8" s="26">
        <f>IF(ISNUMBER(VLOOKUP($D8,'Visu totale'!$D:$DH,DC$1,0)),DB8-VLOOKUP($D8,'Visu totale'!$D:$DH,DC$1,0),IF(LEFT(VLOOKUP($D8,'Visu totale'!$D:$DH,DC$1,0),1)="V",IF(DB8&gt;=INDEX('[1]Définition Maintenances'!$G:$G,MATCH($A8,'[1]Définition Maintenances'!$K:$K,0)),DB8,INDEX('[1]Définition Maintenances'!$G:$G,MATCH($A8,'[1]Définition Maintenances'!$K:$K,0))+DB8),DB8))</f>
        <v>929</v>
      </c>
      <c r="DD8" s="26">
        <f>IF(ISNUMBER(VLOOKUP($D8,'Visu totale'!$D:$DH,DD$1,0)),DC8-VLOOKUP($D8,'Visu totale'!$D:$DH,DD$1,0),IF(LEFT(VLOOKUP($D8,'Visu totale'!$D:$DH,DD$1,0),1)="V",IF(DC8&gt;=INDEX('[1]Définition Maintenances'!$G:$G,MATCH($A8,'[1]Définition Maintenances'!$K:$K,0)),DC8,INDEX('[1]Définition Maintenances'!$G:$G,MATCH($A8,'[1]Définition Maintenances'!$K:$K,0))+DC8),DC8))</f>
        <v>929</v>
      </c>
      <c r="DE8" s="26">
        <f>IF(ISNUMBER(VLOOKUP($D8,'Visu totale'!$D:$DH,DE$1,0)),DD8-VLOOKUP($D8,'Visu totale'!$D:$DH,DE$1,0),IF(LEFT(VLOOKUP($D8,'Visu totale'!$D:$DH,DE$1,0),1)="V",IF(DD8&gt;=INDEX('[1]Définition Maintenances'!$G:$G,MATCH($A8,'[1]Définition Maintenances'!$K:$K,0)),DD8,INDEX('[1]Définition Maintenances'!$G:$G,MATCH($A8,'[1]Définition Maintenances'!$K:$K,0))+DD8),DD8))</f>
        <v>929</v>
      </c>
      <c r="DF8" s="26">
        <f>IF(ISNUMBER(VLOOKUP($D8,'Visu totale'!$D:$DH,DF$1,0)),DE8-VLOOKUP($D8,'Visu totale'!$D:$DH,DF$1,0),IF(LEFT(VLOOKUP($D8,'Visu totale'!$D:$DH,DF$1,0),1)="V",IF(DE8&gt;=INDEX('[1]Définition Maintenances'!$G:$G,MATCH($A8,'[1]Définition Maintenances'!$K:$K,0)),DE8,INDEX('[1]Définition Maintenances'!$G:$G,MATCH($A8,'[1]Définition Maintenances'!$K:$K,0))+DE8),DE8))</f>
        <v>929</v>
      </c>
      <c r="DG8" s="26">
        <f>IF(ISNUMBER(VLOOKUP($D8,'Visu totale'!$D:$DH,DG$1,0)),DF8-VLOOKUP($D8,'Visu totale'!$D:$DH,DG$1,0),IF(LEFT(VLOOKUP($D8,'Visu totale'!$D:$DH,DG$1,0),1)="V",IF(DF8&gt;=INDEX('[1]Définition Maintenances'!$G:$G,MATCH($A8,'[1]Définition Maintenances'!$K:$K,0)),DF8,INDEX('[1]Définition Maintenances'!$G:$G,MATCH($A8,'[1]Définition Maintenances'!$K:$K,0))+DF8),DF8))</f>
        <v>929</v>
      </c>
      <c r="DH8" s="26">
        <f>IF(ISNUMBER(VLOOKUP($D8,'Visu totale'!$D:$DH,DH$1,0)),DG8-VLOOKUP($D8,'Visu totale'!$D:$DH,DH$1,0),IF(LEFT(VLOOKUP($D8,'Visu totale'!$D:$DH,DH$1,0),1)="V",IF(DG8&gt;=INDEX('[1]Définition Maintenances'!$G:$G,MATCH($A8,'[1]Définition Maintenances'!$K:$K,0)),DG8,INDEX('[1]Définition Maintenances'!$G:$G,MATCH($A8,'[1]Définition Maintenances'!$K:$K,0))+DG8),DG8))</f>
        <v>929</v>
      </c>
      <c r="DI8" s="27">
        <f>IF(ISNUMBER(VLOOKUP($D8,'Visu totale'!$D:$DH,DI$1,0)),DH8-VLOOKUP($D8,'Visu totale'!$D:$DH,DI$1,0),IF(LEFT(VLOOKUP($D8,'Visu totale'!$D:$DH,DI$1,0),1)="V",IF(DH8&gt;=INDEX('[1]Définition Maintenances'!$G:$G,MATCH($A8,'[1]Définition Maintenances'!$K:$K,0)),DH8,INDEX('[1]Définition Maintenances'!$G:$G,MATCH($A8,'[1]Définition Maintenances'!$K:$K,0))+DH8),DH8))</f>
        <v>929</v>
      </c>
    </row>
    <row r="9" spans="1:113" x14ac:dyDescent="0.25">
      <c r="A9" s="13" t="str">
        <f t="shared" si="0"/>
        <v>V10D</v>
      </c>
      <c r="B9" s="13" t="str">
        <f>VLOOKUP(D9,'[1]Avions (Potentiels)'!$B$2:$H$128,7,FALSE)</f>
        <v>V10</v>
      </c>
      <c r="C9" s="13"/>
      <c r="D9" s="16" t="s">
        <v>12</v>
      </c>
      <c r="E9" s="13">
        <f>IFERROR(VALUE(SUBSTITUTE(VLOOKUP(D9,'[1]Avions (Potentiels)'!$B:$E,4,0),".",",")),VALUE(VLOOKUP(D9,'[1]Avions (Potentiels)'!$B:$E,4,0)))</f>
        <v>207</v>
      </c>
      <c r="F9" s="25">
        <f>IF(ISNUMBER(VLOOKUP($D9,'Visu totale'!$D:$DH,F$1,0)),E9-VLOOKUP($D9,'Visu totale'!$D:$DH,F$1,0),IF(LEFT(VLOOKUP($D9,'Visu totale'!$D:$DH,F$1,0),1)="V",IF(E9&gt;=INDEX('[1]Définition Maintenances'!$G:$G,MATCH($A9,'[1]Définition Maintenances'!$K:$K,0)),E9,INDEX('[1]Définition Maintenances'!$G:$G,MATCH($A9,'[1]Définition Maintenances'!$K:$K,0))+E9),E9))</f>
        <v>207</v>
      </c>
      <c r="G9" s="26">
        <f>IF(ISNUMBER(VLOOKUP($D9,'Visu totale'!$D:$DH,G$1,0)),F9-VLOOKUP($D9,'Visu totale'!$D:$DH,G$1,0),IF(LEFT(VLOOKUP($D9,'Visu totale'!$D:$DH,G$1,0),1)="V",IF(F9&gt;=INDEX('[1]Définition Maintenances'!$G:$G,MATCH($A9,'[1]Définition Maintenances'!$K:$K,0)),F9,INDEX('[1]Définition Maintenances'!$G:$G,MATCH($A9,'[1]Définition Maintenances'!$K:$K,0))+F9),F9))</f>
        <v>207</v>
      </c>
      <c r="H9" s="26">
        <f>IF(ISNUMBER(VLOOKUP($D9,'Visu totale'!$D:$DH,H$1,0)),G9-VLOOKUP($D9,'Visu totale'!$D:$DH,H$1,0),IF(LEFT(VLOOKUP($D9,'Visu totale'!$D:$DH,H$1,0),1)="V",IF(G9&gt;=INDEX('[1]Définition Maintenances'!$G:$G,MATCH($A9,'[1]Définition Maintenances'!$K:$K,0)),G9,INDEX('[1]Définition Maintenances'!$G:$G,MATCH($A9,'[1]Définition Maintenances'!$K:$K,0))+G9),G9))</f>
        <v>207</v>
      </c>
      <c r="I9" s="26">
        <f>IF(ISNUMBER(VLOOKUP($D9,'Visu totale'!$D:$DH,I$1,0)),H9-VLOOKUP($D9,'Visu totale'!$D:$DH,I$1,0),IF(LEFT(VLOOKUP($D9,'Visu totale'!$D:$DH,I$1,0),1)="V",IF(H9&gt;=INDEX('[1]Définition Maintenances'!$G:$G,MATCH($A9,'[1]Définition Maintenances'!$K:$K,0)),H9,INDEX('[1]Définition Maintenances'!$G:$G,MATCH($A9,'[1]Définition Maintenances'!$K:$K,0))+H9),H9))</f>
        <v>207</v>
      </c>
      <c r="J9" s="26">
        <f>IF(ISNUMBER(VLOOKUP($D9,'Visu totale'!$D:$DH,J$1,0)),I9-VLOOKUP($D9,'Visu totale'!$D:$DH,J$1,0),IF(LEFT(VLOOKUP($D9,'Visu totale'!$D:$DH,J$1,0),1)="V",IF(I9&gt;=INDEX('[1]Définition Maintenances'!$G:$G,MATCH($A9,'[1]Définition Maintenances'!$K:$K,0)),I9,INDEX('[1]Définition Maintenances'!$G:$G,MATCH($A9,'[1]Définition Maintenances'!$K:$K,0))+I9),I9))</f>
        <v>207</v>
      </c>
      <c r="K9" s="26">
        <f>IF(ISNUMBER(VLOOKUP($D9,'Visu totale'!$D:$DH,K$1,0)),J9-VLOOKUP($D9,'Visu totale'!$D:$DH,K$1,0),IF(LEFT(VLOOKUP($D9,'Visu totale'!$D:$DH,K$1,0),1)="V",IF(J9&gt;=INDEX('[1]Définition Maintenances'!$G:$G,MATCH($A9,'[1]Définition Maintenances'!$K:$K,0)),J9,INDEX('[1]Définition Maintenances'!$G:$G,MATCH($A9,'[1]Définition Maintenances'!$K:$K,0))+J9),J9))</f>
        <v>207</v>
      </c>
      <c r="L9" s="26">
        <f>IF(ISNUMBER(VLOOKUP($D9,'Visu totale'!$D:$DH,L$1,0)),K9-VLOOKUP($D9,'Visu totale'!$D:$DH,L$1,0),IF(LEFT(VLOOKUP($D9,'Visu totale'!$D:$DH,L$1,0),1)="V",IF(K9&gt;=INDEX('[1]Définition Maintenances'!$G:$G,MATCH($A9,'[1]Définition Maintenances'!$K:$K,0)),K9,INDEX('[1]Définition Maintenances'!$G:$G,MATCH($A9,'[1]Définition Maintenances'!$K:$K,0))+K9),K9))</f>
        <v>207</v>
      </c>
      <c r="M9" s="26">
        <f>IF(ISNUMBER(VLOOKUP($D9,'Visu totale'!$D:$DH,M$1,0)),L9-VLOOKUP($D9,'Visu totale'!$D:$DH,M$1,0),IF(LEFT(VLOOKUP($D9,'Visu totale'!$D:$DH,M$1,0),1)="V",IF(L9&gt;=INDEX('[1]Définition Maintenances'!$G:$G,MATCH($A9,'[1]Définition Maintenances'!$K:$K,0)),L9,INDEX('[1]Définition Maintenances'!$G:$G,MATCH($A9,'[1]Définition Maintenances'!$K:$K,0))+L9),L9))</f>
        <v>207</v>
      </c>
      <c r="N9" s="26">
        <f>IF(ISNUMBER(VLOOKUP($D9,'Visu totale'!$D:$DH,N$1,0)),M9-VLOOKUP($D9,'Visu totale'!$D:$DH,N$1,0),IF(LEFT(VLOOKUP($D9,'Visu totale'!$D:$DH,N$1,0),1)="V",IF(M9&gt;=INDEX('[1]Définition Maintenances'!$G:$G,MATCH($A9,'[1]Définition Maintenances'!$K:$K,0)),M9,INDEX('[1]Définition Maintenances'!$G:$G,MATCH($A9,'[1]Définition Maintenances'!$K:$K,0))+M9),M9))</f>
        <v>207</v>
      </c>
      <c r="O9" s="26">
        <f>IF(ISNUMBER(VLOOKUP($D9,'Visu totale'!$D:$DH,O$1,0)),N9-VLOOKUP($D9,'Visu totale'!$D:$DH,O$1,0),IF(LEFT(VLOOKUP($D9,'Visu totale'!$D:$DH,O$1,0),1)="V",IF(N9&gt;=INDEX('[1]Définition Maintenances'!$G:$G,MATCH($A9,'[1]Définition Maintenances'!$K:$K,0)),N9,INDEX('[1]Définition Maintenances'!$G:$G,MATCH($A9,'[1]Définition Maintenances'!$K:$K,0))+N9),N9))</f>
        <v>207</v>
      </c>
      <c r="P9" s="26">
        <f>IF(ISNUMBER(VLOOKUP($D9,'Visu totale'!$D:$DH,P$1,0)),O9-VLOOKUP($D9,'Visu totale'!$D:$DH,P$1,0),IF(LEFT(VLOOKUP($D9,'Visu totale'!$D:$DH,P$1,0),1)="V",IF(O9&gt;=INDEX('[1]Définition Maintenances'!$G:$G,MATCH($A9,'[1]Définition Maintenances'!$K:$K,0)),O9,INDEX('[1]Définition Maintenances'!$G:$G,MATCH($A9,'[1]Définition Maintenances'!$K:$K,0))+O9),O9))</f>
        <v>207</v>
      </c>
      <c r="Q9" s="27">
        <f>IF(ISNUMBER(VLOOKUP($D9,'Visu totale'!$D:$DH,Q$1,0)),P9-VLOOKUP($D9,'Visu totale'!$D:$DH,Q$1,0),IF(LEFT(VLOOKUP($D9,'Visu totale'!$D:$DH,Q$1,0),1)="V",IF(P9&gt;=INDEX('[1]Définition Maintenances'!$G:$G,MATCH($A9,'[1]Définition Maintenances'!$K:$K,0)),P9,INDEX('[1]Définition Maintenances'!$G:$G,MATCH($A9,'[1]Définition Maintenances'!$K:$K,0))+P9),P9))</f>
        <v>207</v>
      </c>
      <c r="R9" s="25">
        <f>IF(ISNUMBER(VLOOKUP($D9,'Visu totale'!$D:$DH,R$1,0)),Q9-VLOOKUP($D9,'Visu totale'!$D:$DH,R$1,0),IF(LEFT(VLOOKUP($D9,'Visu totale'!$D:$DH,R$1,0),1)="V",IF(Q9&gt;=INDEX('[1]Définition Maintenances'!$G:$G,MATCH($A9,'[1]Définition Maintenances'!$K:$K,0)),Q9,INDEX('[1]Définition Maintenances'!$G:$G,MATCH($A9,'[1]Définition Maintenances'!$K:$K,0))+Q9),Q9))</f>
        <v>207</v>
      </c>
      <c r="S9" s="26">
        <f>IF(ISNUMBER(VLOOKUP($D9,'Visu totale'!$D:$DH,S$1,0)),R9-VLOOKUP($D9,'Visu totale'!$D:$DH,S$1,0),IF(LEFT(VLOOKUP($D9,'Visu totale'!$D:$DH,S$1,0),1)="V",IF(R9&gt;=INDEX('[1]Définition Maintenances'!$G:$G,MATCH($A9,'[1]Définition Maintenances'!$K:$K,0)),R9,INDEX('[1]Définition Maintenances'!$G:$G,MATCH($A9,'[1]Définition Maintenances'!$K:$K,0))+R9),R9))</f>
        <v>207</v>
      </c>
      <c r="T9" s="26">
        <f>IF(ISNUMBER(VLOOKUP($D9,'Visu totale'!$D:$DH,T$1,0)),S9-VLOOKUP($D9,'Visu totale'!$D:$DH,T$1,0),IF(LEFT(VLOOKUP($D9,'Visu totale'!$D:$DH,T$1,0),1)="V",IF(S9&gt;=INDEX('[1]Définition Maintenances'!$G:$G,MATCH($A9,'[1]Définition Maintenances'!$K:$K,0)),S9,INDEX('[1]Définition Maintenances'!$G:$G,MATCH($A9,'[1]Définition Maintenances'!$K:$K,0))+S9),S9))</f>
        <v>207</v>
      </c>
      <c r="U9" s="26">
        <f>IF(ISNUMBER(VLOOKUP($D9,'Visu totale'!$D:$DH,U$1,0)),T9-VLOOKUP($D9,'Visu totale'!$D:$DH,U$1,0),IF(LEFT(VLOOKUP($D9,'Visu totale'!$D:$DH,U$1,0),1)="V",IF(T9&gt;=INDEX('[1]Définition Maintenances'!$G:$G,MATCH($A9,'[1]Définition Maintenances'!$K:$K,0)),T9,INDEX('[1]Définition Maintenances'!$G:$G,MATCH($A9,'[1]Définition Maintenances'!$K:$K,0))+T9),T9))</f>
        <v>207</v>
      </c>
      <c r="V9" s="26">
        <f>IF(ISNUMBER(VLOOKUP($D9,'Visu totale'!$D:$DH,V$1,0)),U9-VLOOKUP($D9,'Visu totale'!$D:$DH,V$1,0),IF(LEFT(VLOOKUP($D9,'Visu totale'!$D:$DH,V$1,0),1)="V",IF(U9&gt;=INDEX('[1]Définition Maintenances'!$G:$G,MATCH($A9,'[1]Définition Maintenances'!$K:$K,0)),U9,INDEX('[1]Définition Maintenances'!$G:$G,MATCH($A9,'[1]Définition Maintenances'!$K:$K,0))+U9),U9))</f>
        <v>207</v>
      </c>
      <c r="W9" s="26">
        <f>IF(ISNUMBER(VLOOKUP($D9,'Visu totale'!$D:$DH,W$1,0)),V9-VLOOKUP($D9,'Visu totale'!$D:$DH,W$1,0),IF(LEFT(VLOOKUP($D9,'Visu totale'!$D:$DH,W$1,0),1)="V",IF(V9&gt;=INDEX('[1]Définition Maintenances'!$G:$G,MATCH($A9,'[1]Définition Maintenances'!$K:$K,0)),V9,INDEX('[1]Définition Maintenances'!$G:$G,MATCH($A9,'[1]Définition Maintenances'!$K:$K,0))+V9),V9))</f>
        <v>207</v>
      </c>
      <c r="X9" s="26">
        <f>IF(ISNUMBER(VLOOKUP($D9,'Visu totale'!$D:$DH,X$1,0)),W9-VLOOKUP($D9,'Visu totale'!$D:$DH,X$1,0),IF(LEFT(VLOOKUP($D9,'Visu totale'!$D:$DH,X$1,0),1)="V",IF(W9&gt;=INDEX('[1]Définition Maintenances'!$G:$G,MATCH($A9,'[1]Définition Maintenances'!$K:$K,0)),W9,INDEX('[1]Définition Maintenances'!$G:$G,MATCH($A9,'[1]Définition Maintenances'!$K:$K,0))+W9),W9))</f>
        <v>207</v>
      </c>
      <c r="Y9" s="26">
        <f>IF(ISNUMBER(VLOOKUP($D9,'Visu totale'!$D:$DH,Y$1,0)),X9-VLOOKUP($D9,'Visu totale'!$D:$DH,Y$1,0),IF(LEFT(VLOOKUP($D9,'Visu totale'!$D:$DH,Y$1,0),1)="V",IF(X9&gt;=INDEX('[1]Définition Maintenances'!$G:$G,MATCH($A9,'[1]Définition Maintenances'!$K:$K,0)),X9,INDEX('[1]Définition Maintenances'!$G:$G,MATCH($A9,'[1]Définition Maintenances'!$K:$K,0))+X9),X9))</f>
        <v>207</v>
      </c>
      <c r="Z9" s="26">
        <f>IF(ISNUMBER(VLOOKUP($D9,'Visu totale'!$D:$DH,Z$1,0)),Y9-VLOOKUP($D9,'Visu totale'!$D:$DH,Z$1,0),IF(LEFT(VLOOKUP($D9,'Visu totale'!$D:$DH,Z$1,0),1)="V",IF(Y9&gt;=INDEX('[1]Définition Maintenances'!$G:$G,MATCH($A9,'[1]Définition Maintenances'!$K:$K,0)),Y9,INDEX('[1]Définition Maintenances'!$G:$G,MATCH($A9,'[1]Définition Maintenances'!$K:$K,0))+Y9),Y9))</f>
        <v>207</v>
      </c>
      <c r="AA9" s="26">
        <f>IF(ISNUMBER(VLOOKUP($D9,'Visu totale'!$D:$DH,AA$1,0)),Z9-VLOOKUP($D9,'Visu totale'!$D:$DH,AA$1,0),IF(LEFT(VLOOKUP($D9,'Visu totale'!$D:$DH,AA$1,0),1)="V",IF(Z9&gt;=INDEX('[1]Définition Maintenances'!$G:$G,MATCH($A9,'[1]Définition Maintenances'!$K:$K,0)),Z9,INDEX('[1]Définition Maintenances'!$G:$G,MATCH($A9,'[1]Définition Maintenances'!$K:$K,0))+Z9),Z9))</f>
        <v>207</v>
      </c>
      <c r="AB9" s="26">
        <f>IF(ISNUMBER(VLOOKUP($D9,'Visu totale'!$D:$DH,AB$1,0)),AA9-VLOOKUP($D9,'Visu totale'!$D:$DH,AB$1,0),IF(LEFT(VLOOKUP($D9,'Visu totale'!$D:$DH,AB$1,0),1)="V",IF(AA9&gt;=INDEX('[1]Définition Maintenances'!$G:$G,MATCH($A9,'[1]Définition Maintenances'!$K:$K,0)),AA9,INDEX('[1]Définition Maintenances'!$G:$G,MATCH($A9,'[1]Définition Maintenances'!$K:$K,0))+AA9),AA9))</f>
        <v>207</v>
      </c>
      <c r="AC9" s="27">
        <f>IF(ISNUMBER(VLOOKUP($D9,'Visu totale'!$D:$DH,AC$1,0)),AB9-VLOOKUP($D9,'Visu totale'!$D:$DH,AC$1,0),IF(LEFT(VLOOKUP($D9,'Visu totale'!$D:$DH,AC$1,0),1)="V",IF(AB9&gt;=INDEX('[1]Définition Maintenances'!$G:$G,MATCH($A9,'[1]Définition Maintenances'!$K:$K,0)),AB9,INDEX('[1]Définition Maintenances'!$G:$G,MATCH($A9,'[1]Définition Maintenances'!$K:$K,0))+AB9),AB9))</f>
        <v>207</v>
      </c>
      <c r="AD9" s="25">
        <f>IF(ISNUMBER(VLOOKUP($D9,'Visu totale'!$D:$DH,AD$1,0)),AC9-VLOOKUP($D9,'Visu totale'!$D:$DH,AD$1,0),IF(LEFT(VLOOKUP($D9,'Visu totale'!$D:$DH,AD$1,0),1)="V",IF(AC9&gt;=INDEX('[1]Définition Maintenances'!$G:$G,MATCH($A9,'[1]Définition Maintenances'!$K:$K,0)),AC9,INDEX('[1]Définition Maintenances'!$G:$G,MATCH($A9,'[1]Définition Maintenances'!$K:$K,0))+AC9),AC9))</f>
        <v>207</v>
      </c>
      <c r="AE9" s="26">
        <f>IF(ISNUMBER(VLOOKUP($D9,'Visu totale'!$D:$DH,AE$1,0)),AD9-VLOOKUP($D9,'Visu totale'!$D:$DH,AE$1,0),IF(LEFT(VLOOKUP($D9,'Visu totale'!$D:$DH,AE$1,0),1)="V",IF(AD9&gt;=INDEX('[1]Définition Maintenances'!$G:$G,MATCH($A9,'[1]Définition Maintenances'!$K:$K,0)),AD9,INDEX('[1]Définition Maintenances'!$G:$G,MATCH($A9,'[1]Définition Maintenances'!$K:$K,0))+AD9),AD9))</f>
        <v>207</v>
      </c>
      <c r="AF9" s="26">
        <f>IF(ISNUMBER(VLOOKUP($D9,'Visu totale'!$D:$DH,AF$1,0)),AE9-VLOOKUP($D9,'Visu totale'!$D:$DH,AF$1,0),IF(LEFT(VLOOKUP($D9,'Visu totale'!$D:$DH,AF$1,0),1)="V",IF(AE9&gt;=INDEX('[1]Définition Maintenances'!$G:$G,MATCH($A9,'[1]Définition Maintenances'!$K:$K,0)),AE9,INDEX('[1]Définition Maintenances'!$G:$G,MATCH($A9,'[1]Définition Maintenances'!$K:$K,0))+AE9),AE9))</f>
        <v>207</v>
      </c>
      <c r="AG9" s="26">
        <f>IF(ISNUMBER(VLOOKUP($D9,'Visu totale'!$D:$DH,AG$1,0)),AF9-VLOOKUP($D9,'Visu totale'!$D:$DH,AG$1,0),IF(LEFT(VLOOKUP($D9,'Visu totale'!$D:$DH,AG$1,0),1)="V",IF(AF9&gt;=INDEX('[1]Définition Maintenances'!$G:$G,MATCH($A9,'[1]Définition Maintenances'!$K:$K,0)),AF9,INDEX('[1]Définition Maintenances'!$G:$G,MATCH($A9,'[1]Définition Maintenances'!$K:$K,0))+AF9),AF9))</f>
        <v>207</v>
      </c>
      <c r="AH9" s="26">
        <f>IF(ISNUMBER(VLOOKUP($D9,'Visu totale'!$D:$DH,AH$1,0)),AG9-VLOOKUP($D9,'Visu totale'!$D:$DH,AH$1,0),IF(LEFT(VLOOKUP($D9,'Visu totale'!$D:$DH,AH$1,0),1)="V",IF(AG9&gt;=INDEX('[1]Définition Maintenances'!$G:$G,MATCH($A9,'[1]Définition Maintenances'!$K:$K,0)),AG9,INDEX('[1]Définition Maintenances'!$G:$G,MATCH($A9,'[1]Définition Maintenances'!$K:$K,0))+AG9),AG9))</f>
        <v>207</v>
      </c>
      <c r="AI9" s="26">
        <f>IF(ISNUMBER(VLOOKUP($D9,'Visu totale'!$D:$DH,AI$1,0)),AH9-VLOOKUP($D9,'Visu totale'!$D:$DH,AI$1,0),IF(LEFT(VLOOKUP($D9,'Visu totale'!$D:$DH,AI$1,0),1)="V",IF(AH9&gt;=INDEX('[1]Définition Maintenances'!$G:$G,MATCH($A9,'[1]Définition Maintenances'!$K:$K,0)),AH9,INDEX('[1]Définition Maintenances'!$G:$G,MATCH($A9,'[1]Définition Maintenances'!$K:$K,0))+AH9),AH9))</f>
        <v>207</v>
      </c>
      <c r="AJ9" s="26">
        <f>IF(ISNUMBER(VLOOKUP($D9,'Visu totale'!$D:$DH,AJ$1,0)),AI9-VLOOKUP($D9,'Visu totale'!$D:$DH,AJ$1,0),IF(LEFT(VLOOKUP($D9,'Visu totale'!$D:$DH,AJ$1,0),1)="V",IF(AI9&gt;=INDEX('[1]Définition Maintenances'!$G:$G,MATCH($A9,'[1]Définition Maintenances'!$K:$K,0)),AI9,INDEX('[1]Définition Maintenances'!$G:$G,MATCH($A9,'[1]Définition Maintenances'!$K:$K,0))+AI9),AI9))</f>
        <v>207</v>
      </c>
      <c r="AK9" s="26">
        <f>IF(ISNUMBER(VLOOKUP($D9,'Visu totale'!$D:$DH,AK$1,0)),AJ9-VLOOKUP($D9,'Visu totale'!$D:$DH,AK$1,0),IF(LEFT(VLOOKUP($D9,'Visu totale'!$D:$DH,AK$1,0),1)="V",IF(AJ9&gt;=INDEX('[1]Définition Maintenances'!$G:$G,MATCH($A9,'[1]Définition Maintenances'!$K:$K,0)),AJ9,INDEX('[1]Définition Maintenances'!$G:$G,MATCH($A9,'[1]Définition Maintenances'!$K:$K,0))+AJ9),AJ9))</f>
        <v>207</v>
      </c>
      <c r="AL9" s="26">
        <f>IF(ISNUMBER(VLOOKUP($D9,'Visu totale'!$D:$DH,AL$1,0)),AK9-VLOOKUP($D9,'Visu totale'!$D:$DH,AL$1,0),IF(LEFT(VLOOKUP($D9,'Visu totale'!$D:$DH,AL$1,0),1)="V",IF(AK9&gt;=INDEX('[1]Définition Maintenances'!$G:$G,MATCH($A9,'[1]Définition Maintenances'!$K:$K,0)),AK9,INDEX('[1]Définition Maintenances'!$G:$G,MATCH($A9,'[1]Définition Maintenances'!$K:$K,0))+AK9),AK9))</f>
        <v>207</v>
      </c>
      <c r="AM9" s="26">
        <f>IF(ISNUMBER(VLOOKUP($D9,'Visu totale'!$D:$DH,AM$1,0)),AL9-VLOOKUP($D9,'Visu totale'!$D:$DH,AM$1,0),IF(LEFT(VLOOKUP($D9,'Visu totale'!$D:$DH,AM$1,0),1)="V",IF(AL9&gt;=INDEX('[1]Définition Maintenances'!$G:$G,MATCH($A9,'[1]Définition Maintenances'!$K:$K,0)),AL9,INDEX('[1]Définition Maintenances'!$G:$G,MATCH($A9,'[1]Définition Maintenances'!$K:$K,0))+AL9),AL9))</f>
        <v>207</v>
      </c>
      <c r="AN9" s="26">
        <f>IF(ISNUMBER(VLOOKUP($D9,'Visu totale'!$D:$DH,AN$1,0)),AM9-VLOOKUP($D9,'Visu totale'!$D:$DH,AN$1,0),IF(LEFT(VLOOKUP($D9,'Visu totale'!$D:$DH,AN$1,0),1)="V",IF(AM9&gt;=INDEX('[1]Définition Maintenances'!$G:$G,MATCH($A9,'[1]Définition Maintenances'!$K:$K,0)),AM9,INDEX('[1]Définition Maintenances'!$G:$G,MATCH($A9,'[1]Définition Maintenances'!$K:$K,0))+AM9),AM9))</f>
        <v>207</v>
      </c>
      <c r="AO9" s="27">
        <f>IF(ISNUMBER(VLOOKUP($D9,'Visu totale'!$D:$DH,AO$1,0)),AN9-VLOOKUP($D9,'Visu totale'!$D:$DH,AO$1,0),IF(LEFT(VLOOKUP($D9,'Visu totale'!$D:$DH,AO$1,0),1)="V",IF(AN9&gt;=INDEX('[1]Définition Maintenances'!$G:$G,MATCH($A9,'[1]Définition Maintenances'!$K:$K,0)),AN9,INDEX('[1]Définition Maintenances'!$G:$G,MATCH($A9,'[1]Définition Maintenances'!$K:$K,0))+AN9),AN9))</f>
        <v>207</v>
      </c>
      <c r="AP9" s="25">
        <f>IF(ISNUMBER(VLOOKUP($D9,'Visu totale'!$D:$DH,AP$1,0)),AO9-VLOOKUP($D9,'Visu totale'!$D:$DH,AP$1,0),IF(LEFT(VLOOKUP($D9,'Visu totale'!$D:$DH,AP$1,0),1)="V",IF(AO9&gt;=INDEX('[1]Définition Maintenances'!$G:$G,MATCH($A9,'[1]Définition Maintenances'!$K:$K,0)),AO9,INDEX('[1]Définition Maintenances'!$G:$G,MATCH($A9,'[1]Définition Maintenances'!$K:$K,0))+AO9),AO9))</f>
        <v>207</v>
      </c>
      <c r="AQ9" s="26">
        <f>IF(ISNUMBER(VLOOKUP($D9,'Visu totale'!$D:$DH,AQ$1,0)),AP9-VLOOKUP($D9,'Visu totale'!$D:$DH,AQ$1,0),IF(LEFT(VLOOKUP($D9,'Visu totale'!$D:$DH,AQ$1,0),1)="V",IF(AP9&gt;=INDEX('[1]Définition Maintenances'!$G:$G,MATCH($A9,'[1]Définition Maintenances'!$K:$K,0)),AP9,INDEX('[1]Définition Maintenances'!$G:$G,MATCH($A9,'[1]Définition Maintenances'!$K:$K,0))+AP9),AP9))</f>
        <v>207</v>
      </c>
      <c r="AR9" s="26">
        <f>IF(ISNUMBER(VLOOKUP($D9,'Visu totale'!$D:$DH,AR$1,0)),AQ9-VLOOKUP($D9,'Visu totale'!$D:$DH,AR$1,0),IF(LEFT(VLOOKUP($D9,'Visu totale'!$D:$DH,AR$1,0),1)="V",IF(AQ9&gt;=INDEX('[1]Définition Maintenances'!$G:$G,MATCH($A9,'[1]Définition Maintenances'!$K:$K,0)),AQ9,INDEX('[1]Définition Maintenances'!$G:$G,MATCH($A9,'[1]Définition Maintenances'!$K:$K,0))+AQ9),AQ9))</f>
        <v>207</v>
      </c>
      <c r="AS9" s="26">
        <f>IF(ISNUMBER(VLOOKUP($D9,'Visu totale'!$D:$DH,AS$1,0)),AR9-VLOOKUP($D9,'Visu totale'!$D:$DH,AS$1,0),IF(LEFT(VLOOKUP($D9,'Visu totale'!$D:$DH,AS$1,0),1)="V",IF(AR9&gt;=INDEX('[1]Définition Maintenances'!$G:$G,MATCH($A9,'[1]Définition Maintenances'!$K:$K,0)),AR9,INDEX('[1]Définition Maintenances'!$G:$G,MATCH($A9,'[1]Définition Maintenances'!$K:$K,0))+AR9),AR9))</f>
        <v>207</v>
      </c>
      <c r="AT9" s="26">
        <f>IF(ISNUMBER(VLOOKUP($D9,'Visu totale'!$D:$DH,AT$1,0)),AS9-VLOOKUP($D9,'Visu totale'!$D:$DH,AT$1,0),IF(LEFT(VLOOKUP($D9,'Visu totale'!$D:$DH,AT$1,0),1)="V",IF(AS9&gt;=INDEX('[1]Définition Maintenances'!$G:$G,MATCH($A9,'[1]Définition Maintenances'!$K:$K,0)),AS9,INDEX('[1]Définition Maintenances'!$G:$G,MATCH($A9,'[1]Définition Maintenances'!$K:$K,0))+AS9),AS9))</f>
        <v>207</v>
      </c>
      <c r="AU9" s="26">
        <f>IF(ISNUMBER(VLOOKUP($D9,'Visu totale'!$D:$DH,AU$1,0)),AT9-VLOOKUP($D9,'Visu totale'!$D:$DH,AU$1,0),IF(LEFT(VLOOKUP($D9,'Visu totale'!$D:$DH,AU$1,0),1)="V",IF(AT9&gt;=INDEX('[1]Définition Maintenances'!$G:$G,MATCH($A9,'[1]Définition Maintenances'!$K:$K,0)),AT9,INDEX('[1]Définition Maintenances'!$G:$G,MATCH($A9,'[1]Définition Maintenances'!$K:$K,0))+AT9),AT9))</f>
        <v>207</v>
      </c>
      <c r="AV9" s="26">
        <f>IF(ISNUMBER(VLOOKUP($D9,'Visu totale'!$D:$DH,AV$1,0)),AU9-VLOOKUP($D9,'Visu totale'!$D:$DH,AV$1,0),IF(LEFT(VLOOKUP($D9,'Visu totale'!$D:$DH,AV$1,0),1)="V",IF(AU9&gt;=INDEX('[1]Définition Maintenances'!$G:$G,MATCH($A9,'[1]Définition Maintenances'!$K:$K,0)),AU9,INDEX('[1]Définition Maintenances'!$G:$G,MATCH($A9,'[1]Définition Maintenances'!$K:$K,0))+AU9),AU9))</f>
        <v>207</v>
      </c>
      <c r="AW9" s="26">
        <f>IF(ISNUMBER(VLOOKUP($D9,'Visu totale'!$D:$DH,AW$1,0)),AV9-VLOOKUP($D9,'Visu totale'!$D:$DH,AW$1,0),IF(LEFT(VLOOKUP($D9,'Visu totale'!$D:$DH,AW$1,0),1)="V",IF(AV9&gt;=INDEX('[1]Définition Maintenances'!$G:$G,MATCH($A9,'[1]Définition Maintenances'!$K:$K,0)),AV9,INDEX('[1]Définition Maintenances'!$G:$G,MATCH($A9,'[1]Définition Maintenances'!$K:$K,0))+AV9),AV9))</f>
        <v>207</v>
      </c>
      <c r="AX9" s="26">
        <f>IF(ISNUMBER(VLOOKUP($D9,'Visu totale'!$D:$DH,AX$1,0)),AW9-VLOOKUP($D9,'Visu totale'!$D:$DH,AX$1,0),IF(LEFT(VLOOKUP($D9,'Visu totale'!$D:$DH,AX$1,0),1)="V",IF(AW9&gt;=INDEX('[1]Définition Maintenances'!$G:$G,MATCH($A9,'[1]Définition Maintenances'!$K:$K,0)),AW9,INDEX('[1]Définition Maintenances'!$G:$G,MATCH($A9,'[1]Définition Maintenances'!$K:$K,0))+AW9),AW9))</f>
        <v>207</v>
      </c>
      <c r="AY9" s="26">
        <f>IF(ISNUMBER(VLOOKUP($D9,'Visu totale'!$D:$DH,AY$1,0)),AX9-VLOOKUP($D9,'Visu totale'!$D:$DH,AY$1,0),IF(LEFT(VLOOKUP($D9,'Visu totale'!$D:$DH,AY$1,0),1)="V",IF(AX9&gt;=INDEX('[1]Définition Maintenances'!$G:$G,MATCH($A9,'[1]Définition Maintenances'!$K:$K,0)),AX9,INDEX('[1]Définition Maintenances'!$G:$G,MATCH($A9,'[1]Définition Maintenances'!$K:$K,0))+AX9),AX9))</f>
        <v>207</v>
      </c>
      <c r="AZ9" s="26">
        <f>IF(ISNUMBER(VLOOKUP($D9,'Visu totale'!$D:$DH,AZ$1,0)),AY9-VLOOKUP($D9,'Visu totale'!$D:$DH,AZ$1,0),IF(LEFT(VLOOKUP($D9,'Visu totale'!$D:$DH,AZ$1,0),1)="V",IF(AY9&gt;=INDEX('[1]Définition Maintenances'!$G:$G,MATCH($A9,'[1]Définition Maintenances'!$K:$K,0)),AY9,INDEX('[1]Définition Maintenances'!$G:$G,MATCH($A9,'[1]Définition Maintenances'!$K:$K,0))+AY9),AY9))</f>
        <v>207</v>
      </c>
      <c r="BA9" s="27">
        <f>IF(ISNUMBER(VLOOKUP($D9,'Visu totale'!$D:$DH,BA$1,0)),AZ9-VLOOKUP($D9,'Visu totale'!$D:$DH,BA$1,0),IF(LEFT(VLOOKUP($D9,'Visu totale'!$D:$DH,BA$1,0),1)="V",IF(AZ9&gt;=INDEX('[1]Définition Maintenances'!$G:$G,MATCH($A9,'[1]Définition Maintenances'!$K:$K,0)),AZ9,INDEX('[1]Définition Maintenances'!$G:$G,MATCH($A9,'[1]Définition Maintenances'!$K:$K,0))+AZ9),AZ9))</f>
        <v>207</v>
      </c>
      <c r="BB9" s="25">
        <f>IF(ISNUMBER(VLOOKUP($D9,'Visu totale'!$D:$DH,BB$1,0)),BA9-VLOOKUP($D9,'Visu totale'!$D:$DH,BB$1,0),IF(LEFT(VLOOKUP($D9,'Visu totale'!$D:$DH,BB$1,0),1)="V",IF(BA9&gt;=INDEX('[1]Définition Maintenances'!$G:$G,MATCH($A9,'[1]Définition Maintenances'!$K:$K,0)),BA9,INDEX('[1]Définition Maintenances'!$G:$G,MATCH($A9,'[1]Définition Maintenances'!$K:$K,0))+BA9),BA9))</f>
        <v>207</v>
      </c>
      <c r="BC9" s="26">
        <f>IF(ISNUMBER(VLOOKUP($D9,'Visu totale'!$D:$DH,BC$1,0)),BB9-VLOOKUP($D9,'Visu totale'!$D:$DH,BC$1,0),IF(LEFT(VLOOKUP($D9,'Visu totale'!$D:$DH,BC$1,0),1)="V",IF(BB9&gt;=INDEX('[1]Définition Maintenances'!$G:$G,MATCH($A9,'[1]Définition Maintenances'!$K:$K,0)),BB9,INDEX('[1]Définition Maintenances'!$G:$G,MATCH($A9,'[1]Définition Maintenances'!$K:$K,0))+BB9),BB9))</f>
        <v>207</v>
      </c>
      <c r="BD9" s="26">
        <f>IF(ISNUMBER(VLOOKUP($D9,'Visu totale'!$D:$DH,BD$1,0)),BC9-VLOOKUP($D9,'Visu totale'!$D:$DH,BD$1,0),IF(LEFT(VLOOKUP($D9,'Visu totale'!$D:$DH,BD$1,0),1)="V",IF(BC9&gt;=INDEX('[1]Définition Maintenances'!$G:$G,MATCH($A9,'[1]Définition Maintenances'!$K:$K,0)),BC9,INDEX('[1]Définition Maintenances'!$G:$G,MATCH($A9,'[1]Définition Maintenances'!$K:$K,0))+BC9),BC9))</f>
        <v>207</v>
      </c>
      <c r="BE9" s="26">
        <f>IF(ISNUMBER(VLOOKUP($D9,'Visu totale'!$D:$DH,BE$1,0)),BD9-VLOOKUP($D9,'Visu totale'!$D:$DH,BE$1,0),IF(LEFT(VLOOKUP($D9,'Visu totale'!$D:$DH,BE$1,0),1)="V",IF(BD9&gt;=INDEX('[1]Définition Maintenances'!$G:$G,MATCH($A9,'[1]Définition Maintenances'!$K:$K,0)),BD9,INDEX('[1]Définition Maintenances'!$G:$G,MATCH($A9,'[1]Définition Maintenances'!$K:$K,0))+BD9),BD9))</f>
        <v>207</v>
      </c>
      <c r="BF9" s="26">
        <f>IF(ISNUMBER(VLOOKUP($D9,'Visu totale'!$D:$DH,BF$1,0)),BE9-VLOOKUP($D9,'Visu totale'!$D:$DH,BF$1,0),IF(LEFT(VLOOKUP($D9,'Visu totale'!$D:$DH,BF$1,0),1)="V",IF(BE9&gt;=INDEX('[1]Définition Maintenances'!$G:$G,MATCH($A9,'[1]Définition Maintenances'!$K:$K,0)),BE9,INDEX('[1]Définition Maintenances'!$G:$G,MATCH($A9,'[1]Définition Maintenances'!$K:$K,0))+BE9),BE9))</f>
        <v>207</v>
      </c>
      <c r="BG9" s="26">
        <f>IF(ISNUMBER(VLOOKUP($D9,'Visu totale'!$D:$DH,BG$1,0)),BF9-VLOOKUP($D9,'Visu totale'!$D:$DH,BG$1,0),IF(LEFT(VLOOKUP($D9,'Visu totale'!$D:$DH,BG$1,0),1)="V",IF(BF9&gt;=INDEX('[1]Définition Maintenances'!$G:$G,MATCH($A9,'[1]Définition Maintenances'!$K:$K,0)),BF9,INDEX('[1]Définition Maintenances'!$G:$G,MATCH($A9,'[1]Définition Maintenances'!$K:$K,0))+BF9),BF9))</f>
        <v>207</v>
      </c>
      <c r="BH9" s="26">
        <f>IF(ISNUMBER(VLOOKUP($D9,'Visu totale'!$D:$DH,BH$1,0)),BG9-VLOOKUP($D9,'Visu totale'!$D:$DH,BH$1,0),IF(LEFT(VLOOKUP($D9,'Visu totale'!$D:$DH,BH$1,0),1)="V",IF(BG9&gt;=INDEX('[1]Définition Maintenances'!$G:$G,MATCH($A9,'[1]Définition Maintenances'!$K:$K,0)),BG9,INDEX('[1]Définition Maintenances'!$G:$G,MATCH($A9,'[1]Définition Maintenances'!$K:$K,0))+BG9),BG9))</f>
        <v>207</v>
      </c>
      <c r="BI9" s="26">
        <f>IF(ISNUMBER(VLOOKUP($D9,'Visu totale'!$D:$DH,BI$1,0)),BH9-VLOOKUP($D9,'Visu totale'!$D:$DH,BI$1,0),IF(LEFT(VLOOKUP($D9,'Visu totale'!$D:$DH,BI$1,0),1)="V",IF(BH9&gt;=INDEX('[1]Définition Maintenances'!$G:$G,MATCH($A9,'[1]Définition Maintenances'!$K:$K,0)),BH9,INDEX('[1]Définition Maintenances'!$G:$G,MATCH($A9,'[1]Définition Maintenances'!$K:$K,0))+BH9),BH9))</f>
        <v>207</v>
      </c>
      <c r="BJ9" s="26">
        <f>IF(ISNUMBER(VLOOKUP($D9,'Visu totale'!$D:$DH,BJ$1,0)),BI9-VLOOKUP($D9,'Visu totale'!$D:$DH,BJ$1,0),IF(LEFT(VLOOKUP($D9,'Visu totale'!$D:$DH,BJ$1,0),1)="V",IF(BI9&gt;=INDEX('[1]Définition Maintenances'!$G:$G,MATCH($A9,'[1]Définition Maintenances'!$K:$K,0)),BI9,INDEX('[1]Définition Maintenances'!$G:$G,MATCH($A9,'[1]Définition Maintenances'!$K:$K,0))+BI9),BI9))</f>
        <v>207</v>
      </c>
      <c r="BK9" s="26">
        <f>IF(ISNUMBER(VLOOKUP($D9,'Visu totale'!$D:$DH,BK$1,0)),BJ9-VLOOKUP($D9,'Visu totale'!$D:$DH,BK$1,0),IF(LEFT(VLOOKUP($D9,'Visu totale'!$D:$DH,BK$1,0),1)="V",IF(BJ9&gt;=INDEX('[1]Définition Maintenances'!$G:$G,MATCH($A9,'[1]Définition Maintenances'!$K:$K,0)),BJ9,INDEX('[1]Définition Maintenances'!$G:$G,MATCH($A9,'[1]Définition Maintenances'!$K:$K,0))+BJ9),BJ9))</f>
        <v>207</v>
      </c>
      <c r="BL9" s="26">
        <f>IF(ISNUMBER(VLOOKUP($D9,'Visu totale'!$D:$DH,BL$1,0)),BK9-VLOOKUP($D9,'Visu totale'!$D:$DH,BL$1,0),IF(LEFT(VLOOKUP($D9,'Visu totale'!$D:$DH,BL$1,0),1)="V",IF(BK9&gt;=INDEX('[1]Définition Maintenances'!$G:$G,MATCH($A9,'[1]Définition Maintenances'!$K:$K,0)),BK9,INDEX('[1]Définition Maintenances'!$G:$G,MATCH($A9,'[1]Définition Maintenances'!$K:$K,0))+BK9),BK9))</f>
        <v>207</v>
      </c>
      <c r="BM9" s="27">
        <f>IF(ISNUMBER(VLOOKUP($D9,'Visu totale'!$D:$DH,BM$1,0)),BL9-VLOOKUP($D9,'Visu totale'!$D:$DH,BM$1,0),IF(LEFT(VLOOKUP($D9,'Visu totale'!$D:$DH,BM$1,0),1)="V",IF(BL9&gt;=INDEX('[1]Définition Maintenances'!$G:$G,MATCH($A9,'[1]Définition Maintenances'!$K:$K,0)),BL9,INDEX('[1]Définition Maintenances'!$G:$G,MATCH($A9,'[1]Définition Maintenances'!$K:$K,0))+BL9),BL9))</f>
        <v>207</v>
      </c>
      <c r="BN9" s="25">
        <f>IF(ISNUMBER(VLOOKUP($D9,'Visu totale'!$D:$DH,BN$1,0)),BM9-VLOOKUP($D9,'Visu totale'!$D:$DH,BN$1,0),IF(LEFT(VLOOKUP($D9,'Visu totale'!$D:$DH,BN$1,0),1)="V",IF(BM9&gt;=INDEX('[1]Définition Maintenances'!$G:$G,MATCH($A9,'[1]Définition Maintenances'!$K:$K,0)),BM9,INDEX('[1]Définition Maintenances'!$G:$G,MATCH($A9,'[1]Définition Maintenances'!$K:$K,0))+BM9),BM9))</f>
        <v>207</v>
      </c>
      <c r="BO9" s="26">
        <f>IF(ISNUMBER(VLOOKUP($D9,'Visu totale'!$D:$DH,BO$1,0)),BN9-VLOOKUP($D9,'Visu totale'!$D:$DH,BO$1,0),IF(LEFT(VLOOKUP($D9,'Visu totale'!$D:$DH,BO$1,0),1)="V",IF(BN9&gt;=INDEX('[1]Définition Maintenances'!$G:$G,MATCH($A9,'[1]Définition Maintenances'!$K:$K,0)),BN9,INDEX('[1]Définition Maintenances'!$G:$G,MATCH($A9,'[1]Définition Maintenances'!$K:$K,0))+BN9),BN9))</f>
        <v>207</v>
      </c>
      <c r="BP9" s="26">
        <f>IF(ISNUMBER(VLOOKUP($D9,'Visu totale'!$D:$DH,BP$1,0)),BO9-VLOOKUP($D9,'Visu totale'!$D:$DH,BP$1,0),IF(LEFT(VLOOKUP($D9,'Visu totale'!$D:$DH,BP$1,0),1)="V",IF(BO9&gt;=INDEX('[1]Définition Maintenances'!$G:$G,MATCH($A9,'[1]Définition Maintenances'!$K:$K,0)),BO9,INDEX('[1]Définition Maintenances'!$G:$G,MATCH($A9,'[1]Définition Maintenances'!$K:$K,0))+BO9),BO9))</f>
        <v>207</v>
      </c>
      <c r="BQ9" s="26">
        <f>IF(ISNUMBER(VLOOKUP($D9,'Visu totale'!$D:$DH,BQ$1,0)),BP9-VLOOKUP($D9,'Visu totale'!$D:$DH,BQ$1,0),IF(LEFT(VLOOKUP($D9,'Visu totale'!$D:$DH,BQ$1,0),1)="V",IF(BP9&gt;=INDEX('[1]Définition Maintenances'!$G:$G,MATCH($A9,'[1]Définition Maintenances'!$K:$K,0)),BP9,INDEX('[1]Définition Maintenances'!$G:$G,MATCH($A9,'[1]Définition Maintenances'!$K:$K,0))+BP9),BP9))</f>
        <v>207</v>
      </c>
      <c r="BR9" s="26">
        <f>IF(ISNUMBER(VLOOKUP($D9,'Visu totale'!$D:$DH,BR$1,0)),BQ9-VLOOKUP($D9,'Visu totale'!$D:$DH,BR$1,0),IF(LEFT(VLOOKUP($D9,'Visu totale'!$D:$DH,BR$1,0),1)="V",IF(BQ9&gt;=INDEX('[1]Définition Maintenances'!$G:$G,MATCH($A9,'[1]Définition Maintenances'!$K:$K,0)),BQ9,INDEX('[1]Définition Maintenances'!$G:$G,MATCH($A9,'[1]Définition Maintenances'!$K:$K,0))+BQ9),BQ9))</f>
        <v>207</v>
      </c>
      <c r="BS9" s="26">
        <f>IF(ISNUMBER(VLOOKUP($D9,'Visu totale'!$D:$DH,BS$1,0)),BR9-VLOOKUP($D9,'Visu totale'!$D:$DH,BS$1,0),IF(LEFT(VLOOKUP($D9,'Visu totale'!$D:$DH,BS$1,0),1)="V",IF(BR9&gt;=INDEX('[1]Définition Maintenances'!$G:$G,MATCH($A9,'[1]Définition Maintenances'!$K:$K,0)),BR9,INDEX('[1]Définition Maintenances'!$G:$G,MATCH($A9,'[1]Définition Maintenances'!$K:$K,0))+BR9),BR9))</f>
        <v>207</v>
      </c>
      <c r="BT9" s="26">
        <f>IF(ISNUMBER(VLOOKUP($D9,'Visu totale'!$D:$DH,BT$1,0)),BS9-VLOOKUP($D9,'Visu totale'!$D:$DH,BT$1,0),IF(LEFT(VLOOKUP($D9,'Visu totale'!$D:$DH,BT$1,0),1)="V",IF(BS9&gt;=INDEX('[1]Définition Maintenances'!$G:$G,MATCH($A9,'[1]Définition Maintenances'!$K:$K,0)),BS9,INDEX('[1]Définition Maintenances'!$G:$G,MATCH($A9,'[1]Définition Maintenances'!$K:$K,0))+BS9),BS9))</f>
        <v>207</v>
      </c>
      <c r="BU9" s="26">
        <f>IF(ISNUMBER(VLOOKUP($D9,'Visu totale'!$D:$DH,BU$1,0)),BT9-VLOOKUP($D9,'Visu totale'!$D:$DH,BU$1,0),IF(LEFT(VLOOKUP($D9,'Visu totale'!$D:$DH,BU$1,0),1)="V",IF(BT9&gt;=INDEX('[1]Définition Maintenances'!$G:$G,MATCH($A9,'[1]Définition Maintenances'!$K:$K,0)),BT9,INDEX('[1]Définition Maintenances'!$G:$G,MATCH($A9,'[1]Définition Maintenances'!$K:$K,0))+BT9),BT9))</f>
        <v>207</v>
      </c>
      <c r="BV9" s="26">
        <f>IF(ISNUMBER(VLOOKUP($D9,'Visu totale'!$D:$DH,BV$1,0)),BU9-VLOOKUP($D9,'Visu totale'!$D:$DH,BV$1,0),IF(LEFT(VLOOKUP($D9,'Visu totale'!$D:$DH,BV$1,0),1)="V",IF(BU9&gt;=INDEX('[1]Définition Maintenances'!$G:$G,MATCH($A9,'[1]Définition Maintenances'!$K:$K,0)),BU9,INDEX('[1]Définition Maintenances'!$G:$G,MATCH($A9,'[1]Définition Maintenances'!$K:$K,0))+BU9),BU9))</f>
        <v>207</v>
      </c>
      <c r="BW9" s="26">
        <f>IF(ISNUMBER(VLOOKUP($D9,'Visu totale'!$D:$DH,BW$1,0)),BV9-VLOOKUP($D9,'Visu totale'!$D:$DH,BW$1,0),IF(LEFT(VLOOKUP($D9,'Visu totale'!$D:$DH,BW$1,0),1)="V",IF(BV9&gt;=INDEX('[1]Définition Maintenances'!$G:$G,MATCH($A9,'[1]Définition Maintenances'!$K:$K,0)),BV9,INDEX('[1]Définition Maintenances'!$G:$G,MATCH($A9,'[1]Définition Maintenances'!$K:$K,0))+BV9),BV9))</f>
        <v>207</v>
      </c>
      <c r="BX9" s="26">
        <f>IF(ISNUMBER(VLOOKUP($D9,'Visu totale'!$D:$DH,BX$1,0)),BW9-VLOOKUP($D9,'Visu totale'!$D:$DH,BX$1,0),IF(LEFT(VLOOKUP($D9,'Visu totale'!$D:$DH,BX$1,0),1)="V",IF(BW9&gt;=INDEX('[1]Définition Maintenances'!$G:$G,MATCH($A9,'[1]Définition Maintenances'!$K:$K,0)),BW9,INDEX('[1]Définition Maintenances'!$G:$G,MATCH($A9,'[1]Définition Maintenances'!$K:$K,0))+BW9),BW9))</f>
        <v>207</v>
      </c>
      <c r="BY9" s="27">
        <f>IF(ISNUMBER(VLOOKUP($D9,'Visu totale'!$D:$DH,BY$1,0)),BX9-VLOOKUP($D9,'Visu totale'!$D:$DH,BY$1,0),IF(LEFT(VLOOKUP($D9,'Visu totale'!$D:$DH,BY$1,0),1)="V",IF(BX9&gt;=INDEX('[1]Définition Maintenances'!$G:$G,MATCH($A9,'[1]Définition Maintenances'!$K:$K,0)),BX9,INDEX('[1]Définition Maintenances'!$G:$G,MATCH($A9,'[1]Définition Maintenances'!$K:$K,0))+BX9),BX9))</f>
        <v>207</v>
      </c>
      <c r="BZ9" s="25">
        <f>IF(ISNUMBER(VLOOKUP($D9,'Visu totale'!$D:$DH,BZ$1,0)),BY9-VLOOKUP($D9,'Visu totale'!$D:$DH,BZ$1,0),IF(LEFT(VLOOKUP($D9,'Visu totale'!$D:$DH,BZ$1,0),1)="V",IF(BY9&gt;=INDEX('[1]Définition Maintenances'!$G:$G,MATCH($A9,'[1]Définition Maintenances'!$K:$K,0)),BY9,INDEX('[1]Définition Maintenances'!$G:$G,MATCH($A9,'[1]Définition Maintenances'!$K:$K,0))+BY9),BY9))</f>
        <v>207</v>
      </c>
      <c r="CA9" s="26">
        <f>IF(ISNUMBER(VLOOKUP($D9,'Visu totale'!$D:$DH,CA$1,0)),BZ9-VLOOKUP($D9,'Visu totale'!$D:$DH,CA$1,0),IF(LEFT(VLOOKUP($D9,'Visu totale'!$D:$DH,CA$1,0),1)="V",IF(BZ9&gt;=INDEX('[1]Définition Maintenances'!$G:$G,MATCH($A9,'[1]Définition Maintenances'!$K:$K,0)),BZ9,INDEX('[1]Définition Maintenances'!$G:$G,MATCH($A9,'[1]Définition Maintenances'!$K:$K,0))+BZ9),BZ9))</f>
        <v>207</v>
      </c>
      <c r="CB9" s="26">
        <f>IF(ISNUMBER(VLOOKUP($D9,'Visu totale'!$D:$DH,CB$1,0)),CA9-VLOOKUP($D9,'Visu totale'!$D:$DH,CB$1,0),IF(LEFT(VLOOKUP($D9,'Visu totale'!$D:$DH,CB$1,0),1)="V",IF(CA9&gt;=INDEX('[1]Définition Maintenances'!$G:$G,MATCH($A9,'[1]Définition Maintenances'!$K:$K,0)),CA9,INDEX('[1]Définition Maintenances'!$G:$G,MATCH($A9,'[1]Définition Maintenances'!$K:$K,0))+CA9),CA9))</f>
        <v>207</v>
      </c>
      <c r="CC9" s="26">
        <f>IF(ISNUMBER(VLOOKUP($D9,'Visu totale'!$D:$DH,CC$1,0)),CB9-VLOOKUP($D9,'Visu totale'!$D:$DH,CC$1,0),IF(LEFT(VLOOKUP($D9,'Visu totale'!$D:$DH,CC$1,0),1)="V",IF(CB9&gt;=INDEX('[1]Définition Maintenances'!$G:$G,MATCH($A9,'[1]Définition Maintenances'!$K:$K,0)),CB9,INDEX('[1]Définition Maintenances'!$G:$G,MATCH($A9,'[1]Définition Maintenances'!$K:$K,0))+CB9),CB9))</f>
        <v>207</v>
      </c>
      <c r="CD9" s="26">
        <f>IF(ISNUMBER(VLOOKUP($D9,'Visu totale'!$D:$DH,CD$1,0)),CC9-VLOOKUP($D9,'Visu totale'!$D:$DH,CD$1,0),IF(LEFT(VLOOKUP($D9,'Visu totale'!$D:$DH,CD$1,0),1)="V",IF(CC9&gt;=INDEX('[1]Définition Maintenances'!$G:$G,MATCH($A9,'[1]Définition Maintenances'!$K:$K,0)),CC9,INDEX('[1]Définition Maintenances'!$G:$G,MATCH($A9,'[1]Définition Maintenances'!$K:$K,0))+CC9),CC9))</f>
        <v>207</v>
      </c>
      <c r="CE9" s="26">
        <f>IF(ISNUMBER(VLOOKUP($D9,'Visu totale'!$D:$DH,CE$1,0)),CD9-VLOOKUP($D9,'Visu totale'!$D:$DH,CE$1,0),IF(LEFT(VLOOKUP($D9,'Visu totale'!$D:$DH,CE$1,0),1)="V",IF(CD9&gt;=INDEX('[1]Définition Maintenances'!$G:$G,MATCH($A9,'[1]Définition Maintenances'!$K:$K,0)),CD9,INDEX('[1]Définition Maintenances'!$G:$G,MATCH($A9,'[1]Définition Maintenances'!$K:$K,0))+CD9),CD9))</f>
        <v>207</v>
      </c>
      <c r="CF9" s="26">
        <f>IF(ISNUMBER(VLOOKUP($D9,'Visu totale'!$D:$DH,CF$1,0)),CE9-VLOOKUP($D9,'Visu totale'!$D:$DH,CF$1,0),IF(LEFT(VLOOKUP($D9,'Visu totale'!$D:$DH,CF$1,0),1)="V",IF(CE9&gt;=INDEX('[1]Définition Maintenances'!$G:$G,MATCH($A9,'[1]Définition Maintenances'!$K:$K,0)),CE9,INDEX('[1]Définition Maintenances'!$G:$G,MATCH($A9,'[1]Définition Maintenances'!$K:$K,0))+CE9),CE9))</f>
        <v>207</v>
      </c>
      <c r="CG9" s="26">
        <f>IF(ISNUMBER(VLOOKUP($D9,'Visu totale'!$D:$DH,CG$1,0)),CF9-VLOOKUP($D9,'Visu totale'!$D:$DH,CG$1,0),IF(LEFT(VLOOKUP($D9,'Visu totale'!$D:$DH,CG$1,0),1)="V",IF(CF9&gt;=INDEX('[1]Définition Maintenances'!$G:$G,MATCH($A9,'[1]Définition Maintenances'!$K:$K,0)),CF9,INDEX('[1]Définition Maintenances'!$G:$G,MATCH($A9,'[1]Définition Maintenances'!$K:$K,0))+CF9),CF9))</f>
        <v>207</v>
      </c>
      <c r="CH9" s="26">
        <f>IF(ISNUMBER(VLOOKUP($D9,'Visu totale'!$D:$DH,CH$1,0)),CG9-VLOOKUP($D9,'Visu totale'!$D:$DH,CH$1,0),IF(LEFT(VLOOKUP($D9,'Visu totale'!$D:$DH,CH$1,0),1)="V",IF(CG9&gt;=INDEX('[1]Définition Maintenances'!$G:$G,MATCH($A9,'[1]Définition Maintenances'!$K:$K,0)),CG9,INDEX('[1]Définition Maintenances'!$G:$G,MATCH($A9,'[1]Définition Maintenances'!$K:$K,0))+CG9),CG9))</f>
        <v>207</v>
      </c>
      <c r="CI9" s="26">
        <f>IF(ISNUMBER(VLOOKUP($D9,'Visu totale'!$D:$DH,CI$1,0)),CH9-VLOOKUP($D9,'Visu totale'!$D:$DH,CI$1,0),IF(LEFT(VLOOKUP($D9,'Visu totale'!$D:$DH,CI$1,0),1)="V",IF(CH9&gt;=INDEX('[1]Définition Maintenances'!$G:$G,MATCH($A9,'[1]Définition Maintenances'!$K:$K,0)),CH9,INDEX('[1]Définition Maintenances'!$G:$G,MATCH($A9,'[1]Définition Maintenances'!$K:$K,0))+CH9),CH9))</f>
        <v>207</v>
      </c>
      <c r="CJ9" s="26">
        <f>IF(ISNUMBER(VLOOKUP($D9,'Visu totale'!$D:$DH,CJ$1,0)),CI9-VLOOKUP($D9,'Visu totale'!$D:$DH,CJ$1,0),IF(LEFT(VLOOKUP($D9,'Visu totale'!$D:$DH,CJ$1,0),1)="V",IF(CI9&gt;=INDEX('[1]Définition Maintenances'!$G:$G,MATCH($A9,'[1]Définition Maintenances'!$K:$K,0)),CI9,INDEX('[1]Définition Maintenances'!$G:$G,MATCH($A9,'[1]Définition Maintenances'!$K:$K,0))+CI9),CI9))</f>
        <v>207</v>
      </c>
      <c r="CK9" s="27">
        <f>IF(ISNUMBER(VLOOKUP($D9,'Visu totale'!$D:$DH,CK$1,0)),CJ9-VLOOKUP($D9,'Visu totale'!$D:$DH,CK$1,0),IF(LEFT(VLOOKUP($D9,'Visu totale'!$D:$DH,CK$1,0),1)="V",IF(CJ9&gt;=INDEX('[1]Définition Maintenances'!$G:$G,MATCH($A9,'[1]Définition Maintenances'!$K:$K,0)),CJ9,INDEX('[1]Définition Maintenances'!$G:$G,MATCH($A9,'[1]Définition Maintenances'!$K:$K,0))+CJ9),CJ9))</f>
        <v>207</v>
      </c>
      <c r="CL9" s="25">
        <f>IF(ISNUMBER(VLOOKUP($D9,'Visu totale'!$D:$DH,CL$1,0)),CK9-VLOOKUP($D9,'Visu totale'!$D:$DH,CL$1,0),IF(LEFT(VLOOKUP($D9,'Visu totale'!$D:$DH,CL$1,0),1)="V",IF(CK9&gt;=INDEX('[1]Définition Maintenances'!$G:$G,MATCH($A9,'[1]Définition Maintenances'!$K:$K,0)),CK9,INDEX('[1]Définition Maintenances'!$G:$G,MATCH($A9,'[1]Définition Maintenances'!$K:$K,0))+CK9),CK9))</f>
        <v>207</v>
      </c>
      <c r="CM9" s="26">
        <f>IF(ISNUMBER(VLOOKUP($D9,'Visu totale'!$D:$DH,CM$1,0)),CL9-VLOOKUP($D9,'Visu totale'!$D:$DH,CM$1,0),IF(LEFT(VLOOKUP($D9,'Visu totale'!$D:$DH,CM$1,0),1)="V",IF(CL9&gt;=INDEX('[1]Définition Maintenances'!$G:$G,MATCH($A9,'[1]Définition Maintenances'!$K:$K,0)),CL9,INDEX('[1]Définition Maintenances'!$G:$G,MATCH($A9,'[1]Définition Maintenances'!$K:$K,0))+CL9),CL9))</f>
        <v>207</v>
      </c>
      <c r="CN9" s="26">
        <f>IF(ISNUMBER(VLOOKUP($D9,'Visu totale'!$D:$DH,CN$1,0)),CM9-VLOOKUP($D9,'Visu totale'!$D:$DH,CN$1,0),IF(LEFT(VLOOKUP($D9,'Visu totale'!$D:$DH,CN$1,0),1)="V",IF(CM9&gt;=INDEX('[1]Définition Maintenances'!$G:$G,MATCH($A9,'[1]Définition Maintenances'!$K:$K,0)),CM9,INDEX('[1]Définition Maintenances'!$G:$G,MATCH($A9,'[1]Définition Maintenances'!$K:$K,0))+CM9),CM9))</f>
        <v>207</v>
      </c>
      <c r="CO9" s="26">
        <f>IF(ISNUMBER(VLOOKUP($D9,'Visu totale'!$D:$DH,CO$1,0)),CN9-VLOOKUP($D9,'Visu totale'!$D:$DH,CO$1,0),IF(LEFT(VLOOKUP($D9,'Visu totale'!$D:$DH,CO$1,0),1)="V",IF(CN9&gt;=INDEX('[1]Définition Maintenances'!$G:$G,MATCH($A9,'[1]Définition Maintenances'!$K:$K,0)),CN9,INDEX('[1]Définition Maintenances'!$G:$G,MATCH($A9,'[1]Définition Maintenances'!$K:$K,0))+CN9),CN9))</f>
        <v>207</v>
      </c>
      <c r="CP9" s="26">
        <f>IF(ISNUMBER(VLOOKUP($D9,'Visu totale'!$D:$DH,CP$1,0)),CO9-VLOOKUP($D9,'Visu totale'!$D:$DH,CP$1,0),IF(LEFT(VLOOKUP($D9,'Visu totale'!$D:$DH,CP$1,0),1)="V",IF(CO9&gt;=INDEX('[1]Définition Maintenances'!$G:$G,MATCH($A9,'[1]Définition Maintenances'!$K:$K,0)),CO9,INDEX('[1]Définition Maintenances'!$G:$G,MATCH($A9,'[1]Définition Maintenances'!$K:$K,0))+CO9),CO9))</f>
        <v>207</v>
      </c>
      <c r="CQ9" s="26">
        <f>IF(ISNUMBER(VLOOKUP($D9,'Visu totale'!$D:$DH,CQ$1,0)),CP9-VLOOKUP($D9,'Visu totale'!$D:$DH,CQ$1,0),IF(LEFT(VLOOKUP($D9,'Visu totale'!$D:$DH,CQ$1,0),1)="V",IF(CP9&gt;=INDEX('[1]Définition Maintenances'!$G:$G,MATCH($A9,'[1]Définition Maintenances'!$K:$K,0)),CP9,INDEX('[1]Définition Maintenances'!$G:$G,MATCH($A9,'[1]Définition Maintenances'!$K:$K,0))+CP9),CP9))</f>
        <v>207</v>
      </c>
      <c r="CR9" s="26">
        <f>IF(ISNUMBER(VLOOKUP($D9,'Visu totale'!$D:$DH,CR$1,0)),CQ9-VLOOKUP($D9,'Visu totale'!$D:$DH,CR$1,0),IF(LEFT(VLOOKUP($D9,'Visu totale'!$D:$DH,CR$1,0),1)="V",IF(CQ9&gt;=INDEX('[1]Définition Maintenances'!$G:$G,MATCH($A9,'[1]Définition Maintenances'!$K:$K,0)),CQ9,INDEX('[1]Définition Maintenances'!$G:$G,MATCH($A9,'[1]Définition Maintenances'!$K:$K,0))+CQ9),CQ9))</f>
        <v>207</v>
      </c>
      <c r="CS9" s="26">
        <f>IF(ISNUMBER(VLOOKUP($D9,'Visu totale'!$D:$DH,CS$1,0)),CR9-VLOOKUP($D9,'Visu totale'!$D:$DH,CS$1,0),IF(LEFT(VLOOKUP($D9,'Visu totale'!$D:$DH,CS$1,0),1)="V",IF(CR9&gt;=INDEX('[1]Définition Maintenances'!$G:$G,MATCH($A9,'[1]Définition Maintenances'!$K:$K,0)),CR9,INDEX('[1]Définition Maintenances'!$G:$G,MATCH($A9,'[1]Définition Maintenances'!$K:$K,0))+CR9),CR9))</f>
        <v>207</v>
      </c>
      <c r="CT9" s="26">
        <f>IF(ISNUMBER(VLOOKUP($D9,'Visu totale'!$D:$DH,CT$1,0)),CS9-VLOOKUP($D9,'Visu totale'!$D:$DH,CT$1,0),IF(LEFT(VLOOKUP($D9,'Visu totale'!$D:$DH,CT$1,0),1)="V",IF(CS9&gt;=INDEX('[1]Définition Maintenances'!$G:$G,MATCH($A9,'[1]Définition Maintenances'!$K:$K,0)),CS9,INDEX('[1]Définition Maintenances'!$G:$G,MATCH($A9,'[1]Définition Maintenances'!$K:$K,0))+CS9),CS9))</f>
        <v>207</v>
      </c>
      <c r="CU9" s="26">
        <f>IF(ISNUMBER(VLOOKUP($D9,'Visu totale'!$D:$DH,CU$1,0)),CT9-VLOOKUP($D9,'Visu totale'!$D:$DH,CU$1,0),IF(LEFT(VLOOKUP($D9,'Visu totale'!$D:$DH,CU$1,0),1)="V",IF(CT9&gt;=INDEX('[1]Définition Maintenances'!$G:$G,MATCH($A9,'[1]Définition Maintenances'!$K:$K,0)),CT9,INDEX('[1]Définition Maintenances'!$G:$G,MATCH($A9,'[1]Définition Maintenances'!$K:$K,0))+CT9),CT9))</f>
        <v>207</v>
      </c>
      <c r="CV9" s="26">
        <f>IF(ISNUMBER(VLOOKUP($D9,'Visu totale'!$D:$DH,CV$1,0)),CU9-VLOOKUP($D9,'Visu totale'!$D:$DH,CV$1,0),IF(LEFT(VLOOKUP($D9,'Visu totale'!$D:$DH,CV$1,0),1)="V",IF(CU9&gt;=INDEX('[1]Définition Maintenances'!$G:$G,MATCH($A9,'[1]Définition Maintenances'!$K:$K,0)),CU9,INDEX('[1]Définition Maintenances'!$G:$G,MATCH($A9,'[1]Définition Maintenances'!$K:$K,0))+CU9),CU9))</f>
        <v>207</v>
      </c>
      <c r="CW9" s="27">
        <f>IF(ISNUMBER(VLOOKUP($D9,'Visu totale'!$D:$DH,CW$1,0)),CV9-VLOOKUP($D9,'Visu totale'!$D:$DH,CW$1,0),IF(LEFT(VLOOKUP($D9,'Visu totale'!$D:$DH,CW$1,0),1)="V",IF(CV9&gt;=INDEX('[1]Définition Maintenances'!$G:$G,MATCH($A9,'[1]Définition Maintenances'!$K:$K,0)),CV9,INDEX('[1]Définition Maintenances'!$G:$G,MATCH($A9,'[1]Définition Maintenances'!$K:$K,0))+CV9),CV9))</f>
        <v>207</v>
      </c>
      <c r="CX9" s="25">
        <f>IF(ISNUMBER(VLOOKUP($D9,'Visu totale'!$D:$DH,CX$1,0)),CW9-VLOOKUP($D9,'Visu totale'!$D:$DH,CX$1,0),IF(LEFT(VLOOKUP($D9,'Visu totale'!$D:$DH,CX$1,0),1)="V",IF(CW9&gt;=INDEX('[1]Définition Maintenances'!$G:$G,MATCH($A9,'[1]Définition Maintenances'!$K:$K,0)),CW9,INDEX('[1]Définition Maintenances'!$G:$G,MATCH($A9,'[1]Définition Maintenances'!$K:$K,0))+CW9),CW9))</f>
        <v>207</v>
      </c>
      <c r="CY9" s="26">
        <f>IF(ISNUMBER(VLOOKUP($D9,'Visu totale'!$D:$DH,CY$1,0)),CX9-VLOOKUP($D9,'Visu totale'!$D:$DH,CY$1,0),IF(LEFT(VLOOKUP($D9,'Visu totale'!$D:$DH,CY$1,0),1)="V",IF(CX9&gt;=INDEX('[1]Définition Maintenances'!$G:$G,MATCH($A9,'[1]Définition Maintenances'!$K:$K,0)),CX9,INDEX('[1]Définition Maintenances'!$G:$G,MATCH($A9,'[1]Définition Maintenances'!$K:$K,0))+CX9),CX9))</f>
        <v>207</v>
      </c>
      <c r="CZ9" s="26">
        <f>IF(ISNUMBER(VLOOKUP($D9,'Visu totale'!$D:$DH,CZ$1,0)),CY9-VLOOKUP($D9,'Visu totale'!$D:$DH,CZ$1,0),IF(LEFT(VLOOKUP($D9,'Visu totale'!$D:$DH,CZ$1,0),1)="V",IF(CY9&gt;=INDEX('[1]Définition Maintenances'!$G:$G,MATCH($A9,'[1]Définition Maintenances'!$K:$K,0)),CY9,INDEX('[1]Définition Maintenances'!$G:$G,MATCH($A9,'[1]Définition Maintenances'!$K:$K,0))+CY9),CY9))</f>
        <v>207</v>
      </c>
      <c r="DA9" s="26">
        <f>IF(ISNUMBER(VLOOKUP($D9,'Visu totale'!$D:$DH,DA$1,0)),CZ9-VLOOKUP($D9,'Visu totale'!$D:$DH,DA$1,0),IF(LEFT(VLOOKUP($D9,'Visu totale'!$D:$DH,DA$1,0),1)="V",IF(CZ9&gt;=INDEX('[1]Définition Maintenances'!$G:$G,MATCH($A9,'[1]Définition Maintenances'!$K:$K,0)),CZ9,INDEX('[1]Définition Maintenances'!$G:$G,MATCH($A9,'[1]Définition Maintenances'!$K:$K,0))+CZ9),CZ9))</f>
        <v>207</v>
      </c>
      <c r="DB9" s="26">
        <f>IF(ISNUMBER(VLOOKUP($D9,'Visu totale'!$D:$DH,DB$1,0)),DA9-VLOOKUP($D9,'Visu totale'!$D:$DH,DB$1,0),IF(LEFT(VLOOKUP($D9,'Visu totale'!$D:$DH,DB$1,0),1)="V",IF(DA9&gt;=INDEX('[1]Définition Maintenances'!$G:$G,MATCH($A9,'[1]Définition Maintenances'!$K:$K,0)),DA9,INDEX('[1]Définition Maintenances'!$G:$G,MATCH($A9,'[1]Définition Maintenances'!$K:$K,0))+DA9),DA9))</f>
        <v>207</v>
      </c>
      <c r="DC9" s="26">
        <f>IF(ISNUMBER(VLOOKUP($D9,'Visu totale'!$D:$DH,DC$1,0)),DB9-VLOOKUP($D9,'Visu totale'!$D:$DH,DC$1,0),IF(LEFT(VLOOKUP($D9,'Visu totale'!$D:$DH,DC$1,0),1)="V",IF(DB9&gt;=INDEX('[1]Définition Maintenances'!$G:$G,MATCH($A9,'[1]Définition Maintenances'!$K:$K,0)),DB9,INDEX('[1]Définition Maintenances'!$G:$G,MATCH($A9,'[1]Définition Maintenances'!$K:$K,0))+DB9),DB9))</f>
        <v>207</v>
      </c>
      <c r="DD9" s="26">
        <f>IF(ISNUMBER(VLOOKUP($D9,'Visu totale'!$D:$DH,DD$1,0)),DC9-VLOOKUP($D9,'Visu totale'!$D:$DH,DD$1,0),IF(LEFT(VLOOKUP($D9,'Visu totale'!$D:$DH,DD$1,0),1)="V",IF(DC9&gt;=INDEX('[1]Définition Maintenances'!$G:$G,MATCH($A9,'[1]Définition Maintenances'!$K:$K,0)),DC9,INDEX('[1]Définition Maintenances'!$G:$G,MATCH($A9,'[1]Définition Maintenances'!$K:$K,0))+DC9),DC9))</f>
        <v>207</v>
      </c>
      <c r="DE9" s="26">
        <f>IF(ISNUMBER(VLOOKUP($D9,'Visu totale'!$D:$DH,DE$1,0)),DD9-VLOOKUP($D9,'Visu totale'!$D:$DH,DE$1,0),IF(LEFT(VLOOKUP($D9,'Visu totale'!$D:$DH,DE$1,0),1)="V",IF(DD9&gt;=INDEX('[1]Définition Maintenances'!$G:$G,MATCH($A9,'[1]Définition Maintenances'!$K:$K,0)),DD9,INDEX('[1]Définition Maintenances'!$G:$G,MATCH($A9,'[1]Définition Maintenances'!$K:$K,0))+DD9),DD9))</f>
        <v>207</v>
      </c>
      <c r="DF9" s="26">
        <f>IF(ISNUMBER(VLOOKUP($D9,'Visu totale'!$D:$DH,DF$1,0)),DE9-VLOOKUP($D9,'Visu totale'!$D:$DH,DF$1,0),IF(LEFT(VLOOKUP($D9,'Visu totale'!$D:$DH,DF$1,0),1)="V",IF(DE9&gt;=INDEX('[1]Définition Maintenances'!$G:$G,MATCH($A9,'[1]Définition Maintenances'!$K:$K,0)),DE9,INDEX('[1]Définition Maintenances'!$G:$G,MATCH($A9,'[1]Définition Maintenances'!$K:$K,0))+DE9),DE9))</f>
        <v>207</v>
      </c>
      <c r="DG9" s="26">
        <f>IF(ISNUMBER(VLOOKUP($D9,'Visu totale'!$D:$DH,DG$1,0)),DF9-VLOOKUP($D9,'Visu totale'!$D:$DH,DG$1,0),IF(LEFT(VLOOKUP($D9,'Visu totale'!$D:$DH,DG$1,0),1)="V",IF(DF9&gt;=INDEX('[1]Définition Maintenances'!$G:$G,MATCH($A9,'[1]Définition Maintenances'!$K:$K,0)),DF9,INDEX('[1]Définition Maintenances'!$G:$G,MATCH($A9,'[1]Définition Maintenances'!$K:$K,0))+DF9),DF9))</f>
        <v>207</v>
      </c>
      <c r="DH9" s="26">
        <f>IF(ISNUMBER(VLOOKUP($D9,'Visu totale'!$D:$DH,DH$1,0)),DG9-VLOOKUP($D9,'Visu totale'!$D:$DH,DH$1,0),IF(LEFT(VLOOKUP($D9,'Visu totale'!$D:$DH,DH$1,0),1)="V",IF(DG9&gt;=INDEX('[1]Définition Maintenances'!$G:$G,MATCH($A9,'[1]Définition Maintenances'!$K:$K,0)),DG9,INDEX('[1]Définition Maintenances'!$G:$G,MATCH($A9,'[1]Définition Maintenances'!$K:$K,0))+DG9),DG9))</f>
        <v>207</v>
      </c>
      <c r="DI9" s="27">
        <f>IF(ISNUMBER(VLOOKUP($D9,'Visu totale'!$D:$DH,DI$1,0)),DH9-VLOOKUP($D9,'Visu totale'!$D:$DH,DI$1,0),IF(LEFT(VLOOKUP($D9,'Visu totale'!$D:$DH,DI$1,0),1)="V",IF(DH9&gt;=INDEX('[1]Définition Maintenances'!$G:$G,MATCH($A9,'[1]Définition Maintenances'!$K:$K,0)),DH9,INDEX('[1]Définition Maintenances'!$G:$G,MATCH($A9,'[1]Définition Maintenances'!$K:$K,0))+DH9),DH9))</f>
        <v>207</v>
      </c>
    </row>
    <row r="10" spans="1:113" x14ac:dyDescent="0.25">
      <c r="A10" s="13" t="str">
        <f t="shared" si="0"/>
        <v>V30D</v>
      </c>
      <c r="B10" s="13" t="str">
        <f>VLOOKUP(D10,'[1]Avions (Potentiels)'!$B$2:$H$128,7,FALSE)</f>
        <v>V30</v>
      </c>
      <c r="C10" s="13"/>
      <c r="D10" s="16" t="s">
        <v>13</v>
      </c>
      <c r="E10" s="13">
        <f>IFERROR(VALUE(SUBSTITUTE(VLOOKUP(D10,'[1]Avions (Potentiels)'!$B:$E,4,0),".",",")),VALUE(VLOOKUP(D10,'[1]Avions (Potentiels)'!$B:$E,4,0)))</f>
        <v>1200</v>
      </c>
      <c r="F10" s="25">
        <f>IF(ISNUMBER(VLOOKUP($D10,'Visu totale'!$D:$DH,F$1,0)),E10-VLOOKUP($D10,'Visu totale'!$D:$DH,F$1,0),IF(LEFT(VLOOKUP($D10,'Visu totale'!$D:$DH,F$1,0),1)="V",IF(E10&gt;=INDEX('[1]Définition Maintenances'!$G:$G,MATCH($A10,'[1]Définition Maintenances'!$K:$K,0)),E10,INDEX('[1]Définition Maintenances'!$G:$G,MATCH($A10,'[1]Définition Maintenances'!$K:$K,0))+E10),E10))</f>
        <v>1200</v>
      </c>
      <c r="G10" s="26">
        <f>IF(ISNUMBER(VLOOKUP($D10,'Visu totale'!$D:$DH,G$1,0)),F10-VLOOKUP($D10,'Visu totale'!$D:$DH,G$1,0),IF(LEFT(VLOOKUP($D10,'Visu totale'!$D:$DH,G$1,0),1)="V",IF(F10&gt;=INDEX('[1]Définition Maintenances'!$G:$G,MATCH($A10,'[1]Définition Maintenances'!$K:$K,0)),F10,INDEX('[1]Définition Maintenances'!$G:$G,MATCH($A10,'[1]Définition Maintenances'!$K:$K,0))+F10),F10))</f>
        <v>1200</v>
      </c>
      <c r="H10" s="26">
        <f>IF(ISNUMBER(VLOOKUP($D10,'Visu totale'!$D:$DH,H$1,0)),G10-VLOOKUP($D10,'Visu totale'!$D:$DH,H$1,0),IF(LEFT(VLOOKUP($D10,'Visu totale'!$D:$DH,H$1,0),1)="V",IF(G10&gt;=INDEX('[1]Définition Maintenances'!$G:$G,MATCH($A10,'[1]Définition Maintenances'!$K:$K,0)),G10,INDEX('[1]Définition Maintenances'!$G:$G,MATCH($A10,'[1]Définition Maintenances'!$K:$K,0))+G10),G10))</f>
        <v>1200</v>
      </c>
      <c r="I10" s="26">
        <f>IF(ISNUMBER(VLOOKUP($D10,'Visu totale'!$D:$DH,I$1,0)),H10-VLOOKUP($D10,'Visu totale'!$D:$DH,I$1,0),IF(LEFT(VLOOKUP($D10,'Visu totale'!$D:$DH,I$1,0),1)="V",IF(H10&gt;=INDEX('[1]Définition Maintenances'!$G:$G,MATCH($A10,'[1]Définition Maintenances'!$K:$K,0)),H10,INDEX('[1]Définition Maintenances'!$G:$G,MATCH($A10,'[1]Définition Maintenances'!$K:$K,0))+H10),H10))</f>
        <v>1200</v>
      </c>
      <c r="J10" s="26">
        <f>IF(ISNUMBER(VLOOKUP($D10,'Visu totale'!$D:$DH,J$1,0)),I10-VLOOKUP($D10,'Visu totale'!$D:$DH,J$1,0),IF(LEFT(VLOOKUP($D10,'Visu totale'!$D:$DH,J$1,0),1)="V",IF(I10&gt;=INDEX('[1]Définition Maintenances'!$G:$G,MATCH($A10,'[1]Définition Maintenances'!$K:$K,0)),I10,INDEX('[1]Définition Maintenances'!$G:$G,MATCH($A10,'[1]Définition Maintenances'!$K:$K,0))+I10),I10))</f>
        <v>1200</v>
      </c>
      <c r="K10" s="26">
        <f>IF(ISNUMBER(VLOOKUP($D10,'Visu totale'!$D:$DH,K$1,0)),J10-VLOOKUP($D10,'Visu totale'!$D:$DH,K$1,0),IF(LEFT(VLOOKUP($D10,'Visu totale'!$D:$DH,K$1,0),1)="V",IF(J10&gt;=INDEX('[1]Définition Maintenances'!$G:$G,MATCH($A10,'[1]Définition Maintenances'!$K:$K,0)),J10,INDEX('[1]Définition Maintenances'!$G:$G,MATCH($A10,'[1]Définition Maintenances'!$K:$K,0))+J10),J10))</f>
        <v>1200</v>
      </c>
      <c r="L10" s="26">
        <f>IF(ISNUMBER(VLOOKUP($D10,'Visu totale'!$D:$DH,L$1,0)),K10-VLOOKUP($D10,'Visu totale'!$D:$DH,L$1,0),IF(LEFT(VLOOKUP($D10,'Visu totale'!$D:$DH,L$1,0),1)="V",IF(K10&gt;=INDEX('[1]Définition Maintenances'!$G:$G,MATCH($A10,'[1]Définition Maintenances'!$K:$K,0)),K10,INDEX('[1]Définition Maintenances'!$G:$G,MATCH($A10,'[1]Définition Maintenances'!$K:$K,0))+K10),K10))</f>
        <v>1200</v>
      </c>
      <c r="M10" s="26">
        <f>IF(ISNUMBER(VLOOKUP($D10,'Visu totale'!$D:$DH,M$1,0)),L10-VLOOKUP($D10,'Visu totale'!$D:$DH,M$1,0),IF(LEFT(VLOOKUP($D10,'Visu totale'!$D:$DH,M$1,0),1)="V",IF(L10&gt;=INDEX('[1]Définition Maintenances'!$G:$G,MATCH($A10,'[1]Définition Maintenances'!$K:$K,0)),L10,INDEX('[1]Définition Maintenances'!$G:$G,MATCH($A10,'[1]Définition Maintenances'!$K:$K,0))+L10),L10))</f>
        <v>1200</v>
      </c>
      <c r="N10" s="26">
        <f>IF(ISNUMBER(VLOOKUP($D10,'Visu totale'!$D:$DH,N$1,0)),M10-VLOOKUP($D10,'Visu totale'!$D:$DH,N$1,0),IF(LEFT(VLOOKUP($D10,'Visu totale'!$D:$DH,N$1,0),1)="V",IF(M10&gt;=INDEX('[1]Définition Maintenances'!$G:$G,MATCH($A10,'[1]Définition Maintenances'!$K:$K,0)),M10,INDEX('[1]Définition Maintenances'!$G:$G,MATCH($A10,'[1]Définition Maintenances'!$K:$K,0))+M10),M10))</f>
        <v>1200</v>
      </c>
      <c r="O10" s="26">
        <f>IF(ISNUMBER(VLOOKUP($D10,'Visu totale'!$D:$DH,O$1,0)),N10-VLOOKUP($D10,'Visu totale'!$D:$DH,O$1,0),IF(LEFT(VLOOKUP($D10,'Visu totale'!$D:$DH,O$1,0),1)="V",IF(N10&gt;=INDEX('[1]Définition Maintenances'!$G:$G,MATCH($A10,'[1]Définition Maintenances'!$K:$K,0)),N10,INDEX('[1]Définition Maintenances'!$G:$G,MATCH($A10,'[1]Définition Maintenances'!$K:$K,0))+N10),N10))</f>
        <v>1200</v>
      </c>
      <c r="P10" s="26">
        <f>IF(ISNUMBER(VLOOKUP($D10,'Visu totale'!$D:$DH,P$1,0)),O10-VLOOKUP($D10,'Visu totale'!$D:$DH,P$1,0),IF(LEFT(VLOOKUP($D10,'Visu totale'!$D:$DH,P$1,0),1)="V",IF(O10&gt;=INDEX('[1]Définition Maintenances'!$G:$G,MATCH($A10,'[1]Définition Maintenances'!$K:$K,0)),O10,INDEX('[1]Définition Maintenances'!$G:$G,MATCH($A10,'[1]Définition Maintenances'!$K:$K,0))+O10),O10))</f>
        <v>1200</v>
      </c>
      <c r="Q10" s="27">
        <f>IF(ISNUMBER(VLOOKUP($D10,'Visu totale'!$D:$DH,Q$1,0)),P10-VLOOKUP($D10,'Visu totale'!$D:$DH,Q$1,0),IF(LEFT(VLOOKUP($D10,'Visu totale'!$D:$DH,Q$1,0),1)="V",IF(P10&gt;=INDEX('[1]Définition Maintenances'!$G:$G,MATCH($A10,'[1]Définition Maintenances'!$K:$K,0)),P10,INDEX('[1]Définition Maintenances'!$G:$G,MATCH($A10,'[1]Définition Maintenances'!$K:$K,0))+P10),P10))</f>
        <v>1200</v>
      </c>
      <c r="R10" s="25">
        <f>IF(ISNUMBER(VLOOKUP($D10,'Visu totale'!$D:$DH,R$1,0)),Q10-VLOOKUP($D10,'Visu totale'!$D:$DH,R$1,0),IF(LEFT(VLOOKUP($D10,'Visu totale'!$D:$DH,R$1,0),1)="V",IF(Q10&gt;=INDEX('[1]Définition Maintenances'!$G:$G,MATCH($A10,'[1]Définition Maintenances'!$K:$K,0)),Q10,INDEX('[1]Définition Maintenances'!$G:$G,MATCH($A10,'[1]Définition Maintenances'!$K:$K,0))+Q10),Q10))</f>
        <v>1200</v>
      </c>
      <c r="S10" s="26">
        <f>IF(ISNUMBER(VLOOKUP($D10,'Visu totale'!$D:$DH,S$1,0)),R10-VLOOKUP($D10,'Visu totale'!$D:$DH,S$1,0),IF(LEFT(VLOOKUP($D10,'Visu totale'!$D:$DH,S$1,0),1)="V",IF(R10&gt;=INDEX('[1]Définition Maintenances'!$G:$G,MATCH($A10,'[1]Définition Maintenances'!$K:$K,0)),R10,INDEX('[1]Définition Maintenances'!$G:$G,MATCH($A10,'[1]Définition Maintenances'!$K:$K,0))+R10),R10))</f>
        <v>1200</v>
      </c>
      <c r="T10" s="26">
        <f>IF(ISNUMBER(VLOOKUP($D10,'Visu totale'!$D:$DH,T$1,0)),S10-VLOOKUP($D10,'Visu totale'!$D:$DH,T$1,0),IF(LEFT(VLOOKUP($D10,'Visu totale'!$D:$DH,T$1,0),1)="V",IF(S10&gt;=INDEX('[1]Définition Maintenances'!$G:$G,MATCH($A10,'[1]Définition Maintenances'!$K:$K,0)),S10,INDEX('[1]Définition Maintenances'!$G:$G,MATCH($A10,'[1]Définition Maintenances'!$K:$K,0))+S10),S10))</f>
        <v>1200</v>
      </c>
      <c r="U10" s="26">
        <f>IF(ISNUMBER(VLOOKUP($D10,'Visu totale'!$D:$DH,U$1,0)),T10-VLOOKUP($D10,'Visu totale'!$D:$DH,U$1,0),IF(LEFT(VLOOKUP($D10,'Visu totale'!$D:$DH,U$1,0),1)="V",IF(T10&gt;=INDEX('[1]Définition Maintenances'!$G:$G,MATCH($A10,'[1]Définition Maintenances'!$K:$K,0)),T10,INDEX('[1]Définition Maintenances'!$G:$G,MATCH($A10,'[1]Définition Maintenances'!$K:$K,0))+T10),T10))</f>
        <v>1200</v>
      </c>
      <c r="V10" s="26">
        <f>IF(ISNUMBER(VLOOKUP($D10,'Visu totale'!$D:$DH,V$1,0)),U10-VLOOKUP($D10,'Visu totale'!$D:$DH,V$1,0),IF(LEFT(VLOOKUP($D10,'Visu totale'!$D:$DH,V$1,0),1)="V",IF(U10&gt;=INDEX('[1]Définition Maintenances'!$G:$G,MATCH($A10,'[1]Définition Maintenances'!$K:$K,0)),U10,INDEX('[1]Définition Maintenances'!$G:$G,MATCH($A10,'[1]Définition Maintenances'!$K:$K,0))+U10),U10))</f>
        <v>1200</v>
      </c>
      <c r="W10" s="26">
        <f>IF(ISNUMBER(VLOOKUP($D10,'Visu totale'!$D:$DH,W$1,0)),V10-VLOOKUP($D10,'Visu totale'!$D:$DH,W$1,0),IF(LEFT(VLOOKUP($D10,'Visu totale'!$D:$DH,W$1,0),1)="V",IF(V10&gt;=INDEX('[1]Définition Maintenances'!$G:$G,MATCH($A10,'[1]Définition Maintenances'!$K:$K,0)),V10,INDEX('[1]Définition Maintenances'!$G:$G,MATCH($A10,'[1]Définition Maintenances'!$K:$K,0))+V10),V10))</f>
        <v>1200</v>
      </c>
      <c r="X10" s="26">
        <f>IF(ISNUMBER(VLOOKUP($D10,'Visu totale'!$D:$DH,X$1,0)),W10-VLOOKUP($D10,'Visu totale'!$D:$DH,X$1,0),IF(LEFT(VLOOKUP($D10,'Visu totale'!$D:$DH,X$1,0),1)="V",IF(W10&gt;=INDEX('[1]Définition Maintenances'!$G:$G,MATCH($A10,'[1]Définition Maintenances'!$K:$K,0)),W10,INDEX('[1]Définition Maintenances'!$G:$G,MATCH($A10,'[1]Définition Maintenances'!$K:$K,0))+W10),W10))</f>
        <v>1200</v>
      </c>
      <c r="Y10" s="26">
        <f>IF(ISNUMBER(VLOOKUP($D10,'Visu totale'!$D:$DH,Y$1,0)),X10-VLOOKUP($D10,'Visu totale'!$D:$DH,Y$1,0),IF(LEFT(VLOOKUP($D10,'Visu totale'!$D:$DH,Y$1,0),1)="V",IF(X10&gt;=INDEX('[1]Définition Maintenances'!$G:$G,MATCH($A10,'[1]Définition Maintenances'!$K:$K,0)),X10,INDEX('[1]Définition Maintenances'!$G:$G,MATCH($A10,'[1]Définition Maintenances'!$K:$K,0))+X10),X10))</f>
        <v>1200</v>
      </c>
      <c r="Z10" s="26">
        <f>IF(ISNUMBER(VLOOKUP($D10,'Visu totale'!$D:$DH,Z$1,0)),Y10-VLOOKUP($D10,'Visu totale'!$D:$DH,Z$1,0),IF(LEFT(VLOOKUP($D10,'Visu totale'!$D:$DH,Z$1,0),1)="V",IF(Y10&gt;=INDEX('[1]Définition Maintenances'!$G:$G,MATCH($A10,'[1]Définition Maintenances'!$K:$K,0)),Y10,INDEX('[1]Définition Maintenances'!$G:$G,MATCH($A10,'[1]Définition Maintenances'!$K:$K,0))+Y10),Y10))</f>
        <v>1200</v>
      </c>
      <c r="AA10" s="26">
        <f>IF(ISNUMBER(VLOOKUP($D10,'Visu totale'!$D:$DH,AA$1,0)),Z10-VLOOKUP($D10,'Visu totale'!$D:$DH,AA$1,0),IF(LEFT(VLOOKUP($D10,'Visu totale'!$D:$DH,AA$1,0),1)="V",IF(Z10&gt;=INDEX('[1]Définition Maintenances'!$G:$G,MATCH($A10,'[1]Définition Maintenances'!$K:$K,0)),Z10,INDEX('[1]Définition Maintenances'!$G:$G,MATCH($A10,'[1]Définition Maintenances'!$K:$K,0))+Z10),Z10))</f>
        <v>1200</v>
      </c>
      <c r="AB10" s="26">
        <f>IF(ISNUMBER(VLOOKUP($D10,'Visu totale'!$D:$DH,AB$1,0)),AA10-VLOOKUP($D10,'Visu totale'!$D:$DH,AB$1,0),IF(LEFT(VLOOKUP($D10,'Visu totale'!$D:$DH,AB$1,0),1)="V",IF(AA10&gt;=INDEX('[1]Définition Maintenances'!$G:$G,MATCH($A10,'[1]Définition Maintenances'!$K:$K,0)),AA10,INDEX('[1]Définition Maintenances'!$G:$G,MATCH($A10,'[1]Définition Maintenances'!$K:$K,0))+AA10),AA10))</f>
        <v>1200</v>
      </c>
      <c r="AC10" s="27">
        <f>IF(ISNUMBER(VLOOKUP($D10,'Visu totale'!$D:$DH,AC$1,0)),AB10-VLOOKUP($D10,'Visu totale'!$D:$DH,AC$1,0),IF(LEFT(VLOOKUP($D10,'Visu totale'!$D:$DH,AC$1,0),1)="V",IF(AB10&gt;=INDEX('[1]Définition Maintenances'!$G:$G,MATCH($A10,'[1]Définition Maintenances'!$K:$K,0)),AB10,INDEX('[1]Définition Maintenances'!$G:$G,MATCH($A10,'[1]Définition Maintenances'!$K:$K,0))+AB10),AB10))</f>
        <v>1200</v>
      </c>
      <c r="AD10" s="25">
        <f>IF(ISNUMBER(VLOOKUP($D10,'Visu totale'!$D:$DH,AD$1,0)),AC10-VLOOKUP($D10,'Visu totale'!$D:$DH,AD$1,0),IF(LEFT(VLOOKUP($D10,'Visu totale'!$D:$DH,AD$1,0),1)="V",IF(AC10&gt;=INDEX('[1]Définition Maintenances'!$G:$G,MATCH($A10,'[1]Définition Maintenances'!$K:$K,0)),AC10,INDEX('[1]Définition Maintenances'!$G:$G,MATCH($A10,'[1]Définition Maintenances'!$K:$K,0))+AC10),AC10))</f>
        <v>1200</v>
      </c>
      <c r="AE10" s="26">
        <f>IF(ISNUMBER(VLOOKUP($D10,'Visu totale'!$D:$DH,AE$1,0)),AD10-VLOOKUP($D10,'Visu totale'!$D:$DH,AE$1,0),IF(LEFT(VLOOKUP($D10,'Visu totale'!$D:$DH,AE$1,0),1)="V",IF(AD10&gt;=INDEX('[1]Définition Maintenances'!$G:$G,MATCH($A10,'[1]Définition Maintenances'!$K:$K,0)),AD10,INDEX('[1]Définition Maintenances'!$G:$G,MATCH($A10,'[1]Définition Maintenances'!$K:$K,0))+AD10),AD10))</f>
        <v>1200</v>
      </c>
      <c r="AF10" s="26">
        <f>IF(ISNUMBER(VLOOKUP($D10,'Visu totale'!$D:$DH,AF$1,0)),AE10-VLOOKUP($D10,'Visu totale'!$D:$DH,AF$1,0),IF(LEFT(VLOOKUP($D10,'Visu totale'!$D:$DH,AF$1,0),1)="V",IF(AE10&gt;=INDEX('[1]Définition Maintenances'!$G:$G,MATCH($A10,'[1]Définition Maintenances'!$K:$K,0)),AE10,INDEX('[1]Définition Maintenances'!$G:$G,MATCH($A10,'[1]Définition Maintenances'!$K:$K,0))+AE10),AE10))</f>
        <v>1200</v>
      </c>
      <c r="AG10" s="26">
        <f>IF(ISNUMBER(VLOOKUP($D10,'Visu totale'!$D:$DH,AG$1,0)),AF10-VLOOKUP($D10,'Visu totale'!$D:$DH,AG$1,0),IF(LEFT(VLOOKUP($D10,'Visu totale'!$D:$DH,AG$1,0),1)="V",IF(AF10&gt;=INDEX('[1]Définition Maintenances'!$G:$G,MATCH($A10,'[1]Définition Maintenances'!$K:$K,0)),AF10,INDEX('[1]Définition Maintenances'!$G:$G,MATCH($A10,'[1]Définition Maintenances'!$K:$K,0))+AF10),AF10))</f>
        <v>1200</v>
      </c>
      <c r="AH10" s="26">
        <f>IF(ISNUMBER(VLOOKUP($D10,'Visu totale'!$D:$DH,AH$1,0)),AG10-VLOOKUP($D10,'Visu totale'!$D:$DH,AH$1,0),IF(LEFT(VLOOKUP($D10,'Visu totale'!$D:$DH,AH$1,0),1)="V",IF(AG10&gt;=INDEX('[1]Définition Maintenances'!$G:$G,MATCH($A10,'[1]Définition Maintenances'!$K:$K,0)),AG10,INDEX('[1]Définition Maintenances'!$G:$G,MATCH($A10,'[1]Définition Maintenances'!$K:$K,0))+AG10),AG10))</f>
        <v>1200</v>
      </c>
      <c r="AI10" s="26">
        <f>IF(ISNUMBER(VLOOKUP($D10,'Visu totale'!$D:$DH,AI$1,0)),AH10-VLOOKUP($D10,'Visu totale'!$D:$DH,AI$1,0),IF(LEFT(VLOOKUP($D10,'Visu totale'!$D:$DH,AI$1,0),1)="V",IF(AH10&gt;=INDEX('[1]Définition Maintenances'!$G:$G,MATCH($A10,'[1]Définition Maintenances'!$K:$K,0)),AH10,INDEX('[1]Définition Maintenances'!$G:$G,MATCH($A10,'[1]Définition Maintenances'!$K:$K,0))+AH10),AH10))</f>
        <v>1200</v>
      </c>
      <c r="AJ10" s="26">
        <f>IF(ISNUMBER(VLOOKUP($D10,'Visu totale'!$D:$DH,AJ$1,0)),AI10-VLOOKUP($D10,'Visu totale'!$D:$DH,AJ$1,0),IF(LEFT(VLOOKUP($D10,'Visu totale'!$D:$DH,AJ$1,0),1)="V",IF(AI10&gt;=INDEX('[1]Définition Maintenances'!$G:$G,MATCH($A10,'[1]Définition Maintenances'!$K:$K,0)),AI10,INDEX('[1]Définition Maintenances'!$G:$G,MATCH($A10,'[1]Définition Maintenances'!$K:$K,0))+AI10),AI10))</f>
        <v>1200</v>
      </c>
      <c r="AK10" s="26">
        <f>IF(ISNUMBER(VLOOKUP($D10,'Visu totale'!$D:$DH,AK$1,0)),AJ10-VLOOKUP($D10,'Visu totale'!$D:$DH,AK$1,0),IF(LEFT(VLOOKUP($D10,'Visu totale'!$D:$DH,AK$1,0),1)="V",IF(AJ10&gt;=INDEX('[1]Définition Maintenances'!$G:$G,MATCH($A10,'[1]Définition Maintenances'!$K:$K,0)),AJ10,INDEX('[1]Définition Maintenances'!$G:$G,MATCH($A10,'[1]Définition Maintenances'!$K:$K,0))+AJ10),AJ10))</f>
        <v>1200</v>
      </c>
      <c r="AL10" s="26">
        <f>IF(ISNUMBER(VLOOKUP($D10,'Visu totale'!$D:$DH,AL$1,0)),AK10-VLOOKUP($D10,'Visu totale'!$D:$DH,AL$1,0),IF(LEFT(VLOOKUP($D10,'Visu totale'!$D:$DH,AL$1,0),1)="V",IF(AK10&gt;=INDEX('[1]Définition Maintenances'!$G:$G,MATCH($A10,'[1]Définition Maintenances'!$K:$K,0)),AK10,INDEX('[1]Définition Maintenances'!$G:$G,MATCH($A10,'[1]Définition Maintenances'!$K:$K,0))+AK10),AK10))</f>
        <v>1200</v>
      </c>
      <c r="AM10" s="26">
        <f>IF(ISNUMBER(VLOOKUP($D10,'Visu totale'!$D:$DH,AM$1,0)),AL10-VLOOKUP($D10,'Visu totale'!$D:$DH,AM$1,0),IF(LEFT(VLOOKUP($D10,'Visu totale'!$D:$DH,AM$1,0),1)="V",IF(AL10&gt;=INDEX('[1]Définition Maintenances'!$G:$G,MATCH($A10,'[1]Définition Maintenances'!$K:$K,0)),AL10,INDEX('[1]Définition Maintenances'!$G:$G,MATCH($A10,'[1]Définition Maintenances'!$K:$K,0))+AL10),AL10))</f>
        <v>1200</v>
      </c>
      <c r="AN10" s="26">
        <f>IF(ISNUMBER(VLOOKUP($D10,'Visu totale'!$D:$DH,AN$1,0)),AM10-VLOOKUP($D10,'Visu totale'!$D:$DH,AN$1,0),IF(LEFT(VLOOKUP($D10,'Visu totale'!$D:$DH,AN$1,0),1)="V",IF(AM10&gt;=INDEX('[1]Définition Maintenances'!$G:$G,MATCH($A10,'[1]Définition Maintenances'!$K:$K,0)),AM10,INDEX('[1]Définition Maintenances'!$G:$G,MATCH($A10,'[1]Définition Maintenances'!$K:$K,0))+AM10),AM10))</f>
        <v>1200</v>
      </c>
      <c r="AO10" s="27">
        <f>IF(ISNUMBER(VLOOKUP($D10,'Visu totale'!$D:$DH,AO$1,0)),AN10-VLOOKUP($D10,'Visu totale'!$D:$DH,AO$1,0),IF(LEFT(VLOOKUP($D10,'Visu totale'!$D:$DH,AO$1,0),1)="V",IF(AN10&gt;=INDEX('[1]Définition Maintenances'!$G:$G,MATCH($A10,'[1]Définition Maintenances'!$K:$K,0)),AN10,INDEX('[1]Définition Maintenances'!$G:$G,MATCH($A10,'[1]Définition Maintenances'!$K:$K,0))+AN10),AN10))</f>
        <v>1200</v>
      </c>
      <c r="AP10" s="25">
        <f>IF(ISNUMBER(VLOOKUP($D10,'Visu totale'!$D:$DH,AP$1,0)),AO10-VLOOKUP($D10,'Visu totale'!$D:$DH,AP$1,0),IF(LEFT(VLOOKUP($D10,'Visu totale'!$D:$DH,AP$1,0),1)="V",IF(AO10&gt;=INDEX('[1]Définition Maintenances'!$G:$G,MATCH($A10,'[1]Définition Maintenances'!$K:$K,0)),AO10,INDEX('[1]Définition Maintenances'!$G:$G,MATCH($A10,'[1]Définition Maintenances'!$K:$K,0))+AO10),AO10))</f>
        <v>1200</v>
      </c>
      <c r="AQ10" s="26">
        <f>IF(ISNUMBER(VLOOKUP($D10,'Visu totale'!$D:$DH,AQ$1,0)),AP10-VLOOKUP($D10,'Visu totale'!$D:$DH,AQ$1,0),IF(LEFT(VLOOKUP($D10,'Visu totale'!$D:$DH,AQ$1,0),1)="V",IF(AP10&gt;=INDEX('[1]Définition Maintenances'!$G:$G,MATCH($A10,'[1]Définition Maintenances'!$K:$K,0)),AP10,INDEX('[1]Définition Maintenances'!$G:$G,MATCH($A10,'[1]Définition Maintenances'!$K:$K,0))+AP10),AP10))</f>
        <v>1200</v>
      </c>
      <c r="AR10" s="26">
        <f>IF(ISNUMBER(VLOOKUP($D10,'Visu totale'!$D:$DH,AR$1,0)),AQ10-VLOOKUP($D10,'Visu totale'!$D:$DH,AR$1,0),IF(LEFT(VLOOKUP($D10,'Visu totale'!$D:$DH,AR$1,0),1)="V",IF(AQ10&gt;=INDEX('[1]Définition Maintenances'!$G:$G,MATCH($A10,'[1]Définition Maintenances'!$K:$K,0)),AQ10,INDEX('[1]Définition Maintenances'!$G:$G,MATCH($A10,'[1]Définition Maintenances'!$K:$K,0))+AQ10),AQ10))</f>
        <v>1200</v>
      </c>
      <c r="AS10" s="26">
        <f>IF(ISNUMBER(VLOOKUP($D10,'Visu totale'!$D:$DH,AS$1,0)),AR10-VLOOKUP($D10,'Visu totale'!$D:$DH,AS$1,0),IF(LEFT(VLOOKUP($D10,'Visu totale'!$D:$DH,AS$1,0),1)="V",IF(AR10&gt;=INDEX('[1]Définition Maintenances'!$G:$G,MATCH($A10,'[1]Définition Maintenances'!$K:$K,0)),AR10,INDEX('[1]Définition Maintenances'!$G:$G,MATCH($A10,'[1]Définition Maintenances'!$K:$K,0))+AR10),AR10))</f>
        <v>1200</v>
      </c>
      <c r="AT10" s="26">
        <f>IF(ISNUMBER(VLOOKUP($D10,'Visu totale'!$D:$DH,AT$1,0)),AS10-VLOOKUP($D10,'Visu totale'!$D:$DH,AT$1,0),IF(LEFT(VLOOKUP($D10,'Visu totale'!$D:$DH,AT$1,0),1)="V",IF(AS10&gt;=INDEX('[1]Définition Maintenances'!$G:$G,MATCH($A10,'[1]Définition Maintenances'!$K:$K,0)),AS10,INDEX('[1]Définition Maintenances'!$G:$G,MATCH($A10,'[1]Définition Maintenances'!$K:$K,0))+AS10),AS10))</f>
        <v>1200</v>
      </c>
      <c r="AU10" s="26">
        <f>IF(ISNUMBER(VLOOKUP($D10,'Visu totale'!$D:$DH,AU$1,0)),AT10-VLOOKUP($D10,'Visu totale'!$D:$DH,AU$1,0),IF(LEFT(VLOOKUP($D10,'Visu totale'!$D:$DH,AU$1,0),1)="V",IF(AT10&gt;=INDEX('[1]Définition Maintenances'!$G:$G,MATCH($A10,'[1]Définition Maintenances'!$K:$K,0)),AT10,INDEX('[1]Définition Maintenances'!$G:$G,MATCH($A10,'[1]Définition Maintenances'!$K:$K,0))+AT10),AT10))</f>
        <v>1200</v>
      </c>
      <c r="AV10" s="26">
        <f>IF(ISNUMBER(VLOOKUP($D10,'Visu totale'!$D:$DH,AV$1,0)),AU10-VLOOKUP($D10,'Visu totale'!$D:$DH,AV$1,0),IF(LEFT(VLOOKUP($D10,'Visu totale'!$D:$DH,AV$1,0),1)="V",IF(AU10&gt;=INDEX('[1]Définition Maintenances'!$G:$G,MATCH($A10,'[1]Définition Maintenances'!$K:$K,0)),AU10,INDEX('[1]Définition Maintenances'!$G:$G,MATCH($A10,'[1]Définition Maintenances'!$K:$K,0))+AU10),AU10))</f>
        <v>1200</v>
      </c>
      <c r="AW10" s="26">
        <f>IF(ISNUMBER(VLOOKUP($D10,'Visu totale'!$D:$DH,AW$1,0)),AV10-VLOOKUP($D10,'Visu totale'!$D:$DH,AW$1,0),IF(LEFT(VLOOKUP($D10,'Visu totale'!$D:$DH,AW$1,0),1)="V",IF(AV10&gt;=INDEX('[1]Définition Maintenances'!$G:$G,MATCH($A10,'[1]Définition Maintenances'!$K:$K,0)),AV10,INDEX('[1]Définition Maintenances'!$G:$G,MATCH($A10,'[1]Définition Maintenances'!$K:$K,0))+AV10),AV10))</f>
        <v>1200</v>
      </c>
      <c r="AX10" s="26">
        <f>IF(ISNUMBER(VLOOKUP($D10,'Visu totale'!$D:$DH,AX$1,0)),AW10-VLOOKUP($D10,'Visu totale'!$D:$DH,AX$1,0),IF(LEFT(VLOOKUP($D10,'Visu totale'!$D:$DH,AX$1,0),1)="V",IF(AW10&gt;=INDEX('[1]Définition Maintenances'!$G:$G,MATCH($A10,'[1]Définition Maintenances'!$K:$K,0)),AW10,INDEX('[1]Définition Maintenances'!$G:$G,MATCH($A10,'[1]Définition Maintenances'!$K:$K,0))+AW10),AW10))</f>
        <v>1200</v>
      </c>
      <c r="AY10" s="26">
        <f>IF(ISNUMBER(VLOOKUP($D10,'Visu totale'!$D:$DH,AY$1,0)),AX10-VLOOKUP($D10,'Visu totale'!$D:$DH,AY$1,0),IF(LEFT(VLOOKUP($D10,'Visu totale'!$D:$DH,AY$1,0),1)="V",IF(AX10&gt;=INDEX('[1]Définition Maintenances'!$G:$G,MATCH($A10,'[1]Définition Maintenances'!$K:$K,0)),AX10,INDEX('[1]Définition Maintenances'!$G:$G,MATCH($A10,'[1]Définition Maintenances'!$K:$K,0))+AX10),AX10))</f>
        <v>1200</v>
      </c>
      <c r="AZ10" s="26">
        <f>IF(ISNUMBER(VLOOKUP($D10,'Visu totale'!$D:$DH,AZ$1,0)),AY10-VLOOKUP($D10,'Visu totale'!$D:$DH,AZ$1,0),IF(LEFT(VLOOKUP($D10,'Visu totale'!$D:$DH,AZ$1,0),1)="V",IF(AY10&gt;=INDEX('[1]Définition Maintenances'!$G:$G,MATCH($A10,'[1]Définition Maintenances'!$K:$K,0)),AY10,INDEX('[1]Définition Maintenances'!$G:$G,MATCH($A10,'[1]Définition Maintenances'!$K:$K,0))+AY10),AY10))</f>
        <v>1200</v>
      </c>
      <c r="BA10" s="27">
        <f>IF(ISNUMBER(VLOOKUP($D10,'Visu totale'!$D:$DH,BA$1,0)),AZ10-VLOOKUP($D10,'Visu totale'!$D:$DH,BA$1,0),IF(LEFT(VLOOKUP($D10,'Visu totale'!$D:$DH,BA$1,0),1)="V",IF(AZ10&gt;=INDEX('[1]Définition Maintenances'!$G:$G,MATCH($A10,'[1]Définition Maintenances'!$K:$K,0)),AZ10,INDEX('[1]Définition Maintenances'!$G:$G,MATCH($A10,'[1]Définition Maintenances'!$K:$K,0))+AZ10),AZ10))</f>
        <v>1200</v>
      </c>
      <c r="BB10" s="25">
        <f>IF(ISNUMBER(VLOOKUP($D10,'Visu totale'!$D:$DH,BB$1,0)),BA10-VLOOKUP($D10,'Visu totale'!$D:$DH,BB$1,0),IF(LEFT(VLOOKUP($D10,'Visu totale'!$D:$DH,BB$1,0),1)="V",IF(BA10&gt;=INDEX('[1]Définition Maintenances'!$G:$G,MATCH($A10,'[1]Définition Maintenances'!$K:$K,0)),BA10,INDEX('[1]Définition Maintenances'!$G:$G,MATCH($A10,'[1]Définition Maintenances'!$K:$K,0))+BA10),BA10))</f>
        <v>1200</v>
      </c>
      <c r="BC10" s="26">
        <f>IF(ISNUMBER(VLOOKUP($D10,'Visu totale'!$D:$DH,BC$1,0)),BB10-VLOOKUP($D10,'Visu totale'!$D:$DH,BC$1,0),IF(LEFT(VLOOKUP($D10,'Visu totale'!$D:$DH,BC$1,0),1)="V",IF(BB10&gt;=INDEX('[1]Définition Maintenances'!$G:$G,MATCH($A10,'[1]Définition Maintenances'!$K:$K,0)),BB10,INDEX('[1]Définition Maintenances'!$G:$G,MATCH($A10,'[1]Définition Maintenances'!$K:$K,0))+BB10),BB10))</f>
        <v>1200</v>
      </c>
      <c r="BD10" s="26">
        <f>IF(ISNUMBER(VLOOKUP($D10,'Visu totale'!$D:$DH,BD$1,0)),BC10-VLOOKUP($D10,'Visu totale'!$D:$DH,BD$1,0),IF(LEFT(VLOOKUP($D10,'Visu totale'!$D:$DH,BD$1,0),1)="V",IF(BC10&gt;=INDEX('[1]Définition Maintenances'!$G:$G,MATCH($A10,'[1]Définition Maintenances'!$K:$K,0)),BC10,INDEX('[1]Définition Maintenances'!$G:$G,MATCH($A10,'[1]Définition Maintenances'!$K:$K,0))+BC10),BC10))</f>
        <v>1200</v>
      </c>
      <c r="BE10" s="26">
        <f>IF(ISNUMBER(VLOOKUP($D10,'Visu totale'!$D:$DH,BE$1,0)),BD10-VLOOKUP($D10,'Visu totale'!$D:$DH,BE$1,0),IF(LEFT(VLOOKUP($D10,'Visu totale'!$D:$DH,BE$1,0),1)="V",IF(BD10&gt;=INDEX('[1]Définition Maintenances'!$G:$G,MATCH($A10,'[1]Définition Maintenances'!$K:$K,0)),BD10,INDEX('[1]Définition Maintenances'!$G:$G,MATCH($A10,'[1]Définition Maintenances'!$K:$K,0))+BD10),BD10))</f>
        <v>1200</v>
      </c>
      <c r="BF10" s="26">
        <f>IF(ISNUMBER(VLOOKUP($D10,'Visu totale'!$D:$DH,BF$1,0)),BE10-VLOOKUP($D10,'Visu totale'!$D:$DH,BF$1,0),IF(LEFT(VLOOKUP($D10,'Visu totale'!$D:$DH,BF$1,0),1)="V",IF(BE10&gt;=INDEX('[1]Définition Maintenances'!$G:$G,MATCH($A10,'[1]Définition Maintenances'!$K:$K,0)),BE10,INDEX('[1]Définition Maintenances'!$G:$G,MATCH($A10,'[1]Définition Maintenances'!$K:$K,0))+BE10),BE10))</f>
        <v>1200</v>
      </c>
      <c r="BG10" s="26">
        <f>IF(ISNUMBER(VLOOKUP($D10,'Visu totale'!$D:$DH,BG$1,0)),BF10-VLOOKUP($D10,'Visu totale'!$D:$DH,BG$1,0),IF(LEFT(VLOOKUP($D10,'Visu totale'!$D:$DH,BG$1,0),1)="V",IF(BF10&gt;=INDEX('[1]Définition Maintenances'!$G:$G,MATCH($A10,'[1]Définition Maintenances'!$K:$K,0)),BF10,INDEX('[1]Définition Maintenances'!$G:$G,MATCH($A10,'[1]Définition Maintenances'!$K:$K,0))+BF10),BF10))</f>
        <v>1200</v>
      </c>
      <c r="BH10" s="26">
        <f>IF(ISNUMBER(VLOOKUP($D10,'Visu totale'!$D:$DH,BH$1,0)),BG10-VLOOKUP($D10,'Visu totale'!$D:$DH,BH$1,0),IF(LEFT(VLOOKUP($D10,'Visu totale'!$D:$DH,BH$1,0),1)="V",IF(BG10&gt;=INDEX('[1]Définition Maintenances'!$G:$G,MATCH($A10,'[1]Définition Maintenances'!$K:$K,0)),BG10,INDEX('[1]Définition Maintenances'!$G:$G,MATCH($A10,'[1]Définition Maintenances'!$K:$K,0))+BG10),BG10))</f>
        <v>1200</v>
      </c>
      <c r="BI10" s="26">
        <f>IF(ISNUMBER(VLOOKUP($D10,'Visu totale'!$D:$DH,BI$1,0)),BH10-VLOOKUP($D10,'Visu totale'!$D:$DH,BI$1,0),IF(LEFT(VLOOKUP($D10,'Visu totale'!$D:$DH,BI$1,0),1)="V",IF(BH10&gt;=INDEX('[1]Définition Maintenances'!$G:$G,MATCH($A10,'[1]Définition Maintenances'!$K:$K,0)),BH10,INDEX('[1]Définition Maintenances'!$G:$G,MATCH($A10,'[1]Définition Maintenances'!$K:$K,0))+BH10),BH10))</f>
        <v>1200</v>
      </c>
      <c r="BJ10" s="26">
        <f>IF(ISNUMBER(VLOOKUP($D10,'Visu totale'!$D:$DH,BJ$1,0)),BI10-VLOOKUP($D10,'Visu totale'!$D:$DH,BJ$1,0),IF(LEFT(VLOOKUP($D10,'Visu totale'!$D:$DH,BJ$1,0),1)="V",IF(BI10&gt;=INDEX('[1]Définition Maintenances'!$G:$G,MATCH($A10,'[1]Définition Maintenances'!$K:$K,0)),BI10,INDEX('[1]Définition Maintenances'!$G:$G,MATCH($A10,'[1]Définition Maintenances'!$K:$K,0))+BI10),BI10))</f>
        <v>1200</v>
      </c>
      <c r="BK10" s="26">
        <f>IF(ISNUMBER(VLOOKUP($D10,'Visu totale'!$D:$DH,BK$1,0)),BJ10-VLOOKUP($D10,'Visu totale'!$D:$DH,BK$1,0),IF(LEFT(VLOOKUP($D10,'Visu totale'!$D:$DH,BK$1,0),1)="V",IF(BJ10&gt;=INDEX('[1]Définition Maintenances'!$G:$G,MATCH($A10,'[1]Définition Maintenances'!$K:$K,0)),BJ10,INDEX('[1]Définition Maintenances'!$G:$G,MATCH($A10,'[1]Définition Maintenances'!$K:$K,0))+BJ10),BJ10))</f>
        <v>1200</v>
      </c>
      <c r="BL10" s="26">
        <f>IF(ISNUMBER(VLOOKUP($D10,'Visu totale'!$D:$DH,BL$1,0)),BK10-VLOOKUP($D10,'Visu totale'!$D:$DH,BL$1,0),IF(LEFT(VLOOKUP($D10,'Visu totale'!$D:$DH,BL$1,0),1)="V",IF(BK10&gt;=INDEX('[1]Définition Maintenances'!$G:$G,MATCH($A10,'[1]Définition Maintenances'!$K:$K,0)),BK10,INDEX('[1]Définition Maintenances'!$G:$G,MATCH($A10,'[1]Définition Maintenances'!$K:$K,0))+BK10),BK10))</f>
        <v>1200</v>
      </c>
      <c r="BM10" s="27">
        <f>IF(ISNUMBER(VLOOKUP($D10,'Visu totale'!$D:$DH,BM$1,0)),BL10-VLOOKUP($D10,'Visu totale'!$D:$DH,BM$1,0),IF(LEFT(VLOOKUP($D10,'Visu totale'!$D:$DH,BM$1,0),1)="V",IF(BL10&gt;=INDEX('[1]Définition Maintenances'!$G:$G,MATCH($A10,'[1]Définition Maintenances'!$K:$K,0)),BL10,INDEX('[1]Définition Maintenances'!$G:$G,MATCH($A10,'[1]Définition Maintenances'!$K:$K,0))+BL10),BL10))</f>
        <v>1200</v>
      </c>
      <c r="BN10" s="25">
        <f>IF(ISNUMBER(VLOOKUP($D10,'Visu totale'!$D:$DH,BN$1,0)),BM10-VLOOKUP($D10,'Visu totale'!$D:$DH,BN$1,0),IF(LEFT(VLOOKUP($D10,'Visu totale'!$D:$DH,BN$1,0),1)="V",IF(BM10&gt;=INDEX('[1]Définition Maintenances'!$G:$G,MATCH($A10,'[1]Définition Maintenances'!$K:$K,0)),BM10,INDEX('[1]Définition Maintenances'!$G:$G,MATCH($A10,'[1]Définition Maintenances'!$K:$K,0))+BM10),BM10))</f>
        <v>1200</v>
      </c>
      <c r="BO10" s="26">
        <f>IF(ISNUMBER(VLOOKUP($D10,'Visu totale'!$D:$DH,BO$1,0)),BN10-VLOOKUP($D10,'Visu totale'!$D:$DH,BO$1,0),IF(LEFT(VLOOKUP($D10,'Visu totale'!$D:$DH,BO$1,0),1)="V",IF(BN10&gt;=INDEX('[1]Définition Maintenances'!$G:$G,MATCH($A10,'[1]Définition Maintenances'!$K:$K,0)),BN10,INDEX('[1]Définition Maintenances'!$G:$G,MATCH($A10,'[1]Définition Maintenances'!$K:$K,0))+BN10),BN10))</f>
        <v>1200</v>
      </c>
      <c r="BP10" s="26">
        <f>IF(ISNUMBER(VLOOKUP($D10,'Visu totale'!$D:$DH,BP$1,0)),BO10-VLOOKUP($D10,'Visu totale'!$D:$DH,BP$1,0),IF(LEFT(VLOOKUP($D10,'Visu totale'!$D:$DH,BP$1,0),1)="V",IF(BO10&gt;=INDEX('[1]Définition Maintenances'!$G:$G,MATCH($A10,'[1]Définition Maintenances'!$K:$K,0)),BO10,INDEX('[1]Définition Maintenances'!$G:$G,MATCH($A10,'[1]Définition Maintenances'!$K:$K,0))+BO10),BO10))</f>
        <v>1200</v>
      </c>
      <c r="BQ10" s="26">
        <f>IF(ISNUMBER(VLOOKUP($D10,'Visu totale'!$D:$DH,BQ$1,0)),BP10-VLOOKUP($D10,'Visu totale'!$D:$DH,BQ$1,0),IF(LEFT(VLOOKUP($D10,'Visu totale'!$D:$DH,BQ$1,0),1)="V",IF(BP10&gt;=INDEX('[1]Définition Maintenances'!$G:$G,MATCH($A10,'[1]Définition Maintenances'!$K:$K,0)),BP10,INDEX('[1]Définition Maintenances'!$G:$G,MATCH($A10,'[1]Définition Maintenances'!$K:$K,0))+BP10),BP10))</f>
        <v>1200</v>
      </c>
      <c r="BR10" s="26">
        <f>IF(ISNUMBER(VLOOKUP($D10,'Visu totale'!$D:$DH,BR$1,0)),BQ10-VLOOKUP($D10,'Visu totale'!$D:$DH,BR$1,0),IF(LEFT(VLOOKUP($D10,'Visu totale'!$D:$DH,BR$1,0),1)="V",IF(BQ10&gt;=INDEX('[1]Définition Maintenances'!$G:$G,MATCH($A10,'[1]Définition Maintenances'!$K:$K,0)),BQ10,INDEX('[1]Définition Maintenances'!$G:$G,MATCH($A10,'[1]Définition Maintenances'!$K:$K,0))+BQ10),BQ10))</f>
        <v>1200</v>
      </c>
      <c r="BS10" s="26">
        <f>IF(ISNUMBER(VLOOKUP($D10,'Visu totale'!$D:$DH,BS$1,0)),BR10-VLOOKUP($D10,'Visu totale'!$D:$DH,BS$1,0),IF(LEFT(VLOOKUP($D10,'Visu totale'!$D:$DH,BS$1,0),1)="V",IF(BR10&gt;=INDEX('[1]Définition Maintenances'!$G:$G,MATCH($A10,'[1]Définition Maintenances'!$K:$K,0)),BR10,INDEX('[1]Définition Maintenances'!$G:$G,MATCH($A10,'[1]Définition Maintenances'!$K:$K,0))+BR10),BR10))</f>
        <v>1200</v>
      </c>
      <c r="BT10" s="26">
        <f>IF(ISNUMBER(VLOOKUP($D10,'Visu totale'!$D:$DH,BT$1,0)),BS10-VLOOKUP($D10,'Visu totale'!$D:$DH,BT$1,0),IF(LEFT(VLOOKUP($D10,'Visu totale'!$D:$DH,BT$1,0),1)="V",IF(BS10&gt;=INDEX('[1]Définition Maintenances'!$G:$G,MATCH($A10,'[1]Définition Maintenances'!$K:$K,0)),BS10,INDEX('[1]Définition Maintenances'!$G:$G,MATCH($A10,'[1]Définition Maintenances'!$K:$K,0))+BS10),BS10))</f>
        <v>1200</v>
      </c>
      <c r="BU10" s="26">
        <f>IF(ISNUMBER(VLOOKUP($D10,'Visu totale'!$D:$DH,BU$1,0)),BT10-VLOOKUP($D10,'Visu totale'!$D:$DH,BU$1,0),IF(LEFT(VLOOKUP($D10,'Visu totale'!$D:$DH,BU$1,0),1)="V",IF(BT10&gt;=INDEX('[1]Définition Maintenances'!$G:$G,MATCH($A10,'[1]Définition Maintenances'!$K:$K,0)),BT10,INDEX('[1]Définition Maintenances'!$G:$G,MATCH($A10,'[1]Définition Maintenances'!$K:$K,0))+BT10),BT10))</f>
        <v>1200</v>
      </c>
      <c r="BV10" s="26">
        <f>IF(ISNUMBER(VLOOKUP($D10,'Visu totale'!$D:$DH,BV$1,0)),BU10-VLOOKUP($D10,'Visu totale'!$D:$DH,BV$1,0),IF(LEFT(VLOOKUP($D10,'Visu totale'!$D:$DH,BV$1,0),1)="V",IF(BU10&gt;=INDEX('[1]Définition Maintenances'!$G:$G,MATCH($A10,'[1]Définition Maintenances'!$K:$K,0)),BU10,INDEX('[1]Définition Maintenances'!$G:$G,MATCH($A10,'[1]Définition Maintenances'!$K:$K,0))+BU10),BU10))</f>
        <v>1200</v>
      </c>
      <c r="BW10" s="26">
        <f>IF(ISNUMBER(VLOOKUP($D10,'Visu totale'!$D:$DH,BW$1,0)),BV10-VLOOKUP($D10,'Visu totale'!$D:$DH,BW$1,0),IF(LEFT(VLOOKUP($D10,'Visu totale'!$D:$DH,BW$1,0),1)="V",IF(BV10&gt;=INDEX('[1]Définition Maintenances'!$G:$G,MATCH($A10,'[1]Définition Maintenances'!$K:$K,0)),BV10,INDEX('[1]Définition Maintenances'!$G:$G,MATCH($A10,'[1]Définition Maintenances'!$K:$K,0))+BV10),BV10))</f>
        <v>1200</v>
      </c>
      <c r="BX10" s="26">
        <f>IF(ISNUMBER(VLOOKUP($D10,'Visu totale'!$D:$DH,BX$1,0)),BW10-VLOOKUP($D10,'Visu totale'!$D:$DH,BX$1,0),IF(LEFT(VLOOKUP($D10,'Visu totale'!$D:$DH,BX$1,0),1)="V",IF(BW10&gt;=INDEX('[1]Définition Maintenances'!$G:$G,MATCH($A10,'[1]Définition Maintenances'!$K:$K,0)),BW10,INDEX('[1]Définition Maintenances'!$G:$G,MATCH($A10,'[1]Définition Maintenances'!$K:$K,0))+BW10),BW10))</f>
        <v>1200</v>
      </c>
      <c r="BY10" s="27">
        <f>IF(ISNUMBER(VLOOKUP($D10,'Visu totale'!$D:$DH,BY$1,0)),BX10-VLOOKUP($D10,'Visu totale'!$D:$DH,BY$1,0),IF(LEFT(VLOOKUP($D10,'Visu totale'!$D:$DH,BY$1,0),1)="V",IF(BX10&gt;=INDEX('[1]Définition Maintenances'!$G:$G,MATCH($A10,'[1]Définition Maintenances'!$K:$K,0)),BX10,INDEX('[1]Définition Maintenances'!$G:$G,MATCH($A10,'[1]Définition Maintenances'!$K:$K,0))+BX10),BX10))</f>
        <v>1200</v>
      </c>
      <c r="BZ10" s="25">
        <f>IF(ISNUMBER(VLOOKUP($D10,'Visu totale'!$D:$DH,BZ$1,0)),BY10-VLOOKUP($D10,'Visu totale'!$D:$DH,BZ$1,0),IF(LEFT(VLOOKUP($D10,'Visu totale'!$D:$DH,BZ$1,0),1)="V",IF(BY10&gt;=INDEX('[1]Définition Maintenances'!$G:$G,MATCH($A10,'[1]Définition Maintenances'!$K:$K,0)),BY10,INDEX('[1]Définition Maintenances'!$G:$G,MATCH($A10,'[1]Définition Maintenances'!$K:$K,0))+BY10),BY10))</f>
        <v>1200</v>
      </c>
      <c r="CA10" s="26">
        <f>IF(ISNUMBER(VLOOKUP($D10,'Visu totale'!$D:$DH,CA$1,0)),BZ10-VLOOKUP($D10,'Visu totale'!$D:$DH,CA$1,0),IF(LEFT(VLOOKUP($D10,'Visu totale'!$D:$DH,CA$1,0),1)="V",IF(BZ10&gt;=INDEX('[1]Définition Maintenances'!$G:$G,MATCH($A10,'[1]Définition Maintenances'!$K:$K,0)),BZ10,INDEX('[1]Définition Maintenances'!$G:$G,MATCH($A10,'[1]Définition Maintenances'!$K:$K,0))+BZ10),BZ10))</f>
        <v>1200</v>
      </c>
      <c r="CB10" s="26">
        <f>IF(ISNUMBER(VLOOKUP($D10,'Visu totale'!$D:$DH,CB$1,0)),CA10-VLOOKUP($D10,'Visu totale'!$D:$DH,CB$1,0),IF(LEFT(VLOOKUP($D10,'Visu totale'!$D:$DH,CB$1,0),1)="V",IF(CA10&gt;=INDEX('[1]Définition Maintenances'!$G:$G,MATCH($A10,'[1]Définition Maintenances'!$K:$K,0)),CA10,INDEX('[1]Définition Maintenances'!$G:$G,MATCH($A10,'[1]Définition Maintenances'!$K:$K,0))+CA10),CA10))</f>
        <v>1200</v>
      </c>
      <c r="CC10" s="26">
        <f>IF(ISNUMBER(VLOOKUP($D10,'Visu totale'!$D:$DH,CC$1,0)),CB10-VLOOKUP($D10,'Visu totale'!$D:$DH,CC$1,0),IF(LEFT(VLOOKUP($D10,'Visu totale'!$D:$DH,CC$1,0),1)="V",IF(CB10&gt;=INDEX('[1]Définition Maintenances'!$G:$G,MATCH($A10,'[1]Définition Maintenances'!$K:$K,0)),CB10,INDEX('[1]Définition Maintenances'!$G:$G,MATCH($A10,'[1]Définition Maintenances'!$K:$K,0))+CB10),CB10))</f>
        <v>1200</v>
      </c>
      <c r="CD10" s="26">
        <f>IF(ISNUMBER(VLOOKUP($D10,'Visu totale'!$D:$DH,CD$1,0)),CC10-VLOOKUP($D10,'Visu totale'!$D:$DH,CD$1,0),IF(LEFT(VLOOKUP($D10,'Visu totale'!$D:$DH,CD$1,0),1)="V",IF(CC10&gt;=INDEX('[1]Définition Maintenances'!$G:$G,MATCH($A10,'[1]Définition Maintenances'!$K:$K,0)),CC10,INDEX('[1]Définition Maintenances'!$G:$G,MATCH($A10,'[1]Définition Maintenances'!$K:$K,0))+CC10),CC10))</f>
        <v>1200</v>
      </c>
      <c r="CE10" s="26">
        <f>IF(ISNUMBER(VLOOKUP($D10,'Visu totale'!$D:$DH,CE$1,0)),CD10-VLOOKUP($D10,'Visu totale'!$D:$DH,CE$1,0),IF(LEFT(VLOOKUP($D10,'Visu totale'!$D:$DH,CE$1,0),1)="V",IF(CD10&gt;=INDEX('[1]Définition Maintenances'!$G:$G,MATCH($A10,'[1]Définition Maintenances'!$K:$K,0)),CD10,INDEX('[1]Définition Maintenances'!$G:$G,MATCH($A10,'[1]Définition Maintenances'!$K:$K,0))+CD10),CD10))</f>
        <v>1200</v>
      </c>
      <c r="CF10" s="26">
        <f>IF(ISNUMBER(VLOOKUP($D10,'Visu totale'!$D:$DH,CF$1,0)),CE10-VLOOKUP($D10,'Visu totale'!$D:$DH,CF$1,0),IF(LEFT(VLOOKUP($D10,'Visu totale'!$D:$DH,CF$1,0),1)="V",IF(CE10&gt;=INDEX('[1]Définition Maintenances'!$G:$G,MATCH($A10,'[1]Définition Maintenances'!$K:$K,0)),CE10,INDEX('[1]Définition Maintenances'!$G:$G,MATCH($A10,'[1]Définition Maintenances'!$K:$K,0))+CE10),CE10))</f>
        <v>1200</v>
      </c>
      <c r="CG10" s="26">
        <f>IF(ISNUMBER(VLOOKUP($D10,'Visu totale'!$D:$DH,CG$1,0)),CF10-VLOOKUP($D10,'Visu totale'!$D:$DH,CG$1,0),IF(LEFT(VLOOKUP($D10,'Visu totale'!$D:$DH,CG$1,0),1)="V",IF(CF10&gt;=INDEX('[1]Définition Maintenances'!$G:$G,MATCH($A10,'[1]Définition Maintenances'!$K:$K,0)),CF10,INDEX('[1]Définition Maintenances'!$G:$G,MATCH($A10,'[1]Définition Maintenances'!$K:$K,0))+CF10),CF10))</f>
        <v>1200</v>
      </c>
      <c r="CH10" s="26">
        <f>IF(ISNUMBER(VLOOKUP($D10,'Visu totale'!$D:$DH,CH$1,0)),CG10-VLOOKUP($D10,'Visu totale'!$D:$DH,CH$1,0),IF(LEFT(VLOOKUP($D10,'Visu totale'!$D:$DH,CH$1,0),1)="V",IF(CG10&gt;=INDEX('[1]Définition Maintenances'!$G:$G,MATCH($A10,'[1]Définition Maintenances'!$K:$K,0)),CG10,INDEX('[1]Définition Maintenances'!$G:$G,MATCH($A10,'[1]Définition Maintenances'!$K:$K,0))+CG10),CG10))</f>
        <v>1200</v>
      </c>
      <c r="CI10" s="26">
        <f>IF(ISNUMBER(VLOOKUP($D10,'Visu totale'!$D:$DH,CI$1,0)),CH10-VLOOKUP($D10,'Visu totale'!$D:$DH,CI$1,0),IF(LEFT(VLOOKUP($D10,'Visu totale'!$D:$DH,CI$1,0),1)="V",IF(CH10&gt;=INDEX('[1]Définition Maintenances'!$G:$G,MATCH($A10,'[1]Définition Maintenances'!$K:$K,0)),CH10,INDEX('[1]Définition Maintenances'!$G:$G,MATCH($A10,'[1]Définition Maintenances'!$K:$K,0))+CH10),CH10))</f>
        <v>1200</v>
      </c>
      <c r="CJ10" s="26">
        <f>IF(ISNUMBER(VLOOKUP($D10,'Visu totale'!$D:$DH,CJ$1,0)),CI10-VLOOKUP($D10,'Visu totale'!$D:$DH,CJ$1,0),IF(LEFT(VLOOKUP($D10,'Visu totale'!$D:$DH,CJ$1,0),1)="V",IF(CI10&gt;=INDEX('[1]Définition Maintenances'!$G:$G,MATCH($A10,'[1]Définition Maintenances'!$K:$K,0)),CI10,INDEX('[1]Définition Maintenances'!$G:$G,MATCH($A10,'[1]Définition Maintenances'!$K:$K,0))+CI10),CI10))</f>
        <v>1200</v>
      </c>
      <c r="CK10" s="27">
        <f>IF(ISNUMBER(VLOOKUP($D10,'Visu totale'!$D:$DH,CK$1,0)),CJ10-VLOOKUP($D10,'Visu totale'!$D:$DH,CK$1,0),IF(LEFT(VLOOKUP($D10,'Visu totale'!$D:$DH,CK$1,0),1)="V",IF(CJ10&gt;=INDEX('[1]Définition Maintenances'!$G:$G,MATCH($A10,'[1]Définition Maintenances'!$K:$K,0)),CJ10,INDEX('[1]Définition Maintenances'!$G:$G,MATCH($A10,'[1]Définition Maintenances'!$K:$K,0))+CJ10),CJ10))</f>
        <v>1200</v>
      </c>
      <c r="CL10" s="25">
        <f>IF(ISNUMBER(VLOOKUP($D10,'Visu totale'!$D:$DH,CL$1,0)),CK10-VLOOKUP($D10,'Visu totale'!$D:$DH,CL$1,0),IF(LEFT(VLOOKUP($D10,'Visu totale'!$D:$DH,CL$1,0),1)="V",IF(CK10&gt;=INDEX('[1]Définition Maintenances'!$G:$G,MATCH($A10,'[1]Définition Maintenances'!$K:$K,0)),CK10,INDEX('[1]Définition Maintenances'!$G:$G,MATCH($A10,'[1]Définition Maintenances'!$K:$K,0))+CK10),CK10))</f>
        <v>1200</v>
      </c>
      <c r="CM10" s="26">
        <f>IF(ISNUMBER(VLOOKUP($D10,'Visu totale'!$D:$DH,CM$1,0)),CL10-VLOOKUP($D10,'Visu totale'!$D:$DH,CM$1,0),IF(LEFT(VLOOKUP($D10,'Visu totale'!$D:$DH,CM$1,0),1)="V",IF(CL10&gt;=INDEX('[1]Définition Maintenances'!$G:$G,MATCH($A10,'[1]Définition Maintenances'!$K:$K,0)),CL10,INDEX('[1]Définition Maintenances'!$G:$G,MATCH($A10,'[1]Définition Maintenances'!$K:$K,0))+CL10),CL10))</f>
        <v>1200</v>
      </c>
      <c r="CN10" s="26">
        <f>IF(ISNUMBER(VLOOKUP($D10,'Visu totale'!$D:$DH,CN$1,0)),CM10-VLOOKUP($D10,'Visu totale'!$D:$DH,CN$1,0),IF(LEFT(VLOOKUP($D10,'Visu totale'!$D:$DH,CN$1,0),1)="V",IF(CM10&gt;=INDEX('[1]Définition Maintenances'!$G:$G,MATCH($A10,'[1]Définition Maintenances'!$K:$K,0)),CM10,INDEX('[1]Définition Maintenances'!$G:$G,MATCH($A10,'[1]Définition Maintenances'!$K:$K,0))+CM10),CM10))</f>
        <v>1200</v>
      </c>
      <c r="CO10" s="26">
        <f>IF(ISNUMBER(VLOOKUP($D10,'Visu totale'!$D:$DH,CO$1,0)),CN10-VLOOKUP($D10,'Visu totale'!$D:$DH,CO$1,0),IF(LEFT(VLOOKUP($D10,'Visu totale'!$D:$DH,CO$1,0),1)="V",IF(CN10&gt;=INDEX('[1]Définition Maintenances'!$G:$G,MATCH($A10,'[1]Définition Maintenances'!$K:$K,0)),CN10,INDEX('[1]Définition Maintenances'!$G:$G,MATCH($A10,'[1]Définition Maintenances'!$K:$K,0))+CN10),CN10))</f>
        <v>1200</v>
      </c>
      <c r="CP10" s="26">
        <f>IF(ISNUMBER(VLOOKUP($D10,'Visu totale'!$D:$DH,CP$1,0)),CO10-VLOOKUP($D10,'Visu totale'!$D:$DH,CP$1,0),IF(LEFT(VLOOKUP($D10,'Visu totale'!$D:$DH,CP$1,0),1)="V",IF(CO10&gt;=INDEX('[1]Définition Maintenances'!$G:$G,MATCH($A10,'[1]Définition Maintenances'!$K:$K,0)),CO10,INDEX('[1]Définition Maintenances'!$G:$G,MATCH($A10,'[1]Définition Maintenances'!$K:$K,0))+CO10),CO10))</f>
        <v>1200</v>
      </c>
      <c r="CQ10" s="26">
        <f>IF(ISNUMBER(VLOOKUP($D10,'Visu totale'!$D:$DH,CQ$1,0)),CP10-VLOOKUP($D10,'Visu totale'!$D:$DH,CQ$1,0),IF(LEFT(VLOOKUP($D10,'Visu totale'!$D:$DH,CQ$1,0),1)="V",IF(CP10&gt;=INDEX('[1]Définition Maintenances'!$G:$G,MATCH($A10,'[1]Définition Maintenances'!$K:$K,0)),CP10,INDEX('[1]Définition Maintenances'!$G:$G,MATCH($A10,'[1]Définition Maintenances'!$K:$K,0))+CP10),CP10))</f>
        <v>1200</v>
      </c>
      <c r="CR10" s="26">
        <f>IF(ISNUMBER(VLOOKUP($D10,'Visu totale'!$D:$DH,CR$1,0)),CQ10-VLOOKUP($D10,'Visu totale'!$D:$DH,CR$1,0),IF(LEFT(VLOOKUP($D10,'Visu totale'!$D:$DH,CR$1,0),1)="V",IF(CQ10&gt;=INDEX('[1]Définition Maintenances'!$G:$G,MATCH($A10,'[1]Définition Maintenances'!$K:$K,0)),CQ10,INDEX('[1]Définition Maintenances'!$G:$G,MATCH($A10,'[1]Définition Maintenances'!$K:$K,0))+CQ10),CQ10))</f>
        <v>1200</v>
      </c>
      <c r="CS10" s="26">
        <f>IF(ISNUMBER(VLOOKUP($D10,'Visu totale'!$D:$DH,CS$1,0)),CR10-VLOOKUP($D10,'Visu totale'!$D:$DH,CS$1,0),IF(LEFT(VLOOKUP($D10,'Visu totale'!$D:$DH,CS$1,0),1)="V",IF(CR10&gt;=INDEX('[1]Définition Maintenances'!$G:$G,MATCH($A10,'[1]Définition Maintenances'!$K:$K,0)),CR10,INDEX('[1]Définition Maintenances'!$G:$G,MATCH($A10,'[1]Définition Maintenances'!$K:$K,0))+CR10),CR10))</f>
        <v>1200</v>
      </c>
      <c r="CT10" s="26">
        <f>IF(ISNUMBER(VLOOKUP($D10,'Visu totale'!$D:$DH,CT$1,0)),CS10-VLOOKUP($D10,'Visu totale'!$D:$DH,CT$1,0),IF(LEFT(VLOOKUP($D10,'Visu totale'!$D:$DH,CT$1,0),1)="V",IF(CS10&gt;=INDEX('[1]Définition Maintenances'!$G:$G,MATCH($A10,'[1]Définition Maintenances'!$K:$K,0)),CS10,INDEX('[1]Définition Maintenances'!$G:$G,MATCH($A10,'[1]Définition Maintenances'!$K:$K,0))+CS10),CS10))</f>
        <v>1200</v>
      </c>
      <c r="CU10" s="26">
        <f>IF(ISNUMBER(VLOOKUP($D10,'Visu totale'!$D:$DH,CU$1,0)),CT10-VLOOKUP($D10,'Visu totale'!$D:$DH,CU$1,0),IF(LEFT(VLOOKUP($D10,'Visu totale'!$D:$DH,CU$1,0),1)="V",IF(CT10&gt;=INDEX('[1]Définition Maintenances'!$G:$G,MATCH($A10,'[1]Définition Maintenances'!$K:$K,0)),CT10,INDEX('[1]Définition Maintenances'!$G:$G,MATCH($A10,'[1]Définition Maintenances'!$K:$K,0))+CT10),CT10))</f>
        <v>1200</v>
      </c>
      <c r="CV10" s="26">
        <f>IF(ISNUMBER(VLOOKUP($D10,'Visu totale'!$D:$DH,CV$1,0)),CU10-VLOOKUP($D10,'Visu totale'!$D:$DH,CV$1,0),IF(LEFT(VLOOKUP($D10,'Visu totale'!$D:$DH,CV$1,0),1)="V",IF(CU10&gt;=INDEX('[1]Définition Maintenances'!$G:$G,MATCH($A10,'[1]Définition Maintenances'!$K:$K,0)),CU10,INDEX('[1]Définition Maintenances'!$G:$G,MATCH($A10,'[1]Définition Maintenances'!$K:$K,0))+CU10),CU10))</f>
        <v>1200</v>
      </c>
      <c r="CW10" s="27">
        <f>IF(ISNUMBER(VLOOKUP($D10,'Visu totale'!$D:$DH,CW$1,0)),CV10-VLOOKUP($D10,'Visu totale'!$D:$DH,CW$1,0),IF(LEFT(VLOOKUP($D10,'Visu totale'!$D:$DH,CW$1,0),1)="V",IF(CV10&gt;=INDEX('[1]Définition Maintenances'!$G:$G,MATCH($A10,'[1]Définition Maintenances'!$K:$K,0)),CV10,INDEX('[1]Définition Maintenances'!$G:$G,MATCH($A10,'[1]Définition Maintenances'!$K:$K,0))+CV10),CV10))</f>
        <v>1200</v>
      </c>
      <c r="CX10" s="25">
        <f>IF(ISNUMBER(VLOOKUP($D10,'Visu totale'!$D:$DH,CX$1,0)),CW10-VLOOKUP($D10,'Visu totale'!$D:$DH,CX$1,0),IF(LEFT(VLOOKUP($D10,'Visu totale'!$D:$DH,CX$1,0),1)="V",IF(CW10&gt;=INDEX('[1]Définition Maintenances'!$G:$G,MATCH($A10,'[1]Définition Maintenances'!$K:$K,0)),CW10,INDEX('[1]Définition Maintenances'!$G:$G,MATCH($A10,'[1]Définition Maintenances'!$K:$K,0))+CW10),CW10))</f>
        <v>1200</v>
      </c>
      <c r="CY10" s="26">
        <f>IF(ISNUMBER(VLOOKUP($D10,'Visu totale'!$D:$DH,CY$1,0)),CX10-VLOOKUP($D10,'Visu totale'!$D:$DH,CY$1,0),IF(LEFT(VLOOKUP($D10,'Visu totale'!$D:$DH,CY$1,0),1)="V",IF(CX10&gt;=INDEX('[1]Définition Maintenances'!$G:$G,MATCH($A10,'[1]Définition Maintenances'!$K:$K,0)),CX10,INDEX('[1]Définition Maintenances'!$G:$G,MATCH($A10,'[1]Définition Maintenances'!$K:$K,0))+CX10),CX10))</f>
        <v>1200</v>
      </c>
      <c r="CZ10" s="26">
        <f>IF(ISNUMBER(VLOOKUP($D10,'Visu totale'!$D:$DH,CZ$1,0)),CY10-VLOOKUP($D10,'Visu totale'!$D:$DH,CZ$1,0),IF(LEFT(VLOOKUP($D10,'Visu totale'!$D:$DH,CZ$1,0),1)="V",IF(CY10&gt;=INDEX('[1]Définition Maintenances'!$G:$G,MATCH($A10,'[1]Définition Maintenances'!$K:$K,0)),CY10,INDEX('[1]Définition Maintenances'!$G:$G,MATCH($A10,'[1]Définition Maintenances'!$K:$K,0))+CY10),CY10))</f>
        <v>1200</v>
      </c>
      <c r="DA10" s="26">
        <f>IF(ISNUMBER(VLOOKUP($D10,'Visu totale'!$D:$DH,DA$1,0)),CZ10-VLOOKUP($D10,'Visu totale'!$D:$DH,DA$1,0),IF(LEFT(VLOOKUP($D10,'Visu totale'!$D:$DH,DA$1,0),1)="V",IF(CZ10&gt;=INDEX('[1]Définition Maintenances'!$G:$G,MATCH($A10,'[1]Définition Maintenances'!$K:$K,0)),CZ10,INDEX('[1]Définition Maintenances'!$G:$G,MATCH($A10,'[1]Définition Maintenances'!$K:$K,0))+CZ10),CZ10))</f>
        <v>1200</v>
      </c>
      <c r="DB10" s="26">
        <f>IF(ISNUMBER(VLOOKUP($D10,'Visu totale'!$D:$DH,DB$1,0)),DA10-VLOOKUP($D10,'Visu totale'!$D:$DH,DB$1,0),IF(LEFT(VLOOKUP($D10,'Visu totale'!$D:$DH,DB$1,0),1)="V",IF(DA10&gt;=INDEX('[1]Définition Maintenances'!$G:$G,MATCH($A10,'[1]Définition Maintenances'!$K:$K,0)),DA10,INDEX('[1]Définition Maintenances'!$G:$G,MATCH($A10,'[1]Définition Maintenances'!$K:$K,0))+DA10),DA10))</f>
        <v>1200</v>
      </c>
      <c r="DC10" s="26">
        <f>IF(ISNUMBER(VLOOKUP($D10,'Visu totale'!$D:$DH,DC$1,0)),DB10-VLOOKUP($D10,'Visu totale'!$D:$DH,DC$1,0),IF(LEFT(VLOOKUP($D10,'Visu totale'!$D:$DH,DC$1,0),1)="V",IF(DB10&gt;=INDEX('[1]Définition Maintenances'!$G:$G,MATCH($A10,'[1]Définition Maintenances'!$K:$K,0)),DB10,INDEX('[1]Définition Maintenances'!$G:$G,MATCH($A10,'[1]Définition Maintenances'!$K:$K,0))+DB10),DB10))</f>
        <v>1200</v>
      </c>
      <c r="DD10" s="26">
        <f>IF(ISNUMBER(VLOOKUP($D10,'Visu totale'!$D:$DH,DD$1,0)),DC10-VLOOKUP($D10,'Visu totale'!$D:$DH,DD$1,0),IF(LEFT(VLOOKUP($D10,'Visu totale'!$D:$DH,DD$1,0),1)="V",IF(DC10&gt;=INDEX('[1]Définition Maintenances'!$G:$G,MATCH($A10,'[1]Définition Maintenances'!$K:$K,0)),DC10,INDEX('[1]Définition Maintenances'!$G:$G,MATCH($A10,'[1]Définition Maintenances'!$K:$K,0))+DC10),DC10))</f>
        <v>1200</v>
      </c>
      <c r="DE10" s="26">
        <f>IF(ISNUMBER(VLOOKUP($D10,'Visu totale'!$D:$DH,DE$1,0)),DD10-VLOOKUP($D10,'Visu totale'!$D:$DH,DE$1,0),IF(LEFT(VLOOKUP($D10,'Visu totale'!$D:$DH,DE$1,0),1)="V",IF(DD10&gt;=INDEX('[1]Définition Maintenances'!$G:$G,MATCH($A10,'[1]Définition Maintenances'!$K:$K,0)),DD10,INDEX('[1]Définition Maintenances'!$G:$G,MATCH($A10,'[1]Définition Maintenances'!$K:$K,0))+DD10),DD10))</f>
        <v>1200</v>
      </c>
      <c r="DF10" s="26">
        <f>IF(ISNUMBER(VLOOKUP($D10,'Visu totale'!$D:$DH,DF$1,0)),DE10-VLOOKUP($D10,'Visu totale'!$D:$DH,DF$1,0),IF(LEFT(VLOOKUP($D10,'Visu totale'!$D:$DH,DF$1,0),1)="V",IF(DE10&gt;=INDEX('[1]Définition Maintenances'!$G:$G,MATCH($A10,'[1]Définition Maintenances'!$K:$K,0)),DE10,INDEX('[1]Définition Maintenances'!$G:$G,MATCH($A10,'[1]Définition Maintenances'!$K:$K,0))+DE10),DE10))</f>
        <v>1200</v>
      </c>
      <c r="DG10" s="26">
        <f>IF(ISNUMBER(VLOOKUP($D10,'Visu totale'!$D:$DH,DG$1,0)),DF10-VLOOKUP($D10,'Visu totale'!$D:$DH,DG$1,0),IF(LEFT(VLOOKUP($D10,'Visu totale'!$D:$DH,DG$1,0),1)="V",IF(DF10&gt;=INDEX('[1]Définition Maintenances'!$G:$G,MATCH($A10,'[1]Définition Maintenances'!$K:$K,0)),DF10,INDEX('[1]Définition Maintenances'!$G:$G,MATCH($A10,'[1]Définition Maintenances'!$K:$K,0))+DF10),DF10))</f>
        <v>1200</v>
      </c>
      <c r="DH10" s="26">
        <f>IF(ISNUMBER(VLOOKUP($D10,'Visu totale'!$D:$DH,DH$1,0)),DG10-VLOOKUP($D10,'Visu totale'!$D:$DH,DH$1,0),IF(LEFT(VLOOKUP($D10,'Visu totale'!$D:$DH,DH$1,0),1)="V",IF(DG10&gt;=INDEX('[1]Définition Maintenances'!$G:$G,MATCH($A10,'[1]Définition Maintenances'!$K:$K,0)),DG10,INDEX('[1]Définition Maintenances'!$G:$G,MATCH($A10,'[1]Définition Maintenances'!$K:$K,0))+DG10),DG10))</f>
        <v>1200</v>
      </c>
      <c r="DI10" s="27">
        <f>IF(ISNUMBER(VLOOKUP($D10,'Visu totale'!$D:$DH,DI$1,0)),DH10-VLOOKUP($D10,'Visu totale'!$D:$DH,DI$1,0),IF(LEFT(VLOOKUP($D10,'Visu totale'!$D:$DH,DI$1,0),1)="V",IF(DH10&gt;=INDEX('[1]Définition Maintenances'!$G:$G,MATCH($A10,'[1]Définition Maintenances'!$K:$K,0)),DH10,INDEX('[1]Définition Maintenances'!$G:$G,MATCH($A10,'[1]Définition Maintenances'!$K:$K,0))+DH10),DH10))</f>
        <v>1200</v>
      </c>
    </row>
    <row r="11" spans="1:113" x14ac:dyDescent="0.25">
      <c r="A11" s="13" t="str">
        <f t="shared" si="0"/>
        <v>V10D</v>
      </c>
      <c r="B11" s="13" t="str">
        <f>VLOOKUP(D11,'[1]Avions (Potentiels)'!$B$2:$H$128,7,FALSE)</f>
        <v>V10</v>
      </c>
      <c r="C11" s="13"/>
      <c r="D11" s="16" t="s">
        <v>14</v>
      </c>
      <c r="E11" s="13">
        <f>IFERROR(VALUE(SUBSTITUTE(VLOOKUP(D11,'[1]Avions (Potentiels)'!$B:$E,4,0),".",",")),VALUE(VLOOKUP(D11,'[1]Avions (Potentiels)'!$B:$E,4,0)))</f>
        <v>271</v>
      </c>
      <c r="F11" s="25">
        <f>IF(ISNUMBER(VLOOKUP($D11,'Visu totale'!$D:$DH,F$1,0)),E11-VLOOKUP($D11,'Visu totale'!$D:$DH,F$1,0),IF(LEFT(VLOOKUP($D11,'Visu totale'!$D:$DH,F$1,0),1)="V",IF(E11&gt;=INDEX('[1]Définition Maintenances'!$G:$G,MATCH($A11,'[1]Définition Maintenances'!$K:$K,0)),E11,INDEX('[1]Définition Maintenances'!$G:$G,MATCH($A11,'[1]Définition Maintenances'!$K:$K,0))+E11),E11))</f>
        <v>271</v>
      </c>
      <c r="G11" s="26">
        <f>IF(ISNUMBER(VLOOKUP($D11,'Visu totale'!$D:$DH,G$1,0)),F11-VLOOKUP($D11,'Visu totale'!$D:$DH,G$1,0),IF(LEFT(VLOOKUP($D11,'Visu totale'!$D:$DH,G$1,0),1)="V",IF(F11&gt;=INDEX('[1]Définition Maintenances'!$G:$G,MATCH($A11,'[1]Définition Maintenances'!$K:$K,0)),F11,INDEX('[1]Définition Maintenances'!$G:$G,MATCH($A11,'[1]Définition Maintenances'!$K:$K,0))+F11),F11))</f>
        <v>271</v>
      </c>
      <c r="H11" s="26">
        <f>IF(ISNUMBER(VLOOKUP($D11,'Visu totale'!$D:$DH,H$1,0)),G11-VLOOKUP($D11,'Visu totale'!$D:$DH,H$1,0),IF(LEFT(VLOOKUP($D11,'Visu totale'!$D:$DH,H$1,0),1)="V",IF(G11&gt;=INDEX('[1]Définition Maintenances'!$G:$G,MATCH($A11,'[1]Définition Maintenances'!$K:$K,0)),G11,INDEX('[1]Définition Maintenances'!$G:$G,MATCH($A11,'[1]Définition Maintenances'!$K:$K,0))+G11),G11))</f>
        <v>271</v>
      </c>
      <c r="I11" s="26">
        <f>IF(ISNUMBER(VLOOKUP($D11,'Visu totale'!$D:$DH,I$1,0)),H11-VLOOKUP($D11,'Visu totale'!$D:$DH,I$1,0),IF(LEFT(VLOOKUP($D11,'Visu totale'!$D:$DH,I$1,0),1)="V",IF(H11&gt;=INDEX('[1]Définition Maintenances'!$G:$G,MATCH($A11,'[1]Définition Maintenances'!$K:$K,0)),H11,INDEX('[1]Définition Maintenances'!$G:$G,MATCH($A11,'[1]Définition Maintenances'!$K:$K,0))+H11),H11))</f>
        <v>271</v>
      </c>
      <c r="J11" s="26">
        <f>IF(ISNUMBER(VLOOKUP($D11,'Visu totale'!$D:$DH,J$1,0)),I11-VLOOKUP($D11,'Visu totale'!$D:$DH,J$1,0),IF(LEFT(VLOOKUP($D11,'Visu totale'!$D:$DH,J$1,0),1)="V",IF(I11&gt;=INDEX('[1]Définition Maintenances'!$G:$G,MATCH($A11,'[1]Définition Maintenances'!$K:$K,0)),I11,INDEX('[1]Définition Maintenances'!$G:$G,MATCH($A11,'[1]Définition Maintenances'!$K:$K,0))+I11),I11))</f>
        <v>271</v>
      </c>
      <c r="K11" s="26">
        <f>IF(ISNUMBER(VLOOKUP($D11,'Visu totale'!$D:$DH,K$1,0)),J11-VLOOKUP($D11,'Visu totale'!$D:$DH,K$1,0),IF(LEFT(VLOOKUP($D11,'Visu totale'!$D:$DH,K$1,0),1)="V",IF(J11&gt;=INDEX('[1]Définition Maintenances'!$G:$G,MATCH($A11,'[1]Définition Maintenances'!$K:$K,0)),J11,INDEX('[1]Définition Maintenances'!$G:$G,MATCH($A11,'[1]Définition Maintenances'!$K:$K,0))+J11),J11))</f>
        <v>271</v>
      </c>
      <c r="L11" s="26">
        <f>IF(ISNUMBER(VLOOKUP($D11,'Visu totale'!$D:$DH,L$1,0)),K11-VLOOKUP($D11,'Visu totale'!$D:$DH,L$1,0),IF(LEFT(VLOOKUP($D11,'Visu totale'!$D:$DH,L$1,0),1)="V",IF(K11&gt;=INDEX('[1]Définition Maintenances'!$G:$G,MATCH($A11,'[1]Définition Maintenances'!$K:$K,0)),K11,INDEX('[1]Définition Maintenances'!$G:$G,MATCH($A11,'[1]Définition Maintenances'!$K:$K,0))+K11),K11))</f>
        <v>271</v>
      </c>
      <c r="M11" s="26">
        <f>IF(ISNUMBER(VLOOKUP($D11,'Visu totale'!$D:$DH,M$1,0)),L11-VLOOKUP($D11,'Visu totale'!$D:$DH,M$1,0),IF(LEFT(VLOOKUP($D11,'Visu totale'!$D:$DH,M$1,0),1)="V",IF(L11&gt;=INDEX('[1]Définition Maintenances'!$G:$G,MATCH($A11,'[1]Définition Maintenances'!$K:$K,0)),L11,INDEX('[1]Définition Maintenances'!$G:$G,MATCH($A11,'[1]Définition Maintenances'!$K:$K,0))+L11),L11))</f>
        <v>271</v>
      </c>
      <c r="N11" s="26">
        <f>IF(ISNUMBER(VLOOKUP($D11,'Visu totale'!$D:$DH,N$1,0)),M11-VLOOKUP($D11,'Visu totale'!$D:$DH,N$1,0),IF(LEFT(VLOOKUP($D11,'Visu totale'!$D:$DH,N$1,0),1)="V",IF(M11&gt;=INDEX('[1]Définition Maintenances'!$G:$G,MATCH($A11,'[1]Définition Maintenances'!$K:$K,0)),M11,INDEX('[1]Définition Maintenances'!$G:$G,MATCH($A11,'[1]Définition Maintenances'!$K:$K,0))+M11),M11))</f>
        <v>271</v>
      </c>
      <c r="O11" s="26">
        <f>IF(ISNUMBER(VLOOKUP($D11,'Visu totale'!$D:$DH,O$1,0)),N11-VLOOKUP($D11,'Visu totale'!$D:$DH,O$1,0),IF(LEFT(VLOOKUP($D11,'Visu totale'!$D:$DH,O$1,0),1)="V",IF(N11&gt;=INDEX('[1]Définition Maintenances'!$G:$G,MATCH($A11,'[1]Définition Maintenances'!$K:$K,0)),N11,INDEX('[1]Définition Maintenances'!$G:$G,MATCH($A11,'[1]Définition Maintenances'!$K:$K,0))+N11),N11))</f>
        <v>271</v>
      </c>
      <c r="P11" s="26">
        <f>IF(ISNUMBER(VLOOKUP($D11,'Visu totale'!$D:$DH,P$1,0)),O11-VLOOKUP($D11,'Visu totale'!$D:$DH,P$1,0),IF(LEFT(VLOOKUP($D11,'Visu totale'!$D:$DH,P$1,0),1)="V",IF(O11&gt;=INDEX('[1]Définition Maintenances'!$G:$G,MATCH($A11,'[1]Définition Maintenances'!$K:$K,0)),O11,INDEX('[1]Définition Maintenances'!$G:$G,MATCH($A11,'[1]Définition Maintenances'!$K:$K,0))+O11),O11))</f>
        <v>271</v>
      </c>
      <c r="Q11" s="27">
        <f>IF(ISNUMBER(VLOOKUP($D11,'Visu totale'!$D:$DH,Q$1,0)),P11-VLOOKUP($D11,'Visu totale'!$D:$DH,Q$1,0),IF(LEFT(VLOOKUP($D11,'Visu totale'!$D:$DH,Q$1,0),1)="V",IF(P11&gt;=INDEX('[1]Définition Maintenances'!$G:$G,MATCH($A11,'[1]Définition Maintenances'!$K:$K,0)),P11,INDEX('[1]Définition Maintenances'!$G:$G,MATCH($A11,'[1]Définition Maintenances'!$K:$K,0))+P11),P11))</f>
        <v>271</v>
      </c>
      <c r="R11" s="25">
        <f>IF(ISNUMBER(VLOOKUP($D11,'Visu totale'!$D:$DH,R$1,0)),Q11-VLOOKUP($D11,'Visu totale'!$D:$DH,R$1,0),IF(LEFT(VLOOKUP($D11,'Visu totale'!$D:$DH,R$1,0),1)="V",IF(Q11&gt;=INDEX('[1]Définition Maintenances'!$G:$G,MATCH($A11,'[1]Définition Maintenances'!$K:$K,0)),Q11,INDEX('[1]Définition Maintenances'!$G:$G,MATCH($A11,'[1]Définition Maintenances'!$K:$K,0))+Q11),Q11))</f>
        <v>271</v>
      </c>
      <c r="S11" s="26">
        <f>IF(ISNUMBER(VLOOKUP($D11,'Visu totale'!$D:$DH,S$1,0)),R11-VLOOKUP($D11,'Visu totale'!$D:$DH,S$1,0),IF(LEFT(VLOOKUP($D11,'Visu totale'!$D:$DH,S$1,0),1)="V",IF(R11&gt;=INDEX('[1]Définition Maintenances'!$G:$G,MATCH($A11,'[1]Définition Maintenances'!$K:$K,0)),R11,INDEX('[1]Définition Maintenances'!$G:$G,MATCH($A11,'[1]Définition Maintenances'!$K:$K,0))+R11),R11))</f>
        <v>271</v>
      </c>
      <c r="T11" s="26">
        <f>IF(ISNUMBER(VLOOKUP($D11,'Visu totale'!$D:$DH,T$1,0)),S11-VLOOKUP($D11,'Visu totale'!$D:$DH,T$1,0),IF(LEFT(VLOOKUP($D11,'Visu totale'!$D:$DH,T$1,0),1)="V",IF(S11&gt;=INDEX('[1]Définition Maintenances'!$G:$G,MATCH($A11,'[1]Définition Maintenances'!$K:$K,0)),S11,INDEX('[1]Définition Maintenances'!$G:$G,MATCH($A11,'[1]Définition Maintenances'!$K:$K,0))+S11),S11))</f>
        <v>271</v>
      </c>
      <c r="U11" s="26">
        <f>IF(ISNUMBER(VLOOKUP($D11,'Visu totale'!$D:$DH,U$1,0)),T11-VLOOKUP($D11,'Visu totale'!$D:$DH,U$1,0),IF(LEFT(VLOOKUP($D11,'Visu totale'!$D:$DH,U$1,0),1)="V",IF(T11&gt;=INDEX('[1]Définition Maintenances'!$G:$G,MATCH($A11,'[1]Définition Maintenances'!$K:$K,0)),T11,INDEX('[1]Définition Maintenances'!$G:$G,MATCH($A11,'[1]Définition Maintenances'!$K:$K,0))+T11),T11))</f>
        <v>271</v>
      </c>
      <c r="V11" s="26">
        <f>IF(ISNUMBER(VLOOKUP($D11,'Visu totale'!$D:$DH,V$1,0)),U11-VLOOKUP($D11,'Visu totale'!$D:$DH,V$1,0),IF(LEFT(VLOOKUP($D11,'Visu totale'!$D:$DH,V$1,0),1)="V",IF(U11&gt;=INDEX('[1]Définition Maintenances'!$G:$G,MATCH($A11,'[1]Définition Maintenances'!$K:$K,0)),U11,INDEX('[1]Définition Maintenances'!$G:$G,MATCH($A11,'[1]Définition Maintenances'!$K:$K,0))+U11),U11))</f>
        <v>271</v>
      </c>
      <c r="W11" s="26">
        <f>IF(ISNUMBER(VLOOKUP($D11,'Visu totale'!$D:$DH,W$1,0)),V11-VLOOKUP($D11,'Visu totale'!$D:$DH,W$1,0),IF(LEFT(VLOOKUP($D11,'Visu totale'!$D:$DH,W$1,0),1)="V",IF(V11&gt;=INDEX('[1]Définition Maintenances'!$G:$G,MATCH($A11,'[1]Définition Maintenances'!$K:$K,0)),V11,INDEX('[1]Définition Maintenances'!$G:$G,MATCH($A11,'[1]Définition Maintenances'!$K:$K,0))+V11),V11))</f>
        <v>271</v>
      </c>
      <c r="X11" s="26">
        <f>IF(ISNUMBER(VLOOKUP($D11,'Visu totale'!$D:$DH,X$1,0)),W11-VLOOKUP($D11,'Visu totale'!$D:$DH,X$1,0),IF(LEFT(VLOOKUP($D11,'Visu totale'!$D:$DH,X$1,0),1)="V",IF(W11&gt;=INDEX('[1]Définition Maintenances'!$G:$G,MATCH($A11,'[1]Définition Maintenances'!$K:$K,0)),W11,INDEX('[1]Définition Maintenances'!$G:$G,MATCH($A11,'[1]Définition Maintenances'!$K:$K,0))+W11),W11))</f>
        <v>271</v>
      </c>
      <c r="Y11" s="26">
        <f>IF(ISNUMBER(VLOOKUP($D11,'Visu totale'!$D:$DH,Y$1,0)),X11-VLOOKUP($D11,'Visu totale'!$D:$DH,Y$1,0),IF(LEFT(VLOOKUP($D11,'Visu totale'!$D:$DH,Y$1,0),1)="V",IF(X11&gt;=INDEX('[1]Définition Maintenances'!$G:$G,MATCH($A11,'[1]Définition Maintenances'!$K:$K,0)),X11,INDEX('[1]Définition Maintenances'!$G:$G,MATCH($A11,'[1]Définition Maintenances'!$K:$K,0))+X11),X11))</f>
        <v>271</v>
      </c>
      <c r="Z11" s="26">
        <f>IF(ISNUMBER(VLOOKUP($D11,'Visu totale'!$D:$DH,Z$1,0)),Y11-VLOOKUP($D11,'Visu totale'!$D:$DH,Z$1,0),IF(LEFT(VLOOKUP($D11,'Visu totale'!$D:$DH,Z$1,0),1)="V",IF(Y11&gt;=INDEX('[1]Définition Maintenances'!$G:$G,MATCH($A11,'[1]Définition Maintenances'!$K:$K,0)),Y11,INDEX('[1]Définition Maintenances'!$G:$G,MATCH($A11,'[1]Définition Maintenances'!$K:$K,0))+Y11),Y11))</f>
        <v>271</v>
      </c>
      <c r="AA11" s="26">
        <f>IF(ISNUMBER(VLOOKUP($D11,'Visu totale'!$D:$DH,AA$1,0)),Z11-VLOOKUP($D11,'Visu totale'!$D:$DH,AA$1,0),IF(LEFT(VLOOKUP($D11,'Visu totale'!$D:$DH,AA$1,0),1)="V",IF(Z11&gt;=INDEX('[1]Définition Maintenances'!$G:$G,MATCH($A11,'[1]Définition Maintenances'!$K:$K,0)),Z11,INDEX('[1]Définition Maintenances'!$G:$G,MATCH($A11,'[1]Définition Maintenances'!$K:$K,0))+Z11),Z11))</f>
        <v>271</v>
      </c>
      <c r="AB11" s="26">
        <f>IF(ISNUMBER(VLOOKUP($D11,'Visu totale'!$D:$DH,AB$1,0)),AA11-VLOOKUP($D11,'Visu totale'!$D:$DH,AB$1,0),IF(LEFT(VLOOKUP($D11,'Visu totale'!$D:$DH,AB$1,0),1)="V",IF(AA11&gt;=INDEX('[1]Définition Maintenances'!$G:$G,MATCH($A11,'[1]Définition Maintenances'!$K:$K,0)),AA11,INDEX('[1]Définition Maintenances'!$G:$G,MATCH($A11,'[1]Définition Maintenances'!$K:$K,0))+AA11),AA11))</f>
        <v>271</v>
      </c>
      <c r="AC11" s="27">
        <f>IF(ISNUMBER(VLOOKUP($D11,'Visu totale'!$D:$DH,AC$1,0)),AB11-VLOOKUP($D11,'Visu totale'!$D:$DH,AC$1,0),IF(LEFT(VLOOKUP($D11,'Visu totale'!$D:$DH,AC$1,0),1)="V",IF(AB11&gt;=INDEX('[1]Définition Maintenances'!$G:$G,MATCH($A11,'[1]Définition Maintenances'!$K:$K,0)),AB11,INDEX('[1]Définition Maintenances'!$G:$G,MATCH($A11,'[1]Définition Maintenances'!$K:$K,0))+AB11),AB11))</f>
        <v>271</v>
      </c>
      <c r="AD11" s="25">
        <f>IF(ISNUMBER(VLOOKUP($D11,'Visu totale'!$D:$DH,AD$1,0)),AC11-VLOOKUP($D11,'Visu totale'!$D:$DH,AD$1,0),IF(LEFT(VLOOKUP($D11,'Visu totale'!$D:$DH,AD$1,0),1)="V",IF(AC11&gt;=INDEX('[1]Définition Maintenances'!$G:$G,MATCH($A11,'[1]Définition Maintenances'!$K:$K,0)),AC11,INDEX('[1]Définition Maintenances'!$G:$G,MATCH($A11,'[1]Définition Maintenances'!$K:$K,0))+AC11),AC11))</f>
        <v>271</v>
      </c>
      <c r="AE11" s="26">
        <f>IF(ISNUMBER(VLOOKUP($D11,'Visu totale'!$D:$DH,AE$1,0)),AD11-VLOOKUP($D11,'Visu totale'!$D:$DH,AE$1,0),IF(LEFT(VLOOKUP($D11,'Visu totale'!$D:$DH,AE$1,0),1)="V",IF(AD11&gt;=INDEX('[1]Définition Maintenances'!$G:$G,MATCH($A11,'[1]Définition Maintenances'!$K:$K,0)),AD11,INDEX('[1]Définition Maintenances'!$G:$G,MATCH($A11,'[1]Définition Maintenances'!$K:$K,0))+AD11),AD11))</f>
        <v>271</v>
      </c>
      <c r="AF11" s="26">
        <f>IF(ISNUMBER(VLOOKUP($D11,'Visu totale'!$D:$DH,AF$1,0)),AE11-VLOOKUP($D11,'Visu totale'!$D:$DH,AF$1,0),IF(LEFT(VLOOKUP($D11,'Visu totale'!$D:$DH,AF$1,0),1)="V",IF(AE11&gt;=INDEX('[1]Définition Maintenances'!$G:$G,MATCH($A11,'[1]Définition Maintenances'!$K:$K,0)),AE11,INDEX('[1]Définition Maintenances'!$G:$G,MATCH($A11,'[1]Définition Maintenances'!$K:$K,0))+AE11),AE11))</f>
        <v>271</v>
      </c>
      <c r="AG11" s="26">
        <f>IF(ISNUMBER(VLOOKUP($D11,'Visu totale'!$D:$DH,AG$1,0)),AF11-VLOOKUP($D11,'Visu totale'!$D:$DH,AG$1,0),IF(LEFT(VLOOKUP($D11,'Visu totale'!$D:$DH,AG$1,0),1)="V",IF(AF11&gt;=INDEX('[1]Définition Maintenances'!$G:$G,MATCH($A11,'[1]Définition Maintenances'!$K:$K,0)),AF11,INDEX('[1]Définition Maintenances'!$G:$G,MATCH($A11,'[1]Définition Maintenances'!$K:$K,0))+AF11),AF11))</f>
        <v>271</v>
      </c>
      <c r="AH11" s="26">
        <f>IF(ISNUMBER(VLOOKUP($D11,'Visu totale'!$D:$DH,AH$1,0)),AG11-VLOOKUP($D11,'Visu totale'!$D:$DH,AH$1,0),IF(LEFT(VLOOKUP($D11,'Visu totale'!$D:$DH,AH$1,0),1)="V",IF(AG11&gt;=INDEX('[1]Définition Maintenances'!$G:$G,MATCH($A11,'[1]Définition Maintenances'!$K:$K,0)),AG11,INDEX('[1]Définition Maintenances'!$G:$G,MATCH($A11,'[1]Définition Maintenances'!$K:$K,0))+AG11),AG11))</f>
        <v>271</v>
      </c>
      <c r="AI11" s="26">
        <f>IF(ISNUMBER(VLOOKUP($D11,'Visu totale'!$D:$DH,AI$1,0)),AH11-VLOOKUP($D11,'Visu totale'!$D:$DH,AI$1,0),IF(LEFT(VLOOKUP($D11,'Visu totale'!$D:$DH,AI$1,0),1)="V",IF(AH11&gt;=INDEX('[1]Définition Maintenances'!$G:$G,MATCH($A11,'[1]Définition Maintenances'!$K:$K,0)),AH11,INDEX('[1]Définition Maintenances'!$G:$G,MATCH($A11,'[1]Définition Maintenances'!$K:$K,0))+AH11),AH11))</f>
        <v>271</v>
      </c>
      <c r="AJ11" s="26">
        <f>IF(ISNUMBER(VLOOKUP($D11,'Visu totale'!$D:$DH,AJ$1,0)),AI11-VLOOKUP($D11,'Visu totale'!$D:$DH,AJ$1,0),IF(LEFT(VLOOKUP($D11,'Visu totale'!$D:$DH,AJ$1,0),1)="V",IF(AI11&gt;=INDEX('[1]Définition Maintenances'!$G:$G,MATCH($A11,'[1]Définition Maintenances'!$K:$K,0)),AI11,INDEX('[1]Définition Maintenances'!$G:$G,MATCH($A11,'[1]Définition Maintenances'!$K:$K,0))+AI11),AI11))</f>
        <v>271</v>
      </c>
      <c r="AK11" s="26">
        <f>IF(ISNUMBER(VLOOKUP($D11,'Visu totale'!$D:$DH,AK$1,0)),AJ11-VLOOKUP($D11,'Visu totale'!$D:$DH,AK$1,0),IF(LEFT(VLOOKUP($D11,'Visu totale'!$D:$DH,AK$1,0),1)="V",IF(AJ11&gt;=INDEX('[1]Définition Maintenances'!$G:$G,MATCH($A11,'[1]Définition Maintenances'!$K:$K,0)),AJ11,INDEX('[1]Définition Maintenances'!$G:$G,MATCH($A11,'[1]Définition Maintenances'!$K:$K,0))+AJ11),AJ11))</f>
        <v>271</v>
      </c>
      <c r="AL11" s="26">
        <f>IF(ISNUMBER(VLOOKUP($D11,'Visu totale'!$D:$DH,AL$1,0)),AK11-VLOOKUP($D11,'Visu totale'!$D:$DH,AL$1,0),IF(LEFT(VLOOKUP($D11,'Visu totale'!$D:$DH,AL$1,0),1)="V",IF(AK11&gt;=INDEX('[1]Définition Maintenances'!$G:$G,MATCH($A11,'[1]Définition Maintenances'!$K:$K,0)),AK11,INDEX('[1]Définition Maintenances'!$G:$G,MATCH($A11,'[1]Définition Maintenances'!$K:$K,0))+AK11),AK11))</f>
        <v>271</v>
      </c>
      <c r="AM11" s="26">
        <f>IF(ISNUMBER(VLOOKUP($D11,'Visu totale'!$D:$DH,AM$1,0)),AL11-VLOOKUP($D11,'Visu totale'!$D:$DH,AM$1,0),IF(LEFT(VLOOKUP($D11,'Visu totale'!$D:$DH,AM$1,0),1)="V",IF(AL11&gt;=INDEX('[1]Définition Maintenances'!$G:$G,MATCH($A11,'[1]Définition Maintenances'!$K:$K,0)),AL11,INDEX('[1]Définition Maintenances'!$G:$G,MATCH($A11,'[1]Définition Maintenances'!$K:$K,0))+AL11),AL11))</f>
        <v>271</v>
      </c>
      <c r="AN11" s="26">
        <f>IF(ISNUMBER(VLOOKUP($D11,'Visu totale'!$D:$DH,AN$1,0)),AM11-VLOOKUP($D11,'Visu totale'!$D:$DH,AN$1,0),IF(LEFT(VLOOKUP($D11,'Visu totale'!$D:$DH,AN$1,0),1)="V",IF(AM11&gt;=INDEX('[1]Définition Maintenances'!$G:$G,MATCH($A11,'[1]Définition Maintenances'!$K:$K,0)),AM11,INDEX('[1]Définition Maintenances'!$G:$G,MATCH($A11,'[1]Définition Maintenances'!$K:$K,0))+AM11),AM11))</f>
        <v>271</v>
      </c>
      <c r="AO11" s="27">
        <f>IF(ISNUMBER(VLOOKUP($D11,'Visu totale'!$D:$DH,AO$1,0)),AN11-VLOOKUP($D11,'Visu totale'!$D:$DH,AO$1,0),IF(LEFT(VLOOKUP($D11,'Visu totale'!$D:$DH,AO$1,0),1)="V",IF(AN11&gt;=INDEX('[1]Définition Maintenances'!$G:$G,MATCH($A11,'[1]Définition Maintenances'!$K:$K,0)),AN11,INDEX('[1]Définition Maintenances'!$G:$G,MATCH($A11,'[1]Définition Maintenances'!$K:$K,0))+AN11),AN11))</f>
        <v>271</v>
      </c>
      <c r="AP11" s="25">
        <f>IF(ISNUMBER(VLOOKUP($D11,'Visu totale'!$D:$DH,AP$1,0)),AO11-VLOOKUP($D11,'Visu totale'!$D:$DH,AP$1,0),IF(LEFT(VLOOKUP($D11,'Visu totale'!$D:$DH,AP$1,0),1)="V",IF(AO11&gt;=INDEX('[1]Définition Maintenances'!$G:$G,MATCH($A11,'[1]Définition Maintenances'!$K:$K,0)),AO11,INDEX('[1]Définition Maintenances'!$G:$G,MATCH($A11,'[1]Définition Maintenances'!$K:$K,0))+AO11),AO11))</f>
        <v>271</v>
      </c>
      <c r="AQ11" s="26">
        <f>IF(ISNUMBER(VLOOKUP($D11,'Visu totale'!$D:$DH,AQ$1,0)),AP11-VLOOKUP($D11,'Visu totale'!$D:$DH,AQ$1,0),IF(LEFT(VLOOKUP($D11,'Visu totale'!$D:$DH,AQ$1,0),1)="V",IF(AP11&gt;=INDEX('[1]Définition Maintenances'!$G:$G,MATCH($A11,'[1]Définition Maintenances'!$K:$K,0)),AP11,INDEX('[1]Définition Maintenances'!$G:$G,MATCH($A11,'[1]Définition Maintenances'!$K:$K,0))+AP11),AP11))</f>
        <v>271</v>
      </c>
      <c r="AR11" s="26">
        <f>IF(ISNUMBER(VLOOKUP($D11,'Visu totale'!$D:$DH,AR$1,0)),AQ11-VLOOKUP($D11,'Visu totale'!$D:$DH,AR$1,0),IF(LEFT(VLOOKUP($D11,'Visu totale'!$D:$DH,AR$1,0),1)="V",IF(AQ11&gt;=INDEX('[1]Définition Maintenances'!$G:$G,MATCH($A11,'[1]Définition Maintenances'!$K:$K,0)),AQ11,INDEX('[1]Définition Maintenances'!$G:$G,MATCH($A11,'[1]Définition Maintenances'!$K:$K,0))+AQ11),AQ11))</f>
        <v>271</v>
      </c>
      <c r="AS11" s="26">
        <f>IF(ISNUMBER(VLOOKUP($D11,'Visu totale'!$D:$DH,AS$1,0)),AR11-VLOOKUP($D11,'Visu totale'!$D:$DH,AS$1,0),IF(LEFT(VLOOKUP($D11,'Visu totale'!$D:$DH,AS$1,0),1)="V",IF(AR11&gt;=INDEX('[1]Définition Maintenances'!$G:$G,MATCH($A11,'[1]Définition Maintenances'!$K:$K,0)),AR11,INDEX('[1]Définition Maintenances'!$G:$G,MATCH($A11,'[1]Définition Maintenances'!$K:$K,0))+AR11),AR11))</f>
        <v>271</v>
      </c>
      <c r="AT11" s="26">
        <f>IF(ISNUMBER(VLOOKUP($D11,'Visu totale'!$D:$DH,AT$1,0)),AS11-VLOOKUP($D11,'Visu totale'!$D:$DH,AT$1,0),IF(LEFT(VLOOKUP($D11,'Visu totale'!$D:$DH,AT$1,0),1)="V",IF(AS11&gt;=INDEX('[1]Définition Maintenances'!$G:$G,MATCH($A11,'[1]Définition Maintenances'!$K:$K,0)),AS11,INDEX('[1]Définition Maintenances'!$G:$G,MATCH($A11,'[1]Définition Maintenances'!$K:$K,0))+AS11),AS11))</f>
        <v>271</v>
      </c>
      <c r="AU11" s="26">
        <f>IF(ISNUMBER(VLOOKUP($D11,'Visu totale'!$D:$DH,AU$1,0)),AT11-VLOOKUP($D11,'Visu totale'!$D:$DH,AU$1,0),IF(LEFT(VLOOKUP($D11,'Visu totale'!$D:$DH,AU$1,0),1)="V",IF(AT11&gt;=INDEX('[1]Définition Maintenances'!$G:$G,MATCH($A11,'[1]Définition Maintenances'!$K:$K,0)),AT11,INDEX('[1]Définition Maintenances'!$G:$G,MATCH($A11,'[1]Définition Maintenances'!$K:$K,0))+AT11),AT11))</f>
        <v>271</v>
      </c>
      <c r="AV11" s="26">
        <f>IF(ISNUMBER(VLOOKUP($D11,'Visu totale'!$D:$DH,AV$1,0)),AU11-VLOOKUP($D11,'Visu totale'!$D:$DH,AV$1,0),IF(LEFT(VLOOKUP($D11,'Visu totale'!$D:$DH,AV$1,0),1)="V",IF(AU11&gt;=INDEX('[1]Définition Maintenances'!$G:$G,MATCH($A11,'[1]Définition Maintenances'!$K:$K,0)),AU11,INDEX('[1]Définition Maintenances'!$G:$G,MATCH($A11,'[1]Définition Maintenances'!$K:$K,0))+AU11),AU11))</f>
        <v>271</v>
      </c>
      <c r="AW11" s="26">
        <f>IF(ISNUMBER(VLOOKUP($D11,'Visu totale'!$D:$DH,AW$1,0)),AV11-VLOOKUP($D11,'Visu totale'!$D:$DH,AW$1,0),IF(LEFT(VLOOKUP($D11,'Visu totale'!$D:$DH,AW$1,0),1)="V",IF(AV11&gt;=INDEX('[1]Définition Maintenances'!$G:$G,MATCH($A11,'[1]Définition Maintenances'!$K:$K,0)),AV11,INDEX('[1]Définition Maintenances'!$G:$G,MATCH($A11,'[1]Définition Maintenances'!$K:$K,0))+AV11),AV11))</f>
        <v>271</v>
      </c>
      <c r="AX11" s="26">
        <f>IF(ISNUMBER(VLOOKUP($D11,'Visu totale'!$D:$DH,AX$1,0)),AW11-VLOOKUP($D11,'Visu totale'!$D:$DH,AX$1,0),IF(LEFT(VLOOKUP($D11,'Visu totale'!$D:$DH,AX$1,0),1)="V",IF(AW11&gt;=INDEX('[1]Définition Maintenances'!$G:$G,MATCH($A11,'[1]Définition Maintenances'!$K:$K,0)),AW11,INDEX('[1]Définition Maintenances'!$G:$G,MATCH($A11,'[1]Définition Maintenances'!$K:$K,0))+AW11),AW11))</f>
        <v>271</v>
      </c>
      <c r="AY11" s="26">
        <f>IF(ISNUMBER(VLOOKUP($D11,'Visu totale'!$D:$DH,AY$1,0)),AX11-VLOOKUP($D11,'Visu totale'!$D:$DH,AY$1,0),IF(LEFT(VLOOKUP($D11,'Visu totale'!$D:$DH,AY$1,0),1)="V",IF(AX11&gt;=INDEX('[1]Définition Maintenances'!$G:$G,MATCH($A11,'[1]Définition Maintenances'!$K:$K,0)),AX11,INDEX('[1]Définition Maintenances'!$G:$G,MATCH($A11,'[1]Définition Maintenances'!$K:$K,0))+AX11),AX11))</f>
        <v>271</v>
      </c>
      <c r="AZ11" s="26">
        <f>IF(ISNUMBER(VLOOKUP($D11,'Visu totale'!$D:$DH,AZ$1,0)),AY11-VLOOKUP($D11,'Visu totale'!$D:$DH,AZ$1,0),IF(LEFT(VLOOKUP($D11,'Visu totale'!$D:$DH,AZ$1,0),1)="V",IF(AY11&gt;=INDEX('[1]Définition Maintenances'!$G:$G,MATCH($A11,'[1]Définition Maintenances'!$K:$K,0)),AY11,INDEX('[1]Définition Maintenances'!$G:$G,MATCH($A11,'[1]Définition Maintenances'!$K:$K,0))+AY11),AY11))</f>
        <v>271</v>
      </c>
      <c r="BA11" s="27">
        <f>IF(ISNUMBER(VLOOKUP($D11,'Visu totale'!$D:$DH,BA$1,0)),AZ11-VLOOKUP($D11,'Visu totale'!$D:$DH,BA$1,0),IF(LEFT(VLOOKUP($D11,'Visu totale'!$D:$DH,BA$1,0),1)="V",IF(AZ11&gt;=INDEX('[1]Définition Maintenances'!$G:$G,MATCH($A11,'[1]Définition Maintenances'!$K:$K,0)),AZ11,INDEX('[1]Définition Maintenances'!$G:$G,MATCH($A11,'[1]Définition Maintenances'!$K:$K,0))+AZ11),AZ11))</f>
        <v>271</v>
      </c>
      <c r="BB11" s="25">
        <f>IF(ISNUMBER(VLOOKUP($D11,'Visu totale'!$D:$DH,BB$1,0)),BA11-VLOOKUP($D11,'Visu totale'!$D:$DH,BB$1,0),IF(LEFT(VLOOKUP($D11,'Visu totale'!$D:$DH,BB$1,0),1)="V",IF(BA11&gt;=INDEX('[1]Définition Maintenances'!$G:$G,MATCH($A11,'[1]Définition Maintenances'!$K:$K,0)),BA11,INDEX('[1]Définition Maintenances'!$G:$G,MATCH($A11,'[1]Définition Maintenances'!$K:$K,0))+BA11),BA11))</f>
        <v>271</v>
      </c>
      <c r="BC11" s="26">
        <f>IF(ISNUMBER(VLOOKUP($D11,'Visu totale'!$D:$DH,BC$1,0)),BB11-VLOOKUP($D11,'Visu totale'!$D:$DH,BC$1,0),IF(LEFT(VLOOKUP($D11,'Visu totale'!$D:$DH,BC$1,0),1)="V",IF(BB11&gt;=INDEX('[1]Définition Maintenances'!$G:$G,MATCH($A11,'[1]Définition Maintenances'!$K:$K,0)),BB11,INDEX('[1]Définition Maintenances'!$G:$G,MATCH($A11,'[1]Définition Maintenances'!$K:$K,0))+BB11),BB11))</f>
        <v>271</v>
      </c>
      <c r="BD11" s="26">
        <f>IF(ISNUMBER(VLOOKUP($D11,'Visu totale'!$D:$DH,BD$1,0)),BC11-VLOOKUP($D11,'Visu totale'!$D:$DH,BD$1,0),IF(LEFT(VLOOKUP($D11,'Visu totale'!$D:$DH,BD$1,0),1)="V",IF(BC11&gt;=INDEX('[1]Définition Maintenances'!$G:$G,MATCH($A11,'[1]Définition Maintenances'!$K:$K,0)),BC11,INDEX('[1]Définition Maintenances'!$G:$G,MATCH($A11,'[1]Définition Maintenances'!$K:$K,0))+BC11),BC11))</f>
        <v>271</v>
      </c>
      <c r="BE11" s="26">
        <f>IF(ISNUMBER(VLOOKUP($D11,'Visu totale'!$D:$DH,BE$1,0)),BD11-VLOOKUP($D11,'Visu totale'!$D:$DH,BE$1,0),IF(LEFT(VLOOKUP($D11,'Visu totale'!$D:$DH,BE$1,0),1)="V",IF(BD11&gt;=INDEX('[1]Définition Maintenances'!$G:$G,MATCH($A11,'[1]Définition Maintenances'!$K:$K,0)),BD11,INDEX('[1]Définition Maintenances'!$G:$G,MATCH($A11,'[1]Définition Maintenances'!$K:$K,0))+BD11),BD11))</f>
        <v>271</v>
      </c>
      <c r="BF11" s="26">
        <f>IF(ISNUMBER(VLOOKUP($D11,'Visu totale'!$D:$DH,BF$1,0)),BE11-VLOOKUP($D11,'Visu totale'!$D:$DH,BF$1,0),IF(LEFT(VLOOKUP($D11,'Visu totale'!$D:$DH,BF$1,0),1)="V",IF(BE11&gt;=INDEX('[1]Définition Maintenances'!$G:$G,MATCH($A11,'[1]Définition Maintenances'!$K:$K,0)),BE11,INDEX('[1]Définition Maintenances'!$G:$G,MATCH($A11,'[1]Définition Maintenances'!$K:$K,0))+BE11),BE11))</f>
        <v>271</v>
      </c>
      <c r="BG11" s="26">
        <f>IF(ISNUMBER(VLOOKUP($D11,'Visu totale'!$D:$DH,BG$1,0)),BF11-VLOOKUP($D11,'Visu totale'!$D:$DH,BG$1,0),IF(LEFT(VLOOKUP($D11,'Visu totale'!$D:$DH,BG$1,0),1)="V",IF(BF11&gt;=INDEX('[1]Définition Maintenances'!$G:$G,MATCH($A11,'[1]Définition Maintenances'!$K:$K,0)),BF11,INDEX('[1]Définition Maintenances'!$G:$G,MATCH($A11,'[1]Définition Maintenances'!$K:$K,0))+BF11),BF11))</f>
        <v>271</v>
      </c>
      <c r="BH11" s="26">
        <f>IF(ISNUMBER(VLOOKUP($D11,'Visu totale'!$D:$DH,BH$1,0)),BG11-VLOOKUP($D11,'Visu totale'!$D:$DH,BH$1,0),IF(LEFT(VLOOKUP($D11,'Visu totale'!$D:$DH,BH$1,0),1)="V",IF(BG11&gt;=INDEX('[1]Définition Maintenances'!$G:$G,MATCH($A11,'[1]Définition Maintenances'!$K:$K,0)),BG11,INDEX('[1]Définition Maintenances'!$G:$G,MATCH($A11,'[1]Définition Maintenances'!$K:$K,0))+BG11),BG11))</f>
        <v>271</v>
      </c>
      <c r="BI11" s="26">
        <f>IF(ISNUMBER(VLOOKUP($D11,'Visu totale'!$D:$DH,BI$1,0)),BH11-VLOOKUP($D11,'Visu totale'!$D:$DH,BI$1,0),IF(LEFT(VLOOKUP($D11,'Visu totale'!$D:$DH,BI$1,0),1)="V",IF(BH11&gt;=INDEX('[1]Définition Maintenances'!$G:$G,MATCH($A11,'[1]Définition Maintenances'!$K:$K,0)),BH11,INDEX('[1]Définition Maintenances'!$G:$G,MATCH($A11,'[1]Définition Maintenances'!$K:$K,0))+BH11),BH11))</f>
        <v>271</v>
      </c>
      <c r="BJ11" s="26">
        <f>IF(ISNUMBER(VLOOKUP($D11,'Visu totale'!$D:$DH,BJ$1,0)),BI11-VLOOKUP($D11,'Visu totale'!$D:$DH,BJ$1,0),IF(LEFT(VLOOKUP($D11,'Visu totale'!$D:$DH,BJ$1,0),1)="V",IF(BI11&gt;=INDEX('[1]Définition Maintenances'!$G:$G,MATCH($A11,'[1]Définition Maintenances'!$K:$K,0)),BI11,INDEX('[1]Définition Maintenances'!$G:$G,MATCH($A11,'[1]Définition Maintenances'!$K:$K,0))+BI11),BI11))</f>
        <v>271</v>
      </c>
      <c r="BK11" s="26">
        <f>IF(ISNUMBER(VLOOKUP($D11,'Visu totale'!$D:$DH,BK$1,0)),BJ11-VLOOKUP($D11,'Visu totale'!$D:$DH,BK$1,0),IF(LEFT(VLOOKUP($D11,'Visu totale'!$D:$DH,BK$1,0),1)="V",IF(BJ11&gt;=INDEX('[1]Définition Maintenances'!$G:$G,MATCH($A11,'[1]Définition Maintenances'!$K:$K,0)),BJ11,INDEX('[1]Définition Maintenances'!$G:$G,MATCH($A11,'[1]Définition Maintenances'!$K:$K,0))+BJ11),BJ11))</f>
        <v>271</v>
      </c>
      <c r="BL11" s="26">
        <f>IF(ISNUMBER(VLOOKUP($D11,'Visu totale'!$D:$DH,BL$1,0)),BK11-VLOOKUP($D11,'Visu totale'!$D:$DH,BL$1,0),IF(LEFT(VLOOKUP($D11,'Visu totale'!$D:$DH,BL$1,0),1)="V",IF(BK11&gt;=INDEX('[1]Définition Maintenances'!$G:$G,MATCH($A11,'[1]Définition Maintenances'!$K:$K,0)),BK11,INDEX('[1]Définition Maintenances'!$G:$G,MATCH($A11,'[1]Définition Maintenances'!$K:$K,0))+BK11),BK11))</f>
        <v>271</v>
      </c>
      <c r="BM11" s="27">
        <f>IF(ISNUMBER(VLOOKUP($D11,'Visu totale'!$D:$DH,BM$1,0)),BL11-VLOOKUP($D11,'Visu totale'!$D:$DH,BM$1,0),IF(LEFT(VLOOKUP($D11,'Visu totale'!$D:$DH,BM$1,0),1)="V",IF(BL11&gt;=INDEX('[1]Définition Maintenances'!$G:$G,MATCH($A11,'[1]Définition Maintenances'!$K:$K,0)),BL11,INDEX('[1]Définition Maintenances'!$G:$G,MATCH($A11,'[1]Définition Maintenances'!$K:$K,0))+BL11),BL11))</f>
        <v>271</v>
      </c>
      <c r="BN11" s="25">
        <f>IF(ISNUMBER(VLOOKUP($D11,'Visu totale'!$D:$DH,BN$1,0)),BM11-VLOOKUP($D11,'Visu totale'!$D:$DH,BN$1,0),IF(LEFT(VLOOKUP($D11,'Visu totale'!$D:$DH,BN$1,0),1)="V",IF(BM11&gt;=INDEX('[1]Définition Maintenances'!$G:$G,MATCH($A11,'[1]Définition Maintenances'!$K:$K,0)),BM11,INDEX('[1]Définition Maintenances'!$G:$G,MATCH($A11,'[1]Définition Maintenances'!$K:$K,0))+BM11),BM11))</f>
        <v>271</v>
      </c>
      <c r="BO11" s="26">
        <f>IF(ISNUMBER(VLOOKUP($D11,'Visu totale'!$D:$DH,BO$1,0)),BN11-VLOOKUP($D11,'Visu totale'!$D:$DH,BO$1,0),IF(LEFT(VLOOKUP($D11,'Visu totale'!$D:$DH,BO$1,0),1)="V",IF(BN11&gt;=INDEX('[1]Définition Maintenances'!$G:$G,MATCH($A11,'[1]Définition Maintenances'!$K:$K,0)),BN11,INDEX('[1]Définition Maintenances'!$G:$G,MATCH($A11,'[1]Définition Maintenances'!$K:$K,0))+BN11),BN11))</f>
        <v>271</v>
      </c>
      <c r="BP11" s="26">
        <f>IF(ISNUMBER(VLOOKUP($D11,'Visu totale'!$D:$DH,BP$1,0)),BO11-VLOOKUP($D11,'Visu totale'!$D:$DH,BP$1,0),IF(LEFT(VLOOKUP($D11,'Visu totale'!$D:$DH,BP$1,0),1)="V",IF(BO11&gt;=INDEX('[1]Définition Maintenances'!$G:$G,MATCH($A11,'[1]Définition Maintenances'!$K:$K,0)),BO11,INDEX('[1]Définition Maintenances'!$G:$G,MATCH($A11,'[1]Définition Maintenances'!$K:$K,0))+BO11),BO11))</f>
        <v>271</v>
      </c>
      <c r="BQ11" s="26">
        <f>IF(ISNUMBER(VLOOKUP($D11,'Visu totale'!$D:$DH,BQ$1,0)),BP11-VLOOKUP($D11,'Visu totale'!$D:$DH,BQ$1,0),IF(LEFT(VLOOKUP($D11,'Visu totale'!$D:$DH,BQ$1,0),1)="V",IF(BP11&gt;=INDEX('[1]Définition Maintenances'!$G:$G,MATCH($A11,'[1]Définition Maintenances'!$K:$K,0)),BP11,INDEX('[1]Définition Maintenances'!$G:$G,MATCH($A11,'[1]Définition Maintenances'!$K:$K,0))+BP11),BP11))</f>
        <v>271</v>
      </c>
      <c r="BR11" s="26">
        <f>IF(ISNUMBER(VLOOKUP($D11,'Visu totale'!$D:$DH,BR$1,0)),BQ11-VLOOKUP($D11,'Visu totale'!$D:$DH,BR$1,0),IF(LEFT(VLOOKUP($D11,'Visu totale'!$D:$DH,BR$1,0),1)="V",IF(BQ11&gt;=INDEX('[1]Définition Maintenances'!$G:$G,MATCH($A11,'[1]Définition Maintenances'!$K:$K,0)),BQ11,INDEX('[1]Définition Maintenances'!$G:$G,MATCH($A11,'[1]Définition Maintenances'!$K:$K,0))+BQ11),BQ11))</f>
        <v>271</v>
      </c>
      <c r="BS11" s="26">
        <f>IF(ISNUMBER(VLOOKUP($D11,'Visu totale'!$D:$DH,BS$1,0)),BR11-VLOOKUP($D11,'Visu totale'!$D:$DH,BS$1,0),IF(LEFT(VLOOKUP($D11,'Visu totale'!$D:$DH,BS$1,0),1)="V",IF(BR11&gt;=INDEX('[1]Définition Maintenances'!$G:$G,MATCH($A11,'[1]Définition Maintenances'!$K:$K,0)),BR11,INDEX('[1]Définition Maintenances'!$G:$G,MATCH($A11,'[1]Définition Maintenances'!$K:$K,0))+BR11),BR11))</f>
        <v>271</v>
      </c>
      <c r="BT11" s="26">
        <f>IF(ISNUMBER(VLOOKUP($D11,'Visu totale'!$D:$DH,BT$1,0)),BS11-VLOOKUP($D11,'Visu totale'!$D:$DH,BT$1,0),IF(LEFT(VLOOKUP($D11,'Visu totale'!$D:$DH,BT$1,0),1)="V",IF(BS11&gt;=INDEX('[1]Définition Maintenances'!$G:$G,MATCH($A11,'[1]Définition Maintenances'!$K:$K,0)),BS11,INDEX('[1]Définition Maintenances'!$G:$G,MATCH($A11,'[1]Définition Maintenances'!$K:$K,0))+BS11),BS11))</f>
        <v>271</v>
      </c>
      <c r="BU11" s="26">
        <f>IF(ISNUMBER(VLOOKUP($D11,'Visu totale'!$D:$DH,BU$1,0)),BT11-VLOOKUP($D11,'Visu totale'!$D:$DH,BU$1,0),IF(LEFT(VLOOKUP($D11,'Visu totale'!$D:$DH,BU$1,0),1)="V",IF(BT11&gt;=INDEX('[1]Définition Maintenances'!$G:$G,MATCH($A11,'[1]Définition Maintenances'!$K:$K,0)),BT11,INDEX('[1]Définition Maintenances'!$G:$G,MATCH($A11,'[1]Définition Maintenances'!$K:$K,0))+BT11),BT11))</f>
        <v>271</v>
      </c>
      <c r="BV11" s="26">
        <f>IF(ISNUMBER(VLOOKUP($D11,'Visu totale'!$D:$DH,BV$1,0)),BU11-VLOOKUP($D11,'Visu totale'!$D:$DH,BV$1,0),IF(LEFT(VLOOKUP($D11,'Visu totale'!$D:$DH,BV$1,0),1)="V",IF(BU11&gt;=INDEX('[1]Définition Maintenances'!$G:$G,MATCH($A11,'[1]Définition Maintenances'!$K:$K,0)),BU11,INDEX('[1]Définition Maintenances'!$G:$G,MATCH($A11,'[1]Définition Maintenances'!$K:$K,0))+BU11),BU11))</f>
        <v>271</v>
      </c>
      <c r="BW11" s="26">
        <f>IF(ISNUMBER(VLOOKUP($D11,'Visu totale'!$D:$DH,BW$1,0)),BV11-VLOOKUP($D11,'Visu totale'!$D:$DH,BW$1,0),IF(LEFT(VLOOKUP($D11,'Visu totale'!$D:$DH,BW$1,0),1)="V",IF(BV11&gt;=INDEX('[1]Définition Maintenances'!$G:$G,MATCH($A11,'[1]Définition Maintenances'!$K:$K,0)),BV11,INDEX('[1]Définition Maintenances'!$G:$G,MATCH($A11,'[1]Définition Maintenances'!$K:$K,0))+BV11),BV11))</f>
        <v>271</v>
      </c>
      <c r="BX11" s="26">
        <f>IF(ISNUMBER(VLOOKUP($D11,'Visu totale'!$D:$DH,BX$1,0)),BW11-VLOOKUP($D11,'Visu totale'!$D:$DH,BX$1,0),IF(LEFT(VLOOKUP($D11,'Visu totale'!$D:$DH,BX$1,0),1)="V",IF(BW11&gt;=INDEX('[1]Définition Maintenances'!$G:$G,MATCH($A11,'[1]Définition Maintenances'!$K:$K,0)),BW11,INDEX('[1]Définition Maintenances'!$G:$G,MATCH($A11,'[1]Définition Maintenances'!$K:$K,0))+BW11),BW11))</f>
        <v>271</v>
      </c>
      <c r="BY11" s="27">
        <f>IF(ISNUMBER(VLOOKUP($D11,'Visu totale'!$D:$DH,BY$1,0)),BX11-VLOOKUP($D11,'Visu totale'!$D:$DH,BY$1,0),IF(LEFT(VLOOKUP($D11,'Visu totale'!$D:$DH,BY$1,0),1)="V",IF(BX11&gt;=INDEX('[1]Définition Maintenances'!$G:$G,MATCH($A11,'[1]Définition Maintenances'!$K:$K,0)),BX11,INDEX('[1]Définition Maintenances'!$G:$G,MATCH($A11,'[1]Définition Maintenances'!$K:$K,0))+BX11),BX11))</f>
        <v>271</v>
      </c>
      <c r="BZ11" s="25">
        <f>IF(ISNUMBER(VLOOKUP($D11,'Visu totale'!$D:$DH,BZ$1,0)),BY11-VLOOKUP($D11,'Visu totale'!$D:$DH,BZ$1,0),IF(LEFT(VLOOKUP($D11,'Visu totale'!$D:$DH,BZ$1,0),1)="V",IF(BY11&gt;=INDEX('[1]Définition Maintenances'!$G:$G,MATCH($A11,'[1]Définition Maintenances'!$K:$K,0)),BY11,INDEX('[1]Définition Maintenances'!$G:$G,MATCH($A11,'[1]Définition Maintenances'!$K:$K,0))+BY11),BY11))</f>
        <v>271</v>
      </c>
      <c r="CA11" s="26">
        <f>IF(ISNUMBER(VLOOKUP($D11,'Visu totale'!$D:$DH,CA$1,0)),BZ11-VLOOKUP($D11,'Visu totale'!$D:$DH,CA$1,0),IF(LEFT(VLOOKUP($D11,'Visu totale'!$D:$DH,CA$1,0),1)="V",IF(BZ11&gt;=INDEX('[1]Définition Maintenances'!$G:$G,MATCH($A11,'[1]Définition Maintenances'!$K:$K,0)),BZ11,INDEX('[1]Définition Maintenances'!$G:$G,MATCH($A11,'[1]Définition Maintenances'!$K:$K,0))+BZ11),BZ11))</f>
        <v>271</v>
      </c>
      <c r="CB11" s="26">
        <f>IF(ISNUMBER(VLOOKUP($D11,'Visu totale'!$D:$DH,CB$1,0)),CA11-VLOOKUP($D11,'Visu totale'!$D:$DH,CB$1,0),IF(LEFT(VLOOKUP($D11,'Visu totale'!$D:$DH,CB$1,0),1)="V",IF(CA11&gt;=INDEX('[1]Définition Maintenances'!$G:$G,MATCH($A11,'[1]Définition Maintenances'!$K:$K,0)),CA11,INDEX('[1]Définition Maintenances'!$G:$G,MATCH($A11,'[1]Définition Maintenances'!$K:$K,0))+CA11),CA11))</f>
        <v>271</v>
      </c>
      <c r="CC11" s="26">
        <f>IF(ISNUMBER(VLOOKUP($D11,'Visu totale'!$D:$DH,CC$1,0)),CB11-VLOOKUP($D11,'Visu totale'!$D:$DH,CC$1,0),IF(LEFT(VLOOKUP($D11,'Visu totale'!$D:$DH,CC$1,0),1)="V",IF(CB11&gt;=INDEX('[1]Définition Maintenances'!$G:$G,MATCH($A11,'[1]Définition Maintenances'!$K:$K,0)),CB11,INDEX('[1]Définition Maintenances'!$G:$G,MATCH($A11,'[1]Définition Maintenances'!$K:$K,0))+CB11),CB11))</f>
        <v>271</v>
      </c>
      <c r="CD11" s="26">
        <f>IF(ISNUMBER(VLOOKUP($D11,'Visu totale'!$D:$DH,CD$1,0)),CC11-VLOOKUP($D11,'Visu totale'!$D:$DH,CD$1,0),IF(LEFT(VLOOKUP($D11,'Visu totale'!$D:$DH,CD$1,0),1)="V",IF(CC11&gt;=INDEX('[1]Définition Maintenances'!$G:$G,MATCH($A11,'[1]Définition Maintenances'!$K:$K,0)),CC11,INDEX('[1]Définition Maintenances'!$G:$G,MATCH($A11,'[1]Définition Maintenances'!$K:$K,0))+CC11),CC11))</f>
        <v>271</v>
      </c>
      <c r="CE11" s="26">
        <f>IF(ISNUMBER(VLOOKUP($D11,'Visu totale'!$D:$DH,CE$1,0)),CD11-VLOOKUP($D11,'Visu totale'!$D:$DH,CE$1,0),IF(LEFT(VLOOKUP($D11,'Visu totale'!$D:$DH,CE$1,0),1)="V",IF(CD11&gt;=INDEX('[1]Définition Maintenances'!$G:$G,MATCH($A11,'[1]Définition Maintenances'!$K:$K,0)),CD11,INDEX('[1]Définition Maintenances'!$G:$G,MATCH($A11,'[1]Définition Maintenances'!$K:$K,0))+CD11),CD11))</f>
        <v>271</v>
      </c>
      <c r="CF11" s="26">
        <f>IF(ISNUMBER(VLOOKUP($D11,'Visu totale'!$D:$DH,CF$1,0)),CE11-VLOOKUP($D11,'Visu totale'!$D:$DH,CF$1,0),IF(LEFT(VLOOKUP($D11,'Visu totale'!$D:$DH,CF$1,0),1)="V",IF(CE11&gt;=INDEX('[1]Définition Maintenances'!$G:$G,MATCH($A11,'[1]Définition Maintenances'!$K:$K,0)),CE11,INDEX('[1]Définition Maintenances'!$G:$G,MATCH($A11,'[1]Définition Maintenances'!$K:$K,0))+CE11),CE11))</f>
        <v>271</v>
      </c>
      <c r="CG11" s="26">
        <f>IF(ISNUMBER(VLOOKUP($D11,'Visu totale'!$D:$DH,CG$1,0)),CF11-VLOOKUP($D11,'Visu totale'!$D:$DH,CG$1,0),IF(LEFT(VLOOKUP($D11,'Visu totale'!$D:$DH,CG$1,0),1)="V",IF(CF11&gt;=INDEX('[1]Définition Maintenances'!$G:$G,MATCH($A11,'[1]Définition Maintenances'!$K:$K,0)),CF11,INDEX('[1]Définition Maintenances'!$G:$G,MATCH($A11,'[1]Définition Maintenances'!$K:$K,0))+CF11),CF11))</f>
        <v>271</v>
      </c>
      <c r="CH11" s="26">
        <f>IF(ISNUMBER(VLOOKUP($D11,'Visu totale'!$D:$DH,CH$1,0)),CG11-VLOOKUP($D11,'Visu totale'!$D:$DH,CH$1,0),IF(LEFT(VLOOKUP($D11,'Visu totale'!$D:$DH,CH$1,0),1)="V",IF(CG11&gt;=INDEX('[1]Définition Maintenances'!$G:$G,MATCH($A11,'[1]Définition Maintenances'!$K:$K,0)),CG11,INDEX('[1]Définition Maintenances'!$G:$G,MATCH($A11,'[1]Définition Maintenances'!$K:$K,0))+CG11),CG11))</f>
        <v>271</v>
      </c>
      <c r="CI11" s="26">
        <f>IF(ISNUMBER(VLOOKUP($D11,'Visu totale'!$D:$DH,CI$1,0)),CH11-VLOOKUP($D11,'Visu totale'!$D:$DH,CI$1,0),IF(LEFT(VLOOKUP($D11,'Visu totale'!$D:$DH,CI$1,0),1)="V",IF(CH11&gt;=INDEX('[1]Définition Maintenances'!$G:$G,MATCH($A11,'[1]Définition Maintenances'!$K:$K,0)),CH11,INDEX('[1]Définition Maintenances'!$G:$G,MATCH($A11,'[1]Définition Maintenances'!$K:$K,0))+CH11),CH11))</f>
        <v>271</v>
      </c>
      <c r="CJ11" s="26">
        <f>IF(ISNUMBER(VLOOKUP($D11,'Visu totale'!$D:$DH,CJ$1,0)),CI11-VLOOKUP($D11,'Visu totale'!$D:$DH,CJ$1,0),IF(LEFT(VLOOKUP($D11,'Visu totale'!$D:$DH,CJ$1,0),1)="V",IF(CI11&gt;=INDEX('[1]Définition Maintenances'!$G:$G,MATCH($A11,'[1]Définition Maintenances'!$K:$K,0)),CI11,INDEX('[1]Définition Maintenances'!$G:$G,MATCH($A11,'[1]Définition Maintenances'!$K:$K,0))+CI11),CI11))</f>
        <v>271</v>
      </c>
      <c r="CK11" s="27">
        <f>IF(ISNUMBER(VLOOKUP($D11,'Visu totale'!$D:$DH,CK$1,0)),CJ11-VLOOKUP($D11,'Visu totale'!$D:$DH,CK$1,0),IF(LEFT(VLOOKUP($D11,'Visu totale'!$D:$DH,CK$1,0),1)="V",IF(CJ11&gt;=INDEX('[1]Définition Maintenances'!$G:$G,MATCH($A11,'[1]Définition Maintenances'!$K:$K,0)),CJ11,INDEX('[1]Définition Maintenances'!$G:$G,MATCH($A11,'[1]Définition Maintenances'!$K:$K,0))+CJ11),CJ11))</f>
        <v>271</v>
      </c>
      <c r="CL11" s="25">
        <f>IF(ISNUMBER(VLOOKUP($D11,'Visu totale'!$D:$DH,CL$1,0)),CK11-VLOOKUP($D11,'Visu totale'!$D:$DH,CL$1,0),IF(LEFT(VLOOKUP($D11,'Visu totale'!$D:$DH,CL$1,0),1)="V",IF(CK11&gt;=INDEX('[1]Définition Maintenances'!$G:$G,MATCH($A11,'[1]Définition Maintenances'!$K:$K,0)),CK11,INDEX('[1]Définition Maintenances'!$G:$G,MATCH($A11,'[1]Définition Maintenances'!$K:$K,0))+CK11),CK11))</f>
        <v>271</v>
      </c>
      <c r="CM11" s="26">
        <f>IF(ISNUMBER(VLOOKUP($D11,'Visu totale'!$D:$DH,CM$1,0)),CL11-VLOOKUP($D11,'Visu totale'!$D:$DH,CM$1,0),IF(LEFT(VLOOKUP($D11,'Visu totale'!$D:$DH,CM$1,0),1)="V",IF(CL11&gt;=INDEX('[1]Définition Maintenances'!$G:$G,MATCH($A11,'[1]Définition Maintenances'!$K:$K,0)),CL11,INDEX('[1]Définition Maintenances'!$G:$G,MATCH($A11,'[1]Définition Maintenances'!$K:$K,0))+CL11),CL11))</f>
        <v>271</v>
      </c>
      <c r="CN11" s="26">
        <f>IF(ISNUMBER(VLOOKUP($D11,'Visu totale'!$D:$DH,CN$1,0)),CM11-VLOOKUP($D11,'Visu totale'!$D:$DH,CN$1,0),IF(LEFT(VLOOKUP($D11,'Visu totale'!$D:$DH,CN$1,0),1)="V",IF(CM11&gt;=INDEX('[1]Définition Maintenances'!$G:$G,MATCH($A11,'[1]Définition Maintenances'!$K:$K,0)),CM11,INDEX('[1]Définition Maintenances'!$G:$G,MATCH($A11,'[1]Définition Maintenances'!$K:$K,0))+CM11),CM11))</f>
        <v>271</v>
      </c>
      <c r="CO11" s="26">
        <f>IF(ISNUMBER(VLOOKUP($D11,'Visu totale'!$D:$DH,CO$1,0)),CN11-VLOOKUP($D11,'Visu totale'!$D:$DH,CO$1,0),IF(LEFT(VLOOKUP($D11,'Visu totale'!$D:$DH,CO$1,0),1)="V",IF(CN11&gt;=INDEX('[1]Définition Maintenances'!$G:$G,MATCH($A11,'[1]Définition Maintenances'!$K:$K,0)),CN11,INDEX('[1]Définition Maintenances'!$G:$G,MATCH($A11,'[1]Définition Maintenances'!$K:$K,0))+CN11),CN11))</f>
        <v>271</v>
      </c>
      <c r="CP11" s="26">
        <f>IF(ISNUMBER(VLOOKUP($D11,'Visu totale'!$D:$DH,CP$1,0)),CO11-VLOOKUP($D11,'Visu totale'!$D:$DH,CP$1,0),IF(LEFT(VLOOKUP($D11,'Visu totale'!$D:$DH,CP$1,0),1)="V",IF(CO11&gt;=INDEX('[1]Définition Maintenances'!$G:$G,MATCH($A11,'[1]Définition Maintenances'!$K:$K,0)),CO11,INDEX('[1]Définition Maintenances'!$G:$G,MATCH($A11,'[1]Définition Maintenances'!$K:$K,0))+CO11),CO11))</f>
        <v>271</v>
      </c>
      <c r="CQ11" s="26">
        <f>IF(ISNUMBER(VLOOKUP($D11,'Visu totale'!$D:$DH,CQ$1,0)),CP11-VLOOKUP($D11,'Visu totale'!$D:$DH,CQ$1,0),IF(LEFT(VLOOKUP($D11,'Visu totale'!$D:$DH,CQ$1,0),1)="V",IF(CP11&gt;=INDEX('[1]Définition Maintenances'!$G:$G,MATCH($A11,'[1]Définition Maintenances'!$K:$K,0)),CP11,INDEX('[1]Définition Maintenances'!$G:$G,MATCH($A11,'[1]Définition Maintenances'!$K:$K,0))+CP11),CP11))</f>
        <v>271</v>
      </c>
      <c r="CR11" s="26">
        <f>IF(ISNUMBER(VLOOKUP($D11,'Visu totale'!$D:$DH,CR$1,0)),CQ11-VLOOKUP($D11,'Visu totale'!$D:$DH,CR$1,0),IF(LEFT(VLOOKUP($D11,'Visu totale'!$D:$DH,CR$1,0),1)="V",IF(CQ11&gt;=INDEX('[1]Définition Maintenances'!$G:$G,MATCH($A11,'[1]Définition Maintenances'!$K:$K,0)),CQ11,INDEX('[1]Définition Maintenances'!$G:$G,MATCH($A11,'[1]Définition Maintenances'!$K:$K,0))+CQ11),CQ11))</f>
        <v>271</v>
      </c>
      <c r="CS11" s="26">
        <f>IF(ISNUMBER(VLOOKUP($D11,'Visu totale'!$D:$DH,CS$1,0)),CR11-VLOOKUP($D11,'Visu totale'!$D:$DH,CS$1,0),IF(LEFT(VLOOKUP($D11,'Visu totale'!$D:$DH,CS$1,0),1)="V",IF(CR11&gt;=INDEX('[1]Définition Maintenances'!$G:$G,MATCH($A11,'[1]Définition Maintenances'!$K:$K,0)),CR11,INDEX('[1]Définition Maintenances'!$G:$G,MATCH($A11,'[1]Définition Maintenances'!$K:$K,0))+CR11),CR11))</f>
        <v>271</v>
      </c>
      <c r="CT11" s="26">
        <f>IF(ISNUMBER(VLOOKUP($D11,'Visu totale'!$D:$DH,CT$1,0)),CS11-VLOOKUP($D11,'Visu totale'!$D:$DH,CT$1,0),IF(LEFT(VLOOKUP($D11,'Visu totale'!$D:$DH,CT$1,0),1)="V",IF(CS11&gt;=INDEX('[1]Définition Maintenances'!$G:$G,MATCH($A11,'[1]Définition Maintenances'!$K:$K,0)),CS11,INDEX('[1]Définition Maintenances'!$G:$G,MATCH($A11,'[1]Définition Maintenances'!$K:$K,0))+CS11),CS11))</f>
        <v>271</v>
      </c>
      <c r="CU11" s="26">
        <f>IF(ISNUMBER(VLOOKUP($D11,'Visu totale'!$D:$DH,CU$1,0)),CT11-VLOOKUP($D11,'Visu totale'!$D:$DH,CU$1,0),IF(LEFT(VLOOKUP($D11,'Visu totale'!$D:$DH,CU$1,0),1)="V",IF(CT11&gt;=INDEX('[1]Définition Maintenances'!$G:$G,MATCH($A11,'[1]Définition Maintenances'!$K:$K,0)),CT11,INDEX('[1]Définition Maintenances'!$G:$G,MATCH($A11,'[1]Définition Maintenances'!$K:$K,0))+CT11),CT11))</f>
        <v>271</v>
      </c>
      <c r="CV11" s="26">
        <f>IF(ISNUMBER(VLOOKUP($D11,'Visu totale'!$D:$DH,CV$1,0)),CU11-VLOOKUP($D11,'Visu totale'!$D:$DH,CV$1,0),IF(LEFT(VLOOKUP($D11,'Visu totale'!$D:$DH,CV$1,0),1)="V",IF(CU11&gt;=INDEX('[1]Définition Maintenances'!$G:$G,MATCH($A11,'[1]Définition Maintenances'!$K:$K,0)),CU11,INDEX('[1]Définition Maintenances'!$G:$G,MATCH($A11,'[1]Définition Maintenances'!$K:$K,0))+CU11),CU11))</f>
        <v>271</v>
      </c>
      <c r="CW11" s="27">
        <f>IF(ISNUMBER(VLOOKUP($D11,'Visu totale'!$D:$DH,CW$1,0)),CV11-VLOOKUP($D11,'Visu totale'!$D:$DH,CW$1,0),IF(LEFT(VLOOKUP($D11,'Visu totale'!$D:$DH,CW$1,0),1)="V",IF(CV11&gt;=INDEX('[1]Définition Maintenances'!$G:$G,MATCH($A11,'[1]Définition Maintenances'!$K:$K,0)),CV11,INDEX('[1]Définition Maintenances'!$G:$G,MATCH($A11,'[1]Définition Maintenances'!$K:$K,0))+CV11),CV11))</f>
        <v>271</v>
      </c>
      <c r="CX11" s="25">
        <f>IF(ISNUMBER(VLOOKUP($D11,'Visu totale'!$D:$DH,CX$1,0)),CW11-VLOOKUP($D11,'Visu totale'!$D:$DH,CX$1,0),IF(LEFT(VLOOKUP($D11,'Visu totale'!$D:$DH,CX$1,0),1)="V",IF(CW11&gt;=INDEX('[1]Définition Maintenances'!$G:$G,MATCH($A11,'[1]Définition Maintenances'!$K:$K,0)),CW11,INDEX('[1]Définition Maintenances'!$G:$G,MATCH($A11,'[1]Définition Maintenances'!$K:$K,0))+CW11),CW11))</f>
        <v>271</v>
      </c>
      <c r="CY11" s="26">
        <f>IF(ISNUMBER(VLOOKUP($D11,'Visu totale'!$D:$DH,CY$1,0)),CX11-VLOOKUP($D11,'Visu totale'!$D:$DH,CY$1,0),IF(LEFT(VLOOKUP($D11,'Visu totale'!$D:$DH,CY$1,0),1)="V",IF(CX11&gt;=INDEX('[1]Définition Maintenances'!$G:$G,MATCH($A11,'[1]Définition Maintenances'!$K:$K,0)),CX11,INDEX('[1]Définition Maintenances'!$G:$G,MATCH($A11,'[1]Définition Maintenances'!$K:$K,0))+CX11),CX11))</f>
        <v>271</v>
      </c>
      <c r="CZ11" s="26">
        <f>IF(ISNUMBER(VLOOKUP($D11,'Visu totale'!$D:$DH,CZ$1,0)),CY11-VLOOKUP($D11,'Visu totale'!$D:$DH,CZ$1,0),IF(LEFT(VLOOKUP($D11,'Visu totale'!$D:$DH,CZ$1,0),1)="V",IF(CY11&gt;=INDEX('[1]Définition Maintenances'!$G:$G,MATCH($A11,'[1]Définition Maintenances'!$K:$K,0)),CY11,INDEX('[1]Définition Maintenances'!$G:$G,MATCH($A11,'[1]Définition Maintenances'!$K:$K,0))+CY11),CY11))</f>
        <v>271</v>
      </c>
      <c r="DA11" s="26">
        <f>IF(ISNUMBER(VLOOKUP($D11,'Visu totale'!$D:$DH,DA$1,0)),CZ11-VLOOKUP($D11,'Visu totale'!$D:$DH,DA$1,0),IF(LEFT(VLOOKUP($D11,'Visu totale'!$D:$DH,DA$1,0),1)="V",IF(CZ11&gt;=INDEX('[1]Définition Maintenances'!$G:$G,MATCH($A11,'[1]Définition Maintenances'!$K:$K,0)),CZ11,INDEX('[1]Définition Maintenances'!$G:$G,MATCH($A11,'[1]Définition Maintenances'!$K:$K,0))+CZ11),CZ11))</f>
        <v>271</v>
      </c>
      <c r="DB11" s="26">
        <f>IF(ISNUMBER(VLOOKUP($D11,'Visu totale'!$D:$DH,DB$1,0)),DA11-VLOOKUP($D11,'Visu totale'!$D:$DH,DB$1,0),IF(LEFT(VLOOKUP($D11,'Visu totale'!$D:$DH,DB$1,0),1)="V",IF(DA11&gt;=INDEX('[1]Définition Maintenances'!$G:$G,MATCH($A11,'[1]Définition Maintenances'!$K:$K,0)),DA11,INDEX('[1]Définition Maintenances'!$G:$G,MATCH($A11,'[1]Définition Maintenances'!$K:$K,0))+DA11),DA11))</f>
        <v>271</v>
      </c>
      <c r="DC11" s="26">
        <f>IF(ISNUMBER(VLOOKUP($D11,'Visu totale'!$D:$DH,DC$1,0)),DB11-VLOOKUP($D11,'Visu totale'!$D:$DH,DC$1,0),IF(LEFT(VLOOKUP($D11,'Visu totale'!$D:$DH,DC$1,0),1)="V",IF(DB11&gt;=INDEX('[1]Définition Maintenances'!$G:$G,MATCH($A11,'[1]Définition Maintenances'!$K:$K,0)),DB11,INDEX('[1]Définition Maintenances'!$G:$G,MATCH($A11,'[1]Définition Maintenances'!$K:$K,0))+DB11),DB11))</f>
        <v>271</v>
      </c>
      <c r="DD11" s="26">
        <f>IF(ISNUMBER(VLOOKUP($D11,'Visu totale'!$D:$DH,DD$1,0)),DC11-VLOOKUP($D11,'Visu totale'!$D:$DH,DD$1,0),IF(LEFT(VLOOKUP($D11,'Visu totale'!$D:$DH,DD$1,0),1)="V",IF(DC11&gt;=INDEX('[1]Définition Maintenances'!$G:$G,MATCH($A11,'[1]Définition Maintenances'!$K:$K,0)),DC11,INDEX('[1]Définition Maintenances'!$G:$G,MATCH($A11,'[1]Définition Maintenances'!$K:$K,0))+DC11),DC11))</f>
        <v>271</v>
      </c>
      <c r="DE11" s="26">
        <f>IF(ISNUMBER(VLOOKUP($D11,'Visu totale'!$D:$DH,DE$1,0)),DD11-VLOOKUP($D11,'Visu totale'!$D:$DH,DE$1,0),IF(LEFT(VLOOKUP($D11,'Visu totale'!$D:$DH,DE$1,0),1)="V",IF(DD11&gt;=INDEX('[1]Définition Maintenances'!$G:$G,MATCH($A11,'[1]Définition Maintenances'!$K:$K,0)),DD11,INDEX('[1]Définition Maintenances'!$G:$G,MATCH($A11,'[1]Définition Maintenances'!$K:$K,0))+DD11),DD11))</f>
        <v>271</v>
      </c>
      <c r="DF11" s="26">
        <f>IF(ISNUMBER(VLOOKUP($D11,'Visu totale'!$D:$DH,DF$1,0)),DE11-VLOOKUP($D11,'Visu totale'!$D:$DH,DF$1,0),IF(LEFT(VLOOKUP($D11,'Visu totale'!$D:$DH,DF$1,0),1)="V",IF(DE11&gt;=INDEX('[1]Définition Maintenances'!$G:$G,MATCH($A11,'[1]Définition Maintenances'!$K:$K,0)),DE11,INDEX('[1]Définition Maintenances'!$G:$G,MATCH($A11,'[1]Définition Maintenances'!$K:$K,0))+DE11),DE11))</f>
        <v>271</v>
      </c>
      <c r="DG11" s="26">
        <f>IF(ISNUMBER(VLOOKUP($D11,'Visu totale'!$D:$DH,DG$1,0)),DF11-VLOOKUP($D11,'Visu totale'!$D:$DH,DG$1,0),IF(LEFT(VLOOKUP($D11,'Visu totale'!$D:$DH,DG$1,0),1)="V",IF(DF11&gt;=INDEX('[1]Définition Maintenances'!$G:$G,MATCH($A11,'[1]Définition Maintenances'!$K:$K,0)),DF11,INDEX('[1]Définition Maintenances'!$G:$G,MATCH($A11,'[1]Définition Maintenances'!$K:$K,0))+DF11),DF11))</f>
        <v>271</v>
      </c>
      <c r="DH11" s="26">
        <f>IF(ISNUMBER(VLOOKUP($D11,'Visu totale'!$D:$DH,DH$1,0)),DG11-VLOOKUP($D11,'Visu totale'!$D:$DH,DH$1,0),IF(LEFT(VLOOKUP($D11,'Visu totale'!$D:$DH,DH$1,0),1)="V",IF(DG11&gt;=INDEX('[1]Définition Maintenances'!$G:$G,MATCH($A11,'[1]Définition Maintenances'!$K:$K,0)),DG11,INDEX('[1]Définition Maintenances'!$G:$G,MATCH($A11,'[1]Définition Maintenances'!$K:$K,0))+DG11),DG11))</f>
        <v>271</v>
      </c>
      <c r="DI11" s="27">
        <f>IF(ISNUMBER(VLOOKUP($D11,'Visu totale'!$D:$DH,DI$1,0)),DH11-VLOOKUP($D11,'Visu totale'!$D:$DH,DI$1,0),IF(LEFT(VLOOKUP($D11,'Visu totale'!$D:$DH,DI$1,0),1)="V",IF(DH11&gt;=INDEX('[1]Définition Maintenances'!$G:$G,MATCH($A11,'[1]Définition Maintenances'!$K:$K,0)),DH11,INDEX('[1]Définition Maintenances'!$G:$G,MATCH($A11,'[1]Définition Maintenances'!$K:$K,0))+DH11),DH11))</f>
        <v>271</v>
      </c>
    </row>
    <row r="12" spans="1:113" x14ac:dyDescent="0.25">
      <c r="A12" s="13" t="str">
        <f t="shared" si="0"/>
        <v>V10D</v>
      </c>
      <c r="B12" s="13" t="str">
        <f>VLOOKUP(D12,'[1]Avions (Potentiels)'!$B$2:$H$128,7,FALSE)</f>
        <v>V10</v>
      </c>
      <c r="C12" s="13"/>
      <c r="D12" s="16" t="s">
        <v>15</v>
      </c>
      <c r="E12" s="13">
        <f>IFERROR(VALUE(SUBSTITUTE(VLOOKUP(D12,'[1]Avions (Potentiels)'!$B:$E,4,0),".",",")),VALUE(VLOOKUP(D12,'[1]Avions (Potentiels)'!$B:$E,4,0)))</f>
        <v>231</v>
      </c>
      <c r="F12" s="25">
        <f>IF(ISNUMBER(VLOOKUP($D12,'Visu totale'!$D:$DH,F$1,0)),E12-VLOOKUP($D12,'Visu totale'!$D:$DH,F$1,0),IF(LEFT(VLOOKUP($D12,'Visu totale'!$D:$DH,F$1,0),1)="V",IF(E12&gt;=INDEX('[1]Définition Maintenances'!$G:$G,MATCH($A12,'[1]Définition Maintenances'!$K:$K,0)),E12,INDEX('[1]Définition Maintenances'!$G:$G,MATCH($A12,'[1]Définition Maintenances'!$K:$K,0))+E12),E12))</f>
        <v>231</v>
      </c>
      <c r="G12" s="26">
        <f>IF(ISNUMBER(VLOOKUP($D12,'Visu totale'!$D:$DH,G$1,0)),F12-VLOOKUP($D12,'Visu totale'!$D:$DH,G$1,0),IF(LEFT(VLOOKUP($D12,'Visu totale'!$D:$DH,G$1,0),1)="V",IF(F12&gt;=INDEX('[1]Définition Maintenances'!$G:$G,MATCH($A12,'[1]Définition Maintenances'!$K:$K,0)),F12,INDEX('[1]Définition Maintenances'!$G:$G,MATCH($A12,'[1]Définition Maintenances'!$K:$K,0))+F12),F12))</f>
        <v>231</v>
      </c>
      <c r="H12" s="26">
        <f>IF(ISNUMBER(VLOOKUP($D12,'Visu totale'!$D:$DH,H$1,0)),G12-VLOOKUP($D12,'Visu totale'!$D:$DH,H$1,0),IF(LEFT(VLOOKUP($D12,'Visu totale'!$D:$DH,H$1,0),1)="V",IF(G12&gt;=INDEX('[1]Définition Maintenances'!$G:$G,MATCH($A12,'[1]Définition Maintenances'!$K:$K,0)),G12,INDEX('[1]Définition Maintenances'!$G:$G,MATCH($A12,'[1]Définition Maintenances'!$K:$K,0))+G12),G12))</f>
        <v>231</v>
      </c>
      <c r="I12" s="26">
        <f>IF(ISNUMBER(VLOOKUP($D12,'Visu totale'!$D:$DH,I$1,0)),H12-VLOOKUP($D12,'Visu totale'!$D:$DH,I$1,0),IF(LEFT(VLOOKUP($D12,'Visu totale'!$D:$DH,I$1,0),1)="V",IF(H12&gt;=INDEX('[1]Définition Maintenances'!$G:$G,MATCH($A12,'[1]Définition Maintenances'!$K:$K,0)),H12,INDEX('[1]Définition Maintenances'!$G:$G,MATCH($A12,'[1]Définition Maintenances'!$K:$K,0))+H12),H12))</f>
        <v>231</v>
      </c>
      <c r="J12" s="26">
        <f>IF(ISNUMBER(VLOOKUP($D12,'Visu totale'!$D:$DH,J$1,0)),I12-VLOOKUP($D12,'Visu totale'!$D:$DH,J$1,0),IF(LEFT(VLOOKUP($D12,'Visu totale'!$D:$DH,J$1,0),1)="V",IF(I12&gt;=INDEX('[1]Définition Maintenances'!$G:$G,MATCH($A12,'[1]Définition Maintenances'!$K:$K,0)),I12,INDEX('[1]Définition Maintenances'!$G:$G,MATCH($A12,'[1]Définition Maintenances'!$K:$K,0))+I12),I12))</f>
        <v>231</v>
      </c>
      <c r="K12" s="26">
        <f>IF(ISNUMBER(VLOOKUP($D12,'Visu totale'!$D:$DH,K$1,0)),J12-VLOOKUP($D12,'Visu totale'!$D:$DH,K$1,0),IF(LEFT(VLOOKUP($D12,'Visu totale'!$D:$DH,K$1,0),1)="V",IF(J12&gt;=INDEX('[1]Définition Maintenances'!$G:$G,MATCH($A12,'[1]Définition Maintenances'!$K:$K,0)),J12,INDEX('[1]Définition Maintenances'!$G:$G,MATCH($A12,'[1]Définition Maintenances'!$K:$K,0))+J12),J12))</f>
        <v>231</v>
      </c>
      <c r="L12" s="26">
        <f>IF(ISNUMBER(VLOOKUP($D12,'Visu totale'!$D:$DH,L$1,0)),K12-VLOOKUP($D12,'Visu totale'!$D:$DH,L$1,0),IF(LEFT(VLOOKUP($D12,'Visu totale'!$D:$DH,L$1,0),1)="V",IF(K12&gt;=INDEX('[1]Définition Maintenances'!$G:$G,MATCH($A12,'[1]Définition Maintenances'!$K:$K,0)),K12,INDEX('[1]Définition Maintenances'!$G:$G,MATCH($A12,'[1]Définition Maintenances'!$K:$K,0))+K12),K12))</f>
        <v>231</v>
      </c>
      <c r="M12" s="26">
        <f>IF(ISNUMBER(VLOOKUP($D12,'Visu totale'!$D:$DH,M$1,0)),L12-VLOOKUP($D12,'Visu totale'!$D:$DH,M$1,0),IF(LEFT(VLOOKUP($D12,'Visu totale'!$D:$DH,M$1,0),1)="V",IF(L12&gt;=INDEX('[1]Définition Maintenances'!$G:$G,MATCH($A12,'[1]Définition Maintenances'!$K:$K,0)),L12,INDEX('[1]Définition Maintenances'!$G:$G,MATCH($A12,'[1]Définition Maintenances'!$K:$K,0))+L12),L12))</f>
        <v>231</v>
      </c>
      <c r="N12" s="26">
        <f>IF(ISNUMBER(VLOOKUP($D12,'Visu totale'!$D:$DH,N$1,0)),M12-VLOOKUP($D12,'Visu totale'!$D:$DH,N$1,0),IF(LEFT(VLOOKUP($D12,'Visu totale'!$D:$DH,N$1,0),1)="V",IF(M12&gt;=INDEX('[1]Définition Maintenances'!$G:$G,MATCH($A12,'[1]Définition Maintenances'!$K:$K,0)),M12,INDEX('[1]Définition Maintenances'!$G:$G,MATCH($A12,'[1]Définition Maintenances'!$K:$K,0))+M12),M12))</f>
        <v>231</v>
      </c>
      <c r="O12" s="26">
        <f>IF(ISNUMBER(VLOOKUP($D12,'Visu totale'!$D:$DH,O$1,0)),N12-VLOOKUP($D12,'Visu totale'!$D:$DH,O$1,0),IF(LEFT(VLOOKUP($D12,'Visu totale'!$D:$DH,O$1,0),1)="V",IF(N12&gt;=INDEX('[1]Définition Maintenances'!$G:$G,MATCH($A12,'[1]Définition Maintenances'!$K:$K,0)),N12,INDEX('[1]Définition Maintenances'!$G:$G,MATCH($A12,'[1]Définition Maintenances'!$K:$K,0))+N12),N12))</f>
        <v>231</v>
      </c>
      <c r="P12" s="26">
        <f>IF(ISNUMBER(VLOOKUP($D12,'Visu totale'!$D:$DH,P$1,0)),O12-VLOOKUP($D12,'Visu totale'!$D:$DH,P$1,0),IF(LEFT(VLOOKUP($D12,'Visu totale'!$D:$DH,P$1,0),1)="V",IF(O12&gt;=INDEX('[1]Définition Maintenances'!$G:$G,MATCH($A12,'[1]Définition Maintenances'!$K:$K,0)),O12,INDEX('[1]Définition Maintenances'!$G:$G,MATCH($A12,'[1]Définition Maintenances'!$K:$K,0))+O12),O12))</f>
        <v>231</v>
      </c>
      <c r="Q12" s="27">
        <f>IF(ISNUMBER(VLOOKUP($D12,'Visu totale'!$D:$DH,Q$1,0)),P12-VLOOKUP($D12,'Visu totale'!$D:$DH,Q$1,0),IF(LEFT(VLOOKUP($D12,'Visu totale'!$D:$DH,Q$1,0),1)="V",IF(P12&gt;=INDEX('[1]Définition Maintenances'!$G:$G,MATCH($A12,'[1]Définition Maintenances'!$K:$K,0)),P12,INDEX('[1]Définition Maintenances'!$G:$G,MATCH($A12,'[1]Définition Maintenances'!$K:$K,0))+P12),P12))</f>
        <v>231</v>
      </c>
      <c r="R12" s="25">
        <f>IF(ISNUMBER(VLOOKUP($D12,'Visu totale'!$D:$DH,R$1,0)),Q12-VLOOKUP($D12,'Visu totale'!$D:$DH,R$1,0),IF(LEFT(VLOOKUP($D12,'Visu totale'!$D:$DH,R$1,0),1)="V",IF(Q12&gt;=INDEX('[1]Définition Maintenances'!$G:$G,MATCH($A12,'[1]Définition Maintenances'!$K:$K,0)),Q12,INDEX('[1]Définition Maintenances'!$G:$G,MATCH($A12,'[1]Définition Maintenances'!$K:$K,0))+Q12),Q12))</f>
        <v>231</v>
      </c>
      <c r="S12" s="26">
        <f>IF(ISNUMBER(VLOOKUP($D12,'Visu totale'!$D:$DH,S$1,0)),R12-VLOOKUP($D12,'Visu totale'!$D:$DH,S$1,0),IF(LEFT(VLOOKUP($D12,'Visu totale'!$D:$DH,S$1,0),1)="V",IF(R12&gt;=INDEX('[1]Définition Maintenances'!$G:$G,MATCH($A12,'[1]Définition Maintenances'!$K:$K,0)),R12,INDEX('[1]Définition Maintenances'!$G:$G,MATCH($A12,'[1]Définition Maintenances'!$K:$K,0))+R12),R12))</f>
        <v>231</v>
      </c>
      <c r="T12" s="26">
        <f>IF(ISNUMBER(VLOOKUP($D12,'Visu totale'!$D:$DH,T$1,0)),S12-VLOOKUP($D12,'Visu totale'!$D:$DH,T$1,0),IF(LEFT(VLOOKUP($D12,'Visu totale'!$D:$DH,T$1,0),1)="V",IF(S12&gt;=INDEX('[1]Définition Maintenances'!$G:$G,MATCH($A12,'[1]Définition Maintenances'!$K:$K,0)),S12,INDEX('[1]Définition Maintenances'!$G:$G,MATCH($A12,'[1]Définition Maintenances'!$K:$K,0))+S12),S12))</f>
        <v>231</v>
      </c>
      <c r="U12" s="26">
        <f>IF(ISNUMBER(VLOOKUP($D12,'Visu totale'!$D:$DH,U$1,0)),T12-VLOOKUP($D12,'Visu totale'!$D:$DH,U$1,0),IF(LEFT(VLOOKUP($D12,'Visu totale'!$D:$DH,U$1,0),1)="V",IF(T12&gt;=INDEX('[1]Définition Maintenances'!$G:$G,MATCH($A12,'[1]Définition Maintenances'!$K:$K,0)),T12,INDEX('[1]Définition Maintenances'!$G:$G,MATCH($A12,'[1]Définition Maintenances'!$K:$K,0))+T12),T12))</f>
        <v>231</v>
      </c>
      <c r="V12" s="26">
        <f>IF(ISNUMBER(VLOOKUP($D12,'Visu totale'!$D:$DH,V$1,0)),U12-VLOOKUP($D12,'Visu totale'!$D:$DH,V$1,0),IF(LEFT(VLOOKUP($D12,'Visu totale'!$D:$DH,V$1,0),1)="V",IF(U12&gt;=INDEX('[1]Définition Maintenances'!$G:$G,MATCH($A12,'[1]Définition Maintenances'!$K:$K,0)),U12,INDEX('[1]Définition Maintenances'!$G:$G,MATCH($A12,'[1]Définition Maintenances'!$K:$K,0))+U12),U12))</f>
        <v>231</v>
      </c>
      <c r="W12" s="26">
        <f>IF(ISNUMBER(VLOOKUP($D12,'Visu totale'!$D:$DH,W$1,0)),V12-VLOOKUP($D12,'Visu totale'!$D:$DH,W$1,0),IF(LEFT(VLOOKUP($D12,'Visu totale'!$D:$DH,W$1,0),1)="V",IF(V12&gt;=INDEX('[1]Définition Maintenances'!$G:$G,MATCH($A12,'[1]Définition Maintenances'!$K:$K,0)),V12,INDEX('[1]Définition Maintenances'!$G:$G,MATCH($A12,'[1]Définition Maintenances'!$K:$K,0))+V12),V12))</f>
        <v>231</v>
      </c>
      <c r="X12" s="26">
        <f>IF(ISNUMBER(VLOOKUP($D12,'Visu totale'!$D:$DH,X$1,0)),W12-VLOOKUP($D12,'Visu totale'!$D:$DH,X$1,0),IF(LEFT(VLOOKUP($D12,'Visu totale'!$D:$DH,X$1,0),1)="V",IF(W12&gt;=INDEX('[1]Définition Maintenances'!$G:$G,MATCH($A12,'[1]Définition Maintenances'!$K:$K,0)),W12,INDEX('[1]Définition Maintenances'!$G:$G,MATCH($A12,'[1]Définition Maintenances'!$K:$K,0))+W12),W12))</f>
        <v>231</v>
      </c>
      <c r="Y12" s="26">
        <f>IF(ISNUMBER(VLOOKUP($D12,'Visu totale'!$D:$DH,Y$1,0)),X12-VLOOKUP($D12,'Visu totale'!$D:$DH,Y$1,0),IF(LEFT(VLOOKUP($D12,'Visu totale'!$D:$DH,Y$1,0),1)="V",IF(X12&gt;=INDEX('[1]Définition Maintenances'!$G:$G,MATCH($A12,'[1]Définition Maintenances'!$K:$K,0)),X12,INDEX('[1]Définition Maintenances'!$G:$G,MATCH($A12,'[1]Définition Maintenances'!$K:$K,0))+X12),X12))</f>
        <v>231</v>
      </c>
      <c r="Z12" s="26">
        <f>IF(ISNUMBER(VLOOKUP($D12,'Visu totale'!$D:$DH,Z$1,0)),Y12-VLOOKUP($D12,'Visu totale'!$D:$DH,Z$1,0),IF(LEFT(VLOOKUP($D12,'Visu totale'!$D:$DH,Z$1,0),1)="V",IF(Y12&gt;=INDEX('[1]Définition Maintenances'!$G:$G,MATCH($A12,'[1]Définition Maintenances'!$K:$K,0)),Y12,INDEX('[1]Définition Maintenances'!$G:$G,MATCH($A12,'[1]Définition Maintenances'!$K:$K,0))+Y12),Y12))</f>
        <v>231</v>
      </c>
      <c r="AA12" s="26">
        <f>IF(ISNUMBER(VLOOKUP($D12,'Visu totale'!$D:$DH,AA$1,0)),Z12-VLOOKUP($D12,'Visu totale'!$D:$DH,AA$1,0),IF(LEFT(VLOOKUP($D12,'Visu totale'!$D:$DH,AA$1,0),1)="V",IF(Z12&gt;=INDEX('[1]Définition Maintenances'!$G:$G,MATCH($A12,'[1]Définition Maintenances'!$K:$K,0)),Z12,INDEX('[1]Définition Maintenances'!$G:$G,MATCH($A12,'[1]Définition Maintenances'!$K:$K,0))+Z12),Z12))</f>
        <v>231</v>
      </c>
      <c r="AB12" s="26">
        <f>IF(ISNUMBER(VLOOKUP($D12,'Visu totale'!$D:$DH,AB$1,0)),AA12-VLOOKUP($D12,'Visu totale'!$D:$DH,AB$1,0),IF(LEFT(VLOOKUP($D12,'Visu totale'!$D:$DH,AB$1,0),1)="V",IF(AA12&gt;=INDEX('[1]Définition Maintenances'!$G:$G,MATCH($A12,'[1]Définition Maintenances'!$K:$K,0)),AA12,INDEX('[1]Définition Maintenances'!$G:$G,MATCH($A12,'[1]Définition Maintenances'!$K:$K,0))+AA12),AA12))</f>
        <v>231</v>
      </c>
      <c r="AC12" s="27">
        <f>IF(ISNUMBER(VLOOKUP($D12,'Visu totale'!$D:$DH,AC$1,0)),AB12-VLOOKUP($D12,'Visu totale'!$D:$DH,AC$1,0),IF(LEFT(VLOOKUP($D12,'Visu totale'!$D:$DH,AC$1,0),1)="V",IF(AB12&gt;=INDEX('[1]Définition Maintenances'!$G:$G,MATCH($A12,'[1]Définition Maintenances'!$K:$K,0)),AB12,INDEX('[1]Définition Maintenances'!$G:$G,MATCH($A12,'[1]Définition Maintenances'!$K:$K,0))+AB12),AB12))</f>
        <v>231</v>
      </c>
      <c r="AD12" s="25">
        <f>IF(ISNUMBER(VLOOKUP($D12,'Visu totale'!$D:$DH,AD$1,0)),AC12-VLOOKUP($D12,'Visu totale'!$D:$DH,AD$1,0),IF(LEFT(VLOOKUP($D12,'Visu totale'!$D:$DH,AD$1,0),1)="V",IF(AC12&gt;=INDEX('[1]Définition Maintenances'!$G:$G,MATCH($A12,'[1]Définition Maintenances'!$K:$K,0)),AC12,INDEX('[1]Définition Maintenances'!$G:$G,MATCH($A12,'[1]Définition Maintenances'!$K:$K,0))+AC12),AC12))</f>
        <v>231</v>
      </c>
      <c r="AE12" s="26">
        <f>IF(ISNUMBER(VLOOKUP($D12,'Visu totale'!$D:$DH,AE$1,0)),AD12-VLOOKUP($D12,'Visu totale'!$D:$DH,AE$1,0),IF(LEFT(VLOOKUP($D12,'Visu totale'!$D:$DH,AE$1,0),1)="V",IF(AD12&gt;=INDEX('[1]Définition Maintenances'!$G:$G,MATCH($A12,'[1]Définition Maintenances'!$K:$K,0)),AD12,INDEX('[1]Définition Maintenances'!$G:$G,MATCH($A12,'[1]Définition Maintenances'!$K:$K,0))+AD12),AD12))</f>
        <v>231</v>
      </c>
      <c r="AF12" s="26">
        <f>IF(ISNUMBER(VLOOKUP($D12,'Visu totale'!$D:$DH,AF$1,0)),AE12-VLOOKUP($D12,'Visu totale'!$D:$DH,AF$1,0),IF(LEFT(VLOOKUP($D12,'Visu totale'!$D:$DH,AF$1,0),1)="V",IF(AE12&gt;=INDEX('[1]Définition Maintenances'!$G:$G,MATCH($A12,'[1]Définition Maintenances'!$K:$K,0)),AE12,INDEX('[1]Définition Maintenances'!$G:$G,MATCH($A12,'[1]Définition Maintenances'!$K:$K,0))+AE12),AE12))</f>
        <v>231</v>
      </c>
      <c r="AG12" s="26">
        <f>IF(ISNUMBER(VLOOKUP($D12,'Visu totale'!$D:$DH,AG$1,0)),AF12-VLOOKUP($D12,'Visu totale'!$D:$DH,AG$1,0),IF(LEFT(VLOOKUP($D12,'Visu totale'!$D:$DH,AG$1,0),1)="V",IF(AF12&gt;=INDEX('[1]Définition Maintenances'!$G:$G,MATCH($A12,'[1]Définition Maintenances'!$K:$K,0)),AF12,INDEX('[1]Définition Maintenances'!$G:$G,MATCH($A12,'[1]Définition Maintenances'!$K:$K,0))+AF12),AF12))</f>
        <v>231</v>
      </c>
      <c r="AH12" s="26">
        <f>IF(ISNUMBER(VLOOKUP($D12,'Visu totale'!$D:$DH,AH$1,0)),AG12-VLOOKUP($D12,'Visu totale'!$D:$DH,AH$1,0),IF(LEFT(VLOOKUP($D12,'Visu totale'!$D:$DH,AH$1,0),1)="V",IF(AG12&gt;=INDEX('[1]Définition Maintenances'!$G:$G,MATCH($A12,'[1]Définition Maintenances'!$K:$K,0)),AG12,INDEX('[1]Définition Maintenances'!$G:$G,MATCH($A12,'[1]Définition Maintenances'!$K:$K,0))+AG12),AG12))</f>
        <v>231</v>
      </c>
      <c r="AI12" s="26">
        <f>IF(ISNUMBER(VLOOKUP($D12,'Visu totale'!$D:$DH,AI$1,0)),AH12-VLOOKUP($D12,'Visu totale'!$D:$DH,AI$1,0),IF(LEFT(VLOOKUP($D12,'Visu totale'!$D:$DH,AI$1,0),1)="V",IF(AH12&gt;=INDEX('[1]Définition Maintenances'!$G:$G,MATCH($A12,'[1]Définition Maintenances'!$K:$K,0)),AH12,INDEX('[1]Définition Maintenances'!$G:$G,MATCH($A12,'[1]Définition Maintenances'!$K:$K,0))+AH12),AH12))</f>
        <v>231</v>
      </c>
      <c r="AJ12" s="26">
        <f>IF(ISNUMBER(VLOOKUP($D12,'Visu totale'!$D:$DH,AJ$1,0)),AI12-VLOOKUP($D12,'Visu totale'!$D:$DH,AJ$1,0),IF(LEFT(VLOOKUP($D12,'Visu totale'!$D:$DH,AJ$1,0),1)="V",IF(AI12&gt;=INDEX('[1]Définition Maintenances'!$G:$G,MATCH($A12,'[1]Définition Maintenances'!$K:$K,0)),AI12,INDEX('[1]Définition Maintenances'!$G:$G,MATCH($A12,'[1]Définition Maintenances'!$K:$K,0))+AI12),AI12))</f>
        <v>231</v>
      </c>
      <c r="AK12" s="26">
        <f>IF(ISNUMBER(VLOOKUP($D12,'Visu totale'!$D:$DH,AK$1,0)),AJ12-VLOOKUP($D12,'Visu totale'!$D:$DH,AK$1,0),IF(LEFT(VLOOKUP($D12,'Visu totale'!$D:$DH,AK$1,0),1)="V",IF(AJ12&gt;=INDEX('[1]Définition Maintenances'!$G:$G,MATCH($A12,'[1]Définition Maintenances'!$K:$K,0)),AJ12,INDEX('[1]Définition Maintenances'!$G:$G,MATCH($A12,'[1]Définition Maintenances'!$K:$K,0))+AJ12),AJ12))</f>
        <v>231</v>
      </c>
      <c r="AL12" s="26">
        <f>IF(ISNUMBER(VLOOKUP($D12,'Visu totale'!$D:$DH,AL$1,0)),AK12-VLOOKUP($D12,'Visu totale'!$D:$DH,AL$1,0),IF(LEFT(VLOOKUP($D12,'Visu totale'!$D:$DH,AL$1,0),1)="V",IF(AK12&gt;=INDEX('[1]Définition Maintenances'!$G:$G,MATCH($A12,'[1]Définition Maintenances'!$K:$K,0)),AK12,INDEX('[1]Définition Maintenances'!$G:$G,MATCH($A12,'[1]Définition Maintenances'!$K:$K,0))+AK12),AK12))</f>
        <v>231</v>
      </c>
      <c r="AM12" s="26">
        <f>IF(ISNUMBER(VLOOKUP($D12,'Visu totale'!$D:$DH,AM$1,0)),AL12-VLOOKUP($D12,'Visu totale'!$D:$DH,AM$1,0),IF(LEFT(VLOOKUP($D12,'Visu totale'!$D:$DH,AM$1,0),1)="V",IF(AL12&gt;=INDEX('[1]Définition Maintenances'!$G:$G,MATCH($A12,'[1]Définition Maintenances'!$K:$K,0)),AL12,INDEX('[1]Définition Maintenances'!$G:$G,MATCH($A12,'[1]Définition Maintenances'!$K:$K,0))+AL12),AL12))</f>
        <v>231</v>
      </c>
      <c r="AN12" s="26">
        <f>IF(ISNUMBER(VLOOKUP($D12,'Visu totale'!$D:$DH,AN$1,0)),AM12-VLOOKUP($D12,'Visu totale'!$D:$DH,AN$1,0),IF(LEFT(VLOOKUP($D12,'Visu totale'!$D:$DH,AN$1,0),1)="V",IF(AM12&gt;=INDEX('[1]Définition Maintenances'!$G:$G,MATCH($A12,'[1]Définition Maintenances'!$K:$K,0)),AM12,INDEX('[1]Définition Maintenances'!$G:$G,MATCH($A12,'[1]Définition Maintenances'!$K:$K,0))+AM12),AM12))</f>
        <v>231</v>
      </c>
      <c r="AO12" s="27">
        <f>IF(ISNUMBER(VLOOKUP($D12,'Visu totale'!$D:$DH,AO$1,0)),AN12-VLOOKUP($D12,'Visu totale'!$D:$DH,AO$1,0),IF(LEFT(VLOOKUP($D12,'Visu totale'!$D:$DH,AO$1,0),1)="V",IF(AN12&gt;=INDEX('[1]Définition Maintenances'!$G:$G,MATCH($A12,'[1]Définition Maintenances'!$K:$K,0)),AN12,INDEX('[1]Définition Maintenances'!$G:$G,MATCH($A12,'[1]Définition Maintenances'!$K:$K,0))+AN12),AN12))</f>
        <v>231</v>
      </c>
      <c r="AP12" s="25">
        <f>IF(ISNUMBER(VLOOKUP($D12,'Visu totale'!$D:$DH,AP$1,0)),AO12-VLOOKUP($D12,'Visu totale'!$D:$DH,AP$1,0),IF(LEFT(VLOOKUP($D12,'Visu totale'!$D:$DH,AP$1,0),1)="V",IF(AO12&gt;=INDEX('[1]Définition Maintenances'!$G:$G,MATCH($A12,'[1]Définition Maintenances'!$K:$K,0)),AO12,INDEX('[1]Définition Maintenances'!$G:$G,MATCH($A12,'[1]Définition Maintenances'!$K:$K,0))+AO12),AO12))</f>
        <v>231</v>
      </c>
      <c r="AQ12" s="26">
        <f>IF(ISNUMBER(VLOOKUP($D12,'Visu totale'!$D:$DH,AQ$1,0)),AP12-VLOOKUP($D12,'Visu totale'!$D:$DH,AQ$1,0),IF(LEFT(VLOOKUP($D12,'Visu totale'!$D:$DH,AQ$1,0),1)="V",IF(AP12&gt;=INDEX('[1]Définition Maintenances'!$G:$G,MATCH($A12,'[1]Définition Maintenances'!$K:$K,0)),AP12,INDEX('[1]Définition Maintenances'!$G:$G,MATCH($A12,'[1]Définition Maintenances'!$K:$K,0))+AP12),AP12))</f>
        <v>231</v>
      </c>
      <c r="AR12" s="26">
        <f>IF(ISNUMBER(VLOOKUP($D12,'Visu totale'!$D:$DH,AR$1,0)),AQ12-VLOOKUP($D12,'Visu totale'!$D:$DH,AR$1,0),IF(LEFT(VLOOKUP($D12,'Visu totale'!$D:$DH,AR$1,0),1)="V",IF(AQ12&gt;=INDEX('[1]Définition Maintenances'!$G:$G,MATCH($A12,'[1]Définition Maintenances'!$K:$K,0)),AQ12,INDEX('[1]Définition Maintenances'!$G:$G,MATCH($A12,'[1]Définition Maintenances'!$K:$K,0))+AQ12),AQ12))</f>
        <v>231</v>
      </c>
      <c r="AS12" s="26">
        <f>IF(ISNUMBER(VLOOKUP($D12,'Visu totale'!$D:$DH,AS$1,0)),AR12-VLOOKUP($D12,'Visu totale'!$D:$DH,AS$1,0),IF(LEFT(VLOOKUP($D12,'Visu totale'!$D:$DH,AS$1,0),1)="V",IF(AR12&gt;=INDEX('[1]Définition Maintenances'!$G:$G,MATCH($A12,'[1]Définition Maintenances'!$K:$K,0)),AR12,INDEX('[1]Définition Maintenances'!$G:$G,MATCH($A12,'[1]Définition Maintenances'!$K:$K,0))+AR12),AR12))</f>
        <v>231</v>
      </c>
      <c r="AT12" s="26">
        <f>IF(ISNUMBER(VLOOKUP($D12,'Visu totale'!$D:$DH,AT$1,0)),AS12-VLOOKUP($D12,'Visu totale'!$D:$DH,AT$1,0),IF(LEFT(VLOOKUP($D12,'Visu totale'!$D:$DH,AT$1,0),1)="V",IF(AS12&gt;=INDEX('[1]Définition Maintenances'!$G:$G,MATCH($A12,'[1]Définition Maintenances'!$K:$K,0)),AS12,INDEX('[1]Définition Maintenances'!$G:$G,MATCH($A12,'[1]Définition Maintenances'!$K:$K,0))+AS12),AS12))</f>
        <v>231</v>
      </c>
      <c r="AU12" s="26">
        <f>IF(ISNUMBER(VLOOKUP($D12,'Visu totale'!$D:$DH,AU$1,0)),AT12-VLOOKUP($D12,'Visu totale'!$D:$DH,AU$1,0),IF(LEFT(VLOOKUP($D12,'Visu totale'!$D:$DH,AU$1,0),1)="V",IF(AT12&gt;=INDEX('[1]Définition Maintenances'!$G:$G,MATCH($A12,'[1]Définition Maintenances'!$K:$K,0)),AT12,INDEX('[1]Définition Maintenances'!$G:$G,MATCH($A12,'[1]Définition Maintenances'!$K:$K,0))+AT12),AT12))</f>
        <v>231</v>
      </c>
      <c r="AV12" s="26">
        <f>IF(ISNUMBER(VLOOKUP($D12,'Visu totale'!$D:$DH,AV$1,0)),AU12-VLOOKUP($D12,'Visu totale'!$D:$DH,AV$1,0),IF(LEFT(VLOOKUP($D12,'Visu totale'!$D:$DH,AV$1,0),1)="V",IF(AU12&gt;=INDEX('[1]Définition Maintenances'!$G:$G,MATCH($A12,'[1]Définition Maintenances'!$K:$K,0)),AU12,INDEX('[1]Définition Maintenances'!$G:$G,MATCH($A12,'[1]Définition Maintenances'!$K:$K,0))+AU12),AU12))</f>
        <v>231</v>
      </c>
      <c r="AW12" s="26">
        <f>IF(ISNUMBER(VLOOKUP($D12,'Visu totale'!$D:$DH,AW$1,0)),AV12-VLOOKUP($D12,'Visu totale'!$D:$DH,AW$1,0),IF(LEFT(VLOOKUP($D12,'Visu totale'!$D:$DH,AW$1,0),1)="V",IF(AV12&gt;=INDEX('[1]Définition Maintenances'!$G:$G,MATCH($A12,'[1]Définition Maintenances'!$K:$K,0)),AV12,INDEX('[1]Définition Maintenances'!$G:$G,MATCH($A12,'[1]Définition Maintenances'!$K:$K,0))+AV12),AV12))</f>
        <v>231</v>
      </c>
      <c r="AX12" s="26">
        <f>IF(ISNUMBER(VLOOKUP($D12,'Visu totale'!$D:$DH,AX$1,0)),AW12-VLOOKUP($D12,'Visu totale'!$D:$DH,AX$1,0),IF(LEFT(VLOOKUP($D12,'Visu totale'!$D:$DH,AX$1,0),1)="V",IF(AW12&gt;=INDEX('[1]Définition Maintenances'!$G:$G,MATCH($A12,'[1]Définition Maintenances'!$K:$K,0)),AW12,INDEX('[1]Définition Maintenances'!$G:$G,MATCH($A12,'[1]Définition Maintenances'!$K:$K,0))+AW12),AW12))</f>
        <v>231</v>
      </c>
      <c r="AY12" s="26">
        <f>IF(ISNUMBER(VLOOKUP($D12,'Visu totale'!$D:$DH,AY$1,0)),AX12-VLOOKUP($D12,'Visu totale'!$D:$DH,AY$1,0),IF(LEFT(VLOOKUP($D12,'Visu totale'!$D:$DH,AY$1,0),1)="V",IF(AX12&gt;=INDEX('[1]Définition Maintenances'!$G:$G,MATCH($A12,'[1]Définition Maintenances'!$K:$K,0)),AX12,INDEX('[1]Définition Maintenances'!$G:$G,MATCH($A12,'[1]Définition Maintenances'!$K:$K,0))+AX12),AX12))</f>
        <v>231</v>
      </c>
      <c r="AZ12" s="26">
        <f>IF(ISNUMBER(VLOOKUP($D12,'Visu totale'!$D:$DH,AZ$1,0)),AY12-VLOOKUP($D12,'Visu totale'!$D:$DH,AZ$1,0),IF(LEFT(VLOOKUP($D12,'Visu totale'!$D:$DH,AZ$1,0),1)="V",IF(AY12&gt;=INDEX('[1]Définition Maintenances'!$G:$G,MATCH($A12,'[1]Définition Maintenances'!$K:$K,0)),AY12,INDEX('[1]Définition Maintenances'!$G:$G,MATCH($A12,'[1]Définition Maintenances'!$K:$K,0))+AY12),AY12))</f>
        <v>231</v>
      </c>
      <c r="BA12" s="27">
        <f>IF(ISNUMBER(VLOOKUP($D12,'Visu totale'!$D:$DH,BA$1,0)),AZ12-VLOOKUP($D12,'Visu totale'!$D:$DH,BA$1,0),IF(LEFT(VLOOKUP($D12,'Visu totale'!$D:$DH,BA$1,0),1)="V",IF(AZ12&gt;=INDEX('[1]Définition Maintenances'!$G:$G,MATCH($A12,'[1]Définition Maintenances'!$K:$K,0)),AZ12,INDEX('[1]Définition Maintenances'!$G:$G,MATCH($A12,'[1]Définition Maintenances'!$K:$K,0))+AZ12),AZ12))</f>
        <v>231</v>
      </c>
      <c r="BB12" s="25">
        <f>IF(ISNUMBER(VLOOKUP($D12,'Visu totale'!$D:$DH,BB$1,0)),BA12-VLOOKUP($D12,'Visu totale'!$D:$DH,BB$1,0),IF(LEFT(VLOOKUP($D12,'Visu totale'!$D:$DH,BB$1,0),1)="V",IF(BA12&gt;=INDEX('[1]Définition Maintenances'!$G:$G,MATCH($A12,'[1]Définition Maintenances'!$K:$K,0)),BA12,INDEX('[1]Définition Maintenances'!$G:$G,MATCH($A12,'[1]Définition Maintenances'!$K:$K,0))+BA12),BA12))</f>
        <v>231</v>
      </c>
      <c r="BC12" s="26">
        <f>IF(ISNUMBER(VLOOKUP($D12,'Visu totale'!$D:$DH,BC$1,0)),BB12-VLOOKUP($D12,'Visu totale'!$D:$DH,BC$1,0),IF(LEFT(VLOOKUP($D12,'Visu totale'!$D:$DH,BC$1,0),1)="V",IF(BB12&gt;=INDEX('[1]Définition Maintenances'!$G:$G,MATCH($A12,'[1]Définition Maintenances'!$K:$K,0)),BB12,INDEX('[1]Définition Maintenances'!$G:$G,MATCH($A12,'[1]Définition Maintenances'!$K:$K,0))+BB12),BB12))</f>
        <v>231</v>
      </c>
      <c r="BD12" s="26">
        <f>IF(ISNUMBER(VLOOKUP($D12,'Visu totale'!$D:$DH,BD$1,0)),BC12-VLOOKUP($D12,'Visu totale'!$D:$DH,BD$1,0),IF(LEFT(VLOOKUP($D12,'Visu totale'!$D:$DH,BD$1,0),1)="V",IF(BC12&gt;=INDEX('[1]Définition Maintenances'!$G:$G,MATCH($A12,'[1]Définition Maintenances'!$K:$K,0)),BC12,INDEX('[1]Définition Maintenances'!$G:$G,MATCH($A12,'[1]Définition Maintenances'!$K:$K,0))+BC12),BC12))</f>
        <v>231</v>
      </c>
      <c r="BE12" s="26">
        <f>IF(ISNUMBER(VLOOKUP($D12,'Visu totale'!$D:$DH,BE$1,0)),BD12-VLOOKUP($D12,'Visu totale'!$D:$DH,BE$1,0),IF(LEFT(VLOOKUP($D12,'Visu totale'!$D:$DH,BE$1,0),1)="V",IF(BD12&gt;=INDEX('[1]Définition Maintenances'!$G:$G,MATCH($A12,'[1]Définition Maintenances'!$K:$K,0)),BD12,INDEX('[1]Définition Maintenances'!$G:$G,MATCH($A12,'[1]Définition Maintenances'!$K:$K,0))+BD12),BD12))</f>
        <v>231</v>
      </c>
      <c r="BF12" s="26">
        <f>IF(ISNUMBER(VLOOKUP($D12,'Visu totale'!$D:$DH,BF$1,0)),BE12-VLOOKUP($D12,'Visu totale'!$D:$DH,BF$1,0),IF(LEFT(VLOOKUP($D12,'Visu totale'!$D:$DH,BF$1,0),1)="V",IF(BE12&gt;=INDEX('[1]Définition Maintenances'!$G:$G,MATCH($A12,'[1]Définition Maintenances'!$K:$K,0)),BE12,INDEX('[1]Définition Maintenances'!$G:$G,MATCH($A12,'[1]Définition Maintenances'!$K:$K,0))+BE12),BE12))</f>
        <v>231</v>
      </c>
      <c r="BG12" s="26">
        <f>IF(ISNUMBER(VLOOKUP($D12,'Visu totale'!$D:$DH,BG$1,0)),BF12-VLOOKUP($D12,'Visu totale'!$D:$DH,BG$1,0),IF(LEFT(VLOOKUP($D12,'Visu totale'!$D:$DH,BG$1,0),1)="V",IF(BF12&gt;=INDEX('[1]Définition Maintenances'!$G:$G,MATCH($A12,'[1]Définition Maintenances'!$K:$K,0)),BF12,INDEX('[1]Définition Maintenances'!$G:$G,MATCH($A12,'[1]Définition Maintenances'!$K:$K,0))+BF12),BF12))</f>
        <v>231</v>
      </c>
      <c r="BH12" s="26">
        <f>IF(ISNUMBER(VLOOKUP($D12,'Visu totale'!$D:$DH,BH$1,0)),BG12-VLOOKUP($D12,'Visu totale'!$D:$DH,BH$1,0),IF(LEFT(VLOOKUP($D12,'Visu totale'!$D:$DH,BH$1,0),1)="V",IF(BG12&gt;=INDEX('[1]Définition Maintenances'!$G:$G,MATCH($A12,'[1]Définition Maintenances'!$K:$K,0)),BG12,INDEX('[1]Définition Maintenances'!$G:$G,MATCH($A12,'[1]Définition Maintenances'!$K:$K,0))+BG12),BG12))</f>
        <v>231</v>
      </c>
      <c r="BI12" s="26">
        <f>IF(ISNUMBER(VLOOKUP($D12,'Visu totale'!$D:$DH,BI$1,0)),BH12-VLOOKUP($D12,'Visu totale'!$D:$DH,BI$1,0),IF(LEFT(VLOOKUP($D12,'Visu totale'!$D:$DH,BI$1,0),1)="V",IF(BH12&gt;=INDEX('[1]Définition Maintenances'!$G:$G,MATCH($A12,'[1]Définition Maintenances'!$K:$K,0)),BH12,INDEX('[1]Définition Maintenances'!$G:$G,MATCH($A12,'[1]Définition Maintenances'!$K:$K,0))+BH12),BH12))</f>
        <v>231</v>
      </c>
      <c r="BJ12" s="26">
        <f>IF(ISNUMBER(VLOOKUP($D12,'Visu totale'!$D:$DH,BJ$1,0)),BI12-VLOOKUP($D12,'Visu totale'!$D:$DH,BJ$1,0),IF(LEFT(VLOOKUP($D12,'Visu totale'!$D:$DH,BJ$1,0),1)="V",IF(BI12&gt;=INDEX('[1]Définition Maintenances'!$G:$G,MATCH($A12,'[1]Définition Maintenances'!$K:$K,0)),BI12,INDEX('[1]Définition Maintenances'!$G:$G,MATCH($A12,'[1]Définition Maintenances'!$K:$K,0))+BI12),BI12))</f>
        <v>231</v>
      </c>
      <c r="BK12" s="26">
        <f>IF(ISNUMBER(VLOOKUP($D12,'Visu totale'!$D:$DH,BK$1,0)),BJ12-VLOOKUP($D12,'Visu totale'!$D:$DH,BK$1,0),IF(LEFT(VLOOKUP($D12,'Visu totale'!$D:$DH,BK$1,0),1)="V",IF(BJ12&gt;=INDEX('[1]Définition Maintenances'!$G:$G,MATCH($A12,'[1]Définition Maintenances'!$K:$K,0)),BJ12,INDEX('[1]Définition Maintenances'!$G:$G,MATCH($A12,'[1]Définition Maintenances'!$K:$K,0))+BJ12),BJ12))</f>
        <v>231</v>
      </c>
      <c r="BL12" s="26">
        <f>IF(ISNUMBER(VLOOKUP($D12,'Visu totale'!$D:$DH,BL$1,0)),BK12-VLOOKUP($D12,'Visu totale'!$D:$DH,BL$1,0),IF(LEFT(VLOOKUP($D12,'Visu totale'!$D:$DH,BL$1,0),1)="V",IF(BK12&gt;=INDEX('[1]Définition Maintenances'!$G:$G,MATCH($A12,'[1]Définition Maintenances'!$K:$K,0)),BK12,INDEX('[1]Définition Maintenances'!$G:$G,MATCH($A12,'[1]Définition Maintenances'!$K:$K,0))+BK12),BK12))</f>
        <v>231</v>
      </c>
      <c r="BM12" s="27">
        <f>IF(ISNUMBER(VLOOKUP($D12,'Visu totale'!$D:$DH,BM$1,0)),BL12-VLOOKUP($D12,'Visu totale'!$D:$DH,BM$1,0),IF(LEFT(VLOOKUP($D12,'Visu totale'!$D:$DH,BM$1,0),1)="V",IF(BL12&gt;=INDEX('[1]Définition Maintenances'!$G:$G,MATCH($A12,'[1]Définition Maintenances'!$K:$K,0)),BL12,INDEX('[1]Définition Maintenances'!$G:$G,MATCH($A12,'[1]Définition Maintenances'!$K:$K,0))+BL12),BL12))</f>
        <v>231</v>
      </c>
      <c r="BN12" s="25">
        <f>IF(ISNUMBER(VLOOKUP($D12,'Visu totale'!$D:$DH,BN$1,0)),BM12-VLOOKUP($D12,'Visu totale'!$D:$DH,BN$1,0),IF(LEFT(VLOOKUP($D12,'Visu totale'!$D:$DH,BN$1,0),1)="V",IF(BM12&gt;=INDEX('[1]Définition Maintenances'!$G:$G,MATCH($A12,'[1]Définition Maintenances'!$K:$K,0)),BM12,INDEX('[1]Définition Maintenances'!$G:$G,MATCH($A12,'[1]Définition Maintenances'!$K:$K,0))+BM12),BM12))</f>
        <v>231</v>
      </c>
      <c r="BO12" s="26">
        <f>IF(ISNUMBER(VLOOKUP($D12,'Visu totale'!$D:$DH,BO$1,0)),BN12-VLOOKUP($D12,'Visu totale'!$D:$DH,BO$1,0),IF(LEFT(VLOOKUP($D12,'Visu totale'!$D:$DH,BO$1,0),1)="V",IF(BN12&gt;=INDEX('[1]Définition Maintenances'!$G:$G,MATCH($A12,'[1]Définition Maintenances'!$K:$K,0)),BN12,INDEX('[1]Définition Maintenances'!$G:$G,MATCH($A12,'[1]Définition Maintenances'!$K:$K,0))+BN12),BN12))</f>
        <v>231</v>
      </c>
      <c r="BP12" s="26">
        <f>IF(ISNUMBER(VLOOKUP($D12,'Visu totale'!$D:$DH,BP$1,0)),BO12-VLOOKUP($D12,'Visu totale'!$D:$DH,BP$1,0),IF(LEFT(VLOOKUP($D12,'Visu totale'!$D:$DH,BP$1,0),1)="V",IF(BO12&gt;=INDEX('[1]Définition Maintenances'!$G:$G,MATCH($A12,'[1]Définition Maintenances'!$K:$K,0)),BO12,INDEX('[1]Définition Maintenances'!$G:$G,MATCH($A12,'[1]Définition Maintenances'!$K:$K,0))+BO12),BO12))</f>
        <v>231</v>
      </c>
      <c r="BQ12" s="26">
        <f>IF(ISNUMBER(VLOOKUP($D12,'Visu totale'!$D:$DH,BQ$1,0)),BP12-VLOOKUP($D12,'Visu totale'!$D:$DH,BQ$1,0),IF(LEFT(VLOOKUP($D12,'Visu totale'!$D:$DH,BQ$1,0),1)="V",IF(BP12&gt;=INDEX('[1]Définition Maintenances'!$G:$G,MATCH($A12,'[1]Définition Maintenances'!$K:$K,0)),BP12,INDEX('[1]Définition Maintenances'!$G:$G,MATCH($A12,'[1]Définition Maintenances'!$K:$K,0))+BP12),BP12))</f>
        <v>231</v>
      </c>
      <c r="BR12" s="26">
        <f>IF(ISNUMBER(VLOOKUP($D12,'Visu totale'!$D:$DH,BR$1,0)),BQ12-VLOOKUP($D12,'Visu totale'!$D:$DH,BR$1,0),IF(LEFT(VLOOKUP($D12,'Visu totale'!$D:$DH,BR$1,0),1)="V",IF(BQ12&gt;=INDEX('[1]Définition Maintenances'!$G:$G,MATCH($A12,'[1]Définition Maintenances'!$K:$K,0)),BQ12,INDEX('[1]Définition Maintenances'!$G:$G,MATCH($A12,'[1]Définition Maintenances'!$K:$K,0))+BQ12),BQ12))</f>
        <v>231</v>
      </c>
      <c r="BS12" s="26">
        <f>IF(ISNUMBER(VLOOKUP($D12,'Visu totale'!$D:$DH,BS$1,0)),BR12-VLOOKUP($D12,'Visu totale'!$D:$DH,BS$1,0),IF(LEFT(VLOOKUP($D12,'Visu totale'!$D:$DH,BS$1,0),1)="V",IF(BR12&gt;=INDEX('[1]Définition Maintenances'!$G:$G,MATCH($A12,'[1]Définition Maintenances'!$K:$K,0)),BR12,INDEX('[1]Définition Maintenances'!$G:$G,MATCH($A12,'[1]Définition Maintenances'!$K:$K,0))+BR12),BR12))</f>
        <v>231</v>
      </c>
      <c r="BT12" s="26">
        <f>IF(ISNUMBER(VLOOKUP($D12,'Visu totale'!$D:$DH,BT$1,0)),BS12-VLOOKUP($D12,'Visu totale'!$D:$DH,BT$1,0),IF(LEFT(VLOOKUP($D12,'Visu totale'!$D:$DH,BT$1,0),1)="V",IF(BS12&gt;=INDEX('[1]Définition Maintenances'!$G:$G,MATCH($A12,'[1]Définition Maintenances'!$K:$K,0)),BS12,INDEX('[1]Définition Maintenances'!$G:$G,MATCH($A12,'[1]Définition Maintenances'!$K:$K,0))+BS12),BS12))</f>
        <v>231</v>
      </c>
      <c r="BU12" s="26">
        <f>IF(ISNUMBER(VLOOKUP($D12,'Visu totale'!$D:$DH,BU$1,0)),BT12-VLOOKUP($D12,'Visu totale'!$D:$DH,BU$1,0),IF(LEFT(VLOOKUP($D12,'Visu totale'!$D:$DH,BU$1,0),1)="V",IF(BT12&gt;=INDEX('[1]Définition Maintenances'!$G:$G,MATCH($A12,'[1]Définition Maintenances'!$K:$K,0)),BT12,INDEX('[1]Définition Maintenances'!$G:$G,MATCH($A12,'[1]Définition Maintenances'!$K:$K,0))+BT12),BT12))</f>
        <v>231</v>
      </c>
      <c r="BV12" s="26">
        <f>IF(ISNUMBER(VLOOKUP($D12,'Visu totale'!$D:$DH,BV$1,0)),BU12-VLOOKUP($D12,'Visu totale'!$D:$DH,BV$1,0),IF(LEFT(VLOOKUP($D12,'Visu totale'!$D:$DH,BV$1,0),1)="V",IF(BU12&gt;=INDEX('[1]Définition Maintenances'!$G:$G,MATCH($A12,'[1]Définition Maintenances'!$K:$K,0)),BU12,INDEX('[1]Définition Maintenances'!$G:$G,MATCH($A12,'[1]Définition Maintenances'!$K:$K,0))+BU12),BU12))</f>
        <v>231</v>
      </c>
      <c r="BW12" s="26">
        <f>IF(ISNUMBER(VLOOKUP($D12,'Visu totale'!$D:$DH,BW$1,0)),BV12-VLOOKUP($D12,'Visu totale'!$D:$DH,BW$1,0),IF(LEFT(VLOOKUP($D12,'Visu totale'!$D:$DH,BW$1,0),1)="V",IF(BV12&gt;=INDEX('[1]Définition Maintenances'!$G:$G,MATCH($A12,'[1]Définition Maintenances'!$K:$K,0)),BV12,INDEX('[1]Définition Maintenances'!$G:$G,MATCH($A12,'[1]Définition Maintenances'!$K:$K,0))+BV12),BV12))</f>
        <v>231</v>
      </c>
      <c r="BX12" s="26">
        <f>IF(ISNUMBER(VLOOKUP($D12,'Visu totale'!$D:$DH,BX$1,0)),BW12-VLOOKUP($D12,'Visu totale'!$D:$DH,BX$1,0),IF(LEFT(VLOOKUP($D12,'Visu totale'!$D:$DH,BX$1,0),1)="V",IF(BW12&gt;=INDEX('[1]Définition Maintenances'!$G:$G,MATCH($A12,'[1]Définition Maintenances'!$K:$K,0)),BW12,INDEX('[1]Définition Maintenances'!$G:$G,MATCH($A12,'[1]Définition Maintenances'!$K:$K,0))+BW12),BW12))</f>
        <v>231</v>
      </c>
      <c r="BY12" s="27">
        <f>IF(ISNUMBER(VLOOKUP($D12,'Visu totale'!$D:$DH,BY$1,0)),BX12-VLOOKUP($D12,'Visu totale'!$D:$DH,BY$1,0),IF(LEFT(VLOOKUP($D12,'Visu totale'!$D:$DH,BY$1,0),1)="V",IF(BX12&gt;=INDEX('[1]Définition Maintenances'!$G:$G,MATCH($A12,'[1]Définition Maintenances'!$K:$K,0)),BX12,INDEX('[1]Définition Maintenances'!$G:$G,MATCH($A12,'[1]Définition Maintenances'!$K:$K,0))+BX12),BX12))</f>
        <v>231</v>
      </c>
      <c r="BZ12" s="25">
        <f>IF(ISNUMBER(VLOOKUP($D12,'Visu totale'!$D:$DH,BZ$1,0)),BY12-VLOOKUP($D12,'Visu totale'!$D:$DH,BZ$1,0),IF(LEFT(VLOOKUP($D12,'Visu totale'!$D:$DH,BZ$1,0),1)="V",IF(BY12&gt;=INDEX('[1]Définition Maintenances'!$G:$G,MATCH($A12,'[1]Définition Maintenances'!$K:$K,0)),BY12,INDEX('[1]Définition Maintenances'!$G:$G,MATCH($A12,'[1]Définition Maintenances'!$K:$K,0))+BY12),BY12))</f>
        <v>231</v>
      </c>
      <c r="CA12" s="26">
        <f>IF(ISNUMBER(VLOOKUP($D12,'Visu totale'!$D:$DH,CA$1,0)),BZ12-VLOOKUP($D12,'Visu totale'!$D:$DH,CA$1,0),IF(LEFT(VLOOKUP($D12,'Visu totale'!$D:$DH,CA$1,0),1)="V",IF(BZ12&gt;=INDEX('[1]Définition Maintenances'!$G:$G,MATCH($A12,'[1]Définition Maintenances'!$K:$K,0)),BZ12,INDEX('[1]Définition Maintenances'!$G:$G,MATCH($A12,'[1]Définition Maintenances'!$K:$K,0))+BZ12),BZ12))</f>
        <v>231</v>
      </c>
      <c r="CB12" s="26">
        <f>IF(ISNUMBER(VLOOKUP($D12,'Visu totale'!$D:$DH,CB$1,0)),CA12-VLOOKUP($D12,'Visu totale'!$D:$DH,CB$1,0),IF(LEFT(VLOOKUP($D12,'Visu totale'!$D:$DH,CB$1,0),1)="V",IF(CA12&gt;=INDEX('[1]Définition Maintenances'!$G:$G,MATCH($A12,'[1]Définition Maintenances'!$K:$K,0)),CA12,INDEX('[1]Définition Maintenances'!$G:$G,MATCH($A12,'[1]Définition Maintenances'!$K:$K,0))+CA12),CA12))</f>
        <v>231</v>
      </c>
      <c r="CC12" s="26">
        <f>IF(ISNUMBER(VLOOKUP($D12,'Visu totale'!$D:$DH,CC$1,0)),CB12-VLOOKUP($D12,'Visu totale'!$D:$DH,CC$1,0),IF(LEFT(VLOOKUP($D12,'Visu totale'!$D:$DH,CC$1,0),1)="V",IF(CB12&gt;=INDEX('[1]Définition Maintenances'!$G:$G,MATCH($A12,'[1]Définition Maintenances'!$K:$K,0)),CB12,INDEX('[1]Définition Maintenances'!$G:$G,MATCH($A12,'[1]Définition Maintenances'!$K:$K,0))+CB12),CB12))</f>
        <v>231</v>
      </c>
      <c r="CD12" s="26">
        <f>IF(ISNUMBER(VLOOKUP($D12,'Visu totale'!$D:$DH,CD$1,0)),CC12-VLOOKUP($D12,'Visu totale'!$D:$DH,CD$1,0),IF(LEFT(VLOOKUP($D12,'Visu totale'!$D:$DH,CD$1,0),1)="V",IF(CC12&gt;=INDEX('[1]Définition Maintenances'!$G:$G,MATCH($A12,'[1]Définition Maintenances'!$K:$K,0)),CC12,INDEX('[1]Définition Maintenances'!$G:$G,MATCH($A12,'[1]Définition Maintenances'!$K:$K,0))+CC12),CC12))</f>
        <v>231</v>
      </c>
      <c r="CE12" s="26">
        <f>IF(ISNUMBER(VLOOKUP($D12,'Visu totale'!$D:$DH,CE$1,0)),CD12-VLOOKUP($D12,'Visu totale'!$D:$DH,CE$1,0),IF(LEFT(VLOOKUP($D12,'Visu totale'!$D:$DH,CE$1,0),1)="V",IF(CD12&gt;=INDEX('[1]Définition Maintenances'!$G:$G,MATCH($A12,'[1]Définition Maintenances'!$K:$K,0)),CD12,INDEX('[1]Définition Maintenances'!$G:$G,MATCH($A12,'[1]Définition Maintenances'!$K:$K,0))+CD12),CD12))</f>
        <v>231</v>
      </c>
      <c r="CF12" s="26">
        <f>IF(ISNUMBER(VLOOKUP($D12,'Visu totale'!$D:$DH,CF$1,0)),CE12-VLOOKUP($D12,'Visu totale'!$D:$DH,CF$1,0),IF(LEFT(VLOOKUP($D12,'Visu totale'!$D:$DH,CF$1,0),1)="V",IF(CE12&gt;=INDEX('[1]Définition Maintenances'!$G:$G,MATCH($A12,'[1]Définition Maintenances'!$K:$K,0)),CE12,INDEX('[1]Définition Maintenances'!$G:$G,MATCH($A12,'[1]Définition Maintenances'!$K:$K,0))+CE12),CE12))</f>
        <v>231</v>
      </c>
      <c r="CG12" s="26">
        <f>IF(ISNUMBER(VLOOKUP($D12,'Visu totale'!$D:$DH,CG$1,0)),CF12-VLOOKUP($D12,'Visu totale'!$D:$DH,CG$1,0),IF(LEFT(VLOOKUP($D12,'Visu totale'!$D:$DH,CG$1,0),1)="V",IF(CF12&gt;=INDEX('[1]Définition Maintenances'!$G:$G,MATCH($A12,'[1]Définition Maintenances'!$K:$K,0)),CF12,INDEX('[1]Définition Maintenances'!$G:$G,MATCH($A12,'[1]Définition Maintenances'!$K:$K,0))+CF12),CF12))</f>
        <v>231</v>
      </c>
      <c r="CH12" s="26">
        <f>IF(ISNUMBER(VLOOKUP($D12,'Visu totale'!$D:$DH,CH$1,0)),CG12-VLOOKUP($D12,'Visu totale'!$D:$DH,CH$1,0),IF(LEFT(VLOOKUP($D12,'Visu totale'!$D:$DH,CH$1,0),1)="V",IF(CG12&gt;=INDEX('[1]Définition Maintenances'!$G:$G,MATCH($A12,'[1]Définition Maintenances'!$K:$K,0)),CG12,INDEX('[1]Définition Maintenances'!$G:$G,MATCH($A12,'[1]Définition Maintenances'!$K:$K,0))+CG12),CG12))</f>
        <v>231</v>
      </c>
      <c r="CI12" s="26">
        <f>IF(ISNUMBER(VLOOKUP($D12,'Visu totale'!$D:$DH,CI$1,0)),CH12-VLOOKUP($D12,'Visu totale'!$D:$DH,CI$1,0),IF(LEFT(VLOOKUP($D12,'Visu totale'!$D:$DH,CI$1,0),1)="V",IF(CH12&gt;=INDEX('[1]Définition Maintenances'!$G:$G,MATCH($A12,'[1]Définition Maintenances'!$K:$K,0)),CH12,INDEX('[1]Définition Maintenances'!$G:$G,MATCH($A12,'[1]Définition Maintenances'!$K:$K,0))+CH12),CH12))</f>
        <v>231</v>
      </c>
      <c r="CJ12" s="26">
        <f>IF(ISNUMBER(VLOOKUP($D12,'Visu totale'!$D:$DH,CJ$1,0)),CI12-VLOOKUP($D12,'Visu totale'!$D:$DH,CJ$1,0),IF(LEFT(VLOOKUP($D12,'Visu totale'!$D:$DH,CJ$1,0),1)="V",IF(CI12&gt;=INDEX('[1]Définition Maintenances'!$G:$G,MATCH($A12,'[1]Définition Maintenances'!$K:$K,0)),CI12,INDEX('[1]Définition Maintenances'!$G:$G,MATCH($A12,'[1]Définition Maintenances'!$K:$K,0))+CI12),CI12))</f>
        <v>231</v>
      </c>
      <c r="CK12" s="27">
        <f>IF(ISNUMBER(VLOOKUP($D12,'Visu totale'!$D:$DH,CK$1,0)),CJ12-VLOOKUP($D12,'Visu totale'!$D:$DH,CK$1,0),IF(LEFT(VLOOKUP($D12,'Visu totale'!$D:$DH,CK$1,0),1)="V",IF(CJ12&gt;=INDEX('[1]Définition Maintenances'!$G:$G,MATCH($A12,'[1]Définition Maintenances'!$K:$K,0)),CJ12,INDEX('[1]Définition Maintenances'!$G:$G,MATCH($A12,'[1]Définition Maintenances'!$K:$K,0))+CJ12),CJ12))</f>
        <v>231</v>
      </c>
      <c r="CL12" s="25">
        <f>IF(ISNUMBER(VLOOKUP($D12,'Visu totale'!$D:$DH,CL$1,0)),CK12-VLOOKUP($D12,'Visu totale'!$D:$DH,CL$1,0),IF(LEFT(VLOOKUP($D12,'Visu totale'!$D:$DH,CL$1,0),1)="V",IF(CK12&gt;=INDEX('[1]Définition Maintenances'!$G:$G,MATCH($A12,'[1]Définition Maintenances'!$K:$K,0)),CK12,INDEX('[1]Définition Maintenances'!$G:$G,MATCH($A12,'[1]Définition Maintenances'!$K:$K,0))+CK12),CK12))</f>
        <v>231</v>
      </c>
      <c r="CM12" s="26">
        <f>IF(ISNUMBER(VLOOKUP($D12,'Visu totale'!$D:$DH,CM$1,0)),CL12-VLOOKUP($D12,'Visu totale'!$D:$DH,CM$1,0),IF(LEFT(VLOOKUP($D12,'Visu totale'!$D:$DH,CM$1,0),1)="V",IF(CL12&gt;=INDEX('[1]Définition Maintenances'!$G:$G,MATCH($A12,'[1]Définition Maintenances'!$K:$K,0)),CL12,INDEX('[1]Définition Maintenances'!$G:$G,MATCH($A12,'[1]Définition Maintenances'!$K:$K,0))+CL12),CL12))</f>
        <v>231</v>
      </c>
      <c r="CN12" s="26">
        <f>IF(ISNUMBER(VLOOKUP($D12,'Visu totale'!$D:$DH,CN$1,0)),CM12-VLOOKUP($D12,'Visu totale'!$D:$DH,CN$1,0),IF(LEFT(VLOOKUP($D12,'Visu totale'!$D:$DH,CN$1,0),1)="V",IF(CM12&gt;=INDEX('[1]Définition Maintenances'!$G:$G,MATCH($A12,'[1]Définition Maintenances'!$K:$K,0)),CM12,INDEX('[1]Définition Maintenances'!$G:$G,MATCH($A12,'[1]Définition Maintenances'!$K:$K,0))+CM12),CM12))</f>
        <v>231</v>
      </c>
      <c r="CO12" s="26">
        <f>IF(ISNUMBER(VLOOKUP($D12,'Visu totale'!$D:$DH,CO$1,0)),CN12-VLOOKUP($D12,'Visu totale'!$D:$DH,CO$1,0),IF(LEFT(VLOOKUP($D12,'Visu totale'!$D:$DH,CO$1,0),1)="V",IF(CN12&gt;=INDEX('[1]Définition Maintenances'!$G:$G,MATCH($A12,'[1]Définition Maintenances'!$K:$K,0)),CN12,INDEX('[1]Définition Maintenances'!$G:$G,MATCH($A12,'[1]Définition Maintenances'!$K:$K,0))+CN12),CN12))</f>
        <v>231</v>
      </c>
      <c r="CP12" s="26">
        <f>IF(ISNUMBER(VLOOKUP($D12,'Visu totale'!$D:$DH,CP$1,0)),CO12-VLOOKUP($D12,'Visu totale'!$D:$DH,CP$1,0),IF(LEFT(VLOOKUP($D12,'Visu totale'!$D:$DH,CP$1,0),1)="V",IF(CO12&gt;=INDEX('[1]Définition Maintenances'!$G:$G,MATCH($A12,'[1]Définition Maintenances'!$K:$K,0)),CO12,INDEX('[1]Définition Maintenances'!$G:$G,MATCH($A12,'[1]Définition Maintenances'!$K:$K,0))+CO12),CO12))</f>
        <v>231</v>
      </c>
      <c r="CQ12" s="26">
        <f>IF(ISNUMBER(VLOOKUP($D12,'Visu totale'!$D:$DH,CQ$1,0)),CP12-VLOOKUP($D12,'Visu totale'!$D:$DH,CQ$1,0),IF(LEFT(VLOOKUP($D12,'Visu totale'!$D:$DH,CQ$1,0),1)="V",IF(CP12&gt;=INDEX('[1]Définition Maintenances'!$G:$G,MATCH($A12,'[1]Définition Maintenances'!$K:$K,0)),CP12,INDEX('[1]Définition Maintenances'!$G:$G,MATCH($A12,'[1]Définition Maintenances'!$K:$K,0))+CP12),CP12))</f>
        <v>231</v>
      </c>
      <c r="CR12" s="26">
        <f>IF(ISNUMBER(VLOOKUP($D12,'Visu totale'!$D:$DH,CR$1,0)),CQ12-VLOOKUP($D12,'Visu totale'!$D:$DH,CR$1,0),IF(LEFT(VLOOKUP($D12,'Visu totale'!$D:$DH,CR$1,0),1)="V",IF(CQ12&gt;=INDEX('[1]Définition Maintenances'!$G:$G,MATCH($A12,'[1]Définition Maintenances'!$K:$K,0)),CQ12,INDEX('[1]Définition Maintenances'!$G:$G,MATCH($A12,'[1]Définition Maintenances'!$K:$K,0))+CQ12),CQ12))</f>
        <v>231</v>
      </c>
      <c r="CS12" s="26">
        <f>IF(ISNUMBER(VLOOKUP($D12,'Visu totale'!$D:$DH,CS$1,0)),CR12-VLOOKUP($D12,'Visu totale'!$D:$DH,CS$1,0),IF(LEFT(VLOOKUP($D12,'Visu totale'!$D:$DH,CS$1,0),1)="V",IF(CR12&gt;=INDEX('[1]Définition Maintenances'!$G:$G,MATCH($A12,'[1]Définition Maintenances'!$K:$K,0)),CR12,INDEX('[1]Définition Maintenances'!$G:$G,MATCH($A12,'[1]Définition Maintenances'!$K:$K,0))+CR12),CR12))</f>
        <v>231</v>
      </c>
      <c r="CT12" s="26">
        <f>IF(ISNUMBER(VLOOKUP($D12,'Visu totale'!$D:$DH,CT$1,0)),CS12-VLOOKUP($D12,'Visu totale'!$D:$DH,CT$1,0),IF(LEFT(VLOOKUP($D12,'Visu totale'!$D:$DH,CT$1,0),1)="V",IF(CS12&gt;=INDEX('[1]Définition Maintenances'!$G:$G,MATCH($A12,'[1]Définition Maintenances'!$K:$K,0)),CS12,INDEX('[1]Définition Maintenances'!$G:$G,MATCH($A12,'[1]Définition Maintenances'!$K:$K,0))+CS12),CS12))</f>
        <v>231</v>
      </c>
      <c r="CU12" s="26">
        <f>IF(ISNUMBER(VLOOKUP($D12,'Visu totale'!$D:$DH,CU$1,0)),CT12-VLOOKUP($D12,'Visu totale'!$D:$DH,CU$1,0),IF(LEFT(VLOOKUP($D12,'Visu totale'!$D:$DH,CU$1,0),1)="V",IF(CT12&gt;=INDEX('[1]Définition Maintenances'!$G:$G,MATCH($A12,'[1]Définition Maintenances'!$K:$K,0)),CT12,INDEX('[1]Définition Maintenances'!$G:$G,MATCH($A12,'[1]Définition Maintenances'!$K:$K,0))+CT12),CT12))</f>
        <v>231</v>
      </c>
      <c r="CV12" s="26">
        <f>IF(ISNUMBER(VLOOKUP($D12,'Visu totale'!$D:$DH,CV$1,0)),CU12-VLOOKUP($D12,'Visu totale'!$D:$DH,CV$1,0),IF(LEFT(VLOOKUP($D12,'Visu totale'!$D:$DH,CV$1,0),1)="V",IF(CU12&gt;=INDEX('[1]Définition Maintenances'!$G:$G,MATCH($A12,'[1]Définition Maintenances'!$K:$K,0)),CU12,INDEX('[1]Définition Maintenances'!$G:$G,MATCH($A12,'[1]Définition Maintenances'!$K:$K,0))+CU12),CU12))</f>
        <v>231</v>
      </c>
      <c r="CW12" s="27">
        <f>IF(ISNUMBER(VLOOKUP($D12,'Visu totale'!$D:$DH,CW$1,0)),CV12-VLOOKUP($D12,'Visu totale'!$D:$DH,CW$1,0),IF(LEFT(VLOOKUP($D12,'Visu totale'!$D:$DH,CW$1,0),1)="V",IF(CV12&gt;=INDEX('[1]Définition Maintenances'!$G:$G,MATCH($A12,'[1]Définition Maintenances'!$K:$K,0)),CV12,INDEX('[1]Définition Maintenances'!$G:$G,MATCH($A12,'[1]Définition Maintenances'!$K:$K,0))+CV12),CV12))</f>
        <v>231</v>
      </c>
      <c r="CX12" s="25">
        <f>IF(ISNUMBER(VLOOKUP($D12,'Visu totale'!$D:$DH,CX$1,0)),CW12-VLOOKUP($D12,'Visu totale'!$D:$DH,CX$1,0),IF(LEFT(VLOOKUP($D12,'Visu totale'!$D:$DH,CX$1,0),1)="V",IF(CW12&gt;=INDEX('[1]Définition Maintenances'!$G:$G,MATCH($A12,'[1]Définition Maintenances'!$K:$K,0)),CW12,INDEX('[1]Définition Maintenances'!$G:$G,MATCH($A12,'[1]Définition Maintenances'!$K:$K,0))+CW12),CW12))</f>
        <v>231</v>
      </c>
      <c r="CY12" s="26">
        <f>IF(ISNUMBER(VLOOKUP($D12,'Visu totale'!$D:$DH,CY$1,0)),CX12-VLOOKUP($D12,'Visu totale'!$D:$DH,CY$1,0),IF(LEFT(VLOOKUP($D12,'Visu totale'!$D:$DH,CY$1,0),1)="V",IF(CX12&gt;=INDEX('[1]Définition Maintenances'!$G:$G,MATCH($A12,'[1]Définition Maintenances'!$K:$K,0)),CX12,INDEX('[1]Définition Maintenances'!$G:$G,MATCH($A12,'[1]Définition Maintenances'!$K:$K,0))+CX12),CX12))</f>
        <v>231</v>
      </c>
      <c r="CZ12" s="26">
        <f>IF(ISNUMBER(VLOOKUP($D12,'Visu totale'!$D:$DH,CZ$1,0)),CY12-VLOOKUP($D12,'Visu totale'!$D:$DH,CZ$1,0),IF(LEFT(VLOOKUP($D12,'Visu totale'!$D:$DH,CZ$1,0),1)="V",IF(CY12&gt;=INDEX('[1]Définition Maintenances'!$G:$G,MATCH($A12,'[1]Définition Maintenances'!$K:$K,0)),CY12,INDEX('[1]Définition Maintenances'!$G:$G,MATCH($A12,'[1]Définition Maintenances'!$K:$K,0))+CY12),CY12))</f>
        <v>231</v>
      </c>
      <c r="DA12" s="26">
        <f>IF(ISNUMBER(VLOOKUP($D12,'Visu totale'!$D:$DH,DA$1,0)),CZ12-VLOOKUP($D12,'Visu totale'!$D:$DH,DA$1,0),IF(LEFT(VLOOKUP($D12,'Visu totale'!$D:$DH,DA$1,0),1)="V",IF(CZ12&gt;=INDEX('[1]Définition Maintenances'!$G:$G,MATCH($A12,'[1]Définition Maintenances'!$K:$K,0)),CZ12,INDEX('[1]Définition Maintenances'!$G:$G,MATCH($A12,'[1]Définition Maintenances'!$K:$K,0))+CZ12),CZ12))</f>
        <v>231</v>
      </c>
      <c r="DB12" s="26">
        <f>IF(ISNUMBER(VLOOKUP($D12,'Visu totale'!$D:$DH,DB$1,0)),DA12-VLOOKUP($D12,'Visu totale'!$D:$DH,DB$1,0),IF(LEFT(VLOOKUP($D12,'Visu totale'!$D:$DH,DB$1,0),1)="V",IF(DA12&gt;=INDEX('[1]Définition Maintenances'!$G:$G,MATCH($A12,'[1]Définition Maintenances'!$K:$K,0)),DA12,INDEX('[1]Définition Maintenances'!$G:$G,MATCH($A12,'[1]Définition Maintenances'!$K:$K,0))+DA12),DA12))</f>
        <v>231</v>
      </c>
      <c r="DC12" s="26">
        <f>IF(ISNUMBER(VLOOKUP($D12,'Visu totale'!$D:$DH,DC$1,0)),DB12-VLOOKUP($D12,'Visu totale'!$D:$DH,DC$1,0),IF(LEFT(VLOOKUP($D12,'Visu totale'!$D:$DH,DC$1,0),1)="V",IF(DB12&gt;=INDEX('[1]Définition Maintenances'!$G:$G,MATCH($A12,'[1]Définition Maintenances'!$K:$K,0)),DB12,INDEX('[1]Définition Maintenances'!$G:$G,MATCH($A12,'[1]Définition Maintenances'!$K:$K,0))+DB12),DB12))</f>
        <v>231</v>
      </c>
      <c r="DD12" s="26">
        <f>IF(ISNUMBER(VLOOKUP($D12,'Visu totale'!$D:$DH,DD$1,0)),DC12-VLOOKUP($D12,'Visu totale'!$D:$DH,DD$1,0),IF(LEFT(VLOOKUP($D12,'Visu totale'!$D:$DH,DD$1,0),1)="V",IF(DC12&gt;=INDEX('[1]Définition Maintenances'!$G:$G,MATCH($A12,'[1]Définition Maintenances'!$K:$K,0)),DC12,INDEX('[1]Définition Maintenances'!$G:$G,MATCH($A12,'[1]Définition Maintenances'!$K:$K,0))+DC12),DC12))</f>
        <v>231</v>
      </c>
      <c r="DE12" s="26">
        <f>IF(ISNUMBER(VLOOKUP($D12,'Visu totale'!$D:$DH,DE$1,0)),DD12-VLOOKUP($D12,'Visu totale'!$D:$DH,DE$1,0),IF(LEFT(VLOOKUP($D12,'Visu totale'!$D:$DH,DE$1,0),1)="V",IF(DD12&gt;=INDEX('[1]Définition Maintenances'!$G:$G,MATCH($A12,'[1]Définition Maintenances'!$K:$K,0)),DD12,INDEX('[1]Définition Maintenances'!$G:$G,MATCH($A12,'[1]Définition Maintenances'!$K:$K,0))+DD12),DD12))</f>
        <v>231</v>
      </c>
      <c r="DF12" s="26">
        <f>IF(ISNUMBER(VLOOKUP($D12,'Visu totale'!$D:$DH,DF$1,0)),DE12-VLOOKUP($D12,'Visu totale'!$D:$DH,DF$1,0),IF(LEFT(VLOOKUP($D12,'Visu totale'!$D:$DH,DF$1,0),1)="V",IF(DE12&gt;=INDEX('[1]Définition Maintenances'!$G:$G,MATCH($A12,'[1]Définition Maintenances'!$K:$K,0)),DE12,INDEX('[1]Définition Maintenances'!$G:$G,MATCH($A12,'[1]Définition Maintenances'!$K:$K,0))+DE12),DE12))</f>
        <v>231</v>
      </c>
      <c r="DG12" s="26">
        <f>IF(ISNUMBER(VLOOKUP($D12,'Visu totale'!$D:$DH,DG$1,0)),DF12-VLOOKUP($D12,'Visu totale'!$D:$DH,DG$1,0),IF(LEFT(VLOOKUP($D12,'Visu totale'!$D:$DH,DG$1,0),1)="V",IF(DF12&gt;=INDEX('[1]Définition Maintenances'!$G:$G,MATCH($A12,'[1]Définition Maintenances'!$K:$K,0)),DF12,INDEX('[1]Définition Maintenances'!$G:$G,MATCH($A12,'[1]Définition Maintenances'!$K:$K,0))+DF12),DF12))</f>
        <v>231</v>
      </c>
      <c r="DH12" s="26">
        <f>IF(ISNUMBER(VLOOKUP($D12,'Visu totale'!$D:$DH,DH$1,0)),DG12-VLOOKUP($D12,'Visu totale'!$D:$DH,DH$1,0),IF(LEFT(VLOOKUP($D12,'Visu totale'!$D:$DH,DH$1,0),1)="V",IF(DG12&gt;=INDEX('[1]Définition Maintenances'!$G:$G,MATCH($A12,'[1]Définition Maintenances'!$K:$K,0)),DG12,INDEX('[1]Définition Maintenances'!$G:$G,MATCH($A12,'[1]Définition Maintenances'!$K:$K,0))+DG12),DG12))</f>
        <v>231</v>
      </c>
      <c r="DI12" s="27">
        <f>IF(ISNUMBER(VLOOKUP($D12,'Visu totale'!$D:$DH,DI$1,0)),DH12-VLOOKUP($D12,'Visu totale'!$D:$DH,DI$1,0),IF(LEFT(VLOOKUP($D12,'Visu totale'!$D:$DH,DI$1,0),1)="V",IF(DH12&gt;=INDEX('[1]Définition Maintenances'!$G:$G,MATCH($A12,'[1]Définition Maintenances'!$K:$K,0)),DH12,INDEX('[1]Définition Maintenances'!$G:$G,MATCH($A12,'[1]Définition Maintenances'!$K:$K,0))+DH12),DH12))</f>
        <v>231</v>
      </c>
    </row>
    <row r="13" spans="1:113" x14ac:dyDescent="0.25">
      <c r="A13" s="13" t="str">
        <f t="shared" si="0"/>
        <v>V30D</v>
      </c>
      <c r="B13" s="13" t="str">
        <f>VLOOKUP(D13,'[1]Avions (Potentiels)'!$B$2:$H$128,7,FALSE)</f>
        <v>V30</v>
      </c>
      <c r="C13" s="13"/>
      <c r="D13" s="16" t="s">
        <v>16</v>
      </c>
      <c r="E13" s="13">
        <f>IFERROR(VALUE(SUBSTITUTE(VLOOKUP(D13,'[1]Avions (Potentiels)'!$B:$E,4,0),".",",")),VALUE(VLOOKUP(D13,'[1]Avions (Potentiels)'!$B:$E,4,0)))</f>
        <v>355</v>
      </c>
      <c r="F13" s="25">
        <f>IF(ISNUMBER(VLOOKUP($D13,'Visu totale'!$D:$DH,F$1,0)),E13-VLOOKUP($D13,'Visu totale'!$D:$DH,F$1,0),IF(LEFT(VLOOKUP($D13,'Visu totale'!$D:$DH,F$1,0),1)="V",IF(E13&gt;=INDEX('[1]Définition Maintenances'!$G:$G,MATCH($A13,'[1]Définition Maintenances'!$K:$K,0)),E13,INDEX('[1]Définition Maintenances'!$G:$G,MATCH($A13,'[1]Définition Maintenances'!$K:$K,0))+E13),E13))</f>
        <v>355</v>
      </c>
      <c r="G13" s="26">
        <f>IF(ISNUMBER(VLOOKUP($D13,'Visu totale'!$D:$DH,G$1,0)),F13-VLOOKUP($D13,'Visu totale'!$D:$DH,G$1,0),IF(LEFT(VLOOKUP($D13,'Visu totale'!$D:$DH,G$1,0),1)="V",IF(F13&gt;=INDEX('[1]Définition Maintenances'!$G:$G,MATCH($A13,'[1]Définition Maintenances'!$K:$K,0)),F13,INDEX('[1]Définition Maintenances'!$G:$G,MATCH($A13,'[1]Définition Maintenances'!$K:$K,0))+F13),F13))</f>
        <v>355</v>
      </c>
      <c r="H13" s="26">
        <f>IF(ISNUMBER(VLOOKUP($D13,'Visu totale'!$D:$DH,H$1,0)),G13-VLOOKUP($D13,'Visu totale'!$D:$DH,H$1,0),IF(LEFT(VLOOKUP($D13,'Visu totale'!$D:$DH,H$1,0),1)="V",IF(G13&gt;=INDEX('[1]Définition Maintenances'!$G:$G,MATCH($A13,'[1]Définition Maintenances'!$K:$K,0)),G13,INDEX('[1]Définition Maintenances'!$G:$G,MATCH($A13,'[1]Définition Maintenances'!$K:$K,0))+G13),G13))</f>
        <v>355</v>
      </c>
      <c r="I13" s="26">
        <f>IF(ISNUMBER(VLOOKUP($D13,'Visu totale'!$D:$DH,I$1,0)),H13-VLOOKUP($D13,'Visu totale'!$D:$DH,I$1,0),IF(LEFT(VLOOKUP($D13,'Visu totale'!$D:$DH,I$1,0),1)="V",IF(H13&gt;=INDEX('[1]Définition Maintenances'!$G:$G,MATCH($A13,'[1]Définition Maintenances'!$K:$K,0)),H13,INDEX('[1]Définition Maintenances'!$G:$G,MATCH($A13,'[1]Définition Maintenances'!$K:$K,0))+H13),H13))</f>
        <v>355</v>
      </c>
      <c r="J13" s="26">
        <f>IF(ISNUMBER(VLOOKUP($D13,'Visu totale'!$D:$DH,J$1,0)),I13-VLOOKUP($D13,'Visu totale'!$D:$DH,J$1,0),IF(LEFT(VLOOKUP($D13,'Visu totale'!$D:$DH,J$1,0),1)="V",IF(I13&gt;=INDEX('[1]Définition Maintenances'!$G:$G,MATCH($A13,'[1]Définition Maintenances'!$K:$K,0)),I13,INDEX('[1]Définition Maintenances'!$G:$G,MATCH($A13,'[1]Définition Maintenances'!$K:$K,0))+I13),I13))</f>
        <v>355</v>
      </c>
      <c r="K13" s="26">
        <f>IF(ISNUMBER(VLOOKUP($D13,'Visu totale'!$D:$DH,K$1,0)),J13-VLOOKUP($D13,'Visu totale'!$D:$DH,K$1,0),IF(LEFT(VLOOKUP($D13,'Visu totale'!$D:$DH,K$1,0),1)="V",IF(J13&gt;=INDEX('[1]Définition Maintenances'!$G:$G,MATCH($A13,'[1]Définition Maintenances'!$K:$K,0)),J13,INDEX('[1]Définition Maintenances'!$G:$G,MATCH($A13,'[1]Définition Maintenances'!$K:$K,0))+J13),J13))</f>
        <v>355</v>
      </c>
      <c r="L13" s="26">
        <f>IF(ISNUMBER(VLOOKUP($D13,'Visu totale'!$D:$DH,L$1,0)),K13-VLOOKUP($D13,'Visu totale'!$D:$DH,L$1,0),IF(LEFT(VLOOKUP($D13,'Visu totale'!$D:$DH,L$1,0),1)="V",IF(K13&gt;=INDEX('[1]Définition Maintenances'!$G:$G,MATCH($A13,'[1]Définition Maintenances'!$K:$K,0)),K13,INDEX('[1]Définition Maintenances'!$G:$G,MATCH($A13,'[1]Définition Maintenances'!$K:$K,0))+K13),K13))</f>
        <v>355</v>
      </c>
      <c r="M13" s="26">
        <f>IF(ISNUMBER(VLOOKUP($D13,'Visu totale'!$D:$DH,M$1,0)),L13-VLOOKUP($D13,'Visu totale'!$D:$DH,M$1,0),IF(LEFT(VLOOKUP($D13,'Visu totale'!$D:$DH,M$1,0),1)="V",IF(L13&gt;=INDEX('[1]Définition Maintenances'!$G:$G,MATCH($A13,'[1]Définition Maintenances'!$K:$K,0)),L13,INDEX('[1]Définition Maintenances'!$G:$G,MATCH($A13,'[1]Définition Maintenances'!$K:$K,0))+L13),L13))</f>
        <v>355</v>
      </c>
      <c r="N13" s="26">
        <f>IF(ISNUMBER(VLOOKUP($D13,'Visu totale'!$D:$DH,N$1,0)),M13-VLOOKUP($D13,'Visu totale'!$D:$DH,N$1,0),IF(LEFT(VLOOKUP($D13,'Visu totale'!$D:$DH,N$1,0),1)="V",IF(M13&gt;=INDEX('[1]Définition Maintenances'!$G:$G,MATCH($A13,'[1]Définition Maintenances'!$K:$K,0)),M13,INDEX('[1]Définition Maintenances'!$G:$G,MATCH($A13,'[1]Définition Maintenances'!$K:$K,0))+M13),M13))</f>
        <v>355</v>
      </c>
      <c r="O13" s="26">
        <f>IF(ISNUMBER(VLOOKUP($D13,'Visu totale'!$D:$DH,O$1,0)),N13-VLOOKUP($D13,'Visu totale'!$D:$DH,O$1,0),IF(LEFT(VLOOKUP($D13,'Visu totale'!$D:$DH,O$1,0),1)="V",IF(N13&gt;=INDEX('[1]Définition Maintenances'!$G:$G,MATCH($A13,'[1]Définition Maintenances'!$K:$K,0)),N13,INDEX('[1]Définition Maintenances'!$G:$G,MATCH($A13,'[1]Définition Maintenances'!$K:$K,0))+N13),N13))</f>
        <v>355</v>
      </c>
      <c r="P13" s="26">
        <f>IF(ISNUMBER(VLOOKUP($D13,'Visu totale'!$D:$DH,P$1,0)),O13-VLOOKUP($D13,'Visu totale'!$D:$DH,P$1,0),IF(LEFT(VLOOKUP($D13,'Visu totale'!$D:$DH,P$1,0),1)="V",IF(O13&gt;=INDEX('[1]Définition Maintenances'!$G:$G,MATCH($A13,'[1]Définition Maintenances'!$K:$K,0)),O13,INDEX('[1]Définition Maintenances'!$G:$G,MATCH($A13,'[1]Définition Maintenances'!$K:$K,0))+O13),O13))</f>
        <v>355</v>
      </c>
      <c r="Q13" s="27">
        <f>IF(ISNUMBER(VLOOKUP($D13,'Visu totale'!$D:$DH,Q$1,0)),P13-VLOOKUP($D13,'Visu totale'!$D:$DH,Q$1,0),IF(LEFT(VLOOKUP($D13,'Visu totale'!$D:$DH,Q$1,0),1)="V",IF(P13&gt;=INDEX('[1]Définition Maintenances'!$G:$G,MATCH($A13,'[1]Définition Maintenances'!$K:$K,0)),P13,INDEX('[1]Définition Maintenances'!$G:$G,MATCH($A13,'[1]Définition Maintenances'!$K:$K,0))+P13),P13))</f>
        <v>355</v>
      </c>
      <c r="R13" s="25">
        <f>IF(ISNUMBER(VLOOKUP($D13,'Visu totale'!$D:$DH,R$1,0)),Q13-VLOOKUP($D13,'Visu totale'!$D:$DH,R$1,0),IF(LEFT(VLOOKUP($D13,'Visu totale'!$D:$DH,R$1,0),1)="V",IF(Q13&gt;=INDEX('[1]Définition Maintenances'!$G:$G,MATCH($A13,'[1]Définition Maintenances'!$K:$K,0)),Q13,INDEX('[1]Définition Maintenances'!$G:$G,MATCH($A13,'[1]Définition Maintenances'!$K:$K,0))+Q13),Q13))</f>
        <v>355</v>
      </c>
      <c r="S13" s="26">
        <f>IF(ISNUMBER(VLOOKUP($D13,'Visu totale'!$D:$DH,S$1,0)),R13-VLOOKUP($D13,'Visu totale'!$D:$DH,S$1,0),IF(LEFT(VLOOKUP($D13,'Visu totale'!$D:$DH,S$1,0),1)="V",IF(R13&gt;=INDEX('[1]Définition Maintenances'!$G:$G,MATCH($A13,'[1]Définition Maintenances'!$K:$K,0)),R13,INDEX('[1]Définition Maintenances'!$G:$G,MATCH($A13,'[1]Définition Maintenances'!$K:$K,0))+R13),R13))</f>
        <v>355</v>
      </c>
      <c r="T13" s="26">
        <f>IF(ISNUMBER(VLOOKUP($D13,'Visu totale'!$D:$DH,T$1,0)),S13-VLOOKUP($D13,'Visu totale'!$D:$DH,T$1,0),IF(LEFT(VLOOKUP($D13,'Visu totale'!$D:$DH,T$1,0),1)="V",IF(S13&gt;=INDEX('[1]Définition Maintenances'!$G:$G,MATCH($A13,'[1]Définition Maintenances'!$K:$K,0)),S13,INDEX('[1]Définition Maintenances'!$G:$G,MATCH($A13,'[1]Définition Maintenances'!$K:$K,0))+S13),S13))</f>
        <v>355</v>
      </c>
      <c r="U13" s="26">
        <f>IF(ISNUMBER(VLOOKUP($D13,'Visu totale'!$D:$DH,U$1,0)),T13-VLOOKUP($D13,'Visu totale'!$D:$DH,U$1,0),IF(LEFT(VLOOKUP($D13,'Visu totale'!$D:$DH,U$1,0),1)="V",IF(T13&gt;=INDEX('[1]Définition Maintenances'!$G:$G,MATCH($A13,'[1]Définition Maintenances'!$K:$K,0)),T13,INDEX('[1]Définition Maintenances'!$G:$G,MATCH($A13,'[1]Définition Maintenances'!$K:$K,0))+T13),T13))</f>
        <v>355</v>
      </c>
      <c r="V13" s="26">
        <f>IF(ISNUMBER(VLOOKUP($D13,'Visu totale'!$D:$DH,V$1,0)),U13-VLOOKUP($D13,'Visu totale'!$D:$DH,V$1,0),IF(LEFT(VLOOKUP($D13,'Visu totale'!$D:$DH,V$1,0),1)="V",IF(U13&gt;=INDEX('[1]Définition Maintenances'!$G:$G,MATCH($A13,'[1]Définition Maintenances'!$K:$K,0)),U13,INDEX('[1]Définition Maintenances'!$G:$G,MATCH($A13,'[1]Définition Maintenances'!$K:$K,0))+U13),U13))</f>
        <v>355</v>
      </c>
      <c r="W13" s="26">
        <f>IF(ISNUMBER(VLOOKUP($D13,'Visu totale'!$D:$DH,W$1,0)),V13-VLOOKUP($D13,'Visu totale'!$D:$DH,W$1,0),IF(LEFT(VLOOKUP($D13,'Visu totale'!$D:$DH,W$1,0),1)="V",IF(V13&gt;=INDEX('[1]Définition Maintenances'!$G:$G,MATCH($A13,'[1]Définition Maintenances'!$K:$K,0)),V13,INDEX('[1]Définition Maintenances'!$G:$G,MATCH($A13,'[1]Définition Maintenances'!$K:$K,0))+V13),V13))</f>
        <v>355</v>
      </c>
      <c r="X13" s="26">
        <f>IF(ISNUMBER(VLOOKUP($D13,'Visu totale'!$D:$DH,X$1,0)),W13-VLOOKUP($D13,'Visu totale'!$D:$DH,X$1,0),IF(LEFT(VLOOKUP($D13,'Visu totale'!$D:$DH,X$1,0),1)="V",IF(W13&gt;=INDEX('[1]Définition Maintenances'!$G:$G,MATCH($A13,'[1]Définition Maintenances'!$K:$K,0)),W13,INDEX('[1]Définition Maintenances'!$G:$G,MATCH($A13,'[1]Définition Maintenances'!$K:$K,0))+W13),W13))</f>
        <v>355</v>
      </c>
      <c r="Y13" s="26">
        <f>IF(ISNUMBER(VLOOKUP($D13,'Visu totale'!$D:$DH,Y$1,0)),X13-VLOOKUP($D13,'Visu totale'!$D:$DH,Y$1,0),IF(LEFT(VLOOKUP($D13,'Visu totale'!$D:$DH,Y$1,0),1)="V",IF(X13&gt;=INDEX('[1]Définition Maintenances'!$G:$G,MATCH($A13,'[1]Définition Maintenances'!$K:$K,0)),X13,INDEX('[1]Définition Maintenances'!$G:$G,MATCH($A13,'[1]Définition Maintenances'!$K:$K,0))+X13),X13))</f>
        <v>355</v>
      </c>
      <c r="Z13" s="26">
        <f>IF(ISNUMBER(VLOOKUP($D13,'Visu totale'!$D:$DH,Z$1,0)),Y13-VLOOKUP($D13,'Visu totale'!$D:$DH,Z$1,0),IF(LEFT(VLOOKUP($D13,'Visu totale'!$D:$DH,Z$1,0),1)="V",IF(Y13&gt;=INDEX('[1]Définition Maintenances'!$G:$G,MATCH($A13,'[1]Définition Maintenances'!$K:$K,0)),Y13,INDEX('[1]Définition Maintenances'!$G:$G,MATCH($A13,'[1]Définition Maintenances'!$K:$K,0))+Y13),Y13))</f>
        <v>355</v>
      </c>
      <c r="AA13" s="26">
        <f>IF(ISNUMBER(VLOOKUP($D13,'Visu totale'!$D:$DH,AA$1,0)),Z13-VLOOKUP($D13,'Visu totale'!$D:$DH,AA$1,0),IF(LEFT(VLOOKUP($D13,'Visu totale'!$D:$DH,AA$1,0),1)="V",IF(Z13&gt;=INDEX('[1]Définition Maintenances'!$G:$G,MATCH($A13,'[1]Définition Maintenances'!$K:$K,0)),Z13,INDEX('[1]Définition Maintenances'!$G:$G,MATCH($A13,'[1]Définition Maintenances'!$K:$K,0))+Z13),Z13))</f>
        <v>355</v>
      </c>
      <c r="AB13" s="26">
        <f>IF(ISNUMBER(VLOOKUP($D13,'Visu totale'!$D:$DH,AB$1,0)),AA13-VLOOKUP($D13,'Visu totale'!$D:$DH,AB$1,0),IF(LEFT(VLOOKUP($D13,'Visu totale'!$D:$DH,AB$1,0),1)="V",IF(AA13&gt;=INDEX('[1]Définition Maintenances'!$G:$G,MATCH($A13,'[1]Définition Maintenances'!$K:$K,0)),AA13,INDEX('[1]Définition Maintenances'!$G:$G,MATCH($A13,'[1]Définition Maintenances'!$K:$K,0))+AA13),AA13))</f>
        <v>355</v>
      </c>
      <c r="AC13" s="27">
        <f>IF(ISNUMBER(VLOOKUP($D13,'Visu totale'!$D:$DH,AC$1,0)),AB13-VLOOKUP($D13,'Visu totale'!$D:$DH,AC$1,0),IF(LEFT(VLOOKUP($D13,'Visu totale'!$D:$DH,AC$1,0),1)="V",IF(AB13&gt;=INDEX('[1]Définition Maintenances'!$G:$G,MATCH($A13,'[1]Définition Maintenances'!$K:$K,0)),AB13,INDEX('[1]Définition Maintenances'!$G:$G,MATCH($A13,'[1]Définition Maintenances'!$K:$K,0))+AB13),AB13))</f>
        <v>355</v>
      </c>
      <c r="AD13" s="25">
        <f>IF(ISNUMBER(VLOOKUP($D13,'Visu totale'!$D:$DH,AD$1,0)),AC13-VLOOKUP($D13,'Visu totale'!$D:$DH,AD$1,0),IF(LEFT(VLOOKUP($D13,'Visu totale'!$D:$DH,AD$1,0),1)="V",IF(AC13&gt;=INDEX('[1]Définition Maintenances'!$G:$G,MATCH($A13,'[1]Définition Maintenances'!$K:$K,0)),AC13,INDEX('[1]Définition Maintenances'!$G:$G,MATCH($A13,'[1]Définition Maintenances'!$K:$K,0))+AC13),AC13))</f>
        <v>355</v>
      </c>
      <c r="AE13" s="26">
        <f>IF(ISNUMBER(VLOOKUP($D13,'Visu totale'!$D:$DH,AE$1,0)),AD13-VLOOKUP($D13,'Visu totale'!$D:$DH,AE$1,0),IF(LEFT(VLOOKUP($D13,'Visu totale'!$D:$DH,AE$1,0),1)="V",IF(AD13&gt;=INDEX('[1]Définition Maintenances'!$G:$G,MATCH($A13,'[1]Définition Maintenances'!$K:$K,0)),AD13,INDEX('[1]Définition Maintenances'!$G:$G,MATCH($A13,'[1]Définition Maintenances'!$K:$K,0))+AD13),AD13))</f>
        <v>355</v>
      </c>
      <c r="AF13" s="26">
        <f>IF(ISNUMBER(VLOOKUP($D13,'Visu totale'!$D:$DH,AF$1,0)),AE13-VLOOKUP($D13,'Visu totale'!$D:$DH,AF$1,0),IF(LEFT(VLOOKUP($D13,'Visu totale'!$D:$DH,AF$1,0),1)="V",IF(AE13&gt;=INDEX('[1]Définition Maintenances'!$G:$G,MATCH($A13,'[1]Définition Maintenances'!$K:$K,0)),AE13,INDEX('[1]Définition Maintenances'!$G:$G,MATCH($A13,'[1]Définition Maintenances'!$K:$K,0))+AE13),AE13))</f>
        <v>355</v>
      </c>
      <c r="AG13" s="26">
        <f>IF(ISNUMBER(VLOOKUP($D13,'Visu totale'!$D:$DH,AG$1,0)),AF13-VLOOKUP($D13,'Visu totale'!$D:$DH,AG$1,0),IF(LEFT(VLOOKUP($D13,'Visu totale'!$D:$DH,AG$1,0),1)="V",IF(AF13&gt;=INDEX('[1]Définition Maintenances'!$G:$G,MATCH($A13,'[1]Définition Maintenances'!$K:$K,0)),AF13,INDEX('[1]Définition Maintenances'!$G:$G,MATCH($A13,'[1]Définition Maintenances'!$K:$K,0))+AF13),AF13))</f>
        <v>355</v>
      </c>
      <c r="AH13" s="26">
        <f>IF(ISNUMBER(VLOOKUP($D13,'Visu totale'!$D:$DH,AH$1,0)),AG13-VLOOKUP($D13,'Visu totale'!$D:$DH,AH$1,0),IF(LEFT(VLOOKUP($D13,'Visu totale'!$D:$DH,AH$1,0),1)="V",IF(AG13&gt;=INDEX('[1]Définition Maintenances'!$G:$G,MATCH($A13,'[1]Définition Maintenances'!$K:$K,0)),AG13,INDEX('[1]Définition Maintenances'!$G:$G,MATCH($A13,'[1]Définition Maintenances'!$K:$K,0))+AG13),AG13))</f>
        <v>355</v>
      </c>
      <c r="AI13" s="26">
        <f>IF(ISNUMBER(VLOOKUP($D13,'Visu totale'!$D:$DH,AI$1,0)),AH13-VLOOKUP($D13,'Visu totale'!$D:$DH,AI$1,0),IF(LEFT(VLOOKUP($D13,'Visu totale'!$D:$DH,AI$1,0),1)="V",IF(AH13&gt;=INDEX('[1]Définition Maintenances'!$G:$G,MATCH($A13,'[1]Définition Maintenances'!$K:$K,0)),AH13,INDEX('[1]Définition Maintenances'!$G:$G,MATCH($A13,'[1]Définition Maintenances'!$K:$K,0))+AH13),AH13))</f>
        <v>355</v>
      </c>
      <c r="AJ13" s="26">
        <f>IF(ISNUMBER(VLOOKUP($D13,'Visu totale'!$D:$DH,AJ$1,0)),AI13-VLOOKUP($D13,'Visu totale'!$D:$DH,AJ$1,0),IF(LEFT(VLOOKUP($D13,'Visu totale'!$D:$DH,AJ$1,0),1)="V",IF(AI13&gt;=INDEX('[1]Définition Maintenances'!$G:$G,MATCH($A13,'[1]Définition Maintenances'!$K:$K,0)),AI13,INDEX('[1]Définition Maintenances'!$G:$G,MATCH($A13,'[1]Définition Maintenances'!$K:$K,0))+AI13),AI13))</f>
        <v>355</v>
      </c>
      <c r="AK13" s="26">
        <f>IF(ISNUMBER(VLOOKUP($D13,'Visu totale'!$D:$DH,AK$1,0)),AJ13-VLOOKUP($D13,'Visu totale'!$D:$DH,AK$1,0),IF(LEFT(VLOOKUP($D13,'Visu totale'!$D:$DH,AK$1,0),1)="V",IF(AJ13&gt;=INDEX('[1]Définition Maintenances'!$G:$G,MATCH($A13,'[1]Définition Maintenances'!$K:$K,0)),AJ13,INDEX('[1]Définition Maintenances'!$G:$G,MATCH($A13,'[1]Définition Maintenances'!$K:$K,0))+AJ13),AJ13))</f>
        <v>355</v>
      </c>
      <c r="AL13" s="26">
        <f>IF(ISNUMBER(VLOOKUP($D13,'Visu totale'!$D:$DH,AL$1,0)),AK13-VLOOKUP($D13,'Visu totale'!$D:$DH,AL$1,0),IF(LEFT(VLOOKUP($D13,'Visu totale'!$D:$DH,AL$1,0),1)="V",IF(AK13&gt;=INDEX('[1]Définition Maintenances'!$G:$G,MATCH($A13,'[1]Définition Maintenances'!$K:$K,0)),AK13,INDEX('[1]Définition Maintenances'!$G:$G,MATCH($A13,'[1]Définition Maintenances'!$K:$K,0))+AK13),AK13))</f>
        <v>355</v>
      </c>
      <c r="AM13" s="26">
        <f>IF(ISNUMBER(VLOOKUP($D13,'Visu totale'!$D:$DH,AM$1,0)),AL13-VLOOKUP($D13,'Visu totale'!$D:$DH,AM$1,0),IF(LEFT(VLOOKUP($D13,'Visu totale'!$D:$DH,AM$1,0),1)="V",IF(AL13&gt;=INDEX('[1]Définition Maintenances'!$G:$G,MATCH($A13,'[1]Définition Maintenances'!$K:$K,0)),AL13,INDEX('[1]Définition Maintenances'!$G:$G,MATCH($A13,'[1]Définition Maintenances'!$K:$K,0))+AL13),AL13))</f>
        <v>355</v>
      </c>
      <c r="AN13" s="26">
        <f>IF(ISNUMBER(VLOOKUP($D13,'Visu totale'!$D:$DH,AN$1,0)),AM13-VLOOKUP($D13,'Visu totale'!$D:$DH,AN$1,0),IF(LEFT(VLOOKUP($D13,'Visu totale'!$D:$DH,AN$1,0),1)="V",IF(AM13&gt;=INDEX('[1]Définition Maintenances'!$G:$G,MATCH($A13,'[1]Définition Maintenances'!$K:$K,0)),AM13,INDEX('[1]Définition Maintenances'!$G:$G,MATCH($A13,'[1]Définition Maintenances'!$K:$K,0))+AM13),AM13))</f>
        <v>355</v>
      </c>
      <c r="AO13" s="27">
        <f>IF(ISNUMBER(VLOOKUP($D13,'Visu totale'!$D:$DH,AO$1,0)),AN13-VLOOKUP($D13,'Visu totale'!$D:$DH,AO$1,0),IF(LEFT(VLOOKUP($D13,'Visu totale'!$D:$DH,AO$1,0),1)="V",IF(AN13&gt;=INDEX('[1]Définition Maintenances'!$G:$G,MATCH($A13,'[1]Définition Maintenances'!$K:$K,0)),AN13,INDEX('[1]Définition Maintenances'!$G:$G,MATCH($A13,'[1]Définition Maintenances'!$K:$K,0))+AN13),AN13))</f>
        <v>355</v>
      </c>
      <c r="AP13" s="25">
        <f>IF(ISNUMBER(VLOOKUP($D13,'Visu totale'!$D:$DH,AP$1,0)),AO13-VLOOKUP($D13,'Visu totale'!$D:$DH,AP$1,0),IF(LEFT(VLOOKUP($D13,'Visu totale'!$D:$DH,AP$1,0),1)="V",IF(AO13&gt;=INDEX('[1]Définition Maintenances'!$G:$G,MATCH($A13,'[1]Définition Maintenances'!$K:$K,0)),AO13,INDEX('[1]Définition Maintenances'!$G:$G,MATCH($A13,'[1]Définition Maintenances'!$K:$K,0))+AO13),AO13))</f>
        <v>355</v>
      </c>
      <c r="AQ13" s="26">
        <f>IF(ISNUMBER(VLOOKUP($D13,'Visu totale'!$D:$DH,AQ$1,0)),AP13-VLOOKUP($D13,'Visu totale'!$D:$DH,AQ$1,0),IF(LEFT(VLOOKUP($D13,'Visu totale'!$D:$DH,AQ$1,0),1)="V",IF(AP13&gt;=INDEX('[1]Définition Maintenances'!$G:$G,MATCH($A13,'[1]Définition Maintenances'!$K:$K,0)),AP13,INDEX('[1]Définition Maintenances'!$G:$G,MATCH($A13,'[1]Définition Maintenances'!$K:$K,0))+AP13),AP13))</f>
        <v>355</v>
      </c>
      <c r="AR13" s="26">
        <f>IF(ISNUMBER(VLOOKUP($D13,'Visu totale'!$D:$DH,AR$1,0)),AQ13-VLOOKUP($D13,'Visu totale'!$D:$DH,AR$1,0),IF(LEFT(VLOOKUP($D13,'Visu totale'!$D:$DH,AR$1,0),1)="V",IF(AQ13&gt;=INDEX('[1]Définition Maintenances'!$G:$G,MATCH($A13,'[1]Définition Maintenances'!$K:$K,0)),AQ13,INDEX('[1]Définition Maintenances'!$G:$G,MATCH($A13,'[1]Définition Maintenances'!$K:$K,0))+AQ13),AQ13))</f>
        <v>355</v>
      </c>
      <c r="AS13" s="26">
        <f>IF(ISNUMBER(VLOOKUP($D13,'Visu totale'!$D:$DH,AS$1,0)),AR13-VLOOKUP($D13,'Visu totale'!$D:$DH,AS$1,0),IF(LEFT(VLOOKUP($D13,'Visu totale'!$D:$DH,AS$1,0),1)="V",IF(AR13&gt;=INDEX('[1]Définition Maintenances'!$G:$G,MATCH($A13,'[1]Définition Maintenances'!$K:$K,0)),AR13,INDEX('[1]Définition Maintenances'!$G:$G,MATCH($A13,'[1]Définition Maintenances'!$K:$K,0))+AR13),AR13))</f>
        <v>355</v>
      </c>
      <c r="AT13" s="26">
        <f>IF(ISNUMBER(VLOOKUP($D13,'Visu totale'!$D:$DH,AT$1,0)),AS13-VLOOKUP($D13,'Visu totale'!$D:$DH,AT$1,0),IF(LEFT(VLOOKUP($D13,'Visu totale'!$D:$DH,AT$1,0),1)="V",IF(AS13&gt;=INDEX('[1]Définition Maintenances'!$G:$G,MATCH($A13,'[1]Définition Maintenances'!$K:$K,0)),AS13,INDEX('[1]Définition Maintenances'!$G:$G,MATCH($A13,'[1]Définition Maintenances'!$K:$K,0))+AS13),AS13))</f>
        <v>355</v>
      </c>
      <c r="AU13" s="26">
        <f>IF(ISNUMBER(VLOOKUP($D13,'Visu totale'!$D:$DH,AU$1,0)),AT13-VLOOKUP($D13,'Visu totale'!$D:$DH,AU$1,0),IF(LEFT(VLOOKUP($D13,'Visu totale'!$D:$DH,AU$1,0),1)="V",IF(AT13&gt;=INDEX('[1]Définition Maintenances'!$G:$G,MATCH($A13,'[1]Définition Maintenances'!$K:$K,0)),AT13,INDEX('[1]Définition Maintenances'!$G:$G,MATCH($A13,'[1]Définition Maintenances'!$K:$K,0))+AT13),AT13))</f>
        <v>355</v>
      </c>
      <c r="AV13" s="26">
        <f>IF(ISNUMBER(VLOOKUP($D13,'Visu totale'!$D:$DH,AV$1,0)),AU13-VLOOKUP($D13,'Visu totale'!$D:$DH,AV$1,0),IF(LEFT(VLOOKUP($D13,'Visu totale'!$D:$DH,AV$1,0),1)="V",IF(AU13&gt;=INDEX('[1]Définition Maintenances'!$G:$G,MATCH($A13,'[1]Définition Maintenances'!$K:$K,0)),AU13,INDEX('[1]Définition Maintenances'!$G:$G,MATCH($A13,'[1]Définition Maintenances'!$K:$K,0))+AU13),AU13))</f>
        <v>355</v>
      </c>
      <c r="AW13" s="26">
        <f>IF(ISNUMBER(VLOOKUP($D13,'Visu totale'!$D:$DH,AW$1,0)),AV13-VLOOKUP($D13,'Visu totale'!$D:$DH,AW$1,0),IF(LEFT(VLOOKUP($D13,'Visu totale'!$D:$DH,AW$1,0),1)="V",IF(AV13&gt;=INDEX('[1]Définition Maintenances'!$G:$G,MATCH($A13,'[1]Définition Maintenances'!$K:$K,0)),AV13,INDEX('[1]Définition Maintenances'!$G:$G,MATCH($A13,'[1]Définition Maintenances'!$K:$K,0))+AV13),AV13))</f>
        <v>355</v>
      </c>
      <c r="AX13" s="26">
        <f>IF(ISNUMBER(VLOOKUP($D13,'Visu totale'!$D:$DH,AX$1,0)),AW13-VLOOKUP($D13,'Visu totale'!$D:$DH,AX$1,0),IF(LEFT(VLOOKUP($D13,'Visu totale'!$D:$DH,AX$1,0),1)="V",IF(AW13&gt;=INDEX('[1]Définition Maintenances'!$G:$G,MATCH($A13,'[1]Définition Maintenances'!$K:$K,0)),AW13,INDEX('[1]Définition Maintenances'!$G:$G,MATCH($A13,'[1]Définition Maintenances'!$K:$K,0))+AW13),AW13))</f>
        <v>355</v>
      </c>
      <c r="AY13" s="26">
        <f>IF(ISNUMBER(VLOOKUP($D13,'Visu totale'!$D:$DH,AY$1,0)),AX13-VLOOKUP($D13,'Visu totale'!$D:$DH,AY$1,0),IF(LEFT(VLOOKUP($D13,'Visu totale'!$D:$DH,AY$1,0),1)="V",IF(AX13&gt;=INDEX('[1]Définition Maintenances'!$G:$G,MATCH($A13,'[1]Définition Maintenances'!$K:$K,0)),AX13,INDEX('[1]Définition Maintenances'!$G:$G,MATCH($A13,'[1]Définition Maintenances'!$K:$K,0))+AX13),AX13))</f>
        <v>355</v>
      </c>
      <c r="AZ13" s="26">
        <f>IF(ISNUMBER(VLOOKUP($D13,'Visu totale'!$D:$DH,AZ$1,0)),AY13-VLOOKUP($D13,'Visu totale'!$D:$DH,AZ$1,0),IF(LEFT(VLOOKUP($D13,'Visu totale'!$D:$DH,AZ$1,0),1)="V",IF(AY13&gt;=INDEX('[1]Définition Maintenances'!$G:$G,MATCH($A13,'[1]Définition Maintenances'!$K:$K,0)),AY13,INDEX('[1]Définition Maintenances'!$G:$G,MATCH($A13,'[1]Définition Maintenances'!$K:$K,0))+AY13),AY13))</f>
        <v>355</v>
      </c>
      <c r="BA13" s="27">
        <f>IF(ISNUMBER(VLOOKUP($D13,'Visu totale'!$D:$DH,BA$1,0)),AZ13-VLOOKUP($D13,'Visu totale'!$D:$DH,BA$1,0),IF(LEFT(VLOOKUP($D13,'Visu totale'!$D:$DH,BA$1,0),1)="V",IF(AZ13&gt;=INDEX('[1]Définition Maintenances'!$G:$G,MATCH($A13,'[1]Définition Maintenances'!$K:$K,0)),AZ13,INDEX('[1]Définition Maintenances'!$G:$G,MATCH($A13,'[1]Définition Maintenances'!$K:$K,0))+AZ13),AZ13))</f>
        <v>355</v>
      </c>
      <c r="BB13" s="25">
        <f>IF(ISNUMBER(VLOOKUP($D13,'Visu totale'!$D:$DH,BB$1,0)),BA13-VLOOKUP($D13,'Visu totale'!$D:$DH,BB$1,0),IF(LEFT(VLOOKUP($D13,'Visu totale'!$D:$DH,BB$1,0),1)="V",IF(BA13&gt;=INDEX('[1]Définition Maintenances'!$G:$G,MATCH($A13,'[1]Définition Maintenances'!$K:$K,0)),BA13,INDEX('[1]Définition Maintenances'!$G:$G,MATCH($A13,'[1]Définition Maintenances'!$K:$K,0))+BA13),BA13))</f>
        <v>355</v>
      </c>
      <c r="BC13" s="26">
        <f>IF(ISNUMBER(VLOOKUP($D13,'Visu totale'!$D:$DH,BC$1,0)),BB13-VLOOKUP($D13,'Visu totale'!$D:$DH,BC$1,0),IF(LEFT(VLOOKUP($D13,'Visu totale'!$D:$DH,BC$1,0),1)="V",IF(BB13&gt;=INDEX('[1]Définition Maintenances'!$G:$G,MATCH($A13,'[1]Définition Maintenances'!$K:$K,0)),BB13,INDEX('[1]Définition Maintenances'!$G:$G,MATCH($A13,'[1]Définition Maintenances'!$K:$K,0))+BB13),BB13))</f>
        <v>355</v>
      </c>
      <c r="BD13" s="26">
        <f>IF(ISNUMBER(VLOOKUP($D13,'Visu totale'!$D:$DH,BD$1,0)),BC13-VLOOKUP($D13,'Visu totale'!$D:$DH,BD$1,0),IF(LEFT(VLOOKUP($D13,'Visu totale'!$D:$DH,BD$1,0),1)="V",IF(BC13&gt;=INDEX('[1]Définition Maintenances'!$G:$G,MATCH($A13,'[1]Définition Maintenances'!$K:$K,0)),BC13,INDEX('[1]Définition Maintenances'!$G:$G,MATCH($A13,'[1]Définition Maintenances'!$K:$K,0))+BC13),BC13))</f>
        <v>355</v>
      </c>
      <c r="BE13" s="26">
        <f>IF(ISNUMBER(VLOOKUP($D13,'Visu totale'!$D:$DH,BE$1,0)),BD13-VLOOKUP($D13,'Visu totale'!$D:$DH,BE$1,0),IF(LEFT(VLOOKUP($D13,'Visu totale'!$D:$DH,BE$1,0),1)="V",IF(BD13&gt;=INDEX('[1]Définition Maintenances'!$G:$G,MATCH($A13,'[1]Définition Maintenances'!$K:$K,0)),BD13,INDEX('[1]Définition Maintenances'!$G:$G,MATCH($A13,'[1]Définition Maintenances'!$K:$K,0))+BD13),BD13))</f>
        <v>355</v>
      </c>
      <c r="BF13" s="26">
        <f>IF(ISNUMBER(VLOOKUP($D13,'Visu totale'!$D:$DH,BF$1,0)),BE13-VLOOKUP($D13,'Visu totale'!$D:$DH,BF$1,0),IF(LEFT(VLOOKUP($D13,'Visu totale'!$D:$DH,BF$1,0),1)="V",IF(BE13&gt;=INDEX('[1]Définition Maintenances'!$G:$G,MATCH($A13,'[1]Définition Maintenances'!$K:$K,0)),BE13,INDEX('[1]Définition Maintenances'!$G:$G,MATCH($A13,'[1]Définition Maintenances'!$K:$K,0))+BE13),BE13))</f>
        <v>355</v>
      </c>
      <c r="BG13" s="26">
        <f>IF(ISNUMBER(VLOOKUP($D13,'Visu totale'!$D:$DH,BG$1,0)),BF13-VLOOKUP($D13,'Visu totale'!$D:$DH,BG$1,0),IF(LEFT(VLOOKUP($D13,'Visu totale'!$D:$DH,BG$1,0),1)="V",IF(BF13&gt;=INDEX('[1]Définition Maintenances'!$G:$G,MATCH($A13,'[1]Définition Maintenances'!$K:$K,0)),BF13,INDEX('[1]Définition Maintenances'!$G:$G,MATCH($A13,'[1]Définition Maintenances'!$K:$K,0))+BF13),BF13))</f>
        <v>355</v>
      </c>
      <c r="BH13" s="26">
        <f>IF(ISNUMBER(VLOOKUP($D13,'Visu totale'!$D:$DH,BH$1,0)),BG13-VLOOKUP($D13,'Visu totale'!$D:$DH,BH$1,0),IF(LEFT(VLOOKUP($D13,'Visu totale'!$D:$DH,BH$1,0),1)="V",IF(BG13&gt;=INDEX('[1]Définition Maintenances'!$G:$G,MATCH($A13,'[1]Définition Maintenances'!$K:$K,0)),BG13,INDEX('[1]Définition Maintenances'!$G:$G,MATCH($A13,'[1]Définition Maintenances'!$K:$K,0))+BG13),BG13))</f>
        <v>355</v>
      </c>
      <c r="BI13" s="26">
        <f>IF(ISNUMBER(VLOOKUP($D13,'Visu totale'!$D:$DH,BI$1,0)),BH13-VLOOKUP($D13,'Visu totale'!$D:$DH,BI$1,0),IF(LEFT(VLOOKUP($D13,'Visu totale'!$D:$DH,BI$1,0),1)="V",IF(BH13&gt;=INDEX('[1]Définition Maintenances'!$G:$G,MATCH($A13,'[1]Définition Maintenances'!$K:$K,0)),BH13,INDEX('[1]Définition Maintenances'!$G:$G,MATCH($A13,'[1]Définition Maintenances'!$K:$K,0))+BH13),BH13))</f>
        <v>355</v>
      </c>
      <c r="BJ13" s="26">
        <f>IF(ISNUMBER(VLOOKUP($D13,'Visu totale'!$D:$DH,BJ$1,0)),BI13-VLOOKUP($D13,'Visu totale'!$D:$DH,BJ$1,0),IF(LEFT(VLOOKUP($D13,'Visu totale'!$D:$DH,BJ$1,0),1)="V",IF(BI13&gt;=INDEX('[1]Définition Maintenances'!$G:$G,MATCH($A13,'[1]Définition Maintenances'!$K:$K,0)),BI13,INDEX('[1]Définition Maintenances'!$G:$G,MATCH($A13,'[1]Définition Maintenances'!$K:$K,0))+BI13),BI13))</f>
        <v>355</v>
      </c>
      <c r="BK13" s="26">
        <f>IF(ISNUMBER(VLOOKUP($D13,'Visu totale'!$D:$DH,BK$1,0)),BJ13-VLOOKUP($D13,'Visu totale'!$D:$DH,BK$1,0),IF(LEFT(VLOOKUP($D13,'Visu totale'!$D:$DH,BK$1,0),1)="V",IF(BJ13&gt;=INDEX('[1]Définition Maintenances'!$G:$G,MATCH($A13,'[1]Définition Maintenances'!$K:$K,0)),BJ13,INDEX('[1]Définition Maintenances'!$G:$G,MATCH($A13,'[1]Définition Maintenances'!$K:$K,0))+BJ13),BJ13))</f>
        <v>355</v>
      </c>
      <c r="BL13" s="26">
        <f>IF(ISNUMBER(VLOOKUP($D13,'Visu totale'!$D:$DH,BL$1,0)),BK13-VLOOKUP($D13,'Visu totale'!$D:$DH,BL$1,0),IF(LEFT(VLOOKUP($D13,'Visu totale'!$D:$DH,BL$1,0),1)="V",IF(BK13&gt;=INDEX('[1]Définition Maintenances'!$G:$G,MATCH($A13,'[1]Définition Maintenances'!$K:$K,0)),BK13,INDEX('[1]Définition Maintenances'!$G:$G,MATCH($A13,'[1]Définition Maintenances'!$K:$K,0))+BK13),BK13))</f>
        <v>355</v>
      </c>
      <c r="BM13" s="27">
        <f>IF(ISNUMBER(VLOOKUP($D13,'Visu totale'!$D:$DH,BM$1,0)),BL13-VLOOKUP($D13,'Visu totale'!$D:$DH,BM$1,0),IF(LEFT(VLOOKUP($D13,'Visu totale'!$D:$DH,BM$1,0),1)="V",IF(BL13&gt;=INDEX('[1]Définition Maintenances'!$G:$G,MATCH($A13,'[1]Définition Maintenances'!$K:$K,0)),BL13,INDEX('[1]Définition Maintenances'!$G:$G,MATCH($A13,'[1]Définition Maintenances'!$K:$K,0))+BL13),BL13))</f>
        <v>355</v>
      </c>
      <c r="BN13" s="25">
        <f>IF(ISNUMBER(VLOOKUP($D13,'Visu totale'!$D:$DH,BN$1,0)),BM13-VLOOKUP($D13,'Visu totale'!$D:$DH,BN$1,0),IF(LEFT(VLOOKUP($D13,'Visu totale'!$D:$DH,BN$1,0),1)="V",IF(BM13&gt;=INDEX('[1]Définition Maintenances'!$G:$G,MATCH($A13,'[1]Définition Maintenances'!$K:$K,0)),BM13,INDEX('[1]Définition Maintenances'!$G:$G,MATCH($A13,'[1]Définition Maintenances'!$K:$K,0))+BM13),BM13))</f>
        <v>355</v>
      </c>
      <c r="BO13" s="26">
        <f>IF(ISNUMBER(VLOOKUP($D13,'Visu totale'!$D:$DH,BO$1,0)),BN13-VLOOKUP($D13,'Visu totale'!$D:$DH,BO$1,0),IF(LEFT(VLOOKUP($D13,'Visu totale'!$D:$DH,BO$1,0),1)="V",IF(BN13&gt;=INDEX('[1]Définition Maintenances'!$G:$G,MATCH($A13,'[1]Définition Maintenances'!$K:$K,0)),BN13,INDEX('[1]Définition Maintenances'!$G:$G,MATCH($A13,'[1]Définition Maintenances'!$K:$K,0))+BN13),BN13))</f>
        <v>355</v>
      </c>
      <c r="BP13" s="26">
        <f>IF(ISNUMBER(VLOOKUP($D13,'Visu totale'!$D:$DH,BP$1,0)),BO13-VLOOKUP($D13,'Visu totale'!$D:$DH,BP$1,0),IF(LEFT(VLOOKUP($D13,'Visu totale'!$D:$DH,BP$1,0),1)="V",IF(BO13&gt;=INDEX('[1]Définition Maintenances'!$G:$G,MATCH($A13,'[1]Définition Maintenances'!$K:$K,0)),BO13,INDEX('[1]Définition Maintenances'!$G:$G,MATCH($A13,'[1]Définition Maintenances'!$K:$K,0))+BO13),BO13))</f>
        <v>355</v>
      </c>
      <c r="BQ13" s="26">
        <f>IF(ISNUMBER(VLOOKUP($D13,'Visu totale'!$D:$DH,BQ$1,0)),BP13-VLOOKUP($D13,'Visu totale'!$D:$DH,BQ$1,0),IF(LEFT(VLOOKUP($D13,'Visu totale'!$D:$DH,BQ$1,0),1)="V",IF(BP13&gt;=INDEX('[1]Définition Maintenances'!$G:$G,MATCH($A13,'[1]Définition Maintenances'!$K:$K,0)),BP13,INDEX('[1]Définition Maintenances'!$G:$G,MATCH($A13,'[1]Définition Maintenances'!$K:$K,0))+BP13),BP13))</f>
        <v>355</v>
      </c>
      <c r="BR13" s="26">
        <f>IF(ISNUMBER(VLOOKUP($D13,'Visu totale'!$D:$DH,BR$1,0)),BQ13-VLOOKUP($D13,'Visu totale'!$D:$DH,BR$1,0),IF(LEFT(VLOOKUP($D13,'Visu totale'!$D:$DH,BR$1,0),1)="V",IF(BQ13&gt;=INDEX('[1]Définition Maintenances'!$G:$G,MATCH($A13,'[1]Définition Maintenances'!$K:$K,0)),BQ13,INDEX('[1]Définition Maintenances'!$G:$G,MATCH($A13,'[1]Définition Maintenances'!$K:$K,0))+BQ13),BQ13))</f>
        <v>355</v>
      </c>
      <c r="BS13" s="26">
        <f>IF(ISNUMBER(VLOOKUP($D13,'Visu totale'!$D:$DH,BS$1,0)),BR13-VLOOKUP($D13,'Visu totale'!$D:$DH,BS$1,0),IF(LEFT(VLOOKUP($D13,'Visu totale'!$D:$DH,BS$1,0),1)="V",IF(BR13&gt;=INDEX('[1]Définition Maintenances'!$G:$G,MATCH($A13,'[1]Définition Maintenances'!$K:$K,0)),BR13,INDEX('[1]Définition Maintenances'!$G:$G,MATCH($A13,'[1]Définition Maintenances'!$K:$K,0))+BR13),BR13))</f>
        <v>355</v>
      </c>
      <c r="BT13" s="26">
        <f>IF(ISNUMBER(VLOOKUP($D13,'Visu totale'!$D:$DH,BT$1,0)),BS13-VLOOKUP($D13,'Visu totale'!$D:$DH,BT$1,0),IF(LEFT(VLOOKUP($D13,'Visu totale'!$D:$DH,BT$1,0),1)="V",IF(BS13&gt;=INDEX('[1]Définition Maintenances'!$G:$G,MATCH($A13,'[1]Définition Maintenances'!$K:$K,0)),BS13,INDEX('[1]Définition Maintenances'!$G:$G,MATCH($A13,'[1]Définition Maintenances'!$K:$K,0))+BS13),BS13))</f>
        <v>355</v>
      </c>
      <c r="BU13" s="26">
        <f>IF(ISNUMBER(VLOOKUP($D13,'Visu totale'!$D:$DH,BU$1,0)),BT13-VLOOKUP($D13,'Visu totale'!$D:$DH,BU$1,0),IF(LEFT(VLOOKUP($D13,'Visu totale'!$D:$DH,BU$1,0),1)="V",IF(BT13&gt;=INDEX('[1]Définition Maintenances'!$G:$G,MATCH($A13,'[1]Définition Maintenances'!$K:$K,0)),BT13,INDEX('[1]Définition Maintenances'!$G:$G,MATCH($A13,'[1]Définition Maintenances'!$K:$K,0))+BT13),BT13))</f>
        <v>355</v>
      </c>
      <c r="BV13" s="26">
        <f>IF(ISNUMBER(VLOOKUP($D13,'Visu totale'!$D:$DH,BV$1,0)),BU13-VLOOKUP($D13,'Visu totale'!$D:$DH,BV$1,0),IF(LEFT(VLOOKUP($D13,'Visu totale'!$D:$DH,BV$1,0),1)="V",IF(BU13&gt;=INDEX('[1]Définition Maintenances'!$G:$G,MATCH($A13,'[1]Définition Maintenances'!$K:$K,0)),BU13,INDEX('[1]Définition Maintenances'!$G:$G,MATCH($A13,'[1]Définition Maintenances'!$K:$K,0))+BU13),BU13))</f>
        <v>355</v>
      </c>
      <c r="BW13" s="26">
        <f>IF(ISNUMBER(VLOOKUP($D13,'Visu totale'!$D:$DH,BW$1,0)),BV13-VLOOKUP($D13,'Visu totale'!$D:$DH,BW$1,0),IF(LEFT(VLOOKUP($D13,'Visu totale'!$D:$DH,BW$1,0),1)="V",IF(BV13&gt;=INDEX('[1]Définition Maintenances'!$G:$G,MATCH($A13,'[1]Définition Maintenances'!$K:$K,0)),BV13,INDEX('[1]Définition Maintenances'!$G:$G,MATCH($A13,'[1]Définition Maintenances'!$K:$K,0))+BV13),BV13))</f>
        <v>355</v>
      </c>
      <c r="BX13" s="26">
        <f>IF(ISNUMBER(VLOOKUP($D13,'Visu totale'!$D:$DH,BX$1,0)),BW13-VLOOKUP($D13,'Visu totale'!$D:$DH,BX$1,0),IF(LEFT(VLOOKUP($D13,'Visu totale'!$D:$DH,BX$1,0),1)="V",IF(BW13&gt;=INDEX('[1]Définition Maintenances'!$G:$G,MATCH($A13,'[1]Définition Maintenances'!$K:$K,0)),BW13,INDEX('[1]Définition Maintenances'!$G:$G,MATCH($A13,'[1]Définition Maintenances'!$K:$K,0))+BW13),BW13))</f>
        <v>355</v>
      </c>
      <c r="BY13" s="27">
        <f>IF(ISNUMBER(VLOOKUP($D13,'Visu totale'!$D:$DH,BY$1,0)),BX13-VLOOKUP($D13,'Visu totale'!$D:$DH,BY$1,0),IF(LEFT(VLOOKUP($D13,'Visu totale'!$D:$DH,BY$1,0),1)="V",IF(BX13&gt;=INDEX('[1]Définition Maintenances'!$G:$G,MATCH($A13,'[1]Définition Maintenances'!$K:$K,0)),BX13,INDEX('[1]Définition Maintenances'!$G:$G,MATCH($A13,'[1]Définition Maintenances'!$K:$K,0))+BX13),BX13))</f>
        <v>355</v>
      </c>
      <c r="BZ13" s="25">
        <f>IF(ISNUMBER(VLOOKUP($D13,'Visu totale'!$D:$DH,BZ$1,0)),BY13-VLOOKUP($D13,'Visu totale'!$D:$DH,BZ$1,0),IF(LEFT(VLOOKUP($D13,'Visu totale'!$D:$DH,BZ$1,0),1)="V",IF(BY13&gt;=INDEX('[1]Définition Maintenances'!$G:$G,MATCH($A13,'[1]Définition Maintenances'!$K:$K,0)),BY13,INDEX('[1]Définition Maintenances'!$G:$G,MATCH($A13,'[1]Définition Maintenances'!$K:$K,0))+BY13),BY13))</f>
        <v>355</v>
      </c>
      <c r="CA13" s="26">
        <f>IF(ISNUMBER(VLOOKUP($D13,'Visu totale'!$D:$DH,CA$1,0)),BZ13-VLOOKUP($D13,'Visu totale'!$D:$DH,CA$1,0),IF(LEFT(VLOOKUP($D13,'Visu totale'!$D:$DH,CA$1,0),1)="V",IF(BZ13&gt;=INDEX('[1]Définition Maintenances'!$G:$G,MATCH($A13,'[1]Définition Maintenances'!$K:$K,0)),BZ13,INDEX('[1]Définition Maintenances'!$G:$G,MATCH($A13,'[1]Définition Maintenances'!$K:$K,0))+BZ13),BZ13))</f>
        <v>355</v>
      </c>
      <c r="CB13" s="26">
        <f>IF(ISNUMBER(VLOOKUP($D13,'Visu totale'!$D:$DH,CB$1,0)),CA13-VLOOKUP($D13,'Visu totale'!$D:$DH,CB$1,0),IF(LEFT(VLOOKUP($D13,'Visu totale'!$D:$DH,CB$1,0),1)="V",IF(CA13&gt;=INDEX('[1]Définition Maintenances'!$G:$G,MATCH($A13,'[1]Définition Maintenances'!$K:$K,0)),CA13,INDEX('[1]Définition Maintenances'!$G:$G,MATCH($A13,'[1]Définition Maintenances'!$K:$K,0))+CA13),CA13))</f>
        <v>355</v>
      </c>
      <c r="CC13" s="26">
        <f>IF(ISNUMBER(VLOOKUP($D13,'Visu totale'!$D:$DH,CC$1,0)),CB13-VLOOKUP($D13,'Visu totale'!$D:$DH,CC$1,0),IF(LEFT(VLOOKUP($D13,'Visu totale'!$D:$DH,CC$1,0),1)="V",IF(CB13&gt;=INDEX('[1]Définition Maintenances'!$G:$G,MATCH($A13,'[1]Définition Maintenances'!$K:$K,0)),CB13,INDEX('[1]Définition Maintenances'!$G:$G,MATCH($A13,'[1]Définition Maintenances'!$K:$K,0))+CB13),CB13))</f>
        <v>355</v>
      </c>
      <c r="CD13" s="26">
        <f>IF(ISNUMBER(VLOOKUP($D13,'Visu totale'!$D:$DH,CD$1,0)),CC13-VLOOKUP($D13,'Visu totale'!$D:$DH,CD$1,0),IF(LEFT(VLOOKUP($D13,'Visu totale'!$D:$DH,CD$1,0),1)="V",IF(CC13&gt;=INDEX('[1]Définition Maintenances'!$G:$G,MATCH($A13,'[1]Définition Maintenances'!$K:$K,0)),CC13,INDEX('[1]Définition Maintenances'!$G:$G,MATCH($A13,'[1]Définition Maintenances'!$K:$K,0))+CC13),CC13))</f>
        <v>355</v>
      </c>
      <c r="CE13" s="26">
        <f>IF(ISNUMBER(VLOOKUP($D13,'Visu totale'!$D:$DH,CE$1,0)),CD13-VLOOKUP($D13,'Visu totale'!$D:$DH,CE$1,0),IF(LEFT(VLOOKUP($D13,'Visu totale'!$D:$DH,CE$1,0),1)="V",IF(CD13&gt;=INDEX('[1]Définition Maintenances'!$G:$G,MATCH($A13,'[1]Définition Maintenances'!$K:$K,0)),CD13,INDEX('[1]Définition Maintenances'!$G:$G,MATCH($A13,'[1]Définition Maintenances'!$K:$K,0))+CD13),CD13))</f>
        <v>355</v>
      </c>
      <c r="CF13" s="26">
        <f>IF(ISNUMBER(VLOOKUP($D13,'Visu totale'!$D:$DH,CF$1,0)),CE13-VLOOKUP($D13,'Visu totale'!$D:$DH,CF$1,0),IF(LEFT(VLOOKUP($D13,'Visu totale'!$D:$DH,CF$1,0),1)="V",IF(CE13&gt;=INDEX('[1]Définition Maintenances'!$G:$G,MATCH($A13,'[1]Définition Maintenances'!$K:$K,0)),CE13,INDEX('[1]Définition Maintenances'!$G:$G,MATCH($A13,'[1]Définition Maintenances'!$K:$K,0))+CE13),CE13))</f>
        <v>355</v>
      </c>
      <c r="CG13" s="26">
        <f>IF(ISNUMBER(VLOOKUP($D13,'Visu totale'!$D:$DH,CG$1,0)),CF13-VLOOKUP($D13,'Visu totale'!$D:$DH,CG$1,0),IF(LEFT(VLOOKUP($D13,'Visu totale'!$D:$DH,CG$1,0),1)="V",IF(CF13&gt;=INDEX('[1]Définition Maintenances'!$G:$G,MATCH($A13,'[1]Définition Maintenances'!$K:$K,0)),CF13,INDEX('[1]Définition Maintenances'!$G:$G,MATCH($A13,'[1]Définition Maintenances'!$K:$K,0))+CF13),CF13))</f>
        <v>355</v>
      </c>
      <c r="CH13" s="26">
        <f>IF(ISNUMBER(VLOOKUP($D13,'Visu totale'!$D:$DH,CH$1,0)),CG13-VLOOKUP($D13,'Visu totale'!$D:$DH,CH$1,0),IF(LEFT(VLOOKUP($D13,'Visu totale'!$D:$DH,CH$1,0),1)="V",IF(CG13&gt;=INDEX('[1]Définition Maintenances'!$G:$G,MATCH($A13,'[1]Définition Maintenances'!$K:$K,0)),CG13,INDEX('[1]Définition Maintenances'!$G:$G,MATCH($A13,'[1]Définition Maintenances'!$K:$K,0))+CG13),CG13))</f>
        <v>355</v>
      </c>
      <c r="CI13" s="26">
        <f>IF(ISNUMBER(VLOOKUP($D13,'Visu totale'!$D:$DH,CI$1,0)),CH13-VLOOKUP($D13,'Visu totale'!$D:$DH,CI$1,0),IF(LEFT(VLOOKUP($D13,'Visu totale'!$D:$DH,CI$1,0),1)="V",IF(CH13&gt;=INDEX('[1]Définition Maintenances'!$G:$G,MATCH($A13,'[1]Définition Maintenances'!$K:$K,0)),CH13,INDEX('[1]Définition Maintenances'!$G:$G,MATCH($A13,'[1]Définition Maintenances'!$K:$K,0))+CH13),CH13))</f>
        <v>355</v>
      </c>
      <c r="CJ13" s="26">
        <f>IF(ISNUMBER(VLOOKUP($D13,'Visu totale'!$D:$DH,CJ$1,0)),CI13-VLOOKUP($D13,'Visu totale'!$D:$DH,CJ$1,0),IF(LEFT(VLOOKUP($D13,'Visu totale'!$D:$DH,CJ$1,0),1)="V",IF(CI13&gt;=INDEX('[1]Définition Maintenances'!$G:$G,MATCH($A13,'[1]Définition Maintenances'!$K:$K,0)),CI13,INDEX('[1]Définition Maintenances'!$G:$G,MATCH($A13,'[1]Définition Maintenances'!$K:$K,0))+CI13),CI13))</f>
        <v>355</v>
      </c>
      <c r="CK13" s="27">
        <f>IF(ISNUMBER(VLOOKUP($D13,'Visu totale'!$D:$DH,CK$1,0)),CJ13-VLOOKUP($D13,'Visu totale'!$D:$DH,CK$1,0),IF(LEFT(VLOOKUP($D13,'Visu totale'!$D:$DH,CK$1,0),1)="V",IF(CJ13&gt;=INDEX('[1]Définition Maintenances'!$G:$G,MATCH($A13,'[1]Définition Maintenances'!$K:$K,0)),CJ13,INDEX('[1]Définition Maintenances'!$G:$G,MATCH($A13,'[1]Définition Maintenances'!$K:$K,0))+CJ13),CJ13))</f>
        <v>355</v>
      </c>
      <c r="CL13" s="25">
        <f>IF(ISNUMBER(VLOOKUP($D13,'Visu totale'!$D:$DH,CL$1,0)),CK13-VLOOKUP($D13,'Visu totale'!$D:$DH,CL$1,0),IF(LEFT(VLOOKUP($D13,'Visu totale'!$D:$DH,CL$1,0),1)="V",IF(CK13&gt;=INDEX('[1]Définition Maintenances'!$G:$G,MATCH($A13,'[1]Définition Maintenances'!$K:$K,0)),CK13,INDEX('[1]Définition Maintenances'!$G:$G,MATCH($A13,'[1]Définition Maintenances'!$K:$K,0))+CK13),CK13))</f>
        <v>355</v>
      </c>
      <c r="CM13" s="26">
        <f>IF(ISNUMBER(VLOOKUP($D13,'Visu totale'!$D:$DH,CM$1,0)),CL13-VLOOKUP($D13,'Visu totale'!$D:$DH,CM$1,0),IF(LEFT(VLOOKUP($D13,'Visu totale'!$D:$DH,CM$1,0),1)="V",IF(CL13&gt;=INDEX('[1]Définition Maintenances'!$G:$G,MATCH($A13,'[1]Définition Maintenances'!$K:$K,0)),CL13,INDEX('[1]Définition Maintenances'!$G:$G,MATCH($A13,'[1]Définition Maintenances'!$K:$K,0))+CL13),CL13))</f>
        <v>355</v>
      </c>
      <c r="CN13" s="26">
        <f>IF(ISNUMBER(VLOOKUP($D13,'Visu totale'!$D:$DH,CN$1,0)),CM13-VLOOKUP($D13,'Visu totale'!$D:$DH,CN$1,0),IF(LEFT(VLOOKUP($D13,'Visu totale'!$D:$DH,CN$1,0),1)="V",IF(CM13&gt;=INDEX('[1]Définition Maintenances'!$G:$G,MATCH($A13,'[1]Définition Maintenances'!$K:$K,0)),CM13,INDEX('[1]Définition Maintenances'!$G:$G,MATCH($A13,'[1]Définition Maintenances'!$K:$K,0))+CM13),CM13))</f>
        <v>355</v>
      </c>
      <c r="CO13" s="26">
        <f>IF(ISNUMBER(VLOOKUP($D13,'Visu totale'!$D:$DH,CO$1,0)),CN13-VLOOKUP($D13,'Visu totale'!$D:$DH,CO$1,0),IF(LEFT(VLOOKUP($D13,'Visu totale'!$D:$DH,CO$1,0),1)="V",IF(CN13&gt;=INDEX('[1]Définition Maintenances'!$G:$G,MATCH($A13,'[1]Définition Maintenances'!$K:$K,0)),CN13,INDEX('[1]Définition Maintenances'!$G:$G,MATCH($A13,'[1]Définition Maintenances'!$K:$K,0))+CN13),CN13))</f>
        <v>355</v>
      </c>
      <c r="CP13" s="26">
        <f>IF(ISNUMBER(VLOOKUP($D13,'Visu totale'!$D:$DH,CP$1,0)),CO13-VLOOKUP($D13,'Visu totale'!$D:$DH,CP$1,0),IF(LEFT(VLOOKUP($D13,'Visu totale'!$D:$DH,CP$1,0),1)="V",IF(CO13&gt;=INDEX('[1]Définition Maintenances'!$G:$G,MATCH($A13,'[1]Définition Maintenances'!$K:$K,0)),CO13,INDEX('[1]Définition Maintenances'!$G:$G,MATCH($A13,'[1]Définition Maintenances'!$K:$K,0))+CO13),CO13))</f>
        <v>355</v>
      </c>
      <c r="CQ13" s="26">
        <f>IF(ISNUMBER(VLOOKUP($D13,'Visu totale'!$D:$DH,CQ$1,0)),CP13-VLOOKUP($D13,'Visu totale'!$D:$DH,CQ$1,0),IF(LEFT(VLOOKUP($D13,'Visu totale'!$D:$DH,CQ$1,0),1)="V",IF(CP13&gt;=INDEX('[1]Définition Maintenances'!$G:$G,MATCH($A13,'[1]Définition Maintenances'!$K:$K,0)),CP13,INDEX('[1]Définition Maintenances'!$G:$G,MATCH($A13,'[1]Définition Maintenances'!$K:$K,0))+CP13),CP13))</f>
        <v>355</v>
      </c>
      <c r="CR13" s="26">
        <f>IF(ISNUMBER(VLOOKUP($D13,'Visu totale'!$D:$DH,CR$1,0)),CQ13-VLOOKUP($D13,'Visu totale'!$D:$DH,CR$1,0),IF(LEFT(VLOOKUP($D13,'Visu totale'!$D:$DH,CR$1,0),1)="V",IF(CQ13&gt;=INDEX('[1]Définition Maintenances'!$G:$G,MATCH($A13,'[1]Définition Maintenances'!$K:$K,0)),CQ13,INDEX('[1]Définition Maintenances'!$G:$G,MATCH($A13,'[1]Définition Maintenances'!$K:$K,0))+CQ13),CQ13))</f>
        <v>355</v>
      </c>
      <c r="CS13" s="26">
        <f>IF(ISNUMBER(VLOOKUP($D13,'Visu totale'!$D:$DH,CS$1,0)),CR13-VLOOKUP($D13,'Visu totale'!$D:$DH,CS$1,0),IF(LEFT(VLOOKUP($D13,'Visu totale'!$D:$DH,CS$1,0),1)="V",IF(CR13&gt;=INDEX('[1]Définition Maintenances'!$G:$G,MATCH($A13,'[1]Définition Maintenances'!$K:$K,0)),CR13,INDEX('[1]Définition Maintenances'!$G:$G,MATCH($A13,'[1]Définition Maintenances'!$K:$K,0))+CR13),CR13))</f>
        <v>355</v>
      </c>
      <c r="CT13" s="26">
        <f>IF(ISNUMBER(VLOOKUP($D13,'Visu totale'!$D:$DH,CT$1,0)),CS13-VLOOKUP($D13,'Visu totale'!$D:$DH,CT$1,0),IF(LEFT(VLOOKUP($D13,'Visu totale'!$D:$DH,CT$1,0),1)="V",IF(CS13&gt;=INDEX('[1]Définition Maintenances'!$G:$G,MATCH($A13,'[1]Définition Maintenances'!$K:$K,0)),CS13,INDEX('[1]Définition Maintenances'!$G:$G,MATCH($A13,'[1]Définition Maintenances'!$K:$K,0))+CS13),CS13))</f>
        <v>355</v>
      </c>
      <c r="CU13" s="26">
        <f>IF(ISNUMBER(VLOOKUP($D13,'Visu totale'!$D:$DH,CU$1,0)),CT13-VLOOKUP($D13,'Visu totale'!$D:$DH,CU$1,0),IF(LEFT(VLOOKUP($D13,'Visu totale'!$D:$DH,CU$1,0),1)="V",IF(CT13&gt;=INDEX('[1]Définition Maintenances'!$G:$G,MATCH($A13,'[1]Définition Maintenances'!$K:$K,0)),CT13,INDEX('[1]Définition Maintenances'!$G:$G,MATCH($A13,'[1]Définition Maintenances'!$K:$K,0))+CT13),CT13))</f>
        <v>355</v>
      </c>
      <c r="CV13" s="26">
        <f>IF(ISNUMBER(VLOOKUP($D13,'Visu totale'!$D:$DH,CV$1,0)),CU13-VLOOKUP($D13,'Visu totale'!$D:$DH,CV$1,0),IF(LEFT(VLOOKUP($D13,'Visu totale'!$D:$DH,CV$1,0),1)="V",IF(CU13&gt;=INDEX('[1]Définition Maintenances'!$G:$G,MATCH($A13,'[1]Définition Maintenances'!$K:$K,0)),CU13,INDEX('[1]Définition Maintenances'!$G:$G,MATCH($A13,'[1]Définition Maintenances'!$K:$K,0))+CU13),CU13))</f>
        <v>355</v>
      </c>
      <c r="CW13" s="27">
        <f>IF(ISNUMBER(VLOOKUP($D13,'Visu totale'!$D:$DH,CW$1,0)),CV13-VLOOKUP($D13,'Visu totale'!$D:$DH,CW$1,0),IF(LEFT(VLOOKUP($D13,'Visu totale'!$D:$DH,CW$1,0),1)="V",IF(CV13&gt;=INDEX('[1]Définition Maintenances'!$G:$G,MATCH($A13,'[1]Définition Maintenances'!$K:$K,0)),CV13,INDEX('[1]Définition Maintenances'!$G:$G,MATCH($A13,'[1]Définition Maintenances'!$K:$K,0))+CV13),CV13))</f>
        <v>355</v>
      </c>
      <c r="CX13" s="25">
        <f>IF(ISNUMBER(VLOOKUP($D13,'Visu totale'!$D:$DH,CX$1,0)),CW13-VLOOKUP($D13,'Visu totale'!$D:$DH,CX$1,0),IF(LEFT(VLOOKUP($D13,'Visu totale'!$D:$DH,CX$1,0),1)="V",IF(CW13&gt;=INDEX('[1]Définition Maintenances'!$G:$G,MATCH($A13,'[1]Définition Maintenances'!$K:$K,0)),CW13,INDEX('[1]Définition Maintenances'!$G:$G,MATCH($A13,'[1]Définition Maintenances'!$K:$K,0))+CW13),CW13))</f>
        <v>355</v>
      </c>
      <c r="CY13" s="26">
        <f>IF(ISNUMBER(VLOOKUP($D13,'Visu totale'!$D:$DH,CY$1,0)),CX13-VLOOKUP($D13,'Visu totale'!$D:$DH,CY$1,0),IF(LEFT(VLOOKUP($D13,'Visu totale'!$D:$DH,CY$1,0),1)="V",IF(CX13&gt;=INDEX('[1]Définition Maintenances'!$G:$G,MATCH($A13,'[1]Définition Maintenances'!$K:$K,0)),CX13,INDEX('[1]Définition Maintenances'!$G:$G,MATCH($A13,'[1]Définition Maintenances'!$K:$K,0))+CX13),CX13))</f>
        <v>355</v>
      </c>
      <c r="CZ13" s="26">
        <f>IF(ISNUMBER(VLOOKUP($D13,'Visu totale'!$D:$DH,CZ$1,0)),CY13-VLOOKUP($D13,'Visu totale'!$D:$DH,CZ$1,0),IF(LEFT(VLOOKUP($D13,'Visu totale'!$D:$DH,CZ$1,0),1)="V",IF(CY13&gt;=INDEX('[1]Définition Maintenances'!$G:$G,MATCH($A13,'[1]Définition Maintenances'!$K:$K,0)),CY13,INDEX('[1]Définition Maintenances'!$G:$G,MATCH($A13,'[1]Définition Maintenances'!$K:$K,0))+CY13),CY13))</f>
        <v>355</v>
      </c>
      <c r="DA13" s="26">
        <f>IF(ISNUMBER(VLOOKUP($D13,'Visu totale'!$D:$DH,DA$1,0)),CZ13-VLOOKUP($D13,'Visu totale'!$D:$DH,DA$1,0),IF(LEFT(VLOOKUP($D13,'Visu totale'!$D:$DH,DA$1,0),1)="V",IF(CZ13&gt;=INDEX('[1]Définition Maintenances'!$G:$G,MATCH($A13,'[1]Définition Maintenances'!$K:$K,0)),CZ13,INDEX('[1]Définition Maintenances'!$G:$G,MATCH($A13,'[1]Définition Maintenances'!$K:$K,0))+CZ13),CZ13))</f>
        <v>355</v>
      </c>
      <c r="DB13" s="26">
        <f>IF(ISNUMBER(VLOOKUP($D13,'Visu totale'!$D:$DH,DB$1,0)),DA13-VLOOKUP($D13,'Visu totale'!$D:$DH,DB$1,0),IF(LEFT(VLOOKUP($D13,'Visu totale'!$D:$DH,DB$1,0),1)="V",IF(DA13&gt;=INDEX('[1]Définition Maintenances'!$G:$G,MATCH($A13,'[1]Définition Maintenances'!$K:$K,0)),DA13,INDEX('[1]Définition Maintenances'!$G:$G,MATCH($A13,'[1]Définition Maintenances'!$K:$K,0))+DA13),DA13))</f>
        <v>355</v>
      </c>
      <c r="DC13" s="26">
        <f>IF(ISNUMBER(VLOOKUP($D13,'Visu totale'!$D:$DH,DC$1,0)),DB13-VLOOKUP($D13,'Visu totale'!$D:$DH,DC$1,0),IF(LEFT(VLOOKUP($D13,'Visu totale'!$D:$DH,DC$1,0),1)="V",IF(DB13&gt;=INDEX('[1]Définition Maintenances'!$G:$G,MATCH($A13,'[1]Définition Maintenances'!$K:$K,0)),DB13,INDEX('[1]Définition Maintenances'!$G:$G,MATCH($A13,'[1]Définition Maintenances'!$K:$K,0))+DB13),DB13))</f>
        <v>355</v>
      </c>
      <c r="DD13" s="26">
        <f>IF(ISNUMBER(VLOOKUP($D13,'Visu totale'!$D:$DH,DD$1,0)),DC13-VLOOKUP($D13,'Visu totale'!$D:$DH,DD$1,0),IF(LEFT(VLOOKUP($D13,'Visu totale'!$D:$DH,DD$1,0),1)="V",IF(DC13&gt;=INDEX('[1]Définition Maintenances'!$G:$G,MATCH($A13,'[1]Définition Maintenances'!$K:$K,0)),DC13,INDEX('[1]Définition Maintenances'!$G:$G,MATCH($A13,'[1]Définition Maintenances'!$K:$K,0))+DC13),DC13))</f>
        <v>355</v>
      </c>
      <c r="DE13" s="26">
        <f>IF(ISNUMBER(VLOOKUP($D13,'Visu totale'!$D:$DH,DE$1,0)),DD13-VLOOKUP($D13,'Visu totale'!$D:$DH,DE$1,0),IF(LEFT(VLOOKUP($D13,'Visu totale'!$D:$DH,DE$1,0),1)="V",IF(DD13&gt;=INDEX('[1]Définition Maintenances'!$G:$G,MATCH($A13,'[1]Définition Maintenances'!$K:$K,0)),DD13,INDEX('[1]Définition Maintenances'!$G:$G,MATCH($A13,'[1]Définition Maintenances'!$K:$K,0))+DD13),DD13))</f>
        <v>355</v>
      </c>
      <c r="DF13" s="26">
        <f>IF(ISNUMBER(VLOOKUP($D13,'Visu totale'!$D:$DH,DF$1,0)),DE13-VLOOKUP($D13,'Visu totale'!$D:$DH,DF$1,0),IF(LEFT(VLOOKUP($D13,'Visu totale'!$D:$DH,DF$1,0),1)="V",IF(DE13&gt;=INDEX('[1]Définition Maintenances'!$G:$G,MATCH($A13,'[1]Définition Maintenances'!$K:$K,0)),DE13,INDEX('[1]Définition Maintenances'!$G:$G,MATCH($A13,'[1]Définition Maintenances'!$K:$K,0))+DE13),DE13))</f>
        <v>355</v>
      </c>
      <c r="DG13" s="26">
        <f>IF(ISNUMBER(VLOOKUP($D13,'Visu totale'!$D:$DH,DG$1,0)),DF13-VLOOKUP($D13,'Visu totale'!$D:$DH,DG$1,0),IF(LEFT(VLOOKUP($D13,'Visu totale'!$D:$DH,DG$1,0),1)="V",IF(DF13&gt;=INDEX('[1]Définition Maintenances'!$G:$G,MATCH($A13,'[1]Définition Maintenances'!$K:$K,0)),DF13,INDEX('[1]Définition Maintenances'!$G:$G,MATCH($A13,'[1]Définition Maintenances'!$K:$K,0))+DF13),DF13))</f>
        <v>355</v>
      </c>
      <c r="DH13" s="26">
        <f>IF(ISNUMBER(VLOOKUP($D13,'Visu totale'!$D:$DH,DH$1,0)),DG13-VLOOKUP($D13,'Visu totale'!$D:$DH,DH$1,0),IF(LEFT(VLOOKUP($D13,'Visu totale'!$D:$DH,DH$1,0),1)="V",IF(DG13&gt;=INDEX('[1]Définition Maintenances'!$G:$G,MATCH($A13,'[1]Définition Maintenances'!$K:$K,0)),DG13,INDEX('[1]Définition Maintenances'!$G:$G,MATCH($A13,'[1]Définition Maintenances'!$K:$K,0))+DG13),DG13))</f>
        <v>355</v>
      </c>
      <c r="DI13" s="27">
        <f>IF(ISNUMBER(VLOOKUP($D13,'Visu totale'!$D:$DH,DI$1,0)),DH13-VLOOKUP($D13,'Visu totale'!$D:$DH,DI$1,0),IF(LEFT(VLOOKUP($D13,'Visu totale'!$D:$DH,DI$1,0),1)="V",IF(DH13&gt;=INDEX('[1]Définition Maintenances'!$G:$G,MATCH($A13,'[1]Définition Maintenances'!$K:$K,0)),DH13,INDEX('[1]Définition Maintenances'!$G:$G,MATCH($A13,'[1]Définition Maintenances'!$K:$K,0))+DH13),DH13))</f>
        <v>355</v>
      </c>
    </row>
    <row r="14" spans="1:113" x14ac:dyDescent="0.25">
      <c r="A14" s="13" t="str">
        <f t="shared" si="0"/>
        <v>V10D</v>
      </c>
      <c r="B14" s="13" t="str">
        <f>VLOOKUP(D14,'[1]Avions (Potentiels)'!$B$2:$H$128,7,FALSE)</f>
        <v>V10</v>
      </c>
      <c r="C14" s="13"/>
      <c r="D14" s="16" t="s">
        <v>17</v>
      </c>
      <c r="E14" s="13">
        <f>IFERROR(VALUE(SUBSTITUTE(VLOOKUP(D14,'[1]Avions (Potentiels)'!$B:$E,4,0),".",",")),VALUE(VLOOKUP(D14,'[1]Avions (Potentiels)'!$B:$E,4,0)))</f>
        <v>227</v>
      </c>
      <c r="F14" s="25">
        <f>IF(ISNUMBER(VLOOKUP($D14,'Visu totale'!$D:$DH,F$1,0)),E14-VLOOKUP($D14,'Visu totale'!$D:$DH,F$1,0),IF(LEFT(VLOOKUP($D14,'Visu totale'!$D:$DH,F$1,0),1)="V",IF(E14&gt;=INDEX('[1]Définition Maintenances'!$G:$G,MATCH($A14,'[1]Définition Maintenances'!$K:$K,0)),E14,INDEX('[1]Définition Maintenances'!$G:$G,MATCH($A14,'[1]Définition Maintenances'!$K:$K,0))+E14),E14))</f>
        <v>227</v>
      </c>
      <c r="G14" s="26">
        <f>IF(ISNUMBER(VLOOKUP($D14,'Visu totale'!$D:$DH,G$1,0)),F14-VLOOKUP($D14,'Visu totale'!$D:$DH,G$1,0),IF(LEFT(VLOOKUP($D14,'Visu totale'!$D:$DH,G$1,0),1)="V",IF(F14&gt;=INDEX('[1]Définition Maintenances'!$G:$G,MATCH($A14,'[1]Définition Maintenances'!$K:$K,0)),F14,INDEX('[1]Définition Maintenances'!$G:$G,MATCH($A14,'[1]Définition Maintenances'!$K:$K,0))+F14),F14))</f>
        <v>227</v>
      </c>
      <c r="H14" s="26">
        <f>IF(ISNUMBER(VLOOKUP($D14,'Visu totale'!$D:$DH,H$1,0)),G14-VLOOKUP($D14,'Visu totale'!$D:$DH,H$1,0),IF(LEFT(VLOOKUP($D14,'Visu totale'!$D:$DH,H$1,0),1)="V",IF(G14&gt;=INDEX('[1]Définition Maintenances'!$G:$G,MATCH($A14,'[1]Définition Maintenances'!$K:$K,0)),G14,INDEX('[1]Définition Maintenances'!$G:$G,MATCH($A14,'[1]Définition Maintenances'!$K:$K,0))+G14),G14))</f>
        <v>227</v>
      </c>
      <c r="I14" s="26">
        <f>IF(ISNUMBER(VLOOKUP($D14,'Visu totale'!$D:$DH,I$1,0)),H14-VLOOKUP($D14,'Visu totale'!$D:$DH,I$1,0),IF(LEFT(VLOOKUP($D14,'Visu totale'!$D:$DH,I$1,0),1)="V",IF(H14&gt;=INDEX('[1]Définition Maintenances'!$G:$G,MATCH($A14,'[1]Définition Maintenances'!$K:$K,0)),H14,INDEX('[1]Définition Maintenances'!$G:$G,MATCH($A14,'[1]Définition Maintenances'!$K:$K,0))+H14),H14))</f>
        <v>227</v>
      </c>
      <c r="J14" s="26">
        <f>IF(ISNUMBER(VLOOKUP($D14,'Visu totale'!$D:$DH,J$1,0)),I14-VLOOKUP($D14,'Visu totale'!$D:$DH,J$1,0),IF(LEFT(VLOOKUP($D14,'Visu totale'!$D:$DH,J$1,0),1)="V",IF(I14&gt;=INDEX('[1]Définition Maintenances'!$G:$G,MATCH($A14,'[1]Définition Maintenances'!$K:$K,0)),I14,INDEX('[1]Définition Maintenances'!$G:$G,MATCH($A14,'[1]Définition Maintenances'!$K:$K,0))+I14),I14))</f>
        <v>227</v>
      </c>
      <c r="K14" s="26">
        <f>IF(ISNUMBER(VLOOKUP($D14,'Visu totale'!$D:$DH,K$1,0)),J14-VLOOKUP($D14,'Visu totale'!$D:$DH,K$1,0),IF(LEFT(VLOOKUP($D14,'Visu totale'!$D:$DH,K$1,0),1)="V",IF(J14&gt;=INDEX('[1]Définition Maintenances'!$G:$G,MATCH($A14,'[1]Définition Maintenances'!$K:$K,0)),J14,INDEX('[1]Définition Maintenances'!$G:$G,MATCH($A14,'[1]Définition Maintenances'!$K:$K,0))+J14),J14))</f>
        <v>227</v>
      </c>
      <c r="L14" s="26">
        <f>IF(ISNUMBER(VLOOKUP($D14,'Visu totale'!$D:$DH,L$1,0)),K14-VLOOKUP($D14,'Visu totale'!$D:$DH,L$1,0),IF(LEFT(VLOOKUP($D14,'Visu totale'!$D:$DH,L$1,0),1)="V",IF(K14&gt;=INDEX('[1]Définition Maintenances'!$G:$G,MATCH($A14,'[1]Définition Maintenances'!$K:$K,0)),K14,INDEX('[1]Définition Maintenances'!$G:$G,MATCH($A14,'[1]Définition Maintenances'!$K:$K,0))+K14),K14))</f>
        <v>227</v>
      </c>
      <c r="M14" s="26">
        <f>IF(ISNUMBER(VLOOKUP($D14,'Visu totale'!$D:$DH,M$1,0)),L14-VLOOKUP($D14,'Visu totale'!$D:$DH,M$1,0),IF(LEFT(VLOOKUP($D14,'Visu totale'!$D:$DH,M$1,0),1)="V",IF(L14&gt;=INDEX('[1]Définition Maintenances'!$G:$G,MATCH($A14,'[1]Définition Maintenances'!$K:$K,0)),L14,INDEX('[1]Définition Maintenances'!$G:$G,MATCH($A14,'[1]Définition Maintenances'!$K:$K,0))+L14),L14))</f>
        <v>227</v>
      </c>
      <c r="N14" s="26">
        <f>IF(ISNUMBER(VLOOKUP($D14,'Visu totale'!$D:$DH,N$1,0)),M14-VLOOKUP($D14,'Visu totale'!$D:$DH,N$1,0),IF(LEFT(VLOOKUP($D14,'Visu totale'!$D:$DH,N$1,0),1)="V",IF(M14&gt;=INDEX('[1]Définition Maintenances'!$G:$G,MATCH($A14,'[1]Définition Maintenances'!$K:$K,0)),M14,INDEX('[1]Définition Maintenances'!$G:$G,MATCH($A14,'[1]Définition Maintenances'!$K:$K,0))+M14),M14))</f>
        <v>227</v>
      </c>
      <c r="O14" s="26">
        <f>IF(ISNUMBER(VLOOKUP($D14,'Visu totale'!$D:$DH,O$1,0)),N14-VLOOKUP($D14,'Visu totale'!$D:$DH,O$1,0),IF(LEFT(VLOOKUP($D14,'Visu totale'!$D:$DH,O$1,0),1)="V",IF(N14&gt;=INDEX('[1]Définition Maintenances'!$G:$G,MATCH($A14,'[1]Définition Maintenances'!$K:$K,0)),N14,INDEX('[1]Définition Maintenances'!$G:$G,MATCH($A14,'[1]Définition Maintenances'!$K:$K,0))+N14),N14))</f>
        <v>227</v>
      </c>
      <c r="P14" s="26">
        <f>IF(ISNUMBER(VLOOKUP($D14,'Visu totale'!$D:$DH,P$1,0)),O14-VLOOKUP($D14,'Visu totale'!$D:$DH,P$1,0),IF(LEFT(VLOOKUP($D14,'Visu totale'!$D:$DH,P$1,0),1)="V",IF(O14&gt;=INDEX('[1]Définition Maintenances'!$G:$G,MATCH($A14,'[1]Définition Maintenances'!$K:$K,0)),O14,INDEX('[1]Définition Maintenances'!$G:$G,MATCH($A14,'[1]Définition Maintenances'!$K:$K,0))+O14),O14))</f>
        <v>227</v>
      </c>
      <c r="Q14" s="27">
        <f>IF(ISNUMBER(VLOOKUP($D14,'Visu totale'!$D:$DH,Q$1,0)),P14-VLOOKUP($D14,'Visu totale'!$D:$DH,Q$1,0),IF(LEFT(VLOOKUP($D14,'Visu totale'!$D:$DH,Q$1,0),1)="V",IF(P14&gt;=INDEX('[1]Définition Maintenances'!$G:$G,MATCH($A14,'[1]Définition Maintenances'!$K:$K,0)),P14,INDEX('[1]Définition Maintenances'!$G:$G,MATCH($A14,'[1]Définition Maintenances'!$K:$K,0))+P14),P14))</f>
        <v>227</v>
      </c>
      <c r="R14" s="25">
        <f>IF(ISNUMBER(VLOOKUP($D14,'Visu totale'!$D:$DH,R$1,0)),Q14-VLOOKUP($D14,'Visu totale'!$D:$DH,R$1,0),IF(LEFT(VLOOKUP($D14,'Visu totale'!$D:$DH,R$1,0),1)="V",IF(Q14&gt;=INDEX('[1]Définition Maintenances'!$G:$G,MATCH($A14,'[1]Définition Maintenances'!$K:$K,0)),Q14,INDEX('[1]Définition Maintenances'!$G:$G,MATCH($A14,'[1]Définition Maintenances'!$K:$K,0))+Q14),Q14))</f>
        <v>227</v>
      </c>
      <c r="S14" s="26">
        <f>IF(ISNUMBER(VLOOKUP($D14,'Visu totale'!$D:$DH,S$1,0)),R14-VLOOKUP($D14,'Visu totale'!$D:$DH,S$1,0),IF(LEFT(VLOOKUP($D14,'Visu totale'!$D:$DH,S$1,0),1)="V",IF(R14&gt;=INDEX('[1]Définition Maintenances'!$G:$G,MATCH($A14,'[1]Définition Maintenances'!$K:$K,0)),R14,INDEX('[1]Définition Maintenances'!$G:$G,MATCH($A14,'[1]Définition Maintenances'!$K:$K,0))+R14),R14))</f>
        <v>227</v>
      </c>
      <c r="T14" s="26">
        <f>IF(ISNUMBER(VLOOKUP($D14,'Visu totale'!$D:$DH,T$1,0)),S14-VLOOKUP($D14,'Visu totale'!$D:$DH,T$1,0),IF(LEFT(VLOOKUP($D14,'Visu totale'!$D:$DH,T$1,0),1)="V",IF(S14&gt;=INDEX('[1]Définition Maintenances'!$G:$G,MATCH($A14,'[1]Définition Maintenances'!$K:$K,0)),S14,INDEX('[1]Définition Maintenances'!$G:$G,MATCH($A14,'[1]Définition Maintenances'!$K:$K,0))+S14),S14))</f>
        <v>227</v>
      </c>
      <c r="U14" s="26">
        <f>IF(ISNUMBER(VLOOKUP($D14,'Visu totale'!$D:$DH,U$1,0)),T14-VLOOKUP($D14,'Visu totale'!$D:$DH,U$1,0),IF(LEFT(VLOOKUP($D14,'Visu totale'!$D:$DH,U$1,0),1)="V",IF(T14&gt;=INDEX('[1]Définition Maintenances'!$G:$G,MATCH($A14,'[1]Définition Maintenances'!$K:$K,0)),T14,INDEX('[1]Définition Maintenances'!$G:$G,MATCH($A14,'[1]Définition Maintenances'!$K:$K,0))+T14),T14))</f>
        <v>227</v>
      </c>
      <c r="V14" s="26">
        <f>IF(ISNUMBER(VLOOKUP($D14,'Visu totale'!$D:$DH,V$1,0)),U14-VLOOKUP($D14,'Visu totale'!$D:$DH,V$1,0),IF(LEFT(VLOOKUP($D14,'Visu totale'!$D:$DH,V$1,0),1)="V",IF(U14&gt;=INDEX('[1]Définition Maintenances'!$G:$G,MATCH($A14,'[1]Définition Maintenances'!$K:$K,0)),U14,INDEX('[1]Définition Maintenances'!$G:$G,MATCH($A14,'[1]Définition Maintenances'!$K:$K,0))+U14),U14))</f>
        <v>227</v>
      </c>
      <c r="W14" s="26">
        <f>IF(ISNUMBER(VLOOKUP($D14,'Visu totale'!$D:$DH,W$1,0)),V14-VLOOKUP($D14,'Visu totale'!$D:$DH,W$1,0),IF(LEFT(VLOOKUP($D14,'Visu totale'!$D:$DH,W$1,0),1)="V",IF(V14&gt;=INDEX('[1]Définition Maintenances'!$G:$G,MATCH($A14,'[1]Définition Maintenances'!$K:$K,0)),V14,INDEX('[1]Définition Maintenances'!$G:$G,MATCH($A14,'[1]Définition Maintenances'!$K:$K,0))+V14),V14))</f>
        <v>227</v>
      </c>
      <c r="X14" s="26">
        <f>IF(ISNUMBER(VLOOKUP($D14,'Visu totale'!$D:$DH,X$1,0)),W14-VLOOKUP($D14,'Visu totale'!$D:$DH,X$1,0),IF(LEFT(VLOOKUP($D14,'Visu totale'!$D:$DH,X$1,0),1)="V",IF(W14&gt;=INDEX('[1]Définition Maintenances'!$G:$G,MATCH($A14,'[1]Définition Maintenances'!$K:$K,0)),W14,INDEX('[1]Définition Maintenances'!$G:$G,MATCH($A14,'[1]Définition Maintenances'!$K:$K,0))+W14),W14))</f>
        <v>227</v>
      </c>
      <c r="Y14" s="26">
        <f>IF(ISNUMBER(VLOOKUP($D14,'Visu totale'!$D:$DH,Y$1,0)),X14-VLOOKUP($D14,'Visu totale'!$D:$DH,Y$1,0),IF(LEFT(VLOOKUP($D14,'Visu totale'!$D:$DH,Y$1,0),1)="V",IF(X14&gt;=INDEX('[1]Définition Maintenances'!$G:$G,MATCH($A14,'[1]Définition Maintenances'!$K:$K,0)),X14,INDEX('[1]Définition Maintenances'!$G:$G,MATCH($A14,'[1]Définition Maintenances'!$K:$K,0))+X14),X14))</f>
        <v>227</v>
      </c>
      <c r="Z14" s="26">
        <f>IF(ISNUMBER(VLOOKUP($D14,'Visu totale'!$D:$DH,Z$1,0)),Y14-VLOOKUP($D14,'Visu totale'!$D:$DH,Z$1,0),IF(LEFT(VLOOKUP($D14,'Visu totale'!$D:$DH,Z$1,0),1)="V",IF(Y14&gt;=INDEX('[1]Définition Maintenances'!$G:$G,MATCH($A14,'[1]Définition Maintenances'!$K:$K,0)),Y14,INDEX('[1]Définition Maintenances'!$G:$G,MATCH($A14,'[1]Définition Maintenances'!$K:$K,0))+Y14),Y14))</f>
        <v>227</v>
      </c>
      <c r="AA14" s="26">
        <f>IF(ISNUMBER(VLOOKUP($D14,'Visu totale'!$D:$DH,AA$1,0)),Z14-VLOOKUP($D14,'Visu totale'!$D:$DH,AA$1,0),IF(LEFT(VLOOKUP($D14,'Visu totale'!$D:$DH,AA$1,0),1)="V",IF(Z14&gt;=INDEX('[1]Définition Maintenances'!$G:$G,MATCH($A14,'[1]Définition Maintenances'!$K:$K,0)),Z14,INDEX('[1]Définition Maintenances'!$G:$G,MATCH($A14,'[1]Définition Maintenances'!$K:$K,0))+Z14),Z14))</f>
        <v>227</v>
      </c>
      <c r="AB14" s="26">
        <f>IF(ISNUMBER(VLOOKUP($D14,'Visu totale'!$D:$DH,AB$1,0)),AA14-VLOOKUP($D14,'Visu totale'!$D:$DH,AB$1,0),IF(LEFT(VLOOKUP($D14,'Visu totale'!$D:$DH,AB$1,0),1)="V",IF(AA14&gt;=INDEX('[1]Définition Maintenances'!$G:$G,MATCH($A14,'[1]Définition Maintenances'!$K:$K,0)),AA14,INDEX('[1]Définition Maintenances'!$G:$G,MATCH($A14,'[1]Définition Maintenances'!$K:$K,0))+AA14),AA14))</f>
        <v>227</v>
      </c>
      <c r="AC14" s="27">
        <f>IF(ISNUMBER(VLOOKUP($D14,'Visu totale'!$D:$DH,AC$1,0)),AB14-VLOOKUP($D14,'Visu totale'!$D:$DH,AC$1,0),IF(LEFT(VLOOKUP($D14,'Visu totale'!$D:$DH,AC$1,0),1)="V",IF(AB14&gt;=INDEX('[1]Définition Maintenances'!$G:$G,MATCH($A14,'[1]Définition Maintenances'!$K:$K,0)),AB14,INDEX('[1]Définition Maintenances'!$G:$G,MATCH($A14,'[1]Définition Maintenances'!$K:$K,0))+AB14),AB14))</f>
        <v>227</v>
      </c>
      <c r="AD14" s="25">
        <f>IF(ISNUMBER(VLOOKUP($D14,'Visu totale'!$D:$DH,AD$1,0)),AC14-VLOOKUP($D14,'Visu totale'!$D:$DH,AD$1,0),IF(LEFT(VLOOKUP($D14,'Visu totale'!$D:$DH,AD$1,0),1)="V",IF(AC14&gt;=INDEX('[1]Définition Maintenances'!$G:$G,MATCH($A14,'[1]Définition Maintenances'!$K:$K,0)),AC14,INDEX('[1]Définition Maintenances'!$G:$G,MATCH($A14,'[1]Définition Maintenances'!$K:$K,0))+AC14),AC14))</f>
        <v>227</v>
      </c>
      <c r="AE14" s="26">
        <f>IF(ISNUMBER(VLOOKUP($D14,'Visu totale'!$D:$DH,AE$1,0)),AD14-VLOOKUP($D14,'Visu totale'!$D:$DH,AE$1,0),IF(LEFT(VLOOKUP($D14,'Visu totale'!$D:$DH,AE$1,0),1)="V",IF(AD14&gt;=INDEX('[1]Définition Maintenances'!$G:$G,MATCH($A14,'[1]Définition Maintenances'!$K:$K,0)),AD14,INDEX('[1]Définition Maintenances'!$G:$G,MATCH($A14,'[1]Définition Maintenances'!$K:$K,0))+AD14),AD14))</f>
        <v>227</v>
      </c>
      <c r="AF14" s="26">
        <f>IF(ISNUMBER(VLOOKUP($D14,'Visu totale'!$D:$DH,AF$1,0)),AE14-VLOOKUP($D14,'Visu totale'!$D:$DH,AF$1,0),IF(LEFT(VLOOKUP($D14,'Visu totale'!$D:$DH,AF$1,0),1)="V",IF(AE14&gt;=INDEX('[1]Définition Maintenances'!$G:$G,MATCH($A14,'[1]Définition Maintenances'!$K:$K,0)),AE14,INDEX('[1]Définition Maintenances'!$G:$G,MATCH($A14,'[1]Définition Maintenances'!$K:$K,0))+AE14),AE14))</f>
        <v>227</v>
      </c>
      <c r="AG14" s="26">
        <f>IF(ISNUMBER(VLOOKUP($D14,'Visu totale'!$D:$DH,AG$1,0)),AF14-VLOOKUP($D14,'Visu totale'!$D:$DH,AG$1,0),IF(LEFT(VLOOKUP($D14,'Visu totale'!$D:$DH,AG$1,0),1)="V",IF(AF14&gt;=INDEX('[1]Définition Maintenances'!$G:$G,MATCH($A14,'[1]Définition Maintenances'!$K:$K,0)),AF14,INDEX('[1]Définition Maintenances'!$G:$G,MATCH($A14,'[1]Définition Maintenances'!$K:$K,0))+AF14),AF14))</f>
        <v>227</v>
      </c>
      <c r="AH14" s="26">
        <f>IF(ISNUMBER(VLOOKUP($D14,'Visu totale'!$D:$DH,AH$1,0)),AG14-VLOOKUP($D14,'Visu totale'!$D:$DH,AH$1,0),IF(LEFT(VLOOKUP($D14,'Visu totale'!$D:$DH,AH$1,0),1)="V",IF(AG14&gt;=INDEX('[1]Définition Maintenances'!$G:$G,MATCH($A14,'[1]Définition Maintenances'!$K:$K,0)),AG14,INDEX('[1]Définition Maintenances'!$G:$G,MATCH($A14,'[1]Définition Maintenances'!$K:$K,0))+AG14),AG14))</f>
        <v>227</v>
      </c>
      <c r="AI14" s="26">
        <f>IF(ISNUMBER(VLOOKUP($D14,'Visu totale'!$D:$DH,AI$1,0)),AH14-VLOOKUP($D14,'Visu totale'!$D:$DH,AI$1,0),IF(LEFT(VLOOKUP($D14,'Visu totale'!$D:$DH,AI$1,0),1)="V",IF(AH14&gt;=INDEX('[1]Définition Maintenances'!$G:$G,MATCH($A14,'[1]Définition Maintenances'!$K:$K,0)),AH14,INDEX('[1]Définition Maintenances'!$G:$G,MATCH($A14,'[1]Définition Maintenances'!$K:$K,0))+AH14),AH14))</f>
        <v>227</v>
      </c>
      <c r="AJ14" s="26">
        <f>IF(ISNUMBER(VLOOKUP($D14,'Visu totale'!$D:$DH,AJ$1,0)),AI14-VLOOKUP($D14,'Visu totale'!$D:$DH,AJ$1,0),IF(LEFT(VLOOKUP($D14,'Visu totale'!$D:$DH,AJ$1,0),1)="V",IF(AI14&gt;=INDEX('[1]Définition Maintenances'!$G:$G,MATCH($A14,'[1]Définition Maintenances'!$K:$K,0)),AI14,INDEX('[1]Définition Maintenances'!$G:$G,MATCH($A14,'[1]Définition Maintenances'!$K:$K,0))+AI14),AI14))</f>
        <v>227</v>
      </c>
      <c r="AK14" s="26">
        <f>IF(ISNUMBER(VLOOKUP($D14,'Visu totale'!$D:$DH,AK$1,0)),AJ14-VLOOKUP($D14,'Visu totale'!$D:$DH,AK$1,0),IF(LEFT(VLOOKUP($D14,'Visu totale'!$D:$DH,AK$1,0),1)="V",IF(AJ14&gt;=INDEX('[1]Définition Maintenances'!$G:$G,MATCH($A14,'[1]Définition Maintenances'!$K:$K,0)),AJ14,INDEX('[1]Définition Maintenances'!$G:$G,MATCH($A14,'[1]Définition Maintenances'!$K:$K,0))+AJ14),AJ14))</f>
        <v>227</v>
      </c>
      <c r="AL14" s="26">
        <f>IF(ISNUMBER(VLOOKUP($D14,'Visu totale'!$D:$DH,AL$1,0)),AK14-VLOOKUP($D14,'Visu totale'!$D:$DH,AL$1,0),IF(LEFT(VLOOKUP($D14,'Visu totale'!$D:$DH,AL$1,0),1)="V",IF(AK14&gt;=INDEX('[1]Définition Maintenances'!$G:$G,MATCH($A14,'[1]Définition Maintenances'!$K:$K,0)),AK14,INDEX('[1]Définition Maintenances'!$G:$G,MATCH($A14,'[1]Définition Maintenances'!$K:$K,0))+AK14),AK14))</f>
        <v>227</v>
      </c>
      <c r="AM14" s="26">
        <f>IF(ISNUMBER(VLOOKUP($D14,'Visu totale'!$D:$DH,AM$1,0)),AL14-VLOOKUP($D14,'Visu totale'!$D:$DH,AM$1,0),IF(LEFT(VLOOKUP($D14,'Visu totale'!$D:$DH,AM$1,0),1)="V",IF(AL14&gt;=INDEX('[1]Définition Maintenances'!$G:$G,MATCH($A14,'[1]Définition Maintenances'!$K:$K,0)),AL14,INDEX('[1]Définition Maintenances'!$G:$G,MATCH($A14,'[1]Définition Maintenances'!$K:$K,0))+AL14),AL14))</f>
        <v>227</v>
      </c>
      <c r="AN14" s="26">
        <f>IF(ISNUMBER(VLOOKUP($D14,'Visu totale'!$D:$DH,AN$1,0)),AM14-VLOOKUP($D14,'Visu totale'!$D:$DH,AN$1,0),IF(LEFT(VLOOKUP($D14,'Visu totale'!$D:$DH,AN$1,0),1)="V",IF(AM14&gt;=INDEX('[1]Définition Maintenances'!$G:$G,MATCH($A14,'[1]Définition Maintenances'!$K:$K,0)),AM14,INDEX('[1]Définition Maintenances'!$G:$G,MATCH($A14,'[1]Définition Maintenances'!$K:$K,0))+AM14),AM14))</f>
        <v>227</v>
      </c>
      <c r="AO14" s="27">
        <f>IF(ISNUMBER(VLOOKUP($D14,'Visu totale'!$D:$DH,AO$1,0)),AN14-VLOOKUP($D14,'Visu totale'!$D:$DH,AO$1,0),IF(LEFT(VLOOKUP($D14,'Visu totale'!$D:$DH,AO$1,0),1)="V",IF(AN14&gt;=INDEX('[1]Définition Maintenances'!$G:$G,MATCH($A14,'[1]Définition Maintenances'!$K:$K,0)),AN14,INDEX('[1]Définition Maintenances'!$G:$G,MATCH($A14,'[1]Définition Maintenances'!$K:$K,0))+AN14),AN14))</f>
        <v>227</v>
      </c>
      <c r="AP14" s="25">
        <f>IF(ISNUMBER(VLOOKUP($D14,'Visu totale'!$D:$DH,AP$1,0)),AO14-VLOOKUP($D14,'Visu totale'!$D:$DH,AP$1,0),IF(LEFT(VLOOKUP($D14,'Visu totale'!$D:$DH,AP$1,0),1)="V",IF(AO14&gt;=INDEX('[1]Définition Maintenances'!$G:$G,MATCH($A14,'[1]Définition Maintenances'!$K:$K,0)),AO14,INDEX('[1]Définition Maintenances'!$G:$G,MATCH($A14,'[1]Définition Maintenances'!$K:$K,0))+AO14),AO14))</f>
        <v>227</v>
      </c>
      <c r="AQ14" s="26">
        <f>IF(ISNUMBER(VLOOKUP($D14,'Visu totale'!$D:$DH,AQ$1,0)),AP14-VLOOKUP($D14,'Visu totale'!$D:$DH,AQ$1,0),IF(LEFT(VLOOKUP($D14,'Visu totale'!$D:$DH,AQ$1,0),1)="V",IF(AP14&gt;=INDEX('[1]Définition Maintenances'!$G:$G,MATCH($A14,'[1]Définition Maintenances'!$K:$K,0)),AP14,INDEX('[1]Définition Maintenances'!$G:$G,MATCH($A14,'[1]Définition Maintenances'!$K:$K,0))+AP14),AP14))</f>
        <v>227</v>
      </c>
      <c r="AR14" s="26">
        <f>IF(ISNUMBER(VLOOKUP($D14,'Visu totale'!$D:$DH,AR$1,0)),AQ14-VLOOKUP($D14,'Visu totale'!$D:$DH,AR$1,0),IF(LEFT(VLOOKUP($D14,'Visu totale'!$D:$DH,AR$1,0),1)="V",IF(AQ14&gt;=INDEX('[1]Définition Maintenances'!$G:$G,MATCH($A14,'[1]Définition Maintenances'!$K:$K,0)),AQ14,INDEX('[1]Définition Maintenances'!$G:$G,MATCH($A14,'[1]Définition Maintenances'!$K:$K,0))+AQ14),AQ14))</f>
        <v>227</v>
      </c>
      <c r="AS14" s="26">
        <f>IF(ISNUMBER(VLOOKUP($D14,'Visu totale'!$D:$DH,AS$1,0)),AR14-VLOOKUP($D14,'Visu totale'!$D:$DH,AS$1,0),IF(LEFT(VLOOKUP($D14,'Visu totale'!$D:$DH,AS$1,0),1)="V",IF(AR14&gt;=INDEX('[1]Définition Maintenances'!$G:$G,MATCH($A14,'[1]Définition Maintenances'!$K:$K,0)),AR14,INDEX('[1]Définition Maintenances'!$G:$G,MATCH($A14,'[1]Définition Maintenances'!$K:$K,0))+AR14),AR14))</f>
        <v>227</v>
      </c>
      <c r="AT14" s="26">
        <f>IF(ISNUMBER(VLOOKUP($D14,'Visu totale'!$D:$DH,AT$1,0)),AS14-VLOOKUP($D14,'Visu totale'!$D:$DH,AT$1,0),IF(LEFT(VLOOKUP($D14,'Visu totale'!$D:$DH,AT$1,0),1)="V",IF(AS14&gt;=INDEX('[1]Définition Maintenances'!$G:$G,MATCH($A14,'[1]Définition Maintenances'!$K:$K,0)),AS14,INDEX('[1]Définition Maintenances'!$G:$G,MATCH($A14,'[1]Définition Maintenances'!$K:$K,0))+AS14),AS14))</f>
        <v>227</v>
      </c>
      <c r="AU14" s="26">
        <f>IF(ISNUMBER(VLOOKUP($D14,'Visu totale'!$D:$DH,AU$1,0)),AT14-VLOOKUP($D14,'Visu totale'!$D:$DH,AU$1,0),IF(LEFT(VLOOKUP($D14,'Visu totale'!$D:$DH,AU$1,0),1)="V",IF(AT14&gt;=INDEX('[1]Définition Maintenances'!$G:$G,MATCH($A14,'[1]Définition Maintenances'!$K:$K,0)),AT14,INDEX('[1]Définition Maintenances'!$G:$G,MATCH($A14,'[1]Définition Maintenances'!$K:$K,0))+AT14),AT14))</f>
        <v>227</v>
      </c>
      <c r="AV14" s="26">
        <f>IF(ISNUMBER(VLOOKUP($D14,'Visu totale'!$D:$DH,AV$1,0)),AU14-VLOOKUP($D14,'Visu totale'!$D:$DH,AV$1,0),IF(LEFT(VLOOKUP($D14,'Visu totale'!$D:$DH,AV$1,0),1)="V",IF(AU14&gt;=INDEX('[1]Définition Maintenances'!$G:$G,MATCH($A14,'[1]Définition Maintenances'!$K:$K,0)),AU14,INDEX('[1]Définition Maintenances'!$G:$G,MATCH($A14,'[1]Définition Maintenances'!$K:$K,0))+AU14),AU14))</f>
        <v>227</v>
      </c>
      <c r="AW14" s="26">
        <f>IF(ISNUMBER(VLOOKUP($D14,'Visu totale'!$D:$DH,AW$1,0)),AV14-VLOOKUP($D14,'Visu totale'!$D:$DH,AW$1,0),IF(LEFT(VLOOKUP($D14,'Visu totale'!$D:$DH,AW$1,0),1)="V",IF(AV14&gt;=INDEX('[1]Définition Maintenances'!$G:$G,MATCH($A14,'[1]Définition Maintenances'!$K:$K,0)),AV14,INDEX('[1]Définition Maintenances'!$G:$G,MATCH($A14,'[1]Définition Maintenances'!$K:$K,0))+AV14),AV14))</f>
        <v>227</v>
      </c>
      <c r="AX14" s="26">
        <f>IF(ISNUMBER(VLOOKUP($D14,'Visu totale'!$D:$DH,AX$1,0)),AW14-VLOOKUP($D14,'Visu totale'!$D:$DH,AX$1,0),IF(LEFT(VLOOKUP($D14,'Visu totale'!$D:$DH,AX$1,0),1)="V",IF(AW14&gt;=INDEX('[1]Définition Maintenances'!$G:$G,MATCH($A14,'[1]Définition Maintenances'!$K:$K,0)),AW14,INDEX('[1]Définition Maintenances'!$G:$G,MATCH($A14,'[1]Définition Maintenances'!$K:$K,0))+AW14),AW14))</f>
        <v>227</v>
      </c>
      <c r="AY14" s="26">
        <f>IF(ISNUMBER(VLOOKUP($D14,'Visu totale'!$D:$DH,AY$1,0)),AX14-VLOOKUP($D14,'Visu totale'!$D:$DH,AY$1,0),IF(LEFT(VLOOKUP($D14,'Visu totale'!$D:$DH,AY$1,0),1)="V",IF(AX14&gt;=INDEX('[1]Définition Maintenances'!$G:$G,MATCH($A14,'[1]Définition Maintenances'!$K:$K,0)),AX14,INDEX('[1]Définition Maintenances'!$G:$G,MATCH($A14,'[1]Définition Maintenances'!$K:$K,0))+AX14),AX14))</f>
        <v>227</v>
      </c>
      <c r="AZ14" s="26">
        <f>IF(ISNUMBER(VLOOKUP($D14,'Visu totale'!$D:$DH,AZ$1,0)),AY14-VLOOKUP($D14,'Visu totale'!$D:$DH,AZ$1,0),IF(LEFT(VLOOKUP($D14,'Visu totale'!$D:$DH,AZ$1,0),1)="V",IF(AY14&gt;=INDEX('[1]Définition Maintenances'!$G:$G,MATCH($A14,'[1]Définition Maintenances'!$K:$K,0)),AY14,INDEX('[1]Définition Maintenances'!$G:$G,MATCH($A14,'[1]Définition Maintenances'!$K:$K,0))+AY14),AY14))</f>
        <v>227</v>
      </c>
      <c r="BA14" s="27">
        <f>IF(ISNUMBER(VLOOKUP($D14,'Visu totale'!$D:$DH,BA$1,0)),AZ14-VLOOKUP($D14,'Visu totale'!$D:$DH,BA$1,0),IF(LEFT(VLOOKUP($D14,'Visu totale'!$D:$DH,BA$1,0),1)="V",IF(AZ14&gt;=INDEX('[1]Définition Maintenances'!$G:$G,MATCH($A14,'[1]Définition Maintenances'!$K:$K,0)),AZ14,INDEX('[1]Définition Maintenances'!$G:$G,MATCH($A14,'[1]Définition Maintenances'!$K:$K,0))+AZ14),AZ14))</f>
        <v>227</v>
      </c>
      <c r="BB14" s="25">
        <f>IF(ISNUMBER(VLOOKUP($D14,'Visu totale'!$D:$DH,BB$1,0)),BA14-VLOOKUP($D14,'Visu totale'!$D:$DH,BB$1,0),IF(LEFT(VLOOKUP($D14,'Visu totale'!$D:$DH,BB$1,0),1)="V",IF(BA14&gt;=INDEX('[1]Définition Maintenances'!$G:$G,MATCH($A14,'[1]Définition Maintenances'!$K:$K,0)),BA14,INDEX('[1]Définition Maintenances'!$G:$G,MATCH($A14,'[1]Définition Maintenances'!$K:$K,0))+BA14),BA14))</f>
        <v>227</v>
      </c>
      <c r="BC14" s="26">
        <f>IF(ISNUMBER(VLOOKUP($D14,'Visu totale'!$D:$DH,BC$1,0)),BB14-VLOOKUP($D14,'Visu totale'!$D:$DH,BC$1,0),IF(LEFT(VLOOKUP($D14,'Visu totale'!$D:$DH,BC$1,0),1)="V",IF(BB14&gt;=INDEX('[1]Définition Maintenances'!$G:$G,MATCH($A14,'[1]Définition Maintenances'!$K:$K,0)),BB14,INDEX('[1]Définition Maintenances'!$G:$G,MATCH($A14,'[1]Définition Maintenances'!$K:$K,0))+BB14),BB14))</f>
        <v>227</v>
      </c>
      <c r="BD14" s="26">
        <f>IF(ISNUMBER(VLOOKUP($D14,'Visu totale'!$D:$DH,BD$1,0)),BC14-VLOOKUP($D14,'Visu totale'!$D:$DH,BD$1,0),IF(LEFT(VLOOKUP($D14,'Visu totale'!$D:$DH,BD$1,0),1)="V",IF(BC14&gt;=INDEX('[1]Définition Maintenances'!$G:$G,MATCH($A14,'[1]Définition Maintenances'!$K:$K,0)),BC14,INDEX('[1]Définition Maintenances'!$G:$G,MATCH($A14,'[1]Définition Maintenances'!$K:$K,0))+BC14),BC14))</f>
        <v>227</v>
      </c>
      <c r="BE14" s="26">
        <f>IF(ISNUMBER(VLOOKUP($D14,'Visu totale'!$D:$DH,BE$1,0)),BD14-VLOOKUP($D14,'Visu totale'!$D:$DH,BE$1,0),IF(LEFT(VLOOKUP($D14,'Visu totale'!$D:$DH,BE$1,0),1)="V",IF(BD14&gt;=INDEX('[1]Définition Maintenances'!$G:$G,MATCH($A14,'[1]Définition Maintenances'!$K:$K,0)),BD14,INDEX('[1]Définition Maintenances'!$G:$G,MATCH($A14,'[1]Définition Maintenances'!$K:$K,0))+BD14),BD14))</f>
        <v>227</v>
      </c>
      <c r="BF14" s="26">
        <f>IF(ISNUMBER(VLOOKUP($D14,'Visu totale'!$D:$DH,BF$1,0)),BE14-VLOOKUP($D14,'Visu totale'!$D:$DH,BF$1,0),IF(LEFT(VLOOKUP($D14,'Visu totale'!$D:$DH,BF$1,0),1)="V",IF(BE14&gt;=INDEX('[1]Définition Maintenances'!$G:$G,MATCH($A14,'[1]Définition Maintenances'!$K:$K,0)),BE14,INDEX('[1]Définition Maintenances'!$G:$G,MATCH($A14,'[1]Définition Maintenances'!$K:$K,0))+BE14),BE14))</f>
        <v>227</v>
      </c>
      <c r="BG14" s="26">
        <f>IF(ISNUMBER(VLOOKUP($D14,'Visu totale'!$D:$DH,BG$1,0)),BF14-VLOOKUP($D14,'Visu totale'!$D:$DH,BG$1,0),IF(LEFT(VLOOKUP($D14,'Visu totale'!$D:$DH,BG$1,0),1)="V",IF(BF14&gt;=INDEX('[1]Définition Maintenances'!$G:$G,MATCH($A14,'[1]Définition Maintenances'!$K:$K,0)),BF14,INDEX('[1]Définition Maintenances'!$G:$G,MATCH($A14,'[1]Définition Maintenances'!$K:$K,0))+BF14),BF14))</f>
        <v>227</v>
      </c>
      <c r="BH14" s="26">
        <f>IF(ISNUMBER(VLOOKUP($D14,'Visu totale'!$D:$DH,BH$1,0)),BG14-VLOOKUP($D14,'Visu totale'!$D:$DH,BH$1,0),IF(LEFT(VLOOKUP($D14,'Visu totale'!$D:$DH,BH$1,0),1)="V",IF(BG14&gt;=INDEX('[1]Définition Maintenances'!$G:$G,MATCH($A14,'[1]Définition Maintenances'!$K:$K,0)),BG14,INDEX('[1]Définition Maintenances'!$G:$G,MATCH($A14,'[1]Définition Maintenances'!$K:$K,0))+BG14),BG14))</f>
        <v>227</v>
      </c>
      <c r="BI14" s="26">
        <f>IF(ISNUMBER(VLOOKUP($D14,'Visu totale'!$D:$DH,BI$1,0)),BH14-VLOOKUP($D14,'Visu totale'!$D:$DH,BI$1,0),IF(LEFT(VLOOKUP($D14,'Visu totale'!$D:$DH,BI$1,0),1)="V",IF(BH14&gt;=INDEX('[1]Définition Maintenances'!$G:$G,MATCH($A14,'[1]Définition Maintenances'!$K:$K,0)),BH14,INDEX('[1]Définition Maintenances'!$G:$G,MATCH($A14,'[1]Définition Maintenances'!$K:$K,0))+BH14),BH14))</f>
        <v>227</v>
      </c>
      <c r="BJ14" s="26">
        <f>IF(ISNUMBER(VLOOKUP($D14,'Visu totale'!$D:$DH,BJ$1,0)),BI14-VLOOKUP($D14,'Visu totale'!$D:$DH,BJ$1,0),IF(LEFT(VLOOKUP($D14,'Visu totale'!$D:$DH,BJ$1,0),1)="V",IF(BI14&gt;=INDEX('[1]Définition Maintenances'!$G:$G,MATCH($A14,'[1]Définition Maintenances'!$K:$K,0)),BI14,INDEX('[1]Définition Maintenances'!$G:$G,MATCH($A14,'[1]Définition Maintenances'!$K:$K,0))+BI14),BI14))</f>
        <v>227</v>
      </c>
      <c r="BK14" s="26">
        <f>IF(ISNUMBER(VLOOKUP($D14,'Visu totale'!$D:$DH,BK$1,0)),BJ14-VLOOKUP($D14,'Visu totale'!$D:$DH,BK$1,0),IF(LEFT(VLOOKUP($D14,'Visu totale'!$D:$DH,BK$1,0),1)="V",IF(BJ14&gt;=INDEX('[1]Définition Maintenances'!$G:$G,MATCH($A14,'[1]Définition Maintenances'!$K:$K,0)),BJ14,INDEX('[1]Définition Maintenances'!$G:$G,MATCH($A14,'[1]Définition Maintenances'!$K:$K,0))+BJ14),BJ14))</f>
        <v>227</v>
      </c>
      <c r="BL14" s="26">
        <f>IF(ISNUMBER(VLOOKUP($D14,'Visu totale'!$D:$DH,BL$1,0)),BK14-VLOOKUP($D14,'Visu totale'!$D:$DH,BL$1,0),IF(LEFT(VLOOKUP($D14,'Visu totale'!$D:$DH,BL$1,0),1)="V",IF(BK14&gt;=INDEX('[1]Définition Maintenances'!$G:$G,MATCH($A14,'[1]Définition Maintenances'!$K:$K,0)),BK14,INDEX('[1]Définition Maintenances'!$G:$G,MATCH($A14,'[1]Définition Maintenances'!$K:$K,0))+BK14),BK14))</f>
        <v>227</v>
      </c>
      <c r="BM14" s="27">
        <f>IF(ISNUMBER(VLOOKUP($D14,'Visu totale'!$D:$DH,BM$1,0)),BL14-VLOOKUP($D14,'Visu totale'!$D:$DH,BM$1,0),IF(LEFT(VLOOKUP($D14,'Visu totale'!$D:$DH,BM$1,0),1)="V",IF(BL14&gt;=INDEX('[1]Définition Maintenances'!$G:$G,MATCH($A14,'[1]Définition Maintenances'!$K:$K,0)),BL14,INDEX('[1]Définition Maintenances'!$G:$G,MATCH($A14,'[1]Définition Maintenances'!$K:$K,0))+BL14),BL14))</f>
        <v>227</v>
      </c>
      <c r="BN14" s="25">
        <f>IF(ISNUMBER(VLOOKUP($D14,'Visu totale'!$D:$DH,BN$1,0)),BM14-VLOOKUP($D14,'Visu totale'!$D:$DH,BN$1,0),IF(LEFT(VLOOKUP($D14,'Visu totale'!$D:$DH,BN$1,0),1)="V",IF(BM14&gt;=INDEX('[1]Définition Maintenances'!$G:$G,MATCH($A14,'[1]Définition Maintenances'!$K:$K,0)),BM14,INDEX('[1]Définition Maintenances'!$G:$G,MATCH($A14,'[1]Définition Maintenances'!$K:$K,0))+BM14),BM14))</f>
        <v>227</v>
      </c>
      <c r="BO14" s="26">
        <f>IF(ISNUMBER(VLOOKUP($D14,'Visu totale'!$D:$DH,BO$1,0)),BN14-VLOOKUP($D14,'Visu totale'!$D:$DH,BO$1,0),IF(LEFT(VLOOKUP($D14,'Visu totale'!$D:$DH,BO$1,0),1)="V",IF(BN14&gt;=INDEX('[1]Définition Maintenances'!$G:$G,MATCH($A14,'[1]Définition Maintenances'!$K:$K,0)),BN14,INDEX('[1]Définition Maintenances'!$G:$G,MATCH($A14,'[1]Définition Maintenances'!$K:$K,0))+BN14),BN14))</f>
        <v>227</v>
      </c>
      <c r="BP14" s="26">
        <f>IF(ISNUMBER(VLOOKUP($D14,'Visu totale'!$D:$DH,BP$1,0)),BO14-VLOOKUP($D14,'Visu totale'!$D:$DH,BP$1,0),IF(LEFT(VLOOKUP($D14,'Visu totale'!$D:$DH,BP$1,0),1)="V",IF(BO14&gt;=INDEX('[1]Définition Maintenances'!$G:$G,MATCH($A14,'[1]Définition Maintenances'!$K:$K,0)),BO14,INDEX('[1]Définition Maintenances'!$G:$G,MATCH($A14,'[1]Définition Maintenances'!$K:$K,0))+BO14),BO14))</f>
        <v>227</v>
      </c>
      <c r="BQ14" s="26">
        <f>IF(ISNUMBER(VLOOKUP($D14,'Visu totale'!$D:$DH,BQ$1,0)),BP14-VLOOKUP($D14,'Visu totale'!$D:$DH,BQ$1,0),IF(LEFT(VLOOKUP($D14,'Visu totale'!$D:$DH,BQ$1,0),1)="V",IF(BP14&gt;=INDEX('[1]Définition Maintenances'!$G:$G,MATCH($A14,'[1]Définition Maintenances'!$K:$K,0)),BP14,INDEX('[1]Définition Maintenances'!$G:$G,MATCH($A14,'[1]Définition Maintenances'!$K:$K,0))+BP14),BP14))</f>
        <v>227</v>
      </c>
      <c r="BR14" s="26">
        <f>IF(ISNUMBER(VLOOKUP($D14,'Visu totale'!$D:$DH,BR$1,0)),BQ14-VLOOKUP($D14,'Visu totale'!$D:$DH,BR$1,0),IF(LEFT(VLOOKUP($D14,'Visu totale'!$D:$DH,BR$1,0),1)="V",IF(BQ14&gt;=INDEX('[1]Définition Maintenances'!$G:$G,MATCH($A14,'[1]Définition Maintenances'!$K:$K,0)),BQ14,INDEX('[1]Définition Maintenances'!$G:$G,MATCH($A14,'[1]Définition Maintenances'!$K:$K,0))+BQ14),BQ14))</f>
        <v>227</v>
      </c>
      <c r="BS14" s="26">
        <f>IF(ISNUMBER(VLOOKUP($D14,'Visu totale'!$D:$DH,BS$1,0)),BR14-VLOOKUP($D14,'Visu totale'!$D:$DH,BS$1,0),IF(LEFT(VLOOKUP($D14,'Visu totale'!$D:$DH,BS$1,0),1)="V",IF(BR14&gt;=INDEX('[1]Définition Maintenances'!$G:$G,MATCH($A14,'[1]Définition Maintenances'!$K:$K,0)),BR14,INDEX('[1]Définition Maintenances'!$G:$G,MATCH($A14,'[1]Définition Maintenances'!$K:$K,0))+BR14),BR14))</f>
        <v>227</v>
      </c>
      <c r="BT14" s="26">
        <f>IF(ISNUMBER(VLOOKUP($D14,'Visu totale'!$D:$DH,BT$1,0)),BS14-VLOOKUP($D14,'Visu totale'!$D:$DH,BT$1,0),IF(LEFT(VLOOKUP($D14,'Visu totale'!$D:$DH,BT$1,0),1)="V",IF(BS14&gt;=INDEX('[1]Définition Maintenances'!$G:$G,MATCH($A14,'[1]Définition Maintenances'!$K:$K,0)),BS14,INDEX('[1]Définition Maintenances'!$G:$G,MATCH($A14,'[1]Définition Maintenances'!$K:$K,0))+BS14),BS14))</f>
        <v>227</v>
      </c>
      <c r="BU14" s="26">
        <f>IF(ISNUMBER(VLOOKUP($D14,'Visu totale'!$D:$DH,BU$1,0)),BT14-VLOOKUP($D14,'Visu totale'!$D:$DH,BU$1,0),IF(LEFT(VLOOKUP($D14,'Visu totale'!$D:$DH,BU$1,0),1)="V",IF(BT14&gt;=INDEX('[1]Définition Maintenances'!$G:$G,MATCH($A14,'[1]Définition Maintenances'!$K:$K,0)),BT14,INDEX('[1]Définition Maintenances'!$G:$G,MATCH($A14,'[1]Définition Maintenances'!$K:$K,0))+BT14),BT14))</f>
        <v>227</v>
      </c>
      <c r="BV14" s="26">
        <f>IF(ISNUMBER(VLOOKUP($D14,'Visu totale'!$D:$DH,BV$1,0)),BU14-VLOOKUP($D14,'Visu totale'!$D:$DH,BV$1,0),IF(LEFT(VLOOKUP($D14,'Visu totale'!$D:$DH,BV$1,0),1)="V",IF(BU14&gt;=INDEX('[1]Définition Maintenances'!$G:$G,MATCH($A14,'[1]Définition Maintenances'!$K:$K,0)),BU14,INDEX('[1]Définition Maintenances'!$G:$G,MATCH($A14,'[1]Définition Maintenances'!$K:$K,0))+BU14),BU14))</f>
        <v>227</v>
      </c>
      <c r="BW14" s="26">
        <f>IF(ISNUMBER(VLOOKUP($D14,'Visu totale'!$D:$DH,BW$1,0)),BV14-VLOOKUP($D14,'Visu totale'!$D:$DH,BW$1,0),IF(LEFT(VLOOKUP($D14,'Visu totale'!$D:$DH,BW$1,0),1)="V",IF(BV14&gt;=INDEX('[1]Définition Maintenances'!$G:$G,MATCH($A14,'[1]Définition Maintenances'!$K:$K,0)),BV14,INDEX('[1]Définition Maintenances'!$G:$G,MATCH($A14,'[1]Définition Maintenances'!$K:$K,0))+BV14),BV14))</f>
        <v>227</v>
      </c>
      <c r="BX14" s="26">
        <f>IF(ISNUMBER(VLOOKUP($D14,'Visu totale'!$D:$DH,BX$1,0)),BW14-VLOOKUP($D14,'Visu totale'!$D:$DH,BX$1,0),IF(LEFT(VLOOKUP($D14,'Visu totale'!$D:$DH,BX$1,0),1)="V",IF(BW14&gt;=INDEX('[1]Définition Maintenances'!$G:$G,MATCH($A14,'[1]Définition Maintenances'!$K:$K,0)),BW14,INDEX('[1]Définition Maintenances'!$G:$G,MATCH($A14,'[1]Définition Maintenances'!$K:$K,0))+BW14),BW14))</f>
        <v>227</v>
      </c>
      <c r="BY14" s="27">
        <f>IF(ISNUMBER(VLOOKUP($D14,'Visu totale'!$D:$DH,BY$1,0)),BX14-VLOOKUP($D14,'Visu totale'!$D:$DH,BY$1,0),IF(LEFT(VLOOKUP($D14,'Visu totale'!$D:$DH,BY$1,0),1)="V",IF(BX14&gt;=INDEX('[1]Définition Maintenances'!$G:$G,MATCH($A14,'[1]Définition Maintenances'!$K:$K,0)),BX14,INDEX('[1]Définition Maintenances'!$G:$G,MATCH($A14,'[1]Définition Maintenances'!$K:$K,0))+BX14),BX14))</f>
        <v>227</v>
      </c>
      <c r="BZ14" s="25">
        <f>IF(ISNUMBER(VLOOKUP($D14,'Visu totale'!$D:$DH,BZ$1,0)),BY14-VLOOKUP($D14,'Visu totale'!$D:$DH,BZ$1,0),IF(LEFT(VLOOKUP($D14,'Visu totale'!$D:$DH,BZ$1,0),1)="V",IF(BY14&gt;=INDEX('[1]Définition Maintenances'!$G:$G,MATCH($A14,'[1]Définition Maintenances'!$K:$K,0)),BY14,INDEX('[1]Définition Maintenances'!$G:$G,MATCH($A14,'[1]Définition Maintenances'!$K:$K,0))+BY14),BY14))</f>
        <v>227</v>
      </c>
      <c r="CA14" s="26">
        <f>IF(ISNUMBER(VLOOKUP($D14,'Visu totale'!$D:$DH,CA$1,0)),BZ14-VLOOKUP($D14,'Visu totale'!$D:$DH,CA$1,0),IF(LEFT(VLOOKUP($D14,'Visu totale'!$D:$DH,CA$1,0),1)="V",IF(BZ14&gt;=INDEX('[1]Définition Maintenances'!$G:$G,MATCH($A14,'[1]Définition Maintenances'!$K:$K,0)),BZ14,INDEX('[1]Définition Maintenances'!$G:$G,MATCH($A14,'[1]Définition Maintenances'!$K:$K,0))+BZ14),BZ14))</f>
        <v>227</v>
      </c>
      <c r="CB14" s="26">
        <f>IF(ISNUMBER(VLOOKUP($D14,'Visu totale'!$D:$DH,CB$1,0)),CA14-VLOOKUP($D14,'Visu totale'!$D:$DH,CB$1,0),IF(LEFT(VLOOKUP($D14,'Visu totale'!$D:$DH,CB$1,0),1)="V",IF(CA14&gt;=INDEX('[1]Définition Maintenances'!$G:$G,MATCH($A14,'[1]Définition Maintenances'!$K:$K,0)),CA14,INDEX('[1]Définition Maintenances'!$G:$G,MATCH($A14,'[1]Définition Maintenances'!$K:$K,0))+CA14),CA14))</f>
        <v>227</v>
      </c>
      <c r="CC14" s="26">
        <f>IF(ISNUMBER(VLOOKUP($D14,'Visu totale'!$D:$DH,CC$1,0)),CB14-VLOOKUP($D14,'Visu totale'!$D:$DH,CC$1,0),IF(LEFT(VLOOKUP($D14,'Visu totale'!$D:$DH,CC$1,0),1)="V",IF(CB14&gt;=INDEX('[1]Définition Maintenances'!$G:$G,MATCH($A14,'[1]Définition Maintenances'!$K:$K,0)),CB14,INDEX('[1]Définition Maintenances'!$G:$G,MATCH($A14,'[1]Définition Maintenances'!$K:$K,0))+CB14),CB14))</f>
        <v>227</v>
      </c>
      <c r="CD14" s="26">
        <f>IF(ISNUMBER(VLOOKUP($D14,'Visu totale'!$D:$DH,CD$1,0)),CC14-VLOOKUP($D14,'Visu totale'!$D:$DH,CD$1,0),IF(LEFT(VLOOKUP($D14,'Visu totale'!$D:$DH,CD$1,0),1)="V",IF(CC14&gt;=INDEX('[1]Définition Maintenances'!$G:$G,MATCH($A14,'[1]Définition Maintenances'!$K:$K,0)),CC14,INDEX('[1]Définition Maintenances'!$G:$G,MATCH($A14,'[1]Définition Maintenances'!$K:$K,0))+CC14),CC14))</f>
        <v>227</v>
      </c>
      <c r="CE14" s="26">
        <f>IF(ISNUMBER(VLOOKUP($D14,'Visu totale'!$D:$DH,CE$1,0)),CD14-VLOOKUP($D14,'Visu totale'!$D:$DH,CE$1,0),IF(LEFT(VLOOKUP($D14,'Visu totale'!$D:$DH,CE$1,0),1)="V",IF(CD14&gt;=INDEX('[1]Définition Maintenances'!$G:$G,MATCH($A14,'[1]Définition Maintenances'!$K:$K,0)),CD14,INDEX('[1]Définition Maintenances'!$G:$G,MATCH($A14,'[1]Définition Maintenances'!$K:$K,0))+CD14),CD14))</f>
        <v>227</v>
      </c>
      <c r="CF14" s="26">
        <f>IF(ISNUMBER(VLOOKUP($D14,'Visu totale'!$D:$DH,CF$1,0)),CE14-VLOOKUP($D14,'Visu totale'!$D:$DH,CF$1,0),IF(LEFT(VLOOKUP($D14,'Visu totale'!$D:$DH,CF$1,0),1)="V",IF(CE14&gt;=INDEX('[1]Définition Maintenances'!$G:$G,MATCH($A14,'[1]Définition Maintenances'!$K:$K,0)),CE14,INDEX('[1]Définition Maintenances'!$G:$G,MATCH($A14,'[1]Définition Maintenances'!$K:$K,0))+CE14),CE14))</f>
        <v>227</v>
      </c>
      <c r="CG14" s="26">
        <f>IF(ISNUMBER(VLOOKUP($D14,'Visu totale'!$D:$DH,CG$1,0)),CF14-VLOOKUP($D14,'Visu totale'!$D:$DH,CG$1,0),IF(LEFT(VLOOKUP($D14,'Visu totale'!$D:$DH,CG$1,0),1)="V",IF(CF14&gt;=INDEX('[1]Définition Maintenances'!$G:$G,MATCH($A14,'[1]Définition Maintenances'!$K:$K,0)),CF14,INDEX('[1]Définition Maintenances'!$G:$G,MATCH($A14,'[1]Définition Maintenances'!$K:$K,0))+CF14),CF14))</f>
        <v>227</v>
      </c>
      <c r="CH14" s="26">
        <f>IF(ISNUMBER(VLOOKUP($D14,'Visu totale'!$D:$DH,CH$1,0)),CG14-VLOOKUP($D14,'Visu totale'!$D:$DH,CH$1,0),IF(LEFT(VLOOKUP($D14,'Visu totale'!$D:$DH,CH$1,0),1)="V",IF(CG14&gt;=INDEX('[1]Définition Maintenances'!$G:$G,MATCH($A14,'[1]Définition Maintenances'!$K:$K,0)),CG14,INDEX('[1]Définition Maintenances'!$G:$G,MATCH($A14,'[1]Définition Maintenances'!$K:$K,0))+CG14),CG14))</f>
        <v>227</v>
      </c>
      <c r="CI14" s="26">
        <f>IF(ISNUMBER(VLOOKUP($D14,'Visu totale'!$D:$DH,CI$1,0)),CH14-VLOOKUP($D14,'Visu totale'!$D:$DH,CI$1,0),IF(LEFT(VLOOKUP($D14,'Visu totale'!$D:$DH,CI$1,0),1)="V",IF(CH14&gt;=INDEX('[1]Définition Maintenances'!$G:$G,MATCH($A14,'[1]Définition Maintenances'!$K:$K,0)),CH14,INDEX('[1]Définition Maintenances'!$G:$G,MATCH($A14,'[1]Définition Maintenances'!$K:$K,0))+CH14),CH14))</f>
        <v>227</v>
      </c>
      <c r="CJ14" s="26">
        <f>IF(ISNUMBER(VLOOKUP($D14,'Visu totale'!$D:$DH,CJ$1,0)),CI14-VLOOKUP($D14,'Visu totale'!$D:$DH,CJ$1,0),IF(LEFT(VLOOKUP($D14,'Visu totale'!$D:$DH,CJ$1,0),1)="V",IF(CI14&gt;=INDEX('[1]Définition Maintenances'!$G:$G,MATCH($A14,'[1]Définition Maintenances'!$K:$K,0)),CI14,INDEX('[1]Définition Maintenances'!$G:$G,MATCH($A14,'[1]Définition Maintenances'!$K:$K,0))+CI14),CI14))</f>
        <v>227</v>
      </c>
      <c r="CK14" s="27">
        <f>IF(ISNUMBER(VLOOKUP($D14,'Visu totale'!$D:$DH,CK$1,0)),CJ14-VLOOKUP($D14,'Visu totale'!$D:$DH,CK$1,0),IF(LEFT(VLOOKUP($D14,'Visu totale'!$D:$DH,CK$1,0),1)="V",IF(CJ14&gt;=INDEX('[1]Définition Maintenances'!$G:$G,MATCH($A14,'[1]Définition Maintenances'!$K:$K,0)),CJ14,INDEX('[1]Définition Maintenances'!$G:$G,MATCH($A14,'[1]Définition Maintenances'!$K:$K,0))+CJ14),CJ14))</f>
        <v>227</v>
      </c>
      <c r="CL14" s="25">
        <f>IF(ISNUMBER(VLOOKUP($D14,'Visu totale'!$D:$DH,CL$1,0)),CK14-VLOOKUP($D14,'Visu totale'!$D:$DH,CL$1,0),IF(LEFT(VLOOKUP($D14,'Visu totale'!$D:$DH,CL$1,0),1)="V",IF(CK14&gt;=INDEX('[1]Définition Maintenances'!$G:$G,MATCH($A14,'[1]Définition Maintenances'!$K:$K,0)),CK14,INDEX('[1]Définition Maintenances'!$G:$G,MATCH($A14,'[1]Définition Maintenances'!$K:$K,0))+CK14),CK14))</f>
        <v>227</v>
      </c>
      <c r="CM14" s="26">
        <f>IF(ISNUMBER(VLOOKUP($D14,'Visu totale'!$D:$DH,CM$1,0)),CL14-VLOOKUP($D14,'Visu totale'!$D:$DH,CM$1,0),IF(LEFT(VLOOKUP($D14,'Visu totale'!$D:$DH,CM$1,0),1)="V",IF(CL14&gt;=INDEX('[1]Définition Maintenances'!$G:$G,MATCH($A14,'[1]Définition Maintenances'!$K:$K,0)),CL14,INDEX('[1]Définition Maintenances'!$G:$G,MATCH($A14,'[1]Définition Maintenances'!$K:$K,0))+CL14),CL14))</f>
        <v>227</v>
      </c>
      <c r="CN14" s="26">
        <f>IF(ISNUMBER(VLOOKUP($D14,'Visu totale'!$D:$DH,CN$1,0)),CM14-VLOOKUP($D14,'Visu totale'!$D:$DH,CN$1,0),IF(LEFT(VLOOKUP($D14,'Visu totale'!$D:$DH,CN$1,0),1)="V",IF(CM14&gt;=INDEX('[1]Définition Maintenances'!$G:$G,MATCH($A14,'[1]Définition Maintenances'!$K:$K,0)),CM14,INDEX('[1]Définition Maintenances'!$G:$G,MATCH($A14,'[1]Définition Maintenances'!$K:$K,0))+CM14),CM14))</f>
        <v>227</v>
      </c>
      <c r="CO14" s="26">
        <f>IF(ISNUMBER(VLOOKUP($D14,'Visu totale'!$D:$DH,CO$1,0)),CN14-VLOOKUP($D14,'Visu totale'!$D:$DH,CO$1,0),IF(LEFT(VLOOKUP($D14,'Visu totale'!$D:$DH,CO$1,0),1)="V",IF(CN14&gt;=INDEX('[1]Définition Maintenances'!$G:$G,MATCH($A14,'[1]Définition Maintenances'!$K:$K,0)),CN14,INDEX('[1]Définition Maintenances'!$G:$G,MATCH($A14,'[1]Définition Maintenances'!$K:$K,0))+CN14),CN14))</f>
        <v>227</v>
      </c>
      <c r="CP14" s="26">
        <f>IF(ISNUMBER(VLOOKUP($D14,'Visu totale'!$D:$DH,CP$1,0)),CO14-VLOOKUP($D14,'Visu totale'!$D:$DH,CP$1,0),IF(LEFT(VLOOKUP($D14,'Visu totale'!$D:$DH,CP$1,0),1)="V",IF(CO14&gt;=INDEX('[1]Définition Maintenances'!$G:$G,MATCH($A14,'[1]Définition Maintenances'!$K:$K,0)),CO14,INDEX('[1]Définition Maintenances'!$G:$G,MATCH($A14,'[1]Définition Maintenances'!$K:$K,0))+CO14),CO14))</f>
        <v>227</v>
      </c>
      <c r="CQ14" s="26">
        <f>IF(ISNUMBER(VLOOKUP($D14,'Visu totale'!$D:$DH,CQ$1,0)),CP14-VLOOKUP($D14,'Visu totale'!$D:$DH,CQ$1,0),IF(LEFT(VLOOKUP($D14,'Visu totale'!$D:$DH,CQ$1,0),1)="V",IF(CP14&gt;=INDEX('[1]Définition Maintenances'!$G:$G,MATCH($A14,'[1]Définition Maintenances'!$K:$K,0)),CP14,INDEX('[1]Définition Maintenances'!$G:$G,MATCH($A14,'[1]Définition Maintenances'!$K:$K,0))+CP14),CP14))</f>
        <v>227</v>
      </c>
      <c r="CR14" s="26">
        <f>IF(ISNUMBER(VLOOKUP($D14,'Visu totale'!$D:$DH,CR$1,0)),CQ14-VLOOKUP($D14,'Visu totale'!$D:$DH,CR$1,0),IF(LEFT(VLOOKUP($D14,'Visu totale'!$D:$DH,CR$1,0),1)="V",IF(CQ14&gt;=INDEX('[1]Définition Maintenances'!$G:$G,MATCH($A14,'[1]Définition Maintenances'!$K:$K,0)),CQ14,INDEX('[1]Définition Maintenances'!$G:$G,MATCH($A14,'[1]Définition Maintenances'!$K:$K,0))+CQ14),CQ14))</f>
        <v>227</v>
      </c>
      <c r="CS14" s="26">
        <f>IF(ISNUMBER(VLOOKUP($D14,'Visu totale'!$D:$DH,CS$1,0)),CR14-VLOOKUP($D14,'Visu totale'!$D:$DH,CS$1,0),IF(LEFT(VLOOKUP($D14,'Visu totale'!$D:$DH,CS$1,0),1)="V",IF(CR14&gt;=INDEX('[1]Définition Maintenances'!$G:$G,MATCH($A14,'[1]Définition Maintenances'!$K:$K,0)),CR14,INDEX('[1]Définition Maintenances'!$G:$G,MATCH($A14,'[1]Définition Maintenances'!$K:$K,0))+CR14),CR14))</f>
        <v>227</v>
      </c>
      <c r="CT14" s="26">
        <f>IF(ISNUMBER(VLOOKUP($D14,'Visu totale'!$D:$DH,CT$1,0)),CS14-VLOOKUP($D14,'Visu totale'!$D:$DH,CT$1,0),IF(LEFT(VLOOKUP($D14,'Visu totale'!$D:$DH,CT$1,0),1)="V",IF(CS14&gt;=INDEX('[1]Définition Maintenances'!$G:$G,MATCH($A14,'[1]Définition Maintenances'!$K:$K,0)),CS14,INDEX('[1]Définition Maintenances'!$G:$G,MATCH($A14,'[1]Définition Maintenances'!$K:$K,0))+CS14),CS14))</f>
        <v>227</v>
      </c>
      <c r="CU14" s="26">
        <f>IF(ISNUMBER(VLOOKUP($D14,'Visu totale'!$D:$DH,CU$1,0)),CT14-VLOOKUP($D14,'Visu totale'!$D:$DH,CU$1,0),IF(LEFT(VLOOKUP($D14,'Visu totale'!$D:$DH,CU$1,0),1)="V",IF(CT14&gt;=INDEX('[1]Définition Maintenances'!$G:$G,MATCH($A14,'[1]Définition Maintenances'!$K:$K,0)),CT14,INDEX('[1]Définition Maintenances'!$G:$G,MATCH($A14,'[1]Définition Maintenances'!$K:$K,0))+CT14),CT14))</f>
        <v>227</v>
      </c>
      <c r="CV14" s="26">
        <f>IF(ISNUMBER(VLOOKUP($D14,'Visu totale'!$D:$DH,CV$1,0)),CU14-VLOOKUP($D14,'Visu totale'!$D:$DH,CV$1,0),IF(LEFT(VLOOKUP($D14,'Visu totale'!$D:$DH,CV$1,0),1)="V",IF(CU14&gt;=INDEX('[1]Définition Maintenances'!$G:$G,MATCH($A14,'[1]Définition Maintenances'!$K:$K,0)),CU14,INDEX('[1]Définition Maintenances'!$G:$G,MATCH($A14,'[1]Définition Maintenances'!$K:$K,0))+CU14),CU14))</f>
        <v>227</v>
      </c>
      <c r="CW14" s="27">
        <f>IF(ISNUMBER(VLOOKUP($D14,'Visu totale'!$D:$DH,CW$1,0)),CV14-VLOOKUP($D14,'Visu totale'!$D:$DH,CW$1,0),IF(LEFT(VLOOKUP($D14,'Visu totale'!$D:$DH,CW$1,0),1)="V",IF(CV14&gt;=INDEX('[1]Définition Maintenances'!$G:$G,MATCH($A14,'[1]Définition Maintenances'!$K:$K,0)),CV14,INDEX('[1]Définition Maintenances'!$G:$G,MATCH($A14,'[1]Définition Maintenances'!$K:$K,0))+CV14),CV14))</f>
        <v>227</v>
      </c>
      <c r="CX14" s="25">
        <f>IF(ISNUMBER(VLOOKUP($D14,'Visu totale'!$D:$DH,CX$1,0)),CW14-VLOOKUP($D14,'Visu totale'!$D:$DH,CX$1,0),IF(LEFT(VLOOKUP($D14,'Visu totale'!$D:$DH,CX$1,0),1)="V",IF(CW14&gt;=INDEX('[1]Définition Maintenances'!$G:$G,MATCH($A14,'[1]Définition Maintenances'!$K:$K,0)),CW14,INDEX('[1]Définition Maintenances'!$G:$G,MATCH($A14,'[1]Définition Maintenances'!$K:$K,0))+CW14),CW14))</f>
        <v>227</v>
      </c>
      <c r="CY14" s="26">
        <f>IF(ISNUMBER(VLOOKUP($D14,'Visu totale'!$D:$DH,CY$1,0)),CX14-VLOOKUP($D14,'Visu totale'!$D:$DH,CY$1,0),IF(LEFT(VLOOKUP($D14,'Visu totale'!$D:$DH,CY$1,0),1)="V",IF(CX14&gt;=INDEX('[1]Définition Maintenances'!$G:$G,MATCH($A14,'[1]Définition Maintenances'!$K:$K,0)),CX14,INDEX('[1]Définition Maintenances'!$G:$G,MATCH($A14,'[1]Définition Maintenances'!$K:$K,0))+CX14),CX14))</f>
        <v>227</v>
      </c>
      <c r="CZ14" s="26">
        <f>IF(ISNUMBER(VLOOKUP($D14,'Visu totale'!$D:$DH,CZ$1,0)),CY14-VLOOKUP($D14,'Visu totale'!$D:$DH,CZ$1,0),IF(LEFT(VLOOKUP($D14,'Visu totale'!$D:$DH,CZ$1,0),1)="V",IF(CY14&gt;=INDEX('[1]Définition Maintenances'!$G:$G,MATCH($A14,'[1]Définition Maintenances'!$K:$K,0)),CY14,INDEX('[1]Définition Maintenances'!$G:$G,MATCH($A14,'[1]Définition Maintenances'!$K:$K,0))+CY14),CY14))</f>
        <v>227</v>
      </c>
      <c r="DA14" s="26">
        <f>IF(ISNUMBER(VLOOKUP($D14,'Visu totale'!$D:$DH,DA$1,0)),CZ14-VLOOKUP($D14,'Visu totale'!$D:$DH,DA$1,0),IF(LEFT(VLOOKUP($D14,'Visu totale'!$D:$DH,DA$1,0),1)="V",IF(CZ14&gt;=INDEX('[1]Définition Maintenances'!$G:$G,MATCH($A14,'[1]Définition Maintenances'!$K:$K,0)),CZ14,INDEX('[1]Définition Maintenances'!$G:$G,MATCH($A14,'[1]Définition Maintenances'!$K:$K,0))+CZ14),CZ14))</f>
        <v>227</v>
      </c>
      <c r="DB14" s="26">
        <f>IF(ISNUMBER(VLOOKUP($D14,'Visu totale'!$D:$DH,DB$1,0)),DA14-VLOOKUP($D14,'Visu totale'!$D:$DH,DB$1,0),IF(LEFT(VLOOKUP($D14,'Visu totale'!$D:$DH,DB$1,0),1)="V",IF(DA14&gt;=INDEX('[1]Définition Maintenances'!$G:$G,MATCH($A14,'[1]Définition Maintenances'!$K:$K,0)),DA14,INDEX('[1]Définition Maintenances'!$G:$G,MATCH($A14,'[1]Définition Maintenances'!$K:$K,0))+DA14),DA14))</f>
        <v>227</v>
      </c>
      <c r="DC14" s="26">
        <f>IF(ISNUMBER(VLOOKUP($D14,'Visu totale'!$D:$DH,DC$1,0)),DB14-VLOOKUP($D14,'Visu totale'!$D:$DH,DC$1,0),IF(LEFT(VLOOKUP($D14,'Visu totale'!$D:$DH,DC$1,0),1)="V",IF(DB14&gt;=INDEX('[1]Définition Maintenances'!$G:$G,MATCH($A14,'[1]Définition Maintenances'!$K:$K,0)),DB14,INDEX('[1]Définition Maintenances'!$G:$G,MATCH($A14,'[1]Définition Maintenances'!$K:$K,0))+DB14),DB14))</f>
        <v>227</v>
      </c>
      <c r="DD14" s="26">
        <f>IF(ISNUMBER(VLOOKUP($D14,'Visu totale'!$D:$DH,DD$1,0)),DC14-VLOOKUP($D14,'Visu totale'!$D:$DH,DD$1,0),IF(LEFT(VLOOKUP($D14,'Visu totale'!$D:$DH,DD$1,0),1)="V",IF(DC14&gt;=INDEX('[1]Définition Maintenances'!$G:$G,MATCH($A14,'[1]Définition Maintenances'!$K:$K,0)),DC14,INDEX('[1]Définition Maintenances'!$G:$G,MATCH($A14,'[1]Définition Maintenances'!$K:$K,0))+DC14),DC14))</f>
        <v>227</v>
      </c>
      <c r="DE14" s="26">
        <f>IF(ISNUMBER(VLOOKUP($D14,'Visu totale'!$D:$DH,DE$1,0)),DD14-VLOOKUP($D14,'Visu totale'!$D:$DH,DE$1,0),IF(LEFT(VLOOKUP($D14,'Visu totale'!$D:$DH,DE$1,0),1)="V",IF(DD14&gt;=INDEX('[1]Définition Maintenances'!$G:$G,MATCH($A14,'[1]Définition Maintenances'!$K:$K,0)),DD14,INDEX('[1]Définition Maintenances'!$G:$G,MATCH($A14,'[1]Définition Maintenances'!$K:$K,0))+DD14),DD14))</f>
        <v>227</v>
      </c>
      <c r="DF14" s="26">
        <f>IF(ISNUMBER(VLOOKUP($D14,'Visu totale'!$D:$DH,DF$1,0)),DE14-VLOOKUP($D14,'Visu totale'!$D:$DH,DF$1,0),IF(LEFT(VLOOKUP($D14,'Visu totale'!$D:$DH,DF$1,0),1)="V",IF(DE14&gt;=INDEX('[1]Définition Maintenances'!$G:$G,MATCH($A14,'[1]Définition Maintenances'!$K:$K,0)),DE14,INDEX('[1]Définition Maintenances'!$G:$G,MATCH($A14,'[1]Définition Maintenances'!$K:$K,0))+DE14),DE14))</f>
        <v>227</v>
      </c>
      <c r="DG14" s="26">
        <f>IF(ISNUMBER(VLOOKUP($D14,'Visu totale'!$D:$DH,DG$1,0)),DF14-VLOOKUP($D14,'Visu totale'!$D:$DH,DG$1,0),IF(LEFT(VLOOKUP($D14,'Visu totale'!$D:$DH,DG$1,0),1)="V",IF(DF14&gt;=INDEX('[1]Définition Maintenances'!$G:$G,MATCH($A14,'[1]Définition Maintenances'!$K:$K,0)),DF14,INDEX('[1]Définition Maintenances'!$G:$G,MATCH($A14,'[1]Définition Maintenances'!$K:$K,0))+DF14),DF14))</f>
        <v>227</v>
      </c>
      <c r="DH14" s="26">
        <f>IF(ISNUMBER(VLOOKUP($D14,'Visu totale'!$D:$DH,DH$1,0)),DG14-VLOOKUP($D14,'Visu totale'!$D:$DH,DH$1,0),IF(LEFT(VLOOKUP($D14,'Visu totale'!$D:$DH,DH$1,0),1)="V",IF(DG14&gt;=INDEX('[1]Définition Maintenances'!$G:$G,MATCH($A14,'[1]Définition Maintenances'!$K:$K,0)),DG14,INDEX('[1]Définition Maintenances'!$G:$G,MATCH($A14,'[1]Définition Maintenances'!$K:$K,0))+DG14),DG14))</f>
        <v>227</v>
      </c>
      <c r="DI14" s="27">
        <f>IF(ISNUMBER(VLOOKUP($D14,'Visu totale'!$D:$DH,DI$1,0)),DH14-VLOOKUP($D14,'Visu totale'!$D:$DH,DI$1,0),IF(LEFT(VLOOKUP($D14,'Visu totale'!$D:$DH,DI$1,0),1)="V",IF(DH14&gt;=INDEX('[1]Définition Maintenances'!$G:$G,MATCH($A14,'[1]Définition Maintenances'!$K:$K,0)),DH14,INDEX('[1]Définition Maintenances'!$G:$G,MATCH($A14,'[1]Définition Maintenances'!$K:$K,0))+DH14),DH14))</f>
        <v>227</v>
      </c>
    </row>
    <row r="15" spans="1:113" x14ac:dyDescent="0.25">
      <c r="A15" s="13" t="str">
        <f t="shared" si="0"/>
        <v>V25D</v>
      </c>
      <c r="B15" s="13" t="str">
        <f>VLOOKUP(D15,'[1]Avions (Potentiels)'!$B$2:$H$128,7,FALSE)</f>
        <v>V25</v>
      </c>
      <c r="C15" s="13"/>
      <c r="D15" s="16" t="s">
        <v>18</v>
      </c>
      <c r="E15" s="13">
        <f>IFERROR(VALUE(SUBSTITUTE(VLOOKUP(D15,'[1]Avions (Potentiels)'!$B:$E,4,0),".",",")),VALUE(VLOOKUP(D15,'[1]Avions (Potentiels)'!$B:$E,4,0)))</f>
        <v>16</v>
      </c>
      <c r="F15" s="25">
        <f>IF(ISNUMBER(VLOOKUP($D15,'Visu totale'!$D:$DH,F$1,0)),E15-VLOOKUP($D15,'Visu totale'!$D:$DH,F$1,0),IF(LEFT(VLOOKUP($D15,'Visu totale'!$D:$DH,F$1,0),1)="V",IF(E15&gt;=INDEX('[1]Définition Maintenances'!$G:$G,MATCH($A15,'[1]Définition Maintenances'!$K:$K,0)),E15,INDEX('[1]Définition Maintenances'!$G:$G,MATCH($A15,'[1]Définition Maintenances'!$K:$K,0))+E15),E15))</f>
        <v>16</v>
      </c>
      <c r="G15" s="26">
        <f>IF(ISNUMBER(VLOOKUP($D15,'Visu totale'!$D:$DH,G$1,0)),F15-VLOOKUP($D15,'Visu totale'!$D:$DH,G$1,0),IF(LEFT(VLOOKUP($D15,'Visu totale'!$D:$DH,G$1,0),1)="V",IF(F15&gt;=INDEX('[1]Définition Maintenances'!$G:$G,MATCH($A15,'[1]Définition Maintenances'!$K:$K,0)),F15,INDEX('[1]Définition Maintenances'!$G:$G,MATCH($A15,'[1]Définition Maintenances'!$K:$K,0))+F15),F15))</f>
        <v>16</v>
      </c>
      <c r="H15" s="26">
        <f>IF(ISNUMBER(VLOOKUP($D15,'Visu totale'!$D:$DH,H$1,0)),G15-VLOOKUP($D15,'Visu totale'!$D:$DH,H$1,0),IF(LEFT(VLOOKUP($D15,'Visu totale'!$D:$DH,H$1,0),1)="V",IF(G15&gt;=INDEX('[1]Définition Maintenances'!$G:$G,MATCH($A15,'[1]Définition Maintenances'!$K:$K,0)),G15,INDEX('[1]Définition Maintenances'!$G:$G,MATCH($A15,'[1]Définition Maintenances'!$K:$K,0))+G15),G15))</f>
        <v>16</v>
      </c>
      <c r="I15" s="26">
        <f>IF(ISNUMBER(VLOOKUP($D15,'Visu totale'!$D:$DH,I$1,0)),H15-VLOOKUP($D15,'Visu totale'!$D:$DH,I$1,0),IF(LEFT(VLOOKUP($D15,'Visu totale'!$D:$DH,I$1,0),1)="V",IF(H15&gt;=INDEX('[1]Définition Maintenances'!$G:$G,MATCH($A15,'[1]Définition Maintenances'!$K:$K,0)),H15,INDEX('[1]Définition Maintenances'!$G:$G,MATCH($A15,'[1]Définition Maintenances'!$K:$K,0))+H15),H15))</f>
        <v>16</v>
      </c>
      <c r="J15" s="26">
        <f>IF(ISNUMBER(VLOOKUP($D15,'Visu totale'!$D:$DH,J$1,0)),I15-VLOOKUP($D15,'Visu totale'!$D:$DH,J$1,0),IF(LEFT(VLOOKUP($D15,'Visu totale'!$D:$DH,J$1,0),1)="V",IF(I15&gt;=INDEX('[1]Définition Maintenances'!$G:$G,MATCH($A15,'[1]Définition Maintenances'!$K:$K,0)),I15,INDEX('[1]Définition Maintenances'!$G:$G,MATCH($A15,'[1]Définition Maintenances'!$K:$K,0))+I15),I15))</f>
        <v>16</v>
      </c>
      <c r="K15" s="26">
        <f>IF(ISNUMBER(VLOOKUP($D15,'Visu totale'!$D:$DH,K$1,0)),J15-VLOOKUP($D15,'Visu totale'!$D:$DH,K$1,0),IF(LEFT(VLOOKUP($D15,'Visu totale'!$D:$DH,K$1,0),1)="V",IF(J15&gt;=INDEX('[1]Définition Maintenances'!$G:$G,MATCH($A15,'[1]Définition Maintenances'!$K:$K,0)),J15,INDEX('[1]Définition Maintenances'!$G:$G,MATCH($A15,'[1]Définition Maintenances'!$K:$K,0))+J15),J15))</f>
        <v>16</v>
      </c>
      <c r="L15" s="26">
        <f>IF(ISNUMBER(VLOOKUP($D15,'Visu totale'!$D:$DH,L$1,0)),K15-VLOOKUP($D15,'Visu totale'!$D:$DH,L$1,0),IF(LEFT(VLOOKUP($D15,'Visu totale'!$D:$DH,L$1,0),1)="V",IF(K15&gt;=INDEX('[1]Définition Maintenances'!$G:$G,MATCH($A15,'[1]Définition Maintenances'!$K:$K,0)),K15,INDEX('[1]Définition Maintenances'!$G:$G,MATCH($A15,'[1]Définition Maintenances'!$K:$K,0))+K15),K15))</f>
        <v>16</v>
      </c>
      <c r="M15" s="26">
        <f>IF(ISNUMBER(VLOOKUP($D15,'Visu totale'!$D:$DH,M$1,0)),L15-VLOOKUP($D15,'Visu totale'!$D:$DH,M$1,0),IF(LEFT(VLOOKUP($D15,'Visu totale'!$D:$DH,M$1,0),1)="V",IF(L15&gt;=INDEX('[1]Définition Maintenances'!$G:$G,MATCH($A15,'[1]Définition Maintenances'!$K:$K,0)),L15,INDEX('[1]Définition Maintenances'!$G:$G,MATCH($A15,'[1]Définition Maintenances'!$K:$K,0))+L15),L15))</f>
        <v>16</v>
      </c>
      <c r="N15" s="26">
        <f>IF(ISNUMBER(VLOOKUP($D15,'Visu totale'!$D:$DH,N$1,0)),M15-VLOOKUP($D15,'Visu totale'!$D:$DH,N$1,0),IF(LEFT(VLOOKUP($D15,'Visu totale'!$D:$DH,N$1,0),1)="V",IF(M15&gt;=INDEX('[1]Définition Maintenances'!$G:$G,MATCH($A15,'[1]Définition Maintenances'!$K:$K,0)),M15,INDEX('[1]Définition Maintenances'!$G:$G,MATCH($A15,'[1]Définition Maintenances'!$K:$K,0))+M15),M15))</f>
        <v>16</v>
      </c>
      <c r="O15" s="26">
        <f>IF(ISNUMBER(VLOOKUP($D15,'Visu totale'!$D:$DH,O$1,0)),N15-VLOOKUP($D15,'Visu totale'!$D:$DH,O$1,0),IF(LEFT(VLOOKUP($D15,'Visu totale'!$D:$DH,O$1,0),1)="V",IF(N15&gt;=INDEX('[1]Définition Maintenances'!$G:$G,MATCH($A15,'[1]Définition Maintenances'!$K:$K,0)),N15,INDEX('[1]Définition Maintenances'!$G:$G,MATCH($A15,'[1]Définition Maintenances'!$K:$K,0))+N15),N15))</f>
        <v>16</v>
      </c>
      <c r="P15" s="26">
        <f>IF(ISNUMBER(VLOOKUP($D15,'Visu totale'!$D:$DH,P$1,0)),O15-VLOOKUP($D15,'Visu totale'!$D:$DH,P$1,0),IF(LEFT(VLOOKUP($D15,'Visu totale'!$D:$DH,P$1,0),1)="V",IF(O15&gt;=INDEX('[1]Définition Maintenances'!$G:$G,MATCH($A15,'[1]Définition Maintenances'!$K:$K,0)),O15,INDEX('[1]Définition Maintenances'!$G:$G,MATCH($A15,'[1]Définition Maintenances'!$K:$K,0))+O15),O15))</f>
        <v>16</v>
      </c>
      <c r="Q15" s="27">
        <f>IF(ISNUMBER(VLOOKUP($D15,'Visu totale'!$D:$DH,Q$1,0)),P15-VLOOKUP($D15,'Visu totale'!$D:$DH,Q$1,0),IF(LEFT(VLOOKUP($D15,'Visu totale'!$D:$DH,Q$1,0),1)="V",IF(P15&gt;=INDEX('[1]Définition Maintenances'!$G:$G,MATCH($A15,'[1]Définition Maintenances'!$K:$K,0)),P15,INDEX('[1]Définition Maintenances'!$G:$G,MATCH($A15,'[1]Définition Maintenances'!$K:$K,0))+P15),P15))</f>
        <v>16</v>
      </c>
      <c r="R15" s="25">
        <f>IF(ISNUMBER(VLOOKUP($D15,'Visu totale'!$D:$DH,R$1,0)),Q15-VLOOKUP($D15,'Visu totale'!$D:$DH,R$1,0),IF(LEFT(VLOOKUP($D15,'Visu totale'!$D:$DH,R$1,0),1)="V",IF(Q15&gt;=INDEX('[1]Définition Maintenances'!$G:$G,MATCH($A15,'[1]Définition Maintenances'!$K:$K,0)),Q15,INDEX('[1]Définition Maintenances'!$G:$G,MATCH($A15,'[1]Définition Maintenances'!$K:$K,0))+Q15),Q15))</f>
        <v>16</v>
      </c>
      <c r="S15" s="26">
        <f>IF(ISNUMBER(VLOOKUP($D15,'Visu totale'!$D:$DH,S$1,0)),R15-VLOOKUP($D15,'Visu totale'!$D:$DH,S$1,0),IF(LEFT(VLOOKUP($D15,'Visu totale'!$D:$DH,S$1,0),1)="V",IF(R15&gt;=INDEX('[1]Définition Maintenances'!$G:$G,MATCH($A15,'[1]Définition Maintenances'!$K:$K,0)),R15,INDEX('[1]Définition Maintenances'!$G:$G,MATCH($A15,'[1]Définition Maintenances'!$K:$K,0))+R15),R15))</f>
        <v>16</v>
      </c>
      <c r="T15" s="26">
        <f>IF(ISNUMBER(VLOOKUP($D15,'Visu totale'!$D:$DH,T$1,0)),S15-VLOOKUP($D15,'Visu totale'!$D:$DH,T$1,0),IF(LEFT(VLOOKUP($D15,'Visu totale'!$D:$DH,T$1,0),1)="V",IF(S15&gt;=INDEX('[1]Définition Maintenances'!$G:$G,MATCH($A15,'[1]Définition Maintenances'!$K:$K,0)),S15,INDEX('[1]Définition Maintenances'!$G:$G,MATCH($A15,'[1]Définition Maintenances'!$K:$K,0))+S15),S15))</f>
        <v>16</v>
      </c>
      <c r="U15" s="26">
        <f>IF(ISNUMBER(VLOOKUP($D15,'Visu totale'!$D:$DH,U$1,0)),T15-VLOOKUP($D15,'Visu totale'!$D:$DH,U$1,0),IF(LEFT(VLOOKUP($D15,'Visu totale'!$D:$DH,U$1,0),1)="V",IF(T15&gt;=INDEX('[1]Définition Maintenances'!$G:$G,MATCH($A15,'[1]Définition Maintenances'!$K:$K,0)),T15,INDEX('[1]Définition Maintenances'!$G:$G,MATCH($A15,'[1]Définition Maintenances'!$K:$K,0))+T15),T15))</f>
        <v>16</v>
      </c>
      <c r="V15" s="26">
        <f>IF(ISNUMBER(VLOOKUP($D15,'Visu totale'!$D:$DH,V$1,0)),U15-VLOOKUP($D15,'Visu totale'!$D:$DH,V$1,0),IF(LEFT(VLOOKUP($D15,'Visu totale'!$D:$DH,V$1,0),1)="V",IF(U15&gt;=INDEX('[1]Définition Maintenances'!$G:$G,MATCH($A15,'[1]Définition Maintenances'!$K:$K,0)),U15,INDEX('[1]Définition Maintenances'!$G:$G,MATCH($A15,'[1]Définition Maintenances'!$K:$K,0))+U15),U15))</f>
        <v>16</v>
      </c>
      <c r="W15" s="26">
        <f>IF(ISNUMBER(VLOOKUP($D15,'Visu totale'!$D:$DH,W$1,0)),V15-VLOOKUP($D15,'Visu totale'!$D:$DH,W$1,0),IF(LEFT(VLOOKUP($D15,'Visu totale'!$D:$DH,W$1,0),1)="V",IF(V15&gt;=INDEX('[1]Définition Maintenances'!$G:$G,MATCH($A15,'[1]Définition Maintenances'!$K:$K,0)),V15,INDEX('[1]Définition Maintenances'!$G:$G,MATCH($A15,'[1]Définition Maintenances'!$K:$K,0))+V15),V15))</f>
        <v>16</v>
      </c>
      <c r="X15" s="26">
        <f>IF(ISNUMBER(VLOOKUP($D15,'Visu totale'!$D:$DH,X$1,0)),W15-VLOOKUP($D15,'Visu totale'!$D:$DH,X$1,0),IF(LEFT(VLOOKUP($D15,'Visu totale'!$D:$DH,X$1,0),1)="V",IF(W15&gt;=INDEX('[1]Définition Maintenances'!$G:$G,MATCH($A15,'[1]Définition Maintenances'!$K:$K,0)),W15,INDEX('[1]Définition Maintenances'!$G:$G,MATCH($A15,'[1]Définition Maintenances'!$K:$K,0))+W15),W15))</f>
        <v>16</v>
      </c>
      <c r="Y15" s="26">
        <f>IF(ISNUMBER(VLOOKUP($D15,'Visu totale'!$D:$DH,Y$1,0)),X15-VLOOKUP($D15,'Visu totale'!$D:$DH,Y$1,0),IF(LEFT(VLOOKUP($D15,'Visu totale'!$D:$DH,Y$1,0),1)="V",IF(X15&gt;=INDEX('[1]Définition Maintenances'!$G:$G,MATCH($A15,'[1]Définition Maintenances'!$K:$K,0)),X15,INDEX('[1]Définition Maintenances'!$G:$G,MATCH($A15,'[1]Définition Maintenances'!$K:$K,0))+X15),X15))</f>
        <v>16</v>
      </c>
      <c r="Z15" s="26">
        <f>IF(ISNUMBER(VLOOKUP($D15,'Visu totale'!$D:$DH,Z$1,0)),Y15-VLOOKUP($D15,'Visu totale'!$D:$DH,Z$1,0),IF(LEFT(VLOOKUP($D15,'Visu totale'!$D:$DH,Z$1,0),1)="V",IF(Y15&gt;=INDEX('[1]Définition Maintenances'!$G:$G,MATCH($A15,'[1]Définition Maintenances'!$K:$K,0)),Y15,INDEX('[1]Définition Maintenances'!$G:$G,MATCH($A15,'[1]Définition Maintenances'!$K:$K,0))+Y15),Y15))</f>
        <v>16</v>
      </c>
      <c r="AA15" s="26">
        <f>IF(ISNUMBER(VLOOKUP($D15,'Visu totale'!$D:$DH,AA$1,0)),Z15-VLOOKUP($D15,'Visu totale'!$D:$DH,AA$1,0),IF(LEFT(VLOOKUP($D15,'Visu totale'!$D:$DH,AA$1,0),1)="V",IF(Z15&gt;=INDEX('[1]Définition Maintenances'!$G:$G,MATCH($A15,'[1]Définition Maintenances'!$K:$K,0)),Z15,INDEX('[1]Définition Maintenances'!$G:$G,MATCH($A15,'[1]Définition Maintenances'!$K:$K,0))+Z15),Z15))</f>
        <v>16</v>
      </c>
      <c r="AB15" s="26">
        <f>IF(ISNUMBER(VLOOKUP($D15,'Visu totale'!$D:$DH,AB$1,0)),AA15-VLOOKUP($D15,'Visu totale'!$D:$DH,AB$1,0),IF(LEFT(VLOOKUP($D15,'Visu totale'!$D:$DH,AB$1,0),1)="V",IF(AA15&gt;=INDEX('[1]Définition Maintenances'!$G:$G,MATCH($A15,'[1]Définition Maintenances'!$K:$K,0)),AA15,INDEX('[1]Définition Maintenances'!$G:$G,MATCH($A15,'[1]Définition Maintenances'!$K:$K,0))+AA15),AA15))</f>
        <v>16</v>
      </c>
      <c r="AC15" s="27">
        <f>IF(ISNUMBER(VLOOKUP($D15,'Visu totale'!$D:$DH,AC$1,0)),AB15-VLOOKUP($D15,'Visu totale'!$D:$DH,AC$1,0),IF(LEFT(VLOOKUP($D15,'Visu totale'!$D:$DH,AC$1,0),1)="V",IF(AB15&gt;=INDEX('[1]Définition Maintenances'!$G:$G,MATCH($A15,'[1]Définition Maintenances'!$K:$K,0)),AB15,INDEX('[1]Définition Maintenances'!$G:$G,MATCH($A15,'[1]Définition Maintenances'!$K:$K,0))+AB15),AB15))</f>
        <v>16</v>
      </c>
      <c r="AD15" s="25">
        <f>IF(ISNUMBER(VLOOKUP($D15,'Visu totale'!$D:$DH,AD$1,0)),AC15-VLOOKUP($D15,'Visu totale'!$D:$DH,AD$1,0),IF(LEFT(VLOOKUP($D15,'Visu totale'!$D:$DH,AD$1,0),1)="V",IF(AC15&gt;=INDEX('[1]Définition Maintenances'!$G:$G,MATCH($A15,'[1]Définition Maintenances'!$K:$K,0)),AC15,INDEX('[1]Définition Maintenances'!$G:$G,MATCH($A15,'[1]Définition Maintenances'!$K:$K,0))+AC15),AC15))</f>
        <v>16</v>
      </c>
      <c r="AE15" s="26">
        <f>IF(ISNUMBER(VLOOKUP($D15,'Visu totale'!$D:$DH,AE$1,0)),AD15-VLOOKUP($D15,'Visu totale'!$D:$DH,AE$1,0),IF(LEFT(VLOOKUP($D15,'Visu totale'!$D:$DH,AE$1,0),1)="V",IF(AD15&gt;=INDEX('[1]Définition Maintenances'!$G:$G,MATCH($A15,'[1]Définition Maintenances'!$K:$K,0)),AD15,INDEX('[1]Définition Maintenances'!$G:$G,MATCH($A15,'[1]Définition Maintenances'!$K:$K,0))+AD15),AD15))</f>
        <v>16</v>
      </c>
      <c r="AF15" s="26">
        <f>IF(ISNUMBER(VLOOKUP($D15,'Visu totale'!$D:$DH,AF$1,0)),AE15-VLOOKUP($D15,'Visu totale'!$D:$DH,AF$1,0),IF(LEFT(VLOOKUP($D15,'Visu totale'!$D:$DH,AF$1,0),1)="V",IF(AE15&gt;=INDEX('[1]Définition Maintenances'!$G:$G,MATCH($A15,'[1]Définition Maintenances'!$K:$K,0)),AE15,INDEX('[1]Définition Maintenances'!$G:$G,MATCH($A15,'[1]Définition Maintenances'!$K:$K,0))+AE15),AE15))</f>
        <v>16</v>
      </c>
      <c r="AG15" s="26">
        <f>IF(ISNUMBER(VLOOKUP($D15,'Visu totale'!$D:$DH,AG$1,0)),AF15-VLOOKUP($D15,'Visu totale'!$D:$DH,AG$1,0),IF(LEFT(VLOOKUP($D15,'Visu totale'!$D:$DH,AG$1,0),1)="V",IF(AF15&gt;=INDEX('[1]Définition Maintenances'!$G:$G,MATCH($A15,'[1]Définition Maintenances'!$K:$K,0)),AF15,INDEX('[1]Définition Maintenances'!$G:$G,MATCH($A15,'[1]Définition Maintenances'!$K:$K,0))+AF15),AF15))</f>
        <v>16</v>
      </c>
      <c r="AH15" s="26">
        <f>IF(ISNUMBER(VLOOKUP($D15,'Visu totale'!$D:$DH,AH$1,0)),AG15-VLOOKUP($D15,'Visu totale'!$D:$DH,AH$1,0),IF(LEFT(VLOOKUP($D15,'Visu totale'!$D:$DH,AH$1,0),1)="V",IF(AG15&gt;=INDEX('[1]Définition Maintenances'!$G:$G,MATCH($A15,'[1]Définition Maintenances'!$K:$K,0)),AG15,INDEX('[1]Définition Maintenances'!$G:$G,MATCH($A15,'[1]Définition Maintenances'!$K:$K,0))+AG15),AG15))</f>
        <v>16</v>
      </c>
      <c r="AI15" s="26">
        <f>IF(ISNUMBER(VLOOKUP($D15,'Visu totale'!$D:$DH,AI$1,0)),AH15-VLOOKUP($D15,'Visu totale'!$D:$DH,AI$1,0),IF(LEFT(VLOOKUP($D15,'Visu totale'!$D:$DH,AI$1,0),1)="V",IF(AH15&gt;=INDEX('[1]Définition Maintenances'!$G:$G,MATCH($A15,'[1]Définition Maintenances'!$K:$K,0)),AH15,INDEX('[1]Définition Maintenances'!$G:$G,MATCH($A15,'[1]Définition Maintenances'!$K:$K,0))+AH15),AH15))</f>
        <v>16</v>
      </c>
      <c r="AJ15" s="26">
        <f>IF(ISNUMBER(VLOOKUP($D15,'Visu totale'!$D:$DH,AJ$1,0)),AI15-VLOOKUP($D15,'Visu totale'!$D:$DH,AJ$1,0),IF(LEFT(VLOOKUP($D15,'Visu totale'!$D:$DH,AJ$1,0),1)="V",IF(AI15&gt;=INDEX('[1]Définition Maintenances'!$G:$G,MATCH($A15,'[1]Définition Maintenances'!$K:$K,0)),AI15,INDEX('[1]Définition Maintenances'!$G:$G,MATCH($A15,'[1]Définition Maintenances'!$K:$K,0))+AI15),AI15))</f>
        <v>16</v>
      </c>
      <c r="AK15" s="26">
        <f>IF(ISNUMBER(VLOOKUP($D15,'Visu totale'!$D:$DH,AK$1,0)),AJ15-VLOOKUP($D15,'Visu totale'!$D:$DH,AK$1,0),IF(LEFT(VLOOKUP($D15,'Visu totale'!$D:$DH,AK$1,0),1)="V",IF(AJ15&gt;=INDEX('[1]Définition Maintenances'!$G:$G,MATCH($A15,'[1]Définition Maintenances'!$K:$K,0)),AJ15,INDEX('[1]Définition Maintenances'!$G:$G,MATCH($A15,'[1]Définition Maintenances'!$K:$K,0))+AJ15),AJ15))</f>
        <v>16</v>
      </c>
      <c r="AL15" s="26">
        <f>IF(ISNUMBER(VLOOKUP($D15,'Visu totale'!$D:$DH,AL$1,0)),AK15-VLOOKUP($D15,'Visu totale'!$D:$DH,AL$1,0),IF(LEFT(VLOOKUP($D15,'Visu totale'!$D:$DH,AL$1,0),1)="V",IF(AK15&gt;=INDEX('[1]Définition Maintenances'!$G:$G,MATCH($A15,'[1]Définition Maintenances'!$K:$K,0)),AK15,INDEX('[1]Définition Maintenances'!$G:$G,MATCH($A15,'[1]Définition Maintenances'!$K:$K,0))+AK15),AK15))</f>
        <v>16</v>
      </c>
      <c r="AM15" s="26">
        <f>IF(ISNUMBER(VLOOKUP($D15,'Visu totale'!$D:$DH,AM$1,0)),AL15-VLOOKUP($D15,'Visu totale'!$D:$DH,AM$1,0),IF(LEFT(VLOOKUP($D15,'Visu totale'!$D:$DH,AM$1,0),1)="V",IF(AL15&gt;=INDEX('[1]Définition Maintenances'!$G:$G,MATCH($A15,'[1]Définition Maintenances'!$K:$K,0)),AL15,INDEX('[1]Définition Maintenances'!$G:$G,MATCH($A15,'[1]Définition Maintenances'!$K:$K,0))+AL15),AL15))</f>
        <v>16</v>
      </c>
      <c r="AN15" s="26">
        <f>IF(ISNUMBER(VLOOKUP($D15,'Visu totale'!$D:$DH,AN$1,0)),AM15-VLOOKUP($D15,'Visu totale'!$D:$DH,AN$1,0),IF(LEFT(VLOOKUP($D15,'Visu totale'!$D:$DH,AN$1,0),1)="V",IF(AM15&gt;=INDEX('[1]Définition Maintenances'!$G:$G,MATCH($A15,'[1]Définition Maintenances'!$K:$K,0)),AM15,INDEX('[1]Définition Maintenances'!$G:$G,MATCH($A15,'[1]Définition Maintenances'!$K:$K,0))+AM15),AM15))</f>
        <v>16</v>
      </c>
      <c r="AO15" s="27">
        <f>IF(ISNUMBER(VLOOKUP($D15,'Visu totale'!$D:$DH,AO$1,0)),AN15-VLOOKUP($D15,'Visu totale'!$D:$DH,AO$1,0),IF(LEFT(VLOOKUP($D15,'Visu totale'!$D:$DH,AO$1,0),1)="V",IF(AN15&gt;=INDEX('[1]Définition Maintenances'!$G:$G,MATCH($A15,'[1]Définition Maintenances'!$K:$K,0)),AN15,INDEX('[1]Définition Maintenances'!$G:$G,MATCH($A15,'[1]Définition Maintenances'!$K:$K,0))+AN15),AN15))</f>
        <v>16</v>
      </c>
      <c r="AP15" s="25">
        <f>IF(ISNUMBER(VLOOKUP($D15,'Visu totale'!$D:$DH,AP$1,0)),AO15-VLOOKUP($D15,'Visu totale'!$D:$DH,AP$1,0),IF(LEFT(VLOOKUP($D15,'Visu totale'!$D:$DH,AP$1,0),1)="V",IF(AO15&gt;=INDEX('[1]Définition Maintenances'!$G:$G,MATCH($A15,'[1]Définition Maintenances'!$K:$K,0)),AO15,INDEX('[1]Définition Maintenances'!$G:$G,MATCH($A15,'[1]Définition Maintenances'!$K:$K,0))+AO15),AO15))</f>
        <v>16</v>
      </c>
      <c r="AQ15" s="26">
        <f>IF(ISNUMBER(VLOOKUP($D15,'Visu totale'!$D:$DH,AQ$1,0)),AP15-VLOOKUP($D15,'Visu totale'!$D:$DH,AQ$1,0),IF(LEFT(VLOOKUP($D15,'Visu totale'!$D:$DH,AQ$1,0),1)="V",IF(AP15&gt;=INDEX('[1]Définition Maintenances'!$G:$G,MATCH($A15,'[1]Définition Maintenances'!$K:$K,0)),AP15,INDEX('[1]Définition Maintenances'!$G:$G,MATCH($A15,'[1]Définition Maintenances'!$K:$K,0))+AP15),AP15))</f>
        <v>16</v>
      </c>
      <c r="AR15" s="26">
        <f>IF(ISNUMBER(VLOOKUP($D15,'Visu totale'!$D:$DH,AR$1,0)),AQ15-VLOOKUP($D15,'Visu totale'!$D:$DH,AR$1,0),IF(LEFT(VLOOKUP($D15,'Visu totale'!$D:$DH,AR$1,0),1)="V",IF(AQ15&gt;=INDEX('[1]Définition Maintenances'!$G:$G,MATCH($A15,'[1]Définition Maintenances'!$K:$K,0)),AQ15,INDEX('[1]Définition Maintenances'!$G:$G,MATCH($A15,'[1]Définition Maintenances'!$K:$K,0))+AQ15),AQ15))</f>
        <v>16</v>
      </c>
      <c r="AS15" s="26">
        <f>IF(ISNUMBER(VLOOKUP($D15,'Visu totale'!$D:$DH,AS$1,0)),AR15-VLOOKUP($D15,'Visu totale'!$D:$DH,AS$1,0),IF(LEFT(VLOOKUP($D15,'Visu totale'!$D:$DH,AS$1,0),1)="V",IF(AR15&gt;=INDEX('[1]Définition Maintenances'!$G:$G,MATCH($A15,'[1]Définition Maintenances'!$K:$K,0)),AR15,INDEX('[1]Définition Maintenances'!$G:$G,MATCH($A15,'[1]Définition Maintenances'!$K:$K,0))+AR15),AR15))</f>
        <v>16</v>
      </c>
      <c r="AT15" s="26">
        <f>IF(ISNUMBER(VLOOKUP($D15,'Visu totale'!$D:$DH,AT$1,0)),AS15-VLOOKUP($D15,'Visu totale'!$D:$DH,AT$1,0),IF(LEFT(VLOOKUP($D15,'Visu totale'!$D:$DH,AT$1,0),1)="V",IF(AS15&gt;=INDEX('[1]Définition Maintenances'!$G:$G,MATCH($A15,'[1]Définition Maintenances'!$K:$K,0)),AS15,INDEX('[1]Définition Maintenances'!$G:$G,MATCH($A15,'[1]Définition Maintenances'!$K:$K,0))+AS15),AS15))</f>
        <v>16</v>
      </c>
      <c r="AU15" s="26">
        <f>IF(ISNUMBER(VLOOKUP($D15,'Visu totale'!$D:$DH,AU$1,0)),AT15-VLOOKUP($D15,'Visu totale'!$D:$DH,AU$1,0),IF(LEFT(VLOOKUP($D15,'Visu totale'!$D:$DH,AU$1,0),1)="V",IF(AT15&gt;=INDEX('[1]Définition Maintenances'!$G:$G,MATCH($A15,'[1]Définition Maintenances'!$K:$K,0)),AT15,INDEX('[1]Définition Maintenances'!$G:$G,MATCH($A15,'[1]Définition Maintenances'!$K:$K,0))+AT15),AT15))</f>
        <v>16</v>
      </c>
      <c r="AV15" s="26">
        <f>IF(ISNUMBER(VLOOKUP($D15,'Visu totale'!$D:$DH,AV$1,0)),AU15-VLOOKUP($D15,'Visu totale'!$D:$DH,AV$1,0),IF(LEFT(VLOOKUP($D15,'Visu totale'!$D:$DH,AV$1,0),1)="V",IF(AU15&gt;=INDEX('[1]Définition Maintenances'!$G:$G,MATCH($A15,'[1]Définition Maintenances'!$K:$K,0)),AU15,INDEX('[1]Définition Maintenances'!$G:$G,MATCH($A15,'[1]Définition Maintenances'!$K:$K,0))+AU15),AU15))</f>
        <v>16</v>
      </c>
      <c r="AW15" s="26">
        <f>IF(ISNUMBER(VLOOKUP($D15,'Visu totale'!$D:$DH,AW$1,0)),AV15-VLOOKUP($D15,'Visu totale'!$D:$DH,AW$1,0),IF(LEFT(VLOOKUP($D15,'Visu totale'!$D:$DH,AW$1,0),1)="V",IF(AV15&gt;=INDEX('[1]Définition Maintenances'!$G:$G,MATCH($A15,'[1]Définition Maintenances'!$K:$K,0)),AV15,INDEX('[1]Définition Maintenances'!$G:$G,MATCH($A15,'[1]Définition Maintenances'!$K:$K,0))+AV15),AV15))</f>
        <v>16</v>
      </c>
      <c r="AX15" s="26">
        <f>IF(ISNUMBER(VLOOKUP($D15,'Visu totale'!$D:$DH,AX$1,0)),AW15-VLOOKUP($D15,'Visu totale'!$D:$DH,AX$1,0),IF(LEFT(VLOOKUP($D15,'Visu totale'!$D:$DH,AX$1,0),1)="V",IF(AW15&gt;=INDEX('[1]Définition Maintenances'!$G:$G,MATCH($A15,'[1]Définition Maintenances'!$K:$K,0)),AW15,INDEX('[1]Définition Maintenances'!$G:$G,MATCH($A15,'[1]Définition Maintenances'!$K:$K,0))+AW15),AW15))</f>
        <v>16</v>
      </c>
      <c r="AY15" s="26">
        <f>IF(ISNUMBER(VLOOKUP($D15,'Visu totale'!$D:$DH,AY$1,0)),AX15-VLOOKUP($D15,'Visu totale'!$D:$DH,AY$1,0),IF(LEFT(VLOOKUP($D15,'Visu totale'!$D:$DH,AY$1,0),1)="V",IF(AX15&gt;=INDEX('[1]Définition Maintenances'!$G:$G,MATCH($A15,'[1]Définition Maintenances'!$K:$K,0)),AX15,INDEX('[1]Définition Maintenances'!$G:$G,MATCH($A15,'[1]Définition Maintenances'!$K:$K,0))+AX15),AX15))</f>
        <v>16</v>
      </c>
      <c r="AZ15" s="26">
        <f>IF(ISNUMBER(VLOOKUP($D15,'Visu totale'!$D:$DH,AZ$1,0)),AY15-VLOOKUP($D15,'Visu totale'!$D:$DH,AZ$1,0),IF(LEFT(VLOOKUP($D15,'Visu totale'!$D:$DH,AZ$1,0),1)="V",IF(AY15&gt;=INDEX('[1]Définition Maintenances'!$G:$G,MATCH($A15,'[1]Définition Maintenances'!$K:$K,0)),AY15,INDEX('[1]Définition Maintenances'!$G:$G,MATCH($A15,'[1]Définition Maintenances'!$K:$K,0))+AY15),AY15))</f>
        <v>16</v>
      </c>
      <c r="BA15" s="27">
        <f>IF(ISNUMBER(VLOOKUP($D15,'Visu totale'!$D:$DH,BA$1,0)),AZ15-VLOOKUP($D15,'Visu totale'!$D:$DH,BA$1,0),IF(LEFT(VLOOKUP($D15,'Visu totale'!$D:$DH,BA$1,0),1)="V",IF(AZ15&gt;=INDEX('[1]Définition Maintenances'!$G:$G,MATCH($A15,'[1]Définition Maintenances'!$K:$K,0)),AZ15,INDEX('[1]Définition Maintenances'!$G:$G,MATCH($A15,'[1]Définition Maintenances'!$K:$K,0))+AZ15),AZ15))</f>
        <v>16</v>
      </c>
      <c r="BB15" s="25">
        <f>IF(ISNUMBER(VLOOKUP($D15,'Visu totale'!$D:$DH,BB$1,0)),BA15-VLOOKUP($D15,'Visu totale'!$D:$DH,BB$1,0),IF(LEFT(VLOOKUP($D15,'Visu totale'!$D:$DH,BB$1,0),1)="V",IF(BA15&gt;=INDEX('[1]Définition Maintenances'!$G:$G,MATCH($A15,'[1]Définition Maintenances'!$K:$K,0)),BA15,INDEX('[1]Définition Maintenances'!$G:$G,MATCH($A15,'[1]Définition Maintenances'!$K:$K,0))+BA15),BA15))</f>
        <v>16</v>
      </c>
      <c r="BC15" s="26">
        <f>IF(ISNUMBER(VLOOKUP($D15,'Visu totale'!$D:$DH,BC$1,0)),BB15-VLOOKUP($D15,'Visu totale'!$D:$DH,BC$1,0),IF(LEFT(VLOOKUP($D15,'Visu totale'!$D:$DH,BC$1,0),1)="V",IF(BB15&gt;=INDEX('[1]Définition Maintenances'!$G:$G,MATCH($A15,'[1]Définition Maintenances'!$K:$K,0)),BB15,INDEX('[1]Définition Maintenances'!$G:$G,MATCH($A15,'[1]Définition Maintenances'!$K:$K,0))+BB15),BB15))</f>
        <v>16</v>
      </c>
      <c r="BD15" s="26">
        <f>IF(ISNUMBER(VLOOKUP($D15,'Visu totale'!$D:$DH,BD$1,0)),BC15-VLOOKUP($D15,'Visu totale'!$D:$DH,BD$1,0),IF(LEFT(VLOOKUP($D15,'Visu totale'!$D:$DH,BD$1,0),1)="V",IF(BC15&gt;=INDEX('[1]Définition Maintenances'!$G:$G,MATCH($A15,'[1]Définition Maintenances'!$K:$K,0)),BC15,INDEX('[1]Définition Maintenances'!$G:$G,MATCH($A15,'[1]Définition Maintenances'!$K:$K,0))+BC15),BC15))</f>
        <v>16</v>
      </c>
      <c r="BE15" s="26">
        <f>IF(ISNUMBER(VLOOKUP($D15,'Visu totale'!$D:$DH,BE$1,0)),BD15-VLOOKUP($D15,'Visu totale'!$D:$DH,BE$1,0),IF(LEFT(VLOOKUP($D15,'Visu totale'!$D:$DH,BE$1,0),1)="V",IF(BD15&gt;=INDEX('[1]Définition Maintenances'!$G:$G,MATCH($A15,'[1]Définition Maintenances'!$K:$K,0)),BD15,INDEX('[1]Définition Maintenances'!$G:$G,MATCH($A15,'[1]Définition Maintenances'!$K:$K,0))+BD15),BD15))</f>
        <v>16</v>
      </c>
      <c r="BF15" s="26">
        <f>IF(ISNUMBER(VLOOKUP($D15,'Visu totale'!$D:$DH,BF$1,0)),BE15-VLOOKUP($D15,'Visu totale'!$D:$DH,BF$1,0),IF(LEFT(VLOOKUP($D15,'Visu totale'!$D:$DH,BF$1,0),1)="V",IF(BE15&gt;=INDEX('[1]Définition Maintenances'!$G:$G,MATCH($A15,'[1]Définition Maintenances'!$K:$K,0)),BE15,INDEX('[1]Définition Maintenances'!$G:$G,MATCH($A15,'[1]Définition Maintenances'!$K:$K,0))+BE15),BE15))</f>
        <v>16</v>
      </c>
      <c r="BG15" s="26">
        <f>IF(ISNUMBER(VLOOKUP($D15,'Visu totale'!$D:$DH,BG$1,0)),BF15-VLOOKUP($D15,'Visu totale'!$D:$DH,BG$1,0),IF(LEFT(VLOOKUP($D15,'Visu totale'!$D:$DH,BG$1,0),1)="V",IF(BF15&gt;=INDEX('[1]Définition Maintenances'!$G:$G,MATCH($A15,'[1]Définition Maintenances'!$K:$K,0)),BF15,INDEX('[1]Définition Maintenances'!$G:$G,MATCH($A15,'[1]Définition Maintenances'!$K:$K,0))+BF15),BF15))</f>
        <v>16</v>
      </c>
      <c r="BH15" s="26">
        <f>IF(ISNUMBER(VLOOKUP($D15,'Visu totale'!$D:$DH,BH$1,0)),BG15-VLOOKUP($D15,'Visu totale'!$D:$DH,BH$1,0),IF(LEFT(VLOOKUP($D15,'Visu totale'!$D:$DH,BH$1,0),1)="V",IF(BG15&gt;=INDEX('[1]Définition Maintenances'!$G:$G,MATCH($A15,'[1]Définition Maintenances'!$K:$K,0)),BG15,INDEX('[1]Définition Maintenances'!$G:$G,MATCH($A15,'[1]Définition Maintenances'!$K:$K,0))+BG15),BG15))</f>
        <v>16</v>
      </c>
      <c r="BI15" s="26">
        <f>IF(ISNUMBER(VLOOKUP($D15,'Visu totale'!$D:$DH,BI$1,0)),BH15-VLOOKUP($D15,'Visu totale'!$D:$DH,BI$1,0),IF(LEFT(VLOOKUP($D15,'Visu totale'!$D:$DH,BI$1,0),1)="V",IF(BH15&gt;=INDEX('[1]Définition Maintenances'!$G:$G,MATCH($A15,'[1]Définition Maintenances'!$K:$K,0)),BH15,INDEX('[1]Définition Maintenances'!$G:$G,MATCH($A15,'[1]Définition Maintenances'!$K:$K,0))+BH15),BH15))</f>
        <v>16</v>
      </c>
      <c r="BJ15" s="26">
        <f>IF(ISNUMBER(VLOOKUP($D15,'Visu totale'!$D:$DH,BJ$1,0)),BI15-VLOOKUP($D15,'Visu totale'!$D:$DH,BJ$1,0),IF(LEFT(VLOOKUP($D15,'Visu totale'!$D:$DH,BJ$1,0),1)="V",IF(BI15&gt;=INDEX('[1]Définition Maintenances'!$G:$G,MATCH($A15,'[1]Définition Maintenances'!$K:$K,0)),BI15,INDEX('[1]Définition Maintenances'!$G:$G,MATCH($A15,'[1]Définition Maintenances'!$K:$K,0))+BI15),BI15))</f>
        <v>16</v>
      </c>
      <c r="BK15" s="26">
        <f>IF(ISNUMBER(VLOOKUP($D15,'Visu totale'!$D:$DH,BK$1,0)),BJ15-VLOOKUP($D15,'Visu totale'!$D:$DH,BK$1,0),IF(LEFT(VLOOKUP($D15,'Visu totale'!$D:$DH,BK$1,0),1)="V",IF(BJ15&gt;=INDEX('[1]Définition Maintenances'!$G:$G,MATCH($A15,'[1]Définition Maintenances'!$K:$K,0)),BJ15,INDEX('[1]Définition Maintenances'!$G:$G,MATCH($A15,'[1]Définition Maintenances'!$K:$K,0))+BJ15),BJ15))</f>
        <v>16</v>
      </c>
      <c r="BL15" s="26">
        <f>IF(ISNUMBER(VLOOKUP($D15,'Visu totale'!$D:$DH,BL$1,0)),BK15-VLOOKUP($D15,'Visu totale'!$D:$DH,BL$1,0),IF(LEFT(VLOOKUP($D15,'Visu totale'!$D:$DH,BL$1,0),1)="V",IF(BK15&gt;=INDEX('[1]Définition Maintenances'!$G:$G,MATCH($A15,'[1]Définition Maintenances'!$K:$K,0)),BK15,INDEX('[1]Définition Maintenances'!$G:$G,MATCH($A15,'[1]Définition Maintenances'!$K:$K,0))+BK15),BK15))</f>
        <v>16</v>
      </c>
      <c r="BM15" s="27">
        <f>IF(ISNUMBER(VLOOKUP($D15,'Visu totale'!$D:$DH,BM$1,0)),BL15-VLOOKUP($D15,'Visu totale'!$D:$DH,BM$1,0),IF(LEFT(VLOOKUP($D15,'Visu totale'!$D:$DH,BM$1,0),1)="V",IF(BL15&gt;=INDEX('[1]Définition Maintenances'!$G:$G,MATCH($A15,'[1]Définition Maintenances'!$K:$K,0)),BL15,INDEX('[1]Définition Maintenances'!$G:$G,MATCH($A15,'[1]Définition Maintenances'!$K:$K,0))+BL15),BL15))</f>
        <v>16</v>
      </c>
      <c r="BN15" s="25">
        <f>IF(ISNUMBER(VLOOKUP($D15,'Visu totale'!$D:$DH,BN$1,0)),BM15-VLOOKUP($D15,'Visu totale'!$D:$DH,BN$1,0),IF(LEFT(VLOOKUP($D15,'Visu totale'!$D:$DH,BN$1,0),1)="V",IF(BM15&gt;=INDEX('[1]Définition Maintenances'!$G:$G,MATCH($A15,'[1]Définition Maintenances'!$K:$K,0)),BM15,INDEX('[1]Définition Maintenances'!$G:$G,MATCH($A15,'[1]Définition Maintenances'!$K:$K,0))+BM15),BM15))</f>
        <v>16</v>
      </c>
      <c r="BO15" s="26">
        <f>IF(ISNUMBER(VLOOKUP($D15,'Visu totale'!$D:$DH,BO$1,0)),BN15-VLOOKUP($D15,'Visu totale'!$D:$DH,BO$1,0),IF(LEFT(VLOOKUP($D15,'Visu totale'!$D:$DH,BO$1,0),1)="V",IF(BN15&gt;=INDEX('[1]Définition Maintenances'!$G:$G,MATCH($A15,'[1]Définition Maintenances'!$K:$K,0)),BN15,INDEX('[1]Définition Maintenances'!$G:$G,MATCH($A15,'[1]Définition Maintenances'!$K:$K,0))+BN15),BN15))</f>
        <v>16</v>
      </c>
      <c r="BP15" s="26">
        <f>IF(ISNUMBER(VLOOKUP($D15,'Visu totale'!$D:$DH,BP$1,0)),BO15-VLOOKUP($D15,'Visu totale'!$D:$DH,BP$1,0),IF(LEFT(VLOOKUP($D15,'Visu totale'!$D:$DH,BP$1,0),1)="V",IF(BO15&gt;=INDEX('[1]Définition Maintenances'!$G:$G,MATCH($A15,'[1]Définition Maintenances'!$K:$K,0)),BO15,INDEX('[1]Définition Maintenances'!$G:$G,MATCH($A15,'[1]Définition Maintenances'!$K:$K,0))+BO15),BO15))</f>
        <v>16</v>
      </c>
      <c r="BQ15" s="26">
        <f>IF(ISNUMBER(VLOOKUP($D15,'Visu totale'!$D:$DH,BQ$1,0)),BP15-VLOOKUP($D15,'Visu totale'!$D:$DH,BQ$1,0),IF(LEFT(VLOOKUP($D15,'Visu totale'!$D:$DH,BQ$1,0),1)="V",IF(BP15&gt;=INDEX('[1]Définition Maintenances'!$G:$G,MATCH($A15,'[1]Définition Maintenances'!$K:$K,0)),BP15,INDEX('[1]Définition Maintenances'!$G:$G,MATCH($A15,'[1]Définition Maintenances'!$K:$K,0))+BP15),BP15))</f>
        <v>16</v>
      </c>
      <c r="BR15" s="26">
        <f>IF(ISNUMBER(VLOOKUP($D15,'Visu totale'!$D:$DH,BR$1,0)),BQ15-VLOOKUP($D15,'Visu totale'!$D:$DH,BR$1,0),IF(LEFT(VLOOKUP($D15,'Visu totale'!$D:$DH,BR$1,0),1)="V",IF(BQ15&gt;=INDEX('[1]Définition Maintenances'!$G:$G,MATCH($A15,'[1]Définition Maintenances'!$K:$K,0)),BQ15,INDEX('[1]Définition Maintenances'!$G:$G,MATCH($A15,'[1]Définition Maintenances'!$K:$K,0))+BQ15),BQ15))</f>
        <v>16</v>
      </c>
      <c r="BS15" s="26">
        <f>IF(ISNUMBER(VLOOKUP($D15,'Visu totale'!$D:$DH,BS$1,0)),BR15-VLOOKUP($D15,'Visu totale'!$D:$DH,BS$1,0),IF(LEFT(VLOOKUP($D15,'Visu totale'!$D:$DH,BS$1,0),1)="V",IF(BR15&gt;=INDEX('[1]Définition Maintenances'!$G:$G,MATCH($A15,'[1]Définition Maintenances'!$K:$K,0)),BR15,INDEX('[1]Définition Maintenances'!$G:$G,MATCH($A15,'[1]Définition Maintenances'!$K:$K,0))+BR15),BR15))</f>
        <v>16</v>
      </c>
      <c r="BT15" s="26">
        <f>IF(ISNUMBER(VLOOKUP($D15,'Visu totale'!$D:$DH,BT$1,0)),BS15-VLOOKUP($D15,'Visu totale'!$D:$DH,BT$1,0),IF(LEFT(VLOOKUP($D15,'Visu totale'!$D:$DH,BT$1,0),1)="V",IF(BS15&gt;=INDEX('[1]Définition Maintenances'!$G:$G,MATCH($A15,'[1]Définition Maintenances'!$K:$K,0)),BS15,INDEX('[1]Définition Maintenances'!$G:$G,MATCH($A15,'[1]Définition Maintenances'!$K:$K,0))+BS15),BS15))</f>
        <v>16</v>
      </c>
      <c r="BU15" s="26">
        <f>IF(ISNUMBER(VLOOKUP($D15,'Visu totale'!$D:$DH,BU$1,0)),BT15-VLOOKUP($D15,'Visu totale'!$D:$DH,BU$1,0),IF(LEFT(VLOOKUP($D15,'Visu totale'!$D:$DH,BU$1,0),1)="V",IF(BT15&gt;=INDEX('[1]Définition Maintenances'!$G:$G,MATCH($A15,'[1]Définition Maintenances'!$K:$K,0)),BT15,INDEX('[1]Définition Maintenances'!$G:$G,MATCH($A15,'[1]Définition Maintenances'!$K:$K,0))+BT15),BT15))</f>
        <v>16</v>
      </c>
      <c r="BV15" s="26">
        <f>IF(ISNUMBER(VLOOKUP($D15,'Visu totale'!$D:$DH,BV$1,0)),BU15-VLOOKUP($D15,'Visu totale'!$D:$DH,BV$1,0),IF(LEFT(VLOOKUP($D15,'Visu totale'!$D:$DH,BV$1,0),1)="V",IF(BU15&gt;=INDEX('[1]Définition Maintenances'!$G:$G,MATCH($A15,'[1]Définition Maintenances'!$K:$K,0)),BU15,INDEX('[1]Définition Maintenances'!$G:$G,MATCH($A15,'[1]Définition Maintenances'!$K:$K,0))+BU15),BU15))</f>
        <v>16</v>
      </c>
      <c r="BW15" s="26">
        <f>IF(ISNUMBER(VLOOKUP($D15,'Visu totale'!$D:$DH,BW$1,0)),BV15-VLOOKUP($D15,'Visu totale'!$D:$DH,BW$1,0),IF(LEFT(VLOOKUP($D15,'Visu totale'!$D:$DH,BW$1,0),1)="V",IF(BV15&gt;=INDEX('[1]Définition Maintenances'!$G:$G,MATCH($A15,'[1]Définition Maintenances'!$K:$K,0)),BV15,INDEX('[1]Définition Maintenances'!$G:$G,MATCH($A15,'[1]Définition Maintenances'!$K:$K,0))+BV15),BV15))</f>
        <v>16</v>
      </c>
      <c r="BX15" s="26">
        <f>IF(ISNUMBER(VLOOKUP($D15,'Visu totale'!$D:$DH,BX$1,0)),BW15-VLOOKUP($D15,'Visu totale'!$D:$DH,BX$1,0),IF(LEFT(VLOOKUP($D15,'Visu totale'!$D:$DH,BX$1,0),1)="V",IF(BW15&gt;=INDEX('[1]Définition Maintenances'!$G:$G,MATCH($A15,'[1]Définition Maintenances'!$K:$K,0)),BW15,INDEX('[1]Définition Maintenances'!$G:$G,MATCH($A15,'[1]Définition Maintenances'!$K:$K,0))+BW15),BW15))</f>
        <v>16</v>
      </c>
      <c r="BY15" s="27">
        <f>IF(ISNUMBER(VLOOKUP($D15,'Visu totale'!$D:$DH,BY$1,0)),BX15-VLOOKUP($D15,'Visu totale'!$D:$DH,BY$1,0),IF(LEFT(VLOOKUP($D15,'Visu totale'!$D:$DH,BY$1,0),1)="V",IF(BX15&gt;=INDEX('[1]Définition Maintenances'!$G:$G,MATCH($A15,'[1]Définition Maintenances'!$K:$K,0)),BX15,INDEX('[1]Définition Maintenances'!$G:$G,MATCH($A15,'[1]Définition Maintenances'!$K:$K,0))+BX15),BX15))</f>
        <v>16</v>
      </c>
      <c r="BZ15" s="25">
        <f>IF(ISNUMBER(VLOOKUP($D15,'Visu totale'!$D:$DH,BZ$1,0)),BY15-VLOOKUP($D15,'Visu totale'!$D:$DH,BZ$1,0),IF(LEFT(VLOOKUP($D15,'Visu totale'!$D:$DH,BZ$1,0),1)="V",IF(BY15&gt;=INDEX('[1]Définition Maintenances'!$G:$G,MATCH($A15,'[1]Définition Maintenances'!$K:$K,0)),BY15,INDEX('[1]Définition Maintenances'!$G:$G,MATCH($A15,'[1]Définition Maintenances'!$K:$K,0))+BY15),BY15))</f>
        <v>16</v>
      </c>
      <c r="CA15" s="26">
        <f>IF(ISNUMBER(VLOOKUP($D15,'Visu totale'!$D:$DH,CA$1,0)),BZ15-VLOOKUP($D15,'Visu totale'!$D:$DH,CA$1,0),IF(LEFT(VLOOKUP($D15,'Visu totale'!$D:$DH,CA$1,0),1)="V",IF(BZ15&gt;=INDEX('[1]Définition Maintenances'!$G:$G,MATCH($A15,'[1]Définition Maintenances'!$K:$K,0)),BZ15,INDEX('[1]Définition Maintenances'!$G:$G,MATCH($A15,'[1]Définition Maintenances'!$K:$K,0))+BZ15),BZ15))</f>
        <v>16</v>
      </c>
      <c r="CB15" s="26">
        <f>IF(ISNUMBER(VLOOKUP($D15,'Visu totale'!$D:$DH,CB$1,0)),CA15-VLOOKUP($D15,'Visu totale'!$D:$DH,CB$1,0),IF(LEFT(VLOOKUP($D15,'Visu totale'!$D:$DH,CB$1,0),1)="V",IF(CA15&gt;=INDEX('[1]Définition Maintenances'!$G:$G,MATCH($A15,'[1]Définition Maintenances'!$K:$K,0)),CA15,INDEX('[1]Définition Maintenances'!$G:$G,MATCH($A15,'[1]Définition Maintenances'!$K:$K,0))+CA15),CA15))</f>
        <v>16</v>
      </c>
      <c r="CC15" s="26">
        <f>IF(ISNUMBER(VLOOKUP($D15,'Visu totale'!$D:$DH,CC$1,0)),CB15-VLOOKUP($D15,'Visu totale'!$D:$DH,CC$1,0),IF(LEFT(VLOOKUP($D15,'Visu totale'!$D:$DH,CC$1,0),1)="V",IF(CB15&gt;=INDEX('[1]Définition Maintenances'!$G:$G,MATCH($A15,'[1]Définition Maintenances'!$K:$K,0)),CB15,INDEX('[1]Définition Maintenances'!$G:$G,MATCH($A15,'[1]Définition Maintenances'!$K:$K,0))+CB15),CB15))</f>
        <v>16</v>
      </c>
      <c r="CD15" s="26">
        <f>IF(ISNUMBER(VLOOKUP($D15,'Visu totale'!$D:$DH,CD$1,0)),CC15-VLOOKUP($D15,'Visu totale'!$D:$DH,CD$1,0),IF(LEFT(VLOOKUP($D15,'Visu totale'!$D:$DH,CD$1,0),1)="V",IF(CC15&gt;=INDEX('[1]Définition Maintenances'!$G:$G,MATCH($A15,'[1]Définition Maintenances'!$K:$K,0)),CC15,INDEX('[1]Définition Maintenances'!$G:$G,MATCH($A15,'[1]Définition Maintenances'!$K:$K,0))+CC15),CC15))</f>
        <v>16</v>
      </c>
      <c r="CE15" s="26">
        <f>IF(ISNUMBER(VLOOKUP($D15,'Visu totale'!$D:$DH,CE$1,0)),CD15-VLOOKUP($D15,'Visu totale'!$D:$DH,CE$1,0),IF(LEFT(VLOOKUP($D15,'Visu totale'!$D:$DH,CE$1,0),1)="V",IF(CD15&gt;=INDEX('[1]Définition Maintenances'!$G:$G,MATCH($A15,'[1]Définition Maintenances'!$K:$K,0)),CD15,INDEX('[1]Définition Maintenances'!$G:$G,MATCH($A15,'[1]Définition Maintenances'!$K:$K,0))+CD15),CD15))</f>
        <v>16</v>
      </c>
      <c r="CF15" s="26">
        <f>IF(ISNUMBER(VLOOKUP($D15,'Visu totale'!$D:$DH,CF$1,0)),CE15-VLOOKUP($D15,'Visu totale'!$D:$DH,CF$1,0),IF(LEFT(VLOOKUP($D15,'Visu totale'!$D:$DH,CF$1,0),1)="V",IF(CE15&gt;=INDEX('[1]Définition Maintenances'!$G:$G,MATCH($A15,'[1]Définition Maintenances'!$K:$K,0)),CE15,INDEX('[1]Définition Maintenances'!$G:$G,MATCH($A15,'[1]Définition Maintenances'!$K:$K,0))+CE15),CE15))</f>
        <v>16</v>
      </c>
      <c r="CG15" s="26">
        <f>IF(ISNUMBER(VLOOKUP($D15,'Visu totale'!$D:$DH,CG$1,0)),CF15-VLOOKUP($D15,'Visu totale'!$D:$DH,CG$1,0),IF(LEFT(VLOOKUP($D15,'Visu totale'!$D:$DH,CG$1,0),1)="V",IF(CF15&gt;=INDEX('[1]Définition Maintenances'!$G:$G,MATCH($A15,'[1]Définition Maintenances'!$K:$K,0)),CF15,INDEX('[1]Définition Maintenances'!$G:$G,MATCH($A15,'[1]Définition Maintenances'!$K:$K,0))+CF15),CF15))</f>
        <v>16</v>
      </c>
      <c r="CH15" s="26">
        <f>IF(ISNUMBER(VLOOKUP($D15,'Visu totale'!$D:$DH,CH$1,0)),CG15-VLOOKUP($D15,'Visu totale'!$D:$DH,CH$1,0),IF(LEFT(VLOOKUP($D15,'Visu totale'!$D:$DH,CH$1,0),1)="V",IF(CG15&gt;=INDEX('[1]Définition Maintenances'!$G:$G,MATCH($A15,'[1]Définition Maintenances'!$K:$K,0)),CG15,INDEX('[1]Définition Maintenances'!$G:$G,MATCH($A15,'[1]Définition Maintenances'!$K:$K,0))+CG15),CG15))</f>
        <v>16</v>
      </c>
      <c r="CI15" s="26">
        <f>IF(ISNUMBER(VLOOKUP($D15,'Visu totale'!$D:$DH,CI$1,0)),CH15-VLOOKUP($D15,'Visu totale'!$D:$DH,CI$1,0),IF(LEFT(VLOOKUP($D15,'Visu totale'!$D:$DH,CI$1,0),1)="V",IF(CH15&gt;=INDEX('[1]Définition Maintenances'!$G:$G,MATCH($A15,'[1]Définition Maintenances'!$K:$K,0)),CH15,INDEX('[1]Définition Maintenances'!$G:$G,MATCH($A15,'[1]Définition Maintenances'!$K:$K,0))+CH15),CH15))</f>
        <v>16</v>
      </c>
      <c r="CJ15" s="26">
        <f>IF(ISNUMBER(VLOOKUP($D15,'Visu totale'!$D:$DH,CJ$1,0)),CI15-VLOOKUP($D15,'Visu totale'!$D:$DH,CJ$1,0),IF(LEFT(VLOOKUP($D15,'Visu totale'!$D:$DH,CJ$1,0),1)="V",IF(CI15&gt;=INDEX('[1]Définition Maintenances'!$G:$G,MATCH($A15,'[1]Définition Maintenances'!$K:$K,0)),CI15,INDEX('[1]Définition Maintenances'!$G:$G,MATCH($A15,'[1]Définition Maintenances'!$K:$K,0))+CI15),CI15))</f>
        <v>16</v>
      </c>
      <c r="CK15" s="27">
        <f>IF(ISNUMBER(VLOOKUP($D15,'Visu totale'!$D:$DH,CK$1,0)),CJ15-VLOOKUP($D15,'Visu totale'!$D:$DH,CK$1,0),IF(LEFT(VLOOKUP($D15,'Visu totale'!$D:$DH,CK$1,0),1)="V",IF(CJ15&gt;=INDEX('[1]Définition Maintenances'!$G:$G,MATCH($A15,'[1]Définition Maintenances'!$K:$K,0)),CJ15,INDEX('[1]Définition Maintenances'!$G:$G,MATCH($A15,'[1]Définition Maintenances'!$K:$K,0))+CJ15),CJ15))</f>
        <v>16</v>
      </c>
      <c r="CL15" s="25">
        <f>IF(ISNUMBER(VLOOKUP($D15,'Visu totale'!$D:$DH,CL$1,0)),CK15-VLOOKUP($D15,'Visu totale'!$D:$DH,CL$1,0),IF(LEFT(VLOOKUP($D15,'Visu totale'!$D:$DH,CL$1,0),1)="V",IF(CK15&gt;=INDEX('[1]Définition Maintenances'!$G:$G,MATCH($A15,'[1]Définition Maintenances'!$K:$K,0)),CK15,INDEX('[1]Définition Maintenances'!$G:$G,MATCH($A15,'[1]Définition Maintenances'!$K:$K,0))+CK15),CK15))</f>
        <v>16</v>
      </c>
      <c r="CM15" s="26">
        <f>IF(ISNUMBER(VLOOKUP($D15,'Visu totale'!$D:$DH,CM$1,0)),CL15-VLOOKUP($D15,'Visu totale'!$D:$DH,CM$1,0),IF(LEFT(VLOOKUP($D15,'Visu totale'!$D:$DH,CM$1,0),1)="V",IF(CL15&gt;=INDEX('[1]Définition Maintenances'!$G:$G,MATCH($A15,'[1]Définition Maintenances'!$K:$K,0)),CL15,INDEX('[1]Définition Maintenances'!$G:$G,MATCH($A15,'[1]Définition Maintenances'!$K:$K,0))+CL15),CL15))</f>
        <v>16</v>
      </c>
      <c r="CN15" s="26">
        <f>IF(ISNUMBER(VLOOKUP($D15,'Visu totale'!$D:$DH,CN$1,0)),CM15-VLOOKUP($D15,'Visu totale'!$D:$DH,CN$1,0),IF(LEFT(VLOOKUP($D15,'Visu totale'!$D:$DH,CN$1,0),1)="V",IF(CM15&gt;=INDEX('[1]Définition Maintenances'!$G:$G,MATCH($A15,'[1]Définition Maintenances'!$K:$K,0)),CM15,INDEX('[1]Définition Maintenances'!$G:$G,MATCH($A15,'[1]Définition Maintenances'!$K:$K,0))+CM15),CM15))</f>
        <v>16</v>
      </c>
      <c r="CO15" s="26">
        <f>IF(ISNUMBER(VLOOKUP($D15,'Visu totale'!$D:$DH,CO$1,0)),CN15-VLOOKUP($D15,'Visu totale'!$D:$DH,CO$1,0),IF(LEFT(VLOOKUP($D15,'Visu totale'!$D:$DH,CO$1,0),1)="V",IF(CN15&gt;=INDEX('[1]Définition Maintenances'!$G:$G,MATCH($A15,'[1]Définition Maintenances'!$K:$K,0)),CN15,INDEX('[1]Définition Maintenances'!$G:$G,MATCH($A15,'[1]Définition Maintenances'!$K:$K,0))+CN15),CN15))</f>
        <v>16</v>
      </c>
      <c r="CP15" s="26">
        <f>IF(ISNUMBER(VLOOKUP($D15,'Visu totale'!$D:$DH,CP$1,0)),CO15-VLOOKUP($D15,'Visu totale'!$D:$DH,CP$1,0),IF(LEFT(VLOOKUP($D15,'Visu totale'!$D:$DH,CP$1,0),1)="V",IF(CO15&gt;=INDEX('[1]Définition Maintenances'!$G:$G,MATCH($A15,'[1]Définition Maintenances'!$K:$K,0)),CO15,INDEX('[1]Définition Maintenances'!$G:$G,MATCH($A15,'[1]Définition Maintenances'!$K:$K,0))+CO15),CO15))</f>
        <v>16</v>
      </c>
      <c r="CQ15" s="26">
        <f>IF(ISNUMBER(VLOOKUP($D15,'Visu totale'!$D:$DH,CQ$1,0)),CP15-VLOOKUP($D15,'Visu totale'!$D:$DH,CQ$1,0),IF(LEFT(VLOOKUP($D15,'Visu totale'!$D:$DH,CQ$1,0),1)="V",IF(CP15&gt;=INDEX('[1]Définition Maintenances'!$G:$G,MATCH($A15,'[1]Définition Maintenances'!$K:$K,0)),CP15,INDEX('[1]Définition Maintenances'!$G:$G,MATCH($A15,'[1]Définition Maintenances'!$K:$K,0))+CP15),CP15))</f>
        <v>16</v>
      </c>
      <c r="CR15" s="26">
        <f>IF(ISNUMBER(VLOOKUP($D15,'Visu totale'!$D:$DH,CR$1,0)),CQ15-VLOOKUP($D15,'Visu totale'!$D:$DH,CR$1,0),IF(LEFT(VLOOKUP($D15,'Visu totale'!$D:$DH,CR$1,0),1)="V",IF(CQ15&gt;=INDEX('[1]Définition Maintenances'!$G:$G,MATCH($A15,'[1]Définition Maintenances'!$K:$K,0)),CQ15,INDEX('[1]Définition Maintenances'!$G:$G,MATCH($A15,'[1]Définition Maintenances'!$K:$K,0))+CQ15),CQ15))</f>
        <v>16</v>
      </c>
      <c r="CS15" s="26">
        <f>IF(ISNUMBER(VLOOKUP($D15,'Visu totale'!$D:$DH,CS$1,0)),CR15-VLOOKUP($D15,'Visu totale'!$D:$DH,CS$1,0),IF(LEFT(VLOOKUP($D15,'Visu totale'!$D:$DH,CS$1,0),1)="V",IF(CR15&gt;=INDEX('[1]Définition Maintenances'!$G:$G,MATCH($A15,'[1]Définition Maintenances'!$K:$K,0)),CR15,INDEX('[1]Définition Maintenances'!$G:$G,MATCH($A15,'[1]Définition Maintenances'!$K:$K,0))+CR15),CR15))</f>
        <v>16</v>
      </c>
      <c r="CT15" s="26">
        <f>IF(ISNUMBER(VLOOKUP($D15,'Visu totale'!$D:$DH,CT$1,0)),CS15-VLOOKUP($D15,'Visu totale'!$D:$DH,CT$1,0),IF(LEFT(VLOOKUP($D15,'Visu totale'!$D:$DH,CT$1,0),1)="V",IF(CS15&gt;=INDEX('[1]Définition Maintenances'!$G:$G,MATCH($A15,'[1]Définition Maintenances'!$K:$K,0)),CS15,INDEX('[1]Définition Maintenances'!$G:$G,MATCH($A15,'[1]Définition Maintenances'!$K:$K,0))+CS15),CS15))</f>
        <v>16</v>
      </c>
      <c r="CU15" s="26">
        <f>IF(ISNUMBER(VLOOKUP($D15,'Visu totale'!$D:$DH,CU$1,0)),CT15-VLOOKUP($D15,'Visu totale'!$D:$DH,CU$1,0),IF(LEFT(VLOOKUP($D15,'Visu totale'!$D:$DH,CU$1,0),1)="V",IF(CT15&gt;=INDEX('[1]Définition Maintenances'!$G:$G,MATCH($A15,'[1]Définition Maintenances'!$K:$K,0)),CT15,INDEX('[1]Définition Maintenances'!$G:$G,MATCH($A15,'[1]Définition Maintenances'!$K:$K,0))+CT15),CT15))</f>
        <v>16</v>
      </c>
      <c r="CV15" s="26">
        <f>IF(ISNUMBER(VLOOKUP($D15,'Visu totale'!$D:$DH,CV$1,0)),CU15-VLOOKUP($D15,'Visu totale'!$D:$DH,CV$1,0),IF(LEFT(VLOOKUP($D15,'Visu totale'!$D:$DH,CV$1,0),1)="V",IF(CU15&gt;=INDEX('[1]Définition Maintenances'!$G:$G,MATCH($A15,'[1]Définition Maintenances'!$K:$K,0)),CU15,INDEX('[1]Définition Maintenances'!$G:$G,MATCH($A15,'[1]Définition Maintenances'!$K:$K,0))+CU15),CU15))</f>
        <v>16</v>
      </c>
      <c r="CW15" s="27">
        <f>IF(ISNUMBER(VLOOKUP($D15,'Visu totale'!$D:$DH,CW$1,0)),CV15-VLOOKUP($D15,'Visu totale'!$D:$DH,CW$1,0),IF(LEFT(VLOOKUP($D15,'Visu totale'!$D:$DH,CW$1,0),1)="V",IF(CV15&gt;=INDEX('[1]Définition Maintenances'!$G:$G,MATCH($A15,'[1]Définition Maintenances'!$K:$K,0)),CV15,INDEX('[1]Définition Maintenances'!$G:$G,MATCH($A15,'[1]Définition Maintenances'!$K:$K,0))+CV15),CV15))</f>
        <v>16</v>
      </c>
      <c r="CX15" s="25">
        <f>IF(ISNUMBER(VLOOKUP($D15,'Visu totale'!$D:$DH,CX$1,0)),CW15-VLOOKUP($D15,'Visu totale'!$D:$DH,CX$1,0),IF(LEFT(VLOOKUP($D15,'Visu totale'!$D:$DH,CX$1,0),1)="V",IF(CW15&gt;=INDEX('[1]Définition Maintenances'!$G:$G,MATCH($A15,'[1]Définition Maintenances'!$K:$K,0)),CW15,INDEX('[1]Définition Maintenances'!$G:$G,MATCH($A15,'[1]Définition Maintenances'!$K:$K,0))+CW15),CW15))</f>
        <v>16</v>
      </c>
      <c r="CY15" s="26">
        <f>IF(ISNUMBER(VLOOKUP($D15,'Visu totale'!$D:$DH,CY$1,0)),CX15-VLOOKUP($D15,'Visu totale'!$D:$DH,CY$1,0),IF(LEFT(VLOOKUP($D15,'Visu totale'!$D:$DH,CY$1,0),1)="V",IF(CX15&gt;=INDEX('[1]Définition Maintenances'!$G:$G,MATCH($A15,'[1]Définition Maintenances'!$K:$K,0)),CX15,INDEX('[1]Définition Maintenances'!$G:$G,MATCH($A15,'[1]Définition Maintenances'!$K:$K,0))+CX15),CX15))</f>
        <v>16</v>
      </c>
      <c r="CZ15" s="26">
        <f>IF(ISNUMBER(VLOOKUP($D15,'Visu totale'!$D:$DH,CZ$1,0)),CY15-VLOOKUP($D15,'Visu totale'!$D:$DH,CZ$1,0),IF(LEFT(VLOOKUP($D15,'Visu totale'!$D:$DH,CZ$1,0),1)="V",IF(CY15&gt;=INDEX('[1]Définition Maintenances'!$G:$G,MATCH($A15,'[1]Définition Maintenances'!$K:$K,0)),CY15,INDEX('[1]Définition Maintenances'!$G:$G,MATCH($A15,'[1]Définition Maintenances'!$K:$K,0))+CY15),CY15))</f>
        <v>16</v>
      </c>
      <c r="DA15" s="26">
        <f>IF(ISNUMBER(VLOOKUP($D15,'Visu totale'!$D:$DH,DA$1,0)),CZ15-VLOOKUP($D15,'Visu totale'!$D:$DH,DA$1,0),IF(LEFT(VLOOKUP($D15,'Visu totale'!$D:$DH,DA$1,0),1)="V",IF(CZ15&gt;=INDEX('[1]Définition Maintenances'!$G:$G,MATCH($A15,'[1]Définition Maintenances'!$K:$K,0)),CZ15,INDEX('[1]Définition Maintenances'!$G:$G,MATCH($A15,'[1]Définition Maintenances'!$K:$K,0))+CZ15),CZ15))</f>
        <v>16</v>
      </c>
      <c r="DB15" s="26">
        <f>IF(ISNUMBER(VLOOKUP($D15,'Visu totale'!$D:$DH,DB$1,0)),DA15-VLOOKUP($D15,'Visu totale'!$D:$DH,DB$1,0),IF(LEFT(VLOOKUP($D15,'Visu totale'!$D:$DH,DB$1,0),1)="V",IF(DA15&gt;=INDEX('[1]Définition Maintenances'!$G:$G,MATCH($A15,'[1]Définition Maintenances'!$K:$K,0)),DA15,INDEX('[1]Définition Maintenances'!$G:$G,MATCH($A15,'[1]Définition Maintenances'!$K:$K,0))+DA15),DA15))</f>
        <v>16</v>
      </c>
      <c r="DC15" s="26">
        <f>IF(ISNUMBER(VLOOKUP($D15,'Visu totale'!$D:$DH,DC$1,0)),DB15-VLOOKUP($D15,'Visu totale'!$D:$DH,DC$1,0),IF(LEFT(VLOOKUP($D15,'Visu totale'!$D:$DH,DC$1,0),1)="V",IF(DB15&gt;=INDEX('[1]Définition Maintenances'!$G:$G,MATCH($A15,'[1]Définition Maintenances'!$K:$K,0)),DB15,INDEX('[1]Définition Maintenances'!$G:$G,MATCH($A15,'[1]Définition Maintenances'!$K:$K,0))+DB15),DB15))</f>
        <v>16</v>
      </c>
      <c r="DD15" s="26">
        <f>IF(ISNUMBER(VLOOKUP($D15,'Visu totale'!$D:$DH,DD$1,0)),DC15-VLOOKUP($D15,'Visu totale'!$D:$DH,DD$1,0),IF(LEFT(VLOOKUP($D15,'Visu totale'!$D:$DH,DD$1,0),1)="V",IF(DC15&gt;=INDEX('[1]Définition Maintenances'!$G:$G,MATCH($A15,'[1]Définition Maintenances'!$K:$K,0)),DC15,INDEX('[1]Définition Maintenances'!$G:$G,MATCH($A15,'[1]Définition Maintenances'!$K:$K,0))+DC15),DC15))</f>
        <v>16</v>
      </c>
      <c r="DE15" s="26">
        <f>IF(ISNUMBER(VLOOKUP($D15,'Visu totale'!$D:$DH,DE$1,0)),DD15-VLOOKUP($D15,'Visu totale'!$D:$DH,DE$1,0),IF(LEFT(VLOOKUP($D15,'Visu totale'!$D:$DH,DE$1,0),1)="V",IF(DD15&gt;=INDEX('[1]Définition Maintenances'!$G:$G,MATCH($A15,'[1]Définition Maintenances'!$K:$K,0)),DD15,INDEX('[1]Définition Maintenances'!$G:$G,MATCH($A15,'[1]Définition Maintenances'!$K:$K,0))+DD15),DD15))</f>
        <v>16</v>
      </c>
      <c r="DF15" s="26">
        <f>IF(ISNUMBER(VLOOKUP($D15,'Visu totale'!$D:$DH,DF$1,0)),DE15-VLOOKUP($D15,'Visu totale'!$D:$DH,DF$1,0),IF(LEFT(VLOOKUP($D15,'Visu totale'!$D:$DH,DF$1,0),1)="V",IF(DE15&gt;=INDEX('[1]Définition Maintenances'!$G:$G,MATCH($A15,'[1]Définition Maintenances'!$K:$K,0)),DE15,INDEX('[1]Définition Maintenances'!$G:$G,MATCH($A15,'[1]Définition Maintenances'!$K:$K,0))+DE15),DE15))</f>
        <v>16</v>
      </c>
      <c r="DG15" s="26">
        <f>IF(ISNUMBER(VLOOKUP($D15,'Visu totale'!$D:$DH,DG$1,0)),DF15-VLOOKUP($D15,'Visu totale'!$D:$DH,DG$1,0),IF(LEFT(VLOOKUP($D15,'Visu totale'!$D:$DH,DG$1,0),1)="V",IF(DF15&gt;=INDEX('[1]Définition Maintenances'!$G:$G,MATCH($A15,'[1]Définition Maintenances'!$K:$K,0)),DF15,INDEX('[1]Définition Maintenances'!$G:$G,MATCH($A15,'[1]Définition Maintenances'!$K:$K,0))+DF15),DF15))</f>
        <v>16</v>
      </c>
      <c r="DH15" s="26">
        <f>IF(ISNUMBER(VLOOKUP($D15,'Visu totale'!$D:$DH,DH$1,0)),DG15-VLOOKUP($D15,'Visu totale'!$D:$DH,DH$1,0),IF(LEFT(VLOOKUP($D15,'Visu totale'!$D:$DH,DH$1,0),1)="V",IF(DG15&gt;=INDEX('[1]Définition Maintenances'!$G:$G,MATCH($A15,'[1]Définition Maintenances'!$K:$K,0)),DG15,INDEX('[1]Définition Maintenances'!$G:$G,MATCH($A15,'[1]Définition Maintenances'!$K:$K,0))+DG15),DG15))</f>
        <v>16</v>
      </c>
      <c r="DI15" s="27">
        <f>IF(ISNUMBER(VLOOKUP($D15,'Visu totale'!$D:$DH,DI$1,0)),DH15-VLOOKUP($D15,'Visu totale'!$D:$DH,DI$1,0),IF(LEFT(VLOOKUP($D15,'Visu totale'!$D:$DH,DI$1,0),1)="V",IF(DH15&gt;=INDEX('[1]Définition Maintenances'!$G:$G,MATCH($A15,'[1]Définition Maintenances'!$K:$K,0)),DH15,INDEX('[1]Définition Maintenances'!$G:$G,MATCH($A15,'[1]Définition Maintenances'!$K:$K,0))+DH15),DH15))</f>
        <v>16</v>
      </c>
    </row>
    <row r="16" spans="1:113" x14ac:dyDescent="0.25">
      <c r="A16" s="13" t="str">
        <f t="shared" si="0"/>
        <v>V15D</v>
      </c>
      <c r="B16" s="13" t="str">
        <f>VLOOKUP(D16,'[1]Avions (Potentiels)'!$B$2:$H$128,7,FALSE)</f>
        <v>V15</v>
      </c>
      <c r="C16" s="13"/>
      <c r="D16" s="16" t="s">
        <v>19</v>
      </c>
      <c r="E16" s="13">
        <f>IFERROR(VALUE(SUBSTITUTE(VLOOKUP(D16,'[1]Avions (Potentiels)'!$B:$E,4,0),".",",")),VALUE(VLOOKUP(D16,'[1]Avions (Potentiels)'!$B:$E,4,0)))</f>
        <v>433</v>
      </c>
      <c r="F16" s="25">
        <f>IF(ISNUMBER(VLOOKUP($D16,'Visu totale'!$D:$DH,F$1,0)),E16-VLOOKUP($D16,'Visu totale'!$D:$DH,F$1,0),IF(LEFT(VLOOKUP($D16,'Visu totale'!$D:$DH,F$1,0),1)="V",IF(E16&gt;=INDEX('[1]Définition Maintenances'!$G:$G,MATCH($A16,'[1]Définition Maintenances'!$K:$K,0)),E16,INDEX('[1]Définition Maintenances'!$G:$G,MATCH($A16,'[1]Définition Maintenances'!$K:$K,0))+E16),E16))</f>
        <v>433</v>
      </c>
      <c r="G16" s="26">
        <f>IF(ISNUMBER(VLOOKUP($D16,'Visu totale'!$D:$DH,G$1,0)),F16-VLOOKUP($D16,'Visu totale'!$D:$DH,G$1,0),IF(LEFT(VLOOKUP($D16,'Visu totale'!$D:$DH,G$1,0),1)="V",IF(F16&gt;=INDEX('[1]Définition Maintenances'!$G:$G,MATCH($A16,'[1]Définition Maintenances'!$K:$K,0)),F16,INDEX('[1]Définition Maintenances'!$G:$G,MATCH($A16,'[1]Définition Maintenances'!$K:$K,0))+F16),F16))</f>
        <v>433</v>
      </c>
      <c r="H16" s="26">
        <f>IF(ISNUMBER(VLOOKUP($D16,'Visu totale'!$D:$DH,H$1,0)),G16-VLOOKUP($D16,'Visu totale'!$D:$DH,H$1,0),IF(LEFT(VLOOKUP($D16,'Visu totale'!$D:$DH,H$1,0),1)="V",IF(G16&gt;=INDEX('[1]Définition Maintenances'!$G:$G,MATCH($A16,'[1]Définition Maintenances'!$K:$K,0)),G16,INDEX('[1]Définition Maintenances'!$G:$G,MATCH($A16,'[1]Définition Maintenances'!$K:$K,0))+G16),G16))</f>
        <v>433</v>
      </c>
      <c r="I16" s="26">
        <f>IF(ISNUMBER(VLOOKUP($D16,'Visu totale'!$D:$DH,I$1,0)),H16-VLOOKUP($D16,'Visu totale'!$D:$DH,I$1,0),IF(LEFT(VLOOKUP($D16,'Visu totale'!$D:$DH,I$1,0),1)="V",IF(H16&gt;=INDEX('[1]Définition Maintenances'!$G:$G,MATCH($A16,'[1]Définition Maintenances'!$K:$K,0)),H16,INDEX('[1]Définition Maintenances'!$G:$G,MATCH($A16,'[1]Définition Maintenances'!$K:$K,0))+H16),H16))</f>
        <v>433</v>
      </c>
      <c r="J16" s="26">
        <f>IF(ISNUMBER(VLOOKUP($D16,'Visu totale'!$D:$DH,J$1,0)),I16-VLOOKUP($D16,'Visu totale'!$D:$DH,J$1,0),IF(LEFT(VLOOKUP($D16,'Visu totale'!$D:$DH,J$1,0),1)="V",IF(I16&gt;=INDEX('[1]Définition Maintenances'!$G:$G,MATCH($A16,'[1]Définition Maintenances'!$K:$K,0)),I16,INDEX('[1]Définition Maintenances'!$G:$G,MATCH($A16,'[1]Définition Maintenances'!$K:$K,0))+I16),I16))</f>
        <v>433</v>
      </c>
      <c r="K16" s="26">
        <f>IF(ISNUMBER(VLOOKUP($D16,'Visu totale'!$D:$DH,K$1,0)),J16-VLOOKUP($D16,'Visu totale'!$D:$DH,K$1,0),IF(LEFT(VLOOKUP($D16,'Visu totale'!$D:$DH,K$1,0),1)="V",IF(J16&gt;=INDEX('[1]Définition Maintenances'!$G:$G,MATCH($A16,'[1]Définition Maintenances'!$K:$K,0)),J16,INDEX('[1]Définition Maintenances'!$G:$G,MATCH($A16,'[1]Définition Maintenances'!$K:$K,0))+J16),J16))</f>
        <v>433</v>
      </c>
      <c r="L16" s="26">
        <f>IF(ISNUMBER(VLOOKUP($D16,'Visu totale'!$D:$DH,L$1,0)),K16-VLOOKUP($D16,'Visu totale'!$D:$DH,L$1,0),IF(LEFT(VLOOKUP($D16,'Visu totale'!$D:$DH,L$1,0),1)="V",IF(K16&gt;=INDEX('[1]Définition Maintenances'!$G:$G,MATCH($A16,'[1]Définition Maintenances'!$K:$K,0)),K16,INDEX('[1]Définition Maintenances'!$G:$G,MATCH($A16,'[1]Définition Maintenances'!$K:$K,0))+K16),K16))</f>
        <v>433</v>
      </c>
      <c r="M16" s="26">
        <f>IF(ISNUMBER(VLOOKUP($D16,'Visu totale'!$D:$DH,M$1,0)),L16-VLOOKUP($D16,'Visu totale'!$D:$DH,M$1,0),IF(LEFT(VLOOKUP($D16,'Visu totale'!$D:$DH,M$1,0),1)="V",IF(L16&gt;=INDEX('[1]Définition Maintenances'!$G:$G,MATCH($A16,'[1]Définition Maintenances'!$K:$K,0)),L16,INDEX('[1]Définition Maintenances'!$G:$G,MATCH($A16,'[1]Définition Maintenances'!$K:$K,0))+L16),L16))</f>
        <v>433</v>
      </c>
      <c r="N16" s="26">
        <f>IF(ISNUMBER(VLOOKUP($D16,'Visu totale'!$D:$DH,N$1,0)),M16-VLOOKUP($D16,'Visu totale'!$D:$DH,N$1,0),IF(LEFT(VLOOKUP($D16,'Visu totale'!$D:$DH,N$1,0),1)="V",IF(M16&gt;=INDEX('[1]Définition Maintenances'!$G:$G,MATCH($A16,'[1]Définition Maintenances'!$K:$K,0)),M16,INDEX('[1]Définition Maintenances'!$G:$G,MATCH($A16,'[1]Définition Maintenances'!$K:$K,0))+M16),M16))</f>
        <v>433</v>
      </c>
      <c r="O16" s="26">
        <f>IF(ISNUMBER(VLOOKUP($D16,'Visu totale'!$D:$DH,O$1,0)),N16-VLOOKUP($D16,'Visu totale'!$D:$DH,O$1,0),IF(LEFT(VLOOKUP($D16,'Visu totale'!$D:$DH,O$1,0),1)="V",IF(N16&gt;=INDEX('[1]Définition Maintenances'!$G:$G,MATCH($A16,'[1]Définition Maintenances'!$K:$K,0)),N16,INDEX('[1]Définition Maintenances'!$G:$G,MATCH($A16,'[1]Définition Maintenances'!$K:$K,0))+N16),N16))</f>
        <v>433</v>
      </c>
      <c r="P16" s="26">
        <f>IF(ISNUMBER(VLOOKUP($D16,'Visu totale'!$D:$DH,P$1,0)),O16-VLOOKUP($D16,'Visu totale'!$D:$DH,P$1,0),IF(LEFT(VLOOKUP($D16,'Visu totale'!$D:$DH,P$1,0),1)="V",IF(O16&gt;=INDEX('[1]Définition Maintenances'!$G:$G,MATCH($A16,'[1]Définition Maintenances'!$K:$K,0)),O16,INDEX('[1]Définition Maintenances'!$G:$G,MATCH($A16,'[1]Définition Maintenances'!$K:$K,0))+O16),O16))</f>
        <v>433</v>
      </c>
      <c r="Q16" s="27">
        <f>IF(ISNUMBER(VLOOKUP($D16,'Visu totale'!$D:$DH,Q$1,0)),P16-VLOOKUP($D16,'Visu totale'!$D:$DH,Q$1,0),IF(LEFT(VLOOKUP($D16,'Visu totale'!$D:$DH,Q$1,0),1)="V",IF(P16&gt;=INDEX('[1]Définition Maintenances'!$G:$G,MATCH($A16,'[1]Définition Maintenances'!$K:$K,0)),P16,INDEX('[1]Définition Maintenances'!$G:$G,MATCH($A16,'[1]Définition Maintenances'!$K:$K,0))+P16),P16))</f>
        <v>433</v>
      </c>
      <c r="R16" s="25">
        <f>IF(ISNUMBER(VLOOKUP($D16,'Visu totale'!$D:$DH,R$1,0)),Q16-VLOOKUP($D16,'Visu totale'!$D:$DH,R$1,0),IF(LEFT(VLOOKUP($D16,'Visu totale'!$D:$DH,R$1,0),1)="V",IF(Q16&gt;=INDEX('[1]Définition Maintenances'!$G:$G,MATCH($A16,'[1]Définition Maintenances'!$K:$K,0)),Q16,INDEX('[1]Définition Maintenances'!$G:$G,MATCH($A16,'[1]Définition Maintenances'!$K:$K,0))+Q16),Q16))</f>
        <v>433</v>
      </c>
      <c r="S16" s="26">
        <f>IF(ISNUMBER(VLOOKUP($D16,'Visu totale'!$D:$DH,S$1,0)),R16-VLOOKUP($D16,'Visu totale'!$D:$DH,S$1,0),IF(LEFT(VLOOKUP($D16,'Visu totale'!$D:$DH,S$1,0),1)="V",IF(R16&gt;=INDEX('[1]Définition Maintenances'!$G:$G,MATCH($A16,'[1]Définition Maintenances'!$K:$K,0)),R16,INDEX('[1]Définition Maintenances'!$G:$G,MATCH($A16,'[1]Définition Maintenances'!$K:$K,0))+R16),R16))</f>
        <v>433</v>
      </c>
      <c r="T16" s="26">
        <f>IF(ISNUMBER(VLOOKUP($D16,'Visu totale'!$D:$DH,T$1,0)),S16-VLOOKUP($D16,'Visu totale'!$D:$DH,T$1,0),IF(LEFT(VLOOKUP($D16,'Visu totale'!$D:$DH,T$1,0),1)="V",IF(S16&gt;=INDEX('[1]Définition Maintenances'!$G:$G,MATCH($A16,'[1]Définition Maintenances'!$K:$K,0)),S16,INDEX('[1]Définition Maintenances'!$G:$G,MATCH($A16,'[1]Définition Maintenances'!$K:$K,0))+S16),S16))</f>
        <v>433</v>
      </c>
      <c r="U16" s="26">
        <f>IF(ISNUMBER(VLOOKUP($D16,'Visu totale'!$D:$DH,U$1,0)),T16-VLOOKUP($D16,'Visu totale'!$D:$DH,U$1,0),IF(LEFT(VLOOKUP($D16,'Visu totale'!$D:$DH,U$1,0),1)="V",IF(T16&gt;=INDEX('[1]Définition Maintenances'!$G:$G,MATCH($A16,'[1]Définition Maintenances'!$K:$K,0)),T16,INDEX('[1]Définition Maintenances'!$G:$G,MATCH($A16,'[1]Définition Maintenances'!$K:$K,0))+T16),T16))</f>
        <v>433</v>
      </c>
      <c r="V16" s="26">
        <f>IF(ISNUMBER(VLOOKUP($D16,'Visu totale'!$D:$DH,V$1,0)),U16-VLOOKUP($D16,'Visu totale'!$D:$DH,V$1,0),IF(LEFT(VLOOKUP($D16,'Visu totale'!$D:$DH,V$1,0),1)="V",IF(U16&gt;=INDEX('[1]Définition Maintenances'!$G:$G,MATCH($A16,'[1]Définition Maintenances'!$K:$K,0)),U16,INDEX('[1]Définition Maintenances'!$G:$G,MATCH($A16,'[1]Définition Maintenances'!$K:$K,0))+U16),U16))</f>
        <v>433</v>
      </c>
      <c r="W16" s="26">
        <f>IF(ISNUMBER(VLOOKUP($D16,'Visu totale'!$D:$DH,W$1,0)),V16-VLOOKUP($D16,'Visu totale'!$D:$DH,W$1,0),IF(LEFT(VLOOKUP($D16,'Visu totale'!$D:$DH,W$1,0),1)="V",IF(V16&gt;=INDEX('[1]Définition Maintenances'!$G:$G,MATCH($A16,'[1]Définition Maintenances'!$K:$K,0)),V16,INDEX('[1]Définition Maintenances'!$G:$G,MATCH($A16,'[1]Définition Maintenances'!$K:$K,0))+V16),V16))</f>
        <v>433</v>
      </c>
      <c r="X16" s="26">
        <f>IF(ISNUMBER(VLOOKUP($D16,'Visu totale'!$D:$DH,X$1,0)),W16-VLOOKUP($D16,'Visu totale'!$D:$DH,X$1,0),IF(LEFT(VLOOKUP($D16,'Visu totale'!$D:$DH,X$1,0),1)="V",IF(W16&gt;=INDEX('[1]Définition Maintenances'!$G:$G,MATCH($A16,'[1]Définition Maintenances'!$K:$K,0)),W16,INDEX('[1]Définition Maintenances'!$G:$G,MATCH($A16,'[1]Définition Maintenances'!$K:$K,0))+W16),W16))</f>
        <v>433</v>
      </c>
      <c r="Y16" s="26">
        <f>IF(ISNUMBER(VLOOKUP($D16,'Visu totale'!$D:$DH,Y$1,0)),X16-VLOOKUP($D16,'Visu totale'!$D:$DH,Y$1,0),IF(LEFT(VLOOKUP($D16,'Visu totale'!$D:$DH,Y$1,0),1)="V",IF(X16&gt;=INDEX('[1]Définition Maintenances'!$G:$G,MATCH($A16,'[1]Définition Maintenances'!$K:$K,0)),X16,INDEX('[1]Définition Maintenances'!$G:$G,MATCH($A16,'[1]Définition Maintenances'!$K:$K,0))+X16),X16))</f>
        <v>433</v>
      </c>
      <c r="Z16" s="26">
        <f>IF(ISNUMBER(VLOOKUP($D16,'Visu totale'!$D:$DH,Z$1,0)),Y16-VLOOKUP($D16,'Visu totale'!$D:$DH,Z$1,0),IF(LEFT(VLOOKUP($D16,'Visu totale'!$D:$DH,Z$1,0),1)="V",IF(Y16&gt;=INDEX('[1]Définition Maintenances'!$G:$G,MATCH($A16,'[1]Définition Maintenances'!$K:$K,0)),Y16,INDEX('[1]Définition Maintenances'!$G:$G,MATCH($A16,'[1]Définition Maintenances'!$K:$K,0))+Y16),Y16))</f>
        <v>433</v>
      </c>
      <c r="AA16" s="26">
        <f>IF(ISNUMBER(VLOOKUP($D16,'Visu totale'!$D:$DH,AA$1,0)),Z16-VLOOKUP($D16,'Visu totale'!$D:$DH,AA$1,0),IF(LEFT(VLOOKUP($D16,'Visu totale'!$D:$DH,AA$1,0),1)="V",IF(Z16&gt;=INDEX('[1]Définition Maintenances'!$G:$G,MATCH($A16,'[1]Définition Maintenances'!$K:$K,0)),Z16,INDEX('[1]Définition Maintenances'!$G:$G,MATCH($A16,'[1]Définition Maintenances'!$K:$K,0))+Z16),Z16))</f>
        <v>433</v>
      </c>
      <c r="AB16" s="26">
        <f>IF(ISNUMBER(VLOOKUP($D16,'Visu totale'!$D:$DH,AB$1,0)),AA16-VLOOKUP($D16,'Visu totale'!$D:$DH,AB$1,0),IF(LEFT(VLOOKUP($D16,'Visu totale'!$D:$DH,AB$1,0),1)="V",IF(AA16&gt;=INDEX('[1]Définition Maintenances'!$G:$G,MATCH($A16,'[1]Définition Maintenances'!$K:$K,0)),AA16,INDEX('[1]Définition Maintenances'!$G:$G,MATCH($A16,'[1]Définition Maintenances'!$K:$K,0))+AA16),AA16))</f>
        <v>433</v>
      </c>
      <c r="AC16" s="27">
        <f>IF(ISNUMBER(VLOOKUP($D16,'Visu totale'!$D:$DH,AC$1,0)),AB16-VLOOKUP($D16,'Visu totale'!$D:$DH,AC$1,0),IF(LEFT(VLOOKUP($D16,'Visu totale'!$D:$DH,AC$1,0),1)="V",IF(AB16&gt;=INDEX('[1]Définition Maintenances'!$G:$G,MATCH($A16,'[1]Définition Maintenances'!$K:$K,0)),AB16,INDEX('[1]Définition Maintenances'!$G:$G,MATCH($A16,'[1]Définition Maintenances'!$K:$K,0))+AB16),AB16))</f>
        <v>433</v>
      </c>
      <c r="AD16" s="25">
        <f>IF(ISNUMBER(VLOOKUP($D16,'Visu totale'!$D:$DH,AD$1,0)),AC16-VLOOKUP($D16,'Visu totale'!$D:$DH,AD$1,0),IF(LEFT(VLOOKUP($D16,'Visu totale'!$D:$DH,AD$1,0),1)="V",IF(AC16&gt;=INDEX('[1]Définition Maintenances'!$G:$G,MATCH($A16,'[1]Définition Maintenances'!$K:$K,0)),AC16,INDEX('[1]Définition Maintenances'!$G:$G,MATCH($A16,'[1]Définition Maintenances'!$K:$K,0))+AC16),AC16))</f>
        <v>433</v>
      </c>
      <c r="AE16" s="26">
        <f>IF(ISNUMBER(VLOOKUP($D16,'Visu totale'!$D:$DH,AE$1,0)),AD16-VLOOKUP($D16,'Visu totale'!$D:$DH,AE$1,0),IF(LEFT(VLOOKUP($D16,'Visu totale'!$D:$DH,AE$1,0),1)="V",IF(AD16&gt;=INDEX('[1]Définition Maintenances'!$G:$G,MATCH($A16,'[1]Définition Maintenances'!$K:$K,0)),AD16,INDEX('[1]Définition Maintenances'!$G:$G,MATCH($A16,'[1]Définition Maintenances'!$K:$K,0))+AD16),AD16))</f>
        <v>433</v>
      </c>
      <c r="AF16" s="26">
        <f>IF(ISNUMBER(VLOOKUP($D16,'Visu totale'!$D:$DH,AF$1,0)),AE16-VLOOKUP($D16,'Visu totale'!$D:$DH,AF$1,0),IF(LEFT(VLOOKUP($D16,'Visu totale'!$D:$DH,AF$1,0),1)="V",IF(AE16&gt;=INDEX('[1]Définition Maintenances'!$G:$G,MATCH($A16,'[1]Définition Maintenances'!$K:$K,0)),AE16,INDEX('[1]Définition Maintenances'!$G:$G,MATCH($A16,'[1]Définition Maintenances'!$K:$K,0))+AE16),AE16))</f>
        <v>433</v>
      </c>
      <c r="AG16" s="26">
        <f>IF(ISNUMBER(VLOOKUP($D16,'Visu totale'!$D:$DH,AG$1,0)),AF16-VLOOKUP($D16,'Visu totale'!$D:$DH,AG$1,0),IF(LEFT(VLOOKUP($D16,'Visu totale'!$D:$DH,AG$1,0),1)="V",IF(AF16&gt;=INDEX('[1]Définition Maintenances'!$G:$G,MATCH($A16,'[1]Définition Maintenances'!$K:$K,0)),AF16,INDEX('[1]Définition Maintenances'!$G:$G,MATCH($A16,'[1]Définition Maintenances'!$K:$K,0))+AF16),AF16))</f>
        <v>433</v>
      </c>
      <c r="AH16" s="26">
        <f>IF(ISNUMBER(VLOOKUP($D16,'Visu totale'!$D:$DH,AH$1,0)),AG16-VLOOKUP($D16,'Visu totale'!$D:$DH,AH$1,0),IF(LEFT(VLOOKUP($D16,'Visu totale'!$D:$DH,AH$1,0),1)="V",IF(AG16&gt;=INDEX('[1]Définition Maintenances'!$G:$G,MATCH($A16,'[1]Définition Maintenances'!$K:$K,0)),AG16,INDEX('[1]Définition Maintenances'!$G:$G,MATCH($A16,'[1]Définition Maintenances'!$K:$K,0))+AG16),AG16))</f>
        <v>433</v>
      </c>
      <c r="AI16" s="26">
        <f>IF(ISNUMBER(VLOOKUP($D16,'Visu totale'!$D:$DH,AI$1,0)),AH16-VLOOKUP($D16,'Visu totale'!$D:$DH,AI$1,0),IF(LEFT(VLOOKUP($D16,'Visu totale'!$D:$DH,AI$1,0),1)="V",IF(AH16&gt;=INDEX('[1]Définition Maintenances'!$G:$G,MATCH($A16,'[1]Définition Maintenances'!$K:$K,0)),AH16,INDEX('[1]Définition Maintenances'!$G:$G,MATCH($A16,'[1]Définition Maintenances'!$K:$K,0))+AH16),AH16))</f>
        <v>433</v>
      </c>
      <c r="AJ16" s="26">
        <f>IF(ISNUMBER(VLOOKUP($D16,'Visu totale'!$D:$DH,AJ$1,0)),AI16-VLOOKUP($D16,'Visu totale'!$D:$DH,AJ$1,0),IF(LEFT(VLOOKUP($D16,'Visu totale'!$D:$DH,AJ$1,0),1)="V",IF(AI16&gt;=INDEX('[1]Définition Maintenances'!$G:$G,MATCH($A16,'[1]Définition Maintenances'!$K:$K,0)),AI16,INDEX('[1]Définition Maintenances'!$G:$G,MATCH($A16,'[1]Définition Maintenances'!$K:$K,0))+AI16),AI16))</f>
        <v>433</v>
      </c>
      <c r="AK16" s="26">
        <f>IF(ISNUMBER(VLOOKUP($D16,'Visu totale'!$D:$DH,AK$1,0)),AJ16-VLOOKUP($D16,'Visu totale'!$D:$DH,AK$1,0),IF(LEFT(VLOOKUP($D16,'Visu totale'!$D:$DH,AK$1,0),1)="V",IF(AJ16&gt;=INDEX('[1]Définition Maintenances'!$G:$G,MATCH($A16,'[1]Définition Maintenances'!$K:$K,0)),AJ16,INDEX('[1]Définition Maintenances'!$G:$G,MATCH($A16,'[1]Définition Maintenances'!$K:$K,0))+AJ16),AJ16))</f>
        <v>433</v>
      </c>
      <c r="AL16" s="26">
        <f>IF(ISNUMBER(VLOOKUP($D16,'Visu totale'!$D:$DH,AL$1,0)),AK16-VLOOKUP($D16,'Visu totale'!$D:$DH,AL$1,0),IF(LEFT(VLOOKUP($D16,'Visu totale'!$D:$DH,AL$1,0),1)="V",IF(AK16&gt;=INDEX('[1]Définition Maintenances'!$G:$G,MATCH($A16,'[1]Définition Maintenances'!$K:$K,0)),AK16,INDEX('[1]Définition Maintenances'!$G:$G,MATCH($A16,'[1]Définition Maintenances'!$K:$K,0))+AK16),AK16))</f>
        <v>433</v>
      </c>
      <c r="AM16" s="26">
        <f>IF(ISNUMBER(VLOOKUP($D16,'Visu totale'!$D:$DH,AM$1,0)),AL16-VLOOKUP($D16,'Visu totale'!$D:$DH,AM$1,0),IF(LEFT(VLOOKUP($D16,'Visu totale'!$D:$DH,AM$1,0),1)="V",IF(AL16&gt;=INDEX('[1]Définition Maintenances'!$G:$G,MATCH($A16,'[1]Définition Maintenances'!$K:$K,0)),AL16,INDEX('[1]Définition Maintenances'!$G:$G,MATCH($A16,'[1]Définition Maintenances'!$K:$K,0))+AL16),AL16))</f>
        <v>433</v>
      </c>
      <c r="AN16" s="26">
        <f>IF(ISNUMBER(VLOOKUP($D16,'Visu totale'!$D:$DH,AN$1,0)),AM16-VLOOKUP($D16,'Visu totale'!$D:$DH,AN$1,0),IF(LEFT(VLOOKUP($D16,'Visu totale'!$D:$DH,AN$1,0),1)="V",IF(AM16&gt;=INDEX('[1]Définition Maintenances'!$G:$G,MATCH($A16,'[1]Définition Maintenances'!$K:$K,0)),AM16,INDEX('[1]Définition Maintenances'!$G:$G,MATCH($A16,'[1]Définition Maintenances'!$K:$K,0))+AM16),AM16))</f>
        <v>433</v>
      </c>
      <c r="AO16" s="27">
        <f>IF(ISNUMBER(VLOOKUP($D16,'Visu totale'!$D:$DH,AO$1,0)),AN16-VLOOKUP($D16,'Visu totale'!$D:$DH,AO$1,0),IF(LEFT(VLOOKUP($D16,'Visu totale'!$D:$DH,AO$1,0),1)="V",IF(AN16&gt;=INDEX('[1]Définition Maintenances'!$G:$G,MATCH($A16,'[1]Définition Maintenances'!$K:$K,0)),AN16,INDEX('[1]Définition Maintenances'!$G:$G,MATCH($A16,'[1]Définition Maintenances'!$K:$K,0))+AN16),AN16))</f>
        <v>433</v>
      </c>
      <c r="AP16" s="25">
        <f>IF(ISNUMBER(VLOOKUP($D16,'Visu totale'!$D:$DH,AP$1,0)),AO16-VLOOKUP($D16,'Visu totale'!$D:$DH,AP$1,0),IF(LEFT(VLOOKUP($D16,'Visu totale'!$D:$DH,AP$1,0),1)="V",IF(AO16&gt;=INDEX('[1]Définition Maintenances'!$G:$G,MATCH($A16,'[1]Définition Maintenances'!$K:$K,0)),AO16,INDEX('[1]Définition Maintenances'!$G:$G,MATCH($A16,'[1]Définition Maintenances'!$K:$K,0))+AO16),AO16))</f>
        <v>433</v>
      </c>
      <c r="AQ16" s="26">
        <f>IF(ISNUMBER(VLOOKUP($D16,'Visu totale'!$D:$DH,AQ$1,0)),AP16-VLOOKUP($D16,'Visu totale'!$D:$DH,AQ$1,0),IF(LEFT(VLOOKUP($D16,'Visu totale'!$D:$DH,AQ$1,0),1)="V",IF(AP16&gt;=INDEX('[1]Définition Maintenances'!$G:$G,MATCH($A16,'[1]Définition Maintenances'!$K:$K,0)),AP16,INDEX('[1]Définition Maintenances'!$G:$G,MATCH($A16,'[1]Définition Maintenances'!$K:$K,0))+AP16),AP16))</f>
        <v>433</v>
      </c>
      <c r="AR16" s="26">
        <f>IF(ISNUMBER(VLOOKUP($D16,'Visu totale'!$D:$DH,AR$1,0)),AQ16-VLOOKUP($D16,'Visu totale'!$D:$DH,AR$1,0),IF(LEFT(VLOOKUP($D16,'Visu totale'!$D:$DH,AR$1,0),1)="V",IF(AQ16&gt;=INDEX('[1]Définition Maintenances'!$G:$G,MATCH($A16,'[1]Définition Maintenances'!$K:$K,0)),AQ16,INDEX('[1]Définition Maintenances'!$G:$G,MATCH($A16,'[1]Définition Maintenances'!$K:$K,0))+AQ16),AQ16))</f>
        <v>433</v>
      </c>
      <c r="AS16" s="26">
        <f>IF(ISNUMBER(VLOOKUP($D16,'Visu totale'!$D:$DH,AS$1,0)),AR16-VLOOKUP($D16,'Visu totale'!$D:$DH,AS$1,0),IF(LEFT(VLOOKUP($D16,'Visu totale'!$D:$DH,AS$1,0),1)="V",IF(AR16&gt;=INDEX('[1]Définition Maintenances'!$G:$G,MATCH($A16,'[1]Définition Maintenances'!$K:$K,0)),AR16,INDEX('[1]Définition Maintenances'!$G:$G,MATCH($A16,'[1]Définition Maintenances'!$K:$K,0))+AR16),AR16))</f>
        <v>433</v>
      </c>
      <c r="AT16" s="26">
        <f>IF(ISNUMBER(VLOOKUP($D16,'Visu totale'!$D:$DH,AT$1,0)),AS16-VLOOKUP($D16,'Visu totale'!$D:$DH,AT$1,0),IF(LEFT(VLOOKUP($D16,'Visu totale'!$D:$DH,AT$1,0),1)="V",IF(AS16&gt;=INDEX('[1]Définition Maintenances'!$G:$G,MATCH($A16,'[1]Définition Maintenances'!$K:$K,0)),AS16,INDEX('[1]Définition Maintenances'!$G:$G,MATCH($A16,'[1]Définition Maintenances'!$K:$K,0))+AS16),AS16))</f>
        <v>433</v>
      </c>
      <c r="AU16" s="26">
        <f>IF(ISNUMBER(VLOOKUP($D16,'Visu totale'!$D:$DH,AU$1,0)),AT16-VLOOKUP($D16,'Visu totale'!$D:$DH,AU$1,0),IF(LEFT(VLOOKUP($D16,'Visu totale'!$D:$DH,AU$1,0),1)="V",IF(AT16&gt;=INDEX('[1]Définition Maintenances'!$G:$G,MATCH($A16,'[1]Définition Maintenances'!$K:$K,0)),AT16,INDEX('[1]Définition Maintenances'!$G:$G,MATCH($A16,'[1]Définition Maintenances'!$K:$K,0))+AT16),AT16))</f>
        <v>433</v>
      </c>
      <c r="AV16" s="26">
        <f>IF(ISNUMBER(VLOOKUP($D16,'Visu totale'!$D:$DH,AV$1,0)),AU16-VLOOKUP($D16,'Visu totale'!$D:$DH,AV$1,0),IF(LEFT(VLOOKUP($D16,'Visu totale'!$D:$DH,AV$1,0),1)="V",IF(AU16&gt;=INDEX('[1]Définition Maintenances'!$G:$G,MATCH($A16,'[1]Définition Maintenances'!$K:$K,0)),AU16,INDEX('[1]Définition Maintenances'!$G:$G,MATCH($A16,'[1]Définition Maintenances'!$K:$K,0))+AU16),AU16))</f>
        <v>433</v>
      </c>
      <c r="AW16" s="26">
        <f>IF(ISNUMBER(VLOOKUP($D16,'Visu totale'!$D:$DH,AW$1,0)),AV16-VLOOKUP($D16,'Visu totale'!$D:$DH,AW$1,0),IF(LEFT(VLOOKUP($D16,'Visu totale'!$D:$DH,AW$1,0),1)="V",IF(AV16&gt;=INDEX('[1]Définition Maintenances'!$G:$G,MATCH($A16,'[1]Définition Maintenances'!$K:$K,0)),AV16,INDEX('[1]Définition Maintenances'!$G:$G,MATCH($A16,'[1]Définition Maintenances'!$K:$K,0))+AV16),AV16))</f>
        <v>433</v>
      </c>
      <c r="AX16" s="26">
        <f>IF(ISNUMBER(VLOOKUP($D16,'Visu totale'!$D:$DH,AX$1,0)),AW16-VLOOKUP($D16,'Visu totale'!$D:$DH,AX$1,0),IF(LEFT(VLOOKUP($D16,'Visu totale'!$D:$DH,AX$1,0),1)="V",IF(AW16&gt;=INDEX('[1]Définition Maintenances'!$G:$G,MATCH($A16,'[1]Définition Maintenances'!$K:$K,0)),AW16,INDEX('[1]Définition Maintenances'!$G:$G,MATCH($A16,'[1]Définition Maintenances'!$K:$K,0))+AW16),AW16))</f>
        <v>433</v>
      </c>
      <c r="AY16" s="26">
        <f>IF(ISNUMBER(VLOOKUP($D16,'Visu totale'!$D:$DH,AY$1,0)),AX16-VLOOKUP($D16,'Visu totale'!$D:$DH,AY$1,0),IF(LEFT(VLOOKUP($D16,'Visu totale'!$D:$DH,AY$1,0),1)="V",IF(AX16&gt;=INDEX('[1]Définition Maintenances'!$G:$G,MATCH($A16,'[1]Définition Maintenances'!$K:$K,0)),AX16,INDEX('[1]Définition Maintenances'!$G:$G,MATCH($A16,'[1]Définition Maintenances'!$K:$K,0))+AX16),AX16))</f>
        <v>433</v>
      </c>
      <c r="AZ16" s="26">
        <f>IF(ISNUMBER(VLOOKUP($D16,'Visu totale'!$D:$DH,AZ$1,0)),AY16-VLOOKUP($D16,'Visu totale'!$D:$DH,AZ$1,0),IF(LEFT(VLOOKUP($D16,'Visu totale'!$D:$DH,AZ$1,0),1)="V",IF(AY16&gt;=INDEX('[1]Définition Maintenances'!$G:$G,MATCH($A16,'[1]Définition Maintenances'!$K:$K,0)),AY16,INDEX('[1]Définition Maintenances'!$G:$G,MATCH($A16,'[1]Définition Maintenances'!$K:$K,0))+AY16),AY16))</f>
        <v>433</v>
      </c>
      <c r="BA16" s="27">
        <f>IF(ISNUMBER(VLOOKUP($D16,'Visu totale'!$D:$DH,BA$1,0)),AZ16-VLOOKUP($D16,'Visu totale'!$D:$DH,BA$1,0),IF(LEFT(VLOOKUP($D16,'Visu totale'!$D:$DH,BA$1,0),1)="V",IF(AZ16&gt;=INDEX('[1]Définition Maintenances'!$G:$G,MATCH($A16,'[1]Définition Maintenances'!$K:$K,0)),AZ16,INDEX('[1]Définition Maintenances'!$G:$G,MATCH($A16,'[1]Définition Maintenances'!$K:$K,0))+AZ16),AZ16))</f>
        <v>433</v>
      </c>
      <c r="BB16" s="25">
        <f>IF(ISNUMBER(VLOOKUP($D16,'Visu totale'!$D:$DH,BB$1,0)),BA16-VLOOKUP($D16,'Visu totale'!$D:$DH,BB$1,0),IF(LEFT(VLOOKUP($D16,'Visu totale'!$D:$DH,BB$1,0),1)="V",IF(BA16&gt;=INDEX('[1]Définition Maintenances'!$G:$G,MATCH($A16,'[1]Définition Maintenances'!$K:$K,0)),BA16,INDEX('[1]Définition Maintenances'!$G:$G,MATCH($A16,'[1]Définition Maintenances'!$K:$K,0))+BA16),BA16))</f>
        <v>433</v>
      </c>
      <c r="BC16" s="26">
        <f>IF(ISNUMBER(VLOOKUP($D16,'Visu totale'!$D:$DH,BC$1,0)),BB16-VLOOKUP($D16,'Visu totale'!$D:$DH,BC$1,0),IF(LEFT(VLOOKUP($D16,'Visu totale'!$D:$DH,BC$1,0),1)="V",IF(BB16&gt;=INDEX('[1]Définition Maintenances'!$G:$G,MATCH($A16,'[1]Définition Maintenances'!$K:$K,0)),BB16,INDEX('[1]Définition Maintenances'!$G:$G,MATCH($A16,'[1]Définition Maintenances'!$K:$K,0))+BB16),BB16))</f>
        <v>433</v>
      </c>
      <c r="BD16" s="26">
        <f>IF(ISNUMBER(VLOOKUP($D16,'Visu totale'!$D:$DH,BD$1,0)),BC16-VLOOKUP($D16,'Visu totale'!$D:$DH,BD$1,0),IF(LEFT(VLOOKUP($D16,'Visu totale'!$D:$DH,BD$1,0),1)="V",IF(BC16&gt;=INDEX('[1]Définition Maintenances'!$G:$G,MATCH($A16,'[1]Définition Maintenances'!$K:$K,0)),BC16,INDEX('[1]Définition Maintenances'!$G:$G,MATCH($A16,'[1]Définition Maintenances'!$K:$K,0))+BC16),BC16))</f>
        <v>433</v>
      </c>
      <c r="BE16" s="26">
        <f>IF(ISNUMBER(VLOOKUP($D16,'Visu totale'!$D:$DH,BE$1,0)),BD16-VLOOKUP($D16,'Visu totale'!$D:$DH,BE$1,0),IF(LEFT(VLOOKUP($D16,'Visu totale'!$D:$DH,BE$1,0),1)="V",IF(BD16&gt;=INDEX('[1]Définition Maintenances'!$G:$G,MATCH($A16,'[1]Définition Maintenances'!$K:$K,0)),BD16,INDEX('[1]Définition Maintenances'!$G:$G,MATCH($A16,'[1]Définition Maintenances'!$K:$K,0))+BD16),BD16))</f>
        <v>433</v>
      </c>
      <c r="BF16" s="26">
        <f>IF(ISNUMBER(VLOOKUP($D16,'Visu totale'!$D:$DH,BF$1,0)),BE16-VLOOKUP($D16,'Visu totale'!$D:$DH,BF$1,0),IF(LEFT(VLOOKUP($D16,'Visu totale'!$D:$DH,BF$1,0),1)="V",IF(BE16&gt;=INDEX('[1]Définition Maintenances'!$G:$G,MATCH($A16,'[1]Définition Maintenances'!$K:$K,0)),BE16,INDEX('[1]Définition Maintenances'!$G:$G,MATCH($A16,'[1]Définition Maintenances'!$K:$K,0))+BE16),BE16))</f>
        <v>433</v>
      </c>
      <c r="BG16" s="26">
        <f>IF(ISNUMBER(VLOOKUP($D16,'Visu totale'!$D:$DH,BG$1,0)),BF16-VLOOKUP($D16,'Visu totale'!$D:$DH,BG$1,0),IF(LEFT(VLOOKUP($D16,'Visu totale'!$D:$DH,BG$1,0),1)="V",IF(BF16&gt;=INDEX('[1]Définition Maintenances'!$G:$G,MATCH($A16,'[1]Définition Maintenances'!$K:$K,0)),BF16,INDEX('[1]Définition Maintenances'!$G:$G,MATCH($A16,'[1]Définition Maintenances'!$K:$K,0))+BF16),BF16))</f>
        <v>433</v>
      </c>
      <c r="BH16" s="26">
        <f>IF(ISNUMBER(VLOOKUP($D16,'Visu totale'!$D:$DH,BH$1,0)),BG16-VLOOKUP($D16,'Visu totale'!$D:$DH,BH$1,0),IF(LEFT(VLOOKUP($D16,'Visu totale'!$D:$DH,BH$1,0),1)="V",IF(BG16&gt;=INDEX('[1]Définition Maintenances'!$G:$G,MATCH($A16,'[1]Définition Maintenances'!$K:$K,0)),BG16,INDEX('[1]Définition Maintenances'!$G:$G,MATCH($A16,'[1]Définition Maintenances'!$K:$K,0))+BG16),BG16))</f>
        <v>433</v>
      </c>
      <c r="BI16" s="26">
        <f>IF(ISNUMBER(VLOOKUP($D16,'Visu totale'!$D:$DH,BI$1,0)),BH16-VLOOKUP($D16,'Visu totale'!$D:$DH,BI$1,0),IF(LEFT(VLOOKUP($D16,'Visu totale'!$D:$DH,BI$1,0),1)="V",IF(BH16&gt;=INDEX('[1]Définition Maintenances'!$G:$G,MATCH($A16,'[1]Définition Maintenances'!$K:$K,0)),BH16,INDEX('[1]Définition Maintenances'!$G:$G,MATCH($A16,'[1]Définition Maintenances'!$K:$K,0))+BH16),BH16))</f>
        <v>433</v>
      </c>
      <c r="BJ16" s="26">
        <f>IF(ISNUMBER(VLOOKUP($D16,'Visu totale'!$D:$DH,BJ$1,0)),BI16-VLOOKUP($D16,'Visu totale'!$D:$DH,BJ$1,0),IF(LEFT(VLOOKUP($D16,'Visu totale'!$D:$DH,BJ$1,0),1)="V",IF(BI16&gt;=INDEX('[1]Définition Maintenances'!$G:$G,MATCH($A16,'[1]Définition Maintenances'!$K:$K,0)),BI16,INDEX('[1]Définition Maintenances'!$G:$G,MATCH($A16,'[1]Définition Maintenances'!$K:$K,0))+BI16),BI16))</f>
        <v>433</v>
      </c>
      <c r="BK16" s="26">
        <f>IF(ISNUMBER(VLOOKUP($D16,'Visu totale'!$D:$DH,BK$1,0)),BJ16-VLOOKUP($D16,'Visu totale'!$D:$DH,BK$1,0),IF(LEFT(VLOOKUP($D16,'Visu totale'!$D:$DH,BK$1,0),1)="V",IF(BJ16&gt;=INDEX('[1]Définition Maintenances'!$G:$G,MATCH($A16,'[1]Définition Maintenances'!$K:$K,0)),BJ16,INDEX('[1]Définition Maintenances'!$G:$G,MATCH($A16,'[1]Définition Maintenances'!$K:$K,0))+BJ16),BJ16))</f>
        <v>433</v>
      </c>
      <c r="BL16" s="26">
        <f>IF(ISNUMBER(VLOOKUP($D16,'Visu totale'!$D:$DH,BL$1,0)),BK16-VLOOKUP($D16,'Visu totale'!$D:$DH,BL$1,0),IF(LEFT(VLOOKUP($D16,'Visu totale'!$D:$DH,BL$1,0),1)="V",IF(BK16&gt;=INDEX('[1]Définition Maintenances'!$G:$G,MATCH($A16,'[1]Définition Maintenances'!$K:$K,0)),BK16,INDEX('[1]Définition Maintenances'!$G:$G,MATCH($A16,'[1]Définition Maintenances'!$K:$K,0))+BK16),BK16))</f>
        <v>433</v>
      </c>
      <c r="BM16" s="27">
        <f>IF(ISNUMBER(VLOOKUP($D16,'Visu totale'!$D:$DH,BM$1,0)),BL16-VLOOKUP($D16,'Visu totale'!$D:$DH,BM$1,0),IF(LEFT(VLOOKUP($D16,'Visu totale'!$D:$DH,BM$1,0),1)="V",IF(BL16&gt;=INDEX('[1]Définition Maintenances'!$G:$G,MATCH($A16,'[1]Définition Maintenances'!$K:$K,0)),BL16,INDEX('[1]Définition Maintenances'!$G:$G,MATCH($A16,'[1]Définition Maintenances'!$K:$K,0))+BL16),BL16))</f>
        <v>433</v>
      </c>
      <c r="BN16" s="25">
        <f>IF(ISNUMBER(VLOOKUP($D16,'Visu totale'!$D:$DH,BN$1,0)),BM16-VLOOKUP($D16,'Visu totale'!$D:$DH,BN$1,0),IF(LEFT(VLOOKUP($D16,'Visu totale'!$D:$DH,BN$1,0),1)="V",IF(BM16&gt;=INDEX('[1]Définition Maintenances'!$G:$G,MATCH($A16,'[1]Définition Maintenances'!$K:$K,0)),BM16,INDEX('[1]Définition Maintenances'!$G:$G,MATCH($A16,'[1]Définition Maintenances'!$K:$K,0))+BM16),BM16))</f>
        <v>433</v>
      </c>
      <c r="BO16" s="26">
        <f>IF(ISNUMBER(VLOOKUP($D16,'Visu totale'!$D:$DH,BO$1,0)),BN16-VLOOKUP($D16,'Visu totale'!$D:$DH,BO$1,0),IF(LEFT(VLOOKUP($D16,'Visu totale'!$D:$DH,BO$1,0),1)="V",IF(BN16&gt;=INDEX('[1]Définition Maintenances'!$G:$G,MATCH($A16,'[1]Définition Maintenances'!$K:$K,0)),BN16,INDEX('[1]Définition Maintenances'!$G:$G,MATCH($A16,'[1]Définition Maintenances'!$K:$K,0))+BN16),BN16))</f>
        <v>433</v>
      </c>
      <c r="BP16" s="26">
        <f>IF(ISNUMBER(VLOOKUP($D16,'Visu totale'!$D:$DH,BP$1,0)),BO16-VLOOKUP($D16,'Visu totale'!$D:$DH,BP$1,0),IF(LEFT(VLOOKUP($D16,'Visu totale'!$D:$DH,BP$1,0),1)="V",IF(BO16&gt;=INDEX('[1]Définition Maintenances'!$G:$G,MATCH($A16,'[1]Définition Maintenances'!$K:$K,0)),BO16,INDEX('[1]Définition Maintenances'!$G:$G,MATCH($A16,'[1]Définition Maintenances'!$K:$K,0))+BO16),BO16))</f>
        <v>433</v>
      </c>
      <c r="BQ16" s="26">
        <f>IF(ISNUMBER(VLOOKUP($D16,'Visu totale'!$D:$DH,BQ$1,0)),BP16-VLOOKUP($D16,'Visu totale'!$D:$DH,BQ$1,0),IF(LEFT(VLOOKUP($D16,'Visu totale'!$D:$DH,BQ$1,0),1)="V",IF(BP16&gt;=INDEX('[1]Définition Maintenances'!$G:$G,MATCH($A16,'[1]Définition Maintenances'!$K:$K,0)),BP16,INDEX('[1]Définition Maintenances'!$G:$G,MATCH($A16,'[1]Définition Maintenances'!$K:$K,0))+BP16),BP16))</f>
        <v>433</v>
      </c>
      <c r="BR16" s="26">
        <f>IF(ISNUMBER(VLOOKUP($D16,'Visu totale'!$D:$DH,BR$1,0)),BQ16-VLOOKUP($D16,'Visu totale'!$D:$DH,BR$1,0),IF(LEFT(VLOOKUP($D16,'Visu totale'!$D:$DH,BR$1,0),1)="V",IF(BQ16&gt;=INDEX('[1]Définition Maintenances'!$G:$G,MATCH($A16,'[1]Définition Maintenances'!$K:$K,0)),BQ16,INDEX('[1]Définition Maintenances'!$G:$G,MATCH($A16,'[1]Définition Maintenances'!$K:$K,0))+BQ16),BQ16))</f>
        <v>433</v>
      </c>
      <c r="BS16" s="26">
        <f>IF(ISNUMBER(VLOOKUP($D16,'Visu totale'!$D:$DH,BS$1,0)),BR16-VLOOKUP($D16,'Visu totale'!$D:$DH,BS$1,0),IF(LEFT(VLOOKUP($D16,'Visu totale'!$D:$DH,BS$1,0),1)="V",IF(BR16&gt;=INDEX('[1]Définition Maintenances'!$G:$G,MATCH($A16,'[1]Définition Maintenances'!$K:$K,0)),BR16,INDEX('[1]Définition Maintenances'!$G:$G,MATCH($A16,'[1]Définition Maintenances'!$K:$K,0))+BR16),BR16))</f>
        <v>433</v>
      </c>
      <c r="BT16" s="26">
        <f>IF(ISNUMBER(VLOOKUP($D16,'Visu totale'!$D:$DH,BT$1,0)),BS16-VLOOKUP($D16,'Visu totale'!$D:$DH,BT$1,0),IF(LEFT(VLOOKUP($D16,'Visu totale'!$D:$DH,BT$1,0),1)="V",IF(BS16&gt;=INDEX('[1]Définition Maintenances'!$G:$G,MATCH($A16,'[1]Définition Maintenances'!$K:$K,0)),BS16,INDEX('[1]Définition Maintenances'!$G:$G,MATCH($A16,'[1]Définition Maintenances'!$K:$K,0))+BS16),BS16))</f>
        <v>433</v>
      </c>
      <c r="BU16" s="26">
        <f>IF(ISNUMBER(VLOOKUP($D16,'Visu totale'!$D:$DH,BU$1,0)),BT16-VLOOKUP($D16,'Visu totale'!$D:$DH,BU$1,0),IF(LEFT(VLOOKUP($D16,'Visu totale'!$D:$DH,BU$1,0),1)="V",IF(BT16&gt;=INDEX('[1]Définition Maintenances'!$G:$G,MATCH($A16,'[1]Définition Maintenances'!$K:$K,0)),BT16,INDEX('[1]Définition Maintenances'!$G:$G,MATCH($A16,'[1]Définition Maintenances'!$K:$K,0))+BT16),BT16))</f>
        <v>433</v>
      </c>
      <c r="BV16" s="26">
        <f>IF(ISNUMBER(VLOOKUP($D16,'Visu totale'!$D:$DH,BV$1,0)),BU16-VLOOKUP($D16,'Visu totale'!$D:$DH,BV$1,0),IF(LEFT(VLOOKUP($D16,'Visu totale'!$D:$DH,BV$1,0),1)="V",IF(BU16&gt;=INDEX('[1]Définition Maintenances'!$G:$G,MATCH($A16,'[1]Définition Maintenances'!$K:$K,0)),BU16,INDEX('[1]Définition Maintenances'!$G:$G,MATCH($A16,'[1]Définition Maintenances'!$K:$K,0))+BU16),BU16))</f>
        <v>433</v>
      </c>
      <c r="BW16" s="26">
        <f>IF(ISNUMBER(VLOOKUP($D16,'Visu totale'!$D:$DH,BW$1,0)),BV16-VLOOKUP($D16,'Visu totale'!$D:$DH,BW$1,0),IF(LEFT(VLOOKUP($D16,'Visu totale'!$D:$DH,BW$1,0),1)="V",IF(BV16&gt;=INDEX('[1]Définition Maintenances'!$G:$G,MATCH($A16,'[1]Définition Maintenances'!$K:$K,0)),BV16,INDEX('[1]Définition Maintenances'!$G:$G,MATCH($A16,'[1]Définition Maintenances'!$K:$K,0))+BV16),BV16))</f>
        <v>433</v>
      </c>
      <c r="BX16" s="26">
        <f>IF(ISNUMBER(VLOOKUP($D16,'Visu totale'!$D:$DH,BX$1,0)),BW16-VLOOKUP($D16,'Visu totale'!$D:$DH,BX$1,0),IF(LEFT(VLOOKUP($D16,'Visu totale'!$D:$DH,BX$1,0),1)="V",IF(BW16&gt;=INDEX('[1]Définition Maintenances'!$G:$G,MATCH($A16,'[1]Définition Maintenances'!$K:$K,0)),BW16,INDEX('[1]Définition Maintenances'!$G:$G,MATCH($A16,'[1]Définition Maintenances'!$K:$K,0))+BW16),BW16))</f>
        <v>433</v>
      </c>
      <c r="BY16" s="27">
        <f>IF(ISNUMBER(VLOOKUP($D16,'Visu totale'!$D:$DH,BY$1,0)),BX16-VLOOKUP($D16,'Visu totale'!$D:$DH,BY$1,0),IF(LEFT(VLOOKUP($D16,'Visu totale'!$D:$DH,BY$1,0),1)="V",IF(BX16&gt;=INDEX('[1]Définition Maintenances'!$G:$G,MATCH($A16,'[1]Définition Maintenances'!$K:$K,0)),BX16,INDEX('[1]Définition Maintenances'!$G:$G,MATCH($A16,'[1]Définition Maintenances'!$K:$K,0))+BX16),BX16))</f>
        <v>433</v>
      </c>
      <c r="BZ16" s="25">
        <f>IF(ISNUMBER(VLOOKUP($D16,'Visu totale'!$D:$DH,BZ$1,0)),BY16-VLOOKUP($D16,'Visu totale'!$D:$DH,BZ$1,0),IF(LEFT(VLOOKUP($D16,'Visu totale'!$D:$DH,BZ$1,0),1)="V",IF(BY16&gt;=INDEX('[1]Définition Maintenances'!$G:$G,MATCH($A16,'[1]Définition Maintenances'!$K:$K,0)),BY16,INDEX('[1]Définition Maintenances'!$G:$G,MATCH($A16,'[1]Définition Maintenances'!$K:$K,0))+BY16),BY16))</f>
        <v>433</v>
      </c>
      <c r="CA16" s="26">
        <f>IF(ISNUMBER(VLOOKUP($D16,'Visu totale'!$D:$DH,CA$1,0)),BZ16-VLOOKUP($D16,'Visu totale'!$D:$DH,CA$1,0),IF(LEFT(VLOOKUP($D16,'Visu totale'!$D:$DH,CA$1,0),1)="V",IF(BZ16&gt;=INDEX('[1]Définition Maintenances'!$G:$G,MATCH($A16,'[1]Définition Maintenances'!$K:$K,0)),BZ16,INDEX('[1]Définition Maintenances'!$G:$G,MATCH($A16,'[1]Définition Maintenances'!$K:$K,0))+BZ16),BZ16))</f>
        <v>433</v>
      </c>
      <c r="CB16" s="26">
        <f>IF(ISNUMBER(VLOOKUP($D16,'Visu totale'!$D:$DH,CB$1,0)),CA16-VLOOKUP($D16,'Visu totale'!$D:$DH,CB$1,0),IF(LEFT(VLOOKUP($D16,'Visu totale'!$D:$DH,CB$1,0),1)="V",IF(CA16&gt;=INDEX('[1]Définition Maintenances'!$G:$G,MATCH($A16,'[1]Définition Maintenances'!$K:$K,0)),CA16,INDEX('[1]Définition Maintenances'!$G:$G,MATCH($A16,'[1]Définition Maintenances'!$K:$K,0))+CA16),CA16))</f>
        <v>433</v>
      </c>
      <c r="CC16" s="26">
        <f>IF(ISNUMBER(VLOOKUP($D16,'Visu totale'!$D:$DH,CC$1,0)),CB16-VLOOKUP($D16,'Visu totale'!$D:$DH,CC$1,0),IF(LEFT(VLOOKUP($D16,'Visu totale'!$D:$DH,CC$1,0),1)="V",IF(CB16&gt;=INDEX('[1]Définition Maintenances'!$G:$G,MATCH($A16,'[1]Définition Maintenances'!$K:$K,0)),CB16,INDEX('[1]Définition Maintenances'!$G:$G,MATCH($A16,'[1]Définition Maintenances'!$K:$K,0))+CB16),CB16))</f>
        <v>433</v>
      </c>
      <c r="CD16" s="26">
        <f>IF(ISNUMBER(VLOOKUP($D16,'Visu totale'!$D:$DH,CD$1,0)),CC16-VLOOKUP($D16,'Visu totale'!$D:$DH,CD$1,0),IF(LEFT(VLOOKUP($D16,'Visu totale'!$D:$DH,CD$1,0),1)="V",IF(CC16&gt;=INDEX('[1]Définition Maintenances'!$G:$G,MATCH($A16,'[1]Définition Maintenances'!$K:$K,0)),CC16,INDEX('[1]Définition Maintenances'!$G:$G,MATCH($A16,'[1]Définition Maintenances'!$K:$K,0))+CC16),CC16))</f>
        <v>433</v>
      </c>
      <c r="CE16" s="26">
        <f>IF(ISNUMBER(VLOOKUP($D16,'Visu totale'!$D:$DH,CE$1,0)),CD16-VLOOKUP($D16,'Visu totale'!$D:$DH,CE$1,0),IF(LEFT(VLOOKUP($D16,'Visu totale'!$D:$DH,CE$1,0),1)="V",IF(CD16&gt;=INDEX('[1]Définition Maintenances'!$G:$G,MATCH($A16,'[1]Définition Maintenances'!$K:$K,0)),CD16,INDEX('[1]Définition Maintenances'!$G:$G,MATCH($A16,'[1]Définition Maintenances'!$K:$K,0))+CD16),CD16))</f>
        <v>433</v>
      </c>
      <c r="CF16" s="26">
        <f>IF(ISNUMBER(VLOOKUP($D16,'Visu totale'!$D:$DH,CF$1,0)),CE16-VLOOKUP($D16,'Visu totale'!$D:$DH,CF$1,0),IF(LEFT(VLOOKUP($D16,'Visu totale'!$D:$DH,CF$1,0),1)="V",IF(CE16&gt;=INDEX('[1]Définition Maintenances'!$G:$G,MATCH($A16,'[1]Définition Maintenances'!$K:$K,0)),CE16,INDEX('[1]Définition Maintenances'!$G:$G,MATCH($A16,'[1]Définition Maintenances'!$K:$K,0))+CE16),CE16))</f>
        <v>433</v>
      </c>
      <c r="CG16" s="26">
        <f>IF(ISNUMBER(VLOOKUP($D16,'Visu totale'!$D:$DH,CG$1,0)),CF16-VLOOKUP($D16,'Visu totale'!$D:$DH,CG$1,0),IF(LEFT(VLOOKUP($D16,'Visu totale'!$D:$DH,CG$1,0),1)="V",IF(CF16&gt;=INDEX('[1]Définition Maintenances'!$G:$G,MATCH($A16,'[1]Définition Maintenances'!$K:$K,0)),CF16,INDEX('[1]Définition Maintenances'!$G:$G,MATCH($A16,'[1]Définition Maintenances'!$K:$K,0))+CF16),CF16))</f>
        <v>433</v>
      </c>
      <c r="CH16" s="26">
        <f>IF(ISNUMBER(VLOOKUP($D16,'Visu totale'!$D:$DH,CH$1,0)),CG16-VLOOKUP($D16,'Visu totale'!$D:$DH,CH$1,0),IF(LEFT(VLOOKUP($D16,'Visu totale'!$D:$DH,CH$1,0),1)="V",IF(CG16&gt;=INDEX('[1]Définition Maintenances'!$G:$G,MATCH($A16,'[1]Définition Maintenances'!$K:$K,0)),CG16,INDEX('[1]Définition Maintenances'!$G:$G,MATCH($A16,'[1]Définition Maintenances'!$K:$K,0))+CG16),CG16))</f>
        <v>433</v>
      </c>
      <c r="CI16" s="26">
        <f>IF(ISNUMBER(VLOOKUP($D16,'Visu totale'!$D:$DH,CI$1,0)),CH16-VLOOKUP($D16,'Visu totale'!$D:$DH,CI$1,0),IF(LEFT(VLOOKUP($D16,'Visu totale'!$D:$DH,CI$1,0),1)="V",IF(CH16&gt;=INDEX('[1]Définition Maintenances'!$G:$G,MATCH($A16,'[1]Définition Maintenances'!$K:$K,0)),CH16,INDEX('[1]Définition Maintenances'!$G:$G,MATCH($A16,'[1]Définition Maintenances'!$K:$K,0))+CH16),CH16))</f>
        <v>433</v>
      </c>
      <c r="CJ16" s="26">
        <f>IF(ISNUMBER(VLOOKUP($D16,'Visu totale'!$D:$DH,CJ$1,0)),CI16-VLOOKUP($D16,'Visu totale'!$D:$DH,CJ$1,0),IF(LEFT(VLOOKUP($D16,'Visu totale'!$D:$DH,CJ$1,0),1)="V",IF(CI16&gt;=INDEX('[1]Définition Maintenances'!$G:$G,MATCH($A16,'[1]Définition Maintenances'!$K:$K,0)),CI16,INDEX('[1]Définition Maintenances'!$G:$G,MATCH($A16,'[1]Définition Maintenances'!$K:$K,0))+CI16),CI16))</f>
        <v>433</v>
      </c>
      <c r="CK16" s="27">
        <f>IF(ISNUMBER(VLOOKUP($D16,'Visu totale'!$D:$DH,CK$1,0)),CJ16-VLOOKUP($D16,'Visu totale'!$D:$DH,CK$1,0),IF(LEFT(VLOOKUP($D16,'Visu totale'!$D:$DH,CK$1,0),1)="V",IF(CJ16&gt;=INDEX('[1]Définition Maintenances'!$G:$G,MATCH($A16,'[1]Définition Maintenances'!$K:$K,0)),CJ16,INDEX('[1]Définition Maintenances'!$G:$G,MATCH($A16,'[1]Définition Maintenances'!$K:$K,0))+CJ16),CJ16))</f>
        <v>433</v>
      </c>
      <c r="CL16" s="25">
        <f>IF(ISNUMBER(VLOOKUP($D16,'Visu totale'!$D:$DH,CL$1,0)),CK16-VLOOKUP($D16,'Visu totale'!$D:$DH,CL$1,0),IF(LEFT(VLOOKUP($D16,'Visu totale'!$D:$DH,CL$1,0),1)="V",IF(CK16&gt;=INDEX('[1]Définition Maintenances'!$G:$G,MATCH($A16,'[1]Définition Maintenances'!$K:$K,0)),CK16,INDEX('[1]Définition Maintenances'!$G:$G,MATCH($A16,'[1]Définition Maintenances'!$K:$K,0))+CK16),CK16))</f>
        <v>433</v>
      </c>
      <c r="CM16" s="26">
        <f>IF(ISNUMBER(VLOOKUP($D16,'Visu totale'!$D:$DH,CM$1,0)),CL16-VLOOKUP($D16,'Visu totale'!$D:$DH,CM$1,0),IF(LEFT(VLOOKUP($D16,'Visu totale'!$D:$DH,CM$1,0),1)="V",IF(CL16&gt;=INDEX('[1]Définition Maintenances'!$G:$G,MATCH($A16,'[1]Définition Maintenances'!$K:$K,0)),CL16,INDEX('[1]Définition Maintenances'!$G:$G,MATCH($A16,'[1]Définition Maintenances'!$K:$K,0))+CL16),CL16))</f>
        <v>433</v>
      </c>
      <c r="CN16" s="26">
        <f>IF(ISNUMBER(VLOOKUP($D16,'Visu totale'!$D:$DH,CN$1,0)),CM16-VLOOKUP($D16,'Visu totale'!$D:$DH,CN$1,0),IF(LEFT(VLOOKUP($D16,'Visu totale'!$D:$DH,CN$1,0),1)="V",IF(CM16&gt;=INDEX('[1]Définition Maintenances'!$G:$G,MATCH($A16,'[1]Définition Maintenances'!$K:$K,0)),CM16,INDEX('[1]Définition Maintenances'!$G:$G,MATCH($A16,'[1]Définition Maintenances'!$K:$K,0))+CM16),CM16))</f>
        <v>433</v>
      </c>
      <c r="CO16" s="26">
        <f>IF(ISNUMBER(VLOOKUP($D16,'Visu totale'!$D:$DH,CO$1,0)),CN16-VLOOKUP($D16,'Visu totale'!$D:$DH,CO$1,0),IF(LEFT(VLOOKUP($D16,'Visu totale'!$D:$DH,CO$1,0),1)="V",IF(CN16&gt;=INDEX('[1]Définition Maintenances'!$G:$G,MATCH($A16,'[1]Définition Maintenances'!$K:$K,0)),CN16,INDEX('[1]Définition Maintenances'!$G:$G,MATCH($A16,'[1]Définition Maintenances'!$K:$K,0))+CN16),CN16))</f>
        <v>433</v>
      </c>
      <c r="CP16" s="26">
        <f>IF(ISNUMBER(VLOOKUP($D16,'Visu totale'!$D:$DH,CP$1,0)),CO16-VLOOKUP($D16,'Visu totale'!$D:$DH,CP$1,0),IF(LEFT(VLOOKUP($D16,'Visu totale'!$D:$DH,CP$1,0),1)="V",IF(CO16&gt;=INDEX('[1]Définition Maintenances'!$G:$G,MATCH($A16,'[1]Définition Maintenances'!$K:$K,0)),CO16,INDEX('[1]Définition Maintenances'!$G:$G,MATCH($A16,'[1]Définition Maintenances'!$K:$K,0))+CO16),CO16))</f>
        <v>433</v>
      </c>
      <c r="CQ16" s="26">
        <f>IF(ISNUMBER(VLOOKUP($D16,'Visu totale'!$D:$DH,CQ$1,0)),CP16-VLOOKUP($D16,'Visu totale'!$D:$DH,CQ$1,0),IF(LEFT(VLOOKUP($D16,'Visu totale'!$D:$DH,CQ$1,0),1)="V",IF(CP16&gt;=INDEX('[1]Définition Maintenances'!$G:$G,MATCH($A16,'[1]Définition Maintenances'!$K:$K,0)),CP16,INDEX('[1]Définition Maintenances'!$G:$G,MATCH($A16,'[1]Définition Maintenances'!$K:$K,0))+CP16),CP16))</f>
        <v>433</v>
      </c>
      <c r="CR16" s="26">
        <f>IF(ISNUMBER(VLOOKUP($D16,'Visu totale'!$D:$DH,CR$1,0)),CQ16-VLOOKUP($D16,'Visu totale'!$D:$DH,CR$1,0),IF(LEFT(VLOOKUP($D16,'Visu totale'!$D:$DH,CR$1,0),1)="V",IF(CQ16&gt;=INDEX('[1]Définition Maintenances'!$G:$G,MATCH($A16,'[1]Définition Maintenances'!$K:$K,0)),CQ16,INDEX('[1]Définition Maintenances'!$G:$G,MATCH($A16,'[1]Définition Maintenances'!$K:$K,0))+CQ16),CQ16))</f>
        <v>433</v>
      </c>
      <c r="CS16" s="26">
        <f>IF(ISNUMBER(VLOOKUP($D16,'Visu totale'!$D:$DH,CS$1,0)),CR16-VLOOKUP($D16,'Visu totale'!$D:$DH,CS$1,0),IF(LEFT(VLOOKUP($D16,'Visu totale'!$D:$DH,CS$1,0),1)="V",IF(CR16&gt;=INDEX('[1]Définition Maintenances'!$G:$G,MATCH($A16,'[1]Définition Maintenances'!$K:$K,0)),CR16,INDEX('[1]Définition Maintenances'!$G:$G,MATCH($A16,'[1]Définition Maintenances'!$K:$K,0))+CR16),CR16))</f>
        <v>433</v>
      </c>
      <c r="CT16" s="26">
        <f>IF(ISNUMBER(VLOOKUP($D16,'Visu totale'!$D:$DH,CT$1,0)),CS16-VLOOKUP($D16,'Visu totale'!$D:$DH,CT$1,0),IF(LEFT(VLOOKUP($D16,'Visu totale'!$D:$DH,CT$1,0),1)="V",IF(CS16&gt;=INDEX('[1]Définition Maintenances'!$G:$G,MATCH($A16,'[1]Définition Maintenances'!$K:$K,0)),CS16,INDEX('[1]Définition Maintenances'!$G:$G,MATCH($A16,'[1]Définition Maintenances'!$K:$K,0))+CS16),CS16))</f>
        <v>433</v>
      </c>
      <c r="CU16" s="26">
        <f>IF(ISNUMBER(VLOOKUP($D16,'Visu totale'!$D:$DH,CU$1,0)),CT16-VLOOKUP($D16,'Visu totale'!$D:$DH,CU$1,0),IF(LEFT(VLOOKUP($D16,'Visu totale'!$D:$DH,CU$1,0),1)="V",IF(CT16&gt;=INDEX('[1]Définition Maintenances'!$G:$G,MATCH($A16,'[1]Définition Maintenances'!$K:$K,0)),CT16,INDEX('[1]Définition Maintenances'!$G:$G,MATCH($A16,'[1]Définition Maintenances'!$K:$K,0))+CT16),CT16))</f>
        <v>433</v>
      </c>
      <c r="CV16" s="26">
        <f>IF(ISNUMBER(VLOOKUP($D16,'Visu totale'!$D:$DH,CV$1,0)),CU16-VLOOKUP($D16,'Visu totale'!$D:$DH,CV$1,0),IF(LEFT(VLOOKUP($D16,'Visu totale'!$D:$DH,CV$1,0),1)="V",IF(CU16&gt;=INDEX('[1]Définition Maintenances'!$G:$G,MATCH($A16,'[1]Définition Maintenances'!$K:$K,0)),CU16,INDEX('[1]Définition Maintenances'!$G:$G,MATCH($A16,'[1]Définition Maintenances'!$K:$K,0))+CU16),CU16))</f>
        <v>433</v>
      </c>
      <c r="CW16" s="27">
        <f>IF(ISNUMBER(VLOOKUP($D16,'Visu totale'!$D:$DH,CW$1,0)),CV16-VLOOKUP($D16,'Visu totale'!$D:$DH,CW$1,0),IF(LEFT(VLOOKUP($D16,'Visu totale'!$D:$DH,CW$1,0),1)="V",IF(CV16&gt;=INDEX('[1]Définition Maintenances'!$G:$G,MATCH($A16,'[1]Définition Maintenances'!$K:$K,0)),CV16,INDEX('[1]Définition Maintenances'!$G:$G,MATCH($A16,'[1]Définition Maintenances'!$K:$K,0))+CV16),CV16))</f>
        <v>433</v>
      </c>
      <c r="CX16" s="25">
        <f>IF(ISNUMBER(VLOOKUP($D16,'Visu totale'!$D:$DH,CX$1,0)),CW16-VLOOKUP($D16,'Visu totale'!$D:$DH,CX$1,0),IF(LEFT(VLOOKUP($D16,'Visu totale'!$D:$DH,CX$1,0),1)="V",IF(CW16&gt;=INDEX('[1]Définition Maintenances'!$G:$G,MATCH($A16,'[1]Définition Maintenances'!$K:$K,0)),CW16,INDEX('[1]Définition Maintenances'!$G:$G,MATCH($A16,'[1]Définition Maintenances'!$K:$K,0))+CW16),CW16))</f>
        <v>433</v>
      </c>
      <c r="CY16" s="26">
        <f>IF(ISNUMBER(VLOOKUP($D16,'Visu totale'!$D:$DH,CY$1,0)),CX16-VLOOKUP($D16,'Visu totale'!$D:$DH,CY$1,0),IF(LEFT(VLOOKUP($D16,'Visu totale'!$D:$DH,CY$1,0),1)="V",IF(CX16&gt;=INDEX('[1]Définition Maintenances'!$G:$G,MATCH($A16,'[1]Définition Maintenances'!$K:$K,0)),CX16,INDEX('[1]Définition Maintenances'!$G:$G,MATCH($A16,'[1]Définition Maintenances'!$K:$K,0))+CX16),CX16))</f>
        <v>433</v>
      </c>
      <c r="CZ16" s="26">
        <f>IF(ISNUMBER(VLOOKUP($D16,'Visu totale'!$D:$DH,CZ$1,0)),CY16-VLOOKUP($D16,'Visu totale'!$D:$DH,CZ$1,0),IF(LEFT(VLOOKUP($D16,'Visu totale'!$D:$DH,CZ$1,0),1)="V",IF(CY16&gt;=INDEX('[1]Définition Maintenances'!$G:$G,MATCH($A16,'[1]Définition Maintenances'!$K:$K,0)),CY16,INDEX('[1]Définition Maintenances'!$G:$G,MATCH($A16,'[1]Définition Maintenances'!$K:$K,0))+CY16),CY16))</f>
        <v>433</v>
      </c>
      <c r="DA16" s="26">
        <f>IF(ISNUMBER(VLOOKUP($D16,'Visu totale'!$D:$DH,DA$1,0)),CZ16-VLOOKUP($D16,'Visu totale'!$D:$DH,DA$1,0),IF(LEFT(VLOOKUP($D16,'Visu totale'!$D:$DH,DA$1,0),1)="V",IF(CZ16&gt;=INDEX('[1]Définition Maintenances'!$G:$G,MATCH($A16,'[1]Définition Maintenances'!$K:$K,0)),CZ16,INDEX('[1]Définition Maintenances'!$G:$G,MATCH($A16,'[1]Définition Maintenances'!$K:$K,0))+CZ16),CZ16))</f>
        <v>433</v>
      </c>
      <c r="DB16" s="26">
        <f>IF(ISNUMBER(VLOOKUP($D16,'Visu totale'!$D:$DH,DB$1,0)),DA16-VLOOKUP($D16,'Visu totale'!$D:$DH,DB$1,0),IF(LEFT(VLOOKUP($D16,'Visu totale'!$D:$DH,DB$1,0),1)="V",IF(DA16&gt;=INDEX('[1]Définition Maintenances'!$G:$G,MATCH($A16,'[1]Définition Maintenances'!$K:$K,0)),DA16,INDEX('[1]Définition Maintenances'!$G:$G,MATCH($A16,'[1]Définition Maintenances'!$K:$K,0))+DA16),DA16))</f>
        <v>433</v>
      </c>
      <c r="DC16" s="26">
        <f>IF(ISNUMBER(VLOOKUP($D16,'Visu totale'!$D:$DH,DC$1,0)),DB16-VLOOKUP($D16,'Visu totale'!$D:$DH,DC$1,0),IF(LEFT(VLOOKUP($D16,'Visu totale'!$D:$DH,DC$1,0),1)="V",IF(DB16&gt;=INDEX('[1]Définition Maintenances'!$G:$G,MATCH($A16,'[1]Définition Maintenances'!$K:$K,0)),DB16,INDEX('[1]Définition Maintenances'!$G:$G,MATCH($A16,'[1]Définition Maintenances'!$K:$K,0))+DB16),DB16))</f>
        <v>433</v>
      </c>
      <c r="DD16" s="26">
        <f>IF(ISNUMBER(VLOOKUP($D16,'Visu totale'!$D:$DH,DD$1,0)),DC16-VLOOKUP($D16,'Visu totale'!$D:$DH,DD$1,0),IF(LEFT(VLOOKUP($D16,'Visu totale'!$D:$DH,DD$1,0),1)="V",IF(DC16&gt;=INDEX('[1]Définition Maintenances'!$G:$G,MATCH($A16,'[1]Définition Maintenances'!$K:$K,0)),DC16,INDEX('[1]Définition Maintenances'!$G:$G,MATCH($A16,'[1]Définition Maintenances'!$K:$K,0))+DC16),DC16))</f>
        <v>433</v>
      </c>
      <c r="DE16" s="26">
        <f>IF(ISNUMBER(VLOOKUP($D16,'Visu totale'!$D:$DH,DE$1,0)),DD16-VLOOKUP($D16,'Visu totale'!$D:$DH,DE$1,0),IF(LEFT(VLOOKUP($D16,'Visu totale'!$D:$DH,DE$1,0),1)="V",IF(DD16&gt;=INDEX('[1]Définition Maintenances'!$G:$G,MATCH($A16,'[1]Définition Maintenances'!$K:$K,0)),DD16,INDEX('[1]Définition Maintenances'!$G:$G,MATCH($A16,'[1]Définition Maintenances'!$K:$K,0))+DD16),DD16))</f>
        <v>433</v>
      </c>
      <c r="DF16" s="26">
        <f>IF(ISNUMBER(VLOOKUP($D16,'Visu totale'!$D:$DH,DF$1,0)),DE16-VLOOKUP($D16,'Visu totale'!$D:$DH,DF$1,0),IF(LEFT(VLOOKUP($D16,'Visu totale'!$D:$DH,DF$1,0),1)="V",IF(DE16&gt;=INDEX('[1]Définition Maintenances'!$G:$G,MATCH($A16,'[1]Définition Maintenances'!$K:$K,0)),DE16,INDEX('[1]Définition Maintenances'!$G:$G,MATCH($A16,'[1]Définition Maintenances'!$K:$K,0))+DE16),DE16))</f>
        <v>433</v>
      </c>
      <c r="DG16" s="26">
        <f>IF(ISNUMBER(VLOOKUP($D16,'Visu totale'!$D:$DH,DG$1,0)),DF16-VLOOKUP($D16,'Visu totale'!$D:$DH,DG$1,0),IF(LEFT(VLOOKUP($D16,'Visu totale'!$D:$DH,DG$1,0),1)="V",IF(DF16&gt;=INDEX('[1]Définition Maintenances'!$G:$G,MATCH($A16,'[1]Définition Maintenances'!$K:$K,0)),DF16,INDEX('[1]Définition Maintenances'!$G:$G,MATCH($A16,'[1]Définition Maintenances'!$K:$K,0))+DF16),DF16))</f>
        <v>433</v>
      </c>
      <c r="DH16" s="26">
        <f>IF(ISNUMBER(VLOOKUP($D16,'Visu totale'!$D:$DH,DH$1,0)),DG16-VLOOKUP($D16,'Visu totale'!$D:$DH,DH$1,0),IF(LEFT(VLOOKUP($D16,'Visu totale'!$D:$DH,DH$1,0),1)="V",IF(DG16&gt;=INDEX('[1]Définition Maintenances'!$G:$G,MATCH($A16,'[1]Définition Maintenances'!$K:$K,0)),DG16,INDEX('[1]Définition Maintenances'!$G:$G,MATCH($A16,'[1]Définition Maintenances'!$K:$K,0))+DG16),DG16))</f>
        <v>433</v>
      </c>
      <c r="DI16" s="27">
        <f>IF(ISNUMBER(VLOOKUP($D16,'Visu totale'!$D:$DH,DI$1,0)),DH16-VLOOKUP($D16,'Visu totale'!$D:$DH,DI$1,0),IF(LEFT(VLOOKUP($D16,'Visu totale'!$D:$DH,DI$1,0),1)="V",IF(DH16&gt;=INDEX('[1]Définition Maintenances'!$G:$G,MATCH($A16,'[1]Définition Maintenances'!$K:$K,0)),DH16,INDEX('[1]Définition Maintenances'!$G:$G,MATCH($A16,'[1]Définition Maintenances'!$K:$K,0))+DH16),DH16))</f>
        <v>433</v>
      </c>
    </row>
    <row r="17" spans="1:113" x14ac:dyDescent="0.25">
      <c r="A17" s="13" t="str">
        <f t="shared" si="0"/>
        <v>V5D</v>
      </c>
      <c r="B17" s="13" t="str">
        <f>VLOOKUP(D17,'[1]Avions (Potentiels)'!$B$2:$H$128,7,FALSE)</f>
        <v>V5</v>
      </c>
      <c r="C17" s="13"/>
      <c r="D17" s="16" t="s">
        <v>20</v>
      </c>
      <c r="E17" s="13">
        <f>IFERROR(VALUE(SUBSTITUTE(VLOOKUP(D17,'[1]Avions (Potentiels)'!$B:$E,4,0),".",",")),VALUE(VLOOKUP(D17,'[1]Avions (Potentiels)'!$B:$E,4,0)))</f>
        <v>213</v>
      </c>
      <c r="F17" s="25">
        <f>IF(ISNUMBER(VLOOKUP($D17,'Visu totale'!$D:$DH,F$1,0)),E17-VLOOKUP($D17,'Visu totale'!$D:$DH,F$1,0),IF(LEFT(VLOOKUP($D17,'Visu totale'!$D:$DH,F$1,0),1)="V",IF(E17&gt;=INDEX('[1]Définition Maintenances'!$G:$G,MATCH($A17,'[1]Définition Maintenances'!$K:$K,0)),E17,INDEX('[1]Définition Maintenances'!$G:$G,MATCH($A17,'[1]Définition Maintenances'!$K:$K,0))+E17),E17))</f>
        <v>213</v>
      </c>
      <c r="G17" s="26">
        <f>IF(ISNUMBER(VLOOKUP($D17,'Visu totale'!$D:$DH,G$1,0)),F17-VLOOKUP($D17,'Visu totale'!$D:$DH,G$1,0),IF(LEFT(VLOOKUP($D17,'Visu totale'!$D:$DH,G$1,0),1)="V",IF(F17&gt;=INDEX('[1]Définition Maintenances'!$G:$G,MATCH($A17,'[1]Définition Maintenances'!$K:$K,0)),F17,INDEX('[1]Définition Maintenances'!$G:$G,MATCH($A17,'[1]Définition Maintenances'!$K:$K,0))+F17),F17))</f>
        <v>213</v>
      </c>
      <c r="H17" s="26">
        <f>IF(ISNUMBER(VLOOKUP($D17,'Visu totale'!$D:$DH,H$1,0)),G17-VLOOKUP($D17,'Visu totale'!$D:$DH,H$1,0),IF(LEFT(VLOOKUP($D17,'Visu totale'!$D:$DH,H$1,0),1)="V",IF(G17&gt;=INDEX('[1]Définition Maintenances'!$G:$G,MATCH($A17,'[1]Définition Maintenances'!$K:$K,0)),G17,INDEX('[1]Définition Maintenances'!$G:$G,MATCH($A17,'[1]Définition Maintenances'!$K:$K,0))+G17),G17))</f>
        <v>213</v>
      </c>
      <c r="I17" s="26">
        <f>IF(ISNUMBER(VLOOKUP($D17,'Visu totale'!$D:$DH,I$1,0)),H17-VLOOKUP($D17,'Visu totale'!$D:$DH,I$1,0),IF(LEFT(VLOOKUP($D17,'Visu totale'!$D:$DH,I$1,0),1)="V",IF(H17&gt;=INDEX('[1]Définition Maintenances'!$G:$G,MATCH($A17,'[1]Définition Maintenances'!$K:$K,0)),H17,INDEX('[1]Définition Maintenances'!$G:$G,MATCH($A17,'[1]Définition Maintenances'!$K:$K,0))+H17),H17))</f>
        <v>213</v>
      </c>
      <c r="J17" s="26">
        <f>IF(ISNUMBER(VLOOKUP($D17,'Visu totale'!$D:$DH,J$1,0)),I17-VLOOKUP($D17,'Visu totale'!$D:$DH,J$1,0),IF(LEFT(VLOOKUP($D17,'Visu totale'!$D:$DH,J$1,0),1)="V",IF(I17&gt;=INDEX('[1]Définition Maintenances'!$G:$G,MATCH($A17,'[1]Définition Maintenances'!$K:$K,0)),I17,INDEX('[1]Définition Maintenances'!$G:$G,MATCH($A17,'[1]Définition Maintenances'!$K:$K,0))+I17),I17))</f>
        <v>213</v>
      </c>
      <c r="K17" s="26">
        <f>IF(ISNUMBER(VLOOKUP($D17,'Visu totale'!$D:$DH,K$1,0)),J17-VLOOKUP($D17,'Visu totale'!$D:$DH,K$1,0),IF(LEFT(VLOOKUP($D17,'Visu totale'!$D:$DH,K$1,0),1)="V",IF(J17&gt;=INDEX('[1]Définition Maintenances'!$G:$G,MATCH($A17,'[1]Définition Maintenances'!$K:$K,0)),J17,INDEX('[1]Définition Maintenances'!$G:$G,MATCH($A17,'[1]Définition Maintenances'!$K:$K,0))+J17),J17))</f>
        <v>213</v>
      </c>
      <c r="L17" s="26">
        <f>IF(ISNUMBER(VLOOKUP($D17,'Visu totale'!$D:$DH,L$1,0)),K17-VLOOKUP($D17,'Visu totale'!$D:$DH,L$1,0),IF(LEFT(VLOOKUP($D17,'Visu totale'!$D:$DH,L$1,0),1)="V",IF(K17&gt;=INDEX('[1]Définition Maintenances'!$G:$G,MATCH($A17,'[1]Définition Maintenances'!$K:$K,0)),K17,INDEX('[1]Définition Maintenances'!$G:$G,MATCH($A17,'[1]Définition Maintenances'!$K:$K,0))+K17),K17))</f>
        <v>213</v>
      </c>
      <c r="M17" s="26">
        <f>IF(ISNUMBER(VLOOKUP($D17,'Visu totale'!$D:$DH,M$1,0)),L17-VLOOKUP($D17,'Visu totale'!$D:$DH,M$1,0),IF(LEFT(VLOOKUP($D17,'Visu totale'!$D:$DH,M$1,0),1)="V",IF(L17&gt;=INDEX('[1]Définition Maintenances'!$G:$G,MATCH($A17,'[1]Définition Maintenances'!$K:$K,0)),L17,INDEX('[1]Définition Maintenances'!$G:$G,MATCH($A17,'[1]Définition Maintenances'!$K:$K,0))+L17),L17))</f>
        <v>213</v>
      </c>
      <c r="N17" s="26">
        <f>IF(ISNUMBER(VLOOKUP($D17,'Visu totale'!$D:$DH,N$1,0)),M17-VLOOKUP($D17,'Visu totale'!$D:$DH,N$1,0),IF(LEFT(VLOOKUP($D17,'Visu totale'!$D:$DH,N$1,0),1)="V",IF(M17&gt;=INDEX('[1]Définition Maintenances'!$G:$G,MATCH($A17,'[1]Définition Maintenances'!$K:$K,0)),M17,INDEX('[1]Définition Maintenances'!$G:$G,MATCH($A17,'[1]Définition Maintenances'!$K:$K,0))+M17),M17))</f>
        <v>213</v>
      </c>
      <c r="O17" s="26">
        <f>IF(ISNUMBER(VLOOKUP($D17,'Visu totale'!$D:$DH,O$1,0)),N17-VLOOKUP($D17,'Visu totale'!$D:$DH,O$1,0),IF(LEFT(VLOOKUP($D17,'Visu totale'!$D:$DH,O$1,0),1)="V",IF(N17&gt;=INDEX('[1]Définition Maintenances'!$G:$G,MATCH($A17,'[1]Définition Maintenances'!$K:$K,0)),N17,INDEX('[1]Définition Maintenances'!$G:$G,MATCH($A17,'[1]Définition Maintenances'!$K:$K,0))+N17),N17))</f>
        <v>213</v>
      </c>
      <c r="P17" s="26">
        <f>IF(ISNUMBER(VLOOKUP($D17,'Visu totale'!$D:$DH,P$1,0)),O17-VLOOKUP($D17,'Visu totale'!$D:$DH,P$1,0),IF(LEFT(VLOOKUP($D17,'Visu totale'!$D:$DH,P$1,0),1)="V",IF(O17&gt;=INDEX('[1]Définition Maintenances'!$G:$G,MATCH($A17,'[1]Définition Maintenances'!$K:$K,0)),O17,INDEX('[1]Définition Maintenances'!$G:$G,MATCH($A17,'[1]Définition Maintenances'!$K:$K,0))+O17),O17))</f>
        <v>213</v>
      </c>
      <c r="Q17" s="27">
        <f>IF(ISNUMBER(VLOOKUP($D17,'Visu totale'!$D:$DH,Q$1,0)),P17-VLOOKUP($D17,'Visu totale'!$D:$DH,Q$1,0),IF(LEFT(VLOOKUP($D17,'Visu totale'!$D:$DH,Q$1,0),1)="V",IF(P17&gt;=INDEX('[1]Définition Maintenances'!$G:$G,MATCH($A17,'[1]Définition Maintenances'!$K:$K,0)),P17,INDEX('[1]Définition Maintenances'!$G:$G,MATCH($A17,'[1]Définition Maintenances'!$K:$K,0))+P17),P17))</f>
        <v>213</v>
      </c>
      <c r="R17" s="25">
        <f>IF(ISNUMBER(VLOOKUP($D17,'Visu totale'!$D:$DH,R$1,0)),Q17-VLOOKUP($D17,'Visu totale'!$D:$DH,R$1,0),IF(LEFT(VLOOKUP($D17,'Visu totale'!$D:$DH,R$1,0),1)="V",IF(Q17&gt;=INDEX('[1]Définition Maintenances'!$G:$G,MATCH($A17,'[1]Définition Maintenances'!$K:$K,0)),Q17,INDEX('[1]Définition Maintenances'!$G:$G,MATCH($A17,'[1]Définition Maintenances'!$K:$K,0))+Q17),Q17))</f>
        <v>213</v>
      </c>
      <c r="S17" s="26">
        <f>IF(ISNUMBER(VLOOKUP($D17,'Visu totale'!$D:$DH,S$1,0)),R17-VLOOKUP($D17,'Visu totale'!$D:$DH,S$1,0),IF(LEFT(VLOOKUP($D17,'Visu totale'!$D:$DH,S$1,0),1)="V",IF(R17&gt;=INDEX('[1]Définition Maintenances'!$G:$G,MATCH($A17,'[1]Définition Maintenances'!$K:$K,0)),R17,INDEX('[1]Définition Maintenances'!$G:$G,MATCH($A17,'[1]Définition Maintenances'!$K:$K,0))+R17),R17))</f>
        <v>213</v>
      </c>
      <c r="T17" s="26">
        <f>IF(ISNUMBER(VLOOKUP($D17,'Visu totale'!$D:$DH,T$1,0)),S17-VLOOKUP($D17,'Visu totale'!$D:$DH,T$1,0),IF(LEFT(VLOOKUP($D17,'Visu totale'!$D:$DH,T$1,0),1)="V",IF(S17&gt;=INDEX('[1]Définition Maintenances'!$G:$G,MATCH($A17,'[1]Définition Maintenances'!$K:$K,0)),S17,INDEX('[1]Définition Maintenances'!$G:$G,MATCH($A17,'[1]Définition Maintenances'!$K:$K,0))+S17),S17))</f>
        <v>213</v>
      </c>
      <c r="U17" s="26">
        <f>IF(ISNUMBER(VLOOKUP($D17,'Visu totale'!$D:$DH,U$1,0)),T17-VLOOKUP($D17,'Visu totale'!$D:$DH,U$1,0),IF(LEFT(VLOOKUP($D17,'Visu totale'!$D:$DH,U$1,0),1)="V",IF(T17&gt;=INDEX('[1]Définition Maintenances'!$G:$G,MATCH($A17,'[1]Définition Maintenances'!$K:$K,0)),T17,INDEX('[1]Définition Maintenances'!$G:$G,MATCH($A17,'[1]Définition Maintenances'!$K:$K,0))+T17),T17))</f>
        <v>213</v>
      </c>
      <c r="V17" s="26">
        <f>IF(ISNUMBER(VLOOKUP($D17,'Visu totale'!$D:$DH,V$1,0)),U17-VLOOKUP($D17,'Visu totale'!$D:$DH,V$1,0),IF(LEFT(VLOOKUP($D17,'Visu totale'!$D:$DH,V$1,0),1)="V",IF(U17&gt;=INDEX('[1]Définition Maintenances'!$G:$G,MATCH($A17,'[1]Définition Maintenances'!$K:$K,0)),U17,INDEX('[1]Définition Maintenances'!$G:$G,MATCH($A17,'[1]Définition Maintenances'!$K:$K,0))+U17),U17))</f>
        <v>213</v>
      </c>
      <c r="W17" s="26">
        <f>IF(ISNUMBER(VLOOKUP($D17,'Visu totale'!$D:$DH,W$1,0)),V17-VLOOKUP($D17,'Visu totale'!$D:$DH,W$1,0),IF(LEFT(VLOOKUP($D17,'Visu totale'!$D:$DH,W$1,0),1)="V",IF(V17&gt;=INDEX('[1]Définition Maintenances'!$G:$G,MATCH($A17,'[1]Définition Maintenances'!$K:$K,0)),V17,INDEX('[1]Définition Maintenances'!$G:$G,MATCH($A17,'[1]Définition Maintenances'!$K:$K,0))+V17),V17))</f>
        <v>213</v>
      </c>
      <c r="X17" s="26">
        <f>IF(ISNUMBER(VLOOKUP($D17,'Visu totale'!$D:$DH,X$1,0)),W17-VLOOKUP($D17,'Visu totale'!$D:$DH,X$1,0),IF(LEFT(VLOOKUP($D17,'Visu totale'!$D:$DH,X$1,0),1)="V",IF(W17&gt;=INDEX('[1]Définition Maintenances'!$G:$G,MATCH($A17,'[1]Définition Maintenances'!$K:$K,0)),W17,INDEX('[1]Définition Maintenances'!$G:$G,MATCH($A17,'[1]Définition Maintenances'!$K:$K,0))+W17),W17))</f>
        <v>213</v>
      </c>
      <c r="Y17" s="26">
        <f>IF(ISNUMBER(VLOOKUP($D17,'Visu totale'!$D:$DH,Y$1,0)),X17-VLOOKUP($D17,'Visu totale'!$D:$DH,Y$1,0),IF(LEFT(VLOOKUP($D17,'Visu totale'!$D:$DH,Y$1,0),1)="V",IF(X17&gt;=INDEX('[1]Définition Maintenances'!$G:$G,MATCH($A17,'[1]Définition Maintenances'!$K:$K,0)),X17,INDEX('[1]Définition Maintenances'!$G:$G,MATCH($A17,'[1]Définition Maintenances'!$K:$K,0))+X17),X17))</f>
        <v>213</v>
      </c>
      <c r="Z17" s="26">
        <f>IF(ISNUMBER(VLOOKUP($D17,'Visu totale'!$D:$DH,Z$1,0)),Y17-VLOOKUP($D17,'Visu totale'!$D:$DH,Z$1,0),IF(LEFT(VLOOKUP($D17,'Visu totale'!$D:$DH,Z$1,0),1)="V",IF(Y17&gt;=INDEX('[1]Définition Maintenances'!$G:$G,MATCH($A17,'[1]Définition Maintenances'!$K:$K,0)),Y17,INDEX('[1]Définition Maintenances'!$G:$G,MATCH($A17,'[1]Définition Maintenances'!$K:$K,0))+Y17),Y17))</f>
        <v>213</v>
      </c>
      <c r="AA17" s="26">
        <f>IF(ISNUMBER(VLOOKUP($D17,'Visu totale'!$D:$DH,AA$1,0)),Z17-VLOOKUP($D17,'Visu totale'!$D:$DH,AA$1,0),IF(LEFT(VLOOKUP($D17,'Visu totale'!$D:$DH,AA$1,0),1)="V",IF(Z17&gt;=INDEX('[1]Définition Maintenances'!$G:$G,MATCH($A17,'[1]Définition Maintenances'!$K:$K,0)),Z17,INDEX('[1]Définition Maintenances'!$G:$G,MATCH($A17,'[1]Définition Maintenances'!$K:$K,0))+Z17),Z17))</f>
        <v>213</v>
      </c>
      <c r="AB17" s="26">
        <f>IF(ISNUMBER(VLOOKUP($D17,'Visu totale'!$D:$DH,AB$1,0)),AA17-VLOOKUP($D17,'Visu totale'!$D:$DH,AB$1,0),IF(LEFT(VLOOKUP($D17,'Visu totale'!$D:$DH,AB$1,0),1)="V",IF(AA17&gt;=INDEX('[1]Définition Maintenances'!$G:$G,MATCH($A17,'[1]Définition Maintenances'!$K:$K,0)),AA17,INDEX('[1]Définition Maintenances'!$G:$G,MATCH($A17,'[1]Définition Maintenances'!$K:$K,0))+AA17),AA17))</f>
        <v>213</v>
      </c>
      <c r="AC17" s="27">
        <f>IF(ISNUMBER(VLOOKUP($D17,'Visu totale'!$D:$DH,AC$1,0)),AB17-VLOOKUP($D17,'Visu totale'!$D:$DH,AC$1,0),IF(LEFT(VLOOKUP($D17,'Visu totale'!$D:$DH,AC$1,0),1)="V",IF(AB17&gt;=INDEX('[1]Définition Maintenances'!$G:$G,MATCH($A17,'[1]Définition Maintenances'!$K:$K,0)),AB17,INDEX('[1]Définition Maintenances'!$G:$G,MATCH($A17,'[1]Définition Maintenances'!$K:$K,0))+AB17),AB17))</f>
        <v>213</v>
      </c>
      <c r="AD17" s="25">
        <f>IF(ISNUMBER(VLOOKUP($D17,'Visu totale'!$D:$DH,AD$1,0)),AC17-VLOOKUP($D17,'Visu totale'!$D:$DH,AD$1,0),IF(LEFT(VLOOKUP($D17,'Visu totale'!$D:$DH,AD$1,0),1)="V",IF(AC17&gt;=INDEX('[1]Définition Maintenances'!$G:$G,MATCH($A17,'[1]Définition Maintenances'!$K:$K,0)),AC17,INDEX('[1]Définition Maintenances'!$G:$G,MATCH($A17,'[1]Définition Maintenances'!$K:$K,0))+AC17),AC17))</f>
        <v>213</v>
      </c>
      <c r="AE17" s="26">
        <f>IF(ISNUMBER(VLOOKUP($D17,'Visu totale'!$D:$DH,AE$1,0)),AD17-VLOOKUP($D17,'Visu totale'!$D:$DH,AE$1,0),IF(LEFT(VLOOKUP($D17,'Visu totale'!$D:$DH,AE$1,0),1)="V",IF(AD17&gt;=INDEX('[1]Définition Maintenances'!$G:$G,MATCH($A17,'[1]Définition Maintenances'!$K:$K,0)),AD17,INDEX('[1]Définition Maintenances'!$G:$G,MATCH($A17,'[1]Définition Maintenances'!$K:$K,0))+AD17),AD17))</f>
        <v>213</v>
      </c>
      <c r="AF17" s="26">
        <f>IF(ISNUMBER(VLOOKUP($D17,'Visu totale'!$D:$DH,AF$1,0)),AE17-VLOOKUP($D17,'Visu totale'!$D:$DH,AF$1,0),IF(LEFT(VLOOKUP($D17,'Visu totale'!$D:$DH,AF$1,0),1)="V",IF(AE17&gt;=INDEX('[1]Définition Maintenances'!$G:$G,MATCH($A17,'[1]Définition Maintenances'!$K:$K,0)),AE17,INDEX('[1]Définition Maintenances'!$G:$G,MATCH($A17,'[1]Définition Maintenances'!$K:$K,0))+AE17),AE17))</f>
        <v>213</v>
      </c>
      <c r="AG17" s="26">
        <f>IF(ISNUMBER(VLOOKUP($D17,'Visu totale'!$D:$DH,AG$1,0)),AF17-VLOOKUP($D17,'Visu totale'!$D:$DH,AG$1,0),IF(LEFT(VLOOKUP($D17,'Visu totale'!$D:$DH,AG$1,0),1)="V",IF(AF17&gt;=INDEX('[1]Définition Maintenances'!$G:$G,MATCH($A17,'[1]Définition Maintenances'!$K:$K,0)),AF17,INDEX('[1]Définition Maintenances'!$G:$G,MATCH($A17,'[1]Définition Maintenances'!$K:$K,0))+AF17),AF17))</f>
        <v>213</v>
      </c>
      <c r="AH17" s="26">
        <f>IF(ISNUMBER(VLOOKUP($D17,'Visu totale'!$D:$DH,AH$1,0)),AG17-VLOOKUP($D17,'Visu totale'!$D:$DH,AH$1,0),IF(LEFT(VLOOKUP($D17,'Visu totale'!$D:$DH,AH$1,0),1)="V",IF(AG17&gt;=INDEX('[1]Définition Maintenances'!$G:$G,MATCH($A17,'[1]Définition Maintenances'!$K:$K,0)),AG17,INDEX('[1]Définition Maintenances'!$G:$G,MATCH($A17,'[1]Définition Maintenances'!$K:$K,0))+AG17),AG17))</f>
        <v>213</v>
      </c>
      <c r="AI17" s="26">
        <f>IF(ISNUMBER(VLOOKUP($D17,'Visu totale'!$D:$DH,AI$1,0)),AH17-VLOOKUP($D17,'Visu totale'!$D:$DH,AI$1,0),IF(LEFT(VLOOKUP($D17,'Visu totale'!$D:$DH,AI$1,0),1)="V",IF(AH17&gt;=INDEX('[1]Définition Maintenances'!$G:$G,MATCH($A17,'[1]Définition Maintenances'!$K:$K,0)),AH17,INDEX('[1]Définition Maintenances'!$G:$G,MATCH($A17,'[1]Définition Maintenances'!$K:$K,0))+AH17),AH17))</f>
        <v>213</v>
      </c>
      <c r="AJ17" s="26">
        <f>IF(ISNUMBER(VLOOKUP($D17,'Visu totale'!$D:$DH,AJ$1,0)),AI17-VLOOKUP($D17,'Visu totale'!$D:$DH,AJ$1,0),IF(LEFT(VLOOKUP($D17,'Visu totale'!$D:$DH,AJ$1,0),1)="V",IF(AI17&gt;=INDEX('[1]Définition Maintenances'!$G:$G,MATCH($A17,'[1]Définition Maintenances'!$K:$K,0)),AI17,INDEX('[1]Définition Maintenances'!$G:$G,MATCH($A17,'[1]Définition Maintenances'!$K:$K,0))+AI17),AI17))</f>
        <v>213</v>
      </c>
      <c r="AK17" s="26">
        <f>IF(ISNUMBER(VLOOKUP($D17,'Visu totale'!$D:$DH,AK$1,0)),AJ17-VLOOKUP($D17,'Visu totale'!$D:$DH,AK$1,0),IF(LEFT(VLOOKUP($D17,'Visu totale'!$D:$DH,AK$1,0),1)="V",IF(AJ17&gt;=INDEX('[1]Définition Maintenances'!$G:$G,MATCH($A17,'[1]Définition Maintenances'!$K:$K,0)),AJ17,INDEX('[1]Définition Maintenances'!$G:$G,MATCH($A17,'[1]Définition Maintenances'!$K:$K,0))+AJ17),AJ17))</f>
        <v>213</v>
      </c>
      <c r="AL17" s="26">
        <f>IF(ISNUMBER(VLOOKUP($D17,'Visu totale'!$D:$DH,AL$1,0)),AK17-VLOOKUP($D17,'Visu totale'!$D:$DH,AL$1,0),IF(LEFT(VLOOKUP($D17,'Visu totale'!$D:$DH,AL$1,0),1)="V",IF(AK17&gt;=INDEX('[1]Définition Maintenances'!$G:$G,MATCH($A17,'[1]Définition Maintenances'!$K:$K,0)),AK17,INDEX('[1]Définition Maintenances'!$G:$G,MATCH($A17,'[1]Définition Maintenances'!$K:$K,0))+AK17),AK17))</f>
        <v>213</v>
      </c>
      <c r="AM17" s="26">
        <f>IF(ISNUMBER(VLOOKUP($D17,'Visu totale'!$D:$DH,AM$1,0)),AL17-VLOOKUP($D17,'Visu totale'!$D:$DH,AM$1,0),IF(LEFT(VLOOKUP($D17,'Visu totale'!$D:$DH,AM$1,0),1)="V",IF(AL17&gt;=INDEX('[1]Définition Maintenances'!$G:$G,MATCH($A17,'[1]Définition Maintenances'!$K:$K,0)),AL17,INDEX('[1]Définition Maintenances'!$G:$G,MATCH($A17,'[1]Définition Maintenances'!$K:$K,0))+AL17),AL17))</f>
        <v>213</v>
      </c>
      <c r="AN17" s="26">
        <f>IF(ISNUMBER(VLOOKUP($D17,'Visu totale'!$D:$DH,AN$1,0)),AM17-VLOOKUP($D17,'Visu totale'!$D:$DH,AN$1,0),IF(LEFT(VLOOKUP($D17,'Visu totale'!$D:$DH,AN$1,0),1)="V",IF(AM17&gt;=INDEX('[1]Définition Maintenances'!$G:$G,MATCH($A17,'[1]Définition Maintenances'!$K:$K,0)),AM17,INDEX('[1]Définition Maintenances'!$G:$G,MATCH($A17,'[1]Définition Maintenances'!$K:$K,0))+AM17),AM17))</f>
        <v>213</v>
      </c>
      <c r="AO17" s="27">
        <f>IF(ISNUMBER(VLOOKUP($D17,'Visu totale'!$D:$DH,AO$1,0)),AN17-VLOOKUP($D17,'Visu totale'!$D:$DH,AO$1,0),IF(LEFT(VLOOKUP($D17,'Visu totale'!$D:$DH,AO$1,0),1)="V",IF(AN17&gt;=INDEX('[1]Définition Maintenances'!$G:$G,MATCH($A17,'[1]Définition Maintenances'!$K:$K,0)),AN17,INDEX('[1]Définition Maintenances'!$G:$G,MATCH($A17,'[1]Définition Maintenances'!$K:$K,0))+AN17),AN17))</f>
        <v>213</v>
      </c>
      <c r="AP17" s="25">
        <f>IF(ISNUMBER(VLOOKUP($D17,'Visu totale'!$D:$DH,AP$1,0)),AO17-VLOOKUP($D17,'Visu totale'!$D:$DH,AP$1,0),IF(LEFT(VLOOKUP($D17,'Visu totale'!$D:$DH,AP$1,0),1)="V",IF(AO17&gt;=INDEX('[1]Définition Maintenances'!$G:$G,MATCH($A17,'[1]Définition Maintenances'!$K:$K,0)),AO17,INDEX('[1]Définition Maintenances'!$G:$G,MATCH($A17,'[1]Définition Maintenances'!$K:$K,0))+AO17),AO17))</f>
        <v>213</v>
      </c>
      <c r="AQ17" s="26">
        <f>IF(ISNUMBER(VLOOKUP($D17,'Visu totale'!$D:$DH,AQ$1,0)),AP17-VLOOKUP($D17,'Visu totale'!$D:$DH,AQ$1,0),IF(LEFT(VLOOKUP($D17,'Visu totale'!$D:$DH,AQ$1,0),1)="V",IF(AP17&gt;=INDEX('[1]Définition Maintenances'!$G:$G,MATCH($A17,'[1]Définition Maintenances'!$K:$K,0)),AP17,INDEX('[1]Définition Maintenances'!$G:$G,MATCH($A17,'[1]Définition Maintenances'!$K:$K,0))+AP17),AP17))</f>
        <v>213</v>
      </c>
      <c r="AR17" s="26">
        <f>IF(ISNUMBER(VLOOKUP($D17,'Visu totale'!$D:$DH,AR$1,0)),AQ17-VLOOKUP($D17,'Visu totale'!$D:$DH,AR$1,0),IF(LEFT(VLOOKUP($D17,'Visu totale'!$D:$DH,AR$1,0),1)="V",IF(AQ17&gt;=INDEX('[1]Définition Maintenances'!$G:$G,MATCH($A17,'[1]Définition Maintenances'!$K:$K,0)),AQ17,INDEX('[1]Définition Maintenances'!$G:$G,MATCH($A17,'[1]Définition Maintenances'!$K:$K,0))+AQ17),AQ17))</f>
        <v>213</v>
      </c>
      <c r="AS17" s="26">
        <f>IF(ISNUMBER(VLOOKUP($D17,'Visu totale'!$D:$DH,AS$1,0)),AR17-VLOOKUP($D17,'Visu totale'!$D:$DH,AS$1,0),IF(LEFT(VLOOKUP($D17,'Visu totale'!$D:$DH,AS$1,0),1)="V",IF(AR17&gt;=INDEX('[1]Définition Maintenances'!$G:$G,MATCH($A17,'[1]Définition Maintenances'!$K:$K,0)),AR17,INDEX('[1]Définition Maintenances'!$G:$G,MATCH($A17,'[1]Définition Maintenances'!$K:$K,0))+AR17),AR17))</f>
        <v>213</v>
      </c>
      <c r="AT17" s="26">
        <f>IF(ISNUMBER(VLOOKUP($D17,'Visu totale'!$D:$DH,AT$1,0)),AS17-VLOOKUP($D17,'Visu totale'!$D:$DH,AT$1,0),IF(LEFT(VLOOKUP($D17,'Visu totale'!$D:$DH,AT$1,0),1)="V",IF(AS17&gt;=INDEX('[1]Définition Maintenances'!$G:$G,MATCH($A17,'[1]Définition Maintenances'!$K:$K,0)),AS17,INDEX('[1]Définition Maintenances'!$G:$G,MATCH($A17,'[1]Définition Maintenances'!$K:$K,0))+AS17),AS17))</f>
        <v>213</v>
      </c>
      <c r="AU17" s="26">
        <f>IF(ISNUMBER(VLOOKUP($D17,'Visu totale'!$D:$DH,AU$1,0)),AT17-VLOOKUP($D17,'Visu totale'!$D:$DH,AU$1,0),IF(LEFT(VLOOKUP($D17,'Visu totale'!$D:$DH,AU$1,0),1)="V",IF(AT17&gt;=INDEX('[1]Définition Maintenances'!$G:$G,MATCH($A17,'[1]Définition Maintenances'!$K:$K,0)),AT17,INDEX('[1]Définition Maintenances'!$G:$G,MATCH($A17,'[1]Définition Maintenances'!$K:$K,0))+AT17),AT17))</f>
        <v>213</v>
      </c>
      <c r="AV17" s="26">
        <f>IF(ISNUMBER(VLOOKUP($D17,'Visu totale'!$D:$DH,AV$1,0)),AU17-VLOOKUP($D17,'Visu totale'!$D:$DH,AV$1,0),IF(LEFT(VLOOKUP($D17,'Visu totale'!$D:$DH,AV$1,0),1)="V",IF(AU17&gt;=INDEX('[1]Définition Maintenances'!$G:$G,MATCH($A17,'[1]Définition Maintenances'!$K:$K,0)),AU17,INDEX('[1]Définition Maintenances'!$G:$G,MATCH($A17,'[1]Définition Maintenances'!$K:$K,0))+AU17),AU17))</f>
        <v>213</v>
      </c>
      <c r="AW17" s="26">
        <f>IF(ISNUMBER(VLOOKUP($D17,'Visu totale'!$D:$DH,AW$1,0)),AV17-VLOOKUP($D17,'Visu totale'!$D:$DH,AW$1,0),IF(LEFT(VLOOKUP($D17,'Visu totale'!$D:$DH,AW$1,0),1)="V",IF(AV17&gt;=INDEX('[1]Définition Maintenances'!$G:$G,MATCH($A17,'[1]Définition Maintenances'!$K:$K,0)),AV17,INDEX('[1]Définition Maintenances'!$G:$G,MATCH($A17,'[1]Définition Maintenances'!$K:$K,0))+AV17),AV17))</f>
        <v>213</v>
      </c>
      <c r="AX17" s="26">
        <f>IF(ISNUMBER(VLOOKUP($D17,'Visu totale'!$D:$DH,AX$1,0)),AW17-VLOOKUP($D17,'Visu totale'!$D:$DH,AX$1,0),IF(LEFT(VLOOKUP($D17,'Visu totale'!$D:$DH,AX$1,0),1)="V",IF(AW17&gt;=INDEX('[1]Définition Maintenances'!$G:$G,MATCH($A17,'[1]Définition Maintenances'!$K:$K,0)),AW17,INDEX('[1]Définition Maintenances'!$G:$G,MATCH($A17,'[1]Définition Maintenances'!$K:$K,0))+AW17),AW17))</f>
        <v>213</v>
      </c>
      <c r="AY17" s="26">
        <f>IF(ISNUMBER(VLOOKUP($D17,'Visu totale'!$D:$DH,AY$1,0)),AX17-VLOOKUP($D17,'Visu totale'!$D:$DH,AY$1,0),IF(LEFT(VLOOKUP($D17,'Visu totale'!$D:$DH,AY$1,0),1)="V",IF(AX17&gt;=INDEX('[1]Définition Maintenances'!$G:$G,MATCH($A17,'[1]Définition Maintenances'!$K:$K,0)),AX17,INDEX('[1]Définition Maintenances'!$G:$G,MATCH($A17,'[1]Définition Maintenances'!$K:$K,0))+AX17),AX17))</f>
        <v>213</v>
      </c>
      <c r="AZ17" s="26">
        <f>IF(ISNUMBER(VLOOKUP($D17,'Visu totale'!$D:$DH,AZ$1,0)),AY17-VLOOKUP($D17,'Visu totale'!$D:$DH,AZ$1,0),IF(LEFT(VLOOKUP($D17,'Visu totale'!$D:$DH,AZ$1,0),1)="V",IF(AY17&gt;=INDEX('[1]Définition Maintenances'!$G:$G,MATCH($A17,'[1]Définition Maintenances'!$K:$K,0)),AY17,INDEX('[1]Définition Maintenances'!$G:$G,MATCH($A17,'[1]Définition Maintenances'!$K:$K,0))+AY17),AY17))</f>
        <v>213</v>
      </c>
      <c r="BA17" s="27">
        <f>IF(ISNUMBER(VLOOKUP($D17,'Visu totale'!$D:$DH,BA$1,0)),AZ17-VLOOKUP($D17,'Visu totale'!$D:$DH,BA$1,0),IF(LEFT(VLOOKUP($D17,'Visu totale'!$D:$DH,BA$1,0),1)="V",IF(AZ17&gt;=INDEX('[1]Définition Maintenances'!$G:$G,MATCH($A17,'[1]Définition Maintenances'!$K:$K,0)),AZ17,INDEX('[1]Définition Maintenances'!$G:$G,MATCH($A17,'[1]Définition Maintenances'!$K:$K,0))+AZ17),AZ17))</f>
        <v>213</v>
      </c>
      <c r="BB17" s="25">
        <f>IF(ISNUMBER(VLOOKUP($D17,'Visu totale'!$D:$DH,BB$1,0)),BA17-VLOOKUP($D17,'Visu totale'!$D:$DH,BB$1,0),IF(LEFT(VLOOKUP($D17,'Visu totale'!$D:$DH,BB$1,0),1)="V",IF(BA17&gt;=INDEX('[1]Définition Maintenances'!$G:$G,MATCH($A17,'[1]Définition Maintenances'!$K:$K,0)),BA17,INDEX('[1]Définition Maintenances'!$G:$G,MATCH($A17,'[1]Définition Maintenances'!$K:$K,0))+BA17),BA17))</f>
        <v>213</v>
      </c>
      <c r="BC17" s="26">
        <f>IF(ISNUMBER(VLOOKUP($D17,'Visu totale'!$D:$DH,BC$1,0)),BB17-VLOOKUP($D17,'Visu totale'!$D:$DH,BC$1,0),IF(LEFT(VLOOKUP($D17,'Visu totale'!$D:$DH,BC$1,0),1)="V",IF(BB17&gt;=INDEX('[1]Définition Maintenances'!$G:$G,MATCH($A17,'[1]Définition Maintenances'!$K:$K,0)),BB17,INDEX('[1]Définition Maintenances'!$G:$G,MATCH($A17,'[1]Définition Maintenances'!$K:$K,0))+BB17),BB17))</f>
        <v>213</v>
      </c>
      <c r="BD17" s="26">
        <f>IF(ISNUMBER(VLOOKUP($D17,'Visu totale'!$D:$DH,BD$1,0)),BC17-VLOOKUP($D17,'Visu totale'!$D:$DH,BD$1,0),IF(LEFT(VLOOKUP($D17,'Visu totale'!$D:$DH,BD$1,0),1)="V",IF(BC17&gt;=INDEX('[1]Définition Maintenances'!$G:$G,MATCH($A17,'[1]Définition Maintenances'!$K:$K,0)),BC17,INDEX('[1]Définition Maintenances'!$G:$G,MATCH($A17,'[1]Définition Maintenances'!$K:$K,0))+BC17),BC17))</f>
        <v>213</v>
      </c>
      <c r="BE17" s="26">
        <f>IF(ISNUMBER(VLOOKUP($D17,'Visu totale'!$D:$DH,BE$1,0)),BD17-VLOOKUP($D17,'Visu totale'!$D:$DH,BE$1,0),IF(LEFT(VLOOKUP($D17,'Visu totale'!$D:$DH,BE$1,0),1)="V",IF(BD17&gt;=INDEX('[1]Définition Maintenances'!$G:$G,MATCH($A17,'[1]Définition Maintenances'!$K:$K,0)),BD17,INDEX('[1]Définition Maintenances'!$G:$G,MATCH($A17,'[1]Définition Maintenances'!$K:$K,0))+BD17),BD17))</f>
        <v>213</v>
      </c>
      <c r="BF17" s="26">
        <f>IF(ISNUMBER(VLOOKUP($D17,'Visu totale'!$D:$DH,BF$1,0)),BE17-VLOOKUP($D17,'Visu totale'!$D:$DH,BF$1,0),IF(LEFT(VLOOKUP($D17,'Visu totale'!$D:$DH,BF$1,0),1)="V",IF(BE17&gt;=INDEX('[1]Définition Maintenances'!$G:$G,MATCH($A17,'[1]Définition Maintenances'!$K:$K,0)),BE17,INDEX('[1]Définition Maintenances'!$G:$G,MATCH($A17,'[1]Définition Maintenances'!$K:$K,0))+BE17),BE17))</f>
        <v>213</v>
      </c>
      <c r="BG17" s="26">
        <f>IF(ISNUMBER(VLOOKUP($D17,'Visu totale'!$D:$DH,BG$1,0)),BF17-VLOOKUP($D17,'Visu totale'!$D:$DH,BG$1,0),IF(LEFT(VLOOKUP($D17,'Visu totale'!$D:$DH,BG$1,0),1)="V",IF(BF17&gt;=INDEX('[1]Définition Maintenances'!$G:$G,MATCH($A17,'[1]Définition Maintenances'!$K:$K,0)),BF17,INDEX('[1]Définition Maintenances'!$G:$G,MATCH($A17,'[1]Définition Maintenances'!$K:$K,0))+BF17),BF17))</f>
        <v>213</v>
      </c>
      <c r="BH17" s="26">
        <f>IF(ISNUMBER(VLOOKUP($D17,'Visu totale'!$D:$DH,BH$1,0)),BG17-VLOOKUP($D17,'Visu totale'!$D:$DH,BH$1,0),IF(LEFT(VLOOKUP($D17,'Visu totale'!$D:$DH,BH$1,0),1)="V",IF(BG17&gt;=INDEX('[1]Définition Maintenances'!$G:$G,MATCH($A17,'[1]Définition Maintenances'!$K:$K,0)),BG17,INDEX('[1]Définition Maintenances'!$G:$G,MATCH($A17,'[1]Définition Maintenances'!$K:$K,0))+BG17),BG17))</f>
        <v>213</v>
      </c>
      <c r="BI17" s="26">
        <f>IF(ISNUMBER(VLOOKUP($D17,'Visu totale'!$D:$DH,BI$1,0)),BH17-VLOOKUP($D17,'Visu totale'!$D:$DH,BI$1,0),IF(LEFT(VLOOKUP($D17,'Visu totale'!$D:$DH,BI$1,0),1)="V",IF(BH17&gt;=INDEX('[1]Définition Maintenances'!$G:$G,MATCH($A17,'[1]Définition Maintenances'!$K:$K,0)),BH17,INDEX('[1]Définition Maintenances'!$G:$G,MATCH($A17,'[1]Définition Maintenances'!$K:$K,0))+BH17),BH17))</f>
        <v>213</v>
      </c>
      <c r="BJ17" s="26">
        <f>IF(ISNUMBER(VLOOKUP($D17,'Visu totale'!$D:$DH,BJ$1,0)),BI17-VLOOKUP($D17,'Visu totale'!$D:$DH,BJ$1,0),IF(LEFT(VLOOKUP($D17,'Visu totale'!$D:$DH,BJ$1,0),1)="V",IF(BI17&gt;=INDEX('[1]Définition Maintenances'!$G:$G,MATCH($A17,'[1]Définition Maintenances'!$K:$K,0)),BI17,INDEX('[1]Définition Maintenances'!$G:$G,MATCH($A17,'[1]Définition Maintenances'!$K:$K,0))+BI17),BI17))</f>
        <v>213</v>
      </c>
      <c r="BK17" s="26">
        <f>IF(ISNUMBER(VLOOKUP($D17,'Visu totale'!$D:$DH,BK$1,0)),BJ17-VLOOKUP($D17,'Visu totale'!$D:$DH,BK$1,0),IF(LEFT(VLOOKUP($D17,'Visu totale'!$D:$DH,BK$1,0),1)="V",IF(BJ17&gt;=INDEX('[1]Définition Maintenances'!$G:$G,MATCH($A17,'[1]Définition Maintenances'!$K:$K,0)),BJ17,INDEX('[1]Définition Maintenances'!$G:$G,MATCH($A17,'[1]Définition Maintenances'!$K:$K,0))+BJ17),BJ17))</f>
        <v>213</v>
      </c>
      <c r="BL17" s="26">
        <f>IF(ISNUMBER(VLOOKUP($D17,'Visu totale'!$D:$DH,BL$1,0)),BK17-VLOOKUP($D17,'Visu totale'!$D:$DH,BL$1,0),IF(LEFT(VLOOKUP($D17,'Visu totale'!$D:$DH,BL$1,0),1)="V",IF(BK17&gt;=INDEX('[1]Définition Maintenances'!$G:$G,MATCH($A17,'[1]Définition Maintenances'!$K:$K,0)),BK17,INDEX('[1]Définition Maintenances'!$G:$G,MATCH($A17,'[1]Définition Maintenances'!$K:$K,0))+BK17),BK17))</f>
        <v>213</v>
      </c>
      <c r="BM17" s="27">
        <f>IF(ISNUMBER(VLOOKUP($D17,'Visu totale'!$D:$DH,BM$1,0)),BL17-VLOOKUP($D17,'Visu totale'!$D:$DH,BM$1,0),IF(LEFT(VLOOKUP($D17,'Visu totale'!$D:$DH,BM$1,0),1)="V",IF(BL17&gt;=INDEX('[1]Définition Maintenances'!$G:$G,MATCH($A17,'[1]Définition Maintenances'!$K:$K,0)),BL17,INDEX('[1]Définition Maintenances'!$G:$G,MATCH($A17,'[1]Définition Maintenances'!$K:$K,0))+BL17),BL17))</f>
        <v>213</v>
      </c>
      <c r="BN17" s="25">
        <f>IF(ISNUMBER(VLOOKUP($D17,'Visu totale'!$D:$DH,BN$1,0)),BM17-VLOOKUP($D17,'Visu totale'!$D:$DH,BN$1,0),IF(LEFT(VLOOKUP($D17,'Visu totale'!$D:$DH,BN$1,0),1)="V",IF(BM17&gt;=INDEX('[1]Définition Maintenances'!$G:$G,MATCH($A17,'[1]Définition Maintenances'!$K:$K,0)),BM17,INDEX('[1]Définition Maintenances'!$G:$G,MATCH($A17,'[1]Définition Maintenances'!$K:$K,0))+BM17),BM17))</f>
        <v>213</v>
      </c>
      <c r="BO17" s="26">
        <f>IF(ISNUMBER(VLOOKUP($D17,'Visu totale'!$D:$DH,BO$1,0)),BN17-VLOOKUP($D17,'Visu totale'!$D:$DH,BO$1,0),IF(LEFT(VLOOKUP($D17,'Visu totale'!$D:$DH,BO$1,0),1)="V",IF(BN17&gt;=INDEX('[1]Définition Maintenances'!$G:$G,MATCH($A17,'[1]Définition Maintenances'!$K:$K,0)),BN17,INDEX('[1]Définition Maintenances'!$G:$G,MATCH($A17,'[1]Définition Maintenances'!$K:$K,0))+BN17),BN17))</f>
        <v>213</v>
      </c>
      <c r="BP17" s="26">
        <f>IF(ISNUMBER(VLOOKUP($D17,'Visu totale'!$D:$DH,BP$1,0)),BO17-VLOOKUP($D17,'Visu totale'!$D:$DH,BP$1,0),IF(LEFT(VLOOKUP($D17,'Visu totale'!$D:$DH,BP$1,0),1)="V",IF(BO17&gt;=INDEX('[1]Définition Maintenances'!$G:$G,MATCH($A17,'[1]Définition Maintenances'!$K:$K,0)),BO17,INDEX('[1]Définition Maintenances'!$G:$G,MATCH($A17,'[1]Définition Maintenances'!$K:$K,0))+BO17),BO17))</f>
        <v>213</v>
      </c>
      <c r="BQ17" s="26">
        <f>IF(ISNUMBER(VLOOKUP($D17,'Visu totale'!$D:$DH,BQ$1,0)),BP17-VLOOKUP($D17,'Visu totale'!$D:$DH,BQ$1,0),IF(LEFT(VLOOKUP($D17,'Visu totale'!$D:$DH,BQ$1,0),1)="V",IF(BP17&gt;=INDEX('[1]Définition Maintenances'!$G:$G,MATCH($A17,'[1]Définition Maintenances'!$K:$K,0)),BP17,INDEX('[1]Définition Maintenances'!$G:$G,MATCH($A17,'[1]Définition Maintenances'!$K:$K,0))+BP17),BP17))</f>
        <v>213</v>
      </c>
      <c r="BR17" s="26">
        <f>IF(ISNUMBER(VLOOKUP($D17,'Visu totale'!$D:$DH,BR$1,0)),BQ17-VLOOKUP($D17,'Visu totale'!$D:$DH,BR$1,0),IF(LEFT(VLOOKUP($D17,'Visu totale'!$D:$DH,BR$1,0),1)="V",IF(BQ17&gt;=INDEX('[1]Définition Maintenances'!$G:$G,MATCH($A17,'[1]Définition Maintenances'!$K:$K,0)),BQ17,INDEX('[1]Définition Maintenances'!$G:$G,MATCH($A17,'[1]Définition Maintenances'!$K:$K,0))+BQ17),BQ17))</f>
        <v>213</v>
      </c>
      <c r="BS17" s="26">
        <f>IF(ISNUMBER(VLOOKUP($D17,'Visu totale'!$D:$DH,BS$1,0)),BR17-VLOOKUP($D17,'Visu totale'!$D:$DH,BS$1,0),IF(LEFT(VLOOKUP($D17,'Visu totale'!$D:$DH,BS$1,0),1)="V",IF(BR17&gt;=INDEX('[1]Définition Maintenances'!$G:$G,MATCH($A17,'[1]Définition Maintenances'!$K:$K,0)),BR17,INDEX('[1]Définition Maintenances'!$G:$G,MATCH($A17,'[1]Définition Maintenances'!$K:$K,0))+BR17),BR17))</f>
        <v>213</v>
      </c>
      <c r="BT17" s="26">
        <f>IF(ISNUMBER(VLOOKUP($D17,'Visu totale'!$D:$DH,BT$1,0)),BS17-VLOOKUP($D17,'Visu totale'!$D:$DH,BT$1,0),IF(LEFT(VLOOKUP($D17,'Visu totale'!$D:$DH,BT$1,0),1)="V",IF(BS17&gt;=INDEX('[1]Définition Maintenances'!$G:$G,MATCH($A17,'[1]Définition Maintenances'!$K:$K,0)),BS17,INDEX('[1]Définition Maintenances'!$G:$G,MATCH($A17,'[1]Définition Maintenances'!$K:$K,0))+BS17),BS17))</f>
        <v>213</v>
      </c>
      <c r="BU17" s="26">
        <f>IF(ISNUMBER(VLOOKUP($D17,'Visu totale'!$D:$DH,BU$1,0)),BT17-VLOOKUP($D17,'Visu totale'!$D:$DH,BU$1,0),IF(LEFT(VLOOKUP($D17,'Visu totale'!$D:$DH,BU$1,0),1)="V",IF(BT17&gt;=INDEX('[1]Définition Maintenances'!$G:$G,MATCH($A17,'[1]Définition Maintenances'!$K:$K,0)),BT17,INDEX('[1]Définition Maintenances'!$G:$G,MATCH($A17,'[1]Définition Maintenances'!$K:$K,0))+BT17),BT17))</f>
        <v>213</v>
      </c>
      <c r="BV17" s="26">
        <f>IF(ISNUMBER(VLOOKUP($D17,'Visu totale'!$D:$DH,BV$1,0)),BU17-VLOOKUP($D17,'Visu totale'!$D:$DH,BV$1,0),IF(LEFT(VLOOKUP($D17,'Visu totale'!$D:$DH,BV$1,0),1)="V",IF(BU17&gt;=INDEX('[1]Définition Maintenances'!$G:$G,MATCH($A17,'[1]Définition Maintenances'!$K:$K,0)),BU17,INDEX('[1]Définition Maintenances'!$G:$G,MATCH($A17,'[1]Définition Maintenances'!$K:$K,0))+BU17),BU17))</f>
        <v>213</v>
      </c>
      <c r="BW17" s="26">
        <f>IF(ISNUMBER(VLOOKUP($D17,'Visu totale'!$D:$DH,BW$1,0)),BV17-VLOOKUP($D17,'Visu totale'!$D:$DH,BW$1,0),IF(LEFT(VLOOKUP($D17,'Visu totale'!$D:$DH,BW$1,0),1)="V",IF(BV17&gt;=INDEX('[1]Définition Maintenances'!$G:$G,MATCH($A17,'[1]Définition Maintenances'!$K:$K,0)),BV17,INDEX('[1]Définition Maintenances'!$G:$G,MATCH($A17,'[1]Définition Maintenances'!$K:$K,0))+BV17),BV17))</f>
        <v>213</v>
      </c>
      <c r="BX17" s="26">
        <f>IF(ISNUMBER(VLOOKUP($D17,'Visu totale'!$D:$DH,BX$1,0)),BW17-VLOOKUP($D17,'Visu totale'!$D:$DH,BX$1,0),IF(LEFT(VLOOKUP($D17,'Visu totale'!$D:$DH,BX$1,0),1)="V",IF(BW17&gt;=INDEX('[1]Définition Maintenances'!$G:$G,MATCH($A17,'[1]Définition Maintenances'!$K:$K,0)),BW17,INDEX('[1]Définition Maintenances'!$G:$G,MATCH($A17,'[1]Définition Maintenances'!$K:$K,0))+BW17),BW17))</f>
        <v>213</v>
      </c>
      <c r="BY17" s="27">
        <f>IF(ISNUMBER(VLOOKUP($D17,'Visu totale'!$D:$DH,BY$1,0)),BX17-VLOOKUP($D17,'Visu totale'!$D:$DH,BY$1,0),IF(LEFT(VLOOKUP($D17,'Visu totale'!$D:$DH,BY$1,0),1)="V",IF(BX17&gt;=INDEX('[1]Définition Maintenances'!$G:$G,MATCH($A17,'[1]Définition Maintenances'!$K:$K,0)),BX17,INDEX('[1]Définition Maintenances'!$G:$G,MATCH($A17,'[1]Définition Maintenances'!$K:$K,0))+BX17),BX17))</f>
        <v>213</v>
      </c>
      <c r="BZ17" s="25">
        <f>IF(ISNUMBER(VLOOKUP($D17,'Visu totale'!$D:$DH,BZ$1,0)),BY17-VLOOKUP($D17,'Visu totale'!$D:$DH,BZ$1,0),IF(LEFT(VLOOKUP($D17,'Visu totale'!$D:$DH,BZ$1,0),1)="V",IF(BY17&gt;=INDEX('[1]Définition Maintenances'!$G:$G,MATCH($A17,'[1]Définition Maintenances'!$K:$K,0)),BY17,INDEX('[1]Définition Maintenances'!$G:$G,MATCH($A17,'[1]Définition Maintenances'!$K:$K,0))+BY17),BY17))</f>
        <v>213</v>
      </c>
      <c r="CA17" s="26">
        <f>IF(ISNUMBER(VLOOKUP($D17,'Visu totale'!$D:$DH,CA$1,0)),BZ17-VLOOKUP($D17,'Visu totale'!$D:$DH,CA$1,0),IF(LEFT(VLOOKUP($D17,'Visu totale'!$D:$DH,CA$1,0),1)="V",IF(BZ17&gt;=INDEX('[1]Définition Maintenances'!$G:$G,MATCH($A17,'[1]Définition Maintenances'!$K:$K,0)),BZ17,INDEX('[1]Définition Maintenances'!$G:$G,MATCH($A17,'[1]Définition Maintenances'!$K:$K,0))+BZ17),BZ17))</f>
        <v>213</v>
      </c>
      <c r="CB17" s="26">
        <f>IF(ISNUMBER(VLOOKUP($D17,'Visu totale'!$D:$DH,CB$1,0)),CA17-VLOOKUP($D17,'Visu totale'!$D:$DH,CB$1,0),IF(LEFT(VLOOKUP($D17,'Visu totale'!$D:$DH,CB$1,0),1)="V",IF(CA17&gt;=INDEX('[1]Définition Maintenances'!$G:$G,MATCH($A17,'[1]Définition Maintenances'!$K:$K,0)),CA17,INDEX('[1]Définition Maintenances'!$G:$G,MATCH($A17,'[1]Définition Maintenances'!$K:$K,0))+CA17),CA17))</f>
        <v>213</v>
      </c>
      <c r="CC17" s="26">
        <f>IF(ISNUMBER(VLOOKUP($D17,'Visu totale'!$D:$DH,CC$1,0)),CB17-VLOOKUP($D17,'Visu totale'!$D:$DH,CC$1,0),IF(LEFT(VLOOKUP($D17,'Visu totale'!$D:$DH,CC$1,0),1)="V",IF(CB17&gt;=INDEX('[1]Définition Maintenances'!$G:$G,MATCH($A17,'[1]Définition Maintenances'!$K:$K,0)),CB17,INDEX('[1]Définition Maintenances'!$G:$G,MATCH($A17,'[1]Définition Maintenances'!$K:$K,0))+CB17),CB17))</f>
        <v>213</v>
      </c>
      <c r="CD17" s="26">
        <f>IF(ISNUMBER(VLOOKUP($D17,'Visu totale'!$D:$DH,CD$1,0)),CC17-VLOOKUP($D17,'Visu totale'!$D:$DH,CD$1,0),IF(LEFT(VLOOKUP($D17,'Visu totale'!$D:$DH,CD$1,0),1)="V",IF(CC17&gt;=INDEX('[1]Définition Maintenances'!$G:$G,MATCH($A17,'[1]Définition Maintenances'!$K:$K,0)),CC17,INDEX('[1]Définition Maintenances'!$G:$G,MATCH($A17,'[1]Définition Maintenances'!$K:$K,0))+CC17),CC17))</f>
        <v>213</v>
      </c>
      <c r="CE17" s="26">
        <f>IF(ISNUMBER(VLOOKUP($D17,'Visu totale'!$D:$DH,CE$1,0)),CD17-VLOOKUP($D17,'Visu totale'!$D:$DH,CE$1,0),IF(LEFT(VLOOKUP($D17,'Visu totale'!$D:$DH,CE$1,0),1)="V",IF(CD17&gt;=INDEX('[1]Définition Maintenances'!$G:$G,MATCH($A17,'[1]Définition Maintenances'!$K:$K,0)),CD17,INDEX('[1]Définition Maintenances'!$G:$G,MATCH($A17,'[1]Définition Maintenances'!$K:$K,0))+CD17),CD17))</f>
        <v>213</v>
      </c>
      <c r="CF17" s="26">
        <f>IF(ISNUMBER(VLOOKUP($D17,'Visu totale'!$D:$DH,CF$1,0)),CE17-VLOOKUP($D17,'Visu totale'!$D:$DH,CF$1,0),IF(LEFT(VLOOKUP($D17,'Visu totale'!$D:$DH,CF$1,0),1)="V",IF(CE17&gt;=INDEX('[1]Définition Maintenances'!$G:$G,MATCH($A17,'[1]Définition Maintenances'!$K:$K,0)),CE17,INDEX('[1]Définition Maintenances'!$G:$G,MATCH($A17,'[1]Définition Maintenances'!$K:$K,0))+CE17),CE17))</f>
        <v>213</v>
      </c>
      <c r="CG17" s="26">
        <f>IF(ISNUMBER(VLOOKUP($D17,'Visu totale'!$D:$DH,CG$1,0)),CF17-VLOOKUP($D17,'Visu totale'!$D:$DH,CG$1,0),IF(LEFT(VLOOKUP($D17,'Visu totale'!$D:$DH,CG$1,0),1)="V",IF(CF17&gt;=INDEX('[1]Définition Maintenances'!$G:$G,MATCH($A17,'[1]Définition Maintenances'!$K:$K,0)),CF17,INDEX('[1]Définition Maintenances'!$G:$G,MATCH($A17,'[1]Définition Maintenances'!$K:$K,0))+CF17),CF17))</f>
        <v>213</v>
      </c>
      <c r="CH17" s="26">
        <f>IF(ISNUMBER(VLOOKUP($D17,'Visu totale'!$D:$DH,CH$1,0)),CG17-VLOOKUP($D17,'Visu totale'!$D:$DH,CH$1,0),IF(LEFT(VLOOKUP($D17,'Visu totale'!$D:$DH,CH$1,0),1)="V",IF(CG17&gt;=INDEX('[1]Définition Maintenances'!$G:$G,MATCH($A17,'[1]Définition Maintenances'!$K:$K,0)),CG17,INDEX('[1]Définition Maintenances'!$G:$G,MATCH($A17,'[1]Définition Maintenances'!$K:$K,0))+CG17),CG17))</f>
        <v>213</v>
      </c>
      <c r="CI17" s="26">
        <f>IF(ISNUMBER(VLOOKUP($D17,'Visu totale'!$D:$DH,CI$1,0)),CH17-VLOOKUP($D17,'Visu totale'!$D:$DH,CI$1,0),IF(LEFT(VLOOKUP($D17,'Visu totale'!$D:$DH,CI$1,0),1)="V",IF(CH17&gt;=INDEX('[1]Définition Maintenances'!$G:$G,MATCH($A17,'[1]Définition Maintenances'!$K:$K,0)),CH17,INDEX('[1]Définition Maintenances'!$G:$G,MATCH($A17,'[1]Définition Maintenances'!$K:$K,0))+CH17),CH17))</f>
        <v>213</v>
      </c>
      <c r="CJ17" s="26">
        <f>IF(ISNUMBER(VLOOKUP($D17,'Visu totale'!$D:$DH,CJ$1,0)),CI17-VLOOKUP($D17,'Visu totale'!$D:$DH,CJ$1,0),IF(LEFT(VLOOKUP($D17,'Visu totale'!$D:$DH,CJ$1,0),1)="V",IF(CI17&gt;=INDEX('[1]Définition Maintenances'!$G:$G,MATCH($A17,'[1]Définition Maintenances'!$K:$K,0)),CI17,INDEX('[1]Définition Maintenances'!$G:$G,MATCH($A17,'[1]Définition Maintenances'!$K:$K,0))+CI17),CI17))</f>
        <v>213</v>
      </c>
      <c r="CK17" s="27">
        <f>IF(ISNUMBER(VLOOKUP($D17,'Visu totale'!$D:$DH,CK$1,0)),CJ17-VLOOKUP($D17,'Visu totale'!$D:$DH,CK$1,0),IF(LEFT(VLOOKUP($D17,'Visu totale'!$D:$DH,CK$1,0),1)="V",IF(CJ17&gt;=INDEX('[1]Définition Maintenances'!$G:$G,MATCH($A17,'[1]Définition Maintenances'!$K:$K,0)),CJ17,INDEX('[1]Définition Maintenances'!$G:$G,MATCH($A17,'[1]Définition Maintenances'!$K:$K,0))+CJ17),CJ17))</f>
        <v>213</v>
      </c>
      <c r="CL17" s="25">
        <f>IF(ISNUMBER(VLOOKUP($D17,'Visu totale'!$D:$DH,CL$1,0)),CK17-VLOOKUP($D17,'Visu totale'!$D:$DH,CL$1,0),IF(LEFT(VLOOKUP($D17,'Visu totale'!$D:$DH,CL$1,0),1)="V",IF(CK17&gt;=INDEX('[1]Définition Maintenances'!$G:$G,MATCH($A17,'[1]Définition Maintenances'!$K:$K,0)),CK17,INDEX('[1]Définition Maintenances'!$G:$G,MATCH($A17,'[1]Définition Maintenances'!$K:$K,0))+CK17),CK17))</f>
        <v>213</v>
      </c>
      <c r="CM17" s="26">
        <f>IF(ISNUMBER(VLOOKUP($D17,'Visu totale'!$D:$DH,CM$1,0)),CL17-VLOOKUP($D17,'Visu totale'!$D:$DH,CM$1,0),IF(LEFT(VLOOKUP($D17,'Visu totale'!$D:$DH,CM$1,0),1)="V",IF(CL17&gt;=INDEX('[1]Définition Maintenances'!$G:$G,MATCH($A17,'[1]Définition Maintenances'!$K:$K,0)),CL17,INDEX('[1]Définition Maintenances'!$G:$G,MATCH($A17,'[1]Définition Maintenances'!$K:$K,0))+CL17),CL17))</f>
        <v>213</v>
      </c>
      <c r="CN17" s="26">
        <f>IF(ISNUMBER(VLOOKUP($D17,'Visu totale'!$D:$DH,CN$1,0)),CM17-VLOOKUP($D17,'Visu totale'!$D:$DH,CN$1,0),IF(LEFT(VLOOKUP($D17,'Visu totale'!$D:$DH,CN$1,0),1)="V",IF(CM17&gt;=INDEX('[1]Définition Maintenances'!$G:$G,MATCH($A17,'[1]Définition Maintenances'!$K:$K,0)),CM17,INDEX('[1]Définition Maintenances'!$G:$G,MATCH($A17,'[1]Définition Maintenances'!$K:$K,0))+CM17),CM17))</f>
        <v>213</v>
      </c>
      <c r="CO17" s="26">
        <f>IF(ISNUMBER(VLOOKUP($D17,'Visu totale'!$D:$DH,CO$1,0)),CN17-VLOOKUP($D17,'Visu totale'!$D:$DH,CO$1,0),IF(LEFT(VLOOKUP($D17,'Visu totale'!$D:$DH,CO$1,0),1)="V",IF(CN17&gt;=INDEX('[1]Définition Maintenances'!$G:$G,MATCH($A17,'[1]Définition Maintenances'!$K:$K,0)),CN17,INDEX('[1]Définition Maintenances'!$G:$G,MATCH($A17,'[1]Définition Maintenances'!$K:$K,0))+CN17),CN17))</f>
        <v>213</v>
      </c>
      <c r="CP17" s="26">
        <f>IF(ISNUMBER(VLOOKUP($D17,'Visu totale'!$D:$DH,CP$1,0)),CO17-VLOOKUP($D17,'Visu totale'!$D:$DH,CP$1,0),IF(LEFT(VLOOKUP($D17,'Visu totale'!$D:$DH,CP$1,0),1)="V",IF(CO17&gt;=INDEX('[1]Définition Maintenances'!$G:$G,MATCH($A17,'[1]Définition Maintenances'!$K:$K,0)),CO17,INDEX('[1]Définition Maintenances'!$G:$G,MATCH($A17,'[1]Définition Maintenances'!$K:$K,0))+CO17),CO17))</f>
        <v>213</v>
      </c>
      <c r="CQ17" s="26">
        <f>IF(ISNUMBER(VLOOKUP($D17,'Visu totale'!$D:$DH,CQ$1,0)),CP17-VLOOKUP($D17,'Visu totale'!$D:$DH,CQ$1,0),IF(LEFT(VLOOKUP($D17,'Visu totale'!$D:$DH,CQ$1,0),1)="V",IF(CP17&gt;=INDEX('[1]Définition Maintenances'!$G:$G,MATCH($A17,'[1]Définition Maintenances'!$K:$K,0)),CP17,INDEX('[1]Définition Maintenances'!$G:$G,MATCH($A17,'[1]Définition Maintenances'!$K:$K,0))+CP17),CP17))</f>
        <v>213</v>
      </c>
      <c r="CR17" s="26">
        <f>IF(ISNUMBER(VLOOKUP($D17,'Visu totale'!$D:$DH,CR$1,0)),CQ17-VLOOKUP($D17,'Visu totale'!$D:$DH,CR$1,0),IF(LEFT(VLOOKUP($D17,'Visu totale'!$D:$DH,CR$1,0),1)="V",IF(CQ17&gt;=INDEX('[1]Définition Maintenances'!$G:$G,MATCH($A17,'[1]Définition Maintenances'!$K:$K,0)),CQ17,INDEX('[1]Définition Maintenances'!$G:$G,MATCH($A17,'[1]Définition Maintenances'!$K:$K,0))+CQ17),CQ17))</f>
        <v>213</v>
      </c>
      <c r="CS17" s="26">
        <f>IF(ISNUMBER(VLOOKUP($D17,'Visu totale'!$D:$DH,CS$1,0)),CR17-VLOOKUP($D17,'Visu totale'!$D:$DH,CS$1,0),IF(LEFT(VLOOKUP($D17,'Visu totale'!$D:$DH,CS$1,0),1)="V",IF(CR17&gt;=INDEX('[1]Définition Maintenances'!$G:$G,MATCH($A17,'[1]Définition Maintenances'!$K:$K,0)),CR17,INDEX('[1]Définition Maintenances'!$G:$G,MATCH($A17,'[1]Définition Maintenances'!$K:$K,0))+CR17),CR17))</f>
        <v>213</v>
      </c>
      <c r="CT17" s="26">
        <f>IF(ISNUMBER(VLOOKUP($D17,'Visu totale'!$D:$DH,CT$1,0)),CS17-VLOOKUP($D17,'Visu totale'!$D:$DH,CT$1,0),IF(LEFT(VLOOKUP($D17,'Visu totale'!$D:$DH,CT$1,0),1)="V",IF(CS17&gt;=INDEX('[1]Définition Maintenances'!$G:$G,MATCH($A17,'[1]Définition Maintenances'!$K:$K,0)),CS17,INDEX('[1]Définition Maintenances'!$G:$G,MATCH($A17,'[1]Définition Maintenances'!$K:$K,0))+CS17),CS17))</f>
        <v>213</v>
      </c>
      <c r="CU17" s="26">
        <f>IF(ISNUMBER(VLOOKUP($D17,'Visu totale'!$D:$DH,CU$1,0)),CT17-VLOOKUP($D17,'Visu totale'!$D:$DH,CU$1,0),IF(LEFT(VLOOKUP($D17,'Visu totale'!$D:$DH,CU$1,0),1)="V",IF(CT17&gt;=INDEX('[1]Définition Maintenances'!$G:$G,MATCH($A17,'[1]Définition Maintenances'!$K:$K,0)),CT17,INDEX('[1]Définition Maintenances'!$G:$G,MATCH($A17,'[1]Définition Maintenances'!$K:$K,0))+CT17),CT17))</f>
        <v>213</v>
      </c>
      <c r="CV17" s="26">
        <f>IF(ISNUMBER(VLOOKUP($D17,'Visu totale'!$D:$DH,CV$1,0)),CU17-VLOOKUP($D17,'Visu totale'!$D:$DH,CV$1,0),IF(LEFT(VLOOKUP($D17,'Visu totale'!$D:$DH,CV$1,0),1)="V",IF(CU17&gt;=INDEX('[1]Définition Maintenances'!$G:$G,MATCH($A17,'[1]Définition Maintenances'!$K:$K,0)),CU17,INDEX('[1]Définition Maintenances'!$G:$G,MATCH($A17,'[1]Définition Maintenances'!$K:$K,0))+CU17),CU17))</f>
        <v>213</v>
      </c>
      <c r="CW17" s="27">
        <f>IF(ISNUMBER(VLOOKUP($D17,'Visu totale'!$D:$DH,CW$1,0)),CV17-VLOOKUP($D17,'Visu totale'!$D:$DH,CW$1,0),IF(LEFT(VLOOKUP($D17,'Visu totale'!$D:$DH,CW$1,0),1)="V",IF(CV17&gt;=INDEX('[1]Définition Maintenances'!$G:$G,MATCH($A17,'[1]Définition Maintenances'!$K:$K,0)),CV17,INDEX('[1]Définition Maintenances'!$G:$G,MATCH($A17,'[1]Définition Maintenances'!$K:$K,0))+CV17),CV17))</f>
        <v>213</v>
      </c>
      <c r="CX17" s="25">
        <f>IF(ISNUMBER(VLOOKUP($D17,'Visu totale'!$D:$DH,CX$1,0)),CW17-VLOOKUP($D17,'Visu totale'!$D:$DH,CX$1,0),IF(LEFT(VLOOKUP($D17,'Visu totale'!$D:$DH,CX$1,0),1)="V",IF(CW17&gt;=INDEX('[1]Définition Maintenances'!$G:$G,MATCH($A17,'[1]Définition Maintenances'!$K:$K,0)),CW17,INDEX('[1]Définition Maintenances'!$G:$G,MATCH($A17,'[1]Définition Maintenances'!$K:$K,0))+CW17),CW17))</f>
        <v>213</v>
      </c>
      <c r="CY17" s="26">
        <f>IF(ISNUMBER(VLOOKUP($D17,'Visu totale'!$D:$DH,CY$1,0)),CX17-VLOOKUP($D17,'Visu totale'!$D:$DH,CY$1,0),IF(LEFT(VLOOKUP($D17,'Visu totale'!$D:$DH,CY$1,0),1)="V",IF(CX17&gt;=INDEX('[1]Définition Maintenances'!$G:$G,MATCH($A17,'[1]Définition Maintenances'!$K:$K,0)),CX17,INDEX('[1]Définition Maintenances'!$G:$G,MATCH($A17,'[1]Définition Maintenances'!$K:$K,0))+CX17),CX17))</f>
        <v>213</v>
      </c>
      <c r="CZ17" s="26">
        <f>IF(ISNUMBER(VLOOKUP($D17,'Visu totale'!$D:$DH,CZ$1,0)),CY17-VLOOKUP($D17,'Visu totale'!$D:$DH,CZ$1,0),IF(LEFT(VLOOKUP($D17,'Visu totale'!$D:$DH,CZ$1,0),1)="V",IF(CY17&gt;=INDEX('[1]Définition Maintenances'!$G:$G,MATCH($A17,'[1]Définition Maintenances'!$K:$K,0)),CY17,INDEX('[1]Définition Maintenances'!$G:$G,MATCH($A17,'[1]Définition Maintenances'!$K:$K,0))+CY17),CY17))</f>
        <v>213</v>
      </c>
      <c r="DA17" s="26">
        <f>IF(ISNUMBER(VLOOKUP($D17,'Visu totale'!$D:$DH,DA$1,0)),CZ17-VLOOKUP($D17,'Visu totale'!$D:$DH,DA$1,0),IF(LEFT(VLOOKUP($D17,'Visu totale'!$D:$DH,DA$1,0),1)="V",IF(CZ17&gt;=INDEX('[1]Définition Maintenances'!$G:$G,MATCH($A17,'[1]Définition Maintenances'!$K:$K,0)),CZ17,INDEX('[1]Définition Maintenances'!$G:$G,MATCH($A17,'[1]Définition Maintenances'!$K:$K,0))+CZ17),CZ17))</f>
        <v>213</v>
      </c>
      <c r="DB17" s="26">
        <f>IF(ISNUMBER(VLOOKUP($D17,'Visu totale'!$D:$DH,DB$1,0)),DA17-VLOOKUP($D17,'Visu totale'!$D:$DH,DB$1,0),IF(LEFT(VLOOKUP($D17,'Visu totale'!$D:$DH,DB$1,0),1)="V",IF(DA17&gt;=INDEX('[1]Définition Maintenances'!$G:$G,MATCH($A17,'[1]Définition Maintenances'!$K:$K,0)),DA17,INDEX('[1]Définition Maintenances'!$G:$G,MATCH($A17,'[1]Définition Maintenances'!$K:$K,0))+DA17),DA17))</f>
        <v>213</v>
      </c>
      <c r="DC17" s="26">
        <f>IF(ISNUMBER(VLOOKUP($D17,'Visu totale'!$D:$DH,DC$1,0)),DB17-VLOOKUP($D17,'Visu totale'!$D:$DH,DC$1,0),IF(LEFT(VLOOKUP($D17,'Visu totale'!$D:$DH,DC$1,0),1)="V",IF(DB17&gt;=INDEX('[1]Définition Maintenances'!$G:$G,MATCH($A17,'[1]Définition Maintenances'!$K:$K,0)),DB17,INDEX('[1]Définition Maintenances'!$G:$G,MATCH($A17,'[1]Définition Maintenances'!$K:$K,0))+DB17),DB17))</f>
        <v>213</v>
      </c>
      <c r="DD17" s="26">
        <f>IF(ISNUMBER(VLOOKUP($D17,'Visu totale'!$D:$DH,DD$1,0)),DC17-VLOOKUP($D17,'Visu totale'!$D:$DH,DD$1,0),IF(LEFT(VLOOKUP($D17,'Visu totale'!$D:$DH,DD$1,0),1)="V",IF(DC17&gt;=INDEX('[1]Définition Maintenances'!$G:$G,MATCH($A17,'[1]Définition Maintenances'!$K:$K,0)),DC17,INDEX('[1]Définition Maintenances'!$G:$G,MATCH($A17,'[1]Définition Maintenances'!$K:$K,0))+DC17),DC17))</f>
        <v>213</v>
      </c>
      <c r="DE17" s="26">
        <f>IF(ISNUMBER(VLOOKUP($D17,'Visu totale'!$D:$DH,DE$1,0)),DD17-VLOOKUP($D17,'Visu totale'!$D:$DH,DE$1,0),IF(LEFT(VLOOKUP($D17,'Visu totale'!$D:$DH,DE$1,0),1)="V",IF(DD17&gt;=INDEX('[1]Définition Maintenances'!$G:$G,MATCH($A17,'[1]Définition Maintenances'!$K:$K,0)),DD17,INDEX('[1]Définition Maintenances'!$G:$G,MATCH($A17,'[1]Définition Maintenances'!$K:$K,0))+DD17),DD17))</f>
        <v>213</v>
      </c>
      <c r="DF17" s="26">
        <f>IF(ISNUMBER(VLOOKUP($D17,'Visu totale'!$D:$DH,DF$1,0)),DE17-VLOOKUP($D17,'Visu totale'!$D:$DH,DF$1,0),IF(LEFT(VLOOKUP($D17,'Visu totale'!$D:$DH,DF$1,0),1)="V",IF(DE17&gt;=INDEX('[1]Définition Maintenances'!$G:$G,MATCH($A17,'[1]Définition Maintenances'!$K:$K,0)),DE17,INDEX('[1]Définition Maintenances'!$G:$G,MATCH($A17,'[1]Définition Maintenances'!$K:$K,0))+DE17),DE17))</f>
        <v>213</v>
      </c>
      <c r="DG17" s="26">
        <f>IF(ISNUMBER(VLOOKUP($D17,'Visu totale'!$D:$DH,DG$1,0)),DF17-VLOOKUP($D17,'Visu totale'!$D:$DH,DG$1,0),IF(LEFT(VLOOKUP($D17,'Visu totale'!$D:$DH,DG$1,0),1)="V",IF(DF17&gt;=INDEX('[1]Définition Maintenances'!$G:$G,MATCH($A17,'[1]Définition Maintenances'!$K:$K,0)),DF17,INDEX('[1]Définition Maintenances'!$G:$G,MATCH($A17,'[1]Définition Maintenances'!$K:$K,0))+DF17),DF17))</f>
        <v>213</v>
      </c>
      <c r="DH17" s="26">
        <f>IF(ISNUMBER(VLOOKUP($D17,'Visu totale'!$D:$DH,DH$1,0)),DG17-VLOOKUP($D17,'Visu totale'!$D:$DH,DH$1,0),IF(LEFT(VLOOKUP($D17,'Visu totale'!$D:$DH,DH$1,0),1)="V",IF(DG17&gt;=INDEX('[1]Définition Maintenances'!$G:$G,MATCH($A17,'[1]Définition Maintenances'!$K:$K,0)),DG17,INDEX('[1]Définition Maintenances'!$G:$G,MATCH($A17,'[1]Définition Maintenances'!$K:$K,0))+DG17),DG17))</f>
        <v>213</v>
      </c>
      <c r="DI17" s="27">
        <f>IF(ISNUMBER(VLOOKUP($D17,'Visu totale'!$D:$DH,DI$1,0)),DH17-VLOOKUP($D17,'Visu totale'!$D:$DH,DI$1,0),IF(LEFT(VLOOKUP($D17,'Visu totale'!$D:$DH,DI$1,0),1)="V",IF(DH17&gt;=INDEX('[1]Définition Maintenances'!$G:$G,MATCH($A17,'[1]Définition Maintenances'!$K:$K,0)),DH17,INDEX('[1]Définition Maintenances'!$G:$G,MATCH($A17,'[1]Définition Maintenances'!$K:$K,0))+DH17),DH17))</f>
        <v>213</v>
      </c>
    </row>
    <row r="18" spans="1:113" x14ac:dyDescent="0.25">
      <c r="A18" s="13" t="str">
        <f t="shared" si="0"/>
        <v>V10D</v>
      </c>
      <c r="B18" s="13" t="str">
        <f>VLOOKUP(D18,'[1]Avions (Potentiels)'!$B$2:$H$128,7,FALSE)</f>
        <v>V10</v>
      </c>
      <c r="C18" s="13"/>
      <c r="D18" s="16" t="s">
        <v>21</v>
      </c>
      <c r="E18" s="13">
        <f>IFERROR(VALUE(SUBSTITUTE(VLOOKUP(D18,'[1]Avions (Potentiels)'!$B:$E,4,0),".",",")),VALUE(VLOOKUP(D18,'[1]Avions (Potentiels)'!$B:$E,4,0)))</f>
        <v>410</v>
      </c>
      <c r="F18" s="25">
        <f>IF(ISNUMBER(VLOOKUP($D18,'Visu totale'!$D:$DH,F$1,0)),E18-VLOOKUP($D18,'Visu totale'!$D:$DH,F$1,0),IF(LEFT(VLOOKUP($D18,'Visu totale'!$D:$DH,F$1,0),1)="V",IF(E18&gt;=INDEX('[1]Définition Maintenances'!$G:$G,MATCH($A18,'[1]Définition Maintenances'!$K:$K,0)),E18,INDEX('[1]Définition Maintenances'!$G:$G,MATCH($A18,'[1]Définition Maintenances'!$K:$K,0))+E18),E18))</f>
        <v>410</v>
      </c>
      <c r="G18" s="26">
        <f>IF(ISNUMBER(VLOOKUP($D18,'Visu totale'!$D:$DH,G$1,0)),F18-VLOOKUP($D18,'Visu totale'!$D:$DH,G$1,0),IF(LEFT(VLOOKUP($D18,'Visu totale'!$D:$DH,G$1,0),1)="V",IF(F18&gt;=INDEX('[1]Définition Maintenances'!$G:$G,MATCH($A18,'[1]Définition Maintenances'!$K:$K,0)),F18,INDEX('[1]Définition Maintenances'!$G:$G,MATCH($A18,'[1]Définition Maintenances'!$K:$K,0))+F18),F18))</f>
        <v>410</v>
      </c>
      <c r="H18" s="26">
        <f>IF(ISNUMBER(VLOOKUP($D18,'Visu totale'!$D:$DH,H$1,0)),G18-VLOOKUP($D18,'Visu totale'!$D:$DH,H$1,0),IF(LEFT(VLOOKUP($D18,'Visu totale'!$D:$DH,H$1,0),1)="V",IF(G18&gt;=INDEX('[1]Définition Maintenances'!$G:$G,MATCH($A18,'[1]Définition Maintenances'!$K:$K,0)),G18,INDEX('[1]Définition Maintenances'!$G:$G,MATCH($A18,'[1]Définition Maintenances'!$K:$K,0))+G18),G18))</f>
        <v>410</v>
      </c>
      <c r="I18" s="26">
        <f>IF(ISNUMBER(VLOOKUP($D18,'Visu totale'!$D:$DH,I$1,0)),H18-VLOOKUP($D18,'Visu totale'!$D:$DH,I$1,0),IF(LEFT(VLOOKUP($D18,'Visu totale'!$D:$DH,I$1,0),1)="V",IF(H18&gt;=INDEX('[1]Définition Maintenances'!$G:$G,MATCH($A18,'[1]Définition Maintenances'!$K:$K,0)),H18,INDEX('[1]Définition Maintenances'!$G:$G,MATCH($A18,'[1]Définition Maintenances'!$K:$K,0))+H18),H18))</f>
        <v>410</v>
      </c>
      <c r="J18" s="26">
        <f>IF(ISNUMBER(VLOOKUP($D18,'Visu totale'!$D:$DH,J$1,0)),I18-VLOOKUP($D18,'Visu totale'!$D:$DH,J$1,0),IF(LEFT(VLOOKUP($D18,'Visu totale'!$D:$DH,J$1,0),1)="V",IF(I18&gt;=INDEX('[1]Définition Maintenances'!$G:$G,MATCH($A18,'[1]Définition Maintenances'!$K:$K,0)),I18,INDEX('[1]Définition Maintenances'!$G:$G,MATCH($A18,'[1]Définition Maintenances'!$K:$K,0))+I18),I18))</f>
        <v>410</v>
      </c>
      <c r="K18" s="26">
        <f>IF(ISNUMBER(VLOOKUP($D18,'Visu totale'!$D:$DH,K$1,0)),J18-VLOOKUP($D18,'Visu totale'!$D:$DH,K$1,0),IF(LEFT(VLOOKUP($D18,'Visu totale'!$D:$DH,K$1,0),1)="V",IF(J18&gt;=INDEX('[1]Définition Maintenances'!$G:$G,MATCH($A18,'[1]Définition Maintenances'!$K:$K,0)),J18,INDEX('[1]Définition Maintenances'!$G:$G,MATCH($A18,'[1]Définition Maintenances'!$K:$K,0))+J18),J18))</f>
        <v>410</v>
      </c>
      <c r="L18" s="26">
        <f>IF(ISNUMBER(VLOOKUP($D18,'Visu totale'!$D:$DH,L$1,0)),K18-VLOOKUP($D18,'Visu totale'!$D:$DH,L$1,0),IF(LEFT(VLOOKUP($D18,'Visu totale'!$D:$DH,L$1,0),1)="V",IF(K18&gt;=INDEX('[1]Définition Maintenances'!$G:$G,MATCH($A18,'[1]Définition Maintenances'!$K:$K,0)),K18,INDEX('[1]Définition Maintenances'!$G:$G,MATCH($A18,'[1]Définition Maintenances'!$K:$K,0))+K18),K18))</f>
        <v>410</v>
      </c>
      <c r="M18" s="26">
        <f>IF(ISNUMBER(VLOOKUP($D18,'Visu totale'!$D:$DH,M$1,0)),L18-VLOOKUP($D18,'Visu totale'!$D:$DH,M$1,0),IF(LEFT(VLOOKUP($D18,'Visu totale'!$D:$DH,M$1,0),1)="V",IF(L18&gt;=INDEX('[1]Définition Maintenances'!$G:$G,MATCH($A18,'[1]Définition Maintenances'!$K:$K,0)),L18,INDEX('[1]Définition Maintenances'!$G:$G,MATCH($A18,'[1]Définition Maintenances'!$K:$K,0))+L18),L18))</f>
        <v>410</v>
      </c>
      <c r="N18" s="26">
        <f>IF(ISNUMBER(VLOOKUP($D18,'Visu totale'!$D:$DH,N$1,0)),M18-VLOOKUP($D18,'Visu totale'!$D:$DH,N$1,0),IF(LEFT(VLOOKUP($D18,'Visu totale'!$D:$DH,N$1,0),1)="V",IF(M18&gt;=INDEX('[1]Définition Maintenances'!$G:$G,MATCH($A18,'[1]Définition Maintenances'!$K:$K,0)),M18,INDEX('[1]Définition Maintenances'!$G:$G,MATCH($A18,'[1]Définition Maintenances'!$K:$K,0))+M18),M18))</f>
        <v>410</v>
      </c>
      <c r="O18" s="26">
        <f>IF(ISNUMBER(VLOOKUP($D18,'Visu totale'!$D:$DH,O$1,0)),N18-VLOOKUP($D18,'Visu totale'!$D:$DH,O$1,0),IF(LEFT(VLOOKUP($D18,'Visu totale'!$D:$DH,O$1,0),1)="V",IF(N18&gt;=INDEX('[1]Définition Maintenances'!$G:$G,MATCH($A18,'[1]Définition Maintenances'!$K:$K,0)),N18,INDEX('[1]Définition Maintenances'!$G:$G,MATCH($A18,'[1]Définition Maintenances'!$K:$K,0))+N18),N18))</f>
        <v>410</v>
      </c>
      <c r="P18" s="26">
        <f>IF(ISNUMBER(VLOOKUP($D18,'Visu totale'!$D:$DH,P$1,0)),O18-VLOOKUP($D18,'Visu totale'!$D:$DH,P$1,0),IF(LEFT(VLOOKUP($D18,'Visu totale'!$D:$DH,P$1,0),1)="V",IF(O18&gt;=INDEX('[1]Définition Maintenances'!$G:$G,MATCH($A18,'[1]Définition Maintenances'!$K:$K,0)),O18,INDEX('[1]Définition Maintenances'!$G:$G,MATCH($A18,'[1]Définition Maintenances'!$K:$K,0))+O18),O18))</f>
        <v>410</v>
      </c>
      <c r="Q18" s="27">
        <f>IF(ISNUMBER(VLOOKUP($D18,'Visu totale'!$D:$DH,Q$1,0)),P18-VLOOKUP($D18,'Visu totale'!$D:$DH,Q$1,0),IF(LEFT(VLOOKUP($D18,'Visu totale'!$D:$DH,Q$1,0),1)="V",IF(P18&gt;=INDEX('[1]Définition Maintenances'!$G:$G,MATCH($A18,'[1]Définition Maintenances'!$K:$K,0)),P18,INDEX('[1]Définition Maintenances'!$G:$G,MATCH($A18,'[1]Définition Maintenances'!$K:$K,0))+P18),P18))</f>
        <v>410</v>
      </c>
      <c r="R18" s="25">
        <f>IF(ISNUMBER(VLOOKUP($D18,'Visu totale'!$D:$DH,R$1,0)),Q18-VLOOKUP($D18,'Visu totale'!$D:$DH,R$1,0),IF(LEFT(VLOOKUP($D18,'Visu totale'!$D:$DH,R$1,0),1)="V",IF(Q18&gt;=INDEX('[1]Définition Maintenances'!$G:$G,MATCH($A18,'[1]Définition Maintenances'!$K:$K,0)),Q18,INDEX('[1]Définition Maintenances'!$G:$G,MATCH($A18,'[1]Définition Maintenances'!$K:$K,0))+Q18),Q18))</f>
        <v>410</v>
      </c>
      <c r="S18" s="26">
        <f>IF(ISNUMBER(VLOOKUP($D18,'Visu totale'!$D:$DH,S$1,0)),R18-VLOOKUP($D18,'Visu totale'!$D:$DH,S$1,0),IF(LEFT(VLOOKUP($D18,'Visu totale'!$D:$DH,S$1,0),1)="V",IF(R18&gt;=INDEX('[1]Définition Maintenances'!$G:$G,MATCH($A18,'[1]Définition Maintenances'!$K:$K,0)),R18,INDEX('[1]Définition Maintenances'!$G:$G,MATCH($A18,'[1]Définition Maintenances'!$K:$K,0))+R18),R18))</f>
        <v>410</v>
      </c>
      <c r="T18" s="26">
        <f>IF(ISNUMBER(VLOOKUP($D18,'Visu totale'!$D:$DH,T$1,0)),S18-VLOOKUP($D18,'Visu totale'!$D:$DH,T$1,0),IF(LEFT(VLOOKUP($D18,'Visu totale'!$D:$DH,T$1,0),1)="V",IF(S18&gt;=INDEX('[1]Définition Maintenances'!$G:$G,MATCH($A18,'[1]Définition Maintenances'!$K:$K,0)),S18,INDEX('[1]Définition Maintenances'!$G:$G,MATCH($A18,'[1]Définition Maintenances'!$K:$K,0))+S18),S18))</f>
        <v>410</v>
      </c>
      <c r="U18" s="26">
        <f>IF(ISNUMBER(VLOOKUP($D18,'Visu totale'!$D:$DH,U$1,0)),T18-VLOOKUP($D18,'Visu totale'!$D:$DH,U$1,0),IF(LEFT(VLOOKUP($D18,'Visu totale'!$D:$DH,U$1,0),1)="V",IF(T18&gt;=INDEX('[1]Définition Maintenances'!$G:$G,MATCH($A18,'[1]Définition Maintenances'!$K:$K,0)),T18,INDEX('[1]Définition Maintenances'!$G:$G,MATCH($A18,'[1]Définition Maintenances'!$K:$K,0))+T18),T18))</f>
        <v>410</v>
      </c>
      <c r="V18" s="26">
        <f>IF(ISNUMBER(VLOOKUP($D18,'Visu totale'!$D:$DH,V$1,0)),U18-VLOOKUP($D18,'Visu totale'!$D:$DH,V$1,0),IF(LEFT(VLOOKUP($D18,'Visu totale'!$D:$DH,V$1,0),1)="V",IF(U18&gt;=INDEX('[1]Définition Maintenances'!$G:$G,MATCH($A18,'[1]Définition Maintenances'!$K:$K,0)),U18,INDEX('[1]Définition Maintenances'!$G:$G,MATCH($A18,'[1]Définition Maintenances'!$K:$K,0))+U18),U18))</f>
        <v>410</v>
      </c>
      <c r="W18" s="26">
        <f>IF(ISNUMBER(VLOOKUP($D18,'Visu totale'!$D:$DH,W$1,0)),V18-VLOOKUP($D18,'Visu totale'!$D:$DH,W$1,0),IF(LEFT(VLOOKUP($D18,'Visu totale'!$D:$DH,W$1,0),1)="V",IF(V18&gt;=INDEX('[1]Définition Maintenances'!$G:$G,MATCH($A18,'[1]Définition Maintenances'!$K:$K,0)),V18,INDEX('[1]Définition Maintenances'!$G:$G,MATCH($A18,'[1]Définition Maintenances'!$K:$K,0))+V18),V18))</f>
        <v>410</v>
      </c>
      <c r="X18" s="26">
        <f>IF(ISNUMBER(VLOOKUP($D18,'Visu totale'!$D:$DH,X$1,0)),W18-VLOOKUP($D18,'Visu totale'!$D:$DH,X$1,0),IF(LEFT(VLOOKUP($D18,'Visu totale'!$D:$DH,X$1,0),1)="V",IF(W18&gt;=INDEX('[1]Définition Maintenances'!$G:$G,MATCH($A18,'[1]Définition Maintenances'!$K:$K,0)),W18,INDEX('[1]Définition Maintenances'!$G:$G,MATCH($A18,'[1]Définition Maintenances'!$K:$K,0))+W18),W18))</f>
        <v>410</v>
      </c>
      <c r="Y18" s="26">
        <f>IF(ISNUMBER(VLOOKUP($D18,'Visu totale'!$D:$DH,Y$1,0)),X18-VLOOKUP($D18,'Visu totale'!$D:$DH,Y$1,0),IF(LEFT(VLOOKUP($D18,'Visu totale'!$D:$DH,Y$1,0),1)="V",IF(X18&gt;=INDEX('[1]Définition Maintenances'!$G:$G,MATCH($A18,'[1]Définition Maintenances'!$K:$K,0)),X18,INDEX('[1]Définition Maintenances'!$G:$G,MATCH($A18,'[1]Définition Maintenances'!$K:$K,0))+X18),X18))</f>
        <v>410</v>
      </c>
      <c r="Z18" s="26">
        <f>IF(ISNUMBER(VLOOKUP($D18,'Visu totale'!$D:$DH,Z$1,0)),Y18-VLOOKUP($D18,'Visu totale'!$D:$DH,Z$1,0),IF(LEFT(VLOOKUP($D18,'Visu totale'!$D:$DH,Z$1,0),1)="V",IF(Y18&gt;=INDEX('[1]Définition Maintenances'!$G:$G,MATCH($A18,'[1]Définition Maintenances'!$K:$K,0)),Y18,INDEX('[1]Définition Maintenances'!$G:$G,MATCH($A18,'[1]Définition Maintenances'!$K:$K,0))+Y18),Y18))</f>
        <v>410</v>
      </c>
      <c r="AA18" s="26">
        <f>IF(ISNUMBER(VLOOKUP($D18,'Visu totale'!$D:$DH,AA$1,0)),Z18-VLOOKUP($D18,'Visu totale'!$D:$DH,AA$1,0),IF(LEFT(VLOOKUP($D18,'Visu totale'!$D:$DH,AA$1,0),1)="V",IF(Z18&gt;=INDEX('[1]Définition Maintenances'!$G:$G,MATCH($A18,'[1]Définition Maintenances'!$K:$K,0)),Z18,INDEX('[1]Définition Maintenances'!$G:$G,MATCH($A18,'[1]Définition Maintenances'!$K:$K,0))+Z18),Z18))</f>
        <v>410</v>
      </c>
      <c r="AB18" s="26">
        <f>IF(ISNUMBER(VLOOKUP($D18,'Visu totale'!$D:$DH,AB$1,0)),AA18-VLOOKUP($D18,'Visu totale'!$D:$DH,AB$1,0),IF(LEFT(VLOOKUP($D18,'Visu totale'!$D:$DH,AB$1,0),1)="V",IF(AA18&gt;=INDEX('[1]Définition Maintenances'!$G:$G,MATCH($A18,'[1]Définition Maintenances'!$K:$K,0)),AA18,INDEX('[1]Définition Maintenances'!$G:$G,MATCH($A18,'[1]Définition Maintenances'!$K:$K,0))+AA18),AA18))</f>
        <v>410</v>
      </c>
      <c r="AC18" s="27">
        <f>IF(ISNUMBER(VLOOKUP($D18,'Visu totale'!$D:$DH,AC$1,0)),AB18-VLOOKUP($D18,'Visu totale'!$D:$DH,AC$1,0),IF(LEFT(VLOOKUP($D18,'Visu totale'!$D:$DH,AC$1,0),1)="V",IF(AB18&gt;=INDEX('[1]Définition Maintenances'!$G:$G,MATCH($A18,'[1]Définition Maintenances'!$K:$K,0)),AB18,INDEX('[1]Définition Maintenances'!$G:$G,MATCH($A18,'[1]Définition Maintenances'!$K:$K,0))+AB18),AB18))</f>
        <v>410</v>
      </c>
      <c r="AD18" s="25">
        <f>IF(ISNUMBER(VLOOKUP($D18,'Visu totale'!$D:$DH,AD$1,0)),AC18-VLOOKUP($D18,'Visu totale'!$D:$DH,AD$1,0),IF(LEFT(VLOOKUP($D18,'Visu totale'!$D:$DH,AD$1,0),1)="V",IF(AC18&gt;=INDEX('[1]Définition Maintenances'!$G:$G,MATCH($A18,'[1]Définition Maintenances'!$K:$K,0)),AC18,INDEX('[1]Définition Maintenances'!$G:$G,MATCH($A18,'[1]Définition Maintenances'!$K:$K,0))+AC18),AC18))</f>
        <v>410</v>
      </c>
      <c r="AE18" s="26">
        <f>IF(ISNUMBER(VLOOKUP($D18,'Visu totale'!$D:$DH,AE$1,0)),AD18-VLOOKUP($D18,'Visu totale'!$D:$DH,AE$1,0),IF(LEFT(VLOOKUP($D18,'Visu totale'!$D:$DH,AE$1,0),1)="V",IF(AD18&gt;=INDEX('[1]Définition Maintenances'!$G:$G,MATCH($A18,'[1]Définition Maintenances'!$K:$K,0)),AD18,INDEX('[1]Définition Maintenances'!$G:$G,MATCH($A18,'[1]Définition Maintenances'!$K:$K,0))+AD18),AD18))</f>
        <v>410</v>
      </c>
      <c r="AF18" s="26">
        <f>IF(ISNUMBER(VLOOKUP($D18,'Visu totale'!$D:$DH,AF$1,0)),AE18-VLOOKUP($D18,'Visu totale'!$D:$DH,AF$1,0),IF(LEFT(VLOOKUP($D18,'Visu totale'!$D:$DH,AF$1,0),1)="V",IF(AE18&gt;=INDEX('[1]Définition Maintenances'!$G:$G,MATCH($A18,'[1]Définition Maintenances'!$K:$K,0)),AE18,INDEX('[1]Définition Maintenances'!$G:$G,MATCH($A18,'[1]Définition Maintenances'!$K:$K,0))+AE18),AE18))</f>
        <v>410</v>
      </c>
      <c r="AG18" s="26">
        <f>IF(ISNUMBER(VLOOKUP($D18,'Visu totale'!$D:$DH,AG$1,0)),AF18-VLOOKUP($D18,'Visu totale'!$D:$DH,AG$1,0),IF(LEFT(VLOOKUP($D18,'Visu totale'!$D:$DH,AG$1,0),1)="V",IF(AF18&gt;=INDEX('[1]Définition Maintenances'!$G:$G,MATCH($A18,'[1]Définition Maintenances'!$K:$K,0)),AF18,INDEX('[1]Définition Maintenances'!$G:$G,MATCH($A18,'[1]Définition Maintenances'!$K:$K,0))+AF18),AF18))</f>
        <v>410</v>
      </c>
      <c r="AH18" s="26">
        <f>IF(ISNUMBER(VLOOKUP($D18,'Visu totale'!$D:$DH,AH$1,0)),AG18-VLOOKUP($D18,'Visu totale'!$D:$DH,AH$1,0),IF(LEFT(VLOOKUP($D18,'Visu totale'!$D:$DH,AH$1,0),1)="V",IF(AG18&gt;=INDEX('[1]Définition Maintenances'!$G:$G,MATCH($A18,'[1]Définition Maintenances'!$K:$K,0)),AG18,INDEX('[1]Définition Maintenances'!$G:$G,MATCH($A18,'[1]Définition Maintenances'!$K:$K,0))+AG18),AG18))</f>
        <v>410</v>
      </c>
      <c r="AI18" s="26">
        <f>IF(ISNUMBER(VLOOKUP($D18,'Visu totale'!$D:$DH,AI$1,0)),AH18-VLOOKUP($D18,'Visu totale'!$D:$DH,AI$1,0),IF(LEFT(VLOOKUP($D18,'Visu totale'!$D:$DH,AI$1,0),1)="V",IF(AH18&gt;=INDEX('[1]Définition Maintenances'!$G:$G,MATCH($A18,'[1]Définition Maintenances'!$K:$K,0)),AH18,INDEX('[1]Définition Maintenances'!$G:$G,MATCH($A18,'[1]Définition Maintenances'!$K:$K,0))+AH18),AH18))</f>
        <v>410</v>
      </c>
      <c r="AJ18" s="26">
        <f>IF(ISNUMBER(VLOOKUP($D18,'Visu totale'!$D:$DH,AJ$1,0)),AI18-VLOOKUP($D18,'Visu totale'!$D:$DH,AJ$1,0),IF(LEFT(VLOOKUP($D18,'Visu totale'!$D:$DH,AJ$1,0),1)="V",IF(AI18&gt;=INDEX('[1]Définition Maintenances'!$G:$G,MATCH($A18,'[1]Définition Maintenances'!$K:$K,0)),AI18,INDEX('[1]Définition Maintenances'!$G:$G,MATCH($A18,'[1]Définition Maintenances'!$K:$K,0))+AI18),AI18))</f>
        <v>410</v>
      </c>
      <c r="AK18" s="26">
        <f>IF(ISNUMBER(VLOOKUP($D18,'Visu totale'!$D:$DH,AK$1,0)),AJ18-VLOOKUP($D18,'Visu totale'!$D:$DH,AK$1,0),IF(LEFT(VLOOKUP($D18,'Visu totale'!$D:$DH,AK$1,0),1)="V",IF(AJ18&gt;=INDEX('[1]Définition Maintenances'!$G:$G,MATCH($A18,'[1]Définition Maintenances'!$K:$K,0)),AJ18,INDEX('[1]Définition Maintenances'!$G:$G,MATCH($A18,'[1]Définition Maintenances'!$K:$K,0))+AJ18),AJ18))</f>
        <v>410</v>
      </c>
      <c r="AL18" s="26">
        <f>IF(ISNUMBER(VLOOKUP($D18,'Visu totale'!$D:$DH,AL$1,0)),AK18-VLOOKUP($D18,'Visu totale'!$D:$DH,AL$1,0),IF(LEFT(VLOOKUP($D18,'Visu totale'!$D:$DH,AL$1,0),1)="V",IF(AK18&gt;=INDEX('[1]Définition Maintenances'!$G:$G,MATCH($A18,'[1]Définition Maintenances'!$K:$K,0)),AK18,INDEX('[1]Définition Maintenances'!$G:$G,MATCH($A18,'[1]Définition Maintenances'!$K:$K,0))+AK18),AK18))</f>
        <v>410</v>
      </c>
      <c r="AM18" s="26">
        <f>IF(ISNUMBER(VLOOKUP($D18,'Visu totale'!$D:$DH,AM$1,0)),AL18-VLOOKUP($D18,'Visu totale'!$D:$DH,AM$1,0),IF(LEFT(VLOOKUP($D18,'Visu totale'!$D:$DH,AM$1,0),1)="V",IF(AL18&gt;=INDEX('[1]Définition Maintenances'!$G:$G,MATCH($A18,'[1]Définition Maintenances'!$K:$K,0)),AL18,INDEX('[1]Définition Maintenances'!$G:$G,MATCH($A18,'[1]Définition Maintenances'!$K:$K,0))+AL18),AL18))</f>
        <v>410</v>
      </c>
      <c r="AN18" s="26">
        <f>IF(ISNUMBER(VLOOKUP($D18,'Visu totale'!$D:$DH,AN$1,0)),AM18-VLOOKUP($D18,'Visu totale'!$D:$DH,AN$1,0),IF(LEFT(VLOOKUP($D18,'Visu totale'!$D:$DH,AN$1,0),1)="V",IF(AM18&gt;=INDEX('[1]Définition Maintenances'!$G:$G,MATCH($A18,'[1]Définition Maintenances'!$K:$K,0)),AM18,INDEX('[1]Définition Maintenances'!$G:$G,MATCH($A18,'[1]Définition Maintenances'!$K:$K,0))+AM18),AM18))</f>
        <v>410</v>
      </c>
      <c r="AO18" s="27">
        <f>IF(ISNUMBER(VLOOKUP($D18,'Visu totale'!$D:$DH,AO$1,0)),AN18-VLOOKUP($D18,'Visu totale'!$D:$DH,AO$1,0),IF(LEFT(VLOOKUP($D18,'Visu totale'!$D:$DH,AO$1,0),1)="V",IF(AN18&gt;=INDEX('[1]Définition Maintenances'!$G:$G,MATCH($A18,'[1]Définition Maintenances'!$K:$K,0)),AN18,INDEX('[1]Définition Maintenances'!$G:$G,MATCH($A18,'[1]Définition Maintenances'!$K:$K,0))+AN18),AN18))</f>
        <v>410</v>
      </c>
      <c r="AP18" s="25">
        <f>IF(ISNUMBER(VLOOKUP($D18,'Visu totale'!$D:$DH,AP$1,0)),AO18-VLOOKUP($D18,'Visu totale'!$D:$DH,AP$1,0),IF(LEFT(VLOOKUP($D18,'Visu totale'!$D:$DH,AP$1,0),1)="V",IF(AO18&gt;=INDEX('[1]Définition Maintenances'!$G:$G,MATCH($A18,'[1]Définition Maintenances'!$K:$K,0)),AO18,INDEX('[1]Définition Maintenances'!$G:$G,MATCH($A18,'[1]Définition Maintenances'!$K:$K,0))+AO18),AO18))</f>
        <v>410</v>
      </c>
      <c r="AQ18" s="26">
        <f>IF(ISNUMBER(VLOOKUP($D18,'Visu totale'!$D:$DH,AQ$1,0)),AP18-VLOOKUP($D18,'Visu totale'!$D:$DH,AQ$1,0),IF(LEFT(VLOOKUP($D18,'Visu totale'!$D:$DH,AQ$1,0),1)="V",IF(AP18&gt;=INDEX('[1]Définition Maintenances'!$G:$G,MATCH($A18,'[1]Définition Maintenances'!$K:$K,0)),AP18,INDEX('[1]Définition Maintenances'!$G:$G,MATCH($A18,'[1]Définition Maintenances'!$K:$K,0))+AP18),AP18))</f>
        <v>410</v>
      </c>
      <c r="AR18" s="26">
        <f>IF(ISNUMBER(VLOOKUP($D18,'Visu totale'!$D:$DH,AR$1,0)),AQ18-VLOOKUP($D18,'Visu totale'!$D:$DH,AR$1,0),IF(LEFT(VLOOKUP($D18,'Visu totale'!$D:$DH,AR$1,0),1)="V",IF(AQ18&gt;=INDEX('[1]Définition Maintenances'!$G:$G,MATCH($A18,'[1]Définition Maintenances'!$K:$K,0)),AQ18,INDEX('[1]Définition Maintenances'!$G:$G,MATCH($A18,'[1]Définition Maintenances'!$K:$K,0))+AQ18),AQ18))</f>
        <v>410</v>
      </c>
      <c r="AS18" s="26">
        <f>IF(ISNUMBER(VLOOKUP($D18,'Visu totale'!$D:$DH,AS$1,0)),AR18-VLOOKUP($D18,'Visu totale'!$D:$DH,AS$1,0),IF(LEFT(VLOOKUP($D18,'Visu totale'!$D:$DH,AS$1,0),1)="V",IF(AR18&gt;=INDEX('[1]Définition Maintenances'!$G:$G,MATCH($A18,'[1]Définition Maintenances'!$K:$K,0)),AR18,INDEX('[1]Définition Maintenances'!$G:$G,MATCH($A18,'[1]Définition Maintenances'!$K:$K,0))+AR18),AR18))</f>
        <v>410</v>
      </c>
      <c r="AT18" s="26">
        <f>IF(ISNUMBER(VLOOKUP($D18,'Visu totale'!$D:$DH,AT$1,0)),AS18-VLOOKUP($D18,'Visu totale'!$D:$DH,AT$1,0),IF(LEFT(VLOOKUP($D18,'Visu totale'!$D:$DH,AT$1,0),1)="V",IF(AS18&gt;=INDEX('[1]Définition Maintenances'!$G:$G,MATCH($A18,'[1]Définition Maintenances'!$K:$K,0)),AS18,INDEX('[1]Définition Maintenances'!$G:$G,MATCH($A18,'[1]Définition Maintenances'!$K:$K,0))+AS18),AS18))</f>
        <v>410</v>
      </c>
      <c r="AU18" s="26">
        <f>IF(ISNUMBER(VLOOKUP($D18,'Visu totale'!$D:$DH,AU$1,0)),AT18-VLOOKUP($D18,'Visu totale'!$D:$DH,AU$1,0),IF(LEFT(VLOOKUP($D18,'Visu totale'!$D:$DH,AU$1,0),1)="V",IF(AT18&gt;=INDEX('[1]Définition Maintenances'!$G:$G,MATCH($A18,'[1]Définition Maintenances'!$K:$K,0)),AT18,INDEX('[1]Définition Maintenances'!$G:$G,MATCH($A18,'[1]Définition Maintenances'!$K:$K,0))+AT18),AT18))</f>
        <v>410</v>
      </c>
      <c r="AV18" s="26">
        <f>IF(ISNUMBER(VLOOKUP($D18,'Visu totale'!$D:$DH,AV$1,0)),AU18-VLOOKUP($D18,'Visu totale'!$D:$DH,AV$1,0),IF(LEFT(VLOOKUP($D18,'Visu totale'!$D:$DH,AV$1,0),1)="V",IF(AU18&gt;=INDEX('[1]Définition Maintenances'!$G:$G,MATCH($A18,'[1]Définition Maintenances'!$K:$K,0)),AU18,INDEX('[1]Définition Maintenances'!$G:$G,MATCH($A18,'[1]Définition Maintenances'!$K:$K,0))+AU18),AU18))</f>
        <v>410</v>
      </c>
      <c r="AW18" s="26">
        <f>IF(ISNUMBER(VLOOKUP($D18,'Visu totale'!$D:$DH,AW$1,0)),AV18-VLOOKUP($D18,'Visu totale'!$D:$DH,AW$1,0),IF(LEFT(VLOOKUP($D18,'Visu totale'!$D:$DH,AW$1,0),1)="V",IF(AV18&gt;=INDEX('[1]Définition Maintenances'!$G:$G,MATCH($A18,'[1]Définition Maintenances'!$K:$K,0)),AV18,INDEX('[1]Définition Maintenances'!$G:$G,MATCH($A18,'[1]Définition Maintenances'!$K:$K,0))+AV18),AV18))</f>
        <v>410</v>
      </c>
      <c r="AX18" s="26">
        <f>IF(ISNUMBER(VLOOKUP($D18,'Visu totale'!$D:$DH,AX$1,0)),AW18-VLOOKUP($D18,'Visu totale'!$D:$DH,AX$1,0),IF(LEFT(VLOOKUP($D18,'Visu totale'!$D:$DH,AX$1,0),1)="V",IF(AW18&gt;=INDEX('[1]Définition Maintenances'!$G:$G,MATCH($A18,'[1]Définition Maintenances'!$K:$K,0)),AW18,INDEX('[1]Définition Maintenances'!$G:$G,MATCH($A18,'[1]Définition Maintenances'!$K:$K,0))+AW18),AW18))</f>
        <v>410</v>
      </c>
      <c r="AY18" s="26">
        <f>IF(ISNUMBER(VLOOKUP($D18,'Visu totale'!$D:$DH,AY$1,0)),AX18-VLOOKUP($D18,'Visu totale'!$D:$DH,AY$1,0),IF(LEFT(VLOOKUP($D18,'Visu totale'!$D:$DH,AY$1,0),1)="V",IF(AX18&gt;=INDEX('[1]Définition Maintenances'!$G:$G,MATCH($A18,'[1]Définition Maintenances'!$K:$K,0)),AX18,INDEX('[1]Définition Maintenances'!$G:$G,MATCH($A18,'[1]Définition Maintenances'!$K:$K,0))+AX18),AX18))</f>
        <v>410</v>
      </c>
      <c r="AZ18" s="26">
        <f>IF(ISNUMBER(VLOOKUP($D18,'Visu totale'!$D:$DH,AZ$1,0)),AY18-VLOOKUP($D18,'Visu totale'!$D:$DH,AZ$1,0),IF(LEFT(VLOOKUP($D18,'Visu totale'!$D:$DH,AZ$1,0),1)="V",IF(AY18&gt;=INDEX('[1]Définition Maintenances'!$G:$G,MATCH($A18,'[1]Définition Maintenances'!$K:$K,0)),AY18,INDEX('[1]Définition Maintenances'!$G:$G,MATCH($A18,'[1]Définition Maintenances'!$K:$K,0))+AY18),AY18))</f>
        <v>410</v>
      </c>
      <c r="BA18" s="27">
        <f>IF(ISNUMBER(VLOOKUP($D18,'Visu totale'!$D:$DH,BA$1,0)),AZ18-VLOOKUP($D18,'Visu totale'!$D:$DH,BA$1,0),IF(LEFT(VLOOKUP($D18,'Visu totale'!$D:$DH,BA$1,0),1)="V",IF(AZ18&gt;=INDEX('[1]Définition Maintenances'!$G:$G,MATCH($A18,'[1]Définition Maintenances'!$K:$K,0)),AZ18,INDEX('[1]Définition Maintenances'!$G:$G,MATCH($A18,'[1]Définition Maintenances'!$K:$K,0))+AZ18),AZ18))</f>
        <v>410</v>
      </c>
      <c r="BB18" s="25">
        <f>IF(ISNUMBER(VLOOKUP($D18,'Visu totale'!$D:$DH,BB$1,0)),BA18-VLOOKUP($D18,'Visu totale'!$D:$DH,BB$1,0),IF(LEFT(VLOOKUP($D18,'Visu totale'!$D:$DH,BB$1,0),1)="V",IF(BA18&gt;=INDEX('[1]Définition Maintenances'!$G:$G,MATCH($A18,'[1]Définition Maintenances'!$K:$K,0)),BA18,INDEX('[1]Définition Maintenances'!$G:$G,MATCH($A18,'[1]Définition Maintenances'!$K:$K,0))+BA18),BA18))</f>
        <v>410</v>
      </c>
      <c r="BC18" s="26">
        <f>IF(ISNUMBER(VLOOKUP($D18,'Visu totale'!$D:$DH,BC$1,0)),BB18-VLOOKUP($D18,'Visu totale'!$D:$DH,BC$1,0),IF(LEFT(VLOOKUP($D18,'Visu totale'!$D:$DH,BC$1,0),1)="V",IF(BB18&gt;=INDEX('[1]Définition Maintenances'!$G:$G,MATCH($A18,'[1]Définition Maintenances'!$K:$K,0)),BB18,INDEX('[1]Définition Maintenances'!$G:$G,MATCH($A18,'[1]Définition Maintenances'!$K:$K,0))+BB18),BB18))</f>
        <v>410</v>
      </c>
      <c r="BD18" s="26">
        <f>IF(ISNUMBER(VLOOKUP($D18,'Visu totale'!$D:$DH,BD$1,0)),BC18-VLOOKUP($D18,'Visu totale'!$D:$DH,BD$1,0),IF(LEFT(VLOOKUP($D18,'Visu totale'!$D:$DH,BD$1,0),1)="V",IF(BC18&gt;=INDEX('[1]Définition Maintenances'!$G:$G,MATCH($A18,'[1]Définition Maintenances'!$K:$K,0)),BC18,INDEX('[1]Définition Maintenances'!$G:$G,MATCH($A18,'[1]Définition Maintenances'!$K:$K,0))+BC18),BC18))</f>
        <v>410</v>
      </c>
      <c r="BE18" s="26">
        <f>IF(ISNUMBER(VLOOKUP($D18,'Visu totale'!$D:$DH,BE$1,0)),BD18-VLOOKUP($D18,'Visu totale'!$D:$DH,BE$1,0),IF(LEFT(VLOOKUP($D18,'Visu totale'!$D:$DH,BE$1,0),1)="V",IF(BD18&gt;=INDEX('[1]Définition Maintenances'!$G:$G,MATCH($A18,'[1]Définition Maintenances'!$K:$K,0)),BD18,INDEX('[1]Définition Maintenances'!$G:$G,MATCH($A18,'[1]Définition Maintenances'!$K:$K,0))+BD18),BD18))</f>
        <v>410</v>
      </c>
      <c r="BF18" s="26">
        <f>IF(ISNUMBER(VLOOKUP($D18,'Visu totale'!$D:$DH,BF$1,0)),BE18-VLOOKUP($D18,'Visu totale'!$D:$DH,BF$1,0),IF(LEFT(VLOOKUP($D18,'Visu totale'!$D:$DH,BF$1,0),1)="V",IF(BE18&gt;=INDEX('[1]Définition Maintenances'!$G:$G,MATCH($A18,'[1]Définition Maintenances'!$K:$K,0)),BE18,INDEX('[1]Définition Maintenances'!$G:$G,MATCH($A18,'[1]Définition Maintenances'!$K:$K,0))+BE18),BE18))</f>
        <v>410</v>
      </c>
      <c r="BG18" s="26">
        <f>IF(ISNUMBER(VLOOKUP($D18,'Visu totale'!$D:$DH,BG$1,0)),BF18-VLOOKUP($D18,'Visu totale'!$D:$DH,BG$1,0),IF(LEFT(VLOOKUP($D18,'Visu totale'!$D:$DH,BG$1,0),1)="V",IF(BF18&gt;=INDEX('[1]Définition Maintenances'!$G:$G,MATCH($A18,'[1]Définition Maintenances'!$K:$K,0)),BF18,INDEX('[1]Définition Maintenances'!$G:$G,MATCH($A18,'[1]Définition Maintenances'!$K:$K,0))+BF18),BF18))</f>
        <v>410</v>
      </c>
      <c r="BH18" s="26">
        <f>IF(ISNUMBER(VLOOKUP($D18,'Visu totale'!$D:$DH,BH$1,0)),BG18-VLOOKUP($D18,'Visu totale'!$D:$DH,BH$1,0),IF(LEFT(VLOOKUP($D18,'Visu totale'!$D:$DH,BH$1,0),1)="V",IF(BG18&gt;=INDEX('[1]Définition Maintenances'!$G:$G,MATCH($A18,'[1]Définition Maintenances'!$K:$K,0)),BG18,INDEX('[1]Définition Maintenances'!$G:$G,MATCH($A18,'[1]Définition Maintenances'!$K:$K,0))+BG18),BG18))</f>
        <v>410</v>
      </c>
      <c r="BI18" s="26">
        <f>IF(ISNUMBER(VLOOKUP($D18,'Visu totale'!$D:$DH,BI$1,0)),BH18-VLOOKUP($D18,'Visu totale'!$D:$DH,BI$1,0),IF(LEFT(VLOOKUP($D18,'Visu totale'!$D:$DH,BI$1,0),1)="V",IF(BH18&gt;=INDEX('[1]Définition Maintenances'!$G:$G,MATCH($A18,'[1]Définition Maintenances'!$K:$K,0)),BH18,INDEX('[1]Définition Maintenances'!$G:$G,MATCH($A18,'[1]Définition Maintenances'!$K:$K,0))+BH18),BH18))</f>
        <v>410</v>
      </c>
      <c r="BJ18" s="26">
        <f>IF(ISNUMBER(VLOOKUP($D18,'Visu totale'!$D:$DH,BJ$1,0)),BI18-VLOOKUP($D18,'Visu totale'!$D:$DH,BJ$1,0),IF(LEFT(VLOOKUP($D18,'Visu totale'!$D:$DH,BJ$1,0),1)="V",IF(BI18&gt;=INDEX('[1]Définition Maintenances'!$G:$G,MATCH($A18,'[1]Définition Maintenances'!$K:$K,0)),BI18,INDEX('[1]Définition Maintenances'!$G:$G,MATCH($A18,'[1]Définition Maintenances'!$K:$K,0))+BI18),BI18))</f>
        <v>410</v>
      </c>
      <c r="BK18" s="26">
        <f>IF(ISNUMBER(VLOOKUP($D18,'Visu totale'!$D:$DH,BK$1,0)),BJ18-VLOOKUP($D18,'Visu totale'!$D:$DH,BK$1,0),IF(LEFT(VLOOKUP($D18,'Visu totale'!$D:$DH,BK$1,0),1)="V",IF(BJ18&gt;=INDEX('[1]Définition Maintenances'!$G:$G,MATCH($A18,'[1]Définition Maintenances'!$K:$K,0)),BJ18,INDEX('[1]Définition Maintenances'!$G:$G,MATCH($A18,'[1]Définition Maintenances'!$K:$K,0))+BJ18),BJ18))</f>
        <v>410</v>
      </c>
      <c r="BL18" s="26">
        <f>IF(ISNUMBER(VLOOKUP($D18,'Visu totale'!$D:$DH,BL$1,0)),BK18-VLOOKUP($D18,'Visu totale'!$D:$DH,BL$1,0),IF(LEFT(VLOOKUP($D18,'Visu totale'!$D:$DH,BL$1,0),1)="V",IF(BK18&gt;=INDEX('[1]Définition Maintenances'!$G:$G,MATCH($A18,'[1]Définition Maintenances'!$K:$K,0)),BK18,INDEX('[1]Définition Maintenances'!$G:$G,MATCH($A18,'[1]Définition Maintenances'!$K:$K,0))+BK18),BK18))</f>
        <v>410</v>
      </c>
      <c r="BM18" s="27">
        <f>IF(ISNUMBER(VLOOKUP($D18,'Visu totale'!$D:$DH,BM$1,0)),BL18-VLOOKUP($D18,'Visu totale'!$D:$DH,BM$1,0),IF(LEFT(VLOOKUP($D18,'Visu totale'!$D:$DH,BM$1,0),1)="V",IF(BL18&gt;=INDEX('[1]Définition Maintenances'!$G:$G,MATCH($A18,'[1]Définition Maintenances'!$K:$K,0)),BL18,INDEX('[1]Définition Maintenances'!$G:$G,MATCH($A18,'[1]Définition Maintenances'!$K:$K,0))+BL18),BL18))</f>
        <v>410</v>
      </c>
      <c r="BN18" s="25">
        <f>IF(ISNUMBER(VLOOKUP($D18,'Visu totale'!$D:$DH,BN$1,0)),BM18-VLOOKUP($D18,'Visu totale'!$D:$DH,BN$1,0),IF(LEFT(VLOOKUP($D18,'Visu totale'!$D:$DH,BN$1,0),1)="V",IF(BM18&gt;=INDEX('[1]Définition Maintenances'!$G:$G,MATCH($A18,'[1]Définition Maintenances'!$K:$K,0)),BM18,INDEX('[1]Définition Maintenances'!$G:$G,MATCH($A18,'[1]Définition Maintenances'!$K:$K,0))+BM18),BM18))</f>
        <v>410</v>
      </c>
      <c r="BO18" s="26">
        <f>IF(ISNUMBER(VLOOKUP($D18,'Visu totale'!$D:$DH,BO$1,0)),BN18-VLOOKUP($D18,'Visu totale'!$D:$DH,BO$1,0),IF(LEFT(VLOOKUP($D18,'Visu totale'!$D:$DH,BO$1,0),1)="V",IF(BN18&gt;=INDEX('[1]Définition Maintenances'!$G:$G,MATCH($A18,'[1]Définition Maintenances'!$K:$K,0)),BN18,INDEX('[1]Définition Maintenances'!$G:$G,MATCH($A18,'[1]Définition Maintenances'!$K:$K,0))+BN18),BN18))</f>
        <v>410</v>
      </c>
      <c r="BP18" s="26">
        <f>IF(ISNUMBER(VLOOKUP($D18,'Visu totale'!$D:$DH,BP$1,0)),BO18-VLOOKUP($D18,'Visu totale'!$D:$DH,BP$1,0),IF(LEFT(VLOOKUP($D18,'Visu totale'!$D:$DH,BP$1,0),1)="V",IF(BO18&gt;=INDEX('[1]Définition Maintenances'!$G:$G,MATCH($A18,'[1]Définition Maintenances'!$K:$K,0)),BO18,INDEX('[1]Définition Maintenances'!$G:$G,MATCH($A18,'[1]Définition Maintenances'!$K:$K,0))+BO18),BO18))</f>
        <v>410</v>
      </c>
      <c r="BQ18" s="26">
        <f>IF(ISNUMBER(VLOOKUP($D18,'Visu totale'!$D:$DH,BQ$1,0)),BP18-VLOOKUP($D18,'Visu totale'!$D:$DH,BQ$1,0),IF(LEFT(VLOOKUP($D18,'Visu totale'!$D:$DH,BQ$1,0),1)="V",IF(BP18&gt;=INDEX('[1]Définition Maintenances'!$G:$G,MATCH($A18,'[1]Définition Maintenances'!$K:$K,0)),BP18,INDEX('[1]Définition Maintenances'!$G:$G,MATCH($A18,'[1]Définition Maintenances'!$K:$K,0))+BP18),BP18))</f>
        <v>410</v>
      </c>
      <c r="BR18" s="26">
        <f>IF(ISNUMBER(VLOOKUP($D18,'Visu totale'!$D:$DH,BR$1,0)),BQ18-VLOOKUP($D18,'Visu totale'!$D:$DH,BR$1,0),IF(LEFT(VLOOKUP($D18,'Visu totale'!$D:$DH,BR$1,0),1)="V",IF(BQ18&gt;=INDEX('[1]Définition Maintenances'!$G:$G,MATCH($A18,'[1]Définition Maintenances'!$K:$K,0)),BQ18,INDEX('[1]Définition Maintenances'!$G:$G,MATCH($A18,'[1]Définition Maintenances'!$K:$K,0))+BQ18),BQ18))</f>
        <v>410</v>
      </c>
      <c r="BS18" s="26">
        <f>IF(ISNUMBER(VLOOKUP($D18,'Visu totale'!$D:$DH,BS$1,0)),BR18-VLOOKUP($D18,'Visu totale'!$D:$DH,BS$1,0),IF(LEFT(VLOOKUP($D18,'Visu totale'!$D:$DH,BS$1,0),1)="V",IF(BR18&gt;=INDEX('[1]Définition Maintenances'!$G:$G,MATCH($A18,'[1]Définition Maintenances'!$K:$K,0)),BR18,INDEX('[1]Définition Maintenances'!$G:$G,MATCH($A18,'[1]Définition Maintenances'!$K:$K,0))+BR18),BR18))</f>
        <v>410</v>
      </c>
      <c r="BT18" s="26">
        <f>IF(ISNUMBER(VLOOKUP($D18,'Visu totale'!$D:$DH,BT$1,0)),BS18-VLOOKUP($D18,'Visu totale'!$D:$DH,BT$1,0),IF(LEFT(VLOOKUP($D18,'Visu totale'!$D:$DH,BT$1,0),1)="V",IF(BS18&gt;=INDEX('[1]Définition Maintenances'!$G:$G,MATCH($A18,'[1]Définition Maintenances'!$K:$K,0)),BS18,INDEX('[1]Définition Maintenances'!$G:$G,MATCH($A18,'[1]Définition Maintenances'!$K:$K,0))+BS18),BS18))</f>
        <v>410</v>
      </c>
      <c r="BU18" s="26">
        <f>IF(ISNUMBER(VLOOKUP($D18,'Visu totale'!$D:$DH,BU$1,0)),BT18-VLOOKUP($D18,'Visu totale'!$D:$DH,BU$1,0),IF(LEFT(VLOOKUP($D18,'Visu totale'!$D:$DH,BU$1,0),1)="V",IF(BT18&gt;=INDEX('[1]Définition Maintenances'!$G:$G,MATCH($A18,'[1]Définition Maintenances'!$K:$K,0)),BT18,INDEX('[1]Définition Maintenances'!$G:$G,MATCH($A18,'[1]Définition Maintenances'!$K:$K,0))+BT18),BT18))</f>
        <v>410</v>
      </c>
      <c r="BV18" s="26">
        <f>IF(ISNUMBER(VLOOKUP($D18,'Visu totale'!$D:$DH,BV$1,0)),BU18-VLOOKUP($D18,'Visu totale'!$D:$DH,BV$1,0),IF(LEFT(VLOOKUP($D18,'Visu totale'!$D:$DH,BV$1,0),1)="V",IF(BU18&gt;=INDEX('[1]Définition Maintenances'!$G:$G,MATCH($A18,'[1]Définition Maintenances'!$K:$K,0)),BU18,INDEX('[1]Définition Maintenances'!$G:$G,MATCH($A18,'[1]Définition Maintenances'!$K:$K,0))+BU18),BU18))</f>
        <v>410</v>
      </c>
      <c r="BW18" s="26">
        <f>IF(ISNUMBER(VLOOKUP($D18,'Visu totale'!$D:$DH,BW$1,0)),BV18-VLOOKUP($D18,'Visu totale'!$D:$DH,BW$1,0),IF(LEFT(VLOOKUP($D18,'Visu totale'!$D:$DH,BW$1,0),1)="V",IF(BV18&gt;=INDEX('[1]Définition Maintenances'!$G:$G,MATCH($A18,'[1]Définition Maintenances'!$K:$K,0)),BV18,INDEX('[1]Définition Maintenances'!$G:$G,MATCH($A18,'[1]Définition Maintenances'!$K:$K,0))+BV18),BV18))</f>
        <v>410</v>
      </c>
      <c r="BX18" s="26">
        <f>IF(ISNUMBER(VLOOKUP($D18,'Visu totale'!$D:$DH,BX$1,0)),BW18-VLOOKUP($D18,'Visu totale'!$D:$DH,BX$1,0),IF(LEFT(VLOOKUP($D18,'Visu totale'!$D:$DH,BX$1,0),1)="V",IF(BW18&gt;=INDEX('[1]Définition Maintenances'!$G:$G,MATCH($A18,'[1]Définition Maintenances'!$K:$K,0)),BW18,INDEX('[1]Définition Maintenances'!$G:$G,MATCH($A18,'[1]Définition Maintenances'!$K:$K,0))+BW18),BW18))</f>
        <v>410</v>
      </c>
      <c r="BY18" s="27">
        <f>IF(ISNUMBER(VLOOKUP($D18,'Visu totale'!$D:$DH,BY$1,0)),BX18-VLOOKUP($D18,'Visu totale'!$D:$DH,BY$1,0),IF(LEFT(VLOOKUP($D18,'Visu totale'!$D:$DH,BY$1,0),1)="V",IF(BX18&gt;=INDEX('[1]Définition Maintenances'!$G:$G,MATCH($A18,'[1]Définition Maintenances'!$K:$K,0)),BX18,INDEX('[1]Définition Maintenances'!$G:$G,MATCH($A18,'[1]Définition Maintenances'!$K:$K,0))+BX18),BX18))</f>
        <v>410</v>
      </c>
      <c r="BZ18" s="25">
        <f>IF(ISNUMBER(VLOOKUP($D18,'Visu totale'!$D:$DH,BZ$1,0)),BY18-VLOOKUP($D18,'Visu totale'!$D:$DH,BZ$1,0),IF(LEFT(VLOOKUP($D18,'Visu totale'!$D:$DH,BZ$1,0),1)="V",IF(BY18&gt;=INDEX('[1]Définition Maintenances'!$G:$G,MATCH($A18,'[1]Définition Maintenances'!$K:$K,0)),BY18,INDEX('[1]Définition Maintenances'!$G:$G,MATCH($A18,'[1]Définition Maintenances'!$K:$K,0))+BY18),BY18))</f>
        <v>410</v>
      </c>
      <c r="CA18" s="26">
        <f>IF(ISNUMBER(VLOOKUP($D18,'Visu totale'!$D:$DH,CA$1,0)),BZ18-VLOOKUP($D18,'Visu totale'!$D:$DH,CA$1,0),IF(LEFT(VLOOKUP($D18,'Visu totale'!$D:$DH,CA$1,0),1)="V",IF(BZ18&gt;=INDEX('[1]Définition Maintenances'!$G:$G,MATCH($A18,'[1]Définition Maintenances'!$K:$K,0)),BZ18,INDEX('[1]Définition Maintenances'!$G:$G,MATCH($A18,'[1]Définition Maintenances'!$K:$K,0))+BZ18),BZ18))</f>
        <v>410</v>
      </c>
      <c r="CB18" s="26">
        <f>IF(ISNUMBER(VLOOKUP($D18,'Visu totale'!$D:$DH,CB$1,0)),CA18-VLOOKUP($D18,'Visu totale'!$D:$DH,CB$1,0),IF(LEFT(VLOOKUP($D18,'Visu totale'!$D:$DH,CB$1,0),1)="V",IF(CA18&gt;=INDEX('[1]Définition Maintenances'!$G:$G,MATCH($A18,'[1]Définition Maintenances'!$K:$K,0)),CA18,INDEX('[1]Définition Maintenances'!$G:$G,MATCH($A18,'[1]Définition Maintenances'!$K:$K,0))+CA18),CA18))</f>
        <v>410</v>
      </c>
      <c r="CC18" s="26">
        <f>IF(ISNUMBER(VLOOKUP($D18,'Visu totale'!$D:$DH,CC$1,0)),CB18-VLOOKUP($D18,'Visu totale'!$D:$DH,CC$1,0),IF(LEFT(VLOOKUP($D18,'Visu totale'!$D:$DH,CC$1,0),1)="V",IF(CB18&gt;=INDEX('[1]Définition Maintenances'!$G:$G,MATCH($A18,'[1]Définition Maintenances'!$K:$K,0)),CB18,INDEX('[1]Définition Maintenances'!$G:$G,MATCH($A18,'[1]Définition Maintenances'!$K:$K,0))+CB18),CB18))</f>
        <v>410</v>
      </c>
      <c r="CD18" s="26">
        <f>IF(ISNUMBER(VLOOKUP($D18,'Visu totale'!$D:$DH,CD$1,0)),CC18-VLOOKUP($D18,'Visu totale'!$D:$DH,CD$1,0),IF(LEFT(VLOOKUP($D18,'Visu totale'!$D:$DH,CD$1,0),1)="V",IF(CC18&gt;=INDEX('[1]Définition Maintenances'!$G:$G,MATCH($A18,'[1]Définition Maintenances'!$K:$K,0)),CC18,INDEX('[1]Définition Maintenances'!$G:$G,MATCH($A18,'[1]Définition Maintenances'!$K:$K,0))+CC18),CC18))</f>
        <v>410</v>
      </c>
      <c r="CE18" s="26">
        <f>IF(ISNUMBER(VLOOKUP($D18,'Visu totale'!$D:$DH,CE$1,0)),CD18-VLOOKUP($D18,'Visu totale'!$D:$DH,CE$1,0),IF(LEFT(VLOOKUP($D18,'Visu totale'!$D:$DH,CE$1,0),1)="V",IF(CD18&gt;=INDEX('[1]Définition Maintenances'!$G:$G,MATCH($A18,'[1]Définition Maintenances'!$K:$K,0)),CD18,INDEX('[1]Définition Maintenances'!$G:$G,MATCH($A18,'[1]Définition Maintenances'!$K:$K,0))+CD18),CD18))</f>
        <v>410</v>
      </c>
      <c r="CF18" s="26">
        <f>IF(ISNUMBER(VLOOKUP($D18,'Visu totale'!$D:$DH,CF$1,0)),CE18-VLOOKUP($D18,'Visu totale'!$D:$DH,CF$1,0),IF(LEFT(VLOOKUP($D18,'Visu totale'!$D:$DH,CF$1,0),1)="V",IF(CE18&gt;=INDEX('[1]Définition Maintenances'!$G:$G,MATCH($A18,'[1]Définition Maintenances'!$K:$K,0)),CE18,INDEX('[1]Définition Maintenances'!$G:$G,MATCH($A18,'[1]Définition Maintenances'!$K:$K,0))+CE18),CE18))</f>
        <v>410</v>
      </c>
      <c r="CG18" s="26">
        <f>IF(ISNUMBER(VLOOKUP($D18,'Visu totale'!$D:$DH,CG$1,0)),CF18-VLOOKUP($D18,'Visu totale'!$D:$DH,CG$1,0),IF(LEFT(VLOOKUP($D18,'Visu totale'!$D:$DH,CG$1,0),1)="V",IF(CF18&gt;=INDEX('[1]Définition Maintenances'!$G:$G,MATCH($A18,'[1]Définition Maintenances'!$K:$K,0)),CF18,INDEX('[1]Définition Maintenances'!$G:$G,MATCH($A18,'[1]Définition Maintenances'!$K:$K,0))+CF18),CF18))</f>
        <v>410</v>
      </c>
      <c r="CH18" s="26">
        <f>IF(ISNUMBER(VLOOKUP($D18,'Visu totale'!$D:$DH,CH$1,0)),CG18-VLOOKUP($D18,'Visu totale'!$D:$DH,CH$1,0),IF(LEFT(VLOOKUP($D18,'Visu totale'!$D:$DH,CH$1,0),1)="V",IF(CG18&gt;=INDEX('[1]Définition Maintenances'!$G:$G,MATCH($A18,'[1]Définition Maintenances'!$K:$K,0)),CG18,INDEX('[1]Définition Maintenances'!$G:$G,MATCH($A18,'[1]Définition Maintenances'!$K:$K,0))+CG18),CG18))</f>
        <v>410</v>
      </c>
      <c r="CI18" s="26">
        <f>IF(ISNUMBER(VLOOKUP($D18,'Visu totale'!$D:$DH,CI$1,0)),CH18-VLOOKUP($D18,'Visu totale'!$D:$DH,CI$1,0),IF(LEFT(VLOOKUP($D18,'Visu totale'!$D:$DH,CI$1,0),1)="V",IF(CH18&gt;=INDEX('[1]Définition Maintenances'!$G:$G,MATCH($A18,'[1]Définition Maintenances'!$K:$K,0)),CH18,INDEX('[1]Définition Maintenances'!$G:$G,MATCH($A18,'[1]Définition Maintenances'!$K:$K,0))+CH18),CH18))</f>
        <v>410</v>
      </c>
      <c r="CJ18" s="26">
        <f>IF(ISNUMBER(VLOOKUP($D18,'Visu totale'!$D:$DH,CJ$1,0)),CI18-VLOOKUP($D18,'Visu totale'!$D:$DH,CJ$1,0),IF(LEFT(VLOOKUP($D18,'Visu totale'!$D:$DH,CJ$1,0),1)="V",IF(CI18&gt;=INDEX('[1]Définition Maintenances'!$G:$G,MATCH($A18,'[1]Définition Maintenances'!$K:$K,0)),CI18,INDEX('[1]Définition Maintenances'!$G:$G,MATCH($A18,'[1]Définition Maintenances'!$K:$K,0))+CI18),CI18))</f>
        <v>410</v>
      </c>
      <c r="CK18" s="27">
        <f>IF(ISNUMBER(VLOOKUP($D18,'Visu totale'!$D:$DH,CK$1,0)),CJ18-VLOOKUP($D18,'Visu totale'!$D:$DH,CK$1,0),IF(LEFT(VLOOKUP($D18,'Visu totale'!$D:$DH,CK$1,0),1)="V",IF(CJ18&gt;=INDEX('[1]Définition Maintenances'!$G:$G,MATCH($A18,'[1]Définition Maintenances'!$K:$K,0)),CJ18,INDEX('[1]Définition Maintenances'!$G:$G,MATCH($A18,'[1]Définition Maintenances'!$K:$K,0))+CJ18),CJ18))</f>
        <v>410</v>
      </c>
      <c r="CL18" s="25">
        <f>IF(ISNUMBER(VLOOKUP($D18,'Visu totale'!$D:$DH,CL$1,0)),CK18-VLOOKUP($D18,'Visu totale'!$D:$DH,CL$1,0),IF(LEFT(VLOOKUP($D18,'Visu totale'!$D:$DH,CL$1,0),1)="V",IF(CK18&gt;=INDEX('[1]Définition Maintenances'!$G:$G,MATCH($A18,'[1]Définition Maintenances'!$K:$K,0)),CK18,INDEX('[1]Définition Maintenances'!$G:$G,MATCH($A18,'[1]Définition Maintenances'!$K:$K,0))+CK18),CK18))</f>
        <v>410</v>
      </c>
      <c r="CM18" s="26">
        <f>IF(ISNUMBER(VLOOKUP($D18,'Visu totale'!$D:$DH,CM$1,0)),CL18-VLOOKUP($D18,'Visu totale'!$D:$DH,CM$1,0),IF(LEFT(VLOOKUP($D18,'Visu totale'!$D:$DH,CM$1,0),1)="V",IF(CL18&gt;=INDEX('[1]Définition Maintenances'!$G:$G,MATCH($A18,'[1]Définition Maintenances'!$K:$K,0)),CL18,INDEX('[1]Définition Maintenances'!$G:$G,MATCH($A18,'[1]Définition Maintenances'!$K:$K,0))+CL18),CL18))</f>
        <v>410</v>
      </c>
      <c r="CN18" s="26">
        <f>IF(ISNUMBER(VLOOKUP($D18,'Visu totale'!$D:$DH,CN$1,0)),CM18-VLOOKUP($D18,'Visu totale'!$D:$DH,CN$1,0),IF(LEFT(VLOOKUP($D18,'Visu totale'!$D:$DH,CN$1,0),1)="V",IF(CM18&gt;=INDEX('[1]Définition Maintenances'!$G:$G,MATCH($A18,'[1]Définition Maintenances'!$K:$K,0)),CM18,INDEX('[1]Définition Maintenances'!$G:$G,MATCH($A18,'[1]Définition Maintenances'!$K:$K,0))+CM18),CM18))</f>
        <v>410</v>
      </c>
      <c r="CO18" s="26">
        <f>IF(ISNUMBER(VLOOKUP($D18,'Visu totale'!$D:$DH,CO$1,0)),CN18-VLOOKUP($D18,'Visu totale'!$D:$DH,CO$1,0),IF(LEFT(VLOOKUP($D18,'Visu totale'!$D:$DH,CO$1,0),1)="V",IF(CN18&gt;=INDEX('[1]Définition Maintenances'!$G:$G,MATCH($A18,'[1]Définition Maintenances'!$K:$K,0)),CN18,INDEX('[1]Définition Maintenances'!$G:$G,MATCH($A18,'[1]Définition Maintenances'!$K:$K,0))+CN18),CN18))</f>
        <v>410</v>
      </c>
      <c r="CP18" s="26">
        <f>IF(ISNUMBER(VLOOKUP($D18,'Visu totale'!$D:$DH,CP$1,0)),CO18-VLOOKUP($D18,'Visu totale'!$D:$DH,CP$1,0),IF(LEFT(VLOOKUP($D18,'Visu totale'!$D:$DH,CP$1,0),1)="V",IF(CO18&gt;=INDEX('[1]Définition Maintenances'!$G:$G,MATCH($A18,'[1]Définition Maintenances'!$K:$K,0)),CO18,INDEX('[1]Définition Maintenances'!$G:$G,MATCH($A18,'[1]Définition Maintenances'!$K:$K,0))+CO18),CO18))</f>
        <v>410</v>
      </c>
      <c r="CQ18" s="26">
        <f>IF(ISNUMBER(VLOOKUP($D18,'Visu totale'!$D:$DH,CQ$1,0)),CP18-VLOOKUP($D18,'Visu totale'!$D:$DH,CQ$1,0),IF(LEFT(VLOOKUP($D18,'Visu totale'!$D:$DH,CQ$1,0),1)="V",IF(CP18&gt;=INDEX('[1]Définition Maintenances'!$G:$G,MATCH($A18,'[1]Définition Maintenances'!$K:$K,0)),CP18,INDEX('[1]Définition Maintenances'!$G:$G,MATCH($A18,'[1]Définition Maintenances'!$K:$K,0))+CP18),CP18))</f>
        <v>410</v>
      </c>
      <c r="CR18" s="26">
        <f>IF(ISNUMBER(VLOOKUP($D18,'Visu totale'!$D:$DH,CR$1,0)),CQ18-VLOOKUP($D18,'Visu totale'!$D:$DH,CR$1,0),IF(LEFT(VLOOKUP($D18,'Visu totale'!$D:$DH,CR$1,0),1)="V",IF(CQ18&gt;=INDEX('[1]Définition Maintenances'!$G:$G,MATCH($A18,'[1]Définition Maintenances'!$K:$K,0)),CQ18,INDEX('[1]Définition Maintenances'!$G:$G,MATCH($A18,'[1]Définition Maintenances'!$K:$K,0))+CQ18),CQ18))</f>
        <v>410</v>
      </c>
      <c r="CS18" s="26">
        <f>IF(ISNUMBER(VLOOKUP($D18,'Visu totale'!$D:$DH,CS$1,0)),CR18-VLOOKUP($D18,'Visu totale'!$D:$DH,CS$1,0),IF(LEFT(VLOOKUP($D18,'Visu totale'!$D:$DH,CS$1,0),1)="V",IF(CR18&gt;=INDEX('[1]Définition Maintenances'!$G:$G,MATCH($A18,'[1]Définition Maintenances'!$K:$K,0)),CR18,INDEX('[1]Définition Maintenances'!$G:$G,MATCH($A18,'[1]Définition Maintenances'!$K:$K,0))+CR18),CR18))</f>
        <v>410</v>
      </c>
      <c r="CT18" s="26">
        <f>IF(ISNUMBER(VLOOKUP($D18,'Visu totale'!$D:$DH,CT$1,0)),CS18-VLOOKUP($D18,'Visu totale'!$D:$DH,CT$1,0),IF(LEFT(VLOOKUP($D18,'Visu totale'!$D:$DH,CT$1,0),1)="V",IF(CS18&gt;=INDEX('[1]Définition Maintenances'!$G:$G,MATCH($A18,'[1]Définition Maintenances'!$K:$K,0)),CS18,INDEX('[1]Définition Maintenances'!$G:$G,MATCH($A18,'[1]Définition Maintenances'!$K:$K,0))+CS18),CS18))</f>
        <v>410</v>
      </c>
      <c r="CU18" s="26">
        <f>IF(ISNUMBER(VLOOKUP($D18,'Visu totale'!$D:$DH,CU$1,0)),CT18-VLOOKUP($D18,'Visu totale'!$D:$DH,CU$1,0),IF(LEFT(VLOOKUP($D18,'Visu totale'!$D:$DH,CU$1,0),1)="V",IF(CT18&gt;=INDEX('[1]Définition Maintenances'!$G:$G,MATCH($A18,'[1]Définition Maintenances'!$K:$K,0)),CT18,INDEX('[1]Définition Maintenances'!$G:$G,MATCH($A18,'[1]Définition Maintenances'!$K:$K,0))+CT18),CT18))</f>
        <v>410</v>
      </c>
      <c r="CV18" s="26">
        <f>IF(ISNUMBER(VLOOKUP($D18,'Visu totale'!$D:$DH,CV$1,0)),CU18-VLOOKUP($D18,'Visu totale'!$D:$DH,CV$1,0),IF(LEFT(VLOOKUP($D18,'Visu totale'!$D:$DH,CV$1,0),1)="V",IF(CU18&gt;=INDEX('[1]Définition Maintenances'!$G:$G,MATCH($A18,'[1]Définition Maintenances'!$K:$K,0)),CU18,INDEX('[1]Définition Maintenances'!$G:$G,MATCH($A18,'[1]Définition Maintenances'!$K:$K,0))+CU18),CU18))</f>
        <v>410</v>
      </c>
      <c r="CW18" s="27">
        <f>IF(ISNUMBER(VLOOKUP($D18,'Visu totale'!$D:$DH,CW$1,0)),CV18-VLOOKUP($D18,'Visu totale'!$D:$DH,CW$1,0),IF(LEFT(VLOOKUP($D18,'Visu totale'!$D:$DH,CW$1,0),1)="V",IF(CV18&gt;=INDEX('[1]Définition Maintenances'!$G:$G,MATCH($A18,'[1]Définition Maintenances'!$K:$K,0)),CV18,INDEX('[1]Définition Maintenances'!$G:$G,MATCH($A18,'[1]Définition Maintenances'!$K:$K,0))+CV18),CV18))</f>
        <v>410</v>
      </c>
      <c r="CX18" s="25">
        <f>IF(ISNUMBER(VLOOKUP($D18,'Visu totale'!$D:$DH,CX$1,0)),CW18-VLOOKUP($D18,'Visu totale'!$D:$DH,CX$1,0),IF(LEFT(VLOOKUP($D18,'Visu totale'!$D:$DH,CX$1,0),1)="V",IF(CW18&gt;=INDEX('[1]Définition Maintenances'!$G:$G,MATCH($A18,'[1]Définition Maintenances'!$K:$K,0)),CW18,INDEX('[1]Définition Maintenances'!$G:$G,MATCH($A18,'[1]Définition Maintenances'!$K:$K,0))+CW18),CW18))</f>
        <v>410</v>
      </c>
      <c r="CY18" s="26">
        <f>IF(ISNUMBER(VLOOKUP($D18,'Visu totale'!$D:$DH,CY$1,0)),CX18-VLOOKUP($D18,'Visu totale'!$D:$DH,CY$1,0),IF(LEFT(VLOOKUP($D18,'Visu totale'!$D:$DH,CY$1,0),1)="V",IF(CX18&gt;=INDEX('[1]Définition Maintenances'!$G:$G,MATCH($A18,'[1]Définition Maintenances'!$K:$K,0)),CX18,INDEX('[1]Définition Maintenances'!$G:$G,MATCH($A18,'[1]Définition Maintenances'!$K:$K,0))+CX18),CX18))</f>
        <v>410</v>
      </c>
      <c r="CZ18" s="26">
        <f>IF(ISNUMBER(VLOOKUP($D18,'Visu totale'!$D:$DH,CZ$1,0)),CY18-VLOOKUP($D18,'Visu totale'!$D:$DH,CZ$1,0),IF(LEFT(VLOOKUP($D18,'Visu totale'!$D:$DH,CZ$1,0),1)="V",IF(CY18&gt;=INDEX('[1]Définition Maintenances'!$G:$G,MATCH($A18,'[1]Définition Maintenances'!$K:$K,0)),CY18,INDEX('[1]Définition Maintenances'!$G:$G,MATCH($A18,'[1]Définition Maintenances'!$K:$K,0))+CY18),CY18))</f>
        <v>410</v>
      </c>
      <c r="DA18" s="26">
        <f>IF(ISNUMBER(VLOOKUP($D18,'Visu totale'!$D:$DH,DA$1,0)),CZ18-VLOOKUP($D18,'Visu totale'!$D:$DH,DA$1,0),IF(LEFT(VLOOKUP($D18,'Visu totale'!$D:$DH,DA$1,0),1)="V",IF(CZ18&gt;=INDEX('[1]Définition Maintenances'!$G:$G,MATCH($A18,'[1]Définition Maintenances'!$K:$K,0)),CZ18,INDEX('[1]Définition Maintenances'!$G:$G,MATCH($A18,'[1]Définition Maintenances'!$K:$K,0))+CZ18),CZ18))</f>
        <v>410</v>
      </c>
      <c r="DB18" s="26">
        <f>IF(ISNUMBER(VLOOKUP($D18,'Visu totale'!$D:$DH,DB$1,0)),DA18-VLOOKUP($D18,'Visu totale'!$D:$DH,DB$1,0),IF(LEFT(VLOOKUP($D18,'Visu totale'!$D:$DH,DB$1,0),1)="V",IF(DA18&gt;=INDEX('[1]Définition Maintenances'!$G:$G,MATCH($A18,'[1]Définition Maintenances'!$K:$K,0)),DA18,INDEX('[1]Définition Maintenances'!$G:$G,MATCH($A18,'[1]Définition Maintenances'!$K:$K,0))+DA18),DA18))</f>
        <v>410</v>
      </c>
      <c r="DC18" s="26">
        <f>IF(ISNUMBER(VLOOKUP($D18,'Visu totale'!$D:$DH,DC$1,0)),DB18-VLOOKUP($D18,'Visu totale'!$D:$DH,DC$1,0),IF(LEFT(VLOOKUP($D18,'Visu totale'!$D:$DH,DC$1,0),1)="V",IF(DB18&gt;=INDEX('[1]Définition Maintenances'!$G:$G,MATCH($A18,'[1]Définition Maintenances'!$K:$K,0)),DB18,INDEX('[1]Définition Maintenances'!$G:$G,MATCH($A18,'[1]Définition Maintenances'!$K:$K,0))+DB18),DB18))</f>
        <v>410</v>
      </c>
      <c r="DD18" s="26">
        <f>IF(ISNUMBER(VLOOKUP($D18,'Visu totale'!$D:$DH,DD$1,0)),DC18-VLOOKUP($D18,'Visu totale'!$D:$DH,DD$1,0),IF(LEFT(VLOOKUP($D18,'Visu totale'!$D:$DH,DD$1,0),1)="V",IF(DC18&gt;=INDEX('[1]Définition Maintenances'!$G:$G,MATCH($A18,'[1]Définition Maintenances'!$K:$K,0)),DC18,INDEX('[1]Définition Maintenances'!$G:$G,MATCH($A18,'[1]Définition Maintenances'!$K:$K,0))+DC18),DC18))</f>
        <v>410</v>
      </c>
      <c r="DE18" s="26">
        <f>IF(ISNUMBER(VLOOKUP($D18,'Visu totale'!$D:$DH,DE$1,0)),DD18-VLOOKUP($D18,'Visu totale'!$D:$DH,DE$1,0),IF(LEFT(VLOOKUP($D18,'Visu totale'!$D:$DH,DE$1,0),1)="V",IF(DD18&gt;=INDEX('[1]Définition Maintenances'!$G:$G,MATCH($A18,'[1]Définition Maintenances'!$K:$K,0)),DD18,INDEX('[1]Définition Maintenances'!$G:$G,MATCH($A18,'[1]Définition Maintenances'!$K:$K,0))+DD18),DD18))</f>
        <v>410</v>
      </c>
      <c r="DF18" s="26">
        <f>IF(ISNUMBER(VLOOKUP($D18,'Visu totale'!$D:$DH,DF$1,0)),DE18-VLOOKUP($D18,'Visu totale'!$D:$DH,DF$1,0),IF(LEFT(VLOOKUP($D18,'Visu totale'!$D:$DH,DF$1,0),1)="V",IF(DE18&gt;=INDEX('[1]Définition Maintenances'!$G:$G,MATCH($A18,'[1]Définition Maintenances'!$K:$K,0)),DE18,INDEX('[1]Définition Maintenances'!$G:$G,MATCH($A18,'[1]Définition Maintenances'!$K:$K,0))+DE18),DE18))</f>
        <v>410</v>
      </c>
      <c r="DG18" s="26">
        <f>IF(ISNUMBER(VLOOKUP($D18,'Visu totale'!$D:$DH,DG$1,0)),DF18-VLOOKUP($D18,'Visu totale'!$D:$DH,DG$1,0),IF(LEFT(VLOOKUP($D18,'Visu totale'!$D:$DH,DG$1,0),1)="V",IF(DF18&gt;=INDEX('[1]Définition Maintenances'!$G:$G,MATCH($A18,'[1]Définition Maintenances'!$K:$K,0)),DF18,INDEX('[1]Définition Maintenances'!$G:$G,MATCH($A18,'[1]Définition Maintenances'!$K:$K,0))+DF18),DF18))</f>
        <v>410</v>
      </c>
      <c r="DH18" s="26">
        <f>IF(ISNUMBER(VLOOKUP($D18,'Visu totale'!$D:$DH,DH$1,0)),DG18-VLOOKUP($D18,'Visu totale'!$D:$DH,DH$1,0),IF(LEFT(VLOOKUP($D18,'Visu totale'!$D:$DH,DH$1,0),1)="V",IF(DG18&gt;=INDEX('[1]Définition Maintenances'!$G:$G,MATCH($A18,'[1]Définition Maintenances'!$K:$K,0)),DG18,INDEX('[1]Définition Maintenances'!$G:$G,MATCH($A18,'[1]Définition Maintenances'!$K:$K,0))+DG18),DG18))</f>
        <v>410</v>
      </c>
      <c r="DI18" s="27">
        <f>IF(ISNUMBER(VLOOKUP($D18,'Visu totale'!$D:$DH,DI$1,0)),DH18-VLOOKUP($D18,'Visu totale'!$D:$DH,DI$1,0),IF(LEFT(VLOOKUP($D18,'Visu totale'!$D:$DH,DI$1,0),1)="V",IF(DH18&gt;=INDEX('[1]Définition Maintenances'!$G:$G,MATCH($A18,'[1]Définition Maintenances'!$K:$K,0)),DH18,INDEX('[1]Définition Maintenances'!$G:$G,MATCH($A18,'[1]Définition Maintenances'!$K:$K,0))+DH18),DH18))</f>
        <v>410</v>
      </c>
    </row>
    <row r="19" spans="1:113" x14ac:dyDescent="0.25">
      <c r="A19" s="13" t="str">
        <f t="shared" si="0"/>
        <v>V10D</v>
      </c>
      <c r="B19" s="13" t="str">
        <f>VLOOKUP(D19,'[1]Avions (Potentiels)'!$B$2:$H$128,7,FALSE)</f>
        <v>V10</v>
      </c>
      <c r="C19" s="13"/>
      <c r="D19" s="16" t="s">
        <v>22</v>
      </c>
      <c r="E19" s="13">
        <f>IFERROR(VALUE(SUBSTITUTE(VLOOKUP(D19,'[1]Avions (Potentiels)'!$B:$E,4,0),".",",")),VALUE(VLOOKUP(D19,'[1]Avions (Potentiels)'!$B:$E,4,0)))</f>
        <v>922</v>
      </c>
      <c r="F19" s="25">
        <f>IF(ISNUMBER(VLOOKUP($D19,'Visu totale'!$D:$DH,F$1,0)),E19-VLOOKUP($D19,'Visu totale'!$D:$DH,F$1,0),IF(LEFT(VLOOKUP($D19,'Visu totale'!$D:$DH,F$1,0),1)="V",IF(E19&gt;=INDEX('[1]Définition Maintenances'!$G:$G,MATCH($A19,'[1]Définition Maintenances'!$K:$K,0)),E19,INDEX('[1]Définition Maintenances'!$G:$G,MATCH($A19,'[1]Définition Maintenances'!$K:$K,0))+E19),E19))</f>
        <v>922</v>
      </c>
      <c r="G19" s="26">
        <f>IF(ISNUMBER(VLOOKUP($D19,'Visu totale'!$D:$DH,G$1,0)),F19-VLOOKUP($D19,'Visu totale'!$D:$DH,G$1,0),IF(LEFT(VLOOKUP($D19,'Visu totale'!$D:$DH,G$1,0),1)="V",IF(F19&gt;=INDEX('[1]Définition Maintenances'!$G:$G,MATCH($A19,'[1]Définition Maintenances'!$K:$K,0)),F19,INDEX('[1]Définition Maintenances'!$G:$G,MATCH($A19,'[1]Définition Maintenances'!$K:$K,0))+F19),F19))</f>
        <v>922</v>
      </c>
      <c r="H19" s="26">
        <f>IF(ISNUMBER(VLOOKUP($D19,'Visu totale'!$D:$DH,H$1,0)),G19-VLOOKUP($D19,'Visu totale'!$D:$DH,H$1,0),IF(LEFT(VLOOKUP($D19,'Visu totale'!$D:$DH,H$1,0),1)="V",IF(G19&gt;=INDEX('[1]Définition Maintenances'!$G:$G,MATCH($A19,'[1]Définition Maintenances'!$K:$K,0)),G19,INDEX('[1]Définition Maintenances'!$G:$G,MATCH($A19,'[1]Définition Maintenances'!$K:$K,0))+G19),G19))</f>
        <v>922</v>
      </c>
      <c r="I19" s="26">
        <f>IF(ISNUMBER(VLOOKUP($D19,'Visu totale'!$D:$DH,I$1,0)),H19-VLOOKUP($D19,'Visu totale'!$D:$DH,I$1,0),IF(LEFT(VLOOKUP($D19,'Visu totale'!$D:$DH,I$1,0),1)="V",IF(H19&gt;=INDEX('[1]Définition Maintenances'!$G:$G,MATCH($A19,'[1]Définition Maintenances'!$K:$K,0)),H19,INDEX('[1]Définition Maintenances'!$G:$G,MATCH($A19,'[1]Définition Maintenances'!$K:$K,0))+H19),H19))</f>
        <v>922</v>
      </c>
      <c r="J19" s="26">
        <f>IF(ISNUMBER(VLOOKUP($D19,'Visu totale'!$D:$DH,J$1,0)),I19-VLOOKUP($D19,'Visu totale'!$D:$DH,J$1,0),IF(LEFT(VLOOKUP($D19,'Visu totale'!$D:$DH,J$1,0),1)="V",IF(I19&gt;=INDEX('[1]Définition Maintenances'!$G:$G,MATCH($A19,'[1]Définition Maintenances'!$K:$K,0)),I19,INDEX('[1]Définition Maintenances'!$G:$G,MATCH($A19,'[1]Définition Maintenances'!$K:$K,0))+I19),I19))</f>
        <v>922</v>
      </c>
      <c r="K19" s="26">
        <f>IF(ISNUMBER(VLOOKUP($D19,'Visu totale'!$D:$DH,K$1,0)),J19-VLOOKUP($D19,'Visu totale'!$D:$DH,K$1,0),IF(LEFT(VLOOKUP($D19,'Visu totale'!$D:$DH,K$1,0),1)="V",IF(J19&gt;=INDEX('[1]Définition Maintenances'!$G:$G,MATCH($A19,'[1]Définition Maintenances'!$K:$K,0)),J19,INDEX('[1]Définition Maintenances'!$G:$G,MATCH($A19,'[1]Définition Maintenances'!$K:$K,0))+J19),J19))</f>
        <v>922</v>
      </c>
      <c r="L19" s="26">
        <f>IF(ISNUMBER(VLOOKUP($D19,'Visu totale'!$D:$DH,L$1,0)),K19-VLOOKUP($D19,'Visu totale'!$D:$DH,L$1,0),IF(LEFT(VLOOKUP($D19,'Visu totale'!$D:$DH,L$1,0),1)="V",IF(K19&gt;=INDEX('[1]Définition Maintenances'!$G:$G,MATCH($A19,'[1]Définition Maintenances'!$K:$K,0)),K19,INDEX('[1]Définition Maintenances'!$G:$G,MATCH($A19,'[1]Définition Maintenances'!$K:$K,0))+K19),K19))</f>
        <v>922</v>
      </c>
      <c r="M19" s="26">
        <f>IF(ISNUMBER(VLOOKUP($D19,'Visu totale'!$D:$DH,M$1,0)),L19-VLOOKUP($D19,'Visu totale'!$D:$DH,M$1,0),IF(LEFT(VLOOKUP($D19,'Visu totale'!$D:$DH,M$1,0),1)="V",IF(L19&gt;=INDEX('[1]Définition Maintenances'!$G:$G,MATCH($A19,'[1]Définition Maintenances'!$K:$K,0)),L19,INDEX('[1]Définition Maintenances'!$G:$G,MATCH($A19,'[1]Définition Maintenances'!$K:$K,0))+L19),L19))</f>
        <v>922</v>
      </c>
      <c r="N19" s="26">
        <f>IF(ISNUMBER(VLOOKUP($D19,'Visu totale'!$D:$DH,N$1,0)),M19-VLOOKUP($D19,'Visu totale'!$D:$DH,N$1,0),IF(LEFT(VLOOKUP($D19,'Visu totale'!$D:$DH,N$1,0),1)="V",IF(M19&gt;=INDEX('[1]Définition Maintenances'!$G:$G,MATCH($A19,'[1]Définition Maintenances'!$K:$K,0)),M19,INDEX('[1]Définition Maintenances'!$G:$G,MATCH($A19,'[1]Définition Maintenances'!$K:$K,0))+M19),M19))</f>
        <v>922</v>
      </c>
      <c r="O19" s="26">
        <f>IF(ISNUMBER(VLOOKUP($D19,'Visu totale'!$D:$DH,O$1,0)),N19-VLOOKUP($D19,'Visu totale'!$D:$DH,O$1,0),IF(LEFT(VLOOKUP($D19,'Visu totale'!$D:$DH,O$1,0),1)="V",IF(N19&gt;=INDEX('[1]Définition Maintenances'!$G:$G,MATCH($A19,'[1]Définition Maintenances'!$K:$K,0)),N19,INDEX('[1]Définition Maintenances'!$G:$G,MATCH($A19,'[1]Définition Maintenances'!$K:$K,0))+N19),N19))</f>
        <v>922</v>
      </c>
      <c r="P19" s="26">
        <f>IF(ISNUMBER(VLOOKUP($D19,'Visu totale'!$D:$DH,P$1,0)),O19-VLOOKUP($D19,'Visu totale'!$D:$DH,P$1,0),IF(LEFT(VLOOKUP($D19,'Visu totale'!$D:$DH,P$1,0),1)="V",IF(O19&gt;=INDEX('[1]Définition Maintenances'!$G:$G,MATCH($A19,'[1]Définition Maintenances'!$K:$K,0)),O19,INDEX('[1]Définition Maintenances'!$G:$G,MATCH($A19,'[1]Définition Maintenances'!$K:$K,0))+O19),O19))</f>
        <v>922</v>
      </c>
      <c r="Q19" s="27">
        <f>IF(ISNUMBER(VLOOKUP($D19,'Visu totale'!$D:$DH,Q$1,0)),P19-VLOOKUP($D19,'Visu totale'!$D:$DH,Q$1,0),IF(LEFT(VLOOKUP($D19,'Visu totale'!$D:$DH,Q$1,0),1)="V",IF(P19&gt;=INDEX('[1]Définition Maintenances'!$G:$G,MATCH($A19,'[1]Définition Maintenances'!$K:$K,0)),P19,INDEX('[1]Définition Maintenances'!$G:$G,MATCH($A19,'[1]Définition Maintenances'!$K:$K,0))+P19),P19))</f>
        <v>922</v>
      </c>
      <c r="R19" s="25">
        <f>IF(ISNUMBER(VLOOKUP($D19,'Visu totale'!$D:$DH,R$1,0)),Q19-VLOOKUP($D19,'Visu totale'!$D:$DH,R$1,0),IF(LEFT(VLOOKUP($D19,'Visu totale'!$D:$DH,R$1,0),1)="V",IF(Q19&gt;=INDEX('[1]Définition Maintenances'!$G:$G,MATCH($A19,'[1]Définition Maintenances'!$K:$K,0)),Q19,INDEX('[1]Définition Maintenances'!$G:$G,MATCH($A19,'[1]Définition Maintenances'!$K:$K,0))+Q19),Q19))</f>
        <v>922</v>
      </c>
      <c r="S19" s="26">
        <f>IF(ISNUMBER(VLOOKUP($D19,'Visu totale'!$D:$DH,S$1,0)),R19-VLOOKUP($D19,'Visu totale'!$D:$DH,S$1,0),IF(LEFT(VLOOKUP($D19,'Visu totale'!$D:$DH,S$1,0),1)="V",IF(R19&gt;=INDEX('[1]Définition Maintenances'!$G:$G,MATCH($A19,'[1]Définition Maintenances'!$K:$K,0)),R19,INDEX('[1]Définition Maintenances'!$G:$G,MATCH($A19,'[1]Définition Maintenances'!$K:$K,0))+R19),R19))</f>
        <v>922</v>
      </c>
      <c r="T19" s="26">
        <f>IF(ISNUMBER(VLOOKUP($D19,'Visu totale'!$D:$DH,T$1,0)),S19-VLOOKUP($D19,'Visu totale'!$D:$DH,T$1,0),IF(LEFT(VLOOKUP($D19,'Visu totale'!$D:$DH,T$1,0),1)="V",IF(S19&gt;=INDEX('[1]Définition Maintenances'!$G:$G,MATCH($A19,'[1]Définition Maintenances'!$K:$K,0)),S19,INDEX('[1]Définition Maintenances'!$G:$G,MATCH($A19,'[1]Définition Maintenances'!$K:$K,0))+S19),S19))</f>
        <v>922</v>
      </c>
      <c r="U19" s="26">
        <f>IF(ISNUMBER(VLOOKUP($D19,'Visu totale'!$D:$DH,U$1,0)),T19-VLOOKUP($D19,'Visu totale'!$D:$DH,U$1,0),IF(LEFT(VLOOKUP($D19,'Visu totale'!$D:$DH,U$1,0),1)="V",IF(T19&gt;=INDEX('[1]Définition Maintenances'!$G:$G,MATCH($A19,'[1]Définition Maintenances'!$K:$K,0)),T19,INDEX('[1]Définition Maintenances'!$G:$G,MATCH($A19,'[1]Définition Maintenances'!$K:$K,0))+T19),T19))</f>
        <v>922</v>
      </c>
      <c r="V19" s="26">
        <f>IF(ISNUMBER(VLOOKUP($D19,'Visu totale'!$D:$DH,V$1,0)),U19-VLOOKUP($D19,'Visu totale'!$D:$DH,V$1,0),IF(LEFT(VLOOKUP($D19,'Visu totale'!$D:$DH,V$1,0),1)="V",IF(U19&gt;=INDEX('[1]Définition Maintenances'!$G:$G,MATCH($A19,'[1]Définition Maintenances'!$K:$K,0)),U19,INDEX('[1]Définition Maintenances'!$G:$G,MATCH($A19,'[1]Définition Maintenances'!$K:$K,0))+U19),U19))</f>
        <v>922</v>
      </c>
      <c r="W19" s="26">
        <f>IF(ISNUMBER(VLOOKUP($D19,'Visu totale'!$D:$DH,W$1,0)),V19-VLOOKUP($D19,'Visu totale'!$D:$DH,W$1,0),IF(LEFT(VLOOKUP($D19,'Visu totale'!$D:$DH,W$1,0),1)="V",IF(V19&gt;=INDEX('[1]Définition Maintenances'!$G:$G,MATCH($A19,'[1]Définition Maintenances'!$K:$K,0)),V19,INDEX('[1]Définition Maintenances'!$G:$G,MATCH($A19,'[1]Définition Maintenances'!$K:$K,0))+V19),V19))</f>
        <v>922</v>
      </c>
      <c r="X19" s="26">
        <f>IF(ISNUMBER(VLOOKUP($D19,'Visu totale'!$D:$DH,X$1,0)),W19-VLOOKUP($D19,'Visu totale'!$D:$DH,X$1,0),IF(LEFT(VLOOKUP($D19,'Visu totale'!$D:$DH,X$1,0),1)="V",IF(W19&gt;=INDEX('[1]Définition Maintenances'!$G:$G,MATCH($A19,'[1]Définition Maintenances'!$K:$K,0)),W19,INDEX('[1]Définition Maintenances'!$G:$G,MATCH($A19,'[1]Définition Maintenances'!$K:$K,0))+W19),W19))</f>
        <v>922</v>
      </c>
      <c r="Y19" s="26">
        <f>IF(ISNUMBER(VLOOKUP($D19,'Visu totale'!$D:$DH,Y$1,0)),X19-VLOOKUP($D19,'Visu totale'!$D:$DH,Y$1,0),IF(LEFT(VLOOKUP($D19,'Visu totale'!$D:$DH,Y$1,0),1)="V",IF(X19&gt;=INDEX('[1]Définition Maintenances'!$G:$G,MATCH($A19,'[1]Définition Maintenances'!$K:$K,0)),X19,INDEX('[1]Définition Maintenances'!$G:$G,MATCH($A19,'[1]Définition Maintenances'!$K:$K,0))+X19),X19))</f>
        <v>922</v>
      </c>
      <c r="Z19" s="26">
        <f>IF(ISNUMBER(VLOOKUP($D19,'Visu totale'!$D:$DH,Z$1,0)),Y19-VLOOKUP($D19,'Visu totale'!$D:$DH,Z$1,0),IF(LEFT(VLOOKUP($D19,'Visu totale'!$D:$DH,Z$1,0),1)="V",IF(Y19&gt;=INDEX('[1]Définition Maintenances'!$G:$G,MATCH($A19,'[1]Définition Maintenances'!$K:$K,0)),Y19,INDEX('[1]Définition Maintenances'!$G:$G,MATCH($A19,'[1]Définition Maintenances'!$K:$K,0))+Y19),Y19))</f>
        <v>922</v>
      </c>
      <c r="AA19" s="26">
        <f>IF(ISNUMBER(VLOOKUP($D19,'Visu totale'!$D:$DH,AA$1,0)),Z19-VLOOKUP($D19,'Visu totale'!$D:$DH,AA$1,0),IF(LEFT(VLOOKUP($D19,'Visu totale'!$D:$DH,AA$1,0),1)="V",IF(Z19&gt;=INDEX('[1]Définition Maintenances'!$G:$G,MATCH($A19,'[1]Définition Maintenances'!$K:$K,0)),Z19,INDEX('[1]Définition Maintenances'!$G:$G,MATCH($A19,'[1]Définition Maintenances'!$K:$K,0))+Z19),Z19))</f>
        <v>922</v>
      </c>
      <c r="AB19" s="26">
        <f>IF(ISNUMBER(VLOOKUP($D19,'Visu totale'!$D:$DH,AB$1,0)),AA19-VLOOKUP($D19,'Visu totale'!$D:$DH,AB$1,0),IF(LEFT(VLOOKUP($D19,'Visu totale'!$D:$DH,AB$1,0),1)="V",IF(AA19&gt;=INDEX('[1]Définition Maintenances'!$G:$G,MATCH($A19,'[1]Définition Maintenances'!$K:$K,0)),AA19,INDEX('[1]Définition Maintenances'!$G:$G,MATCH($A19,'[1]Définition Maintenances'!$K:$K,0))+AA19),AA19))</f>
        <v>922</v>
      </c>
      <c r="AC19" s="27">
        <f>IF(ISNUMBER(VLOOKUP($D19,'Visu totale'!$D:$DH,AC$1,0)),AB19-VLOOKUP($D19,'Visu totale'!$D:$DH,AC$1,0),IF(LEFT(VLOOKUP($D19,'Visu totale'!$D:$DH,AC$1,0),1)="V",IF(AB19&gt;=INDEX('[1]Définition Maintenances'!$G:$G,MATCH($A19,'[1]Définition Maintenances'!$K:$K,0)),AB19,INDEX('[1]Définition Maintenances'!$G:$G,MATCH($A19,'[1]Définition Maintenances'!$K:$K,0))+AB19),AB19))</f>
        <v>922</v>
      </c>
      <c r="AD19" s="25">
        <f>IF(ISNUMBER(VLOOKUP($D19,'Visu totale'!$D:$DH,AD$1,0)),AC19-VLOOKUP($D19,'Visu totale'!$D:$DH,AD$1,0),IF(LEFT(VLOOKUP($D19,'Visu totale'!$D:$DH,AD$1,0),1)="V",IF(AC19&gt;=INDEX('[1]Définition Maintenances'!$G:$G,MATCH($A19,'[1]Définition Maintenances'!$K:$K,0)),AC19,INDEX('[1]Définition Maintenances'!$G:$G,MATCH($A19,'[1]Définition Maintenances'!$K:$K,0))+AC19),AC19))</f>
        <v>922</v>
      </c>
      <c r="AE19" s="26">
        <f>IF(ISNUMBER(VLOOKUP($D19,'Visu totale'!$D:$DH,AE$1,0)),AD19-VLOOKUP($D19,'Visu totale'!$D:$DH,AE$1,0),IF(LEFT(VLOOKUP($D19,'Visu totale'!$D:$DH,AE$1,0),1)="V",IF(AD19&gt;=INDEX('[1]Définition Maintenances'!$G:$G,MATCH($A19,'[1]Définition Maintenances'!$K:$K,0)),AD19,INDEX('[1]Définition Maintenances'!$G:$G,MATCH($A19,'[1]Définition Maintenances'!$K:$K,0))+AD19),AD19))</f>
        <v>922</v>
      </c>
      <c r="AF19" s="26">
        <f>IF(ISNUMBER(VLOOKUP($D19,'Visu totale'!$D:$DH,AF$1,0)),AE19-VLOOKUP($D19,'Visu totale'!$D:$DH,AF$1,0),IF(LEFT(VLOOKUP($D19,'Visu totale'!$D:$DH,AF$1,0),1)="V",IF(AE19&gt;=INDEX('[1]Définition Maintenances'!$G:$G,MATCH($A19,'[1]Définition Maintenances'!$K:$K,0)),AE19,INDEX('[1]Définition Maintenances'!$G:$G,MATCH($A19,'[1]Définition Maintenances'!$K:$K,0))+AE19),AE19))</f>
        <v>922</v>
      </c>
      <c r="AG19" s="26">
        <f>IF(ISNUMBER(VLOOKUP($D19,'Visu totale'!$D:$DH,AG$1,0)),AF19-VLOOKUP($D19,'Visu totale'!$D:$DH,AG$1,0),IF(LEFT(VLOOKUP($D19,'Visu totale'!$D:$DH,AG$1,0),1)="V",IF(AF19&gt;=INDEX('[1]Définition Maintenances'!$G:$G,MATCH($A19,'[1]Définition Maintenances'!$K:$K,0)),AF19,INDEX('[1]Définition Maintenances'!$G:$G,MATCH($A19,'[1]Définition Maintenances'!$K:$K,0))+AF19),AF19))</f>
        <v>922</v>
      </c>
      <c r="AH19" s="26">
        <f>IF(ISNUMBER(VLOOKUP($D19,'Visu totale'!$D:$DH,AH$1,0)),AG19-VLOOKUP($D19,'Visu totale'!$D:$DH,AH$1,0),IF(LEFT(VLOOKUP($D19,'Visu totale'!$D:$DH,AH$1,0),1)="V",IF(AG19&gt;=INDEX('[1]Définition Maintenances'!$G:$G,MATCH($A19,'[1]Définition Maintenances'!$K:$K,0)),AG19,INDEX('[1]Définition Maintenances'!$G:$G,MATCH($A19,'[1]Définition Maintenances'!$K:$K,0))+AG19),AG19))</f>
        <v>922</v>
      </c>
      <c r="AI19" s="26">
        <f>IF(ISNUMBER(VLOOKUP($D19,'Visu totale'!$D:$DH,AI$1,0)),AH19-VLOOKUP($D19,'Visu totale'!$D:$DH,AI$1,0),IF(LEFT(VLOOKUP($D19,'Visu totale'!$D:$DH,AI$1,0),1)="V",IF(AH19&gt;=INDEX('[1]Définition Maintenances'!$G:$G,MATCH($A19,'[1]Définition Maintenances'!$K:$K,0)),AH19,INDEX('[1]Définition Maintenances'!$G:$G,MATCH($A19,'[1]Définition Maintenances'!$K:$K,0))+AH19),AH19))</f>
        <v>922</v>
      </c>
      <c r="AJ19" s="26">
        <f>IF(ISNUMBER(VLOOKUP($D19,'Visu totale'!$D:$DH,AJ$1,0)),AI19-VLOOKUP($D19,'Visu totale'!$D:$DH,AJ$1,0),IF(LEFT(VLOOKUP($D19,'Visu totale'!$D:$DH,AJ$1,0),1)="V",IF(AI19&gt;=INDEX('[1]Définition Maintenances'!$G:$G,MATCH($A19,'[1]Définition Maintenances'!$K:$K,0)),AI19,INDEX('[1]Définition Maintenances'!$G:$G,MATCH($A19,'[1]Définition Maintenances'!$K:$K,0))+AI19),AI19))</f>
        <v>922</v>
      </c>
      <c r="AK19" s="26">
        <f>IF(ISNUMBER(VLOOKUP($D19,'Visu totale'!$D:$DH,AK$1,0)),AJ19-VLOOKUP($D19,'Visu totale'!$D:$DH,AK$1,0),IF(LEFT(VLOOKUP($D19,'Visu totale'!$D:$DH,AK$1,0),1)="V",IF(AJ19&gt;=INDEX('[1]Définition Maintenances'!$G:$G,MATCH($A19,'[1]Définition Maintenances'!$K:$K,0)),AJ19,INDEX('[1]Définition Maintenances'!$G:$G,MATCH($A19,'[1]Définition Maintenances'!$K:$K,0))+AJ19),AJ19))</f>
        <v>922</v>
      </c>
      <c r="AL19" s="26">
        <f>IF(ISNUMBER(VLOOKUP($D19,'Visu totale'!$D:$DH,AL$1,0)),AK19-VLOOKUP($D19,'Visu totale'!$D:$DH,AL$1,0),IF(LEFT(VLOOKUP($D19,'Visu totale'!$D:$DH,AL$1,0),1)="V",IF(AK19&gt;=INDEX('[1]Définition Maintenances'!$G:$G,MATCH($A19,'[1]Définition Maintenances'!$K:$K,0)),AK19,INDEX('[1]Définition Maintenances'!$G:$G,MATCH($A19,'[1]Définition Maintenances'!$K:$K,0))+AK19),AK19))</f>
        <v>922</v>
      </c>
      <c r="AM19" s="26">
        <f>IF(ISNUMBER(VLOOKUP($D19,'Visu totale'!$D:$DH,AM$1,0)),AL19-VLOOKUP($D19,'Visu totale'!$D:$DH,AM$1,0),IF(LEFT(VLOOKUP($D19,'Visu totale'!$D:$DH,AM$1,0),1)="V",IF(AL19&gt;=INDEX('[1]Définition Maintenances'!$G:$G,MATCH($A19,'[1]Définition Maintenances'!$K:$K,0)),AL19,INDEX('[1]Définition Maintenances'!$G:$G,MATCH($A19,'[1]Définition Maintenances'!$K:$K,0))+AL19),AL19))</f>
        <v>922</v>
      </c>
      <c r="AN19" s="26">
        <f>IF(ISNUMBER(VLOOKUP($D19,'Visu totale'!$D:$DH,AN$1,0)),AM19-VLOOKUP($D19,'Visu totale'!$D:$DH,AN$1,0),IF(LEFT(VLOOKUP($D19,'Visu totale'!$D:$DH,AN$1,0),1)="V",IF(AM19&gt;=INDEX('[1]Définition Maintenances'!$G:$G,MATCH($A19,'[1]Définition Maintenances'!$K:$K,0)),AM19,INDEX('[1]Définition Maintenances'!$G:$G,MATCH($A19,'[1]Définition Maintenances'!$K:$K,0))+AM19),AM19))</f>
        <v>922</v>
      </c>
      <c r="AO19" s="27">
        <f>IF(ISNUMBER(VLOOKUP($D19,'Visu totale'!$D:$DH,AO$1,0)),AN19-VLOOKUP($D19,'Visu totale'!$D:$DH,AO$1,0),IF(LEFT(VLOOKUP($D19,'Visu totale'!$D:$DH,AO$1,0),1)="V",IF(AN19&gt;=INDEX('[1]Définition Maintenances'!$G:$G,MATCH($A19,'[1]Définition Maintenances'!$K:$K,0)),AN19,INDEX('[1]Définition Maintenances'!$G:$G,MATCH($A19,'[1]Définition Maintenances'!$K:$K,0))+AN19),AN19))</f>
        <v>922</v>
      </c>
      <c r="AP19" s="25">
        <f>IF(ISNUMBER(VLOOKUP($D19,'Visu totale'!$D:$DH,AP$1,0)),AO19-VLOOKUP($D19,'Visu totale'!$D:$DH,AP$1,0),IF(LEFT(VLOOKUP($D19,'Visu totale'!$D:$DH,AP$1,0),1)="V",IF(AO19&gt;=INDEX('[1]Définition Maintenances'!$G:$G,MATCH($A19,'[1]Définition Maintenances'!$K:$K,0)),AO19,INDEX('[1]Définition Maintenances'!$G:$G,MATCH($A19,'[1]Définition Maintenances'!$K:$K,0))+AO19),AO19))</f>
        <v>922</v>
      </c>
      <c r="AQ19" s="26">
        <f>IF(ISNUMBER(VLOOKUP($D19,'Visu totale'!$D:$DH,AQ$1,0)),AP19-VLOOKUP($D19,'Visu totale'!$D:$DH,AQ$1,0),IF(LEFT(VLOOKUP($D19,'Visu totale'!$D:$DH,AQ$1,0),1)="V",IF(AP19&gt;=INDEX('[1]Définition Maintenances'!$G:$G,MATCH($A19,'[1]Définition Maintenances'!$K:$K,0)),AP19,INDEX('[1]Définition Maintenances'!$G:$G,MATCH($A19,'[1]Définition Maintenances'!$K:$K,0))+AP19),AP19))</f>
        <v>922</v>
      </c>
      <c r="AR19" s="26">
        <f>IF(ISNUMBER(VLOOKUP($D19,'Visu totale'!$D:$DH,AR$1,0)),AQ19-VLOOKUP($D19,'Visu totale'!$D:$DH,AR$1,0),IF(LEFT(VLOOKUP($D19,'Visu totale'!$D:$DH,AR$1,0),1)="V",IF(AQ19&gt;=INDEX('[1]Définition Maintenances'!$G:$G,MATCH($A19,'[1]Définition Maintenances'!$K:$K,0)),AQ19,INDEX('[1]Définition Maintenances'!$G:$G,MATCH($A19,'[1]Définition Maintenances'!$K:$K,0))+AQ19),AQ19))</f>
        <v>922</v>
      </c>
      <c r="AS19" s="26">
        <f>IF(ISNUMBER(VLOOKUP($D19,'Visu totale'!$D:$DH,AS$1,0)),AR19-VLOOKUP($D19,'Visu totale'!$D:$DH,AS$1,0),IF(LEFT(VLOOKUP($D19,'Visu totale'!$D:$DH,AS$1,0),1)="V",IF(AR19&gt;=INDEX('[1]Définition Maintenances'!$G:$G,MATCH($A19,'[1]Définition Maintenances'!$K:$K,0)),AR19,INDEX('[1]Définition Maintenances'!$G:$G,MATCH($A19,'[1]Définition Maintenances'!$K:$K,0))+AR19),AR19))</f>
        <v>922</v>
      </c>
      <c r="AT19" s="26">
        <f>IF(ISNUMBER(VLOOKUP($D19,'Visu totale'!$D:$DH,AT$1,0)),AS19-VLOOKUP($D19,'Visu totale'!$D:$DH,AT$1,0),IF(LEFT(VLOOKUP($D19,'Visu totale'!$D:$DH,AT$1,0),1)="V",IF(AS19&gt;=INDEX('[1]Définition Maintenances'!$G:$G,MATCH($A19,'[1]Définition Maintenances'!$K:$K,0)),AS19,INDEX('[1]Définition Maintenances'!$G:$G,MATCH($A19,'[1]Définition Maintenances'!$K:$K,0))+AS19),AS19))</f>
        <v>922</v>
      </c>
      <c r="AU19" s="26">
        <f>IF(ISNUMBER(VLOOKUP($D19,'Visu totale'!$D:$DH,AU$1,0)),AT19-VLOOKUP($D19,'Visu totale'!$D:$DH,AU$1,0),IF(LEFT(VLOOKUP($D19,'Visu totale'!$D:$DH,AU$1,0),1)="V",IF(AT19&gt;=INDEX('[1]Définition Maintenances'!$G:$G,MATCH($A19,'[1]Définition Maintenances'!$K:$K,0)),AT19,INDEX('[1]Définition Maintenances'!$G:$G,MATCH($A19,'[1]Définition Maintenances'!$K:$K,0))+AT19),AT19))</f>
        <v>922</v>
      </c>
      <c r="AV19" s="26">
        <f>IF(ISNUMBER(VLOOKUP($D19,'Visu totale'!$D:$DH,AV$1,0)),AU19-VLOOKUP($D19,'Visu totale'!$D:$DH,AV$1,0),IF(LEFT(VLOOKUP($D19,'Visu totale'!$D:$DH,AV$1,0),1)="V",IF(AU19&gt;=INDEX('[1]Définition Maintenances'!$G:$G,MATCH($A19,'[1]Définition Maintenances'!$K:$K,0)),AU19,INDEX('[1]Définition Maintenances'!$G:$G,MATCH($A19,'[1]Définition Maintenances'!$K:$K,0))+AU19),AU19))</f>
        <v>922</v>
      </c>
      <c r="AW19" s="26">
        <f>IF(ISNUMBER(VLOOKUP($D19,'Visu totale'!$D:$DH,AW$1,0)),AV19-VLOOKUP($D19,'Visu totale'!$D:$DH,AW$1,0),IF(LEFT(VLOOKUP($D19,'Visu totale'!$D:$DH,AW$1,0),1)="V",IF(AV19&gt;=INDEX('[1]Définition Maintenances'!$G:$G,MATCH($A19,'[1]Définition Maintenances'!$K:$K,0)),AV19,INDEX('[1]Définition Maintenances'!$G:$G,MATCH($A19,'[1]Définition Maintenances'!$K:$K,0))+AV19),AV19))</f>
        <v>922</v>
      </c>
      <c r="AX19" s="26">
        <f>IF(ISNUMBER(VLOOKUP($D19,'Visu totale'!$D:$DH,AX$1,0)),AW19-VLOOKUP($D19,'Visu totale'!$D:$DH,AX$1,0),IF(LEFT(VLOOKUP($D19,'Visu totale'!$D:$DH,AX$1,0),1)="V",IF(AW19&gt;=INDEX('[1]Définition Maintenances'!$G:$G,MATCH($A19,'[1]Définition Maintenances'!$K:$K,0)),AW19,INDEX('[1]Définition Maintenances'!$G:$G,MATCH($A19,'[1]Définition Maintenances'!$K:$K,0))+AW19),AW19))</f>
        <v>922</v>
      </c>
      <c r="AY19" s="26">
        <f>IF(ISNUMBER(VLOOKUP($D19,'Visu totale'!$D:$DH,AY$1,0)),AX19-VLOOKUP($D19,'Visu totale'!$D:$DH,AY$1,0),IF(LEFT(VLOOKUP($D19,'Visu totale'!$D:$DH,AY$1,0),1)="V",IF(AX19&gt;=INDEX('[1]Définition Maintenances'!$G:$G,MATCH($A19,'[1]Définition Maintenances'!$K:$K,0)),AX19,INDEX('[1]Définition Maintenances'!$G:$G,MATCH($A19,'[1]Définition Maintenances'!$K:$K,0))+AX19),AX19))</f>
        <v>922</v>
      </c>
      <c r="AZ19" s="26">
        <f>IF(ISNUMBER(VLOOKUP($D19,'Visu totale'!$D:$DH,AZ$1,0)),AY19-VLOOKUP($D19,'Visu totale'!$D:$DH,AZ$1,0),IF(LEFT(VLOOKUP($D19,'Visu totale'!$D:$DH,AZ$1,0),1)="V",IF(AY19&gt;=INDEX('[1]Définition Maintenances'!$G:$G,MATCH($A19,'[1]Définition Maintenances'!$K:$K,0)),AY19,INDEX('[1]Définition Maintenances'!$G:$G,MATCH($A19,'[1]Définition Maintenances'!$K:$K,0))+AY19),AY19))</f>
        <v>922</v>
      </c>
      <c r="BA19" s="27">
        <f>IF(ISNUMBER(VLOOKUP($D19,'Visu totale'!$D:$DH,BA$1,0)),AZ19-VLOOKUP($D19,'Visu totale'!$D:$DH,BA$1,0),IF(LEFT(VLOOKUP($D19,'Visu totale'!$D:$DH,BA$1,0),1)="V",IF(AZ19&gt;=INDEX('[1]Définition Maintenances'!$G:$G,MATCH($A19,'[1]Définition Maintenances'!$K:$K,0)),AZ19,INDEX('[1]Définition Maintenances'!$G:$G,MATCH($A19,'[1]Définition Maintenances'!$K:$K,0))+AZ19),AZ19))</f>
        <v>922</v>
      </c>
      <c r="BB19" s="25">
        <f>IF(ISNUMBER(VLOOKUP($D19,'Visu totale'!$D:$DH,BB$1,0)),BA19-VLOOKUP($D19,'Visu totale'!$D:$DH,BB$1,0),IF(LEFT(VLOOKUP($D19,'Visu totale'!$D:$DH,BB$1,0),1)="V",IF(BA19&gt;=INDEX('[1]Définition Maintenances'!$G:$G,MATCH($A19,'[1]Définition Maintenances'!$K:$K,0)),BA19,INDEX('[1]Définition Maintenances'!$G:$G,MATCH($A19,'[1]Définition Maintenances'!$K:$K,0))+BA19),BA19))</f>
        <v>922</v>
      </c>
      <c r="BC19" s="26">
        <f>IF(ISNUMBER(VLOOKUP($D19,'Visu totale'!$D:$DH,BC$1,0)),BB19-VLOOKUP($D19,'Visu totale'!$D:$DH,BC$1,0),IF(LEFT(VLOOKUP($D19,'Visu totale'!$D:$DH,BC$1,0),1)="V",IF(BB19&gt;=INDEX('[1]Définition Maintenances'!$G:$G,MATCH($A19,'[1]Définition Maintenances'!$K:$K,0)),BB19,INDEX('[1]Définition Maintenances'!$G:$G,MATCH($A19,'[1]Définition Maintenances'!$K:$K,0))+BB19),BB19))</f>
        <v>922</v>
      </c>
      <c r="BD19" s="26">
        <f>IF(ISNUMBER(VLOOKUP($D19,'Visu totale'!$D:$DH,BD$1,0)),BC19-VLOOKUP($D19,'Visu totale'!$D:$DH,BD$1,0),IF(LEFT(VLOOKUP($D19,'Visu totale'!$D:$DH,BD$1,0),1)="V",IF(BC19&gt;=INDEX('[1]Définition Maintenances'!$G:$G,MATCH($A19,'[1]Définition Maintenances'!$K:$K,0)),BC19,INDEX('[1]Définition Maintenances'!$G:$G,MATCH($A19,'[1]Définition Maintenances'!$K:$K,0))+BC19),BC19))</f>
        <v>922</v>
      </c>
      <c r="BE19" s="26">
        <f>IF(ISNUMBER(VLOOKUP($D19,'Visu totale'!$D:$DH,BE$1,0)),BD19-VLOOKUP($D19,'Visu totale'!$D:$DH,BE$1,0),IF(LEFT(VLOOKUP($D19,'Visu totale'!$D:$DH,BE$1,0),1)="V",IF(BD19&gt;=INDEX('[1]Définition Maintenances'!$G:$G,MATCH($A19,'[1]Définition Maintenances'!$K:$K,0)),BD19,INDEX('[1]Définition Maintenances'!$G:$G,MATCH($A19,'[1]Définition Maintenances'!$K:$K,0))+BD19),BD19))</f>
        <v>922</v>
      </c>
      <c r="BF19" s="26">
        <f>IF(ISNUMBER(VLOOKUP($D19,'Visu totale'!$D:$DH,BF$1,0)),BE19-VLOOKUP($D19,'Visu totale'!$D:$DH,BF$1,0),IF(LEFT(VLOOKUP($D19,'Visu totale'!$D:$DH,BF$1,0),1)="V",IF(BE19&gt;=INDEX('[1]Définition Maintenances'!$G:$G,MATCH($A19,'[1]Définition Maintenances'!$K:$K,0)),BE19,INDEX('[1]Définition Maintenances'!$G:$G,MATCH($A19,'[1]Définition Maintenances'!$K:$K,0))+BE19),BE19))</f>
        <v>922</v>
      </c>
      <c r="BG19" s="26">
        <f>IF(ISNUMBER(VLOOKUP($D19,'Visu totale'!$D:$DH,BG$1,0)),BF19-VLOOKUP($D19,'Visu totale'!$D:$DH,BG$1,0),IF(LEFT(VLOOKUP($D19,'Visu totale'!$D:$DH,BG$1,0),1)="V",IF(BF19&gt;=INDEX('[1]Définition Maintenances'!$G:$G,MATCH($A19,'[1]Définition Maintenances'!$K:$K,0)),BF19,INDEX('[1]Définition Maintenances'!$G:$G,MATCH($A19,'[1]Définition Maintenances'!$K:$K,0))+BF19),BF19))</f>
        <v>922</v>
      </c>
      <c r="BH19" s="26">
        <f>IF(ISNUMBER(VLOOKUP($D19,'Visu totale'!$D:$DH,BH$1,0)),BG19-VLOOKUP($D19,'Visu totale'!$D:$DH,BH$1,0),IF(LEFT(VLOOKUP($D19,'Visu totale'!$D:$DH,BH$1,0),1)="V",IF(BG19&gt;=INDEX('[1]Définition Maintenances'!$G:$G,MATCH($A19,'[1]Définition Maintenances'!$K:$K,0)),BG19,INDEX('[1]Définition Maintenances'!$G:$G,MATCH($A19,'[1]Définition Maintenances'!$K:$K,0))+BG19),BG19))</f>
        <v>922</v>
      </c>
      <c r="BI19" s="26">
        <f>IF(ISNUMBER(VLOOKUP($D19,'Visu totale'!$D:$DH,BI$1,0)),BH19-VLOOKUP($D19,'Visu totale'!$D:$DH,BI$1,0),IF(LEFT(VLOOKUP($D19,'Visu totale'!$D:$DH,BI$1,0),1)="V",IF(BH19&gt;=INDEX('[1]Définition Maintenances'!$G:$G,MATCH($A19,'[1]Définition Maintenances'!$K:$K,0)),BH19,INDEX('[1]Définition Maintenances'!$G:$G,MATCH($A19,'[1]Définition Maintenances'!$K:$K,0))+BH19),BH19))</f>
        <v>922</v>
      </c>
      <c r="BJ19" s="26">
        <f>IF(ISNUMBER(VLOOKUP($D19,'Visu totale'!$D:$DH,BJ$1,0)),BI19-VLOOKUP($D19,'Visu totale'!$D:$DH,BJ$1,0),IF(LEFT(VLOOKUP($D19,'Visu totale'!$D:$DH,BJ$1,0),1)="V",IF(BI19&gt;=INDEX('[1]Définition Maintenances'!$G:$G,MATCH($A19,'[1]Définition Maintenances'!$K:$K,0)),BI19,INDEX('[1]Définition Maintenances'!$G:$G,MATCH($A19,'[1]Définition Maintenances'!$K:$K,0))+BI19),BI19))</f>
        <v>922</v>
      </c>
      <c r="BK19" s="26">
        <f>IF(ISNUMBER(VLOOKUP($D19,'Visu totale'!$D:$DH,BK$1,0)),BJ19-VLOOKUP($D19,'Visu totale'!$D:$DH,BK$1,0),IF(LEFT(VLOOKUP($D19,'Visu totale'!$D:$DH,BK$1,0),1)="V",IF(BJ19&gt;=INDEX('[1]Définition Maintenances'!$G:$G,MATCH($A19,'[1]Définition Maintenances'!$K:$K,0)),BJ19,INDEX('[1]Définition Maintenances'!$G:$G,MATCH($A19,'[1]Définition Maintenances'!$K:$K,0))+BJ19),BJ19))</f>
        <v>922</v>
      </c>
      <c r="BL19" s="26">
        <f>IF(ISNUMBER(VLOOKUP($D19,'Visu totale'!$D:$DH,BL$1,0)),BK19-VLOOKUP($D19,'Visu totale'!$D:$DH,BL$1,0),IF(LEFT(VLOOKUP($D19,'Visu totale'!$D:$DH,BL$1,0),1)="V",IF(BK19&gt;=INDEX('[1]Définition Maintenances'!$G:$G,MATCH($A19,'[1]Définition Maintenances'!$K:$K,0)),BK19,INDEX('[1]Définition Maintenances'!$G:$G,MATCH($A19,'[1]Définition Maintenances'!$K:$K,0))+BK19),BK19))</f>
        <v>922</v>
      </c>
      <c r="BM19" s="27">
        <f>IF(ISNUMBER(VLOOKUP($D19,'Visu totale'!$D:$DH,BM$1,0)),BL19-VLOOKUP($D19,'Visu totale'!$D:$DH,BM$1,0),IF(LEFT(VLOOKUP($D19,'Visu totale'!$D:$DH,BM$1,0),1)="V",IF(BL19&gt;=INDEX('[1]Définition Maintenances'!$G:$G,MATCH($A19,'[1]Définition Maintenances'!$K:$K,0)),BL19,INDEX('[1]Définition Maintenances'!$G:$G,MATCH($A19,'[1]Définition Maintenances'!$K:$K,0))+BL19),BL19))</f>
        <v>922</v>
      </c>
      <c r="BN19" s="25">
        <f>IF(ISNUMBER(VLOOKUP($D19,'Visu totale'!$D:$DH,BN$1,0)),BM19-VLOOKUP($D19,'Visu totale'!$D:$DH,BN$1,0),IF(LEFT(VLOOKUP($D19,'Visu totale'!$D:$DH,BN$1,0),1)="V",IF(BM19&gt;=INDEX('[1]Définition Maintenances'!$G:$G,MATCH($A19,'[1]Définition Maintenances'!$K:$K,0)),BM19,INDEX('[1]Définition Maintenances'!$G:$G,MATCH($A19,'[1]Définition Maintenances'!$K:$K,0))+BM19),BM19))</f>
        <v>922</v>
      </c>
      <c r="BO19" s="26">
        <f>IF(ISNUMBER(VLOOKUP($D19,'Visu totale'!$D:$DH,BO$1,0)),BN19-VLOOKUP($D19,'Visu totale'!$D:$DH,BO$1,0),IF(LEFT(VLOOKUP($D19,'Visu totale'!$D:$DH,BO$1,0),1)="V",IF(BN19&gt;=INDEX('[1]Définition Maintenances'!$G:$G,MATCH($A19,'[1]Définition Maintenances'!$K:$K,0)),BN19,INDEX('[1]Définition Maintenances'!$G:$G,MATCH($A19,'[1]Définition Maintenances'!$K:$K,0))+BN19),BN19))</f>
        <v>922</v>
      </c>
      <c r="BP19" s="26">
        <f>IF(ISNUMBER(VLOOKUP($D19,'Visu totale'!$D:$DH,BP$1,0)),BO19-VLOOKUP($D19,'Visu totale'!$D:$DH,BP$1,0),IF(LEFT(VLOOKUP($D19,'Visu totale'!$D:$DH,BP$1,0),1)="V",IF(BO19&gt;=INDEX('[1]Définition Maintenances'!$G:$G,MATCH($A19,'[1]Définition Maintenances'!$K:$K,0)),BO19,INDEX('[1]Définition Maintenances'!$G:$G,MATCH($A19,'[1]Définition Maintenances'!$K:$K,0))+BO19),BO19))</f>
        <v>922</v>
      </c>
      <c r="BQ19" s="26">
        <f>IF(ISNUMBER(VLOOKUP($D19,'Visu totale'!$D:$DH,BQ$1,0)),BP19-VLOOKUP($D19,'Visu totale'!$D:$DH,BQ$1,0),IF(LEFT(VLOOKUP($D19,'Visu totale'!$D:$DH,BQ$1,0),1)="V",IF(BP19&gt;=INDEX('[1]Définition Maintenances'!$G:$G,MATCH($A19,'[1]Définition Maintenances'!$K:$K,0)),BP19,INDEX('[1]Définition Maintenances'!$G:$G,MATCH($A19,'[1]Définition Maintenances'!$K:$K,0))+BP19),BP19))</f>
        <v>922</v>
      </c>
      <c r="BR19" s="26">
        <f>IF(ISNUMBER(VLOOKUP($D19,'Visu totale'!$D:$DH,BR$1,0)),BQ19-VLOOKUP($D19,'Visu totale'!$D:$DH,BR$1,0),IF(LEFT(VLOOKUP($D19,'Visu totale'!$D:$DH,BR$1,0),1)="V",IF(BQ19&gt;=INDEX('[1]Définition Maintenances'!$G:$G,MATCH($A19,'[1]Définition Maintenances'!$K:$K,0)),BQ19,INDEX('[1]Définition Maintenances'!$G:$G,MATCH($A19,'[1]Définition Maintenances'!$K:$K,0))+BQ19),BQ19))</f>
        <v>922</v>
      </c>
      <c r="BS19" s="26">
        <f>IF(ISNUMBER(VLOOKUP($D19,'Visu totale'!$D:$DH,BS$1,0)),BR19-VLOOKUP($D19,'Visu totale'!$D:$DH,BS$1,0),IF(LEFT(VLOOKUP($D19,'Visu totale'!$D:$DH,BS$1,0),1)="V",IF(BR19&gt;=INDEX('[1]Définition Maintenances'!$G:$G,MATCH($A19,'[1]Définition Maintenances'!$K:$K,0)),BR19,INDEX('[1]Définition Maintenances'!$G:$G,MATCH($A19,'[1]Définition Maintenances'!$K:$K,0))+BR19),BR19))</f>
        <v>922</v>
      </c>
      <c r="BT19" s="26">
        <f>IF(ISNUMBER(VLOOKUP($D19,'Visu totale'!$D:$DH,BT$1,0)),BS19-VLOOKUP($D19,'Visu totale'!$D:$DH,BT$1,0),IF(LEFT(VLOOKUP($D19,'Visu totale'!$D:$DH,BT$1,0),1)="V",IF(BS19&gt;=INDEX('[1]Définition Maintenances'!$G:$G,MATCH($A19,'[1]Définition Maintenances'!$K:$K,0)),BS19,INDEX('[1]Définition Maintenances'!$G:$G,MATCH($A19,'[1]Définition Maintenances'!$K:$K,0))+BS19),BS19))</f>
        <v>922</v>
      </c>
      <c r="BU19" s="26">
        <f>IF(ISNUMBER(VLOOKUP($D19,'Visu totale'!$D:$DH,BU$1,0)),BT19-VLOOKUP($D19,'Visu totale'!$D:$DH,BU$1,0),IF(LEFT(VLOOKUP($D19,'Visu totale'!$D:$DH,BU$1,0),1)="V",IF(BT19&gt;=INDEX('[1]Définition Maintenances'!$G:$G,MATCH($A19,'[1]Définition Maintenances'!$K:$K,0)),BT19,INDEX('[1]Définition Maintenances'!$G:$G,MATCH($A19,'[1]Définition Maintenances'!$K:$K,0))+BT19),BT19))</f>
        <v>922</v>
      </c>
      <c r="BV19" s="26">
        <f>IF(ISNUMBER(VLOOKUP($D19,'Visu totale'!$D:$DH,BV$1,0)),BU19-VLOOKUP($D19,'Visu totale'!$D:$DH,BV$1,0),IF(LEFT(VLOOKUP($D19,'Visu totale'!$D:$DH,BV$1,0),1)="V",IF(BU19&gt;=INDEX('[1]Définition Maintenances'!$G:$G,MATCH($A19,'[1]Définition Maintenances'!$K:$K,0)),BU19,INDEX('[1]Définition Maintenances'!$G:$G,MATCH($A19,'[1]Définition Maintenances'!$K:$K,0))+BU19),BU19))</f>
        <v>922</v>
      </c>
      <c r="BW19" s="26">
        <f>IF(ISNUMBER(VLOOKUP($D19,'Visu totale'!$D:$DH,BW$1,0)),BV19-VLOOKUP($D19,'Visu totale'!$D:$DH,BW$1,0),IF(LEFT(VLOOKUP($D19,'Visu totale'!$D:$DH,BW$1,0),1)="V",IF(BV19&gt;=INDEX('[1]Définition Maintenances'!$G:$G,MATCH($A19,'[1]Définition Maintenances'!$K:$K,0)),BV19,INDEX('[1]Définition Maintenances'!$G:$G,MATCH($A19,'[1]Définition Maintenances'!$K:$K,0))+BV19),BV19))</f>
        <v>922</v>
      </c>
      <c r="BX19" s="26">
        <f>IF(ISNUMBER(VLOOKUP($D19,'Visu totale'!$D:$DH,BX$1,0)),BW19-VLOOKUP($D19,'Visu totale'!$D:$DH,BX$1,0),IF(LEFT(VLOOKUP($D19,'Visu totale'!$D:$DH,BX$1,0),1)="V",IF(BW19&gt;=INDEX('[1]Définition Maintenances'!$G:$G,MATCH($A19,'[1]Définition Maintenances'!$K:$K,0)),BW19,INDEX('[1]Définition Maintenances'!$G:$G,MATCH($A19,'[1]Définition Maintenances'!$K:$K,0))+BW19),BW19))</f>
        <v>922</v>
      </c>
      <c r="BY19" s="27">
        <f>IF(ISNUMBER(VLOOKUP($D19,'Visu totale'!$D:$DH,BY$1,0)),BX19-VLOOKUP($D19,'Visu totale'!$D:$DH,BY$1,0),IF(LEFT(VLOOKUP($D19,'Visu totale'!$D:$DH,BY$1,0),1)="V",IF(BX19&gt;=INDEX('[1]Définition Maintenances'!$G:$G,MATCH($A19,'[1]Définition Maintenances'!$K:$K,0)),BX19,INDEX('[1]Définition Maintenances'!$G:$G,MATCH($A19,'[1]Définition Maintenances'!$K:$K,0))+BX19),BX19))</f>
        <v>922</v>
      </c>
      <c r="BZ19" s="25">
        <f>IF(ISNUMBER(VLOOKUP($D19,'Visu totale'!$D:$DH,BZ$1,0)),BY19-VLOOKUP($D19,'Visu totale'!$D:$DH,BZ$1,0),IF(LEFT(VLOOKUP($D19,'Visu totale'!$D:$DH,BZ$1,0),1)="V",IF(BY19&gt;=INDEX('[1]Définition Maintenances'!$G:$G,MATCH($A19,'[1]Définition Maintenances'!$K:$K,0)),BY19,INDEX('[1]Définition Maintenances'!$G:$G,MATCH($A19,'[1]Définition Maintenances'!$K:$K,0))+BY19),BY19))</f>
        <v>922</v>
      </c>
      <c r="CA19" s="26">
        <f>IF(ISNUMBER(VLOOKUP($D19,'Visu totale'!$D:$DH,CA$1,0)),BZ19-VLOOKUP($D19,'Visu totale'!$D:$DH,CA$1,0),IF(LEFT(VLOOKUP($D19,'Visu totale'!$D:$DH,CA$1,0),1)="V",IF(BZ19&gt;=INDEX('[1]Définition Maintenances'!$G:$G,MATCH($A19,'[1]Définition Maintenances'!$K:$K,0)),BZ19,INDEX('[1]Définition Maintenances'!$G:$G,MATCH($A19,'[1]Définition Maintenances'!$K:$K,0))+BZ19),BZ19))</f>
        <v>922</v>
      </c>
      <c r="CB19" s="26">
        <f>IF(ISNUMBER(VLOOKUP($D19,'Visu totale'!$D:$DH,CB$1,0)),CA19-VLOOKUP($D19,'Visu totale'!$D:$DH,CB$1,0),IF(LEFT(VLOOKUP($D19,'Visu totale'!$D:$DH,CB$1,0),1)="V",IF(CA19&gt;=INDEX('[1]Définition Maintenances'!$G:$G,MATCH($A19,'[1]Définition Maintenances'!$K:$K,0)),CA19,INDEX('[1]Définition Maintenances'!$G:$G,MATCH($A19,'[1]Définition Maintenances'!$K:$K,0))+CA19),CA19))</f>
        <v>922</v>
      </c>
      <c r="CC19" s="26">
        <f>IF(ISNUMBER(VLOOKUP($D19,'Visu totale'!$D:$DH,CC$1,0)),CB19-VLOOKUP($D19,'Visu totale'!$D:$DH,CC$1,0),IF(LEFT(VLOOKUP($D19,'Visu totale'!$D:$DH,CC$1,0),1)="V",IF(CB19&gt;=INDEX('[1]Définition Maintenances'!$G:$G,MATCH($A19,'[1]Définition Maintenances'!$K:$K,0)),CB19,INDEX('[1]Définition Maintenances'!$G:$G,MATCH($A19,'[1]Définition Maintenances'!$K:$K,0))+CB19),CB19))</f>
        <v>922</v>
      </c>
      <c r="CD19" s="26">
        <f>IF(ISNUMBER(VLOOKUP($D19,'Visu totale'!$D:$DH,CD$1,0)),CC19-VLOOKUP($D19,'Visu totale'!$D:$DH,CD$1,0),IF(LEFT(VLOOKUP($D19,'Visu totale'!$D:$DH,CD$1,0),1)="V",IF(CC19&gt;=INDEX('[1]Définition Maintenances'!$G:$G,MATCH($A19,'[1]Définition Maintenances'!$K:$K,0)),CC19,INDEX('[1]Définition Maintenances'!$G:$G,MATCH($A19,'[1]Définition Maintenances'!$K:$K,0))+CC19),CC19))</f>
        <v>922</v>
      </c>
      <c r="CE19" s="26">
        <f>IF(ISNUMBER(VLOOKUP($D19,'Visu totale'!$D:$DH,CE$1,0)),CD19-VLOOKUP($D19,'Visu totale'!$D:$DH,CE$1,0),IF(LEFT(VLOOKUP($D19,'Visu totale'!$D:$DH,CE$1,0),1)="V",IF(CD19&gt;=INDEX('[1]Définition Maintenances'!$G:$G,MATCH($A19,'[1]Définition Maintenances'!$K:$K,0)),CD19,INDEX('[1]Définition Maintenances'!$G:$G,MATCH($A19,'[1]Définition Maintenances'!$K:$K,0))+CD19),CD19))</f>
        <v>922</v>
      </c>
      <c r="CF19" s="26">
        <f>IF(ISNUMBER(VLOOKUP($D19,'Visu totale'!$D:$DH,CF$1,0)),CE19-VLOOKUP($D19,'Visu totale'!$D:$DH,CF$1,0),IF(LEFT(VLOOKUP($D19,'Visu totale'!$D:$DH,CF$1,0),1)="V",IF(CE19&gt;=INDEX('[1]Définition Maintenances'!$G:$G,MATCH($A19,'[1]Définition Maintenances'!$K:$K,0)),CE19,INDEX('[1]Définition Maintenances'!$G:$G,MATCH($A19,'[1]Définition Maintenances'!$K:$K,0))+CE19),CE19))</f>
        <v>922</v>
      </c>
      <c r="CG19" s="26">
        <f>IF(ISNUMBER(VLOOKUP($D19,'Visu totale'!$D:$DH,CG$1,0)),CF19-VLOOKUP($D19,'Visu totale'!$D:$DH,CG$1,0),IF(LEFT(VLOOKUP($D19,'Visu totale'!$D:$DH,CG$1,0),1)="V",IF(CF19&gt;=INDEX('[1]Définition Maintenances'!$G:$G,MATCH($A19,'[1]Définition Maintenances'!$K:$K,0)),CF19,INDEX('[1]Définition Maintenances'!$G:$G,MATCH($A19,'[1]Définition Maintenances'!$K:$K,0))+CF19),CF19))</f>
        <v>922</v>
      </c>
      <c r="CH19" s="26">
        <f>IF(ISNUMBER(VLOOKUP($D19,'Visu totale'!$D:$DH,CH$1,0)),CG19-VLOOKUP($D19,'Visu totale'!$D:$DH,CH$1,0),IF(LEFT(VLOOKUP($D19,'Visu totale'!$D:$DH,CH$1,0),1)="V",IF(CG19&gt;=INDEX('[1]Définition Maintenances'!$G:$G,MATCH($A19,'[1]Définition Maintenances'!$K:$K,0)),CG19,INDEX('[1]Définition Maintenances'!$G:$G,MATCH($A19,'[1]Définition Maintenances'!$K:$K,0))+CG19),CG19))</f>
        <v>922</v>
      </c>
      <c r="CI19" s="26">
        <f>IF(ISNUMBER(VLOOKUP($D19,'Visu totale'!$D:$DH,CI$1,0)),CH19-VLOOKUP($D19,'Visu totale'!$D:$DH,CI$1,0),IF(LEFT(VLOOKUP($D19,'Visu totale'!$D:$DH,CI$1,0),1)="V",IF(CH19&gt;=INDEX('[1]Définition Maintenances'!$G:$G,MATCH($A19,'[1]Définition Maintenances'!$K:$K,0)),CH19,INDEX('[1]Définition Maintenances'!$G:$G,MATCH($A19,'[1]Définition Maintenances'!$K:$K,0))+CH19),CH19))</f>
        <v>922</v>
      </c>
      <c r="CJ19" s="26">
        <f>IF(ISNUMBER(VLOOKUP($D19,'Visu totale'!$D:$DH,CJ$1,0)),CI19-VLOOKUP($D19,'Visu totale'!$D:$DH,CJ$1,0),IF(LEFT(VLOOKUP($D19,'Visu totale'!$D:$DH,CJ$1,0),1)="V",IF(CI19&gt;=INDEX('[1]Définition Maintenances'!$G:$G,MATCH($A19,'[1]Définition Maintenances'!$K:$K,0)),CI19,INDEX('[1]Définition Maintenances'!$G:$G,MATCH($A19,'[1]Définition Maintenances'!$K:$K,0))+CI19),CI19))</f>
        <v>922</v>
      </c>
      <c r="CK19" s="27">
        <f>IF(ISNUMBER(VLOOKUP($D19,'Visu totale'!$D:$DH,CK$1,0)),CJ19-VLOOKUP($D19,'Visu totale'!$D:$DH,CK$1,0),IF(LEFT(VLOOKUP($D19,'Visu totale'!$D:$DH,CK$1,0),1)="V",IF(CJ19&gt;=INDEX('[1]Définition Maintenances'!$G:$G,MATCH($A19,'[1]Définition Maintenances'!$K:$K,0)),CJ19,INDEX('[1]Définition Maintenances'!$G:$G,MATCH($A19,'[1]Définition Maintenances'!$K:$K,0))+CJ19),CJ19))</f>
        <v>922</v>
      </c>
      <c r="CL19" s="25">
        <f>IF(ISNUMBER(VLOOKUP($D19,'Visu totale'!$D:$DH,CL$1,0)),CK19-VLOOKUP($D19,'Visu totale'!$D:$DH,CL$1,0),IF(LEFT(VLOOKUP($D19,'Visu totale'!$D:$DH,CL$1,0),1)="V",IF(CK19&gt;=INDEX('[1]Définition Maintenances'!$G:$G,MATCH($A19,'[1]Définition Maintenances'!$K:$K,0)),CK19,INDEX('[1]Définition Maintenances'!$G:$G,MATCH($A19,'[1]Définition Maintenances'!$K:$K,0))+CK19),CK19))</f>
        <v>922</v>
      </c>
      <c r="CM19" s="26">
        <f>IF(ISNUMBER(VLOOKUP($D19,'Visu totale'!$D:$DH,CM$1,0)),CL19-VLOOKUP($D19,'Visu totale'!$D:$DH,CM$1,0),IF(LEFT(VLOOKUP($D19,'Visu totale'!$D:$DH,CM$1,0),1)="V",IF(CL19&gt;=INDEX('[1]Définition Maintenances'!$G:$G,MATCH($A19,'[1]Définition Maintenances'!$K:$K,0)),CL19,INDEX('[1]Définition Maintenances'!$G:$G,MATCH($A19,'[1]Définition Maintenances'!$K:$K,0))+CL19),CL19))</f>
        <v>922</v>
      </c>
      <c r="CN19" s="26">
        <f>IF(ISNUMBER(VLOOKUP($D19,'Visu totale'!$D:$DH,CN$1,0)),CM19-VLOOKUP($D19,'Visu totale'!$D:$DH,CN$1,0),IF(LEFT(VLOOKUP($D19,'Visu totale'!$D:$DH,CN$1,0),1)="V",IF(CM19&gt;=INDEX('[1]Définition Maintenances'!$G:$G,MATCH($A19,'[1]Définition Maintenances'!$K:$K,0)),CM19,INDEX('[1]Définition Maintenances'!$G:$G,MATCH($A19,'[1]Définition Maintenances'!$K:$K,0))+CM19),CM19))</f>
        <v>922</v>
      </c>
      <c r="CO19" s="26">
        <f>IF(ISNUMBER(VLOOKUP($D19,'Visu totale'!$D:$DH,CO$1,0)),CN19-VLOOKUP($D19,'Visu totale'!$D:$DH,CO$1,0),IF(LEFT(VLOOKUP($D19,'Visu totale'!$D:$DH,CO$1,0),1)="V",IF(CN19&gt;=INDEX('[1]Définition Maintenances'!$G:$G,MATCH($A19,'[1]Définition Maintenances'!$K:$K,0)),CN19,INDEX('[1]Définition Maintenances'!$G:$G,MATCH($A19,'[1]Définition Maintenances'!$K:$K,0))+CN19),CN19))</f>
        <v>922</v>
      </c>
      <c r="CP19" s="26">
        <f>IF(ISNUMBER(VLOOKUP($D19,'Visu totale'!$D:$DH,CP$1,0)),CO19-VLOOKUP($D19,'Visu totale'!$D:$DH,CP$1,0),IF(LEFT(VLOOKUP($D19,'Visu totale'!$D:$DH,CP$1,0),1)="V",IF(CO19&gt;=INDEX('[1]Définition Maintenances'!$G:$G,MATCH($A19,'[1]Définition Maintenances'!$K:$K,0)),CO19,INDEX('[1]Définition Maintenances'!$G:$G,MATCH($A19,'[1]Définition Maintenances'!$K:$K,0))+CO19),CO19))</f>
        <v>922</v>
      </c>
      <c r="CQ19" s="26">
        <f>IF(ISNUMBER(VLOOKUP($D19,'Visu totale'!$D:$DH,CQ$1,0)),CP19-VLOOKUP($D19,'Visu totale'!$D:$DH,CQ$1,0),IF(LEFT(VLOOKUP($D19,'Visu totale'!$D:$DH,CQ$1,0),1)="V",IF(CP19&gt;=INDEX('[1]Définition Maintenances'!$G:$G,MATCH($A19,'[1]Définition Maintenances'!$K:$K,0)),CP19,INDEX('[1]Définition Maintenances'!$G:$G,MATCH($A19,'[1]Définition Maintenances'!$K:$K,0))+CP19),CP19))</f>
        <v>922</v>
      </c>
      <c r="CR19" s="26">
        <f>IF(ISNUMBER(VLOOKUP($D19,'Visu totale'!$D:$DH,CR$1,0)),CQ19-VLOOKUP($D19,'Visu totale'!$D:$DH,CR$1,0),IF(LEFT(VLOOKUP($D19,'Visu totale'!$D:$DH,CR$1,0),1)="V",IF(CQ19&gt;=INDEX('[1]Définition Maintenances'!$G:$G,MATCH($A19,'[1]Définition Maintenances'!$K:$K,0)),CQ19,INDEX('[1]Définition Maintenances'!$G:$G,MATCH($A19,'[1]Définition Maintenances'!$K:$K,0))+CQ19),CQ19))</f>
        <v>922</v>
      </c>
      <c r="CS19" s="26">
        <f>IF(ISNUMBER(VLOOKUP($D19,'Visu totale'!$D:$DH,CS$1,0)),CR19-VLOOKUP($D19,'Visu totale'!$D:$DH,CS$1,0),IF(LEFT(VLOOKUP($D19,'Visu totale'!$D:$DH,CS$1,0),1)="V",IF(CR19&gt;=INDEX('[1]Définition Maintenances'!$G:$G,MATCH($A19,'[1]Définition Maintenances'!$K:$K,0)),CR19,INDEX('[1]Définition Maintenances'!$G:$G,MATCH($A19,'[1]Définition Maintenances'!$K:$K,0))+CR19),CR19))</f>
        <v>922</v>
      </c>
      <c r="CT19" s="26">
        <f>IF(ISNUMBER(VLOOKUP($D19,'Visu totale'!$D:$DH,CT$1,0)),CS19-VLOOKUP($D19,'Visu totale'!$D:$DH,CT$1,0),IF(LEFT(VLOOKUP($D19,'Visu totale'!$D:$DH,CT$1,0),1)="V",IF(CS19&gt;=INDEX('[1]Définition Maintenances'!$G:$G,MATCH($A19,'[1]Définition Maintenances'!$K:$K,0)),CS19,INDEX('[1]Définition Maintenances'!$G:$G,MATCH($A19,'[1]Définition Maintenances'!$K:$K,0))+CS19),CS19))</f>
        <v>922</v>
      </c>
      <c r="CU19" s="26">
        <f>IF(ISNUMBER(VLOOKUP($D19,'Visu totale'!$D:$DH,CU$1,0)),CT19-VLOOKUP($D19,'Visu totale'!$D:$DH,CU$1,0),IF(LEFT(VLOOKUP($D19,'Visu totale'!$D:$DH,CU$1,0),1)="V",IF(CT19&gt;=INDEX('[1]Définition Maintenances'!$G:$G,MATCH($A19,'[1]Définition Maintenances'!$K:$K,0)),CT19,INDEX('[1]Définition Maintenances'!$G:$G,MATCH($A19,'[1]Définition Maintenances'!$K:$K,0))+CT19),CT19))</f>
        <v>922</v>
      </c>
      <c r="CV19" s="26">
        <f>IF(ISNUMBER(VLOOKUP($D19,'Visu totale'!$D:$DH,CV$1,0)),CU19-VLOOKUP($D19,'Visu totale'!$D:$DH,CV$1,0),IF(LEFT(VLOOKUP($D19,'Visu totale'!$D:$DH,CV$1,0),1)="V",IF(CU19&gt;=INDEX('[1]Définition Maintenances'!$G:$G,MATCH($A19,'[1]Définition Maintenances'!$K:$K,0)),CU19,INDEX('[1]Définition Maintenances'!$G:$G,MATCH($A19,'[1]Définition Maintenances'!$K:$K,0))+CU19),CU19))</f>
        <v>922</v>
      </c>
      <c r="CW19" s="27">
        <f>IF(ISNUMBER(VLOOKUP($D19,'Visu totale'!$D:$DH,CW$1,0)),CV19-VLOOKUP($D19,'Visu totale'!$D:$DH,CW$1,0),IF(LEFT(VLOOKUP($D19,'Visu totale'!$D:$DH,CW$1,0),1)="V",IF(CV19&gt;=INDEX('[1]Définition Maintenances'!$G:$G,MATCH($A19,'[1]Définition Maintenances'!$K:$K,0)),CV19,INDEX('[1]Définition Maintenances'!$G:$G,MATCH($A19,'[1]Définition Maintenances'!$K:$K,0))+CV19),CV19))</f>
        <v>922</v>
      </c>
      <c r="CX19" s="25">
        <f>IF(ISNUMBER(VLOOKUP($D19,'Visu totale'!$D:$DH,CX$1,0)),CW19-VLOOKUP($D19,'Visu totale'!$D:$DH,CX$1,0),IF(LEFT(VLOOKUP($D19,'Visu totale'!$D:$DH,CX$1,0),1)="V",IF(CW19&gt;=INDEX('[1]Définition Maintenances'!$G:$G,MATCH($A19,'[1]Définition Maintenances'!$K:$K,0)),CW19,INDEX('[1]Définition Maintenances'!$G:$G,MATCH($A19,'[1]Définition Maintenances'!$K:$K,0))+CW19),CW19))</f>
        <v>922</v>
      </c>
      <c r="CY19" s="26">
        <f>IF(ISNUMBER(VLOOKUP($D19,'Visu totale'!$D:$DH,CY$1,0)),CX19-VLOOKUP($D19,'Visu totale'!$D:$DH,CY$1,0),IF(LEFT(VLOOKUP($D19,'Visu totale'!$D:$DH,CY$1,0),1)="V",IF(CX19&gt;=INDEX('[1]Définition Maintenances'!$G:$G,MATCH($A19,'[1]Définition Maintenances'!$K:$K,0)),CX19,INDEX('[1]Définition Maintenances'!$G:$G,MATCH($A19,'[1]Définition Maintenances'!$K:$K,0))+CX19),CX19))</f>
        <v>922</v>
      </c>
      <c r="CZ19" s="26">
        <f>IF(ISNUMBER(VLOOKUP($D19,'Visu totale'!$D:$DH,CZ$1,0)),CY19-VLOOKUP($D19,'Visu totale'!$D:$DH,CZ$1,0),IF(LEFT(VLOOKUP($D19,'Visu totale'!$D:$DH,CZ$1,0),1)="V",IF(CY19&gt;=INDEX('[1]Définition Maintenances'!$G:$G,MATCH($A19,'[1]Définition Maintenances'!$K:$K,0)),CY19,INDEX('[1]Définition Maintenances'!$G:$G,MATCH($A19,'[1]Définition Maintenances'!$K:$K,0))+CY19),CY19))</f>
        <v>922</v>
      </c>
      <c r="DA19" s="26">
        <f>IF(ISNUMBER(VLOOKUP($D19,'Visu totale'!$D:$DH,DA$1,0)),CZ19-VLOOKUP($D19,'Visu totale'!$D:$DH,DA$1,0),IF(LEFT(VLOOKUP($D19,'Visu totale'!$D:$DH,DA$1,0),1)="V",IF(CZ19&gt;=INDEX('[1]Définition Maintenances'!$G:$G,MATCH($A19,'[1]Définition Maintenances'!$K:$K,0)),CZ19,INDEX('[1]Définition Maintenances'!$G:$G,MATCH($A19,'[1]Définition Maintenances'!$K:$K,0))+CZ19),CZ19))</f>
        <v>922</v>
      </c>
      <c r="DB19" s="26">
        <f>IF(ISNUMBER(VLOOKUP($D19,'Visu totale'!$D:$DH,DB$1,0)),DA19-VLOOKUP($D19,'Visu totale'!$D:$DH,DB$1,0),IF(LEFT(VLOOKUP($D19,'Visu totale'!$D:$DH,DB$1,0),1)="V",IF(DA19&gt;=INDEX('[1]Définition Maintenances'!$G:$G,MATCH($A19,'[1]Définition Maintenances'!$K:$K,0)),DA19,INDEX('[1]Définition Maintenances'!$G:$G,MATCH($A19,'[1]Définition Maintenances'!$K:$K,0))+DA19),DA19))</f>
        <v>922</v>
      </c>
      <c r="DC19" s="26">
        <f>IF(ISNUMBER(VLOOKUP($D19,'Visu totale'!$D:$DH,DC$1,0)),DB19-VLOOKUP($D19,'Visu totale'!$D:$DH,DC$1,0),IF(LEFT(VLOOKUP($D19,'Visu totale'!$D:$DH,DC$1,0),1)="V",IF(DB19&gt;=INDEX('[1]Définition Maintenances'!$G:$G,MATCH($A19,'[1]Définition Maintenances'!$K:$K,0)),DB19,INDEX('[1]Définition Maintenances'!$G:$G,MATCH($A19,'[1]Définition Maintenances'!$K:$K,0))+DB19),DB19))</f>
        <v>922</v>
      </c>
      <c r="DD19" s="26">
        <f>IF(ISNUMBER(VLOOKUP($D19,'Visu totale'!$D:$DH,DD$1,0)),DC19-VLOOKUP($D19,'Visu totale'!$D:$DH,DD$1,0),IF(LEFT(VLOOKUP($D19,'Visu totale'!$D:$DH,DD$1,0),1)="V",IF(DC19&gt;=INDEX('[1]Définition Maintenances'!$G:$G,MATCH($A19,'[1]Définition Maintenances'!$K:$K,0)),DC19,INDEX('[1]Définition Maintenances'!$G:$G,MATCH($A19,'[1]Définition Maintenances'!$K:$K,0))+DC19),DC19))</f>
        <v>922</v>
      </c>
      <c r="DE19" s="26">
        <f>IF(ISNUMBER(VLOOKUP($D19,'Visu totale'!$D:$DH,DE$1,0)),DD19-VLOOKUP($D19,'Visu totale'!$D:$DH,DE$1,0),IF(LEFT(VLOOKUP($D19,'Visu totale'!$D:$DH,DE$1,0),1)="V",IF(DD19&gt;=INDEX('[1]Définition Maintenances'!$G:$G,MATCH($A19,'[1]Définition Maintenances'!$K:$K,0)),DD19,INDEX('[1]Définition Maintenances'!$G:$G,MATCH($A19,'[1]Définition Maintenances'!$K:$K,0))+DD19),DD19))</f>
        <v>922</v>
      </c>
      <c r="DF19" s="26">
        <f>IF(ISNUMBER(VLOOKUP($D19,'Visu totale'!$D:$DH,DF$1,0)),DE19-VLOOKUP($D19,'Visu totale'!$D:$DH,DF$1,0),IF(LEFT(VLOOKUP($D19,'Visu totale'!$D:$DH,DF$1,0),1)="V",IF(DE19&gt;=INDEX('[1]Définition Maintenances'!$G:$G,MATCH($A19,'[1]Définition Maintenances'!$K:$K,0)),DE19,INDEX('[1]Définition Maintenances'!$G:$G,MATCH($A19,'[1]Définition Maintenances'!$K:$K,0))+DE19),DE19))</f>
        <v>922</v>
      </c>
      <c r="DG19" s="26">
        <f>IF(ISNUMBER(VLOOKUP($D19,'Visu totale'!$D:$DH,DG$1,0)),DF19-VLOOKUP($D19,'Visu totale'!$D:$DH,DG$1,0),IF(LEFT(VLOOKUP($D19,'Visu totale'!$D:$DH,DG$1,0),1)="V",IF(DF19&gt;=INDEX('[1]Définition Maintenances'!$G:$G,MATCH($A19,'[1]Définition Maintenances'!$K:$K,0)),DF19,INDEX('[1]Définition Maintenances'!$G:$G,MATCH($A19,'[1]Définition Maintenances'!$K:$K,0))+DF19),DF19))</f>
        <v>922</v>
      </c>
      <c r="DH19" s="26">
        <f>IF(ISNUMBER(VLOOKUP($D19,'Visu totale'!$D:$DH,DH$1,0)),DG19-VLOOKUP($D19,'Visu totale'!$D:$DH,DH$1,0),IF(LEFT(VLOOKUP($D19,'Visu totale'!$D:$DH,DH$1,0),1)="V",IF(DG19&gt;=INDEX('[1]Définition Maintenances'!$G:$G,MATCH($A19,'[1]Définition Maintenances'!$K:$K,0)),DG19,INDEX('[1]Définition Maintenances'!$G:$G,MATCH($A19,'[1]Définition Maintenances'!$K:$K,0))+DG19),DG19))</f>
        <v>922</v>
      </c>
      <c r="DI19" s="27">
        <f>IF(ISNUMBER(VLOOKUP($D19,'Visu totale'!$D:$DH,DI$1,0)),DH19-VLOOKUP($D19,'Visu totale'!$D:$DH,DI$1,0),IF(LEFT(VLOOKUP($D19,'Visu totale'!$D:$DH,DI$1,0),1)="V",IF(DH19&gt;=INDEX('[1]Définition Maintenances'!$G:$G,MATCH($A19,'[1]Définition Maintenances'!$K:$K,0)),DH19,INDEX('[1]Définition Maintenances'!$G:$G,MATCH($A19,'[1]Définition Maintenances'!$K:$K,0))+DH19),DH19))</f>
        <v>922</v>
      </c>
    </row>
    <row r="20" spans="1:113" x14ac:dyDescent="0.25">
      <c r="A20" s="13" t="str">
        <f t="shared" si="0"/>
        <v>V10D</v>
      </c>
      <c r="B20" s="13" t="str">
        <f>VLOOKUP(D20,'[1]Avions (Potentiels)'!$B$2:$H$128,7,FALSE)</f>
        <v>V10</v>
      </c>
      <c r="C20" s="13"/>
      <c r="D20" s="16" t="s">
        <v>23</v>
      </c>
      <c r="E20" s="13">
        <f>IFERROR(VALUE(SUBSTITUTE(VLOOKUP(D20,'[1]Avions (Potentiels)'!$B:$E,4,0),".",",")),VALUE(VLOOKUP(D20,'[1]Avions (Potentiels)'!$B:$E,4,0)))</f>
        <v>497</v>
      </c>
      <c r="F20" s="25">
        <f>IF(ISNUMBER(VLOOKUP($D20,'Visu totale'!$D:$DH,F$1,0)),E20-VLOOKUP($D20,'Visu totale'!$D:$DH,F$1,0),IF(LEFT(VLOOKUP($D20,'Visu totale'!$D:$DH,F$1,0),1)="V",IF(E20&gt;=INDEX('[1]Définition Maintenances'!$G:$G,MATCH($A20,'[1]Définition Maintenances'!$K:$K,0)),E20,INDEX('[1]Définition Maintenances'!$G:$G,MATCH($A20,'[1]Définition Maintenances'!$K:$K,0))+E20),E20))</f>
        <v>497</v>
      </c>
      <c r="G20" s="26">
        <f>IF(ISNUMBER(VLOOKUP($D20,'Visu totale'!$D:$DH,G$1,0)),F20-VLOOKUP($D20,'Visu totale'!$D:$DH,G$1,0),IF(LEFT(VLOOKUP($D20,'Visu totale'!$D:$DH,G$1,0),1)="V",IF(F20&gt;=INDEX('[1]Définition Maintenances'!$G:$G,MATCH($A20,'[1]Définition Maintenances'!$K:$K,0)),F20,INDEX('[1]Définition Maintenances'!$G:$G,MATCH($A20,'[1]Définition Maintenances'!$K:$K,0))+F20),F20))</f>
        <v>497</v>
      </c>
      <c r="H20" s="26">
        <f>IF(ISNUMBER(VLOOKUP($D20,'Visu totale'!$D:$DH,H$1,0)),G20-VLOOKUP($D20,'Visu totale'!$D:$DH,H$1,0),IF(LEFT(VLOOKUP($D20,'Visu totale'!$D:$DH,H$1,0),1)="V",IF(G20&gt;=INDEX('[1]Définition Maintenances'!$G:$G,MATCH($A20,'[1]Définition Maintenances'!$K:$K,0)),G20,INDEX('[1]Définition Maintenances'!$G:$G,MATCH($A20,'[1]Définition Maintenances'!$K:$K,0))+G20),G20))</f>
        <v>497</v>
      </c>
      <c r="I20" s="26">
        <f>IF(ISNUMBER(VLOOKUP($D20,'Visu totale'!$D:$DH,I$1,0)),H20-VLOOKUP($D20,'Visu totale'!$D:$DH,I$1,0),IF(LEFT(VLOOKUP($D20,'Visu totale'!$D:$DH,I$1,0),1)="V",IF(H20&gt;=INDEX('[1]Définition Maintenances'!$G:$G,MATCH($A20,'[1]Définition Maintenances'!$K:$K,0)),H20,INDEX('[1]Définition Maintenances'!$G:$G,MATCH($A20,'[1]Définition Maintenances'!$K:$K,0))+H20),H20))</f>
        <v>497</v>
      </c>
      <c r="J20" s="26">
        <f>IF(ISNUMBER(VLOOKUP($D20,'Visu totale'!$D:$DH,J$1,0)),I20-VLOOKUP($D20,'Visu totale'!$D:$DH,J$1,0),IF(LEFT(VLOOKUP($D20,'Visu totale'!$D:$DH,J$1,0),1)="V",IF(I20&gt;=INDEX('[1]Définition Maintenances'!$G:$G,MATCH($A20,'[1]Définition Maintenances'!$K:$K,0)),I20,INDEX('[1]Définition Maintenances'!$G:$G,MATCH($A20,'[1]Définition Maintenances'!$K:$K,0))+I20),I20))</f>
        <v>497</v>
      </c>
      <c r="K20" s="26">
        <f>IF(ISNUMBER(VLOOKUP($D20,'Visu totale'!$D:$DH,K$1,0)),J20-VLOOKUP($D20,'Visu totale'!$D:$DH,K$1,0),IF(LEFT(VLOOKUP($D20,'Visu totale'!$D:$DH,K$1,0),1)="V",IF(J20&gt;=INDEX('[1]Définition Maintenances'!$G:$G,MATCH($A20,'[1]Définition Maintenances'!$K:$K,0)),J20,INDEX('[1]Définition Maintenances'!$G:$G,MATCH($A20,'[1]Définition Maintenances'!$K:$K,0))+J20),J20))</f>
        <v>497</v>
      </c>
      <c r="L20" s="26">
        <f>IF(ISNUMBER(VLOOKUP($D20,'Visu totale'!$D:$DH,L$1,0)),K20-VLOOKUP($D20,'Visu totale'!$D:$DH,L$1,0),IF(LEFT(VLOOKUP($D20,'Visu totale'!$D:$DH,L$1,0),1)="V",IF(K20&gt;=INDEX('[1]Définition Maintenances'!$G:$G,MATCH($A20,'[1]Définition Maintenances'!$K:$K,0)),K20,INDEX('[1]Définition Maintenances'!$G:$G,MATCH($A20,'[1]Définition Maintenances'!$K:$K,0))+K20),K20))</f>
        <v>497</v>
      </c>
      <c r="M20" s="26">
        <f>IF(ISNUMBER(VLOOKUP($D20,'Visu totale'!$D:$DH,M$1,0)),L20-VLOOKUP($D20,'Visu totale'!$D:$DH,M$1,0),IF(LEFT(VLOOKUP($D20,'Visu totale'!$D:$DH,M$1,0),1)="V",IF(L20&gt;=INDEX('[1]Définition Maintenances'!$G:$G,MATCH($A20,'[1]Définition Maintenances'!$K:$K,0)),L20,INDEX('[1]Définition Maintenances'!$G:$G,MATCH($A20,'[1]Définition Maintenances'!$K:$K,0))+L20),L20))</f>
        <v>497</v>
      </c>
      <c r="N20" s="26">
        <f>IF(ISNUMBER(VLOOKUP($D20,'Visu totale'!$D:$DH,N$1,0)),M20-VLOOKUP($D20,'Visu totale'!$D:$DH,N$1,0),IF(LEFT(VLOOKUP($D20,'Visu totale'!$D:$DH,N$1,0),1)="V",IF(M20&gt;=INDEX('[1]Définition Maintenances'!$G:$G,MATCH($A20,'[1]Définition Maintenances'!$K:$K,0)),M20,INDEX('[1]Définition Maintenances'!$G:$G,MATCH($A20,'[1]Définition Maintenances'!$K:$K,0))+M20),M20))</f>
        <v>497</v>
      </c>
      <c r="O20" s="26">
        <f>IF(ISNUMBER(VLOOKUP($D20,'Visu totale'!$D:$DH,O$1,0)),N20-VLOOKUP($D20,'Visu totale'!$D:$DH,O$1,0),IF(LEFT(VLOOKUP($D20,'Visu totale'!$D:$DH,O$1,0),1)="V",IF(N20&gt;=INDEX('[1]Définition Maintenances'!$G:$G,MATCH($A20,'[1]Définition Maintenances'!$K:$K,0)),N20,INDEX('[1]Définition Maintenances'!$G:$G,MATCH($A20,'[1]Définition Maintenances'!$K:$K,0))+N20),N20))</f>
        <v>497</v>
      </c>
      <c r="P20" s="26">
        <f>IF(ISNUMBER(VLOOKUP($D20,'Visu totale'!$D:$DH,P$1,0)),O20-VLOOKUP($D20,'Visu totale'!$D:$DH,P$1,0),IF(LEFT(VLOOKUP($D20,'Visu totale'!$D:$DH,P$1,0),1)="V",IF(O20&gt;=INDEX('[1]Définition Maintenances'!$G:$G,MATCH($A20,'[1]Définition Maintenances'!$K:$K,0)),O20,INDEX('[1]Définition Maintenances'!$G:$G,MATCH($A20,'[1]Définition Maintenances'!$K:$K,0))+O20),O20))</f>
        <v>497</v>
      </c>
      <c r="Q20" s="27">
        <f>IF(ISNUMBER(VLOOKUP($D20,'Visu totale'!$D:$DH,Q$1,0)),P20-VLOOKUP($D20,'Visu totale'!$D:$DH,Q$1,0),IF(LEFT(VLOOKUP($D20,'Visu totale'!$D:$DH,Q$1,0),1)="V",IF(P20&gt;=INDEX('[1]Définition Maintenances'!$G:$G,MATCH($A20,'[1]Définition Maintenances'!$K:$K,0)),P20,INDEX('[1]Définition Maintenances'!$G:$G,MATCH($A20,'[1]Définition Maintenances'!$K:$K,0))+P20),P20))</f>
        <v>497</v>
      </c>
      <c r="R20" s="25">
        <f>IF(ISNUMBER(VLOOKUP($D20,'Visu totale'!$D:$DH,R$1,0)),Q20-VLOOKUP($D20,'Visu totale'!$D:$DH,R$1,0),IF(LEFT(VLOOKUP($D20,'Visu totale'!$D:$DH,R$1,0),1)="V",IF(Q20&gt;=INDEX('[1]Définition Maintenances'!$G:$G,MATCH($A20,'[1]Définition Maintenances'!$K:$K,0)),Q20,INDEX('[1]Définition Maintenances'!$G:$G,MATCH($A20,'[1]Définition Maintenances'!$K:$K,0))+Q20),Q20))</f>
        <v>497</v>
      </c>
      <c r="S20" s="26">
        <f>IF(ISNUMBER(VLOOKUP($D20,'Visu totale'!$D:$DH,S$1,0)),R20-VLOOKUP($D20,'Visu totale'!$D:$DH,S$1,0),IF(LEFT(VLOOKUP($D20,'Visu totale'!$D:$DH,S$1,0),1)="V",IF(R20&gt;=INDEX('[1]Définition Maintenances'!$G:$G,MATCH($A20,'[1]Définition Maintenances'!$K:$K,0)),R20,INDEX('[1]Définition Maintenances'!$G:$G,MATCH($A20,'[1]Définition Maintenances'!$K:$K,0))+R20),R20))</f>
        <v>497</v>
      </c>
      <c r="T20" s="26">
        <f>IF(ISNUMBER(VLOOKUP($D20,'Visu totale'!$D:$DH,T$1,0)),S20-VLOOKUP($D20,'Visu totale'!$D:$DH,T$1,0),IF(LEFT(VLOOKUP($D20,'Visu totale'!$D:$DH,T$1,0),1)="V",IF(S20&gt;=INDEX('[1]Définition Maintenances'!$G:$G,MATCH($A20,'[1]Définition Maintenances'!$K:$K,0)),S20,INDEX('[1]Définition Maintenances'!$G:$G,MATCH($A20,'[1]Définition Maintenances'!$K:$K,0))+S20),S20))</f>
        <v>497</v>
      </c>
      <c r="U20" s="26">
        <f>IF(ISNUMBER(VLOOKUP($D20,'Visu totale'!$D:$DH,U$1,0)),T20-VLOOKUP($D20,'Visu totale'!$D:$DH,U$1,0),IF(LEFT(VLOOKUP($D20,'Visu totale'!$D:$DH,U$1,0),1)="V",IF(T20&gt;=INDEX('[1]Définition Maintenances'!$G:$G,MATCH($A20,'[1]Définition Maintenances'!$K:$K,0)),T20,INDEX('[1]Définition Maintenances'!$G:$G,MATCH($A20,'[1]Définition Maintenances'!$K:$K,0))+T20),T20))</f>
        <v>497</v>
      </c>
      <c r="V20" s="26">
        <f>IF(ISNUMBER(VLOOKUP($D20,'Visu totale'!$D:$DH,V$1,0)),U20-VLOOKUP($D20,'Visu totale'!$D:$DH,V$1,0),IF(LEFT(VLOOKUP($D20,'Visu totale'!$D:$DH,V$1,0),1)="V",IF(U20&gt;=INDEX('[1]Définition Maintenances'!$G:$G,MATCH($A20,'[1]Définition Maintenances'!$K:$K,0)),U20,INDEX('[1]Définition Maintenances'!$G:$G,MATCH($A20,'[1]Définition Maintenances'!$K:$K,0))+U20),U20))</f>
        <v>497</v>
      </c>
      <c r="W20" s="26">
        <f>IF(ISNUMBER(VLOOKUP($D20,'Visu totale'!$D:$DH,W$1,0)),V20-VLOOKUP($D20,'Visu totale'!$D:$DH,W$1,0),IF(LEFT(VLOOKUP($D20,'Visu totale'!$D:$DH,W$1,0),1)="V",IF(V20&gt;=INDEX('[1]Définition Maintenances'!$G:$G,MATCH($A20,'[1]Définition Maintenances'!$K:$K,0)),V20,INDEX('[1]Définition Maintenances'!$G:$G,MATCH($A20,'[1]Définition Maintenances'!$K:$K,0))+V20),V20))</f>
        <v>497</v>
      </c>
      <c r="X20" s="26">
        <f>IF(ISNUMBER(VLOOKUP($D20,'Visu totale'!$D:$DH,X$1,0)),W20-VLOOKUP($D20,'Visu totale'!$D:$DH,X$1,0),IF(LEFT(VLOOKUP($D20,'Visu totale'!$D:$DH,X$1,0),1)="V",IF(W20&gt;=INDEX('[1]Définition Maintenances'!$G:$G,MATCH($A20,'[1]Définition Maintenances'!$K:$K,0)),W20,INDEX('[1]Définition Maintenances'!$G:$G,MATCH($A20,'[1]Définition Maintenances'!$K:$K,0))+W20),W20))</f>
        <v>497</v>
      </c>
      <c r="Y20" s="26">
        <f>IF(ISNUMBER(VLOOKUP($D20,'Visu totale'!$D:$DH,Y$1,0)),X20-VLOOKUP($D20,'Visu totale'!$D:$DH,Y$1,0),IF(LEFT(VLOOKUP($D20,'Visu totale'!$D:$DH,Y$1,0),1)="V",IF(X20&gt;=INDEX('[1]Définition Maintenances'!$G:$G,MATCH($A20,'[1]Définition Maintenances'!$K:$K,0)),X20,INDEX('[1]Définition Maintenances'!$G:$G,MATCH($A20,'[1]Définition Maintenances'!$K:$K,0))+X20),X20))</f>
        <v>497</v>
      </c>
      <c r="Z20" s="26">
        <f>IF(ISNUMBER(VLOOKUP($D20,'Visu totale'!$D:$DH,Z$1,0)),Y20-VLOOKUP($D20,'Visu totale'!$D:$DH,Z$1,0),IF(LEFT(VLOOKUP($D20,'Visu totale'!$D:$DH,Z$1,0),1)="V",IF(Y20&gt;=INDEX('[1]Définition Maintenances'!$G:$G,MATCH($A20,'[1]Définition Maintenances'!$K:$K,0)),Y20,INDEX('[1]Définition Maintenances'!$G:$G,MATCH($A20,'[1]Définition Maintenances'!$K:$K,0))+Y20),Y20))</f>
        <v>497</v>
      </c>
      <c r="AA20" s="26">
        <f>IF(ISNUMBER(VLOOKUP($D20,'Visu totale'!$D:$DH,AA$1,0)),Z20-VLOOKUP($D20,'Visu totale'!$D:$DH,AA$1,0),IF(LEFT(VLOOKUP($D20,'Visu totale'!$D:$DH,AA$1,0),1)="V",IF(Z20&gt;=INDEX('[1]Définition Maintenances'!$G:$G,MATCH($A20,'[1]Définition Maintenances'!$K:$K,0)),Z20,INDEX('[1]Définition Maintenances'!$G:$G,MATCH($A20,'[1]Définition Maintenances'!$K:$K,0))+Z20),Z20))</f>
        <v>497</v>
      </c>
      <c r="AB20" s="26">
        <f>IF(ISNUMBER(VLOOKUP($D20,'Visu totale'!$D:$DH,AB$1,0)),AA20-VLOOKUP($D20,'Visu totale'!$D:$DH,AB$1,0),IF(LEFT(VLOOKUP($D20,'Visu totale'!$D:$DH,AB$1,0),1)="V",IF(AA20&gt;=INDEX('[1]Définition Maintenances'!$G:$G,MATCH($A20,'[1]Définition Maintenances'!$K:$K,0)),AA20,INDEX('[1]Définition Maintenances'!$G:$G,MATCH($A20,'[1]Définition Maintenances'!$K:$K,0))+AA20),AA20))</f>
        <v>497</v>
      </c>
      <c r="AC20" s="27">
        <f>IF(ISNUMBER(VLOOKUP($D20,'Visu totale'!$D:$DH,AC$1,0)),AB20-VLOOKUP($D20,'Visu totale'!$D:$DH,AC$1,0),IF(LEFT(VLOOKUP($D20,'Visu totale'!$D:$DH,AC$1,0),1)="V",IF(AB20&gt;=INDEX('[1]Définition Maintenances'!$G:$G,MATCH($A20,'[1]Définition Maintenances'!$K:$K,0)),AB20,INDEX('[1]Définition Maintenances'!$G:$G,MATCH($A20,'[1]Définition Maintenances'!$K:$K,0))+AB20),AB20))</f>
        <v>497</v>
      </c>
      <c r="AD20" s="25">
        <f>IF(ISNUMBER(VLOOKUP($D20,'Visu totale'!$D:$DH,AD$1,0)),AC20-VLOOKUP($D20,'Visu totale'!$D:$DH,AD$1,0),IF(LEFT(VLOOKUP($D20,'Visu totale'!$D:$DH,AD$1,0),1)="V",IF(AC20&gt;=INDEX('[1]Définition Maintenances'!$G:$G,MATCH($A20,'[1]Définition Maintenances'!$K:$K,0)),AC20,INDEX('[1]Définition Maintenances'!$G:$G,MATCH($A20,'[1]Définition Maintenances'!$K:$K,0))+AC20),AC20))</f>
        <v>497</v>
      </c>
      <c r="AE20" s="26">
        <f>IF(ISNUMBER(VLOOKUP($D20,'Visu totale'!$D:$DH,AE$1,0)),AD20-VLOOKUP($D20,'Visu totale'!$D:$DH,AE$1,0),IF(LEFT(VLOOKUP($D20,'Visu totale'!$D:$DH,AE$1,0),1)="V",IF(AD20&gt;=INDEX('[1]Définition Maintenances'!$G:$G,MATCH($A20,'[1]Définition Maintenances'!$K:$K,0)),AD20,INDEX('[1]Définition Maintenances'!$G:$G,MATCH($A20,'[1]Définition Maintenances'!$K:$K,0))+AD20),AD20))</f>
        <v>497</v>
      </c>
      <c r="AF20" s="26">
        <f>IF(ISNUMBER(VLOOKUP($D20,'Visu totale'!$D:$DH,AF$1,0)),AE20-VLOOKUP($D20,'Visu totale'!$D:$DH,AF$1,0),IF(LEFT(VLOOKUP($D20,'Visu totale'!$D:$DH,AF$1,0),1)="V",IF(AE20&gt;=INDEX('[1]Définition Maintenances'!$G:$G,MATCH($A20,'[1]Définition Maintenances'!$K:$K,0)),AE20,INDEX('[1]Définition Maintenances'!$G:$G,MATCH($A20,'[1]Définition Maintenances'!$K:$K,0))+AE20),AE20))</f>
        <v>497</v>
      </c>
      <c r="AG20" s="26">
        <f>IF(ISNUMBER(VLOOKUP($D20,'Visu totale'!$D:$DH,AG$1,0)),AF20-VLOOKUP($D20,'Visu totale'!$D:$DH,AG$1,0),IF(LEFT(VLOOKUP($D20,'Visu totale'!$D:$DH,AG$1,0),1)="V",IF(AF20&gt;=INDEX('[1]Définition Maintenances'!$G:$G,MATCH($A20,'[1]Définition Maintenances'!$K:$K,0)),AF20,INDEX('[1]Définition Maintenances'!$G:$G,MATCH($A20,'[1]Définition Maintenances'!$K:$K,0))+AF20),AF20))</f>
        <v>497</v>
      </c>
      <c r="AH20" s="26">
        <f>IF(ISNUMBER(VLOOKUP($D20,'Visu totale'!$D:$DH,AH$1,0)),AG20-VLOOKUP($D20,'Visu totale'!$D:$DH,AH$1,0),IF(LEFT(VLOOKUP($D20,'Visu totale'!$D:$DH,AH$1,0),1)="V",IF(AG20&gt;=INDEX('[1]Définition Maintenances'!$G:$G,MATCH($A20,'[1]Définition Maintenances'!$K:$K,0)),AG20,INDEX('[1]Définition Maintenances'!$G:$G,MATCH($A20,'[1]Définition Maintenances'!$K:$K,0))+AG20),AG20))</f>
        <v>497</v>
      </c>
      <c r="AI20" s="26">
        <f>IF(ISNUMBER(VLOOKUP($D20,'Visu totale'!$D:$DH,AI$1,0)),AH20-VLOOKUP($D20,'Visu totale'!$D:$DH,AI$1,0),IF(LEFT(VLOOKUP($D20,'Visu totale'!$D:$DH,AI$1,0),1)="V",IF(AH20&gt;=INDEX('[1]Définition Maintenances'!$G:$G,MATCH($A20,'[1]Définition Maintenances'!$K:$K,0)),AH20,INDEX('[1]Définition Maintenances'!$G:$G,MATCH($A20,'[1]Définition Maintenances'!$K:$K,0))+AH20),AH20))</f>
        <v>497</v>
      </c>
      <c r="AJ20" s="26">
        <f>IF(ISNUMBER(VLOOKUP($D20,'Visu totale'!$D:$DH,AJ$1,0)),AI20-VLOOKUP($D20,'Visu totale'!$D:$DH,AJ$1,0),IF(LEFT(VLOOKUP($D20,'Visu totale'!$D:$DH,AJ$1,0),1)="V",IF(AI20&gt;=INDEX('[1]Définition Maintenances'!$G:$G,MATCH($A20,'[1]Définition Maintenances'!$K:$K,0)),AI20,INDEX('[1]Définition Maintenances'!$G:$G,MATCH($A20,'[1]Définition Maintenances'!$K:$K,0))+AI20),AI20))</f>
        <v>497</v>
      </c>
      <c r="AK20" s="26">
        <f>IF(ISNUMBER(VLOOKUP($D20,'Visu totale'!$D:$DH,AK$1,0)),AJ20-VLOOKUP($D20,'Visu totale'!$D:$DH,AK$1,0),IF(LEFT(VLOOKUP($D20,'Visu totale'!$D:$DH,AK$1,0),1)="V",IF(AJ20&gt;=INDEX('[1]Définition Maintenances'!$G:$G,MATCH($A20,'[1]Définition Maintenances'!$K:$K,0)),AJ20,INDEX('[1]Définition Maintenances'!$G:$G,MATCH($A20,'[1]Définition Maintenances'!$K:$K,0))+AJ20),AJ20))</f>
        <v>497</v>
      </c>
      <c r="AL20" s="26">
        <f>IF(ISNUMBER(VLOOKUP($D20,'Visu totale'!$D:$DH,AL$1,0)),AK20-VLOOKUP($D20,'Visu totale'!$D:$DH,AL$1,0),IF(LEFT(VLOOKUP($D20,'Visu totale'!$D:$DH,AL$1,0),1)="V",IF(AK20&gt;=INDEX('[1]Définition Maintenances'!$G:$G,MATCH($A20,'[1]Définition Maintenances'!$K:$K,0)),AK20,INDEX('[1]Définition Maintenances'!$G:$G,MATCH($A20,'[1]Définition Maintenances'!$K:$K,0))+AK20),AK20))</f>
        <v>497</v>
      </c>
      <c r="AM20" s="26">
        <f>IF(ISNUMBER(VLOOKUP($D20,'Visu totale'!$D:$DH,AM$1,0)),AL20-VLOOKUP($D20,'Visu totale'!$D:$DH,AM$1,0),IF(LEFT(VLOOKUP($D20,'Visu totale'!$D:$DH,AM$1,0),1)="V",IF(AL20&gt;=INDEX('[1]Définition Maintenances'!$G:$G,MATCH($A20,'[1]Définition Maintenances'!$K:$K,0)),AL20,INDEX('[1]Définition Maintenances'!$G:$G,MATCH($A20,'[1]Définition Maintenances'!$K:$K,0))+AL20),AL20))</f>
        <v>497</v>
      </c>
      <c r="AN20" s="26">
        <f>IF(ISNUMBER(VLOOKUP($D20,'Visu totale'!$D:$DH,AN$1,0)),AM20-VLOOKUP($D20,'Visu totale'!$D:$DH,AN$1,0),IF(LEFT(VLOOKUP($D20,'Visu totale'!$D:$DH,AN$1,0),1)="V",IF(AM20&gt;=INDEX('[1]Définition Maintenances'!$G:$G,MATCH($A20,'[1]Définition Maintenances'!$K:$K,0)),AM20,INDEX('[1]Définition Maintenances'!$G:$G,MATCH($A20,'[1]Définition Maintenances'!$K:$K,0))+AM20),AM20))</f>
        <v>497</v>
      </c>
      <c r="AO20" s="27">
        <f>IF(ISNUMBER(VLOOKUP($D20,'Visu totale'!$D:$DH,AO$1,0)),AN20-VLOOKUP($D20,'Visu totale'!$D:$DH,AO$1,0),IF(LEFT(VLOOKUP($D20,'Visu totale'!$D:$DH,AO$1,0),1)="V",IF(AN20&gt;=INDEX('[1]Définition Maintenances'!$G:$G,MATCH($A20,'[1]Définition Maintenances'!$K:$K,0)),AN20,INDEX('[1]Définition Maintenances'!$G:$G,MATCH($A20,'[1]Définition Maintenances'!$K:$K,0))+AN20),AN20))</f>
        <v>497</v>
      </c>
      <c r="AP20" s="25">
        <f>IF(ISNUMBER(VLOOKUP($D20,'Visu totale'!$D:$DH,AP$1,0)),AO20-VLOOKUP($D20,'Visu totale'!$D:$DH,AP$1,0),IF(LEFT(VLOOKUP($D20,'Visu totale'!$D:$DH,AP$1,0),1)="V",IF(AO20&gt;=INDEX('[1]Définition Maintenances'!$G:$G,MATCH($A20,'[1]Définition Maintenances'!$K:$K,0)),AO20,INDEX('[1]Définition Maintenances'!$G:$G,MATCH($A20,'[1]Définition Maintenances'!$K:$K,0))+AO20),AO20))</f>
        <v>497</v>
      </c>
      <c r="AQ20" s="26">
        <f>IF(ISNUMBER(VLOOKUP($D20,'Visu totale'!$D:$DH,AQ$1,0)),AP20-VLOOKUP($D20,'Visu totale'!$D:$DH,AQ$1,0),IF(LEFT(VLOOKUP($D20,'Visu totale'!$D:$DH,AQ$1,0),1)="V",IF(AP20&gt;=INDEX('[1]Définition Maintenances'!$G:$G,MATCH($A20,'[1]Définition Maintenances'!$K:$K,0)),AP20,INDEX('[1]Définition Maintenances'!$G:$G,MATCH($A20,'[1]Définition Maintenances'!$K:$K,0))+AP20),AP20))</f>
        <v>497</v>
      </c>
      <c r="AR20" s="26">
        <f>IF(ISNUMBER(VLOOKUP($D20,'Visu totale'!$D:$DH,AR$1,0)),AQ20-VLOOKUP($D20,'Visu totale'!$D:$DH,AR$1,0),IF(LEFT(VLOOKUP($D20,'Visu totale'!$D:$DH,AR$1,0),1)="V",IF(AQ20&gt;=INDEX('[1]Définition Maintenances'!$G:$G,MATCH($A20,'[1]Définition Maintenances'!$K:$K,0)),AQ20,INDEX('[1]Définition Maintenances'!$G:$G,MATCH($A20,'[1]Définition Maintenances'!$K:$K,0))+AQ20),AQ20))</f>
        <v>497</v>
      </c>
      <c r="AS20" s="26">
        <f>IF(ISNUMBER(VLOOKUP($D20,'Visu totale'!$D:$DH,AS$1,0)),AR20-VLOOKUP($D20,'Visu totale'!$D:$DH,AS$1,0),IF(LEFT(VLOOKUP($D20,'Visu totale'!$D:$DH,AS$1,0),1)="V",IF(AR20&gt;=INDEX('[1]Définition Maintenances'!$G:$G,MATCH($A20,'[1]Définition Maintenances'!$K:$K,0)),AR20,INDEX('[1]Définition Maintenances'!$G:$G,MATCH($A20,'[1]Définition Maintenances'!$K:$K,0))+AR20),AR20))</f>
        <v>497</v>
      </c>
      <c r="AT20" s="26">
        <f>IF(ISNUMBER(VLOOKUP($D20,'Visu totale'!$D:$DH,AT$1,0)),AS20-VLOOKUP($D20,'Visu totale'!$D:$DH,AT$1,0),IF(LEFT(VLOOKUP($D20,'Visu totale'!$D:$DH,AT$1,0),1)="V",IF(AS20&gt;=INDEX('[1]Définition Maintenances'!$G:$G,MATCH($A20,'[1]Définition Maintenances'!$K:$K,0)),AS20,INDEX('[1]Définition Maintenances'!$G:$G,MATCH($A20,'[1]Définition Maintenances'!$K:$K,0))+AS20),AS20))</f>
        <v>497</v>
      </c>
      <c r="AU20" s="26">
        <f>IF(ISNUMBER(VLOOKUP($D20,'Visu totale'!$D:$DH,AU$1,0)),AT20-VLOOKUP($D20,'Visu totale'!$D:$DH,AU$1,0),IF(LEFT(VLOOKUP($D20,'Visu totale'!$D:$DH,AU$1,0),1)="V",IF(AT20&gt;=INDEX('[1]Définition Maintenances'!$G:$G,MATCH($A20,'[1]Définition Maintenances'!$K:$K,0)),AT20,INDEX('[1]Définition Maintenances'!$G:$G,MATCH($A20,'[1]Définition Maintenances'!$K:$K,0))+AT20),AT20))</f>
        <v>497</v>
      </c>
      <c r="AV20" s="26">
        <f>IF(ISNUMBER(VLOOKUP($D20,'Visu totale'!$D:$DH,AV$1,0)),AU20-VLOOKUP($D20,'Visu totale'!$D:$DH,AV$1,0),IF(LEFT(VLOOKUP($D20,'Visu totale'!$D:$DH,AV$1,0),1)="V",IF(AU20&gt;=INDEX('[1]Définition Maintenances'!$G:$G,MATCH($A20,'[1]Définition Maintenances'!$K:$K,0)),AU20,INDEX('[1]Définition Maintenances'!$G:$G,MATCH($A20,'[1]Définition Maintenances'!$K:$K,0))+AU20),AU20))</f>
        <v>497</v>
      </c>
      <c r="AW20" s="26">
        <f>IF(ISNUMBER(VLOOKUP($D20,'Visu totale'!$D:$DH,AW$1,0)),AV20-VLOOKUP($D20,'Visu totale'!$D:$DH,AW$1,0),IF(LEFT(VLOOKUP($D20,'Visu totale'!$D:$DH,AW$1,0),1)="V",IF(AV20&gt;=INDEX('[1]Définition Maintenances'!$G:$G,MATCH($A20,'[1]Définition Maintenances'!$K:$K,0)),AV20,INDEX('[1]Définition Maintenances'!$G:$G,MATCH($A20,'[1]Définition Maintenances'!$K:$K,0))+AV20),AV20))</f>
        <v>497</v>
      </c>
      <c r="AX20" s="26">
        <f>IF(ISNUMBER(VLOOKUP($D20,'Visu totale'!$D:$DH,AX$1,0)),AW20-VLOOKUP($D20,'Visu totale'!$D:$DH,AX$1,0),IF(LEFT(VLOOKUP($D20,'Visu totale'!$D:$DH,AX$1,0),1)="V",IF(AW20&gt;=INDEX('[1]Définition Maintenances'!$G:$G,MATCH($A20,'[1]Définition Maintenances'!$K:$K,0)),AW20,INDEX('[1]Définition Maintenances'!$G:$G,MATCH($A20,'[1]Définition Maintenances'!$K:$K,0))+AW20),AW20))</f>
        <v>497</v>
      </c>
      <c r="AY20" s="26">
        <f>IF(ISNUMBER(VLOOKUP($D20,'Visu totale'!$D:$DH,AY$1,0)),AX20-VLOOKUP($D20,'Visu totale'!$D:$DH,AY$1,0),IF(LEFT(VLOOKUP($D20,'Visu totale'!$D:$DH,AY$1,0),1)="V",IF(AX20&gt;=INDEX('[1]Définition Maintenances'!$G:$G,MATCH($A20,'[1]Définition Maintenances'!$K:$K,0)),AX20,INDEX('[1]Définition Maintenances'!$G:$G,MATCH($A20,'[1]Définition Maintenances'!$K:$K,0))+AX20),AX20))</f>
        <v>497</v>
      </c>
      <c r="AZ20" s="26">
        <f>IF(ISNUMBER(VLOOKUP($D20,'Visu totale'!$D:$DH,AZ$1,0)),AY20-VLOOKUP($D20,'Visu totale'!$D:$DH,AZ$1,0),IF(LEFT(VLOOKUP($D20,'Visu totale'!$D:$DH,AZ$1,0),1)="V",IF(AY20&gt;=INDEX('[1]Définition Maintenances'!$G:$G,MATCH($A20,'[1]Définition Maintenances'!$K:$K,0)),AY20,INDEX('[1]Définition Maintenances'!$G:$G,MATCH($A20,'[1]Définition Maintenances'!$K:$K,0))+AY20),AY20))</f>
        <v>497</v>
      </c>
      <c r="BA20" s="27">
        <f>IF(ISNUMBER(VLOOKUP($D20,'Visu totale'!$D:$DH,BA$1,0)),AZ20-VLOOKUP($D20,'Visu totale'!$D:$DH,BA$1,0),IF(LEFT(VLOOKUP($D20,'Visu totale'!$D:$DH,BA$1,0),1)="V",IF(AZ20&gt;=INDEX('[1]Définition Maintenances'!$G:$G,MATCH($A20,'[1]Définition Maintenances'!$K:$K,0)),AZ20,INDEX('[1]Définition Maintenances'!$G:$G,MATCH($A20,'[1]Définition Maintenances'!$K:$K,0))+AZ20),AZ20))</f>
        <v>497</v>
      </c>
      <c r="BB20" s="25">
        <f>IF(ISNUMBER(VLOOKUP($D20,'Visu totale'!$D:$DH,BB$1,0)),BA20-VLOOKUP($D20,'Visu totale'!$D:$DH,BB$1,0),IF(LEFT(VLOOKUP($D20,'Visu totale'!$D:$DH,BB$1,0),1)="V",IF(BA20&gt;=INDEX('[1]Définition Maintenances'!$G:$G,MATCH($A20,'[1]Définition Maintenances'!$K:$K,0)),BA20,INDEX('[1]Définition Maintenances'!$G:$G,MATCH($A20,'[1]Définition Maintenances'!$K:$K,0))+BA20),BA20))</f>
        <v>497</v>
      </c>
      <c r="BC20" s="26">
        <f>IF(ISNUMBER(VLOOKUP($D20,'Visu totale'!$D:$DH,BC$1,0)),BB20-VLOOKUP($D20,'Visu totale'!$D:$DH,BC$1,0),IF(LEFT(VLOOKUP($D20,'Visu totale'!$D:$DH,BC$1,0),1)="V",IF(BB20&gt;=INDEX('[1]Définition Maintenances'!$G:$G,MATCH($A20,'[1]Définition Maintenances'!$K:$K,0)),BB20,INDEX('[1]Définition Maintenances'!$G:$G,MATCH($A20,'[1]Définition Maintenances'!$K:$K,0))+BB20),BB20))</f>
        <v>497</v>
      </c>
      <c r="BD20" s="26">
        <f>IF(ISNUMBER(VLOOKUP($D20,'Visu totale'!$D:$DH,BD$1,0)),BC20-VLOOKUP($D20,'Visu totale'!$D:$DH,BD$1,0),IF(LEFT(VLOOKUP($D20,'Visu totale'!$D:$DH,BD$1,0),1)="V",IF(BC20&gt;=INDEX('[1]Définition Maintenances'!$G:$G,MATCH($A20,'[1]Définition Maintenances'!$K:$K,0)),BC20,INDEX('[1]Définition Maintenances'!$G:$G,MATCH($A20,'[1]Définition Maintenances'!$K:$K,0))+BC20),BC20))</f>
        <v>497</v>
      </c>
      <c r="BE20" s="26">
        <f>IF(ISNUMBER(VLOOKUP($D20,'Visu totale'!$D:$DH,BE$1,0)),BD20-VLOOKUP($D20,'Visu totale'!$D:$DH,BE$1,0),IF(LEFT(VLOOKUP($D20,'Visu totale'!$D:$DH,BE$1,0),1)="V",IF(BD20&gt;=INDEX('[1]Définition Maintenances'!$G:$G,MATCH($A20,'[1]Définition Maintenances'!$K:$K,0)),BD20,INDEX('[1]Définition Maintenances'!$G:$G,MATCH($A20,'[1]Définition Maintenances'!$K:$K,0))+BD20),BD20))</f>
        <v>497</v>
      </c>
      <c r="BF20" s="26">
        <f>IF(ISNUMBER(VLOOKUP($D20,'Visu totale'!$D:$DH,BF$1,0)),BE20-VLOOKUP($D20,'Visu totale'!$D:$DH,BF$1,0),IF(LEFT(VLOOKUP($D20,'Visu totale'!$D:$DH,BF$1,0),1)="V",IF(BE20&gt;=INDEX('[1]Définition Maintenances'!$G:$G,MATCH($A20,'[1]Définition Maintenances'!$K:$K,0)),BE20,INDEX('[1]Définition Maintenances'!$G:$G,MATCH($A20,'[1]Définition Maintenances'!$K:$K,0))+BE20),BE20))</f>
        <v>497</v>
      </c>
      <c r="BG20" s="26">
        <f>IF(ISNUMBER(VLOOKUP($D20,'Visu totale'!$D:$DH,BG$1,0)),BF20-VLOOKUP($D20,'Visu totale'!$D:$DH,BG$1,0),IF(LEFT(VLOOKUP($D20,'Visu totale'!$D:$DH,BG$1,0),1)="V",IF(BF20&gt;=INDEX('[1]Définition Maintenances'!$G:$G,MATCH($A20,'[1]Définition Maintenances'!$K:$K,0)),BF20,INDEX('[1]Définition Maintenances'!$G:$G,MATCH($A20,'[1]Définition Maintenances'!$K:$K,0))+BF20),BF20))</f>
        <v>497</v>
      </c>
      <c r="BH20" s="26">
        <f>IF(ISNUMBER(VLOOKUP($D20,'Visu totale'!$D:$DH,BH$1,0)),BG20-VLOOKUP($D20,'Visu totale'!$D:$DH,BH$1,0),IF(LEFT(VLOOKUP($D20,'Visu totale'!$D:$DH,BH$1,0),1)="V",IF(BG20&gt;=INDEX('[1]Définition Maintenances'!$G:$G,MATCH($A20,'[1]Définition Maintenances'!$K:$K,0)),BG20,INDEX('[1]Définition Maintenances'!$G:$G,MATCH($A20,'[1]Définition Maintenances'!$K:$K,0))+BG20),BG20))</f>
        <v>497</v>
      </c>
      <c r="BI20" s="26">
        <f>IF(ISNUMBER(VLOOKUP($D20,'Visu totale'!$D:$DH,BI$1,0)),BH20-VLOOKUP($D20,'Visu totale'!$D:$DH,BI$1,0),IF(LEFT(VLOOKUP($D20,'Visu totale'!$D:$DH,BI$1,0),1)="V",IF(BH20&gt;=INDEX('[1]Définition Maintenances'!$G:$G,MATCH($A20,'[1]Définition Maintenances'!$K:$K,0)),BH20,INDEX('[1]Définition Maintenances'!$G:$G,MATCH($A20,'[1]Définition Maintenances'!$K:$K,0))+BH20),BH20))</f>
        <v>497</v>
      </c>
      <c r="BJ20" s="26">
        <f>IF(ISNUMBER(VLOOKUP($D20,'Visu totale'!$D:$DH,BJ$1,0)),BI20-VLOOKUP($D20,'Visu totale'!$D:$DH,BJ$1,0),IF(LEFT(VLOOKUP($D20,'Visu totale'!$D:$DH,BJ$1,0),1)="V",IF(BI20&gt;=INDEX('[1]Définition Maintenances'!$G:$G,MATCH($A20,'[1]Définition Maintenances'!$K:$K,0)),BI20,INDEX('[1]Définition Maintenances'!$G:$G,MATCH($A20,'[1]Définition Maintenances'!$K:$K,0))+BI20),BI20))</f>
        <v>497</v>
      </c>
      <c r="BK20" s="26">
        <f>IF(ISNUMBER(VLOOKUP($D20,'Visu totale'!$D:$DH,BK$1,0)),BJ20-VLOOKUP($D20,'Visu totale'!$D:$DH,BK$1,0),IF(LEFT(VLOOKUP($D20,'Visu totale'!$D:$DH,BK$1,0),1)="V",IF(BJ20&gt;=INDEX('[1]Définition Maintenances'!$G:$G,MATCH($A20,'[1]Définition Maintenances'!$K:$K,0)),BJ20,INDEX('[1]Définition Maintenances'!$G:$G,MATCH($A20,'[1]Définition Maintenances'!$K:$K,0))+BJ20),BJ20))</f>
        <v>497</v>
      </c>
      <c r="BL20" s="26">
        <f>IF(ISNUMBER(VLOOKUP($D20,'Visu totale'!$D:$DH,BL$1,0)),BK20-VLOOKUP($D20,'Visu totale'!$D:$DH,BL$1,0),IF(LEFT(VLOOKUP($D20,'Visu totale'!$D:$DH,BL$1,0),1)="V",IF(BK20&gt;=INDEX('[1]Définition Maintenances'!$G:$G,MATCH($A20,'[1]Définition Maintenances'!$K:$K,0)),BK20,INDEX('[1]Définition Maintenances'!$G:$G,MATCH($A20,'[1]Définition Maintenances'!$K:$K,0))+BK20),BK20))</f>
        <v>497</v>
      </c>
      <c r="BM20" s="27">
        <f>IF(ISNUMBER(VLOOKUP($D20,'Visu totale'!$D:$DH,BM$1,0)),BL20-VLOOKUP($D20,'Visu totale'!$D:$DH,BM$1,0),IF(LEFT(VLOOKUP($D20,'Visu totale'!$D:$DH,BM$1,0),1)="V",IF(BL20&gt;=INDEX('[1]Définition Maintenances'!$G:$G,MATCH($A20,'[1]Définition Maintenances'!$K:$K,0)),BL20,INDEX('[1]Définition Maintenances'!$G:$G,MATCH($A20,'[1]Définition Maintenances'!$K:$K,0))+BL20),BL20))</f>
        <v>497</v>
      </c>
      <c r="BN20" s="25">
        <f>IF(ISNUMBER(VLOOKUP($D20,'Visu totale'!$D:$DH,BN$1,0)),BM20-VLOOKUP($D20,'Visu totale'!$D:$DH,BN$1,0),IF(LEFT(VLOOKUP($D20,'Visu totale'!$D:$DH,BN$1,0),1)="V",IF(BM20&gt;=INDEX('[1]Définition Maintenances'!$G:$G,MATCH($A20,'[1]Définition Maintenances'!$K:$K,0)),BM20,INDEX('[1]Définition Maintenances'!$G:$G,MATCH($A20,'[1]Définition Maintenances'!$K:$K,0))+BM20),BM20))</f>
        <v>497</v>
      </c>
      <c r="BO20" s="26">
        <f>IF(ISNUMBER(VLOOKUP($D20,'Visu totale'!$D:$DH,BO$1,0)),BN20-VLOOKUP($D20,'Visu totale'!$D:$DH,BO$1,0),IF(LEFT(VLOOKUP($D20,'Visu totale'!$D:$DH,BO$1,0),1)="V",IF(BN20&gt;=INDEX('[1]Définition Maintenances'!$G:$G,MATCH($A20,'[1]Définition Maintenances'!$K:$K,0)),BN20,INDEX('[1]Définition Maintenances'!$G:$G,MATCH($A20,'[1]Définition Maintenances'!$K:$K,0))+BN20),BN20))</f>
        <v>497</v>
      </c>
      <c r="BP20" s="26">
        <f>IF(ISNUMBER(VLOOKUP($D20,'Visu totale'!$D:$DH,BP$1,0)),BO20-VLOOKUP($D20,'Visu totale'!$D:$DH,BP$1,0),IF(LEFT(VLOOKUP($D20,'Visu totale'!$D:$DH,BP$1,0),1)="V",IF(BO20&gt;=INDEX('[1]Définition Maintenances'!$G:$G,MATCH($A20,'[1]Définition Maintenances'!$K:$K,0)),BO20,INDEX('[1]Définition Maintenances'!$G:$G,MATCH($A20,'[1]Définition Maintenances'!$K:$K,0))+BO20),BO20))</f>
        <v>497</v>
      </c>
      <c r="BQ20" s="26">
        <f>IF(ISNUMBER(VLOOKUP($D20,'Visu totale'!$D:$DH,BQ$1,0)),BP20-VLOOKUP($D20,'Visu totale'!$D:$DH,BQ$1,0),IF(LEFT(VLOOKUP($D20,'Visu totale'!$D:$DH,BQ$1,0),1)="V",IF(BP20&gt;=INDEX('[1]Définition Maintenances'!$G:$G,MATCH($A20,'[1]Définition Maintenances'!$K:$K,0)),BP20,INDEX('[1]Définition Maintenances'!$G:$G,MATCH($A20,'[1]Définition Maintenances'!$K:$K,0))+BP20),BP20))</f>
        <v>497</v>
      </c>
      <c r="BR20" s="26">
        <f>IF(ISNUMBER(VLOOKUP($D20,'Visu totale'!$D:$DH,BR$1,0)),BQ20-VLOOKUP($D20,'Visu totale'!$D:$DH,BR$1,0),IF(LEFT(VLOOKUP($D20,'Visu totale'!$D:$DH,BR$1,0),1)="V",IF(BQ20&gt;=INDEX('[1]Définition Maintenances'!$G:$G,MATCH($A20,'[1]Définition Maintenances'!$K:$K,0)),BQ20,INDEX('[1]Définition Maintenances'!$G:$G,MATCH($A20,'[1]Définition Maintenances'!$K:$K,0))+BQ20),BQ20))</f>
        <v>497</v>
      </c>
      <c r="BS20" s="26">
        <f>IF(ISNUMBER(VLOOKUP($D20,'Visu totale'!$D:$DH,BS$1,0)),BR20-VLOOKUP($D20,'Visu totale'!$D:$DH,BS$1,0),IF(LEFT(VLOOKUP($D20,'Visu totale'!$D:$DH,BS$1,0),1)="V",IF(BR20&gt;=INDEX('[1]Définition Maintenances'!$G:$G,MATCH($A20,'[1]Définition Maintenances'!$K:$K,0)),BR20,INDEX('[1]Définition Maintenances'!$G:$G,MATCH($A20,'[1]Définition Maintenances'!$K:$K,0))+BR20),BR20))</f>
        <v>497</v>
      </c>
      <c r="BT20" s="26">
        <f>IF(ISNUMBER(VLOOKUP($D20,'Visu totale'!$D:$DH,BT$1,0)),BS20-VLOOKUP($D20,'Visu totale'!$D:$DH,BT$1,0),IF(LEFT(VLOOKUP($D20,'Visu totale'!$D:$DH,BT$1,0),1)="V",IF(BS20&gt;=INDEX('[1]Définition Maintenances'!$G:$G,MATCH($A20,'[1]Définition Maintenances'!$K:$K,0)),BS20,INDEX('[1]Définition Maintenances'!$G:$G,MATCH($A20,'[1]Définition Maintenances'!$K:$K,0))+BS20),BS20))</f>
        <v>497</v>
      </c>
      <c r="BU20" s="26">
        <f>IF(ISNUMBER(VLOOKUP($D20,'Visu totale'!$D:$DH,BU$1,0)),BT20-VLOOKUP($D20,'Visu totale'!$D:$DH,BU$1,0),IF(LEFT(VLOOKUP($D20,'Visu totale'!$D:$DH,BU$1,0),1)="V",IF(BT20&gt;=INDEX('[1]Définition Maintenances'!$G:$G,MATCH($A20,'[1]Définition Maintenances'!$K:$K,0)),BT20,INDEX('[1]Définition Maintenances'!$G:$G,MATCH($A20,'[1]Définition Maintenances'!$K:$K,0))+BT20),BT20))</f>
        <v>497</v>
      </c>
      <c r="BV20" s="26">
        <f>IF(ISNUMBER(VLOOKUP($D20,'Visu totale'!$D:$DH,BV$1,0)),BU20-VLOOKUP($D20,'Visu totale'!$D:$DH,BV$1,0),IF(LEFT(VLOOKUP($D20,'Visu totale'!$D:$DH,BV$1,0),1)="V",IF(BU20&gt;=INDEX('[1]Définition Maintenances'!$G:$G,MATCH($A20,'[1]Définition Maintenances'!$K:$K,0)),BU20,INDEX('[1]Définition Maintenances'!$G:$G,MATCH($A20,'[1]Définition Maintenances'!$K:$K,0))+BU20),BU20))</f>
        <v>497</v>
      </c>
      <c r="BW20" s="26">
        <f>IF(ISNUMBER(VLOOKUP($D20,'Visu totale'!$D:$DH,BW$1,0)),BV20-VLOOKUP($D20,'Visu totale'!$D:$DH,BW$1,0),IF(LEFT(VLOOKUP($D20,'Visu totale'!$D:$DH,BW$1,0),1)="V",IF(BV20&gt;=INDEX('[1]Définition Maintenances'!$G:$G,MATCH($A20,'[1]Définition Maintenances'!$K:$K,0)),BV20,INDEX('[1]Définition Maintenances'!$G:$G,MATCH($A20,'[1]Définition Maintenances'!$K:$K,0))+BV20),BV20))</f>
        <v>497</v>
      </c>
      <c r="BX20" s="26">
        <f>IF(ISNUMBER(VLOOKUP($D20,'Visu totale'!$D:$DH,BX$1,0)),BW20-VLOOKUP($D20,'Visu totale'!$D:$DH,BX$1,0),IF(LEFT(VLOOKUP($D20,'Visu totale'!$D:$DH,BX$1,0),1)="V",IF(BW20&gt;=INDEX('[1]Définition Maintenances'!$G:$G,MATCH($A20,'[1]Définition Maintenances'!$K:$K,0)),BW20,INDEX('[1]Définition Maintenances'!$G:$G,MATCH($A20,'[1]Définition Maintenances'!$K:$K,0))+BW20),BW20))</f>
        <v>497</v>
      </c>
      <c r="BY20" s="27">
        <f>IF(ISNUMBER(VLOOKUP($D20,'Visu totale'!$D:$DH,BY$1,0)),BX20-VLOOKUP($D20,'Visu totale'!$D:$DH,BY$1,0),IF(LEFT(VLOOKUP($D20,'Visu totale'!$D:$DH,BY$1,0),1)="V",IF(BX20&gt;=INDEX('[1]Définition Maintenances'!$G:$G,MATCH($A20,'[1]Définition Maintenances'!$K:$K,0)),BX20,INDEX('[1]Définition Maintenances'!$G:$G,MATCH($A20,'[1]Définition Maintenances'!$K:$K,0))+BX20),BX20))</f>
        <v>497</v>
      </c>
      <c r="BZ20" s="25">
        <f>IF(ISNUMBER(VLOOKUP($D20,'Visu totale'!$D:$DH,BZ$1,0)),BY20-VLOOKUP($D20,'Visu totale'!$D:$DH,BZ$1,0),IF(LEFT(VLOOKUP($D20,'Visu totale'!$D:$DH,BZ$1,0),1)="V",IF(BY20&gt;=INDEX('[1]Définition Maintenances'!$G:$G,MATCH($A20,'[1]Définition Maintenances'!$K:$K,0)),BY20,INDEX('[1]Définition Maintenances'!$G:$G,MATCH($A20,'[1]Définition Maintenances'!$K:$K,0))+BY20),BY20))</f>
        <v>497</v>
      </c>
      <c r="CA20" s="26">
        <f>IF(ISNUMBER(VLOOKUP($D20,'Visu totale'!$D:$DH,CA$1,0)),BZ20-VLOOKUP($D20,'Visu totale'!$D:$DH,CA$1,0),IF(LEFT(VLOOKUP($D20,'Visu totale'!$D:$DH,CA$1,0),1)="V",IF(BZ20&gt;=INDEX('[1]Définition Maintenances'!$G:$G,MATCH($A20,'[1]Définition Maintenances'!$K:$K,0)),BZ20,INDEX('[1]Définition Maintenances'!$G:$G,MATCH($A20,'[1]Définition Maintenances'!$K:$K,0))+BZ20),BZ20))</f>
        <v>497</v>
      </c>
      <c r="CB20" s="26">
        <f>IF(ISNUMBER(VLOOKUP($D20,'Visu totale'!$D:$DH,CB$1,0)),CA20-VLOOKUP($D20,'Visu totale'!$D:$DH,CB$1,0),IF(LEFT(VLOOKUP($D20,'Visu totale'!$D:$DH,CB$1,0),1)="V",IF(CA20&gt;=INDEX('[1]Définition Maintenances'!$G:$G,MATCH($A20,'[1]Définition Maintenances'!$K:$K,0)),CA20,INDEX('[1]Définition Maintenances'!$G:$G,MATCH($A20,'[1]Définition Maintenances'!$K:$K,0))+CA20),CA20))</f>
        <v>497</v>
      </c>
      <c r="CC20" s="26">
        <f>IF(ISNUMBER(VLOOKUP($D20,'Visu totale'!$D:$DH,CC$1,0)),CB20-VLOOKUP($D20,'Visu totale'!$D:$DH,CC$1,0),IF(LEFT(VLOOKUP($D20,'Visu totale'!$D:$DH,CC$1,0),1)="V",IF(CB20&gt;=INDEX('[1]Définition Maintenances'!$G:$G,MATCH($A20,'[1]Définition Maintenances'!$K:$K,0)),CB20,INDEX('[1]Définition Maintenances'!$G:$G,MATCH($A20,'[1]Définition Maintenances'!$K:$K,0))+CB20),CB20))</f>
        <v>497</v>
      </c>
      <c r="CD20" s="26">
        <f>IF(ISNUMBER(VLOOKUP($D20,'Visu totale'!$D:$DH,CD$1,0)),CC20-VLOOKUP($D20,'Visu totale'!$D:$DH,CD$1,0),IF(LEFT(VLOOKUP($D20,'Visu totale'!$D:$DH,CD$1,0),1)="V",IF(CC20&gt;=INDEX('[1]Définition Maintenances'!$G:$G,MATCH($A20,'[1]Définition Maintenances'!$K:$K,0)),CC20,INDEX('[1]Définition Maintenances'!$G:$G,MATCH($A20,'[1]Définition Maintenances'!$K:$K,0))+CC20),CC20))</f>
        <v>497</v>
      </c>
      <c r="CE20" s="26">
        <f>IF(ISNUMBER(VLOOKUP($D20,'Visu totale'!$D:$DH,CE$1,0)),CD20-VLOOKUP($D20,'Visu totale'!$D:$DH,CE$1,0),IF(LEFT(VLOOKUP($D20,'Visu totale'!$D:$DH,CE$1,0),1)="V",IF(CD20&gt;=INDEX('[1]Définition Maintenances'!$G:$G,MATCH($A20,'[1]Définition Maintenances'!$K:$K,0)),CD20,INDEX('[1]Définition Maintenances'!$G:$G,MATCH($A20,'[1]Définition Maintenances'!$K:$K,0))+CD20),CD20))</f>
        <v>497</v>
      </c>
      <c r="CF20" s="26">
        <f>IF(ISNUMBER(VLOOKUP($D20,'Visu totale'!$D:$DH,CF$1,0)),CE20-VLOOKUP($D20,'Visu totale'!$D:$DH,CF$1,0),IF(LEFT(VLOOKUP($D20,'Visu totale'!$D:$DH,CF$1,0),1)="V",IF(CE20&gt;=INDEX('[1]Définition Maintenances'!$G:$G,MATCH($A20,'[1]Définition Maintenances'!$K:$K,0)),CE20,INDEX('[1]Définition Maintenances'!$G:$G,MATCH($A20,'[1]Définition Maintenances'!$K:$K,0))+CE20),CE20))</f>
        <v>497</v>
      </c>
      <c r="CG20" s="26">
        <f>IF(ISNUMBER(VLOOKUP($D20,'Visu totale'!$D:$DH,CG$1,0)),CF20-VLOOKUP($D20,'Visu totale'!$D:$DH,CG$1,0),IF(LEFT(VLOOKUP($D20,'Visu totale'!$D:$DH,CG$1,0),1)="V",IF(CF20&gt;=INDEX('[1]Définition Maintenances'!$G:$G,MATCH($A20,'[1]Définition Maintenances'!$K:$K,0)),CF20,INDEX('[1]Définition Maintenances'!$G:$G,MATCH($A20,'[1]Définition Maintenances'!$K:$K,0))+CF20),CF20))</f>
        <v>497</v>
      </c>
      <c r="CH20" s="26">
        <f>IF(ISNUMBER(VLOOKUP($D20,'Visu totale'!$D:$DH,CH$1,0)),CG20-VLOOKUP($D20,'Visu totale'!$D:$DH,CH$1,0),IF(LEFT(VLOOKUP($D20,'Visu totale'!$D:$DH,CH$1,0),1)="V",IF(CG20&gt;=INDEX('[1]Définition Maintenances'!$G:$G,MATCH($A20,'[1]Définition Maintenances'!$K:$K,0)),CG20,INDEX('[1]Définition Maintenances'!$G:$G,MATCH($A20,'[1]Définition Maintenances'!$K:$K,0))+CG20),CG20))</f>
        <v>497</v>
      </c>
      <c r="CI20" s="26">
        <f>IF(ISNUMBER(VLOOKUP($D20,'Visu totale'!$D:$DH,CI$1,0)),CH20-VLOOKUP($D20,'Visu totale'!$D:$DH,CI$1,0),IF(LEFT(VLOOKUP($D20,'Visu totale'!$D:$DH,CI$1,0),1)="V",IF(CH20&gt;=INDEX('[1]Définition Maintenances'!$G:$G,MATCH($A20,'[1]Définition Maintenances'!$K:$K,0)),CH20,INDEX('[1]Définition Maintenances'!$G:$G,MATCH($A20,'[1]Définition Maintenances'!$K:$K,0))+CH20),CH20))</f>
        <v>497</v>
      </c>
      <c r="CJ20" s="26">
        <f>IF(ISNUMBER(VLOOKUP($D20,'Visu totale'!$D:$DH,CJ$1,0)),CI20-VLOOKUP($D20,'Visu totale'!$D:$DH,CJ$1,0),IF(LEFT(VLOOKUP($D20,'Visu totale'!$D:$DH,CJ$1,0),1)="V",IF(CI20&gt;=INDEX('[1]Définition Maintenances'!$G:$G,MATCH($A20,'[1]Définition Maintenances'!$K:$K,0)),CI20,INDEX('[1]Définition Maintenances'!$G:$G,MATCH($A20,'[1]Définition Maintenances'!$K:$K,0))+CI20),CI20))</f>
        <v>497</v>
      </c>
      <c r="CK20" s="27">
        <f>IF(ISNUMBER(VLOOKUP($D20,'Visu totale'!$D:$DH,CK$1,0)),CJ20-VLOOKUP($D20,'Visu totale'!$D:$DH,CK$1,0),IF(LEFT(VLOOKUP($D20,'Visu totale'!$D:$DH,CK$1,0),1)="V",IF(CJ20&gt;=INDEX('[1]Définition Maintenances'!$G:$G,MATCH($A20,'[1]Définition Maintenances'!$K:$K,0)),CJ20,INDEX('[1]Définition Maintenances'!$G:$G,MATCH($A20,'[1]Définition Maintenances'!$K:$K,0))+CJ20),CJ20))</f>
        <v>497</v>
      </c>
      <c r="CL20" s="25">
        <f>IF(ISNUMBER(VLOOKUP($D20,'Visu totale'!$D:$DH,CL$1,0)),CK20-VLOOKUP($D20,'Visu totale'!$D:$DH,CL$1,0),IF(LEFT(VLOOKUP($D20,'Visu totale'!$D:$DH,CL$1,0),1)="V",IF(CK20&gt;=INDEX('[1]Définition Maintenances'!$G:$G,MATCH($A20,'[1]Définition Maintenances'!$K:$K,0)),CK20,INDEX('[1]Définition Maintenances'!$G:$G,MATCH($A20,'[1]Définition Maintenances'!$K:$K,0))+CK20),CK20))</f>
        <v>497</v>
      </c>
      <c r="CM20" s="26">
        <f>IF(ISNUMBER(VLOOKUP($D20,'Visu totale'!$D:$DH,CM$1,0)),CL20-VLOOKUP($D20,'Visu totale'!$D:$DH,CM$1,0),IF(LEFT(VLOOKUP($D20,'Visu totale'!$D:$DH,CM$1,0),1)="V",IF(CL20&gt;=INDEX('[1]Définition Maintenances'!$G:$G,MATCH($A20,'[1]Définition Maintenances'!$K:$K,0)),CL20,INDEX('[1]Définition Maintenances'!$G:$G,MATCH($A20,'[1]Définition Maintenances'!$K:$K,0))+CL20),CL20))</f>
        <v>497</v>
      </c>
      <c r="CN20" s="26">
        <f>IF(ISNUMBER(VLOOKUP($D20,'Visu totale'!$D:$DH,CN$1,0)),CM20-VLOOKUP($D20,'Visu totale'!$D:$DH,CN$1,0),IF(LEFT(VLOOKUP($D20,'Visu totale'!$D:$DH,CN$1,0),1)="V",IF(CM20&gt;=INDEX('[1]Définition Maintenances'!$G:$G,MATCH($A20,'[1]Définition Maintenances'!$K:$K,0)),CM20,INDEX('[1]Définition Maintenances'!$G:$G,MATCH($A20,'[1]Définition Maintenances'!$K:$K,0))+CM20),CM20))</f>
        <v>497</v>
      </c>
      <c r="CO20" s="26">
        <f>IF(ISNUMBER(VLOOKUP($D20,'Visu totale'!$D:$DH,CO$1,0)),CN20-VLOOKUP($D20,'Visu totale'!$D:$DH,CO$1,0),IF(LEFT(VLOOKUP($D20,'Visu totale'!$D:$DH,CO$1,0),1)="V",IF(CN20&gt;=INDEX('[1]Définition Maintenances'!$G:$G,MATCH($A20,'[1]Définition Maintenances'!$K:$K,0)),CN20,INDEX('[1]Définition Maintenances'!$G:$G,MATCH($A20,'[1]Définition Maintenances'!$K:$K,0))+CN20),CN20))</f>
        <v>497</v>
      </c>
      <c r="CP20" s="26">
        <f>IF(ISNUMBER(VLOOKUP($D20,'Visu totale'!$D:$DH,CP$1,0)),CO20-VLOOKUP($D20,'Visu totale'!$D:$DH,CP$1,0),IF(LEFT(VLOOKUP($D20,'Visu totale'!$D:$DH,CP$1,0),1)="V",IF(CO20&gt;=INDEX('[1]Définition Maintenances'!$G:$G,MATCH($A20,'[1]Définition Maintenances'!$K:$K,0)),CO20,INDEX('[1]Définition Maintenances'!$G:$G,MATCH($A20,'[1]Définition Maintenances'!$K:$K,0))+CO20),CO20))</f>
        <v>497</v>
      </c>
      <c r="CQ20" s="26">
        <f>IF(ISNUMBER(VLOOKUP($D20,'Visu totale'!$D:$DH,CQ$1,0)),CP20-VLOOKUP($D20,'Visu totale'!$D:$DH,CQ$1,0),IF(LEFT(VLOOKUP($D20,'Visu totale'!$D:$DH,CQ$1,0),1)="V",IF(CP20&gt;=INDEX('[1]Définition Maintenances'!$G:$G,MATCH($A20,'[1]Définition Maintenances'!$K:$K,0)),CP20,INDEX('[1]Définition Maintenances'!$G:$G,MATCH($A20,'[1]Définition Maintenances'!$K:$K,0))+CP20),CP20))</f>
        <v>497</v>
      </c>
      <c r="CR20" s="26">
        <f>IF(ISNUMBER(VLOOKUP($D20,'Visu totale'!$D:$DH,CR$1,0)),CQ20-VLOOKUP($D20,'Visu totale'!$D:$DH,CR$1,0),IF(LEFT(VLOOKUP($D20,'Visu totale'!$D:$DH,CR$1,0),1)="V",IF(CQ20&gt;=INDEX('[1]Définition Maintenances'!$G:$G,MATCH($A20,'[1]Définition Maintenances'!$K:$K,0)),CQ20,INDEX('[1]Définition Maintenances'!$G:$G,MATCH($A20,'[1]Définition Maintenances'!$K:$K,0))+CQ20),CQ20))</f>
        <v>497</v>
      </c>
      <c r="CS20" s="26">
        <f>IF(ISNUMBER(VLOOKUP($D20,'Visu totale'!$D:$DH,CS$1,0)),CR20-VLOOKUP($D20,'Visu totale'!$D:$DH,CS$1,0),IF(LEFT(VLOOKUP($D20,'Visu totale'!$D:$DH,CS$1,0),1)="V",IF(CR20&gt;=INDEX('[1]Définition Maintenances'!$G:$G,MATCH($A20,'[1]Définition Maintenances'!$K:$K,0)),CR20,INDEX('[1]Définition Maintenances'!$G:$G,MATCH($A20,'[1]Définition Maintenances'!$K:$K,0))+CR20),CR20))</f>
        <v>497</v>
      </c>
      <c r="CT20" s="26">
        <f>IF(ISNUMBER(VLOOKUP($D20,'Visu totale'!$D:$DH,CT$1,0)),CS20-VLOOKUP($D20,'Visu totale'!$D:$DH,CT$1,0),IF(LEFT(VLOOKUP($D20,'Visu totale'!$D:$DH,CT$1,0),1)="V",IF(CS20&gt;=INDEX('[1]Définition Maintenances'!$G:$G,MATCH($A20,'[1]Définition Maintenances'!$K:$K,0)),CS20,INDEX('[1]Définition Maintenances'!$G:$G,MATCH($A20,'[1]Définition Maintenances'!$K:$K,0))+CS20),CS20))</f>
        <v>497</v>
      </c>
      <c r="CU20" s="26">
        <f>IF(ISNUMBER(VLOOKUP($D20,'Visu totale'!$D:$DH,CU$1,0)),CT20-VLOOKUP($D20,'Visu totale'!$D:$DH,CU$1,0),IF(LEFT(VLOOKUP($D20,'Visu totale'!$D:$DH,CU$1,0),1)="V",IF(CT20&gt;=INDEX('[1]Définition Maintenances'!$G:$G,MATCH($A20,'[1]Définition Maintenances'!$K:$K,0)),CT20,INDEX('[1]Définition Maintenances'!$G:$G,MATCH($A20,'[1]Définition Maintenances'!$K:$K,0))+CT20),CT20))</f>
        <v>497</v>
      </c>
      <c r="CV20" s="26">
        <f>IF(ISNUMBER(VLOOKUP($D20,'Visu totale'!$D:$DH,CV$1,0)),CU20-VLOOKUP($D20,'Visu totale'!$D:$DH,CV$1,0),IF(LEFT(VLOOKUP($D20,'Visu totale'!$D:$DH,CV$1,0),1)="V",IF(CU20&gt;=INDEX('[1]Définition Maintenances'!$G:$G,MATCH($A20,'[1]Définition Maintenances'!$K:$K,0)),CU20,INDEX('[1]Définition Maintenances'!$G:$G,MATCH($A20,'[1]Définition Maintenances'!$K:$K,0))+CU20),CU20))</f>
        <v>497</v>
      </c>
      <c r="CW20" s="27">
        <f>IF(ISNUMBER(VLOOKUP($D20,'Visu totale'!$D:$DH,CW$1,0)),CV20-VLOOKUP($D20,'Visu totale'!$D:$DH,CW$1,0),IF(LEFT(VLOOKUP($D20,'Visu totale'!$D:$DH,CW$1,0),1)="V",IF(CV20&gt;=INDEX('[1]Définition Maintenances'!$G:$G,MATCH($A20,'[1]Définition Maintenances'!$K:$K,0)),CV20,INDEX('[1]Définition Maintenances'!$G:$G,MATCH($A20,'[1]Définition Maintenances'!$K:$K,0))+CV20),CV20))</f>
        <v>497</v>
      </c>
      <c r="CX20" s="25">
        <f>IF(ISNUMBER(VLOOKUP($D20,'Visu totale'!$D:$DH,CX$1,0)),CW20-VLOOKUP($D20,'Visu totale'!$D:$DH,CX$1,0),IF(LEFT(VLOOKUP($D20,'Visu totale'!$D:$DH,CX$1,0),1)="V",IF(CW20&gt;=INDEX('[1]Définition Maintenances'!$G:$G,MATCH($A20,'[1]Définition Maintenances'!$K:$K,0)),CW20,INDEX('[1]Définition Maintenances'!$G:$G,MATCH($A20,'[1]Définition Maintenances'!$K:$K,0))+CW20),CW20))</f>
        <v>497</v>
      </c>
      <c r="CY20" s="26">
        <f>IF(ISNUMBER(VLOOKUP($D20,'Visu totale'!$D:$DH,CY$1,0)),CX20-VLOOKUP($D20,'Visu totale'!$D:$DH,CY$1,0),IF(LEFT(VLOOKUP($D20,'Visu totale'!$D:$DH,CY$1,0),1)="V",IF(CX20&gt;=INDEX('[1]Définition Maintenances'!$G:$G,MATCH($A20,'[1]Définition Maintenances'!$K:$K,0)),CX20,INDEX('[1]Définition Maintenances'!$G:$G,MATCH($A20,'[1]Définition Maintenances'!$K:$K,0))+CX20),CX20))</f>
        <v>497</v>
      </c>
      <c r="CZ20" s="26">
        <f>IF(ISNUMBER(VLOOKUP($D20,'Visu totale'!$D:$DH,CZ$1,0)),CY20-VLOOKUP($D20,'Visu totale'!$D:$DH,CZ$1,0),IF(LEFT(VLOOKUP($D20,'Visu totale'!$D:$DH,CZ$1,0),1)="V",IF(CY20&gt;=INDEX('[1]Définition Maintenances'!$G:$G,MATCH($A20,'[1]Définition Maintenances'!$K:$K,0)),CY20,INDEX('[1]Définition Maintenances'!$G:$G,MATCH($A20,'[1]Définition Maintenances'!$K:$K,0))+CY20),CY20))</f>
        <v>497</v>
      </c>
      <c r="DA20" s="26">
        <f>IF(ISNUMBER(VLOOKUP($D20,'Visu totale'!$D:$DH,DA$1,0)),CZ20-VLOOKUP($D20,'Visu totale'!$D:$DH,DA$1,0),IF(LEFT(VLOOKUP($D20,'Visu totale'!$D:$DH,DA$1,0),1)="V",IF(CZ20&gt;=INDEX('[1]Définition Maintenances'!$G:$G,MATCH($A20,'[1]Définition Maintenances'!$K:$K,0)),CZ20,INDEX('[1]Définition Maintenances'!$G:$G,MATCH($A20,'[1]Définition Maintenances'!$K:$K,0))+CZ20),CZ20))</f>
        <v>497</v>
      </c>
      <c r="DB20" s="26">
        <f>IF(ISNUMBER(VLOOKUP($D20,'Visu totale'!$D:$DH,DB$1,0)),DA20-VLOOKUP($D20,'Visu totale'!$D:$DH,DB$1,0),IF(LEFT(VLOOKUP($D20,'Visu totale'!$D:$DH,DB$1,0),1)="V",IF(DA20&gt;=INDEX('[1]Définition Maintenances'!$G:$G,MATCH($A20,'[1]Définition Maintenances'!$K:$K,0)),DA20,INDEX('[1]Définition Maintenances'!$G:$G,MATCH($A20,'[1]Définition Maintenances'!$K:$K,0))+DA20),DA20))</f>
        <v>497</v>
      </c>
      <c r="DC20" s="26">
        <f>IF(ISNUMBER(VLOOKUP($D20,'Visu totale'!$D:$DH,DC$1,0)),DB20-VLOOKUP($D20,'Visu totale'!$D:$DH,DC$1,0),IF(LEFT(VLOOKUP($D20,'Visu totale'!$D:$DH,DC$1,0),1)="V",IF(DB20&gt;=INDEX('[1]Définition Maintenances'!$G:$G,MATCH($A20,'[1]Définition Maintenances'!$K:$K,0)),DB20,INDEX('[1]Définition Maintenances'!$G:$G,MATCH($A20,'[1]Définition Maintenances'!$K:$K,0))+DB20),DB20))</f>
        <v>497</v>
      </c>
      <c r="DD20" s="26">
        <f>IF(ISNUMBER(VLOOKUP($D20,'Visu totale'!$D:$DH,DD$1,0)),DC20-VLOOKUP($D20,'Visu totale'!$D:$DH,DD$1,0),IF(LEFT(VLOOKUP($D20,'Visu totale'!$D:$DH,DD$1,0),1)="V",IF(DC20&gt;=INDEX('[1]Définition Maintenances'!$G:$G,MATCH($A20,'[1]Définition Maintenances'!$K:$K,0)),DC20,INDEX('[1]Définition Maintenances'!$G:$G,MATCH($A20,'[1]Définition Maintenances'!$K:$K,0))+DC20),DC20))</f>
        <v>497</v>
      </c>
      <c r="DE20" s="26">
        <f>IF(ISNUMBER(VLOOKUP($D20,'Visu totale'!$D:$DH,DE$1,0)),DD20-VLOOKUP($D20,'Visu totale'!$D:$DH,DE$1,0),IF(LEFT(VLOOKUP($D20,'Visu totale'!$D:$DH,DE$1,0),1)="V",IF(DD20&gt;=INDEX('[1]Définition Maintenances'!$G:$G,MATCH($A20,'[1]Définition Maintenances'!$K:$K,0)),DD20,INDEX('[1]Définition Maintenances'!$G:$G,MATCH($A20,'[1]Définition Maintenances'!$K:$K,0))+DD20),DD20))</f>
        <v>497</v>
      </c>
      <c r="DF20" s="26">
        <f>IF(ISNUMBER(VLOOKUP($D20,'Visu totale'!$D:$DH,DF$1,0)),DE20-VLOOKUP($D20,'Visu totale'!$D:$DH,DF$1,0),IF(LEFT(VLOOKUP($D20,'Visu totale'!$D:$DH,DF$1,0),1)="V",IF(DE20&gt;=INDEX('[1]Définition Maintenances'!$G:$G,MATCH($A20,'[1]Définition Maintenances'!$K:$K,0)),DE20,INDEX('[1]Définition Maintenances'!$G:$G,MATCH($A20,'[1]Définition Maintenances'!$K:$K,0))+DE20),DE20))</f>
        <v>497</v>
      </c>
      <c r="DG20" s="26">
        <f>IF(ISNUMBER(VLOOKUP($D20,'Visu totale'!$D:$DH,DG$1,0)),DF20-VLOOKUP($D20,'Visu totale'!$D:$DH,DG$1,0),IF(LEFT(VLOOKUP($D20,'Visu totale'!$D:$DH,DG$1,0),1)="V",IF(DF20&gt;=INDEX('[1]Définition Maintenances'!$G:$G,MATCH($A20,'[1]Définition Maintenances'!$K:$K,0)),DF20,INDEX('[1]Définition Maintenances'!$G:$G,MATCH($A20,'[1]Définition Maintenances'!$K:$K,0))+DF20),DF20))</f>
        <v>497</v>
      </c>
      <c r="DH20" s="26">
        <f>IF(ISNUMBER(VLOOKUP($D20,'Visu totale'!$D:$DH,DH$1,0)),DG20-VLOOKUP($D20,'Visu totale'!$D:$DH,DH$1,0),IF(LEFT(VLOOKUP($D20,'Visu totale'!$D:$DH,DH$1,0),1)="V",IF(DG20&gt;=INDEX('[1]Définition Maintenances'!$G:$G,MATCH($A20,'[1]Définition Maintenances'!$K:$K,0)),DG20,INDEX('[1]Définition Maintenances'!$G:$G,MATCH($A20,'[1]Définition Maintenances'!$K:$K,0))+DG20),DG20))</f>
        <v>497</v>
      </c>
      <c r="DI20" s="27">
        <f>IF(ISNUMBER(VLOOKUP($D20,'Visu totale'!$D:$DH,DI$1,0)),DH20-VLOOKUP($D20,'Visu totale'!$D:$DH,DI$1,0),IF(LEFT(VLOOKUP($D20,'Visu totale'!$D:$DH,DI$1,0),1)="V",IF(DH20&gt;=INDEX('[1]Définition Maintenances'!$G:$G,MATCH($A20,'[1]Définition Maintenances'!$K:$K,0)),DH20,INDEX('[1]Définition Maintenances'!$G:$G,MATCH($A20,'[1]Définition Maintenances'!$K:$K,0))+DH20),DH20))</f>
        <v>497</v>
      </c>
    </row>
    <row r="21" spans="1:113" x14ac:dyDescent="0.25">
      <c r="A21" s="13" t="str">
        <f t="shared" si="0"/>
        <v>V10D</v>
      </c>
      <c r="B21" s="13" t="str">
        <f>VLOOKUP(D21,'[1]Avions (Potentiels)'!$B$2:$H$128,7,FALSE)</f>
        <v>V10</v>
      </c>
      <c r="C21" s="13"/>
      <c r="D21" s="16" t="s">
        <v>24</v>
      </c>
      <c r="E21" s="13">
        <f>IFERROR(VALUE(SUBSTITUTE(VLOOKUP(D21,'[1]Avions (Potentiels)'!$B:$E,4,0),".",",")),VALUE(VLOOKUP(D21,'[1]Avions (Potentiels)'!$B:$E,4,0)))</f>
        <v>210</v>
      </c>
      <c r="F21" s="25">
        <f>IF(ISNUMBER(VLOOKUP($D21,'Visu totale'!$D:$DH,F$1,0)),E21-VLOOKUP($D21,'Visu totale'!$D:$DH,F$1,0),IF(LEFT(VLOOKUP($D21,'Visu totale'!$D:$DH,F$1,0),1)="V",IF(E21&gt;=INDEX('[1]Définition Maintenances'!$G:$G,MATCH($A21,'[1]Définition Maintenances'!$K:$K,0)),E21,INDEX('[1]Définition Maintenances'!$G:$G,MATCH($A21,'[1]Définition Maintenances'!$K:$K,0))+E21),E21))</f>
        <v>210</v>
      </c>
      <c r="G21" s="26">
        <f>IF(ISNUMBER(VLOOKUP($D21,'Visu totale'!$D:$DH,G$1,0)),F21-VLOOKUP($D21,'Visu totale'!$D:$DH,G$1,0),IF(LEFT(VLOOKUP($D21,'Visu totale'!$D:$DH,G$1,0),1)="V",IF(F21&gt;=INDEX('[1]Définition Maintenances'!$G:$G,MATCH($A21,'[1]Définition Maintenances'!$K:$K,0)),F21,INDEX('[1]Définition Maintenances'!$G:$G,MATCH($A21,'[1]Définition Maintenances'!$K:$K,0))+F21),F21))</f>
        <v>210</v>
      </c>
      <c r="H21" s="26">
        <f>IF(ISNUMBER(VLOOKUP($D21,'Visu totale'!$D:$DH,H$1,0)),G21-VLOOKUP($D21,'Visu totale'!$D:$DH,H$1,0),IF(LEFT(VLOOKUP($D21,'Visu totale'!$D:$DH,H$1,0),1)="V",IF(G21&gt;=INDEX('[1]Définition Maintenances'!$G:$G,MATCH($A21,'[1]Définition Maintenances'!$K:$K,0)),G21,INDEX('[1]Définition Maintenances'!$G:$G,MATCH($A21,'[1]Définition Maintenances'!$K:$K,0))+G21),G21))</f>
        <v>210</v>
      </c>
      <c r="I21" s="26">
        <f>IF(ISNUMBER(VLOOKUP($D21,'Visu totale'!$D:$DH,I$1,0)),H21-VLOOKUP($D21,'Visu totale'!$D:$DH,I$1,0),IF(LEFT(VLOOKUP($D21,'Visu totale'!$D:$DH,I$1,0),1)="V",IF(H21&gt;=INDEX('[1]Définition Maintenances'!$G:$G,MATCH($A21,'[1]Définition Maintenances'!$K:$K,0)),H21,INDEX('[1]Définition Maintenances'!$G:$G,MATCH($A21,'[1]Définition Maintenances'!$K:$K,0))+H21),H21))</f>
        <v>210</v>
      </c>
      <c r="J21" s="26">
        <f>IF(ISNUMBER(VLOOKUP($D21,'Visu totale'!$D:$DH,J$1,0)),I21-VLOOKUP($D21,'Visu totale'!$D:$DH,J$1,0),IF(LEFT(VLOOKUP($D21,'Visu totale'!$D:$DH,J$1,0),1)="V",IF(I21&gt;=INDEX('[1]Définition Maintenances'!$G:$G,MATCH($A21,'[1]Définition Maintenances'!$K:$K,0)),I21,INDEX('[1]Définition Maintenances'!$G:$G,MATCH($A21,'[1]Définition Maintenances'!$K:$K,0))+I21),I21))</f>
        <v>210</v>
      </c>
      <c r="K21" s="26">
        <f>IF(ISNUMBER(VLOOKUP($D21,'Visu totale'!$D:$DH,K$1,0)),J21-VLOOKUP($D21,'Visu totale'!$D:$DH,K$1,0),IF(LEFT(VLOOKUP($D21,'Visu totale'!$D:$DH,K$1,0),1)="V",IF(J21&gt;=INDEX('[1]Définition Maintenances'!$G:$G,MATCH($A21,'[1]Définition Maintenances'!$K:$K,0)),J21,INDEX('[1]Définition Maintenances'!$G:$G,MATCH($A21,'[1]Définition Maintenances'!$K:$K,0))+J21),J21))</f>
        <v>210</v>
      </c>
      <c r="L21" s="26">
        <f>IF(ISNUMBER(VLOOKUP($D21,'Visu totale'!$D:$DH,L$1,0)),K21-VLOOKUP($D21,'Visu totale'!$D:$DH,L$1,0),IF(LEFT(VLOOKUP($D21,'Visu totale'!$D:$DH,L$1,0),1)="V",IF(K21&gt;=INDEX('[1]Définition Maintenances'!$G:$G,MATCH($A21,'[1]Définition Maintenances'!$K:$K,0)),K21,INDEX('[1]Définition Maintenances'!$G:$G,MATCH($A21,'[1]Définition Maintenances'!$K:$K,0))+K21),K21))</f>
        <v>210</v>
      </c>
      <c r="M21" s="26">
        <f>IF(ISNUMBER(VLOOKUP($D21,'Visu totale'!$D:$DH,M$1,0)),L21-VLOOKUP($D21,'Visu totale'!$D:$DH,M$1,0),IF(LEFT(VLOOKUP($D21,'Visu totale'!$D:$DH,M$1,0),1)="V",IF(L21&gt;=INDEX('[1]Définition Maintenances'!$G:$G,MATCH($A21,'[1]Définition Maintenances'!$K:$K,0)),L21,INDEX('[1]Définition Maintenances'!$G:$G,MATCH($A21,'[1]Définition Maintenances'!$K:$K,0))+L21),L21))</f>
        <v>210</v>
      </c>
      <c r="N21" s="26">
        <f>IF(ISNUMBER(VLOOKUP($D21,'Visu totale'!$D:$DH,N$1,0)),M21-VLOOKUP($D21,'Visu totale'!$D:$DH,N$1,0),IF(LEFT(VLOOKUP($D21,'Visu totale'!$D:$DH,N$1,0),1)="V",IF(M21&gt;=INDEX('[1]Définition Maintenances'!$G:$G,MATCH($A21,'[1]Définition Maintenances'!$K:$K,0)),M21,INDEX('[1]Définition Maintenances'!$G:$G,MATCH($A21,'[1]Définition Maintenances'!$K:$K,0))+M21),M21))</f>
        <v>210</v>
      </c>
      <c r="O21" s="26">
        <f>IF(ISNUMBER(VLOOKUP($D21,'Visu totale'!$D:$DH,O$1,0)),N21-VLOOKUP($D21,'Visu totale'!$D:$DH,O$1,0),IF(LEFT(VLOOKUP($D21,'Visu totale'!$D:$DH,O$1,0),1)="V",IF(N21&gt;=INDEX('[1]Définition Maintenances'!$G:$G,MATCH($A21,'[1]Définition Maintenances'!$K:$K,0)),N21,INDEX('[1]Définition Maintenances'!$G:$G,MATCH($A21,'[1]Définition Maintenances'!$K:$K,0))+N21),N21))</f>
        <v>210</v>
      </c>
      <c r="P21" s="26">
        <f>IF(ISNUMBER(VLOOKUP($D21,'Visu totale'!$D:$DH,P$1,0)),O21-VLOOKUP($D21,'Visu totale'!$D:$DH,P$1,0),IF(LEFT(VLOOKUP($D21,'Visu totale'!$D:$DH,P$1,0),1)="V",IF(O21&gt;=INDEX('[1]Définition Maintenances'!$G:$G,MATCH($A21,'[1]Définition Maintenances'!$K:$K,0)),O21,INDEX('[1]Définition Maintenances'!$G:$G,MATCH($A21,'[1]Définition Maintenances'!$K:$K,0))+O21),O21))</f>
        <v>210</v>
      </c>
      <c r="Q21" s="27">
        <f>IF(ISNUMBER(VLOOKUP($D21,'Visu totale'!$D:$DH,Q$1,0)),P21-VLOOKUP($D21,'Visu totale'!$D:$DH,Q$1,0),IF(LEFT(VLOOKUP($D21,'Visu totale'!$D:$DH,Q$1,0),1)="V",IF(P21&gt;=INDEX('[1]Définition Maintenances'!$G:$G,MATCH($A21,'[1]Définition Maintenances'!$K:$K,0)),P21,INDEX('[1]Définition Maintenances'!$G:$G,MATCH($A21,'[1]Définition Maintenances'!$K:$K,0))+P21),P21))</f>
        <v>210</v>
      </c>
      <c r="R21" s="25">
        <f>IF(ISNUMBER(VLOOKUP($D21,'Visu totale'!$D:$DH,R$1,0)),Q21-VLOOKUP($D21,'Visu totale'!$D:$DH,R$1,0),IF(LEFT(VLOOKUP($D21,'Visu totale'!$D:$DH,R$1,0),1)="V",IF(Q21&gt;=INDEX('[1]Définition Maintenances'!$G:$G,MATCH($A21,'[1]Définition Maintenances'!$K:$K,0)),Q21,INDEX('[1]Définition Maintenances'!$G:$G,MATCH($A21,'[1]Définition Maintenances'!$K:$K,0))+Q21),Q21))</f>
        <v>210</v>
      </c>
      <c r="S21" s="26">
        <f>IF(ISNUMBER(VLOOKUP($D21,'Visu totale'!$D:$DH,S$1,0)),R21-VLOOKUP($D21,'Visu totale'!$D:$DH,S$1,0),IF(LEFT(VLOOKUP($D21,'Visu totale'!$D:$DH,S$1,0),1)="V",IF(R21&gt;=INDEX('[1]Définition Maintenances'!$G:$G,MATCH($A21,'[1]Définition Maintenances'!$K:$K,0)),R21,INDEX('[1]Définition Maintenances'!$G:$G,MATCH($A21,'[1]Définition Maintenances'!$K:$K,0))+R21),R21))</f>
        <v>210</v>
      </c>
      <c r="T21" s="26">
        <f>IF(ISNUMBER(VLOOKUP($D21,'Visu totale'!$D:$DH,T$1,0)),S21-VLOOKUP($D21,'Visu totale'!$D:$DH,T$1,0),IF(LEFT(VLOOKUP($D21,'Visu totale'!$D:$DH,T$1,0),1)="V",IF(S21&gt;=INDEX('[1]Définition Maintenances'!$G:$G,MATCH($A21,'[1]Définition Maintenances'!$K:$K,0)),S21,INDEX('[1]Définition Maintenances'!$G:$G,MATCH($A21,'[1]Définition Maintenances'!$K:$K,0))+S21),S21))</f>
        <v>210</v>
      </c>
      <c r="U21" s="26">
        <f>IF(ISNUMBER(VLOOKUP($D21,'Visu totale'!$D:$DH,U$1,0)),T21-VLOOKUP($D21,'Visu totale'!$D:$DH,U$1,0),IF(LEFT(VLOOKUP($D21,'Visu totale'!$D:$DH,U$1,0),1)="V",IF(T21&gt;=INDEX('[1]Définition Maintenances'!$G:$G,MATCH($A21,'[1]Définition Maintenances'!$K:$K,0)),T21,INDEX('[1]Définition Maintenances'!$G:$G,MATCH($A21,'[1]Définition Maintenances'!$K:$K,0))+T21),T21))</f>
        <v>210</v>
      </c>
      <c r="V21" s="26">
        <f>IF(ISNUMBER(VLOOKUP($D21,'Visu totale'!$D:$DH,V$1,0)),U21-VLOOKUP($D21,'Visu totale'!$D:$DH,V$1,0),IF(LEFT(VLOOKUP($D21,'Visu totale'!$D:$DH,V$1,0),1)="V",IF(U21&gt;=INDEX('[1]Définition Maintenances'!$G:$G,MATCH($A21,'[1]Définition Maintenances'!$K:$K,0)),U21,INDEX('[1]Définition Maintenances'!$G:$G,MATCH($A21,'[1]Définition Maintenances'!$K:$K,0))+U21),U21))</f>
        <v>210</v>
      </c>
      <c r="W21" s="26">
        <f>IF(ISNUMBER(VLOOKUP($D21,'Visu totale'!$D:$DH,W$1,0)),V21-VLOOKUP($D21,'Visu totale'!$D:$DH,W$1,0),IF(LEFT(VLOOKUP($D21,'Visu totale'!$D:$DH,W$1,0),1)="V",IF(V21&gt;=INDEX('[1]Définition Maintenances'!$G:$G,MATCH($A21,'[1]Définition Maintenances'!$K:$K,0)),V21,INDEX('[1]Définition Maintenances'!$G:$G,MATCH($A21,'[1]Définition Maintenances'!$K:$K,0))+V21),V21))</f>
        <v>210</v>
      </c>
      <c r="X21" s="26">
        <f>IF(ISNUMBER(VLOOKUP($D21,'Visu totale'!$D:$DH,X$1,0)),W21-VLOOKUP($D21,'Visu totale'!$D:$DH,X$1,0),IF(LEFT(VLOOKUP($D21,'Visu totale'!$D:$DH,X$1,0),1)="V",IF(W21&gt;=INDEX('[1]Définition Maintenances'!$G:$G,MATCH($A21,'[1]Définition Maintenances'!$K:$K,0)),W21,INDEX('[1]Définition Maintenances'!$G:$G,MATCH($A21,'[1]Définition Maintenances'!$K:$K,0))+W21),W21))</f>
        <v>210</v>
      </c>
      <c r="Y21" s="26">
        <f>IF(ISNUMBER(VLOOKUP($D21,'Visu totale'!$D:$DH,Y$1,0)),X21-VLOOKUP($D21,'Visu totale'!$D:$DH,Y$1,0),IF(LEFT(VLOOKUP($D21,'Visu totale'!$D:$DH,Y$1,0),1)="V",IF(X21&gt;=INDEX('[1]Définition Maintenances'!$G:$G,MATCH($A21,'[1]Définition Maintenances'!$K:$K,0)),X21,INDEX('[1]Définition Maintenances'!$G:$G,MATCH($A21,'[1]Définition Maintenances'!$K:$K,0))+X21),X21))</f>
        <v>210</v>
      </c>
      <c r="Z21" s="26">
        <f>IF(ISNUMBER(VLOOKUP($D21,'Visu totale'!$D:$DH,Z$1,0)),Y21-VLOOKUP($D21,'Visu totale'!$D:$DH,Z$1,0),IF(LEFT(VLOOKUP($D21,'Visu totale'!$D:$DH,Z$1,0),1)="V",IF(Y21&gt;=INDEX('[1]Définition Maintenances'!$G:$G,MATCH($A21,'[1]Définition Maintenances'!$K:$K,0)),Y21,INDEX('[1]Définition Maintenances'!$G:$G,MATCH($A21,'[1]Définition Maintenances'!$K:$K,0))+Y21),Y21))</f>
        <v>210</v>
      </c>
      <c r="AA21" s="26">
        <f>IF(ISNUMBER(VLOOKUP($D21,'Visu totale'!$D:$DH,AA$1,0)),Z21-VLOOKUP($D21,'Visu totale'!$D:$DH,AA$1,0),IF(LEFT(VLOOKUP($D21,'Visu totale'!$D:$DH,AA$1,0),1)="V",IF(Z21&gt;=INDEX('[1]Définition Maintenances'!$G:$G,MATCH($A21,'[1]Définition Maintenances'!$K:$K,0)),Z21,INDEX('[1]Définition Maintenances'!$G:$G,MATCH($A21,'[1]Définition Maintenances'!$K:$K,0))+Z21),Z21))</f>
        <v>210</v>
      </c>
      <c r="AB21" s="26">
        <f>IF(ISNUMBER(VLOOKUP($D21,'Visu totale'!$D:$DH,AB$1,0)),AA21-VLOOKUP($D21,'Visu totale'!$D:$DH,AB$1,0),IF(LEFT(VLOOKUP($D21,'Visu totale'!$D:$DH,AB$1,0),1)="V",IF(AA21&gt;=INDEX('[1]Définition Maintenances'!$G:$G,MATCH($A21,'[1]Définition Maintenances'!$K:$K,0)),AA21,INDEX('[1]Définition Maintenances'!$G:$G,MATCH($A21,'[1]Définition Maintenances'!$K:$K,0))+AA21),AA21))</f>
        <v>210</v>
      </c>
      <c r="AC21" s="27">
        <f>IF(ISNUMBER(VLOOKUP($D21,'Visu totale'!$D:$DH,AC$1,0)),AB21-VLOOKUP($D21,'Visu totale'!$D:$DH,AC$1,0),IF(LEFT(VLOOKUP($D21,'Visu totale'!$D:$DH,AC$1,0),1)="V",IF(AB21&gt;=INDEX('[1]Définition Maintenances'!$G:$G,MATCH($A21,'[1]Définition Maintenances'!$K:$K,0)),AB21,INDEX('[1]Définition Maintenances'!$G:$G,MATCH($A21,'[1]Définition Maintenances'!$K:$K,0))+AB21),AB21))</f>
        <v>210</v>
      </c>
      <c r="AD21" s="25">
        <f>IF(ISNUMBER(VLOOKUP($D21,'Visu totale'!$D:$DH,AD$1,0)),AC21-VLOOKUP($D21,'Visu totale'!$D:$DH,AD$1,0),IF(LEFT(VLOOKUP($D21,'Visu totale'!$D:$DH,AD$1,0),1)="V",IF(AC21&gt;=INDEX('[1]Définition Maintenances'!$G:$G,MATCH($A21,'[1]Définition Maintenances'!$K:$K,0)),AC21,INDEX('[1]Définition Maintenances'!$G:$G,MATCH($A21,'[1]Définition Maintenances'!$K:$K,0))+AC21),AC21))</f>
        <v>210</v>
      </c>
      <c r="AE21" s="26">
        <f>IF(ISNUMBER(VLOOKUP($D21,'Visu totale'!$D:$DH,AE$1,0)),AD21-VLOOKUP($D21,'Visu totale'!$D:$DH,AE$1,0),IF(LEFT(VLOOKUP($D21,'Visu totale'!$D:$DH,AE$1,0),1)="V",IF(AD21&gt;=INDEX('[1]Définition Maintenances'!$G:$G,MATCH($A21,'[1]Définition Maintenances'!$K:$K,0)),AD21,INDEX('[1]Définition Maintenances'!$G:$G,MATCH($A21,'[1]Définition Maintenances'!$K:$K,0))+AD21),AD21))</f>
        <v>210</v>
      </c>
      <c r="AF21" s="26">
        <f>IF(ISNUMBER(VLOOKUP($D21,'Visu totale'!$D:$DH,AF$1,0)),AE21-VLOOKUP($D21,'Visu totale'!$D:$DH,AF$1,0),IF(LEFT(VLOOKUP($D21,'Visu totale'!$D:$DH,AF$1,0),1)="V",IF(AE21&gt;=INDEX('[1]Définition Maintenances'!$G:$G,MATCH($A21,'[1]Définition Maintenances'!$K:$K,0)),AE21,INDEX('[1]Définition Maintenances'!$G:$G,MATCH($A21,'[1]Définition Maintenances'!$K:$K,0))+AE21),AE21))</f>
        <v>210</v>
      </c>
      <c r="AG21" s="26">
        <f>IF(ISNUMBER(VLOOKUP($D21,'Visu totale'!$D:$DH,AG$1,0)),AF21-VLOOKUP($D21,'Visu totale'!$D:$DH,AG$1,0),IF(LEFT(VLOOKUP($D21,'Visu totale'!$D:$DH,AG$1,0),1)="V",IF(AF21&gt;=INDEX('[1]Définition Maintenances'!$G:$G,MATCH($A21,'[1]Définition Maintenances'!$K:$K,0)),AF21,INDEX('[1]Définition Maintenances'!$G:$G,MATCH($A21,'[1]Définition Maintenances'!$K:$K,0))+AF21),AF21))</f>
        <v>210</v>
      </c>
      <c r="AH21" s="26">
        <f>IF(ISNUMBER(VLOOKUP($D21,'Visu totale'!$D:$DH,AH$1,0)),AG21-VLOOKUP($D21,'Visu totale'!$D:$DH,AH$1,0),IF(LEFT(VLOOKUP($D21,'Visu totale'!$D:$DH,AH$1,0),1)="V",IF(AG21&gt;=INDEX('[1]Définition Maintenances'!$G:$G,MATCH($A21,'[1]Définition Maintenances'!$K:$K,0)),AG21,INDEX('[1]Définition Maintenances'!$G:$G,MATCH($A21,'[1]Définition Maintenances'!$K:$K,0))+AG21),AG21))</f>
        <v>210</v>
      </c>
      <c r="AI21" s="26">
        <f>IF(ISNUMBER(VLOOKUP($D21,'Visu totale'!$D:$DH,AI$1,0)),AH21-VLOOKUP($D21,'Visu totale'!$D:$DH,AI$1,0),IF(LEFT(VLOOKUP($D21,'Visu totale'!$D:$DH,AI$1,0),1)="V",IF(AH21&gt;=INDEX('[1]Définition Maintenances'!$G:$G,MATCH($A21,'[1]Définition Maintenances'!$K:$K,0)),AH21,INDEX('[1]Définition Maintenances'!$G:$G,MATCH($A21,'[1]Définition Maintenances'!$K:$K,0))+AH21),AH21))</f>
        <v>210</v>
      </c>
      <c r="AJ21" s="26">
        <f>IF(ISNUMBER(VLOOKUP($D21,'Visu totale'!$D:$DH,AJ$1,0)),AI21-VLOOKUP($D21,'Visu totale'!$D:$DH,AJ$1,0),IF(LEFT(VLOOKUP($D21,'Visu totale'!$D:$DH,AJ$1,0),1)="V",IF(AI21&gt;=INDEX('[1]Définition Maintenances'!$G:$G,MATCH($A21,'[1]Définition Maintenances'!$K:$K,0)),AI21,INDEX('[1]Définition Maintenances'!$G:$G,MATCH($A21,'[1]Définition Maintenances'!$K:$K,0))+AI21),AI21))</f>
        <v>210</v>
      </c>
      <c r="AK21" s="26">
        <f>IF(ISNUMBER(VLOOKUP($D21,'Visu totale'!$D:$DH,AK$1,0)),AJ21-VLOOKUP($D21,'Visu totale'!$D:$DH,AK$1,0),IF(LEFT(VLOOKUP($D21,'Visu totale'!$D:$DH,AK$1,0),1)="V",IF(AJ21&gt;=INDEX('[1]Définition Maintenances'!$G:$G,MATCH($A21,'[1]Définition Maintenances'!$K:$K,0)),AJ21,INDEX('[1]Définition Maintenances'!$G:$G,MATCH($A21,'[1]Définition Maintenances'!$K:$K,0))+AJ21),AJ21))</f>
        <v>210</v>
      </c>
      <c r="AL21" s="26">
        <f>IF(ISNUMBER(VLOOKUP($D21,'Visu totale'!$D:$DH,AL$1,0)),AK21-VLOOKUP($D21,'Visu totale'!$D:$DH,AL$1,0),IF(LEFT(VLOOKUP($D21,'Visu totale'!$D:$DH,AL$1,0),1)="V",IF(AK21&gt;=INDEX('[1]Définition Maintenances'!$G:$G,MATCH($A21,'[1]Définition Maintenances'!$K:$K,0)),AK21,INDEX('[1]Définition Maintenances'!$G:$G,MATCH($A21,'[1]Définition Maintenances'!$K:$K,0))+AK21),AK21))</f>
        <v>210</v>
      </c>
      <c r="AM21" s="26">
        <f>IF(ISNUMBER(VLOOKUP($D21,'Visu totale'!$D:$DH,AM$1,0)),AL21-VLOOKUP($D21,'Visu totale'!$D:$DH,AM$1,0),IF(LEFT(VLOOKUP($D21,'Visu totale'!$D:$DH,AM$1,0),1)="V",IF(AL21&gt;=INDEX('[1]Définition Maintenances'!$G:$G,MATCH($A21,'[1]Définition Maintenances'!$K:$K,0)),AL21,INDEX('[1]Définition Maintenances'!$G:$G,MATCH($A21,'[1]Définition Maintenances'!$K:$K,0))+AL21),AL21))</f>
        <v>210</v>
      </c>
      <c r="AN21" s="26">
        <f>IF(ISNUMBER(VLOOKUP($D21,'Visu totale'!$D:$DH,AN$1,0)),AM21-VLOOKUP($D21,'Visu totale'!$D:$DH,AN$1,0),IF(LEFT(VLOOKUP($D21,'Visu totale'!$D:$DH,AN$1,0),1)="V",IF(AM21&gt;=INDEX('[1]Définition Maintenances'!$G:$G,MATCH($A21,'[1]Définition Maintenances'!$K:$K,0)),AM21,INDEX('[1]Définition Maintenances'!$G:$G,MATCH($A21,'[1]Définition Maintenances'!$K:$K,0))+AM21),AM21))</f>
        <v>210</v>
      </c>
      <c r="AO21" s="27">
        <f>IF(ISNUMBER(VLOOKUP($D21,'Visu totale'!$D:$DH,AO$1,0)),AN21-VLOOKUP($D21,'Visu totale'!$D:$DH,AO$1,0),IF(LEFT(VLOOKUP($D21,'Visu totale'!$D:$DH,AO$1,0),1)="V",IF(AN21&gt;=INDEX('[1]Définition Maintenances'!$G:$G,MATCH($A21,'[1]Définition Maintenances'!$K:$K,0)),AN21,INDEX('[1]Définition Maintenances'!$G:$G,MATCH($A21,'[1]Définition Maintenances'!$K:$K,0))+AN21),AN21))</f>
        <v>210</v>
      </c>
      <c r="AP21" s="25">
        <f>IF(ISNUMBER(VLOOKUP($D21,'Visu totale'!$D:$DH,AP$1,0)),AO21-VLOOKUP($D21,'Visu totale'!$D:$DH,AP$1,0),IF(LEFT(VLOOKUP($D21,'Visu totale'!$D:$DH,AP$1,0),1)="V",IF(AO21&gt;=INDEX('[1]Définition Maintenances'!$G:$G,MATCH($A21,'[1]Définition Maintenances'!$K:$K,0)),AO21,INDEX('[1]Définition Maintenances'!$G:$G,MATCH($A21,'[1]Définition Maintenances'!$K:$K,0))+AO21),AO21))</f>
        <v>210</v>
      </c>
      <c r="AQ21" s="26">
        <f>IF(ISNUMBER(VLOOKUP($D21,'Visu totale'!$D:$DH,AQ$1,0)),AP21-VLOOKUP($D21,'Visu totale'!$D:$DH,AQ$1,0),IF(LEFT(VLOOKUP($D21,'Visu totale'!$D:$DH,AQ$1,0),1)="V",IF(AP21&gt;=INDEX('[1]Définition Maintenances'!$G:$G,MATCH($A21,'[1]Définition Maintenances'!$K:$K,0)),AP21,INDEX('[1]Définition Maintenances'!$G:$G,MATCH($A21,'[1]Définition Maintenances'!$K:$K,0))+AP21),AP21))</f>
        <v>210</v>
      </c>
      <c r="AR21" s="26">
        <f>IF(ISNUMBER(VLOOKUP($D21,'Visu totale'!$D:$DH,AR$1,0)),AQ21-VLOOKUP($D21,'Visu totale'!$D:$DH,AR$1,0),IF(LEFT(VLOOKUP($D21,'Visu totale'!$D:$DH,AR$1,0),1)="V",IF(AQ21&gt;=INDEX('[1]Définition Maintenances'!$G:$G,MATCH($A21,'[1]Définition Maintenances'!$K:$K,0)),AQ21,INDEX('[1]Définition Maintenances'!$G:$G,MATCH($A21,'[1]Définition Maintenances'!$K:$K,0))+AQ21),AQ21))</f>
        <v>210</v>
      </c>
      <c r="AS21" s="26">
        <f>IF(ISNUMBER(VLOOKUP($D21,'Visu totale'!$D:$DH,AS$1,0)),AR21-VLOOKUP($D21,'Visu totale'!$D:$DH,AS$1,0),IF(LEFT(VLOOKUP($D21,'Visu totale'!$D:$DH,AS$1,0),1)="V",IF(AR21&gt;=INDEX('[1]Définition Maintenances'!$G:$G,MATCH($A21,'[1]Définition Maintenances'!$K:$K,0)),AR21,INDEX('[1]Définition Maintenances'!$G:$G,MATCH($A21,'[1]Définition Maintenances'!$K:$K,0))+AR21),AR21))</f>
        <v>210</v>
      </c>
      <c r="AT21" s="26">
        <f>IF(ISNUMBER(VLOOKUP($D21,'Visu totale'!$D:$DH,AT$1,0)),AS21-VLOOKUP($D21,'Visu totale'!$D:$DH,AT$1,0),IF(LEFT(VLOOKUP($D21,'Visu totale'!$D:$DH,AT$1,0),1)="V",IF(AS21&gt;=INDEX('[1]Définition Maintenances'!$G:$G,MATCH($A21,'[1]Définition Maintenances'!$K:$K,0)),AS21,INDEX('[1]Définition Maintenances'!$G:$G,MATCH($A21,'[1]Définition Maintenances'!$K:$K,0))+AS21),AS21))</f>
        <v>210</v>
      </c>
      <c r="AU21" s="26">
        <f>IF(ISNUMBER(VLOOKUP($D21,'Visu totale'!$D:$DH,AU$1,0)),AT21-VLOOKUP($D21,'Visu totale'!$D:$DH,AU$1,0),IF(LEFT(VLOOKUP($D21,'Visu totale'!$D:$DH,AU$1,0),1)="V",IF(AT21&gt;=INDEX('[1]Définition Maintenances'!$G:$G,MATCH($A21,'[1]Définition Maintenances'!$K:$K,0)),AT21,INDEX('[1]Définition Maintenances'!$G:$G,MATCH($A21,'[1]Définition Maintenances'!$K:$K,0))+AT21),AT21))</f>
        <v>210</v>
      </c>
      <c r="AV21" s="26">
        <f>IF(ISNUMBER(VLOOKUP($D21,'Visu totale'!$D:$DH,AV$1,0)),AU21-VLOOKUP($D21,'Visu totale'!$D:$DH,AV$1,0),IF(LEFT(VLOOKUP($D21,'Visu totale'!$D:$DH,AV$1,0),1)="V",IF(AU21&gt;=INDEX('[1]Définition Maintenances'!$G:$G,MATCH($A21,'[1]Définition Maintenances'!$K:$K,0)),AU21,INDEX('[1]Définition Maintenances'!$G:$G,MATCH($A21,'[1]Définition Maintenances'!$K:$K,0))+AU21),AU21))</f>
        <v>210</v>
      </c>
      <c r="AW21" s="26">
        <f>IF(ISNUMBER(VLOOKUP($D21,'Visu totale'!$D:$DH,AW$1,0)),AV21-VLOOKUP($D21,'Visu totale'!$D:$DH,AW$1,0),IF(LEFT(VLOOKUP($D21,'Visu totale'!$D:$DH,AW$1,0),1)="V",IF(AV21&gt;=INDEX('[1]Définition Maintenances'!$G:$G,MATCH($A21,'[1]Définition Maintenances'!$K:$K,0)),AV21,INDEX('[1]Définition Maintenances'!$G:$G,MATCH($A21,'[1]Définition Maintenances'!$K:$K,0))+AV21),AV21))</f>
        <v>210</v>
      </c>
      <c r="AX21" s="26">
        <f>IF(ISNUMBER(VLOOKUP($D21,'Visu totale'!$D:$DH,AX$1,0)),AW21-VLOOKUP($D21,'Visu totale'!$D:$DH,AX$1,0),IF(LEFT(VLOOKUP($D21,'Visu totale'!$D:$DH,AX$1,0),1)="V",IF(AW21&gt;=INDEX('[1]Définition Maintenances'!$G:$G,MATCH($A21,'[1]Définition Maintenances'!$K:$K,0)),AW21,INDEX('[1]Définition Maintenances'!$G:$G,MATCH($A21,'[1]Définition Maintenances'!$K:$K,0))+AW21),AW21))</f>
        <v>210</v>
      </c>
      <c r="AY21" s="26">
        <f>IF(ISNUMBER(VLOOKUP($D21,'Visu totale'!$D:$DH,AY$1,0)),AX21-VLOOKUP($D21,'Visu totale'!$D:$DH,AY$1,0),IF(LEFT(VLOOKUP($D21,'Visu totale'!$D:$DH,AY$1,0),1)="V",IF(AX21&gt;=INDEX('[1]Définition Maintenances'!$G:$G,MATCH($A21,'[1]Définition Maintenances'!$K:$K,0)),AX21,INDEX('[1]Définition Maintenances'!$G:$G,MATCH($A21,'[1]Définition Maintenances'!$K:$K,0))+AX21),AX21))</f>
        <v>210</v>
      </c>
      <c r="AZ21" s="26">
        <f>IF(ISNUMBER(VLOOKUP($D21,'Visu totale'!$D:$DH,AZ$1,0)),AY21-VLOOKUP($D21,'Visu totale'!$D:$DH,AZ$1,0),IF(LEFT(VLOOKUP($D21,'Visu totale'!$D:$DH,AZ$1,0),1)="V",IF(AY21&gt;=INDEX('[1]Définition Maintenances'!$G:$G,MATCH($A21,'[1]Définition Maintenances'!$K:$K,0)),AY21,INDEX('[1]Définition Maintenances'!$G:$G,MATCH($A21,'[1]Définition Maintenances'!$K:$K,0))+AY21),AY21))</f>
        <v>210</v>
      </c>
      <c r="BA21" s="27">
        <f>IF(ISNUMBER(VLOOKUP($D21,'Visu totale'!$D:$DH,BA$1,0)),AZ21-VLOOKUP($D21,'Visu totale'!$D:$DH,BA$1,0),IF(LEFT(VLOOKUP($D21,'Visu totale'!$D:$DH,BA$1,0),1)="V",IF(AZ21&gt;=INDEX('[1]Définition Maintenances'!$G:$G,MATCH($A21,'[1]Définition Maintenances'!$K:$K,0)),AZ21,INDEX('[1]Définition Maintenances'!$G:$G,MATCH($A21,'[1]Définition Maintenances'!$K:$K,0))+AZ21),AZ21))</f>
        <v>210</v>
      </c>
      <c r="BB21" s="25">
        <f>IF(ISNUMBER(VLOOKUP($D21,'Visu totale'!$D:$DH,BB$1,0)),BA21-VLOOKUP($D21,'Visu totale'!$D:$DH,BB$1,0),IF(LEFT(VLOOKUP($D21,'Visu totale'!$D:$DH,BB$1,0),1)="V",IF(BA21&gt;=INDEX('[1]Définition Maintenances'!$G:$G,MATCH($A21,'[1]Définition Maintenances'!$K:$K,0)),BA21,INDEX('[1]Définition Maintenances'!$G:$G,MATCH($A21,'[1]Définition Maintenances'!$K:$K,0))+BA21),BA21))</f>
        <v>210</v>
      </c>
      <c r="BC21" s="26">
        <f>IF(ISNUMBER(VLOOKUP($D21,'Visu totale'!$D:$DH,BC$1,0)),BB21-VLOOKUP($D21,'Visu totale'!$D:$DH,BC$1,0),IF(LEFT(VLOOKUP($D21,'Visu totale'!$D:$DH,BC$1,0),1)="V",IF(BB21&gt;=INDEX('[1]Définition Maintenances'!$G:$G,MATCH($A21,'[1]Définition Maintenances'!$K:$K,0)),BB21,INDEX('[1]Définition Maintenances'!$G:$G,MATCH($A21,'[1]Définition Maintenances'!$K:$K,0))+BB21),BB21))</f>
        <v>210</v>
      </c>
      <c r="BD21" s="26">
        <f>IF(ISNUMBER(VLOOKUP($D21,'Visu totale'!$D:$DH,BD$1,0)),BC21-VLOOKUP($D21,'Visu totale'!$D:$DH,BD$1,0),IF(LEFT(VLOOKUP($D21,'Visu totale'!$D:$DH,BD$1,0),1)="V",IF(BC21&gt;=INDEX('[1]Définition Maintenances'!$G:$G,MATCH($A21,'[1]Définition Maintenances'!$K:$K,0)),BC21,INDEX('[1]Définition Maintenances'!$G:$G,MATCH($A21,'[1]Définition Maintenances'!$K:$K,0))+BC21),BC21))</f>
        <v>210</v>
      </c>
      <c r="BE21" s="26">
        <f>IF(ISNUMBER(VLOOKUP($D21,'Visu totale'!$D:$DH,BE$1,0)),BD21-VLOOKUP($D21,'Visu totale'!$D:$DH,BE$1,0),IF(LEFT(VLOOKUP($D21,'Visu totale'!$D:$DH,BE$1,0),1)="V",IF(BD21&gt;=INDEX('[1]Définition Maintenances'!$G:$G,MATCH($A21,'[1]Définition Maintenances'!$K:$K,0)),BD21,INDEX('[1]Définition Maintenances'!$G:$G,MATCH($A21,'[1]Définition Maintenances'!$K:$K,0))+BD21),BD21))</f>
        <v>210</v>
      </c>
      <c r="BF21" s="26">
        <f>IF(ISNUMBER(VLOOKUP($D21,'Visu totale'!$D:$DH,BF$1,0)),BE21-VLOOKUP($D21,'Visu totale'!$D:$DH,BF$1,0),IF(LEFT(VLOOKUP($D21,'Visu totale'!$D:$DH,BF$1,0),1)="V",IF(BE21&gt;=INDEX('[1]Définition Maintenances'!$G:$G,MATCH($A21,'[1]Définition Maintenances'!$K:$K,0)),BE21,INDEX('[1]Définition Maintenances'!$G:$G,MATCH($A21,'[1]Définition Maintenances'!$K:$K,0))+BE21),BE21))</f>
        <v>210</v>
      </c>
      <c r="BG21" s="26">
        <f>IF(ISNUMBER(VLOOKUP($D21,'Visu totale'!$D:$DH,BG$1,0)),BF21-VLOOKUP($D21,'Visu totale'!$D:$DH,BG$1,0),IF(LEFT(VLOOKUP($D21,'Visu totale'!$D:$DH,BG$1,0),1)="V",IF(BF21&gt;=INDEX('[1]Définition Maintenances'!$G:$G,MATCH($A21,'[1]Définition Maintenances'!$K:$K,0)),BF21,INDEX('[1]Définition Maintenances'!$G:$G,MATCH($A21,'[1]Définition Maintenances'!$K:$K,0))+BF21),BF21))</f>
        <v>210</v>
      </c>
      <c r="BH21" s="26">
        <f>IF(ISNUMBER(VLOOKUP($D21,'Visu totale'!$D:$DH,BH$1,0)),BG21-VLOOKUP($D21,'Visu totale'!$D:$DH,BH$1,0),IF(LEFT(VLOOKUP($D21,'Visu totale'!$D:$DH,BH$1,0),1)="V",IF(BG21&gt;=INDEX('[1]Définition Maintenances'!$G:$G,MATCH($A21,'[1]Définition Maintenances'!$K:$K,0)),BG21,INDEX('[1]Définition Maintenances'!$G:$G,MATCH($A21,'[1]Définition Maintenances'!$K:$K,0))+BG21),BG21))</f>
        <v>210</v>
      </c>
      <c r="BI21" s="26">
        <f>IF(ISNUMBER(VLOOKUP($D21,'Visu totale'!$D:$DH,BI$1,0)),BH21-VLOOKUP($D21,'Visu totale'!$D:$DH,BI$1,0),IF(LEFT(VLOOKUP($D21,'Visu totale'!$D:$DH,BI$1,0),1)="V",IF(BH21&gt;=INDEX('[1]Définition Maintenances'!$G:$G,MATCH($A21,'[1]Définition Maintenances'!$K:$K,0)),BH21,INDEX('[1]Définition Maintenances'!$G:$G,MATCH($A21,'[1]Définition Maintenances'!$K:$K,0))+BH21),BH21))</f>
        <v>210</v>
      </c>
      <c r="BJ21" s="26">
        <f>IF(ISNUMBER(VLOOKUP($D21,'Visu totale'!$D:$DH,BJ$1,0)),BI21-VLOOKUP($D21,'Visu totale'!$D:$DH,BJ$1,0),IF(LEFT(VLOOKUP($D21,'Visu totale'!$D:$DH,BJ$1,0),1)="V",IF(BI21&gt;=INDEX('[1]Définition Maintenances'!$G:$G,MATCH($A21,'[1]Définition Maintenances'!$K:$K,0)),BI21,INDEX('[1]Définition Maintenances'!$G:$G,MATCH($A21,'[1]Définition Maintenances'!$K:$K,0))+BI21),BI21))</f>
        <v>210</v>
      </c>
      <c r="BK21" s="26">
        <f>IF(ISNUMBER(VLOOKUP($D21,'Visu totale'!$D:$DH,BK$1,0)),BJ21-VLOOKUP($D21,'Visu totale'!$D:$DH,BK$1,0),IF(LEFT(VLOOKUP($D21,'Visu totale'!$D:$DH,BK$1,0),1)="V",IF(BJ21&gt;=INDEX('[1]Définition Maintenances'!$G:$G,MATCH($A21,'[1]Définition Maintenances'!$K:$K,0)),BJ21,INDEX('[1]Définition Maintenances'!$G:$G,MATCH($A21,'[1]Définition Maintenances'!$K:$K,0))+BJ21),BJ21))</f>
        <v>210</v>
      </c>
      <c r="BL21" s="26">
        <f>IF(ISNUMBER(VLOOKUP($D21,'Visu totale'!$D:$DH,BL$1,0)),BK21-VLOOKUP($D21,'Visu totale'!$D:$DH,BL$1,0),IF(LEFT(VLOOKUP($D21,'Visu totale'!$D:$DH,BL$1,0),1)="V",IF(BK21&gt;=INDEX('[1]Définition Maintenances'!$G:$G,MATCH($A21,'[1]Définition Maintenances'!$K:$K,0)),BK21,INDEX('[1]Définition Maintenances'!$G:$G,MATCH($A21,'[1]Définition Maintenances'!$K:$K,0))+BK21),BK21))</f>
        <v>210</v>
      </c>
      <c r="BM21" s="27">
        <f>IF(ISNUMBER(VLOOKUP($D21,'Visu totale'!$D:$DH,BM$1,0)),BL21-VLOOKUP($D21,'Visu totale'!$D:$DH,BM$1,0),IF(LEFT(VLOOKUP($D21,'Visu totale'!$D:$DH,BM$1,0),1)="V",IF(BL21&gt;=INDEX('[1]Définition Maintenances'!$G:$G,MATCH($A21,'[1]Définition Maintenances'!$K:$K,0)),BL21,INDEX('[1]Définition Maintenances'!$G:$G,MATCH($A21,'[1]Définition Maintenances'!$K:$K,0))+BL21),BL21))</f>
        <v>210</v>
      </c>
      <c r="BN21" s="25">
        <f>IF(ISNUMBER(VLOOKUP($D21,'Visu totale'!$D:$DH,BN$1,0)),BM21-VLOOKUP($D21,'Visu totale'!$D:$DH,BN$1,0),IF(LEFT(VLOOKUP($D21,'Visu totale'!$D:$DH,BN$1,0),1)="V",IF(BM21&gt;=INDEX('[1]Définition Maintenances'!$G:$G,MATCH($A21,'[1]Définition Maintenances'!$K:$K,0)),BM21,INDEX('[1]Définition Maintenances'!$G:$G,MATCH($A21,'[1]Définition Maintenances'!$K:$K,0))+BM21),BM21))</f>
        <v>210</v>
      </c>
      <c r="BO21" s="26">
        <f>IF(ISNUMBER(VLOOKUP($D21,'Visu totale'!$D:$DH,BO$1,0)),BN21-VLOOKUP($D21,'Visu totale'!$D:$DH,BO$1,0),IF(LEFT(VLOOKUP($D21,'Visu totale'!$D:$DH,BO$1,0),1)="V",IF(BN21&gt;=INDEX('[1]Définition Maintenances'!$G:$G,MATCH($A21,'[1]Définition Maintenances'!$K:$K,0)),BN21,INDEX('[1]Définition Maintenances'!$G:$G,MATCH($A21,'[1]Définition Maintenances'!$K:$K,0))+BN21),BN21))</f>
        <v>210</v>
      </c>
      <c r="BP21" s="26">
        <f>IF(ISNUMBER(VLOOKUP($D21,'Visu totale'!$D:$DH,BP$1,0)),BO21-VLOOKUP($D21,'Visu totale'!$D:$DH,BP$1,0),IF(LEFT(VLOOKUP($D21,'Visu totale'!$D:$DH,BP$1,0),1)="V",IF(BO21&gt;=INDEX('[1]Définition Maintenances'!$G:$G,MATCH($A21,'[1]Définition Maintenances'!$K:$K,0)),BO21,INDEX('[1]Définition Maintenances'!$G:$G,MATCH($A21,'[1]Définition Maintenances'!$K:$K,0))+BO21),BO21))</f>
        <v>210</v>
      </c>
      <c r="BQ21" s="26">
        <f>IF(ISNUMBER(VLOOKUP($D21,'Visu totale'!$D:$DH,BQ$1,0)),BP21-VLOOKUP($D21,'Visu totale'!$D:$DH,BQ$1,0),IF(LEFT(VLOOKUP($D21,'Visu totale'!$D:$DH,BQ$1,0),1)="V",IF(BP21&gt;=INDEX('[1]Définition Maintenances'!$G:$G,MATCH($A21,'[1]Définition Maintenances'!$K:$K,0)),BP21,INDEX('[1]Définition Maintenances'!$G:$G,MATCH($A21,'[1]Définition Maintenances'!$K:$K,0))+BP21),BP21))</f>
        <v>210</v>
      </c>
      <c r="BR21" s="26">
        <f>IF(ISNUMBER(VLOOKUP($D21,'Visu totale'!$D:$DH,BR$1,0)),BQ21-VLOOKUP($D21,'Visu totale'!$D:$DH,BR$1,0),IF(LEFT(VLOOKUP($D21,'Visu totale'!$D:$DH,BR$1,0),1)="V",IF(BQ21&gt;=INDEX('[1]Définition Maintenances'!$G:$G,MATCH($A21,'[1]Définition Maintenances'!$K:$K,0)),BQ21,INDEX('[1]Définition Maintenances'!$G:$G,MATCH($A21,'[1]Définition Maintenances'!$K:$K,0))+BQ21),BQ21))</f>
        <v>210</v>
      </c>
      <c r="BS21" s="26">
        <f>IF(ISNUMBER(VLOOKUP($D21,'Visu totale'!$D:$DH,BS$1,0)),BR21-VLOOKUP($D21,'Visu totale'!$D:$DH,BS$1,0),IF(LEFT(VLOOKUP($D21,'Visu totale'!$D:$DH,BS$1,0),1)="V",IF(BR21&gt;=INDEX('[1]Définition Maintenances'!$G:$G,MATCH($A21,'[1]Définition Maintenances'!$K:$K,0)),BR21,INDEX('[1]Définition Maintenances'!$G:$G,MATCH($A21,'[1]Définition Maintenances'!$K:$K,0))+BR21),BR21))</f>
        <v>210</v>
      </c>
      <c r="BT21" s="26">
        <f>IF(ISNUMBER(VLOOKUP($D21,'Visu totale'!$D:$DH,BT$1,0)),BS21-VLOOKUP($D21,'Visu totale'!$D:$DH,BT$1,0),IF(LEFT(VLOOKUP($D21,'Visu totale'!$D:$DH,BT$1,0),1)="V",IF(BS21&gt;=INDEX('[1]Définition Maintenances'!$G:$G,MATCH($A21,'[1]Définition Maintenances'!$K:$K,0)),BS21,INDEX('[1]Définition Maintenances'!$G:$G,MATCH($A21,'[1]Définition Maintenances'!$K:$K,0))+BS21),BS21))</f>
        <v>210</v>
      </c>
      <c r="BU21" s="26">
        <f>IF(ISNUMBER(VLOOKUP($D21,'Visu totale'!$D:$DH,BU$1,0)),BT21-VLOOKUP($D21,'Visu totale'!$D:$DH,BU$1,0),IF(LEFT(VLOOKUP($D21,'Visu totale'!$D:$DH,BU$1,0),1)="V",IF(BT21&gt;=INDEX('[1]Définition Maintenances'!$G:$G,MATCH($A21,'[1]Définition Maintenances'!$K:$K,0)),BT21,INDEX('[1]Définition Maintenances'!$G:$G,MATCH($A21,'[1]Définition Maintenances'!$K:$K,0))+BT21),BT21))</f>
        <v>210</v>
      </c>
      <c r="BV21" s="26">
        <f>IF(ISNUMBER(VLOOKUP($D21,'Visu totale'!$D:$DH,BV$1,0)),BU21-VLOOKUP($D21,'Visu totale'!$D:$DH,BV$1,0),IF(LEFT(VLOOKUP($D21,'Visu totale'!$D:$DH,BV$1,0),1)="V",IF(BU21&gt;=INDEX('[1]Définition Maintenances'!$G:$G,MATCH($A21,'[1]Définition Maintenances'!$K:$K,0)),BU21,INDEX('[1]Définition Maintenances'!$G:$G,MATCH($A21,'[1]Définition Maintenances'!$K:$K,0))+BU21),BU21))</f>
        <v>210</v>
      </c>
      <c r="BW21" s="26">
        <f>IF(ISNUMBER(VLOOKUP($D21,'Visu totale'!$D:$DH,BW$1,0)),BV21-VLOOKUP($D21,'Visu totale'!$D:$DH,BW$1,0),IF(LEFT(VLOOKUP($D21,'Visu totale'!$D:$DH,BW$1,0),1)="V",IF(BV21&gt;=INDEX('[1]Définition Maintenances'!$G:$G,MATCH($A21,'[1]Définition Maintenances'!$K:$K,0)),BV21,INDEX('[1]Définition Maintenances'!$G:$G,MATCH($A21,'[1]Définition Maintenances'!$K:$K,0))+BV21),BV21))</f>
        <v>210</v>
      </c>
      <c r="BX21" s="26">
        <f>IF(ISNUMBER(VLOOKUP($D21,'Visu totale'!$D:$DH,BX$1,0)),BW21-VLOOKUP($D21,'Visu totale'!$D:$DH,BX$1,0),IF(LEFT(VLOOKUP($D21,'Visu totale'!$D:$DH,BX$1,0),1)="V",IF(BW21&gt;=INDEX('[1]Définition Maintenances'!$G:$G,MATCH($A21,'[1]Définition Maintenances'!$K:$K,0)),BW21,INDEX('[1]Définition Maintenances'!$G:$G,MATCH($A21,'[1]Définition Maintenances'!$K:$K,0))+BW21),BW21))</f>
        <v>210</v>
      </c>
      <c r="BY21" s="27">
        <f>IF(ISNUMBER(VLOOKUP($D21,'Visu totale'!$D:$DH,BY$1,0)),BX21-VLOOKUP($D21,'Visu totale'!$D:$DH,BY$1,0),IF(LEFT(VLOOKUP($D21,'Visu totale'!$D:$DH,BY$1,0),1)="V",IF(BX21&gt;=INDEX('[1]Définition Maintenances'!$G:$G,MATCH($A21,'[1]Définition Maintenances'!$K:$K,0)),BX21,INDEX('[1]Définition Maintenances'!$G:$G,MATCH($A21,'[1]Définition Maintenances'!$K:$K,0))+BX21),BX21))</f>
        <v>210</v>
      </c>
      <c r="BZ21" s="25">
        <f>IF(ISNUMBER(VLOOKUP($D21,'Visu totale'!$D:$DH,BZ$1,0)),BY21-VLOOKUP($D21,'Visu totale'!$D:$DH,BZ$1,0),IF(LEFT(VLOOKUP($D21,'Visu totale'!$D:$DH,BZ$1,0),1)="V",IF(BY21&gt;=INDEX('[1]Définition Maintenances'!$G:$G,MATCH($A21,'[1]Définition Maintenances'!$K:$K,0)),BY21,INDEX('[1]Définition Maintenances'!$G:$G,MATCH($A21,'[1]Définition Maintenances'!$K:$K,0))+BY21),BY21))</f>
        <v>210</v>
      </c>
      <c r="CA21" s="26">
        <f>IF(ISNUMBER(VLOOKUP($D21,'Visu totale'!$D:$DH,CA$1,0)),BZ21-VLOOKUP($D21,'Visu totale'!$D:$DH,CA$1,0),IF(LEFT(VLOOKUP($D21,'Visu totale'!$D:$DH,CA$1,0),1)="V",IF(BZ21&gt;=INDEX('[1]Définition Maintenances'!$G:$G,MATCH($A21,'[1]Définition Maintenances'!$K:$K,0)),BZ21,INDEX('[1]Définition Maintenances'!$G:$G,MATCH($A21,'[1]Définition Maintenances'!$K:$K,0))+BZ21),BZ21))</f>
        <v>210</v>
      </c>
      <c r="CB21" s="26">
        <f>IF(ISNUMBER(VLOOKUP($D21,'Visu totale'!$D:$DH,CB$1,0)),CA21-VLOOKUP($D21,'Visu totale'!$D:$DH,CB$1,0),IF(LEFT(VLOOKUP($D21,'Visu totale'!$D:$DH,CB$1,0),1)="V",IF(CA21&gt;=INDEX('[1]Définition Maintenances'!$G:$G,MATCH($A21,'[1]Définition Maintenances'!$K:$K,0)),CA21,INDEX('[1]Définition Maintenances'!$G:$G,MATCH($A21,'[1]Définition Maintenances'!$K:$K,0))+CA21),CA21))</f>
        <v>210</v>
      </c>
      <c r="CC21" s="26">
        <f>IF(ISNUMBER(VLOOKUP($D21,'Visu totale'!$D:$DH,CC$1,0)),CB21-VLOOKUP($D21,'Visu totale'!$D:$DH,CC$1,0),IF(LEFT(VLOOKUP($D21,'Visu totale'!$D:$DH,CC$1,0),1)="V",IF(CB21&gt;=INDEX('[1]Définition Maintenances'!$G:$G,MATCH($A21,'[1]Définition Maintenances'!$K:$K,0)),CB21,INDEX('[1]Définition Maintenances'!$G:$G,MATCH($A21,'[1]Définition Maintenances'!$K:$K,0))+CB21),CB21))</f>
        <v>210</v>
      </c>
      <c r="CD21" s="26">
        <f>IF(ISNUMBER(VLOOKUP($D21,'Visu totale'!$D:$DH,CD$1,0)),CC21-VLOOKUP($D21,'Visu totale'!$D:$DH,CD$1,0),IF(LEFT(VLOOKUP($D21,'Visu totale'!$D:$DH,CD$1,0),1)="V",IF(CC21&gt;=INDEX('[1]Définition Maintenances'!$G:$G,MATCH($A21,'[1]Définition Maintenances'!$K:$K,0)),CC21,INDEX('[1]Définition Maintenances'!$G:$G,MATCH($A21,'[1]Définition Maintenances'!$K:$K,0))+CC21),CC21))</f>
        <v>210</v>
      </c>
      <c r="CE21" s="26">
        <f>IF(ISNUMBER(VLOOKUP($D21,'Visu totale'!$D:$DH,CE$1,0)),CD21-VLOOKUP($D21,'Visu totale'!$D:$DH,CE$1,0),IF(LEFT(VLOOKUP($D21,'Visu totale'!$D:$DH,CE$1,0),1)="V",IF(CD21&gt;=INDEX('[1]Définition Maintenances'!$G:$G,MATCH($A21,'[1]Définition Maintenances'!$K:$K,0)),CD21,INDEX('[1]Définition Maintenances'!$G:$G,MATCH($A21,'[1]Définition Maintenances'!$K:$K,0))+CD21),CD21))</f>
        <v>210</v>
      </c>
      <c r="CF21" s="26">
        <f>IF(ISNUMBER(VLOOKUP($D21,'Visu totale'!$D:$DH,CF$1,0)),CE21-VLOOKUP($D21,'Visu totale'!$D:$DH,CF$1,0),IF(LEFT(VLOOKUP($D21,'Visu totale'!$D:$DH,CF$1,0),1)="V",IF(CE21&gt;=INDEX('[1]Définition Maintenances'!$G:$G,MATCH($A21,'[1]Définition Maintenances'!$K:$K,0)),CE21,INDEX('[1]Définition Maintenances'!$G:$G,MATCH($A21,'[1]Définition Maintenances'!$K:$K,0))+CE21),CE21))</f>
        <v>210</v>
      </c>
      <c r="CG21" s="26">
        <f>IF(ISNUMBER(VLOOKUP($D21,'Visu totale'!$D:$DH,CG$1,0)),CF21-VLOOKUP($D21,'Visu totale'!$D:$DH,CG$1,0),IF(LEFT(VLOOKUP($D21,'Visu totale'!$D:$DH,CG$1,0),1)="V",IF(CF21&gt;=INDEX('[1]Définition Maintenances'!$G:$G,MATCH($A21,'[1]Définition Maintenances'!$K:$K,0)),CF21,INDEX('[1]Définition Maintenances'!$G:$G,MATCH($A21,'[1]Définition Maintenances'!$K:$K,0))+CF21),CF21))</f>
        <v>210</v>
      </c>
      <c r="CH21" s="26">
        <f>IF(ISNUMBER(VLOOKUP($D21,'Visu totale'!$D:$DH,CH$1,0)),CG21-VLOOKUP($D21,'Visu totale'!$D:$DH,CH$1,0),IF(LEFT(VLOOKUP($D21,'Visu totale'!$D:$DH,CH$1,0),1)="V",IF(CG21&gt;=INDEX('[1]Définition Maintenances'!$G:$G,MATCH($A21,'[1]Définition Maintenances'!$K:$K,0)),CG21,INDEX('[1]Définition Maintenances'!$G:$G,MATCH($A21,'[1]Définition Maintenances'!$K:$K,0))+CG21),CG21))</f>
        <v>210</v>
      </c>
      <c r="CI21" s="26">
        <f>IF(ISNUMBER(VLOOKUP($D21,'Visu totale'!$D:$DH,CI$1,0)),CH21-VLOOKUP($D21,'Visu totale'!$D:$DH,CI$1,0),IF(LEFT(VLOOKUP($D21,'Visu totale'!$D:$DH,CI$1,0),1)="V",IF(CH21&gt;=INDEX('[1]Définition Maintenances'!$G:$G,MATCH($A21,'[1]Définition Maintenances'!$K:$K,0)),CH21,INDEX('[1]Définition Maintenances'!$G:$G,MATCH($A21,'[1]Définition Maintenances'!$K:$K,0))+CH21),CH21))</f>
        <v>210</v>
      </c>
      <c r="CJ21" s="26">
        <f>IF(ISNUMBER(VLOOKUP($D21,'Visu totale'!$D:$DH,CJ$1,0)),CI21-VLOOKUP($D21,'Visu totale'!$D:$DH,CJ$1,0),IF(LEFT(VLOOKUP($D21,'Visu totale'!$D:$DH,CJ$1,0),1)="V",IF(CI21&gt;=INDEX('[1]Définition Maintenances'!$G:$G,MATCH($A21,'[1]Définition Maintenances'!$K:$K,0)),CI21,INDEX('[1]Définition Maintenances'!$G:$G,MATCH($A21,'[1]Définition Maintenances'!$K:$K,0))+CI21),CI21))</f>
        <v>210</v>
      </c>
      <c r="CK21" s="27">
        <f>IF(ISNUMBER(VLOOKUP($D21,'Visu totale'!$D:$DH,CK$1,0)),CJ21-VLOOKUP($D21,'Visu totale'!$D:$DH,CK$1,0),IF(LEFT(VLOOKUP($D21,'Visu totale'!$D:$DH,CK$1,0),1)="V",IF(CJ21&gt;=INDEX('[1]Définition Maintenances'!$G:$G,MATCH($A21,'[1]Définition Maintenances'!$K:$K,0)),CJ21,INDEX('[1]Définition Maintenances'!$G:$G,MATCH($A21,'[1]Définition Maintenances'!$K:$K,0))+CJ21),CJ21))</f>
        <v>210</v>
      </c>
      <c r="CL21" s="25">
        <f>IF(ISNUMBER(VLOOKUP($D21,'Visu totale'!$D:$DH,CL$1,0)),CK21-VLOOKUP($D21,'Visu totale'!$D:$DH,CL$1,0),IF(LEFT(VLOOKUP($D21,'Visu totale'!$D:$DH,CL$1,0),1)="V",IF(CK21&gt;=INDEX('[1]Définition Maintenances'!$G:$G,MATCH($A21,'[1]Définition Maintenances'!$K:$K,0)),CK21,INDEX('[1]Définition Maintenances'!$G:$G,MATCH($A21,'[1]Définition Maintenances'!$K:$K,0))+CK21),CK21))</f>
        <v>210</v>
      </c>
      <c r="CM21" s="26">
        <f>IF(ISNUMBER(VLOOKUP($D21,'Visu totale'!$D:$DH,CM$1,0)),CL21-VLOOKUP($D21,'Visu totale'!$D:$DH,CM$1,0),IF(LEFT(VLOOKUP($D21,'Visu totale'!$D:$DH,CM$1,0),1)="V",IF(CL21&gt;=INDEX('[1]Définition Maintenances'!$G:$G,MATCH($A21,'[1]Définition Maintenances'!$K:$K,0)),CL21,INDEX('[1]Définition Maintenances'!$G:$G,MATCH($A21,'[1]Définition Maintenances'!$K:$K,0))+CL21),CL21))</f>
        <v>210</v>
      </c>
      <c r="CN21" s="26">
        <f>IF(ISNUMBER(VLOOKUP($D21,'Visu totale'!$D:$DH,CN$1,0)),CM21-VLOOKUP($D21,'Visu totale'!$D:$DH,CN$1,0),IF(LEFT(VLOOKUP($D21,'Visu totale'!$D:$DH,CN$1,0),1)="V",IF(CM21&gt;=INDEX('[1]Définition Maintenances'!$G:$G,MATCH($A21,'[1]Définition Maintenances'!$K:$K,0)),CM21,INDEX('[1]Définition Maintenances'!$G:$G,MATCH($A21,'[1]Définition Maintenances'!$K:$K,0))+CM21),CM21))</f>
        <v>210</v>
      </c>
      <c r="CO21" s="26">
        <f>IF(ISNUMBER(VLOOKUP($D21,'Visu totale'!$D:$DH,CO$1,0)),CN21-VLOOKUP($D21,'Visu totale'!$D:$DH,CO$1,0),IF(LEFT(VLOOKUP($D21,'Visu totale'!$D:$DH,CO$1,0),1)="V",IF(CN21&gt;=INDEX('[1]Définition Maintenances'!$G:$G,MATCH($A21,'[1]Définition Maintenances'!$K:$K,0)),CN21,INDEX('[1]Définition Maintenances'!$G:$G,MATCH($A21,'[1]Définition Maintenances'!$K:$K,0))+CN21),CN21))</f>
        <v>210</v>
      </c>
      <c r="CP21" s="26">
        <f>IF(ISNUMBER(VLOOKUP($D21,'Visu totale'!$D:$DH,CP$1,0)),CO21-VLOOKUP($D21,'Visu totale'!$D:$DH,CP$1,0),IF(LEFT(VLOOKUP($D21,'Visu totale'!$D:$DH,CP$1,0),1)="V",IF(CO21&gt;=INDEX('[1]Définition Maintenances'!$G:$G,MATCH($A21,'[1]Définition Maintenances'!$K:$K,0)),CO21,INDEX('[1]Définition Maintenances'!$G:$G,MATCH($A21,'[1]Définition Maintenances'!$K:$K,0))+CO21),CO21))</f>
        <v>210</v>
      </c>
      <c r="CQ21" s="26">
        <f>IF(ISNUMBER(VLOOKUP($D21,'Visu totale'!$D:$DH,CQ$1,0)),CP21-VLOOKUP($D21,'Visu totale'!$D:$DH,CQ$1,0),IF(LEFT(VLOOKUP($D21,'Visu totale'!$D:$DH,CQ$1,0),1)="V",IF(CP21&gt;=INDEX('[1]Définition Maintenances'!$G:$G,MATCH($A21,'[1]Définition Maintenances'!$K:$K,0)),CP21,INDEX('[1]Définition Maintenances'!$G:$G,MATCH($A21,'[1]Définition Maintenances'!$K:$K,0))+CP21),CP21))</f>
        <v>210</v>
      </c>
      <c r="CR21" s="26">
        <f>IF(ISNUMBER(VLOOKUP($D21,'Visu totale'!$D:$DH,CR$1,0)),CQ21-VLOOKUP($D21,'Visu totale'!$D:$DH,CR$1,0),IF(LEFT(VLOOKUP($D21,'Visu totale'!$D:$DH,CR$1,0),1)="V",IF(CQ21&gt;=INDEX('[1]Définition Maintenances'!$G:$G,MATCH($A21,'[1]Définition Maintenances'!$K:$K,0)),CQ21,INDEX('[1]Définition Maintenances'!$G:$G,MATCH($A21,'[1]Définition Maintenances'!$K:$K,0))+CQ21),CQ21))</f>
        <v>210</v>
      </c>
      <c r="CS21" s="26">
        <f>IF(ISNUMBER(VLOOKUP($D21,'Visu totale'!$D:$DH,CS$1,0)),CR21-VLOOKUP($D21,'Visu totale'!$D:$DH,CS$1,0),IF(LEFT(VLOOKUP($D21,'Visu totale'!$D:$DH,CS$1,0),1)="V",IF(CR21&gt;=INDEX('[1]Définition Maintenances'!$G:$G,MATCH($A21,'[1]Définition Maintenances'!$K:$K,0)),CR21,INDEX('[1]Définition Maintenances'!$G:$G,MATCH($A21,'[1]Définition Maintenances'!$K:$K,0))+CR21),CR21))</f>
        <v>210</v>
      </c>
      <c r="CT21" s="26">
        <f>IF(ISNUMBER(VLOOKUP($D21,'Visu totale'!$D:$DH,CT$1,0)),CS21-VLOOKUP($D21,'Visu totale'!$D:$DH,CT$1,0),IF(LEFT(VLOOKUP($D21,'Visu totale'!$D:$DH,CT$1,0),1)="V",IF(CS21&gt;=INDEX('[1]Définition Maintenances'!$G:$G,MATCH($A21,'[1]Définition Maintenances'!$K:$K,0)),CS21,INDEX('[1]Définition Maintenances'!$G:$G,MATCH($A21,'[1]Définition Maintenances'!$K:$K,0))+CS21),CS21))</f>
        <v>210</v>
      </c>
      <c r="CU21" s="26">
        <f>IF(ISNUMBER(VLOOKUP($D21,'Visu totale'!$D:$DH,CU$1,0)),CT21-VLOOKUP($D21,'Visu totale'!$D:$DH,CU$1,0),IF(LEFT(VLOOKUP($D21,'Visu totale'!$D:$DH,CU$1,0),1)="V",IF(CT21&gt;=INDEX('[1]Définition Maintenances'!$G:$G,MATCH($A21,'[1]Définition Maintenances'!$K:$K,0)),CT21,INDEX('[1]Définition Maintenances'!$G:$G,MATCH($A21,'[1]Définition Maintenances'!$K:$K,0))+CT21),CT21))</f>
        <v>210</v>
      </c>
      <c r="CV21" s="26">
        <f>IF(ISNUMBER(VLOOKUP($D21,'Visu totale'!$D:$DH,CV$1,0)),CU21-VLOOKUP($D21,'Visu totale'!$D:$DH,CV$1,0),IF(LEFT(VLOOKUP($D21,'Visu totale'!$D:$DH,CV$1,0),1)="V",IF(CU21&gt;=INDEX('[1]Définition Maintenances'!$G:$G,MATCH($A21,'[1]Définition Maintenances'!$K:$K,0)),CU21,INDEX('[1]Définition Maintenances'!$G:$G,MATCH($A21,'[1]Définition Maintenances'!$K:$K,0))+CU21),CU21))</f>
        <v>210</v>
      </c>
      <c r="CW21" s="27">
        <f>IF(ISNUMBER(VLOOKUP($D21,'Visu totale'!$D:$DH,CW$1,0)),CV21-VLOOKUP($D21,'Visu totale'!$D:$DH,CW$1,0),IF(LEFT(VLOOKUP($D21,'Visu totale'!$D:$DH,CW$1,0),1)="V",IF(CV21&gt;=INDEX('[1]Définition Maintenances'!$G:$G,MATCH($A21,'[1]Définition Maintenances'!$K:$K,0)),CV21,INDEX('[1]Définition Maintenances'!$G:$G,MATCH($A21,'[1]Définition Maintenances'!$K:$K,0))+CV21),CV21))</f>
        <v>210</v>
      </c>
      <c r="CX21" s="25">
        <f>IF(ISNUMBER(VLOOKUP($D21,'Visu totale'!$D:$DH,CX$1,0)),CW21-VLOOKUP($D21,'Visu totale'!$D:$DH,CX$1,0),IF(LEFT(VLOOKUP($D21,'Visu totale'!$D:$DH,CX$1,0),1)="V",IF(CW21&gt;=INDEX('[1]Définition Maintenances'!$G:$G,MATCH($A21,'[1]Définition Maintenances'!$K:$K,0)),CW21,INDEX('[1]Définition Maintenances'!$G:$G,MATCH($A21,'[1]Définition Maintenances'!$K:$K,0))+CW21),CW21))</f>
        <v>210</v>
      </c>
      <c r="CY21" s="26">
        <f>IF(ISNUMBER(VLOOKUP($D21,'Visu totale'!$D:$DH,CY$1,0)),CX21-VLOOKUP($D21,'Visu totale'!$D:$DH,CY$1,0),IF(LEFT(VLOOKUP($D21,'Visu totale'!$D:$DH,CY$1,0),1)="V",IF(CX21&gt;=INDEX('[1]Définition Maintenances'!$G:$G,MATCH($A21,'[1]Définition Maintenances'!$K:$K,0)),CX21,INDEX('[1]Définition Maintenances'!$G:$G,MATCH($A21,'[1]Définition Maintenances'!$K:$K,0))+CX21),CX21))</f>
        <v>210</v>
      </c>
      <c r="CZ21" s="26">
        <f>IF(ISNUMBER(VLOOKUP($D21,'Visu totale'!$D:$DH,CZ$1,0)),CY21-VLOOKUP($D21,'Visu totale'!$D:$DH,CZ$1,0),IF(LEFT(VLOOKUP($D21,'Visu totale'!$D:$DH,CZ$1,0),1)="V",IF(CY21&gt;=INDEX('[1]Définition Maintenances'!$G:$G,MATCH($A21,'[1]Définition Maintenances'!$K:$K,0)),CY21,INDEX('[1]Définition Maintenances'!$G:$G,MATCH($A21,'[1]Définition Maintenances'!$K:$K,0))+CY21),CY21))</f>
        <v>210</v>
      </c>
      <c r="DA21" s="26">
        <f>IF(ISNUMBER(VLOOKUP($D21,'Visu totale'!$D:$DH,DA$1,0)),CZ21-VLOOKUP($D21,'Visu totale'!$D:$DH,DA$1,0),IF(LEFT(VLOOKUP($D21,'Visu totale'!$D:$DH,DA$1,0),1)="V",IF(CZ21&gt;=INDEX('[1]Définition Maintenances'!$G:$G,MATCH($A21,'[1]Définition Maintenances'!$K:$K,0)),CZ21,INDEX('[1]Définition Maintenances'!$G:$G,MATCH($A21,'[1]Définition Maintenances'!$K:$K,0))+CZ21),CZ21))</f>
        <v>210</v>
      </c>
      <c r="DB21" s="26">
        <f>IF(ISNUMBER(VLOOKUP($D21,'Visu totale'!$D:$DH,DB$1,0)),DA21-VLOOKUP($D21,'Visu totale'!$D:$DH,DB$1,0),IF(LEFT(VLOOKUP($D21,'Visu totale'!$D:$DH,DB$1,0),1)="V",IF(DA21&gt;=INDEX('[1]Définition Maintenances'!$G:$G,MATCH($A21,'[1]Définition Maintenances'!$K:$K,0)),DA21,INDEX('[1]Définition Maintenances'!$G:$G,MATCH($A21,'[1]Définition Maintenances'!$K:$K,0))+DA21),DA21))</f>
        <v>210</v>
      </c>
      <c r="DC21" s="26">
        <f>IF(ISNUMBER(VLOOKUP($D21,'Visu totale'!$D:$DH,DC$1,0)),DB21-VLOOKUP($D21,'Visu totale'!$D:$DH,DC$1,0),IF(LEFT(VLOOKUP($D21,'Visu totale'!$D:$DH,DC$1,0),1)="V",IF(DB21&gt;=INDEX('[1]Définition Maintenances'!$G:$G,MATCH($A21,'[1]Définition Maintenances'!$K:$K,0)),DB21,INDEX('[1]Définition Maintenances'!$G:$G,MATCH($A21,'[1]Définition Maintenances'!$K:$K,0))+DB21),DB21))</f>
        <v>210</v>
      </c>
      <c r="DD21" s="26">
        <f>IF(ISNUMBER(VLOOKUP($D21,'Visu totale'!$D:$DH,DD$1,0)),DC21-VLOOKUP($D21,'Visu totale'!$D:$DH,DD$1,0),IF(LEFT(VLOOKUP($D21,'Visu totale'!$D:$DH,DD$1,0),1)="V",IF(DC21&gt;=INDEX('[1]Définition Maintenances'!$G:$G,MATCH($A21,'[1]Définition Maintenances'!$K:$K,0)),DC21,INDEX('[1]Définition Maintenances'!$G:$G,MATCH($A21,'[1]Définition Maintenances'!$K:$K,0))+DC21),DC21))</f>
        <v>210</v>
      </c>
      <c r="DE21" s="26">
        <f>IF(ISNUMBER(VLOOKUP($D21,'Visu totale'!$D:$DH,DE$1,0)),DD21-VLOOKUP($D21,'Visu totale'!$D:$DH,DE$1,0),IF(LEFT(VLOOKUP($D21,'Visu totale'!$D:$DH,DE$1,0),1)="V",IF(DD21&gt;=INDEX('[1]Définition Maintenances'!$G:$G,MATCH($A21,'[1]Définition Maintenances'!$K:$K,0)),DD21,INDEX('[1]Définition Maintenances'!$G:$G,MATCH($A21,'[1]Définition Maintenances'!$K:$K,0))+DD21),DD21))</f>
        <v>210</v>
      </c>
      <c r="DF21" s="26">
        <f>IF(ISNUMBER(VLOOKUP($D21,'Visu totale'!$D:$DH,DF$1,0)),DE21-VLOOKUP($D21,'Visu totale'!$D:$DH,DF$1,0),IF(LEFT(VLOOKUP($D21,'Visu totale'!$D:$DH,DF$1,0),1)="V",IF(DE21&gt;=INDEX('[1]Définition Maintenances'!$G:$G,MATCH($A21,'[1]Définition Maintenances'!$K:$K,0)),DE21,INDEX('[1]Définition Maintenances'!$G:$G,MATCH($A21,'[1]Définition Maintenances'!$K:$K,0))+DE21),DE21))</f>
        <v>210</v>
      </c>
      <c r="DG21" s="26">
        <f>IF(ISNUMBER(VLOOKUP($D21,'Visu totale'!$D:$DH,DG$1,0)),DF21-VLOOKUP($D21,'Visu totale'!$D:$DH,DG$1,0),IF(LEFT(VLOOKUP($D21,'Visu totale'!$D:$DH,DG$1,0),1)="V",IF(DF21&gt;=INDEX('[1]Définition Maintenances'!$G:$G,MATCH($A21,'[1]Définition Maintenances'!$K:$K,0)),DF21,INDEX('[1]Définition Maintenances'!$G:$G,MATCH($A21,'[1]Définition Maintenances'!$K:$K,0))+DF21),DF21))</f>
        <v>210</v>
      </c>
      <c r="DH21" s="26">
        <f>IF(ISNUMBER(VLOOKUP($D21,'Visu totale'!$D:$DH,DH$1,0)),DG21-VLOOKUP($D21,'Visu totale'!$D:$DH,DH$1,0),IF(LEFT(VLOOKUP($D21,'Visu totale'!$D:$DH,DH$1,0),1)="V",IF(DG21&gt;=INDEX('[1]Définition Maintenances'!$G:$G,MATCH($A21,'[1]Définition Maintenances'!$K:$K,0)),DG21,INDEX('[1]Définition Maintenances'!$G:$G,MATCH($A21,'[1]Définition Maintenances'!$K:$K,0))+DG21),DG21))</f>
        <v>210</v>
      </c>
      <c r="DI21" s="27">
        <f>IF(ISNUMBER(VLOOKUP($D21,'Visu totale'!$D:$DH,DI$1,0)),DH21-VLOOKUP($D21,'Visu totale'!$D:$DH,DI$1,0),IF(LEFT(VLOOKUP($D21,'Visu totale'!$D:$DH,DI$1,0),1)="V",IF(DH21&gt;=INDEX('[1]Définition Maintenances'!$G:$G,MATCH($A21,'[1]Définition Maintenances'!$K:$K,0)),DH21,INDEX('[1]Définition Maintenances'!$G:$G,MATCH($A21,'[1]Définition Maintenances'!$K:$K,0))+DH21),DH21))</f>
        <v>210</v>
      </c>
    </row>
    <row r="22" spans="1:113" x14ac:dyDescent="0.25">
      <c r="A22" s="13" t="str">
        <f t="shared" si="0"/>
        <v>V10D</v>
      </c>
      <c r="B22" s="13" t="str">
        <f>VLOOKUP(D22,'[1]Avions (Potentiels)'!$B$2:$H$128,7,FALSE)</f>
        <v>V10</v>
      </c>
      <c r="C22" s="13"/>
      <c r="D22" s="16" t="s">
        <v>25</v>
      </c>
      <c r="E22" s="13">
        <f>IFERROR(VALUE(SUBSTITUTE(VLOOKUP(D22,'[1]Avions (Potentiels)'!$B:$E,4,0),".",",")),VALUE(VLOOKUP(D22,'[1]Avions (Potentiels)'!$B:$E,4,0)))</f>
        <v>242</v>
      </c>
      <c r="F22" s="25">
        <f>IF(ISNUMBER(VLOOKUP($D22,'Visu totale'!$D:$DH,F$1,0)),E22-VLOOKUP($D22,'Visu totale'!$D:$DH,F$1,0),IF(LEFT(VLOOKUP($D22,'Visu totale'!$D:$DH,F$1,0),1)="V",IF(E22&gt;=INDEX('[1]Définition Maintenances'!$G:$G,MATCH($A22,'[1]Définition Maintenances'!$K:$K,0)),E22,INDEX('[1]Définition Maintenances'!$G:$G,MATCH($A22,'[1]Définition Maintenances'!$K:$K,0))+E22),E22))</f>
        <v>242</v>
      </c>
      <c r="G22" s="26">
        <f>IF(ISNUMBER(VLOOKUP($D22,'Visu totale'!$D:$DH,G$1,0)),F22-VLOOKUP($D22,'Visu totale'!$D:$DH,G$1,0),IF(LEFT(VLOOKUP($D22,'Visu totale'!$D:$DH,G$1,0),1)="V",IF(F22&gt;=INDEX('[1]Définition Maintenances'!$G:$G,MATCH($A22,'[1]Définition Maintenances'!$K:$K,0)),F22,INDEX('[1]Définition Maintenances'!$G:$G,MATCH($A22,'[1]Définition Maintenances'!$K:$K,0))+F22),F22))</f>
        <v>242</v>
      </c>
      <c r="H22" s="26">
        <f>IF(ISNUMBER(VLOOKUP($D22,'Visu totale'!$D:$DH,H$1,0)),G22-VLOOKUP($D22,'Visu totale'!$D:$DH,H$1,0),IF(LEFT(VLOOKUP($D22,'Visu totale'!$D:$DH,H$1,0),1)="V",IF(G22&gt;=INDEX('[1]Définition Maintenances'!$G:$G,MATCH($A22,'[1]Définition Maintenances'!$K:$K,0)),G22,INDEX('[1]Définition Maintenances'!$G:$G,MATCH($A22,'[1]Définition Maintenances'!$K:$K,0))+G22),G22))</f>
        <v>242</v>
      </c>
      <c r="I22" s="26">
        <f>IF(ISNUMBER(VLOOKUP($D22,'Visu totale'!$D:$DH,I$1,0)),H22-VLOOKUP($D22,'Visu totale'!$D:$DH,I$1,0),IF(LEFT(VLOOKUP($D22,'Visu totale'!$D:$DH,I$1,0),1)="V",IF(H22&gt;=INDEX('[1]Définition Maintenances'!$G:$G,MATCH($A22,'[1]Définition Maintenances'!$K:$K,0)),H22,INDEX('[1]Définition Maintenances'!$G:$G,MATCH($A22,'[1]Définition Maintenances'!$K:$K,0))+H22),H22))</f>
        <v>242</v>
      </c>
      <c r="J22" s="26">
        <f>IF(ISNUMBER(VLOOKUP($D22,'Visu totale'!$D:$DH,J$1,0)),I22-VLOOKUP($D22,'Visu totale'!$D:$DH,J$1,0),IF(LEFT(VLOOKUP($D22,'Visu totale'!$D:$DH,J$1,0),1)="V",IF(I22&gt;=INDEX('[1]Définition Maintenances'!$G:$G,MATCH($A22,'[1]Définition Maintenances'!$K:$K,0)),I22,INDEX('[1]Définition Maintenances'!$G:$G,MATCH($A22,'[1]Définition Maintenances'!$K:$K,0))+I22),I22))</f>
        <v>242</v>
      </c>
      <c r="K22" s="26">
        <f>IF(ISNUMBER(VLOOKUP($D22,'Visu totale'!$D:$DH,K$1,0)),J22-VLOOKUP($D22,'Visu totale'!$D:$DH,K$1,0),IF(LEFT(VLOOKUP($D22,'Visu totale'!$D:$DH,K$1,0),1)="V",IF(J22&gt;=INDEX('[1]Définition Maintenances'!$G:$G,MATCH($A22,'[1]Définition Maintenances'!$K:$K,0)),J22,INDEX('[1]Définition Maintenances'!$G:$G,MATCH($A22,'[1]Définition Maintenances'!$K:$K,0))+J22),J22))</f>
        <v>242</v>
      </c>
      <c r="L22" s="26">
        <f>IF(ISNUMBER(VLOOKUP($D22,'Visu totale'!$D:$DH,L$1,0)),K22-VLOOKUP($D22,'Visu totale'!$D:$DH,L$1,0),IF(LEFT(VLOOKUP($D22,'Visu totale'!$D:$DH,L$1,0),1)="V",IF(K22&gt;=INDEX('[1]Définition Maintenances'!$G:$G,MATCH($A22,'[1]Définition Maintenances'!$K:$K,0)),K22,INDEX('[1]Définition Maintenances'!$G:$G,MATCH($A22,'[1]Définition Maintenances'!$K:$K,0))+K22),K22))</f>
        <v>242</v>
      </c>
      <c r="M22" s="26">
        <f>IF(ISNUMBER(VLOOKUP($D22,'Visu totale'!$D:$DH,M$1,0)),L22-VLOOKUP($D22,'Visu totale'!$D:$DH,M$1,0),IF(LEFT(VLOOKUP($D22,'Visu totale'!$D:$DH,M$1,0),1)="V",IF(L22&gt;=INDEX('[1]Définition Maintenances'!$G:$G,MATCH($A22,'[1]Définition Maintenances'!$K:$K,0)),L22,INDEX('[1]Définition Maintenances'!$G:$G,MATCH($A22,'[1]Définition Maintenances'!$K:$K,0))+L22),L22))</f>
        <v>242</v>
      </c>
      <c r="N22" s="26">
        <f>IF(ISNUMBER(VLOOKUP($D22,'Visu totale'!$D:$DH,N$1,0)),M22-VLOOKUP($D22,'Visu totale'!$D:$DH,N$1,0),IF(LEFT(VLOOKUP($D22,'Visu totale'!$D:$DH,N$1,0),1)="V",IF(M22&gt;=INDEX('[1]Définition Maintenances'!$G:$G,MATCH($A22,'[1]Définition Maintenances'!$K:$K,0)),M22,INDEX('[1]Définition Maintenances'!$G:$G,MATCH($A22,'[1]Définition Maintenances'!$K:$K,0))+M22),M22))</f>
        <v>242</v>
      </c>
      <c r="O22" s="26">
        <f>IF(ISNUMBER(VLOOKUP($D22,'Visu totale'!$D:$DH,O$1,0)),N22-VLOOKUP($D22,'Visu totale'!$D:$DH,O$1,0),IF(LEFT(VLOOKUP($D22,'Visu totale'!$D:$DH,O$1,0),1)="V",IF(N22&gt;=INDEX('[1]Définition Maintenances'!$G:$G,MATCH($A22,'[1]Définition Maintenances'!$K:$K,0)),N22,INDEX('[1]Définition Maintenances'!$G:$G,MATCH($A22,'[1]Définition Maintenances'!$K:$K,0))+N22),N22))</f>
        <v>242</v>
      </c>
      <c r="P22" s="26">
        <f>IF(ISNUMBER(VLOOKUP($D22,'Visu totale'!$D:$DH,P$1,0)),O22-VLOOKUP($D22,'Visu totale'!$D:$DH,P$1,0),IF(LEFT(VLOOKUP($D22,'Visu totale'!$D:$DH,P$1,0),1)="V",IF(O22&gt;=INDEX('[1]Définition Maintenances'!$G:$G,MATCH($A22,'[1]Définition Maintenances'!$K:$K,0)),O22,INDEX('[1]Définition Maintenances'!$G:$G,MATCH($A22,'[1]Définition Maintenances'!$K:$K,0))+O22),O22))</f>
        <v>242</v>
      </c>
      <c r="Q22" s="27">
        <f>IF(ISNUMBER(VLOOKUP($D22,'Visu totale'!$D:$DH,Q$1,0)),P22-VLOOKUP($D22,'Visu totale'!$D:$DH,Q$1,0),IF(LEFT(VLOOKUP($D22,'Visu totale'!$D:$DH,Q$1,0),1)="V",IF(P22&gt;=INDEX('[1]Définition Maintenances'!$G:$G,MATCH($A22,'[1]Définition Maintenances'!$K:$K,0)),P22,INDEX('[1]Définition Maintenances'!$G:$G,MATCH($A22,'[1]Définition Maintenances'!$K:$K,0))+P22),P22))</f>
        <v>242</v>
      </c>
      <c r="R22" s="25">
        <f>IF(ISNUMBER(VLOOKUP($D22,'Visu totale'!$D:$DH,R$1,0)),Q22-VLOOKUP($D22,'Visu totale'!$D:$DH,R$1,0),IF(LEFT(VLOOKUP($D22,'Visu totale'!$D:$DH,R$1,0),1)="V",IF(Q22&gt;=INDEX('[1]Définition Maintenances'!$G:$G,MATCH($A22,'[1]Définition Maintenances'!$K:$K,0)),Q22,INDEX('[1]Définition Maintenances'!$G:$G,MATCH($A22,'[1]Définition Maintenances'!$K:$K,0))+Q22),Q22))</f>
        <v>242</v>
      </c>
      <c r="S22" s="26">
        <f>IF(ISNUMBER(VLOOKUP($D22,'Visu totale'!$D:$DH,S$1,0)),R22-VLOOKUP($D22,'Visu totale'!$D:$DH,S$1,0),IF(LEFT(VLOOKUP($D22,'Visu totale'!$D:$DH,S$1,0),1)="V",IF(R22&gt;=INDEX('[1]Définition Maintenances'!$G:$G,MATCH($A22,'[1]Définition Maintenances'!$K:$K,0)),R22,INDEX('[1]Définition Maintenances'!$G:$G,MATCH($A22,'[1]Définition Maintenances'!$K:$K,0))+R22),R22))</f>
        <v>242</v>
      </c>
      <c r="T22" s="26">
        <f>IF(ISNUMBER(VLOOKUP($D22,'Visu totale'!$D:$DH,T$1,0)),S22-VLOOKUP($D22,'Visu totale'!$D:$DH,T$1,0),IF(LEFT(VLOOKUP($D22,'Visu totale'!$D:$DH,T$1,0),1)="V",IF(S22&gt;=INDEX('[1]Définition Maintenances'!$G:$G,MATCH($A22,'[1]Définition Maintenances'!$K:$K,0)),S22,INDEX('[1]Définition Maintenances'!$G:$G,MATCH($A22,'[1]Définition Maintenances'!$K:$K,0))+S22),S22))</f>
        <v>242</v>
      </c>
      <c r="U22" s="26">
        <f>IF(ISNUMBER(VLOOKUP($D22,'Visu totale'!$D:$DH,U$1,0)),T22-VLOOKUP($D22,'Visu totale'!$D:$DH,U$1,0),IF(LEFT(VLOOKUP($D22,'Visu totale'!$D:$DH,U$1,0),1)="V",IF(T22&gt;=INDEX('[1]Définition Maintenances'!$G:$G,MATCH($A22,'[1]Définition Maintenances'!$K:$K,0)),T22,INDEX('[1]Définition Maintenances'!$G:$G,MATCH($A22,'[1]Définition Maintenances'!$K:$K,0))+T22),T22))</f>
        <v>242</v>
      </c>
      <c r="V22" s="26">
        <f>IF(ISNUMBER(VLOOKUP($D22,'Visu totale'!$D:$DH,V$1,0)),U22-VLOOKUP($D22,'Visu totale'!$D:$DH,V$1,0),IF(LEFT(VLOOKUP($D22,'Visu totale'!$D:$DH,V$1,0),1)="V",IF(U22&gt;=INDEX('[1]Définition Maintenances'!$G:$G,MATCH($A22,'[1]Définition Maintenances'!$K:$K,0)),U22,INDEX('[1]Définition Maintenances'!$G:$G,MATCH($A22,'[1]Définition Maintenances'!$K:$K,0))+U22),U22))</f>
        <v>242</v>
      </c>
      <c r="W22" s="26">
        <f>IF(ISNUMBER(VLOOKUP($D22,'Visu totale'!$D:$DH,W$1,0)),V22-VLOOKUP($D22,'Visu totale'!$D:$DH,W$1,0),IF(LEFT(VLOOKUP($D22,'Visu totale'!$D:$DH,W$1,0),1)="V",IF(V22&gt;=INDEX('[1]Définition Maintenances'!$G:$G,MATCH($A22,'[1]Définition Maintenances'!$K:$K,0)),V22,INDEX('[1]Définition Maintenances'!$G:$G,MATCH($A22,'[1]Définition Maintenances'!$K:$K,0))+V22),V22))</f>
        <v>242</v>
      </c>
      <c r="X22" s="26">
        <f>IF(ISNUMBER(VLOOKUP($D22,'Visu totale'!$D:$DH,X$1,0)),W22-VLOOKUP($D22,'Visu totale'!$D:$DH,X$1,0),IF(LEFT(VLOOKUP($D22,'Visu totale'!$D:$DH,X$1,0),1)="V",IF(W22&gt;=INDEX('[1]Définition Maintenances'!$G:$G,MATCH($A22,'[1]Définition Maintenances'!$K:$K,0)),W22,INDEX('[1]Définition Maintenances'!$G:$G,MATCH($A22,'[1]Définition Maintenances'!$K:$K,0))+W22),W22))</f>
        <v>242</v>
      </c>
      <c r="Y22" s="26">
        <f>IF(ISNUMBER(VLOOKUP($D22,'Visu totale'!$D:$DH,Y$1,0)),X22-VLOOKUP($D22,'Visu totale'!$D:$DH,Y$1,0),IF(LEFT(VLOOKUP($D22,'Visu totale'!$D:$DH,Y$1,0),1)="V",IF(X22&gt;=INDEX('[1]Définition Maintenances'!$G:$G,MATCH($A22,'[1]Définition Maintenances'!$K:$K,0)),X22,INDEX('[1]Définition Maintenances'!$G:$G,MATCH($A22,'[1]Définition Maintenances'!$K:$K,0))+X22),X22))</f>
        <v>242</v>
      </c>
      <c r="Z22" s="26">
        <f>IF(ISNUMBER(VLOOKUP($D22,'Visu totale'!$D:$DH,Z$1,0)),Y22-VLOOKUP($D22,'Visu totale'!$D:$DH,Z$1,0),IF(LEFT(VLOOKUP($D22,'Visu totale'!$D:$DH,Z$1,0),1)="V",IF(Y22&gt;=INDEX('[1]Définition Maintenances'!$G:$G,MATCH($A22,'[1]Définition Maintenances'!$K:$K,0)),Y22,INDEX('[1]Définition Maintenances'!$G:$G,MATCH($A22,'[1]Définition Maintenances'!$K:$K,0))+Y22),Y22))</f>
        <v>242</v>
      </c>
      <c r="AA22" s="26">
        <f>IF(ISNUMBER(VLOOKUP($D22,'Visu totale'!$D:$DH,AA$1,0)),Z22-VLOOKUP($D22,'Visu totale'!$D:$DH,AA$1,0),IF(LEFT(VLOOKUP($D22,'Visu totale'!$D:$DH,AA$1,0),1)="V",IF(Z22&gt;=INDEX('[1]Définition Maintenances'!$G:$G,MATCH($A22,'[1]Définition Maintenances'!$K:$K,0)),Z22,INDEX('[1]Définition Maintenances'!$G:$G,MATCH($A22,'[1]Définition Maintenances'!$K:$K,0))+Z22),Z22))</f>
        <v>242</v>
      </c>
      <c r="AB22" s="26">
        <f>IF(ISNUMBER(VLOOKUP($D22,'Visu totale'!$D:$DH,AB$1,0)),AA22-VLOOKUP($D22,'Visu totale'!$D:$DH,AB$1,0),IF(LEFT(VLOOKUP($D22,'Visu totale'!$D:$DH,AB$1,0),1)="V",IF(AA22&gt;=INDEX('[1]Définition Maintenances'!$G:$G,MATCH($A22,'[1]Définition Maintenances'!$K:$K,0)),AA22,INDEX('[1]Définition Maintenances'!$G:$G,MATCH($A22,'[1]Définition Maintenances'!$K:$K,0))+AA22),AA22))</f>
        <v>242</v>
      </c>
      <c r="AC22" s="27">
        <f>IF(ISNUMBER(VLOOKUP($D22,'Visu totale'!$D:$DH,AC$1,0)),AB22-VLOOKUP($D22,'Visu totale'!$D:$DH,AC$1,0),IF(LEFT(VLOOKUP($D22,'Visu totale'!$D:$DH,AC$1,0),1)="V",IF(AB22&gt;=INDEX('[1]Définition Maintenances'!$G:$G,MATCH($A22,'[1]Définition Maintenances'!$K:$K,0)),AB22,INDEX('[1]Définition Maintenances'!$G:$G,MATCH($A22,'[1]Définition Maintenances'!$K:$K,0))+AB22),AB22))</f>
        <v>242</v>
      </c>
      <c r="AD22" s="25">
        <f>IF(ISNUMBER(VLOOKUP($D22,'Visu totale'!$D:$DH,AD$1,0)),AC22-VLOOKUP($D22,'Visu totale'!$D:$DH,AD$1,0),IF(LEFT(VLOOKUP($D22,'Visu totale'!$D:$DH,AD$1,0),1)="V",IF(AC22&gt;=INDEX('[1]Définition Maintenances'!$G:$G,MATCH($A22,'[1]Définition Maintenances'!$K:$K,0)),AC22,INDEX('[1]Définition Maintenances'!$G:$G,MATCH($A22,'[1]Définition Maintenances'!$K:$K,0))+AC22),AC22))</f>
        <v>242</v>
      </c>
      <c r="AE22" s="26">
        <f>IF(ISNUMBER(VLOOKUP($D22,'Visu totale'!$D:$DH,AE$1,0)),AD22-VLOOKUP($D22,'Visu totale'!$D:$DH,AE$1,0),IF(LEFT(VLOOKUP($D22,'Visu totale'!$D:$DH,AE$1,0),1)="V",IF(AD22&gt;=INDEX('[1]Définition Maintenances'!$G:$G,MATCH($A22,'[1]Définition Maintenances'!$K:$K,0)),AD22,INDEX('[1]Définition Maintenances'!$G:$G,MATCH($A22,'[1]Définition Maintenances'!$K:$K,0))+AD22),AD22))</f>
        <v>242</v>
      </c>
      <c r="AF22" s="26">
        <f>IF(ISNUMBER(VLOOKUP($D22,'Visu totale'!$D:$DH,AF$1,0)),AE22-VLOOKUP($D22,'Visu totale'!$D:$DH,AF$1,0),IF(LEFT(VLOOKUP($D22,'Visu totale'!$D:$DH,AF$1,0),1)="V",IF(AE22&gt;=INDEX('[1]Définition Maintenances'!$G:$G,MATCH($A22,'[1]Définition Maintenances'!$K:$K,0)),AE22,INDEX('[1]Définition Maintenances'!$G:$G,MATCH($A22,'[1]Définition Maintenances'!$K:$K,0))+AE22),AE22))</f>
        <v>242</v>
      </c>
      <c r="AG22" s="26">
        <f>IF(ISNUMBER(VLOOKUP($D22,'Visu totale'!$D:$DH,AG$1,0)),AF22-VLOOKUP($D22,'Visu totale'!$D:$DH,AG$1,0),IF(LEFT(VLOOKUP($D22,'Visu totale'!$D:$DH,AG$1,0),1)="V",IF(AF22&gt;=INDEX('[1]Définition Maintenances'!$G:$G,MATCH($A22,'[1]Définition Maintenances'!$K:$K,0)),AF22,INDEX('[1]Définition Maintenances'!$G:$G,MATCH($A22,'[1]Définition Maintenances'!$K:$K,0))+AF22),AF22))</f>
        <v>242</v>
      </c>
      <c r="AH22" s="26">
        <f>IF(ISNUMBER(VLOOKUP($D22,'Visu totale'!$D:$DH,AH$1,0)),AG22-VLOOKUP($D22,'Visu totale'!$D:$DH,AH$1,0),IF(LEFT(VLOOKUP($D22,'Visu totale'!$D:$DH,AH$1,0),1)="V",IF(AG22&gt;=INDEX('[1]Définition Maintenances'!$G:$G,MATCH($A22,'[1]Définition Maintenances'!$K:$K,0)),AG22,INDEX('[1]Définition Maintenances'!$G:$G,MATCH($A22,'[1]Définition Maintenances'!$K:$K,0))+AG22),AG22))</f>
        <v>242</v>
      </c>
      <c r="AI22" s="26">
        <f>IF(ISNUMBER(VLOOKUP($D22,'Visu totale'!$D:$DH,AI$1,0)),AH22-VLOOKUP($D22,'Visu totale'!$D:$DH,AI$1,0),IF(LEFT(VLOOKUP($D22,'Visu totale'!$D:$DH,AI$1,0),1)="V",IF(AH22&gt;=INDEX('[1]Définition Maintenances'!$G:$G,MATCH($A22,'[1]Définition Maintenances'!$K:$K,0)),AH22,INDEX('[1]Définition Maintenances'!$G:$G,MATCH($A22,'[1]Définition Maintenances'!$K:$K,0))+AH22),AH22))</f>
        <v>242</v>
      </c>
      <c r="AJ22" s="26">
        <f>IF(ISNUMBER(VLOOKUP($D22,'Visu totale'!$D:$DH,AJ$1,0)),AI22-VLOOKUP($D22,'Visu totale'!$D:$DH,AJ$1,0),IF(LEFT(VLOOKUP($D22,'Visu totale'!$D:$DH,AJ$1,0),1)="V",IF(AI22&gt;=INDEX('[1]Définition Maintenances'!$G:$G,MATCH($A22,'[1]Définition Maintenances'!$K:$K,0)),AI22,INDEX('[1]Définition Maintenances'!$G:$G,MATCH($A22,'[1]Définition Maintenances'!$K:$K,0))+AI22),AI22))</f>
        <v>242</v>
      </c>
      <c r="AK22" s="26">
        <f>IF(ISNUMBER(VLOOKUP($D22,'Visu totale'!$D:$DH,AK$1,0)),AJ22-VLOOKUP($D22,'Visu totale'!$D:$DH,AK$1,0),IF(LEFT(VLOOKUP($D22,'Visu totale'!$D:$DH,AK$1,0),1)="V",IF(AJ22&gt;=INDEX('[1]Définition Maintenances'!$G:$G,MATCH($A22,'[1]Définition Maintenances'!$K:$K,0)),AJ22,INDEX('[1]Définition Maintenances'!$G:$G,MATCH($A22,'[1]Définition Maintenances'!$K:$K,0))+AJ22),AJ22))</f>
        <v>242</v>
      </c>
      <c r="AL22" s="26">
        <f>IF(ISNUMBER(VLOOKUP($D22,'Visu totale'!$D:$DH,AL$1,0)),AK22-VLOOKUP($D22,'Visu totale'!$D:$DH,AL$1,0),IF(LEFT(VLOOKUP($D22,'Visu totale'!$D:$DH,AL$1,0),1)="V",IF(AK22&gt;=INDEX('[1]Définition Maintenances'!$G:$G,MATCH($A22,'[1]Définition Maintenances'!$K:$K,0)),AK22,INDEX('[1]Définition Maintenances'!$G:$G,MATCH($A22,'[1]Définition Maintenances'!$K:$K,0))+AK22),AK22))</f>
        <v>242</v>
      </c>
      <c r="AM22" s="26">
        <f>IF(ISNUMBER(VLOOKUP($D22,'Visu totale'!$D:$DH,AM$1,0)),AL22-VLOOKUP($D22,'Visu totale'!$D:$DH,AM$1,0),IF(LEFT(VLOOKUP($D22,'Visu totale'!$D:$DH,AM$1,0),1)="V",IF(AL22&gt;=INDEX('[1]Définition Maintenances'!$G:$G,MATCH($A22,'[1]Définition Maintenances'!$K:$K,0)),AL22,INDEX('[1]Définition Maintenances'!$G:$G,MATCH($A22,'[1]Définition Maintenances'!$K:$K,0))+AL22),AL22))</f>
        <v>242</v>
      </c>
      <c r="AN22" s="26">
        <f>IF(ISNUMBER(VLOOKUP($D22,'Visu totale'!$D:$DH,AN$1,0)),AM22-VLOOKUP($D22,'Visu totale'!$D:$DH,AN$1,0),IF(LEFT(VLOOKUP($D22,'Visu totale'!$D:$DH,AN$1,0),1)="V",IF(AM22&gt;=INDEX('[1]Définition Maintenances'!$G:$G,MATCH($A22,'[1]Définition Maintenances'!$K:$K,0)),AM22,INDEX('[1]Définition Maintenances'!$G:$G,MATCH($A22,'[1]Définition Maintenances'!$K:$K,0))+AM22),AM22))</f>
        <v>242</v>
      </c>
      <c r="AO22" s="27">
        <f>IF(ISNUMBER(VLOOKUP($D22,'Visu totale'!$D:$DH,AO$1,0)),AN22-VLOOKUP($D22,'Visu totale'!$D:$DH,AO$1,0),IF(LEFT(VLOOKUP($D22,'Visu totale'!$D:$DH,AO$1,0),1)="V",IF(AN22&gt;=INDEX('[1]Définition Maintenances'!$G:$G,MATCH($A22,'[1]Définition Maintenances'!$K:$K,0)),AN22,INDEX('[1]Définition Maintenances'!$G:$G,MATCH($A22,'[1]Définition Maintenances'!$K:$K,0))+AN22),AN22))</f>
        <v>242</v>
      </c>
      <c r="AP22" s="25">
        <f>IF(ISNUMBER(VLOOKUP($D22,'Visu totale'!$D:$DH,AP$1,0)),AO22-VLOOKUP($D22,'Visu totale'!$D:$DH,AP$1,0),IF(LEFT(VLOOKUP($D22,'Visu totale'!$D:$DH,AP$1,0),1)="V",IF(AO22&gt;=INDEX('[1]Définition Maintenances'!$G:$G,MATCH($A22,'[1]Définition Maintenances'!$K:$K,0)),AO22,INDEX('[1]Définition Maintenances'!$G:$G,MATCH($A22,'[1]Définition Maintenances'!$K:$K,0))+AO22),AO22))</f>
        <v>242</v>
      </c>
      <c r="AQ22" s="26">
        <f>IF(ISNUMBER(VLOOKUP($D22,'Visu totale'!$D:$DH,AQ$1,0)),AP22-VLOOKUP($D22,'Visu totale'!$D:$DH,AQ$1,0),IF(LEFT(VLOOKUP($D22,'Visu totale'!$D:$DH,AQ$1,0),1)="V",IF(AP22&gt;=INDEX('[1]Définition Maintenances'!$G:$G,MATCH($A22,'[1]Définition Maintenances'!$K:$K,0)),AP22,INDEX('[1]Définition Maintenances'!$G:$G,MATCH($A22,'[1]Définition Maintenances'!$K:$K,0))+AP22),AP22))</f>
        <v>242</v>
      </c>
      <c r="AR22" s="26">
        <f>IF(ISNUMBER(VLOOKUP($D22,'Visu totale'!$D:$DH,AR$1,0)),AQ22-VLOOKUP($D22,'Visu totale'!$D:$DH,AR$1,0),IF(LEFT(VLOOKUP($D22,'Visu totale'!$D:$DH,AR$1,0),1)="V",IF(AQ22&gt;=INDEX('[1]Définition Maintenances'!$G:$G,MATCH($A22,'[1]Définition Maintenances'!$K:$K,0)),AQ22,INDEX('[1]Définition Maintenances'!$G:$G,MATCH($A22,'[1]Définition Maintenances'!$K:$K,0))+AQ22),AQ22))</f>
        <v>242</v>
      </c>
      <c r="AS22" s="26">
        <f>IF(ISNUMBER(VLOOKUP($D22,'Visu totale'!$D:$DH,AS$1,0)),AR22-VLOOKUP($D22,'Visu totale'!$D:$DH,AS$1,0),IF(LEFT(VLOOKUP($D22,'Visu totale'!$D:$DH,AS$1,0),1)="V",IF(AR22&gt;=INDEX('[1]Définition Maintenances'!$G:$G,MATCH($A22,'[1]Définition Maintenances'!$K:$K,0)),AR22,INDEX('[1]Définition Maintenances'!$G:$G,MATCH($A22,'[1]Définition Maintenances'!$K:$K,0))+AR22),AR22))</f>
        <v>242</v>
      </c>
      <c r="AT22" s="26">
        <f>IF(ISNUMBER(VLOOKUP($D22,'Visu totale'!$D:$DH,AT$1,0)),AS22-VLOOKUP($D22,'Visu totale'!$D:$DH,AT$1,0),IF(LEFT(VLOOKUP($D22,'Visu totale'!$D:$DH,AT$1,0),1)="V",IF(AS22&gt;=INDEX('[1]Définition Maintenances'!$G:$G,MATCH($A22,'[1]Définition Maintenances'!$K:$K,0)),AS22,INDEX('[1]Définition Maintenances'!$G:$G,MATCH($A22,'[1]Définition Maintenances'!$K:$K,0))+AS22),AS22))</f>
        <v>242</v>
      </c>
      <c r="AU22" s="26">
        <f>IF(ISNUMBER(VLOOKUP($D22,'Visu totale'!$D:$DH,AU$1,0)),AT22-VLOOKUP($D22,'Visu totale'!$D:$DH,AU$1,0),IF(LEFT(VLOOKUP($D22,'Visu totale'!$D:$DH,AU$1,0),1)="V",IF(AT22&gt;=INDEX('[1]Définition Maintenances'!$G:$G,MATCH($A22,'[1]Définition Maintenances'!$K:$K,0)),AT22,INDEX('[1]Définition Maintenances'!$G:$G,MATCH($A22,'[1]Définition Maintenances'!$K:$K,0))+AT22),AT22))</f>
        <v>242</v>
      </c>
      <c r="AV22" s="26">
        <f>IF(ISNUMBER(VLOOKUP($D22,'Visu totale'!$D:$DH,AV$1,0)),AU22-VLOOKUP($D22,'Visu totale'!$D:$DH,AV$1,0),IF(LEFT(VLOOKUP($D22,'Visu totale'!$D:$DH,AV$1,0),1)="V",IF(AU22&gt;=INDEX('[1]Définition Maintenances'!$G:$G,MATCH($A22,'[1]Définition Maintenances'!$K:$K,0)),AU22,INDEX('[1]Définition Maintenances'!$G:$G,MATCH($A22,'[1]Définition Maintenances'!$K:$K,0))+AU22),AU22))</f>
        <v>242</v>
      </c>
      <c r="AW22" s="26">
        <f>IF(ISNUMBER(VLOOKUP($D22,'Visu totale'!$D:$DH,AW$1,0)),AV22-VLOOKUP($D22,'Visu totale'!$D:$DH,AW$1,0),IF(LEFT(VLOOKUP($D22,'Visu totale'!$D:$DH,AW$1,0),1)="V",IF(AV22&gt;=INDEX('[1]Définition Maintenances'!$G:$G,MATCH($A22,'[1]Définition Maintenances'!$K:$K,0)),AV22,INDEX('[1]Définition Maintenances'!$G:$G,MATCH($A22,'[1]Définition Maintenances'!$K:$K,0))+AV22),AV22))</f>
        <v>242</v>
      </c>
      <c r="AX22" s="26">
        <f>IF(ISNUMBER(VLOOKUP($D22,'Visu totale'!$D:$DH,AX$1,0)),AW22-VLOOKUP($D22,'Visu totale'!$D:$DH,AX$1,0),IF(LEFT(VLOOKUP($D22,'Visu totale'!$D:$DH,AX$1,0),1)="V",IF(AW22&gt;=INDEX('[1]Définition Maintenances'!$G:$G,MATCH($A22,'[1]Définition Maintenances'!$K:$K,0)),AW22,INDEX('[1]Définition Maintenances'!$G:$G,MATCH($A22,'[1]Définition Maintenances'!$K:$K,0))+AW22),AW22))</f>
        <v>242</v>
      </c>
      <c r="AY22" s="26">
        <f>IF(ISNUMBER(VLOOKUP($D22,'Visu totale'!$D:$DH,AY$1,0)),AX22-VLOOKUP($D22,'Visu totale'!$D:$DH,AY$1,0),IF(LEFT(VLOOKUP($D22,'Visu totale'!$D:$DH,AY$1,0),1)="V",IF(AX22&gt;=INDEX('[1]Définition Maintenances'!$G:$G,MATCH($A22,'[1]Définition Maintenances'!$K:$K,0)),AX22,INDEX('[1]Définition Maintenances'!$G:$G,MATCH($A22,'[1]Définition Maintenances'!$K:$K,0))+AX22),AX22))</f>
        <v>242</v>
      </c>
      <c r="AZ22" s="26">
        <f>IF(ISNUMBER(VLOOKUP($D22,'Visu totale'!$D:$DH,AZ$1,0)),AY22-VLOOKUP($D22,'Visu totale'!$D:$DH,AZ$1,0),IF(LEFT(VLOOKUP($D22,'Visu totale'!$D:$DH,AZ$1,0),1)="V",IF(AY22&gt;=INDEX('[1]Définition Maintenances'!$G:$G,MATCH($A22,'[1]Définition Maintenances'!$K:$K,0)),AY22,INDEX('[1]Définition Maintenances'!$G:$G,MATCH($A22,'[1]Définition Maintenances'!$K:$K,0))+AY22),AY22))</f>
        <v>242</v>
      </c>
      <c r="BA22" s="27">
        <f>IF(ISNUMBER(VLOOKUP($D22,'Visu totale'!$D:$DH,BA$1,0)),AZ22-VLOOKUP($D22,'Visu totale'!$D:$DH,BA$1,0),IF(LEFT(VLOOKUP($D22,'Visu totale'!$D:$DH,BA$1,0),1)="V",IF(AZ22&gt;=INDEX('[1]Définition Maintenances'!$G:$G,MATCH($A22,'[1]Définition Maintenances'!$K:$K,0)),AZ22,INDEX('[1]Définition Maintenances'!$G:$G,MATCH($A22,'[1]Définition Maintenances'!$K:$K,0))+AZ22),AZ22))</f>
        <v>242</v>
      </c>
      <c r="BB22" s="25">
        <f>IF(ISNUMBER(VLOOKUP($D22,'Visu totale'!$D:$DH,BB$1,0)),BA22-VLOOKUP($D22,'Visu totale'!$D:$DH,BB$1,0),IF(LEFT(VLOOKUP($D22,'Visu totale'!$D:$DH,BB$1,0),1)="V",IF(BA22&gt;=INDEX('[1]Définition Maintenances'!$G:$G,MATCH($A22,'[1]Définition Maintenances'!$K:$K,0)),BA22,INDEX('[1]Définition Maintenances'!$G:$G,MATCH($A22,'[1]Définition Maintenances'!$K:$K,0))+BA22),BA22))</f>
        <v>242</v>
      </c>
      <c r="BC22" s="26">
        <f>IF(ISNUMBER(VLOOKUP($D22,'Visu totale'!$D:$DH,BC$1,0)),BB22-VLOOKUP($D22,'Visu totale'!$D:$DH,BC$1,0),IF(LEFT(VLOOKUP($D22,'Visu totale'!$D:$DH,BC$1,0),1)="V",IF(BB22&gt;=INDEX('[1]Définition Maintenances'!$G:$G,MATCH($A22,'[1]Définition Maintenances'!$K:$K,0)),BB22,INDEX('[1]Définition Maintenances'!$G:$G,MATCH($A22,'[1]Définition Maintenances'!$K:$K,0))+BB22),BB22))</f>
        <v>242</v>
      </c>
      <c r="BD22" s="26">
        <f>IF(ISNUMBER(VLOOKUP($D22,'Visu totale'!$D:$DH,BD$1,0)),BC22-VLOOKUP($D22,'Visu totale'!$D:$DH,BD$1,0),IF(LEFT(VLOOKUP($D22,'Visu totale'!$D:$DH,BD$1,0),1)="V",IF(BC22&gt;=INDEX('[1]Définition Maintenances'!$G:$G,MATCH($A22,'[1]Définition Maintenances'!$K:$K,0)),BC22,INDEX('[1]Définition Maintenances'!$G:$G,MATCH($A22,'[1]Définition Maintenances'!$K:$K,0))+BC22),BC22))</f>
        <v>242</v>
      </c>
      <c r="BE22" s="26">
        <f>IF(ISNUMBER(VLOOKUP($D22,'Visu totale'!$D:$DH,BE$1,0)),BD22-VLOOKUP($D22,'Visu totale'!$D:$DH,BE$1,0),IF(LEFT(VLOOKUP($D22,'Visu totale'!$D:$DH,BE$1,0),1)="V",IF(BD22&gt;=INDEX('[1]Définition Maintenances'!$G:$G,MATCH($A22,'[1]Définition Maintenances'!$K:$K,0)),BD22,INDEX('[1]Définition Maintenances'!$G:$G,MATCH($A22,'[1]Définition Maintenances'!$K:$K,0))+BD22),BD22))</f>
        <v>242</v>
      </c>
      <c r="BF22" s="26">
        <f>IF(ISNUMBER(VLOOKUP($D22,'Visu totale'!$D:$DH,BF$1,0)),BE22-VLOOKUP($D22,'Visu totale'!$D:$DH,BF$1,0),IF(LEFT(VLOOKUP($D22,'Visu totale'!$D:$DH,BF$1,0),1)="V",IF(BE22&gt;=INDEX('[1]Définition Maintenances'!$G:$G,MATCH($A22,'[1]Définition Maintenances'!$K:$K,0)),BE22,INDEX('[1]Définition Maintenances'!$G:$G,MATCH($A22,'[1]Définition Maintenances'!$K:$K,0))+BE22),BE22))</f>
        <v>242</v>
      </c>
      <c r="BG22" s="26">
        <f>IF(ISNUMBER(VLOOKUP($D22,'Visu totale'!$D:$DH,BG$1,0)),BF22-VLOOKUP($D22,'Visu totale'!$D:$DH,BG$1,0),IF(LEFT(VLOOKUP($D22,'Visu totale'!$D:$DH,BG$1,0),1)="V",IF(BF22&gt;=INDEX('[1]Définition Maintenances'!$G:$G,MATCH($A22,'[1]Définition Maintenances'!$K:$K,0)),BF22,INDEX('[1]Définition Maintenances'!$G:$G,MATCH($A22,'[1]Définition Maintenances'!$K:$K,0))+BF22),BF22))</f>
        <v>242</v>
      </c>
      <c r="BH22" s="26">
        <f>IF(ISNUMBER(VLOOKUP($D22,'Visu totale'!$D:$DH,BH$1,0)),BG22-VLOOKUP($D22,'Visu totale'!$D:$DH,BH$1,0),IF(LEFT(VLOOKUP($D22,'Visu totale'!$D:$DH,BH$1,0),1)="V",IF(BG22&gt;=INDEX('[1]Définition Maintenances'!$G:$G,MATCH($A22,'[1]Définition Maintenances'!$K:$K,0)),BG22,INDEX('[1]Définition Maintenances'!$G:$G,MATCH($A22,'[1]Définition Maintenances'!$K:$K,0))+BG22),BG22))</f>
        <v>242</v>
      </c>
      <c r="BI22" s="26">
        <f>IF(ISNUMBER(VLOOKUP($D22,'Visu totale'!$D:$DH,BI$1,0)),BH22-VLOOKUP($D22,'Visu totale'!$D:$DH,BI$1,0),IF(LEFT(VLOOKUP($D22,'Visu totale'!$D:$DH,BI$1,0),1)="V",IF(BH22&gt;=INDEX('[1]Définition Maintenances'!$G:$G,MATCH($A22,'[1]Définition Maintenances'!$K:$K,0)),BH22,INDEX('[1]Définition Maintenances'!$G:$G,MATCH($A22,'[1]Définition Maintenances'!$K:$K,0))+BH22),BH22))</f>
        <v>242</v>
      </c>
      <c r="BJ22" s="26">
        <f>IF(ISNUMBER(VLOOKUP($D22,'Visu totale'!$D:$DH,BJ$1,0)),BI22-VLOOKUP($D22,'Visu totale'!$D:$DH,BJ$1,0),IF(LEFT(VLOOKUP($D22,'Visu totale'!$D:$DH,BJ$1,0),1)="V",IF(BI22&gt;=INDEX('[1]Définition Maintenances'!$G:$G,MATCH($A22,'[1]Définition Maintenances'!$K:$K,0)),BI22,INDEX('[1]Définition Maintenances'!$G:$G,MATCH($A22,'[1]Définition Maintenances'!$K:$K,0))+BI22),BI22))</f>
        <v>242</v>
      </c>
      <c r="BK22" s="26">
        <f>IF(ISNUMBER(VLOOKUP($D22,'Visu totale'!$D:$DH,BK$1,0)),BJ22-VLOOKUP($D22,'Visu totale'!$D:$DH,BK$1,0),IF(LEFT(VLOOKUP($D22,'Visu totale'!$D:$DH,BK$1,0),1)="V",IF(BJ22&gt;=INDEX('[1]Définition Maintenances'!$G:$G,MATCH($A22,'[1]Définition Maintenances'!$K:$K,0)),BJ22,INDEX('[1]Définition Maintenances'!$G:$G,MATCH($A22,'[1]Définition Maintenances'!$K:$K,0))+BJ22),BJ22))</f>
        <v>242</v>
      </c>
      <c r="BL22" s="26">
        <f>IF(ISNUMBER(VLOOKUP($D22,'Visu totale'!$D:$DH,BL$1,0)),BK22-VLOOKUP($D22,'Visu totale'!$D:$DH,BL$1,0),IF(LEFT(VLOOKUP($D22,'Visu totale'!$D:$DH,BL$1,0),1)="V",IF(BK22&gt;=INDEX('[1]Définition Maintenances'!$G:$G,MATCH($A22,'[1]Définition Maintenances'!$K:$K,0)),BK22,INDEX('[1]Définition Maintenances'!$G:$G,MATCH($A22,'[1]Définition Maintenances'!$K:$K,0))+BK22),BK22))</f>
        <v>242</v>
      </c>
      <c r="BM22" s="27">
        <f>IF(ISNUMBER(VLOOKUP($D22,'Visu totale'!$D:$DH,BM$1,0)),BL22-VLOOKUP($D22,'Visu totale'!$D:$DH,BM$1,0),IF(LEFT(VLOOKUP($D22,'Visu totale'!$D:$DH,BM$1,0),1)="V",IF(BL22&gt;=INDEX('[1]Définition Maintenances'!$G:$G,MATCH($A22,'[1]Définition Maintenances'!$K:$K,0)),BL22,INDEX('[1]Définition Maintenances'!$G:$G,MATCH($A22,'[1]Définition Maintenances'!$K:$K,0))+BL22),BL22))</f>
        <v>242</v>
      </c>
      <c r="BN22" s="25">
        <f>IF(ISNUMBER(VLOOKUP($D22,'Visu totale'!$D:$DH,BN$1,0)),BM22-VLOOKUP($D22,'Visu totale'!$D:$DH,BN$1,0),IF(LEFT(VLOOKUP($D22,'Visu totale'!$D:$DH,BN$1,0),1)="V",IF(BM22&gt;=INDEX('[1]Définition Maintenances'!$G:$G,MATCH($A22,'[1]Définition Maintenances'!$K:$K,0)),BM22,INDEX('[1]Définition Maintenances'!$G:$G,MATCH($A22,'[1]Définition Maintenances'!$K:$K,0))+BM22),BM22))</f>
        <v>242</v>
      </c>
      <c r="BO22" s="26">
        <f>IF(ISNUMBER(VLOOKUP($D22,'Visu totale'!$D:$DH,BO$1,0)),BN22-VLOOKUP($D22,'Visu totale'!$D:$DH,BO$1,0),IF(LEFT(VLOOKUP($D22,'Visu totale'!$D:$DH,BO$1,0),1)="V",IF(BN22&gt;=INDEX('[1]Définition Maintenances'!$G:$G,MATCH($A22,'[1]Définition Maintenances'!$K:$K,0)),BN22,INDEX('[1]Définition Maintenances'!$G:$G,MATCH($A22,'[1]Définition Maintenances'!$K:$K,0))+BN22),BN22))</f>
        <v>242</v>
      </c>
      <c r="BP22" s="26">
        <f>IF(ISNUMBER(VLOOKUP($D22,'Visu totale'!$D:$DH,BP$1,0)),BO22-VLOOKUP($D22,'Visu totale'!$D:$DH,BP$1,0),IF(LEFT(VLOOKUP($D22,'Visu totale'!$D:$DH,BP$1,0),1)="V",IF(BO22&gt;=INDEX('[1]Définition Maintenances'!$G:$G,MATCH($A22,'[1]Définition Maintenances'!$K:$K,0)),BO22,INDEX('[1]Définition Maintenances'!$G:$G,MATCH($A22,'[1]Définition Maintenances'!$K:$K,0))+BO22),BO22))</f>
        <v>242</v>
      </c>
      <c r="BQ22" s="26">
        <f>IF(ISNUMBER(VLOOKUP($D22,'Visu totale'!$D:$DH,BQ$1,0)),BP22-VLOOKUP($D22,'Visu totale'!$D:$DH,BQ$1,0),IF(LEFT(VLOOKUP($D22,'Visu totale'!$D:$DH,BQ$1,0),1)="V",IF(BP22&gt;=INDEX('[1]Définition Maintenances'!$G:$G,MATCH($A22,'[1]Définition Maintenances'!$K:$K,0)),BP22,INDEX('[1]Définition Maintenances'!$G:$G,MATCH($A22,'[1]Définition Maintenances'!$K:$K,0))+BP22),BP22))</f>
        <v>242</v>
      </c>
      <c r="BR22" s="26">
        <f>IF(ISNUMBER(VLOOKUP($D22,'Visu totale'!$D:$DH,BR$1,0)),BQ22-VLOOKUP($D22,'Visu totale'!$D:$DH,BR$1,0),IF(LEFT(VLOOKUP($D22,'Visu totale'!$D:$DH,BR$1,0),1)="V",IF(BQ22&gt;=INDEX('[1]Définition Maintenances'!$G:$G,MATCH($A22,'[1]Définition Maintenances'!$K:$K,0)),BQ22,INDEX('[1]Définition Maintenances'!$G:$G,MATCH($A22,'[1]Définition Maintenances'!$K:$K,0))+BQ22),BQ22))</f>
        <v>242</v>
      </c>
      <c r="BS22" s="26">
        <f>IF(ISNUMBER(VLOOKUP($D22,'Visu totale'!$D:$DH,BS$1,0)),BR22-VLOOKUP($D22,'Visu totale'!$D:$DH,BS$1,0),IF(LEFT(VLOOKUP($D22,'Visu totale'!$D:$DH,BS$1,0),1)="V",IF(BR22&gt;=INDEX('[1]Définition Maintenances'!$G:$G,MATCH($A22,'[1]Définition Maintenances'!$K:$K,0)),BR22,INDEX('[1]Définition Maintenances'!$G:$G,MATCH($A22,'[1]Définition Maintenances'!$K:$K,0))+BR22),BR22))</f>
        <v>242</v>
      </c>
      <c r="BT22" s="26">
        <f>IF(ISNUMBER(VLOOKUP($D22,'Visu totale'!$D:$DH,BT$1,0)),BS22-VLOOKUP($D22,'Visu totale'!$D:$DH,BT$1,0),IF(LEFT(VLOOKUP($D22,'Visu totale'!$D:$DH,BT$1,0),1)="V",IF(BS22&gt;=INDEX('[1]Définition Maintenances'!$G:$G,MATCH($A22,'[1]Définition Maintenances'!$K:$K,0)),BS22,INDEX('[1]Définition Maintenances'!$G:$G,MATCH($A22,'[1]Définition Maintenances'!$K:$K,0))+BS22),BS22))</f>
        <v>242</v>
      </c>
      <c r="BU22" s="26">
        <f>IF(ISNUMBER(VLOOKUP($D22,'Visu totale'!$D:$DH,BU$1,0)),BT22-VLOOKUP($D22,'Visu totale'!$D:$DH,BU$1,0),IF(LEFT(VLOOKUP($D22,'Visu totale'!$D:$DH,BU$1,0),1)="V",IF(BT22&gt;=INDEX('[1]Définition Maintenances'!$G:$G,MATCH($A22,'[1]Définition Maintenances'!$K:$K,0)),BT22,INDEX('[1]Définition Maintenances'!$G:$G,MATCH($A22,'[1]Définition Maintenances'!$K:$K,0))+BT22),BT22))</f>
        <v>242</v>
      </c>
      <c r="BV22" s="26">
        <f>IF(ISNUMBER(VLOOKUP($D22,'Visu totale'!$D:$DH,BV$1,0)),BU22-VLOOKUP($D22,'Visu totale'!$D:$DH,BV$1,0),IF(LEFT(VLOOKUP($D22,'Visu totale'!$D:$DH,BV$1,0),1)="V",IF(BU22&gt;=INDEX('[1]Définition Maintenances'!$G:$G,MATCH($A22,'[1]Définition Maintenances'!$K:$K,0)),BU22,INDEX('[1]Définition Maintenances'!$G:$G,MATCH($A22,'[1]Définition Maintenances'!$K:$K,0))+BU22),BU22))</f>
        <v>242</v>
      </c>
      <c r="BW22" s="26">
        <f>IF(ISNUMBER(VLOOKUP($D22,'Visu totale'!$D:$DH,BW$1,0)),BV22-VLOOKUP($D22,'Visu totale'!$D:$DH,BW$1,0),IF(LEFT(VLOOKUP($D22,'Visu totale'!$D:$DH,BW$1,0),1)="V",IF(BV22&gt;=INDEX('[1]Définition Maintenances'!$G:$G,MATCH($A22,'[1]Définition Maintenances'!$K:$K,0)),BV22,INDEX('[1]Définition Maintenances'!$G:$G,MATCH($A22,'[1]Définition Maintenances'!$K:$K,0))+BV22),BV22))</f>
        <v>242</v>
      </c>
      <c r="BX22" s="26">
        <f>IF(ISNUMBER(VLOOKUP($D22,'Visu totale'!$D:$DH,BX$1,0)),BW22-VLOOKUP($D22,'Visu totale'!$D:$DH,BX$1,0),IF(LEFT(VLOOKUP($D22,'Visu totale'!$D:$DH,BX$1,0),1)="V",IF(BW22&gt;=INDEX('[1]Définition Maintenances'!$G:$G,MATCH($A22,'[1]Définition Maintenances'!$K:$K,0)),BW22,INDEX('[1]Définition Maintenances'!$G:$G,MATCH($A22,'[1]Définition Maintenances'!$K:$K,0))+BW22),BW22))</f>
        <v>242</v>
      </c>
      <c r="BY22" s="27">
        <f>IF(ISNUMBER(VLOOKUP($D22,'Visu totale'!$D:$DH,BY$1,0)),BX22-VLOOKUP($D22,'Visu totale'!$D:$DH,BY$1,0),IF(LEFT(VLOOKUP($D22,'Visu totale'!$D:$DH,BY$1,0),1)="V",IF(BX22&gt;=INDEX('[1]Définition Maintenances'!$G:$G,MATCH($A22,'[1]Définition Maintenances'!$K:$K,0)),BX22,INDEX('[1]Définition Maintenances'!$G:$G,MATCH($A22,'[1]Définition Maintenances'!$K:$K,0))+BX22),BX22))</f>
        <v>242</v>
      </c>
      <c r="BZ22" s="25">
        <f>IF(ISNUMBER(VLOOKUP($D22,'Visu totale'!$D:$DH,BZ$1,0)),BY22-VLOOKUP($D22,'Visu totale'!$D:$DH,BZ$1,0),IF(LEFT(VLOOKUP($D22,'Visu totale'!$D:$DH,BZ$1,0),1)="V",IF(BY22&gt;=INDEX('[1]Définition Maintenances'!$G:$G,MATCH($A22,'[1]Définition Maintenances'!$K:$K,0)),BY22,INDEX('[1]Définition Maintenances'!$G:$G,MATCH($A22,'[1]Définition Maintenances'!$K:$K,0))+BY22),BY22))</f>
        <v>242</v>
      </c>
      <c r="CA22" s="26">
        <f>IF(ISNUMBER(VLOOKUP($D22,'Visu totale'!$D:$DH,CA$1,0)),BZ22-VLOOKUP($D22,'Visu totale'!$D:$DH,CA$1,0),IF(LEFT(VLOOKUP($D22,'Visu totale'!$D:$DH,CA$1,0),1)="V",IF(BZ22&gt;=INDEX('[1]Définition Maintenances'!$G:$G,MATCH($A22,'[1]Définition Maintenances'!$K:$K,0)),BZ22,INDEX('[1]Définition Maintenances'!$G:$G,MATCH($A22,'[1]Définition Maintenances'!$K:$K,0))+BZ22),BZ22))</f>
        <v>242</v>
      </c>
      <c r="CB22" s="26">
        <f>IF(ISNUMBER(VLOOKUP($D22,'Visu totale'!$D:$DH,CB$1,0)),CA22-VLOOKUP($D22,'Visu totale'!$D:$DH,CB$1,0),IF(LEFT(VLOOKUP($D22,'Visu totale'!$D:$DH,CB$1,0),1)="V",IF(CA22&gt;=INDEX('[1]Définition Maintenances'!$G:$G,MATCH($A22,'[1]Définition Maintenances'!$K:$K,0)),CA22,INDEX('[1]Définition Maintenances'!$G:$G,MATCH($A22,'[1]Définition Maintenances'!$K:$K,0))+CA22),CA22))</f>
        <v>242</v>
      </c>
      <c r="CC22" s="26">
        <f>IF(ISNUMBER(VLOOKUP($D22,'Visu totale'!$D:$DH,CC$1,0)),CB22-VLOOKUP($D22,'Visu totale'!$D:$DH,CC$1,0),IF(LEFT(VLOOKUP($D22,'Visu totale'!$D:$DH,CC$1,0),1)="V",IF(CB22&gt;=INDEX('[1]Définition Maintenances'!$G:$G,MATCH($A22,'[1]Définition Maintenances'!$K:$K,0)),CB22,INDEX('[1]Définition Maintenances'!$G:$G,MATCH($A22,'[1]Définition Maintenances'!$K:$K,0))+CB22),CB22))</f>
        <v>242</v>
      </c>
      <c r="CD22" s="26">
        <f>IF(ISNUMBER(VLOOKUP($D22,'Visu totale'!$D:$DH,CD$1,0)),CC22-VLOOKUP($D22,'Visu totale'!$D:$DH,CD$1,0),IF(LEFT(VLOOKUP($D22,'Visu totale'!$D:$DH,CD$1,0),1)="V",IF(CC22&gt;=INDEX('[1]Définition Maintenances'!$G:$G,MATCH($A22,'[1]Définition Maintenances'!$K:$K,0)),CC22,INDEX('[1]Définition Maintenances'!$G:$G,MATCH($A22,'[1]Définition Maintenances'!$K:$K,0))+CC22),CC22))</f>
        <v>242</v>
      </c>
      <c r="CE22" s="26">
        <f>IF(ISNUMBER(VLOOKUP($D22,'Visu totale'!$D:$DH,CE$1,0)),CD22-VLOOKUP($D22,'Visu totale'!$D:$DH,CE$1,0),IF(LEFT(VLOOKUP($D22,'Visu totale'!$D:$DH,CE$1,0),1)="V",IF(CD22&gt;=INDEX('[1]Définition Maintenances'!$G:$G,MATCH($A22,'[1]Définition Maintenances'!$K:$K,0)),CD22,INDEX('[1]Définition Maintenances'!$G:$G,MATCH($A22,'[1]Définition Maintenances'!$K:$K,0))+CD22),CD22))</f>
        <v>242</v>
      </c>
      <c r="CF22" s="26">
        <f>IF(ISNUMBER(VLOOKUP($D22,'Visu totale'!$D:$DH,CF$1,0)),CE22-VLOOKUP($D22,'Visu totale'!$D:$DH,CF$1,0),IF(LEFT(VLOOKUP($D22,'Visu totale'!$D:$DH,CF$1,0),1)="V",IF(CE22&gt;=INDEX('[1]Définition Maintenances'!$G:$G,MATCH($A22,'[1]Définition Maintenances'!$K:$K,0)),CE22,INDEX('[1]Définition Maintenances'!$G:$G,MATCH($A22,'[1]Définition Maintenances'!$K:$K,0))+CE22),CE22))</f>
        <v>242</v>
      </c>
      <c r="CG22" s="26">
        <f>IF(ISNUMBER(VLOOKUP($D22,'Visu totale'!$D:$DH,CG$1,0)),CF22-VLOOKUP($D22,'Visu totale'!$D:$DH,CG$1,0),IF(LEFT(VLOOKUP($D22,'Visu totale'!$D:$DH,CG$1,0),1)="V",IF(CF22&gt;=INDEX('[1]Définition Maintenances'!$G:$G,MATCH($A22,'[1]Définition Maintenances'!$K:$K,0)),CF22,INDEX('[1]Définition Maintenances'!$G:$G,MATCH($A22,'[1]Définition Maintenances'!$K:$K,0))+CF22),CF22))</f>
        <v>242</v>
      </c>
      <c r="CH22" s="26">
        <f>IF(ISNUMBER(VLOOKUP($D22,'Visu totale'!$D:$DH,CH$1,0)),CG22-VLOOKUP($D22,'Visu totale'!$D:$DH,CH$1,0),IF(LEFT(VLOOKUP($D22,'Visu totale'!$D:$DH,CH$1,0),1)="V",IF(CG22&gt;=INDEX('[1]Définition Maintenances'!$G:$G,MATCH($A22,'[1]Définition Maintenances'!$K:$K,0)),CG22,INDEX('[1]Définition Maintenances'!$G:$G,MATCH($A22,'[1]Définition Maintenances'!$K:$K,0))+CG22),CG22))</f>
        <v>242</v>
      </c>
      <c r="CI22" s="26">
        <f>IF(ISNUMBER(VLOOKUP($D22,'Visu totale'!$D:$DH,CI$1,0)),CH22-VLOOKUP($D22,'Visu totale'!$D:$DH,CI$1,0),IF(LEFT(VLOOKUP($D22,'Visu totale'!$D:$DH,CI$1,0),1)="V",IF(CH22&gt;=INDEX('[1]Définition Maintenances'!$G:$G,MATCH($A22,'[1]Définition Maintenances'!$K:$K,0)),CH22,INDEX('[1]Définition Maintenances'!$G:$G,MATCH($A22,'[1]Définition Maintenances'!$K:$K,0))+CH22),CH22))</f>
        <v>242</v>
      </c>
      <c r="CJ22" s="26">
        <f>IF(ISNUMBER(VLOOKUP($D22,'Visu totale'!$D:$DH,CJ$1,0)),CI22-VLOOKUP($D22,'Visu totale'!$D:$DH,CJ$1,0),IF(LEFT(VLOOKUP($D22,'Visu totale'!$D:$DH,CJ$1,0),1)="V",IF(CI22&gt;=INDEX('[1]Définition Maintenances'!$G:$G,MATCH($A22,'[1]Définition Maintenances'!$K:$K,0)),CI22,INDEX('[1]Définition Maintenances'!$G:$G,MATCH($A22,'[1]Définition Maintenances'!$K:$K,0))+CI22),CI22))</f>
        <v>242</v>
      </c>
      <c r="CK22" s="27">
        <f>IF(ISNUMBER(VLOOKUP($D22,'Visu totale'!$D:$DH,CK$1,0)),CJ22-VLOOKUP($D22,'Visu totale'!$D:$DH,CK$1,0),IF(LEFT(VLOOKUP($D22,'Visu totale'!$D:$DH,CK$1,0),1)="V",IF(CJ22&gt;=INDEX('[1]Définition Maintenances'!$G:$G,MATCH($A22,'[1]Définition Maintenances'!$K:$K,0)),CJ22,INDEX('[1]Définition Maintenances'!$G:$G,MATCH($A22,'[1]Définition Maintenances'!$K:$K,0))+CJ22),CJ22))</f>
        <v>242</v>
      </c>
      <c r="CL22" s="25">
        <f>IF(ISNUMBER(VLOOKUP($D22,'Visu totale'!$D:$DH,CL$1,0)),CK22-VLOOKUP($D22,'Visu totale'!$D:$DH,CL$1,0),IF(LEFT(VLOOKUP($D22,'Visu totale'!$D:$DH,CL$1,0),1)="V",IF(CK22&gt;=INDEX('[1]Définition Maintenances'!$G:$G,MATCH($A22,'[1]Définition Maintenances'!$K:$K,0)),CK22,INDEX('[1]Définition Maintenances'!$G:$G,MATCH($A22,'[1]Définition Maintenances'!$K:$K,0))+CK22),CK22))</f>
        <v>242</v>
      </c>
      <c r="CM22" s="26">
        <f>IF(ISNUMBER(VLOOKUP($D22,'Visu totale'!$D:$DH,CM$1,0)),CL22-VLOOKUP($D22,'Visu totale'!$D:$DH,CM$1,0),IF(LEFT(VLOOKUP($D22,'Visu totale'!$D:$DH,CM$1,0),1)="V",IF(CL22&gt;=INDEX('[1]Définition Maintenances'!$G:$G,MATCH($A22,'[1]Définition Maintenances'!$K:$K,0)),CL22,INDEX('[1]Définition Maintenances'!$G:$G,MATCH($A22,'[1]Définition Maintenances'!$K:$K,0))+CL22),CL22))</f>
        <v>242</v>
      </c>
      <c r="CN22" s="26">
        <f>IF(ISNUMBER(VLOOKUP($D22,'Visu totale'!$D:$DH,CN$1,0)),CM22-VLOOKUP($D22,'Visu totale'!$D:$DH,CN$1,0),IF(LEFT(VLOOKUP($D22,'Visu totale'!$D:$DH,CN$1,0),1)="V",IF(CM22&gt;=INDEX('[1]Définition Maintenances'!$G:$G,MATCH($A22,'[1]Définition Maintenances'!$K:$K,0)),CM22,INDEX('[1]Définition Maintenances'!$G:$G,MATCH($A22,'[1]Définition Maintenances'!$K:$K,0))+CM22),CM22))</f>
        <v>242</v>
      </c>
      <c r="CO22" s="26">
        <f>IF(ISNUMBER(VLOOKUP($D22,'Visu totale'!$D:$DH,CO$1,0)),CN22-VLOOKUP($D22,'Visu totale'!$D:$DH,CO$1,0),IF(LEFT(VLOOKUP($D22,'Visu totale'!$D:$DH,CO$1,0),1)="V",IF(CN22&gt;=INDEX('[1]Définition Maintenances'!$G:$G,MATCH($A22,'[1]Définition Maintenances'!$K:$K,0)),CN22,INDEX('[1]Définition Maintenances'!$G:$G,MATCH($A22,'[1]Définition Maintenances'!$K:$K,0))+CN22),CN22))</f>
        <v>242</v>
      </c>
      <c r="CP22" s="26">
        <f>IF(ISNUMBER(VLOOKUP($D22,'Visu totale'!$D:$DH,CP$1,0)),CO22-VLOOKUP($D22,'Visu totale'!$D:$DH,CP$1,0),IF(LEFT(VLOOKUP($D22,'Visu totale'!$D:$DH,CP$1,0),1)="V",IF(CO22&gt;=INDEX('[1]Définition Maintenances'!$G:$G,MATCH($A22,'[1]Définition Maintenances'!$K:$K,0)),CO22,INDEX('[1]Définition Maintenances'!$G:$G,MATCH($A22,'[1]Définition Maintenances'!$K:$K,0))+CO22),CO22))</f>
        <v>242</v>
      </c>
      <c r="CQ22" s="26">
        <f>IF(ISNUMBER(VLOOKUP($D22,'Visu totale'!$D:$DH,CQ$1,0)),CP22-VLOOKUP($D22,'Visu totale'!$D:$DH,CQ$1,0),IF(LEFT(VLOOKUP($D22,'Visu totale'!$D:$DH,CQ$1,0),1)="V",IF(CP22&gt;=INDEX('[1]Définition Maintenances'!$G:$G,MATCH($A22,'[1]Définition Maintenances'!$K:$K,0)),CP22,INDEX('[1]Définition Maintenances'!$G:$G,MATCH($A22,'[1]Définition Maintenances'!$K:$K,0))+CP22),CP22))</f>
        <v>242</v>
      </c>
      <c r="CR22" s="26">
        <f>IF(ISNUMBER(VLOOKUP($D22,'Visu totale'!$D:$DH,CR$1,0)),CQ22-VLOOKUP($D22,'Visu totale'!$D:$DH,CR$1,0),IF(LEFT(VLOOKUP($D22,'Visu totale'!$D:$DH,CR$1,0),1)="V",IF(CQ22&gt;=INDEX('[1]Définition Maintenances'!$G:$G,MATCH($A22,'[1]Définition Maintenances'!$K:$K,0)),CQ22,INDEX('[1]Définition Maintenances'!$G:$G,MATCH($A22,'[1]Définition Maintenances'!$K:$K,0))+CQ22),CQ22))</f>
        <v>242</v>
      </c>
      <c r="CS22" s="26">
        <f>IF(ISNUMBER(VLOOKUP($D22,'Visu totale'!$D:$DH,CS$1,0)),CR22-VLOOKUP($D22,'Visu totale'!$D:$DH,CS$1,0),IF(LEFT(VLOOKUP($D22,'Visu totale'!$D:$DH,CS$1,0),1)="V",IF(CR22&gt;=INDEX('[1]Définition Maintenances'!$G:$G,MATCH($A22,'[1]Définition Maintenances'!$K:$K,0)),CR22,INDEX('[1]Définition Maintenances'!$G:$G,MATCH($A22,'[1]Définition Maintenances'!$K:$K,0))+CR22),CR22))</f>
        <v>242</v>
      </c>
      <c r="CT22" s="26">
        <f>IF(ISNUMBER(VLOOKUP($D22,'Visu totale'!$D:$DH,CT$1,0)),CS22-VLOOKUP($D22,'Visu totale'!$D:$DH,CT$1,0),IF(LEFT(VLOOKUP($D22,'Visu totale'!$D:$DH,CT$1,0),1)="V",IF(CS22&gt;=INDEX('[1]Définition Maintenances'!$G:$G,MATCH($A22,'[1]Définition Maintenances'!$K:$K,0)),CS22,INDEX('[1]Définition Maintenances'!$G:$G,MATCH($A22,'[1]Définition Maintenances'!$K:$K,0))+CS22),CS22))</f>
        <v>242</v>
      </c>
      <c r="CU22" s="26">
        <f>IF(ISNUMBER(VLOOKUP($D22,'Visu totale'!$D:$DH,CU$1,0)),CT22-VLOOKUP($D22,'Visu totale'!$D:$DH,CU$1,0),IF(LEFT(VLOOKUP($D22,'Visu totale'!$D:$DH,CU$1,0),1)="V",IF(CT22&gt;=INDEX('[1]Définition Maintenances'!$G:$G,MATCH($A22,'[1]Définition Maintenances'!$K:$K,0)),CT22,INDEX('[1]Définition Maintenances'!$G:$G,MATCH($A22,'[1]Définition Maintenances'!$K:$K,0))+CT22),CT22))</f>
        <v>242</v>
      </c>
      <c r="CV22" s="26">
        <f>IF(ISNUMBER(VLOOKUP($D22,'Visu totale'!$D:$DH,CV$1,0)),CU22-VLOOKUP($D22,'Visu totale'!$D:$DH,CV$1,0),IF(LEFT(VLOOKUP($D22,'Visu totale'!$D:$DH,CV$1,0),1)="V",IF(CU22&gt;=INDEX('[1]Définition Maintenances'!$G:$G,MATCH($A22,'[1]Définition Maintenances'!$K:$K,0)),CU22,INDEX('[1]Définition Maintenances'!$G:$G,MATCH($A22,'[1]Définition Maintenances'!$K:$K,0))+CU22),CU22))</f>
        <v>242</v>
      </c>
      <c r="CW22" s="27">
        <f>IF(ISNUMBER(VLOOKUP($D22,'Visu totale'!$D:$DH,CW$1,0)),CV22-VLOOKUP($D22,'Visu totale'!$D:$DH,CW$1,0),IF(LEFT(VLOOKUP($D22,'Visu totale'!$D:$DH,CW$1,0),1)="V",IF(CV22&gt;=INDEX('[1]Définition Maintenances'!$G:$G,MATCH($A22,'[1]Définition Maintenances'!$K:$K,0)),CV22,INDEX('[1]Définition Maintenances'!$G:$G,MATCH($A22,'[1]Définition Maintenances'!$K:$K,0))+CV22),CV22))</f>
        <v>242</v>
      </c>
      <c r="CX22" s="25">
        <f>IF(ISNUMBER(VLOOKUP($D22,'Visu totale'!$D:$DH,CX$1,0)),CW22-VLOOKUP($D22,'Visu totale'!$D:$DH,CX$1,0),IF(LEFT(VLOOKUP($D22,'Visu totale'!$D:$DH,CX$1,0),1)="V",IF(CW22&gt;=INDEX('[1]Définition Maintenances'!$G:$G,MATCH($A22,'[1]Définition Maintenances'!$K:$K,0)),CW22,INDEX('[1]Définition Maintenances'!$G:$G,MATCH($A22,'[1]Définition Maintenances'!$K:$K,0))+CW22),CW22))</f>
        <v>242</v>
      </c>
      <c r="CY22" s="26">
        <f>IF(ISNUMBER(VLOOKUP($D22,'Visu totale'!$D:$DH,CY$1,0)),CX22-VLOOKUP($D22,'Visu totale'!$D:$DH,CY$1,0),IF(LEFT(VLOOKUP($D22,'Visu totale'!$D:$DH,CY$1,0),1)="V",IF(CX22&gt;=INDEX('[1]Définition Maintenances'!$G:$G,MATCH($A22,'[1]Définition Maintenances'!$K:$K,0)),CX22,INDEX('[1]Définition Maintenances'!$G:$G,MATCH($A22,'[1]Définition Maintenances'!$K:$K,0))+CX22),CX22))</f>
        <v>242</v>
      </c>
      <c r="CZ22" s="26">
        <f>IF(ISNUMBER(VLOOKUP($D22,'Visu totale'!$D:$DH,CZ$1,0)),CY22-VLOOKUP($D22,'Visu totale'!$D:$DH,CZ$1,0),IF(LEFT(VLOOKUP($D22,'Visu totale'!$D:$DH,CZ$1,0),1)="V",IF(CY22&gt;=INDEX('[1]Définition Maintenances'!$G:$G,MATCH($A22,'[1]Définition Maintenances'!$K:$K,0)),CY22,INDEX('[1]Définition Maintenances'!$G:$G,MATCH($A22,'[1]Définition Maintenances'!$K:$K,0))+CY22),CY22))</f>
        <v>242</v>
      </c>
      <c r="DA22" s="26">
        <f>IF(ISNUMBER(VLOOKUP($D22,'Visu totale'!$D:$DH,DA$1,0)),CZ22-VLOOKUP($D22,'Visu totale'!$D:$DH,DA$1,0),IF(LEFT(VLOOKUP($D22,'Visu totale'!$D:$DH,DA$1,0),1)="V",IF(CZ22&gt;=INDEX('[1]Définition Maintenances'!$G:$G,MATCH($A22,'[1]Définition Maintenances'!$K:$K,0)),CZ22,INDEX('[1]Définition Maintenances'!$G:$G,MATCH($A22,'[1]Définition Maintenances'!$K:$K,0))+CZ22),CZ22))</f>
        <v>242</v>
      </c>
      <c r="DB22" s="26">
        <f>IF(ISNUMBER(VLOOKUP($D22,'Visu totale'!$D:$DH,DB$1,0)),DA22-VLOOKUP($D22,'Visu totale'!$D:$DH,DB$1,0),IF(LEFT(VLOOKUP($D22,'Visu totale'!$D:$DH,DB$1,0),1)="V",IF(DA22&gt;=INDEX('[1]Définition Maintenances'!$G:$G,MATCH($A22,'[1]Définition Maintenances'!$K:$K,0)),DA22,INDEX('[1]Définition Maintenances'!$G:$G,MATCH($A22,'[1]Définition Maintenances'!$K:$K,0))+DA22),DA22))</f>
        <v>242</v>
      </c>
      <c r="DC22" s="26">
        <f>IF(ISNUMBER(VLOOKUP($D22,'Visu totale'!$D:$DH,DC$1,0)),DB22-VLOOKUP($D22,'Visu totale'!$D:$DH,DC$1,0),IF(LEFT(VLOOKUP($D22,'Visu totale'!$D:$DH,DC$1,0),1)="V",IF(DB22&gt;=INDEX('[1]Définition Maintenances'!$G:$G,MATCH($A22,'[1]Définition Maintenances'!$K:$K,0)),DB22,INDEX('[1]Définition Maintenances'!$G:$G,MATCH($A22,'[1]Définition Maintenances'!$K:$K,0))+DB22),DB22))</f>
        <v>242</v>
      </c>
      <c r="DD22" s="26">
        <f>IF(ISNUMBER(VLOOKUP($D22,'Visu totale'!$D:$DH,DD$1,0)),DC22-VLOOKUP($D22,'Visu totale'!$D:$DH,DD$1,0),IF(LEFT(VLOOKUP($D22,'Visu totale'!$D:$DH,DD$1,0),1)="V",IF(DC22&gt;=INDEX('[1]Définition Maintenances'!$G:$G,MATCH($A22,'[1]Définition Maintenances'!$K:$K,0)),DC22,INDEX('[1]Définition Maintenances'!$G:$G,MATCH($A22,'[1]Définition Maintenances'!$K:$K,0))+DC22),DC22))</f>
        <v>242</v>
      </c>
      <c r="DE22" s="26">
        <f>IF(ISNUMBER(VLOOKUP($D22,'Visu totale'!$D:$DH,DE$1,0)),DD22-VLOOKUP($D22,'Visu totale'!$D:$DH,DE$1,0),IF(LEFT(VLOOKUP($D22,'Visu totale'!$D:$DH,DE$1,0),1)="V",IF(DD22&gt;=INDEX('[1]Définition Maintenances'!$G:$G,MATCH($A22,'[1]Définition Maintenances'!$K:$K,0)),DD22,INDEX('[1]Définition Maintenances'!$G:$G,MATCH($A22,'[1]Définition Maintenances'!$K:$K,0))+DD22),DD22))</f>
        <v>242</v>
      </c>
      <c r="DF22" s="26">
        <f>IF(ISNUMBER(VLOOKUP($D22,'Visu totale'!$D:$DH,DF$1,0)),DE22-VLOOKUP($D22,'Visu totale'!$D:$DH,DF$1,0),IF(LEFT(VLOOKUP($D22,'Visu totale'!$D:$DH,DF$1,0),1)="V",IF(DE22&gt;=INDEX('[1]Définition Maintenances'!$G:$G,MATCH($A22,'[1]Définition Maintenances'!$K:$K,0)),DE22,INDEX('[1]Définition Maintenances'!$G:$G,MATCH($A22,'[1]Définition Maintenances'!$K:$K,0))+DE22),DE22))</f>
        <v>242</v>
      </c>
      <c r="DG22" s="26">
        <f>IF(ISNUMBER(VLOOKUP($D22,'Visu totale'!$D:$DH,DG$1,0)),DF22-VLOOKUP($D22,'Visu totale'!$D:$DH,DG$1,0),IF(LEFT(VLOOKUP($D22,'Visu totale'!$D:$DH,DG$1,0),1)="V",IF(DF22&gt;=INDEX('[1]Définition Maintenances'!$G:$G,MATCH($A22,'[1]Définition Maintenances'!$K:$K,0)),DF22,INDEX('[1]Définition Maintenances'!$G:$G,MATCH($A22,'[1]Définition Maintenances'!$K:$K,0))+DF22),DF22))</f>
        <v>242</v>
      </c>
      <c r="DH22" s="26">
        <f>IF(ISNUMBER(VLOOKUP($D22,'Visu totale'!$D:$DH,DH$1,0)),DG22-VLOOKUP($D22,'Visu totale'!$D:$DH,DH$1,0),IF(LEFT(VLOOKUP($D22,'Visu totale'!$D:$DH,DH$1,0),1)="V",IF(DG22&gt;=INDEX('[1]Définition Maintenances'!$G:$G,MATCH($A22,'[1]Définition Maintenances'!$K:$K,0)),DG22,INDEX('[1]Définition Maintenances'!$G:$G,MATCH($A22,'[1]Définition Maintenances'!$K:$K,0))+DG22),DG22))</f>
        <v>242</v>
      </c>
      <c r="DI22" s="27">
        <f>IF(ISNUMBER(VLOOKUP($D22,'Visu totale'!$D:$DH,DI$1,0)),DH22-VLOOKUP($D22,'Visu totale'!$D:$DH,DI$1,0),IF(LEFT(VLOOKUP($D22,'Visu totale'!$D:$DH,DI$1,0),1)="V",IF(DH22&gt;=INDEX('[1]Définition Maintenances'!$G:$G,MATCH($A22,'[1]Définition Maintenances'!$K:$K,0)),DH22,INDEX('[1]Définition Maintenances'!$G:$G,MATCH($A22,'[1]Définition Maintenances'!$K:$K,0))+DH22),DH22))</f>
        <v>242</v>
      </c>
    </row>
    <row r="23" spans="1:113" x14ac:dyDescent="0.25">
      <c r="A23" s="13" t="str">
        <f t="shared" si="0"/>
        <v>V10D</v>
      </c>
      <c r="B23" s="13" t="str">
        <f>VLOOKUP(D23,'[1]Avions (Potentiels)'!$B$2:$H$128,7,FALSE)</f>
        <v>V10</v>
      </c>
      <c r="C23" s="13"/>
      <c r="D23" s="16" t="s">
        <v>26</v>
      </c>
      <c r="E23" s="13">
        <f>IFERROR(VALUE(SUBSTITUTE(VLOOKUP(D23,'[1]Avions (Potentiels)'!$B:$E,4,0),".",",")),VALUE(VLOOKUP(D23,'[1]Avions (Potentiels)'!$B:$E,4,0)))</f>
        <v>456</v>
      </c>
      <c r="F23" s="25">
        <f>IF(ISNUMBER(VLOOKUP($D23,'Visu totale'!$D:$DH,F$1,0)),E23-VLOOKUP($D23,'Visu totale'!$D:$DH,F$1,0),IF(LEFT(VLOOKUP($D23,'Visu totale'!$D:$DH,F$1,0),1)="V",IF(E23&gt;=INDEX('[1]Définition Maintenances'!$G:$G,MATCH($A23,'[1]Définition Maintenances'!$K:$K,0)),E23,INDEX('[1]Définition Maintenances'!$G:$G,MATCH($A23,'[1]Définition Maintenances'!$K:$K,0))+E23),E23))</f>
        <v>456</v>
      </c>
      <c r="G23" s="26">
        <f>IF(ISNUMBER(VLOOKUP($D23,'Visu totale'!$D:$DH,G$1,0)),F23-VLOOKUP($D23,'Visu totale'!$D:$DH,G$1,0),IF(LEFT(VLOOKUP($D23,'Visu totale'!$D:$DH,G$1,0),1)="V",IF(F23&gt;=INDEX('[1]Définition Maintenances'!$G:$G,MATCH($A23,'[1]Définition Maintenances'!$K:$K,0)),F23,INDEX('[1]Définition Maintenances'!$G:$G,MATCH($A23,'[1]Définition Maintenances'!$K:$K,0))+F23),F23))</f>
        <v>456</v>
      </c>
      <c r="H23" s="26">
        <f>IF(ISNUMBER(VLOOKUP($D23,'Visu totale'!$D:$DH,H$1,0)),G23-VLOOKUP($D23,'Visu totale'!$D:$DH,H$1,0),IF(LEFT(VLOOKUP($D23,'Visu totale'!$D:$DH,H$1,0),1)="V",IF(G23&gt;=INDEX('[1]Définition Maintenances'!$G:$G,MATCH($A23,'[1]Définition Maintenances'!$K:$K,0)),G23,INDEX('[1]Définition Maintenances'!$G:$G,MATCH($A23,'[1]Définition Maintenances'!$K:$K,0))+G23),G23))</f>
        <v>456</v>
      </c>
      <c r="I23" s="26">
        <f>IF(ISNUMBER(VLOOKUP($D23,'Visu totale'!$D:$DH,I$1,0)),H23-VLOOKUP($D23,'Visu totale'!$D:$DH,I$1,0),IF(LEFT(VLOOKUP($D23,'Visu totale'!$D:$DH,I$1,0),1)="V",IF(H23&gt;=INDEX('[1]Définition Maintenances'!$G:$G,MATCH($A23,'[1]Définition Maintenances'!$K:$K,0)),H23,INDEX('[1]Définition Maintenances'!$G:$G,MATCH($A23,'[1]Définition Maintenances'!$K:$K,0))+H23),H23))</f>
        <v>456</v>
      </c>
      <c r="J23" s="26">
        <f>IF(ISNUMBER(VLOOKUP($D23,'Visu totale'!$D:$DH,J$1,0)),I23-VLOOKUP($D23,'Visu totale'!$D:$DH,J$1,0),IF(LEFT(VLOOKUP($D23,'Visu totale'!$D:$DH,J$1,0),1)="V",IF(I23&gt;=INDEX('[1]Définition Maintenances'!$G:$G,MATCH($A23,'[1]Définition Maintenances'!$K:$K,0)),I23,INDEX('[1]Définition Maintenances'!$G:$G,MATCH($A23,'[1]Définition Maintenances'!$K:$K,0))+I23),I23))</f>
        <v>456</v>
      </c>
      <c r="K23" s="26">
        <f>IF(ISNUMBER(VLOOKUP($D23,'Visu totale'!$D:$DH,K$1,0)),J23-VLOOKUP($D23,'Visu totale'!$D:$DH,K$1,0),IF(LEFT(VLOOKUP($D23,'Visu totale'!$D:$DH,K$1,0),1)="V",IF(J23&gt;=INDEX('[1]Définition Maintenances'!$G:$G,MATCH($A23,'[1]Définition Maintenances'!$K:$K,0)),J23,INDEX('[1]Définition Maintenances'!$G:$G,MATCH($A23,'[1]Définition Maintenances'!$K:$K,0))+J23),J23))</f>
        <v>456</v>
      </c>
      <c r="L23" s="26">
        <f>IF(ISNUMBER(VLOOKUP($D23,'Visu totale'!$D:$DH,L$1,0)),K23-VLOOKUP($D23,'Visu totale'!$D:$DH,L$1,0),IF(LEFT(VLOOKUP($D23,'Visu totale'!$D:$DH,L$1,0),1)="V",IF(K23&gt;=INDEX('[1]Définition Maintenances'!$G:$G,MATCH($A23,'[1]Définition Maintenances'!$K:$K,0)),K23,INDEX('[1]Définition Maintenances'!$G:$G,MATCH($A23,'[1]Définition Maintenances'!$K:$K,0))+K23),K23))</f>
        <v>456</v>
      </c>
      <c r="M23" s="26">
        <f>IF(ISNUMBER(VLOOKUP($D23,'Visu totale'!$D:$DH,M$1,0)),L23-VLOOKUP($D23,'Visu totale'!$D:$DH,M$1,0),IF(LEFT(VLOOKUP($D23,'Visu totale'!$D:$DH,M$1,0),1)="V",IF(L23&gt;=INDEX('[1]Définition Maintenances'!$G:$G,MATCH($A23,'[1]Définition Maintenances'!$K:$K,0)),L23,INDEX('[1]Définition Maintenances'!$G:$G,MATCH($A23,'[1]Définition Maintenances'!$K:$K,0))+L23),L23))</f>
        <v>456</v>
      </c>
      <c r="N23" s="26">
        <f>IF(ISNUMBER(VLOOKUP($D23,'Visu totale'!$D:$DH,N$1,0)),M23-VLOOKUP($D23,'Visu totale'!$D:$DH,N$1,0),IF(LEFT(VLOOKUP($D23,'Visu totale'!$D:$DH,N$1,0),1)="V",IF(M23&gt;=INDEX('[1]Définition Maintenances'!$G:$G,MATCH($A23,'[1]Définition Maintenances'!$K:$K,0)),M23,INDEX('[1]Définition Maintenances'!$G:$G,MATCH($A23,'[1]Définition Maintenances'!$K:$K,0))+M23),M23))</f>
        <v>456</v>
      </c>
      <c r="O23" s="26">
        <f>IF(ISNUMBER(VLOOKUP($D23,'Visu totale'!$D:$DH,O$1,0)),N23-VLOOKUP($D23,'Visu totale'!$D:$DH,O$1,0),IF(LEFT(VLOOKUP($D23,'Visu totale'!$D:$DH,O$1,0),1)="V",IF(N23&gt;=INDEX('[1]Définition Maintenances'!$G:$G,MATCH($A23,'[1]Définition Maintenances'!$K:$K,0)),N23,INDEX('[1]Définition Maintenances'!$G:$G,MATCH($A23,'[1]Définition Maintenances'!$K:$K,0))+N23),N23))</f>
        <v>456</v>
      </c>
      <c r="P23" s="26">
        <f>IF(ISNUMBER(VLOOKUP($D23,'Visu totale'!$D:$DH,P$1,0)),O23-VLOOKUP($D23,'Visu totale'!$D:$DH,P$1,0),IF(LEFT(VLOOKUP($D23,'Visu totale'!$D:$DH,P$1,0),1)="V",IF(O23&gt;=INDEX('[1]Définition Maintenances'!$G:$G,MATCH($A23,'[1]Définition Maintenances'!$K:$K,0)),O23,INDEX('[1]Définition Maintenances'!$G:$G,MATCH($A23,'[1]Définition Maintenances'!$K:$K,0))+O23),O23))</f>
        <v>456</v>
      </c>
      <c r="Q23" s="27">
        <f>IF(ISNUMBER(VLOOKUP($D23,'Visu totale'!$D:$DH,Q$1,0)),P23-VLOOKUP($D23,'Visu totale'!$D:$DH,Q$1,0),IF(LEFT(VLOOKUP($D23,'Visu totale'!$D:$DH,Q$1,0),1)="V",IF(P23&gt;=INDEX('[1]Définition Maintenances'!$G:$G,MATCH($A23,'[1]Définition Maintenances'!$K:$K,0)),P23,INDEX('[1]Définition Maintenances'!$G:$G,MATCH($A23,'[1]Définition Maintenances'!$K:$K,0))+P23),P23))</f>
        <v>456</v>
      </c>
      <c r="R23" s="25">
        <f>IF(ISNUMBER(VLOOKUP($D23,'Visu totale'!$D:$DH,R$1,0)),Q23-VLOOKUP($D23,'Visu totale'!$D:$DH,R$1,0),IF(LEFT(VLOOKUP($D23,'Visu totale'!$D:$DH,R$1,0),1)="V",IF(Q23&gt;=INDEX('[1]Définition Maintenances'!$G:$G,MATCH($A23,'[1]Définition Maintenances'!$K:$K,0)),Q23,INDEX('[1]Définition Maintenances'!$G:$G,MATCH($A23,'[1]Définition Maintenances'!$K:$K,0))+Q23),Q23))</f>
        <v>456</v>
      </c>
      <c r="S23" s="26">
        <f>IF(ISNUMBER(VLOOKUP($D23,'Visu totale'!$D:$DH,S$1,0)),R23-VLOOKUP($D23,'Visu totale'!$D:$DH,S$1,0),IF(LEFT(VLOOKUP($D23,'Visu totale'!$D:$DH,S$1,0),1)="V",IF(R23&gt;=INDEX('[1]Définition Maintenances'!$G:$G,MATCH($A23,'[1]Définition Maintenances'!$K:$K,0)),R23,INDEX('[1]Définition Maintenances'!$G:$G,MATCH($A23,'[1]Définition Maintenances'!$K:$K,0))+R23),R23))</f>
        <v>456</v>
      </c>
      <c r="T23" s="26">
        <f>IF(ISNUMBER(VLOOKUP($D23,'Visu totale'!$D:$DH,T$1,0)),S23-VLOOKUP($D23,'Visu totale'!$D:$DH,T$1,0),IF(LEFT(VLOOKUP($D23,'Visu totale'!$D:$DH,T$1,0),1)="V",IF(S23&gt;=INDEX('[1]Définition Maintenances'!$G:$G,MATCH($A23,'[1]Définition Maintenances'!$K:$K,0)),S23,INDEX('[1]Définition Maintenances'!$G:$G,MATCH($A23,'[1]Définition Maintenances'!$K:$K,0))+S23),S23))</f>
        <v>456</v>
      </c>
      <c r="U23" s="26">
        <f>IF(ISNUMBER(VLOOKUP($D23,'Visu totale'!$D:$DH,U$1,0)),T23-VLOOKUP($D23,'Visu totale'!$D:$DH,U$1,0),IF(LEFT(VLOOKUP($D23,'Visu totale'!$D:$DH,U$1,0),1)="V",IF(T23&gt;=INDEX('[1]Définition Maintenances'!$G:$G,MATCH($A23,'[1]Définition Maintenances'!$K:$K,0)),T23,INDEX('[1]Définition Maintenances'!$G:$G,MATCH($A23,'[1]Définition Maintenances'!$K:$K,0))+T23),T23))</f>
        <v>456</v>
      </c>
      <c r="V23" s="26">
        <f>IF(ISNUMBER(VLOOKUP($D23,'Visu totale'!$D:$DH,V$1,0)),U23-VLOOKUP($D23,'Visu totale'!$D:$DH,V$1,0),IF(LEFT(VLOOKUP($D23,'Visu totale'!$D:$DH,V$1,0),1)="V",IF(U23&gt;=INDEX('[1]Définition Maintenances'!$G:$G,MATCH($A23,'[1]Définition Maintenances'!$K:$K,0)),U23,INDEX('[1]Définition Maintenances'!$G:$G,MATCH($A23,'[1]Définition Maintenances'!$K:$K,0))+U23),U23))</f>
        <v>456</v>
      </c>
      <c r="W23" s="26">
        <f>IF(ISNUMBER(VLOOKUP($D23,'Visu totale'!$D:$DH,W$1,0)),V23-VLOOKUP($D23,'Visu totale'!$D:$DH,W$1,0),IF(LEFT(VLOOKUP($D23,'Visu totale'!$D:$DH,W$1,0),1)="V",IF(V23&gt;=INDEX('[1]Définition Maintenances'!$G:$G,MATCH($A23,'[1]Définition Maintenances'!$K:$K,0)),V23,INDEX('[1]Définition Maintenances'!$G:$G,MATCH($A23,'[1]Définition Maintenances'!$K:$K,0))+V23),V23))</f>
        <v>456</v>
      </c>
      <c r="X23" s="26">
        <f>IF(ISNUMBER(VLOOKUP($D23,'Visu totale'!$D:$DH,X$1,0)),W23-VLOOKUP($D23,'Visu totale'!$D:$DH,X$1,0),IF(LEFT(VLOOKUP($D23,'Visu totale'!$D:$DH,X$1,0),1)="V",IF(W23&gt;=INDEX('[1]Définition Maintenances'!$G:$G,MATCH($A23,'[1]Définition Maintenances'!$K:$K,0)),W23,INDEX('[1]Définition Maintenances'!$G:$G,MATCH($A23,'[1]Définition Maintenances'!$K:$K,0))+W23),W23))</f>
        <v>456</v>
      </c>
      <c r="Y23" s="26">
        <f>IF(ISNUMBER(VLOOKUP($D23,'Visu totale'!$D:$DH,Y$1,0)),X23-VLOOKUP($D23,'Visu totale'!$D:$DH,Y$1,0),IF(LEFT(VLOOKUP($D23,'Visu totale'!$D:$DH,Y$1,0),1)="V",IF(X23&gt;=INDEX('[1]Définition Maintenances'!$G:$G,MATCH($A23,'[1]Définition Maintenances'!$K:$K,0)),X23,INDEX('[1]Définition Maintenances'!$G:$G,MATCH($A23,'[1]Définition Maintenances'!$K:$K,0))+X23),X23))</f>
        <v>456</v>
      </c>
      <c r="Z23" s="26">
        <f>IF(ISNUMBER(VLOOKUP($D23,'Visu totale'!$D:$DH,Z$1,0)),Y23-VLOOKUP($D23,'Visu totale'!$D:$DH,Z$1,0),IF(LEFT(VLOOKUP($D23,'Visu totale'!$D:$DH,Z$1,0),1)="V",IF(Y23&gt;=INDEX('[1]Définition Maintenances'!$G:$G,MATCH($A23,'[1]Définition Maintenances'!$K:$K,0)),Y23,INDEX('[1]Définition Maintenances'!$G:$G,MATCH($A23,'[1]Définition Maintenances'!$K:$K,0))+Y23),Y23))</f>
        <v>456</v>
      </c>
      <c r="AA23" s="26">
        <f>IF(ISNUMBER(VLOOKUP($D23,'Visu totale'!$D:$DH,AA$1,0)),Z23-VLOOKUP($D23,'Visu totale'!$D:$DH,AA$1,0),IF(LEFT(VLOOKUP($D23,'Visu totale'!$D:$DH,AA$1,0),1)="V",IF(Z23&gt;=INDEX('[1]Définition Maintenances'!$G:$G,MATCH($A23,'[1]Définition Maintenances'!$K:$K,0)),Z23,INDEX('[1]Définition Maintenances'!$G:$G,MATCH($A23,'[1]Définition Maintenances'!$K:$K,0))+Z23),Z23))</f>
        <v>456</v>
      </c>
      <c r="AB23" s="26">
        <f>IF(ISNUMBER(VLOOKUP($D23,'Visu totale'!$D:$DH,AB$1,0)),AA23-VLOOKUP($D23,'Visu totale'!$D:$DH,AB$1,0),IF(LEFT(VLOOKUP($D23,'Visu totale'!$D:$DH,AB$1,0),1)="V",IF(AA23&gt;=INDEX('[1]Définition Maintenances'!$G:$G,MATCH($A23,'[1]Définition Maintenances'!$K:$K,0)),AA23,INDEX('[1]Définition Maintenances'!$G:$G,MATCH($A23,'[1]Définition Maintenances'!$K:$K,0))+AA23),AA23))</f>
        <v>456</v>
      </c>
      <c r="AC23" s="27">
        <f>IF(ISNUMBER(VLOOKUP($D23,'Visu totale'!$D:$DH,AC$1,0)),AB23-VLOOKUP($D23,'Visu totale'!$D:$DH,AC$1,0),IF(LEFT(VLOOKUP($D23,'Visu totale'!$D:$DH,AC$1,0),1)="V",IF(AB23&gt;=INDEX('[1]Définition Maintenances'!$G:$G,MATCH($A23,'[1]Définition Maintenances'!$K:$K,0)),AB23,INDEX('[1]Définition Maintenances'!$G:$G,MATCH($A23,'[1]Définition Maintenances'!$K:$K,0))+AB23),AB23))</f>
        <v>456</v>
      </c>
      <c r="AD23" s="25">
        <f>IF(ISNUMBER(VLOOKUP($D23,'Visu totale'!$D:$DH,AD$1,0)),AC23-VLOOKUP($D23,'Visu totale'!$D:$DH,AD$1,0),IF(LEFT(VLOOKUP($D23,'Visu totale'!$D:$DH,AD$1,0),1)="V",IF(AC23&gt;=INDEX('[1]Définition Maintenances'!$G:$G,MATCH($A23,'[1]Définition Maintenances'!$K:$K,0)),AC23,INDEX('[1]Définition Maintenances'!$G:$G,MATCH($A23,'[1]Définition Maintenances'!$K:$K,0))+AC23),AC23))</f>
        <v>456</v>
      </c>
      <c r="AE23" s="26">
        <f>IF(ISNUMBER(VLOOKUP($D23,'Visu totale'!$D:$DH,AE$1,0)),AD23-VLOOKUP($D23,'Visu totale'!$D:$DH,AE$1,0),IF(LEFT(VLOOKUP($D23,'Visu totale'!$D:$DH,AE$1,0),1)="V",IF(AD23&gt;=INDEX('[1]Définition Maintenances'!$G:$G,MATCH($A23,'[1]Définition Maintenances'!$K:$K,0)),AD23,INDEX('[1]Définition Maintenances'!$G:$G,MATCH($A23,'[1]Définition Maintenances'!$K:$K,0))+AD23),AD23))</f>
        <v>456</v>
      </c>
      <c r="AF23" s="26">
        <f>IF(ISNUMBER(VLOOKUP($D23,'Visu totale'!$D:$DH,AF$1,0)),AE23-VLOOKUP($D23,'Visu totale'!$D:$DH,AF$1,0),IF(LEFT(VLOOKUP($D23,'Visu totale'!$D:$DH,AF$1,0),1)="V",IF(AE23&gt;=INDEX('[1]Définition Maintenances'!$G:$G,MATCH($A23,'[1]Définition Maintenances'!$K:$K,0)),AE23,INDEX('[1]Définition Maintenances'!$G:$G,MATCH($A23,'[1]Définition Maintenances'!$K:$K,0))+AE23),AE23))</f>
        <v>456</v>
      </c>
      <c r="AG23" s="26">
        <f>IF(ISNUMBER(VLOOKUP($D23,'Visu totale'!$D:$DH,AG$1,0)),AF23-VLOOKUP($D23,'Visu totale'!$D:$DH,AG$1,0),IF(LEFT(VLOOKUP($D23,'Visu totale'!$D:$DH,AG$1,0),1)="V",IF(AF23&gt;=INDEX('[1]Définition Maintenances'!$G:$G,MATCH($A23,'[1]Définition Maintenances'!$K:$K,0)),AF23,INDEX('[1]Définition Maintenances'!$G:$G,MATCH($A23,'[1]Définition Maintenances'!$K:$K,0))+AF23),AF23))</f>
        <v>456</v>
      </c>
      <c r="AH23" s="26">
        <f>IF(ISNUMBER(VLOOKUP($D23,'Visu totale'!$D:$DH,AH$1,0)),AG23-VLOOKUP($D23,'Visu totale'!$D:$DH,AH$1,0),IF(LEFT(VLOOKUP($D23,'Visu totale'!$D:$DH,AH$1,0),1)="V",IF(AG23&gt;=INDEX('[1]Définition Maintenances'!$G:$G,MATCH($A23,'[1]Définition Maintenances'!$K:$K,0)),AG23,INDEX('[1]Définition Maintenances'!$G:$G,MATCH($A23,'[1]Définition Maintenances'!$K:$K,0))+AG23),AG23))</f>
        <v>456</v>
      </c>
      <c r="AI23" s="26">
        <f>IF(ISNUMBER(VLOOKUP($D23,'Visu totale'!$D:$DH,AI$1,0)),AH23-VLOOKUP($D23,'Visu totale'!$D:$DH,AI$1,0),IF(LEFT(VLOOKUP($D23,'Visu totale'!$D:$DH,AI$1,0),1)="V",IF(AH23&gt;=INDEX('[1]Définition Maintenances'!$G:$G,MATCH($A23,'[1]Définition Maintenances'!$K:$K,0)),AH23,INDEX('[1]Définition Maintenances'!$G:$G,MATCH($A23,'[1]Définition Maintenances'!$K:$K,0))+AH23),AH23))</f>
        <v>456</v>
      </c>
      <c r="AJ23" s="26">
        <f>IF(ISNUMBER(VLOOKUP($D23,'Visu totale'!$D:$DH,AJ$1,0)),AI23-VLOOKUP($D23,'Visu totale'!$D:$DH,AJ$1,0),IF(LEFT(VLOOKUP($D23,'Visu totale'!$D:$DH,AJ$1,0),1)="V",IF(AI23&gt;=INDEX('[1]Définition Maintenances'!$G:$G,MATCH($A23,'[1]Définition Maintenances'!$K:$K,0)),AI23,INDEX('[1]Définition Maintenances'!$G:$G,MATCH($A23,'[1]Définition Maintenances'!$K:$K,0))+AI23),AI23))</f>
        <v>456</v>
      </c>
      <c r="AK23" s="26">
        <f>IF(ISNUMBER(VLOOKUP($D23,'Visu totale'!$D:$DH,AK$1,0)),AJ23-VLOOKUP($D23,'Visu totale'!$D:$DH,AK$1,0),IF(LEFT(VLOOKUP($D23,'Visu totale'!$D:$DH,AK$1,0),1)="V",IF(AJ23&gt;=INDEX('[1]Définition Maintenances'!$G:$G,MATCH($A23,'[1]Définition Maintenances'!$K:$K,0)),AJ23,INDEX('[1]Définition Maintenances'!$G:$G,MATCH($A23,'[1]Définition Maintenances'!$K:$K,0))+AJ23),AJ23))</f>
        <v>456</v>
      </c>
      <c r="AL23" s="26">
        <f>IF(ISNUMBER(VLOOKUP($D23,'Visu totale'!$D:$DH,AL$1,0)),AK23-VLOOKUP($D23,'Visu totale'!$D:$DH,AL$1,0),IF(LEFT(VLOOKUP($D23,'Visu totale'!$D:$DH,AL$1,0),1)="V",IF(AK23&gt;=INDEX('[1]Définition Maintenances'!$G:$G,MATCH($A23,'[1]Définition Maintenances'!$K:$K,0)),AK23,INDEX('[1]Définition Maintenances'!$G:$G,MATCH($A23,'[1]Définition Maintenances'!$K:$K,0))+AK23),AK23))</f>
        <v>456</v>
      </c>
      <c r="AM23" s="26">
        <f>IF(ISNUMBER(VLOOKUP($D23,'Visu totale'!$D:$DH,AM$1,0)),AL23-VLOOKUP($D23,'Visu totale'!$D:$DH,AM$1,0),IF(LEFT(VLOOKUP($D23,'Visu totale'!$D:$DH,AM$1,0),1)="V",IF(AL23&gt;=INDEX('[1]Définition Maintenances'!$G:$G,MATCH($A23,'[1]Définition Maintenances'!$K:$K,0)),AL23,INDEX('[1]Définition Maintenances'!$G:$G,MATCH($A23,'[1]Définition Maintenances'!$K:$K,0))+AL23),AL23))</f>
        <v>456</v>
      </c>
      <c r="AN23" s="26">
        <f>IF(ISNUMBER(VLOOKUP($D23,'Visu totale'!$D:$DH,AN$1,0)),AM23-VLOOKUP($D23,'Visu totale'!$D:$DH,AN$1,0),IF(LEFT(VLOOKUP($D23,'Visu totale'!$D:$DH,AN$1,0),1)="V",IF(AM23&gt;=INDEX('[1]Définition Maintenances'!$G:$G,MATCH($A23,'[1]Définition Maintenances'!$K:$K,0)),AM23,INDEX('[1]Définition Maintenances'!$G:$G,MATCH($A23,'[1]Définition Maintenances'!$K:$K,0))+AM23),AM23))</f>
        <v>456</v>
      </c>
      <c r="AO23" s="27">
        <f>IF(ISNUMBER(VLOOKUP($D23,'Visu totale'!$D:$DH,AO$1,0)),AN23-VLOOKUP($D23,'Visu totale'!$D:$DH,AO$1,0),IF(LEFT(VLOOKUP($D23,'Visu totale'!$D:$DH,AO$1,0),1)="V",IF(AN23&gt;=INDEX('[1]Définition Maintenances'!$G:$G,MATCH($A23,'[1]Définition Maintenances'!$K:$K,0)),AN23,INDEX('[1]Définition Maintenances'!$G:$G,MATCH($A23,'[1]Définition Maintenances'!$K:$K,0))+AN23),AN23))</f>
        <v>456</v>
      </c>
      <c r="AP23" s="25">
        <f>IF(ISNUMBER(VLOOKUP($D23,'Visu totale'!$D:$DH,AP$1,0)),AO23-VLOOKUP($D23,'Visu totale'!$D:$DH,AP$1,0),IF(LEFT(VLOOKUP($D23,'Visu totale'!$D:$DH,AP$1,0),1)="V",IF(AO23&gt;=INDEX('[1]Définition Maintenances'!$G:$G,MATCH($A23,'[1]Définition Maintenances'!$K:$K,0)),AO23,INDEX('[1]Définition Maintenances'!$G:$G,MATCH($A23,'[1]Définition Maintenances'!$K:$K,0))+AO23),AO23))</f>
        <v>456</v>
      </c>
      <c r="AQ23" s="26">
        <f>IF(ISNUMBER(VLOOKUP($D23,'Visu totale'!$D:$DH,AQ$1,0)),AP23-VLOOKUP($D23,'Visu totale'!$D:$DH,AQ$1,0),IF(LEFT(VLOOKUP($D23,'Visu totale'!$D:$DH,AQ$1,0),1)="V",IF(AP23&gt;=INDEX('[1]Définition Maintenances'!$G:$G,MATCH($A23,'[1]Définition Maintenances'!$K:$K,0)),AP23,INDEX('[1]Définition Maintenances'!$G:$G,MATCH($A23,'[1]Définition Maintenances'!$K:$K,0))+AP23),AP23))</f>
        <v>456</v>
      </c>
      <c r="AR23" s="26">
        <f>IF(ISNUMBER(VLOOKUP($D23,'Visu totale'!$D:$DH,AR$1,0)),AQ23-VLOOKUP($D23,'Visu totale'!$D:$DH,AR$1,0),IF(LEFT(VLOOKUP($D23,'Visu totale'!$D:$DH,AR$1,0),1)="V",IF(AQ23&gt;=INDEX('[1]Définition Maintenances'!$G:$G,MATCH($A23,'[1]Définition Maintenances'!$K:$K,0)),AQ23,INDEX('[1]Définition Maintenances'!$G:$G,MATCH($A23,'[1]Définition Maintenances'!$K:$K,0))+AQ23),AQ23))</f>
        <v>456</v>
      </c>
      <c r="AS23" s="26">
        <f>IF(ISNUMBER(VLOOKUP($D23,'Visu totale'!$D:$DH,AS$1,0)),AR23-VLOOKUP($D23,'Visu totale'!$D:$DH,AS$1,0),IF(LEFT(VLOOKUP($D23,'Visu totale'!$D:$DH,AS$1,0),1)="V",IF(AR23&gt;=INDEX('[1]Définition Maintenances'!$G:$G,MATCH($A23,'[1]Définition Maintenances'!$K:$K,0)),AR23,INDEX('[1]Définition Maintenances'!$G:$G,MATCH($A23,'[1]Définition Maintenances'!$K:$K,0))+AR23),AR23))</f>
        <v>456</v>
      </c>
      <c r="AT23" s="26">
        <f>IF(ISNUMBER(VLOOKUP($D23,'Visu totale'!$D:$DH,AT$1,0)),AS23-VLOOKUP($D23,'Visu totale'!$D:$DH,AT$1,0),IF(LEFT(VLOOKUP($D23,'Visu totale'!$D:$DH,AT$1,0),1)="V",IF(AS23&gt;=INDEX('[1]Définition Maintenances'!$G:$G,MATCH($A23,'[1]Définition Maintenances'!$K:$K,0)),AS23,INDEX('[1]Définition Maintenances'!$G:$G,MATCH($A23,'[1]Définition Maintenances'!$K:$K,0))+AS23),AS23))</f>
        <v>456</v>
      </c>
      <c r="AU23" s="26">
        <f>IF(ISNUMBER(VLOOKUP($D23,'Visu totale'!$D:$DH,AU$1,0)),AT23-VLOOKUP($D23,'Visu totale'!$D:$DH,AU$1,0),IF(LEFT(VLOOKUP($D23,'Visu totale'!$D:$DH,AU$1,0),1)="V",IF(AT23&gt;=INDEX('[1]Définition Maintenances'!$G:$G,MATCH($A23,'[1]Définition Maintenances'!$K:$K,0)),AT23,INDEX('[1]Définition Maintenances'!$G:$G,MATCH($A23,'[1]Définition Maintenances'!$K:$K,0))+AT23),AT23))</f>
        <v>456</v>
      </c>
      <c r="AV23" s="26">
        <f>IF(ISNUMBER(VLOOKUP($D23,'Visu totale'!$D:$DH,AV$1,0)),AU23-VLOOKUP($D23,'Visu totale'!$D:$DH,AV$1,0),IF(LEFT(VLOOKUP($D23,'Visu totale'!$D:$DH,AV$1,0),1)="V",IF(AU23&gt;=INDEX('[1]Définition Maintenances'!$G:$G,MATCH($A23,'[1]Définition Maintenances'!$K:$K,0)),AU23,INDEX('[1]Définition Maintenances'!$G:$G,MATCH($A23,'[1]Définition Maintenances'!$K:$K,0))+AU23),AU23))</f>
        <v>456</v>
      </c>
      <c r="AW23" s="26">
        <f>IF(ISNUMBER(VLOOKUP($D23,'Visu totale'!$D:$DH,AW$1,0)),AV23-VLOOKUP($D23,'Visu totale'!$D:$DH,AW$1,0),IF(LEFT(VLOOKUP($D23,'Visu totale'!$D:$DH,AW$1,0),1)="V",IF(AV23&gt;=INDEX('[1]Définition Maintenances'!$G:$G,MATCH($A23,'[1]Définition Maintenances'!$K:$K,0)),AV23,INDEX('[1]Définition Maintenances'!$G:$G,MATCH($A23,'[1]Définition Maintenances'!$K:$K,0))+AV23),AV23))</f>
        <v>456</v>
      </c>
      <c r="AX23" s="26">
        <f>IF(ISNUMBER(VLOOKUP($D23,'Visu totale'!$D:$DH,AX$1,0)),AW23-VLOOKUP($D23,'Visu totale'!$D:$DH,AX$1,0),IF(LEFT(VLOOKUP($D23,'Visu totale'!$D:$DH,AX$1,0),1)="V",IF(AW23&gt;=INDEX('[1]Définition Maintenances'!$G:$G,MATCH($A23,'[1]Définition Maintenances'!$K:$K,0)),AW23,INDEX('[1]Définition Maintenances'!$G:$G,MATCH($A23,'[1]Définition Maintenances'!$K:$K,0))+AW23),AW23))</f>
        <v>456</v>
      </c>
      <c r="AY23" s="26">
        <f>IF(ISNUMBER(VLOOKUP($D23,'Visu totale'!$D:$DH,AY$1,0)),AX23-VLOOKUP($D23,'Visu totale'!$D:$DH,AY$1,0),IF(LEFT(VLOOKUP($D23,'Visu totale'!$D:$DH,AY$1,0),1)="V",IF(AX23&gt;=INDEX('[1]Définition Maintenances'!$G:$G,MATCH($A23,'[1]Définition Maintenances'!$K:$K,0)),AX23,INDEX('[1]Définition Maintenances'!$G:$G,MATCH($A23,'[1]Définition Maintenances'!$K:$K,0))+AX23),AX23))</f>
        <v>456</v>
      </c>
      <c r="AZ23" s="26">
        <f>IF(ISNUMBER(VLOOKUP($D23,'Visu totale'!$D:$DH,AZ$1,0)),AY23-VLOOKUP($D23,'Visu totale'!$D:$DH,AZ$1,0),IF(LEFT(VLOOKUP($D23,'Visu totale'!$D:$DH,AZ$1,0),1)="V",IF(AY23&gt;=INDEX('[1]Définition Maintenances'!$G:$G,MATCH($A23,'[1]Définition Maintenances'!$K:$K,0)),AY23,INDEX('[1]Définition Maintenances'!$G:$G,MATCH($A23,'[1]Définition Maintenances'!$K:$K,0))+AY23),AY23))</f>
        <v>456</v>
      </c>
      <c r="BA23" s="27">
        <f>IF(ISNUMBER(VLOOKUP($D23,'Visu totale'!$D:$DH,BA$1,0)),AZ23-VLOOKUP($D23,'Visu totale'!$D:$DH,BA$1,0),IF(LEFT(VLOOKUP($D23,'Visu totale'!$D:$DH,BA$1,0),1)="V",IF(AZ23&gt;=INDEX('[1]Définition Maintenances'!$G:$G,MATCH($A23,'[1]Définition Maintenances'!$K:$K,0)),AZ23,INDEX('[1]Définition Maintenances'!$G:$G,MATCH($A23,'[1]Définition Maintenances'!$K:$K,0))+AZ23),AZ23))</f>
        <v>456</v>
      </c>
      <c r="BB23" s="25">
        <f>IF(ISNUMBER(VLOOKUP($D23,'Visu totale'!$D:$DH,BB$1,0)),BA23-VLOOKUP($D23,'Visu totale'!$D:$DH,BB$1,0),IF(LEFT(VLOOKUP($D23,'Visu totale'!$D:$DH,BB$1,0),1)="V",IF(BA23&gt;=INDEX('[1]Définition Maintenances'!$G:$G,MATCH($A23,'[1]Définition Maintenances'!$K:$K,0)),BA23,INDEX('[1]Définition Maintenances'!$G:$G,MATCH($A23,'[1]Définition Maintenances'!$K:$K,0))+BA23),BA23))</f>
        <v>456</v>
      </c>
      <c r="BC23" s="26">
        <f>IF(ISNUMBER(VLOOKUP($D23,'Visu totale'!$D:$DH,BC$1,0)),BB23-VLOOKUP($D23,'Visu totale'!$D:$DH,BC$1,0),IF(LEFT(VLOOKUP($D23,'Visu totale'!$D:$DH,BC$1,0),1)="V",IF(BB23&gt;=INDEX('[1]Définition Maintenances'!$G:$G,MATCH($A23,'[1]Définition Maintenances'!$K:$K,0)),BB23,INDEX('[1]Définition Maintenances'!$G:$G,MATCH($A23,'[1]Définition Maintenances'!$K:$K,0))+BB23),BB23))</f>
        <v>456</v>
      </c>
      <c r="BD23" s="26">
        <f>IF(ISNUMBER(VLOOKUP($D23,'Visu totale'!$D:$DH,BD$1,0)),BC23-VLOOKUP($D23,'Visu totale'!$D:$DH,BD$1,0),IF(LEFT(VLOOKUP($D23,'Visu totale'!$D:$DH,BD$1,0),1)="V",IF(BC23&gt;=INDEX('[1]Définition Maintenances'!$G:$G,MATCH($A23,'[1]Définition Maintenances'!$K:$K,0)),BC23,INDEX('[1]Définition Maintenances'!$G:$G,MATCH($A23,'[1]Définition Maintenances'!$K:$K,0))+BC23),BC23))</f>
        <v>456</v>
      </c>
      <c r="BE23" s="26">
        <f>IF(ISNUMBER(VLOOKUP($D23,'Visu totale'!$D:$DH,BE$1,0)),BD23-VLOOKUP($D23,'Visu totale'!$D:$DH,BE$1,0),IF(LEFT(VLOOKUP($D23,'Visu totale'!$D:$DH,BE$1,0),1)="V",IF(BD23&gt;=INDEX('[1]Définition Maintenances'!$G:$G,MATCH($A23,'[1]Définition Maintenances'!$K:$K,0)),BD23,INDEX('[1]Définition Maintenances'!$G:$G,MATCH($A23,'[1]Définition Maintenances'!$K:$K,0))+BD23),BD23))</f>
        <v>456</v>
      </c>
      <c r="BF23" s="26">
        <f>IF(ISNUMBER(VLOOKUP($D23,'Visu totale'!$D:$DH,BF$1,0)),BE23-VLOOKUP($D23,'Visu totale'!$D:$DH,BF$1,0),IF(LEFT(VLOOKUP($D23,'Visu totale'!$D:$DH,BF$1,0),1)="V",IF(BE23&gt;=INDEX('[1]Définition Maintenances'!$G:$G,MATCH($A23,'[1]Définition Maintenances'!$K:$K,0)),BE23,INDEX('[1]Définition Maintenances'!$G:$G,MATCH($A23,'[1]Définition Maintenances'!$K:$K,0))+BE23),BE23))</f>
        <v>456</v>
      </c>
      <c r="BG23" s="26">
        <f>IF(ISNUMBER(VLOOKUP($D23,'Visu totale'!$D:$DH,BG$1,0)),BF23-VLOOKUP($D23,'Visu totale'!$D:$DH,BG$1,0),IF(LEFT(VLOOKUP($D23,'Visu totale'!$D:$DH,BG$1,0),1)="V",IF(BF23&gt;=INDEX('[1]Définition Maintenances'!$G:$G,MATCH($A23,'[1]Définition Maintenances'!$K:$K,0)),BF23,INDEX('[1]Définition Maintenances'!$G:$G,MATCH($A23,'[1]Définition Maintenances'!$K:$K,0))+BF23),BF23))</f>
        <v>456</v>
      </c>
      <c r="BH23" s="26">
        <f>IF(ISNUMBER(VLOOKUP($D23,'Visu totale'!$D:$DH,BH$1,0)),BG23-VLOOKUP($D23,'Visu totale'!$D:$DH,BH$1,0),IF(LEFT(VLOOKUP($D23,'Visu totale'!$D:$DH,BH$1,0),1)="V",IF(BG23&gt;=INDEX('[1]Définition Maintenances'!$G:$G,MATCH($A23,'[1]Définition Maintenances'!$K:$K,0)),BG23,INDEX('[1]Définition Maintenances'!$G:$G,MATCH($A23,'[1]Définition Maintenances'!$K:$K,0))+BG23),BG23))</f>
        <v>456</v>
      </c>
      <c r="BI23" s="26">
        <f>IF(ISNUMBER(VLOOKUP($D23,'Visu totale'!$D:$DH,BI$1,0)),BH23-VLOOKUP($D23,'Visu totale'!$D:$DH,BI$1,0),IF(LEFT(VLOOKUP($D23,'Visu totale'!$D:$DH,BI$1,0),1)="V",IF(BH23&gt;=INDEX('[1]Définition Maintenances'!$G:$G,MATCH($A23,'[1]Définition Maintenances'!$K:$K,0)),BH23,INDEX('[1]Définition Maintenances'!$G:$G,MATCH($A23,'[1]Définition Maintenances'!$K:$K,0))+BH23),BH23))</f>
        <v>456</v>
      </c>
      <c r="BJ23" s="26">
        <f>IF(ISNUMBER(VLOOKUP($D23,'Visu totale'!$D:$DH,BJ$1,0)),BI23-VLOOKUP($D23,'Visu totale'!$D:$DH,BJ$1,0),IF(LEFT(VLOOKUP($D23,'Visu totale'!$D:$DH,BJ$1,0),1)="V",IF(BI23&gt;=INDEX('[1]Définition Maintenances'!$G:$G,MATCH($A23,'[1]Définition Maintenances'!$K:$K,0)),BI23,INDEX('[1]Définition Maintenances'!$G:$G,MATCH($A23,'[1]Définition Maintenances'!$K:$K,0))+BI23),BI23))</f>
        <v>456</v>
      </c>
      <c r="BK23" s="26">
        <f>IF(ISNUMBER(VLOOKUP($D23,'Visu totale'!$D:$DH,BK$1,0)),BJ23-VLOOKUP($D23,'Visu totale'!$D:$DH,BK$1,0),IF(LEFT(VLOOKUP($D23,'Visu totale'!$D:$DH,BK$1,0),1)="V",IF(BJ23&gt;=INDEX('[1]Définition Maintenances'!$G:$G,MATCH($A23,'[1]Définition Maintenances'!$K:$K,0)),BJ23,INDEX('[1]Définition Maintenances'!$G:$G,MATCH($A23,'[1]Définition Maintenances'!$K:$K,0))+BJ23),BJ23))</f>
        <v>456</v>
      </c>
      <c r="BL23" s="26">
        <f>IF(ISNUMBER(VLOOKUP($D23,'Visu totale'!$D:$DH,BL$1,0)),BK23-VLOOKUP($D23,'Visu totale'!$D:$DH,BL$1,0),IF(LEFT(VLOOKUP($D23,'Visu totale'!$D:$DH,BL$1,0),1)="V",IF(BK23&gt;=INDEX('[1]Définition Maintenances'!$G:$G,MATCH($A23,'[1]Définition Maintenances'!$K:$K,0)),BK23,INDEX('[1]Définition Maintenances'!$G:$G,MATCH($A23,'[1]Définition Maintenances'!$K:$K,0))+BK23),BK23))</f>
        <v>456</v>
      </c>
      <c r="BM23" s="27">
        <f>IF(ISNUMBER(VLOOKUP($D23,'Visu totale'!$D:$DH,BM$1,0)),BL23-VLOOKUP($D23,'Visu totale'!$D:$DH,BM$1,0),IF(LEFT(VLOOKUP($D23,'Visu totale'!$D:$DH,BM$1,0),1)="V",IF(BL23&gt;=INDEX('[1]Définition Maintenances'!$G:$G,MATCH($A23,'[1]Définition Maintenances'!$K:$K,0)),BL23,INDEX('[1]Définition Maintenances'!$G:$G,MATCH($A23,'[1]Définition Maintenances'!$K:$K,0))+BL23),BL23))</f>
        <v>456</v>
      </c>
      <c r="BN23" s="25">
        <f>IF(ISNUMBER(VLOOKUP($D23,'Visu totale'!$D:$DH,BN$1,0)),BM23-VLOOKUP($D23,'Visu totale'!$D:$DH,BN$1,0),IF(LEFT(VLOOKUP($D23,'Visu totale'!$D:$DH,BN$1,0),1)="V",IF(BM23&gt;=INDEX('[1]Définition Maintenances'!$G:$G,MATCH($A23,'[1]Définition Maintenances'!$K:$K,0)),BM23,INDEX('[1]Définition Maintenances'!$G:$G,MATCH($A23,'[1]Définition Maintenances'!$K:$K,0))+BM23),BM23))</f>
        <v>456</v>
      </c>
      <c r="BO23" s="26">
        <f>IF(ISNUMBER(VLOOKUP($D23,'Visu totale'!$D:$DH,BO$1,0)),BN23-VLOOKUP($D23,'Visu totale'!$D:$DH,BO$1,0),IF(LEFT(VLOOKUP($D23,'Visu totale'!$D:$DH,BO$1,0),1)="V",IF(BN23&gt;=INDEX('[1]Définition Maintenances'!$G:$G,MATCH($A23,'[1]Définition Maintenances'!$K:$K,0)),BN23,INDEX('[1]Définition Maintenances'!$G:$G,MATCH($A23,'[1]Définition Maintenances'!$K:$K,0))+BN23),BN23))</f>
        <v>456</v>
      </c>
      <c r="BP23" s="26">
        <f>IF(ISNUMBER(VLOOKUP($D23,'Visu totale'!$D:$DH,BP$1,0)),BO23-VLOOKUP($D23,'Visu totale'!$D:$DH,BP$1,0),IF(LEFT(VLOOKUP($D23,'Visu totale'!$D:$DH,BP$1,0),1)="V",IF(BO23&gt;=INDEX('[1]Définition Maintenances'!$G:$G,MATCH($A23,'[1]Définition Maintenances'!$K:$K,0)),BO23,INDEX('[1]Définition Maintenances'!$G:$G,MATCH($A23,'[1]Définition Maintenances'!$K:$K,0))+BO23),BO23))</f>
        <v>456</v>
      </c>
      <c r="BQ23" s="26">
        <f>IF(ISNUMBER(VLOOKUP($D23,'Visu totale'!$D:$DH,BQ$1,0)),BP23-VLOOKUP($D23,'Visu totale'!$D:$DH,BQ$1,0),IF(LEFT(VLOOKUP($D23,'Visu totale'!$D:$DH,BQ$1,0),1)="V",IF(BP23&gt;=INDEX('[1]Définition Maintenances'!$G:$G,MATCH($A23,'[1]Définition Maintenances'!$K:$K,0)),BP23,INDEX('[1]Définition Maintenances'!$G:$G,MATCH($A23,'[1]Définition Maintenances'!$K:$K,0))+BP23),BP23))</f>
        <v>456</v>
      </c>
      <c r="BR23" s="26">
        <f>IF(ISNUMBER(VLOOKUP($D23,'Visu totale'!$D:$DH,BR$1,0)),BQ23-VLOOKUP($D23,'Visu totale'!$D:$DH,BR$1,0),IF(LEFT(VLOOKUP($D23,'Visu totale'!$D:$DH,BR$1,0),1)="V",IF(BQ23&gt;=INDEX('[1]Définition Maintenances'!$G:$G,MATCH($A23,'[1]Définition Maintenances'!$K:$K,0)),BQ23,INDEX('[1]Définition Maintenances'!$G:$G,MATCH($A23,'[1]Définition Maintenances'!$K:$K,0))+BQ23),BQ23))</f>
        <v>456</v>
      </c>
      <c r="BS23" s="26">
        <f>IF(ISNUMBER(VLOOKUP($D23,'Visu totale'!$D:$DH,BS$1,0)),BR23-VLOOKUP($D23,'Visu totale'!$D:$DH,BS$1,0),IF(LEFT(VLOOKUP($D23,'Visu totale'!$D:$DH,BS$1,0),1)="V",IF(BR23&gt;=INDEX('[1]Définition Maintenances'!$G:$G,MATCH($A23,'[1]Définition Maintenances'!$K:$K,0)),BR23,INDEX('[1]Définition Maintenances'!$G:$G,MATCH($A23,'[1]Définition Maintenances'!$K:$K,0))+BR23),BR23))</f>
        <v>456</v>
      </c>
      <c r="BT23" s="26">
        <f>IF(ISNUMBER(VLOOKUP($D23,'Visu totale'!$D:$DH,BT$1,0)),BS23-VLOOKUP($D23,'Visu totale'!$D:$DH,BT$1,0),IF(LEFT(VLOOKUP($D23,'Visu totale'!$D:$DH,BT$1,0),1)="V",IF(BS23&gt;=INDEX('[1]Définition Maintenances'!$G:$G,MATCH($A23,'[1]Définition Maintenances'!$K:$K,0)),BS23,INDEX('[1]Définition Maintenances'!$G:$G,MATCH($A23,'[1]Définition Maintenances'!$K:$K,0))+BS23),BS23))</f>
        <v>456</v>
      </c>
      <c r="BU23" s="26">
        <f>IF(ISNUMBER(VLOOKUP($D23,'Visu totale'!$D:$DH,BU$1,0)),BT23-VLOOKUP($D23,'Visu totale'!$D:$DH,BU$1,0),IF(LEFT(VLOOKUP($D23,'Visu totale'!$D:$DH,BU$1,0),1)="V",IF(BT23&gt;=INDEX('[1]Définition Maintenances'!$G:$G,MATCH($A23,'[1]Définition Maintenances'!$K:$K,0)),BT23,INDEX('[1]Définition Maintenances'!$G:$G,MATCH($A23,'[1]Définition Maintenances'!$K:$K,0))+BT23),BT23))</f>
        <v>456</v>
      </c>
      <c r="BV23" s="26">
        <f>IF(ISNUMBER(VLOOKUP($D23,'Visu totale'!$D:$DH,BV$1,0)),BU23-VLOOKUP($D23,'Visu totale'!$D:$DH,BV$1,0),IF(LEFT(VLOOKUP($D23,'Visu totale'!$D:$DH,BV$1,0),1)="V",IF(BU23&gt;=INDEX('[1]Définition Maintenances'!$G:$G,MATCH($A23,'[1]Définition Maintenances'!$K:$K,0)),BU23,INDEX('[1]Définition Maintenances'!$G:$G,MATCH($A23,'[1]Définition Maintenances'!$K:$K,0))+BU23),BU23))</f>
        <v>456</v>
      </c>
      <c r="BW23" s="26">
        <f>IF(ISNUMBER(VLOOKUP($D23,'Visu totale'!$D:$DH,BW$1,0)),BV23-VLOOKUP($D23,'Visu totale'!$D:$DH,BW$1,0),IF(LEFT(VLOOKUP($D23,'Visu totale'!$D:$DH,BW$1,0),1)="V",IF(BV23&gt;=INDEX('[1]Définition Maintenances'!$G:$G,MATCH($A23,'[1]Définition Maintenances'!$K:$K,0)),BV23,INDEX('[1]Définition Maintenances'!$G:$G,MATCH($A23,'[1]Définition Maintenances'!$K:$K,0))+BV23),BV23))</f>
        <v>456</v>
      </c>
      <c r="BX23" s="26">
        <f>IF(ISNUMBER(VLOOKUP($D23,'Visu totale'!$D:$DH,BX$1,0)),BW23-VLOOKUP($D23,'Visu totale'!$D:$DH,BX$1,0),IF(LEFT(VLOOKUP($D23,'Visu totale'!$D:$DH,BX$1,0),1)="V",IF(BW23&gt;=INDEX('[1]Définition Maintenances'!$G:$G,MATCH($A23,'[1]Définition Maintenances'!$K:$K,0)),BW23,INDEX('[1]Définition Maintenances'!$G:$G,MATCH($A23,'[1]Définition Maintenances'!$K:$K,0))+BW23),BW23))</f>
        <v>456</v>
      </c>
      <c r="BY23" s="27">
        <f>IF(ISNUMBER(VLOOKUP($D23,'Visu totale'!$D:$DH,BY$1,0)),BX23-VLOOKUP($D23,'Visu totale'!$D:$DH,BY$1,0),IF(LEFT(VLOOKUP($D23,'Visu totale'!$D:$DH,BY$1,0),1)="V",IF(BX23&gt;=INDEX('[1]Définition Maintenances'!$G:$G,MATCH($A23,'[1]Définition Maintenances'!$K:$K,0)),BX23,INDEX('[1]Définition Maintenances'!$G:$G,MATCH($A23,'[1]Définition Maintenances'!$K:$K,0))+BX23),BX23))</f>
        <v>456</v>
      </c>
      <c r="BZ23" s="25">
        <f>IF(ISNUMBER(VLOOKUP($D23,'Visu totale'!$D:$DH,BZ$1,0)),BY23-VLOOKUP($D23,'Visu totale'!$D:$DH,BZ$1,0),IF(LEFT(VLOOKUP($D23,'Visu totale'!$D:$DH,BZ$1,0),1)="V",IF(BY23&gt;=INDEX('[1]Définition Maintenances'!$G:$G,MATCH($A23,'[1]Définition Maintenances'!$K:$K,0)),BY23,INDEX('[1]Définition Maintenances'!$G:$G,MATCH($A23,'[1]Définition Maintenances'!$K:$K,0))+BY23),BY23))</f>
        <v>456</v>
      </c>
      <c r="CA23" s="26">
        <f>IF(ISNUMBER(VLOOKUP($D23,'Visu totale'!$D:$DH,CA$1,0)),BZ23-VLOOKUP($D23,'Visu totale'!$D:$DH,CA$1,0),IF(LEFT(VLOOKUP($D23,'Visu totale'!$D:$DH,CA$1,0),1)="V",IF(BZ23&gt;=INDEX('[1]Définition Maintenances'!$G:$G,MATCH($A23,'[1]Définition Maintenances'!$K:$K,0)),BZ23,INDEX('[1]Définition Maintenances'!$G:$G,MATCH($A23,'[1]Définition Maintenances'!$K:$K,0))+BZ23),BZ23))</f>
        <v>456</v>
      </c>
      <c r="CB23" s="26">
        <f>IF(ISNUMBER(VLOOKUP($D23,'Visu totale'!$D:$DH,CB$1,0)),CA23-VLOOKUP($D23,'Visu totale'!$D:$DH,CB$1,0),IF(LEFT(VLOOKUP($D23,'Visu totale'!$D:$DH,CB$1,0),1)="V",IF(CA23&gt;=INDEX('[1]Définition Maintenances'!$G:$G,MATCH($A23,'[1]Définition Maintenances'!$K:$K,0)),CA23,INDEX('[1]Définition Maintenances'!$G:$G,MATCH($A23,'[1]Définition Maintenances'!$K:$K,0))+CA23),CA23))</f>
        <v>456</v>
      </c>
      <c r="CC23" s="26">
        <f>IF(ISNUMBER(VLOOKUP($D23,'Visu totale'!$D:$DH,CC$1,0)),CB23-VLOOKUP($D23,'Visu totale'!$D:$DH,CC$1,0),IF(LEFT(VLOOKUP($D23,'Visu totale'!$D:$DH,CC$1,0),1)="V",IF(CB23&gt;=INDEX('[1]Définition Maintenances'!$G:$G,MATCH($A23,'[1]Définition Maintenances'!$K:$K,0)),CB23,INDEX('[1]Définition Maintenances'!$G:$G,MATCH($A23,'[1]Définition Maintenances'!$K:$K,0))+CB23),CB23))</f>
        <v>456</v>
      </c>
      <c r="CD23" s="26">
        <f>IF(ISNUMBER(VLOOKUP($D23,'Visu totale'!$D:$DH,CD$1,0)),CC23-VLOOKUP($D23,'Visu totale'!$D:$DH,CD$1,0),IF(LEFT(VLOOKUP($D23,'Visu totale'!$D:$DH,CD$1,0),1)="V",IF(CC23&gt;=INDEX('[1]Définition Maintenances'!$G:$G,MATCH($A23,'[1]Définition Maintenances'!$K:$K,0)),CC23,INDEX('[1]Définition Maintenances'!$G:$G,MATCH($A23,'[1]Définition Maintenances'!$K:$K,0))+CC23),CC23))</f>
        <v>456</v>
      </c>
      <c r="CE23" s="26">
        <f>IF(ISNUMBER(VLOOKUP($D23,'Visu totale'!$D:$DH,CE$1,0)),CD23-VLOOKUP($D23,'Visu totale'!$D:$DH,CE$1,0),IF(LEFT(VLOOKUP($D23,'Visu totale'!$D:$DH,CE$1,0),1)="V",IF(CD23&gt;=INDEX('[1]Définition Maintenances'!$G:$G,MATCH($A23,'[1]Définition Maintenances'!$K:$K,0)),CD23,INDEX('[1]Définition Maintenances'!$G:$G,MATCH($A23,'[1]Définition Maintenances'!$K:$K,0))+CD23),CD23))</f>
        <v>456</v>
      </c>
      <c r="CF23" s="26">
        <f>IF(ISNUMBER(VLOOKUP($D23,'Visu totale'!$D:$DH,CF$1,0)),CE23-VLOOKUP($D23,'Visu totale'!$D:$DH,CF$1,0),IF(LEFT(VLOOKUP($D23,'Visu totale'!$D:$DH,CF$1,0),1)="V",IF(CE23&gt;=INDEX('[1]Définition Maintenances'!$G:$G,MATCH($A23,'[1]Définition Maintenances'!$K:$K,0)),CE23,INDEX('[1]Définition Maintenances'!$G:$G,MATCH($A23,'[1]Définition Maintenances'!$K:$K,0))+CE23),CE23))</f>
        <v>456</v>
      </c>
      <c r="CG23" s="26">
        <f>IF(ISNUMBER(VLOOKUP($D23,'Visu totale'!$D:$DH,CG$1,0)),CF23-VLOOKUP($D23,'Visu totale'!$D:$DH,CG$1,0),IF(LEFT(VLOOKUP($D23,'Visu totale'!$D:$DH,CG$1,0),1)="V",IF(CF23&gt;=INDEX('[1]Définition Maintenances'!$G:$G,MATCH($A23,'[1]Définition Maintenances'!$K:$K,0)),CF23,INDEX('[1]Définition Maintenances'!$G:$G,MATCH($A23,'[1]Définition Maintenances'!$K:$K,0))+CF23),CF23))</f>
        <v>456</v>
      </c>
      <c r="CH23" s="26">
        <f>IF(ISNUMBER(VLOOKUP($D23,'Visu totale'!$D:$DH,CH$1,0)),CG23-VLOOKUP($D23,'Visu totale'!$D:$DH,CH$1,0),IF(LEFT(VLOOKUP($D23,'Visu totale'!$D:$DH,CH$1,0),1)="V",IF(CG23&gt;=INDEX('[1]Définition Maintenances'!$G:$G,MATCH($A23,'[1]Définition Maintenances'!$K:$K,0)),CG23,INDEX('[1]Définition Maintenances'!$G:$G,MATCH($A23,'[1]Définition Maintenances'!$K:$K,0))+CG23),CG23))</f>
        <v>456</v>
      </c>
      <c r="CI23" s="26">
        <f>IF(ISNUMBER(VLOOKUP($D23,'Visu totale'!$D:$DH,CI$1,0)),CH23-VLOOKUP($D23,'Visu totale'!$D:$DH,CI$1,0),IF(LEFT(VLOOKUP($D23,'Visu totale'!$D:$DH,CI$1,0),1)="V",IF(CH23&gt;=INDEX('[1]Définition Maintenances'!$G:$G,MATCH($A23,'[1]Définition Maintenances'!$K:$K,0)),CH23,INDEX('[1]Définition Maintenances'!$G:$G,MATCH($A23,'[1]Définition Maintenances'!$K:$K,0))+CH23),CH23))</f>
        <v>456</v>
      </c>
      <c r="CJ23" s="26">
        <f>IF(ISNUMBER(VLOOKUP($D23,'Visu totale'!$D:$DH,CJ$1,0)),CI23-VLOOKUP($D23,'Visu totale'!$D:$DH,CJ$1,0),IF(LEFT(VLOOKUP($D23,'Visu totale'!$D:$DH,CJ$1,0),1)="V",IF(CI23&gt;=INDEX('[1]Définition Maintenances'!$G:$G,MATCH($A23,'[1]Définition Maintenances'!$K:$K,0)),CI23,INDEX('[1]Définition Maintenances'!$G:$G,MATCH($A23,'[1]Définition Maintenances'!$K:$K,0))+CI23),CI23))</f>
        <v>456</v>
      </c>
      <c r="CK23" s="27">
        <f>IF(ISNUMBER(VLOOKUP($D23,'Visu totale'!$D:$DH,CK$1,0)),CJ23-VLOOKUP($D23,'Visu totale'!$D:$DH,CK$1,0),IF(LEFT(VLOOKUP($D23,'Visu totale'!$D:$DH,CK$1,0),1)="V",IF(CJ23&gt;=INDEX('[1]Définition Maintenances'!$G:$G,MATCH($A23,'[1]Définition Maintenances'!$K:$K,0)),CJ23,INDEX('[1]Définition Maintenances'!$G:$G,MATCH($A23,'[1]Définition Maintenances'!$K:$K,0))+CJ23),CJ23))</f>
        <v>456</v>
      </c>
      <c r="CL23" s="25">
        <f>IF(ISNUMBER(VLOOKUP($D23,'Visu totale'!$D:$DH,CL$1,0)),CK23-VLOOKUP($D23,'Visu totale'!$D:$DH,CL$1,0),IF(LEFT(VLOOKUP($D23,'Visu totale'!$D:$DH,CL$1,0),1)="V",IF(CK23&gt;=INDEX('[1]Définition Maintenances'!$G:$G,MATCH($A23,'[1]Définition Maintenances'!$K:$K,0)),CK23,INDEX('[1]Définition Maintenances'!$G:$G,MATCH($A23,'[1]Définition Maintenances'!$K:$K,0))+CK23),CK23))</f>
        <v>456</v>
      </c>
      <c r="CM23" s="26">
        <f>IF(ISNUMBER(VLOOKUP($D23,'Visu totale'!$D:$DH,CM$1,0)),CL23-VLOOKUP($D23,'Visu totale'!$D:$DH,CM$1,0),IF(LEFT(VLOOKUP($D23,'Visu totale'!$D:$DH,CM$1,0),1)="V",IF(CL23&gt;=INDEX('[1]Définition Maintenances'!$G:$G,MATCH($A23,'[1]Définition Maintenances'!$K:$K,0)),CL23,INDEX('[1]Définition Maintenances'!$G:$G,MATCH($A23,'[1]Définition Maintenances'!$K:$K,0))+CL23),CL23))</f>
        <v>456</v>
      </c>
      <c r="CN23" s="26">
        <f>IF(ISNUMBER(VLOOKUP($D23,'Visu totale'!$D:$DH,CN$1,0)),CM23-VLOOKUP($D23,'Visu totale'!$D:$DH,CN$1,0),IF(LEFT(VLOOKUP($D23,'Visu totale'!$D:$DH,CN$1,0),1)="V",IF(CM23&gt;=INDEX('[1]Définition Maintenances'!$G:$G,MATCH($A23,'[1]Définition Maintenances'!$K:$K,0)),CM23,INDEX('[1]Définition Maintenances'!$G:$G,MATCH($A23,'[1]Définition Maintenances'!$K:$K,0))+CM23),CM23))</f>
        <v>456</v>
      </c>
      <c r="CO23" s="26">
        <f>IF(ISNUMBER(VLOOKUP($D23,'Visu totale'!$D:$DH,CO$1,0)),CN23-VLOOKUP($D23,'Visu totale'!$D:$DH,CO$1,0),IF(LEFT(VLOOKUP($D23,'Visu totale'!$D:$DH,CO$1,0),1)="V",IF(CN23&gt;=INDEX('[1]Définition Maintenances'!$G:$G,MATCH($A23,'[1]Définition Maintenances'!$K:$K,0)),CN23,INDEX('[1]Définition Maintenances'!$G:$G,MATCH($A23,'[1]Définition Maintenances'!$K:$K,0))+CN23),CN23))</f>
        <v>456</v>
      </c>
      <c r="CP23" s="26">
        <f>IF(ISNUMBER(VLOOKUP($D23,'Visu totale'!$D:$DH,CP$1,0)),CO23-VLOOKUP($D23,'Visu totale'!$D:$DH,CP$1,0),IF(LEFT(VLOOKUP($D23,'Visu totale'!$D:$DH,CP$1,0),1)="V",IF(CO23&gt;=INDEX('[1]Définition Maintenances'!$G:$G,MATCH($A23,'[1]Définition Maintenances'!$K:$K,0)),CO23,INDEX('[1]Définition Maintenances'!$G:$G,MATCH($A23,'[1]Définition Maintenances'!$K:$K,0))+CO23),CO23))</f>
        <v>456</v>
      </c>
      <c r="CQ23" s="26">
        <f>IF(ISNUMBER(VLOOKUP($D23,'Visu totale'!$D:$DH,CQ$1,0)),CP23-VLOOKUP($D23,'Visu totale'!$D:$DH,CQ$1,0),IF(LEFT(VLOOKUP($D23,'Visu totale'!$D:$DH,CQ$1,0),1)="V",IF(CP23&gt;=INDEX('[1]Définition Maintenances'!$G:$G,MATCH($A23,'[1]Définition Maintenances'!$K:$K,0)),CP23,INDEX('[1]Définition Maintenances'!$G:$G,MATCH($A23,'[1]Définition Maintenances'!$K:$K,0))+CP23),CP23))</f>
        <v>456</v>
      </c>
      <c r="CR23" s="26">
        <f>IF(ISNUMBER(VLOOKUP($D23,'Visu totale'!$D:$DH,CR$1,0)),CQ23-VLOOKUP($D23,'Visu totale'!$D:$DH,CR$1,0),IF(LEFT(VLOOKUP($D23,'Visu totale'!$D:$DH,CR$1,0),1)="V",IF(CQ23&gt;=INDEX('[1]Définition Maintenances'!$G:$G,MATCH($A23,'[1]Définition Maintenances'!$K:$K,0)),CQ23,INDEX('[1]Définition Maintenances'!$G:$G,MATCH($A23,'[1]Définition Maintenances'!$K:$K,0))+CQ23),CQ23))</f>
        <v>456</v>
      </c>
      <c r="CS23" s="26">
        <f>IF(ISNUMBER(VLOOKUP($D23,'Visu totale'!$D:$DH,CS$1,0)),CR23-VLOOKUP($D23,'Visu totale'!$D:$DH,CS$1,0),IF(LEFT(VLOOKUP($D23,'Visu totale'!$D:$DH,CS$1,0),1)="V",IF(CR23&gt;=INDEX('[1]Définition Maintenances'!$G:$G,MATCH($A23,'[1]Définition Maintenances'!$K:$K,0)),CR23,INDEX('[1]Définition Maintenances'!$G:$G,MATCH($A23,'[1]Définition Maintenances'!$K:$K,0))+CR23),CR23))</f>
        <v>456</v>
      </c>
      <c r="CT23" s="26">
        <f>IF(ISNUMBER(VLOOKUP($D23,'Visu totale'!$D:$DH,CT$1,0)),CS23-VLOOKUP($D23,'Visu totale'!$D:$DH,CT$1,0),IF(LEFT(VLOOKUP($D23,'Visu totale'!$D:$DH,CT$1,0),1)="V",IF(CS23&gt;=INDEX('[1]Définition Maintenances'!$G:$G,MATCH($A23,'[1]Définition Maintenances'!$K:$K,0)),CS23,INDEX('[1]Définition Maintenances'!$G:$G,MATCH($A23,'[1]Définition Maintenances'!$K:$K,0))+CS23),CS23))</f>
        <v>456</v>
      </c>
      <c r="CU23" s="26">
        <f>IF(ISNUMBER(VLOOKUP($D23,'Visu totale'!$D:$DH,CU$1,0)),CT23-VLOOKUP($D23,'Visu totale'!$D:$DH,CU$1,0),IF(LEFT(VLOOKUP($D23,'Visu totale'!$D:$DH,CU$1,0),1)="V",IF(CT23&gt;=INDEX('[1]Définition Maintenances'!$G:$G,MATCH($A23,'[1]Définition Maintenances'!$K:$K,0)),CT23,INDEX('[1]Définition Maintenances'!$G:$G,MATCH($A23,'[1]Définition Maintenances'!$K:$K,0))+CT23),CT23))</f>
        <v>456</v>
      </c>
      <c r="CV23" s="26">
        <f>IF(ISNUMBER(VLOOKUP($D23,'Visu totale'!$D:$DH,CV$1,0)),CU23-VLOOKUP($D23,'Visu totale'!$D:$DH,CV$1,0),IF(LEFT(VLOOKUP($D23,'Visu totale'!$D:$DH,CV$1,0),1)="V",IF(CU23&gt;=INDEX('[1]Définition Maintenances'!$G:$G,MATCH($A23,'[1]Définition Maintenances'!$K:$K,0)),CU23,INDEX('[1]Définition Maintenances'!$G:$G,MATCH($A23,'[1]Définition Maintenances'!$K:$K,0))+CU23),CU23))</f>
        <v>456</v>
      </c>
      <c r="CW23" s="27">
        <f>IF(ISNUMBER(VLOOKUP($D23,'Visu totale'!$D:$DH,CW$1,0)),CV23-VLOOKUP($D23,'Visu totale'!$D:$DH,CW$1,0),IF(LEFT(VLOOKUP($D23,'Visu totale'!$D:$DH,CW$1,0),1)="V",IF(CV23&gt;=INDEX('[1]Définition Maintenances'!$G:$G,MATCH($A23,'[1]Définition Maintenances'!$K:$K,0)),CV23,INDEX('[1]Définition Maintenances'!$G:$G,MATCH($A23,'[1]Définition Maintenances'!$K:$K,0))+CV23),CV23))</f>
        <v>456</v>
      </c>
      <c r="CX23" s="25">
        <f>IF(ISNUMBER(VLOOKUP($D23,'Visu totale'!$D:$DH,CX$1,0)),CW23-VLOOKUP($D23,'Visu totale'!$D:$DH,CX$1,0),IF(LEFT(VLOOKUP($D23,'Visu totale'!$D:$DH,CX$1,0),1)="V",IF(CW23&gt;=INDEX('[1]Définition Maintenances'!$G:$G,MATCH($A23,'[1]Définition Maintenances'!$K:$K,0)),CW23,INDEX('[1]Définition Maintenances'!$G:$G,MATCH($A23,'[1]Définition Maintenances'!$K:$K,0))+CW23),CW23))</f>
        <v>456</v>
      </c>
      <c r="CY23" s="26">
        <f>IF(ISNUMBER(VLOOKUP($D23,'Visu totale'!$D:$DH,CY$1,0)),CX23-VLOOKUP($D23,'Visu totale'!$D:$DH,CY$1,0),IF(LEFT(VLOOKUP($D23,'Visu totale'!$D:$DH,CY$1,0),1)="V",IF(CX23&gt;=INDEX('[1]Définition Maintenances'!$G:$G,MATCH($A23,'[1]Définition Maintenances'!$K:$K,0)),CX23,INDEX('[1]Définition Maintenances'!$G:$G,MATCH($A23,'[1]Définition Maintenances'!$K:$K,0))+CX23),CX23))</f>
        <v>456</v>
      </c>
      <c r="CZ23" s="26">
        <f>IF(ISNUMBER(VLOOKUP($D23,'Visu totale'!$D:$DH,CZ$1,0)),CY23-VLOOKUP($D23,'Visu totale'!$D:$DH,CZ$1,0),IF(LEFT(VLOOKUP($D23,'Visu totale'!$D:$DH,CZ$1,0),1)="V",IF(CY23&gt;=INDEX('[1]Définition Maintenances'!$G:$G,MATCH($A23,'[1]Définition Maintenances'!$K:$K,0)),CY23,INDEX('[1]Définition Maintenances'!$G:$G,MATCH($A23,'[1]Définition Maintenances'!$K:$K,0))+CY23),CY23))</f>
        <v>456</v>
      </c>
      <c r="DA23" s="26">
        <f>IF(ISNUMBER(VLOOKUP($D23,'Visu totale'!$D:$DH,DA$1,0)),CZ23-VLOOKUP($D23,'Visu totale'!$D:$DH,DA$1,0),IF(LEFT(VLOOKUP($D23,'Visu totale'!$D:$DH,DA$1,0),1)="V",IF(CZ23&gt;=INDEX('[1]Définition Maintenances'!$G:$G,MATCH($A23,'[1]Définition Maintenances'!$K:$K,0)),CZ23,INDEX('[1]Définition Maintenances'!$G:$G,MATCH($A23,'[1]Définition Maintenances'!$K:$K,0))+CZ23),CZ23))</f>
        <v>456</v>
      </c>
      <c r="DB23" s="26">
        <f>IF(ISNUMBER(VLOOKUP($D23,'Visu totale'!$D:$DH,DB$1,0)),DA23-VLOOKUP($D23,'Visu totale'!$D:$DH,DB$1,0),IF(LEFT(VLOOKUP($D23,'Visu totale'!$D:$DH,DB$1,0),1)="V",IF(DA23&gt;=INDEX('[1]Définition Maintenances'!$G:$G,MATCH($A23,'[1]Définition Maintenances'!$K:$K,0)),DA23,INDEX('[1]Définition Maintenances'!$G:$G,MATCH($A23,'[1]Définition Maintenances'!$K:$K,0))+DA23),DA23))</f>
        <v>456</v>
      </c>
      <c r="DC23" s="26">
        <f>IF(ISNUMBER(VLOOKUP($D23,'Visu totale'!$D:$DH,DC$1,0)),DB23-VLOOKUP($D23,'Visu totale'!$D:$DH,DC$1,0),IF(LEFT(VLOOKUP($D23,'Visu totale'!$D:$DH,DC$1,0),1)="V",IF(DB23&gt;=INDEX('[1]Définition Maintenances'!$G:$G,MATCH($A23,'[1]Définition Maintenances'!$K:$K,0)),DB23,INDEX('[1]Définition Maintenances'!$G:$G,MATCH($A23,'[1]Définition Maintenances'!$K:$K,0))+DB23),DB23))</f>
        <v>456</v>
      </c>
      <c r="DD23" s="26">
        <f>IF(ISNUMBER(VLOOKUP($D23,'Visu totale'!$D:$DH,DD$1,0)),DC23-VLOOKUP($D23,'Visu totale'!$D:$DH,DD$1,0),IF(LEFT(VLOOKUP($D23,'Visu totale'!$D:$DH,DD$1,0),1)="V",IF(DC23&gt;=INDEX('[1]Définition Maintenances'!$G:$G,MATCH($A23,'[1]Définition Maintenances'!$K:$K,0)),DC23,INDEX('[1]Définition Maintenances'!$G:$G,MATCH($A23,'[1]Définition Maintenances'!$K:$K,0))+DC23),DC23))</f>
        <v>456</v>
      </c>
      <c r="DE23" s="26">
        <f>IF(ISNUMBER(VLOOKUP($D23,'Visu totale'!$D:$DH,DE$1,0)),DD23-VLOOKUP($D23,'Visu totale'!$D:$DH,DE$1,0),IF(LEFT(VLOOKUP($D23,'Visu totale'!$D:$DH,DE$1,0),1)="V",IF(DD23&gt;=INDEX('[1]Définition Maintenances'!$G:$G,MATCH($A23,'[1]Définition Maintenances'!$K:$K,0)),DD23,INDEX('[1]Définition Maintenances'!$G:$G,MATCH($A23,'[1]Définition Maintenances'!$K:$K,0))+DD23),DD23))</f>
        <v>456</v>
      </c>
      <c r="DF23" s="26">
        <f>IF(ISNUMBER(VLOOKUP($D23,'Visu totale'!$D:$DH,DF$1,0)),DE23-VLOOKUP($D23,'Visu totale'!$D:$DH,DF$1,0),IF(LEFT(VLOOKUP($D23,'Visu totale'!$D:$DH,DF$1,0),1)="V",IF(DE23&gt;=INDEX('[1]Définition Maintenances'!$G:$G,MATCH($A23,'[1]Définition Maintenances'!$K:$K,0)),DE23,INDEX('[1]Définition Maintenances'!$G:$G,MATCH($A23,'[1]Définition Maintenances'!$K:$K,0))+DE23),DE23))</f>
        <v>456</v>
      </c>
      <c r="DG23" s="26">
        <f>IF(ISNUMBER(VLOOKUP($D23,'Visu totale'!$D:$DH,DG$1,0)),DF23-VLOOKUP($D23,'Visu totale'!$D:$DH,DG$1,0),IF(LEFT(VLOOKUP($D23,'Visu totale'!$D:$DH,DG$1,0),1)="V",IF(DF23&gt;=INDEX('[1]Définition Maintenances'!$G:$G,MATCH($A23,'[1]Définition Maintenances'!$K:$K,0)),DF23,INDEX('[1]Définition Maintenances'!$G:$G,MATCH($A23,'[1]Définition Maintenances'!$K:$K,0))+DF23),DF23))</f>
        <v>456</v>
      </c>
      <c r="DH23" s="26">
        <f>IF(ISNUMBER(VLOOKUP($D23,'Visu totale'!$D:$DH,DH$1,0)),DG23-VLOOKUP($D23,'Visu totale'!$D:$DH,DH$1,0),IF(LEFT(VLOOKUP($D23,'Visu totale'!$D:$DH,DH$1,0),1)="V",IF(DG23&gt;=INDEX('[1]Définition Maintenances'!$G:$G,MATCH($A23,'[1]Définition Maintenances'!$K:$K,0)),DG23,INDEX('[1]Définition Maintenances'!$G:$G,MATCH($A23,'[1]Définition Maintenances'!$K:$K,0))+DG23),DG23))</f>
        <v>456</v>
      </c>
      <c r="DI23" s="27">
        <f>IF(ISNUMBER(VLOOKUP($D23,'Visu totale'!$D:$DH,DI$1,0)),DH23-VLOOKUP($D23,'Visu totale'!$D:$DH,DI$1,0),IF(LEFT(VLOOKUP($D23,'Visu totale'!$D:$DH,DI$1,0),1)="V",IF(DH23&gt;=INDEX('[1]Définition Maintenances'!$G:$G,MATCH($A23,'[1]Définition Maintenances'!$K:$K,0)),DH23,INDEX('[1]Définition Maintenances'!$G:$G,MATCH($A23,'[1]Définition Maintenances'!$K:$K,0))+DH23),DH23))</f>
        <v>456</v>
      </c>
    </row>
    <row r="24" spans="1:113" x14ac:dyDescent="0.25">
      <c r="A24" s="13" t="str">
        <f t="shared" si="0"/>
        <v>V10D</v>
      </c>
      <c r="B24" s="13" t="str">
        <f>VLOOKUP(D24,'[1]Avions (Potentiels)'!$B$2:$H$128,7,FALSE)</f>
        <v>V10</v>
      </c>
      <c r="C24" s="13"/>
      <c r="D24" s="16" t="s">
        <v>27</v>
      </c>
      <c r="E24" s="13">
        <f>IFERROR(VALUE(SUBSTITUTE(VLOOKUP(D24,'[1]Avions (Potentiels)'!$B:$E,4,0),".",",")),VALUE(VLOOKUP(D24,'[1]Avions (Potentiels)'!$B:$E,4,0)))</f>
        <v>913</v>
      </c>
      <c r="F24" s="25">
        <f>IF(ISNUMBER(VLOOKUP($D24,'Visu totale'!$D:$DH,F$1,0)),E24-VLOOKUP($D24,'Visu totale'!$D:$DH,F$1,0),IF(LEFT(VLOOKUP($D24,'Visu totale'!$D:$DH,F$1,0),1)="V",IF(E24&gt;=INDEX('[1]Définition Maintenances'!$G:$G,MATCH($A24,'[1]Définition Maintenances'!$K:$K,0)),E24,INDEX('[1]Définition Maintenances'!$G:$G,MATCH($A24,'[1]Définition Maintenances'!$K:$K,0))+E24),E24))</f>
        <v>913</v>
      </c>
      <c r="G24" s="26">
        <f>IF(ISNUMBER(VLOOKUP($D24,'Visu totale'!$D:$DH,G$1,0)),F24-VLOOKUP($D24,'Visu totale'!$D:$DH,G$1,0),IF(LEFT(VLOOKUP($D24,'Visu totale'!$D:$DH,G$1,0),1)="V",IF(F24&gt;=INDEX('[1]Définition Maintenances'!$G:$G,MATCH($A24,'[1]Définition Maintenances'!$K:$K,0)),F24,INDEX('[1]Définition Maintenances'!$G:$G,MATCH($A24,'[1]Définition Maintenances'!$K:$K,0))+F24),F24))</f>
        <v>913</v>
      </c>
      <c r="H24" s="26">
        <f>IF(ISNUMBER(VLOOKUP($D24,'Visu totale'!$D:$DH,H$1,0)),G24-VLOOKUP($D24,'Visu totale'!$D:$DH,H$1,0),IF(LEFT(VLOOKUP($D24,'Visu totale'!$D:$DH,H$1,0),1)="V",IF(G24&gt;=INDEX('[1]Définition Maintenances'!$G:$G,MATCH($A24,'[1]Définition Maintenances'!$K:$K,0)),G24,INDEX('[1]Définition Maintenances'!$G:$G,MATCH($A24,'[1]Définition Maintenances'!$K:$K,0))+G24),G24))</f>
        <v>913</v>
      </c>
      <c r="I24" s="26">
        <f>IF(ISNUMBER(VLOOKUP($D24,'Visu totale'!$D:$DH,I$1,0)),H24-VLOOKUP($D24,'Visu totale'!$D:$DH,I$1,0),IF(LEFT(VLOOKUP($D24,'Visu totale'!$D:$DH,I$1,0),1)="V",IF(H24&gt;=INDEX('[1]Définition Maintenances'!$G:$G,MATCH($A24,'[1]Définition Maintenances'!$K:$K,0)),H24,INDEX('[1]Définition Maintenances'!$G:$G,MATCH($A24,'[1]Définition Maintenances'!$K:$K,0))+H24),H24))</f>
        <v>913</v>
      </c>
      <c r="J24" s="26">
        <f>IF(ISNUMBER(VLOOKUP($D24,'Visu totale'!$D:$DH,J$1,0)),I24-VLOOKUP($D24,'Visu totale'!$D:$DH,J$1,0),IF(LEFT(VLOOKUP($D24,'Visu totale'!$D:$DH,J$1,0),1)="V",IF(I24&gt;=INDEX('[1]Définition Maintenances'!$G:$G,MATCH($A24,'[1]Définition Maintenances'!$K:$K,0)),I24,INDEX('[1]Définition Maintenances'!$G:$G,MATCH($A24,'[1]Définition Maintenances'!$K:$K,0))+I24),I24))</f>
        <v>913</v>
      </c>
      <c r="K24" s="26">
        <f>IF(ISNUMBER(VLOOKUP($D24,'Visu totale'!$D:$DH,K$1,0)),J24-VLOOKUP($D24,'Visu totale'!$D:$DH,K$1,0),IF(LEFT(VLOOKUP($D24,'Visu totale'!$D:$DH,K$1,0),1)="V",IF(J24&gt;=INDEX('[1]Définition Maintenances'!$G:$G,MATCH($A24,'[1]Définition Maintenances'!$K:$K,0)),J24,INDEX('[1]Définition Maintenances'!$G:$G,MATCH($A24,'[1]Définition Maintenances'!$K:$K,0))+J24),J24))</f>
        <v>913</v>
      </c>
      <c r="L24" s="26">
        <f>IF(ISNUMBER(VLOOKUP($D24,'Visu totale'!$D:$DH,L$1,0)),K24-VLOOKUP($D24,'Visu totale'!$D:$DH,L$1,0),IF(LEFT(VLOOKUP($D24,'Visu totale'!$D:$DH,L$1,0),1)="V",IF(K24&gt;=INDEX('[1]Définition Maintenances'!$G:$G,MATCH($A24,'[1]Définition Maintenances'!$K:$K,0)),K24,INDEX('[1]Définition Maintenances'!$G:$G,MATCH($A24,'[1]Définition Maintenances'!$K:$K,0))+K24),K24))</f>
        <v>913</v>
      </c>
      <c r="M24" s="26">
        <f>IF(ISNUMBER(VLOOKUP($D24,'Visu totale'!$D:$DH,M$1,0)),L24-VLOOKUP($D24,'Visu totale'!$D:$DH,M$1,0),IF(LEFT(VLOOKUP($D24,'Visu totale'!$D:$DH,M$1,0),1)="V",IF(L24&gt;=INDEX('[1]Définition Maintenances'!$G:$G,MATCH($A24,'[1]Définition Maintenances'!$K:$K,0)),L24,INDEX('[1]Définition Maintenances'!$G:$G,MATCH($A24,'[1]Définition Maintenances'!$K:$K,0))+L24),L24))</f>
        <v>913</v>
      </c>
      <c r="N24" s="26">
        <f>IF(ISNUMBER(VLOOKUP($D24,'Visu totale'!$D:$DH,N$1,0)),M24-VLOOKUP($D24,'Visu totale'!$D:$DH,N$1,0),IF(LEFT(VLOOKUP($D24,'Visu totale'!$D:$DH,N$1,0),1)="V",IF(M24&gt;=INDEX('[1]Définition Maintenances'!$G:$G,MATCH($A24,'[1]Définition Maintenances'!$K:$K,0)),M24,INDEX('[1]Définition Maintenances'!$G:$G,MATCH($A24,'[1]Définition Maintenances'!$K:$K,0))+M24),M24))</f>
        <v>913</v>
      </c>
      <c r="O24" s="26">
        <f>IF(ISNUMBER(VLOOKUP($D24,'Visu totale'!$D:$DH,O$1,0)),N24-VLOOKUP($D24,'Visu totale'!$D:$DH,O$1,0),IF(LEFT(VLOOKUP($D24,'Visu totale'!$D:$DH,O$1,0),1)="V",IF(N24&gt;=INDEX('[1]Définition Maintenances'!$G:$G,MATCH($A24,'[1]Définition Maintenances'!$K:$K,0)),N24,INDEX('[1]Définition Maintenances'!$G:$G,MATCH($A24,'[1]Définition Maintenances'!$K:$K,0))+N24),N24))</f>
        <v>913</v>
      </c>
      <c r="P24" s="26">
        <f>IF(ISNUMBER(VLOOKUP($D24,'Visu totale'!$D:$DH,P$1,0)),O24-VLOOKUP($D24,'Visu totale'!$D:$DH,P$1,0),IF(LEFT(VLOOKUP($D24,'Visu totale'!$D:$DH,P$1,0),1)="V",IF(O24&gt;=INDEX('[1]Définition Maintenances'!$G:$G,MATCH($A24,'[1]Définition Maintenances'!$K:$K,0)),O24,INDEX('[1]Définition Maintenances'!$G:$G,MATCH($A24,'[1]Définition Maintenances'!$K:$K,0))+O24),O24))</f>
        <v>913</v>
      </c>
      <c r="Q24" s="27">
        <f>IF(ISNUMBER(VLOOKUP($D24,'Visu totale'!$D:$DH,Q$1,0)),P24-VLOOKUP($D24,'Visu totale'!$D:$DH,Q$1,0),IF(LEFT(VLOOKUP($D24,'Visu totale'!$D:$DH,Q$1,0),1)="V",IF(P24&gt;=INDEX('[1]Définition Maintenances'!$G:$G,MATCH($A24,'[1]Définition Maintenances'!$K:$K,0)),P24,INDEX('[1]Définition Maintenances'!$G:$G,MATCH($A24,'[1]Définition Maintenances'!$K:$K,0))+P24),P24))</f>
        <v>913</v>
      </c>
      <c r="R24" s="25">
        <f>IF(ISNUMBER(VLOOKUP($D24,'Visu totale'!$D:$DH,R$1,0)),Q24-VLOOKUP($D24,'Visu totale'!$D:$DH,R$1,0),IF(LEFT(VLOOKUP($D24,'Visu totale'!$D:$DH,R$1,0),1)="V",IF(Q24&gt;=INDEX('[1]Définition Maintenances'!$G:$G,MATCH($A24,'[1]Définition Maintenances'!$K:$K,0)),Q24,INDEX('[1]Définition Maintenances'!$G:$G,MATCH($A24,'[1]Définition Maintenances'!$K:$K,0))+Q24),Q24))</f>
        <v>913</v>
      </c>
      <c r="S24" s="26">
        <f>IF(ISNUMBER(VLOOKUP($D24,'Visu totale'!$D:$DH,S$1,0)),R24-VLOOKUP($D24,'Visu totale'!$D:$DH,S$1,0),IF(LEFT(VLOOKUP($D24,'Visu totale'!$D:$DH,S$1,0),1)="V",IF(R24&gt;=INDEX('[1]Définition Maintenances'!$G:$G,MATCH($A24,'[1]Définition Maintenances'!$K:$K,0)),R24,INDEX('[1]Définition Maintenances'!$G:$G,MATCH($A24,'[1]Définition Maintenances'!$K:$K,0))+R24),R24))</f>
        <v>913</v>
      </c>
      <c r="T24" s="26">
        <f>IF(ISNUMBER(VLOOKUP($D24,'Visu totale'!$D:$DH,T$1,0)),S24-VLOOKUP($D24,'Visu totale'!$D:$DH,T$1,0),IF(LEFT(VLOOKUP($D24,'Visu totale'!$D:$DH,T$1,0),1)="V",IF(S24&gt;=INDEX('[1]Définition Maintenances'!$G:$G,MATCH($A24,'[1]Définition Maintenances'!$K:$K,0)),S24,INDEX('[1]Définition Maintenances'!$G:$G,MATCH($A24,'[1]Définition Maintenances'!$K:$K,0))+S24),S24))</f>
        <v>913</v>
      </c>
      <c r="U24" s="26">
        <f>IF(ISNUMBER(VLOOKUP($D24,'Visu totale'!$D:$DH,U$1,0)),T24-VLOOKUP($D24,'Visu totale'!$D:$DH,U$1,0),IF(LEFT(VLOOKUP($D24,'Visu totale'!$D:$DH,U$1,0),1)="V",IF(T24&gt;=INDEX('[1]Définition Maintenances'!$G:$G,MATCH($A24,'[1]Définition Maintenances'!$K:$K,0)),T24,INDEX('[1]Définition Maintenances'!$G:$G,MATCH($A24,'[1]Définition Maintenances'!$K:$K,0))+T24),T24))</f>
        <v>913</v>
      </c>
      <c r="V24" s="26">
        <f>IF(ISNUMBER(VLOOKUP($D24,'Visu totale'!$D:$DH,V$1,0)),U24-VLOOKUP($D24,'Visu totale'!$D:$DH,V$1,0),IF(LEFT(VLOOKUP($D24,'Visu totale'!$D:$DH,V$1,0),1)="V",IF(U24&gt;=INDEX('[1]Définition Maintenances'!$G:$G,MATCH($A24,'[1]Définition Maintenances'!$K:$K,0)),U24,INDEX('[1]Définition Maintenances'!$G:$G,MATCH($A24,'[1]Définition Maintenances'!$K:$K,0))+U24),U24))</f>
        <v>913</v>
      </c>
      <c r="W24" s="26">
        <f>IF(ISNUMBER(VLOOKUP($D24,'Visu totale'!$D:$DH,W$1,0)),V24-VLOOKUP($D24,'Visu totale'!$D:$DH,W$1,0),IF(LEFT(VLOOKUP($D24,'Visu totale'!$D:$DH,W$1,0),1)="V",IF(V24&gt;=INDEX('[1]Définition Maintenances'!$G:$G,MATCH($A24,'[1]Définition Maintenances'!$K:$K,0)),V24,INDEX('[1]Définition Maintenances'!$G:$G,MATCH($A24,'[1]Définition Maintenances'!$K:$K,0))+V24),V24))</f>
        <v>913</v>
      </c>
      <c r="X24" s="26">
        <f>IF(ISNUMBER(VLOOKUP($D24,'Visu totale'!$D:$DH,X$1,0)),W24-VLOOKUP($D24,'Visu totale'!$D:$DH,X$1,0),IF(LEFT(VLOOKUP($D24,'Visu totale'!$D:$DH,X$1,0),1)="V",IF(W24&gt;=INDEX('[1]Définition Maintenances'!$G:$G,MATCH($A24,'[1]Définition Maintenances'!$K:$K,0)),W24,INDEX('[1]Définition Maintenances'!$G:$G,MATCH($A24,'[1]Définition Maintenances'!$K:$K,0))+W24),W24))</f>
        <v>913</v>
      </c>
      <c r="Y24" s="26">
        <f>IF(ISNUMBER(VLOOKUP($D24,'Visu totale'!$D:$DH,Y$1,0)),X24-VLOOKUP($D24,'Visu totale'!$D:$DH,Y$1,0),IF(LEFT(VLOOKUP($D24,'Visu totale'!$D:$DH,Y$1,0),1)="V",IF(X24&gt;=INDEX('[1]Définition Maintenances'!$G:$G,MATCH($A24,'[1]Définition Maintenances'!$K:$K,0)),X24,INDEX('[1]Définition Maintenances'!$G:$G,MATCH($A24,'[1]Définition Maintenances'!$K:$K,0))+X24),X24))</f>
        <v>913</v>
      </c>
      <c r="Z24" s="26">
        <f>IF(ISNUMBER(VLOOKUP($D24,'Visu totale'!$D:$DH,Z$1,0)),Y24-VLOOKUP($D24,'Visu totale'!$D:$DH,Z$1,0),IF(LEFT(VLOOKUP($D24,'Visu totale'!$D:$DH,Z$1,0),1)="V",IF(Y24&gt;=INDEX('[1]Définition Maintenances'!$G:$G,MATCH($A24,'[1]Définition Maintenances'!$K:$K,0)),Y24,INDEX('[1]Définition Maintenances'!$G:$G,MATCH($A24,'[1]Définition Maintenances'!$K:$K,0))+Y24),Y24))</f>
        <v>913</v>
      </c>
      <c r="AA24" s="26">
        <f>IF(ISNUMBER(VLOOKUP($D24,'Visu totale'!$D:$DH,AA$1,0)),Z24-VLOOKUP($D24,'Visu totale'!$D:$DH,AA$1,0),IF(LEFT(VLOOKUP($D24,'Visu totale'!$D:$DH,AA$1,0),1)="V",IF(Z24&gt;=INDEX('[1]Définition Maintenances'!$G:$G,MATCH($A24,'[1]Définition Maintenances'!$K:$K,0)),Z24,INDEX('[1]Définition Maintenances'!$G:$G,MATCH($A24,'[1]Définition Maintenances'!$K:$K,0))+Z24),Z24))</f>
        <v>913</v>
      </c>
      <c r="AB24" s="26">
        <f>IF(ISNUMBER(VLOOKUP($D24,'Visu totale'!$D:$DH,AB$1,0)),AA24-VLOOKUP($D24,'Visu totale'!$D:$DH,AB$1,0),IF(LEFT(VLOOKUP($D24,'Visu totale'!$D:$DH,AB$1,0),1)="V",IF(AA24&gt;=INDEX('[1]Définition Maintenances'!$G:$G,MATCH($A24,'[1]Définition Maintenances'!$K:$K,0)),AA24,INDEX('[1]Définition Maintenances'!$G:$G,MATCH($A24,'[1]Définition Maintenances'!$K:$K,0))+AA24),AA24))</f>
        <v>913</v>
      </c>
      <c r="AC24" s="27">
        <f>IF(ISNUMBER(VLOOKUP($D24,'Visu totale'!$D:$DH,AC$1,0)),AB24-VLOOKUP($D24,'Visu totale'!$D:$DH,AC$1,0),IF(LEFT(VLOOKUP($D24,'Visu totale'!$D:$DH,AC$1,0),1)="V",IF(AB24&gt;=INDEX('[1]Définition Maintenances'!$G:$G,MATCH($A24,'[1]Définition Maintenances'!$K:$K,0)),AB24,INDEX('[1]Définition Maintenances'!$G:$G,MATCH($A24,'[1]Définition Maintenances'!$K:$K,0))+AB24),AB24))</f>
        <v>913</v>
      </c>
      <c r="AD24" s="25">
        <f>IF(ISNUMBER(VLOOKUP($D24,'Visu totale'!$D:$DH,AD$1,0)),AC24-VLOOKUP($D24,'Visu totale'!$D:$DH,AD$1,0),IF(LEFT(VLOOKUP($D24,'Visu totale'!$D:$DH,AD$1,0),1)="V",IF(AC24&gt;=INDEX('[1]Définition Maintenances'!$G:$G,MATCH($A24,'[1]Définition Maintenances'!$K:$K,0)),AC24,INDEX('[1]Définition Maintenances'!$G:$G,MATCH($A24,'[1]Définition Maintenances'!$K:$K,0))+AC24),AC24))</f>
        <v>913</v>
      </c>
      <c r="AE24" s="26">
        <f>IF(ISNUMBER(VLOOKUP($D24,'Visu totale'!$D:$DH,AE$1,0)),AD24-VLOOKUP($D24,'Visu totale'!$D:$DH,AE$1,0),IF(LEFT(VLOOKUP($D24,'Visu totale'!$D:$DH,AE$1,0),1)="V",IF(AD24&gt;=INDEX('[1]Définition Maintenances'!$G:$G,MATCH($A24,'[1]Définition Maintenances'!$K:$K,0)),AD24,INDEX('[1]Définition Maintenances'!$G:$G,MATCH($A24,'[1]Définition Maintenances'!$K:$K,0))+AD24),AD24))</f>
        <v>913</v>
      </c>
      <c r="AF24" s="26">
        <f>IF(ISNUMBER(VLOOKUP($D24,'Visu totale'!$D:$DH,AF$1,0)),AE24-VLOOKUP($D24,'Visu totale'!$D:$DH,AF$1,0),IF(LEFT(VLOOKUP($D24,'Visu totale'!$D:$DH,AF$1,0),1)="V",IF(AE24&gt;=INDEX('[1]Définition Maintenances'!$G:$G,MATCH($A24,'[1]Définition Maintenances'!$K:$K,0)),AE24,INDEX('[1]Définition Maintenances'!$G:$G,MATCH($A24,'[1]Définition Maintenances'!$K:$K,0))+AE24),AE24))</f>
        <v>913</v>
      </c>
      <c r="AG24" s="26">
        <f>IF(ISNUMBER(VLOOKUP($D24,'Visu totale'!$D:$DH,AG$1,0)),AF24-VLOOKUP($D24,'Visu totale'!$D:$DH,AG$1,0),IF(LEFT(VLOOKUP($D24,'Visu totale'!$D:$DH,AG$1,0),1)="V",IF(AF24&gt;=INDEX('[1]Définition Maintenances'!$G:$G,MATCH($A24,'[1]Définition Maintenances'!$K:$K,0)),AF24,INDEX('[1]Définition Maintenances'!$G:$G,MATCH($A24,'[1]Définition Maintenances'!$K:$K,0))+AF24),AF24))</f>
        <v>913</v>
      </c>
      <c r="AH24" s="26">
        <f>IF(ISNUMBER(VLOOKUP($D24,'Visu totale'!$D:$DH,AH$1,0)),AG24-VLOOKUP($D24,'Visu totale'!$D:$DH,AH$1,0),IF(LEFT(VLOOKUP($D24,'Visu totale'!$D:$DH,AH$1,0),1)="V",IF(AG24&gt;=INDEX('[1]Définition Maintenances'!$G:$G,MATCH($A24,'[1]Définition Maintenances'!$K:$K,0)),AG24,INDEX('[1]Définition Maintenances'!$G:$G,MATCH($A24,'[1]Définition Maintenances'!$K:$K,0))+AG24),AG24))</f>
        <v>913</v>
      </c>
      <c r="AI24" s="26">
        <f>IF(ISNUMBER(VLOOKUP($D24,'Visu totale'!$D:$DH,AI$1,0)),AH24-VLOOKUP($D24,'Visu totale'!$D:$DH,AI$1,0),IF(LEFT(VLOOKUP($D24,'Visu totale'!$D:$DH,AI$1,0),1)="V",IF(AH24&gt;=INDEX('[1]Définition Maintenances'!$G:$G,MATCH($A24,'[1]Définition Maintenances'!$K:$K,0)),AH24,INDEX('[1]Définition Maintenances'!$G:$G,MATCH($A24,'[1]Définition Maintenances'!$K:$K,0))+AH24),AH24))</f>
        <v>913</v>
      </c>
      <c r="AJ24" s="26">
        <f>IF(ISNUMBER(VLOOKUP($D24,'Visu totale'!$D:$DH,AJ$1,0)),AI24-VLOOKUP($D24,'Visu totale'!$D:$DH,AJ$1,0),IF(LEFT(VLOOKUP($D24,'Visu totale'!$D:$DH,AJ$1,0),1)="V",IF(AI24&gt;=INDEX('[1]Définition Maintenances'!$G:$G,MATCH($A24,'[1]Définition Maintenances'!$K:$K,0)),AI24,INDEX('[1]Définition Maintenances'!$G:$G,MATCH($A24,'[1]Définition Maintenances'!$K:$K,0))+AI24),AI24))</f>
        <v>913</v>
      </c>
      <c r="AK24" s="26">
        <f>IF(ISNUMBER(VLOOKUP($D24,'Visu totale'!$D:$DH,AK$1,0)),AJ24-VLOOKUP($D24,'Visu totale'!$D:$DH,AK$1,0),IF(LEFT(VLOOKUP($D24,'Visu totale'!$D:$DH,AK$1,0),1)="V",IF(AJ24&gt;=INDEX('[1]Définition Maintenances'!$G:$G,MATCH($A24,'[1]Définition Maintenances'!$K:$K,0)),AJ24,INDEX('[1]Définition Maintenances'!$G:$G,MATCH($A24,'[1]Définition Maintenances'!$K:$K,0))+AJ24),AJ24))</f>
        <v>913</v>
      </c>
      <c r="AL24" s="26">
        <f>IF(ISNUMBER(VLOOKUP($D24,'Visu totale'!$D:$DH,AL$1,0)),AK24-VLOOKUP($D24,'Visu totale'!$D:$DH,AL$1,0),IF(LEFT(VLOOKUP($D24,'Visu totale'!$D:$DH,AL$1,0),1)="V",IF(AK24&gt;=INDEX('[1]Définition Maintenances'!$G:$G,MATCH($A24,'[1]Définition Maintenances'!$K:$K,0)),AK24,INDEX('[1]Définition Maintenances'!$G:$G,MATCH($A24,'[1]Définition Maintenances'!$K:$K,0))+AK24),AK24))</f>
        <v>913</v>
      </c>
      <c r="AM24" s="26">
        <f>IF(ISNUMBER(VLOOKUP($D24,'Visu totale'!$D:$DH,AM$1,0)),AL24-VLOOKUP($D24,'Visu totale'!$D:$DH,AM$1,0),IF(LEFT(VLOOKUP($D24,'Visu totale'!$D:$DH,AM$1,0),1)="V",IF(AL24&gt;=INDEX('[1]Définition Maintenances'!$G:$G,MATCH($A24,'[1]Définition Maintenances'!$K:$K,0)),AL24,INDEX('[1]Définition Maintenances'!$G:$G,MATCH($A24,'[1]Définition Maintenances'!$K:$K,0))+AL24),AL24))</f>
        <v>913</v>
      </c>
      <c r="AN24" s="26">
        <f>IF(ISNUMBER(VLOOKUP($D24,'Visu totale'!$D:$DH,AN$1,0)),AM24-VLOOKUP($D24,'Visu totale'!$D:$DH,AN$1,0),IF(LEFT(VLOOKUP($D24,'Visu totale'!$D:$DH,AN$1,0),1)="V",IF(AM24&gt;=INDEX('[1]Définition Maintenances'!$G:$G,MATCH($A24,'[1]Définition Maintenances'!$K:$K,0)),AM24,INDEX('[1]Définition Maintenances'!$G:$G,MATCH($A24,'[1]Définition Maintenances'!$K:$K,0))+AM24),AM24))</f>
        <v>913</v>
      </c>
      <c r="AO24" s="27">
        <f>IF(ISNUMBER(VLOOKUP($D24,'Visu totale'!$D:$DH,AO$1,0)),AN24-VLOOKUP($D24,'Visu totale'!$D:$DH,AO$1,0),IF(LEFT(VLOOKUP($D24,'Visu totale'!$D:$DH,AO$1,0),1)="V",IF(AN24&gt;=INDEX('[1]Définition Maintenances'!$G:$G,MATCH($A24,'[1]Définition Maintenances'!$K:$K,0)),AN24,INDEX('[1]Définition Maintenances'!$G:$G,MATCH($A24,'[1]Définition Maintenances'!$K:$K,0))+AN24),AN24))</f>
        <v>913</v>
      </c>
      <c r="AP24" s="25">
        <f>IF(ISNUMBER(VLOOKUP($D24,'Visu totale'!$D:$DH,AP$1,0)),AO24-VLOOKUP($D24,'Visu totale'!$D:$DH,AP$1,0),IF(LEFT(VLOOKUP($D24,'Visu totale'!$D:$DH,AP$1,0),1)="V",IF(AO24&gt;=INDEX('[1]Définition Maintenances'!$G:$G,MATCH($A24,'[1]Définition Maintenances'!$K:$K,0)),AO24,INDEX('[1]Définition Maintenances'!$G:$G,MATCH($A24,'[1]Définition Maintenances'!$K:$K,0))+AO24),AO24))</f>
        <v>913</v>
      </c>
      <c r="AQ24" s="26">
        <f>IF(ISNUMBER(VLOOKUP($D24,'Visu totale'!$D:$DH,AQ$1,0)),AP24-VLOOKUP($D24,'Visu totale'!$D:$DH,AQ$1,0),IF(LEFT(VLOOKUP($D24,'Visu totale'!$D:$DH,AQ$1,0),1)="V",IF(AP24&gt;=INDEX('[1]Définition Maintenances'!$G:$G,MATCH($A24,'[1]Définition Maintenances'!$K:$K,0)),AP24,INDEX('[1]Définition Maintenances'!$G:$G,MATCH($A24,'[1]Définition Maintenances'!$K:$K,0))+AP24),AP24))</f>
        <v>913</v>
      </c>
      <c r="AR24" s="26">
        <f>IF(ISNUMBER(VLOOKUP($D24,'Visu totale'!$D:$DH,AR$1,0)),AQ24-VLOOKUP($D24,'Visu totale'!$D:$DH,AR$1,0),IF(LEFT(VLOOKUP($D24,'Visu totale'!$D:$DH,AR$1,0),1)="V",IF(AQ24&gt;=INDEX('[1]Définition Maintenances'!$G:$G,MATCH($A24,'[1]Définition Maintenances'!$K:$K,0)),AQ24,INDEX('[1]Définition Maintenances'!$G:$G,MATCH($A24,'[1]Définition Maintenances'!$K:$K,0))+AQ24),AQ24))</f>
        <v>913</v>
      </c>
      <c r="AS24" s="26">
        <f>IF(ISNUMBER(VLOOKUP($D24,'Visu totale'!$D:$DH,AS$1,0)),AR24-VLOOKUP($D24,'Visu totale'!$D:$DH,AS$1,0),IF(LEFT(VLOOKUP($D24,'Visu totale'!$D:$DH,AS$1,0),1)="V",IF(AR24&gt;=INDEX('[1]Définition Maintenances'!$G:$G,MATCH($A24,'[1]Définition Maintenances'!$K:$K,0)),AR24,INDEX('[1]Définition Maintenances'!$G:$G,MATCH($A24,'[1]Définition Maintenances'!$K:$K,0))+AR24),AR24))</f>
        <v>913</v>
      </c>
      <c r="AT24" s="26">
        <f>IF(ISNUMBER(VLOOKUP($D24,'Visu totale'!$D:$DH,AT$1,0)),AS24-VLOOKUP($D24,'Visu totale'!$D:$DH,AT$1,0),IF(LEFT(VLOOKUP($D24,'Visu totale'!$D:$DH,AT$1,0),1)="V",IF(AS24&gt;=INDEX('[1]Définition Maintenances'!$G:$G,MATCH($A24,'[1]Définition Maintenances'!$K:$K,0)),AS24,INDEX('[1]Définition Maintenances'!$G:$G,MATCH($A24,'[1]Définition Maintenances'!$K:$K,0))+AS24),AS24))</f>
        <v>913</v>
      </c>
      <c r="AU24" s="26">
        <f>IF(ISNUMBER(VLOOKUP($D24,'Visu totale'!$D:$DH,AU$1,0)),AT24-VLOOKUP($D24,'Visu totale'!$D:$DH,AU$1,0),IF(LEFT(VLOOKUP($D24,'Visu totale'!$D:$DH,AU$1,0),1)="V",IF(AT24&gt;=INDEX('[1]Définition Maintenances'!$G:$G,MATCH($A24,'[1]Définition Maintenances'!$K:$K,0)),AT24,INDEX('[1]Définition Maintenances'!$G:$G,MATCH($A24,'[1]Définition Maintenances'!$K:$K,0))+AT24),AT24))</f>
        <v>913</v>
      </c>
      <c r="AV24" s="26">
        <f>IF(ISNUMBER(VLOOKUP($D24,'Visu totale'!$D:$DH,AV$1,0)),AU24-VLOOKUP($D24,'Visu totale'!$D:$DH,AV$1,0),IF(LEFT(VLOOKUP($D24,'Visu totale'!$D:$DH,AV$1,0),1)="V",IF(AU24&gt;=INDEX('[1]Définition Maintenances'!$G:$G,MATCH($A24,'[1]Définition Maintenances'!$K:$K,0)),AU24,INDEX('[1]Définition Maintenances'!$G:$G,MATCH($A24,'[1]Définition Maintenances'!$K:$K,0))+AU24),AU24))</f>
        <v>913</v>
      </c>
      <c r="AW24" s="26">
        <f>IF(ISNUMBER(VLOOKUP($D24,'Visu totale'!$D:$DH,AW$1,0)),AV24-VLOOKUP($D24,'Visu totale'!$D:$DH,AW$1,0),IF(LEFT(VLOOKUP($D24,'Visu totale'!$D:$DH,AW$1,0),1)="V",IF(AV24&gt;=INDEX('[1]Définition Maintenances'!$G:$G,MATCH($A24,'[1]Définition Maintenances'!$K:$K,0)),AV24,INDEX('[1]Définition Maintenances'!$G:$G,MATCH($A24,'[1]Définition Maintenances'!$K:$K,0))+AV24),AV24))</f>
        <v>913</v>
      </c>
      <c r="AX24" s="26">
        <f>IF(ISNUMBER(VLOOKUP($D24,'Visu totale'!$D:$DH,AX$1,0)),AW24-VLOOKUP($D24,'Visu totale'!$D:$DH,AX$1,0),IF(LEFT(VLOOKUP($D24,'Visu totale'!$D:$DH,AX$1,0),1)="V",IF(AW24&gt;=INDEX('[1]Définition Maintenances'!$G:$G,MATCH($A24,'[1]Définition Maintenances'!$K:$K,0)),AW24,INDEX('[1]Définition Maintenances'!$G:$G,MATCH($A24,'[1]Définition Maintenances'!$K:$K,0))+AW24),AW24))</f>
        <v>913</v>
      </c>
      <c r="AY24" s="26">
        <f>IF(ISNUMBER(VLOOKUP($D24,'Visu totale'!$D:$DH,AY$1,0)),AX24-VLOOKUP($D24,'Visu totale'!$D:$DH,AY$1,0),IF(LEFT(VLOOKUP($D24,'Visu totale'!$D:$DH,AY$1,0),1)="V",IF(AX24&gt;=INDEX('[1]Définition Maintenances'!$G:$G,MATCH($A24,'[1]Définition Maintenances'!$K:$K,0)),AX24,INDEX('[1]Définition Maintenances'!$G:$G,MATCH($A24,'[1]Définition Maintenances'!$K:$K,0))+AX24),AX24))</f>
        <v>913</v>
      </c>
      <c r="AZ24" s="26">
        <f>IF(ISNUMBER(VLOOKUP($D24,'Visu totale'!$D:$DH,AZ$1,0)),AY24-VLOOKUP($D24,'Visu totale'!$D:$DH,AZ$1,0),IF(LEFT(VLOOKUP($D24,'Visu totale'!$D:$DH,AZ$1,0),1)="V",IF(AY24&gt;=INDEX('[1]Définition Maintenances'!$G:$G,MATCH($A24,'[1]Définition Maintenances'!$K:$K,0)),AY24,INDEX('[1]Définition Maintenances'!$G:$G,MATCH($A24,'[1]Définition Maintenances'!$K:$K,0))+AY24),AY24))</f>
        <v>913</v>
      </c>
      <c r="BA24" s="27">
        <f>IF(ISNUMBER(VLOOKUP($D24,'Visu totale'!$D:$DH,BA$1,0)),AZ24-VLOOKUP($D24,'Visu totale'!$D:$DH,BA$1,0),IF(LEFT(VLOOKUP($D24,'Visu totale'!$D:$DH,BA$1,0),1)="V",IF(AZ24&gt;=INDEX('[1]Définition Maintenances'!$G:$G,MATCH($A24,'[1]Définition Maintenances'!$K:$K,0)),AZ24,INDEX('[1]Définition Maintenances'!$G:$G,MATCH($A24,'[1]Définition Maintenances'!$K:$K,0))+AZ24),AZ24))</f>
        <v>913</v>
      </c>
      <c r="BB24" s="25">
        <f>IF(ISNUMBER(VLOOKUP($D24,'Visu totale'!$D:$DH,BB$1,0)),BA24-VLOOKUP($D24,'Visu totale'!$D:$DH,BB$1,0),IF(LEFT(VLOOKUP($D24,'Visu totale'!$D:$DH,BB$1,0),1)="V",IF(BA24&gt;=INDEX('[1]Définition Maintenances'!$G:$G,MATCH($A24,'[1]Définition Maintenances'!$K:$K,0)),BA24,INDEX('[1]Définition Maintenances'!$G:$G,MATCH($A24,'[1]Définition Maintenances'!$K:$K,0))+BA24),BA24))</f>
        <v>913</v>
      </c>
      <c r="BC24" s="26">
        <f>IF(ISNUMBER(VLOOKUP($D24,'Visu totale'!$D:$DH,BC$1,0)),BB24-VLOOKUP($D24,'Visu totale'!$D:$DH,BC$1,0),IF(LEFT(VLOOKUP($D24,'Visu totale'!$D:$DH,BC$1,0),1)="V",IF(BB24&gt;=INDEX('[1]Définition Maintenances'!$G:$G,MATCH($A24,'[1]Définition Maintenances'!$K:$K,0)),BB24,INDEX('[1]Définition Maintenances'!$G:$G,MATCH($A24,'[1]Définition Maintenances'!$K:$K,0))+BB24),BB24))</f>
        <v>913</v>
      </c>
      <c r="BD24" s="26">
        <f>IF(ISNUMBER(VLOOKUP($D24,'Visu totale'!$D:$DH,BD$1,0)),BC24-VLOOKUP($D24,'Visu totale'!$D:$DH,BD$1,0),IF(LEFT(VLOOKUP($D24,'Visu totale'!$D:$DH,BD$1,0),1)="V",IF(BC24&gt;=INDEX('[1]Définition Maintenances'!$G:$G,MATCH($A24,'[1]Définition Maintenances'!$K:$K,0)),BC24,INDEX('[1]Définition Maintenances'!$G:$G,MATCH($A24,'[1]Définition Maintenances'!$K:$K,0))+BC24),BC24))</f>
        <v>913</v>
      </c>
      <c r="BE24" s="26">
        <f>IF(ISNUMBER(VLOOKUP($D24,'Visu totale'!$D:$DH,BE$1,0)),BD24-VLOOKUP($D24,'Visu totale'!$D:$DH,BE$1,0),IF(LEFT(VLOOKUP($D24,'Visu totale'!$D:$DH,BE$1,0),1)="V",IF(BD24&gt;=INDEX('[1]Définition Maintenances'!$G:$G,MATCH($A24,'[1]Définition Maintenances'!$K:$K,0)),BD24,INDEX('[1]Définition Maintenances'!$G:$G,MATCH($A24,'[1]Définition Maintenances'!$K:$K,0))+BD24),BD24))</f>
        <v>913</v>
      </c>
      <c r="BF24" s="26">
        <f>IF(ISNUMBER(VLOOKUP($D24,'Visu totale'!$D:$DH,BF$1,0)),BE24-VLOOKUP($D24,'Visu totale'!$D:$DH,BF$1,0),IF(LEFT(VLOOKUP($D24,'Visu totale'!$D:$DH,BF$1,0),1)="V",IF(BE24&gt;=INDEX('[1]Définition Maintenances'!$G:$G,MATCH($A24,'[1]Définition Maintenances'!$K:$K,0)),BE24,INDEX('[1]Définition Maintenances'!$G:$G,MATCH($A24,'[1]Définition Maintenances'!$K:$K,0))+BE24),BE24))</f>
        <v>913</v>
      </c>
      <c r="BG24" s="26">
        <f>IF(ISNUMBER(VLOOKUP($D24,'Visu totale'!$D:$DH,BG$1,0)),BF24-VLOOKUP($D24,'Visu totale'!$D:$DH,BG$1,0),IF(LEFT(VLOOKUP($D24,'Visu totale'!$D:$DH,BG$1,0),1)="V",IF(BF24&gt;=INDEX('[1]Définition Maintenances'!$G:$G,MATCH($A24,'[1]Définition Maintenances'!$K:$K,0)),BF24,INDEX('[1]Définition Maintenances'!$G:$G,MATCH($A24,'[1]Définition Maintenances'!$K:$K,0))+BF24),BF24))</f>
        <v>913</v>
      </c>
      <c r="BH24" s="26">
        <f>IF(ISNUMBER(VLOOKUP($D24,'Visu totale'!$D:$DH,BH$1,0)),BG24-VLOOKUP($D24,'Visu totale'!$D:$DH,BH$1,0),IF(LEFT(VLOOKUP($D24,'Visu totale'!$D:$DH,BH$1,0),1)="V",IF(BG24&gt;=INDEX('[1]Définition Maintenances'!$G:$G,MATCH($A24,'[1]Définition Maintenances'!$K:$K,0)),BG24,INDEX('[1]Définition Maintenances'!$G:$G,MATCH($A24,'[1]Définition Maintenances'!$K:$K,0))+BG24),BG24))</f>
        <v>913</v>
      </c>
      <c r="BI24" s="26">
        <f>IF(ISNUMBER(VLOOKUP($D24,'Visu totale'!$D:$DH,BI$1,0)),BH24-VLOOKUP($D24,'Visu totale'!$D:$DH,BI$1,0),IF(LEFT(VLOOKUP($D24,'Visu totale'!$D:$DH,BI$1,0),1)="V",IF(BH24&gt;=INDEX('[1]Définition Maintenances'!$G:$G,MATCH($A24,'[1]Définition Maintenances'!$K:$K,0)),BH24,INDEX('[1]Définition Maintenances'!$G:$G,MATCH($A24,'[1]Définition Maintenances'!$K:$K,0))+BH24),BH24))</f>
        <v>913</v>
      </c>
      <c r="BJ24" s="26">
        <f>IF(ISNUMBER(VLOOKUP($D24,'Visu totale'!$D:$DH,BJ$1,0)),BI24-VLOOKUP($D24,'Visu totale'!$D:$DH,BJ$1,0),IF(LEFT(VLOOKUP($D24,'Visu totale'!$D:$DH,BJ$1,0),1)="V",IF(BI24&gt;=INDEX('[1]Définition Maintenances'!$G:$G,MATCH($A24,'[1]Définition Maintenances'!$K:$K,0)),BI24,INDEX('[1]Définition Maintenances'!$G:$G,MATCH($A24,'[1]Définition Maintenances'!$K:$K,0))+BI24),BI24))</f>
        <v>913</v>
      </c>
      <c r="BK24" s="26">
        <f>IF(ISNUMBER(VLOOKUP($D24,'Visu totale'!$D:$DH,BK$1,0)),BJ24-VLOOKUP($D24,'Visu totale'!$D:$DH,BK$1,0),IF(LEFT(VLOOKUP($D24,'Visu totale'!$D:$DH,BK$1,0),1)="V",IF(BJ24&gt;=INDEX('[1]Définition Maintenances'!$G:$G,MATCH($A24,'[1]Définition Maintenances'!$K:$K,0)),BJ24,INDEX('[1]Définition Maintenances'!$G:$G,MATCH($A24,'[1]Définition Maintenances'!$K:$K,0))+BJ24),BJ24))</f>
        <v>913</v>
      </c>
      <c r="BL24" s="26">
        <f>IF(ISNUMBER(VLOOKUP($D24,'Visu totale'!$D:$DH,BL$1,0)),BK24-VLOOKUP($D24,'Visu totale'!$D:$DH,BL$1,0),IF(LEFT(VLOOKUP($D24,'Visu totale'!$D:$DH,BL$1,0),1)="V",IF(BK24&gt;=INDEX('[1]Définition Maintenances'!$G:$G,MATCH($A24,'[1]Définition Maintenances'!$K:$K,0)),BK24,INDEX('[1]Définition Maintenances'!$G:$G,MATCH($A24,'[1]Définition Maintenances'!$K:$K,0))+BK24),BK24))</f>
        <v>913</v>
      </c>
      <c r="BM24" s="27">
        <f>IF(ISNUMBER(VLOOKUP($D24,'Visu totale'!$D:$DH,BM$1,0)),BL24-VLOOKUP($D24,'Visu totale'!$D:$DH,BM$1,0),IF(LEFT(VLOOKUP($D24,'Visu totale'!$D:$DH,BM$1,0),1)="V",IF(BL24&gt;=INDEX('[1]Définition Maintenances'!$G:$G,MATCH($A24,'[1]Définition Maintenances'!$K:$K,0)),BL24,INDEX('[1]Définition Maintenances'!$G:$G,MATCH($A24,'[1]Définition Maintenances'!$K:$K,0))+BL24),BL24))</f>
        <v>913</v>
      </c>
      <c r="BN24" s="25">
        <f>IF(ISNUMBER(VLOOKUP($D24,'Visu totale'!$D:$DH,BN$1,0)),BM24-VLOOKUP($D24,'Visu totale'!$D:$DH,BN$1,0),IF(LEFT(VLOOKUP($D24,'Visu totale'!$D:$DH,BN$1,0),1)="V",IF(BM24&gt;=INDEX('[1]Définition Maintenances'!$G:$G,MATCH($A24,'[1]Définition Maintenances'!$K:$K,0)),BM24,INDEX('[1]Définition Maintenances'!$G:$G,MATCH($A24,'[1]Définition Maintenances'!$K:$K,0))+BM24),BM24))</f>
        <v>913</v>
      </c>
      <c r="BO24" s="26">
        <f>IF(ISNUMBER(VLOOKUP($D24,'Visu totale'!$D:$DH,BO$1,0)),BN24-VLOOKUP($D24,'Visu totale'!$D:$DH,BO$1,0),IF(LEFT(VLOOKUP($D24,'Visu totale'!$D:$DH,BO$1,0),1)="V",IF(BN24&gt;=INDEX('[1]Définition Maintenances'!$G:$G,MATCH($A24,'[1]Définition Maintenances'!$K:$K,0)),BN24,INDEX('[1]Définition Maintenances'!$G:$G,MATCH($A24,'[1]Définition Maintenances'!$K:$K,0))+BN24),BN24))</f>
        <v>913</v>
      </c>
      <c r="BP24" s="26">
        <f>IF(ISNUMBER(VLOOKUP($D24,'Visu totale'!$D:$DH,BP$1,0)),BO24-VLOOKUP($D24,'Visu totale'!$D:$DH,BP$1,0),IF(LEFT(VLOOKUP($D24,'Visu totale'!$D:$DH,BP$1,0),1)="V",IF(BO24&gt;=INDEX('[1]Définition Maintenances'!$G:$G,MATCH($A24,'[1]Définition Maintenances'!$K:$K,0)),BO24,INDEX('[1]Définition Maintenances'!$G:$G,MATCH($A24,'[1]Définition Maintenances'!$K:$K,0))+BO24),BO24))</f>
        <v>913</v>
      </c>
      <c r="BQ24" s="26">
        <f>IF(ISNUMBER(VLOOKUP($D24,'Visu totale'!$D:$DH,BQ$1,0)),BP24-VLOOKUP($D24,'Visu totale'!$D:$DH,BQ$1,0),IF(LEFT(VLOOKUP($D24,'Visu totale'!$D:$DH,BQ$1,0),1)="V",IF(BP24&gt;=INDEX('[1]Définition Maintenances'!$G:$G,MATCH($A24,'[1]Définition Maintenances'!$K:$K,0)),BP24,INDEX('[1]Définition Maintenances'!$G:$G,MATCH($A24,'[1]Définition Maintenances'!$K:$K,0))+BP24),BP24))</f>
        <v>913</v>
      </c>
      <c r="BR24" s="26">
        <f>IF(ISNUMBER(VLOOKUP($D24,'Visu totale'!$D:$DH,BR$1,0)),BQ24-VLOOKUP($D24,'Visu totale'!$D:$DH,BR$1,0),IF(LEFT(VLOOKUP($D24,'Visu totale'!$D:$DH,BR$1,0),1)="V",IF(BQ24&gt;=INDEX('[1]Définition Maintenances'!$G:$G,MATCH($A24,'[1]Définition Maintenances'!$K:$K,0)),BQ24,INDEX('[1]Définition Maintenances'!$G:$G,MATCH($A24,'[1]Définition Maintenances'!$K:$K,0))+BQ24),BQ24))</f>
        <v>913</v>
      </c>
      <c r="BS24" s="26">
        <f>IF(ISNUMBER(VLOOKUP($D24,'Visu totale'!$D:$DH,BS$1,0)),BR24-VLOOKUP($D24,'Visu totale'!$D:$DH,BS$1,0),IF(LEFT(VLOOKUP($D24,'Visu totale'!$D:$DH,BS$1,0),1)="V",IF(BR24&gt;=INDEX('[1]Définition Maintenances'!$G:$G,MATCH($A24,'[1]Définition Maintenances'!$K:$K,0)),BR24,INDEX('[1]Définition Maintenances'!$G:$G,MATCH($A24,'[1]Définition Maintenances'!$K:$K,0))+BR24),BR24))</f>
        <v>913</v>
      </c>
      <c r="BT24" s="26">
        <f>IF(ISNUMBER(VLOOKUP($D24,'Visu totale'!$D:$DH,BT$1,0)),BS24-VLOOKUP($D24,'Visu totale'!$D:$DH,BT$1,0),IF(LEFT(VLOOKUP($D24,'Visu totale'!$D:$DH,BT$1,0),1)="V",IF(BS24&gt;=INDEX('[1]Définition Maintenances'!$G:$G,MATCH($A24,'[1]Définition Maintenances'!$K:$K,0)),BS24,INDEX('[1]Définition Maintenances'!$G:$G,MATCH($A24,'[1]Définition Maintenances'!$K:$K,0))+BS24),BS24))</f>
        <v>913</v>
      </c>
      <c r="BU24" s="26">
        <f>IF(ISNUMBER(VLOOKUP($D24,'Visu totale'!$D:$DH,BU$1,0)),BT24-VLOOKUP($D24,'Visu totale'!$D:$DH,BU$1,0),IF(LEFT(VLOOKUP($D24,'Visu totale'!$D:$DH,BU$1,0),1)="V",IF(BT24&gt;=INDEX('[1]Définition Maintenances'!$G:$G,MATCH($A24,'[1]Définition Maintenances'!$K:$K,0)),BT24,INDEX('[1]Définition Maintenances'!$G:$G,MATCH($A24,'[1]Définition Maintenances'!$K:$K,0))+BT24),BT24))</f>
        <v>913</v>
      </c>
      <c r="BV24" s="26">
        <f>IF(ISNUMBER(VLOOKUP($D24,'Visu totale'!$D:$DH,BV$1,0)),BU24-VLOOKUP($D24,'Visu totale'!$D:$DH,BV$1,0),IF(LEFT(VLOOKUP($D24,'Visu totale'!$D:$DH,BV$1,0),1)="V",IF(BU24&gt;=INDEX('[1]Définition Maintenances'!$G:$G,MATCH($A24,'[1]Définition Maintenances'!$K:$K,0)),BU24,INDEX('[1]Définition Maintenances'!$G:$G,MATCH($A24,'[1]Définition Maintenances'!$K:$K,0))+BU24),BU24))</f>
        <v>913</v>
      </c>
      <c r="BW24" s="26">
        <f>IF(ISNUMBER(VLOOKUP($D24,'Visu totale'!$D:$DH,BW$1,0)),BV24-VLOOKUP($D24,'Visu totale'!$D:$DH,BW$1,0),IF(LEFT(VLOOKUP($D24,'Visu totale'!$D:$DH,BW$1,0),1)="V",IF(BV24&gt;=INDEX('[1]Définition Maintenances'!$G:$G,MATCH($A24,'[1]Définition Maintenances'!$K:$K,0)),BV24,INDEX('[1]Définition Maintenances'!$G:$G,MATCH($A24,'[1]Définition Maintenances'!$K:$K,0))+BV24),BV24))</f>
        <v>913</v>
      </c>
      <c r="BX24" s="26">
        <f>IF(ISNUMBER(VLOOKUP($D24,'Visu totale'!$D:$DH,BX$1,0)),BW24-VLOOKUP($D24,'Visu totale'!$D:$DH,BX$1,0),IF(LEFT(VLOOKUP($D24,'Visu totale'!$D:$DH,BX$1,0),1)="V",IF(BW24&gt;=INDEX('[1]Définition Maintenances'!$G:$G,MATCH($A24,'[1]Définition Maintenances'!$K:$K,0)),BW24,INDEX('[1]Définition Maintenances'!$G:$G,MATCH($A24,'[1]Définition Maintenances'!$K:$K,0))+BW24),BW24))</f>
        <v>913</v>
      </c>
      <c r="BY24" s="27">
        <f>IF(ISNUMBER(VLOOKUP($D24,'Visu totale'!$D:$DH,BY$1,0)),BX24-VLOOKUP($D24,'Visu totale'!$D:$DH,BY$1,0),IF(LEFT(VLOOKUP($D24,'Visu totale'!$D:$DH,BY$1,0),1)="V",IF(BX24&gt;=INDEX('[1]Définition Maintenances'!$G:$G,MATCH($A24,'[1]Définition Maintenances'!$K:$K,0)),BX24,INDEX('[1]Définition Maintenances'!$G:$G,MATCH($A24,'[1]Définition Maintenances'!$K:$K,0))+BX24),BX24))</f>
        <v>913</v>
      </c>
      <c r="BZ24" s="25">
        <f>IF(ISNUMBER(VLOOKUP($D24,'Visu totale'!$D:$DH,BZ$1,0)),BY24-VLOOKUP($D24,'Visu totale'!$D:$DH,BZ$1,0),IF(LEFT(VLOOKUP($D24,'Visu totale'!$D:$DH,BZ$1,0),1)="V",IF(BY24&gt;=INDEX('[1]Définition Maintenances'!$G:$G,MATCH($A24,'[1]Définition Maintenances'!$K:$K,0)),BY24,INDEX('[1]Définition Maintenances'!$G:$G,MATCH($A24,'[1]Définition Maintenances'!$K:$K,0))+BY24),BY24))</f>
        <v>913</v>
      </c>
      <c r="CA24" s="26">
        <f>IF(ISNUMBER(VLOOKUP($D24,'Visu totale'!$D:$DH,CA$1,0)),BZ24-VLOOKUP($D24,'Visu totale'!$D:$DH,CA$1,0),IF(LEFT(VLOOKUP($D24,'Visu totale'!$D:$DH,CA$1,0),1)="V",IF(BZ24&gt;=INDEX('[1]Définition Maintenances'!$G:$G,MATCH($A24,'[1]Définition Maintenances'!$K:$K,0)),BZ24,INDEX('[1]Définition Maintenances'!$G:$G,MATCH($A24,'[1]Définition Maintenances'!$K:$K,0))+BZ24),BZ24))</f>
        <v>913</v>
      </c>
      <c r="CB24" s="26">
        <f>IF(ISNUMBER(VLOOKUP($D24,'Visu totale'!$D:$DH,CB$1,0)),CA24-VLOOKUP($D24,'Visu totale'!$D:$DH,CB$1,0),IF(LEFT(VLOOKUP($D24,'Visu totale'!$D:$DH,CB$1,0),1)="V",IF(CA24&gt;=INDEX('[1]Définition Maintenances'!$G:$G,MATCH($A24,'[1]Définition Maintenances'!$K:$K,0)),CA24,INDEX('[1]Définition Maintenances'!$G:$G,MATCH($A24,'[1]Définition Maintenances'!$K:$K,0))+CA24),CA24))</f>
        <v>913</v>
      </c>
      <c r="CC24" s="26">
        <f>IF(ISNUMBER(VLOOKUP($D24,'Visu totale'!$D:$DH,CC$1,0)),CB24-VLOOKUP($D24,'Visu totale'!$D:$DH,CC$1,0),IF(LEFT(VLOOKUP($D24,'Visu totale'!$D:$DH,CC$1,0),1)="V",IF(CB24&gt;=INDEX('[1]Définition Maintenances'!$G:$G,MATCH($A24,'[1]Définition Maintenances'!$K:$K,0)),CB24,INDEX('[1]Définition Maintenances'!$G:$G,MATCH($A24,'[1]Définition Maintenances'!$K:$K,0))+CB24),CB24))</f>
        <v>913</v>
      </c>
      <c r="CD24" s="26">
        <f>IF(ISNUMBER(VLOOKUP($D24,'Visu totale'!$D:$DH,CD$1,0)),CC24-VLOOKUP($D24,'Visu totale'!$D:$DH,CD$1,0),IF(LEFT(VLOOKUP($D24,'Visu totale'!$D:$DH,CD$1,0),1)="V",IF(CC24&gt;=INDEX('[1]Définition Maintenances'!$G:$G,MATCH($A24,'[1]Définition Maintenances'!$K:$K,0)),CC24,INDEX('[1]Définition Maintenances'!$G:$G,MATCH($A24,'[1]Définition Maintenances'!$K:$K,0))+CC24),CC24))</f>
        <v>913</v>
      </c>
      <c r="CE24" s="26">
        <f>IF(ISNUMBER(VLOOKUP($D24,'Visu totale'!$D:$DH,CE$1,0)),CD24-VLOOKUP($D24,'Visu totale'!$D:$DH,CE$1,0),IF(LEFT(VLOOKUP($D24,'Visu totale'!$D:$DH,CE$1,0),1)="V",IF(CD24&gt;=INDEX('[1]Définition Maintenances'!$G:$G,MATCH($A24,'[1]Définition Maintenances'!$K:$K,0)),CD24,INDEX('[1]Définition Maintenances'!$G:$G,MATCH($A24,'[1]Définition Maintenances'!$K:$K,0))+CD24),CD24))</f>
        <v>913</v>
      </c>
      <c r="CF24" s="26">
        <f>IF(ISNUMBER(VLOOKUP($D24,'Visu totale'!$D:$DH,CF$1,0)),CE24-VLOOKUP($D24,'Visu totale'!$D:$DH,CF$1,0),IF(LEFT(VLOOKUP($D24,'Visu totale'!$D:$DH,CF$1,0),1)="V",IF(CE24&gt;=INDEX('[1]Définition Maintenances'!$G:$G,MATCH($A24,'[1]Définition Maintenances'!$K:$K,0)),CE24,INDEX('[1]Définition Maintenances'!$G:$G,MATCH($A24,'[1]Définition Maintenances'!$K:$K,0))+CE24),CE24))</f>
        <v>913</v>
      </c>
      <c r="CG24" s="26">
        <f>IF(ISNUMBER(VLOOKUP($D24,'Visu totale'!$D:$DH,CG$1,0)),CF24-VLOOKUP($D24,'Visu totale'!$D:$DH,CG$1,0),IF(LEFT(VLOOKUP($D24,'Visu totale'!$D:$DH,CG$1,0),1)="V",IF(CF24&gt;=INDEX('[1]Définition Maintenances'!$G:$G,MATCH($A24,'[1]Définition Maintenances'!$K:$K,0)),CF24,INDEX('[1]Définition Maintenances'!$G:$G,MATCH($A24,'[1]Définition Maintenances'!$K:$K,0))+CF24),CF24))</f>
        <v>913</v>
      </c>
      <c r="CH24" s="26">
        <f>IF(ISNUMBER(VLOOKUP($D24,'Visu totale'!$D:$DH,CH$1,0)),CG24-VLOOKUP($D24,'Visu totale'!$D:$DH,CH$1,0),IF(LEFT(VLOOKUP($D24,'Visu totale'!$D:$DH,CH$1,0),1)="V",IF(CG24&gt;=INDEX('[1]Définition Maintenances'!$G:$G,MATCH($A24,'[1]Définition Maintenances'!$K:$K,0)),CG24,INDEX('[1]Définition Maintenances'!$G:$G,MATCH($A24,'[1]Définition Maintenances'!$K:$K,0))+CG24),CG24))</f>
        <v>913</v>
      </c>
      <c r="CI24" s="26">
        <f>IF(ISNUMBER(VLOOKUP($D24,'Visu totale'!$D:$DH,CI$1,0)),CH24-VLOOKUP($D24,'Visu totale'!$D:$DH,CI$1,0),IF(LEFT(VLOOKUP($D24,'Visu totale'!$D:$DH,CI$1,0),1)="V",IF(CH24&gt;=INDEX('[1]Définition Maintenances'!$G:$G,MATCH($A24,'[1]Définition Maintenances'!$K:$K,0)),CH24,INDEX('[1]Définition Maintenances'!$G:$G,MATCH($A24,'[1]Définition Maintenances'!$K:$K,0))+CH24),CH24))</f>
        <v>913</v>
      </c>
      <c r="CJ24" s="26">
        <f>IF(ISNUMBER(VLOOKUP($D24,'Visu totale'!$D:$DH,CJ$1,0)),CI24-VLOOKUP($D24,'Visu totale'!$D:$DH,CJ$1,0),IF(LEFT(VLOOKUP($D24,'Visu totale'!$D:$DH,CJ$1,0),1)="V",IF(CI24&gt;=INDEX('[1]Définition Maintenances'!$G:$G,MATCH($A24,'[1]Définition Maintenances'!$K:$K,0)),CI24,INDEX('[1]Définition Maintenances'!$G:$G,MATCH($A24,'[1]Définition Maintenances'!$K:$K,0))+CI24),CI24))</f>
        <v>913</v>
      </c>
      <c r="CK24" s="27">
        <f>IF(ISNUMBER(VLOOKUP($D24,'Visu totale'!$D:$DH,CK$1,0)),CJ24-VLOOKUP($D24,'Visu totale'!$D:$DH,CK$1,0),IF(LEFT(VLOOKUP($D24,'Visu totale'!$D:$DH,CK$1,0),1)="V",IF(CJ24&gt;=INDEX('[1]Définition Maintenances'!$G:$G,MATCH($A24,'[1]Définition Maintenances'!$K:$K,0)),CJ24,INDEX('[1]Définition Maintenances'!$G:$G,MATCH($A24,'[1]Définition Maintenances'!$K:$K,0))+CJ24),CJ24))</f>
        <v>913</v>
      </c>
      <c r="CL24" s="25">
        <f>IF(ISNUMBER(VLOOKUP($D24,'Visu totale'!$D:$DH,CL$1,0)),CK24-VLOOKUP($D24,'Visu totale'!$D:$DH,CL$1,0),IF(LEFT(VLOOKUP($D24,'Visu totale'!$D:$DH,CL$1,0),1)="V",IF(CK24&gt;=INDEX('[1]Définition Maintenances'!$G:$G,MATCH($A24,'[1]Définition Maintenances'!$K:$K,0)),CK24,INDEX('[1]Définition Maintenances'!$G:$G,MATCH($A24,'[1]Définition Maintenances'!$K:$K,0))+CK24),CK24))</f>
        <v>913</v>
      </c>
      <c r="CM24" s="26">
        <f>IF(ISNUMBER(VLOOKUP($D24,'Visu totale'!$D:$DH,CM$1,0)),CL24-VLOOKUP($D24,'Visu totale'!$D:$DH,CM$1,0),IF(LEFT(VLOOKUP($D24,'Visu totale'!$D:$DH,CM$1,0),1)="V",IF(CL24&gt;=INDEX('[1]Définition Maintenances'!$G:$G,MATCH($A24,'[1]Définition Maintenances'!$K:$K,0)),CL24,INDEX('[1]Définition Maintenances'!$G:$G,MATCH($A24,'[1]Définition Maintenances'!$K:$K,0))+CL24),CL24))</f>
        <v>913</v>
      </c>
      <c r="CN24" s="26">
        <f>IF(ISNUMBER(VLOOKUP($D24,'Visu totale'!$D:$DH,CN$1,0)),CM24-VLOOKUP($D24,'Visu totale'!$D:$DH,CN$1,0),IF(LEFT(VLOOKUP($D24,'Visu totale'!$D:$DH,CN$1,0),1)="V",IF(CM24&gt;=INDEX('[1]Définition Maintenances'!$G:$G,MATCH($A24,'[1]Définition Maintenances'!$K:$K,0)),CM24,INDEX('[1]Définition Maintenances'!$G:$G,MATCH($A24,'[1]Définition Maintenances'!$K:$K,0))+CM24),CM24))</f>
        <v>913</v>
      </c>
      <c r="CO24" s="26">
        <f>IF(ISNUMBER(VLOOKUP($D24,'Visu totale'!$D:$DH,CO$1,0)),CN24-VLOOKUP($D24,'Visu totale'!$D:$DH,CO$1,0),IF(LEFT(VLOOKUP($D24,'Visu totale'!$D:$DH,CO$1,0),1)="V",IF(CN24&gt;=INDEX('[1]Définition Maintenances'!$G:$G,MATCH($A24,'[1]Définition Maintenances'!$K:$K,0)),CN24,INDEX('[1]Définition Maintenances'!$G:$G,MATCH($A24,'[1]Définition Maintenances'!$K:$K,0))+CN24),CN24))</f>
        <v>913</v>
      </c>
      <c r="CP24" s="26">
        <f>IF(ISNUMBER(VLOOKUP($D24,'Visu totale'!$D:$DH,CP$1,0)),CO24-VLOOKUP($D24,'Visu totale'!$D:$DH,CP$1,0),IF(LEFT(VLOOKUP($D24,'Visu totale'!$D:$DH,CP$1,0),1)="V",IF(CO24&gt;=INDEX('[1]Définition Maintenances'!$G:$G,MATCH($A24,'[1]Définition Maintenances'!$K:$K,0)),CO24,INDEX('[1]Définition Maintenances'!$G:$G,MATCH($A24,'[1]Définition Maintenances'!$K:$K,0))+CO24),CO24))</f>
        <v>913</v>
      </c>
      <c r="CQ24" s="26">
        <f>IF(ISNUMBER(VLOOKUP($D24,'Visu totale'!$D:$DH,CQ$1,0)),CP24-VLOOKUP($D24,'Visu totale'!$D:$DH,CQ$1,0),IF(LEFT(VLOOKUP($D24,'Visu totale'!$D:$DH,CQ$1,0),1)="V",IF(CP24&gt;=INDEX('[1]Définition Maintenances'!$G:$G,MATCH($A24,'[1]Définition Maintenances'!$K:$K,0)),CP24,INDEX('[1]Définition Maintenances'!$G:$G,MATCH($A24,'[1]Définition Maintenances'!$K:$K,0))+CP24),CP24))</f>
        <v>913</v>
      </c>
      <c r="CR24" s="26">
        <f>IF(ISNUMBER(VLOOKUP($D24,'Visu totale'!$D:$DH,CR$1,0)),CQ24-VLOOKUP($D24,'Visu totale'!$D:$DH,CR$1,0),IF(LEFT(VLOOKUP($D24,'Visu totale'!$D:$DH,CR$1,0),1)="V",IF(CQ24&gt;=INDEX('[1]Définition Maintenances'!$G:$G,MATCH($A24,'[1]Définition Maintenances'!$K:$K,0)),CQ24,INDEX('[1]Définition Maintenances'!$G:$G,MATCH($A24,'[1]Définition Maintenances'!$K:$K,0))+CQ24),CQ24))</f>
        <v>913</v>
      </c>
      <c r="CS24" s="26">
        <f>IF(ISNUMBER(VLOOKUP($D24,'Visu totale'!$D:$DH,CS$1,0)),CR24-VLOOKUP($D24,'Visu totale'!$D:$DH,CS$1,0),IF(LEFT(VLOOKUP($D24,'Visu totale'!$D:$DH,CS$1,0),1)="V",IF(CR24&gt;=INDEX('[1]Définition Maintenances'!$G:$G,MATCH($A24,'[1]Définition Maintenances'!$K:$K,0)),CR24,INDEX('[1]Définition Maintenances'!$G:$G,MATCH($A24,'[1]Définition Maintenances'!$K:$K,0))+CR24),CR24))</f>
        <v>913</v>
      </c>
      <c r="CT24" s="26">
        <f>IF(ISNUMBER(VLOOKUP($D24,'Visu totale'!$D:$DH,CT$1,0)),CS24-VLOOKUP($D24,'Visu totale'!$D:$DH,CT$1,0),IF(LEFT(VLOOKUP($D24,'Visu totale'!$D:$DH,CT$1,0),1)="V",IF(CS24&gt;=INDEX('[1]Définition Maintenances'!$G:$G,MATCH($A24,'[1]Définition Maintenances'!$K:$K,0)),CS24,INDEX('[1]Définition Maintenances'!$G:$G,MATCH($A24,'[1]Définition Maintenances'!$K:$K,0))+CS24),CS24))</f>
        <v>913</v>
      </c>
      <c r="CU24" s="26">
        <f>IF(ISNUMBER(VLOOKUP($D24,'Visu totale'!$D:$DH,CU$1,0)),CT24-VLOOKUP($D24,'Visu totale'!$D:$DH,CU$1,0),IF(LEFT(VLOOKUP($D24,'Visu totale'!$D:$DH,CU$1,0),1)="V",IF(CT24&gt;=INDEX('[1]Définition Maintenances'!$G:$G,MATCH($A24,'[1]Définition Maintenances'!$K:$K,0)),CT24,INDEX('[1]Définition Maintenances'!$G:$G,MATCH($A24,'[1]Définition Maintenances'!$K:$K,0))+CT24),CT24))</f>
        <v>913</v>
      </c>
      <c r="CV24" s="26">
        <f>IF(ISNUMBER(VLOOKUP($D24,'Visu totale'!$D:$DH,CV$1,0)),CU24-VLOOKUP($D24,'Visu totale'!$D:$DH,CV$1,0),IF(LEFT(VLOOKUP($D24,'Visu totale'!$D:$DH,CV$1,0),1)="V",IF(CU24&gt;=INDEX('[1]Définition Maintenances'!$G:$G,MATCH($A24,'[1]Définition Maintenances'!$K:$K,0)),CU24,INDEX('[1]Définition Maintenances'!$G:$G,MATCH($A24,'[1]Définition Maintenances'!$K:$K,0))+CU24),CU24))</f>
        <v>913</v>
      </c>
      <c r="CW24" s="27">
        <f>IF(ISNUMBER(VLOOKUP($D24,'Visu totale'!$D:$DH,CW$1,0)),CV24-VLOOKUP($D24,'Visu totale'!$D:$DH,CW$1,0),IF(LEFT(VLOOKUP($D24,'Visu totale'!$D:$DH,CW$1,0),1)="V",IF(CV24&gt;=INDEX('[1]Définition Maintenances'!$G:$G,MATCH($A24,'[1]Définition Maintenances'!$K:$K,0)),CV24,INDEX('[1]Définition Maintenances'!$G:$G,MATCH($A24,'[1]Définition Maintenances'!$K:$K,0))+CV24),CV24))</f>
        <v>913</v>
      </c>
      <c r="CX24" s="25">
        <f>IF(ISNUMBER(VLOOKUP($D24,'Visu totale'!$D:$DH,CX$1,0)),CW24-VLOOKUP($D24,'Visu totale'!$D:$DH,CX$1,0),IF(LEFT(VLOOKUP($D24,'Visu totale'!$D:$DH,CX$1,0),1)="V",IF(CW24&gt;=INDEX('[1]Définition Maintenances'!$G:$G,MATCH($A24,'[1]Définition Maintenances'!$K:$K,0)),CW24,INDEX('[1]Définition Maintenances'!$G:$G,MATCH($A24,'[1]Définition Maintenances'!$K:$K,0))+CW24),CW24))</f>
        <v>913</v>
      </c>
      <c r="CY24" s="26">
        <f>IF(ISNUMBER(VLOOKUP($D24,'Visu totale'!$D:$DH,CY$1,0)),CX24-VLOOKUP($D24,'Visu totale'!$D:$DH,CY$1,0),IF(LEFT(VLOOKUP($D24,'Visu totale'!$D:$DH,CY$1,0),1)="V",IF(CX24&gt;=INDEX('[1]Définition Maintenances'!$G:$G,MATCH($A24,'[1]Définition Maintenances'!$K:$K,0)),CX24,INDEX('[1]Définition Maintenances'!$G:$G,MATCH($A24,'[1]Définition Maintenances'!$K:$K,0))+CX24),CX24))</f>
        <v>913</v>
      </c>
      <c r="CZ24" s="26">
        <f>IF(ISNUMBER(VLOOKUP($D24,'Visu totale'!$D:$DH,CZ$1,0)),CY24-VLOOKUP($D24,'Visu totale'!$D:$DH,CZ$1,0),IF(LEFT(VLOOKUP($D24,'Visu totale'!$D:$DH,CZ$1,0),1)="V",IF(CY24&gt;=INDEX('[1]Définition Maintenances'!$G:$G,MATCH($A24,'[1]Définition Maintenances'!$K:$K,0)),CY24,INDEX('[1]Définition Maintenances'!$G:$G,MATCH($A24,'[1]Définition Maintenances'!$K:$K,0))+CY24),CY24))</f>
        <v>913</v>
      </c>
      <c r="DA24" s="26">
        <f>IF(ISNUMBER(VLOOKUP($D24,'Visu totale'!$D:$DH,DA$1,0)),CZ24-VLOOKUP($D24,'Visu totale'!$D:$DH,DA$1,0),IF(LEFT(VLOOKUP($D24,'Visu totale'!$D:$DH,DA$1,0),1)="V",IF(CZ24&gt;=INDEX('[1]Définition Maintenances'!$G:$G,MATCH($A24,'[1]Définition Maintenances'!$K:$K,0)),CZ24,INDEX('[1]Définition Maintenances'!$G:$G,MATCH($A24,'[1]Définition Maintenances'!$K:$K,0))+CZ24),CZ24))</f>
        <v>913</v>
      </c>
      <c r="DB24" s="26">
        <f>IF(ISNUMBER(VLOOKUP($D24,'Visu totale'!$D:$DH,DB$1,0)),DA24-VLOOKUP($D24,'Visu totale'!$D:$DH,DB$1,0),IF(LEFT(VLOOKUP($D24,'Visu totale'!$D:$DH,DB$1,0),1)="V",IF(DA24&gt;=INDEX('[1]Définition Maintenances'!$G:$G,MATCH($A24,'[1]Définition Maintenances'!$K:$K,0)),DA24,INDEX('[1]Définition Maintenances'!$G:$G,MATCH($A24,'[1]Définition Maintenances'!$K:$K,0))+DA24),DA24))</f>
        <v>913</v>
      </c>
      <c r="DC24" s="26">
        <f>IF(ISNUMBER(VLOOKUP($D24,'Visu totale'!$D:$DH,DC$1,0)),DB24-VLOOKUP($D24,'Visu totale'!$D:$DH,DC$1,0),IF(LEFT(VLOOKUP($D24,'Visu totale'!$D:$DH,DC$1,0),1)="V",IF(DB24&gt;=INDEX('[1]Définition Maintenances'!$G:$G,MATCH($A24,'[1]Définition Maintenances'!$K:$K,0)),DB24,INDEX('[1]Définition Maintenances'!$G:$G,MATCH($A24,'[1]Définition Maintenances'!$K:$K,0))+DB24),DB24))</f>
        <v>913</v>
      </c>
      <c r="DD24" s="26">
        <f>IF(ISNUMBER(VLOOKUP($D24,'Visu totale'!$D:$DH,DD$1,0)),DC24-VLOOKUP($D24,'Visu totale'!$D:$DH,DD$1,0),IF(LEFT(VLOOKUP($D24,'Visu totale'!$D:$DH,DD$1,0),1)="V",IF(DC24&gt;=INDEX('[1]Définition Maintenances'!$G:$G,MATCH($A24,'[1]Définition Maintenances'!$K:$K,0)),DC24,INDEX('[1]Définition Maintenances'!$G:$G,MATCH($A24,'[1]Définition Maintenances'!$K:$K,0))+DC24),DC24))</f>
        <v>913</v>
      </c>
      <c r="DE24" s="26">
        <f>IF(ISNUMBER(VLOOKUP($D24,'Visu totale'!$D:$DH,DE$1,0)),DD24-VLOOKUP($D24,'Visu totale'!$D:$DH,DE$1,0),IF(LEFT(VLOOKUP($D24,'Visu totale'!$D:$DH,DE$1,0),1)="V",IF(DD24&gt;=INDEX('[1]Définition Maintenances'!$G:$G,MATCH($A24,'[1]Définition Maintenances'!$K:$K,0)),DD24,INDEX('[1]Définition Maintenances'!$G:$G,MATCH($A24,'[1]Définition Maintenances'!$K:$K,0))+DD24),DD24))</f>
        <v>913</v>
      </c>
      <c r="DF24" s="26">
        <f>IF(ISNUMBER(VLOOKUP($D24,'Visu totale'!$D:$DH,DF$1,0)),DE24-VLOOKUP($D24,'Visu totale'!$D:$DH,DF$1,0),IF(LEFT(VLOOKUP($D24,'Visu totale'!$D:$DH,DF$1,0),1)="V",IF(DE24&gt;=INDEX('[1]Définition Maintenances'!$G:$G,MATCH($A24,'[1]Définition Maintenances'!$K:$K,0)),DE24,INDEX('[1]Définition Maintenances'!$G:$G,MATCH($A24,'[1]Définition Maintenances'!$K:$K,0))+DE24),DE24))</f>
        <v>913</v>
      </c>
      <c r="DG24" s="26">
        <f>IF(ISNUMBER(VLOOKUP($D24,'Visu totale'!$D:$DH,DG$1,0)),DF24-VLOOKUP($D24,'Visu totale'!$D:$DH,DG$1,0),IF(LEFT(VLOOKUP($D24,'Visu totale'!$D:$DH,DG$1,0),1)="V",IF(DF24&gt;=INDEX('[1]Définition Maintenances'!$G:$G,MATCH($A24,'[1]Définition Maintenances'!$K:$K,0)),DF24,INDEX('[1]Définition Maintenances'!$G:$G,MATCH($A24,'[1]Définition Maintenances'!$K:$K,0))+DF24),DF24))</f>
        <v>913</v>
      </c>
      <c r="DH24" s="26">
        <f>IF(ISNUMBER(VLOOKUP($D24,'Visu totale'!$D:$DH,DH$1,0)),DG24-VLOOKUP($D24,'Visu totale'!$D:$DH,DH$1,0),IF(LEFT(VLOOKUP($D24,'Visu totale'!$D:$DH,DH$1,0),1)="V",IF(DG24&gt;=INDEX('[1]Définition Maintenances'!$G:$G,MATCH($A24,'[1]Définition Maintenances'!$K:$K,0)),DG24,INDEX('[1]Définition Maintenances'!$G:$G,MATCH($A24,'[1]Définition Maintenances'!$K:$K,0))+DG24),DG24))</f>
        <v>913</v>
      </c>
      <c r="DI24" s="27">
        <f>IF(ISNUMBER(VLOOKUP($D24,'Visu totale'!$D:$DH,DI$1,0)),DH24-VLOOKUP($D24,'Visu totale'!$D:$DH,DI$1,0),IF(LEFT(VLOOKUP($D24,'Visu totale'!$D:$DH,DI$1,0),1)="V",IF(DH24&gt;=INDEX('[1]Définition Maintenances'!$G:$G,MATCH($A24,'[1]Définition Maintenances'!$K:$K,0)),DH24,INDEX('[1]Définition Maintenances'!$G:$G,MATCH($A24,'[1]Définition Maintenances'!$K:$K,0))+DH24),DH24))</f>
        <v>913</v>
      </c>
    </row>
    <row r="25" spans="1:113" x14ac:dyDescent="0.25">
      <c r="A25" s="13" t="str">
        <f t="shared" si="0"/>
        <v>V10D</v>
      </c>
      <c r="B25" s="13" t="str">
        <f>VLOOKUP(D25,'[1]Avions (Potentiels)'!$B$2:$H$128,7,FALSE)</f>
        <v>V10</v>
      </c>
      <c r="C25" s="13"/>
      <c r="D25" s="16" t="s">
        <v>28</v>
      </c>
      <c r="E25" s="13">
        <f>IFERROR(VALUE(SUBSTITUTE(VLOOKUP(D25,'[1]Avions (Potentiels)'!$B:$E,4,0),".",",")),VALUE(VLOOKUP(D25,'[1]Avions (Potentiels)'!$B:$E,4,0)))</f>
        <v>296</v>
      </c>
      <c r="F25" s="25">
        <f>IF(ISNUMBER(VLOOKUP($D25,'Visu totale'!$D:$DH,F$1,0)),E25-VLOOKUP($D25,'Visu totale'!$D:$DH,F$1,0),IF(LEFT(VLOOKUP($D25,'Visu totale'!$D:$DH,F$1,0),1)="V",IF(E25&gt;=INDEX('[1]Définition Maintenances'!$G:$G,MATCH($A25,'[1]Définition Maintenances'!$K:$K,0)),E25,INDEX('[1]Définition Maintenances'!$G:$G,MATCH($A25,'[1]Définition Maintenances'!$K:$K,0))+E25),E25))</f>
        <v>296</v>
      </c>
      <c r="G25" s="26">
        <f>IF(ISNUMBER(VLOOKUP($D25,'Visu totale'!$D:$DH,G$1,0)),F25-VLOOKUP($D25,'Visu totale'!$D:$DH,G$1,0),IF(LEFT(VLOOKUP($D25,'Visu totale'!$D:$DH,G$1,0),1)="V",IF(F25&gt;=INDEX('[1]Définition Maintenances'!$G:$G,MATCH($A25,'[1]Définition Maintenances'!$K:$K,0)),F25,INDEX('[1]Définition Maintenances'!$G:$G,MATCH($A25,'[1]Définition Maintenances'!$K:$K,0))+F25),F25))</f>
        <v>296</v>
      </c>
      <c r="H25" s="26">
        <f>IF(ISNUMBER(VLOOKUP($D25,'Visu totale'!$D:$DH,H$1,0)),G25-VLOOKUP($D25,'Visu totale'!$D:$DH,H$1,0),IF(LEFT(VLOOKUP($D25,'Visu totale'!$D:$DH,H$1,0),1)="V",IF(G25&gt;=INDEX('[1]Définition Maintenances'!$G:$G,MATCH($A25,'[1]Définition Maintenances'!$K:$K,0)),G25,INDEX('[1]Définition Maintenances'!$G:$G,MATCH($A25,'[1]Définition Maintenances'!$K:$K,0))+G25),G25))</f>
        <v>296</v>
      </c>
      <c r="I25" s="26">
        <f>IF(ISNUMBER(VLOOKUP($D25,'Visu totale'!$D:$DH,I$1,0)),H25-VLOOKUP($D25,'Visu totale'!$D:$DH,I$1,0),IF(LEFT(VLOOKUP($D25,'Visu totale'!$D:$DH,I$1,0),1)="V",IF(H25&gt;=INDEX('[1]Définition Maintenances'!$G:$G,MATCH($A25,'[1]Définition Maintenances'!$K:$K,0)),H25,INDEX('[1]Définition Maintenances'!$G:$G,MATCH($A25,'[1]Définition Maintenances'!$K:$K,0))+H25),H25))</f>
        <v>296</v>
      </c>
      <c r="J25" s="26">
        <f>IF(ISNUMBER(VLOOKUP($D25,'Visu totale'!$D:$DH,J$1,0)),I25-VLOOKUP($D25,'Visu totale'!$D:$DH,J$1,0),IF(LEFT(VLOOKUP($D25,'Visu totale'!$D:$DH,J$1,0),1)="V",IF(I25&gt;=INDEX('[1]Définition Maintenances'!$G:$G,MATCH($A25,'[1]Définition Maintenances'!$K:$K,0)),I25,INDEX('[1]Définition Maintenances'!$G:$G,MATCH($A25,'[1]Définition Maintenances'!$K:$K,0))+I25),I25))</f>
        <v>296</v>
      </c>
      <c r="K25" s="26">
        <f>IF(ISNUMBER(VLOOKUP($D25,'Visu totale'!$D:$DH,K$1,0)),J25-VLOOKUP($D25,'Visu totale'!$D:$DH,K$1,0),IF(LEFT(VLOOKUP($D25,'Visu totale'!$D:$DH,K$1,0),1)="V",IF(J25&gt;=INDEX('[1]Définition Maintenances'!$G:$G,MATCH($A25,'[1]Définition Maintenances'!$K:$K,0)),J25,INDEX('[1]Définition Maintenances'!$G:$G,MATCH($A25,'[1]Définition Maintenances'!$K:$K,0))+J25),J25))</f>
        <v>296</v>
      </c>
      <c r="L25" s="26">
        <f>IF(ISNUMBER(VLOOKUP($D25,'Visu totale'!$D:$DH,L$1,0)),K25-VLOOKUP($D25,'Visu totale'!$D:$DH,L$1,0),IF(LEFT(VLOOKUP($D25,'Visu totale'!$D:$DH,L$1,0),1)="V",IF(K25&gt;=INDEX('[1]Définition Maintenances'!$G:$G,MATCH($A25,'[1]Définition Maintenances'!$K:$K,0)),K25,INDEX('[1]Définition Maintenances'!$G:$G,MATCH($A25,'[1]Définition Maintenances'!$K:$K,0))+K25),K25))</f>
        <v>296</v>
      </c>
      <c r="M25" s="26">
        <f>IF(ISNUMBER(VLOOKUP($D25,'Visu totale'!$D:$DH,M$1,0)),L25-VLOOKUP($D25,'Visu totale'!$D:$DH,M$1,0),IF(LEFT(VLOOKUP($D25,'Visu totale'!$D:$DH,M$1,0),1)="V",IF(L25&gt;=INDEX('[1]Définition Maintenances'!$G:$G,MATCH($A25,'[1]Définition Maintenances'!$K:$K,0)),L25,INDEX('[1]Définition Maintenances'!$G:$G,MATCH($A25,'[1]Définition Maintenances'!$K:$K,0))+L25),L25))</f>
        <v>296</v>
      </c>
      <c r="N25" s="26">
        <f>IF(ISNUMBER(VLOOKUP($D25,'Visu totale'!$D:$DH,N$1,0)),M25-VLOOKUP($D25,'Visu totale'!$D:$DH,N$1,0),IF(LEFT(VLOOKUP($D25,'Visu totale'!$D:$DH,N$1,0),1)="V",IF(M25&gt;=INDEX('[1]Définition Maintenances'!$G:$G,MATCH($A25,'[1]Définition Maintenances'!$K:$K,0)),M25,INDEX('[1]Définition Maintenances'!$G:$G,MATCH($A25,'[1]Définition Maintenances'!$K:$K,0))+M25),M25))</f>
        <v>296</v>
      </c>
      <c r="O25" s="26">
        <f>IF(ISNUMBER(VLOOKUP($D25,'Visu totale'!$D:$DH,O$1,0)),N25-VLOOKUP($D25,'Visu totale'!$D:$DH,O$1,0),IF(LEFT(VLOOKUP($D25,'Visu totale'!$D:$DH,O$1,0),1)="V",IF(N25&gt;=INDEX('[1]Définition Maintenances'!$G:$G,MATCH($A25,'[1]Définition Maintenances'!$K:$K,0)),N25,INDEX('[1]Définition Maintenances'!$G:$G,MATCH($A25,'[1]Définition Maintenances'!$K:$K,0))+N25),N25))</f>
        <v>296</v>
      </c>
      <c r="P25" s="26">
        <f>IF(ISNUMBER(VLOOKUP($D25,'Visu totale'!$D:$DH,P$1,0)),O25-VLOOKUP($D25,'Visu totale'!$D:$DH,P$1,0),IF(LEFT(VLOOKUP($D25,'Visu totale'!$D:$DH,P$1,0),1)="V",IF(O25&gt;=INDEX('[1]Définition Maintenances'!$G:$G,MATCH($A25,'[1]Définition Maintenances'!$K:$K,0)),O25,INDEX('[1]Définition Maintenances'!$G:$G,MATCH($A25,'[1]Définition Maintenances'!$K:$K,0))+O25),O25))</f>
        <v>296</v>
      </c>
      <c r="Q25" s="27">
        <f>IF(ISNUMBER(VLOOKUP($D25,'Visu totale'!$D:$DH,Q$1,0)),P25-VLOOKUP($D25,'Visu totale'!$D:$DH,Q$1,0),IF(LEFT(VLOOKUP($D25,'Visu totale'!$D:$DH,Q$1,0),1)="V",IF(P25&gt;=INDEX('[1]Définition Maintenances'!$G:$G,MATCH($A25,'[1]Définition Maintenances'!$K:$K,0)),P25,INDEX('[1]Définition Maintenances'!$G:$G,MATCH($A25,'[1]Définition Maintenances'!$K:$K,0))+P25),P25))</f>
        <v>296</v>
      </c>
      <c r="R25" s="25">
        <f>IF(ISNUMBER(VLOOKUP($D25,'Visu totale'!$D:$DH,R$1,0)),Q25-VLOOKUP($D25,'Visu totale'!$D:$DH,R$1,0),IF(LEFT(VLOOKUP($D25,'Visu totale'!$D:$DH,R$1,0),1)="V",IF(Q25&gt;=INDEX('[1]Définition Maintenances'!$G:$G,MATCH($A25,'[1]Définition Maintenances'!$K:$K,0)),Q25,INDEX('[1]Définition Maintenances'!$G:$G,MATCH($A25,'[1]Définition Maintenances'!$K:$K,0))+Q25),Q25))</f>
        <v>296</v>
      </c>
      <c r="S25" s="26">
        <f>IF(ISNUMBER(VLOOKUP($D25,'Visu totale'!$D:$DH,S$1,0)),R25-VLOOKUP($D25,'Visu totale'!$D:$DH,S$1,0),IF(LEFT(VLOOKUP($D25,'Visu totale'!$D:$DH,S$1,0),1)="V",IF(R25&gt;=INDEX('[1]Définition Maintenances'!$G:$G,MATCH($A25,'[1]Définition Maintenances'!$K:$K,0)),R25,INDEX('[1]Définition Maintenances'!$G:$G,MATCH($A25,'[1]Définition Maintenances'!$K:$K,0))+R25),R25))</f>
        <v>296</v>
      </c>
      <c r="T25" s="26">
        <f>IF(ISNUMBER(VLOOKUP($D25,'Visu totale'!$D:$DH,T$1,0)),S25-VLOOKUP($D25,'Visu totale'!$D:$DH,T$1,0),IF(LEFT(VLOOKUP($D25,'Visu totale'!$D:$DH,T$1,0),1)="V",IF(S25&gt;=INDEX('[1]Définition Maintenances'!$G:$G,MATCH($A25,'[1]Définition Maintenances'!$K:$K,0)),S25,INDEX('[1]Définition Maintenances'!$G:$G,MATCH($A25,'[1]Définition Maintenances'!$K:$K,0))+S25),S25))</f>
        <v>296</v>
      </c>
      <c r="U25" s="26">
        <f>IF(ISNUMBER(VLOOKUP($D25,'Visu totale'!$D:$DH,U$1,0)),T25-VLOOKUP($D25,'Visu totale'!$D:$DH,U$1,0),IF(LEFT(VLOOKUP($D25,'Visu totale'!$D:$DH,U$1,0),1)="V",IF(T25&gt;=INDEX('[1]Définition Maintenances'!$G:$G,MATCH($A25,'[1]Définition Maintenances'!$K:$K,0)),T25,INDEX('[1]Définition Maintenances'!$G:$G,MATCH($A25,'[1]Définition Maintenances'!$K:$K,0))+T25),T25))</f>
        <v>296</v>
      </c>
      <c r="V25" s="26">
        <f>IF(ISNUMBER(VLOOKUP($D25,'Visu totale'!$D:$DH,V$1,0)),U25-VLOOKUP($D25,'Visu totale'!$D:$DH,V$1,0),IF(LEFT(VLOOKUP($D25,'Visu totale'!$D:$DH,V$1,0),1)="V",IF(U25&gt;=INDEX('[1]Définition Maintenances'!$G:$G,MATCH($A25,'[1]Définition Maintenances'!$K:$K,0)),U25,INDEX('[1]Définition Maintenances'!$G:$G,MATCH($A25,'[1]Définition Maintenances'!$K:$K,0))+U25),U25))</f>
        <v>296</v>
      </c>
      <c r="W25" s="26">
        <f>IF(ISNUMBER(VLOOKUP($D25,'Visu totale'!$D:$DH,W$1,0)),V25-VLOOKUP($D25,'Visu totale'!$D:$DH,W$1,0),IF(LEFT(VLOOKUP($D25,'Visu totale'!$D:$DH,W$1,0),1)="V",IF(V25&gt;=INDEX('[1]Définition Maintenances'!$G:$G,MATCH($A25,'[1]Définition Maintenances'!$K:$K,0)),V25,INDEX('[1]Définition Maintenances'!$G:$G,MATCH($A25,'[1]Définition Maintenances'!$K:$K,0))+V25),V25))</f>
        <v>296</v>
      </c>
      <c r="X25" s="26">
        <f>IF(ISNUMBER(VLOOKUP($D25,'Visu totale'!$D:$DH,X$1,0)),W25-VLOOKUP($D25,'Visu totale'!$D:$DH,X$1,0),IF(LEFT(VLOOKUP($D25,'Visu totale'!$D:$DH,X$1,0),1)="V",IF(W25&gt;=INDEX('[1]Définition Maintenances'!$G:$G,MATCH($A25,'[1]Définition Maintenances'!$K:$K,0)),W25,INDEX('[1]Définition Maintenances'!$G:$G,MATCH($A25,'[1]Définition Maintenances'!$K:$K,0))+W25),W25))</f>
        <v>296</v>
      </c>
      <c r="Y25" s="26">
        <f>IF(ISNUMBER(VLOOKUP($D25,'Visu totale'!$D:$DH,Y$1,0)),X25-VLOOKUP($D25,'Visu totale'!$D:$DH,Y$1,0),IF(LEFT(VLOOKUP($D25,'Visu totale'!$D:$DH,Y$1,0),1)="V",IF(X25&gt;=INDEX('[1]Définition Maintenances'!$G:$G,MATCH($A25,'[1]Définition Maintenances'!$K:$K,0)),X25,INDEX('[1]Définition Maintenances'!$G:$G,MATCH($A25,'[1]Définition Maintenances'!$K:$K,0))+X25),X25))</f>
        <v>296</v>
      </c>
      <c r="Z25" s="26">
        <f>IF(ISNUMBER(VLOOKUP($D25,'Visu totale'!$D:$DH,Z$1,0)),Y25-VLOOKUP($D25,'Visu totale'!$D:$DH,Z$1,0),IF(LEFT(VLOOKUP($D25,'Visu totale'!$D:$DH,Z$1,0),1)="V",IF(Y25&gt;=INDEX('[1]Définition Maintenances'!$G:$G,MATCH($A25,'[1]Définition Maintenances'!$K:$K,0)),Y25,INDEX('[1]Définition Maintenances'!$G:$G,MATCH($A25,'[1]Définition Maintenances'!$K:$K,0))+Y25),Y25))</f>
        <v>296</v>
      </c>
      <c r="AA25" s="26">
        <f>IF(ISNUMBER(VLOOKUP($D25,'Visu totale'!$D:$DH,AA$1,0)),Z25-VLOOKUP($D25,'Visu totale'!$D:$DH,AA$1,0),IF(LEFT(VLOOKUP($D25,'Visu totale'!$D:$DH,AA$1,0),1)="V",IF(Z25&gt;=INDEX('[1]Définition Maintenances'!$G:$G,MATCH($A25,'[1]Définition Maintenances'!$K:$K,0)),Z25,INDEX('[1]Définition Maintenances'!$G:$G,MATCH($A25,'[1]Définition Maintenances'!$K:$K,0))+Z25),Z25))</f>
        <v>296</v>
      </c>
      <c r="AB25" s="26">
        <f>IF(ISNUMBER(VLOOKUP($D25,'Visu totale'!$D:$DH,AB$1,0)),AA25-VLOOKUP($D25,'Visu totale'!$D:$DH,AB$1,0),IF(LEFT(VLOOKUP($D25,'Visu totale'!$D:$DH,AB$1,0),1)="V",IF(AA25&gt;=INDEX('[1]Définition Maintenances'!$G:$G,MATCH($A25,'[1]Définition Maintenances'!$K:$K,0)),AA25,INDEX('[1]Définition Maintenances'!$G:$G,MATCH($A25,'[1]Définition Maintenances'!$K:$K,0))+AA25),AA25))</f>
        <v>296</v>
      </c>
      <c r="AC25" s="27">
        <f>IF(ISNUMBER(VLOOKUP($D25,'Visu totale'!$D:$DH,AC$1,0)),AB25-VLOOKUP($D25,'Visu totale'!$D:$DH,AC$1,0),IF(LEFT(VLOOKUP($D25,'Visu totale'!$D:$DH,AC$1,0),1)="V",IF(AB25&gt;=INDEX('[1]Définition Maintenances'!$G:$G,MATCH($A25,'[1]Définition Maintenances'!$K:$K,0)),AB25,INDEX('[1]Définition Maintenances'!$G:$G,MATCH($A25,'[1]Définition Maintenances'!$K:$K,0))+AB25),AB25))</f>
        <v>296</v>
      </c>
      <c r="AD25" s="25">
        <f>IF(ISNUMBER(VLOOKUP($D25,'Visu totale'!$D:$DH,AD$1,0)),AC25-VLOOKUP($D25,'Visu totale'!$D:$DH,AD$1,0),IF(LEFT(VLOOKUP($D25,'Visu totale'!$D:$DH,AD$1,0),1)="V",IF(AC25&gt;=INDEX('[1]Définition Maintenances'!$G:$G,MATCH($A25,'[1]Définition Maintenances'!$K:$K,0)),AC25,INDEX('[1]Définition Maintenances'!$G:$G,MATCH($A25,'[1]Définition Maintenances'!$K:$K,0))+AC25),AC25))</f>
        <v>296</v>
      </c>
      <c r="AE25" s="26">
        <f>IF(ISNUMBER(VLOOKUP($D25,'Visu totale'!$D:$DH,AE$1,0)),AD25-VLOOKUP($D25,'Visu totale'!$D:$DH,AE$1,0),IF(LEFT(VLOOKUP($D25,'Visu totale'!$D:$DH,AE$1,0),1)="V",IF(AD25&gt;=INDEX('[1]Définition Maintenances'!$G:$G,MATCH($A25,'[1]Définition Maintenances'!$K:$K,0)),AD25,INDEX('[1]Définition Maintenances'!$G:$G,MATCH($A25,'[1]Définition Maintenances'!$K:$K,0))+AD25),AD25))</f>
        <v>296</v>
      </c>
      <c r="AF25" s="26">
        <f>IF(ISNUMBER(VLOOKUP($D25,'Visu totale'!$D:$DH,AF$1,0)),AE25-VLOOKUP($D25,'Visu totale'!$D:$DH,AF$1,0),IF(LEFT(VLOOKUP($D25,'Visu totale'!$D:$DH,AF$1,0),1)="V",IF(AE25&gt;=INDEX('[1]Définition Maintenances'!$G:$G,MATCH($A25,'[1]Définition Maintenances'!$K:$K,0)),AE25,INDEX('[1]Définition Maintenances'!$G:$G,MATCH($A25,'[1]Définition Maintenances'!$K:$K,0))+AE25),AE25))</f>
        <v>296</v>
      </c>
      <c r="AG25" s="26">
        <f>IF(ISNUMBER(VLOOKUP($D25,'Visu totale'!$D:$DH,AG$1,0)),AF25-VLOOKUP($D25,'Visu totale'!$D:$DH,AG$1,0),IF(LEFT(VLOOKUP($D25,'Visu totale'!$D:$DH,AG$1,0),1)="V",IF(AF25&gt;=INDEX('[1]Définition Maintenances'!$G:$G,MATCH($A25,'[1]Définition Maintenances'!$K:$K,0)),AF25,INDEX('[1]Définition Maintenances'!$G:$G,MATCH($A25,'[1]Définition Maintenances'!$K:$K,0))+AF25),AF25))</f>
        <v>296</v>
      </c>
      <c r="AH25" s="26">
        <f>IF(ISNUMBER(VLOOKUP($D25,'Visu totale'!$D:$DH,AH$1,0)),AG25-VLOOKUP($D25,'Visu totale'!$D:$DH,AH$1,0),IF(LEFT(VLOOKUP($D25,'Visu totale'!$D:$DH,AH$1,0),1)="V",IF(AG25&gt;=INDEX('[1]Définition Maintenances'!$G:$G,MATCH($A25,'[1]Définition Maintenances'!$K:$K,0)),AG25,INDEX('[1]Définition Maintenances'!$G:$G,MATCH($A25,'[1]Définition Maintenances'!$K:$K,0))+AG25),AG25))</f>
        <v>296</v>
      </c>
      <c r="AI25" s="26">
        <f>IF(ISNUMBER(VLOOKUP($D25,'Visu totale'!$D:$DH,AI$1,0)),AH25-VLOOKUP($D25,'Visu totale'!$D:$DH,AI$1,0),IF(LEFT(VLOOKUP($D25,'Visu totale'!$D:$DH,AI$1,0),1)="V",IF(AH25&gt;=INDEX('[1]Définition Maintenances'!$G:$G,MATCH($A25,'[1]Définition Maintenances'!$K:$K,0)),AH25,INDEX('[1]Définition Maintenances'!$G:$G,MATCH($A25,'[1]Définition Maintenances'!$K:$K,0))+AH25),AH25))</f>
        <v>296</v>
      </c>
      <c r="AJ25" s="26">
        <f>IF(ISNUMBER(VLOOKUP($D25,'Visu totale'!$D:$DH,AJ$1,0)),AI25-VLOOKUP($D25,'Visu totale'!$D:$DH,AJ$1,0),IF(LEFT(VLOOKUP($D25,'Visu totale'!$D:$DH,AJ$1,0),1)="V",IF(AI25&gt;=INDEX('[1]Définition Maintenances'!$G:$G,MATCH($A25,'[1]Définition Maintenances'!$K:$K,0)),AI25,INDEX('[1]Définition Maintenances'!$G:$G,MATCH($A25,'[1]Définition Maintenances'!$K:$K,0))+AI25),AI25))</f>
        <v>296</v>
      </c>
      <c r="AK25" s="26">
        <f>IF(ISNUMBER(VLOOKUP($D25,'Visu totale'!$D:$DH,AK$1,0)),AJ25-VLOOKUP($D25,'Visu totale'!$D:$DH,AK$1,0),IF(LEFT(VLOOKUP($D25,'Visu totale'!$D:$DH,AK$1,0),1)="V",IF(AJ25&gt;=INDEX('[1]Définition Maintenances'!$G:$G,MATCH($A25,'[1]Définition Maintenances'!$K:$K,0)),AJ25,INDEX('[1]Définition Maintenances'!$G:$G,MATCH($A25,'[1]Définition Maintenances'!$K:$K,0))+AJ25),AJ25))</f>
        <v>296</v>
      </c>
      <c r="AL25" s="26">
        <f>IF(ISNUMBER(VLOOKUP($D25,'Visu totale'!$D:$DH,AL$1,0)),AK25-VLOOKUP($D25,'Visu totale'!$D:$DH,AL$1,0),IF(LEFT(VLOOKUP($D25,'Visu totale'!$D:$DH,AL$1,0),1)="V",IF(AK25&gt;=INDEX('[1]Définition Maintenances'!$G:$G,MATCH($A25,'[1]Définition Maintenances'!$K:$K,0)),AK25,INDEX('[1]Définition Maintenances'!$G:$G,MATCH($A25,'[1]Définition Maintenances'!$K:$K,0))+AK25),AK25))</f>
        <v>296</v>
      </c>
      <c r="AM25" s="26">
        <f>IF(ISNUMBER(VLOOKUP($D25,'Visu totale'!$D:$DH,AM$1,0)),AL25-VLOOKUP($D25,'Visu totale'!$D:$DH,AM$1,0),IF(LEFT(VLOOKUP($D25,'Visu totale'!$D:$DH,AM$1,0),1)="V",IF(AL25&gt;=INDEX('[1]Définition Maintenances'!$G:$G,MATCH($A25,'[1]Définition Maintenances'!$K:$K,0)),AL25,INDEX('[1]Définition Maintenances'!$G:$G,MATCH($A25,'[1]Définition Maintenances'!$K:$K,0))+AL25),AL25))</f>
        <v>296</v>
      </c>
      <c r="AN25" s="26">
        <f>IF(ISNUMBER(VLOOKUP($D25,'Visu totale'!$D:$DH,AN$1,0)),AM25-VLOOKUP($D25,'Visu totale'!$D:$DH,AN$1,0),IF(LEFT(VLOOKUP($D25,'Visu totale'!$D:$DH,AN$1,0),1)="V",IF(AM25&gt;=INDEX('[1]Définition Maintenances'!$G:$G,MATCH($A25,'[1]Définition Maintenances'!$K:$K,0)),AM25,INDEX('[1]Définition Maintenances'!$G:$G,MATCH($A25,'[1]Définition Maintenances'!$K:$K,0))+AM25),AM25))</f>
        <v>296</v>
      </c>
      <c r="AO25" s="27">
        <f>IF(ISNUMBER(VLOOKUP($D25,'Visu totale'!$D:$DH,AO$1,0)),AN25-VLOOKUP($D25,'Visu totale'!$D:$DH,AO$1,0),IF(LEFT(VLOOKUP($D25,'Visu totale'!$D:$DH,AO$1,0),1)="V",IF(AN25&gt;=INDEX('[1]Définition Maintenances'!$G:$G,MATCH($A25,'[1]Définition Maintenances'!$K:$K,0)),AN25,INDEX('[1]Définition Maintenances'!$G:$G,MATCH($A25,'[1]Définition Maintenances'!$K:$K,0))+AN25),AN25))</f>
        <v>296</v>
      </c>
      <c r="AP25" s="25">
        <f>IF(ISNUMBER(VLOOKUP($D25,'Visu totale'!$D:$DH,AP$1,0)),AO25-VLOOKUP($D25,'Visu totale'!$D:$DH,AP$1,0),IF(LEFT(VLOOKUP($D25,'Visu totale'!$D:$DH,AP$1,0),1)="V",IF(AO25&gt;=INDEX('[1]Définition Maintenances'!$G:$G,MATCH($A25,'[1]Définition Maintenances'!$K:$K,0)),AO25,INDEX('[1]Définition Maintenances'!$G:$G,MATCH($A25,'[1]Définition Maintenances'!$K:$K,0))+AO25),AO25))</f>
        <v>296</v>
      </c>
      <c r="AQ25" s="26">
        <f>IF(ISNUMBER(VLOOKUP($D25,'Visu totale'!$D:$DH,AQ$1,0)),AP25-VLOOKUP($D25,'Visu totale'!$D:$DH,AQ$1,0),IF(LEFT(VLOOKUP($D25,'Visu totale'!$D:$DH,AQ$1,0),1)="V",IF(AP25&gt;=INDEX('[1]Définition Maintenances'!$G:$G,MATCH($A25,'[1]Définition Maintenances'!$K:$K,0)),AP25,INDEX('[1]Définition Maintenances'!$G:$G,MATCH($A25,'[1]Définition Maintenances'!$K:$K,0))+AP25),AP25))</f>
        <v>296</v>
      </c>
      <c r="AR25" s="26">
        <f>IF(ISNUMBER(VLOOKUP($D25,'Visu totale'!$D:$DH,AR$1,0)),AQ25-VLOOKUP($D25,'Visu totale'!$D:$DH,AR$1,0),IF(LEFT(VLOOKUP($D25,'Visu totale'!$D:$DH,AR$1,0),1)="V",IF(AQ25&gt;=INDEX('[1]Définition Maintenances'!$G:$G,MATCH($A25,'[1]Définition Maintenances'!$K:$K,0)),AQ25,INDEX('[1]Définition Maintenances'!$G:$G,MATCH($A25,'[1]Définition Maintenances'!$K:$K,0))+AQ25),AQ25))</f>
        <v>296</v>
      </c>
      <c r="AS25" s="26">
        <f>IF(ISNUMBER(VLOOKUP($D25,'Visu totale'!$D:$DH,AS$1,0)),AR25-VLOOKUP($D25,'Visu totale'!$D:$DH,AS$1,0),IF(LEFT(VLOOKUP($D25,'Visu totale'!$D:$DH,AS$1,0),1)="V",IF(AR25&gt;=INDEX('[1]Définition Maintenances'!$G:$G,MATCH($A25,'[1]Définition Maintenances'!$K:$K,0)),AR25,INDEX('[1]Définition Maintenances'!$G:$G,MATCH($A25,'[1]Définition Maintenances'!$K:$K,0))+AR25),AR25))</f>
        <v>296</v>
      </c>
      <c r="AT25" s="26">
        <f>IF(ISNUMBER(VLOOKUP($D25,'Visu totale'!$D:$DH,AT$1,0)),AS25-VLOOKUP($D25,'Visu totale'!$D:$DH,AT$1,0),IF(LEFT(VLOOKUP($D25,'Visu totale'!$D:$DH,AT$1,0),1)="V",IF(AS25&gt;=INDEX('[1]Définition Maintenances'!$G:$G,MATCH($A25,'[1]Définition Maintenances'!$K:$K,0)),AS25,INDEX('[1]Définition Maintenances'!$G:$G,MATCH($A25,'[1]Définition Maintenances'!$K:$K,0))+AS25),AS25))</f>
        <v>296</v>
      </c>
      <c r="AU25" s="26">
        <f>IF(ISNUMBER(VLOOKUP($D25,'Visu totale'!$D:$DH,AU$1,0)),AT25-VLOOKUP($D25,'Visu totale'!$D:$DH,AU$1,0),IF(LEFT(VLOOKUP($D25,'Visu totale'!$D:$DH,AU$1,0),1)="V",IF(AT25&gt;=INDEX('[1]Définition Maintenances'!$G:$G,MATCH($A25,'[1]Définition Maintenances'!$K:$K,0)),AT25,INDEX('[1]Définition Maintenances'!$G:$G,MATCH($A25,'[1]Définition Maintenances'!$K:$K,0))+AT25),AT25))</f>
        <v>296</v>
      </c>
      <c r="AV25" s="26">
        <f>IF(ISNUMBER(VLOOKUP($D25,'Visu totale'!$D:$DH,AV$1,0)),AU25-VLOOKUP($D25,'Visu totale'!$D:$DH,AV$1,0),IF(LEFT(VLOOKUP($D25,'Visu totale'!$D:$DH,AV$1,0),1)="V",IF(AU25&gt;=INDEX('[1]Définition Maintenances'!$G:$G,MATCH($A25,'[1]Définition Maintenances'!$K:$K,0)),AU25,INDEX('[1]Définition Maintenances'!$G:$G,MATCH($A25,'[1]Définition Maintenances'!$K:$K,0))+AU25),AU25))</f>
        <v>296</v>
      </c>
      <c r="AW25" s="26">
        <f>IF(ISNUMBER(VLOOKUP($D25,'Visu totale'!$D:$DH,AW$1,0)),AV25-VLOOKUP($D25,'Visu totale'!$D:$DH,AW$1,0),IF(LEFT(VLOOKUP($D25,'Visu totale'!$D:$DH,AW$1,0),1)="V",IF(AV25&gt;=INDEX('[1]Définition Maintenances'!$G:$G,MATCH($A25,'[1]Définition Maintenances'!$K:$K,0)),AV25,INDEX('[1]Définition Maintenances'!$G:$G,MATCH($A25,'[1]Définition Maintenances'!$K:$K,0))+AV25),AV25))</f>
        <v>296</v>
      </c>
      <c r="AX25" s="26">
        <f>IF(ISNUMBER(VLOOKUP($D25,'Visu totale'!$D:$DH,AX$1,0)),AW25-VLOOKUP($D25,'Visu totale'!$D:$DH,AX$1,0),IF(LEFT(VLOOKUP($D25,'Visu totale'!$D:$DH,AX$1,0),1)="V",IF(AW25&gt;=INDEX('[1]Définition Maintenances'!$G:$G,MATCH($A25,'[1]Définition Maintenances'!$K:$K,0)),AW25,INDEX('[1]Définition Maintenances'!$G:$G,MATCH($A25,'[1]Définition Maintenances'!$K:$K,0))+AW25),AW25))</f>
        <v>296</v>
      </c>
      <c r="AY25" s="26">
        <f>IF(ISNUMBER(VLOOKUP($D25,'Visu totale'!$D:$DH,AY$1,0)),AX25-VLOOKUP($D25,'Visu totale'!$D:$DH,AY$1,0),IF(LEFT(VLOOKUP($D25,'Visu totale'!$D:$DH,AY$1,0),1)="V",IF(AX25&gt;=INDEX('[1]Définition Maintenances'!$G:$G,MATCH($A25,'[1]Définition Maintenances'!$K:$K,0)),AX25,INDEX('[1]Définition Maintenances'!$G:$G,MATCH($A25,'[1]Définition Maintenances'!$K:$K,0))+AX25),AX25))</f>
        <v>296</v>
      </c>
      <c r="AZ25" s="26">
        <f>IF(ISNUMBER(VLOOKUP($D25,'Visu totale'!$D:$DH,AZ$1,0)),AY25-VLOOKUP($D25,'Visu totale'!$D:$DH,AZ$1,0),IF(LEFT(VLOOKUP($D25,'Visu totale'!$D:$DH,AZ$1,0),1)="V",IF(AY25&gt;=INDEX('[1]Définition Maintenances'!$G:$G,MATCH($A25,'[1]Définition Maintenances'!$K:$K,0)),AY25,INDEX('[1]Définition Maintenances'!$G:$G,MATCH($A25,'[1]Définition Maintenances'!$K:$K,0))+AY25),AY25))</f>
        <v>296</v>
      </c>
      <c r="BA25" s="27">
        <f>IF(ISNUMBER(VLOOKUP($D25,'Visu totale'!$D:$DH,BA$1,0)),AZ25-VLOOKUP($D25,'Visu totale'!$D:$DH,BA$1,0),IF(LEFT(VLOOKUP($D25,'Visu totale'!$D:$DH,BA$1,0),1)="V",IF(AZ25&gt;=INDEX('[1]Définition Maintenances'!$G:$G,MATCH($A25,'[1]Définition Maintenances'!$K:$K,0)),AZ25,INDEX('[1]Définition Maintenances'!$G:$G,MATCH($A25,'[1]Définition Maintenances'!$K:$K,0))+AZ25),AZ25))</f>
        <v>296</v>
      </c>
      <c r="BB25" s="25">
        <f>IF(ISNUMBER(VLOOKUP($D25,'Visu totale'!$D:$DH,BB$1,0)),BA25-VLOOKUP($D25,'Visu totale'!$D:$DH,BB$1,0),IF(LEFT(VLOOKUP($D25,'Visu totale'!$D:$DH,BB$1,0),1)="V",IF(BA25&gt;=INDEX('[1]Définition Maintenances'!$G:$G,MATCH($A25,'[1]Définition Maintenances'!$K:$K,0)),BA25,INDEX('[1]Définition Maintenances'!$G:$G,MATCH($A25,'[1]Définition Maintenances'!$K:$K,0))+BA25),BA25))</f>
        <v>296</v>
      </c>
      <c r="BC25" s="26">
        <f>IF(ISNUMBER(VLOOKUP($D25,'Visu totale'!$D:$DH,BC$1,0)),BB25-VLOOKUP($D25,'Visu totale'!$D:$DH,BC$1,0),IF(LEFT(VLOOKUP($D25,'Visu totale'!$D:$DH,BC$1,0),1)="V",IF(BB25&gt;=INDEX('[1]Définition Maintenances'!$G:$G,MATCH($A25,'[1]Définition Maintenances'!$K:$K,0)),BB25,INDEX('[1]Définition Maintenances'!$G:$G,MATCH($A25,'[1]Définition Maintenances'!$K:$K,0))+BB25),BB25))</f>
        <v>296</v>
      </c>
      <c r="BD25" s="26">
        <f>IF(ISNUMBER(VLOOKUP($D25,'Visu totale'!$D:$DH,BD$1,0)),BC25-VLOOKUP($D25,'Visu totale'!$D:$DH,BD$1,0),IF(LEFT(VLOOKUP($D25,'Visu totale'!$D:$DH,BD$1,0),1)="V",IF(BC25&gt;=INDEX('[1]Définition Maintenances'!$G:$G,MATCH($A25,'[1]Définition Maintenances'!$K:$K,0)),BC25,INDEX('[1]Définition Maintenances'!$G:$G,MATCH($A25,'[1]Définition Maintenances'!$K:$K,0))+BC25),BC25))</f>
        <v>296</v>
      </c>
      <c r="BE25" s="26">
        <f>IF(ISNUMBER(VLOOKUP($D25,'Visu totale'!$D:$DH,BE$1,0)),BD25-VLOOKUP($D25,'Visu totale'!$D:$DH,BE$1,0),IF(LEFT(VLOOKUP($D25,'Visu totale'!$D:$DH,BE$1,0),1)="V",IF(BD25&gt;=INDEX('[1]Définition Maintenances'!$G:$G,MATCH($A25,'[1]Définition Maintenances'!$K:$K,0)),BD25,INDEX('[1]Définition Maintenances'!$G:$G,MATCH($A25,'[1]Définition Maintenances'!$K:$K,0))+BD25),BD25))</f>
        <v>296</v>
      </c>
      <c r="BF25" s="26">
        <f>IF(ISNUMBER(VLOOKUP($D25,'Visu totale'!$D:$DH,BF$1,0)),BE25-VLOOKUP($D25,'Visu totale'!$D:$DH,BF$1,0),IF(LEFT(VLOOKUP($D25,'Visu totale'!$D:$DH,BF$1,0),1)="V",IF(BE25&gt;=INDEX('[1]Définition Maintenances'!$G:$G,MATCH($A25,'[1]Définition Maintenances'!$K:$K,0)),BE25,INDEX('[1]Définition Maintenances'!$G:$G,MATCH($A25,'[1]Définition Maintenances'!$K:$K,0))+BE25),BE25))</f>
        <v>296</v>
      </c>
      <c r="BG25" s="26">
        <f>IF(ISNUMBER(VLOOKUP($D25,'Visu totale'!$D:$DH,BG$1,0)),BF25-VLOOKUP($D25,'Visu totale'!$D:$DH,BG$1,0),IF(LEFT(VLOOKUP($D25,'Visu totale'!$D:$DH,BG$1,0),1)="V",IF(BF25&gt;=INDEX('[1]Définition Maintenances'!$G:$G,MATCH($A25,'[1]Définition Maintenances'!$K:$K,0)),BF25,INDEX('[1]Définition Maintenances'!$G:$G,MATCH($A25,'[1]Définition Maintenances'!$K:$K,0))+BF25),BF25))</f>
        <v>296</v>
      </c>
      <c r="BH25" s="26">
        <f>IF(ISNUMBER(VLOOKUP($D25,'Visu totale'!$D:$DH,BH$1,0)),BG25-VLOOKUP($D25,'Visu totale'!$D:$DH,BH$1,0),IF(LEFT(VLOOKUP($D25,'Visu totale'!$D:$DH,BH$1,0),1)="V",IF(BG25&gt;=INDEX('[1]Définition Maintenances'!$G:$G,MATCH($A25,'[1]Définition Maintenances'!$K:$K,0)),BG25,INDEX('[1]Définition Maintenances'!$G:$G,MATCH($A25,'[1]Définition Maintenances'!$K:$K,0))+BG25),BG25))</f>
        <v>296</v>
      </c>
      <c r="BI25" s="26">
        <f>IF(ISNUMBER(VLOOKUP($D25,'Visu totale'!$D:$DH,BI$1,0)),BH25-VLOOKUP($D25,'Visu totale'!$D:$DH,BI$1,0),IF(LEFT(VLOOKUP($D25,'Visu totale'!$D:$DH,BI$1,0),1)="V",IF(BH25&gt;=INDEX('[1]Définition Maintenances'!$G:$G,MATCH($A25,'[1]Définition Maintenances'!$K:$K,0)),BH25,INDEX('[1]Définition Maintenances'!$G:$G,MATCH($A25,'[1]Définition Maintenances'!$K:$K,0))+BH25),BH25))</f>
        <v>296</v>
      </c>
      <c r="BJ25" s="26">
        <f>IF(ISNUMBER(VLOOKUP($D25,'Visu totale'!$D:$DH,BJ$1,0)),BI25-VLOOKUP($D25,'Visu totale'!$D:$DH,BJ$1,0),IF(LEFT(VLOOKUP($D25,'Visu totale'!$D:$DH,BJ$1,0),1)="V",IF(BI25&gt;=INDEX('[1]Définition Maintenances'!$G:$G,MATCH($A25,'[1]Définition Maintenances'!$K:$K,0)),BI25,INDEX('[1]Définition Maintenances'!$G:$G,MATCH($A25,'[1]Définition Maintenances'!$K:$K,0))+BI25),BI25))</f>
        <v>296</v>
      </c>
      <c r="BK25" s="26">
        <f>IF(ISNUMBER(VLOOKUP($D25,'Visu totale'!$D:$DH,BK$1,0)),BJ25-VLOOKUP($D25,'Visu totale'!$D:$DH,BK$1,0),IF(LEFT(VLOOKUP($D25,'Visu totale'!$D:$DH,BK$1,0),1)="V",IF(BJ25&gt;=INDEX('[1]Définition Maintenances'!$G:$G,MATCH($A25,'[1]Définition Maintenances'!$K:$K,0)),BJ25,INDEX('[1]Définition Maintenances'!$G:$G,MATCH($A25,'[1]Définition Maintenances'!$K:$K,0))+BJ25),BJ25))</f>
        <v>296</v>
      </c>
      <c r="BL25" s="26">
        <f>IF(ISNUMBER(VLOOKUP($D25,'Visu totale'!$D:$DH,BL$1,0)),BK25-VLOOKUP($D25,'Visu totale'!$D:$DH,BL$1,0),IF(LEFT(VLOOKUP($D25,'Visu totale'!$D:$DH,BL$1,0),1)="V",IF(BK25&gt;=INDEX('[1]Définition Maintenances'!$G:$G,MATCH($A25,'[1]Définition Maintenances'!$K:$K,0)),BK25,INDEX('[1]Définition Maintenances'!$G:$G,MATCH($A25,'[1]Définition Maintenances'!$K:$K,0))+BK25),BK25))</f>
        <v>296</v>
      </c>
      <c r="BM25" s="27">
        <f>IF(ISNUMBER(VLOOKUP($D25,'Visu totale'!$D:$DH,BM$1,0)),BL25-VLOOKUP($D25,'Visu totale'!$D:$DH,BM$1,0),IF(LEFT(VLOOKUP($D25,'Visu totale'!$D:$DH,BM$1,0),1)="V",IF(BL25&gt;=INDEX('[1]Définition Maintenances'!$G:$G,MATCH($A25,'[1]Définition Maintenances'!$K:$K,0)),BL25,INDEX('[1]Définition Maintenances'!$G:$G,MATCH($A25,'[1]Définition Maintenances'!$K:$K,0))+BL25),BL25))</f>
        <v>296</v>
      </c>
      <c r="BN25" s="25">
        <f>IF(ISNUMBER(VLOOKUP($D25,'Visu totale'!$D:$DH,BN$1,0)),BM25-VLOOKUP($D25,'Visu totale'!$D:$DH,BN$1,0),IF(LEFT(VLOOKUP($D25,'Visu totale'!$D:$DH,BN$1,0),1)="V",IF(BM25&gt;=INDEX('[1]Définition Maintenances'!$G:$G,MATCH($A25,'[1]Définition Maintenances'!$K:$K,0)),BM25,INDEX('[1]Définition Maintenances'!$G:$G,MATCH($A25,'[1]Définition Maintenances'!$K:$K,0))+BM25),BM25))</f>
        <v>296</v>
      </c>
      <c r="BO25" s="26">
        <f>IF(ISNUMBER(VLOOKUP($D25,'Visu totale'!$D:$DH,BO$1,0)),BN25-VLOOKUP($D25,'Visu totale'!$D:$DH,BO$1,0),IF(LEFT(VLOOKUP($D25,'Visu totale'!$D:$DH,BO$1,0),1)="V",IF(BN25&gt;=INDEX('[1]Définition Maintenances'!$G:$G,MATCH($A25,'[1]Définition Maintenances'!$K:$K,0)),BN25,INDEX('[1]Définition Maintenances'!$G:$G,MATCH($A25,'[1]Définition Maintenances'!$K:$K,0))+BN25),BN25))</f>
        <v>296</v>
      </c>
      <c r="BP25" s="26">
        <f>IF(ISNUMBER(VLOOKUP($D25,'Visu totale'!$D:$DH,BP$1,0)),BO25-VLOOKUP($D25,'Visu totale'!$D:$DH,BP$1,0),IF(LEFT(VLOOKUP($D25,'Visu totale'!$D:$DH,BP$1,0),1)="V",IF(BO25&gt;=INDEX('[1]Définition Maintenances'!$G:$G,MATCH($A25,'[1]Définition Maintenances'!$K:$K,0)),BO25,INDEX('[1]Définition Maintenances'!$G:$G,MATCH($A25,'[1]Définition Maintenances'!$K:$K,0))+BO25),BO25))</f>
        <v>296</v>
      </c>
      <c r="BQ25" s="26">
        <f>IF(ISNUMBER(VLOOKUP($D25,'Visu totale'!$D:$DH,BQ$1,0)),BP25-VLOOKUP($D25,'Visu totale'!$D:$DH,BQ$1,0),IF(LEFT(VLOOKUP($D25,'Visu totale'!$D:$DH,BQ$1,0),1)="V",IF(BP25&gt;=INDEX('[1]Définition Maintenances'!$G:$G,MATCH($A25,'[1]Définition Maintenances'!$K:$K,0)),BP25,INDEX('[1]Définition Maintenances'!$G:$G,MATCH($A25,'[1]Définition Maintenances'!$K:$K,0))+BP25),BP25))</f>
        <v>296</v>
      </c>
      <c r="BR25" s="26">
        <f>IF(ISNUMBER(VLOOKUP($D25,'Visu totale'!$D:$DH,BR$1,0)),BQ25-VLOOKUP($D25,'Visu totale'!$D:$DH,BR$1,0),IF(LEFT(VLOOKUP($D25,'Visu totale'!$D:$DH,BR$1,0),1)="V",IF(BQ25&gt;=INDEX('[1]Définition Maintenances'!$G:$G,MATCH($A25,'[1]Définition Maintenances'!$K:$K,0)),BQ25,INDEX('[1]Définition Maintenances'!$G:$G,MATCH($A25,'[1]Définition Maintenances'!$K:$K,0))+BQ25),BQ25))</f>
        <v>296</v>
      </c>
      <c r="BS25" s="26">
        <f>IF(ISNUMBER(VLOOKUP($D25,'Visu totale'!$D:$DH,BS$1,0)),BR25-VLOOKUP($D25,'Visu totale'!$D:$DH,BS$1,0),IF(LEFT(VLOOKUP($D25,'Visu totale'!$D:$DH,BS$1,0),1)="V",IF(BR25&gt;=INDEX('[1]Définition Maintenances'!$G:$G,MATCH($A25,'[1]Définition Maintenances'!$K:$K,0)),BR25,INDEX('[1]Définition Maintenances'!$G:$G,MATCH($A25,'[1]Définition Maintenances'!$K:$K,0))+BR25),BR25))</f>
        <v>296</v>
      </c>
      <c r="BT25" s="26">
        <f>IF(ISNUMBER(VLOOKUP($D25,'Visu totale'!$D:$DH,BT$1,0)),BS25-VLOOKUP($D25,'Visu totale'!$D:$DH,BT$1,0),IF(LEFT(VLOOKUP($D25,'Visu totale'!$D:$DH,BT$1,0),1)="V",IF(BS25&gt;=INDEX('[1]Définition Maintenances'!$G:$G,MATCH($A25,'[1]Définition Maintenances'!$K:$K,0)),BS25,INDEX('[1]Définition Maintenances'!$G:$G,MATCH($A25,'[1]Définition Maintenances'!$K:$K,0))+BS25),BS25))</f>
        <v>296</v>
      </c>
      <c r="BU25" s="26">
        <f>IF(ISNUMBER(VLOOKUP($D25,'Visu totale'!$D:$DH,BU$1,0)),BT25-VLOOKUP($D25,'Visu totale'!$D:$DH,BU$1,0),IF(LEFT(VLOOKUP($D25,'Visu totale'!$D:$DH,BU$1,0),1)="V",IF(BT25&gt;=INDEX('[1]Définition Maintenances'!$G:$G,MATCH($A25,'[1]Définition Maintenances'!$K:$K,0)),BT25,INDEX('[1]Définition Maintenances'!$G:$G,MATCH($A25,'[1]Définition Maintenances'!$K:$K,0))+BT25),BT25))</f>
        <v>296</v>
      </c>
      <c r="BV25" s="26">
        <f>IF(ISNUMBER(VLOOKUP($D25,'Visu totale'!$D:$DH,BV$1,0)),BU25-VLOOKUP($D25,'Visu totale'!$D:$DH,BV$1,0),IF(LEFT(VLOOKUP($D25,'Visu totale'!$D:$DH,BV$1,0),1)="V",IF(BU25&gt;=INDEX('[1]Définition Maintenances'!$G:$G,MATCH($A25,'[1]Définition Maintenances'!$K:$K,0)),BU25,INDEX('[1]Définition Maintenances'!$G:$G,MATCH($A25,'[1]Définition Maintenances'!$K:$K,0))+BU25),BU25))</f>
        <v>296</v>
      </c>
      <c r="BW25" s="26">
        <f>IF(ISNUMBER(VLOOKUP($D25,'Visu totale'!$D:$DH,BW$1,0)),BV25-VLOOKUP($D25,'Visu totale'!$D:$DH,BW$1,0),IF(LEFT(VLOOKUP($D25,'Visu totale'!$D:$DH,BW$1,0),1)="V",IF(BV25&gt;=INDEX('[1]Définition Maintenances'!$G:$G,MATCH($A25,'[1]Définition Maintenances'!$K:$K,0)),BV25,INDEX('[1]Définition Maintenances'!$G:$G,MATCH($A25,'[1]Définition Maintenances'!$K:$K,0))+BV25),BV25))</f>
        <v>296</v>
      </c>
      <c r="BX25" s="26">
        <f>IF(ISNUMBER(VLOOKUP($D25,'Visu totale'!$D:$DH,BX$1,0)),BW25-VLOOKUP($D25,'Visu totale'!$D:$DH,BX$1,0),IF(LEFT(VLOOKUP($D25,'Visu totale'!$D:$DH,BX$1,0),1)="V",IF(BW25&gt;=INDEX('[1]Définition Maintenances'!$G:$G,MATCH($A25,'[1]Définition Maintenances'!$K:$K,0)),BW25,INDEX('[1]Définition Maintenances'!$G:$G,MATCH($A25,'[1]Définition Maintenances'!$K:$K,0))+BW25),BW25))</f>
        <v>296</v>
      </c>
      <c r="BY25" s="27">
        <f>IF(ISNUMBER(VLOOKUP($D25,'Visu totale'!$D:$DH,BY$1,0)),BX25-VLOOKUP($D25,'Visu totale'!$D:$DH,BY$1,0),IF(LEFT(VLOOKUP($D25,'Visu totale'!$D:$DH,BY$1,0),1)="V",IF(BX25&gt;=INDEX('[1]Définition Maintenances'!$G:$G,MATCH($A25,'[1]Définition Maintenances'!$K:$K,0)),BX25,INDEX('[1]Définition Maintenances'!$G:$G,MATCH($A25,'[1]Définition Maintenances'!$K:$K,0))+BX25),BX25))</f>
        <v>296</v>
      </c>
      <c r="BZ25" s="25">
        <f>IF(ISNUMBER(VLOOKUP($D25,'Visu totale'!$D:$DH,BZ$1,0)),BY25-VLOOKUP($D25,'Visu totale'!$D:$DH,BZ$1,0),IF(LEFT(VLOOKUP($D25,'Visu totale'!$D:$DH,BZ$1,0),1)="V",IF(BY25&gt;=INDEX('[1]Définition Maintenances'!$G:$G,MATCH($A25,'[1]Définition Maintenances'!$K:$K,0)),BY25,INDEX('[1]Définition Maintenances'!$G:$G,MATCH($A25,'[1]Définition Maintenances'!$K:$K,0))+BY25),BY25))</f>
        <v>296</v>
      </c>
      <c r="CA25" s="26">
        <f>IF(ISNUMBER(VLOOKUP($D25,'Visu totale'!$D:$DH,CA$1,0)),BZ25-VLOOKUP($D25,'Visu totale'!$D:$DH,CA$1,0),IF(LEFT(VLOOKUP($D25,'Visu totale'!$D:$DH,CA$1,0),1)="V",IF(BZ25&gt;=INDEX('[1]Définition Maintenances'!$G:$G,MATCH($A25,'[1]Définition Maintenances'!$K:$K,0)),BZ25,INDEX('[1]Définition Maintenances'!$G:$G,MATCH($A25,'[1]Définition Maintenances'!$K:$K,0))+BZ25),BZ25))</f>
        <v>296</v>
      </c>
      <c r="CB25" s="26">
        <f>IF(ISNUMBER(VLOOKUP($D25,'Visu totale'!$D:$DH,CB$1,0)),CA25-VLOOKUP($D25,'Visu totale'!$D:$DH,CB$1,0),IF(LEFT(VLOOKUP($D25,'Visu totale'!$D:$DH,CB$1,0),1)="V",IF(CA25&gt;=INDEX('[1]Définition Maintenances'!$G:$G,MATCH($A25,'[1]Définition Maintenances'!$K:$K,0)),CA25,INDEX('[1]Définition Maintenances'!$G:$G,MATCH($A25,'[1]Définition Maintenances'!$K:$K,0))+CA25),CA25))</f>
        <v>296</v>
      </c>
      <c r="CC25" s="26">
        <f>IF(ISNUMBER(VLOOKUP($D25,'Visu totale'!$D:$DH,CC$1,0)),CB25-VLOOKUP($D25,'Visu totale'!$D:$DH,CC$1,0),IF(LEFT(VLOOKUP($D25,'Visu totale'!$D:$DH,CC$1,0),1)="V",IF(CB25&gt;=INDEX('[1]Définition Maintenances'!$G:$G,MATCH($A25,'[1]Définition Maintenances'!$K:$K,0)),CB25,INDEX('[1]Définition Maintenances'!$G:$G,MATCH($A25,'[1]Définition Maintenances'!$K:$K,0))+CB25),CB25))</f>
        <v>296</v>
      </c>
      <c r="CD25" s="26">
        <f>IF(ISNUMBER(VLOOKUP($D25,'Visu totale'!$D:$DH,CD$1,0)),CC25-VLOOKUP($D25,'Visu totale'!$D:$DH,CD$1,0),IF(LEFT(VLOOKUP($D25,'Visu totale'!$D:$DH,CD$1,0),1)="V",IF(CC25&gt;=INDEX('[1]Définition Maintenances'!$G:$G,MATCH($A25,'[1]Définition Maintenances'!$K:$K,0)),CC25,INDEX('[1]Définition Maintenances'!$G:$G,MATCH($A25,'[1]Définition Maintenances'!$K:$K,0))+CC25),CC25))</f>
        <v>296</v>
      </c>
      <c r="CE25" s="26">
        <f>IF(ISNUMBER(VLOOKUP($D25,'Visu totale'!$D:$DH,CE$1,0)),CD25-VLOOKUP($D25,'Visu totale'!$D:$DH,CE$1,0),IF(LEFT(VLOOKUP($D25,'Visu totale'!$D:$DH,CE$1,0),1)="V",IF(CD25&gt;=INDEX('[1]Définition Maintenances'!$G:$G,MATCH($A25,'[1]Définition Maintenances'!$K:$K,0)),CD25,INDEX('[1]Définition Maintenances'!$G:$G,MATCH($A25,'[1]Définition Maintenances'!$K:$K,0))+CD25),CD25))</f>
        <v>296</v>
      </c>
      <c r="CF25" s="26">
        <f>IF(ISNUMBER(VLOOKUP($D25,'Visu totale'!$D:$DH,CF$1,0)),CE25-VLOOKUP($D25,'Visu totale'!$D:$DH,CF$1,0),IF(LEFT(VLOOKUP($D25,'Visu totale'!$D:$DH,CF$1,0),1)="V",IF(CE25&gt;=INDEX('[1]Définition Maintenances'!$G:$G,MATCH($A25,'[1]Définition Maintenances'!$K:$K,0)),CE25,INDEX('[1]Définition Maintenances'!$G:$G,MATCH($A25,'[1]Définition Maintenances'!$K:$K,0))+CE25),CE25))</f>
        <v>296</v>
      </c>
      <c r="CG25" s="26">
        <f>IF(ISNUMBER(VLOOKUP($D25,'Visu totale'!$D:$DH,CG$1,0)),CF25-VLOOKUP($D25,'Visu totale'!$D:$DH,CG$1,0),IF(LEFT(VLOOKUP($D25,'Visu totale'!$D:$DH,CG$1,0),1)="V",IF(CF25&gt;=INDEX('[1]Définition Maintenances'!$G:$G,MATCH($A25,'[1]Définition Maintenances'!$K:$K,0)),CF25,INDEX('[1]Définition Maintenances'!$G:$G,MATCH($A25,'[1]Définition Maintenances'!$K:$K,0))+CF25),CF25))</f>
        <v>296</v>
      </c>
      <c r="CH25" s="26">
        <f>IF(ISNUMBER(VLOOKUP($D25,'Visu totale'!$D:$DH,CH$1,0)),CG25-VLOOKUP($D25,'Visu totale'!$D:$DH,CH$1,0),IF(LEFT(VLOOKUP($D25,'Visu totale'!$D:$DH,CH$1,0),1)="V",IF(CG25&gt;=INDEX('[1]Définition Maintenances'!$G:$G,MATCH($A25,'[1]Définition Maintenances'!$K:$K,0)),CG25,INDEX('[1]Définition Maintenances'!$G:$G,MATCH($A25,'[1]Définition Maintenances'!$K:$K,0))+CG25),CG25))</f>
        <v>296</v>
      </c>
      <c r="CI25" s="26">
        <f>IF(ISNUMBER(VLOOKUP($D25,'Visu totale'!$D:$DH,CI$1,0)),CH25-VLOOKUP($D25,'Visu totale'!$D:$DH,CI$1,0),IF(LEFT(VLOOKUP($D25,'Visu totale'!$D:$DH,CI$1,0),1)="V",IF(CH25&gt;=INDEX('[1]Définition Maintenances'!$G:$G,MATCH($A25,'[1]Définition Maintenances'!$K:$K,0)),CH25,INDEX('[1]Définition Maintenances'!$G:$G,MATCH($A25,'[1]Définition Maintenances'!$K:$K,0))+CH25),CH25))</f>
        <v>296</v>
      </c>
      <c r="CJ25" s="26">
        <f>IF(ISNUMBER(VLOOKUP($D25,'Visu totale'!$D:$DH,CJ$1,0)),CI25-VLOOKUP($D25,'Visu totale'!$D:$DH,CJ$1,0),IF(LEFT(VLOOKUP($D25,'Visu totale'!$D:$DH,CJ$1,0),1)="V",IF(CI25&gt;=INDEX('[1]Définition Maintenances'!$G:$G,MATCH($A25,'[1]Définition Maintenances'!$K:$K,0)),CI25,INDEX('[1]Définition Maintenances'!$G:$G,MATCH($A25,'[1]Définition Maintenances'!$K:$K,0))+CI25),CI25))</f>
        <v>296</v>
      </c>
      <c r="CK25" s="27">
        <f>IF(ISNUMBER(VLOOKUP($D25,'Visu totale'!$D:$DH,CK$1,0)),CJ25-VLOOKUP($D25,'Visu totale'!$D:$DH,CK$1,0),IF(LEFT(VLOOKUP($D25,'Visu totale'!$D:$DH,CK$1,0),1)="V",IF(CJ25&gt;=INDEX('[1]Définition Maintenances'!$G:$G,MATCH($A25,'[1]Définition Maintenances'!$K:$K,0)),CJ25,INDEX('[1]Définition Maintenances'!$G:$G,MATCH($A25,'[1]Définition Maintenances'!$K:$K,0))+CJ25),CJ25))</f>
        <v>296</v>
      </c>
      <c r="CL25" s="25">
        <f>IF(ISNUMBER(VLOOKUP($D25,'Visu totale'!$D:$DH,CL$1,0)),CK25-VLOOKUP($D25,'Visu totale'!$D:$DH,CL$1,0),IF(LEFT(VLOOKUP($D25,'Visu totale'!$D:$DH,CL$1,0),1)="V",IF(CK25&gt;=INDEX('[1]Définition Maintenances'!$G:$G,MATCH($A25,'[1]Définition Maintenances'!$K:$K,0)),CK25,INDEX('[1]Définition Maintenances'!$G:$G,MATCH($A25,'[1]Définition Maintenances'!$K:$K,0))+CK25),CK25))</f>
        <v>296</v>
      </c>
      <c r="CM25" s="26">
        <f>IF(ISNUMBER(VLOOKUP($D25,'Visu totale'!$D:$DH,CM$1,0)),CL25-VLOOKUP($D25,'Visu totale'!$D:$DH,CM$1,0),IF(LEFT(VLOOKUP($D25,'Visu totale'!$D:$DH,CM$1,0),1)="V",IF(CL25&gt;=INDEX('[1]Définition Maintenances'!$G:$G,MATCH($A25,'[1]Définition Maintenances'!$K:$K,0)),CL25,INDEX('[1]Définition Maintenances'!$G:$G,MATCH($A25,'[1]Définition Maintenances'!$K:$K,0))+CL25),CL25))</f>
        <v>296</v>
      </c>
      <c r="CN25" s="26">
        <f>IF(ISNUMBER(VLOOKUP($D25,'Visu totale'!$D:$DH,CN$1,0)),CM25-VLOOKUP($D25,'Visu totale'!$D:$DH,CN$1,0),IF(LEFT(VLOOKUP($D25,'Visu totale'!$D:$DH,CN$1,0),1)="V",IF(CM25&gt;=INDEX('[1]Définition Maintenances'!$G:$G,MATCH($A25,'[1]Définition Maintenances'!$K:$K,0)),CM25,INDEX('[1]Définition Maintenances'!$G:$G,MATCH($A25,'[1]Définition Maintenances'!$K:$K,0))+CM25),CM25))</f>
        <v>296</v>
      </c>
      <c r="CO25" s="26">
        <f>IF(ISNUMBER(VLOOKUP($D25,'Visu totale'!$D:$DH,CO$1,0)),CN25-VLOOKUP($D25,'Visu totale'!$D:$DH,CO$1,0),IF(LEFT(VLOOKUP($D25,'Visu totale'!$D:$DH,CO$1,0),1)="V",IF(CN25&gt;=INDEX('[1]Définition Maintenances'!$G:$G,MATCH($A25,'[1]Définition Maintenances'!$K:$K,0)),CN25,INDEX('[1]Définition Maintenances'!$G:$G,MATCH($A25,'[1]Définition Maintenances'!$K:$K,0))+CN25),CN25))</f>
        <v>296</v>
      </c>
      <c r="CP25" s="26">
        <f>IF(ISNUMBER(VLOOKUP($D25,'Visu totale'!$D:$DH,CP$1,0)),CO25-VLOOKUP($D25,'Visu totale'!$D:$DH,CP$1,0),IF(LEFT(VLOOKUP($D25,'Visu totale'!$D:$DH,CP$1,0),1)="V",IF(CO25&gt;=INDEX('[1]Définition Maintenances'!$G:$G,MATCH($A25,'[1]Définition Maintenances'!$K:$K,0)),CO25,INDEX('[1]Définition Maintenances'!$G:$G,MATCH($A25,'[1]Définition Maintenances'!$K:$K,0))+CO25),CO25))</f>
        <v>296</v>
      </c>
      <c r="CQ25" s="26">
        <f>IF(ISNUMBER(VLOOKUP($D25,'Visu totale'!$D:$DH,CQ$1,0)),CP25-VLOOKUP($D25,'Visu totale'!$D:$DH,CQ$1,0),IF(LEFT(VLOOKUP($D25,'Visu totale'!$D:$DH,CQ$1,0),1)="V",IF(CP25&gt;=INDEX('[1]Définition Maintenances'!$G:$G,MATCH($A25,'[1]Définition Maintenances'!$K:$K,0)),CP25,INDEX('[1]Définition Maintenances'!$G:$G,MATCH($A25,'[1]Définition Maintenances'!$K:$K,0))+CP25),CP25))</f>
        <v>296</v>
      </c>
      <c r="CR25" s="26">
        <f>IF(ISNUMBER(VLOOKUP($D25,'Visu totale'!$D:$DH,CR$1,0)),CQ25-VLOOKUP($D25,'Visu totale'!$D:$DH,CR$1,0),IF(LEFT(VLOOKUP($D25,'Visu totale'!$D:$DH,CR$1,0),1)="V",IF(CQ25&gt;=INDEX('[1]Définition Maintenances'!$G:$G,MATCH($A25,'[1]Définition Maintenances'!$K:$K,0)),CQ25,INDEX('[1]Définition Maintenances'!$G:$G,MATCH($A25,'[1]Définition Maintenances'!$K:$K,0))+CQ25),CQ25))</f>
        <v>296</v>
      </c>
      <c r="CS25" s="26">
        <f>IF(ISNUMBER(VLOOKUP($D25,'Visu totale'!$D:$DH,CS$1,0)),CR25-VLOOKUP($D25,'Visu totale'!$D:$DH,CS$1,0),IF(LEFT(VLOOKUP($D25,'Visu totale'!$D:$DH,CS$1,0),1)="V",IF(CR25&gt;=INDEX('[1]Définition Maintenances'!$G:$G,MATCH($A25,'[1]Définition Maintenances'!$K:$K,0)),CR25,INDEX('[1]Définition Maintenances'!$G:$G,MATCH($A25,'[1]Définition Maintenances'!$K:$K,0))+CR25),CR25))</f>
        <v>296</v>
      </c>
      <c r="CT25" s="26">
        <f>IF(ISNUMBER(VLOOKUP($D25,'Visu totale'!$D:$DH,CT$1,0)),CS25-VLOOKUP($D25,'Visu totale'!$D:$DH,CT$1,0),IF(LEFT(VLOOKUP($D25,'Visu totale'!$D:$DH,CT$1,0),1)="V",IF(CS25&gt;=INDEX('[1]Définition Maintenances'!$G:$G,MATCH($A25,'[1]Définition Maintenances'!$K:$K,0)),CS25,INDEX('[1]Définition Maintenances'!$G:$G,MATCH($A25,'[1]Définition Maintenances'!$K:$K,0))+CS25),CS25))</f>
        <v>296</v>
      </c>
      <c r="CU25" s="26">
        <f>IF(ISNUMBER(VLOOKUP($D25,'Visu totale'!$D:$DH,CU$1,0)),CT25-VLOOKUP($D25,'Visu totale'!$D:$DH,CU$1,0),IF(LEFT(VLOOKUP($D25,'Visu totale'!$D:$DH,CU$1,0),1)="V",IF(CT25&gt;=INDEX('[1]Définition Maintenances'!$G:$G,MATCH($A25,'[1]Définition Maintenances'!$K:$K,0)),CT25,INDEX('[1]Définition Maintenances'!$G:$G,MATCH($A25,'[1]Définition Maintenances'!$K:$K,0))+CT25),CT25))</f>
        <v>296</v>
      </c>
      <c r="CV25" s="26">
        <f>IF(ISNUMBER(VLOOKUP($D25,'Visu totale'!$D:$DH,CV$1,0)),CU25-VLOOKUP($D25,'Visu totale'!$D:$DH,CV$1,0),IF(LEFT(VLOOKUP($D25,'Visu totale'!$D:$DH,CV$1,0),1)="V",IF(CU25&gt;=INDEX('[1]Définition Maintenances'!$G:$G,MATCH($A25,'[1]Définition Maintenances'!$K:$K,0)),CU25,INDEX('[1]Définition Maintenances'!$G:$G,MATCH($A25,'[1]Définition Maintenances'!$K:$K,0))+CU25),CU25))</f>
        <v>296</v>
      </c>
      <c r="CW25" s="27">
        <f>IF(ISNUMBER(VLOOKUP($D25,'Visu totale'!$D:$DH,CW$1,0)),CV25-VLOOKUP($D25,'Visu totale'!$D:$DH,CW$1,0),IF(LEFT(VLOOKUP($D25,'Visu totale'!$D:$DH,CW$1,0),1)="V",IF(CV25&gt;=INDEX('[1]Définition Maintenances'!$G:$G,MATCH($A25,'[1]Définition Maintenances'!$K:$K,0)),CV25,INDEX('[1]Définition Maintenances'!$G:$G,MATCH($A25,'[1]Définition Maintenances'!$K:$K,0))+CV25),CV25))</f>
        <v>296</v>
      </c>
      <c r="CX25" s="25">
        <f>IF(ISNUMBER(VLOOKUP($D25,'Visu totale'!$D:$DH,CX$1,0)),CW25-VLOOKUP($D25,'Visu totale'!$D:$DH,CX$1,0),IF(LEFT(VLOOKUP($D25,'Visu totale'!$D:$DH,CX$1,0),1)="V",IF(CW25&gt;=INDEX('[1]Définition Maintenances'!$G:$G,MATCH($A25,'[1]Définition Maintenances'!$K:$K,0)),CW25,INDEX('[1]Définition Maintenances'!$G:$G,MATCH($A25,'[1]Définition Maintenances'!$K:$K,0))+CW25),CW25))</f>
        <v>296</v>
      </c>
      <c r="CY25" s="26">
        <f>IF(ISNUMBER(VLOOKUP($D25,'Visu totale'!$D:$DH,CY$1,0)),CX25-VLOOKUP($D25,'Visu totale'!$D:$DH,CY$1,0),IF(LEFT(VLOOKUP($D25,'Visu totale'!$D:$DH,CY$1,0),1)="V",IF(CX25&gt;=INDEX('[1]Définition Maintenances'!$G:$G,MATCH($A25,'[1]Définition Maintenances'!$K:$K,0)),CX25,INDEX('[1]Définition Maintenances'!$G:$G,MATCH($A25,'[1]Définition Maintenances'!$K:$K,0))+CX25),CX25))</f>
        <v>296</v>
      </c>
      <c r="CZ25" s="26">
        <f>IF(ISNUMBER(VLOOKUP($D25,'Visu totale'!$D:$DH,CZ$1,0)),CY25-VLOOKUP($D25,'Visu totale'!$D:$DH,CZ$1,0),IF(LEFT(VLOOKUP($D25,'Visu totale'!$D:$DH,CZ$1,0),1)="V",IF(CY25&gt;=INDEX('[1]Définition Maintenances'!$G:$G,MATCH($A25,'[1]Définition Maintenances'!$K:$K,0)),CY25,INDEX('[1]Définition Maintenances'!$G:$G,MATCH($A25,'[1]Définition Maintenances'!$K:$K,0))+CY25),CY25))</f>
        <v>296</v>
      </c>
      <c r="DA25" s="26">
        <f>IF(ISNUMBER(VLOOKUP($D25,'Visu totale'!$D:$DH,DA$1,0)),CZ25-VLOOKUP($D25,'Visu totale'!$D:$DH,DA$1,0),IF(LEFT(VLOOKUP($D25,'Visu totale'!$D:$DH,DA$1,0),1)="V",IF(CZ25&gt;=INDEX('[1]Définition Maintenances'!$G:$G,MATCH($A25,'[1]Définition Maintenances'!$K:$K,0)),CZ25,INDEX('[1]Définition Maintenances'!$G:$G,MATCH($A25,'[1]Définition Maintenances'!$K:$K,0))+CZ25),CZ25))</f>
        <v>296</v>
      </c>
      <c r="DB25" s="26">
        <f>IF(ISNUMBER(VLOOKUP($D25,'Visu totale'!$D:$DH,DB$1,0)),DA25-VLOOKUP($D25,'Visu totale'!$D:$DH,DB$1,0),IF(LEFT(VLOOKUP($D25,'Visu totale'!$D:$DH,DB$1,0),1)="V",IF(DA25&gt;=INDEX('[1]Définition Maintenances'!$G:$G,MATCH($A25,'[1]Définition Maintenances'!$K:$K,0)),DA25,INDEX('[1]Définition Maintenances'!$G:$G,MATCH($A25,'[1]Définition Maintenances'!$K:$K,0))+DA25),DA25))</f>
        <v>296</v>
      </c>
      <c r="DC25" s="26">
        <f>IF(ISNUMBER(VLOOKUP($D25,'Visu totale'!$D:$DH,DC$1,0)),DB25-VLOOKUP($D25,'Visu totale'!$D:$DH,DC$1,0),IF(LEFT(VLOOKUP($D25,'Visu totale'!$D:$DH,DC$1,0),1)="V",IF(DB25&gt;=INDEX('[1]Définition Maintenances'!$G:$G,MATCH($A25,'[1]Définition Maintenances'!$K:$K,0)),DB25,INDEX('[1]Définition Maintenances'!$G:$G,MATCH($A25,'[1]Définition Maintenances'!$K:$K,0))+DB25),DB25))</f>
        <v>296</v>
      </c>
      <c r="DD25" s="26">
        <f>IF(ISNUMBER(VLOOKUP($D25,'Visu totale'!$D:$DH,DD$1,0)),DC25-VLOOKUP($D25,'Visu totale'!$D:$DH,DD$1,0),IF(LEFT(VLOOKUP($D25,'Visu totale'!$D:$DH,DD$1,0),1)="V",IF(DC25&gt;=INDEX('[1]Définition Maintenances'!$G:$G,MATCH($A25,'[1]Définition Maintenances'!$K:$K,0)),DC25,INDEX('[1]Définition Maintenances'!$G:$G,MATCH($A25,'[1]Définition Maintenances'!$K:$K,0))+DC25),DC25))</f>
        <v>296</v>
      </c>
      <c r="DE25" s="26">
        <f>IF(ISNUMBER(VLOOKUP($D25,'Visu totale'!$D:$DH,DE$1,0)),DD25-VLOOKUP($D25,'Visu totale'!$D:$DH,DE$1,0),IF(LEFT(VLOOKUP($D25,'Visu totale'!$D:$DH,DE$1,0),1)="V",IF(DD25&gt;=INDEX('[1]Définition Maintenances'!$G:$G,MATCH($A25,'[1]Définition Maintenances'!$K:$K,0)),DD25,INDEX('[1]Définition Maintenances'!$G:$G,MATCH($A25,'[1]Définition Maintenances'!$K:$K,0))+DD25),DD25))</f>
        <v>296</v>
      </c>
      <c r="DF25" s="26">
        <f>IF(ISNUMBER(VLOOKUP($D25,'Visu totale'!$D:$DH,DF$1,0)),DE25-VLOOKUP($D25,'Visu totale'!$D:$DH,DF$1,0),IF(LEFT(VLOOKUP($D25,'Visu totale'!$D:$DH,DF$1,0),1)="V",IF(DE25&gt;=INDEX('[1]Définition Maintenances'!$G:$G,MATCH($A25,'[1]Définition Maintenances'!$K:$K,0)),DE25,INDEX('[1]Définition Maintenances'!$G:$G,MATCH($A25,'[1]Définition Maintenances'!$K:$K,0))+DE25),DE25))</f>
        <v>296</v>
      </c>
      <c r="DG25" s="26">
        <f>IF(ISNUMBER(VLOOKUP($D25,'Visu totale'!$D:$DH,DG$1,0)),DF25-VLOOKUP($D25,'Visu totale'!$D:$DH,DG$1,0),IF(LEFT(VLOOKUP($D25,'Visu totale'!$D:$DH,DG$1,0),1)="V",IF(DF25&gt;=INDEX('[1]Définition Maintenances'!$G:$G,MATCH($A25,'[1]Définition Maintenances'!$K:$K,0)),DF25,INDEX('[1]Définition Maintenances'!$G:$G,MATCH($A25,'[1]Définition Maintenances'!$K:$K,0))+DF25),DF25))</f>
        <v>296</v>
      </c>
      <c r="DH25" s="26">
        <f>IF(ISNUMBER(VLOOKUP($D25,'Visu totale'!$D:$DH,DH$1,0)),DG25-VLOOKUP($D25,'Visu totale'!$D:$DH,DH$1,0),IF(LEFT(VLOOKUP($D25,'Visu totale'!$D:$DH,DH$1,0),1)="V",IF(DG25&gt;=INDEX('[1]Définition Maintenances'!$G:$G,MATCH($A25,'[1]Définition Maintenances'!$K:$K,0)),DG25,INDEX('[1]Définition Maintenances'!$G:$G,MATCH($A25,'[1]Définition Maintenances'!$K:$K,0))+DG25),DG25))</f>
        <v>296</v>
      </c>
      <c r="DI25" s="27">
        <f>IF(ISNUMBER(VLOOKUP($D25,'Visu totale'!$D:$DH,DI$1,0)),DH25-VLOOKUP($D25,'Visu totale'!$D:$DH,DI$1,0),IF(LEFT(VLOOKUP($D25,'Visu totale'!$D:$DH,DI$1,0),1)="V",IF(DH25&gt;=INDEX('[1]Définition Maintenances'!$G:$G,MATCH($A25,'[1]Définition Maintenances'!$K:$K,0)),DH25,INDEX('[1]Définition Maintenances'!$G:$G,MATCH($A25,'[1]Définition Maintenances'!$K:$K,0))+DH25),DH25))</f>
        <v>296</v>
      </c>
    </row>
    <row r="26" spans="1:113" x14ac:dyDescent="0.25">
      <c r="A26" s="13" t="str">
        <f t="shared" si="0"/>
        <v>V10D</v>
      </c>
      <c r="B26" s="13" t="str">
        <f>VLOOKUP(D26,'[1]Avions (Potentiels)'!$B$2:$H$128,7,FALSE)</f>
        <v>V10</v>
      </c>
      <c r="C26" s="13"/>
      <c r="D26" s="16" t="s">
        <v>29</v>
      </c>
      <c r="E26" s="13">
        <f>IFERROR(VALUE(SUBSTITUTE(VLOOKUP(D26,'[1]Avions (Potentiels)'!$B:$E,4,0),".",",")),VALUE(VLOOKUP(D26,'[1]Avions (Potentiels)'!$B:$E,4,0)))</f>
        <v>371</v>
      </c>
      <c r="F26" s="25">
        <f>IF(ISNUMBER(VLOOKUP($D26,'Visu totale'!$D:$DH,F$1,0)),E26-VLOOKUP($D26,'Visu totale'!$D:$DH,F$1,0),IF(LEFT(VLOOKUP($D26,'Visu totale'!$D:$DH,F$1,0),1)="V",IF(E26&gt;=INDEX('[1]Définition Maintenances'!$G:$G,MATCH($A26,'[1]Définition Maintenances'!$K:$K,0)),E26,INDEX('[1]Définition Maintenances'!$G:$G,MATCH($A26,'[1]Définition Maintenances'!$K:$K,0))+E26),E26))</f>
        <v>371</v>
      </c>
      <c r="G26" s="26">
        <f>IF(ISNUMBER(VLOOKUP($D26,'Visu totale'!$D:$DH,G$1,0)),F26-VLOOKUP($D26,'Visu totale'!$D:$DH,G$1,0),IF(LEFT(VLOOKUP($D26,'Visu totale'!$D:$DH,G$1,0),1)="V",IF(F26&gt;=INDEX('[1]Définition Maintenances'!$G:$G,MATCH($A26,'[1]Définition Maintenances'!$K:$K,0)),F26,INDEX('[1]Définition Maintenances'!$G:$G,MATCH($A26,'[1]Définition Maintenances'!$K:$K,0))+F26),F26))</f>
        <v>371</v>
      </c>
      <c r="H26" s="26">
        <f>IF(ISNUMBER(VLOOKUP($D26,'Visu totale'!$D:$DH,H$1,0)),G26-VLOOKUP($D26,'Visu totale'!$D:$DH,H$1,0),IF(LEFT(VLOOKUP($D26,'Visu totale'!$D:$DH,H$1,0),1)="V",IF(G26&gt;=INDEX('[1]Définition Maintenances'!$G:$G,MATCH($A26,'[1]Définition Maintenances'!$K:$K,0)),G26,INDEX('[1]Définition Maintenances'!$G:$G,MATCH($A26,'[1]Définition Maintenances'!$K:$K,0))+G26),G26))</f>
        <v>371</v>
      </c>
      <c r="I26" s="26">
        <f>IF(ISNUMBER(VLOOKUP($D26,'Visu totale'!$D:$DH,I$1,0)),H26-VLOOKUP($D26,'Visu totale'!$D:$DH,I$1,0),IF(LEFT(VLOOKUP($D26,'Visu totale'!$D:$DH,I$1,0),1)="V",IF(H26&gt;=INDEX('[1]Définition Maintenances'!$G:$G,MATCH($A26,'[1]Définition Maintenances'!$K:$K,0)),H26,INDEX('[1]Définition Maintenances'!$G:$G,MATCH($A26,'[1]Définition Maintenances'!$K:$K,0))+H26),H26))</f>
        <v>371</v>
      </c>
      <c r="J26" s="26">
        <f>IF(ISNUMBER(VLOOKUP($D26,'Visu totale'!$D:$DH,J$1,0)),I26-VLOOKUP($D26,'Visu totale'!$D:$DH,J$1,0),IF(LEFT(VLOOKUP($D26,'Visu totale'!$D:$DH,J$1,0),1)="V",IF(I26&gt;=INDEX('[1]Définition Maintenances'!$G:$G,MATCH($A26,'[1]Définition Maintenances'!$K:$K,0)),I26,INDEX('[1]Définition Maintenances'!$G:$G,MATCH($A26,'[1]Définition Maintenances'!$K:$K,0))+I26),I26))</f>
        <v>371</v>
      </c>
      <c r="K26" s="26">
        <f>IF(ISNUMBER(VLOOKUP($D26,'Visu totale'!$D:$DH,K$1,0)),J26-VLOOKUP($D26,'Visu totale'!$D:$DH,K$1,0),IF(LEFT(VLOOKUP($D26,'Visu totale'!$D:$DH,K$1,0),1)="V",IF(J26&gt;=INDEX('[1]Définition Maintenances'!$G:$G,MATCH($A26,'[1]Définition Maintenances'!$K:$K,0)),J26,INDEX('[1]Définition Maintenances'!$G:$G,MATCH($A26,'[1]Définition Maintenances'!$K:$K,0))+J26),J26))</f>
        <v>371</v>
      </c>
      <c r="L26" s="26">
        <f>IF(ISNUMBER(VLOOKUP($D26,'Visu totale'!$D:$DH,L$1,0)),K26-VLOOKUP($D26,'Visu totale'!$D:$DH,L$1,0),IF(LEFT(VLOOKUP($D26,'Visu totale'!$D:$DH,L$1,0),1)="V",IF(K26&gt;=INDEX('[1]Définition Maintenances'!$G:$G,MATCH($A26,'[1]Définition Maintenances'!$K:$K,0)),K26,INDEX('[1]Définition Maintenances'!$G:$G,MATCH($A26,'[1]Définition Maintenances'!$K:$K,0))+K26),K26))</f>
        <v>371</v>
      </c>
      <c r="M26" s="26">
        <f>IF(ISNUMBER(VLOOKUP($D26,'Visu totale'!$D:$DH,M$1,0)),L26-VLOOKUP($D26,'Visu totale'!$D:$DH,M$1,0),IF(LEFT(VLOOKUP($D26,'Visu totale'!$D:$DH,M$1,0),1)="V",IF(L26&gt;=INDEX('[1]Définition Maintenances'!$G:$G,MATCH($A26,'[1]Définition Maintenances'!$K:$K,0)),L26,INDEX('[1]Définition Maintenances'!$G:$G,MATCH($A26,'[1]Définition Maintenances'!$K:$K,0))+L26),L26))</f>
        <v>371</v>
      </c>
      <c r="N26" s="26">
        <f>IF(ISNUMBER(VLOOKUP($D26,'Visu totale'!$D:$DH,N$1,0)),M26-VLOOKUP($D26,'Visu totale'!$D:$DH,N$1,0),IF(LEFT(VLOOKUP($D26,'Visu totale'!$D:$DH,N$1,0),1)="V",IF(M26&gt;=INDEX('[1]Définition Maintenances'!$G:$G,MATCH($A26,'[1]Définition Maintenances'!$K:$K,0)),M26,INDEX('[1]Définition Maintenances'!$G:$G,MATCH($A26,'[1]Définition Maintenances'!$K:$K,0))+M26),M26))</f>
        <v>371</v>
      </c>
      <c r="O26" s="26">
        <f>IF(ISNUMBER(VLOOKUP($D26,'Visu totale'!$D:$DH,O$1,0)),N26-VLOOKUP($D26,'Visu totale'!$D:$DH,O$1,0),IF(LEFT(VLOOKUP($D26,'Visu totale'!$D:$DH,O$1,0),1)="V",IF(N26&gt;=INDEX('[1]Définition Maintenances'!$G:$G,MATCH($A26,'[1]Définition Maintenances'!$K:$K,0)),N26,INDEX('[1]Définition Maintenances'!$G:$G,MATCH($A26,'[1]Définition Maintenances'!$K:$K,0))+N26),N26))</f>
        <v>371</v>
      </c>
      <c r="P26" s="26">
        <f>IF(ISNUMBER(VLOOKUP($D26,'Visu totale'!$D:$DH,P$1,0)),O26-VLOOKUP($D26,'Visu totale'!$D:$DH,P$1,0),IF(LEFT(VLOOKUP($D26,'Visu totale'!$D:$DH,P$1,0),1)="V",IF(O26&gt;=INDEX('[1]Définition Maintenances'!$G:$G,MATCH($A26,'[1]Définition Maintenances'!$K:$K,0)),O26,INDEX('[1]Définition Maintenances'!$G:$G,MATCH($A26,'[1]Définition Maintenances'!$K:$K,0))+O26),O26))</f>
        <v>371</v>
      </c>
      <c r="Q26" s="27">
        <f>IF(ISNUMBER(VLOOKUP($D26,'Visu totale'!$D:$DH,Q$1,0)),P26-VLOOKUP($D26,'Visu totale'!$D:$DH,Q$1,0),IF(LEFT(VLOOKUP($D26,'Visu totale'!$D:$DH,Q$1,0),1)="V",IF(P26&gt;=INDEX('[1]Définition Maintenances'!$G:$G,MATCH($A26,'[1]Définition Maintenances'!$K:$K,0)),P26,INDEX('[1]Définition Maintenances'!$G:$G,MATCH($A26,'[1]Définition Maintenances'!$K:$K,0))+P26),P26))</f>
        <v>371</v>
      </c>
      <c r="R26" s="25">
        <f>IF(ISNUMBER(VLOOKUP($D26,'Visu totale'!$D:$DH,R$1,0)),Q26-VLOOKUP($D26,'Visu totale'!$D:$DH,R$1,0),IF(LEFT(VLOOKUP($D26,'Visu totale'!$D:$DH,R$1,0),1)="V",IF(Q26&gt;=INDEX('[1]Définition Maintenances'!$G:$G,MATCH($A26,'[1]Définition Maintenances'!$K:$K,0)),Q26,INDEX('[1]Définition Maintenances'!$G:$G,MATCH($A26,'[1]Définition Maintenances'!$K:$K,0))+Q26),Q26))</f>
        <v>371</v>
      </c>
      <c r="S26" s="26">
        <f>IF(ISNUMBER(VLOOKUP($D26,'Visu totale'!$D:$DH,S$1,0)),R26-VLOOKUP($D26,'Visu totale'!$D:$DH,S$1,0),IF(LEFT(VLOOKUP($D26,'Visu totale'!$D:$DH,S$1,0),1)="V",IF(R26&gt;=INDEX('[1]Définition Maintenances'!$G:$G,MATCH($A26,'[1]Définition Maintenances'!$K:$K,0)),R26,INDEX('[1]Définition Maintenances'!$G:$G,MATCH($A26,'[1]Définition Maintenances'!$K:$K,0))+R26),R26))</f>
        <v>371</v>
      </c>
      <c r="T26" s="26">
        <f>IF(ISNUMBER(VLOOKUP($D26,'Visu totale'!$D:$DH,T$1,0)),S26-VLOOKUP($D26,'Visu totale'!$D:$DH,T$1,0),IF(LEFT(VLOOKUP($D26,'Visu totale'!$D:$DH,T$1,0),1)="V",IF(S26&gt;=INDEX('[1]Définition Maintenances'!$G:$G,MATCH($A26,'[1]Définition Maintenances'!$K:$K,0)),S26,INDEX('[1]Définition Maintenances'!$G:$G,MATCH($A26,'[1]Définition Maintenances'!$K:$K,0))+S26),S26))</f>
        <v>371</v>
      </c>
      <c r="U26" s="26">
        <f>IF(ISNUMBER(VLOOKUP($D26,'Visu totale'!$D:$DH,U$1,0)),T26-VLOOKUP($D26,'Visu totale'!$D:$DH,U$1,0),IF(LEFT(VLOOKUP($D26,'Visu totale'!$D:$DH,U$1,0),1)="V",IF(T26&gt;=INDEX('[1]Définition Maintenances'!$G:$G,MATCH($A26,'[1]Définition Maintenances'!$K:$K,0)),T26,INDEX('[1]Définition Maintenances'!$G:$G,MATCH($A26,'[1]Définition Maintenances'!$K:$K,0))+T26),T26))</f>
        <v>371</v>
      </c>
      <c r="V26" s="26">
        <f>IF(ISNUMBER(VLOOKUP($D26,'Visu totale'!$D:$DH,V$1,0)),U26-VLOOKUP($D26,'Visu totale'!$D:$DH,V$1,0),IF(LEFT(VLOOKUP($D26,'Visu totale'!$D:$DH,V$1,0),1)="V",IF(U26&gt;=INDEX('[1]Définition Maintenances'!$G:$G,MATCH($A26,'[1]Définition Maintenances'!$K:$K,0)),U26,INDEX('[1]Définition Maintenances'!$G:$G,MATCH($A26,'[1]Définition Maintenances'!$K:$K,0))+U26),U26))</f>
        <v>371</v>
      </c>
      <c r="W26" s="26">
        <f>IF(ISNUMBER(VLOOKUP($D26,'Visu totale'!$D:$DH,W$1,0)),V26-VLOOKUP($D26,'Visu totale'!$D:$DH,W$1,0),IF(LEFT(VLOOKUP($D26,'Visu totale'!$D:$DH,W$1,0),1)="V",IF(V26&gt;=INDEX('[1]Définition Maintenances'!$G:$G,MATCH($A26,'[1]Définition Maintenances'!$K:$K,0)),V26,INDEX('[1]Définition Maintenances'!$G:$G,MATCH($A26,'[1]Définition Maintenances'!$K:$K,0))+V26),V26))</f>
        <v>371</v>
      </c>
      <c r="X26" s="26">
        <f>IF(ISNUMBER(VLOOKUP($D26,'Visu totale'!$D:$DH,X$1,0)),W26-VLOOKUP($D26,'Visu totale'!$D:$DH,X$1,0),IF(LEFT(VLOOKUP($D26,'Visu totale'!$D:$DH,X$1,0),1)="V",IF(W26&gt;=INDEX('[1]Définition Maintenances'!$G:$G,MATCH($A26,'[1]Définition Maintenances'!$K:$K,0)),W26,INDEX('[1]Définition Maintenances'!$G:$G,MATCH($A26,'[1]Définition Maintenances'!$K:$K,0))+W26),W26))</f>
        <v>371</v>
      </c>
      <c r="Y26" s="26">
        <f>IF(ISNUMBER(VLOOKUP($D26,'Visu totale'!$D:$DH,Y$1,0)),X26-VLOOKUP($D26,'Visu totale'!$D:$DH,Y$1,0),IF(LEFT(VLOOKUP($D26,'Visu totale'!$D:$DH,Y$1,0),1)="V",IF(X26&gt;=INDEX('[1]Définition Maintenances'!$G:$G,MATCH($A26,'[1]Définition Maintenances'!$K:$K,0)),X26,INDEX('[1]Définition Maintenances'!$G:$G,MATCH($A26,'[1]Définition Maintenances'!$K:$K,0))+X26),X26))</f>
        <v>371</v>
      </c>
      <c r="Z26" s="26">
        <f>IF(ISNUMBER(VLOOKUP($D26,'Visu totale'!$D:$DH,Z$1,0)),Y26-VLOOKUP($D26,'Visu totale'!$D:$DH,Z$1,0),IF(LEFT(VLOOKUP($D26,'Visu totale'!$D:$DH,Z$1,0),1)="V",IF(Y26&gt;=INDEX('[1]Définition Maintenances'!$G:$G,MATCH($A26,'[1]Définition Maintenances'!$K:$K,0)),Y26,INDEX('[1]Définition Maintenances'!$G:$G,MATCH($A26,'[1]Définition Maintenances'!$K:$K,0))+Y26),Y26))</f>
        <v>371</v>
      </c>
      <c r="AA26" s="26">
        <f>IF(ISNUMBER(VLOOKUP($D26,'Visu totale'!$D:$DH,AA$1,0)),Z26-VLOOKUP($D26,'Visu totale'!$D:$DH,AA$1,0),IF(LEFT(VLOOKUP($D26,'Visu totale'!$D:$DH,AA$1,0),1)="V",IF(Z26&gt;=INDEX('[1]Définition Maintenances'!$G:$G,MATCH($A26,'[1]Définition Maintenances'!$K:$K,0)),Z26,INDEX('[1]Définition Maintenances'!$G:$G,MATCH($A26,'[1]Définition Maintenances'!$K:$K,0))+Z26),Z26))</f>
        <v>371</v>
      </c>
      <c r="AB26" s="26">
        <f>IF(ISNUMBER(VLOOKUP($D26,'Visu totale'!$D:$DH,AB$1,0)),AA26-VLOOKUP($D26,'Visu totale'!$D:$DH,AB$1,0),IF(LEFT(VLOOKUP($D26,'Visu totale'!$D:$DH,AB$1,0),1)="V",IF(AA26&gt;=INDEX('[1]Définition Maintenances'!$G:$G,MATCH($A26,'[1]Définition Maintenances'!$K:$K,0)),AA26,INDEX('[1]Définition Maintenances'!$G:$G,MATCH($A26,'[1]Définition Maintenances'!$K:$K,0))+AA26),AA26))</f>
        <v>371</v>
      </c>
      <c r="AC26" s="27">
        <f>IF(ISNUMBER(VLOOKUP($D26,'Visu totale'!$D:$DH,AC$1,0)),AB26-VLOOKUP($D26,'Visu totale'!$D:$DH,AC$1,0),IF(LEFT(VLOOKUP($D26,'Visu totale'!$D:$DH,AC$1,0),1)="V",IF(AB26&gt;=INDEX('[1]Définition Maintenances'!$G:$G,MATCH($A26,'[1]Définition Maintenances'!$K:$K,0)),AB26,INDEX('[1]Définition Maintenances'!$G:$G,MATCH($A26,'[1]Définition Maintenances'!$K:$K,0))+AB26),AB26))</f>
        <v>371</v>
      </c>
      <c r="AD26" s="25">
        <f>IF(ISNUMBER(VLOOKUP($D26,'Visu totale'!$D:$DH,AD$1,0)),AC26-VLOOKUP($D26,'Visu totale'!$D:$DH,AD$1,0),IF(LEFT(VLOOKUP($D26,'Visu totale'!$D:$DH,AD$1,0),1)="V",IF(AC26&gt;=INDEX('[1]Définition Maintenances'!$G:$G,MATCH($A26,'[1]Définition Maintenances'!$K:$K,0)),AC26,INDEX('[1]Définition Maintenances'!$G:$G,MATCH($A26,'[1]Définition Maintenances'!$K:$K,0))+AC26),AC26))</f>
        <v>371</v>
      </c>
      <c r="AE26" s="26">
        <f>IF(ISNUMBER(VLOOKUP($D26,'Visu totale'!$D:$DH,AE$1,0)),AD26-VLOOKUP($D26,'Visu totale'!$D:$DH,AE$1,0),IF(LEFT(VLOOKUP($D26,'Visu totale'!$D:$DH,AE$1,0),1)="V",IF(AD26&gt;=INDEX('[1]Définition Maintenances'!$G:$G,MATCH($A26,'[1]Définition Maintenances'!$K:$K,0)),AD26,INDEX('[1]Définition Maintenances'!$G:$G,MATCH($A26,'[1]Définition Maintenances'!$K:$K,0))+AD26),AD26))</f>
        <v>371</v>
      </c>
      <c r="AF26" s="26">
        <f>IF(ISNUMBER(VLOOKUP($D26,'Visu totale'!$D:$DH,AF$1,0)),AE26-VLOOKUP($D26,'Visu totale'!$D:$DH,AF$1,0),IF(LEFT(VLOOKUP($D26,'Visu totale'!$D:$DH,AF$1,0),1)="V",IF(AE26&gt;=INDEX('[1]Définition Maintenances'!$G:$G,MATCH($A26,'[1]Définition Maintenances'!$K:$K,0)),AE26,INDEX('[1]Définition Maintenances'!$G:$G,MATCH($A26,'[1]Définition Maintenances'!$K:$K,0))+AE26),AE26))</f>
        <v>371</v>
      </c>
      <c r="AG26" s="26">
        <f>IF(ISNUMBER(VLOOKUP($D26,'Visu totale'!$D:$DH,AG$1,0)),AF26-VLOOKUP($D26,'Visu totale'!$D:$DH,AG$1,0),IF(LEFT(VLOOKUP($D26,'Visu totale'!$D:$DH,AG$1,0),1)="V",IF(AF26&gt;=INDEX('[1]Définition Maintenances'!$G:$G,MATCH($A26,'[1]Définition Maintenances'!$K:$K,0)),AF26,INDEX('[1]Définition Maintenances'!$G:$G,MATCH($A26,'[1]Définition Maintenances'!$K:$K,0))+AF26),AF26))</f>
        <v>371</v>
      </c>
      <c r="AH26" s="26">
        <f>IF(ISNUMBER(VLOOKUP($D26,'Visu totale'!$D:$DH,AH$1,0)),AG26-VLOOKUP($D26,'Visu totale'!$D:$DH,AH$1,0),IF(LEFT(VLOOKUP($D26,'Visu totale'!$D:$DH,AH$1,0),1)="V",IF(AG26&gt;=INDEX('[1]Définition Maintenances'!$G:$G,MATCH($A26,'[1]Définition Maintenances'!$K:$K,0)),AG26,INDEX('[1]Définition Maintenances'!$G:$G,MATCH($A26,'[1]Définition Maintenances'!$K:$K,0))+AG26),AG26))</f>
        <v>371</v>
      </c>
      <c r="AI26" s="26">
        <f>IF(ISNUMBER(VLOOKUP($D26,'Visu totale'!$D:$DH,AI$1,0)),AH26-VLOOKUP($D26,'Visu totale'!$D:$DH,AI$1,0),IF(LEFT(VLOOKUP($D26,'Visu totale'!$D:$DH,AI$1,0),1)="V",IF(AH26&gt;=INDEX('[1]Définition Maintenances'!$G:$G,MATCH($A26,'[1]Définition Maintenances'!$K:$K,0)),AH26,INDEX('[1]Définition Maintenances'!$G:$G,MATCH($A26,'[1]Définition Maintenances'!$K:$K,0))+AH26),AH26))</f>
        <v>371</v>
      </c>
      <c r="AJ26" s="26">
        <f>IF(ISNUMBER(VLOOKUP($D26,'Visu totale'!$D:$DH,AJ$1,0)),AI26-VLOOKUP($D26,'Visu totale'!$D:$DH,AJ$1,0),IF(LEFT(VLOOKUP($D26,'Visu totale'!$D:$DH,AJ$1,0),1)="V",IF(AI26&gt;=INDEX('[1]Définition Maintenances'!$G:$G,MATCH($A26,'[1]Définition Maintenances'!$K:$K,0)),AI26,INDEX('[1]Définition Maintenances'!$G:$G,MATCH($A26,'[1]Définition Maintenances'!$K:$K,0))+AI26),AI26))</f>
        <v>371</v>
      </c>
      <c r="AK26" s="26">
        <f>IF(ISNUMBER(VLOOKUP($D26,'Visu totale'!$D:$DH,AK$1,0)),AJ26-VLOOKUP($D26,'Visu totale'!$D:$DH,AK$1,0),IF(LEFT(VLOOKUP($D26,'Visu totale'!$D:$DH,AK$1,0),1)="V",IF(AJ26&gt;=INDEX('[1]Définition Maintenances'!$G:$G,MATCH($A26,'[1]Définition Maintenances'!$K:$K,0)),AJ26,INDEX('[1]Définition Maintenances'!$G:$G,MATCH($A26,'[1]Définition Maintenances'!$K:$K,0))+AJ26),AJ26))</f>
        <v>371</v>
      </c>
      <c r="AL26" s="26">
        <f>IF(ISNUMBER(VLOOKUP($D26,'Visu totale'!$D:$DH,AL$1,0)),AK26-VLOOKUP($D26,'Visu totale'!$D:$DH,AL$1,0),IF(LEFT(VLOOKUP($D26,'Visu totale'!$D:$DH,AL$1,0),1)="V",IF(AK26&gt;=INDEX('[1]Définition Maintenances'!$G:$G,MATCH($A26,'[1]Définition Maintenances'!$K:$K,0)),AK26,INDEX('[1]Définition Maintenances'!$G:$G,MATCH($A26,'[1]Définition Maintenances'!$K:$K,0))+AK26),AK26))</f>
        <v>371</v>
      </c>
      <c r="AM26" s="26">
        <f>IF(ISNUMBER(VLOOKUP($D26,'Visu totale'!$D:$DH,AM$1,0)),AL26-VLOOKUP($D26,'Visu totale'!$D:$DH,AM$1,0),IF(LEFT(VLOOKUP($D26,'Visu totale'!$D:$DH,AM$1,0),1)="V",IF(AL26&gt;=INDEX('[1]Définition Maintenances'!$G:$G,MATCH($A26,'[1]Définition Maintenances'!$K:$K,0)),AL26,INDEX('[1]Définition Maintenances'!$G:$G,MATCH($A26,'[1]Définition Maintenances'!$K:$K,0))+AL26),AL26))</f>
        <v>371</v>
      </c>
      <c r="AN26" s="26">
        <f>IF(ISNUMBER(VLOOKUP($D26,'Visu totale'!$D:$DH,AN$1,0)),AM26-VLOOKUP($D26,'Visu totale'!$D:$DH,AN$1,0),IF(LEFT(VLOOKUP($D26,'Visu totale'!$D:$DH,AN$1,0),1)="V",IF(AM26&gt;=INDEX('[1]Définition Maintenances'!$G:$G,MATCH($A26,'[1]Définition Maintenances'!$K:$K,0)),AM26,INDEX('[1]Définition Maintenances'!$G:$G,MATCH($A26,'[1]Définition Maintenances'!$K:$K,0))+AM26),AM26))</f>
        <v>371</v>
      </c>
      <c r="AO26" s="27">
        <f>IF(ISNUMBER(VLOOKUP($D26,'Visu totale'!$D:$DH,AO$1,0)),AN26-VLOOKUP($D26,'Visu totale'!$D:$DH,AO$1,0),IF(LEFT(VLOOKUP($D26,'Visu totale'!$D:$DH,AO$1,0),1)="V",IF(AN26&gt;=INDEX('[1]Définition Maintenances'!$G:$G,MATCH($A26,'[1]Définition Maintenances'!$K:$K,0)),AN26,INDEX('[1]Définition Maintenances'!$G:$G,MATCH($A26,'[1]Définition Maintenances'!$K:$K,0))+AN26),AN26))</f>
        <v>371</v>
      </c>
      <c r="AP26" s="25">
        <f>IF(ISNUMBER(VLOOKUP($D26,'Visu totale'!$D:$DH,AP$1,0)),AO26-VLOOKUP($D26,'Visu totale'!$D:$DH,AP$1,0),IF(LEFT(VLOOKUP($D26,'Visu totale'!$D:$DH,AP$1,0),1)="V",IF(AO26&gt;=INDEX('[1]Définition Maintenances'!$G:$G,MATCH($A26,'[1]Définition Maintenances'!$K:$K,0)),AO26,INDEX('[1]Définition Maintenances'!$G:$G,MATCH($A26,'[1]Définition Maintenances'!$K:$K,0))+AO26),AO26))</f>
        <v>371</v>
      </c>
      <c r="AQ26" s="26">
        <f>IF(ISNUMBER(VLOOKUP($D26,'Visu totale'!$D:$DH,AQ$1,0)),AP26-VLOOKUP($D26,'Visu totale'!$D:$DH,AQ$1,0),IF(LEFT(VLOOKUP($D26,'Visu totale'!$D:$DH,AQ$1,0),1)="V",IF(AP26&gt;=INDEX('[1]Définition Maintenances'!$G:$G,MATCH($A26,'[1]Définition Maintenances'!$K:$K,0)),AP26,INDEX('[1]Définition Maintenances'!$G:$G,MATCH($A26,'[1]Définition Maintenances'!$K:$K,0))+AP26),AP26))</f>
        <v>371</v>
      </c>
      <c r="AR26" s="26">
        <f>IF(ISNUMBER(VLOOKUP($D26,'Visu totale'!$D:$DH,AR$1,0)),AQ26-VLOOKUP($D26,'Visu totale'!$D:$DH,AR$1,0),IF(LEFT(VLOOKUP($D26,'Visu totale'!$D:$DH,AR$1,0),1)="V",IF(AQ26&gt;=INDEX('[1]Définition Maintenances'!$G:$G,MATCH($A26,'[1]Définition Maintenances'!$K:$K,0)),AQ26,INDEX('[1]Définition Maintenances'!$G:$G,MATCH($A26,'[1]Définition Maintenances'!$K:$K,0))+AQ26),AQ26))</f>
        <v>371</v>
      </c>
      <c r="AS26" s="26">
        <f>IF(ISNUMBER(VLOOKUP($D26,'Visu totale'!$D:$DH,AS$1,0)),AR26-VLOOKUP($D26,'Visu totale'!$D:$DH,AS$1,0),IF(LEFT(VLOOKUP($D26,'Visu totale'!$D:$DH,AS$1,0),1)="V",IF(AR26&gt;=INDEX('[1]Définition Maintenances'!$G:$G,MATCH($A26,'[1]Définition Maintenances'!$K:$K,0)),AR26,INDEX('[1]Définition Maintenances'!$G:$G,MATCH($A26,'[1]Définition Maintenances'!$K:$K,0))+AR26),AR26))</f>
        <v>371</v>
      </c>
      <c r="AT26" s="26">
        <f>IF(ISNUMBER(VLOOKUP($D26,'Visu totale'!$D:$DH,AT$1,0)),AS26-VLOOKUP($D26,'Visu totale'!$D:$DH,AT$1,0),IF(LEFT(VLOOKUP($D26,'Visu totale'!$D:$DH,AT$1,0),1)="V",IF(AS26&gt;=INDEX('[1]Définition Maintenances'!$G:$G,MATCH($A26,'[1]Définition Maintenances'!$K:$K,0)),AS26,INDEX('[1]Définition Maintenances'!$G:$G,MATCH($A26,'[1]Définition Maintenances'!$K:$K,0))+AS26),AS26))</f>
        <v>371</v>
      </c>
      <c r="AU26" s="26">
        <f>IF(ISNUMBER(VLOOKUP($D26,'Visu totale'!$D:$DH,AU$1,0)),AT26-VLOOKUP($D26,'Visu totale'!$D:$DH,AU$1,0),IF(LEFT(VLOOKUP($D26,'Visu totale'!$D:$DH,AU$1,0),1)="V",IF(AT26&gt;=INDEX('[1]Définition Maintenances'!$G:$G,MATCH($A26,'[1]Définition Maintenances'!$K:$K,0)),AT26,INDEX('[1]Définition Maintenances'!$G:$G,MATCH($A26,'[1]Définition Maintenances'!$K:$K,0))+AT26),AT26))</f>
        <v>371</v>
      </c>
      <c r="AV26" s="26">
        <f>IF(ISNUMBER(VLOOKUP($D26,'Visu totale'!$D:$DH,AV$1,0)),AU26-VLOOKUP($D26,'Visu totale'!$D:$DH,AV$1,0),IF(LEFT(VLOOKUP($D26,'Visu totale'!$D:$DH,AV$1,0),1)="V",IF(AU26&gt;=INDEX('[1]Définition Maintenances'!$G:$G,MATCH($A26,'[1]Définition Maintenances'!$K:$K,0)),AU26,INDEX('[1]Définition Maintenances'!$G:$G,MATCH($A26,'[1]Définition Maintenances'!$K:$K,0))+AU26),AU26))</f>
        <v>371</v>
      </c>
      <c r="AW26" s="26">
        <f>IF(ISNUMBER(VLOOKUP($D26,'Visu totale'!$D:$DH,AW$1,0)),AV26-VLOOKUP($D26,'Visu totale'!$D:$DH,AW$1,0),IF(LEFT(VLOOKUP($D26,'Visu totale'!$D:$DH,AW$1,0),1)="V",IF(AV26&gt;=INDEX('[1]Définition Maintenances'!$G:$G,MATCH($A26,'[1]Définition Maintenances'!$K:$K,0)),AV26,INDEX('[1]Définition Maintenances'!$G:$G,MATCH($A26,'[1]Définition Maintenances'!$K:$K,0))+AV26),AV26))</f>
        <v>371</v>
      </c>
      <c r="AX26" s="26">
        <f>IF(ISNUMBER(VLOOKUP($D26,'Visu totale'!$D:$DH,AX$1,0)),AW26-VLOOKUP($D26,'Visu totale'!$D:$DH,AX$1,0),IF(LEFT(VLOOKUP($D26,'Visu totale'!$D:$DH,AX$1,0),1)="V",IF(AW26&gt;=INDEX('[1]Définition Maintenances'!$G:$G,MATCH($A26,'[1]Définition Maintenances'!$K:$K,0)),AW26,INDEX('[1]Définition Maintenances'!$G:$G,MATCH($A26,'[1]Définition Maintenances'!$K:$K,0))+AW26),AW26))</f>
        <v>371</v>
      </c>
      <c r="AY26" s="26">
        <f>IF(ISNUMBER(VLOOKUP($D26,'Visu totale'!$D:$DH,AY$1,0)),AX26-VLOOKUP($D26,'Visu totale'!$D:$DH,AY$1,0),IF(LEFT(VLOOKUP($D26,'Visu totale'!$D:$DH,AY$1,0),1)="V",IF(AX26&gt;=INDEX('[1]Définition Maintenances'!$G:$G,MATCH($A26,'[1]Définition Maintenances'!$K:$K,0)),AX26,INDEX('[1]Définition Maintenances'!$G:$G,MATCH($A26,'[1]Définition Maintenances'!$K:$K,0))+AX26),AX26))</f>
        <v>371</v>
      </c>
      <c r="AZ26" s="26">
        <f>IF(ISNUMBER(VLOOKUP($D26,'Visu totale'!$D:$DH,AZ$1,0)),AY26-VLOOKUP($D26,'Visu totale'!$D:$DH,AZ$1,0),IF(LEFT(VLOOKUP($D26,'Visu totale'!$D:$DH,AZ$1,0),1)="V",IF(AY26&gt;=INDEX('[1]Définition Maintenances'!$G:$G,MATCH($A26,'[1]Définition Maintenances'!$K:$K,0)),AY26,INDEX('[1]Définition Maintenances'!$G:$G,MATCH($A26,'[1]Définition Maintenances'!$K:$K,0))+AY26),AY26))</f>
        <v>371</v>
      </c>
      <c r="BA26" s="27">
        <f>IF(ISNUMBER(VLOOKUP($D26,'Visu totale'!$D:$DH,BA$1,0)),AZ26-VLOOKUP($D26,'Visu totale'!$D:$DH,BA$1,0),IF(LEFT(VLOOKUP($D26,'Visu totale'!$D:$DH,BA$1,0),1)="V",IF(AZ26&gt;=INDEX('[1]Définition Maintenances'!$G:$G,MATCH($A26,'[1]Définition Maintenances'!$K:$K,0)),AZ26,INDEX('[1]Définition Maintenances'!$G:$G,MATCH($A26,'[1]Définition Maintenances'!$K:$K,0))+AZ26),AZ26))</f>
        <v>371</v>
      </c>
      <c r="BB26" s="25">
        <f>IF(ISNUMBER(VLOOKUP($D26,'Visu totale'!$D:$DH,BB$1,0)),BA26-VLOOKUP($D26,'Visu totale'!$D:$DH,BB$1,0),IF(LEFT(VLOOKUP($D26,'Visu totale'!$D:$DH,BB$1,0),1)="V",IF(BA26&gt;=INDEX('[1]Définition Maintenances'!$G:$G,MATCH($A26,'[1]Définition Maintenances'!$K:$K,0)),BA26,INDEX('[1]Définition Maintenances'!$G:$G,MATCH($A26,'[1]Définition Maintenances'!$K:$K,0))+BA26),BA26))</f>
        <v>371</v>
      </c>
      <c r="BC26" s="26">
        <f>IF(ISNUMBER(VLOOKUP($D26,'Visu totale'!$D:$DH,BC$1,0)),BB26-VLOOKUP($D26,'Visu totale'!$D:$DH,BC$1,0),IF(LEFT(VLOOKUP($D26,'Visu totale'!$D:$DH,BC$1,0),1)="V",IF(BB26&gt;=INDEX('[1]Définition Maintenances'!$G:$G,MATCH($A26,'[1]Définition Maintenances'!$K:$K,0)),BB26,INDEX('[1]Définition Maintenances'!$G:$G,MATCH($A26,'[1]Définition Maintenances'!$K:$K,0))+BB26),BB26))</f>
        <v>371</v>
      </c>
      <c r="BD26" s="26">
        <f>IF(ISNUMBER(VLOOKUP($D26,'Visu totale'!$D:$DH,BD$1,0)),BC26-VLOOKUP($D26,'Visu totale'!$D:$DH,BD$1,0),IF(LEFT(VLOOKUP($D26,'Visu totale'!$D:$DH,BD$1,0),1)="V",IF(BC26&gt;=INDEX('[1]Définition Maintenances'!$G:$G,MATCH($A26,'[1]Définition Maintenances'!$K:$K,0)),BC26,INDEX('[1]Définition Maintenances'!$G:$G,MATCH($A26,'[1]Définition Maintenances'!$K:$K,0))+BC26),BC26))</f>
        <v>371</v>
      </c>
      <c r="BE26" s="26">
        <f>IF(ISNUMBER(VLOOKUP($D26,'Visu totale'!$D:$DH,BE$1,0)),BD26-VLOOKUP($D26,'Visu totale'!$D:$DH,BE$1,0),IF(LEFT(VLOOKUP($D26,'Visu totale'!$D:$DH,BE$1,0),1)="V",IF(BD26&gt;=INDEX('[1]Définition Maintenances'!$G:$G,MATCH($A26,'[1]Définition Maintenances'!$K:$K,0)),BD26,INDEX('[1]Définition Maintenances'!$G:$G,MATCH($A26,'[1]Définition Maintenances'!$K:$K,0))+BD26),BD26))</f>
        <v>371</v>
      </c>
      <c r="BF26" s="26">
        <f>IF(ISNUMBER(VLOOKUP($D26,'Visu totale'!$D:$DH,BF$1,0)),BE26-VLOOKUP($D26,'Visu totale'!$D:$DH,BF$1,0),IF(LEFT(VLOOKUP($D26,'Visu totale'!$D:$DH,BF$1,0),1)="V",IF(BE26&gt;=INDEX('[1]Définition Maintenances'!$G:$G,MATCH($A26,'[1]Définition Maintenances'!$K:$K,0)),BE26,INDEX('[1]Définition Maintenances'!$G:$G,MATCH($A26,'[1]Définition Maintenances'!$K:$K,0))+BE26),BE26))</f>
        <v>371</v>
      </c>
      <c r="BG26" s="26">
        <f>IF(ISNUMBER(VLOOKUP($D26,'Visu totale'!$D:$DH,BG$1,0)),BF26-VLOOKUP($D26,'Visu totale'!$D:$DH,BG$1,0),IF(LEFT(VLOOKUP($D26,'Visu totale'!$D:$DH,BG$1,0),1)="V",IF(BF26&gt;=INDEX('[1]Définition Maintenances'!$G:$G,MATCH($A26,'[1]Définition Maintenances'!$K:$K,0)),BF26,INDEX('[1]Définition Maintenances'!$G:$G,MATCH($A26,'[1]Définition Maintenances'!$K:$K,0))+BF26),BF26))</f>
        <v>371</v>
      </c>
      <c r="BH26" s="26">
        <f>IF(ISNUMBER(VLOOKUP($D26,'Visu totale'!$D:$DH,BH$1,0)),BG26-VLOOKUP($D26,'Visu totale'!$D:$DH,BH$1,0),IF(LEFT(VLOOKUP($D26,'Visu totale'!$D:$DH,BH$1,0),1)="V",IF(BG26&gt;=INDEX('[1]Définition Maintenances'!$G:$G,MATCH($A26,'[1]Définition Maintenances'!$K:$K,0)),BG26,INDEX('[1]Définition Maintenances'!$G:$G,MATCH($A26,'[1]Définition Maintenances'!$K:$K,0))+BG26),BG26))</f>
        <v>371</v>
      </c>
      <c r="BI26" s="26">
        <f>IF(ISNUMBER(VLOOKUP($D26,'Visu totale'!$D:$DH,BI$1,0)),BH26-VLOOKUP($D26,'Visu totale'!$D:$DH,BI$1,0),IF(LEFT(VLOOKUP($D26,'Visu totale'!$D:$DH,BI$1,0),1)="V",IF(BH26&gt;=INDEX('[1]Définition Maintenances'!$G:$G,MATCH($A26,'[1]Définition Maintenances'!$K:$K,0)),BH26,INDEX('[1]Définition Maintenances'!$G:$G,MATCH($A26,'[1]Définition Maintenances'!$K:$K,0))+BH26),BH26))</f>
        <v>371</v>
      </c>
      <c r="BJ26" s="26">
        <f>IF(ISNUMBER(VLOOKUP($D26,'Visu totale'!$D:$DH,BJ$1,0)),BI26-VLOOKUP($D26,'Visu totale'!$D:$DH,BJ$1,0),IF(LEFT(VLOOKUP($D26,'Visu totale'!$D:$DH,BJ$1,0),1)="V",IF(BI26&gt;=INDEX('[1]Définition Maintenances'!$G:$G,MATCH($A26,'[1]Définition Maintenances'!$K:$K,0)),BI26,INDEX('[1]Définition Maintenances'!$G:$G,MATCH($A26,'[1]Définition Maintenances'!$K:$K,0))+BI26),BI26))</f>
        <v>371</v>
      </c>
      <c r="BK26" s="26">
        <f>IF(ISNUMBER(VLOOKUP($D26,'Visu totale'!$D:$DH,BK$1,0)),BJ26-VLOOKUP($D26,'Visu totale'!$D:$DH,BK$1,0),IF(LEFT(VLOOKUP($D26,'Visu totale'!$D:$DH,BK$1,0),1)="V",IF(BJ26&gt;=INDEX('[1]Définition Maintenances'!$G:$G,MATCH($A26,'[1]Définition Maintenances'!$K:$K,0)),BJ26,INDEX('[1]Définition Maintenances'!$G:$G,MATCH($A26,'[1]Définition Maintenances'!$K:$K,0))+BJ26),BJ26))</f>
        <v>371</v>
      </c>
      <c r="BL26" s="26">
        <f>IF(ISNUMBER(VLOOKUP($D26,'Visu totale'!$D:$DH,BL$1,0)),BK26-VLOOKUP($D26,'Visu totale'!$D:$DH,BL$1,0),IF(LEFT(VLOOKUP($D26,'Visu totale'!$D:$DH,BL$1,0),1)="V",IF(BK26&gt;=INDEX('[1]Définition Maintenances'!$G:$G,MATCH($A26,'[1]Définition Maintenances'!$K:$K,0)),BK26,INDEX('[1]Définition Maintenances'!$G:$G,MATCH($A26,'[1]Définition Maintenances'!$K:$K,0))+BK26),BK26))</f>
        <v>371</v>
      </c>
      <c r="BM26" s="27">
        <f>IF(ISNUMBER(VLOOKUP($D26,'Visu totale'!$D:$DH,BM$1,0)),BL26-VLOOKUP($D26,'Visu totale'!$D:$DH,BM$1,0),IF(LEFT(VLOOKUP($D26,'Visu totale'!$D:$DH,BM$1,0),1)="V",IF(BL26&gt;=INDEX('[1]Définition Maintenances'!$G:$G,MATCH($A26,'[1]Définition Maintenances'!$K:$K,0)),BL26,INDEX('[1]Définition Maintenances'!$G:$G,MATCH($A26,'[1]Définition Maintenances'!$K:$K,0))+BL26),BL26))</f>
        <v>371</v>
      </c>
      <c r="BN26" s="25">
        <f>IF(ISNUMBER(VLOOKUP($D26,'Visu totale'!$D:$DH,BN$1,0)),BM26-VLOOKUP($D26,'Visu totale'!$D:$DH,BN$1,0),IF(LEFT(VLOOKUP($D26,'Visu totale'!$D:$DH,BN$1,0),1)="V",IF(BM26&gt;=INDEX('[1]Définition Maintenances'!$G:$G,MATCH($A26,'[1]Définition Maintenances'!$K:$K,0)),BM26,INDEX('[1]Définition Maintenances'!$G:$G,MATCH($A26,'[1]Définition Maintenances'!$K:$K,0))+BM26),BM26))</f>
        <v>371</v>
      </c>
      <c r="BO26" s="26">
        <f>IF(ISNUMBER(VLOOKUP($D26,'Visu totale'!$D:$DH,BO$1,0)),BN26-VLOOKUP($D26,'Visu totale'!$D:$DH,BO$1,0),IF(LEFT(VLOOKUP($D26,'Visu totale'!$D:$DH,BO$1,0),1)="V",IF(BN26&gt;=INDEX('[1]Définition Maintenances'!$G:$G,MATCH($A26,'[1]Définition Maintenances'!$K:$K,0)),BN26,INDEX('[1]Définition Maintenances'!$G:$G,MATCH($A26,'[1]Définition Maintenances'!$K:$K,0))+BN26),BN26))</f>
        <v>371</v>
      </c>
      <c r="BP26" s="26">
        <f>IF(ISNUMBER(VLOOKUP($D26,'Visu totale'!$D:$DH,BP$1,0)),BO26-VLOOKUP($D26,'Visu totale'!$D:$DH,BP$1,0),IF(LEFT(VLOOKUP($D26,'Visu totale'!$D:$DH,BP$1,0),1)="V",IF(BO26&gt;=INDEX('[1]Définition Maintenances'!$G:$G,MATCH($A26,'[1]Définition Maintenances'!$K:$K,0)),BO26,INDEX('[1]Définition Maintenances'!$G:$G,MATCH($A26,'[1]Définition Maintenances'!$K:$K,0))+BO26),BO26))</f>
        <v>371</v>
      </c>
      <c r="BQ26" s="26">
        <f>IF(ISNUMBER(VLOOKUP($D26,'Visu totale'!$D:$DH,BQ$1,0)),BP26-VLOOKUP($D26,'Visu totale'!$D:$DH,BQ$1,0),IF(LEFT(VLOOKUP($D26,'Visu totale'!$D:$DH,BQ$1,0),1)="V",IF(BP26&gt;=INDEX('[1]Définition Maintenances'!$G:$G,MATCH($A26,'[1]Définition Maintenances'!$K:$K,0)),BP26,INDEX('[1]Définition Maintenances'!$G:$G,MATCH($A26,'[1]Définition Maintenances'!$K:$K,0))+BP26),BP26))</f>
        <v>371</v>
      </c>
      <c r="BR26" s="26">
        <f>IF(ISNUMBER(VLOOKUP($D26,'Visu totale'!$D:$DH,BR$1,0)),BQ26-VLOOKUP($D26,'Visu totale'!$D:$DH,BR$1,0),IF(LEFT(VLOOKUP($D26,'Visu totale'!$D:$DH,BR$1,0),1)="V",IF(BQ26&gt;=INDEX('[1]Définition Maintenances'!$G:$G,MATCH($A26,'[1]Définition Maintenances'!$K:$K,0)),BQ26,INDEX('[1]Définition Maintenances'!$G:$G,MATCH($A26,'[1]Définition Maintenances'!$K:$K,0))+BQ26),BQ26))</f>
        <v>371</v>
      </c>
      <c r="BS26" s="26">
        <f>IF(ISNUMBER(VLOOKUP($D26,'Visu totale'!$D:$DH,BS$1,0)),BR26-VLOOKUP($D26,'Visu totale'!$D:$DH,BS$1,0),IF(LEFT(VLOOKUP($D26,'Visu totale'!$D:$DH,BS$1,0),1)="V",IF(BR26&gt;=INDEX('[1]Définition Maintenances'!$G:$G,MATCH($A26,'[1]Définition Maintenances'!$K:$K,0)),BR26,INDEX('[1]Définition Maintenances'!$G:$G,MATCH($A26,'[1]Définition Maintenances'!$K:$K,0))+BR26),BR26))</f>
        <v>371</v>
      </c>
      <c r="BT26" s="26">
        <f>IF(ISNUMBER(VLOOKUP($D26,'Visu totale'!$D:$DH,BT$1,0)),BS26-VLOOKUP($D26,'Visu totale'!$D:$DH,BT$1,0),IF(LEFT(VLOOKUP($D26,'Visu totale'!$D:$DH,BT$1,0),1)="V",IF(BS26&gt;=INDEX('[1]Définition Maintenances'!$G:$G,MATCH($A26,'[1]Définition Maintenances'!$K:$K,0)),BS26,INDEX('[1]Définition Maintenances'!$G:$G,MATCH($A26,'[1]Définition Maintenances'!$K:$K,0))+BS26),BS26))</f>
        <v>371</v>
      </c>
      <c r="BU26" s="26">
        <f>IF(ISNUMBER(VLOOKUP($D26,'Visu totale'!$D:$DH,BU$1,0)),BT26-VLOOKUP($D26,'Visu totale'!$D:$DH,BU$1,0),IF(LEFT(VLOOKUP($D26,'Visu totale'!$D:$DH,BU$1,0),1)="V",IF(BT26&gt;=INDEX('[1]Définition Maintenances'!$G:$G,MATCH($A26,'[1]Définition Maintenances'!$K:$K,0)),BT26,INDEX('[1]Définition Maintenances'!$G:$G,MATCH($A26,'[1]Définition Maintenances'!$K:$K,0))+BT26),BT26))</f>
        <v>371</v>
      </c>
      <c r="BV26" s="26">
        <f>IF(ISNUMBER(VLOOKUP($D26,'Visu totale'!$D:$DH,BV$1,0)),BU26-VLOOKUP($D26,'Visu totale'!$D:$DH,BV$1,0),IF(LEFT(VLOOKUP($D26,'Visu totale'!$D:$DH,BV$1,0),1)="V",IF(BU26&gt;=INDEX('[1]Définition Maintenances'!$G:$G,MATCH($A26,'[1]Définition Maintenances'!$K:$K,0)),BU26,INDEX('[1]Définition Maintenances'!$G:$G,MATCH($A26,'[1]Définition Maintenances'!$K:$K,0))+BU26),BU26))</f>
        <v>371</v>
      </c>
      <c r="BW26" s="26">
        <f>IF(ISNUMBER(VLOOKUP($D26,'Visu totale'!$D:$DH,BW$1,0)),BV26-VLOOKUP($D26,'Visu totale'!$D:$DH,BW$1,0),IF(LEFT(VLOOKUP($D26,'Visu totale'!$D:$DH,BW$1,0),1)="V",IF(BV26&gt;=INDEX('[1]Définition Maintenances'!$G:$G,MATCH($A26,'[1]Définition Maintenances'!$K:$K,0)),BV26,INDEX('[1]Définition Maintenances'!$G:$G,MATCH($A26,'[1]Définition Maintenances'!$K:$K,0))+BV26),BV26))</f>
        <v>371</v>
      </c>
      <c r="BX26" s="26">
        <f>IF(ISNUMBER(VLOOKUP($D26,'Visu totale'!$D:$DH,BX$1,0)),BW26-VLOOKUP($D26,'Visu totale'!$D:$DH,BX$1,0),IF(LEFT(VLOOKUP($D26,'Visu totale'!$D:$DH,BX$1,0),1)="V",IF(BW26&gt;=INDEX('[1]Définition Maintenances'!$G:$G,MATCH($A26,'[1]Définition Maintenances'!$K:$K,0)),BW26,INDEX('[1]Définition Maintenances'!$G:$G,MATCH($A26,'[1]Définition Maintenances'!$K:$K,0))+BW26),BW26))</f>
        <v>371</v>
      </c>
      <c r="BY26" s="27">
        <f>IF(ISNUMBER(VLOOKUP($D26,'Visu totale'!$D:$DH,BY$1,0)),BX26-VLOOKUP($D26,'Visu totale'!$D:$DH,BY$1,0),IF(LEFT(VLOOKUP($D26,'Visu totale'!$D:$DH,BY$1,0),1)="V",IF(BX26&gt;=INDEX('[1]Définition Maintenances'!$G:$G,MATCH($A26,'[1]Définition Maintenances'!$K:$K,0)),BX26,INDEX('[1]Définition Maintenances'!$G:$G,MATCH($A26,'[1]Définition Maintenances'!$K:$K,0))+BX26),BX26))</f>
        <v>371</v>
      </c>
      <c r="BZ26" s="25">
        <f>IF(ISNUMBER(VLOOKUP($D26,'Visu totale'!$D:$DH,BZ$1,0)),BY26-VLOOKUP($D26,'Visu totale'!$D:$DH,BZ$1,0),IF(LEFT(VLOOKUP($D26,'Visu totale'!$D:$DH,BZ$1,0),1)="V",IF(BY26&gt;=INDEX('[1]Définition Maintenances'!$G:$G,MATCH($A26,'[1]Définition Maintenances'!$K:$K,0)),BY26,INDEX('[1]Définition Maintenances'!$G:$G,MATCH($A26,'[1]Définition Maintenances'!$K:$K,0))+BY26),BY26))</f>
        <v>371</v>
      </c>
      <c r="CA26" s="26">
        <f>IF(ISNUMBER(VLOOKUP($D26,'Visu totale'!$D:$DH,CA$1,0)),BZ26-VLOOKUP($D26,'Visu totale'!$D:$DH,CA$1,0),IF(LEFT(VLOOKUP($D26,'Visu totale'!$D:$DH,CA$1,0),1)="V",IF(BZ26&gt;=INDEX('[1]Définition Maintenances'!$G:$G,MATCH($A26,'[1]Définition Maintenances'!$K:$K,0)),BZ26,INDEX('[1]Définition Maintenances'!$G:$G,MATCH($A26,'[1]Définition Maintenances'!$K:$K,0))+BZ26),BZ26))</f>
        <v>371</v>
      </c>
      <c r="CB26" s="26">
        <f>IF(ISNUMBER(VLOOKUP($D26,'Visu totale'!$D:$DH,CB$1,0)),CA26-VLOOKUP($D26,'Visu totale'!$D:$DH,CB$1,0),IF(LEFT(VLOOKUP($D26,'Visu totale'!$D:$DH,CB$1,0),1)="V",IF(CA26&gt;=INDEX('[1]Définition Maintenances'!$G:$G,MATCH($A26,'[1]Définition Maintenances'!$K:$K,0)),CA26,INDEX('[1]Définition Maintenances'!$G:$G,MATCH($A26,'[1]Définition Maintenances'!$K:$K,0))+CA26),CA26))</f>
        <v>371</v>
      </c>
      <c r="CC26" s="26">
        <f>IF(ISNUMBER(VLOOKUP($D26,'Visu totale'!$D:$DH,CC$1,0)),CB26-VLOOKUP($D26,'Visu totale'!$D:$DH,CC$1,0),IF(LEFT(VLOOKUP($D26,'Visu totale'!$D:$DH,CC$1,0),1)="V",IF(CB26&gt;=INDEX('[1]Définition Maintenances'!$G:$G,MATCH($A26,'[1]Définition Maintenances'!$K:$K,0)),CB26,INDEX('[1]Définition Maintenances'!$G:$G,MATCH($A26,'[1]Définition Maintenances'!$K:$K,0))+CB26),CB26))</f>
        <v>371</v>
      </c>
      <c r="CD26" s="26">
        <f>IF(ISNUMBER(VLOOKUP($D26,'Visu totale'!$D:$DH,CD$1,0)),CC26-VLOOKUP($D26,'Visu totale'!$D:$DH,CD$1,0),IF(LEFT(VLOOKUP($D26,'Visu totale'!$D:$DH,CD$1,0),1)="V",IF(CC26&gt;=INDEX('[1]Définition Maintenances'!$G:$G,MATCH($A26,'[1]Définition Maintenances'!$K:$K,0)),CC26,INDEX('[1]Définition Maintenances'!$G:$G,MATCH($A26,'[1]Définition Maintenances'!$K:$K,0))+CC26),CC26))</f>
        <v>371</v>
      </c>
      <c r="CE26" s="26">
        <f>IF(ISNUMBER(VLOOKUP($D26,'Visu totale'!$D:$DH,CE$1,0)),CD26-VLOOKUP($D26,'Visu totale'!$D:$DH,CE$1,0),IF(LEFT(VLOOKUP($D26,'Visu totale'!$D:$DH,CE$1,0),1)="V",IF(CD26&gt;=INDEX('[1]Définition Maintenances'!$G:$G,MATCH($A26,'[1]Définition Maintenances'!$K:$K,0)),CD26,INDEX('[1]Définition Maintenances'!$G:$G,MATCH($A26,'[1]Définition Maintenances'!$K:$K,0))+CD26),CD26))</f>
        <v>371</v>
      </c>
      <c r="CF26" s="26">
        <f>IF(ISNUMBER(VLOOKUP($D26,'Visu totale'!$D:$DH,CF$1,0)),CE26-VLOOKUP($D26,'Visu totale'!$D:$DH,CF$1,0),IF(LEFT(VLOOKUP($D26,'Visu totale'!$D:$DH,CF$1,0),1)="V",IF(CE26&gt;=INDEX('[1]Définition Maintenances'!$G:$G,MATCH($A26,'[1]Définition Maintenances'!$K:$K,0)),CE26,INDEX('[1]Définition Maintenances'!$G:$G,MATCH($A26,'[1]Définition Maintenances'!$K:$K,0))+CE26),CE26))</f>
        <v>371</v>
      </c>
      <c r="CG26" s="26">
        <f>IF(ISNUMBER(VLOOKUP($D26,'Visu totale'!$D:$DH,CG$1,0)),CF26-VLOOKUP($D26,'Visu totale'!$D:$DH,CG$1,0),IF(LEFT(VLOOKUP($D26,'Visu totale'!$D:$DH,CG$1,0),1)="V",IF(CF26&gt;=INDEX('[1]Définition Maintenances'!$G:$G,MATCH($A26,'[1]Définition Maintenances'!$K:$K,0)),CF26,INDEX('[1]Définition Maintenances'!$G:$G,MATCH($A26,'[1]Définition Maintenances'!$K:$K,0))+CF26),CF26))</f>
        <v>371</v>
      </c>
      <c r="CH26" s="26">
        <f>IF(ISNUMBER(VLOOKUP($D26,'Visu totale'!$D:$DH,CH$1,0)),CG26-VLOOKUP($D26,'Visu totale'!$D:$DH,CH$1,0),IF(LEFT(VLOOKUP($D26,'Visu totale'!$D:$DH,CH$1,0),1)="V",IF(CG26&gt;=INDEX('[1]Définition Maintenances'!$G:$G,MATCH($A26,'[1]Définition Maintenances'!$K:$K,0)),CG26,INDEX('[1]Définition Maintenances'!$G:$G,MATCH($A26,'[1]Définition Maintenances'!$K:$K,0))+CG26),CG26))</f>
        <v>371</v>
      </c>
      <c r="CI26" s="26">
        <f>IF(ISNUMBER(VLOOKUP($D26,'Visu totale'!$D:$DH,CI$1,0)),CH26-VLOOKUP($D26,'Visu totale'!$D:$DH,CI$1,0),IF(LEFT(VLOOKUP($D26,'Visu totale'!$D:$DH,CI$1,0),1)="V",IF(CH26&gt;=INDEX('[1]Définition Maintenances'!$G:$G,MATCH($A26,'[1]Définition Maintenances'!$K:$K,0)),CH26,INDEX('[1]Définition Maintenances'!$G:$G,MATCH($A26,'[1]Définition Maintenances'!$K:$K,0))+CH26),CH26))</f>
        <v>371</v>
      </c>
      <c r="CJ26" s="26">
        <f>IF(ISNUMBER(VLOOKUP($D26,'Visu totale'!$D:$DH,CJ$1,0)),CI26-VLOOKUP($D26,'Visu totale'!$D:$DH,CJ$1,0),IF(LEFT(VLOOKUP($D26,'Visu totale'!$D:$DH,CJ$1,0),1)="V",IF(CI26&gt;=INDEX('[1]Définition Maintenances'!$G:$G,MATCH($A26,'[1]Définition Maintenances'!$K:$K,0)),CI26,INDEX('[1]Définition Maintenances'!$G:$G,MATCH($A26,'[1]Définition Maintenances'!$K:$K,0))+CI26),CI26))</f>
        <v>371</v>
      </c>
      <c r="CK26" s="27">
        <f>IF(ISNUMBER(VLOOKUP($D26,'Visu totale'!$D:$DH,CK$1,0)),CJ26-VLOOKUP($D26,'Visu totale'!$D:$DH,CK$1,0),IF(LEFT(VLOOKUP($D26,'Visu totale'!$D:$DH,CK$1,0),1)="V",IF(CJ26&gt;=INDEX('[1]Définition Maintenances'!$G:$G,MATCH($A26,'[1]Définition Maintenances'!$K:$K,0)),CJ26,INDEX('[1]Définition Maintenances'!$G:$G,MATCH($A26,'[1]Définition Maintenances'!$K:$K,0))+CJ26),CJ26))</f>
        <v>371</v>
      </c>
      <c r="CL26" s="25">
        <f>IF(ISNUMBER(VLOOKUP($D26,'Visu totale'!$D:$DH,CL$1,0)),CK26-VLOOKUP($D26,'Visu totale'!$D:$DH,CL$1,0),IF(LEFT(VLOOKUP($D26,'Visu totale'!$D:$DH,CL$1,0),1)="V",IF(CK26&gt;=INDEX('[1]Définition Maintenances'!$G:$G,MATCH($A26,'[1]Définition Maintenances'!$K:$K,0)),CK26,INDEX('[1]Définition Maintenances'!$G:$G,MATCH($A26,'[1]Définition Maintenances'!$K:$K,0))+CK26),CK26))</f>
        <v>371</v>
      </c>
      <c r="CM26" s="26">
        <f>IF(ISNUMBER(VLOOKUP($D26,'Visu totale'!$D:$DH,CM$1,0)),CL26-VLOOKUP($D26,'Visu totale'!$D:$DH,CM$1,0),IF(LEFT(VLOOKUP($D26,'Visu totale'!$D:$DH,CM$1,0),1)="V",IF(CL26&gt;=INDEX('[1]Définition Maintenances'!$G:$G,MATCH($A26,'[1]Définition Maintenances'!$K:$K,0)),CL26,INDEX('[1]Définition Maintenances'!$G:$G,MATCH($A26,'[1]Définition Maintenances'!$K:$K,0))+CL26),CL26))</f>
        <v>371</v>
      </c>
      <c r="CN26" s="26">
        <f>IF(ISNUMBER(VLOOKUP($D26,'Visu totale'!$D:$DH,CN$1,0)),CM26-VLOOKUP($D26,'Visu totale'!$D:$DH,CN$1,0),IF(LEFT(VLOOKUP($D26,'Visu totale'!$D:$DH,CN$1,0),1)="V",IF(CM26&gt;=INDEX('[1]Définition Maintenances'!$G:$G,MATCH($A26,'[1]Définition Maintenances'!$K:$K,0)),CM26,INDEX('[1]Définition Maintenances'!$G:$G,MATCH($A26,'[1]Définition Maintenances'!$K:$K,0))+CM26),CM26))</f>
        <v>371</v>
      </c>
      <c r="CO26" s="26">
        <f>IF(ISNUMBER(VLOOKUP($D26,'Visu totale'!$D:$DH,CO$1,0)),CN26-VLOOKUP($D26,'Visu totale'!$D:$DH,CO$1,0),IF(LEFT(VLOOKUP($D26,'Visu totale'!$D:$DH,CO$1,0),1)="V",IF(CN26&gt;=INDEX('[1]Définition Maintenances'!$G:$G,MATCH($A26,'[1]Définition Maintenances'!$K:$K,0)),CN26,INDEX('[1]Définition Maintenances'!$G:$G,MATCH($A26,'[1]Définition Maintenances'!$K:$K,0))+CN26),CN26))</f>
        <v>371</v>
      </c>
      <c r="CP26" s="26">
        <f>IF(ISNUMBER(VLOOKUP($D26,'Visu totale'!$D:$DH,CP$1,0)),CO26-VLOOKUP($D26,'Visu totale'!$D:$DH,CP$1,0),IF(LEFT(VLOOKUP($D26,'Visu totale'!$D:$DH,CP$1,0),1)="V",IF(CO26&gt;=INDEX('[1]Définition Maintenances'!$G:$G,MATCH($A26,'[1]Définition Maintenances'!$K:$K,0)),CO26,INDEX('[1]Définition Maintenances'!$G:$G,MATCH($A26,'[1]Définition Maintenances'!$K:$K,0))+CO26),CO26))</f>
        <v>371</v>
      </c>
      <c r="CQ26" s="26">
        <f>IF(ISNUMBER(VLOOKUP($D26,'Visu totale'!$D:$DH,CQ$1,0)),CP26-VLOOKUP($D26,'Visu totale'!$D:$DH,CQ$1,0),IF(LEFT(VLOOKUP($D26,'Visu totale'!$D:$DH,CQ$1,0),1)="V",IF(CP26&gt;=INDEX('[1]Définition Maintenances'!$G:$G,MATCH($A26,'[1]Définition Maintenances'!$K:$K,0)),CP26,INDEX('[1]Définition Maintenances'!$G:$G,MATCH($A26,'[1]Définition Maintenances'!$K:$K,0))+CP26),CP26))</f>
        <v>371</v>
      </c>
      <c r="CR26" s="26">
        <f>IF(ISNUMBER(VLOOKUP($D26,'Visu totale'!$D:$DH,CR$1,0)),CQ26-VLOOKUP($D26,'Visu totale'!$D:$DH,CR$1,0),IF(LEFT(VLOOKUP($D26,'Visu totale'!$D:$DH,CR$1,0),1)="V",IF(CQ26&gt;=INDEX('[1]Définition Maintenances'!$G:$G,MATCH($A26,'[1]Définition Maintenances'!$K:$K,0)),CQ26,INDEX('[1]Définition Maintenances'!$G:$G,MATCH($A26,'[1]Définition Maintenances'!$K:$K,0))+CQ26),CQ26))</f>
        <v>371</v>
      </c>
      <c r="CS26" s="26">
        <f>IF(ISNUMBER(VLOOKUP($D26,'Visu totale'!$D:$DH,CS$1,0)),CR26-VLOOKUP($D26,'Visu totale'!$D:$DH,CS$1,0),IF(LEFT(VLOOKUP($D26,'Visu totale'!$D:$DH,CS$1,0),1)="V",IF(CR26&gt;=INDEX('[1]Définition Maintenances'!$G:$G,MATCH($A26,'[1]Définition Maintenances'!$K:$K,0)),CR26,INDEX('[1]Définition Maintenances'!$G:$G,MATCH($A26,'[1]Définition Maintenances'!$K:$K,0))+CR26),CR26))</f>
        <v>371</v>
      </c>
      <c r="CT26" s="26">
        <f>IF(ISNUMBER(VLOOKUP($D26,'Visu totale'!$D:$DH,CT$1,0)),CS26-VLOOKUP($D26,'Visu totale'!$D:$DH,CT$1,0),IF(LEFT(VLOOKUP($D26,'Visu totale'!$D:$DH,CT$1,0),1)="V",IF(CS26&gt;=INDEX('[1]Définition Maintenances'!$G:$G,MATCH($A26,'[1]Définition Maintenances'!$K:$K,0)),CS26,INDEX('[1]Définition Maintenances'!$G:$G,MATCH($A26,'[1]Définition Maintenances'!$K:$K,0))+CS26),CS26))</f>
        <v>371</v>
      </c>
      <c r="CU26" s="26">
        <f>IF(ISNUMBER(VLOOKUP($D26,'Visu totale'!$D:$DH,CU$1,0)),CT26-VLOOKUP($D26,'Visu totale'!$D:$DH,CU$1,0),IF(LEFT(VLOOKUP($D26,'Visu totale'!$D:$DH,CU$1,0),1)="V",IF(CT26&gt;=INDEX('[1]Définition Maintenances'!$G:$G,MATCH($A26,'[1]Définition Maintenances'!$K:$K,0)),CT26,INDEX('[1]Définition Maintenances'!$G:$G,MATCH($A26,'[1]Définition Maintenances'!$K:$K,0))+CT26),CT26))</f>
        <v>371</v>
      </c>
      <c r="CV26" s="26">
        <f>IF(ISNUMBER(VLOOKUP($D26,'Visu totale'!$D:$DH,CV$1,0)),CU26-VLOOKUP($D26,'Visu totale'!$D:$DH,CV$1,0),IF(LEFT(VLOOKUP($D26,'Visu totale'!$D:$DH,CV$1,0),1)="V",IF(CU26&gt;=INDEX('[1]Définition Maintenances'!$G:$G,MATCH($A26,'[1]Définition Maintenances'!$K:$K,0)),CU26,INDEX('[1]Définition Maintenances'!$G:$G,MATCH($A26,'[1]Définition Maintenances'!$K:$K,0))+CU26),CU26))</f>
        <v>371</v>
      </c>
      <c r="CW26" s="27">
        <f>IF(ISNUMBER(VLOOKUP($D26,'Visu totale'!$D:$DH,CW$1,0)),CV26-VLOOKUP($D26,'Visu totale'!$D:$DH,CW$1,0),IF(LEFT(VLOOKUP($D26,'Visu totale'!$D:$DH,CW$1,0),1)="V",IF(CV26&gt;=INDEX('[1]Définition Maintenances'!$G:$G,MATCH($A26,'[1]Définition Maintenances'!$K:$K,0)),CV26,INDEX('[1]Définition Maintenances'!$G:$G,MATCH($A26,'[1]Définition Maintenances'!$K:$K,0))+CV26),CV26))</f>
        <v>371</v>
      </c>
      <c r="CX26" s="25">
        <f>IF(ISNUMBER(VLOOKUP($D26,'Visu totale'!$D:$DH,CX$1,0)),CW26-VLOOKUP($D26,'Visu totale'!$D:$DH,CX$1,0),IF(LEFT(VLOOKUP($D26,'Visu totale'!$D:$DH,CX$1,0),1)="V",IF(CW26&gt;=INDEX('[1]Définition Maintenances'!$G:$G,MATCH($A26,'[1]Définition Maintenances'!$K:$K,0)),CW26,INDEX('[1]Définition Maintenances'!$G:$G,MATCH($A26,'[1]Définition Maintenances'!$K:$K,0))+CW26),CW26))</f>
        <v>371</v>
      </c>
      <c r="CY26" s="26">
        <f>IF(ISNUMBER(VLOOKUP($D26,'Visu totale'!$D:$DH,CY$1,0)),CX26-VLOOKUP($D26,'Visu totale'!$D:$DH,CY$1,0),IF(LEFT(VLOOKUP($D26,'Visu totale'!$D:$DH,CY$1,0),1)="V",IF(CX26&gt;=INDEX('[1]Définition Maintenances'!$G:$G,MATCH($A26,'[1]Définition Maintenances'!$K:$K,0)),CX26,INDEX('[1]Définition Maintenances'!$G:$G,MATCH($A26,'[1]Définition Maintenances'!$K:$K,0))+CX26),CX26))</f>
        <v>371</v>
      </c>
      <c r="CZ26" s="26">
        <f>IF(ISNUMBER(VLOOKUP($D26,'Visu totale'!$D:$DH,CZ$1,0)),CY26-VLOOKUP($D26,'Visu totale'!$D:$DH,CZ$1,0),IF(LEFT(VLOOKUP($D26,'Visu totale'!$D:$DH,CZ$1,0),1)="V",IF(CY26&gt;=INDEX('[1]Définition Maintenances'!$G:$G,MATCH($A26,'[1]Définition Maintenances'!$K:$K,0)),CY26,INDEX('[1]Définition Maintenances'!$G:$G,MATCH($A26,'[1]Définition Maintenances'!$K:$K,0))+CY26),CY26))</f>
        <v>371</v>
      </c>
      <c r="DA26" s="26">
        <f>IF(ISNUMBER(VLOOKUP($D26,'Visu totale'!$D:$DH,DA$1,0)),CZ26-VLOOKUP($D26,'Visu totale'!$D:$DH,DA$1,0),IF(LEFT(VLOOKUP($D26,'Visu totale'!$D:$DH,DA$1,0),1)="V",IF(CZ26&gt;=INDEX('[1]Définition Maintenances'!$G:$G,MATCH($A26,'[1]Définition Maintenances'!$K:$K,0)),CZ26,INDEX('[1]Définition Maintenances'!$G:$G,MATCH($A26,'[1]Définition Maintenances'!$K:$K,0))+CZ26),CZ26))</f>
        <v>371</v>
      </c>
      <c r="DB26" s="26">
        <f>IF(ISNUMBER(VLOOKUP($D26,'Visu totale'!$D:$DH,DB$1,0)),DA26-VLOOKUP($D26,'Visu totale'!$D:$DH,DB$1,0),IF(LEFT(VLOOKUP($D26,'Visu totale'!$D:$DH,DB$1,0),1)="V",IF(DA26&gt;=INDEX('[1]Définition Maintenances'!$G:$G,MATCH($A26,'[1]Définition Maintenances'!$K:$K,0)),DA26,INDEX('[1]Définition Maintenances'!$G:$G,MATCH($A26,'[1]Définition Maintenances'!$K:$K,0))+DA26),DA26))</f>
        <v>371</v>
      </c>
      <c r="DC26" s="26">
        <f>IF(ISNUMBER(VLOOKUP($D26,'Visu totale'!$D:$DH,DC$1,0)),DB26-VLOOKUP($D26,'Visu totale'!$D:$DH,DC$1,0),IF(LEFT(VLOOKUP($D26,'Visu totale'!$D:$DH,DC$1,0),1)="V",IF(DB26&gt;=INDEX('[1]Définition Maintenances'!$G:$G,MATCH($A26,'[1]Définition Maintenances'!$K:$K,0)),DB26,INDEX('[1]Définition Maintenances'!$G:$G,MATCH($A26,'[1]Définition Maintenances'!$K:$K,0))+DB26),DB26))</f>
        <v>371</v>
      </c>
      <c r="DD26" s="26">
        <f>IF(ISNUMBER(VLOOKUP($D26,'Visu totale'!$D:$DH,DD$1,0)),DC26-VLOOKUP($D26,'Visu totale'!$D:$DH,DD$1,0),IF(LEFT(VLOOKUP($D26,'Visu totale'!$D:$DH,DD$1,0),1)="V",IF(DC26&gt;=INDEX('[1]Définition Maintenances'!$G:$G,MATCH($A26,'[1]Définition Maintenances'!$K:$K,0)),DC26,INDEX('[1]Définition Maintenances'!$G:$G,MATCH($A26,'[1]Définition Maintenances'!$K:$K,0))+DC26),DC26))</f>
        <v>371</v>
      </c>
      <c r="DE26" s="26">
        <f>IF(ISNUMBER(VLOOKUP($D26,'Visu totale'!$D:$DH,DE$1,0)),DD26-VLOOKUP($D26,'Visu totale'!$D:$DH,DE$1,0),IF(LEFT(VLOOKUP($D26,'Visu totale'!$D:$DH,DE$1,0),1)="V",IF(DD26&gt;=INDEX('[1]Définition Maintenances'!$G:$G,MATCH($A26,'[1]Définition Maintenances'!$K:$K,0)),DD26,INDEX('[1]Définition Maintenances'!$G:$G,MATCH($A26,'[1]Définition Maintenances'!$K:$K,0))+DD26),DD26))</f>
        <v>371</v>
      </c>
      <c r="DF26" s="26">
        <f>IF(ISNUMBER(VLOOKUP($D26,'Visu totale'!$D:$DH,DF$1,0)),DE26-VLOOKUP($D26,'Visu totale'!$D:$DH,DF$1,0),IF(LEFT(VLOOKUP($D26,'Visu totale'!$D:$DH,DF$1,0),1)="V",IF(DE26&gt;=INDEX('[1]Définition Maintenances'!$G:$G,MATCH($A26,'[1]Définition Maintenances'!$K:$K,0)),DE26,INDEX('[1]Définition Maintenances'!$G:$G,MATCH($A26,'[1]Définition Maintenances'!$K:$K,0))+DE26),DE26))</f>
        <v>371</v>
      </c>
      <c r="DG26" s="26">
        <f>IF(ISNUMBER(VLOOKUP($D26,'Visu totale'!$D:$DH,DG$1,0)),DF26-VLOOKUP($D26,'Visu totale'!$D:$DH,DG$1,0),IF(LEFT(VLOOKUP($D26,'Visu totale'!$D:$DH,DG$1,0),1)="V",IF(DF26&gt;=INDEX('[1]Définition Maintenances'!$G:$G,MATCH($A26,'[1]Définition Maintenances'!$K:$K,0)),DF26,INDEX('[1]Définition Maintenances'!$G:$G,MATCH($A26,'[1]Définition Maintenances'!$K:$K,0))+DF26),DF26))</f>
        <v>371</v>
      </c>
      <c r="DH26" s="26">
        <f>IF(ISNUMBER(VLOOKUP($D26,'Visu totale'!$D:$DH,DH$1,0)),DG26-VLOOKUP($D26,'Visu totale'!$D:$DH,DH$1,0),IF(LEFT(VLOOKUP($D26,'Visu totale'!$D:$DH,DH$1,0),1)="V",IF(DG26&gt;=INDEX('[1]Définition Maintenances'!$G:$G,MATCH($A26,'[1]Définition Maintenances'!$K:$K,0)),DG26,INDEX('[1]Définition Maintenances'!$G:$G,MATCH($A26,'[1]Définition Maintenances'!$K:$K,0))+DG26),DG26))</f>
        <v>371</v>
      </c>
      <c r="DI26" s="27">
        <f>IF(ISNUMBER(VLOOKUP($D26,'Visu totale'!$D:$DH,DI$1,0)),DH26-VLOOKUP($D26,'Visu totale'!$D:$DH,DI$1,0),IF(LEFT(VLOOKUP($D26,'Visu totale'!$D:$DH,DI$1,0),1)="V",IF(DH26&gt;=INDEX('[1]Définition Maintenances'!$G:$G,MATCH($A26,'[1]Définition Maintenances'!$K:$K,0)),DH26,INDEX('[1]Définition Maintenances'!$G:$G,MATCH($A26,'[1]Définition Maintenances'!$K:$K,0))+DH26),DH26))</f>
        <v>371</v>
      </c>
    </row>
    <row r="27" spans="1:113" x14ac:dyDescent="0.25">
      <c r="A27" s="13" t="str">
        <f t="shared" si="0"/>
        <v>V10D</v>
      </c>
      <c r="B27" s="13" t="str">
        <f>VLOOKUP(D27,'[1]Avions (Potentiels)'!$B$2:$H$128,7,FALSE)</f>
        <v>V10</v>
      </c>
      <c r="C27" s="13"/>
      <c r="D27" s="16" t="s">
        <v>30</v>
      </c>
      <c r="E27" s="13">
        <f>IFERROR(VALUE(SUBSTITUTE(VLOOKUP(D27,'[1]Avions (Potentiels)'!$B:$E,4,0),".",",")),VALUE(VLOOKUP(D27,'[1]Avions (Potentiels)'!$B:$E,4,0)))</f>
        <v>358</v>
      </c>
      <c r="F27" s="25">
        <f>IF(ISNUMBER(VLOOKUP($D27,'Visu totale'!$D:$DH,F$1,0)),E27-VLOOKUP($D27,'Visu totale'!$D:$DH,F$1,0),IF(LEFT(VLOOKUP($D27,'Visu totale'!$D:$DH,F$1,0),1)="V",IF(E27&gt;=INDEX('[1]Définition Maintenances'!$G:$G,MATCH($A27,'[1]Définition Maintenances'!$K:$K,0)),E27,INDEX('[1]Définition Maintenances'!$G:$G,MATCH($A27,'[1]Définition Maintenances'!$K:$K,0))+E27),E27))</f>
        <v>358</v>
      </c>
      <c r="G27" s="26">
        <f>IF(ISNUMBER(VLOOKUP($D27,'Visu totale'!$D:$DH,G$1,0)),F27-VLOOKUP($D27,'Visu totale'!$D:$DH,G$1,0),IF(LEFT(VLOOKUP($D27,'Visu totale'!$D:$DH,G$1,0),1)="V",IF(F27&gt;=INDEX('[1]Définition Maintenances'!$G:$G,MATCH($A27,'[1]Définition Maintenances'!$K:$K,0)),F27,INDEX('[1]Définition Maintenances'!$G:$G,MATCH($A27,'[1]Définition Maintenances'!$K:$K,0))+F27),F27))</f>
        <v>358</v>
      </c>
      <c r="H27" s="26">
        <f>IF(ISNUMBER(VLOOKUP($D27,'Visu totale'!$D:$DH,H$1,0)),G27-VLOOKUP($D27,'Visu totale'!$D:$DH,H$1,0),IF(LEFT(VLOOKUP($D27,'Visu totale'!$D:$DH,H$1,0),1)="V",IF(G27&gt;=INDEX('[1]Définition Maintenances'!$G:$G,MATCH($A27,'[1]Définition Maintenances'!$K:$K,0)),G27,INDEX('[1]Définition Maintenances'!$G:$G,MATCH($A27,'[1]Définition Maintenances'!$K:$K,0))+G27),G27))</f>
        <v>358</v>
      </c>
      <c r="I27" s="26">
        <f>IF(ISNUMBER(VLOOKUP($D27,'Visu totale'!$D:$DH,I$1,0)),H27-VLOOKUP($D27,'Visu totale'!$D:$DH,I$1,0),IF(LEFT(VLOOKUP($D27,'Visu totale'!$D:$DH,I$1,0),1)="V",IF(H27&gt;=INDEX('[1]Définition Maintenances'!$G:$G,MATCH($A27,'[1]Définition Maintenances'!$K:$K,0)),H27,INDEX('[1]Définition Maintenances'!$G:$G,MATCH($A27,'[1]Définition Maintenances'!$K:$K,0))+H27),H27))</f>
        <v>358</v>
      </c>
      <c r="J27" s="26">
        <f>IF(ISNUMBER(VLOOKUP($D27,'Visu totale'!$D:$DH,J$1,0)),I27-VLOOKUP($D27,'Visu totale'!$D:$DH,J$1,0),IF(LEFT(VLOOKUP($D27,'Visu totale'!$D:$DH,J$1,0),1)="V",IF(I27&gt;=INDEX('[1]Définition Maintenances'!$G:$G,MATCH($A27,'[1]Définition Maintenances'!$K:$K,0)),I27,INDEX('[1]Définition Maintenances'!$G:$G,MATCH($A27,'[1]Définition Maintenances'!$K:$K,0))+I27),I27))</f>
        <v>358</v>
      </c>
      <c r="K27" s="26">
        <f>IF(ISNUMBER(VLOOKUP($D27,'Visu totale'!$D:$DH,K$1,0)),J27-VLOOKUP($D27,'Visu totale'!$D:$DH,K$1,0),IF(LEFT(VLOOKUP($D27,'Visu totale'!$D:$DH,K$1,0),1)="V",IF(J27&gt;=INDEX('[1]Définition Maintenances'!$G:$G,MATCH($A27,'[1]Définition Maintenances'!$K:$K,0)),J27,INDEX('[1]Définition Maintenances'!$G:$G,MATCH($A27,'[1]Définition Maintenances'!$K:$K,0))+J27),J27))</f>
        <v>358</v>
      </c>
      <c r="L27" s="26">
        <f>IF(ISNUMBER(VLOOKUP($D27,'Visu totale'!$D:$DH,L$1,0)),K27-VLOOKUP($D27,'Visu totale'!$D:$DH,L$1,0),IF(LEFT(VLOOKUP($D27,'Visu totale'!$D:$DH,L$1,0),1)="V",IF(K27&gt;=INDEX('[1]Définition Maintenances'!$G:$G,MATCH($A27,'[1]Définition Maintenances'!$K:$K,0)),K27,INDEX('[1]Définition Maintenances'!$G:$G,MATCH($A27,'[1]Définition Maintenances'!$K:$K,0))+K27),K27))</f>
        <v>358</v>
      </c>
      <c r="M27" s="26">
        <f>IF(ISNUMBER(VLOOKUP($D27,'Visu totale'!$D:$DH,M$1,0)),L27-VLOOKUP($D27,'Visu totale'!$D:$DH,M$1,0),IF(LEFT(VLOOKUP($D27,'Visu totale'!$D:$DH,M$1,0),1)="V",IF(L27&gt;=INDEX('[1]Définition Maintenances'!$G:$G,MATCH($A27,'[1]Définition Maintenances'!$K:$K,0)),L27,INDEX('[1]Définition Maintenances'!$G:$G,MATCH($A27,'[1]Définition Maintenances'!$K:$K,0))+L27),L27))</f>
        <v>358</v>
      </c>
      <c r="N27" s="26">
        <f>IF(ISNUMBER(VLOOKUP($D27,'Visu totale'!$D:$DH,N$1,0)),M27-VLOOKUP($D27,'Visu totale'!$D:$DH,N$1,0),IF(LEFT(VLOOKUP($D27,'Visu totale'!$D:$DH,N$1,0),1)="V",IF(M27&gt;=INDEX('[1]Définition Maintenances'!$G:$G,MATCH($A27,'[1]Définition Maintenances'!$K:$K,0)),M27,INDEX('[1]Définition Maintenances'!$G:$G,MATCH($A27,'[1]Définition Maintenances'!$K:$K,0))+M27),M27))</f>
        <v>358</v>
      </c>
      <c r="O27" s="26">
        <f>IF(ISNUMBER(VLOOKUP($D27,'Visu totale'!$D:$DH,O$1,0)),N27-VLOOKUP($D27,'Visu totale'!$D:$DH,O$1,0),IF(LEFT(VLOOKUP($D27,'Visu totale'!$D:$DH,O$1,0),1)="V",IF(N27&gt;=INDEX('[1]Définition Maintenances'!$G:$G,MATCH($A27,'[1]Définition Maintenances'!$K:$K,0)),N27,INDEX('[1]Définition Maintenances'!$G:$G,MATCH($A27,'[1]Définition Maintenances'!$K:$K,0))+N27),N27))</f>
        <v>358</v>
      </c>
      <c r="P27" s="26">
        <f>IF(ISNUMBER(VLOOKUP($D27,'Visu totale'!$D:$DH,P$1,0)),O27-VLOOKUP($D27,'Visu totale'!$D:$DH,P$1,0),IF(LEFT(VLOOKUP($D27,'Visu totale'!$D:$DH,P$1,0),1)="V",IF(O27&gt;=INDEX('[1]Définition Maintenances'!$G:$G,MATCH($A27,'[1]Définition Maintenances'!$K:$K,0)),O27,INDEX('[1]Définition Maintenances'!$G:$G,MATCH($A27,'[1]Définition Maintenances'!$K:$K,0))+O27),O27))</f>
        <v>358</v>
      </c>
      <c r="Q27" s="27">
        <f>IF(ISNUMBER(VLOOKUP($D27,'Visu totale'!$D:$DH,Q$1,0)),P27-VLOOKUP($D27,'Visu totale'!$D:$DH,Q$1,0),IF(LEFT(VLOOKUP($D27,'Visu totale'!$D:$DH,Q$1,0),1)="V",IF(P27&gt;=INDEX('[1]Définition Maintenances'!$G:$G,MATCH($A27,'[1]Définition Maintenances'!$K:$K,0)),P27,INDEX('[1]Définition Maintenances'!$G:$G,MATCH($A27,'[1]Définition Maintenances'!$K:$K,0))+P27),P27))</f>
        <v>358</v>
      </c>
      <c r="R27" s="25">
        <f>IF(ISNUMBER(VLOOKUP($D27,'Visu totale'!$D:$DH,R$1,0)),Q27-VLOOKUP($D27,'Visu totale'!$D:$DH,R$1,0),IF(LEFT(VLOOKUP($D27,'Visu totale'!$D:$DH,R$1,0),1)="V",IF(Q27&gt;=INDEX('[1]Définition Maintenances'!$G:$G,MATCH($A27,'[1]Définition Maintenances'!$K:$K,0)),Q27,INDEX('[1]Définition Maintenances'!$G:$G,MATCH($A27,'[1]Définition Maintenances'!$K:$K,0))+Q27),Q27))</f>
        <v>358</v>
      </c>
      <c r="S27" s="26">
        <f>IF(ISNUMBER(VLOOKUP($D27,'Visu totale'!$D:$DH,S$1,0)),R27-VLOOKUP($D27,'Visu totale'!$D:$DH,S$1,0),IF(LEFT(VLOOKUP($D27,'Visu totale'!$D:$DH,S$1,0),1)="V",IF(R27&gt;=INDEX('[1]Définition Maintenances'!$G:$G,MATCH($A27,'[1]Définition Maintenances'!$K:$K,0)),R27,INDEX('[1]Définition Maintenances'!$G:$G,MATCH($A27,'[1]Définition Maintenances'!$K:$K,0))+R27),R27))</f>
        <v>358</v>
      </c>
      <c r="T27" s="26">
        <f>IF(ISNUMBER(VLOOKUP($D27,'Visu totale'!$D:$DH,T$1,0)),S27-VLOOKUP($D27,'Visu totale'!$D:$DH,T$1,0),IF(LEFT(VLOOKUP($D27,'Visu totale'!$D:$DH,T$1,0),1)="V",IF(S27&gt;=INDEX('[1]Définition Maintenances'!$G:$G,MATCH($A27,'[1]Définition Maintenances'!$K:$K,0)),S27,INDEX('[1]Définition Maintenances'!$G:$G,MATCH($A27,'[1]Définition Maintenances'!$K:$K,0))+S27),S27))</f>
        <v>358</v>
      </c>
      <c r="U27" s="26">
        <f>IF(ISNUMBER(VLOOKUP($D27,'Visu totale'!$D:$DH,U$1,0)),T27-VLOOKUP($D27,'Visu totale'!$D:$DH,U$1,0),IF(LEFT(VLOOKUP($D27,'Visu totale'!$D:$DH,U$1,0),1)="V",IF(T27&gt;=INDEX('[1]Définition Maintenances'!$G:$G,MATCH($A27,'[1]Définition Maintenances'!$K:$K,0)),T27,INDEX('[1]Définition Maintenances'!$G:$G,MATCH($A27,'[1]Définition Maintenances'!$K:$K,0))+T27),T27))</f>
        <v>358</v>
      </c>
      <c r="V27" s="26">
        <f>IF(ISNUMBER(VLOOKUP($D27,'Visu totale'!$D:$DH,V$1,0)),U27-VLOOKUP($D27,'Visu totale'!$D:$DH,V$1,0),IF(LEFT(VLOOKUP($D27,'Visu totale'!$D:$DH,V$1,0),1)="V",IF(U27&gt;=INDEX('[1]Définition Maintenances'!$G:$G,MATCH($A27,'[1]Définition Maintenances'!$K:$K,0)),U27,INDEX('[1]Définition Maintenances'!$G:$G,MATCH($A27,'[1]Définition Maintenances'!$K:$K,0))+U27),U27))</f>
        <v>358</v>
      </c>
      <c r="W27" s="26">
        <f>IF(ISNUMBER(VLOOKUP($D27,'Visu totale'!$D:$DH,W$1,0)),V27-VLOOKUP($D27,'Visu totale'!$D:$DH,W$1,0),IF(LEFT(VLOOKUP($D27,'Visu totale'!$D:$DH,W$1,0),1)="V",IF(V27&gt;=INDEX('[1]Définition Maintenances'!$G:$G,MATCH($A27,'[1]Définition Maintenances'!$K:$K,0)),V27,INDEX('[1]Définition Maintenances'!$G:$G,MATCH($A27,'[1]Définition Maintenances'!$K:$K,0))+V27),V27))</f>
        <v>358</v>
      </c>
      <c r="X27" s="26">
        <f>IF(ISNUMBER(VLOOKUP($D27,'Visu totale'!$D:$DH,X$1,0)),W27-VLOOKUP($D27,'Visu totale'!$D:$DH,X$1,0),IF(LEFT(VLOOKUP($D27,'Visu totale'!$D:$DH,X$1,0),1)="V",IF(W27&gt;=INDEX('[1]Définition Maintenances'!$G:$G,MATCH($A27,'[1]Définition Maintenances'!$K:$K,0)),W27,INDEX('[1]Définition Maintenances'!$G:$G,MATCH($A27,'[1]Définition Maintenances'!$K:$K,0))+W27),W27))</f>
        <v>358</v>
      </c>
      <c r="Y27" s="26">
        <f>IF(ISNUMBER(VLOOKUP($D27,'Visu totale'!$D:$DH,Y$1,0)),X27-VLOOKUP($D27,'Visu totale'!$D:$DH,Y$1,0),IF(LEFT(VLOOKUP($D27,'Visu totale'!$D:$DH,Y$1,0),1)="V",IF(X27&gt;=INDEX('[1]Définition Maintenances'!$G:$G,MATCH($A27,'[1]Définition Maintenances'!$K:$K,0)),X27,INDEX('[1]Définition Maintenances'!$G:$G,MATCH($A27,'[1]Définition Maintenances'!$K:$K,0))+X27),X27))</f>
        <v>358</v>
      </c>
      <c r="Z27" s="26">
        <f>IF(ISNUMBER(VLOOKUP($D27,'Visu totale'!$D:$DH,Z$1,0)),Y27-VLOOKUP($D27,'Visu totale'!$D:$DH,Z$1,0),IF(LEFT(VLOOKUP($D27,'Visu totale'!$D:$DH,Z$1,0),1)="V",IF(Y27&gt;=INDEX('[1]Définition Maintenances'!$G:$G,MATCH($A27,'[1]Définition Maintenances'!$K:$K,0)),Y27,INDEX('[1]Définition Maintenances'!$G:$G,MATCH($A27,'[1]Définition Maintenances'!$K:$K,0))+Y27),Y27))</f>
        <v>358</v>
      </c>
      <c r="AA27" s="26">
        <f>IF(ISNUMBER(VLOOKUP($D27,'Visu totale'!$D:$DH,AA$1,0)),Z27-VLOOKUP($D27,'Visu totale'!$D:$DH,AA$1,0),IF(LEFT(VLOOKUP($D27,'Visu totale'!$D:$DH,AA$1,0),1)="V",IF(Z27&gt;=INDEX('[1]Définition Maintenances'!$G:$G,MATCH($A27,'[1]Définition Maintenances'!$K:$K,0)),Z27,INDEX('[1]Définition Maintenances'!$G:$G,MATCH($A27,'[1]Définition Maintenances'!$K:$K,0))+Z27),Z27))</f>
        <v>358</v>
      </c>
      <c r="AB27" s="26">
        <f>IF(ISNUMBER(VLOOKUP($D27,'Visu totale'!$D:$DH,AB$1,0)),AA27-VLOOKUP($D27,'Visu totale'!$D:$DH,AB$1,0),IF(LEFT(VLOOKUP($D27,'Visu totale'!$D:$DH,AB$1,0),1)="V",IF(AA27&gt;=INDEX('[1]Définition Maintenances'!$G:$G,MATCH($A27,'[1]Définition Maintenances'!$K:$K,0)),AA27,INDEX('[1]Définition Maintenances'!$G:$G,MATCH($A27,'[1]Définition Maintenances'!$K:$K,0))+AA27),AA27))</f>
        <v>358</v>
      </c>
      <c r="AC27" s="27">
        <f>IF(ISNUMBER(VLOOKUP($D27,'Visu totale'!$D:$DH,AC$1,0)),AB27-VLOOKUP($D27,'Visu totale'!$D:$DH,AC$1,0),IF(LEFT(VLOOKUP($D27,'Visu totale'!$D:$DH,AC$1,0),1)="V",IF(AB27&gt;=INDEX('[1]Définition Maintenances'!$G:$G,MATCH($A27,'[1]Définition Maintenances'!$K:$K,0)),AB27,INDEX('[1]Définition Maintenances'!$G:$G,MATCH($A27,'[1]Définition Maintenances'!$K:$K,0))+AB27),AB27))</f>
        <v>358</v>
      </c>
      <c r="AD27" s="25">
        <f>IF(ISNUMBER(VLOOKUP($D27,'Visu totale'!$D:$DH,AD$1,0)),AC27-VLOOKUP($D27,'Visu totale'!$D:$DH,AD$1,0),IF(LEFT(VLOOKUP($D27,'Visu totale'!$D:$DH,AD$1,0),1)="V",IF(AC27&gt;=INDEX('[1]Définition Maintenances'!$G:$G,MATCH($A27,'[1]Définition Maintenances'!$K:$K,0)),AC27,INDEX('[1]Définition Maintenances'!$G:$G,MATCH($A27,'[1]Définition Maintenances'!$K:$K,0))+AC27),AC27))</f>
        <v>358</v>
      </c>
      <c r="AE27" s="26">
        <f>IF(ISNUMBER(VLOOKUP($D27,'Visu totale'!$D:$DH,AE$1,0)),AD27-VLOOKUP($D27,'Visu totale'!$D:$DH,AE$1,0),IF(LEFT(VLOOKUP($D27,'Visu totale'!$D:$DH,AE$1,0),1)="V",IF(AD27&gt;=INDEX('[1]Définition Maintenances'!$G:$G,MATCH($A27,'[1]Définition Maintenances'!$K:$K,0)),AD27,INDEX('[1]Définition Maintenances'!$G:$G,MATCH($A27,'[1]Définition Maintenances'!$K:$K,0))+AD27),AD27))</f>
        <v>358</v>
      </c>
      <c r="AF27" s="26">
        <f>IF(ISNUMBER(VLOOKUP($D27,'Visu totale'!$D:$DH,AF$1,0)),AE27-VLOOKUP($D27,'Visu totale'!$D:$DH,AF$1,0),IF(LEFT(VLOOKUP($D27,'Visu totale'!$D:$DH,AF$1,0),1)="V",IF(AE27&gt;=INDEX('[1]Définition Maintenances'!$G:$G,MATCH($A27,'[1]Définition Maintenances'!$K:$K,0)),AE27,INDEX('[1]Définition Maintenances'!$G:$G,MATCH($A27,'[1]Définition Maintenances'!$K:$K,0))+AE27),AE27))</f>
        <v>358</v>
      </c>
      <c r="AG27" s="26">
        <f>IF(ISNUMBER(VLOOKUP($D27,'Visu totale'!$D:$DH,AG$1,0)),AF27-VLOOKUP($D27,'Visu totale'!$D:$DH,AG$1,0),IF(LEFT(VLOOKUP($D27,'Visu totale'!$D:$DH,AG$1,0),1)="V",IF(AF27&gt;=INDEX('[1]Définition Maintenances'!$G:$G,MATCH($A27,'[1]Définition Maintenances'!$K:$K,0)),AF27,INDEX('[1]Définition Maintenances'!$G:$G,MATCH($A27,'[1]Définition Maintenances'!$K:$K,0))+AF27),AF27))</f>
        <v>358</v>
      </c>
      <c r="AH27" s="26">
        <f>IF(ISNUMBER(VLOOKUP($D27,'Visu totale'!$D:$DH,AH$1,0)),AG27-VLOOKUP($D27,'Visu totale'!$D:$DH,AH$1,0),IF(LEFT(VLOOKUP($D27,'Visu totale'!$D:$DH,AH$1,0),1)="V",IF(AG27&gt;=INDEX('[1]Définition Maintenances'!$G:$G,MATCH($A27,'[1]Définition Maintenances'!$K:$K,0)),AG27,INDEX('[1]Définition Maintenances'!$G:$G,MATCH($A27,'[1]Définition Maintenances'!$K:$K,0))+AG27),AG27))</f>
        <v>358</v>
      </c>
      <c r="AI27" s="26">
        <f>IF(ISNUMBER(VLOOKUP($D27,'Visu totale'!$D:$DH,AI$1,0)),AH27-VLOOKUP($D27,'Visu totale'!$D:$DH,AI$1,0),IF(LEFT(VLOOKUP($D27,'Visu totale'!$D:$DH,AI$1,0),1)="V",IF(AH27&gt;=INDEX('[1]Définition Maintenances'!$G:$G,MATCH($A27,'[1]Définition Maintenances'!$K:$K,0)),AH27,INDEX('[1]Définition Maintenances'!$G:$G,MATCH($A27,'[1]Définition Maintenances'!$K:$K,0))+AH27),AH27))</f>
        <v>358</v>
      </c>
      <c r="AJ27" s="26">
        <f>IF(ISNUMBER(VLOOKUP($D27,'Visu totale'!$D:$DH,AJ$1,0)),AI27-VLOOKUP($D27,'Visu totale'!$D:$DH,AJ$1,0),IF(LEFT(VLOOKUP($D27,'Visu totale'!$D:$DH,AJ$1,0),1)="V",IF(AI27&gt;=INDEX('[1]Définition Maintenances'!$G:$G,MATCH($A27,'[1]Définition Maintenances'!$K:$K,0)),AI27,INDEX('[1]Définition Maintenances'!$G:$G,MATCH($A27,'[1]Définition Maintenances'!$K:$K,0))+AI27),AI27))</f>
        <v>358</v>
      </c>
      <c r="AK27" s="26">
        <f>IF(ISNUMBER(VLOOKUP($D27,'Visu totale'!$D:$DH,AK$1,0)),AJ27-VLOOKUP($D27,'Visu totale'!$D:$DH,AK$1,0),IF(LEFT(VLOOKUP($D27,'Visu totale'!$D:$DH,AK$1,0),1)="V",IF(AJ27&gt;=INDEX('[1]Définition Maintenances'!$G:$G,MATCH($A27,'[1]Définition Maintenances'!$K:$K,0)),AJ27,INDEX('[1]Définition Maintenances'!$G:$G,MATCH($A27,'[1]Définition Maintenances'!$K:$K,0))+AJ27),AJ27))</f>
        <v>358</v>
      </c>
      <c r="AL27" s="26">
        <f>IF(ISNUMBER(VLOOKUP($D27,'Visu totale'!$D:$DH,AL$1,0)),AK27-VLOOKUP($D27,'Visu totale'!$D:$DH,AL$1,0),IF(LEFT(VLOOKUP($D27,'Visu totale'!$D:$DH,AL$1,0),1)="V",IF(AK27&gt;=INDEX('[1]Définition Maintenances'!$G:$G,MATCH($A27,'[1]Définition Maintenances'!$K:$K,0)),AK27,INDEX('[1]Définition Maintenances'!$G:$G,MATCH($A27,'[1]Définition Maintenances'!$K:$K,0))+AK27),AK27))</f>
        <v>358</v>
      </c>
      <c r="AM27" s="26">
        <f>IF(ISNUMBER(VLOOKUP($D27,'Visu totale'!$D:$DH,AM$1,0)),AL27-VLOOKUP($D27,'Visu totale'!$D:$DH,AM$1,0),IF(LEFT(VLOOKUP($D27,'Visu totale'!$D:$DH,AM$1,0),1)="V",IF(AL27&gt;=INDEX('[1]Définition Maintenances'!$G:$G,MATCH($A27,'[1]Définition Maintenances'!$K:$K,0)),AL27,INDEX('[1]Définition Maintenances'!$G:$G,MATCH($A27,'[1]Définition Maintenances'!$K:$K,0))+AL27),AL27))</f>
        <v>358</v>
      </c>
      <c r="AN27" s="26">
        <f>IF(ISNUMBER(VLOOKUP($D27,'Visu totale'!$D:$DH,AN$1,0)),AM27-VLOOKUP($D27,'Visu totale'!$D:$DH,AN$1,0),IF(LEFT(VLOOKUP($D27,'Visu totale'!$D:$DH,AN$1,0),1)="V",IF(AM27&gt;=INDEX('[1]Définition Maintenances'!$G:$G,MATCH($A27,'[1]Définition Maintenances'!$K:$K,0)),AM27,INDEX('[1]Définition Maintenances'!$G:$G,MATCH($A27,'[1]Définition Maintenances'!$K:$K,0))+AM27),AM27))</f>
        <v>358</v>
      </c>
      <c r="AO27" s="27">
        <f>IF(ISNUMBER(VLOOKUP($D27,'Visu totale'!$D:$DH,AO$1,0)),AN27-VLOOKUP($D27,'Visu totale'!$D:$DH,AO$1,0),IF(LEFT(VLOOKUP($D27,'Visu totale'!$D:$DH,AO$1,0),1)="V",IF(AN27&gt;=INDEX('[1]Définition Maintenances'!$G:$G,MATCH($A27,'[1]Définition Maintenances'!$K:$K,0)),AN27,INDEX('[1]Définition Maintenances'!$G:$G,MATCH($A27,'[1]Définition Maintenances'!$K:$K,0))+AN27),AN27))</f>
        <v>358</v>
      </c>
      <c r="AP27" s="25">
        <f>IF(ISNUMBER(VLOOKUP($D27,'Visu totale'!$D:$DH,AP$1,0)),AO27-VLOOKUP($D27,'Visu totale'!$D:$DH,AP$1,0),IF(LEFT(VLOOKUP($D27,'Visu totale'!$D:$DH,AP$1,0),1)="V",IF(AO27&gt;=INDEX('[1]Définition Maintenances'!$G:$G,MATCH($A27,'[1]Définition Maintenances'!$K:$K,0)),AO27,INDEX('[1]Définition Maintenances'!$G:$G,MATCH($A27,'[1]Définition Maintenances'!$K:$K,0))+AO27),AO27))</f>
        <v>358</v>
      </c>
      <c r="AQ27" s="26">
        <f>IF(ISNUMBER(VLOOKUP($D27,'Visu totale'!$D:$DH,AQ$1,0)),AP27-VLOOKUP($D27,'Visu totale'!$D:$DH,AQ$1,0),IF(LEFT(VLOOKUP($D27,'Visu totale'!$D:$DH,AQ$1,0),1)="V",IF(AP27&gt;=INDEX('[1]Définition Maintenances'!$G:$G,MATCH($A27,'[1]Définition Maintenances'!$K:$K,0)),AP27,INDEX('[1]Définition Maintenances'!$G:$G,MATCH($A27,'[1]Définition Maintenances'!$K:$K,0))+AP27),AP27))</f>
        <v>358</v>
      </c>
      <c r="AR27" s="26">
        <f>IF(ISNUMBER(VLOOKUP($D27,'Visu totale'!$D:$DH,AR$1,0)),AQ27-VLOOKUP($D27,'Visu totale'!$D:$DH,AR$1,0),IF(LEFT(VLOOKUP($D27,'Visu totale'!$D:$DH,AR$1,0),1)="V",IF(AQ27&gt;=INDEX('[1]Définition Maintenances'!$G:$G,MATCH($A27,'[1]Définition Maintenances'!$K:$K,0)),AQ27,INDEX('[1]Définition Maintenances'!$G:$G,MATCH($A27,'[1]Définition Maintenances'!$K:$K,0))+AQ27),AQ27))</f>
        <v>358</v>
      </c>
      <c r="AS27" s="26">
        <f>IF(ISNUMBER(VLOOKUP($D27,'Visu totale'!$D:$DH,AS$1,0)),AR27-VLOOKUP($D27,'Visu totale'!$D:$DH,AS$1,0),IF(LEFT(VLOOKUP($D27,'Visu totale'!$D:$DH,AS$1,0),1)="V",IF(AR27&gt;=INDEX('[1]Définition Maintenances'!$G:$G,MATCH($A27,'[1]Définition Maintenances'!$K:$K,0)),AR27,INDEX('[1]Définition Maintenances'!$G:$G,MATCH($A27,'[1]Définition Maintenances'!$K:$K,0))+AR27),AR27))</f>
        <v>358</v>
      </c>
      <c r="AT27" s="26">
        <f>IF(ISNUMBER(VLOOKUP($D27,'Visu totale'!$D:$DH,AT$1,0)),AS27-VLOOKUP($D27,'Visu totale'!$D:$DH,AT$1,0),IF(LEFT(VLOOKUP($D27,'Visu totale'!$D:$DH,AT$1,0),1)="V",IF(AS27&gt;=INDEX('[1]Définition Maintenances'!$G:$G,MATCH($A27,'[1]Définition Maintenances'!$K:$K,0)),AS27,INDEX('[1]Définition Maintenances'!$G:$G,MATCH($A27,'[1]Définition Maintenances'!$K:$K,0))+AS27),AS27))</f>
        <v>358</v>
      </c>
      <c r="AU27" s="26">
        <f>IF(ISNUMBER(VLOOKUP($D27,'Visu totale'!$D:$DH,AU$1,0)),AT27-VLOOKUP($D27,'Visu totale'!$D:$DH,AU$1,0),IF(LEFT(VLOOKUP($D27,'Visu totale'!$D:$DH,AU$1,0),1)="V",IF(AT27&gt;=INDEX('[1]Définition Maintenances'!$G:$G,MATCH($A27,'[1]Définition Maintenances'!$K:$K,0)),AT27,INDEX('[1]Définition Maintenances'!$G:$G,MATCH($A27,'[1]Définition Maintenances'!$K:$K,0))+AT27),AT27))</f>
        <v>358</v>
      </c>
      <c r="AV27" s="26">
        <f>IF(ISNUMBER(VLOOKUP($D27,'Visu totale'!$D:$DH,AV$1,0)),AU27-VLOOKUP($D27,'Visu totale'!$D:$DH,AV$1,0),IF(LEFT(VLOOKUP($D27,'Visu totale'!$D:$DH,AV$1,0),1)="V",IF(AU27&gt;=INDEX('[1]Définition Maintenances'!$G:$G,MATCH($A27,'[1]Définition Maintenances'!$K:$K,0)),AU27,INDEX('[1]Définition Maintenances'!$G:$G,MATCH($A27,'[1]Définition Maintenances'!$K:$K,0))+AU27),AU27))</f>
        <v>358</v>
      </c>
      <c r="AW27" s="26">
        <f>IF(ISNUMBER(VLOOKUP($D27,'Visu totale'!$D:$DH,AW$1,0)),AV27-VLOOKUP($D27,'Visu totale'!$D:$DH,AW$1,0),IF(LEFT(VLOOKUP($D27,'Visu totale'!$D:$DH,AW$1,0),1)="V",IF(AV27&gt;=INDEX('[1]Définition Maintenances'!$G:$G,MATCH($A27,'[1]Définition Maintenances'!$K:$K,0)),AV27,INDEX('[1]Définition Maintenances'!$G:$G,MATCH($A27,'[1]Définition Maintenances'!$K:$K,0))+AV27),AV27))</f>
        <v>358</v>
      </c>
      <c r="AX27" s="26">
        <f>IF(ISNUMBER(VLOOKUP($D27,'Visu totale'!$D:$DH,AX$1,0)),AW27-VLOOKUP($D27,'Visu totale'!$D:$DH,AX$1,0),IF(LEFT(VLOOKUP($D27,'Visu totale'!$D:$DH,AX$1,0),1)="V",IF(AW27&gt;=INDEX('[1]Définition Maintenances'!$G:$G,MATCH($A27,'[1]Définition Maintenances'!$K:$K,0)),AW27,INDEX('[1]Définition Maintenances'!$G:$G,MATCH($A27,'[1]Définition Maintenances'!$K:$K,0))+AW27),AW27))</f>
        <v>358</v>
      </c>
      <c r="AY27" s="26">
        <f>IF(ISNUMBER(VLOOKUP($D27,'Visu totale'!$D:$DH,AY$1,0)),AX27-VLOOKUP($D27,'Visu totale'!$D:$DH,AY$1,0),IF(LEFT(VLOOKUP($D27,'Visu totale'!$D:$DH,AY$1,0),1)="V",IF(AX27&gt;=INDEX('[1]Définition Maintenances'!$G:$G,MATCH($A27,'[1]Définition Maintenances'!$K:$K,0)),AX27,INDEX('[1]Définition Maintenances'!$G:$G,MATCH($A27,'[1]Définition Maintenances'!$K:$K,0))+AX27),AX27))</f>
        <v>358</v>
      </c>
      <c r="AZ27" s="26">
        <f>IF(ISNUMBER(VLOOKUP($D27,'Visu totale'!$D:$DH,AZ$1,0)),AY27-VLOOKUP($D27,'Visu totale'!$D:$DH,AZ$1,0),IF(LEFT(VLOOKUP($D27,'Visu totale'!$D:$DH,AZ$1,0),1)="V",IF(AY27&gt;=INDEX('[1]Définition Maintenances'!$G:$G,MATCH($A27,'[1]Définition Maintenances'!$K:$K,0)),AY27,INDEX('[1]Définition Maintenances'!$G:$G,MATCH($A27,'[1]Définition Maintenances'!$K:$K,0))+AY27),AY27))</f>
        <v>358</v>
      </c>
      <c r="BA27" s="27">
        <f>IF(ISNUMBER(VLOOKUP($D27,'Visu totale'!$D:$DH,BA$1,0)),AZ27-VLOOKUP($D27,'Visu totale'!$D:$DH,BA$1,0),IF(LEFT(VLOOKUP($D27,'Visu totale'!$D:$DH,BA$1,0),1)="V",IF(AZ27&gt;=INDEX('[1]Définition Maintenances'!$G:$G,MATCH($A27,'[1]Définition Maintenances'!$K:$K,0)),AZ27,INDEX('[1]Définition Maintenances'!$G:$G,MATCH($A27,'[1]Définition Maintenances'!$K:$K,0))+AZ27),AZ27))</f>
        <v>358</v>
      </c>
      <c r="BB27" s="25">
        <f>IF(ISNUMBER(VLOOKUP($D27,'Visu totale'!$D:$DH,BB$1,0)),BA27-VLOOKUP($D27,'Visu totale'!$D:$DH,BB$1,0),IF(LEFT(VLOOKUP($D27,'Visu totale'!$D:$DH,BB$1,0),1)="V",IF(BA27&gt;=INDEX('[1]Définition Maintenances'!$G:$G,MATCH($A27,'[1]Définition Maintenances'!$K:$K,0)),BA27,INDEX('[1]Définition Maintenances'!$G:$G,MATCH($A27,'[1]Définition Maintenances'!$K:$K,0))+BA27),BA27))</f>
        <v>358</v>
      </c>
      <c r="BC27" s="26">
        <f>IF(ISNUMBER(VLOOKUP($D27,'Visu totale'!$D:$DH,BC$1,0)),BB27-VLOOKUP($D27,'Visu totale'!$D:$DH,BC$1,0),IF(LEFT(VLOOKUP($D27,'Visu totale'!$D:$DH,BC$1,0),1)="V",IF(BB27&gt;=INDEX('[1]Définition Maintenances'!$G:$G,MATCH($A27,'[1]Définition Maintenances'!$K:$K,0)),BB27,INDEX('[1]Définition Maintenances'!$G:$G,MATCH($A27,'[1]Définition Maintenances'!$K:$K,0))+BB27),BB27))</f>
        <v>358</v>
      </c>
      <c r="BD27" s="26">
        <f>IF(ISNUMBER(VLOOKUP($D27,'Visu totale'!$D:$DH,BD$1,0)),BC27-VLOOKUP($D27,'Visu totale'!$D:$DH,BD$1,0),IF(LEFT(VLOOKUP($D27,'Visu totale'!$D:$DH,BD$1,0),1)="V",IF(BC27&gt;=INDEX('[1]Définition Maintenances'!$G:$G,MATCH($A27,'[1]Définition Maintenances'!$K:$K,0)),BC27,INDEX('[1]Définition Maintenances'!$G:$G,MATCH($A27,'[1]Définition Maintenances'!$K:$K,0))+BC27),BC27))</f>
        <v>358</v>
      </c>
      <c r="BE27" s="26">
        <f>IF(ISNUMBER(VLOOKUP($D27,'Visu totale'!$D:$DH,BE$1,0)),BD27-VLOOKUP($D27,'Visu totale'!$D:$DH,BE$1,0),IF(LEFT(VLOOKUP($D27,'Visu totale'!$D:$DH,BE$1,0),1)="V",IF(BD27&gt;=INDEX('[1]Définition Maintenances'!$G:$G,MATCH($A27,'[1]Définition Maintenances'!$K:$K,0)),BD27,INDEX('[1]Définition Maintenances'!$G:$G,MATCH($A27,'[1]Définition Maintenances'!$K:$K,0))+BD27),BD27))</f>
        <v>358</v>
      </c>
      <c r="BF27" s="26">
        <f>IF(ISNUMBER(VLOOKUP($D27,'Visu totale'!$D:$DH,BF$1,0)),BE27-VLOOKUP($D27,'Visu totale'!$D:$DH,BF$1,0),IF(LEFT(VLOOKUP($D27,'Visu totale'!$D:$DH,BF$1,0),1)="V",IF(BE27&gt;=INDEX('[1]Définition Maintenances'!$G:$G,MATCH($A27,'[1]Définition Maintenances'!$K:$K,0)),BE27,INDEX('[1]Définition Maintenances'!$G:$G,MATCH($A27,'[1]Définition Maintenances'!$K:$K,0))+BE27),BE27))</f>
        <v>358</v>
      </c>
      <c r="BG27" s="26">
        <f>IF(ISNUMBER(VLOOKUP($D27,'Visu totale'!$D:$DH,BG$1,0)),BF27-VLOOKUP($D27,'Visu totale'!$D:$DH,BG$1,0),IF(LEFT(VLOOKUP($D27,'Visu totale'!$D:$DH,BG$1,0),1)="V",IF(BF27&gt;=INDEX('[1]Définition Maintenances'!$G:$G,MATCH($A27,'[1]Définition Maintenances'!$K:$K,0)),BF27,INDEX('[1]Définition Maintenances'!$G:$G,MATCH($A27,'[1]Définition Maintenances'!$K:$K,0))+BF27),BF27))</f>
        <v>358</v>
      </c>
      <c r="BH27" s="26">
        <f>IF(ISNUMBER(VLOOKUP($D27,'Visu totale'!$D:$DH,BH$1,0)),BG27-VLOOKUP($D27,'Visu totale'!$D:$DH,BH$1,0),IF(LEFT(VLOOKUP($D27,'Visu totale'!$D:$DH,BH$1,0),1)="V",IF(BG27&gt;=INDEX('[1]Définition Maintenances'!$G:$G,MATCH($A27,'[1]Définition Maintenances'!$K:$K,0)),BG27,INDEX('[1]Définition Maintenances'!$G:$G,MATCH($A27,'[1]Définition Maintenances'!$K:$K,0))+BG27),BG27))</f>
        <v>358</v>
      </c>
      <c r="BI27" s="26">
        <f>IF(ISNUMBER(VLOOKUP($D27,'Visu totale'!$D:$DH,BI$1,0)),BH27-VLOOKUP($D27,'Visu totale'!$D:$DH,BI$1,0),IF(LEFT(VLOOKUP($D27,'Visu totale'!$D:$DH,BI$1,0),1)="V",IF(BH27&gt;=INDEX('[1]Définition Maintenances'!$G:$G,MATCH($A27,'[1]Définition Maintenances'!$K:$K,0)),BH27,INDEX('[1]Définition Maintenances'!$G:$G,MATCH($A27,'[1]Définition Maintenances'!$K:$K,0))+BH27),BH27))</f>
        <v>358</v>
      </c>
      <c r="BJ27" s="26">
        <f>IF(ISNUMBER(VLOOKUP($D27,'Visu totale'!$D:$DH,BJ$1,0)),BI27-VLOOKUP($D27,'Visu totale'!$D:$DH,BJ$1,0),IF(LEFT(VLOOKUP($D27,'Visu totale'!$D:$DH,BJ$1,0),1)="V",IF(BI27&gt;=INDEX('[1]Définition Maintenances'!$G:$G,MATCH($A27,'[1]Définition Maintenances'!$K:$K,0)),BI27,INDEX('[1]Définition Maintenances'!$G:$G,MATCH($A27,'[1]Définition Maintenances'!$K:$K,0))+BI27),BI27))</f>
        <v>358</v>
      </c>
      <c r="BK27" s="26">
        <f>IF(ISNUMBER(VLOOKUP($D27,'Visu totale'!$D:$DH,BK$1,0)),BJ27-VLOOKUP($D27,'Visu totale'!$D:$DH,BK$1,0),IF(LEFT(VLOOKUP($D27,'Visu totale'!$D:$DH,BK$1,0),1)="V",IF(BJ27&gt;=INDEX('[1]Définition Maintenances'!$G:$G,MATCH($A27,'[1]Définition Maintenances'!$K:$K,0)),BJ27,INDEX('[1]Définition Maintenances'!$G:$G,MATCH($A27,'[1]Définition Maintenances'!$K:$K,0))+BJ27),BJ27))</f>
        <v>358</v>
      </c>
      <c r="BL27" s="26">
        <f>IF(ISNUMBER(VLOOKUP($D27,'Visu totale'!$D:$DH,BL$1,0)),BK27-VLOOKUP($D27,'Visu totale'!$D:$DH,BL$1,0),IF(LEFT(VLOOKUP($D27,'Visu totale'!$D:$DH,BL$1,0),1)="V",IF(BK27&gt;=INDEX('[1]Définition Maintenances'!$G:$G,MATCH($A27,'[1]Définition Maintenances'!$K:$K,0)),BK27,INDEX('[1]Définition Maintenances'!$G:$G,MATCH($A27,'[1]Définition Maintenances'!$K:$K,0))+BK27),BK27))</f>
        <v>358</v>
      </c>
      <c r="BM27" s="27">
        <f>IF(ISNUMBER(VLOOKUP($D27,'Visu totale'!$D:$DH,BM$1,0)),BL27-VLOOKUP($D27,'Visu totale'!$D:$DH,BM$1,0),IF(LEFT(VLOOKUP($D27,'Visu totale'!$D:$DH,BM$1,0),1)="V",IF(BL27&gt;=INDEX('[1]Définition Maintenances'!$G:$G,MATCH($A27,'[1]Définition Maintenances'!$K:$K,0)),BL27,INDEX('[1]Définition Maintenances'!$G:$G,MATCH($A27,'[1]Définition Maintenances'!$K:$K,0))+BL27),BL27))</f>
        <v>358</v>
      </c>
      <c r="BN27" s="25">
        <f>IF(ISNUMBER(VLOOKUP($D27,'Visu totale'!$D:$DH,BN$1,0)),BM27-VLOOKUP($D27,'Visu totale'!$D:$DH,BN$1,0),IF(LEFT(VLOOKUP($D27,'Visu totale'!$D:$DH,BN$1,0),1)="V",IF(BM27&gt;=INDEX('[1]Définition Maintenances'!$G:$G,MATCH($A27,'[1]Définition Maintenances'!$K:$K,0)),BM27,INDEX('[1]Définition Maintenances'!$G:$G,MATCH($A27,'[1]Définition Maintenances'!$K:$K,0))+BM27),BM27))</f>
        <v>358</v>
      </c>
      <c r="BO27" s="26">
        <f>IF(ISNUMBER(VLOOKUP($D27,'Visu totale'!$D:$DH,BO$1,0)),BN27-VLOOKUP($D27,'Visu totale'!$D:$DH,BO$1,0),IF(LEFT(VLOOKUP($D27,'Visu totale'!$D:$DH,BO$1,0),1)="V",IF(BN27&gt;=INDEX('[1]Définition Maintenances'!$G:$G,MATCH($A27,'[1]Définition Maintenances'!$K:$K,0)),BN27,INDEX('[1]Définition Maintenances'!$G:$G,MATCH($A27,'[1]Définition Maintenances'!$K:$K,0))+BN27),BN27))</f>
        <v>358</v>
      </c>
      <c r="BP27" s="26">
        <f>IF(ISNUMBER(VLOOKUP($D27,'Visu totale'!$D:$DH,BP$1,0)),BO27-VLOOKUP($D27,'Visu totale'!$D:$DH,BP$1,0),IF(LEFT(VLOOKUP($D27,'Visu totale'!$D:$DH,BP$1,0),1)="V",IF(BO27&gt;=INDEX('[1]Définition Maintenances'!$G:$G,MATCH($A27,'[1]Définition Maintenances'!$K:$K,0)),BO27,INDEX('[1]Définition Maintenances'!$G:$G,MATCH($A27,'[1]Définition Maintenances'!$K:$K,0))+BO27),BO27))</f>
        <v>358</v>
      </c>
      <c r="BQ27" s="26">
        <f>IF(ISNUMBER(VLOOKUP($D27,'Visu totale'!$D:$DH,BQ$1,0)),BP27-VLOOKUP($D27,'Visu totale'!$D:$DH,BQ$1,0),IF(LEFT(VLOOKUP($D27,'Visu totale'!$D:$DH,BQ$1,0),1)="V",IF(BP27&gt;=INDEX('[1]Définition Maintenances'!$G:$G,MATCH($A27,'[1]Définition Maintenances'!$K:$K,0)),BP27,INDEX('[1]Définition Maintenances'!$G:$G,MATCH($A27,'[1]Définition Maintenances'!$K:$K,0))+BP27),BP27))</f>
        <v>358</v>
      </c>
      <c r="BR27" s="26">
        <f>IF(ISNUMBER(VLOOKUP($D27,'Visu totale'!$D:$DH,BR$1,0)),BQ27-VLOOKUP($D27,'Visu totale'!$D:$DH,BR$1,0),IF(LEFT(VLOOKUP($D27,'Visu totale'!$D:$DH,BR$1,0),1)="V",IF(BQ27&gt;=INDEX('[1]Définition Maintenances'!$G:$G,MATCH($A27,'[1]Définition Maintenances'!$K:$K,0)),BQ27,INDEX('[1]Définition Maintenances'!$G:$G,MATCH($A27,'[1]Définition Maintenances'!$K:$K,0))+BQ27),BQ27))</f>
        <v>358</v>
      </c>
      <c r="BS27" s="26">
        <f>IF(ISNUMBER(VLOOKUP($D27,'Visu totale'!$D:$DH,BS$1,0)),BR27-VLOOKUP($D27,'Visu totale'!$D:$DH,BS$1,0),IF(LEFT(VLOOKUP($D27,'Visu totale'!$D:$DH,BS$1,0),1)="V",IF(BR27&gt;=INDEX('[1]Définition Maintenances'!$G:$G,MATCH($A27,'[1]Définition Maintenances'!$K:$K,0)),BR27,INDEX('[1]Définition Maintenances'!$G:$G,MATCH($A27,'[1]Définition Maintenances'!$K:$K,0))+BR27),BR27))</f>
        <v>358</v>
      </c>
      <c r="BT27" s="26">
        <f>IF(ISNUMBER(VLOOKUP($D27,'Visu totale'!$D:$DH,BT$1,0)),BS27-VLOOKUP($D27,'Visu totale'!$D:$DH,BT$1,0),IF(LEFT(VLOOKUP($D27,'Visu totale'!$D:$DH,BT$1,0),1)="V",IF(BS27&gt;=INDEX('[1]Définition Maintenances'!$G:$G,MATCH($A27,'[1]Définition Maintenances'!$K:$K,0)),BS27,INDEX('[1]Définition Maintenances'!$G:$G,MATCH($A27,'[1]Définition Maintenances'!$K:$K,0))+BS27),BS27))</f>
        <v>358</v>
      </c>
      <c r="BU27" s="26">
        <f>IF(ISNUMBER(VLOOKUP($D27,'Visu totale'!$D:$DH,BU$1,0)),BT27-VLOOKUP($D27,'Visu totale'!$D:$DH,BU$1,0),IF(LEFT(VLOOKUP($D27,'Visu totale'!$D:$DH,BU$1,0),1)="V",IF(BT27&gt;=INDEX('[1]Définition Maintenances'!$G:$G,MATCH($A27,'[1]Définition Maintenances'!$K:$K,0)),BT27,INDEX('[1]Définition Maintenances'!$G:$G,MATCH($A27,'[1]Définition Maintenances'!$K:$K,0))+BT27),BT27))</f>
        <v>358</v>
      </c>
      <c r="BV27" s="26">
        <f>IF(ISNUMBER(VLOOKUP($D27,'Visu totale'!$D:$DH,BV$1,0)),BU27-VLOOKUP($D27,'Visu totale'!$D:$DH,BV$1,0),IF(LEFT(VLOOKUP($D27,'Visu totale'!$D:$DH,BV$1,0),1)="V",IF(BU27&gt;=INDEX('[1]Définition Maintenances'!$G:$G,MATCH($A27,'[1]Définition Maintenances'!$K:$K,0)),BU27,INDEX('[1]Définition Maintenances'!$G:$G,MATCH($A27,'[1]Définition Maintenances'!$K:$K,0))+BU27),BU27))</f>
        <v>358</v>
      </c>
      <c r="BW27" s="26">
        <f>IF(ISNUMBER(VLOOKUP($D27,'Visu totale'!$D:$DH,BW$1,0)),BV27-VLOOKUP($D27,'Visu totale'!$D:$DH,BW$1,0),IF(LEFT(VLOOKUP($D27,'Visu totale'!$D:$DH,BW$1,0),1)="V",IF(BV27&gt;=INDEX('[1]Définition Maintenances'!$G:$G,MATCH($A27,'[1]Définition Maintenances'!$K:$K,0)),BV27,INDEX('[1]Définition Maintenances'!$G:$G,MATCH($A27,'[1]Définition Maintenances'!$K:$K,0))+BV27),BV27))</f>
        <v>358</v>
      </c>
      <c r="BX27" s="26">
        <f>IF(ISNUMBER(VLOOKUP($D27,'Visu totale'!$D:$DH,BX$1,0)),BW27-VLOOKUP($D27,'Visu totale'!$D:$DH,BX$1,0),IF(LEFT(VLOOKUP($D27,'Visu totale'!$D:$DH,BX$1,0),1)="V",IF(BW27&gt;=INDEX('[1]Définition Maintenances'!$G:$G,MATCH($A27,'[1]Définition Maintenances'!$K:$K,0)),BW27,INDEX('[1]Définition Maintenances'!$G:$G,MATCH($A27,'[1]Définition Maintenances'!$K:$K,0))+BW27),BW27))</f>
        <v>358</v>
      </c>
      <c r="BY27" s="27">
        <f>IF(ISNUMBER(VLOOKUP($D27,'Visu totale'!$D:$DH,BY$1,0)),BX27-VLOOKUP($D27,'Visu totale'!$D:$DH,BY$1,0),IF(LEFT(VLOOKUP($D27,'Visu totale'!$D:$DH,BY$1,0),1)="V",IF(BX27&gt;=INDEX('[1]Définition Maintenances'!$G:$G,MATCH($A27,'[1]Définition Maintenances'!$K:$K,0)),BX27,INDEX('[1]Définition Maintenances'!$G:$G,MATCH($A27,'[1]Définition Maintenances'!$K:$K,0))+BX27),BX27))</f>
        <v>358</v>
      </c>
      <c r="BZ27" s="25">
        <f>IF(ISNUMBER(VLOOKUP($D27,'Visu totale'!$D:$DH,BZ$1,0)),BY27-VLOOKUP($D27,'Visu totale'!$D:$DH,BZ$1,0),IF(LEFT(VLOOKUP($D27,'Visu totale'!$D:$DH,BZ$1,0),1)="V",IF(BY27&gt;=INDEX('[1]Définition Maintenances'!$G:$G,MATCH($A27,'[1]Définition Maintenances'!$K:$K,0)),BY27,INDEX('[1]Définition Maintenances'!$G:$G,MATCH($A27,'[1]Définition Maintenances'!$K:$K,0))+BY27),BY27))</f>
        <v>358</v>
      </c>
      <c r="CA27" s="26">
        <f>IF(ISNUMBER(VLOOKUP($D27,'Visu totale'!$D:$DH,CA$1,0)),BZ27-VLOOKUP($D27,'Visu totale'!$D:$DH,CA$1,0),IF(LEFT(VLOOKUP($D27,'Visu totale'!$D:$DH,CA$1,0),1)="V",IF(BZ27&gt;=INDEX('[1]Définition Maintenances'!$G:$G,MATCH($A27,'[1]Définition Maintenances'!$K:$K,0)),BZ27,INDEX('[1]Définition Maintenances'!$G:$G,MATCH($A27,'[1]Définition Maintenances'!$K:$K,0))+BZ27),BZ27))</f>
        <v>358</v>
      </c>
      <c r="CB27" s="26">
        <f>IF(ISNUMBER(VLOOKUP($D27,'Visu totale'!$D:$DH,CB$1,0)),CA27-VLOOKUP($D27,'Visu totale'!$D:$DH,CB$1,0),IF(LEFT(VLOOKUP($D27,'Visu totale'!$D:$DH,CB$1,0),1)="V",IF(CA27&gt;=INDEX('[1]Définition Maintenances'!$G:$G,MATCH($A27,'[1]Définition Maintenances'!$K:$K,0)),CA27,INDEX('[1]Définition Maintenances'!$G:$G,MATCH($A27,'[1]Définition Maintenances'!$K:$K,0))+CA27),CA27))</f>
        <v>358</v>
      </c>
      <c r="CC27" s="26">
        <f>IF(ISNUMBER(VLOOKUP($D27,'Visu totale'!$D:$DH,CC$1,0)),CB27-VLOOKUP($D27,'Visu totale'!$D:$DH,CC$1,0),IF(LEFT(VLOOKUP($D27,'Visu totale'!$D:$DH,CC$1,0),1)="V",IF(CB27&gt;=INDEX('[1]Définition Maintenances'!$G:$G,MATCH($A27,'[1]Définition Maintenances'!$K:$K,0)),CB27,INDEX('[1]Définition Maintenances'!$G:$G,MATCH($A27,'[1]Définition Maintenances'!$K:$K,0))+CB27),CB27))</f>
        <v>358</v>
      </c>
      <c r="CD27" s="26">
        <f>IF(ISNUMBER(VLOOKUP($D27,'Visu totale'!$D:$DH,CD$1,0)),CC27-VLOOKUP($D27,'Visu totale'!$D:$DH,CD$1,0),IF(LEFT(VLOOKUP($D27,'Visu totale'!$D:$DH,CD$1,0),1)="V",IF(CC27&gt;=INDEX('[1]Définition Maintenances'!$G:$G,MATCH($A27,'[1]Définition Maintenances'!$K:$K,0)),CC27,INDEX('[1]Définition Maintenances'!$G:$G,MATCH($A27,'[1]Définition Maintenances'!$K:$K,0))+CC27),CC27))</f>
        <v>358</v>
      </c>
      <c r="CE27" s="26">
        <f>IF(ISNUMBER(VLOOKUP($D27,'Visu totale'!$D:$DH,CE$1,0)),CD27-VLOOKUP($D27,'Visu totale'!$D:$DH,CE$1,0),IF(LEFT(VLOOKUP($D27,'Visu totale'!$D:$DH,CE$1,0),1)="V",IF(CD27&gt;=INDEX('[1]Définition Maintenances'!$G:$G,MATCH($A27,'[1]Définition Maintenances'!$K:$K,0)),CD27,INDEX('[1]Définition Maintenances'!$G:$G,MATCH($A27,'[1]Définition Maintenances'!$K:$K,0))+CD27),CD27))</f>
        <v>358</v>
      </c>
      <c r="CF27" s="26">
        <f>IF(ISNUMBER(VLOOKUP($D27,'Visu totale'!$D:$DH,CF$1,0)),CE27-VLOOKUP($D27,'Visu totale'!$D:$DH,CF$1,0),IF(LEFT(VLOOKUP($D27,'Visu totale'!$D:$DH,CF$1,0),1)="V",IF(CE27&gt;=INDEX('[1]Définition Maintenances'!$G:$G,MATCH($A27,'[1]Définition Maintenances'!$K:$K,0)),CE27,INDEX('[1]Définition Maintenances'!$G:$G,MATCH($A27,'[1]Définition Maintenances'!$K:$K,0))+CE27),CE27))</f>
        <v>358</v>
      </c>
      <c r="CG27" s="26">
        <f>IF(ISNUMBER(VLOOKUP($D27,'Visu totale'!$D:$DH,CG$1,0)),CF27-VLOOKUP($D27,'Visu totale'!$D:$DH,CG$1,0),IF(LEFT(VLOOKUP($D27,'Visu totale'!$D:$DH,CG$1,0),1)="V",IF(CF27&gt;=INDEX('[1]Définition Maintenances'!$G:$G,MATCH($A27,'[1]Définition Maintenances'!$K:$K,0)),CF27,INDEX('[1]Définition Maintenances'!$G:$G,MATCH($A27,'[1]Définition Maintenances'!$K:$K,0))+CF27),CF27))</f>
        <v>358</v>
      </c>
      <c r="CH27" s="26">
        <f>IF(ISNUMBER(VLOOKUP($D27,'Visu totale'!$D:$DH,CH$1,0)),CG27-VLOOKUP($D27,'Visu totale'!$D:$DH,CH$1,0),IF(LEFT(VLOOKUP($D27,'Visu totale'!$D:$DH,CH$1,0),1)="V",IF(CG27&gt;=INDEX('[1]Définition Maintenances'!$G:$G,MATCH($A27,'[1]Définition Maintenances'!$K:$K,0)),CG27,INDEX('[1]Définition Maintenances'!$G:$G,MATCH($A27,'[1]Définition Maintenances'!$K:$K,0))+CG27),CG27))</f>
        <v>358</v>
      </c>
      <c r="CI27" s="26">
        <f>IF(ISNUMBER(VLOOKUP($D27,'Visu totale'!$D:$DH,CI$1,0)),CH27-VLOOKUP($D27,'Visu totale'!$D:$DH,CI$1,0),IF(LEFT(VLOOKUP($D27,'Visu totale'!$D:$DH,CI$1,0),1)="V",IF(CH27&gt;=INDEX('[1]Définition Maintenances'!$G:$G,MATCH($A27,'[1]Définition Maintenances'!$K:$K,0)),CH27,INDEX('[1]Définition Maintenances'!$G:$G,MATCH($A27,'[1]Définition Maintenances'!$K:$K,0))+CH27),CH27))</f>
        <v>358</v>
      </c>
      <c r="CJ27" s="26">
        <f>IF(ISNUMBER(VLOOKUP($D27,'Visu totale'!$D:$DH,CJ$1,0)),CI27-VLOOKUP($D27,'Visu totale'!$D:$DH,CJ$1,0),IF(LEFT(VLOOKUP($D27,'Visu totale'!$D:$DH,CJ$1,0),1)="V",IF(CI27&gt;=INDEX('[1]Définition Maintenances'!$G:$G,MATCH($A27,'[1]Définition Maintenances'!$K:$K,0)),CI27,INDEX('[1]Définition Maintenances'!$G:$G,MATCH($A27,'[1]Définition Maintenances'!$K:$K,0))+CI27),CI27))</f>
        <v>358</v>
      </c>
      <c r="CK27" s="27">
        <f>IF(ISNUMBER(VLOOKUP($D27,'Visu totale'!$D:$DH,CK$1,0)),CJ27-VLOOKUP($D27,'Visu totale'!$D:$DH,CK$1,0),IF(LEFT(VLOOKUP($D27,'Visu totale'!$D:$DH,CK$1,0),1)="V",IF(CJ27&gt;=INDEX('[1]Définition Maintenances'!$G:$G,MATCH($A27,'[1]Définition Maintenances'!$K:$K,0)),CJ27,INDEX('[1]Définition Maintenances'!$G:$G,MATCH($A27,'[1]Définition Maintenances'!$K:$K,0))+CJ27),CJ27))</f>
        <v>358</v>
      </c>
      <c r="CL27" s="25">
        <f>IF(ISNUMBER(VLOOKUP($D27,'Visu totale'!$D:$DH,CL$1,0)),CK27-VLOOKUP($D27,'Visu totale'!$D:$DH,CL$1,0),IF(LEFT(VLOOKUP($D27,'Visu totale'!$D:$DH,CL$1,0),1)="V",IF(CK27&gt;=INDEX('[1]Définition Maintenances'!$G:$G,MATCH($A27,'[1]Définition Maintenances'!$K:$K,0)),CK27,INDEX('[1]Définition Maintenances'!$G:$G,MATCH($A27,'[1]Définition Maintenances'!$K:$K,0))+CK27),CK27))</f>
        <v>358</v>
      </c>
      <c r="CM27" s="26">
        <f>IF(ISNUMBER(VLOOKUP($D27,'Visu totale'!$D:$DH,CM$1,0)),CL27-VLOOKUP($D27,'Visu totale'!$D:$DH,CM$1,0),IF(LEFT(VLOOKUP($D27,'Visu totale'!$D:$DH,CM$1,0),1)="V",IF(CL27&gt;=INDEX('[1]Définition Maintenances'!$G:$G,MATCH($A27,'[1]Définition Maintenances'!$K:$K,0)),CL27,INDEX('[1]Définition Maintenances'!$G:$G,MATCH($A27,'[1]Définition Maintenances'!$K:$K,0))+CL27),CL27))</f>
        <v>358</v>
      </c>
      <c r="CN27" s="26">
        <f>IF(ISNUMBER(VLOOKUP($D27,'Visu totale'!$D:$DH,CN$1,0)),CM27-VLOOKUP($D27,'Visu totale'!$D:$DH,CN$1,0),IF(LEFT(VLOOKUP($D27,'Visu totale'!$D:$DH,CN$1,0),1)="V",IF(CM27&gt;=INDEX('[1]Définition Maintenances'!$G:$G,MATCH($A27,'[1]Définition Maintenances'!$K:$K,0)),CM27,INDEX('[1]Définition Maintenances'!$G:$G,MATCH($A27,'[1]Définition Maintenances'!$K:$K,0))+CM27),CM27))</f>
        <v>358</v>
      </c>
      <c r="CO27" s="26">
        <f>IF(ISNUMBER(VLOOKUP($D27,'Visu totale'!$D:$DH,CO$1,0)),CN27-VLOOKUP($D27,'Visu totale'!$D:$DH,CO$1,0),IF(LEFT(VLOOKUP($D27,'Visu totale'!$D:$DH,CO$1,0),1)="V",IF(CN27&gt;=INDEX('[1]Définition Maintenances'!$G:$G,MATCH($A27,'[1]Définition Maintenances'!$K:$K,0)),CN27,INDEX('[1]Définition Maintenances'!$G:$G,MATCH($A27,'[1]Définition Maintenances'!$K:$K,0))+CN27),CN27))</f>
        <v>358</v>
      </c>
      <c r="CP27" s="26">
        <f>IF(ISNUMBER(VLOOKUP($D27,'Visu totale'!$D:$DH,CP$1,0)),CO27-VLOOKUP($D27,'Visu totale'!$D:$DH,CP$1,0),IF(LEFT(VLOOKUP($D27,'Visu totale'!$D:$DH,CP$1,0),1)="V",IF(CO27&gt;=INDEX('[1]Définition Maintenances'!$G:$G,MATCH($A27,'[1]Définition Maintenances'!$K:$K,0)),CO27,INDEX('[1]Définition Maintenances'!$G:$G,MATCH($A27,'[1]Définition Maintenances'!$K:$K,0))+CO27),CO27))</f>
        <v>358</v>
      </c>
      <c r="CQ27" s="26">
        <f>IF(ISNUMBER(VLOOKUP($D27,'Visu totale'!$D:$DH,CQ$1,0)),CP27-VLOOKUP($D27,'Visu totale'!$D:$DH,CQ$1,0),IF(LEFT(VLOOKUP($D27,'Visu totale'!$D:$DH,CQ$1,0),1)="V",IF(CP27&gt;=INDEX('[1]Définition Maintenances'!$G:$G,MATCH($A27,'[1]Définition Maintenances'!$K:$K,0)),CP27,INDEX('[1]Définition Maintenances'!$G:$G,MATCH($A27,'[1]Définition Maintenances'!$K:$K,0))+CP27),CP27))</f>
        <v>358</v>
      </c>
      <c r="CR27" s="26">
        <f>IF(ISNUMBER(VLOOKUP($D27,'Visu totale'!$D:$DH,CR$1,0)),CQ27-VLOOKUP($D27,'Visu totale'!$D:$DH,CR$1,0),IF(LEFT(VLOOKUP($D27,'Visu totale'!$D:$DH,CR$1,0),1)="V",IF(CQ27&gt;=INDEX('[1]Définition Maintenances'!$G:$G,MATCH($A27,'[1]Définition Maintenances'!$K:$K,0)),CQ27,INDEX('[1]Définition Maintenances'!$G:$G,MATCH($A27,'[1]Définition Maintenances'!$K:$K,0))+CQ27),CQ27))</f>
        <v>358</v>
      </c>
      <c r="CS27" s="26">
        <f>IF(ISNUMBER(VLOOKUP($D27,'Visu totale'!$D:$DH,CS$1,0)),CR27-VLOOKUP($D27,'Visu totale'!$D:$DH,CS$1,0),IF(LEFT(VLOOKUP($D27,'Visu totale'!$D:$DH,CS$1,0),1)="V",IF(CR27&gt;=INDEX('[1]Définition Maintenances'!$G:$G,MATCH($A27,'[1]Définition Maintenances'!$K:$K,0)),CR27,INDEX('[1]Définition Maintenances'!$G:$G,MATCH($A27,'[1]Définition Maintenances'!$K:$K,0))+CR27),CR27))</f>
        <v>358</v>
      </c>
      <c r="CT27" s="26">
        <f>IF(ISNUMBER(VLOOKUP($D27,'Visu totale'!$D:$DH,CT$1,0)),CS27-VLOOKUP($D27,'Visu totale'!$D:$DH,CT$1,0),IF(LEFT(VLOOKUP($D27,'Visu totale'!$D:$DH,CT$1,0),1)="V",IF(CS27&gt;=INDEX('[1]Définition Maintenances'!$G:$G,MATCH($A27,'[1]Définition Maintenances'!$K:$K,0)),CS27,INDEX('[1]Définition Maintenances'!$G:$G,MATCH($A27,'[1]Définition Maintenances'!$K:$K,0))+CS27),CS27))</f>
        <v>358</v>
      </c>
      <c r="CU27" s="26">
        <f>IF(ISNUMBER(VLOOKUP($D27,'Visu totale'!$D:$DH,CU$1,0)),CT27-VLOOKUP($D27,'Visu totale'!$D:$DH,CU$1,0),IF(LEFT(VLOOKUP($D27,'Visu totale'!$D:$DH,CU$1,0),1)="V",IF(CT27&gt;=INDEX('[1]Définition Maintenances'!$G:$G,MATCH($A27,'[1]Définition Maintenances'!$K:$K,0)),CT27,INDEX('[1]Définition Maintenances'!$G:$G,MATCH($A27,'[1]Définition Maintenances'!$K:$K,0))+CT27),CT27))</f>
        <v>358</v>
      </c>
      <c r="CV27" s="26">
        <f>IF(ISNUMBER(VLOOKUP($D27,'Visu totale'!$D:$DH,CV$1,0)),CU27-VLOOKUP($D27,'Visu totale'!$D:$DH,CV$1,0),IF(LEFT(VLOOKUP($D27,'Visu totale'!$D:$DH,CV$1,0),1)="V",IF(CU27&gt;=INDEX('[1]Définition Maintenances'!$G:$G,MATCH($A27,'[1]Définition Maintenances'!$K:$K,0)),CU27,INDEX('[1]Définition Maintenances'!$G:$G,MATCH($A27,'[1]Définition Maintenances'!$K:$K,0))+CU27),CU27))</f>
        <v>358</v>
      </c>
      <c r="CW27" s="27">
        <f>IF(ISNUMBER(VLOOKUP($D27,'Visu totale'!$D:$DH,CW$1,0)),CV27-VLOOKUP($D27,'Visu totale'!$D:$DH,CW$1,0),IF(LEFT(VLOOKUP($D27,'Visu totale'!$D:$DH,CW$1,0),1)="V",IF(CV27&gt;=INDEX('[1]Définition Maintenances'!$G:$G,MATCH($A27,'[1]Définition Maintenances'!$K:$K,0)),CV27,INDEX('[1]Définition Maintenances'!$G:$G,MATCH($A27,'[1]Définition Maintenances'!$K:$K,0))+CV27),CV27))</f>
        <v>358</v>
      </c>
      <c r="CX27" s="25">
        <f>IF(ISNUMBER(VLOOKUP($D27,'Visu totale'!$D:$DH,CX$1,0)),CW27-VLOOKUP($D27,'Visu totale'!$D:$DH,CX$1,0),IF(LEFT(VLOOKUP($D27,'Visu totale'!$D:$DH,CX$1,0),1)="V",IF(CW27&gt;=INDEX('[1]Définition Maintenances'!$G:$G,MATCH($A27,'[1]Définition Maintenances'!$K:$K,0)),CW27,INDEX('[1]Définition Maintenances'!$G:$G,MATCH($A27,'[1]Définition Maintenances'!$K:$K,0))+CW27),CW27))</f>
        <v>358</v>
      </c>
      <c r="CY27" s="26">
        <f>IF(ISNUMBER(VLOOKUP($D27,'Visu totale'!$D:$DH,CY$1,0)),CX27-VLOOKUP($D27,'Visu totale'!$D:$DH,CY$1,0),IF(LEFT(VLOOKUP($D27,'Visu totale'!$D:$DH,CY$1,0),1)="V",IF(CX27&gt;=INDEX('[1]Définition Maintenances'!$G:$G,MATCH($A27,'[1]Définition Maintenances'!$K:$K,0)),CX27,INDEX('[1]Définition Maintenances'!$G:$G,MATCH($A27,'[1]Définition Maintenances'!$K:$K,0))+CX27),CX27))</f>
        <v>358</v>
      </c>
      <c r="CZ27" s="26">
        <f>IF(ISNUMBER(VLOOKUP($D27,'Visu totale'!$D:$DH,CZ$1,0)),CY27-VLOOKUP($D27,'Visu totale'!$D:$DH,CZ$1,0),IF(LEFT(VLOOKUP($D27,'Visu totale'!$D:$DH,CZ$1,0),1)="V",IF(CY27&gt;=INDEX('[1]Définition Maintenances'!$G:$G,MATCH($A27,'[1]Définition Maintenances'!$K:$K,0)),CY27,INDEX('[1]Définition Maintenances'!$G:$G,MATCH($A27,'[1]Définition Maintenances'!$K:$K,0))+CY27),CY27))</f>
        <v>358</v>
      </c>
      <c r="DA27" s="26">
        <f>IF(ISNUMBER(VLOOKUP($D27,'Visu totale'!$D:$DH,DA$1,0)),CZ27-VLOOKUP($D27,'Visu totale'!$D:$DH,DA$1,0),IF(LEFT(VLOOKUP($D27,'Visu totale'!$D:$DH,DA$1,0),1)="V",IF(CZ27&gt;=INDEX('[1]Définition Maintenances'!$G:$G,MATCH($A27,'[1]Définition Maintenances'!$K:$K,0)),CZ27,INDEX('[1]Définition Maintenances'!$G:$G,MATCH($A27,'[1]Définition Maintenances'!$K:$K,0))+CZ27),CZ27))</f>
        <v>358</v>
      </c>
      <c r="DB27" s="26">
        <f>IF(ISNUMBER(VLOOKUP($D27,'Visu totale'!$D:$DH,DB$1,0)),DA27-VLOOKUP($D27,'Visu totale'!$D:$DH,DB$1,0),IF(LEFT(VLOOKUP($D27,'Visu totale'!$D:$DH,DB$1,0),1)="V",IF(DA27&gt;=INDEX('[1]Définition Maintenances'!$G:$G,MATCH($A27,'[1]Définition Maintenances'!$K:$K,0)),DA27,INDEX('[1]Définition Maintenances'!$G:$G,MATCH($A27,'[1]Définition Maintenances'!$K:$K,0))+DA27),DA27))</f>
        <v>358</v>
      </c>
      <c r="DC27" s="26">
        <f>IF(ISNUMBER(VLOOKUP($D27,'Visu totale'!$D:$DH,DC$1,0)),DB27-VLOOKUP($D27,'Visu totale'!$D:$DH,DC$1,0),IF(LEFT(VLOOKUP($D27,'Visu totale'!$D:$DH,DC$1,0),1)="V",IF(DB27&gt;=INDEX('[1]Définition Maintenances'!$G:$G,MATCH($A27,'[1]Définition Maintenances'!$K:$K,0)),DB27,INDEX('[1]Définition Maintenances'!$G:$G,MATCH($A27,'[1]Définition Maintenances'!$K:$K,0))+DB27),DB27))</f>
        <v>358</v>
      </c>
      <c r="DD27" s="26">
        <f>IF(ISNUMBER(VLOOKUP($D27,'Visu totale'!$D:$DH,DD$1,0)),DC27-VLOOKUP($D27,'Visu totale'!$D:$DH,DD$1,0),IF(LEFT(VLOOKUP($D27,'Visu totale'!$D:$DH,DD$1,0),1)="V",IF(DC27&gt;=INDEX('[1]Définition Maintenances'!$G:$G,MATCH($A27,'[1]Définition Maintenances'!$K:$K,0)),DC27,INDEX('[1]Définition Maintenances'!$G:$G,MATCH($A27,'[1]Définition Maintenances'!$K:$K,0))+DC27),DC27))</f>
        <v>358</v>
      </c>
      <c r="DE27" s="26">
        <f>IF(ISNUMBER(VLOOKUP($D27,'Visu totale'!$D:$DH,DE$1,0)),DD27-VLOOKUP($D27,'Visu totale'!$D:$DH,DE$1,0),IF(LEFT(VLOOKUP($D27,'Visu totale'!$D:$DH,DE$1,0),1)="V",IF(DD27&gt;=INDEX('[1]Définition Maintenances'!$G:$G,MATCH($A27,'[1]Définition Maintenances'!$K:$K,0)),DD27,INDEX('[1]Définition Maintenances'!$G:$G,MATCH($A27,'[1]Définition Maintenances'!$K:$K,0))+DD27),DD27))</f>
        <v>358</v>
      </c>
      <c r="DF27" s="26">
        <f>IF(ISNUMBER(VLOOKUP($D27,'Visu totale'!$D:$DH,DF$1,0)),DE27-VLOOKUP($D27,'Visu totale'!$D:$DH,DF$1,0),IF(LEFT(VLOOKUP($D27,'Visu totale'!$D:$DH,DF$1,0),1)="V",IF(DE27&gt;=INDEX('[1]Définition Maintenances'!$G:$G,MATCH($A27,'[1]Définition Maintenances'!$K:$K,0)),DE27,INDEX('[1]Définition Maintenances'!$G:$G,MATCH($A27,'[1]Définition Maintenances'!$K:$K,0))+DE27),DE27))</f>
        <v>358</v>
      </c>
      <c r="DG27" s="26">
        <f>IF(ISNUMBER(VLOOKUP($D27,'Visu totale'!$D:$DH,DG$1,0)),DF27-VLOOKUP($D27,'Visu totale'!$D:$DH,DG$1,0),IF(LEFT(VLOOKUP($D27,'Visu totale'!$D:$DH,DG$1,0),1)="V",IF(DF27&gt;=INDEX('[1]Définition Maintenances'!$G:$G,MATCH($A27,'[1]Définition Maintenances'!$K:$K,0)),DF27,INDEX('[1]Définition Maintenances'!$G:$G,MATCH($A27,'[1]Définition Maintenances'!$K:$K,0))+DF27),DF27))</f>
        <v>358</v>
      </c>
      <c r="DH27" s="26">
        <f>IF(ISNUMBER(VLOOKUP($D27,'Visu totale'!$D:$DH,DH$1,0)),DG27-VLOOKUP($D27,'Visu totale'!$D:$DH,DH$1,0),IF(LEFT(VLOOKUP($D27,'Visu totale'!$D:$DH,DH$1,0),1)="V",IF(DG27&gt;=INDEX('[1]Définition Maintenances'!$G:$G,MATCH($A27,'[1]Définition Maintenances'!$K:$K,0)),DG27,INDEX('[1]Définition Maintenances'!$G:$G,MATCH($A27,'[1]Définition Maintenances'!$K:$K,0))+DG27),DG27))</f>
        <v>358</v>
      </c>
      <c r="DI27" s="27">
        <f>IF(ISNUMBER(VLOOKUP($D27,'Visu totale'!$D:$DH,DI$1,0)),DH27-VLOOKUP($D27,'Visu totale'!$D:$DH,DI$1,0),IF(LEFT(VLOOKUP($D27,'Visu totale'!$D:$DH,DI$1,0),1)="V",IF(DH27&gt;=INDEX('[1]Définition Maintenances'!$G:$G,MATCH($A27,'[1]Définition Maintenances'!$K:$K,0)),DH27,INDEX('[1]Définition Maintenances'!$G:$G,MATCH($A27,'[1]Définition Maintenances'!$K:$K,0))+DH27),DH27))</f>
        <v>358</v>
      </c>
    </row>
    <row r="28" spans="1:113" x14ac:dyDescent="0.25">
      <c r="A28" s="13" t="str">
        <f t="shared" si="0"/>
        <v>V10D</v>
      </c>
      <c r="B28" s="13" t="str">
        <f>VLOOKUP(D28,'[1]Avions (Potentiels)'!$B$2:$H$128,7,FALSE)</f>
        <v>V10</v>
      </c>
      <c r="C28" s="13"/>
      <c r="D28" s="16" t="s">
        <v>31</v>
      </c>
      <c r="E28" s="13">
        <f>IFERROR(VALUE(SUBSTITUTE(VLOOKUP(D28,'[1]Avions (Potentiels)'!$B:$E,4,0),".",",")),VALUE(VLOOKUP(D28,'[1]Avions (Potentiels)'!$B:$E,4,0)))</f>
        <v>223</v>
      </c>
      <c r="F28" s="25">
        <f>IF(ISNUMBER(VLOOKUP($D28,'Visu totale'!$D:$DH,F$1,0)),E28-VLOOKUP($D28,'Visu totale'!$D:$DH,F$1,0),IF(LEFT(VLOOKUP($D28,'Visu totale'!$D:$DH,F$1,0),1)="V",IF(E28&gt;=INDEX('[1]Définition Maintenances'!$G:$G,MATCH($A28,'[1]Définition Maintenances'!$K:$K,0)),E28,INDEX('[1]Définition Maintenances'!$G:$G,MATCH($A28,'[1]Définition Maintenances'!$K:$K,0))+E28),E28))</f>
        <v>223</v>
      </c>
      <c r="G28" s="26">
        <f>IF(ISNUMBER(VLOOKUP($D28,'Visu totale'!$D:$DH,G$1,0)),F28-VLOOKUP($D28,'Visu totale'!$D:$DH,G$1,0),IF(LEFT(VLOOKUP($D28,'Visu totale'!$D:$DH,G$1,0),1)="V",IF(F28&gt;=INDEX('[1]Définition Maintenances'!$G:$G,MATCH($A28,'[1]Définition Maintenances'!$K:$K,0)),F28,INDEX('[1]Définition Maintenances'!$G:$G,MATCH($A28,'[1]Définition Maintenances'!$K:$K,0))+F28),F28))</f>
        <v>223</v>
      </c>
      <c r="H28" s="26">
        <f>IF(ISNUMBER(VLOOKUP($D28,'Visu totale'!$D:$DH,H$1,0)),G28-VLOOKUP($D28,'Visu totale'!$D:$DH,H$1,0),IF(LEFT(VLOOKUP($D28,'Visu totale'!$D:$DH,H$1,0),1)="V",IF(G28&gt;=INDEX('[1]Définition Maintenances'!$G:$G,MATCH($A28,'[1]Définition Maintenances'!$K:$K,0)),G28,INDEX('[1]Définition Maintenances'!$G:$G,MATCH($A28,'[1]Définition Maintenances'!$K:$K,0))+G28),G28))</f>
        <v>223</v>
      </c>
      <c r="I28" s="26">
        <f>IF(ISNUMBER(VLOOKUP($D28,'Visu totale'!$D:$DH,I$1,0)),H28-VLOOKUP($D28,'Visu totale'!$D:$DH,I$1,0),IF(LEFT(VLOOKUP($D28,'Visu totale'!$D:$DH,I$1,0),1)="V",IF(H28&gt;=INDEX('[1]Définition Maintenances'!$G:$G,MATCH($A28,'[1]Définition Maintenances'!$K:$K,0)),H28,INDEX('[1]Définition Maintenances'!$G:$G,MATCH($A28,'[1]Définition Maintenances'!$K:$K,0))+H28),H28))</f>
        <v>223</v>
      </c>
      <c r="J28" s="26">
        <f>IF(ISNUMBER(VLOOKUP($D28,'Visu totale'!$D:$DH,J$1,0)),I28-VLOOKUP($D28,'Visu totale'!$D:$DH,J$1,0),IF(LEFT(VLOOKUP($D28,'Visu totale'!$D:$DH,J$1,0),1)="V",IF(I28&gt;=INDEX('[1]Définition Maintenances'!$G:$G,MATCH($A28,'[1]Définition Maintenances'!$K:$K,0)),I28,INDEX('[1]Définition Maintenances'!$G:$G,MATCH($A28,'[1]Définition Maintenances'!$K:$K,0))+I28),I28))</f>
        <v>223</v>
      </c>
      <c r="K28" s="26">
        <f>IF(ISNUMBER(VLOOKUP($D28,'Visu totale'!$D:$DH,K$1,0)),J28-VLOOKUP($D28,'Visu totale'!$D:$DH,K$1,0),IF(LEFT(VLOOKUP($D28,'Visu totale'!$D:$DH,K$1,0),1)="V",IF(J28&gt;=INDEX('[1]Définition Maintenances'!$G:$G,MATCH($A28,'[1]Définition Maintenances'!$K:$K,0)),J28,INDEX('[1]Définition Maintenances'!$G:$G,MATCH($A28,'[1]Définition Maintenances'!$K:$K,0))+J28),J28))</f>
        <v>223</v>
      </c>
      <c r="L28" s="26">
        <f>IF(ISNUMBER(VLOOKUP($D28,'Visu totale'!$D:$DH,L$1,0)),K28-VLOOKUP($D28,'Visu totale'!$D:$DH,L$1,0),IF(LEFT(VLOOKUP($D28,'Visu totale'!$D:$DH,L$1,0),1)="V",IF(K28&gt;=INDEX('[1]Définition Maintenances'!$G:$G,MATCH($A28,'[1]Définition Maintenances'!$K:$K,0)),K28,INDEX('[1]Définition Maintenances'!$G:$G,MATCH($A28,'[1]Définition Maintenances'!$K:$K,0))+K28),K28))</f>
        <v>223</v>
      </c>
      <c r="M28" s="26">
        <f>IF(ISNUMBER(VLOOKUP($D28,'Visu totale'!$D:$DH,M$1,0)),L28-VLOOKUP($D28,'Visu totale'!$D:$DH,M$1,0),IF(LEFT(VLOOKUP($D28,'Visu totale'!$D:$DH,M$1,0),1)="V",IF(L28&gt;=INDEX('[1]Définition Maintenances'!$G:$G,MATCH($A28,'[1]Définition Maintenances'!$K:$K,0)),L28,INDEX('[1]Définition Maintenances'!$G:$G,MATCH($A28,'[1]Définition Maintenances'!$K:$K,0))+L28),L28))</f>
        <v>223</v>
      </c>
      <c r="N28" s="26">
        <f>IF(ISNUMBER(VLOOKUP($D28,'Visu totale'!$D:$DH,N$1,0)),M28-VLOOKUP($D28,'Visu totale'!$D:$DH,N$1,0),IF(LEFT(VLOOKUP($D28,'Visu totale'!$D:$DH,N$1,0),1)="V",IF(M28&gt;=INDEX('[1]Définition Maintenances'!$G:$G,MATCH($A28,'[1]Définition Maintenances'!$K:$K,0)),M28,INDEX('[1]Définition Maintenances'!$G:$G,MATCH($A28,'[1]Définition Maintenances'!$K:$K,0))+M28),M28))</f>
        <v>223</v>
      </c>
      <c r="O28" s="26">
        <f>IF(ISNUMBER(VLOOKUP($D28,'Visu totale'!$D:$DH,O$1,0)),N28-VLOOKUP($D28,'Visu totale'!$D:$DH,O$1,0),IF(LEFT(VLOOKUP($D28,'Visu totale'!$D:$DH,O$1,0),1)="V",IF(N28&gt;=INDEX('[1]Définition Maintenances'!$G:$G,MATCH($A28,'[1]Définition Maintenances'!$K:$K,0)),N28,INDEX('[1]Définition Maintenances'!$G:$G,MATCH($A28,'[1]Définition Maintenances'!$K:$K,0))+N28),N28))</f>
        <v>223</v>
      </c>
      <c r="P28" s="26">
        <f>IF(ISNUMBER(VLOOKUP($D28,'Visu totale'!$D:$DH,P$1,0)),O28-VLOOKUP($D28,'Visu totale'!$D:$DH,P$1,0),IF(LEFT(VLOOKUP($D28,'Visu totale'!$D:$DH,P$1,0),1)="V",IF(O28&gt;=INDEX('[1]Définition Maintenances'!$G:$G,MATCH($A28,'[1]Définition Maintenances'!$K:$K,0)),O28,INDEX('[1]Définition Maintenances'!$G:$G,MATCH($A28,'[1]Définition Maintenances'!$K:$K,0))+O28),O28))</f>
        <v>223</v>
      </c>
      <c r="Q28" s="27">
        <f>IF(ISNUMBER(VLOOKUP($D28,'Visu totale'!$D:$DH,Q$1,0)),P28-VLOOKUP($D28,'Visu totale'!$D:$DH,Q$1,0),IF(LEFT(VLOOKUP($D28,'Visu totale'!$D:$DH,Q$1,0),1)="V",IF(P28&gt;=INDEX('[1]Définition Maintenances'!$G:$G,MATCH($A28,'[1]Définition Maintenances'!$K:$K,0)),P28,INDEX('[1]Définition Maintenances'!$G:$G,MATCH($A28,'[1]Définition Maintenances'!$K:$K,0))+P28),P28))</f>
        <v>223</v>
      </c>
      <c r="R28" s="25">
        <f>IF(ISNUMBER(VLOOKUP($D28,'Visu totale'!$D:$DH,R$1,0)),Q28-VLOOKUP($D28,'Visu totale'!$D:$DH,R$1,0),IF(LEFT(VLOOKUP($D28,'Visu totale'!$D:$DH,R$1,0),1)="V",IF(Q28&gt;=INDEX('[1]Définition Maintenances'!$G:$G,MATCH($A28,'[1]Définition Maintenances'!$K:$K,0)),Q28,INDEX('[1]Définition Maintenances'!$G:$G,MATCH($A28,'[1]Définition Maintenances'!$K:$K,0))+Q28),Q28))</f>
        <v>223</v>
      </c>
      <c r="S28" s="26">
        <f>IF(ISNUMBER(VLOOKUP($D28,'Visu totale'!$D:$DH,S$1,0)),R28-VLOOKUP($D28,'Visu totale'!$D:$DH,S$1,0),IF(LEFT(VLOOKUP($D28,'Visu totale'!$D:$DH,S$1,0),1)="V",IF(R28&gt;=INDEX('[1]Définition Maintenances'!$G:$G,MATCH($A28,'[1]Définition Maintenances'!$K:$K,0)),R28,INDEX('[1]Définition Maintenances'!$G:$G,MATCH($A28,'[1]Définition Maintenances'!$K:$K,0))+R28),R28))</f>
        <v>223</v>
      </c>
      <c r="T28" s="26">
        <f>IF(ISNUMBER(VLOOKUP($D28,'Visu totale'!$D:$DH,T$1,0)),S28-VLOOKUP($D28,'Visu totale'!$D:$DH,T$1,0),IF(LEFT(VLOOKUP($D28,'Visu totale'!$D:$DH,T$1,0),1)="V",IF(S28&gt;=INDEX('[1]Définition Maintenances'!$G:$G,MATCH($A28,'[1]Définition Maintenances'!$K:$K,0)),S28,INDEX('[1]Définition Maintenances'!$G:$G,MATCH($A28,'[1]Définition Maintenances'!$K:$K,0))+S28),S28))</f>
        <v>223</v>
      </c>
      <c r="U28" s="26">
        <f>IF(ISNUMBER(VLOOKUP($D28,'Visu totale'!$D:$DH,U$1,0)),T28-VLOOKUP($D28,'Visu totale'!$D:$DH,U$1,0),IF(LEFT(VLOOKUP($D28,'Visu totale'!$D:$DH,U$1,0),1)="V",IF(T28&gt;=INDEX('[1]Définition Maintenances'!$G:$G,MATCH($A28,'[1]Définition Maintenances'!$K:$K,0)),T28,INDEX('[1]Définition Maintenances'!$G:$G,MATCH($A28,'[1]Définition Maintenances'!$K:$K,0))+T28),T28))</f>
        <v>223</v>
      </c>
      <c r="V28" s="26">
        <f>IF(ISNUMBER(VLOOKUP($D28,'Visu totale'!$D:$DH,V$1,0)),U28-VLOOKUP($D28,'Visu totale'!$D:$DH,V$1,0),IF(LEFT(VLOOKUP($D28,'Visu totale'!$D:$DH,V$1,0),1)="V",IF(U28&gt;=INDEX('[1]Définition Maintenances'!$G:$G,MATCH($A28,'[1]Définition Maintenances'!$K:$K,0)),U28,INDEX('[1]Définition Maintenances'!$G:$G,MATCH($A28,'[1]Définition Maintenances'!$K:$K,0))+U28),U28))</f>
        <v>223</v>
      </c>
      <c r="W28" s="26">
        <f>IF(ISNUMBER(VLOOKUP($D28,'Visu totale'!$D:$DH,W$1,0)),V28-VLOOKUP($D28,'Visu totale'!$D:$DH,W$1,0),IF(LEFT(VLOOKUP($D28,'Visu totale'!$D:$DH,W$1,0),1)="V",IF(V28&gt;=INDEX('[1]Définition Maintenances'!$G:$G,MATCH($A28,'[1]Définition Maintenances'!$K:$K,0)),V28,INDEX('[1]Définition Maintenances'!$G:$G,MATCH($A28,'[1]Définition Maintenances'!$K:$K,0))+V28),V28))</f>
        <v>223</v>
      </c>
      <c r="X28" s="26">
        <f>IF(ISNUMBER(VLOOKUP($D28,'Visu totale'!$D:$DH,X$1,0)),W28-VLOOKUP($D28,'Visu totale'!$D:$DH,X$1,0),IF(LEFT(VLOOKUP($D28,'Visu totale'!$D:$DH,X$1,0),1)="V",IF(W28&gt;=INDEX('[1]Définition Maintenances'!$G:$G,MATCH($A28,'[1]Définition Maintenances'!$K:$K,0)),W28,INDEX('[1]Définition Maintenances'!$G:$G,MATCH($A28,'[1]Définition Maintenances'!$K:$K,0))+W28),W28))</f>
        <v>223</v>
      </c>
      <c r="Y28" s="26">
        <f>IF(ISNUMBER(VLOOKUP($D28,'Visu totale'!$D:$DH,Y$1,0)),X28-VLOOKUP($D28,'Visu totale'!$D:$DH,Y$1,0),IF(LEFT(VLOOKUP($D28,'Visu totale'!$D:$DH,Y$1,0),1)="V",IF(X28&gt;=INDEX('[1]Définition Maintenances'!$G:$G,MATCH($A28,'[1]Définition Maintenances'!$K:$K,0)),X28,INDEX('[1]Définition Maintenances'!$G:$G,MATCH($A28,'[1]Définition Maintenances'!$K:$K,0))+X28),X28))</f>
        <v>223</v>
      </c>
      <c r="Z28" s="26">
        <f>IF(ISNUMBER(VLOOKUP($D28,'Visu totale'!$D:$DH,Z$1,0)),Y28-VLOOKUP($D28,'Visu totale'!$D:$DH,Z$1,0),IF(LEFT(VLOOKUP($D28,'Visu totale'!$D:$DH,Z$1,0),1)="V",IF(Y28&gt;=INDEX('[1]Définition Maintenances'!$G:$G,MATCH($A28,'[1]Définition Maintenances'!$K:$K,0)),Y28,INDEX('[1]Définition Maintenances'!$G:$G,MATCH($A28,'[1]Définition Maintenances'!$K:$K,0))+Y28),Y28))</f>
        <v>223</v>
      </c>
      <c r="AA28" s="26">
        <f>IF(ISNUMBER(VLOOKUP($D28,'Visu totale'!$D:$DH,AA$1,0)),Z28-VLOOKUP($D28,'Visu totale'!$D:$DH,AA$1,0),IF(LEFT(VLOOKUP($D28,'Visu totale'!$D:$DH,AA$1,0),1)="V",IF(Z28&gt;=INDEX('[1]Définition Maintenances'!$G:$G,MATCH($A28,'[1]Définition Maintenances'!$K:$K,0)),Z28,INDEX('[1]Définition Maintenances'!$G:$G,MATCH($A28,'[1]Définition Maintenances'!$K:$K,0))+Z28),Z28))</f>
        <v>223</v>
      </c>
      <c r="AB28" s="26">
        <f>IF(ISNUMBER(VLOOKUP($D28,'Visu totale'!$D:$DH,AB$1,0)),AA28-VLOOKUP($D28,'Visu totale'!$D:$DH,AB$1,0),IF(LEFT(VLOOKUP($D28,'Visu totale'!$D:$DH,AB$1,0),1)="V",IF(AA28&gt;=INDEX('[1]Définition Maintenances'!$G:$G,MATCH($A28,'[1]Définition Maintenances'!$K:$K,0)),AA28,INDEX('[1]Définition Maintenances'!$G:$G,MATCH($A28,'[1]Définition Maintenances'!$K:$K,0))+AA28),AA28))</f>
        <v>223</v>
      </c>
      <c r="AC28" s="27">
        <f>IF(ISNUMBER(VLOOKUP($D28,'Visu totale'!$D:$DH,AC$1,0)),AB28-VLOOKUP($D28,'Visu totale'!$D:$DH,AC$1,0),IF(LEFT(VLOOKUP($D28,'Visu totale'!$D:$DH,AC$1,0),1)="V",IF(AB28&gt;=INDEX('[1]Définition Maintenances'!$G:$G,MATCH($A28,'[1]Définition Maintenances'!$K:$K,0)),AB28,INDEX('[1]Définition Maintenances'!$G:$G,MATCH($A28,'[1]Définition Maintenances'!$K:$K,0))+AB28),AB28))</f>
        <v>223</v>
      </c>
      <c r="AD28" s="25">
        <f>IF(ISNUMBER(VLOOKUP($D28,'Visu totale'!$D:$DH,AD$1,0)),AC28-VLOOKUP($D28,'Visu totale'!$D:$DH,AD$1,0),IF(LEFT(VLOOKUP($D28,'Visu totale'!$D:$DH,AD$1,0),1)="V",IF(AC28&gt;=INDEX('[1]Définition Maintenances'!$G:$G,MATCH($A28,'[1]Définition Maintenances'!$K:$K,0)),AC28,INDEX('[1]Définition Maintenances'!$G:$G,MATCH($A28,'[1]Définition Maintenances'!$K:$K,0))+AC28),AC28))</f>
        <v>223</v>
      </c>
      <c r="AE28" s="26">
        <f>IF(ISNUMBER(VLOOKUP($D28,'Visu totale'!$D:$DH,AE$1,0)),AD28-VLOOKUP($D28,'Visu totale'!$D:$DH,AE$1,0),IF(LEFT(VLOOKUP($D28,'Visu totale'!$D:$DH,AE$1,0),1)="V",IF(AD28&gt;=INDEX('[1]Définition Maintenances'!$G:$G,MATCH($A28,'[1]Définition Maintenances'!$K:$K,0)),AD28,INDEX('[1]Définition Maintenances'!$G:$G,MATCH($A28,'[1]Définition Maintenances'!$K:$K,0))+AD28),AD28))</f>
        <v>223</v>
      </c>
      <c r="AF28" s="26">
        <f>IF(ISNUMBER(VLOOKUP($D28,'Visu totale'!$D:$DH,AF$1,0)),AE28-VLOOKUP($D28,'Visu totale'!$D:$DH,AF$1,0),IF(LEFT(VLOOKUP($D28,'Visu totale'!$D:$DH,AF$1,0),1)="V",IF(AE28&gt;=INDEX('[1]Définition Maintenances'!$G:$G,MATCH($A28,'[1]Définition Maintenances'!$K:$K,0)),AE28,INDEX('[1]Définition Maintenances'!$G:$G,MATCH($A28,'[1]Définition Maintenances'!$K:$K,0))+AE28),AE28))</f>
        <v>223</v>
      </c>
      <c r="AG28" s="26">
        <f>IF(ISNUMBER(VLOOKUP($D28,'Visu totale'!$D:$DH,AG$1,0)),AF28-VLOOKUP($D28,'Visu totale'!$D:$DH,AG$1,0),IF(LEFT(VLOOKUP($D28,'Visu totale'!$D:$DH,AG$1,0),1)="V",IF(AF28&gt;=INDEX('[1]Définition Maintenances'!$G:$G,MATCH($A28,'[1]Définition Maintenances'!$K:$K,0)),AF28,INDEX('[1]Définition Maintenances'!$G:$G,MATCH($A28,'[1]Définition Maintenances'!$K:$K,0))+AF28),AF28))</f>
        <v>223</v>
      </c>
      <c r="AH28" s="26">
        <f>IF(ISNUMBER(VLOOKUP($D28,'Visu totale'!$D:$DH,AH$1,0)),AG28-VLOOKUP($D28,'Visu totale'!$D:$DH,AH$1,0),IF(LEFT(VLOOKUP($D28,'Visu totale'!$D:$DH,AH$1,0),1)="V",IF(AG28&gt;=INDEX('[1]Définition Maintenances'!$G:$G,MATCH($A28,'[1]Définition Maintenances'!$K:$K,0)),AG28,INDEX('[1]Définition Maintenances'!$G:$G,MATCH($A28,'[1]Définition Maintenances'!$K:$K,0))+AG28),AG28))</f>
        <v>223</v>
      </c>
      <c r="AI28" s="26">
        <f>IF(ISNUMBER(VLOOKUP($D28,'Visu totale'!$D:$DH,AI$1,0)),AH28-VLOOKUP($D28,'Visu totale'!$D:$DH,AI$1,0),IF(LEFT(VLOOKUP($D28,'Visu totale'!$D:$DH,AI$1,0),1)="V",IF(AH28&gt;=INDEX('[1]Définition Maintenances'!$G:$G,MATCH($A28,'[1]Définition Maintenances'!$K:$K,0)),AH28,INDEX('[1]Définition Maintenances'!$G:$G,MATCH($A28,'[1]Définition Maintenances'!$K:$K,0))+AH28),AH28))</f>
        <v>223</v>
      </c>
      <c r="AJ28" s="26">
        <f>IF(ISNUMBER(VLOOKUP($D28,'Visu totale'!$D:$DH,AJ$1,0)),AI28-VLOOKUP($D28,'Visu totale'!$D:$DH,AJ$1,0),IF(LEFT(VLOOKUP($D28,'Visu totale'!$D:$DH,AJ$1,0),1)="V",IF(AI28&gt;=INDEX('[1]Définition Maintenances'!$G:$G,MATCH($A28,'[1]Définition Maintenances'!$K:$K,0)),AI28,INDEX('[1]Définition Maintenances'!$G:$G,MATCH($A28,'[1]Définition Maintenances'!$K:$K,0))+AI28),AI28))</f>
        <v>223</v>
      </c>
      <c r="AK28" s="26">
        <f>IF(ISNUMBER(VLOOKUP($D28,'Visu totale'!$D:$DH,AK$1,0)),AJ28-VLOOKUP($D28,'Visu totale'!$D:$DH,AK$1,0),IF(LEFT(VLOOKUP($D28,'Visu totale'!$D:$DH,AK$1,0),1)="V",IF(AJ28&gt;=INDEX('[1]Définition Maintenances'!$G:$G,MATCH($A28,'[1]Définition Maintenances'!$K:$K,0)),AJ28,INDEX('[1]Définition Maintenances'!$G:$G,MATCH($A28,'[1]Définition Maintenances'!$K:$K,0))+AJ28),AJ28))</f>
        <v>223</v>
      </c>
      <c r="AL28" s="26">
        <f>IF(ISNUMBER(VLOOKUP($D28,'Visu totale'!$D:$DH,AL$1,0)),AK28-VLOOKUP($D28,'Visu totale'!$D:$DH,AL$1,0),IF(LEFT(VLOOKUP($D28,'Visu totale'!$D:$DH,AL$1,0),1)="V",IF(AK28&gt;=INDEX('[1]Définition Maintenances'!$G:$G,MATCH($A28,'[1]Définition Maintenances'!$K:$K,0)),AK28,INDEX('[1]Définition Maintenances'!$G:$G,MATCH($A28,'[1]Définition Maintenances'!$K:$K,0))+AK28),AK28))</f>
        <v>223</v>
      </c>
      <c r="AM28" s="26">
        <f>IF(ISNUMBER(VLOOKUP($D28,'Visu totale'!$D:$DH,AM$1,0)),AL28-VLOOKUP($D28,'Visu totale'!$D:$DH,AM$1,0),IF(LEFT(VLOOKUP($D28,'Visu totale'!$D:$DH,AM$1,0),1)="V",IF(AL28&gt;=INDEX('[1]Définition Maintenances'!$G:$G,MATCH($A28,'[1]Définition Maintenances'!$K:$K,0)),AL28,INDEX('[1]Définition Maintenances'!$G:$G,MATCH($A28,'[1]Définition Maintenances'!$K:$K,0))+AL28),AL28))</f>
        <v>223</v>
      </c>
      <c r="AN28" s="26">
        <f>IF(ISNUMBER(VLOOKUP($D28,'Visu totale'!$D:$DH,AN$1,0)),AM28-VLOOKUP($D28,'Visu totale'!$D:$DH,AN$1,0),IF(LEFT(VLOOKUP($D28,'Visu totale'!$D:$DH,AN$1,0),1)="V",IF(AM28&gt;=INDEX('[1]Définition Maintenances'!$G:$G,MATCH($A28,'[1]Définition Maintenances'!$K:$K,0)),AM28,INDEX('[1]Définition Maintenances'!$G:$G,MATCH($A28,'[1]Définition Maintenances'!$K:$K,0))+AM28),AM28))</f>
        <v>223</v>
      </c>
      <c r="AO28" s="27">
        <f>IF(ISNUMBER(VLOOKUP($D28,'Visu totale'!$D:$DH,AO$1,0)),AN28-VLOOKUP($D28,'Visu totale'!$D:$DH,AO$1,0),IF(LEFT(VLOOKUP($D28,'Visu totale'!$D:$DH,AO$1,0),1)="V",IF(AN28&gt;=INDEX('[1]Définition Maintenances'!$G:$G,MATCH($A28,'[1]Définition Maintenances'!$K:$K,0)),AN28,INDEX('[1]Définition Maintenances'!$G:$G,MATCH($A28,'[1]Définition Maintenances'!$K:$K,0))+AN28),AN28))</f>
        <v>223</v>
      </c>
      <c r="AP28" s="25">
        <f>IF(ISNUMBER(VLOOKUP($D28,'Visu totale'!$D:$DH,AP$1,0)),AO28-VLOOKUP($D28,'Visu totale'!$D:$DH,AP$1,0),IF(LEFT(VLOOKUP($D28,'Visu totale'!$D:$DH,AP$1,0),1)="V",IF(AO28&gt;=INDEX('[1]Définition Maintenances'!$G:$G,MATCH($A28,'[1]Définition Maintenances'!$K:$K,0)),AO28,INDEX('[1]Définition Maintenances'!$G:$G,MATCH($A28,'[1]Définition Maintenances'!$K:$K,0))+AO28),AO28))</f>
        <v>223</v>
      </c>
      <c r="AQ28" s="26">
        <f>IF(ISNUMBER(VLOOKUP($D28,'Visu totale'!$D:$DH,AQ$1,0)),AP28-VLOOKUP($D28,'Visu totale'!$D:$DH,AQ$1,0),IF(LEFT(VLOOKUP($D28,'Visu totale'!$D:$DH,AQ$1,0),1)="V",IF(AP28&gt;=INDEX('[1]Définition Maintenances'!$G:$G,MATCH($A28,'[1]Définition Maintenances'!$K:$K,0)),AP28,INDEX('[1]Définition Maintenances'!$G:$G,MATCH($A28,'[1]Définition Maintenances'!$K:$K,0))+AP28),AP28))</f>
        <v>223</v>
      </c>
      <c r="AR28" s="26">
        <f>IF(ISNUMBER(VLOOKUP($D28,'Visu totale'!$D:$DH,AR$1,0)),AQ28-VLOOKUP($D28,'Visu totale'!$D:$DH,AR$1,0),IF(LEFT(VLOOKUP($D28,'Visu totale'!$D:$DH,AR$1,0),1)="V",IF(AQ28&gt;=INDEX('[1]Définition Maintenances'!$G:$G,MATCH($A28,'[1]Définition Maintenances'!$K:$K,0)),AQ28,INDEX('[1]Définition Maintenances'!$G:$G,MATCH($A28,'[1]Définition Maintenances'!$K:$K,0))+AQ28),AQ28))</f>
        <v>223</v>
      </c>
      <c r="AS28" s="26">
        <f>IF(ISNUMBER(VLOOKUP($D28,'Visu totale'!$D:$DH,AS$1,0)),AR28-VLOOKUP($D28,'Visu totale'!$D:$DH,AS$1,0),IF(LEFT(VLOOKUP($D28,'Visu totale'!$D:$DH,AS$1,0),1)="V",IF(AR28&gt;=INDEX('[1]Définition Maintenances'!$G:$G,MATCH($A28,'[1]Définition Maintenances'!$K:$K,0)),AR28,INDEX('[1]Définition Maintenances'!$G:$G,MATCH($A28,'[1]Définition Maintenances'!$K:$K,0))+AR28),AR28))</f>
        <v>223</v>
      </c>
      <c r="AT28" s="26">
        <f>IF(ISNUMBER(VLOOKUP($D28,'Visu totale'!$D:$DH,AT$1,0)),AS28-VLOOKUP($D28,'Visu totale'!$D:$DH,AT$1,0),IF(LEFT(VLOOKUP($D28,'Visu totale'!$D:$DH,AT$1,0),1)="V",IF(AS28&gt;=INDEX('[1]Définition Maintenances'!$G:$G,MATCH($A28,'[1]Définition Maintenances'!$K:$K,0)),AS28,INDEX('[1]Définition Maintenances'!$G:$G,MATCH($A28,'[1]Définition Maintenances'!$K:$K,0))+AS28),AS28))</f>
        <v>223</v>
      </c>
      <c r="AU28" s="26">
        <f>IF(ISNUMBER(VLOOKUP($D28,'Visu totale'!$D:$DH,AU$1,0)),AT28-VLOOKUP($D28,'Visu totale'!$D:$DH,AU$1,0),IF(LEFT(VLOOKUP($D28,'Visu totale'!$D:$DH,AU$1,0),1)="V",IF(AT28&gt;=INDEX('[1]Définition Maintenances'!$G:$G,MATCH($A28,'[1]Définition Maintenances'!$K:$K,0)),AT28,INDEX('[1]Définition Maintenances'!$G:$G,MATCH($A28,'[1]Définition Maintenances'!$K:$K,0))+AT28),AT28))</f>
        <v>223</v>
      </c>
      <c r="AV28" s="26">
        <f>IF(ISNUMBER(VLOOKUP($D28,'Visu totale'!$D:$DH,AV$1,0)),AU28-VLOOKUP($D28,'Visu totale'!$D:$DH,AV$1,0),IF(LEFT(VLOOKUP($D28,'Visu totale'!$D:$DH,AV$1,0),1)="V",IF(AU28&gt;=INDEX('[1]Définition Maintenances'!$G:$G,MATCH($A28,'[1]Définition Maintenances'!$K:$K,0)),AU28,INDEX('[1]Définition Maintenances'!$G:$G,MATCH($A28,'[1]Définition Maintenances'!$K:$K,0))+AU28),AU28))</f>
        <v>223</v>
      </c>
      <c r="AW28" s="26">
        <f>IF(ISNUMBER(VLOOKUP($D28,'Visu totale'!$D:$DH,AW$1,0)),AV28-VLOOKUP($D28,'Visu totale'!$D:$DH,AW$1,0),IF(LEFT(VLOOKUP($D28,'Visu totale'!$D:$DH,AW$1,0),1)="V",IF(AV28&gt;=INDEX('[1]Définition Maintenances'!$G:$G,MATCH($A28,'[1]Définition Maintenances'!$K:$K,0)),AV28,INDEX('[1]Définition Maintenances'!$G:$G,MATCH($A28,'[1]Définition Maintenances'!$K:$K,0))+AV28),AV28))</f>
        <v>223</v>
      </c>
      <c r="AX28" s="26">
        <f>IF(ISNUMBER(VLOOKUP($D28,'Visu totale'!$D:$DH,AX$1,0)),AW28-VLOOKUP($D28,'Visu totale'!$D:$DH,AX$1,0),IF(LEFT(VLOOKUP($D28,'Visu totale'!$D:$DH,AX$1,0),1)="V",IF(AW28&gt;=INDEX('[1]Définition Maintenances'!$G:$G,MATCH($A28,'[1]Définition Maintenances'!$K:$K,0)),AW28,INDEX('[1]Définition Maintenances'!$G:$G,MATCH($A28,'[1]Définition Maintenances'!$K:$K,0))+AW28),AW28))</f>
        <v>223</v>
      </c>
      <c r="AY28" s="26">
        <f>IF(ISNUMBER(VLOOKUP($D28,'Visu totale'!$D:$DH,AY$1,0)),AX28-VLOOKUP($D28,'Visu totale'!$D:$DH,AY$1,0),IF(LEFT(VLOOKUP($D28,'Visu totale'!$D:$DH,AY$1,0),1)="V",IF(AX28&gt;=INDEX('[1]Définition Maintenances'!$G:$G,MATCH($A28,'[1]Définition Maintenances'!$K:$K,0)),AX28,INDEX('[1]Définition Maintenances'!$G:$G,MATCH($A28,'[1]Définition Maintenances'!$K:$K,0))+AX28),AX28))</f>
        <v>223</v>
      </c>
      <c r="AZ28" s="26">
        <f>IF(ISNUMBER(VLOOKUP($D28,'Visu totale'!$D:$DH,AZ$1,0)),AY28-VLOOKUP($D28,'Visu totale'!$D:$DH,AZ$1,0),IF(LEFT(VLOOKUP($D28,'Visu totale'!$D:$DH,AZ$1,0),1)="V",IF(AY28&gt;=INDEX('[1]Définition Maintenances'!$G:$G,MATCH($A28,'[1]Définition Maintenances'!$K:$K,0)),AY28,INDEX('[1]Définition Maintenances'!$G:$G,MATCH($A28,'[1]Définition Maintenances'!$K:$K,0))+AY28),AY28))</f>
        <v>223</v>
      </c>
      <c r="BA28" s="27">
        <f>IF(ISNUMBER(VLOOKUP($D28,'Visu totale'!$D:$DH,BA$1,0)),AZ28-VLOOKUP($D28,'Visu totale'!$D:$DH,BA$1,0),IF(LEFT(VLOOKUP($D28,'Visu totale'!$D:$DH,BA$1,0),1)="V",IF(AZ28&gt;=INDEX('[1]Définition Maintenances'!$G:$G,MATCH($A28,'[1]Définition Maintenances'!$K:$K,0)),AZ28,INDEX('[1]Définition Maintenances'!$G:$G,MATCH($A28,'[1]Définition Maintenances'!$K:$K,0))+AZ28),AZ28))</f>
        <v>223</v>
      </c>
      <c r="BB28" s="25">
        <f>IF(ISNUMBER(VLOOKUP($D28,'Visu totale'!$D:$DH,BB$1,0)),BA28-VLOOKUP($D28,'Visu totale'!$D:$DH,BB$1,0),IF(LEFT(VLOOKUP($D28,'Visu totale'!$D:$DH,BB$1,0),1)="V",IF(BA28&gt;=INDEX('[1]Définition Maintenances'!$G:$G,MATCH($A28,'[1]Définition Maintenances'!$K:$K,0)),BA28,INDEX('[1]Définition Maintenances'!$G:$G,MATCH($A28,'[1]Définition Maintenances'!$K:$K,0))+BA28),BA28))</f>
        <v>223</v>
      </c>
      <c r="BC28" s="26">
        <f>IF(ISNUMBER(VLOOKUP($D28,'Visu totale'!$D:$DH,BC$1,0)),BB28-VLOOKUP($D28,'Visu totale'!$D:$DH,BC$1,0),IF(LEFT(VLOOKUP($D28,'Visu totale'!$D:$DH,BC$1,0),1)="V",IF(BB28&gt;=INDEX('[1]Définition Maintenances'!$G:$G,MATCH($A28,'[1]Définition Maintenances'!$K:$K,0)),BB28,INDEX('[1]Définition Maintenances'!$G:$G,MATCH($A28,'[1]Définition Maintenances'!$K:$K,0))+BB28),BB28))</f>
        <v>223</v>
      </c>
      <c r="BD28" s="26">
        <f>IF(ISNUMBER(VLOOKUP($D28,'Visu totale'!$D:$DH,BD$1,0)),BC28-VLOOKUP($D28,'Visu totale'!$D:$DH,BD$1,0),IF(LEFT(VLOOKUP($D28,'Visu totale'!$D:$DH,BD$1,0),1)="V",IF(BC28&gt;=INDEX('[1]Définition Maintenances'!$G:$G,MATCH($A28,'[1]Définition Maintenances'!$K:$K,0)),BC28,INDEX('[1]Définition Maintenances'!$G:$G,MATCH($A28,'[1]Définition Maintenances'!$K:$K,0))+BC28),BC28))</f>
        <v>223</v>
      </c>
      <c r="BE28" s="26">
        <f>IF(ISNUMBER(VLOOKUP($D28,'Visu totale'!$D:$DH,BE$1,0)),BD28-VLOOKUP($D28,'Visu totale'!$D:$DH,BE$1,0),IF(LEFT(VLOOKUP($D28,'Visu totale'!$D:$DH,BE$1,0),1)="V",IF(BD28&gt;=INDEX('[1]Définition Maintenances'!$G:$G,MATCH($A28,'[1]Définition Maintenances'!$K:$K,0)),BD28,INDEX('[1]Définition Maintenances'!$G:$G,MATCH($A28,'[1]Définition Maintenances'!$K:$K,0))+BD28),BD28))</f>
        <v>223</v>
      </c>
      <c r="BF28" s="26">
        <f>IF(ISNUMBER(VLOOKUP($D28,'Visu totale'!$D:$DH,BF$1,0)),BE28-VLOOKUP($D28,'Visu totale'!$D:$DH,BF$1,0),IF(LEFT(VLOOKUP($D28,'Visu totale'!$D:$DH,BF$1,0),1)="V",IF(BE28&gt;=INDEX('[1]Définition Maintenances'!$G:$G,MATCH($A28,'[1]Définition Maintenances'!$K:$K,0)),BE28,INDEX('[1]Définition Maintenances'!$G:$G,MATCH($A28,'[1]Définition Maintenances'!$K:$K,0))+BE28),BE28))</f>
        <v>223</v>
      </c>
      <c r="BG28" s="26">
        <f>IF(ISNUMBER(VLOOKUP($D28,'Visu totale'!$D:$DH,BG$1,0)),BF28-VLOOKUP($D28,'Visu totale'!$D:$DH,BG$1,0),IF(LEFT(VLOOKUP($D28,'Visu totale'!$D:$DH,BG$1,0),1)="V",IF(BF28&gt;=INDEX('[1]Définition Maintenances'!$G:$G,MATCH($A28,'[1]Définition Maintenances'!$K:$K,0)),BF28,INDEX('[1]Définition Maintenances'!$G:$G,MATCH($A28,'[1]Définition Maintenances'!$K:$K,0))+BF28),BF28))</f>
        <v>223</v>
      </c>
      <c r="BH28" s="26">
        <f>IF(ISNUMBER(VLOOKUP($D28,'Visu totale'!$D:$DH,BH$1,0)),BG28-VLOOKUP($D28,'Visu totale'!$D:$DH,BH$1,0),IF(LEFT(VLOOKUP($D28,'Visu totale'!$D:$DH,BH$1,0),1)="V",IF(BG28&gt;=INDEX('[1]Définition Maintenances'!$G:$G,MATCH($A28,'[1]Définition Maintenances'!$K:$K,0)),BG28,INDEX('[1]Définition Maintenances'!$G:$G,MATCH($A28,'[1]Définition Maintenances'!$K:$K,0))+BG28),BG28))</f>
        <v>223</v>
      </c>
      <c r="BI28" s="26">
        <f>IF(ISNUMBER(VLOOKUP($D28,'Visu totale'!$D:$DH,BI$1,0)),BH28-VLOOKUP($D28,'Visu totale'!$D:$DH,BI$1,0),IF(LEFT(VLOOKUP($D28,'Visu totale'!$D:$DH,BI$1,0),1)="V",IF(BH28&gt;=INDEX('[1]Définition Maintenances'!$G:$G,MATCH($A28,'[1]Définition Maintenances'!$K:$K,0)),BH28,INDEX('[1]Définition Maintenances'!$G:$G,MATCH($A28,'[1]Définition Maintenances'!$K:$K,0))+BH28),BH28))</f>
        <v>223</v>
      </c>
      <c r="BJ28" s="26">
        <f>IF(ISNUMBER(VLOOKUP($D28,'Visu totale'!$D:$DH,BJ$1,0)),BI28-VLOOKUP($D28,'Visu totale'!$D:$DH,BJ$1,0),IF(LEFT(VLOOKUP($D28,'Visu totale'!$D:$DH,BJ$1,0),1)="V",IF(BI28&gt;=INDEX('[1]Définition Maintenances'!$G:$G,MATCH($A28,'[1]Définition Maintenances'!$K:$K,0)),BI28,INDEX('[1]Définition Maintenances'!$G:$G,MATCH($A28,'[1]Définition Maintenances'!$K:$K,0))+BI28),BI28))</f>
        <v>223</v>
      </c>
      <c r="BK28" s="26">
        <f>IF(ISNUMBER(VLOOKUP($D28,'Visu totale'!$D:$DH,BK$1,0)),BJ28-VLOOKUP($D28,'Visu totale'!$D:$DH,BK$1,0),IF(LEFT(VLOOKUP($D28,'Visu totale'!$D:$DH,BK$1,0),1)="V",IF(BJ28&gt;=INDEX('[1]Définition Maintenances'!$G:$G,MATCH($A28,'[1]Définition Maintenances'!$K:$K,0)),BJ28,INDEX('[1]Définition Maintenances'!$G:$G,MATCH($A28,'[1]Définition Maintenances'!$K:$K,0))+BJ28),BJ28))</f>
        <v>223</v>
      </c>
      <c r="BL28" s="26">
        <f>IF(ISNUMBER(VLOOKUP($D28,'Visu totale'!$D:$DH,BL$1,0)),BK28-VLOOKUP($D28,'Visu totale'!$D:$DH,BL$1,0),IF(LEFT(VLOOKUP($D28,'Visu totale'!$D:$DH,BL$1,0),1)="V",IF(BK28&gt;=INDEX('[1]Définition Maintenances'!$G:$G,MATCH($A28,'[1]Définition Maintenances'!$K:$K,0)),BK28,INDEX('[1]Définition Maintenances'!$G:$G,MATCH($A28,'[1]Définition Maintenances'!$K:$K,0))+BK28),BK28))</f>
        <v>223</v>
      </c>
      <c r="BM28" s="27">
        <f>IF(ISNUMBER(VLOOKUP($D28,'Visu totale'!$D:$DH,BM$1,0)),BL28-VLOOKUP($D28,'Visu totale'!$D:$DH,BM$1,0),IF(LEFT(VLOOKUP($D28,'Visu totale'!$D:$DH,BM$1,0),1)="V",IF(BL28&gt;=INDEX('[1]Définition Maintenances'!$G:$G,MATCH($A28,'[1]Définition Maintenances'!$K:$K,0)),BL28,INDEX('[1]Définition Maintenances'!$G:$G,MATCH($A28,'[1]Définition Maintenances'!$K:$K,0))+BL28),BL28))</f>
        <v>223</v>
      </c>
      <c r="BN28" s="25">
        <f>IF(ISNUMBER(VLOOKUP($D28,'Visu totale'!$D:$DH,BN$1,0)),BM28-VLOOKUP($D28,'Visu totale'!$D:$DH,BN$1,0),IF(LEFT(VLOOKUP($D28,'Visu totale'!$D:$DH,BN$1,0),1)="V",IF(BM28&gt;=INDEX('[1]Définition Maintenances'!$G:$G,MATCH($A28,'[1]Définition Maintenances'!$K:$K,0)),BM28,INDEX('[1]Définition Maintenances'!$G:$G,MATCH($A28,'[1]Définition Maintenances'!$K:$K,0))+BM28),BM28))</f>
        <v>223</v>
      </c>
      <c r="BO28" s="26">
        <f>IF(ISNUMBER(VLOOKUP($D28,'Visu totale'!$D:$DH,BO$1,0)),BN28-VLOOKUP($D28,'Visu totale'!$D:$DH,BO$1,0),IF(LEFT(VLOOKUP($D28,'Visu totale'!$D:$DH,BO$1,0),1)="V",IF(BN28&gt;=INDEX('[1]Définition Maintenances'!$G:$G,MATCH($A28,'[1]Définition Maintenances'!$K:$K,0)),BN28,INDEX('[1]Définition Maintenances'!$G:$G,MATCH($A28,'[1]Définition Maintenances'!$K:$K,0))+BN28),BN28))</f>
        <v>223</v>
      </c>
      <c r="BP28" s="26">
        <f>IF(ISNUMBER(VLOOKUP($D28,'Visu totale'!$D:$DH,BP$1,0)),BO28-VLOOKUP($D28,'Visu totale'!$D:$DH,BP$1,0),IF(LEFT(VLOOKUP($D28,'Visu totale'!$D:$DH,BP$1,0),1)="V",IF(BO28&gt;=INDEX('[1]Définition Maintenances'!$G:$G,MATCH($A28,'[1]Définition Maintenances'!$K:$K,0)),BO28,INDEX('[1]Définition Maintenances'!$G:$G,MATCH($A28,'[1]Définition Maintenances'!$K:$K,0))+BO28),BO28))</f>
        <v>223</v>
      </c>
      <c r="BQ28" s="26">
        <f>IF(ISNUMBER(VLOOKUP($D28,'Visu totale'!$D:$DH,BQ$1,0)),BP28-VLOOKUP($D28,'Visu totale'!$D:$DH,BQ$1,0),IF(LEFT(VLOOKUP($D28,'Visu totale'!$D:$DH,BQ$1,0),1)="V",IF(BP28&gt;=INDEX('[1]Définition Maintenances'!$G:$G,MATCH($A28,'[1]Définition Maintenances'!$K:$K,0)),BP28,INDEX('[1]Définition Maintenances'!$G:$G,MATCH($A28,'[1]Définition Maintenances'!$K:$K,0))+BP28),BP28))</f>
        <v>223</v>
      </c>
      <c r="BR28" s="26">
        <f>IF(ISNUMBER(VLOOKUP($D28,'Visu totale'!$D:$DH,BR$1,0)),BQ28-VLOOKUP($D28,'Visu totale'!$D:$DH,BR$1,0),IF(LEFT(VLOOKUP($D28,'Visu totale'!$D:$DH,BR$1,0),1)="V",IF(BQ28&gt;=INDEX('[1]Définition Maintenances'!$G:$G,MATCH($A28,'[1]Définition Maintenances'!$K:$K,0)),BQ28,INDEX('[1]Définition Maintenances'!$G:$G,MATCH($A28,'[1]Définition Maintenances'!$K:$K,0))+BQ28),BQ28))</f>
        <v>223</v>
      </c>
      <c r="BS28" s="26">
        <f>IF(ISNUMBER(VLOOKUP($D28,'Visu totale'!$D:$DH,BS$1,0)),BR28-VLOOKUP($D28,'Visu totale'!$D:$DH,BS$1,0),IF(LEFT(VLOOKUP($D28,'Visu totale'!$D:$DH,BS$1,0),1)="V",IF(BR28&gt;=INDEX('[1]Définition Maintenances'!$G:$G,MATCH($A28,'[1]Définition Maintenances'!$K:$K,0)),BR28,INDEX('[1]Définition Maintenances'!$G:$G,MATCH($A28,'[1]Définition Maintenances'!$K:$K,0))+BR28),BR28))</f>
        <v>223</v>
      </c>
      <c r="BT28" s="26">
        <f>IF(ISNUMBER(VLOOKUP($D28,'Visu totale'!$D:$DH,BT$1,0)),BS28-VLOOKUP($D28,'Visu totale'!$D:$DH,BT$1,0),IF(LEFT(VLOOKUP($D28,'Visu totale'!$D:$DH,BT$1,0),1)="V",IF(BS28&gt;=INDEX('[1]Définition Maintenances'!$G:$G,MATCH($A28,'[1]Définition Maintenances'!$K:$K,0)),BS28,INDEX('[1]Définition Maintenances'!$G:$G,MATCH($A28,'[1]Définition Maintenances'!$K:$K,0))+BS28),BS28))</f>
        <v>223</v>
      </c>
      <c r="BU28" s="26">
        <f>IF(ISNUMBER(VLOOKUP($D28,'Visu totale'!$D:$DH,BU$1,0)),BT28-VLOOKUP($D28,'Visu totale'!$D:$DH,BU$1,0),IF(LEFT(VLOOKUP($D28,'Visu totale'!$D:$DH,BU$1,0),1)="V",IF(BT28&gt;=INDEX('[1]Définition Maintenances'!$G:$G,MATCH($A28,'[1]Définition Maintenances'!$K:$K,0)),BT28,INDEX('[1]Définition Maintenances'!$G:$G,MATCH($A28,'[1]Définition Maintenances'!$K:$K,0))+BT28),BT28))</f>
        <v>223</v>
      </c>
      <c r="BV28" s="26">
        <f>IF(ISNUMBER(VLOOKUP($D28,'Visu totale'!$D:$DH,BV$1,0)),BU28-VLOOKUP($D28,'Visu totale'!$D:$DH,BV$1,0),IF(LEFT(VLOOKUP($D28,'Visu totale'!$D:$DH,BV$1,0),1)="V",IF(BU28&gt;=INDEX('[1]Définition Maintenances'!$G:$G,MATCH($A28,'[1]Définition Maintenances'!$K:$K,0)),BU28,INDEX('[1]Définition Maintenances'!$G:$G,MATCH($A28,'[1]Définition Maintenances'!$K:$K,0))+BU28),BU28))</f>
        <v>223</v>
      </c>
      <c r="BW28" s="26">
        <f>IF(ISNUMBER(VLOOKUP($D28,'Visu totale'!$D:$DH,BW$1,0)),BV28-VLOOKUP($D28,'Visu totale'!$D:$DH,BW$1,0),IF(LEFT(VLOOKUP($D28,'Visu totale'!$D:$DH,BW$1,0),1)="V",IF(BV28&gt;=INDEX('[1]Définition Maintenances'!$G:$G,MATCH($A28,'[1]Définition Maintenances'!$K:$K,0)),BV28,INDEX('[1]Définition Maintenances'!$G:$G,MATCH($A28,'[1]Définition Maintenances'!$K:$K,0))+BV28),BV28))</f>
        <v>223</v>
      </c>
      <c r="BX28" s="26">
        <f>IF(ISNUMBER(VLOOKUP($D28,'Visu totale'!$D:$DH,BX$1,0)),BW28-VLOOKUP($D28,'Visu totale'!$D:$DH,BX$1,0),IF(LEFT(VLOOKUP($D28,'Visu totale'!$D:$DH,BX$1,0),1)="V",IF(BW28&gt;=INDEX('[1]Définition Maintenances'!$G:$G,MATCH($A28,'[1]Définition Maintenances'!$K:$K,0)),BW28,INDEX('[1]Définition Maintenances'!$G:$G,MATCH($A28,'[1]Définition Maintenances'!$K:$K,0))+BW28),BW28))</f>
        <v>223</v>
      </c>
      <c r="BY28" s="27">
        <f>IF(ISNUMBER(VLOOKUP($D28,'Visu totale'!$D:$DH,BY$1,0)),BX28-VLOOKUP($D28,'Visu totale'!$D:$DH,BY$1,0),IF(LEFT(VLOOKUP($D28,'Visu totale'!$D:$DH,BY$1,0),1)="V",IF(BX28&gt;=INDEX('[1]Définition Maintenances'!$G:$G,MATCH($A28,'[1]Définition Maintenances'!$K:$K,0)),BX28,INDEX('[1]Définition Maintenances'!$G:$G,MATCH($A28,'[1]Définition Maintenances'!$K:$K,0))+BX28),BX28))</f>
        <v>223</v>
      </c>
      <c r="BZ28" s="25">
        <f>IF(ISNUMBER(VLOOKUP($D28,'Visu totale'!$D:$DH,BZ$1,0)),BY28-VLOOKUP($D28,'Visu totale'!$D:$DH,BZ$1,0),IF(LEFT(VLOOKUP($D28,'Visu totale'!$D:$DH,BZ$1,0),1)="V",IF(BY28&gt;=INDEX('[1]Définition Maintenances'!$G:$G,MATCH($A28,'[1]Définition Maintenances'!$K:$K,0)),BY28,INDEX('[1]Définition Maintenances'!$G:$G,MATCH($A28,'[1]Définition Maintenances'!$K:$K,0))+BY28),BY28))</f>
        <v>223</v>
      </c>
      <c r="CA28" s="26">
        <f>IF(ISNUMBER(VLOOKUP($D28,'Visu totale'!$D:$DH,CA$1,0)),BZ28-VLOOKUP($D28,'Visu totale'!$D:$DH,CA$1,0),IF(LEFT(VLOOKUP($D28,'Visu totale'!$D:$DH,CA$1,0),1)="V",IF(BZ28&gt;=INDEX('[1]Définition Maintenances'!$G:$G,MATCH($A28,'[1]Définition Maintenances'!$K:$K,0)),BZ28,INDEX('[1]Définition Maintenances'!$G:$G,MATCH($A28,'[1]Définition Maintenances'!$K:$K,0))+BZ28),BZ28))</f>
        <v>223</v>
      </c>
      <c r="CB28" s="26">
        <f>IF(ISNUMBER(VLOOKUP($D28,'Visu totale'!$D:$DH,CB$1,0)),CA28-VLOOKUP($D28,'Visu totale'!$D:$DH,CB$1,0),IF(LEFT(VLOOKUP($D28,'Visu totale'!$D:$DH,CB$1,0),1)="V",IF(CA28&gt;=INDEX('[1]Définition Maintenances'!$G:$G,MATCH($A28,'[1]Définition Maintenances'!$K:$K,0)),CA28,INDEX('[1]Définition Maintenances'!$G:$G,MATCH($A28,'[1]Définition Maintenances'!$K:$K,0))+CA28),CA28))</f>
        <v>223</v>
      </c>
      <c r="CC28" s="26">
        <f>IF(ISNUMBER(VLOOKUP($D28,'Visu totale'!$D:$DH,CC$1,0)),CB28-VLOOKUP($D28,'Visu totale'!$D:$DH,CC$1,0),IF(LEFT(VLOOKUP($D28,'Visu totale'!$D:$DH,CC$1,0),1)="V",IF(CB28&gt;=INDEX('[1]Définition Maintenances'!$G:$G,MATCH($A28,'[1]Définition Maintenances'!$K:$K,0)),CB28,INDEX('[1]Définition Maintenances'!$G:$G,MATCH($A28,'[1]Définition Maintenances'!$K:$K,0))+CB28),CB28))</f>
        <v>223</v>
      </c>
      <c r="CD28" s="26">
        <f>IF(ISNUMBER(VLOOKUP($D28,'Visu totale'!$D:$DH,CD$1,0)),CC28-VLOOKUP($D28,'Visu totale'!$D:$DH,CD$1,0),IF(LEFT(VLOOKUP($D28,'Visu totale'!$D:$DH,CD$1,0),1)="V",IF(CC28&gt;=INDEX('[1]Définition Maintenances'!$G:$G,MATCH($A28,'[1]Définition Maintenances'!$K:$K,0)),CC28,INDEX('[1]Définition Maintenances'!$G:$G,MATCH($A28,'[1]Définition Maintenances'!$K:$K,0))+CC28),CC28))</f>
        <v>223</v>
      </c>
      <c r="CE28" s="26">
        <f>IF(ISNUMBER(VLOOKUP($D28,'Visu totale'!$D:$DH,CE$1,0)),CD28-VLOOKUP($D28,'Visu totale'!$D:$DH,CE$1,0),IF(LEFT(VLOOKUP($D28,'Visu totale'!$D:$DH,CE$1,0),1)="V",IF(CD28&gt;=INDEX('[1]Définition Maintenances'!$G:$G,MATCH($A28,'[1]Définition Maintenances'!$K:$K,0)),CD28,INDEX('[1]Définition Maintenances'!$G:$G,MATCH($A28,'[1]Définition Maintenances'!$K:$K,0))+CD28),CD28))</f>
        <v>223</v>
      </c>
      <c r="CF28" s="26">
        <f>IF(ISNUMBER(VLOOKUP($D28,'Visu totale'!$D:$DH,CF$1,0)),CE28-VLOOKUP($D28,'Visu totale'!$D:$DH,CF$1,0),IF(LEFT(VLOOKUP($D28,'Visu totale'!$D:$DH,CF$1,0),1)="V",IF(CE28&gt;=INDEX('[1]Définition Maintenances'!$G:$G,MATCH($A28,'[1]Définition Maintenances'!$K:$K,0)),CE28,INDEX('[1]Définition Maintenances'!$G:$G,MATCH($A28,'[1]Définition Maintenances'!$K:$K,0))+CE28),CE28))</f>
        <v>223</v>
      </c>
      <c r="CG28" s="26">
        <f>IF(ISNUMBER(VLOOKUP($D28,'Visu totale'!$D:$DH,CG$1,0)),CF28-VLOOKUP($D28,'Visu totale'!$D:$DH,CG$1,0),IF(LEFT(VLOOKUP($D28,'Visu totale'!$D:$DH,CG$1,0),1)="V",IF(CF28&gt;=INDEX('[1]Définition Maintenances'!$G:$G,MATCH($A28,'[1]Définition Maintenances'!$K:$K,0)),CF28,INDEX('[1]Définition Maintenances'!$G:$G,MATCH($A28,'[1]Définition Maintenances'!$K:$K,0))+CF28),CF28))</f>
        <v>223</v>
      </c>
      <c r="CH28" s="26">
        <f>IF(ISNUMBER(VLOOKUP($D28,'Visu totale'!$D:$DH,CH$1,0)),CG28-VLOOKUP($D28,'Visu totale'!$D:$DH,CH$1,0),IF(LEFT(VLOOKUP($D28,'Visu totale'!$D:$DH,CH$1,0),1)="V",IF(CG28&gt;=INDEX('[1]Définition Maintenances'!$G:$G,MATCH($A28,'[1]Définition Maintenances'!$K:$K,0)),CG28,INDEX('[1]Définition Maintenances'!$G:$G,MATCH($A28,'[1]Définition Maintenances'!$K:$K,0))+CG28),CG28))</f>
        <v>223</v>
      </c>
      <c r="CI28" s="26">
        <f>IF(ISNUMBER(VLOOKUP($D28,'Visu totale'!$D:$DH,CI$1,0)),CH28-VLOOKUP($D28,'Visu totale'!$D:$DH,CI$1,0),IF(LEFT(VLOOKUP($D28,'Visu totale'!$D:$DH,CI$1,0),1)="V",IF(CH28&gt;=INDEX('[1]Définition Maintenances'!$G:$G,MATCH($A28,'[1]Définition Maintenances'!$K:$K,0)),CH28,INDEX('[1]Définition Maintenances'!$G:$G,MATCH($A28,'[1]Définition Maintenances'!$K:$K,0))+CH28),CH28))</f>
        <v>223</v>
      </c>
      <c r="CJ28" s="26">
        <f>IF(ISNUMBER(VLOOKUP($D28,'Visu totale'!$D:$DH,CJ$1,0)),CI28-VLOOKUP($D28,'Visu totale'!$D:$DH,CJ$1,0),IF(LEFT(VLOOKUP($D28,'Visu totale'!$D:$DH,CJ$1,0),1)="V",IF(CI28&gt;=INDEX('[1]Définition Maintenances'!$G:$G,MATCH($A28,'[1]Définition Maintenances'!$K:$K,0)),CI28,INDEX('[1]Définition Maintenances'!$G:$G,MATCH($A28,'[1]Définition Maintenances'!$K:$K,0))+CI28),CI28))</f>
        <v>223</v>
      </c>
      <c r="CK28" s="27">
        <f>IF(ISNUMBER(VLOOKUP($D28,'Visu totale'!$D:$DH,CK$1,0)),CJ28-VLOOKUP($D28,'Visu totale'!$D:$DH,CK$1,0),IF(LEFT(VLOOKUP($D28,'Visu totale'!$D:$DH,CK$1,0),1)="V",IF(CJ28&gt;=INDEX('[1]Définition Maintenances'!$G:$G,MATCH($A28,'[1]Définition Maintenances'!$K:$K,0)),CJ28,INDEX('[1]Définition Maintenances'!$G:$G,MATCH($A28,'[1]Définition Maintenances'!$K:$K,0))+CJ28),CJ28))</f>
        <v>223</v>
      </c>
      <c r="CL28" s="25">
        <f>IF(ISNUMBER(VLOOKUP($D28,'Visu totale'!$D:$DH,CL$1,0)),CK28-VLOOKUP($D28,'Visu totale'!$D:$DH,CL$1,0),IF(LEFT(VLOOKUP($D28,'Visu totale'!$D:$DH,CL$1,0),1)="V",IF(CK28&gt;=INDEX('[1]Définition Maintenances'!$G:$G,MATCH($A28,'[1]Définition Maintenances'!$K:$K,0)),CK28,INDEX('[1]Définition Maintenances'!$G:$G,MATCH($A28,'[1]Définition Maintenances'!$K:$K,0))+CK28),CK28))</f>
        <v>223</v>
      </c>
      <c r="CM28" s="26">
        <f>IF(ISNUMBER(VLOOKUP($D28,'Visu totale'!$D:$DH,CM$1,0)),CL28-VLOOKUP($D28,'Visu totale'!$D:$DH,CM$1,0),IF(LEFT(VLOOKUP($D28,'Visu totale'!$D:$DH,CM$1,0),1)="V",IF(CL28&gt;=INDEX('[1]Définition Maintenances'!$G:$G,MATCH($A28,'[1]Définition Maintenances'!$K:$K,0)),CL28,INDEX('[1]Définition Maintenances'!$G:$G,MATCH($A28,'[1]Définition Maintenances'!$K:$K,0))+CL28),CL28))</f>
        <v>223</v>
      </c>
      <c r="CN28" s="26">
        <f>IF(ISNUMBER(VLOOKUP($D28,'Visu totale'!$D:$DH,CN$1,0)),CM28-VLOOKUP($D28,'Visu totale'!$D:$DH,CN$1,0),IF(LEFT(VLOOKUP($D28,'Visu totale'!$D:$DH,CN$1,0),1)="V",IF(CM28&gt;=INDEX('[1]Définition Maintenances'!$G:$G,MATCH($A28,'[1]Définition Maintenances'!$K:$K,0)),CM28,INDEX('[1]Définition Maintenances'!$G:$G,MATCH($A28,'[1]Définition Maintenances'!$K:$K,0))+CM28),CM28))</f>
        <v>223</v>
      </c>
      <c r="CO28" s="26">
        <f>IF(ISNUMBER(VLOOKUP($D28,'Visu totale'!$D:$DH,CO$1,0)),CN28-VLOOKUP($D28,'Visu totale'!$D:$DH,CO$1,0),IF(LEFT(VLOOKUP($D28,'Visu totale'!$D:$DH,CO$1,0),1)="V",IF(CN28&gt;=INDEX('[1]Définition Maintenances'!$G:$G,MATCH($A28,'[1]Définition Maintenances'!$K:$K,0)),CN28,INDEX('[1]Définition Maintenances'!$G:$G,MATCH($A28,'[1]Définition Maintenances'!$K:$K,0))+CN28),CN28))</f>
        <v>223</v>
      </c>
      <c r="CP28" s="26">
        <f>IF(ISNUMBER(VLOOKUP($D28,'Visu totale'!$D:$DH,CP$1,0)),CO28-VLOOKUP($D28,'Visu totale'!$D:$DH,CP$1,0),IF(LEFT(VLOOKUP($D28,'Visu totale'!$D:$DH,CP$1,0),1)="V",IF(CO28&gt;=INDEX('[1]Définition Maintenances'!$G:$G,MATCH($A28,'[1]Définition Maintenances'!$K:$K,0)),CO28,INDEX('[1]Définition Maintenances'!$G:$G,MATCH($A28,'[1]Définition Maintenances'!$K:$K,0))+CO28),CO28))</f>
        <v>223</v>
      </c>
      <c r="CQ28" s="26">
        <f>IF(ISNUMBER(VLOOKUP($D28,'Visu totale'!$D:$DH,CQ$1,0)),CP28-VLOOKUP($D28,'Visu totale'!$D:$DH,CQ$1,0),IF(LEFT(VLOOKUP($D28,'Visu totale'!$D:$DH,CQ$1,0),1)="V",IF(CP28&gt;=INDEX('[1]Définition Maintenances'!$G:$G,MATCH($A28,'[1]Définition Maintenances'!$K:$K,0)),CP28,INDEX('[1]Définition Maintenances'!$G:$G,MATCH($A28,'[1]Définition Maintenances'!$K:$K,0))+CP28),CP28))</f>
        <v>223</v>
      </c>
      <c r="CR28" s="26">
        <f>IF(ISNUMBER(VLOOKUP($D28,'Visu totale'!$D:$DH,CR$1,0)),CQ28-VLOOKUP($D28,'Visu totale'!$D:$DH,CR$1,0),IF(LEFT(VLOOKUP($D28,'Visu totale'!$D:$DH,CR$1,0),1)="V",IF(CQ28&gt;=INDEX('[1]Définition Maintenances'!$G:$G,MATCH($A28,'[1]Définition Maintenances'!$K:$K,0)),CQ28,INDEX('[1]Définition Maintenances'!$G:$G,MATCH($A28,'[1]Définition Maintenances'!$K:$K,0))+CQ28),CQ28))</f>
        <v>223</v>
      </c>
      <c r="CS28" s="26">
        <f>IF(ISNUMBER(VLOOKUP($D28,'Visu totale'!$D:$DH,CS$1,0)),CR28-VLOOKUP($D28,'Visu totale'!$D:$DH,CS$1,0),IF(LEFT(VLOOKUP($D28,'Visu totale'!$D:$DH,CS$1,0),1)="V",IF(CR28&gt;=INDEX('[1]Définition Maintenances'!$G:$G,MATCH($A28,'[1]Définition Maintenances'!$K:$K,0)),CR28,INDEX('[1]Définition Maintenances'!$G:$G,MATCH($A28,'[1]Définition Maintenances'!$K:$K,0))+CR28),CR28))</f>
        <v>223</v>
      </c>
      <c r="CT28" s="26">
        <f>IF(ISNUMBER(VLOOKUP($D28,'Visu totale'!$D:$DH,CT$1,0)),CS28-VLOOKUP($D28,'Visu totale'!$D:$DH,CT$1,0),IF(LEFT(VLOOKUP($D28,'Visu totale'!$D:$DH,CT$1,0),1)="V",IF(CS28&gt;=INDEX('[1]Définition Maintenances'!$G:$G,MATCH($A28,'[1]Définition Maintenances'!$K:$K,0)),CS28,INDEX('[1]Définition Maintenances'!$G:$G,MATCH($A28,'[1]Définition Maintenances'!$K:$K,0))+CS28),CS28))</f>
        <v>223</v>
      </c>
      <c r="CU28" s="26">
        <f>IF(ISNUMBER(VLOOKUP($D28,'Visu totale'!$D:$DH,CU$1,0)),CT28-VLOOKUP($D28,'Visu totale'!$D:$DH,CU$1,0),IF(LEFT(VLOOKUP($D28,'Visu totale'!$D:$DH,CU$1,0),1)="V",IF(CT28&gt;=INDEX('[1]Définition Maintenances'!$G:$G,MATCH($A28,'[1]Définition Maintenances'!$K:$K,0)),CT28,INDEX('[1]Définition Maintenances'!$G:$G,MATCH($A28,'[1]Définition Maintenances'!$K:$K,0))+CT28),CT28))</f>
        <v>223</v>
      </c>
      <c r="CV28" s="26">
        <f>IF(ISNUMBER(VLOOKUP($D28,'Visu totale'!$D:$DH,CV$1,0)),CU28-VLOOKUP($D28,'Visu totale'!$D:$DH,CV$1,0),IF(LEFT(VLOOKUP($D28,'Visu totale'!$D:$DH,CV$1,0),1)="V",IF(CU28&gt;=INDEX('[1]Définition Maintenances'!$G:$G,MATCH($A28,'[1]Définition Maintenances'!$K:$K,0)),CU28,INDEX('[1]Définition Maintenances'!$G:$G,MATCH($A28,'[1]Définition Maintenances'!$K:$K,0))+CU28),CU28))</f>
        <v>223</v>
      </c>
      <c r="CW28" s="27">
        <f>IF(ISNUMBER(VLOOKUP($D28,'Visu totale'!$D:$DH,CW$1,0)),CV28-VLOOKUP($D28,'Visu totale'!$D:$DH,CW$1,0),IF(LEFT(VLOOKUP($D28,'Visu totale'!$D:$DH,CW$1,0),1)="V",IF(CV28&gt;=INDEX('[1]Définition Maintenances'!$G:$G,MATCH($A28,'[1]Définition Maintenances'!$K:$K,0)),CV28,INDEX('[1]Définition Maintenances'!$G:$G,MATCH($A28,'[1]Définition Maintenances'!$K:$K,0))+CV28),CV28))</f>
        <v>223</v>
      </c>
      <c r="CX28" s="25">
        <f>IF(ISNUMBER(VLOOKUP($D28,'Visu totale'!$D:$DH,CX$1,0)),CW28-VLOOKUP($D28,'Visu totale'!$D:$DH,CX$1,0),IF(LEFT(VLOOKUP($D28,'Visu totale'!$D:$DH,CX$1,0),1)="V",IF(CW28&gt;=INDEX('[1]Définition Maintenances'!$G:$G,MATCH($A28,'[1]Définition Maintenances'!$K:$K,0)),CW28,INDEX('[1]Définition Maintenances'!$G:$G,MATCH($A28,'[1]Définition Maintenances'!$K:$K,0))+CW28),CW28))</f>
        <v>223</v>
      </c>
      <c r="CY28" s="26">
        <f>IF(ISNUMBER(VLOOKUP($D28,'Visu totale'!$D:$DH,CY$1,0)),CX28-VLOOKUP($D28,'Visu totale'!$D:$DH,CY$1,0),IF(LEFT(VLOOKUP($D28,'Visu totale'!$D:$DH,CY$1,0),1)="V",IF(CX28&gt;=INDEX('[1]Définition Maintenances'!$G:$G,MATCH($A28,'[1]Définition Maintenances'!$K:$K,0)),CX28,INDEX('[1]Définition Maintenances'!$G:$G,MATCH($A28,'[1]Définition Maintenances'!$K:$K,0))+CX28),CX28))</f>
        <v>223</v>
      </c>
      <c r="CZ28" s="26">
        <f>IF(ISNUMBER(VLOOKUP($D28,'Visu totale'!$D:$DH,CZ$1,0)),CY28-VLOOKUP($D28,'Visu totale'!$D:$DH,CZ$1,0),IF(LEFT(VLOOKUP($D28,'Visu totale'!$D:$DH,CZ$1,0),1)="V",IF(CY28&gt;=INDEX('[1]Définition Maintenances'!$G:$G,MATCH($A28,'[1]Définition Maintenances'!$K:$K,0)),CY28,INDEX('[1]Définition Maintenances'!$G:$G,MATCH($A28,'[1]Définition Maintenances'!$K:$K,0))+CY28),CY28))</f>
        <v>223</v>
      </c>
      <c r="DA28" s="26">
        <f>IF(ISNUMBER(VLOOKUP($D28,'Visu totale'!$D:$DH,DA$1,0)),CZ28-VLOOKUP($D28,'Visu totale'!$D:$DH,DA$1,0),IF(LEFT(VLOOKUP($D28,'Visu totale'!$D:$DH,DA$1,0),1)="V",IF(CZ28&gt;=INDEX('[1]Définition Maintenances'!$G:$G,MATCH($A28,'[1]Définition Maintenances'!$K:$K,0)),CZ28,INDEX('[1]Définition Maintenances'!$G:$G,MATCH($A28,'[1]Définition Maintenances'!$K:$K,0))+CZ28),CZ28))</f>
        <v>223</v>
      </c>
      <c r="DB28" s="26">
        <f>IF(ISNUMBER(VLOOKUP($D28,'Visu totale'!$D:$DH,DB$1,0)),DA28-VLOOKUP($D28,'Visu totale'!$D:$DH,DB$1,0),IF(LEFT(VLOOKUP($D28,'Visu totale'!$D:$DH,DB$1,0),1)="V",IF(DA28&gt;=INDEX('[1]Définition Maintenances'!$G:$G,MATCH($A28,'[1]Définition Maintenances'!$K:$K,0)),DA28,INDEX('[1]Définition Maintenances'!$G:$G,MATCH($A28,'[1]Définition Maintenances'!$K:$K,0))+DA28),DA28))</f>
        <v>223</v>
      </c>
      <c r="DC28" s="26">
        <f>IF(ISNUMBER(VLOOKUP($D28,'Visu totale'!$D:$DH,DC$1,0)),DB28-VLOOKUP($D28,'Visu totale'!$D:$DH,DC$1,0),IF(LEFT(VLOOKUP($D28,'Visu totale'!$D:$DH,DC$1,0),1)="V",IF(DB28&gt;=INDEX('[1]Définition Maintenances'!$G:$G,MATCH($A28,'[1]Définition Maintenances'!$K:$K,0)),DB28,INDEX('[1]Définition Maintenances'!$G:$G,MATCH($A28,'[1]Définition Maintenances'!$K:$K,0))+DB28),DB28))</f>
        <v>223</v>
      </c>
      <c r="DD28" s="26">
        <f>IF(ISNUMBER(VLOOKUP($D28,'Visu totale'!$D:$DH,DD$1,0)),DC28-VLOOKUP($D28,'Visu totale'!$D:$DH,DD$1,0),IF(LEFT(VLOOKUP($D28,'Visu totale'!$D:$DH,DD$1,0),1)="V",IF(DC28&gt;=INDEX('[1]Définition Maintenances'!$G:$G,MATCH($A28,'[1]Définition Maintenances'!$K:$K,0)),DC28,INDEX('[1]Définition Maintenances'!$G:$G,MATCH($A28,'[1]Définition Maintenances'!$K:$K,0))+DC28),DC28))</f>
        <v>223</v>
      </c>
      <c r="DE28" s="26">
        <f>IF(ISNUMBER(VLOOKUP($D28,'Visu totale'!$D:$DH,DE$1,0)),DD28-VLOOKUP($D28,'Visu totale'!$D:$DH,DE$1,0),IF(LEFT(VLOOKUP($D28,'Visu totale'!$D:$DH,DE$1,0),1)="V",IF(DD28&gt;=INDEX('[1]Définition Maintenances'!$G:$G,MATCH($A28,'[1]Définition Maintenances'!$K:$K,0)),DD28,INDEX('[1]Définition Maintenances'!$G:$G,MATCH($A28,'[1]Définition Maintenances'!$K:$K,0))+DD28),DD28))</f>
        <v>223</v>
      </c>
      <c r="DF28" s="26">
        <f>IF(ISNUMBER(VLOOKUP($D28,'Visu totale'!$D:$DH,DF$1,0)),DE28-VLOOKUP($D28,'Visu totale'!$D:$DH,DF$1,0),IF(LEFT(VLOOKUP($D28,'Visu totale'!$D:$DH,DF$1,0),1)="V",IF(DE28&gt;=INDEX('[1]Définition Maintenances'!$G:$G,MATCH($A28,'[1]Définition Maintenances'!$K:$K,0)),DE28,INDEX('[1]Définition Maintenances'!$G:$G,MATCH($A28,'[1]Définition Maintenances'!$K:$K,0))+DE28),DE28))</f>
        <v>223</v>
      </c>
      <c r="DG28" s="26">
        <f>IF(ISNUMBER(VLOOKUP($D28,'Visu totale'!$D:$DH,DG$1,0)),DF28-VLOOKUP($D28,'Visu totale'!$D:$DH,DG$1,0),IF(LEFT(VLOOKUP($D28,'Visu totale'!$D:$DH,DG$1,0),1)="V",IF(DF28&gt;=INDEX('[1]Définition Maintenances'!$G:$G,MATCH($A28,'[1]Définition Maintenances'!$K:$K,0)),DF28,INDEX('[1]Définition Maintenances'!$G:$G,MATCH($A28,'[1]Définition Maintenances'!$K:$K,0))+DF28),DF28))</f>
        <v>223</v>
      </c>
      <c r="DH28" s="26">
        <f>IF(ISNUMBER(VLOOKUP($D28,'Visu totale'!$D:$DH,DH$1,0)),DG28-VLOOKUP($D28,'Visu totale'!$D:$DH,DH$1,0),IF(LEFT(VLOOKUP($D28,'Visu totale'!$D:$DH,DH$1,0),1)="V",IF(DG28&gt;=INDEX('[1]Définition Maintenances'!$G:$G,MATCH($A28,'[1]Définition Maintenances'!$K:$K,0)),DG28,INDEX('[1]Définition Maintenances'!$G:$G,MATCH($A28,'[1]Définition Maintenances'!$K:$K,0))+DG28),DG28))</f>
        <v>223</v>
      </c>
      <c r="DI28" s="27">
        <f>IF(ISNUMBER(VLOOKUP($D28,'Visu totale'!$D:$DH,DI$1,0)),DH28-VLOOKUP($D28,'Visu totale'!$D:$DH,DI$1,0),IF(LEFT(VLOOKUP($D28,'Visu totale'!$D:$DH,DI$1,0),1)="V",IF(DH28&gt;=INDEX('[1]Définition Maintenances'!$G:$G,MATCH($A28,'[1]Définition Maintenances'!$K:$K,0)),DH28,INDEX('[1]Définition Maintenances'!$G:$G,MATCH($A28,'[1]Définition Maintenances'!$K:$K,0))+DH28),DH28))</f>
        <v>223</v>
      </c>
    </row>
    <row r="29" spans="1:113" x14ac:dyDescent="0.25">
      <c r="A29" s="13" t="str">
        <f t="shared" si="0"/>
        <v>V10D</v>
      </c>
      <c r="B29" s="13" t="str">
        <f>VLOOKUP(D29,'[1]Avions (Potentiels)'!$B$2:$H$128,7,FALSE)</f>
        <v>V10</v>
      </c>
      <c r="C29" s="13"/>
      <c r="D29" s="16" t="s">
        <v>32</v>
      </c>
      <c r="E29" s="13">
        <f>IFERROR(VALUE(SUBSTITUTE(VLOOKUP(D29,'[1]Avions (Potentiels)'!$B:$E,4,0),".",",")),VALUE(VLOOKUP(D29,'[1]Avions (Potentiels)'!$B:$E,4,0)))</f>
        <v>203</v>
      </c>
      <c r="F29" s="25">
        <f>IF(ISNUMBER(VLOOKUP($D29,'Visu totale'!$D:$DH,F$1,0)),E29-VLOOKUP($D29,'Visu totale'!$D:$DH,F$1,0),IF(LEFT(VLOOKUP($D29,'Visu totale'!$D:$DH,F$1,0),1)="V",IF(E29&gt;=INDEX('[1]Définition Maintenances'!$G:$G,MATCH($A29,'[1]Définition Maintenances'!$K:$K,0)),E29,INDEX('[1]Définition Maintenances'!$G:$G,MATCH($A29,'[1]Définition Maintenances'!$K:$K,0))+E29),E29))</f>
        <v>203</v>
      </c>
      <c r="G29" s="26">
        <f>IF(ISNUMBER(VLOOKUP($D29,'Visu totale'!$D:$DH,G$1,0)),F29-VLOOKUP($D29,'Visu totale'!$D:$DH,G$1,0),IF(LEFT(VLOOKUP($D29,'Visu totale'!$D:$DH,G$1,0),1)="V",IF(F29&gt;=INDEX('[1]Définition Maintenances'!$G:$G,MATCH($A29,'[1]Définition Maintenances'!$K:$K,0)),F29,INDEX('[1]Définition Maintenances'!$G:$G,MATCH($A29,'[1]Définition Maintenances'!$K:$K,0))+F29),F29))</f>
        <v>203</v>
      </c>
      <c r="H29" s="26">
        <f>IF(ISNUMBER(VLOOKUP($D29,'Visu totale'!$D:$DH,H$1,0)),G29-VLOOKUP($D29,'Visu totale'!$D:$DH,H$1,0),IF(LEFT(VLOOKUP($D29,'Visu totale'!$D:$DH,H$1,0),1)="V",IF(G29&gt;=INDEX('[1]Définition Maintenances'!$G:$G,MATCH($A29,'[1]Définition Maintenances'!$K:$K,0)),G29,INDEX('[1]Définition Maintenances'!$G:$G,MATCH($A29,'[1]Définition Maintenances'!$K:$K,0))+G29),G29))</f>
        <v>203</v>
      </c>
      <c r="I29" s="26">
        <f>IF(ISNUMBER(VLOOKUP($D29,'Visu totale'!$D:$DH,I$1,0)),H29-VLOOKUP($D29,'Visu totale'!$D:$DH,I$1,0),IF(LEFT(VLOOKUP($D29,'Visu totale'!$D:$DH,I$1,0),1)="V",IF(H29&gt;=INDEX('[1]Définition Maintenances'!$G:$G,MATCH($A29,'[1]Définition Maintenances'!$K:$K,0)),H29,INDEX('[1]Définition Maintenances'!$G:$G,MATCH($A29,'[1]Définition Maintenances'!$K:$K,0))+H29),H29))</f>
        <v>203</v>
      </c>
      <c r="J29" s="26">
        <f>IF(ISNUMBER(VLOOKUP($D29,'Visu totale'!$D:$DH,J$1,0)),I29-VLOOKUP($D29,'Visu totale'!$D:$DH,J$1,0),IF(LEFT(VLOOKUP($D29,'Visu totale'!$D:$DH,J$1,0),1)="V",IF(I29&gt;=INDEX('[1]Définition Maintenances'!$G:$G,MATCH($A29,'[1]Définition Maintenances'!$K:$K,0)),I29,INDEX('[1]Définition Maintenances'!$G:$G,MATCH($A29,'[1]Définition Maintenances'!$K:$K,0))+I29),I29))</f>
        <v>203</v>
      </c>
      <c r="K29" s="26">
        <f>IF(ISNUMBER(VLOOKUP($D29,'Visu totale'!$D:$DH,K$1,0)),J29-VLOOKUP($D29,'Visu totale'!$D:$DH,K$1,0),IF(LEFT(VLOOKUP($D29,'Visu totale'!$D:$DH,K$1,0),1)="V",IF(J29&gt;=INDEX('[1]Définition Maintenances'!$G:$G,MATCH($A29,'[1]Définition Maintenances'!$K:$K,0)),J29,INDEX('[1]Définition Maintenances'!$G:$G,MATCH($A29,'[1]Définition Maintenances'!$K:$K,0))+J29),J29))</f>
        <v>203</v>
      </c>
      <c r="L29" s="26">
        <f>IF(ISNUMBER(VLOOKUP($D29,'Visu totale'!$D:$DH,L$1,0)),K29-VLOOKUP($D29,'Visu totale'!$D:$DH,L$1,0),IF(LEFT(VLOOKUP($D29,'Visu totale'!$D:$DH,L$1,0),1)="V",IF(K29&gt;=INDEX('[1]Définition Maintenances'!$G:$G,MATCH($A29,'[1]Définition Maintenances'!$K:$K,0)),K29,INDEX('[1]Définition Maintenances'!$G:$G,MATCH($A29,'[1]Définition Maintenances'!$K:$K,0))+K29),K29))</f>
        <v>203</v>
      </c>
      <c r="M29" s="26">
        <f>IF(ISNUMBER(VLOOKUP($D29,'Visu totale'!$D:$DH,M$1,0)),L29-VLOOKUP($D29,'Visu totale'!$D:$DH,M$1,0),IF(LEFT(VLOOKUP($D29,'Visu totale'!$D:$DH,M$1,0),1)="V",IF(L29&gt;=INDEX('[1]Définition Maintenances'!$G:$G,MATCH($A29,'[1]Définition Maintenances'!$K:$K,0)),L29,INDEX('[1]Définition Maintenances'!$G:$G,MATCH($A29,'[1]Définition Maintenances'!$K:$K,0))+L29),L29))</f>
        <v>203</v>
      </c>
      <c r="N29" s="26">
        <f>IF(ISNUMBER(VLOOKUP($D29,'Visu totale'!$D:$DH,N$1,0)),M29-VLOOKUP($D29,'Visu totale'!$D:$DH,N$1,0),IF(LEFT(VLOOKUP($D29,'Visu totale'!$D:$DH,N$1,0),1)="V",IF(M29&gt;=INDEX('[1]Définition Maintenances'!$G:$G,MATCH($A29,'[1]Définition Maintenances'!$K:$K,0)),M29,INDEX('[1]Définition Maintenances'!$G:$G,MATCH($A29,'[1]Définition Maintenances'!$K:$K,0))+M29),M29))</f>
        <v>203</v>
      </c>
      <c r="O29" s="26">
        <f>IF(ISNUMBER(VLOOKUP($D29,'Visu totale'!$D:$DH,O$1,0)),N29-VLOOKUP($D29,'Visu totale'!$D:$DH,O$1,0),IF(LEFT(VLOOKUP($D29,'Visu totale'!$D:$DH,O$1,0),1)="V",IF(N29&gt;=INDEX('[1]Définition Maintenances'!$G:$G,MATCH($A29,'[1]Définition Maintenances'!$K:$K,0)),N29,INDEX('[1]Définition Maintenances'!$G:$G,MATCH($A29,'[1]Définition Maintenances'!$K:$K,0))+N29),N29))</f>
        <v>203</v>
      </c>
      <c r="P29" s="26">
        <f>IF(ISNUMBER(VLOOKUP($D29,'Visu totale'!$D:$DH,P$1,0)),O29-VLOOKUP($D29,'Visu totale'!$D:$DH,P$1,0),IF(LEFT(VLOOKUP($D29,'Visu totale'!$D:$DH,P$1,0),1)="V",IF(O29&gt;=INDEX('[1]Définition Maintenances'!$G:$G,MATCH($A29,'[1]Définition Maintenances'!$K:$K,0)),O29,INDEX('[1]Définition Maintenances'!$G:$G,MATCH($A29,'[1]Définition Maintenances'!$K:$K,0))+O29),O29))</f>
        <v>203</v>
      </c>
      <c r="Q29" s="27">
        <f>IF(ISNUMBER(VLOOKUP($D29,'Visu totale'!$D:$DH,Q$1,0)),P29-VLOOKUP($D29,'Visu totale'!$D:$DH,Q$1,0),IF(LEFT(VLOOKUP($D29,'Visu totale'!$D:$DH,Q$1,0),1)="V",IF(P29&gt;=INDEX('[1]Définition Maintenances'!$G:$G,MATCH($A29,'[1]Définition Maintenances'!$K:$K,0)),P29,INDEX('[1]Définition Maintenances'!$G:$G,MATCH($A29,'[1]Définition Maintenances'!$K:$K,0))+P29),P29))</f>
        <v>203</v>
      </c>
      <c r="R29" s="25">
        <f>IF(ISNUMBER(VLOOKUP($D29,'Visu totale'!$D:$DH,R$1,0)),Q29-VLOOKUP($D29,'Visu totale'!$D:$DH,R$1,0),IF(LEFT(VLOOKUP($D29,'Visu totale'!$D:$DH,R$1,0),1)="V",IF(Q29&gt;=INDEX('[1]Définition Maintenances'!$G:$G,MATCH($A29,'[1]Définition Maintenances'!$K:$K,0)),Q29,INDEX('[1]Définition Maintenances'!$G:$G,MATCH($A29,'[1]Définition Maintenances'!$K:$K,0))+Q29),Q29))</f>
        <v>203</v>
      </c>
      <c r="S29" s="26">
        <f>IF(ISNUMBER(VLOOKUP($D29,'Visu totale'!$D:$DH,S$1,0)),R29-VLOOKUP($D29,'Visu totale'!$D:$DH,S$1,0),IF(LEFT(VLOOKUP($D29,'Visu totale'!$D:$DH,S$1,0),1)="V",IF(R29&gt;=INDEX('[1]Définition Maintenances'!$G:$G,MATCH($A29,'[1]Définition Maintenances'!$K:$K,0)),R29,INDEX('[1]Définition Maintenances'!$G:$G,MATCH($A29,'[1]Définition Maintenances'!$K:$K,0))+R29),R29))</f>
        <v>203</v>
      </c>
      <c r="T29" s="26">
        <f>IF(ISNUMBER(VLOOKUP($D29,'Visu totale'!$D:$DH,T$1,0)),S29-VLOOKUP($D29,'Visu totale'!$D:$DH,T$1,0),IF(LEFT(VLOOKUP($D29,'Visu totale'!$D:$DH,T$1,0),1)="V",IF(S29&gt;=INDEX('[1]Définition Maintenances'!$G:$G,MATCH($A29,'[1]Définition Maintenances'!$K:$K,0)),S29,INDEX('[1]Définition Maintenances'!$G:$G,MATCH($A29,'[1]Définition Maintenances'!$K:$K,0))+S29),S29))</f>
        <v>203</v>
      </c>
      <c r="U29" s="26">
        <f>IF(ISNUMBER(VLOOKUP($D29,'Visu totale'!$D:$DH,U$1,0)),T29-VLOOKUP($D29,'Visu totale'!$D:$DH,U$1,0),IF(LEFT(VLOOKUP($D29,'Visu totale'!$D:$DH,U$1,0),1)="V",IF(T29&gt;=INDEX('[1]Définition Maintenances'!$G:$G,MATCH($A29,'[1]Définition Maintenances'!$K:$K,0)),T29,INDEX('[1]Définition Maintenances'!$G:$G,MATCH($A29,'[1]Définition Maintenances'!$K:$K,0))+T29),T29))</f>
        <v>203</v>
      </c>
      <c r="V29" s="26">
        <f>IF(ISNUMBER(VLOOKUP($D29,'Visu totale'!$D:$DH,V$1,0)),U29-VLOOKUP($D29,'Visu totale'!$D:$DH,V$1,0),IF(LEFT(VLOOKUP($D29,'Visu totale'!$D:$DH,V$1,0),1)="V",IF(U29&gt;=INDEX('[1]Définition Maintenances'!$G:$G,MATCH($A29,'[1]Définition Maintenances'!$K:$K,0)),U29,INDEX('[1]Définition Maintenances'!$G:$G,MATCH($A29,'[1]Définition Maintenances'!$K:$K,0))+U29),U29))</f>
        <v>203</v>
      </c>
      <c r="W29" s="26">
        <f>IF(ISNUMBER(VLOOKUP($D29,'Visu totale'!$D:$DH,W$1,0)),V29-VLOOKUP($D29,'Visu totale'!$D:$DH,W$1,0),IF(LEFT(VLOOKUP($D29,'Visu totale'!$D:$DH,W$1,0),1)="V",IF(V29&gt;=INDEX('[1]Définition Maintenances'!$G:$G,MATCH($A29,'[1]Définition Maintenances'!$K:$K,0)),V29,INDEX('[1]Définition Maintenances'!$G:$G,MATCH($A29,'[1]Définition Maintenances'!$K:$K,0))+V29),V29))</f>
        <v>203</v>
      </c>
      <c r="X29" s="26">
        <f>IF(ISNUMBER(VLOOKUP($D29,'Visu totale'!$D:$DH,X$1,0)),W29-VLOOKUP($D29,'Visu totale'!$D:$DH,X$1,0),IF(LEFT(VLOOKUP($D29,'Visu totale'!$D:$DH,X$1,0),1)="V",IF(W29&gt;=INDEX('[1]Définition Maintenances'!$G:$G,MATCH($A29,'[1]Définition Maintenances'!$K:$K,0)),W29,INDEX('[1]Définition Maintenances'!$G:$G,MATCH($A29,'[1]Définition Maintenances'!$K:$K,0))+W29),W29))</f>
        <v>203</v>
      </c>
      <c r="Y29" s="26">
        <f>IF(ISNUMBER(VLOOKUP($D29,'Visu totale'!$D:$DH,Y$1,0)),X29-VLOOKUP($D29,'Visu totale'!$D:$DH,Y$1,0),IF(LEFT(VLOOKUP($D29,'Visu totale'!$D:$DH,Y$1,0),1)="V",IF(X29&gt;=INDEX('[1]Définition Maintenances'!$G:$G,MATCH($A29,'[1]Définition Maintenances'!$K:$K,0)),X29,INDEX('[1]Définition Maintenances'!$G:$G,MATCH($A29,'[1]Définition Maintenances'!$K:$K,0))+X29),X29))</f>
        <v>203</v>
      </c>
      <c r="Z29" s="26">
        <f>IF(ISNUMBER(VLOOKUP($D29,'Visu totale'!$D:$DH,Z$1,0)),Y29-VLOOKUP($D29,'Visu totale'!$D:$DH,Z$1,0),IF(LEFT(VLOOKUP($D29,'Visu totale'!$D:$DH,Z$1,0),1)="V",IF(Y29&gt;=INDEX('[1]Définition Maintenances'!$G:$G,MATCH($A29,'[1]Définition Maintenances'!$K:$K,0)),Y29,INDEX('[1]Définition Maintenances'!$G:$G,MATCH($A29,'[1]Définition Maintenances'!$K:$K,0))+Y29),Y29))</f>
        <v>203</v>
      </c>
      <c r="AA29" s="26">
        <f>IF(ISNUMBER(VLOOKUP($D29,'Visu totale'!$D:$DH,AA$1,0)),Z29-VLOOKUP($D29,'Visu totale'!$D:$DH,AA$1,0),IF(LEFT(VLOOKUP($D29,'Visu totale'!$D:$DH,AA$1,0),1)="V",IF(Z29&gt;=INDEX('[1]Définition Maintenances'!$G:$G,MATCH($A29,'[1]Définition Maintenances'!$K:$K,0)),Z29,INDEX('[1]Définition Maintenances'!$G:$G,MATCH($A29,'[1]Définition Maintenances'!$K:$K,0))+Z29),Z29))</f>
        <v>203</v>
      </c>
      <c r="AB29" s="26">
        <f>IF(ISNUMBER(VLOOKUP($D29,'Visu totale'!$D:$DH,AB$1,0)),AA29-VLOOKUP($D29,'Visu totale'!$D:$DH,AB$1,0),IF(LEFT(VLOOKUP($D29,'Visu totale'!$D:$DH,AB$1,0),1)="V",IF(AA29&gt;=INDEX('[1]Définition Maintenances'!$G:$G,MATCH($A29,'[1]Définition Maintenances'!$K:$K,0)),AA29,INDEX('[1]Définition Maintenances'!$G:$G,MATCH($A29,'[1]Définition Maintenances'!$K:$K,0))+AA29),AA29))</f>
        <v>203</v>
      </c>
      <c r="AC29" s="27">
        <f>IF(ISNUMBER(VLOOKUP($D29,'Visu totale'!$D:$DH,AC$1,0)),AB29-VLOOKUP($D29,'Visu totale'!$D:$DH,AC$1,0),IF(LEFT(VLOOKUP($D29,'Visu totale'!$D:$DH,AC$1,0),1)="V",IF(AB29&gt;=INDEX('[1]Définition Maintenances'!$G:$G,MATCH($A29,'[1]Définition Maintenances'!$K:$K,0)),AB29,INDEX('[1]Définition Maintenances'!$G:$G,MATCH($A29,'[1]Définition Maintenances'!$K:$K,0))+AB29),AB29))</f>
        <v>203</v>
      </c>
      <c r="AD29" s="25">
        <f>IF(ISNUMBER(VLOOKUP($D29,'Visu totale'!$D:$DH,AD$1,0)),AC29-VLOOKUP($D29,'Visu totale'!$D:$DH,AD$1,0),IF(LEFT(VLOOKUP($D29,'Visu totale'!$D:$DH,AD$1,0),1)="V",IF(AC29&gt;=INDEX('[1]Définition Maintenances'!$G:$G,MATCH($A29,'[1]Définition Maintenances'!$K:$K,0)),AC29,INDEX('[1]Définition Maintenances'!$G:$G,MATCH($A29,'[1]Définition Maintenances'!$K:$K,0))+AC29),AC29))</f>
        <v>203</v>
      </c>
      <c r="AE29" s="26">
        <f>IF(ISNUMBER(VLOOKUP($D29,'Visu totale'!$D:$DH,AE$1,0)),AD29-VLOOKUP($D29,'Visu totale'!$D:$DH,AE$1,0),IF(LEFT(VLOOKUP($D29,'Visu totale'!$D:$DH,AE$1,0),1)="V",IF(AD29&gt;=INDEX('[1]Définition Maintenances'!$G:$G,MATCH($A29,'[1]Définition Maintenances'!$K:$K,0)),AD29,INDEX('[1]Définition Maintenances'!$G:$G,MATCH($A29,'[1]Définition Maintenances'!$K:$K,0))+AD29),AD29))</f>
        <v>203</v>
      </c>
      <c r="AF29" s="26">
        <f>IF(ISNUMBER(VLOOKUP($D29,'Visu totale'!$D:$DH,AF$1,0)),AE29-VLOOKUP($D29,'Visu totale'!$D:$DH,AF$1,0),IF(LEFT(VLOOKUP($D29,'Visu totale'!$D:$DH,AF$1,0),1)="V",IF(AE29&gt;=INDEX('[1]Définition Maintenances'!$G:$G,MATCH($A29,'[1]Définition Maintenances'!$K:$K,0)),AE29,INDEX('[1]Définition Maintenances'!$G:$G,MATCH($A29,'[1]Définition Maintenances'!$K:$K,0))+AE29),AE29))</f>
        <v>203</v>
      </c>
      <c r="AG29" s="26">
        <f>IF(ISNUMBER(VLOOKUP($D29,'Visu totale'!$D:$DH,AG$1,0)),AF29-VLOOKUP($D29,'Visu totale'!$D:$DH,AG$1,0),IF(LEFT(VLOOKUP($D29,'Visu totale'!$D:$DH,AG$1,0),1)="V",IF(AF29&gt;=INDEX('[1]Définition Maintenances'!$G:$G,MATCH($A29,'[1]Définition Maintenances'!$K:$K,0)),AF29,INDEX('[1]Définition Maintenances'!$G:$G,MATCH($A29,'[1]Définition Maintenances'!$K:$K,0))+AF29),AF29))</f>
        <v>203</v>
      </c>
      <c r="AH29" s="26">
        <f>IF(ISNUMBER(VLOOKUP($D29,'Visu totale'!$D:$DH,AH$1,0)),AG29-VLOOKUP($D29,'Visu totale'!$D:$DH,AH$1,0),IF(LEFT(VLOOKUP($D29,'Visu totale'!$D:$DH,AH$1,0),1)="V",IF(AG29&gt;=INDEX('[1]Définition Maintenances'!$G:$G,MATCH($A29,'[1]Définition Maintenances'!$K:$K,0)),AG29,INDEX('[1]Définition Maintenances'!$G:$G,MATCH($A29,'[1]Définition Maintenances'!$K:$K,0))+AG29),AG29))</f>
        <v>203</v>
      </c>
      <c r="AI29" s="26">
        <f>IF(ISNUMBER(VLOOKUP($D29,'Visu totale'!$D:$DH,AI$1,0)),AH29-VLOOKUP($D29,'Visu totale'!$D:$DH,AI$1,0),IF(LEFT(VLOOKUP($D29,'Visu totale'!$D:$DH,AI$1,0),1)="V",IF(AH29&gt;=INDEX('[1]Définition Maintenances'!$G:$G,MATCH($A29,'[1]Définition Maintenances'!$K:$K,0)),AH29,INDEX('[1]Définition Maintenances'!$G:$G,MATCH($A29,'[1]Définition Maintenances'!$K:$K,0))+AH29),AH29))</f>
        <v>203</v>
      </c>
      <c r="AJ29" s="26">
        <f>IF(ISNUMBER(VLOOKUP($D29,'Visu totale'!$D:$DH,AJ$1,0)),AI29-VLOOKUP($D29,'Visu totale'!$D:$DH,AJ$1,0),IF(LEFT(VLOOKUP($D29,'Visu totale'!$D:$DH,AJ$1,0),1)="V",IF(AI29&gt;=INDEX('[1]Définition Maintenances'!$G:$G,MATCH($A29,'[1]Définition Maintenances'!$K:$K,0)),AI29,INDEX('[1]Définition Maintenances'!$G:$G,MATCH($A29,'[1]Définition Maintenances'!$K:$K,0))+AI29),AI29))</f>
        <v>203</v>
      </c>
      <c r="AK29" s="26">
        <f>IF(ISNUMBER(VLOOKUP($D29,'Visu totale'!$D:$DH,AK$1,0)),AJ29-VLOOKUP($D29,'Visu totale'!$D:$DH,AK$1,0),IF(LEFT(VLOOKUP($D29,'Visu totale'!$D:$DH,AK$1,0),1)="V",IF(AJ29&gt;=INDEX('[1]Définition Maintenances'!$G:$G,MATCH($A29,'[1]Définition Maintenances'!$K:$K,0)),AJ29,INDEX('[1]Définition Maintenances'!$G:$G,MATCH($A29,'[1]Définition Maintenances'!$K:$K,0))+AJ29),AJ29))</f>
        <v>203</v>
      </c>
      <c r="AL29" s="26">
        <f>IF(ISNUMBER(VLOOKUP($D29,'Visu totale'!$D:$DH,AL$1,0)),AK29-VLOOKUP($D29,'Visu totale'!$D:$DH,AL$1,0),IF(LEFT(VLOOKUP($D29,'Visu totale'!$D:$DH,AL$1,0),1)="V",IF(AK29&gt;=INDEX('[1]Définition Maintenances'!$G:$G,MATCH($A29,'[1]Définition Maintenances'!$K:$K,0)),AK29,INDEX('[1]Définition Maintenances'!$G:$G,MATCH($A29,'[1]Définition Maintenances'!$K:$K,0))+AK29),AK29))</f>
        <v>203</v>
      </c>
      <c r="AM29" s="26">
        <f>IF(ISNUMBER(VLOOKUP($D29,'Visu totale'!$D:$DH,AM$1,0)),AL29-VLOOKUP($D29,'Visu totale'!$D:$DH,AM$1,0),IF(LEFT(VLOOKUP($D29,'Visu totale'!$D:$DH,AM$1,0),1)="V",IF(AL29&gt;=INDEX('[1]Définition Maintenances'!$G:$G,MATCH($A29,'[1]Définition Maintenances'!$K:$K,0)),AL29,INDEX('[1]Définition Maintenances'!$G:$G,MATCH($A29,'[1]Définition Maintenances'!$K:$K,0))+AL29),AL29))</f>
        <v>203</v>
      </c>
      <c r="AN29" s="26">
        <f>IF(ISNUMBER(VLOOKUP($D29,'Visu totale'!$D:$DH,AN$1,0)),AM29-VLOOKUP($D29,'Visu totale'!$D:$DH,AN$1,0),IF(LEFT(VLOOKUP($D29,'Visu totale'!$D:$DH,AN$1,0),1)="V",IF(AM29&gt;=INDEX('[1]Définition Maintenances'!$G:$G,MATCH($A29,'[1]Définition Maintenances'!$K:$K,0)),AM29,INDEX('[1]Définition Maintenances'!$G:$G,MATCH($A29,'[1]Définition Maintenances'!$K:$K,0))+AM29),AM29))</f>
        <v>203</v>
      </c>
      <c r="AO29" s="27">
        <f>IF(ISNUMBER(VLOOKUP($D29,'Visu totale'!$D:$DH,AO$1,0)),AN29-VLOOKUP($D29,'Visu totale'!$D:$DH,AO$1,0),IF(LEFT(VLOOKUP($D29,'Visu totale'!$D:$DH,AO$1,0),1)="V",IF(AN29&gt;=INDEX('[1]Définition Maintenances'!$G:$G,MATCH($A29,'[1]Définition Maintenances'!$K:$K,0)),AN29,INDEX('[1]Définition Maintenances'!$G:$G,MATCH($A29,'[1]Définition Maintenances'!$K:$K,0))+AN29),AN29))</f>
        <v>203</v>
      </c>
      <c r="AP29" s="25">
        <f>IF(ISNUMBER(VLOOKUP($D29,'Visu totale'!$D:$DH,AP$1,0)),AO29-VLOOKUP($D29,'Visu totale'!$D:$DH,AP$1,0),IF(LEFT(VLOOKUP($D29,'Visu totale'!$D:$DH,AP$1,0),1)="V",IF(AO29&gt;=INDEX('[1]Définition Maintenances'!$G:$G,MATCH($A29,'[1]Définition Maintenances'!$K:$K,0)),AO29,INDEX('[1]Définition Maintenances'!$G:$G,MATCH($A29,'[1]Définition Maintenances'!$K:$K,0))+AO29),AO29))</f>
        <v>203</v>
      </c>
      <c r="AQ29" s="26">
        <f>IF(ISNUMBER(VLOOKUP($D29,'Visu totale'!$D:$DH,AQ$1,0)),AP29-VLOOKUP($D29,'Visu totale'!$D:$DH,AQ$1,0),IF(LEFT(VLOOKUP($D29,'Visu totale'!$D:$DH,AQ$1,0),1)="V",IF(AP29&gt;=INDEX('[1]Définition Maintenances'!$G:$G,MATCH($A29,'[1]Définition Maintenances'!$K:$K,0)),AP29,INDEX('[1]Définition Maintenances'!$G:$G,MATCH($A29,'[1]Définition Maintenances'!$K:$K,0))+AP29),AP29))</f>
        <v>203</v>
      </c>
      <c r="AR29" s="26">
        <f>IF(ISNUMBER(VLOOKUP($D29,'Visu totale'!$D:$DH,AR$1,0)),AQ29-VLOOKUP($D29,'Visu totale'!$D:$DH,AR$1,0),IF(LEFT(VLOOKUP($D29,'Visu totale'!$D:$DH,AR$1,0),1)="V",IF(AQ29&gt;=INDEX('[1]Définition Maintenances'!$G:$G,MATCH($A29,'[1]Définition Maintenances'!$K:$K,0)),AQ29,INDEX('[1]Définition Maintenances'!$G:$G,MATCH($A29,'[1]Définition Maintenances'!$K:$K,0))+AQ29),AQ29))</f>
        <v>203</v>
      </c>
      <c r="AS29" s="26">
        <f>IF(ISNUMBER(VLOOKUP($D29,'Visu totale'!$D:$DH,AS$1,0)),AR29-VLOOKUP($D29,'Visu totale'!$D:$DH,AS$1,0),IF(LEFT(VLOOKUP($D29,'Visu totale'!$D:$DH,AS$1,0),1)="V",IF(AR29&gt;=INDEX('[1]Définition Maintenances'!$G:$G,MATCH($A29,'[1]Définition Maintenances'!$K:$K,0)),AR29,INDEX('[1]Définition Maintenances'!$G:$G,MATCH($A29,'[1]Définition Maintenances'!$K:$K,0))+AR29),AR29))</f>
        <v>203</v>
      </c>
      <c r="AT29" s="26">
        <f>IF(ISNUMBER(VLOOKUP($D29,'Visu totale'!$D:$DH,AT$1,0)),AS29-VLOOKUP($D29,'Visu totale'!$D:$DH,AT$1,0),IF(LEFT(VLOOKUP($D29,'Visu totale'!$D:$DH,AT$1,0),1)="V",IF(AS29&gt;=INDEX('[1]Définition Maintenances'!$G:$G,MATCH($A29,'[1]Définition Maintenances'!$K:$K,0)),AS29,INDEX('[1]Définition Maintenances'!$G:$G,MATCH($A29,'[1]Définition Maintenances'!$K:$K,0))+AS29),AS29))</f>
        <v>203</v>
      </c>
      <c r="AU29" s="26">
        <f>IF(ISNUMBER(VLOOKUP($D29,'Visu totale'!$D:$DH,AU$1,0)),AT29-VLOOKUP($D29,'Visu totale'!$D:$DH,AU$1,0),IF(LEFT(VLOOKUP($D29,'Visu totale'!$D:$DH,AU$1,0),1)="V",IF(AT29&gt;=INDEX('[1]Définition Maintenances'!$G:$G,MATCH($A29,'[1]Définition Maintenances'!$K:$K,0)),AT29,INDEX('[1]Définition Maintenances'!$G:$G,MATCH($A29,'[1]Définition Maintenances'!$K:$K,0))+AT29),AT29))</f>
        <v>203</v>
      </c>
      <c r="AV29" s="26">
        <f>IF(ISNUMBER(VLOOKUP($D29,'Visu totale'!$D:$DH,AV$1,0)),AU29-VLOOKUP($D29,'Visu totale'!$D:$DH,AV$1,0),IF(LEFT(VLOOKUP($D29,'Visu totale'!$D:$DH,AV$1,0),1)="V",IF(AU29&gt;=INDEX('[1]Définition Maintenances'!$G:$G,MATCH($A29,'[1]Définition Maintenances'!$K:$K,0)),AU29,INDEX('[1]Définition Maintenances'!$G:$G,MATCH($A29,'[1]Définition Maintenances'!$K:$K,0))+AU29),AU29))</f>
        <v>203</v>
      </c>
      <c r="AW29" s="26">
        <f>IF(ISNUMBER(VLOOKUP($D29,'Visu totale'!$D:$DH,AW$1,0)),AV29-VLOOKUP($D29,'Visu totale'!$D:$DH,AW$1,0),IF(LEFT(VLOOKUP($D29,'Visu totale'!$D:$DH,AW$1,0),1)="V",IF(AV29&gt;=INDEX('[1]Définition Maintenances'!$G:$G,MATCH($A29,'[1]Définition Maintenances'!$K:$K,0)),AV29,INDEX('[1]Définition Maintenances'!$G:$G,MATCH($A29,'[1]Définition Maintenances'!$K:$K,0))+AV29),AV29))</f>
        <v>203</v>
      </c>
      <c r="AX29" s="26">
        <f>IF(ISNUMBER(VLOOKUP($D29,'Visu totale'!$D:$DH,AX$1,0)),AW29-VLOOKUP($D29,'Visu totale'!$D:$DH,AX$1,0),IF(LEFT(VLOOKUP($D29,'Visu totale'!$D:$DH,AX$1,0),1)="V",IF(AW29&gt;=INDEX('[1]Définition Maintenances'!$G:$G,MATCH($A29,'[1]Définition Maintenances'!$K:$K,0)),AW29,INDEX('[1]Définition Maintenances'!$G:$G,MATCH($A29,'[1]Définition Maintenances'!$K:$K,0))+AW29),AW29))</f>
        <v>203</v>
      </c>
      <c r="AY29" s="26">
        <f>IF(ISNUMBER(VLOOKUP($D29,'Visu totale'!$D:$DH,AY$1,0)),AX29-VLOOKUP($D29,'Visu totale'!$D:$DH,AY$1,0),IF(LEFT(VLOOKUP($D29,'Visu totale'!$D:$DH,AY$1,0),1)="V",IF(AX29&gt;=INDEX('[1]Définition Maintenances'!$G:$G,MATCH($A29,'[1]Définition Maintenances'!$K:$K,0)),AX29,INDEX('[1]Définition Maintenances'!$G:$G,MATCH($A29,'[1]Définition Maintenances'!$K:$K,0))+AX29),AX29))</f>
        <v>203</v>
      </c>
      <c r="AZ29" s="26">
        <f>IF(ISNUMBER(VLOOKUP($D29,'Visu totale'!$D:$DH,AZ$1,0)),AY29-VLOOKUP($D29,'Visu totale'!$D:$DH,AZ$1,0),IF(LEFT(VLOOKUP($D29,'Visu totale'!$D:$DH,AZ$1,0),1)="V",IF(AY29&gt;=INDEX('[1]Définition Maintenances'!$G:$G,MATCH($A29,'[1]Définition Maintenances'!$K:$K,0)),AY29,INDEX('[1]Définition Maintenances'!$G:$G,MATCH($A29,'[1]Définition Maintenances'!$K:$K,0))+AY29),AY29))</f>
        <v>203</v>
      </c>
      <c r="BA29" s="27">
        <f>IF(ISNUMBER(VLOOKUP($D29,'Visu totale'!$D:$DH,BA$1,0)),AZ29-VLOOKUP($D29,'Visu totale'!$D:$DH,BA$1,0),IF(LEFT(VLOOKUP($D29,'Visu totale'!$D:$DH,BA$1,0),1)="V",IF(AZ29&gt;=INDEX('[1]Définition Maintenances'!$G:$G,MATCH($A29,'[1]Définition Maintenances'!$K:$K,0)),AZ29,INDEX('[1]Définition Maintenances'!$G:$G,MATCH($A29,'[1]Définition Maintenances'!$K:$K,0))+AZ29),AZ29))</f>
        <v>203</v>
      </c>
      <c r="BB29" s="25">
        <f>IF(ISNUMBER(VLOOKUP($D29,'Visu totale'!$D:$DH,BB$1,0)),BA29-VLOOKUP($D29,'Visu totale'!$D:$DH,BB$1,0),IF(LEFT(VLOOKUP($D29,'Visu totale'!$D:$DH,BB$1,0),1)="V",IF(BA29&gt;=INDEX('[1]Définition Maintenances'!$G:$G,MATCH($A29,'[1]Définition Maintenances'!$K:$K,0)),BA29,INDEX('[1]Définition Maintenances'!$G:$G,MATCH($A29,'[1]Définition Maintenances'!$K:$K,0))+BA29),BA29))</f>
        <v>203</v>
      </c>
      <c r="BC29" s="26">
        <f>IF(ISNUMBER(VLOOKUP($D29,'Visu totale'!$D:$DH,BC$1,0)),BB29-VLOOKUP($D29,'Visu totale'!$D:$DH,BC$1,0),IF(LEFT(VLOOKUP($D29,'Visu totale'!$D:$DH,BC$1,0),1)="V",IF(BB29&gt;=INDEX('[1]Définition Maintenances'!$G:$G,MATCH($A29,'[1]Définition Maintenances'!$K:$K,0)),BB29,INDEX('[1]Définition Maintenances'!$G:$G,MATCH($A29,'[1]Définition Maintenances'!$K:$K,0))+BB29),BB29))</f>
        <v>203</v>
      </c>
      <c r="BD29" s="26">
        <f>IF(ISNUMBER(VLOOKUP($D29,'Visu totale'!$D:$DH,BD$1,0)),BC29-VLOOKUP($D29,'Visu totale'!$D:$DH,BD$1,0),IF(LEFT(VLOOKUP($D29,'Visu totale'!$D:$DH,BD$1,0),1)="V",IF(BC29&gt;=INDEX('[1]Définition Maintenances'!$G:$G,MATCH($A29,'[1]Définition Maintenances'!$K:$K,0)),BC29,INDEX('[1]Définition Maintenances'!$G:$G,MATCH($A29,'[1]Définition Maintenances'!$K:$K,0))+BC29),BC29))</f>
        <v>203</v>
      </c>
      <c r="BE29" s="26">
        <f>IF(ISNUMBER(VLOOKUP($D29,'Visu totale'!$D:$DH,BE$1,0)),BD29-VLOOKUP($D29,'Visu totale'!$D:$DH,BE$1,0),IF(LEFT(VLOOKUP($D29,'Visu totale'!$D:$DH,BE$1,0),1)="V",IF(BD29&gt;=INDEX('[1]Définition Maintenances'!$G:$G,MATCH($A29,'[1]Définition Maintenances'!$K:$K,0)),BD29,INDEX('[1]Définition Maintenances'!$G:$G,MATCH($A29,'[1]Définition Maintenances'!$K:$K,0))+BD29),BD29))</f>
        <v>203</v>
      </c>
      <c r="BF29" s="26">
        <f>IF(ISNUMBER(VLOOKUP($D29,'Visu totale'!$D:$DH,BF$1,0)),BE29-VLOOKUP($D29,'Visu totale'!$D:$DH,BF$1,0),IF(LEFT(VLOOKUP($D29,'Visu totale'!$D:$DH,BF$1,0),1)="V",IF(BE29&gt;=INDEX('[1]Définition Maintenances'!$G:$G,MATCH($A29,'[1]Définition Maintenances'!$K:$K,0)),BE29,INDEX('[1]Définition Maintenances'!$G:$G,MATCH($A29,'[1]Définition Maintenances'!$K:$K,0))+BE29),BE29))</f>
        <v>203</v>
      </c>
      <c r="BG29" s="26">
        <f>IF(ISNUMBER(VLOOKUP($D29,'Visu totale'!$D:$DH,BG$1,0)),BF29-VLOOKUP($D29,'Visu totale'!$D:$DH,BG$1,0),IF(LEFT(VLOOKUP($D29,'Visu totale'!$D:$DH,BG$1,0),1)="V",IF(BF29&gt;=INDEX('[1]Définition Maintenances'!$G:$G,MATCH($A29,'[1]Définition Maintenances'!$K:$K,0)),BF29,INDEX('[1]Définition Maintenances'!$G:$G,MATCH($A29,'[1]Définition Maintenances'!$K:$K,0))+BF29),BF29))</f>
        <v>203</v>
      </c>
      <c r="BH29" s="26">
        <f>IF(ISNUMBER(VLOOKUP($D29,'Visu totale'!$D:$DH,BH$1,0)),BG29-VLOOKUP($D29,'Visu totale'!$D:$DH,BH$1,0),IF(LEFT(VLOOKUP($D29,'Visu totale'!$D:$DH,BH$1,0),1)="V",IF(BG29&gt;=INDEX('[1]Définition Maintenances'!$G:$G,MATCH($A29,'[1]Définition Maintenances'!$K:$K,0)),BG29,INDEX('[1]Définition Maintenances'!$G:$G,MATCH($A29,'[1]Définition Maintenances'!$K:$K,0))+BG29),BG29))</f>
        <v>203</v>
      </c>
      <c r="BI29" s="26">
        <f>IF(ISNUMBER(VLOOKUP($D29,'Visu totale'!$D:$DH,BI$1,0)),BH29-VLOOKUP($D29,'Visu totale'!$D:$DH,BI$1,0),IF(LEFT(VLOOKUP($D29,'Visu totale'!$D:$DH,BI$1,0),1)="V",IF(BH29&gt;=INDEX('[1]Définition Maintenances'!$G:$G,MATCH($A29,'[1]Définition Maintenances'!$K:$K,0)),BH29,INDEX('[1]Définition Maintenances'!$G:$G,MATCH($A29,'[1]Définition Maintenances'!$K:$K,0))+BH29),BH29))</f>
        <v>203</v>
      </c>
      <c r="BJ29" s="26">
        <f>IF(ISNUMBER(VLOOKUP($D29,'Visu totale'!$D:$DH,BJ$1,0)),BI29-VLOOKUP($D29,'Visu totale'!$D:$DH,BJ$1,0),IF(LEFT(VLOOKUP($D29,'Visu totale'!$D:$DH,BJ$1,0),1)="V",IF(BI29&gt;=INDEX('[1]Définition Maintenances'!$G:$G,MATCH($A29,'[1]Définition Maintenances'!$K:$K,0)),BI29,INDEX('[1]Définition Maintenances'!$G:$G,MATCH($A29,'[1]Définition Maintenances'!$K:$K,0))+BI29),BI29))</f>
        <v>203</v>
      </c>
      <c r="BK29" s="26">
        <f>IF(ISNUMBER(VLOOKUP($D29,'Visu totale'!$D:$DH,BK$1,0)),BJ29-VLOOKUP($D29,'Visu totale'!$D:$DH,BK$1,0),IF(LEFT(VLOOKUP($D29,'Visu totale'!$D:$DH,BK$1,0),1)="V",IF(BJ29&gt;=INDEX('[1]Définition Maintenances'!$G:$G,MATCH($A29,'[1]Définition Maintenances'!$K:$K,0)),BJ29,INDEX('[1]Définition Maintenances'!$G:$G,MATCH($A29,'[1]Définition Maintenances'!$K:$K,0))+BJ29),BJ29))</f>
        <v>203</v>
      </c>
      <c r="BL29" s="26">
        <f>IF(ISNUMBER(VLOOKUP($D29,'Visu totale'!$D:$DH,BL$1,0)),BK29-VLOOKUP($D29,'Visu totale'!$D:$DH,BL$1,0),IF(LEFT(VLOOKUP($D29,'Visu totale'!$D:$DH,BL$1,0),1)="V",IF(BK29&gt;=INDEX('[1]Définition Maintenances'!$G:$G,MATCH($A29,'[1]Définition Maintenances'!$K:$K,0)),BK29,INDEX('[1]Définition Maintenances'!$G:$G,MATCH($A29,'[1]Définition Maintenances'!$K:$K,0))+BK29),BK29))</f>
        <v>203</v>
      </c>
      <c r="BM29" s="27">
        <f>IF(ISNUMBER(VLOOKUP($D29,'Visu totale'!$D:$DH,BM$1,0)),BL29-VLOOKUP($D29,'Visu totale'!$D:$DH,BM$1,0),IF(LEFT(VLOOKUP($D29,'Visu totale'!$D:$DH,BM$1,0),1)="V",IF(BL29&gt;=INDEX('[1]Définition Maintenances'!$G:$G,MATCH($A29,'[1]Définition Maintenances'!$K:$K,0)),BL29,INDEX('[1]Définition Maintenances'!$G:$G,MATCH($A29,'[1]Définition Maintenances'!$K:$K,0))+BL29),BL29))</f>
        <v>203</v>
      </c>
      <c r="BN29" s="25">
        <f>IF(ISNUMBER(VLOOKUP($D29,'Visu totale'!$D:$DH,BN$1,0)),BM29-VLOOKUP($D29,'Visu totale'!$D:$DH,BN$1,0),IF(LEFT(VLOOKUP($D29,'Visu totale'!$D:$DH,BN$1,0),1)="V",IF(BM29&gt;=INDEX('[1]Définition Maintenances'!$G:$G,MATCH($A29,'[1]Définition Maintenances'!$K:$K,0)),BM29,INDEX('[1]Définition Maintenances'!$G:$G,MATCH($A29,'[1]Définition Maintenances'!$K:$K,0))+BM29),BM29))</f>
        <v>203</v>
      </c>
      <c r="BO29" s="26">
        <f>IF(ISNUMBER(VLOOKUP($D29,'Visu totale'!$D:$DH,BO$1,0)),BN29-VLOOKUP($D29,'Visu totale'!$D:$DH,BO$1,0),IF(LEFT(VLOOKUP($D29,'Visu totale'!$D:$DH,BO$1,0),1)="V",IF(BN29&gt;=INDEX('[1]Définition Maintenances'!$G:$G,MATCH($A29,'[1]Définition Maintenances'!$K:$K,0)),BN29,INDEX('[1]Définition Maintenances'!$G:$G,MATCH($A29,'[1]Définition Maintenances'!$K:$K,0))+BN29),BN29))</f>
        <v>203</v>
      </c>
      <c r="BP29" s="26">
        <f>IF(ISNUMBER(VLOOKUP($D29,'Visu totale'!$D:$DH,BP$1,0)),BO29-VLOOKUP($D29,'Visu totale'!$D:$DH,BP$1,0),IF(LEFT(VLOOKUP($D29,'Visu totale'!$D:$DH,BP$1,0),1)="V",IF(BO29&gt;=INDEX('[1]Définition Maintenances'!$G:$G,MATCH($A29,'[1]Définition Maintenances'!$K:$K,0)),BO29,INDEX('[1]Définition Maintenances'!$G:$G,MATCH($A29,'[1]Définition Maintenances'!$K:$K,0))+BO29),BO29))</f>
        <v>203</v>
      </c>
      <c r="BQ29" s="26">
        <f>IF(ISNUMBER(VLOOKUP($D29,'Visu totale'!$D:$DH,BQ$1,0)),BP29-VLOOKUP($D29,'Visu totale'!$D:$DH,BQ$1,0),IF(LEFT(VLOOKUP($D29,'Visu totale'!$D:$DH,BQ$1,0),1)="V",IF(BP29&gt;=INDEX('[1]Définition Maintenances'!$G:$G,MATCH($A29,'[1]Définition Maintenances'!$K:$K,0)),BP29,INDEX('[1]Définition Maintenances'!$G:$G,MATCH($A29,'[1]Définition Maintenances'!$K:$K,0))+BP29),BP29))</f>
        <v>203</v>
      </c>
      <c r="BR29" s="26">
        <f>IF(ISNUMBER(VLOOKUP($D29,'Visu totale'!$D:$DH,BR$1,0)),BQ29-VLOOKUP($D29,'Visu totale'!$D:$DH,BR$1,0),IF(LEFT(VLOOKUP($D29,'Visu totale'!$D:$DH,BR$1,0),1)="V",IF(BQ29&gt;=INDEX('[1]Définition Maintenances'!$G:$G,MATCH($A29,'[1]Définition Maintenances'!$K:$K,0)),BQ29,INDEX('[1]Définition Maintenances'!$G:$G,MATCH($A29,'[1]Définition Maintenances'!$K:$K,0))+BQ29),BQ29))</f>
        <v>203</v>
      </c>
      <c r="BS29" s="26">
        <f>IF(ISNUMBER(VLOOKUP($D29,'Visu totale'!$D:$DH,BS$1,0)),BR29-VLOOKUP($D29,'Visu totale'!$D:$DH,BS$1,0),IF(LEFT(VLOOKUP($D29,'Visu totale'!$D:$DH,BS$1,0),1)="V",IF(BR29&gt;=INDEX('[1]Définition Maintenances'!$G:$G,MATCH($A29,'[1]Définition Maintenances'!$K:$K,0)),BR29,INDEX('[1]Définition Maintenances'!$G:$G,MATCH($A29,'[1]Définition Maintenances'!$K:$K,0))+BR29),BR29))</f>
        <v>203</v>
      </c>
      <c r="BT29" s="26">
        <f>IF(ISNUMBER(VLOOKUP($D29,'Visu totale'!$D:$DH,BT$1,0)),BS29-VLOOKUP($D29,'Visu totale'!$D:$DH,BT$1,0),IF(LEFT(VLOOKUP($D29,'Visu totale'!$D:$DH,BT$1,0),1)="V",IF(BS29&gt;=INDEX('[1]Définition Maintenances'!$G:$G,MATCH($A29,'[1]Définition Maintenances'!$K:$K,0)),BS29,INDEX('[1]Définition Maintenances'!$G:$G,MATCH($A29,'[1]Définition Maintenances'!$K:$K,0))+BS29),BS29))</f>
        <v>203</v>
      </c>
      <c r="BU29" s="26">
        <f>IF(ISNUMBER(VLOOKUP($D29,'Visu totale'!$D:$DH,BU$1,0)),BT29-VLOOKUP($D29,'Visu totale'!$D:$DH,BU$1,0),IF(LEFT(VLOOKUP($D29,'Visu totale'!$D:$DH,BU$1,0),1)="V",IF(BT29&gt;=INDEX('[1]Définition Maintenances'!$G:$G,MATCH($A29,'[1]Définition Maintenances'!$K:$K,0)),BT29,INDEX('[1]Définition Maintenances'!$G:$G,MATCH($A29,'[1]Définition Maintenances'!$K:$K,0))+BT29),BT29))</f>
        <v>203</v>
      </c>
      <c r="BV29" s="26">
        <f>IF(ISNUMBER(VLOOKUP($D29,'Visu totale'!$D:$DH,BV$1,0)),BU29-VLOOKUP($D29,'Visu totale'!$D:$DH,BV$1,0),IF(LEFT(VLOOKUP($D29,'Visu totale'!$D:$DH,BV$1,0),1)="V",IF(BU29&gt;=INDEX('[1]Définition Maintenances'!$G:$G,MATCH($A29,'[1]Définition Maintenances'!$K:$K,0)),BU29,INDEX('[1]Définition Maintenances'!$G:$G,MATCH($A29,'[1]Définition Maintenances'!$K:$K,0))+BU29),BU29))</f>
        <v>203</v>
      </c>
      <c r="BW29" s="26">
        <f>IF(ISNUMBER(VLOOKUP($D29,'Visu totale'!$D:$DH,BW$1,0)),BV29-VLOOKUP($D29,'Visu totale'!$D:$DH,BW$1,0),IF(LEFT(VLOOKUP($D29,'Visu totale'!$D:$DH,BW$1,0),1)="V",IF(BV29&gt;=INDEX('[1]Définition Maintenances'!$G:$G,MATCH($A29,'[1]Définition Maintenances'!$K:$K,0)),BV29,INDEX('[1]Définition Maintenances'!$G:$G,MATCH($A29,'[1]Définition Maintenances'!$K:$K,0))+BV29),BV29))</f>
        <v>203</v>
      </c>
      <c r="BX29" s="26">
        <f>IF(ISNUMBER(VLOOKUP($D29,'Visu totale'!$D:$DH,BX$1,0)),BW29-VLOOKUP($D29,'Visu totale'!$D:$DH,BX$1,0),IF(LEFT(VLOOKUP($D29,'Visu totale'!$D:$DH,BX$1,0),1)="V",IF(BW29&gt;=INDEX('[1]Définition Maintenances'!$G:$G,MATCH($A29,'[1]Définition Maintenances'!$K:$K,0)),BW29,INDEX('[1]Définition Maintenances'!$G:$G,MATCH($A29,'[1]Définition Maintenances'!$K:$K,0))+BW29),BW29))</f>
        <v>203</v>
      </c>
      <c r="BY29" s="27">
        <f>IF(ISNUMBER(VLOOKUP($D29,'Visu totale'!$D:$DH,BY$1,0)),BX29-VLOOKUP($D29,'Visu totale'!$D:$DH,BY$1,0),IF(LEFT(VLOOKUP($D29,'Visu totale'!$D:$DH,BY$1,0),1)="V",IF(BX29&gt;=INDEX('[1]Définition Maintenances'!$G:$G,MATCH($A29,'[1]Définition Maintenances'!$K:$K,0)),BX29,INDEX('[1]Définition Maintenances'!$G:$G,MATCH($A29,'[1]Définition Maintenances'!$K:$K,0))+BX29),BX29))</f>
        <v>203</v>
      </c>
      <c r="BZ29" s="25">
        <f>IF(ISNUMBER(VLOOKUP($D29,'Visu totale'!$D:$DH,BZ$1,0)),BY29-VLOOKUP($D29,'Visu totale'!$D:$DH,BZ$1,0),IF(LEFT(VLOOKUP($D29,'Visu totale'!$D:$DH,BZ$1,0),1)="V",IF(BY29&gt;=INDEX('[1]Définition Maintenances'!$G:$G,MATCH($A29,'[1]Définition Maintenances'!$K:$K,0)),BY29,INDEX('[1]Définition Maintenances'!$G:$G,MATCH($A29,'[1]Définition Maintenances'!$K:$K,0))+BY29),BY29))</f>
        <v>203</v>
      </c>
      <c r="CA29" s="26">
        <f>IF(ISNUMBER(VLOOKUP($D29,'Visu totale'!$D:$DH,CA$1,0)),BZ29-VLOOKUP($D29,'Visu totale'!$D:$DH,CA$1,0),IF(LEFT(VLOOKUP($D29,'Visu totale'!$D:$DH,CA$1,0),1)="V",IF(BZ29&gt;=INDEX('[1]Définition Maintenances'!$G:$G,MATCH($A29,'[1]Définition Maintenances'!$K:$K,0)),BZ29,INDEX('[1]Définition Maintenances'!$G:$G,MATCH($A29,'[1]Définition Maintenances'!$K:$K,0))+BZ29),BZ29))</f>
        <v>203</v>
      </c>
      <c r="CB29" s="26">
        <f>IF(ISNUMBER(VLOOKUP($D29,'Visu totale'!$D:$DH,CB$1,0)),CA29-VLOOKUP($D29,'Visu totale'!$D:$DH,CB$1,0),IF(LEFT(VLOOKUP($D29,'Visu totale'!$D:$DH,CB$1,0),1)="V",IF(CA29&gt;=INDEX('[1]Définition Maintenances'!$G:$G,MATCH($A29,'[1]Définition Maintenances'!$K:$K,0)),CA29,INDEX('[1]Définition Maintenances'!$G:$G,MATCH($A29,'[1]Définition Maintenances'!$K:$K,0))+CA29),CA29))</f>
        <v>203</v>
      </c>
      <c r="CC29" s="26">
        <f>IF(ISNUMBER(VLOOKUP($D29,'Visu totale'!$D:$DH,CC$1,0)),CB29-VLOOKUP($D29,'Visu totale'!$D:$DH,CC$1,0),IF(LEFT(VLOOKUP($D29,'Visu totale'!$D:$DH,CC$1,0),1)="V",IF(CB29&gt;=INDEX('[1]Définition Maintenances'!$G:$G,MATCH($A29,'[1]Définition Maintenances'!$K:$K,0)),CB29,INDEX('[1]Définition Maintenances'!$G:$G,MATCH($A29,'[1]Définition Maintenances'!$K:$K,0))+CB29),CB29))</f>
        <v>203</v>
      </c>
      <c r="CD29" s="26">
        <f>IF(ISNUMBER(VLOOKUP($D29,'Visu totale'!$D:$DH,CD$1,0)),CC29-VLOOKUP($D29,'Visu totale'!$D:$DH,CD$1,0),IF(LEFT(VLOOKUP($D29,'Visu totale'!$D:$DH,CD$1,0),1)="V",IF(CC29&gt;=INDEX('[1]Définition Maintenances'!$G:$G,MATCH($A29,'[1]Définition Maintenances'!$K:$K,0)),CC29,INDEX('[1]Définition Maintenances'!$G:$G,MATCH($A29,'[1]Définition Maintenances'!$K:$K,0))+CC29),CC29))</f>
        <v>203</v>
      </c>
      <c r="CE29" s="26">
        <f>IF(ISNUMBER(VLOOKUP($D29,'Visu totale'!$D:$DH,CE$1,0)),CD29-VLOOKUP($D29,'Visu totale'!$D:$DH,CE$1,0),IF(LEFT(VLOOKUP($D29,'Visu totale'!$D:$DH,CE$1,0),1)="V",IF(CD29&gt;=INDEX('[1]Définition Maintenances'!$G:$G,MATCH($A29,'[1]Définition Maintenances'!$K:$K,0)),CD29,INDEX('[1]Définition Maintenances'!$G:$G,MATCH($A29,'[1]Définition Maintenances'!$K:$K,0))+CD29),CD29))</f>
        <v>203</v>
      </c>
      <c r="CF29" s="26">
        <f>IF(ISNUMBER(VLOOKUP($D29,'Visu totale'!$D:$DH,CF$1,0)),CE29-VLOOKUP($D29,'Visu totale'!$D:$DH,CF$1,0),IF(LEFT(VLOOKUP($D29,'Visu totale'!$D:$DH,CF$1,0),1)="V",IF(CE29&gt;=INDEX('[1]Définition Maintenances'!$G:$G,MATCH($A29,'[1]Définition Maintenances'!$K:$K,0)),CE29,INDEX('[1]Définition Maintenances'!$G:$G,MATCH($A29,'[1]Définition Maintenances'!$K:$K,0))+CE29),CE29))</f>
        <v>203</v>
      </c>
      <c r="CG29" s="26">
        <f>IF(ISNUMBER(VLOOKUP($D29,'Visu totale'!$D:$DH,CG$1,0)),CF29-VLOOKUP($D29,'Visu totale'!$D:$DH,CG$1,0),IF(LEFT(VLOOKUP($D29,'Visu totale'!$D:$DH,CG$1,0),1)="V",IF(CF29&gt;=INDEX('[1]Définition Maintenances'!$G:$G,MATCH($A29,'[1]Définition Maintenances'!$K:$K,0)),CF29,INDEX('[1]Définition Maintenances'!$G:$G,MATCH($A29,'[1]Définition Maintenances'!$K:$K,0))+CF29),CF29))</f>
        <v>203</v>
      </c>
      <c r="CH29" s="26">
        <f>IF(ISNUMBER(VLOOKUP($D29,'Visu totale'!$D:$DH,CH$1,0)),CG29-VLOOKUP($D29,'Visu totale'!$D:$DH,CH$1,0),IF(LEFT(VLOOKUP($D29,'Visu totale'!$D:$DH,CH$1,0),1)="V",IF(CG29&gt;=INDEX('[1]Définition Maintenances'!$G:$G,MATCH($A29,'[1]Définition Maintenances'!$K:$K,0)),CG29,INDEX('[1]Définition Maintenances'!$G:$G,MATCH($A29,'[1]Définition Maintenances'!$K:$K,0))+CG29),CG29))</f>
        <v>203</v>
      </c>
      <c r="CI29" s="26">
        <f>IF(ISNUMBER(VLOOKUP($D29,'Visu totale'!$D:$DH,CI$1,0)),CH29-VLOOKUP($D29,'Visu totale'!$D:$DH,CI$1,0),IF(LEFT(VLOOKUP($D29,'Visu totale'!$D:$DH,CI$1,0),1)="V",IF(CH29&gt;=INDEX('[1]Définition Maintenances'!$G:$G,MATCH($A29,'[1]Définition Maintenances'!$K:$K,0)),CH29,INDEX('[1]Définition Maintenances'!$G:$G,MATCH($A29,'[1]Définition Maintenances'!$K:$K,0))+CH29),CH29))</f>
        <v>203</v>
      </c>
      <c r="CJ29" s="26">
        <f>IF(ISNUMBER(VLOOKUP($D29,'Visu totale'!$D:$DH,CJ$1,0)),CI29-VLOOKUP($D29,'Visu totale'!$D:$DH,CJ$1,0),IF(LEFT(VLOOKUP($D29,'Visu totale'!$D:$DH,CJ$1,0),1)="V",IF(CI29&gt;=INDEX('[1]Définition Maintenances'!$G:$G,MATCH($A29,'[1]Définition Maintenances'!$K:$K,0)),CI29,INDEX('[1]Définition Maintenances'!$G:$G,MATCH($A29,'[1]Définition Maintenances'!$K:$K,0))+CI29),CI29))</f>
        <v>203</v>
      </c>
      <c r="CK29" s="27">
        <f>IF(ISNUMBER(VLOOKUP($D29,'Visu totale'!$D:$DH,CK$1,0)),CJ29-VLOOKUP($D29,'Visu totale'!$D:$DH,CK$1,0),IF(LEFT(VLOOKUP($D29,'Visu totale'!$D:$DH,CK$1,0),1)="V",IF(CJ29&gt;=INDEX('[1]Définition Maintenances'!$G:$G,MATCH($A29,'[1]Définition Maintenances'!$K:$K,0)),CJ29,INDEX('[1]Définition Maintenances'!$G:$G,MATCH($A29,'[1]Définition Maintenances'!$K:$K,0))+CJ29),CJ29))</f>
        <v>203</v>
      </c>
      <c r="CL29" s="25">
        <f>IF(ISNUMBER(VLOOKUP($D29,'Visu totale'!$D:$DH,CL$1,0)),CK29-VLOOKUP($D29,'Visu totale'!$D:$DH,CL$1,0),IF(LEFT(VLOOKUP($D29,'Visu totale'!$D:$DH,CL$1,0),1)="V",IF(CK29&gt;=INDEX('[1]Définition Maintenances'!$G:$G,MATCH($A29,'[1]Définition Maintenances'!$K:$K,0)),CK29,INDEX('[1]Définition Maintenances'!$G:$G,MATCH($A29,'[1]Définition Maintenances'!$K:$K,0))+CK29),CK29))</f>
        <v>203</v>
      </c>
      <c r="CM29" s="26">
        <f>IF(ISNUMBER(VLOOKUP($D29,'Visu totale'!$D:$DH,CM$1,0)),CL29-VLOOKUP($D29,'Visu totale'!$D:$DH,CM$1,0),IF(LEFT(VLOOKUP($D29,'Visu totale'!$D:$DH,CM$1,0),1)="V",IF(CL29&gt;=INDEX('[1]Définition Maintenances'!$G:$G,MATCH($A29,'[1]Définition Maintenances'!$K:$K,0)),CL29,INDEX('[1]Définition Maintenances'!$G:$G,MATCH($A29,'[1]Définition Maintenances'!$K:$K,0))+CL29),CL29))</f>
        <v>203</v>
      </c>
      <c r="CN29" s="26">
        <f>IF(ISNUMBER(VLOOKUP($D29,'Visu totale'!$D:$DH,CN$1,0)),CM29-VLOOKUP($D29,'Visu totale'!$D:$DH,CN$1,0),IF(LEFT(VLOOKUP($D29,'Visu totale'!$D:$DH,CN$1,0),1)="V",IF(CM29&gt;=INDEX('[1]Définition Maintenances'!$G:$G,MATCH($A29,'[1]Définition Maintenances'!$K:$K,0)),CM29,INDEX('[1]Définition Maintenances'!$G:$G,MATCH($A29,'[1]Définition Maintenances'!$K:$K,0))+CM29),CM29))</f>
        <v>203</v>
      </c>
      <c r="CO29" s="26">
        <f>IF(ISNUMBER(VLOOKUP($D29,'Visu totale'!$D:$DH,CO$1,0)),CN29-VLOOKUP($D29,'Visu totale'!$D:$DH,CO$1,0),IF(LEFT(VLOOKUP($D29,'Visu totale'!$D:$DH,CO$1,0),1)="V",IF(CN29&gt;=INDEX('[1]Définition Maintenances'!$G:$G,MATCH($A29,'[1]Définition Maintenances'!$K:$K,0)),CN29,INDEX('[1]Définition Maintenances'!$G:$G,MATCH($A29,'[1]Définition Maintenances'!$K:$K,0))+CN29),CN29))</f>
        <v>203</v>
      </c>
      <c r="CP29" s="26">
        <f>IF(ISNUMBER(VLOOKUP($D29,'Visu totale'!$D:$DH,CP$1,0)),CO29-VLOOKUP($D29,'Visu totale'!$D:$DH,CP$1,0),IF(LEFT(VLOOKUP($D29,'Visu totale'!$D:$DH,CP$1,0),1)="V",IF(CO29&gt;=INDEX('[1]Définition Maintenances'!$G:$G,MATCH($A29,'[1]Définition Maintenances'!$K:$K,0)),CO29,INDEX('[1]Définition Maintenances'!$G:$G,MATCH($A29,'[1]Définition Maintenances'!$K:$K,0))+CO29),CO29))</f>
        <v>203</v>
      </c>
      <c r="CQ29" s="26">
        <f>IF(ISNUMBER(VLOOKUP($D29,'Visu totale'!$D:$DH,CQ$1,0)),CP29-VLOOKUP($D29,'Visu totale'!$D:$DH,CQ$1,0),IF(LEFT(VLOOKUP($D29,'Visu totale'!$D:$DH,CQ$1,0),1)="V",IF(CP29&gt;=INDEX('[1]Définition Maintenances'!$G:$G,MATCH($A29,'[1]Définition Maintenances'!$K:$K,0)),CP29,INDEX('[1]Définition Maintenances'!$G:$G,MATCH($A29,'[1]Définition Maintenances'!$K:$K,0))+CP29),CP29))</f>
        <v>203</v>
      </c>
      <c r="CR29" s="26">
        <f>IF(ISNUMBER(VLOOKUP($D29,'Visu totale'!$D:$DH,CR$1,0)),CQ29-VLOOKUP($D29,'Visu totale'!$D:$DH,CR$1,0),IF(LEFT(VLOOKUP($D29,'Visu totale'!$D:$DH,CR$1,0),1)="V",IF(CQ29&gt;=INDEX('[1]Définition Maintenances'!$G:$G,MATCH($A29,'[1]Définition Maintenances'!$K:$K,0)),CQ29,INDEX('[1]Définition Maintenances'!$G:$G,MATCH($A29,'[1]Définition Maintenances'!$K:$K,0))+CQ29),CQ29))</f>
        <v>203</v>
      </c>
      <c r="CS29" s="26">
        <f>IF(ISNUMBER(VLOOKUP($D29,'Visu totale'!$D:$DH,CS$1,0)),CR29-VLOOKUP($D29,'Visu totale'!$D:$DH,CS$1,0),IF(LEFT(VLOOKUP($D29,'Visu totale'!$D:$DH,CS$1,0),1)="V",IF(CR29&gt;=INDEX('[1]Définition Maintenances'!$G:$G,MATCH($A29,'[1]Définition Maintenances'!$K:$K,0)),CR29,INDEX('[1]Définition Maintenances'!$G:$G,MATCH($A29,'[1]Définition Maintenances'!$K:$K,0))+CR29),CR29))</f>
        <v>203</v>
      </c>
      <c r="CT29" s="26">
        <f>IF(ISNUMBER(VLOOKUP($D29,'Visu totale'!$D:$DH,CT$1,0)),CS29-VLOOKUP($D29,'Visu totale'!$D:$DH,CT$1,0),IF(LEFT(VLOOKUP($D29,'Visu totale'!$D:$DH,CT$1,0),1)="V",IF(CS29&gt;=INDEX('[1]Définition Maintenances'!$G:$G,MATCH($A29,'[1]Définition Maintenances'!$K:$K,0)),CS29,INDEX('[1]Définition Maintenances'!$G:$G,MATCH($A29,'[1]Définition Maintenances'!$K:$K,0))+CS29),CS29))</f>
        <v>203</v>
      </c>
      <c r="CU29" s="26">
        <f>IF(ISNUMBER(VLOOKUP($D29,'Visu totale'!$D:$DH,CU$1,0)),CT29-VLOOKUP($D29,'Visu totale'!$D:$DH,CU$1,0),IF(LEFT(VLOOKUP($D29,'Visu totale'!$D:$DH,CU$1,0),1)="V",IF(CT29&gt;=INDEX('[1]Définition Maintenances'!$G:$G,MATCH($A29,'[1]Définition Maintenances'!$K:$K,0)),CT29,INDEX('[1]Définition Maintenances'!$G:$G,MATCH($A29,'[1]Définition Maintenances'!$K:$K,0))+CT29),CT29))</f>
        <v>203</v>
      </c>
      <c r="CV29" s="26">
        <f>IF(ISNUMBER(VLOOKUP($D29,'Visu totale'!$D:$DH,CV$1,0)),CU29-VLOOKUP($D29,'Visu totale'!$D:$DH,CV$1,0),IF(LEFT(VLOOKUP($D29,'Visu totale'!$D:$DH,CV$1,0),1)="V",IF(CU29&gt;=INDEX('[1]Définition Maintenances'!$G:$G,MATCH($A29,'[1]Définition Maintenances'!$K:$K,0)),CU29,INDEX('[1]Définition Maintenances'!$G:$G,MATCH($A29,'[1]Définition Maintenances'!$K:$K,0))+CU29),CU29))</f>
        <v>203</v>
      </c>
      <c r="CW29" s="27">
        <f>IF(ISNUMBER(VLOOKUP($D29,'Visu totale'!$D:$DH,CW$1,0)),CV29-VLOOKUP($D29,'Visu totale'!$D:$DH,CW$1,0),IF(LEFT(VLOOKUP($D29,'Visu totale'!$D:$DH,CW$1,0),1)="V",IF(CV29&gt;=INDEX('[1]Définition Maintenances'!$G:$G,MATCH($A29,'[1]Définition Maintenances'!$K:$K,0)),CV29,INDEX('[1]Définition Maintenances'!$G:$G,MATCH($A29,'[1]Définition Maintenances'!$K:$K,0))+CV29),CV29))</f>
        <v>203</v>
      </c>
      <c r="CX29" s="25">
        <f>IF(ISNUMBER(VLOOKUP($D29,'Visu totale'!$D:$DH,CX$1,0)),CW29-VLOOKUP($D29,'Visu totale'!$D:$DH,CX$1,0),IF(LEFT(VLOOKUP($D29,'Visu totale'!$D:$DH,CX$1,0),1)="V",IF(CW29&gt;=INDEX('[1]Définition Maintenances'!$G:$G,MATCH($A29,'[1]Définition Maintenances'!$K:$K,0)),CW29,INDEX('[1]Définition Maintenances'!$G:$G,MATCH($A29,'[1]Définition Maintenances'!$K:$K,0))+CW29),CW29))</f>
        <v>203</v>
      </c>
      <c r="CY29" s="26">
        <f>IF(ISNUMBER(VLOOKUP($D29,'Visu totale'!$D:$DH,CY$1,0)),CX29-VLOOKUP($D29,'Visu totale'!$D:$DH,CY$1,0),IF(LEFT(VLOOKUP($D29,'Visu totale'!$D:$DH,CY$1,0),1)="V",IF(CX29&gt;=INDEX('[1]Définition Maintenances'!$G:$G,MATCH($A29,'[1]Définition Maintenances'!$K:$K,0)),CX29,INDEX('[1]Définition Maintenances'!$G:$G,MATCH($A29,'[1]Définition Maintenances'!$K:$K,0))+CX29),CX29))</f>
        <v>203</v>
      </c>
      <c r="CZ29" s="26">
        <f>IF(ISNUMBER(VLOOKUP($D29,'Visu totale'!$D:$DH,CZ$1,0)),CY29-VLOOKUP($D29,'Visu totale'!$D:$DH,CZ$1,0),IF(LEFT(VLOOKUP($D29,'Visu totale'!$D:$DH,CZ$1,0),1)="V",IF(CY29&gt;=INDEX('[1]Définition Maintenances'!$G:$G,MATCH($A29,'[1]Définition Maintenances'!$K:$K,0)),CY29,INDEX('[1]Définition Maintenances'!$G:$G,MATCH($A29,'[1]Définition Maintenances'!$K:$K,0))+CY29),CY29))</f>
        <v>203</v>
      </c>
      <c r="DA29" s="26">
        <f>IF(ISNUMBER(VLOOKUP($D29,'Visu totale'!$D:$DH,DA$1,0)),CZ29-VLOOKUP($D29,'Visu totale'!$D:$DH,DA$1,0),IF(LEFT(VLOOKUP($D29,'Visu totale'!$D:$DH,DA$1,0),1)="V",IF(CZ29&gt;=INDEX('[1]Définition Maintenances'!$G:$G,MATCH($A29,'[1]Définition Maintenances'!$K:$K,0)),CZ29,INDEX('[1]Définition Maintenances'!$G:$G,MATCH($A29,'[1]Définition Maintenances'!$K:$K,0))+CZ29),CZ29))</f>
        <v>203</v>
      </c>
      <c r="DB29" s="26">
        <f>IF(ISNUMBER(VLOOKUP($D29,'Visu totale'!$D:$DH,DB$1,0)),DA29-VLOOKUP($D29,'Visu totale'!$D:$DH,DB$1,0),IF(LEFT(VLOOKUP($D29,'Visu totale'!$D:$DH,DB$1,0),1)="V",IF(DA29&gt;=INDEX('[1]Définition Maintenances'!$G:$G,MATCH($A29,'[1]Définition Maintenances'!$K:$K,0)),DA29,INDEX('[1]Définition Maintenances'!$G:$G,MATCH($A29,'[1]Définition Maintenances'!$K:$K,0))+DA29),DA29))</f>
        <v>203</v>
      </c>
      <c r="DC29" s="26">
        <f>IF(ISNUMBER(VLOOKUP($D29,'Visu totale'!$D:$DH,DC$1,0)),DB29-VLOOKUP($D29,'Visu totale'!$D:$DH,DC$1,0),IF(LEFT(VLOOKUP($D29,'Visu totale'!$D:$DH,DC$1,0),1)="V",IF(DB29&gt;=INDEX('[1]Définition Maintenances'!$G:$G,MATCH($A29,'[1]Définition Maintenances'!$K:$K,0)),DB29,INDEX('[1]Définition Maintenances'!$G:$G,MATCH($A29,'[1]Définition Maintenances'!$K:$K,0))+DB29),DB29))</f>
        <v>203</v>
      </c>
      <c r="DD29" s="26">
        <f>IF(ISNUMBER(VLOOKUP($D29,'Visu totale'!$D:$DH,DD$1,0)),DC29-VLOOKUP($D29,'Visu totale'!$D:$DH,DD$1,0),IF(LEFT(VLOOKUP($D29,'Visu totale'!$D:$DH,DD$1,0),1)="V",IF(DC29&gt;=INDEX('[1]Définition Maintenances'!$G:$G,MATCH($A29,'[1]Définition Maintenances'!$K:$K,0)),DC29,INDEX('[1]Définition Maintenances'!$G:$G,MATCH($A29,'[1]Définition Maintenances'!$K:$K,0))+DC29),DC29))</f>
        <v>203</v>
      </c>
      <c r="DE29" s="26">
        <f>IF(ISNUMBER(VLOOKUP($D29,'Visu totale'!$D:$DH,DE$1,0)),DD29-VLOOKUP($D29,'Visu totale'!$D:$DH,DE$1,0),IF(LEFT(VLOOKUP($D29,'Visu totale'!$D:$DH,DE$1,0),1)="V",IF(DD29&gt;=INDEX('[1]Définition Maintenances'!$G:$G,MATCH($A29,'[1]Définition Maintenances'!$K:$K,0)),DD29,INDEX('[1]Définition Maintenances'!$G:$G,MATCH($A29,'[1]Définition Maintenances'!$K:$K,0))+DD29),DD29))</f>
        <v>203</v>
      </c>
      <c r="DF29" s="26">
        <f>IF(ISNUMBER(VLOOKUP($D29,'Visu totale'!$D:$DH,DF$1,0)),DE29-VLOOKUP($D29,'Visu totale'!$D:$DH,DF$1,0),IF(LEFT(VLOOKUP($D29,'Visu totale'!$D:$DH,DF$1,0),1)="V",IF(DE29&gt;=INDEX('[1]Définition Maintenances'!$G:$G,MATCH($A29,'[1]Définition Maintenances'!$K:$K,0)),DE29,INDEX('[1]Définition Maintenances'!$G:$G,MATCH($A29,'[1]Définition Maintenances'!$K:$K,0))+DE29),DE29))</f>
        <v>203</v>
      </c>
      <c r="DG29" s="26">
        <f>IF(ISNUMBER(VLOOKUP($D29,'Visu totale'!$D:$DH,DG$1,0)),DF29-VLOOKUP($D29,'Visu totale'!$D:$DH,DG$1,0),IF(LEFT(VLOOKUP($D29,'Visu totale'!$D:$DH,DG$1,0),1)="V",IF(DF29&gt;=INDEX('[1]Définition Maintenances'!$G:$G,MATCH($A29,'[1]Définition Maintenances'!$K:$K,0)),DF29,INDEX('[1]Définition Maintenances'!$G:$G,MATCH($A29,'[1]Définition Maintenances'!$K:$K,0))+DF29),DF29))</f>
        <v>203</v>
      </c>
      <c r="DH29" s="26">
        <f>IF(ISNUMBER(VLOOKUP($D29,'Visu totale'!$D:$DH,DH$1,0)),DG29-VLOOKUP($D29,'Visu totale'!$D:$DH,DH$1,0),IF(LEFT(VLOOKUP($D29,'Visu totale'!$D:$DH,DH$1,0),1)="V",IF(DG29&gt;=INDEX('[1]Définition Maintenances'!$G:$G,MATCH($A29,'[1]Définition Maintenances'!$K:$K,0)),DG29,INDEX('[1]Définition Maintenances'!$G:$G,MATCH($A29,'[1]Définition Maintenances'!$K:$K,0))+DG29),DG29))</f>
        <v>203</v>
      </c>
      <c r="DI29" s="27">
        <f>IF(ISNUMBER(VLOOKUP($D29,'Visu totale'!$D:$DH,DI$1,0)),DH29-VLOOKUP($D29,'Visu totale'!$D:$DH,DI$1,0),IF(LEFT(VLOOKUP($D29,'Visu totale'!$D:$DH,DI$1,0),1)="V",IF(DH29&gt;=INDEX('[1]Définition Maintenances'!$G:$G,MATCH($A29,'[1]Définition Maintenances'!$K:$K,0)),DH29,INDEX('[1]Définition Maintenances'!$G:$G,MATCH($A29,'[1]Définition Maintenances'!$K:$K,0))+DH29),DH29))</f>
        <v>203</v>
      </c>
    </row>
    <row r="30" spans="1:113" x14ac:dyDescent="0.25">
      <c r="A30" s="13" t="str">
        <f t="shared" si="0"/>
        <v>V10D</v>
      </c>
      <c r="B30" s="13" t="str">
        <f>VLOOKUP(D30,'[1]Avions (Potentiels)'!$B$2:$H$128,7,FALSE)</f>
        <v>V10</v>
      </c>
      <c r="C30" s="13"/>
      <c r="D30" s="16" t="s">
        <v>33</v>
      </c>
      <c r="E30" s="13">
        <f>IFERROR(VALUE(SUBSTITUTE(VLOOKUP(D30,'[1]Avions (Potentiels)'!$B:$E,4,0),".",",")),VALUE(VLOOKUP(D30,'[1]Avions (Potentiels)'!$B:$E,4,0)))</f>
        <v>1168</v>
      </c>
      <c r="F30" s="25">
        <f>IF(ISNUMBER(VLOOKUP($D30,'Visu totale'!$D:$DH,F$1,0)),E30-VLOOKUP($D30,'Visu totale'!$D:$DH,F$1,0),IF(LEFT(VLOOKUP($D30,'Visu totale'!$D:$DH,F$1,0),1)="V",IF(E30&gt;=INDEX('[1]Définition Maintenances'!$G:$G,MATCH($A30,'[1]Définition Maintenances'!$K:$K,0)),E30,INDEX('[1]Définition Maintenances'!$G:$G,MATCH($A30,'[1]Définition Maintenances'!$K:$K,0))+E30),E30))</f>
        <v>1168</v>
      </c>
      <c r="G30" s="26">
        <f>IF(ISNUMBER(VLOOKUP($D30,'Visu totale'!$D:$DH,G$1,0)),F30-VLOOKUP($D30,'Visu totale'!$D:$DH,G$1,0),IF(LEFT(VLOOKUP($D30,'Visu totale'!$D:$DH,G$1,0),1)="V",IF(F30&gt;=INDEX('[1]Définition Maintenances'!$G:$G,MATCH($A30,'[1]Définition Maintenances'!$K:$K,0)),F30,INDEX('[1]Définition Maintenances'!$G:$G,MATCH($A30,'[1]Définition Maintenances'!$K:$K,0))+F30),F30))</f>
        <v>1168</v>
      </c>
      <c r="H30" s="26">
        <f>IF(ISNUMBER(VLOOKUP($D30,'Visu totale'!$D:$DH,H$1,0)),G30-VLOOKUP($D30,'Visu totale'!$D:$DH,H$1,0),IF(LEFT(VLOOKUP($D30,'Visu totale'!$D:$DH,H$1,0),1)="V",IF(G30&gt;=INDEX('[1]Définition Maintenances'!$G:$G,MATCH($A30,'[1]Définition Maintenances'!$K:$K,0)),G30,INDEX('[1]Définition Maintenances'!$G:$G,MATCH($A30,'[1]Définition Maintenances'!$K:$K,0))+G30),G30))</f>
        <v>1168</v>
      </c>
      <c r="I30" s="26">
        <f>IF(ISNUMBER(VLOOKUP($D30,'Visu totale'!$D:$DH,I$1,0)),H30-VLOOKUP($D30,'Visu totale'!$D:$DH,I$1,0),IF(LEFT(VLOOKUP($D30,'Visu totale'!$D:$DH,I$1,0),1)="V",IF(H30&gt;=INDEX('[1]Définition Maintenances'!$G:$G,MATCH($A30,'[1]Définition Maintenances'!$K:$K,0)),H30,INDEX('[1]Définition Maintenances'!$G:$G,MATCH($A30,'[1]Définition Maintenances'!$K:$K,0))+H30),H30))</f>
        <v>1168</v>
      </c>
      <c r="J30" s="26">
        <f>IF(ISNUMBER(VLOOKUP($D30,'Visu totale'!$D:$DH,J$1,0)),I30-VLOOKUP($D30,'Visu totale'!$D:$DH,J$1,0),IF(LEFT(VLOOKUP($D30,'Visu totale'!$D:$DH,J$1,0),1)="V",IF(I30&gt;=INDEX('[1]Définition Maintenances'!$G:$G,MATCH($A30,'[1]Définition Maintenances'!$K:$K,0)),I30,INDEX('[1]Définition Maintenances'!$G:$G,MATCH($A30,'[1]Définition Maintenances'!$K:$K,0))+I30),I30))</f>
        <v>1168</v>
      </c>
      <c r="K30" s="26">
        <f>IF(ISNUMBER(VLOOKUP($D30,'Visu totale'!$D:$DH,K$1,0)),J30-VLOOKUP($D30,'Visu totale'!$D:$DH,K$1,0),IF(LEFT(VLOOKUP($D30,'Visu totale'!$D:$DH,K$1,0),1)="V",IF(J30&gt;=INDEX('[1]Définition Maintenances'!$G:$G,MATCH($A30,'[1]Définition Maintenances'!$K:$K,0)),J30,INDEX('[1]Définition Maintenances'!$G:$G,MATCH($A30,'[1]Définition Maintenances'!$K:$K,0))+J30),J30))</f>
        <v>1168</v>
      </c>
      <c r="L30" s="26">
        <f>IF(ISNUMBER(VLOOKUP($D30,'Visu totale'!$D:$DH,L$1,0)),K30-VLOOKUP($D30,'Visu totale'!$D:$DH,L$1,0),IF(LEFT(VLOOKUP($D30,'Visu totale'!$D:$DH,L$1,0),1)="V",IF(K30&gt;=INDEX('[1]Définition Maintenances'!$G:$G,MATCH($A30,'[1]Définition Maintenances'!$K:$K,0)),K30,INDEX('[1]Définition Maintenances'!$G:$G,MATCH($A30,'[1]Définition Maintenances'!$K:$K,0))+K30),K30))</f>
        <v>1168</v>
      </c>
      <c r="M30" s="26">
        <f>IF(ISNUMBER(VLOOKUP($D30,'Visu totale'!$D:$DH,M$1,0)),L30-VLOOKUP($D30,'Visu totale'!$D:$DH,M$1,0),IF(LEFT(VLOOKUP($D30,'Visu totale'!$D:$DH,M$1,0),1)="V",IF(L30&gt;=INDEX('[1]Définition Maintenances'!$G:$G,MATCH($A30,'[1]Définition Maintenances'!$K:$K,0)),L30,INDEX('[1]Définition Maintenances'!$G:$G,MATCH($A30,'[1]Définition Maintenances'!$K:$K,0))+L30),L30))</f>
        <v>1168</v>
      </c>
      <c r="N30" s="26">
        <f>IF(ISNUMBER(VLOOKUP($D30,'Visu totale'!$D:$DH,N$1,0)),M30-VLOOKUP($D30,'Visu totale'!$D:$DH,N$1,0),IF(LEFT(VLOOKUP($D30,'Visu totale'!$D:$DH,N$1,0),1)="V",IF(M30&gt;=INDEX('[1]Définition Maintenances'!$G:$G,MATCH($A30,'[1]Définition Maintenances'!$K:$K,0)),M30,INDEX('[1]Définition Maintenances'!$G:$G,MATCH($A30,'[1]Définition Maintenances'!$K:$K,0))+M30),M30))</f>
        <v>1168</v>
      </c>
      <c r="O30" s="26">
        <f>IF(ISNUMBER(VLOOKUP($D30,'Visu totale'!$D:$DH,O$1,0)),N30-VLOOKUP($D30,'Visu totale'!$D:$DH,O$1,0),IF(LEFT(VLOOKUP($D30,'Visu totale'!$D:$DH,O$1,0),1)="V",IF(N30&gt;=INDEX('[1]Définition Maintenances'!$G:$G,MATCH($A30,'[1]Définition Maintenances'!$K:$K,0)),N30,INDEX('[1]Définition Maintenances'!$G:$G,MATCH($A30,'[1]Définition Maintenances'!$K:$K,0))+N30),N30))</f>
        <v>1168</v>
      </c>
      <c r="P30" s="26">
        <f>IF(ISNUMBER(VLOOKUP($D30,'Visu totale'!$D:$DH,P$1,0)),O30-VLOOKUP($D30,'Visu totale'!$D:$DH,P$1,0),IF(LEFT(VLOOKUP($D30,'Visu totale'!$D:$DH,P$1,0),1)="V",IF(O30&gt;=INDEX('[1]Définition Maintenances'!$G:$G,MATCH($A30,'[1]Définition Maintenances'!$K:$K,0)),O30,INDEX('[1]Définition Maintenances'!$G:$G,MATCH($A30,'[1]Définition Maintenances'!$K:$K,0))+O30),O30))</f>
        <v>1168</v>
      </c>
      <c r="Q30" s="27">
        <f>IF(ISNUMBER(VLOOKUP($D30,'Visu totale'!$D:$DH,Q$1,0)),P30-VLOOKUP($D30,'Visu totale'!$D:$DH,Q$1,0),IF(LEFT(VLOOKUP($D30,'Visu totale'!$D:$DH,Q$1,0),1)="V",IF(P30&gt;=INDEX('[1]Définition Maintenances'!$G:$G,MATCH($A30,'[1]Définition Maintenances'!$K:$K,0)),P30,INDEX('[1]Définition Maintenances'!$G:$G,MATCH($A30,'[1]Définition Maintenances'!$K:$K,0))+P30),P30))</f>
        <v>1168</v>
      </c>
      <c r="R30" s="25">
        <f>IF(ISNUMBER(VLOOKUP($D30,'Visu totale'!$D:$DH,R$1,0)),Q30-VLOOKUP($D30,'Visu totale'!$D:$DH,R$1,0),IF(LEFT(VLOOKUP($D30,'Visu totale'!$D:$DH,R$1,0),1)="V",IF(Q30&gt;=INDEX('[1]Définition Maintenances'!$G:$G,MATCH($A30,'[1]Définition Maintenances'!$K:$K,0)),Q30,INDEX('[1]Définition Maintenances'!$G:$G,MATCH($A30,'[1]Définition Maintenances'!$K:$K,0))+Q30),Q30))</f>
        <v>1168</v>
      </c>
      <c r="S30" s="26">
        <f>IF(ISNUMBER(VLOOKUP($D30,'Visu totale'!$D:$DH,S$1,0)),R30-VLOOKUP($D30,'Visu totale'!$D:$DH,S$1,0),IF(LEFT(VLOOKUP($D30,'Visu totale'!$D:$DH,S$1,0),1)="V",IF(R30&gt;=INDEX('[1]Définition Maintenances'!$G:$G,MATCH($A30,'[1]Définition Maintenances'!$K:$K,0)),R30,INDEX('[1]Définition Maintenances'!$G:$G,MATCH($A30,'[1]Définition Maintenances'!$K:$K,0))+R30),R30))</f>
        <v>1168</v>
      </c>
      <c r="T30" s="26">
        <f>IF(ISNUMBER(VLOOKUP($D30,'Visu totale'!$D:$DH,T$1,0)),S30-VLOOKUP($D30,'Visu totale'!$D:$DH,T$1,0),IF(LEFT(VLOOKUP($D30,'Visu totale'!$D:$DH,T$1,0),1)="V",IF(S30&gt;=INDEX('[1]Définition Maintenances'!$G:$G,MATCH($A30,'[1]Définition Maintenances'!$K:$K,0)),S30,INDEX('[1]Définition Maintenances'!$G:$G,MATCH($A30,'[1]Définition Maintenances'!$K:$K,0))+S30),S30))</f>
        <v>1168</v>
      </c>
      <c r="U30" s="26">
        <f>IF(ISNUMBER(VLOOKUP($D30,'Visu totale'!$D:$DH,U$1,0)),T30-VLOOKUP($D30,'Visu totale'!$D:$DH,U$1,0),IF(LEFT(VLOOKUP($D30,'Visu totale'!$D:$DH,U$1,0),1)="V",IF(T30&gt;=INDEX('[1]Définition Maintenances'!$G:$G,MATCH($A30,'[1]Définition Maintenances'!$K:$K,0)),T30,INDEX('[1]Définition Maintenances'!$G:$G,MATCH($A30,'[1]Définition Maintenances'!$K:$K,0))+T30),T30))</f>
        <v>1168</v>
      </c>
      <c r="V30" s="26">
        <f>IF(ISNUMBER(VLOOKUP($D30,'Visu totale'!$D:$DH,V$1,0)),U30-VLOOKUP($D30,'Visu totale'!$D:$DH,V$1,0),IF(LEFT(VLOOKUP($D30,'Visu totale'!$D:$DH,V$1,0),1)="V",IF(U30&gt;=INDEX('[1]Définition Maintenances'!$G:$G,MATCH($A30,'[1]Définition Maintenances'!$K:$K,0)),U30,INDEX('[1]Définition Maintenances'!$G:$G,MATCH($A30,'[1]Définition Maintenances'!$K:$K,0))+U30),U30))</f>
        <v>1168</v>
      </c>
      <c r="W30" s="26">
        <f>IF(ISNUMBER(VLOOKUP($D30,'Visu totale'!$D:$DH,W$1,0)),V30-VLOOKUP($D30,'Visu totale'!$D:$DH,W$1,0),IF(LEFT(VLOOKUP($D30,'Visu totale'!$D:$DH,W$1,0),1)="V",IF(V30&gt;=INDEX('[1]Définition Maintenances'!$G:$G,MATCH($A30,'[1]Définition Maintenances'!$K:$K,0)),V30,INDEX('[1]Définition Maintenances'!$G:$G,MATCH($A30,'[1]Définition Maintenances'!$K:$K,0))+V30),V30))</f>
        <v>1168</v>
      </c>
      <c r="X30" s="26">
        <f>IF(ISNUMBER(VLOOKUP($D30,'Visu totale'!$D:$DH,X$1,0)),W30-VLOOKUP($D30,'Visu totale'!$D:$DH,X$1,0),IF(LEFT(VLOOKUP($D30,'Visu totale'!$D:$DH,X$1,0),1)="V",IF(W30&gt;=INDEX('[1]Définition Maintenances'!$G:$G,MATCH($A30,'[1]Définition Maintenances'!$K:$K,0)),W30,INDEX('[1]Définition Maintenances'!$G:$G,MATCH($A30,'[1]Définition Maintenances'!$K:$K,0))+W30),W30))</f>
        <v>1168</v>
      </c>
      <c r="Y30" s="26">
        <f>IF(ISNUMBER(VLOOKUP($D30,'Visu totale'!$D:$DH,Y$1,0)),X30-VLOOKUP($D30,'Visu totale'!$D:$DH,Y$1,0),IF(LEFT(VLOOKUP($D30,'Visu totale'!$D:$DH,Y$1,0),1)="V",IF(X30&gt;=INDEX('[1]Définition Maintenances'!$G:$G,MATCH($A30,'[1]Définition Maintenances'!$K:$K,0)),X30,INDEX('[1]Définition Maintenances'!$G:$G,MATCH($A30,'[1]Définition Maintenances'!$K:$K,0))+X30),X30))</f>
        <v>1168</v>
      </c>
      <c r="Z30" s="26">
        <f>IF(ISNUMBER(VLOOKUP($D30,'Visu totale'!$D:$DH,Z$1,0)),Y30-VLOOKUP($D30,'Visu totale'!$D:$DH,Z$1,0),IF(LEFT(VLOOKUP($D30,'Visu totale'!$D:$DH,Z$1,0),1)="V",IF(Y30&gt;=INDEX('[1]Définition Maintenances'!$G:$G,MATCH($A30,'[1]Définition Maintenances'!$K:$K,0)),Y30,INDEX('[1]Définition Maintenances'!$G:$G,MATCH($A30,'[1]Définition Maintenances'!$K:$K,0))+Y30),Y30))</f>
        <v>1168</v>
      </c>
      <c r="AA30" s="26">
        <f>IF(ISNUMBER(VLOOKUP($D30,'Visu totale'!$D:$DH,AA$1,0)),Z30-VLOOKUP($D30,'Visu totale'!$D:$DH,AA$1,0),IF(LEFT(VLOOKUP($D30,'Visu totale'!$D:$DH,AA$1,0),1)="V",IF(Z30&gt;=INDEX('[1]Définition Maintenances'!$G:$G,MATCH($A30,'[1]Définition Maintenances'!$K:$K,0)),Z30,INDEX('[1]Définition Maintenances'!$G:$G,MATCH($A30,'[1]Définition Maintenances'!$K:$K,0))+Z30),Z30))</f>
        <v>1168</v>
      </c>
      <c r="AB30" s="26">
        <f>IF(ISNUMBER(VLOOKUP($D30,'Visu totale'!$D:$DH,AB$1,0)),AA30-VLOOKUP($D30,'Visu totale'!$D:$DH,AB$1,0),IF(LEFT(VLOOKUP($D30,'Visu totale'!$D:$DH,AB$1,0),1)="V",IF(AA30&gt;=INDEX('[1]Définition Maintenances'!$G:$G,MATCH($A30,'[1]Définition Maintenances'!$K:$K,0)),AA30,INDEX('[1]Définition Maintenances'!$G:$G,MATCH($A30,'[1]Définition Maintenances'!$K:$K,0))+AA30),AA30))</f>
        <v>1168</v>
      </c>
      <c r="AC30" s="27">
        <f>IF(ISNUMBER(VLOOKUP($D30,'Visu totale'!$D:$DH,AC$1,0)),AB30-VLOOKUP($D30,'Visu totale'!$D:$DH,AC$1,0),IF(LEFT(VLOOKUP($D30,'Visu totale'!$D:$DH,AC$1,0),1)="V",IF(AB30&gt;=INDEX('[1]Définition Maintenances'!$G:$G,MATCH($A30,'[1]Définition Maintenances'!$K:$K,0)),AB30,INDEX('[1]Définition Maintenances'!$G:$G,MATCH($A30,'[1]Définition Maintenances'!$K:$K,0))+AB30),AB30))</f>
        <v>1168</v>
      </c>
      <c r="AD30" s="25">
        <f>IF(ISNUMBER(VLOOKUP($D30,'Visu totale'!$D:$DH,AD$1,0)),AC30-VLOOKUP($D30,'Visu totale'!$D:$DH,AD$1,0),IF(LEFT(VLOOKUP($D30,'Visu totale'!$D:$DH,AD$1,0),1)="V",IF(AC30&gt;=INDEX('[1]Définition Maintenances'!$G:$G,MATCH($A30,'[1]Définition Maintenances'!$K:$K,0)),AC30,INDEX('[1]Définition Maintenances'!$G:$G,MATCH($A30,'[1]Définition Maintenances'!$K:$K,0))+AC30),AC30))</f>
        <v>1168</v>
      </c>
      <c r="AE30" s="26">
        <f>IF(ISNUMBER(VLOOKUP($D30,'Visu totale'!$D:$DH,AE$1,0)),AD30-VLOOKUP($D30,'Visu totale'!$D:$DH,AE$1,0),IF(LEFT(VLOOKUP($D30,'Visu totale'!$D:$DH,AE$1,0),1)="V",IF(AD30&gt;=INDEX('[1]Définition Maintenances'!$G:$G,MATCH($A30,'[1]Définition Maintenances'!$K:$K,0)),AD30,INDEX('[1]Définition Maintenances'!$G:$G,MATCH($A30,'[1]Définition Maintenances'!$K:$K,0))+AD30),AD30))</f>
        <v>1168</v>
      </c>
      <c r="AF30" s="26">
        <f>IF(ISNUMBER(VLOOKUP($D30,'Visu totale'!$D:$DH,AF$1,0)),AE30-VLOOKUP($D30,'Visu totale'!$D:$DH,AF$1,0),IF(LEFT(VLOOKUP($D30,'Visu totale'!$D:$DH,AF$1,0),1)="V",IF(AE30&gt;=INDEX('[1]Définition Maintenances'!$G:$G,MATCH($A30,'[1]Définition Maintenances'!$K:$K,0)),AE30,INDEX('[1]Définition Maintenances'!$G:$G,MATCH($A30,'[1]Définition Maintenances'!$K:$K,0))+AE30),AE30))</f>
        <v>1168</v>
      </c>
      <c r="AG30" s="26">
        <f>IF(ISNUMBER(VLOOKUP($D30,'Visu totale'!$D:$DH,AG$1,0)),AF30-VLOOKUP($D30,'Visu totale'!$D:$DH,AG$1,0),IF(LEFT(VLOOKUP($D30,'Visu totale'!$D:$DH,AG$1,0),1)="V",IF(AF30&gt;=INDEX('[1]Définition Maintenances'!$G:$G,MATCH($A30,'[1]Définition Maintenances'!$K:$K,0)),AF30,INDEX('[1]Définition Maintenances'!$G:$G,MATCH($A30,'[1]Définition Maintenances'!$K:$K,0))+AF30),AF30))</f>
        <v>1168</v>
      </c>
      <c r="AH30" s="26">
        <f>IF(ISNUMBER(VLOOKUP($D30,'Visu totale'!$D:$DH,AH$1,0)),AG30-VLOOKUP($D30,'Visu totale'!$D:$DH,AH$1,0),IF(LEFT(VLOOKUP($D30,'Visu totale'!$D:$DH,AH$1,0),1)="V",IF(AG30&gt;=INDEX('[1]Définition Maintenances'!$G:$G,MATCH($A30,'[1]Définition Maintenances'!$K:$K,0)),AG30,INDEX('[1]Définition Maintenances'!$G:$G,MATCH($A30,'[1]Définition Maintenances'!$K:$K,0))+AG30),AG30))</f>
        <v>1168</v>
      </c>
      <c r="AI30" s="26">
        <f>IF(ISNUMBER(VLOOKUP($D30,'Visu totale'!$D:$DH,AI$1,0)),AH30-VLOOKUP($D30,'Visu totale'!$D:$DH,AI$1,0),IF(LEFT(VLOOKUP($D30,'Visu totale'!$D:$DH,AI$1,0),1)="V",IF(AH30&gt;=INDEX('[1]Définition Maintenances'!$G:$G,MATCH($A30,'[1]Définition Maintenances'!$K:$K,0)),AH30,INDEX('[1]Définition Maintenances'!$G:$G,MATCH($A30,'[1]Définition Maintenances'!$K:$K,0))+AH30),AH30))</f>
        <v>1168</v>
      </c>
      <c r="AJ30" s="26">
        <f>IF(ISNUMBER(VLOOKUP($D30,'Visu totale'!$D:$DH,AJ$1,0)),AI30-VLOOKUP($D30,'Visu totale'!$D:$DH,AJ$1,0),IF(LEFT(VLOOKUP($D30,'Visu totale'!$D:$DH,AJ$1,0),1)="V",IF(AI30&gt;=INDEX('[1]Définition Maintenances'!$G:$G,MATCH($A30,'[1]Définition Maintenances'!$K:$K,0)),AI30,INDEX('[1]Définition Maintenances'!$G:$G,MATCH($A30,'[1]Définition Maintenances'!$K:$K,0))+AI30),AI30))</f>
        <v>1168</v>
      </c>
      <c r="AK30" s="26">
        <f>IF(ISNUMBER(VLOOKUP($D30,'Visu totale'!$D:$DH,AK$1,0)),AJ30-VLOOKUP($D30,'Visu totale'!$D:$DH,AK$1,0),IF(LEFT(VLOOKUP($D30,'Visu totale'!$D:$DH,AK$1,0),1)="V",IF(AJ30&gt;=INDEX('[1]Définition Maintenances'!$G:$G,MATCH($A30,'[1]Définition Maintenances'!$K:$K,0)),AJ30,INDEX('[1]Définition Maintenances'!$G:$G,MATCH($A30,'[1]Définition Maintenances'!$K:$K,0))+AJ30),AJ30))</f>
        <v>1168</v>
      </c>
      <c r="AL30" s="26">
        <f>IF(ISNUMBER(VLOOKUP($D30,'Visu totale'!$D:$DH,AL$1,0)),AK30-VLOOKUP($D30,'Visu totale'!$D:$DH,AL$1,0),IF(LEFT(VLOOKUP($D30,'Visu totale'!$D:$DH,AL$1,0),1)="V",IF(AK30&gt;=INDEX('[1]Définition Maintenances'!$G:$G,MATCH($A30,'[1]Définition Maintenances'!$K:$K,0)),AK30,INDEX('[1]Définition Maintenances'!$G:$G,MATCH($A30,'[1]Définition Maintenances'!$K:$K,0))+AK30),AK30))</f>
        <v>1168</v>
      </c>
      <c r="AM30" s="26">
        <f>IF(ISNUMBER(VLOOKUP($D30,'Visu totale'!$D:$DH,AM$1,0)),AL30-VLOOKUP($D30,'Visu totale'!$D:$DH,AM$1,0),IF(LEFT(VLOOKUP($D30,'Visu totale'!$D:$DH,AM$1,0),1)="V",IF(AL30&gt;=INDEX('[1]Définition Maintenances'!$G:$G,MATCH($A30,'[1]Définition Maintenances'!$K:$K,0)),AL30,INDEX('[1]Définition Maintenances'!$G:$G,MATCH($A30,'[1]Définition Maintenances'!$K:$K,0))+AL30),AL30))</f>
        <v>1168</v>
      </c>
      <c r="AN30" s="26">
        <f>IF(ISNUMBER(VLOOKUP($D30,'Visu totale'!$D:$DH,AN$1,0)),AM30-VLOOKUP($D30,'Visu totale'!$D:$DH,AN$1,0),IF(LEFT(VLOOKUP($D30,'Visu totale'!$D:$DH,AN$1,0),1)="V",IF(AM30&gt;=INDEX('[1]Définition Maintenances'!$G:$G,MATCH($A30,'[1]Définition Maintenances'!$K:$K,0)),AM30,INDEX('[1]Définition Maintenances'!$G:$G,MATCH($A30,'[1]Définition Maintenances'!$K:$K,0))+AM30),AM30))</f>
        <v>1168</v>
      </c>
      <c r="AO30" s="27">
        <f>IF(ISNUMBER(VLOOKUP($D30,'Visu totale'!$D:$DH,AO$1,0)),AN30-VLOOKUP($D30,'Visu totale'!$D:$DH,AO$1,0),IF(LEFT(VLOOKUP($D30,'Visu totale'!$D:$DH,AO$1,0),1)="V",IF(AN30&gt;=INDEX('[1]Définition Maintenances'!$G:$G,MATCH($A30,'[1]Définition Maintenances'!$K:$K,0)),AN30,INDEX('[1]Définition Maintenances'!$G:$G,MATCH($A30,'[1]Définition Maintenances'!$K:$K,0))+AN30),AN30))</f>
        <v>1168</v>
      </c>
      <c r="AP30" s="25">
        <f>IF(ISNUMBER(VLOOKUP($D30,'Visu totale'!$D:$DH,AP$1,0)),AO30-VLOOKUP($D30,'Visu totale'!$D:$DH,AP$1,0),IF(LEFT(VLOOKUP($D30,'Visu totale'!$D:$DH,AP$1,0),1)="V",IF(AO30&gt;=INDEX('[1]Définition Maintenances'!$G:$G,MATCH($A30,'[1]Définition Maintenances'!$K:$K,0)),AO30,INDEX('[1]Définition Maintenances'!$G:$G,MATCH($A30,'[1]Définition Maintenances'!$K:$K,0))+AO30),AO30))</f>
        <v>1168</v>
      </c>
      <c r="AQ30" s="26">
        <f>IF(ISNUMBER(VLOOKUP($D30,'Visu totale'!$D:$DH,AQ$1,0)),AP30-VLOOKUP($D30,'Visu totale'!$D:$DH,AQ$1,0),IF(LEFT(VLOOKUP($D30,'Visu totale'!$D:$DH,AQ$1,0),1)="V",IF(AP30&gt;=INDEX('[1]Définition Maintenances'!$G:$G,MATCH($A30,'[1]Définition Maintenances'!$K:$K,0)),AP30,INDEX('[1]Définition Maintenances'!$G:$G,MATCH($A30,'[1]Définition Maintenances'!$K:$K,0))+AP30),AP30))</f>
        <v>1168</v>
      </c>
      <c r="AR30" s="26">
        <f>IF(ISNUMBER(VLOOKUP($D30,'Visu totale'!$D:$DH,AR$1,0)),AQ30-VLOOKUP($D30,'Visu totale'!$D:$DH,AR$1,0),IF(LEFT(VLOOKUP($D30,'Visu totale'!$D:$DH,AR$1,0),1)="V",IF(AQ30&gt;=INDEX('[1]Définition Maintenances'!$G:$G,MATCH($A30,'[1]Définition Maintenances'!$K:$K,0)),AQ30,INDEX('[1]Définition Maintenances'!$G:$G,MATCH($A30,'[1]Définition Maintenances'!$K:$K,0))+AQ30),AQ30))</f>
        <v>1168</v>
      </c>
      <c r="AS30" s="26">
        <f>IF(ISNUMBER(VLOOKUP($D30,'Visu totale'!$D:$DH,AS$1,0)),AR30-VLOOKUP($D30,'Visu totale'!$D:$DH,AS$1,0),IF(LEFT(VLOOKUP($D30,'Visu totale'!$D:$DH,AS$1,0),1)="V",IF(AR30&gt;=INDEX('[1]Définition Maintenances'!$G:$G,MATCH($A30,'[1]Définition Maintenances'!$K:$K,0)),AR30,INDEX('[1]Définition Maintenances'!$G:$G,MATCH($A30,'[1]Définition Maintenances'!$K:$K,0))+AR30),AR30))</f>
        <v>1168</v>
      </c>
      <c r="AT30" s="26">
        <f>IF(ISNUMBER(VLOOKUP($D30,'Visu totale'!$D:$DH,AT$1,0)),AS30-VLOOKUP($D30,'Visu totale'!$D:$DH,AT$1,0),IF(LEFT(VLOOKUP($D30,'Visu totale'!$D:$DH,AT$1,0),1)="V",IF(AS30&gt;=INDEX('[1]Définition Maintenances'!$G:$G,MATCH($A30,'[1]Définition Maintenances'!$K:$K,0)),AS30,INDEX('[1]Définition Maintenances'!$G:$G,MATCH($A30,'[1]Définition Maintenances'!$K:$K,0))+AS30),AS30))</f>
        <v>1168</v>
      </c>
      <c r="AU30" s="26">
        <f>IF(ISNUMBER(VLOOKUP($D30,'Visu totale'!$D:$DH,AU$1,0)),AT30-VLOOKUP($D30,'Visu totale'!$D:$DH,AU$1,0),IF(LEFT(VLOOKUP($D30,'Visu totale'!$D:$DH,AU$1,0),1)="V",IF(AT30&gt;=INDEX('[1]Définition Maintenances'!$G:$G,MATCH($A30,'[1]Définition Maintenances'!$K:$K,0)),AT30,INDEX('[1]Définition Maintenances'!$G:$G,MATCH($A30,'[1]Définition Maintenances'!$K:$K,0))+AT30),AT30))</f>
        <v>1168</v>
      </c>
      <c r="AV30" s="26">
        <f>IF(ISNUMBER(VLOOKUP($D30,'Visu totale'!$D:$DH,AV$1,0)),AU30-VLOOKUP($D30,'Visu totale'!$D:$DH,AV$1,0),IF(LEFT(VLOOKUP($D30,'Visu totale'!$D:$DH,AV$1,0),1)="V",IF(AU30&gt;=INDEX('[1]Définition Maintenances'!$G:$G,MATCH($A30,'[1]Définition Maintenances'!$K:$K,0)),AU30,INDEX('[1]Définition Maintenances'!$G:$G,MATCH($A30,'[1]Définition Maintenances'!$K:$K,0))+AU30),AU30))</f>
        <v>1168</v>
      </c>
      <c r="AW30" s="26">
        <f>IF(ISNUMBER(VLOOKUP($D30,'Visu totale'!$D:$DH,AW$1,0)),AV30-VLOOKUP($D30,'Visu totale'!$D:$DH,AW$1,0),IF(LEFT(VLOOKUP($D30,'Visu totale'!$D:$DH,AW$1,0),1)="V",IF(AV30&gt;=INDEX('[1]Définition Maintenances'!$G:$G,MATCH($A30,'[1]Définition Maintenances'!$K:$K,0)),AV30,INDEX('[1]Définition Maintenances'!$G:$G,MATCH($A30,'[1]Définition Maintenances'!$K:$K,0))+AV30),AV30))</f>
        <v>1168</v>
      </c>
      <c r="AX30" s="26">
        <f>IF(ISNUMBER(VLOOKUP($D30,'Visu totale'!$D:$DH,AX$1,0)),AW30-VLOOKUP($D30,'Visu totale'!$D:$DH,AX$1,0),IF(LEFT(VLOOKUP($D30,'Visu totale'!$D:$DH,AX$1,0),1)="V",IF(AW30&gt;=INDEX('[1]Définition Maintenances'!$G:$G,MATCH($A30,'[1]Définition Maintenances'!$K:$K,0)),AW30,INDEX('[1]Définition Maintenances'!$G:$G,MATCH($A30,'[1]Définition Maintenances'!$K:$K,0))+AW30),AW30))</f>
        <v>1168</v>
      </c>
      <c r="AY30" s="26">
        <f>IF(ISNUMBER(VLOOKUP($D30,'Visu totale'!$D:$DH,AY$1,0)),AX30-VLOOKUP($D30,'Visu totale'!$D:$DH,AY$1,0),IF(LEFT(VLOOKUP($D30,'Visu totale'!$D:$DH,AY$1,0),1)="V",IF(AX30&gt;=INDEX('[1]Définition Maintenances'!$G:$G,MATCH($A30,'[1]Définition Maintenances'!$K:$K,0)),AX30,INDEX('[1]Définition Maintenances'!$G:$G,MATCH($A30,'[1]Définition Maintenances'!$K:$K,0))+AX30),AX30))</f>
        <v>1168</v>
      </c>
      <c r="AZ30" s="26">
        <f>IF(ISNUMBER(VLOOKUP($D30,'Visu totale'!$D:$DH,AZ$1,0)),AY30-VLOOKUP($D30,'Visu totale'!$D:$DH,AZ$1,0),IF(LEFT(VLOOKUP($D30,'Visu totale'!$D:$DH,AZ$1,0),1)="V",IF(AY30&gt;=INDEX('[1]Définition Maintenances'!$G:$G,MATCH($A30,'[1]Définition Maintenances'!$K:$K,0)),AY30,INDEX('[1]Définition Maintenances'!$G:$G,MATCH($A30,'[1]Définition Maintenances'!$K:$K,0))+AY30),AY30))</f>
        <v>1168</v>
      </c>
      <c r="BA30" s="27">
        <f>IF(ISNUMBER(VLOOKUP($D30,'Visu totale'!$D:$DH,BA$1,0)),AZ30-VLOOKUP($D30,'Visu totale'!$D:$DH,BA$1,0),IF(LEFT(VLOOKUP($D30,'Visu totale'!$D:$DH,BA$1,0),1)="V",IF(AZ30&gt;=INDEX('[1]Définition Maintenances'!$G:$G,MATCH($A30,'[1]Définition Maintenances'!$K:$K,0)),AZ30,INDEX('[1]Définition Maintenances'!$G:$G,MATCH($A30,'[1]Définition Maintenances'!$K:$K,0))+AZ30),AZ30))</f>
        <v>1168</v>
      </c>
      <c r="BB30" s="25">
        <f>IF(ISNUMBER(VLOOKUP($D30,'Visu totale'!$D:$DH,BB$1,0)),BA30-VLOOKUP($D30,'Visu totale'!$D:$DH,BB$1,0),IF(LEFT(VLOOKUP($D30,'Visu totale'!$D:$DH,BB$1,0),1)="V",IF(BA30&gt;=INDEX('[1]Définition Maintenances'!$G:$G,MATCH($A30,'[1]Définition Maintenances'!$K:$K,0)),BA30,INDEX('[1]Définition Maintenances'!$G:$G,MATCH($A30,'[1]Définition Maintenances'!$K:$K,0))+BA30),BA30))</f>
        <v>1168</v>
      </c>
      <c r="BC30" s="26">
        <f>IF(ISNUMBER(VLOOKUP($D30,'Visu totale'!$D:$DH,BC$1,0)),BB30-VLOOKUP($D30,'Visu totale'!$D:$DH,BC$1,0),IF(LEFT(VLOOKUP($D30,'Visu totale'!$D:$DH,BC$1,0),1)="V",IF(BB30&gt;=INDEX('[1]Définition Maintenances'!$G:$G,MATCH($A30,'[1]Définition Maintenances'!$K:$K,0)),BB30,INDEX('[1]Définition Maintenances'!$G:$G,MATCH($A30,'[1]Définition Maintenances'!$K:$K,0))+BB30),BB30))</f>
        <v>1168</v>
      </c>
      <c r="BD30" s="26">
        <f>IF(ISNUMBER(VLOOKUP($D30,'Visu totale'!$D:$DH,BD$1,0)),BC30-VLOOKUP($D30,'Visu totale'!$D:$DH,BD$1,0),IF(LEFT(VLOOKUP($D30,'Visu totale'!$D:$DH,BD$1,0),1)="V",IF(BC30&gt;=INDEX('[1]Définition Maintenances'!$G:$G,MATCH($A30,'[1]Définition Maintenances'!$K:$K,0)),BC30,INDEX('[1]Définition Maintenances'!$G:$G,MATCH($A30,'[1]Définition Maintenances'!$K:$K,0))+BC30),BC30))</f>
        <v>1168</v>
      </c>
      <c r="BE30" s="26">
        <f>IF(ISNUMBER(VLOOKUP($D30,'Visu totale'!$D:$DH,BE$1,0)),BD30-VLOOKUP($D30,'Visu totale'!$D:$DH,BE$1,0),IF(LEFT(VLOOKUP($D30,'Visu totale'!$D:$DH,BE$1,0),1)="V",IF(BD30&gt;=INDEX('[1]Définition Maintenances'!$G:$G,MATCH($A30,'[1]Définition Maintenances'!$K:$K,0)),BD30,INDEX('[1]Définition Maintenances'!$G:$G,MATCH($A30,'[1]Définition Maintenances'!$K:$K,0))+BD30),BD30))</f>
        <v>1168</v>
      </c>
      <c r="BF30" s="26">
        <f>IF(ISNUMBER(VLOOKUP($D30,'Visu totale'!$D:$DH,BF$1,0)),BE30-VLOOKUP($D30,'Visu totale'!$D:$DH,BF$1,0),IF(LEFT(VLOOKUP($D30,'Visu totale'!$D:$DH,BF$1,0),1)="V",IF(BE30&gt;=INDEX('[1]Définition Maintenances'!$G:$G,MATCH($A30,'[1]Définition Maintenances'!$K:$K,0)),BE30,INDEX('[1]Définition Maintenances'!$G:$G,MATCH($A30,'[1]Définition Maintenances'!$K:$K,0))+BE30),BE30))</f>
        <v>1168</v>
      </c>
      <c r="BG30" s="26">
        <f>IF(ISNUMBER(VLOOKUP($D30,'Visu totale'!$D:$DH,BG$1,0)),BF30-VLOOKUP($D30,'Visu totale'!$D:$DH,BG$1,0),IF(LEFT(VLOOKUP($D30,'Visu totale'!$D:$DH,BG$1,0),1)="V",IF(BF30&gt;=INDEX('[1]Définition Maintenances'!$G:$G,MATCH($A30,'[1]Définition Maintenances'!$K:$K,0)),BF30,INDEX('[1]Définition Maintenances'!$G:$G,MATCH($A30,'[1]Définition Maintenances'!$K:$K,0))+BF30),BF30))</f>
        <v>1168</v>
      </c>
      <c r="BH30" s="26">
        <f>IF(ISNUMBER(VLOOKUP($D30,'Visu totale'!$D:$DH,BH$1,0)),BG30-VLOOKUP($D30,'Visu totale'!$D:$DH,BH$1,0),IF(LEFT(VLOOKUP($D30,'Visu totale'!$D:$DH,BH$1,0),1)="V",IF(BG30&gt;=INDEX('[1]Définition Maintenances'!$G:$G,MATCH($A30,'[1]Définition Maintenances'!$K:$K,0)),BG30,INDEX('[1]Définition Maintenances'!$G:$G,MATCH($A30,'[1]Définition Maintenances'!$K:$K,0))+BG30),BG30))</f>
        <v>1168</v>
      </c>
      <c r="BI30" s="26">
        <f>IF(ISNUMBER(VLOOKUP($D30,'Visu totale'!$D:$DH,BI$1,0)),BH30-VLOOKUP($D30,'Visu totale'!$D:$DH,BI$1,0),IF(LEFT(VLOOKUP($D30,'Visu totale'!$D:$DH,BI$1,0),1)="V",IF(BH30&gt;=INDEX('[1]Définition Maintenances'!$G:$G,MATCH($A30,'[1]Définition Maintenances'!$K:$K,0)),BH30,INDEX('[1]Définition Maintenances'!$G:$G,MATCH($A30,'[1]Définition Maintenances'!$K:$K,0))+BH30),BH30))</f>
        <v>1168</v>
      </c>
      <c r="BJ30" s="26">
        <f>IF(ISNUMBER(VLOOKUP($D30,'Visu totale'!$D:$DH,BJ$1,0)),BI30-VLOOKUP($D30,'Visu totale'!$D:$DH,BJ$1,0),IF(LEFT(VLOOKUP($D30,'Visu totale'!$D:$DH,BJ$1,0),1)="V",IF(BI30&gt;=INDEX('[1]Définition Maintenances'!$G:$G,MATCH($A30,'[1]Définition Maintenances'!$K:$K,0)),BI30,INDEX('[1]Définition Maintenances'!$G:$G,MATCH($A30,'[1]Définition Maintenances'!$K:$K,0))+BI30),BI30))</f>
        <v>1168</v>
      </c>
      <c r="BK30" s="26">
        <f>IF(ISNUMBER(VLOOKUP($D30,'Visu totale'!$D:$DH,BK$1,0)),BJ30-VLOOKUP($D30,'Visu totale'!$D:$DH,BK$1,0),IF(LEFT(VLOOKUP($D30,'Visu totale'!$D:$DH,BK$1,0),1)="V",IF(BJ30&gt;=INDEX('[1]Définition Maintenances'!$G:$G,MATCH($A30,'[1]Définition Maintenances'!$K:$K,0)),BJ30,INDEX('[1]Définition Maintenances'!$G:$G,MATCH($A30,'[1]Définition Maintenances'!$K:$K,0))+BJ30),BJ30))</f>
        <v>1168</v>
      </c>
      <c r="BL30" s="26">
        <f>IF(ISNUMBER(VLOOKUP($D30,'Visu totale'!$D:$DH,BL$1,0)),BK30-VLOOKUP($D30,'Visu totale'!$D:$DH,BL$1,0),IF(LEFT(VLOOKUP($D30,'Visu totale'!$D:$DH,BL$1,0),1)="V",IF(BK30&gt;=INDEX('[1]Définition Maintenances'!$G:$G,MATCH($A30,'[1]Définition Maintenances'!$K:$K,0)),BK30,INDEX('[1]Définition Maintenances'!$G:$G,MATCH($A30,'[1]Définition Maintenances'!$K:$K,0))+BK30),BK30))</f>
        <v>1168</v>
      </c>
      <c r="BM30" s="27">
        <f>IF(ISNUMBER(VLOOKUP($D30,'Visu totale'!$D:$DH,BM$1,0)),BL30-VLOOKUP($D30,'Visu totale'!$D:$DH,BM$1,0),IF(LEFT(VLOOKUP($D30,'Visu totale'!$D:$DH,BM$1,0),1)="V",IF(BL30&gt;=INDEX('[1]Définition Maintenances'!$G:$G,MATCH($A30,'[1]Définition Maintenances'!$K:$K,0)),BL30,INDEX('[1]Définition Maintenances'!$G:$G,MATCH($A30,'[1]Définition Maintenances'!$K:$K,0))+BL30),BL30))</f>
        <v>1168</v>
      </c>
      <c r="BN30" s="25">
        <f>IF(ISNUMBER(VLOOKUP($D30,'Visu totale'!$D:$DH,BN$1,0)),BM30-VLOOKUP($D30,'Visu totale'!$D:$DH,BN$1,0),IF(LEFT(VLOOKUP($D30,'Visu totale'!$D:$DH,BN$1,0),1)="V",IF(BM30&gt;=INDEX('[1]Définition Maintenances'!$G:$G,MATCH($A30,'[1]Définition Maintenances'!$K:$K,0)),BM30,INDEX('[1]Définition Maintenances'!$G:$G,MATCH($A30,'[1]Définition Maintenances'!$K:$K,0))+BM30),BM30))</f>
        <v>1168</v>
      </c>
      <c r="BO30" s="26">
        <f>IF(ISNUMBER(VLOOKUP($D30,'Visu totale'!$D:$DH,BO$1,0)),BN30-VLOOKUP($D30,'Visu totale'!$D:$DH,BO$1,0),IF(LEFT(VLOOKUP($D30,'Visu totale'!$D:$DH,BO$1,0),1)="V",IF(BN30&gt;=INDEX('[1]Définition Maintenances'!$G:$G,MATCH($A30,'[1]Définition Maintenances'!$K:$K,0)),BN30,INDEX('[1]Définition Maintenances'!$G:$G,MATCH($A30,'[1]Définition Maintenances'!$K:$K,0))+BN30),BN30))</f>
        <v>1168</v>
      </c>
      <c r="BP30" s="26">
        <f>IF(ISNUMBER(VLOOKUP($D30,'Visu totale'!$D:$DH,BP$1,0)),BO30-VLOOKUP($D30,'Visu totale'!$D:$DH,BP$1,0),IF(LEFT(VLOOKUP($D30,'Visu totale'!$D:$DH,BP$1,0),1)="V",IF(BO30&gt;=INDEX('[1]Définition Maintenances'!$G:$G,MATCH($A30,'[1]Définition Maintenances'!$K:$K,0)),BO30,INDEX('[1]Définition Maintenances'!$G:$G,MATCH($A30,'[1]Définition Maintenances'!$K:$K,0))+BO30),BO30))</f>
        <v>1168</v>
      </c>
      <c r="BQ30" s="26">
        <f>IF(ISNUMBER(VLOOKUP($D30,'Visu totale'!$D:$DH,BQ$1,0)),BP30-VLOOKUP($D30,'Visu totale'!$D:$DH,BQ$1,0),IF(LEFT(VLOOKUP($D30,'Visu totale'!$D:$DH,BQ$1,0),1)="V",IF(BP30&gt;=INDEX('[1]Définition Maintenances'!$G:$G,MATCH($A30,'[1]Définition Maintenances'!$K:$K,0)),BP30,INDEX('[1]Définition Maintenances'!$G:$G,MATCH($A30,'[1]Définition Maintenances'!$K:$K,0))+BP30),BP30))</f>
        <v>1168</v>
      </c>
      <c r="BR30" s="26">
        <f>IF(ISNUMBER(VLOOKUP($D30,'Visu totale'!$D:$DH,BR$1,0)),BQ30-VLOOKUP($D30,'Visu totale'!$D:$DH,BR$1,0),IF(LEFT(VLOOKUP($D30,'Visu totale'!$D:$DH,BR$1,0),1)="V",IF(BQ30&gt;=INDEX('[1]Définition Maintenances'!$G:$G,MATCH($A30,'[1]Définition Maintenances'!$K:$K,0)),BQ30,INDEX('[1]Définition Maintenances'!$G:$G,MATCH($A30,'[1]Définition Maintenances'!$K:$K,0))+BQ30),BQ30))</f>
        <v>1168</v>
      </c>
      <c r="BS30" s="26">
        <f>IF(ISNUMBER(VLOOKUP($D30,'Visu totale'!$D:$DH,BS$1,0)),BR30-VLOOKUP($D30,'Visu totale'!$D:$DH,BS$1,0),IF(LEFT(VLOOKUP($D30,'Visu totale'!$D:$DH,BS$1,0),1)="V",IF(BR30&gt;=INDEX('[1]Définition Maintenances'!$G:$G,MATCH($A30,'[1]Définition Maintenances'!$K:$K,0)),BR30,INDEX('[1]Définition Maintenances'!$G:$G,MATCH($A30,'[1]Définition Maintenances'!$K:$K,0))+BR30),BR30))</f>
        <v>1168</v>
      </c>
      <c r="BT30" s="26">
        <f>IF(ISNUMBER(VLOOKUP($D30,'Visu totale'!$D:$DH,BT$1,0)),BS30-VLOOKUP($D30,'Visu totale'!$D:$DH,BT$1,0),IF(LEFT(VLOOKUP($D30,'Visu totale'!$D:$DH,BT$1,0),1)="V",IF(BS30&gt;=INDEX('[1]Définition Maintenances'!$G:$G,MATCH($A30,'[1]Définition Maintenances'!$K:$K,0)),BS30,INDEX('[1]Définition Maintenances'!$G:$G,MATCH($A30,'[1]Définition Maintenances'!$K:$K,0))+BS30),BS30))</f>
        <v>1168</v>
      </c>
      <c r="BU30" s="26">
        <f>IF(ISNUMBER(VLOOKUP($D30,'Visu totale'!$D:$DH,BU$1,0)),BT30-VLOOKUP($D30,'Visu totale'!$D:$DH,BU$1,0),IF(LEFT(VLOOKUP($D30,'Visu totale'!$D:$DH,BU$1,0),1)="V",IF(BT30&gt;=INDEX('[1]Définition Maintenances'!$G:$G,MATCH($A30,'[1]Définition Maintenances'!$K:$K,0)),BT30,INDEX('[1]Définition Maintenances'!$G:$G,MATCH($A30,'[1]Définition Maintenances'!$K:$K,0))+BT30),BT30))</f>
        <v>1168</v>
      </c>
      <c r="BV30" s="26">
        <f>IF(ISNUMBER(VLOOKUP($D30,'Visu totale'!$D:$DH,BV$1,0)),BU30-VLOOKUP($D30,'Visu totale'!$D:$DH,BV$1,0),IF(LEFT(VLOOKUP($D30,'Visu totale'!$D:$DH,BV$1,0),1)="V",IF(BU30&gt;=INDEX('[1]Définition Maintenances'!$G:$G,MATCH($A30,'[1]Définition Maintenances'!$K:$K,0)),BU30,INDEX('[1]Définition Maintenances'!$G:$G,MATCH($A30,'[1]Définition Maintenances'!$K:$K,0))+BU30),BU30))</f>
        <v>1168</v>
      </c>
      <c r="BW30" s="26">
        <f>IF(ISNUMBER(VLOOKUP($D30,'Visu totale'!$D:$DH,BW$1,0)),BV30-VLOOKUP($D30,'Visu totale'!$D:$DH,BW$1,0),IF(LEFT(VLOOKUP($D30,'Visu totale'!$D:$DH,BW$1,0),1)="V",IF(BV30&gt;=INDEX('[1]Définition Maintenances'!$G:$G,MATCH($A30,'[1]Définition Maintenances'!$K:$K,0)),BV30,INDEX('[1]Définition Maintenances'!$G:$G,MATCH($A30,'[1]Définition Maintenances'!$K:$K,0))+BV30),BV30))</f>
        <v>1168</v>
      </c>
      <c r="BX30" s="26">
        <f>IF(ISNUMBER(VLOOKUP($D30,'Visu totale'!$D:$DH,BX$1,0)),BW30-VLOOKUP($D30,'Visu totale'!$D:$DH,BX$1,0),IF(LEFT(VLOOKUP($D30,'Visu totale'!$D:$DH,BX$1,0),1)="V",IF(BW30&gt;=INDEX('[1]Définition Maintenances'!$G:$G,MATCH($A30,'[1]Définition Maintenances'!$K:$K,0)),BW30,INDEX('[1]Définition Maintenances'!$G:$G,MATCH($A30,'[1]Définition Maintenances'!$K:$K,0))+BW30),BW30))</f>
        <v>1168</v>
      </c>
      <c r="BY30" s="27">
        <f>IF(ISNUMBER(VLOOKUP($D30,'Visu totale'!$D:$DH,BY$1,0)),BX30-VLOOKUP($D30,'Visu totale'!$D:$DH,BY$1,0),IF(LEFT(VLOOKUP($D30,'Visu totale'!$D:$DH,BY$1,0),1)="V",IF(BX30&gt;=INDEX('[1]Définition Maintenances'!$G:$G,MATCH($A30,'[1]Définition Maintenances'!$K:$K,0)),BX30,INDEX('[1]Définition Maintenances'!$G:$G,MATCH($A30,'[1]Définition Maintenances'!$K:$K,0))+BX30),BX30))</f>
        <v>1168</v>
      </c>
      <c r="BZ30" s="25">
        <f>IF(ISNUMBER(VLOOKUP($D30,'Visu totale'!$D:$DH,BZ$1,0)),BY30-VLOOKUP($D30,'Visu totale'!$D:$DH,BZ$1,0),IF(LEFT(VLOOKUP($D30,'Visu totale'!$D:$DH,BZ$1,0),1)="V",IF(BY30&gt;=INDEX('[1]Définition Maintenances'!$G:$G,MATCH($A30,'[1]Définition Maintenances'!$K:$K,0)),BY30,INDEX('[1]Définition Maintenances'!$G:$G,MATCH($A30,'[1]Définition Maintenances'!$K:$K,0))+BY30),BY30))</f>
        <v>1168</v>
      </c>
      <c r="CA30" s="26">
        <f>IF(ISNUMBER(VLOOKUP($D30,'Visu totale'!$D:$DH,CA$1,0)),BZ30-VLOOKUP($D30,'Visu totale'!$D:$DH,CA$1,0),IF(LEFT(VLOOKUP($D30,'Visu totale'!$D:$DH,CA$1,0),1)="V",IF(BZ30&gt;=INDEX('[1]Définition Maintenances'!$G:$G,MATCH($A30,'[1]Définition Maintenances'!$K:$K,0)),BZ30,INDEX('[1]Définition Maintenances'!$G:$G,MATCH($A30,'[1]Définition Maintenances'!$K:$K,0))+BZ30),BZ30))</f>
        <v>1168</v>
      </c>
      <c r="CB30" s="26">
        <f>IF(ISNUMBER(VLOOKUP($D30,'Visu totale'!$D:$DH,CB$1,0)),CA30-VLOOKUP($D30,'Visu totale'!$D:$DH,CB$1,0),IF(LEFT(VLOOKUP($D30,'Visu totale'!$D:$DH,CB$1,0),1)="V",IF(CA30&gt;=INDEX('[1]Définition Maintenances'!$G:$G,MATCH($A30,'[1]Définition Maintenances'!$K:$K,0)),CA30,INDEX('[1]Définition Maintenances'!$G:$G,MATCH($A30,'[1]Définition Maintenances'!$K:$K,0))+CA30),CA30))</f>
        <v>1168</v>
      </c>
      <c r="CC30" s="26">
        <f>IF(ISNUMBER(VLOOKUP($D30,'Visu totale'!$D:$DH,CC$1,0)),CB30-VLOOKUP($D30,'Visu totale'!$D:$DH,CC$1,0),IF(LEFT(VLOOKUP($D30,'Visu totale'!$D:$DH,CC$1,0),1)="V",IF(CB30&gt;=INDEX('[1]Définition Maintenances'!$G:$G,MATCH($A30,'[1]Définition Maintenances'!$K:$K,0)),CB30,INDEX('[1]Définition Maintenances'!$G:$G,MATCH($A30,'[1]Définition Maintenances'!$K:$K,0))+CB30),CB30))</f>
        <v>1168</v>
      </c>
      <c r="CD30" s="26">
        <f>IF(ISNUMBER(VLOOKUP($D30,'Visu totale'!$D:$DH,CD$1,0)),CC30-VLOOKUP($D30,'Visu totale'!$D:$DH,CD$1,0),IF(LEFT(VLOOKUP($D30,'Visu totale'!$D:$DH,CD$1,0),1)="V",IF(CC30&gt;=INDEX('[1]Définition Maintenances'!$G:$G,MATCH($A30,'[1]Définition Maintenances'!$K:$K,0)),CC30,INDEX('[1]Définition Maintenances'!$G:$G,MATCH($A30,'[1]Définition Maintenances'!$K:$K,0))+CC30),CC30))</f>
        <v>1168</v>
      </c>
      <c r="CE30" s="26">
        <f>IF(ISNUMBER(VLOOKUP($D30,'Visu totale'!$D:$DH,CE$1,0)),CD30-VLOOKUP($D30,'Visu totale'!$D:$DH,CE$1,0),IF(LEFT(VLOOKUP($D30,'Visu totale'!$D:$DH,CE$1,0),1)="V",IF(CD30&gt;=INDEX('[1]Définition Maintenances'!$G:$G,MATCH($A30,'[1]Définition Maintenances'!$K:$K,0)),CD30,INDEX('[1]Définition Maintenances'!$G:$G,MATCH($A30,'[1]Définition Maintenances'!$K:$K,0))+CD30),CD30))</f>
        <v>1168</v>
      </c>
      <c r="CF30" s="26">
        <f>IF(ISNUMBER(VLOOKUP($D30,'Visu totale'!$D:$DH,CF$1,0)),CE30-VLOOKUP($D30,'Visu totale'!$D:$DH,CF$1,0),IF(LEFT(VLOOKUP($D30,'Visu totale'!$D:$DH,CF$1,0),1)="V",IF(CE30&gt;=INDEX('[1]Définition Maintenances'!$G:$G,MATCH($A30,'[1]Définition Maintenances'!$K:$K,0)),CE30,INDEX('[1]Définition Maintenances'!$G:$G,MATCH($A30,'[1]Définition Maintenances'!$K:$K,0))+CE30),CE30))</f>
        <v>1168</v>
      </c>
      <c r="CG30" s="26">
        <f>IF(ISNUMBER(VLOOKUP($D30,'Visu totale'!$D:$DH,CG$1,0)),CF30-VLOOKUP($D30,'Visu totale'!$D:$DH,CG$1,0),IF(LEFT(VLOOKUP($D30,'Visu totale'!$D:$DH,CG$1,0),1)="V",IF(CF30&gt;=INDEX('[1]Définition Maintenances'!$G:$G,MATCH($A30,'[1]Définition Maintenances'!$K:$K,0)),CF30,INDEX('[1]Définition Maintenances'!$G:$G,MATCH($A30,'[1]Définition Maintenances'!$K:$K,0))+CF30),CF30))</f>
        <v>1168</v>
      </c>
      <c r="CH30" s="26">
        <f>IF(ISNUMBER(VLOOKUP($D30,'Visu totale'!$D:$DH,CH$1,0)),CG30-VLOOKUP($D30,'Visu totale'!$D:$DH,CH$1,0),IF(LEFT(VLOOKUP($D30,'Visu totale'!$D:$DH,CH$1,0),1)="V",IF(CG30&gt;=INDEX('[1]Définition Maintenances'!$G:$G,MATCH($A30,'[1]Définition Maintenances'!$K:$K,0)),CG30,INDEX('[1]Définition Maintenances'!$G:$G,MATCH($A30,'[1]Définition Maintenances'!$K:$K,0))+CG30),CG30))</f>
        <v>1168</v>
      </c>
      <c r="CI30" s="26">
        <f>IF(ISNUMBER(VLOOKUP($D30,'Visu totale'!$D:$DH,CI$1,0)),CH30-VLOOKUP($D30,'Visu totale'!$D:$DH,CI$1,0),IF(LEFT(VLOOKUP($D30,'Visu totale'!$D:$DH,CI$1,0),1)="V",IF(CH30&gt;=INDEX('[1]Définition Maintenances'!$G:$G,MATCH($A30,'[1]Définition Maintenances'!$K:$K,0)),CH30,INDEX('[1]Définition Maintenances'!$G:$G,MATCH($A30,'[1]Définition Maintenances'!$K:$K,0))+CH30),CH30))</f>
        <v>1168</v>
      </c>
      <c r="CJ30" s="26">
        <f>IF(ISNUMBER(VLOOKUP($D30,'Visu totale'!$D:$DH,CJ$1,0)),CI30-VLOOKUP($D30,'Visu totale'!$D:$DH,CJ$1,0),IF(LEFT(VLOOKUP($D30,'Visu totale'!$D:$DH,CJ$1,0),1)="V",IF(CI30&gt;=INDEX('[1]Définition Maintenances'!$G:$G,MATCH($A30,'[1]Définition Maintenances'!$K:$K,0)),CI30,INDEX('[1]Définition Maintenances'!$G:$G,MATCH($A30,'[1]Définition Maintenances'!$K:$K,0))+CI30),CI30))</f>
        <v>1168</v>
      </c>
      <c r="CK30" s="27">
        <f>IF(ISNUMBER(VLOOKUP($D30,'Visu totale'!$D:$DH,CK$1,0)),CJ30-VLOOKUP($D30,'Visu totale'!$D:$DH,CK$1,0),IF(LEFT(VLOOKUP($D30,'Visu totale'!$D:$DH,CK$1,0),1)="V",IF(CJ30&gt;=INDEX('[1]Définition Maintenances'!$G:$G,MATCH($A30,'[1]Définition Maintenances'!$K:$K,0)),CJ30,INDEX('[1]Définition Maintenances'!$G:$G,MATCH($A30,'[1]Définition Maintenances'!$K:$K,0))+CJ30),CJ30))</f>
        <v>1168</v>
      </c>
      <c r="CL30" s="25">
        <f>IF(ISNUMBER(VLOOKUP($D30,'Visu totale'!$D:$DH,CL$1,0)),CK30-VLOOKUP($D30,'Visu totale'!$D:$DH,CL$1,0),IF(LEFT(VLOOKUP($D30,'Visu totale'!$D:$DH,CL$1,0),1)="V",IF(CK30&gt;=INDEX('[1]Définition Maintenances'!$G:$G,MATCH($A30,'[1]Définition Maintenances'!$K:$K,0)),CK30,INDEX('[1]Définition Maintenances'!$G:$G,MATCH($A30,'[1]Définition Maintenances'!$K:$K,0))+CK30),CK30))</f>
        <v>1168</v>
      </c>
      <c r="CM30" s="26">
        <f>IF(ISNUMBER(VLOOKUP($D30,'Visu totale'!$D:$DH,CM$1,0)),CL30-VLOOKUP($D30,'Visu totale'!$D:$DH,CM$1,0),IF(LEFT(VLOOKUP($D30,'Visu totale'!$D:$DH,CM$1,0),1)="V",IF(CL30&gt;=INDEX('[1]Définition Maintenances'!$G:$G,MATCH($A30,'[1]Définition Maintenances'!$K:$K,0)),CL30,INDEX('[1]Définition Maintenances'!$G:$G,MATCH($A30,'[1]Définition Maintenances'!$K:$K,0))+CL30),CL30))</f>
        <v>1168</v>
      </c>
      <c r="CN30" s="26">
        <f>IF(ISNUMBER(VLOOKUP($D30,'Visu totale'!$D:$DH,CN$1,0)),CM30-VLOOKUP($D30,'Visu totale'!$D:$DH,CN$1,0),IF(LEFT(VLOOKUP($D30,'Visu totale'!$D:$DH,CN$1,0),1)="V",IF(CM30&gt;=INDEX('[1]Définition Maintenances'!$G:$G,MATCH($A30,'[1]Définition Maintenances'!$K:$K,0)),CM30,INDEX('[1]Définition Maintenances'!$G:$G,MATCH($A30,'[1]Définition Maintenances'!$K:$K,0))+CM30),CM30))</f>
        <v>1168</v>
      </c>
      <c r="CO30" s="26">
        <f>IF(ISNUMBER(VLOOKUP($D30,'Visu totale'!$D:$DH,CO$1,0)),CN30-VLOOKUP($D30,'Visu totale'!$D:$DH,CO$1,0),IF(LEFT(VLOOKUP($D30,'Visu totale'!$D:$DH,CO$1,0),1)="V",IF(CN30&gt;=INDEX('[1]Définition Maintenances'!$G:$G,MATCH($A30,'[1]Définition Maintenances'!$K:$K,0)),CN30,INDEX('[1]Définition Maintenances'!$G:$G,MATCH($A30,'[1]Définition Maintenances'!$K:$K,0))+CN30),CN30))</f>
        <v>1168</v>
      </c>
      <c r="CP30" s="26">
        <f>IF(ISNUMBER(VLOOKUP($D30,'Visu totale'!$D:$DH,CP$1,0)),CO30-VLOOKUP($D30,'Visu totale'!$D:$DH,CP$1,0),IF(LEFT(VLOOKUP($D30,'Visu totale'!$D:$DH,CP$1,0),1)="V",IF(CO30&gt;=INDEX('[1]Définition Maintenances'!$G:$G,MATCH($A30,'[1]Définition Maintenances'!$K:$K,0)),CO30,INDEX('[1]Définition Maintenances'!$G:$G,MATCH($A30,'[1]Définition Maintenances'!$K:$K,0))+CO30),CO30))</f>
        <v>1168</v>
      </c>
      <c r="CQ30" s="26">
        <f>IF(ISNUMBER(VLOOKUP($D30,'Visu totale'!$D:$DH,CQ$1,0)),CP30-VLOOKUP($D30,'Visu totale'!$D:$DH,CQ$1,0),IF(LEFT(VLOOKUP($D30,'Visu totale'!$D:$DH,CQ$1,0),1)="V",IF(CP30&gt;=INDEX('[1]Définition Maintenances'!$G:$G,MATCH($A30,'[1]Définition Maintenances'!$K:$K,0)),CP30,INDEX('[1]Définition Maintenances'!$G:$G,MATCH($A30,'[1]Définition Maintenances'!$K:$K,0))+CP30),CP30))</f>
        <v>1168</v>
      </c>
      <c r="CR30" s="26">
        <f>IF(ISNUMBER(VLOOKUP($D30,'Visu totale'!$D:$DH,CR$1,0)),CQ30-VLOOKUP($D30,'Visu totale'!$D:$DH,CR$1,0),IF(LEFT(VLOOKUP($D30,'Visu totale'!$D:$DH,CR$1,0),1)="V",IF(CQ30&gt;=INDEX('[1]Définition Maintenances'!$G:$G,MATCH($A30,'[1]Définition Maintenances'!$K:$K,0)),CQ30,INDEX('[1]Définition Maintenances'!$G:$G,MATCH($A30,'[1]Définition Maintenances'!$K:$K,0))+CQ30),CQ30))</f>
        <v>1168</v>
      </c>
      <c r="CS30" s="26">
        <f>IF(ISNUMBER(VLOOKUP($D30,'Visu totale'!$D:$DH,CS$1,0)),CR30-VLOOKUP($D30,'Visu totale'!$D:$DH,CS$1,0),IF(LEFT(VLOOKUP($D30,'Visu totale'!$D:$DH,CS$1,0),1)="V",IF(CR30&gt;=INDEX('[1]Définition Maintenances'!$G:$G,MATCH($A30,'[1]Définition Maintenances'!$K:$K,0)),CR30,INDEX('[1]Définition Maintenances'!$G:$G,MATCH($A30,'[1]Définition Maintenances'!$K:$K,0))+CR30),CR30))</f>
        <v>1168</v>
      </c>
      <c r="CT30" s="26">
        <f>IF(ISNUMBER(VLOOKUP($D30,'Visu totale'!$D:$DH,CT$1,0)),CS30-VLOOKUP($D30,'Visu totale'!$D:$DH,CT$1,0),IF(LEFT(VLOOKUP($D30,'Visu totale'!$D:$DH,CT$1,0),1)="V",IF(CS30&gt;=INDEX('[1]Définition Maintenances'!$G:$G,MATCH($A30,'[1]Définition Maintenances'!$K:$K,0)),CS30,INDEX('[1]Définition Maintenances'!$G:$G,MATCH($A30,'[1]Définition Maintenances'!$K:$K,0))+CS30),CS30))</f>
        <v>1168</v>
      </c>
      <c r="CU30" s="26">
        <f>IF(ISNUMBER(VLOOKUP($D30,'Visu totale'!$D:$DH,CU$1,0)),CT30-VLOOKUP($D30,'Visu totale'!$D:$DH,CU$1,0),IF(LEFT(VLOOKUP($D30,'Visu totale'!$D:$DH,CU$1,0),1)="V",IF(CT30&gt;=INDEX('[1]Définition Maintenances'!$G:$G,MATCH($A30,'[1]Définition Maintenances'!$K:$K,0)),CT30,INDEX('[1]Définition Maintenances'!$G:$G,MATCH($A30,'[1]Définition Maintenances'!$K:$K,0))+CT30),CT30))</f>
        <v>1168</v>
      </c>
      <c r="CV30" s="26">
        <f>IF(ISNUMBER(VLOOKUP($D30,'Visu totale'!$D:$DH,CV$1,0)),CU30-VLOOKUP($D30,'Visu totale'!$D:$DH,CV$1,0),IF(LEFT(VLOOKUP($D30,'Visu totale'!$D:$DH,CV$1,0),1)="V",IF(CU30&gt;=INDEX('[1]Définition Maintenances'!$G:$G,MATCH($A30,'[1]Définition Maintenances'!$K:$K,0)),CU30,INDEX('[1]Définition Maintenances'!$G:$G,MATCH($A30,'[1]Définition Maintenances'!$K:$K,0))+CU30),CU30))</f>
        <v>1168</v>
      </c>
      <c r="CW30" s="27">
        <f>IF(ISNUMBER(VLOOKUP($D30,'Visu totale'!$D:$DH,CW$1,0)),CV30-VLOOKUP($D30,'Visu totale'!$D:$DH,CW$1,0),IF(LEFT(VLOOKUP($D30,'Visu totale'!$D:$DH,CW$1,0),1)="V",IF(CV30&gt;=INDEX('[1]Définition Maintenances'!$G:$G,MATCH($A30,'[1]Définition Maintenances'!$K:$K,0)),CV30,INDEX('[1]Définition Maintenances'!$G:$G,MATCH($A30,'[1]Définition Maintenances'!$K:$K,0))+CV30),CV30))</f>
        <v>1168</v>
      </c>
      <c r="CX30" s="25">
        <f>IF(ISNUMBER(VLOOKUP($D30,'Visu totale'!$D:$DH,CX$1,0)),CW30-VLOOKUP($D30,'Visu totale'!$D:$DH,CX$1,0),IF(LEFT(VLOOKUP($D30,'Visu totale'!$D:$DH,CX$1,0),1)="V",IF(CW30&gt;=INDEX('[1]Définition Maintenances'!$G:$G,MATCH($A30,'[1]Définition Maintenances'!$K:$K,0)),CW30,INDEX('[1]Définition Maintenances'!$G:$G,MATCH($A30,'[1]Définition Maintenances'!$K:$K,0))+CW30),CW30))</f>
        <v>1168</v>
      </c>
      <c r="CY30" s="26">
        <f>IF(ISNUMBER(VLOOKUP($D30,'Visu totale'!$D:$DH,CY$1,0)),CX30-VLOOKUP($D30,'Visu totale'!$D:$DH,CY$1,0),IF(LEFT(VLOOKUP($D30,'Visu totale'!$D:$DH,CY$1,0),1)="V",IF(CX30&gt;=INDEX('[1]Définition Maintenances'!$G:$G,MATCH($A30,'[1]Définition Maintenances'!$K:$K,0)),CX30,INDEX('[1]Définition Maintenances'!$G:$G,MATCH($A30,'[1]Définition Maintenances'!$K:$K,0))+CX30),CX30))</f>
        <v>1168</v>
      </c>
      <c r="CZ30" s="26">
        <f>IF(ISNUMBER(VLOOKUP($D30,'Visu totale'!$D:$DH,CZ$1,0)),CY30-VLOOKUP($D30,'Visu totale'!$D:$DH,CZ$1,0),IF(LEFT(VLOOKUP($D30,'Visu totale'!$D:$DH,CZ$1,0),1)="V",IF(CY30&gt;=INDEX('[1]Définition Maintenances'!$G:$G,MATCH($A30,'[1]Définition Maintenances'!$K:$K,0)),CY30,INDEX('[1]Définition Maintenances'!$G:$G,MATCH($A30,'[1]Définition Maintenances'!$K:$K,0))+CY30),CY30))</f>
        <v>1168</v>
      </c>
      <c r="DA30" s="26">
        <f>IF(ISNUMBER(VLOOKUP($D30,'Visu totale'!$D:$DH,DA$1,0)),CZ30-VLOOKUP($D30,'Visu totale'!$D:$DH,DA$1,0),IF(LEFT(VLOOKUP($D30,'Visu totale'!$D:$DH,DA$1,0),1)="V",IF(CZ30&gt;=INDEX('[1]Définition Maintenances'!$G:$G,MATCH($A30,'[1]Définition Maintenances'!$K:$K,0)),CZ30,INDEX('[1]Définition Maintenances'!$G:$G,MATCH($A30,'[1]Définition Maintenances'!$K:$K,0))+CZ30),CZ30))</f>
        <v>1168</v>
      </c>
      <c r="DB30" s="26">
        <f>IF(ISNUMBER(VLOOKUP($D30,'Visu totale'!$D:$DH,DB$1,0)),DA30-VLOOKUP($D30,'Visu totale'!$D:$DH,DB$1,0),IF(LEFT(VLOOKUP($D30,'Visu totale'!$D:$DH,DB$1,0),1)="V",IF(DA30&gt;=INDEX('[1]Définition Maintenances'!$G:$G,MATCH($A30,'[1]Définition Maintenances'!$K:$K,0)),DA30,INDEX('[1]Définition Maintenances'!$G:$G,MATCH($A30,'[1]Définition Maintenances'!$K:$K,0))+DA30),DA30))</f>
        <v>1168</v>
      </c>
      <c r="DC30" s="26">
        <f>IF(ISNUMBER(VLOOKUP($D30,'Visu totale'!$D:$DH,DC$1,0)),DB30-VLOOKUP($D30,'Visu totale'!$D:$DH,DC$1,0),IF(LEFT(VLOOKUP($D30,'Visu totale'!$D:$DH,DC$1,0),1)="V",IF(DB30&gt;=INDEX('[1]Définition Maintenances'!$G:$G,MATCH($A30,'[1]Définition Maintenances'!$K:$K,0)),DB30,INDEX('[1]Définition Maintenances'!$G:$G,MATCH($A30,'[1]Définition Maintenances'!$K:$K,0))+DB30),DB30))</f>
        <v>1168</v>
      </c>
      <c r="DD30" s="26">
        <f>IF(ISNUMBER(VLOOKUP($D30,'Visu totale'!$D:$DH,DD$1,0)),DC30-VLOOKUP($D30,'Visu totale'!$D:$DH,DD$1,0),IF(LEFT(VLOOKUP($D30,'Visu totale'!$D:$DH,DD$1,0),1)="V",IF(DC30&gt;=INDEX('[1]Définition Maintenances'!$G:$G,MATCH($A30,'[1]Définition Maintenances'!$K:$K,0)),DC30,INDEX('[1]Définition Maintenances'!$G:$G,MATCH($A30,'[1]Définition Maintenances'!$K:$K,0))+DC30),DC30))</f>
        <v>1168</v>
      </c>
      <c r="DE30" s="26">
        <f>IF(ISNUMBER(VLOOKUP($D30,'Visu totale'!$D:$DH,DE$1,0)),DD30-VLOOKUP($D30,'Visu totale'!$D:$DH,DE$1,0),IF(LEFT(VLOOKUP($D30,'Visu totale'!$D:$DH,DE$1,0),1)="V",IF(DD30&gt;=INDEX('[1]Définition Maintenances'!$G:$G,MATCH($A30,'[1]Définition Maintenances'!$K:$K,0)),DD30,INDEX('[1]Définition Maintenances'!$G:$G,MATCH($A30,'[1]Définition Maintenances'!$K:$K,0))+DD30),DD30))</f>
        <v>1168</v>
      </c>
      <c r="DF30" s="26">
        <f>IF(ISNUMBER(VLOOKUP($D30,'Visu totale'!$D:$DH,DF$1,0)),DE30-VLOOKUP($D30,'Visu totale'!$D:$DH,DF$1,0),IF(LEFT(VLOOKUP($D30,'Visu totale'!$D:$DH,DF$1,0),1)="V",IF(DE30&gt;=INDEX('[1]Définition Maintenances'!$G:$G,MATCH($A30,'[1]Définition Maintenances'!$K:$K,0)),DE30,INDEX('[1]Définition Maintenances'!$G:$G,MATCH($A30,'[1]Définition Maintenances'!$K:$K,0))+DE30),DE30))</f>
        <v>1168</v>
      </c>
      <c r="DG30" s="26">
        <f>IF(ISNUMBER(VLOOKUP($D30,'Visu totale'!$D:$DH,DG$1,0)),DF30-VLOOKUP($D30,'Visu totale'!$D:$DH,DG$1,0),IF(LEFT(VLOOKUP($D30,'Visu totale'!$D:$DH,DG$1,0),1)="V",IF(DF30&gt;=INDEX('[1]Définition Maintenances'!$G:$G,MATCH($A30,'[1]Définition Maintenances'!$K:$K,0)),DF30,INDEX('[1]Définition Maintenances'!$G:$G,MATCH($A30,'[1]Définition Maintenances'!$K:$K,0))+DF30),DF30))</f>
        <v>1168</v>
      </c>
      <c r="DH30" s="26">
        <f>IF(ISNUMBER(VLOOKUP($D30,'Visu totale'!$D:$DH,DH$1,0)),DG30-VLOOKUP($D30,'Visu totale'!$D:$DH,DH$1,0),IF(LEFT(VLOOKUP($D30,'Visu totale'!$D:$DH,DH$1,0),1)="V",IF(DG30&gt;=INDEX('[1]Définition Maintenances'!$G:$G,MATCH($A30,'[1]Définition Maintenances'!$K:$K,0)),DG30,INDEX('[1]Définition Maintenances'!$G:$G,MATCH($A30,'[1]Définition Maintenances'!$K:$K,0))+DG30),DG30))</f>
        <v>1168</v>
      </c>
      <c r="DI30" s="27">
        <f>IF(ISNUMBER(VLOOKUP($D30,'Visu totale'!$D:$DH,DI$1,0)),DH30-VLOOKUP($D30,'Visu totale'!$D:$DH,DI$1,0),IF(LEFT(VLOOKUP($D30,'Visu totale'!$D:$DH,DI$1,0),1)="V",IF(DH30&gt;=INDEX('[1]Définition Maintenances'!$G:$G,MATCH($A30,'[1]Définition Maintenances'!$K:$K,0)),DH30,INDEX('[1]Définition Maintenances'!$G:$G,MATCH($A30,'[1]Définition Maintenances'!$K:$K,0))+DH30),DH30))</f>
        <v>1168</v>
      </c>
    </row>
    <row r="31" spans="1:113" x14ac:dyDescent="0.25">
      <c r="A31" s="13" t="str">
        <f t="shared" si="0"/>
        <v>V10D</v>
      </c>
      <c r="B31" s="13" t="str">
        <f>VLOOKUP(D31,'[1]Avions (Potentiels)'!$B$2:$H$128,7,FALSE)</f>
        <v>V10</v>
      </c>
      <c r="C31" s="13"/>
      <c r="D31" s="16" t="s">
        <v>34</v>
      </c>
      <c r="E31" s="13">
        <f>IFERROR(VALUE(SUBSTITUTE(VLOOKUP(D31,'[1]Avions (Potentiels)'!$B:$E,4,0),".",",")),VALUE(VLOOKUP(D31,'[1]Avions (Potentiels)'!$B:$E,4,0)))</f>
        <v>305</v>
      </c>
      <c r="F31" s="25">
        <f>IF(ISNUMBER(VLOOKUP($D31,'Visu totale'!$D:$DH,F$1,0)),E31-VLOOKUP($D31,'Visu totale'!$D:$DH,F$1,0),IF(LEFT(VLOOKUP($D31,'Visu totale'!$D:$DH,F$1,0),1)="V",IF(E31&gt;=INDEX('[1]Définition Maintenances'!$G:$G,MATCH($A31,'[1]Définition Maintenances'!$K:$K,0)),E31,INDEX('[1]Définition Maintenances'!$G:$G,MATCH($A31,'[1]Définition Maintenances'!$K:$K,0))+E31),E31))</f>
        <v>305</v>
      </c>
      <c r="G31" s="26">
        <f>IF(ISNUMBER(VLOOKUP($D31,'Visu totale'!$D:$DH,G$1,0)),F31-VLOOKUP($D31,'Visu totale'!$D:$DH,G$1,0),IF(LEFT(VLOOKUP($D31,'Visu totale'!$D:$DH,G$1,0),1)="V",IF(F31&gt;=INDEX('[1]Définition Maintenances'!$G:$G,MATCH($A31,'[1]Définition Maintenances'!$K:$K,0)),F31,INDEX('[1]Définition Maintenances'!$G:$G,MATCH($A31,'[1]Définition Maintenances'!$K:$K,0))+F31),F31))</f>
        <v>305</v>
      </c>
      <c r="H31" s="26">
        <f>IF(ISNUMBER(VLOOKUP($D31,'Visu totale'!$D:$DH,H$1,0)),G31-VLOOKUP($D31,'Visu totale'!$D:$DH,H$1,0),IF(LEFT(VLOOKUP($D31,'Visu totale'!$D:$DH,H$1,0),1)="V",IF(G31&gt;=INDEX('[1]Définition Maintenances'!$G:$G,MATCH($A31,'[1]Définition Maintenances'!$K:$K,0)),G31,INDEX('[1]Définition Maintenances'!$G:$G,MATCH($A31,'[1]Définition Maintenances'!$K:$K,0))+G31),G31))</f>
        <v>305</v>
      </c>
      <c r="I31" s="26">
        <f>IF(ISNUMBER(VLOOKUP($D31,'Visu totale'!$D:$DH,I$1,0)),H31-VLOOKUP($D31,'Visu totale'!$D:$DH,I$1,0),IF(LEFT(VLOOKUP($D31,'Visu totale'!$D:$DH,I$1,0),1)="V",IF(H31&gt;=INDEX('[1]Définition Maintenances'!$G:$G,MATCH($A31,'[1]Définition Maintenances'!$K:$K,0)),H31,INDEX('[1]Définition Maintenances'!$G:$G,MATCH($A31,'[1]Définition Maintenances'!$K:$K,0))+H31),H31))</f>
        <v>305</v>
      </c>
      <c r="J31" s="26">
        <f>IF(ISNUMBER(VLOOKUP($D31,'Visu totale'!$D:$DH,J$1,0)),I31-VLOOKUP($D31,'Visu totale'!$D:$DH,J$1,0),IF(LEFT(VLOOKUP($D31,'Visu totale'!$D:$DH,J$1,0),1)="V",IF(I31&gt;=INDEX('[1]Définition Maintenances'!$G:$G,MATCH($A31,'[1]Définition Maintenances'!$K:$K,0)),I31,INDEX('[1]Définition Maintenances'!$G:$G,MATCH($A31,'[1]Définition Maintenances'!$K:$K,0))+I31),I31))</f>
        <v>305</v>
      </c>
      <c r="K31" s="26">
        <f>IF(ISNUMBER(VLOOKUP($D31,'Visu totale'!$D:$DH,K$1,0)),J31-VLOOKUP($D31,'Visu totale'!$D:$DH,K$1,0),IF(LEFT(VLOOKUP($D31,'Visu totale'!$D:$DH,K$1,0),1)="V",IF(J31&gt;=INDEX('[1]Définition Maintenances'!$G:$G,MATCH($A31,'[1]Définition Maintenances'!$K:$K,0)),J31,INDEX('[1]Définition Maintenances'!$G:$G,MATCH($A31,'[1]Définition Maintenances'!$K:$K,0))+J31),J31))</f>
        <v>305</v>
      </c>
      <c r="L31" s="26">
        <f>IF(ISNUMBER(VLOOKUP($D31,'Visu totale'!$D:$DH,L$1,0)),K31-VLOOKUP($D31,'Visu totale'!$D:$DH,L$1,0),IF(LEFT(VLOOKUP($D31,'Visu totale'!$D:$DH,L$1,0),1)="V",IF(K31&gt;=INDEX('[1]Définition Maintenances'!$G:$G,MATCH($A31,'[1]Définition Maintenances'!$K:$K,0)),K31,INDEX('[1]Définition Maintenances'!$G:$G,MATCH($A31,'[1]Définition Maintenances'!$K:$K,0))+K31),K31))</f>
        <v>305</v>
      </c>
      <c r="M31" s="26">
        <f>IF(ISNUMBER(VLOOKUP($D31,'Visu totale'!$D:$DH,M$1,0)),L31-VLOOKUP($D31,'Visu totale'!$D:$DH,M$1,0),IF(LEFT(VLOOKUP($D31,'Visu totale'!$D:$DH,M$1,0),1)="V",IF(L31&gt;=INDEX('[1]Définition Maintenances'!$G:$G,MATCH($A31,'[1]Définition Maintenances'!$K:$K,0)),L31,INDEX('[1]Définition Maintenances'!$G:$G,MATCH($A31,'[1]Définition Maintenances'!$K:$K,0))+L31),L31))</f>
        <v>305</v>
      </c>
      <c r="N31" s="26">
        <f>IF(ISNUMBER(VLOOKUP($D31,'Visu totale'!$D:$DH,N$1,0)),M31-VLOOKUP($D31,'Visu totale'!$D:$DH,N$1,0),IF(LEFT(VLOOKUP($D31,'Visu totale'!$D:$DH,N$1,0),1)="V",IF(M31&gt;=INDEX('[1]Définition Maintenances'!$G:$G,MATCH($A31,'[1]Définition Maintenances'!$K:$K,0)),M31,INDEX('[1]Définition Maintenances'!$G:$G,MATCH($A31,'[1]Définition Maintenances'!$K:$K,0))+M31),M31))</f>
        <v>305</v>
      </c>
      <c r="O31" s="26">
        <f>IF(ISNUMBER(VLOOKUP($D31,'Visu totale'!$D:$DH,O$1,0)),N31-VLOOKUP($D31,'Visu totale'!$D:$DH,O$1,0),IF(LEFT(VLOOKUP($D31,'Visu totale'!$D:$DH,O$1,0),1)="V",IF(N31&gt;=INDEX('[1]Définition Maintenances'!$G:$G,MATCH($A31,'[1]Définition Maintenances'!$K:$K,0)),N31,INDEX('[1]Définition Maintenances'!$G:$G,MATCH($A31,'[1]Définition Maintenances'!$K:$K,0))+N31),N31))</f>
        <v>305</v>
      </c>
      <c r="P31" s="26">
        <f>IF(ISNUMBER(VLOOKUP($D31,'Visu totale'!$D:$DH,P$1,0)),O31-VLOOKUP($D31,'Visu totale'!$D:$DH,P$1,0),IF(LEFT(VLOOKUP($D31,'Visu totale'!$D:$DH,P$1,0),1)="V",IF(O31&gt;=INDEX('[1]Définition Maintenances'!$G:$G,MATCH($A31,'[1]Définition Maintenances'!$K:$K,0)),O31,INDEX('[1]Définition Maintenances'!$G:$G,MATCH($A31,'[1]Définition Maintenances'!$K:$K,0))+O31),O31))</f>
        <v>305</v>
      </c>
      <c r="Q31" s="27">
        <f>IF(ISNUMBER(VLOOKUP($D31,'Visu totale'!$D:$DH,Q$1,0)),P31-VLOOKUP($D31,'Visu totale'!$D:$DH,Q$1,0),IF(LEFT(VLOOKUP($D31,'Visu totale'!$D:$DH,Q$1,0),1)="V",IF(P31&gt;=INDEX('[1]Définition Maintenances'!$G:$G,MATCH($A31,'[1]Définition Maintenances'!$K:$K,0)),P31,INDEX('[1]Définition Maintenances'!$G:$G,MATCH($A31,'[1]Définition Maintenances'!$K:$K,0))+P31),P31))</f>
        <v>305</v>
      </c>
      <c r="R31" s="25">
        <f>IF(ISNUMBER(VLOOKUP($D31,'Visu totale'!$D:$DH,R$1,0)),Q31-VLOOKUP($D31,'Visu totale'!$D:$DH,R$1,0),IF(LEFT(VLOOKUP($D31,'Visu totale'!$D:$DH,R$1,0),1)="V",IF(Q31&gt;=INDEX('[1]Définition Maintenances'!$G:$G,MATCH($A31,'[1]Définition Maintenances'!$K:$K,0)),Q31,INDEX('[1]Définition Maintenances'!$G:$G,MATCH($A31,'[1]Définition Maintenances'!$K:$K,0))+Q31),Q31))</f>
        <v>305</v>
      </c>
      <c r="S31" s="26">
        <f>IF(ISNUMBER(VLOOKUP($D31,'Visu totale'!$D:$DH,S$1,0)),R31-VLOOKUP($D31,'Visu totale'!$D:$DH,S$1,0),IF(LEFT(VLOOKUP($D31,'Visu totale'!$D:$DH,S$1,0),1)="V",IF(R31&gt;=INDEX('[1]Définition Maintenances'!$G:$G,MATCH($A31,'[1]Définition Maintenances'!$K:$K,0)),R31,INDEX('[1]Définition Maintenances'!$G:$G,MATCH($A31,'[1]Définition Maintenances'!$K:$K,0))+R31),R31))</f>
        <v>305</v>
      </c>
      <c r="T31" s="26">
        <f>IF(ISNUMBER(VLOOKUP($D31,'Visu totale'!$D:$DH,T$1,0)),S31-VLOOKUP($D31,'Visu totale'!$D:$DH,T$1,0),IF(LEFT(VLOOKUP($D31,'Visu totale'!$D:$DH,T$1,0),1)="V",IF(S31&gt;=INDEX('[1]Définition Maintenances'!$G:$G,MATCH($A31,'[1]Définition Maintenances'!$K:$K,0)),S31,INDEX('[1]Définition Maintenances'!$G:$G,MATCH($A31,'[1]Définition Maintenances'!$K:$K,0))+S31),S31))</f>
        <v>305</v>
      </c>
      <c r="U31" s="26">
        <f>IF(ISNUMBER(VLOOKUP($D31,'Visu totale'!$D:$DH,U$1,0)),T31-VLOOKUP($D31,'Visu totale'!$D:$DH,U$1,0),IF(LEFT(VLOOKUP($D31,'Visu totale'!$D:$DH,U$1,0),1)="V",IF(T31&gt;=INDEX('[1]Définition Maintenances'!$G:$G,MATCH($A31,'[1]Définition Maintenances'!$K:$K,0)),T31,INDEX('[1]Définition Maintenances'!$G:$G,MATCH($A31,'[1]Définition Maintenances'!$K:$K,0))+T31),T31))</f>
        <v>305</v>
      </c>
      <c r="V31" s="26">
        <f>IF(ISNUMBER(VLOOKUP($D31,'Visu totale'!$D:$DH,V$1,0)),U31-VLOOKUP($D31,'Visu totale'!$D:$DH,V$1,0),IF(LEFT(VLOOKUP($D31,'Visu totale'!$D:$DH,V$1,0),1)="V",IF(U31&gt;=INDEX('[1]Définition Maintenances'!$G:$G,MATCH($A31,'[1]Définition Maintenances'!$K:$K,0)),U31,INDEX('[1]Définition Maintenances'!$G:$G,MATCH($A31,'[1]Définition Maintenances'!$K:$K,0))+U31),U31))</f>
        <v>305</v>
      </c>
      <c r="W31" s="26">
        <f>IF(ISNUMBER(VLOOKUP($D31,'Visu totale'!$D:$DH,W$1,0)),V31-VLOOKUP($D31,'Visu totale'!$D:$DH,W$1,0),IF(LEFT(VLOOKUP($D31,'Visu totale'!$D:$DH,W$1,0),1)="V",IF(V31&gt;=INDEX('[1]Définition Maintenances'!$G:$G,MATCH($A31,'[1]Définition Maintenances'!$K:$K,0)),V31,INDEX('[1]Définition Maintenances'!$G:$G,MATCH($A31,'[1]Définition Maintenances'!$K:$K,0))+V31),V31))</f>
        <v>305</v>
      </c>
      <c r="X31" s="26">
        <f>IF(ISNUMBER(VLOOKUP($D31,'Visu totale'!$D:$DH,X$1,0)),W31-VLOOKUP($D31,'Visu totale'!$D:$DH,X$1,0),IF(LEFT(VLOOKUP($D31,'Visu totale'!$D:$DH,X$1,0),1)="V",IF(W31&gt;=INDEX('[1]Définition Maintenances'!$G:$G,MATCH($A31,'[1]Définition Maintenances'!$K:$K,0)),W31,INDEX('[1]Définition Maintenances'!$G:$G,MATCH($A31,'[1]Définition Maintenances'!$K:$K,0))+W31),W31))</f>
        <v>305</v>
      </c>
      <c r="Y31" s="26">
        <f>IF(ISNUMBER(VLOOKUP($D31,'Visu totale'!$D:$DH,Y$1,0)),X31-VLOOKUP($D31,'Visu totale'!$D:$DH,Y$1,0),IF(LEFT(VLOOKUP($D31,'Visu totale'!$D:$DH,Y$1,0),1)="V",IF(X31&gt;=INDEX('[1]Définition Maintenances'!$G:$G,MATCH($A31,'[1]Définition Maintenances'!$K:$K,0)),X31,INDEX('[1]Définition Maintenances'!$G:$G,MATCH($A31,'[1]Définition Maintenances'!$K:$K,0))+X31),X31))</f>
        <v>305</v>
      </c>
      <c r="Z31" s="26">
        <f>IF(ISNUMBER(VLOOKUP($D31,'Visu totale'!$D:$DH,Z$1,0)),Y31-VLOOKUP($D31,'Visu totale'!$D:$DH,Z$1,0),IF(LEFT(VLOOKUP($D31,'Visu totale'!$D:$DH,Z$1,0),1)="V",IF(Y31&gt;=INDEX('[1]Définition Maintenances'!$G:$G,MATCH($A31,'[1]Définition Maintenances'!$K:$K,0)),Y31,INDEX('[1]Définition Maintenances'!$G:$G,MATCH($A31,'[1]Définition Maintenances'!$K:$K,0))+Y31),Y31))</f>
        <v>305</v>
      </c>
      <c r="AA31" s="26">
        <f>IF(ISNUMBER(VLOOKUP($D31,'Visu totale'!$D:$DH,AA$1,0)),Z31-VLOOKUP($D31,'Visu totale'!$D:$DH,AA$1,0),IF(LEFT(VLOOKUP($D31,'Visu totale'!$D:$DH,AA$1,0),1)="V",IF(Z31&gt;=INDEX('[1]Définition Maintenances'!$G:$G,MATCH($A31,'[1]Définition Maintenances'!$K:$K,0)),Z31,INDEX('[1]Définition Maintenances'!$G:$G,MATCH($A31,'[1]Définition Maintenances'!$K:$K,0))+Z31),Z31))</f>
        <v>305</v>
      </c>
      <c r="AB31" s="26">
        <f>IF(ISNUMBER(VLOOKUP($D31,'Visu totale'!$D:$DH,AB$1,0)),AA31-VLOOKUP($D31,'Visu totale'!$D:$DH,AB$1,0),IF(LEFT(VLOOKUP($D31,'Visu totale'!$D:$DH,AB$1,0),1)="V",IF(AA31&gt;=INDEX('[1]Définition Maintenances'!$G:$G,MATCH($A31,'[1]Définition Maintenances'!$K:$K,0)),AA31,INDEX('[1]Définition Maintenances'!$G:$G,MATCH($A31,'[1]Définition Maintenances'!$K:$K,0))+AA31),AA31))</f>
        <v>305</v>
      </c>
      <c r="AC31" s="27">
        <f>IF(ISNUMBER(VLOOKUP($D31,'Visu totale'!$D:$DH,AC$1,0)),AB31-VLOOKUP($D31,'Visu totale'!$D:$DH,AC$1,0),IF(LEFT(VLOOKUP($D31,'Visu totale'!$D:$DH,AC$1,0),1)="V",IF(AB31&gt;=INDEX('[1]Définition Maintenances'!$G:$G,MATCH($A31,'[1]Définition Maintenances'!$K:$K,0)),AB31,INDEX('[1]Définition Maintenances'!$G:$G,MATCH($A31,'[1]Définition Maintenances'!$K:$K,0))+AB31),AB31))</f>
        <v>305</v>
      </c>
      <c r="AD31" s="25">
        <f>IF(ISNUMBER(VLOOKUP($D31,'Visu totale'!$D:$DH,AD$1,0)),AC31-VLOOKUP($D31,'Visu totale'!$D:$DH,AD$1,0),IF(LEFT(VLOOKUP($D31,'Visu totale'!$D:$DH,AD$1,0),1)="V",IF(AC31&gt;=INDEX('[1]Définition Maintenances'!$G:$G,MATCH($A31,'[1]Définition Maintenances'!$K:$K,0)),AC31,INDEX('[1]Définition Maintenances'!$G:$G,MATCH($A31,'[1]Définition Maintenances'!$K:$K,0))+AC31),AC31))</f>
        <v>305</v>
      </c>
      <c r="AE31" s="26">
        <f>IF(ISNUMBER(VLOOKUP($D31,'Visu totale'!$D:$DH,AE$1,0)),AD31-VLOOKUP($D31,'Visu totale'!$D:$DH,AE$1,0),IF(LEFT(VLOOKUP($D31,'Visu totale'!$D:$DH,AE$1,0),1)="V",IF(AD31&gt;=INDEX('[1]Définition Maintenances'!$G:$G,MATCH($A31,'[1]Définition Maintenances'!$K:$K,0)),AD31,INDEX('[1]Définition Maintenances'!$G:$G,MATCH($A31,'[1]Définition Maintenances'!$K:$K,0))+AD31),AD31))</f>
        <v>305</v>
      </c>
      <c r="AF31" s="26">
        <f>IF(ISNUMBER(VLOOKUP($D31,'Visu totale'!$D:$DH,AF$1,0)),AE31-VLOOKUP($D31,'Visu totale'!$D:$DH,AF$1,0),IF(LEFT(VLOOKUP($D31,'Visu totale'!$D:$DH,AF$1,0),1)="V",IF(AE31&gt;=INDEX('[1]Définition Maintenances'!$G:$G,MATCH($A31,'[1]Définition Maintenances'!$K:$K,0)),AE31,INDEX('[1]Définition Maintenances'!$G:$G,MATCH($A31,'[1]Définition Maintenances'!$K:$K,0))+AE31),AE31))</f>
        <v>305</v>
      </c>
      <c r="AG31" s="26">
        <f>IF(ISNUMBER(VLOOKUP($D31,'Visu totale'!$D:$DH,AG$1,0)),AF31-VLOOKUP($D31,'Visu totale'!$D:$DH,AG$1,0),IF(LEFT(VLOOKUP($D31,'Visu totale'!$D:$DH,AG$1,0),1)="V",IF(AF31&gt;=INDEX('[1]Définition Maintenances'!$G:$G,MATCH($A31,'[1]Définition Maintenances'!$K:$K,0)),AF31,INDEX('[1]Définition Maintenances'!$G:$G,MATCH($A31,'[1]Définition Maintenances'!$K:$K,0))+AF31),AF31))</f>
        <v>305</v>
      </c>
      <c r="AH31" s="26">
        <f>IF(ISNUMBER(VLOOKUP($D31,'Visu totale'!$D:$DH,AH$1,0)),AG31-VLOOKUP($D31,'Visu totale'!$D:$DH,AH$1,0),IF(LEFT(VLOOKUP($D31,'Visu totale'!$D:$DH,AH$1,0),1)="V",IF(AG31&gt;=INDEX('[1]Définition Maintenances'!$G:$G,MATCH($A31,'[1]Définition Maintenances'!$K:$K,0)),AG31,INDEX('[1]Définition Maintenances'!$G:$G,MATCH($A31,'[1]Définition Maintenances'!$K:$K,0))+AG31),AG31))</f>
        <v>305</v>
      </c>
      <c r="AI31" s="26">
        <f>IF(ISNUMBER(VLOOKUP($D31,'Visu totale'!$D:$DH,AI$1,0)),AH31-VLOOKUP($D31,'Visu totale'!$D:$DH,AI$1,0),IF(LEFT(VLOOKUP($D31,'Visu totale'!$D:$DH,AI$1,0),1)="V",IF(AH31&gt;=INDEX('[1]Définition Maintenances'!$G:$G,MATCH($A31,'[1]Définition Maintenances'!$K:$K,0)),AH31,INDEX('[1]Définition Maintenances'!$G:$G,MATCH($A31,'[1]Définition Maintenances'!$K:$K,0))+AH31),AH31))</f>
        <v>305</v>
      </c>
      <c r="AJ31" s="26">
        <f>IF(ISNUMBER(VLOOKUP($D31,'Visu totale'!$D:$DH,AJ$1,0)),AI31-VLOOKUP($D31,'Visu totale'!$D:$DH,AJ$1,0),IF(LEFT(VLOOKUP($D31,'Visu totale'!$D:$DH,AJ$1,0),1)="V",IF(AI31&gt;=INDEX('[1]Définition Maintenances'!$G:$G,MATCH($A31,'[1]Définition Maintenances'!$K:$K,0)),AI31,INDEX('[1]Définition Maintenances'!$G:$G,MATCH($A31,'[1]Définition Maintenances'!$K:$K,0))+AI31),AI31))</f>
        <v>305</v>
      </c>
      <c r="AK31" s="26">
        <f>IF(ISNUMBER(VLOOKUP($D31,'Visu totale'!$D:$DH,AK$1,0)),AJ31-VLOOKUP($D31,'Visu totale'!$D:$DH,AK$1,0),IF(LEFT(VLOOKUP($D31,'Visu totale'!$D:$DH,AK$1,0),1)="V",IF(AJ31&gt;=INDEX('[1]Définition Maintenances'!$G:$G,MATCH($A31,'[1]Définition Maintenances'!$K:$K,0)),AJ31,INDEX('[1]Définition Maintenances'!$G:$G,MATCH($A31,'[1]Définition Maintenances'!$K:$K,0))+AJ31),AJ31))</f>
        <v>305</v>
      </c>
      <c r="AL31" s="26">
        <f>IF(ISNUMBER(VLOOKUP($D31,'Visu totale'!$D:$DH,AL$1,0)),AK31-VLOOKUP($D31,'Visu totale'!$D:$DH,AL$1,0),IF(LEFT(VLOOKUP($D31,'Visu totale'!$D:$DH,AL$1,0),1)="V",IF(AK31&gt;=INDEX('[1]Définition Maintenances'!$G:$G,MATCH($A31,'[1]Définition Maintenances'!$K:$K,0)),AK31,INDEX('[1]Définition Maintenances'!$G:$G,MATCH($A31,'[1]Définition Maintenances'!$K:$K,0))+AK31),AK31))</f>
        <v>305</v>
      </c>
      <c r="AM31" s="26">
        <f>IF(ISNUMBER(VLOOKUP($D31,'Visu totale'!$D:$DH,AM$1,0)),AL31-VLOOKUP($D31,'Visu totale'!$D:$DH,AM$1,0),IF(LEFT(VLOOKUP($D31,'Visu totale'!$D:$DH,AM$1,0),1)="V",IF(AL31&gt;=INDEX('[1]Définition Maintenances'!$G:$G,MATCH($A31,'[1]Définition Maintenances'!$K:$K,0)),AL31,INDEX('[1]Définition Maintenances'!$G:$G,MATCH($A31,'[1]Définition Maintenances'!$K:$K,0))+AL31),AL31))</f>
        <v>305</v>
      </c>
      <c r="AN31" s="26">
        <f>IF(ISNUMBER(VLOOKUP($D31,'Visu totale'!$D:$DH,AN$1,0)),AM31-VLOOKUP($D31,'Visu totale'!$D:$DH,AN$1,0),IF(LEFT(VLOOKUP($D31,'Visu totale'!$D:$DH,AN$1,0),1)="V",IF(AM31&gt;=INDEX('[1]Définition Maintenances'!$G:$G,MATCH($A31,'[1]Définition Maintenances'!$K:$K,0)),AM31,INDEX('[1]Définition Maintenances'!$G:$G,MATCH($A31,'[1]Définition Maintenances'!$K:$K,0))+AM31),AM31))</f>
        <v>305</v>
      </c>
      <c r="AO31" s="27">
        <f>IF(ISNUMBER(VLOOKUP($D31,'Visu totale'!$D:$DH,AO$1,0)),AN31-VLOOKUP($D31,'Visu totale'!$D:$DH,AO$1,0),IF(LEFT(VLOOKUP($D31,'Visu totale'!$D:$DH,AO$1,0),1)="V",IF(AN31&gt;=INDEX('[1]Définition Maintenances'!$G:$G,MATCH($A31,'[1]Définition Maintenances'!$K:$K,0)),AN31,INDEX('[1]Définition Maintenances'!$G:$G,MATCH($A31,'[1]Définition Maintenances'!$K:$K,0))+AN31),AN31))</f>
        <v>305</v>
      </c>
      <c r="AP31" s="25">
        <f>IF(ISNUMBER(VLOOKUP($D31,'Visu totale'!$D:$DH,AP$1,0)),AO31-VLOOKUP($D31,'Visu totale'!$D:$DH,AP$1,0),IF(LEFT(VLOOKUP($D31,'Visu totale'!$D:$DH,AP$1,0),1)="V",IF(AO31&gt;=INDEX('[1]Définition Maintenances'!$G:$G,MATCH($A31,'[1]Définition Maintenances'!$K:$K,0)),AO31,INDEX('[1]Définition Maintenances'!$G:$G,MATCH($A31,'[1]Définition Maintenances'!$K:$K,0))+AO31),AO31))</f>
        <v>305</v>
      </c>
      <c r="AQ31" s="26">
        <f>IF(ISNUMBER(VLOOKUP($D31,'Visu totale'!$D:$DH,AQ$1,0)),AP31-VLOOKUP($D31,'Visu totale'!$D:$DH,AQ$1,0),IF(LEFT(VLOOKUP($D31,'Visu totale'!$D:$DH,AQ$1,0),1)="V",IF(AP31&gt;=INDEX('[1]Définition Maintenances'!$G:$G,MATCH($A31,'[1]Définition Maintenances'!$K:$K,0)),AP31,INDEX('[1]Définition Maintenances'!$G:$G,MATCH($A31,'[1]Définition Maintenances'!$K:$K,0))+AP31),AP31))</f>
        <v>305</v>
      </c>
      <c r="AR31" s="26">
        <f>IF(ISNUMBER(VLOOKUP($D31,'Visu totale'!$D:$DH,AR$1,0)),AQ31-VLOOKUP($D31,'Visu totale'!$D:$DH,AR$1,0),IF(LEFT(VLOOKUP($D31,'Visu totale'!$D:$DH,AR$1,0),1)="V",IF(AQ31&gt;=INDEX('[1]Définition Maintenances'!$G:$G,MATCH($A31,'[1]Définition Maintenances'!$K:$K,0)),AQ31,INDEX('[1]Définition Maintenances'!$G:$G,MATCH($A31,'[1]Définition Maintenances'!$K:$K,0))+AQ31),AQ31))</f>
        <v>305</v>
      </c>
      <c r="AS31" s="26">
        <f>IF(ISNUMBER(VLOOKUP($D31,'Visu totale'!$D:$DH,AS$1,0)),AR31-VLOOKUP($D31,'Visu totale'!$D:$DH,AS$1,0),IF(LEFT(VLOOKUP($D31,'Visu totale'!$D:$DH,AS$1,0),1)="V",IF(AR31&gt;=INDEX('[1]Définition Maintenances'!$G:$G,MATCH($A31,'[1]Définition Maintenances'!$K:$K,0)),AR31,INDEX('[1]Définition Maintenances'!$G:$G,MATCH($A31,'[1]Définition Maintenances'!$K:$K,0))+AR31),AR31))</f>
        <v>305</v>
      </c>
      <c r="AT31" s="26">
        <f>IF(ISNUMBER(VLOOKUP($D31,'Visu totale'!$D:$DH,AT$1,0)),AS31-VLOOKUP($D31,'Visu totale'!$D:$DH,AT$1,0),IF(LEFT(VLOOKUP($D31,'Visu totale'!$D:$DH,AT$1,0),1)="V",IF(AS31&gt;=INDEX('[1]Définition Maintenances'!$G:$G,MATCH($A31,'[1]Définition Maintenances'!$K:$K,0)),AS31,INDEX('[1]Définition Maintenances'!$G:$G,MATCH($A31,'[1]Définition Maintenances'!$K:$K,0))+AS31),AS31))</f>
        <v>305</v>
      </c>
      <c r="AU31" s="26">
        <f>IF(ISNUMBER(VLOOKUP($D31,'Visu totale'!$D:$DH,AU$1,0)),AT31-VLOOKUP($D31,'Visu totale'!$D:$DH,AU$1,0),IF(LEFT(VLOOKUP($D31,'Visu totale'!$D:$DH,AU$1,0),1)="V",IF(AT31&gt;=INDEX('[1]Définition Maintenances'!$G:$G,MATCH($A31,'[1]Définition Maintenances'!$K:$K,0)),AT31,INDEX('[1]Définition Maintenances'!$G:$G,MATCH($A31,'[1]Définition Maintenances'!$K:$K,0))+AT31),AT31))</f>
        <v>305</v>
      </c>
      <c r="AV31" s="26">
        <f>IF(ISNUMBER(VLOOKUP($D31,'Visu totale'!$D:$DH,AV$1,0)),AU31-VLOOKUP($D31,'Visu totale'!$D:$DH,AV$1,0),IF(LEFT(VLOOKUP($D31,'Visu totale'!$D:$DH,AV$1,0),1)="V",IF(AU31&gt;=INDEX('[1]Définition Maintenances'!$G:$G,MATCH($A31,'[1]Définition Maintenances'!$K:$K,0)),AU31,INDEX('[1]Définition Maintenances'!$G:$G,MATCH($A31,'[1]Définition Maintenances'!$K:$K,0))+AU31),AU31))</f>
        <v>305</v>
      </c>
      <c r="AW31" s="26">
        <f>IF(ISNUMBER(VLOOKUP($D31,'Visu totale'!$D:$DH,AW$1,0)),AV31-VLOOKUP($D31,'Visu totale'!$D:$DH,AW$1,0),IF(LEFT(VLOOKUP($D31,'Visu totale'!$D:$DH,AW$1,0),1)="V",IF(AV31&gt;=INDEX('[1]Définition Maintenances'!$G:$G,MATCH($A31,'[1]Définition Maintenances'!$K:$K,0)),AV31,INDEX('[1]Définition Maintenances'!$G:$G,MATCH($A31,'[1]Définition Maintenances'!$K:$K,0))+AV31),AV31))</f>
        <v>305</v>
      </c>
      <c r="AX31" s="26">
        <f>IF(ISNUMBER(VLOOKUP($D31,'Visu totale'!$D:$DH,AX$1,0)),AW31-VLOOKUP($D31,'Visu totale'!$D:$DH,AX$1,0),IF(LEFT(VLOOKUP($D31,'Visu totale'!$D:$DH,AX$1,0),1)="V",IF(AW31&gt;=INDEX('[1]Définition Maintenances'!$G:$G,MATCH($A31,'[1]Définition Maintenances'!$K:$K,0)),AW31,INDEX('[1]Définition Maintenances'!$G:$G,MATCH($A31,'[1]Définition Maintenances'!$K:$K,0))+AW31),AW31))</f>
        <v>305</v>
      </c>
      <c r="AY31" s="26">
        <f>IF(ISNUMBER(VLOOKUP($D31,'Visu totale'!$D:$DH,AY$1,0)),AX31-VLOOKUP($D31,'Visu totale'!$D:$DH,AY$1,0),IF(LEFT(VLOOKUP($D31,'Visu totale'!$D:$DH,AY$1,0),1)="V",IF(AX31&gt;=INDEX('[1]Définition Maintenances'!$G:$G,MATCH($A31,'[1]Définition Maintenances'!$K:$K,0)),AX31,INDEX('[1]Définition Maintenances'!$G:$G,MATCH($A31,'[1]Définition Maintenances'!$K:$K,0))+AX31),AX31))</f>
        <v>305</v>
      </c>
      <c r="AZ31" s="26">
        <f>IF(ISNUMBER(VLOOKUP($D31,'Visu totale'!$D:$DH,AZ$1,0)),AY31-VLOOKUP($D31,'Visu totale'!$D:$DH,AZ$1,0),IF(LEFT(VLOOKUP($D31,'Visu totale'!$D:$DH,AZ$1,0),1)="V",IF(AY31&gt;=INDEX('[1]Définition Maintenances'!$G:$G,MATCH($A31,'[1]Définition Maintenances'!$K:$K,0)),AY31,INDEX('[1]Définition Maintenances'!$G:$G,MATCH($A31,'[1]Définition Maintenances'!$K:$K,0))+AY31),AY31))</f>
        <v>305</v>
      </c>
      <c r="BA31" s="27">
        <f>IF(ISNUMBER(VLOOKUP($D31,'Visu totale'!$D:$DH,BA$1,0)),AZ31-VLOOKUP($D31,'Visu totale'!$D:$DH,BA$1,0),IF(LEFT(VLOOKUP($D31,'Visu totale'!$D:$DH,BA$1,0),1)="V",IF(AZ31&gt;=INDEX('[1]Définition Maintenances'!$G:$G,MATCH($A31,'[1]Définition Maintenances'!$K:$K,0)),AZ31,INDEX('[1]Définition Maintenances'!$G:$G,MATCH($A31,'[1]Définition Maintenances'!$K:$K,0))+AZ31),AZ31))</f>
        <v>305</v>
      </c>
      <c r="BB31" s="25">
        <f>IF(ISNUMBER(VLOOKUP($D31,'Visu totale'!$D:$DH,BB$1,0)),BA31-VLOOKUP($D31,'Visu totale'!$D:$DH,BB$1,0),IF(LEFT(VLOOKUP($D31,'Visu totale'!$D:$DH,BB$1,0),1)="V",IF(BA31&gt;=INDEX('[1]Définition Maintenances'!$G:$G,MATCH($A31,'[1]Définition Maintenances'!$K:$K,0)),BA31,INDEX('[1]Définition Maintenances'!$G:$G,MATCH($A31,'[1]Définition Maintenances'!$K:$K,0))+BA31),BA31))</f>
        <v>305</v>
      </c>
      <c r="BC31" s="26">
        <f>IF(ISNUMBER(VLOOKUP($D31,'Visu totale'!$D:$DH,BC$1,0)),BB31-VLOOKUP($D31,'Visu totale'!$D:$DH,BC$1,0),IF(LEFT(VLOOKUP($D31,'Visu totale'!$D:$DH,BC$1,0),1)="V",IF(BB31&gt;=INDEX('[1]Définition Maintenances'!$G:$G,MATCH($A31,'[1]Définition Maintenances'!$K:$K,0)),BB31,INDEX('[1]Définition Maintenances'!$G:$G,MATCH($A31,'[1]Définition Maintenances'!$K:$K,0))+BB31),BB31))</f>
        <v>305</v>
      </c>
      <c r="BD31" s="26">
        <f>IF(ISNUMBER(VLOOKUP($D31,'Visu totale'!$D:$DH,BD$1,0)),BC31-VLOOKUP($D31,'Visu totale'!$D:$DH,BD$1,0),IF(LEFT(VLOOKUP($D31,'Visu totale'!$D:$DH,BD$1,0),1)="V",IF(BC31&gt;=INDEX('[1]Définition Maintenances'!$G:$G,MATCH($A31,'[1]Définition Maintenances'!$K:$K,0)),BC31,INDEX('[1]Définition Maintenances'!$G:$G,MATCH($A31,'[1]Définition Maintenances'!$K:$K,0))+BC31),BC31))</f>
        <v>305</v>
      </c>
      <c r="BE31" s="26">
        <f>IF(ISNUMBER(VLOOKUP($D31,'Visu totale'!$D:$DH,BE$1,0)),BD31-VLOOKUP($D31,'Visu totale'!$D:$DH,BE$1,0),IF(LEFT(VLOOKUP($D31,'Visu totale'!$D:$DH,BE$1,0),1)="V",IF(BD31&gt;=INDEX('[1]Définition Maintenances'!$G:$G,MATCH($A31,'[1]Définition Maintenances'!$K:$K,0)),BD31,INDEX('[1]Définition Maintenances'!$G:$G,MATCH($A31,'[1]Définition Maintenances'!$K:$K,0))+BD31),BD31))</f>
        <v>305</v>
      </c>
      <c r="BF31" s="26">
        <f>IF(ISNUMBER(VLOOKUP($D31,'Visu totale'!$D:$DH,BF$1,0)),BE31-VLOOKUP($D31,'Visu totale'!$D:$DH,BF$1,0),IF(LEFT(VLOOKUP($D31,'Visu totale'!$D:$DH,BF$1,0),1)="V",IF(BE31&gt;=INDEX('[1]Définition Maintenances'!$G:$G,MATCH($A31,'[1]Définition Maintenances'!$K:$K,0)),BE31,INDEX('[1]Définition Maintenances'!$G:$G,MATCH($A31,'[1]Définition Maintenances'!$K:$K,0))+BE31),BE31))</f>
        <v>305</v>
      </c>
      <c r="BG31" s="26">
        <f>IF(ISNUMBER(VLOOKUP($D31,'Visu totale'!$D:$DH,BG$1,0)),BF31-VLOOKUP($D31,'Visu totale'!$D:$DH,BG$1,0),IF(LEFT(VLOOKUP($D31,'Visu totale'!$D:$DH,BG$1,0),1)="V",IF(BF31&gt;=INDEX('[1]Définition Maintenances'!$G:$G,MATCH($A31,'[1]Définition Maintenances'!$K:$K,0)),BF31,INDEX('[1]Définition Maintenances'!$G:$G,MATCH($A31,'[1]Définition Maintenances'!$K:$K,0))+BF31),BF31))</f>
        <v>305</v>
      </c>
      <c r="BH31" s="26">
        <f>IF(ISNUMBER(VLOOKUP($D31,'Visu totale'!$D:$DH,BH$1,0)),BG31-VLOOKUP($D31,'Visu totale'!$D:$DH,BH$1,0),IF(LEFT(VLOOKUP($D31,'Visu totale'!$D:$DH,BH$1,0),1)="V",IF(BG31&gt;=INDEX('[1]Définition Maintenances'!$G:$G,MATCH($A31,'[1]Définition Maintenances'!$K:$K,0)),BG31,INDEX('[1]Définition Maintenances'!$G:$G,MATCH($A31,'[1]Définition Maintenances'!$K:$K,0))+BG31),BG31))</f>
        <v>305</v>
      </c>
      <c r="BI31" s="26">
        <f>IF(ISNUMBER(VLOOKUP($D31,'Visu totale'!$D:$DH,BI$1,0)),BH31-VLOOKUP($D31,'Visu totale'!$D:$DH,BI$1,0),IF(LEFT(VLOOKUP($D31,'Visu totale'!$D:$DH,BI$1,0),1)="V",IF(BH31&gt;=INDEX('[1]Définition Maintenances'!$G:$G,MATCH($A31,'[1]Définition Maintenances'!$K:$K,0)),BH31,INDEX('[1]Définition Maintenances'!$G:$G,MATCH($A31,'[1]Définition Maintenances'!$K:$K,0))+BH31),BH31))</f>
        <v>305</v>
      </c>
      <c r="BJ31" s="26">
        <f>IF(ISNUMBER(VLOOKUP($D31,'Visu totale'!$D:$DH,BJ$1,0)),BI31-VLOOKUP($D31,'Visu totale'!$D:$DH,BJ$1,0),IF(LEFT(VLOOKUP($D31,'Visu totale'!$D:$DH,BJ$1,0),1)="V",IF(BI31&gt;=INDEX('[1]Définition Maintenances'!$G:$G,MATCH($A31,'[1]Définition Maintenances'!$K:$K,0)),BI31,INDEX('[1]Définition Maintenances'!$G:$G,MATCH($A31,'[1]Définition Maintenances'!$K:$K,0))+BI31),BI31))</f>
        <v>305</v>
      </c>
      <c r="BK31" s="26">
        <f>IF(ISNUMBER(VLOOKUP($D31,'Visu totale'!$D:$DH,BK$1,0)),BJ31-VLOOKUP($D31,'Visu totale'!$D:$DH,BK$1,0),IF(LEFT(VLOOKUP($D31,'Visu totale'!$D:$DH,BK$1,0),1)="V",IF(BJ31&gt;=INDEX('[1]Définition Maintenances'!$G:$G,MATCH($A31,'[1]Définition Maintenances'!$K:$K,0)),BJ31,INDEX('[1]Définition Maintenances'!$G:$G,MATCH($A31,'[1]Définition Maintenances'!$K:$K,0))+BJ31),BJ31))</f>
        <v>305</v>
      </c>
      <c r="BL31" s="26">
        <f>IF(ISNUMBER(VLOOKUP($D31,'Visu totale'!$D:$DH,BL$1,0)),BK31-VLOOKUP($D31,'Visu totale'!$D:$DH,BL$1,0),IF(LEFT(VLOOKUP($D31,'Visu totale'!$D:$DH,BL$1,0),1)="V",IF(BK31&gt;=INDEX('[1]Définition Maintenances'!$G:$G,MATCH($A31,'[1]Définition Maintenances'!$K:$K,0)),BK31,INDEX('[1]Définition Maintenances'!$G:$G,MATCH($A31,'[1]Définition Maintenances'!$K:$K,0))+BK31),BK31))</f>
        <v>305</v>
      </c>
      <c r="BM31" s="27">
        <f>IF(ISNUMBER(VLOOKUP($D31,'Visu totale'!$D:$DH,BM$1,0)),BL31-VLOOKUP($D31,'Visu totale'!$D:$DH,BM$1,0),IF(LEFT(VLOOKUP($D31,'Visu totale'!$D:$DH,BM$1,0),1)="V",IF(BL31&gt;=INDEX('[1]Définition Maintenances'!$G:$G,MATCH($A31,'[1]Définition Maintenances'!$K:$K,0)),BL31,INDEX('[1]Définition Maintenances'!$G:$G,MATCH($A31,'[1]Définition Maintenances'!$K:$K,0))+BL31),BL31))</f>
        <v>305</v>
      </c>
      <c r="BN31" s="25">
        <f>IF(ISNUMBER(VLOOKUP($D31,'Visu totale'!$D:$DH,BN$1,0)),BM31-VLOOKUP($D31,'Visu totale'!$D:$DH,BN$1,0),IF(LEFT(VLOOKUP($D31,'Visu totale'!$D:$DH,BN$1,0),1)="V",IF(BM31&gt;=INDEX('[1]Définition Maintenances'!$G:$G,MATCH($A31,'[1]Définition Maintenances'!$K:$K,0)),BM31,INDEX('[1]Définition Maintenances'!$G:$G,MATCH($A31,'[1]Définition Maintenances'!$K:$K,0))+BM31),BM31))</f>
        <v>305</v>
      </c>
      <c r="BO31" s="26">
        <f>IF(ISNUMBER(VLOOKUP($D31,'Visu totale'!$D:$DH,BO$1,0)),BN31-VLOOKUP($D31,'Visu totale'!$D:$DH,BO$1,0),IF(LEFT(VLOOKUP($D31,'Visu totale'!$D:$DH,BO$1,0),1)="V",IF(BN31&gt;=INDEX('[1]Définition Maintenances'!$G:$G,MATCH($A31,'[1]Définition Maintenances'!$K:$K,0)),BN31,INDEX('[1]Définition Maintenances'!$G:$G,MATCH($A31,'[1]Définition Maintenances'!$K:$K,0))+BN31),BN31))</f>
        <v>305</v>
      </c>
      <c r="BP31" s="26">
        <f>IF(ISNUMBER(VLOOKUP($D31,'Visu totale'!$D:$DH,BP$1,0)),BO31-VLOOKUP($D31,'Visu totale'!$D:$DH,BP$1,0),IF(LEFT(VLOOKUP($D31,'Visu totale'!$D:$DH,BP$1,0),1)="V",IF(BO31&gt;=INDEX('[1]Définition Maintenances'!$G:$G,MATCH($A31,'[1]Définition Maintenances'!$K:$K,0)),BO31,INDEX('[1]Définition Maintenances'!$G:$G,MATCH($A31,'[1]Définition Maintenances'!$K:$K,0))+BO31),BO31))</f>
        <v>305</v>
      </c>
      <c r="BQ31" s="26">
        <f>IF(ISNUMBER(VLOOKUP($D31,'Visu totale'!$D:$DH,BQ$1,0)),BP31-VLOOKUP($D31,'Visu totale'!$D:$DH,BQ$1,0),IF(LEFT(VLOOKUP($D31,'Visu totale'!$D:$DH,BQ$1,0),1)="V",IF(BP31&gt;=INDEX('[1]Définition Maintenances'!$G:$G,MATCH($A31,'[1]Définition Maintenances'!$K:$K,0)),BP31,INDEX('[1]Définition Maintenances'!$G:$G,MATCH($A31,'[1]Définition Maintenances'!$K:$K,0))+BP31),BP31))</f>
        <v>305</v>
      </c>
      <c r="BR31" s="26">
        <f>IF(ISNUMBER(VLOOKUP($D31,'Visu totale'!$D:$DH,BR$1,0)),BQ31-VLOOKUP($D31,'Visu totale'!$D:$DH,BR$1,0),IF(LEFT(VLOOKUP($D31,'Visu totale'!$D:$DH,BR$1,0),1)="V",IF(BQ31&gt;=INDEX('[1]Définition Maintenances'!$G:$G,MATCH($A31,'[1]Définition Maintenances'!$K:$K,0)),BQ31,INDEX('[1]Définition Maintenances'!$G:$G,MATCH($A31,'[1]Définition Maintenances'!$K:$K,0))+BQ31),BQ31))</f>
        <v>305</v>
      </c>
      <c r="BS31" s="26">
        <f>IF(ISNUMBER(VLOOKUP($D31,'Visu totale'!$D:$DH,BS$1,0)),BR31-VLOOKUP($D31,'Visu totale'!$D:$DH,BS$1,0),IF(LEFT(VLOOKUP($D31,'Visu totale'!$D:$DH,BS$1,0),1)="V",IF(BR31&gt;=INDEX('[1]Définition Maintenances'!$G:$G,MATCH($A31,'[1]Définition Maintenances'!$K:$K,0)),BR31,INDEX('[1]Définition Maintenances'!$G:$G,MATCH($A31,'[1]Définition Maintenances'!$K:$K,0))+BR31),BR31))</f>
        <v>305</v>
      </c>
      <c r="BT31" s="26">
        <f>IF(ISNUMBER(VLOOKUP($D31,'Visu totale'!$D:$DH,BT$1,0)),BS31-VLOOKUP($D31,'Visu totale'!$D:$DH,BT$1,0),IF(LEFT(VLOOKUP($D31,'Visu totale'!$D:$DH,BT$1,0),1)="V",IF(BS31&gt;=INDEX('[1]Définition Maintenances'!$G:$G,MATCH($A31,'[1]Définition Maintenances'!$K:$K,0)),BS31,INDEX('[1]Définition Maintenances'!$G:$G,MATCH($A31,'[1]Définition Maintenances'!$K:$K,0))+BS31),BS31))</f>
        <v>305</v>
      </c>
      <c r="BU31" s="26">
        <f>IF(ISNUMBER(VLOOKUP($D31,'Visu totale'!$D:$DH,BU$1,0)),BT31-VLOOKUP($D31,'Visu totale'!$D:$DH,BU$1,0),IF(LEFT(VLOOKUP($D31,'Visu totale'!$D:$DH,BU$1,0),1)="V",IF(BT31&gt;=INDEX('[1]Définition Maintenances'!$G:$G,MATCH($A31,'[1]Définition Maintenances'!$K:$K,0)),BT31,INDEX('[1]Définition Maintenances'!$G:$G,MATCH($A31,'[1]Définition Maintenances'!$K:$K,0))+BT31),BT31))</f>
        <v>305</v>
      </c>
      <c r="BV31" s="26">
        <f>IF(ISNUMBER(VLOOKUP($D31,'Visu totale'!$D:$DH,BV$1,0)),BU31-VLOOKUP($D31,'Visu totale'!$D:$DH,BV$1,0),IF(LEFT(VLOOKUP($D31,'Visu totale'!$D:$DH,BV$1,0),1)="V",IF(BU31&gt;=INDEX('[1]Définition Maintenances'!$G:$G,MATCH($A31,'[1]Définition Maintenances'!$K:$K,0)),BU31,INDEX('[1]Définition Maintenances'!$G:$G,MATCH($A31,'[1]Définition Maintenances'!$K:$K,0))+BU31),BU31))</f>
        <v>305</v>
      </c>
      <c r="BW31" s="26">
        <f>IF(ISNUMBER(VLOOKUP($D31,'Visu totale'!$D:$DH,BW$1,0)),BV31-VLOOKUP($D31,'Visu totale'!$D:$DH,BW$1,0),IF(LEFT(VLOOKUP($D31,'Visu totale'!$D:$DH,BW$1,0),1)="V",IF(BV31&gt;=INDEX('[1]Définition Maintenances'!$G:$G,MATCH($A31,'[1]Définition Maintenances'!$K:$K,0)),BV31,INDEX('[1]Définition Maintenances'!$G:$G,MATCH($A31,'[1]Définition Maintenances'!$K:$K,0))+BV31),BV31))</f>
        <v>305</v>
      </c>
      <c r="BX31" s="26">
        <f>IF(ISNUMBER(VLOOKUP($D31,'Visu totale'!$D:$DH,BX$1,0)),BW31-VLOOKUP($D31,'Visu totale'!$D:$DH,BX$1,0),IF(LEFT(VLOOKUP($D31,'Visu totale'!$D:$DH,BX$1,0),1)="V",IF(BW31&gt;=INDEX('[1]Définition Maintenances'!$G:$G,MATCH($A31,'[1]Définition Maintenances'!$K:$K,0)),BW31,INDEX('[1]Définition Maintenances'!$G:$G,MATCH($A31,'[1]Définition Maintenances'!$K:$K,0))+BW31),BW31))</f>
        <v>305</v>
      </c>
      <c r="BY31" s="27">
        <f>IF(ISNUMBER(VLOOKUP($D31,'Visu totale'!$D:$DH,BY$1,0)),BX31-VLOOKUP($D31,'Visu totale'!$D:$DH,BY$1,0),IF(LEFT(VLOOKUP($D31,'Visu totale'!$D:$DH,BY$1,0),1)="V",IF(BX31&gt;=INDEX('[1]Définition Maintenances'!$G:$G,MATCH($A31,'[1]Définition Maintenances'!$K:$K,0)),BX31,INDEX('[1]Définition Maintenances'!$G:$G,MATCH($A31,'[1]Définition Maintenances'!$K:$K,0))+BX31),BX31))</f>
        <v>305</v>
      </c>
      <c r="BZ31" s="25">
        <f>IF(ISNUMBER(VLOOKUP($D31,'Visu totale'!$D:$DH,BZ$1,0)),BY31-VLOOKUP($D31,'Visu totale'!$D:$DH,BZ$1,0),IF(LEFT(VLOOKUP($D31,'Visu totale'!$D:$DH,BZ$1,0),1)="V",IF(BY31&gt;=INDEX('[1]Définition Maintenances'!$G:$G,MATCH($A31,'[1]Définition Maintenances'!$K:$K,0)),BY31,INDEX('[1]Définition Maintenances'!$G:$G,MATCH($A31,'[1]Définition Maintenances'!$K:$K,0))+BY31),BY31))</f>
        <v>305</v>
      </c>
      <c r="CA31" s="26">
        <f>IF(ISNUMBER(VLOOKUP($D31,'Visu totale'!$D:$DH,CA$1,0)),BZ31-VLOOKUP($D31,'Visu totale'!$D:$DH,CA$1,0),IF(LEFT(VLOOKUP($D31,'Visu totale'!$D:$DH,CA$1,0),1)="V",IF(BZ31&gt;=INDEX('[1]Définition Maintenances'!$G:$G,MATCH($A31,'[1]Définition Maintenances'!$K:$K,0)),BZ31,INDEX('[1]Définition Maintenances'!$G:$G,MATCH($A31,'[1]Définition Maintenances'!$K:$K,0))+BZ31),BZ31))</f>
        <v>305</v>
      </c>
      <c r="CB31" s="26">
        <f>IF(ISNUMBER(VLOOKUP($D31,'Visu totale'!$D:$DH,CB$1,0)),CA31-VLOOKUP($D31,'Visu totale'!$D:$DH,CB$1,0),IF(LEFT(VLOOKUP($D31,'Visu totale'!$D:$DH,CB$1,0),1)="V",IF(CA31&gt;=INDEX('[1]Définition Maintenances'!$G:$G,MATCH($A31,'[1]Définition Maintenances'!$K:$K,0)),CA31,INDEX('[1]Définition Maintenances'!$G:$G,MATCH($A31,'[1]Définition Maintenances'!$K:$K,0))+CA31),CA31))</f>
        <v>305</v>
      </c>
      <c r="CC31" s="26">
        <f>IF(ISNUMBER(VLOOKUP($D31,'Visu totale'!$D:$DH,CC$1,0)),CB31-VLOOKUP($D31,'Visu totale'!$D:$DH,CC$1,0),IF(LEFT(VLOOKUP($D31,'Visu totale'!$D:$DH,CC$1,0),1)="V",IF(CB31&gt;=INDEX('[1]Définition Maintenances'!$G:$G,MATCH($A31,'[1]Définition Maintenances'!$K:$K,0)),CB31,INDEX('[1]Définition Maintenances'!$G:$G,MATCH($A31,'[1]Définition Maintenances'!$K:$K,0))+CB31),CB31))</f>
        <v>305</v>
      </c>
      <c r="CD31" s="26">
        <f>IF(ISNUMBER(VLOOKUP($D31,'Visu totale'!$D:$DH,CD$1,0)),CC31-VLOOKUP($D31,'Visu totale'!$D:$DH,CD$1,0),IF(LEFT(VLOOKUP($D31,'Visu totale'!$D:$DH,CD$1,0),1)="V",IF(CC31&gt;=INDEX('[1]Définition Maintenances'!$G:$G,MATCH($A31,'[1]Définition Maintenances'!$K:$K,0)),CC31,INDEX('[1]Définition Maintenances'!$G:$G,MATCH($A31,'[1]Définition Maintenances'!$K:$K,0))+CC31),CC31))</f>
        <v>305</v>
      </c>
      <c r="CE31" s="26">
        <f>IF(ISNUMBER(VLOOKUP($D31,'Visu totale'!$D:$DH,CE$1,0)),CD31-VLOOKUP($D31,'Visu totale'!$D:$DH,CE$1,0),IF(LEFT(VLOOKUP($D31,'Visu totale'!$D:$DH,CE$1,0),1)="V",IF(CD31&gt;=INDEX('[1]Définition Maintenances'!$G:$G,MATCH($A31,'[1]Définition Maintenances'!$K:$K,0)),CD31,INDEX('[1]Définition Maintenances'!$G:$G,MATCH($A31,'[1]Définition Maintenances'!$K:$K,0))+CD31),CD31))</f>
        <v>305</v>
      </c>
      <c r="CF31" s="26">
        <f>IF(ISNUMBER(VLOOKUP($D31,'Visu totale'!$D:$DH,CF$1,0)),CE31-VLOOKUP($D31,'Visu totale'!$D:$DH,CF$1,0),IF(LEFT(VLOOKUP($D31,'Visu totale'!$D:$DH,CF$1,0),1)="V",IF(CE31&gt;=INDEX('[1]Définition Maintenances'!$G:$G,MATCH($A31,'[1]Définition Maintenances'!$K:$K,0)),CE31,INDEX('[1]Définition Maintenances'!$G:$G,MATCH($A31,'[1]Définition Maintenances'!$K:$K,0))+CE31),CE31))</f>
        <v>305</v>
      </c>
      <c r="CG31" s="26">
        <f>IF(ISNUMBER(VLOOKUP($D31,'Visu totale'!$D:$DH,CG$1,0)),CF31-VLOOKUP($D31,'Visu totale'!$D:$DH,CG$1,0),IF(LEFT(VLOOKUP($D31,'Visu totale'!$D:$DH,CG$1,0),1)="V",IF(CF31&gt;=INDEX('[1]Définition Maintenances'!$G:$G,MATCH($A31,'[1]Définition Maintenances'!$K:$K,0)),CF31,INDEX('[1]Définition Maintenances'!$G:$G,MATCH($A31,'[1]Définition Maintenances'!$K:$K,0))+CF31),CF31))</f>
        <v>305</v>
      </c>
      <c r="CH31" s="26">
        <f>IF(ISNUMBER(VLOOKUP($D31,'Visu totale'!$D:$DH,CH$1,0)),CG31-VLOOKUP($D31,'Visu totale'!$D:$DH,CH$1,0),IF(LEFT(VLOOKUP($D31,'Visu totale'!$D:$DH,CH$1,0),1)="V",IF(CG31&gt;=INDEX('[1]Définition Maintenances'!$G:$G,MATCH($A31,'[1]Définition Maintenances'!$K:$K,0)),CG31,INDEX('[1]Définition Maintenances'!$G:$G,MATCH($A31,'[1]Définition Maintenances'!$K:$K,0))+CG31),CG31))</f>
        <v>305</v>
      </c>
      <c r="CI31" s="26">
        <f>IF(ISNUMBER(VLOOKUP($D31,'Visu totale'!$D:$DH,CI$1,0)),CH31-VLOOKUP($D31,'Visu totale'!$D:$DH,CI$1,0),IF(LEFT(VLOOKUP($D31,'Visu totale'!$D:$DH,CI$1,0),1)="V",IF(CH31&gt;=INDEX('[1]Définition Maintenances'!$G:$G,MATCH($A31,'[1]Définition Maintenances'!$K:$K,0)),CH31,INDEX('[1]Définition Maintenances'!$G:$G,MATCH($A31,'[1]Définition Maintenances'!$K:$K,0))+CH31),CH31))</f>
        <v>305</v>
      </c>
      <c r="CJ31" s="26">
        <f>IF(ISNUMBER(VLOOKUP($D31,'Visu totale'!$D:$DH,CJ$1,0)),CI31-VLOOKUP($D31,'Visu totale'!$D:$DH,CJ$1,0),IF(LEFT(VLOOKUP($D31,'Visu totale'!$D:$DH,CJ$1,0),1)="V",IF(CI31&gt;=INDEX('[1]Définition Maintenances'!$G:$G,MATCH($A31,'[1]Définition Maintenances'!$K:$K,0)),CI31,INDEX('[1]Définition Maintenances'!$G:$G,MATCH($A31,'[1]Définition Maintenances'!$K:$K,0))+CI31),CI31))</f>
        <v>305</v>
      </c>
      <c r="CK31" s="27">
        <f>IF(ISNUMBER(VLOOKUP($D31,'Visu totale'!$D:$DH,CK$1,0)),CJ31-VLOOKUP($D31,'Visu totale'!$D:$DH,CK$1,0),IF(LEFT(VLOOKUP($D31,'Visu totale'!$D:$DH,CK$1,0),1)="V",IF(CJ31&gt;=INDEX('[1]Définition Maintenances'!$G:$G,MATCH($A31,'[1]Définition Maintenances'!$K:$K,0)),CJ31,INDEX('[1]Définition Maintenances'!$G:$G,MATCH($A31,'[1]Définition Maintenances'!$K:$K,0))+CJ31),CJ31))</f>
        <v>305</v>
      </c>
      <c r="CL31" s="25">
        <f>IF(ISNUMBER(VLOOKUP($D31,'Visu totale'!$D:$DH,CL$1,0)),CK31-VLOOKUP($D31,'Visu totale'!$D:$DH,CL$1,0),IF(LEFT(VLOOKUP($D31,'Visu totale'!$D:$DH,CL$1,0),1)="V",IF(CK31&gt;=INDEX('[1]Définition Maintenances'!$G:$G,MATCH($A31,'[1]Définition Maintenances'!$K:$K,0)),CK31,INDEX('[1]Définition Maintenances'!$G:$G,MATCH($A31,'[1]Définition Maintenances'!$K:$K,0))+CK31),CK31))</f>
        <v>305</v>
      </c>
      <c r="CM31" s="26">
        <f>IF(ISNUMBER(VLOOKUP($D31,'Visu totale'!$D:$DH,CM$1,0)),CL31-VLOOKUP($D31,'Visu totale'!$D:$DH,CM$1,0),IF(LEFT(VLOOKUP($D31,'Visu totale'!$D:$DH,CM$1,0),1)="V",IF(CL31&gt;=INDEX('[1]Définition Maintenances'!$G:$G,MATCH($A31,'[1]Définition Maintenances'!$K:$K,0)),CL31,INDEX('[1]Définition Maintenances'!$G:$G,MATCH($A31,'[1]Définition Maintenances'!$K:$K,0))+CL31),CL31))</f>
        <v>305</v>
      </c>
      <c r="CN31" s="26">
        <f>IF(ISNUMBER(VLOOKUP($D31,'Visu totale'!$D:$DH,CN$1,0)),CM31-VLOOKUP($D31,'Visu totale'!$D:$DH,CN$1,0),IF(LEFT(VLOOKUP($D31,'Visu totale'!$D:$DH,CN$1,0),1)="V",IF(CM31&gt;=INDEX('[1]Définition Maintenances'!$G:$G,MATCH($A31,'[1]Définition Maintenances'!$K:$K,0)),CM31,INDEX('[1]Définition Maintenances'!$G:$G,MATCH($A31,'[1]Définition Maintenances'!$K:$K,0))+CM31),CM31))</f>
        <v>305</v>
      </c>
      <c r="CO31" s="26">
        <f>IF(ISNUMBER(VLOOKUP($D31,'Visu totale'!$D:$DH,CO$1,0)),CN31-VLOOKUP($D31,'Visu totale'!$D:$DH,CO$1,0),IF(LEFT(VLOOKUP($D31,'Visu totale'!$D:$DH,CO$1,0),1)="V",IF(CN31&gt;=INDEX('[1]Définition Maintenances'!$G:$G,MATCH($A31,'[1]Définition Maintenances'!$K:$K,0)),CN31,INDEX('[1]Définition Maintenances'!$G:$G,MATCH($A31,'[1]Définition Maintenances'!$K:$K,0))+CN31),CN31))</f>
        <v>305</v>
      </c>
      <c r="CP31" s="26">
        <f>IF(ISNUMBER(VLOOKUP($D31,'Visu totale'!$D:$DH,CP$1,0)),CO31-VLOOKUP($D31,'Visu totale'!$D:$DH,CP$1,0),IF(LEFT(VLOOKUP($D31,'Visu totale'!$D:$DH,CP$1,0),1)="V",IF(CO31&gt;=INDEX('[1]Définition Maintenances'!$G:$G,MATCH($A31,'[1]Définition Maintenances'!$K:$K,0)),CO31,INDEX('[1]Définition Maintenances'!$G:$G,MATCH($A31,'[1]Définition Maintenances'!$K:$K,0))+CO31),CO31))</f>
        <v>305</v>
      </c>
      <c r="CQ31" s="26">
        <f>IF(ISNUMBER(VLOOKUP($D31,'Visu totale'!$D:$DH,CQ$1,0)),CP31-VLOOKUP($D31,'Visu totale'!$D:$DH,CQ$1,0),IF(LEFT(VLOOKUP($D31,'Visu totale'!$D:$DH,CQ$1,0),1)="V",IF(CP31&gt;=INDEX('[1]Définition Maintenances'!$G:$G,MATCH($A31,'[1]Définition Maintenances'!$K:$K,0)),CP31,INDEX('[1]Définition Maintenances'!$G:$G,MATCH($A31,'[1]Définition Maintenances'!$K:$K,0))+CP31),CP31))</f>
        <v>305</v>
      </c>
      <c r="CR31" s="26">
        <f>IF(ISNUMBER(VLOOKUP($D31,'Visu totale'!$D:$DH,CR$1,0)),CQ31-VLOOKUP($D31,'Visu totale'!$D:$DH,CR$1,0),IF(LEFT(VLOOKUP($D31,'Visu totale'!$D:$DH,CR$1,0),1)="V",IF(CQ31&gt;=INDEX('[1]Définition Maintenances'!$G:$G,MATCH($A31,'[1]Définition Maintenances'!$K:$K,0)),CQ31,INDEX('[1]Définition Maintenances'!$G:$G,MATCH($A31,'[1]Définition Maintenances'!$K:$K,0))+CQ31),CQ31))</f>
        <v>305</v>
      </c>
      <c r="CS31" s="26">
        <f>IF(ISNUMBER(VLOOKUP($D31,'Visu totale'!$D:$DH,CS$1,0)),CR31-VLOOKUP($D31,'Visu totale'!$D:$DH,CS$1,0),IF(LEFT(VLOOKUP($D31,'Visu totale'!$D:$DH,CS$1,0),1)="V",IF(CR31&gt;=INDEX('[1]Définition Maintenances'!$G:$G,MATCH($A31,'[1]Définition Maintenances'!$K:$K,0)),CR31,INDEX('[1]Définition Maintenances'!$G:$G,MATCH($A31,'[1]Définition Maintenances'!$K:$K,0))+CR31),CR31))</f>
        <v>305</v>
      </c>
      <c r="CT31" s="26">
        <f>IF(ISNUMBER(VLOOKUP($D31,'Visu totale'!$D:$DH,CT$1,0)),CS31-VLOOKUP($D31,'Visu totale'!$D:$DH,CT$1,0),IF(LEFT(VLOOKUP($D31,'Visu totale'!$D:$DH,CT$1,0),1)="V",IF(CS31&gt;=INDEX('[1]Définition Maintenances'!$G:$G,MATCH($A31,'[1]Définition Maintenances'!$K:$K,0)),CS31,INDEX('[1]Définition Maintenances'!$G:$G,MATCH($A31,'[1]Définition Maintenances'!$K:$K,0))+CS31),CS31))</f>
        <v>305</v>
      </c>
      <c r="CU31" s="26">
        <f>IF(ISNUMBER(VLOOKUP($D31,'Visu totale'!$D:$DH,CU$1,0)),CT31-VLOOKUP($D31,'Visu totale'!$D:$DH,CU$1,0),IF(LEFT(VLOOKUP($D31,'Visu totale'!$D:$DH,CU$1,0),1)="V",IF(CT31&gt;=INDEX('[1]Définition Maintenances'!$G:$G,MATCH($A31,'[1]Définition Maintenances'!$K:$K,0)),CT31,INDEX('[1]Définition Maintenances'!$G:$G,MATCH($A31,'[1]Définition Maintenances'!$K:$K,0))+CT31),CT31))</f>
        <v>305</v>
      </c>
      <c r="CV31" s="26">
        <f>IF(ISNUMBER(VLOOKUP($D31,'Visu totale'!$D:$DH,CV$1,0)),CU31-VLOOKUP($D31,'Visu totale'!$D:$DH,CV$1,0),IF(LEFT(VLOOKUP($D31,'Visu totale'!$D:$DH,CV$1,0),1)="V",IF(CU31&gt;=INDEX('[1]Définition Maintenances'!$G:$G,MATCH($A31,'[1]Définition Maintenances'!$K:$K,0)),CU31,INDEX('[1]Définition Maintenances'!$G:$G,MATCH($A31,'[1]Définition Maintenances'!$K:$K,0))+CU31),CU31))</f>
        <v>305</v>
      </c>
      <c r="CW31" s="27">
        <f>IF(ISNUMBER(VLOOKUP($D31,'Visu totale'!$D:$DH,CW$1,0)),CV31-VLOOKUP($D31,'Visu totale'!$D:$DH,CW$1,0),IF(LEFT(VLOOKUP($D31,'Visu totale'!$D:$DH,CW$1,0),1)="V",IF(CV31&gt;=INDEX('[1]Définition Maintenances'!$G:$G,MATCH($A31,'[1]Définition Maintenances'!$K:$K,0)),CV31,INDEX('[1]Définition Maintenances'!$G:$G,MATCH($A31,'[1]Définition Maintenances'!$K:$K,0))+CV31),CV31))</f>
        <v>305</v>
      </c>
      <c r="CX31" s="25">
        <f>IF(ISNUMBER(VLOOKUP($D31,'Visu totale'!$D:$DH,CX$1,0)),CW31-VLOOKUP($D31,'Visu totale'!$D:$DH,CX$1,0),IF(LEFT(VLOOKUP($D31,'Visu totale'!$D:$DH,CX$1,0),1)="V",IF(CW31&gt;=INDEX('[1]Définition Maintenances'!$G:$G,MATCH($A31,'[1]Définition Maintenances'!$K:$K,0)),CW31,INDEX('[1]Définition Maintenances'!$G:$G,MATCH($A31,'[1]Définition Maintenances'!$K:$K,0))+CW31),CW31))</f>
        <v>305</v>
      </c>
      <c r="CY31" s="26">
        <f>IF(ISNUMBER(VLOOKUP($D31,'Visu totale'!$D:$DH,CY$1,0)),CX31-VLOOKUP($D31,'Visu totale'!$D:$DH,CY$1,0),IF(LEFT(VLOOKUP($D31,'Visu totale'!$D:$DH,CY$1,0),1)="V",IF(CX31&gt;=INDEX('[1]Définition Maintenances'!$G:$G,MATCH($A31,'[1]Définition Maintenances'!$K:$K,0)),CX31,INDEX('[1]Définition Maintenances'!$G:$G,MATCH($A31,'[1]Définition Maintenances'!$K:$K,0))+CX31),CX31))</f>
        <v>305</v>
      </c>
      <c r="CZ31" s="26">
        <f>IF(ISNUMBER(VLOOKUP($D31,'Visu totale'!$D:$DH,CZ$1,0)),CY31-VLOOKUP($D31,'Visu totale'!$D:$DH,CZ$1,0),IF(LEFT(VLOOKUP($D31,'Visu totale'!$D:$DH,CZ$1,0),1)="V",IF(CY31&gt;=INDEX('[1]Définition Maintenances'!$G:$G,MATCH($A31,'[1]Définition Maintenances'!$K:$K,0)),CY31,INDEX('[1]Définition Maintenances'!$G:$G,MATCH($A31,'[1]Définition Maintenances'!$K:$K,0))+CY31),CY31))</f>
        <v>305</v>
      </c>
      <c r="DA31" s="26">
        <f>IF(ISNUMBER(VLOOKUP($D31,'Visu totale'!$D:$DH,DA$1,0)),CZ31-VLOOKUP($D31,'Visu totale'!$D:$DH,DA$1,0),IF(LEFT(VLOOKUP($D31,'Visu totale'!$D:$DH,DA$1,0),1)="V",IF(CZ31&gt;=INDEX('[1]Définition Maintenances'!$G:$G,MATCH($A31,'[1]Définition Maintenances'!$K:$K,0)),CZ31,INDEX('[1]Définition Maintenances'!$G:$G,MATCH($A31,'[1]Définition Maintenances'!$K:$K,0))+CZ31),CZ31))</f>
        <v>305</v>
      </c>
      <c r="DB31" s="26">
        <f>IF(ISNUMBER(VLOOKUP($D31,'Visu totale'!$D:$DH,DB$1,0)),DA31-VLOOKUP($D31,'Visu totale'!$D:$DH,DB$1,0),IF(LEFT(VLOOKUP($D31,'Visu totale'!$D:$DH,DB$1,0),1)="V",IF(DA31&gt;=INDEX('[1]Définition Maintenances'!$G:$G,MATCH($A31,'[1]Définition Maintenances'!$K:$K,0)),DA31,INDEX('[1]Définition Maintenances'!$G:$G,MATCH($A31,'[1]Définition Maintenances'!$K:$K,0))+DA31),DA31))</f>
        <v>305</v>
      </c>
      <c r="DC31" s="26">
        <f>IF(ISNUMBER(VLOOKUP($D31,'Visu totale'!$D:$DH,DC$1,0)),DB31-VLOOKUP($D31,'Visu totale'!$D:$DH,DC$1,0),IF(LEFT(VLOOKUP($D31,'Visu totale'!$D:$DH,DC$1,0),1)="V",IF(DB31&gt;=INDEX('[1]Définition Maintenances'!$G:$G,MATCH($A31,'[1]Définition Maintenances'!$K:$K,0)),DB31,INDEX('[1]Définition Maintenances'!$G:$G,MATCH($A31,'[1]Définition Maintenances'!$K:$K,0))+DB31),DB31))</f>
        <v>305</v>
      </c>
      <c r="DD31" s="26">
        <f>IF(ISNUMBER(VLOOKUP($D31,'Visu totale'!$D:$DH,DD$1,0)),DC31-VLOOKUP($D31,'Visu totale'!$D:$DH,DD$1,0),IF(LEFT(VLOOKUP($D31,'Visu totale'!$D:$DH,DD$1,0),1)="V",IF(DC31&gt;=INDEX('[1]Définition Maintenances'!$G:$G,MATCH($A31,'[1]Définition Maintenances'!$K:$K,0)),DC31,INDEX('[1]Définition Maintenances'!$G:$G,MATCH($A31,'[1]Définition Maintenances'!$K:$K,0))+DC31),DC31))</f>
        <v>305</v>
      </c>
      <c r="DE31" s="26">
        <f>IF(ISNUMBER(VLOOKUP($D31,'Visu totale'!$D:$DH,DE$1,0)),DD31-VLOOKUP($D31,'Visu totale'!$D:$DH,DE$1,0),IF(LEFT(VLOOKUP($D31,'Visu totale'!$D:$DH,DE$1,0),1)="V",IF(DD31&gt;=INDEX('[1]Définition Maintenances'!$G:$G,MATCH($A31,'[1]Définition Maintenances'!$K:$K,0)),DD31,INDEX('[1]Définition Maintenances'!$G:$G,MATCH($A31,'[1]Définition Maintenances'!$K:$K,0))+DD31),DD31))</f>
        <v>305</v>
      </c>
      <c r="DF31" s="26">
        <f>IF(ISNUMBER(VLOOKUP($D31,'Visu totale'!$D:$DH,DF$1,0)),DE31-VLOOKUP($D31,'Visu totale'!$D:$DH,DF$1,0),IF(LEFT(VLOOKUP($D31,'Visu totale'!$D:$DH,DF$1,0),1)="V",IF(DE31&gt;=INDEX('[1]Définition Maintenances'!$G:$G,MATCH($A31,'[1]Définition Maintenances'!$K:$K,0)),DE31,INDEX('[1]Définition Maintenances'!$G:$G,MATCH($A31,'[1]Définition Maintenances'!$K:$K,0))+DE31),DE31))</f>
        <v>305</v>
      </c>
      <c r="DG31" s="26">
        <f>IF(ISNUMBER(VLOOKUP($D31,'Visu totale'!$D:$DH,DG$1,0)),DF31-VLOOKUP($D31,'Visu totale'!$D:$DH,DG$1,0),IF(LEFT(VLOOKUP($D31,'Visu totale'!$D:$DH,DG$1,0),1)="V",IF(DF31&gt;=INDEX('[1]Définition Maintenances'!$G:$G,MATCH($A31,'[1]Définition Maintenances'!$K:$K,0)),DF31,INDEX('[1]Définition Maintenances'!$G:$G,MATCH($A31,'[1]Définition Maintenances'!$K:$K,0))+DF31),DF31))</f>
        <v>305</v>
      </c>
      <c r="DH31" s="26">
        <f>IF(ISNUMBER(VLOOKUP($D31,'Visu totale'!$D:$DH,DH$1,0)),DG31-VLOOKUP($D31,'Visu totale'!$D:$DH,DH$1,0),IF(LEFT(VLOOKUP($D31,'Visu totale'!$D:$DH,DH$1,0),1)="V",IF(DG31&gt;=INDEX('[1]Définition Maintenances'!$G:$G,MATCH($A31,'[1]Définition Maintenances'!$K:$K,0)),DG31,INDEX('[1]Définition Maintenances'!$G:$G,MATCH($A31,'[1]Définition Maintenances'!$K:$K,0))+DG31),DG31))</f>
        <v>305</v>
      </c>
      <c r="DI31" s="27">
        <f>IF(ISNUMBER(VLOOKUP($D31,'Visu totale'!$D:$DH,DI$1,0)),DH31-VLOOKUP($D31,'Visu totale'!$D:$DH,DI$1,0),IF(LEFT(VLOOKUP($D31,'Visu totale'!$D:$DH,DI$1,0),1)="V",IF(DH31&gt;=INDEX('[1]Définition Maintenances'!$G:$G,MATCH($A31,'[1]Définition Maintenances'!$K:$K,0)),DH31,INDEX('[1]Définition Maintenances'!$G:$G,MATCH($A31,'[1]Définition Maintenances'!$K:$K,0))+DH31),DH31))</f>
        <v>305</v>
      </c>
    </row>
    <row r="32" spans="1:113" x14ac:dyDescent="0.25">
      <c r="A32" s="13" t="str">
        <f t="shared" si="0"/>
        <v>V10D</v>
      </c>
      <c r="B32" s="13" t="str">
        <f>VLOOKUP(D32,'[1]Avions (Potentiels)'!$B$2:$H$128,7,FALSE)</f>
        <v>V10</v>
      </c>
      <c r="C32" s="13"/>
      <c r="D32" s="16" t="s">
        <v>35</v>
      </c>
      <c r="E32" s="13">
        <f>IFERROR(VALUE(SUBSTITUTE(VLOOKUP(D32,'[1]Avions (Potentiels)'!$B:$E,4,0),".",",")),VALUE(VLOOKUP(D32,'[1]Avions (Potentiels)'!$B:$E,4,0)))</f>
        <v>412</v>
      </c>
      <c r="F32" s="25">
        <f>IF(ISNUMBER(VLOOKUP($D32,'Visu totale'!$D:$DH,F$1,0)),E32-VLOOKUP($D32,'Visu totale'!$D:$DH,F$1,0),IF(LEFT(VLOOKUP($D32,'Visu totale'!$D:$DH,F$1,0),1)="V",IF(E32&gt;=INDEX('[1]Définition Maintenances'!$G:$G,MATCH($A32,'[1]Définition Maintenances'!$K:$K,0)),E32,INDEX('[1]Définition Maintenances'!$G:$G,MATCH($A32,'[1]Définition Maintenances'!$K:$K,0))+E32),E32))</f>
        <v>412</v>
      </c>
      <c r="G32" s="26">
        <f>IF(ISNUMBER(VLOOKUP($D32,'Visu totale'!$D:$DH,G$1,0)),F32-VLOOKUP($D32,'Visu totale'!$D:$DH,G$1,0),IF(LEFT(VLOOKUP($D32,'Visu totale'!$D:$DH,G$1,0),1)="V",IF(F32&gt;=INDEX('[1]Définition Maintenances'!$G:$G,MATCH($A32,'[1]Définition Maintenances'!$K:$K,0)),F32,INDEX('[1]Définition Maintenances'!$G:$G,MATCH($A32,'[1]Définition Maintenances'!$K:$K,0))+F32),F32))</f>
        <v>412</v>
      </c>
      <c r="H32" s="26">
        <f>IF(ISNUMBER(VLOOKUP($D32,'Visu totale'!$D:$DH,H$1,0)),G32-VLOOKUP($D32,'Visu totale'!$D:$DH,H$1,0),IF(LEFT(VLOOKUP($D32,'Visu totale'!$D:$DH,H$1,0),1)="V",IF(G32&gt;=INDEX('[1]Définition Maintenances'!$G:$G,MATCH($A32,'[1]Définition Maintenances'!$K:$K,0)),G32,INDEX('[1]Définition Maintenances'!$G:$G,MATCH($A32,'[1]Définition Maintenances'!$K:$K,0))+G32),G32))</f>
        <v>412</v>
      </c>
      <c r="I32" s="26">
        <f>IF(ISNUMBER(VLOOKUP($D32,'Visu totale'!$D:$DH,I$1,0)),H32-VLOOKUP($D32,'Visu totale'!$D:$DH,I$1,0),IF(LEFT(VLOOKUP($D32,'Visu totale'!$D:$DH,I$1,0),1)="V",IF(H32&gt;=INDEX('[1]Définition Maintenances'!$G:$G,MATCH($A32,'[1]Définition Maintenances'!$K:$K,0)),H32,INDEX('[1]Définition Maintenances'!$G:$G,MATCH($A32,'[1]Définition Maintenances'!$K:$K,0))+H32),H32))</f>
        <v>412</v>
      </c>
      <c r="J32" s="26">
        <f>IF(ISNUMBER(VLOOKUP($D32,'Visu totale'!$D:$DH,J$1,0)),I32-VLOOKUP($D32,'Visu totale'!$D:$DH,J$1,0),IF(LEFT(VLOOKUP($D32,'Visu totale'!$D:$DH,J$1,0),1)="V",IF(I32&gt;=INDEX('[1]Définition Maintenances'!$G:$G,MATCH($A32,'[1]Définition Maintenances'!$K:$K,0)),I32,INDEX('[1]Définition Maintenances'!$G:$G,MATCH($A32,'[1]Définition Maintenances'!$K:$K,0))+I32),I32))</f>
        <v>412</v>
      </c>
      <c r="K32" s="26">
        <f>IF(ISNUMBER(VLOOKUP($D32,'Visu totale'!$D:$DH,K$1,0)),J32-VLOOKUP($D32,'Visu totale'!$D:$DH,K$1,0),IF(LEFT(VLOOKUP($D32,'Visu totale'!$D:$DH,K$1,0),1)="V",IF(J32&gt;=INDEX('[1]Définition Maintenances'!$G:$G,MATCH($A32,'[1]Définition Maintenances'!$K:$K,0)),J32,INDEX('[1]Définition Maintenances'!$G:$G,MATCH($A32,'[1]Définition Maintenances'!$K:$K,0))+J32),J32))</f>
        <v>412</v>
      </c>
      <c r="L32" s="26">
        <f>IF(ISNUMBER(VLOOKUP($D32,'Visu totale'!$D:$DH,L$1,0)),K32-VLOOKUP($D32,'Visu totale'!$D:$DH,L$1,0),IF(LEFT(VLOOKUP($D32,'Visu totale'!$D:$DH,L$1,0),1)="V",IF(K32&gt;=INDEX('[1]Définition Maintenances'!$G:$G,MATCH($A32,'[1]Définition Maintenances'!$K:$K,0)),K32,INDEX('[1]Définition Maintenances'!$G:$G,MATCH($A32,'[1]Définition Maintenances'!$K:$K,0))+K32),K32))</f>
        <v>412</v>
      </c>
      <c r="M32" s="26">
        <f>IF(ISNUMBER(VLOOKUP($D32,'Visu totale'!$D:$DH,M$1,0)),L32-VLOOKUP($D32,'Visu totale'!$D:$DH,M$1,0),IF(LEFT(VLOOKUP($D32,'Visu totale'!$D:$DH,M$1,0),1)="V",IF(L32&gt;=INDEX('[1]Définition Maintenances'!$G:$G,MATCH($A32,'[1]Définition Maintenances'!$K:$K,0)),L32,INDEX('[1]Définition Maintenances'!$G:$G,MATCH($A32,'[1]Définition Maintenances'!$K:$K,0))+L32),L32))</f>
        <v>412</v>
      </c>
      <c r="N32" s="26">
        <f>IF(ISNUMBER(VLOOKUP($D32,'Visu totale'!$D:$DH,N$1,0)),M32-VLOOKUP($D32,'Visu totale'!$D:$DH,N$1,0),IF(LEFT(VLOOKUP($D32,'Visu totale'!$D:$DH,N$1,0),1)="V",IF(M32&gt;=INDEX('[1]Définition Maintenances'!$G:$G,MATCH($A32,'[1]Définition Maintenances'!$K:$K,0)),M32,INDEX('[1]Définition Maintenances'!$G:$G,MATCH($A32,'[1]Définition Maintenances'!$K:$K,0))+M32),M32))</f>
        <v>412</v>
      </c>
      <c r="O32" s="26">
        <f>IF(ISNUMBER(VLOOKUP($D32,'Visu totale'!$D:$DH,O$1,0)),N32-VLOOKUP($D32,'Visu totale'!$D:$DH,O$1,0),IF(LEFT(VLOOKUP($D32,'Visu totale'!$D:$DH,O$1,0),1)="V",IF(N32&gt;=INDEX('[1]Définition Maintenances'!$G:$G,MATCH($A32,'[1]Définition Maintenances'!$K:$K,0)),N32,INDEX('[1]Définition Maintenances'!$G:$G,MATCH($A32,'[1]Définition Maintenances'!$K:$K,0))+N32),N32))</f>
        <v>412</v>
      </c>
      <c r="P32" s="26">
        <f>IF(ISNUMBER(VLOOKUP($D32,'Visu totale'!$D:$DH,P$1,0)),O32-VLOOKUP($D32,'Visu totale'!$D:$DH,P$1,0),IF(LEFT(VLOOKUP($D32,'Visu totale'!$D:$DH,P$1,0),1)="V",IF(O32&gt;=INDEX('[1]Définition Maintenances'!$G:$G,MATCH($A32,'[1]Définition Maintenances'!$K:$K,0)),O32,INDEX('[1]Définition Maintenances'!$G:$G,MATCH($A32,'[1]Définition Maintenances'!$K:$K,0))+O32),O32))</f>
        <v>412</v>
      </c>
      <c r="Q32" s="27">
        <f>IF(ISNUMBER(VLOOKUP($D32,'Visu totale'!$D:$DH,Q$1,0)),P32-VLOOKUP($D32,'Visu totale'!$D:$DH,Q$1,0),IF(LEFT(VLOOKUP($D32,'Visu totale'!$D:$DH,Q$1,0),1)="V",IF(P32&gt;=INDEX('[1]Définition Maintenances'!$G:$G,MATCH($A32,'[1]Définition Maintenances'!$K:$K,0)),P32,INDEX('[1]Définition Maintenances'!$G:$G,MATCH($A32,'[1]Définition Maintenances'!$K:$K,0))+P32),P32))</f>
        <v>412</v>
      </c>
      <c r="R32" s="25">
        <f>IF(ISNUMBER(VLOOKUP($D32,'Visu totale'!$D:$DH,R$1,0)),Q32-VLOOKUP($D32,'Visu totale'!$D:$DH,R$1,0),IF(LEFT(VLOOKUP($D32,'Visu totale'!$D:$DH,R$1,0),1)="V",IF(Q32&gt;=INDEX('[1]Définition Maintenances'!$G:$G,MATCH($A32,'[1]Définition Maintenances'!$K:$K,0)),Q32,INDEX('[1]Définition Maintenances'!$G:$G,MATCH($A32,'[1]Définition Maintenances'!$K:$K,0))+Q32),Q32))</f>
        <v>412</v>
      </c>
      <c r="S32" s="26">
        <f>IF(ISNUMBER(VLOOKUP($D32,'Visu totale'!$D:$DH,S$1,0)),R32-VLOOKUP($D32,'Visu totale'!$D:$DH,S$1,0),IF(LEFT(VLOOKUP($D32,'Visu totale'!$D:$DH,S$1,0),1)="V",IF(R32&gt;=INDEX('[1]Définition Maintenances'!$G:$G,MATCH($A32,'[1]Définition Maintenances'!$K:$K,0)),R32,INDEX('[1]Définition Maintenances'!$G:$G,MATCH($A32,'[1]Définition Maintenances'!$K:$K,0))+R32),R32))</f>
        <v>412</v>
      </c>
      <c r="T32" s="26">
        <f>IF(ISNUMBER(VLOOKUP($D32,'Visu totale'!$D:$DH,T$1,0)),S32-VLOOKUP($D32,'Visu totale'!$D:$DH,T$1,0),IF(LEFT(VLOOKUP($D32,'Visu totale'!$D:$DH,T$1,0),1)="V",IF(S32&gt;=INDEX('[1]Définition Maintenances'!$G:$G,MATCH($A32,'[1]Définition Maintenances'!$K:$K,0)),S32,INDEX('[1]Définition Maintenances'!$G:$G,MATCH($A32,'[1]Définition Maintenances'!$K:$K,0))+S32),S32))</f>
        <v>412</v>
      </c>
      <c r="U32" s="26">
        <f>IF(ISNUMBER(VLOOKUP($D32,'Visu totale'!$D:$DH,U$1,0)),T32-VLOOKUP($D32,'Visu totale'!$D:$DH,U$1,0),IF(LEFT(VLOOKUP($D32,'Visu totale'!$D:$DH,U$1,0),1)="V",IF(T32&gt;=INDEX('[1]Définition Maintenances'!$G:$G,MATCH($A32,'[1]Définition Maintenances'!$K:$K,0)),T32,INDEX('[1]Définition Maintenances'!$G:$G,MATCH($A32,'[1]Définition Maintenances'!$K:$K,0))+T32),T32))</f>
        <v>412</v>
      </c>
      <c r="V32" s="26">
        <f>IF(ISNUMBER(VLOOKUP($D32,'Visu totale'!$D:$DH,V$1,0)),U32-VLOOKUP($D32,'Visu totale'!$D:$DH,V$1,0),IF(LEFT(VLOOKUP($D32,'Visu totale'!$D:$DH,V$1,0),1)="V",IF(U32&gt;=INDEX('[1]Définition Maintenances'!$G:$G,MATCH($A32,'[1]Définition Maintenances'!$K:$K,0)),U32,INDEX('[1]Définition Maintenances'!$G:$G,MATCH($A32,'[1]Définition Maintenances'!$K:$K,0))+U32),U32))</f>
        <v>412</v>
      </c>
      <c r="W32" s="26">
        <f>IF(ISNUMBER(VLOOKUP($D32,'Visu totale'!$D:$DH,W$1,0)),V32-VLOOKUP($D32,'Visu totale'!$D:$DH,W$1,0),IF(LEFT(VLOOKUP($D32,'Visu totale'!$D:$DH,W$1,0),1)="V",IF(V32&gt;=INDEX('[1]Définition Maintenances'!$G:$G,MATCH($A32,'[1]Définition Maintenances'!$K:$K,0)),V32,INDEX('[1]Définition Maintenances'!$G:$G,MATCH($A32,'[1]Définition Maintenances'!$K:$K,0))+V32),V32))</f>
        <v>412</v>
      </c>
      <c r="X32" s="26">
        <f>IF(ISNUMBER(VLOOKUP($D32,'Visu totale'!$D:$DH,X$1,0)),W32-VLOOKUP($D32,'Visu totale'!$D:$DH,X$1,0),IF(LEFT(VLOOKUP($D32,'Visu totale'!$D:$DH,X$1,0),1)="V",IF(W32&gt;=INDEX('[1]Définition Maintenances'!$G:$G,MATCH($A32,'[1]Définition Maintenances'!$K:$K,0)),W32,INDEX('[1]Définition Maintenances'!$G:$G,MATCH($A32,'[1]Définition Maintenances'!$K:$K,0))+W32),W32))</f>
        <v>412</v>
      </c>
      <c r="Y32" s="26">
        <f>IF(ISNUMBER(VLOOKUP($D32,'Visu totale'!$D:$DH,Y$1,0)),X32-VLOOKUP($D32,'Visu totale'!$D:$DH,Y$1,0),IF(LEFT(VLOOKUP($D32,'Visu totale'!$D:$DH,Y$1,0),1)="V",IF(X32&gt;=INDEX('[1]Définition Maintenances'!$G:$G,MATCH($A32,'[1]Définition Maintenances'!$K:$K,0)),X32,INDEX('[1]Définition Maintenances'!$G:$G,MATCH($A32,'[1]Définition Maintenances'!$K:$K,0))+X32),X32))</f>
        <v>412</v>
      </c>
      <c r="Z32" s="26">
        <f>IF(ISNUMBER(VLOOKUP($D32,'Visu totale'!$D:$DH,Z$1,0)),Y32-VLOOKUP($D32,'Visu totale'!$D:$DH,Z$1,0),IF(LEFT(VLOOKUP($D32,'Visu totale'!$D:$DH,Z$1,0),1)="V",IF(Y32&gt;=INDEX('[1]Définition Maintenances'!$G:$G,MATCH($A32,'[1]Définition Maintenances'!$K:$K,0)),Y32,INDEX('[1]Définition Maintenances'!$G:$G,MATCH($A32,'[1]Définition Maintenances'!$K:$K,0))+Y32),Y32))</f>
        <v>412</v>
      </c>
      <c r="AA32" s="26">
        <f>IF(ISNUMBER(VLOOKUP($D32,'Visu totale'!$D:$DH,AA$1,0)),Z32-VLOOKUP($D32,'Visu totale'!$D:$DH,AA$1,0),IF(LEFT(VLOOKUP($D32,'Visu totale'!$D:$DH,AA$1,0),1)="V",IF(Z32&gt;=INDEX('[1]Définition Maintenances'!$G:$G,MATCH($A32,'[1]Définition Maintenances'!$K:$K,0)),Z32,INDEX('[1]Définition Maintenances'!$G:$G,MATCH($A32,'[1]Définition Maintenances'!$K:$K,0))+Z32),Z32))</f>
        <v>412</v>
      </c>
      <c r="AB32" s="26">
        <f>IF(ISNUMBER(VLOOKUP($D32,'Visu totale'!$D:$DH,AB$1,0)),AA32-VLOOKUP($D32,'Visu totale'!$D:$DH,AB$1,0),IF(LEFT(VLOOKUP($D32,'Visu totale'!$D:$DH,AB$1,0),1)="V",IF(AA32&gt;=INDEX('[1]Définition Maintenances'!$G:$G,MATCH($A32,'[1]Définition Maintenances'!$K:$K,0)),AA32,INDEX('[1]Définition Maintenances'!$G:$G,MATCH($A32,'[1]Définition Maintenances'!$K:$K,0))+AA32),AA32))</f>
        <v>412</v>
      </c>
      <c r="AC32" s="27">
        <f>IF(ISNUMBER(VLOOKUP($D32,'Visu totale'!$D:$DH,AC$1,0)),AB32-VLOOKUP($D32,'Visu totale'!$D:$DH,AC$1,0),IF(LEFT(VLOOKUP($D32,'Visu totale'!$D:$DH,AC$1,0),1)="V",IF(AB32&gt;=INDEX('[1]Définition Maintenances'!$G:$G,MATCH($A32,'[1]Définition Maintenances'!$K:$K,0)),AB32,INDEX('[1]Définition Maintenances'!$G:$G,MATCH($A32,'[1]Définition Maintenances'!$K:$K,0))+AB32),AB32))</f>
        <v>412</v>
      </c>
      <c r="AD32" s="25">
        <f>IF(ISNUMBER(VLOOKUP($D32,'Visu totale'!$D:$DH,AD$1,0)),AC32-VLOOKUP($D32,'Visu totale'!$D:$DH,AD$1,0),IF(LEFT(VLOOKUP($D32,'Visu totale'!$D:$DH,AD$1,0),1)="V",IF(AC32&gt;=INDEX('[1]Définition Maintenances'!$G:$G,MATCH($A32,'[1]Définition Maintenances'!$K:$K,0)),AC32,INDEX('[1]Définition Maintenances'!$G:$G,MATCH($A32,'[1]Définition Maintenances'!$K:$K,0))+AC32),AC32))</f>
        <v>412</v>
      </c>
      <c r="AE32" s="26">
        <f>IF(ISNUMBER(VLOOKUP($D32,'Visu totale'!$D:$DH,AE$1,0)),AD32-VLOOKUP($D32,'Visu totale'!$D:$DH,AE$1,0),IF(LEFT(VLOOKUP($D32,'Visu totale'!$D:$DH,AE$1,0),1)="V",IF(AD32&gt;=INDEX('[1]Définition Maintenances'!$G:$G,MATCH($A32,'[1]Définition Maintenances'!$K:$K,0)),AD32,INDEX('[1]Définition Maintenances'!$G:$G,MATCH($A32,'[1]Définition Maintenances'!$K:$K,0))+AD32),AD32))</f>
        <v>412</v>
      </c>
      <c r="AF32" s="26">
        <f>IF(ISNUMBER(VLOOKUP($D32,'Visu totale'!$D:$DH,AF$1,0)),AE32-VLOOKUP($D32,'Visu totale'!$D:$DH,AF$1,0),IF(LEFT(VLOOKUP($D32,'Visu totale'!$D:$DH,AF$1,0),1)="V",IF(AE32&gt;=INDEX('[1]Définition Maintenances'!$G:$G,MATCH($A32,'[1]Définition Maintenances'!$K:$K,0)),AE32,INDEX('[1]Définition Maintenances'!$G:$G,MATCH($A32,'[1]Définition Maintenances'!$K:$K,0))+AE32),AE32))</f>
        <v>412</v>
      </c>
      <c r="AG32" s="26">
        <f>IF(ISNUMBER(VLOOKUP($D32,'Visu totale'!$D:$DH,AG$1,0)),AF32-VLOOKUP($D32,'Visu totale'!$D:$DH,AG$1,0),IF(LEFT(VLOOKUP($D32,'Visu totale'!$D:$DH,AG$1,0),1)="V",IF(AF32&gt;=INDEX('[1]Définition Maintenances'!$G:$G,MATCH($A32,'[1]Définition Maintenances'!$K:$K,0)),AF32,INDEX('[1]Définition Maintenances'!$G:$G,MATCH($A32,'[1]Définition Maintenances'!$K:$K,0))+AF32),AF32))</f>
        <v>412</v>
      </c>
      <c r="AH32" s="26">
        <f>IF(ISNUMBER(VLOOKUP($D32,'Visu totale'!$D:$DH,AH$1,0)),AG32-VLOOKUP($D32,'Visu totale'!$D:$DH,AH$1,0),IF(LEFT(VLOOKUP($D32,'Visu totale'!$D:$DH,AH$1,0),1)="V",IF(AG32&gt;=INDEX('[1]Définition Maintenances'!$G:$G,MATCH($A32,'[1]Définition Maintenances'!$K:$K,0)),AG32,INDEX('[1]Définition Maintenances'!$G:$G,MATCH($A32,'[1]Définition Maintenances'!$K:$K,0))+AG32),AG32))</f>
        <v>412</v>
      </c>
      <c r="AI32" s="26">
        <f>IF(ISNUMBER(VLOOKUP($D32,'Visu totale'!$D:$DH,AI$1,0)),AH32-VLOOKUP($D32,'Visu totale'!$D:$DH,AI$1,0),IF(LEFT(VLOOKUP($D32,'Visu totale'!$D:$DH,AI$1,0),1)="V",IF(AH32&gt;=INDEX('[1]Définition Maintenances'!$G:$G,MATCH($A32,'[1]Définition Maintenances'!$K:$K,0)),AH32,INDEX('[1]Définition Maintenances'!$G:$G,MATCH($A32,'[1]Définition Maintenances'!$K:$K,0))+AH32),AH32))</f>
        <v>412</v>
      </c>
      <c r="AJ32" s="26">
        <f>IF(ISNUMBER(VLOOKUP($D32,'Visu totale'!$D:$DH,AJ$1,0)),AI32-VLOOKUP($D32,'Visu totale'!$D:$DH,AJ$1,0),IF(LEFT(VLOOKUP($D32,'Visu totale'!$D:$DH,AJ$1,0),1)="V",IF(AI32&gt;=INDEX('[1]Définition Maintenances'!$G:$G,MATCH($A32,'[1]Définition Maintenances'!$K:$K,0)),AI32,INDEX('[1]Définition Maintenances'!$G:$G,MATCH($A32,'[1]Définition Maintenances'!$K:$K,0))+AI32),AI32))</f>
        <v>412</v>
      </c>
      <c r="AK32" s="26">
        <f>IF(ISNUMBER(VLOOKUP($D32,'Visu totale'!$D:$DH,AK$1,0)),AJ32-VLOOKUP($D32,'Visu totale'!$D:$DH,AK$1,0),IF(LEFT(VLOOKUP($D32,'Visu totale'!$D:$DH,AK$1,0),1)="V",IF(AJ32&gt;=INDEX('[1]Définition Maintenances'!$G:$G,MATCH($A32,'[1]Définition Maintenances'!$K:$K,0)),AJ32,INDEX('[1]Définition Maintenances'!$G:$G,MATCH($A32,'[1]Définition Maintenances'!$K:$K,0))+AJ32),AJ32))</f>
        <v>412</v>
      </c>
      <c r="AL32" s="26">
        <f>IF(ISNUMBER(VLOOKUP($D32,'Visu totale'!$D:$DH,AL$1,0)),AK32-VLOOKUP($D32,'Visu totale'!$D:$DH,AL$1,0),IF(LEFT(VLOOKUP($D32,'Visu totale'!$D:$DH,AL$1,0),1)="V",IF(AK32&gt;=INDEX('[1]Définition Maintenances'!$G:$G,MATCH($A32,'[1]Définition Maintenances'!$K:$K,0)),AK32,INDEX('[1]Définition Maintenances'!$G:$G,MATCH($A32,'[1]Définition Maintenances'!$K:$K,0))+AK32),AK32))</f>
        <v>412</v>
      </c>
      <c r="AM32" s="26">
        <f>IF(ISNUMBER(VLOOKUP($D32,'Visu totale'!$D:$DH,AM$1,0)),AL32-VLOOKUP($D32,'Visu totale'!$D:$DH,AM$1,0),IF(LEFT(VLOOKUP($D32,'Visu totale'!$D:$DH,AM$1,0),1)="V",IF(AL32&gt;=INDEX('[1]Définition Maintenances'!$G:$G,MATCH($A32,'[1]Définition Maintenances'!$K:$K,0)),AL32,INDEX('[1]Définition Maintenances'!$G:$G,MATCH($A32,'[1]Définition Maintenances'!$K:$K,0))+AL32),AL32))</f>
        <v>412</v>
      </c>
      <c r="AN32" s="26">
        <f>IF(ISNUMBER(VLOOKUP($D32,'Visu totale'!$D:$DH,AN$1,0)),AM32-VLOOKUP($D32,'Visu totale'!$D:$DH,AN$1,0),IF(LEFT(VLOOKUP($D32,'Visu totale'!$D:$DH,AN$1,0),1)="V",IF(AM32&gt;=INDEX('[1]Définition Maintenances'!$G:$G,MATCH($A32,'[1]Définition Maintenances'!$K:$K,0)),AM32,INDEX('[1]Définition Maintenances'!$G:$G,MATCH($A32,'[1]Définition Maintenances'!$K:$K,0))+AM32),AM32))</f>
        <v>412</v>
      </c>
      <c r="AO32" s="27">
        <f>IF(ISNUMBER(VLOOKUP($D32,'Visu totale'!$D:$DH,AO$1,0)),AN32-VLOOKUP($D32,'Visu totale'!$D:$DH,AO$1,0),IF(LEFT(VLOOKUP($D32,'Visu totale'!$D:$DH,AO$1,0),1)="V",IF(AN32&gt;=INDEX('[1]Définition Maintenances'!$G:$G,MATCH($A32,'[1]Définition Maintenances'!$K:$K,0)),AN32,INDEX('[1]Définition Maintenances'!$G:$G,MATCH($A32,'[1]Définition Maintenances'!$K:$K,0))+AN32),AN32))</f>
        <v>412</v>
      </c>
      <c r="AP32" s="25">
        <f>IF(ISNUMBER(VLOOKUP($D32,'Visu totale'!$D:$DH,AP$1,0)),AO32-VLOOKUP($D32,'Visu totale'!$D:$DH,AP$1,0),IF(LEFT(VLOOKUP($D32,'Visu totale'!$D:$DH,AP$1,0),1)="V",IF(AO32&gt;=INDEX('[1]Définition Maintenances'!$G:$G,MATCH($A32,'[1]Définition Maintenances'!$K:$K,0)),AO32,INDEX('[1]Définition Maintenances'!$G:$G,MATCH($A32,'[1]Définition Maintenances'!$K:$K,0))+AO32),AO32))</f>
        <v>412</v>
      </c>
      <c r="AQ32" s="26">
        <f>IF(ISNUMBER(VLOOKUP($D32,'Visu totale'!$D:$DH,AQ$1,0)),AP32-VLOOKUP($D32,'Visu totale'!$D:$DH,AQ$1,0),IF(LEFT(VLOOKUP($D32,'Visu totale'!$D:$DH,AQ$1,0),1)="V",IF(AP32&gt;=INDEX('[1]Définition Maintenances'!$G:$G,MATCH($A32,'[1]Définition Maintenances'!$K:$K,0)),AP32,INDEX('[1]Définition Maintenances'!$G:$G,MATCH($A32,'[1]Définition Maintenances'!$K:$K,0))+AP32),AP32))</f>
        <v>412</v>
      </c>
      <c r="AR32" s="26">
        <f>IF(ISNUMBER(VLOOKUP($D32,'Visu totale'!$D:$DH,AR$1,0)),AQ32-VLOOKUP($D32,'Visu totale'!$D:$DH,AR$1,0),IF(LEFT(VLOOKUP($D32,'Visu totale'!$D:$DH,AR$1,0),1)="V",IF(AQ32&gt;=INDEX('[1]Définition Maintenances'!$G:$G,MATCH($A32,'[1]Définition Maintenances'!$K:$K,0)),AQ32,INDEX('[1]Définition Maintenances'!$G:$G,MATCH($A32,'[1]Définition Maintenances'!$K:$K,0))+AQ32),AQ32))</f>
        <v>412</v>
      </c>
      <c r="AS32" s="26">
        <f>IF(ISNUMBER(VLOOKUP($D32,'Visu totale'!$D:$DH,AS$1,0)),AR32-VLOOKUP($D32,'Visu totale'!$D:$DH,AS$1,0),IF(LEFT(VLOOKUP($D32,'Visu totale'!$D:$DH,AS$1,0),1)="V",IF(AR32&gt;=INDEX('[1]Définition Maintenances'!$G:$G,MATCH($A32,'[1]Définition Maintenances'!$K:$K,0)),AR32,INDEX('[1]Définition Maintenances'!$G:$G,MATCH($A32,'[1]Définition Maintenances'!$K:$K,0))+AR32),AR32))</f>
        <v>412</v>
      </c>
      <c r="AT32" s="26">
        <f>IF(ISNUMBER(VLOOKUP($D32,'Visu totale'!$D:$DH,AT$1,0)),AS32-VLOOKUP($D32,'Visu totale'!$D:$DH,AT$1,0),IF(LEFT(VLOOKUP($D32,'Visu totale'!$D:$DH,AT$1,0),1)="V",IF(AS32&gt;=INDEX('[1]Définition Maintenances'!$G:$G,MATCH($A32,'[1]Définition Maintenances'!$K:$K,0)),AS32,INDEX('[1]Définition Maintenances'!$G:$G,MATCH($A32,'[1]Définition Maintenances'!$K:$K,0))+AS32),AS32))</f>
        <v>412</v>
      </c>
      <c r="AU32" s="26">
        <f>IF(ISNUMBER(VLOOKUP($D32,'Visu totale'!$D:$DH,AU$1,0)),AT32-VLOOKUP($D32,'Visu totale'!$D:$DH,AU$1,0),IF(LEFT(VLOOKUP($D32,'Visu totale'!$D:$DH,AU$1,0),1)="V",IF(AT32&gt;=INDEX('[1]Définition Maintenances'!$G:$G,MATCH($A32,'[1]Définition Maintenances'!$K:$K,0)),AT32,INDEX('[1]Définition Maintenances'!$G:$G,MATCH($A32,'[1]Définition Maintenances'!$K:$K,0))+AT32),AT32))</f>
        <v>412</v>
      </c>
      <c r="AV32" s="26">
        <f>IF(ISNUMBER(VLOOKUP($D32,'Visu totale'!$D:$DH,AV$1,0)),AU32-VLOOKUP($D32,'Visu totale'!$D:$DH,AV$1,0),IF(LEFT(VLOOKUP($D32,'Visu totale'!$D:$DH,AV$1,0),1)="V",IF(AU32&gt;=INDEX('[1]Définition Maintenances'!$G:$G,MATCH($A32,'[1]Définition Maintenances'!$K:$K,0)),AU32,INDEX('[1]Définition Maintenances'!$G:$G,MATCH($A32,'[1]Définition Maintenances'!$K:$K,0))+AU32),AU32))</f>
        <v>412</v>
      </c>
      <c r="AW32" s="26">
        <f>IF(ISNUMBER(VLOOKUP($D32,'Visu totale'!$D:$DH,AW$1,0)),AV32-VLOOKUP($D32,'Visu totale'!$D:$DH,AW$1,0),IF(LEFT(VLOOKUP($D32,'Visu totale'!$D:$DH,AW$1,0),1)="V",IF(AV32&gt;=INDEX('[1]Définition Maintenances'!$G:$G,MATCH($A32,'[1]Définition Maintenances'!$K:$K,0)),AV32,INDEX('[1]Définition Maintenances'!$G:$G,MATCH($A32,'[1]Définition Maintenances'!$K:$K,0))+AV32),AV32))</f>
        <v>412</v>
      </c>
      <c r="AX32" s="26">
        <f>IF(ISNUMBER(VLOOKUP($D32,'Visu totale'!$D:$DH,AX$1,0)),AW32-VLOOKUP($D32,'Visu totale'!$D:$DH,AX$1,0),IF(LEFT(VLOOKUP($D32,'Visu totale'!$D:$DH,AX$1,0),1)="V",IF(AW32&gt;=INDEX('[1]Définition Maintenances'!$G:$G,MATCH($A32,'[1]Définition Maintenances'!$K:$K,0)),AW32,INDEX('[1]Définition Maintenances'!$G:$G,MATCH($A32,'[1]Définition Maintenances'!$K:$K,0))+AW32),AW32))</f>
        <v>412</v>
      </c>
      <c r="AY32" s="26">
        <f>IF(ISNUMBER(VLOOKUP($D32,'Visu totale'!$D:$DH,AY$1,0)),AX32-VLOOKUP($D32,'Visu totale'!$D:$DH,AY$1,0),IF(LEFT(VLOOKUP($D32,'Visu totale'!$D:$DH,AY$1,0),1)="V",IF(AX32&gt;=INDEX('[1]Définition Maintenances'!$G:$G,MATCH($A32,'[1]Définition Maintenances'!$K:$K,0)),AX32,INDEX('[1]Définition Maintenances'!$G:$G,MATCH($A32,'[1]Définition Maintenances'!$K:$K,0))+AX32),AX32))</f>
        <v>412</v>
      </c>
      <c r="AZ32" s="26">
        <f>IF(ISNUMBER(VLOOKUP($D32,'Visu totale'!$D:$DH,AZ$1,0)),AY32-VLOOKUP($D32,'Visu totale'!$D:$DH,AZ$1,0),IF(LEFT(VLOOKUP($D32,'Visu totale'!$D:$DH,AZ$1,0),1)="V",IF(AY32&gt;=INDEX('[1]Définition Maintenances'!$G:$G,MATCH($A32,'[1]Définition Maintenances'!$K:$K,0)),AY32,INDEX('[1]Définition Maintenances'!$G:$G,MATCH($A32,'[1]Définition Maintenances'!$K:$K,0))+AY32),AY32))</f>
        <v>412</v>
      </c>
      <c r="BA32" s="27">
        <f>IF(ISNUMBER(VLOOKUP($D32,'Visu totale'!$D:$DH,BA$1,0)),AZ32-VLOOKUP($D32,'Visu totale'!$D:$DH,BA$1,0),IF(LEFT(VLOOKUP($D32,'Visu totale'!$D:$DH,BA$1,0),1)="V",IF(AZ32&gt;=INDEX('[1]Définition Maintenances'!$G:$G,MATCH($A32,'[1]Définition Maintenances'!$K:$K,0)),AZ32,INDEX('[1]Définition Maintenances'!$G:$G,MATCH($A32,'[1]Définition Maintenances'!$K:$K,0))+AZ32),AZ32))</f>
        <v>412</v>
      </c>
      <c r="BB32" s="25">
        <f>IF(ISNUMBER(VLOOKUP($D32,'Visu totale'!$D:$DH,BB$1,0)),BA32-VLOOKUP($D32,'Visu totale'!$D:$DH,BB$1,0),IF(LEFT(VLOOKUP($D32,'Visu totale'!$D:$DH,BB$1,0),1)="V",IF(BA32&gt;=INDEX('[1]Définition Maintenances'!$G:$G,MATCH($A32,'[1]Définition Maintenances'!$K:$K,0)),BA32,INDEX('[1]Définition Maintenances'!$G:$G,MATCH($A32,'[1]Définition Maintenances'!$K:$K,0))+BA32),BA32))</f>
        <v>412</v>
      </c>
      <c r="BC32" s="26">
        <f>IF(ISNUMBER(VLOOKUP($D32,'Visu totale'!$D:$DH,BC$1,0)),BB32-VLOOKUP($D32,'Visu totale'!$D:$DH,BC$1,0),IF(LEFT(VLOOKUP($D32,'Visu totale'!$D:$DH,BC$1,0),1)="V",IF(BB32&gt;=INDEX('[1]Définition Maintenances'!$G:$G,MATCH($A32,'[1]Définition Maintenances'!$K:$K,0)),BB32,INDEX('[1]Définition Maintenances'!$G:$G,MATCH($A32,'[1]Définition Maintenances'!$K:$K,0))+BB32),BB32))</f>
        <v>412</v>
      </c>
      <c r="BD32" s="26">
        <f>IF(ISNUMBER(VLOOKUP($D32,'Visu totale'!$D:$DH,BD$1,0)),BC32-VLOOKUP($D32,'Visu totale'!$D:$DH,BD$1,0),IF(LEFT(VLOOKUP($D32,'Visu totale'!$D:$DH,BD$1,0),1)="V",IF(BC32&gt;=INDEX('[1]Définition Maintenances'!$G:$G,MATCH($A32,'[1]Définition Maintenances'!$K:$K,0)),BC32,INDEX('[1]Définition Maintenances'!$G:$G,MATCH($A32,'[1]Définition Maintenances'!$K:$K,0))+BC32),BC32))</f>
        <v>412</v>
      </c>
      <c r="BE32" s="26">
        <f>IF(ISNUMBER(VLOOKUP($D32,'Visu totale'!$D:$DH,BE$1,0)),BD32-VLOOKUP($D32,'Visu totale'!$D:$DH,BE$1,0),IF(LEFT(VLOOKUP($D32,'Visu totale'!$D:$DH,BE$1,0),1)="V",IF(BD32&gt;=INDEX('[1]Définition Maintenances'!$G:$G,MATCH($A32,'[1]Définition Maintenances'!$K:$K,0)),BD32,INDEX('[1]Définition Maintenances'!$G:$G,MATCH($A32,'[1]Définition Maintenances'!$K:$K,0))+BD32),BD32))</f>
        <v>412</v>
      </c>
      <c r="BF32" s="26">
        <f>IF(ISNUMBER(VLOOKUP($D32,'Visu totale'!$D:$DH,BF$1,0)),BE32-VLOOKUP($D32,'Visu totale'!$D:$DH,BF$1,0),IF(LEFT(VLOOKUP($D32,'Visu totale'!$D:$DH,BF$1,0),1)="V",IF(BE32&gt;=INDEX('[1]Définition Maintenances'!$G:$G,MATCH($A32,'[1]Définition Maintenances'!$K:$K,0)),BE32,INDEX('[1]Définition Maintenances'!$G:$G,MATCH($A32,'[1]Définition Maintenances'!$K:$K,0))+BE32),BE32))</f>
        <v>412</v>
      </c>
      <c r="BG32" s="26">
        <f>IF(ISNUMBER(VLOOKUP($D32,'Visu totale'!$D:$DH,BG$1,0)),BF32-VLOOKUP($D32,'Visu totale'!$D:$DH,BG$1,0),IF(LEFT(VLOOKUP($D32,'Visu totale'!$D:$DH,BG$1,0),1)="V",IF(BF32&gt;=INDEX('[1]Définition Maintenances'!$G:$G,MATCH($A32,'[1]Définition Maintenances'!$K:$K,0)),BF32,INDEX('[1]Définition Maintenances'!$G:$G,MATCH($A32,'[1]Définition Maintenances'!$K:$K,0))+BF32),BF32))</f>
        <v>412</v>
      </c>
      <c r="BH32" s="26">
        <f>IF(ISNUMBER(VLOOKUP($D32,'Visu totale'!$D:$DH,BH$1,0)),BG32-VLOOKUP($D32,'Visu totale'!$D:$DH,BH$1,0),IF(LEFT(VLOOKUP($D32,'Visu totale'!$D:$DH,BH$1,0),1)="V",IF(BG32&gt;=INDEX('[1]Définition Maintenances'!$G:$G,MATCH($A32,'[1]Définition Maintenances'!$K:$K,0)),BG32,INDEX('[1]Définition Maintenances'!$G:$G,MATCH($A32,'[1]Définition Maintenances'!$K:$K,0))+BG32),BG32))</f>
        <v>412</v>
      </c>
      <c r="BI32" s="26">
        <f>IF(ISNUMBER(VLOOKUP($D32,'Visu totale'!$D:$DH,BI$1,0)),BH32-VLOOKUP($D32,'Visu totale'!$D:$DH,BI$1,0),IF(LEFT(VLOOKUP($D32,'Visu totale'!$D:$DH,BI$1,0),1)="V",IF(BH32&gt;=INDEX('[1]Définition Maintenances'!$G:$G,MATCH($A32,'[1]Définition Maintenances'!$K:$K,0)),BH32,INDEX('[1]Définition Maintenances'!$G:$G,MATCH($A32,'[1]Définition Maintenances'!$K:$K,0))+BH32),BH32))</f>
        <v>412</v>
      </c>
      <c r="BJ32" s="26">
        <f>IF(ISNUMBER(VLOOKUP($D32,'Visu totale'!$D:$DH,BJ$1,0)),BI32-VLOOKUP($D32,'Visu totale'!$D:$DH,BJ$1,0),IF(LEFT(VLOOKUP($D32,'Visu totale'!$D:$DH,BJ$1,0),1)="V",IF(BI32&gt;=INDEX('[1]Définition Maintenances'!$G:$G,MATCH($A32,'[1]Définition Maintenances'!$K:$K,0)),BI32,INDEX('[1]Définition Maintenances'!$G:$G,MATCH($A32,'[1]Définition Maintenances'!$K:$K,0))+BI32),BI32))</f>
        <v>412</v>
      </c>
      <c r="BK32" s="26">
        <f>IF(ISNUMBER(VLOOKUP($D32,'Visu totale'!$D:$DH,BK$1,0)),BJ32-VLOOKUP($D32,'Visu totale'!$D:$DH,BK$1,0),IF(LEFT(VLOOKUP($D32,'Visu totale'!$D:$DH,BK$1,0),1)="V",IF(BJ32&gt;=INDEX('[1]Définition Maintenances'!$G:$G,MATCH($A32,'[1]Définition Maintenances'!$K:$K,0)),BJ32,INDEX('[1]Définition Maintenances'!$G:$G,MATCH($A32,'[1]Définition Maintenances'!$K:$K,0))+BJ32),BJ32))</f>
        <v>412</v>
      </c>
      <c r="BL32" s="26">
        <f>IF(ISNUMBER(VLOOKUP($D32,'Visu totale'!$D:$DH,BL$1,0)),BK32-VLOOKUP($D32,'Visu totale'!$D:$DH,BL$1,0),IF(LEFT(VLOOKUP($D32,'Visu totale'!$D:$DH,BL$1,0),1)="V",IF(BK32&gt;=INDEX('[1]Définition Maintenances'!$G:$G,MATCH($A32,'[1]Définition Maintenances'!$K:$K,0)),BK32,INDEX('[1]Définition Maintenances'!$G:$G,MATCH($A32,'[1]Définition Maintenances'!$K:$K,0))+BK32),BK32))</f>
        <v>412</v>
      </c>
      <c r="BM32" s="27">
        <f>IF(ISNUMBER(VLOOKUP($D32,'Visu totale'!$D:$DH,BM$1,0)),BL32-VLOOKUP($D32,'Visu totale'!$D:$DH,BM$1,0),IF(LEFT(VLOOKUP($D32,'Visu totale'!$D:$DH,BM$1,0),1)="V",IF(BL32&gt;=INDEX('[1]Définition Maintenances'!$G:$G,MATCH($A32,'[1]Définition Maintenances'!$K:$K,0)),BL32,INDEX('[1]Définition Maintenances'!$G:$G,MATCH($A32,'[1]Définition Maintenances'!$K:$K,0))+BL32),BL32))</f>
        <v>412</v>
      </c>
      <c r="BN32" s="25">
        <f>IF(ISNUMBER(VLOOKUP($D32,'Visu totale'!$D:$DH,BN$1,0)),BM32-VLOOKUP($D32,'Visu totale'!$D:$DH,BN$1,0),IF(LEFT(VLOOKUP($D32,'Visu totale'!$D:$DH,BN$1,0),1)="V",IF(BM32&gt;=INDEX('[1]Définition Maintenances'!$G:$G,MATCH($A32,'[1]Définition Maintenances'!$K:$K,0)),BM32,INDEX('[1]Définition Maintenances'!$G:$G,MATCH($A32,'[1]Définition Maintenances'!$K:$K,0))+BM32),BM32))</f>
        <v>412</v>
      </c>
      <c r="BO32" s="26">
        <f>IF(ISNUMBER(VLOOKUP($D32,'Visu totale'!$D:$DH,BO$1,0)),BN32-VLOOKUP($D32,'Visu totale'!$D:$DH,BO$1,0),IF(LEFT(VLOOKUP($D32,'Visu totale'!$D:$DH,BO$1,0),1)="V",IF(BN32&gt;=INDEX('[1]Définition Maintenances'!$G:$G,MATCH($A32,'[1]Définition Maintenances'!$K:$K,0)),BN32,INDEX('[1]Définition Maintenances'!$G:$G,MATCH($A32,'[1]Définition Maintenances'!$K:$K,0))+BN32),BN32))</f>
        <v>412</v>
      </c>
      <c r="BP32" s="26">
        <f>IF(ISNUMBER(VLOOKUP($D32,'Visu totale'!$D:$DH,BP$1,0)),BO32-VLOOKUP($D32,'Visu totale'!$D:$DH,BP$1,0),IF(LEFT(VLOOKUP($D32,'Visu totale'!$D:$DH,BP$1,0),1)="V",IF(BO32&gt;=INDEX('[1]Définition Maintenances'!$G:$G,MATCH($A32,'[1]Définition Maintenances'!$K:$K,0)),BO32,INDEX('[1]Définition Maintenances'!$G:$G,MATCH($A32,'[1]Définition Maintenances'!$K:$K,0))+BO32),BO32))</f>
        <v>412</v>
      </c>
      <c r="BQ32" s="26">
        <f>IF(ISNUMBER(VLOOKUP($D32,'Visu totale'!$D:$DH,BQ$1,0)),BP32-VLOOKUP($D32,'Visu totale'!$D:$DH,BQ$1,0),IF(LEFT(VLOOKUP($D32,'Visu totale'!$D:$DH,BQ$1,0),1)="V",IF(BP32&gt;=INDEX('[1]Définition Maintenances'!$G:$G,MATCH($A32,'[1]Définition Maintenances'!$K:$K,0)),BP32,INDEX('[1]Définition Maintenances'!$G:$G,MATCH($A32,'[1]Définition Maintenances'!$K:$K,0))+BP32),BP32))</f>
        <v>412</v>
      </c>
      <c r="BR32" s="26">
        <f>IF(ISNUMBER(VLOOKUP($D32,'Visu totale'!$D:$DH,BR$1,0)),BQ32-VLOOKUP($D32,'Visu totale'!$D:$DH,BR$1,0),IF(LEFT(VLOOKUP($D32,'Visu totale'!$D:$DH,BR$1,0),1)="V",IF(BQ32&gt;=INDEX('[1]Définition Maintenances'!$G:$G,MATCH($A32,'[1]Définition Maintenances'!$K:$K,0)),BQ32,INDEX('[1]Définition Maintenances'!$G:$G,MATCH($A32,'[1]Définition Maintenances'!$K:$K,0))+BQ32),BQ32))</f>
        <v>412</v>
      </c>
      <c r="BS32" s="26">
        <f>IF(ISNUMBER(VLOOKUP($D32,'Visu totale'!$D:$DH,BS$1,0)),BR32-VLOOKUP($D32,'Visu totale'!$D:$DH,BS$1,0),IF(LEFT(VLOOKUP($D32,'Visu totale'!$D:$DH,BS$1,0),1)="V",IF(BR32&gt;=INDEX('[1]Définition Maintenances'!$G:$G,MATCH($A32,'[1]Définition Maintenances'!$K:$K,0)),BR32,INDEX('[1]Définition Maintenances'!$G:$G,MATCH($A32,'[1]Définition Maintenances'!$K:$K,0))+BR32),BR32))</f>
        <v>412</v>
      </c>
      <c r="BT32" s="26">
        <f>IF(ISNUMBER(VLOOKUP($D32,'Visu totale'!$D:$DH,BT$1,0)),BS32-VLOOKUP($D32,'Visu totale'!$D:$DH,BT$1,0),IF(LEFT(VLOOKUP($D32,'Visu totale'!$D:$DH,BT$1,0),1)="V",IF(BS32&gt;=INDEX('[1]Définition Maintenances'!$G:$G,MATCH($A32,'[1]Définition Maintenances'!$K:$K,0)),BS32,INDEX('[1]Définition Maintenances'!$G:$G,MATCH($A32,'[1]Définition Maintenances'!$K:$K,0))+BS32),BS32))</f>
        <v>412</v>
      </c>
      <c r="BU32" s="26">
        <f>IF(ISNUMBER(VLOOKUP($D32,'Visu totale'!$D:$DH,BU$1,0)),BT32-VLOOKUP($D32,'Visu totale'!$D:$DH,BU$1,0),IF(LEFT(VLOOKUP($D32,'Visu totale'!$D:$DH,BU$1,0),1)="V",IF(BT32&gt;=INDEX('[1]Définition Maintenances'!$G:$G,MATCH($A32,'[1]Définition Maintenances'!$K:$K,0)),BT32,INDEX('[1]Définition Maintenances'!$G:$G,MATCH($A32,'[1]Définition Maintenances'!$K:$K,0))+BT32),BT32))</f>
        <v>412</v>
      </c>
      <c r="BV32" s="26">
        <f>IF(ISNUMBER(VLOOKUP($D32,'Visu totale'!$D:$DH,BV$1,0)),BU32-VLOOKUP($D32,'Visu totale'!$D:$DH,BV$1,0),IF(LEFT(VLOOKUP($D32,'Visu totale'!$D:$DH,BV$1,0),1)="V",IF(BU32&gt;=INDEX('[1]Définition Maintenances'!$G:$G,MATCH($A32,'[1]Définition Maintenances'!$K:$K,0)),BU32,INDEX('[1]Définition Maintenances'!$G:$G,MATCH($A32,'[1]Définition Maintenances'!$K:$K,0))+BU32),BU32))</f>
        <v>412</v>
      </c>
      <c r="BW32" s="26">
        <f>IF(ISNUMBER(VLOOKUP($D32,'Visu totale'!$D:$DH,BW$1,0)),BV32-VLOOKUP($D32,'Visu totale'!$D:$DH,BW$1,0),IF(LEFT(VLOOKUP($D32,'Visu totale'!$D:$DH,BW$1,0),1)="V",IF(BV32&gt;=INDEX('[1]Définition Maintenances'!$G:$G,MATCH($A32,'[1]Définition Maintenances'!$K:$K,0)),BV32,INDEX('[1]Définition Maintenances'!$G:$G,MATCH($A32,'[1]Définition Maintenances'!$K:$K,0))+BV32),BV32))</f>
        <v>412</v>
      </c>
      <c r="BX32" s="26">
        <f>IF(ISNUMBER(VLOOKUP($D32,'Visu totale'!$D:$DH,BX$1,0)),BW32-VLOOKUP($D32,'Visu totale'!$D:$DH,BX$1,0),IF(LEFT(VLOOKUP($D32,'Visu totale'!$D:$DH,BX$1,0),1)="V",IF(BW32&gt;=INDEX('[1]Définition Maintenances'!$G:$G,MATCH($A32,'[1]Définition Maintenances'!$K:$K,0)),BW32,INDEX('[1]Définition Maintenances'!$G:$G,MATCH($A32,'[1]Définition Maintenances'!$K:$K,0))+BW32),BW32))</f>
        <v>412</v>
      </c>
      <c r="BY32" s="27">
        <f>IF(ISNUMBER(VLOOKUP($D32,'Visu totale'!$D:$DH,BY$1,0)),BX32-VLOOKUP($D32,'Visu totale'!$D:$DH,BY$1,0),IF(LEFT(VLOOKUP($D32,'Visu totale'!$D:$DH,BY$1,0),1)="V",IF(BX32&gt;=INDEX('[1]Définition Maintenances'!$G:$G,MATCH($A32,'[1]Définition Maintenances'!$K:$K,0)),BX32,INDEX('[1]Définition Maintenances'!$G:$G,MATCH($A32,'[1]Définition Maintenances'!$K:$K,0))+BX32),BX32))</f>
        <v>412</v>
      </c>
      <c r="BZ32" s="25">
        <f>IF(ISNUMBER(VLOOKUP($D32,'Visu totale'!$D:$DH,BZ$1,0)),BY32-VLOOKUP($D32,'Visu totale'!$D:$DH,BZ$1,0),IF(LEFT(VLOOKUP($D32,'Visu totale'!$D:$DH,BZ$1,0),1)="V",IF(BY32&gt;=INDEX('[1]Définition Maintenances'!$G:$G,MATCH($A32,'[1]Définition Maintenances'!$K:$K,0)),BY32,INDEX('[1]Définition Maintenances'!$G:$G,MATCH($A32,'[1]Définition Maintenances'!$K:$K,0))+BY32),BY32))</f>
        <v>412</v>
      </c>
      <c r="CA32" s="26">
        <f>IF(ISNUMBER(VLOOKUP($D32,'Visu totale'!$D:$DH,CA$1,0)),BZ32-VLOOKUP($D32,'Visu totale'!$D:$DH,CA$1,0),IF(LEFT(VLOOKUP($D32,'Visu totale'!$D:$DH,CA$1,0),1)="V",IF(BZ32&gt;=INDEX('[1]Définition Maintenances'!$G:$G,MATCH($A32,'[1]Définition Maintenances'!$K:$K,0)),BZ32,INDEX('[1]Définition Maintenances'!$G:$G,MATCH($A32,'[1]Définition Maintenances'!$K:$K,0))+BZ32),BZ32))</f>
        <v>412</v>
      </c>
      <c r="CB32" s="26">
        <f>IF(ISNUMBER(VLOOKUP($D32,'Visu totale'!$D:$DH,CB$1,0)),CA32-VLOOKUP($D32,'Visu totale'!$D:$DH,CB$1,0),IF(LEFT(VLOOKUP($D32,'Visu totale'!$D:$DH,CB$1,0),1)="V",IF(CA32&gt;=INDEX('[1]Définition Maintenances'!$G:$G,MATCH($A32,'[1]Définition Maintenances'!$K:$K,0)),CA32,INDEX('[1]Définition Maintenances'!$G:$G,MATCH($A32,'[1]Définition Maintenances'!$K:$K,0))+CA32),CA32))</f>
        <v>412</v>
      </c>
      <c r="CC32" s="26">
        <f>IF(ISNUMBER(VLOOKUP($D32,'Visu totale'!$D:$DH,CC$1,0)),CB32-VLOOKUP($D32,'Visu totale'!$D:$DH,CC$1,0),IF(LEFT(VLOOKUP($D32,'Visu totale'!$D:$DH,CC$1,0),1)="V",IF(CB32&gt;=INDEX('[1]Définition Maintenances'!$G:$G,MATCH($A32,'[1]Définition Maintenances'!$K:$K,0)),CB32,INDEX('[1]Définition Maintenances'!$G:$G,MATCH($A32,'[1]Définition Maintenances'!$K:$K,0))+CB32),CB32))</f>
        <v>412</v>
      </c>
      <c r="CD32" s="26">
        <f>IF(ISNUMBER(VLOOKUP($D32,'Visu totale'!$D:$DH,CD$1,0)),CC32-VLOOKUP($D32,'Visu totale'!$D:$DH,CD$1,0),IF(LEFT(VLOOKUP($D32,'Visu totale'!$D:$DH,CD$1,0),1)="V",IF(CC32&gt;=INDEX('[1]Définition Maintenances'!$G:$G,MATCH($A32,'[1]Définition Maintenances'!$K:$K,0)),CC32,INDEX('[1]Définition Maintenances'!$G:$G,MATCH($A32,'[1]Définition Maintenances'!$K:$K,0))+CC32),CC32))</f>
        <v>412</v>
      </c>
      <c r="CE32" s="26">
        <f>IF(ISNUMBER(VLOOKUP($D32,'Visu totale'!$D:$DH,CE$1,0)),CD32-VLOOKUP($D32,'Visu totale'!$D:$DH,CE$1,0),IF(LEFT(VLOOKUP($D32,'Visu totale'!$D:$DH,CE$1,0),1)="V",IF(CD32&gt;=INDEX('[1]Définition Maintenances'!$G:$G,MATCH($A32,'[1]Définition Maintenances'!$K:$K,0)),CD32,INDEX('[1]Définition Maintenances'!$G:$G,MATCH($A32,'[1]Définition Maintenances'!$K:$K,0))+CD32),CD32))</f>
        <v>412</v>
      </c>
      <c r="CF32" s="26">
        <f>IF(ISNUMBER(VLOOKUP($D32,'Visu totale'!$D:$DH,CF$1,0)),CE32-VLOOKUP($D32,'Visu totale'!$D:$DH,CF$1,0),IF(LEFT(VLOOKUP($D32,'Visu totale'!$D:$DH,CF$1,0),1)="V",IF(CE32&gt;=INDEX('[1]Définition Maintenances'!$G:$G,MATCH($A32,'[1]Définition Maintenances'!$K:$K,0)),CE32,INDEX('[1]Définition Maintenances'!$G:$G,MATCH($A32,'[1]Définition Maintenances'!$K:$K,0))+CE32),CE32))</f>
        <v>412</v>
      </c>
      <c r="CG32" s="26">
        <f>IF(ISNUMBER(VLOOKUP($D32,'Visu totale'!$D:$DH,CG$1,0)),CF32-VLOOKUP($D32,'Visu totale'!$D:$DH,CG$1,0),IF(LEFT(VLOOKUP($D32,'Visu totale'!$D:$DH,CG$1,0),1)="V",IF(CF32&gt;=INDEX('[1]Définition Maintenances'!$G:$G,MATCH($A32,'[1]Définition Maintenances'!$K:$K,0)),CF32,INDEX('[1]Définition Maintenances'!$G:$G,MATCH($A32,'[1]Définition Maintenances'!$K:$K,0))+CF32),CF32))</f>
        <v>412</v>
      </c>
      <c r="CH32" s="26">
        <f>IF(ISNUMBER(VLOOKUP($D32,'Visu totale'!$D:$DH,CH$1,0)),CG32-VLOOKUP($D32,'Visu totale'!$D:$DH,CH$1,0),IF(LEFT(VLOOKUP($D32,'Visu totale'!$D:$DH,CH$1,0),1)="V",IF(CG32&gt;=INDEX('[1]Définition Maintenances'!$G:$G,MATCH($A32,'[1]Définition Maintenances'!$K:$K,0)),CG32,INDEX('[1]Définition Maintenances'!$G:$G,MATCH($A32,'[1]Définition Maintenances'!$K:$K,0))+CG32),CG32))</f>
        <v>412</v>
      </c>
      <c r="CI32" s="26">
        <f>IF(ISNUMBER(VLOOKUP($D32,'Visu totale'!$D:$DH,CI$1,0)),CH32-VLOOKUP($D32,'Visu totale'!$D:$DH,CI$1,0),IF(LEFT(VLOOKUP($D32,'Visu totale'!$D:$DH,CI$1,0),1)="V",IF(CH32&gt;=INDEX('[1]Définition Maintenances'!$G:$G,MATCH($A32,'[1]Définition Maintenances'!$K:$K,0)),CH32,INDEX('[1]Définition Maintenances'!$G:$G,MATCH($A32,'[1]Définition Maintenances'!$K:$K,0))+CH32),CH32))</f>
        <v>412</v>
      </c>
      <c r="CJ32" s="26">
        <f>IF(ISNUMBER(VLOOKUP($D32,'Visu totale'!$D:$DH,CJ$1,0)),CI32-VLOOKUP($D32,'Visu totale'!$D:$DH,CJ$1,0),IF(LEFT(VLOOKUP($D32,'Visu totale'!$D:$DH,CJ$1,0),1)="V",IF(CI32&gt;=INDEX('[1]Définition Maintenances'!$G:$G,MATCH($A32,'[1]Définition Maintenances'!$K:$K,0)),CI32,INDEX('[1]Définition Maintenances'!$G:$G,MATCH($A32,'[1]Définition Maintenances'!$K:$K,0))+CI32),CI32))</f>
        <v>412</v>
      </c>
      <c r="CK32" s="27">
        <f>IF(ISNUMBER(VLOOKUP($D32,'Visu totale'!$D:$DH,CK$1,0)),CJ32-VLOOKUP($D32,'Visu totale'!$D:$DH,CK$1,0),IF(LEFT(VLOOKUP($D32,'Visu totale'!$D:$DH,CK$1,0),1)="V",IF(CJ32&gt;=INDEX('[1]Définition Maintenances'!$G:$G,MATCH($A32,'[1]Définition Maintenances'!$K:$K,0)),CJ32,INDEX('[1]Définition Maintenances'!$G:$G,MATCH($A32,'[1]Définition Maintenances'!$K:$K,0))+CJ32),CJ32))</f>
        <v>412</v>
      </c>
      <c r="CL32" s="25">
        <f>IF(ISNUMBER(VLOOKUP($D32,'Visu totale'!$D:$DH,CL$1,0)),CK32-VLOOKUP($D32,'Visu totale'!$D:$DH,CL$1,0),IF(LEFT(VLOOKUP($D32,'Visu totale'!$D:$DH,CL$1,0),1)="V",IF(CK32&gt;=INDEX('[1]Définition Maintenances'!$G:$G,MATCH($A32,'[1]Définition Maintenances'!$K:$K,0)),CK32,INDEX('[1]Définition Maintenances'!$G:$G,MATCH($A32,'[1]Définition Maintenances'!$K:$K,0))+CK32),CK32))</f>
        <v>412</v>
      </c>
      <c r="CM32" s="26">
        <f>IF(ISNUMBER(VLOOKUP($D32,'Visu totale'!$D:$DH,CM$1,0)),CL32-VLOOKUP($D32,'Visu totale'!$D:$DH,CM$1,0),IF(LEFT(VLOOKUP($D32,'Visu totale'!$D:$DH,CM$1,0),1)="V",IF(CL32&gt;=INDEX('[1]Définition Maintenances'!$G:$G,MATCH($A32,'[1]Définition Maintenances'!$K:$K,0)),CL32,INDEX('[1]Définition Maintenances'!$G:$G,MATCH($A32,'[1]Définition Maintenances'!$K:$K,0))+CL32),CL32))</f>
        <v>412</v>
      </c>
      <c r="CN32" s="26">
        <f>IF(ISNUMBER(VLOOKUP($D32,'Visu totale'!$D:$DH,CN$1,0)),CM32-VLOOKUP($D32,'Visu totale'!$D:$DH,CN$1,0),IF(LEFT(VLOOKUP($D32,'Visu totale'!$D:$DH,CN$1,0),1)="V",IF(CM32&gt;=INDEX('[1]Définition Maintenances'!$G:$G,MATCH($A32,'[1]Définition Maintenances'!$K:$K,0)),CM32,INDEX('[1]Définition Maintenances'!$G:$G,MATCH($A32,'[1]Définition Maintenances'!$K:$K,0))+CM32),CM32))</f>
        <v>412</v>
      </c>
      <c r="CO32" s="26">
        <f>IF(ISNUMBER(VLOOKUP($D32,'Visu totale'!$D:$DH,CO$1,0)),CN32-VLOOKUP($D32,'Visu totale'!$D:$DH,CO$1,0),IF(LEFT(VLOOKUP($D32,'Visu totale'!$D:$DH,CO$1,0),1)="V",IF(CN32&gt;=INDEX('[1]Définition Maintenances'!$G:$G,MATCH($A32,'[1]Définition Maintenances'!$K:$K,0)),CN32,INDEX('[1]Définition Maintenances'!$G:$G,MATCH($A32,'[1]Définition Maintenances'!$K:$K,0))+CN32),CN32))</f>
        <v>412</v>
      </c>
      <c r="CP32" s="26">
        <f>IF(ISNUMBER(VLOOKUP($D32,'Visu totale'!$D:$DH,CP$1,0)),CO32-VLOOKUP($D32,'Visu totale'!$D:$DH,CP$1,0),IF(LEFT(VLOOKUP($D32,'Visu totale'!$D:$DH,CP$1,0),1)="V",IF(CO32&gt;=INDEX('[1]Définition Maintenances'!$G:$G,MATCH($A32,'[1]Définition Maintenances'!$K:$K,0)),CO32,INDEX('[1]Définition Maintenances'!$G:$G,MATCH($A32,'[1]Définition Maintenances'!$K:$K,0))+CO32),CO32))</f>
        <v>412</v>
      </c>
      <c r="CQ32" s="26">
        <f>IF(ISNUMBER(VLOOKUP($D32,'Visu totale'!$D:$DH,CQ$1,0)),CP32-VLOOKUP($D32,'Visu totale'!$D:$DH,CQ$1,0),IF(LEFT(VLOOKUP($D32,'Visu totale'!$D:$DH,CQ$1,0),1)="V",IF(CP32&gt;=INDEX('[1]Définition Maintenances'!$G:$G,MATCH($A32,'[1]Définition Maintenances'!$K:$K,0)),CP32,INDEX('[1]Définition Maintenances'!$G:$G,MATCH($A32,'[1]Définition Maintenances'!$K:$K,0))+CP32),CP32))</f>
        <v>412</v>
      </c>
      <c r="CR32" s="26">
        <f>IF(ISNUMBER(VLOOKUP($D32,'Visu totale'!$D:$DH,CR$1,0)),CQ32-VLOOKUP($D32,'Visu totale'!$D:$DH,CR$1,0),IF(LEFT(VLOOKUP($D32,'Visu totale'!$D:$DH,CR$1,0),1)="V",IF(CQ32&gt;=INDEX('[1]Définition Maintenances'!$G:$G,MATCH($A32,'[1]Définition Maintenances'!$K:$K,0)),CQ32,INDEX('[1]Définition Maintenances'!$G:$G,MATCH($A32,'[1]Définition Maintenances'!$K:$K,0))+CQ32),CQ32))</f>
        <v>412</v>
      </c>
      <c r="CS32" s="26">
        <f>IF(ISNUMBER(VLOOKUP($D32,'Visu totale'!$D:$DH,CS$1,0)),CR32-VLOOKUP($D32,'Visu totale'!$D:$DH,CS$1,0),IF(LEFT(VLOOKUP($D32,'Visu totale'!$D:$DH,CS$1,0),1)="V",IF(CR32&gt;=INDEX('[1]Définition Maintenances'!$G:$G,MATCH($A32,'[1]Définition Maintenances'!$K:$K,0)),CR32,INDEX('[1]Définition Maintenances'!$G:$G,MATCH($A32,'[1]Définition Maintenances'!$K:$K,0))+CR32),CR32))</f>
        <v>412</v>
      </c>
      <c r="CT32" s="26">
        <f>IF(ISNUMBER(VLOOKUP($D32,'Visu totale'!$D:$DH,CT$1,0)),CS32-VLOOKUP($D32,'Visu totale'!$D:$DH,CT$1,0),IF(LEFT(VLOOKUP($D32,'Visu totale'!$D:$DH,CT$1,0),1)="V",IF(CS32&gt;=INDEX('[1]Définition Maintenances'!$G:$G,MATCH($A32,'[1]Définition Maintenances'!$K:$K,0)),CS32,INDEX('[1]Définition Maintenances'!$G:$G,MATCH($A32,'[1]Définition Maintenances'!$K:$K,0))+CS32),CS32))</f>
        <v>412</v>
      </c>
      <c r="CU32" s="26">
        <f>IF(ISNUMBER(VLOOKUP($D32,'Visu totale'!$D:$DH,CU$1,0)),CT32-VLOOKUP($D32,'Visu totale'!$D:$DH,CU$1,0),IF(LEFT(VLOOKUP($D32,'Visu totale'!$D:$DH,CU$1,0),1)="V",IF(CT32&gt;=INDEX('[1]Définition Maintenances'!$G:$G,MATCH($A32,'[1]Définition Maintenances'!$K:$K,0)),CT32,INDEX('[1]Définition Maintenances'!$G:$G,MATCH($A32,'[1]Définition Maintenances'!$K:$K,0))+CT32),CT32))</f>
        <v>412</v>
      </c>
      <c r="CV32" s="26">
        <f>IF(ISNUMBER(VLOOKUP($D32,'Visu totale'!$D:$DH,CV$1,0)),CU32-VLOOKUP($D32,'Visu totale'!$D:$DH,CV$1,0),IF(LEFT(VLOOKUP($D32,'Visu totale'!$D:$DH,CV$1,0),1)="V",IF(CU32&gt;=INDEX('[1]Définition Maintenances'!$G:$G,MATCH($A32,'[1]Définition Maintenances'!$K:$K,0)),CU32,INDEX('[1]Définition Maintenances'!$G:$G,MATCH($A32,'[1]Définition Maintenances'!$K:$K,0))+CU32),CU32))</f>
        <v>412</v>
      </c>
      <c r="CW32" s="27">
        <f>IF(ISNUMBER(VLOOKUP($D32,'Visu totale'!$D:$DH,CW$1,0)),CV32-VLOOKUP($D32,'Visu totale'!$D:$DH,CW$1,0),IF(LEFT(VLOOKUP($D32,'Visu totale'!$D:$DH,CW$1,0),1)="V",IF(CV32&gt;=INDEX('[1]Définition Maintenances'!$G:$G,MATCH($A32,'[1]Définition Maintenances'!$K:$K,0)),CV32,INDEX('[1]Définition Maintenances'!$G:$G,MATCH($A32,'[1]Définition Maintenances'!$K:$K,0))+CV32),CV32))</f>
        <v>412</v>
      </c>
      <c r="CX32" s="25">
        <f>IF(ISNUMBER(VLOOKUP($D32,'Visu totale'!$D:$DH,CX$1,0)),CW32-VLOOKUP($D32,'Visu totale'!$D:$DH,CX$1,0),IF(LEFT(VLOOKUP($D32,'Visu totale'!$D:$DH,CX$1,0),1)="V",IF(CW32&gt;=INDEX('[1]Définition Maintenances'!$G:$G,MATCH($A32,'[1]Définition Maintenances'!$K:$K,0)),CW32,INDEX('[1]Définition Maintenances'!$G:$G,MATCH($A32,'[1]Définition Maintenances'!$K:$K,0))+CW32),CW32))</f>
        <v>412</v>
      </c>
      <c r="CY32" s="26">
        <f>IF(ISNUMBER(VLOOKUP($D32,'Visu totale'!$D:$DH,CY$1,0)),CX32-VLOOKUP($D32,'Visu totale'!$D:$DH,CY$1,0),IF(LEFT(VLOOKUP($D32,'Visu totale'!$D:$DH,CY$1,0),1)="V",IF(CX32&gt;=INDEX('[1]Définition Maintenances'!$G:$G,MATCH($A32,'[1]Définition Maintenances'!$K:$K,0)),CX32,INDEX('[1]Définition Maintenances'!$G:$G,MATCH($A32,'[1]Définition Maintenances'!$K:$K,0))+CX32),CX32))</f>
        <v>412</v>
      </c>
      <c r="CZ32" s="26">
        <f>IF(ISNUMBER(VLOOKUP($D32,'Visu totale'!$D:$DH,CZ$1,0)),CY32-VLOOKUP($D32,'Visu totale'!$D:$DH,CZ$1,0),IF(LEFT(VLOOKUP($D32,'Visu totale'!$D:$DH,CZ$1,0),1)="V",IF(CY32&gt;=INDEX('[1]Définition Maintenances'!$G:$G,MATCH($A32,'[1]Définition Maintenances'!$K:$K,0)),CY32,INDEX('[1]Définition Maintenances'!$G:$G,MATCH($A32,'[1]Définition Maintenances'!$K:$K,0))+CY32),CY32))</f>
        <v>412</v>
      </c>
      <c r="DA32" s="26">
        <f>IF(ISNUMBER(VLOOKUP($D32,'Visu totale'!$D:$DH,DA$1,0)),CZ32-VLOOKUP($D32,'Visu totale'!$D:$DH,DA$1,0),IF(LEFT(VLOOKUP($D32,'Visu totale'!$D:$DH,DA$1,0),1)="V",IF(CZ32&gt;=INDEX('[1]Définition Maintenances'!$G:$G,MATCH($A32,'[1]Définition Maintenances'!$K:$K,0)),CZ32,INDEX('[1]Définition Maintenances'!$G:$G,MATCH($A32,'[1]Définition Maintenances'!$K:$K,0))+CZ32),CZ32))</f>
        <v>412</v>
      </c>
      <c r="DB32" s="26">
        <f>IF(ISNUMBER(VLOOKUP($D32,'Visu totale'!$D:$DH,DB$1,0)),DA32-VLOOKUP($D32,'Visu totale'!$D:$DH,DB$1,0),IF(LEFT(VLOOKUP($D32,'Visu totale'!$D:$DH,DB$1,0),1)="V",IF(DA32&gt;=INDEX('[1]Définition Maintenances'!$G:$G,MATCH($A32,'[1]Définition Maintenances'!$K:$K,0)),DA32,INDEX('[1]Définition Maintenances'!$G:$G,MATCH($A32,'[1]Définition Maintenances'!$K:$K,0))+DA32),DA32))</f>
        <v>412</v>
      </c>
      <c r="DC32" s="26">
        <f>IF(ISNUMBER(VLOOKUP($D32,'Visu totale'!$D:$DH,DC$1,0)),DB32-VLOOKUP($D32,'Visu totale'!$D:$DH,DC$1,0),IF(LEFT(VLOOKUP($D32,'Visu totale'!$D:$DH,DC$1,0),1)="V",IF(DB32&gt;=INDEX('[1]Définition Maintenances'!$G:$G,MATCH($A32,'[1]Définition Maintenances'!$K:$K,0)),DB32,INDEX('[1]Définition Maintenances'!$G:$G,MATCH($A32,'[1]Définition Maintenances'!$K:$K,0))+DB32),DB32))</f>
        <v>412</v>
      </c>
      <c r="DD32" s="26">
        <f>IF(ISNUMBER(VLOOKUP($D32,'Visu totale'!$D:$DH,DD$1,0)),DC32-VLOOKUP($D32,'Visu totale'!$D:$DH,DD$1,0),IF(LEFT(VLOOKUP($D32,'Visu totale'!$D:$DH,DD$1,0),1)="V",IF(DC32&gt;=INDEX('[1]Définition Maintenances'!$G:$G,MATCH($A32,'[1]Définition Maintenances'!$K:$K,0)),DC32,INDEX('[1]Définition Maintenances'!$G:$G,MATCH($A32,'[1]Définition Maintenances'!$K:$K,0))+DC32),DC32))</f>
        <v>412</v>
      </c>
      <c r="DE32" s="26">
        <f>IF(ISNUMBER(VLOOKUP($D32,'Visu totale'!$D:$DH,DE$1,0)),DD32-VLOOKUP($D32,'Visu totale'!$D:$DH,DE$1,0),IF(LEFT(VLOOKUP($D32,'Visu totale'!$D:$DH,DE$1,0),1)="V",IF(DD32&gt;=INDEX('[1]Définition Maintenances'!$G:$G,MATCH($A32,'[1]Définition Maintenances'!$K:$K,0)),DD32,INDEX('[1]Définition Maintenances'!$G:$G,MATCH($A32,'[1]Définition Maintenances'!$K:$K,0))+DD32),DD32))</f>
        <v>412</v>
      </c>
      <c r="DF32" s="26">
        <f>IF(ISNUMBER(VLOOKUP($D32,'Visu totale'!$D:$DH,DF$1,0)),DE32-VLOOKUP($D32,'Visu totale'!$D:$DH,DF$1,0),IF(LEFT(VLOOKUP($D32,'Visu totale'!$D:$DH,DF$1,0),1)="V",IF(DE32&gt;=INDEX('[1]Définition Maintenances'!$G:$G,MATCH($A32,'[1]Définition Maintenances'!$K:$K,0)),DE32,INDEX('[1]Définition Maintenances'!$G:$G,MATCH($A32,'[1]Définition Maintenances'!$K:$K,0))+DE32),DE32))</f>
        <v>412</v>
      </c>
      <c r="DG32" s="26">
        <f>IF(ISNUMBER(VLOOKUP($D32,'Visu totale'!$D:$DH,DG$1,0)),DF32-VLOOKUP($D32,'Visu totale'!$D:$DH,DG$1,0),IF(LEFT(VLOOKUP($D32,'Visu totale'!$D:$DH,DG$1,0),1)="V",IF(DF32&gt;=INDEX('[1]Définition Maintenances'!$G:$G,MATCH($A32,'[1]Définition Maintenances'!$K:$K,0)),DF32,INDEX('[1]Définition Maintenances'!$G:$G,MATCH($A32,'[1]Définition Maintenances'!$K:$K,0))+DF32),DF32))</f>
        <v>412</v>
      </c>
      <c r="DH32" s="26">
        <f>IF(ISNUMBER(VLOOKUP($D32,'Visu totale'!$D:$DH,DH$1,0)),DG32-VLOOKUP($D32,'Visu totale'!$D:$DH,DH$1,0),IF(LEFT(VLOOKUP($D32,'Visu totale'!$D:$DH,DH$1,0),1)="V",IF(DG32&gt;=INDEX('[1]Définition Maintenances'!$G:$G,MATCH($A32,'[1]Définition Maintenances'!$K:$K,0)),DG32,INDEX('[1]Définition Maintenances'!$G:$G,MATCH($A32,'[1]Définition Maintenances'!$K:$K,0))+DG32),DG32))</f>
        <v>412</v>
      </c>
      <c r="DI32" s="27">
        <f>IF(ISNUMBER(VLOOKUP($D32,'Visu totale'!$D:$DH,DI$1,0)),DH32-VLOOKUP($D32,'Visu totale'!$D:$DH,DI$1,0),IF(LEFT(VLOOKUP($D32,'Visu totale'!$D:$DH,DI$1,0),1)="V",IF(DH32&gt;=INDEX('[1]Définition Maintenances'!$G:$G,MATCH($A32,'[1]Définition Maintenances'!$K:$K,0)),DH32,INDEX('[1]Définition Maintenances'!$G:$G,MATCH($A32,'[1]Définition Maintenances'!$K:$K,0))+DH32),DH32))</f>
        <v>412</v>
      </c>
    </row>
    <row r="33" spans="1:113" x14ac:dyDescent="0.25">
      <c r="A33" s="13" t="str">
        <f t="shared" si="0"/>
        <v>V10D</v>
      </c>
      <c r="B33" s="13" t="str">
        <f>VLOOKUP(D33,'[1]Avions (Potentiels)'!$B$2:$H$128,7,FALSE)</f>
        <v>V10</v>
      </c>
      <c r="C33" s="13"/>
      <c r="D33" s="16" t="s">
        <v>36</v>
      </c>
      <c r="E33" s="13">
        <f>IFERROR(VALUE(SUBSTITUTE(VLOOKUP(D33,'[1]Avions (Potentiels)'!$B:$E,4,0),".",",")),VALUE(VLOOKUP(D33,'[1]Avions (Potentiels)'!$B:$E,4,0)))</f>
        <v>737</v>
      </c>
      <c r="F33" s="25">
        <f>IF(ISNUMBER(VLOOKUP($D33,'Visu totale'!$D:$DH,F$1,0)),E33-VLOOKUP($D33,'Visu totale'!$D:$DH,F$1,0),IF(LEFT(VLOOKUP($D33,'Visu totale'!$D:$DH,F$1,0),1)="V",IF(E33&gt;=INDEX('[1]Définition Maintenances'!$G:$G,MATCH($A33,'[1]Définition Maintenances'!$K:$K,0)),E33,INDEX('[1]Définition Maintenances'!$G:$G,MATCH($A33,'[1]Définition Maintenances'!$K:$K,0))+E33),E33))</f>
        <v>737</v>
      </c>
      <c r="G33" s="26">
        <f>IF(ISNUMBER(VLOOKUP($D33,'Visu totale'!$D:$DH,G$1,0)),F33-VLOOKUP($D33,'Visu totale'!$D:$DH,G$1,0),IF(LEFT(VLOOKUP($D33,'Visu totale'!$D:$DH,G$1,0),1)="V",IF(F33&gt;=INDEX('[1]Définition Maintenances'!$G:$G,MATCH($A33,'[1]Définition Maintenances'!$K:$K,0)),F33,INDEX('[1]Définition Maintenances'!$G:$G,MATCH($A33,'[1]Définition Maintenances'!$K:$K,0))+F33),F33))</f>
        <v>737</v>
      </c>
      <c r="H33" s="26">
        <f>IF(ISNUMBER(VLOOKUP($D33,'Visu totale'!$D:$DH,H$1,0)),G33-VLOOKUP($D33,'Visu totale'!$D:$DH,H$1,0),IF(LEFT(VLOOKUP($D33,'Visu totale'!$D:$DH,H$1,0),1)="V",IF(G33&gt;=INDEX('[1]Définition Maintenances'!$G:$G,MATCH($A33,'[1]Définition Maintenances'!$K:$K,0)),G33,INDEX('[1]Définition Maintenances'!$G:$G,MATCH($A33,'[1]Définition Maintenances'!$K:$K,0))+G33),G33))</f>
        <v>737</v>
      </c>
      <c r="I33" s="26">
        <f>IF(ISNUMBER(VLOOKUP($D33,'Visu totale'!$D:$DH,I$1,0)),H33-VLOOKUP($D33,'Visu totale'!$D:$DH,I$1,0),IF(LEFT(VLOOKUP($D33,'Visu totale'!$D:$DH,I$1,0),1)="V",IF(H33&gt;=INDEX('[1]Définition Maintenances'!$G:$G,MATCH($A33,'[1]Définition Maintenances'!$K:$K,0)),H33,INDEX('[1]Définition Maintenances'!$G:$G,MATCH($A33,'[1]Définition Maintenances'!$K:$K,0))+H33),H33))</f>
        <v>737</v>
      </c>
      <c r="J33" s="26">
        <f>IF(ISNUMBER(VLOOKUP($D33,'Visu totale'!$D:$DH,J$1,0)),I33-VLOOKUP($D33,'Visu totale'!$D:$DH,J$1,0),IF(LEFT(VLOOKUP($D33,'Visu totale'!$D:$DH,J$1,0),1)="V",IF(I33&gt;=INDEX('[1]Définition Maintenances'!$G:$G,MATCH($A33,'[1]Définition Maintenances'!$K:$K,0)),I33,INDEX('[1]Définition Maintenances'!$G:$G,MATCH($A33,'[1]Définition Maintenances'!$K:$K,0))+I33),I33))</f>
        <v>737</v>
      </c>
      <c r="K33" s="26">
        <f>IF(ISNUMBER(VLOOKUP($D33,'Visu totale'!$D:$DH,K$1,0)),J33-VLOOKUP($D33,'Visu totale'!$D:$DH,K$1,0),IF(LEFT(VLOOKUP($D33,'Visu totale'!$D:$DH,K$1,0),1)="V",IF(J33&gt;=INDEX('[1]Définition Maintenances'!$G:$G,MATCH($A33,'[1]Définition Maintenances'!$K:$K,0)),J33,INDEX('[1]Définition Maintenances'!$G:$G,MATCH($A33,'[1]Définition Maintenances'!$K:$K,0))+J33),J33))</f>
        <v>737</v>
      </c>
      <c r="L33" s="26">
        <f>IF(ISNUMBER(VLOOKUP($D33,'Visu totale'!$D:$DH,L$1,0)),K33-VLOOKUP($D33,'Visu totale'!$D:$DH,L$1,0),IF(LEFT(VLOOKUP($D33,'Visu totale'!$D:$DH,L$1,0),1)="V",IF(K33&gt;=INDEX('[1]Définition Maintenances'!$G:$G,MATCH($A33,'[1]Définition Maintenances'!$K:$K,0)),K33,INDEX('[1]Définition Maintenances'!$G:$G,MATCH($A33,'[1]Définition Maintenances'!$K:$K,0))+K33),K33))</f>
        <v>737</v>
      </c>
      <c r="M33" s="26">
        <f>IF(ISNUMBER(VLOOKUP($D33,'Visu totale'!$D:$DH,M$1,0)),L33-VLOOKUP($D33,'Visu totale'!$D:$DH,M$1,0),IF(LEFT(VLOOKUP($D33,'Visu totale'!$D:$DH,M$1,0),1)="V",IF(L33&gt;=INDEX('[1]Définition Maintenances'!$G:$G,MATCH($A33,'[1]Définition Maintenances'!$K:$K,0)),L33,INDEX('[1]Définition Maintenances'!$G:$G,MATCH($A33,'[1]Définition Maintenances'!$K:$K,0))+L33),L33))</f>
        <v>737</v>
      </c>
      <c r="N33" s="26">
        <f>IF(ISNUMBER(VLOOKUP($D33,'Visu totale'!$D:$DH,N$1,0)),M33-VLOOKUP($D33,'Visu totale'!$D:$DH,N$1,0),IF(LEFT(VLOOKUP($D33,'Visu totale'!$D:$DH,N$1,0),1)="V",IF(M33&gt;=INDEX('[1]Définition Maintenances'!$G:$G,MATCH($A33,'[1]Définition Maintenances'!$K:$K,0)),M33,INDEX('[1]Définition Maintenances'!$G:$G,MATCH($A33,'[1]Définition Maintenances'!$K:$K,0))+M33),M33))</f>
        <v>737</v>
      </c>
      <c r="O33" s="26">
        <f>IF(ISNUMBER(VLOOKUP($D33,'Visu totale'!$D:$DH,O$1,0)),N33-VLOOKUP($D33,'Visu totale'!$D:$DH,O$1,0),IF(LEFT(VLOOKUP($D33,'Visu totale'!$D:$DH,O$1,0),1)="V",IF(N33&gt;=INDEX('[1]Définition Maintenances'!$G:$G,MATCH($A33,'[1]Définition Maintenances'!$K:$K,0)),N33,INDEX('[1]Définition Maintenances'!$G:$G,MATCH($A33,'[1]Définition Maintenances'!$K:$K,0))+N33),N33))</f>
        <v>737</v>
      </c>
      <c r="P33" s="26">
        <f>IF(ISNUMBER(VLOOKUP($D33,'Visu totale'!$D:$DH,P$1,0)),O33-VLOOKUP($D33,'Visu totale'!$D:$DH,P$1,0),IF(LEFT(VLOOKUP($D33,'Visu totale'!$D:$DH,P$1,0),1)="V",IF(O33&gt;=INDEX('[1]Définition Maintenances'!$G:$G,MATCH($A33,'[1]Définition Maintenances'!$K:$K,0)),O33,INDEX('[1]Définition Maintenances'!$G:$G,MATCH($A33,'[1]Définition Maintenances'!$K:$K,0))+O33),O33))</f>
        <v>737</v>
      </c>
      <c r="Q33" s="27">
        <f>IF(ISNUMBER(VLOOKUP($D33,'Visu totale'!$D:$DH,Q$1,0)),P33-VLOOKUP($D33,'Visu totale'!$D:$DH,Q$1,0),IF(LEFT(VLOOKUP($D33,'Visu totale'!$D:$DH,Q$1,0),1)="V",IF(P33&gt;=INDEX('[1]Définition Maintenances'!$G:$G,MATCH($A33,'[1]Définition Maintenances'!$K:$K,0)),P33,INDEX('[1]Définition Maintenances'!$G:$G,MATCH($A33,'[1]Définition Maintenances'!$K:$K,0))+P33),P33))</f>
        <v>737</v>
      </c>
      <c r="R33" s="25">
        <f>IF(ISNUMBER(VLOOKUP($D33,'Visu totale'!$D:$DH,R$1,0)),Q33-VLOOKUP($D33,'Visu totale'!$D:$DH,R$1,0),IF(LEFT(VLOOKUP($D33,'Visu totale'!$D:$DH,R$1,0),1)="V",IF(Q33&gt;=INDEX('[1]Définition Maintenances'!$G:$G,MATCH($A33,'[1]Définition Maintenances'!$K:$K,0)),Q33,INDEX('[1]Définition Maintenances'!$G:$G,MATCH($A33,'[1]Définition Maintenances'!$K:$K,0))+Q33),Q33))</f>
        <v>737</v>
      </c>
      <c r="S33" s="26">
        <f>IF(ISNUMBER(VLOOKUP($D33,'Visu totale'!$D:$DH,S$1,0)),R33-VLOOKUP($D33,'Visu totale'!$D:$DH,S$1,0),IF(LEFT(VLOOKUP($D33,'Visu totale'!$D:$DH,S$1,0),1)="V",IF(R33&gt;=INDEX('[1]Définition Maintenances'!$G:$G,MATCH($A33,'[1]Définition Maintenances'!$K:$K,0)),R33,INDEX('[1]Définition Maintenances'!$G:$G,MATCH($A33,'[1]Définition Maintenances'!$K:$K,0))+R33),R33))</f>
        <v>737</v>
      </c>
      <c r="T33" s="26">
        <f>IF(ISNUMBER(VLOOKUP($D33,'Visu totale'!$D:$DH,T$1,0)),S33-VLOOKUP($D33,'Visu totale'!$D:$DH,T$1,0),IF(LEFT(VLOOKUP($D33,'Visu totale'!$D:$DH,T$1,0),1)="V",IF(S33&gt;=INDEX('[1]Définition Maintenances'!$G:$G,MATCH($A33,'[1]Définition Maintenances'!$K:$K,0)),S33,INDEX('[1]Définition Maintenances'!$G:$G,MATCH($A33,'[1]Définition Maintenances'!$K:$K,0))+S33),S33))</f>
        <v>737</v>
      </c>
      <c r="U33" s="26">
        <f>IF(ISNUMBER(VLOOKUP($D33,'Visu totale'!$D:$DH,U$1,0)),T33-VLOOKUP($D33,'Visu totale'!$D:$DH,U$1,0),IF(LEFT(VLOOKUP($D33,'Visu totale'!$D:$DH,U$1,0),1)="V",IF(T33&gt;=INDEX('[1]Définition Maintenances'!$G:$G,MATCH($A33,'[1]Définition Maintenances'!$K:$K,0)),T33,INDEX('[1]Définition Maintenances'!$G:$G,MATCH($A33,'[1]Définition Maintenances'!$K:$K,0))+T33),T33))</f>
        <v>737</v>
      </c>
      <c r="V33" s="26">
        <f>IF(ISNUMBER(VLOOKUP($D33,'Visu totale'!$D:$DH,V$1,0)),U33-VLOOKUP($D33,'Visu totale'!$D:$DH,V$1,0),IF(LEFT(VLOOKUP($D33,'Visu totale'!$D:$DH,V$1,0),1)="V",IF(U33&gt;=INDEX('[1]Définition Maintenances'!$G:$G,MATCH($A33,'[1]Définition Maintenances'!$K:$K,0)),U33,INDEX('[1]Définition Maintenances'!$G:$G,MATCH($A33,'[1]Définition Maintenances'!$K:$K,0))+U33),U33))</f>
        <v>737</v>
      </c>
      <c r="W33" s="26">
        <f>IF(ISNUMBER(VLOOKUP($D33,'Visu totale'!$D:$DH,W$1,0)),V33-VLOOKUP($D33,'Visu totale'!$D:$DH,W$1,0),IF(LEFT(VLOOKUP($D33,'Visu totale'!$D:$DH,W$1,0),1)="V",IF(V33&gt;=INDEX('[1]Définition Maintenances'!$G:$G,MATCH($A33,'[1]Définition Maintenances'!$K:$K,0)),V33,INDEX('[1]Définition Maintenances'!$G:$G,MATCH($A33,'[1]Définition Maintenances'!$K:$K,0))+V33),V33))</f>
        <v>737</v>
      </c>
      <c r="X33" s="26">
        <f>IF(ISNUMBER(VLOOKUP($D33,'Visu totale'!$D:$DH,X$1,0)),W33-VLOOKUP($D33,'Visu totale'!$D:$DH,X$1,0),IF(LEFT(VLOOKUP($D33,'Visu totale'!$D:$DH,X$1,0),1)="V",IF(W33&gt;=INDEX('[1]Définition Maintenances'!$G:$G,MATCH($A33,'[1]Définition Maintenances'!$K:$K,0)),W33,INDEX('[1]Définition Maintenances'!$G:$G,MATCH($A33,'[1]Définition Maintenances'!$K:$K,0))+W33),W33))</f>
        <v>737</v>
      </c>
      <c r="Y33" s="26">
        <f>IF(ISNUMBER(VLOOKUP($D33,'Visu totale'!$D:$DH,Y$1,0)),X33-VLOOKUP($D33,'Visu totale'!$D:$DH,Y$1,0),IF(LEFT(VLOOKUP($D33,'Visu totale'!$D:$DH,Y$1,0),1)="V",IF(X33&gt;=INDEX('[1]Définition Maintenances'!$G:$G,MATCH($A33,'[1]Définition Maintenances'!$K:$K,0)),X33,INDEX('[1]Définition Maintenances'!$G:$G,MATCH($A33,'[1]Définition Maintenances'!$K:$K,0))+X33),X33))</f>
        <v>737</v>
      </c>
      <c r="Z33" s="26">
        <f>IF(ISNUMBER(VLOOKUP($D33,'Visu totale'!$D:$DH,Z$1,0)),Y33-VLOOKUP($D33,'Visu totale'!$D:$DH,Z$1,0),IF(LEFT(VLOOKUP($D33,'Visu totale'!$D:$DH,Z$1,0),1)="V",IF(Y33&gt;=INDEX('[1]Définition Maintenances'!$G:$G,MATCH($A33,'[1]Définition Maintenances'!$K:$K,0)),Y33,INDEX('[1]Définition Maintenances'!$G:$G,MATCH($A33,'[1]Définition Maintenances'!$K:$K,0))+Y33),Y33))</f>
        <v>737</v>
      </c>
      <c r="AA33" s="26">
        <f>IF(ISNUMBER(VLOOKUP($D33,'Visu totale'!$D:$DH,AA$1,0)),Z33-VLOOKUP($D33,'Visu totale'!$D:$DH,AA$1,0),IF(LEFT(VLOOKUP($D33,'Visu totale'!$D:$DH,AA$1,0),1)="V",IF(Z33&gt;=INDEX('[1]Définition Maintenances'!$G:$G,MATCH($A33,'[1]Définition Maintenances'!$K:$K,0)),Z33,INDEX('[1]Définition Maintenances'!$G:$G,MATCH($A33,'[1]Définition Maintenances'!$K:$K,0))+Z33),Z33))</f>
        <v>737</v>
      </c>
      <c r="AB33" s="26">
        <f>IF(ISNUMBER(VLOOKUP($D33,'Visu totale'!$D:$DH,AB$1,0)),AA33-VLOOKUP($D33,'Visu totale'!$D:$DH,AB$1,0),IF(LEFT(VLOOKUP($D33,'Visu totale'!$D:$DH,AB$1,0),1)="V",IF(AA33&gt;=INDEX('[1]Définition Maintenances'!$G:$G,MATCH($A33,'[1]Définition Maintenances'!$K:$K,0)),AA33,INDEX('[1]Définition Maintenances'!$G:$G,MATCH($A33,'[1]Définition Maintenances'!$K:$K,0))+AA33),AA33))</f>
        <v>737</v>
      </c>
      <c r="AC33" s="27">
        <f>IF(ISNUMBER(VLOOKUP($D33,'Visu totale'!$D:$DH,AC$1,0)),AB33-VLOOKUP($D33,'Visu totale'!$D:$DH,AC$1,0),IF(LEFT(VLOOKUP($D33,'Visu totale'!$D:$DH,AC$1,0),1)="V",IF(AB33&gt;=INDEX('[1]Définition Maintenances'!$G:$G,MATCH($A33,'[1]Définition Maintenances'!$K:$K,0)),AB33,INDEX('[1]Définition Maintenances'!$G:$G,MATCH($A33,'[1]Définition Maintenances'!$K:$K,0))+AB33),AB33))</f>
        <v>737</v>
      </c>
      <c r="AD33" s="25">
        <f>IF(ISNUMBER(VLOOKUP($D33,'Visu totale'!$D:$DH,AD$1,0)),AC33-VLOOKUP($D33,'Visu totale'!$D:$DH,AD$1,0),IF(LEFT(VLOOKUP($D33,'Visu totale'!$D:$DH,AD$1,0),1)="V",IF(AC33&gt;=INDEX('[1]Définition Maintenances'!$G:$G,MATCH($A33,'[1]Définition Maintenances'!$K:$K,0)),AC33,INDEX('[1]Définition Maintenances'!$G:$G,MATCH($A33,'[1]Définition Maintenances'!$K:$K,0))+AC33),AC33))</f>
        <v>737</v>
      </c>
      <c r="AE33" s="26">
        <f>IF(ISNUMBER(VLOOKUP($D33,'Visu totale'!$D:$DH,AE$1,0)),AD33-VLOOKUP($D33,'Visu totale'!$D:$DH,AE$1,0),IF(LEFT(VLOOKUP($D33,'Visu totale'!$D:$DH,AE$1,0),1)="V",IF(AD33&gt;=INDEX('[1]Définition Maintenances'!$G:$G,MATCH($A33,'[1]Définition Maintenances'!$K:$K,0)),AD33,INDEX('[1]Définition Maintenances'!$G:$G,MATCH($A33,'[1]Définition Maintenances'!$K:$K,0))+AD33),AD33))</f>
        <v>737</v>
      </c>
      <c r="AF33" s="26">
        <f>IF(ISNUMBER(VLOOKUP($D33,'Visu totale'!$D:$DH,AF$1,0)),AE33-VLOOKUP($D33,'Visu totale'!$D:$DH,AF$1,0),IF(LEFT(VLOOKUP($D33,'Visu totale'!$D:$DH,AF$1,0),1)="V",IF(AE33&gt;=INDEX('[1]Définition Maintenances'!$G:$G,MATCH($A33,'[1]Définition Maintenances'!$K:$K,0)),AE33,INDEX('[1]Définition Maintenances'!$G:$G,MATCH($A33,'[1]Définition Maintenances'!$K:$K,0))+AE33),AE33))</f>
        <v>737</v>
      </c>
      <c r="AG33" s="26">
        <f>IF(ISNUMBER(VLOOKUP($D33,'Visu totale'!$D:$DH,AG$1,0)),AF33-VLOOKUP($D33,'Visu totale'!$D:$DH,AG$1,0),IF(LEFT(VLOOKUP($D33,'Visu totale'!$D:$DH,AG$1,0),1)="V",IF(AF33&gt;=INDEX('[1]Définition Maintenances'!$G:$G,MATCH($A33,'[1]Définition Maintenances'!$K:$K,0)),AF33,INDEX('[1]Définition Maintenances'!$G:$G,MATCH($A33,'[1]Définition Maintenances'!$K:$K,0))+AF33),AF33))</f>
        <v>737</v>
      </c>
      <c r="AH33" s="26">
        <f>IF(ISNUMBER(VLOOKUP($D33,'Visu totale'!$D:$DH,AH$1,0)),AG33-VLOOKUP($D33,'Visu totale'!$D:$DH,AH$1,0),IF(LEFT(VLOOKUP($D33,'Visu totale'!$D:$DH,AH$1,0),1)="V",IF(AG33&gt;=INDEX('[1]Définition Maintenances'!$G:$G,MATCH($A33,'[1]Définition Maintenances'!$K:$K,0)),AG33,INDEX('[1]Définition Maintenances'!$G:$G,MATCH($A33,'[1]Définition Maintenances'!$K:$K,0))+AG33),AG33))</f>
        <v>737</v>
      </c>
      <c r="AI33" s="26">
        <f>IF(ISNUMBER(VLOOKUP($D33,'Visu totale'!$D:$DH,AI$1,0)),AH33-VLOOKUP($D33,'Visu totale'!$D:$DH,AI$1,0),IF(LEFT(VLOOKUP($D33,'Visu totale'!$D:$DH,AI$1,0),1)="V",IF(AH33&gt;=INDEX('[1]Définition Maintenances'!$G:$G,MATCH($A33,'[1]Définition Maintenances'!$K:$K,0)),AH33,INDEX('[1]Définition Maintenances'!$G:$G,MATCH($A33,'[1]Définition Maintenances'!$K:$K,0))+AH33),AH33))</f>
        <v>737</v>
      </c>
      <c r="AJ33" s="26">
        <f>IF(ISNUMBER(VLOOKUP($D33,'Visu totale'!$D:$DH,AJ$1,0)),AI33-VLOOKUP($D33,'Visu totale'!$D:$DH,AJ$1,0),IF(LEFT(VLOOKUP($D33,'Visu totale'!$D:$DH,AJ$1,0),1)="V",IF(AI33&gt;=INDEX('[1]Définition Maintenances'!$G:$G,MATCH($A33,'[1]Définition Maintenances'!$K:$K,0)),AI33,INDEX('[1]Définition Maintenances'!$G:$G,MATCH($A33,'[1]Définition Maintenances'!$K:$K,0))+AI33),AI33))</f>
        <v>737</v>
      </c>
      <c r="AK33" s="26">
        <f>IF(ISNUMBER(VLOOKUP($D33,'Visu totale'!$D:$DH,AK$1,0)),AJ33-VLOOKUP($D33,'Visu totale'!$D:$DH,AK$1,0),IF(LEFT(VLOOKUP($D33,'Visu totale'!$D:$DH,AK$1,0),1)="V",IF(AJ33&gt;=INDEX('[1]Définition Maintenances'!$G:$G,MATCH($A33,'[1]Définition Maintenances'!$K:$K,0)),AJ33,INDEX('[1]Définition Maintenances'!$G:$G,MATCH($A33,'[1]Définition Maintenances'!$K:$K,0))+AJ33),AJ33))</f>
        <v>737</v>
      </c>
      <c r="AL33" s="26">
        <f>IF(ISNUMBER(VLOOKUP($D33,'Visu totale'!$D:$DH,AL$1,0)),AK33-VLOOKUP($D33,'Visu totale'!$D:$DH,AL$1,0),IF(LEFT(VLOOKUP($D33,'Visu totale'!$D:$DH,AL$1,0),1)="V",IF(AK33&gt;=INDEX('[1]Définition Maintenances'!$G:$G,MATCH($A33,'[1]Définition Maintenances'!$K:$K,0)),AK33,INDEX('[1]Définition Maintenances'!$G:$G,MATCH($A33,'[1]Définition Maintenances'!$K:$K,0))+AK33),AK33))</f>
        <v>737</v>
      </c>
      <c r="AM33" s="26">
        <f>IF(ISNUMBER(VLOOKUP($D33,'Visu totale'!$D:$DH,AM$1,0)),AL33-VLOOKUP($D33,'Visu totale'!$D:$DH,AM$1,0),IF(LEFT(VLOOKUP($D33,'Visu totale'!$D:$DH,AM$1,0),1)="V",IF(AL33&gt;=INDEX('[1]Définition Maintenances'!$G:$G,MATCH($A33,'[1]Définition Maintenances'!$K:$K,0)),AL33,INDEX('[1]Définition Maintenances'!$G:$G,MATCH($A33,'[1]Définition Maintenances'!$K:$K,0))+AL33),AL33))</f>
        <v>737</v>
      </c>
      <c r="AN33" s="26">
        <f>IF(ISNUMBER(VLOOKUP($D33,'Visu totale'!$D:$DH,AN$1,0)),AM33-VLOOKUP($D33,'Visu totale'!$D:$DH,AN$1,0),IF(LEFT(VLOOKUP($D33,'Visu totale'!$D:$DH,AN$1,0),1)="V",IF(AM33&gt;=INDEX('[1]Définition Maintenances'!$G:$G,MATCH($A33,'[1]Définition Maintenances'!$K:$K,0)),AM33,INDEX('[1]Définition Maintenances'!$G:$G,MATCH($A33,'[1]Définition Maintenances'!$K:$K,0))+AM33),AM33))</f>
        <v>737</v>
      </c>
      <c r="AO33" s="27">
        <f>IF(ISNUMBER(VLOOKUP($D33,'Visu totale'!$D:$DH,AO$1,0)),AN33-VLOOKUP($D33,'Visu totale'!$D:$DH,AO$1,0),IF(LEFT(VLOOKUP($D33,'Visu totale'!$D:$DH,AO$1,0),1)="V",IF(AN33&gt;=INDEX('[1]Définition Maintenances'!$G:$G,MATCH($A33,'[1]Définition Maintenances'!$K:$K,0)),AN33,INDEX('[1]Définition Maintenances'!$G:$G,MATCH($A33,'[1]Définition Maintenances'!$K:$K,0))+AN33),AN33))</f>
        <v>737</v>
      </c>
      <c r="AP33" s="25">
        <f>IF(ISNUMBER(VLOOKUP($D33,'Visu totale'!$D:$DH,AP$1,0)),AO33-VLOOKUP($D33,'Visu totale'!$D:$DH,AP$1,0),IF(LEFT(VLOOKUP($D33,'Visu totale'!$D:$DH,AP$1,0),1)="V",IF(AO33&gt;=INDEX('[1]Définition Maintenances'!$G:$G,MATCH($A33,'[1]Définition Maintenances'!$K:$K,0)),AO33,INDEX('[1]Définition Maintenances'!$G:$G,MATCH($A33,'[1]Définition Maintenances'!$K:$K,0))+AO33),AO33))</f>
        <v>737</v>
      </c>
      <c r="AQ33" s="26">
        <f>IF(ISNUMBER(VLOOKUP($D33,'Visu totale'!$D:$DH,AQ$1,0)),AP33-VLOOKUP($D33,'Visu totale'!$D:$DH,AQ$1,0),IF(LEFT(VLOOKUP($D33,'Visu totale'!$D:$DH,AQ$1,0),1)="V",IF(AP33&gt;=INDEX('[1]Définition Maintenances'!$G:$G,MATCH($A33,'[1]Définition Maintenances'!$K:$K,0)),AP33,INDEX('[1]Définition Maintenances'!$G:$G,MATCH($A33,'[1]Définition Maintenances'!$K:$K,0))+AP33),AP33))</f>
        <v>737</v>
      </c>
      <c r="AR33" s="26">
        <f>IF(ISNUMBER(VLOOKUP($D33,'Visu totale'!$D:$DH,AR$1,0)),AQ33-VLOOKUP($D33,'Visu totale'!$D:$DH,AR$1,0),IF(LEFT(VLOOKUP($D33,'Visu totale'!$D:$DH,AR$1,0),1)="V",IF(AQ33&gt;=INDEX('[1]Définition Maintenances'!$G:$G,MATCH($A33,'[1]Définition Maintenances'!$K:$K,0)),AQ33,INDEX('[1]Définition Maintenances'!$G:$G,MATCH($A33,'[1]Définition Maintenances'!$K:$K,0))+AQ33),AQ33))</f>
        <v>737</v>
      </c>
      <c r="AS33" s="26">
        <f>IF(ISNUMBER(VLOOKUP($D33,'Visu totale'!$D:$DH,AS$1,0)),AR33-VLOOKUP($D33,'Visu totale'!$D:$DH,AS$1,0),IF(LEFT(VLOOKUP($D33,'Visu totale'!$D:$DH,AS$1,0),1)="V",IF(AR33&gt;=INDEX('[1]Définition Maintenances'!$G:$G,MATCH($A33,'[1]Définition Maintenances'!$K:$K,0)),AR33,INDEX('[1]Définition Maintenances'!$G:$G,MATCH($A33,'[1]Définition Maintenances'!$K:$K,0))+AR33),AR33))</f>
        <v>737</v>
      </c>
      <c r="AT33" s="26">
        <f>IF(ISNUMBER(VLOOKUP($D33,'Visu totale'!$D:$DH,AT$1,0)),AS33-VLOOKUP($D33,'Visu totale'!$D:$DH,AT$1,0),IF(LEFT(VLOOKUP($D33,'Visu totale'!$D:$DH,AT$1,0),1)="V",IF(AS33&gt;=INDEX('[1]Définition Maintenances'!$G:$G,MATCH($A33,'[1]Définition Maintenances'!$K:$K,0)),AS33,INDEX('[1]Définition Maintenances'!$G:$G,MATCH($A33,'[1]Définition Maintenances'!$K:$K,0))+AS33),AS33))</f>
        <v>737</v>
      </c>
      <c r="AU33" s="26">
        <f>IF(ISNUMBER(VLOOKUP($D33,'Visu totale'!$D:$DH,AU$1,0)),AT33-VLOOKUP($D33,'Visu totale'!$D:$DH,AU$1,0),IF(LEFT(VLOOKUP($D33,'Visu totale'!$D:$DH,AU$1,0),1)="V",IF(AT33&gt;=INDEX('[1]Définition Maintenances'!$G:$G,MATCH($A33,'[1]Définition Maintenances'!$K:$K,0)),AT33,INDEX('[1]Définition Maintenances'!$G:$G,MATCH($A33,'[1]Définition Maintenances'!$K:$K,0))+AT33),AT33))</f>
        <v>737</v>
      </c>
      <c r="AV33" s="26">
        <f>IF(ISNUMBER(VLOOKUP($D33,'Visu totale'!$D:$DH,AV$1,0)),AU33-VLOOKUP($D33,'Visu totale'!$D:$DH,AV$1,0),IF(LEFT(VLOOKUP($D33,'Visu totale'!$D:$DH,AV$1,0),1)="V",IF(AU33&gt;=INDEX('[1]Définition Maintenances'!$G:$G,MATCH($A33,'[1]Définition Maintenances'!$K:$K,0)),AU33,INDEX('[1]Définition Maintenances'!$G:$G,MATCH($A33,'[1]Définition Maintenances'!$K:$K,0))+AU33),AU33))</f>
        <v>737</v>
      </c>
      <c r="AW33" s="26">
        <f>IF(ISNUMBER(VLOOKUP($D33,'Visu totale'!$D:$DH,AW$1,0)),AV33-VLOOKUP($D33,'Visu totale'!$D:$DH,AW$1,0),IF(LEFT(VLOOKUP($D33,'Visu totale'!$D:$DH,AW$1,0),1)="V",IF(AV33&gt;=INDEX('[1]Définition Maintenances'!$G:$G,MATCH($A33,'[1]Définition Maintenances'!$K:$K,0)),AV33,INDEX('[1]Définition Maintenances'!$G:$G,MATCH($A33,'[1]Définition Maintenances'!$K:$K,0))+AV33),AV33))</f>
        <v>737</v>
      </c>
      <c r="AX33" s="26">
        <f>IF(ISNUMBER(VLOOKUP($D33,'Visu totale'!$D:$DH,AX$1,0)),AW33-VLOOKUP($D33,'Visu totale'!$D:$DH,AX$1,0),IF(LEFT(VLOOKUP($D33,'Visu totale'!$D:$DH,AX$1,0),1)="V",IF(AW33&gt;=INDEX('[1]Définition Maintenances'!$G:$G,MATCH($A33,'[1]Définition Maintenances'!$K:$K,0)),AW33,INDEX('[1]Définition Maintenances'!$G:$G,MATCH($A33,'[1]Définition Maintenances'!$K:$K,0))+AW33),AW33))</f>
        <v>737</v>
      </c>
      <c r="AY33" s="26">
        <f>IF(ISNUMBER(VLOOKUP($D33,'Visu totale'!$D:$DH,AY$1,0)),AX33-VLOOKUP($D33,'Visu totale'!$D:$DH,AY$1,0),IF(LEFT(VLOOKUP($D33,'Visu totale'!$D:$DH,AY$1,0),1)="V",IF(AX33&gt;=INDEX('[1]Définition Maintenances'!$G:$G,MATCH($A33,'[1]Définition Maintenances'!$K:$K,0)),AX33,INDEX('[1]Définition Maintenances'!$G:$G,MATCH($A33,'[1]Définition Maintenances'!$K:$K,0))+AX33),AX33))</f>
        <v>737</v>
      </c>
      <c r="AZ33" s="26">
        <f>IF(ISNUMBER(VLOOKUP($D33,'Visu totale'!$D:$DH,AZ$1,0)),AY33-VLOOKUP($D33,'Visu totale'!$D:$DH,AZ$1,0),IF(LEFT(VLOOKUP($D33,'Visu totale'!$D:$DH,AZ$1,0),1)="V",IF(AY33&gt;=INDEX('[1]Définition Maintenances'!$G:$G,MATCH($A33,'[1]Définition Maintenances'!$K:$K,0)),AY33,INDEX('[1]Définition Maintenances'!$G:$G,MATCH($A33,'[1]Définition Maintenances'!$K:$K,0))+AY33),AY33))</f>
        <v>737</v>
      </c>
      <c r="BA33" s="27">
        <f>IF(ISNUMBER(VLOOKUP($D33,'Visu totale'!$D:$DH,BA$1,0)),AZ33-VLOOKUP($D33,'Visu totale'!$D:$DH,BA$1,0),IF(LEFT(VLOOKUP($D33,'Visu totale'!$D:$DH,BA$1,0),1)="V",IF(AZ33&gt;=INDEX('[1]Définition Maintenances'!$G:$G,MATCH($A33,'[1]Définition Maintenances'!$K:$K,0)),AZ33,INDEX('[1]Définition Maintenances'!$G:$G,MATCH($A33,'[1]Définition Maintenances'!$K:$K,0))+AZ33),AZ33))</f>
        <v>737</v>
      </c>
      <c r="BB33" s="25">
        <f>IF(ISNUMBER(VLOOKUP($D33,'Visu totale'!$D:$DH,BB$1,0)),BA33-VLOOKUP($D33,'Visu totale'!$D:$DH,BB$1,0),IF(LEFT(VLOOKUP($D33,'Visu totale'!$D:$DH,BB$1,0),1)="V",IF(BA33&gt;=INDEX('[1]Définition Maintenances'!$G:$G,MATCH($A33,'[1]Définition Maintenances'!$K:$K,0)),BA33,INDEX('[1]Définition Maintenances'!$G:$G,MATCH($A33,'[1]Définition Maintenances'!$K:$K,0))+BA33),BA33))</f>
        <v>737</v>
      </c>
      <c r="BC33" s="26">
        <f>IF(ISNUMBER(VLOOKUP($D33,'Visu totale'!$D:$DH,BC$1,0)),BB33-VLOOKUP($D33,'Visu totale'!$D:$DH,BC$1,0),IF(LEFT(VLOOKUP($D33,'Visu totale'!$D:$DH,BC$1,0),1)="V",IF(BB33&gt;=INDEX('[1]Définition Maintenances'!$G:$G,MATCH($A33,'[1]Définition Maintenances'!$K:$K,0)),BB33,INDEX('[1]Définition Maintenances'!$G:$G,MATCH($A33,'[1]Définition Maintenances'!$K:$K,0))+BB33),BB33))</f>
        <v>737</v>
      </c>
      <c r="BD33" s="26">
        <f>IF(ISNUMBER(VLOOKUP($D33,'Visu totale'!$D:$DH,BD$1,0)),BC33-VLOOKUP($D33,'Visu totale'!$D:$DH,BD$1,0),IF(LEFT(VLOOKUP($D33,'Visu totale'!$D:$DH,BD$1,0),1)="V",IF(BC33&gt;=INDEX('[1]Définition Maintenances'!$G:$G,MATCH($A33,'[1]Définition Maintenances'!$K:$K,0)),BC33,INDEX('[1]Définition Maintenances'!$G:$G,MATCH($A33,'[1]Définition Maintenances'!$K:$K,0))+BC33),BC33))</f>
        <v>737</v>
      </c>
      <c r="BE33" s="26">
        <f>IF(ISNUMBER(VLOOKUP($D33,'Visu totale'!$D:$DH,BE$1,0)),BD33-VLOOKUP($D33,'Visu totale'!$D:$DH,BE$1,0),IF(LEFT(VLOOKUP($D33,'Visu totale'!$D:$DH,BE$1,0),1)="V",IF(BD33&gt;=INDEX('[1]Définition Maintenances'!$G:$G,MATCH($A33,'[1]Définition Maintenances'!$K:$K,0)),BD33,INDEX('[1]Définition Maintenances'!$G:$G,MATCH($A33,'[1]Définition Maintenances'!$K:$K,0))+BD33),BD33))</f>
        <v>737</v>
      </c>
      <c r="BF33" s="26">
        <f>IF(ISNUMBER(VLOOKUP($D33,'Visu totale'!$D:$DH,BF$1,0)),BE33-VLOOKUP($D33,'Visu totale'!$D:$DH,BF$1,0),IF(LEFT(VLOOKUP($D33,'Visu totale'!$D:$DH,BF$1,0),1)="V",IF(BE33&gt;=INDEX('[1]Définition Maintenances'!$G:$G,MATCH($A33,'[1]Définition Maintenances'!$K:$K,0)),BE33,INDEX('[1]Définition Maintenances'!$G:$G,MATCH($A33,'[1]Définition Maintenances'!$K:$K,0))+BE33),BE33))</f>
        <v>737</v>
      </c>
      <c r="BG33" s="26">
        <f>IF(ISNUMBER(VLOOKUP($D33,'Visu totale'!$D:$DH,BG$1,0)),BF33-VLOOKUP($D33,'Visu totale'!$D:$DH,BG$1,0),IF(LEFT(VLOOKUP($D33,'Visu totale'!$D:$DH,BG$1,0),1)="V",IF(BF33&gt;=INDEX('[1]Définition Maintenances'!$G:$G,MATCH($A33,'[1]Définition Maintenances'!$K:$K,0)),BF33,INDEX('[1]Définition Maintenances'!$G:$G,MATCH($A33,'[1]Définition Maintenances'!$K:$K,0))+BF33),BF33))</f>
        <v>737</v>
      </c>
      <c r="BH33" s="26">
        <f>IF(ISNUMBER(VLOOKUP($D33,'Visu totale'!$D:$DH,BH$1,0)),BG33-VLOOKUP($D33,'Visu totale'!$D:$DH,BH$1,0),IF(LEFT(VLOOKUP($D33,'Visu totale'!$D:$DH,BH$1,0),1)="V",IF(BG33&gt;=INDEX('[1]Définition Maintenances'!$G:$G,MATCH($A33,'[1]Définition Maintenances'!$K:$K,0)),BG33,INDEX('[1]Définition Maintenances'!$G:$G,MATCH($A33,'[1]Définition Maintenances'!$K:$K,0))+BG33),BG33))</f>
        <v>737</v>
      </c>
      <c r="BI33" s="26">
        <f>IF(ISNUMBER(VLOOKUP($D33,'Visu totale'!$D:$DH,BI$1,0)),BH33-VLOOKUP($D33,'Visu totale'!$D:$DH,BI$1,0),IF(LEFT(VLOOKUP($D33,'Visu totale'!$D:$DH,BI$1,0),1)="V",IF(BH33&gt;=INDEX('[1]Définition Maintenances'!$G:$G,MATCH($A33,'[1]Définition Maintenances'!$K:$K,0)),BH33,INDEX('[1]Définition Maintenances'!$G:$G,MATCH($A33,'[1]Définition Maintenances'!$K:$K,0))+BH33),BH33))</f>
        <v>737</v>
      </c>
      <c r="BJ33" s="26">
        <f>IF(ISNUMBER(VLOOKUP($D33,'Visu totale'!$D:$DH,BJ$1,0)),BI33-VLOOKUP($D33,'Visu totale'!$D:$DH,BJ$1,0),IF(LEFT(VLOOKUP($D33,'Visu totale'!$D:$DH,BJ$1,0),1)="V",IF(BI33&gt;=INDEX('[1]Définition Maintenances'!$G:$G,MATCH($A33,'[1]Définition Maintenances'!$K:$K,0)),BI33,INDEX('[1]Définition Maintenances'!$G:$G,MATCH($A33,'[1]Définition Maintenances'!$K:$K,0))+BI33),BI33))</f>
        <v>737</v>
      </c>
      <c r="BK33" s="26">
        <f>IF(ISNUMBER(VLOOKUP($D33,'Visu totale'!$D:$DH,BK$1,0)),BJ33-VLOOKUP($D33,'Visu totale'!$D:$DH,BK$1,0),IF(LEFT(VLOOKUP($D33,'Visu totale'!$D:$DH,BK$1,0),1)="V",IF(BJ33&gt;=INDEX('[1]Définition Maintenances'!$G:$G,MATCH($A33,'[1]Définition Maintenances'!$K:$K,0)),BJ33,INDEX('[1]Définition Maintenances'!$G:$G,MATCH($A33,'[1]Définition Maintenances'!$K:$K,0))+BJ33),BJ33))</f>
        <v>737</v>
      </c>
      <c r="BL33" s="26">
        <f>IF(ISNUMBER(VLOOKUP($D33,'Visu totale'!$D:$DH,BL$1,0)),BK33-VLOOKUP($D33,'Visu totale'!$D:$DH,BL$1,0),IF(LEFT(VLOOKUP($D33,'Visu totale'!$D:$DH,BL$1,0),1)="V",IF(BK33&gt;=INDEX('[1]Définition Maintenances'!$G:$G,MATCH($A33,'[1]Définition Maintenances'!$K:$K,0)),BK33,INDEX('[1]Définition Maintenances'!$G:$G,MATCH($A33,'[1]Définition Maintenances'!$K:$K,0))+BK33),BK33))</f>
        <v>737</v>
      </c>
      <c r="BM33" s="27">
        <f>IF(ISNUMBER(VLOOKUP($D33,'Visu totale'!$D:$DH,BM$1,0)),BL33-VLOOKUP($D33,'Visu totale'!$D:$DH,BM$1,0),IF(LEFT(VLOOKUP($D33,'Visu totale'!$D:$DH,BM$1,0),1)="V",IF(BL33&gt;=INDEX('[1]Définition Maintenances'!$G:$G,MATCH($A33,'[1]Définition Maintenances'!$K:$K,0)),BL33,INDEX('[1]Définition Maintenances'!$G:$G,MATCH($A33,'[1]Définition Maintenances'!$K:$K,0))+BL33),BL33))</f>
        <v>737</v>
      </c>
      <c r="BN33" s="25">
        <f>IF(ISNUMBER(VLOOKUP($D33,'Visu totale'!$D:$DH,BN$1,0)),BM33-VLOOKUP($D33,'Visu totale'!$D:$DH,BN$1,0),IF(LEFT(VLOOKUP($D33,'Visu totale'!$D:$DH,BN$1,0),1)="V",IF(BM33&gt;=INDEX('[1]Définition Maintenances'!$G:$G,MATCH($A33,'[1]Définition Maintenances'!$K:$K,0)),BM33,INDEX('[1]Définition Maintenances'!$G:$G,MATCH($A33,'[1]Définition Maintenances'!$K:$K,0))+BM33),BM33))</f>
        <v>737</v>
      </c>
      <c r="BO33" s="26">
        <f>IF(ISNUMBER(VLOOKUP($D33,'Visu totale'!$D:$DH,BO$1,0)),BN33-VLOOKUP($D33,'Visu totale'!$D:$DH,BO$1,0),IF(LEFT(VLOOKUP($D33,'Visu totale'!$D:$DH,BO$1,0),1)="V",IF(BN33&gt;=INDEX('[1]Définition Maintenances'!$G:$G,MATCH($A33,'[1]Définition Maintenances'!$K:$K,0)),BN33,INDEX('[1]Définition Maintenances'!$G:$G,MATCH($A33,'[1]Définition Maintenances'!$K:$K,0))+BN33),BN33))</f>
        <v>737</v>
      </c>
      <c r="BP33" s="26">
        <f>IF(ISNUMBER(VLOOKUP($D33,'Visu totale'!$D:$DH,BP$1,0)),BO33-VLOOKUP($D33,'Visu totale'!$D:$DH,BP$1,0),IF(LEFT(VLOOKUP($D33,'Visu totale'!$D:$DH,BP$1,0),1)="V",IF(BO33&gt;=INDEX('[1]Définition Maintenances'!$G:$G,MATCH($A33,'[1]Définition Maintenances'!$K:$K,0)),BO33,INDEX('[1]Définition Maintenances'!$G:$G,MATCH($A33,'[1]Définition Maintenances'!$K:$K,0))+BO33),BO33))</f>
        <v>737</v>
      </c>
      <c r="BQ33" s="26">
        <f>IF(ISNUMBER(VLOOKUP($D33,'Visu totale'!$D:$DH,BQ$1,0)),BP33-VLOOKUP($D33,'Visu totale'!$D:$DH,BQ$1,0),IF(LEFT(VLOOKUP($D33,'Visu totale'!$D:$DH,BQ$1,0),1)="V",IF(BP33&gt;=INDEX('[1]Définition Maintenances'!$G:$G,MATCH($A33,'[1]Définition Maintenances'!$K:$K,0)),BP33,INDEX('[1]Définition Maintenances'!$G:$G,MATCH($A33,'[1]Définition Maintenances'!$K:$K,0))+BP33),BP33))</f>
        <v>737</v>
      </c>
      <c r="BR33" s="26">
        <f>IF(ISNUMBER(VLOOKUP($D33,'Visu totale'!$D:$DH,BR$1,0)),BQ33-VLOOKUP($D33,'Visu totale'!$D:$DH,BR$1,0),IF(LEFT(VLOOKUP($D33,'Visu totale'!$D:$DH,BR$1,0),1)="V",IF(BQ33&gt;=INDEX('[1]Définition Maintenances'!$G:$G,MATCH($A33,'[1]Définition Maintenances'!$K:$K,0)),BQ33,INDEX('[1]Définition Maintenances'!$G:$G,MATCH($A33,'[1]Définition Maintenances'!$K:$K,0))+BQ33),BQ33))</f>
        <v>737</v>
      </c>
      <c r="BS33" s="26">
        <f>IF(ISNUMBER(VLOOKUP($D33,'Visu totale'!$D:$DH,BS$1,0)),BR33-VLOOKUP($D33,'Visu totale'!$D:$DH,BS$1,0),IF(LEFT(VLOOKUP($D33,'Visu totale'!$D:$DH,BS$1,0),1)="V",IF(BR33&gt;=INDEX('[1]Définition Maintenances'!$G:$G,MATCH($A33,'[1]Définition Maintenances'!$K:$K,0)),BR33,INDEX('[1]Définition Maintenances'!$G:$G,MATCH($A33,'[1]Définition Maintenances'!$K:$K,0))+BR33),BR33))</f>
        <v>737</v>
      </c>
      <c r="BT33" s="26">
        <f>IF(ISNUMBER(VLOOKUP($D33,'Visu totale'!$D:$DH,BT$1,0)),BS33-VLOOKUP($D33,'Visu totale'!$D:$DH,BT$1,0),IF(LEFT(VLOOKUP($D33,'Visu totale'!$D:$DH,BT$1,0),1)="V",IF(BS33&gt;=INDEX('[1]Définition Maintenances'!$G:$G,MATCH($A33,'[1]Définition Maintenances'!$K:$K,0)),BS33,INDEX('[1]Définition Maintenances'!$G:$G,MATCH($A33,'[1]Définition Maintenances'!$K:$K,0))+BS33),BS33))</f>
        <v>737</v>
      </c>
      <c r="BU33" s="26">
        <f>IF(ISNUMBER(VLOOKUP($D33,'Visu totale'!$D:$DH,BU$1,0)),BT33-VLOOKUP($D33,'Visu totale'!$D:$DH,BU$1,0),IF(LEFT(VLOOKUP($D33,'Visu totale'!$D:$DH,BU$1,0),1)="V",IF(BT33&gt;=INDEX('[1]Définition Maintenances'!$G:$G,MATCH($A33,'[1]Définition Maintenances'!$K:$K,0)),BT33,INDEX('[1]Définition Maintenances'!$G:$G,MATCH($A33,'[1]Définition Maintenances'!$K:$K,0))+BT33),BT33))</f>
        <v>737</v>
      </c>
      <c r="BV33" s="26">
        <f>IF(ISNUMBER(VLOOKUP($D33,'Visu totale'!$D:$DH,BV$1,0)),BU33-VLOOKUP($D33,'Visu totale'!$D:$DH,BV$1,0),IF(LEFT(VLOOKUP($D33,'Visu totale'!$D:$DH,BV$1,0),1)="V",IF(BU33&gt;=INDEX('[1]Définition Maintenances'!$G:$G,MATCH($A33,'[1]Définition Maintenances'!$K:$K,0)),BU33,INDEX('[1]Définition Maintenances'!$G:$G,MATCH($A33,'[1]Définition Maintenances'!$K:$K,0))+BU33),BU33))</f>
        <v>737</v>
      </c>
      <c r="BW33" s="26">
        <f>IF(ISNUMBER(VLOOKUP($D33,'Visu totale'!$D:$DH,BW$1,0)),BV33-VLOOKUP($D33,'Visu totale'!$D:$DH,BW$1,0),IF(LEFT(VLOOKUP($D33,'Visu totale'!$D:$DH,BW$1,0),1)="V",IF(BV33&gt;=INDEX('[1]Définition Maintenances'!$G:$G,MATCH($A33,'[1]Définition Maintenances'!$K:$K,0)),BV33,INDEX('[1]Définition Maintenances'!$G:$G,MATCH($A33,'[1]Définition Maintenances'!$K:$K,0))+BV33),BV33))</f>
        <v>737</v>
      </c>
      <c r="BX33" s="26">
        <f>IF(ISNUMBER(VLOOKUP($D33,'Visu totale'!$D:$DH,BX$1,0)),BW33-VLOOKUP($D33,'Visu totale'!$D:$DH,BX$1,0),IF(LEFT(VLOOKUP($D33,'Visu totale'!$D:$DH,BX$1,0),1)="V",IF(BW33&gt;=INDEX('[1]Définition Maintenances'!$G:$G,MATCH($A33,'[1]Définition Maintenances'!$K:$K,0)),BW33,INDEX('[1]Définition Maintenances'!$G:$G,MATCH($A33,'[1]Définition Maintenances'!$K:$K,0))+BW33),BW33))</f>
        <v>737</v>
      </c>
      <c r="BY33" s="27">
        <f>IF(ISNUMBER(VLOOKUP($D33,'Visu totale'!$D:$DH,BY$1,0)),BX33-VLOOKUP($D33,'Visu totale'!$D:$DH,BY$1,0),IF(LEFT(VLOOKUP($D33,'Visu totale'!$D:$DH,BY$1,0),1)="V",IF(BX33&gt;=INDEX('[1]Définition Maintenances'!$G:$G,MATCH($A33,'[1]Définition Maintenances'!$K:$K,0)),BX33,INDEX('[1]Définition Maintenances'!$G:$G,MATCH($A33,'[1]Définition Maintenances'!$K:$K,0))+BX33),BX33))</f>
        <v>737</v>
      </c>
      <c r="BZ33" s="25">
        <f>IF(ISNUMBER(VLOOKUP($D33,'Visu totale'!$D:$DH,BZ$1,0)),BY33-VLOOKUP($D33,'Visu totale'!$D:$DH,BZ$1,0),IF(LEFT(VLOOKUP($D33,'Visu totale'!$D:$DH,BZ$1,0),1)="V",IF(BY33&gt;=INDEX('[1]Définition Maintenances'!$G:$G,MATCH($A33,'[1]Définition Maintenances'!$K:$K,0)),BY33,INDEX('[1]Définition Maintenances'!$G:$G,MATCH($A33,'[1]Définition Maintenances'!$K:$K,0))+BY33),BY33))</f>
        <v>737</v>
      </c>
      <c r="CA33" s="26">
        <f>IF(ISNUMBER(VLOOKUP($D33,'Visu totale'!$D:$DH,CA$1,0)),BZ33-VLOOKUP($D33,'Visu totale'!$D:$DH,CA$1,0),IF(LEFT(VLOOKUP($D33,'Visu totale'!$D:$DH,CA$1,0),1)="V",IF(BZ33&gt;=INDEX('[1]Définition Maintenances'!$G:$G,MATCH($A33,'[1]Définition Maintenances'!$K:$K,0)),BZ33,INDEX('[1]Définition Maintenances'!$G:$G,MATCH($A33,'[1]Définition Maintenances'!$K:$K,0))+BZ33),BZ33))</f>
        <v>737</v>
      </c>
      <c r="CB33" s="26">
        <f>IF(ISNUMBER(VLOOKUP($D33,'Visu totale'!$D:$DH,CB$1,0)),CA33-VLOOKUP($D33,'Visu totale'!$D:$DH,CB$1,0),IF(LEFT(VLOOKUP($D33,'Visu totale'!$D:$DH,CB$1,0),1)="V",IF(CA33&gt;=INDEX('[1]Définition Maintenances'!$G:$G,MATCH($A33,'[1]Définition Maintenances'!$K:$K,0)),CA33,INDEX('[1]Définition Maintenances'!$G:$G,MATCH($A33,'[1]Définition Maintenances'!$K:$K,0))+CA33),CA33))</f>
        <v>737</v>
      </c>
      <c r="CC33" s="26">
        <f>IF(ISNUMBER(VLOOKUP($D33,'Visu totale'!$D:$DH,CC$1,0)),CB33-VLOOKUP($D33,'Visu totale'!$D:$DH,CC$1,0),IF(LEFT(VLOOKUP($D33,'Visu totale'!$D:$DH,CC$1,0),1)="V",IF(CB33&gt;=INDEX('[1]Définition Maintenances'!$G:$G,MATCH($A33,'[1]Définition Maintenances'!$K:$K,0)),CB33,INDEX('[1]Définition Maintenances'!$G:$G,MATCH($A33,'[1]Définition Maintenances'!$K:$K,0))+CB33),CB33))</f>
        <v>737</v>
      </c>
      <c r="CD33" s="26">
        <f>IF(ISNUMBER(VLOOKUP($D33,'Visu totale'!$D:$DH,CD$1,0)),CC33-VLOOKUP($D33,'Visu totale'!$D:$DH,CD$1,0),IF(LEFT(VLOOKUP($D33,'Visu totale'!$D:$DH,CD$1,0),1)="V",IF(CC33&gt;=INDEX('[1]Définition Maintenances'!$G:$G,MATCH($A33,'[1]Définition Maintenances'!$K:$K,0)),CC33,INDEX('[1]Définition Maintenances'!$G:$G,MATCH($A33,'[1]Définition Maintenances'!$K:$K,0))+CC33),CC33))</f>
        <v>737</v>
      </c>
      <c r="CE33" s="26">
        <f>IF(ISNUMBER(VLOOKUP($D33,'Visu totale'!$D:$DH,CE$1,0)),CD33-VLOOKUP($D33,'Visu totale'!$D:$DH,CE$1,0),IF(LEFT(VLOOKUP($D33,'Visu totale'!$D:$DH,CE$1,0),1)="V",IF(CD33&gt;=INDEX('[1]Définition Maintenances'!$G:$G,MATCH($A33,'[1]Définition Maintenances'!$K:$K,0)),CD33,INDEX('[1]Définition Maintenances'!$G:$G,MATCH($A33,'[1]Définition Maintenances'!$K:$K,0))+CD33),CD33))</f>
        <v>737</v>
      </c>
      <c r="CF33" s="26">
        <f>IF(ISNUMBER(VLOOKUP($D33,'Visu totale'!$D:$DH,CF$1,0)),CE33-VLOOKUP($D33,'Visu totale'!$D:$DH,CF$1,0),IF(LEFT(VLOOKUP($D33,'Visu totale'!$D:$DH,CF$1,0),1)="V",IF(CE33&gt;=INDEX('[1]Définition Maintenances'!$G:$G,MATCH($A33,'[1]Définition Maintenances'!$K:$K,0)),CE33,INDEX('[1]Définition Maintenances'!$G:$G,MATCH($A33,'[1]Définition Maintenances'!$K:$K,0))+CE33),CE33))</f>
        <v>737</v>
      </c>
      <c r="CG33" s="26">
        <f>IF(ISNUMBER(VLOOKUP($D33,'Visu totale'!$D:$DH,CG$1,0)),CF33-VLOOKUP($D33,'Visu totale'!$D:$DH,CG$1,0),IF(LEFT(VLOOKUP($D33,'Visu totale'!$D:$DH,CG$1,0),1)="V",IF(CF33&gt;=INDEX('[1]Définition Maintenances'!$G:$G,MATCH($A33,'[1]Définition Maintenances'!$K:$K,0)),CF33,INDEX('[1]Définition Maintenances'!$G:$G,MATCH($A33,'[1]Définition Maintenances'!$K:$K,0))+CF33),CF33))</f>
        <v>737</v>
      </c>
      <c r="CH33" s="26">
        <f>IF(ISNUMBER(VLOOKUP($D33,'Visu totale'!$D:$DH,CH$1,0)),CG33-VLOOKUP($D33,'Visu totale'!$D:$DH,CH$1,0),IF(LEFT(VLOOKUP($D33,'Visu totale'!$D:$DH,CH$1,0),1)="V",IF(CG33&gt;=INDEX('[1]Définition Maintenances'!$G:$G,MATCH($A33,'[1]Définition Maintenances'!$K:$K,0)),CG33,INDEX('[1]Définition Maintenances'!$G:$G,MATCH($A33,'[1]Définition Maintenances'!$K:$K,0))+CG33),CG33))</f>
        <v>737</v>
      </c>
      <c r="CI33" s="26">
        <f>IF(ISNUMBER(VLOOKUP($D33,'Visu totale'!$D:$DH,CI$1,0)),CH33-VLOOKUP($D33,'Visu totale'!$D:$DH,CI$1,0),IF(LEFT(VLOOKUP($D33,'Visu totale'!$D:$DH,CI$1,0),1)="V",IF(CH33&gt;=INDEX('[1]Définition Maintenances'!$G:$G,MATCH($A33,'[1]Définition Maintenances'!$K:$K,0)),CH33,INDEX('[1]Définition Maintenances'!$G:$G,MATCH($A33,'[1]Définition Maintenances'!$K:$K,0))+CH33),CH33))</f>
        <v>737</v>
      </c>
      <c r="CJ33" s="26">
        <f>IF(ISNUMBER(VLOOKUP($D33,'Visu totale'!$D:$DH,CJ$1,0)),CI33-VLOOKUP($D33,'Visu totale'!$D:$DH,CJ$1,0),IF(LEFT(VLOOKUP($D33,'Visu totale'!$D:$DH,CJ$1,0),1)="V",IF(CI33&gt;=INDEX('[1]Définition Maintenances'!$G:$G,MATCH($A33,'[1]Définition Maintenances'!$K:$K,0)),CI33,INDEX('[1]Définition Maintenances'!$G:$G,MATCH($A33,'[1]Définition Maintenances'!$K:$K,0))+CI33),CI33))</f>
        <v>737</v>
      </c>
      <c r="CK33" s="27">
        <f>IF(ISNUMBER(VLOOKUP($D33,'Visu totale'!$D:$DH,CK$1,0)),CJ33-VLOOKUP($D33,'Visu totale'!$D:$DH,CK$1,0),IF(LEFT(VLOOKUP($D33,'Visu totale'!$D:$DH,CK$1,0),1)="V",IF(CJ33&gt;=INDEX('[1]Définition Maintenances'!$G:$G,MATCH($A33,'[1]Définition Maintenances'!$K:$K,0)),CJ33,INDEX('[1]Définition Maintenances'!$G:$G,MATCH($A33,'[1]Définition Maintenances'!$K:$K,0))+CJ33),CJ33))</f>
        <v>737</v>
      </c>
      <c r="CL33" s="25">
        <f>IF(ISNUMBER(VLOOKUP($D33,'Visu totale'!$D:$DH,CL$1,0)),CK33-VLOOKUP($D33,'Visu totale'!$D:$DH,CL$1,0),IF(LEFT(VLOOKUP($D33,'Visu totale'!$D:$DH,CL$1,0),1)="V",IF(CK33&gt;=INDEX('[1]Définition Maintenances'!$G:$G,MATCH($A33,'[1]Définition Maintenances'!$K:$K,0)),CK33,INDEX('[1]Définition Maintenances'!$G:$G,MATCH($A33,'[1]Définition Maintenances'!$K:$K,0))+CK33),CK33))</f>
        <v>737</v>
      </c>
      <c r="CM33" s="26">
        <f>IF(ISNUMBER(VLOOKUP($D33,'Visu totale'!$D:$DH,CM$1,0)),CL33-VLOOKUP($D33,'Visu totale'!$D:$DH,CM$1,0),IF(LEFT(VLOOKUP($D33,'Visu totale'!$D:$DH,CM$1,0),1)="V",IF(CL33&gt;=INDEX('[1]Définition Maintenances'!$G:$G,MATCH($A33,'[1]Définition Maintenances'!$K:$K,0)),CL33,INDEX('[1]Définition Maintenances'!$G:$G,MATCH($A33,'[1]Définition Maintenances'!$K:$K,0))+CL33),CL33))</f>
        <v>737</v>
      </c>
      <c r="CN33" s="26">
        <f>IF(ISNUMBER(VLOOKUP($D33,'Visu totale'!$D:$DH,CN$1,0)),CM33-VLOOKUP($D33,'Visu totale'!$D:$DH,CN$1,0),IF(LEFT(VLOOKUP($D33,'Visu totale'!$D:$DH,CN$1,0),1)="V",IF(CM33&gt;=INDEX('[1]Définition Maintenances'!$G:$G,MATCH($A33,'[1]Définition Maintenances'!$K:$K,0)),CM33,INDEX('[1]Définition Maintenances'!$G:$G,MATCH($A33,'[1]Définition Maintenances'!$K:$K,0))+CM33),CM33))</f>
        <v>737</v>
      </c>
      <c r="CO33" s="26">
        <f>IF(ISNUMBER(VLOOKUP($D33,'Visu totale'!$D:$DH,CO$1,0)),CN33-VLOOKUP($D33,'Visu totale'!$D:$DH,CO$1,0),IF(LEFT(VLOOKUP($D33,'Visu totale'!$D:$DH,CO$1,0),1)="V",IF(CN33&gt;=INDEX('[1]Définition Maintenances'!$G:$G,MATCH($A33,'[1]Définition Maintenances'!$K:$K,0)),CN33,INDEX('[1]Définition Maintenances'!$G:$G,MATCH($A33,'[1]Définition Maintenances'!$K:$K,0))+CN33),CN33))</f>
        <v>737</v>
      </c>
      <c r="CP33" s="26">
        <f>IF(ISNUMBER(VLOOKUP($D33,'Visu totale'!$D:$DH,CP$1,0)),CO33-VLOOKUP($D33,'Visu totale'!$D:$DH,CP$1,0),IF(LEFT(VLOOKUP($D33,'Visu totale'!$D:$DH,CP$1,0),1)="V",IF(CO33&gt;=INDEX('[1]Définition Maintenances'!$G:$G,MATCH($A33,'[1]Définition Maintenances'!$K:$K,0)),CO33,INDEX('[1]Définition Maintenances'!$G:$G,MATCH($A33,'[1]Définition Maintenances'!$K:$K,0))+CO33),CO33))</f>
        <v>737</v>
      </c>
      <c r="CQ33" s="26">
        <f>IF(ISNUMBER(VLOOKUP($D33,'Visu totale'!$D:$DH,CQ$1,0)),CP33-VLOOKUP($D33,'Visu totale'!$D:$DH,CQ$1,0),IF(LEFT(VLOOKUP($D33,'Visu totale'!$D:$DH,CQ$1,0),1)="V",IF(CP33&gt;=INDEX('[1]Définition Maintenances'!$G:$G,MATCH($A33,'[1]Définition Maintenances'!$K:$K,0)),CP33,INDEX('[1]Définition Maintenances'!$G:$G,MATCH($A33,'[1]Définition Maintenances'!$K:$K,0))+CP33),CP33))</f>
        <v>737</v>
      </c>
      <c r="CR33" s="26">
        <f>IF(ISNUMBER(VLOOKUP($D33,'Visu totale'!$D:$DH,CR$1,0)),CQ33-VLOOKUP($D33,'Visu totale'!$D:$DH,CR$1,0),IF(LEFT(VLOOKUP($D33,'Visu totale'!$D:$DH,CR$1,0),1)="V",IF(CQ33&gt;=INDEX('[1]Définition Maintenances'!$G:$G,MATCH($A33,'[1]Définition Maintenances'!$K:$K,0)),CQ33,INDEX('[1]Définition Maintenances'!$G:$G,MATCH($A33,'[1]Définition Maintenances'!$K:$K,0))+CQ33),CQ33))</f>
        <v>737</v>
      </c>
      <c r="CS33" s="26">
        <f>IF(ISNUMBER(VLOOKUP($D33,'Visu totale'!$D:$DH,CS$1,0)),CR33-VLOOKUP($D33,'Visu totale'!$D:$DH,CS$1,0),IF(LEFT(VLOOKUP($D33,'Visu totale'!$D:$DH,CS$1,0),1)="V",IF(CR33&gt;=INDEX('[1]Définition Maintenances'!$G:$G,MATCH($A33,'[1]Définition Maintenances'!$K:$K,0)),CR33,INDEX('[1]Définition Maintenances'!$G:$G,MATCH($A33,'[1]Définition Maintenances'!$K:$K,0))+CR33),CR33))</f>
        <v>737</v>
      </c>
      <c r="CT33" s="26">
        <f>IF(ISNUMBER(VLOOKUP($D33,'Visu totale'!$D:$DH,CT$1,0)),CS33-VLOOKUP($D33,'Visu totale'!$D:$DH,CT$1,0),IF(LEFT(VLOOKUP($D33,'Visu totale'!$D:$DH,CT$1,0),1)="V",IF(CS33&gt;=INDEX('[1]Définition Maintenances'!$G:$G,MATCH($A33,'[1]Définition Maintenances'!$K:$K,0)),CS33,INDEX('[1]Définition Maintenances'!$G:$G,MATCH($A33,'[1]Définition Maintenances'!$K:$K,0))+CS33),CS33))</f>
        <v>737</v>
      </c>
      <c r="CU33" s="26">
        <f>IF(ISNUMBER(VLOOKUP($D33,'Visu totale'!$D:$DH,CU$1,0)),CT33-VLOOKUP($D33,'Visu totale'!$D:$DH,CU$1,0),IF(LEFT(VLOOKUP($D33,'Visu totale'!$D:$DH,CU$1,0),1)="V",IF(CT33&gt;=INDEX('[1]Définition Maintenances'!$G:$G,MATCH($A33,'[1]Définition Maintenances'!$K:$K,0)),CT33,INDEX('[1]Définition Maintenances'!$G:$G,MATCH($A33,'[1]Définition Maintenances'!$K:$K,0))+CT33),CT33))</f>
        <v>737</v>
      </c>
      <c r="CV33" s="26">
        <f>IF(ISNUMBER(VLOOKUP($D33,'Visu totale'!$D:$DH,CV$1,0)),CU33-VLOOKUP($D33,'Visu totale'!$D:$DH,CV$1,0),IF(LEFT(VLOOKUP($D33,'Visu totale'!$D:$DH,CV$1,0),1)="V",IF(CU33&gt;=INDEX('[1]Définition Maintenances'!$G:$G,MATCH($A33,'[1]Définition Maintenances'!$K:$K,0)),CU33,INDEX('[1]Définition Maintenances'!$G:$G,MATCH($A33,'[1]Définition Maintenances'!$K:$K,0))+CU33),CU33))</f>
        <v>737</v>
      </c>
      <c r="CW33" s="27">
        <f>IF(ISNUMBER(VLOOKUP($D33,'Visu totale'!$D:$DH,CW$1,0)),CV33-VLOOKUP($D33,'Visu totale'!$D:$DH,CW$1,0),IF(LEFT(VLOOKUP($D33,'Visu totale'!$D:$DH,CW$1,0),1)="V",IF(CV33&gt;=INDEX('[1]Définition Maintenances'!$G:$G,MATCH($A33,'[1]Définition Maintenances'!$K:$K,0)),CV33,INDEX('[1]Définition Maintenances'!$G:$G,MATCH($A33,'[1]Définition Maintenances'!$K:$K,0))+CV33),CV33))</f>
        <v>737</v>
      </c>
      <c r="CX33" s="25">
        <f>IF(ISNUMBER(VLOOKUP($D33,'Visu totale'!$D:$DH,CX$1,0)),CW33-VLOOKUP($D33,'Visu totale'!$D:$DH,CX$1,0),IF(LEFT(VLOOKUP($D33,'Visu totale'!$D:$DH,CX$1,0),1)="V",IF(CW33&gt;=INDEX('[1]Définition Maintenances'!$G:$G,MATCH($A33,'[1]Définition Maintenances'!$K:$K,0)),CW33,INDEX('[1]Définition Maintenances'!$G:$G,MATCH($A33,'[1]Définition Maintenances'!$K:$K,0))+CW33),CW33))</f>
        <v>737</v>
      </c>
      <c r="CY33" s="26">
        <f>IF(ISNUMBER(VLOOKUP($D33,'Visu totale'!$D:$DH,CY$1,0)),CX33-VLOOKUP($D33,'Visu totale'!$D:$DH,CY$1,0),IF(LEFT(VLOOKUP($D33,'Visu totale'!$D:$DH,CY$1,0),1)="V",IF(CX33&gt;=INDEX('[1]Définition Maintenances'!$G:$G,MATCH($A33,'[1]Définition Maintenances'!$K:$K,0)),CX33,INDEX('[1]Définition Maintenances'!$G:$G,MATCH($A33,'[1]Définition Maintenances'!$K:$K,0))+CX33),CX33))</f>
        <v>737</v>
      </c>
      <c r="CZ33" s="26">
        <f>IF(ISNUMBER(VLOOKUP($D33,'Visu totale'!$D:$DH,CZ$1,0)),CY33-VLOOKUP($D33,'Visu totale'!$D:$DH,CZ$1,0),IF(LEFT(VLOOKUP($D33,'Visu totale'!$D:$DH,CZ$1,0),1)="V",IF(CY33&gt;=INDEX('[1]Définition Maintenances'!$G:$G,MATCH($A33,'[1]Définition Maintenances'!$K:$K,0)),CY33,INDEX('[1]Définition Maintenances'!$G:$G,MATCH($A33,'[1]Définition Maintenances'!$K:$K,0))+CY33),CY33))</f>
        <v>737</v>
      </c>
      <c r="DA33" s="26">
        <f>IF(ISNUMBER(VLOOKUP($D33,'Visu totale'!$D:$DH,DA$1,0)),CZ33-VLOOKUP($D33,'Visu totale'!$D:$DH,DA$1,0),IF(LEFT(VLOOKUP($D33,'Visu totale'!$D:$DH,DA$1,0),1)="V",IF(CZ33&gt;=INDEX('[1]Définition Maintenances'!$G:$G,MATCH($A33,'[1]Définition Maintenances'!$K:$K,0)),CZ33,INDEX('[1]Définition Maintenances'!$G:$G,MATCH($A33,'[1]Définition Maintenances'!$K:$K,0))+CZ33),CZ33))</f>
        <v>737</v>
      </c>
      <c r="DB33" s="26">
        <f>IF(ISNUMBER(VLOOKUP($D33,'Visu totale'!$D:$DH,DB$1,0)),DA33-VLOOKUP($D33,'Visu totale'!$D:$DH,DB$1,0),IF(LEFT(VLOOKUP($D33,'Visu totale'!$D:$DH,DB$1,0),1)="V",IF(DA33&gt;=INDEX('[1]Définition Maintenances'!$G:$G,MATCH($A33,'[1]Définition Maintenances'!$K:$K,0)),DA33,INDEX('[1]Définition Maintenances'!$G:$G,MATCH($A33,'[1]Définition Maintenances'!$K:$K,0))+DA33),DA33))</f>
        <v>737</v>
      </c>
      <c r="DC33" s="26">
        <f>IF(ISNUMBER(VLOOKUP($D33,'Visu totale'!$D:$DH,DC$1,0)),DB33-VLOOKUP($D33,'Visu totale'!$D:$DH,DC$1,0),IF(LEFT(VLOOKUP($D33,'Visu totale'!$D:$DH,DC$1,0),1)="V",IF(DB33&gt;=INDEX('[1]Définition Maintenances'!$G:$G,MATCH($A33,'[1]Définition Maintenances'!$K:$K,0)),DB33,INDEX('[1]Définition Maintenances'!$G:$G,MATCH($A33,'[1]Définition Maintenances'!$K:$K,0))+DB33),DB33))</f>
        <v>737</v>
      </c>
      <c r="DD33" s="26">
        <f>IF(ISNUMBER(VLOOKUP($D33,'Visu totale'!$D:$DH,DD$1,0)),DC33-VLOOKUP($D33,'Visu totale'!$D:$DH,DD$1,0),IF(LEFT(VLOOKUP($D33,'Visu totale'!$D:$DH,DD$1,0),1)="V",IF(DC33&gt;=INDEX('[1]Définition Maintenances'!$G:$G,MATCH($A33,'[1]Définition Maintenances'!$K:$K,0)),DC33,INDEX('[1]Définition Maintenances'!$G:$G,MATCH($A33,'[1]Définition Maintenances'!$K:$K,0))+DC33),DC33))</f>
        <v>737</v>
      </c>
      <c r="DE33" s="26">
        <f>IF(ISNUMBER(VLOOKUP($D33,'Visu totale'!$D:$DH,DE$1,0)),DD33-VLOOKUP($D33,'Visu totale'!$D:$DH,DE$1,0),IF(LEFT(VLOOKUP($D33,'Visu totale'!$D:$DH,DE$1,0),1)="V",IF(DD33&gt;=INDEX('[1]Définition Maintenances'!$G:$G,MATCH($A33,'[1]Définition Maintenances'!$K:$K,0)),DD33,INDEX('[1]Définition Maintenances'!$G:$G,MATCH($A33,'[1]Définition Maintenances'!$K:$K,0))+DD33),DD33))</f>
        <v>737</v>
      </c>
      <c r="DF33" s="26">
        <f>IF(ISNUMBER(VLOOKUP($D33,'Visu totale'!$D:$DH,DF$1,0)),DE33-VLOOKUP($D33,'Visu totale'!$D:$DH,DF$1,0),IF(LEFT(VLOOKUP($D33,'Visu totale'!$D:$DH,DF$1,0),1)="V",IF(DE33&gt;=INDEX('[1]Définition Maintenances'!$G:$G,MATCH($A33,'[1]Définition Maintenances'!$K:$K,0)),DE33,INDEX('[1]Définition Maintenances'!$G:$G,MATCH($A33,'[1]Définition Maintenances'!$K:$K,0))+DE33),DE33))</f>
        <v>737</v>
      </c>
      <c r="DG33" s="26">
        <f>IF(ISNUMBER(VLOOKUP($D33,'Visu totale'!$D:$DH,DG$1,0)),DF33-VLOOKUP($D33,'Visu totale'!$D:$DH,DG$1,0),IF(LEFT(VLOOKUP($D33,'Visu totale'!$D:$DH,DG$1,0),1)="V",IF(DF33&gt;=INDEX('[1]Définition Maintenances'!$G:$G,MATCH($A33,'[1]Définition Maintenances'!$K:$K,0)),DF33,INDEX('[1]Définition Maintenances'!$G:$G,MATCH($A33,'[1]Définition Maintenances'!$K:$K,0))+DF33),DF33))</f>
        <v>737</v>
      </c>
      <c r="DH33" s="26">
        <f>IF(ISNUMBER(VLOOKUP($D33,'Visu totale'!$D:$DH,DH$1,0)),DG33-VLOOKUP($D33,'Visu totale'!$D:$DH,DH$1,0),IF(LEFT(VLOOKUP($D33,'Visu totale'!$D:$DH,DH$1,0),1)="V",IF(DG33&gt;=INDEX('[1]Définition Maintenances'!$G:$G,MATCH($A33,'[1]Définition Maintenances'!$K:$K,0)),DG33,INDEX('[1]Définition Maintenances'!$G:$G,MATCH($A33,'[1]Définition Maintenances'!$K:$K,0))+DG33),DG33))</f>
        <v>737</v>
      </c>
      <c r="DI33" s="27">
        <f>IF(ISNUMBER(VLOOKUP($D33,'Visu totale'!$D:$DH,DI$1,0)),DH33-VLOOKUP($D33,'Visu totale'!$D:$DH,DI$1,0),IF(LEFT(VLOOKUP($D33,'Visu totale'!$D:$DH,DI$1,0),1)="V",IF(DH33&gt;=INDEX('[1]Définition Maintenances'!$G:$G,MATCH($A33,'[1]Définition Maintenances'!$K:$K,0)),DH33,INDEX('[1]Définition Maintenances'!$G:$G,MATCH($A33,'[1]Définition Maintenances'!$K:$K,0))+DH33),DH33))</f>
        <v>737</v>
      </c>
    </row>
    <row r="34" spans="1:113" x14ac:dyDescent="0.25">
      <c r="A34" s="13" t="str">
        <f t="shared" si="0"/>
        <v>V10D</v>
      </c>
      <c r="B34" s="13" t="str">
        <f>VLOOKUP(D34,'[1]Avions (Potentiels)'!$B$2:$H$128,7,FALSE)</f>
        <v>V10</v>
      </c>
      <c r="C34" s="13"/>
      <c r="D34" s="16" t="s">
        <v>37</v>
      </c>
      <c r="E34" s="13">
        <f>IFERROR(VALUE(SUBSTITUTE(VLOOKUP(D34,'[1]Avions (Potentiels)'!$B:$E,4,0),".",",")),VALUE(VLOOKUP(D34,'[1]Avions (Potentiels)'!$B:$E,4,0)))</f>
        <v>758</v>
      </c>
      <c r="F34" s="25">
        <f>IF(ISNUMBER(VLOOKUP($D34,'Visu totale'!$D:$DH,F$1,0)),E34-VLOOKUP($D34,'Visu totale'!$D:$DH,F$1,0),IF(LEFT(VLOOKUP($D34,'Visu totale'!$D:$DH,F$1,0),1)="V",IF(E34&gt;=INDEX('[1]Définition Maintenances'!$G:$G,MATCH($A34,'[1]Définition Maintenances'!$K:$K,0)),E34,INDEX('[1]Définition Maintenances'!$G:$G,MATCH($A34,'[1]Définition Maintenances'!$K:$K,0))+E34),E34))</f>
        <v>758</v>
      </c>
      <c r="G34" s="26">
        <f>IF(ISNUMBER(VLOOKUP($D34,'Visu totale'!$D:$DH,G$1,0)),F34-VLOOKUP($D34,'Visu totale'!$D:$DH,G$1,0),IF(LEFT(VLOOKUP($D34,'Visu totale'!$D:$DH,G$1,0),1)="V",IF(F34&gt;=INDEX('[1]Définition Maintenances'!$G:$G,MATCH($A34,'[1]Définition Maintenances'!$K:$K,0)),F34,INDEX('[1]Définition Maintenances'!$G:$G,MATCH($A34,'[1]Définition Maintenances'!$K:$K,0))+F34),F34))</f>
        <v>758</v>
      </c>
      <c r="H34" s="26">
        <f>IF(ISNUMBER(VLOOKUP($D34,'Visu totale'!$D:$DH,H$1,0)),G34-VLOOKUP($D34,'Visu totale'!$D:$DH,H$1,0),IF(LEFT(VLOOKUP($D34,'Visu totale'!$D:$DH,H$1,0),1)="V",IF(G34&gt;=INDEX('[1]Définition Maintenances'!$G:$G,MATCH($A34,'[1]Définition Maintenances'!$K:$K,0)),G34,INDEX('[1]Définition Maintenances'!$G:$G,MATCH($A34,'[1]Définition Maintenances'!$K:$K,0))+G34),G34))</f>
        <v>758</v>
      </c>
      <c r="I34" s="26">
        <f>IF(ISNUMBER(VLOOKUP($D34,'Visu totale'!$D:$DH,I$1,0)),H34-VLOOKUP($D34,'Visu totale'!$D:$DH,I$1,0),IF(LEFT(VLOOKUP($D34,'Visu totale'!$D:$DH,I$1,0),1)="V",IF(H34&gt;=INDEX('[1]Définition Maintenances'!$G:$G,MATCH($A34,'[1]Définition Maintenances'!$K:$K,0)),H34,INDEX('[1]Définition Maintenances'!$G:$G,MATCH($A34,'[1]Définition Maintenances'!$K:$K,0))+H34),H34))</f>
        <v>758</v>
      </c>
      <c r="J34" s="26">
        <f>IF(ISNUMBER(VLOOKUP($D34,'Visu totale'!$D:$DH,J$1,0)),I34-VLOOKUP($D34,'Visu totale'!$D:$DH,J$1,0),IF(LEFT(VLOOKUP($D34,'Visu totale'!$D:$DH,J$1,0),1)="V",IF(I34&gt;=INDEX('[1]Définition Maintenances'!$G:$G,MATCH($A34,'[1]Définition Maintenances'!$K:$K,0)),I34,INDEX('[1]Définition Maintenances'!$G:$G,MATCH($A34,'[1]Définition Maintenances'!$K:$K,0))+I34),I34))</f>
        <v>758</v>
      </c>
      <c r="K34" s="26">
        <f>IF(ISNUMBER(VLOOKUP($D34,'Visu totale'!$D:$DH,K$1,0)),J34-VLOOKUP($D34,'Visu totale'!$D:$DH,K$1,0),IF(LEFT(VLOOKUP($D34,'Visu totale'!$D:$DH,K$1,0),1)="V",IF(J34&gt;=INDEX('[1]Définition Maintenances'!$G:$G,MATCH($A34,'[1]Définition Maintenances'!$K:$K,0)),J34,INDEX('[1]Définition Maintenances'!$G:$G,MATCH($A34,'[1]Définition Maintenances'!$K:$K,0))+J34),J34))</f>
        <v>758</v>
      </c>
      <c r="L34" s="26">
        <f>IF(ISNUMBER(VLOOKUP($D34,'Visu totale'!$D:$DH,L$1,0)),K34-VLOOKUP($D34,'Visu totale'!$D:$DH,L$1,0),IF(LEFT(VLOOKUP($D34,'Visu totale'!$D:$DH,L$1,0),1)="V",IF(K34&gt;=INDEX('[1]Définition Maintenances'!$G:$G,MATCH($A34,'[1]Définition Maintenances'!$K:$K,0)),K34,INDEX('[1]Définition Maintenances'!$G:$G,MATCH($A34,'[1]Définition Maintenances'!$K:$K,0))+K34),K34))</f>
        <v>758</v>
      </c>
      <c r="M34" s="26">
        <f>IF(ISNUMBER(VLOOKUP($D34,'Visu totale'!$D:$DH,M$1,0)),L34-VLOOKUP($D34,'Visu totale'!$D:$DH,M$1,0),IF(LEFT(VLOOKUP($D34,'Visu totale'!$D:$DH,M$1,0),1)="V",IF(L34&gt;=INDEX('[1]Définition Maintenances'!$G:$G,MATCH($A34,'[1]Définition Maintenances'!$K:$K,0)),L34,INDEX('[1]Définition Maintenances'!$G:$G,MATCH($A34,'[1]Définition Maintenances'!$K:$K,0))+L34),L34))</f>
        <v>758</v>
      </c>
      <c r="N34" s="26">
        <f>IF(ISNUMBER(VLOOKUP($D34,'Visu totale'!$D:$DH,N$1,0)),M34-VLOOKUP($D34,'Visu totale'!$D:$DH,N$1,0),IF(LEFT(VLOOKUP($D34,'Visu totale'!$D:$DH,N$1,0),1)="V",IF(M34&gt;=INDEX('[1]Définition Maintenances'!$G:$G,MATCH($A34,'[1]Définition Maintenances'!$K:$K,0)),M34,INDEX('[1]Définition Maintenances'!$G:$G,MATCH($A34,'[1]Définition Maintenances'!$K:$K,0))+M34),M34))</f>
        <v>758</v>
      </c>
      <c r="O34" s="26">
        <f>IF(ISNUMBER(VLOOKUP($D34,'Visu totale'!$D:$DH,O$1,0)),N34-VLOOKUP($D34,'Visu totale'!$D:$DH,O$1,0),IF(LEFT(VLOOKUP($D34,'Visu totale'!$D:$DH,O$1,0),1)="V",IF(N34&gt;=INDEX('[1]Définition Maintenances'!$G:$G,MATCH($A34,'[1]Définition Maintenances'!$K:$K,0)),N34,INDEX('[1]Définition Maintenances'!$G:$G,MATCH($A34,'[1]Définition Maintenances'!$K:$K,0))+N34),N34))</f>
        <v>758</v>
      </c>
      <c r="P34" s="26">
        <f>IF(ISNUMBER(VLOOKUP($D34,'Visu totale'!$D:$DH,P$1,0)),O34-VLOOKUP($D34,'Visu totale'!$D:$DH,P$1,0),IF(LEFT(VLOOKUP($D34,'Visu totale'!$D:$DH,P$1,0),1)="V",IF(O34&gt;=INDEX('[1]Définition Maintenances'!$G:$G,MATCH($A34,'[1]Définition Maintenances'!$K:$K,0)),O34,INDEX('[1]Définition Maintenances'!$G:$G,MATCH($A34,'[1]Définition Maintenances'!$K:$K,0))+O34),O34))</f>
        <v>758</v>
      </c>
      <c r="Q34" s="27">
        <f>IF(ISNUMBER(VLOOKUP($D34,'Visu totale'!$D:$DH,Q$1,0)),P34-VLOOKUP($D34,'Visu totale'!$D:$DH,Q$1,0),IF(LEFT(VLOOKUP($D34,'Visu totale'!$D:$DH,Q$1,0),1)="V",IF(P34&gt;=INDEX('[1]Définition Maintenances'!$G:$G,MATCH($A34,'[1]Définition Maintenances'!$K:$K,0)),P34,INDEX('[1]Définition Maintenances'!$G:$G,MATCH($A34,'[1]Définition Maintenances'!$K:$K,0))+P34),P34))</f>
        <v>758</v>
      </c>
      <c r="R34" s="25">
        <f>IF(ISNUMBER(VLOOKUP($D34,'Visu totale'!$D:$DH,R$1,0)),Q34-VLOOKUP($D34,'Visu totale'!$D:$DH,R$1,0),IF(LEFT(VLOOKUP($D34,'Visu totale'!$D:$DH,R$1,0),1)="V",IF(Q34&gt;=INDEX('[1]Définition Maintenances'!$G:$G,MATCH($A34,'[1]Définition Maintenances'!$K:$K,0)),Q34,INDEX('[1]Définition Maintenances'!$G:$G,MATCH($A34,'[1]Définition Maintenances'!$K:$K,0))+Q34),Q34))</f>
        <v>758</v>
      </c>
      <c r="S34" s="26">
        <f>IF(ISNUMBER(VLOOKUP($D34,'Visu totale'!$D:$DH,S$1,0)),R34-VLOOKUP($D34,'Visu totale'!$D:$DH,S$1,0),IF(LEFT(VLOOKUP($D34,'Visu totale'!$D:$DH,S$1,0),1)="V",IF(R34&gt;=INDEX('[1]Définition Maintenances'!$G:$G,MATCH($A34,'[1]Définition Maintenances'!$K:$K,0)),R34,INDEX('[1]Définition Maintenances'!$G:$G,MATCH($A34,'[1]Définition Maintenances'!$K:$K,0))+R34),R34))</f>
        <v>758</v>
      </c>
      <c r="T34" s="26">
        <f>IF(ISNUMBER(VLOOKUP($D34,'Visu totale'!$D:$DH,T$1,0)),S34-VLOOKUP($D34,'Visu totale'!$D:$DH,T$1,0),IF(LEFT(VLOOKUP($D34,'Visu totale'!$D:$DH,T$1,0),1)="V",IF(S34&gt;=INDEX('[1]Définition Maintenances'!$G:$G,MATCH($A34,'[1]Définition Maintenances'!$K:$K,0)),S34,INDEX('[1]Définition Maintenances'!$G:$G,MATCH($A34,'[1]Définition Maintenances'!$K:$K,0))+S34),S34))</f>
        <v>758</v>
      </c>
      <c r="U34" s="26">
        <f>IF(ISNUMBER(VLOOKUP($D34,'Visu totale'!$D:$DH,U$1,0)),T34-VLOOKUP($D34,'Visu totale'!$D:$DH,U$1,0),IF(LEFT(VLOOKUP($D34,'Visu totale'!$D:$DH,U$1,0),1)="V",IF(T34&gt;=INDEX('[1]Définition Maintenances'!$G:$G,MATCH($A34,'[1]Définition Maintenances'!$K:$K,0)),T34,INDEX('[1]Définition Maintenances'!$G:$G,MATCH($A34,'[1]Définition Maintenances'!$K:$K,0))+T34),T34))</f>
        <v>758</v>
      </c>
      <c r="V34" s="26">
        <f>IF(ISNUMBER(VLOOKUP($D34,'Visu totale'!$D:$DH,V$1,0)),U34-VLOOKUP($D34,'Visu totale'!$D:$DH,V$1,0),IF(LEFT(VLOOKUP($D34,'Visu totale'!$D:$DH,V$1,0),1)="V",IF(U34&gt;=INDEX('[1]Définition Maintenances'!$G:$G,MATCH($A34,'[1]Définition Maintenances'!$K:$K,0)),U34,INDEX('[1]Définition Maintenances'!$G:$G,MATCH($A34,'[1]Définition Maintenances'!$K:$K,0))+U34),U34))</f>
        <v>758</v>
      </c>
      <c r="W34" s="26">
        <f>IF(ISNUMBER(VLOOKUP($D34,'Visu totale'!$D:$DH,W$1,0)),V34-VLOOKUP($D34,'Visu totale'!$D:$DH,W$1,0),IF(LEFT(VLOOKUP($D34,'Visu totale'!$D:$DH,W$1,0),1)="V",IF(V34&gt;=INDEX('[1]Définition Maintenances'!$G:$G,MATCH($A34,'[1]Définition Maintenances'!$K:$K,0)),V34,INDEX('[1]Définition Maintenances'!$G:$G,MATCH($A34,'[1]Définition Maintenances'!$K:$K,0))+V34),V34))</f>
        <v>758</v>
      </c>
      <c r="X34" s="26">
        <f>IF(ISNUMBER(VLOOKUP($D34,'Visu totale'!$D:$DH,X$1,0)),W34-VLOOKUP($D34,'Visu totale'!$D:$DH,X$1,0),IF(LEFT(VLOOKUP($D34,'Visu totale'!$D:$DH,X$1,0),1)="V",IF(W34&gt;=INDEX('[1]Définition Maintenances'!$G:$G,MATCH($A34,'[1]Définition Maintenances'!$K:$K,0)),W34,INDEX('[1]Définition Maintenances'!$G:$G,MATCH($A34,'[1]Définition Maintenances'!$K:$K,0))+W34),W34))</f>
        <v>758</v>
      </c>
      <c r="Y34" s="26">
        <f>IF(ISNUMBER(VLOOKUP($D34,'Visu totale'!$D:$DH,Y$1,0)),X34-VLOOKUP($D34,'Visu totale'!$D:$DH,Y$1,0),IF(LEFT(VLOOKUP($D34,'Visu totale'!$D:$DH,Y$1,0),1)="V",IF(X34&gt;=INDEX('[1]Définition Maintenances'!$G:$G,MATCH($A34,'[1]Définition Maintenances'!$K:$K,0)),X34,INDEX('[1]Définition Maintenances'!$G:$G,MATCH($A34,'[1]Définition Maintenances'!$K:$K,0))+X34),X34))</f>
        <v>758</v>
      </c>
      <c r="Z34" s="26">
        <f>IF(ISNUMBER(VLOOKUP($D34,'Visu totale'!$D:$DH,Z$1,0)),Y34-VLOOKUP($D34,'Visu totale'!$D:$DH,Z$1,0),IF(LEFT(VLOOKUP($D34,'Visu totale'!$D:$DH,Z$1,0),1)="V",IF(Y34&gt;=INDEX('[1]Définition Maintenances'!$G:$G,MATCH($A34,'[1]Définition Maintenances'!$K:$K,0)),Y34,INDEX('[1]Définition Maintenances'!$G:$G,MATCH($A34,'[1]Définition Maintenances'!$K:$K,0))+Y34),Y34))</f>
        <v>758</v>
      </c>
      <c r="AA34" s="26">
        <f>IF(ISNUMBER(VLOOKUP($D34,'Visu totale'!$D:$DH,AA$1,0)),Z34-VLOOKUP($D34,'Visu totale'!$D:$DH,AA$1,0),IF(LEFT(VLOOKUP($D34,'Visu totale'!$D:$DH,AA$1,0),1)="V",IF(Z34&gt;=INDEX('[1]Définition Maintenances'!$G:$G,MATCH($A34,'[1]Définition Maintenances'!$K:$K,0)),Z34,INDEX('[1]Définition Maintenances'!$G:$G,MATCH($A34,'[1]Définition Maintenances'!$K:$K,0))+Z34),Z34))</f>
        <v>758</v>
      </c>
      <c r="AB34" s="26">
        <f>IF(ISNUMBER(VLOOKUP($D34,'Visu totale'!$D:$DH,AB$1,0)),AA34-VLOOKUP($D34,'Visu totale'!$D:$DH,AB$1,0),IF(LEFT(VLOOKUP($D34,'Visu totale'!$D:$DH,AB$1,0),1)="V",IF(AA34&gt;=INDEX('[1]Définition Maintenances'!$G:$G,MATCH($A34,'[1]Définition Maintenances'!$K:$K,0)),AA34,INDEX('[1]Définition Maintenances'!$G:$G,MATCH($A34,'[1]Définition Maintenances'!$K:$K,0))+AA34),AA34))</f>
        <v>758</v>
      </c>
      <c r="AC34" s="27">
        <f>IF(ISNUMBER(VLOOKUP($D34,'Visu totale'!$D:$DH,AC$1,0)),AB34-VLOOKUP($D34,'Visu totale'!$D:$DH,AC$1,0),IF(LEFT(VLOOKUP($D34,'Visu totale'!$D:$DH,AC$1,0),1)="V",IF(AB34&gt;=INDEX('[1]Définition Maintenances'!$G:$G,MATCH($A34,'[1]Définition Maintenances'!$K:$K,0)),AB34,INDEX('[1]Définition Maintenances'!$G:$G,MATCH($A34,'[1]Définition Maintenances'!$K:$K,0))+AB34),AB34))</f>
        <v>758</v>
      </c>
      <c r="AD34" s="25">
        <f>IF(ISNUMBER(VLOOKUP($D34,'Visu totale'!$D:$DH,AD$1,0)),AC34-VLOOKUP($D34,'Visu totale'!$D:$DH,AD$1,0),IF(LEFT(VLOOKUP($D34,'Visu totale'!$D:$DH,AD$1,0),1)="V",IF(AC34&gt;=INDEX('[1]Définition Maintenances'!$G:$G,MATCH($A34,'[1]Définition Maintenances'!$K:$K,0)),AC34,INDEX('[1]Définition Maintenances'!$G:$G,MATCH($A34,'[1]Définition Maintenances'!$K:$K,0))+AC34),AC34))</f>
        <v>758</v>
      </c>
      <c r="AE34" s="26">
        <f>IF(ISNUMBER(VLOOKUP($D34,'Visu totale'!$D:$DH,AE$1,0)),AD34-VLOOKUP($D34,'Visu totale'!$D:$DH,AE$1,0),IF(LEFT(VLOOKUP($D34,'Visu totale'!$D:$DH,AE$1,0),1)="V",IF(AD34&gt;=INDEX('[1]Définition Maintenances'!$G:$G,MATCH($A34,'[1]Définition Maintenances'!$K:$K,0)),AD34,INDEX('[1]Définition Maintenances'!$G:$G,MATCH($A34,'[1]Définition Maintenances'!$K:$K,0))+AD34),AD34))</f>
        <v>758</v>
      </c>
      <c r="AF34" s="26">
        <f>IF(ISNUMBER(VLOOKUP($D34,'Visu totale'!$D:$DH,AF$1,0)),AE34-VLOOKUP($D34,'Visu totale'!$D:$DH,AF$1,0),IF(LEFT(VLOOKUP($D34,'Visu totale'!$D:$DH,AF$1,0),1)="V",IF(AE34&gt;=INDEX('[1]Définition Maintenances'!$G:$G,MATCH($A34,'[1]Définition Maintenances'!$K:$K,0)),AE34,INDEX('[1]Définition Maintenances'!$G:$G,MATCH($A34,'[1]Définition Maintenances'!$K:$K,0))+AE34),AE34))</f>
        <v>758</v>
      </c>
      <c r="AG34" s="26">
        <f>IF(ISNUMBER(VLOOKUP($D34,'Visu totale'!$D:$DH,AG$1,0)),AF34-VLOOKUP($D34,'Visu totale'!$D:$DH,AG$1,0),IF(LEFT(VLOOKUP($D34,'Visu totale'!$D:$DH,AG$1,0),1)="V",IF(AF34&gt;=INDEX('[1]Définition Maintenances'!$G:$G,MATCH($A34,'[1]Définition Maintenances'!$K:$K,0)),AF34,INDEX('[1]Définition Maintenances'!$G:$G,MATCH($A34,'[1]Définition Maintenances'!$K:$K,0))+AF34),AF34))</f>
        <v>758</v>
      </c>
      <c r="AH34" s="26">
        <f>IF(ISNUMBER(VLOOKUP($D34,'Visu totale'!$D:$DH,AH$1,0)),AG34-VLOOKUP($D34,'Visu totale'!$D:$DH,AH$1,0),IF(LEFT(VLOOKUP($D34,'Visu totale'!$D:$DH,AH$1,0),1)="V",IF(AG34&gt;=INDEX('[1]Définition Maintenances'!$G:$G,MATCH($A34,'[1]Définition Maintenances'!$K:$K,0)),AG34,INDEX('[1]Définition Maintenances'!$G:$G,MATCH($A34,'[1]Définition Maintenances'!$K:$K,0))+AG34),AG34))</f>
        <v>758</v>
      </c>
      <c r="AI34" s="26">
        <f>IF(ISNUMBER(VLOOKUP($D34,'Visu totale'!$D:$DH,AI$1,0)),AH34-VLOOKUP($D34,'Visu totale'!$D:$DH,AI$1,0),IF(LEFT(VLOOKUP($D34,'Visu totale'!$D:$DH,AI$1,0),1)="V",IF(AH34&gt;=INDEX('[1]Définition Maintenances'!$G:$G,MATCH($A34,'[1]Définition Maintenances'!$K:$K,0)),AH34,INDEX('[1]Définition Maintenances'!$G:$G,MATCH($A34,'[1]Définition Maintenances'!$K:$K,0))+AH34),AH34))</f>
        <v>758</v>
      </c>
      <c r="AJ34" s="26">
        <f>IF(ISNUMBER(VLOOKUP($D34,'Visu totale'!$D:$DH,AJ$1,0)),AI34-VLOOKUP($D34,'Visu totale'!$D:$DH,AJ$1,0),IF(LEFT(VLOOKUP($D34,'Visu totale'!$D:$DH,AJ$1,0),1)="V",IF(AI34&gt;=INDEX('[1]Définition Maintenances'!$G:$G,MATCH($A34,'[1]Définition Maintenances'!$K:$K,0)),AI34,INDEX('[1]Définition Maintenances'!$G:$G,MATCH($A34,'[1]Définition Maintenances'!$K:$K,0))+AI34),AI34))</f>
        <v>758</v>
      </c>
      <c r="AK34" s="26">
        <f>IF(ISNUMBER(VLOOKUP($D34,'Visu totale'!$D:$DH,AK$1,0)),AJ34-VLOOKUP($D34,'Visu totale'!$D:$DH,AK$1,0),IF(LEFT(VLOOKUP($D34,'Visu totale'!$D:$DH,AK$1,0),1)="V",IF(AJ34&gt;=INDEX('[1]Définition Maintenances'!$G:$G,MATCH($A34,'[1]Définition Maintenances'!$K:$K,0)),AJ34,INDEX('[1]Définition Maintenances'!$G:$G,MATCH($A34,'[1]Définition Maintenances'!$K:$K,0))+AJ34),AJ34))</f>
        <v>758</v>
      </c>
      <c r="AL34" s="26">
        <f>IF(ISNUMBER(VLOOKUP($D34,'Visu totale'!$D:$DH,AL$1,0)),AK34-VLOOKUP($D34,'Visu totale'!$D:$DH,AL$1,0),IF(LEFT(VLOOKUP($D34,'Visu totale'!$D:$DH,AL$1,0),1)="V",IF(AK34&gt;=INDEX('[1]Définition Maintenances'!$G:$G,MATCH($A34,'[1]Définition Maintenances'!$K:$K,0)),AK34,INDEX('[1]Définition Maintenances'!$G:$G,MATCH($A34,'[1]Définition Maintenances'!$K:$K,0))+AK34),AK34))</f>
        <v>758</v>
      </c>
      <c r="AM34" s="26">
        <f>IF(ISNUMBER(VLOOKUP($D34,'Visu totale'!$D:$DH,AM$1,0)),AL34-VLOOKUP($D34,'Visu totale'!$D:$DH,AM$1,0),IF(LEFT(VLOOKUP($D34,'Visu totale'!$D:$DH,AM$1,0),1)="V",IF(AL34&gt;=INDEX('[1]Définition Maintenances'!$G:$G,MATCH($A34,'[1]Définition Maintenances'!$K:$K,0)),AL34,INDEX('[1]Définition Maintenances'!$G:$G,MATCH($A34,'[1]Définition Maintenances'!$K:$K,0))+AL34),AL34))</f>
        <v>758</v>
      </c>
      <c r="AN34" s="26">
        <f>IF(ISNUMBER(VLOOKUP($D34,'Visu totale'!$D:$DH,AN$1,0)),AM34-VLOOKUP($D34,'Visu totale'!$D:$DH,AN$1,0),IF(LEFT(VLOOKUP($D34,'Visu totale'!$D:$DH,AN$1,0),1)="V",IF(AM34&gt;=INDEX('[1]Définition Maintenances'!$G:$G,MATCH($A34,'[1]Définition Maintenances'!$K:$K,0)),AM34,INDEX('[1]Définition Maintenances'!$G:$G,MATCH($A34,'[1]Définition Maintenances'!$K:$K,0))+AM34),AM34))</f>
        <v>758</v>
      </c>
      <c r="AO34" s="27">
        <f>IF(ISNUMBER(VLOOKUP($D34,'Visu totale'!$D:$DH,AO$1,0)),AN34-VLOOKUP($D34,'Visu totale'!$D:$DH,AO$1,0),IF(LEFT(VLOOKUP($D34,'Visu totale'!$D:$DH,AO$1,0),1)="V",IF(AN34&gt;=INDEX('[1]Définition Maintenances'!$G:$G,MATCH($A34,'[1]Définition Maintenances'!$K:$K,0)),AN34,INDEX('[1]Définition Maintenances'!$G:$G,MATCH($A34,'[1]Définition Maintenances'!$K:$K,0))+AN34),AN34))</f>
        <v>758</v>
      </c>
      <c r="AP34" s="25">
        <f>IF(ISNUMBER(VLOOKUP($D34,'Visu totale'!$D:$DH,AP$1,0)),AO34-VLOOKUP($D34,'Visu totale'!$D:$DH,AP$1,0),IF(LEFT(VLOOKUP($D34,'Visu totale'!$D:$DH,AP$1,0),1)="V",IF(AO34&gt;=INDEX('[1]Définition Maintenances'!$G:$G,MATCH($A34,'[1]Définition Maintenances'!$K:$K,0)),AO34,INDEX('[1]Définition Maintenances'!$G:$G,MATCH($A34,'[1]Définition Maintenances'!$K:$K,0))+AO34),AO34))</f>
        <v>758</v>
      </c>
      <c r="AQ34" s="26">
        <f>IF(ISNUMBER(VLOOKUP($D34,'Visu totale'!$D:$DH,AQ$1,0)),AP34-VLOOKUP($D34,'Visu totale'!$D:$DH,AQ$1,0),IF(LEFT(VLOOKUP($D34,'Visu totale'!$D:$DH,AQ$1,0),1)="V",IF(AP34&gt;=INDEX('[1]Définition Maintenances'!$G:$G,MATCH($A34,'[1]Définition Maintenances'!$K:$K,0)),AP34,INDEX('[1]Définition Maintenances'!$G:$G,MATCH($A34,'[1]Définition Maintenances'!$K:$K,0))+AP34),AP34))</f>
        <v>758</v>
      </c>
      <c r="AR34" s="26">
        <f>IF(ISNUMBER(VLOOKUP($D34,'Visu totale'!$D:$DH,AR$1,0)),AQ34-VLOOKUP($D34,'Visu totale'!$D:$DH,AR$1,0),IF(LEFT(VLOOKUP($D34,'Visu totale'!$D:$DH,AR$1,0),1)="V",IF(AQ34&gt;=INDEX('[1]Définition Maintenances'!$G:$G,MATCH($A34,'[1]Définition Maintenances'!$K:$K,0)),AQ34,INDEX('[1]Définition Maintenances'!$G:$G,MATCH($A34,'[1]Définition Maintenances'!$K:$K,0))+AQ34),AQ34))</f>
        <v>758</v>
      </c>
      <c r="AS34" s="26">
        <f>IF(ISNUMBER(VLOOKUP($D34,'Visu totale'!$D:$DH,AS$1,0)),AR34-VLOOKUP($D34,'Visu totale'!$D:$DH,AS$1,0),IF(LEFT(VLOOKUP($D34,'Visu totale'!$D:$DH,AS$1,0),1)="V",IF(AR34&gt;=INDEX('[1]Définition Maintenances'!$G:$G,MATCH($A34,'[1]Définition Maintenances'!$K:$K,0)),AR34,INDEX('[1]Définition Maintenances'!$G:$G,MATCH($A34,'[1]Définition Maintenances'!$K:$K,0))+AR34),AR34))</f>
        <v>758</v>
      </c>
      <c r="AT34" s="26">
        <f>IF(ISNUMBER(VLOOKUP($D34,'Visu totale'!$D:$DH,AT$1,0)),AS34-VLOOKUP($D34,'Visu totale'!$D:$DH,AT$1,0),IF(LEFT(VLOOKUP($D34,'Visu totale'!$D:$DH,AT$1,0),1)="V",IF(AS34&gt;=INDEX('[1]Définition Maintenances'!$G:$G,MATCH($A34,'[1]Définition Maintenances'!$K:$K,0)),AS34,INDEX('[1]Définition Maintenances'!$G:$G,MATCH($A34,'[1]Définition Maintenances'!$K:$K,0))+AS34),AS34))</f>
        <v>758</v>
      </c>
      <c r="AU34" s="26">
        <f>IF(ISNUMBER(VLOOKUP($D34,'Visu totale'!$D:$DH,AU$1,0)),AT34-VLOOKUP($D34,'Visu totale'!$D:$DH,AU$1,0),IF(LEFT(VLOOKUP($D34,'Visu totale'!$D:$DH,AU$1,0),1)="V",IF(AT34&gt;=INDEX('[1]Définition Maintenances'!$G:$G,MATCH($A34,'[1]Définition Maintenances'!$K:$K,0)),AT34,INDEX('[1]Définition Maintenances'!$G:$G,MATCH($A34,'[1]Définition Maintenances'!$K:$K,0))+AT34),AT34))</f>
        <v>758</v>
      </c>
      <c r="AV34" s="26">
        <f>IF(ISNUMBER(VLOOKUP($D34,'Visu totale'!$D:$DH,AV$1,0)),AU34-VLOOKUP($D34,'Visu totale'!$D:$DH,AV$1,0),IF(LEFT(VLOOKUP($D34,'Visu totale'!$D:$DH,AV$1,0),1)="V",IF(AU34&gt;=INDEX('[1]Définition Maintenances'!$G:$G,MATCH($A34,'[1]Définition Maintenances'!$K:$K,0)),AU34,INDEX('[1]Définition Maintenances'!$G:$G,MATCH($A34,'[1]Définition Maintenances'!$K:$K,0))+AU34),AU34))</f>
        <v>758</v>
      </c>
      <c r="AW34" s="26">
        <f>IF(ISNUMBER(VLOOKUP($D34,'Visu totale'!$D:$DH,AW$1,0)),AV34-VLOOKUP($D34,'Visu totale'!$D:$DH,AW$1,0),IF(LEFT(VLOOKUP($D34,'Visu totale'!$D:$DH,AW$1,0),1)="V",IF(AV34&gt;=INDEX('[1]Définition Maintenances'!$G:$G,MATCH($A34,'[1]Définition Maintenances'!$K:$K,0)),AV34,INDEX('[1]Définition Maintenances'!$G:$G,MATCH($A34,'[1]Définition Maintenances'!$K:$K,0))+AV34),AV34))</f>
        <v>758</v>
      </c>
      <c r="AX34" s="26">
        <f>IF(ISNUMBER(VLOOKUP($D34,'Visu totale'!$D:$DH,AX$1,0)),AW34-VLOOKUP($D34,'Visu totale'!$D:$DH,AX$1,0),IF(LEFT(VLOOKUP($D34,'Visu totale'!$D:$DH,AX$1,0),1)="V",IF(AW34&gt;=INDEX('[1]Définition Maintenances'!$G:$G,MATCH($A34,'[1]Définition Maintenances'!$K:$K,0)),AW34,INDEX('[1]Définition Maintenances'!$G:$G,MATCH($A34,'[1]Définition Maintenances'!$K:$K,0))+AW34),AW34))</f>
        <v>758</v>
      </c>
      <c r="AY34" s="26">
        <f>IF(ISNUMBER(VLOOKUP($D34,'Visu totale'!$D:$DH,AY$1,0)),AX34-VLOOKUP($D34,'Visu totale'!$D:$DH,AY$1,0),IF(LEFT(VLOOKUP($D34,'Visu totale'!$D:$DH,AY$1,0),1)="V",IF(AX34&gt;=INDEX('[1]Définition Maintenances'!$G:$G,MATCH($A34,'[1]Définition Maintenances'!$K:$K,0)),AX34,INDEX('[1]Définition Maintenances'!$G:$G,MATCH($A34,'[1]Définition Maintenances'!$K:$K,0))+AX34),AX34))</f>
        <v>758</v>
      </c>
      <c r="AZ34" s="26">
        <f>IF(ISNUMBER(VLOOKUP($D34,'Visu totale'!$D:$DH,AZ$1,0)),AY34-VLOOKUP($D34,'Visu totale'!$D:$DH,AZ$1,0),IF(LEFT(VLOOKUP($D34,'Visu totale'!$D:$DH,AZ$1,0),1)="V",IF(AY34&gt;=INDEX('[1]Définition Maintenances'!$G:$G,MATCH($A34,'[1]Définition Maintenances'!$K:$K,0)),AY34,INDEX('[1]Définition Maintenances'!$G:$G,MATCH($A34,'[1]Définition Maintenances'!$K:$K,0))+AY34),AY34))</f>
        <v>758</v>
      </c>
      <c r="BA34" s="27">
        <f>IF(ISNUMBER(VLOOKUP($D34,'Visu totale'!$D:$DH,BA$1,0)),AZ34-VLOOKUP($D34,'Visu totale'!$D:$DH,BA$1,0),IF(LEFT(VLOOKUP($D34,'Visu totale'!$D:$DH,BA$1,0),1)="V",IF(AZ34&gt;=INDEX('[1]Définition Maintenances'!$G:$G,MATCH($A34,'[1]Définition Maintenances'!$K:$K,0)),AZ34,INDEX('[1]Définition Maintenances'!$G:$G,MATCH($A34,'[1]Définition Maintenances'!$K:$K,0))+AZ34),AZ34))</f>
        <v>758</v>
      </c>
      <c r="BB34" s="25">
        <f>IF(ISNUMBER(VLOOKUP($D34,'Visu totale'!$D:$DH,BB$1,0)),BA34-VLOOKUP($D34,'Visu totale'!$D:$DH,BB$1,0),IF(LEFT(VLOOKUP($D34,'Visu totale'!$D:$DH,BB$1,0),1)="V",IF(BA34&gt;=INDEX('[1]Définition Maintenances'!$G:$G,MATCH($A34,'[1]Définition Maintenances'!$K:$K,0)),BA34,INDEX('[1]Définition Maintenances'!$G:$G,MATCH($A34,'[1]Définition Maintenances'!$K:$K,0))+BA34),BA34))</f>
        <v>758</v>
      </c>
      <c r="BC34" s="26">
        <f>IF(ISNUMBER(VLOOKUP($D34,'Visu totale'!$D:$DH,BC$1,0)),BB34-VLOOKUP($D34,'Visu totale'!$D:$DH,BC$1,0),IF(LEFT(VLOOKUP($D34,'Visu totale'!$D:$DH,BC$1,0),1)="V",IF(BB34&gt;=INDEX('[1]Définition Maintenances'!$G:$G,MATCH($A34,'[1]Définition Maintenances'!$K:$K,0)),BB34,INDEX('[1]Définition Maintenances'!$G:$G,MATCH($A34,'[1]Définition Maintenances'!$K:$K,0))+BB34),BB34))</f>
        <v>758</v>
      </c>
      <c r="BD34" s="26">
        <f>IF(ISNUMBER(VLOOKUP($D34,'Visu totale'!$D:$DH,BD$1,0)),BC34-VLOOKUP($D34,'Visu totale'!$D:$DH,BD$1,0),IF(LEFT(VLOOKUP($D34,'Visu totale'!$D:$DH,BD$1,0),1)="V",IF(BC34&gt;=INDEX('[1]Définition Maintenances'!$G:$G,MATCH($A34,'[1]Définition Maintenances'!$K:$K,0)),BC34,INDEX('[1]Définition Maintenances'!$G:$G,MATCH($A34,'[1]Définition Maintenances'!$K:$K,0))+BC34),BC34))</f>
        <v>758</v>
      </c>
      <c r="BE34" s="26">
        <f>IF(ISNUMBER(VLOOKUP($D34,'Visu totale'!$D:$DH,BE$1,0)),BD34-VLOOKUP($D34,'Visu totale'!$D:$DH,BE$1,0),IF(LEFT(VLOOKUP($D34,'Visu totale'!$D:$DH,BE$1,0),1)="V",IF(BD34&gt;=INDEX('[1]Définition Maintenances'!$G:$G,MATCH($A34,'[1]Définition Maintenances'!$K:$K,0)),BD34,INDEX('[1]Définition Maintenances'!$G:$G,MATCH($A34,'[1]Définition Maintenances'!$K:$K,0))+BD34),BD34))</f>
        <v>758</v>
      </c>
      <c r="BF34" s="26">
        <f>IF(ISNUMBER(VLOOKUP($D34,'Visu totale'!$D:$DH,BF$1,0)),BE34-VLOOKUP($D34,'Visu totale'!$D:$DH,BF$1,0),IF(LEFT(VLOOKUP($D34,'Visu totale'!$D:$DH,BF$1,0),1)="V",IF(BE34&gt;=INDEX('[1]Définition Maintenances'!$G:$G,MATCH($A34,'[1]Définition Maintenances'!$K:$K,0)),BE34,INDEX('[1]Définition Maintenances'!$G:$G,MATCH($A34,'[1]Définition Maintenances'!$K:$K,0))+BE34),BE34))</f>
        <v>758</v>
      </c>
      <c r="BG34" s="26">
        <f>IF(ISNUMBER(VLOOKUP($D34,'Visu totale'!$D:$DH,BG$1,0)),BF34-VLOOKUP($D34,'Visu totale'!$D:$DH,BG$1,0),IF(LEFT(VLOOKUP($D34,'Visu totale'!$D:$DH,BG$1,0),1)="V",IF(BF34&gt;=INDEX('[1]Définition Maintenances'!$G:$G,MATCH($A34,'[1]Définition Maintenances'!$K:$K,0)),BF34,INDEX('[1]Définition Maintenances'!$G:$G,MATCH($A34,'[1]Définition Maintenances'!$K:$K,0))+BF34),BF34))</f>
        <v>758</v>
      </c>
      <c r="BH34" s="26">
        <f>IF(ISNUMBER(VLOOKUP($D34,'Visu totale'!$D:$DH,BH$1,0)),BG34-VLOOKUP($D34,'Visu totale'!$D:$DH,BH$1,0),IF(LEFT(VLOOKUP($D34,'Visu totale'!$D:$DH,BH$1,0),1)="V",IF(BG34&gt;=INDEX('[1]Définition Maintenances'!$G:$G,MATCH($A34,'[1]Définition Maintenances'!$K:$K,0)),BG34,INDEX('[1]Définition Maintenances'!$G:$G,MATCH($A34,'[1]Définition Maintenances'!$K:$K,0))+BG34),BG34))</f>
        <v>758</v>
      </c>
      <c r="BI34" s="26">
        <f>IF(ISNUMBER(VLOOKUP($D34,'Visu totale'!$D:$DH,BI$1,0)),BH34-VLOOKUP($D34,'Visu totale'!$D:$DH,BI$1,0),IF(LEFT(VLOOKUP($D34,'Visu totale'!$D:$DH,BI$1,0),1)="V",IF(BH34&gt;=INDEX('[1]Définition Maintenances'!$G:$G,MATCH($A34,'[1]Définition Maintenances'!$K:$K,0)),BH34,INDEX('[1]Définition Maintenances'!$G:$G,MATCH($A34,'[1]Définition Maintenances'!$K:$K,0))+BH34),BH34))</f>
        <v>758</v>
      </c>
      <c r="BJ34" s="26">
        <f>IF(ISNUMBER(VLOOKUP($D34,'Visu totale'!$D:$DH,BJ$1,0)),BI34-VLOOKUP($D34,'Visu totale'!$D:$DH,BJ$1,0),IF(LEFT(VLOOKUP($D34,'Visu totale'!$D:$DH,BJ$1,0),1)="V",IF(BI34&gt;=INDEX('[1]Définition Maintenances'!$G:$G,MATCH($A34,'[1]Définition Maintenances'!$K:$K,0)),BI34,INDEX('[1]Définition Maintenances'!$G:$G,MATCH($A34,'[1]Définition Maintenances'!$K:$K,0))+BI34),BI34))</f>
        <v>758</v>
      </c>
      <c r="BK34" s="26">
        <f>IF(ISNUMBER(VLOOKUP($D34,'Visu totale'!$D:$DH,BK$1,0)),BJ34-VLOOKUP($D34,'Visu totale'!$D:$DH,BK$1,0),IF(LEFT(VLOOKUP($D34,'Visu totale'!$D:$DH,BK$1,0),1)="V",IF(BJ34&gt;=INDEX('[1]Définition Maintenances'!$G:$G,MATCH($A34,'[1]Définition Maintenances'!$K:$K,0)),BJ34,INDEX('[1]Définition Maintenances'!$G:$G,MATCH($A34,'[1]Définition Maintenances'!$K:$K,0))+BJ34),BJ34))</f>
        <v>758</v>
      </c>
      <c r="BL34" s="26">
        <f>IF(ISNUMBER(VLOOKUP($D34,'Visu totale'!$D:$DH,BL$1,0)),BK34-VLOOKUP($D34,'Visu totale'!$D:$DH,BL$1,0),IF(LEFT(VLOOKUP($D34,'Visu totale'!$D:$DH,BL$1,0),1)="V",IF(BK34&gt;=INDEX('[1]Définition Maintenances'!$G:$G,MATCH($A34,'[1]Définition Maintenances'!$K:$K,0)),BK34,INDEX('[1]Définition Maintenances'!$G:$G,MATCH($A34,'[1]Définition Maintenances'!$K:$K,0))+BK34),BK34))</f>
        <v>758</v>
      </c>
      <c r="BM34" s="27">
        <f>IF(ISNUMBER(VLOOKUP($D34,'Visu totale'!$D:$DH,BM$1,0)),BL34-VLOOKUP($D34,'Visu totale'!$D:$DH,BM$1,0),IF(LEFT(VLOOKUP($D34,'Visu totale'!$D:$DH,BM$1,0),1)="V",IF(BL34&gt;=INDEX('[1]Définition Maintenances'!$G:$G,MATCH($A34,'[1]Définition Maintenances'!$K:$K,0)),BL34,INDEX('[1]Définition Maintenances'!$G:$G,MATCH($A34,'[1]Définition Maintenances'!$K:$K,0))+BL34),BL34))</f>
        <v>758</v>
      </c>
      <c r="BN34" s="25">
        <f>IF(ISNUMBER(VLOOKUP($D34,'Visu totale'!$D:$DH,BN$1,0)),BM34-VLOOKUP($D34,'Visu totale'!$D:$DH,BN$1,0),IF(LEFT(VLOOKUP($D34,'Visu totale'!$D:$DH,BN$1,0),1)="V",IF(BM34&gt;=INDEX('[1]Définition Maintenances'!$G:$G,MATCH($A34,'[1]Définition Maintenances'!$K:$K,0)),BM34,INDEX('[1]Définition Maintenances'!$G:$G,MATCH($A34,'[1]Définition Maintenances'!$K:$K,0))+BM34),BM34))</f>
        <v>758</v>
      </c>
      <c r="BO34" s="26">
        <f>IF(ISNUMBER(VLOOKUP($D34,'Visu totale'!$D:$DH,BO$1,0)),BN34-VLOOKUP($D34,'Visu totale'!$D:$DH,BO$1,0),IF(LEFT(VLOOKUP($D34,'Visu totale'!$D:$DH,BO$1,0),1)="V",IF(BN34&gt;=INDEX('[1]Définition Maintenances'!$G:$G,MATCH($A34,'[1]Définition Maintenances'!$K:$K,0)),BN34,INDEX('[1]Définition Maintenances'!$G:$G,MATCH($A34,'[1]Définition Maintenances'!$K:$K,0))+BN34),BN34))</f>
        <v>758</v>
      </c>
      <c r="BP34" s="26">
        <f>IF(ISNUMBER(VLOOKUP($D34,'Visu totale'!$D:$DH,BP$1,0)),BO34-VLOOKUP($D34,'Visu totale'!$D:$DH,BP$1,0),IF(LEFT(VLOOKUP($D34,'Visu totale'!$D:$DH,BP$1,0),1)="V",IF(BO34&gt;=INDEX('[1]Définition Maintenances'!$G:$G,MATCH($A34,'[1]Définition Maintenances'!$K:$K,0)),BO34,INDEX('[1]Définition Maintenances'!$G:$G,MATCH($A34,'[1]Définition Maintenances'!$K:$K,0))+BO34),BO34))</f>
        <v>758</v>
      </c>
      <c r="BQ34" s="26">
        <f>IF(ISNUMBER(VLOOKUP($D34,'Visu totale'!$D:$DH,BQ$1,0)),BP34-VLOOKUP($D34,'Visu totale'!$D:$DH,BQ$1,0),IF(LEFT(VLOOKUP($D34,'Visu totale'!$D:$DH,BQ$1,0),1)="V",IF(BP34&gt;=INDEX('[1]Définition Maintenances'!$G:$G,MATCH($A34,'[1]Définition Maintenances'!$K:$K,0)),BP34,INDEX('[1]Définition Maintenances'!$G:$G,MATCH($A34,'[1]Définition Maintenances'!$K:$K,0))+BP34),BP34))</f>
        <v>758</v>
      </c>
      <c r="BR34" s="26">
        <f>IF(ISNUMBER(VLOOKUP($D34,'Visu totale'!$D:$DH,BR$1,0)),BQ34-VLOOKUP($D34,'Visu totale'!$D:$DH,BR$1,0),IF(LEFT(VLOOKUP($D34,'Visu totale'!$D:$DH,BR$1,0),1)="V",IF(BQ34&gt;=INDEX('[1]Définition Maintenances'!$G:$G,MATCH($A34,'[1]Définition Maintenances'!$K:$K,0)),BQ34,INDEX('[1]Définition Maintenances'!$G:$G,MATCH($A34,'[1]Définition Maintenances'!$K:$K,0))+BQ34),BQ34))</f>
        <v>758</v>
      </c>
      <c r="BS34" s="26">
        <f>IF(ISNUMBER(VLOOKUP($D34,'Visu totale'!$D:$DH,BS$1,0)),BR34-VLOOKUP($D34,'Visu totale'!$D:$DH,BS$1,0),IF(LEFT(VLOOKUP($D34,'Visu totale'!$D:$DH,BS$1,0),1)="V",IF(BR34&gt;=INDEX('[1]Définition Maintenances'!$G:$G,MATCH($A34,'[1]Définition Maintenances'!$K:$K,0)),BR34,INDEX('[1]Définition Maintenances'!$G:$G,MATCH($A34,'[1]Définition Maintenances'!$K:$K,0))+BR34),BR34))</f>
        <v>758</v>
      </c>
      <c r="BT34" s="26">
        <f>IF(ISNUMBER(VLOOKUP($D34,'Visu totale'!$D:$DH,BT$1,0)),BS34-VLOOKUP($D34,'Visu totale'!$D:$DH,BT$1,0),IF(LEFT(VLOOKUP($D34,'Visu totale'!$D:$DH,BT$1,0),1)="V",IF(BS34&gt;=INDEX('[1]Définition Maintenances'!$G:$G,MATCH($A34,'[1]Définition Maintenances'!$K:$K,0)),BS34,INDEX('[1]Définition Maintenances'!$G:$G,MATCH($A34,'[1]Définition Maintenances'!$K:$K,0))+BS34),BS34))</f>
        <v>758</v>
      </c>
      <c r="BU34" s="26">
        <f>IF(ISNUMBER(VLOOKUP($D34,'Visu totale'!$D:$DH,BU$1,0)),BT34-VLOOKUP($D34,'Visu totale'!$D:$DH,BU$1,0),IF(LEFT(VLOOKUP($D34,'Visu totale'!$D:$DH,BU$1,0),1)="V",IF(BT34&gt;=INDEX('[1]Définition Maintenances'!$G:$G,MATCH($A34,'[1]Définition Maintenances'!$K:$K,0)),BT34,INDEX('[1]Définition Maintenances'!$G:$G,MATCH($A34,'[1]Définition Maintenances'!$K:$K,0))+BT34),BT34))</f>
        <v>758</v>
      </c>
      <c r="BV34" s="26">
        <f>IF(ISNUMBER(VLOOKUP($D34,'Visu totale'!$D:$DH,BV$1,0)),BU34-VLOOKUP($D34,'Visu totale'!$D:$DH,BV$1,0),IF(LEFT(VLOOKUP($D34,'Visu totale'!$D:$DH,BV$1,0),1)="V",IF(BU34&gt;=INDEX('[1]Définition Maintenances'!$G:$G,MATCH($A34,'[1]Définition Maintenances'!$K:$K,0)),BU34,INDEX('[1]Définition Maintenances'!$G:$G,MATCH($A34,'[1]Définition Maintenances'!$K:$K,0))+BU34),BU34))</f>
        <v>758</v>
      </c>
      <c r="BW34" s="26">
        <f>IF(ISNUMBER(VLOOKUP($D34,'Visu totale'!$D:$DH,BW$1,0)),BV34-VLOOKUP($D34,'Visu totale'!$D:$DH,BW$1,0),IF(LEFT(VLOOKUP($D34,'Visu totale'!$D:$DH,BW$1,0),1)="V",IF(BV34&gt;=INDEX('[1]Définition Maintenances'!$G:$G,MATCH($A34,'[1]Définition Maintenances'!$K:$K,0)),BV34,INDEX('[1]Définition Maintenances'!$G:$G,MATCH($A34,'[1]Définition Maintenances'!$K:$K,0))+BV34),BV34))</f>
        <v>758</v>
      </c>
      <c r="BX34" s="26">
        <f>IF(ISNUMBER(VLOOKUP($D34,'Visu totale'!$D:$DH,BX$1,0)),BW34-VLOOKUP($D34,'Visu totale'!$D:$DH,BX$1,0),IF(LEFT(VLOOKUP($D34,'Visu totale'!$D:$DH,BX$1,0),1)="V",IF(BW34&gt;=INDEX('[1]Définition Maintenances'!$G:$G,MATCH($A34,'[1]Définition Maintenances'!$K:$K,0)),BW34,INDEX('[1]Définition Maintenances'!$G:$G,MATCH($A34,'[1]Définition Maintenances'!$K:$K,0))+BW34),BW34))</f>
        <v>758</v>
      </c>
      <c r="BY34" s="27">
        <f>IF(ISNUMBER(VLOOKUP($D34,'Visu totale'!$D:$DH,BY$1,0)),BX34-VLOOKUP($D34,'Visu totale'!$D:$DH,BY$1,0),IF(LEFT(VLOOKUP($D34,'Visu totale'!$D:$DH,BY$1,0),1)="V",IF(BX34&gt;=INDEX('[1]Définition Maintenances'!$G:$G,MATCH($A34,'[1]Définition Maintenances'!$K:$K,0)),BX34,INDEX('[1]Définition Maintenances'!$G:$G,MATCH($A34,'[1]Définition Maintenances'!$K:$K,0))+BX34),BX34))</f>
        <v>758</v>
      </c>
      <c r="BZ34" s="25">
        <f>IF(ISNUMBER(VLOOKUP($D34,'Visu totale'!$D:$DH,BZ$1,0)),BY34-VLOOKUP($D34,'Visu totale'!$D:$DH,BZ$1,0),IF(LEFT(VLOOKUP($D34,'Visu totale'!$D:$DH,BZ$1,0),1)="V",IF(BY34&gt;=INDEX('[1]Définition Maintenances'!$G:$G,MATCH($A34,'[1]Définition Maintenances'!$K:$K,0)),BY34,INDEX('[1]Définition Maintenances'!$G:$G,MATCH($A34,'[1]Définition Maintenances'!$K:$K,0))+BY34),BY34))</f>
        <v>758</v>
      </c>
      <c r="CA34" s="26">
        <f>IF(ISNUMBER(VLOOKUP($D34,'Visu totale'!$D:$DH,CA$1,0)),BZ34-VLOOKUP($D34,'Visu totale'!$D:$DH,CA$1,0),IF(LEFT(VLOOKUP($D34,'Visu totale'!$D:$DH,CA$1,0),1)="V",IF(BZ34&gt;=INDEX('[1]Définition Maintenances'!$G:$G,MATCH($A34,'[1]Définition Maintenances'!$K:$K,0)),BZ34,INDEX('[1]Définition Maintenances'!$G:$G,MATCH($A34,'[1]Définition Maintenances'!$K:$K,0))+BZ34),BZ34))</f>
        <v>758</v>
      </c>
      <c r="CB34" s="26">
        <f>IF(ISNUMBER(VLOOKUP($D34,'Visu totale'!$D:$DH,CB$1,0)),CA34-VLOOKUP($D34,'Visu totale'!$D:$DH,CB$1,0),IF(LEFT(VLOOKUP($D34,'Visu totale'!$D:$DH,CB$1,0),1)="V",IF(CA34&gt;=INDEX('[1]Définition Maintenances'!$G:$G,MATCH($A34,'[1]Définition Maintenances'!$K:$K,0)),CA34,INDEX('[1]Définition Maintenances'!$G:$G,MATCH($A34,'[1]Définition Maintenances'!$K:$K,0))+CA34),CA34))</f>
        <v>758</v>
      </c>
      <c r="CC34" s="26">
        <f>IF(ISNUMBER(VLOOKUP($D34,'Visu totale'!$D:$DH,CC$1,0)),CB34-VLOOKUP($D34,'Visu totale'!$D:$DH,CC$1,0),IF(LEFT(VLOOKUP($D34,'Visu totale'!$D:$DH,CC$1,0),1)="V",IF(CB34&gt;=INDEX('[1]Définition Maintenances'!$G:$G,MATCH($A34,'[1]Définition Maintenances'!$K:$K,0)),CB34,INDEX('[1]Définition Maintenances'!$G:$G,MATCH($A34,'[1]Définition Maintenances'!$K:$K,0))+CB34),CB34))</f>
        <v>758</v>
      </c>
      <c r="CD34" s="26">
        <f>IF(ISNUMBER(VLOOKUP($D34,'Visu totale'!$D:$DH,CD$1,0)),CC34-VLOOKUP($D34,'Visu totale'!$D:$DH,CD$1,0),IF(LEFT(VLOOKUP($D34,'Visu totale'!$D:$DH,CD$1,0),1)="V",IF(CC34&gt;=INDEX('[1]Définition Maintenances'!$G:$G,MATCH($A34,'[1]Définition Maintenances'!$K:$K,0)),CC34,INDEX('[1]Définition Maintenances'!$G:$G,MATCH($A34,'[1]Définition Maintenances'!$K:$K,0))+CC34),CC34))</f>
        <v>758</v>
      </c>
      <c r="CE34" s="26">
        <f>IF(ISNUMBER(VLOOKUP($D34,'Visu totale'!$D:$DH,CE$1,0)),CD34-VLOOKUP($D34,'Visu totale'!$D:$DH,CE$1,0),IF(LEFT(VLOOKUP($D34,'Visu totale'!$D:$DH,CE$1,0),1)="V",IF(CD34&gt;=INDEX('[1]Définition Maintenances'!$G:$G,MATCH($A34,'[1]Définition Maintenances'!$K:$K,0)),CD34,INDEX('[1]Définition Maintenances'!$G:$G,MATCH($A34,'[1]Définition Maintenances'!$K:$K,0))+CD34),CD34))</f>
        <v>758</v>
      </c>
      <c r="CF34" s="26">
        <f>IF(ISNUMBER(VLOOKUP($D34,'Visu totale'!$D:$DH,CF$1,0)),CE34-VLOOKUP($D34,'Visu totale'!$D:$DH,CF$1,0),IF(LEFT(VLOOKUP($D34,'Visu totale'!$D:$DH,CF$1,0),1)="V",IF(CE34&gt;=INDEX('[1]Définition Maintenances'!$G:$G,MATCH($A34,'[1]Définition Maintenances'!$K:$K,0)),CE34,INDEX('[1]Définition Maintenances'!$G:$G,MATCH($A34,'[1]Définition Maintenances'!$K:$K,0))+CE34),CE34))</f>
        <v>758</v>
      </c>
      <c r="CG34" s="26">
        <f>IF(ISNUMBER(VLOOKUP($D34,'Visu totale'!$D:$DH,CG$1,0)),CF34-VLOOKUP($D34,'Visu totale'!$D:$DH,CG$1,0),IF(LEFT(VLOOKUP($D34,'Visu totale'!$D:$DH,CG$1,0),1)="V",IF(CF34&gt;=INDEX('[1]Définition Maintenances'!$G:$G,MATCH($A34,'[1]Définition Maintenances'!$K:$K,0)),CF34,INDEX('[1]Définition Maintenances'!$G:$G,MATCH($A34,'[1]Définition Maintenances'!$K:$K,0))+CF34),CF34))</f>
        <v>758</v>
      </c>
      <c r="CH34" s="26">
        <f>IF(ISNUMBER(VLOOKUP($D34,'Visu totale'!$D:$DH,CH$1,0)),CG34-VLOOKUP($D34,'Visu totale'!$D:$DH,CH$1,0),IF(LEFT(VLOOKUP($D34,'Visu totale'!$D:$DH,CH$1,0),1)="V",IF(CG34&gt;=INDEX('[1]Définition Maintenances'!$G:$G,MATCH($A34,'[1]Définition Maintenances'!$K:$K,0)),CG34,INDEX('[1]Définition Maintenances'!$G:$G,MATCH($A34,'[1]Définition Maintenances'!$K:$K,0))+CG34),CG34))</f>
        <v>758</v>
      </c>
      <c r="CI34" s="26">
        <f>IF(ISNUMBER(VLOOKUP($D34,'Visu totale'!$D:$DH,CI$1,0)),CH34-VLOOKUP($D34,'Visu totale'!$D:$DH,CI$1,0),IF(LEFT(VLOOKUP($D34,'Visu totale'!$D:$DH,CI$1,0),1)="V",IF(CH34&gt;=INDEX('[1]Définition Maintenances'!$G:$G,MATCH($A34,'[1]Définition Maintenances'!$K:$K,0)),CH34,INDEX('[1]Définition Maintenances'!$G:$G,MATCH($A34,'[1]Définition Maintenances'!$K:$K,0))+CH34),CH34))</f>
        <v>758</v>
      </c>
      <c r="CJ34" s="26">
        <f>IF(ISNUMBER(VLOOKUP($D34,'Visu totale'!$D:$DH,CJ$1,0)),CI34-VLOOKUP($D34,'Visu totale'!$D:$DH,CJ$1,0),IF(LEFT(VLOOKUP($D34,'Visu totale'!$D:$DH,CJ$1,0),1)="V",IF(CI34&gt;=INDEX('[1]Définition Maintenances'!$G:$G,MATCH($A34,'[1]Définition Maintenances'!$K:$K,0)),CI34,INDEX('[1]Définition Maintenances'!$G:$G,MATCH($A34,'[1]Définition Maintenances'!$K:$K,0))+CI34),CI34))</f>
        <v>758</v>
      </c>
      <c r="CK34" s="27">
        <f>IF(ISNUMBER(VLOOKUP($D34,'Visu totale'!$D:$DH,CK$1,0)),CJ34-VLOOKUP($D34,'Visu totale'!$D:$DH,CK$1,0),IF(LEFT(VLOOKUP($D34,'Visu totale'!$D:$DH,CK$1,0),1)="V",IF(CJ34&gt;=INDEX('[1]Définition Maintenances'!$G:$G,MATCH($A34,'[1]Définition Maintenances'!$K:$K,0)),CJ34,INDEX('[1]Définition Maintenances'!$G:$G,MATCH($A34,'[1]Définition Maintenances'!$K:$K,0))+CJ34),CJ34))</f>
        <v>758</v>
      </c>
      <c r="CL34" s="25">
        <f>IF(ISNUMBER(VLOOKUP($D34,'Visu totale'!$D:$DH,CL$1,0)),CK34-VLOOKUP($D34,'Visu totale'!$D:$DH,CL$1,0),IF(LEFT(VLOOKUP($D34,'Visu totale'!$D:$DH,CL$1,0),1)="V",IF(CK34&gt;=INDEX('[1]Définition Maintenances'!$G:$G,MATCH($A34,'[1]Définition Maintenances'!$K:$K,0)),CK34,INDEX('[1]Définition Maintenances'!$G:$G,MATCH($A34,'[1]Définition Maintenances'!$K:$K,0))+CK34),CK34))</f>
        <v>758</v>
      </c>
      <c r="CM34" s="26">
        <f>IF(ISNUMBER(VLOOKUP($D34,'Visu totale'!$D:$DH,CM$1,0)),CL34-VLOOKUP($D34,'Visu totale'!$D:$DH,CM$1,0),IF(LEFT(VLOOKUP($D34,'Visu totale'!$D:$DH,CM$1,0),1)="V",IF(CL34&gt;=INDEX('[1]Définition Maintenances'!$G:$G,MATCH($A34,'[1]Définition Maintenances'!$K:$K,0)),CL34,INDEX('[1]Définition Maintenances'!$G:$G,MATCH($A34,'[1]Définition Maintenances'!$K:$K,0))+CL34),CL34))</f>
        <v>758</v>
      </c>
      <c r="CN34" s="26">
        <f>IF(ISNUMBER(VLOOKUP($D34,'Visu totale'!$D:$DH,CN$1,0)),CM34-VLOOKUP($D34,'Visu totale'!$D:$DH,CN$1,0),IF(LEFT(VLOOKUP($D34,'Visu totale'!$D:$DH,CN$1,0),1)="V",IF(CM34&gt;=INDEX('[1]Définition Maintenances'!$G:$G,MATCH($A34,'[1]Définition Maintenances'!$K:$K,0)),CM34,INDEX('[1]Définition Maintenances'!$G:$G,MATCH($A34,'[1]Définition Maintenances'!$K:$K,0))+CM34),CM34))</f>
        <v>758</v>
      </c>
      <c r="CO34" s="26">
        <f>IF(ISNUMBER(VLOOKUP($D34,'Visu totale'!$D:$DH,CO$1,0)),CN34-VLOOKUP($D34,'Visu totale'!$D:$DH,CO$1,0),IF(LEFT(VLOOKUP($D34,'Visu totale'!$D:$DH,CO$1,0),1)="V",IF(CN34&gt;=INDEX('[1]Définition Maintenances'!$G:$G,MATCH($A34,'[1]Définition Maintenances'!$K:$K,0)),CN34,INDEX('[1]Définition Maintenances'!$G:$G,MATCH($A34,'[1]Définition Maintenances'!$K:$K,0))+CN34),CN34))</f>
        <v>758</v>
      </c>
      <c r="CP34" s="26">
        <f>IF(ISNUMBER(VLOOKUP($D34,'Visu totale'!$D:$DH,CP$1,0)),CO34-VLOOKUP($D34,'Visu totale'!$D:$DH,CP$1,0),IF(LEFT(VLOOKUP($D34,'Visu totale'!$D:$DH,CP$1,0),1)="V",IF(CO34&gt;=INDEX('[1]Définition Maintenances'!$G:$G,MATCH($A34,'[1]Définition Maintenances'!$K:$K,0)),CO34,INDEX('[1]Définition Maintenances'!$G:$G,MATCH($A34,'[1]Définition Maintenances'!$K:$K,0))+CO34),CO34))</f>
        <v>758</v>
      </c>
      <c r="CQ34" s="26">
        <f>IF(ISNUMBER(VLOOKUP($D34,'Visu totale'!$D:$DH,CQ$1,0)),CP34-VLOOKUP($D34,'Visu totale'!$D:$DH,CQ$1,0),IF(LEFT(VLOOKUP($D34,'Visu totale'!$D:$DH,CQ$1,0),1)="V",IF(CP34&gt;=INDEX('[1]Définition Maintenances'!$G:$G,MATCH($A34,'[1]Définition Maintenances'!$K:$K,0)),CP34,INDEX('[1]Définition Maintenances'!$G:$G,MATCH($A34,'[1]Définition Maintenances'!$K:$K,0))+CP34),CP34))</f>
        <v>758</v>
      </c>
      <c r="CR34" s="26">
        <f>IF(ISNUMBER(VLOOKUP($D34,'Visu totale'!$D:$DH,CR$1,0)),CQ34-VLOOKUP($D34,'Visu totale'!$D:$DH,CR$1,0),IF(LEFT(VLOOKUP($D34,'Visu totale'!$D:$DH,CR$1,0),1)="V",IF(CQ34&gt;=INDEX('[1]Définition Maintenances'!$G:$G,MATCH($A34,'[1]Définition Maintenances'!$K:$K,0)),CQ34,INDEX('[1]Définition Maintenances'!$G:$G,MATCH($A34,'[1]Définition Maintenances'!$K:$K,0))+CQ34),CQ34))</f>
        <v>758</v>
      </c>
      <c r="CS34" s="26">
        <f>IF(ISNUMBER(VLOOKUP($D34,'Visu totale'!$D:$DH,CS$1,0)),CR34-VLOOKUP($D34,'Visu totale'!$D:$DH,CS$1,0),IF(LEFT(VLOOKUP($D34,'Visu totale'!$D:$DH,CS$1,0),1)="V",IF(CR34&gt;=INDEX('[1]Définition Maintenances'!$G:$G,MATCH($A34,'[1]Définition Maintenances'!$K:$K,0)),CR34,INDEX('[1]Définition Maintenances'!$G:$G,MATCH($A34,'[1]Définition Maintenances'!$K:$K,0))+CR34),CR34))</f>
        <v>758</v>
      </c>
      <c r="CT34" s="26">
        <f>IF(ISNUMBER(VLOOKUP($D34,'Visu totale'!$D:$DH,CT$1,0)),CS34-VLOOKUP($D34,'Visu totale'!$D:$DH,CT$1,0),IF(LEFT(VLOOKUP($D34,'Visu totale'!$D:$DH,CT$1,0),1)="V",IF(CS34&gt;=INDEX('[1]Définition Maintenances'!$G:$G,MATCH($A34,'[1]Définition Maintenances'!$K:$K,0)),CS34,INDEX('[1]Définition Maintenances'!$G:$G,MATCH($A34,'[1]Définition Maintenances'!$K:$K,0))+CS34),CS34))</f>
        <v>758</v>
      </c>
      <c r="CU34" s="26">
        <f>IF(ISNUMBER(VLOOKUP($D34,'Visu totale'!$D:$DH,CU$1,0)),CT34-VLOOKUP($D34,'Visu totale'!$D:$DH,CU$1,0),IF(LEFT(VLOOKUP($D34,'Visu totale'!$D:$DH,CU$1,0),1)="V",IF(CT34&gt;=INDEX('[1]Définition Maintenances'!$G:$G,MATCH($A34,'[1]Définition Maintenances'!$K:$K,0)),CT34,INDEX('[1]Définition Maintenances'!$G:$G,MATCH($A34,'[1]Définition Maintenances'!$K:$K,0))+CT34),CT34))</f>
        <v>758</v>
      </c>
      <c r="CV34" s="26">
        <f>IF(ISNUMBER(VLOOKUP($D34,'Visu totale'!$D:$DH,CV$1,0)),CU34-VLOOKUP($D34,'Visu totale'!$D:$DH,CV$1,0),IF(LEFT(VLOOKUP($D34,'Visu totale'!$D:$DH,CV$1,0),1)="V",IF(CU34&gt;=INDEX('[1]Définition Maintenances'!$G:$G,MATCH($A34,'[1]Définition Maintenances'!$K:$K,0)),CU34,INDEX('[1]Définition Maintenances'!$G:$G,MATCH($A34,'[1]Définition Maintenances'!$K:$K,0))+CU34),CU34))</f>
        <v>758</v>
      </c>
      <c r="CW34" s="27">
        <f>IF(ISNUMBER(VLOOKUP($D34,'Visu totale'!$D:$DH,CW$1,0)),CV34-VLOOKUP($D34,'Visu totale'!$D:$DH,CW$1,0),IF(LEFT(VLOOKUP($D34,'Visu totale'!$D:$DH,CW$1,0),1)="V",IF(CV34&gt;=INDEX('[1]Définition Maintenances'!$G:$G,MATCH($A34,'[1]Définition Maintenances'!$K:$K,0)),CV34,INDEX('[1]Définition Maintenances'!$G:$G,MATCH($A34,'[1]Définition Maintenances'!$K:$K,0))+CV34),CV34))</f>
        <v>758</v>
      </c>
      <c r="CX34" s="25">
        <f>IF(ISNUMBER(VLOOKUP($D34,'Visu totale'!$D:$DH,CX$1,0)),CW34-VLOOKUP($D34,'Visu totale'!$D:$DH,CX$1,0),IF(LEFT(VLOOKUP($D34,'Visu totale'!$D:$DH,CX$1,0),1)="V",IF(CW34&gt;=INDEX('[1]Définition Maintenances'!$G:$G,MATCH($A34,'[1]Définition Maintenances'!$K:$K,0)),CW34,INDEX('[1]Définition Maintenances'!$G:$G,MATCH($A34,'[1]Définition Maintenances'!$K:$K,0))+CW34),CW34))</f>
        <v>758</v>
      </c>
      <c r="CY34" s="26">
        <f>IF(ISNUMBER(VLOOKUP($D34,'Visu totale'!$D:$DH,CY$1,0)),CX34-VLOOKUP($D34,'Visu totale'!$D:$DH,CY$1,0),IF(LEFT(VLOOKUP($D34,'Visu totale'!$D:$DH,CY$1,0),1)="V",IF(CX34&gt;=INDEX('[1]Définition Maintenances'!$G:$G,MATCH($A34,'[1]Définition Maintenances'!$K:$K,0)),CX34,INDEX('[1]Définition Maintenances'!$G:$G,MATCH($A34,'[1]Définition Maintenances'!$K:$K,0))+CX34),CX34))</f>
        <v>758</v>
      </c>
      <c r="CZ34" s="26">
        <f>IF(ISNUMBER(VLOOKUP($D34,'Visu totale'!$D:$DH,CZ$1,0)),CY34-VLOOKUP($D34,'Visu totale'!$D:$DH,CZ$1,0),IF(LEFT(VLOOKUP($D34,'Visu totale'!$D:$DH,CZ$1,0),1)="V",IF(CY34&gt;=INDEX('[1]Définition Maintenances'!$G:$G,MATCH($A34,'[1]Définition Maintenances'!$K:$K,0)),CY34,INDEX('[1]Définition Maintenances'!$G:$G,MATCH($A34,'[1]Définition Maintenances'!$K:$K,0))+CY34),CY34))</f>
        <v>758</v>
      </c>
      <c r="DA34" s="26">
        <f>IF(ISNUMBER(VLOOKUP($D34,'Visu totale'!$D:$DH,DA$1,0)),CZ34-VLOOKUP($D34,'Visu totale'!$D:$DH,DA$1,0),IF(LEFT(VLOOKUP($D34,'Visu totale'!$D:$DH,DA$1,0),1)="V",IF(CZ34&gt;=INDEX('[1]Définition Maintenances'!$G:$G,MATCH($A34,'[1]Définition Maintenances'!$K:$K,0)),CZ34,INDEX('[1]Définition Maintenances'!$G:$G,MATCH($A34,'[1]Définition Maintenances'!$K:$K,0))+CZ34),CZ34))</f>
        <v>758</v>
      </c>
      <c r="DB34" s="26">
        <f>IF(ISNUMBER(VLOOKUP($D34,'Visu totale'!$D:$DH,DB$1,0)),DA34-VLOOKUP($D34,'Visu totale'!$D:$DH,DB$1,0),IF(LEFT(VLOOKUP($D34,'Visu totale'!$D:$DH,DB$1,0),1)="V",IF(DA34&gt;=INDEX('[1]Définition Maintenances'!$G:$G,MATCH($A34,'[1]Définition Maintenances'!$K:$K,0)),DA34,INDEX('[1]Définition Maintenances'!$G:$G,MATCH($A34,'[1]Définition Maintenances'!$K:$K,0))+DA34),DA34))</f>
        <v>758</v>
      </c>
      <c r="DC34" s="26">
        <f>IF(ISNUMBER(VLOOKUP($D34,'Visu totale'!$D:$DH,DC$1,0)),DB34-VLOOKUP($D34,'Visu totale'!$D:$DH,DC$1,0),IF(LEFT(VLOOKUP($D34,'Visu totale'!$D:$DH,DC$1,0),1)="V",IF(DB34&gt;=INDEX('[1]Définition Maintenances'!$G:$G,MATCH($A34,'[1]Définition Maintenances'!$K:$K,0)),DB34,INDEX('[1]Définition Maintenances'!$G:$G,MATCH($A34,'[1]Définition Maintenances'!$K:$K,0))+DB34),DB34))</f>
        <v>758</v>
      </c>
      <c r="DD34" s="26">
        <f>IF(ISNUMBER(VLOOKUP($D34,'Visu totale'!$D:$DH,DD$1,0)),DC34-VLOOKUP($D34,'Visu totale'!$D:$DH,DD$1,0),IF(LEFT(VLOOKUP($D34,'Visu totale'!$D:$DH,DD$1,0),1)="V",IF(DC34&gt;=INDEX('[1]Définition Maintenances'!$G:$G,MATCH($A34,'[1]Définition Maintenances'!$K:$K,0)),DC34,INDEX('[1]Définition Maintenances'!$G:$G,MATCH($A34,'[1]Définition Maintenances'!$K:$K,0))+DC34),DC34))</f>
        <v>758</v>
      </c>
      <c r="DE34" s="26">
        <f>IF(ISNUMBER(VLOOKUP($D34,'Visu totale'!$D:$DH,DE$1,0)),DD34-VLOOKUP($D34,'Visu totale'!$D:$DH,DE$1,0),IF(LEFT(VLOOKUP($D34,'Visu totale'!$D:$DH,DE$1,0),1)="V",IF(DD34&gt;=INDEX('[1]Définition Maintenances'!$G:$G,MATCH($A34,'[1]Définition Maintenances'!$K:$K,0)),DD34,INDEX('[1]Définition Maintenances'!$G:$G,MATCH($A34,'[1]Définition Maintenances'!$K:$K,0))+DD34),DD34))</f>
        <v>758</v>
      </c>
      <c r="DF34" s="26">
        <f>IF(ISNUMBER(VLOOKUP($D34,'Visu totale'!$D:$DH,DF$1,0)),DE34-VLOOKUP($D34,'Visu totale'!$D:$DH,DF$1,0),IF(LEFT(VLOOKUP($D34,'Visu totale'!$D:$DH,DF$1,0),1)="V",IF(DE34&gt;=INDEX('[1]Définition Maintenances'!$G:$G,MATCH($A34,'[1]Définition Maintenances'!$K:$K,0)),DE34,INDEX('[1]Définition Maintenances'!$G:$G,MATCH($A34,'[1]Définition Maintenances'!$K:$K,0))+DE34),DE34))</f>
        <v>758</v>
      </c>
      <c r="DG34" s="26">
        <f>IF(ISNUMBER(VLOOKUP($D34,'Visu totale'!$D:$DH,DG$1,0)),DF34-VLOOKUP($D34,'Visu totale'!$D:$DH,DG$1,0),IF(LEFT(VLOOKUP($D34,'Visu totale'!$D:$DH,DG$1,0),1)="V",IF(DF34&gt;=INDEX('[1]Définition Maintenances'!$G:$G,MATCH($A34,'[1]Définition Maintenances'!$K:$K,0)),DF34,INDEX('[1]Définition Maintenances'!$G:$G,MATCH($A34,'[1]Définition Maintenances'!$K:$K,0))+DF34),DF34))</f>
        <v>758</v>
      </c>
      <c r="DH34" s="26">
        <f>IF(ISNUMBER(VLOOKUP($D34,'Visu totale'!$D:$DH,DH$1,0)),DG34-VLOOKUP($D34,'Visu totale'!$D:$DH,DH$1,0),IF(LEFT(VLOOKUP($D34,'Visu totale'!$D:$DH,DH$1,0),1)="V",IF(DG34&gt;=INDEX('[1]Définition Maintenances'!$G:$G,MATCH($A34,'[1]Définition Maintenances'!$K:$K,0)),DG34,INDEX('[1]Définition Maintenances'!$G:$G,MATCH($A34,'[1]Définition Maintenances'!$K:$K,0))+DG34),DG34))</f>
        <v>758</v>
      </c>
      <c r="DI34" s="27">
        <f>IF(ISNUMBER(VLOOKUP($D34,'Visu totale'!$D:$DH,DI$1,0)),DH34-VLOOKUP($D34,'Visu totale'!$D:$DH,DI$1,0),IF(LEFT(VLOOKUP($D34,'Visu totale'!$D:$DH,DI$1,0),1)="V",IF(DH34&gt;=INDEX('[1]Définition Maintenances'!$G:$G,MATCH($A34,'[1]Définition Maintenances'!$K:$K,0)),DH34,INDEX('[1]Définition Maintenances'!$G:$G,MATCH($A34,'[1]Définition Maintenances'!$K:$K,0))+DH34),DH34))</f>
        <v>758</v>
      </c>
    </row>
    <row r="35" spans="1:113" x14ac:dyDescent="0.25">
      <c r="A35" s="13" t="str">
        <f t="shared" si="0"/>
        <v>V10D</v>
      </c>
      <c r="B35" s="13" t="str">
        <f>VLOOKUP(D35,'[1]Avions (Potentiels)'!$B$2:$H$128,7,FALSE)</f>
        <v>V10</v>
      </c>
      <c r="C35" s="13"/>
      <c r="D35" s="16" t="s">
        <v>38</v>
      </c>
      <c r="E35" s="13">
        <f>IFERROR(VALUE(SUBSTITUTE(VLOOKUP(D35,'[1]Avions (Potentiels)'!$B:$E,4,0),".",",")),VALUE(VLOOKUP(D35,'[1]Avions (Potentiels)'!$B:$E,4,0)))</f>
        <v>900</v>
      </c>
      <c r="F35" s="25">
        <f>IF(ISNUMBER(VLOOKUP($D35,'Visu totale'!$D:$DH,F$1,0)),E35-VLOOKUP($D35,'Visu totale'!$D:$DH,F$1,0),IF(LEFT(VLOOKUP($D35,'Visu totale'!$D:$DH,F$1,0),1)="V",IF(E35&gt;=INDEX('[1]Définition Maintenances'!$G:$G,MATCH($A35,'[1]Définition Maintenances'!$K:$K,0)),E35,INDEX('[1]Définition Maintenances'!$G:$G,MATCH($A35,'[1]Définition Maintenances'!$K:$K,0))+E35),E35))</f>
        <v>900</v>
      </c>
      <c r="G35" s="26">
        <f>IF(ISNUMBER(VLOOKUP($D35,'Visu totale'!$D:$DH,G$1,0)),F35-VLOOKUP($D35,'Visu totale'!$D:$DH,G$1,0),IF(LEFT(VLOOKUP($D35,'Visu totale'!$D:$DH,G$1,0),1)="V",IF(F35&gt;=INDEX('[1]Définition Maintenances'!$G:$G,MATCH($A35,'[1]Définition Maintenances'!$K:$K,0)),F35,INDEX('[1]Définition Maintenances'!$G:$G,MATCH($A35,'[1]Définition Maintenances'!$K:$K,0))+F35),F35))</f>
        <v>900</v>
      </c>
      <c r="H35" s="26">
        <f>IF(ISNUMBER(VLOOKUP($D35,'Visu totale'!$D:$DH,H$1,0)),G35-VLOOKUP($D35,'Visu totale'!$D:$DH,H$1,0),IF(LEFT(VLOOKUP($D35,'Visu totale'!$D:$DH,H$1,0),1)="V",IF(G35&gt;=INDEX('[1]Définition Maintenances'!$G:$G,MATCH($A35,'[1]Définition Maintenances'!$K:$K,0)),G35,INDEX('[1]Définition Maintenances'!$G:$G,MATCH($A35,'[1]Définition Maintenances'!$K:$K,0))+G35),G35))</f>
        <v>900</v>
      </c>
      <c r="I35" s="26">
        <f>IF(ISNUMBER(VLOOKUP($D35,'Visu totale'!$D:$DH,I$1,0)),H35-VLOOKUP($D35,'Visu totale'!$D:$DH,I$1,0),IF(LEFT(VLOOKUP($D35,'Visu totale'!$D:$DH,I$1,0),1)="V",IF(H35&gt;=INDEX('[1]Définition Maintenances'!$G:$G,MATCH($A35,'[1]Définition Maintenances'!$K:$K,0)),H35,INDEX('[1]Définition Maintenances'!$G:$G,MATCH($A35,'[1]Définition Maintenances'!$K:$K,0))+H35),H35))</f>
        <v>900</v>
      </c>
      <c r="J35" s="26">
        <f>IF(ISNUMBER(VLOOKUP($D35,'Visu totale'!$D:$DH,J$1,0)),I35-VLOOKUP($D35,'Visu totale'!$D:$DH,J$1,0),IF(LEFT(VLOOKUP($D35,'Visu totale'!$D:$DH,J$1,0),1)="V",IF(I35&gt;=INDEX('[1]Définition Maintenances'!$G:$G,MATCH($A35,'[1]Définition Maintenances'!$K:$K,0)),I35,INDEX('[1]Définition Maintenances'!$G:$G,MATCH($A35,'[1]Définition Maintenances'!$K:$K,0))+I35),I35))</f>
        <v>900</v>
      </c>
      <c r="K35" s="26">
        <f>IF(ISNUMBER(VLOOKUP($D35,'Visu totale'!$D:$DH,K$1,0)),J35-VLOOKUP($D35,'Visu totale'!$D:$DH,K$1,0),IF(LEFT(VLOOKUP($D35,'Visu totale'!$D:$DH,K$1,0),1)="V",IF(J35&gt;=INDEX('[1]Définition Maintenances'!$G:$G,MATCH($A35,'[1]Définition Maintenances'!$K:$K,0)),J35,INDEX('[1]Définition Maintenances'!$G:$G,MATCH($A35,'[1]Définition Maintenances'!$K:$K,0))+J35),J35))</f>
        <v>900</v>
      </c>
      <c r="L35" s="26">
        <f>IF(ISNUMBER(VLOOKUP($D35,'Visu totale'!$D:$DH,L$1,0)),K35-VLOOKUP($D35,'Visu totale'!$D:$DH,L$1,0),IF(LEFT(VLOOKUP($D35,'Visu totale'!$D:$DH,L$1,0),1)="V",IF(K35&gt;=INDEX('[1]Définition Maintenances'!$G:$G,MATCH($A35,'[1]Définition Maintenances'!$K:$K,0)),K35,INDEX('[1]Définition Maintenances'!$G:$G,MATCH($A35,'[1]Définition Maintenances'!$K:$K,0))+K35),K35))</f>
        <v>900</v>
      </c>
      <c r="M35" s="26">
        <f>IF(ISNUMBER(VLOOKUP($D35,'Visu totale'!$D:$DH,M$1,0)),L35-VLOOKUP($D35,'Visu totale'!$D:$DH,M$1,0),IF(LEFT(VLOOKUP($D35,'Visu totale'!$D:$DH,M$1,0),1)="V",IF(L35&gt;=INDEX('[1]Définition Maintenances'!$G:$G,MATCH($A35,'[1]Définition Maintenances'!$K:$K,0)),L35,INDEX('[1]Définition Maintenances'!$G:$G,MATCH($A35,'[1]Définition Maintenances'!$K:$K,0))+L35),L35))</f>
        <v>900</v>
      </c>
      <c r="N35" s="26">
        <f>IF(ISNUMBER(VLOOKUP($D35,'Visu totale'!$D:$DH,N$1,0)),M35-VLOOKUP($D35,'Visu totale'!$D:$DH,N$1,0),IF(LEFT(VLOOKUP($D35,'Visu totale'!$D:$DH,N$1,0),1)="V",IF(M35&gt;=INDEX('[1]Définition Maintenances'!$G:$G,MATCH($A35,'[1]Définition Maintenances'!$K:$K,0)),M35,INDEX('[1]Définition Maintenances'!$G:$G,MATCH($A35,'[1]Définition Maintenances'!$K:$K,0))+M35),M35))</f>
        <v>900</v>
      </c>
      <c r="O35" s="26">
        <f>IF(ISNUMBER(VLOOKUP($D35,'Visu totale'!$D:$DH,O$1,0)),N35-VLOOKUP($D35,'Visu totale'!$D:$DH,O$1,0),IF(LEFT(VLOOKUP($D35,'Visu totale'!$D:$DH,O$1,0),1)="V",IF(N35&gt;=INDEX('[1]Définition Maintenances'!$G:$G,MATCH($A35,'[1]Définition Maintenances'!$K:$K,0)),N35,INDEX('[1]Définition Maintenances'!$G:$G,MATCH($A35,'[1]Définition Maintenances'!$K:$K,0))+N35),N35))</f>
        <v>900</v>
      </c>
      <c r="P35" s="26">
        <f>IF(ISNUMBER(VLOOKUP($D35,'Visu totale'!$D:$DH,P$1,0)),O35-VLOOKUP($D35,'Visu totale'!$D:$DH,P$1,0),IF(LEFT(VLOOKUP($D35,'Visu totale'!$D:$DH,P$1,0),1)="V",IF(O35&gt;=INDEX('[1]Définition Maintenances'!$G:$G,MATCH($A35,'[1]Définition Maintenances'!$K:$K,0)),O35,INDEX('[1]Définition Maintenances'!$G:$G,MATCH($A35,'[1]Définition Maintenances'!$K:$K,0))+O35),O35))</f>
        <v>900</v>
      </c>
      <c r="Q35" s="27">
        <f>IF(ISNUMBER(VLOOKUP($D35,'Visu totale'!$D:$DH,Q$1,0)),P35-VLOOKUP($D35,'Visu totale'!$D:$DH,Q$1,0),IF(LEFT(VLOOKUP($D35,'Visu totale'!$D:$DH,Q$1,0),1)="V",IF(P35&gt;=INDEX('[1]Définition Maintenances'!$G:$G,MATCH($A35,'[1]Définition Maintenances'!$K:$K,0)),P35,INDEX('[1]Définition Maintenances'!$G:$G,MATCH($A35,'[1]Définition Maintenances'!$K:$K,0))+P35),P35))</f>
        <v>900</v>
      </c>
      <c r="R35" s="25">
        <f>IF(ISNUMBER(VLOOKUP($D35,'Visu totale'!$D:$DH,R$1,0)),Q35-VLOOKUP($D35,'Visu totale'!$D:$DH,R$1,0),IF(LEFT(VLOOKUP($D35,'Visu totale'!$D:$DH,R$1,0),1)="V",IF(Q35&gt;=INDEX('[1]Définition Maintenances'!$G:$G,MATCH($A35,'[1]Définition Maintenances'!$K:$K,0)),Q35,INDEX('[1]Définition Maintenances'!$G:$G,MATCH($A35,'[1]Définition Maintenances'!$K:$K,0))+Q35),Q35))</f>
        <v>900</v>
      </c>
      <c r="S35" s="26">
        <f>IF(ISNUMBER(VLOOKUP($D35,'Visu totale'!$D:$DH,S$1,0)),R35-VLOOKUP($D35,'Visu totale'!$D:$DH,S$1,0),IF(LEFT(VLOOKUP($D35,'Visu totale'!$D:$DH,S$1,0),1)="V",IF(R35&gt;=INDEX('[1]Définition Maintenances'!$G:$G,MATCH($A35,'[1]Définition Maintenances'!$K:$K,0)),R35,INDEX('[1]Définition Maintenances'!$G:$G,MATCH($A35,'[1]Définition Maintenances'!$K:$K,0))+R35),R35))</f>
        <v>900</v>
      </c>
      <c r="T35" s="26">
        <f>IF(ISNUMBER(VLOOKUP($D35,'Visu totale'!$D:$DH,T$1,0)),S35-VLOOKUP($D35,'Visu totale'!$D:$DH,T$1,0),IF(LEFT(VLOOKUP($D35,'Visu totale'!$D:$DH,T$1,0),1)="V",IF(S35&gt;=INDEX('[1]Définition Maintenances'!$G:$G,MATCH($A35,'[1]Définition Maintenances'!$K:$K,0)),S35,INDEX('[1]Définition Maintenances'!$G:$G,MATCH($A35,'[1]Définition Maintenances'!$K:$K,0))+S35),S35))</f>
        <v>900</v>
      </c>
      <c r="U35" s="26">
        <f>IF(ISNUMBER(VLOOKUP($D35,'Visu totale'!$D:$DH,U$1,0)),T35-VLOOKUP($D35,'Visu totale'!$D:$DH,U$1,0),IF(LEFT(VLOOKUP($D35,'Visu totale'!$D:$DH,U$1,0),1)="V",IF(T35&gt;=INDEX('[1]Définition Maintenances'!$G:$G,MATCH($A35,'[1]Définition Maintenances'!$K:$K,0)),T35,INDEX('[1]Définition Maintenances'!$G:$G,MATCH($A35,'[1]Définition Maintenances'!$K:$K,0))+T35),T35))</f>
        <v>900</v>
      </c>
      <c r="V35" s="26">
        <f>IF(ISNUMBER(VLOOKUP($D35,'Visu totale'!$D:$DH,V$1,0)),U35-VLOOKUP($D35,'Visu totale'!$D:$DH,V$1,0),IF(LEFT(VLOOKUP($D35,'Visu totale'!$D:$DH,V$1,0),1)="V",IF(U35&gt;=INDEX('[1]Définition Maintenances'!$G:$G,MATCH($A35,'[1]Définition Maintenances'!$K:$K,0)),U35,INDEX('[1]Définition Maintenances'!$G:$G,MATCH($A35,'[1]Définition Maintenances'!$K:$K,0))+U35),U35))</f>
        <v>900</v>
      </c>
      <c r="W35" s="26">
        <f>IF(ISNUMBER(VLOOKUP($D35,'Visu totale'!$D:$DH,W$1,0)),V35-VLOOKUP($D35,'Visu totale'!$D:$DH,W$1,0),IF(LEFT(VLOOKUP($D35,'Visu totale'!$D:$DH,W$1,0),1)="V",IF(V35&gt;=INDEX('[1]Définition Maintenances'!$G:$G,MATCH($A35,'[1]Définition Maintenances'!$K:$K,0)),V35,INDEX('[1]Définition Maintenances'!$G:$G,MATCH($A35,'[1]Définition Maintenances'!$K:$K,0))+V35),V35))</f>
        <v>900</v>
      </c>
      <c r="X35" s="26">
        <f>IF(ISNUMBER(VLOOKUP($D35,'Visu totale'!$D:$DH,X$1,0)),W35-VLOOKUP($D35,'Visu totale'!$D:$DH,X$1,0),IF(LEFT(VLOOKUP($D35,'Visu totale'!$D:$DH,X$1,0),1)="V",IF(W35&gt;=INDEX('[1]Définition Maintenances'!$G:$G,MATCH($A35,'[1]Définition Maintenances'!$K:$K,0)),W35,INDEX('[1]Définition Maintenances'!$G:$G,MATCH($A35,'[1]Définition Maintenances'!$K:$K,0))+W35),W35))</f>
        <v>900</v>
      </c>
      <c r="Y35" s="26">
        <f>IF(ISNUMBER(VLOOKUP($D35,'Visu totale'!$D:$DH,Y$1,0)),X35-VLOOKUP($D35,'Visu totale'!$D:$DH,Y$1,0),IF(LEFT(VLOOKUP($D35,'Visu totale'!$D:$DH,Y$1,0),1)="V",IF(X35&gt;=INDEX('[1]Définition Maintenances'!$G:$G,MATCH($A35,'[1]Définition Maintenances'!$K:$K,0)),X35,INDEX('[1]Définition Maintenances'!$G:$G,MATCH($A35,'[1]Définition Maintenances'!$K:$K,0))+X35),X35))</f>
        <v>900</v>
      </c>
      <c r="Z35" s="26">
        <f>IF(ISNUMBER(VLOOKUP($D35,'Visu totale'!$D:$DH,Z$1,0)),Y35-VLOOKUP($D35,'Visu totale'!$D:$DH,Z$1,0),IF(LEFT(VLOOKUP($D35,'Visu totale'!$D:$DH,Z$1,0),1)="V",IF(Y35&gt;=INDEX('[1]Définition Maintenances'!$G:$G,MATCH($A35,'[1]Définition Maintenances'!$K:$K,0)),Y35,INDEX('[1]Définition Maintenances'!$G:$G,MATCH($A35,'[1]Définition Maintenances'!$K:$K,0))+Y35),Y35))</f>
        <v>900</v>
      </c>
      <c r="AA35" s="26">
        <f>IF(ISNUMBER(VLOOKUP($D35,'Visu totale'!$D:$DH,AA$1,0)),Z35-VLOOKUP($D35,'Visu totale'!$D:$DH,AA$1,0),IF(LEFT(VLOOKUP($D35,'Visu totale'!$D:$DH,AA$1,0),1)="V",IF(Z35&gt;=INDEX('[1]Définition Maintenances'!$G:$G,MATCH($A35,'[1]Définition Maintenances'!$K:$K,0)),Z35,INDEX('[1]Définition Maintenances'!$G:$G,MATCH($A35,'[1]Définition Maintenances'!$K:$K,0))+Z35),Z35))</f>
        <v>900</v>
      </c>
      <c r="AB35" s="26">
        <f>IF(ISNUMBER(VLOOKUP($D35,'Visu totale'!$D:$DH,AB$1,0)),AA35-VLOOKUP($D35,'Visu totale'!$D:$DH,AB$1,0),IF(LEFT(VLOOKUP($D35,'Visu totale'!$D:$DH,AB$1,0),1)="V",IF(AA35&gt;=INDEX('[1]Définition Maintenances'!$G:$G,MATCH($A35,'[1]Définition Maintenances'!$K:$K,0)),AA35,INDEX('[1]Définition Maintenances'!$G:$G,MATCH($A35,'[1]Définition Maintenances'!$K:$K,0))+AA35),AA35))</f>
        <v>900</v>
      </c>
      <c r="AC35" s="27">
        <f>IF(ISNUMBER(VLOOKUP($D35,'Visu totale'!$D:$DH,AC$1,0)),AB35-VLOOKUP($D35,'Visu totale'!$D:$DH,AC$1,0),IF(LEFT(VLOOKUP($D35,'Visu totale'!$D:$DH,AC$1,0),1)="V",IF(AB35&gt;=INDEX('[1]Définition Maintenances'!$G:$G,MATCH($A35,'[1]Définition Maintenances'!$K:$K,0)),AB35,INDEX('[1]Définition Maintenances'!$G:$G,MATCH($A35,'[1]Définition Maintenances'!$K:$K,0))+AB35),AB35))</f>
        <v>900</v>
      </c>
      <c r="AD35" s="25">
        <f>IF(ISNUMBER(VLOOKUP($D35,'Visu totale'!$D:$DH,AD$1,0)),AC35-VLOOKUP($D35,'Visu totale'!$D:$DH,AD$1,0),IF(LEFT(VLOOKUP($D35,'Visu totale'!$D:$DH,AD$1,0),1)="V",IF(AC35&gt;=INDEX('[1]Définition Maintenances'!$G:$G,MATCH($A35,'[1]Définition Maintenances'!$K:$K,0)),AC35,INDEX('[1]Définition Maintenances'!$G:$G,MATCH($A35,'[1]Définition Maintenances'!$K:$K,0))+AC35),AC35))</f>
        <v>900</v>
      </c>
      <c r="AE35" s="26">
        <f>IF(ISNUMBER(VLOOKUP($D35,'Visu totale'!$D:$DH,AE$1,0)),AD35-VLOOKUP($D35,'Visu totale'!$D:$DH,AE$1,0),IF(LEFT(VLOOKUP($D35,'Visu totale'!$D:$DH,AE$1,0),1)="V",IF(AD35&gt;=INDEX('[1]Définition Maintenances'!$G:$G,MATCH($A35,'[1]Définition Maintenances'!$K:$K,0)),AD35,INDEX('[1]Définition Maintenances'!$G:$G,MATCH($A35,'[1]Définition Maintenances'!$K:$K,0))+AD35),AD35))</f>
        <v>900</v>
      </c>
      <c r="AF35" s="26">
        <f>IF(ISNUMBER(VLOOKUP($D35,'Visu totale'!$D:$DH,AF$1,0)),AE35-VLOOKUP($D35,'Visu totale'!$D:$DH,AF$1,0),IF(LEFT(VLOOKUP($D35,'Visu totale'!$D:$DH,AF$1,0),1)="V",IF(AE35&gt;=INDEX('[1]Définition Maintenances'!$G:$G,MATCH($A35,'[1]Définition Maintenances'!$K:$K,0)),AE35,INDEX('[1]Définition Maintenances'!$G:$G,MATCH($A35,'[1]Définition Maintenances'!$K:$K,0))+AE35),AE35))</f>
        <v>900</v>
      </c>
      <c r="AG35" s="26">
        <f>IF(ISNUMBER(VLOOKUP($D35,'Visu totale'!$D:$DH,AG$1,0)),AF35-VLOOKUP($D35,'Visu totale'!$D:$DH,AG$1,0),IF(LEFT(VLOOKUP($D35,'Visu totale'!$D:$DH,AG$1,0),1)="V",IF(AF35&gt;=INDEX('[1]Définition Maintenances'!$G:$G,MATCH($A35,'[1]Définition Maintenances'!$K:$K,0)),AF35,INDEX('[1]Définition Maintenances'!$G:$G,MATCH($A35,'[1]Définition Maintenances'!$K:$K,0))+AF35),AF35))</f>
        <v>900</v>
      </c>
      <c r="AH35" s="26">
        <f>IF(ISNUMBER(VLOOKUP($D35,'Visu totale'!$D:$DH,AH$1,0)),AG35-VLOOKUP($D35,'Visu totale'!$D:$DH,AH$1,0),IF(LEFT(VLOOKUP($D35,'Visu totale'!$D:$DH,AH$1,0),1)="V",IF(AG35&gt;=INDEX('[1]Définition Maintenances'!$G:$G,MATCH($A35,'[1]Définition Maintenances'!$K:$K,0)),AG35,INDEX('[1]Définition Maintenances'!$G:$G,MATCH($A35,'[1]Définition Maintenances'!$K:$K,0))+AG35),AG35))</f>
        <v>900</v>
      </c>
      <c r="AI35" s="26">
        <f>IF(ISNUMBER(VLOOKUP($D35,'Visu totale'!$D:$DH,AI$1,0)),AH35-VLOOKUP($D35,'Visu totale'!$D:$DH,AI$1,0),IF(LEFT(VLOOKUP($D35,'Visu totale'!$D:$DH,AI$1,0),1)="V",IF(AH35&gt;=INDEX('[1]Définition Maintenances'!$G:$G,MATCH($A35,'[1]Définition Maintenances'!$K:$K,0)),AH35,INDEX('[1]Définition Maintenances'!$G:$G,MATCH($A35,'[1]Définition Maintenances'!$K:$K,0))+AH35),AH35))</f>
        <v>900</v>
      </c>
      <c r="AJ35" s="26">
        <f>IF(ISNUMBER(VLOOKUP($D35,'Visu totale'!$D:$DH,AJ$1,0)),AI35-VLOOKUP($D35,'Visu totale'!$D:$DH,AJ$1,0),IF(LEFT(VLOOKUP($D35,'Visu totale'!$D:$DH,AJ$1,0),1)="V",IF(AI35&gt;=INDEX('[1]Définition Maintenances'!$G:$G,MATCH($A35,'[1]Définition Maintenances'!$K:$K,0)),AI35,INDEX('[1]Définition Maintenances'!$G:$G,MATCH($A35,'[1]Définition Maintenances'!$K:$K,0))+AI35),AI35))</f>
        <v>900</v>
      </c>
      <c r="AK35" s="26">
        <f>IF(ISNUMBER(VLOOKUP($D35,'Visu totale'!$D:$DH,AK$1,0)),AJ35-VLOOKUP($D35,'Visu totale'!$D:$DH,AK$1,0),IF(LEFT(VLOOKUP($D35,'Visu totale'!$D:$DH,AK$1,0),1)="V",IF(AJ35&gt;=INDEX('[1]Définition Maintenances'!$G:$G,MATCH($A35,'[1]Définition Maintenances'!$K:$K,0)),AJ35,INDEX('[1]Définition Maintenances'!$G:$G,MATCH($A35,'[1]Définition Maintenances'!$K:$K,0))+AJ35),AJ35))</f>
        <v>900</v>
      </c>
      <c r="AL35" s="26">
        <f>IF(ISNUMBER(VLOOKUP($D35,'Visu totale'!$D:$DH,AL$1,0)),AK35-VLOOKUP($D35,'Visu totale'!$D:$DH,AL$1,0),IF(LEFT(VLOOKUP($D35,'Visu totale'!$D:$DH,AL$1,0),1)="V",IF(AK35&gt;=INDEX('[1]Définition Maintenances'!$G:$G,MATCH($A35,'[1]Définition Maintenances'!$K:$K,0)),AK35,INDEX('[1]Définition Maintenances'!$G:$G,MATCH($A35,'[1]Définition Maintenances'!$K:$K,0))+AK35),AK35))</f>
        <v>900</v>
      </c>
      <c r="AM35" s="26">
        <f>IF(ISNUMBER(VLOOKUP($D35,'Visu totale'!$D:$DH,AM$1,0)),AL35-VLOOKUP($D35,'Visu totale'!$D:$DH,AM$1,0),IF(LEFT(VLOOKUP($D35,'Visu totale'!$D:$DH,AM$1,0),1)="V",IF(AL35&gt;=INDEX('[1]Définition Maintenances'!$G:$G,MATCH($A35,'[1]Définition Maintenances'!$K:$K,0)),AL35,INDEX('[1]Définition Maintenances'!$G:$G,MATCH($A35,'[1]Définition Maintenances'!$K:$K,0))+AL35),AL35))</f>
        <v>900</v>
      </c>
      <c r="AN35" s="26">
        <f>IF(ISNUMBER(VLOOKUP($D35,'Visu totale'!$D:$DH,AN$1,0)),AM35-VLOOKUP($D35,'Visu totale'!$D:$DH,AN$1,0),IF(LEFT(VLOOKUP($D35,'Visu totale'!$D:$DH,AN$1,0),1)="V",IF(AM35&gt;=INDEX('[1]Définition Maintenances'!$G:$G,MATCH($A35,'[1]Définition Maintenances'!$K:$K,0)),AM35,INDEX('[1]Définition Maintenances'!$G:$G,MATCH($A35,'[1]Définition Maintenances'!$K:$K,0))+AM35),AM35))</f>
        <v>900</v>
      </c>
      <c r="AO35" s="27">
        <f>IF(ISNUMBER(VLOOKUP($D35,'Visu totale'!$D:$DH,AO$1,0)),AN35-VLOOKUP($D35,'Visu totale'!$D:$DH,AO$1,0),IF(LEFT(VLOOKUP($D35,'Visu totale'!$D:$DH,AO$1,0),1)="V",IF(AN35&gt;=INDEX('[1]Définition Maintenances'!$G:$G,MATCH($A35,'[1]Définition Maintenances'!$K:$K,0)),AN35,INDEX('[1]Définition Maintenances'!$G:$G,MATCH($A35,'[1]Définition Maintenances'!$K:$K,0))+AN35),AN35))</f>
        <v>900</v>
      </c>
      <c r="AP35" s="25">
        <f>IF(ISNUMBER(VLOOKUP($D35,'Visu totale'!$D:$DH,AP$1,0)),AO35-VLOOKUP($D35,'Visu totale'!$D:$DH,AP$1,0),IF(LEFT(VLOOKUP($D35,'Visu totale'!$D:$DH,AP$1,0),1)="V",IF(AO35&gt;=INDEX('[1]Définition Maintenances'!$G:$G,MATCH($A35,'[1]Définition Maintenances'!$K:$K,0)),AO35,INDEX('[1]Définition Maintenances'!$G:$G,MATCH($A35,'[1]Définition Maintenances'!$K:$K,0))+AO35),AO35))</f>
        <v>900</v>
      </c>
      <c r="AQ35" s="26">
        <f>IF(ISNUMBER(VLOOKUP($D35,'Visu totale'!$D:$DH,AQ$1,0)),AP35-VLOOKUP($D35,'Visu totale'!$D:$DH,AQ$1,0),IF(LEFT(VLOOKUP($D35,'Visu totale'!$D:$DH,AQ$1,0),1)="V",IF(AP35&gt;=INDEX('[1]Définition Maintenances'!$G:$G,MATCH($A35,'[1]Définition Maintenances'!$K:$K,0)),AP35,INDEX('[1]Définition Maintenances'!$G:$G,MATCH($A35,'[1]Définition Maintenances'!$K:$K,0))+AP35),AP35))</f>
        <v>900</v>
      </c>
      <c r="AR35" s="26">
        <f>IF(ISNUMBER(VLOOKUP($D35,'Visu totale'!$D:$DH,AR$1,0)),AQ35-VLOOKUP($D35,'Visu totale'!$D:$DH,AR$1,0),IF(LEFT(VLOOKUP($D35,'Visu totale'!$D:$DH,AR$1,0),1)="V",IF(AQ35&gt;=INDEX('[1]Définition Maintenances'!$G:$G,MATCH($A35,'[1]Définition Maintenances'!$K:$K,0)),AQ35,INDEX('[1]Définition Maintenances'!$G:$G,MATCH($A35,'[1]Définition Maintenances'!$K:$K,0))+AQ35),AQ35))</f>
        <v>900</v>
      </c>
      <c r="AS35" s="26">
        <f>IF(ISNUMBER(VLOOKUP($D35,'Visu totale'!$D:$DH,AS$1,0)),AR35-VLOOKUP($D35,'Visu totale'!$D:$DH,AS$1,0),IF(LEFT(VLOOKUP($D35,'Visu totale'!$D:$DH,AS$1,0),1)="V",IF(AR35&gt;=INDEX('[1]Définition Maintenances'!$G:$G,MATCH($A35,'[1]Définition Maintenances'!$K:$K,0)),AR35,INDEX('[1]Définition Maintenances'!$G:$G,MATCH($A35,'[1]Définition Maintenances'!$K:$K,0))+AR35),AR35))</f>
        <v>900</v>
      </c>
      <c r="AT35" s="26">
        <f>IF(ISNUMBER(VLOOKUP($D35,'Visu totale'!$D:$DH,AT$1,0)),AS35-VLOOKUP($D35,'Visu totale'!$D:$DH,AT$1,0),IF(LEFT(VLOOKUP($D35,'Visu totale'!$D:$DH,AT$1,0),1)="V",IF(AS35&gt;=INDEX('[1]Définition Maintenances'!$G:$G,MATCH($A35,'[1]Définition Maintenances'!$K:$K,0)),AS35,INDEX('[1]Définition Maintenances'!$G:$G,MATCH($A35,'[1]Définition Maintenances'!$K:$K,0))+AS35),AS35))</f>
        <v>900</v>
      </c>
      <c r="AU35" s="26">
        <f>IF(ISNUMBER(VLOOKUP($D35,'Visu totale'!$D:$DH,AU$1,0)),AT35-VLOOKUP($D35,'Visu totale'!$D:$DH,AU$1,0),IF(LEFT(VLOOKUP($D35,'Visu totale'!$D:$DH,AU$1,0),1)="V",IF(AT35&gt;=INDEX('[1]Définition Maintenances'!$G:$G,MATCH($A35,'[1]Définition Maintenances'!$K:$K,0)),AT35,INDEX('[1]Définition Maintenances'!$G:$G,MATCH($A35,'[1]Définition Maintenances'!$K:$K,0))+AT35),AT35))</f>
        <v>900</v>
      </c>
      <c r="AV35" s="26">
        <f>IF(ISNUMBER(VLOOKUP($D35,'Visu totale'!$D:$DH,AV$1,0)),AU35-VLOOKUP($D35,'Visu totale'!$D:$DH,AV$1,0),IF(LEFT(VLOOKUP($D35,'Visu totale'!$D:$DH,AV$1,0),1)="V",IF(AU35&gt;=INDEX('[1]Définition Maintenances'!$G:$G,MATCH($A35,'[1]Définition Maintenances'!$K:$K,0)),AU35,INDEX('[1]Définition Maintenances'!$G:$G,MATCH($A35,'[1]Définition Maintenances'!$K:$K,0))+AU35),AU35))</f>
        <v>900</v>
      </c>
      <c r="AW35" s="26">
        <f>IF(ISNUMBER(VLOOKUP($D35,'Visu totale'!$D:$DH,AW$1,0)),AV35-VLOOKUP($D35,'Visu totale'!$D:$DH,AW$1,0),IF(LEFT(VLOOKUP($D35,'Visu totale'!$D:$DH,AW$1,0),1)="V",IF(AV35&gt;=INDEX('[1]Définition Maintenances'!$G:$G,MATCH($A35,'[1]Définition Maintenances'!$K:$K,0)),AV35,INDEX('[1]Définition Maintenances'!$G:$G,MATCH($A35,'[1]Définition Maintenances'!$K:$K,0))+AV35),AV35))</f>
        <v>900</v>
      </c>
      <c r="AX35" s="26">
        <f>IF(ISNUMBER(VLOOKUP($D35,'Visu totale'!$D:$DH,AX$1,0)),AW35-VLOOKUP($D35,'Visu totale'!$D:$DH,AX$1,0),IF(LEFT(VLOOKUP($D35,'Visu totale'!$D:$DH,AX$1,0),1)="V",IF(AW35&gt;=INDEX('[1]Définition Maintenances'!$G:$G,MATCH($A35,'[1]Définition Maintenances'!$K:$K,0)),AW35,INDEX('[1]Définition Maintenances'!$G:$G,MATCH($A35,'[1]Définition Maintenances'!$K:$K,0))+AW35),AW35))</f>
        <v>900</v>
      </c>
      <c r="AY35" s="26">
        <f>IF(ISNUMBER(VLOOKUP($D35,'Visu totale'!$D:$DH,AY$1,0)),AX35-VLOOKUP($D35,'Visu totale'!$D:$DH,AY$1,0),IF(LEFT(VLOOKUP($D35,'Visu totale'!$D:$DH,AY$1,0),1)="V",IF(AX35&gt;=INDEX('[1]Définition Maintenances'!$G:$G,MATCH($A35,'[1]Définition Maintenances'!$K:$K,0)),AX35,INDEX('[1]Définition Maintenances'!$G:$G,MATCH($A35,'[1]Définition Maintenances'!$K:$K,0))+AX35),AX35))</f>
        <v>900</v>
      </c>
      <c r="AZ35" s="26">
        <f>IF(ISNUMBER(VLOOKUP($D35,'Visu totale'!$D:$DH,AZ$1,0)),AY35-VLOOKUP($D35,'Visu totale'!$D:$DH,AZ$1,0),IF(LEFT(VLOOKUP($D35,'Visu totale'!$D:$DH,AZ$1,0),1)="V",IF(AY35&gt;=INDEX('[1]Définition Maintenances'!$G:$G,MATCH($A35,'[1]Définition Maintenances'!$K:$K,0)),AY35,INDEX('[1]Définition Maintenances'!$G:$G,MATCH($A35,'[1]Définition Maintenances'!$K:$K,0))+AY35),AY35))</f>
        <v>900</v>
      </c>
      <c r="BA35" s="27">
        <f>IF(ISNUMBER(VLOOKUP($D35,'Visu totale'!$D:$DH,BA$1,0)),AZ35-VLOOKUP($D35,'Visu totale'!$D:$DH,BA$1,0),IF(LEFT(VLOOKUP($D35,'Visu totale'!$D:$DH,BA$1,0),1)="V",IF(AZ35&gt;=INDEX('[1]Définition Maintenances'!$G:$G,MATCH($A35,'[1]Définition Maintenances'!$K:$K,0)),AZ35,INDEX('[1]Définition Maintenances'!$G:$G,MATCH($A35,'[1]Définition Maintenances'!$K:$K,0))+AZ35),AZ35))</f>
        <v>900</v>
      </c>
      <c r="BB35" s="25">
        <f>IF(ISNUMBER(VLOOKUP($D35,'Visu totale'!$D:$DH,BB$1,0)),BA35-VLOOKUP($D35,'Visu totale'!$D:$DH,BB$1,0),IF(LEFT(VLOOKUP($D35,'Visu totale'!$D:$DH,BB$1,0),1)="V",IF(BA35&gt;=INDEX('[1]Définition Maintenances'!$G:$G,MATCH($A35,'[1]Définition Maintenances'!$K:$K,0)),BA35,INDEX('[1]Définition Maintenances'!$G:$G,MATCH($A35,'[1]Définition Maintenances'!$K:$K,0))+BA35),BA35))</f>
        <v>900</v>
      </c>
      <c r="BC35" s="26">
        <f>IF(ISNUMBER(VLOOKUP($D35,'Visu totale'!$D:$DH,BC$1,0)),BB35-VLOOKUP($D35,'Visu totale'!$D:$DH,BC$1,0),IF(LEFT(VLOOKUP($D35,'Visu totale'!$D:$DH,BC$1,0),1)="V",IF(BB35&gt;=INDEX('[1]Définition Maintenances'!$G:$G,MATCH($A35,'[1]Définition Maintenances'!$K:$K,0)),BB35,INDEX('[1]Définition Maintenances'!$G:$G,MATCH($A35,'[1]Définition Maintenances'!$K:$K,0))+BB35),BB35))</f>
        <v>900</v>
      </c>
      <c r="BD35" s="26">
        <f>IF(ISNUMBER(VLOOKUP($D35,'Visu totale'!$D:$DH,BD$1,0)),BC35-VLOOKUP($D35,'Visu totale'!$D:$DH,BD$1,0),IF(LEFT(VLOOKUP($D35,'Visu totale'!$D:$DH,BD$1,0),1)="V",IF(BC35&gt;=INDEX('[1]Définition Maintenances'!$G:$G,MATCH($A35,'[1]Définition Maintenances'!$K:$K,0)),BC35,INDEX('[1]Définition Maintenances'!$G:$G,MATCH($A35,'[1]Définition Maintenances'!$K:$K,0))+BC35),BC35))</f>
        <v>900</v>
      </c>
      <c r="BE35" s="26">
        <f>IF(ISNUMBER(VLOOKUP($D35,'Visu totale'!$D:$DH,BE$1,0)),BD35-VLOOKUP($D35,'Visu totale'!$D:$DH,BE$1,0),IF(LEFT(VLOOKUP($D35,'Visu totale'!$D:$DH,BE$1,0),1)="V",IF(BD35&gt;=INDEX('[1]Définition Maintenances'!$G:$G,MATCH($A35,'[1]Définition Maintenances'!$K:$K,0)),BD35,INDEX('[1]Définition Maintenances'!$G:$G,MATCH($A35,'[1]Définition Maintenances'!$K:$K,0))+BD35),BD35))</f>
        <v>900</v>
      </c>
      <c r="BF35" s="26">
        <f>IF(ISNUMBER(VLOOKUP($D35,'Visu totale'!$D:$DH,BF$1,0)),BE35-VLOOKUP($D35,'Visu totale'!$D:$DH,BF$1,0),IF(LEFT(VLOOKUP($D35,'Visu totale'!$D:$DH,BF$1,0),1)="V",IF(BE35&gt;=INDEX('[1]Définition Maintenances'!$G:$G,MATCH($A35,'[1]Définition Maintenances'!$K:$K,0)),BE35,INDEX('[1]Définition Maintenances'!$G:$G,MATCH($A35,'[1]Définition Maintenances'!$K:$K,0))+BE35),BE35))</f>
        <v>900</v>
      </c>
      <c r="BG35" s="26">
        <f>IF(ISNUMBER(VLOOKUP($D35,'Visu totale'!$D:$DH,BG$1,0)),BF35-VLOOKUP($D35,'Visu totale'!$D:$DH,BG$1,0),IF(LEFT(VLOOKUP($D35,'Visu totale'!$D:$DH,BG$1,0),1)="V",IF(BF35&gt;=INDEX('[1]Définition Maintenances'!$G:$G,MATCH($A35,'[1]Définition Maintenances'!$K:$K,0)),BF35,INDEX('[1]Définition Maintenances'!$G:$G,MATCH($A35,'[1]Définition Maintenances'!$K:$K,0))+BF35),BF35))</f>
        <v>900</v>
      </c>
      <c r="BH35" s="26">
        <f>IF(ISNUMBER(VLOOKUP($D35,'Visu totale'!$D:$DH,BH$1,0)),BG35-VLOOKUP($D35,'Visu totale'!$D:$DH,BH$1,0),IF(LEFT(VLOOKUP($D35,'Visu totale'!$D:$DH,BH$1,0),1)="V",IF(BG35&gt;=INDEX('[1]Définition Maintenances'!$G:$G,MATCH($A35,'[1]Définition Maintenances'!$K:$K,0)),BG35,INDEX('[1]Définition Maintenances'!$G:$G,MATCH($A35,'[1]Définition Maintenances'!$K:$K,0))+BG35),BG35))</f>
        <v>900</v>
      </c>
      <c r="BI35" s="26">
        <f>IF(ISNUMBER(VLOOKUP($D35,'Visu totale'!$D:$DH,BI$1,0)),BH35-VLOOKUP($D35,'Visu totale'!$D:$DH,BI$1,0),IF(LEFT(VLOOKUP($D35,'Visu totale'!$D:$DH,BI$1,0),1)="V",IF(BH35&gt;=INDEX('[1]Définition Maintenances'!$G:$G,MATCH($A35,'[1]Définition Maintenances'!$K:$K,0)),BH35,INDEX('[1]Définition Maintenances'!$G:$G,MATCH($A35,'[1]Définition Maintenances'!$K:$K,0))+BH35),BH35))</f>
        <v>900</v>
      </c>
      <c r="BJ35" s="26">
        <f>IF(ISNUMBER(VLOOKUP($D35,'Visu totale'!$D:$DH,BJ$1,0)),BI35-VLOOKUP($D35,'Visu totale'!$D:$DH,BJ$1,0),IF(LEFT(VLOOKUP($D35,'Visu totale'!$D:$DH,BJ$1,0),1)="V",IF(BI35&gt;=INDEX('[1]Définition Maintenances'!$G:$G,MATCH($A35,'[1]Définition Maintenances'!$K:$K,0)),BI35,INDEX('[1]Définition Maintenances'!$G:$G,MATCH($A35,'[1]Définition Maintenances'!$K:$K,0))+BI35),BI35))</f>
        <v>900</v>
      </c>
      <c r="BK35" s="26">
        <f>IF(ISNUMBER(VLOOKUP($D35,'Visu totale'!$D:$DH,BK$1,0)),BJ35-VLOOKUP($D35,'Visu totale'!$D:$DH,BK$1,0),IF(LEFT(VLOOKUP($D35,'Visu totale'!$D:$DH,BK$1,0),1)="V",IF(BJ35&gt;=INDEX('[1]Définition Maintenances'!$G:$G,MATCH($A35,'[1]Définition Maintenances'!$K:$K,0)),BJ35,INDEX('[1]Définition Maintenances'!$G:$G,MATCH($A35,'[1]Définition Maintenances'!$K:$K,0))+BJ35),BJ35))</f>
        <v>900</v>
      </c>
      <c r="BL35" s="26">
        <f>IF(ISNUMBER(VLOOKUP($D35,'Visu totale'!$D:$DH,BL$1,0)),BK35-VLOOKUP($D35,'Visu totale'!$D:$DH,BL$1,0),IF(LEFT(VLOOKUP($D35,'Visu totale'!$D:$DH,BL$1,0),1)="V",IF(BK35&gt;=INDEX('[1]Définition Maintenances'!$G:$G,MATCH($A35,'[1]Définition Maintenances'!$K:$K,0)),BK35,INDEX('[1]Définition Maintenances'!$G:$G,MATCH($A35,'[1]Définition Maintenances'!$K:$K,0))+BK35),BK35))</f>
        <v>900</v>
      </c>
      <c r="BM35" s="27">
        <f>IF(ISNUMBER(VLOOKUP($D35,'Visu totale'!$D:$DH,BM$1,0)),BL35-VLOOKUP($D35,'Visu totale'!$D:$DH,BM$1,0),IF(LEFT(VLOOKUP($D35,'Visu totale'!$D:$DH,BM$1,0),1)="V",IF(BL35&gt;=INDEX('[1]Définition Maintenances'!$G:$G,MATCH($A35,'[1]Définition Maintenances'!$K:$K,0)),BL35,INDEX('[1]Définition Maintenances'!$G:$G,MATCH($A35,'[1]Définition Maintenances'!$K:$K,0))+BL35),BL35))</f>
        <v>900</v>
      </c>
      <c r="BN35" s="25">
        <f>IF(ISNUMBER(VLOOKUP($D35,'Visu totale'!$D:$DH,BN$1,0)),BM35-VLOOKUP($D35,'Visu totale'!$D:$DH,BN$1,0),IF(LEFT(VLOOKUP($D35,'Visu totale'!$D:$DH,BN$1,0),1)="V",IF(BM35&gt;=INDEX('[1]Définition Maintenances'!$G:$G,MATCH($A35,'[1]Définition Maintenances'!$K:$K,0)),BM35,INDEX('[1]Définition Maintenances'!$G:$G,MATCH($A35,'[1]Définition Maintenances'!$K:$K,0))+BM35),BM35))</f>
        <v>900</v>
      </c>
      <c r="BO35" s="26">
        <f>IF(ISNUMBER(VLOOKUP($D35,'Visu totale'!$D:$DH,BO$1,0)),BN35-VLOOKUP($D35,'Visu totale'!$D:$DH,BO$1,0),IF(LEFT(VLOOKUP($D35,'Visu totale'!$D:$DH,BO$1,0),1)="V",IF(BN35&gt;=INDEX('[1]Définition Maintenances'!$G:$G,MATCH($A35,'[1]Définition Maintenances'!$K:$K,0)),BN35,INDEX('[1]Définition Maintenances'!$G:$G,MATCH($A35,'[1]Définition Maintenances'!$K:$K,0))+BN35),BN35))</f>
        <v>900</v>
      </c>
      <c r="BP35" s="26">
        <f>IF(ISNUMBER(VLOOKUP($D35,'Visu totale'!$D:$DH,BP$1,0)),BO35-VLOOKUP($D35,'Visu totale'!$D:$DH,BP$1,0),IF(LEFT(VLOOKUP($D35,'Visu totale'!$D:$DH,BP$1,0),1)="V",IF(BO35&gt;=INDEX('[1]Définition Maintenances'!$G:$G,MATCH($A35,'[1]Définition Maintenances'!$K:$K,0)),BO35,INDEX('[1]Définition Maintenances'!$G:$G,MATCH($A35,'[1]Définition Maintenances'!$K:$K,0))+BO35),BO35))</f>
        <v>900</v>
      </c>
      <c r="BQ35" s="26">
        <f>IF(ISNUMBER(VLOOKUP($D35,'Visu totale'!$D:$DH,BQ$1,0)),BP35-VLOOKUP($D35,'Visu totale'!$D:$DH,BQ$1,0),IF(LEFT(VLOOKUP($D35,'Visu totale'!$D:$DH,BQ$1,0),1)="V",IF(BP35&gt;=INDEX('[1]Définition Maintenances'!$G:$G,MATCH($A35,'[1]Définition Maintenances'!$K:$K,0)),BP35,INDEX('[1]Définition Maintenances'!$G:$G,MATCH($A35,'[1]Définition Maintenances'!$K:$K,0))+BP35),BP35))</f>
        <v>900</v>
      </c>
      <c r="BR35" s="26">
        <f>IF(ISNUMBER(VLOOKUP($D35,'Visu totale'!$D:$DH,BR$1,0)),BQ35-VLOOKUP($D35,'Visu totale'!$D:$DH,BR$1,0),IF(LEFT(VLOOKUP($D35,'Visu totale'!$D:$DH,BR$1,0),1)="V",IF(BQ35&gt;=INDEX('[1]Définition Maintenances'!$G:$G,MATCH($A35,'[1]Définition Maintenances'!$K:$K,0)),BQ35,INDEX('[1]Définition Maintenances'!$G:$G,MATCH($A35,'[1]Définition Maintenances'!$K:$K,0))+BQ35),BQ35))</f>
        <v>900</v>
      </c>
      <c r="BS35" s="26">
        <f>IF(ISNUMBER(VLOOKUP($D35,'Visu totale'!$D:$DH,BS$1,0)),BR35-VLOOKUP($D35,'Visu totale'!$D:$DH,BS$1,0),IF(LEFT(VLOOKUP($D35,'Visu totale'!$D:$DH,BS$1,0),1)="V",IF(BR35&gt;=INDEX('[1]Définition Maintenances'!$G:$G,MATCH($A35,'[1]Définition Maintenances'!$K:$K,0)),BR35,INDEX('[1]Définition Maintenances'!$G:$G,MATCH($A35,'[1]Définition Maintenances'!$K:$K,0))+BR35),BR35))</f>
        <v>900</v>
      </c>
      <c r="BT35" s="26">
        <f>IF(ISNUMBER(VLOOKUP($D35,'Visu totale'!$D:$DH,BT$1,0)),BS35-VLOOKUP($D35,'Visu totale'!$D:$DH,BT$1,0),IF(LEFT(VLOOKUP($D35,'Visu totale'!$D:$DH,BT$1,0),1)="V",IF(BS35&gt;=INDEX('[1]Définition Maintenances'!$G:$G,MATCH($A35,'[1]Définition Maintenances'!$K:$K,0)),BS35,INDEX('[1]Définition Maintenances'!$G:$G,MATCH($A35,'[1]Définition Maintenances'!$K:$K,0))+BS35),BS35))</f>
        <v>900</v>
      </c>
      <c r="BU35" s="26">
        <f>IF(ISNUMBER(VLOOKUP($D35,'Visu totale'!$D:$DH,BU$1,0)),BT35-VLOOKUP($D35,'Visu totale'!$D:$DH,BU$1,0),IF(LEFT(VLOOKUP($D35,'Visu totale'!$D:$DH,BU$1,0),1)="V",IF(BT35&gt;=INDEX('[1]Définition Maintenances'!$G:$G,MATCH($A35,'[1]Définition Maintenances'!$K:$K,0)),BT35,INDEX('[1]Définition Maintenances'!$G:$G,MATCH($A35,'[1]Définition Maintenances'!$K:$K,0))+BT35),BT35))</f>
        <v>900</v>
      </c>
      <c r="BV35" s="26">
        <f>IF(ISNUMBER(VLOOKUP($D35,'Visu totale'!$D:$DH,BV$1,0)),BU35-VLOOKUP($D35,'Visu totale'!$D:$DH,BV$1,0),IF(LEFT(VLOOKUP($D35,'Visu totale'!$D:$DH,BV$1,0),1)="V",IF(BU35&gt;=INDEX('[1]Définition Maintenances'!$G:$G,MATCH($A35,'[1]Définition Maintenances'!$K:$K,0)),BU35,INDEX('[1]Définition Maintenances'!$G:$G,MATCH($A35,'[1]Définition Maintenances'!$K:$K,0))+BU35),BU35))</f>
        <v>900</v>
      </c>
      <c r="BW35" s="26">
        <f>IF(ISNUMBER(VLOOKUP($D35,'Visu totale'!$D:$DH,BW$1,0)),BV35-VLOOKUP($D35,'Visu totale'!$D:$DH,BW$1,0),IF(LEFT(VLOOKUP($D35,'Visu totale'!$D:$DH,BW$1,0),1)="V",IF(BV35&gt;=INDEX('[1]Définition Maintenances'!$G:$G,MATCH($A35,'[1]Définition Maintenances'!$K:$K,0)),BV35,INDEX('[1]Définition Maintenances'!$G:$G,MATCH($A35,'[1]Définition Maintenances'!$K:$K,0))+BV35),BV35))</f>
        <v>900</v>
      </c>
      <c r="BX35" s="26">
        <f>IF(ISNUMBER(VLOOKUP($D35,'Visu totale'!$D:$DH,BX$1,0)),BW35-VLOOKUP($D35,'Visu totale'!$D:$DH,BX$1,0),IF(LEFT(VLOOKUP($D35,'Visu totale'!$D:$DH,BX$1,0),1)="V",IF(BW35&gt;=INDEX('[1]Définition Maintenances'!$G:$G,MATCH($A35,'[1]Définition Maintenances'!$K:$K,0)),BW35,INDEX('[1]Définition Maintenances'!$G:$G,MATCH($A35,'[1]Définition Maintenances'!$K:$K,0))+BW35),BW35))</f>
        <v>900</v>
      </c>
      <c r="BY35" s="27">
        <f>IF(ISNUMBER(VLOOKUP($D35,'Visu totale'!$D:$DH,BY$1,0)),BX35-VLOOKUP($D35,'Visu totale'!$D:$DH,BY$1,0),IF(LEFT(VLOOKUP($D35,'Visu totale'!$D:$DH,BY$1,0),1)="V",IF(BX35&gt;=INDEX('[1]Définition Maintenances'!$G:$G,MATCH($A35,'[1]Définition Maintenances'!$K:$K,0)),BX35,INDEX('[1]Définition Maintenances'!$G:$G,MATCH($A35,'[1]Définition Maintenances'!$K:$K,0))+BX35),BX35))</f>
        <v>900</v>
      </c>
      <c r="BZ35" s="25">
        <f>IF(ISNUMBER(VLOOKUP($D35,'Visu totale'!$D:$DH,BZ$1,0)),BY35-VLOOKUP($D35,'Visu totale'!$D:$DH,BZ$1,0),IF(LEFT(VLOOKUP($D35,'Visu totale'!$D:$DH,BZ$1,0),1)="V",IF(BY35&gt;=INDEX('[1]Définition Maintenances'!$G:$G,MATCH($A35,'[1]Définition Maintenances'!$K:$K,0)),BY35,INDEX('[1]Définition Maintenances'!$G:$G,MATCH($A35,'[1]Définition Maintenances'!$K:$K,0))+BY35),BY35))</f>
        <v>900</v>
      </c>
      <c r="CA35" s="26">
        <f>IF(ISNUMBER(VLOOKUP($D35,'Visu totale'!$D:$DH,CA$1,0)),BZ35-VLOOKUP($D35,'Visu totale'!$D:$DH,CA$1,0),IF(LEFT(VLOOKUP($D35,'Visu totale'!$D:$DH,CA$1,0),1)="V",IF(BZ35&gt;=INDEX('[1]Définition Maintenances'!$G:$G,MATCH($A35,'[1]Définition Maintenances'!$K:$K,0)),BZ35,INDEX('[1]Définition Maintenances'!$G:$G,MATCH($A35,'[1]Définition Maintenances'!$K:$K,0))+BZ35),BZ35))</f>
        <v>900</v>
      </c>
      <c r="CB35" s="26">
        <f>IF(ISNUMBER(VLOOKUP($D35,'Visu totale'!$D:$DH,CB$1,0)),CA35-VLOOKUP($D35,'Visu totale'!$D:$DH,CB$1,0),IF(LEFT(VLOOKUP($D35,'Visu totale'!$D:$DH,CB$1,0),1)="V",IF(CA35&gt;=INDEX('[1]Définition Maintenances'!$G:$G,MATCH($A35,'[1]Définition Maintenances'!$K:$K,0)),CA35,INDEX('[1]Définition Maintenances'!$G:$G,MATCH($A35,'[1]Définition Maintenances'!$K:$K,0))+CA35),CA35))</f>
        <v>900</v>
      </c>
      <c r="CC35" s="26">
        <f>IF(ISNUMBER(VLOOKUP($D35,'Visu totale'!$D:$DH,CC$1,0)),CB35-VLOOKUP($D35,'Visu totale'!$D:$DH,CC$1,0),IF(LEFT(VLOOKUP($D35,'Visu totale'!$D:$DH,CC$1,0),1)="V",IF(CB35&gt;=INDEX('[1]Définition Maintenances'!$G:$G,MATCH($A35,'[1]Définition Maintenances'!$K:$K,0)),CB35,INDEX('[1]Définition Maintenances'!$G:$G,MATCH($A35,'[1]Définition Maintenances'!$K:$K,0))+CB35),CB35))</f>
        <v>900</v>
      </c>
      <c r="CD35" s="26">
        <f>IF(ISNUMBER(VLOOKUP($D35,'Visu totale'!$D:$DH,CD$1,0)),CC35-VLOOKUP($D35,'Visu totale'!$D:$DH,CD$1,0),IF(LEFT(VLOOKUP($D35,'Visu totale'!$D:$DH,CD$1,0),1)="V",IF(CC35&gt;=INDEX('[1]Définition Maintenances'!$G:$G,MATCH($A35,'[1]Définition Maintenances'!$K:$K,0)),CC35,INDEX('[1]Définition Maintenances'!$G:$G,MATCH($A35,'[1]Définition Maintenances'!$K:$K,0))+CC35),CC35))</f>
        <v>900</v>
      </c>
      <c r="CE35" s="26">
        <f>IF(ISNUMBER(VLOOKUP($D35,'Visu totale'!$D:$DH,CE$1,0)),CD35-VLOOKUP($D35,'Visu totale'!$D:$DH,CE$1,0),IF(LEFT(VLOOKUP($D35,'Visu totale'!$D:$DH,CE$1,0),1)="V",IF(CD35&gt;=INDEX('[1]Définition Maintenances'!$G:$G,MATCH($A35,'[1]Définition Maintenances'!$K:$K,0)),CD35,INDEX('[1]Définition Maintenances'!$G:$G,MATCH($A35,'[1]Définition Maintenances'!$K:$K,0))+CD35),CD35))</f>
        <v>900</v>
      </c>
      <c r="CF35" s="26">
        <f>IF(ISNUMBER(VLOOKUP($D35,'Visu totale'!$D:$DH,CF$1,0)),CE35-VLOOKUP($D35,'Visu totale'!$D:$DH,CF$1,0),IF(LEFT(VLOOKUP($D35,'Visu totale'!$D:$DH,CF$1,0),1)="V",IF(CE35&gt;=INDEX('[1]Définition Maintenances'!$G:$G,MATCH($A35,'[1]Définition Maintenances'!$K:$K,0)),CE35,INDEX('[1]Définition Maintenances'!$G:$G,MATCH($A35,'[1]Définition Maintenances'!$K:$K,0))+CE35),CE35))</f>
        <v>900</v>
      </c>
      <c r="CG35" s="26">
        <f>IF(ISNUMBER(VLOOKUP($D35,'Visu totale'!$D:$DH,CG$1,0)),CF35-VLOOKUP($D35,'Visu totale'!$D:$DH,CG$1,0),IF(LEFT(VLOOKUP($D35,'Visu totale'!$D:$DH,CG$1,0),1)="V",IF(CF35&gt;=INDEX('[1]Définition Maintenances'!$G:$G,MATCH($A35,'[1]Définition Maintenances'!$K:$K,0)),CF35,INDEX('[1]Définition Maintenances'!$G:$G,MATCH($A35,'[1]Définition Maintenances'!$K:$K,0))+CF35),CF35))</f>
        <v>900</v>
      </c>
      <c r="CH35" s="26">
        <f>IF(ISNUMBER(VLOOKUP($D35,'Visu totale'!$D:$DH,CH$1,0)),CG35-VLOOKUP($D35,'Visu totale'!$D:$DH,CH$1,0),IF(LEFT(VLOOKUP($D35,'Visu totale'!$D:$DH,CH$1,0),1)="V",IF(CG35&gt;=INDEX('[1]Définition Maintenances'!$G:$G,MATCH($A35,'[1]Définition Maintenances'!$K:$K,0)),CG35,INDEX('[1]Définition Maintenances'!$G:$G,MATCH($A35,'[1]Définition Maintenances'!$K:$K,0))+CG35),CG35))</f>
        <v>900</v>
      </c>
      <c r="CI35" s="26">
        <f>IF(ISNUMBER(VLOOKUP($D35,'Visu totale'!$D:$DH,CI$1,0)),CH35-VLOOKUP($D35,'Visu totale'!$D:$DH,CI$1,0),IF(LEFT(VLOOKUP($D35,'Visu totale'!$D:$DH,CI$1,0),1)="V",IF(CH35&gt;=INDEX('[1]Définition Maintenances'!$G:$G,MATCH($A35,'[1]Définition Maintenances'!$K:$K,0)),CH35,INDEX('[1]Définition Maintenances'!$G:$G,MATCH($A35,'[1]Définition Maintenances'!$K:$K,0))+CH35),CH35))</f>
        <v>900</v>
      </c>
      <c r="CJ35" s="26">
        <f>IF(ISNUMBER(VLOOKUP($D35,'Visu totale'!$D:$DH,CJ$1,0)),CI35-VLOOKUP($D35,'Visu totale'!$D:$DH,CJ$1,0),IF(LEFT(VLOOKUP($D35,'Visu totale'!$D:$DH,CJ$1,0),1)="V",IF(CI35&gt;=INDEX('[1]Définition Maintenances'!$G:$G,MATCH($A35,'[1]Définition Maintenances'!$K:$K,0)),CI35,INDEX('[1]Définition Maintenances'!$G:$G,MATCH($A35,'[1]Définition Maintenances'!$K:$K,0))+CI35),CI35))</f>
        <v>900</v>
      </c>
      <c r="CK35" s="27">
        <f>IF(ISNUMBER(VLOOKUP($D35,'Visu totale'!$D:$DH,CK$1,0)),CJ35-VLOOKUP($D35,'Visu totale'!$D:$DH,CK$1,0),IF(LEFT(VLOOKUP($D35,'Visu totale'!$D:$DH,CK$1,0),1)="V",IF(CJ35&gt;=INDEX('[1]Définition Maintenances'!$G:$G,MATCH($A35,'[1]Définition Maintenances'!$K:$K,0)),CJ35,INDEX('[1]Définition Maintenances'!$G:$G,MATCH($A35,'[1]Définition Maintenances'!$K:$K,0))+CJ35),CJ35))</f>
        <v>900</v>
      </c>
      <c r="CL35" s="25">
        <f>IF(ISNUMBER(VLOOKUP($D35,'Visu totale'!$D:$DH,CL$1,0)),CK35-VLOOKUP($D35,'Visu totale'!$D:$DH,CL$1,0),IF(LEFT(VLOOKUP($D35,'Visu totale'!$D:$DH,CL$1,0),1)="V",IF(CK35&gt;=INDEX('[1]Définition Maintenances'!$G:$G,MATCH($A35,'[1]Définition Maintenances'!$K:$K,0)),CK35,INDEX('[1]Définition Maintenances'!$G:$G,MATCH($A35,'[1]Définition Maintenances'!$K:$K,0))+CK35),CK35))</f>
        <v>900</v>
      </c>
      <c r="CM35" s="26">
        <f>IF(ISNUMBER(VLOOKUP($D35,'Visu totale'!$D:$DH,CM$1,0)),CL35-VLOOKUP($D35,'Visu totale'!$D:$DH,CM$1,0),IF(LEFT(VLOOKUP($D35,'Visu totale'!$D:$DH,CM$1,0),1)="V",IF(CL35&gt;=INDEX('[1]Définition Maintenances'!$G:$G,MATCH($A35,'[1]Définition Maintenances'!$K:$K,0)),CL35,INDEX('[1]Définition Maintenances'!$G:$G,MATCH($A35,'[1]Définition Maintenances'!$K:$K,0))+CL35),CL35))</f>
        <v>900</v>
      </c>
      <c r="CN35" s="26">
        <f>IF(ISNUMBER(VLOOKUP($D35,'Visu totale'!$D:$DH,CN$1,0)),CM35-VLOOKUP($D35,'Visu totale'!$D:$DH,CN$1,0),IF(LEFT(VLOOKUP($D35,'Visu totale'!$D:$DH,CN$1,0),1)="V",IF(CM35&gt;=INDEX('[1]Définition Maintenances'!$G:$G,MATCH($A35,'[1]Définition Maintenances'!$K:$K,0)),CM35,INDEX('[1]Définition Maintenances'!$G:$G,MATCH($A35,'[1]Définition Maintenances'!$K:$K,0))+CM35),CM35))</f>
        <v>900</v>
      </c>
      <c r="CO35" s="26">
        <f>IF(ISNUMBER(VLOOKUP($D35,'Visu totale'!$D:$DH,CO$1,0)),CN35-VLOOKUP($D35,'Visu totale'!$D:$DH,CO$1,0),IF(LEFT(VLOOKUP($D35,'Visu totale'!$D:$DH,CO$1,0),1)="V",IF(CN35&gt;=INDEX('[1]Définition Maintenances'!$G:$G,MATCH($A35,'[1]Définition Maintenances'!$K:$K,0)),CN35,INDEX('[1]Définition Maintenances'!$G:$G,MATCH($A35,'[1]Définition Maintenances'!$K:$K,0))+CN35),CN35))</f>
        <v>900</v>
      </c>
      <c r="CP35" s="26">
        <f>IF(ISNUMBER(VLOOKUP($D35,'Visu totale'!$D:$DH,CP$1,0)),CO35-VLOOKUP($D35,'Visu totale'!$D:$DH,CP$1,0),IF(LEFT(VLOOKUP($D35,'Visu totale'!$D:$DH,CP$1,0),1)="V",IF(CO35&gt;=INDEX('[1]Définition Maintenances'!$G:$G,MATCH($A35,'[1]Définition Maintenances'!$K:$K,0)),CO35,INDEX('[1]Définition Maintenances'!$G:$G,MATCH($A35,'[1]Définition Maintenances'!$K:$K,0))+CO35),CO35))</f>
        <v>900</v>
      </c>
      <c r="CQ35" s="26">
        <f>IF(ISNUMBER(VLOOKUP($D35,'Visu totale'!$D:$DH,CQ$1,0)),CP35-VLOOKUP($D35,'Visu totale'!$D:$DH,CQ$1,0),IF(LEFT(VLOOKUP($D35,'Visu totale'!$D:$DH,CQ$1,0),1)="V",IF(CP35&gt;=INDEX('[1]Définition Maintenances'!$G:$G,MATCH($A35,'[1]Définition Maintenances'!$K:$K,0)),CP35,INDEX('[1]Définition Maintenances'!$G:$G,MATCH($A35,'[1]Définition Maintenances'!$K:$K,0))+CP35),CP35))</f>
        <v>900</v>
      </c>
      <c r="CR35" s="26">
        <f>IF(ISNUMBER(VLOOKUP($D35,'Visu totale'!$D:$DH,CR$1,0)),CQ35-VLOOKUP($D35,'Visu totale'!$D:$DH,CR$1,0),IF(LEFT(VLOOKUP($D35,'Visu totale'!$D:$DH,CR$1,0),1)="V",IF(CQ35&gt;=INDEX('[1]Définition Maintenances'!$G:$G,MATCH($A35,'[1]Définition Maintenances'!$K:$K,0)),CQ35,INDEX('[1]Définition Maintenances'!$G:$G,MATCH($A35,'[1]Définition Maintenances'!$K:$K,0))+CQ35),CQ35))</f>
        <v>900</v>
      </c>
      <c r="CS35" s="26">
        <f>IF(ISNUMBER(VLOOKUP($D35,'Visu totale'!$D:$DH,CS$1,0)),CR35-VLOOKUP($D35,'Visu totale'!$D:$DH,CS$1,0),IF(LEFT(VLOOKUP($D35,'Visu totale'!$D:$DH,CS$1,0),1)="V",IF(CR35&gt;=INDEX('[1]Définition Maintenances'!$G:$G,MATCH($A35,'[1]Définition Maintenances'!$K:$K,0)),CR35,INDEX('[1]Définition Maintenances'!$G:$G,MATCH($A35,'[1]Définition Maintenances'!$K:$K,0))+CR35),CR35))</f>
        <v>900</v>
      </c>
      <c r="CT35" s="26">
        <f>IF(ISNUMBER(VLOOKUP($D35,'Visu totale'!$D:$DH,CT$1,0)),CS35-VLOOKUP($D35,'Visu totale'!$D:$DH,CT$1,0),IF(LEFT(VLOOKUP($D35,'Visu totale'!$D:$DH,CT$1,0),1)="V",IF(CS35&gt;=INDEX('[1]Définition Maintenances'!$G:$G,MATCH($A35,'[1]Définition Maintenances'!$K:$K,0)),CS35,INDEX('[1]Définition Maintenances'!$G:$G,MATCH($A35,'[1]Définition Maintenances'!$K:$K,0))+CS35),CS35))</f>
        <v>900</v>
      </c>
      <c r="CU35" s="26">
        <f>IF(ISNUMBER(VLOOKUP($D35,'Visu totale'!$D:$DH,CU$1,0)),CT35-VLOOKUP($D35,'Visu totale'!$D:$DH,CU$1,0),IF(LEFT(VLOOKUP($D35,'Visu totale'!$D:$DH,CU$1,0),1)="V",IF(CT35&gt;=INDEX('[1]Définition Maintenances'!$G:$G,MATCH($A35,'[1]Définition Maintenances'!$K:$K,0)),CT35,INDEX('[1]Définition Maintenances'!$G:$G,MATCH($A35,'[1]Définition Maintenances'!$K:$K,0))+CT35),CT35))</f>
        <v>900</v>
      </c>
      <c r="CV35" s="26">
        <f>IF(ISNUMBER(VLOOKUP($D35,'Visu totale'!$D:$DH,CV$1,0)),CU35-VLOOKUP($D35,'Visu totale'!$D:$DH,CV$1,0),IF(LEFT(VLOOKUP($D35,'Visu totale'!$D:$DH,CV$1,0),1)="V",IF(CU35&gt;=INDEX('[1]Définition Maintenances'!$G:$G,MATCH($A35,'[1]Définition Maintenances'!$K:$K,0)),CU35,INDEX('[1]Définition Maintenances'!$G:$G,MATCH($A35,'[1]Définition Maintenances'!$K:$K,0))+CU35),CU35))</f>
        <v>900</v>
      </c>
      <c r="CW35" s="27">
        <f>IF(ISNUMBER(VLOOKUP($D35,'Visu totale'!$D:$DH,CW$1,0)),CV35-VLOOKUP($D35,'Visu totale'!$D:$DH,CW$1,0),IF(LEFT(VLOOKUP($D35,'Visu totale'!$D:$DH,CW$1,0),1)="V",IF(CV35&gt;=INDEX('[1]Définition Maintenances'!$G:$G,MATCH($A35,'[1]Définition Maintenances'!$K:$K,0)),CV35,INDEX('[1]Définition Maintenances'!$G:$G,MATCH($A35,'[1]Définition Maintenances'!$K:$K,0))+CV35),CV35))</f>
        <v>900</v>
      </c>
      <c r="CX35" s="25">
        <f>IF(ISNUMBER(VLOOKUP($D35,'Visu totale'!$D:$DH,CX$1,0)),CW35-VLOOKUP($D35,'Visu totale'!$D:$DH,CX$1,0),IF(LEFT(VLOOKUP($D35,'Visu totale'!$D:$DH,CX$1,0),1)="V",IF(CW35&gt;=INDEX('[1]Définition Maintenances'!$G:$G,MATCH($A35,'[1]Définition Maintenances'!$K:$K,0)),CW35,INDEX('[1]Définition Maintenances'!$G:$G,MATCH($A35,'[1]Définition Maintenances'!$K:$K,0))+CW35),CW35))</f>
        <v>900</v>
      </c>
      <c r="CY35" s="26">
        <f>IF(ISNUMBER(VLOOKUP($D35,'Visu totale'!$D:$DH,CY$1,0)),CX35-VLOOKUP($D35,'Visu totale'!$D:$DH,CY$1,0),IF(LEFT(VLOOKUP($D35,'Visu totale'!$D:$DH,CY$1,0),1)="V",IF(CX35&gt;=INDEX('[1]Définition Maintenances'!$G:$G,MATCH($A35,'[1]Définition Maintenances'!$K:$K,0)),CX35,INDEX('[1]Définition Maintenances'!$G:$G,MATCH($A35,'[1]Définition Maintenances'!$K:$K,0))+CX35),CX35))</f>
        <v>900</v>
      </c>
      <c r="CZ35" s="26">
        <f>IF(ISNUMBER(VLOOKUP($D35,'Visu totale'!$D:$DH,CZ$1,0)),CY35-VLOOKUP($D35,'Visu totale'!$D:$DH,CZ$1,0),IF(LEFT(VLOOKUP($D35,'Visu totale'!$D:$DH,CZ$1,0),1)="V",IF(CY35&gt;=INDEX('[1]Définition Maintenances'!$G:$G,MATCH($A35,'[1]Définition Maintenances'!$K:$K,0)),CY35,INDEX('[1]Définition Maintenances'!$G:$G,MATCH($A35,'[1]Définition Maintenances'!$K:$K,0))+CY35),CY35))</f>
        <v>900</v>
      </c>
      <c r="DA35" s="26">
        <f>IF(ISNUMBER(VLOOKUP($D35,'Visu totale'!$D:$DH,DA$1,0)),CZ35-VLOOKUP($D35,'Visu totale'!$D:$DH,DA$1,0),IF(LEFT(VLOOKUP($D35,'Visu totale'!$D:$DH,DA$1,0),1)="V",IF(CZ35&gt;=INDEX('[1]Définition Maintenances'!$G:$G,MATCH($A35,'[1]Définition Maintenances'!$K:$K,0)),CZ35,INDEX('[1]Définition Maintenances'!$G:$G,MATCH($A35,'[1]Définition Maintenances'!$K:$K,0))+CZ35),CZ35))</f>
        <v>900</v>
      </c>
      <c r="DB35" s="26">
        <f>IF(ISNUMBER(VLOOKUP($D35,'Visu totale'!$D:$DH,DB$1,0)),DA35-VLOOKUP($D35,'Visu totale'!$D:$DH,DB$1,0),IF(LEFT(VLOOKUP($D35,'Visu totale'!$D:$DH,DB$1,0),1)="V",IF(DA35&gt;=INDEX('[1]Définition Maintenances'!$G:$G,MATCH($A35,'[1]Définition Maintenances'!$K:$K,0)),DA35,INDEX('[1]Définition Maintenances'!$G:$G,MATCH($A35,'[1]Définition Maintenances'!$K:$K,0))+DA35),DA35))</f>
        <v>900</v>
      </c>
      <c r="DC35" s="26">
        <f>IF(ISNUMBER(VLOOKUP($D35,'Visu totale'!$D:$DH,DC$1,0)),DB35-VLOOKUP($D35,'Visu totale'!$D:$DH,DC$1,0),IF(LEFT(VLOOKUP($D35,'Visu totale'!$D:$DH,DC$1,0),1)="V",IF(DB35&gt;=INDEX('[1]Définition Maintenances'!$G:$G,MATCH($A35,'[1]Définition Maintenances'!$K:$K,0)),DB35,INDEX('[1]Définition Maintenances'!$G:$G,MATCH($A35,'[1]Définition Maintenances'!$K:$K,0))+DB35),DB35))</f>
        <v>900</v>
      </c>
      <c r="DD35" s="26">
        <f>IF(ISNUMBER(VLOOKUP($D35,'Visu totale'!$D:$DH,DD$1,0)),DC35-VLOOKUP($D35,'Visu totale'!$D:$DH,DD$1,0),IF(LEFT(VLOOKUP($D35,'Visu totale'!$D:$DH,DD$1,0),1)="V",IF(DC35&gt;=INDEX('[1]Définition Maintenances'!$G:$G,MATCH($A35,'[1]Définition Maintenances'!$K:$K,0)),DC35,INDEX('[1]Définition Maintenances'!$G:$G,MATCH($A35,'[1]Définition Maintenances'!$K:$K,0))+DC35),DC35))</f>
        <v>900</v>
      </c>
      <c r="DE35" s="26">
        <f>IF(ISNUMBER(VLOOKUP($D35,'Visu totale'!$D:$DH,DE$1,0)),DD35-VLOOKUP($D35,'Visu totale'!$D:$DH,DE$1,0),IF(LEFT(VLOOKUP($D35,'Visu totale'!$D:$DH,DE$1,0),1)="V",IF(DD35&gt;=INDEX('[1]Définition Maintenances'!$G:$G,MATCH($A35,'[1]Définition Maintenances'!$K:$K,0)),DD35,INDEX('[1]Définition Maintenances'!$G:$G,MATCH($A35,'[1]Définition Maintenances'!$K:$K,0))+DD35),DD35))</f>
        <v>900</v>
      </c>
      <c r="DF35" s="26">
        <f>IF(ISNUMBER(VLOOKUP($D35,'Visu totale'!$D:$DH,DF$1,0)),DE35-VLOOKUP($D35,'Visu totale'!$D:$DH,DF$1,0),IF(LEFT(VLOOKUP($D35,'Visu totale'!$D:$DH,DF$1,0),1)="V",IF(DE35&gt;=INDEX('[1]Définition Maintenances'!$G:$G,MATCH($A35,'[1]Définition Maintenances'!$K:$K,0)),DE35,INDEX('[1]Définition Maintenances'!$G:$G,MATCH($A35,'[1]Définition Maintenances'!$K:$K,0))+DE35),DE35))</f>
        <v>900</v>
      </c>
      <c r="DG35" s="26">
        <f>IF(ISNUMBER(VLOOKUP($D35,'Visu totale'!$D:$DH,DG$1,0)),DF35-VLOOKUP($D35,'Visu totale'!$D:$DH,DG$1,0),IF(LEFT(VLOOKUP($D35,'Visu totale'!$D:$DH,DG$1,0),1)="V",IF(DF35&gt;=INDEX('[1]Définition Maintenances'!$G:$G,MATCH($A35,'[1]Définition Maintenances'!$K:$K,0)),DF35,INDEX('[1]Définition Maintenances'!$G:$G,MATCH($A35,'[1]Définition Maintenances'!$K:$K,0))+DF35),DF35))</f>
        <v>900</v>
      </c>
      <c r="DH35" s="26">
        <f>IF(ISNUMBER(VLOOKUP($D35,'Visu totale'!$D:$DH,DH$1,0)),DG35-VLOOKUP($D35,'Visu totale'!$D:$DH,DH$1,0),IF(LEFT(VLOOKUP($D35,'Visu totale'!$D:$DH,DH$1,0),1)="V",IF(DG35&gt;=INDEX('[1]Définition Maintenances'!$G:$G,MATCH($A35,'[1]Définition Maintenances'!$K:$K,0)),DG35,INDEX('[1]Définition Maintenances'!$G:$G,MATCH($A35,'[1]Définition Maintenances'!$K:$K,0))+DG35),DG35))</f>
        <v>900</v>
      </c>
      <c r="DI35" s="27">
        <f>IF(ISNUMBER(VLOOKUP($D35,'Visu totale'!$D:$DH,DI$1,0)),DH35-VLOOKUP($D35,'Visu totale'!$D:$DH,DI$1,0),IF(LEFT(VLOOKUP($D35,'Visu totale'!$D:$DH,DI$1,0),1)="V",IF(DH35&gt;=INDEX('[1]Définition Maintenances'!$G:$G,MATCH($A35,'[1]Définition Maintenances'!$K:$K,0)),DH35,INDEX('[1]Définition Maintenances'!$G:$G,MATCH($A35,'[1]Définition Maintenances'!$K:$K,0))+DH35),DH35))</f>
        <v>900</v>
      </c>
    </row>
    <row r="36" spans="1:113" x14ac:dyDescent="0.25">
      <c r="A36" s="13" t="str">
        <f t="shared" ref="A36:A67" si="1">B36&amp;LEFT(D36,1)</f>
        <v>V10D</v>
      </c>
      <c r="B36" s="13" t="str">
        <f>VLOOKUP(D36,'[1]Avions (Potentiels)'!$B$2:$H$128,7,FALSE)</f>
        <v>V10</v>
      </c>
      <c r="C36" s="13"/>
      <c r="D36" s="16" t="s">
        <v>39</v>
      </c>
      <c r="E36" s="13">
        <f>IFERROR(VALUE(SUBSTITUTE(VLOOKUP(D36,'[1]Avions (Potentiels)'!$B:$E,4,0),".",",")),VALUE(VLOOKUP(D36,'[1]Avions (Potentiels)'!$B:$E,4,0)))</f>
        <v>1199</v>
      </c>
      <c r="F36" s="25">
        <f>IF(ISNUMBER(VLOOKUP($D36,'Visu totale'!$D:$DH,F$1,0)),E36-VLOOKUP($D36,'Visu totale'!$D:$DH,F$1,0),IF(LEFT(VLOOKUP($D36,'Visu totale'!$D:$DH,F$1,0),1)="V",IF(E36&gt;=INDEX('[1]Définition Maintenances'!$G:$G,MATCH($A36,'[1]Définition Maintenances'!$K:$K,0)),E36,INDEX('[1]Définition Maintenances'!$G:$G,MATCH($A36,'[1]Définition Maintenances'!$K:$K,0))+E36),E36))</f>
        <v>1199</v>
      </c>
      <c r="G36" s="26">
        <f>IF(ISNUMBER(VLOOKUP($D36,'Visu totale'!$D:$DH,G$1,0)),F36-VLOOKUP($D36,'Visu totale'!$D:$DH,G$1,0),IF(LEFT(VLOOKUP($D36,'Visu totale'!$D:$DH,G$1,0),1)="V",IF(F36&gt;=INDEX('[1]Définition Maintenances'!$G:$G,MATCH($A36,'[1]Définition Maintenances'!$K:$K,0)),F36,INDEX('[1]Définition Maintenances'!$G:$G,MATCH($A36,'[1]Définition Maintenances'!$K:$K,0))+F36),F36))</f>
        <v>1199</v>
      </c>
      <c r="H36" s="26">
        <f>IF(ISNUMBER(VLOOKUP($D36,'Visu totale'!$D:$DH,H$1,0)),G36-VLOOKUP($D36,'Visu totale'!$D:$DH,H$1,0),IF(LEFT(VLOOKUP($D36,'Visu totale'!$D:$DH,H$1,0),1)="V",IF(G36&gt;=INDEX('[1]Définition Maintenances'!$G:$G,MATCH($A36,'[1]Définition Maintenances'!$K:$K,0)),G36,INDEX('[1]Définition Maintenances'!$G:$G,MATCH($A36,'[1]Définition Maintenances'!$K:$K,0))+G36),G36))</f>
        <v>1199</v>
      </c>
      <c r="I36" s="26">
        <f>IF(ISNUMBER(VLOOKUP($D36,'Visu totale'!$D:$DH,I$1,0)),H36-VLOOKUP($D36,'Visu totale'!$D:$DH,I$1,0),IF(LEFT(VLOOKUP($D36,'Visu totale'!$D:$DH,I$1,0),1)="V",IF(H36&gt;=INDEX('[1]Définition Maintenances'!$G:$G,MATCH($A36,'[1]Définition Maintenances'!$K:$K,0)),H36,INDEX('[1]Définition Maintenances'!$G:$G,MATCH($A36,'[1]Définition Maintenances'!$K:$K,0))+H36),H36))</f>
        <v>1199</v>
      </c>
      <c r="J36" s="26">
        <f>IF(ISNUMBER(VLOOKUP($D36,'Visu totale'!$D:$DH,J$1,0)),I36-VLOOKUP($D36,'Visu totale'!$D:$DH,J$1,0),IF(LEFT(VLOOKUP($D36,'Visu totale'!$D:$DH,J$1,0),1)="V",IF(I36&gt;=INDEX('[1]Définition Maintenances'!$G:$G,MATCH($A36,'[1]Définition Maintenances'!$K:$K,0)),I36,INDEX('[1]Définition Maintenances'!$G:$G,MATCH($A36,'[1]Définition Maintenances'!$K:$K,0))+I36),I36))</f>
        <v>1199</v>
      </c>
      <c r="K36" s="26">
        <f>IF(ISNUMBER(VLOOKUP($D36,'Visu totale'!$D:$DH,K$1,0)),J36-VLOOKUP($D36,'Visu totale'!$D:$DH,K$1,0),IF(LEFT(VLOOKUP($D36,'Visu totale'!$D:$DH,K$1,0),1)="V",IF(J36&gt;=INDEX('[1]Définition Maintenances'!$G:$G,MATCH($A36,'[1]Définition Maintenances'!$K:$K,0)),J36,INDEX('[1]Définition Maintenances'!$G:$G,MATCH($A36,'[1]Définition Maintenances'!$K:$K,0))+J36),J36))</f>
        <v>1199</v>
      </c>
      <c r="L36" s="26">
        <f>IF(ISNUMBER(VLOOKUP($D36,'Visu totale'!$D:$DH,L$1,0)),K36-VLOOKUP($D36,'Visu totale'!$D:$DH,L$1,0),IF(LEFT(VLOOKUP($D36,'Visu totale'!$D:$DH,L$1,0),1)="V",IF(K36&gt;=INDEX('[1]Définition Maintenances'!$G:$G,MATCH($A36,'[1]Définition Maintenances'!$K:$K,0)),K36,INDEX('[1]Définition Maintenances'!$G:$G,MATCH($A36,'[1]Définition Maintenances'!$K:$K,0))+K36),K36))</f>
        <v>1199</v>
      </c>
      <c r="M36" s="26">
        <f>IF(ISNUMBER(VLOOKUP($D36,'Visu totale'!$D:$DH,M$1,0)),L36-VLOOKUP($D36,'Visu totale'!$D:$DH,M$1,0),IF(LEFT(VLOOKUP($D36,'Visu totale'!$D:$DH,M$1,0),1)="V",IF(L36&gt;=INDEX('[1]Définition Maintenances'!$G:$G,MATCH($A36,'[1]Définition Maintenances'!$K:$K,0)),L36,INDEX('[1]Définition Maintenances'!$G:$G,MATCH($A36,'[1]Définition Maintenances'!$K:$K,0))+L36),L36))</f>
        <v>1199</v>
      </c>
      <c r="N36" s="26">
        <f>IF(ISNUMBER(VLOOKUP($D36,'Visu totale'!$D:$DH,N$1,0)),M36-VLOOKUP($D36,'Visu totale'!$D:$DH,N$1,0),IF(LEFT(VLOOKUP($D36,'Visu totale'!$D:$DH,N$1,0),1)="V",IF(M36&gt;=INDEX('[1]Définition Maintenances'!$G:$G,MATCH($A36,'[1]Définition Maintenances'!$K:$K,0)),M36,INDEX('[1]Définition Maintenances'!$G:$G,MATCH($A36,'[1]Définition Maintenances'!$K:$K,0))+M36),M36))</f>
        <v>1199</v>
      </c>
      <c r="O36" s="26">
        <f>IF(ISNUMBER(VLOOKUP($D36,'Visu totale'!$D:$DH,O$1,0)),N36-VLOOKUP($D36,'Visu totale'!$D:$DH,O$1,0),IF(LEFT(VLOOKUP($D36,'Visu totale'!$D:$DH,O$1,0),1)="V",IF(N36&gt;=INDEX('[1]Définition Maintenances'!$G:$G,MATCH($A36,'[1]Définition Maintenances'!$K:$K,0)),N36,INDEX('[1]Définition Maintenances'!$G:$G,MATCH($A36,'[1]Définition Maintenances'!$K:$K,0))+N36),N36))</f>
        <v>1199</v>
      </c>
      <c r="P36" s="26">
        <f>IF(ISNUMBER(VLOOKUP($D36,'Visu totale'!$D:$DH,P$1,0)),O36-VLOOKUP($D36,'Visu totale'!$D:$DH,P$1,0),IF(LEFT(VLOOKUP($D36,'Visu totale'!$D:$DH,P$1,0),1)="V",IF(O36&gt;=INDEX('[1]Définition Maintenances'!$G:$G,MATCH($A36,'[1]Définition Maintenances'!$K:$K,0)),O36,INDEX('[1]Définition Maintenances'!$G:$G,MATCH($A36,'[1]Définition Maintenances'!$K:$K,0))+O36),O36))</f>
        <v>1199</v>
      </c>
      <c r="Q36" s="27">
        <f>IF(ISNUMBER(VLOOKUP($D36,'Visu totale'!$D:$DH,Q$1,0)),P36-VLOOKUP($D36,'Visu totale'!$D:$DH,Q$1,0),IF(LEFT(VLOOKUP($D36,'Visu totale'!$D:$DH,Q$1,0),1)="V",IF(P36&gt;=INDEX('[1]Définition Maintenances'!$G:$G,MATCH($A36,'[1]Définition Maintenances'!$K:$K,0)),P36,INDEX('[1]Définition Maintenances'!$G:$G,MATCH($A36,'[1]Définition Maintenances'!$K:$K,0))+P36),P36))</f>
        <v>1199</v>
      </c>
      <c r="R36" s="25">
        <f>IF(ISNUMBER(VLOOKUP($D36,'Visu totale'!$D:$DH,R$1,0)),Q36-VLOOKUP($D36,'Visu totale'!$D:$DH,R$1,0),IF(LEFT(VLOOKUP($D36,'Visu totale'!$D:$DH,R$1,0),1)="V",IF(Q36&gt;=INDEX('[1]Définition Maintenances'!$G:$G,MATCH($A36,'[1]Définition Maintenances'!$K:$K,0)),Q36,INDEX('[1]Définition Maintenances'!$G:$G,MATCH($A36,'[1]Définition Maintenances'!$K:$K,0))+Q36),Q36))</f>
        <v>1199</v>
      </c>
      <c r="S36" s="26">
        <f>IF(ISNUMBER(VLOOKUP($D36,'Visu totale'!$D:$DH,S$1,0)),R36-VLOOKUP($D36,'Visu totale'!$D:$DH,S$1,0),IF(LEFT(VLOOKUP($D36,'Visu totale'!$D:$DH,S$1,0),1)="V",IF(R36&gt;=INDEX('[1]Définition Maintenances'!$G:$G,MATCH($A36,'[1]Définition Maintenances'!$K:$K,0)),R36,INDEX('[1]Définition Maintenances'!$G:$G,MATCH($A36,'[1]Définition Maintenances'!$K:$K,0))+R36),R36))</f>
        <v>1199</v>
      </c>
      <c r="T36" s="26">
        <f>IF(ISNUMBER(VLOOKUP($D36,'Visu totale'!$D:$DH,T$1,0)),S36-VLOOKUP($D36,'Visu totale'!$D:$DH,T$1,0),IF(LEFT(VLOOKUP($D36,'Visu totale'!$D:$DH,T$1,0),1)="V",IF(S36&gt;=INDEX('[1]Définition Maintenances'!$G:$G,MATCH($A36,'[1]Définition Maintenances'!$K:$K,0)),S36,INDEX('[1]Définition Maintenances'!$G:$G,MATCH($A36,'[1]Définition Maintenances'!$K:$K,0))+S36),S36))</f>
        <v>1199</v>
      </c>
      <c r="U36" s="26">
        <f>IF(ISNUMBER(VLOOKUP($D36,'Visu totale'!$D:$DH,U$1,0)),T36-VLOOKUP($D36,'Visu totale'!$D:$DH,U$1,0),IF(LEFT(VLOOKUP($D36,'Visu totale'!$D:$DH,U$1,0),1)="V",IF(T36&gt;=INDEX('[1]Définition Maintenances'!$G:$G,MATCH($A36,'[1]Définition Maintenances'!$K:$K,0)),T36,INDEX('[1]Définition Maintenances'!$G:$G,MATCH($A36,'[1]Définition Maintenances'!$K:$K,0))+T36),T36))</f>
        <v>1199</v>
      </c>
      <c r="V36" s="26">
        <f>IF(ISNUMBER(VLOOKUP($D36,'Visu totale'!$D:$DH,V$1,0)),U36-VLOOKUP($D36,'Visu totale'!$D:$DH,V$1,0),IF(LEFT(VLOOKUP($D36,'Visu totale'!$D:$DH,V$1,0),1)="V",IF(U36&gt;=INDEX('[1]Définition Maintenances'!$G:$G,MATCH($A36,'[1]Définition Maintenances'!$K:$K,0)),U36,INDEX('[1]Définition Maintenances'!$G:$G,MATCH($A36,'[1]Définition Maintenances'!$K:$K,0))+U36),U36))</f>
        <v>1199</v>
      </c>
      <c r="W36" s="26">
        <f>IF(ISNUMBER(VLOOKUP($D36,'Visu totale'!$D:$DH,W$1,0)),V36-VLOOKUP($D36,'Visu totale'!$D:$DH,W$1,0),IF(LEFT(VLOOKUP($D36,'Visu totale'!$D:$DH,W$1,0),1)="V",IF(V36&gt;=INDEX('[1]Définition Maintenances'!$G:$G,MATCH($A36,'[1]Définition Maintenances'!$K:$K,0)),V36,INDEX('[1]Définition Maintenances'!$G:$G,MATCH($A36,'[1]Définition Maintenances'!$K:$K,0))+V36),V36))</f>
        <v>1199</v>
      </c>
      <c r="X36" s="26">
        <f>IF(ISNUMBER(VLOOKUP($D36,'Visu totale'!$D:$DH,X$1,0)),W36-VLOOKUP($D36,'Visu totale'!$D:$DH,X$1,0),IF(LEFT(VLOOKUP($D36,'Visu totale'!$D:$DH,X$1,0),1)="V",IF(W36&gt;=INDEX('[1]Définition Maintenances'!$G:$G,MATCH($A36,'[1]Définition Maintenances'!$K:$K,0)),W36,INDEX('[1]Définition Maintenances'!$G:$G,MATCH($A36,'[1]Définition Maintenances'!$K:$K,0))+W36),W36))</f>
        <v>1199</v>
      </c>
      <c r="Y36" s="26">
        <f>IF(ISNUMBER(VLOOKUP($D36,'Visu totale'!$D:$DH,Y$1,0)),X36-VLOOKUP($D36,'Visu totale'!$D:$DH,Y$1,0),IF(LEFT(VLOOKUP($D36,'Visu totale'!$D:$DH,Y$1,0),1)="V",IF(X36&gt;=INDEX('[1]Définition Maintenances'!$G:$G,MATCH($A36,'[1]Définition Maintenances'!$K:$K,0)),X36,INDEX('[1]Définition Maintenances'!$G:$G,MATCH($A36,'[1]Définition Maintenances'!$K:$K,0))+X36),X36))</f>
        <v>1199</v>
      </c>
      <c r="Z36" s="26">
        <f>IF(ISNUMBER(VLOOKUP($D36,'Visu totale'!$D:$DH,Z$1,0)),Y36-VLOOKUP($D36,'Visu totale'!$D:$DH,Z$1,0),IF(LEFT(VLOOKUP($D36,'Visu totale'!$D:$DH,Z$1,0),1)="V",IF(Y36&gt;=INDEX('[1]Définition Maintenances'!$G:$G,MATCH($A36,'[1]Définition Maintenances'!$K:$K,0)),Y36,INDEX('[1]Définition Maintenances'!$G:$G,MATCH($A36,'[1]Définition Maintenances'!$K:$K,0))+Y36),Y36))</f>
        <v>1199</v>
      </c>
      <c r="AA36" s="26">
        <f>IF(ISNUMBER(VLOOKUP($D36,'Visu totale'!$D:$DH,AA$1,0)),Z36-VLOOKUP($D36,'Visu totale'!$D:$DH,AA$1,0),IF(LEFT(VLOOKUP($D36,'Visu totale'!$D:$DH,AA$1,0),1)="V",IF(Z36&gt;=INDEX('[1]Définition Maintenances'!$G:$G,MATCH($A36,'[1]Définition Maintenances'!$K:$K,0)),Z36,INDEX('[1]Définition Maintenances'!$G:$G,MATCH($A36,'[1]Définition Maintenances'!$K:$K,0))+Z36),Z36))</f>
        <v>1199</v>
      </c>
      <c r="AB36" s="26">
        <f>IF(ISNUMBER(VLOOKUP($D36,'Visu totale'!$D:$DH,AB$1,0)),AA36-VLOOKUP($D36,'Visu totale'!$D:$DH,AB$1,0),IF(LEFT(VLOOKUP($D36,'Visu totale'!$D:$DH,AB$1,0),1)="V",IF(AA36&gt;=INDEX('[1]Définition Maintenances'!$G:$G,MATCH($A36,'[1]Définition Maintenances'!$K:$K,0)),AA36,INDEX('[1]Définition Maintenances'!$G:$G,MATCH($A36,'[1]Définition Maintenances'!$K:$K,0))+AA36),AA36))</f>
        <v>1199</v>
      </c>
      <c r="AC36" s="27">
        <f>IF(ISNUMBER(VLOOKUP($D36,'Visu totale'!$D:$DH,AC$1,0)),AB36-VLOOKUP($D36,'Visu totale'!$D:$DH,AC$1,0),IF(LEFT(VLOOKUP($D36,'Visu totale'!$D:$DH,AC$1,0),1)="V",IF(AB36&gt;=INDEX('[1]Définition Maintenances'!$G:$G,MATCH($A36,'[1]Définition Maintenances'!$K:$K,0)),AB36,INDEX('[1]Définition Maintenances'!$G:$G,MATCH($A36,'[1]Définition Maintenances'!$K:$K,0))+AB36),AB36))</f>
        <v>1199</v>
      </c>
      <c r="AD36" s="25">
        <f>IF(ISNUMBER(VLOOKUP($D36,'Visu totale'!$D:$DH,AD$1,0)),AC36-VLOOKUP($D36,'Visu totale'!$D:$DH,AD$1,0),IF(LEFT(VLOOKUP($D36,'Visu totale'!$D:$DH,AD$1,0),1)="V",IF(AC36&gt;=INDEX('[1]Définition Maintenances'!$G:$G,MATCH($A36,'[1]Définition Maintenances'!$K:$K,0)),AC36,INDEX('[1]Définition Maintenances'!$G:$G,MATCH($A36,'[1]Définition Maintenances'!$K:$K,0))+AC36),AC36))</f>
        <v>1199</v>
      </c>
      <c r="AE36" s="26">
        <f>IF(ISNUMBER(VLOOKUP($D36,'Visu totale'!$D:$DH,AE$1,0)),AD36-VLOOKUP($D36,'Visu totale'!$D:$DH,AE$1,0),IF(LEFT(VLOOKUP($D36,'Visu totale'!$D:$DH,AE$1,0),1)="V",IF(AD36&gt;=INDEX('[1]Définition Maintenances'!$G:$G,MATCH($A36,'[1]Définition Maintenances'!$K:$K,0)),AD36,INDEX('[1]Définition Maintenances'!$G:$G,MATCH($A36,'[1]Définition Maintenances'!$K:$K,0))+AD36),AD36))</f>
        <v>1199</v>
      </c>
      <c r="AF36" s="26">
        <f>IF(ISNUMBER(VLOOKUP($D36,'Visu totale'!$D:$DH,AF$1,0)),AE36-VLOOKUP($D36,'Visu totale'!$D:$DH,AF$1,0),IF(LEFT(VLOOKUP($D36,'Visu totale'!$D:$DH,AF$1,0),1)="V",IF(AE36&gt;=INDEX('[1]Définition Maintenances'!$G:$G,MATCH($A36,'[1]Définition Maintenances'!$K:$K,0)),AE36,INDEX('[1]Définition Maintenances'!$G:$G,MATCH($A36,'[1]Définition Maintenances'!$K:$K,0))+AE36),AE36))</f>
        <v>1199</v>
      </c>
      <c r="AG36" s="26">
        <f>IF(ISNUMBER(VLOOKUP($D36,'Visu totale'!$D:$DH,AG$1,0)),AF36-VLOOKUP($D36,'Visu totale'!$D:$DH,AG$1,0),IF(LEFT(VLOOKUP($D36,'Visu totale'!$D:$DH,AG$1,0),1)="V",IF(AF36&gt;=INDEX('[1]Définition Maintenances'!$G:$G,MATCH($A36,'[1]Définition Maintenances'!$K:$K,0)),AF36,INDEX('[1]Définition Maintenances'!$G:$G,MATCH($A36,'[1]Définition Maintenances'!$K:$K,0))+AF36),AF36))</f>
        <v>1199</v>
      </c>
      <c r="AH36" s="26">
        <f>IF(ISNUMBER(VLOOKUP($D36,'Visu totale'!$D:$DH,AH$1,0)),AG36-VLOOKUP($D36,'Visu totale'!$D:$DH,AH$1,0),IF(LEFT(VLOOKUP($D36,'Visu totale'!$D:$DH,AH$1,0),1)="V",IF(AG36&gt;=INDEX('[1]Définition Maintenances'!$G:$G,MATCH($A36,'[1]Définition Maintenances'!$K:$K,0)),AG36,INDEX('[1]Définition Maintenances'!$G:$G,MATCH($A36,'[1]Définition Maintenances'!$K:$K,0))+AG36),AG36))</f>
        <v>1199</v>
      </c>
      <c r="AI36" s="26">
        <f>IF(ISNUMBER(VLOOKUP($D36,'Visu totale'!$D:$DH,AI$1,0)),AH36-VLOOKUP($D36,'Visu totale'!$D:$DH,AI$1,0),IF(LEFT(VLOOKUP($D36,'Visu totale'!$D:$DH,AI$1,0),1)="V",IF(AH36&gt;=INDEX('[1]Définition Maintenances'!$G:$G,MATCH($A36,'[1]Définition Maintenances'!$K:$K,0)),AH36,INDEX('[1]Définition Maintenances'!$G:$G,MATCH($A36,'[1]Définition Maintenances'!$K:$K,0))+AH36),AH36))</f>
        <v>1199</v>
      </c>
      <c r="AJ36" s="26">
        <f>IF(ISNUMBER(VLOOKUP($D36,'Visu totale'!$D:$DH,AJ$1,0)),AI36-VLOOKUP($D36,'Visu totale'!$D:$DH,AJ$1,0),IF(LEFT(VLOOKUP($D36,'Visu totale'!$D:$DH,AJ$1,0),1)="V",IF(AI36&gt;=INDEX('[1]Définition Maintenances'!$G:$G,MATCH($A36,'[1]Définition Maintenances'!$K:$K,0)),AI36,INDEX('[1]Définition Maintenances'!$G:$G,MATCH($A36,'[1]Définition Maintenances'!$K:$K,0))+AI36),AI36))</f>
        <v>1199</v>
      </c>
      <c r="AK36" s="26">
        <f>IF(ISNUMBER(VLOOKUP($D36,'Visu totale'!$D:$DH,AK$1,0)),AJ36-VLOOKUP($D36,'Visu totale'!$D:$DH,AK$1,0),IF(LEFT(VLOOKUP($D36,'Visu totale'!$D:$DH,AK$1,0),1)="V",IF(AJ36&gt;=INDEX('[1]Définition Maintenances'!$G:$G,MATCH($A36,'[1]Définition Maintenances'!$K:$K,0)),AJ36,INDEX('[1]Définition Maintenances'!$G:$G,MATCH($A36,'[1]Définition Maintenances'!$K:$K,0))+AJ36),AJ36))</f>
        <v>1199</v>
      </c>
      <c r="AL36" s="26">
        <f>IF(ISNUMBER(VLOOKUP($D36,'Visu totale'!$D:$DH,AL$1,0)),AK36-VLOOKUP($D36,'Visu totale'!$D:$DH,AL$1,0),IF(LEFT(VLOOKUP($D36,'Visu totale'!$D:$DH,AL$1,0),1)="V",IF(AK36&gt;=INDEX('[1]Définition Maintenances'!$G:$G,MATCH($A36,'[1]Définition Maintenances'!$K:$K,0)),AK36,INDEX('[1]Définition Maintenances'!$G:$G,MATCH($A36,'[1]Définition Maintenances'!$K:$K,0))+AK36),AK36))</f>
        <v>1199</v>
      </c>
      <c r="AM36" s="26">
        <f>IF(ISNUMBER(VLOOKUP($D36,'Visu totale'!$D:$DH,AM$1,0)),AL36-VLOOKUP($D36,'Visu totale'!$D:$DH,AM$1,0),IF(LEFT(VLOOKUP($D36,'Visu totale'!$D:$DH,AM$1,0),1)="V",IF(AL36&gt;=INDEX('[1]Définition Maintenances'!$G:$G,MATCH($A36,'[1]Définition Maintenances'!$K:$K,0)),AL36,INDEX('[1]Définition Maintenances'!$G:$G,MATCH($A36,'[1]Définition Maintenances'!$K:$K,0))+AL36),AL36))</f>
        <v>1199</v>
      </c>
      <c r="AN36" s="26">
        <f>IF(ISNUMBER(VLOOKUP($D36,'Visu totale'!$D:$DH,AN$1,0)),AM36-VLOOKUP($D36,'Visu totale'!$D:$DH,AN$1,0),IF(LEFT(VLOOKUP($D36,'Visu totale'!$D:$DH,AN$1,0),1)="V",IF(AM36&gt;=INDEX('[1]Définition Maintenances'!$G:$G,MATCH($A36,'[1]Définition Maintenances'!$K:$K,0)),AM36,INDEX('[1]Définition Maintenances'!$G:$G,MATCH($A36,'[1]Définition Maintenances'!$K:$K,0))+AM36),AM36))</f>
        <v>1199</v>
      </c>
      <c r="AO36" s="27">
        <f>IF(ISNUMBER(VLOOKUP($D36,'Visu totale'!$D:$DH,AO$1,0)),AN36-VLOOKUP($D36,'Visu totale'!$D:$DH,AO$1,0),IF(LEFT(VLOOKUP($D36,'Visu totale'!$D:$DH,AO$1,0),1)="V",IF(AN36&gt;=INDEX('[1]Définition Maintenances'!$G:$G,MATCH($A36,'[1]Définition Maintenances'!$K:$K,0)),AN36,INDEX('[1]Définition Maintenances'!$G:$G,MATCH($A36,'[1]Définition Maintenances'!$K:$K,0))+AN36),AN36))</f>
        <v>1199</v>
      </c>
      <c r="AP36" s="25">
        <f>IF(ISNUMBER(VLOOKUP($D36,'Visu totale'!$D:$DH,AP$1,0)),AO36-VLOOKUP($D36,'Visu totale'!$D:$DH,AP$1,0),IF(LEFT(VLOOKUP($D36,'Visu totale'!$D:$DH,AP$1,0),1)="V",IF(AO36&gt;=INDEX('[1]Définition Maintenances'!$G:$G,MATCH($A36,'[1]Définition Maintenances'!$K:$K,0)),AO36,INDEX('[1]Définition Maintenances'!$G:$G,MATCH($A36,'[1]Définition Maintenances'!$K:$K,0))+AO36),AO36))</f>
        <v>1199</v>
      </c>
      <c r="AQ36" s="26">
        <f>IF(ISNUMBER(VLOOKUP($D36,'Visu totale'!$D:$DH,AQ$1,0)),AP36-VLOOKUP($D36,'Visu totale'!$D:$DH,AQ$1,0),IF(LEFT(VLOOKUP($D36,'Visu totale'!$D:$DH,AQ$1,0),1)="V",IF(AP36&gt;=INDEX('[1]Définition Maintenances'!$G:$G,MATCH($A36,'[1]Définition Maintenances'!$K:$K,0)),AP36,INDEX('[1]Définition Maintenances'!$G:$G,MATCH($A36,'[1]Définition Maintenances'!$K:$K,0))+AP36),AP36))</f>
        <v>1199</v>
      </c>
      <c r="AR36" s="26">
        <f>IF(ISNUMBER(VLOOKUP($D36,'Visu totale'!$D:$DH,AR$1,0)),AQ36-VLOOKUP($D36,'Visu totale'!$D:$DH,AR$1,0),IF(LEFT(VLOOKUP($D36,'Visu totale'!$D:$DH,AR$1,0),1)="V",IF(AQ36&gt;=INDEX('[1]Définition Maintenances'!$G:$G,MATCH($A36,'[1]Définition Maintenances'!$K:$K,0)),AQ36,INDEX('[1]Définition Maintenances'!$G:$G,MATCH($A36,'[1]Définition Maintenances'!$K:$K,0))+AQ36),AQ36))</f>
        <v>1199</v>
      </c>
      <c r="AS36" s="26">
        <f>IF(ISNUMBER(VLOOKUP($D36,'Visu totale'!$D:$DH,AS$1,0)),AR36-VLOOKUP($D36,'Visu totale'!$D:$DH,AS$1,0),IF(LEFT(VLOOKUP($D36,'Visu totale'!$D:$DH,AS$1,0),1)="V",IF(AR36&gt;=INDEX('[1]Définition Maintenances'!$G:$G,MATCH($A36,'[1]Définition Maintenances'!$K:$K,0)),AR36,INDEX('[1]Définition Maintenances'!$G:$G,MATCH($A36,'[1]Définition Maintenances'!$K:$K,0))+AR36),AR36))</f>
        <v>1199</v>
      </c>
      <c r="AT36" s="26">
        <f>IF(ISNUMBER(VLOOKUP($D36,'Visu totale'!$D:$DH,AT$1,0)),AS36-VLOOKUP($D36,'Visu totale'!$D:$DH,AT$1,0),IF(LEFT(VLOOKUP($D36,'Visu totale'!$D:$DH,AT$1,0),1)="V",IF(AS36&gt;=INDEX('[1]Définition Maintenances'!$G:$G,MATCH($A36,'[1]Définition Maintenances'!$K:$K,0)),AS36,INDEX('[1]Définition Maintenances'!$G:$G,MATCH($A36,'[1]Définition Maintenances'!$K:$K,0))+AS36),AS36))</f>
        <v>1199</v>
      </c>
      <c r="AU36" s="26">
        <f>IF(ISNUMBER(VLOOKUP($D36,'Visu totale'!$D:$DH,AU$1,0)),AT36-VLOOKUP($D36,'Visu totale'!$D:$DH,AU$1,0),IF(LEFT(VLOOKUP($D36,'Visu totale'!$D:$DH,AU$1,0),1)="V",IF(AT36&gt;=INDEX('[1]Définition Maintenances'!$G:$G,MATCH($A36,'[1]Définition Maintenances'!$K:$K,0)),AT36,INDEX('[1]Définition Maintenances'!$G:$G,MATCH($A36,'[1]Définition Maintenances'!$K:$K,0))+AT36),AT36))</f>
        <v>1199</v>
      </c>
      <c r="AV36" s="26">
        <f>IF(ISNUMBER(VLOOKUP($D36,'Visu totale'!$D:$DH,AV$1,0)),AU36-VLOOKUP($D36,'Visu totale'!$D:$DH,AV$1,0),IF(LEFT(VLOOKUP($D36,'Visu totale'!$D:$DH,AV$1,0),1)="V",IF(AU36&gt;=INDEX('[1]Définition Maintenances'!$G:$G,MATCH($A36,'[1]Définition Maintenances'!$K:$K,0)),AU36,INDEX('[1]Définition Maintenances'!$G:$G,MATCH($A36,'[1]Définition Maintenances'!$K:$K,0))+AU36),AU36))</f>
        <v>1199</v>
      </c>
      <c r="AW36" s="26">
        <f>IF(ISNUMBER(VLOOKUP($D36,'Visu totale'!$D:$DH,AW$1,0)),AV36-VLOOKUP($D36,'Visu totale'!$D:$DH,AW$1,0),IF(LEFT(VLOOKUP($D36,'Visu totale'!$D:$DH,AW$1,0),1)="V",IF(AV36&gt;=INDEX('[1]Définition Maintenances'!$G:$G,MATCH($A36,'[1]Définition Maintenances'!$K:$K,0)),AV36,INDEX('[1]Définition Maintenances'!$G:$G,MATCH($A36,'[1]Définition Maintenances'!$K:$K,0))+AV36),AV36))</f>
        <v>1199</v>
      </c>
      <c r="AX36" s="26">
        <f>IF(ISNUMBER(VLOOKUP($D36,'Visu totale'!$D:$DH,AX$1,0)),AW36-VLOOKUP($D36,'Visu totale'!$D:$DH,AX$1,0),IF(LEFT(VLOOKUP($D36,'Visu totale'!$D:$DH,AX$1,0),1)="V",IF(AW36&gt;=INDEX('[1]Définition Maintenances'!$G:$G,MATCH($A36,'[1]Définition Maintenances'!$K:$K,0)),AW36,INDEX('[1]Définition Maintenances'!$G:$G,MATCH($A36,'[1]Définition Maintenances'!$K:$K,0))+AW36),AW36))</f>
        <v>1199</v>
      </c>
      <c r="AY36" s="26">
        <f>IF(ISNUMBER(VLOOKUP($D36,'Visu totale'!$D:$DH,AY$1,0)),AX36-VLOOKUP($D36,'Visu totale'!$D:$DH,AY$1,0),IF(LEFT(VLOOKUP($D36,'Visu totale'!$D:$DH,AY$1,0),1)="V",IF(AX36&gt;=INDEX('[1]Définition Maintenances'!$G:$G,MATCH($A36,'[1]Définition Maintenances'!$K:$K,0)),AX36,INDEX('[1]Définition Maintenances'!$G:$G,MATCH($A36,'[1]Définition Maintenances'!$K:$K,0))+AX36),AX36))</f>
        <v>1199</v>
      </c>
      <c r="AZ36" s="26">
        <f>IF(ISNUMBER(VLOOKUP($D36,'Visu totale'!$D:$DH,AZ$1,0)),AY36-VLOOKUP($D36,'Visu totale'!$D:$DH,AZ$1,0),IF(LEFT(VLOOKUP($D36,'Visu totale'!$D:$DH,AZ$1,0),1)="V",IF(AY36&gt;=INDEX('[1]Définition Maintenances'!$G:$G,MATCH($A36,'[1]Définition Maintenances'!$K:$K,0)),AY36,INDEX('[1]Définition Maintenances'!$G:$G,MATCH($A36,'[1]Définition Maintenances'!$K:$K,0))+AY36),AY36))</f>
        <v>1199</v>
      </c>
      <c r="BA36" s="27">
        <f>IF(ISNUMBER(VLOOKUP($D36,'Visu totale'!$D:$DH,BA$1,0)),AZ36-VLOOKUP($D36,'Visu totale'!$D:$DH,BA$1,0),IF(LEFT(VLOOKUP($D36,'Visu totale'!$D:$DH,BA$1,0),1)="V",IF(AZ36&gt;=INDEX('[1]Définition Maintenances'!$G:$G,MATCH($A36,'[1]Définition Maintenances'!$K:$K,0)),AZ36,INDEX('[1]Définition Maintenances'!$G:$G,MATCH($A36,'[1]Définition Maintenances'!$K:$K,0))+AZ36),AZ36))</f>
        <v>1199</v>
      </c>
      <c r="BB36" s="25">
        <f>IF(ISNUMBER(VLOOKUP($D36,'Visu totale'!$D:$DH,BB$1,0)),BA36-VLOOKUP($D36,'Visu totale'!$D:$DH,BB$1,0),IF(LEFT(VLOOKUP($D36,'Visu totale'!$D:$DH,BB$1,0),1)="V",IF(BA36&gt;=INDEX('[1]Définition Maintenances'!$G:$G,MATCH($A36,'[1]Définition Maintenances'!$K:$K,0)),BA36,INDEX('[1]Définition Maintenances'!$G:$G,MATCH($A36,'[1]Définition Maintenances'!$K:$K,0))+BA36),BA36))</f>
        <v>1199</v>
      </c>
      <c r="BC36" s="26">
        <f>IF(ISNUMBER(VLOOKUP($D36,'Visu totale'!$D:$DH,BC$1,0)),BB36-VLOOKUP($D36,'Visu totale'!$D:$DH,BC$1,0),IF(LEFT(VLOOKUP($D36,'Visu totale'!$D:$DH,BC$1,0),1)="V",IF(BB36&gt;=INDEX('[1]Définition Maintenances'!$G:$G,MATCH($A36,'[1]Définition Maintenances'!$K:$K,0)),BB36,INDEX('[1]Définition Maintenances'!$G:$G,MATCH($A36,'[1]Définition Maintenances'!$K:$K,0))+BB36),BB36))</f>
        <v>1199</v>
      </c>
      <c r="BD36" s="26">
        <f>IF(ISNUMBER(VLOOKUP($D36,'Visu totale'!$D:$DH,BD$1,0)),BC36-VLOOKUP($D36,'Visu totale'!$D:$DH,BD$1,0),IF(LEFT(VLOOKUP($D36,'Visu totale'!$D:$DH,BD$1,0),1)="V",IF(BC36&gt;=INDEX('[1]Définition Maintenances'!$G:$G,MATCH($A36,'[1]Définition Maintenances'!$K:$K,0)),BC36,INDEX('[1]Définition Maintenances'!$G:$G,MATCH($A36,'[1]Définition Maintenances'!$K:$K,0))+BC36),BC36))</f>
        <v>1199</v>
      </c>
      <c r="BE36" s="26">
        <f>IF(ISNUMBER(VLOOKUP($D36,'Visu totale'!$D:$DH,BE$1,0)),BD36-VLOOKUP($D36,'Visu totale'!$D:$DH,BE$1,0),IF(LEFT(VLOOKUP($D36,'Visu totale'!$D:$DH,BE$1,0),1)="V",IF(BD36&gt;=INDEX('[1]Définition Maintenances'!$G:$G,MATCH($A36,'[1]Définition Maintenances'!$K:$K,0)),BD36,INDEX('[1]Définition Maintenances'!$G:$G,MATCH($A36,'[1]Définition Maintenances'!$K:$K,0))+BD36),BD36))</f>
        <v>1199</v>
      </c>
      <c r="BF36" s="26">
        <f>IF(ISNUMBER(VLOOKUP($D36,'Visu totale'!$D:$DH,BF$1,0)),BE36-VLOOKUP($D36,'Visu totale'!$D:$DH,BF$1,0),IF(LEFT(VLOOKUP($D36,'Visu totale'!$D:$DH,BF$1,0),1)="V",IF(BE36&gt;=INDEX('[1]Définition Maintenances'!$G:$G,MATCH($A36,'[1]Définition Maintenances'!$K:$K,0)),BE36,INDEX('[1]Définition Maintenances'!$G:$G,MATCH($A36,'[1]Définition Maintenances'!$K:$K,0))+BE36),BE36))</f>
        <v>1199</v>
      </c>
      <c r="BG36" s="26">
        <f>IF(ISNUMBER(VLOOKUP($D36,'Visu totale'!$D:$DH,BG$1,0)),BF36-VLOOKUP($D36,'Visu totale'!$D:$DH,BG$1,0),IF(LEFT(VLOOKUP($D36,'Visu totale'!$D:$DH,BG$1,0),1)="V",IF(BF36&gt;=INDEX('[1]Définition Maintenances'!$G:$G,MATCH($A36,'[1]Définition Maintenances'!$K:$K,0)),BF36,INDEX('[1]Définition Maintenances'!$G:$G,MATCH($A36,'[1]Définition Maintenances'!$K:$K,0))+BF36),BF36))</f>
        <v>1199</v>
      </c>
      <c r="BH36" s="26">
        <f>IF(ISNUMBER(VLOOKUP($D36,'Visu totale'!$D:$DH,BH$1,0)),BG36-VLOOKUP($D36,'Visu totale'!$D:$DH,BH$1,0),IF(LEFT(VLOOKUP($D36,'Visu totale'!$D:$DH,BH$1,0),1)="V",IF(BG36&gt;=INDEX('[1]Définition Maintenances'!$G:$G,MATCH($A36,'[1]Définition Maintenances'!$K:$K,0)),BG36,INDEX('[1]Définition Maintenances'!$G:$G,MATCH($A36,'[1]Définition Maintenances'!$K:$K,0))+BG36),BG36))</f>
        <v>1199</v>
      </c>
      <c r="BI36" s="26">
        <f>IF(ISNUMBER(VLOOKUP($D36,'Visu totale'!$D:$DH,BI$1,0)),BH36-VLOOKUP($D36,'Visu totale'!$D:$DH,BI$1,0),IF(LEFT(VLOOKUP($D36,'Visu totale'!$D:$DH,BI$1,0),1)="V",IF(BH36&gt;=INDEX('[1]Définition Maintenances'!$G:$G,MATCH($A36,'[1]Définition Maintenances'!$K:$K,0)),BH36,INDEX('[1]Définition Maintenances'!$G:$G,MATCH($A36,'[1]Définition Maintenances'!$K:$K,0))+BH36),BH36))</f>
        <v>1199</v>
      </c>
      <c r="BJ36" s="26">
        <f>IF(ISNUMBER(VLOOKUP($D36,'Visu totale'!$D:$DH,BJ$1,0)),BI36-VLOOKUP($D36,'Visu totale'!$D:$DH,BJ$1,0),IF(LEFT(VLOOKUP($D36,'Visu totale'!$D:$DH,BJ$1,0),1)="V",IF(BI36&gt;=INDEX('[1]Définition Maintenances'!$G:$G,MATCH($A36,'[1]Définition Maintenances'!$K:$K,0)),BI36,INDEX('[1]Définition Maintenances'!$G:$G,MATCH($A36,'[1]Définition Maintenances'!$K:$K,0))+BI36),BI36))</f>
        <v>1199</v>
      </c>
      <c r="BK36" s="26">
        <f>IF(ISNUMBER(VLOOKUP($D36,'Visu totale'!$D:$DH,BK$1,0)),BJ36-VLOOKUP($D36,'Visu totale'!$D:$DH,BK$1,0),IF(LEFT(VLOOKUP($D36,'Visu totale'!$D:$DH,BK$1,0),1)="V",IF(BJ36&gt;=INDEX('[1]Définition Maintenances'!$G:$G,MATCH($A36,'[1]Définition Maintenances'!$K:$K,0)),BJ36,INDEX('[1]Définition Maintenances'!$G:$G,MATCH($A36,'[1]Définition Maintenances'!$K:$K,0))+BJ36),BJ36))</f>
        <v>1199</v>
      </c>
      <c r="BL36" s="26">
        <f>IF(ISNUMBER(VLOOKUP($D36,'Visu totale'!$D:$DH,BL$1,0)),BK36-VLOOKUP($D36,'Visu totale'!$D:$DH,BL$1,0),IF(LEFT(VLOOKUP($D36,'Visu totale'!$D:$DH,BL$1,0),1)="V",IF(BK36&gt;=INDEX('[1]Définition Maintenances'!$G:$G,MATCH($A36,'[1]Définition Maintenances'!$K:$K,0)),BK36,INDEX('[1]Définition Maintenances'!$G:$G,MATCH($A36,'[1]Définition Maintenances'!$K:$K,0))+BK36),BK36))</f>
        <v>1199</v>
      </c>
      <c r="BM36" s="27">
        <f>IF(ISNUMBER(VLOOKUP($D36,'Visu totale'!$D:$DH,BM$1,0)),BL36-VLOOKUP($D36,'Visu totale'!$D:$DH,BM$1,0),IF(LEFT(VLOOKUP($D36,'Visu totale'!$D:$DH,BM$1,0),1)="V",IF(BL36&gt;=INDEX('[1]Définition Maintenances'!$G:$G,MATCH($A36,'[1]Définition Maintenances'!$K:$K,0)),BL36,INDEX('[1]Définition Maintenances'!$G:$G,MATCH($A36,'[1]Définition Maintenances'!$K:$K,0))+BL36),BL36))</f>
        <v>1199</v>
      </c>
      <c r="BN36" s="25">
        <f>IF(ISNUMBER(VLOOKUP($D36,'Visu totale'!$D:$DH,BN$1,0)),BM36-VLOOKUP($D36,'Visu totale'!$D:$DH,BN$1,0),IF(LEFT(VLOOKUP($D36,'Visu totale'!$D:$DH,BN$1,0),1)="V",IF(BM36&gt;=INDEX('[1]Définition Maintenances'!$G:$G,MATCH($A36,'[1]Définition Maintenances'!$K:$K,0)),BM36,INDEX('[1]Définition Maintenances'!$G:$G,MATCH($A36,'[1]Définition Maintenances'!$K:$K,0))+BM36),BM36))</f>
        <v>1199</v>
      </c>
      <c r="BO36" s="26">
        <f>IF(ISNUMBER(VLOOKUP($D36,'Visu totale'!$D:$DH,BO$1,0)),BN36-VLOOKUP($D36,'Visu totale'!$D:$DH,BO$1,0),IF(LEFT(VLOOKUP($D36,'Visu totale'!$D:$DH,BO$1,0),1)="V",IF(BN36&gt;=INDEX('[1]Définition Maintenances'!$G:$G,MATCH($A36,'[1]Définition Maintenances'!$K:$K,0)),BN36,INDEX('[1]Définition Maintenances'!$G:$G,MATCH($A36,'[1]Définition Maintenances'!$K:$K,0))+BN36),BN36))</f>
        <v>1199</v>
      </c>
      <c r="BP36" s="26">
        <f>IF(ISNUMBER(VLOOKUP($D36,'Visu totale'!$D:$DH,BP$1,0)),BO36-VLOOKUP($D36,'Visu totale'!$D:$DH,BP$1,0),IF(LEFT(VLOOKUP($D36,'Visu totale'!$D:$DH,BP$1,0),1)="V",IF(BO36&gt;=INDEX('[1]Définition Maintenances'!$G:$G,MATCH($A36,'[1]Définition Maintenances'!$K:$K,0)),BO36,INDEX('[1]Définition Maintenances'!$G:$G,MATCH($A36,'[1]Définition Maintenances'!$K:$K,0))+BO36),BO36))</f>
        <v>1199</v>
      </c>
      <c r="BQ36" s="26">
        <f>IF(ISNUMBER(VLOOKUP($D36,'Visu totale'!$D:$DH,BQ$1,0)),BP36-VLOOKUP($D36,'Visu totale'!$D:$DH,BQ$1,0),IF(LEFT(VLOOKUP($D36,'Visu totale'!$D:$DH,BQ$1,0),1)="V",IF(BP36&gt;=INDEX('[1]Définition Maintenances'!$G:$G,MATCH($A36,'[1]Définition Maintenances'!$K:$K,0)),BP36,INDEX('[1]Définition Maintenances'!$G:$G,MATCH($A36,'[1]Définition Maintenances'!$K:$K,0))+BP36),BP36))</f>
        <v>1199</v>
      </c>
      <c r="BR36" s="26">
        <f>IF(ISNUMBER(VLOOKUP($D36,'Visu totale'!$D:$DH,BR$1,0)),BQ36-VLOOKUP($D36,'Visu totale'!$D:$DH,BR$1,0),IF(LEFT(VLOOKUP($D36,'Visu totale'!$D:$DH,BR$1,0),1)="V",IF(BQ36&gt;=INDEX('[1]Définition Maintenances'!$G:$G,MATCH($A36,'[1]Définition Maintenances'!$K:$K,0)),BQ36,INDEX('[1]Définition Maintenances'!$G:$G,MATCH($A36,'[1]Définition Maintenances'!$K:$K,0))+BQ36),BQ36))</f>
        <v>1199</v>
      </c>
      <c r="BS36" s="26">
        <f>IF(ISNUMBER(VLOOKUP($D36,'Visu totale'!$D:$DH,BS$1,0)),BR36-VLOOKUP($D36,'Visu totale'!$D:$DH,BS$1,0),IF(LEFT(VLOOKUP($D36,'Visu totale'!$D:$DH,BS$1,0),1)="V",IF(BR36&gt;=INDEX('[1]Définition Maintenances'!$G:$G,MATCH($A36,'[1]Définition Maintenances'!$K:$K,0)),BR36,INDEX('[1]Définition Maintenances'!$G:$G,MATCH($A36,'[1]Définition Maintenances'!$K:$K,0))+BR36),BR36))</f>
        <v>1199</v>
      </c>
      <c r="BT36" s="26">
        <f>IF(ISNUMBER(VLOOKUP($D36,'Visu totale'!$D:$DH,BT$1,0)),BS36-VLOOKUP($D36,'Visu totale'!$D:$DH,BT$1,0),IF(LEFT(VLOOKUP($D36,'Visu totale'!$D:$DH,BT$1,0),1)="V",IF(BS36&gt;=INDEX('[1]Définition Maintenances'!$G:$G,MATCH($A36,'[1]Définition Maintenances'!$K:$K,0)),BS36,INDEX('[1]Définition Maintenances'!$G:$G,MATCH($A36,'[1]Définition Maintenances'!$K:$K,0))+BS36),BS36))</f>
        <v>1199</v>
      </c>
      <c r="BU36" s="26">
        <f>IF(ISNUMBER(VLOOKUP($D36,'Visu totale'!$D:$DH,BU$1,0)),BT36-VLOOKUP($D36,'Visu totale'!$D:$DH,BU$1,0),IF(LEFT(VLOOKUP($D36,'Visu totale'!$D:$DH,BU$1,0),1)="V",IF(BT36&gt;=INDEX('[1]Définition Maintenances'!$G:$G,MATCH($A36,'[1]Définition Maintenances'!$K:$K,0)),BT36,INDEX('[1]Définition Maintenances'!$G:$G,MATCH($A36,'[1]Définition Maintenances'!$K:$K,0))+BT36),BT36))</f>
        <v>1199</v>
      </c>
      <c r="BV36" s="26">
        <f>IF(ISNUMBER(VLOOKUP($D36,'Visu totale'!$D:$DH,BV$1,0)),BU36-VLOOKUP($D36,'Visu totale'!$D:$DH,BV$1,0),IF(LEFT(VLOOKUP($D36,'Visu totale'!$D:$DH,BV$1,0),1)="V",IF(BU36&gt;=INDEX('[1]Définition Maintenances'!$G:$G,MATCH($A36,'[1]Définition Maintenances'!$K:$K,0)),BU36,INDEX('[1]Définition Maintenances'!$G:$G,MATCH($A36,'[1]Définition Maintenances'!$K:$K,0))+BU36),BU36))</f>
        <v>1199</v>
      </c>
      <c r="BW36" s="26">
        <f>IF(ISNUMBER(VLOOKUP($D36,'Visu totale'!$D:$DH,BW$1,0)),BV36-VLOOKUP($D36,'Visu totale'!$D:$DH,BW$1,0),IF(LEFT(VLOOKUP($D36,'Visu totale'!$D:$DH,BW$1,0),1)="V",IF(BV36&gt;=INDEX('[1]Définition Maintenances'!$G:$G,MATCH($A36,'[1]Définition Maintenances'!$K:$K,0)),BV36,INDEX('[1]Définition Maintenances'!$G:$G,MATCH($A36,'[1]Définition Maintenances'!$K:$K,0))+BV36),BV36))</f>
        <v>1199</v>
      </c>
      <c r="BX36" s="26">
        <f>IF(ISNUMBER(VLOOKUP($D36,'Visu totale'!$D:$DH,BX$1,0)),BW36-VLOOKUP($D36,'Visu totale'!$D:$DH,BX$1,0),IF(LEFT(VLOOKUP($D36,'Visu totale'!$D:$DH,BX$1,0),1)="V",IF(BW36&gt;=INDEX('[1]Définition Maintenances'!$G:$G,MATCH($A36,'[1]Définition Maintenances'!$K:$K,0)),BW36,INDEX('[1]Définition Maintenances'!$G:$G,MATCH($A36,'[1]Définition Maintenances'!$K:$K,0))+BW36),BW36))</f>
        <v>1199</v>
      </c>
      <c r="BY36" s="27">
        <f>IF(ISNUMBER(VLOOKUP($D36,'Visu totale'!$D:$DH,BY$1,0)),BX36-VLOOKUP($D36,'Visu totale'!$D:$DH,BY$1,0),IF(LEFT(VLOOKUP($D36,'Visu totale'!$D:$DH,BY$1,0),1)="V",IF(BX36&gt;=INDEX('[1]Définition Maintenances'!$G:$G,MATCH($A36,'[1]Définition Maintenances'!$K:$K,0)),BX36,INDEX('[1]Définition Maintenances'!$G:$G,MATCH($A36,'[1]Définition Maintenances'!$K:$K,0))+BX36),BX36))</f>
        <v>1199</v>
      </c>
      <c r="BZ36" s="25">
        <f>IF(ISNUMBER(VLOOKUP($D36,'Visu totale'!$D:$DH,BZ$1,0)),BY36-VLOOKUP($D36,'Visu totale'!$D:$DH,BZ$1,0),IF(LEFT(VLOOKUP($D36,'Visu totale'!$D:$DH,BZ$1,0),1)="V",IF(BY36&gt;=INDEX('[1]Définition Maintenances'!$G:$G,MATCH($A36,'[1]Définition Maintenances'!$K:$K,0)),BY36,INDEX('[1]Définition Maintenances'!$G:$G,MATCH($A36,'[1]Définition Maintenances'!$K:$K,0))+BY36),BY36))</f>
        <v>1199</v>
      </c>
      <c r="CA36" s="26">
        <f>IF(ISNUMBER(VLOOKUP($D36,'Visu totale'!$D:$DH,CA$1,0)),BZ36-VLOOKUP($D36,'Visu totale'!$D:$DH,CA$1,0),IF(LEFT(VLOOKUP($D36,'Visu totale'!$D:$DH,CA$1,0),1)="V",IF(BZ36&gt;=INDEX('[1]Définition Maintenances'!$G:$G,MATCH($A36,'[1]Définition Maintenances'!$K:$K,0)),BZ36,INDEX('[1]Définition Maintenances'!$G:$G,MATCH($A36,'[1]Définition Maintenances'!$K:$K,0))+BZ36),BZ36))</f>
        <v>1199</v>
      </c>
      <c r="CB36" s="26">
        <f>IF(ISNUMBER(VLOOKUP($D36,'Visu totale'!$D:$DH,CB$1,0)),CA36-VLOOKUP($D36,'Visu totale'!$D:$DH,CB$1,0),IF(LEFT(VLOOKUP($D36,'Visu totale'!$D:$DH,CB$1,0),1)="V",IF(CA36&gt;=INDEX('[1]Définition Maintenances'!$G:$G,MATCH($A36,'[1]Définition Maintenances'!$K:$K,0)),CA36,INDEX('[1]Définition Maintenances'!$G:$G,MATCH($A36,'[1]Définition Maintenances'!$K:$K,0))+CA36),CA36))</f>
        <v>1199</v>
      </c>
      <c r="CC36" s="26">
        <f>IF(ISNUMBER(VLOOKUP($D36,'Visu totale'!$D:$DH,CC$1,0)),CB36-VLOOKUP($D36,'Visu totale'!$D:$DH,CC$1,0),IF(LEFT(VLOOKUP($D36,'Visu totale'!$D:$DH,CC$1,0),1)="V",IF(CB36&gt;=INDEX('[1]Définition Maintenances'!$G:$G,MATCH($A36,'[1]Définition Maintenances'!$K:$K,0)),CB36,INDEX('[1]Définition Maintenances'!$G:$G,MATCH($A36,'[1]Définition Maintenances'!$K:$K,0))+CB36),CB36))</f>
        <v>1199</v>
      </c>
      <c r="CD36" s="26">
        <f>IF(ISNUMBER(VLOOKUP($D36,'Visu totale'!$D:$DH,CD$1,0)),CC36-VLOOKUP($D36,'Visu totale'!$D:$DH,CD$1,0),IF(LEFT(VLOOKUP($D36,'Visu totale'!$D:$DH,CD$1,0),1)="V",IF(CC36&gt;=INDEX('[1]Définition Maintenances'!$G:$G,MATCH($A36,'[1]Définition Maintenances'!$K:$K,0)),CC36,INDEX('[1]Définition Maintenances'!$G:$G,MATCH($A36,'[1]Définition Maintenances'!$K:$K,0))+CC36),CC36))</f>
        <v>1199</v>
      </c>
      <c r="CE36" s="26">
        <f>IF(ISNUMBER(VLOOKUP($D36,'Visu totale'!$D:$DH,CE$1,0)),CD36-VLOOKUP($D36,'Visu totale'!$D:$DH,CE$1,0),IF(LEFT(VLOOKUP($D36,'Visu totale'!$D:$DH,CE$1,0),1)="V",IF(CD36&gt;=INDEX('[1]Définition Maintenances'!$G:$G,MATCH($A36,'[1]Définition Maintenances'!$K:$K,0)),CD36,INDEX('[1]Définition Maintenances'!$G:$G,MATCH($A36,'[1]Définition Maintenances'!$K:$K,0))+CD36),CD36))</f>
        <v>1199</v>
      </c>
      <c r="CF36" s="26">
        <f>IF(ISNUMBER(VLOOKUP($D36,'Visu totale'!$D:$DH,CF$1,0)),CE36-VLOOKUP($D36,'Visu totale'!$D:$DH,CF$1,0),IF(LEFT(VLOOKUP($D36,'Visu totale'!$D:$DH,CF$1,0),1)="V",IF(CE36&gt;=INDEX('[1]Définition Maintenances'!$G:$G,MATCH($A36,'[1]Définition Maintenances'!$K:$K,0)),CE36,INDEX('[1]Définition Maintenances'!$G:$G,MATCH($A36,'[1]Définition Maintenances'!$K:$K,0))+CE36),CE36))</f>
        <v>1199</v>
      </c>
      <c r="CG36" s="26">
        <f>IF(ISNUMBER(VLOOKUP($D36,'Visu totale'!$D:$DH,CG$1,0)),CF36-VLOOKUP($D36,'Visu totale'!$D:$DH,CG$1,0),IF(LEFT(VLOOKUP($D36,'Visu totale'!$D:$DH,CG$1,0),1)="V",IF(CF36&gt;=INDEX('[1]Définition Maintenances'!$G:$G,MATCH($A36,'[1]Définition Maintenances'!$K:$K,0)),CF36,INDEX('[1]Définition Maintenances'!$G:$G,MATCH($A36,'[1]Définition Maintenances'!$K:$K,0))+CF36),CF36))</f>
        <v>1199</v>
      </c>
      <c r="CH36" s="26">
        <f>IF(ISNUMBER(VLOOKUP($D36,'Visu totale'!$D:$DH,CH$1,0)),CG36-VLOOKUP($D36,'Visu totale'!$D:$DH,CH$1,0),IF(LEFT(VLOOKUP($D36,'Visu totale'!$D:$DH,CH$1,0),1)="V",IF(CG36&gt;=INDEX('[1]Définition Maintenances'!$G:$G,MATCH($A36,'[1]Définition Maintenances'!$K:$K,0)),CG36,INDEX('[1]Définition Maintenances'!$G:$G,MATCH($A36,'[1]Définition Maintenances'!$K:$K,0))+CG36),CG36))</f>
        <v>1199</v>
      </c>
      <c r="CI36" s="26">
        <f>IF(ISNUMBER(VLOOKUP($D36,'Visu totale'!$D:$DH,CI$1,0)),CH36-VLOOKUP($D36,'Visu totale'!$D:$DH,CI$1,0),IF(LEFT(VLOOKUP($D36,'Visu totale'!$D:$DH,CI$1,0),1)="V",IF(CH36&gt;=INDEX('[1]Définition Maintenances'!$G:$G,MATCH($A36,'[1]Définition Maintenances'!$K:$K,0)),CH36,INDEX('[1]Définition Maintenances'!$G:$G,MATCH($A36,'[1]Définition Maintenances'!$K:$K,0))+CH36),CH36))</f>
        <v>1199</v>
      </c>
      <c r="CJ36" s="26">
        <f>IF(ISNUMBER(VLOOKUP($D36,'Visu totale'!$D:$DH,CJ$1,0)),CI36-VLOOKUP($D36,'Visu totale'!$D:$DH,CJ$1,0),IF(LEFT(VLOOKUP($D36,'Visu totale'!$D:$DH,CJ$1,0),1)="V",IF(CI36&gt;=INDEX('[1]Définition Maintenances'!$G:$G,MATCH($A36,'[1]Définition Maintenances'!$K:$K,0)),CI36,INDEX('[1]Définition Maintenances'!$G:$G,MATCH($A36,'[1]Définition Maintenances'!$K:$K,0))+CI36),CI36))</f>
        <v>1199</v>
      </c>
      <c r="CK36" s="27">
        <f>IF(ISNUMBER(VLOOKUP($D36,'Visu totale'!$D:$DH,CK$1,0)),CJ36-VLOOKUP($D36,'Visu totale'!$D:$DH,CK$1,0),IF(LEFT(VLOOKUP($D36,'Visu totale'!$D:$DH,CK$1,0),1)="V",IF(CJ36&gt;=INDEX('[1]Définition Maintenances'!$G:$G,MATCH($A36,'[1]Définition Maintenances'!$K:$K,0)),CJ36,INDEX('[1]Définition Maintenances'!$G:$G,MATCH($A36,'[1]Définition Maintenances'!$K:$K,0))+CJ36),CJ36))</f>
        <v>1199</v>
      </c>
      <c r="CL36" s="25">
        <f>IF(ISNUMBER(VLOOKUP($D36,'Visu totale'!$D:$DH,CL$1,0)),CK36-VLOOKUP($D36,'Visu totale'!$D:$DH,CL$1,0),IF(LEFT(VLOOKUP($D36,'Visu totale'!$D:$DH,CL$1,0),1)="V",IF(CK36&gt;=INDEX('[1]Définition Maintenances'!$G:$G,MATCH($A36,'[1]Définition Maintenances'!$K:$K,0)),CK36,INDEX('[1]Définition Maintenances'!$G:$G,MATCH($A36,'[1]Définition Maintenances'!$K:$K,0))+CK36),CK36))</f>
        <v>1199</v>
      </c>
      <c r="CM36" s="26">
        <f>IF(ISNUMBER(VLOOKUP($D36,'Visu totale'!$D:$DH,CM$1,0)),CL36-VLOOKUP($D36,'Visu totale'!$D:$DH,CM$1,0),IF(LEFT(VLOOKUP($D36,'Visu totale'!$D:$DH,CM$1,0),1)="V",IF(CL36&gt;=INDEX('[1]Définition Maintenances'!$G:$G,MATCH($A36,'[1]Définition Maintenances'!$K:$K,0)),CL36,INDEX('[1]Définition Maintenances'!$G:$G,MATCH($A36,'[1]Définition Maintenances'!$K:$K,0))+CL36),CL36))</f>
        <v>1199</v>
      </c>
      <c r="CN36" s="26">
        <f>IF(ISNUMBER(VLOOKUP($D36,'Visu totale'!$D:$DH,CN$1,0)),CM36-VLOOKUP($D36,'Visu totale'!$D:$DH,CN$1,0),IF(LEFT(VLOOKUP($D36,'Visu totale'!$D:$DH,CN$1,0),1)="V",IF(CM36&gt;=INDEX('[1]Définition Maintenances'!$G:$G,MATCH($A36,'[1]Définition Maintenances'!$K:$K,0)),CM36,INDEX('[1]Définition Maintenances'!$G:$G,MATCH($A36,'[1]Définition Maintenances'!$K:$K,0))+CM36),CM36))</f>
        <v>1199</v>
      </c>
      <c r="CO36" s="26">
        <f>IF(ISNUMBER(VLOOKUP($D36,'Visu totale'!$D:$DH,CO$1,0)),CN36-VLOOKUP($D36,'Visu totale'!$D:$DH,CO$1,0),IF(LEFT(VLOOKUP($D36,'Visu totale'!$D:$DH,CO$1,0),1)="V",IF(CN36&gt;=INDEX('[1]Définition Maintenances'!$G:$G,MATCH($A36,'[1]Définition Maintenances'!$K:$K,0)),CN36,INDEX('[1]Définition Maintenances'!$G:$G,MATCH($A36,'[1]Définition Maintenances'!$K:$K,0))+CN36),CN36))</f>
        <v>1199</v>
      </c>
      <c r="CP36" s="26">
        <f>IF(ISNUMBER(VLOOKUP($D36,'Visu totale'!$D:$DH,CP$1,0)),CO36-VLOOKUP($D36,'Visu totale'!$D:$DH,CP$1,0),IF(LEFT(VLOOKUP($D36,'Visu totale'!$D:$DH,CP$1,0),1)="V",IF(CO36&gt;=INDEX('[1]Définition Maintenances'!$G:$G,MATCH($A36,'[1]Définition Maintenances'!$K:$K,0)),CO36,INDEX('[1]Définition Maintenances'!$G:$G,MATCH($A36,'[1]Définition Maintenances'!$K:$K,0))+CO36),CO36))</f>
        <v>1199</v>
      </c>
      <c r="CQ36" s="26">
        <f>IF(ISNUMBER(VLOOKUP($D36,'Visu totale'!$D:$DH,CQ$1,0)),CP36-VLOOKUP($D36,'Visu totale'!$D:$DH,CQ$1,0),IF(LEFT(VLOOKUP($D36,'Visu totale'!$D:$DH,CQ$1,0),1)="V",IF(CP36&gt;=INDEX('[1]Définition Maintenances'!$G:$G,MATCH($A36,'[1]Définition Maintenances'!$K:$K,0)),CP36,INDEX('[1]Définition Maintenances'!$G:$G,MATCH($A36,'[1]Définition Maintenances'!$K:$K,0))+CP36),CP36))</f>
        <v>1199</v>
      </c>
      <c r="CR36" s="26">
        <f>IF(ISNUMBER(VLOOKUP($D36,'Visu totale'!$D:$DH,CR$1,0)),CQ36-VLOOKUP($D36,'Visu totale'!$D:$DH,CR$1,0),IF(LEFT(VLOOKUP($D36,'Visu totale'!$D:$DH,CR$1,0),1)="V",IF(CQ36&gt;=INDEX('[1]Définition Maintenances'!$G:$G,MATCH($A36,'[1]Définition Maintenances'!$K:$K,0)),CQ36,INDEX('[1]Définition Maintenances'!$G:$G,MATCH($A36,'[1]Définition Maintenances'!$K:$K,0))+CQ36),CQ36))</f>
        <v>1199</v>
      </c>
      <c r="CS36" s="26">
        <f>IF(ISNUMBER(VLOOKUP($D36,'Visu totale'!$D:$DH,CS$1,0)),CR36-VLOOKUP($D36,'Visu totale'!$D:$DH,CS$1,0),IF(LEFT(VLOOKUP($D36,'Visu totale'!$D:$DH,CS$1,0),1)="V",IF(CR36&gt;=INDEX('[1]Définition Maintenances'!$G:$G,MATCH($A36,'[1]Définition Maintenances'!$K:$K,0)),CR36,INDEX('[1]Définition Maintenances'!$G:$G,MATCH($A36,'[1]Définition Maintenances'!$K:$K,0))+CR36),CR36))</f>
        <v>1199</v>
      </c>
      <c r="CT36" s="26">
        <f>IF(ISNUMBER(VLOOKUP($D36,'Visu totale'!$D:$DH,CT$1,0)),CS36-VLOOKUP($D36,'Visu totale'!$D:$DH,CT$1,0),IF(LEFT(VLOOKUP($D36,'Visu totale'!$D:$DH,CT$1,0),1)="V",IF(CS36&gt;=INDEX('[1]Définition Maintenances'!$G:$G,MATCH($A36,'[1]Définition Maintenances'!$K:$K,0)),CS36,INDEX('[1]Définition Maintenances'!$G:$G,MATCH($A36,'[1]Définition Maintenances'!$K:$K,0))+CS36),CS36))</f>
        <v>1199</v>
      </c>
      <c r="CU36" s="26">
        <f>IF(ISNUMBER(VLOOKUP($D36,'Visu totale'!$D:$DH,CU$1,0)),CT36-VLOOKUP($D36,'Visu totale'!$D:$DH,CU$1,0),IF(LEFT(VLOOKUP($D36,'Visu totale'!$D:$DH,CU$1,0),1)="V",IF(CT36&gt;=INDEX('[1]Définition Maintenances'!$G:$G,MATCH($A36,'[1]Définition Maintenances'!$K:$K,0)),CT36,INDEX('[1]Définition Maintenances'!$G:$G,MATCH($A36,'[1]Définition Maintenances'!$K:$K,0))+CT36),CT36))</f>
        <v>1199</v>
      </c>
      <c r="CV36" s="26">
        <f>IF(ISNUMBER(VLOOKUP($D36,'Visu totale'!$D:$DH,CV$1,0)),CU36-VLOOKUP($D36,'Visu totale'!$D:$DH,CV$1,0),IF(LEFT(VLOOKUP($D36,'Visu totale'!$D:$DH,CV$1,0),1)="V",IF(CU36&gt;=INDEX('[1]Définition Maintenances'!$G:$G,MATCH($A36,'[1]Définition Maintenances'!$K:$K,0)),CU36,INDEX('[1]Définition Maintenances'!$G:$G,MATCH($A36,'[1]Définition Maintenances'!$K:$K,0))+CU36),CU36))</f>
        <v>1199</v>
      </c>
      <c r="CW36" s="27">
        <f>IF(ISNUMBER(VLOOKUP($D36,'Visu totale'!$D:$DH,CW$1,0)),CV36-VLOOKUP($D36,'Visu totale'!$D:$DH,CW$1,0),IF(LEFT(VLOOKUP($D36,'Visu totale'!$D:$DH,CW$1,0),1)="V",IF(CV36&gt;=INDEX('[1]Définition Maintenances'!$G:$G,MATCH($A36,'[1]Définition Maintenances'!$K:$K,0)),CV36,INDEX('[1]Définition Maintenances'!$G:$G,MATCH($A36,'[1]Définition Maintenances'!$K:$K,0))+CV36),CV36))</f>
        <v>1199</v>
      </c>
      <c r="CX36" s="25">
        <f>IF(ISNUMBER(VLOOKUP($D36,'Visu totale'!$D:$DH,CX$1,0)),CW36-VLOOKUP($D36,'Visu totale'!$D:$DH,CX$1,0),IF(LEFT(VLOOKUP($D36,'Visu totale'!$D:$DH,CX$1,0),1)="V",IF(CW36&gt;=INDEX('[1]Définition Maintenances'!$G:$G,MATCH($A36,'[1]Définition Maintenances'!$K:$K,0)),CW36,INDEX('[1]Définition Maintenances'!$G:$G,MATCH($A36,'[1]Définition Maintenances'!$K:$K,0))+CW36),CW36))</f>
        <v>1199</v>
      </c>
      <c r="CY36" s="26">
        <f>IF(ISNUMBER(VLOOKUP($D36,'Visu totale'!$D:$DH,CY$1,0)),CX36-VLOOKUP($D36,'Visu totale'!$D:$DH,CY$1,0),IF(LEFT(VLOOKUP($D36,'Visu totale'!$D:$DH,CY$1,0),1)="V",IF(CX36&gt;=INDEX('[1]Définition Maintenances'!$G:$G,MATCH($A36,'[1]Définition Maintenances'!$K:$K,0)),CX36,INDEX('[1]Définition Maintenances'!$G:$G,MATCH($A36,'[1]Définition Maintenances'!$K:$K,0))+CX36),CX36))</f>
        <v>1199</v>
      </c>
      <c r="CZ36" s="26">
        <f>IF(ISNUMBER(VLOOKUP($D36,'Visu totale'!$D:$DH,CZ$1,0)),CY36-VLOOKUP($D36,'Visu totale'!$D:$DH,CZ$1,0),IF(LEFT(VLOOKUP($D36,'Visu totale'!$D:$DH,CZ$1,0),1)="V",IF(CY36&gt;=INDEX('[1]Définition Maintenances'!$G:$G,MATCH($A36,'[1]Définition Maintenances'!$K:$K,0)),CY36,INDEX('[1]Définition Maintenances'!$G:$G,MATCH($A36,'[1]Définition Maintenances'!$K:$K,0))+CY36),CY36))</f>
        <v>1199</v>
      </c>
      <c r="DA36" s="26">
        <f>IF(ISNUMBER(VLOOKUP($D36,'Visu totale'!$D:$DH,DA$1,0)),CZ36-VLOOKUP($D36,'Visu totale'!$D:$DH,DA$1,0),IF(LEFT(VLOOKUP($D36,'Visu totale'!$D:$DH,DA$1,0),1)="V",IF(CZ36&gt;=INDEX('[1]Définition Maintenances'!$G:$G,MATCH($A36,'[1]Définition Maintenances'!$K:$K,0)),CZ36,INDEX('[1]Définition Maintenances'!$G:$G,MATCH($A36,'[1]Définition Maintenances'!$K:$K,0))+CZ36),CZ36))</f>
        <v>1199</v>
      </c>
      <c r="DB36" s="26">
        <f>IF(ISNUMBER(VLOOKUP($D36,'Visu totale'!$D:$DH,DB$1,0)),DA36-VLOOKUP($D36,'Visu totale'!$D:$DH,DB$1,0),IF(LEFT(VLOOKUP($D36,'Visu totale'!$D:$DH,DB$1,0),1)="V",IF(DA36&gt;=INDEX('[1]Définition Maintenances'!$G:$G,MATCH($A36,'[1]Définition Maintenances'!$K:$K,0)),DA36,INDEX('[1]Définition Maintenances'!$G:$G,MATCH($A36,'[1]Définition Maintenances'!$K:$K,0))+DA36),DA36))</f>
        <v>1199</v>
      </c>
      <c r="DC36" s="26">
        <f>IF(ISNUMBER(VLOOKUP($D36,'Visu totale'!$D:$DH,DC$1,0)),DB36-VLOOKUP($D36,'Visu totale'!$D:$DH,DC$1,0),IF(LEFT(VLOOKUP($D36,'Visu totale'!$D:$DH,DC$1,0),1)="V",IF(DB36&gt;=INDEX('[1]Définition Maintenances'!$G:$G,MATCH($A36,'[1]Définition Maintenances'!$K:$K,0)),DB36,INDEX('[1]Définition Maintenances'!$G:$G,MATCH($A36,'[1]Définition Maintenances'!$K:$K,0))+DB36),DB36))</f>
        <v>1199</v>
      </c>
      <c r="DD36" s="26">
        <f>IF(ISNUMBER(VLOOKUP($D36,'Visu totale'!$D:$DH,DD$1,0)),DC36-VLOOKUP($D36,'Visu totale'!$D:$DH,DD$1,0),IF(LEFT(VLOOKUP($D36,'Visu totale'!$D:$DH,DD$1,0),1)="V",IF(DC36&gt;=INDEX('[1]Définition Maintenances'!$G:$G,MATCH($A36,'[1]Définition Maintenances'!$K:$K,0)),DC36,INDEX('[1]Définition Maintenances'!$G:$G,MATCH($A36,'[1]Définition Maintenances'!$K:$K,0))+DC36),DC36))</f>
        <v>1199</v>
      </c>
      <c r="DE36" s="26">
        <f>IF(ISNUMBER(VLOOKUP($D36,'Visu totale'!$D:$DH,DE$1,0)),DD36-VLOOKUP($D36,'Visu totale'!$D:$DH,DE$1,0),IF(LEFT(VLOOKUP($D36,'Visu totale'!$D:$DH,DE$1,0),1)="V",IF(DD36&gt;=INDEX('[1]Définition Maintenances'!$G:$G,MATCH($A36,'[1]Définition Maintenances'!$K:$K,0)),DD36,INDEX('[1]Définition Maintenances'!$G:$G,MATCH($A36,'[1]Définition Maintenances'!$K:$K,0))+DD36),DD36))</f>
        <v>1199</v>
      </c>
      <c r="DF36" s="26">
        <f>IF(ISNUMBER(VLOOKUP($D36,'Visu totale'!$D:$DH,DF$1,0)),DE36-VLOOKUP($D36,'Visu totale'!$D:$DH,DF$1,0),IF(LEFT(VLOOKUP($D36,'Visu totale'!$D:$DH,DF$1,0),1)="V",IF(DE36&gt;=INDEX('[1]Définition Maintenances'!$G:$G,MATCH($A36,'[1]Définition Maintenances'!$K:$K,0)),DE36,INDEX('[1]Définition Maintenances'!$G:$G,MATCH($A36,'[1]Définition Maintenances'!$K:$K,0))+DE36),DE36))</f>
        <v>1199</v>
      </c>
      <c r="DG36" s="26">
        <f>IF(ISNUMBER(VLOOKUP($D36,'Visu totale'!$D:$DH,DG$1,0)),DF36-VLOOKUP($D36,'Visu totale'!$D:$DH,DG$1,0),IF(LEFT(VLOOKUP($D36,'Visu totale'!$D:$DH,DG$1,0),1)="V",IF(DF36&gt;=INDEX('[1]Définition Maintenances'!$G:$G,MATCH($A36,'[1]Définition Maintenances'!$K:$K,0)),DF36,INDEX('[1]Définition Maintenances'!$G:$G,MATCH($A36,'[1]Définition Maintenances'!$K:$K,0))+DF36),DF36))</f>
        <v>1199</v>
      </c>
      <c r="DH36" s="26">
        <f>IF(ISNUMBER(VLOOKUP($D36,'Visu totale'!$D:$DH,DH$1,0)),DG36-VLOOKUP($D36,'Visu totale'!$D:$DH,DH$1,0),IF(LEFT(VLOOKUP($D36,'Visu totale'!$D:$DH,DH$1,0),1)="V",IF(DG36&gt;=INDEX('[1]Définition Maintenances'!$G:$G,MATCH($A36,'[1]Définition Maintenances'!$K:$K,0)),DG36,INDEX('[1]Définition Maintenances'!$G:$G,MATCH($A36,'[1]Définition Maintenances'!$K:$K,0))+DG36),DG36))</f>
        <v>1199</v>
      </c>
      <c r="DI36" s="27">
        <f>IF(ISNUMBER(VLOOKUP($D36,'Visu totale'!$D:$DH,DI$1,0)),DH36-VLOOKUP($D36,'Visu totale'!$D:$DH,DI$1,0),IF(LEFT(VLOOKUP($D36,'Visu totale'!$D:$DH,DI$1,0),1)="V",IF(DH36&gt;=INDEX('[1]Définition Maintenances'!$G:$G,MATCH($A36,'[1]Définition Maintenances'!$K:$K,0)),DH36,INDEX('[1]Définition Maintenances'!$G:$G,MATCH($A36,'[1]Définition Maintenances'!$K:$K,0))+DH36),DH36))</f>
        <v>1199</v>
      </c>
    </row>
    <row r="37" spans="1:113" x14ac:dyDescent="0.25">
      <c r="A37" s="13" t="str">
        <f t="shared" si="1"/>
        <v>V10D</v>
      </c>
      <c r="B37" s="13" t="str">
        <f>VLOOKUP(D37,'[1]Avions (Potentiels)'!$B$2:$H$128,7,FALSE)</f>
        <v>V10</v>
      </c>
      <c r="C37" s="13"/>
      <c r="D37" s="16" t="s">
        <v>40</v>
      </c>
      <c r="E37" s="13">
        <f>IFERROR(VALUE(SUBSTITUTE(VLOOKUP(D37,'[1]Avions (Potentiels)'!$B:$E,4,0),".",",")),VALUE(VLOOKUP(D37,'[1]Avions (Potentiels)'!$B:$E,4,0)))</f>
        <v>1169</v>
      </c>
      <c r="F37" s="25">
        <f>IF(ISNUMBER(VLOOKUP($D37,'Visu totale'!$D:$DH,F$1,0)),E37-VLOOKUP($D37,'Visu totale'!$D:$DH,F$1,0),IF(LEFT(VLOOKUP($D37,'Visu totale'!$D:$DH,F$1,0),1)="V",IF(E37&gt;=INDEX('[1]Définition Maintenances'!$G:$G,MATCH($A37,'[1]Définition Maintenances'!$K:$K,0)),E37,INDEX('[1]Définition Maintenances'!$G:$G,MATCH($A37,'[1]Définition Maintenances'!$K:$K,0))+E37),E37))</f>
        <v>1169</v>
      </c>
      <c r="G37" s="26">
        <f>IF(ISNUMBER(VLOOKUP($D37,'Visu totale'!$D:$DH,G$1,0)),F37-VLOOKUP($D37,'Visu totale'!$D:$DH,G$1,0),IF(LEFT(VLOOKUP($D37,'Visu totale'!$D:$DH,G$1,0),1)="V",IF(F37&gt;=INDEX('[1]Définition Maintenances'!$G:$G,MATCH($A37,'[1]Définition Maintenances'!$K:$K,0)),F37,INDEX('[1]Définition Maintenances'!$G:$G,MATCH($A37,'[1]Définition Maintenances'!$K:$K,0))+F37),F37))</f>
        <v>1169</v>
      </c>
      <c r="H37" s="26">
        <f>IF(ISNUMBER(VLOOKUP($D37,'Visu totale'!$D:$DH,H$1,0)),G37-VLOOKUP($D37,'Visu totale'!$D:$DH,H$1,0),IF(LEFT(VLOOKUP($D37,'Visu totale'!$D:$DH,H$1,0),1)="V",IF(G37&gt;=INDEX('[1]Définition Maintenances'!$G:$G,MATCH($A37,'[1]Définition Maintenances'!$K:$K,0)),G37,INDEX('[1]Définition Maintenances'!$G:$G,MATCH($A37,'[1]Définition Maintenances'!$K:$K,0))+G37),G37))</f>
        <v>1169</v>
      </c>
      <c r="I37" s="26">
        <f>IF(ISNUMBER(VLOOKUP($D37,'Visu totale'!$D:$DH,I$1,0)),H37-VLOOKUP($D37,'Visu totale'!$D:$DH,I$1,0),IF(LEFT(VLOOKUP($D37,'Visu totale'!$D:$DH,I$1,0),1)="V",IF(H37&gt;=INDEX('[1]Définition Maintenances'!$G:$G,MATCH($A37,'[1]Définition Maintenances'!$K:$K,0)),H37,INDEX('[1]Définition Maintenances'!$G:$G,MATCH($A37,'[1]Définition Maintenances'!$K:$K,0))+H37),H37))</f>
        <v>1169</v>
      </c>
      <c r="J37" s="26">
        <f>IF(ISNUMBER(VLOOKUP($D37,'Visu totale'!$D:$DH,J$1,0)),I37-VLOOKUP($D37,'Visu totale'!$D:$DH,J$1,0),IF(LEFT(VLOOKUP($D37,'Visu totale'!$D:$DH,J$1,0),1)="V",IF(I37&gt;=INDEX('[1]Définition Maintenances'!$G:$G,MATCH($A37,'[1]Définition Maintenances'!$K:$K,0)),I37,INDEX('[1]Définition Maintenances'!$G:$G,MATCH($A37,'[1]Définition Maintenances'!$K:$K,0))+I37),I37))</f>
        <v>1169</v>
      </c>
      <c r="K37" s="26">
        <f>IF(ISNUMBER(VLOOKUP($D37,'Visu totale'!$D:$DH,K$1,0)),J37-VLOOKUP($D37,'Visu totale'!$D:$DH,K$1,0),IF(LEFT(VLOOKUP($D37,'Visu totale'!$D:$DH,K$1,0),1)="V",IF(J37&gt;=INDEX('[1]Définition Maintenances'!$G:$G,MATCH($A37,'[1]Définition Maintenances'!$K:$K,0)),J37,INDEX('[1]Définition Maintenances'!$G:$G,MATCH($A37,'[1]Définition Maintenances'!$K:$K,0))+J37),J37))</f>
        <v>1169</v>
      </c>
      <c r="L37" s="26">
        <f>IF(ISNUMBER(VLOOKUP($D37,'Visu totale'!$D:$DH,L$1,0)),K37-VLOOKUP($D37,'Visu totale'!$D:$DH,L$1,0),IF(LEFT(VLOOKUP($D37,'Visu totale'!$D:$DH,L$1,0),1)="V",IF(K37&gt;=INDEX('[1]Définition Maintenances'!$G:$G,MATCH($A37,'[1]Définition Maintenances'!$K:$K,0)),K37,INDEX('[1]Définition Maintenances'!$G:$G,MATCH($A37,'[1]Définition Maintenances'!$K:$K,0))+K37),K37))</f>
        <v>1169</v>
      </c>
      <c r="M37" s="26">
        <f>IF(ISNUMBER(VLOOKUP($D37,'Visu totale'!$D:$DH,M$1,0)),L37-VLOOKUP($D37,'Visu totale'!$D:$DH,M$1,0),IF(LEFT(VLOOKUP($D37,'Visu totale'!$D:$DH,M$1,0),1)="V",IF(L37&gt;=INDEX('[1]Définition Maintenances'!$G:$G,MATCH($A37,'[1]Définition Maintenances'!$K:$K,0)),L37,INDEX('[1]Définition Maintenances'!$G:$G,MATCH($A37,'[1]Définition Maintenances'!$K:$K,0))+L37),L37))</f>
        <v>1169</v>
      </c>
      <c r="N37" s="26">
        <f>IF(ISNUMBER(VLOOKUP($D37,'Visu totale'!$D:$DH,N$1,0)),M37-VLOOKUP($D37,'Visu totale'!$D:$DH,N$1,0),IF(LEFT(VLOOKUP($D37,'Visu totale'!$D:$DH,N$1,0),1)="V",IF(M37&gt;=INDEX('[1]Définition Maintenances'!$G:$G,MATCH($A37,'[1]Définition Maintenances'!$K:$K,0)),M37,INDEX('[1]Définition Maintenances'!$G:$G,MATCH($A37,'[1]Définition Maintenances'!$K:$K,0))+M37),M37))</f>
        <v>1169</v>
      </c>
      <c r="O37" s="26">
        <f>IF(ISNUMBER(VLOOKUP($D37,'Visu totale'!$D:$DH,O$1,0)),N37-VLOOKUP($D37,'Visu totale'!$D:$DH,O$1,0),IF(LEFT(VLOOKUP($D37,'Visu totale'!$D:$DH,O$1,0),1)="V",IF(N37&gt;=INDEX('[1]Définition Maintenances'!$G:$G,MATCH($A37,'[1]Définition Maintenances'!$K:$K,0)),N37,INDEX('[1]Définition Maintenances'!$G:$G,MATCH($A37,'[1]Définition Maintenances'!$K:$K,0))+N37),N37))</f>
        <v>1169</v>
      </c>
      <c r="P37" s="26">
        <f>IF(ISNUMBER(VLOOKUP($D37,'Visu totale'!$D:$DH,P$1,0)),O37-VLOOKUP($D37,'Visu totale'!$D:$DH,P$1,0),IF(LEFT(VLOOKUP($D37,'Visu totale'!$D:$DH,P$1,0),1)="V",IF(O37&gt;=INDEX('[1]Définition Maintenances'!$G:$G,MATCH($A37,'[1]Définition Maintenances'!$K:$K,0)),O37,INDEX('[1]Définition Maintenances'!$G:$G,MATCH($A37,'[1]Définition Maintenances'!$K:$K,0))+O37),O37))</f>
        <v>1169</v>
      </c>
      <c r="Q37" s="27">
        <f>IF(ISNUMBER(VLOOKUP($D37,'Visu totale'!$D:$DH,Q$1,0)),P37-VLOOKUP($D37,'Visu totale'!$D:$DH,Q$1,0),IF(LEFT(VLOOKUP($D37,'Visu totale'!$D:$DH,Q$1,0),1)="V",IF(P37&gt;=INDEX('[1]Définition Maintenances'!$G:$G,MATCH($A37,'[1]Définition Maintenances'!$K:$K,0)),P37,INDEX('[1]Définition Maintenances'!$G:$G,MATCH($A37,'[1]Définition Maintenances'!$K:$K,0))+P37),P37))</f>
        <v>1169</v>
      </c>
      <c r="R37" s="25">
        <f>IF(ISNUMBER(VLOOKUP($D37,'Visu totale'!$D:$DH,R$1,0)),Q37-VLOOKUP($D37,'Visu totale'!$D:$DH,R$1,0),IF(LEFT(VLOOKUP($D37,'Visu totale'!$D:$DH,R$1,0),1)="V",IF(Q37&gt;=INDEX('[1]Définition Maintenances'!$G:$G,MATCH($A37,'[1]Définition Maintenances'!$K:$K,0)),Q37,INDEX('[1]Définition Maintenances'!$G:$G,MATCH($A37,'[1]Définition Maintenances'!$K:$K,0))+Q37),Q37))</f>
        <v>1169</v>
      </c>
      <c r="S37" s="26">
        <f>IF(ISNUMBER(VLOOKUP($D37,'Visu totale'!$D:$DH,S$1,0)),R37-VLOOKUP($D37,'Visu totale'!$D:$DH,S$1,0),IF(LEFT(VLOOKUP($D37,'Visu totale'!$D:$DH,S$1,0),1)="V",IF(R37&gt;=INDEX('[1]Définition Maintenances'!$G:$G,MATCH($A37,'[1]Définition Maintenances'!$K:$K,0)),R37,INDEX('[1]Définition Maintenances'!$G:$G,MATCH($A37,'[1]Définition Maintenances'!$K:$K,0))+R37),R37))</f>
        <v>1169</v>
      </c>
      <c r="T37" s="26">
        <f>IF(ISNUMBER(VLOOKUP($D37,'Visu totale'!$D:$DH,T$1,0)),S37-VLOOKUP($D37,'Visu totale'!$D:$DH,T$1,0),IF(LEFT(VLOOKUP($D37,'Visu totale'!$D:$DH,T$1,0),1)="V",IF(S37&gt;=INDEX('[1]Définition Maintenances'!$G:$G,MATCH($A37,'[1]Définition Maintenances'!$K:$K,0)),S37,INDEX('[1]Définition Maintenances'!$G:$G,MATCH($A37,'[1]Définition Maintenances'!$K:$K,0))+S37),S37))</f>
        <v>1169</v>
      </c>
      <c r="U37" s="26">
        <f>IF(ISNUMBER(VLOOKUP($D37,'Visu totale'!$D:$DH,U$1,0)),T37-VLOOKUP($D37,'Visu totale'!$D:$DH,U$1,0),IF(LEFT(VLOOKUP($D37,'Visu totale'!$D:$DH,U$1,0),1)="V",IF(T37&gt;=INDEX('[1]Définition Maintenances'!$G:$G,MATCH($A37,'[1]Définition Maintenances'!$K:$K,0)),T37,INDEX('[1]Définition Maintenances'!$G:$G,MATCH($A37,'[1]Définition Maintenances'!$K:$K,0))+T37),T37))</f>
        <v>1169</v>
      </c>
      <c r="V37" s="26">
        <f>IF(ISNUMBER(VLOOKUP($D37,'Visu totale'!$D:$DH,V$1,0)),U37-VLOOKUP($D37,'Visu totale'!$D:$DH,V$1,0),IF(LEFT(VLOOKUP($D37,'Visu totale'!$D:$DH,V$1,0),1)="V",IF(U37&gt;=INDEX('[1]Définition Maintenances'!$G:$G,MATCH($A37,'[1]Définition Maintenances'!$K:$K,0)),U37,INDEX('[1]Définition Maintenances'!$G:$G,MATCH($A37,'[1]Définition Maintenances'!$K:$K,0))+U37),U37))</f>
        <v>1169</v>
      </c>
      <c r="W37" s="26">
        <f>IF(ISNUMBER(VLOOKUP($D37,'Visu totale'!$D:$DH,W$1,0)),V37-VLOOKUP($D37,'Visu totale'!$D:$DH,W$1,0),IF(LEFT(VLOOKUP($D37,'Visu totale'!$D:$DH,W$1,0),1)="V",IF(V37&gt;=INDEX('[1]Définition Maintenances'!$G:$G,MATCH($A37,'[1]Définition Maintenances'!$K:$K,0)),V37,INDEX('[1]Définition Maintenances'!$G:$G,MATCH($A37,'[1]Définition Maintenances'!$K:$K,0))+V37),V37))</f>
        <v>1169</v>
      </c>
      <c r="X37" s="26">
        <f>IF(ISNUMBER(VLOOKUP($D37,'Visu totale'!$D:$DH,X$1,0)),W37-VLOOKUP($D37,'Visu totale'!$D:$DH,X$1,0),IF(LEFT(VLOOKUP($D37,'Visu totale'!$D:$DH,X$1,0),1)="V",IF(W37&gt;=INDEX('[1]Définition Maintenances'!$G:$G,MATCH($A37,'[1]Définition Maintenances'!$K:$K,0)),W37,INDEX('[1]Définition Maintenances'!$G:$G,MATCH($A37,'[1]Définition Maintenances'!$K:$K,0))+W37),W37))</f>
        <v>1169</v>
      </c>
      <c r="Y37" s="26">
        <f>IF(ISNUMBER(VLOOKUP($D37,'Visu totale'!$D:$DH,Y$1,0)),X37-VLOOKUP($D37,'Visu totale'!$D:$DH,Y$1,0),IF(LEFT(VLOOKUP($D37,'Visu totale'!$D:$DH,Y$1,0),1)="V",IF(X37&gt;=INDEX('[1]Définition Maintenances'!$G:$G,MATCH($A37,'[1]Définition Maintenances'!$K:$K,0)),X37,INDEX('[1]Définition Maintenances'!$G:$G,MATCH($A37,'[1]Définition Maintenances'!$K:$K,0))+X37),X37))</f>
        <v>1169</v>
      </c>
      <c r="Z37" s="26">
        <f>IF(ISNUMBER(VLOOKUP($D37,'Visu totale'!$D:$DH,Z$1,0)),Y37-VLOOKUP($D37,'Visu totale'!$D:$DH,Z$1,0),IF(LEFT(VLOOKUP($D37,'Visu totale'!$D:$DH,Z$1,0),1)="V",IF(Y37&gt;=INDEX('[1]Définition Maintenances'!$G:$G,MATCH($A37,'[1]Définition Maintenances'!$K:$K,0)),Y37,INDEX('[1]Définition Maintenances'!$G:$G,MATCH($A37,'[1]Définition Maintenances'!$K:$K,0))+Y37),Y37))</f>
        <v>1169</v>
      </c>
      <c r="AA37" s="26">
        <f>IF(ISNUMBER(VLOOKUP($D37,'Visu totale'!$D:$DH,AA$1,0)),Z37-VLOOKUP($D37,'Visu totale'!$D:$DH,AA$1,0),IF(LEFT(VLOOKUP($D37,'Visu totale'!$D:$DH,AA$1,0),1)="V",IF(Z37&gt;=INDEX('[1]Définition Maintenances'!$G:$G,MATCH($A37,'[1]Définition Maintenances'!$K:$K,0)),Z37,INDEX('[1]Définition Maintenances'!$G:$G,MATCH($A37,'[1]Définition Maintenances'!$K:$K,0))+Z37),Z37))</f>
        <v>1169</v>
      </c>
      <c r="AB37" s="26">
        <f>IF(ISNUMBER(VLOOKUP($D37,'Visu totale'!$D:$DH,AB$1,0)),AA37-VLOOKUP($D37,'Visu totale'!$D:$DH,AB$1,0),IF(LEFT(VLOOKUP($D37,'Visu totale'!$D:$DH,AB$1,0),1)="V",IF(AA37&gt;=INDEX('[1]Définition Maintenances'!$G:$G,MATCH($A37,'[1]Définition Maintenances'!$K:$K,0)),AA37,INDEX('[1]Définition Maintenances'!$G:$G,MATCH($A37,'[1]Définition Maintenances'!$K:$K,0))+AA37),AA37))</f>
        <v>1169</v>
      </c>
      <c r="AC37" s="27">
        <f>IF(ISNUMBER(VLOOKUP($D37,'Visu totale'!$D:$DH,AC$1,0)),AB37-VLOOKUP($D37,'Visu totale'!$D:$DH,AC$1,0),IF(LEFT(VLOOKUP($D37,'Visu totale'!$D:$DH,AC$1,0),1)="V",IF(AB37&gt;=INDEX('[1]Définition Maintenances'!$G:$G,MATCH($A37,'[1]Définition Maintenances'!$K:$K,0)),AB37,INDEX('[1]Définition Maintenances'!$G:$G,MATCH($A37,'[1]Définition Maintenances'!$K:$K,0))+AB37),AB37))</f>
        <v>1169</v>
      </c>
      <c r="AD37" s="25">
        <f>IF(ISNUMBER(VLOOKUP($D37,'Visu totale'!$D:$DH,AD$1,0)),AC37-VLOOKUP($D37,'Visu totale'!$D:$DH,AD$1,0),IF(LEFT(VLOOKUP($D37,'Visu totale'!$D:$DH,AD$1,0),1)="V",IF(AC37&gt;=INDEX('[1]Définition Maintenances'!$G:$G,MATCH($A37,'[1]Définition Maintenances'!$K:$K,0)),AC37,INDEX('[1]Définition Maintenances'!$G:$G,MATCH($A37,'[1]Définition Maintenances'!$K:$K,0))+AC37),AC37))</f>
        <v>1169</v>
      </c>
      <c r="AE37" s="26">
        <f>IF(ISNUMBER(VLOOKUP($D37,'Visu totale'!$D:$DH,AE$1,0)),AD37-VLOOKUP($D37,'Visu totale'!$D:$DH,AE$1,0),IF(LEFT(VLOOKUP($D37,'Visu totale'!$D:$DH,AE$1,0),1)="V",IF(AD37&gt;=INDEX('[1]Définition Maintenances'!$G:$G,MATCH($A37,'[1]Définition Maintenances'!$K:$K,0)),AD37,INDEX('[1]Définition Maintenances'!$G:$G,MATCH($A37,'[1]Définition Maintenances'!$K:$K,0))+AD37),AD37))</f>
        <v>1169</v>
      </c>
      <c r="AF37" s="26">
        <f>IF(ISNUMBER(VLOOKUP($D37,'Visu totale'!$D:$DH,AF$1,0)),AE37-VLOOKUP($D37,'Visu totale'!$D:$DH,AF$1,0),IF(LEFT(VLOOKUP($D37,'Visu totale'!$D:$DH,AF$1,0),1)="V",IF(AE37&gt;=INDEX('[1]Définition Maintenances'!$G:$G,MATCH($A37,'[1]Définition Maintenances'!$K:$K,0)),AE37,INDEX('[1]Définition Maintenances'!$G:$G,MATCH($A37,'[1]Définition Maintenances'!$K:$K,0))+AE37),AE37))</f>
        <v>1169</v>
      </c>
      <c r="AG37" s="26">
        <f>IF(ISNUMBER(VLOOKUP($D37,'Visu totale'!$D:$DH,AG$1,0)),AF37-VLOOKUP($D37,'Visu totale'!$D:$DH,AG$1,0),IF(LEFT(VLOOKUP($D37,'Visu totale'!$D:$DH,AG$1,0),1)="V",IF(AF37&gt;=INDEX('[1]Définition Maintenances'!$G:$G,MATCH($A37,'[1]Définition Maintenances'!$K:$K,0)),AF37,INDEX('[1]Définition Maintenances'!$G:$G,MATCH($A37,'[1]Définition Maintenances'!$K:$K,0))+AF37),AF37))</f>
        <v>1169</v>
      </c>
      <c r="AH37" s="26">
        <f>IF(ISNUMBER(VLOOKUP($D37,'Visu totale'!$D:$DH,AH$1,0)),AG37-VLOOKUP($D37,'Visu totale'!$D:$DH,AH$1,0),IF(LEFT(VLOOKUP($D37,'Visu totale'!$D:$DH,AH$1,0),1)="V",IF(AG37&gt;=INDEX('[1]Définition Maintenances'!$G:$G,MATCH($A37,'[1]Définition Maintenances'!$K:$K,0)),AG37,INDEX('[1]Définition Maintenances'!$G:$G,MATCH($A37,'[1]Définition Maintenances'!$K:$K,0))+AG37),AG37))</f>
        <v>1169</v>
      </c>
      <c r="AI37" s="26">
        <f>IF(ISNUMBER(VLOOKUP($D37,'Visu totale'!$D:$DH,AI$1,0)),AH37-VLOOKUP($D37,'Visu totale'!$D:$DH,AI$1,0),IF(LEFT(VLOOKUP($D37,'Visu totale'!$D:$DH,AI$1,0),1)="V",IF(AH37&gt;=INDEX('[1]Définition Maintenances'!$G:$G,MATCH($A37,'[1]Définition Maintenances'!$K:$K,0)),AH37,INDEX('[1]Définition Maintenances'!$G:$G,MATCH($A37,'[1]Définition Maintenances'!$K:$K,0))+AH37),AH37))</f>
        <v>1169</v>
      </c>
      <c r="AJ37" s="26">
        <f>IF(ISNUMBER(VLOOKUP($D37,'Visu totale'!$D:$DH,AJ$1,0)),AI37-VLOOKUP($D37,'Visu totale'!$D:$DH,AJ$1,0),IF(LEFT(VLOOKUP($D37,'Visu totale'!$D:$DH,AJ$1,0),1)="V",IF(AI37&gt;=INDEX('[1]Définition Maintenances'!$G:$G,MATCH($A37,'[1]Définition Maintenances'!$K:$K,0)),AI37,INDEX('[1]Définition Maintenances'!$G:$G,MATCH($A37,'[1]Définition Maintenances'!$K:$K,0))+AI37),AI37))</f>
        <v>1169</v>
      </c>
      <c r="AK37" s="26">
        <f>IF(ISNUMBER(VLOOKUP($D37,'Visu totale'!$D:$DH,AK$1,0)),AJ37-VLOOKUP($D37,'Visu totale'!$D:$DH,AK$1,0),IF(LEFT(VLOOKUP($D37,'Visu totale'!$D:$DH,AK$1,0),1)="V",IF(AJ37&gt;=INDEX('[1]Définition Maintenances'!$G:$G,MATCH($A37,'[1]Définition Maintenances'!$K:$K,0)),AJ37,INDEX('[1]Définition Maintenances'!$G:$G,MATCH($A37,'[1]Définition Maintenances'!$K:$K,0))+AJ37),AJ37))</f>
        <v>1169</v>
      </c>
      <c r="AL37" s="26">
        <f>IF(ISNUMBER(VLOOKUP($D37,'Visu totale'!$D:$DH,AL$1,0)),AK37-VLOOKUP($D37,'Visu totale'!$D:$DH,AL$1,0),IF(LEFT(VLOOKUP($D37,'Visu totale'!$D:$DH,AL$1,0),1)="V",IF(AK37&gt;=INDEX('[1]Définition Maintenances'!$G:$G,MATCH($A37,'[1]Définition Maintenances'!$K:$K,0)),AK37,INDEX('[1]Définition Maintenances'!$G:$G,MATCH($A37,'[1]Définition Maintenances'!$K:$K,0))+AK37),AK37))</f>
        <v>1169</v>
      </c>
      <c r="AM37" s="26">
        <f>IF(ISNUMBER(VLOOKUP($D37,'Visu totale'!$D:$DH,AM$1,0)),AL37-VLOOKUP($D37,'Visu totale'!$D:$DH,AM$1,0),IF(LEFT(VLOOKUP($D37,'Visu totale'!$D:$DH,AM$1,0),1)="V",IF(AL37&gt;=INDEX('[1]Définition Maintenances'!$G:$G,MATCH($A37,'[1]Définition Maintenances'!$K:$K,0)),AL37,INDEX('[1]Définition Maintenances'!$G:$G,MATCH($A37,'[1]Définition Maintenances'!$K:$K,0))+AL37),AL37))</f>
        <v>1169</v>
      </c>
      <c r="AN37" s="26">
        <f>IF(ISNUMBER(VLOOKUP($D37,'Visu totale'!$D:$DH,AN$1,0)),AM37-VLOOKUP($D37,'Visu totale'!$D:$DH,AN$1,0),IF(LEFT(VLOOKUP($D37,'Visu totale'!$D:$DH,AN$1,0),1)="V",IF(AM37&gt;=INDEX('[1]Définition Maintenances'!$G:$G,MATCH($A37,'[1]Définition Maintenances'!$K:$K,0)),AM37,INDEX('[1]Définition Maintenances'!$G:$G,MATCH($A37,'[1]Définition Maintenances'!$K:$K,0))+AM37),AM37))</f>
        <v>1169</v>
      </c>
      <c r="AO37" s="27">
        <f>IF(ISNUMBER(VLOOKUP($D37,'Visu totale'!$D:$DH,AO$1,0)),AN37-VLOOKUP($D37,'Visu totale'!$D:$DH,AO$1,0),IF(LEFT(VLOOKUP($D37,'Visu totale'!$D:$DH,AO$1,0),1)="V",IF(AN37&gt;=INDEX('[1]Définition Maintenances'!$G:$G,MATCH($A37,'[1]Définition Maintenances'!$K:$K,0)),AN37,INDEX('[1]Définition Maintenances'!$G:$G,MATCH($A37,'[1]Définition Maintenances'!$K:$K,0))+AN37),AN37))</f>
        <v>1169</v>
      </c>
      <c r="AP37" s="25">
        <f>IF(ISNUMBER(VLOOKUP($D37,'Visu totale'!$D:$DH,AP$1,0)),AO37-VLOOKUP($D37,'Visu totale'!$D:$DH,AP$1,0),IF(LEFT(VLOOKUP($D37,'Visu totale'!$D:$DH,AP$1,0),1)="V",IF(AO37&gt;=INDEX('[1]Définition Maintenances'!$G:$G,MATCH($A37,'[1]Définition Maintenances'!$K:$K,0)),AO37,INDEX('[1]Définition Maintenances'!$G:$G,MATCH($A37,'[1]Définition Maintenances'!$K:$K,0))+AO37),AO37))</f>
        <v>1169</v>
      </c>
      <c r="AQ37" s="26">
        <f>IF(ISNUMBER(VLOOKUP($D37,'Visu totale'!$D:$DH,AQ$1,0)),AP37-VLOOKUP($D37,'Visu totale'!$D:$DH,AQ$1,0),IF(LEFT(VLOOKUP($D37,'Visu totale'!$D:$DH,AQ$1,0),1)="V",IF(AP37&gt;=INDEX('[1]Définition Maintenances'!$G:$G,MATCH($A37,'[1]Définition Maintenances'!$K:$K,0)),AP37,INDEX('[1]Définition Maintenances'!$G:$G,MATCH($A37,'[1]Définition Maintenances'!$K:$K,0))+AP37),AP37))</f>
        <v>1169</v>
      </c>
      <c r="AR37" s="26">
        <f>IF(ISNUMBER(VLOOKUP($D37,'Visu totale'!$D:$DH,AR$1,0)),AQ37-VLOOKUP($D37,'Visu totale'!$D:$DH,AR$1,0),IF(LEFT(VLOOKUP($D37,'Visu totale'!$D:$DH,AR$1,0),1)="V",IF(AQ37&gt;=INDEX('[1]Définition Maintenances'!$G:$G,MATCH($A37,'[1]Définition Maintenances'!$K:$K,0)),AQ37,INDEX('[1]Définition Maintenances'!$G:$G,MATCH($A37,'[1]Définition Maintenances'!$K:$K,0))+AQ37),AQ37))</f>
        <v>1169</v>
      </c>
      <c r="AS37" s="26">
        <f>IF(ISNUMBER(VLOOKUP($D37,'Visu totale'!$D:$DH,AS$1,0)),AR37-VLOOKUP($D37,'Visu totale'!$D:$DH,AS$1,0),IF(LEFT(VLOOKUP($D37,'Visu totale'!$D:$DH,AS$1,0),1)="V",IF(AR37&gt;=INDEX('[1]Définition Maintenances'!$G:$G,MATCH($A37,'[1]Définition Maintenances'!$K:$K,0)),AR37,INDEX('[1]Définition Maintenances'!$G:$G,MATCH($A37,'[1]Définition Maintenances'!$K:$K,0))+AR37),AR37))</f>
        <v>1169</v>
      </c>
      <c r="AT37" s="26">
        <f>IF(ISNUMBER(VLOOKUP($D37,'Visu totale'!$D:$DH,AT$1,0)),AS37-VLOOKUP($D37,'Visu totale'!$D:$DH,AT$1,0),IF(LEFT(VLOOKUP($D37,'Visu totale'!$D:$DH,AT$1,0),1)="V",IF(AS37&gt;=INDEX('[1]Définition Maintenances'!$G:$G,MATCH($A37,'[1]Définition Maintenances'!$K:$K,0)),AS37,INDEX('[1]Définition Maintenances'!$G:$G,MATCH($A37,'[1]Définition Maintenances'!$K:$K,0))+AS37),AS37))</f>
        <v>1169</v>
      </c>
      <c r="AU37" s="26">
        <f>IF(ISNUMBER(VLOOKUP($D37,'Visu totale'!$D:$DH,AU$1,0)),AT37-VLOOKUP($D37,'Visu totale'!$D:$DH,AU$1,0),IF(LEFT(VLOOKUP($D37,'Visu totale'!$D:$DH,AU$1,0),1)="V",IF(AT37&gt;=INDEX('[1]Définition Maintenances'!$G:$G,MATCH($A37,'[1]Définition Maintenances'!$K:$K,0)),AT37,INDEX('[1]Définition Maintenances'!$G:$G,MATCH($A37,'[1]Définition Maintenances'!$K:$K,0))+AT37),AT37))</f>
        <v>1169</v>
      </c>
      <c r="AV37" s="26">
        <f>IF(ISNUMBER(VLOOKUP($D37,'Visu totale'!$D:$DH,AV$1,0)),AU37-VLOOKUP($D37,'Visu totale'!$D:$DH,AV$1,0),IF(LEFT(VLOOKUP($D37,'Visu totale'!$D:$DH,AV$1,0),1)="V",IF(AU37&gt;=INDEX('[1]Définition Maintenances'!$G:$G,MATCH($A37,'[1]Définition Maintenances'!$K:$K,0)),AU37,INDEX('[1]Définition Maintenances'!$G:$G,MATCH($A37,'[1]Définition Maintenances'!$K:$K,0))+AU37),AU37))</f>
        <v>1169</v>
      </c>
      <c r="AW37" s="26">
        <f>IF(ISNUMBER(VLOOKUP($D37,'Visu totale'!$D:$DH,AW$1,0)),AV37-VLOOKUP($D37,'Visu totale'!$D:$DH,AW$1,0),IF(LEFT(VLOOKUP($D37,'Visu totale'!$D:$DH,AW$1,0),1)="V",IF(AV37&gt;=INDEX('[1]Définition Maintenances'!$G:$G,MATCH($A37,'[1]Définition Maintenances'!$K:$K,0)),AV37,INDEX('[1]Définition Maintenances'!$G:$G,MATCH($A37,'[1]Définition Maintenances'!$K:$K,0))+AV37),AV37))</f>
        <v>1169</v>
      </c>
      <c r="AX37" s="26">
        <f>IF(ISNUMBER(VLOOKUP($D37,'Visu totale'!$D:$DH,AX$1,0)),AW37-VLOOKUP($D37,'Visu totale'!$D:$DH,AX$1,0),IF(LEFT(VLOOKUP($D37,'Visu totale'!$D:$DH,AX$1,0),1)="V",IF(AW37&gt;=INDEX('[1]Définition Maintenances'!$G:$G,MATCH($A37,'[1]Définition Maintenances'!$K:$K,0)),AW37,INDEX('[1]Définition Maintenances'!$G:$G,MATCH($A37,'[1]Définition Maintenances'!$K:$K,0))+AW37),AW37))</f>
        <v>1169</v>
      </c>
      <c r="AY37" s="26">
        <f>IF(ISNUMBER(VLOOKUP($D37,'Visu totale'!$D:$DH,AY$1,0)),AX37-VLOOKUP($D37,'Visu totale'!$D:$DH,AY$1,0),IF(LEFT(VLOOKUP($D37,'Visu totale'!$D:$DH,AY$1,0),1)="V",IF(AX37&gt;=INDEX('[1]Définition Maintenances'!$G:$G,MATCH($A37,'[1]Définition Maintenances'!$K:$K,0)),AX37,INDEX('[1]Définition Maintenances'!$G:$G,MATCH($A37,'[1]Définition Maintenances'!$K:$K,0))+AX37),AX37))</f>
        <v>1169</v>
      </c>
      <c r="AZ37" s="26">
        <f>IF(ISNUMBER(VLOOKUP($D37,'Visu totale'!$D:$DH,AZ$1,0)),AY37-VLOOKUP($D37,'Visu totale'!$D:$DH,AZ$1,0),IF(LEFT(VLOOKUP($D37,'Visu totale'!$D:$DH,AZ$1,0),1)="V",IF(AY37&gt;=INDEX('[1]Définition Maintenances'!$G:$G,MATCH($A37,'[1]Définition Maintenances'!$K:$K,0)),AY37,INDEX('[1]Définition Maintenances'!$G:$G,MATCH($A37,'[1]Définition Maintenances'!$K:$K,0))+AY37),AY37))</f>
        <v>1169</v>
      </c>
      <c r="BA37" s="27">
        <f>IF(ISNUMBER(VLOOKUP($D37,'Visu totale'!$D:$DH,BA$1,0)),AZ37-VLOOKUP($D37,'Visu totale'!$D:$DH,BA$1,0),IF(LEFT(VLOOKUP($D37,'Visu totale'!$D:$DH,BA$1,0),1)="V",IF(AZ37&gt;=INDEX('[1]Définition Maintenances'!$G:$G,MATCH($A37,'[1]Définition Maintenances'!$K:$K,0)),AZ37,INDEX('[1]Définition Maintenances'!$G:$G,MATCH($A37,'[1]Définition Maintenances'!$K:$K,0))+AZ37),AZ37))</f>
        <v>1169</v>
      </c>
      <c r="BB37" s="25">
        <f>IF(ISNUMBER(VLOOKUP($D37,'Visu totale'!$D:$DH,BB$1,0)),BA37-VLOOKUP($D37,'Visu totale'!$D:$DH,BB$1,0),IF(LEFT(VLOOKUP($D37,'Visu totale'!$D:$DH,BB$1,0),1)="V",IF(BA37&gt;=INDEX('[1]Définition Maintenances'!$G:$G,MATCH($A37,'[1]Définition Maintenances'!$K:$K,0)),BA37,INDEX('[1]Définition Maintenances'!$G:$G,MATCH($A37,'[1]Définition Maintenances'!$K:$K,0))+BA37),BA37))</f>
        <v>1169</v>
      </c>
      <c r="BC37" s="26">
        <f>IF(ISNUMBER(VLOOKUP($D37,'Visu totale'!$D:$DH,BC$1,0)),BB37-VLOOKUP($D37,'Visu totale'!$D:$DH,BC$1,0),IF(LEFT(VLOOKUP($D37,'Visu totale'!$D:$DH,BC$1,0),1)="V",IF(BB37&gt;=INDEX('[1]Définition Maintenances'!$G:$G,MATCH($A37,'[1]Définition Maintenances'!$K:$K,0)),BB37,INDEX('[1]Définition Maintenances'!$G:$G,MATCH($A37,'[1]Définition Maintenances'!$K:$K,0))+BB37),BB37))</f>
        <v>1169</v>
      </c>
      <c r="BD37" s="26">
        <f>IF(ISNUMBER(VLOOKUP($D37,'Visu totale'!$D:$DH,BD$1,0)),BC37-VLOOKUP($D37,'Visu totale'!$D:$DH,BD$1,0),IF(LEFT(VLOOKUP($D37,'Visu totale'!$D:$DH,BD$1,0),1)="V",IF(BC37&gt;=INDEX('[1]Définition Maintenances'!$G:$G,MATCH($A37,'[1]Définition Maintenances'!$K:$K,0)),BC37,INDEX('[1]Définition Maintenances'!$G:$G,MATCH($A37,'[1]Définition Maintenances'!$K:$K,0))+BC37),BC37))</f>
        <v>1169</v>
      </c>
      <c r="BE37" s="26">
        <f>IF(ISNUMBER(VLOOKUP($D37,'Visu totale'!$D:$DH,BE$1,0)),BD37-VLOOKUP($D37,'Visu totale'!$D:$DH,BE$1,0),IF(LEFT(VLOOKUP($D37,'Visu totale'!$D:$DH,BE$1,0),1)="V",IF(BD37&gt;=INDEX('[1]Définition Maintenances'!$G:$G,MATCH($A37,'[1]Définition Maintenances'!$K:$K,0)),BD37,INDEX('[1]Définition Maintenances'!$G:$G,MATCH($A37,'[1]Définition Maintenances'!$K:$K,0))+BD37),BD37))</f>
        <v>1169</v>
      </c>
      <c r="BF37" s="26">
        <f>IF(ISNUMBER(VLOOKUP($D37,'Visu totale'!$D:$DH,BF$1,0)),BE37-VLOOKUP($D37,'Visu totale'!$D:$DH,BF$1,0),IF(LEFT(VLOOKUP($D37,'Visu totale'!$D:$DH,BF$1,0),1)="V",IF(BE37&gt;=INDEX('[1]Définition Maintenances'!$G:$G,MATCH($A37,'[1]Définition Maintenances'!$K:$K,0)),BE37,INDEX('[1]Définition Maintenances'!$G:$G,MATCH($A37,'[1]Définition Maintenances'!$K:$K,0))+BE37),BE37))</f>
        <v>1169</v>
      </c>
      <c r="BG37" s="26">
        <f>IF(ISNUMBER(VLOOKUP($D37,'Visu totale'!$D:$DH,BG$1,0)),BF37-VLOOKUP($D37,'Visu totale'!$D:$DH,BG$1,0),IF(LEFT(VLOOKUP($D37,'Visu totale'!$D:$DH,BG$1,0),1)="V",IF(BF37&gt;=INDEX('[1]Définition Maintenances'!$G:$G,MATCH($A37,'[1]Définition Maintenances'!$K:$K,0)),BF37,INDEX('[1]Définition Maintenances'!$G:$G,MATCH($A37,'[1]Définition Maintenances'!$K:$K,0))+BF37),BF37))</f>
        <v>1169</v>
      </c>
      <c r="BH37" s="26">
        <f>IF(ISNUMBER(VLOOKUP($D37,'Visu totale'!$D:$DH,BH$1,0)),BG37-VLOOKUP($D37,'Visu totale'!$D:$DH,BH$1,0),IF(LEFT(VLOOKUP($D37,'Visu totale'!$D:$DH,BH$1,0),1)="V",IF(BG37&gt;=INDEX('[1]Définition Maintenances'!$G:$G,MATCH($A37,'[1]Définition Maintenances'!$K:$K,0)),BG37,INDEX('[1]Définition Maintenances'!$G:$G,MATCH($A37,'[1]Définition Maintenances'!$K:$K,0))+BG37),BG37))</f>
        <v>1169</v>
      </c>
      <c r="BI37" s="26">
        <f>IF(ISNUMBER(VLOOKUP($D37,'Visu totale'!$D:$DH,BI$1,0)),BH37-VLOOKUP($D37,'Visu totale'!$D:$DH,BI$1,0),IF(LEFT(VLOOKUP($D37,'Visu totale'!$D:$DH,BI$1,0),1)="V",IF(BH37&gt;=INDEX('[1]Définition Maintenances'!$G:$G,MATCH($A37,'[1]Définition Maintenances'!$K:$K,0)),BH37,INDEX('[1]Définition Maintenances'!$G:$G,MATCH($A37,'[1]Définition Maintenances'!$K:$K,0))+BH37),BH37))</f>
        <v>1169</v>
      </c>
      <c r="BJ37" s="26">
        <f>IF(ISNUMBER(VLOOKUP($D37,'Visu totale'!$D:$DH,BJ$1,0)),BI37-VLOOKUP($D37,'Visu totale'!$D:$DH,BJ$1,0),IF(LEFT(VLOOKUP($D37,'Visu totale'!$D:$DH,BJ$1,0),1)="V",IF(BI37&gt;=INDEX('[1]Définition Maintenances'!$G:$G,MATCH($A37,'[1]Définition Maintenances'!$K:$K,0)),BI37,INDEX('[1]Définition Maintenances'!$G:$G,MATCH($A37,'[1]Définition Maintenances'!$K:$K,0))+BI37),BI37))</f>
        <v>1169</v>
      </c>
      <c r="BK37" s="26">
        <f>IF(ISNUMBER(VLOOKUP($D37,'Visu totale'!$D:$DH,BK$1,0)),BJ37-VLOOKUP($D37,'Visu totale'!$D:$DH,BK$1,0),IF(LEFT(VLOOKUP($D37,'Visu totale'!$D:$DH,BK$1,0),1)="V",IF(BJ37&gt;=INDEX('[1]Définition Maintenances'!$G:$G,MATCH($A37,'[1]Définition Maintenances'!$K:$K,0)),BJ37,INDEX('[1]Définition Maintenances'!$G:$G,MATCH($A37,'[1]Définition Maintenances'!$K:$K,0))+BJ37),BJ37))</f>
        <v>1169</v>
      </c>
      <c r="BL37" s="26">
        <f>IF(ISNUMBER(VLOOKUP($D37,'Visu totale'!$D:$DH,BL$1,0)),BK37-VLOOKUP($D37,'Visu totale'!$D:$DH,BL$1,0),IF(LEFT(VLOOKUP($D37,'Visu totale'!$D:$DH,BL$1,0),1)="V",IF(BK37&gt;=INDEX('[1]Définition Maintenances'!$G:$G,MATCH($A37,'[1]Définition Maintenances'!$K:$K,0)),BK37,INDEX('[1]Définition Maintenances'!$G:$G,MATCH($A37,'[1]Définition Maintenances'!$K:$K,0))+BK37),BK37))</f>
        <v>1169</v>
      </c>
      <c r="BM37" s="27">
        <f>IF(ISNUMBER(VLOOKUP($D37,'Visu totale'!$D:$DH,BM$1,0)),BL37-VLOOKUP($D37,'Visu totale'!$D:$DH,BM$1,0),IF(LEFT(VLOOKUP($D37,'Visu totale'!$D:$DH,BM$1,0),1)="V",IF(BL37&gt;=INDEX('[1]Définition Maintenances'!$G:$G,MATCH($A37,'[1]Définition Maintenances'!$K:$K,0)),BL37,INDEX('[1]Définition Maintenances'!$G:$G,MATCH($A37,'[1]Définition Maintenances'!$K:$K,0))+BL37),BL37))</f>
        <v>1169</v>
      </c>
      <c r="BN37" s="25">
        <f>IF(ISNUMBER(VLOOKUP($D37,'Visu totale'!$D:$DH,BN$1,0)),BM37-VLOOKUP($D37,'Visu totale'!$D:$DH,BN$1,0),IF(LEFT(VLOOKUP($D37,'Visu totale'!$D:$DH,BN$1,0),1)="V",IF(BM37&gt;=INDEX('[1]Définition Maintenances'!$G:$G,MATCH($A37,'[1]Définition Maintenances'!$K:$K,0)),BM37,INDEX('[1]Définition Maintenances'!$G:$G,MATCH($A37,'[1]Définition Maintenances'!$K:$K,0))+BM37),BM37))</f>
        <v>1169</v>
      </c>
      <c r="BO37" s="26">
        <f>IF(ISNUMBER(VLOOKUP($D37,'Visu totale'!$D:$DH,BO$1,0)),BN37-VLOOKUP($D37,'Visu totale'!$D:$DH,BO$1,0),IF(LEFT(VLOOKUP($D37,'Visu totale'!$D:$DH,BO$1,0),1)="V",IF(BN37&gt;=INDEX('[1]Définition Maintenances'!$G:$G,MATCH($A37,'[1]Définition Maintenances'!$K:$K,0)),BN37,INDEX('[1]Définition Maintenances'!$G:$G,MATCH($A37,'[1]Définition Maintenances'!$K:$K,0))+BN37),BN37))</f>
        <v>1169</v>
      </c>
      <c r="BP37" s="26">
        <f>IF(ISNUMBER(VLOOKUP($D37,'Visu totale'!$D:$DH,BP$1,0)),BO37-VLOOKUP($D37,'Visu totale'!$D:$DH,BP$1,0),IF(LEFT(VLOOKUP($D37,'Visu totale'!$D:$DH,BP$1,0),1)="V",IF(BO37&gt;=INDEX('[1]Définition Maintenances'!$G:$G,MATCH($A37,'[1]Définition Maintenances'!$K:$K,0)),BO37,INDEX('[1]Définition Maintenances'!$G:$G,MATCH($A37,'[1]Définition Maintenances'!$K:$K,0))+BO37),BO37))</f>
        <v>1169</v>
      </c>
      <c r="BQ37" s="26">
        <f>IF(ISNUMBER(VLOOKUP($D37,'Visu totale'!$D:$DH,BQ$1,0)),BP37-VLOOKUP($D37,'Visu totale'!$D:$DH,BQ$1,0),IF(LEFT(VLOOKUP($D37,'Visu totale'!$D:$DH,BQ$1,0),1)="V",IF(BP37&gt;=INDEX('[1]Définition Maintenances'!$G:$G,MATCH($A37,'[1]Définition Maintenances'!$K:$K,0)),BP37,INDEX('[1]Définition Maintenances'!$G:$G,MATCH($A37,'[1]Définition Maintenances'!$K:$K,0))+BP37),BP37))</f>
        <v>1169</v>
      </c>
      <c r="BR37" s="26">
        <f>IF(ISNUMBER(VLOOKUP($D37,'Visu totale'!$D:$DH,BR$1,0)),BQ37-VLOOKUP($D37,'Visu totale'!$D:$DH,BR$1,0),IF(LEFT(VLOOKUP($D37,'Visu totale'!$D:$DH,BR$1,0),1)="V",IF(BQ37&gt;=INDEX('[1]Définition Maintenances'!$G:$G,MATCH($A37,'[1]Définition Maintenances'!$K:$K,0)),BQ37,INDEX('[1]Définition Maintenances'!$G:$G,MATCH($A37,'[1]Définition Maintenances'!$K:$K,0))+BQ37),BQ37))</f>
        <v>1169</v>
      </c>
      <c r="BS37" s="26">
        <f>IF(ISNUMBER(VLOOKUP($D37,'Visu totale'!$D:$DH,BS$1,0)),BR37-VLOOKUP($D37,'Visu totale'!$D:$DH,BS$1,0),IF(LEFT(VLOOKUP($D37,'Visu totale'!$D:$DH,BS$1,0),1)="V",IF(BR37&gt;=INDEX('[1]Définition Maintenances'!$G:$G,MATCH($A37,'[1]Définition Maintenances'!$K:$K,0)),BR37,INDEX('[1]Définition Maintenances'!$G:$G,MATCH($A37,'[1]Définition Maintenances'!$K:$K,0))+BR37),BR37))</f>
        <v>1169</v>
      </c>
      <c r="BT37" s="26">
        <f>IF(ISNUMBER(VLOOKUP($D37,'Visu totale'!$D:$DH,BT$1,0)),BS37-VLOOKUP($D37,'Visu totale'!$D:$DH,BT$1,0),IF(LEFT(VLOOKUP($D37,'Visu totale'!$D:$DH,BT$1,0),1)="V",IF(BS37&gt;=INDEX('[1]Définition Maintenances'!$G:$G,MATCH($A37,'[1]Définition Maintenances'!$K:$K,0)),BS37,INDEX('[1]Définition Maintenances'!$G:$G,MATCH($A37,'[1]Définition Maintenances'!$K:$K,0))+BS37),BS37))</f>
        <v>1169</v>
      </c>
      <c r="BU37" s="26">
        <f>IF(ISNUMBER(VLOOKUP($D37,'Visu totale'!$D:$DH,BU$1,0)),BT37-VLOOKUP($D37,'Visu totale'!$D:$DH,BU$1,0),IF(LEFT(VLOOKUP($D37,'Visu totale'!$D:$DH,BU$1,0),1)="V",IF(BT37&gt;=INDEX('[1]Définition Maintenances'!$G:$G,MATCH($A37,'[1]Définition Maintenances'!$K:$K,0)),BT37,INDEX('[1]Définition Maintenances'!$G:$G,MATCH($A37,'[1]Définition Maintenances'!$K:$K,0))+BT37),BT37))</f>
        <v>1169</v>
      </c>
      <c r="BV37" s="26">
        <f>IF(ISNUMBER(VLOOKUP($D37,'Visu totale'!$D:$DH,BV$1,0)),BU37-VLOOKUP($D37,'Visu totale'!$D:$DH,BV$1,0),IF(LEFT(VLOOKUP($D37,'Visu totale'!$D:$DH,BV$1,0),1)="V",IF(BU37&gt;=INDEX('[1]Définition Maintenances'!$G:$G,MATCH($A37,'[1]Définition Maintenances'!$K:$K,0)),BU37,INDEX('[1]Définition Maintenances'!$G:$G,MATCH($A37,'[1]Définition Maintenances'!$K:$K,0))+BU37),BU37))</f>
        <v>1169</v>
      </c>
      <c r="BW37" s="26">
        <f>IF(ISNUMBER(VLOOKUP($D37,'Visu totale'!$D:$DH,BW$1,0)),BV37-VLOOKUP($D37,'Visu totale'!$D:$DH,BW$1,0),IF(LEFT(VLOOKUP($D37,'Visu totale'!$D:$DH,BW$1,0),1)="V",IF(BV37&gt;=INDEX('[1]Définition Maintenances'!$G:$G,MATCH($A37,'[1]Définition Maintenances'!$K:$K,0)),BV37,INDEX('[1]Définition Maintenances'!$G:$G,MATCH($A37,'[1]Définition Maintenances'!$K:$K,0))+BV37),BV37))</f>
        <v>1169</v>
      </c>
      <c r="BX37" s="26">
        <f>IF(ISNUMBER(VLOOKUP($D37,'Visu totale'!$D:$DH,BX$1,0)),BW37-VLOOKUP($D37,'Visu totale'!$D:$DH,BX$1,0),IF(LEFT(VLOOKUP($D37,'Visu totale'!$D:$DH,BX$1,0),1)="V",IF(BW37&gt;=INDEX('[1]Définition Maintenances'!$G:$G,MATCH($A37,'[1]Définition Maintenances'!$K:$K,0)),BW37,INDEX('[1]Définition Maintenances'!$G:$G,MATCH($A37,'[1]Définition Maintenances'!$K:$K,0))+BW37),BW37))</f>
        <v>1169</v>
      </c>
      <c r="BY37" s="27">
        <f>IF(ISNUMBER(VLOOKUP($D37,'Visu totale'!$D:$DH,BY$1,0)),BX37-VLOOKUP($D37,'Visu totale'!$D:$DH,BY$1,0),IF(LEFT(VLOOKUP($D37,'Visu totale'!$D:$DH,BY$1,0),1)="V",IF(BX37&gt;=INDEX('[1]Définition Maintenances'!$G:$G,MATCH($A37,'[1]Définition Maintenances'!$K:$K,0)),BX37,INDEX('[1]Définition Maintenances'!$G:$G,MATCH($A37,'[1]Définition Maintenances'!$K:$K,0))+BX37),BX37))</f>
        <v>1169</v>
      </c>
      <c r="BZ37" s="25">
        <f>IF(ISNUMBER(VLOOKUP($D37,'Visu totale'!$D:$DH,BZ$1,0)),BY37-VLOOKUP($D37,'Visu totale'!$D:$DH,BZ$1,0),IF(LEFT(VLOOKUP($D37,'Visu totale'!$D:$DH,BZ$1,0),1)="V",IF(BY37&gt;=INDEX('[1]Définition Maintenances'!$G:$G,MATCH($A37,'[1]Définition Maintenances'!$K:$K,0)),BY37,INDEX('[1]Définition Maintenances'!$G:$G,MATCH($A37,'[1]Définition Maintenances'!$K:$K,0))+BY37),BY37))</f>
        <v>1169</v>
      </c>
      <c r="CA37" s="26">
        <f>IF(ISNUMBER(VLOOKUP($D37,'Visu totale'!$D:$DH,CA$1,0)),BZ37-VLOOKUP($D37,'Visu totale'!$D:$DH,CA$1,0),IF(LEFT(VLOOKUP($D37,'Visu totale'!$D:$DH,CA$1,0),1)="V",IF(BZ37&gt;=INDEX('[1]Définition Maintenances'!$G:$G,MATCH($A37,'[1]Définition Maintenances'!$K:$K,0)),BZ37,INDEX('[1]Définition Maintenances'!$G:$G,MATCH($A37,'[1]Définition Maintenances'!$K:$K,0))+BZ37),BZ37))</f>
        <v>1169</v>
      </c>
      <c r="CB37" s="26">
        <f>IF(ISNUMBER(VLOOKUP($D37,'Visu totale'!$D:$DH,CB$1,0)),CA37-VLOOKUP($D37,'Visu totale'!$D:$DH,CB$1,0),IF(LEFT(VLOOKUP($D37,'Visu totale'!$D:$DH,CB$1,0),1)="V",IF(CA37&gt;=INDEX('[1]Définition Maintenances'!$G:$G,MATCH($A37,'[1]Définition Maintenances'!$K:$K,0)),CA37,INDEX('[1]Définition Maintenances'!$G:$G,MATCH($A37,'[1]Définition Maintenances'!$K:$K,0))+CA37),CA37))</f>
        <v>1169</v>
      </c>
      <c r="CC37" s="26">
        <f>IF(ISNUMBER(VLOOKUP($D37,'Visu totale'!$D:$DH,CC$1,0)),CB37-VLOOKUP($D37,'Visu totale'!$D:$DH,CC$1,0),IF(LEFT(VLOOKUP($D37,'Visu totale'!$D:$DH,CC$1,0),1)="V",IF(CB37&gt;=INDEX('[1]Définition Maintenances'!$G:$G,MATCH($A37,'[1]Définition Maintenances'!$K:$K,0)),CB37,INDEX('[1]Définition Maintenances'!$G:$G,MATCH($A37,'[1]Définition Maintenances'!$K:$K,0))+CB37),CB37))</f>
        <v>1169</v>
      </c>
      <c r="CD37" s="26">
        <f>IF(ISNUMBER(VLOOKUP($D37,'Visu totale'!$D:$DH,CD$1,0)),CC37-VLOOKUP($D37,'Visu totale'!$D:$DH,CD$1,0),IF(LEFT(VLOOKUP($D37,'Visu totale'!$D:$DH,CD$1,0),1)="V",IF(CC37&gt;=INDEX('[1]Définition Maintenances'!$G:$G,MATCH($A37,'[1]Définition Maintenances'!$K:$K,0)),CC37,INDEX('[1]Définition Maintenances'!$G:$G,MATCH($A37,'[1]Définition Maintenances'!$K:$K,0))+CC37),CC37))</f>
        <v>1169</v>
      </c>
      <c r="CE37" s="26">
        <f>IF(ISNUMBER(VLOOKUP($D37,'Visu totale'!$D:$DH,CE$1,0)),CD37-VLOOKUP($D37,'Visu totale'!$D:$DH,CE$1,0),IF(LEFT(VLOOKUP($D37,'Visu totale'!$D:$DH,CE$1,0),1)="V",IF(CD37&gt;=INDEX('[1]Définition Maintenances'!$G:$G,MATCH($A37,'[1]Définition Maintenances'!$K:$K,0)),CD37,INDEX('[1]Définition Maintenances'!$G:$G,MATCH($A37,'[1]Définition Maintenances'!$K:$K,0))+CD37),CD37))</f>
        <v>1169</v>
      </c>
      <c r="CF37" s="26">
        <f>IF(ISNUMBER(VLOOKUP($D37,'Visu totale'!$D:$DH,CF$1,0)),CE37-VLOOKUP($D37,'Visu totale'!$D:$DH,CF$1,0),IF(LEFT(VLOOKUP($D37,'Visu totale'!$D:$DH,CF$1,0),1)="V",IF(CE37&gt;=INDEX('[1]Définition Maintenances'!$G:$G,MATCH($A37,'[1]Définition Maintenances'!$K:$K,0)),CE37,INDEX('[1]Définition Maintenances'!$G:$G,MATCH($A37,'[1]Définition Maintenances'!$K:$K,0))+CE37),CE37))</f>
        <v>1169</v>
      </c>
      <c r="CG37" s="26">
        <f>IF(ISNUMBER(VLOOKUP($D37,'Visu totale'!$D:$DH,CG$1,0)),CF37-VLOOKUP($D37,'Visu totale'!$D:$DH,CG$1,0),IF(LEFT(VLOOKUP($D37,'Visu totale'!$D:$DH,CG$1,0),1)="V",IF(CF37&gt;=INDEX('[1]Définition Maintenances'!$G:$G,MATCH($A37,'[1]Définition Maintenances'!$K:$K,0)),CF37,INDEX('[1]Définition Maintenances'!$G:$G,MATCH($A37,'[1]Définition Maintenances'!$K:$K,0))+CF37),CF37))</f>
        <v>1169</v>
      </c>
      <c r="CH37" s="26">
        <f>IF(ISNUMBER(VLOOKUP($D37,'Visu totale'!$D:$DH,CH$1,0)),CG37-VLOOKUP($D37,'Visu totale'!$D:$DH,CH$1,0),IF(LEFT(VLOOKUP($D37,'Visu totale'!$D:$DH,CH$1,0),1)="V",IF(CG37&gt;=INDEX('[1]Définition Maintenances'!$G:$G,MATCH($A37,'[1]Définition Maintenances'!$K:$K,0)),CG37,INDEX('[1]Définition Maintenances'!$G:$G,MATCH($A37,'[1]Définition Maintenances'!$K:$K,0))+CG37),CG37))</f>
        <v>1169</v>
      </c>
      <c r="CI37" s="26">
        <f>IF(ISNUMBER(VLOOKUP($D37,'Visu totale'!$D:$DH,CI$1,0)),CH37-VLOOKUP($D37,'Visu totale'!$D:$DH,CI$1,0),IF(LEFT(VLOOKUP($D37,'Visu totale'!$D:$DH,CI$1,0),1)="V",IF(CH37&gt;=INDEX('[1]Définition Maintenances'!$G:$G,MATCH($A37,'[1]Définition Maintenances'!$K:$K,0)),CH37,INDEX('[1]Définition Maintenances'!$G:$G,MATCH($A37,'[1]Définition Maintenances'!$K:$K,0))+CH37),CH37))</f>
        <v>1169</v>
      </c>
      <c r="CJ37" s="26">
        <f>IF(ISNUMBER(VLOOKUP($D37,'Visu totale'!$D:$DH,CJ$1,0)),CI37-VLOOKUP($D37,'Visu totale'!$D:$DH,CJ$1,0),IF(LEFT(VLOOKUP($D37,'Visu totale'!$D:$DH,CJ$1,0),1)="V",IF(CI37&gt;=INDEX('[1]Définition Maintenances'!$G:$G,MATCH($A37,'[1]Définition Maintenances'!$K:$K,0)),CI37,INDEX('[1]Définition Maintenances'!$G:$G,MATCH($A37,'[1]Définition Maintenances'!$K:$K,0))+CI37),CI37))</f>
        <v>1169</v>
      </c>
      <c r="CK37" s="27">
        <f>IF(ISNUMBER(VLOOKUP($D37,'Visu totale'!$D:$DH,CK$1,0)),CJ37-VLOOKUP($D37,'Visu totale'!$D:$DH,CK$1,0),IF(LEFT(VLOOKUP($D37,'Visu totale'!$D:$DH,CK$1,0),1)="V",IF(CJ37&gt;=INDEX('[1]Définition Maintenances'!$G:$G,MATCH($A37,'[1]Définition Maintenances'!$K:$K,0)),CJ37,INDEX('[1]Définition Maintenances'!$G:$G,MATCH($A37,'[1]Définition Maintenances'!$K:$K,0))+CJ37),CJ37))</f>
        <v>1169</v>
      </c>
      <c r="CL37" s="25">
        <f>IF(ISNUMBER(VLOOKUP($D37,'Visu totale'!$D:$DH,CL$1,0)),CK37-VLOOKUP($D37,'Visu totale'!$D:$DH,CL$1,0),IF(LEFT(VLOOKUP($D37,'Visu totale'!$D:$DH,CL$1,0),1)="V",IF(CK37&gt;=INDEX('[1]Définition Maintenances'!$G:$G,MATCH($A37,'[1]Définition Maintenances'!$K:$K,0)),CK37,INDEX('[1]Définition Maintenances'!$G:$G,MATCH($A37,'[1]Définition Maintenances'!$K:$K,0))+CK37),CK37))</f>
        <v>1169</v>
      </c>
      <c r="CM37" s="26">
        <f>IF(ISNUMBER(VLOOKUP($D37,'Visu totale'!$D:$DH,CM$1,0)),CL37-VLOOKUP($D37,'Visu totale'!$D:$DH,CM$1,0),IF(LEFT(VLOOKUP($D37,'Visu totale'!$D:$DH,CM$1,0),1)="V",IF(CL37&gt;=INDEX('[1]Définition Maintenances'!$G:$G,MATCH($A37,'[1]Définition Maintenances'!$K:$K,0)),CL37,INDEX('[1]Définition Maintenances'!$G:$G,MATCH($A37,'[1]Définition Maintenances'!$K:$K,0))+CL37),CL37))</f>
        <v>1169</v>
      </c>
      <c r="CN37" s="26">
        <f>IF(ISNUMBER(VLOOKUP($D37,'Visu totale'!$D:$DH,CN$1,0)),CM37-VLOOKUP($D37,'Visu totale'!$D:$DH,CN$1,0),IF(LEFT(VLOOKUP($D37,'Visu totale'!$D:$DH,CN$1,0),1)="V",IF(CM37&gt;=INDEX('[1]Définition Maintenances'!$G:$G,MATCH($A37,'[1]Définition Maintenances'!$K:$K,0)),CM37,INDEX('[1]Définition Maintenances'!$G:$G,MATCH($A37,'[1]Définition Maintenances'!$K:$K,0))+CM37),CM37))</f>
        <v>1169</v>
      </c>
      <c r="CO37" s="26">
        <f>IF(ISNUMBER(VLOOKUP($D37,'Visu totale'!$D:$DH,CO$1,0)),CN37-VLOOKUP($D37,'Visu totale'!$D:$DH,CO$1,0),IF(LEFT(VLOOKUP($D37,'Visu totale'!$D:$DH,CO$1,0),1)="V",IF(CN37&gt;=INDEX('[1]Définition Maintenances'!$G:$G,MATCH($A37,'[1]Définition Maintenances'!$K:$K,0)),CN37,INDEX('[1]Définition Maintenances'!$G:$G,MATCH($A37,'[1]Définition Maintenances'!$K:$K,0))+CN37),CN37))</f>
        <v>1169</v>
      </c>
      <c r="CP37" s="26">
        <f>IF(ISNUMBER(VLOOKUP($D37,'Visu totale'!$D:$DH,CP$1,0)),CO37-VLOOKUP($D37,'Visu totale'!$D:$DH,CP$1,0),IF(LEFT(VLOOKUP($D37,'Visu totale'!$D:$DH,CP$1,0),1)="V",IF(CO37&gt;=INDEX('[1]Définition Maintenances'!$G:$G,MATCH($A37,'[1]Définition Maintenances'!$K:$K,0)),CO37,INDEX('[1]Définition Maintenances'!$G:$G,MATCH($A37,'[1]Définition Maintenances'!$K:$K,0))+CO37),CO37))</f>
        <v>1169</v>
      </c>
      <c r="CQ37" s="26">
        <f>IF(ISNUMBER(VLOOKUP($D37,'Visu totale'!$D:$DH,CQ$1,0)),CP37-VLOOKUP($D37,'Visu totale'!$D:$DH,CQ$1,0),IF(LEFT(VLOOKUP($D37,'Visu totale'!$D:$DH,CQ$1,0),1)="V",IF(CP37&gt;=INDEX('[1]Définition Maintenances'!$G:$G,MATCH($A37,'[1]Définition Maintenances'!$K:$K,0)),CP37,INDEX('[1]Définition Maintenances'!$G:$G,MATCH($A37,'[1]Définition Maintenances'!$K:$K,0))+CP37),CP37))</f>
        <v>1169</v>
      </c>
      <c r="CR37" s="26">
        <f>IF(ISNUMBER(VLOOKUP($D37,'Visu totale'!$D:$DH,CR$1,0)),CQ37-VLOOKUP($D37,'Visu totale'!$D:$DH,CR$1,0),IF(LEFT(VLOOKUP($D37,'Visu totale'!$D:$DH,CR$1,0),1)="V",IF(CQ37&gt;=INDEX('[1]Définition Maintenances'!$G:$G,MATCH($A37,'[1]Définition Maintenances'!$K:$K,0)),CQ37,INDEX('[1]Définition Maintenances'!$G:$G,MATCH($A37,'[1]Définition Maintenances'!$K:$K,0))+CQ37),CQ37))</f>
        <v>1169</v>
      </c>
      <c r="CS37" s="26">
        <f>IF(ISNUMBER(VLOOKUP($D37,'Visu totale'!$D:$DH,CS$1,0)),CR37-VLOOKUP($D37,'Visu totale'!$D:$DH,CS$1,0),IF(LEFT(VLOOKUP($D37,'Visu totale'!$D:$DH,CS$1,0),1)="V",IF(CR37&gt;=INDEX('[1]Définition Maintenances'!$G:$G,MATCH($A37,'[1]Définition Maintenances'!$K:$K,0)),CR37,INDEX('[1]Définition Maintenances'!$G:$G,MATCH($A37,'[1]Définition Maintenances'!$K:$K,0))+CR37),CR37))</f>
        <v>1169</v>
      </c>
      <c r="CT37" s="26">
        <f>IF(ISNUMBER(VLOOKUP($D37,'Visu totale'!$D:$DH,CT$1,0)),CS37-VLOOKUP($D37,'Visu totale'!$D:$DH,CT$1,0),IF(LEFT(VLOOKUP($D37,'Visu totale'!$D:$DH,CT$1,0),1)="V",IF(CS37&gt;=INDEX('[1]Définition Maintenances'!$G:$G,MATCH($A37,'[1]Définition Maintenances'!$K:$K,0)),CS37,INDEX('[1]Définition Maintenances'!$G:$G,MATCH($A37,'[1]Définition Maintenances'!$K:$K,0))+CS37),CS37))</f>
        <v>1169</v>
      </c>
      <c r="CU37" s="26">
        <f>IF(ISNUMBER(VLOOKUP($D37,'Visu totale'!$D:$DH,CU$1,0)),CT37-VLOOKUP($D37,'Visu totale'!$D:$DH,CU$1,0),IF(LEFT(VLOOKUP($D37,'Visu totale'!$D:$DH,CU$1,0),1)="V",IF(CT37&gt;=INDEX('[1]Définition Maintenances'!$G:$G,MATCH($A37,'[1]Définition Maintenances'!$K:$K,0)),CT37,INDEX('[1]Définition Maintenances'!$G:$G,MATCH($A37,'[1]Définition Maintenances'!$K:$K,0))+CT37),CT37))</f>
        <v>1169</v>
      </c>
      <c r="CV37" s="26">
        <f>IF(ISNUMBER(VLOOKUP($D37,'Visu totale'!$D:$DH,CV$1,0)),CU37-VLOOKUP($D37,'Visu totale'!$D:$DH,CV$1,0),IF(LEFT(VLOOKUP($D37,'Visu totale'!$D:$DH,CV$1,0),1)="V",IF(CU37&gt;=INDEX('[1]Définition Maintenances'!$G:$G,MATCH($A37,'[1]Définition Maintenances'!$K:$K,0)),CU37,INDEX('[1]Définition Maintenances'!$G:$G,MATCH($A37,'[1]Définition Maintenances'!$K:$K,0))+CU37),CU37))</f>
        <v>1169</v>
      </c>
      <c r="CW37" s="27">
        <f>IF(ISNUMBER(VLOOKUP($D37,'Visu totale'!$D:$DH,CW$1,0)),CV37-VLOOKUP($D37,'Visu totale'!$D:$DH,CW$1,0),IF(LEFT(VLOOKUP($D37,'Visu totale'!$D:$DH,CW$1,0),1)="V",IF(CV37&gt;=INDEX('[1]Définition Maintenances'!$G:$G,MATCH($A37,'[1]Définition Maintenances'!$K:$K,0)),CV37,INDEX('[1]Définition Maintenances'!$G:$G,MATCH($A37,'[1]Définition Maintenances'!$K:$K,0))+CV37),CV37))</f>
        <v>1169</v>
      </c>
      <c r="CX37" s="25">
        <f>IF(ISNUMBER(VLOOKUP($D37,'Visu totale'!$D:$DH,CX$1,0)),CW37-VLOOKUP($D37,'Visu totale'!$D:$DH,CX$1,0),IF(LEFT(VLOOKUP($D37,'Visu totale'!$D:$DH,CX$1,0),1)="V",IF(CW37&gt;=INDEX('[1]Définition Maintenances'!$G:$G,MATCH($A37,'[1]Définition Maintenances'!$K:$K,0)),CW37,INDEX('[1]Définition Maintenances'!$G:$G,MATCH($A37,'[1]Définition Maintenances'!$K:$K,0))+CW37),CW37))</f>
        <v>1169</v>
      </c>
      <c r="CY37" s="26">
        <f>IF(ISNUMBER(VLOOKUP($D37,'Visu totale'!$D:$DH,CY$1,0)),CX37-VLOOKUP($D37,'Visu totale'!$D:$DH,CY$1,0),IF(LEFT(VLOOKUP($D37,'Visu totale'!$D:$DH,CY$1,0),1)="V",IF(CX37&gt;=INDEX('[1]Définition Maintenances'!$G:$G,MATCH($A37,'[1]Définition Maintenances'!$K:$K,0)),CX37,INDEX('[1]Définition Maintenances'!$G:$G,MATCH($A37,'[1]Définition Maintenances'!$K:$K,0))+CX37),CX37))</f>
        <v>1169</v>
      </c>
      <c r="CZ37" s="26">
        <f>IF(ISNUMBER(VLOOKUP($D37,'Visu totale'!$D:$DH,CZ$1,0)),CY37-VLOOKUP($D37,'Visu totale'!$D:$DH,CZ$1,0),IF(LEFT(VLOOKUP($D37,'Visu totale'!$D:$DH,CZ$1,0),1)="V",IF(CY37&gt;=INDEX('[1]Définition Maintenances'!$G:$G,MATCH($A37,'[1]Définition Maintenances'!$K:$K,0)),CY37,INDEX('[1]Définition Maintenances'!$G:$G,MATCH($A37,'[1]Définition Maintenances'!$K:$K,0))+CY37),CY37))</f>
        <v>1169</v>
      </c>
      <c r="DA37" s="26">
        <f>IF(ISNUMBER(VLOOKUP($D37,'Visu totale'!$D:$DH,DA$1,0)),CZ37-VLOOKUP($D37,'Visu totale'!$D:$DH,DA$1,0),IF(LEFT(VLOOKUP($D37,'Visu totale'!$D:$DH,DA$1,0),1)="V",IF(CZ37&gt;=INDEX('[1]Définition Maintenances'!$G:$G,MATCH($A37,'[1]Définition Maintenances'!$K:$K,0)),CZ37,INDEX('[1]Définition Maintenances'!$G:$G,MATCH($A37,'[1]Définition Maintenances'!$K:$K,0))+CZ37),CZ37))</f>
        <v>1169</v>
      </c>
      <c r="DB37" s="26">
        <f>IF(ISNUMBER(VLOOKUP($D37,'Visu totale'!$D:$DH,DB$1,0)),DA37-VLOOKUP($D37,'Visu totale'!$D:$DH,DB$1,0),IF(LEFT(VLOOKUP($D37,'Visu totale'!$D:$DH,DB$1,0),1)="V",IF(DA37&gt;=INDEX('[1]Définition Maintenances'!$G:$G,MATCH($A37,'[1]Définition Maintenances'!$K:$K,0)),DA37,INDEX('[1]Définition Maintenances'!$G:$G,MATCH($A37,'[1]Définition Maintenances'!$K:$K,0))+DA37),DA37))</f>
        <v>1169</v>
      </c>
      <c r="DC37" s="26">
        <f>IF(ISNUMBER(VLOOKUP($D37,'Visu totale'!$D:$DH,DC$1,0)),DB37-VLOOKUP($D37,'Visu totale'!$D:$DH,DC$1,0),IF(LEFT(VLOOKUP($D37,'Visu totale'!$D:$DH,DC$1,0),1)="V",IF(DB37&gt;=INDEX('[1]Définition Maintenances'!$G:$G,MATCH($A37,'[1]Définition Maintenances'!$K:$K,0)),DB37,INDEX('[1]Définition Maintenances'!$G:$G,MATCH($A37,'[1]Définition Maintenances'!$K:$K,0))+DB37),DB37))</f>
        <v>1169</v>
      </c>
      <c r="DD37" s="26">
        <f>IF(ISNUMBER(VLOOKUP($D37,'Visu totale'!$D:$DH,DD$1,0)),DC37-VLOOKUP($D37,'Visu totale'!$D:$DH,DD$1,0),IF(LEFT(VLOOKUP($D37,'Visu totale'!$D:$DH,DD$1,0),1)="V",IF(DC37&gt;=INDEX('[1]Définition Maintenances'!$G:$G,MATCH($A37,'[1]Définition Maintenances'!$K:$K,0)),DC37,INDEX('[1]Définition Maintenances'!$G:$G,MATCH($A37,'[1]Définition Maintenances'!$K:$K,0))+DC37),DC37))</f>
        <v>1169</v>
      </c>
      <c r="DE37" s="26">
        <f>IF(ISNUMBER(VLOOKUP($D37,'Visu totale'!$D:$DH,DE$1,0)),DD37-VLOOKUP($D37,'Visu totale'!$D:$DH,DE$1,0),IF(LEFT(VLOOKUP($D37,'Visu totale'!$D:$DH,DE$1,0),1)="V",IF(DD37&gt;=INDEX('[1]Définition Maintenances'!$G:$G,MATCH($A37,'[1]Définition Maintenances'!$K:$K,0)),DD37,INDEX('[1]Définition Maintenances'!$G:$G,MATCH($A37,'[1]Définition Maintenances'!$K:$K,0))+DD37),DD37))</f>
        <v>1169</v>
      </c>
      <c r="DF37" s="26">
        <f>IF(ISNUMBER(VLOOKUP($D37,'Visu totale'!$D:$DH,DF$1,0)),DE37-VLOOKUP($D37,'Visu totale'!$D:$DH,DF$1,0),IF(LEFT(VLOOKUP($D37,'Visu totale'!$D:$DH,DF$1,0),1)="V",IF(DE37&gt;=INDEX('[1]Définition Maintenances'!$G:$G,MATCH($A37,'[1]Définition Maintenances'!$K:$K,0)),DE37,INDEX('[1]Définition Maintenances'!$G:$G,MATCH($A37,'[1]Définition Maintenances'!$K:$K,0))+DE37),DE37))</f>
        <v>1169</v>
      </c>
      <c r="DG37" s="26">
        <f>IF(ISNUMBER(VLOOKUP($D37,'Visu totale'!$D:$DH,DG$1,0)),DF37-VLOOKUP($D37,'Visu totale'!$D:$DH,DG$1,0),IF(LEFT(VLOOKUP($D37,'Visu totale'!$D:$DH,DG$1,0),1)="V",IF(DF37&gt;=INDEX('[1]Définition Maintenances'!$G:$G,MATCH($A37,'[1]Définition Maintenances'!$K:$K,0)),DF37,INDEX('[1]Définition Maintenances'!$G:$G,MATCH($A37,'[1]Définition Maintenances'!$K:$K,0))+DF37),DF37))</f>
        <v>1169</v>
      </c>
      <c r="DH37" s="26">
        <f>IF(ISNUMBER(VLOOKUP($D37,'Visu totale'!$D:$DH,DH$1,0)),DG37-VLOOKUP($D37,'Visu totale'!$D:$DH,DH$1,0),IF(LEFT(VLOOKUP($D37,'Visu totale'!$D:$DH,DH$1,0),1)="V",IF(DG37&gt;=INDEX('[1]Définition Maintenances'!$G:$G,MATCH($A37,'[1]Définition Maintenances'!$K:$K,0)),DG37,INDEX('[1]Définition Maintenances'!$G:$G,MATCH($A37,'[1]Définition Maintenances'!$K:$K,0))+DG37),DG37))</f>
        <v>1169</v>
      </c>
      <c r="DI37" s="27">
        <f>IF(ISNUMBER(VLOOKUP($D37,'Visu totale'!$D:$DH,DI$1,0)),DH37-VLOOKUP($D37,'Visu totale'!$D:$DH,DI$1,0),IF(LEFT(VLOOKUP($D37,'Visu totale'!$D:$DH,DI$1,0),1)="V",IF(DH37&gt;=INDEX('[1]Définition Maintenances'!$G:$G,MATCH($A37,'[1]Définition Maintenances'!$K:$K,0)),DH37,INDEX('[1]Définition Maintenances'!$G:$G,MATCH($A37,'[1]Définition Maintenances'!$K:$K,0))+DH37),DH37))</f>
        <v>1169</v>
      </c>
    </row>
    <row r="38" spans="1:113" x14ac:dyDescent="0.25">
      <c r="A38" s="13" t="str">
        <f t="shared" si="1"/>
        <v>V10D</v>
      </c>
      <c r="B38" s="13" t="str">
        <f>VLOOKUP(D38,'[1]Avions (Potentiels)'!$B$2:$H$128,7,FALSE)</f>
        <v>V10</v>
      </c>
      <c r="C38" s="13"/>
      <c r="D38" s="16" t="s">
        <v>41</v>
      </c>
      <c r="E38" s="13">
        <f>IFERROR(VALUE(SUBSTITUTE(VLOOKUP(D38,'[1]Avions (Potentiels)'!$B:$E,4,0),".",",")),VALUE(VLOOKUP(D38,'[1]Avions (Potentiels)'!$B:$E,4,0)))</f>
        <v>1200</v>
      </c>
      <c r="F38" s="25">
        <f>IF(ISNUMBER(VLOOKUP($D38,'Visu totale'!$D:$DH,F$1,0)),E38-VLOOKUP($D38,'Visu totale'!$D:$DH,F$1,0),IF(LEFT(VLOOKUP($D38,'Visu totale'!$D:$DH,F$1,0),1)="V",IF(E38&gt;=INDEX('[1]Définition Maintenances'!$G:$G,MATCH($A38,'[1]Définition Maintenances'!$K:$K,0)),E38,INDEX('[1]Définition Maintenances'!$G:$G,MATCH($A38,'[1]Définition Maintenances'!$K:$K,0))+E38),E38))</f>
        <v>1200</v>
      </c>
      <c r="G38" s="26">
        <f>IF(ISNUMBER(VLOOKUP($D38,'Visu totale'!$D:$DH,G$1,0)),F38-VLOOKUP($D38,'Visu totale'!$D:$DH,G$1,0),IF(LEFT(VLOOKUP($D38,'Visu totale'!$D:$DH,G$1,0),1)="V",IF(F38&gt;=INDEX('[1]Définition Maintenances'!$G:$G,MATCH($A38,'[1]Définition Maintenances'!$K:$K,0)),F38,INDEX('[1]Définition Maintenances'!$G:$G,MATCH($A38,'[1]Définition Maintenances'!$K:$K,0))+F38),F38))</f>
        <v>1200</v>
      </c>
      <c r="H38" s="26">
        <f>IF(ISNUMBER(VLOOKUP($D38,'Visu totale'!$D:$DH,H$1,0)),G38-VLOOKUP($D38,'Visu totale'!$D:$DH,H$1,0),IF(LEFT(VLOOKUP($D38,'Visu totale'!$D:$DH,H$1,0),1)="V",IF(G38&gt;=INDEX('[1]Définition Maintenances'!$G:$G,MATCH($A38,'[1]Définition Maintenances'!$K:$K,0)),G38,INDEX('[1]Définition Maintenances'!$G:$G,MATCH($A38,'[1]Définition Maintenances'!$K:$K,0))+G38),G38))</f>
        <v>1200</v>
      </c>
      <c r="I38" s="26">
        <f>IF(ISNUMBER(VLOOKUP($D38,'Visu totale'!$D:$DH,I$1,0)),H38-VLOOKUP($D38,'Visu totale'!$D:$DH,I$1,0),IF(LEFT(VLOOKUP($D38,'Visu totale'!$D:$DH,I$1,0),1)="V",IF(H38&gt;=INDEX('[1]Définition Maintenances'!$G:$G,MATCH($A38,'[1]Définition Maintenances'!$K:$K,0)),H38,INDEX('[1]Définition Maintenances'!$G:$G,MATCH($A38,'[1]Définition Maintenances'!$K:$K,0))+H38),H38))</f>
        <v>1200</v>
      </c>
      <c r="J38" s="26">
        <f>IF(ISNUMBER(VLOOKUP($D38,'Visu totale'!$D:$DH,J$1,0)),I38-VLOOKUP($D38,'Visu totale'!$D:$DH,J$1,0),IF(LEFT(VLOOKUP($D38,'Visu totale'!$D:$DH,J$1,0),1)="V",IF(I38&gt;=INDEX('[1]Définition Maintenances'!$G:$G,MATCH($A38,'[1]Définition Maintenances'!$K:$K,0)),I38,INDEX('[1]Définition Maintenances'!$G:$G,MATCH($A38,'[1]Définition Maintenances'!$K:$K,0))+I38),I38))</f>
        <v>1200</v>
      </c>
      <c r="K38" s="26">
        <f>IF(ISNUMBER(VLOOKUP($D38,'Visu totale'!$D:$DH,K$1,0)),J38-VLOOKUP($D38,'Visu totale'!$D:$DH,K$1,0),IF(LEFT(VLOOKUP($D38,'Visu totale'!$D:$DH,K$1,0),1)="V",IF(J38&gt;=INDEX('[1]Définition Maintenances'!$G:$G,MATCH($A38,'[1]Définition Maintenances'!$K:$K,0)),J38,INDEX('[1]Définition Maintenances'!$G:$G,MATCH($A38,'[1]Définition Maintenances'!$K:$K,0))+J38),J38))</f>
        <v>1200</v>
      </c>
      <c r="L38" s="26">
        <f>IF(ISNUMBER(VLOOKUP($D38,'Visu totale'!$D:$DH,L$1,0)),K38-VLOOKUP($D38,'Visu totale'!$D:$DH,L$1,0),IF(LEFT(VLOOKUP($D38,'Visu totale'!$D:$DH,L$1,0),1)="V",IF(K38&gt;=INDEX('[1]Définition Maintenances'!$G:$G,MATCH($A38,'[1]Définition Maintenances'!$K:$K,0)),K38,INDEX('[1]Définition Maintenances'!$G:$G,MATCH($A38,'[1]Définition Maintenances'!$K:$K,0))+K38),K38))</f>
        <v>1200</v>
      </c>
      <c r="M38" s="26">
        <f>IF(ISNUMBER(VLOOKUP($D38,'Visu totale'!$D:$DH,M$1,0)),L38-VLOOKUP($D38,'Visu totale'!$D:$DH,M$1,0),IF(LEFT(VLOOKUP($D38,'Visu totale'!$D:$DH,M$1,0),1)="V",IF(L38&gt;=INDEX('[1]Définition Maintenances'!$G:$G,MATCH($A38,'[1]Définition Maintenances'!$K:$K,0)),L38,INDEX('[1]Définition Maintenances'!$G:$G,MATCH($A38,'[1]Définition Maintenances'!$K:$K,0))+L38),L38))</f>
        <v>1200</v>
      </c>
      <c r="N38" s="26">
        <f>IF(ISNUMBER(VLOOKUP($D38,'Visu totale'!$D:$DH,N$1,0)),M38-VLOOKUP($D38,'Visu totale'!$D:$DH,N$1,0),IF(LEFT(VLOOKUP($D38,'Visu totale'!$D:$DH,N$1,0),1)="V",IF(M38&gt;=INDEX('[1]Définition Maintenances'!$G:$G,MATCH($A38,'[1]Définition Maintenances'!$K:$K,0)),M38,INDEX('[1]Définition Maintenances'!$G:$G,MATCH($A38,'[1]Définition Maintenances'!$K:$K,0))+M38),M38))</f>
        <v>1200</v>
      </c>
      <c r="O38" s="26">
        <f>IF(ISNUMBER(VLOOKUP($D38,'Visu totale'!$D:$DH,O$1,0)),N38-VLOOKUP($D38,'Visu totale'!$D:$DH,O$1,0),IF(LEFT(VLOOKUP($D38,'Visu totale'!$D:$DH,O$1,0),1)="V",IF(N38&gt;=INDEX('[1]Définition Maintenances'!$G:$G,MATCH($A38,'[1]Définition Maintenances'!$K:$K,0)),N38,INDEX('[1]Définition Maintenances'!$G:$G,MATCH($A38,'[1]Définition Maintenances'!$K:$K,0))+N38),N38))</f>
        <v>1200</v>
      </c>
      <c r="P38" s="26">
        <f>IF(ISNUMBER(VLOOKUP($D38,'Visu totale'!$D:$DH,P$1,0)),O38-VLOOKUP($D38,'Visu totale'!$D:$DH,P$1,0),IF(LEFT(VLOOKUP($D38,'Visu totale'!$D:$DH,P$1,0),1)="V",IF(O38&gt;=INDEX('[1]Définition Maintenances'!$G:$G,MATCH($A38,'[1]Définition Maintenances'!$K:$K,0)),O38,INDEX('[1]Définition Maintenances'!$G:$G,MATCH($A38,'[1]Définition Maintenances'!$K:$K,0))+O38),O38))</f>
        <v>1200</v>
      </c>
      <c r="Q38" s="27">
        <f>IF(ISNUMBER(VLOOKUP($D38,'Visu totale'!$D:$DH,Q$1,0)),P38-VLOOKUP($D38,'Visu totale'!$D:$DH,Q$1,0),IF(LEFT(VLOOKUP($D38,'Visu totale'!$D:$DH,Q$1,0),1)="V",IF(P38&gt;=INDEX('[1]Définition Maintenances'!$G:$G,MATCH($A38,'[1]Définition Maintenances'!$K:$K,0)),P38,INDEX('[1]Définition Maintenances'!$G:$G,MATCH($A38,'[1]Définition Maintenances'!$K:$K,0))+P38),P38))</f>
        <v>1200</v>
      </c>
      <c r="R38" s="25">
        <f>IF(ISNUMBER(VLOOKUP($D38,'Visu totale'!$D:$DH,R$1,0)),Q38-VLOOKUP($D38,'Visu totale'!$D:$DH,R$1,0),IF(LEFT(VLOOKUP($D38,'Visu totale'!$D:$DH,R$1,0),1)="V",IF(Q38&gt;=INDEX('[1]Définition Maintenances'!$G:$G,MATCH($A38,'[1]Définition Maintenances'!$K:$K,0)),Q38,INDEX('[1]Définition Maintenances'!$G:$G,MATCH($A38,'[1]Définition Maintenances'!$K:$K,0))+Q38),Q38))</f>
        <v>1200</v>
      </c>
      <c r="S38" s="26">
        <f>IF(ISNUMBER(VLOOKUP($D38,'Visu totale'!$D:$DH,S$1,0)),R38-VLOOKUP($D38,'Visu totale'!$D:$DH,S$1,0),IF(LEFT(VLOOKUP($D38,'Visu totale'!$D:$DH,S$1,0),1)="V",IF(R38&gt;=INDEX('[1]Définition Maintenances'!$G:$G,MATCH($A38,'[1]Définition Maintenances'!$K:$K,0)),R38,INDEX('[1]Définition Maintenances'!$G:$G,MATCH($A38,'[1]Définition Maintenances'!$K:$K,0))+R38),R38))</f>
        <v>1200</v>
      </c>
      <c r="T38" s="26">
        <f>IF(ISNUMBER(VLOOKUP($D38,'Visu totale'!$D:$DH,T$1,0)),S38-VLOOKUP($D38,'Visu totale'!$D:$DH,T$1,0),IF(LEFT(VLOOKUP($D38,'Visu totale'!$D:$DH,T$1,0),1)="V",IF(S38&gt;=INDEX('[1]Définition Maintenances'!$G:$G,MATCH($A38,'[1]Définition Maintenances'!$K:$K,0)),S38,INDEX('[1]Définition Maintenances'!$G:$G,MATCH($A38,'[1]Définition Maintenances'!$K:$K,0))+S38),S38))</f>
        <v>1200</v>
      </c>
      <c r="U38" s="26">
        <f>IF(ISNUMBER(VLOOKUP($D38,'Visu totale'!$D:$DH,U$1,0)),T38-VLOOKUP($D38,'Visu totale'!$D:$DH,U$1,0),IF(LEFT(VLOOKUP($D38,'Visu totale'!$D:$DH,U$1,0),1)="V",IF(T38&gt;=INDEX('[1]Définition Maintenances'!$G:$G,MATCH($A38,'[1]Définition Maintenances'!$K:$K,0)),T38,INDEX('[1]Définition Maintenances'!$G:$G,MATCH($A38,'[1]Définition Maintenances'!$K:$K,0))+T38),T38))</f>
        <v>1200</v>
      </c>
      <c r="V38" s="26">
        <f>IF(ISNUMBER(VLOOKUP($D38,'Visu totale'!$D:$DH,V$1,0)),U38-VLOOKUP($D38,'Visu totale'!$D:$DH,V$1,0),IF(LEFT(VLOOKUP($D38,'Visu totale'!$D:$DH,V$1,0),1)="V",IF(U38&gt;=INDEX('[1]Définition Maintenances'!$G:$G,MATCH($A38,'[1]Définition Maintenances'!$K:$K,0)),U38,INDEX('[1]Définition Maintenances'!$G:$G,MATCH($A38,'[1]Définition Maintenances'!$K:$K,0))+U38),U38))</f>
        <v>1200</v>
      </c>
      <c r="W38" s="26">
        <f>IF(ISNUMBER(VLOOKUP($D38,'Visu totale'!$D:$DH,W$1,0)),V38-VLOOKUP($D38,'Visu totale'!$D:$DH,W$1,0),IF(LEFT(VLOOKUP($D38,'Visu totale'!$D:$DH,W$1,0),1)="V",IF(V38&gt;=INDEX('[1]Définition Maintenances'!$G:$G,MATCH($A38,'[1]Définition Maintenances'!$K:$K,0)),V38,INDEX('[1]Définition Maintenances'!$G:$G,MATCH($A38,'[1]Définition Maintenances'!$K:$K,0))+V38),V38))</f>
        <v>1200</v>
      </c>
      <c r="X38" s="26">
        <f>IF(ISNUMBER(VLOOKUP($D38,'Visu totale'!$D:$DH,X$1,0)),W38-VLOOKUP($D38,'Visu totale'!$D:$DH,X$1,0),IF(LEFT(VLOOKUP($D38,'Visu totale'!$D:$DH,X$1,0),1)="V",IF(W38&gt;=INDEX('[1]Définition Maintenances'!$G:$G,MATCH($A38,'[1]Définition Maintenances'!$K:$K,0)),W38,INDEX('[1]Définition Maintenances'!$G:$G,MATCH($A38,'[1]Définition Maintenances'!$K:$K,0))+W38),W38))</f>
        <v>1200</v>
      </c>
      <c r="Y38" s="26">
        <f>IF(ISNUMBER(VLOOKUP($D38,'Visu totale'!$D:$DH,Y$1,0)),X38-VLOOKUP($D38,'Visu totale'!$D:$DH,Y$1,0),IF(LEFT(VLOOKUP($D38,'Visu totale'!$D:$DH,Y$1,0),1)="V",IF(X38&gt;=INDEX('[1]Définition Maintenances'!$G:$G,MATCH($A38,'[1]Définition Maintenances'!$K:$K,0)),X38,INDEX('[1]Définition Maintenances'!$G:$G,MATCH($A38,'[1]Définition Maintenances'!$K:$K,0))+X38),X38))</f>
        <v>1200</v>
      </c>
      <c r="Z38" s="26">
        <f>IF(ISNUMBER(VLOOKUP($D38,'Visu totale'!$D:$DH,Z$1,0)),Y38-VLOOKUP($D38,'Visu totale'!$D:$DH,Z$1,0),IF(LEFT(VLOOKUP($D38,'Visu totale'!$D:$DH,Z$1,0),1)="V",IF(Y38&gt;=INDEX('[1]Définition Maintenances'!$G:$G,MATCH($A38,'[1]Définition Maintenances'!$K:$K,0)),Y38,INDEX('[1]Définition Maintenances'!$G:$G,MATCH($A38,'[1]Définition Maintenances'!$K:$K,0))+Y38),Y38))</f>
        <v>1200</v>
      </c>
      <c r="AA38" s="26">
        <f>IF(ISNUMBER(VLOOKUP($D38,'Visu totale'!$D:$DH,AA$1,0)),Z38-VLOOKUP($D38,'Visu totale'!$D:$DH,AA$1,0),IF(LEFT(VLOOKUP($D38,'Visu totale'!$D:$DH,AA$1,0),1)="V",IF(Z38&gt;=INDEX('[1]Définition Maintenances'!$G:$G,MATCH($A38,'[1]Définition Maintenances'!$K:$K,0)),Z38,INDEX('[1]Définition Maintenances'!$G:$G,MATCH($A38,'[1]Définition Maintenances'!$K:$K,0))+Z38),Z38))</f>
        <v>1200</v>
      </c>
      <c r="AB38" s="26">
        <f>IF(ISNUMBER(VLOOKUP($D38,'Visu totale'!$D:$DH,AB$1,0)),AA38-VLOOKUP($D38,'Visu totale'!$D:$DH,AB$1,0),IF(LEFT(VLOOKUP($D38,'Visu totale'!$D:$DH,AB$1,0),1)="V",IF(AA38&gt;=INDEX('[1]Définition Maintenances'!$G:$G,MATCH($A38,'[1]Définition Maintenances'!$K:$K,0)),AA38,INDEX('[1]Définition Maintenances'!$G:$G,MATCH($A38,'[1]Définition Maintenances'!$K:$K,0))+AA38),AA38))</f>
        <v>1200</v>
      </c>
      <c r="AC38" s="27">
        <f>IF(ISNUMBER(VLOOKUP($D38,'Visu totale'!$D:$DH,AC$1,0)),AB38-VLOOKUP($D38,'Visu totale'!$D:$DH,AC$1,0),IF(LEFT(VLOOKUP($D38,'Visu totale'!$D:$DH,AC$1,0),1)="V",IF(AB38&gt;=INDEX('[1]Définition Maintenances'!$G:$G,MATCH($A38,'[1]Définition Maintenances'!$K:$K,0)),AB38,INDEX('[1]Définition Maintenances'!$G:$G,MATCH($A38,'[1]Définition Maintenances'!$K:$K,0))+AB38),AB38))</f>
        <v>1200</v>
      </c>
      <c r="AD38" s="25">
        <f>IF(ISNUMBER(VLOOKUP($D38,'Visu totale'!$D:$DH,AD$1,0)),AC38-VLOOKUP($D38,'Visu totale'!$D:$DH,AD$1,0),IF(LEFT(VLOOKUP($D38,'Visu totale'!$D:$DH,AD$1,0),1)="V",IF(AC38&gt;=INDEX('[1]Définition Maintenances'!$G:$G,MATCH($A38,'[1]Définition Maintenances'!$K:$K,0)),AC38,INDEX('[1]Définition Maintenances'!$G:$G,MATCH($A38,'[1]Définition Maintenances'!$K:$K,0))+AC38),AC38))</f>
        <v>1200</v>
      </c>
      <c r="AE38" s="26">
        <f>IF(ISNUMBER(VLOOKUP($D38,'Visu totale'!$D:$DH,AE$1,0)),AD38-VLOOKUP($D38,'Visu totale'!$D:$DH,AE$1,0),IF(LEFT(VLOOKUP($D38,'Visu totale'!$D:$DH,AE$1,0),1)="V",IF(AD38&gt;=INDEX('[1]Définition Maintenances'!$G:$G,MATCH($A38,'[1]Définition Maintenances'!$K:$K,0)),AD38,INDEX('[1]Définition Maintenances'!$G:$G,MATCH($A38,'[1]Définition Maintenances'!$K:$K,0))+AD38),AD38))</f>
        <v>1200</v>
      </c>
      <c r="AF38" s="26">
        <f>IF(ISNUMBER(VLOOKUP($D38,'Visu totale'!$D:$DH,AF$1,0)),AE38-VLOOKUP($D38,'Visu totale'!$D:$DH,AF$1,0),IF(LEFT(VLOOKUP($D38,'Visu totale'!$D:$DH,AF$1,0),1)="V",IF(AE38&gt;=INDEX('[1]Définition Maintenances'!$G:$G,MATCH($A38,'[1]Définition Maintenances'!$K:$K,0)),AE38,INDEX('[1]Définition Maintenances'!$G:$G,MATCH($A38,'[1]Définition Maintenances'!$K:$K,0))+AE38),AE38))</f>
        <v>1200</v>
      </c>
      <c r="AG38" s="26">
        <f>IF(ISNUMBER(VLOOKUP($D38,'Visu totale'!$D:$DH,AG$1,0)),AF38-VLOOKUP($D38,'Visu totale'!$D:$DH,AG$1,0),IF(LEFT(VLOOKUP($D38,'Visu totale'!$D:$DH,AG$1,0),1)="V",IF(AF38&gt;=INDEX('[1]Définition Maintenances'!$G:$G,MATCH($A38,'[1]Définition Maintenances'!$K:$K,0)),AF38,INDEX('[1]Définition Maintenances'!$G:$G,MATCH($A38,'[1]Définition Maintenances'!$K:$K,0))+AF38),AF38))</f>
        <v>1200</v>
      </c>
      <c r="AH38" s="26">
        <f>IF(ISNUMBER(VLOOKUP($D38,'Visu totale'!$D:$DH,AH$1,0)),AG38-VLOOKUP($D38,'Visu totale'!$D:$DH,AH$1,0),IF(LEFT(VLOOKUP($D38,'Visu totale'!$D:$DH,AH$1,0),1)="V",IF(AG38&gt;=INDEX('[1]Définition Maintenances'!$G:$G,MATCH($A38,'[1]Définition Maintenances'!$K:$K,0)),AG38,INDEX('[1]Définition Maintenances'!$G:$G,MATCH($A38,'[1]Définition Maintenances'!$K:$K,0))+AG38),AG38))</f>
        <v>1200</v>
      </c>
      <c r="AI38" s="26">
        <f>IF(ISNUMBER(VLOOKUP($D38,'Visu totale'!$D:$DH,AI$1,0)),AH38-VLOOKUP($D38,'Visu totale'!$D:$DH,AI$1,0),IF(LEFT(VLOOKUP($D38,'Visu totale'!$D:$DH,AI$1,0),1)="V",IF(AH38&gt;=INDEX('[1]Définition Maintenances'!$G:$G,MATCH($A38,'[1]Définition Maintenances'!$K:$K,0)),AH38,INDEX('[1]Définition Maintenances'!$G:$G,MATCH($A38,'[1]Définition Maintenances'!$K:$K,0))+AH38),AH38))</f>
        <v>1200</v>
      </c>
      <c r="AJ38" s="26">
        <f>IF(ISNUMBER(VLOOKUP($D38,'Visu totale'!$D:$DH,AJ$1,0)),AI38-VLOOKUP($D38,'Visu totale'!$D:$DH,AJ$1,0),IF(LEFT(VLOOKUP($D38,'Visu totale'!$D:$DH,AJ$1,0),1)="V",IF(AI38&gt;=INDEX('[1]Définition Maintenances'!$G:$G,MATCH($A38,'[1]Définition Maintenances'!$K:$K,0)),AI38,INDEX('[1]Définition Maintenances'!$G:$G,MATCH($A38,'[1]Définition Maintenances'!$K:$K,0))+AI38),AI38))</f>
        <v>1200</v>
      </c>
      <c r="AK38" s="26">
        <f>IF(ISNUMBER(VLOOKUP($D38,'Visu totale'!$D:$DH,AK$1,0)),AJ38-VLOOKUP($D38,'Visu totale'!$D:$DH,AK$1,0),IF(LEFT(VLOOKUP($D38,'Visu totale'!$D:$DH,AK$1,0),1)="V",IF(AJ38&gt;=INDEX('[1]Définition Maintenances'!$G:$G,MATCH($A38,'[1]Définition Maintenances'!$K:$K,0)),AJ38,INDEX('[1]Définition Maintenances'!$G:$G,MATCH($A38,'[1]Définition Maintenances'!$K:$K,0))+AJ38),AJ38))</f>
        <v>1200</v>
      </c>
      <c r="AL38" s="26">
        <f>IF(ISNUMBER(VLOOKUP($D38,'Visu totale'!$D:$DH,AL$1,0)),AK38-VLOOKUP($D38,'Visu totale'!$D:$DH,AL$1,0),IF(LEFT(VLOOKUP($D38,'Visu totale'!$D:$DH,AL$1,0),1)="V",IF(AK38&gt;=INDEX('[1]Définition Maintenances'!$G:$G,MATCH($A38,'[1]Définition Maintenances'!$K:$K,0)),AK38,INDEX('[1]Définition Maintenances'!$G:$G,MATCH($A38,'[1]Définition Maintenances'!$K:$K,0))+AK38),AK38))</f>
        <v>1200</v>
      </c>
      <c r="AM38" s="26">
        <f>IF(ISNUMBER(VLOOKUP($D38,'Visu totale'!$D:$DH,AM$1,0)),AL38-VLOOKUP($D38,'Visu totale'!$D:$DH,AM$1,0),IF(LEFT(VLOOKUP($D38,'Visu totale'!$D:$DH,AM$1,0),1)="V",IF(AL38&gt;=INDEX('[1]Définition Maintenances'!$G:$G,MATCH($A38,'[1]Définition Maintenances'!$K:$K,0)),AL38,INDEX('[1]Définition Maintenances'!$G:$G,MATCH($A38,'[1]Définition Maintenances'!$K:$K,0))+AL38),AL38))</f>
        <v>1200</v>
      </c>
      <c r="AN38" s="26">
        <f>IF(ISNUMBER(VLOOKUP($D38,'Visu totale'!$D:$DH,AN$1,0)),AM38-VLOOKUP($D38,'Visu totale'!$D:$DH,AN$1,0),IF(LEFT(VLOOKUP($D38,'Visu totale'!$D:$DH,AN$1,0),1)="V",IF(AM38&gt;=INDEX('[1]Définition Maintenances'!$G:$G,MATCH($A38,'[1]Définition Maintenances'!$K:$K,0)),AM38,INDEX('[1]Définition Maintenances'!$G:$G,MATCH($A38,'[1]Définition Maintenances'!$K:$K,0))+AM38),AM38))</f>
        <v>1200</v>
      </c>
      <c r="AO38" s="27">
        <f>IF(ISNUMBER(VLOOKUP($D38,'Visu totale'!$D:$DH,AO$1,0)),AN38-VLOOKUP($D38,'Visu totale'!$D:$DH,AO$1,0),IF(LEFT(VLOOKUP($D38,'Visu totale'!$D:$DH,AO$1,0),1)="V",IF(AN38&gt;=INDEX('[1]Définition Maintenances'!$G:$G,MATCH($A38,'[1]Définition Maintenances'!$K:$K,0)),AN38,INDEX('[1]Définition Maintenances'!$G:$G,MATCH($A38,'[1]Définition Maintenances'!$K:$K,0))+AN38),AN38))</f>
        <v>1200</v>
      </c>
      <c r="AP38" s="25">
        <f>IF(ISNUMBER(VLOOKUP($D38,'Visu totale'!$D:$DH,AP$1,0)),AO38-VLOOKUP($D38,'Visu totale'!$D:$DH,AP$1,0),IF(LEFT(VLOOKUP($D38,'Visu totale'!$D:$DH,AP$1,0),1)="V",IF(AO38&gt;=INDEX('[1]Définition Maintenances'!$G:$G,MATCH($A38,'[1]Définition Maintenances'!$K:$K,0)),AO38,INDEX('[1]Définition Maintenances'!$G:$G,MATCH($A38,'[1]Définition Maintenances'!$K:$K,0))+AO38),AO38))</f>
        <v>1200</v>
      </c>
      <c r="AQ38" s="26">
        <f>IF(ISNUMBER(VLOOKUP($D38,'Visu totale'!$D:$DH,AQ$1,0)),AP38-VLOOKUP($D38,'Visu totale'!$D:$DH,AQ$1,0),IF(LEFT(VLOOKUP($D38,'Visu totale'!$D:$DH,AQ$1,0),1)="V",IF(AP38&gt;=INDEX('[1]Définition Maintenances'!$G:$G,MATCH($A38,'[1]Définition Maintenances'!$K:$K,0)),AP38,INDEX('[1]Définition Maintenances'!$G:$G,MATCH($A38,'[1]Définition Maintenances'!$K:$K,0))+AP38),AP38))</f>
        <v>1200</v>
      </c>
      <c r="AR38" s="26">
        <f>IF(ISNUMBER(VLOOKUP($D38,'Visu totale'!$D:$DH,AR$1,0)),AQ38-VLOOKUP($D38,'Visu totale'!$D:$DH,AR$1,0),IF(LEFT(VLOOKUP($D38,'Visu totale'!$D:$DH,AR$1,0),1)="V",IF(AQ38&gt;=INDEX('[1]Définition Maintenances'!$G:$G,MATCH($A38,'[1]Définition Maintenances'!$K:$K,0)),AQ38,INDEX('[1]Définition Maintenances'!$G:$G,MATCH($A38,'[1]Définition Maintenances'!$K:$K,0))+AQ38),AQ38))</f>
        <v>1200</v>
      </c>
      <c r="AS38" s="26">
        <f>IF(ISNUMBER(VLOOKUP($D38,'Visu totale'!$D:$DH,AS$1,0)),AR38-VLOOKUP($D38,'Visu totale'!$D:$DH,AS$1,0),IF(LEFT(VLOOKUP($D38,'Visu totale'!$D:$DH,AS$1,0),1)="V",IF(AR38&gt;=INDEX('[1]Définition Maintenances'!$G:$G,MATCH($A38,'[1]Définition Maintenances'!$K:$K,0)),AR38,INDEX('[1]Définition Maintenances'!$G:$G,MATCH($A38,'[1]Définition Maintenances'!$K:$K,0))+AR38),AR38))</f>
        <v>1200</v>
      </c>
      <c r="AT38" s="26">
        <f>IF(ISNUMBER(VLOOKUP($D38,'Visu totale'!$D:$DH,AT$1,0)),AS38-VLOOKUP($D38,'Visu totale'!$D:$DH,AT$1,0),IF(LEFT(VLOOKUP($D38,'Visu totale'!$D:$DH,AT$1,0),1)="V",IF(AS38&gt;=INDEX('[1]Définition Maintenances'!$G:$G,MATCH($A38,'[1]Définition Maintenances'!$K:$K,0)),AS38,INDEX('[1]Définition Maintenances'!$G:$G,MATCH($A38,'[1]Définition Maintenances'!$K:$K,0))+AS38),AS38))</f>
        <v>1200</v>
      </c>
      <c r="AU38" s="26">
        <f>IF(ISNUMBER(VLOOKUP($D38,'Visu totale'!$D:$DH,AU$1,0)),AT38-VLOOKUP($D38,'Visu totale'!$D:$DH,AU$1,0),IF(LEFT(VLOOKUP($D38,'Visu totale'!$D:$DH,AU$1,0),1)="V",IF(AT38&gt;=INDEX('[1]Définition Maintenances'!$G:$G,MATCH($A38,'[1]Définition Maintenances'!$K:$K,0)),AT38,INDEX('[1]Définition Maintenances'!$G:$G,MATCH($A38,'[1]Définition Maintenances'!$K:$K,0))+AT38),AT38))</f>
        <v>1200</v>
      </c>
      <c r="AV38" s="26">
        <f>IF(ISNUMBER(VLOOKUP($D38,'Visu totale'!$D:$DH,AV$1,0)),AU38-VLOOKUP($D38,'Visu totale'!$D:$DH,AV$1,0),IF(LEFT(VLOOKUP($D38,'Visu totale'!$D:$DH,AV$1,0),1)="V",IF(AU38&gt;=INDEX('[1]Définition Maintenances'!$G:$G,MATCH($A38,'[1]Définition Maintenances'!$K:$K,0)),AU38,INDEX('[1]Définition Maintenances'!$G:$G,MATCH($A38,'[1]Définition Maintenances'!$K:$K,0))+AU38),AU38))</f>
        <v>1200</v>
      </c>
      <c r="AW38" s="26">
        <f>IF(ISNUMBER(VLOOKUP($D38,'Visu totale'!$D:$DH,AW$1,0)),AV38-VLOOKUP($D38,'Visu totale'!$D:$DH,AW$1,0),IF(LEFT(VLOOKUP($D38,'Visu totale'!$D:$DH,AW$1,0),1)="V",IF(AV38&gt;=INDEX('[1]Définition Maintenances'!$G:$G,MATCH($A38,'[1]Définition Maintenances'!$K:$K,0)),AV38,INDEX('[1]Définition Maintenances'!$G:$G,MATCH($A38,'[1]Définition Maintenances'!$K:$K,0))+AV38),AV38))</f>
        <v>1200</v>
      </c>
      <c r="AX38" s="26">
        <f>IF(ISNUMBER(VLOOKUP($D38,'Visu totale'!$D:$DH,AX$1,0)),AW38-VLOOKUP($D38,'Visu totale'!$D:$DH,AX$1,0),IF(LEFT(VLOOKUP($D38,'Visu totale'!$D:$DH,AX$1,0),1)="V",IF(AW38&gt;=INDEX('[1]Définition Maintenances'!$G:$G,MATCH($A38,'[1]Définition Maintenances'!$K:$K,0)),AW38,INDEX('[1]Définition Maintenances'!$G:$G,MATCH($A38,'[1]Définition Maintenances'!$K:$K,0))+AW38),AW38))</f>
        <v>1200</v>
      </c>
      <c r="AY38" s="26">
        <f>IF(ISNUMBER(VLOOKUP($D38,'Visu totale'!$D:$DH,AY$1,0)),AX38-VLOOKUP($D38,'Visu totale'!$D:$DH,AY$1,0),IF(LEFT(VLOOKUP($D38,'Visu totale'!$D:$DH,AY$1,0),1)="V",IF(AX38&gt;=INDEX('[1]Définition Maintenances'!$G:$G,MATCH($A38,'[1]Définition Maintenances'!$K:$K,0)),AX38,INDEX('[1]Définition Maintenances'!$G:$G,MATCH($A38,'[1]Définition Maintenances'!$K:$K,0))+AX38),AX38))</f>
        <v>1200</v>
      </c>
      <c r="AZ38" s="26">
        <f>IF(ISNUMBER(VLOOKUP($D38,'Visu totale'!$D:$DH,AZ$1,0)),AY38-VLOOKUP($D38,'Visu totale'!$D:$DH,AZ$1,0),IF(LEFT(VLOOKUP($D38,'Visu totale'!$D:$DH,AZ$1,0),1)="V",IF(AY38&gt;=INDEX('[1]Définition Maintenances'!$G:$G,MATCH($A38,'[1]Définition Maintenances'!$K:$K,0)),AY38,INDEX('[1]Définition Maintenances'!$G:$G,MATCH($A38,'[1]Définition Maintenances'!$K:$K,0))+AY38),AY38))</f>
        <v>1200</v>
      </c>
      <c r="BA38" s="27">
        <f>IF(ISNUMBER(VLOOKUP($D38,'Visu totale'!$D:$DH,BA$1,0)),AZ38-VLOOKUP($D38,'Visu totale'!$D:$DH,BA$1,0),IF(LEFT(VLOOKUP($D38,'Visu totale'!$D:$DH,BA$1,0),1)="V",IF(AZ38&gt;=INDEX('[1]Définition Maintenances'!$G:$G,MATCH($A38,'[1]Définition Maintenances'!$K:$K,0)),AZ38,INDEX('[1]Définition Maintenances'!$G:$G,MATCH($A38,'[1]Définition Maintenances'!$K:$K,0))+AZ38),AZ38))</f>
        <v>1200</v>
      </c>
      <c r="BB38" s="25">
        <f>IF(ISNUMBER(VLOOKUP($D38,'Visu totale'!$D:$DH,BB$1,0)),BA38-VLOOKUP($D38,'Visu totale'!$D:$DH,BB$1,0),IF(LEFT(VLOOKUP($D38,'Visu totale'!$D:$DH,BB$1,0),1)="V",IF(BA38&gt;=INDEX('[1]Définition Maintenances'!$G:$G,MATCH($A38,'[1]Définition Maintenances'!$K:$K,0)),BA38,INDEX('[1]Définition Maintenances'!$G:$G,MATCH($A38,'[1]Définition Maintenances'!$K:$K,0))+BA38),BA38))</f>
        <v>1200</v>
      </c>
      <c r="BC38" s="26">
        <f>IF(ISNUMBER(VLOOKUP($D38,'Visu totale'!$D:$DH,BC$1,0)),BB38-VLOOKUP($D38,'Visu totale'!$D:$DH,BC$1,0),IF(LEFT(VLOOKUP($D38,'Visu totale'!$D:$DH,BC$1,0),1)="V",IF(BB38&gt;=INDEX('[1]Définition Maintenances'!$G:$G,MATCH($A38,'[1]Définition Maintenances'!$K:$K,0)),BB38,INDEX('[1]Définition Maintenances'!$G:$G,MATCH($A38,'[1]Définition Maintenances'!$K:$K,0))+BB38),BB38))</f>
        <v>1200</v>
      </c>
      <c r="BD38" s="26">
        <f>IF(ISNUMBER(VLOOKUP($D38,'Visu totale'!$D:$DH,BD$1,0)),BC38-VLOOKUP($D38,'Visu totale'!$D:$DH,BD$1,0),IF(LEFT(VLOOKUP($D38,'Visu totale'!$D:$DH,BD$1,0),1)="V",IF(BC38&gt;=INDEX('[1]Définition Maintenances'!$G:$G,MATCH($A38,'[1]Définition Maintenances'!$K:$K,0)),BC38,INDEX('[1]Définition Maintenances'!$G:$G,MATCH($A38,'[1]Définition Maintenances'!$K:$K,0))+BC38),BC38))</f>
        <v>1200</v>
      </c>
      <c r="BE38" s="26">
        <f>IF(ISNUMBER(VLOOKUP($D38,'Visu totale'!$D:$DH,BE$1,0)),BD38-VLOOKUP($D38,'Visu totale'!$D:$DH,BE$1,0),IF(LEFT(VLOOKUP($D38,'Visu totale'!$D:$DH,BE$1,0),1)="V",IF(BD38&gt;=INDEX('[1]Définition Maintenances'!$G:$G,MATCH($A38,'[1]Définition Maintenances'!$K:$K,0)),BD38,INDEX('[1]Définition Maintenances'!$G:$G,MATCH($A38,'[1]Définition Maintenances'!$K:$K,0))+BD38),BD38))</f>
        <v>1200</v>
      </c>
      <c r="BF38" s="26">
        <f>IF(ISNUMBER(VLOOKUP($D38,'Visu totale'!$D:$DH,BF$1,0)),BE38-VLOOKUP($D38,'Visu totale'!$D:$DH,BF$1,0),IF(LEFT(VLOOKUP($D38,'Visu totale'!$D:$DH,BF$1,0),1)="V",IF(BE38&gt;=INDEX('[1]Définition Maintenances'!$G:$G,MATCH($A38,'[1]Définition Maintenances'!$K:$K,0)),BE38,INDEX('[1]Définition Maintenances'!$G:$G,MATCH($A38,'[1]Définition Maintenances'!$K:$K,0))+BE38),BE38))</f>
        <v>1200</v>
      </c>
      <c r="BG38" s="26">
        <f>IF(ISNUMBER(VLOOKUP($D38,'Visu totale'!$D:$DH,BG$1,0)),BF38-VLOOKUP($D38,'Visu totale'!$D:$DH,BG$1,0),IF(LEFT(VLOOKUP($D38,'Visu totale'!$D:$DH,BG$1,0),1)="V",IF(BF38&gt;=INDEX('[1]Définition Maintenances'!$G:$G,MATCH($A38,'[1]Définition Maintenances'!$K:$K,0)),BF38,INDEX('[1]Définition Maintenances'!$G:$G,MATCH($A38,'[1]Définition Maintenances'!$K:$K,0))+BF38),BF38))</f>
        <v>1200</v>
      </c>
      <c r="BH38" s="26">
        <f>IF(ISNUMBER(VLOOKUP($D38,'Visu totale'!$D:$DH,BH$1,0)),BG38-VLOOKUP($D38,'Visu totale'!$D:$DH,BH$1,0),IF(LEFT(VLOOKUP($D38,'Visu totale'!$D:$DH,BH$1,0),1)="V",IF(BG38&gt;=INDEX('[1]Définition Maintenances'!$G:$G,MATCH($A38,'[1]Définition Maintenances'!$K:$K,0)),BG38,INDEX('[1]Définition Maintenances'!$G:$G,MATCH($A38,'[1]Définition Maintenances'!$K:$K,0))+BG38),BG38))</f>
        <v>1200</v>
      </c>
      <c r="BI38" s="26">
        <f>IF(ISNUMBER(VLOOKUP($D38,'Visu totale'!$D:$DH,BI$1,0)),BH38-VLOOKUP($D38,'Visu totale'!$D:$DH,BI$1,0),IF(LEFT(VLOOKUP($D38,'Visu totale'!$D:$DH,BI$1,0),1)="V",IF(BH38&gt;=INDEX('[1]Définition Maintenances'!$G:$G,MATCH($A38,'[1]Définition Maintenances'!$K:$K,0)),BH38,INDEX('[1]Définition Maintenances'!$G:$G,MATCH($A38,'[1]Définition Maintenances'!$K:$K,0))+BH38),BH38))</f>
        <v>1200</v>
      </c>
      <c r="BJ38" s="26">
        <f>IF(ISNUMBER(VLOOKUP($D38,'Visu totale'!$D:$DH,BJ$1,0)),BI38-VLOOKUP($D38,'Visu totale'!$D:$DH,BJ$1,0),IF(LEFT(VLOOKUP($D38,'Visu totale'!$D:$DH,BJ$1,0),1)="V",IF(BI38&gt;=INDEX('[1]Définition Maintenances'!$G:$G,MATCH($A38,'[1]Définition Maintenances'!$K:$K,0)),BI38,INDEX('[1]Définition Maintenances'!$G:$G,MATCH($A38,'[1]Définition Maintenances'!$K:$K,0))+BI38),BI38))</f>
        <v>1200</v>
      </c>
      <c r="BK38" s="26">
        <f>IF(ISNUMBER(VLOOKUP($D38,'Visu totale'!$D:$DH,BK$1,0)),BJ38-VLOOKUP($D38,'Visu totale'!$D:$DH,BK$1,0),IF(LEFT(VLOOKUP($D38,'Visu totale'!$D:$DH,BK$1,0),1)="V",IF(BJ38&gt;=INDEX('[1]Définition Maintenances'!$G:$G,MATCH($A38,'[1]Définition Maintenances'!$K:$K,0)),BJ38,INDEX('[1]Définition Maintenances'!$G:$G,MATCH($A38,'[1]Définition Maintenances'!$K:$K,0))+BJ38),BJ38))</f>
        <v>1200</v>
      </c>
      <c r="BL38" s="26">
        <f>IF(ISNUMBER(VLOOKUP($D38,'Visu totale'!$D:$DH,BL$1,0)),BK38-VLOOKUP($D38,'Visu totale'!$D:$DH,BL$1,0),IF(LEFT(VLOOKUP($D38,'Visu totale'!$D:$DH,BL$1,0),1)="V",IF(BK38&gt;=INDEX('[1]Définition Maintenances'!$G:$G,MATCH($A38,'[1]Définition Maintenances'!$K:$K,0)),BK38,INDEX('[1]Définition Maintenances'!$G:$G,MATCH($A38,'[1]Définition Maintenances'!$K:$K,0))+BK38),BK38))</f>
        <v>1200</v>
      </c>
      <c r="BM38" s="27">
        <f>IF(ISNUMBER(VLOOKUP($D38,'Visu totale'!$D:$DH,BM$1,0)),BL38-VLOOKUP($D38,'Visu totale'!$D:$DH,BM$1,0),IF(LEFT(VLOOKUP($D38,'Visu totale'!$D:$DH,BM$1,0),1)="V",IF(BL38&gt;=INDEX('[1]Définition Maintenances'!$G:$G,MATCH($A38,'[1]Définition Maintenances'!$K:$K,0)),BL38,INDEX('[1]Définition Maintenances'!$G:$G,MATCH($A38,'[1]Définition Maintenances'!$K:$K,0))+BL38),BL38))</f>
        <v>1200</v>
      </c>
      <c r="BN38" s="25">
        <f>IF(ISNUMBER(VLOOKUP($D38,'Visu totale'!$D:$DH,BN$1,0)),BM38-VLOOKUP($D38,'Visu totale'!$D:$DH,BN$1,0),IF(LEFT(VLOOKUP($D38,'Visu totale'!$D:$DH,BN$1,0),1)="V",IF(BM38&gt;=INDEX('[1]Définition Maintenances'!$G:$G,MATCH($A38,'[1]Définition Maintenances'!$K:$K,0)),BM38,INDEX('[1]Définition Maintenances'!$G:$G,MATCH($A38,'[1]Définition Maintenances'!$K:$K,0))+BM38),BM38))</f>
        <v>1200</v>
      </c>
      <c r="BO38" s="26">
        <f>IF(ISNUMBER(VLOOKUP($D38,'Visu totale'!$D:$DH,BO$1,0)),BN38-VLOOKUP($D38,'Visu totale'!$D:$DH,BO$1,0),IF(LEFT(VLOOKUP($D38,'Visu totale'!$D:$DH,BO$1,0),1)="V",IF(BN38&gt;=INDEX('[1]Définition Maintenances'!$G:$G,MATCH($A38,'[1]Définition Maintenances'!$K:$K,0)),BN38,INDEX('[1]Définition Maintenances'!$G:$G,MATCH($A38,'[1]Définition Maintenances'!$K:$K,0))+BN38),BN38))</f>
        <v>1200</v>
      </c>
      <c r="BP38" s="26">
        <f>IF(ISNUMBER(VLOOKUP($D38,'Visu totale'!$D:$DH,BP$1,0)),BO38-VLOOKUP($D38,'Visu totale'!$D:$DH,BP$1,0),IF(LEFT(VLOOKUP($D38,'Visu totale'!$D:$DH,BP$1,0),1)="V",IF(BO38&gt;=INDEX('[1]Définition Maintenances'!$G:$G,MATCH($A38,'[1]Définition Maintenances'!$K:$K,0)),BO38,INDEX('[1]Définition Maintenances'!$G:$G,MATCH($A38,'[1]Définition Maintenances'!$K:$K,0))+BO38),BO38))</f>
        <v>1200</v>
      </c>
      <c r="BQ38" s="26">
        <f>IF(ISNUMBER(VLOOKUP($D38,'Visu totale'!$D:$DH,BQ$1,0)),BP38-VLOOKUP($D38,'Visu totale'!$D:$DH,BQ$1,0),IF(LEFT(VLOOKUP($D38,'Visu totale'!$D:$DH,BQ$1,0),1)="V",IF(BP38&gt;=INDEX('[1]Définition Maintenances'!$G:$G,MATCH($A38,'[1]Définition Maintenances'!$K:$K,0)),BP38,INDEX('[1]Définition Maintenances'!$G:$G,MATCH($A38,'[1]Définition Maintenances'!$K:$K,0))+BP38),BP38))</f>
        <v>1200</v>
      </c>
      <c r="BR38" s="26">
        <f>IF(ISNUMBER(VLOOKUP($D38,'Visu totale'!$D:$DH,BR$1,0)),BQ38-VLOOKUP($D38,'Visu totale'!$D:$DH,BR$1,0),IF(LEFT(VLOOKUP($D38,'Visu totale'!$D:$DH,BR$1,0),1)="V",IF(BQ38&gt;=INDEX('[1]Définition Maintenances'!$G:$G,MATCH($A38,'[1]Définition Maintenances'!$K:$K,0)),BQ38,INDEX('[1]Définition Maintenances'!$G:$G,MATCH($A38,'[1]Définition Maintenances'!$K:$K,0))+BQ38),BQ38))</f>
        <v>1200</v>
      </c>
      <c r="BS38" s="26">
        <f>IF(ISNUMBER(VLOOKUP($D38,'Visu totale'!$D:$DH,BS$1,0)),BR38-VLOOKUP($D38,'Visu totale'!$D:$DH,BS$1,0),IF(LEFT(VLOOKUP($D38,'Visu totale'!$D:$DH,BS$1,0),1)="V",IF(BR38&gt;=INDEX('[1]Définition Maintenances'!$G:$G,MATCH($A38,'[1]Définition Maintenances'!$K:$K,0)),BR38,INDEX('[1]Définition Maintenances'!$G:$G,MATCH($A38,'[1]Définition Maintenances'!$K:$K,0))+BR38),BR38))</f>
        <v>1200</v>
      </c>
      <c r="BT38" s="26">
        <f>IF(ISNUMBER(VLOOKUP($D38,'Visu totale'!$D:$DH,BT$1,0)),BS38-VLOOKUP($D38,'Visu totale'!$D:$DH,BT$1,0),IF(LEFT(VLOOKUP($D38,'Visu totale'!$D:$DH,BT$1,0),1)="V",IF(BS38&gt;=INDEX('[1]Définition Maintenances'!$G:$G,MATCH($A38,'[1]Définition Maintenances'!$K:$K,0)),BS38,INDEX('[1]Définition Maintenances'!$G:$G,MATCH($A38,'[1]Définition Maintenances'!$K:$K,0))+BS38),BS38))</f>
        <v>1200</v>
      </c>
      <c r="BU38" s="26">
        <f>IF(ISNUMBER(VLOOKUP($D38,'Visu totale'!$D:$DH,BU$1,0)),BT38-VLOOKUP($D38,'Visu totale'!$D:$DH,BU$1,0),IF(LEFT(VLOOKUP($D38,'Visu totale'!$D:$DH,BU$1,0),1)="V",IF(BT38&gt;=INDEX('[1]Définition Maintenances'!$G:$G,MATCH($A38,'[1]Définition Maintenances'!$K:$K,0)),BT38,INDEX('[1]Définition Maintenances'!$G:$G,MATCH($A38,'[1]Définition Maintenances'!$K:$K,0))+BT38),BT38))</f>
        <v>1200</v>
      </c>
      <c r="BV38" s="26">
        <f>IF(ISNUMBER(VLOOKUP($D38,'Visu totale'!$D:$DH,BV$1,0)),BU38-VLOOKUP($D38,'Visu totale'!$D:$DH,BV$1,0),IF(LEFT(VLOOKUP($D38,'Visu totale'!$D:$DH,BV$1,0),1)="V",IF(BU38&gt;=INDEX('[1]Définition Maintenances'!$G:$G,MATCH($A38,'[1]Définition Maintenances'!$K:$K,0)),BU38,INDEX('[1]Définition Maintenances'!$G:$G,MATCH($A38,'[1]Définition Maintenances'!$K:$K,0))+BU38),BU38))</f>
        <v>1200</v>
      </c>
      <c r="BW38" s="26">
        <f>IF(ISNUMBER(VLOOKUP($D38,'Visu totale'!$D:$DH,BW$1,0)),BV38-VLOOKUP($D38,'Visu totale'!$D:$DH,BW$1,0),IF(LEFT(VLOOKUP($D38,'Visu totale'!$D:$DH,BW$1,0),1)="V",IF(BV38&gt;=INDEX('[1]Définition Maintenances'!$G:$G,MATCH($A38,'[1]Définition Maintenances'!$K:$K,0)),BV38,INDEX('[1]Définition Maintenances'!$G:$G,MATCH($A38,'[1]Définition Maintenances'!$K:$K,0))+BV38),BV38))</f>
        <v>1200</v>
      </c>
      <c r="BX38" s="26">
        <f>IF(ISNUMBER(VLOOKUP($D38,'Visu totale'!$D:$DH,BX$1,0)),BW38-VLOOKUP($D38,'Visu totale'!$D:$DH,BX$1,0),IF(LEFT(VLOOKUP($D38,'Visu totale'!$D:$DH,BX$1,0),1)="V",IF(BW38&gt;=INDEX('[1]Définition Maintenances'!$G:$G,MATCH($A38,'[1]Définition Maintenances'!$K:$K,0)),BW38,INDEX('[1]Définition Maintenances'!$G:$G,MATCH($A38,'[1]Définition Maintenances'!$K:$K,0))+BW38),BW38))</f>
        <v>1200</v>
      </c>
      <c r="BY38" s="27">
        <f>IF(ISNUMBER(VLOOKUP($D38,'Visu totale'!$D:$DH,BY$1,0)),BX38-VLOOKUP($D38,'Visu totale'!$D:$DH,BY$1,0),IF(LEFT(VLOOKUP($D38,'Visu totale'!$D:$DH,BY$1,0),1)="V",IF(BX38&gt;=INDEX('[1]Définition Maintenances'!$G:$G,MATCH($A38,'[1]Définition Maintenances'!$K:$K,0)),BX38,INDEX('[1]Définition Maintenances'!$G:$G,MATCH($A38,'[1]Définition Maintenances'!$K:$K,0))+BX38),BX38))</f>
        <v>1200</v>
      </c>
      <c r="BZ38" s="25">
        <f>IF(ISNUMBER(VLOOKUP($D38,'Visu totale'!$D:$DH,BZ$1,0)),BY38-VLOOKUP($D38,'Visu totale'!$D:$DH,BZ$1,0),IF(LEFT(VLOOKUP($D38,'Visu totale'!$D:$DH,BZ$1,0),1)="V",IF(BY38&gt;=INDEX('[1]Définition Maintenances'!$G:$G,MATCH($A38,'[1]Définition Maintenances'!$K:$K,0)),BY38,INDEX('[1]Définition Maintenances'!$G:$G,MATCH($A38,'[1]Définition Maintenances'!$K:$K,0))+BY38),BY38))</f>
        <v>1200</v>
      </c>
      <c r="CA38" s="26">
        <f>IF(ISNUMBER(VLOOKUP($D38,'Visu totale'!$D:$DH,CA$1,0)),BZ38-VLOOKUP($D38,'Visu totale'!$D:$DH,CA$1,0),IF(LEFT(VLOOKUP($D38,'Visu totale'!$D:$DH,CA$1,0),1)="V",IF(BZ38&gt;=INDEX('[1]Définition Maintenances'!$G:$G,MATCH($A38,'[1]Définition Maintenances'!$K:$K,0)),BZ38,INDEX('[1]Définition Maintenances'!$G:$G,MATCH($A38,'[1]Définition Maintenances'!$K:$K,0))+BZ38),BZ38))</f>
        <v>1200</v>
      </c>
      <c r="CB38" s="26">
        <f>IF(ISNUMBER(VLOOKUP($D38,'Visu totale'!$D:$DH,CB$1,0)),CA38-VLOOKUP($D38,'Visu totale'!$D:$DH,CB$1,0),IF(LEFT(VLOOKUP($D38,'Visu totale'!$D:$DH,CB$1,0),1)="V",IF(CA38&gt;=INDEX('[1]Définition Maintenances'!$G:$G,MATCH($A38,'[1]Définition Maintenances'!$K:$K,0)),CA38,INDEX('[1]Définition Maintenances'!$G:$G,MATCH($A38,'[1]Définition Maintenances'!$K:$K,0))+CA38),CA38))</f>
        <v>1200</v>
      </c>
      <c r="CC38" s="26">
        <f>IF(ISNUMBER(VLOOKUP($D38,'Visu totale'!$D:$DH,CC$1,0)),CB38-VLOOKUP($D38,'Visu totale'!$D:$DH,CC$1,0),IF(LEFT(VLOOKUP($D38,'Visu totale'!$D:$DH,CC$1,0),1)="V",IF(CB38&gt;=INDEX('[1]Définition Maintenances'!$G:$G,MATCH($A38,'[1]Définition Maintenances'!$K:$K,0)),CB38,INDEX('[1]Définition Maintenances'!$G:$G,MATCH($A38,'[1]Définition Maintenances'!$K:$K,0))+CB38),CB38))</f>
        <v>1200</v>
      </c>
      <c r="CD38" s="26">
        <f>IF(ISNUMBER(VLOOKUP($D38,'Visu totale'!$D:$DH,CD$1,0)),CC38-VLOOKUP($D38,'Visu totale'!$D:$DH,CD$1,0),IF(LEFT(VLOOKUP($D38,'Visu totale'!$D:$DH,CD$1,0),1)="V",IF(CC38&gt;=INDEX('[1]Définition Maintenances'!$G:$G,MATCH($A38,'[1]Définition Maintenances'!$K:$K,0)),CC38,INDEX('[1]Définition Maintenances'!$G:$G,MATCH($A38,'[1]Définition Maintenances'!$K:$K,0))+CC38),CC38))</f>
        <v>1200</v>
      </c>
      <c r="CE38" s="26">
        <f>IF(ISNUMBER(VLOOKUP($D38,'Visu totale'!$D:$DH,CE$1,0)),CD38-VLOOKUP($D38,'Visu totale'!$D:$DH,CE$1,0),IF(LEFT(VLOOKUP($D38,'Visu totale'!$D:$DH,CE$1,0),1)="V",IF(CD38&gt;=INDEX('[1]Définition Maintenances'!$G:$G,MATCH($A38,'[1]Définition Maintenances'!$K:$K,0)),CD38,INDEX('[1]Définition Maintenances'!$G:$G,MATCH($A38,'[1]Définition Maintenances'!$K:$K,0))+CD38),CD38))</f>
        <v>1200</v>
      </c>
      <c r="CF38" s="26">
        <f>IF(ISNUMBER(VLOOKUP($D38,'Visu totale'!$D:$DH,CF$1,0)),CE38-VLOOKUP($D38,'Visu totale'!$D:$DH,CF$1,0),IF(LEFT(VLOOKUP($D38,'Visu totale'!$D:$DH,CF$1,0),1)="V",IF(CE38&gt;=INDEX('[1]Définition Maintenances'!$G:$G,MATCH($A38,'[1]Définition Maintenances'!$K:$K,0)),CE38,INDEX('[1]Définition Maintenances'!$G:$G,MATCH($A38,'[1]Définition Maintenances'!$K:$K,0))+CE38),CE38))</f>
        <v>1200</v>
      </c>
      <c r="CG38" s="26">
        <f>IF(ISNUMBER(VLOOKUP($D38,'Visu totale'!$D:$DH,CG$1,0)),CF38-VLOOKUP($D38,'Visu totale'!$D:$DH,CG$1,0),IF(LEFT(VLOOKUP($D38,'Visu totale'!$D:$DH,CG$1,0),1)="V",IF(CF38&gt;=INDEX('[1]Définition Maintenances'!$G:$G,MATCH($A38,'[1]Définition Maintenances'!$K:$K,0)),CF38,INDEX('[1]Définition Maintenances'!$G:$G,MATCH($A38,'[1]Définition Maintenances'!$K:$K,0))+CF38),CF38))</f>
        <v>1200</v>
      </c>
      <c r="CH38" s="26">
        <f>IF(ISNUMBER(VLOOKUP($D38,'Visu totale'!$D:$DH,CH$1,0)),CG38-VLOOKUP($D38,'Visu totale'!$D:$DH,CH$1,0),IF(LEFT(VLOOKUP($D38,'Visu totale'!$D:$DH,CH$1,0),1)="V",IF(CG38&gt;=INDEX('[1]Définition Maintenances'!$G:$G,MATCH($A38,'[1]Définition Maintenances'!$K:$K,0)),CG38,INDEX('[1]Définition Maintenances'!$G:$G,MATCH($A38,'[1]Définition Maintenances'!$K:$K,0))+CG38),CG38))</f>
        <v>1200</v>
      </c>
      <c r="CI38" s="26">
        <f>IF(ISNUMBER(VLOOKUP($D38,'Visu totale'!$D:$DH,CI$1,0)),CH38-VLOOKUP($D38,'Visu totale'!$D:$DH,CI$1,0),IF(LEFT(VLOOKUP($D38,'Visu totale'!$D:$DH,CI$1,0),1)="V",IF(CH38&gt;=INDEX('[1]Définition Maintenances'!$G:$G,MATCH($A38,'[1]Définition Maintenances'!$K:$K,0)),CH38,INDEX('[1]Définition Maintenances'!$G:$G,MATCH($A38,'[1]Définition Maintenances'!$K:$K,0))+CH38),CH38))</f>
        <v>1200</v>
      </c>
      <c r="CJ38" s="26">
        <f>IF(ISNUMBER(VLOOKUP($D38,'Visu totale'!$D:$DH,CJ$1,0)),CI38-VLOOKUP($D38,'Visu totale'!$D:$DH,CJ$1,0),IF(LEFT(VLOOKUP($D38,'Visu totale'!$D:$DH,CJ$1,0),1)="V",IF(CI38&gt;=INDEX('[1]Définition Maintenances'!$G:$G,MATCH($A38,'[1]Définition Maintenances'!$K:$K,0)),CI38,INDEX('[1]Définition Maintenances'!$G:$G,MATCH($A38,'[1]Définition Maintenances'!$K:$K,0))+CI38),CI38))</f>
        <v>1200</v>
      </c>
      <c r="CK38" s="27">
        <f>IF(ISNUMBER(VLOOKUP($D38,'Visu totale'!$D:$DH,CK$1,0)),CJ38-VLOOKUP($D38,'Visu totale'!$D:$DH,CK$1,0),IF(LEFT(VLOOKUP($D38,'Visu totale'!$D:$DH,CK$1,0),1)="V",IF(CJ38&gt;=INDEX('[1]Définition Maintenances'!$G:$G,MATCH($A38,'[1]Définition Maintenances'!$K:$K,0)),CJ38,INDEX('[1]Définition Maintenances'!$G:$G,MATCH($A38,'[1]Définition Maintenances'!$K:$K,0))+CJ38),CJ38))</f>
        <v>1200</v>
      </c>
      <c r="CL38" s="25">
        <f>IF(ISNUMBER(VLOOKUP($D38,'Visu totale'!$D:$DH,CL$1,0)),CK38-VLOOKUP($D38,'Visu totale'!$D:$DH,CL$1,0),IF(LEFT(VLOOKUP($D38,'Visu totale'!$D:$DH,CL$1,0),1)="V",IF(CK38&gt;=INDEX('[1]Définition Maintenances'!$G:$G,MATCH($A38,'[1]Définition Maintenances'!$K:$K,0)),CK38,INDEX('[1]Définition Maintenances'!$G:$G,MATCH($A38,'[1]Définition Maintenances'!$K:$K,0))+CK38),CK38))</f>
        <v>1200</v>
      </c>
      <c r="CM38" s="26">
        <f>IF(ISNUMBER(VLOOKUP($D38,'Visu totale'!$D:$DH,CM$1,0)),CL38-VLOOKUP($D38,'Visu totale'!$D:$DH,CM$1,0),IF(LEFT(VLOOKUP($D38,'Visu totale'!$D:$DH,CM$1,0),1)="V",IF(CL38&gt;=INDEX('[1]Définition Maintenances'!$G:$G,MATCH($A38,'[1]Définition Maintenances'!$K:$K,0)),CL38,INDEX('[1]Définition Maintenances'!$G:$G,MATCH($A38,'[1]Définition Maintenances'!$K:$K,0))+CL38),CL38))</f>
        <v>1200</v>
      </c>
      <c r="CN38" s="26">
        <f>IF(ISNUMBER(VLOOKUP($D38,'Visu totale'!$D:$DH,CN$1,0)),CM38-VLOOKUP($D38,'Visu totale'!$D:$DH,CN$1,0),IF(LEFT(VLOOKUP($D38,'Visu totale'!$D:$DH,CN$1,0),1)="V",IF(CM38&gt;=INDEX('[1]Définition Maintenances'!$G:$G,MATCH($A38,'[1]Définition Maintenances'!$K:$K,0)),CM38,INDEX('[1]Définition Maintenances'!$G:$G,MATCH($A38,'[1]Définition Maintenances'!$K:$K,0))+CM38),CM38))</f>
        <v>1200</v>
      </c>
      <c r="CO38" s="26">
        <f>IF(ISNUMBER(VLOOKUP($D38,'Visu totale'!$D:$DH,CO$1,0)),CN38-VLOOKUP($D38,'Visu totale'!$D:$DH,CO$1,0),IF(LEFT(VLOOKUP($D38,'Visu totale'!$D:$DH,CO$1,0),1)="V",IF(CN38&gt;=INDEX('[1]Définition Maintenances'!$G:$G,MATCH($A38,'[1]Définition Maintenances'!$K:$K,0)),CN38,INDEX('[1]Définition Maintenances'!$G:$G,MATCH($A38,'[1]Définition Maintenances'!$K:$K,0))+CN38),CN38))</f>
        <v>1200</v>
      </c>
      <c r="CP38" s="26">
        <f>IF(ISNUMBER(VLOOKUP($D38,'Visu totale'!$D:$DH,CP$1,0)),CO38-VLOOKUP($D38,'Visu totale'!$D:$DH,CP$1,0),IF(LEFT(VLOOKUP($D38,'Visu totale'!$D:$DH,CP$1,0),1)="V",IF(CO38&gt;=INDEX('[1]Définition Maintenances'!$G:$G,MATCH($A38,'[1]Définition Maintenances'!$K:$K,0)),CO38,INDEX('[1]Définition Maintenances'!$G:$G,MATCH($A38,'[1]Définition Maintenances'!$K:$K,0))+CO38),CO38))</f>
        <v>1200</v>
      </c>
      <c r="CQ38" s="26">
        <f>IF(ISNUMBER(VLOOKUP($D38,'Visu totale'!$D:$DH,CQ$1,0)),CP38-VLOOKUP($D38,'Visu totale'!$D:$DH,CQ$1,0),IF(LEFT(VLOOKUP($D38,'Visu totale'!$D:$DH,CQ$1,0),1)="V",IF(CP38&gt;=INDEX('[1]Définition Maintenances'!$G:$G,MATCH($A38,'[1]Définition Maintenances'!$K:$K,0)),CP38,INDEX('[1]Définition Maintenances'!$G:$G,MATCH($A38,'[1]Définition Maintenances'!$K:$K,0))+CP38),CP38))</f>
        <v>1200</v>
      </c>
      <c r="CR38" s="26">
        <f>IF(ISNUMBER(VLOOKUP($D38,'Visu totale'!$D:$DH,CR$1,0)),CQ38-VLOOKUP($D38,'Visu totale'!$D:$DH,CR$1,0),IF(LEFT(VLOOKUP($D38,'Visu totale'!$D:$DH,CR$1,0),1)="V",IF(CQ38&gt;=INDEX('[1]Définition Maintenances'!$G:$G,MATCH($A38,'[1]Définition Maintenances'!$K:$K,0)),CQ38,INDEX('[1]Définition Maintenances'!$G:$G,MATCH($A38,'[1]Définition Maintenances'!$K:$K,0))+CQ38),CQ38))</f>
        <v>1200</v>
      </c>
      <c r="CS38" s="26">
        <f>IF(ISNUMBER(VLOOKUP($D38,'Visu totale'!$D:$DH,CS$1,0)),CR38-VLOOKUP($D38,'Visu totale'!$D:$DH,CS$1,0),IF(LEFT(VLOOKUP($D38,'Visu totale'!$D:$DH,CS$1,0),1)="V",IF(CR38&gt;=INDEX('[1]Définition Maintenances'!$G:$G,MATCH($A38,'[1]Définition Maintenances'!$K:$K,0)),CR38,INDEX('[1]Définition Maintenances'!$G:$G,MATCH($A38,'[1]Définition Maintenances'!$K:$K,0))+CR38),CR38))</f>
        <v>1200</v>
      </c>
      <c r="CT38" s="26">
        <f>IF(ISNUMBER(VLOOKUP($D38,'Visu totale'!$D:$DH,CT$1,0)),CS38-VLOOKUP($D38,'Visu totale'!$D:$DH,CT$1,0),IF(LEFT(VLOOKUP($D38,'Visu totale'!$D:$DH,CT$1,0),1)="V",IF(CS38&gt;=INDEX('[1]Définition Maintenances'!$G:$G,MATCH($A38,'[1]Définition Maintenances'!$K:$K,0)),CS38,INDEX('[1]Définition Maintenances'!$G:$G,MATCH($A38,'[1]Définition Maintenances'!$K:$K,0))+CS38),CS38))</f>
        <v>1200</v>
      </c>
      <c r="CU38" s="26">
        <f>IF(ISNUMBER(VLOOKUP($D38,'Visu totale'!$D:$DH,CU$1,0)),CT38-VLOOKUP($D38,'Visu totale'!$D:$DH,CU$1,0),IF(LEFT(VLOOKUP($D38,'Visu totale'!$D:$DH,CU$1,0),1)="V",IF(CT38&gt;=INDEX('[1]Définition Maintenances'!$G:$G,MATCH($A38,'[1]Définition Maintenances'!$K:$K,0)),CT38,INDEX('[1]Définition Maintenances'!$G:$G,MATCH($A38,'[1]Définition Maintenances'!$K:$K,0))+CT38),CT38))</f>
        <v>1200</v>
      </c>
      <c r="CV38" s="26">
        <f>IF(ISNUMBER(VLOOKUP($D38,'Visu totale'!$D:$DH,CV$1,0)),CU38-VLOOKUP($D38,'Visu totale'!$D:$DH,CV$1,0),IF(LEFT(VLOOKUP($D38,'Visu totale'!$D:$DH,CV$1,0),1)="V",IF(CU38&gt;=INDEX('[1]Définition Maintenances'!$G:$G,MATCH($A38,'[1]Définition Maintenances'!$K:$K,0)),CU38,INDEX('[1]Définition Maintenances'!$G:$G,MATCH($A38,'[1]Définition Maintenances'!$K:$K,0))+CU38),CU38))</f>
        <v>1200</v>
      </c>
      <c r="CW38" s="27">
        <f>IF(ISNUMBER(VLOOKUP($D38,'Visu totale'!$D:$DH,CW$1,0)),CV38-VLOOKUP($D38,'Visu totale'!$D:$DH,CW$1,0),IF(LEFT(VLOOKUP($D38,'Visu totale'!$D:$DH,CW$1,0),1)="V",IF(CV38&gt;=INDEX('[1]Définition Maintenances'!$G:$G,MATCH($A38,'[1]Définition Maintenances'!$K:$K,0)),CV38,INDEX('[1]Définition Maintenances'!$G:$G,MATCH($A38,'[1]Définition Maintenances'!$K:$K,0))+CV38),CV38))</f>
        <v>1200</v>
      </c>
      <c r="CX38" s="25">
        <f>IF(ISNUMBER(VLOOKUP($D38,'Visu totale'!$D:$DH,CX$1,0)),CW38-VLOOKUP($D38,'Visu totale'!$D:$DH,CX$1,0),IF(LEFT(VLOOKUP($D38,'Visu totale'!$D:$DH,CX$1,0),1)="V",IF(CW38&gt;=INDEX('[1]Définition Maintenances'!$G:$G,MATCH($A38,'[1]Définition Maintenances'!$K:$K,0)),CW38,INDEX('[1]Définition Maintenances'!$G:$G,MATCH($A38,'[1]Définition Maintenances'!$K:$K,0))+CW38),CW38))</f>
        <v>1200</v>
      </c>
      <c r="CY38" s="26">
        <f>IF(ISNUMBER(VLOOKUP($D38,'Visu totale'!$D:$DH,CY$1,0)),CX38-VLOOKUP($D38,'Visu totale'!$D:$DH,CY$1,0),IF(LEFT(VLOOKUP($D38,'Visu totale'!$D:$DH,CY$1,0),1)="V",IF(CX38&gt;=INDEX('[1]Définition Maintenances'!$G:$G,MATCH($A38,'[1]Définition Maintenances'!$K:$K,0)),CX38,INDEX('[1]Définition Maintenances'!$G:$G,MATCH($A38,'[1]Définition Maintenances'!$K:$K,0))+CX38),CX38))</f>
        <v>1200</v>
      </c>
      <c r="CZ38" s="26">
        <f>IF(ISNUMBER(VLOOKUP($D38,'Visu totale'!$D:$DH,CZ$1,0)),CY38-VLOOKUP($D38,'Visu totale'!$D:$DH,CZ$1,0),IF(LEFT(VLOOKUP($D38,'Visu totale'!$D:$DH,CZ$1,0),1)="V",IF(CY38&gt;=INDEX('[1]Définition Maintenances'!$G:$G,MATCH($A38,'[1]Définition Maintenances'!$K:$K,0)),CY38,INDEX('[1]Définition Maintenances'!$G:$G,MATCH($A38,'[1]Définition Maintenances'!$K:$K,0))+CY38),CY38))</f>
        <v>1200</v>
      </c>
      <c r="DA38" s="26">
        <f>IF(ISNUMBER(VLOOKUP($D38,'Visu totale'!$D:$DH,DA$1,0)),CZ38-VLOOKUP($D38,'Visu totale'!$D:$DH,DA$1,0),IF(LEFT(VLOOKUP($D38,'Visu totale'!$D:$DH,DA$1,0),1)="V",IF(CZ38&gt;=INDEX('[1]Définition Maintenances'!$G:$G,MATCH($A38,'[1]Définition Maintenances'!$K:$K,0)),CZ38,INDEX('[1]Définition Maintenances'!$G:$G,MATCH($A38,'[1]Définition Maintenances'!$K:$K,0))+CZ38),CZ38))</f>
        <v>1200</v>
      </c>
      <c r="DB38" s="26">
        <f>IF(ISNUMBER(VLOOKUP($D38,'Visu totale'!$D:$DH,DB$1,0)),DA38-VLOOKUP($D38,'Visu totale'!$D:$DH,DB$1,0),IF(LEFT(VLOOKUP($D38,'Visu totale'!$D:$DH,DB$1,0),1)="V",IF(DA38&gt;=INDEX('[1]Définition Maintenances'!$G:$G,MATCH($A38,'[1]Définition Maintenances'!$K:$K,0)),DA38,INDEX('[1]Définition Maintenances'!$G:$G,MATCH($A38,'[1]Définition Maintenances'!$K:$K,0))+DA38),DA38))</f>
        <v>1200</v>
      </c>
      <c r="DC38" s="26">
        <f>IF(ISNUMBER(VLOOKUP($D38,'Visu totale'!$D:$DH,DC$1,0)),DB38-VLOOKUP($D38,'Visu totale'!$D:$DH,DC$1,0),IF(LEFT(VLOOKUP($D38,'Visu totale'!$D:$DH,DC$1,0),1)="V",IF(DB38&gt;=INDEX('[1]Définition Maintenances'!$G:$G,MATCH($A38,'[1]Définition Maintenances'!$K:$K,0)),DB38,INDEX('[1]Définition Maintenances'!$G:$G,MATCH($A38,'[1]Définition Maintenances'!$K:$K,0))+DB38),DB38))</f>
        <v>1200</v>
      </c>
      <c r="DD38" s="26">
        <f>IF(ISNUMBER(VLOOKUP($D38,'Visu totale'!$D:$DH,DD$1,0)),DC38-VLOOKUP($D38,'Visu totale'!$D:$DH,DD$1,0),IF(LEFT(VLOOKUP($D38,'Visu totale'!$D:$DH,DD$1,0),1)="V",IF(DC38&gt;=INDEX('[1]Définition Maintenances'!$G:$G,MATCH($A38,'[1]Définition Maintenances'!$K:$K,0)),DC38,INDEX('[1]Définition Maintenances'!$G:$G,MATCH($A38,'[1]Définition Maintenances'!$K:$K,0))+DC38),DC38))</f>
        <v>1200</v>
      </c>
      <c r="DE38" s="26">
        <f>IF(ISNUMBER(VLOOKUP($D38,'Visu totale'!$D:$DH,DE$1,0)),DD38-VLOOKUP($D38,'Visu totale'!$D:$DH,DE$1,0),IF(LEFT(VLOOKUP($D38,'Visu totale'!$D:$DH,DE$1,0),1)="V",IF(DD38&gt;=INDEX('[1]Définition Maintenances'!$G:$G,MATCH($A38,'[1]Définition Maintenances'!$K:$K,0)),DD38,INDEX('[1]Définition Maintenances'!$G:$G,MATCH($A38,'[1]Définition Maintenances'!$K:$K,0))+DD38),DD38))</f>
        <v>1200</v>
      </c>
      <c r="DF38" s="26">
        <f>IF(ISNUMBER(VLOOKUP($D38,'Visu totale'!$D:$DH,DF$1,0)),DE38-VLOOKUP($D38,'Visu totale'!$D:$DH,DF$1,0),IF(LEFT(VLOOKUP($D38,'Visu totale'!$D:$DH,DF$1,0),1)="V",IF(DE38&gt;=INDEX('[1]Définition Maintenances'!$G:$G,MATCH($A38,'[1]Définition Maintenances'!$K:$K,0)),DE38,INDEX('[1]Définition Maintenances'!$G:$G,MATCH($A38,'[1]Définition Maintenances'!$K:$K,0))+DE38),DE38))</f>
        <v>1200</v>
      </c>
      <c r="DG38" s="26">
        <f>IF(ISNUMBER(VLOOKUP($D38,'Visu totale'!$D:$DH,DG$1,0)),DF38-VLOOKUP($D38,'Visu totale'!$D:$DH,DG$1,0),IF(LEFT(VLOOKUP($D38,'Visu totale'!$D:$DH,DG$1,0),1)="V",IF(DF38&gt;=INDEX('[1]Définition Maintenances'!$G:$G,MATCH($A38,'[1]Définition Maintenances'!$K:$K,0)),DF38,INDEX('[1]Définition Maintenances'!$G:$G,MATCH($A38,'[1]Définition Maintenances'!$K:$K,0))+DF38),DF38))</f>
        <v>1200</v>
      </c>
      <c r="DH38" s="26">
        <f>IF(ISNUMBER(VLOOKUP($D38,'Visu totale'!$D:$DH,DH$1,0)),DG38-VLOOKUP($D38,'Visu totale'!$D:$DH,DH$1,0),IF(LEFT(VLOOKUP($D38,'Visu totale'!$D:$DH,DH$1,0),1)="V",IF(DG38&gt;=INDEX('[1]Définition Maintenances'!$G:$G,MATCH($A38,'[1]Définition Maintenances'!$K:$K,0)),DG38,INDEX('[1]Définition Maintenances'!$G:$G,MATCH($A38,'[1]Définition Maintenances'!$K:$K,0))+DG38),DG38))</f>
        <v>1200</v>
      </c>
      <c r="DI38" s="27">
        <f>IF(ISNUMBER(VLOOKUP($D38,'Visu totale'!$D:$DH,DI$1,0)),DH38-VLOOKUP($D38,'Visu totale'!$D:$DH,DI$1,0),IF(LEFT(VLOOKUP($D38,'Visu totale'!$D:$DH,DI$1,0),1)="V",IF(DH38&gt;=INDEX('[1]Définition Maintenances'!$G:$G,MATCH($A38,'[1]Définition Maintenances'!$K:$K,0)),DH38,INDEX('[1]Définition Maintenances'!$G:$G,MATCH($A38,'[1]Définition Maintenances'!$K:$K,0))+DH38),DH38))</f>
        <v>1200</v>
      </c>
    </row>
    <row r="39" spans="1:113" x14ac:dyDescent="0.25">
      <c r="A39" s="13" t="str">
        <f t="shared" si="1"/>
        <v>V10D</v>
      </c>
      <c r="B39" s="13" t="str">
        <f>VLOOKUP(D39,'[1]Avions (Potentiels)'!$B$2:$H$128,7,FALSE)</f>
        <v>V10</v>
      </c>
      <c r="C39" s="13"/>
      <c r="D39" s="16" t="s">
        <v>42</v>
      </c>
      <c r="E39" s="13">
        <f>IFERROR(VALUE(SUBSTITUTE(VLOOKUP(D39,'[1]Avions (Potentiels)'!$B:$E,4,0),".",",")),VALUE(VLOOKUP(D39,'[1]Avions (Potentiels)'!$B:$E,4,0)))</f>
        <v>810</v>
      </c>
      <c r="F39" s="25">
        <f>IF(ISNUMBER(VLOOKUP($D39,'Visu totale'!$D:$DH,F$1,0)),E39-VLOOKUP($D39,'Visu totale'!$D:$DH,F$1,0),IF(LEFT(VLOOKUP($D39,'Visu totale'!$D:$DH,F$1,0),1)="V",IF(E39&gt;=INDEX('[1]Définition Maintenances'!$G:$G,MATCH($A39,'[1]Définition Maintenances'!$K:$K,0)),E39,INDEX('[1]Définition Maintenances'!$G:$G,MATCH($A39,'[1]Définition Maintenances'!$K:$K,0))+E39),E39))</f>
        <v>810</v>
      </c>
      <c r="G39" s="26">
        <f>IF(ISNUMBER(VLOOKUP($D39,'Visu totale'!$D:$DH,G$1,0)),F39-VLOOKUP($D39,'Visu totale'!$D:$DH,G$1,0),IF(LEFT(VLOOKUP($D39,'Visu totale'!$D:$DH,G$1,0),1)="V",IF(F39&gt;=INDEX('[1]Définition Maintenances'!$G:$G,MATCH($A39,'[1]Définition Maintenances'!$K:$K,0)),F39,INDEX('[1]Définition Maintenances'!$G:$G,MATCH($A39,'[1]Définition Maintenances'!$K:$K,0))+F39),F39))</f>
        <v>810</v>
      </c>
      <c r="H39" s="26">
        <f>IF(ISNUMBER(VLOOKUP($D39,'Visu totale'!$D:$DH,H$1,0)),G39-VLOOKUP($D39,'Visu totale'!$D:$DH,H$1,0),IF(LEFT(VLOOKUP($D39,'Visu totale'!$D:$DH,H$1,0),1)="V",IF(G39&gt;=INDEX('[1]Définition Maintenances'!$G:$G,MATCH($A39,'[1]Définition Maintenances'!$K:$K,0)),G39,INDEX('[1]Définition Maintenances'!$G:$G,MATCH($A39,'[1]Définition Maintenances'!$K:$K,0))+G39),G39))</f>
        <v>810</v>
      </c>
      <c r="I39" s="26">
        <f>IF(ISNUMBER(VLOOKUP($D39,'Visu totale'!$D:$DH,I$1,0)),H39-VLOOKUP($D39,'Visu totale'!$D:$DH,I$1,0),IF(LEFT(VLOOKUP($D39,'Visu totale'!$D:$DH,I$1,0),1)="V",IF(H39&gt;=INDEX('[1]Définition Maintenances'!$G:$G,MATCH($A39,'[1]Définition Maintenances'!$K:$K,0)),H39,INDEX('[1]Définition Maintenances'!$G:$G,MATCH($A39,'[1]Définition Maintenances'!$K:$K,0))+H39),H39))</f>
        <v>810</v>
      </c>
      <c r="J39" s="26">
        <f>IF(ISNUMBER(VLOOKUP($D39,'Visu totale'!$D:$DH,J$1,0)),I39-VLOOKUP($D39,'Visu totale'!$D:$DH,J$1,0),IF(LEFT(VLOOKUP($D39,'Visu totale'!$D:$DH,J$1,0),1)="V",IF(I39&gt;=INDEX('[1]Définition Maintenances'!$G:$G,MATCH($A39,'[1]Définition Maintenances'!$K:$K,0)),I39,INDEX('[1]Définition Maintenances'!$G:$G,MATCH($A39,'[1]Définition Maintenances'!$K:$K,0))+I39),I39))</f>
        <v>810</v>
      </c>
      <c r="K39" s="26">
        <f>IF(ISNUMBER(VLOOKUP($D39,'Visu totale'!$D:$DH,K$1,0)),J39-VLOOKUP($D39,'Visu totale'!$D:$DH,K$1,0),IF(LEFT(VLOOKUP($D39,'Visu totale'!$D:$DH,K$1,0),1)="V",IF(J39&gt;=INDEX('[1]Définition Maintenances'!$G:$G,MATCH($A39,'[1]Définition Maintenances'!$K:$K,0)),J39,INDEX('[1]Définition Maintenances'!$G:$G,MATCH($A39,'[1]Définition Maintenances'!$K:$K,0))+J39),J39))</f>
        <v>810</v>
      </c>
      <c r="L39" s="26">
        <f>IF(ISNUMBER(VLOOKUP($D39,'Visu totale'!$D:$DH,L$1,0)),K39-VLOOKUP($D39,'Visu totale'!$D:$DH,L$1,0),IF(LEFT(VLOOKUP($D39,'Visu totale'!$D:$DH,L$1,0),1)="V",IF(K39&gt;=INDEX('[1]Définition Maintenances'!$G:$G,MATCH($A39,'[1]Définition Maintenances'!$K:$K,0)),K39,INDEX('[1]Définition Maintenances'!$G:$G,MATCH($A39,'[1]Définition Maintenances'!$K:$K,0))+K39),K39))</f>
        <v>810</v>
      </c>
      <c r="M39" s="26">
        <f>IF(ISNUMBER(VLOOKUP($D39,'Visu totale'!$D:$DH,M$1,0)),L39-VLOOKUP($D39,'Visu totale'!$D:$DH,M$1,0),IF(LEFT(VLOOKUP($D39,'Visu totale'!$D:$DH,M$1,0),1)="V",IF(L39&gt;=INDEX('[1]Définition Maintenances'!$G:$G,MATCH($A39,'[1]Définition Maintenances'!$K:$K,0)),L39,INDEX('[1]Définition Maintenances'!$G:$G,MATCH($A39,'[1]Définition Maintenances'!$K:$K,0))+L39),L39))</f>
        <v>810</v>
      </c>
      <c r="N39" s="26">
        <f>IF(ISNUMBER(VLOOKUP($D39,'Visu totale'!$D:$DH,N$1,0)),M39-VLOOKUP($D39,'Visu totale'!$D:$DH,N$1,0),IF(LEFT(VLOOKUP($D39,'Visu totale'!$D:$DH,N$1,0),1)="V",IF(M39&gt;=INDEX('[1]Définition Maintenances'!$G:$G,MATCH($A39,'[1]Définition Maintenances'!$K:$K,0)),M39,INDEX('[1]Définition Maintenances'!$G:$G,MATCH($A39,'[1]Définition Maintenances'!$K:$K,0))+M39),M39))</f>
        <v>810</v>
      </c>
      <c r="O39" s="26">
        <f>IF(ISNUMBER(VLOOKUP($D39,'Visu totale'!$D:$DH,O$1,0)),N39-VLOOKUP($D39,'Visu totale'!$D:$DH,O$1,0),IF(LEFT(VLOOKUP($D39,'Visu totale'!$D:$DH,O$1,0),1)="V",IF(N39&gt;=INDEX('[1]Définition Maintenances'!$G:$G,MATCH($A39,'[1]Définition Maintenances'!$K:$K,0)),N39,INDEX('[1]Définition Maintenances'!$G:$G,MATCH($A39,'[1]Définition Maintenances'!$K:$K,0))+N39),N39))</f>
        <v>810</v>
      </c>
      <c r="P39" s="26">
        <f>IF(ISNUMBER(VLOOKUP($D39,'Visu totale'!$D:$DH,P$1,0)),O39-VLOOKUP($D39,'Visu totale'!$D:$DH,P$1,0),IF(LEFT(VLOOKUP($D39,'Visu totale'!$D:$DH,P$1,0),1)="V",IF(O39&gt;=INDEX('[1]Définition Maintenances'!$G:$G,MATCH($A39,'[1]Définition Maintenances'!$K:$K,0)),O39,INDEX('[1]Définition Maintenances'!$G:$G,MATCH($A39,'[1]Définition Maintenances'!$K:$K,0))+O39),O39))</f>
        <v>810</v>
      </c>
      <c r="Q39" s="27">
        <f>IF(ISNUMBER(VLOOKUP($D39,'Visu totale'!$D:$DH,Q$1,0)),P39-VLOOKUP($D39,'Visu totale'!$D:$DH,Q$1,0),IF(LEFT(VLOOKUP($D39,'Visu totale'!$D:$DH,Q$1,0),1)="V",IF(P39&gt;=INDEX('[1]Définition Maintenances'!$G:$G,MATCH($A39,'[1]Définition Maintenances'!$K:$K,0)),P39,INDEX('[1]Définition Maintenances'!$G:$G,MATCH($A39,'[1]Définition Maintenances'!$K:$K,0))+P39),P39))</f>
        <v>810</v>
      </c>
      <c r="R39" s="25">
        <f>IF(ISNUMBER(VLOOKUP($D39,'Visu totale'!$D:$DH,R$1,0)),Q39-VLOOKUP($D39,'Visu totale'!$D:$DH,R$1,0),IF(LEFT(VLOOKUP($D39,'Visu totale'!$D:$DH,R$1,0),1)="V",IF(Q39&gt;=INDEX('[1]Définition Maintenances'!$G:$G,MATCH($A39,'[1]Définition Maintenances'!$K:$K,0)),Q39,INDEX('[1]Définition Maintenances'!$G:$G,MATCH($A39,'[1]Définition Maintenances'!$K:$K,0))+Q39),Q39))</f>
        <v>810</v>
      </c>
      <c r="S39" s="26">
        <f>IF(ISNUMBER(VLOOKUP($D39,'Visu totale'!$D:$DH,S$1,0)),R39-VLOOKUP($D39,'Visu totale'!$D:$DH,S$1,0),IF(LEFT(VLOOKUP($D39,'Visu totale'!$D:$DH,S$1,0),1)="V",IF(R39&gt;=INDEX('[1]Définition Maintenances'!$G:$G,MATCH($A39,'[1]Définition Maintenances'!$K:$K,0)),R39,INDEX('[1]Définition Maintenances'!$G:$G,MATCH($A39,'[1]Définition Maintenances'!$K:$K,0))+R39),R39))</f>
        <v>810</v>
      </c>
      <c r="T39" s="26">
        <f>IF(ISNUMBER(VLOOKUP($D39,'Visu totale'!$D:$DH,T$1,0)),S39-VLOOKUP($D39,'Visu totale'!$D:$DH,T$1,0),IF(LEFT(VLOOKUP($D39,'Visu totale'!$D:$DH,T$1,0),1)="V",IF(S39&gt;=INDEX('[1]Définition Maintenances'!$G:$G,MATCH($A39,'[1]Définition Maintenances'!$K:$K,0)),S39,INDEX('[1]Définition Maintenances'!$G:$G,MATCH($A39,'[1]Définition Maintenances'!$K:$K,0))+S39),S39))</f>
        <v>810</v>
      </c>
      <c r="U39" s="26">
        <f>IF(ISNUMBER(VLOOKUP($D39,'Visu totale'!$D:$DH,U$1,0)),T39-VLOOKUP($D39,'Visu totale'!$D:$DH,U$1,0),IF(LEFT(VLOOKUP($D39,'Visu totale'!$D:$DH,U$1,0),1)="V",IF(T39&gt;=INDEX('[1]Définition Maintenances'!$G:$G,MATCH($A39,'[1]Définition Maintenances'!$K:$K,0)),T39,INDEX('[1]Définition Maintenances'!$G:$G,MATCH($A39,'[1]Définition Maintenances'!$K:$K,0))+T39),T39))</f>
        <v>810</v>
      </c>
      <c r="V39" s="26">
        <f>IF(ISNUMBER(VLOOKUP($D39,'Visu totale'!$D:$DH,V$1,0)),U39-VLOOKUP($D39,'Visu totale'!$D:$DH,V$1,0),IF(LEFT(VLOOKUP($D39,'Visu totale'!$D:$DH,V$1,0),1)="V",IF(U39&gt;=INDEX('[1]Définition Maintenances'!$G:$G,MATCH($A39,'[1]Définition Maintenances'!$K:$K,0)),U39,INDEX('[1]Définition Maintenances'!$G:$G,MATCH($A39,'[1]Définition Maintenances'!$K:$K,0))+U39),U39))</f>
        <v>810</v>
      </c>
      <c r="W39" s="26">
        <f>IF(ISNUMBER(VLOOKUP($D39,'Visu totale'!$D:$DH,W$1,0)),V39-VLOOKUP($D39,'Visu totale'!$D:$DH,W$1,0),IF(LEFT(VLOOKUP($D39,'Visu totale'!$D:$DH,W$1,0),1)="V",IF(V39&gt;=INDEX('[1]Définition Maintenances'!$G:$G,MATCH($A39,'[1]Définition Maintenances'!$K:$K,0)),V39,INDEX('[1]Définition Maintenances'!$G:$G,MATCH($A39,'[1]Définition Maintenances'!$K:$K,0))+V39),V39))</f>
        <v>810</v>
      </c>
      <c r="X39" s="26">
        <f>IF(ISNUMBER(VLOOKUP($D39,'Visu totale'!$D:$DH,X$1,0)),W39-VLOOKUP($D39,'Visu totale'!$D:$DH,X$1,0),IF(LEFT(VLOOKUP($D39,'Visu totale'!$D:$DH,X$1,0),1)="V",IF(W39&gt;=INDEX('[1]Définition Maintenances'!$G:$G,MATCH($A39,'[1]Définition Maintenances'!$K:$K,0)),W39,INDEX('[1]Définition Maintenances'!$G:$G,MATCH($A39,'[1]Définition Maintenances'!$K:$K,0))+W39),W39))</f>
        <v>810</v>
      </c>
      <c r="Y39" s="26">
        <f>IF(ISNUMBER(VLOOKUP($D39,'Visu totale'!$D:$DH,Y$1,0)),X39-VLOOKUP($D39,'Visu totale'!$D:$DH,Y$1,0),IF(LEFT(VLOOKUP($D39,'Visu totale'!$D:$DH,Y$1,0),1)="V",IF(X39&gt;=INDEX('[1]Définition Maintenances'!$G:$G,MATCH($A39,'[1]Définition Maintenances'!$K:$K,0)),X39,INDEX('[1]Définition Maintenances'!$G:$G,MATCH($A39,'[1]Définition Maintenances'!$K:$K,0))+X39),X39))</f>
        <v>810</v>
      </c>
      <c r="Z39" s="26">
        <f>IF(ISNUMBER(VLOOKUP($D39,'Visu totale'!$D:$DH,Z$1,0)),Y39-VLOOKUP($D39,'Visu totale'!$D:$DH,Z$1,0),IF(LEFT(VLOOKUP($D39,'Visu totale'!$D:$DH,Z$1,0),1)="V",IF(Y39&gt;=INDEX('[1]Définition Maintenances'!$G:$G,MATCH($A39,'[1]Définition Maintenances'!$K:$K,0)),Y39,INDEX('[1]Définition Maintenances'!$G:$G,MATCH($A39,'[1]Définition Maintenances'!$K:$K,0))+Y39),Y39))</f>
        <v>810</v>
      </c>
      <c r="AA39" s="26">
        <f>IF(ISNUMBER(VLOOKUP($D39,'Visu totale'!$D:$DH,AA$1,0)),Z39-VLOOKUP($D39,'Visu totale'!$D:$DH,AA$1,0),IF(LEFT(VLOOKUP($D39,'Visu totale'!$D:$DH,AA$1,0),1)="V",IF(Z39&gt;=INDEX('[1]Définition Maintenances'!$G:$G,MATCH($A39,'[1]Définition Maintenances'!$K:$K,0)),Z39,INDEX('[1]Définition Maintenances'!$G:$G,MATCH($A39,'[1]Définition Maintenances'!$K:$K,0))+Z39),Z39))</f>
        <v>810</v>
      </c>
      <c r="AB39" s="26">
        <f>IF(ISNUMBER(VLOOKUP($D39,'Visu totale'!$D:$DH,AB$1,0)),AA39-VLOOKUP($D39,'Visu totale'!$D:$DH,AB$1,0),IF(LEFT(VLOOKUP($D39,'Visu totale'!$D:$DH,AB$1,0),1)="V",IF(AA39&gt;=INDEX('[1]Définition Maintenances'!$G:$G,MATCH($A39,'[1]Définition Maintenances'!$K:$K,0)),AA39,INDEX('[1]Définition Maintenances'!$G:$G,MATCH($A39,'[1]Définition Maintenances'!$K:$K,0))+AA39),AA39))</f>
        <v>810</v>
      </c>
      <c r="AC39" s="27">
        <f>IF(ISNUMBER(VLOOKUP($D39,'Visu totale'!$D:$DH,AC$1,0)),AB39-VLOOKUP($D39,'Visu totale'!$D:$DH,AC$1,0),IF(LEFT(VLOOKUP($D39,'Visu totale'!$D:$DH,AC$1,0),1)="V",IF(AB39&gt;=INDEX('[1]Définition Maintenances'!$G:$G,MATCH($A39,'[1]Définition Maintenances'!$K:$K,0)),AB39,INDEX('[1]Définition Maintenances'!$G:$G,MATCH($A39,'[1]Définition Maintenances'!$K:$K,0))+AB39),AB39))</f>
        <v>810</v>
      </c>
      <c r="AD39" s="25">
        <f>IF(ISNUMBER(VLOOKUP($D39,'Visu totale'!$D:$DH,AD$1,0)),AC39-VLOOKUP($D39,'Visu totale'!$D:$DH,AD$1,0),IF(LEFT(VLOOKUP($D39,'Visu totale'!$D:$DH,AD$1,0),1)="V",IF(AC39&gt;=INDEX('[1]Définition Maintenances'!$G:$G,MATCH($A39,'[1]Définition Maintenances'!$K:$K,0)),AC39,INDEX('[1]Définition Maintenances'!$G:$G,MATCH($A39,'[1]Définition Maintenances'!$K:$K,0))+AC39),AC39))</f>
        <v>810</v>
      </c>
      <c r="AE39" s="26">
        <f>IF(ISNUMBER(VLOOKUP($D39,'Visu totale'!$D:$DH,AE$1,0)),AD39-VLOOKUP($D39,'Visu totale'!$D:$DH,AE$1,0),IF(LEFT(VLOOKUP($D39,'Visu totale'!$D:$DH,AE$1,0),1)="V",IF(AD39&gt;=INDEX('[1]Définition Maintenances'!$G:$G,MATCH($A39,'[1]Définition Maintenances'!$K:$K,0)),AD39,INDEX('[1]Définition Maintenances'!$G:$G,MATCH($A39,'[1]Définition Maintenances'!$K:$K,0))+AD39),AD39))</f>
        <v>810</v>
      </c>
      <c r="AF39" s="26">
        <f>IF(ISNUMBER(VLOOKUP($D39,'Visu totale'!$D:$DH,AF$1,0)),AE39-VLOOKUP($D39,'Visu totale'!$D:$DH,AF$1,0),IF(LEFT(VLOOKUP($D39,'Visu totale'!$D:$DH,AF$1,0),1)="V",IF(AE39&gt;=INDEX('[1]Définition Maintenances'!$G:$G,MATCH($A39,'[1]Définition Maintenances'!$K:$K,0)),AE39,INDEX('[1]Définition Maintenances'!$G:$G,MATCH($A39,'[1]Définition Maintenances'!$K:$K,0))+AE39),AE39))</f>
        <v>810</v>
      </c>
      <c r="AG39" s="26">
        <f>IF(ISNUMBER(VLOOKUP($D39,'Visu totale'!$D:$DH,AG$1,0)),AF39-VLOOKUP($D39,'Visu totale'!$D:$DH,AG$1,0),IF(LEFT(VLOOKUP($D39,'Visu totale'!$D:$DH,AG$1,0),1)="V",IF(AF39&gt;=INDEX('[1]Définition Maintenances'!$G:$G,MATCH($A39,'[1]Définition Maintenances'!$K:$K,0)),AF39,INDEX('[1]Définition Maintenances'!$G:$G,MATCH($A39,'[1]Définition Maintenances'!$K:$K,0))+AF39),AF39))</f>
        <v>810</v>
      </c>
      <c r="AH39" s="26">
        <f>IF(ISNUMBER(VLOOKUP($D39,'Visu totale'!$D:$DH,AH$1,0)),AG39-VLOOKUP($D39,'Visu totale'!$D:$DH,AH$1,0),IF(LEFT(VLOOKUP($D39,'Visu totale'!$D:$DH,AH$1,0),1)="V",IF(AG39&gt;=INDEX('[1]Définition Maintenances'!$G:$G,MATCH($A39,'[1]Définition Maintenances'!$K:$K,0)),AG39,INDEX('[1]Définition Maintenances'!$G:$G,MATCH($A39,'[1]Définition Maintenances'!$K:$K,0))+AG39),AG39))</f>
        <v>810</v>
      </c>
      <c r="AI39" s="26">
        <f>IF(ISNUMBER(VLOOKUP($D39,'Visu totale'!$D:$DH,AI$1,0)),AH39-VLOOKUP($D39,'Visu totale'!$D:$DH,AI$1,0),IF(LEFT(VLOOKUP($D39,'Visu totale'!$D:$DH,AI$1,0),1)="V",IF(AH39&gt;=INDEX('[1]Définition Maintenances'!$G:$G,MATCH($A39,'[1]Définition Maintenances'!$K:$K,0)),AH39,INDEX('[1]Définition Maintenances'!$G:$G,MATCH($A39,'[1]Définition Maintenances'!$K:$K,0))+AH39),AH39))</f>
        <v>810</v>
      </c>
      <c r="AJ39" s="26">
        <f>IF(ISNUMBER(VLOOKUP($D39,'Visu totale'!$D:$DH,AJ$1,0)),AI39-VLOOKUP($D39,'Visu totale'!$D:$DH,AJ$1,0),IF(LEFT(VLOOKUP($D39,'Visu totale'!$D:$DH,AJ$1,0),1)="V",IF(AI39&gt;=INDEX('[1]Définition Maintenances'!$G:$G,MATCH($A39,'[1]Définition Maintenances'!$K:$K,0)),AI39,INDEX('[1]Définition Maintenances'!$G:$G,MATCH($A39,'[1]Définition Maintenances'!$K:$K,0))+AI39),AI39))</f>
        <v>810</v>
      </c>
      <c r="AK39" s="26">
        <f>IF(ISNUMBER(VLOOKUP($D39,'Visu totale'!$D:$DH,AK$1,0)),AJ39-VLOOKUP($D39,'Visu totale'!$D:$DH,AK$1,0),IF(LEFT(VLOOKUP($D39,'Visu totale'!$D:$DH,AK$1,0),1)="V",IF(AJ39&gt;=INDEX('[1]Définition Maintenances'!$G:$G,MATCH($A39,'[1]Définition Maintenances'!$K:$K,0)),AJ39,INDEX('[1]Définition Maintenances'!$G:$G,MATCH($A39,'[1]Définition Maintenances'!$K:$K,0))+AJ39),AJ39))</f>
        <v>810</v>
      </c>
      <c r="AL39" s="26">
        <f>IF(ISNUMBER(VLOOKUP($D39,'Visu totale'!$D:$DH,AL$1,0)),AK39-VLOOKUP($D39,'Visu totale'!$D:$DH,AL$1,0),IF(LEFT(VLOOKUP($D39,'Visu totale'!$D:$DH,AL$1,0),1)="V",IF(AK39&gt;=INDEX('[1]Définition Maintenances'!$G:$G,MATCH($A39,'[1]Définition Maintenances'!$K:$K,0)),AK39,INDEX('[1]Définition Maintenances'!$G:$G,MATCH($A39,'[1]Définition Maintenances'!$K:$K,0))+AK39),AK39))</f>
        <v>810</v>
      </c>
      <c r="AM39" s="26">
        <f>IF(ISNUMBER(VLOOKUP($D39,'Visu totale'!$D:$DH,AM$1,0)),AL39-VLOOKUP($D39,'Visu totale'!$D:$DH,AM$1,0),IF(LEFT(VLOOKUP($D39,'Visu totale'!$D:$DH,AM$1,0),1)="V",IF(AL39&gt;=INDEX('[1]Définition Maintenances'!$G:$G,MATCH($A39,'[1]Définition Maintenances'!$K:$K,0)),AL39,INDEX('[1]Définition Maintenances'!$G:$G,MATCH($A39,'[1]Définition Maintenances'!$K:$K,0))+AL39),AL39))</f>
        <v>810</v>
      </c>
      <c r="AN39" s="26">
        <f>IF(ISNUMBER(VLOOKUP($D39,'Visu totale'!$D:$DH,AN$1,0)),AM39-VLOOKUP($D39,'Visu totale'!$D:$DH,AN$1,0),IF(LEFT(VLOOKUP($D39,'Visu totale'!$D:$DH,AN$1,0),1)="V",IF(AM39&gt;=INDEX('[1]Définition Maintenances'!$G:$G,MATCH($A39,'[1]Définition Maintenances'!$K:$K,0)),AM39,INDEX('[1]Définition Maintenances'!$G:$G,MATCH($A39,'[1]Définition Maintenances'!$K:$K,0))+AM39),AM39))</f>
        <v>810</v>
      </c>
      <c r="AO39" s="27">
        <f>IF(ISNUMBER(VLOOKUP($D39,'Visu totale'!$D:$DH,AO$1,0)),AN39-VLOOKUP($D39,'Visu totale'!$D:$DH,AO$1,0),IF(LEFT(VLOOKUP($D39,'Visu totale'!$D:$DH,AO$1,0),1)="V",IF(AN39&gt;=INDEX('[1]Définition Maintenances'!$G:$G,MATCH($A39,'[1]Définition Maintenances'!$K:$K,0)),AN39,INDEX('[1]Définition Maintenances'!$G:$G,MATCH($A39,'[1]Définition Maintenances'!$K:$K,0))+AN39),AN39))</f>
        <v>810</v>
      </c>
      <c r="AP39" s="25">
        <f>IF(ISNUMBER(VLOOKUP($D39,'Visu totale'!$D:$DH,AP$1,0)),AO39-VLOOKUP($D39,'Visu totale'!$D:$DH,AP$1,0),IF(LEFT(VLOOKUP($D39,'Visu totale'!$D:$DH,AP$1,0),1)="V",IF(AO39&gt;=INDEX('[1]Définition Maintenances'!$G:$G,MATCH($A39,'[1]Définition Maintenances'!$K:$K,0)),AO39,INDEX('[1]Définition Maintenances'!$G:$G,MATCH($A39,'[1]Définition Maintenances'!$K:$K,0))+AO39),AO39))</f>
        <v>810</v>
      </c>
      <c r="AQ39" s="26">
        <f>IF(ISNUMBER(VLOOKUP($D39,'Visu totale'!$D:$DH,AQ$1,0)),AP39-VLOOKUP($D39,'Visu totale'!$D:$DH,AQ$1,0),IF(LEFT(VLOOKUP($D39,'Visu totale'!$D:$DH,AQ$1,0),1)="V",IF(AP39&gt;=INDEX('[1]Définition Maintenances'!$G:$G,MATCH($A39,'[1]Définition Maintenances'!$K:$K,0)),AP39,INDEX('[1]Définition Maintenances'!$G:$G,MATCH($A39,'[1]Définition Maintenances'!$K:$K,0))+AP39),AP39))</f>
        <v>810</v>
      </c>
      <c r="AR39" s="26">
        <f>IF(ISNUMBER(VLOOKUP($D39,'Visu totale'!$D:$DH,AR$1,0)),AQ39-VLOOKUP($D39,'Visu totale'!$D:$DH,AR$1,0),IF(LEFT(VLOOKUP($D39,'Visu totale'!$D:$DH,AR$1,0),1)="V",IF(AQ39&gt;=INDEX('[1]Définition Maintenances'!$G:$G,MATCH($A39,'[1]Définition Maintenances'!$K:$K,0)),AQ39,INDEX('[1]Définition Maintenances'!$G:$G,MATCH($A39,'[1]Définition Maintenances'!$K:$K,0))+AQ39),AQ39))</f>
        <v>810</v>
      </c>
      <c r="AS39" s="26">
        <f>IF(ISNUMBER(VLOOKUP($D39,'Visu totale'!$D:$DH,AS$1,0)),AR39-VLOOKUP($D39,'Visu totale'!$D:$DH,AS$1,0),IF(LEFT(VLOOKUP($D39,'Visu totale'!$D:$DH,AS$1,0),1)="V",IF(AR39&gt;=INDEX('[1]Définition Maintenances'!$G:$G,MATCH($A39,'[1]Définition Maintenances'!$K:$K,0)),AR39,INDEX('[1]Définition Maintenances'!$G:$G,MATCH($A39,'[1]Définition Maintenances'!$K:$K,0))+AR39),AR39))</f>
        <v>810</v>
      </c>
      <c r="AT39" s="26">
        <f>IF(ISNUMBER(VLOOKUP($D39,'Visu totale'!$D:$DH,AT$1,0)),AS39-VLOOKUP($D39,'Visu totale'!$D:$DH,AT$1,0),IF(LEFT(VLOOKUP($D39,'Visu totale'!$D:$DH,AT$1,0),1)="V",IF(AS39&gt;=INDEX('[1]Définition Maintenances'!$G:$G,MATCH($A39,'[1]Définition Maintenances'!$K:$K,0)),AS39,INDEX('[1]Définition Maintenances'!$G:$G,MATCH($A39,'[1]Définition Maintenances'!$K:$K,0))+AS39),AS39))</f>
        <v>810</v>
      </c>
      <c r="AU39" s="26">
        <f>IF(ISNUMBER(VLOOKUP($D39,'Visu totale'!$D:$DH,AU$1,0)),AT39-VLOOKUP($D39,'Visu totale'!$D:$DH,AU$1,0),IF(LEFT(VLOOKUP($D39,'Visu totale'!$D:$DH,AU$1,0),1)="V",IF(AT39&gt;=INDEX('[1]Définition Maintenances'!$G:$G,MATCH($A39,'[1]Définition Maintenances'!$K:$K,0)),AT39,INDEX('[1]Définition Maintenances'!$G:$G,MATCH($A39,'[1]Définition Maintenances'!$K:$K,0))+AT39),AT39))</f>
        <v>810</v>
      </c>
      <c r="AV39" s="26">
        <f>IF(ISNUMBER(VLOOKUP($D39,'Visu totale'!$D:$DH,AV$1,0)),AU39-VLOOKUP($D39,'Visu totale'!$D:$DH,AV$1,0),IF(LEFT(VLOOKUP($D39,'Visu totale'!$D:$DH,AV$1,0),1)="V",IF(AU39&gt;=INDEX('[1]Définition Maintenances'!$G:$G,MATCH($A39,'[1]Définition Maintenances'!$K:$K,0)),AU39,INDEX('[1]Définition Maintenances'!$G:$G,MATCH($A39,'[1]Définition Maintenances'!$K:$K,0))+AU39),AU39))</f>
        <v>810</v>
      </c>
      <c r="AW39" s="26">
        <f>IF(ISNUMBER(VLOOKUP($D39,'Visu totale'!$D:$DH,AW$1,0)),AV39-VLOOKUP($D39,'Visu totale'!$D:$DH,AW$1,0),IF(LEFT(VLOOKUP($D39,'Visu totale'!$D:$DH,AW$1,0),1)="V",IF(AV39&gt;=INDEX('[1]Définition Maintenances'!$G:$G,MATCH($A39,'[1]Définition Maintenances'!$K:$K,0)),AV39,INDEX('[1]Définition Maintenances'!$G:$G,MATCH($A39,'[1]Définition Maintenances'!$K:$K,0))+AV39),AV39))</f>
        <v>810</v>
      </c>
      <c r="AX39" s="26">
        <f>IF(ISNUMBER(VLOOKUP($D39,'Visu totale'!$D:$DH,AX$1,0)),AW39-VLOOKUP($D39,'Visu totale'!$D:$DH,AX$1,0),IF(LEFT(VLOOKUP($D39,'Visu totale'!$D:$DH,AX$1,0),1)="V",IF(AW39&gt;=INDEX('[1]Définition Maintenances'!$G:$G,MATCH($A39,'[1]Définition Maintenances'!$K:$K,0)),AW39,INDEX('[1]Définition Maintenances'!$G:$G,MATCH($A39,'[1]Définition Maintenances'!$K:$K,0))+AW39),AW39))</f>
        <v>810</v>
      </c>
      <c r="AY39" s="26">
        <f>IF(ISNUMBER(VLOOKUP($D39,'Visu totale'!$D:$DH,AY$1,0)),AX39-VLOOKUP($D39,'Visu totale'!$D:$DH,AY$1,0),IF(LEFT(VLOOKUP($D39,'Visu totale'!$D:$DH,AY$1,0),1)="V",IF(AX39&gt;=INDEX('[1]Définition Maintenances'!$G:$G,MATCH($A39,'[1]Définition Maintenances'!$K:$K,0)),AX39,INDEX('[1]Définition Maintenances'!$G:$G,MATCH($A39,'[1]Définition Maintenances'!$K:$K,0))+AX39),AX39))</f>
        <v>810</v>
      </c>
      <c r="AZ39" s="26">
        <f>IF(ISNUMBER(VLOOKUP($D39,'Visu totale'!$D:$DH,AZ$1,0)),AY39-VLOOKUP($D39,'Visu totale'!$D:$DH,AZ$1,0),IF(LEFT(VLOOKUP($D39,'Visu totale'!$D:$DH,AZ$1,0),1)="V",IF(AY39&gt;=INDEX('[1]Définition Maintenances'!$G:$G,MATCH($A39,'[1]Définition Maintenances'!$K:$K,0)),AY39,INDEX('[1]Définition Maintenances'!$G:$G,MATCH($A39,'[1]Définition Maintenances'!$K:$K,0))+AY39),AY39))</f>
        <v>810</v>
      </c>
      <c r="BA39" s="27">
        <f>IF(ISNUMBER(VLOOKUP($D39,'Visu totale'!$D:$DH,BA$1,0)),AZ39-VLOOKUP($D39,'Visu totale'!$D:$DH,BA$1,0),IF(LEFT(VLOOKUP($D39,'Visu totale'!$D:$DH,BA$1,0),1)="V",IF(AZ39&gt;=INDEX('[1]Définition Maintenances'!$G:$G,MATCH($A39,'[1]Définition Maintenances'!$K:$K,0)),AZ39,INDEX('[1]Définition Maintenances'!$G:$G,MATCH($A39,'[1]Définition Maintenances'!$K:$K,0))+AZ39),AZ39))</f>
        <v>810</v>
      </c>
      <c r="BB39" s="25">
        <f>IF(ISNUMBER(VLOOKUP($D39,'Visu totale'!$D:$DH,BB$1,0)),BA39-VLOOKUP($D39,'Visu totale'!$D:$DH,BB$1,0),IF(LEFT(VLOOKUP($D39,'Visu totale'!$D:$DH,BB$1,0),1)="V",IF(BA39&gt;=INDEX('[1]Définition Maintenances'!$G:$G,MATCH($A39,'[1]Définition Maintenances'!$K:$K,0)),BA39,INDEX('[1]Définition Maintenances'!$G:$G,MATCH($A39,'[1]Définition Maintenances'!$K:$K,0))+BA39),BA39))</f>
        <v>810</v>
      </c>
      <c r="BC39" s="26">
        <f>IF(ISNUMBER(VLOOKUP($D39,'Visu totale'!$D:$DH,BC$1,0)),BB39-VLOOKUP($D39,'Visu totale'!$D:$DH,BC$1,0),IF(LEFT(VLOOKUP($D39,'Visu totale'!$D:$DH,BC$1,0),1)="V",IF(BB39&gt;=INDEX('[1]Définition Maintenances'!$G:$G,MATCH($A39,'[1]Définition Maintenances'!$K:$K,0)),BB39,INDEX('[1]Définition Maintenances'!$G:$G,MATCH($A39,'[1]Définition Maintenances'!$K:$K,0))+BB39),BB39))</f>
        <v>810</v>
      </c>
      <c r="BD39" s="26">
        <f>IF(ISNUMBER(VLOOKUP($D39,'Visu totale'!$D:$DH,BD$1,0)),BC39-VLOOKUP($D39,'Visu totale'!$D:$DH,BD$1,0),IF(LEFT(VLOOKUP($D39,'Visu totale'!$D:$DH,BD$1,0),1)="V",IF(BC39&gt;=INDEX('[1]Définition Maintenances'!$G:$G,MATCH($A39,'[1]Définition Maintenances'!$K:$K,0)),BC39,INDEX('[1]Définition Maintenances'!$G:$G,MATCH($A39,'[1]Définition Maintenances'!$K:$K,0))+BC39),BC39))</f>
        <v>810</v>
      </c>
      <c r="BE39" s="26">
        <f>IF(ISNUMBER(VLOOKUP($D39,'Visu totale'!$D:$DH,BE$1,0)),BD39-VLOOKUP($D39,'Visu totale'!$D:$DH,BE$1,0),IF(LEFT(VLOOKUP($D39,'Visu totale'!$D:$DH,BE$1,0),1)="V",IF(BD39&gt;=INDEX('[1]Définition Maintenances'!$G:$G,MATCH($A39,'[1]Définition Maintenances'!$K:$K,0)),BD39,INDEX('[1]Définition Maintenances'!$G:$G,MATCH($A39,'[1]Définition Maintenances'!$K:$K,0))+BD39),BD39))</f>
        <v>810</v>
      </c>
      <c r="BF39" s="26">
        <f>IF(ISNUMBER(VLOOKUP($D39,'Visu totale'!$D:$DH,BF$1,0)),BE39-VLOOKUP($D39,'Visu totale'!$D:$DH,BF$1,0),IF(LEFT(VLOOKUP($D39,'Visu totale'!$D:$DH,BF$1,0),1)="V",IF(BE39&gt;=INDEX('[1]Définition Maintenances'!$G:$G,MATCH($A39,'[1]Définition Maintenances'!$K:$K,0)),BE39,INDEX('[1]Définition Maintenances'!$G:$G,MATCH($A39,'[1]Définition Maintenances'!$K:$K,0))+BE39),BE39))</f>
        <v>810</v>
      </c>
      <c r="BG39" s="26">
        <f>IF(ISNUMBER(VLOOKUP($D39,'Visu totale'!$D:$DH,BG$1,0)),BF39-VLOOKUP($D39,'Visu totale'!$D:$DH,BG$1,0),IF(LEFT(VLOOKUP($D39,'Visu totale'!$D:$DH,BG$1,0),1)="V",IF(BF39&gt;=INDEX('[1]Définition Maintenances'!$G:$G,MATCH($A39,'[1]Définition Maintenances'!$K:$K,0)),BF39,INDEX('[1]Définition Maintenances'!$G:$G,MATCH($A39,'[1]Définition Maintenances'!$K:$K,0))+BF39),BF39))</f>
        <v>810</v>
      </c>
      <c r="BH39" s="26">
        <f>IF(ISNUMBER(VLOOKUP($D39,'Visu totale'!$D:$DH,BH$1,0)),BG39-VLOOKUP($D39,'Visu totale'!$D:$DH,BH$1,0),IF(LEFT(VLOOKUP($D39,'Visu totale'!$D:$DH,BH$1,0),1)="V",IF(BG39&gt;=INDEX('[1]Définition Maintenances'!$G:$G,MATCH($A39,'[1]Définition Maintenances'!$K:$K,0)),BG39,INDEX('[1]Définition Maintenances'!$G:$G,MATCH($A39,'[1]Définition Maintenances'!$K:$K,0))+BG39),BG39))</f>
        <v>810</v>
      </c>
      <c r="BI39" s="26">
        <f>IF(ISNUMBER(VLOOKUP($D39,'Visu totale'!$D:$DH,BI$1,0)),BH39-VLOOKUP($D39,'Visu totale'!$D:$DH,BI$1,0),IF(LEFT(VLOOKUP($D39,'Visu totale'!$D:$DH,BI$1,0),1)="V",IF(BH39&gt;=INDEX('[1]Définition Maintenances'!$G:$G,MATCH($A39,'[1]Définition Maintenances'!$K:$K,0)),BH39,INDEX('[1]Définition Maintenances'!$G:$G,MATCH($A39,'[1]Définition Maintenances'!$K:$K,0))+BH39),BH39))</f>
        <v>810</v>
      </c>
      <c r="BJ39" s="26">
        <f>IF(ISNUMBER(VLOOKUP($D39,'Visu totale'!$D:$DH,BJ$1,0)),BI39-VLOOKUP($D39,'Visu totale'!$D:$DH,BJ$1,0),IF(LEFT(VLOOKUP($D39,'Visu totale'!$D:$DH,BJ$1,0),1)="V",IF(BI39&gt;=INDEX('[1]Définition Maintenances'!$G:$G,MATCH($A39,'[1]Définition Maintenances'!$K:$K,0)),BI39,INDEX('[1]Définition Maintenances'!$G:$G,MATCH($A39,'[1]Définition Maintenances'!$K:$K,0))+BI39),BI39))</f>
        <v>810</v>
      </c>
      <c r="BK39" s="26">
        <f>IF(ISNUMBER(VLOOKUP($D39,'Visu totale'!$D:$DH,BK$1,0)),BJ39-VLOOKUP($D39,'Visu totale'!$D:$DH,BK$1,0),IF(LEFT(VLOOKUP($D39,'Visu totale'!$D:$DH,BK$1,0),1)="V",IF(BJ39&gt;=INDEX('[1]Définition Maintenances'!$G:$G,MATCH($A39,'[1]Définition Maintenances'!$K:$K,0)),BJ39,INDEX('[1]Définition Maintenances'!$G:$G,MATCH($A39,'[1]Définition Maintenances'!$K:$K,0))+BJ39),BJ39))</f>
        <v>810</v>
      </c>
      <c r="BL39" s="26">
        <f>IF(ISNUMBER(VLOOKUP($D39,'Visu totale'!$D:$DH,BL$1,0)),BK39-VLOOKUP($D39,'Visu totale'!$D:$DH,BL$1,0),IF(LEFT(VLOOKUP($D39,'Visu totale'!$D:$DH,BL$1,0),1)="V",IF(BK39&gt;=INDEX('[1]Définition Maintenances'!$G:$G,MATCH($A39,'[1]Définition Maintenances'!$K:$K,0)),BK39,INDEX('[1]Définition Maintenances'!$G:$G,MATCH($A39,'[1]Définition Maintenances'!$K:$K,0))+BK39),BK39))</f>
        <v>810</v>
      </c>
      <c r="BM39" s="27">
        <f>IF(ISNUMBER(VLOOKUP($D39,'Visu totale'!$D:$DH,BM$1,0)),BL39-VLOOKUP($D39,'Visu totale'!$D:$DH,BM$1,0),IF(LEFT(VLOOKUP($D39,'Visu totale'!$D:$DH,BM$1,0),1)="V",IF(BL39&gt;=INDEX('[1]Définition Maintenances'!$G:$G,MATCH($A39,'[1]Définition Maintenances'!$K:$K,0)),BL39,INDEX('[1]Définition Maintenances'!$G:$G,MATCH($A39,'[1]Définition Maintenances'!$K:$K,0))+BL39),BL39))</f>
        <v>810</v>
      </c>
      <c r="BN39" s="25">
        <f>IF(ISNUMBER(VLOOKUP($D39,'Visu totale'!$D:$DH,BN$1,0)),BM39-VLOOKUP($D39,'Visu totale'!$D:$DH,BN$1,0),IF(LEFT(VLOOKUP($D39,'Visu totale'!$D:$DH,BN$1,0),1)="V",IF(BM39&gt;=INDEX('[1]Définition Maintenances'!$G:$G,MATCH($A39,'[1]Définition Maintenances'!$K:$K,0)),BM39,INDEX('[1]Définition Maintenances'!$G:$G,MATCH($A39,'[1]Définition Maintenances'!$K:$K,0))+BM39),BM39))</f>
        <v>810</v>
      </c>
      <c r="BO39" s="26">
        <f>IF(ISNUMBER(VLOOKUP($D39,'Visu totale'!$D:$DH,BO$1,0)),BN39-VLOOKUP($D39,'Visu totale'!$D:$DH,BO$1,0),IF(LEFT(VLOOKUP($D39,'Visu totale'!$D:$DH,BO$1,0),1)="V",IF(BN39&gt;=INDEX('[1]Définition Maintenances'!$G:$G,MATCH($A39,'[1]Définition Maintenances'!$K:$K,0)),BN39,INDEX('[1]Définition Maintenances'!$G:$G,MATCH($A39,'[1]Définition Maintenances'!$K:$K,0))+BN39),BN39))</f>
        <v>810</v>
      </c>
      <c r="BP39" s="26">
        <f>IF(ISNUMBER(VLOOKUP($D39,'Visu totale'!$D:$DH,BP$1,0)),BO39-VLOOKUP($D39,'Visu totale'!$D:$DH,BP$1,0),IF(LEFT(VLOOKUP($D39,'Visu totale'!$D:$DH,BP$1,0),1)="V",IF(BO39&gt;=INDEX('[1]Définition Maintenances'!$G:$G,MATCH($A39,'[1]Définition Maintenances'!$K:$K,0)),BO39,INDEX('[1]Définition Maintenances'!$G:$G,MATCH($A39,'[1]Définition Maintenances'!$K:$K,0))+BO39),BO39))</f>
        <v>810</v>
      </c>
      <c r="BQ39" s="26">
        <f>IF(ISNUMBER(VLOOKUP($D39,'Visu totale'!$D:$DH,BQ$1,0)),BP39-VLOOKUP($D39,'Visu totale'!$D:$DH,BQ$1,0),IF(LEFT(VLOOKUP($D39,'Visu totale'!$D:$DH,BQ$1,0),1)="V",IF(BP39&gt;=INDEX('[1]Définition Maintenances'!$G:$G,MATCH($A39,'[1]Définition Maintenances'!$K:$K,0)),BP39,INDEX('[1]Définition Maintenances'!$G:$G,MATCH($A39,'[1]Définition Maintenances'!$K:$K,0))+BP39),BP39))</f>
        <v>810</v>
      </c>
      <c r="BR39" s="26">
        <f>IF(ISNUMBER(VLOOKUP($D39,'Visu totale'!$D:$DH,BR$1,0)),BQ39-VLOOKUP($D39,'Visu totale'!$D:$DH,BR$1,0),IF(LEFT(VLOOKUP($D39,'Visu totale'!$D:$DH,BR$1,0),1)="V",IF(BQ39&gt;=INDEX('[1]Définition Maintenances'!$G:$G,MATCH($A39,'[1]Définition Maintenances'!$K:$K,0)),BQ39,INDEX('[1]Définition Maintenances'!$G:$G,MATCH($A39,'[1]Définition Maintenances'!$K:$K,0))+BQ39),BQ39))</f>
        <v>810</v>
      </c>
      <c r="BS39" s="26">
        <f>IF(ISNUMBER(VLOOKUP($D39,'Visu totale'!$D:$DH,BS$1,0)),BR39-VLOOKUP($D39,'Visu totale'!$D:$DH,BS$1,0),IF(LEFT(VLOOKUP($D39,'Visu totale'!$D:$DH,BS$1,0),1)="V",IF(BR39&gt;=INDEX('[1]Définition Maintenances'!$G:$G,MATCH($A39,'[1]Définition Maintenances'!$K:$K,0)),BR39,INDEX('[1]Définition Maintenances'!$G:$G,MATCH($A39,'[1]Définition Maintenances'!$K:$K,0))+BR39),BR39))</f>
        <v>810</v>
      </c>
      <c r="BT39" s="26">
        <f>IF(ISNUMBER(VLOOKUP($D39,'Visu totale'!$D:$DH,BT$1,0)),BS39-VLOOKUP($D39,'Visu totale'!$D:$DH,BT$1,0),IF(LEFT(VLOOKUP($D39,'Visu totale'!$D:$DH,BT$1,0),1)="V",IF(BS39&gt;=INDEX('[1]Définition Maintenances'!$G:$G,MATCH($A39,'[1]Définition Maintenances'!$K:$K,0)),BS39,INDEX('[1]Définition Maintenances'!$G:$G,MATCH($A39,'[1]Définition Maintenances'!$K:$K,0))+BS39),BS39))</f>
        <v>810</v>
      </c>
      <c r="BU39" s="26">
        <f>IF(ISNUMBER(VLOOKUP($D39,'Visu totale'!$D:$DH,BU$1,0)),BT39-VLOOKUP($D39,'Visu totale'!$D:$DH,BU$1,0),IF(LEFT(VLOOKUP($D39,'Visu totale'!$D:$DH,BU$1,0),1)="V",IF(BT39&gt;=INDEX('[1]Définition Maintenances'!$G:$G,MATCH($A39,'[1]Définition Maintenances'!$K:$K,0)),BT39,INDEX('[1]Définition Maintenances'!$G:$G,MATCH($A39,'[1]Définition Maintenances'!$K:$K,0))+BT39),BT39))</f>
        <v>810</v>
      </c>
      <c r="BV39" s="26">
        <f>IF(ISNUMBER(VLOOKUP($D39,'Visu totale'!$D:$DH,BV$1,0)),BU39-VLOOKUP($D39,'Visu totale'!$D:$DH,BV$1,0),IF(LEFT(VLOOKUP($D39,'Visu totale'!$D:$DH,BV$1,0),1)="V",IF(BU39&gt;=INDEX('[1]Définition Maintenances'!$G:$G,MATCH($A39,'[1]Définition Maintenances'!$K:$K,0)),BU39,INDEX('[1]Définition Maintenances'!$G:$G,MATCH($A39,'[1]Définition Maintenances'!$K:$K,0))+BU39),BU39))</f>
        <v>810</v>
      </c>
      <c r="BW39" s="26">
        <f>IF(ISNUMBER(VLOOKUP($D39,'Visu totale'!$D:$DH,BW$1,0)),BV39-VLOOKUP($D39,'Visu totale'!$D:$DH,BW$1,0),IF(LEFT(VLOOKUP($D39,'Visu totale'!$D:$DH,BW$1,0),1)="V",IF(BV39&gt;=INDEX('[1]Définition Maintenances'!$G:$G,MATCH($A39,'[1]Définition Maintenances'!$K:$K,0)),BV39,INDEX('[1]Définition Maintenances'!$G:$G,MATCH($A39,'[1]Définition Maintenances'!$K:$K,0))+BV39),BV39))</f>
        <v>810</v>
      </c>
      <c r="BX39" s="26">
        <f>IF(ISNUMBER(VLOOKUP($D39,'Visu totale'!$D:$DH,BX$1,0)),BW39-VLOOKUP($D39,'Visu totale'!$D:$DH,BX$1,0),IF(LEFT(VLOOKUP($D39,'Visu totale'!$D:$DH,BX$1,0),1)="V",IF(BW39&gt;=INDEX('[1]Définition Maintenances'!$G:$G,MATCH($A39,'[1]Définition Maintenances'!$K:$K,0)),BW39,INDEX('[1]Définition Maintenances'!$G:$G,MATCH($A39,'[1]Définition Maintenances'!$K:$K,0))+BW39),BW39))</f>
        <v>810</v>
      </c>
      <c r="BY39" s="27">
        <f>IF(ISNUMBER(VLOOKUP($D39,'Visu totale'!$D:$DH,BY$1,0)),BX39-VLOOKUP($D39,'Visu totale'!$D:$DH,BY$1,0),IF(LEFT(VLOOKUP($D39,'Visu totale'!$D:$DH,BY$1,0),1)="V",IF(BX39&gt;=INDEX('[1]Définition Maintenances'!$G:$G,MATCH($A39,'[1]Définition Maintenances'!$K:$K,0)),BX39,INDEX('[1]Définition Maintenances'!$G:$G,MATCH($A39,'[1]Définition Maintenances'!$K:$K,0))+BX39),BX39))</f>
        <v>810</v>
      </c>
      <c r="BZ39" s="25">
        <f>IF(ISNUMBER(VLOOKUP($D39,'Visu totale'!$D:$DH,BZ$1,0)),BY39-VLOOKUP($D39,'Visu totale'!$D:$DH,BZ$1,0),IF(LEFT(VLOOKUP($D39,'Visu totale'!$D:$DH,BZ$1,0),1)="V",IF(BY39&gt;=INDEX('[1]Définition Maintenances'!$G:$G,MATCH($A39,'[1]Définition Maintenances'!$K:$K,0)),BY39,INDEX('[1]Définition Maintenances'!$G:$G,MATCH($A39,'[1]Définition Maintenances'!$K:$K,0))+BY39),BY39))</f>
        <v>810</v>
      </c>
      <c r="CA39" s="26">
        <f>IF(ISNUMBER(VLOOKUP($D39,'Visu totale'!$D:$DH,CA$1,0)),BZ39-VLOOKUP($D39,'Visu totale'!$D:$DH,CA$1,0),IF(LEFT(VLOOKUP($D39,'Visu totale'!$D:$DH,CA$1,0),1)="V",IF(BZ39&gt;=INDEX('[1]Définition Maintenances'!$G:$G,MATCH($A39,'[1]Définition Maintenances'!$K:$K,0)),BZ39,INDEX('[1]Définition Maintenances'!$G:$G,MATCH($A39,'[1]Définition Maintenances'!$K:$K,0))+BZ39),BZ39))</f>
        <v>810</v>
      </c>
      <c r="CB39" s="26">
        <f>IF(ISNUMBER(VLOOKUP($D39,'Visu totale'!$D:$DH,CB$1,0)),CA39-VLOOKUP($D39,'Visu totale'!$D:$DH,CB$1,0),IF(LEFT(VLOOKUP($D39,'Visu totale'!$D:$DH,CB$1,0),1)="V",IF(CA39&gt;=INDEX('[1]Définition Maintenances'!$G:$G,MATCH($A39,'[1]Définition Maintenances'!$K:$K,0)),CA39,INDEX('[1]Définition Maintenances'!$G:$G,MATCH($A39,'[1]Définition Maintenances'!$K:$K,0))+CA39),CA39))</f>
        <v>810</v>
      </c>
      <c r="CC39" s="26">
        <f>IF(ISNUMBER(VLOOKUP($D39,'Visu totale'!$D:$DH,CC$1,0)),CB39-VLOOKUP($D39,'Visu totale'!$D:$DH,CC$1,0),IF(LEFT(VLOOKUP($D39,'Visu totale'!$D:$DH,CC$1,0),1)="V",IF(CB39&gt;=INDEX('[1]Définition Maintenances'!$G:$G,MATCH($A39,'[1]Définition Maintenances'!$K:$K,0)),CB39,INDEX('[1]Définition Maintenances'!$G:$G,MATCH($A39,'[1]Définition Maintenances'!$K:$K,0))+CB39),CB39))</f>
        <v>810</v>
      </c>
      <c r="CD39" s="26">
        <f>IF(ISNUMBER(VLOOKUP($D39,'Visu totale'!$D:$DH,CD$1,0)),CC39-VLOOKUP($D39,'Visu totale'!$D:$DH,CD$1,0),IF(LEFT(VLOOKUP($D39,'Visu totale'!$D:$DH,CD$1,0),1)="V",IF(CC39&gt;=INDEX('[1]Définition Maintenances'!$G:$G,MATCH($A39,'[1]Définition Maintenances'!$K:$K,0)),CC39,INDEX('[1]Définition Maintenances'!$G:$G,MATCH($A39,'[1]Définition Maintenances'!$K:$K,0))+CC39),CC39))</f>
        <v>810</v>
      </c>
      <c r="CE39" s="26">
        <f>IF(ISNUMBER(VLOOKUP($D39,'Visu totale'!$D:$DH,CE$1,0)),CD39-VLOOKUP($D39,'Visu totale'!$D:$DH,CE$1,0),IF(LEFT(VLOOKUP($D39,'Visu totale'!$D:$DH,CE$1,0),1)="V",IF(CD39&gt;=INDEX('[1]Définition Maintenances'!$G:$G,MATCH($A39,'[1]Définition Maintenances'!$K:$K,0)),CD39,INDEX('[1]Définition Maintenances'!$G:$G,MATCH($A39,'[1]Définition Maintenances'!$K:$K,0))+CD39),CD39))</f>
        <v>810</v>
      </c>
      <c r="CF39" s="26">
        <f>IF(ISNUMBER(VLOOKUP($D39,'Visu totale'!$D:$DH,CF$1,0)),CE39-VLOOKUP($D39,'Visu totale'!$D:$DH,CF$1,0),IF(LEFT(VLOOKUP($D39,'Visu totale'!$D:$DH,CF$1,0),1)="V",IF(CE39&gt;=INDEX('[1]Définition Maintenances'!$G:$G,MATCH($A39,'[1]Définition Maintenances'!$K:$K,0)),CE39,INDEX('[1]Définition Maintenances'!$G:$G,MATCH($A39,'[1]Définition Maintenances'!$K:$K,0))+CE39),CE39))</f>
        <v>810</v>
      </c>
      <c r="CG39" s="26">
        <f>IF(ISNUMBER(VLOOKUP($D39,'Visu totale'!$D:$DH,CG$1,0)),CF39-VLOOKUP($D39,'Visu totale'!$D:$DH,CG$1,0),IF(LEFT(VLOOKUP($D39,'Visu totale'!$D:$DH,CG$1,0),1)="V",IF(CF39&gt;=INDEX('[1]Définition Maintenances'!$G:$G,MATCH($A39,'[1]Définition Maintenances'!$K:$K,0)),CF39,INDEX('[1]Définition Maintenances'!$G:$G,MATCH($A39,'[1]Définition Maintenances'!$K:$K,0))+CF39),CF39))</f>
        <v>810</v>
      </c>
      <c r="CH39" s="26">
        <f>IF(ISNUMBER(VLOOKUP($D39,'Visu totale'!$D:$DH,CH$1,0)),CG39-VLOOKUP($D39,'Visu totale'!$D:$DH,CH$1,0),IF(LEFT(VLOOKUP($D39,'Visu totale'!$D:$DH,CH$1,0),1)="V",IF(CG39&gt;=INDEX('[1]Définition Maintenances'!$G:$G,MATCH($A39,'[1]Définition Maintenances'!$K:$K,0)),CG39,INDEX('[1]Définition Maintenances'!$G:$G,MATCH($A39,'[1]Définition Maintenances'!$K:$K,0))+CG39),CG39))</f>
        <v>810</v>
      </c>
      <c r="CI39" s="26">
        <f>IF(ISNUMBER(VLOOKUP($D39,'Visu totale'!$D:$DH,CI$1,0)),CH39-VLOOKUP($D39,'Visu totale'!$D:$DH,CI$1,0),IF(LEFT(VLOOKUP($D39,'Visu totale'!$D:$DH,CI$1,0),1)="V",IF(CH39&gt;=INDEX('[1]Définition Maintenances'!$G:$G,MATCH($A39,'[1]Définition Maintenances'!$K:$K,0)),CH39,INDEX('[1]Définition Maintenances'!$G:$G,MATCH($A39,'[1]Définition Maintenances'!$K:$K,0))+CH39),CH39))</f>
        <v>810</v>
      </c>
      <c r="CJ39" s="26">
        <f>IF(ISNUMBER(VLOOKUP($D39,'Visu totale'!$D:$DH,CJ$1,0)),CI39-VLOOKUP($D39,'Visu totale'!$D:$DH,CJ$1,0),IF(LEFT(VLOOKUP($D39,'Visu totale'!$D:$DH,CJ$1,0),1)="V",IF(CI39&gt;=INDEX('[1]Définition Maintenances'!$G:$G,MATCH($A39,'[1]Définition Maintenances'!$K:$K,0)),CI39,INDEX('[1]Définition Maintenances'!$G:$G,MATCH($A39,'[1]Définition Maintenances'!$K:$K,0))+CI39),CI39))</f>
        <v>810</v>
      </c>
      <c r="CK39" s="27">
        <f>IF(ISNUMBER(VLOOKUP($D39,'Visu totale'!$D:$DH,CK$1,0)),CJ39-VLOOKUP($D39,'Visu totale'!$D:$DH,CK$1,0),IF(LEFT(VLOOKUP($D39,'Visu totale'!$D:$DH,CK$1,0),1)="V",IF(CJ39&gt;=INDEX('[1]Définition Maintenances'!$G:$G,MATCH($A39,'[1]Définition Maintenances'!$K:$K,0)),CJ39,INDEX('[1]Définition Maintenances'!$G:$G,MATCH($A39,'[1]Définition Maintenances'!$K:$K,0))+CJ39),CJ39))</f>
        <v>810</v>
      </c>
      <c r="CL39" s="25">
        <f>IF(ISNUMBER(VLOOKUP($D39,'Visu totale'!$D:$DH,CL$1,0)),CK39-VLOOKUP($D39,'Visu totale'!$D:$DH,CL$1,0),IF(LEFT(VLOOKUP($D39,'Visu totale'!$D:$DH,CL$1,0),1)="V",IF(CK39&gt;=INDEX('[1]Définition Maintenances'!$G:$G,MATCH($A39,'[1]Définition Maintenances'!$K:$K,0)),CK39,INDEX('[1]Définition Maintenances'!$G:$G,MATCH($A39,'[1]Définition Maintenances'!$K:$K,0))+CK39),CK39))</f>
        <v>810</v>
      </c>
      <c r="CM39" s="26">
        <f>IF(ISNUMBER(VLOOKUP($D39,'Visu totale'!$D:$DH,CM$1,0)),CL39-VLOOKUP($D39,'Visu totale'!$D:$DH,CM$1,0),IF(LEFT(VLOOKUP($D39,'Visu totale'!$D:$DH,CM$1,0),1)="V",IF(CL39&gt;=INDEX('[1]Définition Maintenances'!$G:$G,MATCH($A39,'[1]Définition Maintenances'!$K:$K,0)),CL39,INDEX('[1]Définition Maintenances'!$G:$G,MATCH($A39,'[1]Définition Maintenances'!$K:$K,0))+CL39),CL39))</f>
        <v>810</v>
      </c>
      <c r="CN39" s="26">
        <f>IF(ISNUMBER(VLOOKUP($D39,'Visu totale'!$D:$DH,CN$1,0)),CM39-VLOOKUP($D39,'Visu totale'!$D:$DH,CN$1,0),IF(LEFT(VLOOKUP($D39,'Visu totale'!$D:$DH,CN$1,0),1)="V",IF(CM39&gt;=INDEX('[1]Définition Maintenances'!$G:$G,MATCH($A39,'[1]Définition Maintenances'!$K:$K,0)),CM39,INDEX('[1]Définition Maintenances'!$G:$G,MATCH($A39,'[1]Définition Maintenances'!$K:$K,0))+CM39),CM39))</f>
        <v>810</v>
      </c>
      <c r="CO39" s="26">
        <f>IF(ISNUMBER(VLOOKUP($D39,'Visu totale'!$D:$DH,CO$1,0)),CN39-VLOOKUP($D39,'Visu totale'!$D:$DH,CO$1,0),IF(LEFT(VLOOKUP($D39,'Visu totale'!$D:$DH,CO$1,0),1)="V",IF(CN39&gt;=INDEX('[1]Définition Maintenances'!$G:$G,MATCH($A39,'[1]Définition Maintenances'!$K:$K,0)),CN39,INDEX('[1]Définition Maintenances'!$G:$G,MATCH($A39,'[1]Définition Maintenances'!$K:$K,0))+CN39),CN39))</f>
        <v>810</v>
      </c>
      <c r="CP39" s="26">
        <f>IF(ISNUMBER(VLOOKUP($D39,'Visu totale'!$D:$DH,CP$1,0)),CO39-VLOOKUP($D39,'Visu totale'!$D:$DH,CP$1,0),IF(LEFT(VLOOKUP($D39,'Visu totale'!$D:$DH,CP$1,0),1)="V",IF(CO39&gt;=INDEX('[1]Définition Maintenances'!$G:$G,MATCH($A39,'[1]Définition Maintenances'!$K:$K,0)),CO39,INDEX('[1]Définition Maintenances'!$G:$G,MATCH($A39,'[1]Définition Maintenances'!$K:$K,0))+CO39),CO39))</f>
        <v>810</v>
      </c>
      <c r="CQ39" s="26">
        <f>IF(ISNUMBER(VLOOKUP($D39,'Visu totale'!$D:$DH,CQ$1,0)),CP39-VLOOKUP($D39,'Visu totale'!$D:$DH,CQ$1,0),IF(LEFT(VLOOKUP($D39,'Visu totale'!$D:$DH,CQ$1,0),1)="V",IF(CP39&gt;=INDEX('[1]Définition Maintenances'!$G:$G,MATCH($A39,'[1]Définition Maintenances'!$K:$K,0)),CP39,INDEX('[1]Définition Maintenances'!$G:$G,MATCH($A39,'[1]Définition Maintenances'!$K:$K,0))+CP39),CP39))</f>
        <v>810</v>
      </c>
      <c r="CR39" s="26">
        <f>IF(ISNUMBER(VLOOKUP($D39,'Visu totale'!$D:$DH,CR$1,0)),CQ39-VLOOKUP($D39,'Visu totale'!$D:$DH,CR$1,0),IF(LEFT(VLOOKUP($D39,'Visu totale'!$D:$DH,CR$1,0),1)="V",IF(CQ39&gt;=INDEX('[1]Définition Maintenances'!$G:$G,MATCH($A39,'[1]Définition Maintenances'!$K:$K,0)),CQ39,INDEX('[1]Définition Maintenances'!$G:$G,MATCH($A39,'[1]Définition Maintenances'!$K:$K,0))+CQ39),CQ39))</f>
        <v>810</v>
      </c>
      <c r="CS39" s="26">
        <f>IF(ISNUMBER(VLOOKUP($D39,'Visu totale'!$D:$DH,CS$1,0)),CR39-VLOOKUP($D39,'Visu totale'!$D:$DH,CS$1,0),IF(LEFT(VLOOKUP($D39,'Visu totale'!$D:$DH,CS$1,0),1)="V",IF(CR39&gt;=INDEX('[1]Définition Maintenances'!$G:$G,MATCH($A39,'[1]Définition Maintenances'!$K:$K,0)),CR39,INDEX('[1]Définition Maintenances'!$G:$G,MATCH($A39,'[1]Définition Maintenances'!$K:$K,0))+CR39),CR39))</f>
        <v>810</v>
      </c>
      <c r="CT39" s="26">
        <f>IF(ISNUMBER(VLOOKUP($D39,'Visu totale'!$D:$DH,CT$1,0)),CS39-VLOOKUP($D39,'Visu totale'!$D:$DH,CT$1,0),IF(LEFT(VLOOKUP($D39,'Visu totale'!$D:$DH,CT$1,0),1)="V",IF(CS39&gt;=INDEX('[1]Définition Maintenances'!$G:$G,MATCH($A39,'[1]Définition Maintenances'!$K:$K,0)),CS39,INDEX('[1]Définition Maintenances'!$G:$G,MATCH($A39,'[1]Définition Maintenances'!$K:$K,0))+CS39),CS39))</f>
        <v>810</v>
      </c>
      <c r="CU39" s="26">
        <f>IF(ISNUMBER(VLOOKUP($D39,'Visu totale'!$D:$DH,CU$1,0)),CT39-VLOOKUP($D39,'Visu totale'!$D:$DH,CU$1,0),IF(LEFT(VLOOKUP($D39,'Visu totale'!$D:$DH,CU$1,0),1)="V",IF(CT39&gt;=INDEX('[1]Définition Maintenances'!$G:$G,MATCH($A39,'[1]Définition Maintenances'!$K:$K,0)),CT39,INDEX('[1]Définition Maintenances'!$G:$G,MATCH($A39,'[1]Définition Maintenances'!$K:$K,0))+CT39),CT39))</f>
        <v>810</v>
      </c>
      <c r="CV39" s="26">
        <f>IF(ISNUMBER(VLOOKUP($D39,'Visu totale'!$D:$DH,CV$1,0)),CU39-VLOOKUP($D39,'Visu totale'!$D:$DH,CV$1,0),IF(LEFT(VLOOKUP($D39,'Visu totale'!$D:$DH,CV$1,0),1)="V",IF(CU39&gt;=INDEX('[1]Définition Maintenances'!$G:$G,MATCH($A39,'[1]Définition Maintenances'!$K:$K,0)),CU39,INDEX('[1]Définition Maintenances'!$G:$G,MATCH($A39,'[1]Définition Maintenances'!$K:$K,0))+CU39),CU39))</f>
        <v>810</v>
      </c>
      <c r="CW39" s="27">
        <f>IF(ISNUMBER(VLOOKUP($D39,'Visu totale'!$D:$DH,CW$1,0)),CV39-VLOOKUP($D39,'Visu totale'!$D:$DH,CW$1,0),IF(LEFT(VLOOKUP($D39,'Visu totale'!$D:$DH,CW$1,0),1)="V",IF(CV39&gt;=INDEX('[1]Définition Maintenances'!$G:$G,MATCH($A39,'[1]Définition Maintenances'!$K:$K,0)),CV39,INDEX('[1]Définition Maintenances'!$G:$G,MATCH($A39,'[1]Définition Maintenances'!$K:$K,0))+CV39),CV39))</f>
        <v>810</v>
      </c>
      <c r="CX39" s="25">
        <f>IF(ISNUMBER(VLOOKUP($D39,'Visu totale'!$D:$DH,CX$1,0)),CW39-VLOOKUP($D39,'Visu totale'!$D:$DH,CX$1,0),IF(LEFT(VLOOKUP($D39,'Visu totale'!$D:$DH,CX$1,0),1)="V",IF(CW39&gt;=INDEX('[1]Définition Maintenances'!$G:$G,MATCH($A39,'[1]Définition Maintenances'!$K:$K,0)),CW39,INDEX('[1]Définition Maintenances'!$G:$G,MATCH($A39,'[1]Définition Maintenances'!$K:$K,0))+CW39),CW39))</f>
        <v>810</v>
      </c>
      <c r="CY39" s="26">
        <f>IF(ISNUMBER(VLOOKUP($D39,'Visu totale'!$D:$DH,CY$1,0)),CX39-VLOOKUP($D39,'Visu totale'!$D:$DH,CY$1,0),IF(LEFT(VLOOKUP($D39,'Visu totale'!$D:$DH,CY$1,0),1)="V",IF(CX39&gt;=INDEX('[1]Définition Maintenances'!$G:$G,MATCH($A39,'[1]Définition Maintenances'!$K:$K,0)),CX39,INDEX('[1]Définition Maintenances'!$G:$G,MATCH($A39,'[1]Définition Maintenances'!$K:$K,0))+CX39),CX39))</f>
        <v>810</v>
      </c>
      <c r="CZ39" s="26">
        <f>IF(ISNUMBER(VLOOKUP($D39,'Visu totale'!$D:$DH,CZ$1,0)),CY39-VLOOKUP($D39,'Visu totale'!$D:$DH,CZ$1,0),IF(LEFT(VLOOKUP($D39,'Visu totale'!$D:$DH,CZ$1,0),1)="V",IF(CY39&gt;=INDEX('[1]Définition Maintenances'!$G:$G,MATCH($A39,'[1]Définition Maintenances'!$K:$K,0)),CY39,INDEX('[1]Définition Maintenances'!$G:$G,MATCH($A39,'[1]Définition Maintenances'!$K:$K,0))+CY39),CY39))</f>
        <v>810</v>
      </c>
      <c r="DA39" s="26">
        <f>IF(ISNUMBER(VLOOKUP($D39,'Visu totale'!$D:$DH,DA$1,0)),CZ39-VLOOKUP($D39,'Visu totale'!$D:$DH,DA$1,0),IF(LEFT(VLOOKUP($D39,'Visu totale'!$D:$DH,DA$1,0),1)="V",IF(CZ39&gt;=INDEX('[1]Définition Maintenances'!$G:$G,MATCH($A39,'[1]Définition Maintenances'!$K:$K,0)),CZ39,INDEX('[1]Définition Maintenances'!$G:$G,MATCH($A39,'[1]Définition Maintenances'!$K:$K,0))+CZ39),CZ39))</f>
        <v>810</v>
      </c>
      <c r="DB39" s="26">
        <f>IF(ISNUMBER(VLOOKUP($D39,'Visu totale'!$D:$DH,DB$1,0)),DA39-VLOOKUP($D39,'Visu totale'!$D:$DH,DB$1,0),IF(LEFT(VLOOKUP($D39,'Visu totale'!$D:$DH,DB$1,0),1)="V",IF(DA39&gt;=INDEX('[1]Définition Maintenances'!$G:$G,MATCH($A39,'[1]Définition Maintenances'!$K:$K,0)),DA39,INDEX('[1]Définition Maintenances'!$G:$G,MATCH($A39,'[1]Définition Maintenances'!$K:$K,0))+DA39),DA39))</f>
        <v>810</v>
      </c>
      <c r="DC39" s="26">
        <f>IF(ISNUMBER(VLOOKUP($D39,'Visu totale'!$D:$DH,DC$1,0)),DB39-VLOOKUP($D39,'Visu totale'!$D:$DH,DC$1,0),IF(LEFT(VLOOKUP($D39,'Visu totale'!$D:$DH,DC$1,0),1)="V",IF(DB39&gt;=INDEX('[1]Définition Maintenances'!$G:$G,MATCH($A39,'[1]Définition Maintenances'!$K:$K,0)),DB39,INDEX('[1]Définition Maintenances'!$G:$G,MATCH($A39,'[1]Définition Maintenances'!$K:$K,0))+DB39),DB39))</f>
        <v>810</v>
      </c>
      <c r="DD39" s="26">
        <f>IF(ISNUMBER(VLOOKUP($D39,'Visu totale'!$D:$DH,DD$1,0)),DC39-VLOOKUP($D39,'Visu totale'!$D:$DH,DD$1,0),IF(LEFT(VLOOKUP($D39,'Visu totale'!$D:$DH,DD$1,0),1)="V",IF(DC39&gt;=INDEX('[1]Définition Maintenances'!$G:$G,MATCH($A39,'[1]Définition Maintenances'!$K:$K,0)),DC39,INDEX('[1]Définition Maintenances'!$G:$G,MATCH($A39,'[1]Définition Maintenances'!$K:$K,0))+DC39),DC39))</f>
        <v>810</v>
      </c>
      <c r="DE39" s="26">
        <f>IF(ISNUMBER(VLOOKUP($D39,'Visu totale'!$D:$DH,DE$1,0)),DD39-VLOOKUP($D39,'Visu totale'!$D:$DH,DE$1,0),IF(LEFT(VLOOKUP($D39,'Visu totale'!$D:$DH,DE$1,0),1)="V",IF(DD39&gt;=INDEX('[1]Définition Maintenances'!$G:$G,MATCH($A39,'[1]Définition Maintenances'!$K:$K,0)),DD39,INDEX('[1]Définition Maintenances'!$G:$G,MATCH($A39,'[1]Définition Maintenances'!$K:$K,0))+DD39),DD39))</f>
        <v>810</v>
      </c>
      <c r="DF39" s="26">
        <f>IF(ISNUMBER(VLOOKUP($D39,'Visu totale'!$D:$DH,DF$1,0)),DE39-VLOOKUP($D39,'Visu totale'!$D:$DH,DF$1,0),IF(LEFT(VLOOKUP($D39,'Visu totale'!$D:$DH,DF$1,0),1)="V",IF(DE39&gt;=INDEX('[1]Définition Maintenances'!$G:$G,MATCH($A39,'[1]Définition Maintenances'!$K:$K,0)),DE39,INDEX('[1]Définition Maintenances'!$G:$G,MATCH($A39,'[1]Définition Maintenances'!$K:$K,0))+DE39),DE39))</f>
        <v>810</v>
      </c>
      <c r="DG39" s="26">
        <f>IF(ISNUMBER(VLOOKUP($D39,'Visu totale'!$D:$DH,DG$1,0)),DF39-VLOOKUP($D39,'Visu totale'!$D:$DH,DG$1,0),IF(LEFT(VLOOKUP($D39,'Visu totale'!$D:$DH,DG$1,0),1)="V",IF(DF39&gt;=INDEX('[1]Définition Maintenances'!$G:$G,MATCH($A39,'[1]Définition Maintenances'!$K:$K,0)),DF39,INDEX('[1]Définition Maintenances'!$G:$G,MATCH($A39,'[1]Définition Maintenances'!$K:$K,0))+DF39),DF39))</f>
        <v>810</v>
      </c>
      <c r="DH39" s="26">
        <f>IF(ISNUMBER(VLOOKUP($D39,'Visu totale'!$D:$DH,DH$1,0)),DG39-VLOOKUP($D39,'Visu totale'!$D:$DH,DH$1,0),IF(LEFT(VLOOKUP($D39,'Visu totale'!$D:$DH,DH$1,0),1)="V",IF(DG39&gt;=INDEX('[1]Définition Maintenances'!$G:$G,MATCH($A39,'[1]Définition Maintenances'!$K:$K,0)),DG39,INDEX('[1]Définition Maintenances'!$G:$G,MATCH($A39,'[1]Définition Maintenances'!$K:$K,0))+DG39),DG39))</f>
        <v>810</v>
      </c>
      <c r="DI39" s="27">
        <f>IF(ISNUMBER(VLOOKUP($D39,'Visu totale'!$D:$DH,DI$1,0)),DH39-VLOOKUP($D39,'Visu totale'!$D:$DH,DI$1,0),IF(LEFT(VLOOKUP($D39,'Visu totale'!$D:$DH,DI$1,0),1)="V",IF(DH39&gt;=INDEX('[1]Définition Maintenances'!$G:$G,MATCH($A39,'[1]Définition Maintenances'!$K:$K,0)),DH39,INDEX('[1]Définition Maintenances'!$G:$G,MATCH($A39,'[1]Définition Maintenances'!$K:$K,0))+DH39),DH39))</f>
        <v>810</v>
      </c>
    </row>
    <row r="40" spans="1:113" x14ac:dyDescent="0.25">
      <c r="A40" s="13" t="str">
        <f t="shared" si="1"/>
        <v>V10D</v>
      </c>
      <c r="B40" s="13" t="str">
        <f>VLOOKUP(D40,'[1]Avions (Potentiels)'!$B$2:$H$128,7,FALSE)</f>
        <v>V10</v>
      </c>
      <c r="C40" s="13"/>
      <c r="D40" s="16" t="s">
        <v>43</v>
      </c>
      <c r="E40" s="13">
        <f>IFERROR(VALUE(SUBSTITUTE(VLOOKUP(D40,'[1]Avions (Potentiels)'!$B:$E,4,0),".",",")),VALUE(VLOOKUP(D40,'[1]Avions (Potentiels)'!$B:$E,4,0)))</f>
        <v>1200</v>
      </c>
      <c r="F40" s="25">
        <f>IF(ISNUMBER(VLOOKUP($D40,'Visu totale'!$D:$DH,F$1,0)),E40-VLOOKUP($D40,'Visu totale'!$D:$DH,F$1,0),IF(LEFT(VLOOKUP($D40,'Visu totale'!$D:$DH,F$1,0),1)="V",IF(E40&gt;=INDEX('[1]Définition Maintenances'!$G:$G,MATCH($A40,'[1]Définition Maintenances'!$K:$K,0)),E40,INDEX('[1]Définition Maintenances'!$G:$G,MATCH($A40,'[1]Définition Maintenances'!$K:$K,0))+E40),E40))</f>
        <v>1200</v>
      </c>
      <c r="G40" s="26">
        <f>IF(ISNUMBER(VLOOKUP($D40,'Visu totale'!$D:$DH,G$1,0)),F40-VLOOKUP($D40,'Visu totale'!$D:$DH,G$1,0),IF(LEFT(VLOOKUP($D40,'Visu totale'!$D:$DH,G$1,0),1)="V",IF(F40&gt;=INDEX('[1]Définition Maintenances'!$G:$G,MATCH($A40,'[1]Définition Maintenances'!$K:$K,0)),F40,INDEX('[1]Définition Maintenances'!$G:$G,MATCH($A40,'[1]Définition Maintenances'!$K:$K,0))+F40),F40))</f>
        <v>1200</v>
      </c>
      <c r="H40" s="26">
        <f>IF(ISNUMBER(VLOOKUP($D40,'Visu totale'!$D:$DH,H$1,0)),G40-VLOOKUP($D40,'Visu totale'!$D:$DH,H$1,0),IF(LEFT(VLOOKUP($D40,'Visu totale'!$D:$DH,H$1,0),1)="V",IF(G40&gt;=INDEX('[1]Définition Maintenances'!$G:$G,MATCH($A40,'[1]Définition Maintenances'!$K:$K,0)),G40,INDEX('[1]Définition Maintenances'!$G:$G,MATCH($A40,'[1]Définition Maintenances'!$K:$K,0))+G40),G40))</f>
        <v>1200</v>
      </c>
      <c r="I40" s="26">
        <f>IF(ISNUMBER(VLOOKUP($D40,'Visu totale'!$D:$DH,I$1,0)),H40-VLOOKUP($D40,'Visu totale'!$D:$DH,I$1,0),IF(LEFT(VLOOKUP($D40,'Visu totale'!$D:$DH,I$1,0),1)="V",IF(H40&gt;=INDEX('[1]Définition Maintenances'!$G:$G,MATCH($A40,'[1]Définition Maintenances'!$K:$K,0)),H40,INDEX('[1]Définition Maintenances'!$G:$G,MATCH($A40,'[1]Définition Maintenances'!$K:$K,0))+H40),H40))</f>
        <v>1200</v>
      </c>
      <c r="J40" s="26">
        <f>IF(ISNUMBER(VLOOKUP($D40,'Visu totale'!$D:$DH,J$1,0)),I40-VLOOKUP($D40,'Visu totale'!$D:$DH,J$1,0),IF(LEFT(VLOOKUP($D40,'Visu totale'!$D:$DH,J$1,0),1)="V",IF(I40&gt;=INDEX('[1]Définition Maintenances'!$G:$G,MATCH($A40,'[1]Définition Maintenances'!$K:$K,0)),I40,INDEX('[1]Définition Maintenances'!$G:$G,MATCH($A40,'[1]Définition Maintenances'!$K:$K,0))+I40),I40))</f>
        <v>1200</v>
      </c>
      <c r="K40" s="26">
        <f>IF(ISNUMBER(VLOOKUP($D40,'Visu totale'!$D:$DH,K$1,0)),J40-VLOOKUP($D40,'Visu totale'!$D:$DH,K$1,0),IF(LEFT(VLOOKUP($D40,'Visu totale'!$D:$DH,K$1,0),1)="V",IF(J40&gt;=INDEX('[1]Définition Maintenances'!$G:$G,MATCH($A40,'[1]Définition Maintenances'!$K:$K,0)),J40,INDEX('[1]Définition Maintenances'!$G:$G,MATCH($A40,'[1]Définition Maintenances'!$K:$K,0))+J40),J40))</f>
        <v>1200</v>
      </c>
      <c r="L40" s="26">
        <f>IF(ISNUMBER(VLOOKUP($D40,'Visu totale'!$D:$DH,L$1,0)),K40-VLOOKUP($D40,'Visu totale'!$D:$DH,L$1,0),IF(LEFT(VLOOKUP($D40,'Visu totale'!$D:$DH,L$1,0),1)="V",IF(K40&gt;=INDEX('[1]Définition Maintenances'!$G:$G,MATCH($A40,'[1]Définition Maintenances'!$K:$K,0)),K40,INDEX('[1]Définition Maintenances'!$G:$G,MATCH($A40,'[1]Définition Maintenances'!$K:$K,0))+K40),K40))</f>
        <v>1200</v>
      </c>
      <c r="M40" s="26">
        <f>IF(ISNUMBER(VLOOKUP($D40,'Visu totale'!$D:$DH,M$1,0)),L40-VLOOKUP($D40,'Visu totale'!$D:$DH,M$1,0),IF(LEFT(VLOOKUP($D40,'Visu totale'!$D:$DH,M$1,0),1)="V",IF(L40&gt;=INDEX('[1]Définition Maintenances'!$G:$G,MATCH($A40,'[1]Définition Maintenances'!$K:$K,0)),L40,INDEX('[1]Définition Maintenances'!$G:$G,MATCH($A40,'[1]Définition Maintenances'!$K:$K,0))+L40),L40))</f>
        <v>1200</v>
      </c>
      <c r="N40" s="26">
        <f>IF(ISNUMBER(VLOOKUP($D40,'Visu totale'!$D:$DH,N$1,0)),M40-VLOOKUP($D40,'Visu totale'!$D:$DH,N$1,0),IF(LEFT(VLOOKUP($D40,'Visu totale'!$D:$DH,N$1,0),1)="V",IF(M40&gt;=INDEX('[1]Définition Maintenances'!$G:$G,MATCH($A40,'[1]Définition Maintenances'!$K:$K,0)),M40,INDEX('[1]Définition Maintenances'!$G:$G,MATCH($A40,'[1]Définition Maintenances'!$K:$K,0))+M40),M40))</f>
        <v>1200</v>
      </c>
      <c r="O40" s="26">
        <f>IF(ISNUMBER(VLOOKUP($D40,'Visu totale'!$D:$DH,O$1,0)),N40-VLOOKUP($D40,'Visu totale'!$D:$DH,O$1,0),IF(LEFT(VLOOKUP($D40,'Visu totale'!$D:$DH,O$1,0),1)="V",IF(N40&gt;=INDEX('[1]Définition Maintenances'!$G:$G,MATCH($A40,'[1]Définition Maintenances'!$K:$K,0)),N40,INDEX('[1]Définition Maintenances'!$G:$G,MATCH($A40,'[1]Définition Maintenances'!$K:$K,0))+N40),N40))</f>
        <v>1200</v>
      </c>
      <c r="P40" s="26">
        <f>IF(ISNUMBER(VLOOKUP($D40,'Visu totale'!$D:$DH,P$1,0)),O40-VLOOKUP($D40,'Visu totale'!$D:$DH,P$1,0),IF(LEFT(VLOOKUP($D40,'Visu totale'!$D:$DH,P$1,0),1)="V",IF(O40&gt;=INDEX('[1]Définition Maintenances'!$G:$G,MATCH($A40,'[1]Définition Maintenances'!$K:$K,0)),O40,INDEX('[1]Définition Maintenances'!$G:$G,MATCH($A40,'[1]Définition Maintenances'!$K:$K,0))+O40),O40))</f>
        <v>1200</v>
      </c>
      <c r="Q40" s="27">
        <f>IF(ISNUMBER(VLOOKUP($D40,'Visu totale'!$D:$DH,Q$1,0)),P40-VLOOKUP($D40,'Visu totale'!$D:$DH,Q$1,0),IF(LEFT(VLOOKUP($D40,'Visu totale'!$D:$DH,Q$1,0),1)="V",IF(P40&gt;=INDEX('[1]Définition Maintenances'!$G:$G,MATCH($A40,'[1]Définition Maintenances'!$K:$K,0)),P40,INDEX('[1]Définition Maintenances'!$G:$G,MATCH($A40,'[1]Définition Maintenances'!$K:$K,0))+P40),P40))</f>
        <v>1200</v>
      </c>
      <c r="R40" s="25">
        <f>IF(ISNUMBER(VLOOKUP($D40,'Visu totale'!$D:$DH,R$1,0)),Q40-VLOOKUP($D40,'Visu totale'!$D:$DH,R$1,0),IF(LEFT(VLOOKUP($D40,'Visu totale'!$D:$DH,R$1,0),1)="V",IF(Q40&gt;=INDEX('[1]Définition Maintenances'!$G:$G,MATCH($A40,'[1]Définition Maintenances'!$K:$K,0)),Q40,INDEX('[1]Définition Maintenances'!$G:$G,MATCH($A40,'[1]Définition Maintenances'!$K:$K,0))+Q40),Q40))</f>
        <v>1200</v>
      </c>
      <c r="S40" s="26">
        <f>IF(ISNUMBER(VLOOKUP($D40,'Visu totale'!$D:$DH,S$1,0)),R40-VLOOKUP($D40,'Visu totale'!$D:$DH,S$1,0),IF(LEFT(VLOOKUP($D40,'Visu totale'!$D:$DH,S$1,0),1)="V",IF(R40&gt;=INDEX('[1]Définition Maintenances'!$G:$G,MATCH($A40,'[1]Définition Maintenances'!$K:$K,0)),R40,INDEX('[1]Définition Maintenances'!$G:$G,MATCH($A40,'[1]Définition Maintenances'!$K:$K,0))+R40),R40))</f>
        <v>1200</v>
      </c>
      <c r="T40" s="26">
        <f>IF(ISNUMBER(VLOOKUP($D40,'Visu totale'!$D:$DH,T$1,0)),S40-VLOOKUP($D40,'Visu totale'!$D:$DH,T$1,0),IF(LEFT(VLOOKUP($D40,'Visu totale'!$D:$DH,T$1,0),1)="V",IF(S40&gt;=INDEX('[1]Définition Maintenances'!$G:$G,MATCH($A40,'[1]Définition Maintenances'!$K:$K,0)),S40,INDEX('[1]Définition Maintenances'!$G:$G,MATCH($A40,'[1]Définition Maintenances'!$K:$K,0))+S40),S40))</f>
        <v>1200</v>
      </c>
      <c r="U40" s="26">
        <f>IF(ISNUMBER(VLOOKUP($D40,'Visu totale'!$D:$DH,U$1,0)),T40-VLOOKUP($D40,'Visu totale'!$D:$DH,U$1,0),IF(LEFT(VLOOKUP($D40,'Visu totale'!$D:$DH,U$1,0),1)="V",IF(T40&gt;=INDEX('[1]Définition Maintenances'!$G:$G,MATCH($A40,'[1]Définition Maintenances'!$K:$K,0)),T40,INDEX('[1]Définition Maintenances'!$G:$G,MATCH($A40,'[1]Définition Maintenances'!$K:$K,0))+T40),T40))</f>
        <v>1200</v>
      </c>
      <c r="V40" s="26">
        <f>IF(ISNUMBER(VLOOKUP($D40,'Visu totale'!$D:$DH,V$1,0)),U40-VLOOKUP($D40,'Visu totale'!$D:$DH,V$1,0),IF(LEFT(VLOOKUP($D40,'Visu totale'!$D:$DH,V$1,0),1)="V",IF(U40&gt;=INDEX('[1]Définition Maintenances'!$G:$G,MATCH($A40,'[1]Définition Maintenances'!$K:$K,0)),U40,INDEX('[1]Définition Maintenances'!$G:$G,MATCH($A40,'[1]Définition Maintenances'!$K:$K,0))+U40),U40))</f>
        <v>1200</v>
      </c>
      <c r="W40" s="26">
        <f>IF(ISNUMBER(VLOOKUP($D40,'Visu totale'!$D:$DH,W$1,0)),V40-VLOOKUP($D40,'Visu totale'!$D:$DH,W$1,0),IF(LEFT(VLOOKUP($D40,'Visu totale'!$D:$DH,W$1,0),1)="V",IF(V40&gt;=INDEX('[1]Définition Maintenances'!$G:$G,MATCH($A40,'[1]Définition Maintenances'!$K:$K,0)),V40,INDEX('[1]Définition Maintenances'!$G:$G,MATCH($A40,'[1]Définition Maintenances'!$K:$K,0))+V40),V40))</f>
        <v>1200</v>
      </c>
      <c r="X40" s="26">
        <f>IF(ISNUMBER(VLOOKUP($D40,'Visu totale'!$D:$DH,X$1,0)),W40-VLOOKUP($D40,'Visu totale'!$D:$DH,X$1,0),IF(LEFT(VLOOKUP($D40,'Visu totale'!$D:$DH,X$1,0),1)="V",IF(W40&gt;=INDEX('[1]Définition Maintenances'!$G:$G,MATCH($A40,'[1]Définition Maintenances'!$K:$K,0)),W40,INDEX('[1]Définition Maintenances'!$G:$G,MATCH($A40,'[1]Définition Maintenances'!$K:$K,0))+W40),W40))</f>
        <v>1200</v>
      </c>
      <c r="Y40" s="26">
        <f>IF(ISNUMBER(VLOOKUP($D40,'Visu totale'!$D:$DH,Y$1,0)),X40-VLOOKUP($D40,'Visu totale'!$D:$DH,Y$1,0),IF(LEFT(VLOOKUP($D40,'Visu totale'!$D:$DH,Y$1,0),1)="V",IF(X40&gt;=INDEX('[1]Définition Maintenances'!$G:$G,MATCH($A40,'[1]Définition Maintenances'!$K:$K,0)),X40,INDEX('[1]Définition Maintenances'!$G:$G,MATCH($A40,'[1]Définition Maintenances'!$K:$K,0))+X40),X40))</f>
        <v>1200</v>
      </c>
      <c r="Z40" s="26">
        <f>IF(ISNUMBER(VLOOKUP($D40,'Visu totale'!$D:$DH,Z$1,0)),Y40-VLOOKUP($D40,'Visu totale'!$D:$DH,Z$1,0),IF(LEFT(VLOOKUP($D40,'Visu totale'!$D:$DH,Z$1,0),1)="V",IF(Y40&gt;=INDEX('[1]Définition Maintenances'!$G:$G,MATCH($A40,'[1]Définition Maintenances'!$K:$K,0)),Y40,INDEX('[1]Définition Maintenances'!$G:$G,MATCH($A40,'[1]Définition Maintenances'!$K:$K,0))+Y40),Y40))</f>
        <v>1200</v>
      </c>
      <c r="AA40" s="26">
        <f>IF(ISNUMBER(VLOOKUP($D40,'Visu totale'!$D:$DH,AA$1,0)),Z40-VLOOKUP($D40,'Visu totale'!$D:$DH,AA$1,0),IF(LEFT(VLOOKUP($D40,'Visu totale'!$D:$DH,AA$1,0),1)="V",IF(Z40&gt;=INDEX('[1]Définition Maintenances'!$G:$G,MATCH($A40,'[1]Définition Maintenances'!$K:$K,0)),Z40,INDEX('[1]Définition Maintenances'!$G:$G,MATCH($A40,'[1]Définition Maintenances'!$K:$K,0))+Z40),Z40))</f>
        <v>1200</v>
      </c>
      <c r="AB40" s="26">
        <f>IF(ISNUMBER(VLOOKUP($D40,'Visu totale'!$D:$DH,AB$1,0)),AA40-VLOOKUP($D40,'Visu totale'!$D:$DH,AB$1,0),IF(LEFT(VLOOKUP($D40,'Visu totale'!$D:$DH,AB$1,0),1)="V",IF(AA40&gt;=INDEX('[1]Définition Maintenances'!$G:$G,MATCH($A40,'[1]Définition Maintenances'!$K:$K,0)),AA40,INDEX('[1]Définition Maintenances'!$G:$G,MATCH($A40,'[1]Définition Maintenances'!$K:$K,0))+AA40),AA40))</f>
        <v>1200</v>
      </c>
      <c r="AC40" s="27">
        <f>IF(ISNUMBER(VLOOKUP($D40,'Visu totale'!$D:$DH,AC$1,0)),AB40-VLOOKUP($D40,'Visu totale'!$D:$DH,AC$1,0),IF(LEFT(VLOOKUP($D40,'Visu totale'!$D:$DH,AC$1,0),1)="V",IF(AB40&gt;=INDEX('[1]Définition Maintenances'!$G:$G,MATCH($A40,'[1]Définition Maintenances'!$K:$K,0)),AB40,INDEX('[1]Définition Maintenances'!$G:$G,MATCH($A40,'[1]Définition Maintenances'!$K:$K,0))+AB40),AB40))</f>
        <v>1200</v>
      </c>
      <c r="AD40" s="25">
        <f>IF(ISNUMBER(VLOOKUP($D40,'Visu totale'!$D:$DH,AD$1,0)),AC40-VLOOKUP($D40,'Visu totale'!$D:$DH,AD$1,0),IF(LEFT(VLOOKUP($D40,'Visu totale'!$D:$DH,AD$1,0),1)="V",IF(AC40&gt;=INDEX('[1]Définition Maintenances'!$G:$G,MATCH($A40,'[1]Définition Maintenances'!$K:$K,0)),AC40,INDEX('[1]Définition Maintenances'!$G:$G,MATCH($A40,'[1]Définition Maintenances'!$K:$K,0))+AC40),AC40))</f>
        <v>1200</v>
      </c>
      <c r="AE40" s="26">
        <f>IF(ISNUMBER(VLOOKUP($D40,'Visu totale'!$D:$DH,AE$1,0)),AD40-VLOOKUP($D40,'Visu totale'!$D:$DH,AE$1,0),IF(LEFT(VLOOKUP($D40,'Visu totale'!$D:$DH,AE$1,0),1)="V",IF(AD40&gt;=INDEX('[1]Définition Maintenances'!$G:$G,MATCH($A40,'[1]Définition Maintenances'!$K:$K,0)),AD40,INDEX('[1]Définition Maintenances'!$G:$G,MATCH($A40,'[1]Définition Maintenances'!$K:$K,0))+AD40),AD40))</f>
        <v>1200</v>
      </c>
      <c r="AF40" s="26">
        <f>IF(ISNUMBER(VLOOKUP($D40,'Visu totale'!$D:$DH,AF$1,0)),AE40-VLOOKUP($D40,'Visu totale'!$D:$DH,AF$1,0),IF(LEFT(VLOOKUP($D40,'Visu totale'!$D:$DH,AF$1,0),1)="V",IF(AE40&gt;=INDEX('[1]Définition Maintenances'!$G:$G,MATCH($A40,'[1]Définition Maintenances'!$K:$K,0)),AE40,INDEX('[1]Définition Maintenances'!$G:$G,MATCH($A40,'[1]Définition Maintenances'!$K:$K,0))+AE40),AE40))</f>
        <v>1200</v>
      </c>
      <c r="AG40" s="26">
        <f>IF(ISNUMBER(VLOOKUP($D40,'Visu totale'!$D:$DH,AG$1,0)),AF40-VLOOKUP($D40,'Visu totale'!$D:$DH,AG$1,0),IF(LEFT(VLOOKUP($D40,'Visu totale'!$D:$DH,AG$1,0),1)="V",IF(AF40&gt;=INDEX('[1]Définition Maintenances'!$G:$G,MATCH($A40,'[1]Définition Maintenances'!$K:$K,0)),AF40,INDEX('[1]Définition Maintenances'!$G:$G,MATCH($A40,'[1]Définition Maintenances'!$K:$K,0))+AF40),AF40))</f>
        <v>1200</v>
      </c>
      <c r="AH40" s="26">
        <f>IF(ISNUMBER(VLOOKUP($D40,'Visu totale'!$D:$DH,AH$1,0)),AG40-VLOOKUP($D40,'Visu totale'!$D:$DH,AH$1,0),IF(LEFT(VLOOKUP($D40,'Visu totale'!$D:$DH,AH$1,0),1)="V",IF(AG40&gt;=INDEX('[1]Définition Maintenances'!$G:$G,MATCH($A40,'[1]Définition Maintenances'!$K:$K,0)),AG40,INDEX('[1]Définition Maintenances'!$G:$G,MATCH($A40,'[1]Définition Maintenances'!$K:$K,0))+AG40),AG40))</f>
        <v>1200</v>
      </c>
      <c r="AI40" s="26">
        <f>IF(ISNUMBER(VLOOKUP($D40,'Visu totale'!$D:$DH,AI$1,0)),AH40-VLOOKUP($D40,'Visu totale'!$D:$DH,AI$1,0),IF(LEFT(VLOOKUP($D40,'Visu totale'!$D:$DH,AI$1,0),1)="V",IF(AH40&gt;=INDEX('[1]Définition Maintenances'!$G:$G,MATCH($A40,'[1]Définition Maintenances'!$K:$K,0)),AH40,INDEX('[1]Définition Maintenances'!$G:$G,MATCH($A40,'[1]Définition Maintenances'!$K:$K,0))+AH40),AH40))</f>
        <v>1200</v>
      </c>
      <c r="AJ40" s="26">
        <f>IF(ISNUMBER(VLOOKUP($D40,'Visu totale'!$D:$DH,AJ$1,0)),AI40-VLOOKUP($D40,'Visu totale'!$D:$DH,AJ$1,0),IF(LEFT(VLOOKUP($D40,'Visu totale'!$D:$DH,AJ$1,0),1)="V",IF(AI40&gt;=INDEX('[1]Définition Maintenances'!$G:$G,MATCH($A40,'[1]Définition Maintenances'!$K:$K,0)),AI40,INDEX('[1]Définition Maintenances'!$G:$G,MATCH($A40,'[1]Définition Maintenances'!$K:$K,0))+AI40),AI40))</f>
        <v>1200</v>
      </c>
      <c r="AK40" s="26">
        <f>IF(ISNUMBER(VLOOKUP($D40,'Visu totale'!$D:$DH,AK$1,0)),AJ40-VLOOKUP($D40,'Visu totale'!$D:$DH,AK$1,0),IF(LEFT(VLOOKUP($D40,'Visu totale'!$D:$DH,AK$1,0),1)="V",IF(AJ40&gt;=INDEX('[1]Définition Maintenances'!$G:$G,MATCH($A40,'[1]Définition Maintenances'!$K:$K,0)),AJ40,INDEX('[1]Définition Maintenances'!$G:$G,MATCH($A40,'[1]Définition Maintenances'!$K:$K,0))+AJ40),AJ40))</f>
        <v>1200</v>
      </c>
      <c r="AL40" s="26">
        <f>IF(ISNUMBER(VLOOKUP($D40,'Visu totale'!$D:$DH,AL$1,0)),AK40-VLOOKUP($D40,'Visu totale'!$D:$DH,AL$1,0),IF(LEFT(VLOOKUP($D40,'Visu totale'!$D:$DH,AL$1,0),1)="V",IF(AK40&gt;=INDEX('[1]Définition Maintenances'!$G:$G,MATCH($A40,'[1]Définition Maintenances'!$K:$K,0)),AK40,INDEX('[1]Définition Maintenances'!$G:$G,MATCH($A40,'[1]Définition Maintenances'!$K:$K,0))+AK40),AK40))</f>
        <v>1200</v>
      </c>
      <c r="AM40" s="26">
        <f>IF(ISNUMBER(VLOOKUP($D40,'Visu totale'!$D:$DH,AM$1,0)),AL40-VLOOKUP($D40,'Visu totale'!$D:$DH,AM$1,0),IF(LEFT(VLOOKUP($D40,'Visu totale'!$D:$DH,AM$1,0),1)="V",IF(AL40&gt;=INDEX('[1]Définition Maintenances'!$G:$G,MATCH($A40,'[1]Définition Maintenances'!$K:$K,0)),AL40,INDEX('[1]Définition Maintenances'!$G:$G,MATCH($A40,'[1]Définition Maintenances'!$K:$K,0))+AL40),AL40))</f>
        <v>1200</v>
      </c>
      <c r="AN40" s="26">
        <f>IF(ISNUMBER(VLOOKUP($D40,'Visu totale'!$D:$DH,AN$1,0)),AM40-VLOOKUP($D40,'Visu totale'!$D:$DH,AN$1,0),IF(LEFT(VLOOKUP($D40,'Visu totale'!$D:$DH,AN$1,0),1)="V",IF(AM40&gt;=INDEX('[1]Définition Maintenances'!$G:$G,MATCH($A40,'[1]Définition Maintenances'!$K:$K,0)),AM40,INDEX('[1]Définition Maintenances'!$G:$G,MATCH($A40,'[1]Définition Maintenances'!$K:$K,0))+AM40),AM40))</f>
        <v>1200</v>
      </c>
      <c r="AO40" s="27">
        <f>IF(ISNUMBER(VLOOKUP($D40,'Visu totale'!$D:$DH,AO$1,0)),AN40-VLOOKUP($D40,'Visu totale'!$D:$DH,AO$1,0),IF(LEFT(VLOOKUP($D40,'Visu totale'!$D:$DH,AO$1,0),1)="V",IF(AN40&gt;=INDEX('[1]Définition Maintenances'!$G:$G,MATCH($A40,'[1]Définition Maintenances'!$K:$K,0)),AN40,INDEX('[1]Définition Maintenances'!$G:$G,MATCH($A40,'[1]Définition Maintenances'!$K:$K,0))+AN40),AN40))</f>
        <v>1200</v>
      </c>
      <c r="AP40" s="25">
        <f>IF(ISNUMBER(VLOOKUP($D40,'Visu totale'!$D:$DH,AP$1,0)),AO40-VLOOKUP($D40,'Visu totale'!$D:$DH,AP$1,0),IF(LEFT(VLOOKUP($D40,'Visu totale'!$D:$DH,AP$1,0),1)="V",IF(AO40&gt;=INDEX('[1]Définition Maintenances'!$G:$G,MATCH($A40,'[1]Définition Maintenances'!$K:$K,0)),AO40,INDEX('[1]Définition Maintenances'!$G:$G,MATCH($A40,'[1]Définition Maintenances'!$K:$K,0))+AO40),AO40))</f>
        <v>1200</v>
      </c>
      <c r="AQ40" s="26">
        <f>IF(ISNUMBER(VLOOKUP($D40,'Visu totale'!$D:$DH,AQ$1,0)),AP40-VLOOKUP($D40,'Visu totale'!$D:$DH,AQ$1,0),IF(LEFT(VLOOKUP($D40,'Visu totale'!$D:$DH,AQ$1,0),1)="V",IF(AP40&gt;=INDEX('[1]Définition Maintenances'!$G:$G,MATCH($A40,'[1]Définition Maintenances'!$K:$K,0)),AP40,INDEX('[1]Définition Maintenances'!$G:$G,MATCH($A40,'[1]Définition Maintenances'!$K:$K,0))+AP40),AP40))</f>
        <v>1200</v>
      </c>
      <c r="AR40" s="26">
        <f>IF(ISNUMBER(VLOOKUP($D40,'Visu totale'!$D:$DH,AR$1,0)),AQ40-VLOOKUP($D40,'Visu totale'!$D:$DH,AR$1,0),IF(LEFT(VLOOKUP($D40,'Visu totale'!$D:$DH,AR$1,0),1)="V",IF(AQ40&gt;=INDEX('[1]Définition Maintenances'!$G:$G,MATCH($A40,'[1]Définition Maintenances'!$K:$K,0)),AQ40,INDEX('[1]Définition Maintenances'!$G:$G,MATCH($A40,'[1]Définition Maintenances'!$K:$K,0))+AQ40),AQ40))</f>
        <v>1200</v>
      </c>
      <c r="AS40" s="26">
        <f>IF(ISNUMBER(VLOOKUP($D40,'Visu totale'!$D:$DH,AS$1,0)),AR40-VLOOKUP($D40,'Visu totale'!$D:$DH,AS$1,0),IF(LEFT(VLOOKUP($D40,'Visu totale'!$D:$DH,AS$1,0),1)="V",IF(AR40&gt;=INDEX('[1]Définition Maintenances'!$G:$G,MATCH($A40,'[1]Définition Maintenances'!$K:$K,0)),AR40,INDEX('[1]Définition Maintenances'!$G:$G,MATCH($A40,'[1]Définition Maintenances'!$K:$K,0))+AR40),AR40))</f>
        <v>1200</v>
      </c>
      <c r="AT40" s="26">
        <f>IF(ISNUMBER(VLOOKUP($D40,'Visu totale'!$D:$DH,AT$1,0)),AS40-VLOOKUP($D40,'Visu totale'!$D:$DH,AT$1,0),IF(LEFT(VLOOKUP($D40,'Visu totale'!$D:$DH,AT$1,0),1)="V",IF(AS40&gt;=INDEX('[1]Définition Maintenances'!$G:$G,MATCH($A40,'[1]Définition Maintenances'!$K:$K,0)),AS40,INDEX('[1]Définition Maintenances'!$G:$G,MATCH($A40,'[1]Définition Maintenances'!$K:$K,0))+AS40),AS40))</f>
        <v>1200</v>
      </c>
      <c r="AU40" s="26">
        <f>IF(ISNUMBER(VLOOKUP($D40,'Visu totale'!$D:$DH,AU$1,0)),AT40-VLOOKUP($D40,'Visu totale'!$D:$DH,AU$1,0),IF(LEFT(VLOOKUP($D40,'Visu totale'!$D:$DH,AU$1,0),1)="V",IF(AT40&gt;=INDEX('[1]Définition Maintenances'!$G:$G,MATCH($A40,'[1]Définition Maintenances'!$K:$K,0)),AT40,INDEX('[1]Définition Maintenances'!$G:$G,MATCH($A40,'[1]Définition Maintenances'!$K:$K,0))+AT40),AT40))</f>
        <v>1200</v>
      </c>
      <c r="AV40" s="26">
        <f>IF(ISNUMBER(VLOOKUP($D40,'Visu totale'!$D:$DH,AV$1,0)),AU40-VLOOKUP($D40,'Visu totale'!$D:$DH,AV$1,0),IF(LEFT(VLOOKUP($D40,'Visu totale'!$D:$DH,AV$1,0),1)="V",IF(AU40&gt;=INDEX('[1]Définition Maintenances'!$G:$G,MATCH($A40,'[1]Définition Maintenances'!$K:$K,0)),AU40,INDEX('[1]Définition Maintenances'!$G:$G,MATCH($A40,'[1]Définition Maintenances'!$K:$K,0))+AU40),AU40))</f>
        <v>1200</v>
      </c>
      <c r="AW40" s="26">
        <f>IF(ISNUMBER(VLOOKUP($D40,'Visu totale'!$D:$DH,AW$1,0)),AV40-VLOOKUP($D40,'Visu totale'!$D:$DH,AW$1,0),IF(LEFT(VLOOKUP($D40,'Visu totale'!$D:$DH,AW$1,0),1)="V",IF(AV40&gt;=INDEX('[1]Définition Maintenances'!$G:$G,MATCH($A40,'[1]Définition Maintenances'!$K:$K,0)),AV40,INDEX('[1]Définition Maintenances'!$G:$G,MATCH($A40,'[1]Définition Maintenances'!$K:$K,0))+AV40),AV40))</f>
        <v>1200</v>
      </c>
      <c r="AX40" s="26">
        <f>IF(ISNUMBER(VLOOKUP($D40,'Visu totale'!$D:$DH,AX$1,0)),AW40-VLOOKUP($D40,'Visu totale'!$D:$DH,AX$1,0),IF(LEFT(VLOOKUP($D40,'Visu totale'!$D:$DH,AX$1,0),1)="V",IF(AW40&gt;=INDEX('[1]Définition Maintenances'!$G:$G,MATCH($A40,'[1]Définition Maintenances'!$K:$K,0)),AW40,INDEX('[1]Définition Maintenances'!$G:$G,MATCH($A40,'[1]Définition Maintenances'!$K:$K,0))+AW40),AW40))</f>
        <v>1200</v>
      </c>
      <c r="AY40" s="26">
        <f>IF(ISNUMBER(VLOOKUP($D40,'Visu totale'!$D:$DH,AY$1,0)),AX40-VLOOKUP($D40,'Visu totale'!$D:$DH,AY$1,0),IF(LEFT(VLOOKUP($D40,'Visu totale'!$D:$DH,AY$1,0),1)="V",IF(AX40&gt;=INDEX('[1]Définition Maintenances'!$G:$G,MATCH($A40,'[1]Définition Maintenances'!$K:$K,0)),AX40,INDEX('[1]Définition Maintenances'!$G:$G,MATCH($A40,'[1]Définition Maintenances'!$K:$K,0))+AX40),AX40))</f>
        <v>1200</v>
      </c>
      <c r="AZ40" s="26">
        <f>IF(ISNUMBER(VLOOKUP($D40,'Visu totale'!$D:$DH,AZ$1,0)),AY40-VLOOKUP($D40,'Visu totale'!$D:$DH,AZ$1,0),IF(LEFT(VLOOKUP($D40,'Visu totale'!$D:$DH,AZ$1,0),1)="V",IF(AY40&gt;=INDEX('[1]Définition Maintenances'!$G:$G,MATCH($A40,'[1]Définition Maintenances'!$K:$K,0)),AY40,INDEX('[1]Définition Maintenances'!$G:$G,MATCH($A40,'[1]Définition Maintenances'!$K:$K,0))+AY40),AY40))</f>
        <v>1200</v>
      </c>
      <c r="BA40" s="27">
        <f>IF(ISNUMBER(VLOOKUP($D40,'Visu totale'!$D:$DH,BA$1,0)),AZ40-VLOOKUP($D40,'Visu totale'!$D:$DH,BA$1,0),IF(LEFT(VLOOKUP($D40,'Visu totale'!$D:$DH,BA$1,0),1)="V",IF(AZ40&gt;=INDEX('[1]Définition Maintenances'!$G:$G,MATCH($A40,'[1]Définition Maintenances'!$K:$K,0)),AZ40,INDEX('[1]Définition Maintenances'!$G:$G,MATCH($A40,'[1]Définition Maintenances'!$K:$K,0))+AZ40),AZ40))</f>
        <v>1200</v>
      </c>
      <c r="BB40" s="25">
        <f>IF(ISNUMBER(VLOOKUP($D40,'Visu totale'!$D:$DH,BB$1,0)),BA40-VLOOKUP($D40,'Visu totale'!$D:$DH,BB$1,0),IF(LEFT(VLOOKUP($D40,'Visu totale'!$D:$DH,BB$1,0),1)="V",IF(BA40&gt;=INDEX('[1]Définition Maintenances'!$G:$G,MATCH($A40,'[1]Définition Maintenances'!$K:$K,0)),BA40,INDEX('[1]Définition Maintenances'!$G:$G,MATCH($A40,'[1]Définition Maintenances'!$K:$K,0))+BA40),BA40))</f>
        <v>1200</v>
      </c>
      <c r="BC40" s="26">
        <f>IF(ISNUMBER(VLOOKUP($D40,'Visu totale'!$D:$DH,BC$1,0)),BB40-VLOOKUP($D40,'Visu totale'!$D:$DH,BC$1,0),IF(LEFT(VLOOKUP($D40,'Visu totale'!$D:$DH,BC$1,0),1)="V",IF(BB40&gt;=INDEX('[1]Définition Maintenances'!$G:$G,MATCH($A40,'[1]Définition Maintenances'!$K:$K,0)),BB40,INDEX('[1]Définition Maintenances'!$G:$G,MATCH($A40,'[1]Définition Maintenances'!$K:$K,0))+BB40),BB40))</f>
        <v>1200</v>
      </c>
      <c r="BD40" s="26">
        <f>IF(ISNUMBER(VLOOKUP($D40,'Visu totale'!$D:$DH,BD$1,0)),BC40-VLOOKUP($D40,'Visu totale'!$D:$DH,BD$1,0),IF(LEFT(VLOOKUP($D40,'Visu totale'!$D:$DH,BD$1,0),1)="V",IF(BC40&gt;=INDEX('[1]Définition Maintenances'!$G:$G,MATCH($A40,'[1]Définition Maintenances'!$K:$K,0)),BC40,INDEX('[1]Définition Maintenances'!$G:$G,MATCH($A40,'[1]Définition Maintenances'!$K:$K,0))+BC40),BC40))</f>
        <v>1200</v>
      </c>
      <c r="BE40" s="26">
        <f>IF(ISNUMBER(VLOOKUP($D40,'Visu totale'!$D:$DH,BE$1,0)),BD40-VLOOKUP($D40,'Visu totale'!$D:$DH,BE$1,0),IF(LEFT(VLOOKUP($D40,'Visu totale'!$D:$DH,BE$1,0),1)="V",IF(BD40&gt;=INDEX('[1]Définition Maintenances'!$G:$G,MATCH($A40,'[1]Définition Maintenances'!$K:$K,0)),BD40,INDEX('[1]Définition Maintenances'!$G:$G,MATCH($A40,'[1]Définition Maintenances'!$K:$K,0))+BD40),BD40))</f>
        <v>1200</v>
      </c>
      <c r="BF40" s="26">
        <f>IF(ISNUMBER(VLOOKUP($D40,'Visu totale'!$D:$DH,BF$1,0)),BE40-VLOOKUP($D40,'Visu totale'!$D:$DH,BF$1,0),IF(LEFT(VLOOKUP($D40,'Visu totale'!$D:$DH,BF$1,0),1)="V",IF(BE40&gt;=INDEX('[1]Définition Maintenances'!$G:$G,MATCH($A40,'[1]Définition Maintenances'!$K:$K,0)),BE40,INDEX('[1]Définition Maintenances'!$G:$G,MATCH($A40,'[1]Définition Maintenances'!$K:$K,0))+BE40),BE40))</f>
        <v>1200</v>
      </c>
      <c r="BG40" s="26">
        <f>IF(ISNUMBER(VLOOKUP($D40,'Visu totale'!$D:$DH,BG$1,0)),BF40-VLOOKUP($D40,'Visu totale'!$D:$DH,BG$1,0),IF(LEFT(VLOOKUP($D40,'Visu totale'!$D:$DH,BG$1,0),1)="V",IF(BF40&gt;=INDEX('[1]Définition Maintenances'!$G:$G,MATCH($A40,'[1]Définition Maintenances'!$K:$K,0)),BF40,INDEX('[1]Définition Maintenances'!$G:$G,MATCH($A40,'[1]Définition Maintenances'!$K:$K,0))+BF40),BF40))</f>
        <v>1200</v>
      </c>
      <c r="BH40" s="26">
        <f>IF(ISNUMBER(VLOOKUP($D40,'Visu totale'!$D:$DH,BH$1,0)),BG40-VLOOKUP($D40,'Visu totale'!$D:$DH,BH$1,0),IF(LEFT(VLOOKUP($D40,'Visu totale'!$D:$DH,BH$1,0),1)="V",IF(BG40&gt;=INDEX('[1]Définition Maintenances'!$G:$G,MATCH($A40,'[1]Définition Maintenances'!$K:$K,0)),BG40,INDEX('[1]Définition Maintenances'!$G:$G,MATCH($A40,'[1]Définition Maintenances'!$K:$K,0))+BG40),BG40))</f>
        <v>1200</v>
      </c>
      <c r="BI40" s="26">
        <f>IF(ISNUMBER(VLOOKUP($D40,'Visu totale'!$D:$DH,BI$1,0)),BH40-VLOOKUP($D40,'Visu totale'!$D:$DH,BI$1,0),IF(LEFT(VLOOKUP($D40,'Visu totale'!$D:$DH,BI$1,0),1)="V",IF(BH40&gt;=INDEX('[1]Définition Maintenances'!$G:$G,MATCH($A40,'[1]Définition Maintenances'!$K:$K,0)),BH40,INDEX('[1]Définition Maintenances'!$G:$G,MATCH($A40,'[1]Définition Maintenances'!$K:$K,0))+BH40),BH40))</f>
        <v>1200</v>
      </c>
      <c r="BJ40" s="26">
        <f>IF(ISNUMBER(VLOOKUP($D40,'Visu totale'!$D:$DH,BJ$1,0)),BI40-VLOOKUP($D40,'Visu totale'!$D:$DH,BJ$1,0),IF(LEFT(VLOOKUP($D40,'Visu totale'!$D:$DH,BJ$1,0),1)="V",IF(BI40&gt;=INDEX('[1]Définition Maintenances'!$G:$G,MATCH($A40,'[1]Définition Maintenances'!$K:$K,0)),BI40,INDEX('[1]Définition Maintenances'!$G:$G,MATCH($A40,'[1]Définition Maintenances'!$K:$K,0))+BI40),BI40))</f>
        <v>1200</v>
      </c>
      <c r="BK40" s="26">
        <f>IF(ISNUMBER(VLOOKUP($D40,'Visu totale'!$D:$DH,BK$1,0)),BJ40-VLOOKUP($D40,'Visu totale'!$D:$DH,BK$1,0),IF(LEFT(VLOOKUP($D40,'Visu totale'!$D:$DH,BK$1,0),1)="V",IF(BJ40&gt;=INDEX('[1]Définition Maintenances'!$G:$G,MATCH($A40,'[1]Définition Maintenances'!$K:$K,0)),BJ40,INDEX('[1]Définition Maintenances'!$G:$G,MATCH($A40,'[1]Définition Maintenances'!$K:$K,0))+BJ40),BJ40))</f>
        <v>1200</v>
      </c>
      <c r="BL40" s="26">
        <f>IF(ISNUMBER(VLOOKUP($D40,'Visu totale'!$D:$DH,BL$1,0)),BK40-VLOOKUP($D40,'Visu totale'!$D:$DH,BL$1,0),IF(LEFT(VLOOKUP($D40,'Visu totale'!$D:$DH,BL$1,0),1)="V",IF(BK40&gt;=INDEX('[1]Définition Maintenances'!$G:$G,MATCH($A40,'[1]Définition Maintenances'!$K:$K,0)),BK40,INDEX('[1]Définition Maintenances'!$G:$G,MATCH($A40,'[1]Définition Maintenances'!$K:$K,0))+BK40),BK40))</f>
        <v>1200</v>
      </c>
      <c r="BM40" s="27">
        <f>IF(ISNUMBER(VLOOKUP($D40,'Visu totale'!$D:$DH,BM$1,0)),BL40-VLOOKUP($D40,'Visu totale'!$D:$DH,BM$1,0),IF(LEFT(VLOOKUP($D40,'Visu totale'!$D:$DH,BM$1,0),1)="V",IF(BL40&gt;=INDEX('[1]Définition Maintenances'!$G:$G,MATCH($A40,'[1]Définition Maintenances'!$K:$K,0)),BL40,INDEX('[1]Définition Maintenances'!$G:$G,MATCH($A40,'[1]Définition Maintenances'!$K:$K,0))+BL40),BL40))</f>
        <v>1200</v>
      </c>
      <c r="BN40" s="25">
        <f>IF(ISNUMBER(VLOOKUP($D40,'Visu totale'!$D:$DH,BN$1,0)),BM40-VLOOKUP($D40,'Visu totale'!$D:$DH,BN$1,0),IF(LEFT(VLOOKUP($D40,'Visu totale'!$D:$DH,BN$1,0),1)="V",IF(BM40&gt;=INDEX('[1]Définition Maintenances'!$G:$G,MATCH($A40,'[1]Définition Maintenances'!$K:$K,0)),BM40,INDEX('[1]Définition Maintenances'!$G:$G,MATCH($A40,'[1]Définition Maintenances'!$K:$K,0))+BM40),BM40))</f>
        <v>1200</v>
      </c>
      <c r="BO40" s="26">
        <f>IF(ISNUMBER(VLOOKUP($D40,'Visu totale'!$D:$DH,BO$1,0)),BN40-VLOOKUP($D40,'Visu totale'!$D:$DH,BO$1,0),IF(LEFT(VLOOKUP($D40,'Visu totale'!$D:$DH,BO$1,0),1)="V",IF(BN40&gt;=INDEX('[1]Définition Maintenances'!$G:$G,MATCH($A40,'[1]Définition Maintenances'!$K:$K,0)),BN40,INDEX('[1]Définition Maintenances'!$G:$G,MATCH($A40,'[1]Définition Maintenances'!$K:$K,0))+BN40),BN40))</f>
        <v>1200</v>
      </c>
      <c r="BP40" s="26">
        <f>IF(ISNUMBER(VLOOKUP($D40,'Visu totale'!$D:$DH,BP$1,0)),BO40-VLOOKUP($D40,'Visu totale'!$D:$DH,BP$1,0),IF(LEFT(VLOOKUP($D40,'Visu totale'!$D:$DH,BP$1,0),1)="V",IF(BO40&gt;=INDEX('[1]Définition Maintenances'!$G:$G,MATCH($A40,'[1]Définition Maintenances'!$K:$K,0)),BO40,INDEX('[1]Définition Maintenances'!$G:$G,MATCH($A40,'[1]Définition Maintenances'!$K:$K,0))+BO40),BO40))</f>
        <v>1200</v>
      </c>
      <c r="BQ40" s="26">
        <f>IF(ISNUMBER(VLOOKUP($D40,'Visu totale'!$D:$DH,BQ$1,0)),BP40-VLOOKUP($D40,'Visu totale'!$D:$DH,BQ$1,0),IF(LEFT(VLOOKUP($D40,'Visu totale'!$D:$DH,BQ$1,0),1)="V",IF(BP40&gt;=INDEX('[1]Définition Maintenances'!$G:$G,MATCH($A40,'[1]Définition Maintenances'!$K:$K,0)),BP40,INDEX('[1]Définition Maintenances'!$G:$G,MATCH($A40,'[1]Définition Maintenances'!$K:$K,0))+BP40),BP40))</f>
        <v>1200</v>
      </c>
      <c r="BR40" s="26">
        <f>IF(ISNUMBER(VLOOKUP($D40,'Visu totale'!$D:$DH,BR$1,0)),BQ40-VLOOKUP($D40,'Visu totale'!$D:$DH,BR$1,0),IF(LEFT(VLOOKUP($D40,'Visu totale'!$D:$DH,BR$1,0),1)="V",IF(BQ40&gt;=INDEX('[1]Définition Maintenances'!$G:$G,MATCH($A40,'[1]Définition Maintenances'!$K:$K,0)),BQ40,INDEX('[1]Définition Maintenances'!$G:$G,MATCH($A40,'[1]Définition Maintenances'!$K:$K,0))+BQ40),BQ40))</f>
        <v>1200</v>
      </c>
      <c r="BS40" s="26">
        <f>IF(ISNUMBER(VLOOKUP($D40,'Visu totale'!$D:$DH,BS$1,0)),BR40-VLOOKUP($D40,'Visu totale'!$D:$DH,BS$1,0),IF(LEFT(VLOOKUP($D40,'Visu totale'!$D:$DH,BS$1,0),1)="V",IF(BR40&gt;=INDEX('[1]Définition Maintenances'!$G:$G,MATCH($A40,'[1]Définition Maintenances'!$K:$K,0)),BR40,INDEX('[1]Définition Maintenances'!$G:$G,MATCH($A40,'[1]Définition Maintenances'!$K:$K,0))+BR40),BR40))</f>
        <v>1200</v>
      </c>
      <c r="BT40" s="26">
        <f>IF(ISNUMBER(VLOOKUP($D40,'Visu totale'!$D:$DH,BT$1,0)),BS40-VLOOKUP($D40,'Visu totale'!$D:$DH,BT$1,0),IF(LEFT(VLOOKUP($D40,'Visu totale'!$D:$DH,BT$1,0),1)="V",IF(BS40&gt;=INDEX('[1]Définition Maintenances'!$G:$G,MATCH($A40,'[1]Définition Maintenances'!$K:$K,0)),BS40,INDEX('[1]Définition Maintenances'!$G:$G,MATCH($A40,'[1]Définition Maintenances'!$K:$K,0))+BS40),BS40))</f>
        <v>1200</v>
      </c>
      <c r="BU40" s="26">
        <f>IF(ISNUMBER(VLOOKUP($D40,'Visu totale'!$D:$DH,BU$1,0)),BT40-VLOOKUP($D40,'Visu totale'!$D:$DH,BU$1,0),IF(LEFT(VLOOKUP($D40,'Visu totale'!$D:$DH,BU$1,0),1)="V",IF(BT40&gt;=INDEX('[1]Définition Maintenances'!$G:$G,MATCH($A40,'[1]Définition Maintenances'!$K:$K,0)),BT40,INDEX('[1]Définition Maintenances'!$G:$G,MATCH($A40,'[1]Définition Maintenances'!$K:$K,0))+BT40),BT40))</f>
        <v>1200</v>
      </c>
      <c r="BV40" s="26">
        <f>IF(ISNUMBER(VLOOKUP($D40,'Visu totale'!$D:$DH,BV$1,0)),BU40-VLOOKUP($D40,'Visu totale'!$D:$DH,BV$1,0),IF(LEFT(VLOOKUP($D40,'Visu totale'!$D:$DH,BV$1,0),1)="V",IF(BU40&gt;=INDEX('[1]Définition Maintenances'!$G:$G,MATCH($A40,'[1]Définition Maintenances'!$K:$K,0)),BU40,INDEX('[1]Définition Maintenances'!$G:$G,MATCH($A40,'[1]Définition Maintenances'!$K:$K,0))+BU40),BU40))</f>
        <v>1200</v>
      </c>
      <c r="BW40" s="26">
        <f>IF(ISNUMBER(VLOOKUP($D40,'Visu totale'!$D:$DH,BW$1,0)),BV40-VLOOKUP($D40,'Visu totale'!$D:$DH,BW$1,0),IF(LEFT(VLOOKUP($D40,'Visu totale'!$D:$DH,BW$1,0),1)="V",IF(BV40&gt;=INDEX('[1]Définition Maintenances'!$G:$G,MATCH($A40,'[1]Définition Maintenances'!$K:$K,0)),BV40,INDEX('[1]Définition Maintenances'!$G:$G,MATCH($A40,'[1]Définition Maintenances'!$K:$K,0))+BV40),BV40))</f>
        <v>1200</v>
      </c>
      <c r="BX40" s="26">
        <f>IF(ISNUMBER(VLOOKUP($D40,'Visu totale'!$D:$DH,BX$1,0)),BW40-VLOOKUP($D40,'Visu totale'!$D:$DH,BX$1,0),IF(LEFT(VLOOKUP($D40,'Visu totale'!$D:$DH,BX$1,0),1)="V",IF(BW40&gt;=INDEX('[1]Définition Maintenances'!$G:$G,MATCH($A40,'[1]Définition Maintenances'!$K:$K,0)),BW40,INDEX('[1]Définition Maintenances'!$G:$G,MATCH($A40,'[1]Définition Maintenances'!$K:$K,0))+BW40),BW40))</f>
        <v>1200</v>
      </c>
      <c r="BY40" s="27">
        <f>IF(ISNUMBER(VLOOKUP($D40,'Visu totale'!$D:$DH,BY$1,0)),BX40-VLOOKUP($D40,'Visu totale'!$D:$DH,BY$1,0),IF(LEFT(VLOOKUP($D40,'Visu totale'!$D:$DH,BY$1,0),1)="V",IF(BX40&gt;=INDEX('[1]Définition Maintenances'!$G:$G,MATCH($A40,'[1]Définition Maintenances'!$K:$K,0)),BX40,INDEX('[1]Définition Maintenances'!$G:$G,MATCH($A40,'[1]Définition Maintenances'!$K:$K,0))+BX40),BX40))</f>
        <v>1200</v>
      </c>
      <c r="BZ40" s="25">
        <f>IF(ISNUMBER(VLOOKUP($D40,'Visu totale'!$D:$DH,BZ$1,0)),BY40-VLOOKUP($D40,'Visu totale'!$D:$DH,BZ$1,0),IF(LEFT(VLOOKUP($D40,'Visu totale'!$D:$DH,BZ$1,0),1)="V",IF(BY40&gt;=INDEX('[1]Définition Maintenances'!$G:$G,MATCH($A40,'[1]Définition Maintenances'!$K:$K,0)),BY40,INDEX('[1]Définition Maintenances'!$G:$G,MATCH($A40,'[1]Définition Maintenances'!$K:$K,0))+BY40),BY40))</f>
        <v>1200</v>
      </c>
      <c r="CA40" s="26">
        <f>IF(ISNUMBER(VLOOKUP($D40,'Visu totale'!$D:$DH,CA$1,0)),BZ40-VLOOKUP($D40,'Visu totale'!$D:$DH,CA$1,0),IF(LEFT(VLOOKUP($D40,'Visu totale'!$D:$DH,CA$1,0),1)="V",IF(BZ40&gt;=INDEX('[1]Définition Maintenances'!$G:$G,MATCH($A40,'[1]Définition Maintenances'!$K:$K,0)),BZ40,INDEX('[1]Définition Maintenances'!$G:$G,MATCH($A40,'[1]Définition Maintenances'!$K:$K,0))+BZ40),BZ40))</f>
        <v>1200</v>
      </c>
      <c r="CB40" s="26">
        <f>IF(ISNUMBER(VLOOKUP($D40,'Visu totale'!$D:$DH,CB$1,0)),CA40-VLOOKUP($D40,'Visu totale'!$D:$DH,CB$1,0),IF(LEFT(VLOOKUP($D40,'Visu totale'!$D:$DH,CB$1,0),1)="V",IF(CA40&gt;=INDEX('[1]Définition Maintenances'!$G:$G,MATCH($A40,'[1]Définition Maintenances'!$K:$K,0)),CA40,INDEX('[1]Définition Maintenances'!$G:$G,MATCH($A40,'[1]Définition Maintenances'!$K:$K,0))+CA40),CA40))</f>
        <v>1200</v>
      </c>
      <c r="CC40" s="26">
        <f>IF(ISNUMBER(VLOOKUP($D40,'Visu totale'!$D:$DH,CC$1,0)),CB40-VLOOKUP($D40,'Visu totale'!$D:$DH,CC$1,0),IF(LEFT(VLOOKUP($D40,'Visu totale'!$D:$DH,CC$1,0),1)="V",IF(CB40&gt;=INDEX('[1]Définition Maintenances'!$G:$G,MATCH($A40,'[1]Définition Maintenances'!$K:$K,0)),CB40,INDEX('[1]Définition Maintenances'!$G:$G,MATCH($A40,'[1]Définition Maintenances'!$K:$K,0))+CB40),CB40))</f>
        <v>1200</v>
      </c>
      <c r="CD40" s="26">
        <f>IF(ISNUMBER(VLOOKUP($D40,'Visu totale'!$D:$DH,CD$1,0)),CC40-VLOOKUP($D40,'Visu totale'!$D:$DH,CD$1,0),IF(LEFT(VLOOKUP($D40,'Visu totale'!$D:$DH,CD$1,0),1)="V",IF(CC40&gt;=INDEX('[1]Définition Maintenances'!$G:$G,MATCH($A40,'[1]Définition Maintenances'!$K:$K,0)),CC40,INDEX('[1]Définition Maintenances'!$G:$G,MATCH($A40,'[1]Définition Maintenances'!$K:$K,0))+CC40),CC40))</f>
        <v>1200</v>
      </c>
      <c r="CE40" s="26">
        <f>IF(ISNUMBER(VLOOKUP($D40,'Visu totale'!$D:$DH,CE$1,0)),CD40-VLOOKUP($D40,'Visu totale'!$D:$DH,CE$1,0),IF(LEFT(VLOOKUP($D40,'Visu totale'!$D:$DH,CE$1,0),1)="V",IF(CD40&gt;=INDEX('[1]Définition Maintenances'!$G:$G,MATCH($A40,'[1]Définition Maintenances'!$K:$K,0)),CD40,INDEX('[1]Définition Maintenances'!$G:$G,MATCH($A40,'[1]Définition Maintenances'!$K:$K,0))+CD40),CD40))</f>
        <v>1200</v>
      </c>
      <c r="CF40" s="26">
        <f>IF(ISNUMBER(VLOOKUP($D40,'Visu totale'!$D:$DH,CF$1,0)),CE40-VLOOKUP($D40,'Visu totale'!$D:$DH,CF$1,0),IF(LEFT(VLOOKUP($D40,'Visu totale'!$D:$DH,CF$1,0),1)="V",IF(CE40&gt;=INDEX('[1]Définition Maintenances'!$G:$G,MATCH($A40,'[1]Définition Maintenances'!$K:$K,0)),CE40,INDEX('[1]Définition Maintenances'!$G:$G,MATCH($A40,'[1]Définition Maintenances'!$K:$K,0))+CE40),CE40))</f>
        <v>1200</v>
      </c>
      <c r="CG40" s="26">
        <f>IF(ISNUMBER(VLOOKUP($D40,'Visu totale'!$D:$DH,CG$1,0)),CF40-VLOOKUP($D40,'Visu totale'!$D:$DH,CG$1,0),IF(LEFT(VLOOKUP($D40,'Visu totale'!$D:$DH,CG$1,0),1)="V",IF(CF40&gt;=INDEX('[1]Définition Maintenances'!$G:$G,MATCH($A40,'[1]Définition Maintenances'!$K:$K,0)),CF40,INDEX('[1]Définition Maintenances'!$G:$G,MATCH($A40,'[1]Définition Maintenances'!$K:$K,0))+CF40),CF40))</f>
        <v>1200</v>
      </c>
      <c r="CH40" s="26">
        <f>IF(ISNUMBER(VLOOKUP($D40,'Visu totale'!$D:$DH,CH$1,0)),CG40-VLOOKUP($D40,'Visu totale'!$D:$DH,CH$1,0),IF(LEFT(VLOOKUP($D40,'Visu totale'!$D:$DH,CH$1,0),1)="V",IF(CG40&gt;=INDEX('[1]Définition Maintenances'!$G:$G,MATCH($A40,'[1]Définition Maintenances'!$K:$K,0)),CG40,INDEX('[1]Définition Maintenances'!$G:$G,MATCH($A40,'[1]Définition Maintenances'!$K:$K,0))+CG40),CG40))</f>
        <v>1200</v>
      </c>
      <c r="CI40" s="26">
        <f>IF(ISNUMBER(VLOOKUP($D40,'Visu totale'!$D:$DH,CI$1,0)),CH40-VLOOKUP($D40,'Visu totale'!$D:$DH,CI$1,0),IF(LEFT(VLOOKUP($D40,'Visu totale'!$D:$DH,CI$1,0),1)="V",IF(CH40&gt;=INDEX('[1]Définition Maintenances'!$G:$G,MATCH($A40,'[1]Définition Maintenances'!$K:$K,0)),CH40,INDEX('[1]Définition Maintenances'!$G:$G,MATCH($A40,'[1]Définition Maintenances'!$K:$K,0))+CH40),CH40))</f>
        <v>1200</v>
      </c>
      <c r="CJ40" s="26">
        <f>IF(ISNUMBER(VLOOKUP($D40,'Visu totale'!$D:$DH,CJ$1,0)),CI40-VLOOKUP($D40,'Visu totale'!$D:$DH,CJ$1,0),IF(LEFT(VLOOKUP($D40,'Visu totale'!$D:$DH,CJ$1,0),1)="V",IF(CI40&gt;=INDEX('[1]Définition Maintenances'!$G:$G,MATCH($A40,'[1]Définition Maintenances'!$K:$K,0)),CI40,INDEX('[1]Définition Maintenances'!$G:$G,MATCH($A40,'[1]Définition Maintenances'!$K:$K,0))+CI40),CI40))</f>
        <v>1200</v>
      </c>
      <c r="CK40" s="27">
        <f>IF(ISNUMBER(VLOOKUP($D40,'Visu totale'!$D:$DH,CK$1,0)),CJ40-VLOOKUP($D40,'Visu totale'!$D:$DH,CK$1,0),IF(LEFT(VLOOKUP($D40,'Visu totale'!$D:$DH,CK$1,0),1)="V",IF(CJ40&gt;=INDEX('[1]Définition Maintenances'!$G:$G,MATCH($A40,'[1]Définition Maintenances'!$K:$K,0)),CJ40,INDEX('[1]Définition Maintenances'!$G:$G,MATCH($A40,'[1]Définition Maintenances'!$K:$K,0))+CJ40),CJ40))</f>
        <v>1200</v>
      </c>
      <c r="CL40" s="25">
        <f>IF(ISNUMBER(VLOOKUP($D40,'Visu totale'!$D:$DH,CL$1,0)),CK40-VLOOKUP($D40,'Visu totale'!$D:$DH,CL$1,0),IF(LEFT(VLOOKUP($D40,'Visu totale'!$D:$DH,CL$1,0),1)="V",IF(CK40&gt;=INDEX('[1]Définition Maintenances'!$G:$G,MATCH($A40,'[1]Définition Maintenances'!$K:$K,0)),CK40,INDEX('[1]Définition Maintenances'!$G:$G,MATCH($A40,'[1]Définition Maintenances'!$K:$K,0))+CK40),CK40))</f>
        <v>1200</v>
      </c>
      <c r="CM40" s="26">
        <f>IF(ISNUMBER(VLOOKUP($D40,'Visu totale'!$D:$DH,CM$1,0)),CL40-VLOOKUP($D40,'Visu totale'!$D:$DH,CM$1,0),IF(LEFT(VLOOKUP($D40,'Visu totale'!$D:$DH,CM$1,0),1)="V",IF(CL40&gt;=INDEX('[1]Définition Maintenances'!$G:$G,MATCH($A40,'[1]Définition Maintenances'!$K:$K,0)),CL40,INDEX('[1]Définition Maintenances'!$G:$G,MATCH($A40,'[1]Définition Maintenances'!$K:$K,0))+CL40),CL40))</f>
        <v>1200</v>
      </c>
      <c r="CN40" s="26">
        <f>IF(ISNUMBER(VLOOKUP($D40,'Visu totale'!$D:$DH,CN$1,0)),CM40-VLOOKUP($D40,'Visu totale'!$D:$DH,CN$1,0),IF(LEFT(VLOOKUP($D40,'Visu totale'!$D:$DH,CN$1,0),1)="V",IF(CM40&gt;=INDEX('[1]Définition Maintenances'!$G:$G,MATCH($A40,'[1]Définition Maintenances'!$K:$K,0)),CM40,INDEX('[1]Définition Maintenances'!$G:$G,MATCH($A40,'[1]Définition Maintenances'!$K:$K,0))+CM40),CM40))</f>
        <v>1200</v>
      </c>
      <c r="CO40" s="26">
        <f>IF(ISNUMBER(VLOOKUP($D40,'Visu totale'!$D:$DH,CO$1,0)),CN40-VLOOKUP($D40,'Visu totale'!$D:$DH,CO$1,0),IF(LEFT(VLOOKUP($D40,'Visu totale'!$D:$DH,CO$1,0),1)="V",IF(CN40&gt;=INDEX('[1]Définition Maintenances'!$G:$G,MATCH($A40,'[1]Définition Maintenances'!$K:$K,0)),CN40,INDEX('[1]Définition Maintenances'!$G:$G,MATCH($A40,'[1]Définition Maintenances'!$K:$K,0))+CN40),CN40))</f>
        <v>1200</v>
      </c>
      <c r="CP40" s="26">
        <f>IF(ISNUMBER(VLOOKUP($D40,'Visu totale'!$D:$DH,CP$1,0)),CO40-VLOOKUP($D40,'Visu totale'!$D:$DH,CP$1,0),IF(LEFT(VLOOKUP($D40,'Visu totale'!$D:$DH,CP$1,0),1)="V",IF(CO40&gt;=INDEX('[1]Définition Maintenances'!$G:$G,MATCH($A40,'[1]Définition Maintenances'!$K:$K,0)),CO40,INDEX('[1]Définition Maintenances'!$G:$G,MATCH($A40,'[1]Définition Maintenances'!$K:$K,0))+CO40),CO40))</f>
        <v>1200</v>
      </c>
      <c r="CQ40" s="26">
        <f>IF(ISNUMBER(VLOOKUP($D40,'Visu totale'!$D:$DH,CQ$1,0)),CP40-VLOOKUP($D40,'Visu totale'!$D:$DH,CQ$1,0),IF(LEFT(VLOOKUP($D40,'Visu totale'!$D:$DH,CQ$1,0),1)="V",IF(CP40&gt;=INDEX('[1]Définition Maintenances'!$G:$G,MATCH($A40,'[1]Définition Maintenances'!$K:$K,0)),CP40,INDEX('[1]Définition Maintenances'!$G:$G,MATCH($A40,'[1]Définition Maintenances'!$K:$K,0))+CP40),CP40))</f>
        <v>1200</v>
      </c>
      <c r="CR40" s="26">
        <f>IF(ISNUMBER(VLOOKUP($D40,'Visu totale'!$D:$DH,CR$1,0)),CQ40-VLOOKUP($D40,'Visu totale'!$D:$DH,CR$1,0),IF(LEFT(VLOOKUP($D40,'Visu totale'!$D:$DH,CR$1,0),1)="V",IF(CQ40&gt;=INDEX('[1]Définition Maintenances'!$G:$G,MATCH($A40,'[1]Définition Maintenances'!$K:$K,0)),CQ40,INDEX('[1]Définition Maintenances'!$G:$G,MATCH($A40,'[1]Définition Maintenances'!$K:$K,0))+CQ40),CQ40))</f>
        <v>1200</v>
      </c>
      <c r="CS40" s="26">
        <f>IF(ISNUMBER(VLOOKUP($D40,'Visu totale'!$D:$DH,CS$1,0)),CR40-VLOOKUP($D40,'Visu totale'!$D:$DH,CS$1,0),IF(LEFT(VLOOKUP($D40,'Visu totale'!$D:$DH,CS$1,0),1)="V",IF(CR40&gt;=INDEX('[1]Définition Maintenances'!$G:$G,MATCH($A40,'[1]Définition Maintenances'!$K:$K,0)),CR40,INDEX('[1]Définition Maintenances'!$G:$G,MATCH($A40,'[1]Définition Maintenances'!$K:$K,0))+CR40),CR40))</f>
        <v>1200</v>
      </c>
      <c r="CT40" s="26">
        <f>IF(ISNUMBER(VLOOKUP($D40,'Visu totale'!$D:$DH,CT$1,0)),CS40-VLOOKUP($D40,'Visu totale'!$D:$DH,CT$1,0),IF(LEFT(VLOOKUP($D40,'Visu totale'!$D:$DH,CT$1,0),1)="V",IF(CS40&gt;=INDEX('[1]Définition Maintenances'!$G:$G,MATCH($A40,'[1]Définition Maintenances'!$K:$K,0)),CS40,INDEX('[1]Définition Maintenances'!$G:$G,MATCH($A40,'[1]Définition Maintenances'!$K:$K,0))+CS40),CS40))</f>
        <v>1200</v>
      </c>
      <c r="CU40" s="26">
        <f>IF(ISNUMBER(VLOOKUP($D40,'Visu totale'!$D:$DH,CU$1,0)),CT40-VLOOKUP($D40,'Visu totale'!$D:$DH,CU$1,0),IF(LEFT(VLOOKUP($D40,'Visu totale'!$D:$DH,CU$1,0),1)="V",IF(CT40&gt;=INDEX('[1]Définition Maintenances'!$G:$G,MATCH($A40,'[1]Définition Maintenances'!$K:$K,0)),CT40,INDEX('[1]Définition Maintenances'!$G:$G,MATCH($A40,'[1]Définition Maintenances'!$K:$K,0))+CT40),CT40))</f>
        <v>1200</v>
      </c>
      <c r="CV40" s="26">
        <f>IF(ISNUMBER(VLOOKUP($D40,'Visu totale'!$D:$DH,CV$1,0)),CU40-VLOOKUP($D40,'Visu totale'!$D:$DH,CV$1,0),IF(LEFT(VLOOKUP($D40,'Visu totale'!$D:$DH,CV$1,0),1)="V",IF(CU40&gt;=INDEX('[1]Définition Maintenances'!$G:$G,MATCH($A40,'[1]Définition Maintenances'!$K:$K,0)),CU40,INDEX('[1]Définition Maintenances'!$G:$G,MATCH($A40,'[1]Définition Maintenances'!$K:$K,0))+CU40),CU40))</f>
        <v>1200</v>
      </c>
      <c r="CW40" s="27">
        <f>IF(ISNUMBER(VLOOKUP($D40,'Visu totale'!$D:$DH,CW$1,0)),CV40-VLOOKUP($D40,'Visu totale'!$D:$DH,CW$1,0),IF(LEFT(VLOOKUP($D40,'Visu totale'!$D:$DH,CW$1,0),1)="V",IF(CV40&gt;=INDEX('[1]Définition Maintenances'!$G:$G,MATCH($A40,'[1]Définition Maintenances'!$K:$K,0)),CV40,INDEX('[1]Définition Maintenances'!$G:$G,MATCH($A40,'[1]Définition Maintenances'!$K:$K,0))+CV40),CV40))</f>
        <v>1200</v>
      </c>
      <c r="CX40" s="25">
        <f>IF(ISNUMBER(VLOOKUP($D40,'Visu totale'!$D:$DH,CX$1,0)),CW40-VLOOKUP($D40,'Visu totale'!$D:$DH,CX$1,0),IF(LEFT(VLOOKUP($D40,'Visu totale'!$D:$DH,CX$1,0),1)="V",IF(CW40&gt;=INDEX('[1]Définition Maintenances'!$G:$G,MATCH($A40,'[1]Définition Maintenances'!$K:$K,0)),CW40,INDEX('[1]Définition Maintenances'!$G:$G,MATCH($A40,'[1]Définition Maintenances'!$K:$K,0))+CW40),CW40))</f>
        <v>1200</v>
      </c>
      <c r="CY40" s="26">
        <f>IF(ISNUMBER(VLOOKUP($D40,'Visu totale'!$D:$DH,CY$1,0)),CX40-VLOOKUP($D40,'Visu totale'!$D:$DH,CY$1,0),IF(LEFT(VLOOKUP($D40,'Visu totale'!$D:$DH,CY$1,0),1)="V",IF(CX40&gt;=INDEX('[1]Définition Maintenances'!$G:$G,MATCH($A40,'[1]Définition Maintenances'!$K:$K,0)),CX40,INDEX('[1]Définition Maintenances'!$G:$G,MATCH($A40,'[1]Définition Maintenances'!$K:$K,0))+CX40),CX40))</f>
        <v>1200</v>
      </c>
      <c r="CZ40" s="26">
        <f>IF(ISNUMBER(VLOOKUP($D40,'Visu totale'!$D:$DH,CZ$1,0)),CY40-VLOOKUP($D40,'Visu totale'!$D:$DH,CZ$1,0),IF(LEFT(VLOOKUP($D40,'Visu totale'!$D:$DH,CZ$1,0),1)="V",IF(CY40&gt;=INDEX('[1]Définition Maintenances'!$G:$G,MATCH($A40,'[1]Définition Maintenances'!$K:$K,0)),CY40,INDEX('[1]Définition Maintenances'!$G:$G,MATCH($A40,'[1]Définition Maintenances'!$K:$K,0))+CY40),CY40))</f>
        <v>1200</v>
      </c>
      <c r="DA40" s="26">
        <f>IF(ISNUMBER(VLOOKUP($D40,'Visu totale'!$D:$DH,DA$1,0)),CZ40-VLOOKUP($D40,'Visu totale'!$D:$DH,DA$1,0),IF(LEFT(VLOOKUP($D40,'Visu totale'!$D:$DH,DA$1,0),1)="V",IF(CZ40&gt;=INDEX('[1]Définition Maintenances'!$G:$G,MATCH($A40,'[1]Définition Maintenances'!$K:$K,0)),CZ40,INDEX('[1]Définition Maintenances'!$G:$G,MATCH($A40,'[1]Définition Maintenances'!$K:$K,0))+CZ40),CZ40))</f>
        <v>1200</v>
      </c>
      <c r="DB40" s="26">
        <f>IF(ISNUMBER(VLOOKUP($D40,'Visu totale'!$D:$DH,DB$1,0)),DA40-VLOOKUP($D40,'Visu totale'!$D:$DH,DB$1,0),IF(LEFT(VLOOKUP($D40,'Visu totale'!$D:$DH,DB$1,0),1)="V",IF(DA40&gt;=INDEX('[1]Définition Maintenances'!$G:$G,MATCH($A40,'[1]Définition Maintenances'!$K:$K,0)),DA40,INDEX('[1]Définition Maintenances'!$G:$G,MATCH($A40,'[1]Définition Maintenances'!$K:$K,0))+DA40),DA40))</f>
        <v>1200</v>
      </c>
      <c r="DC40" s="26">
        <f>IF(ISNUMBER(VLOOKUP($D40,'Visu totale'!$D:$DH,DC$1,0)),DB40-VLOOKUP($D40,'Visu totale'!$D:$DH,DC$1,0),IF(LEFT(VLOOKUP($D40,'Visu totale'!$D:$DH,DC$1,0),1)="V",IF(DB40&gt;=INDEX('[1]Définition Maintenances'!$G:$G,MATCH($A40,'[1]Définition Maintenances'!$K:$K,0)),DB40,INDEX('[1]Définition Maintenances'!$G:$G,MATCH($A40,'[1]Définition Maintenances'!$K:$K,0))+DB40),DB40))</f>
        <v>1200</v>
      </c>
      <c r="DD40" s="26">
        <f>IF(ISNUMBER(VLOOKUP($D40,'Visu totale'!$D:$DH,DD$1,0)),DC40-VLOOKUP($D40,'Visu totale'!$D:$DH,DD$1,0),IF(LEFT(VLOOKUP($D40,'Visu totale'!$D:$DH,DD$1,0),1)="V",IF(DC40&gt;=INDEX('[1]Définition Maintenances'!$G:$G,MATCH($A40,'[1]Définition Maintenances'!$K:$K,0)),DC40,INDEX('[1]Définition Maintenances'!$G:$G,MATCH($A40,'[1]Définition Maintenances'!$K:$K,0))+DC40),DC40))</f>
        <v>1200</v>
      </c>
      <c r="DE40" s="26">
        <f>IF(ISNUMBER(VLOOKUP($D40,'Visu totale'!$D:$DH,DE$1,0)),DD40-VLOOKUP($D40,'Visu totale'!$D:$DH,DE$1,0),IF(LEFT(VLOOKUP($D40,'Visu totale'!$D:$DH,DE$1,0),1)="V",IF(DD40&gt;=INDEX('[1]Définition Maintenances'!$G:$G,MATCH($A40,'[1]Définition Maintenances'!$K:$K,0)),DD40,INDEX('[1]Définition Maintenances'!$G:$G,MATCH($A40,'[1]Définition Maintenances'!$K:$K,0))+DD40),DD40))</f>
        <v>1200</v>
      </c>
      <c r="DF40" s="26">
        <f>IF(ISNUMBER(VLOOKUP($D40,'Visu totale'!$D:$DH,DF$1,0)),DE40-VLOOKUP($D40,'Visu totale'!$D:$DH,DF$1,0),IF(LEFT(VLOOKUP($D40,'Visu totale'!$D:$DH,DF$1,0),1)="V",IF(DE40&gt;=INDEX('[1]Définition Maintenances'!$G:$G,MATCH($A40,'[1]Définition Maintenances'!$K:$K,0)),DE40,INDEX('[1]Définition Maintenances'!$G:$G,MATCH($A40,'[1]Définition Maintenances'!$K:$K,0))+DE40),DE40))</f>
        <v>1200</v>
      </c>
      <c r="DG40" s="26">
        <f>IF(ISNUMBER(VLOOKUP($D40,'Visu totale'!$D:$DH,DG$1,0)),DF40-VLOOKUP($D40,'Visu totale'!$D:$DH,DG$1,0),IF(LEFT(VLOOKUP($D40,'Visu totale'!$D:$DH,DG$1,0),1)="V",IF(DF40&gt;=INDEX('[1]Définition Maintenances'!$G:$G,MATCH($A40,'[1]Définition Maintenances'!$K:$K,0)),DF40,INDEX('[1]Définition Maintenances'!$G:$G,MATCH($A40,'[1]Définition Maintenances'!$K:$K,0))+DF40),DF40))</f>
        <v>1200</v>
      </c>
      <c r="DH40" s="26">
        <f>IF(ISNUMBER(VLOOKUP($D40,'Visu totale'!$D:$DH,DH$1,0)),DG40-VLOOKUP($D40,'Visu totale'!$D:$DH,DH$1,0),IF(LEFT(VLOOKUP($D40,'Visu totale'!$D:$DH,DH$1,0),1)="V",IF(DG40&gt;=INDEX('[1]Définition Maintenances'!$G:$G,MATCH($A40,'[1]Définition Maintenances'!$K:$K,0)),DG40,INDEX('[1]Définition Maintenances'!$G:$G,MATCH($A40,'[1]Définition Maintenances'!$K:$K,0))+DG40),DG40))</f>
        <v>1200</v>
      </c>
      <c r="DI40" s="27">
        <f>IF(ISNUMBER(VLOOKUP($D40,'Visu totale'!$D:$DH,DI$1,0)),DH40-VLOOKUP($D40,'Visu totale'!$D:$DH,DI$1,0),IF(LEFT(VLOOKUP($D40,'Visu totale'!$D:$DH,DI$1,0),1)="V",IF(DH40&gt;=INDEX('[1]Définition Maintenances'!$G:$G,MATCH($A40,'[1]Définition Maintenances'!$K:$K,0)),DH40,INDEX('[1]Définition Maintenances'!$G:$G,MATCH($A40,'[1]Définition Maintenances'!$K:$K,0))+DH40),DH40))</f>
        <v>1200</v>
      </c>
    </row>
    <row r="41" spans="1:113" x14ac:dyDescent="0.25">
      <c r="A41" s="13" t="str">
        <f t="shared" si="1"/>
        <v>V10D</v>
      </c>
      <c r="B41" s="13" t="str">
        <f>VLOOKUP(D41,'[1]Avions (Potentiels)'!$B$2:$H$128,7,FALSE)</f>
        <v>V10</v>
      </c>
      <c r="C41" s="13"/>
      <c r="D41" s="16" t="s">
        <v>44</v>
      </c>
      <c r="E41" s="13">
        <f>IFERROR(VALUE(SUBSTITUTE(VLOOKUP(D41,'[1]Avions (Potentiels)'!$B:$E,4,0),".",",")),VALUE(VLOOKUP(D41,'[1]Avions (Potentiels)'!$B:$E,4,0)))</f>
        <v>1200</v>
      </c>
      <c r="F41" s="25">
        <f>IF(ISNUMBER(VLOOKUP($D41,'Visu totale'!$D:$DH,F$1,0)),E41-VLOOKUP($D41,'Visu totale'!$D:$DH,F$1,0),IF(LEFT(VLOOKUP($D41,'Visu totale'!$D:$DH,F$1,0),1)="V",IF(E41&gt;=INDEX('[1]Définition Maintenances'!$G:$G,MATCH($A41,'[1]Définition Maintenances'!$K:$K,0)),E41,INDEX('[1]Définition Maintenances'!$G:$G,MATCH($A41,'[1]Définition Maintenances'!$K:$K,0))+E41),E41))</f>
        <v>1200</v>
      </c>
      <c r="G41" s="26">
        <f>IF(ISNUMBER(VLOOKUP($D41,'Visu totale'!$D:$DH,G$1,0)),F41-VLOOKUP($D41,'Visu totale'!$D:$DH,G$1,0),IF(LEFT(VLOOKUP($D41,'Visu totale'!$D:$DH,G$1,0),1)="V",IF(F41&gt;=INDEX('[1]Définition Maintenances'!$G:$G,MATCH($A41,'[1]Définition Maintenances'!$K:$K,0)),F41,INDEX('[1]Définition Maintenances'!$G:$G,MATCH($A41,'[1]Définition Maintenances'!$K:$K,0))+F41),F41))</f>
        <v>1200</v>
      </c>
      <c r="H41" s="26">
        <f>IF(ISNUMBER(VLOOKUP($D41,'Visu totale'!$D:$DH,H$1,0)),G41-VLOOKUP($D41,'Visu totale'!$D:$DH,H$1,0),IF(LEFT(VLOOKUP($D41,'Visu totale'!$D:$DH,H$1,0),1)="V",IF(G41&gt;=INDEX('[1]Définition Maintenances'!$G:$G,MATCH($A41,'[1]Définition Maintenances'!$K:$K,0)),G41,INDEX('[1]Définition Maintenances'!$G:$G,MATCH($A41,'[1]Définition Maintenances'!$K:$K,0))+G41),G41))</f>
        <v>1200</v>
      </c>
      <c r="I41" s="26">
        <f>IF(ISNUMBER(VLOOKUP($D41,'Visu totale'!$D:$DH,I$1,0)),H41-VLOOKUP($D41,'Visu totale'!$D:$DH,I$1,0),IF(LEFT(VLOOKUP($D41,'Visu totale'!$D:$DH,I$1,0),1)="V",IF(H41&gt;=INDEX('[1]Définition Maintenances'!$G:$G,MATCH($A41,'[1]Définition Maintenances'!$K:$K,0)),H41,INDEX('[1]Définition Maintenances'!$G:$G,MATCH($A41,'[1]Définition Maintenances'!$K:$K,0))+H41),H41))</f>
        <v>1200</v>
      </c>
      <c r="J41" s="26">
        <f>IF(ISNUMBER(VLOOKUP($D41,'Visu totale'!$D:$DH,J$1,0)),I41-VLOOKUP($D41,'Visu totale'!$D:$DH,J$1,0),IF(LEFT(VLOOKUP($D41,'Visu totale'!$D:$DH,J$1,0),1)="V",IF(I41&gt;=INDEX('[1]Définition Maintenances'!$G:$G,MATCH($A41,'[1]Définition Maintenances'!$K:$K,0)),I41,INDEX('[1]Définition Maintenances'!$G:$G,MATCH($A41,'[1]Définition Maintenances'!$K:$K,0))+I41),I41))</f>
        <v>1200</v>
      </c>
      <c r="K41" s="26">
        <f>IF(ISNUMBER(VLOOKUP($D41,'Visu totale'!$D:$DH,K$1,0)),J41-VLOOKUP($D41,'Visu totale'!$D:$DH,K$1,0),IF(LEFT(VLOOKUP($D41,'Visu totale'!$D:$DH,K$1,0),1)="V",IF(J41&gt;=INDEX('[1]Définition Maintenances'!$G:$G,MATCH($A41,'[1]Définition Maintenances'!$K:$K,0)),J41,INDEX('[1]Définition Maintenances'!$G:$G,MATCH($A41,'[1]Définition Maintenances'!$K:$K,0))+J41),J41))</f>
        <v>1200</v>
      </c>
      <c r="L41" s="26">
        <f>IF(ISNUMBER(VLOOKUP($D41,'Visu totale'!$D:$DH,L$1,0)),K41-VLOOKUP($D41,'Visu totale'!$D:$DH,L$1,0),IF(LEFT(VLOOKUP($D41,'Visu totale'!$D:$DH,L$1,0),1)="V",IF(K41&gt;=INDEX('[1]Définition Maintenances'!$G:$G,MATCH($A41,'[1]Définition Maintenances'!$K:$K,0)),K41,INDEX('[1]Définition Maintenances'!$G:$G,MATCH($A41,'[1]Définition Maintenances'!$K:$K,0))+K41),K41))</f>
        <v>1200</v>
      </c>
      <c r="M41" s="26">
        <f>IF(ISNUMBER(VLOOKUP($D41,'Visu totale'!$D:$DH,M$1,0)),L41-VLOOKUP($D41,'Visu totale'!$D:$DH,M$1,0),IF(LEFT(VLOOKUP($D41,'Visu totale'!$D:$DH,M$1,0),1)="V",IF(L41&gt;=INDEX('[1]Définition Maintenances'!$G:$G,MATCH($A41,'[1]Définition Maintenances'!$K:$K,0)),L41,INDEX('[1]Définition Maintenances'!$G:$G,MATCH($A41,'[1]Définition Maintenances'!$K:$K,0))+L41),L41))</f>
        <v>1200</v>
      </c>
      <c r="N41" s="26">
        <f>IF(ISNUMBER(VLOOKUP($D41,'Visu totale'!$D:$DH,N$1,0)),M41-VLOOKUP($D41,'Visu totale'!$D:$DH,N$1,0),IF(LEFT(VLOOKUP($D41,'Visu totale'!$D:$DH,N$1,0),1)="V",IF(M41&gt;=INDEX('[1]Définition Maintenances'!$G:$G,MATCH($A41,'[1]Définition Maintenances'!$K:$K,0)),M41,INDEX('[1]Définition Maintenances'!$G:$G,MATCH($A41,'[1]Définition Maintenances'!$K:$K,0))+M41),M41))</f>
        <v>1200</v>
      </c>
      <c r="O41" s="26">
        <f>IF(ISNUMBER(VLOOKUP($D41,'Visu totale'!$D:$DH,O$1,0)),N41-VLOOKUP($D41,'Visu totale'!$D:$DH,O$1,0),IF(LEFT(VLOOKUP($D41,'Visu totale'!$D:$DH,O$1,0),1)="V",IF(N41&gt;=INDEX('[1]Définition Maintenances'!$G:$G,MATCH($A41,'[1]Définition Maintenances'!$K:$K,0)),N41,INDEX('[1]Définition Maintenances'!$G:$G,MATCH($A41,'[1]Définition Maintenances'!$K:$K,0))+N41),N41))</f>
        <v>1200</v>
      </c>
      <c r="P41" s="26">
        <f>IF(ISNUMBER(VLOOKUP($D41,'Visu totale'!$D:$DH,P$1,0)),O41-VLOOKUP($D41,'Visu totale'!$D:$DH,P$1,0),IF(LEFT(VLOOKUP($D41,'Visu totale'!$D:$DH,P$1,0),1)="V",IF(O41&gt;=INDEX('[1]Définition Maintenances'!$G:$G,MATCH($A41,'[1]Définition Maintenances'!$K:$K,0)),O41,INDEX('[1]Définition Maintenances'!$G:$G,MATCH($A41,'[1]Définition Maintenances'!$K:$K,0))+O41),O41))</f>
        <v>1200</v>
      </c>
      <c r="Q41" s="27">
        <f>IF(ISNUMBER(VLOOKUP($D41,'Visu totale'!$D:$DH,Q$1,0)),P41-VLOOKUP($D41,'Visu totale'!$D:$DH,Q$1,0),IF(LEFT(VLOOKUP($D41,'Visu totale'!$D:$DH,Q$1,0),1)="V",IF(P41&gt;=INDEX('[1]Définition Maintenances'!$G:$G,MATCH($A41,'[1]Définition Maintenances'!$K:$K,0)),P41,INDEX('[1]Définition Maintenances'!$G:$G,MATCH($A41,'[1]Définition Maintenances'!$K:$K,0))+P41),P41))</f>
        <v>1200</v>
      </c>
      <c r="R41" s="25">
        <f>IF(ISNUMBER(VLOOKUP($D41,'Visu totale'!$D:$DH,R$1,0)),Q41-VLOOKUP($D41,'Visu totale'!$D:$DH,R$1,0),IF(LEFT(VLOOKUP($D41,'Visu totale'!$D:$DH,R$1,0),1)="V",IF(Q41&gt;=INDEX('[1]Définition Maintenances'!$G:$G,MATCH($A41,'[1]Définition Maintenances'!$K:$K,0)),Q41,INDEX('[1]Définition Maintenances'!$G:$G,MATCH($A41,'[1]Définition Maintenances'!$K:$K,0))+Q41),Q41))</f>
        <v>1200</v>
      </c>
      <c r="S41" s="26">
        <f>IF(ISNUMBER(VLOOKUP($D41,'Visu totale'!$D:$DH,S$1,0)),R41-VLOOKUP($D41,'Visu totale'!$D:$DH,S$1,0),IF(LEFT(VLOOKUP($D41,'Visu totale'!$D:$DH,S$1,0),1)="V",IF(R41&gt;=INDEX('[1]Définition Maintenances'!$G:$G,MATCH($A41,'[1]Définition Maintenances'!$K:$K,0)),R41,INDEX('[1]Définition Maintenances'!$G:$G,MATCH($A41,'[1]Définition Maintenances'!$K:$K,0))+R41),R41))</f>
        <v>1200</v>
      </c>
      <c r="T41" s="26">
        <f>IF(ISNUMBER(VLOOKUP($D41,'Visu totale'!$D:$DH,T$1,0)),S41-VLOOKUP($D41,'Visu totale'!$D:$DH,T$1,0),IF(LEFT(VLOOKUP($D41,'Visu totale'!$D:$DH,T$1,0),1)="V",IF(S41&gt;=INDEX('[1]Définition Maintenances'!$G:$G,MATCH($A41,'[1]Définition Maintenances'!$K:$K,0)),S41,INDEX('[1]Définition Maintenances'!$G:$G,MATCH($A41,'[1]Définition Maintenances'!$K:$K,0))+S41),S41))</f>
        <v>1200</v>
      </c>
      <c r="U41" s="26">
        <f>IF(ISNUMBER(VLOOKUP($D41,'Visu totale'!$D:$DH,U$1,0)),T41-VLOOKUP($D41,'Visu totale'!$D:$DH,U$1,0),IF(LEFT(VLOOKUP($D41,'Visu totale'!$D:$DH,U$1,0),1)="V",IF(T41&gt;=INDEX('[1]Définition Maintenances'!$G:$G,MATCH($A41,'[1]Définition Maintenances'!$K:$K,0)),T41,INDEX('[1]Définition Maintenances'!$G:$G,MATCH($A41,'[1]Définition Maintenances'!$K:$K,0))+T41),T41))</f>
        <v>1200</v>
      </c>
      <c r="V41" s="26">
        <f>IF(ISNUMBER(VLOOKUP($D41,'Visu totale'!$D:$DH,V$1,0)),U41-VLOOKUP($D41,'Visu totale'!$D:$DH,V$1,0),IF(LEFT(VLOOKUP($D41,'Visu totale'!$D:$DH,V$1,0),1)="V",IF(U41&gt;=INDEX('[1]Définition Maintenances'!$G:$G,MATCH($A41,'[1]Définition Maintenances'!$K:$K,0)),U41,INDEX('[1]Définition Maintenances'!$G:$G,MATCH($A41,'[1]Définition Maintenances'!$K:$K,0))+U41),U41))</f>
        <v>1200</v>
      </c>
      <c r="W41" s="26">
        <f>IF(ISNUMBER(VLOOKUP($D41,'Visu totale'!$D:$DH,W$1,0)),V41-VLOOKUP($D41,'Visu totale'!$D:$DH,W$1,0),IF(LEFT(VLOOKUP($D41,'Visu totale'!$D:$DH,W$1,0),1)="V",IF(V41&gt;=INDEX('[1]Définition Maintenances'!$G:$G,MATCH($A41,'[1]Définition Maintenances'!$K:$K,0)),V41,INDEX('[1]Définition Maintenances'!$G:$G,MATCH($A41,'[1]Définition Maintenances'!$K:$K,0))+V41),V41))</f>
        <v>1200</v>
      </c>
      <c r="X41" s="26">
        <f>IF(ISNUMBER(VLOOKUP($D41,'Visu totale'!$D:$DH,X$1,0)),W41-VLOOKUP($D41,'Visu totale'!$D:$DH,X$1,0),IF(LEFT(VLOOKUP($D41,'Visu totale'!$D:$DH,X$1,0),1)="V",IF(W41&gt;=INDEX('[1]Définition Maintenances'!$G:$G,MATCH($A41,'[1]Définition Maintenances'!$K:$K,0)),W41,INDEX('[1]Définition Maintenances'!$G:$G,MATCH($A41,'[1]Définition Maintenances'!$K:$K,0))+W41),W41))</f>
        <v>1200</v>
      </c>
      <c r="Y41" s="26">
        <f>IF(ISNUMBER(VLOOKUP($D41,'Visu totale'!$D:$DH,Y$1,0)),X41-VLOOKUP($D41,'Visu totale'!$D:$DH,Y$1,0),IF(LEFT(VLOOKUP($D41,'Visu totale'!$D:$DH,Y$1,0),1)="V",IF(X41&gt;=INDEX('[1]Définition Maintenances'!$G:$G,MATCH($A41,'[1]Définition Maintenances'!$K:$K,0)),X41,INDEX('[1]Définition Maintenances'!$G:$G,MATCH($A41,'[1]Définition Maintenances'!$K:$K,0))+X41),X41))</f>
        <v>1200</v>
      </c>
      <c r="Z41" s="26">
        <f>IF(ISNUMBER(VLOOKUP($D41,'Visu totale'!$D:$DH,Z$1,0)),Y41-VLOOKUP($D41,'Visu totale'!$D:$DH,Z$1,0),IF(LEFT(VLOOKUP($D41,'Visu totale'!$D:$DH,Z$1,0),1)="V",IF(Y41&gt;=INDEX('[1]Définition Maintenances'!$G:$G,MATCH($A41,'[1]Définition Maintenances'!$K:$K,0)),Y41,INDEX('[1]Définition Maintenances'!$G:$G,MATCH($A41,'[1]Définition Maintenances'!$K:$K,0))+Y41),Y41))</f>
        <v>1200</v>
      </c>
      <c r="AA41" s="26">
        <f>IF(ISNUMBER(VLOOKUP($D41,'Visu totale'!$D:$DH,AA$1,0)),Z41-VLOOKUP($D41,'Visu totale'!$D:$DH,AA$1,0),IF(LEFT(VLOOKUP($D41,'Visu totale'!$D:$DH,AA$1,0),1)="V",IF(Z41&gt;=INDEX('[1]Définition Maintenances'!$G:$G,MATCH($A41,'[1]Définition Maintenances'!$K:$K,0)),Z41,INDEX('[1]Définition Maintenances'!$G:$G,MATCH($A41,'[1]Définition Maintenances'!$K:$K,0))+Z41),Z41))</f>
        <v>1200</v>
      </c>
      <c r="AB41" s="26">
        <f>IF(ISNUMBER(VLOOKUP($D41,'Visu totale'!$D:$DH,AB$1,0)),AA41-VLOOKUP($D41,'Visu totale'!$D:$DH,AB$1,0),IF(LEFT(VLOOKUP($D41,'Visu totale'!$D:$DH,AB$1,0),1)="V",IF(AA41&gt;=INDEX('[1]Définition Maintenances'!$G:$G,MATCH($A41,'[1]Définition Maintenances'!$K:$K,0)),AA41,INDEX('[1]Définition Maintenances'!$G:$G,MATCH($A41,'[1]Définition Maintenances'!$K:$K,0))+AA41),AA41))</f>
        <v>1200</v>
      </c>
      <c r="AC41" s="27">
        <f>IF(ISNUMBER(VLOOKUP($D41,'Visu totale'!$D:$DH,AC$1,0)),AB41-VLOOKUP($D41,'Visu totale'!$D:$DH,AC$1,0),IF(LEFT(VLOOKUP($D41,'Visu totale'!$D:$DH,AC$1,0),1)="V",IF(AB41&gt;=INDEX('[1]Définition Maintenances'!$G:$G,MATCH($A41,'[1]Définition Maintenances'!$K:$K,0)),AB41,INDEX('[1]Définition Maintenances'!$G:$G,MATCH($A41,'[1]Définition Maintenances'!$K:$K,0))+AB41),AB41))</f>
        <v>1200</v>
      </c>
      <c r="AD41" s="25">
        <f>IF(ISNUMBER(VLOOKUP($D41,'Visu totale'!$D:$DH,AD$1,0)),AC41-VLOOKUP($D41,'Visu totale'!$D:$DH,AD$1,0),IF(LEFT(VLOOKUP($D41,'Visu totale'!$D:$DH,AD$1,0),1)="V",IF(AC41&gt;=INDEX('[1]Définition Maintenances'!$G:$G,MATCH($A41,'[1]Définition Maintenances'!$K:$K,0)),AC41,INDEX('[1]Définition Maintenances'!$G:$G,MATCH($A41,'[1]Définition Maintenances'!$K:$K,0))+AC41),AC41))</f>
        <v>1200</v>
      </c>
      <c r="AE41" s="26">
        <f>IF(ISNUMBER(VLOOKUP($D41,'Visu totale'!$D:$DH,AE$1,0)),AD41-VLOOKUP($D41,'Visu totale'!$D:$DH,AE$1,0),IF(LEFT(VLOOKUP($D41,'Visu totale'!$D:$DH,AE$1,0),1)="V",IF(AD41&gt;=INDEX('[1]Définition Maintenances'!$G:$G,MATCH($A41,'[1]Définition Maintenances'!$K:$K,0)),AD41,INDEX('[1]Définition Maintenances'!$G:$G,MATCH($A41,'[1]Définition Maintenances'!$K:$K,0))+AD41),AD41))</f>
        <v>1200</v>
      </c>
      <c r="AF41" s="26">
        <f>IF(ISNUMBER(VLOOKUP($D41,'Visu totale'!$D:$DH,AF$1,0)),AE41-VLOOKUP($D41,'Visu totale'!$D:$DH,AF$1,0),IF(LEFT(VLOOKUP($D41,'Visu totale'!$D:$DH,AF$1,0),1)="V",IF(AE41&gt;=INDEX('[1]Définition Maintenances'!$G:$G,MATCH($A41,'[1]Définition Maintenances'!$K:$K,0)),AE41,INDEX('[1]Définition Maintenances'!$G:$G,MATCH($A41,'[1]Définition Maintenances'!$K:$K,0))+AE41),AE41))</f>
        <v>1200</v>
      </c>
      <c r="AG41" s="26">
        <f>IF(ISNUMBER(VLOOKUP($D41,'Visu totale'!$D:$DH,AG$1,0)),AF41-VLOOKUP($D41,'Visu totale'!$D:$DH,AG$1,0),IF(LEFT(VLOOKUP($D41,'Visu totale'!$D:$DH,AG$1,0),1)="V",IF(AF41&gt;=INDEX('[1]Définition Maintenances'!$G:$G,MATCH($A41,'[1]Définition Maintenances'!$K:$K,0)),AF41,INDEX('[1]Définition Maintenances'!$G:$G,MATCH($A41,'[1]Définition Maintenances'!$K:$K,0))+AF41),AF41))</f>
        <v>1200</v>
      </c>
      <c r="AH41" s="26">
        <f>IF(ISNUMBER(VLOOKUP($D41,'Visu totale'!$D:$DH,AH$1,0)),AG41-VLOOKUP($D41,'Visu totale'!$D:$DH,AH$1,0),IF(LEFT(VLOOKUP($D41,'Visu totale'!$D:$DH,AH$1,0),1)="V",IF(AG41&gt;=INDEX('[1]Définition Maintenances'!$G:$G,MATCH($A41,'[1]Définition Maintenances'!$K:$K,0)),AG41,INDEX('[1]Définition Maintenances'!$G:$G,MATCH($A41,'[1]Définition Maintenances'!$K:$K,0))+AG41),AG41))</f>
        <v>1200</v>
      </c>
      <c r="AI41" s="26">
        <f>IF(ISNUMBER(VLOOKUP($D41,'Visu totale'!$D:$DH,AI$1,0)),AH41-VLOOKUP($D41,'Visu totale'!$D:$DH,AI$1,0),IF(LEFT(VLOOKUP($D41,'Visu totale'!$D:$DH,AI$1,0),1)="V",IF(AH41&gt;=INDEX('[1]Définition Maintenances'!$G:$G,MATCH($A41,'[1]Définition Maintenances'!$K:$K,0)),AH41,INDEX('[1]Définition Maintenances'!$G:$G,MATCH($A41,'[1]Définition Maintenances'!$K:$K,0))+AH41),AH41))</f>
        <v>1200</v>
      </c>
      <c r="AJ41" s="26">
        <f>IF(ISNUMBER(VLOOKUP($D41,'Visu totale'!$D:$DH,AJ$1,0)),AI41-VLOOKUP($D41,'Visu totale'!$D:$DH,AJ$1,0),IF(LEFT(VLOOKUP($D41,'Visu totale'!$D:$DH,AJ$1,0),1)="V",IF(AI41&gt;=INDEX('[1]Définition Maintenances'!$G:$G,MATCH($A41,'[1]Définition Maintenances'!$K:$K,0)),AI41,INDEX('[1]Définition Maintenances'!$G:$G,MATCH($A41,'[1]Définition Maintenances'!$K:$K,0))+AI41),AI41))</f>
        <v>1200</v>
      </c>
      <c r="AK41" s="26">
        <f>IF(ISNUMBER(VLOOKUP($D41,'Visu totale'!$D:$DH,AK$1,0)),AJ41-VLOOKUP($D41,'Visu totale'!$D:$DH,AK$1,0),IF(LEFT(VLOOKUP($D41,'Visu totale'!$D:$DH,AK$1,0),1)="V",IF(AJ41&gt;=INDEX('[1]Définition Maintenances'!$G:$G,MATCH($A41,'[1]Définition Maintenances'!$K:$K,0)),AJ41,INDEX('[1]Définition Maintenances'!$G:$G,MATCH($A41,'[1]Définition Maintenances'!$K:$K,0))+AJ41),AJ41))</f>
        <v>1200</v>
      </c>
      <c r="AL41" s="26">
        <f>IF(ISNUMBER(VLOOKUP($D41,'Visu totale'!$D:$DH,AL$1,0)),AK41-VLOOKUP($D41,'Visu totale'!$D:$DH,AL$1,0),IF(LEFT(VLOOKUP($D41,'Visu totale'!$D:$DH,AL$1,0),1)="V",IF(AK41&gt;=INDEX('[1]Définition Maintenances'!$G:$G,MATCH($A41,'[1]Définition Maintenances'!$K:$K,0)),AK41,INDEX('[1]Définition Maintenances'!$G:$G,MATCH($A41,'[1]Définition Maintenances'!$K:$K,0))+AK41),AK41))</f>
        <v>1200</v>
      </c>
      <c r="AM41" s="26">
        <f>IF(ISNUMBER(VLOOKUP($D41,'Visu totale'!$D:$DH,AM$1,0)),AL41-VLOOKUP($D41,'Visu totale'!$D:$DH,AM$1,0),IF(LEFT(VLOOKUP($D41,'Visu totale'!$D:$DH,AM$1,0),1)="V",IF(AL41&gt;=INDEX('[1]Définition Maintenances'!$G:$G,MATCH($A41,'[1]Définition Maintenances'!$K:$K,0)),AL41,INDEX('[1]Définition Maintenances'!$G:$G,MATCH($A41,'[1]Définition Maintenances'!$K:$K,0))+AL41),AL41))</f>
        <v>1200</v>
      </c>
      <c r="AN41" s="26">
        <f>IF(ISNUMBER(VLOOKUP($D41,'Visu totale'!$D:$DH,AN$1,0)),AM41-VLOOKUP($D41,'Visu totale'!$D:$DH,AN$1,0),IF(LEFT(VLOOKUP($D41,'Visu totale'!$D:$DH,AN$1,0),1)="V",IF(AM41&gt;=INDEX('[1]Définition Maintenances'!$G:$G,MATCH($A41,'[1]Définition Maintenances'!$K:$K,0)),AM41,INDEX('[1]Définition Maintenances'!$G:$G,MATCH($A41,'[1]Définition Maintenances'!$K:$K,0))+AM41),AM41))</f>
        <v>1200</v>
      </c>
      <c r="AO41" s="27">
        <f>IF(ISNUMBER(VLOOKUP($D41,'Visu totale'!$D:$DH,AO$1,0)),AN41-VLOOKUP($D41,'Visu totale'!$D:$DH,AO$1,0),IF(LEFT(VLOOKUP($D41,'Visu totale'!$D:$DH,AO$1,0),1)="V",IF(AN41&gt;=INDEX('[1]Définition Maintenances'!$G:$G,MATCH($A41,'[1]Définition Maintenances'!$K:$K,0)),AN41,INDEX('[1]Définition Maintenances'!$G:$G,MATCH($A41,'[1]Définition Maintenances'!$K:$K,0))+AN41),AN41))</f>
        <v>1200</v>
      </c>
      <c r="AP41" s="25">
        <f>IF(ISNUMBER(VLOOKUP($D41,'Visu totale'!$D:$DH,AP$1,0)),AO41-VLOOKUP($D41,'Visu totale'!$D:$DH,AP$1,0),IF(LEFT(VLOOKUP($D41,'Visu totale'!$D:$DH,AP$1,0),1)="V",IF(AO41&gt;=INDEX('[1]Définition Maintenances'!$G:$G,MATCH($A41,'[1]Définition Maintenances'!$K:$K,0)),AO41,INDEX('[1]Définition Maintenances'!$G:$G,MATCH($A41,'[1]Définition Maintenances'!$K:$K,0))+AO41),AO41))</f>
        <v>1200</v>
      </c>
      <c r="AQ41" s="26">
        <f>IF(ISNUMBER(VLOOKUP($D41,'Visu totale'!$D:$DH,AQ$1,0)),AP41-VLOOKUP($D41,'Visu totale'!$D:$DH,AQ$1,0),IF(LEFT(VLOOKUP($D41,'Visu totale'!$D:$DH,AQ$1,0),1)="V",IF(AP41&gt;=INDEX('[1]Définition Maintenances'!$G:$G,MATCH($A41,'[1]Définition Maintenances'!$K:$K,0)),AP41,INDEX('[1]Définition Maintenances'!$G:$G,MATCH($A41,'[1]Définition Maintenances'!$K:$K,0))+AP41),AP41))</f>
        <v>1200</v>
      </c>
      <c r="AR41" s="26">
        <f>IF(ISNUMBER(VLOOKUP($D41,'Visu totale'!$D:$DH,AR$1,0)),AQ41-VLOOKUP($D41,'Visu totale'!$D:$DH,AR$1,0),IF(LEFT(VLOOKUP($D41,'Visu totale'!$D:$DH,AR$1,0),1)="V",IF(AQ41&gt;=INDEX('[1]Définition Maintenances'!$G:$G,MATCH($A41,'[1]Définition Maintenances'!$K:$K,0)),AQ41,INDEX('[1]Définition Maintenances'!$G:$G,MATCH($A41,'[1]Définition Maintenances'!$K:$K,0))+AQ41),AQ41))</f>
        <v>1200</v>
      </c>
      <c r="AS41" s="26">
        <f>IF(ISNUMBER(VLOOKUP($D41,'Visu totale'!$D:$DH,AS$1,0)),AR41-VLOOKUP($D41,'Visu totale'!$D:$DH,AS$1,0),IF(LEFT(VLOOKUP($D41,'Visu totale'!$D:$DH,AS$1,0),1)="V",IF(AR41&gt;=INDEX('[1]Définition Maintenances'!$G:$G,MATCH($A41,'[1]Définition Maintenances'!$K:$K,0)),AR41,INDEX('[1]Définition Maintenances'!$G:$G,MATCH($A41,'[1]Définition Maintenances'!$K:$K,0))+AR41),AR41))</f>
        <v>1200</v>
      </c>
      <c r="AT41" s="26">
        <f>IF(ISNUMBER(VLOOKUP($D41,'Visu totale'!$D:$DH,AT$1,0)),AS41-VLOOKUP($D41,'Visu totale'!$D:$DH,AT$1,0),IF(LEFT(VLOOKUP($D41,'Visu totale'!$D:$DH,AT$1,0),1)="V",IF(AS41&gt;=INDEX('[1]Définition Maintenances'!$G:$G,MATCH($A41,'[1]Définition Maintenances'!$K:$K,0)),AS41,INDEX('[1]Définition Maintenances'!$G:$G,MATCH($A41,'[1]Définition Maintenances'!$K:$K,0))+AS41),AS41))</f>
        <v>1200</v>
      </c>
      <c r="AU41" s="26">
        <f>IF(ISNUMBER(VLOOKUP($D41,'Visu totale'!$D:$DH,AU$1,0)),AT41-VLOOKUP($D41,'Visu totale'!$D:$DH,AU$1,0),IF(LEFT(VLOOKUP($D41,'Visu totale'!$D:$DH,AU$1,0),1)="V",IF(AT41&gt;=INDEX('[1]Définition Maintenances'!$G:$G,MATCH($A41,'[1]Définition Maintenances'!$K:$K,0)),AT41,INDEX('[1]Définition Maintenances'!$G:$G,MATCH($A41,'[1]Définition Maintenances'!$K:$K,0))+AT41),AT41))</f>
        <v>1200</v>
      </c>
      <c r="AV41" s="26">
        <f>IF(ISNUMBER(VLOOKUP($D41,'Visu totale'!$D:$DH,AV$1,0)),AU41-VLOOKUP($D41,'Visu totale'!$D:$DH,AV$1,0),IF(LEFT(VLOOKUP($D41,'Visu totale'!$D:$DH,AV$1,0),1)="V",IF(AU41&gt;=INDEX('[1]Définition Maintenances'!$G:$G,MATCH($A41,'[1]Définition Maintenances'!$K:$K,0)),AU41,INDEX('[1]Définition Maintenances'!$G:$G,MATCH($A41,'[1]Définition Maintenances'!$K:$K,0))+AU41),AU41))</f>
        <v>1200</v>
      </c>
      <c r="AW41" s="26">
        <f>IF(ISNUMBER(VLOOKUP($D41,'Visu totale'!$D:$DH,AW$1,0)),AV41-VLOOKUP($D41,'Visu totale'!$D:$DH,AW$1,0),IF(LEFT(VLOOKUP($D41,'Visu totale'!$D:$DH,AW$1,0),1)="V",IF(AV41&gt;=INDEX('[1]Définition Maintenances'!$G:$G,MATCH($A41,'[1]Définition Maintenances'!$K:$K,0)),AV41,INDEX('[1]Définition Maintenances'!$G:$G,MATCH($A41,'[1]Définition Maintenances'!$K:$K,0))+AV41),AV41))</f>
        <v>1200</v>
      </c>
      <c r="AX41" s="26">
        <f>IF(ISNUMBER(VLOOKUP($D41,'Visu totale'!$D:$DH,AX$1,0)),AW41-VLOOKUP($D41,'Visu totale'!$D:$DH,AX$1,0),IF(LEFT(VLOOKUP($D41,'Visu totale'!$D:$DH,AX$1,0),1)="V",IF(AW41&gt;=INDEX('[1]Définition Maintenances'!$G:$G,MATCH($A41,'[1]Définition Maintenances'!$K:$K,0)),AW41,INDEX('[1]Définition Maintenances'!$G:$G,MATCH($A41,'[1]Définition Maintenances'!$K:$K,0))+AW41),AW41))</f>
        <v>1200</v>
      </c>
      <c r="AY41" s="26">
        <f>IF(ISNUMBER(VLOOKUP($D41,'Visu totale'!$D:$DH,AY$1,0)),AX41-VLOOKUP($D41,'Visu totale'!$D:$DH,AY$1,0),IF(LEFT(VLOOKUP($D41,'Visu totale'!$D:$DH,AY$1,0),1)="V",IF(AX41&gt;=INDEX('[1]Définition Maintenances'!$G:$G,MATCH($A41,'[1]Définition Maintenances'!$K:$K,0)),AX41,INDEX('[1]Définition Maintenances'!$G:$G,MATCH($A41,'[1]Définition Maintenances'!$K:$K,0))+AX41),AX41))</f>
        <v>1200</v>
      </c>
      <c r="AZ41" s="26">
        <f>IF(ISNUMBER(VLOOKUP($D41,'Visu totale'!$D:$DH,AZ$1,0)),AY41-VLOOKUP($D41,'Visu totale'!$D:$DH,AZ$1,0),IF(LEFT(VLOOKUP($D41,'Visu totale'!$D:$DH,AZ$1,0),1)="V",IF(AY41&gt;=INDEX('[1]Définition Maintenances'!$G:$G,MATCH($A41,'[1]Définition Maintenances'!$K:$K,0)),AY41,INDEX('[1]Définition Maintenances'!$G:$G,MATCH($A41,'[1]Définition Maintenances'!$K:$K,0))+AY41),AY41))</f>
        <v>1200</v>
      </c>
      <c r="BA41" s="27">
        <f>IF(ISNUMBER(VLOOKUP($D41,'Visu totale'!$D:$DH,BA$1,0)),AZ41-VLOOKUP($D41,'Visu totale'!$D:$DH,BA$1,0),IF(LEFT(VLOOKUP($D41,'Visu totale'!$D:$DH,BA$1,0),1)="V",IF(AZ41&gt;=INDEX('[1]Définition Maintenances'!$G:$G,MATCH($A41,'[1]Définition Maintenances'!$K:$K,0)),AZ41,INDEX('[1]Définition Maintenances'!$G:$G,MATCH($A41,'[1]Définition Maintenances'!$K:$K,0))+AZ41),AZ41))</f>
        <v>1200</v>
      </c>
      <c r="BB41" s="25">
        <f>IF(ISNUMBER(VLOOKUP($D41,'Visu totale'!$D:$DH,BB$1,0)),BA41-VLOOKUP($D41,'Visu totale'!$D:$DH,BB$1,0),IF(LEFT(VLOOKUP($D41,'Visu totale'!$D:$DH,BB$1,0),1)="V",IF(BA41&gt;=INDEX('[1]Définition Maintenances'!$G:$G,MATCH($A41,'[1]Définition Maintenances'!$K:$K,0)),BA41,INDEX('[1]Définition Maintenances'!$G:$G,MATCH($A41,'[1]Définition Maintenances'!$K:$K,0))+BA41),BA41))</f>
        <v>1200</v>
      </c>
      <c r="BC41" s="26">
        <f>IF(ISNUMBER(VLOOKUP($D41,'Visu totale'!$D:$DH,BC$1,0)),BB41-VLOOKUP($D41,'Visu totale'!$D:$DH,BC$1,0),IF(LEFT(VLOOKUP($D41,'Visu totale'!$D:$DH,BC$1,0),1)="V",IF(BB41&gt;=INDEX('[1]Définition Maintenances'!$G:$G,MATCH($A41,'[1]Définition Maintenances'!$K:$K,0)),BB41,INDEX('[1]Définition Maintenances'!$G:$G,MATCH($A41,'[1]Définition Maintenances'!$K:$K,0))+BB41),BB41))</f>
        <v>1200</v>
      </c>
      <c r="BD41" s="26">
        <f>IF(ISNUMBER(VLOOKUP($D41,'Visu totale'!$D:$DH,BD$1,0)),BC41-VLOOKUP($D41,'Visu totale'!$D:$DH,BD$1,0),IF(LEFT(VLOOKUP($D41,'Visu totale'!$D:$DH,BD$1,0),1)="V",IF(BC41&gt;=INDEX('[1]Définition Maintenances'!$G:$G,MATCH($A41,'[1]Définition Maintenances'!$K:$K,0)),BC41,INDEX('[1]Définition Maintenances'!$G:$G,MATCH($A41,'[1]Définition Maintenances'!$K:$K,0))+BC41),BC41))</f>
        <v>1200</v>
      </c>
      <c r="BE41" s="26">
        <f>IF(ISNUMBER(VLOOKUP($D41,'Visu totale'!$D:$DH,BE$1,0)),BD41-VLOOKUP($D41,'Visu totale'!$D:$DH,BE$1,0),IF(LEFT(VLOOKUP($D41,'Visu totale'!$D:$DH,BE$1,0),1)="V",IF(BD41&gt;=INDEX('[1]Définition Maintenances'!$G:$G,MATCH($A41,'[1]Définition Maintenances'!$K:$K,0)),BD41,INDEX('[1]Définition Maintenances'!$G:$G,MATCH($A41,'[1]Définition Maintenances'!$K:$K,0))+BD41),BD41))</f>
        <v>1200</v>
      </c>
      <c r="BF41" s="26">
        <f>IF(ISNUMBER(VLOOKUP($D41,'Visu totale'!$D:$DH,BF$1,0)),BE41-VLOOKUP($D41,'Visu totale'!$D:$DH,BF$1,0),IF(LEFT(VLOOKUP($D41,'Visu totale'!$D:$DH,BF$1,0),1)="V",IF(BE41&gt;=INDEX('[1]Définition Maintenances'!$G:$G,MATCH($A41,'[1]Définition Maintenances'!$K:$K,0)),BE41,INDEX('[1]Définition Maintenances'!$G:$G,MATCH($A41,'[1]Définition Maintenances'!$K:$K,0))+BE41),BE41))</f>
        <v>1200</v>
      </c>
      <c r="BG41" s="26">
        <f>IF(ISNUMBER(VLOOKUP($D41,'Visu totale'!$D:$DH,BG$1,0)),BF41-VLOOKUP($D41,'Visu totale'!$D:$DH,BG$1,0),IF(LEFT(VLOOKUP($D41,'Visu totale'!$D:$DH,BG$1,0),1)="V",IF(BF41&gt;=INDEX('[1]Définition Maintenances'!$G:$G,MATCH($A41,'[1]Définition Maintenances'!$K:$K,0)),BF41,INDEX('[1]Définition Maintenances'!$G:$G,MATCH($A41,'[1]Définition Maintenances'!$K:$K,0))+BF41),BF41))</f>
        <v>1200</v>
      </c>
      <c r="BH41" s="26">
        <f>IF(ISNUMBER(VLOOKUP($D41,'Visu totale'!$D:$DH,BH$1,0)),BG41-VLOOKUP($D41,'Visu totale'!$D:$DH,BH$1,0),IF(LEFT(VLOOKUP($D41,'Visu totale'!$D:$DH,BH$1,0),1)="V",IF(BG41&gt;=INDEX('[1]Définition Maintenances'!$G:$G,MATCH($A41,'[1]Définition Maintenances'!$K:$K,0)),BG41,INDEX('[1]Définition Maintenances'!$G:$G,MATCH($A41,'[1]Définition Maintenances'!$K:$K,0))+BG41),BG41))</f>
        <v>1200</v>
      </c>
      <c r="BI41" s="26">
        <f>IF(ISNUMBER(VLOOKUP($D41,'Visu totale'!$D:$DH,BI$1,0)),BH41-VLOOKUP($D41,'Visu totale'!$D:$DH,BI$1,0),IF(LEFT(VLOOKUP($D41,'Visu totale'!$D:$DH,BI$1,0),1)="V",IF(BH41&gt;=INDEX('[1]Définition Maintenances'!$G:$G,MATCH($A41,'[1]Définition Maintenances'!$K:$K,0)),BH41,INDEX('[1]Définition Maintenances'!$G:$G,MATCH($A41,'[1]Définition Maintenances'!$K:$K,0))+BH41),BH41))</f>
        <v>1200</v>
      </c>
      <c r="BJ41" s="26">
        <f>IF(ISNUMBER(VLOOKUP($D41,'Visu totale'!$D:$DH,BJ$1,0)),BI41-VLOOKUP($D41,'Visu totale'!$D:$DH,BJ$1,0),IF(LEFT(VLOOKUP($D41,'Visu totale'!$D:$DH,BJ$1,0),1)="V",IF(BI41&gt;=INDEX('[1]Définition Maintenances'!$G:$G,MATCH($A41,'[1]Définition Maintenances'!$K:$K,0)),BI41,INDEX('[1]Définition Maintenances'!$G:$G,MATCH($A41,'[1]Définition Maintenances'!$K:$K,0))+BI41),BI41))</f>
        <v>1200</v>
      </c>
      <c r="BK41" s="26">
        <f>IF(ISNUMBER(VLOOKUP($D41,'Visu totale'!$D:$DH,BK$1,0)),BJ41-VLOOKUP($D41,'Visu totale'!$D:$DH,BK$1,0),IF(LEFT(VLOOKUP($D41,'Visu totale'!$D:$DH,BK$1,0),1)="V",IF(BJ41&gt;=INDEX('[1]Définition Maintenances'!$G:$G,MATCH($A41,'[1]Définition Maintenances'!$K:$K,0)),BJ41,INDEX('[1]Définition Maintenances'!$G:$G,MATCH($A41,'[1]Définition Maintenances'!$K:$K,0))+BJ41),BJ41))</f>
        <v>1200</v>
      </c>
      <c r="BL41" s="26">
        <f>IF(ISNUMBER(VLOOKUP($D41,'Visu totale'!$D:$DH,BL$1,0)),BK41-VLOOKUP($D41,'Visu totale'!$D:$DH,BL$1,0),IF(LEFT(VLOOKUP($D41,'Visu totale'!$D:$DH,BL$1,0),1)="V",IF(BK41&gt;=INDEX('[1]Définition Maintenances'!$G:$G,MATCH($A41,'[1]Définition Maintenances'!$K:$K,0)),BK41,INDEX('[1]Définition Maintenances'!$G:$G,MATCH($A41,'[1]Définition Maintenances'!$K:$K,0))+BK41),BK41))</f>
        <v>1200</v>
      </c>
      <c r="BM41" s="27">
        <f>IF(ISNUMBER(VLOOKUP($D41,'Visu totale'!$D:$DH,BM$1,0)),BL41-VLOOKUP($D41,'Visu totale'!$D:$DH,BM$1,0),IF(LEFT(VLOOKUP($D41,'Visu totale'!$D:$DH,BM$1,0),1)="V",IF(BL41&gt;=INDEX('[1]Définition Maintenances'!$G:$G,MATCH($A41,'[1]Définition Maintenances'!$K:$K,0)),BL41,INDEX('[1]Définition Maintenances'!$G:$G,MATCH($A41,'[1]Définition Maintenances'!$K:$K,0))+BL41),BL41))</f>
        <v>1200</v>
      </c>
      <c r="BN41" s="25">
        <f>IF(ISNUMBER(VLOOKUP($D41,'Visu totale'!$D:$DH,BN$1,0)),BM41-VLOOKUP($D41,'Visu totale'!$D:$DH,BN$1,0),IF(LEFT(VLOOKUP($D41,'Visu totale'!$D:$DH,BN$1,0),1)="V",IF(BM41&gt;=INDEX('[1]Définition Maintenances'!$G:$G,MATCH($A41,'[1]Définition Maintenances'!$K:$K,0)),BM41,INDEX('[1]Définition Maintenances'!$G:$G,MATCH($A41,'[1]Définition Maintenances'!$K:$K,0))+BM41),BM41))</f>
        <v>1200</v>
      </c>
      <c r="BO41" s="26">
        <f>IF(ISNUMBER(VLOOKUP($D41,'Visu totale'!$D:$DH,BO$1,0)),BN41-VLOOKUP($D41,'Visu totale'!$D:$DH,BO$1,0),IF(LEFT(VLOOKUP($D41,'Visu totale'!$D:$DH,BO$1,0),1)="V",IF(BN41&gt;=INDEX('[1]Définition Maintenances'!$G:$G,MATCH($A41,'[1]Définition Maintenances'!$K:$K,0)),BN41,INDEX('[1]Définition Maintenances'!$G:$G,MATCH($A41,'[1]Définition Maintenances'!$K:$K,0))+BN41),BN41))</f>
        <v>1200</v>
      </c>
      <c r="BP41" s="26">
        <f>IF(ISNUMBER(VLOOKUP($D41,'Visu totale'!$D:$DH,BP$1,0)),BO41-VLOOKUP($D41,'Visu totale'!$D:$DH,BP$1,0),IF(LEFT(VLOOKUP($D41,'Visu totale'!$D:$DH,BP$1,0),1)="V",IF(BO41&gt;=INDEX('[1]Définition Maintenances'!$G:$G,MATCH($A41,'[1]Définition Maintenances'!$K:$K,0)),BO41,INDEX('[1]Définition Maintenances'!$G:$G,MATCH($A41,'[1]Définition Maintenances'!$K:$K,0))+BO41),BO41))</f>
        <v>1200</v>
      </c>
      <c r="BQ41" s="26">
        <f>IF(ISNUMBER(VLOOKUP($D41,'Visu totale'!$D:$DH,BQ$1,0)),BP41-VLOOKUP($D41,'Visu totale'!$D:$DH,BQ$1,0),IF(LEFT(VLOOKUP($D41,'Visu totale'!$D:$DH,BQ$1,0),1)="V",IF(BP41&gt;=INDEX('[1]Définition Maintenances'!$G:$G,MATCH($A41,'[1]Définition Maintenances'!$K:$K,0)),BP41,INDEX('[1]Définition Maintenances'!$G:$G,MATCH($A41,'[1]Définition Maintenances'!$K:$K,0))+BP41),BP41))</f>
        <v>1200</v>
      </c>
      <c r="BR41" s="26">
        <f>IF(ISNUMBER(VLOOKUP($D41,'Visu totale'!$D:$DH,BR$1,0)),BQ41-VLOOKUP($D41,'Visu totale'!$D:$DH,BR$1,0),IF(LEFT(VLOOKUP($D41,'Visu totale'!$D:$DH,BR$1,0),1)="V",IF(BQ41&gt;=INDEX('[1]Définition Maintenances'!$G:$G,MATCH($A41,'[1]Définition Maintenances'!$K:$K,0)),BQ41,INDEX('[1]Définition Maintenances'!$G:$G,MATCH($A41,'[1]Définition Maintenances'!$K:$K,0))+BQ41),BQ41))</f>
        <v>1200</v>
      </c>
      <c r="BS41" s="26">
        <f>IF(ISNUMBER(VLOOKUP($D41,'Visu totale'!$D:$DH,BS$1,0)),BR41-VLOOKUP($D41,'Visu totale'!$D:$DH,BS$1,0),IF(LEFT(VLOOKUP($D41,'Visu totale'!$D:$DH,BS$1,0),1)="V",IF(BR41&gt;=INDEX('[1]Définition Maintenances'!$G:$G,MATCH($A41,'[1]Définition Maintenances'!$K:$K,0)),BR41,INDEX('[1]Définition Maintenances'!$G:$G,MATCH($A41,'[1]Définition Maintenances'!$K:$K,0))+BR41),BR41))</f>
        <v>1200</v>
      </c>
      <c r="BT41" s="26">
        <f>IF(ISNUMBER(VLOOKUP($D41,'Visu totale'!$D:$DH,BT$1,0)),BS41-VLOOKUP($D41,'Visu totale'!$D:$DH,BT$1,0),IF(LEFT(VLOOKUP($D41,'Visu totale'!$D:$DH,BT$1,0),1)="V",IF(BS41&gt;=INDEX('[1]Définition Maintenances'!$G:$G,MATCH($A41,'[1]Définition Maintenances'!$K:$K,0)),BS41,INDEX('[1]Définition Maintenances'!$G:$G,MATCH($A41,'[1]Définition Maintenances'!$K:$K,0))+BS41),BS41))</f>
        <v>1200</v>
      </c>
      <c r="BU41" s="26">
        <f>IF(ISNUMBER(VLOOKUP($D41,'Visu totale'!$D:$DH,BU$1,0)),BT41-VLOOKUP($D41,'Visu totale'!$D:$DH,BU$1,0),IF(LEFT(VLOOKUP($D41,'Visu totale'!$D:$DH,BU$1,0),1)="V",IF(BT41&gt;=INDEX('[1]Définition Maintenances'!$G:$G,MATCH($A41,'[1]Définition Maintenances'!$K:$K,0)),BT41,INDEX('[1]Définition Maintenances'!$G:$G,MATCH($A41,'[1]Définition Maintenances'!$K:$K,0))+BT41),BT41))</f>
        <v>1200</v>
      </c>
      <c r="BV41" s="26">
        <f>IF(ISNUMBER(VLOOKUP($D41,'Visu totale'!$D:$DH,BV$1,0)),BU41-VLOOKUP($D41,'Visu totale'!$D:$DH,BV$1,0),IF(LEFT(VLOOKUP($D41,'Visu totale'!$D:$DH,BV$1,0),1)="V",IF(BU41&gt;=INDEX('[1]Définition Maintenances'!$G:$G,MATCH($A41,'[1]Définition Maintenances'!$K:$K,0)),BU41,INDEX('[1]Définition Maintenances'!$G:$G,MATCH($A41,'[1]Définition Maintenances'!$K:$K,0))+BU41),BU41))</f>
        <v>1200</v>
      </c>
      <c r="BW41" s="26">
        <f>IF(ISNUMBER(VLOOKUP($D41,'Visu totale'!$D:$DH,BW$1,0)),BV41-VLOOKUP($D41,'Visu totale'!$D:$DH,BW$1,0),IF(LEFT(VLOOKUP($D41,'Visu totale'!$D:$DH,BW$1,0),1)="V",IF(BV41&gt;=INDEX('[1]Définition Maintenances'!$G:$G,MATCH($A41,'[1]Définition Maintenances'!$K:$K,0)),BV41,INDEX('[1]Définition Maintenances'!$G:$G,MATCH($A41,'[1]Définition Maintenances'!$K:$K,0))+BV41),BV41))</f>
        <v>1200</v>
      </c>
      <c r="BX41" s="26">
        <f>IF(ISNUMBER(VLOOKUP($D41,'Visu totale'!$D:$DH,BX$1,0)),BW41-VLOOKUP($D41,'Visu totale'!$D:$DH,BX$1,0),IF(LEFT(VLOOKUP($D41,'Visu totale'!$D:$DH,BX$1,0),1)="V",IF(BW41&gt;=INDEX('[1]Définition Maintenances'!$G:$G,MATCH($A41,'[1]Définition Maintenances'!$K:$K,0)),BW41,INDEX('[1]Définition Maintenances'!$G:$G,MATCH($A41,'[1]Définition Maintenances'!$K:$K,0))+BW41),BW41))</f>
        <v>1200</v>
      </c>
      <c r="BY41" s="27">
        <f>IF(ISNUMBER(VLOOKUP($D41,'Visu totale'!$D:$DH,BY$1,0)),BX41-VLOOKUP($D41,'Visu totale'!$D:$DH,BY$1,0),IF(LEFT(VLOOKUP($D41,'Visu totale'!$D:$DH,BY$1,0),1)="V",IF(BX41&gt;=INDEX('[1]Définition Maintenances'!$G:$G,MATCH($A41,'[1]Définition Maintenances'!$K:$K,0)),BX41,INDEX('[1]Définition Maintenances'!$G:$G,MATCH($A41,'[1]Définition Maintenances'!$K:$K,0))+BX41),BX41))</f>
        <v>1200</v>
      </c>
      <c r="BZ41" s="25">
        <f>IF(ISNUMBER(VLOOKUP($D41,'Visu totale'!$D:$DH,BZ$1,0)),BY41-VLOOKUP($D41,'Visu totale'!$D:$DH,BZ$1,0),IF(LEFT(VLOOKUP($D41,'Visu totale'!$D:$DH,BZ$1,0),1)="V",IF(BY41&gt;=INDEX('[1]Définition Maintenances'!$G:$G,MATCH($A41,'[1]Définition Maintenances'!$K:$K,0)),BY41,INDEX('[1]Définition Maintenances'!$G:$G,MATCH($A41,'[1]Définition Maintenances'!$K:$K,0))+BY41),BY41))</f>
        <v>1200</v>
      </c>
      <c r="CA41" s="26">
        <f>IF(ISNUMBER(VLOOKUP($D41,'Visu totale'!$D:$DH,CA$1,0)),BZ41-VLOOKUP($D41,'Visu totale'!$D:$DH,CA$1,0),IF(LEFT(VLOOKUP($D41,'Visu totale'!$D:$DH,CA$1,0),1)="V",IF(BZ41&gt;=INDEX('[1]Définition Maintenances'!$G:$G,MATCH($A41,'[1]Définition Maintenances'!$K:$K,0)),BZ41,INDEX('[1]Définition Maintenances'!$G:$G,MATCH($A41,'[1]Définition Maintenances'!$K:$K,0))+BZ41),BZ41))</f>
        <v>1200</v>
      </c>
      <c r="CB41" s="26">
        <f>IF(ISNUMBER(VLOOKUP($D41,'Visu totale'!$D:$DH,CB$1,0)),CA41-VLOOKUP($D41,'Visu totale'!$D:$DH,CB$1,0),IF(LEFT(VLOOKUP($D41,'Visu totale'!$D:$DH,CB$1,0),1)="V",IF(CA41&gt;=INDEX('[1]Définition Maintenances'!$G:$G,MATCH($A41,'[1]Définition Maintenances'!$K:$K,0)),CA41,INDEX('[1]Définition Maintenances'!$G:$G,MATCH($A41,'[1]Définition Maintenances'!$K:$K,0))+CA41),CA41))</f>
        <v>1200</v>
      </c>
      <c r="CC41" s="26">
        <f>IF(ISNUMBER(VLOOKUP($D41,'Visu totale'!$D:$DH,CC$1,0)),CB41-VLOOKUP($D41,'Visu totale'!$D:$DH,CC$1,0),IF(LEFT(VLOOKUP($D41,'Visu totale'!$D:$DH,CC$1,0),1)="V",IF(CB41&gt;=INDEX('[1]Définition Maintenances'!$G:$G,MATCH($A41,'[1]Définition Maintenances'!$K:$K,0)),CB41,INDEX('[1]Définition Maintenances'!$G:$G,MATCH($A41,'[1]Définition Maintenances'!$K:$K,0))+CB41),CB41))</f>
        <v>1200</v>
      </c>
      <c r="CD41" s="26">
        <f>IF(ISNUMBER(VLOOKUP($D41,'Visu totale'!$D:$DH,CD$1,0)),CC41-VLOOKUP($D41,'Visu totale'!$D:$DH,CD$1,0),IF(LEFT(VLOOKUP($D41,'Visu totale'!$D:$DH,CD$1,0),1)="V",IF(CC41&gt;=INDEX('[1]Définition Maintenances'!$G:$G,MATCH($A41,'[1]Définition Maintenances'!$K:$K,0)),CC41,INDEX('[1]Définition Maintenances'!$G:$G,MATCH($A41,'[1]Définition Maintenances'!$K:$K,0))+CC41),CC41))</f>
        <v>1200</v>
      </c>
      <c r="CE41" s="26">
        <f>IF(ISNUMBER(VLOOKUP($D41,'Visu totale'!$D:$DH,CE$1,0)),CD41-VLOOKUP($D41,'Visu totale'!$D:$DH,CE$1,0),IF(LEFT(VLOOKUP($D41,'Visu totale'!$D:$DH,CE$1,0),1)="V",IF(CD41&gt;=INDEX('[1]Définition Maintenances'!$G:$G,MATCH($A41,'[1]Définition Maintenances'!$K:$K,0)),CD41,INDEX('[1]Définition Maintenances'!$G:$G,MATCH($A41,'[1]Définition Maintenances'!$K:$K,0))+CD41),CD41))</f>
        <v>1200</v>
      </c>
      <c r="CF41" s="26">
        <f>IF(ISNUMBER(VLOOKUP($D41,'Visu totale'!$D:$DH,CF$1,0)),CE41-VLOOKUP($D41,'Visu totale'!$D:$DH,CF$1,0),IF(LEFT(VLOOKUP($D41,'Visu totale'!$D:$DH,CF$1,0),1)="V",IF(CE41&gt;=INDEX('[1]Définition Maintenances'!$G:$G,MATCH($A41,'[1]Définition Maintenances'!$K:$K,0)),CE41,INDEX('[1]Définition Maintenances'!$G:$G,MATCH($A41,'[1]Définition Maintenances'!$K:$K,0))+CE41),CE41))</f>
        <v>1200</v>
      </c>
      <c r="CG41" s="26">
        <f>IF(ISNUMBER(VLOOKUP($D41,'Visu totale'!$D:$DH,CG$1,0)),CF41-VLOOKUP($D41,'Visu totale'!$D:$DH,CG$1,0),IF(LEFT(VLOOKUP($D41,'Visu totale'!$D:$DH,CG$1,0),1)="V",IF(CF41&gt;=INDEX('[1]Définition Maintenances'!$G:$G,MATCH($A41,'[1]Définition Maintenances'!$K:$K,0)),CF41,INDEX('[1]Définition Maintenances'!$G:$G,MATCH($A41,'[1]Définition Maintenances'!$K:$K,0))+CF41),CF41))</f>
        <v>1200</v>
      </c>
      <c r="CH41" s="26">
        <f>IF(ISNUMBER(VLOOKUP($D41,'Visu totale'!$D:$DH,CH$1,0)),CG41-VLOOKUP($D41,'Visu totale'!$D:$DH,CH$1,0),IF(LEFT(VLOOKUP($D41,'Visu totale'!$D:$DH,CH$1,0),1)="V",IF(CG41&gt;=INDEX('[1]Définition Maintenances'!$G:$G,MATCH($A41,'[1]Définition Maintenances'!$K:$K,0)),CG41,INDEX('[1]Définition Maintenances'!$G:$G,MATCH($A41,'[1]Définition Maintenances'!$K:$K,0))+CG41),CG41))</f>
        <v>1200</v>
      </c>
      <c r="CI41" s="26">
        <f>IF(ISNUMBER(VLOOKUP($D41,'Visu totale'!$D:$DH,CI$1,0)),CH41-VLOOKUP($D41,'Visu totale'!$D:$DH,CI$1,0),IF(LEFT(VLOOKUP($D41,'Visu totale'!$D:$DH,CI$1,0),1)="V",IF(CH41&gt;=INDEX('[1]Définition Maintenances'!$G:$G,MATCH($A41,'[1]Définition Maintenances'!$K:$K,0)),CH41,INDEX('[1]Définition Maintenances'!$G:$G,MATCH($A41,'[1]Définition Maintenances'!$K:$K,0))+CH41),CH41))</f>
        <v>1200</v>
      </c>
      <c r="CJ41" s="26">
        <f>IF(ISNUMBER(VLOOKUP($D41,'Visu totale'!$D:$DH,CJ$1,0)),CI41-VLOOKUP($D41,'Visu totale'!$D:$DH,CJ$1,0),IF(LEFT(VLOOKUP($D41,'Visu totale'!$D:$DH,CJ$1,0),1)="V",IF(CI41&gt;=INDEX('[1]Définition Maintenances'!$G:$G,MATCH($A41,'[1]Définition Maintenances'!$K:$K,0)),CI41,INDEX('[1]Définition Maintenances'!$G:$G,MATCH($A41,'[1]Définition Maintenances'!$K:$K,0))+CI41),CI41))</f>
        <v>1200</v>
      </c>
      <c r="CK41" s="27">
        <f>IF(ISNUMBER(VLOOKUP($D41,'Visu totale'!$D:$DH,CK$1,0)),CJ41-VLOOKUP($D41,'Visu totale'!$D:$DH,CK$1,0),IF(LEFT(VLOOKUP($D41,'Visu totale'!$D:$DH,CK$1,0),1)="V",IF(CJ41&gt;=INDEX('[1]Définition Maintenances'!$G:$G,MATCH($A41,'[1]Définition Maintenances'!$K:$K,0)),CJ41,INDEX('[1]Définition Maintenances'!$G:$G,MATCH($A41,'[1]Définition Maintenances'!$K:$K,0))+CJ41),CJ41))</f>
        <v>1200</v>
      </c>
      <c r="CL41" s="25">
        <f>IF(ISNUMBER(VLOOKUP($D41,'Visu totale'!$D:$DH,CL$1,0)),CK41-VLOOKUP($D41,'Visu totale'!$D:$DH,CL$1,0),IF(LEFT(VLOOKUP($D41,'Visu totale'!$D:$DH,CL$1,0),1)="V",IF(CK41&gt;=INDEX('[1]Définition Maintenances'!$G:$G,MATCH($A41,'[1]Définition Maintenances'!$K:$K,0)),CK41,INDEX('[1]Définition Maintenances'!$G:$G,MATCH($A41,'[1]Définition Maintenances'!$K:$K,0))+CK41),CK41))</f>
        <v>1200</v>
      </c>
      <c r="CM41" s="26">
        <f>IF(ISNUMBER(VLOOKUP($D41,'Visu totale'!$D:$DH,CM$1,0)),CL41-VLOOKUP($D41,'Visu totale'!$D:$DH,CM$1,0),IF(LEFT(VLOOKUP($D41,'Visu totale'!$D:$DH,CM$1,0),1)="V",IF(CL41&gt;=INDEX('[1]Définition Maintenances'!$G:$G,MATCH($A41,'[1]Définition Maintenances'!$K:$K,0)),CL41,INDEX('[1]Définition Maintenances'!$G:$G,MATCH($A41,'[1]Définition Maintenances'!$K:$K,0))+CL41),CL41))</f>
        <v>1200</v>
      </c>
      <c r="CN41" s="26">
        <f>IF(ISNUMBER(VLOOKUP($D41,'Visu totale'!$D:$DH,CN$1,0)),CM41-VLOOKUP($D41,'Visu totale'!$D:$DH,CN$1,0),IF(LEFT(VLOOKUP($D41,'Visu totale'!$D:$DH,CN$1,0),1)="V",IF(CM41&gt;=INDEX('[1]Définition Maintenances'!$G:$G,MATCH($A41,'[1]Définition Maintenances'!$K:$K,0)),CM41,INDEX('[1]Définition Maintenances'!$G:$G,MATCH($A41,'[1]Définition Maintenances'!$K:$K,0))+CM41),CM41))</f>
        <v>1200</v>
      </c>
      <c r="CO41" s="26">
        <f>IF(ISNUMBER(VLOOKUP($D41,'Visu totale'!$D:$DH,CO$1,0)),CN41-VLOOKUP($D41,'Visu totale'!$D:$DH,CO$1,0),IF(LEFT(VLOOKUP($D41,'Visu totale'!$D:$DH,CO$1,0),1)="V",IF(CN41&gt;=INDEX('[1]Définition Maintenances'!$G:$G,MATCH($A41,'[1]Définition Maintenances'!$K:$K,0)),CN41,INDEX('[1]Définition Maintenances'!$G:$G,MATCH($A41,'[1]Définition Maintenances'!$K:$K,0))+CN41),CN41))</f>
        <v>1200</v>
      </c>
      <c r="CP41" s="26">
        <f>IF(ISNUMBER(VLOOKUP($D41,'Visu totale'!$D:$DH,CP$1,0)),CO41-VLOOKUP($D41,'Visu totale'!$D:$DH,CP$1,0),IF(LEFT(VLOOKUP($D41,'Visu totale'!$D:$DH,CP$1,0),1)="V",IF(CO41&gt;=INDEX('[1]Définition Maintenances'!$G:$G,MATCH($A41,'[1]Définition Maintenances'!$K:$K,0)),CO41,INDEX('[1]Définition Maintenances'!$G:$G,MATCH($A41,'[1]Définition Maintenances'!$K:$K,0))+CO41),CO41))</f>
        <v>1200</v>
      </c>
      <c r="CQ41" s="26">
        <f>IF(ISNUMBER(VLOOKUP($D41,'Visu totale'!$D:$DH,CQ$1,0)),CP41-VLOOKUP($D41,'Visu totale'!$D:$DH,CQ$1,0),IF(LEFT(VLOOKUP($D41,'Visu totale'!$D:$DH,CQ$1,0),1)="V",IF(CP41&gt;=INDEX('[1]Définition Maintenances'!$G:$G,MATCH($A41,'[1]Définition Maintenances'!$K:$K,0)),CP41,INDEX('[1]Définition Maintenances'!$G:$G,MATCH($A41,'[1]Définition Maintenances'!$K:$K,0))+CP41),CP41))</f>
        <v>1200</v>
      </c>
      <c r="CR41" s="26">
        <f>IF(ISNUMBER(VLOOKUP($D41,'Visu totale'!$D:$DH,CR$1,0)),CQ41-VLOOKUP($D41,'Visu totale'!$D:$DH,CR$1,0),IF(LEFT(VLOOKUP($D41,'Visu totale'!$D:$DH,CR$1,0),1)="V",IF(CQ41&gt;=INDEX('[1]Définition Maintenances'!$G:$G,MATCH($A41,'[1]Définition Maintenances'!$K:$K,0)),CQ41,INDEX('[1]Définition Maintenances'!$G:$G,MATCH($A41,'[1]Définition Maintenances'!$K:$K,0))+CQ41),CQ41))</f>
        <v>1200</v>
      </c>
      <c r="CS41" s="26">
        <f>IF(ISNUMBER(VLOOKUP($D41,'Visu totale'!$D:$DH,CS$1,0)),CR41-VLOOKUP($D41,'Visu totale'!$D:$DH,CS$1,0),IF(LEFT(VLOOKUP($D41,'Visu totale'!$D:$DH,CS$1,0),1)="V",IF(CR41&gt;=INDEX('[1]Définition Maintenances'!$G:$G,MATCH($A41,'[1]Définition Maintenances'!$K:$K,0)),CR41,INDEX('[1]Définition Maintenances'!$G:$G,MATCH($A41,'[1]Définition Maintenances'!$K:$K,0))+CR41),CR41))</f>
        <v>1200</v>
      </c>
      <c r="CT41" s="26">
        <f>IF(ISNUMBER(VLOOKUP($D41,'Visu totale'!$D:$DH,CT$1,0)),CS41-VLOOKUP($D41,'Visu totale'!$D:$DH,CT$1,0),IF(LEFT(VLOOKUP($D41,'Visu totale'!$D:$DH,CT$1,0),1)="V",IF(CS41&gt;=INDEX('[1]Définition Maintenances'!$G:$G,MATCH($A41,'[1]Définition Maintenances'!$K:$K,0)),CS41,INDEX('[1]Définition Maintenances'!$G:$G,MATCH($A41,'[1]Définition Maintenances'!$K:$K,0))+CS41),CS41))</f>
        <v>1200</v>
      </c>
      <c r="CU41" s="26">
        <f>IF(ISNUMBER(VLOOKUP($D41,'Visu totale'!$D:$DH,CU$1,0)),CT41-VLOOKUP($D41,'Visu totale'!$D:$DH,CU$1,0),IF(LEFT(VLOOKUP($D41,'Visu totale'!$D:$DH,CU$1,0),1)="V",IF(CT41&gt;=INDEX('[1]Définition Maintenances'!$G:$G,MATCH($A41,'[1]Définition Maintenances'!$K:$K,0)),CT41,INDEX('[1]Définition Maintenances'!$G:$G,MATCH($A41,'[1]Définition Maintenances'!$K:$K,0))+CT41),CT41))</f>
        <v>1200</v>
      </c>
      <c r="CV41" s="26">
        <f>IF(ISNUMBER(VLOOKUP($D41,'Visu totale'!$D:$DH,CV$1,0)),CU41-VLOOKUP($D41,'Visu totale'!$D:$DH,CV$1,0),IF(LEFT(VLOOKUP($D41,'Visu totale'!$D:$DH,CV$1,0),1)="V",IF(CU41&gt;=INDEX('[1]Définition Maintenances'!$G:$G,MATCH($A41,'[1]Définition Maintenances'!$K:$K,0)),CU41,INDEX('[1]Définition Maintenances'!$G:$G,MATCH($A41,'[1]Définition Maintenances'!$K:$K,0))+CU41),CU41))</f>
        <v>1200</v>
      </c>
      <c r="CW41" s="27">
        <f>IF(ISNUMBER(VLOOKUP($D41,'Visu totale'!$D:$DH,CW$1,0)),CV41-VLOOKUP($D41,'Visu totale'!$D:$DH,CW$1,0),IF(LEFT(VLOOKUP($D41,'Visu totale'!$D:$DH,CW$1,0),1)="V",IF(CV41&gt;=INDEX('[1]Définition Maintenances'!$G:$G,MATCH($A41,'[1]Définition Maintenances'!$K:$K,0)),CV41,INDEX('[1]Définition Maintenances'!$G:$G,MATCH($A41,'[1]Définition Maintenances'!$K:$K,0))+CV41),CV41))</f>
        <v>1200</v>
      </c>
      <c r="CX41" s="25">
        <f>IF(ISNUMBER(VLOOKUP($D41,'Visu totale'!$D:$DH,CX$1,0)),CW41-VLOOKUP($D41,'Visu totale'!$D:$DH,CX$1,0),IF(LEFT(VLOOKUP($D41,'Visu totale'!$D:$DH,CX$1,0),1)="V",IF(CW41&gt;=INDEX('[1]Définition Maintenances'!$G:$G,MATCH($A41,'[1]Définition Maintenances'!$K:$K,0)),CW41,INDEX('[1]Définition Maintenances'!$G:$G,MATCH($A41,'[1]Définition Maintenances'!$K:$K,0))+CW41),CW41))</f>
        <v>1200</v>
      </c>
      <c r="CY41" s="26">
        <f>IF(ISNUMBER(VLOOKUP($D41,'Visu totale'!$D:$DH,CY$1,0)),CX41-VLOOKUP($D41,'Visu totale'!$D:$DH,CY$1,0),IF(LEFT(VLOOKUP($D41,'Visu totale'!$D:$DH,CY$1,0),1)="V",IF(CX41&gt;=INDEX('[1]Définition Maintenances'!$G:$G,MATCH($A41,'[1]Définition Maintenances'!$K:$K,0)),CX41,INDEX('[1]Définition Maintenances'!$G:$G,MATCH($A41,'[1]Définition Maintenances'!$K:$K,0))+CX41),CX41))</f>
        <v>1200</v>
      </c>
      <c r="CZ41" s="26">
        <f>IF(ISNUMBER(VLOOKUP($D41,'Visu totale'!$D:$DH,CZ$1,0)),CY41-VLOOKUP($D41,'Visu totale'!$D:$DH,CZ$1,0),IF(LEFT(VLOOKUP($D41,'Visu totale'!$D:$DH,CZ$1,0),1)="V",IF(CY41&gt;=INDEX('[1]Définition Maintenances'!$G:$G,MATCH($A41,'[1]Définition Maintenances'!$K:$K,0)),CY41,INDEX('[1]Définition Maintenances'!$G:$G,MATCH($A41,'[1]Définition Maintenances'!$K:$K,0))+CY41),CY41))</f>
        <v>1200</v>
      </c>
      <c r="DA41" s="26">
        <f>IF(ISNUMBER(VLOOKUP($D41,'Visu totale'!$D:$DH,DA$1,0)),CZ41-VLOOKUP($D41,'Visu totale'!$D:$DH,DA$1,0),IF(LEFT(VLOOKUP($D41,'Visu totale'!$D:$DH,DA$1,0),1)="V",IF(CZ41&gt;=INDEX('[1]Définition Maintenances'!$G:$G,MATCH($A41,'[1]Définition Maintenances'!$K:$K,0)),CZ41,INDEX('[1]Définition Maintenances'!$G:$G,MATCH($A41,'[1]Définition Maintenances'!$K:$K,0))+CZ41),CZ41))</f>
        <v>1200</v>
      </c>
      <c r="DB41" s="26">
        <f>IF(ISNUMBER(VLOOKUP($D41,'Visu totale'!$D:$DH,DB$1,0)),DA41-VLOOKUP($D41,'Visu totale'!$D:$DH,DB$1,0),IF(LEFT(VLOOKUP($D41,'Visu totale'!$D:$DH,DB$1,0),1)="V",IF(DA41&gt;=INDEX('[1]Définition Maintenances'!$G:$G,MATCH($A41,'[1]Définition Maintenances'!$K:$K,0)),DA41,INDEX('[1]Définition Maintenances'!$G:$G,MATCH($A41,'[1]Définition Maintenances'!$K:$K,0))+DA41),DA41))</f>
        <v>1200</v>
      </c>
      <c r="DC41" s="26">
        <f>IF(ISNUMBER(VLOOKUP($D41,'Visu totale'!$D:$DH,DC$1,0)),DB41-VLOOKUP($D41,'Visu totale'!$D:$DH,DC$1,0),IF(LEFT(VLOOKUP($D41,'Visu totale'!$D:$DH,DC$1,0),1)="V",IF(DB41&gt;=INDEX('[1]Définition Maintenances'!$G:$G,MATCH($A41,'[1]Définition Maintenances'!$K:$K,0)),DB41,INDEX('[1]Définition Maintenances'!$G:$G,MATCH($A41,'[1]Définition Maintenances'!$K:$K,0))+DB41),DB41))</f>
        <v>1200</v>
      </c>
      <c r="DD41" s="26">
        <f>IF(ISNUMBER(VLOOKUP($D41,'Visu totale'!$D:$DH,DD$1,0)),DC41-VLOOKUP($D41,'Visu totale'!$D:$DH,DD$1,0),IF(LEFT(VLOOKUP($D41,'Visu totale'!$D:$DH,DD$1,0),1)="V",IF(DC41&gt;=INDEX('[1]Définition Maintenances'!$G:$G,MATCH($A41,'[1]Définition Maintenances'!$K:$K,0)),DC41,INDEX('[1]Définition Maintenances'!$G:$G,MATCH($A41,'[1]Définition Maintenances'!$K:$K,0))+DC41),DC41))</f>
        <v>1200</v>
      </c>
      <c r="DE41" s="26">
        <f>IF(ISNUMBER(VLOOKUP($D41,'Visu totale'!$D:$DH,DE$1,0)),DD41-VLOOKUP($D41,'Visu totale'!$D:$DH,DE$1,0),IF(LEFT(VLOOKUP($D41,'Visu totale'!$D:$DH,DE$1,0),1)="V",IF(DD41&gt;=INDEX('[1]Définition Maintenances'!$G:$G,MATCH($A41,'[1]Définition Maintenances'!$K:$K,0)),DD41,INDEX('[1]Définition Maintenances'!$G:$G,MATCH($A41,'[1]Définition Maintenances'!$K:$K,0))+DD41),DD41))</f>
        <v>1200</v>
      </c>
      <c r="DF41" s="26">
        <f>IF(ISNUMBER(VLOOKUP($D41,'Visu totale'!$D:$DH,DF$1,0)),DE41-VLOOKUP($D41,'Visu totale'!$D:$DH,DF$1,0),IF(LEFT(VLOOKUP($D41,'Visu totale'!$D:$DH,DF$1,0),1)="V",IF(DE41&gt;=INDEX('[1]Définition Maintenances'!$G:$G,MATCH($A41,'[1]Définition Maintenances'!$K:$K,0)),DE41,INDEX('[1]Définition Maintenances'!$G:$G,MATCH($A41,'[1]Définition Maintenances'!$K:$K,0))+DE41),DE41))</f>
        <v>1200</v>
      </c>
      <c r="DG41" s="26">
        <f>IF(ISNUMBER(VLOOKUP($D41,'Visu totale'!$D:$DH,DG$1,0)),DF41-VLOOKUP($D41,'Visu totale'!$D:$DH,DG$1,0),IF(LEFT(VLOOKUP($D41,'Visu totale'!$D:$DH,DG$1,0),1)="V",IF(DF41&gt;=INDEX('[1]Définition Maintenances'!$G:$G,MATCH($A41,'[1]Définition Maintenances'!$K:$K,0)),DF41,INDEX('[1]Définition Maintenances'!$G:$G,MATCH($A41,'[1]Définition Maintenances'!$K:$K,0))+DF41),DF41))</f>
        <v>1200</v>
      </c>
      <c r="DH41" s="26">
        <f>IF(ISNUMBER(VLOOKUP($D41,'Visu totale'!$D:$DH,DH$1,0)),DG41-VLOOKUP($D41,'Visu totale'!$D:$DH,DH$1,0),IF(LEFT(VLOOKUP($D41,'Visu totale'!$D:$DH,DH$1,0),1)="V",IF(DG41&gt;=INDEX('[1]Définition Maintenances'!$G:$G,MATCH($A41,'[1]Définition Maintenances'!$K:$K,0)),DG41,INDEX('[1]Définition Maintenances'!$G:$G,MATCH($A41,'[1]Définition Maintenances'!$K:$K,0))+DG41),DG41))</f>
        <v>1200</v>
      </c>
      <c r="DI41" s="27">
        <f>IF(ISNUMBER(VLOOKUP($D41,'Visu totale'!$D:$DH,DI$1,0)),DH41-VLOOKUP($D41,'Visu totale'!$D:$DH,DI$1,0),IF(LEFT(VLOOKUP($D41,'Visu totale'!$D:$DH,DI$1,0),1)="V",IF(DH41&gt;=INDEX('[1]Définition Maintenances'!$G:$G,MATCH($A41,'[1]Définition Maintenances'!$K:$K,0)),DH41,INDEX('[1]Définition Maintenances'!$G:$G,MATCH($A41,'[1]Définition Maintenances'!$K:$K,0))+DH41),DH41))</f>
        <v>1200</v>
      </c>
    </row>
    <row r="42" spans="1:113" x14ac:dyDescent="0.25">
      <c r="A42" s="13" t="str">
        <f t="shared" si="1"/>
        <v>V10D</v>
      </c>
      <c r="B42" s="13" t="str">
        <f>VLOOKUP(D42,'[1]Avions (Potentiels)'!$B$2:$H$128,7,FALSE)</f>
        <v>V10</v>
      </c>
      <c r="C42" s="13"/>
      <c r="D42" s="16" t="s">
        <v>45</v>
      </c>
      <c r="E42" s="13">
        <f>IFERROR(VALUE(SUBSTITUTE(VLOOKUP(D42,'[1]Avions (Potentiels)'!$B:$E,4,0),".",",")),VALUE(VLOOKUP(D42,'[1]Avions (Potentiels)'!$B:$E,4,0)))</f>
        <v>929</v>
      </c>
      <c r="F42" s="25">
        <f>IF(ISNUMBER(VLOOKUP($D42,'Visu totale'!$D:$DH,F$1,0)),E42-VLOOKUP($D42,'Visu totale'!$D:$DH,F$1,0),IF(LEFT(VLOOKUP($D42,'Visu totale'!$D:$DH,F$1,0),1)="V",IF(E42&gt;=INDEX('[1]Définition Maintenances'!$G:$G,MATCH($A42,'[1]Définition Maintenances'!$K:$K,0)),E42,INDEX('[1]Définition Maintenances'!$G:$G,MATCH($A42,'[1]Définition Maintenances'!$K:$K,0))+E42),E42))</f>
        <v>929</v>
      </c>
      <c r="G42" s="26">
        <f>IF(ISNUMBER(VLOOKUP($D42,'Visu totale'!$D:$DH,G$1,0)),F42-VLOOKUP($D42,'Visu totale'!$D:$DH,G$1,0),IF(LEFT(VLOOKUP($D42,'Visu totale'!$D:$DH,G$1,0),1)="V",IF(F42&gt;=INDEX('[1]Définition Maintenances'!$G:$G,MATCH($A42,'[1]Définition Maintenances'!$K:$K,0)),F42,INDEX('[1]Définition Maintenances'!$G:$G,MATCH($A42,'[1]Définition Maintenances'!$K:$K,0))+F42),F42))</f>
        <v>929</v>
      </c>
      <c r="H42" s="26">
        <f>IF(ISNUMBER(VLOOKUP($D42,'Visu totale'!$D:$DH,H$1,0)),G42-VLOOKUP($D42,'Visu totale'!$D:$DH,H$1,0),IF(LEFT(VLOOKUP($D42,'Visu totale'!$D:$DH,H$1,0),1)="V",IF(G42&gt;=INDEX('[1]Définition Maintenances'!$G:$G,MATCH($A42,'[1]Définition Maintenances'!$K:$K,0)),G42,INDEX('[1]Définition Maintenances'!$G:$G,MATCH($A42,'[1]Définition Maintenances'!$K:$K,0))+G42),G42))</f>
        <v>929</v>
      </c>
      <c r="I42" s="26">
        <f>IF(ISNUMBER(VLOOKUP($D42,'Visu totale'!$D:$DH,I$1,0)),H42-VLOOKUP($D42,'Visu totale'!$D:$DH,I$1,0),IF(LEFT(VLOOKUP($D42,'Visu totale'!$D:$DH,I$1,0),1)="V",IF(H42&gt;=INDEX('[1]Définition Maintenances'!$G:$G,MATCH($A42,'[1]Définition Maintenances'!$K:$K,0)),H42,INDEX('[1]Définition Maintenances'!$G:$G,MATCH($A42,'[1]Définition Maintenances'!$K:$K,0))+H42),H42))</f>
        <v>929</v>
      </c>
      <c r="J42" s="26">
        <f>IF(ISNUMBER(VLOOKUP($D42,'Visu totale'!$D:$DH,J$1,0)),I42-VLOOKUP($D42,'Visu totale'!$D:$DH,J$1,0),IF(LEFT(VLOOKUP($D42,'Visu totale'!$D:$DH,J$1,0),1)="V",IF(I42&gt;=INDEX('[1]Définition Maintenances'!$G:$G,MATCH($A42,'[1]Définition Maintenances'!$K:$K,0)),I42,INDEX('[1]Définition Maintenances'!$G:$G,MATCH($A42,'[1]Définition Maintenances'!$K:$K,0))+I42),I42))</f>
        <v>929</v>
      </c>
      <c r="K42" s="26">
        <f>IF(ISNUMBER(VLOOKUP($D42,'Visu totale'!$D:$DH,K$1,0)),J42-VLOOKUP($D42,'Visu totale'!$D:$DH,K$1,0),IF(LEFT(VLOOKUP($D42,'Visu totale'!$D:$DH,K$1,0),1)="V",IF(J42&gt;=INDEX('[1]Définition Maintenances'!$G:$G,MATCH($A42,'[1]Définition Maintenances'!$K:$K,0)),J42,INDEX('[1]Définition Maintenances'!$G:$G,MATCH($A42,'[1]Définition Maintenances'!$K:$K,0))+J42),J42))</f>
        <v>929</v>
      </c>
      <c r="L42" s="26">
        <f>IF(ISNUMBER(VLOOKUP($D42,'Visu totale'!$D:$DH,L$1,0)),K42-VLOOKUP($D42,'Visu totale'!$D:$DH,L$1,0),IF(LEFT(VLOOKUP($D42,'Visu totale'!$D:$DH,L$1,0),1)="V",IF(K42&gt;=INDEX('[1]Définition Maintenances'!$G:$G,MATCH($A42,'[1]Définition Maintenances'!$K:$K,0)),K42,INDEX('[1]Définition Maintenances'!$G:$G,MATCH($A42,'[1]Définition Maintenances'!$K:$K,0))+K42),K42))</f>
        <v>929</v>
      </c>
      <c r="M42" s="26">
        <f>IF(ISNUMBER(VLOOKUP($D42,'Visu totale'!$D:$DH,M$1,0)),L42-VLOOKUP($D42,'Visu totale'!$D:$DH,M$1,0),IF(LEFT(VLOOKUP($D42,'Visu totale'!$D:$DH,M$1,0),1)="V",IF(L42&gt;=INDEX('[1]Définition Maintenances'!$G:$G,MATCH($A42,'[1]Définition Maintenances'!$K:$K,0)),L42,INDEX('[1]Définition Maintenances'!$G:$G,MATCH($A42,'[1]Définition Maintenances'!$K:$K,0))+L42),L42))</f>
        <v>929</v>
      </c>
      <c r="N42" s="26">
        <f>IF(ISNUMBER(VLOOKUP($D42,'Visu totale'!$D:$DH,N$1,0)),M42-VLOOKUP($D42,'Visu totale'!$D:$DH,N$1,0),IF(LEFT(VLOOKUP($D42,'Visu totale'!$D:$DH,N$1,0),1)="V",IF(M42&gt;=INDEX('[1]Définition Maintenances'!$G:$G,MATCH($A42,'[1]Définition Maintenances'!$K:$K,0)),M42,INDEX('[1]Définition Maintenances'!$G:$G,MATCH($A42,'[1]Définition Maintenances'!$K:$K,0))+M42),M42))</f>
        <v>929</v>
      </c>
      <c r="O42" s="26">
        <f>IF(ISNUMBER(VLOOKUP($D42,'Visu totale'!$D:$DH,O$1,0)),N42-VLOOKUP($D42,'Visu totale'!$D:$DH,O$1,0),IF(LEFT(VLOOKUP($D42,'Visu totale'!$D:$DH,O$1,0),1)="V",IF(N42&gt;=INDEX('[1]Définition Maintenances'!$G:$G,MATCH($A42,'[1]Définition Maintenances'!$K:$K,0)),N42,INDEX('[1]Définition Maintenances'!$G:$G,MATCH($A42,'[1]Définition Maintenances'!$K:$K,0))+N42),N42))</f>
        <v>929</v>
      </c>
      <c r="P42" s="26">
        <f>IF(ISNUMBER(VLOOKUP($D42,'Visu totale'!$D:$DH,P$1,0)),O42-VLOOKUP($D42,'Visu totale'!$D:$DH,P$1,0),IF(LEFT(VLOOKUP($D42,'Visu totale'!$D:$DH,P$1,0),1)="V",IF(O42&gt;=INDEX('[1]Définition Maintenances'!$G:$G,MATCH($A42,'[1]Définition Maintenances'!$K:$K,0)),O42,INDEX('[1]Définition Maintenances'!$G:$G,MATCH($A42,'[1]Définition Maintenances'!$K:$K,0))+O42),O42))</f>
        <v>929</v>
      </c>
      <c r="Q42" s="27">
        <f>IF(ISNUMBER(VLOOKUP($D42,'Visu totale'!$D:$DH,Q$1,0)),P42-VLOOKUP($D42,'Visu totale'!$D:$DH,Q$1,0),IF(LEFT(VLOOKUP($D42,'Visu totale'!$D:$DH,Q$1,0),1)="V",IF(P42&gt;=INDEX('[1]Définition Maintenances'!$G:$G,MATCH($A42,'[1]Définition Maintenances'!$K:$K,0)),P42,INDEX('[1]Définition Maintenances'!$G:$G,MATCH($A42,'[1]Définition Maintenances'!$K:$K,0))+P42),P42))</f>
        <v>929</v>
      </c>
      <c r="R42" s="25">
        <f>IF(ISNUMBER(VLOOKUP($D42,'Visu totale'!$D:$DH,R$1,0)),Q42-VLOOKUP($D42,'Visu totale'!$D:$DH,R$1,0),IF(LEFT(VLOOKUP($D42,'Visu totale'!$D:$DH,R$1,0),1)="V",IF(Q42&gt;=INDEX('[1]Définition Maintenances'!$G:$G,MATCH($A42,'[1]Définition Maintenances'!$K:$K,0)),Q42,INDEX('[1]Définition Maintenances'!$G:$G,MATCH($A42,'[1]Définition Maintenances'!$K:$K,0))+Q42),Q42))</f>
        <v>929</v>
      </c>
      <c r="S42" s="26">
        <f>IF(ISNUMBER(VLOOKUP($D42,'Visu totale'!$D:$DH,S$1,0)),R42-VLOOKUP($D42,'Visu totale'!$D:$DH,S$1,0),IF(LEFT(VLOOKUP($D42,'Visu totale'!$D:$DH,S$1,0),1)="V",IF(R42&gt;=INDEX('[1]Définition Maintenances'!$G:$G,MATCH($A42,'[1]Définition Maintenances'!$K:$K,0)),R42,INDEX('[1]Définition Maintenances'!$G:$G,MATCH($A42,'[1]Définition Maintenances'!$K:$K,0))+R42),R42))</f>
        <v>929</v>
      </c>
      <c r="T42" s="26">
        <f>IF(ISNUMBER(VLOOKUP($D42,'Visu totale'!$D:$DH,T$1,0)),S42-VLOOKUP($D42,'Visu totale'!$D:$DH,T$1,0),IF(LEFT(VLOOKUP($D42,'Visu totale'!$D:$DH,T$1,0),1)="V",IF(S42&gt;=INDEX('[1]Définition Maintenances'!$G:$G,MATCH($A42,'[1]Définition Maintenances'!$K:$K,0)),S42,INDEX('[1]Définition Maintenances'!$G:$G,MATCH($A42,'[1]Définition Maintenances'!$K:$K,0))+S42),S42))</f>
        <v>929</v>
      </c>
      <c r="U42" s="26">
        <f>IF(ISNUMBER(VLOOKUP($D42,'Visu totale'!$D:$DH,U$1,0)),T42-VLOOKUP($D42,'Visu totale'!$D:$DH,U$1,0),IF(LEFT(VLOOKUP($D42,'Visu totale'!$D:$DH,U$1,0),1)="V",IF(T42&gt;=INDEX('[1]Définition Maintenances'!$G:$G,MATCH($A42,'[1]Définition Maintenances'!$K:$K,0)),T42,INDEX('[1]Définition Maintenances'!$G:$G,MATCH($A42,'[1]Définition Maintenances'!$K:$K,0))+T42),T42))</f>
        <v>929</v>
      </c>
      <c r="V42" s="26">
        <f>IF(ISNUMBER(VLOOKUP($D42,'Visu totale'!$D:$DH,V$1,0)),U42-VLOOKUP($D42,'Visu totale'!$D:$DH,V$1,0),IF(LEFT(VLOOKUP($D42,'Visu totale'!$D:$DH,V$1,0),1)="V",IF(U42&gt;=INDEX('[1]Définition Maintenances'!$G:$G,MATCH($A42,'[1]Définition Maintenances'!$K:$K,0)),U42,INDEX('[1]Définition Maintenances'!$G:$G,MATCH($A42,'[1]Définition Maintenances'!$K:$K,0))+U42),U42))</f>
        <v>929</v>
      </c>
      <c r="W42" s="26">
        <f>IF(ISNUMBER(VLOOKUP($D42,'Visu totale'!$D:$DH,W$1,0)),V42-VLOOKUP($D42,'Visu totale'!$D:$DH,W$1,0),IF(LEFT(VLOOKUP($D42,'Visu totale'!$D:$DH,W$1,0),1)="V",IF(V42&gt;=INDEX('[1]Définition Maintenances'!$G:$G,MATCH($A42,'[1]Définition Maintenances'!$K:$K,0)),V42,INDEX('[1]Définition Maintenances'!$G:$G,MATCH($A42,'[1]Définition Maintenances'!$K:$K,0))+V42),V42))</f>
        <v>929</v>
      </c>
      <c r="X42" s="26">
        <f>IF(ISNUMBER(VLOOKUP($D42,'Visu totale'!$D:$DH,X$1,0)),W42-VLOOKUP($D42,'Visu totale'!$D:$DH,X$1,0),IF(LEFT(VLOOKUP($D42,'Visu totale'!$D:$DH,X$1,0),1)="V",IF(W42&gt;=INDEX('[1]Définition Maintenances'!$G:$G,MATCH($A42,'[1]Définition Maintenances'!$K:$K,0)),W42,INDEX('[1]Définition Maintenances'!$G:$G,MATCH($A42,'[1]Définition Maintenances'!$K:$K,0))+W42),W42))</f>
        <v>929</v>
      </c>
      <c r="Y42" s="26">
        <f>IF(ISNUMBER(VLOOKUP($D42,'Visu totale'!$D:$DH,Y$1,0)),X42-VLOOKUP($D42,'Visu totale'!$D:$DH,Y$1,0),IF(LEFT(VLOOKUP($D42,'Visu totale'!$D:$DH,Y$1,0),1)="V",IF(X42&gt;=INDEX('[1]Définition Maintenances'!$G:$G,MATCH($A42,'[1]Définition Maintenances'!$K:$K,0)),X42,INDEX('[1]Définition Maintenances'!$G:$G,MATCH($A42,'[1]Définition Maintenances'!$K:$K,0))+X42),X42))</f>
        <v>929</v>
      </c>
      <c r="Z42" s="26">
        <f>IF(ISNUMBER(VLOOKUP($D42,'Visu totale'!$D:$DH,Z$1,0)),Y42-VLOOKUP($D42,'Visu totale'!$D:$DH,Z$1,0),IF(LEFT(VLOOKUP($D42,'Visu totale'!$D:$DH,Z$1,0),1)="V",IF(Y42&gt;=INDEX('[1]Définition Maintenances'!$G:$G,MATCH($A42,'[1]Définition Maintenances'!$K:$K,0)),Y42,INDEX('[1]Définition Maintenances'!$G:$G,MATCH($A42,'[1]Définition Maintenances'!$K:$K,0))+Y42),Y42))</f>
        <v>929</v>
      </c>
      <c r="AA42" s="26">
        <f>IF(ISNUMBER(VLOOKUP($D42,'Visu totale'!$D:$DH,AA$1,0)),Z42-VLOOKUP($D42,'Visu totale'!$D:$DH,AA$1,0),IF(LEFT(VLOOKUP($D42,'Visu totale'!$D:$DH,AA$1,0),1)="V",IF(Z42&gt;=INDEX('[1]Définition Maintenances'!$G:$G,MATCH($A42,'[1]Définition Maintenances'!$K:$K,0)),Z42,INDEX('[1]Définition Maintenances'!$G:$G,MATCH($A42,'[1]Définition Maintenances'!$K:$K,0))+Z42),Z42))</f>
        <v>929</v>
      </c>
      <c r="AB42" s="26">
        <f>IF(ISNUMBER(VLOOKUP($D42,'Visu totale'!$D:$DH,AB$1,0)),AA42-VLOOKUP($D42,'Visu totale'!$D:$DH,AB$1,0),IF(LEFT(VLOOKUP($D42,'Visu totale'!$D:$DH,AB$1,0),1)="V",IF(AA42&gt;=INDEX('[1]Définition Maintenances'!$G:$G,MATCH($A42,'[1]Définition Maintenances'!$K:$K,0)),AA42,INDEX('[1]Définition Maintenances'!$G:$G,MATCH($A42,'[1]Définition Maintenances'!$K:$K,0))+AA42),AA42))</f>
        <v>929</v>
      </c>
      <c r="AC42" s="27">
        <f>IF(ISNUMBER(VLOOKUP($D42,'Visu totale'!$D:$DH,AC$1,0)),AB42-VLOOKUP($D42,'Visu totale'!$D:$DH,AC$1,0),IF(LEFT(VLOOKUP($D42,'Visu totale'!$D:$DH,AC$1,0),1)="V",IF(AB42&gt;=INDEX('[1]Définition Maintenances'!$G:$G,MATCH($A42,'[1]Définition Maintenances'!$K:$K,0)),AB42,INDEX('[1]Définition Maintenances'!$G:$G,MATCH($A42,'[1]Définition Maintenances'!$K:$K,0))+AB42),AB42))</f>
        <v>929</v>
      </c>
      <c r="AD42" s="25">
        <f>IF(ISNUMBER(VLOOKUP($D42,'Visu totale'!$D:$DH,AD$1,0)),AC42-VLOOKUP($D42,'Visu totale'!$D:$DH,AD$1,0),IF(LEFT(VLOOKUP($D42,'Visu totale'!$D:$DH,AD$1,0),1)="V",IF(AC42&gt;=INDEX('[1]Définition Maintenances'!$G:$G,MATCH($A42,'[1]Définition Maintenances'!$K:$K,0)),AC42,INDEX('[1]Définition Maintenances'!$G:$G,MATCH($A42,'[1]Définition Maintenances'!$K:$K,0))+AC42),AC42))</f>
        <v>929</v>
      </c>
      <c r="AE42" s="26">
        <f>IF(ISNUMBER(VLOOKUP($D42,'Visu totale'!$D:$DH,AE$1,0)),AD42-VLOOKUP($D42,'Visu totale'!$D:$DH,AE$1,0),IF(LEFT(VLOOKUP($D42,'Visu totale'!$D:$DH,AE$1,0),1)="V",IF(AD42&gt;=INDEX('[1]Définition Maintenances'!$G:$G,MATCH($A42,'[1]Définition Maintenances'!$K:$K,0)),AD42,INDEX('[1]Définition Maintenances'!$G:$G,MATCH($A42,'[1]Définition Maintenances'!$K:$K,0))+AD42),AD42))</f>
        <v>929</v>
      </c>
      <c r="AF42" s="26">
        <f>IF(ISNUMBER(VLOOKUP($D42,'Visu totale'!$D:$DH,AF$1,0)),AE42-VLOOKUP($D42,'Visu totale'!$D:$DH,AF$1,0),IF(LEFT(VLOOKUP($D42,'Visu totale'!$D:$DH,AF$1,0),1)="V",IF(AE42&gt;=INDEX('[1]Définition Maintenances'!$G:$G,MATCH($A42,'[1]Définition Maintenances'!$K:$K,0)),AE42,INDEX('[1]Définition Maintenances'!$G:$G,MATCH($A42,'[1]Définition Maintenances'!$K:$K,0))+AE42),AE42))</f>
        <v>929</v>
      </c>
      <c r="AG42" s="26">
        <f>IF(ISNUMBER(VLOOKUP($D42,'Visu totale'!$D:$DH,AG$1,0)),AF42-VLOOKUP($D42,'Visu totale'!$D:$DH,AG$1,0),IF(LEFT(VLOOKUP($D42,'Visu totale'!$D:$DH,AG$1,0),1)="V",IF(AF42&gt;=INDEX('[1]Définition Maintenances'!$G:$G,MATCH($A42,'[1]Définition Maintenances'!$K:$K,0)),AF42,INDEX('[1]Définition Maintenances'!$G:$G,MATCH($A42,'[1]Définition Maintenances'!$K:$K,0))+AF42),AF42))</f>
        <v>929</v>
      </c>
      <c r="AH42" s="26">
        <f>IF(ISNUMBER(VLOOKUP($D42,'Visu totale'!$D:$DH,AH$1,0)),AG42-VLOOKUP($D42,'Visu totale'!$D:$DH,AH$1,0),IF(LEFT(VLOOKUP($D42,'Visu totale'!$D:$DH,AH$1,0),1)="V",IF(AG42&gt;=INDEX('[1]Définition Maintenances'!$G:$G,MATCH($A42,'[1]Définition Maintenances'!$K:$K,0)),AG42,INDEX('[1]Définition Maintenances'!$G:$G,MATCH($A42,'[1]Définition Maintenances'!$K:$K,0))+AG42),AG42))</f>
        <v>929</v>
      </c>
      <c r="AI42" s="26">
        <f>IF(ISNUMBER(VLOOKUP($D42,'Visu totale'!$D:$DH,AI$1,0)),AH42-VLOOKUP($D42,'Visu totale'!$D:$DH,AI$1,0),IF(LEFT(VLOOKUP($D42,'Visu totale'!$D:$DH,AI$1,0),1)="V",IF(AH42&gt;=INDEX('[1]Définition Maintenances'!$G:$G,MATCH($A42,'[1]Définition Maintenances'!$K:$K,0)),AH42,INDEX('[1]Définition Maintenances'!$G:$G,MATCH($A42,'[1]Définition Maintenances'!$K:$K,0))+AH42),AH42))</f>
        <v>929</v>
      </c>
      <c r="AJ42" s="26">
        <f>IF(ISNUMBER(VLOOKUP($D42,'Visu totale'!$D:$DH,AJ$1,0)),AI42-VLOOKUP($D42,'Visu totale'!$D:$DH,AJ$1,0),IF(LEFT(VLOOKUP($D42,'Visu totale'!$D:$DH,AJ$1,0),1)="V",IF(AI42&gt;=INDEX('[1]Définition Maintenances'!$G:$G,MATCH($A42,'[1]Définition Maintenances'!$K:$K,0)),AI42,INDEX('[1]Définition Maintenances'!$G:$G,MATCH($A42,'[1]Définition Maintenances'!$K:$K,0))+AI42),AI42))</f>
        <v>929</v>
      </c>
      <c r="AK42" s="26">
        <f>IF(ISNUMBER(VLOOKUP($D42,'Visu totale'!$D:$DH,AK$1,0)),AJ42-VLOOKUP($D42,'Visu totale'!$D:$DH,AK$1,0),IF(LEFT(VLOOKUP($D42,'Visu totale'!$D:$DH,AK$1,0),1)="V",IF(AJ42&gt;=INDEX('[1]Définition Maintenances'!$G:$G,MATCH($A42,'[1]Définition Maintenances'!$K:$K,0)),AJ42,INDEX('[1]Définition Maintenances'!$G:$G,MATCH($A42,'[1]Définition Maintenances'!$K:$K,0))+AJ42),AJ42))</f>
        <v>929</v>
      </c>
      <c r="AL42" s="26">
        <f>IF(ISNUMBER(VLOOKUP($D42,'Visu totale'!$D:$DH,AL$1,0)),AK42-VLOOKUP($D42,'Visu totale'!$D:$DH,AL$1,0),IF(LEFT(VLOOKUP($D42,'Visu totale'!$D:$DH,AL$1,0),1)="V",IF(AK42&gt;=INDEX('[1]Définition Maintenances'!$G:$G,MATCH($A42,'[1]Définition Maintenances'!$K:$K,0)),AK42,INDEX('[1]Définition Maintenances'!$G:$G,MATCH($A42,'[1]Définition Maintenances'!$K:$K,0))+AK42),AK42))</f>
        <v>929</v>
      </c>
      <c r="AM42" s="26">
        <f>IF(ISNUMBER(VLOOKUP($D42,'Visu totale'!$D:$DH,AM$1,0)),AL42-VLOOKUP($D42,'Visu totale'!$D:$DH,AM$1,0),IF(LEFT(VLOOKUP($D42,'Visu totale'!$D:$DH,AM$1,0),1)="V",IF(AL42&gt;=INDEX('[1]Définition Maintenances'!$G:$G,MATCH($A42,'[1]Définition Maintenances'!$K:$K,0)),AL42,INDEX('[1]Définition Maintenances'!$G:$G,MATCH($A42,'[1]Définition Maintenances'!$K:$K,0))+AL42),AL42))</f>
        <v>929</v>
      </c>
      <c r="AN42" s="26">
        <f>IF(ISNUMBER(VLOOKUP($D42,'Visu totale'!$D:$DH,AN$1,0)),AM42-VLOOKUP($D42,'Visu totale'!$D:$DH,AN$1,0),IF(LEFT(VLOOKUP($D42,'Visu totale'!$D:$DH,AN$1,0),1)="V",IF(AM42&gt;=INDEX('[1]Définition Maintenances'!$G:$G,MATCH($A42,'[1]Définition Maintenances'!$K:$K,0)),AM42,INDEX('[1]Définition Maintenances'!$G:$G,MATCH($A42,'[1]Définition Maintenances'!$K:$K,0))+AM42),AM42))</f>
        <v>929</v>
      </c>
      <c r="AO42" s="27">
        <f>IF(ISNUMBER(VLOOKUP($D42,'Visu totale'!$D:$DH,AO$1,0)),AN42-VLOOKUP($D42,'Visu totale'!$D:$DH,AO$1,0),IF(LEFT(VLOOKUP($D42,'Visu totale'!$D:$DH,AO$1,0),1)="V",IF(AN42&gt;=INDEX('[1]Définition Maintenances'!$G:$G,MATCH($A42,'[1]Définition Maintenances'!$K:$K,0)),AN42,INDEX('[1]Définition Maintenances'!$G:$G,MATCH($A42,'[1]Définition Maintenances'!$K:$K,0))+AN42),AN42))</f>
        <v>929</v>
      </c>
      <c r="AP42" s="25">
        <f>IF(ISNUMBER(VLOOKUP($D42,'Visu totale'!$D:$DH,AP$1,0)),AO42-VLOOKUP($D42,'Visu totale'!$D:$DH,AP$1,0),IF(LEFT(VLOOKUP($D42,'Visu totale'!$D:$DH,AP$1,0),1)="V",IF(AO42&gt;=INDEX('[1]Définition Maintenances'!$G:$G,MATCH($A42,'[1]Définition Maintenances'!$K:$K,0)),AO42,INDEX('[1]Définition Maintenances'!$G:$G,MATCH($A42,'[1]Définition Maintenances'!$K:$K,0))+AO42),AO42))</f>
        <v>929</v>
      </c>
      <c r="AQ42" s="26">
        <f>IF(ISNUMBER(VLOOKUP($D42,'Visu totale'!$D:$DH,AQ$1,0)),AP42-VLOOKUP($D42,'Visu totale'!$D:$DH,AQ$1,0),IF(LEFT(VLOOKUP($D42,'Visu totale'!$D:$DH,AQ$1,0),1)="V",IF(AP42&gt;=INDEX('[1]Définition Maintenances'!$G:$G,MATCH($A42,'[1]Définition Maintenances'!$K:$K,0)),AP42,INDEX('[1]Définition Maintenances'!$G:$G,MATCH($A42,'[1]Définition Maintenances'!$K:$K,0))+AP42),AP42))</f>
        <v>929</v>
      </c>
      <c r="AR42" s="26">
        <f>IF(ISNUMBER(VLOOKUP($D42,'Visu totale'!$D:$DH,AR$1,0)),AQ42-VLOOKUP($D42,'Visu totale'!$D:$DH,AR$1,0),IF(LEFT(VLOOKUP($D42,'Visu totale'!$D:$DH,AR$1,0),1)="V",IF(AQ42&gt;=INDEX('[1]Définition Maintenances'!$G:$G,MATCH($A42,'[1]Définition Maintenances'!$K:$K,0)),AQ42,INDEX('[1]Définition Maintenances'!$G:$G,MATCH($A42,'[1]Définition Maintenances'!$K:$K,0))+AQ42),AQ42))</f>
        <v>929</v>
      </c>
      <c r="AS42" s="26">
        <f>IF(ISNUMBER(VLOOKUP($D42,'Visu totale'!$D:$DH,AS$1,0)),AR42-VLOOKUP($D42,'Visu totale'!$D:$DH,AS$1,0),IF(LEFT(VLOOKUP($D42,'Visu totale'!$D:$DH,AS$1,0),1)="V",IF(AR42&gt;=INDEX('[1]Définition Maintenances'!$G:$G,MATCH($A42,'[1]Définition Maintenances'!$K:$K,0)),AR42,INDEX('[1]Définition Maintenances'!$G:$G,MATCH($A42,'[1]Définition Maintenances'!$K:$K,0))+AR42),AR42))</f>
        <v>929</v>
      </c>
      <c r="AT42" s="26">
        <f>IF(ISNUMBER(VLOOKUP($D42,'Visu totale'!$D:$DH,AT$1,0)),AS42-VLOOKUP($D42,'Visu totale'!$D:$DH,AT$1,0),IF(LEFT(VLOOKUP($D42,'Visu totale'!$D:$DH,AT$1,0),1)="V",IF(AS42&gt;=INDEX('[1]Définition Maintenances'!$G:$G,MATCH($A42,'[1]Définition Maintenances'!$K:$K,0)),AS42,INDEX('[1]Définition Maintenances'!$G:$G,MATCH($A42,'[1]Définition Maintenances'!$K:$K,0))+AS42),AS42))</f>
        <v>929</v>
      </c>
      <c r="AU42" s="26">
        <f>IF(ISNUMBER(VLOOKUP($D42,'Visu totale'!$D:$DH,AU$1,0)),AT42-VLOOKUP($D42,'Visu totale'!$D:$DH,AU$1,0),IF(LEFT(VLOOKUP($D42,'Visu totale'!$D:$DH,AU$1,0),1)="V",IF(AT42&gt;=INDEX('[1]Définition Maintenances'!$G:$G,MATCH($A42,'[1]Définition Maintenances'!$K:$K,0)),AT42,INDEX('[1]Définition Maintenances'!$G:$G,MATCH($A42,'[1]Définition Maintenances'!$K:$K,0))+AT42),AT42))</f>
        <v>929</v>
      </c>
      <c r="AV42" s="26">
        <f>IF(ISNUMBER(VLOOKUP($D42,'Visu totale'!$D:$DH,AV$1,0)),AU42-VLOOKUP($D42,'Visu totale'!$D:$DH,AV$1,0),IF(LEFT(VLOOKUP($D42,'Visu totale'!$D:$DH,AV$1,0),1)="V",IF(AU42&gt;=INDEX('[1]Définition Maintenances'!$G:$G,MATCH($A42,'[1]Définition Maintenances'!$K:$K,0)),AU42,INDEX('[1]Définition Maintenances'!$G:$G,MATCH($A42,'[1]Définition Maintenances'!$K:$K,0))+AU42),AU42))</f>
        <v>929</v>
      </c>
      <c r="AW42" s="26">
        <f>IF(ISNUMBER(VLOOKUP($D42,'Visu totale'!$D:$DH,AW$1,0)),AV42-VLOOKUP($D42,'Visu totale'!$D:$DH,AW$1,0),IF(LEFT(VLOOKUP($D42,'Visu totale'!$D:$DH,AW$1,0),1)="V",IF(AV42&gt;=INDEX('[1]Définition Maintenances'!$G:$G,MATCH($A42,'[1]Définition Maintenances'!$K:$K,0)),AV42,INDEX('[1]Définition Maintenances'!$G:$G,MATCH($A42,'[1]Définition Maintenances'!$K:$K,0))+AV42),AV42))</f>
        <v>929</v>
      </c>
      <c r="AX42" s="26">
        <f>IF(ISNUMBER(VLOOKUP($D42,'Visu totale'!$D:$DH,AX$1,0)),AW42-VLOOKUP($D42,'Visu totale'!$D:$DH,AX$1,0),IF(LEFT(VLOOKUP($D42,'Visu totale'!$D:$DH,AX$1,0),1)="V",IF(AW42&gt;=INDEX('[1]Définition Maintenances'!$G:$G,MATCH($A42,'[1]Définition Maintenances'!$K:$K,0)),AW42,INDEX('[1]Définition Maintenances'!$G:$G,MATCH($A42,'[1]Définition Maintenances'!$K:$K,0))+AW42),AW42))</f>
        <v>929</v>
      </c>
      <c r="AY42" s="26">
        <f>IF(ISNUMBER(VLOOKUP($D42,'Visu totale'!$D:$DH,AY$1,0)),AX42-VLOOKUP($D42,'Visu totale'!$D:$DH,AY$1,0),IF(LEFT(VLOOKUP($D42,'Visu totale'!$D:$DH,AY$1,0),1)="V",IF(AX42&gt;=INDEX('[1]Définition Maintenances'!$G:$G,MATCH($A42,'[1]Définition Maintenances'!$K:$K,0)),AX42,INDEX('[1]Définition Maintenances'!$G:$G,MATCH($A42,'[1]Définition Maintenances'!$K:$K,0))+AX42),AX42))</f>
        <v>929</v>
      </c>
      <c r="AZ42" s="26">
        <f>IF(ISNUMBER(VLOOKUP($D42,'Visu totale'!$D:$DH,AZ$1,0)),AY42-VLOOKUP($D42,'Visu totale'!$D:$DH,AZ$1,0),IF(LEFT(VLOOKUP($D42,'Visu totale'!$D:$DH,AZ$1,0),1)="V",IF(AY42&gt;=INDEX('[1]Définition Maintenances'!$G:$G,MATCH($A42,'[1]Définition Maintenances'!$K:$K,0)),AY42,INDEX('[1]Définition Maintenances'!$G:$G,MATCH($A42,'[1]Définition Maintenances'!$K:$K,0))+AY42),AY42))</f>
        <v>929</v>
      </c>
      <c r="BA42" s="27">
        <f>IF(ISNUMBER(VLOOKUP($D42,'Visu totale'!$D:$DH,BA$1,0)),AZ42-VLOOKUP($D42,'Visu totale'!$D:$DH,BA$1,0),IF(LEFT(VLOOKUP($D42,'Visu totale'!$D:$DH,BA$1,0),1)="V",IF(AZ42&gt;=INDEX('[1]Définition Maintenances'!$G:$G,MATCH($A42,'[1]Définition Maintenances'!$K:$K,0)),AZ42,INDEX('[1]Définition Maintenances'!$G:$G,MATCH($A42,'[1]Définition Maintenances'!$K:$K,0))+AZ42),AZ42))</f>
        <v>929</v>
      </c>
      <c r="BB42" s="25">
        <f>IF(ISNUMBER(VLOOKUP($D42,'Visu totale'!$D:$DH,BB$1,0)),BA42-VLOOKUP($D42,'Visu totale'!$D:$DH,BB$1,0),IF(LEFT(VLOOKUP($D42,'Visu totale'!$D:$DH,BB$1,0),1)="V",IF(BA42&gt;=INDEX('[1]Définition Maintenances'!$G:$G,MATCH($A42,'[1]Définition Maintenances'!$K:$K,0)),BA42,INDEX('[1]Définition Maintenances'!$G:$G,MATCH($A42,'[1]Définition Maintenances'!$K:$K,0))+BA42),BA42))</f>
        <v>929</v>
      </c>
      <c r="BC42" s="26">
        <f>IF(ISNUMBER(VLOOKUP($D42,'Visu totale'!$D:$DH,BC$1,0)),BB42-VLOOKUP($D42,'Visu totale'!$D:$DH,BC$1,0),IF(LEFT(VLOOKUP($D42,'Visu totale'!$D:$DH,BC$1,0),1)="V",IF(BB42&gt;=INDEX('[1]Définition Maintenances'!$G:$G,MATCH($A42,'[1]Définition Maintenances'!$K:$K,0)),BB42,INDEX('[1]Définition Maintenances'!$G:$G,MATCH($A42,'[1]Définition Maintenances'!$K:$K,0))+BB42),BB42))</f>
        <v>929</v>
      </c>
      <c r="BD42" s="26">
        <f>IF(ISNUMBER(VLOOKUP($D42,'Visu totale'!$D:$DH,BD$1,0)),BC42-VLOOKUP($D42,'Visu totale'!$D:$DH,BD$1,0),IF(LEFT(VLOOKUP($D42,'Visu totale'!$D:$DH,BD$1,0),1)="V",IF(BC42&gt;=INDEX('[1]Définition Maintenances'!$G:$G,MATCH($A42,'[1]Définition Maintenances'!$K:$K,0)),BC42,INDEX('[1]Définition Maintenances'!$G:$G,MATCH($A42,'[1]Définition Maintenances'!$K:$K,0))+BC42),BC42))</f>
        <v>929</v>
      </c>
      <c r="BE42" s="26">
        <f>IF(ISNUMBER(VLOOKUP($D42,'Visu totale'!$D:$DH,BE$1,0)),BD42-VLOOKUP($D42,'Visu totale'!$D:$DH,BE$1,0),IF(LEFT(VLOOKUP($D42,'Visu totale'!$D:$DH,BE$1,0),1)="V",IF(BD42&gt;=INDEX('[1]Définition Maintenances'!$G:$G,MATCH($A42,'[1]Définition Maintenances'!$K:$K,0)),BD42,INDEX('[1]Définition Maintenances'!$G:$G,MATCH($A42,'[1]Définition Maintenances'!$K:$K,0))+BD42),BD42))</f>
        <v>929</v>
      </c>
      <c r="BF42" s="26">
        <f>IF(ISNUMBER(VLOOKUP($D42,'Visu totale'!$D:$DH,BF$1,0)),BE42-VLOOKUP($D42,'Visu totale'!$D:$DH,BF$1,0),IF(LEFT(VLOOKUP($D42,'Visu totale'!$D:$DH,BF$1,0),1)="V",IF(BE42&gt;=INDEX('[1]Définition Maintenances'!$G:$G,MATCH($A42,'[1]Définition Maintenances'!$K:$K,0)),BE42,INDEX('[1]Définition Maintenances'!$G:$G,MATCH($A42,'[1]Définition Maintenances'!$K:$K,0))+BE42),BE42))</f>
        <v>929</v>
      </c>
      <c r="BG42" s="26">
        <f>IF(ISNUMBER(VLOOKUP($D42,'Visu totale'!$D:$DH,BG$1,0)),BF42-VLOOKUP($D42,'Visu totale'!$D:$DH,BG$1,0),IF(LEFT(VLOOKUP($D42,'Visu totale'!$D:$DH,BG$1,0),1)="V",IF(BF42&gt;=INDEX('[1]Définition Maintenances'!$G:$G,MATCH($A42,'[1]Définition Maintenances'!$K:$K,0)),BF42,INDEX('[1]Définition Maintenances'!$G:$G,MATCH($A42,'[1]Définition Maintenances'!$K:$K,0))+BF42),BF42))</f>
        <v>929</v>
      </c>
      <c r="BH42" s="26">
        <f>IF(ISNUMBER(VLOOKUP($D42,'Visu totale'!$D:$DH,BH$1,0)),BG42-VLOOKUP($D42,'Visu totale'!$D:$DH,BH$1,0),IF(LEFT(VLOOKUP($D42,'Visu totale'!$D:$DH,BH$1,0),1)="V",IF(BG42&gt;=INDEX('[1]Définition Maintenances'!$G:$G,MATCH($A42,'[1]Définition Maintenances'!$K:$K,0)),BG42,INDEX('[1]Définition Maintenances'!$G:$G,MATCH($A42,'[1]Définition Maintenances'!$K:$K,0))+BG42),BG42))</f>
        <v>929</v>
      </c>
      <c r="BI42" s="26">
        <f>IF(ISNUMBER(VLOOKUP($D42,'Visu totale'!$D:$DH,BI$1,0)),BH42-VLOOKUP($D42,'Visu totale'!$D:$DH,BI$1,0),IF(LEFT(VLOOKUP($D42,'Visu totale'!$D:$DH,BI$1,0),1)="V",IF(BH42&gt;=INDEX('[1]Définition Maintenances'!$G:$G,MATCH($A42,'[1]Définition Maintenances'!$K:$K,0)),BH42,INDEX('[1]Définition Maintenances'!$G:$G,MATCH($A42,'[1]Définition Maintenances'!$K:$K,0))+BH42),BH42))</f>
        <v>929</v>
      </c>
      <c r="BJ42" s="26">
        <f>IF(ISNUMBER(VLOOKUP($D42,'Visu totale'!$D:$DH,BJ$1,0)),BI42-VLOOKUP($D42,'Visu totale'!$D:$DH,BJ$1,0),IF(LEFT(VLOOKUP($D42,'Visu totale'!$D:$DH,BJ$1,0),1)="V",IF(BI42&gt;=INDEX('[1]Définition Maintenances'!$G:$G,MATCH($A42,'[1]Définition Maintenances'!$K:$K,0)),BI42,INDEX('[1]Définition Maintenances'!$G:$G,MATCH($A42,'[1]Définition Maintenances'!$K:$K,0))+BI42),BI42))</f>
        <v>929</v>
      </c>
      <c r="BK42" s="26">
        <f>IF(ISNUMBER(VLOOKUP($D42,'Visu totale'!$D:$DH,BK$1,0)),BJ42-VLOOKUP($D42,'Visu totale'!$D:$DH,BK$1,0),IF(LEFT(VLOOKUP($D42,'Visu totale'!$D:$DH,BK$1,0),1)="V",IF(BJ42&gt;=INDEX('[1]Définition Maintenances'!$G:$G,MATCH($A42,'[1]Définition Maintenances'!$K:$K,0)),BJ42,INDEX('[1]Définition Maintenances'!$G:$G,MATCH($A42,'[1]Définition Maintenances'!$K:$K,0))+BJ42),BJ42))</f>
        <v>929</v>
      </c>
      <c r="BL42" s="26">
        <f>IF(ISNUMBER(VLOOKUP($D42,'Visu totale'!$D:$DH,BL$1,0)),BK42-VLOOKUP($D42,'Visu totale'!$D:$DH,BL$1,0),IF(LEFT(VLOOKUP($D42,'Visu totale'!$D:$DH,BL$1,0),1)="V",IF(BK42&gt;=INDEX('[1]Définition Maintenances'!$G:$G,MATCH($A42,'[1]Définition Maintenances'!$K:$K,0)),BK42,INDEX('[1]Définition Maintenances'!$G:$G,MATCH($A42,'[1]Définition Maintenances'!$K:$K,0))+BK42),BK42))</f>
        <v>929</v>
      </c>
      <c r="BM42" s="27">
        <f>IF(ISNUMBER(VLOOKUP($D42,'Visu totale'!$D:$DH,BM$1,0)),BL42-VLOOKUP($D42,'Visu totale'!$D:$DH,BM$1,0),IF(LEFT(VLOOKUP($D42,'Visu totale'!$D:$DH,BM$1,0),1)="V",IF(BL42&gt;=INDEX('[1]Définition Maintenances'!$G:$G,MATCH($A42,'[1]Définition Maintenances'!$K:$K,0)),BL42,INDEX('[1]Définition Maintenances'!$G:$G,MATCH($A42,'[1]Définition Maintenances'!$K:$K,0))+BL42),BL42))</f>
        <v>929</v>
      </c>
      <c r="BN42" s="25">
        <f>IF(ISNUMBER(VLOOKUP($D42,'Visu totale'!$D:$DH,BN$1,0)),BM42-VLOOKUP($D42,'Visu totale'!$D:$DH,BN$1,0),IF(LEFT(VLOOKUP($D42,'Visu totale'!$D:$DH,BN$1,0),1)="V",IF(BM42&gt;=INDEX('[1]Définition Maintenances'!$G:$G,MATCH($A42,'[1]Définition Maintenances'!$K:$K,0)),BM42,INDEX('[1]Définition Maintenances'!$G:$G,MATCH($A42,'[1]Définition Maintenances'!$K:$K,0))+BM42),BM42))</f>
        <v>929</v>
      </c>
      <c r="BO42" s="26">
        <f>IF(ISNUMBER(VLOOKUP($D42,'Visu totale'!$D:$DH,BO$1,0)),BN42-VLOOKUP($D42,'Visu totale'!$D:$DH,BO$1,0),IF(LEFT(VLOOKUP($D42,'Visu totale'!$D:$DH,BO$1,0),1)="V",IF(BN42&gt;=INDEX('[1]Définition Maintenances'!$G:$G,MATCH($A42,'[1]Définition Maintenances'!$K:$K,0)),BN42,INDEX('[1]Définition Maintenances'!$G:$G,MATCH($A42,'[1]Définition Maintenances'!$K:$K,0))+BN42),BN42))</f>
        <v>929</v>
      </c>
      <c r="BP42" s="26">
        <f>IF(ISNUMBER(VLOOKUP($D42,'Visu totale'!$D:$DH,BP$1,0)),BO42-VLOOKUP($D42,'Visu totale'!$D:$DH,BP$1,0),IF(LEFT(VLOOKUP($D42,'Visu totale'!$D:$DH,BP$1,0),1)="V",IF(BO42&gt;=INDEX('[1]Définition Maintenances'!$G:$G,MATCH($A42,'[1]Définition Maintenances'!$K:$K,0)),BO42,INDEX('[1]Définition Maintenances'!$G:$G,MATCH($A42,'[1]Définition Maintenances'!$K:$K,0))+BO42),BO42))</f>
        <v>929</v>
      </c>
      <c r="BQ42" s="26">
        <f>IF(ISNUMBER(VLOOKUP($D42,'Visu totale'!$D:$DH,BQ$1,0)),BP42-VLOOKUP($D42,'Visu totale'!$D:$DH,BQ$1,0),IF(LEFT(VLOOKUP($D42,'Visu totale'!$D:$DH,BQ$1,0),1)="V",IF(BP42&gt;=INDEX('[1]Définition Maintenances'!$G:$G,MATCH($A42,'[1]Définition Maintenances'!$K:$K,0)),BP42,INDEX('[1]Définition Maintenances'!$G:$G,MATCH($A42,'[1]Définition Maintenances'!$K:$K,0))+BP42),BP42))</f>
        <v>929</v>
      </c>
      <c r="BR42" s="26">
        <f>IF(ISNUMBER(VLOOKUP($D42,'Visu totale'!$D:$DH,BR$1,0)),BQ42-VLOOKUP($D42,'Visu totale'!$D:$DH,BR$1,0),IF(LEFT(VLOOKUP($D42,'Visu totale'!$D:$DH,BR$1,0),1)="V",IF(BQ42&gt;=INDEX('[1]Définition Maintenances'!$G:$G,MATCH($A42,'[1]Définition Maintenances'!$K:$K,0)),BQ42,INDEX('[1]Définition Maintenances'!$G:$G,MATCH($A42,'[1]Définition Maintenances'!$K:$K,0))+BQ42),BQ42))</f>
        <v>929</v>
      </c>
      <c r="BS42" s="26">
        <f>IF(ISNUMBER(VLOOKUP($D42,'Visu totale'!$D:$DH,BS$1,0)),BR42-VLOOKUP($D42,'Visu totale'!$D:$DH,BS$1,0),IF(LEFT(VLOOKUP($D42,'Visu totale'!$D:$DH,BS$1,0),1)="V",IF(BR42&gt;=INDEX('[1]Définition Maintenances'!$G:$G,MATCH($A42,'[1]Définition Maintenances'!$K:$K,0)),BR42,INDEX('[1]Définition Maintenances'!$G:$G,MATCH($A42,'[1]Définition Maintenances'!$K:$K,0))+BR42),BR42))</f>
        <v>929</v>
      </c>
      <c r="BT42" s="26">
        <f>IF(ISNUMBER(VLOOKUP($D42,'Visu totale'!$D:$DH,BT$1,0)),BS42-VLOOKUP($D42,'Visu totale'!$D:$DH,BT$1,0),IF(LEFT(VLOOKUP($D42,'Visu totale'!$D:$DH,BT$1,0),1)="V",IF(BS42&gt;=INDEX('[1]Définition Maintenances'!$G:$G,MATCH($A42,'[1]Définition Maintenances'!$K:$K,0)),BS42,INDEX('[1]Définition Maintenances'!$G:$G,MATCH($A42,'[1]Définition Maintenances'!$K:$K,0))+BS42),BS42))</f>
        <v>929</v>
      </c>
      <c r="BU42" s="26">
        <f>IF(ISNUMBER(VLOOKUP($D42,'Visu totale'!$D:$DH,BU$1,0)),BT42-VLOOKUP($D42,'Visu totale'!$D:$DH,BU$1,0),IF(LEFT(VLOOKUP($D42,'Visu totale'!$D:$DH,BU$1,0),1)="V",IF(BT42&gt;=INDEX('[1]Définition Maintenances'!$G:$G,MATCH($A42,'[1]Définition Maintenances'!$K:$K,0)),BT42,INDEX('[1]Définition Maintenances'!$G:$G,MATCH($A42,'[1]Définition Maintenances'!$K:$K,0))+BT42),BT42))</f>
        <v>929</v>
      </c>
      <c r="BV42" s="26">
        <f>IF(ISNUMBER(VLOOKUP($D42,'Visu totale'!$D:$DH,BV$1,0)),BU42-VLOOKUP($D42,'Visu totale'!$D:$DH,BV$1,0),IF(LEFT(VLOOKUP($D42,'Visu totale'!$D:$DH,BV$1,0),1)="V",IF(BU42&gt;=INDEX('[1]Définition Maintenances'!$G:$G,MATCH($A42,'[1]Définition Maintenances'!$K:$K,0)),BU42,INDEX('[1]Définition Maintenances'!$G:$G,MATCH($A42,'[1]Définition Maintenances'!$K:$K,0))+BU42),BU42))</f>
        <v>929</v>
      </c>
      <c r="BW42" s="26">
        <f>IF(ISNUMBER(VLOOKUP($D42,'Visu totale'!$D:$DH,BW$1,0)),BV42-VLOOKUP($D42,'Visu totale'!$D:$DH,BW$1,0),IF(LEFT(VLOOKUP($D42,'Visu totale'!$D:$DH,BW$1,0),1)="V",IF(BV42&gt;=INDEX('[1]Définition Maintenances'!$G:$G,MATCH($A42,'[1]Définition Maintenances'!$K:$K,0)),BV42,INDEX('[1]Définition Maintenances'!$G:$G,MATCH($A42,'[1]Définition Maintenances'!$K:$K,0))+BV42),BV42))</f>
        <v>929</v>
      </c>
      <c r="BX42" s="26">
        <f>IF(ISNUMBER(VLOOKUP($D42,'Visu totale'!$D:$DH,BX$1,0)),BW42-VLOOKUP($D42,'Visu totale'!$D:$DH,BX$1,0),IF(LEFT(VLOOKUP($D42,'Visu totale'!$D:$DH,BX$1,0),1)="V",IF(BW42&gt;=INDEX('[1]Définition Maintenances'!$G:$G,MATCH($A42,'[1]Définition Maintenances'!$K:$K,0)),BW42,INDEX('[1]Définition Maintenances'!$G:$G,MATCH($A42,'[1]Définition Maintenances'!$K:$K,0))+BW42),BW42))</f>
        <v>929</v>
      </c>
      <c r="BY42" s="27">
        <f>IF(ISNUMBER(VLOOKUP($D42,'Visu totale'!$D:$DH,BY$1,0)),BX42-VLOOKUP($D42,'Visu totale'!$D:$DH,BY$1,0),IF(LEFT(VLOOKUP($D42,'Visu totale'!$D:$DH,BY$1,0),1)="V",IF(BX42&gt;=INDEX('[1]Définition Maintenances'!$G:$G,MATCH($A42,'[1]Définition Maintenances'!$K:$K,0)),BX42,INDEX('[1]Définition Maintenances'!$G:$G,MATCH($A42,'[1]Définition Maintenances'!$K:$K,0))+BX42),BX42))</f>
        <v>929</v>
      </c>
      <c r="BZ42" s="25">
        <f>IF(ISNUMBER(VLOOKUP($D42,'Visu totale'!$D:$DH,BZ$1,0)),BY42-VLOOKUP($D42,'Visu totale'!$D:$DH,BZ$1,0),IF(LEFT(VLOOKUP($D42,'Visu totale'!$D:$DH,BZ$1,0),1)="V",IF(BY42&gt;=INDEX('[1]Définition Maintenances'!$G:$G,MATCH($A42,'[1]Définition Maintenances'!$K:$K,0)),BY42,INDEX('[1]Définition Maintenances'!$G:$G,MATCH($A42,'[1]Définition Maintenances'!$K:$K,0))+BY42),BY42))</f>
        <v>929</v>
      </c>
      <c r="CA42" s="26">
        <f>IF(ISNUMBER(VLOOKUP($D42,'Visu totale'!$D:$DH,CA$1,0)),BZ42-VLOOKUP($D42,'Visu totale'!$D:$DH,CA$1,0),IF(LEFT(VLOOKUP($D42,'Visu totale'!$D:$DH,CA$1,0),1)="V",IF(BZ42&gt;=INDEX('[1]Définition Maintenances'!$G:$G,MATCH($A42,'[1]Définition Maintenances'!$K:$K,0)),BZ42,INDEX('[1]Définition Maintenances'!$G:$G,MATCH($A42,'[1]Définition Maintenances'!$K:$K,0))+BZ42),BZ42))</f>
        <v>929</v>
      </c>
      <c r="CB42" s="26">
        <f>IF(ISNUMBER(VLOOKUP($D42,'Visu totale'!$D:$DH,CB$1,0)),CA42-VLOOKUP($D42,'Visu totale'!$D:$DH,CB$1,0),IF(LEFT(VLOOKUP($D42,'Visu totale'!$D:$DH,CB$1,0),1)="V",IF(CA42&gt;=INDEX('[1]Définition Maintenances'!$G:$G,MATCH($A42,'[1]Définition Maintenances'!$K:$K,0)),CA42,INDEX('[1]Définition Maintenances'!$G:$G,MATCH($A42,'[1]Définition Maintenances'!$K:$K,0))+CA42),CA42))</f>
        <v>929</v>
      </c>
      <c r="CC42" s="26">
        <f>IF(ISNUMBER(VLOOKUP($D42,'Visu totale'!$D:$DH,CC$1,0)),CB42-VLOOKUP($D42,'Visu totale'!$D:$DH,CC$1,0),IF(LEFT(VLOOKUP($D42,'Visu totale'!$D:$DH,CC$1,0),1)="V",IF(CB42&gt;=INDEX('[1]Définition Maintenances'!$G:$G,MATCH($A42,'[1]Définition Maintenances'!$K:$K,0)),CB42,INDEX('[1]Définition Maintenances'!$G:$G,MATCH($A42,'[1]Définition Maintenances'!$K:$K,0))+CB42),CB42))</f>
        <v>929</v>
      </c>
      <c r="CD42" s="26">
        <f>IF(ISNUMBER(VLOOKUP($D42,'Visu totale'!$D:$DH,CD$1,0)),CC42-VLOOKUP($D42,'Visu totale'!$D:$DH,CD$1,0),IF(LEFT(VLOOKUP($D42,'Visu totale'!$D:$DH,CD$1,0),1)="V",IF(CC42&gt;=INDEX('[1]Définition Maintenances'!$G:$G,MATCH($A42,'[1]Définition Maintenances'!$K:$K,0)),CC42,INDEX('[1]Définition Maintenances'!$G:$G,MATCH($A42,'[1]Définition Maintenances'!$K:$K,0))+CC42),CC42))</f>
        <v>929</v>
      </c>
      <c r="CE42" s="26">
        <f>IF(ISNUMBER(VLOOKUP($D42,'Visu totale'!$D:$DH,CE$1,0)),CD42-VLOOKUP($D42,'Visu totale'!$D:$DH,CE$1,0),IF(LEFT(VLOOKUP($D42,'Visu totale'!$D:$DH,CE$1,0),1)="V",IF(CD42&gt;=INDEX('[1]Définition Maintenances'!$G:$G,MATCH($A42,'[1]Définition Maintenances'!$K:$K,0)),CD42,INDEX('[1]Définition Maintenances'!$G:$G,MATCH($A42,'[1]Définition Maintenances'!$K:$K,0))+CD42),CD42))</f>
        <v>929</v>
      </c>
      <c r="CF42" s="26">
        <f>IF(ISNUMBER(VLOOKUP($D42,'Visu totale'!$D:$DH,CF$1,0)),CE42-VLOOKUP($D42,'Visu totale'!$D:$DH,CF$1,0),IF(LEFT(VLOOKUP($D42,'Visu totale'!$D:$DH,CF$1,0),1)="V",IF(CE42&gt;=INDEX('[1]Définition Maintenances'!$G:$G,MATCH($A42,'[1]Définition Maintenances'!$K:$K,0)),CE42,INDEX('[1]Définition Maintenances'!$G:$G,MATCH($A42,'[1]Définition Maintenances'!$K:$K,0))+CE42),CE42))</f>
        <v>929</v>
      </c>
      <c r="CG42" s="26">
        <f>IF(ISNUMBER(VLOOKUP($D42,'Visu totale'!$D:$DH,CG$1,0)),CF42-VLOOKUP($D42,'Visu totale'!$D:$DH,CG$1,0),IF(LEFT(VLOOKUP($D42,'Visu totale'!$D:$DH,CG$1,0),1)="V",IF(CF42&gt;=INDEX('[1]Définition Maintenances'!$G:$G,MATCH($A42,'[1]Définition Maintenances'!$K:$K,0)),CF42,INDEX('[1]Définition Maintenances'!$G:$G,MATCH($A42,'[1]Définition Maintenances'!$K:$K,0))+CF42),CF42))</f>
        <v>929</v>
      </c>
      <c r="CH42" s="26">
        <f>IF(ISNUMBER(VLOOKUP($D42,'Visu totale'!$D:$DH,CH$1,0)),CG42-VLOOKUP($D42,'Visu totale'!$D:$DH,CH$1,0),IF(LEFT(VLOOKUP($D42,'Visu totale'!$D:$DH,CH$1,0),1)="V",IF(CG42&gt;=INDEX('[1]Définition Maintenances'!$G:$G,MATCH($A42,'[1]Définition Maintenances'!$K:$K,0)),CG42,INDEX('[1]Définition Maintenances'!$G:$G,MATCH($A42,'[1]Définition Maintenances'!$K:$K,0))+CG42),CG42))</f>
        <v>929</v>
      </c>
      <c r="CI42" s="26">
        <f>IF(ISNUMBER(VLOOKUP($D42,'Visu totale'!$D:$DH,CI$1,0)),CH42-VLOOKUP($D42,'Visu totale'!$D:$DH,CI$1,0),IF(LEFT(VLOOKUP($D42,'Visu totale'!$D:$DH,CI$1,0),1)="V",IF(CH42&gt;=INDEX('[1]Définition Maintenances'!$G:$G,MATCH($A42,'[1]Définition Maintenances'!$K:$K,0)),CH42,INDEX('[1]Définition Maintenances'!$G:$G,MATCH($A42,'[1]Définition Maintenances'!$K:$K,0))+CH42),CH42))</f>
        <v>929</v>
      </c>
      <c r="CJ42" s="26">
        <f>IF(ISNUMBER(VLOOKUP($D42,'Visu totale'!$D:$DH,CJ$1,0)),CI42-VLOOKUP($D42,'Visu totale'!$D:$DH,CJ$1,0),IF(LEFT(VLOOKUP($D42,'Visu totale'!$D:$DH,CJ$1,0),1)="V",IF(CI42&gt;=INDEX('[1]Définition Maintenances'!$G:$G,MATCH($A42,'[1]Définition Maintenances'!$K:$K,0)),CI42,INDEX('[1]Définition Maintenances'!$G:$G,MATCH($A42,'[1]Définition Maintenances'!$K:$K,0))+CI42),CI42))</f>
        <v>929</v>
      </c>
      <c r="CK42" s="27">
        <f>IF(ISNUMBER(VLOOKUP($D42,'Visu totale'!$D:$DH,CK$1,0)),CJ42-VLOOKUP($D42,'Visu totale'!$D:$DH,CK$1,0),IF(LEFT(VLOOKUP($D42,'Visu totale'!$D:$DH,CK$1,0),1)="V",IF(CJ42&gt;=INDEX('[1]Définition Maintenances'!$G:$G,MATCH($A42,'[1]Définition Maintenances'!$K:$K,0)),CJ42,INDEX('[1]Définition Maintenances'!$G:$G,MATCH($A42,'[1]Définition Maintenances'!$K:$K,0))+CJ42),CJ42))</f>
        <v>929</v>
      </c>
      <c r="CL42" s="25">
        <f>IF(ISNUMBER(VLOOKUP($D42,'Visu totale'!$D:$DH,CL$1,0)),CK42-VLOOKUP($D42,'Visu totale'!$D:$DH,CL$1,0),IF(LEFT(VLOOKUP($D42,'Visu totale'!$D:$DH,CL$1,0),1)="V",IF(CK42&gt;=INDEX('[1]Définition Maintenances'!$G:$G,MATCH($A42,'[1]Définition Maintenances'!$K:$K,0)),CK42,INDEX('[1]Définition Maintenances'!$G:$G,MATCH($A42,'[1]Définition Maintenances'!$K:$K,0))+CK42),CK42))</f>
        <v>929</v>
      </c>
      <c r="CM42" s="26">
        <f>IF(ISNUMBER(VLOOKUP($D42,'Visu totale'!$D:$DH,CM$1,0)),CL42-VLOOKUP($D42,'Visu totale'!$D:$DH,CM$1,0),IF(LEFT(VLOOKUP($D42,'Visu totale'!$D:$DH,CM$1,0),1)="V",IF(CL42&gt;=INDEX('[1]Définition Maintenances'!$G:$G,MATCH($A42,'[1]Définition Maintenances'!$K:$K,0)),CL42,INDEX('[1]Définition Maintenances'!$G:$G,MATCH($A42,'[1]Définition Maintenances'!$K:$K,0))+CL42),CL42))</f>
        <v>929</v>
      </c>
      <c r="CN42" s="26">
        <f>IF(ISNUMBER(VLOOKUP($D42,'Visu totale'!$D:$DH,CN$1,0)),CM42-VLOOKUP($D42,'Visu totale'!$D:$DH,CN$1,0),IF(LEFT(VLOOKUP($D42,'Visu totale'!$D:$DH,CN$1,0),1)="V",IF(CM42&gt;=INDEX('[1]Définition Maintenances'!$G:$G,MATCH($A42,'[1]Définition Maintenances'!$K:$K,0)),CM42,INDEX('[1]Définition Maintenances'!$G:$G,MATCH($A42,'[1]Définition Maintenances'!$K:$K,0))+CM42),CM42))</f>
        <v>929</v>
      </c>
      <c r="CO42" s="26">
        <f>IF(ISNUMBER(VLOOKUP($D42,'Visu totale'!$D:$DH,CO$1,0)),CN42-VLOOKUP($D42,'Visu totale'!$D:$DH,CO$1,0),IF(LEFT(VLOOKUP($D42,'Visu totale'!$D:$DH,CO$1,0),1)="V",IF(CN42&gt;=INDEX('[1]Définition Maintenances'!$G:$G,MATCH($A42,'[1]Définition Maintenances'!$K:$K,0)),CN42,INDEX('[1]Définition Maintenances'!$G:$G,MATCH($A42,'[1]Définition Maintenances'!$K:$K,0))+CN42),CN42))</f>
        <v>929</v>
      </c>
      <c r="CP42" s="26">
        <f>IF(ISNUMBER(VLOOKUP($D42,'Visu totale'!$D:$DH,CP$1,0)),CO42-VLOOKUP($D42,'Visu totale'!$D:$DH,CP$1,0),IF(LEFT(VLOOKUP($D42,'Visu totale'!$D:$DH,CP$1,0),1)="V",IF(CO42&gt;=INDEX('[1]Définition Maintenances'!$G:$G,MATCH($A42,'[1]Définition Maintenances'!$K:$K,0)),CO42,INDEX('[1]Définition Maintenances'!$G:$G,MATCH($A42,'[1]Définition Maintenances'!$K:$K,0))+CO42),CO42))</f>
        <v>929</v>
      </c>
      <c r="CQ42" s="26">
        <f>IF(ISNUMBER(VLOOKUP($D42,'Visu totale'!$D:$DH,CQ$1,0)),CP42-VLOOKUP($D42,'Visu totale'!$D:$DH,CQ$1,0),IF(LEFT(VLOOKUP($D42,'Visu totale'!$D:$DH,CQ$1,0),1)="V",IF(CP42&gt;=INDEX('[1]Définition Maintenances'!$G:$G,MATCH($A42,'[1]Définition Maintenances'!$K:$K,0)),CP42,INDEX('[1]Définition Maintenances'!$G:$G,MATCH($A42,'[1]Définition Maintenances'!$K:$K,0))+CP42),CP42))</f>
        <v>929</v>
      </c>
      <c r="CR42" s="26">
        <f>IF(ISNUMBER(VLOOKUP($D42,'Visu totale'!$D:$DH,CR$1,0)),CQ42-VLOOKUP($D42,'Visu totale'!$D:$DH,CR$1,0),IF(LEFT(VLOOKUP($D42,'Visu totale'!$D:$DH,CR$1,0),1)="V",IF(CQ42&gt;=INDEX('[1]Définition Maintenances'!$G:$G,MATCH($A42,'[1]Définition Maintenances'!$K:$K,0)),CQ42,INDEX('[1]Définition Maintenances'!$G:$G,MATCH($A42,'[1]Définition Maintenances'!$K:$K,0))+CQ42),CQ42))</f>
        <v>929</v>
      </c>
      <c r="CS42" s="26">
        <f>IF(ISNUMBER(VLOOKUP($D42,'Visu totale'!$D:$DH,CS$1,0)),CR42-VLOOKUP($D42,'Visu totale'!$D:$DH,CS$1,0),IF(LEFT(VLOOKUP($D42,'Visu totale'!$D:$DH,CS$1,0),1)="V",IF(CR42&gt;=INDEX('[1]Définition Maintenances'!$G:$G,MATCH($A42,'[1]Définition Maintenances'!$K:$K,0)),CR42,INDEX('[1]Définition Maintenances'!$G:$G,MATCH($A42,'[1]Définition Maintenances'!$K:$K,0))+CR42),CR42))</f>
        <v>929</v>
      </c>
      <c r="CT42" s="26">
        <f>IF(ISNUMBER(VLOOKUP($D42,'Visu totale'!$D:$DH,CT$1,0)),CS42-VLOOKUP($D42,'Visu totale'!$D:$DH,CT$1,0),IF(LEFT(VLOOKUP($D42,'Visu totale'!$D:$DH,CT$1,0),1)="V",IF(CS42&gt;=INDEX('[1]Définition Maintenances'!$G:$G,MATCH($A42,'[1]Définition Maintenances'!$K:$K,0)),CS42,INDEX('[1]Définition Maintenances'!$G:$G,MATCH($A42,'[1]Définition Maintenances'!$K:$K,0))+CS42),CS42))</f>
        <v>929</v>
      </c>
      <c r="CU42" s="26">
        <f>IF(ISNUMBER(VLOOKUP($D42,'Visu totale'!$D:$DH,CU$1,0)),CT42-VLOOKUP($D42,'Visu totale'!$D:$DH,CU$1,0),IF(LEFT(VLOOKUP($D42,'Visu totale'!$D:$DH,CU$1,0),1)="V",IF(CT42&gt;=INDEX('[1]Définition Maintenances'!$G:$G,MATCH($A42,'[1]Définition Maintenances'!$K:$K,0)),CT42,INDEX('[1]Définition Maintenances'!$G:$G,MATCH($A42,'[1]Définition Maintenances'!$K:$K,0))+CT42),CT42))</f>
        <v>929</v>
      </c>
      <c r="CV42" s="26">
        <f>IF(ISNUMBER(VLOOKUP($D42,'Visu totale'!$D:$DH,CV$1,0)),CU42-VLOOKUP($D42,'Visu totale'!$D:$DH,CV$1,0),IF(LEFT(VLOOKUP($D42,'Visu totale'!$D:$DH,CV$1,0),1)="V",IF(CU42&gt;=INDEX('[1]Définition Maintenances'!$G:$G,MATCH($A42,'[1]Définition Maintenances'!$K:$K,0)),CU42,INDEX('[1]Définition Maintenances'!$G:$G,MATCH($A42,'[1]Définition Maintenances'!$K:$K,0))+CU42),CU42))</f>
        <v>929</v>
      </c>
      <c r="CW42" s="27">
        <f>IF(ISNUMBER(VLOOKUP($D42,'Visu totale'!$D:$DH,CW$1,0)),CV42-VLOOKUP($D42,'Visu totale'!$D:$DH,CW$1,0),IF(LEFT(VLOOKUP($D42,'Visu totale'!$D:$DH,CW$1,0),1)="V",IF(CV42&gt;=INDEX('[1]Définition Maintenances'!$G:$G,MATCH($A42,'[1]Définition Maintenances'!$K:$K,0)),CV42,INDEX('[1]Définition Maintenances'!$G:$G,MATCH($A42,'[1]Définition Maintenances'!$K:$K,0))+CV42),CV42))</f>
        <v>929</v>
      </c>
      <c r="CX42" s="25">
        <f>IF(ISNUMBER(VLOOKUP($D42,'Visu totale'!$D:$DH,CX$1,0)),CW42-VLOOKUP($D42,'Visu totale'!$D:$DH,CX$1,0),IF(LEFT(VLOOKUP($D42,'Visu totale'!$D:$DH,CX$1,0),1)="V",IF(CW42&gt;=INDEX('[1]Définition Maintenances'!$G:$G,MATCH($A42,'[1]Définition Maintenances'!$K:$K,0)),CW42,INDEX('[1]Définition Maintenances'!$G:$G,MATCH($A42,'[1]Définition Maintenances'!$K:$K,0))+CW42),CW42))</f>
        <v>929</v>
      </c>
      <c r="CY42" s="26">
        <f>IF(ISNUMBER(VLOOKUP($D42,'Visu totale'!$D:$DH,CY$1,0)),CX42-VLOOKUP($D42,'Visu totale'!$D:$DH,CY$1,0),IF(LEFT(VLOOKUP($D42,'Visu totale'!$D:$DH,CY$1,0),1)="V",IF(CX42&gt;=INDEX('[1]Définition Maintenances'!$G:$G,MATCH($A42,'[1]Définition Maintenances'!$K:$K,0)),CX42,INDEX('[1]Définition Maintenances'!$G:$G,MATCH($A42,'[1]Définition Maintenances'!$K:$K,0))+CX42),CX42))</f>
        <v>929</v>
      </c>
      <c r="CZ42" s="26">
        <f>IF(ISNUMBER(VLOOKUP($D42,'Visu totale'!$D:$DH,CZ$1,0)),CY42-VLOOKUP($D42,'Visu totale'!$D:$DH,CZ$1,0),IF(LEFT(VLOOKUP($D42,'Visu totale'!$D:$DH,CZ$1,0),1)="V",IF(CY42&gt;=INDEX('[1]Définition Maintenances'!$G:$G,MATCH($A42,'[1]Définition Maintenances'!$K:$K,0)),CY42,INDEX('[1]Définition Maintenances'!$G:$G,MATCH($A42,'[1]Définition Maintenances'!$K:$K,0))+CY42),CY42))</f>
        <v>929</v>
      </c>
      <c r="DA42" s="26">
        <f>IF(ISNUMBER(VLOOKUP($D42,'Visu totale'!$D:$DH,DA$1,0)),CZ42-VLOOKUP($D42,'Visu totale'!$D:$DH,DA$1,0),IF(LEFT(VLOOKUP($D42,'Visu totale'!$D:$DH,DA$1,0),1)="V",IF(CZ42&gt;=INDEX('[1]Définition Maintenances'!$G:$G,MATCH($A42,'[1]Définition Maintenances'!$K:$K,0)),CZ42,INDEX('[1]Définition Maintenances'!$G:$G,MATCH($A42,'[1]Définition Maintenances'!$K:$K,0))+CZ42),CZ42))</f>
        <v>929</v>
      </c>
      <c r="DB42" s="26">
        <f>IF(ISNUMBER(VLOOKUP($D42,'Visu totale'!$D:$DH,DB$1,0)),DA42-VLOOKUP($D42,'Visu totale'!$D:$DH,DB$1,0),IF(LEFT(VLOOKUP($D42,'Visu totale'!$D:$DH,DB$1,0),1)="V",IF(DA42&gt;=INDEX('[1]Définition Maintenances'!$G:$G,MATCH($A42,'[1]Définition Maintenances'!$K:$K,0)),DA42,INDEX('[1]Définition Maintenances'!$G:$G,MATCH($A42,'[1]Définition Maintenances'!$K:$K,0))+DA42),DA42))</f>
        <v>929</v>
      </c>
      <c r="DC42" s="26">
        <f>IF(ISNUMBER(VLOOKUP($D42,'Visu totale'!$D:$DH,DC$1,0)),DB42-VLOOKUP($D42,'Visu totale'!$D:$DH,DC$1,0),IF(LEFT(VLOOKUP($D42,'Visu totale'!$D:$DH,DC$1,0),1)="V",IF(DB42&gt;=INDEX('[1]Définition Maintenances'!$G:$G,MATCH($A42,'[1]Définition Maintenances'!$K:$K,0)),DB42,INDEX('[1]Définition Maintenances'!$G:$G,MATCH($A42,'[1]Définition Maintenances'!$K:$K,0))+DB42),DB42))</f>
        <v>929</v>
      </c>
      <c r="DD42" s="26">
        <f>IF(ISNUMBER(VLOOKUP($D42,'Visu totale'!$D:$DH,DD$1,0)),DC42-VLOOKUP($D42,'Visu totale'!$D:$DH,DD$1,0),IF(LEFT(VLOOKUP($D42,'Visu totale'!$D:$DH,DD$1,0),1)="V",IF(DC42&gt;=INDEX('[1]Définition Maintenances'!$G:$G,MATCH($A42,'[1]Définition Maintenances'!$K:$K,0)),DC42,INDEX('[1]Définition Maintenances'!$G:$G,MATCH($A42,'[1]Définition Maintenances'!$K:$K,0))+DC42),DC42))</f>
        <v>929</v>
      </c>
      <c r="DE42" s="26">
        <f>IF(ISNUMBER(VLOOKUP($D42,'Visu totale'!$D:$DH,DE$1,0)),DD42-VLOOKUP($D42,'Visu totale'!$D:$DH,DE$1,0),IF(LEFT(VLOOKUP($D42,'Visu totale'!$D:$DH,DE$1,0),1)="V",IF(DD42&gt;=INDEX('[1]Définition Maintenances'!$G:$G,MATCH($A42,'[1]Définition Maintenances'!$K:$K,0)),DD42,INDEX('[1]Définition Maintenances'!$G:$G,MATCH($A42,'[1]Définition Maintenances'!$K:$K,0))+DD42),DD42))</f>
        <v>929</v>
      </c>
      <c r="DF42" s="26">
        <f>IF(ISNUMBER(VLOOKUP($D42,'Visu totale'!$D:$DH,DF$1,0)),DE42-VLOOKUP($D42,'Visu totale'!$D:$DH,DF$1,0),IF(LEFT(VLOOKUP($D42,'Visu totale'!$D:$DH,DF$1,0),1)="V",IF(DE42&gt;=INDEX('[1]Définition Maintenances'!$G:$G,MATCH($A42,'[1]Définition Maintenances'!$K:$K,0)),DE42,INDEX('[1]Définition Maintenances'!$G:$G,MATCH($A42,'[1]Définition Maintenances'!$K:$K,0))+DE42),DE42))</f>
        <v>929</v>
      </c>
      <c r="DG42" s="26">
        <f>IF(ISNUMBER(VLOOKUP($D42,'Visu totale'!$D:$DH,DG$1,0)),DF42-VLOOKUP($D42,'Visu totale'!$D:$DH,DG$1,0),IF(LEFT(VLOOKUP($D42,'Visu totale'!$D:$DH,DG$1,0),1)="V",IF(DF42&gt;=INDEX('[1]Définition Maintenances'!$G:$G,MATCH($A42,'[1]Définition Maintenances'!$K:$K,0)),DF42,INDEX('[1]Définition Maintenances'!$G:$G,MATCH($A42,'[1]Définition Maintenances'!$K:$K,0))+DF42),DF42))</f>
        <v>929</v>
      </c>
      <c r="DH42" s="26">
        <f>IF(ISNUMBER(VLOOKUP($D42,'Visu totale'!$D:$DH,DH$1,0)),DG42-VLOOKUP($D42,'Visu totale'!$D:$DH,DH$1,0),IF(LEFT(VLOOKUP($D42,'Visu totale'!$D:$DH,DH$1,0),1)="V",IF(DG42&gt;=INDEX('[1]Définition Maintenances'!$G:$G,MATCH($A42,'[1]Définition Maintenances'!$K:$K,0)),DG42,INDEX('[1]Définition Maintenances'!$G:$G,MATCH($A42,'[1]Définition Maintenances'!$K:$K,0))+DG42),DG42))</f>
        <v>929</v>
      </c>
      <c r="DI42" s="27">
        <f>IF(ISNUMBER(VLOOKUP($D42,'Visu totale'!$D:$DH,DI$1,0)),DH42-VLOOKUP($D42,'Visu totale'!$D:$DH,DI$1,0),IF(LEFT(VLOOKUP($D42,'Visu totale'!$D:$DH,DI$1,0),1)="V",IF(DH42&gt;=INDEX('[1]Définition Maintenances'!$G:$G,MATCH($A42,'[1]Définition Maintenances'!$K:$K,0)),DH42,INDEX('[1]Définition Maintenances'!$G:$G,MATCH($A42,'[1]Définition Maintenances'!$K:$K,0))+DH42),DH42))</f>
        <v>929</v>
      </c>
    </row>
    <row r="43" spans="1:113" x14ac:dyDescent="0.25">
      <c r="A43" s="13" t="str">
        <f t="shared" si="1"/>
        <v>V20D</v>
      </c>
      <c r="B43" s="13" t="str">
        <f>VLOOKUP(D43,'[1]Avions (Potentiels)'!$B$2:$H$128,7,FALSE)</f>
        <v>V20</v>
      </c>
      <c r="C43" s="13"/>
      <c r="D43" s="16" t="s">
        <v>46</v>
      </c>
      <c r="E43" s="13">
        <f>IFERROR(VALUE(SUBSTITUTE(VLOOKUP(D43,'[1]Avions (Potentiels)'!$B:$E,4,0),".",",")),VALUE(VLOOKUP(D43,'[1]Avions (Potentiels)'!$B:$E,4,0)))</f>
        <v>1200</v>
      </c>
      <c r="F43" s="25">
        <f>IF(ISNUMBER(VLOOKUP($D43,'Visu totale'!$D:$DH,F$1,0)),E43-VLOOKUP($D43,'Visu totale'!$D:$DH,F$1,0),IF(LEFT(VLOOKUP($D43,'Visu totale'!$D:$DH,F$1,0),1)="V",IF(E43&gt;=INDEX('[1]Définition Maintenances'!$G:$G,MATCH($A43,'[1]Définition Maintenances'!$K:$K,0)),E43,INDEX('[1]Définition Maintenances'!$G:$G,MATCH($A43,'[1]Définition Maintenances'!$K:$K,0))+E43),E43))</f>
        <v>1200</v>
      </c>
      <c r="G43" s="26">
        <f>IF(ISNUMBER(VLOOKUP($D43,'Visu totale'!$D:$DH,G$1,0)),F43-VLOOKUP($D43,'Visu totale'!$D:$DH,G$1,0),IF(LEFT(VLOOKUP($D43,'Visu totale'!$D:$DH,G$1,0),1)="V",IF(F43&gt;=INDEX('[1]Définition Maintenances'!$G:$G,MATCH($A43,'[1]Définition Maintenances'!$K:$K,0)),F43,INDEX('[1]Définition Maintenances'!$G:$G,MATCH($A43,'[1]Définition Maintenances'!$K:$K,0))+F43),F43))</f>
        <v>1200</v>
      </c>
      <c r="H43" s="26">
        <f>IF(ISNUMBER(VLOOKUP($D43,'Visu totale'!$D:$DH,H$1,0)),G43-VLOOKUP($D43,'Visu totale'!$D:$DH,H$1,0),IF(LEFT(VLOOKUP($D43,'Visu totale'!$D:$DH,H$1,0),1)="V",IF(G43&gt;=INDEX('[1]Définition Maintenances'!$G:$G,MATCH($A43,'[1]Définition Maintenances'!$K:$K,0)),G43,INDEX('[1]Définition Maintenances'!$G:$G,MATCH($A43,'[1]Définition Maintenances'!$K:$K,0))+G43),G43))</f>
        <v>1200</v>
      </c>
      <c r="I43" s="26">
        <f>IF(ISNUMBER(VLOOKUP($D43,'Visu totale'!$D:$DH,I$1,0)),H43-VLOOKUP($D43,'Visu totale'!$D:$DH,I$1,0),IF(LEFT(VLOOKUP($D43,'Visu totale'!$D:$DH,I$1,0),1)="V",IF(H43&gt;=INDEX('[1]Définition Maintenances'!$G:$G,MATCH($A43,'[1]Définition Maintenances'!$K:$K,0)),H43,INDEX('[1]Définition Maintenances'!$G:$G,MATCH($A43,'[1]Définition Maintenances'!$K:$K,0))+H43),H43))</f>
        <v>1200</v>
      </c>
      <c r="J43" s="26">
        <f>IF(ISNUMBER(VLOOKUP($D43,'Visu totale'!$D:$DH,J$1,0)),I43-VLOOKUP($D43,'Visu totale'!$D:$DH,J$1,0),IF(LEFT(VLOOKUP($D43,'Visu totale'!$D:$DH,J$1,0),1)="V",IF(I43&gt;=INDEX('[1]Définition Maintenances'!$G:$G,MATCH($A43,'[1]Définition Maintenances'!$K:$K,0)),I43,INDEX('[1]Définition Maintenances'!$G:$G,MATCH($A43,'[1]Définition Maintenances'!$K:$K,0))+I43),I43))</f>
        <v>1200</v>
      </c>
      <c r="K43" s="26">
        <f>IF(ISNUMBER(VLOOKUP($D43,'Visu totale'!$D:$DH,K$1,0)),J43-VLOOKUP($D43,'Visu totale'!$D:$DH,K$1,0),IF(LEFT(VLOOKUP($D43,'Visu totale'!$D:$DH,K$1,0),1)="V",IF(J43&gt;=INDEX('[1]Définition Maintenances'!$G:$G,MATCH($A43,'[1]Définition Maintenances'!$K:$K,0)),J43,INDEX('[1]Définition Maintenances'!$G:$G,MATCH($A43,'[1]Définition Maintenances'!$K:$K,0))+J43),J43))</f>
        <v>1200</v>
      </c>
      <c r="L43" s="26">
        <f>IF(ISNUMBER(VLOOKUP($D43,'Visu totale'!$D:$DH,L$1,0)),K43-VLOOKUP($D43,'Visu totale'!$D:$DH,L$1,0),IF(LEFT(VLOOKUP($D43,'Visu totale'!$D:$DH,L$1,0),1)="V",IF(K43&gt;=INDEX('[1]Définition Maintenances'!$G:$G,MATCH($A43,'[1]Définition Maintenances'!$K:$K,0)),K43,INDEX('[1]Définition Maintenances'!$G:$G,MATCH($A43,'[1]Définition Maintenances'!$K:$K,0))+K43),K43))</f>
        <v>1200</v>
      </c>
      <c r="M43" s="26">
        <f>IF(ISNUMBER(VLOOKUP($D43,'Visu totale'!$D:$DH,M$1,0)),L43-VLOOKUP($D43,'Visu totale'!$D:$DH,M$1,0),IF(LEFT(VLOOKUP($D43,'Visu totale'!$D:$DH,M$1,0),1)="V",IF(L43&gt;=INDEX('[1]Définition Maintenances'!$G:$G,MATCH($A43,'[1]Définition Maintenances'!$K:$K,0)),L43,INDEX('[1]Définition Maintenances'!$G:$G,MATCH($A43,'[1]Définition Maintenances'!$K:$K,0))+L43),L43))</f>
        <v>1200</v>
      </c>
      <c r="N43" s="26">
        <f>IF(ISNUMBER(VLOOKUP($D43,'Visu totale'!$D:$DH,N$1,0)),M43-VLOOKUP($D43,'Visu totale'!$D:$DH,N$1,0),IF(LEFT(VLOOKUP($D43,'Visu totale'!$D:$DH,N$1,0),1)="V",IF(M43&gt;=INDEX('[1]Définition Maintenances'!$G:$G,MATCH($A43,'[1]Définition Maintenances'!$K:$K,0)),M43,INDEX('[1]Définition Maintenances'!$G:$G,MATCH($A43,'[1]Définition Maintenances'!$K:$K,0))+M43),M43))</f>
        <v>1200</v>
      </c>
      <c r="O43" s="26">
        <f>IF(ISNUMBER(VLOOKUP($D43,'Visu totale'!$D:$DH,O$1,0)),N43-VLOOKUP($D43,'Visu totale'!$D:$DH,O$1,0),IF(LEFT(VLOOKUP($D43,'Visu totale'!$D:$DH,O$1,0),1)="V",IF(N43&gt;=INDEX('[1]Définition Maintenances'!$G:$G,MATCH($A43,'[1]Définition Maintenances'!$K:$K,0)),N43,INDEX('[1]Définition Maintenances'!$G:$G,MATCH($A43,'[1]Définition Maintenances'!$K:$K,0))+N43),N43))</f>
        <v>1200</v>
      </c>
      <c r="P43" s="26">
        <f>IF(ISNUMBER(VLOOKUP($D43,'Visu totale'!$D:$DH,P$1,0)),O43-VLOOKUP($D43,'Visu totale'!$D:$DH,P$1,0),IF(LEFT(VLOOKUP($D43,'Visu totale'!$D:$DH,P$1,0),1)="V",IF(O43&gt;=INDEX('[1]Définition Maintenances'!$G:$G,MATCH($A43,'[1]Définition Maintenances'!$K:$K,0)),O43,INDEX('[1]Définition Maintenances'!$G:$G,MATCH($A43,'[1]Définition Maintenances'!$K:$K,0))+O43),O43))</f>
        <v>1200</v>
      </c>
      <c r="Q43" s="27">
        <f>IF(ISNUMBER(VLOOKUP($D43,'Visu totale'!$D:$DH,Q$1,0)),P43-VLOOKUP($D43,'Visu totale'!$D:$DH,Q$1,0),IF(LEFT(VLOOKUP($D43,'Visu totale'!$D:$DH,Q$1,0),1)="V",IF(P43&gt;=INDEX('[1]Définition Maintenances'!$G:$G,MATCH($A43,'[1]Définition Maintenances'!$K:$K,0)),P43,INDEX('[1]Définition Maintenances'!$G:$G,MATCH($A43,'[1]Définition Maintenances'!$K:$K,0))+P43),P43))</f>
        <v>1200</v>
      </c>
      <c r="R43" s="25">
        <f>IF(ISNUMBER(VLOOKUP($D43,'Visu totale'!$D:$DH,R$1,0)),Q43-VLOOKUP($D43,'Visu totale'!$D:$DH,R$1,0),IF(LEFT(VLOOKUP($D43,'Visu totale'!$D:$DH,R$1,0),1)="V",IF(Q43&gt;=INDEX('[1]Définition Maintenances'!$G:$G,MATCH($A43,'[1]Définition Maintenances'!$K:$K,0)),Q43,INDEX('[1]Définition Maintenances'!$G:$G,MATCH($A43,'[1]Définition Maintenances'!$K:$K,0))+Q43),Q43))</f>
        <v>1200</v>
      </c>
      <c r="S43" s="26">
        <f>IF(ISNUMBER(VLOOKUP($D43,'Visu totale'!$D:$DH,S$1,0)),R43-VLOOKUP($D43,'Visu totale'!$D:$DH,S$1,0),IF(LEFT(VLOOKUP($D43,'Visu totale'!$D:$DH,S$1,0),1)="V",IF(R43&gt;=INDEX('[1]Définition Maintenances'!$G:$G,MATCH($A43,'[1]Définition Maintenances'!$K:$K,0)),R43,INDEX('[1]Définition Maintenances'!$G:$G,MATCH($A43,'[1]Définition Maintenances'!$K:$K,0))+R43),R43))</f>
        <v>1200</v>
      </c>
      <c r="T43" s="26">
        <f>IF(ISNUMBER(VLOOKUP($D43,'Visu totale'!$D:$DH,T$1,0)),S43-VLOOKUP($D43,'Visu totale'!$D:$DH,T$1,0),IF(LEFT(VLOOKUP($D43,'Visu totale'!$D:$DH,T$1,0),1)="V",IF(S43&gt;=INDEX('[1]Définition Maintenances'!$G:$G,MATCH($A43,'[1]Définition Maintenances'!$K:$K,0)),S43,INDEX('[1]Définition Maintenances'!$G:$G,MATCH($A43,'[1]Définition Maintenances'!$K:$K,0))+S43),S43))</f>
        <v>1200</v>
      </c>
      <c r="U43" s="26">
        <f>IF(ISNUMBER(VLOOKUP($D43,'Visu totale'!$D:$DH,U$1,0)),T43-VLOOKUP($D43,'Visu totale'!$D:$DH,U$1,0),IF(LEFT(VLOOKUP($D43,'Visu totale'!$D:$DH,U$1,0),1)="V",IF(T43&gt;=INDEX('[1]Définition Maintenances'!$G:$G,MATCH($A43,'[1]Définition Maintenances'!$K:$K,0)),T43,INDEX('[1]Définition Maintenances'!$G:$G,MATCH($A43,'[1]Définition Maintenances'!$K:$K,0))+T43),T43))</f>
        <v>1200</v>
      </c>
      <c r="V43" s="26">
        <f>IF(ISNUMBER(VLOOKUP($D43,'Visu totale'!$D:$DH,V$1,0)),U43-VLOOKUP($D43,'Visu totale'!$D:$DH,V$1,0),IF(LEFT(VLOOKUP($D43,'Visu totale'!$D:$DH,V$1,0),1)="V",IF(U43&gt;=INDEX('[1]Définition Maintenances'!$G:$G,MATCH($A43,'[1]Définition Maintenances'!$K:$K,0)),U43,INDEX('[1]Définition Maintenances'!$G:$G,MATCH($A43,'[1]Définition Maintenances'!$K:$K,0))+U43),U43))</f>
        <v>1200</v>
      </c>
      <c r="W43" s="26">
        <f>IF(ISNUMBER(VLOOKUP($D43,'Visu totale'!$D:$DH,W$1,0)),V43-VLOOKUP($D43,'Visu totale'!$D:$DH,W$1,0),IF(LEFT(VLOOKUP($D43,'Visu totale'!$D:$DH,W$1,0),1)="V",IF(V43&gt;=INDEX('[1]Définition Maintenances'!$G:$G,MATCH($A43,'[1]Définition Maintenances'!$K:$K,0)),V43,INDEX('[1]Définition Maintenances'!$G:$G,MATCH($A43,'[1]Définition Maintenances'!$K:$K,0))+V43),V43))</f>
        <v>1200</v>
      </c>
      <c r="X43" s="26">
        <f>IF(ISNUMBER(VLOOKUP($D43,'Visu totale'!$D:$DH,X$1,0)),W43-VLOOKUP($D43,'Visu totale'!$D:$DH,X$1,0),IF(LEFT(VLOOKUP($D43,'Visu totale'!$D:$DH,X$1,0),1)="V",IF(W43&gt;=INDEX('[1]Définition Maintenances'!$G:$G,MATCH($A43,'[1]Définition Maintenances'!$K:$K,0)),W43,INDEX('[1]Définition Maintenances'!$G:$G,MATCH($A43,'[1]Définition Maintenances'!$K:$K,0))+W43),W43))</f>
        <v>1200</v>
      </c>
      <c r="Y43" s="26">
        <f>IF(ISNUMBER(VLOOKUP($D43,'Visu totale'!$D:$DH,Y$1,0)),X43-VLOOKUP($D43,'Visu totale'!$D:$DH,Y$1,0),IF(LEFT(VLOOKUP($D43,'Visu totale'!$D:$DH,Y$1,0),1)="V",IF(X43&gt;=INDEX('[1]Définition Maintenances'!$G:$G,MATCH($A43,'[1]Définition Maintenances'!$K:$K,0)),X43,INDEX('[1]Définition Maintenances'!$G:$G,MATCH($A43,'[1]Définition Maintenances'!$K:$K,0))+X43),X43))</f>
        <v>1200</v>
      </c>
      <c r="Z43" s="26">
        <f>IF(ISNUMBER(VLOOKUP($D43,'Visu totale'!$D:$DH,Z$1,0)),Y43-VLOOKUP($D43,'Visu totale'!$D:$DH,Z$1,0),IF(LEFT(VLOOKUP($D43,'Visu totale'!$D:$DH,Z$1,0),1)="V",IF(Y43&gt;=INDEX('[1]Définition Maintenances'!$G:$G,MATCH($A43,'[1]Définition Maintenances'!$K:$K,0)),Y43,INDEX('[1]Définition Maintenances'!$G:$G,MATCH($A43,'[1]Définition Maintenances'!$K:$K,0))+Y43),Y43))</f>
        <v>1200</v>
      </c>
      <c r="AA43" s="26">
        <f>IF(ISNUMBER(VLOOKUP($D43,'Visu totale'!$D:$DH,AA$1,0)),Z43-VLOOKUP($D43,'Visu totale'!$D:$DH,AA$1,0),IF(LEFT(VLOOKUP($D43,'Visu totale'!$D:$DH,AA$1,0),1)="V",IF(Z43&gt;=INDEX('[1]Définition Maintenances'!$G:$G,MATCH($A43,'[1]Définition Maintenances'!$K:$K,0)),Z43,INDEX('[1]Définition Maintenances'!$G:$G,MATCH($A43,'[1]Définition Maintenances'!$K:$K,0))+Z43),Z43))</f>
        <v>1200</v>
      </c>
      <c r="AB43" s="26">
        <f>IF(ISNUMBER(VLOOKUP($D43,'Visu totale'!$D:$DH,AB$1,0)),AA43-VLOOKUP($D43,'Visu totale'!$D:$DH,AB$1,0),IF(LEFT(VLOOKUP($D43,'Visu totale'!$D:$DH,AB$1,0),1)="V",IF(AA43&gt;=INDEX('[1]Définition Maintenances'!$G:$G,MATCH($A43,'[1]Définition Maintenances'!$K:$K,0)),AA43,INDEX('[1]Définition Maintenances'!$G:$G,MATCH($A43,'[1]Définition Maintenances'!$K:$K,0))+AA43),AA43))</f>
        <v>1200</v>
      </c>
      <c r="AC43" s="27">
        <f>IF(ISNUMBER(VLOOKUP($D43,'Visu totale'!$D:$DH,AC$1,0)),AB43-VLOOKUP($D43,'Visu totale'!$D:$DH,AC$1,0),IF(LEFT(VLOOKUP($D43,'Visu totale'!$D:$DH,AC$1,0),1)="V",IF(AB43&gt;=INDEX('[1]Définition Maintenances'!$G:$G,MATCH($A43,'[1]Définition Maintenances'!$K:$K,0)),AB43,INDEX('[1]Définition Maintenances'!$G:$G,MATCH($A43,'[1]Définition Maintenances'!$K:$K,0))+AB43),AB43))</f>
        <v>1200</v>
      </c>
      <c r="AD43" s="25">
        <f>IF(ISNUMBER(VLOOKUP($D43,'Visu totale'!$D:$DH,AD$1,0)),AC43-VLOOKUP($D43,'Visu totale'!$D:$DH,AD$1,0),IF(LEFT(VLOOKUP($D43,'Visu totale'!$D:$DH,AD$1,0),1)="V",IF(AC43&gt;=INDEX('[1]Définition Maintenances'!$G:$G,MATCH($A43,'[1]Définition Maintenances'!$K:$K,0)),AC43,INDEX('[1]Définition Maintenances'!$G:$G,MATCH($A43,'[1]Définition Maintenances'!$K:$K,0))+AC43),AC43))</f>
        <v>1200</v>
      </c>
      <c r="AE43" s="26">
        <f>IF(ISNUMBER(VLOOKUP($D43,'Visu totale'!$D:$DH,AE$1,0)),AD43-VLOOKUP($D43,'Visu totale'!$D:$DH,AE$1,0),IF(LEFT(VLOOKUP($D43,'Visu totale'!$D:$DH,AE$1,0),1)="V",IF(AD43&gt;=INDEX('[1]Définition Maintenances'!$G:$G,MATCH($A43,'[1]Définition Maintenances'!$K:$K,0)),AD43,INDEX('[1]Définition Maintenances'!$G:$G,MATCH($A43,'[1]Définition Maintenances'!$K:$K,0))+AD43),AD43))</f>
        <v>1200</v>
      </c>
      <c r="AF43" s="26">
        <f>IF(ISNUMBER(VLOOKUP($D43,'Visu totale'!$D:$DH,AF$1,0)),AE43-VLOOKUP($D43,'Visu totale'!$D:$DH,AF$1,0),IF(LEFT(VLOOKUP($D43,'Visu totale'!$D:$DH,AF$1,0),1)="V",IF(AE43&gt;=INDEX('[1]Définition Maintenances'!$G:$G,MATCH($A43,'[1]Définition Maintenances'!$K:$K,0)),AE43,INDEX('[1]Définition Maintenances'!$G:$G,MATCH($A43,'[1]Définition Maintenances'!$K:$K,0))+AE43),AE43))</f>
        <v>1200</v>
      </c>
      <c r="AG43" s="26">
        <f>IF(ISNUMBER(VLOOKUP($D43,'Visu totale'!$D:$DH,AG$1,0)),AF43-VLOOKUP($D43,'Visu totale'!$D:$DH,AG$1,0),IF(LEFT(VLOOKUP($D43,'Visu totale'!$D:$DH,AG$1,0),1)="V",IF(AF43&gt;=INDEX('[1]Définition Maintenances'!$G:$G,MATCH($A43,'[1]Définition Maintenances'!$K:$K,0)),AF43,INDEX('[1]Définition Maintenances'!$G:$G,MATCH($A43,'[1]Définition Maintenances'!$K:$K,0))+AF43),AF43))</f>
        <v>1200</v>
      </c>
      <c r="AH43" s="26">
        <f>IF(ISNUMBER(VLOOKUP($D43,'Visu totale'!$D:$DH,AH$1,0)),AG43-VLOOKUP($D43,'Visu totale'!$D:$DH,AH$1,0),IF(LEFT(VLOOKUP($D43,'Visu totale'!$D:$DH,AH$1,0),1)="V",IF(AG43&gt;=INDEX('[1]Définition Maintenances'!$G:$G,MATCH($A43,'[1]Définition Maintenances'!$K:$K,0)),AG43,INDEX('[1]Définition Maintenances'!$G:$G,MATCH($A43,'[1]Définition Maintenances'!$K:$K,0))+AG43),AG43))</f>
        <v>1200</v>
      </c>
      <c r="AI43" s="26">
        <f>IF(ISNUMBER(VLOOKUP($D43,'Visu totale'!$D:$DH,AI$1,0)),AH43-VLOOKUP($D43,'Visu totale'!$D:$DH,AI$1,0),IF(LEFT(VLOOKUP($D43,'Visu totale'!$D:$DH,AI$1,0),1)="V",IF(AH43&gt;=INDEX('[1]Définition Maintenances'!$G:$G,MATCH($A43,'[1]Définition Maintenances'!$K:$K,0)),AH43,INDEX('[1]Définition Maintenances'!$G:$G,MATCH($A43,'[1]Définition Maintenances'!$K:$K,0))+AH43),AH43))</f>
        <v>1200</v>
      </c>
      <c r="AJ43" s="26">
        <f>IF(ISNUMBER(VLOOKUP($D43,'Visu totale'!$D:$DH,AJ$1,0)),AI43-VLOOKUP($D43,'Visu totale'!$D:$DH,AJ$1,0),IF(LEFT(VLOOKUP($D43,'Visu totale'!$D:$DH,AJ$1,0),1)="V",IF(AI43&gt;=INDEX('[1]Définition Maintenances'!$G:$G,MATCH($A43,'[1]Définition Maintenances'!$K:$K,0)),AI43,INDEX('[1]Définition Maintenances'!$G:$G,MATCH($A43,'[1]Définition Maintenances'!$K:$K,0))+AI43),AI43))</f>
        <v>1200</v>
      </c>
      <c r="AK43" s="26">
        <f>IF(ISNUMBER(VLOOKUP($D43,'Visu totale'!$D:$DH,AK$1,0)),AJ43-VLOOKUP($D43,'Visu totale'!$D:$DH,AK$1,0),IF(LEFT(VLOOKUP($D43,'Visu totale'!$D:$DH,AK$1,0),1)="V",IF(AJ43&gt;=INDEX('[1]Définition Maintenances'!$G:$G,MATCH($A43,'[1]Définition Maintenances'!$K:$K,0)),AJ43,INDEX('[1]Définition Maintenances'!$G:$G,MATCH($A43,'[1]Définition Maintenances'!$K:$K,0))+AJ43),AJ43))</f>
        <v>1200</v>
      </c>
      <c r="AL43" s="26">
        <f>IF(ISNUMBER(VLOOKUP($D43,'Visu totale'!$D:$DH,AL$1,0)),AK43-VLOOKUP($D43,'Visu totale'!$D:$DH,AL$1,0),IF(LEFT(VLOOKUP($D43,'Visu totale'!$D:$DH,AL$1,0),1)="V",IF(AK43&gt;=INDEX('[1]Définition Maintenances'!$G:$G,MATCH($A43,'[1]Définition Maintenances'!$K:$K,0)),AK43,INDEX('[1]Définition Maintenances'!$G:$G,MATCH($A43,'[1]Définition Maintenances'!$K:$K,0))+AK43),AK43))</f>
        <v>1200</v>
      </c>
      <c r="AM43" s="26">
        <f>IF(ISNUMBER(VLOOKUP($D43,'Visu totale'!$D:$DH,AM$1,0)),AL43-VLOOKUP($D43,'Visu totale'!$D:$DH,AM$1,0),IF(LEFT(VLOOKUP($D43,'Visu totale'!$D:$DH,AM$1,0),1)="V",IF(AL43&gt;=INDEX('[1]Définition Maintenances'!$G:$G,MATCH($A43,'[1]Définition Maintenances'!$K:$K,0)),AL43,INDEX('[1]Définition Maintenances'!$G:$G,MATCH($A43,'[1]Définition Maintenances'!$K:$K,0))+AL43),AL43))</f>
        <v>1200</v>
      </c>
      <c r="AN43" s="26">
        <f>IF(ISNUMBER(VLOOKUP($D43,'Visu totale'!$D:$DH,AN$1,0)),AM43-VLOOKUP($D43,'Visu totale'!$D:$DH,AN$1,0),IF(LEFT(VLOOKUP($D43,'Visu totale'!$D:$DH,AN$1,0),1)="V",IF(AM43&gt;=INDEX('[1]Définition Maintenances'!$G:$G,MATCH($A43,'[1]Définition Maintenances'!$K:$K,0)),AM43,INDEX('[1]Définition Maintenances'!$G:$G,MATCH($A43,'[1]Définition Maintenances'!$K:$K,0))+AM43),AM43))</f>
        <v>1200</v>
      </c>
      <c r="AO43" s="27">
        <f>IF(ISNUMBER(VLOOKUP($D43,'Visu totale'!$D:$DH,AO$1,0)),AN43-VLOOKUP($D43,'Visu totale'!$D:$DH,AO$1,0),IF(LEFT(VLOOKUP($D43,'Visu totale'!$D:$DH,AO$1,0),1)="V",IF(AN43&gt;=INDEX('[1]Définition Maintenances'!$G:$G,MATCH($A43,'[1]Définition Maintenances'!$K:$K,0)),AN43,INDEX('[1]Définition Maintenances'!$G:$G,MATCH($A43,'[1]Définition Maintenances'!$K:$K,0))+AN43),AN43))</f>
        <v>1200</v>
      </c>
      <c r="AP43" s="25">
        <f>IF(ISNUMBER(VLOOKUP($D43,'Visu totale'!$D:$DH,AP$1,0)),AO43-VLOOKUP($D43,'Visu totale'!$D:$DH,AP$1,0),IF(LEFT(VLOOKUP($D43,'Visu totale'!$D:$DH,AP$1,0),1)="V",IF(AO43&gt;=INDEX('[1]Définition Maintenances'!$G:$G,MATCH($A43,'[1]Définition Maintenances'!$K:$K,0)),AO43,INDEX('[1]Définition Maintenances'!$G:$G,MATCH($A43,'[1]Définition Maintenances'!$K:$K,0))+AO43),AO43))</f>
        <v>1200</v>
      </c>
      <c r="AQ43" s="26">
        <f>IF(ISNUMBER(VLOOKUP($D43,'Visu totale'!$D:$DH,AQ$1,0)),AP43-VLOOKUP($D43,'Visu totale'!$D:$DH,AQ$1,0),IF(LEFT(VLOOKUP($D43,'Visu totale'!$D:$DH,AQ$1,0),1)="V",IF(AP43&gt;=INDEX('[1]Définition Maintenances'!$G:$G,MATCH($A43,'[1]Définition Maintenances'!$K:$K,0)),AP43,INDEX('[1]Définition Maintenances'!$G:$G,MATCH($A43,'[1]Définition Maintenances'!$K:$K,0))+AP43),AP43))</f>
        <v>1200</v>
      </c>
      <c r="AR43" s="26">
        <f>IF(ISNUMBER(VLOOKUP($D43,'Visu totale'!$D:$DH,AR$1,0)),AQ43-VLOOKUP($D43,'Visu totale'!$D:$DH,AR$1,0),IF(LEFT(VLOOKUP($D43,'Visu totale'!$D:$DH,AR$1,0),1)="V",IF(AQ43&gt;=INDEX('[1]Définition Maintenances'!$G:$G,MATCH($A43,'[1]Définition Maintenances'!$K:$K,0)),AQ43,INDEX('[1]Définition Maintenances'!$G:$G,MATCH($A43,'[1]Définition Maintenances'!$K:$K,0))+AQ43),AQ43))</f>
        <v>1200</v>
      </c>
      <c r="AS43" s="26">
        <f>IF(ISNUMBER(VLOOKUP($D43,'Visu totale'!$D:$DH,AS$1,0)),AR43-VLOOKUP($D43,'Visu totale'!$D:$DH,AS$1,0),IF(LEFT(VLOOKUP($D43,'Visu totale'!$D:$DH,AS$1,0),1)="V",IF(AR43&gt;=INDEX('[1]Définition Maintenances'!$G:$G,MATCH($A43,'[1]Définition Maintenances'!$K:$K,0)),AR43,INDEX('[1]Définition Maintenances'!$G:$G,MATCH($A43,'[1]Définition Maintenances'!$K:$K,0))+AR43),AR43))</f>
        <v>1200</v>
      </c>
      <c r="AT43" s="26">
        <f>IF(ISNUMBER(VLOOKUP($D43,'Visu totale'!$D:$DH,AT$1,0)),AS43-VLOOKUP($D43,'Visu totale'!$D:$DH,AT$1,0),IF(LEFT(VLOOKUP($D43,'Visu totale'!$D:$DH,AT$1,0),1)="V",IF(AS43&gt;=INDEX('[1]Définition Maintenances'!$G:$G,MATCH($A43,'[1]Définition Maintenances'!$K:$K,0)),AS43,INDEX('[1]Définition Maintenances'!$G:$G,MATCH($A43,'[1]Définition Maintenances'!$K:$K,0))+AS43),AS43))</f>
        <v>1200</v>
      </c>
      <c r="AU43" s="26">
        <f>IF(ISNUMBER(VLOOKUP($D43,'Visu totale'!$D:$DH,AU$1,0)),AT43-VLOOKUP($D43,'Visu totale'!$D:$DH,AU$1,0),IF(LEFT(VLOOKUP($D43,'Visu totale'!$D:$DH,AU$1,0),1)="V",IF(AT43&gt;=INDEX('[1]Définition Maintenances'!$G:$G,MATCH($A43,'[1]Définition Maintenances'!$K:$K,0)),AT43,INDEX('[1]Définition Maintenances'!$G:$G,MATCH($A43,'[1]Définition Maintenances'!$K:$K,0))+AT43),AT43))</f>
        <v>1200</v>
      </c>
      <c r="AV43" s="26">
        <f>IF(ISNUMBER(VLOOKUP($D43,'Visu totale'!$D:$DH,AV$1,0)),AU43-VLOOKUP($D43,'Visu totale'!$D:$DH,AV$1,0),IF(LEFT(VLOOKUP($D43,'Visu totale'!$D:$DH,AV$1,0),1)="V",IF(AU43&gt;=INDEX('[1]Définition Maintenances'!$G:$G,MATCH($A43,'[1]Définition Maintenances'!$K:$K,0)),AU43,INDEX('[1]Définition Maintenances'!$G:$G,MATCH($A43,'[1]Définition Maintenances'!$K:$K,0))+AU43),AU43))</f>
        <v>1200</v>
      </c>
      <c r="AW43" s="26">
        <f>IF(ISNUMBER(VLOOKUP($D43,'Visu totale'!$D:$DH,AW$1,0)),AV43-VLOOKUP($D43,'Visu totale'!$D:$DH,AW$1,0),IF(LEFT(VLOOKUP($D43,'Visu totale'!$D:$DH,AW$1,0),1)="V",IF(AV43&gt;=INDEX('[1]Définition Maintenances'!$G:$G,MATCH($A43,'[1]Définition Maintenances'!$K:$K,0)),AV43,INDEX('[1]Définition Maintenances'!$G:$G,MATCH($A43,'[1]Définition Maintenances'!$K:$K,0))+AV43),AV43))</f>
        <v>1200</v>
      </c>
      <c r="AX43" s="26">
        <f>IF(ISNUMBER(VLOOKUP($D43,'Visu totale'!$D:$DH,AX$1,0)),AW43-VLOOKUP($D43,'Visu totale'!$D:$DH,AX$1,0),IF(LEFT(VLOOKUP($D43,'Visu totale'!$D:$DH,AX$1,0),1)="V",IF(AW43&gt;=INDEX('[1]Définition Maintenances'!$G:$G,MATCH($A43,'[1]Définition Maintenances'!$K:$K,0)),AW43,INDEX('[1]Définition Maintenances'!$G:$G,MATCH($A43,'[1]Définition Maintenances'!$K:$K,0))+AW43),AW43))</f>
        <v>1200</v>
      </c>
      <c r="AY43" s="26">
        <f>IF(ISNUMBER(VLOOKUP($D43,'Visu totale'!$D:$DH,AY$1,0)),AX43-VLOOKUP($D43,'Visu totale'!$D:$DH,AY$1,0),IF(LEFT(VLOOKUP($D43,'Visu totale'!$D:$DH,AY$1,0),1)="V",IF(AX43&gt;=INDEX('[1]Définition Maintenances'!$G:$G,MATCH($A43,'[1]Définition Maintenances'!$K:$K,0)),AX43,INDEX('[1]Définition Maintenances'!$G:$G,MATCH($A43,'[1]Définition Maintenances'!$K:$K,0))+AX43),AX43))</f>
        <v>1200</v>
      </c>
      <c r="AZ43" s="26">
        <f>IF(ISNUMBER(VLOOKUP($D43,'Visu totale'!$D:$DH,AZ$1,0)),AY43-VLOOKUP($D43,'Visu totale'!$D:$DH,AZ$1,0),IF(LEFT(VLOOKUP($D43,'Visu totale'!$D:$DH,AZ$1,0),1)="V",IF(AY43&gt;=INDEX('[1]Définition Maintenances'!$G:$G,MATCH($A43,'[1]Définition Maintenances'!$K:$K,0)),AY43,INDEX('[1]Définition Maintenances'!$G:$G,MATCH($A43,'[1]Définition Maintenances'!$K:$K,0))+AY43),AY43))</f>
        <v>1200</v>
      </c>
      <c r="BA43" s="27">
        <f>IF(ISNUMBER(VLOOKUP($D43,'Visu totale'!$D:$DH,BA$1,0)),AZ43-VLOOKUP($D43,'Visu totale'!$D:$DH,BA$1,0),IF(LEFT(VLOOKUP($D43,'Visu totale'!$D:$DH,BA$1,0),1)="V",IF(AZ43&gt;=INDEX('[1]Définition Maintenances'!$G:$G,MATCH($A43,'[1]Définition Maintenances'!$K:$K,0)),AZ43,INDEX('[1]Définition Maintenances'!$G:$G,MATCH($A43,'[1]Définition Maintenances'!$K:$K,0))+AZ43),AZ43))</f>
        <v>1200</v>
      </c>
      <c r="BB43" s="25">
        <f>IF(ISNUMBER(VLOOKUP($D43,'Visu totale'!$D:$DH,BB$1,0)),BA43-VLOOKUP($D43,'Visu totale'!$D:$DH,BB$1,0),IF(LEFT(VLOOKUP($D43,'Visu totale'!$D:$DH,BB$1,0),1)="V",IF(BA43&gt;=INDEX('[1]Définition Maintenances'!$G:$G,MATCH($A43,'[1]Définition Maintenances'!$K:$K,0)),BA43,INDEX('[1]Définition Maintenances'!$G:$G,MATCH($A43,'[1]Définition Maintenances'!$K:$K,0))+BA43),BA43))</f>
        <v>1200</v>
      </c>
      <c r="BC43" s="26">
        <f>IF(ISNUMBER(VLOOKUP($D43,'Visu totale'!$D:$DH,BC$1,0)),BB43-VLOOKUP($D43,'Visu totale'!$D:$DH,BC$1,0),IF(LEFT(VLOOKUP($D43,'Visu totale'!$D:$DH,BC$1,0),1)="V",IF(BB43&gt;=INDEX('[1]Définition Maintenances'!$G:$G,MATCH($A43,'[1]Définition Maintenances'!$K:$K,0)),BB43,INDEX('[1]Définition Maintenances'!$G:$G,MATCH($A43,'[1]Définition Maintenances'!$K:$K,0))+BB43),BB43))</f>
        <v>1200</v>
      </c>
      <c r="BD43" s="26">
        <f>IF(ISNUMBER(VLOOKUP($D43,'Visu totale'!$D:$DH,BD$1,0)),BC43-VLOOKUP($D43,'Visu totale'!$D:$DH,BD$1,0),IF(LEFT(VLOOKUP($D43,'Visu totale'!$D:$DH,BD$1,0),1)="V",IF(BC43&gt;=INDEX('[1]Définition Maintenances'!$G:$G,MATCH($A43,'[1]Définition Maintenances'!$K:$K,0)),BC43,INDEX('[1]Définition Maintenances'!$G:$G,MATCH($A43,'[1]Définition Maintenances'!$K:$K,0))+BC43),BC43))</f>
        <v>1200</v>
      </c>
      <c r="BE43" s="26">
        <f>IF(ISNUMBER(VLOOKUP($D43,'Visu totale'!$D:$DH,BE$1,0)),BD43-VLOOKUP($D43,'Visu totale'!$D:$DH,BE$1,0),IF(LEFT(VLOOKUP($D43,'Visu totale'!$D:$DH,BE$1,0),1)="V",IF(BD43&gt;=INDEX('[1]Définition Maintenances'!$G:$G,MATCH($A43,'[1]Définition Maintenances'!$K:$K,0)),BD43,INDEX('[1]Définition Maintenances'!$G:$G,MATCH($A43,'[1]Définition Maintenances'!$K:$K,0))+BD43),BD43))</f>
        <v>1200</v>
      </c>
      <c r="BF43" s="26">
        <f>IF(ISNUMBER(VLOOKUP($D43,'Visu totale'!$D:$DH,BF$1,0)),BE43-VLOOKUP($D43,'Visu totale'!$D:$DH,BF$1,0),IF(LEFT(VLOOKUP($D43,'Visu totale'!$D:$DH,BF$1,0),1)="V",IF(BE43&gt;=INDEX('[1]Définition Maintenances'!$G:$G,MATCH($A43,'[1]Définition Maintenances'!$K:$K,0)),BE43,INDEX('[1]Définition Maintenances'!$G:$G,MATCH($A43,'[1]Définition Maintenances'!$K:$K,0))+BE43),BE43))</f>
        <v>1200</v>
      </c>
      <c r="BG43" s="26">
        <f>IF(ISNUMBER(VLOOKUP($D43,'Visu totale'!$D:$DH,BG$1,0)),BF43-VLOOKUP($D43,'Visu totale'!$D:$DH,BG$1,0),IF(LEFT(VLOOKUP($D43,'Visu totale'!$D:$DH,BG$1,0),1)="V",IF(BF43&gt;=INDEX('[1]Définition Maintenances'!$G:$G,MATCH($A43,'[1]Définition Maintenances'!$K:$K,0)),BF43,INDEX('[1]Définition Maintenances'!$G:$G,MATCH($A43,'[1]Définition Maintenances'!$K:$K,0))+BF43),BF43))</f>
        <v>1200</v>
      </c>
      <c r="BH43" s="26">
        <f>IF(ISNUMBER(VLOOKUP($D43,'Visu totale'!$D:$DH,BH$1,0)),BG43-VLOOKUP($D43,'Visu totale'!$D:$DH,BH$1,0),IF(LEFT(VLOOKUP($D43,'Visu totale'!$D:$DH,BH$1,0),1)="V",IF(BG43&gt;=INDEX('[1]Définition Maintenances'!$G:$G,MATCH($A43,'[1]Définition Maintenances'!$K:$K,0)),BG43,INDEX('[1]Définition Maintenances'!$G:$G,MATCH($A43,'[1]Définition Maintenances'!$K:$K,0))+BG43),BG43))</f>
        <v>1200</v>
      </c>
      <c r="BI43" s="26">
        <f>IF(ISNUMBER(VLOOKUP($D43,'Visu totale'!$D:$DH,BI$1,0)),BH43-VLOOKUP($D43,'Visu totale'!$D:$DH,BI$1,0),IF(LEFT(VLOOKUP($D43,'Visu totale'!$D:$DH,BI$1,0),1)="V",IF(BH43&gt;=INDEX('[1]Définition Maintenances'!$G:$G,MATCH($A43,'[1]Définition Maintenances'!$K:$K,0)),BH43,INDEX('[1]Définition Maintenances'!$G:$G,MATCH($A43,'[1]Définition Maintenances'!$K:$K,0))+BH43),BH43))</f>
        <v>1200</v>
      </c>
      <c r="BJ43" s="26">
        <f>IF(ISNUMBER(VLOOKUP($D43,'Visu totale'!$D:$DH,BJ$1,0)),BI43-VLOOKUP($D43,'Visu totale'!$D:$DH,BJ$1,0),IF(LEFT(VLOOKUP($D43,'Visu totale'!$D:$DH,BJ$1,0),1)="V",IF(BI43&gt;=INDEX('[1]Définition Maintenances'!$G:$G,MATCH($A43,'[1]Définition Maintenances'!$K:$K,0)),BI43,INDEX('[1]Définition Maintenances'!$G:$G,MATCH($A43,'[1]Définition Maintenances'!$K:$K,0))+BI43),BI43))</f>
        <v>1200</v>
      </c>
      <c r="BK43" s="26">
        <f>IF(ISNUMBER(VLOOKUP($D43,'Visu totale'!$D:$DH,BK$1,0)),BJ43-VLOOKUP($D43,'Visu totale'!$D:$DH,BK$1,0),IF(LEFT(VLOOKUP($D43,'Visu totale'!$D:$DH,BK$1,0),1)="V",IF(BJ43&gt;=INDEX('[1]Définition Maintenances'!$G:$G,MATCH($A43,'[1]Définition Maintenances'!$K:$K,0)),BJ43,INDEX('[1]Définition Maintenances'!$G:$G,MATCH($A43,'[1]Définition Maintenances'!$K:$K,0))+BJ43),BJ43))</f>
        <v>1200</v>
      </c>
      <c r="BL43" s="26">
        <f>IF(ISNUMBER(VLOOKUP($D43,'Visu totale'!$D:$DH,BL$1,0)),BK43-VLOOKUP($D43,'Visu totale'!$D:$DH,BL$1,0),IF(LEFT(VLOOKUP($D43,'Visu totale'!$D:$DH,BL$1,0),1)="V",IF(BK43&gt;=INDEX('[1]Définition Maintenances'!$G:$G,MATCH($A43,'[1]Définition Maintenances'!$K:$K,0)),BK43,INDEX('[1]Définition Maintenances'!$G:$G,MATCH($A43,'[1]Définition Maintenances'!$K:$K,0))+BK43),BK43))</f>
        <v>1200</v>
      </c>
      <c r="BM43" s="27">
        <f>IF(ISNUMBER(VLOOKUP($D43,'Visu totale'!$D:$DH,BM$1,0)),BL43-VLOOKUP($D43,'Visu totale'!$D:$DH,BM$1,0),IF(LEFT(VLOOKUP($D43,'Visu totale'!$D:$DH,BM$1,0),1)="V",IF(BL43&gt;=INDEX('[1]Définition Maintenances'!$G:$G,MATCH($A43,'[1]Définition Maintenances'!$K:$K,0)),BL43,INDEX('[1]Définition Maintenances'!$G:$G,MATCH($A43,'[1]Définition Maintenances'!$K:$K,0))+BL43),BL43))</f>
        <v>1200</v>
      </c>
      <c r="BN43" s="25">
        <f>IF(ISNUMBER(VLOOKUP($D43,'Visu totale'!$D:$DH,BN$1,0)),BM43-VLOOKUP($D43,'Visu totale'!$D:$DH,BN$1,0),IF(LEFT(VLOOKUP($D43,'Visu totale'!$D:$DH,BN$1,0),1)="V",IF(BM43&gt;=INDEX('[1]Définition Maintenances'!$G:$G,MATCH($A43,'[1]Définition Maintenances'!$K:$K,0)),BM43,INDEX('[1]Définition Maintenances'!$G:$G,MATCH($A43,'[1]Définition Maintenances'!$K:$K,0))+BM43),BM43))</f>
        <v>1200</v>
      </c>
      <c r="BO43" s="26">
        <f>IF(ISNUMBER(VLOOKUP($D43,'Visu totale'!$D:$DH,BO$1,0)),BN43-VLOOKUP($D43,'Visu totale'!$D:$DH,BO$1,0),IF(LEFT(VLOOKUP($D43,'Visu totale'!$D:$DH,BO$1,0),1)="V",IF(BN43&gt;=INDEX('[1]Définition Maintenances'!$G:$G,MATCH($A43,'[1]Définition Maintenances'!$K:$K,0)),BN43,INDEX('[1]Définition Maintenances'!$G:$G,MATCH($A43,'[1]Définition Maintenances'!$K:$K,0))+BN43),BN43))</f>
        <v>1200</v>
      </c>
      <c r="BP43" s="26">
        <f>IF(ISNUMBER(VLOOKUP($D43,'Visu totale'!$D:$DH,BP$1,0)),BO43-VLOOKUP($D43,'Visu totale'!$D:$DH,BP$1,0),IF(LEFT(VLOOKUP($D43,'Visu totale'!$D:$DH,BP$1,0),1)="V",IF(BO43&gt;=INDEX('[1]Définition Maintenances'!$G:$G,MATCH($A43,'[1]Définition Maintenances'!$K:$K,0)),BO43,INDEX('[1]Définition Maintenances'!$G:$G,MATCH($A43,'[1]Définition Maintenances'!$K:$K,0))+BO43),BO43))</f>
        <v>1200</v>
      </c>
      <c r="BQ43" s="26">
        <f>IF(ISNUMBER(VLOOKUP($D43,'Visu totale'!$D:$DH,BQ$1,0)),BP43-VLOOKUP($D43,'Visu totale'!$D:$DH,BQ$1,0),IF(LEFT(VLOOKUP($D43,'Visu totale'!$D:$DH,BQ$1,0),1)="V",IF(BP43&gt;=INDEX('[1]Définition Maintenances'!$G:$G,MATCH($A43,'[1]Définition Maintenances'!$K:$K,0)),BP43,INDEX('[1]Définition Maintenances'!$G:$G,MATCH($A43,'[1]Définition Maintenances'!$K:$K,0))+BP43),BP43))</f>
        <v>1200</v>
      </c>
      <c r="BR43" s="26">
        <f>IF(ISNUMBER(VLOOKUP($D43,'Visu totale'!$D:$DH,BR$1,0)),BQ43-VLOOKUP($D43,'Visu totale'!$D:$DH,BR$1,0),IF(LEFT(VLOOKUP($D43,'Visu totale'!$D:$DH,BR$1,0),1)="V",IF(BQ43&gt;=INDEX('[1]Définition Maintenances'!$G:$G,MATCH($A43,'[1]Définition Maintenances'!$K:$K,0)),BQ43,INDEX('[1]Définition Maintenances'!$G:$G,MATCH($A43,'[1]Définition Maintenances'!$K:$K,0))+BQ43),BQ43))</f>
        <v>1200</v>
      </c>
      <c r="BS43" s="26">
        <f>IF(ISNUMBER(VLOOKUP($D43,'Visu totale'!$D:$DH,BS$1,0)),BR43-VLOOKUP($D43,'Visu totale'!$D:$DH,BS$1,0),IF(LEFT(VLOOKUP($D43,'Visu totale'!$D:$DH,BS$1,0),1)="V",IF(BR43&gt;=INDEX('[1]Définition Maintenances'!$G:$G,MATCH($A43,'[1]Définition Maintenances'!$K:$K,0)),BR43,INDEX('[1]Définition Maintenances'!$G:$G,MATCH($A43,'[1]Définition Maintenances'!$K:$K,0))+BR43),BR43))</f>
        <v>1200</v>
      </c>
      <c r="BT43" s="26">
        <f>IF(ISNUMBER(VLOOKUP($D43,'Visu totale'!$D:$DH,BT$1,0)),BS43-VLOOKUP($D43,'Visu totale'!$D:$DH,BT$1,0),IF(LEFT(VLOOKUP($D43,'Visu totale'!$D:$DH,BT$1,0),1)="V",IF(BS43&gt;=INDEX('[1]Définition Maintenances'!$G:$G,MATCH($A43,'[1]Définition Maintenances'!$K:$K,0)),BS43,INDEX('[1]Définition Maintenances'!$G:$G,MATCH($A43,'[1]Définition Maintenances'!$K:$K,0))+BS43),BS43))</f>
        <v>1200</v>
      </c>
      <c r="BU43" s="26">
        <f>IF(ISNUMBER(VLOOKUP($D43,'Visu totale'!$D:$DH,BU$1,0)),BT43-VLOOKUP($D43,'Visu totale'!$D:$DH,BU$1,0),IF(LEFT(VLOOKUP($D43,'Visu totale'!$D:$DH,BU$1,0),1)="V",IF(BT43&gt;=INDEX('[1]Définition Maintenances'!$G:$G,MATCH($A43,'[1]Définition Maintenances'!$K:$K,0)),BT43,INDEX('[1]Définition Maintenances'!$G:$G,MATCH($A43,'[1]Définition Maintenances'!$K:$K,0))+BT43),BT43))</f>
        <v>1200</v>
      </c>
      <c r="BV43" s="26">
        <f>IF(ISNUMBER(VLOOKUP($D43,'Visu totale'!$D:$DH,BV$1,0)),BU43-VLOOKUP($D43,'Visu totale'!$D:$DH,BV$1,0),IF(LEFT(VLOOKUP($D43,'Visu totale'!$D:$DH,BV$1,0),1)="V",IF(BU43&gt;=INDEX('[1]Définition Maintenances'!$G:$G,MATCH($A43,'[1]Définition Maintenances'!$K:$K,0)),BU43,INDEX('[1]Définition Maintenances'!$G:$G,MATCH($A43,'[1]Définition Maintenances'!$K:$K,0))+BU43),BU43))</f>
        <v>1200</v>
      </c>
      <c r="BW43" s="26">
        <f>IF(ISNUMBER(VLOOKUP($D43,'Visu totale'!$D:$DH,BW$1,0)),BV43-VLOOKUP($D43,'Visu totale'!$D:$DH,BW$1,0),IF(LEFT(VLOOKUP($D43,'Visu totale'!$D:$DH,BW$1,0),1)="V",IF(BV43&gt;=INDEX('[1]Définition Maintenances'!$G:$G,MATCH($A43,'[1]Définition Maintenances'!$K:$K,0)),BV43,INDEX('[1]Définition Maintenances'!$G:$G,MATCH($A43,'[1]Définition Maintenances'!$K:$K,0))+BV43),BV43))</f>
        <v>1200</v>
      </c>
      <c r="BX43" s="26">
        <f>IF(ISNUMBER(VLOOKUP($D43,'Visu totale'!$D:$DH,BX$1,0)),BW43-VLOOKUP($D43,'Visu totale'!$D:$DH,BX$1,0),IF(LEFT(VLOOKUP($D43,'Visu totale'!$D:$DH,BX$1,0),1)="V",IF(BW43&gt;=INDEX('[1]Définition Maintenances'!$G:$G,MATCH($A43,'[1]Définition Maintenances'!$K:$K,0)),BW43,INDEX('[1]Définition Maintenances'!$G:$G,MATCH($A43,'[1]Définition Maintenances'!$K:$K,0))+BW43),BW43))</f>
        <v>1200</v>
      </c>
      <c r="BY43" s="27">
        <f>IF(ISNUMBER(VLOOKUP($D43,'Visu totale'!$D:$DH,BY$1,0)),BX43-VLOOKUP($D43,'Visu totale'!$D:$DH,BY$1,0),IF(LEFT(VLOOKUP($D43,'Visu totale'!$D:$DH,BY$1,0),1)="V",IF(BX43&gt;=INDEX('[1]Définition Maintenances'!$G:$G,MATCH($A43,'[1]Définition Maintenances'!$K:$K,0)),BX43,INDEX('[1]Définition Maintenances'!$G:$G,MATCH($A43,'[1]Définition Maintenances'!$K:$K,0))+BX43),BX43))</f>
        <v>1200</v>
      </c>
      <c r="BZ43" s="25">
        <f>IF(ISNUMBER(VLOOKUP($D43,'Visu totale'!$D:$DH,BZ$1,0)),BY43-VLOOKUP($D43,'Visu totale'!$D:$DH,BZ$1,0),IF(LEFT(VLOOKUP($D43,'Visu totale'!$D:$DH,BZ$1,0),1)="V",IF(BY43&gt;=INDEX('[1]Définition Maintenances'!$G:$G,MATCH($A43,'[1]Définition Maintenances'!$K:$K,0)),BY43,INDEX('[1]Définition Maintenances'!$G:$G,MATCH($A43,'[1]Définition Maintenances'!$K:$K,0))+BY43),BY43))</f>
        <v>1200</v>
      </c>
      <c r="CA43" s="26">
        <f>IF(ISNUMBER(VLOOKUP($D43,'Visu totale'!$D:$DH,CA$1,0)),BZ43-VLOOKUP($D43,'Visu totale'!$D:$DH,CA$1,0),IF(LEFT(VLOOKUP($D43,'Visu totale'!$D:$DH,CA$1,0),1)="V",IF(BZ43&gt;=INDEX('[1]Définition Maintenances'!$G:$G,MATCH($A43,'[1]Définition Maintenances'!$K:$K,0)),BZ43,INDEX('[1]Définition Maintenances'!$G:$G,MATCH($A43,'[1]Définition Maintenances'!$K:$K,0))+BZ43),BZ43))</f>
        <v>1200</v>
      </c>
      <c r="CB43" s="26">
        <f>IF(ISNUMBER(VLOOKUP($D43,'Visu totale'!$D:$DH,CB$1,0)),CA43-VLOOKUP($D43,'Visu totale'!$D:$DH,CB$1,0),IF(LEFT(VLOOKUP($D43,'Visu totale'!$D:$DH,CB$1,0),1)="V",IF(CA43&gt;=INDEX('[1]Définition Maintenances'!$G:$G,MATCH($A43,'[1]Définition Maintenances'!$K:$K,0)),CA43,INDEX('[1]Définition Maintenances'!$G:$G,MATCH($A43,'[1]Définition Maintenances'!$K:$K,0))+CA43),CA43))</f>
        <v>1200</v>
      </c>
      <c r="CC43" s="26">
        <f>IF(ISNUMBER(VLOOKUP($D43,'Visu totale'!$D:$DH,CC$1,0)),CB43-VLOOKUP($D43,'Visu totale'!$D:$DH,CC$1,0),IF(LEFT(VLOOKUP($D43,'Visu totale'!$D:$DH,CC$1,0),1)="V",IF(CB43&gt;=INDEX('[1]Définition Maintenances'!$G:$G,MATCH($A43,'[1]Définition Maintenances'!$K:$K,0)),CB43,INDEX('[1]Définition Maintenances'!$G:$G,MATCH($A43,'[1]Définition Maintenances'!$K:$K,0))+CB43),CB43))</f>
        <v>1200</v>
      </c>
      <c r="CD43" s="26">
        <f>IF(ISNUMBER(VLOOKUP($D43,'Visu totale'!$D:$DH,CD$1,0)),CC43-VLOOKUP($D43,'Visu totale'!$D:$DH,CD$1,0),IF(LEFT(VLOOKUP($D43,'Visu totale'!$D:$DH,CD$1,0),1)="V",IF(CC43&gt;=INDEX('[1]Définition Maintenances'!$G:$G,MATCH($A43,'[1]Définition Maintenances'!$K:$K,0)),CC43,INDEX('[1]Définition Maintenances'!$G:$G,MATCH($A43,'[1]Définition Maintenances'!$K:$K,0))+CC43),CC43))</f>
        <v>1200</v>
      </c>
      <c r="CE43" s="26">
        <f>IF(ISNUMBER(VLOOKUP($D43,'Visu totale'!$D:$DH,CE$1,0)),CD43-VLOOKUP($D43,'Visu totale'!$D:$DH,CE$1,0),IF(LEFT(VLOOKUP($D43,'Visu totale'!$D:$DH,CE$1,0),1)="V",IF(CD43&gt;=INDEX('[1]Définition Maintenances'!$G:$G,MATCH($A43,'[1]Définition Maintenances'!$K:$K,0)),CD43,INDEX('[1]Définition Maintenances'!$G:$G,MATCH($A43,'[1]Définition Maintenances'!$K:$K,0))+CD43),CD43))</f>
        <v>1200</v>
      </c>
      <c r="CF43" s="26">
        <f>IF(ISNUMBER(VLOOKUP($D43,'Visu totale'!$D:$DH,CF$1,0)),CE43-VLOOKUP($D43,'Visu totale'!$D:$DH,CF$1,0),IF(LEFT(VLOOKUP($D43,'Visu totale'!$D:$DH,CF$1,0),1)="V",IF(CE43&gt;=INDEX('[1]Définition Maintenances'!$G:$G,MATCH($A43,'[1]Définition Maintenances'!$K:$K,0)),CE43,INDEX('[1]Définition Maintenances'!$G:$G,MATCH($A43,'[1]Définition Maintenances'!$K:$K,0))+CE43),CE43))</f>
        <v>1200</v>
      </c>
      <c r="CG43" s="26">
        <f>IF(ISNUMBER(VLOOKUP($D43,'Visu totale'!$D:$DH,CG$1,0)),CF43-VLOOKUP($D43,'Visu totale'!$D:$DH,CG$1,0),IF(LEFT(VLOOKUP($D43,'Visu totale'!$D:$DH,CG$1,0),1)="V",IF(CF43&gt;=INDEX('[1]Définition Maintenances'!$G:$G,MATCH($A43,'[1]Définition Maintenances'!$K:$K,0)),CF43,INDEX('[1]Définition Maintenances'!$G:$G,MATCH($A43,'[1]Définition Maintenances'!$K:$K,0))+CF43),CF43))</f>
        <v>1200</v>
      </c>
      <c r="CH43" s="26">
        <f>IF(ISNUMBER(VLOOKUP($D43,'Visu totale'!$D:$DH,CH$1,0)),CG43-VLOOKUP($D43,'Visu totale'!$D:$DH,CH$1,0),IF(LEFT(VLOOKUP($D43,'Visu totale'!$D:$DH,CH$1,0),1)="V",IF(CG43&gt;=INDEX('[1]Définition Maintenances'!$G:$G,MATCH($A43,'[1]Définition Maintenances'!$K:$K,0)),CG43,INDEX('[1]Définition Maintenances'!$G:$G,MATCH($A43,'[1]Définition Maintenances'!$K:$K,0))+CG43),CG43))</f>
        <v>1200</v>
      </c>
      <c r="CI43" s="26">
        <f>IF(ISNUMBER(VLOOKUP($D43,'Visu totale'!$D:$DH,CI$1,0)),CH43-VLOOKUP($D43,'Visu totale'!$D:$DH,CI$1,0),IF(LEFT(VLOOKUP($D43,'Visu totale'!$D:$DH,CI$1,0),1)="V",IF(CH43&gt;=INDEX('[1]Définition Maintenances'!$G:$G,MATCH($A43,'[1]Définition Maintenances'!$K:$K,0)),CH43,INDEX('[1]Définition Maintenances'!$G:$G,MATCH($A43,'[1]Définition Maintenances'!$K:$K,0))+CH43),CH43))</f>
        <v>1200</v>
      </c>
      <c r="CJ43" s="26">
        <f>IF(ISNUMBER(VLOOKUP($D43,'Visu totale'!$D:$DH,CJ$1,0)),CI43-VLOOKUP($D43,'Visu totale'!$D:$DH,CJ$1,0),IF(LEFT(VLOOKUP($D43,'Visu totale'!$D:$DH,CJ$1,0),1)="V",IF(CI43&gt;=INDEX('[1]Définition Maintenances'!$G:$G,MATCH($A43,'[1]Définition Maintenances'!$K:$K,0)),CI43,INDEX('[1]Définition Maintenances'!$G:$G,MATCH($A43,'[1]Définition Maintenances'!$K:$K,0))+CI43),CI43))</f>
        <v>1200</v>
      </c>
      <c r="CK43" s="27">
        <f>IF(ISNUMBER(VLOOKUP($D43,'Visu totale'!$D:$DH,CK$1,0)),CJ43-VLOOKUP($D43,'Visu totale'!$D:$DH,CK$1,0),IF(LEFT(VLOOKUP($D43,'Visu totale'!$D:$DH,CK$1,0),1)="V",IF(CJ43&gt;=INDEX('[1]Définition Maintenances'!$G:$G,MATCH($A43,'[1]Définition Maintenances'!$K:$K,0)),CJ43,INDEX('[1]Définition Maintenances'!$G:$G,MATCH($A43,'[1]Définition Maintenances'!$K:$K,0))+CJ43),CJ43))</f>
        <v>1200</v>
      </c>
      <c r="CL43" s="25">
        <f>IF(ISNUMBER(VLOOKUP($D43,'Visu totale'!$D:$DH,CL$1,0)),CK43-VLOOKUP($D43,'Visu totale'!$D:$DH,CL$1,0),IF(LEFT(VLOOKUP($D43,'Visu totale'!$D:$DH,CL$1,0),1)="V",IF(CK43&gt;=INDEX('[1]Définition Maintenances'!$G:$G,MATCH($A43,'[1]Définition Maintenances'!$K:$K,0)),CK43,INDEX('[1]Définition Maintenances'!$G:$G,MATCH($A43,'[1]Définition Maintenances'!$K:$K,0))+CK43),CK43))</f>
        <v>1200</v>
      </c>
      <c r="CM43" s="26">
        <f>IF(ISNUMBER(VLOOKUP($D43,'Visu totale'!$D:$DH,CM$1,0)),CL43-VLOOKUP($D43,'Visu totale'!$D:$DH,CM$1,0),IF(LEFT(VLOOKUP($D43,'Visu totale'!$D:$DH,CM$1,0),1)="V",IF(CL43&gt;=INDEX('[1]Définition Maintenances'!$G:$G,MATCH($A43,'[1]Définition Maintenances'!$K:$K,0)),CL43,INDEX('[1]Définition Maintenances'!$G:$G,MATCH($A43,'[1]Définition Maintenances'!$K:$K,0))+CL43),CL43))</f>
        <v>1200</v>
      </c>
      <c r="CN43" s="26">
        <f>IF(ISNUMBER(VLOOKUP($D43,'Visu totale'!$D:$DH,CN$1,0)),CM43-VLOOKUP($D43,'Visu totale'!$D:$DH,CN$1,0),IF(LEFT(VLOOKUP($D43,'Visu totale'!$D:$DH,CN$1,0),1)="V",IF(CM43&gt;=INDEX('[1]Définition Maintenances'!$G:$G,MATCH($A43,'[1]Définition Maintenances'!$K:$K,0)),CM43,INDEX('[1]Définition Maintenances'!$G:$G,MATCH($A43,'[1]Définition Maintenances'!$K:$K,0))+CM43),CM43))</f>
        <v>1200</v>
      </c>
      <c r="CO43" s="26">
        <f>IF(ISNUMBER(VLOOKUP($D43,'Visu totale'!$D:$DH,CO$1,0)),CN43-VLOOKUP($D43,'Visu totale'!$D:$DH,CO$1,0),IF(LEFT(VLOOKUP($D43,'Visu totale'!$D:$DH,CO$1,0),1)="V",IF(CN43&gt;=INDEX('[1]Définition Maintenances'!$G:$G,MATCH($A43,'[1]Définition Maintenances'!$K:$K,0)),CN43,INDEX('[1]Définition Maintenances'!$G:$G,MATCH($A43,'[1]Définition Maintenances'!$K:$K,0))+CN43),CN43))</f>
        <v>1200</v>
      </c>
      <c r="CP43" s="26">
        <f>IF(ISNUMBER(VLOOKUP($D43,'Visu totale'!$D:$DH,CP$1,0)),CO43-VLOOKUP($D43,'Visu totale'!$D:$DH,CP$1,0),IF(LEFT(VLOOKUP($D43,'Visu totale'!$D:$DH,CP$1,0),1)="V",IF(CO43&gt;=INDEX('[1]Définition Maintenances'!$G:$G,MATCH($A43,'[1]Définition Maintenances'!$K:$K,0)),CO43,INDEX('[1]Définition Maintenances'!$G:$G,MATCH($A43,'[1]Définition Maintenances'!$K:$K,0))+CO43),CO43))</f>
        <v>1200</v>
      </c>
      <c r="CQ43" s="26">
        <f>IF(ISNUMBER(VLOOKUP($D43,'Visu totale'!$D:$DH,CQ$1,0)),CP43-VLOOKUP($D43,'Visu totale'!$D:$DH,CQ$1,0),IF(LEFT(VLOOKUP($D43,'Visu totale'!$D:$DH,CQ$1,0),1)="V",IF(CP43&gt;=INDEX('[1]Définition Maintenances'!$G:$G,MATCH($A43,'[1]Définition Maintenances'!$K:$K,0)),CP43,INDEX('[1]Définition Maintenances'!$G:$G,MATCH($A43,'[1]Définition Maintenances'!$K:$K,0))+CP43),CP43))</f>
        <v>1200</v>
      </c>
      <c r="CR43" s="26">
        <f>IF(ISNUMBER(VLOOKUP($D43,'Visu totale'!$D:$DH,CR$1,0)),CQ43-VLOOKUP($D43,'Visu totale'!$D:$DH,CR$1,0),IF(LEFT(VLOOKUP($D43,'Visu totale'!$D:$DH,CR$1,0),1)="V",IF(CQ43&gt;=INDEX('[1]Définition Maintenances'!$G:$G,MATCH($A43,'[1]Définition Maintenances'!$K:$K,0)),CQ43,INDEX('[1]Définition Maintenances'!$G:$G,MATCH($A43,'[1]Définition Maintenances'!$K:$K,0))+CQ43),CQ43))</f>
        <v>1200</v>
      </c>
      <c r="CS43" s="26">
        <f>IF(ISNUMBER(VLOOKUP($D43,'Visu totale'!$D:$DH,CS$1,0)),CR43-VLOOKUP($D43,'Visu totale'!$D:$DH,CS$1,0),IF(LEFT(VLOOKUP($D43,'Visu totale'!$D:$DH,CS$1,0),1)="V",IF(CR43&gt;=INDEX('[1]Définition Maintenances'!$G:$G,MATCH($A43,'[1]Définition Maintenances'!$K:$K,0)),CR43,INDEX('[1]Définition Maintenances'!$G:$G,MATCH($A43,'[1]Définition Maintenances'!$K:$K,0))+CR43),CR43))</f>
        <v>1200</v>
      </c>
      <c r="CT43" s="26">
        <f>IF(ISNUMBER(VLOOKUP($D43,'Visu totale'!$D:$DH,CT$1,0)),CS43-VLOOKUP($D43,'Visu totale'!$D:$DH,CT$1,0),IF(LEFT(VLOOKUP($D43,'Visu totale'!$D:$DH,CT$1,0),1)="V",IF(CS43&gt;=INDEX('[1]Définition Maintenances'!$G:$G,MATCH($A43,'[1]Définition Maintenances'!$K:$K,0)),CS43,INDEX('[1]Définition Maintenances'!$G:$G,MATCH($A43,'[1]Définition Maintenances'!$K:$K,0))+CS43),CS43))</f>
        <v>1200</v>
      </c>
      <c r="CU43" s="26">
        <f>IF(ISNUMBER(VLOOKUP($D43,'Visu totale'!$D:$DH,CU$1,0)),CT43-VLOOKUP($D43,'Visu totale'!$D:$DH,CU$1,0),IF(LEFT(VLOOKUP($D43,'Visu totale'!$D:$DH,CU$1,0),1)="V",IF(CT43&gt;=INDEX('[1]Définition Maintenances'!$G:$G,MATCH($A43,'[1]Définition Maintenances'!$K:$K,0)),CT43,INDEX('[1]Définition Maintenances'!$G:$G,MATCH($A43,'[1]Définition Maintenances'!$K:$K,0))+CT43),CT43))</f>
        <v>1200</v>
      </c>
      <c r="CV43" s="26">
        <f>IF(ISNUMBER(VLOOKUP($D43,'Visu totale'!$D:$DH,CV$1,0)),CU43-VLOOKUP($D43,'Visu totale'!$D:$DH,CV$1,0),IF(LEFT(VLOOKUP($D43,'Visu totale'!$D:$DH,CV$1,0),1)="V",IF(CU43&gt;=INDEX('[1]Définition Maintenances'!$G:$G,MATCH($A43,'[1]Définition Maintenances'!$K:$K,0)),CU43,INDEX('[1]Définition Maintenances'!$G:$G,MATCH($A43,'[1]Définition Maintenances'!$K:$K,0))+CU43),CU43))</f>
        <v>1200</v>
      </c>
      <c r="CW43" s="27">
        <f>IF(ISNUMBER(VLOOKUP($D43,'Visu totale'!$D:$DH,CW$1,0)),CV43-VLOOKUP($D43,'Visu totale'!$D:$DH,CW$1,0),IF(LEFT(VLOOKUP($D43,'Visu totale'!$D:$DH,CW$1,0),1)="V",IF(CV43&gt;=INDEX('[1]Définition Maintenances'!$G:$G,MATCH($A43,'[1]Définition Maintenances'!$K:$K,0)),CV43,INDEX('[1]Définition Maintenances'!$G:$G,MATCH($A43,'[1]Définition Maintenances'!$K:$K,0))+CV43),CV43))</f>
        <v>1200</v>
      </c>
      <c r="CX43" s="25">
        <f>IF(ISNUMBER(VLOOKUP($D43,'Visu totale'!$D:$DH,CX$1,0)),CW43-VLOOKUP($D43,'Visu totale'!$D:$DH,CX$1,0),IF(LEFT(VLOOKUP($D43,'Visu totale'!$D:$DH,CX$1,0),1)="V",IF(CW43&gt;=INDEX('[1]Définition Maintenances'!$G:$G,MATCH($A43,'[1]Définition Maintenances'!$K:$K,0)),CW43,INDEX('[1]Définition Maintenances'!$G:$G,MATCH($A43,'[1]Définition Maintenances'!$K:$K,0))+CW43),CW43))</f>
        <v>1200</v>
      </c>
      <c r="CY43" s="26">
        <f>IF(ISNUMBER(VLOOKUP($D43,'Visu totale'!$D:$DH,CY$1,0)),CX43-VLOOKUP($D43,'Visu totale'!$D:$DH,CY$1,0),IF(LEFT(VLOOKUP($D43,'Visu totale'!$D:$DH,CY$1,0),1)="V",IF(CX43&gt;=INDEX('[1]Définition Maintenances'!$G:$G,MATCH($A43,'[1]Définition Maintenances'!$K:$K,0)),CX43,INDEX('[1]Définition Maintenances'!$G:$G,MATCH($A43,'[1]Définition Maintenances'!$K:$K,0))+CX43),CX43))</f>
        <v>1200</v>
      </c>
      <c r="CZ43" s="26">
        <f>IF(ISNUMBER(VLOOKUP($D43,'Visu totale'!$D:$DH,CZ$1,0)),CY43-VLOOKUP($D43,'Visu totale'!$D:$DH,CZ$1,0),IF(LEFT(VLOOKUP($D43,'Visu totale'!$D:$DH,CZ$1,0),1)="V",IF(CY43&gt;=INDEX('[1]Définition Maintenances'!$G:$G,MATCH($A43,'[1]Définition Maintenances'!$K:$K,0)),CY43,INDEX('[1]Définition Maintenances'!$G:$G,MATCH($A43,'[1]Définition Maintenances'!$K:$K,0))+CY43),CY43))</f>
        <v>1200</v>
      </c>
      <c r="DA43" s="26">
        <f>IF(ISNUMBER(VLOOKUP($D43,'Visu totale'!$D:$DH,DA$1,0)),CZ43-VLOOKUP($D43,'Visu totale'!$D:$DH,DA$1,0),IF(LEFT(VLOOKUP($D43,'Visu totale'!$D:$DH,DA$1,0),1)="V",IF(CZ43&gt;=INDEX('[1]Définition Maintenances'!$G:$G,MATCH($A43,'[1]Définition Maintenances'!$K:$K,0)),CZ43,INDEX('[1]Définition Maintenances'!$G:$G,MATCH($A43,'[1]Définition Maintenances'!$K:$K,0))+CZ43),CZ43))</f>
        <v>1200</v>
      </c>
      <c r="DB43" s="26">
        <f>IF(ISNUMBER(VLOOKUP($D43,'Visu totale'!$D:$DH,DB$1,0)),DA43-VLOOKUP($D43,'Visu totale'!$D:$DH,DB$1,0),IF(LEFT(VLOOKUP($D43,'Visu totale'!$D:$DH,DB$1,0),1)="V",IF(DA43&gt;=INDEX('[1]Définition Maintenances'!$G:$G,MATCH($A43,'[1]Définition Maintenances'!$K:$K,0)),DA43,INDEX('[1]Définition Maintenances'!$G:$G,MATCH($A43,'[1]Définition Maintenances'!$K:$K,0))+DA43),DA43))</f>
        <v>1200</v>
      </c>
      <c r="DC43" s="26">
        <f>IF(ISNUMBER(VLOOKUP($D43,'Visu totale'!$D:$DH,DC$1,0)),DB43-VLOOKUP($D43,'Visu totale'!$D:$DH,DC$1,0),IF(LEFT(VLOOKUP($D43,'Visu totale'!$D:$DH,DC$1,0),1)="V",IF(DB43&gt;=INDEX('[1]Définition Maintenances'!$G:$G,MATCH($A43,'[1]Définition Maintenances'!$K:$K,0)),DB43,INDEX('[1]Définition Maintenances'!$G:$G,MATCH($A43,'[1]Définition Maintenances'!$K:$K,0))+DB43),DB43))</f>
        <v>1200</v>
      </c>
      <c r="DD43" s="26">
        <f>IF(ISNUMBER(VLOOKUP($D43,'Visu totale'!$D:$DH,DD$1,0)),DC43-VLOOKUP($D43,'Visu totale'!$D:$DH,DD$1,0),IF(LEFT(VLOOKUP($D43,'Visu totale'!$D:$DH,DD$1,0),1)="V",IF(DC43&gt;=INDEX('[1]Définition Maintenances'!$G:$G,MATCH($A43,'[1]Définition Maintenances'!$K:$K,0)),DC43,INDEX('[1]Définition Maintenances'!$G:$G,MATCH($A43,'[1]Définition Maintenances'!$K:$K,0))+DC43),DC43))</f>
        <v>1200</v>
      </c>
      <c r="DE43" s="26">
        <f>IF(ISNUMBER(VLOOKUP($D43,'Visu totale'!$D:$DH,DE$1,0)),DD43-VLOOKUP($D43,'Visu totale'!$D:$DH,DE$1,0),IF(LEFT(VLOOKUP($D43,'Visu totale'!$D:$DH,DE$1,0),1)="V",IF(DD43&gt;=INDEX('[1]Définition Maintenances'!$G:$G,MATCH($A43,'[1]Définition Maintenances'!$K:$K,0)),DD43,INDEX('[1]Définition Maintenances'!$G:$G,MATCH($A43,'[1]Définition Maintenances'!$K:$K,0))+DD43),DD43))</f>
        <v>1200</v>
      </c>
      <c r="DF43" s="26">
        <f>IF(ISNUMBER(VLOOKUP($D43,'Visu totale'!$D:$DH,DF$1,0)),DE43-VLOOKUP($D43,'Visu totale'!$D:$DH,DF$1,0),IF(LEFT(VLOOKUP($D43,'Visu totale'!$D:$DH,DF$1,0),1)="V",IF(DE43&gt;=INDEX('[1]Définition Maintenances'!$G:$G,MATCH($A43,'[1]Définition Maintenances'!$K:$K,0)),DE43,INDEX('[1]Définition Maintenances'!$G:$G,MATCH($A43,'[1]Définition Maintenances'!$K:$K,0))+DE43),DE43))</f>
        <v>1200</v>
      </c>
      <c r="DG43" s="26">
        <f>IF(ISNUMBER(VLOOKUP($D43,'Visu totale'!$D:$DH,DG$1,0)),DF43-VLOOKUP($D43,'Visu totale'!$D:$DH,DG$1,0),IF(LEFT(VLOOKUP($D43,'Visu totale'!$D:$DH,DG$1,0),1)="V",IF(DF43&gt;=INDEX('[1]Définition Maintenances'!$G:$G,MATCH($A43,'[1]Définition Maintenances'!$K:$K,0)),DF43,INDEX('[1]Définition Maintenances'!$G:$G,MATCH($A43,'[1]Définition Maintenances'!$K:$K,0))+DF43),DF43))</f>
        <v>1200</v>
      </c>
      <c r="DH43" s="26">
        <f>IF(ISNUMBER(VLOOKUP($D43,'Visu totale'!$D:$DH,DH$1,0)),DG43-VLOOKUP($D43,'Visu totale'!$D:$DH,DH$1,0),IF(LEFT(VLOOKUP($D43,'Visu totale'!$D:$DH,DH$1,0),1)="V",IF(DG43&gt;=INDEX('[1]Définition Maintenances'!$G:$G,MATCH($A43,'[1]Définition Maintenances'!$K:$K,0)),DG43,INDEX('[1]Définition Maintenances'!$G:$G,MATCH($A43,'[1]Définition Maintenances'!$K:$K,0))+DG43),DG43))</f>
        <v>1200</v>
      </c>
      <c r="DI43" s="27">
        <f>IF(ISNUMBER(VLOOKUP($D43,'Visu totale'!$D:$DH,DI$1,0)),DH43-VLOOKUP($D43,'Visu totale'!$D:$DH,DI$1,0),IF(LEFT(VLOOKUP($D43,'Visu totale'!$D:$DH,DI$1,0),1)="V",IF(DH43&gt;=INDEX('[1]Définition Maintenances'!$G:$G,MATCH($A43,'[1]Définition Maintenances'!$K:$K,0)),DH43,INDEX('[1]Définition Maintenances'!$G:$G,MATCH($A43,'[1]Définition Maintenances'!$K:$K,0))+DH43),DH43))</f>
        <v>1200</v>
      </c>
    </row>
    <row r="44" spans="1:113" x14ac:dyDescent="0.25">
      <c r="A44" s="13" t="str">
        <f t="shared" si="1"/>
        <v>V10D</v>
      </c>
      <c r="B44" s="13" t="str">
        <f>VLOOKUP(D44,'[1]Avions (Potentiels)'!$B$2:$H$128,7,FALSE)</f>
        <v>V10</v>
      </c>
      <c r="C44" s="13"/>
      <c r="D44" s="16" t="s">
        <v>47</v>
      </c>
      <c r="E44" s="13">
        <f>IFERROR(VALUE(SUBSTITUTE(VLOOKUP(D44,'[1]Avions (Potentiels)'!$B:$E,4,0),".",",")),VALUE(VLOOKUP(D44,'[1]Avions (Potentiels)'!$B:$E,4,0)))</f>
        <v>861</v>
      </c>
      <c r="F44" s="25">
        <f>IF(ISNUMBER(VLOOKUP($D44,'Visu totale'!$D:$DH,F$1,0)),E44-VLOOKUP($D44,'Visu totale'!$D:$DH,F$1,0),IF(LEFT(VLOOKUP($D44,'Visu totale'!$D:$DH,F$1,0),1)="V",IF(E44&gt;=INDEX('[1]Définition Maintenances'!$G:$G,MATCH($A44,'[1]Définition Maintenances'!$K:$K,0)),E44,INDEX('[1]Définition Maintenances'!$G:$G,MATCH($A44,'[1]Définition Maintenances'!$K:$K,0))+E44),E44))</f>
        <v>861</v>
      </c>
      <c r="G44" s="26">
        <f>IF(ISNUMBER(VLOOKUP($D44,'Visu totale'!$D:$DH,G$1,0)),F44-VLOOKUP($D44,'Visu totale'!$D:$DH,G$1,0),IF(LEFT(VLOOKUP($D44,'Visu totale'!$D:$DH,G$1,0),1)="V",IF(F44&gt;=INDEX('[1]Définition Maintenances'!$G:$G,MATCH($A44,'[1]Définition Maintenances'!$K:$K,0)),F44,INDEX('[1]Définition Maintenances'!$G:$G,MATCH($A44,'[1]Définition Maintenances'!$K:$K,0))+F44),F44))</f>
        <v>861</v>
      </c>
      <c r="H44" s="26">
        <f>IF(ISNUMBER(VLOOKUP($D44,'Visu totale'!$D:$DH,H$1,0)),G44-VLOOKUP($D44,'Visu totale'!$D:$DH,H$1,0),IF(LEFT(VLOOKUP($D44,'Visu totale'!$D:$DH,H$1,0),1)="V",IF(G44&gt;=INDEX('[1]Définition Maintenances'!$G:$G,MATCH($A44,'[1]Définition Maintenances'!$K:$K,0)),G44,INDEX('[1]Définition Maintenances'!$G:$G,MATCH($A44,'[1]Définition Maintenances'!$K:$K,0))+G44),G44))</f>
        <v>861</v>
      </c>
      <c r="I44" s="26">
        <f>IF(ISNUMBER(VLOOKUP($D44,'Visu totale'!$D:$DH,I$1,0)),H44-VLOOKUP($D44,'Visu totale'!$D:$DH,I$1,0),IF(LEFT(VLOOKUP($D44,'Visu totale'!$D:$DH,I$1,0),1)="V",IF(H44&gt;=INDEX('[1]Définition Maintenances'!$G:$G,MATCH($A44,'[1]Définition Maintenances'!$K:$K,0)),H44,INDEX('[1]Définition Maintenances'!$G:$G,MATCH($A44,'[1]Définition Maintenances'!$K:$K,0))+H44),H44))</f>
        <v>861</v>
      </c>
      <c r="J44" s="26">
        <f>IF(ISNUMBER(VLOOKUP($D44,'Visu totale'!$D:$DH,J$1,0)),I44-VLOOKUP($D44,'Visu totale'!$D:$DH,J$1,0),IF(LEFT(VLOOKUP($D44,'Visu totale'!$D:$DH,J$1,0),1)="V",IF(I44&gt;=INDEX('[1]Définition Maintenances'!$G:$G,MATCH($A44,'[1]Définition Maintenances'!$K:$K,0)),I44,INDEX('[1]Définition Maintenances'!$G:$G,MATCH($A44,'[1]Définition Maintenances'!$K:$K,0))+I44),I44))</f>
        <v>861</v>
      </c>
      <c r="K44" s="26">
        <f>IF(ISNUMBER(VLOOKUP($D44,'Visu totale'!$D:$DH,K$1,0)),J44-VLOOKUP($D44,'Visu totale'!$D:$DH,K$1,0),IF(LEFT(VLOOKUP($D44,'Visu totale'!$D:$DH,K$1,0),1)="V",IF(J44&gt;=INDEX('[1]Définition Maintenances'!$G:$G,MATCH($A44,'[1]Définition Maintenances'!$K:$K,0)),J44,INDEX('[1]Définition Maintenances'!$G:$G,MATCH($A44,'[1]Définition Maintenances'!$K:$K,0))+J44),J44))</f>
        <v>861</v>
      </c>
      <c r="L44" s="26">
        <f>IF(ISNUMBER(VLOOKUP($D44,'Visu totale'!$D:$DH,L$1,0)),K44-VLOOKUP($D44,'Visu totale'!$D:$DH,L$1,0),IF(LEFT(VLOOKUP($D44,'Visu totale'!$D:$DH,L$1,0),1)="V",IF(K44&gt;=INDEX('[1]Définition Maintenances'!$G:$G,MATCH($A44,'[1]Définition Maintenances'!$K:$K,0)),K44,INDEX('[1]Définition Maintenances'!$G:$G,MATCH($A44,'[1]Définition Maintenances'!$K:$K,0))+K44),K44))</f>
        <v>861</v>
      </c>
      <c r="M44" s="26">
        <f>IF(ISNUMBER(VLOOKUP($D44,'Visu totale'!$D:$DH,M$1,0)),L44-VLOOKUP($D44,'Visu totale'!$D:$DH,M$1,0),IF(LEFT(VLOOKUP($D44,'Visu totale'!$D:$DH,M$1,0),1)="V",IF(L44&gt;=INDEX('[1]Définition Maintenances'!$G:$G,MATCH($A44,'[1]Définition Maintenances'!$K:$K,0)),L44,INDEX('[1]Définition Maintenances'!$G:$G,MATCH($A44,'[1]Définition Maintenances'!$K:$K,0))+L44),L44))</f>
        <v>861</v>
      </c>
      <c r="N44" s="26">
        <f>IF(ISNUMBER(VLOOKUP($D44,'Visu totale'!$D:$DH,N$1,0)),M44-VLOOKUP($D44,'Visu totale'!$D:$DH,N$1,0),IF(LEFT(VLOOKUP($D44,'Visu totale'!$D:$DH,N$1,0),1)="V",IF(M44&gt;=INDEX('[1]Définition Maintenances'!$G:$G,MATCH($A44,'[1]Définition Maintenances'!$K:$K,0)),M44,INDEX('[1]Définition Maintenances'!$G:$G,MATCH($A44,'[1]Définition Maintenances'!$K:$K,0))+M44),M44))</f>
        <v>861</v>
      </c>
      <c r="O44" s="26">
        <f>IF(ISNUMBER(VLOOKUP($D44,'Visu totale'!$D:$DH,O$1,0)),N44-VLOOKUP($D44,'Visu totale'!$D:$DH,O$1,0),IF(LEFT(VLOOKUP($D44,'Visu totale'!$D:$DH,O$1,0),1)="V",IF(N44&gt;=INDEX('[1]Définition Maintenances'!$G:$G,MATCH($A44,'[1]Définition Maintenances'!$K:$K,0)),N44,INDEX('[1]Définition Maintenances'!$G:$G,MATCH($A44,'[1]Définition Maintenances'!$K:$K,0))+N44),N44))</f>
        <v>861</v>
      </c>
      <c r="P44" s="26">
        <f>IF(ISNUMBER(VLOOKUP($D44,'Visu totale'!$D:$DH,P$1,0)),O44-VLOOKUP($D44,'Visu totale'!$D:$DH,P$1,0),IF(LEFT(VLOOKUP($D44,'Visu totale'!$D:$DH,P$1,0),1)="V",IF(O44&gt;=INDEX('[1]Définition Maintenances'!$G:$G,MATCH($A44,'[1]Définition Maintenances'!$K:$K,0)),O44,INDEX('[1]Définition Maintenances'!$G:$G,MATCH($A44,'[1]Définition Maintenances'!$K:$K,0))+O44),O44))</f>
        <v>861</v>
      </c>
      <c r="Q44" s="27">
        <f>IF(ISNUMBER(VLOOKUP($D44,'Visu totale'!$D:$DH,Q$1,0)),P44-VLOOKUP($D44,'Visu totale'!$D:$DH,Q$1,0),IF(LEFT(VLOOKUP($D44,'Visu totale'!$D:$DH,Q$1,0),1)="V",IF(P44&gt;=INDEX('[1]Définition Maintenances'!$G:$G,MATCH($A44,'[1]Définition Maintenances'!$K:$K,0)),P44,INDEX('[1]Définition Maintenances'!$G:$G,MATCH($A44,'[1]Définition Maintenances'!$K:$K,0))+P44),P44))</f>
        <v>861</v>
      </c>
      <c r="R44" s="25">
        <f>IF(ISNUMBER(VLOOKUP($D44,'Visu totale'!$D:$DH,R$1,0)),Q44-VLOOKUP($D44,'Visu totale'!$D:$DH,R$1,0),IF(LEFT(VLOOKUP($D44,'Visu totale'!$D:$DH,R$1,0),1)="V",IF(Q44&gt;=INDEX('[1]Définition Maintenances'!$G:$G,MATCH($A44,'[1]Définition Maintenances'!$K:$K,0)),Q44,INDEX('[1]Définition Maintenances'!$G:$G,MATCH($A44,'[1]Définition Maintenances'!$K:$K,0))+Q44),Q44))</f>
        <v>861</v>
      </c>
      <c r="S44" s="26">
        <f>IF(ISNUMBER(VLOOKUP($D44,'Visu totale'!$D:$DH,S$1,0)),R44-VLOOKUP($D44,'Visu totale'!$D:$DH,S$1,0),IF(LEFT(VLOOKUP($D44,'Visu totale'!$D:$DH,S$1,0),1)="V",IF(R44&gt;=INDEX('[1]Définition Maintenances'!$G:$G,MATCH($A44,'[1]Définition Maintenances'!$K:$K,0)),R44,INDEX('[1]Définition Maintenances'!$G:$G,MATCH($A44,'[1]Définition Maintenances'!$K:$K,0))+R44),R44))</f>
        <v>861</v>
      </c>
      <c r="T44" s="26">
        <f>IF(ISNUMBER(VLOOKUP($D44,'Visu totale'!$D:$DH,T$1,0)),S44-VLOOKUP($D44,'Visu totale'!$D:$DH,T$1,0),IF(LEFT(VLOOKUP($D44,'Visu totale'!$D:$DH,T$1,0),1)="V",IF(S44&gt;=INDEX('[1]Définition Maintenances'!$G:$G,MATCH($A44,'[1]Définition Maintenances'!$K:$K,0)),S44,INDEX('[1]Définition Maintenances'!$G:$G,MATCH($A44,'[1]Définition Maintenances'!$K:$K,0))+S44),S44))</f>
        <v>861</v>
      </c>
      <c r="U44" s="26">
        <f>IF(ISNUMBER(VLOOKUP($D44,'Visu totale'!$D:$DH,U$1,0)),T44-VLOOKUP($D44,'Visu totale'!$D:$DH,U$1,0),IF(LEFT(VLOOKUP($D44,'Visu totale'!$D:$DH,U$1,0),1)="V",IF(T44&gt;=INDEX('[1]Définition Maintenances'!$G:$G,MATCH($A44,'[1]Définition Maintenances'!$K:$K,0)),T44,INDEX('[1]Définition Maintenances'!$G:$G,MATCH($A44,'[1]Définition Maintenances'!$K:$K,0))+T44),T44))</f>
        <v>861</v>
      </c>
      <c r="V44" s="26">
        <f>IF(ISNUMBER(VLOOKUP($D44,'Visu totale'!$D:$DH,V$1,0)),U44-VLOOKUP($D44,'Visu totale'!$D:$DH,V$1,0),IF(LEFT(VLOOKUP($D44,'Visu totale'!$D:$DH,V$1,0),1)="V",IF(U44&gt;=INDEX('[1]Définition Maintenances'!$G:$G,MATCH($A44,'[1]Définition Maintenances'!$K:$K,0)),U44,INDEX('[1]Définition Maintenances'!$G:$G,MATCH($A44,'[1]Définition Maintenances'!$K:$K,0))+U44),U44))</f>
        <v>861</v>
      </c>
      <c r="W44" s="26">
        <f>IF(ISNUMBER(VLOOKUP($D44,'Visu totale'!$D:$DH,W$1,0)),V44-VLOOKUP($D44,'Visu totale'!$D:$DH,W$1,0),IF(LEFT(VLOOKUP($D44,'Visu totale'!$D:$DH,W$1,0),1)="V",IF(V44&gt;=INDEX('[1]Définition Maintenances'!$G:$G,MATCH($A44,'[1]Définition Maintenances'!$K:$K,0)),V44,INDEX('[1]Définition Maintenances'!$G:$G,MATCH($A44,'[1]Définition Maintenances'!$K:$K,0))+V44),V44))</f>
        <v>861</v>
      </c>
      <c r="X44" s="26">
        <f>IF(ISNUMBER(VLOOKUP($D44,'Visu totale'!$D:$DH,X$1,0)),W44-VLOOKUP($D44,'Visu totale'!$D:$DH,X$1,0),IF(LEFT(VLOOKUP($D44,'Visu totale'!$D:$DH,X$1,0),1)="V",IF(W44&gt;=INDEX('[1]Définition Maintenances'!$G:$G,MATCH($A44,'[1]Définition Maintenances'!$K:$K,0)),W44,INDEX('[1]Définition Maintenances'!$G:$G,MATCH($A44,'[1]Définition Maintenances'!$K:$K,0))+W44),W44))</f>
        <v>861</v>
      </c>
      <c r="Y44" s="26">
        <f>IF(ISNUMBER(VLOOKUP($D44,'Visu totale'!$D:$DH,Y$1,0)),X44-VLOOKUP($D44,'Visu totale'!$D:$DH,Y$1,0),IF(LEFT(VLOOKUP($D44,'Visu totale'!$D:$DH,Y$1,0),1)="V",IF(X44&gt;=INDEX('[1]Définition Maintenances'!$G:$G,MATCH($A44,'[1]Définition Maintenances'!$K:$K,0)),X44,INDEX('[1]Définition Maintenances'!$G:$G,MATCH($A44,'[1]Définition Maintenances'!$K:$K,0))+X44),X44))</f>
        <v>861</v>
      </c>
      <c r="Z44" s="26">
        <f>IF(ISNUMBER(VLOOKUP($D44,'Visu totale'!$D:$DH,Z$1,0)),Y44-VLOOKUP($D44,'Visu totale'!$D:$DH,Z$1,0),IF(LEFT(VLOOKUP($D44,'Visu totale'!$D:$DH,Z$1,0),1)="V",IF(Y44&gt;=INDEX('[1]Définition Maintenances'!$G:$G,MATCH($A44,'[1]Définition Maintenances'!$K:$K,0)),Y44,INDEX('[1]Définition Maintenances'!$G:$G,MATCH($A44,'[1]Définition Maintenances'!$K:$K,0))+Y44),Y44))</f>
        <v>861</v>
      </c>
      <c r="AA44" s="26">
        <f>IF(ISNUMBER(VLOOKUP($D44,'Visu totale'!$D:$DH,AA$1,0)),Z44-VLOOKUP($D44,'Visu totale'!$D:$DH,AA$1,0),IF(LEFT(VLOOKUP($D44,'Visu totale'!$D:$DH,AA$1,0),1)="V",IF(Z44&gt;=INDEX('[1]Définition Maintenances'!$G:$G,MATCH($A44,'[1]Définition Maintenances'!$K:$K,0)),Z44,INDEX('[1]Définition Maintenances'!$G:$G,MATCH($A44,'[1]Définition Maintenances'!$K:$K,0))+Z44),Z44))</f>
        <v>861</v>
      </c>
      <c r="AB44" s="26">
        <f>IF(ISNUMBER(VLOOKUP($D44,'Visu totale'!$D:$DH,AB$1,0)),AA44-VLOOKUP($D44,'Visu totale'!$D:$DH,AB$1,0),IF(LEFT(VLOOKUP($D44,'Visu totale'!$D:$DH,AB$1,0),1)="V",IF(AA44&gt;=INDEX('[1]Définition Maintenances'!$G:$G,MATCH($A44,'[1]Définition Maintenances'!$K:$K,0)),AA44,INDEX('[1]Définition Maintenances'!$G:$G,MATCH($A44,'[1]Définition Maintenances'!$K:$K,0))+AA44),AA44))</f>
        <v>861</v>
      </c>
      <c r="AC44" s="27">
        <f>IF(ISNUMBER(VLOOKUP($D44,'Visu totale'!$D:$DH,AC$1,0)),AB44-VLOOKUP($D44,'Visu totale'!$D:$DH,AC$1,0),IF(LEFT(VLOOKUP($D44,'Visu totale'!$D:$DH,AC$1,0),1)="V",IF(AB44&gt;=INDEX('[1]Définition Maintenances'!$G:$G,MATCH($A44,'[1]Définition Maintenances'!$K:$K,0)),AB44,INDEX('[1]Définition Maintenances'!$G:$G,MATCH($A44,'[1]Définition Maintenances'!$K:$K,0))+AB44),AB44))</f>
        <v>861</v>
      </c>
      <c r="AD44" s="25">
        <f>IF(ISNUMBER(VLOOKUP($D44,'Visu totale'!$D:$DH,AD$1,0)),AC44-VLOOKUP($D44,'Visu totale'!$D:$DH,AD$1,0),IF(LEFT(VLOOKUP($D44,'Visu totale'!$D:$DH,AD$1,0),1)="V",IF(AC44&gt;=INDEX('[1]Définition Maintenances'!$G:$G,MATCH($A44,'[1]Définition Maintenances'!$K:$K,0)),AC44,INDEX('[1]Définition Maintenances'!$G:$G,MATCH($A44,'[1]Définition Maintenances'!$K:$K,0))+AC44),AC44))</f>
        <v>861</v>
      </c>
      <c r="AE44" s="26">
        <f>IF(ISNUMBER(VLOOKUP($D44,'Visu totale'!$D:$DH,AE$1,0)),AD44-VLOOKUP($D44,'Visu totale'!$D:$DH,AE$1,0),IF(LEFT(VLOOKUP($D44,'Visu totale'!$D:$DH,AE$1,0),1)="V",IF(AD44&gt;=INDEX('[1]Définition Maintenances'!$G:$G,MATCH($A44,'[1]Définition Maintenances'!$K:$K,0)),AD44,INDEX('[1]Définition Maintenances'!$G:$G,MATCH($A44,'[1]Définition Maintenances'!$K:$K,0))+AD44),AD44))</f>
        <v>861</v>
      </c>
      <c r="AF44" s="26">
        <f>IF(ISNUMBER(VLOOKUP($D44,'Visu totale'!$D:$DH,AF$1,0)),AE44-VLOOKUP($D44,'Visu totale'!$D:$DH,AF$1,0),IF(LEFT(VLOOKUP($D44,'Visu totale'!$D:$DH,AF$1,0),1)="V",IF(AE44&gt;=INDEX('[1]Définition Maintenances'!$G:$G,MATCH($A44,'[1]Définition Maintenances'!$K:$K,0)),AE44,INDEX('[1]Définition Maintenances'!$G:$G,MATCH($A44,'[1]Définition Maintenances'!$K:$K,0))+AE44),AE44))</f>
        <v>861</v>
      </c>
      <c r="AG44" s="26">
        <f>IF(ISNUMBER(VLOOKUP($D44,'Visu totale'!$D:$DH,AG$1,0)),AF44-VLOOKUP($D44,'Visu totale'!$D:$DH,AG$1,0),IF(LEFT(VLOOKUP($D44,'Visu totale'!$D:$DH,AG$1,0),1)="V",IF(AF44&gt;=INDEX('[1]Définition Maintenances'!$G:$G,MATCH($A44,'[1]Définition Maintenances'!$K:$K,0)),AF44,INDEX('[1]Définition Maintenances'!$G:$G,MATCH($A44,'[1]Définition Maintenances'!$K:$K,0))+AF44),AF44))</f>
        <v>861</v>
      </c>
      <c r="AH44" s="26">
        <f>IF(ISNUMBER(VLOOKUP($D44,'Visu totale'!$D:$DH,AH$1,0)),AG44-VLOOKUP($D44,'Visu totale'!$D:$DH,AH$1,0),IF(LEFT(VLOOKUP($D44,'Visu totale'!$D:$DH,AH$1,0),1)="V",IF(AG44&gt;=INDEX('[1]Définition Maintenances'!$G:$G,MATCH($A44,'[1]Définition Maintenances'!$K:$K,0)),AG44,INDEX('[1]Définition Maintenances'!$G:$G,MATCH($A44,'[1]Définition Maintenances'!$K:$K,0))+AG44),AG44))</f>
        <v>861</v>
      </c>
      <c r="AI44" s="26">
        <f>IF(ISNUMBER(VLOOKUP($D44,'Visu totale'!$D:$DH,AI$1,0)),AH44-VLOOKUP($D44,'Visu totale'!$D:$DH,AI$1,0),IF(LEFT(VLOOKUP($D44,'Visu totale'!$D:$DH,AI$1,0),1)="V",IF(AH44&gt;=INDEX('[1]Définition Maintenances'!$G:$G,MATCH($A44,'[1]Définition Maintenances'!$K:$K,0)),AH44,INDEX('[1]Définition Maintenances'!$G:$G,MATCH($A44,'[1]Définition Maintenances'!$K:$K,0))+AH44),AH44))</f>
        <v>861</v>
      </c>
      <c r="AJ44" s="26">
        <f>IF(ISNUMBER(VLOOKUP($D44,'Visu totale'!$D:$DH,AJ$1,0)),AI44-VLOOKUP($D44,'Visu totale'!$D:$DH,AJ$1,0),IF(LEFT(VLOOKUP($D44,'Visu totale'!$D:$DH,AJ$1,0),1)="V",IF(AI44&gt;=INDEX('[1]Définition Maintenances'!$G:$G,MATCH($A44,'[1]Définition Maintenances'!$K:$K,0)),AI44,INDEX('[1]Définition Maintenances'!$G:$G,MATCH($A44,'[1]Définition Maintenances'!$K:$K,0))+AI44),AI44))</f>
        <v>861</v>
      </c>
      <c r="AK44" s="26">
        <f>IF(ISNUMBER(VLOOKUP($D44,'Visu totale'!$D:$DH,AK$1,0)),AJ44-VLOOKUP($D44,'Visu totale'!$D:$DH,AK$1,0),IF(LEFT(VLOOKUP($D44,'Visu totale'!$D:$DH,AK$1,0),1)="V",IF(AJ44&gt;=INDEX('[1]Définition Maintenances'!$G:$G,MATCH($A44,'[1]Définition Maintenances'!$K:$K,0)),AJ44,INDEX('[1]Définition Maintenances'!$G:$G,MATCH($A44,'[1]Définition Maintenances'!$K:$K,0))+AJ44),AJ44))</f>
        <v>861</v>
      </c>
      <c r="AL44" s="26">
        <f>IF(ISNUMBER(VLOOKUP($D44,'Visu totale'!$D:$DH,AL$1,0)),AK44-VLOOKUP($D44,'Visu totale'!$D:$DH,AL$1,0),IF(LEFT(VLOOKUP($D44,'Visu totale'!$D:$DH,AL$1,0),1)="V",IF(AK44&gt;=INDEX('[1]Définition Maintenances'!$G:$G,MATCH($A44,'[1]Définition Maintenances'!$K:$K,0)),AK44,INDEX('[1]Définition Maintenances'!$G:$G,MATCH($A44,'[1]Définition Maintenances'!$K:$K,0))+AK44),AK44))</f>
        <v>861</v>
      </c>
      <c r="AM44" s="26">
        <f>IF(ISNUMBER(VLOOKUP($D44,'Visu totale'!$D:$DH,AM$1,0)),AL44-VLOOKUP($D44,'Visu totale'!$D:$DH,AM$1,0),IF(LEFT(VLOOKUP($D44,'Visu totale'!$D:$DH,AM$1,0),1)="V",IF(AL44&gt;=INDEX('[1]Définition Maintenances'!$G:$G,MATCH($A44,'[1]Définition Maintenances'!$K:$K,0)),AL44,INDEX('[1]Définition Maintenances'!$G:$G,MATCH($A44,'[1]Définition Maintenances'!$K:$K,0))+AL44),AL44))</f>
        <v>861</v>
      </c>
      <c r="AN44" s="26">
        <f>IF(ISNUMBER(VLOOKUP($D44,'Visu totale'!$D:$DH,AN$1,0)),AM44-VLOOKUP($D44,'Visu totale'!$D:$DH,AN$1,0),IF(LEFT(VLOOKUP($D44,'Visu totale'!$D:$DH,AN$1,0),1)="V",IF(AM44&gt;=INDEX('[1]Définition Maintenances'!$G:$G,MATCH($A44,'[1]Définition Maintenances'!$K:$K,0)),AM44,INDEX('[1]Définition Maintenances'!$G:$G,MATCH($A44,'[1]Définition Maintenances'!$K:$K,0))+AM44),AM44))</f>
        <v>861</v>
      </c>
      <c r="AO44" s="27">
        <f>IF(ISNUMBER(VLOOKUP($D44,'Visu totale'!$D:$DH,AO$1,0)),AN44-VLOOKUP($D44,'Visu totale'!$D:$DH,AO$1,0),IF(LEFT(VLOOKUP($D44,'Visu totale'!$D:$DH,AO$1,0),1)="V",IF(AN44&gt;=INDEX('[1]Définition Maintenances'!$G:$G,MATCH($A44,'[1]Définition Maintenances'!$K:$K,0)),AN44,INDEX('[1]Définition Maintenances'!$G:$G,MATCH($A44,'[1]Définition Maintenances'!$K:$K,0))+AN44),AN44))</f>
        <v>861</v>
      </c>
      <c r="AP44" s="25">
        <f>IF(ISNUMBER(VLOOKUP($D44,'Visu totale'!$D:$DH,AP$1,0)),AO44-VLOOKUP($D44,'Visu totale'!$D:$DH,AP$1,0),IF(LEFT(VLOOKUP($D44,'Visu totale'!$D:$DH,AP$1,0),1)="V",IF(AO44&gt;=INDEX('[1]Définition Maintenances'!$G:$G,MATCH($A44,'[1]Définition Maintenances'!$K:$K,0)),AO44,INDEX('[1]Définition Maintenances'!$G:$G,MATCH($A44,'[1]Définition Maintenances'!$K:$K,0))+AO44),AO44))</f>
        <v>861</v>
      </c>
      <c r="AQ44" s="26">
        <f>IF(ISNUMBER(VLOOKUP($D44,'Visu totale'!$D:$DH,AQ$1,0)),AP44-VLOOKUP($D44,'Visu totale'!$D:$DH,AQ$1,0),IF(LEFT(VLOOKUP($D44,'Visu totale'!$D:$DH,AQ$1,0),1)="V",IF(AP44&gt;=INDEX('[1]Définition Maintenances'!$G:$G,MATCH($A44,'[1]Définition Maintenances'!$K:$K,0)),AP44,INDEX('[1]Définition Maintenances'!$G:$G,MATCH($A44,'[1]Définition Maintenances'!$K:$K,0))+AP44),AP44))</f>
        <v>861</v>
      </c>
      <c r="AR44" s="26">
        <f>IF(ISNUMBER(VLOOKUP($D44,'Visu totale'!$D:$DH,AR$1,0)),AQ44-VLOOKUP($D44,'Visu totale'!$D:$DH,AR$1,0),IF(LEFT(VLOOKUP($D44,'Visu totale'!$D:$DH,AR$1,0),1)="V",IF(AQ44&gt;=INDEX('[1]Définition Maintenances'!$G:$G,MATCH($A44,'[1]Définition Maintenances'!$K:$K,0)),AQ44,INDEX('[1]Définition Maintenances'!$G:$G,MATCH($A44,'[1]Définition Maintenances'!$K:$K,0))+AQ44),AQ44))</f>
        <v>861</v>
      </c>
      <c r="AS44" s="26">
        <f>IF(ISNUMBER(VLOOKUP($D44,'Visu totale'!$D:$DH,AS$1,0)),AR44-VLOOKUP($D44,'Visu totale'!$D:$DH,AS$1,0),IF(LEFT(VLOOKUP($D44,'Visu totale'!$D:$DH,AS$1,0),1)="V",IF(AR44&gt;=INDEX('[1]Définition Maintenances'!$G:$G,MATCH($A44,'[1]Définition Maintenances'!$K:$K,0)),AR44,INDEX('[1]Définition Maintenances'!$G:$G,MATCH($A44,'[1]Définition Maintenances'!$K:$K,0))+AR44),AR44))</f>
        <v>861</v>
      </c>
      <c r="AT44" s="26">
        <f>IF(ISNUMBER(VLOOKUP($D44,'Visu totale'!$D:$DH,AT$1,0)),AS44-VLOOKUP($D44,'Visu totale'!$D:$DH,AT$1,0),IF(LEFT(VLOOKUP($D44,'Visu totale'!$D:$DH,AT$1,0),1)="V",IF(AS44&gt;=INDEX('[1]Définition Maintenances'!$G:$G,MATCH($A44,'[1]Définition Maintenances'!$K:$K,0)),AS44,INDEX('[1]Définition Maintenances'!$G:$G,MATCH($A44,'[1]Définition Maintenances'!$K:$K,0))+AS44),AS44))</f>
        <v>861</v>
      </c>
      <c r="AU44" s="26">
        <f>IF(ISNUMBER(VLOOKUP($D44,'Visu totale'!$D:$DH,AU$1,0)),AT44-VLOOKUP($D44,'Visu totale'!$D:$DH,AU$1,0),IF(LEFT(VLOOKUP($D44,'Visu totale'!$D:$DH,AU$1,0),1)="V",IF(AT44&gt;=INDEX('[1]Définition Maintenances'!$G:$G,MATCH($A44,'[1]Définition Maintenances'!$K:$K,0)),AT44,INDEX('[1]Définition Maintenances'!$G:$G,MATCH($A44,'[1]Définition Maintenances'!$K:$K,0))+AT44),AT44))</f>
        <v>861</v>
      </c>
      <c r="AV44" s="26">
        <f>IF(ISNUMBER(VLOOKUP($D44,'Visu totale'!$D:$DH,AV$1,0)),AU44-VLOOKUP($D44,'Visu totale'!$D:$DH,AV$1,0),IF(LEFT(VLOOKUP($D44,'Visu totale'!$D:$DH,AV$1,0),1)="V",IF(AU44&gt;=INDEX('[1]Définition Maintenances'!$G:$G,MATCH($A44,'[1]Définition Maintenances'!$K:$K,0)),AU44,INDEX('[1]Définition Maintenances'!$G:$G,MATCH($A44,'[1]Définition Maintenances'!$K:$K,0))+AU44),AU44))</f>
        <v>861</v>
      </c>
      <c r="AW44" s="26">
        <f>IF(ISNUMBER(VLOOKUP($D44,'Visu totale'!$D:$DH,AW$1,0)),AV44-VLOOKUP($D44,'Visu totale'!$D:$DH,AW$1,0),IF(LEFT(VLOOKUP($D44,'Visu totale'!$D:$DH,AW$1,0),1)="V",IF(AV44&gt;=INDEX('[1]Définition Maintenances'!$G:$G,MATCH($A44,'[1]Définition Maintenances'!$K:$K,0)),AV44,INDEX('[1]Définition Maintenances'!$G:$G,MATCH($A44,'[1]Définition Maintenances'!$K:$K,0))+AV44),AV44))</f>
        <v>861</v>
      </c>
      <c r="AX44" s="26">
        <f>IF(ISNUMBER(VLOOKUP($D44,'Visu totale'!$D:$DH,AX$1,0)),AW44-VLOOKUP($D44,'Visu totale'!$D:$DH,AX$1,0),IF(LEFT(VLOOKUP($D44,'Visu totale'!$D:$DH,AX$1,0),1)="V",IF(AW44&gt;=INDEX('[1]Définition Maintenances'!$G:$G,MATCH($A44,'[1]Définition Maintenances'!$K:$K,0)),AW44,INDEX('[1]Définition Maintenances'!$G:$G,MATCH($A44,'[1]Définition Maintenances'!$K:$K,0))+AW44),AW44))</f>
        <v>861</v>
      </c>
      <c r="AY44" s="26">
        <f>IF(ISNUMBER(VLOOKUP($D44,'Visu totale'!$D:$DH,AY$1,0)),AX44-VLOOKUP($D44,'Visu totale'!$D:$DH,AY$1,0),IF(LEFT(VLOOKUP($D44,'Visu totale'!$D:$DH,AY$1,0),1)="V",IF(AX44&gt;=INDEX('[1]Définition Maintenances'!$G:$G,MATCH($A44,'[1]Définition Maintenances'!$K:$K,0)),AX44,INDEX('[1]Définition Maintenances'!$G:$G,MATCH($A44,'[1]Définition Maintenances'!$K:$K,0))+AX44),AX44))</f>
        <v>861</v>
      </c>
      <c r="AZ44" s="26">
        <f>IF(ISNUMBER(VLOOKUP($D44,'Visu totale'!$D:$DH,AZ$1,0)),AY44-VLOOKUP($D44,'Visu totale'!$D:$DH,AZ$1,0),IF(LEFT(VLOOKUP($D44,'Visu totale'!$D:$DH,AZ$1,0),1)="V",IF(AY44&gt;=INDEX('[1]Définition Maintenances'!$G:$G,MATCH($A44,'[1]Définition Maintenances'!$K:$K,0)),AY44,INDEX('[1]Définition Maintenances'!$G:$G,MATCH($A44,'[1]Définition Maintenances'!$K:$K,0))+AY44),AY44))</f>
        <v>861</v>
      </c>
      <c r="BA44" s="27">
        <f>IF(ISNUMBER(VLOOKUP($D44,'Visu totale'!$D:$DH,BA$1,0)),AZ44-VLOOKUP($D44,'Visu totale'!$D:$DH,BA$1,0),IF(LEFT(VLOOKUP($D44,'Visu totale'!$D:$DH,BA$1,0),1)="V",IF(AZ44&gt;=INDEX('[1]Définition Maintenances'!$G:$G,MATCH($A44,'[1]Définition Maintenances'!$K:$K,0)),AZ44,INDEX('[1]Définition Maintenances'!$G:$G,MATCH($A44,'[1]Définition Maintenances'!$K:$K,0))+AZ44),AZ44))</f>
        <v>861</v>
      </c>
      <c r="BB44" s="25">
        <f>IF(ISNUMBER(VLOOKUP($D44,'Visu totale'!$D:$DH,BB$1,0)),BA44-VLOOKUP($D44,'Visu totale'!$D:$DH,BB$1,0),IF(LEFT(VLOOKUP($D44,'Visu totale'!$D:$DH,BB$1,0),1)="V",IF(BA44&gt;=INDEX('[1]Définition Maintenances'!$G:$G,MATCH($A44,'[1]Définition Maintenances'!$K:$K,0)),BA44,INDEX('[1]Définition Maintenances'!$G:$G,MATCH($A44,'[1]Définition Maintenances'!$K:$K,0))+BA44),BA44))</f>
        <v>861</v>
      </c>
      <c r="BC44" s="26">
        <f>IF(ISNUMBER(VLOOKUP($D44,'Visu totale'!$D:$DH,BC$1,0)),BB44-VLOOKUP($D44,'Visu totale'!$D:$DH,BC$1,0),IF(LEFT(VLOOKUP($D44,'Visu totale'!$D:$DH,BC$1,0),1)="V",IF(BB44&gt;=INDEX('[1]Définition Maintenances'!$G:$G,MATCH($A44,'[1]Définition Maintenances'!$K:$K,0)),BB44,INDEX('[1]Définition Maintenances'!$G:$G,MATCH($A44,'[1]Définition Maintenances'!$K:$K,0))+BB44),BB44))</f>
        <v>861</v>
      </c>
      <c r="BD44" s="26">
        <f>IF(ISNUMBER(VLOOKUP($D44,'Visu totale'!$D:$DH,BD$1,0)),BC44-VLOOKUP($D44,'Visu totale'!$D:$DH,BD$1,0),IF(LEFT(VLOOKUP($D44,'Visu totale'!$D:$DH,BD$1,0),1)="V",IF(BC44&gt;=INDEX('[1]Définition Maintenances'!$G:$G,MATCH($A44,'[1]Définition Maintenances'!$K:$K,0)),BC44,INDEX('[1]Définition Maintenances'!$G:$G,MATCH($A44,'[1]Définition Maintenances'!$K:$K,0))+BC44),BC44))</f>
        <v>861</v>
      </c>
      <c r="BE44" s="26">
        <f>IF(ISNUMBER(VLOOKUP($D44,'Visu totale'!$D:$DH,BE$1,0)),BD44-VLOOKUP($D44,'Visu totale'!$D:$DH,BE$1,0),IF(LEFT(VLOOKUP($D44,'Visu totale'!$D:$DH,BE$1,0),1)="V",IF(BD44&gt;=INDEX('[1]Définition Maintenances'!$G:$G,MATCH($A44,'[1]Définition Maintenances'!$K:$K,0)),BD44,INDEX('[1]Définition Maintenances'!$G:$G,MATCH($A44,'[1]Définition Maintenances'!$K:$K,0))+BD44),BD44))</f>
        <v>861</v>
      </c>
      <c r="BF44" s="26">
        <f>IF(ISNUMBER(VLOOKUP($D44,'Visu totale'!$D:$DH,BF$1,0)),BE44-VLOOKUP($D44,'Visu totale'!$D:$DH,BF$1,0),IF(LEFT(VLOOKUP($D44,'Visu totale'!$D:$DH,BF$1,0),1)="V",IF(BE44&gt;=INDEX('[1]Définition Maintenances'!$G:$G,MATCH($A44,'[1]Définition Maintenances'!$K:$K,0)),BE44,INDEX('[1]Définition Maintenances'!$G:$G,MATCH($A44,'[1]Définition Maintenances'!$K:$K,0))+BE44),BE44))</f>
        <v>861</v>
      </c>
      <c r="BG44" s="26">
        <f>IF(ISNUMBER(VLOOKUP($D44,'Visu totale'!$D:$DH,BG$1,0)),BF44-VLOOKUP($D44,'Visu totale'!$D:$DH,BG$1,0),IF(LEFT(VLOOKUP($D44,'Visu totale'!$D:$DH,BG$1,0),1)="V",IF(BF44&gt;=INDEX('[1]Définition Maintenances'!$G:$G,MATCH($A44,'[1]Définition Maintenances'!$K:$K,0)),BF44,INDEX('[1]Définition Maintenances'!$G:$G,MATCH($A44,'[1]Définition Maintenances'!$K:$K,0))+BF44),BF44))</f>
        <v>861</v>
      </c>
      <c r="BH44" s="26">
        <f>IF(ISNUMBER(VLOOKUP($D44,'Visu totale'!$D:$DH,BH$1,0)),BG44-VLOOKUP($D44,'Visu totale'!$D:$DH,BH$1,0),IF(LEFT(VLOOKUP($D44,'Visu totale'!$D:$DH,BH$1,0),1)="V",IF(BG44&gt;=INDEX('[1]Définition Maintenances'!$G:$G,MATCH($A44,'[1]Définition Maintenances'!$K:$K,0)),BG44,INDEX('[1]Définition Maintenances'!$G:$G,MATCH($A44,'[1]Définition Maintenances'!$K:$K,0))+BG44),BG44))</f>
        <v>861</v>
      </c>
      <c r="BI44" s="26">
        <f>IF(ISNUMBER(VLOOKUP($D44,'Visu totale'!$D:$DH,BI$1,0)),BH44-VLOOKUP($D44,'Visu totale'!$D:$DH,BI$1,0),IF(LEFT(VLOOKUP($D44,'Visu totale'!$D:$DH,BI$1,0),1)="V",IF(BH44&gt;=INDEX('[1]Définition Maintenances'!$G:$G,MATCH($A44,'[1]Définition Maintenances'!$K:$K,0)),BH44,INDEX('[1]Définition Maintenances'!$G:$G,MATCH($A44,'[1]Définition Maintenances'!$K:$K,0))+BH44),BH44))</f>
        <v>861</v>
      </c>
      <c r="BJ44" s="26">
        <f>IF(ISNUMBER(VLOOKUP($D44,'Visu totale'!$D:$DH,BJ$1,0)),BI44-VLOOKUP($D44,'Visu totale'!$D:$DH,BJ$1,0),IF(LEFT(VLOOKUP($D44,'Visu totale'!$D:$DH,BJ$1,0),1)="V",IF(BI44&gt;=INDEX('[1]Définition Maintenances'!$G:$G,MATCH($A44,'[1]Définition Maintenances'!$K:$K,0)),BI44,INDEX('[1]Définition Maintenances'!$G:$G,MATCH($A44,'[1]Définition Maintenances'!$K:$K,0))+BI44),BI44))</f>
        <v>861</v>
      </c>
      <c r="BK44" s="26">
        <f>IF(ISNUMBER(VLOOKUP($D44,'Visu totale'!$D:$DH,BK$1,0)),BJ44-VLOOKUP($D44,'Visu totale'!$D:$DH,BK$1,0),IF(LEFT(VLOOKUP($D44,'Visu totale'!$D:$DH,BK$1,0),1)="V",IF(BJ44&gt;=INDEX('[1]Définition Maintenances'!$G:$G,MATCH($A44,'[1]Définition Maintenances'!$K:$K,0)),BJ44,INDEX('[1]Définition Maintenances'!$G:$G,MATCH($A44,'[1]Définition Maintenances'!$K:$K,0))+BJ44),BJ44))</f>
        <v>861</v>
      </c>
      <c r="BL44" s="26">
        <f>IF(ISNUMBER(VLOOKUP($D44,'Visu totale'!$D:$DH,BL$1,0)),BK44-VLOOKUP($D44,'Visu totale'!$D:$DH,BL$1,0),IF(LEFT(VLOOKUP($D44,'Visu totale'!$D:$DH,BL$1,0),1)="V",IF(BK44&gt;=INDEX('[1]Définition Maintenances'!$G:$G,MATCH($A44,'[1]Définition Maintenances'!$K:$K,0)),BK44,INDEX('[1]Définition Maintenances'!$G:$G,MATCH($A44,'[1]Définition Maintenances'!$K:$K,0))+BK44),BK44))</f>
        <v>861</v>
      </c>
      <c r="BM44" s="27">
        <f>IF(ISNUMBER(VLOOKUP($D44,'Visu totale'!$D:$DH,BM$1,0)),BL44-VLOOKUP($D44,'Visu totale'!$D:$DH,BM$1,0),IF(LEFT(VLOOKUP($D44,'Visu totale'!$D:$DH,BM$1,0),1)="V",IF(BL44&gt;=INDEX('[1]Définition Maintenances'!$G:$G,MATCH($A44,'[1]Définition Maintenances'!$K:$K,0)),BL44,INDEX('[1]Définition Maintenances'!$G:$G,MATCH($A44,'[1]Définition Maintenances'!$K:$K,0))+BL44),BL44))</f>
        <v>861</v>
      </c>
      <c r="BN44" s="25">
        <f>IF(ISNUMBER(VLOOKUP($D44,'Visu totale'!$D:$DH,BN$1,0)),BM44-VLOOKUP($D44,'Visu totale'!$D:$DH,BN$1,0),IF(LEFT(VLOOKUP($D44,'Visu totale'!$D:$DH,BN$1,0),1)="V",IF(BM44&gt;=INDEX('[1]Définition Maintenances'!$G:$G,MATCH($A44,'[1]Définition Maintenances'!$K:$K,0)),BM44,INDEX('[1]Définition Maintenances'!$G:$G,MATCH($A44,'[1]Définition Maintenances'!$K:$K,0))+BM44),BM44))</f>
        <v>861</v>
      </c>
      <c r="BO44" s="26">
        <f>IF(ISNUMBER(VLOOKUP($D44,'Visu totale'!$D:$DH,BO$1,0)),BN44-VLOOKUP($D44,'Visu totale'!$D:$DH,BO$1,0),IF(LEFT(VLOOKUP($D44,'Visu totale'!$D:$DH,BO$1,0),1)="V",IF(BN44&gt;=INDEX('[1]Définition Maintenances'!$G:$G,MATCH($A44,'[1]Définition Maintenances'!$K:$K,0)),BN44,INDEX('[1]Définition Maintenances'!$G:$G,MATCH($A44,'[1]Définition Maintenances'!$K:$K,0))+BN44),BN44))</f>
        <v>861</v>
      </c>
      <c r="BP44" s="26">
        <f>IF(ISNUMBER(VLOOKUP($D44,'Visu totale'!$D:$DH,BP$1,0)),BO44-VLOOKUP($D44,'Visu totale'!$D:$DH,BP$1,0),IF(LEFT(VLOOKUP($D44,'Visu totale'!$D:$DH,BP$1,0),1)="V",IF(BO44&gt;=INDEX('[1]Définition Maintenances'!$G:$G,MATCH($A44,'[1]Définition Maintenances'!$K:$K,0)),BO44,INDEX('[1]Définition Maintenances'!$G:$G,MATCH($A44,'[1]Définition Maintenances'!$K:$K,0))+BO44),BO44))</f>
        <v>861</v>
      </c>
      <c r="BQ44" s="26">
        <f>IF(ISNUMBER(VLOOKUP($D44,'Visu totale'!$D:$DH,BQ$1,0)),BP44-VLOOKUP($D44,'Visu totale'!$D:$DH,BQ$1,0),IF(LEFT(VLOOKUP($D44,'Visu totale'!$D:$DH,BQ$1,0),1)="V",IF(BP44&gt;=INDEX('[1]Définition Maintenances'!$G:$G,MATCH($A44,'[1]Définition Maintenances'!$K:$K,0)),BP44,INDEX('[1]Définition Maintenances'!$G:$G,MATCH($A44,'[1]Définition Maintenances'!$K:$K,0))+BP44),BP44))</f>
        <v>861</v>
      </c>
      <c r="BR44" s="26">
        <f>IF(ISNUMBER(VLOOKUP($D44,'Visu totale'!$D:$DH,BR$1,0)),BQ44-VLOOKUP($D44,'Visu totale'!$D:$DH,BR$1,0),IF(LEFT(VLOOKUP($D44,'Visu totale'!$D:$DH,BR$1,0),1)="V",IF(BQ44&gt;=INDEX('[1]Définition Maintenances'!$G:$G,MATCH($A44,'[1]Définition Maintenances'!$K:$K,0)),BQ44,INDEX('[1]Définition Maintenances'!$G:$G,MATCH($A44,'[1]Définition Maintenances'!$K:$K,0))+BQ44),BQ44))</f>
        <v>861</v>
      </c>
      <c r="BS44" s="26">
        <f>IF(ISNUMBER(VLOOKUP($D44,'Visu totale'!$D:$DH,BS$1,0)),BR44-VLOOKUP($D44,'Visu totale'!$D:$DH,BS$1,0),IF(LEFT(VLOOKUP($D44,'Visu totale'!$D:$DH,BS$1,0),1)="V",IF(BR44&gt;=INDEX('[1]Définition Maintenances'!$G:$G,MATCH($A44,'[1]Définition Maintenances'!$K:$K,0)),BR44,INDEX('[1]Définition Maintenances'!$G:$G,MATCH($A44,'[1]Définition Maintenances'!$K:$K,0))+BR44),BR44))</f>
        <v>861</v>
      </c>
      <c r="BT44" s="26">
        <f>IF(ISNUMBER(VLOOKUP($D44,'Visu totale'!$D:$DH,BT$1,0)),BS44-VLOOKUP($D44,'Visu totale'!$D:$DH,BT$1,0),IF(LEFT(VLOOKUP($D44,'Visu totale'!$D:$DH,BT$1,0),1)="V",IF(BS44&gt;=INDEX('[1]Définition Maintenances'!$G:$G,MATCH($A44,'[1]Définition Maintenances'!$K:$K,0)),BS44,INDEX('[1]Définition Maintenances'!$G:$G,MATCH($A44,'[1]Définition Maintenances'!$K:$K,0))+BS44),BS44))</f>
        <v>861</v>
      </c>
      <c r="BU44" s="26">
        <f>IF(ISNUMBER(VLOOKUP($D44,'Visu totale'!$D:$DH,BU$1,0)),BT44-VLOOKUP($D44,'Visu totale'!$D:$DH,BU$1,0),IF(LEFT(VLOOKUP($D44,'Visu totale'!$D:$DH,BU$1,0),1)="V",IF(BT44&gt;=INDEX('[1]Définition Maintenances'!$G:$G,MATCH($A44,'[1]Définition Maintenances'!$K:$K,0)),BT44,INDEX('[1]Définition Maintenances'!$G:$G,MATCH($A44,'[1]Définition Maintenances'!$K:$K,0))+BT44),BT44))</f>
        <v>861</v>
      </c>
      <c r="BV44" s="26">
        <f>IF(ISNUMBER(VLOOKUP($D44,'Visu totale'!$D:$DH,BV$1,0)),BU44-VLOOKUP($D44,'Visu totale'!$D:$DH,BV$1,0),IF(LEFT(VLOOKUP($D44,'Visu totale'!$D:$DH,BV$1,0),1)="V",IF(BU44&gt;=INDEX('[1]Définition Maintenances'!$G:$G,MATCH($A44,'[1]Définition Maintenances'!$K:$K,0)),BU44,INDEX('[1]Définition Maintenances'!$G:$G,MATCH($A44,'[1]Définition Maintenances'!$K:$K,0))+BU44),BU44))</f>
        <v>861</v>
      </c>
      <c r="BW44" s="26">
        <f>IF(ISNUMBER(VLOOKUP($D44,'Visu totale'!$D:$DH,BW$1,0)),BV44-VLOOKUP($D44,'Visu totale'!$D:$DH,BW$1,0),IF(LEFT(VLOOKUP($D44,'Visu totale'!$D:$DH,BW$1,0),1)="V",IF(BV44&gt;=INDEX('[1]Définition Maintenances'!$G:$G,MATCH($A44,'[1]Définition Maintenances'!$K:$K,0)),BV44,INDEX('[1]Définition Maintenances'!$G:$G,MATCH($A44,'[1]Définition Maintenances'!$K:$K,0))+BV44),BV44))</f>
        <v>861</v>
      </c>
      <c r="BX44" s="26">
        <f>IF(ISNUMBER(VLOOKUP($D44,'Visu totale'!$D:$DH,BX$1,0)),BW44-VLOOKUP($D44,'Visu totale'!$D:$DH,BX$1,0),IF(LEFT(VLOOKUP($D44,'Visu totale'!$D:$DH,BX$1,0),1)="V",IF(BW44&gt;=INDEX('[1]Définition Maintenances'!$G:$G,MATCH($A44,'[1]Définition Maintenances'!$K:$K,0)),BW44,INDEX('[1]Définition Maintenances'!$G:$G,MATCH($A44,'[1]Définition Maintenances'!$K:$K,0))+BW44),BW44))</f>
        <v>861</v>
      </c>
      <c r="BY44" s="27">
        <f>IF(ISNUMBER(VLOOKUP($D44,'Visu totale'!$D:$DH,BY$1,0)),BX44-VLOOKUP($D44,'Visu totale'!$D:$DH,BY$1,0),IF(LEFT(VLOOKUP($D44,'Visu totale'!$D:$DH,BY$1,0),1)="V",IF(BX44&gt;=INDEX('[1]Définition Maintenances'!$G:$G,MATCH($A44,'[1]Définition Maintenances'!$K:$K,0)),BX44,INDEX('[1]Définition Maintenances'!$G:$G,MATCH($A44,'[1]Définition Maintenances'!$K:$K,0))+BX44),BX44))</f>
        <v>861</v>
      </c>
      <c r="BZ44" s="25">
        <f>IF(ISNUMBER(VLOOKUP($D44,'Visu totale'!$D:$DH,BZ$1,0)),BY44-VLOOKUP($D44,'Visu totale'!$D:$DH,BZ$1,0),IF(LEFT(VLOOKUP($D44,'Visu totale'!$D:$DH,BZ$1,0),1)="V",IF(BY44&gt;=INDEX('[1]Définition Maintenances'!$G:$G,MATCH($A44,'[1]Définition Maintenances'!$K:$K,0)),BY44,INDEX('[1]Définition Maintenances'!$G:$G,MATCH($A44,'[1]Définition Maintenances'!$K:$K,0))+BY44),BY44))</f>
        <v>861</v>
      </c>
      <c r="CA44" s="26">
        <f>IF(ISNUMBER(VLOOKUP($D44,'Visu totale'!$D:$DH,CA$1,0)),BZ44-VLOOKUP($D44,'Visu totale'!$D:$DH,CA$1,0),IF(LEFT(VLOOKUP($D44,'Visu totale'!$D:$DH,CA$1,0),1)="V",IF(BZ44&gt;=INDEX('[1]Définition Maintenances'!$G:$G,MATCH($A44,'[1]Définition Maintenances'!$K:$K,0)),BZ44,INDEX('[1]Définition Maintenances'!$G:$G,MATCH($A44,'[1]Définition Maintenances'!$K:$K,0))+BZ44),BZ44))</f>
        <v>861</v>
      </c>
      <c r="CB44" s="26">
        <f>IF(ISNUMBER(VLOOKUP($D44,'Visu totale'!$D:$DH,CB$1,0)),CA44-VLOOKUP($D44,'Visu totale'!$D:$DH,CB$1,0),IF(LEFT(VLOOKUP($D44,'Visu totale'!$D:$DH,CB$1,0),1)="V",IF(CA44&gt;=INDEX('[1]Définition Maintenances'!$G:$G,MATCH($A44,'[1]Définition Maintenances'!$K:$K,0)),CA44,INDEX('[1]Définition Maintenances'!$G:$G,MATCH($A44,'[1]Définition Maintenances'!$K:$K,0))+CA44),CA44))</f>
        <v>861</v>
      </c>
      <c r="CC44" s="26">
        <f>IF(ISNUMBER(VLOOKUP($D44,'Visu totale'!$D:$DH,CC$1,0)),CB44-VLOOKUP($D44,'Visu totale'!$D:$DH,CC$1,0),IF(LEFT(VLOOKUP($D44,'Visu totale'!$D:$DH,CC$1,0),1)="V",IF(CB44&gt;=INDEX('[1]Définition Maintenances'!$G:$G,MATCH($A44,'[1]Définition Maintenances'!$K:$K,0)),CB44,INDEX('[1]Définition Maintenances'!$G:$G,MATCH($A44,'[1]Définition Maintenances'!$K:$K,0))+CB44),CB44))</f>
        <v>861</v>
      </c>
      <c r="CD44" s="26">
        <f>IF(ISNUMBER(VLOOKUP($D44,'Visu totale'!$D:$DH,CD$1,0)),CC44-VLOOKUP($D44,'Visu totale'!$D:$DH,CD$1,0),IF(LEFT(VLOOKUP($D44,'Visu totale'!$D:$DH,CD$1,0),1)="V",IF(CC44&gt;=INDEX('[1]Définition Maintenances'!$G:$G,MATCH($A44,'[1]Définition Maintenances'!$K:$K,0)),CC44,INDEX('[1]Définition Maintenances'!$G:$G,MATCH($A44,'[1]Définition Maintenances'!$K:$K,0))+CC44),CC44))</f>
        <v>861</v>
      </c>
      <c r="CE44" s="26">
        <f>IF(ISNUMBER(VLOOKUP($D44,'Visu totale'!$D:$DH,CE$1,0)),CD44-VLOOKUP($D44,'Visu totale'!$D:$DH,CE$1,0),IF(LEFT(VLOOKUP($D44,'Visu totale'!$D:$DH,CE$1,0),1)="V",IF(CD44&gt;=INDEX('[1]Définition Maintenances'!$G:$G,MATCH($A44,'[1]Définition Maintenances'!$K:$K,0)),CD44,INDEX('[1]Définition Maintenances'!$G:$G,MATCH($A44,'[1]Définition Maintenances'!$K:$K,0))+CD44),CD44))</f>
        <v>861</v>
      </c>
      <c r="CF44" s="26">
        <f>IF(ISNUMBER(VLOOKUP($D44,'Visu totale'!$D:$DH,CF$1,0)),CE44-VLOOKUP($D44,'Visu totale'!$D:$DH,CF$1,0),IF(LEFT(VLOOKUP($D44,'Visu totale'!$D:$DH,CF$1,0),1)="V",IF(CE44&gt;=INDEX('[1]Définition Maintenances'!$G:$G,MATCH($A44,'[1]Définition Maintenances'!$K:$K,0)),CE44,INDEX('[1]Définition Maintenances'!$G:$G,MATCH($A44,'[1]Définition Maintenances'!$K:$K,0))+CE44),CE44))</f>
        <v>861</v>
      </c>
      <c r="CG44" s="26">
        <f>IF(ISNUMBER(VLOOKUP($D44,'Visu totale'!$D:$DH,CG$1,0)),CF44-VLOOKUP($D44,'Visu totale'!$D:$DH,CG$1,0),IF(LEFT(VLOOKUP($D44,'Visu totale'!$D:$DH,CG$1,0),1)="V",IF(CF44&gt;=INDEX('[1]Définition Maintenances'!$G:$G,MATCH($A44,'[1]Définition Maintenances'!$K:$K,0)),CF44,INDEX('[1]Définition Maintenances'!$G:$G,MATCH($A44,'[1]Définition Maintenances'!$K:$K,0))+CF44),CF44))</f>
        <v>861</v>
      </c>
      <c r="CH44" s="26">
        <f>IF(ISNUMBER(VLOOKUP($D44,'Visu totale'!$D:$DH,CH$1,0)),CG44-VLOOKUP($D44,'Visu totale'!$D:$DH,CH$1,0),IF(LEFT(VLOOKUP($D44,'Visu totale'!$D:$DH,CH$1,0),1)="V",IF(CG44&gt;=INDEX('[1]Définition Maintenances'!$G:$G,MATCH($A44,'[1]Définition Maintenances'!$K:$K,0)),CG44,INDEX('[1]Définition Maintenances'!$G:$G,MATCH($A44,'[1]Définition Maintenances'!$K:$K,0))+CG44),CG44))</f>
        <v>861</v>
      </c>
      <c r="CI44" s="26">
        <f>IF(ISNUMBER(VLOOKUP($D44,'Visu totale'!$D:$DH,CI$1,0)),CH44-VLOOKUP($D44,'Visu totale'!$D:$DH,CI$1,0),IF(LEFT(VLOOKUP($D44,'Visu totale'!$D:$DH,CI$1,0),1)="V",IF(CH44&gt;=INDEX('[1]Définition Maintenances'!$G:$G,MATCH($A44,'[1]Définition Maintenances'!$K:$K,0)),CH44,INDEX('[1]Définition Maintenances'!$G:$G,MATCH($A44,'[1]Définition Maintenances'!$K:$K,0))+CH44),CH44))</f>
        <v>861</v>
      </c>
      <c r="CJ44" s="26">
        <f>IF(ISNUMBER(VLOOKUP($D44,'Visu totale'!$D:$DH,CJ$1,0)),CI44-VLOOKUP($D44,'Visu totale'!$D:$DH,CJ$1,0),IF(LEFT(VLOOKUP($D44,'Visu totale'!$D:$DH,CJ$1,0),1)="V",IF(CI44&gt;=INDEX('[1]Définition Maintenances'!$G:$G,MATCH($A44,'[1]Définition Maintenances'!$K:$K,0)),CI44,INDEX('[1]Définition Maintenances'!$G:$G,MATCH($A44,'[1]Définition Maintenances'!$K:$K,0))+CI44),CI44))</f>
        <v>861</v>
      </c>
      <c r="CK44" s="27">
        <f>IF(ISNUMBER(VLOOKUP($D44,'Visu totale'!$D:$DH,CK$1,0)),CJ44-VLOOKUP($D44,'Visu totale'!$D:$DH,CK$1,0),IF(LEFT(VLOOKUP($D44,'Visu totale'!$D:$DH,CK$1,0),1)="V",IF(CJ44&gt;=INDEX('[1]Définition Maintenances'!$G:$G,MATCH($A44,'[1]Définition Maintenances'!$K:$K,0)),CJ44,INDEX('[1]Définition Maintenances'!$G:$G,MATCH($A44,'[1]Définition Maintenances'!$K:$K,0))+CJ44),CJ44))</f>
        <v>861</v>
      </c>
      <c r="CL44" s="25">
        <f>IF(ISNUMBER(VLOOKUP($D44,'Visu totale'!$D:$DH,CL$1,0)),CK44-VLOOKUP($D44,'Visu totale'!$D:$DH,CL$1,0),IF(LEFT(VLOOKUP($D44,'Visu totale'!$D:$DH,CL$1,0),1)="V",IF(CK44&gt;=INDEX('[1]Définition Maintenances'!$G:$G,MATCH($A44,'[1]Définition Maintenances'!$K:$K,0)),CK44,INDEX('[1]Définition Maintenances'!$G:$G,MATCH($A44,'[1]Définition Maintenances'!$K:$K,0))+CK44),CK44))</f>
        <v>861</v>
      </c>
      <c r="CM44" s="26">
        <f>IF(ISNUMBER(VLOOKUP($D44,'Visu totale'!$D:$DH,CM$1,0)),CL44-VLOOKUP($D44,'Visu totale'!$D:$DH,CM$1,0),IF(LEFT(VLOOKUP($D44,'Visu totale'!$D:$DH,CM$1,0),1)="V",IF(CL44&gt;=INDEX('[1]Définition Maintenances'!$G:$G,MATCH($A44,'[1]Définition Maintenances'!$K:$K,0)),CL44,INDEX('[1]Définition Maintenances'!$G:$G,MATCH($A44,'[1]Définition Maintenances'!$K:$K,0))+CL44),CL44))</f>
        <v>861</v>
      </c>
      <c r="CN44" s="26">
        <f>IF(ISNUMBER(VLOOKUP($D44,'Visu totale'!$D:$DH,CN$1,0)),CM44-VLOOKUP($D44,'Visu totale'!$D:$DH,CN$1,0),IF(LEFT(VLOOKUP($D44,'Visu totale'!$D:$DH,CN$1,0),1)="V",IF(CM44&gt;=INDEX('[1]Définition Maintenances'!$G:$G,MATCH($A44,'[1]Définition Maintenances'!$K:$K,0)),CM44,INDEX('[1]Définition Maintenances'!$G:$G,MATCH($A44,'[1]Définition Maintenances'!$K:$K,0))+CM44),CM44))</f>
        <v>861</v>
      </c>
      <c r="CO44" s="26">
        <f>IF(ISNUMBER(VLOOKUP($D44,'Visu totale'!$D:$DH,CO$1,0)),CN44-VLOOKUP($D44,'Visu totale'!$D:$DH,CO$1,0),IF(LEFT(VLOOKUP($D44,'Visu totale'!$D:$DH,CO$1,0),1)="V",IF(CN44&gt;=INDEX('[1]Définition Maintenances'!$G:$G,MATCH($A44,'[1]Définition Maintenances'!$K:$K,0)),CN44,INDEX('[1]Définition Maintenances'!$G:$G,MATCH($A44,'[1]Définition Maintenances'!$K:$K,0))+CN44),CN44))</f>
        <v>861</v>
      </c>
      <c r="CP44" s="26">
        <f>IF(ISNUMBER(VLOOKUP($D44,'Visu totale'!$D:$DH,CP$1,0)),CO44-VLOOKUP($D44,'Visu totale'!$D:$DH,CP$1,0),IF(LEFT(VLOOKUP($D44,'Visu totale'!$D:$DH,CP$1,0),1)="V",IF(CO44&gt;=INDEX('[1]Définition Maintenances'!$G:$G,MATCH($A44,'[1]Définition Maintenances'!$K:$K,0)),CO44,INDEX('[1]Définition Maintenances'!$G:$G,MATCH($A44,'[1]Définition Maintenances'!$K:$K,0))+CO44),CO44))</f>
        <v>861</v>
      </c>
      <c r="CQ44" s="26">
        <f>IF(ISNUMBER(VLOOKUP($D44,'Visu totale'!$D:$DH,CQ$1,0)),CP44-VLOOKUP($D44,'Visu totale'!$D:$DH,CQ$1,0),IF(LEFT(VLOOKUP($D44,'Visu totale'!$D:$DH,CQ$1,0),1)="V",IF(CP44&gt;=INDEX('[1]Définition Maintenances'!$G:$G,MATCH($A44,'[1]Définition Maintenances'!$K:$K,0)),CP44,INDEX('[1]Définition Maintenances'!$G:$G,MATCH($A44,'[1]Définition Maintenances'!$K:$K,0))+CP44),CP44))</f>
        <v>861</v>
      </c>
      <c r="CR44" s="26">
        <f>IF(ISNUMBER(VLOOKUP($D44,'Visu totale'!$D:$DH,CR$1,0)),CQ44-VLOOKUP($D44,'Visu totale'!$D:$DH,CR$1,0),IF(LEFT(VLOOKUP($D44,'Visu totale'!$D:$DH,CR$1,0),1)="V",IF(CQ44&gt;=INDEX('[1]Définition Maintenances'!$G:$G,MATCH($A44,'[1]Définition Maintenances'!$K:$K,0)),CQ44,INDEX('[1]Définition Maintenances'!$G:$G,MATCH($A44,'[1]Définition Maintenances'!$K:$K,0))+CQ44),CQ44))</f>
        <v>861</v>
      </c>
      <c r="CS44" s="26">
        <f>IF(ISNUMBER(VLOOKUP($D44,'Visu totale'!$D:$DH,CS$1,0)),CR44-VLOOKUP($D44,'Visu totale'!$D:$DH,CS$1,0),IF(LEFT(VLOOKUP($D44,'Visu totale'!$D:$DH,CS$1,0),1)="V",IF(CR44&gt;=INDEX('[1]Définition Maintenances'!$G:$G,MATCH($A44,'[1]Définition Maintenances'!$K:$K,0)),CR44,INDEX('[1]Définition Maintenances'!$G:$G,MATCH($A44,'[1]Définition Maintenances'!$K:$K,0))+CR44),CR44))</f>
        <v>861</v>
      </c>
      <c r="CT44" s="26">
        <f>IF(ISNUMBER(VLOOKUP($D44,'Visu totale'!$D:$DH,CT$1,0)),CS44-VLOOKUP($D44,'Visu totale'!$D:$DH,CT$1,0),IF(LEFT(VLOOKUP($D44,'Visu totale'!$D:$DH,CT$1,0),1)="V",IF(CS44&gt;=INDEX('[1]Définition Maintenances'!$G:$G,MATCH($A44,'[1]Définition Maintenances'!$K:$K,0)),CS44,INDEX('[1]Définition Maintenances'!$G:$G,MATCH($A44,'[1]Définition Maintenances'!$K:$K,0))+CS44),CS44))</f>
        <v>861</v>
      </c>
      <c r="CU44" s="26">
        <f>IF(ISNUMBER(VLOOKUP($D44,'Visu totale'!$D:$DH,CU$1,0)),CT44-VLOOKUP($D44,'Visu totale'!$D:$DH,CU$1,0),IF(LEFT(VLOOKUP($D44,'Visu totale'!$D:$DH,CU$1,0),1)="V",IF(CT44&gt;=INDEX('[1]Définition Maintenances'!$G:$G,MATCH($A44,'[1]Définition Maintenances'!$K:$K,0)),CT44,INDEX('[1]Définition Maintenances'!$G:$G,MATCH($A44,'[1]Définition Maintenances'!$K:$K,0))+CT44),CT44))</f>
        <v>861</v>
      </c>
      <c r="CV44" s="26">
        <f>IF(ISNUMBER(VLOOKUP($D44,'Visu totale'!$D:$DH,CV$1,0)),CU44-VLOOKUP($D44,'Visu totale'!$D:$DH,CV$1,0),IF(LEFT(VLOOKUP($D44,'Visu totale'!$D:$DH,CV$1,0),1)="V",IF(CU44&gt;=INDEX('[1]Définition Maintenances'!$G:$G,MATCH($A44,'[1]Définition Maintenances'!$K:$K,0)),CU44,INDEX('[1]Définition Maintenances'!$G:$G,MATCH($A44,'[1]Définition Maintenances'!$K:$K,0))+CU44),CU44))</f>
        <v>861</v>
      </c>
      <c r="CW44" s="27">
        <f>IF(ISNUMBER(VLOOKUP($D44,'Visu totale'!$D:$DH,CW$1,0)),CV44-VLOOKUP($D44,'Visu totale'!$D:$DH,CW$1,0),IF(LEFT(VLOOKUP($D44,'Visu totale'!$D:$DH,CW$1,0),1)="V",IF(CV44&gt;=INDEX('[1]Définition Maintenances'!$G:$G,MATCH($A44,'[1]Définition Maintenances'!$K:$K,0)),CV44,INDEX('[1]Définition Maintenances'!$G:$G,MATCH($A44,'[1]Définition Maintenances'!$K:$K,0))+CV44),CV44))</f>
        <v>861</v>
      </c>
      <c r="CX44" s="25">
        <f>IF(ISNUMBER(VLOOKUP($D44,'Visu totale'!$D:$DH,CX$1,0)),CW44-VLOOKUP($D44,'Visu totale'!$D:$DH,CX$1,0),IF(LEFT(VLOOKUP($D44,'Visu totale'!$D:$DH,CX$1,0),1)="V",IF(CW44&gt;=INDEX('[1]Définition Maintenances'!$G:$G,MATCH($A44,'[1]Définition Maintenances'!$K:$K,0)),CW44,INDEX('[1]Définition Maintenances'!$G:$G,MATCH($A44,'[1]Définition Maintenances'!$K:$K,0))+CW44),CW44))</f>
        <v>861</v>
      </c>
      <c r="CY44" s="26">
        <f>IF(ISNUMBER(VLOOKUP($D44,'Visu totale'!$D:$DH,CY$1,0)),CX44-VLOOKUP($D44,'Visu totale'!$D:$DH,CY$1,0),IF(LEFT(VLOOKUP($D44,'Visu totale'!$D:$DH,CY$1,0),1)="V",IF(CX44&gt;=INDEX('[1]Définition Maintenances'!$G:$G,MATCH($A44,'[1]Définition Maintenances'!$K:$K,0)),CX44,INDEX('[1]Définition Maintenances'!$G:$G,MATCH($A44,'[1]Définition Maintenances'!$K:$K,0))+CX44),CX44))</f>
        <v>861</v>
      </c>
      <c r="CZ44" s="26">
        <f>IF(ISNUMBER(VLOOKUP($D44,'Visu totale'!$D:$DH,CZ$1,0)),CY44-VLOOKUP($D44,'Visu totale'!$D:$DH,CZ$1,0),IF(LEFT(VLOOKUP($D44,'Visu totale'!$D:$DH,CZ$1,0),1)="V",IF(CY44&gt;=INDEX('[1]Définition Maintenances'!$G:$G,MATCH($A44,'[1]Définition Maintenances'!$K:$K,0)),CY44,INDEX('[1]Définition Maintenances'!$G:$G,MATCH($A44,'[1]Définition Maintenances'!$K:$K,0))+CY44),CY44))</f>
        <v>861</v>
      </c>
      <c r="DA44" s="26">
        <f>IF(ISNUMBER(VLOOKUP($D44,'Visu totale'!$D:$DH,DA$1,0)),CZ44-VLOOKUP($D44,'Visu totale'!$D:$DH,DA$1,0),IF(LEFT(VLOOKUP($D44,'Visu totale'!$D:$DH,DA$1,0),1)="V",IF(CZ44&gt;=INDEX('[1]Définition Maintenances'!$G:$G,MATCH($A44,'[1]Définition Maintenances'!$K:$K,0)),CZ44,INDEX('[1]Définition Maintenances'!$G:$G,MATCH($A44,'[1]Définition Maintenances'!$K:$K,0))+CZ44),CZ44))</f>
        <v>861</v>
      </c>
      <c r="DB44" s="26">
        <f>IF(ISNUMBER(VLOOKUP($D44,'Visu totale'!$D:$DH,DB$1,0)),DA44-VLOOKUP($D44,'Visu totale'!$D:$DH,DB$1,0),IF(LEFT(VLOOKUP($D44,'Visu totale'!$D:$DH,DB$1,0),1)="V",IF(DA44&gt;=INDEX('[1]Définition Maintenances'!$G:$G,MATCH($A44,'[1]Définition Maintenances'!$K:$K,0)),DA44,INDEX('[1]Définition Maintenances'!$G:$G,MATCH($A44,'[1]Définition Maintenances'!$K:$K,0))+DA44),DA44))</f>
        <v>861</v>
      </c>
      <c r="DC44" s="26">
        <f>IF(ISNUMBER(VLOOKUP($D44,'Visu totale'!$D:$DH,DC$1,0)),DB44-VLOOKUP($D44,'Visu totale'!$D:$DH,DC$1,0),IF(LEFT(VLOOKUP($D44,'Visu totale'!$D:$DH,DC$1,0),1)="V",IF(DB44&gt;=INDEX('[1]Définition Maintenances'!$G:$G,MATCH($A44,'[1]Définition Maintenances'!$K:$K,0)),DB44,INDEX('[1]Définition Maintenances'!$G:$G,MATCH($A44,'[1]Définition Maintenances'!$K:$K,0))+DB44),DB44))</f>
        <v>861</v>
      </c>
      <c r="DD44" s="26">
        <f>IF(ISNUMBER(VLOOKUP($D44,'Visu totale'!$D:$DH,DD$1,0)),DC44-VLOOKUP($D44,'Visu totale'!$D:$DH,DD$1,0),IF(LEFT(VLOOKUP($D44,'Visu totale'!$D:$DH,DD$1,0),1)="V",IF(DC44&gt;=INDEX('[1]Définition Maintenances'!$G:$G,MATCH($A44,'[1]Définition Maintenances'!$K:$K,0)),DC44,INDEX('[1]Définition Maintenances'!$G:$G,MATCH($A44,'[1]Définition Maintenances'!$K:$K,0))+DC44),DC44))</f>
        <v>861</v>
      </c>
      <c r="DE44" s="26">
        <f>IF(ISNUMBER(VLOOKUP($D44,'Visu totale'!$D:$DH,DE$1,0)),DD44-VLOOKUP($D44,'Visu totale'!$D:$DH,DE$1,0),IF(LEFT(VLOOKUP($D44,'Visu totale'!$D:$DH,DE$1,0),1)="V",IF(DD44&gt;=INDEX('[1]Définition Maintenances'!$G:$G,MATCH($A44,'[1]Définition Maintenances'!$K:$K,0)),DD44,INDEX('[1]Définition Maintenances'!$G:$G,MATCH($A44,'[1]Définition Maintenances'!$K:$K,0))+DD44),DD44))</f>
        <v>861</v>
      </c>
      <c r="DF44" s="26">
        <f>IF(ISNUMBER(VLOOKUP($D44,'Visu totale'!$D:$DH,DF$1,0)),DE44-VLOOKUP($D44,'Visu totale'!$D:$DH,DF$1,0),IF(LEFT(VLOOKUP($D44,'Visu totale'!$D:$DH,DF$1,0),1)="V",IF(DE44&gt;=INDEX('[1]Définition Maintenances'!$G:$G,MATCH($A44,'[1]Définition Maintenances'!$K:$K,0)),DE44,INDEX('[1]Définition Maintenances'!$G:$G,MATCH($A44,'[1]Définition Maintenances'!$K:$K,0))+DE44),DE44))</f>
        <v>861</v>
      </c>
      <c r="DG44" s="26">
        <f>IF(ISNUMBER(VLOOKUP($D44,'Visu totale'!$D:$DH,DG$1,0)),DF44-VLOOKUP($D44,'Visu totale'!$D:$DH,DG$1,0),IF(LEFT(VLOOKUP($D44,'Visu totale'!$D:$DH,DG$1,0),1)="V",IF(DF44&gt;=INDEX('[1]Définition Maintenances'!$G:$G,MATCH($A44,'[1]Définition Maintenances'!$K:$K,0)),DF44,INDEX('[1]Définition Maintenances'!$G:$G,MATCH($A44,'[1]Définition Maintenances'!$K:$K,0))+DF44),DF44))</f>
        <v>861</v>
      </c>
      <c r="DH44" s="26">
        <f>IF(ISNUMBER(VLOOKUP($D44,'Visu totale'!$D:$DH,DH$1,0)),DG44-VLOOKUP($D44,'Visu totale'!$D:$DH,DH$1,0),IF(LEFT(VLOOKUP($D44,'Visu totale'!$D:$DH,DH$1,0),1)="V",IF(DG44&gt;=INDEX('[1]Définition Maintenances'!$G:$G,MATCH($A44,'[1]Définition Maintenances'!$K:$K,0)),DG44,INDEX('[1]Définition Maintenances'!$G:$G,MATCH($A44,'[1]Définition Maintenances'!$K:$K,0))+DG44),DG44))</f>
        <v>861</v>
      </c>
      <c r="DI44" s="27">
        <f>IF(ISNUMBER(VLOOKUP($D44,'Visu totale'!$D:$DH,DI$1,0)),DH44-VLOOKUP($D44,'Visu totale'!$D:$DH,DI$1,0),IF(LEFT(VLOOKUP($D44,'Visu totale'!$D:$DH,DI$1,0),1)="V",IF(DH44&gt;=INDEX('[1]Définition Maintenances'!$G:$G,MATCH($A44,'[1]Définition Maintenances'!$K:$K,0)),DH44,INDEX('[1]Définition Maintenances'!$G:$G,MATCH($A44,'[1]Définition Maintenances'!$K:$K,0))+DH44),DH44))</f>
        <v>861</v>
      </c>
    </row>
    <row r="45" spans="1:113" x14ac:dyDescent="0.25">
      <c r="A45" s="13" t="str">
        <f t="shared" si="1"/>
        <v>V15D</v>
      </c>
      <c r="B45" s="13" t="str">
        <f>VLOOKUP(D45,'[1]Avions (Potentiels)'!$B$2:$H$128,7,FALSE)</f>
        <v>V15</v>
      </c>
      <c r="C45" s="13"/>
      <c r="D45" s="16" t="s">
        <v>48</v>
      </c>
      <c r="E45" s="13">
        <f>IFERROR(VALUE(SUBSTITUTE(VLOOKUP(D45,'[1]Avions (Potentiels)'!$B:$E,4,0),".",",")),VALUE(VLOOKUP(D45,'[1]Avions (Potentiels)'!$B:$E,4,0)))</f>
        <v>1200</v>
      </c>
      <c r="F45" s="25">
        <f>IF(ISNUMBER(VLOOKUP($D45,'Visu totale'!$D:$DH,F$1,0)),E45-VLOOKUP($D45,'Visu totale'!$D:$DH,F$1,0),IF(LEFT(VLOOKUP($D45,'Visu totale'!$D:$DH,F$1,0),1)="V",IF(E45&gt;=INDEX('[1]Définition Maintenances'!$G:$G,MATCH($A45,'[1]Définition Maintenances'!$K:$K,0)),E45,INDEX('[1]Définition Maintenances'!$G:$G,MATCH($A45,'[1]Définition Maintenances'!$K:$K,0))+E45),E45))</f>
        <v>1200</v>
      </c>
      <c r="G45" s="26">
        <f>IF(ISNUMBER(VLOOKUP($D45,'Visu totale'!$D:$DH,G$1,0)),F45-VLOOKUP($D45,'Visu totale'!$D:$DH,G$1,0),IF(LEFT(VLOOKUP($D45,'Visu totale'!$D:$DH,G$1,0),1)="V",IF(F45&gt;=INDEX('[1]Définition Maintenances'!$G:$G,MATCH($A45,'[1]Définition Maintenances'!$K:$K,0)),F45,INDEX('[1]Définition Maintenances'!$G:$G,MATCH($A45,'[1]Définition Maintenances'!$K:$K,0))+F45),F45))</f>
        <v>1200</v>
      </c>
      <c r="H45" s="26">
        <f>IF(ISNUMBER(VLOOKUP($D45,'Visu totale'!$D:$DH,H$1,0)),G45-VLOOKUP($D45,'Visu totale'!$D:$DH,H$1,0),IF(LEFT(VLOOKUP($D45,'Visu totale'!$D:$DH,H$1,0),1)="V",IF(G45&gt;=INDEX('[1]Définition Maintenances'!$G:$G,MATCH($A45,'[1]Définition Maintenances'!$K:$K,0)),G45,INDEX('[1]Définition Maintenances'!$G:$G,MATCH($A45,'[1]Définition Maintenances'!$K:$K,0))+G45),G45))</f>
        <v>1200</v>
      </c>
      <c r="I45" s="26">
        <f>IF(ISNUMBER(VLOOKUP($D45,'Visu totale'!$D:$DH,I$1,0)),H45-VLOOKUP($D45,'Visu totale'!$D:$DH,I$1,0),IF(LEFT(VLOOKUP($D45,'Visu totale'!$D:$DH,I$1,0),1)="V",IF(H45&gt;=INDEX('[1]Définition Maintenances'!$G:$G,MATCH($A45,'[1]Définition Maintenances'!$K:$K,0)),H45,INDEX('[1]Définition Maintenances'!$G:$G,MATCH($A45,'[1]Définition Maintenances'!$K:$K,0))+H45),H45))</f>
        <v>1200</v>
      </c>
      <c r="J45" s="26">
        <f>IF(ISNUMBER(VLOOKUP($D45,'Visu totale'!$D:$DH,J$1,0)),I45-VLOOKUP($D45,'Visu totale'!$D:$DH,J$1,0),IF(LEFT(VLOOKUP($D45,'Visu totale'!$D:$DH,J$1,0),1)="V",IF(I45&gt;=INDEX('[1]Définition Maintenances'!$G:$G,MATCH($A45,'[1]Définition Maintenances'!$K:$K,0)),I45,INDEX('[1]Définition Maintenances'!$G:$G,MATCH($A45,'[1]Définition Maintenances'!$K:$K,0))+I45),I45))</f>
        <v>1200</v>
      </c>
      <c r="K45" s="26">
        <f>IF(ISNUMBER(VLOOKUP($D45,'Visu totale'!$D:$DH,K$1,0)),J45-VLOOKUP($D45,'Visu totale'!$D:$DH,K$1,0),IF(LEFT(VLOOKUP($D45,'Visu totale'!$D:$DH,K$1,0),1)="V",IF(J45&gt;=INDEX('[1]Définition Maintenances'!$G:$G,MATCH($A45,'[1]Définition Maintenances'!$K:$K,0)),J45,INDEX('[1]Définition Maintenances'!$G:$G,MATCH($A45,'[1]Définition Maintenances'!$K:$K,0))+J45),J45))</f>
        <v>1200</v>
      </c>
      <c r="L45" s="26">
        <f>IF(ISNUMBER(VLOOKUP($D45,'Visu totale'!$D:$DH,L$1,0)),K45-VLOOKUP($D45,'Visu totale'!$D:$DH,L$1,0),IF(LEFT(VLOOKUP($D45,'Visu totale'!$D:$DH,L$1,0),1)="V",IF(K45&gt;=INDEX('[1]Définition Maintenances'!$G:$G,MATCH($A45,'[1]Définition Maintenances'!$K:$K,0)),K45,INDEX('[1]Définition Maintenances'!$G:$G,MATCH($A45,'[1]Définition Maintenances'!$K:$K,0))+K45),K45))</f>
        <v>1200</v>
      </c>
      <c r="M45" s="26">
        <f>IF(ISNUMBER(VLOOKUP($D45,'Visu totale'!$D:$DH,M$1,0)),L45-VLOOKUP($D45,'Visu totale'!$D:$DH,M$1,0),IF(LEFT(VLOOKUP($D45,'Visu totale'!$D:$DH,M$1,0),1)="V",IF(L45&gt;=INDEX('[1]Définition Maintenances'!$G:$G,MATCH($A45,'[1]Définition Maintenances'!$K:$K,0)),L45,INDEX('[1]Définition Maintenances'!$G:$G,MATCH($A45,'[1]Définition Maintenances'!$K:$K,0))+L45),L45))</f>
        <v>1200</v>
      </c>
      <c r="N45" s="26">
        <f>IF(ISNUMBER(VLOOKUP($D45,'Visu totale'!$D:$DH,N$1,0)),M45-VLOOKUP($D45,'Visu totale'!$D:$DH,N$1,0),IF(LEFT(VLOOKUP($D45,'Visu totale'!$D:$DH,N$1,0),1)="V",IF(M45&gt;=INDEX('[1]Définition Maintenances'!$G:$G,MATCH($A45,'[1]Définition Maintenances'!$K:$K,0)),M45,INDEX('[1]Définition Maintenances'!$G:$G,MATCH($A45,'[1]Définition Maintenances'!$K:$K,0))+M45),M45))</f>
        <v>1200</v>
      </c>
      <c r="O45" s="26">
        <f>IF(ISNUMBER(VLOOKUP($D45,'Visu totale'!$D:$DH,O$1,0)),N45-VLOOKUP($D45,'Visu totale'!$D:$DH,O$1,0),IF(LEFT(VLOOKUP($D45,'Visu totale'!$D:$DH,O$1,0),1)="V",IF(N45&gt;=INDEX('[1]Définition Maintenances'!$G:$G,MATCH($A45,'[1]Définition Maintenances'!$K:$K,0)),N45,INDEX('[1]Définition Maintenances'!$G:$G,MATCH($A45,'[1]Définition Maintenances'!$K:$K,0))+N45),N45))</f>
        <v>1200</v>
      </c>
      <c r="P45" s="26">
        <f>IF(ISNUMBER(VLOOKUP($D45,'Visu totale'!$D:$DH,P$1,0)),O45-VLOOKUP($D45,'Visu totale'!$D:$DH,P$1,0),IF(LEFT(VLOOKUP($D45,'Visu totale'!$D:$DH,P$1,0),1)="V",IF(O45&gt;=INDEX('[1]Définition Maintenances'!$G:$G,MATCH($A45,'[1]Définition Maintenances'!$K:$K,0)),O45,INDEX('[1]Définition Maintenances'!$G:$G,MATCH($A45,'[1]Définition Maintenances'!$K:$K,0))+O45),O45))</f>
        <v>1200</v>
      </c>
      <c r="Q45" s="27">
        <f>IF(ISNUMBER(VLOOKUP($D45,'Visu totale'!$D:$DH,Q$1,0)),P45-VLOOKUP($D45,'Visu totale'!$D:$DH,Q$1,0),IF(LEFT(VLOOKUP($D45,'Visu totale'!$D:$DH,Q$1,0),1)="V",IF(P45&gt;=INDEX('[1]Définition Maintenances'!$G:$G,MATCH($A45,'[1]Définition Maintenances'!$K:$K,0)),P45,INDEX('[1]Définition Maintenances'!$G:$G,MATCH($A45,'[1]Définition Maintenances'!$K:$K,0))+P45),P45))</f>
        <v>1200</v>
      </c>
      <c r="R45" s="25">
        <f>IF(ISNUMBER(VLOOKUP($D45,'Visu totale'!$D:$DH,R$1,0)),Q45-VLOOKUP($D45,'Visu totale'!$D:$DH,R$1,0),IF(LEFT(VLOOKUP($D45,'Visu totale'!$D:$DH,R$1,0),1)="V",IF(Q45&gt;=INDEX('[1]Définition Maintenances'!$G:$G,MATCH($A45,'[1]Définition Maintenances'!$K:$K,0)),Q45,INDEX('[1]Définition Maintenances'!$G:$G,MATCH($A45,'[1]Définition Maintenances'!$K:$K,0))+Q45),Q45))</f>
        <v>1200</v>
      </c>
      <c r="S45" s="26">
        <f>IF(ISNUMBER(VLOOKUP($D45,'Visu totale'!$D:$DH,S$1,0)),R45-VLOOKUP($D45,'Visu totale'!$D:$DH,S$1,0),IF(LEFT(VLOOKUP($D45,'Visu totale'!$D:$DH,S$1,0),1)="V",IF(R45&gt;=INDEX('[1]Définition Maintenances'!$G:$G,MATCH($A45,'[1]Définition Maintenances'!$K:$K,0)),R45,INDEX('[1]Définition Maintenances'!$G:$G,MATCH($A45,'[1]Définition Maintenances'!$K:$K,0))+R45),R45))</f>
        <v>1200</v>
      </c>
      <c r="T45" s="26">
        <f>IF(ISNUMBER(VLOOKUP($D45,'Visu totale'!$D:$DH,T$1,0)),S45-VLOOKUP($D45,'Visu totale'!$D:$DH,T$1,0),IF(LEFT(VLOOKUP($D45,'Visu totale'!$D:$DH,T$1,0),1)="V",IF(S45&gt;=INDEX('[1]Définition Maintenances'!$G:$G,MATCH($A45,'[1]Définition Maintenances'!$K:$K,0)),S45,INDEX('[1]Définition Maintenances'!$G:$G,MATCH($A45,'[1]Définition Maintenances'!$K:$K,0))+S45),S45))</f>
        <v>1200</v>
      </c>
      <c r="U45" s="26">
        <f>IF(ISNUMBER(VLOOKUP($D45,'Visu totale'!$D:$DH,U$1,0)),T45-VLOOKUP($D45,'Visu totale'!$D:$DH,U$1,0),IF(LEFT(VLOOKUP($D45,'Visu totale'!$D:$DH,U$1,0),1)="V",IF(T45&gt;=INDEX('[1]Définition Maintenances'!$G:$G,MATCH($A45,'[1]Définition Maintenances'!$K:$K,0)),T45,INDEX('[1]Définition Maintenances'!$G:$G,MATCH($A45,'[1]Définition Maintenances'!$K:$K,0))+T45),T45))</f>
        <v>1200</v>
      </c>
      <c r="V45" s="26">
        <f>IF(ISNUMBER(VLOOKUP($D45,'Visu totale'!$D:$DH,V$1,0)),U45-VLOOKUP($D45,'Visu totale'!$D:$DH,V$1,0),IF(LEFT(VLOOKUP($D45,'Visu totale'!$D:$DH,V$1,0),1)="V",IF(U45&gt;=INDEX('[1]Définition Maintenances'!$G:$G,MATCH($A45,'[1]Définition Maintenances'!$K:$K,0)),U45,INDEX('[1]Définition Maintenances'!$G:$G,MATCH($A45,'[1]Définition Maintenances'!$K:$K,0))+U45),U45))</f>
        <v>1200</v>
      </c>
      <c r="W45" s="26">
        <f>IF(ISNUMBER(VLOOKUP($D45,'Visu totale'!$D:$DH,W$1,0)),V45-VLOOKUP($D45,'Visu totale'!$D:$DH,W$1,0),IF(LEFT(VLOOKUP($D45,'Visu totale'!$D:$DH,W$1,0),1)="V",IF(V45&gt;=INDEX('[1]Définition Maintenances'!$G:$G,MATCH($A45,'[1]Définition Maintenances'!$K:$K,0)),V45,INDEX('[1]Définition Maintenances'!$G:$G,MATCH($A45,'[1]Définition Maintenances'!$K:$K,0))+V45),V45))</f>
        <v>1200</v>
      </c>
      <c r="X45" s="26">
        <f>IF(ISNUMBER(VLOOKUP($D45,'Visu totale'!$D:$DH,X$1,0)),W45-VLOOKUP($D45,'Visu totale'!$D:$DH,X$1,0),IF(LEFT(VLOOKUP($D45,'Visu totale'!$D:$DH,X$1,0),1)="V",IF(W45&gt;=INDEX('[1]Définition Maintenances'!$G:$G,MATCH($A45,'[1]Définition Maintenances'!$K:$K,0)),W45,INDEX('[1]Définition Maintenances'!$G:$G,MATCH($A45,'[1]Définition Maintenances'!$K:$K,0))+W45),W45))</f>
        <v>1200</v>
      </c>
      <c r="Y45" s="26">
        <f>IF(ISNUMBER(VLOOKUP($D45,'Visu totale'!$D:$DH,Y$1,0)),X45-VLOOKUP($D45,'Visu totale'!$D:$DH,Y$1,0),IF(LEFT(VLOOKUP($D45,'Visu totale'!$D:$DH,Y$1,0),1)="V",IF(X45&gt;=INDEX('[1]Définition Maintenances'!$G:$G,MATCH($A45,'[1]Définition Maintenances'!$K:$K,0)),X45,INDEX('[1]Définition Maintenances'!$G:$G,MATCH($A45,'[1]Définition Maintenances'!$K:$K,0))+X45),X45))</f>
        <v>1200</v>
      </c>
      <c r="Z45" s="26">
        <f>IF(ISNUMBER(VLOOKUP($D45,'Visu totale'!$D:$DH,Z$1,0)),Y45-VLOOKUP($D45,'Visu totale'!$D:$DH,Z$1,0),IF(LEFT(VLOOKUP($D45,'Visu totale'!$D:$DH,Z$1,0),1)="V",IF(Y45&gt;=INDEX('[1]Définition Maintenances'!$G:$G,MATCH($A45,'[1]Définition Maintenances'!$K:$K,0)),Y45,INDEX('[1]Définition Maintenances'!$G:$G,MATCH($A45,'[1]Définition Maintenances'!$K:$K,0))+Y45),Y45))</f>
        <v>1200</v>
      </c>
      <c r="AA45" s="26">
        <f>IF(ISNUMBER(VLOOKUP($D45,'Visu totale'!$D:$DH,AA$1,0)),Z45-VLOOKUP($D45,'Visu totale'!$D:$DH,AA$1,0),IF(LEFT(VLOOKUP($D45,'Visu totale'!$D:$DH,AA$1,0),1)="V",IF(Z45&gt;=INDEX('[1]Définition Maintenances'!$G:$G,MATCH($A45,'[1]Définition Maintenances'!$K:$K,0)),Z45,INDEX('[1]Définition Maintenances'!$G:$G,MATCH($A45,'[1]Définition Maintenances'!$K:$K,0))+Z45),Z45))</f>
        <v>1200</v>
      </c>
      <c r="AB45" s="26">
        <f>IF(ISNUMBER(VLOOKUP($D45,'Visu totale'!$D:$DH,AB$1,0)),AA45-VLOOKUP($D45,'Visu totale'!$D:$DH,AB$1,0),IF(LEFT(VLOOKUP($D45,'Visu totale'!$D:$DH,AB$1,0),1)="V",IF(AA45&gt;=INDEX('[1]Définition Maintenances'!$G:$G,MATCH($A45,'[1]Définition Maintenances'!$K:$K,0)),AA45,INDEX('[1]Définition Maintenances'!$G:$G,MATCH($A45,'[1]Définition Maintenances'!$K:$K,0))+AA45),AA45))</f>
        <v>1200</v>
      </c>
      <c r="AC45" s="27">
        <f>IF(ISNUMBER(VLOOKUP($D45,'Visu totale'!$D:$DH,AC$1,0)),AB45-VLOOKUP($D45,'Visu totale'!$D:$DH,AC$1,0),IF(LEFT(VLOOKUP($D45,'Visu totale'!$D:$DH,AC$1,0),1)="V",IF(AB45&gt;=INDEX('[1]Définition Maintenances'!$G:$G,MATCH($A45,'[1]Définition Maintenances'!$K:$K,0)),AB45,INDEX('[1]Définition Maintenances'!$G:$G,MATCH($A45,'[1]Définition Maintenances'!$K:$K,0))+AB45),AB45))</f>
        <v>1200</v>
      </c>
      <c r="AD45" s="25">
        <f>IF(ISNUMBER(VLOOKUP($D45,'Visu totale'!$D:$DH,AD$1,0)),AC45-VLOOKUP($D45,'Visu totale'!$D:$DH,AD$1,0),IF(LEFT(VLOOKUP($D45,'Visu totale'!$D:$DH,AD$1,0),1)="V",IF(AC45&gt;=INDEX('[1]Définition Maintenances'!$G:$G,MATCH($A45,'[1]Définition Maintenances'!$K:$K,0)),AC45,INDEX('[1]Définition Maintenances'!$G:$G,MATCH($A45,'[1]Définition Maintenances'!$K:$K,0))+AC45),AC45))</f>
        <v>1200</v>
      </c>
      <c r="AE45" s="26">
        <f>IF(ISNUMBER(VLOOKUP($D45,'Visu totale'!$D:$DH,AE$1,0)),AD45-VLOOKUP($D45,'Visu totale'!$D:$DH,AE$1,0),IF(LEFT(VLOOKUP($D45,'Visu totale'!$D:$DH,AE$1,0),1)="V",IF(AD45&gt;=INDEX('[1]Définition Maintenances'!$G:$G,MATCH($A45,'[1]Définition Maintenances'!$K:$K,0)),AD45,INDEX('[1]Définition Maintenances'!$G:$G,MATCH($A45,'[1]Définition Maintenances'!$K:$K,0))+AD45),AD45))</f>
        <v>1200</v>
      </c>
      <c r="AF45" s="26">
        <f>IF(ISNUMBER(VLOOKUP($D45,'Visu totale'!$D:$DH,AF$1,0)),AE45-VLOOKUP($D45,'Visu totale'!$D:$DH,AF$1,0),IF(LEFT(VLOOKUP($D45,'Visu totale'!$D:$DH,AF$1,0),1)="V",IF(AE45&gt;=INDEX('[1]Définition Maintenances'!$G:$G,MATCH($A45,'[1]Définition Maintenances'!$K:$K,0)),AE45,INDEX('[1]Définition Maintenances'!$G:$G,MATCH($A45,'[1]Définition Maintenances'!$K:$K,0))+AE45),AE45))</f>
        <v>1200</v>
      </c>
      <c r="AG45" s="26">
        <f>IF(ISNUMBER(VLOOKUP($D45,'Visu totale'!$D:$DH,AG$1,0)),AF45-VLOOKUP($D45,'Visu totale'!$D:$DH,AG$1,0),IF(LEFT(VLOOKUP($D45,'Visu totale'!$D:$DH,AG$1,0),1)="V",IF(AF45&gt;=INDEX('[1]Définition Maintenances'!$G:$G,MATCH($A45,'[1]Définition Maintenances'!$K:$K,0)),AF45,INDEX('[1]Définition Maintenances'!$G:$G,MATCH($A45,'[1]Définition Maintenances'!$K:$K,0))+AF45),AF45))</f>
        <v>1200</v>
      </c>
      <c r="AH45" s="26">
        <f>IF(ISNUMBER(VLOOKUP($D45,'Visu totale'!$D:$DH,AH$1,0)),AG45-VLOOKUP($D45,'Visu totale'!$D:$DH,AH$1,0),IF(LEFT(VLOOKUP($D45,'Visu totale'!$D:$DH,AH$1,0),1)="V",IF(AG45&gt;=INDEX('[1]Définition Maintenances'!$G:$G,MATCH($A45,'[1]Définition Maintenances'!$K:$K,0)),AG45,INDEX('[1]Définition Maintenances'!$G:$G,MATCH($A45,'[1]Définition Maintenances'!$K:$K,0))+AG45),AG45))</f>
        <v>1200</v>
      </c>
      <c r="AI45" s="26">
        <f>IF(ISNUMBER(VLOOKUP($D45,'Visu totale'!$D:$DH,AI$1,0)),AH45-VLOOKUP($D45,'Visu totale'!$D:$DH,AI$1,0),IF(LEFT(VLOOKUP($D45,'Visu totale'!$D:$DH,AI$1,0),1)="V",IF(AH45&gt;=INDEX('[1]Définition Maintenances'!$G:$G,MATCH($A45,'[1]Définition Maintenances'!$K:$K,0)),AH45,INDEX('[1]Définition Maintenances'!$G:$G,MATCH($A45,'[1]Définition Maintenances'!$K:$K,0))+AH45),AH45))</f>
        <v>1200</v>
      </c>
      <c r="AJ45" s="26">
        <f>IF(ISNUMBER(VLOOKUP($D45,'Visu totale'!$D:$DH,AJ$1,0)),AI45-VLOOKUP($D45,'Visu totale'!$D:$DH,AJ$1,0),IF(LEFT(VLOOKUP($D45,'Visu totale'!$D:$DH,AJ$1,0),1)="V",IF(AI45&gt;=INDEX('[1]Définition Maintenances'!$G:$G,MATCH($A45,'[1]Définition Maintenances'!$K:$K,0)),AI45,INDEX('[1]Définition Maintenances'!$G:$G,MATCH($A45,'[1]Définition Maintenances'!$K:$K,0))+AI45),AI45))</f>
        <v>1200</v>
      </c>
      <c r="AK45" s="26">
        <f>IF(ISNUMBER(VLOOKUP($D45,'Visu totale'!$D:$DH,AK$1,0)),AJ45-VLOOKUP($D45,'Visu totale'!$D:$DH,AK$1,0),IF(LEFT(VLOOKUP($D45,'Visu totale'!$D:$DH,AK$1,0),1)="V",IF(AJ45&gt;=INDEX('[1]Définition Maintenances'!$G:$G,MATCH($A45,'[1]Définition Maintenances'!$K:$K,0)),AJ45,INDEX('[1]Définition Maintenances'!$G:$G,MATCH($A45,'[1]Définition Maintenances'!$K:$K,0))+AJ45),AJ45))</f>
        <v>1200</v>
      </c>
      <c r="AL45" s="26">
        <f>IF(ISNUMBER(VLOOKUP($D45,'Visu totale'!$D:$DH,AL$1,0)),AK45-VLOOKUP($D45,'Visu totale'!$D:$DH,AL$1,0),IF(LEFT(VLOOKUP($D45,'Visu totale'!$D:$DH,AL$1,0),1)="V",IF(AK45&gt;=INDEX('[1]Définition Maintenances'!$G:$G,MATCH($A45,'[1]Définition Maintenances'!$K:$K,0)),AK45,INDEX('[1]Définition Maintenances'!$G:$G,MATCH($A45,'[1]Définition Maintenances'!$K:$K,0))+AK45),AK45))</f>
        <v>1200</v>
      </c>
      <c r="AM45" s="26">
        <f>IF(ISNUMBER(VLOOKUP($D45,'Visu totale'!$D:$DH,AM$1,0)),AL45-VLOOKUP($D45,'Visu totale'!$D:$DH,AM$1,0),IF(LEFT(VLOOKUP($D45,'Visu totale'!$D:$DH,AM$1,0),1)="V",IF(AL45&gt;=INDEX('[1]Définition Maintenances'!$G:$G,MATCH($A45,'[1]Définition Maintenances'!$K:$K,0)),AL45,INDEX('[1]Définition Maintenances'!$G:$G,MATCH($A45,'[1]Définition Maintenances'!$K:$K,0))+AL45),AL45))</f>
        <v>1200</v>
      </c>
      <c r="AN45" s="26">
        <f>IF(ISNUMBER(VLOOKUP($D45,'Visu totale'!$D:$DH,AN$1,0)),AM45-VLOOKUP($D45,'Visu totale'!$D:$DH,AN$1,0),IF(LEFT(VLOOKUP($D45,'Visu totale'!$D:$DH,AN$1,0),1)="V",IF(AM45&gt;=INDEX('[1]Définition Maintenances'!$G:$G,MATCH($A45,'[1]Définition Maintenances'!$K:$K,0)),AM45,INDEX('[1]Définition Maintenances'!$G:$G,MATCH($A45,'[1]Définition Maintenances'!$K:$K,0))+AM45),AM45))</f>
        <v>1200</v>
      </c>
      <c r="AO45" s="27">
        <f>IF(ISNUMBER(VLOOKUP($D45,'Visu totale'!$D:$DH,AO$1,0)),AN45-VLOOKUP($D45,'Visu totale'!$D:$DH,AO$1,0),IF(LEFT(VLOOKUP($D45,'Visu totale'!$D:$DH,AO$1,0),1)="V",IF(AN45&gt;=INDEX('[1]Définition Maintenances'!$G:$G,MATCH($A45,'[1]Définition Maintenances'!$K:$K,0)),AN45,INDEX('[1]Définition Maintenances'!$G:$G,MATCH($A45,'[1]Définition Maintenances'!$K:$K,0))+AN45),AN45))</f>
        <v>1200</v>
      </c>
      <c r="AP45" s="25">
        <f>IF(ISNUMBER(VLOOKUP($D45,'Visu totale'!$D:$DH,AP$1,0)),AO45-VLOOKUP($D45,'Visu totale'!$D:$DH,AP$1,0),IF(LEFT(VLOOKUP($D45,'Visu totale'!$D:$DH,AP$1,0),1)="V",IF(AO45&gt;=INDEX('[1]Définition Maintenances'!$G:$G,MATCH($A45,'[1]Définition Maintenances'!$K:$K,0)),AO45,INDEX('[1]Définition Maintenances'!$G:$G,MATCH($A45,'[1]Définition Maintenances'!$K:$K,0))+AO45),AO45))</f>
        <v>1200</v>
      </c>
      <c r="AQ45" s="26">
        <f>IF(ISNUMBER(VLOOKUP($D45,'Visu totale'!$D:$DH,AQ$1,0)),AP45-VLOOKUP($D45,'Visu totale'!$D:$DH,AQ$1,0),IF(LEFT(VLOOKUP($D45,'Visu totale'!$D:$DH,AQ$1,0),1)="V",IF(AP45&gt;=INDEX('[1]Définition Maintenances'!$G:$G,MATCH($A45,'[1]Définition Maintenances'!$K:$K,0)),AP45,INDEX('[1]Définition Maintenances'!$G:$G,MATCH($A45,'[1]Définition Maintenances'!$K:$K,0))+AP45),AP45))</f>
        <v>1200</v>
      </c>
      <c r="AR45" s="26">
        <f>IF(ISNUMBER(VLOOKUP($D45,'Visu totale'!$D:$DH,AR$1,0)),AQ45-VLOOKUP($D45,'Visu totale'!$D:$DH,AR$1,0),IF(LEFT(VLOOKUP($D45,'Visu totale'!$D:$DH,AR$1,0),1)="V",IF(AQ45&gt;=INDEX('[1]Définition Maintenances'!$G:$G,MATCH($A45,'[1]Définition Maintenances'!$K:$K,0)),AQ45,INDEX('[1]Définition Maintenances'!$G:$G,MATCH($A45,'[1]Définition Maintenances'!$K:$K,0))+AQ45),AQ45))</f>
        <v>1200</v>
      </c>
      <c r="AS45" s="26">
        <f>IF(ISNUMBER(VLOOKUP($D45,'Visu totale'!$D:$DH,AS$1,0)),AR45-VLOOKUP($D45,'Visu totale'!$D:$DH,AS$1,0),IF(LEFT(VLOOKUP($D45,'Visu totale'!$D:$DH,AS$1,0),1)="V",IF(AR45&gt;=INDEX('[1]Définition Maintenances'!$G:$G,MATCH($A45,'[1]Définition Maintenances'!$K:$K,0)),AR45,INDEX('[1]Définition Maintenances'!$G:$G,MATCH($A45,'[1]Définition Maintenances'!$K:$K,0))+AR45),AR45))</f>
        <v>1200</v>
      </c>
      <c r="AT45" s="26">
        <f>IF(ISNUMBER(VLOOKUP($D45,'Visu totale'!$D:$DH,AT$1,0)),AS45-VLOOKUP($D45,'Visu totale'!$D:$DH,AT$1,0),IF(LEFT(VLOOKUP($D45,'Visu totale'!$D:$DH,AT$1,0),1)="V",IF(AS45&gt;=INDEX('[1]Définition Maintenances'!$G:$G,MATCH($A45,'[1]Définition Maintenances'!$K:$K,0)),AS45,INDEX('[1]Définition Maintenances'!$G:$G,MATCH($A45,'[1]Définition Maintenances'!$K:$K,0))+AS45),AS45))</f>
        <v>1200</v>
      </c>
      <c r="AU45" s="26">
        <f>IF(ISNUMBER(VLOOKUP($D45,'Visu totale'!$D:$DH,AU$1,0)),AT45-VLOOKUP($D45,'Visu totale'!$D:$DH,AU$1,0),IF(LEFT(VLOOKUP($D45,'Visu totale'!$D:$DH,AU$1,0),1)="V",IF(AT45&gt;=INDEX('[1]Définition Maintenances'!$G:$G,MATCH($A45,'[1]Définition Maintenances'!$K:$K,0)),AT45,INDEX('[1]Définition Maintenances'!$G:$G,MATCH($A45,'[1]Définition Maintenances'!$K:$K,0))+AT45),AT45))</f>
        <v>1200</v>
      </c>
      <c r="AV45" s="26">
        <f>IF(ISNUMBER(VLOOKUP($D45,'Visu totale'!$D:$DH,AV$1,0)),AU45-VLOOKUP($D45,'Visu totale'!$D:$DH,AV$1,0),IF(LEFT(VLOOKUP($D45,'Visu totale'!$D:$DH,AV$1,0),1)="V",IF(AU45&gt;=INDEX('[1]Définition Maintenances'!$G:$G,MATCH($A45,'[1]Définition Maintenances'!$K:$K,0)),AU45,INDEX('[1]Définition Maintenances'!$G:$G,MATCH($A45,'[1]Définition Maintenances'!$K:$K,0))+AU45),AU45))</f>
        <v>1200</v>
      </c>
      <c r="AW45" s="26">
        <f>IF(ISNUMBER(VLOOKUP($D45,'Visu totale'!$D:$DH,AW$1,0)),AV45-VLOOKUP($D45,'Visu totale'!$D:$DH,AW$1,0),IF(LEFT(VLOOKUP($D45,'Visu totale'!$D:$DH,AW$1,0),1)="V",IF(AV45&gt;=INDEX('[1]Définition Maintenances'!$G:$G,MATCH($A45,'[1]Définition Maintenances'!$K:$K,0)),AV45,INDEX('[1]Définition Maintenances'!$G:$G,MATCH($A45,'[1]Définition Maintenances'!$K:$K,0))+AV45),AV45))</f>
        <v>1200</v>
      </c>
      <c r="AX45" s="26">
        <f>IF(ISNUMBER(VLOOKUP($D45,'Visu totale'!$D:$DH,AX$1,0)),AW45-VLOOKUP($D45,'Visu totale'!$D:$DH,AX$1,0),IF(LEFT(VLOOKUP($D45,'Visu totale'!$D:$DH,AX$1,0),1)="V",IF(AW45&gt;=INDEX('[1]Définition Maintenances'!$G:$G,MATCH($A45,'[1]Définition Maintenances'!$K:$K,0)),AW45,INDEX('[1]Définition Maintenances'!$G:$G,MATCH($A45,'[1]Définition Maintenances'!$K:$K,0))+AW45),AW45))</f>
        <v>1200</v>
      </c>
      <c r="AY45" s="26">
        <f>IF(ISNUMBER(VLOOKUP($D45,'Visu totale'!$D:$DH,AY$1,0)),AX45-VLOOKUP($D45,'Visu totale'!$D:$DH,AY$1,0),IF(LEFT(VLOOKUP($D45,'Visu totale'!$D:$DH,AY$1,0),1)="V",IF(AX45&gt;=INDEX('[1]Définition Maintenances'!$G:$G,MATCH($A45,'[1]Définition Maintenances'!$K:$K,0)),AX45,INDEX('[1]Définition Maintenances'!$G:$G,MATCH($A45,'[1]Définition Maintenances'!$K:$K,0))+AX45),AX45))</f>
        <v>1200</v>
      </c>
      <c r="AZ45" s="26">
        <f>IF(ISNUMBER(VLOOKUP($D45,'Visu totale'!$D:$DH,AZ$1,0)),AY45-VLOOKUP($D45,'Visu totale'!$D:$DH,AZ$1,0),IF(LEFT(VLOOKUP($D45,'Visu totale'!$D:$DH,AZ$1,0),1)="V",IF(AY45&gt;=INDEX('[1]Définition Maintenances'!$G:$G,MATCH($A45,'[1]Définition Maintenances'!$K:$K,0)),AY45,INDEX('[1]Définition Maintenances'!$G:$G,MATCH($A45,'[1]Définition Maintenances'!$K:$K,0))+AY45),AY45))</f>
        <v>1200</v>
      </c>
      <c r="BA45" s="27">
        <f>IF(ISNUMBER(VLOOKUP($D45,'Visu totale'!$D:$DH,BA$1,0)),AZ45-VLOOKUP($D45,'Visu totale'!$D:$DH,BA$1,0),IF(LEFT(VLOOKUP($D45,'Visu totale'!$D:$DH,BA$1,0),1)="V",IF(AZ45&gt;=INDEX('[1]Définition Maintenances'!$G:$G,MATCH($A45,'[1]Définition Maintenances'!$K:$K,0)),AZ45,INDEX('[1]Définition Maintenances'!$G:$G,MATCH($A45,'[1]Définition Maintenances'!$K:$K,0))+AZ45),AZ45))</f>
        <v>1200</v>
      </c>
      <c r="BB45" s="25">
        <f>IF(ISNUMBER(VLOOKUP($D45,'Visu totale'!$D:$DH,BB$1,0)),BA45-VLOOKUP($D45,'Visu totale'!$D:$DH,BB$1,0),IF(LEFT(VLOOKUP($D45,'Visu totale'!$D:$DH,BB$1,0),1)="V",IF(BA45&gt;=INDEX('[1]Définition Maintenances'!$G:$G,MATCH($A45,'[1]Définition Maintenances'!$K:$K,0)),BA45,INDEX('[1]Définition Maintenances'!$G:$G,MATCH($A45,'[1]Définition Maintenances'!$K:$K,0))+BA45),BA45))</f>
        <v>1200</v>
      </c>
      <c r="BC45" s="26">
        <f>IF(ISNUMBER(VLOOKUP($D45,'Visu totale'!$D:$DH,BC$1,0)),BB45-VLOOKUP($D45,'Visu totale'!$D:$DH,BC$1,0),IF(LEFT(VLOOKUP($D45,'Visu totale'!$D:$DH,BC$1,0),1)="V",IF(BB45&gt;=INDEX('[1]Définition Maintenances'!$G:$G,MATCH($A45,'[1]Définition Maintenances'!$K:$K,0)),BB45,INDEX('[1]Définition Maintenances'!$G:$G,MATCH($A45,'[1]Définition Maintenances'!$K:$K,0))+BB45),BB45))</f>
        <v>1200</v>
      </c>
      <c r="BD45" s="26">
        <f>IF(ISNUMBER(VLOOKUP($D45,'Visu totale'!$D:$DH,BD$1,0)),BC45-VLOOKUP($D45,'Visu totale'!$D:$DH,BD$1,0),IF(LEFT(VLOOKUP($D45,'Visu totale'!$D:$DH,BD$1,0),1)="V",IF(BC45&gt;=INDEX('[1]Définition Maintenances'!$G:$G,MATCH($A45,'[1]Définition Maintenances'!$K:$K,0)),BC45,INDEX('[1]Définition Maintenances'!$G:$G,MATCH($A45,'[1]Définition Maintenances'!$K:$K,0))+BC45),BC45))</f>
        <v>1200</v>
      </c>
      <c r="BE45" s="26">
        <f>IF(ISNUMBER(VLOOKUP($D45,'Visu totale'!$D:$DH,BE$1,0)),BD45-VLOOKUP($D45,'Visu totale'!$D:$DH,BE$1,0),IF(LEFT(VLOOKUP($D45,'Visu totale'!$D:$DH,BE$1,0),1)="V",IF(BD45&gt;=INDEX('[1]Définition Maintenances'!$G:$G,MATCH($A45,'[1]Définition Maintenances'!$K:$K,0)),BD45,INDEX('[1]Définition Maintenances'!$G:$G,MATCH($A45,'[1]Définition Maintenances'!$K:$K,0))+BD45),BD45))</f>
        <v>1200</v>
      </c>
      <c r="BF45" s="26">
        <f>IF(ISNUMBER(VLOOKUP($D45,'Visu totale'!$D:$DH,BF$1,0)),BE45-VLOOKUP($D45,'Visu totale'!$D:$DH,BF$1,0),IF(LEFT(VLOOKUP($D45,'Visu totale'!$D:$DH,BF$1,0),1)="V",IF(BE45&gt;=INDEX('[1]Définition Maintenances'!$G:$G,MATCH($A45,'[1]Définition Maintenances'!$K:$K,0)),BE45,INDEX('[1]Définition Maintenances'!$G:$G,MATCH($A45,'[1]Définition Maintenances'!$K:$K,0))+BE45),BE45))</f>
        <v>1200</v>
      </c>
      <c r="BG45" s="26">
        <f>IF(ISNUMBER(VLOOKUP($D45,'Visu totale'!$D:$DH,BG$1,0)),BF45-VLOOKUP($D45,'Visu totale'!$D:$DH,BG$1,0),IF(LEFT(VLOOKUP($D45,'Visu totale'!$D:$DH,BG$1,0),1)="V",IF(BF45&gt;=INDEX('[1]Définition Maintenances'!$G:$G,MATCH($A45,'[1]Définition Maintenances'!$K:$K,0)),BF45,INDEX('[1]Définition Maintenances'!$G:$G,MATCH($A45,'[1]Définition Maintenances'!$K:$K,0))+BF45),BF45))</f>
        <v>1200</v>
      </c>
      <c r="BH45" s="26">
        <f>IF(ISNUMBER(VLOOKUP($D45,'Visu totale'!$D:$DH,BH$1,0)),BG45-VLOOKUP($D45,'Visu totale'!$D:$DH,BH$1,0),IF(LEFT(VLOOKUP($D45,'Visu totale'!$D:$DH,BH$1,0),1)="V",IF(BG45&gt;=INDEX('[1]Définition Maintenances'!$G:$G,MATCH($A45,'[1]Définition Maintenances'!$K:$K,0)),BG45,INDEX('[1]Définition Maintenances'!$G:$G,MATCH($A45,'[1]Définition Maintenances'!$K:$K,0))+BG45),BG45))</f>
        <v>1200</v>
      </c>
      <c r="BI45" s="26">
        <f>IF(ISNUMBER(VLOOKUP($D45,'Visu totale'!$D:$DH,BI$1,0)),BH45-VLOOKUP($D45,'Visu totale'!$D:$DH,BI$1,0),IF(LEFT(VLOOKUP($D45,'Visu totale'!$D:$DH,BI$1,0),1)="V",IF(BH45&gt;=INDEX('[1]Définition Maintenances'!$G:$G,MATCH($A45,'[1]Définition Maintenances'!$K:$K,0)),BH45,INDEX('[1]Définition Maintenances'!$G:$G,MATCH($A45,'[1]Définition Maintenances'!$K:$K,0))+BH45),BH45))</f>
        <v>1200</v>
      </c>
      <c r="BJ45" s="26">
        <f>IF(ISNUMBER(VLOOKUP($D45,'Visu totale'!$D:$DH,BJ$1,0)),BI45-VLOOKUP($D45,'Visu totale'!$D:$DH,BJ$1,0),IF(LEFT(VLOOKUP($D45,'Visu totale'!$D:$DH,BJ$1,0),1)="V",IF(BI45&gt;=INDEX('[1]Définition Maintenances'!$G:$G,MATCH($A45,'[1]Définition Maintenances'!$K:$K,0)),BI45,INDEX('[1]Définition Maintenances'!$G:$G,MATCH($A45,'[1]Définition Maintenances'!$K:$K,0))+BI45),BI45))</f>
        <v>1200</v>
      </c>
      <c r="BK45" s="26">
        <f>IF(ISNUMBER(VLOOKUP($D45,'Visu totale'!$D:$DH,BK$1,0)),BJ45-VLOOKUP($D45,'Visu totale'!$D:$DH,BK$1,0),IF(LEFT(VLOOKUP($D45,'Visu totale'!$D:$DH,BK$1,0),1)="V",IF(BJ45&gt;=INDEX('[1]Définition Maintenances'!$G:$G,MATCH($A45,'[1]Définition Maintenances'!$K:$K,0)),BJ45,INDEX('[1]Définition Maintenances'!$G:$G,MATCH($A45,'[1]Définition Maintenances'!$K:$K,0))+BJ45),BJ45))</f>
        <v>1200</v>
      </c>
      <c r="BL45" s="26">
        <f>IF(ISNUMBER(VLOOKUP($D45,'Visu totale'!$D:$DH,BL$1,0)),BK45-VLOOKUP($D45,'Visu totale'!$D:$DH,BL$1,0),IF(LEFT(VLOOKUP($D45,'Visu totale'!$D:$DH,BL$1,0),1)="V",IF(BK45&gt;=INDEX('[1]Définition Maintenances'!$G:$G,MATCH($A45,'[1]Définition Maintenances'!$K:$K,0)),BK45,INDEX('[1]Définition Maintenances'!$G:$G,MATCH($A45,'[1]Définition Maintenances'!$K:$K,0))+BK45),BK45))</f>
        <v>1200</v>
      </c>
      <c r="BM45" s="27">
        <f>IF(ISNUMBER(VLOOKUP($D45,'Visu totale'!$D:$DH,BM$1,0)),BL45-VLOOKUP($D45,'Visu totale'!$D:$DH,BM$1,0),IF(LEFT(VLOOKUP($D45,'Visu totale'!$D:$DH,BM$1,0),1)="V",IF(BL45&gt;=INDEX('[1]Définition Maintenances'!$G:$G,MATCH($A45,'[1]Définition Maintenances'!$K:$K,0)),BL45,INDEX('[1]Définition Maintenances'!$G:$G,MATCH($A45,'[1]Définition Maintenances'!$K:$K,0))+BL45),BL45))</f>
        <v>1200</v>
      </c>
      <c r="BN45" s="25">
        <f>IF(ISNUMBER(VLOOKUP($D45,'Visu totale'!$D:$DH,BN$1,0)),BM45-VLOOKUP($D45,'Visu totale'!$D:$DH,BN$1,0),IF(LEFT(VLOOKUP($D45,'Visu totale'!$D:$DH,BN$1,0),1)="V",IF(BM45&gt;=INDEX('[1]Définition Maintenances'!$G:$G,MATCH($A45,'[1]Définition Maintenances'!$K:$K,0)),BM45,INDEX('[1]Définition Maintenances'!$G:$G,MATCH($A45,'[1]Définition Maintenances'!$K:$K,0))+BM45),BM45))</f>
        <v>1200</v>
      </c>
      <c r="BO45" s="26">
        <f>IF(ISNUMBER(VLOOKUP($D45,'Visu totale'!$D:$DH,BO$1,0)),BN45-VLOOKUP($D45,'Visu totale'!$D:$DH,BO$1,0),IF(LEFT(VLOOKUP($D45,'Visu totale'!$D:$DH,BO$1,0),1)="V",IF(BN45&gt;=INDEX('[1]Définition Maintenances'!$G:$G,MATCH($A45,'[1]Définition Maintenances'!$K:$K,0)),BN45,INDEX('[1]Définition Maintenances'!$G:$G,MATCH($A45,'[1]Définition Maintenances'!$K:$K,0))+BN45),BN45))</f>
        <v>1200</v>
      </c>
      <c r="BP45" s="26">
        <f>IF(ISNUMBER(VLOOKUP($D45,'Visu totale'!$D:$DH,BP$1,0)),BO45-VLOOKUP($D45,'Visu totale'!$D:$DH,BP$1,0),IF(LEFT(VLOOKUP($D45,'Visu totale'!$D:$DH,BP$1,0),1)="V",IF(BO45&gt;=INDEX('[1]Définition Maintenances'!$G:$G,MATCH($A45,'[1]Définition Maintenances'!$K:$K,0)),BO45,INDEX('[1]Définition Maintenances'!$G:$G,MATCH($A45,'[1]Définition Maintenances'!$K:$K,0))+BO45),BO45))</f>
        <v>1200</v>
      </c>
      <c r="BQ45" s="26">
        <f>IF(ISNUMBER(VLOOKUP($D45,'Visu totale'!$D:$DH,BQ$1,0)),BP45-VLOOKUP($D45,'Visu totale'!$D:$DH,BQ$1,0),IF(LEFT(VLOOKUP($D45,'Visu totale'!$D:$DH,BQ$1,0),1)="V",IF(BP45&gt;=INDEX('[1]Définition Maintenances'!$G:$G,MATCH($A45,'[1]Définition Maintenances'!$K:$K,0)),BP45,INDEX('[1]Définition Maintenances'!$G:$G,MATCH($A45,'[1]Définition Maintenances'!$K:$K,0))+BP45),BP45))</f>
        <v>1200</v>
      </c>
      <c r="BR45" s="26">
        <f>IF(ISNUMBER(VLOOKUP($D45,'Visu totale'!$D:$DH,BR$1,0)),BQ45-VLOOKUP($D45,'Visu totale'!$D:$DH,BR$1,0),IF(LEFT(VLOOKUP($D45,'Visu totale'!$D:$DH,BR$1,0),1)="V",IF(BQ45&gt;=INDEX('[1]Définition Maintenances'!$G:$G,MATCH($A45,'[1]Définition Maintenances'!$K:$K,0)),BQ45,INDEX('[1]Définition Maintenances'!$G:$G,MATCH($A45,'[1]Définition Maintenances'!$K:$K,0))+BQ45),BQ45))</f>
        <v>1200</v>
      </c>
      <c r="BS45" s="26">
        <f>IF(ISNUMBER(VLOOKUP($D45,'Visu totale'!$D:$DH,BS$1,0)),BR45-VLOOKUP($D45,'Visu totale'!$D:$DH,BS$1,0),IF(LEFT(VLOOKUP($D45,'Visu totale'!$D:$DH,BS$1,0),1)="V",IF(BR45&gt;=INDEX('[1]Définition Maintenances'!$G:$G,MATCH($A45,'[1]Définition Maintenances'!$K:$K,0)),BR45,INDEX('[1]Définition Maintenances'!$G:$G,MATCH($A45,'[1]Définition Maintenances'!$K:$K,0))+BR45),BR45))</f>
        <v>1200</v>
      </c>
      <c r="BT45" s="26">
        <f>IF(ISNUMBER(VLOOKUP($D45,'Visu totale'!$D:$DH,BT$1,0)),BS45-VLOOKUP($D45,'Visu totale'!$D:$DH,BT$1,0),IF(LEFT(VLOOKUP($D45,'Visu totale'!$D:$DH,BT$1,0),1)="V",IF(BS45&gt;=INDEX('[1]Définition Maintenances'!$G:$G,MATCH($A45,'[1]Définition Maintenances'!$K:$K,0)),BS45,INDEX('[1]Définition Maintenances'!$G:$G,MATCH($A45,'[1]Définition Maintenances'!$K:$K,0))+BS45),BS45))</f>
        <v>1200</v>
      </c>
      <c r="BU45" s="26">
        <f>IF(ISNUMBER(VLOOKUP($D45,'Visu totale'!$D:$DH,BU$1,0)),BT45-VLOOKUP($D45,'Visu totale'!$D:$DH,BU$1,0),IF(LEFT(VLOOKUP($D45,'Visu totale'!$D:$DH,BU$1,0),1)="V",IF(BT45&gt;=INDEX('[1]Définition Maintenances'!$G:$G,MATCH($A45,'[1]Définition Maintenances'!$K:$K,0)),BT45,INDEX('[1]Définition Maintenances'!$G:$G,MATCH($A45,'[1]Définition Maintenances'!$K:$K,0))+BT45),BT45))</f>
        <v>1200</v>
      </c>
      <c r="BV45" s="26">
        <f>IF(ISNUMBER(VLOOKUP($D45,'Visu totale'!$D:$DH,BV$1,0)),BU45-VLOOKUP($D45,'Visu totale'!$D:$DH,BV$1,0),IF(LEFT(VLOOKUP($D45,'Visu totale'!$D:$DH,BV$1,0),1)="V",IF(BU45&gt;=INDEX('[1]Définition Maintenances'!$G:$G,MATCH($A45,'[1]Définition Maintenances'!$K:$K,0)),BU45,INDEX('[1]Définition Maintenances'!$G:$G,MATCH($A45,'[1]Définition Maintenances'!$K:$K,0))+BU45),BU45))</f>
        <v>1200</v>
      </c>
      <c r="BW45" s="26">
        <f>IF(ISNUMBER(VLOOKUP($D45,'Visu totale'!$D:$DH,BW$1,0)),BV45-VLOOKUP($D45,'Visu totale'!$D:$DH,BW$1,0),IF(LEFT(VLOOKUP($D45,'Visu totale'!$D:$DH,BW$1,0),1)="V",IF(BV45&gt;=INDEX('[1]Définition Maintenances'!$G:$G,MATCH($A45,'[1]Définition Maintenances'!$K:$K,0)),BV45,INDEX('[1]Définition Maintenances'!$G:$G,MATCH($A45,'[1]Définition Maintenances'!$K:$K,0))+BV45),BV45))</f>
        <v>1200</v>
      </c>
      <c r="BX45" s="26">
        <f>IF(ISNUMBER(VLOOKUP($D45,'Visu totale'!$D:$DH,BX$1,0)),BW45-VLOOKUP($D45,'Visu totale'!$D:$DH,BX$1,0),IF(LEFT(VLOOKUP($D45,'Visu totale'!$D:$DH,BX$1,0),1)="V",IF(BW45&gt;=INDEX('[1]Définition Maintenances'!$G:$G,MATCH($A45,'[1]Définition Maintenances'!$K:$K,0)),BW45,INDEX('[1]Définition Maintenances'!$G:$G,MATCH($A45,'[1]Définition Maintenances'!$K:$K,0))+BW45),BW45))</f>
        <v>1200</v>
      </c>
      <c r="BY45" s="27">
        <f>IF(ISNUMBER(VLOOKUP($D45,'Visu totale'!$D:$DH,BY$1,0)),BX45-VLOOKUP($D45,'Visu totale'!$D:$DH,BY$1,0),IF(LEFT(VLOOKUP($D45,'Visu totale'!$D:$DH,BY$1,0),1)="V",IF(BX45&gt;=INDEX('[1]Définition Maintenances'!$G:$G,MATCH($A45,'[1]Définition Maintenances'!$K:$K,0)),BX45,INDEX('[1]Définition Maintenances'!$G:$G,MATCH($A45,'[1]Définition Maintenances'!$K:$K,0))+BX45),BX45))</f>
        <v>1200</v>
      </c>
      <c r="BZ45" s="25">
        <f>IF(ISNUMBER(VLOOKUP($D45,'Visu totale'!$D:$DH,BZ$1,0)),BY45-VLOOKUP($D45,'Visu totale'!$D:$DH,BZ$1,0),IF(LEFT(VLOOKUP($D45,'Visu totale'!$D:$DH,BZ$1,0),1)="V",IF(BY45&gt;=INDEX('[1]Définition Maintenances'!$G:$G,MATCH($A45,'[1]Définition Maintenances'!$K:$K,0)),BY45,INDEX('[1]Définition Maintenances'!$G:$G,MATCH($A45,'[1]Définition Maintenances'!$K:$K,0))+BY45),BY45))</f>
        <v>1200</v>
      </c>
      <c r="CA45" s="26">
        <f>IF(ISNUMBER(VLOOKUP($D45,'Visu totale'!$D:$DH,CA$1,0)),BZ45-VLOOKUP($D45,'Visu totale'!$D:$DH,CA$1,0),IF(LEFT(VLOOKUP($D45,'Visu totale'!$D:$DH,CA$1,0),1)="V",IF(BZ45&gt;=INDEX('[1]Définition Maintenances'!$G:$G,MATCH($A45,'[1]Définition Maintenances'!$K:$K,0)),BZ45,INDEX('[1]Définition Maintenances'!$G:$G,MATCH($A45,'[1]Définition Maintenances'!$K:$K,0))+BZ45),BZ45))</f>
        <v>1200</v>
      </c>
      <c r="CB45" s="26">
        <f>IF(ISNUMBER(VLOOKUP($D45,'Visu totale'!$D:$DH,CB$1,0)),CA45-VLOOKUP($D45,'Visu totale'!$D:$DH,CB$1,0),IF(LEFT(VLOOKUP($D45,'Visu totale'!$D:$DH,CB$1,0),1)="V",IF(CA45&gt;=INDEX('[1]Définition Maintenances'!$G:$G,MATCH($A45,'[1]Définition Maintenances'!$K:$K,0)),CA45,INDEX('[1]Définition Maintenances'!$G:$G,MATCH($A45,'[1]Définition Maintenances'!$K:$K,0))+CA45),CA45))</f>
        <v>1200</v>
      </c>
      <c r="CC45" s="26">
        <f>IF(ISNUMBER(VLOOKUP($D45,'Visu totale'!$D:$DH,CC$1,0)),CB45-VLOOKUP($D45,'Visu totale'!$D:$DH,CC$1,0),IF(LEFT(VLOOKUP($D45,'Visu totale'!$D:$DH,CC$1,0),1)="V",IF(CB45&gt;=INDEX('[1]Définition Maintenances'!$G:$G,MATCH($A45,'[1]Définition Maintenances'!$K:$K,0)),CB45,INDEX('[1]Définition Maintenances'!$G:$G,MATCH($A45,'[1]Définition Maintenances'!$K:$K,0))+CB45),CB45))</f>
        <v>1200</v>
      </c>
      <c r="CD45" s="26">
        <f>IF(ISNUMBER(VLOOKUP($D45,'Visu totale'!$D:$DH,CD$1,0)),CC45-VLOOKUP($D45,'Visu totale'!$D:$DH,CD$1,0),IF(LEFT(VLOOKUP($D45,'Visu totale'!$D:$DH,CD$1,0),1)="V",IF(CC45&gt;=INDEX('[1]Définition Maintenances'!$G:$G,MATCH($A45,'[1]Définition Maintenances'!$K:$K,0)),CC45,INDEX('[1]Définition Maintenances'!$G:$G,MATCH($A45,'[1]Définition Maintenances'!$K:$K,0))+CC45),CC45))</f>
        <v>1200</v>
      </c>
      <c r="CE45" s="26">
        <f>IF(ISNUMBER(VLOOKUP($D45,'Visu totale'!$D:$DH,CE$1,0)),CD45-VLOOKUP($D45,'Visu totale'!$D:$DH,CE$1,0),IF(LEFT(VLOOKUP($D45,'Visu totale'!$D:$DH,CE$1,0),1)="V",IF(CD45&gt;=INDEX('[1]Définition Maintenances'!$G:$G,MATCH($A45,'[1]Définition Maintenances'!$K:$K,0)),CD45,INDEX('[1]Définition Maintenances'!$G:$G,MATCH($A45,'[1]Définition Maintenances'!$K:$K,0))+CD45),CD45))</f>
        <v>1200</v>
      </c>
      <c r="CF45" s="26">
        <f>IF(ISNUMBER(VLOOKUP($D45,'Visu totale'!$D:$DH,CF$1,0)),CE45-VLOOKUP($D45,'Visu totale'!$D:$DH,CF$1,0),IF(LEFT(VLOOKUP($D45,'Visu totale'!$D:$DH,CF$1,0),1)="V",IF(CE45&gt;=INDEX('[1]Définition Maintenances'!$G:$G,MATCH($A45,'[1]Définition Maintenances'!$K:$K,0)),CE45,INDEX('[1]Définition Maintenances'!$G:$G,MATCH($A45,'[1]Définition Maintenances'!$K:$K,0))+CE45),CE45))</f>
        <v>1200</v>
      </c>
      <c r="CG45" s="26">
        <f>IF(ISNUMBER(VLOOKUP($D45,'Visu totale'!$D:$DH,CG$1,0)),CF45-VLOOKUP($D45,'Visu totale'!$D:$DH,CG$1,0),IF(LEFT(VLOOKUP($D45,'Visu totale'!$D:$DH,CG$1,0),1)="V",IF(CF45&gt;=INDEX('[1]Définition Maintenances'!$G:$G,MATCH($A45,'[1]Définition Maintenances'!$K:$K,0)),CF45,INDEX('[1]Définition Maintenances'!$G:$G,MATCH($A45,'[1]Définition Maintenances'!$K:$K,0))+CF45),CF45))</f>
        <v>1200</v>
      </c>
      <c r="CH45" s="26">
        <f>IF(ISNUMBER(VLOOKUP($D45,'Visu totale'!$D:$DH,CH$1,0)),CG45-VLOOKUP($D45,'Visu totale'!$D:$DH,CH$1,0),IF(LEFT(VLOOKUP($D45,'Visu totale'!$D:$DH,CH$1,0),1)="V",IF(CG45&gt;=INDEX('[1]Définition Maintenances'!$G:$G,MATCH($A45,'[1]Définition Maintenances'!$K:$K,0)),CG45,INDEX('[1]Définition Maintenances'!$G:$G,MATCH($A45,'[1]Définition Maintenances'!$K:$K,0))+CG45),CG45))</f>
        <v>1200</v>
      </c>
      <c r="CI45" s="26">
        <f>IF(ISNUMBER(VLOOKUP($D45,'Visu totale'!$D:$DH,CI$1,0)),CH45-VLOOKUP($D45,'Visu totale'!$D:$DH,CI$1,0),IF(LEFT(VLOOKUP($D45,'Visu totale'!$D:$DH,CI$1,0),1)="V",IF(CH45&gt;=INDEX('[1]Définition Maintenances'!$G:$G,MATCH($A45,'[1]Définition Maintenances'!$K:$K,0)),CH45,INDEX('[1]Définition Maintenances'!$G:$G,MATCH($A45,'[1]Définition Maintenances'!$K:$K,0))+CH45),CH45))</f>
        <v>1200</v>
      </c>
      <c r="CJ45" s="26">
        <f>IF(ISNUMBER(VLOOKUP($D45,'Visu totale'!$D:$DH,CJ$1,0)),CI45-VLOOKUP($D45,'Visu totale'!$D:$DH,CJ$1,0),IF(LEFT(VLOOKUP($D45,'Visu totale'!$D:$DH,CJ$1,0),1)="V",IF(CI45&gt;=INDEX('[1]Définition Maintenances'!$G:$G,MATCH($A45,'[1]Définition Maintenances'!$K:$K,0)),CI45,INDEX('[1]Définition Maintenances'!$G:$G,MATCH($A45,'[1]Définition Maintenances'!$K:$K,0))+CI45),CI45))</f>
        <v>1200</v>
      </c>
      <c r="CK45" s="27">
        <f>IF(ISNUMBER(VLOOKUP($D45,'Visu totale'!$D:$DH,CK$1,0)),CJ45-VLOOKUP($D45,'Visu totale'!$D:$DH,CK$1,0),IF(LEFT(VLOOKUP($D45,'Visu totale'!$D:$DH,CK$1,0),1)="V",IF(CJ45&gt;=INDEX('[1]Définition Maintenances'!$G:$G,MATCH($A45,'[1]Définition Maintenances'!$K:$K,0)),CJ45,INDEX('[1]Définition Maintenances'!$G:$G,MATCH($A45,'[1]Définition Maintenances'!$K:$K,0))+CJ45),CJ45))</f>
        <v>1200</v>
      </c>
      <c r="CL45" s="25">
        <f>IF(ISNUMBER(VLOOKUP($D45,'Visu totale'!$D:$DH,CL$1,0)),CK45-VLOOKUP($D45,'Visu totale'!$D:$DH,CL$1,0),IF(LEFT(VLOOKUP($D45,'Visu totale'!$D:$DH,CL$1,0),1)="V",IF(CK45&gt;=INDEX('[1]Définition Maintenances'!$G:$G,MATCH($A45,'[1]Définition Maintenances'!$K:$K,0)),CK45,INDEX('[1]Définition Maintenances'!$G:$G,MATCH($A45,'[1]Définition Maintenances'!$K:$K,0))+CK45),CK45))</f>
        <v>1200</v>
      </c>
      <c r="CM45" s="26">
        <f>IF(ISNUMBER(VLOOKUP($D45,'Visu totale'!$D:$DH,CM$1,0)),CL45-VLOOKUP($D45,'Visu totale'!$D:$DH,CM$1,0),IF(LEFT(VLOOKUP($D45,'Visu totale'!$D:$DH,CM$1,0),1)="V",IF(CL45&gt;=INDEX('[1]Définition Maintenances'!$G:$G,MATCH($A45,'[1]Définition Maintenances'!$K:$K,0)),CL45,INDEX('[1]Définition Maintenances'!$G:$G,MATCH($A45,'[1]Définition Maintenances'!$K:$K,0))+CL45),CL45))</f>
        <v>1200</v>
      </c>
      <c r="CN45" s="26">
        <f>IF(ISNUMBER(VLOOKUP($D45,'Visu totale'!$D:$DH,CN$1,0)),CM45-VLOOKUP($D45,'Visu totale'!$D:$DH,CN$1,0),IF(LEFT(VLOOKUP($D45,'Visu totale'!$D:$DH,CN$1,0),1)="V",IF(CM45&gt;=INDEX('[1]Définition Maintenances'!$G:$G,MATCH($A45,'[1]Définition Maintenances'!$K:$K,0)),CM45,INDEX('[1]Définition Maintenances'!$G:$G,MATCH($A45,'[1]Définition Maintenances'!$K:$K,0))+CM45),CM45))</f>
        <v>1200</v>
      </c>
      <c r="CO45" s="26">
        <f>IF(ISNUMBER(VLOOKUP($D45,'Visu totale'!$D:$DH,CO$1,0)),CN45-VLOOKUP($D45,'Visu totale'!$D:$DH,CO$1,0),IF(LEFT(VLOOKUP($D45,'Visu totale'!$D:$DH,CO$1,0),1)="V",IF(CN45&gt;=INDEX('[1]Définition Maintenances'!$G:$G,MATCH($A45,'[1]Définition Maintenances'!$K:$K,0)),CN45,INDEX('[1]Définition Maintenances'!$G:$G,MATCH($A45,'[1]Définition Maintenances'!$K:$K,0))+CN45),CN45))</f>
        <v>1200</v>
      </c>
      <c r="CP45" s="26">
        <f>IF(ISNUMBER(VLOOKUP($D45,'Visu totale'!$D:$DH,CP$1,0)),CO45-VLOOKUP($D45,'Visu totale'!$D:$DH,CP$1,0),IF(LEFT(VLOOKUP($D45,'Visu totale'!$D:$DH,CP$1,0),1)="V",IF(CO45&gt;=INDEX('[1]Définition Maintenances'!$G:$G,MATCH($A45,'[1]Définition Maintenances'!$K:$K,0)),CO45,INDEX('[1]Définition Maintenances'!$G:$G,MATCH($A45,'[1]Définition Maintenances'!$K:$K,0))+CO45),CO45))</f>
        <v>1200</v>
      </c>
      <c r="CQ45" s="26">
        <f>IF(ISNUMBER(VLOOKUP($D45,'Visu totale'!$D:$DH,CQ$1,0)),CP45-VLOOKUP($D45,'Visu totale'!$D:$DH,CQ$1,0),IF(LEFT(VLOOKUP($D45,'Visu totale'!$D:$DH,CQ$1,0),1)="V",IF(CP45&gt;=INDEX('[1]Définition Maintenances'!$G:$G,MATCH($A45,'[1]Définition Maintenances'!$K:$K,0)),CP45,INDEX('[1]Définition Maintenances'!$G:$G,MATCH($A45,'[1]Définition Maintenances'!$K:$K,0))+CP45),CP45))</f>
        <v>1200</v>
      </c>
      <c r="CR45" s="26">
        <f>IF(ISNUMBER(VLOOKUP($D45,'Visu totale'!$D:$DH,CR$1,0)),CQ45-VLOOKUP($D45,'Visu totale'!$D:$DH,CR$1,0),IF(LEFT(VLOOKUP($D45,'Visu totale'!$D:$DH,CR$1,0),1)="V",IF(CQ45&gt;=INDEX('[1]Définition Maintenances'!$G:$G,MATCH($A45,'[1]Définition Maintenances'!$K:$K,0)),CQ45,INDEX('[1]Définition Maintenances'!$G:$G,MATCH($A45,'[1]Définition Maintenances'!$K:$K,0))+CQ45),CQ45))</f>
        <v>1200</v>
      </c>
      <c r="CS45" s="26">
        <f>IF(ISNUMBER(VLOOKUP($D45,'Visu totale'!$D:$DH,CS$1,0)),CR45-VLOOKUP($D45,'Visu totale'!$D:$DH,CS$1,0),IF(LEFT(VLOOKUP($D45,'Visu totale'!$D:$DH,CS$1,0),1)="V",IF(CR45&gt;=INDEX('[1]Définition Maintenances'!$G:$G,MATCH($A45,'[1]Définition Maintenances'!$K:$K,0)),CR45,INDEX('[1]Définition Maintenances'!$G:$G,MATCH($A45,'[1]Définition Maintenances'!$K:$K,0))+CR45),CR45))</f>
        <v>1200</v>
      </c>
      <c r="CT45" s="26">
        <f>IF(ISNUMBER(VLOOKUP($D45,'Visu totale'!$D:$DH,CT$1,0)),CS45-VLOOKUP($D45,'Visu totale'!$D:$DH,CT$1,0),IF(LEFT(VLOOKUP($D45,'Visu totale'!$D:$DH,CT$1,0),1)="V",IF(CS45&gt;=INDEX('[1]Définition Maintenances'!$G:$G,MATCH($A45,'[1]Définition Maintenances'!$K:$K,0)),CS45,INDEX('[1]Définition Maintenances'!$G:$G,MATCH($A45,'[1]Définition Maintenances'!$K:$K,0))+CS45),CS45))</f>
        <v>1200</v>
      </c>
      <c r="CU45" s="26">
        <f>IF(ISNUMBER(VLOOKUP($D45,'Visu totale'!$D:$DH,CU$1,0)),CT45-VLOOKUP($D45,'Visu totale'!$D:$DH,CU$1,0),IF(LEFT(VLOOKUP($D45,'Visu totale'!$D:$DH,CU$1,0),1)="V",IF(CT45&gt;=INDEX('[1]Définition Maintenances'!$G:$G,MATCH($A45,'[1]Définition Maintenances'!$K:$K,0)),CT45,INDEX('[1]Définition Maintenances'!$G:$G,MATCH($A45,'[1]Définition Maintenances'!$K:$K,0))+CT45),CT45))</f>
        <v>1200</v>
      </c>
      <c r="CV45" s="26">
        <f>IF(ISNUMBER(VLOOKUP($D45,'Visu totale'!$D:$DH,CV$1,0)),CU45-VLOOKUP($D45,'Visu totale'!$D:$DH,CV$1,0),IF(LEFT(VLOOKUP($D45,'Visu totale'!$D:$DH,CV$1,0),1)="V",IF(CU45&gt;=INDEX('[1]Définition Maintenances'!$G:$G,MATCH($A45,'[1]Définition Maintenances'!$K:$K,0)),CU45,INDEX('[1]Définition Maintenances'!$G:$G,MATCH($A45,'[1]Définition Maintenances'!$K:$K,0))+CU45),CU45))</f>
        <v>1200</v>
      </c>
      <c r="CW45" s="27">
        <f>IF(ISNUMBER(VLOOKUP($D45,'Visu totale'!$D:$DH,CW$1,0)),CV45-VLOOKUP($D45,'Visu totale'!$D:$DH,CW$1,0),IF(LEFT(VLOOKUP($D45,'Visu totale'!$D:$DH,CW$1,0),1)="V",IF(CV45&gt;=INDEX('[1]Définition Maintenances'!$G:$G,MATCH($A45,'[1]Définition Maintenances'!$K:$K,0)),CV45,INDEX('[1]Définition Maintenances'!$G:$G,MATCH($A45,'[1]Définition Maintenances'!$K:$K,0))+CV45),CV45))</f>
        <v>1200</v>
      </c>
      <c r="CX45" s="25">
        <f>IF(ISNUMBER(VLOOKUP($D45,'Visu totale'!$D:$DH,CX$1,0)),CW45-VLOOKUP($D45,'Visu totale'!$D:$DH,CX$1,0),IF(LEFT(VLOOKUP($D45,'Visu totale'!$D:$DH,CX$1,0),1)="V",IF(CW45&gt;=INDEX('[1]Définition Maintenances'!$G:$G,MATCH($A45,'[1]Définition Maintenances'!$K:$K,0)),CW45,INDEX('[1]Définition Maintenances'!$G:$G,MATCH($A45,'[1]Définition Maintenances'!$K:$K,0))+CW45),CW45))</f>
        <v>1200</v>
      </c>
      <c r="CY45" s="26">
        <f>IF(ISNUMBER(VLOOKUP($D45,'Visu totale'!$D:$DH,CY$1,0)),CX45-VLOOKUP($D45,'Visu totale'!$D:$DH,CY$1,0),IF(LEFT(VLOOKUP($D45,'Visu totale'!$D:$DH,CY$1,0),1)="V",IF(CX45&gt;=INDEX('[1]Définition Maintenances'!$G:$G,MATCH($A45,'[1]Définition Maintenances'!$K:$K,0)),CX45,INDEX('[1]Définition Maintenances'!$G:$G,MATCH($A45,'[1]Définition Maintenances'!$K:$K,0))+CX45),CX45))</f>
        <v>1200</v>
      </c>
      <c r="CZ45" s="26">
        <f>IF(ISNUMBER(VLOOKUP($D45,'Visu totale'!$D:$DH,CZ$1,0)),CY45-VLOOKUP($D45,'Visu totale'!$D:$DH,CZ$1,0),IF(LEFT(VLOOKUP($D45,'Visu totale'!$D:$DH,CZ$1,0),1)="V",IF(CY45&gt;=INDEX('[1]Définition Maintenances'!$G:$G,MATCH($A45,'[1]Définition Maintenances'!$K:$K,0)),CY45,INDEX('[1]Définition Maintenances'!$G:$G,MATCH($A45,'[1]Définition Maintenances'!$K:$K,0))+CY45),CY45))</f>
        <v>1200</v>
      </c>
      <c r="DA45" s="26">
        <f>IF(ISNUMBER(VLOOKUP($D45,'Visu totale'!$D:$DH,DA$1,0)),CZ45-VLOOKUP($D45,'Visu totale'!$D:$DH,DA$1,0),IF(LEFT(VLOOKUP($D45,'Visu totale'!$D:$DH,DA$1,0),1)="V",IF(CZ45&gt;=INDEX('[1]Définition Maintenances'!$G:$G,MATCH($A45,'[1]Définition Maintenances'!$K:$K,0)),CZ45,INDEX('[1]Définition Maintenances'!$G:$G,MATCH($A45,'[1]Définition Maintenances'!$K:$K,0))+CZ45),CZ45))</f>
        <v>1200</v>
      </c>
      <c r="DB45" s="26">
        <f>IF(ISNUMBER(VLOOKUP($D45,'Visu totale'!$D:$DH,DB$1,0)),DA45-VLOOKUP($D45,'Visu totale'!$D:$DH,DB$1,0),IF(LEFT(VLOOKUP($D45,'Visu totale'!$D:$DH,DB$1,0),1)="V",IF(DA45&gt;=INDEX('[1]Définition Maintenances'!$G:$G,MATCH($A45,'[1]Définition Maintenances'!$K:$K,0)),DA45,INDEX('[1]Définition Maintenances'!$G:$G,MATCH($A45,'[1]Définition Maintenances'!$K:$K,0))+DA45),DA45))</f>
        <v>1200</v>
      </c>
      <c r="DC45" s="26">
        <f>IF(ISNUMBER(VLOOKUP($D45,'Visu totale'!$D:$DH,DC$1,0)),DB45-VLOOKUP($D45,'Visu totale'!$D:$DH,DC$1,0),IF(LEFT(VLOOKUP($D45,'Visu totale'!$D:$DH,DC$1,0),1)="V",IF(DB45&gt;=INDEX('[1]Définition Maintenances'!$G:$G,MATCH($A45,'[1]Définition Maintenances'!$K:$K,0)),DB45,INDEX('[1]Définition Maintenances'!$G:$G,MATCH($A45,'[1]Définition Maintenances'!$K:$K,0))+DB45),DB45))</f>
        <v>1200</v>
      </c>
      <c r="DD45" s="26">
        <f>IF(ISNUMBER(VLOOKUP($D45,'Visu totale'!$D:$DH,DD$1,0)),DC45-VLOOKUP($D45,'Visu totale'!$D:$DH,DD$1,0),IF(LEFT(VLOOKUP($D45,'Visu totale'!$D:$DH,DD$1,0),1)="V",IF(DC45&gt;=INDEX('[1]Définition Maintenances'!$G:$G,MATCH($A45,'[1]Définition Maintenances'!$K:$K,0)),DC45,INDEX('[1]Définition Maintenances'!$G:$G,MATCH($A45,'[1]Définition Maintenances'!$K:$K,0))+DC45),DC45))</f>
        <v>1200</v>
      </c>
      <c r="DE45" s="26">
        <f>IF(ISNUMBER(VLOOKUP($D45,'Visu totale'!$D:$DH,DE$1,0)),DD45-VLOOKUP($D45,'Visu totale'!$D:$DH,DE$1,0),IF(LEFT(VLOOKUP($D45,'Visu totale'!$D:$DH,DE$1,0),1)="V",IF(DD45&gt;=INDEX('[1]Définition Maintenances'!$G:$G,MATCH($A45,'[1]Définition Maintenances'!$K:$K,0)),DD45,INDEX('[1]Définition Maintenances'!$G:$G,MATCH($A45,'[1]Définition Maintenances'!$K:$K,0))+DD45),DD45))</f>
        <v>1200</v>
      </c>
      <c r="DF45" s="26">
        <f>IF(ISNUMBER(VLOOKUP($D45,'Visu totale'!$D:$DH,DF$1,0)),DE45-VLOOKUP($D45,'Visu totale'!$D:$DH,DF$1,0),IF(LEFT(VLOOKUP($D45,'Visu totale'!$D:$DH,DF$1,0),1)="V",IF(DE45&gt;=INDEX('[1]Définition Maintenances'!$G:$G,MATCH($A45,'[1]Définition Maintenances'!$K:$K,0)),DE45,INDEX('[1]Définition Maintenances'!$G:$G,MATCH($A45,'[1]Définition Maintenances'!$K:$K,0))+DE45),DE45))</f>
        <v>1200</v>
      </c>
      <c r="DG45" s="26">
        <f>IF(ISNUMBER(VLOOKUP($D45,'Visu totale'!$D:$DH,DG$1,0)),DF45-VLOOKUP($D45,'Visu totale'!$D:$DH,DG$1,0),IF(LEFT(VLOOKUP($D45,'Visu totale'!$D:$DH,DG$1,0),1)="V",IF(DF45&gt;=INDEX('[1]Définition Maintenances'!$G:$G,MATCH($A45,'[1]Définition Maintenances'!$K:$K,0)),DF45,INDEX('[1]Définition Maintenances'!$G:$G,MATCH($A45,'[1]Définition Maintenances'!$K:$K,0))+DF45),DF45))</f>
        <v>1200</v>
      </c>
      <c r="DH45" s="26">
        <f>IF(ISNUMBER(VLOOKUP($D45,'Visu totale'!$D:$DH,DH$1,0)),DG45-VLOOKUP($D45,'Visu totale'!$D:$DH,DH$1,0),IF(LEFT(VLOOKUP($D45,'Visu totale'!$D:$DH,DH$1,0),1)="V",IF(DG45&gt;=INDEX('[1]Définition Maintenances'!$G:$G,MATCH($A45,'[1]Définition Maintenances'!$K:$K,0)),DG45,INDEX('[1]Définition Maintenances'!$G:$G,MATCH($A45,'[1]Définition Maintenances'!$K:$K,0))+DG45),DG45))</f>
        <v>1200</v>
      </c>
      <c r="DI45" s="27">
        <f>IF(ISNUMBER(VLOOKUP($D45,'Visu totale'!$D:$DH,DI$1,0)),DH45-VLOOKUP($D45,'Visu totale'!$D:$DH,DI$1,0),IF(LEFT(VLOOKUP($D45,'Visu totale'!$D:$DH,DI$1,0),1)="V",IF(DH45&gt;=INDEX('[1]Définition Maintenances'!$G:$G,MATCH($A45,'[1]Définition Maintenances'!$K:$K,0)),DH45,INDEX('[1]Définition Maintenances'!$G:$G,MATCH($A45,'[1]Définition Maintenances'!$K:$K,0))+DH45),DH45))</f>
        <v>1200</v>
      </c>
    </row>
    <row r="46" spans="1:113" x14ac:dyDescent="0.25">
      <c r="A46" s="13" t="str">
        <f t="shared" si="1"/>
        <v>V10D</v>
      </c>
      <c r="B46" s="13" t="str">
        <f>VLOOKUP(D46,'[1]Avions (Potentiels)'!$B$2:$H$128,7,FALSE)</f>
        <v>V10</v>
      </c>
      <c r="C46" s="13"/>
      <c r="D46" s="16" t="s">
        <v>49</v>
      </c>
      <c r="E46" s="13">
        <f>IFERROR(VALUE(SUBSTITUTE(VLOOKUP(D46,'[1]Avions (Potentiels)'!$B:$E,4,0),".",",")),VALUE(VLOOKUP(D46,'[1]Avions (Potentiels)'!$B:$E,4,0)))</f>
        <v>1037</v>
      </c>
      <c r="F46" s="25">
        <f>IF(ISNUMBER(VLOOKUP($D46,'Visu totale'!$D:$DH,F$1,0)),E46-VLOOKUP($D46,'Visu totale'!$D:$DH,F$1,0),IF(LEFT(VLOOKUP($D46,'Visu totale'!$D:$DH,F$1,0),1)="V",IF(E46&gt;=INDEX('[1]Définition Maintenances'!$G:$G,MATCH($A46,'[1]Définition Maintenances'!$K:$K,0)),E46,INDEX('[1]Définition Maintenances'!$G:$G,MATCH($A46,'[1]Définition Maintenances'!$K:$K,0))+E46),E46))</f>
        <v>1037</v>
      </c>
      <c r="G46" s="26">
        <f>IF(ISNUMBER(VLOOKUP($D46,'Visu totale'!$D:$DH,G$1,0)),F46-VLOOKUP($D46,'Visu totale'!$D:$DH,G$1,0),IF(LEFT(VLOOKUP($D46,'Visu totale'!$D:$DH,G$1,0),1)="V",IF(F46&gt;=INDEX('[1]Définition Maintenances'!$G:$G,MATCH($A46,'[1]Définition Maintenances'!$K:$K,0)),F46,INDEX('[1]Définition Maintenances'!$G:$G,MATCH($A46,'[1]Définition Maintenances'!$K:$K,0))+F46),F46))</f>
        <v>1037</v>
      </c>
      <c r="H46" s="26">
        <f>IF(ISNUMBER(VLOOKUP($D46,'Visu totale'!$D:$DH,H$1,0)),G46-VLOOKUP($D46,'Visu totale'!$D:$DH,H$1,0),IF(LEFT(VLOOKUP($D46,'Visu totale'!$D:$DH,H$1,0),1)="V",IF(G46&gt;=INDEX('[1]Définition Maintenances'!$G:$G,MATCH($A46,'[1]Définition Maintenances'!$K:$K,0)),G46,INDEX('[1]Définition Maintenances'!$G:$G,MATCH($A46,'[1]Définition Maintenances'!$K:$K,0))+G46),G46))</f>
        <v>1037</v>
      </c>
      <c r="I46" s="26">
        <f>IF(ISNUMBER(VLOOKUP($D46,'Visu totale'!$D:$DH,I$1,0)),H46-VLOOKUP($D46,'Visu totale'!$D:$DH,I$1,0),IF(LEFT(VLOOKUP($D46,'Visu totale'!$D:$DH,I$1,0),1)="V",IF(H46&gt;=INDEX('[1]Définition Maintenances'!$G:$G,MATCH($A46,'[1]Définition Maintenances'!$K:$K,0)),H46,INDEX('[1]Définition Maintenances'!$G:$G,MATCH($A46,'[1]Définition Maintenances'!$K:$K,0))+H46),H46))</f>
        <v>1037</v>
      </c>
      <c r="J46" s="26">
        <f>IF(ISNUMBER(VLOOKUP($D46,'Visu totale'!$D:$DH,J$1,0)),I46-VLOOKUP($D46,'Visu totale'!$D:$DH,J$1,0),IF(LEFT(VLOOKUP($D46,'Visu totale'!$D:$DH,J$1,0),1)="V",IF(I46&gt;=INDEX('[1]Définition Maintenances'!$G:$G,MATCH($A46,'[1]Définition Maintenances'!$K:$K,0)),I46,INDEX('[1]Définition Maintenances'!$G:$G,MATCH($A46,'[1]Définition Maintenances'!$K:$K,0))+I46),I46))</f>
        <v>1037</v>
      </c>
      <c r="K46" s="26">
        <f>IF(ISNUMBER(VLOOKUP($D46,'Visu totale'!$D:$DH,K$1,0)),J46-VLOOKUP($D46,'Visu totale'!$D:$DH,K$1,0),IF(LEFT(VLOOKUP($D46,'Visu totale'!$D:$DH,K$1,0),1)="V",IF(J46&gt;=INDEX('[1]Définition Maintenances'!$G:$G,MATCH($A46,'[1]Définition Maintenances'!$K:$K,0)),J46,INDEX('[1]Définition Maintenances'!$G:$G,MATCH($A46,'[1]Définition Maintenances'!$K:$K,0))+J46),J46))</f>
        <v>1037</v>
      </c>
      <c r="L46" s="26">
        <f>IF(ISNUMBER(VLOOKUP($D46,'Visu totale'!$D:$DH,L$1,0)),K46-VLOOKUP($D46,'Visu totale'!$D:$DH,L$1,0),IF(LEFT(VLOOKUP($D46,'Visu totale'!$D:$DH,L$1,0),1)="V",IF(K46&gt;=INDEX('[1]Définition Maintenances'!$G:$G,MATCH($A46,'[1]Définition Maintenances'!$K:$K,0)),K46,INDEX('[1]Définition Maintenances'!$G:$G,MATCH($A46,'[1]Définition Maintenances'!$K:$K,0))+K46),K46))</f>
        <v>1037</v>
      </c>
      <c r="M46" s="26">
        <f>IF(ISNUMBER(VLOOKUP($D46,'Visu totale'!$D:$DH,M$1,0)),L46-VLOOKUP($D46,'Visu totale'!$D:$DH,M$1,0),IF(LEFT(VLOOKUP($D46,'Visu totale'!$D:$DH,M$1,0),1)="V",IF(L46&gt;=INDEX('[1]Définition Maintenances'!$G:$G,MATCH($A46,'[1]Définition Maintenances'!$K:$K,0)),L46,INDEX('[1]Définition Maintenances'!$G:$G,MATCH($A46,'[1]Définition Maintenances'!$K:$K,0))+L46),L46))</f>
        <v>1037</v>
      </c>
      <c r="N46" s="26">
        <f>IF(ISNUMBER(VLOOKUP($D46,'Visu totale'!$D:$DH,N$1,0)),M46-VLOOKUP($D46,'Visu totale'!$D:$DH,N$1,0),IF(LEFT(VLOOKUP($D46,'Visu totale'!$D:$DH,N$1,0),1)="V",IF(M46&gt;=INDEX('[1]Définition Maintenances'!$G:$G,MATCH($A46,'[1]Définition Maintenances'!$K:$K,0)),M46,INDEX('[1]Définition Maintenances'!$G:$G,MATCH($A46,'[1]Définition Maintenances'!$K:$K,0))+M46),M46))</f>
        <v>1037</v>
      </c>
      <c r="O46" s="26">
        <f>IF(ISNUMBER(VLOOKUP($D46,'Visu totale'!$D:$DH,O$1,0)),N46-VLOOKUP($D46,'Visu totale'!$D:$DH,O$1,0),IF(LEFT(VLOOKUP($D46,'Visu totale'!$D:$DH,O$1,0),1)="V",IF(N46&gt;=INDEX('[1]Définition Maintenances'!$G:$G,MATCH($A46,'[1]Définition Maintenances'!$K:$K,0)),N46,INDEX('[1]Définition Maintenances'!$G:$G,MATCH($A46,'[1]Définition Maintenances'!$K:$K,0))+N46),N46))</f>
        <v>1037</v>
      </c>
      <c r="P46" s="26">
        <f>IF(ISNUMBER(VLOOKUP($D46,'Visu totale'!$D:$DH,P$1,0)),O46-VLOOKUP($D46,'Visu totale'!$D:$DH,P$1,0),IF(LEFT(VLOOKUP($D46,'Visu totale'!$D:$DH,P$1,0),1)="V",IF(O46&gt;=INDEX('[1]Définition Maintenances'!$G:$G,MATCH($A46,'[1]Définition Maintenances'!$K:$K,0)),O46,INDEX('[1]Définition Maintenances'!$G:$G,MATCH($A46,'[1]Définition Maintenances'!$K:$K,0))+O46),O46))</f>
        <v>1037</v>
      </c>
      <c r="Q46" s="27">
        <f>IF(ISNUMBER(VLOOKUP($D46,'Visu totale'!$D:$DH,Q$1,0)),P46-VLOOKUP($D46,'Visu totale'!$D:$DH,Q$1,0),IF(LEFT(VLOOKUP($D46,'Visu totale'!$D:$DH,Q$1,0),1)="V",IF(P46&gt;=INDEX('[1]Définition Maintenances'!$G:$G,MATCH($A46,'[1]Définition Maintenances'!$K:$K,0)),P46,INDEX('[1]Définition Maintenances'!$G:$G,MATCH($A46,'[1]Définition Maintenances'!$K:$K,0))+P46),P46))</f>
        <v>1037</v>
      </c>
      <c r="R46" s="25">
        <f>IF(ISNUMBER(VLOOKUP($D46,'Visu totale'!$D:$DH,R$1,0)),Q46-VLOOKUP($D46,'Visu totale'!$D:$DH,R$1,0),IF(LEFT(VLOOKUP($D46,'Visu totale'!$D:$DH,R$1,0),1)="V",IF(Q46&gt;=INDEX('[1]Définition Maintenances'!$G:$G,MATCH($A46,'[1]Définition Maintenances'!$K:$K,0)),Q46,INDEX('[1]Définition Maintenances'!$G:$G,MATCH($A46,'[1]Définition Maintenances'!$K:$K,0))+Q46),Q46))</f>
        <v>1037</v>
      </c>
      <c r="S46" s="26">
        <f>IF(ISNUMBER(VLOOKUP($D46,'Visu totale'!$D:$DH,S$1,0)),R46-VLOOKUP($D46,'Visu totale'!$D:$DH,S$1,0),IF(LEFT(VLOOKUP($D46,'Visu totale'!$D:$DH,S$1,0),1)="V",IF(R46&gt;=INDEX('[1]Définition Maintenances'!$G:$G,MATCH($A46,'[1]Définition Maintenances'!$K:$K,0)),R46,INDEX('[1]Définition Maintenances'!$G:$G,MATCH($A46,'[1]Définition Maintenances'!$K:$K,0))+R46),R46))</f>
        <v>1037</v>
      </c>
      <c r="T46" s="26">
        <f>IF(ISNUMBER(VLOOKUP($D46,'Visu totale'!$D:$DH,T$1,0)),S46-VLOOKUP($D46,'Visu totale'!$D:$DH,T$1,0),IF(LEFT(VLOOKUP($D46,'Visu totale'!$D:$DH,T$1,0),1)="V",IF(S46&gt;=INDEX('[1]Définition Maintenances'!$G:$G,MATCH($A46,'[1]Définition Maintenances'!$K:$K,0)),S46,INDEX('[1]Définition Maintenances'!$G:$G,MATCH($A46,'[1]Définition Maintenances'!$K:$K,0))+S46),S46))</f>
        <v>1037</v>
      </c>
      <c r="U46" s="26">
        <f>IF(ISNUMBER(VLOOKUP($D46,'Visu totale'!$D:$DH,U$1,0)),T46-VLOOKUP($D46,'Visu totale'!$D:$DH,U$1,0),IF(LEFT(VLOOKUP($D46,'Visu totale'!$D:$DH,U$1,0),1)="V",IF(T46&gt;=INDEX('[1]Définition Maintenances'!$G:$G,MATCH($A46,'[1]Définition Maintenances'!$K:$K,0)),T46,INDEX('[1]Définition Maintenances'!$G:$G,MATCH($A46,'[1]Définition Maintenances'!$K:$K,0))+T46),T46))</f>
        <v>1037</v>
      </c>
      <c r="V46" s="26">
        <f>IF(ISNUMBER(VLOOKUP($D46,'Visu totale'!$D:$DH,V$1,0)),U46-VLOOKUP($D46,'Visu totale'!$D:$DH,V$1,0),IF(LEFT(VLOOKUP($D46,'Visu totale'!$D:$DH,V$1,0),1)="V",IF(U46&gt;=INDEX('[1]Définition Maintenances'!$G:$G,MATCH($A46,'[1]Définition Maintenances'!$K:$K,0)),U46,INDEX('[1]Définition Maintenances'!$G:$G,MATCH($A46,'[1]Définition Maintenances'!$K:$K,0))+U46),U46))</f>
        <v>1037</v>
      </c>
      <c r="W46" s="26">
        <f>IF(ISNUMBER(VLOOKUP($D46,'Visu totale'!$D:$DH,W$1,0)),V46-VLOOKUP($D46,'Visu totale'!$D:$DH,W$1,0),IF(LEFT(VLOOKUP($D46,'Visu totale'!$D:$DH,W$1,0),1)="V",IF(V46&gt;=INDEX('[1]Définition Maintenances'!$G:$G,MATCH($A46,'[1]Définition Maintenances'!$K:$K,0)),V46,INDEX('[1]Définition Maintenances'!$G:$G,MATCH($A46,'[1]Définition Maintenances'!$K:$K,0))+V46),V46))</f>
        <v>1037</v>
      </c>
      <c r="X46" s="26">
        <f>IF(ISNUMBER(VLOOKUP($D46,'Visu totale'!$D:$DH,X$1,0)),W46-VLOOKUP($D46,'Visu totale'!$D:$DH,X$1,0),IF(LEFT(VLOOKUP($D46,'Visu totale'!$D:$DH,X$1,0),1)="V",IF(W46&gt;=INDEX('[1]Définition Maintenances'!$G:$G,MATCH($A46,'[1]Définition Maintenances'!$K:$K,0)),W46,INDEX('[1]Définition Maintenances'!$G:$G,MATCH($A46,'[1]Définition Maintenances'!$K:$K,0))+W46),W46))</f>
        <v>1037</v>
      </c>
      <c r="Y46" s="26">
        <f>IF(ISNUMBER(VLOOKUP($D46,'Visu totale'!$D:$DH,Y$1,0)),X46-VLOOKUP($D46,'Visu totale'!$D:$DH,Y$1,0),IF(LEFT(VLOOKUP($D46,'Visu totale'!$D:$DH,Y$1,0),1)="V",IF(X46&gt;=INDEX('[1]Définition Maintenances'!$G:$G,MATCH($A46,'[1]Définition Maintenances'!$K:$K,0)),X46,INDEX('[1]Définition Maintenances'!$G:$G,MATCH($A46,'[1]Définition Maintenances'!$K:$K,0))+X46),X46))</f>
        <v>1037</v>
      </c>
      <c r="Z46" s="26">
        <f>IF(ISNUMBER(VLOOKUP($D46,'Visu totale'!$D:$DH,Z$1,0)),Y46-VLOOKUP($D46,'Visu totale'!$D:$DH,Z$1,0),IF(LEFT(VLOOKUP($D46,'Visu totale'!$D:$DH,Z$1,0),1)="V",IF(Y46&gt;=INDEX('[1]Définition Maintenances'!$G:$G,MATCH($A46,'[1]Définition Maintenances'!$K:$K,0)),Y46,INDEX('[1]Définition Maintenances'!$G:$G,MATCH($A46,'[1]Définition Maintenances'!$K:$K,0))+Y46),Y46))</f>
        <v>1037</v>
      </c>
      <c r="AA46" s="26">
        <f>IF(ISNUMBER(VLOOKUP($D46,'Visu totale'!$D:$DH,AA$1,0)),Z46-VLOOKUP($D46,'Visu totale'!$D:$DH,AA$1,0),IF(LEFT(VLOOKUP($D46,'Visu totale'!$D:$DH,AA$1,0),1)="V",IF(Z46&gt;=INDEX('[1]Définition Maintenances'!$G:$G,MATCH($A46,'[1]Définition Maintenances'!$K:$K,0)),Z46,INDEX('[1]Définition Maintenances'!$G:$G,MATCH($A46,'[1]Définition Maintenances'!$K:$K,0))+Z46),Z46))</f>
        <v>1037</v>
      </c>
      <c r="AB46" s="26">
        <f>IF(ISNUMBER(VLOOKUP($D46,'Visu totale'!$D:$DH,AB$1,0)),AA46-VLOOKUP($D46,'Visu totale'!$D:$DH,AB$1,0),IF(LEFT(VLOOKUP($D46,'Visu totale'!$D:$DH,AB$1,0),1)="V",IF(AA46&gt;=INDEX('[1]Définition Maintenances'!$G:$G,MATCH($A46,'[1]Définition Maintenances'!$K:$K,0)),AA46,INDEX('[1]Définition Maintenances'!$G:$G,MATCH($A46,'[1]Définition Maintenances'!$K:$K,0))+AA46),AA46))</f>
        <v>1037</v>
      </c>
      <c r="AC46" s="27">
        <f>IF(ISNUMBER(VLOOKUP($D46,'Visu totale'!$D:$DH,AC$1,0)),AB46-VLOOKUP($D46,'Visu totale'!$D:$DH,AC$1,0),IF(LEFT(VLOOKUP($D46,'Visu totale'!$D:$DH,AC$1,0),1)="V",IF(AB46&gt;=INDEX('[1]Définition Maintenances'!$G:$G,MATCH($A46,'[1]Définition Maintenances'!$K:$K,0)),AB46,INDEX('[1]Définition Maintenances'!$G:$G,MATCH($A46,'[1]Définition Maintenances'!$K:$K,0))+AB46),AB46))</f>
        <v>1037</v>
      </c>
      <c r="AD46" s="25">
        <f>IF(ISNUMBER(VLOOKUP($D46,'Visu totale'!$D:$DH,AD$1,0)),AC46-VLOOKUP($D46,'Visu totale'!$D:$DH,AD$1,0),IF(LEFT(VLOOKUP($D46,'Visu totale'!$D:$DH,AD$1,0),1)="V",IF(AC46&gt;=INDEX('[1]Définition Maintenances'!$G:$G,MATCH($A46,'[1]Définition Maintenances'!$K:$K,0)),AC46,INDEX('[1]Définition Maintenances'!$G:$G,MATCH($A46,'[1]Définition Maintenances'!$K:$K,0))+AC46),AC46))</f>
        <v>1037</v>
      </c>
      <c r="AE46" s="26">
        <f>IF(ISNUMBER(VLOOKUP($D46,'Visu totale'!$D:$DH,AE$1,0)),AD46-VLOOKUP($D46,'Visu totale'!$D:$DH,AE$1,0),IF(LEFT(VLOOKUP($D46,'Visu totale'!$D:$DH,AE$1,0),1)="V",IF(AD46&gt;=INDEX('[1]Définition Maintenances'!$G:$G,MATCH($A46,'[1]Définition Maintenances'!$K:$K,0)),AD46,INDEX('[1]Définition Maintenances'!$G:$G,MATCH($A46,'[1]Définition Maintenances'!$K:$K,0))+AD46),AD46))</f>
        <v>1037</v>
      </c>
      <c r="AF46" s="26">
        <f>IF(ISNUMBER(VLOOKUP($D46,'Visu totale'!$D:$DH,AF$1,0)),AE46-VLOOKUP($D46,'Visu totale'!$D:$DH,AF$1,0),IF(LEFT(VLOOKUP($D46,'Visu totale'!$D:$DH,AF$1,0),1)="V",IF(AE46&gt;=INDEX('[1]Définition Maintenances'!$G:$G,MATCH($A46,'[1]Définition Maintenances'!$K:$K,0)),AE46,INDEX('[1]Définition Maintenances'!$G:$G,MATCH($A46,'[1]Définition Maintenances'!$K:$K,0))+AE46),AE46))</f>
        <v>1037</v>
      </c>
      <c r="AG46" s="26">
        <f>IF(ISNUMBER(VLOOKUP($D46,'Visu totale'!$D:$DH,AG$1,0)),AF46-VLOOKUP($D46,'Visu totale'!$D:$DH,AG$1,0),IF(LEFT(VLOOKUP($D46,'Visu totale'!$D:$DH,AG$1,0),1)="V",IF(AF46&gt;=INDEX('[1]Définition Maintenances'!$G:$G,MATCH($A46,'[1]Définition Maintenances'!$K:$K,0)),AF46,INDEX('[1]Définition Maintenances'!$G:$G,MATCH($A46,'[1]Définition Maintenances'!$K:$K,0))+AF46),AF46))</f>
        <v>1037</v>
      </c>
      <c r="AH46" s="26">
        <f>IF(ISNUMBER(VLOOKUP($D46,'Visu totale'!$D:$DH,AH$1,0)),AG46-VLOOKUP($D46,'Visu totale'!$D:$DH,AH$1,0),IF(LEFT(VLOOKUP($D46,'Visu totale'!$D:$DH,AH$1,0),1)="V",IF(AG46&gt;=INDEX('[1]Définition Maintenances'!$G:$G,MATCH($A46,'[1]Définition Maintenances'!$K:$K,0)),AG46,INDEX('[1]Définition Maintenances'!$G:$G,MATCH($A46,'[1]Définition Maintenances'!$K:$K,0))+AG46),AG46))</f>
        <v>1037</v>
      </c>
      <c r="AI46" s="26">
        <f>IF(ISNUMBER(VLOOKUP($D46,'Visu totale'!$D:$DH,AI$1,0)),AH46-VLOOKUP($D46,'Visu totale'!$D:$DH,AI$1,0),IF(LEFT(VLOOKUP($D46,'Visu totale'!$D:$DH,AI$1,0),1)="V",IF(AH46&gt;=INDEX('[1]Définition Maintenances'!$G:$G,MATCH($A46,'[1]Définition Maintenances'!$K:$K,0)),AH46,INDEX('[1]Définition Maintenances'!$G:$G,MATCH($A46,'[1]Définition Maintenances'!$K:$K,0))+AH46),AH46))</f>
        <v>1037</v>
      </c>
      <c r="AJ46" s="26">
        <f>IF(ISNUMBER(VLOOKUP($D46,'Visu totale'!$D:$DH,AJ$1,0)),AI46-VLOOKUP($D46,'Visu totale'!$D:$DH,AJ$1,0),IF(LEFT(VLOOKUP($D46,'Visu totale'!$D:$DH,AJ$1,0),1)="V",IF(AI46&gt;=INDEX('[1]Définition Maintenances'!$G:$G,MATCH($A46,'[1]Définition Maintenances'!$K:$K,0)),AI46,INDEX('[1]Définition Maintenances'!$G:$G,MATCH($A46,'[1]Définition Maintenances'!$K:$K,0))+AI46),AI46))</f>
        <v>1037</v>
      </c>
      <c r="AK46" s="26">
        <f>IF(ISNUMBER(VLOOKUP($D46,'Visu totale'!$D:$DH,AK$1,0)),AJ46-VLOOKUP($D46,'Visu totale'!$D:$DH,AK$1,0),IF(LEFT(VLOOKUP($D46,'Visu totale'!$D:$DH,AK$1,0),1)="V",IF(AJ46&gt;=INDEX('[1]Définition Maintenances'!$G:$G,MATCH($A46,'[1]Définition Maintenances'!$K:$K,0)),AJ46,INDEX('[1]Définition Maintenances'!$G:$G,MATCH($A46,'[1]Définition Maintenances'!$K:$K,0))+AJ46),AJ46))</f>
        <v>1037</v>
      </c>
      <c r="AL46" s="26">
        <f>IF(ISNUMBER(VLOOKUP($D46,'Visu totale'!$D:$DH,AL$1,0)),AK46-VLOOKUP($D46,'Visu totale'!$D:$DH,AL$1,0),IF(LEFT(VLOOKUP($D46,'Visu totale'!$D:$DH,AL$1,0),1)="V",IF(AK46&gt;=INDEX('[1]Définition Maintenances'!$G:$G,MATCH($A46,'[1]Définition Maintenances'!$K:$K,0)),AK46,INDEX('[1]Définition Maintenances'!$G:$G,MATCH($A46,'[1]Définition Maintenances'!$K:$K,0))+AK46),AK46))</f>
        <v>1037</v>
      </c>
      <c r="AM46" s="26">
        <f>IF(ISNUMBER(VLOOKUP($D46,'Visu totale'!$D:$DH,AM$1,0)),AL46-VLOOKUP($D46,'Visu totale'!$D:$DH,AM$1,0),IF(LEFT(VLOOKUP($D46,'Visu totale'!$D:$DH,AM$1,0),1)="V",IF(AL46&gt;=INDEX('[1]Définition Maintenances'!$G:$G,MATCH($A46,'[1]Définition Maintenances'!$K:$K,0)),AL46,INDEX('[1]Définition Maintenances'!$G:$G,MATCH($A46,'[1]Définition Maintenances'!$K:$K,0))+AL46),AL46))</f>
        <v>1037</v>
      </c>
      <c r="AN46" s="26">
        <f>IF(ISNUMBER(VLOOKUP($D46,'Visu totale'!$D:$DH,AN$1,0)),AM46-VLOOKUP($D46,'Visu totale'!$D:$DH,AN$1,0),IF(LEFT(VLOOKUP($D46,'Visu totale'!$D:$DH,AN$1,0),1)="V",IF(AM46&gt;=INDEX('[1]Définition Maintenances'!$G:$G,MATCH($A46,'[1]Définition Maintenances'!$K:$K,0)),AM46,INDEX('[1]Définition Maintenances'!$G:$G,MATCH($A46,'[1]Définition Maintenances'!$K:$K,0))+AM46),AM46))</f>
        <v>1037</v>
      </c>
      <c r="AO46" s="27">
        <f>IF(ISNUMBER(VLOOKUP($D46,'Visu totale'!$D:$DH,AO$1,0)),AN46-VLOOKUP($D46,'Visu totale'!$D:$DH,AO$1,0),IF(LEFT(VLOOKUP($D46,'Visu totale'!$D:$DH,AO$1,0),1)="V",IF(AN46&gt;=INDEX('[1]Définition Maintenances'!$G:$G,MATCH($A46,'[1]Définition Maintenances'!$K:$K,0)),AN46,INDEX('[1]Définition Maintenances'!$G:$G,MATCH($A46,'[1]Définition Maintenances'!$K:$K,0))+AN46),AN46))</f>
        <v>1037</v>
      </c>
      <c r="AP46" s="25">
        <f>IF(ISNUMBER(VLOOKUP($D46,'Visu totale'!$D:$DH,AP$1,0)),AO46-VLOOKUP($D46,'Visu totale'!$D:$DH,AP$1,0),IF(LEFT(VLOOKUP($D46,'Visu totale'!$D:$DH,AP$1,0),1)="V",IF(AO46&gt;=INDEX('[1]Définition Maintenances'!$G:$G,MATCH($A46,'[1]Définition Maintenances'!$K:$K,0)),AO46,INDEX('[1]Définition Maintenances'!$G:$G,MATCH($A46,'[1]Définition Maintenances'!$K:$K,0))+AO46),AO46))</f>
        <v>1037</v>
      </c>
      <c r="AQ46" s="26">
        <f>IF(ISNUMBER(VLOOKUP($D46,'Visu totale'!$D:$DH,AQ$1,0)),AP46-VLOOKUP($D46,'Visu totale'!$D:$DH,AQ$1,0),IF(LEFT(VLOOKUP($D46,'Visu totale'!$D:$DH,AQ$1,0),1)="V",IF(AP46&gt;=INDEX('[1]Définition Maintenances'!$G:$G,MATCH($A46,'[1]Définition Maintenances'!$K:$K,0)),AP46,INDEX('[1]Définition Maintenances'!$G:$G,MATCH($A46,'[1]Définition Maintenances'!$K:$K,0))+AP46),AP46))</f>
        <v>1037</v>
      </c>
      <c r="AR46" s="26">
        <f>IF(ISNUMBER(VLOOKUP($D46,'Visu totale'!$D:$DH,AR$1,0)),AQ46-VLOOKUP($D46,'Visu totale'!$D:$DH,AR$1,0),IF(LEFT(VLOOKUP($D46,'Visu totale'!$D:$DH,AR$1,0),1)="V",IF(AQ46&gt;=INDEX('[1]Définition Maintenances'!$G:$G,MATCH($A46,'[1]Définition Maintenances'!$K:$K,0)),AQ46,INDEX('[1]Définition Maintenances'!$G:$G,MATCH($A46,'[1]Définition Maintenances'!$K:$K,0))+AQ46),AQ46))</f>
        <v>1037</v>
      </c>
      <c r="AS46" s="26">
        <f>IF(ISNUMBER(VLOOKUP($D46,'Visu totale'!$D:$DH,AS$1,0)),AR46-VLOOKUP($D46,'Visu totale'!$D:$DH,AS$1,0),IF(LEFT(VLOOKUP($D46,'Visu totale'!$D:$DH,AS$1,0),1)="V",IF(AR46&gt;=INDEX('[1]Définition Maintenances'!$G:$G,MATCH($A46,'[1]Définition Maintenances'!$K:$K,0)),AR46,INDEX('[1]Définition Maintenances'!$G:$G,MATCH($A46,'[1]Définition Maintenances'!$K:$K,0))+AR46),AR46))</f>
        <v>1037</v>
      </c>
      <c r="AT46" s="26">
        <f>IF(ISNUMBER(VLOOKUP($D46,'Visu totale'!$D:$DH,AT$1,0)),AS46-VLOOKUP($D46,'Visu totale'!$D:$DH,AT$1,0),IF(LEFT(VLOOKUP($D46,'Visu totale'!$D:$DH,AT$1,0),1)="V",IF(AS46&gt;=INDEX('[1]Définition Maintenances'!$G:$G,MATCH($A46,'[1]Définition Maintenances'!$K:$K,0)),AS46,INDEX('[1]Définition Maintenances'!$G:$G,MATCH($A46,'[1]Définition Maintenances'!$K:$K,0))+AS46),AS46))</f>
        <v>1037</v>
      </c>
      <c r="AU46" s="26">
        <f>IF(ISNUMBER(VLOOKUP($D46,'Visu totale'!$D:$DH,AU$1,0)),AT46-VLOOKUP($D46,'Visu totale'!$D:$DH,AU$1,0),IF(LEFT(VLOOKUP($D46,'Visu totale'!$D:$DH,AU$1,0),1)="V",IF(AT46&gt;=INDEX('[1]Définition Maintenances'!$G:$G,MATCH($A46,'[1]Définition Maintenances'!$K:$K,0)),AT46,INDEX('[1]Définition Maintenances'!$G:$G,MATCH($A46,'[1]Définition Maintenances'!$K:$K,0))+AT46),AT46))</f>
        <v>1037</v>
      </c>
      <c r="AV46" s="26">
        <f>IF(ISNUMBER(VLOOKUP($D46,'Visu totale'!$D:$DH,AV$1,0)),AU46-VLOOKUP($D46,'Visu totale'!$D:$DH,AV$1,0),IF(LEFT(VLOOKUP($D46,'Visu totale'!$D:$DH,AV$1,0),1)="V",IF(AU46&gt;=INDEX('[1]Définition Maintenances'!$G:$G,MATCH($A46,'[1]Définition Maintenances'!$K:$K,0)),AU46,INDEX('[1]Définition Maintenances'!$G:$G,MATCH($A46,'[1]Définition Maintenances'!$K:$K,0))+AU46),AU46))</f>
        <v>1037</v>
      </c>
      <c r="AW46" s="26">
        <f>IF(ISNUMBER(VLOOKUP($D46,'Visu totale'!$D:$DH,AW$1,0)),AV46-VLOOKUP($D46,'Visu totale'!$D:$DH,AW$1,0),IF(LEFT(VLOOKUP($D46,'Visu totale'!$D:$DH,AW$1,0),1)="V",IF(AV46&gt;=INDEX('[1]Définition Maintenances'!$G:$G,MATCH($A46,'[1]Définition Maintenances'!$K:$K,0)),AV46,INDEX('[1]Définition Maintenances'!$G:$G,MATCH($A46,'[1]Définition Maintenances'!$K:$K,0))+AV46),AV46))</f>
        <v>1037</v>
      </c>
      <c r="AX46" s="26">
        <f>IF(ISNUMBER(VLOOKUP($D46,'Visu totale'!$D:$DH,AX$1,0)),AW46-VLOOKUP($D46,'Visu totale'!$D:$DH,AX$1,0),IF(LEFT(VLOOKUP($D46,'Visu totale'!$D:$DH,AX$1,0),1)="V",IF(AW46&gt;=INDEX('[1]Définition Maintenances'!$G:$G,MATCH($A46,'[1]Définition Maintenances'!$K:$K,0)),AW46,INDEX('[1]Définition Maintenances'!$G:$G,MATCH($A46,'[1]Définition Maintenances'!$K:$K,0))+AW46),AW46))</f>
        <v>1037</v>
      </c>
      <c r="AY46" s="26">
        <f>IF(ISNUMBER(VLOOKUP($D46,'Visu totale'!$D:$DH,AY$1,0)),AX46-VLOOKUP($D46,'Visu totale'!$D:$DH,AY$1,0),IF(LEFT(VLOOKUP($D46,'Visu totale'!$D:$DH,AY$1,0),1)="V",IF(AX46&gt;=INDEX('[1]Définition Maintenances'!$G:$G,MATCH($A46,'[1]Définition Maintenances'!$K:$K,0)),AX46,INDEX('[1]Définition Maintenances'!$G:$G,MATCH($A46,'[1]Définition Maintenances'!$K:$K,0))+AX46),AX46))</f>
        <v>1037</v>
      </c>
      <c r="AZ46" s="26">
        <f>IF(ISNUMBER(VLOOKUP($D46,'Visu totale'!$D:$DH,AZ$1,0)),AY46-VLOOKUP($D46,'Visu totale'!$D:$DH,AZ$1,0),IF(LEFT(VLOOKUP($D46,'Visu totale'!$D:$DH,AZ$1,0),1)="V",IF(AY46&gt;=INDEX('[1]Définition Maintenances'!$G:$G,MATCH($A46,'[1]Définition Maintenances'!$K:$K,0)),AY46,INDEX('[1]Définition Maintenances'!$G:$G,MATCH($A46,'[1]Définition Maintenances'!$K:$K,0))+AY46),AY46))</f>
        <v>1037</v>
      </c>
      <c r="BA46" s="27">
        <f>IF(ISNUMBER(VLOOKUP($D46,'Visu totale'!$D:$DH,BA$1,0)),AZ46-VLOOKUP($D46,'Visu totale'!$D:$DH,BA$1,0),IF(LEFT(VLOOKUP($D46,'Visu totale'!$D:$DH,BA$1,0),1)="V",IF(AZ46&gt;=INDEX('[1]Définition Maintenances'!$G:$G,MATCH($A46,'[1]Définition Maintenances'!$K:$K,0)),AZ46,INDEX('[1]Définition Maintenances'!$G:$G,MATCH($A46,'[1]Définition Maintenances'!$K:$K,0))+AZ46),AZ46))</f>
        <v>1037</v>
      </c>
      <c r="BB46" s="25">
        <f>IF(ISNUMBER(VLOOKUP($D46,'Visu totale'!$D:$DH,BB$1,0)),BA46-VLOOKUP($D46,'Visu totale'!$D:$DH,BB$1,0),IF(LEFT(VLOOKUP($D46,'Visu totale'!$D:$DH,BB$1,0),1)="V",IF(BA46&gt;=INDEX('[1]Définition Maintenances'!$G:$G,MATCH($A46,'[1]Définition Maintenances'!$K:$K,0)),BA46,INDEX('[1]Définition Maintenances'!$G:$G,MATCH($A46,'[1]Définition Maintenances'!$K:$K,0))+BA46),BA46))</f>
        <v>1037</v>
      </c>
      <c r="BC46" s="26">
        <f>IF(ISNUMBER(VLOOKUP($D46,'Visu totale'!$D:$DH,BC$1,0)),BB46-VLOOKUP($D46,'Visu totale'!$D:$DH,BC$1,0),IF(LEFT(VLOOKUP($D46,'Visu totale'!$D:$DH,BC$1,0),1)="V",IF(BB46&gt;=INDEX('[1]Définition Maintenances'!$G:$G,MATCH($A46,'[1]Définition Maintenances'!$K:$K,0)),BB46,INDEX('[1]Définition Maintenances'!$G:$G,MATCH($A46,'[1]Définition Maintenances'!$K:$K,0))+BB46),BB46))</f>
        <v>1037</v>
      </c>
      <c r="BD46" s="26">
        <f>IF(ISNUMBER(VLOOKUP($D46,'Visu totale'!$D:$DH,BD$1,0)),BC46-VLOOKUP($D46,'Visu totale'!$D:$DH,BD$1,0),IF(LEFT(VLOOKUP($D46,'Visu totale'!$D:$DH,BD$1,0),1)="V",IF(BC46&gt;=INDEX('[1]Définition Maintenances'!$G:$G,MATCH($A46,'[1]Définition Maintenances'!$K:$K,0)),BC46,INDEX('[1]Définition Maintenances'!$G:$G,MATCH($A46,'[1]Définition Maintenances'!$K:$K,0))+BC46),BC46))</f>
        <v>1037</v>
      </c>
      <c r="BE46" s="26">
        <f>IF(ISNUMBER(VLOOKUP($D46,'Visu totale'!$D:$DH,BE$1,0)),BD46-VLOOKUP($D46,'Visu totale'!$D:$DH,BE$1,0),IF(LEFT(VLOOKUP($D46,'Visu totale'!$D:$DH,BE$1,0),1)="V",IF(BD46&gt;=INDEX('[1]Définition Maintenances'!$G:$G,MATCH($A46,'[1]Définition Maintenances'!$K:$K,0)),BD46,INDEX('[1]Définition Maintenances'!$G:$G,MATCH($A46,'[1]Définition Maintenances'!$K:$K,0))+BD46),BD46))</f>
        <v>1037</v>
      </c>
      <c r="BF46" s="26">
        <f>IF(ISNUMBER(VLOOKUP($D46,'Visu totale'!$D:$DH,BF$1,0)),BE46-VLOOKUP($D46,'Visu totale'!$D:$DH,BF$1,0),IF(LEFT(VLOOKUP($D46,'Visu totale'!$D:$DH,BF$1,0),1)="V",IF(BE46&gt;=INDEX('[1]Définition Maintenances'!$G:$G,MATCH($A46,'[1]Définition Maintenances'!$K:$K,0)),BE46,INDEX('[1]Définition Maintenances'!$G:$G,MATCH($A46,'[1]Définition Maintenances'!$K:$K,0))+BE46),BE46))</f>
        <v>1037</v>
      </c>
      <c r="BG46" s="26">
        <f>IF(ISNUMBER(VLOOKUP($D46,'Visu totale'!$D:$DH,BG$1,0)),BF46-VLOOKUP($D46,'Visu totale'!$D:$DH,BG$1,0),IF(LEFT(VLOOKUP($D46,'Visu totale'!$D:$DH,BG$1,0),1)="V",IF(BF46&gt;=INDEX('[1]Définition Maintenances'!$G:$G,MATCH($A46,'[1]Définition Maintenances'!$K:$K,0)),BF46,INDEX('[1]Définition Maintenances'!$G:$G,MATCH($A46,'[1]Définition Maintenances'!$K:$K,0))+BF46),BF46))</f>
        <v>1037</v>
      </c>
      <c r="BH46" s="26">
        <f>IF(ISNUMBER(VLOOKUP($D46,'Visu totale'!$D:$DH,BH$1,0)),BG46-VLOOKUP($D46,'Visu totale'!$D:$DH,BH$1,0),IF(LEFT(VLOOKUP($D46,'Visu totale'!$D:$DH,BH$1,0),1)="V",IF(BG46&gt;=INDEX('[1]Définition Maintenances'!$G:$G,MATCH($A46,'[1]Définition Maintenances'!$K:$K,0)),BG46,INDEX('[1]Définition Maintenances'!$G:$G,MATCH($A46,'[1]Définition Maintenances'!$K:$K,0))+BG46),BG46))</f>
        <v>1037</v>
      </c>
      <c r="BI46" s="26">
        <f>IF(ISNUMBER(VLOOKUP($D46,'Visu totale'!$D:$DH,BI$1,0)),BH46-VLOOKUP($D46,'Visu totale'!$D:$DH,BI$1,0),IF(LEFT(VLOOKUP($D46,'Visu totale'!$D:$DH,BI$1,0),1)="V",IF(BH46&gt;=INDEX('[1]Définition Maintenances'!$G:$G,MATCH($A46,'[1]Définition Maintenances'!$K:$K,0)),BH46,INDEX('[1]Définition Maintenances'!$G:$G,MATCH($A46,'[1]Définition Maintenances'!$K:$K,0))+BH46),BH46))</f>
        <v>1037</v>
      </c>
      <c r="BJ46" s="26">
        <f>IF(ISNUMBER(VLOOKUP($D46,'Visu totale'!$D:$DH,BJ$1,0)),BI46-VLOOKUP($D46,'Visu totale'!$D:$DH,BJ$1,0),IF(LEFT(VLOOKUP($D46,'Visu totale'!$D:$DH,BJ$1,0),1)="V",IF(BI46&gt;=INDEX('[1]Définition Maintenances'!$G:$G,MATCH($A46,'[1]Définition Maintenances'!$K:$K,0)),BI46,INDEX('[1]Définition Maintenances'!$G:$G,MATCH($A46,'[1]Définition Maintenances'!$K:$K,0))+BI46),BI46))</f>
        <v>1037</v>
      </c>
      <c r="BK46" s="26">
        <f>IF(ISNUMBER(VLOOKUP($D46,'Visu totale'!$D:$DH,BK$1,0)),BJ46-VLOOKUP($D46,'Visu totale'!$D:$DH,BK$1,0),IF(LEFT(VLOOKUP($D46,'Visu totale'!$D:$DH,BK$1,0),1)="V",IF(BJ46&gt;=INDEX('[1]Définition Maintenances'!$G:$G,MATCH($A46,'[1]Définition Maintenances'!$K:$K,0)),BJ46,INDEX('[1]Définition Maintenances'!$G:$G,MATCH($A46,'[1]Définition Maintenances'!$K:$K,0))+BJ46),BJ46))</f>
        <v>1037</v>
      </c>
      <c r="BL46" s="26">
        <f>IF(ISNUMBER(VLOOKUP($D46,'Visu totale'!$D:$DH,BL$1,0)),BK46-VLOOKUP($D46,'Visu totale'!$D:$DH,BL$1,0),IF(LEFT(VLOOKUP($D46,'Visu totale'!$D:$DH,BL$1,0),1)="V",IF(BK46&gt;=INDEX('[1]Définition Maintenances'!$G:$G,MATCH($A46,'[1]Définition Maintenances'!$K:$K,0)),BK46,INDEX('[1]Définition Maintenances'!$G:$G,MATCH($A46,'[1]Définition Maintenances'!$K:$K,0))+BK46),BK46))</f>
        <v>1037</v>
      </c>
      <c r="BM46" s="27">
        <f>IF(ISNUMBER(VLOOKUP($D46,'Visu totale'!$D:$DH,BM$1,0)),BL46-VLOOKUP($D46,'Visu totale'!$D:$DH,BM$1,0),IF(LEFT(VLOOKUP($D46,'Visu totale'!$D:$DH,BM$1,0),1)="V",IF(BL46&gt;=INDEX('[1]Définition Maintenances'!$G:$G,MATCH($A46,'[1]Définition Maintenances'!$K:$K,0)),BL46,INDEX('[1]Définition Maintenances'!$G:$G,MATCH($A46,'[1]Définition Maintenances'!$K:$K,0))+BL46),BL46))</f>
        <v>1037</v>
      </c>
      <c r="BN46" s="25">
        <f>IF(ISNUMBER(VLOOKUP($D46,'Visu totale'!$D:$DH,BN$1,0)),BM46-VLOOKUP($D46,'Visu totale'!$D:$DH,BN$1,0),IF(LEFT(VLOOKUP($D46,'Visu totale'!$D:$DH,BN$1,0),1)="V",IF(BM46&gt;=INDEX('[1]Définition Maintenances'!$G:$G,MATCH($A46,'[1]Définition Maintenances'!$K:$K,0)),BM46,INDEX('[1]Définition Maintenances'!$G:$G,MATCH($A46,'[1]Définition Maintenances'!$K:$K,0))+BM46),BM46))</f>
        <v>1037</v>
      </c>
      <c r="BO46" s="26">
        <f>IF(ISNUMBER(VLOOKUP($D46,'Visu totale'!$D:$DH,BO$1,0)),BN46-VLOOKUP($D46,'Visu totale'!$D:$DH,BO$1,0),IF(LEFT(VLOOKUP($D46,'Visu totale'!$D:$DH,BO$1,0),1)="V",IF(BN46&gt;=INDEX('[1]Définition Maintenances'!$G:$G,MATCH($A46,'[1]Définition Maintenances'!$K:$K,0)),BN46,INDEX('[1]Définition Maintenances'!$G:$G,MATCH($A46,'[1]Définition Maintenances'!$K:$K,0))+BN46),BN46))</f>
        <v>1037</v>
      </c>
      <c r="BP46" s="26">
        <f>IF(ISNUMBER(VLOOKUP($D46,'Visu totale'!$D:$DH,BP$1,0)),BO46-VLOOKUP($D46,'Visu totale'!$D:$DH,BP$1,0),IF(LEFT(VLOOKUP($D46,'Visu totale'!$D:$DH,BP$1,0),1)="V",IF(BO46&gt;=INDEX('[1]Définition Maintenances'!$G:$G,MATCH($A46,'[1]Définition Maintenances'!$K:$K,0)),BO46,INDEX('[1]Définition Maintenances'!$G:$G,MATCH($A46,'[1]Définition Maintenances'!$K:$K,0))+BO46),BO46))</f>
        <v>1037</v>
      </c>
      <c r="BQ46" s="26">
        <f>IF(ISNUMBER(VLOOKUP($D46,'Visu totale'!$D:$DH,BQ$1,0)),BP46-VLOOKUP($D46,'Visu totale'!$D:$DH,BQ$1,0),IF(LEFT(VLOOKUP($D46,'Visu totale'!$D:$DH,BQ$1,0),1)="V",IF(BP46&gt;=INDEX('[1]Définition Maintenances'!$G:$G,MATCH($A46,'[1]Définition Maintenances'!$K:$K,0)),BP46,INDEX('[1]Définition Maintenances'!$G:$G,MATCH($A46,'[1]Définition Maintenances'!$K:$K,0))+BP46),BP46))</f>
        <v>1037</v>
      </c>
      <c r="BR46" s="26">
        <f>IF(ISNUMBER(VLOOKUP($D46,'Visu totale'!$D:$DH,BR$1,0)),BQ46-VLOOKUP($D46,'Visu totale'!$D:$DH,BR$1,0),IF(LEFT(VLOOKUP($D46,'Visu totale'!$D:$DH,BR$1,0),1)="V",IF(BQ46&gt;=INDEX('[1]Définition Maintenances'!$G:$G,MATCH($A46,'[1]Définition Maintenances'!$K:$K,0)),BQ46,INDEX('[1]Définition Maintenances'!$G:$G,MATCH($A46,'[1]Définition Maintenances'!$K:$K,0))+BQ46),BQ46))</f>
        <v>1037</v>
      </c>
      <c r="BS46" s="26">
        <f>IF(ISNUMBER(VLOOKUP($D46,'Visu totale'!$D:$DH,BS$1,0)),BR46-VLOOKUP($D46,'Visu totale'!$D:$DH,BS$1,0),IF(LEFT(VLOOKUP($D46,'Visu totale'!$D:$DH,BS$1,0),1)="V",IF(BR46&gt;=INDEX('[1]Définition Maintenances'!$G:$G,MATCH($A46,'[1]Définition Maintenances'!$K:$K,0)),BR46,INDEX('[1]Définition Maintenances'!$G:$G,MATCH($A46,'[1]Définition Maintenances'!$K:$K,0))+BR46),BR46))</f>
        <v>1037</v>
      </c>
      <c r="BT46" s="26">
        <f>IF(ISNUMBER(VLOOKUP($D46,'Visu totale'!$D:$DH,BT$1,0)),BS46-VLOOKUP($D46,'Visu totale'!$D:$DH,BT$1,0),IF(LEFT(VLOOKUP($D46,'Visu totale'!$D:$DH,BT$1,0),1)="V",IF(BS46&gt;=INDEX('[1]Définition Maintenances'!$G:$G,MATCH($A46,'[1]Définition Maintenances'!$K:$K,0)),BS46,INDEX('[1]Définition Maintenances'!$G:$G,MATCH($A46,'[1]Définition Maintenances'!$K:$K,0))+BS46),BS46))</f>
        <v>1037</v>
      </c>
      <c r="BU46" s="26">
        <f>IF(ISNUMBER(VLOOKUP($D46,'Visu totale'!$D:$DH,BU$1,0)),BT46-VLOOKUP($D46,'Visu totale'!$D:$DH,BU$1,0),IF(LEFT(VLOOKUP($D46,'Visu totale'!$D:$DH,BU$1,0),1)="V",IF(BT46&gt;=INDEX('[1]Définition Maintenances'!$G:$G,MATCH($A46,'[1]Définition Maintenances'!$K:$K,0)),BT46,INDEX('[1]Définition Maintenances'!$G:$G,MATCH($A46,'[1]Définition Maintenances'!$K:$K,0))+BT46),BT46))</f>
        <v>1037</v>
      </c>
      <c r="BV46" s="26">
        <f>IF(ISNUMBER(VLOOKUP($D46,'Visu totale'!$D:$DH,BV$1,0)),BU46-VLOOKUP($D46,'Visu totale'!$D:$DH,BV$1,0),IF(LEFT(VLOOKUP($D46,'Visu totale'!$D:$DH,BV$1,0),1)="V",IF(BU46&gt;=INDEX('[1]Définition Maintenances'!$G:$G,MATCH($A46,'[1]Définition Maintenances'!$K:$K,0)),BU46,INDEX('[1]Définition Maintenances'!$G:$G,MATCH($A46,'[1]Définition Maintenances'!$K:$K,0))+BU46),BU46))</f>
        <v>1037</v>
      </c>
      <c r="BW46" s="26">
        <f>IF(ISNUMBER(VLOOKUP($D46,'Visu totale'!$D:$DH,BW$1,0)),BV46-VLOOKUP($D46,'Visu totale'!$D:$DH,BW$1,0),IF(LEFT(VLOOKUP($D46,'Visu totale'!$D:$DH,BW$1,0),1)="V",IF(BV46&gt;=INDEX('[1]Définition Maintenances'!$G:$G,MATCH($A46,'[1]Définition Maintenances'!$K:$K,0)),BV46,INDEX('[1]Définition Maintenances'!$G:$G,MATCH($A46,'[1]Définition Maintenances'!$K:$K,0))+BV46),BV46))</f>
        <v>1037</v>
      </c>
      <c r="BX46" s="26">
        <f>IF(ISNUMBER(VLOOKUP($D46,'Visu totale'!$D:$DH,BX$1,0)),BW46-VLOOKUP($D46,'Visu totale'!$D:$DH,BX$1,0),IF(LEFT(VLOOKUP($D46,'Visu totale'!$D:$DH,BX$1,0),1)="V",IF(BW46&gt;=INDEX('[1]Définition Maintenances'!$G:$G,MATCH($A46,'[1]Définition Maintenances'!$K:$K,0)),BW46,INDEX('[1]Définition Maintenances'!$G:$G,MATCH($A46,'[1]Définition Maintenances'!$K:$K,0))+BW46),BW46))</f>
        <v>1037</v>
      </c>
      <c r="BY46" s="27">
        <f>IF(ISNUMBER(VLOOKUP($D46,'Visu totale'!$D:$DH,BY$1,0)),BX46-VLOOKUP($D46,'Visu totale'!$D:$DH,BY$1,0),IF(LEFT(VLOOKUP($D46,'Visu totale'!$D:$DH,BY$1,0),1)="V",IF(BX46&gt;=INDEX('[1]Définition Maintenances'!$G:$G,MATCH($A46,'[1]Définition Maintenances'!$K:$K,0)),BX46,INDEX('[1]Définition Maintenances'!$G:$G,MATCH($A46,'[1]Définition Maintenances'!$K:$K,0))+BX46),BX46))</f>
        <v>1037</v>
      </c>
      <c r="BZ46" s="25">
        <f>IF(ISNUMBER(VLOOKUP($D46,'Visu totale'!$D:$DH,BZ$1,0)),BY46-VLOOKUP($D46,'Visu totale'!$D:$DH,BZ$1,0),IF(LEFT(VLOOKUP($D46,'Visu totale'!$D:$DH,BZ$1,0),1)="V",IF(BY46&gt;=INDEX('[1]Définition Maintenances'!$G:$G,MATCH($A46,'[1]Définition Maintenances'!$K:$K,0)),BY46,INDEX('[1]Définition Maintenances'!$G:$G,MATCH($A46,'[1]Définition Maintenances'!$K:$K,0))+BY46),BY46))</f>
        <v>1037</v>
      </c>
      <c r="CA46" s="26">
        <f>IF(ISNUMBER(VLOOKUP($D46,'Visu totale'!$D:$DH,CA$1,0)),BZ46-VLOOKUP($D46,'Visu totale'!$D:$DH,CA$1,0),IF(LEFT(VLOOKUP($D46,'Visu totale'!$D:$DH,CA$1,0),1)="V",IF(BZ46&gt;=INDEX('[1]Définition Maintenances'!$G:$G,MATCH($A46,'[1]Définition Maintenances'!$K:$K,0)),BZ46,INDEX('[1]Définition Maintenances'!$G:$G,MATCH($A46,'[1]Définition Maintenances'!$K:$K,0))+BZ46),BZ46))</f>
        <v>1037</v>
      </c>
      <c r="CB46" s="26">
        <f>IF(ISNUMBER(VLOOKUP($D46,'Visu totale'!$D:$DH,CB$1,0)),CA46-VLOOKUP($D46,'Visu totale'!$D:$DH,CB$1,0),IF(LEFT(VLOOKUP($D46,'Visu totale'!$D:$DH,CB$1,0),1)="V",IF(CA46&gt;=INDEX('[1]Définition Maintenances'!$G:$G,MATCH($A46,'[1]Définition Maintenances'!$K:$K,0)),CA46,INDEX('[1]Définition Maintenances'!$G:$G,MATCH($A46,'[1]Définition Maintenances'!$K:$K,0))+CA46),CA46))</f>
        <v>1037</v>
      </c>
      <c r="CC46" s="26">
        <f>IF(ISNUMBER(VLOOKUP($D46,'Visu totale'!$D:$DH,CC$1,0)),CB46-VLOOKUP($D46,'Visu totale'!$D:$DH,CC$1,0),IF(LEFT(VLOOKUP($D46,'Visu totale'!$D:$DH,CC$1,0),1)="V",IF(CB46&gt;=INDEX('[1]Définition Maintenances'!$G:$G,MATCH($A46,'[1]Définition Maintenances'!$K:$K,0)),CB46,INDEX('[1]Définition Maintenances'!$G:$G,MATCH($A46,'[1]Définition Maintenances'!$K:$K,0))+CB46),CB46))</f>
        <v>1037</v>
      </c>
      <c r="CD46" s="26">
        <f>IF(ISNUMBER(VLOOKUP($D46,'Visu totale'!$D:$DH,CD$1,0)),CC46-VLOOKUP($D46,'Visu totale'!$D:$DH,CD$1,0),IF(LEFT(VLOOKUP($D46,'Visu totale'!$D:$DH,CD$1,0),1)="V",IF(CC46&gt;=INDEX('[1]Définition Maintenances'!$G:$G,MATCH($A46,'[1]Définition Maintenances'!$K:$K,0)),CC46,INDEX('[1]Définition Maintenances'!$G:$G,MATCH($A46,'[1]Définition Maintenances'!$K:$K,0))+CC46),CC46))</f>
        <v>1037</v>
      </c>
      <c r="CE46" s="26">
        <f>IF(ISNUMBER(VLOOKUP($D46,'Visu totale'!$D:$DH,CE$1,0)),CD46-VLOOKUP($D46,'Visu totale'!$D:$DH,CE$1,0),IF(LEFT(VLOOKUP($D46,'Visu totale'!$D:$DH,CE$1,0),1)="V",IF(CD46&gt;=INDEX('[1]Définition Maintenances'!$G:$G,MATCH($A46,'[1]Définition Maintenances'!$K:$K,0)),CD46,INDEX('[1]Définition Maintenances'!$G:$G,MATCH($A46,'[1]Définition Maintenances'!$K:$K,0))+CD46),CD46))</f>
        <v>1037</v>
      </c>
      <c r="CF46" s="26">
        <f>IF(ISNUMBER(VLOOKUP($D46,'Visu totale'!$D:$DH,CF$1,0)),CE46-VLOOKUP($D46,'Visu totale'!$D:$DH,CF$1,0),IF(LEFT(VLOOKUP($D46,'Visu totale'!$D:$DH,CF$1,0),1)="V",IF(CE46&gt;=INDEX('[1]Définition Maintenances'!$G:$G,MATCH($A46,'[1]Définition Maintenances'!$K:$K,0)),CE46,INDEX('[1]Définition Maintenances'!$G:$G,MATCH($A46,'[1]Définition Maintenances'!$K:$K,0))+CE46),CE46))</f>
        <v>1037</v>
      </c>
      <c r="CG46" s="26">
        <f>IF(ISNUMBER(VLOOKUP($D46,'Visu totale'!$D:$DH,CG$1,0)),CF46-VLOOKUP($D46,'Visu totale'!$D:$DH,CG$1,0),IF(LEFT(VLOOKUP($D46,'Visu totale'!$D:$DH,CG$1,0),1)="V",IF(CF46&gt;=INDEX('[1]Définition Maintenances'!$G:$G,MATCH($A46,'[1]Définition Maintenances'!$K:$K,0)),CF46,INDEX('[1]Définition Maintenances'!$G:$G,MATCH($A46,'[1]Définition Maintenances'!$K:$K,0))+CF46),CF46))</f>
        <v>1037</v>
      </c>
      <c r="CH46" s="26">
        <f>IF(ISNUMBER(VLOOKUP($D46,'Visu totale'!$D:$DH,CH$1,0)),CG46-VLOOKUP($D46,'Visu totale'!$D:$DH,CH$1,0),IF(LEFT(VLOOKUP($D46,'Visu totale'!$D:$DH,CH$1,0),1)="V",IF(CG46&gt;=INDEX('[1]Définition Maintenances'!$G:$G,MATCH($A46,'[1]Définition Maintenances'!$K:$K,0)),CG46,INDEX('[1]Définition Maintenances'!$G:$G,MATCH($A46,'[1]Définition Maintenances'!$K:$K,0))+CG46),CG46))</f>
        <v>1037</v>
      </c>
      <c r="CI46" s="26">
        <f>IF(ISNUMBER(VLOOKUP($D46,'Visu totale'!$D:$DH,CI$1,0)),CH46-VLOOKUP($D46,'Visu totale'!$D:$DH,CI$1,0),IF(LEFT(VLOOKUP($D46,'Visu totale'!$D:$DH,CI$1,0),1)="V",IF(CH46&gt;=INDEX('[1]Définition Maintenances'!$G:$G,MATCH($A46,'[1]Définition Maintenances'!$K:$K,0)),CH46,INDEX('[1]Définition Maintenances'!$G:$G,MATCH($A46,'[1]Définition Maintenances'!$K:$K,0))+CH46),CH46))</f>
        <v>1037</v>
      </c>
      <c r="CJ46" s="26">
        <f>IF(ISNUMBER(VLOOKUP($D46,'Visu totale'!$D:$DH,CJ$1,0)),CI46-VLOOKUP($D46,'Visu totale'!$D:$DH,CJ$1,0),IF(LEFT(VLOOKUP($D46,'Visu totale'!$D:$DH,CJ$1,0),1)="V",IF(CI46&gt;=INDEX('[1]Définition Maintenances'!$G:$G,MATCH($A46,'[1]Définition Maintenances'!$K:$K,0)),CI46,INDEX('[1]Définition Maintenances'!$G:$G,MATCH($A46,'[1]Définition Maintenances'!$K:$K,0))+CI46),CI46))</f>
        <v>1037</v>
      </c>
      <c r="CK46" s="27">
        <f>IF(ISNUMBER(VLOOKUP($D46,'Visu totale'!$D:$DH,CK$1,0)),CJ46-VLOOKUP($D46,'Visu totale'!$D:$DH,CK$1,0),IF(LEFT(VLOOKUP($D46,'Visu totale'!$D:$DH,CK$1,0),1)="V",IF(CJ46&gt;=INDEX('[1]Définition Maintenances'!$G:$G,MATCH($A46,'[1]Définition Maintenances'!$K:$K,0)),CJ46,INDEX('[1]Définition Maintenances'!$G:$G,MATCH($A46,'[1]Définition Maintenances'!$K:$K,0))+CJ46),CJ46))</f>
        <v>1037</v>
      </c>
      <c r="CL46" s="25">
        <f>IF(ISNUMBER(VLOOKUP($D46,'Visu totale'!$D:$DH,CL$1,0)),CK46-VLOOKUP($D46,'Visu totale'!$D:$DH,CL$1,0),IF(LEFT(VLOOKUP($D46,'Visu totale'!$D:$DH,CL$1,0),1)="V",IF(CK46&gt;=INDEX('[1]Définition Maintenances'!$G:$G,MATCH($A46,'[1]Définition Maintenances'!$K:$K,0)),CK46,INDEX('[1]Définition Maintenances'!$G:$G,MATCH($A46,'[1]Définition Maintenances'!$K:$K,0))+CK46),CK46))</f>
        <v>1037</v>
      </c>
      <c r="CM46" s="26">
        <f>IF(ISNUMBER(VLOOKUP($D46,'Visu totale'!$D:$DH,CM$1,0)),CL46-VLOOKUP($D46,'Visu totale'!$D:$DH,CM$1,0),IF(LEFT(VLOOKUP($D46,'Visu totale'!$D:$DH,CM$1,0),1)="V",IF(CL46&gt;=INDEX('[1]Définition Maintenances'!$G:$G,MATCH($A46,'[1]Définition Maintenances'!$K:$K,0)),CL46,INDEX('[1]Définition Maintenances'!$G:$G,MATCH($A46,'[1]Définition Maintenances'!$K:$K,0))+CL46),CL46))</f>
        <v>1037</v>
      </c>
      <c r="CN46" s="26">
        <f>IF(ISNUMBER(VLOOKUP($D46,'Visu totale'!$D:$DH,CN$1,0)),CM46-VLOOKUP($D46,'Visu totale'!$D:$DH,CN$1,0),IF(LEFT(VLOOKUP($D46,'Visu totale'!$D:$DH,CN$1,0),1)="V",IF(CM46&gt;=INDEX('[1]Définition Maintenances'!$G:$G,MATCH($A46,'[1]Définition Maintenances'!$K:$K,0)),CM46,INDEX('[1]Définition Maintenances'!$G:$G,MATCH($A46,'[1]Définition Maintenances'!$K:$K,0))+CM46),CM46))</f>
        <v>1037</v>
      </c>
      <c r="CO46" s="26">
        <f>IF(ISNUMBER(VLOOKUP($D46,'Visu totale'!$D:$DH,CO$1,0)),CN46-VLOOKUP($D46,'Visu totale'!$D:$DH,CO$1,0),IF(LEFT(VLOOKUP($D46,'Visu totale'!$D:$DH,CO$1,0),1)="V",IF(CN46&gt;=INDEX('[1]Définition Maintenances'!$G:$G,MATCH($A46,'[1]Définition Maintenances'!$K:$K,0)),CN46,INDEX('[1]Définition Maintenances'!$G:$G,MATCH($A46,'[1]Définition Maintenances'!$K:$K,0))+CN46),CN46))</f>
        <v>1037</v>
      </c>
      <c r="CP46" s="26">
        <f>IF(ISNUMBER(VLOOKUP($D46,'Visu totale'!$D:$DH,CP$1,0)),CO46-VLOOKUP($D46,'Visu totale'!$D:$DH,CP$1,0),IF(LEFT(VLOOKUP($D46,'Visu totale'!$D:$DH,CP$1,0),1)="V",IF(CO46&gt;=INDEX('[1]Définition Maintenances'!$G:$G,MATCH($A46,'[1]Définition Maintenances'!$K:$K,0)),CO46,INDEX('[1]Définition Maintenances'!$G:$G,MATCH($A46,'[1]Définition Maintenances'!$K:$K,0))+CO46),CO46))</f>
        <v>1037</v>
      </c>
      <c r="CQ46" s="26">
        <f>IF(ISNUMBER(VLOOKUP($D46,'Visu totale'!$D:$DH,CQ$1,0)),CP46-VLOOKUP($D46,'Visu totale'!$D:$DH,CQ$1,0),IF(LEFT(VLOOKUP($D46,'Visu totale'!$D:$DH,CQ$1,0),1)="V",IF(CP46&gt;=INDEX('[1]Définition Maintenances'!$G:$G,MATCH($A46,'[1]Définition Maintenances'!$K:$K,0)),CP46,INDEX('[1]Définition Maintenances'!$G:$G,MATCH($A46,'[1]Définition Maintenances'!$K:$K,0))+CP46),CP46))</f>
        <v>1037</v>
      </c>
      <c r="CR46" s="26">
        <f>IF(ISNUMBER(VLOOKUP($D46,'Visu totale'!$D:$DH,CR$1,0)),CQ46-VLOOKUP($D46,'Visu totale'!$D:$DH,CR$1,0),IF(LEFT(VLOOKUP($D46,'Visu totale'!$D:$DH,CR$1,0),1)="V",IF(CQ46&gt;=INDEX('[1]Définition Maintenances'!$G:$G,MATCH($A46,'[1]Définition Maintenances'!$K:$K,0)),CQ46,INDEX('[1]Définition Maintenances'!$G:$G,MATCH($A46,'[1]Définition Maintenances'!$K:$K,0))+CQ46),CQ46))</f>
        <v>1037</v>
      </c>
      <c r="CS46" s="26">
        <f>IF(ISNUMBER(VLOOKUP($D46,'Visu totale'!$D:$DH,CS$1,0)),CR46-VLOOKUP($D46,'Visu totale'!$D:$DH,CS$1,0),IF(LEFT(VLOOKUP($D46,'Visu totale'!$D:$DH,CS$1,0),1)="V",IF(CR46&gt;=INDEX('[1]Définition Maintenances'!$G:$G,MATCH($A46,'[1]Définition Maintenances'!$K:$K,0)),CR46,INDEX('[1]Définition Maintenances'!$G:$G,MATCH($A46,'[1]Définition Maintenances'!$K:$K,0))+CR46),CR46))</f>
        <v>1037</v>
      </c>
      <c r="CT46" s="26">
        <f>IF(ISNUMBER(VLOOKUP($D46,'Visu totale'!$D:$DH,CT$1,0)),CS46-VLOOKUP($D46,'Visu totale'!$D:$DH,CT$1,0),IF(LEFT(VLOOKUP($D46,'Visu totale'!$D:$DH,CT$1,0),1)="V",IF(CS46&gt;=INDEX('[1]Définition Maintenances'!$G:$G,MATCH($A46,'[1]Définition Maintenances'!$K:$K,0)),CS46,INDEX('[1]Définition Maintenances'!$G:$G,MATCH($A46,'[1]Définition Maintenances'!$K:$K,0))+CS46),CS46))</f>
        <v>1037</v>
      </c>
      <c r="CU46" s="26">
        <f>IF(ISNUMBER(VLOOKUP($D46,'Visu totale'!$D:$DH,CU$1,0)),CT46-VLOOKUP($D46,'Visu totale'!$D:$DH,CU$1,0),IF(LEFT(VLOOKUP($D46,'Visu totale'!$D:$DH,CU$1,0),1)="V",IF(CT46&gt;=INDEX('[1]Définition Maintenances'!$G:$G,MATCH($A46,'[1]Définition Maintenances'!$K:$K,0)),CT46,INDEX('[1]Définition Maintenances'!$G:$G,MATCH($A46,'[1]Définition Maintenances'!$K:$K,0))+CT46),CT46))</f>
        <v>1037</v>
      </c>
      <c r="CV46" s="26">
        <f>IF(ISNUMBER(VLOOKUP($D46,'Visu totale'!$D:$DH,CV$1,0)),CU46-VLOOKUP($D46,'Visu totale'!$D:$DH,CV$1,0),IF(LEFT(VLOOKUP($D46,'Visu totale'!$D:$DH,CV$1,0),1)="V",IF(CU46&gt;=INDEX('[1]Définition Maintenances'!$G:$G,MATCH($A46,'[1]Définition Maintenances'!$K:$K,0)),CU46,INDEX('[1]Définition Maintenances'!$G:$G,MATCH($A46,'[1]Définition Maintenances'!$K:$K,0))+CU46),CU46))</f>
        <v>1037</v>
      </c>
      <c r="CW46" s="27">
        <f>IF(ISNUMBER(VLOOKUP($D46,'Visu totale'!$D:$DH,CW$1,0)),CV46-VLOOKUP($D46,'Visu totale'!$D:$DH,CW$1,0),IF(LEFT(VLOOKUP($D46,'Visu totale'!$D:$DH,CW$1,0),1)="V",IF(CV46&gt;=INDEX('[1]Définition Maintenances'!$G:$G,MATCH($A46,'[1]Définition Maintenances'!$K:$K,0)),CV46,INDEX('[1]Définition Maintenances'!$G:$G,MATCH($A46,'[1]Définition Maintenances'!$K:$K,0))+CV46),CV46))</f>
        <v>1037</v>
      </c>
      <c r="CX46" s="25">
        <f>IF(ISNUMBER(VLOOKUP($D46,'Visu totale'!$D:$DH,CX$1,0)),CW46-VLOOKUP($D46,'Visu totale'!$D:$DH,CX$1,0),IF(LEFT(VLOOKUP($D46,'Visu totale'!$D:$DH,CX$1,0),1)="V",IF(CW46&gt;=INDEX('[1]Définition Maintenances'!$G:$G,MATCH($A46,'[1]Définition Maintenances'!$K:$K,0)),CW46,INDEX('[1]Définition Maintenances'!$G:$G,MATCH($A46,'[1]Définition Maintenances'!$K:$K,0))+CW46),CW46))</f>
        <v>1037</v>
      </c>
      <c r="CY46" s="26">
        <f>IF(ISNUMBER(VLOOKUP($D46,'Visu totale'!$D:$DH,CY$1,0)),CX46-VLOOKUP($D46,'Visu totale'!$D:$DH,CY$1,0),IF(LEFT(VLOOKUP($D46,'Visu totale'!$D:$DH,CY$1,0),1)="V",IF(CX46&gt;=INDEX('[1]Définition Maintenances'!$G:$G,MATCH($A46,'[1]Définition Maintenances'!$K:$K,0)),CX46,INDEX('[1]Définition Maintenances'!$G:$G,MATCH($A46,'[1]Définition Maintenances'!$K:$K,0))+CX46),CX46))</f>
        <v>1037</v>
      </c>
      <c r="CZ46" s="26">
        <f>IF(ISNUMBER(VLOOKUP($D46,'Visu totale'!$D:$DH,CZ$1,0)),CY46-VLOOKUP($D46,'Visu totale'!$D:$DH,CZ$1,0),IF(LEFT(VLOOKUP($D46,'Visu totale'!$D:$DH,CZ$1,0),1)="V",IF(CY46&gt;=INDEX('[1]Définition Maintenances'!$G:$G,MATCH($A46,'[1]Définition Maintenances'!$K:$K,0)),CY46,INDEX('[1]Définition Maintenances'!$G:$G,MATCH($A46,'[1]Définition Maintenances'!$K:$K,0))+CY46),CY46))</f>
        <v>1037</v>
      </c>
      <c r="DA46" s="26">
        <f>IF(ISNUMBER(VLOOKUP($D46,'Visu totale'!$D:$DH,DA$1,0)),CZ46-VLOOKUP($D46,'Visu totale'!$D:$DH,DA$1,0),IF(LEFT(VLOOKUP($D46,'Visu totale'!$D:$DH,DA$1,0),1)="V",IF(CZ46&gt;=INDEX('[1]Définition Maintenances'!$G:$G,MATCH($A46,'[1]Définition Maintenances'!$K:$K,0)),CZ46,INDEX('[1]Définition Maintenances'!$G:$G,MATCH($A46,'[1]Définition Maintenances'!$K:$K,0))+CZ46),CZ46))</f>
        <v>1037</v>
      </c>
      <c r="DB46" s="26">
        <f>IF(ISNUMBER(VLOOKUP($D46,'Visu totale'!$D:$DH,DB$1,0)),DA46-VLOOKUP($D46,'Visu totale'!$D:$DH,DB$1,0),IF(LEFT(VLOOKUP($D46,'Visu totale'!$D:$DH,DB$1,0),1)="V",IF(DA46&gt;=INDEX('[1]Définition Maintenances'!$G:$G,MATCH($A46,'[1]Définition Maintenances'!$K:$K,0)),DA46,INDEX('[1]Définition Maintenances'!$G:$G,MATCH($A46,'[1]Définition Maintenances'!$K:$K,0))+DA46),DA46))</f>
        <v>1037</v>
      </c>
      <c r="DC46" s="26">
        <f>IF(ISNUMBER(VLOOKUP($D46,'Visu totale'!$D:$DH,DC$1,0)),DB46-VLOOKUP($D46,'Visu totale'!$D:$DH,DC$1,0),IF(LEFT(VLOOKUP($D46,'Visu totale'!$D:$DH,DC$1,0),1)="V",IF(DB46&gt;=INDEX('[1]Définition Maintenances'!$G:$G,MATCH($A46,'[1]Définition Maintenances'!$K:$K,0)),DB46,INDEX('[1]Définition Maintenances'!$G:$G,MATCH($A46,'[1]Définition Maintenances'!$K:$K,0))+DB46),DB46))</f>
        <v>1037</v>
      </c>
      <c r="DD46" s="26">
        <f>IF(ISNUMBER(VLOOKUP($D46,'Visu totale'!$D:$DH,DD$1,0)),DC46-VLOOKUP($D46,'Visu totale'!$D:$DH,DD$1,0),IF(LEFT(VLOOKUP($D46,'Visu totale'!$D:$DH,DD$1,0),1)="V",IF(DC46&gt;=INDEX('[1]Définition Maintenances'!$G:$G,MATCH($A46,'[1]Définition Maintenances'!$K:$K,0)),DC46,INDEX('[1]Définition Maintenances'!$G:$G,MATCH($A46,'[1]Définition Maintenances'!$K:$K,0))+DC46),DC46))</f>
        <v>1037</v>
      </c>
      <c r="DE46" s="26">
        <f>IF(ISNUMBER(VLOOKUP($D46,'Visu totale'!$D:$DH,DE$1,0)),DD46-VLOOKUP($D46,'Visu totale'!$D:$DH,DE$1,0),IF(LEFT(VLOOKUP($D46,'Visu totale'!$D:$DH,DE$1,0),1)="V",IF(DD46&gt;=INDEX('[1]Définition Maintenances'!$G:$G,MATCH($A46,'[1]Définition Maintenances'!$K:$K,0)),DD46,INDEX('[1]Définition Maintenances'!$G:$G,MATCH($A46,'[1]Définition Maintenances'!$K:$K,0))+DD46),DD46))</f>
        <v>1037</v>
      </c>
      <c r="DF46" s="26">
        <f>IF(ISNUMBER(VLOOKUP($D46,'Visu totale'!$D:$DH,DF$1,0)),DE46-VLOOKUP($D46,'Visu totale'!$D:$DH,DF$1,0),IF(LEFT(VLOOKUP($D46,'Visu totale'!$D:$DH,DF$1,0),1)="V",IF(DE46&gt;=INDEX('[1]Définition Maintenances'!$G:$G,MATCH($A46,'[1]Définition Maintenances'!$K:$K,0)),DE46,INDEX('[1]Définition Maintenances'!$G:$G,MATCH($A46,'[1]Définition Maintenances'!$K:$K,0))+DE46),DE46))</f>
        <v>1037</v>
      </c>
      <c r="DG46" s="26">
        <f>IF(ISNUMBER(VLOOKUP($D46,'Visu totale'!$D:$DH,DG$1,0)),DF46-VLOOKUP($D46,'Visu totale'!$D:$DH,DG$1,0),IF(LEFT(VLOOKUP($D46,'Visu totale'!$D:$DH,DG$1,0),1)="V",IF(DF46&gt;=INDEX('[1]Définition Maintenances'!$G:$G,MATCH($A46,'[1]Définition Maintenances'!$K:$K,0)),DF46,INDEX('[1]Définition Maintenances'!$G:$G,MATCH($A46,'[1]Définition Maintenances'!$K:$K,0))+DF46),DF46))</f>
        <v>1037</v>
      </c>
      <c r="DH46" s="26">
        <f>IF(ISNUMBER(VLOOKUP($D46,'Visu totale'!$D:$DH,DH$1,0)),DG46-VLOOKUP($D46,'Visu totale'!$D:$DH,DH$1,0),IF(LEFT(VLOOKUP($D46,'Visu totale'!$D:$DH,DH$1,0),1)="V",IF(DG46&gt;=INDEX('[1]Définition Maintenances'!$G:$G,MATCH($A46,'[1]Définition Maintenances'!$K:$K,0)),DG46,INDEX('[1]Définition Maintenances'!$G:$G,MATCH($A46,'[1]Définition Maintenances'!$K:$K,0))+DG46),DG46))</f>
        <v>1037</v>
      </c>
      <c r="DI46" s="27">
        <f>IF(ISNUMBER(VLOOKUP($D46,'Visu totale'!$D:$DH,DI$1,0)),DH46-VLOOKUP($D46,'Visu totale'!$D:$DH,DI$1,0),IF(LEFT(VLOOKUP($D46,'Visu totale'!$D:$DH,DI$1,0),1)="V",IF(DH46&gt;=INDEX('[1]Définition Maintenances'!$G:$G,MATCH($A46,'[1]Définition Maintenances'!$K:$K,0)),DH46,INDEX('[1]Définition Maintenances'!$G:$G,MATCH($A46,'[1]Définition Maintenances'!$K:$K,0))+DH46),DH46))</f>
        <v>1037</v>
      </c>
    </row>
    <row r="47" spans="1:113" x14ac:dyDescent="0.25">
      <c r="A47" s="13" t="str">
        <f t="shared" si="1"/>
        <v>V10D</v>
      </c>
      <c r="B47" s="13" t="str">
        <f>VLOOKUP(D47,'[1]Avions (Potentiels)'!$B$2:$H$128,7,FALSE)</f>
        <v>V10</v>
      </c>
      <c r="C47" s="13"/>
      <c r="D47" s="16" t="s">
        <v>50</v>
      </c>
      <c r="E47" s="13">
        <f>IFERROR(VALUE(SUBSTITUTE(VLOOKUP(D47,'[1]Avions (Potentiels)'!$B:$E,4,0),".",",")),VALUE(VLOOKUP(D47,'[1]Avions (Potentiels)'!$B:$E,4,0)))</f>
        <v>1047</v>
      </c>
      <c r="F47" s="25">
        <f>IF(ISNUMBER(VLOOKUP($D47,'Visu totale'!$D:$DH,F$1,0)),E47-VLOOKUP($D47,'Visu totale'!$D:$DH,F$1,0),IF(LEFT(VLOOKUP($D47,'Visu totale'!$D:$DH,F$1,0),1)="V",IF(E47&gt;=INDEX('[1]Définition Maintenances'!$G:$G,MATCH($A47,'[1]Définition Maintenances'!$K:$K,0)),E47,INDEX('[1]Définition Maintenances'!$G:$G,MATCH($A47,'[1]Définition Maintenances'!$K:$K,0))+E47),E47))</f>
        <v>1047</v>
      </c>
      <c r="G47" s="26">
        <f>IF(ISNUMBER(VLOOKUP($D47,'Visu totale'!$D:$DH,G$1,0)),F47-VLOOKUP($D47,'Visu totale'!$D:$DH,G$1,0),IF(LEFT(VLOOKUP($D47,'Visu totale'!$D:$DH,G$1,0),1)="V",IF(F47&gt;=INDEX('[1]Définition Maintenances'!$G:$G,MATCH($A47,'[1]Définition Maintenances'!$K:$K,0)),F47,INDEX('[1]Définition Maintenances'!$G:$G,MATCH($A47,'[1]Définition Maintenances'!$K:$K,0))+F47),F47))</f>
        <v>1047</v>
      </c>
      <c r="H47" s="26">
        <f>IF(ISNUMBER(VLOOKUP($D47,'Visu totale'!$D:$DH,H$1,0)),G47-VLOOKUP($D47,'Visu totale'!$D:$DH,H$1,0),IF(LEFT(VLOOKUP($D47,'Visu totale'!$D:$DH,H$1,0),1)="V",IF(G47&gt;=INDEX('[1]Définition Maintenances'!$G:$G,MATCH($A47,'[1]Définition Maintenances'!$K:$K,0)),G47,INDEX('[1]Définition Maintenances'!$G:$G,MATCH($A47,'[1]Définition Maintenances'!$K:$K,0))+G47),G47))</f>
        <v>1047</v>
      </c>
      <c r="I47" s="26">
        <f>IF(ISNUMBER(VLOOKUP($D47,'Visu totale'!$D:$DH,I$1,0)),H47-VLOOKUP($D47,'Visu totale'!$D:$DH,I$1,0),IF(LEFT(VLOOKUP($D47,'Visu totale'!$D:$DH,I$1,0),1)="V",IF(H47&gt;=INDEX('[1]Définition Maintenances'!$G:$G,MATCH($A47,'[1]Définition Maintenances'!$K:$K,0)),H47,INDEX('[1]Définition Maintenances'!$G:$G,MATCH($A47,'[1]Définition Maintenances'!$K:$K,0))+H47),H47))</f>
        <v>1047</v>
      </c>
      <c r="J47" s="26">
        <f>IF(ISNUMBER(VLOOKUP($D47,'Visu totale'!$D:$DH,J$1,0)),I47-VLOOKUP($D47,'Visu totale'!$D:$DH,J$1,0),IF(LEFT(VLOOKUP($D47,'Visu totale'!$D:$DH,J$1,0),1)="V",IF(I47&gt;=INDEX('[1]Définition Maintenances'!$G:$G,MATCH($A47,'[1]Définition Maintenances'!$K:$K,0)),I47,INDEX('[1]Définition Maintenances'!$G:$G,MATCH($A47,'[1]Définition Maintenances'!$K:$K,0))+I47),I47))</f>
        <v>1047</v>
      </c>
      <c r="K47" s="26">
        <f>IF(ISNUMBER(VLOOKUP($D47,'Visu totale'!$D:$DH,K$1,0)),J47-VLOOKUP($D47,'Visu totale'!$D:$DH,K$1,0),IF(LEFT(VLOOKUP($D47,'Visu totale'!$D:$DH,K$1,0),1)="V",IF(J47&gt;=INDEX('[1]Définition Maintenances'!$G:$G,MATCH($A47,'[1]Définition Maintenances'!$K:$K,0)),J47,INDEX('[1]Définition Maintenances'!$G:$G,MATCH($A47,'[1]Définition Maintenances'!$K:$K,0))+J47),J47))</f>
        <v>1047</v>
      </c>
      <c r="L47" s="26">
        <f>IF(ISNUMBER(VLOOKUP($D47,'Visu totale'!$D:$DH,L$1,0)),K47-VLOOKUP($D47,'Visu totale'!$D:$DH,L$1,0),IF(LEFT(VLOOKUP($D47,'Visu totale'!$D:$DH,L$1,0),1)="V",IF(K47&gt;=INDEX('[1]Définition Maintenances'!$G:$G,MATCH($A47,'[1]Définition Maintenances'!$K:$K,0)),K47,INDEX('[1]Définition Maintenances'!$G:$G,MATCH($A47,'[1]Définition Maintenances'!$K:$K,0))+K47),K47))</f>
        <v>1047</v>
      </c>
      <c r="M47" s="26">
        <f>IF(ISNUMBER(VLOOKUP($D47,'Visu totale'!$D:$DH,M$1,0)),L47-VLOOKUP($D47,'Visu totale'!$D:$DH,M$1,0),IF(LEFT(VLOOKUP($D47,'Visu totale'!$D:$DH,M$1,0),1)="V",IF(L47&gt;=INDEX('[1]Définition Maintenances'!$G:$G,MATCH($A47,'[1]Définition Maintenances'!$K:$K,0)),L47,INDEX('[1]Définition Maintenances'!$G:$G,MATCH($A47,'[1]Définition Maintenances'!$K:$K,0))+L47),L47))</f>
        <v>1047</v>
      </c>
      <c r="N47" s="26">
        <f>IF(ISNUMBER(VLOOKUP($D47,'Visu totale'!$D:$DH,N$1,0)),M47-VLOOKUP($D47,'Visu totale'!$D:$DH,N$1,0),IF(LEFT(VLOOKUP($D47,'Visu totale'!$D:$DH,N$1,0),1)="V",IF(M47&gt;=INDEX('[1]Définition Maintenances'!$G:$G,MATCH($A47,'[1]Définition Maintenances'!$K:$K,0)),M47,INDEX('[1]Définition Maintenances'!$G:$G,MATCH($A47,'[1]Définition Maintenances'!$K:$K,0))+M47),M47))</f>
        <v>1047</v>
      </c>
      <c r="O47" s="26">
        <f>IF(ISNUMBER(VLOOKUP($D47,'Visu totale'!$D:$DH,O$1,0)),N47-VLOOKUP($D47,'Visu totale'!$D:$DH,O$1,0),IF(LEFT(VLOOKUP($D47,'Visu totale'!$D:$DH,O$1,0),1)="V",IF(N47&gt;=INDEX('[1]Définition Maintenances'!$G:$G,MATCH($A47,'[1]Définition Maintenances'!$K:$K,0)),N47,INDEX('[1]Définition Maintenances'!$G:$G,MATCH($A47,'[1]Définition Maintenances'!$K:$K,0))+N47),N47))</f>
        <v>1047</v>
      </c>
      <c r="P47" s="26">
        <f>IF(ISNUMBER(VLOOKUP($D47,'Visu totale'!$D:$DH,P$1,0)),O47-VLOOKUP($D47,'Visu totale'!$D:$DH,P$1,0),IF(LEFT(VLOOKUP($D47,'Visu totale'!$D:$DH,P$1,0),1)="V",IF(O47&gt;=INDEX('[1]Définition Maintenances'!$G:$G,MATCH($A47,'[1]Définition Maintenances'!$K:$K,0)),O47,INDEX('[1]Définition Maintenances'!$G:$G,MATCH($A47,'[1]Définition Maintenances'!$K:$K,0))+O47),O47))</f>
        <v>1047</v>
      </c>
      <c r="Q47" s="27">
        <f>IF(ISNUMBER(VLOOKUP($D47,'Visu totale'!$D:$DH,Q$1,0)),P47-VLOOKUP($D47,'Visu totale'!$D:$DH,Q$1,0),IF(LEFT(VLOOKUP($D47,'Visu totale'!$D:$DH,Q$1,0),1)="V",IF(P47&gt;=INDEX('[1]Définition Maintenances'!$G:$G,MATCH($A47,'[1]Définition Maintenances'!$K:$K,0)),P47,INDEX('[1]Définition Maintenances'!$G:$G,MATCH($A47,'[1]Définition Maintenances'!$K:$K,0))+P47),P47))</f>
        <v>1047</v>
      </c>
      <c r="R47" s="25">
        <f>IF(ISNUMBER(VLOOKUP($D47,'Visu totale'!$D:$DH,R$1,0)),Q47-VLOOKUP($D47,'Visu totale'!$D:$DH,R$1,0),IF(LEFT(VLOOKUP($D47,'Visu totale'!$D:$DH,R$1,0),1)="V",IF(Q47&gt;=INDEX('[1]Définition Maintenances'!$G:$G,MATCH($A47,'[1]Définition Maintenances'!$K:$K,0)),Q47,INDEX('[1]Définition Maintenances'!$G:$G,MATCH($A47,'[1]Définition Maintenances'!$K:$K,0))+Q47),Q47))</f>
        <v>1047</v>
      </c>
      <c r="S47" s="26">
        <f>IF(ISNUMBER(VLOOKUP($D47,'Visu totale'!$D:$DH,S$1,0)),R47-VLOOKUP($D47,'Visu totale'!$D:$DH,S$1,0),IF(LEFT(VLOOKUP($D47,'Visu totale'!$D:$DH,S$1,0),1)="V",IF(R47&gt;=INDEX('[1]Définition Maintenances'!$G:$G,MATCH($A47,'[1]Définition Maintenances'!$K:$K,0)),R47,INDEX('[1]Définition Maintenances'!$G:$G,MATCH($A47,'[1]Définition Maintenances'!$K:$K,0))+R47),R47))</f>
        <v>1047</v>
      </c>
      <c r="T47" s="26">
        <f>IF(ISNUMBER(VLOOKUP($D47,'Visu totale'!$D:$DH,T$1,0)),S47-VLOOKUP($D47,'Visu totale'!$D:$DH,T$1,0),IF(LEFT(VLOOKUP($D47,'Visu totale'!$D:$DH,T$1,0),1)="V",IF(S47&gt;=INDEX('[1]Définition Maintenances'!$G:$G,MATCH($A47,'[1]Définition Maintenances'!$K:$K,0)),S47,INDEX('[1]Définition Maintenances'!$G:$G,MATCH($A47,'[1]Définition Maintenances'!$K:$K,0))+S47),S47))</f>
        <v>1047</v>
      </c>
      <c r="U47" s="26">
        <f>IF(ISNUMBER(VLOOKUP($D47,'Visu totale'!$D:$DH,U$1,0)),T47-VLOOKUP($D47,'Visu totale'!$D:$DH,U$1,0),IF(LEFT(VLOOKUP($D47,'Visu totale'!$D:$DH,U$1,0),1)="V",IF(T47&gt;=INDEX('[1]Définition Maintenances'!$G:$G,MATCH($A47,'[1]Définition Maintenances'!$K:$K,0)),T47,INDEX('[1]Définition Maintenances'!$G:$G,MATCH($A47,'[1]Définition Maintenances'!$K:$K,0))+T47),T47))</f>
        <v>1047</v>
      </c>
      <c r="V47" s="26">
        <f>IF(ISNUMBER(VLOOKUP($D47,'Visu totale'!$D:$DH,V$1,0)),U47-VLOOKUP($D47,'Visu totale'!$D:$DH,V$1,0),IF(LEFT(VLOOKUP($D47,'Visu totale'!$D:$DH,V$1,0),1)="V",IF(U47&gt;=INDEX('[1]Définition Maintenances'!$G:$G,MATCH($A47,'[1]Définition Maintenances'!$K:$K,0)),U47,INDEX('[1]Définition Maintenances'!$G:$G,MATCH($A47,'[1]Définition Maintenances'!$K:$K,0))+U47),U47))</f>
        <v>1047</v>
      </c>
      <c r="W47" s="26">
        <f>IF(ISNUMBER(VLOOKUP($D47,'Visu totale'!$D:$DH,W$1,0)),V47-VLOOKUP($D47,'Visu totale'!$D:$DH,W$1,0),IF(LEFT(VLOOKUP($D47,'Visu totale'!$D:$DH,W$1,0),1)="V",IF(V47&gt;=INDEX('[1]Définition Maintenances'!$G:$G,MATCH($A47,'[1]Définition Maintenances'!$K:$K,0)),V47,INDEX('[1]Définition Maintenances'!$G:$G,MATCH($A47,'[1]Définition Maintenances'!$K:$K,0))+V47),V47))</f>
        <v>1047</v>
      </c>
      <c r="X47" s="26">
        <f>IF(ISNUMBER(VLOOKUP($D47,'Visu totale'!$D:$DH,X$1,0)),W47-VLOOKUP($D47,'Visu totale'!$D:$DH,X$1,0),IF(LEFT(VLOOKUP($D47,'Visu totale'!$D:$DH,X$1,0),1)="V",IF(W47&gt;=INDEX('[1]Définition Maintenances'!$G:$G,MATCH($A47,'[1]Définition Maintenances'!$K:$K,0)),W47,INDEX('[1]Définition Maintenances'!$G:$G,MATCH($A47,'[1]Définition Maintenances'!$K:$K,0))+W47),W47))</f>
        <v>1047</v>
      </c>
      <c r="Y47" s="26">
        <f>IF(ISNUMBER(VLOOKUP($D47,'Visu totale'!$D:$DH,Y$1,0)),X47-VLOOKUP($D47,'Visu totale'!$D:$DH,Y$1,0),IF(LEFT(VLOOKUP($D47,'Visu totale'!$D:$DH,Y$1,0),1)="V",IF(X47&gt;=INDEX('[1]Définition Maintenances'!$G:$G,MATCH($A47,'[1]Définition Maintenances'!$K:$K,0)),X47,INDEX('[1]Définition Maintenances'!$G:$G,MATCH($A47,'[1]Définition Maintenances'!$K:$K,0))+X47),X47))</f>
        <v>1047</v>
      </c>
      <c r="Z47" s="26">
        <f>IF(ISNUMBER(VLOOKUP($D47,'Visu totale'!$D:$DH,Z$1,0)),Y47-VLOOKUP($D47,'Visu totale'!$D:$DH,Z$1,0),IF(LEFT(VLOOKUP($D47,'Visu totale'!$D:$DH,Z$1,0),1)="V",IF(Y47&gt;=INDEX('[1]Définition Maintenances'!$G:$G,MATCH($A47,'[1]Définition Maintenances'!$K:$K,0)),Y47,INDEX('[1]Définition Maintenances'!$G:$G,MATCH($A47,'[1]Définition Maintenances'!$K:$K,0))+Y47),Y47))</f>
        <v>1047</v>
      </c>
      <c r="AA47" s="26">
        <f>IF(ISNUMBER(VLOOKUP($D47,'Visu totale'!$D:$DH,AA$1,0)),Z47-VLOOKUP($D47,'Visu totale'!$D:$DH,AA$1,0),IF(LEFT(VLOOKUP($D47,'Visu totale'!$D:$DH,AA$1,0),1)="V",IF(Z47&gt;=INDEX('[1]Définition Maintenances'!$G:$G,MATCH($A47,'[1]Définition Maintenances'!$K:$K,0)),Z47,INDEX('[1]Définition Maintenances'!$G:$G,MATCH($A47,'[1]Définition Maintenances'!$K:$K,0))+Z47),Z47))</f>
        <v>1047</v>
      </c>
      <c r="AB47" s="26">
        <f>IF(ISNUMBER(VLOOKUP($D47,'Visu totale'!$D:$DH,AB$1,0)),AA47-VLOOKUP($D47,'Visu totale'!$D:$DH,AB$1,0),IF(LEFT(VLOOKUP($D47,'Visu totale'!$D:$DH,AB$1,0),1)="V",IF(AA47&gt;=INDEX('[1]Définition Maintenances'!$G:$G,MATCH($A47,'[1]Définition Maintenances'!$K:$K,0)),AA47,INDEX('[1]Définition Maintenances'!$G:$G,MATCH($A47,'[1]Définition Maintenances'!$K:$K,0))+AA47),AA47))</f>
        <v>1047</v>
      </c>
      <c r="AC47" s="27">
        <f>IF(ISNUMBER(VLOOKUP($D47,'Visu totale'!$D:$DH,AC$1,0)),AB47-VLOOKUP($D47,'Visu totale'!$D:$DH,AC$1,0),IF(LEFT(VLOOKUP($D47,'Visu totale'!$D:$DH,AC$1,0),1)="V",IF(AB47&gt;=INDEX('[1]Définition Maintenances'!$G:$G,MATCH($A47,'[1]Définition Maintenances'!$K:$K,0)),AB47,INDEX('[1]Définition Maintenances'!$G:$G,MATCH($A47,'[1]Définition Maintenances'!$K:$K,0))+AB47),AB47))</f>
        <v>1047</v>
      </c>
      <c r="AD47" s="25">
        <f>IF(ISNUMBER(VLOOKUP($D47,'Visu totale'!$D:$DH,AD$1,0)),AC47-VLOOKUP($D47,'Visu totale'!$D:$DH,AD$1,0),IF(LEFT(VLOOKUP($D47,'Visu totale'!$D:$DH,AD$1,0),1)="V",IF(AC47&gt;=INDEX('[1]Définition Maintenances'!$G:$G,MATCH($A47,'[1]Définition Maintenances'!$K:$K,0)),AC47,INDEX('[1]Définition Maintenances'!$G:$G,MATCH($A47,'[1]Définition Maintenances'!$K:$K,0))+AC47),AC47))</f>
        <v>1047</v>
      </c>
      <c r="AE47" s="26">
        <f>IF(ISNUMBER(VLOOKUP($D47,'Visu totale'!$D:$DH,AE$1,0)),AD47-VLOOKUP($D47,'Visu totale'!$D:$DH,AE$1,0),IF(LEFT(VLOOKUP($D47,'Visu totale'!$D:$DH,AE$1,0),1)="V",IF(AD47&gt;=INDEX('[1]Définition Maintenances'!$G:$G,MATCH($A47,'[1]Définition Maintenances'!$K:$K,0)),AD47,INDEX('[1]Définition Maintenances'!$G:$G,MATCH($A47,'[1]Définition Maintenances'!$K:$K,0))+AD47),AD47))</f>
        <v>1047</v>
      </c>
      <c r="AF47" s="26">
        <f>IF(ISNUMBER(VLOOKUP($D47,'Visu totale'!$D:$DH,AF$1,0)),AE47-VLOOKUP($D47,'Visu totale'!$D:$DH,AF$1,0),IF(LEFT(VLOOKUP($D47,'Visu totale'!$D:$DH,AF$1,0),1)="V",IF(AE47&gt;=INDEX('[1]Définition Maintenances'!$G:$G,MATCH($A47,'[1]Définition Maintenances'!$K:$K,0)),AE47,INDEX('[1]Définition Maintenances'!$G:$G,MATCH($A47,'[1]Définition Maintenances'!$K:$K,0))+AE47),AE47))</f>
        <v>1047</v>
      </c>
      <c r="AG47" s="26">
        <f>IF(ISNUMBER(VLOOKUP($D47,'Visu totale'!$D:$DH,AG$1,0)),AF47-VLOOKUP($D47,'Visu totale'!$D:$DH,AG$1,0),IF(LEFT(VLOOKUP($D47,'Visu totale'!$D:$DH,AG$1,0),1)="V",IF(AF47&gt;=INDEX('[1]Définition Maintenances'!$G:$G,MATCH($A47,'[1]Définition Maintenances'!$K:$K,0)),AF47,INDEX('[1]Définition Maintenances'!$G:$G,MATCH($A47,'[1]Définition Maintenances'!$K:$K,0))+AF47),AF47))</f>
        <v>1047</v>
      </c>
      <c r="AH47" s="26">
        <f>IF(ISNUMBER(VLOOKUP($D47,'Visu totale'!$D:$DH,AH$1,0)),AG47-VLOOKUP($D47,'Visu totale'!$D:$DH,AH$1,0),IF(LEFT(VLOOKUP($D47,'Visu totale'!$D:$DH,AH$1,0),1)="V",IF(AG47&gt;=INDEX('[1]Définition Maintenances'!$G:$G,MATCH($A47,'[1]Définition Maintenances'!$K:$K,0)),AG47,INDEX('[1]Définition Maintenances'!$G:$G,MATCH($A47,'[1]Définition Maintenances'!$K:$K,0))+AG47),AG47))</f>
        <v>1047</v>
      </c>
      <c r="AI47" s="26">
        <f>IF(ISNUMBER(VLOOKUP($D47,'Visu totale'!$D:$DH,AI$1,0)),AH47-VLOOKUP($D47,'Visu totale'!$D:$DH,AI$1,0),IF(LEFT(VLOOKUP($D47,'Visu totale'!$D:$DH,AI$1,0),1)="V",IF(AH47&gt;=INDEX('[1]Définition Maintenances'!$G:$G,MATCH($A47,'[1]Définition Maintenances'!$K:$K,0)),AH47,INDEX('[1]Définition Maintenances'!$G:$G,MATCH($A47,'[1]Définition Maintenances'!$K:$K,0))+AH47),AH47))</f>
        <v>1047</v>
      </c>
      <c r="AJ47" s="26">
        <f>IF(ISNUMBER(VLOOKUP($D47,'Visu totale'!$D:$DH,AJ$1,0)),AI47-VLOOKUP($D47,'Visu totale'!$D:$DH,AJ$1,0),IF(LEFT(VLOOKUP($D47,'Visu totale'!$D:$DH,AJ$1,0),1)="V",IF(AI47&gt;=INDEX('[1]Définition Maintenances'!$G:$G,MATCH($A47,'[1]Définition Maintenances'!$K:$K,0)),AI47,INDEX('[1]Définition Maintenances'!$G:$G,MATCH($A47,'[1]Définition Maintenances'!$K:$K,0))+AI47),AI47))</f>
        <v>1047</v>
      </c>
      <c r="AK47" s="26">
        <f>IF(ISNUMBER(VLOOKUP($D47,'Visu totale'!$D:$DH,AK$1,0)),AJ47-VLOOKUP($D47,'Visu totale'!$D:$DH,AK$1,0),IF(LEFT(VLOOKUP($D47,'Visu totale'!$D:$DH,AK$1,0),1)="V",IF(AJ47&gt;=INDEX('[1]Définition Maintenances'!$G:$G,MATCH($A47,'[1]Définition Maintenances'!$K:$K,0)),AJ47,INDEX('[1]Définition Maintenances'!$G:$G,MATCH($A47,'[1]Définition Maintenances'!$K:$K,0))+AJ47),AJ47))</f>
        <v>1047</v>
      </c>
      <c r="AL47" s="26">
        <f>IF(ISNUMBER(VLOOKUP($D47,'Visu totale'!$D:$DH,AL$1,0)),AK47-VLOOKUP($D47,'Visu totale'!$D:$DH,AL$1,0),IF(LEFT(VLOOKUP($D47,'Visu totale'!$D:$DH,AL$1,0),1)="V",IF(AK47&gt;=INDEX('[1]Définition Maintenances'!$G:$G,MATCH($A47,'[1]Définition Maintenances'!$K:$K,0)),AK47,INDEX('[1]Définition Maintenances'!$G:$G,MATCH($A47,'[1]Définition Maintenances'!$K:$K,0))+AK47),AK47))</f>
        <v>1047</v>
      </c>
      <c r="AM47" s="26">
        <f>IF(ISNUMBER(VLOOKUP($D47,'Visu totale'!$D:$DH,AM$1,0)),AL47-VLOOKUP($D47,'Visu totale'!$D:$DH,AM$1,0),IF(LEFT(VLOOKUP($D47,'Visu totale'!$D:$DH,AM$1,0),1)="V",IF(AL47&gt;=INDEX('[1]Définition Maintenances'!$G:$G,MATCH($A47,'[1]Définition Maintenances'!$K:$K,0)),AL47,INDEX('[1]Définition Maintenances'!$G:$G,MATCH($A47,'[1]Définition Maintenances'!$K:$K,0))+AL47),AL47))</f>
        <v>1047</v>
      </c>
      <c r="AN47" s="26">
        <f>IF(ISNUMBER(VLOOKUP($D47,'Visu totale'!$D:$DH,AN$1,0)),AM47-VLOOKUP($D47,'Visu totale'!$D:$DH,AN$1,0),IF(LEFT(VLOOKUP($D47,'Visu totale'!$D:$DH,AN$1,0),1)="V",IF(AM47&gt;=INDEX('[1]Définition Maintenances'!$G:$G,MATCH($A47,'[1]Définition Maintenances'!$K:$K,0)),AM47,INDEX('[1]Définition Maintenances'!$G:$G,MATCH($A47,'[1]Définition Maintenances'!$K:$K,0))+AM47),AM47))</f>
        <v>1047</v>
      </c>
      <c r="AO47" s="27">
        <f>IF(ISNUMBER(VLOOKUP($D47,'Visu totale'!$D:$DH,AO$1,0)),AN47-VLOOKUP($D47,'Visu totale'!$D:$DH,AO$1,0),IF(LEFT(VLOOKUP($D47,'Visu totale'!$D:$DH,AO$1,0),1)="V",IF(AN47&gt;=INDEX('[1]Définition Maintenances'!$G:$G,MATCH($A47,'[1]Définition Maintenances'!$K:$K,0)),AN47,INDEX('[1]Définition Maintenances'!$G:$G,MATCH($A47,'[1]Définition Maintenances'!$K:$K,0))+AN47),AN47))</f>
        <v>1047</v>
      </c>
      <c r="AP47" s="25">
        <f>IF(ISNUMBER(VLOOKUP($D47,'Visu totale'!$D:$DH,AP$1,0)),AO47-VLOOKUP($D47,'Visu totale'!$D:$DH,AP$1,0),IF(LEFT(VLOOKUP($D47,'Visu totale'!$D:$DH,AP$1,0),1)="V",IF(AO47&gt;=INDEX('[1]Définition Maintenances'!$G:$G,MATCH($A47,'[1]Définition Maintenances'!$K:$K,0)),AO47,INDEX('[1]Définition Maintenances'!$G:$G,MATCH($A47,'[1]Définition Maintenances'!$K:$K,0))+AO47),AO47))</f>
        <v>1047</v>
      </c>
      <c r="AQ47" s="26">
        <f>IF(ISNUMBER(VLOOKUP($D47,'Visu totale'!$D:$DH,AQ$1,0)),AP47-VLOOKUP($D47,'Visu totale'!$D:$DH,AQ$1,0),IF(LEFT(VLOOKUP($D47,'Visu totale'!$D:$DH,AQ$1,0),1)="V",IF(AP47&gt;=INDEX('[1]Définition Maintenances'!$G:$G,MATCH($A47,'[1]Définition Maintenances'!$K:$K,0)),AP47,INDEX('[1]Définition Maintenances'!$G:$G,MATCH($A47,'[1]Définition Maintenances'!$K:$K,0))+AP47),AP47))</f>
        <v>1047</v>
      </c>
      <c r="AR47" s="26">
        <f>IF(ISNUMBER(VLOOKUP($D47,'Visu totale'!$D:$DH,AR$1,0)),AQ47-VLOOKUP($D47,'Visu totale'!$D:$DH,AR$1,0),IF(LEFT(VLOOKUP($D47,'Visu totale'!$D:$DH,AR$1,0),1)="V",IF(AQ47&gt;=INDEX('[1]Définition Maintenances'!$G:$G,MATCH($A47,'[1]Définition Maintenances'!$K:$K,0)),AQ47,INDEX('[1]Définition Maintenances'!$G:$G,MATCH($A47,'[1]Définition Maintenances'!$K:$K,0))+AQ47),AQ47))</f>
        <v>1047</v>
      </c>
      <c r="AS47" s="26">
        <f>IF(ISNUMBER(VLOOKUP($D47,'Visu totale'!$D:$DH,AS$1,0)),AR47-VLOOKUP($D47,'Visu totale'!$D:$DH,AS$1,0),IF(LEFT(VLOOKUP($D47,'Visu totale'!$D:$DH,AS$1,0),1)="V",IF(AR47&gt;=INDEX('[1]Définition Maintenances'!$G:$G,MATCH($A47,'[1]Définition Maintenances'!$K:$K,0)),AR47,INDEX('[1]Définition Maintenances'!$G:$G,MATCH($A47,'[1]Définition Maintenances'!$K:$K,0))+AR47),AR47))</f>
        <v>1047</v>
      </c>
      <c r="AT47" s="26">
        <f>IF(ISNUMBER(VLOOKUP($D47,'Visu totale'!$D:$DH,AT$1,0)),AS47-VLOOKUP($D47,'Visu totale'!$D:$DH,AT$1,0),IF(LEFT(VLOOKUP($D47,'Visu totale'!$D:$DH,AT$1,0),1)="V",IF(AS47&gt;=INDEX('[1]Définition Maintenances'!$G:$G,MATCH($A47,'[1]Définition Maintenances'!$K:$K,0)),AS47,INDEX('[1]Définition Maintenances'!$G:$G,MATCH($A47,'[1]Définition Maintenances'!$K:$K,0))+AS47),AS47))</f>
        <v>1047</v>
      </c>
      <c r="AU47" s="26">
        <f>IF(ISNUMBER(VLOOKUP($D47,'Visu totale'!$D:$DH,AU$1,0)),AT47-VLOOKUP($D47,'Visu totale'!$D:$DH,AU$1,0),IF(LEFT(VLOOKUP($D47,'Visu totale'!$D:$DH,AU$1,0),1)="V",IF(AT47&gt;=INDEX('[1]Définition Maintenances'!$G:$G,MATCH($A47,'[1]Définition Maintenances'!$K:$K,0)),AT47,INDEX('[1]Définition Maintenances'!$G:$G,MATCH($A47,'[1]Définition Maintenances'!$K:$K,0))+AT47),AT47))</f>
        <v>1047</v>
      </c>
      <c r="AV47" s="26">
        <f>IF(ISNUMBER(VLOOKUP($D47,'Visu totale'!$D:$DH,AV$1,0)),AU47-VLOOKUP($D47,'Visu totale'!$D:$DH,AV$1,0),IF(LEFT(VLOOKUP($D47,'Visu totale'!$D:$DH,AV$1,0),1)="V",IF(AU47&gt;=INDEX('[1]Définition Maintenances'!$G:$G,MATCH($A47,'[1]Définition Maintenances'!$K:$K,0)),AU47,INDEX('[1]Définition Maintenances'!$G:$G,MATCH($A47,'[1]Définition Maintenances'!$K:$K,0))+AU47),AU47))</f>
        <v>1047</v>
      </c>
      <c r="AW47" s="26">
        <f>IF(ISNUMBER(VLOOKUP($D47,'Visu totale'!$D:$DH,AW$1,0)),AV47-VLOOKUP($D47,'Visu totale'!$D:$DH,AW$1,0),IF(LEFT(VLOOKUP($D47,'Visu totale'!$D:$DH,AW$1,0),1)="V",IF(AV47&gt;=INDEX('[1]Définition Maintenances'!$G:$G,MATCH($A47,'[1]Définition Maintenances'!$K:$K,0)),AV47,INDEX('[1]Définition Maintenances'!$G:$G,MATCH($A47,'[1]Définition Maintenances'!$K:$K,0))+AV47),AV47))</f>
        <v>1047</v>
      </c>
      <c r="AX47" s="26">
        <f>IF(ISNUMBER(VLOOKUP($D47,'Visu totale'!$D:$DH,AX$1,0)),AW47-VLOOKUP($D47,'Visu totale'!$D:$DH,AX$1,0),IF(LEFT(VLOOKUP($D47,'Visu totale'!$D:$DH,AX$1,0),1)="V",IF(AW47&gt;=INDEX('[1]Définition Maintenances'!$G:$G,MATCH($A47,'[1]Définition Maintenances'!$K:$K,0)),AW47,INDEX('[1]Définition Maintenances'!$G:$G,MATCH($A47,'[1]Définition Maintenances'!$K:$K,0))+AW47),AW47))</f>
        <v>1047</v>
      </c>
      <c r="AY47" s="26">
        <f>IF(ISNUMBER(VLOOKUP($D47,'Visu totale'!$D:$DH,AY$1,0)),AX47-VLOOKUP($D47,'Visu totale'!$D:$DH,AY$1,0),IF(LEFT(VLOOKUP($D47,'Visu totale'!$D:$DH,AY$1,0),1)="V",IF(AX47&gt;=INDEX('[1]Définition Maintenances'!$G:$G,MATCH($A47,'[1]Définition Maintenances'!$K:$K,0)),AX47,INDEX('[1]Définition Maintenances'!$G:$G,MATCH($A47,'[1]Définition Maintenances'!$K:$K,0))+AX47),AX47))</f>
        <v>1047</v>
      </c>
      <c r="AZ47" s="26">
        <f>IF(ISNUMBER(VLOOKUP($D47,'Visu totale'!$D:$DH,AZ$1,0)),AY47-VLOOKUP($D47,'Visu totale'!$D:$DH,AZ$1,0),IF(LEFT(VLOOKUP($D47,'Visu totale'!$D:$DH,AZ$1,0),1)="V",IF(AY47&gt;=INDEX('[1]Définition Maintenances'!$G:$G,MATCH($A47,'[1]Définition Maintenances'!$K:$K,0)),AY47,INDEX('[1]Définition Maintenances'!$G:$G,MATCH($A47,'[1]Définition Maintenances'!$K:$K,0))+AY47),AY47))</f>
        <v>1047</v>
      </c>
      <c r="BA47" s="27">
        <f>IF(ISNUMBER(VLOOKUP($D47,'Visu totale'!$D:$DH,BA$1,0)),AZ47-VLOOKUP($D47,'Visu totale'!$D:$DH,BA$1,0),IF(LEFT(VLOOKUP($D47,'Visu totale'!$D:$DH,BA$1,0),1)="V",IF(AZ47&gt;=INDEX('[1]Définition Maintenances'!$G:$G,MATCH($A47,'[1]Définition Maintenances'!$K:$K,0)),AZ47,INDEX('[1]Définition Maintenances'!$G:$G,MATCH($A47,'[1]Définition Maintenances'!$K:$K,0))+AZ47),AZ47))</f>
        <v>1047</v>
      </c>
      <c r="BB47" s="25">
        <f>IF(ISNUMBER(VLOOKUP($D47,'Visu totale'!$D:$DH,BB$1,0)),BA47-VLOOKUP($D47,'Visu totale'!$D:$DH,BB$1,0),IF(LEFT(VLOOKUP($D47,'Visu totale'!$D:$DH,BB$1,0),1)="V",IF(BA47&gt;=INDEX('[1]Définition Maintenances'!$G:$G,MATCH($A47,'[1]Définition Maintenances'!$K:$K,0)),BA47,INDEX('[1]Définition Maintenances'!$G:$G,MATCH($A47,'[1]Définition Maintenances'!$K:$K,0))+BA47),BA47))</f>
        <v>1047</v>
      </c>
      <c r="BC47" s="26">
        <f>IF(ISNUMBER(VLOOKUP($D47,'Visu totale'!$D:$DH,BC$1,0)),BB47-VLOOKUP($D47,'Visu totale'!$D:$DH,BC$1,0),IF(LEFT(VLOOKUP($D47,'Visu totale'!$D:$DH,BC$1,0),1)="V",IF(BB47&gt;=INDEX('[1]Définition Maintenances'!$G:$G,MATCH($A47,'[1]Définition Maintenances'!$K:$K,0)),BB47,INDEX('[1]Définition Maintenances'!$G:$G,MATCH($A47,'[1]Définition Maintenances'!$K:$K,0))+BB47),BB47))</f>
        <v>1047</v>
      </c>
      <c r="BD47" s="26">
        <f>IF(ISNUMBER(VLOOKUP($D47,'Visu totale'!$D:$DH,BD$1,0)),BC47-VLOOKUP($D47,'Visu totale'!$D:$DH,BD$1,0),IF(LEFT(VLOOKUP($D47,'Visu totale'!$D:$DH,BD$1,0),1)="V",IF(BC47&gt;=INDEX('[1]Définition Maintenances'!$G:$G,MATCH($A47,'[1]Définition Maintenances'!$K:$K,0)),BC47,INDEX('[1]Définition Maintenances'!$G:$G,MATCH($A47,'[1]Définition Maintenances'!$K:$K,0))+BC47),BC47))</f>
        <v>1047</v>
      </c>
      <c r="BE47" s="26">
        <f>IF(ISNUMBER(VLOOKUP($D47,'Visu totale'!$D:$DH,BE$1,0)),BD47-VLOOKUP($D47,'Visu totale'!$D:$DH,BE$1,0),IF(LEFT(VLOOKUP($D47,'Visu totale'!$D:$DH,BE$1,0),1)="V",IF(BD47&gt;=INDEX('[1]Définition Maintenances'!$G:$G,MATCH($A47,'[1]Définition Maintenances'!$K:$K,0)),BD47,INDEX('[1]Définition Maintenances'!$G:$G,MATCH($A47,'[1]Définition Maintenances'!$K:$K,0))+BD47),BD47))</f>
        <v>1047</v>
      </c>
      <c r="BF47" s="26">
        <f>IF(ISNUMBER(VLOOKUP($D47,'Visu totale'!$D:$DH,BF$1,0)),BE47-VLOOKUP($D47,'Visu totale'!$D:$DH,BF$1,0),IF(LEFT(VLOOKUP($D47,'Visu totale'!$D:$DH,BF$1,0),1)="V",IF(BE47&gt;=INDEX('[1]Définition Maintenances'!$G:$G,MATCH($A47,'[1]Définition Maintenances'!$K:$K,0)),BE47,INDEX('[1]Définition Maintenances'!$G:$G,MATCH($A47,'[1]Définition Maintenances'!$K:$K,0))+BE47),BE47))</f>
        <v>1047</v>
      </c>
      <c r="BG47" s="26">
        <f>IF(ISNUMBER(VLOOKUP($D47,'Visu totale'!$D:$DH,BG$1,0)),BF47-VLOOKUP($D47,'Visu totale'!$D:$DH,BG$1,0),IF(LEFT(VLOOKUP($D47,'Visu totale'!$D:$DH,BG$1,0),1)="V",IF(BF47&gt;=INDEX('[1]Définition Maintenances'!$G:$G,MATCH($A47,'[1]Définition Maintenances'!$K:$K,0)),BF47,INDEX('[1]Définition Maintenances'!$G:$G,MATCH($A47,'[1]Définition Maintenances'!$K:$K,0))+BF47),BF47))</f>
        <v>1047</v>
      </c>
      <c r="BH47" s="26">
        <f>IF(ISNUMBER(VLOOKUP($D47,'Visu totale'!$D:$DH,BH$1,0)),BG47-VLOOKUP($D47,'Visu totale'!$D:$DH,BH$1,0),IF(LEFT(VLOOKUP($D47,'Visu totale'!$D:$DH,BH$1,0),1)="V",IF(BG47&gt;=INDEX('[1]Définition Maintenances'!$G:$G,MATCH($A47,'[1]Définition Maintenances'!$K:$K,0)),BG47,INDEX('[1]Définition Maintenances'!$G:$G,MATCH($A47,'[1]Définition Maintenances'!$K:$K,0))+BG47),BG47))</f>
        <v>1047</v>
      </c>
      <c r="BI47" s="26">
        <f>IF(ISNUMBER(VLOOKUP($D47,'Visu totale'!$D:$DH,BI$1,0)),BH47-VLOOKUP($D47,'Visu totale'!$D:$DH,BI$1,0),IF(LEFT(VLOOKUP($D47,'Visu totale'!$D:$DH,BI$1,0),1)="V",IF(BH47&gt;=INDEX('[1]Définition Maintenances'!$G:$G,MATCH($A47,'[1]Définition Maintenances'!$K:$K,0)),BH47,INDEX('[1]Définition Maintenances'!$G:$G,MATCH($A47,'[1]Définition Maintenances'!$K:$K,0))+BH47),BH47))</f>
        <v>1047</v>
      </c>
      <c r="BJ47" s="26">
        <f>IF(ISNUMBER(VLOOKUP($D47,'Visu totale'!$D:$DH,BJ$1,0)),BI47-VLOOKUP($D47,'Visu totale'!$D:$DH,BJ$1,0),IF(LEFT(VLOOKUP($D47,'Visu totale'!$D:$DH,BJ$1,0),1)="V",IF(BI47&gt;=INDEX('[1]Définition Maintenances'!$G:$G,MATCH($A47,'[1]Définition Maintenances'!$K:$K,0)),BI47,INDEX('[1]Définition Maintenances'!$G:$G,MATCH($A47,'[1]Définition Maintenances'!$K:$K,0))+BI47),BI47))</f>
        <v>1047</v>
      </c>
      <c r="BK47" s="26">
        <f>IF(ISNUMBER(VLOOKUP($D47,'Visu totale'!$D:$DH,BK$1,0)),BJ47-VLOOKUP($D47,'Visu totale'!$D:$DH,BK$1,0),IF(LEFT(VLOOKUP($D47,'Visu totale'!$D:$DH,BK$1,0),1)="V",IF(BJ47&gt;=INDEX('[1]Définition Maintenances'!$G:$G,MATCH($A47,'[1]Définition Maintenances'!$K:$K,0)),BJ47,INDEX('[1]Définition Maintenances'!$G:$G,MATCH($A47,'[1]Définition Maintenances'!$K:$K,0))+BJ47),BJ47))</f>
        <v>1047</v>
      </c>
      <c r="BL47" s="26">
        <f>IF(ISNUMBER(VLOOKUP($D47,'Visu totale'!$D:$DH,BL$1,0)),BK47-VLOOKUP($D47,'Visu totale'!$D:$DH,BL$1,0),IF(LEFT(VLOOKUP($D47,'Visu totale'!$D:$DH,BL$1,0),1)="V",IF(BK47&gt;=INDEX('[1]Définition Maintenances'!$G:$G,MATCH($A47,'[1]Définition Maintenances'!$K:$K,0)),BK47,INDEX('[1]Définition Maintenances'!$G:$G,MATCH($A47,'[1]Définition Maintenances'!$K:$K,0))+BK47),BK47))</f>
        <v>1047</v>
      </c>
      <c r="BM47" s="27">
        <f>IF(ISNUMBER(VLOOKUP($D47,'Visu totale'!$D:$DH,BM$1,0)),BL47-VLOOKUP($D47,'Visu totale'!$D:$DH,BM$1,0),IF(LEFT(VLOOKUP($D47,'Visu totale'!$D:$DH,BM$1,0),1)="V",IF(BL47&gt;=INDEX('[1]Définition Maintenances'!$G:$G,MATCH($A47,'[1]Définition Maintenances'!$K:$K,0)),BL47,INDEX('[1]Définition Maintenances'!$G:$G,MATCH($A47,'[1]Définition Maintenances'!$K:$K,0))+BL47),BL47))</f>
        <v>1047</v>
      </c>
      <c r="BN47" s="25">
        <f>IF(ISNUMBER(VLOOKUP($D47,'Visu totale'!$D:$DH,BN$1,0)),BM47-VLOOKUP($D47,'Visu totale'!$D:$DH,BN$1,0),IF(LEFT(VLOOKUP($D47,'Visu totale'!$D:$DH,BN$1,0),1)="V",IF(BM47&gt;=INDEX('[1]Définition Maintenances'!$G:$G,MATCH($A47,'[1]Définition Maintenances'!$K:$K,0)),BM47,INDEX('[1]Définition Maintenances'!$G:$G,MATCH($A47,'[1]Définition Maintenances'!$K:$K,0))+BM47),BM47))</f>
        <v>1047</v>
      </c>
      <c r="BO47" s="26">
        <f>IF(ISNUMBER(VLOOKUP($D47,'Visu totale'!$D:$DH,BO$1,0)),BN47-VLOOKUP($D47,'Visu totale'!$D:$DH,BO$1,0),IF(LEFT(VLOOKUP($D47,'Visu totale'!$D:$DH,BO$1,0),1)="V",IF(BN47&gt;=INDEX('[1]Définition Maintenances'!$G:$G,MATCH($A47,'[1]Définition Maintenances'!$K:$K,0)),BN47,INDEX('[1]Définition Maintenances'!$G:$G,MATCH($A47,'[1]Définition Maintenances'!$K:$K,0))+BN47),BN47))</f>
        <v>1047</v>
      </c>
      <c r="BP47" s="26">
        <f>IF(ISNUMBER(VLOOKUP($D47,'Visu totale'!$D:$DH,BP$1,0)),BO47-VLOOKUP($D47,'Visu totale'!$D:$DH,BP$1,0),IF(LEFT(VLOOKUP($D47,'Visu totale'!$D:$DH,BP$1,0),1)="V",IF(BO47&gt;=INDEX('[1]Définition Maintenances'!$G:$G,MATCH($A47,'[1]Définition Maintenances'!$K:$K,0)),BO47,INDEX('[1]Définition Maintenances'!$G:$G,MATCH($A47,'[1]Définition Maintenances'!$K:$K,0))+BO47),BO47))</f>
        <v>1047</v>
      </c>
      <c r="BQ47" s="26">
        <f>IF(ISNUMBER(VLOOKUP($D47,'Visu totale'!$D:$DH,BQ$1,0)),BP47-VLOOKUP($D47,'Visu totale'!$D:$DH,BQ$1,0),IF(LEFT(VLOOKUP($D47,'Visu totale'!$D:$DH,BQ$1,0),1)="V",IF(BP47&gt;=INDEX('[1]Définition Maintenances'!$G:$G,MATCH($A47,'[1]Définition Maintenances'!$K:$K,0)),BP47,INDEX('[1]Définition Maintenances'!$G:$G,MATCH($A47,'[1]Définition Maintenances'!$K:$K,0))+BP47),BP47))</f>
        <v>1047</v>
      </c>
      <c r="BR47" s="26">
        <f>IF(ISNUMBER(VLOOKUP($D47,'Visu totale'!$D:$DH,BR$1,0)),BQ47-VLOOKUP($D47,'Visu totale'!$D:$DH,BR$1,0),IF(LEFT(VLOOKUP($D47,'Visu totale'!$D:$DH,BR$1,0),1)="V",IF(BQ47&gt;=INDEX('[1]Définition Maintenances'!$G:$G,MATCH($A47,'[1]Définition Maintenances'!$K:$K,0)),BQ47,INDEX('[1]Définition Maintenances'!$G:$G,MATCH($A47,'[1]Définition Maintenances'!$K:$K,0))+BQ47),BQ47))</f>
        <v>1047</v>
      </c>
      <c r="BS47" s="26">
        <f>IF(ISNUMBER(VLOOKUP($D47,'Visu totale'!$D:$DH,BS$1,0)),BR47-VLOOKUP($D47,'Visu totale'!$D:$DH,BS$1,0),IF(LEFT(VLOOKUP($D47,'Visu totale'!$D:$DH,BS$1,0),1)="V",IF(BR47&gt;=INDEX('[1]Définition Maintenances'!$G:$G,MATCH($A47,'[1]Définition Maintenances'!$K:$K,0)),BR47,INDEX('[1]Définition Maintenances'!$G:$G,MATCH($A47,'[1]Définition Maintenances'!$K:$K,0))+BR47),BR47))</f>
        <v>1047</v>
      </c>
      <c r="BT47" s="26">
        <f>IF(ISNUMBER(VLOOKUP($D47,'Visu totale'!$D:$DH,BT$1,0)),BS47-VLOOKUP($D47,'Visu totale'!$D:$DH,BT$1,0),IF(LEFT(VLOOKUP($D47,'Visu totale'!$D:$DH,BT$1,0),1)="V",IF(BS47&gt;=INDEX('[1]Définition Maintenances'!$G:$G,MATCH($A47,'[1]Définition Maintenances'!$K:$K,0)),BS47,INDEX('[1]Définition Maintenances'!$G:$G,MATCH($A47,'[1]Définition Maintenances'!$K:$K,0))+BS47),BS47))</f>
        <v>1047</v>
      </c>
      <c r="BU47" s="26">
        <f>IF(ISNUMBER(VLOOKUP($D47,'Visu totale'!$D:$DH,BU$1,0)),BT47-VLOOKUP($D47,'Visu totale'!$D:$DH,BU$1,0),IF(LEFT(VLOOKUP($D47,'Visu totale'!$D:$DH,BU$1,0),1)="V",IF(BT47&gt;=INDEX('[1]Définition Maintenances'!$G:$G,MATCH($A47,'[1]Définition Maintenances'!$K:$K,0)),BT47,INDEX('[1]Définition Maintenances'!$G:$G,MATCH($A47,'[1]Définition Maintenances'!$K:$K,0))+BT47),BT47))</f>
        <v>1047</v>
      </c>
      <c r="BV47" s="26">
        <f>IF(ISNUMBER(VLOOKUP($D47,'Visu totale'!$D:$DH,BV$1,0)),BU47-VLOOKUP($D47,'Visu totale'!$D:$DH,BV$1,0),IF(LEFT(VLOOKUP($D47,'Visu totale'!$D:$DH,BV$1,0),1)="V",IF(BU47&gt;=INDEX('[1]Définition Maintenances'!$G:$G,MATCH($A47,'[1]Définition Maintenances'!$K:$K,0)),BU47,INDEX('[1]Définition Maintenances'!$G:$G,MATCH($A47,'[1]Définition Maintenances'!$K:$K,0))+BU47),BU47))</f>
        <v>1047</v>
      </c>
      <c r="BW47" s="26">
        <f>IF(ISNUMBER(VLOOKUP($D47,'Visu totale'!$D:$DH,BW$1,0)),BV47-VLOOKUP($D47,'Visu totale'!$D:$DH,BW$1,0),IF(LEFT(VLOOKUP($D47,'Visu totale'!$D:$DH,BW$1,0),1)="V",IF(BV47&gt;=INDEX('[1]Définition Maintenances'!$G:$G,MATCH($A47,'[1]Définition Maintenances'!$K:$K,0)),BV47,INDEX('[1]Définition Maintenances'!$G:$G,MATCH($A47,'[1]Définition Maintenances'!$K:$K,0))+BV47),BV47))</f>
        <v>1047</v>
      </c>
      <c r="BX47" s="26">
        <f>IF(ISNUMBER(VLOOKUP($D47,'Visu totale'!$D:$DH,BX$1,0)),BW47-VLOOKUP($D47,'Visu totale'!$D:$DH,BX$1,0),IF(LEFT(VLOOKUP($D47,'Visu totale'!$D:$DH,BX$1,0),1)="V",IF(BW47&gt;=INDEX('[1]Définition Maintenances'!$G:$G,MATCH($A47,'[1]Définition Maintenances'!$K:$K,0)),BW47,INDEX('[1]Définition Maintenances'!$G:$G,MATCH($A47,'[1]Définition Maintenances'!$K:$K,0))+BW47),BW47))</f>
        <v>1047</v>
      </c>
      <c r="BY47" s="27">
        <f>IF(ISNUMBER(VLOOKUP($D47,'Visu totale'!$D:$DH,BY$1,0)),BX47-VLOOKUP($D47,'Visu totale'!$D:$DH,BY$1,0),IF(LEFT(VLOOKUP($D47,'Visu totale'!$D:$DH,BY$1,0),1)="V",IF(BX47&gt;=INDEX('[1]Définition Maintenances'!$G:$G,MATCH($A47,'[1]Définition Maintenances'!$K:$K,0)),BX47,INDEX('[1]Définition Maintenances'!$G:$G,MATCH($A47,'[1]Définition Maintenances'!$K:$K,0))+BX47),BX47))</f>
        <v>1047</v>
      </c>
      <c r="BZ47" s="25">
        <f>IF(ISNUMBER(VLOOKUP($D47,'Visu totale'!$D:$DH,BZ$1,0)),BY47-VLOOKUP($D47,'Visu totale'!$D:$DH,BZ$1,0),IF(LEFT(VLOOKUP($D47,'Visu totale'!$D:$DH,BZ$1,0),1)="V",IF(BY47&gt;=INDEX('[1]Définition Maintenances'!$G:$G,MATCH($A47,'[1]Définition Maintenances'!$K:$K,0)),BY47,INDEX('[1]Définition Maintenances'!$G:$G,MATCH($A47,'[1]Définition Maintenances'!$K:$K,0))+BY47),BY47))</f>
        <v>1047</v>
      </c>
      <c r="CA47" s="26">
        <f>IF(ISNUMBER(VLOOKUP($D47,'Visu totale'!$D:$DH,CA$1,0)),BZ47-VLOOKUP($D47,'Visu totale'!$D:$DH,CA$1,0),IF(LEFT(VLOOKUP($D47,'Visu totale'!$D:$DH,CA$1,0),1)="V",IF(BZ47&gt;=INDEX('[1]Définition Maintenances'!$G:$G,MATCH($A47,'[1]Définition Maintenances'!$K:$K,0)),BZ47,INDEX('[1]Définition Maintenances'!$G:$G,MATCH($A47,'[1]Définition Maintenances'!$K:$K,0))+BZ47),BZ47))</f>
        <v>1047</v>
      </c>
      <c r="CB47" s="26">
        <f>IF(ISNUMBER(VLOOKUP($D47,'Visu totale'!$D:$DH,CB$1,0)),CA47-VLOOKUP($D47,'Visu totale'!$D:$DH,CB$1,0),IF(LEFT(VLOOKUP($D47,'Visu totale'!$D:$DH,CB$1,0),1)="V",IF(CA47&gt;=INDEX('[1]Définition Maintenances'!$G:$G,MATCH($A47,'[1]Définition Maintenances'!$K:$K,0)),CA47,INDEX('[1]Définition Maintenances'!$G:$G,MATCH($A47,'[1]Définition Maintenances'!$K:$K,0))+CA47),CA47))</f>
        <v>1047</v>
      </c>
      <c r="CC47" s="26">
        <f>IF(ISNUMBER(VLOOKUP($D47,'Visu totale'!$D:$DH,CC$1,0)),CB47-VLOOKUP($D47,'Visu totale'!$D:$DH,CC$1,0),IF(LEFT(VLOOKUP($D47,'Visu totale'!$D:$DH,CC$1,0),1)="V",IF(CB47&gt;=INDEX('[1]Définition Maintenances'!$G:$G,MATCH($A47,'[1]Définition Maintenances'!$K:$K,0)),CB47,INDEX('[1]Définition Maintenances'!$G:$G,MATCH($A47,'[1]Définition Maintenances'!$K:$K,0))+CB47),CB47))</f>
        <v>1047</v>
      </c>
      <c r="CD47" s="26">
        <f>IF(ISNUMBER(VLOOKUP($D47,'Visu totale'!$D:$DH,CD$1,0)),CC47-VLOOKUP($D47,'Visu totale'!$D:$DH,CD$1,0),IF(LEFT(VLOOKUP($D47,'Visu totale'!$D:$DH,CD$1,0),1)="V",IF(CC47&gt;=INDEX('[1]Définition Maintenances'!$G:$G,MATCH($A47,'[1]Définition Maintenances'!$K:$K,0)),CC47,INDEX('[1]Définition Maintenances'!$G:$G,MATCH($A47,'[1]Définition Maintenances'!$K:$K,0))+CC47),CC47))</f>
        <v>1047</v>
      </c>
      <c r="CE47" s="26">
        <f>IF(ISNUMBER(VLOOKUP($D47,'Visu totale'!$D:$DH,CE$1,0)),CD47-VLOOKUP($D47,'Visu totale'!$D:$DH,CE$1,0),IF(LEFT(VLOOKUP($D47,'Visu totale'!$D:$DH,CE$1,0),1)="V",IF(CD47&gt;=INDEX('[1]Définition Maintenances'!$G:$G,MATCH($A47,'[1]Définition Maintenances'!$K:$K,0)),CD47,INDEX('[1]Définition Maintenances'!$G:$G,MATCH($A47,'[1]Définition Maintenances'!$K:$K,0))+CD47),CD47))</f>
        <v>1047</v>
      </c>
      <c r="CF47" s="26">
        <f>IF(ISNUMBER(VLOOKUP($D47,'Visu totale'!$D:$DH,CF$1,0)),CE47-VLOOKUP($D47,'Visu totale'!$D:$DH,CF$1,0),IF(LEFT(VLOOKUP($D47,'Visu totale'!$D:$DH,CF$1,0),1)="V",IF(CE47&gt;=INDEX('[1]Définition Maintenances'!$G:$G,MATCH($A47,'[1]Définition Maintenances'!$K:$K,0)),CE47,INDEX('[1]Définition Maintenances'!$G:$G,MATCH($A47,'[1]Définition Maintenances'!$K:$K,0))+CE47),CE47))</f>
        <v>1047</v>
      </c>
      <c r="CG47" s="26">
        <f>IF(ISNUMBER(VLOOKUP($D47,'Visu totale'!$D:$DH,CG$1,0)),CF47-VLOOKUP($D47,'Visu totale'!$D:$DH,CG$1,0),IF(LEFT(VLOOKUP($D47,'Visu totale'!$D:$DH,CG$1,0),1)="V",IF(CF47&gt;=INDEX('[1]Définition Maintenances'!$G:$G,MATCH($A47,'[1]Définition Maintenances'!$K:$K,0)),CF47,INDEX('[1]Définition Maintenances'!$G:$G,MATCH($A47,'[1]Définition Maintenances'!$K:$K,0))+CF47),CF47))</f>
        <v>1047</v>
      </c>
      <c r="CH47" s="26">
        <f>IF(ISNUMBER(VLOOKUP($D47,'Visu totale'!$D:$DH,CH$1,0)),CG47-VLOOKUP($D47,'Visu totale'!$D:$DH,CH$1,0),IF(LEFT(VLOOKUP($D47,'Visu totale'!$D:$DH,CH$1,0),1)="V",IF(CG47&gt;=INDEX('[1]Définition Maintenances'!$G:$G,MATCH($A47,'[1]Définition Maintenances'!$K:$K,0)),CG47,INDEX('[1]Définition Maintenances'!$G:$G,MATCH($A47,'[1]Définition Maintenances'!$K:$K,0))+CG47),CG47))</f>
        <v>1047</v>
      </c>
      <c r="CI47" s="26">
        <f>IF(ISNUMBER(VLOOKUP($D47,'Visu totale'!$D:$DH,CI$1,0)),CH47-VLOOKUP($D47,'Visu totale'!$D:$DH,CI$1,0),IF(LEFT(VLOOKUP($D47,'Visu totale'!$D:$DH,CI$1,0),1)="V",IF(CH47&gt;=INDEX('[1]Définition Maintenances'!$G:$G,MATCH($A47,'[1]Définition Maintenances'!$K:$K,0)),CH47,INDEX('[1]Définition Maintenances'!$G:$G,MATCH($A47,'[1]Définition Maintenances'!$K:$K,0))+CH47),CH47))</f>
        <v>1047</v>
      </c>
      <c r="CJ47" s="26">
        <f>IF(ISNUMBER(VLOOKUP($D47,'Visu totale'!$D:$DH,CJ$1,0)),CI47-VLOOKUP($D47,'Visu totale'!$D:$DH,CJ$1,0),IF(LEFT(VLOOKUP($D47,'Visu totale'!$D:$DH,CJ$1,0),1)="V",IF(CI47&gt;=INDEX('[1]Définition Maintenances'!$G:$G,MATCH($A47,'[1]Définition Maintenances'!$K:$K,0)),CI47,INDEX('[1]Définition Maintenances'!$G:$G,MATCH($A47,'[1]Définition Maintenances'!$K:$K,0))+CI47),CI47))</f>
        <v>1047</v>
      </c>
      <c r="CK47" s="27">
        <f>IF(ISNUMBER(VLOOKUP($D47,'Visu totale'!$D:$DH,CK$1,0)),CJ47-VLOOKUP($D47,'Visu totale'!$D:$DH,CK$1,0),IF(LEFT(VLOOKUP($D47,'Visu totale'!$D:$DH,CK$1,0),1)="V",IF(CJ47&gt;=INDEX('[1]Définition Maintenances'!$G:$G,MATCH($A47,'[1]Définition Maintenances'!$K:$K,0)),CJ47,INDEX('[1]Définition Maintenances'!$G:$G,MATCH($A47,'[1]Définition Maintenances'!$K:$K,0))+CJ47),CJ47))</f>
        <v>1047</v>
      </c>
      <c r="CL47" s="25">
        <f>IF(ISNUMBER(VLOOKUP($D47,'Visu totale'!$D:$DH,CL$1,0)),CK47-VLOOKUP($D47,'Visu totale'!$D:$DH,CL$1,0),IF(LEFT(VLOOKUP($D47,'Visu totale'!$D:$DH,CL$1,0),1)="V",IF(CK47&gt;=INDEX('[1]Définition Maintenances'!$G:$G,MATCH($A47,'[1]Définition Maintenances'!$K:$K,0)),CK47,INDEX('[1]Définition Maintenances'!$G:$G,MATCH($A47,'[1]Définition Maintenances'!$K:$K,0))+CK47),CK47))</f>
        <v>1047</v>
      </c>
      <c r="CM47" s="26">
        <f>IF(ISNUMBER(VLOOKUP($D47,'Visu totale'!$D:$DH,CM$1,0)),CL47-VLOOKUP($D47,'Visu totale'!$D:$DH,CM$1,0),IF(LEFT(VLOOKUP($D47,'Visu totale'!$D:$DH,CM$1,0),1)="V",IF(CL47&gt;=INDEX('[1]Définition Maintenances'!$G:$G,MATCH($A47,'[1]Définition Maintenances'!$K:$K,0)),CL47,INDEX('[1]Définition Maintenances'!$G:$G,MATCH($A47,'[1]Définition Maintenances'!$K:$K,0))+CL47),CL47))</f>
        <v>1047</v>
      </c>
      <c r="CN47" s="26">
        <f>IF(ISNUMBER(VLOOKUP($D47,'Visu totale'!$D:$DH,CN$1,0)),CM47-VLOOKUP($D47,'Visu totale'!$D:$DH,CN$1,0),IF(LEFT(VLOOKUP($D47,'Visu totale'!$D:$DH,CN$1,0),1)="V",IF(CM47&gt;=INDEX('[1]Définition Maintenances'!$G:$G,MATCH($A47,'[1]Définition Maintenances'!$K:$K,0)),CM47,INDEX('[1]Définition Maintenances'!$G:$G,MATCH($A47,'[1]Définition Maintenances'!$K:$K,0))+CM47),CM47))</f>
        <v>1047</v>
      </c>
      <c r="CO47" s="26">
        <f>IF(ISNUMBER(VLOOKUP($D47,'Visu totale'!$D:$DH,CO$1,0)),CN47-VLOOKUP($D47,'Visu totale'!$D:$DH,CO$1,0),IF(LEFT(VLOOKUP($D47,'Visu totale'!$D:$DH,CO$1,0),1)="V",IF(CN47&gt;=INDEX('[1]Définition Maintenances'!$G:$G,MATCH($A47,'[1]Définition Maintenances'!$K:$K,0)),CN47,INDEX('[1]Définition Maintenances'!$G:$G,MATCH($A47,'[1]Définition Maintenances'!$K:$K,0))+CN47),CN47))</f>
        <v>1047</v>
      </c>
      <c r="CP47" s="26">
        <f>IF(ISNUMBER(VLOOKUP($D47,'Visu totale'!$D:$DH,CP$1,0)),CO47-VLOOKUP($D47,'Visu totale'!$D:$DH,CP$1,0),IF(LEFT(VLOOKUP($D47,'Visu totale'!$D:$DH,CP$1,0),1)="V",IF(CO47&gt;=INDEX('[1]Définition Maintenances'!$G:$G,MATCH($A47,'[1]Définition Maintenances'!$K:$K,0)),CO47,INDEX('[1]Définition Maintenances'!$G:$G,MATCH($A47,'[1]Définition Maintenances'!$K:$K,0))+CO47),CO47))</f>
        <v>1047</v>
      </c>
      <c r="CQ47" s="26">
        <f>IF(ISNUMBER(VLOOKUP($D47,'Visu totale'!$D:$DH,CQ$1,0)),CP47-VLOOKUP($D47,'Visu totale'!$D:$DH,CQ$1,0),IF(LEFT(VLOOKUP($D47,'Visu totale'!$D:$DH,CQ$1,0),1)="V",IF(CP47&gt;=INDEX('[1]Définition Maintenances'!$G:$G,MATCH($A47,'[1]Définition Maintenances'!$K:$K,0)),CP47,INDEX('[1]Définition Maintenances'!$G:$G,MATCH($A47,'[1]Définition Maintenances'!$K:$K,0))+CP47),CP47))</f>
        <v>1047</v>
      </c>
      <c r="CR47" s="26">
        <f>IF(ISNUMBER(VLOOKUP($D47,'Visu totale'!$D:$DH,CR$1,0)),CQ47-VLOOKUP($D47,'Visu totale'!$D:$DH,CR$1,0),IF(LEFT(VLOOKUP($D47,'Visu totale'!$D:$DH,CR$1,0),1)="V",IF(CQ47&gt;=INDEX('[1]Définition Maintenances'!$G:$G,MATCH($A47,'[1]Définition Maintenances'!$K:$K,0)),CQ47,INDEX('[1]Définition Maintenances'!$G:$G,MATCH($A47,'[1]Définition Maintenances'!$K:$K,0))+CQ47),CQ47))</f>
        <v>1047</v>
      </c>
      <c r="CS47" s="26">
        <f>IF(ISNUMBER(VLOOKUP($D47,'Visu totale'!$D:$DH,CS$1,0)),CR47-VLOOKUP($D47,'Visu totale'!$D:$DH,CS$1,0),IF(LEFT(VLOOKUP($D47,'Visu totale'!$D:$DH,CS$1,0),1)="V",IF(CR47&gt;=INDEX('[1]Définition Maintenances'!$G:$G,MATCH($A47,'[1]Définition Maintenances'!$K:$K,0)),CR47,INDEX('[1]Définition Maintenances'!$G:$G,MATCH($A47,'[1]Définition Maintenances'!$K:$K,0))+CR47),CR47))</f>
        <v>1047</v>
      </c>
      <c r="CT47" s="26">
        <f>IF(ISNUMBER(VLOOKUP($D47,'Visu totale'!$D:$DH,CT$1,0)),CS47-VLOOKUP($D47,'Visu totale'!$D:$DH,CT$1,0),IF(LEFT(VLOOKUP($D47,'Visu totale'!$D:$DH,CT$1,0),1)="V",IF(CS47&gt;=INDEX('[1]Définition Maintenances'!$G:$G,MATCH($A47,'[1]Définition Maintenances'!$K:$K,0)),CS47,INDEX('[1]Définition Maintenances'!$G:$G,MATCH($A47,'[1]Définition Maintenances'!$K:$K,0))+CS47),CS47))</f>
        <v>1047</v>
      </c>
      <c r="CU47" s="26">
        <f>IF(ISNUMBER(VLOOKUP($D47,'Visu totale'!$D:$DH,CU$1,0)),CT47-VLOOKUP($D47,'Visu totale'!$D:$DH,CU$1,0),IF(LEFT(VLOOKUP($D47,'Visu totale'!$D:$DH,CU$1,0),1)="V",IF(CT47&gt;=INDEX('[1]Définition Maintenances'!$G:$G,MATCH($A47,'[1]Définition Maintenances'!$K:$K,0)),CT47,INDEX('[1]Définition Maintenances'!$G:$G,MATCH($A47,'[1]Définition Maintenances'!$K:$K,0))+CT47),CT47))</f>
        <v>1047</v>
      </c>
      <c r="CV47" s="26">
        <f>IF(ISNUMBER(VLOOKUP($D47,'Visu totale'!$D:$DH,CV$1,0)),CU47-VLOOKUP($D47,'Visu totale'!$D:$DH,CV$1,0),IF(LEFT(VLOOKUP($D47,'Visu totale'!$D:$DH,CV$1,0),1)="V",IF(CU47&gt;=INDEX('[1]Définition Maintenances'!$G:$G,MATCH($A47,'[1]Définition Maintenances'!$K:$K,0)),CU47,INDEX('[1]Définition Maintenances'!$G:$G,MATCH($A47,'[1]Définition Maintenances'!$K:$K,0))+CU47),CU47))</f>
        <v>1047</v>
      </c>
      <c r="CW47" s="27">
        <f>IF(ISNUMBER(VLOOKUP($D47,'Visu totale'!$D:$DH,CW$1,0)),CV47-VLOOKUP($D47,'Visu totale'!$D:$DH,CW$1,0),IF(LEFT(VLOOKUP($D47,'Visu totale'!$D:$DH,CW$1,0),1)="V",IF(CV47&gt;=INDEX('[1]Définition Maintenances'!$G:$G,MATCH($A47,'[1]Définition Maintenances'!$K:$K,0)),CV47,INDEX('[1]Définition Maintenances'!$G:$G,MATCH($A47,'[1]Définition Maintenances'!$K:$K,0))+CV47),CV47))</f>
        <v>1047</v>
      </c>
      <c r="CX47" s="25">
        <f>IF(ISNUMBER(VLOOKUP($D47,'Visu totale'!$D:$DH,CX$1,0)),CW47-VLOOKUP($D47,'Visu totale'!$D:$DH,CX$1,0),IF(LEFT(VLOOKUP($D47,'Visu totale'!$D:$DH,CX$1,0),1)="V",IF(CW47&gt;=INDEX('[1]Définition Maintenances'!$G:$G,MATCH($A47,'[1]Définition Maintenances'!$K:$K,0)),CW47,INDEX('[1]Définition Maintenances'!$G:$G,MATCH($A47,'[1]Définition Maintenances'!$K:$K,0))+CW47),CW47))</f>
        <v>1047</v>
      </c>
      <c r="CY47" s="26">
        <f>IF(ISNUMBER(VLOOKUP($D47,'Visu totale'!$D:$DH,CY$1,0)),CX47-VLOOKUP($D47,'Visu totale'!$D:$DH,CY$1,0),IF(LEFT(VLOOKUP($D47,'Visu totale'!$D:$DH,CY$1,0),1)="V",IF(CX47&gt;=INDEX('[1]Définition Maintenances'!$G:$G,MATCH($A47,'[1]Définition Maintenances'!$K:$K,0)),CX47,INDEX('[1]Définition Maintenances'!$G:$G,MATCH($A47,'[1]Définition Maintenances'!$K:$K,0))+CX47),CX47))</f>
        <v>1047</v>
      </c>
      <c r="CZ47" s="26">
        <f>IF(ISNUMBER(VLOOKUP($D47,'Visu totale'!$D:$DH,CZ$1,0)),CY47-VLOOKUP($D47,'Visu totale'!$D:$DH,CZ$1,0),IF(LEFT(VLOOKUP($D47,'Visu totale'!$D:$DH,CZ$1,0),1)="V",IF(CY47&gt;=INDEX('[1]Définition Maintenances'!$G:$G,MATCH($A47,'[1]Définition Maintenances'!$K:$K,0)),CY47,INDEX('[1]Définition Maintenances'!$G:$G,MATCH($A47,'[1]Définition Maintenances'!$K:$K,0))+CY47),CY47))</f>
        <v>1047</v>
      </c>
      <c r="DA47" s="26">
        <f>IF(ISNUMBER(VLOOKUP($D47,'Visu totale'!$D:$DH,DA$1,0)),CZ47-VLOOKUP($D47,'Visu totale'!$D:$DH,DA$1,0),IF(LEFT(VLOOKUP($D47,'Visu totale'!$D:$DH,DA$1,0),1)="V",IF(CZ47&gt;=INDEX('[1]Définition Maintenances'!$G:$G,MATCH($A47,'[1]Définition Maintenances'!$K:$K,0)),CZ47,INDEX('[1]Définition Maintenances'!$G:$G,MATCH($A47,'[1]Définition Maintenances'!$K:$K,0))+CZ47),CZ47))</f>
        <v>1047</v>
      </c>
      <c r="DB47" s="26">
        <f>IF(ISNUMBER(VLOOKUP($D47,'Visu totale'!$D:$DH,DB$1,0)),DA47-VLOOKUP($D47,'Visu totale'!$D:$DH,DB$1,0),IF(LEFT(VLOOKUP($D47,'Visu totale'!$D:$DH,DB$1,0),1)="V",IF(DA47&gt;=INDEX('[1]Définition Maintenances'!$G:$G,MATCH($A47,'[1]Définition Maintenances'!$K:$K,0)),DA47,INDEX('[1]Définition Maintenances'!$G:$G,MATCH($A47,'[1]Définition Maintenances'!$K:$K,0))+DA47),DA47))</f>
        <v>1047</v>
      </c>
      <c r="DC47" s="26">
        <f>IF(ISNUMBER(VLOOKUP($D47,'Visu totale'!$D:$DH,DC$1,0)),DB47-VLOOKUP($D47,'Visu totale'!$D:$DH,DC$1,0),IF(LEFT(VLOOKUP($D47,'Visu totale'!$D:$DH,DC$1,0),1)="V",IF(DB47&gt;=INDEX('[1]Définition Maintenances'!$G:$G,MATCH($A47,'[1]Définition Maintenances'!$K:$K,0)),DB47,INDEX('[1]Définition Maintenances'!$G:$G,MATCH($A47,'[1]Définition Maintenances'!$K:$K,0))+DB47),DB47))</f>
        <v>1047</v>
      </c>
      <c r="DD47" s="26">
        <f>IF(ISNUMBER(VLOOKUP($D47,'Visu totale'!$D:$DH,DD$1,0)),DC47-VLOOKUP($D47,'Visu totale'!$D:$DH,DD$1,0),IF(LEFT(VLOOKUP($D47,'Visu totale'!$D:$DH,DD$1,0),1)="V",IF(DC47&gt;=INDEX('[1]Définition Maintenances'!$G:$G,MATCH($A47,'[1]Définition Maintenances'!$K:$K,0)),DC47,INDEX('[1]Définition Maintenances'!$G:$G,MATCH($A47,'[1]Définition Maintenances'!$K:$K,0))+DC47),DC47))</f>
        <v>1047</v>
      </c>
      <c r="DE47" s="26">
        <f>IF(ISNUMBER(VLOOKUP($D47,'Visu totale'!$D:$DH,DE$1,0)),DD47-VLOOKUP($D47,'Visu totale'!$D:$DH,DE$1,0),IF(LEFT(VLOOKUP($D47,'Visu totale'!$D:$DH,DE$1,0),1)="V",IF(DD47&gt;=INDEX('[1]Définition Maintenances'!$G:$G,MATCH($A47,'[1]Définition Maintenances'!$K:$K,0)),DD47,INDEX('[1]Définition Maintenances'!$G:$G,MATCH($A47,'[1]Définition Maintenances'!$K:$K,0))+DD47),DD47))</f>
        <v>1047</v>
      </c>
      <c r="DF47" s="26">
        <f>IF(ISNUMBER(VLOOKUP($D47,'Visu totale'!$D:$DH,DF$1,0)),DE47-VLOOKUP($D47,'Visu totale'!$D:$DH,DF$1,0),IF(LEFT(VLOOKUP($D47,'Visu totale'!$D:$DH,DF$1,0),1)="V",IF(DE47&gt;=INDEX('[1]Définition Maintenances'!$G:$G,MATCH($A47,'[1]Définition Maintenances'!$K:$K,0)),DE47,INDEX('[1]Définition Maintenances'!$G:$G,MATCH($A47,'[1]Définition Maintenances'!$K:$K,0))+DE47),DE47))</f>
        <v>1047</v>
      </c>
      <c r="DG47" s="26">
        <f>IF(ISNUMBER(VLOOKUP($D47,'Visu totale'!$D:$DH,DG$1,0)),DF47-VLOOKUP($D47,'Visu totale'!$D:$DH,DG$1,0),IF(LEFT(VLOOKUP($D47,'Visu totale'!$D:$DH,DG$1,0),1)="V",IF(DF47&gt;=INDEX('[1]Définition Maintenances'!$G:$G,MATCH($A47,'[1]Définition Maintenances'!$K:$K,0)),DF47,INDEX('[1]Définition Maintenances'!$G:$G,MATCH($A47,'[1]Définition Maintenances'!$K:$K,0))+DF47),DF47))</f>
        <v>1047</v>
      </c>
      <c r="DH47" s="26">
        <f>IF(ISNUMBER(VLOOKUP($D47,'Visu totale'!$D:$DH,DH$1,0)),DG47-VLOOKUP($D47,'Visu totale'!$D:$DH,DH$1,0),IF(LEFT(VLOOKUP($D47,'Visu totale'!$D:$DH,DH$1,0),1)="V",IF(DG47&gt;=INDEX('[1]Définition Maintenances'!$G:$G,MATCH($A47,'[1]Définition Maintenances'!$K:$K,0)),DG47,INDEX('[1]Définition Maintenances'!$G:$G,MATCH($A47,'[1]Définition Maintenances'!$K:$K,0))+DG47),DG47))</f>
        <v>1047</v>
      </c>
      <c r="DI47" s="27">
        <f>IF(ISNUMBER(VLOOKUP($D47,'Visu totale'!$D:$DH,DI$1,0)),DH47-VLOOKUP($D47,'Visu totale'!$D:$DH,DI$1,0),IF(LEFT(VLOOKUP($D47,'Visu totale'!$D:$DH,DI$1,0),1)="V",IF(DH47&gt;=INDEX('[1]Définition Maintenances'!$G:$G,MATCH($A47,'[1]Définition Maintenances'!$K:$K,0)),DH47,INDEX('[1]Définition Maintenances'!$G:$G,MATCH($A47,'[1]Définition Maintenances'!$K:$K,0))+DH47),DH47))</f>
        <v>1047</v>
      </c>
    </row>
    <row r="48" spans="1:113" x14ac:dyDescent="0.25">
      <c r="A48" s="13" t="str">
        <f t="shared" si="1"/>
        <v>V15D</v>
      </c>
      <c r="B48" s="13" t="str">
        <f>VLOOKUP(D48,'[1]Avions (Potentiels)'!$B$2:$H$128,7,FALSE)</f>
        <v>V15</v>
      </c>
      <c r="C48" s="13"/>
      <c r="D48" s="16" t="s">
        <v>51</v>
      </c>
      <c r="E48" s="13">
        <f>IFERROR(VALUE(SUBSTITUTE(VLOOKUP(D48,'[1]Avions (Potentiels)'!$B:$E,4,0),".",",")),VALUE(VLOOKUP(D48,'[1]Avions (Potentiels)'!$B:$E,4,0)))</f>
        <v>241</v>
      </c>
      <c r="F48" s="25">
        <f>IF(ISNUMBER(VLOOKUP($D48,'Visu totale'!$D:$DH,F$1,0)),E48-VLOOKUP($D48,'Visu totale'!$D:$DH,F$1,0),IF(LEFT(VLOOKUP($D48,'Visu totale'!$D:$DH,F$1,0),1)="V",IF(E48&gt;=INDEX('[1]Définition Maintenances'!$G:$G,MATCH($A48,'[1]Définition Maintenances'!$K:$K,0)),E48,INDEX('[1]Définition Maintenances'!$G:$G,MATCH($A48,'[1]Définition Maintenances'!$K:$K,0))+E48),E48))</f>
        <v>241</v>
      </c>
      <c r="G48" s="26">
        <f>IF(ISNUMBER(VLOOKUP($D48,'Visu totale'!$D:$DH,G$1,0)),F48-VLOOKUP($D48,'Visu totale'!$D:$DH,G$1,0),IF(LEFT(VLOOKUP($D48,'Visu totale'!$D:$DH,G$1,0),1)="V",IF(F48&gt;=INDEX('[1]Définition Maintenances'!$G:$G,MATCH($A48,'[1]Définition Maintenances'!$K:$K,0)),F48,INDEX('[1]Définition Maintenances'!$G:$G,MATCH($A48,'[1]Définition Maintenances'!$K:$K,0))+F48),F48))</f>
        <v>241</v>
      </c>
      <c r="H48" s="26">
        <f>IF(ISNUMBER(VLOOKUP($D48,'Visu totale'!$D:$DH,H$1,0)),G48-VLOOKUP($D48,'Visu totale'!$D:$DH,H$1,0),IF(LEFT(VLOOKUP($D48,'Visu totale'!$D:$DH,H$1,0),1)="V",IF(G48&gt;=INDEX('[1]Définition Maintenances'!$G:$G,MATCH($A48,'[1]Définition Maintenances'!$K:$K,0)),G48,INDEX('[1]Définition Maintenances'!$G:$G,MATCH($A48,'[1]Définition Maintenances'!$K:$K,0))+G48),G48))</f>
        <v>241</v>
      </c>
      <c r="I48" s="26">
        <f>IF(ISNUMBER(VLOOKUP($D48,'Visu totale'!$D:$DH,I$1,0)),H48-VLOOKUP($D48,'Visu totale'!$D:$DH,I$1,0),IF(LEFT(VLOOKUP($D48,'Visu totale'!$D:$DH,I$1,0),1)="V",IF(H48&gt;=INDEX('[1]Définition Maintenances'!$G:$G,MATCH($A48,'[1]Définition Maintenances'!$K:$K,0)),H48,INDEX('[1]Définition Maintenances'!$G:$G,MATCH($A48,'[1]Définition Maintenances'!$K:$K,0))+H48),H48))</f>
        <v>241</v>
      </c>
      <c r="J48" s="26">
        <f>IF(ISNUMBER(VLOOKUP($D48,'Visu totale'!$D:$DH,J$1,0)),I48-VLOOKUP($D48,'Visu totale'!$D:$DH,J$1,0),IF(LEFT(VLOOKUP($D48,'Visu totale'!$D:$DH,J$1,0),1)="V",IF(I48&gt;=INDEX('[1]Définition Maintenances'!$G:$G,MATCH($A48,'[1]Définition Maintenances'!$K:$K,0)),I48,INDEX('[1]Définition Maintenances'!$G:$G,MATCH($A48,'[1]Définition Maintenances'!$K:$K,0))+I48),I48))</f>
        <v>241</v>
      </c>
      <c r="K48" s="26">
        <f>IF(ISNUMBER(VLOOKUP($D48,'Visu totale'!$D:$DH,K$1,0)),J48-VLOOKUP($D48,'Visu totale'!$D:$DH,K$1,0),IF(LEFT(VLOOKUP($D48,'Visu totale'!$D:$DH,K$1,0),1)="V",IF(J48&gt;=INDEX('[1]Définition Maintenances'!$G:$G,MATCH($A48,'[1]Définition Maintenances'!$K:$K,0)),J48,INDEX('[1]Définition Maintenances'!$G:$G,MATCH($A48,'[1]Définition Maintenances'!$K:$K,0))+J48),J48))</f>
        <v>241</v>
      </c>
      <c r="L48" s="26">
        <f>IF(ISNUMBER(VLOOKUP($D48,'Visu totale'!$D:$DH,L$1,0)),K48-VLOOKUP($D48,'Visu totale'!$D:$DH,L$1,0),IF(LEFT(VLOOKUP($D48,'Visu totale'!$D:$DH,L$1,0),1)="V",IF(K48&gt;=INDEX('[1]Définition Maintenances'!$G:$G,MATCH($A48,'[1]Définition Maintenances'!$K:$K,0)),K48,INDEX('[1]Définition Maintenances'!$G:$G,MATCH($A48,'[1]Définition Maintenances'!$K:$K,0))+K48),K48))</f>
        <v>241</v>
      </c>
      <c r="M48" s="26">
        <f>IF(ISNUMBER(VLOOKUP($D48,'Visu totale'!$D:$DH,M$1,0)),L48-VLOOKUP($D48,'Visu totale'!$D:$DH,M$1,0),IF(LEFT(VLOOKUP($D48,'Visu totale'!$D:$DH,M$1,0),1)="V",IF(L48&gt;=INDEX('[1]Définition Maintenances'!$G:$G,MATCH($A48,'[1]Définition Maintenances'!$K:$K,0)),L48,INDEX('[1]Définition Maintenances'!$G:$G,MATCH($A48,'[1]Définition Maintenances'!$K:$K,0))+L48),L48))</f>
        <v>241</v>
      </c>
      <c r="N48" s="26">
        <f>IF(ISNUMBER(VLOOKUP($D48,'Visu totale'!$D:$DH,N$1,0)),M48-VLOOKUP($D48,'Visu totale'!$D:$DH,N$1,0),IF(LEFT(VLOOKUP($D48,'Visu totale'!$D:$DH,N$1,0),1)="V",IF(M48&gt;=INDEX('[1]Définition Maintenances'!$G:$G,MATCH($A48,'[1]Définition Maintenances'!$K:$K,0)),M48,INDEX('[1]Définition Maintenances'!$G:$G,MATCH($A48,'[1]Définition Maintenances'!$K:$K,0))+M48),M48))</f>
        <v>241</v>
      </c>
      <c r="O48" s="26">
        <f>IF(ISNUMBER(VLOOKUP($D48,'Visu totale'!$D:$DH,O$1,0)),N48-VLOOKUP($D48,'Visu totale'!$D:$DH,O$1,0),IF(LEFT(VLOOKUP($D48,'Visu totale'!$D:$DH,O$1,0),1)="V",IF(N48&gt;=INDEX('[1]Définition Maintenances'!$G:$G,MATCH($A48,'[1]Définition Maintenances'!$K:$K,0)),N48,INDEX('[1]Définition Maintenances'!$G:$G,MATCH($A48,'[1]Définition Maintenances'!$K:$K,0))+N48),N48))</f>
        <v>241</v>
      </c>
      <c r="P48" s="26">
        <f>IF(ISNUMBER(VLOOKUP($D48,'Visu totale'!$D:$DH,P$1,0)),O48-VLOOKUP($D48,'Visu totale'!$D:$DH,P$1,0),IF(LEFT(VLOOKUP($D48,'Visu totale'!$D:$DH,P$1,0),1)="V",IF(O48&gt;=INDEX('[1]Définition Maintenances'!$G:$G,MATCH($A48,'[1]Définition Maintenances'!$K:$K,0)),O48,INDEX('[1]Définition Maintenances'!$G:$G,MATCH($A48,'[1]Définition Maintenances'!$K:$K,0))+O48),O48))</f>
        <v>241</v>
      </c>
      <c r="Q48" s="27">
        <f>IF(ISNUMBER(VLOOKUP($D48,'Visu totale'!$D:$DH,Q$1,0)),P48-VLOOKUP($D48,'Visu totale'!$D:$DH,Q$1,0),IF(LEFT(VLOOKUP($D48,'Visu totale'!$D:$DH,Q$1,0),1)="V",IF(P48&gt;=INDEX('[1]Définition Maintenances'!$G:$G,MATCH($A48,'[1]Définition Maintenances'!$K:$K,0)),P48,INDEX('[1]Définition Maintenances'!$G:$G,MATCH($A48,'[1]Définition Maintenances'!$K:$K,0))+P48),P48))</f>
        <v>241</v>
      </c>
      <c r="R48" s="25">
        <f>IF(ISNUMBER(VLOOKUP($D48,'Visu totale'!$D:$DH,R$1,0)),Q48-VLOOKUP($D48,'Visu totale'!$D:$DH,R$1,0),IF(LEFT(VLOOKUP($D48,'Visu totale'!$D:$DH,R$1,0),1)="V",IF(Q48&gt;=INDEX('[1]Définition Maintenances'!$G:$G,MATCH($A48,'[1]Définition Maintenances'!$K:$K,0)),Q48,INDEX('[1]Définition Maintenances'!$G:$G,MATCH($A48,'[1]Définition Maintenances'!$K:$K,0))+Q48),Q48))</f>
        <v>241</v>
      </c>
      <c r="S48" s="26">
        <f>IF(ISNUMBER(VLOOKUP($D48,'Visu totale'!$D:$DH,S$1,0)),R48-VLOOKUP($D48,'Visu totale'!$D:$DH,S$1,0),IF(LEFT(VLOOKUP($D48,'Visu totale'!$D:$DH,S$1,0),1)="V",IF(R48&gt;=INDEX('[1]Définition Maintenances'!$G:$G,MATCH($A48,'[1]Définition Maintenances'!$K:$K,0)),R48,INDEX('[1]Définition Maintenances'!$G:$G,MATCH($A48,'[1]Définition Maintenances'!$K:$K,0))+R48),R48))</f>
        <v>241</v>
      </c>
      <c r="T48" s="26">
        <f>IF(ISNUMBER(VLOOKUP($D48,'Visu totale'!$D:$DH,T$1,0)),S48-VLOOKUP($D48,'Visu totale'!$D:$DH,T$1,0),IF(LEFT(VLOOKUP($D48,'Visu totale'!$D:$DH,T$1,0),1)="V",IF(S48&gt;=INDEX('[1]Définition Maintenances'!$G:$G,MATCH($A48,'[1]Définition Maintenances'!$K:$K,0)),S48,INDEX('[1]Définition Maintenances'!$G:$G,MATCH($A48,'[1]Définition Maintenances'!$K:$K,0))+S48),S48))</f>
        <v>241</v>
      </c>
      <c r="U48" s="26">
        <f>IF(ISNUMBER(VLOOKUP($D48,'Visu totale'!$D:$DH,U$1,0)),T48-VLOOKUP($D48,'Visu totale'!$D:$DH,U$1,0),IF(LEFT(VLOOKUP($D48,'Visu totale'!$D:$DH,U$1,0),1)="V",IF(T48&gt;=INDEX('[1]Définition Maintenances'!$G:$G,MATCH($A48,'[1]Définition Maintenances'!$K:$K,0)),T48,INDEX('[1]Définition Maintenances'!$G:$G,MATCH($A48,'[1]Définition Maintenances'!$K:$K,0))+T48),T48))</f>
        <v>241</v>
      </c>
      <c r="V48" s="26">
        <f>IF(ISNUMBER(VLOOKUP($D48,'Visu totale'!$D:$DH,V$1,0)),U48-VLOOKUP($D48,'Visu totale'!$D:$DH,V$1,0),IF(LEFT(VLOOKUP($D48,'Visu totale'!$D:$DH,V$1,0),1)="V",IF(U48&gt;=INDEX('[1]Définition Maintenances'!$G:$G,MATCH($A48,'[1]Définition Maintenances'!$K:$K,0)),U48,INDEX('[1]Définition Maintenances'!$G:$G,MATCH($A48,'[1]Définition Maintenances'!$K:$K,0))+U48),U48))</f>
        <v>241</v>
      </c>
      <c r="W48" s="26">
        <f>IF(ISNUMBER(VLOOKUP($D48,'Visu totale'!$D:$DH,W$1,0)),V48-VLOOKUP($D48,'Visu totale'!$D:$DH,W$1,0),IF(LEFT(VLOOKUP($D48,'Visu totale'!$D:$DH,W$1,0),1)="V",IF(V48&gt;=INDEX('[1]Définition Maintenances'!$G:$G,MATCH($A48,'[1]Définition Maintenances'!$K:$K,0)),V48,INDEX('[1]Définition Maintenances'!$G:$G,MATCH($A48,'[1]Définition Maintenances'!$K:$K,0))+V48),V48))</f>
        <v>241</v>
      </c>
      <c r="X48" s="26">
        <f>IF(ISNUMBER(VLOOKUP($D48,'Visu totale'!$D:$DH,X$1,0)),W48-VLOOKUP($D48,'Visu totale'!$D:$DH,X$1,0),IF(LEFT(VLOOKUP($D48,'Visu totale'!$D:$DH,X$1,0),1)="V",IF(W48&gt;=INDEX('[1]Définition Maintenances'!$G:$G,MATCH($A48,'[1]Définition Maintenances'!$K:$K,0)),W48,INDEX('[1]Définition Maintenances'!$G:$G,MATCH($A48,'[1]Définition Maintenances'!$K:$K,0))+W48),W48))</f>
        <v>241</v>
      </c>
      <c r="Y48" s="26">
        <f>IF(ISNUMBER(VLOOKUP($D48,'Visu totale'!$D:$DH,Y$1,0)),X48-VLOOKUP($D48,'Visu totale'!$D:$DH,Y$1,0),IF(LEFT(VLOOKUP($D48,'Visu totale'!$D:$DH,Y$1,0),1)="V",IF(X48&gt;=INDEX('[1]Définition Maintenances'!$G:$G,MATCH($A48,'[1]Définition Maintenances'!$K:$K,0)),X48,INDEX('[1]Définition Maintenances'!$G:$G,MATCH($A48,'[1]Définition Maintenances'!$K:$K,0))+X48),X48))</f>
        <v>241</v>
      </c>
      <c r="Z48" s="26">
        <f>IF(ISNUMBER(VLOOKUP($D48,'Visu totale'!$D:$DH,Z$1,0)),Y48-VLOOKUP($D48,'Visu totale'!$D:$DH,Z$1,0),IF(LEFT(VLOOKUP($D48,'Visu totale'!$D:$DH,Z$1,0),1)="V",IF(Y48&gt;=INDEX('[1]Définition Maintenances'!$G:$G,MATCH($A48,'[1]Définition Maintenances'!$K:$K,0)),Y48,INDEX('[1]Définition Maintenances'!$G:$G,MATCH($A48,'[1]Définition Maintenances'!$K:$K,0))+Y48),Y48))</f>
        <v>241</v>
      </c>
      <c r="AA48" s="26">
        <f>IF(ISNUMBER(VLOOKUP($D48,'Visu totale'!$D:$DH,AA$1,0)),Z48-VLOOKUP($D48,'Visu totale'!$D:$DH,AA$1,0),IF(LEFT(VLOOKUP($D48,'Visu totale'!$D:$DH,AA$1,0),1)="V",IF(Z48&gt;=INDEX('[1]Définition Maintenances'!$G:$G,MATCH($A48,'[1]Définition Maintenances'!$K:$K,0)),Z48,INDEX('[1]Définition Maintenances'!$G:$G,MATCH($A48,'[1]Définition Maintenances'!$K:$K,0))+Z48),Z48))</f>
        <v>241</v>
      </c>
      <c r="AB48" s="26">
        <f>IF(ISNUMBER(VLOOKUP($D48,'Visu totale'!$D:$DH,AB$1,0)),AA48-VLOOKUP($D48,'Visu totale'!$D:$DH,AB$1,0),IF(LEFT(VLOOKUP($D48,'Visu totale'!$D:$DH,AB$1,0),1)="V",IF(AA48&gt;=INDEX('[1]Définition Maintenances'!$G:$G,MATCH($A48,'[1]Définition Maintenances'!$K:$K,0)),AA48,INDEX('[1]Définition Maintenances'!$G:$G,MATCH($A48,'[1]Définition Maintenances'!$K:$K,0))+AA48),AA48))</f>
        <v>241</v>
      </c>
      <c r="AC48" s="27">
        <f>IF(ISNUMBER(VLOOKUP($D48,'Visu totale'!$D:$DH,AC$1,0)),AB48-VLOOKUP($D48,'Visu totale'!$D:$DH,AC$1,0),IF(LEFT(VLOOKUP($D48,'Visu totale'!$D:$DH,AC$1,0),1)="V",IF(AB48&gt;=INDEX('[1]Définition Maintenances'!$G:$G,MATCH($A48,'[1]Définition Maintenances'!$K:$K,0)),AB48,INDEX('[1]Définition Maintenances'!$G:$G,MATCH($A48,'[1]Définition Maintenances'!$K:$K,0))+AB48),AB48))</f>
        <v>241</v>
      </c>
      <c r="AD48" s="25">
        <f>IF(ISNUMBER(VLOOKUP($D48,'Visu totale'!$D:$DH,AD$1,0)),AC48-VLOOKUP($D48,'Visu totale'!$D:$DH,AD$1,0),IF(LEFT(VLOOKUP($D48,'Visu totale'!$D:$DH,AD$1,0),1)="V",IF(AC48&gt;=INDEX('[1]Définition Maintenances'!$G:$G,MATCH($A48,'[1]Définition Maintenances'!$K:$K,0)),AC48,INDEX('[1]Définition Maintenances'!$G:$G,MATCH($A48,'[1]Définition Maintenances'!$K:$K,0))+AC48),AC48))</f>
        <v>241</v>
      </c>
      <c r="AE48" s="26">
        <f>IF(ISNUMBER(VLOOKUP($D48,'Visu totale'!$D:$DH,AE$1,0)),AD48-VLOOKUP($D48,'Visu totale'!$D:$DH,AE$1,0),IF(LEFT(VLOOKUP($D48,'Visu totale'!$D:$DH,AE$1,0),1)="V",IF(AD48&gt;=INDEX('[1]Définition Maintenances'!$G:$G,MATCH($A48,'[1]Définition Maintenances'!$K:$K,0)),AD48,INDEX('[1]Définition Maintenances'!$G:$G,MATCH($A48,'[1]Définition Maintenances'!$K:$K,0))+AD48),AD48))</f>
        <v>241</v>
      </c>
      <c r="AF48" s="26">
        <f>IF(ISNUMBER(VLOOKUP($D48,'Visu totale'!$D:$DH,AF$1,0)),AE48-VLOOKUP($D48,'Visu totale'!$D:$DH,AF$1,0),IF(LEFT(VLOOKUP($D48,'Visu totale'!$D:$DH,AF$1,0),1)="V",IF(AE48&gt;=INDEX('[1]Définition Maintenances'!$G:$G,MATCH($A48,'[1]Définition Maintenances'!$K:$K,0)),AE48,INDEX('[1]Définition Maintenances'!$G:$G,MATCH($A48,'[1]Définition Maintenances'!$K:$K,0))+AE48),AE48))</f>
        <v>241</v>
      </c>
      <c r="AG48" s="26">
        <f>IF(ISNUMBER(VLOOKUP($D48,'Visu totale'!$D:$DH,AG$1,0)),AF48-VLOOKUP($D48,'Visu totale'!$D:$DH,AG$1,0),IF(LEFT(VLOOKUP($D48,'Visu totale'!$D:$DH,AG$1,0),1)="V",IF(AF48&gt;=INDEX('[1]Définition Maintenances'!$G:$G,MATCH($A48,'[1]Définition Maintenances'!$K:$K,0)),AF48,INDEX('[1]Définition Maintenances'!$G:$G,MATCH($A48,'[1]Définition Maintenances'!$K:$K,0))+AF48),AF48))</f>
        <v>241</v>
      </c>
      <c r="AH48" s="26">
        <f>IF(ISNUMBER(VLOOKUP($D48,'Visu totale'!$D:$DH,AH$1,0)),AG48-VLOOKUP($D48,'Visu totale'!$D:$DH,AH$1,0),IF(LEFT(VLOOKUP($D48,'Visu totale'!$D:$DH,AH$1,0),1)="V",IF(AG48&gt;=INDEX('[1]Définition Maintenances'!$G:$G,MATCH($A48,'[1]Définition Maintenances'!$K:$K,0)),AG48,INDEX('[1]Définition Maintenances'!$G:$G,MATCH($A48,'[1]Définition Maintenances'!$K:$K,0))+AG48),AG48))</f>
        <v>241</v>
      </c>
      <c r="AI48" s="26">
        <f>IF(ISNUMBER(VLOOKUP($D48,'Visu totale'!$D:$DH,AI$1,0)),AH48-VLOOKUP($D48,'Visu totale'!$D:$DH,AI$1,0),IF(LEFT(VLOOKUP($D48,'Visu totale'!$D:$DH,AI$1,0),1)="V",IF(AH48&gt;=INDEX('[1]Définition Maintenances'!$G:$G,MATCH($A48,'[1]Définition Maintenances'!$K:$K,0)),AH48,INDEX('[1]Définition Maintenances'!$G:$G,MATCH($A48,'[1]Définition Maintenances'!$K:$K,0))+AH48),AH48))</f>
        <v>241</v>
      </c>
      <c r="AJ48" s="26">
        <f>IF(ISNUMBER(VLOOKUP($D48,'Visu totale'!$D:$DH,AJ$1,0)),AI48-VLOOKUP($D48,'Visu totale'!$D:$DH,AJ$1,0),IF(LEFT(VLOOKUP($D48,'Visu totale'!$D:$DH,AJ$1,0),1)="V",IF(AI48&gt;=INDEX('[1]Définition Maintenances'!$G:$G,MATCH($A48,'[1]Définition Maintenances'!$K:$K,0)),AI48,INDEX('[1]Définition Maintenances'!$G:$G,MATCH($A48,'[1]Définition Maintenances'!$K:$K,0))+AI48),AI48))</f>
        <v>241</v>
      </c>
      <c r="AK48" s="26">
        <f>IF(ISNUMBER(VLOOKUP($D48,'Visu totale'!$D:$DH,AK$1,0)),AJ48-VLOOKUP($D48,'Visu totale'!$D:$DH,AK$1,0),IF(LEFT(VLOOKUP($D48,'Visu totale'!$D:$DH,AK$1,0),1)="V",IF(AJ48&gt;=INDEX('[1]Définition Maintenances'!$G:$G,MATCH($A48,'[1]Définition Maintenances'!$K:$K,0)),AJ48,INDEX('[1]Définition Maintenances'!$G:$G,MATCH($A48,'[1]Définition Maintenances'!$K:$K,0))+AJ48),AJ48))</f>
        <v>241</v>
      </c>
      <c r="AL48" s="26">
        <f>IF(ISNUMBER(VLOOKUP($D48,'Visu totale'!$D:$DH,AL$1,0)),AK48-VLOOKUP($D48,'Visu totale'!$D:$DH,AL$1,0),IF(LEFT(VLOOKUP($D48,'Visu totale'!$D:$DH,AL$1,0),1)="V",IF(AK48&gt;=INDEX('[1]Définition Maintenances'!$G:$G,MATCH($A48,'[1]Définition Maintenances'!$K:$K,0)),AK48,INDEX('[1]Définition Maintenances'!$G:$G,MATCH($A48,'[1]Définition Maintenances'!$K:$K,0))+AK48),AK48))</f>
        <v>241</v>
      </c>
      <c r="AM48" s="26">
        <f>IF(ISNUMBER(VLOOKUP($D48,'Visu totale'!$D:$DH,AM$1,0)),AL48-VLOOKUP($D48,'Visu totale'!$D:$DH,AM$1,0),IF(LEFT(VLOOKUP($D48,'Visu totale'!$D:$DH,AM$1,0),1)="V",IF(AL48&gt;=INDEX('[1]Définition Maintenances'!$G:$G,MATCH($A48,'[1]Définition Maintenances'!$K:$K,0)),AL48,INDEX('[1]Définition Maintenances'!$G:$G,MATCH($A48,'[1]Définition Maintenances'!$K:$K,0))+AL48),AL48))</f>
        <v>241</v>
      </c>
      <c r="AN48" s="26">
        <f>IF(ISNUMBER(VLOOKUP($D48,'Visu totale'!$D:$DH,AN$1,0)),AM48-VLOOKUP($D48,'Visu totale'!$D:$DH,AN$1,0),IF(LEFT(VLOOKUP($D48,'Visu totale'!$D:$DH,AN$1,0),1)="V",IF(AM48&gt;=INDEX('[1]Définition Maintenances'!$G:$G,MATCH($A48,'[1]Définition Maintenances'!$K:$K,0)),AM48,INDEX('[1]Définition Maintenances'!$G:$G,MATCH($A48,'[1]Définition Maintenances'!$K:$K,0))+AM48),AM48))</f>
        <v>241</v>
      </c>
      <c r="AO48" s="27">
        <f>IF(ISNUMBER(VLOOKUP($D48,'Visu totale'!$D:$DH,AO$1,0)),AN48-VLOOKUP($D48,'Visu totale'!$D:$DH,AO$1,0),IF(LEFT(VLOOKUP($D48,'Visu totale'!$D:$DH,AO$1,0),1)="V",IF(AN48&gt;=INDEX('[1]Définition Maintenances'!$G:$G,MATCH($A48,'[1]Définition Maintenances'!$K:$K,0)),AN48,INDEX('[1]Définition Maintenances'!$G:$G,MATCH($A48,'[1]Définition Maintenances'!$K:$K,0))+AN48),AN48))</f>
        <v>241</v>
      </c>
      <c r="AP48" s="25">
        <f>IF(ISNUMBER(VLOOKUP($D48,'Visu totale'!$D:$DH,AP$1,0)),AO48-VLOOKUP($D48,'Visu totale'!$D:$DH,AP$1,0),IF(LEFT(VLOOKUP($D48,'Visu totale'!$D:$DH,AP$1,0),1)="V",IF(AO48&gt;=INDEX('[1]Définition Maintenances'!$G:$G,MATCH($A48,'[1]Définition Maintenances'!$K:$K,0)),AO48,INDEX('[1]Définition Maintenances'!$G:$G,MATCH($A48,'[1]Définition Maintenances'!$K:$K,0))+AO48),AO48))</f>
        <v>241</v>
      </c>
      <c r="AQ48" s="26">
        <f>IF(ISNUMBER(VLOOKUP($D48,'Visu totale'!$D:$DH,AQ$1,0)),AP48-VLOOKUP($D48,'Visu totale'!$D:$DH,AQ$1,0),IF(LEFT(VLOOKUP($D48,'Visu totale'!$D:$DH,AQ$1,0),1)="V",IF(AP48&gt;=INDEX('[1]Définition Maintenances'!$G:$G,MATCH($A48,'[1]Définition Maintenances'!$K:$K,0)),AP48,INDEX('[1]Définition Maintenances'!$G:$G,MATCH($A48,'[1]Définition Maintenances'!$K:$K,0))+AP48),AP48))</f>
        <v>241</v>
      </c>
      <c r="AR48" s="26">
        <f>IF(ISNUMBER(VLOOKUP($D48,'Visu totale'!$D:$DH,AR$1,0)),AQ48-VLOOKUP($D48,'Visu totale'!$D:$DH,AR$1,0),IF(LEFT(VLOOKUP($D48,'Visu totale'!$D:$DH,AR$1,0),1)="V",IF(AQ48&gt;=INDEX('[1]Définition Maintenances'!$G:$G,MATCH($A48,'[1]Définition Maintenances'!$K:$K,0)),AQ48,INDEX('[1]Définition Maintenances'!$G:$G,MATCH($A48,'[1]Définition Maintenances'!$K:$K,0))+AQ48),AQ48))</f>
        <v>241</v>
      </c>
      <c r="AS48" s="26">
        <f>IF(ISNUMBER(VLOOKUP($D48,'Visu totale'!$D:$DH,AS$1,0)),AR48-VLOOKUP($D48,'Visu totale'!$D:$DH,AS$1,0),IF(LEFT(VLOOKUP($D48,'Visu totale'!$D:$DH,AS$1,0),1)="V",IF(AR48&gt;=INDEX('[1]Définition Maintenances'!$G:$G,MATCH($A48,'[1]Définition Maintenances'!$K:$K,0)),AR48,INDEX('[1]Définition Maintenances'!$G:$G,MATCH($A48,'[1]Définition Maintenances'!$K:$K,0))+AR48),AR48))</f>
        <v>241</v>
      </c>
      <c r="AT48" s="26">
        <f>IF(ISNUMBER(VLOOKUP($D48,'Visu totale'!$D:$DH,AT$1,0)),AS48-VLOOKUP($D48,'Visu totale'!$D:$DH,AT$1,0),IF(LEFT(VLOOKUP($D48,'Visu totale'!$D:$DH,AT$1,0),1)="V",IF(AS48&gt;=INDEX('[1]Définition Maintenances'!$G:$G,MATCH($A48,'[1]Définition Maintenances'!$K:$K,0)),AS48,INDEX('[1]Définition Maintenances'!$G:$G,MATCH($A48,'[1]Définition Maintenances'!$K:$K,0))+AS48),AS48))</f>
        <v>241</v>
      </c>
      <c r="AU48" s="26">
        <f>IF(ISNUMBER(VLOOKUP($D48,'Visu totale'!$D:$DH,AU$1,0)),AT48-VLOOKUP($D48,'Visu totale'!$D:$DH,AU$1,0),IF(LEFT(VLOOKUP($D48,'Visu totale'!$D:$DH,AU$1,0),1)="V",IF(AT48&gt;=INDEX('[1]Définition Maintenances'!$G:$G,MATCH($A48,'[1]Définition Maintenances'!$K:$K,0)),AT48,INDEX('[1]Définition Maintenances'!$G:$G,MATCH($A48,'[1]Définition Maintenances'!$K:$K,0))+AT48),AT48))</f>
        <v>241</v>
      </c>
      <c r="AV48" s="26">
        <f>IF(ISNUMBER(VLOOKUP($D48,'Visu totale'!$D:$DH,AV$1,0)),AU48-VLOOKUP($D48,'Visu totale'!$D:$DH,AV$1,0),IF(LEFT(VLOOKUP($D48,'Visu totale'!$D:$DH,AV$1,0),1)="V",IF(AU48&gt;=INDEX('[1]Définition Maintenances'!$G:$G,MATCH($A48,'[1]Définition Maintenances'!$K:$K,0)),AU48,INDEX('[1]Définition Maintenances'!$G:$G,MATCH($A48,'[1]Définition Maintenances'!$K:$K,0))+AU48),AU48))</f>
        <v>241</v>
      </c>
      <c r="AW48" s="26">
        <f>IF(ISNUMBER(VLOOKUP($D48,'Visu totale'!$D:$DH,AW$1,0)),AV48-VLOOKUP($D48,'Visu totale'!$D:$DH,AW$1,0),IF(LEFT(VLOOKUP($D48,'Visu totale'!$D:$DH,AW$1,0),1)="V",IF(AV48&gt;=INDEX('[1]Définition Maintenances'!$G:$G,MATCH($A48,'[1]Définition Maintenances'!$K:$K,0)),AV48,INDEX('[1]Définition Maintenances'!$G:$G,MATCH($A48,'[1]Définition Maintenances'!$K:$K,0))+AV48),AV48))</f>
        <v>241</v>
      </c>
      <c r="AX48" s="26">
        <f>IF(ISNUMBER(VLOOKUP($D48,'Visu totale'!$D:$DH,AX$1,0)),AW48-VLOOKUP($D48,'Visu totale'!$D:$DH,AX$1,0),IF(LEFT(VLOOKUP($D48,'Visu totale'!$D:$DH,AX$1,0),1)="V",IF(AW48&gt;=INDEX('[1]Définition Maintenances'!$G:$G,MATCH($A48,'[1]Définition Maintenances'!$K:$K,0)),AW48,INDEX('[1]Définition Maintenances'!$G:$G,MATCH($A48,'[1]Définition Maintenances'!$K:$K,0))+AW48),AW48))</f>
        <v>241</v>
      </c>
      <c r="AY48" s="26">
        <f>IF(ISNUMBER(VLOOKUP($D48,'Visu totale'!$D:$DH,AY$1,0)),AX48-VLOOKUP($D48,'Visu totale'!$D:$DH,AY$1,0),IF(LEFT(VLOOKUP($D48,'Visu totale'!$D:$DH,AY$1,0),1)="V",IF(AX48&gt;=INDEX('[1]Définition Maintenances'!$G:$G,MATCH($A48,'[1]Définition Maintenances'!$K:$K,0)),AX48,INDEX('[1]Définition Maintenances'!$G:$G,MATCH($A48,'[1]Définition Maintenances'!$K:$K,0))+AX48),AX48))</f>
        <v>241</v>
      </c>
      <c r="AZ48" s="26">
        <f>IF(ISNUMBER(VLOOKUP($D48,'Visu totale'!$D:$DH,AZ$1,0)),AY48-VLOOKUP($D48,'Visu totale'!$D:$DH,AZ$1,0),IF(LEFT(VLOOKUP($D48,'Visu totale'!$D:$DH,AZ$1,0),1)="V",IF(AY48&gt;=INDEX('[1]Définition Maintenances'!$G:$G,MATCH($A48,'[1]Définition Maintenances'!$K:$K,0)),AY48,INDEX('[1]Définition Maintenances'!$G:$G,MATCH($A48,'[1]Définition Maintenances'!$K:$K,0))+AY48),AY48))</f>
        <v>241</v>
      </c>
      <c r="BA48" s="27">
        <f>IF(ISNUMBER(VLOOKUP($D48,'Visu totale'!$D:$DH,BA$1,0)),AZ48-VLOOKUP($D48,'Visu totale'!$D:$DH,BA$1,0),IF(LEFT(VLOOKUP($D48,'Visu totale'!$D:$DH,BA$1,0),1)="V",IF(AZ48&gt;=INDEX('[1]Définition Maintenances'!$G:$G,MATCH($A48,'[1]Définition Maintenances'!$K:$K,0)),AZ48,INDEX('[1]Définition Maintenances'!$G:$G,MATCH($A48,'[1]Définition Maintenances'!$K:$K,0))+AZ48),AZ48))</f>
        <v>241</v>
      </c>
      <c r="BB48" s="25">
        <f>IF(ISNUMBER(VLOOKUP($D48,'Visu totale'!$D:$DH,BB$1,0)),BA48-VLOOKUP($D48,'Visu totale'!$D:$DH,BB$1,0),IF(LEFT(VLOOKUP($D48,'Visu totale'!$D:$DH,BB$1,0),1)="V",IF(BA48&gt;=INDEX('[1]Définition Maintenances'!$G:$G,MATCH($A48,'[1]Définition Maintenances'!$K:$K,0)),BA48,INDEX('[1]Définition Maintenances'!$G:$G,MATCH($A48,'[1]Définition Maintenances'!$K:$K,0))+BA48),BA48))</f>
        <v>241</v>
      </c>
      <c r="BC48" s="26">
        <f>IF(ISNUMBER(VLOOKUP($D48,'Visu totale'!$D:$DH,BC$1,0)),BB48-VLOOKUP($D48,'Visu totale'!$D:$DH,BC$1,0),IF(LEFT(VLOOKUP($D48,'Visu totale'!$D:$DH,BC$1,0),1)="V",IF(BB48&gt;=INDEX('[1]Définition Maintenances'!$G:$G,MATCH($A48,'[1]Définition Maintenances'!$K:$K,0)),BB48,INDEX('[1]Définition Maintenances'!$G:$G,MATCH($A48,'[1]Définition Maintenances'!$K:$K,0))+BB48),BB48))</f>
        <v>241</v>
      </c>
      <c r="BD48" s="26">
        <f>IF(ISNUMBER(VLOOKUP($D48,'Visu totale'!$D:$DH,BD$1,0)),BC48-VLOOKUP($D48,'Visu totale'!$D:$DH,BD$1,0),IF(LEFT(VLOOKUP($D48,'Visu totale'!$D:$DH,BD$1,0),1)="V",IF(BC48&gt;=INDEX('[1]Définition Maintenances'!$G:$G,MATCH($A48,'[1]Définition Maintenances'!$K:$K,0)),BC48,INDEX('[1]Définition Maintenances'!$G:$G,MATCH($A48,'[1]Définition Maintenances'!$K:$K,0))+BC48),BC48))</f>
        <v>241</v>
      </c>
      <c r="BE48" s="26">
        <f>IF(ISNUMBER(VLOOKUP($D48,'Visu totale'!$D:$DH,BE$1,0)),BD48-VLOOKUP($D48,'Visu totale'!$D:$DH,BE$1,0),IF(LEFT(VLOOKUP($D48,'Visu totale'!$D:$DH,BE$1,0),1)="V",IF(BD48&gt;=INDEX('[1]Définition Maintenances'!$G:$G,MATCH($A48,'[1]Définition Maintenances'!$K:$K,0)),BD48,INDEX('[1]Définition Maintenances'!$G:$G,MATCH($A48,'[1]Définition Maintenances'!$K:$K,0))+BD48),BD48))</f>
        <v>241</v>
      </c>
      <c r="BF48" s="26">
        <f>IF(ISNUMBER(VLOOKUP($D48,'Visu totale'!$D:$DH,BF$1,0)),BE48-VLOOKUP($D48,'Visu totale'!$D:$DH,BF$1,0),IF(LEFT(VLOOKUP($D48,'Visu totale'!$D:$DH,BF$1,0),1)="V",IF(BE48&gt;=INDEX('[1]Définition Maintenances'!$G:$G,MATCH($A48,'[1]Définition Maintenances'!$K:$K,0)),BE48,INDEX('[1]Définition Maintenances'!$G:$G,MATCH($A48,'[1]Définition Maintenances'!$K:$K,0))+BE48),BE48))</f>
        <v>241</v>
      </c>
      <c r="BG48" s="26">
        <f>IF(ISNUMBER(VLOOKUP($D48,'Visu totale'!$D:$DH,BG$1,0)),BF48-VLOOKUP($D48,'Visu totale'!$D:$DH,BG$1,0),IF(LEFT(VLOOKUP($D48,'Visu totale'!$D:$DH,BG$1,0),1)="V",IF(BF48&gt;=INDEX('[1]Définition Maintenances'!$G:$G,MATCH($A48,'[1]Définition Maintenances'!$K:$K,0)),BF48,INDEX('[1]Définition Maintenances'!$G:$G,MATCH($A48,'[1]Définition Maintenances'!$K:$K,0))+BF48),BF48))</f>
        <v>241</v>
      </c>
      <c r="BH48" s="26">
        <f>IF(ISNUMBER(VLOOKUP($D48,'Visu totale'!$D:$DH,BH$1,0)),BG48-VLOOKUP($D48,'Visu totale'!$D:$DH,BH$1,0),IF(LEFT(VLOOKUP($D48,'Visu totale'!$D:$DH,BH$1,0),1)="V",IF(BG48&gt;=INDEX('[1]Définition Maintenances'!$G:$G,MATCH($A48,'[1]Définition Maintenances'!$K:$K,0)),BG48,INDEX('[1]Définition Maintenances'!$G:$G,MATCH($A48,'[1]Définition Maintenances'!$K:$K,0))+BG48),BG48))</f>
        <v>241</v>
      </c>
      <c r="BI48" s="26">
        <f>IF(ISNUMBER(VLOOKUP($D48,'Visu totale'!$D:$DH,BI$1,0)),BH48-VLOOKUP($D48,'Visu totale'!$D:$DH,BI$1,0),IF(LEFT(VLOOKUP($D48,'Visu totale'!$D:$DH,BI$1,0),1)="V",IF(BH48&gt;=INDEX('[1]Définition Maintenances'!$G:$G,MATCH($A48,'[1]Définition Maintenances'!$K:$K,0)),BH48,INDEX('[1]Définition Maintenances'!$G:$G,MATCH($A48,'[1]Définition Maintenances'!$K:$K,0))+BH48),BH48))</f>
        <v>241</v>
      </c>
      <c r="BJ48" s="26">
        <f>IF(ISNUMBER(VLOOKUP($D48,'Visu totale'!$D:$DH,BJ$1,0)),BI48-VLOOKUP($D48,'Visu totale'!$D:$DH,BJ$1,0),IF(LEFT(VLOOKUP($D48,'Visu totale'!$D:$DH,BJ$1,0),1)="V",IF(BI48&gt;=INDEX('[1]Définition Maintenances'!$G:$G,MATCH($A48,'[1]Définition Maintenances'!$K:$K,0)),BI48,INDEX('[1]Définition Maintenances'!$G:$G,MATCH($A48,'[1]Définition Maintenances'!$K:$K,0))+BI48),BI48))</f>
        <v>241</v>
      </c>
      <c r="BK48" s="26">
        <f>IF(ISNUMBER(VLOOKUP($D48,'Visu totale'!$D:$DH,BK$1,0)),BJ48-VLOOKUP($D48,'Visu totale'!$D:$DH,BK$1,0),IF(LEFT(VLOOKUP($D48,'Visu totale'!$D:$DH,BK$1,0),1)="V",IF(BJ48&gt;=INDEX('[1]Définition Maintenances'!$G:$G,MATCH($A48,'[1]Définition Maintenances'!$K:$K,0)),BJ48,INDEX('[1]Définition Maintenances'!$G:$G,MATCH($A48,'[1]Définition Maintenances'!$K:$K,0))+BJ48),BJ48))</f>
        <v>241</v>
      </c>
      <c r="BL48" s="26">
        <f>IF(ISNUMBER(VLOOKUP($D48,'Visu totale'!$D:$DH,BL$1,0)),BK48-VLOOKUP($D48,'Visu totale'!$D:$DH,BL$1,0),IF(LEFT(VLOOKUP($D48,'Visu totale'!$D:$DH,BL$1,0),1)="V",IF(BK48&gt;=INDEX('[1]Définition Maintenances'!$G:$G,MATCH($A48,'[1]Définition Maintenances'!$K:$K,0)),BK48,INDEX('[1]Définition Maintenances'!$G:$G,MATCH($A48,'[1]Définition Maintenances'!$K:$K,0))+BK48),BK48))</f>
        <v>241</v>
      </c>
      <c r="BM48" s="27">
        <f>IF(ISNUMBER(VLOOKUP($D48,'Visu totale'!$D:$DH,BM$1,0)),BL48-VLOOKUP($D48,'Visu totale'!$D:$DH,BM$1,0),IF(LEFT(VLOOKUP($D48,'Visu totale'!$D:$DH,BM$1,0),1)="V",IF(BL48&gt;=INDEX('[1]Définition Maintenances'!$G:$G,MATCH($A48,'[1]Définition Maintenances'!$K:$K,0)),BL48,INDEX('[1]Définition Maintenances'!$G:$G,MATCH($A48,'[1]Définition Maintenances'!$K:$K,0))+BL48),BL48))</f>
        <v>241</v>
      </c>
      <c r="BN48" s="25">
        <f>IF(ISNUMBER(VLOOKUP($D48,'Visu totale'!$D:$DH,BN$1,0)),BM48-VLOOKUP($D48,'Visu totale'!$D:$DH,BN$1,0),IF(LEFT(VLOOKUP($D48,'Visu totale'!$D:$DH,BN$1,0),1)="V",IF(BM48&gt;=INDEX('[1]Définition Maintenances'!$G:$G,MATCH($A48,'[1]Définition Maintenances'!$K:$K,0)),BM48,INDEX('[1]Définition Maintenances'!$G:$G,MATCH($A48,'[1]Définition Maintenances'!$K:$K,0))+BM48),BM48))</f>
        <v>241</v>
      </c>
      <c r="BO48" s="26">
        <f>IF(ISNUMBER(VLOOKUP($D48,'Visu totale'!$D:$DH,BO$1,0)),BN48-VLOOKUP($D48,'Visu totale'!$D:$DH,BO$1,0),IF(LEFT(VLOOKUP($D48,'Visu totale'!$D:$DH,BO$1,0),1)="V",IF(BN48&gt;=INDEX('[1]Définition Maintenances'!$G:$G,MATCH($A48,'[1]Définition Maintenances'!$K:$K,0)),BN48,INDEX('[1]Définition Maintenances'!$G:$G,MATCH($A48,'[1]Définition Maintenances'!$K:$K,0))+BN48),BN48))</f>
        <v>241</v>
      </c>
      <c r="BP48" s="26">
        <f>IF(ISNUMBER(VLOOKUP($D48,'Visu totale'!$D:$DH,BP$1,0)),BO48-VLOOKUP($D48,'Visu totale'!$D:$DH,BP$1,0),IF(LEFT(VLOOKUP($D48,'Visu totale'!$D:$DH,BP$1,0),1)="V",IF(BO48&gt;=INDEX('[1]Définition Maintenances'!$G:$G,MATCH($A48,'[1]Définition Maintenances'!$K:$K,0)),BO48,INDEX('[1]Définition Maintenances'!$G:$G,MATCH($A48,'[1]Définition Maintenances'!$K:$K,0))+BO48),BO48))</f>
        <v>241</v>
      </c>
      <c r="BQ48" s="26">
        <f>IF(ISNUMBER(VLOOKUP($D48,'Visu totale'!$D:$DH,BQ$1,0)),BP48-VLOOKUP($D48,'Visu totale'!$D:$DH,BQ$1,0),IF(LEFT(VLOOKUP($D48,'Visu totale'!$D:$DH,BQ$1,0),1)="V",IF(BP48&gt;=INDEX('[1]Définition Maintenances'!$G:$G,MATCH($A48,'[1]Définition Maintenances'!$K:$K,0)),BP48,INDEX('[1]Définition Maintenances'!$G:$G,MATCH($A48,'[1]Définition Maintenances'!$K:$K,0))+BP48),BP48))</f>
        <v>241</v>
      </c>
      <c r="BR48" s="26">
        <f>IF(ISNUMBER(VLOOKUP($D48,'Visu totale'!$D:$DH,BR$1,0)),BQ48-VLOOKUP($D48,'Visu totale'!$D:$DH,BR$1,0),IF(LEFT(VLOOKUP($D48,'Visu totale'!$D:$DH,BR$1,0),1)="V",IF(BQ48&gt;=INDEX('[1]Définition Maintenances'!$G:$G,MATCH($A48,'[1]Définition Maintenances'!$K:$K,0)),BQ48,INDEX('[1]Définition Maintenances'!$G:$G,MATCH($A48,'[1]Définition Maintenances'!$K:$K,0))+BQ48),BQ48))</f>
        <v>241</v>
      </c>
      <c r="BS48" s="26">
        <f>IF(ISNUMBER(VLOOKUP($D48,'Visu totale'!$D:$DH,BS$1,0)),BR48-VLOOKUP($D48,'Visu totale'!$D:$DH,BS$1,0),IF(LEFT(VLOOKUP($D48,'Visu totale'!$D:$DH,BS$1,0),1)="V",IF(BR48&gt;=INDEX('[1]Définition Maintenances'!$G:$G,MATCH($A48,'[1]Définition Maintenances'!$K:$K,0)),BR48,INDEX('[1]Définition Maintenances'!$G:$G,MATCH($A48,'[1]Définition Maintenances'!$K:$K,0))+BR48),BR48))</f>
        <v>241</v>
      </c>
      <c r="BT48" s="26">
        <f>IF(ISNUMBER(VLOOKUP($D48,'Visu totale'!$D:$DH,BT$1,0)),BS48-VLOOKUP($D48,'Visu totale'!$D:$DH,BT$1,0),IF(LEFT(VLOOKUP($D48,'Visu totale'!$D:$DH,BT$1,0),1)="V",IF(BS48&gt;=INDEX('[1]Définition Maintenances'!$G:$G,MATCH($A48,'[1]Définition Maintenances'!$K:$K,0)),BS48,INDEX('[1]Définition Maintenances'!$G:$G,MATCH($A48,'[1]Définition Maintenances'!$K:$K,0))+BS48),BS48))</f>
        <v>241</v>
      </c>
      <c r="BU48" s="26">
        <f>IF(ISNUMBER(VLOOKUP($D48,'Visu totale'!$D:$DH,BU$1,0)),BT48-VLOOKUP($D48,'Visu totale'!$D:$DH,BU$1,0),IF(LEFT(VLOOKUP($D48,'Visu totale'!$D:$DH,BU$1,0),1)="V",IF(BT48&gt;=INDEX('[1]Définition Maintenances'!$G:$G,MATCH($A48,'[1]Définition Maintenances'!$K:$K,0)),BT48,INDEX('[1]Définition Maintenances'!$G:$G,MATCH($A48,'[1]Définition Maintenances'!$K:$K,0))+BT48),BT48))</f>
        <v>241</v>
      </c>
      <c r="BV48" s="26">
        <f>IF(ISNUMBER(VLOOKUP($D48,'Visu totale'!$D:$DH,BV$1,0)),BU48-VLOOKUP($D48,'Visu totale'!$D:$DH,BV$1,0),IF(LEFT(VLOOKUP($D48,'Visu totale'!$D:$DH,BV$1,0),1)="V",IF(BU48&gt;=INDEX('[1]Définition Maintenances'!$G:$G,MATCH($A48,'[1]Définition Maintenances'!$K:$K,0)),BU48,INDEX('[1]Définition Maintenances'!$G:$G,MATCH($A48,'[1]Définition Maintenances'!$K:$K,0))+BU48),BU48))</f>
        <v>241</v>
      </c>
      <c r="BW48" s="26">
        <f>IF(ISNUMBER(VLOOKUP($D48,'Visu totale'!$D:$DH,BW$1,0)),BV48-VLOOKUP($D48,'Visu totale'!$D:$DH,BW$1,0),IF(LEFT(VLOOKUP($D48,'Visu totale'!$D:$DH,BW$1,0),1)="V",IF(BV48&gt;=INDEX('[1]Définition Maintenances'!$G:$G,MATCH($A48,'[1]Définition Maintenances'!$K:$K,0)),BV48,INDEX('[1]Définition Maintenances'!$G:$G,MATCH($A48,'[1]Définition Maintenances'!$K:$K,0))+BV48),BV48))</f>
        <v>241</v>
      </c>
      <c r="BX48" s="26">
        <f>IF(ISNUMBER(VLOOKUP($D48,'Visu totale'!$D:$DH,BX$1,0)),BW48-VLOOKUP($D48,'Visu totale'!$D:$DH,BX$1,0),IF(LEFT(VLOOKUP($D48,'Visu totale'!$D:$DH,BX$1,0),1)="V",IF(BW48&gt;=INDEX('[1]Définition Maintenances'!$G:$G,MATCH($A48,'[1]Définition Maintenances'!$K:$K,0)),BW48,INDEX('[1]Définition Maintenances'!$G:$G,MATCH($A48,'[1]Définition Maintenances'!$K:$K,0))+BW48),BW48))</f>
        <v>241</v>
      </c>
      <c r="BY48" s="27">
        <f>IF(ISNUMBER(VLOOKUP($D48,'Visu totale'!$D:$DH,BY$1,0)),BX48-VLOOKUP($D48,'Visu totale'!$D:$DH,BY$1,0),IF(LEFT(VLOOKUP($D48,'Visu totale'!$D:$DH,BY$1,0),1)="V",IF(BX48&gt;=INDEX('[1]Définition Maintenances'!$G:$G,MATCH($A48,'[1]Définition Maintenances'!$K:$K,0)),BX48,INDEX('[1]Définition Maintenances'!$G:$G,MATCH($A48,'[1]Définition Maintenances'!$K:$K,0))+BX48),BX48))</f>
        <v>241</v>
      </c>
      <c r="BZ48" s="25">
        <f>IF(ISNUMBER(VLOOKUP($D48,'Visu totale'!$D:$DH,BZ$1,0)),BY48-VLOOKUP($D48,'Visu totale'!$D:$DH,BZ$1,0),IF(LEFT(VLOOKUP($D48,'Visu totale'!$D:$DH,BZ$1,0),1)="V",IF(BY48&gt;=INDEX('[1]Définition Maintenances'!$G:$G,MATCH($A48,'[1]Définition Maintenances'!$K:$K,0)),BY48,INDEX('[1]Définition Maintenances'!$G:$G,MATCH($A48,'[1]Définition Maintenances'!$K:$K,0))+BY48),BY48))</f>
        <v>241</v>
      </c>
      <c r="CA48" s="26">
        <f>IF(ISNUMBER(VLOOKUP($D48,'Visu totale'!$D:$DH,CA$1,0)),BZ48-VLOOKUP($D48,'Visu totale'!$D:$DH,CA$1,0),IF(LEFT(VLOOKUP($D48,'Visu totale'!$D:$DH,CA$1,0),1)="V",IF(BZ48&gt;=INDEX('[1]Définition Maintenances'!$G:$G,MATCH($A48,'[1]Définition Maintenances'!$K:$K,0)),BZ48,INDEX('[1]Définition Maintenances'!$G:$G,MATCH($A48,'[1]Définition Maintenances'!$K:$K,0))+BZ48),BZ48))</f>
        <v>241</v>
      </c>
      <c r="CB48" s="26">
        <f>IF(ISNUMBER(VLOOKUP($D48,'Visu totale'!$D:$DH,CB$1,0)),CA48-VLOOKUP($D48,'Visu totale'!$D:$DH,CB$1,0),IF(LEFT(VLOOKUP($D48,'Visu totale'!$D:$DH,CB$1,0),1)="V",IF(CA48&gt;=INDEX('[1]Définition Maintenances'!$G:$G,MATCH($A48,'[1]Définition Maintenances'!$K:$K,0)),CA48,INDEX('[1]Définition Maintenances'!$G:$G,MATCH($A48,'[1]Définition Maintenances'!$K:$K,0))+CA48),CA48))</f>
        <v>241</v>
      </c>
      <c r="CC48" s="26">
        <f>IF(ISNUMBER(VLOOKUP($D48,'Visu totale'!$D:$DH,CC$1,0)),CB48-VLOOKUP($D48,'Visu totale'!$D:$DH,CC$1,0),IF(LEFT(VLOOKUP($D48,'Visu totale'!$D:$DH,CC$1,0),1)="V",IF(CB48&gt;=INDEX('[1]Définition Maintenances'!$G:$G,MATCH($A48,'[1]Définition Maintenances'!$K:$K,0)),CB48,INDEX('[1]Définition Maintenances'!$G:$G,MATCH($A48,'[1]Définition Maintenances'!$K:$K,0))+CB48),CB48))</f>
        <v>241</v>
      </c>
      <c r="CD48" s="26">
        <f>IF(ISNUMBER(VLOOKUP($D48,'Visu totale'!$D:$DH,CD$1,0)),CC48-VLOOKUP($D48,'Visu totale'!$D:$DH,CD$1,0),IF(LEFT(VLOOKUP($D48,'Visu totale'!$D:$DH,CD$1,0),1)="V",IF(CC48&gt;=INDEX('[1]Définition Maintenances'!$G:$G,MATCH($A48,'[1]Définition Maintenances'!$K:$K,0)),CC48,INDEX('[1]Définition Maintenances'!$G:$G,MATCH($A48,'[1]Définition Maintenances'!$K:$K,0))+CC48),CC48))</f>
        <v>241</v>
      </c>
      <c r="CE48" s="26">
        <f>IF(ISNUMBER(VLOOKUP($D48,'Visu totale'!$D:$DH,CE$1,0)),CD48-VLOOKUP($D48,'Visu totale'!$D:$DH,CE$1,0),IF(LEFT(VLOOKUP($D48,'Visu totale'!$D:$DH,CE$1,0),1)="V",IF(CD48&gt;=INDEX('[1]Définition Maintenances'!$G:$G,MATCH($A48,'[1]Définition Maintenances'!$K:$K,0)),CD48,INDEX('[1]Définition Maintenances'!$G:$G,MATCH($A48,'[1]Définition Maintenances'!$K:$K,0))+CD48),CD48))</f>
        <v>241</v>
      </c>
      <c r="CF48" s="26">
        <f>IF(ISNUMBER(VLOOKUP($D48,'Visu totale'!$D:$DH,CF$1,0)),CE48-VLOOKUP($D48,'Visu totale'!$D:$DH,CF$1,0),IF(LEFT(VLOOKUP($D48,'Visu totale'!$D:$DH,CF$1,0),1)="V",IF(CE48&gt;=INDEX('[1]Définition Maintenances'!$G:$G,MATCH($A48,'[1]Définition Maintenances'!$K:$K,0)),CE48,INDEX('[1]Définition Maintenances'!$G:$G,MATCH($A48,'[1]Définition Maintenances'!$K:$K,0))+CE48),CE48))</f>
        <v>241</v>
      </c>
      <c r="CG48" s="26">
        <f>IF(ISNUMBER(VLOOKUP($D48,'Visu totale'!$D:$DH,CG$1,0)),CF48-VLOOKUP($D48,'Visu totale'!$D:$DH,CG$1,0),IF(LEFT(VLOOKUP($D48,'Visu totale'!$D:$DH,CG$1,0),1)="V",IF(CF48&gt;=INDEX('[1]Définition Maintenances'!$G:$G,MATCH($A48,'[1]Définition Maintenances'!$K:$K,0)),CF48,INDEX('[1]Définition Maintenances'!$G:$G,MATCH($A48,'[1]Définition Maintenances'!$K:$K,0))+CF48),CF48))</f>
        <v>241</v>
      </c>
      <c r="CH48" s="26">
        <f>IF(ISNUMBER(VLOOKUP($D48,'Visu totale'!$D:$DH,CH$1,0)),CG48-VLOOKUP($D48,'Visu totale'!$D:$DH,CH$1,0),IF(LEFT(VLOOKUP($D48,'Visu totale'!$D:$DH,CH$1,0),1)="V",IF(CG48&gt;=INDEX('[1]Définition Maintenances'!$G:$G,MATCH($A48,'[1]Définition Maintenances'!$K:$K,0)),CG48,INDEX('[1]Définition Maintenances'!$G:$G,MATCH($A48,'[1]Définition Maintenances'!$K:$K,0))+CG48),CG48))</f>
        <v>241</v>
      </c>
      <c r="CI48" s="26">
        <f>IF(ISNUMBER(VLOOKUP($D48,'Visu totale'!$D:$DH,CI$1,0)),CH48-VLOOKUP($D48,'Visu totale'!$D:$DH,CI$1,0),IF(LEFT(VLOOKUP($D48,'Visu totale'!$D:$DH,CI$1,0),1)="V",IF(CH48&gt;=INDEX('[1]Définition Maintenances'!$G:$G,MATCH($A48,'[1]Définition Maintenances'!$K:$K,0)),CH48,INDEX('[1]Définition Maintenances'!$G:$G,MATCH($A48,'[1]Définition Maintenances'!$K:$K,0))+CH48),CH48))</f>
        <v>241</v>
      </c>
      <c r="CJ48" s="26">
        <f>IF(ISNUMBER(VLOOKUP($D48,'Visu totale'!$D:$DH,CJ$1,0)),CI48-VLOOKUP($D48,'Visu totale'!$D:$DH,CJ$1,0),IF(LEFT(VLOOKUP($D48,'Visu totale'!$D:$DH,CJ$1,0),1)="V",IF(CI48&gt;=INDEX('[1]Définition Maintenances'!$G:$G,MATCH($A48,'[1]Définition Maintenances'!$K:$K,0)),CI48,INDEX('[1]Définition Maintenances'!$G:$G,MATCH($A48,'[1]Définition Maintenances'!$K:$K,0))+CI48),CI48))</f>
        <v>241</v>
      </c>
      <c r="CK48" s="27">
        <f>IF(ISNUMBER(VLOOKUP($D48,'Visu totale'!$D:$DH,CK$1,0)),CJ48-VLOOKUP($D48,'Visu totale'!$D:$DH,CK$1,0),IF(LEFT(VLOOKUP($D48,'Visu totale'!$D:$DH,CK$1,0),1)="V",IF(CJ48&gt;=INDEX('[1]Définition Maintenances'!$G:$G,MATCH($A48,'[1]Définition Maintenances'!$K:$K,0)),CJ48,INDEX('[1]Définition Maintenances'!$G:$G,MATCH($A48,'[1]Définition Maintenances'!$K:$K,0))+CJ48),CJ48))</f>
        <v>241</v>
      </c>
      <c r="CL48" s="25">
        <f>IF(ISNUMBER(VLOOKUP($D48,'Visu totale'!$D:$DH,CL$1,0)),CK48-VLOOKUP($D48,'Visu totale'!$D:$DH,CL$1,0),IF(LEFT(VLOOKUP($D48,'Visu totale'!$D:$DH,CL$1,0),1)="V",IF(CK48&gt;=INDEX('[1]Définition Maintenances'!$G:$G,MATCH($A48,'[1]Définition Maintenances'!$K:$K,0)),CK48,INDEX('[1]Définition Maintenances'!$G:$G,MATCH($A48,'[1]Définition Maintenances'!$K:$K,0))+CK48),CK48))</f>
        <v>241</v>
      </c>
      <c r="CM48" s="26">
        <f>IF(ISNUMBER(VLOOKUP($D48,'Visu totale'!$D:$DH,CM$1,0)),CL48-VLOOKUP($D48,'Visu totale'!$D:$DH,CM$1,0),IF(LEFT(VLOOKUP($D48,'Visu totale'!$D:$DH,CM$1,0),1)="V",IF(CL48&gt;=INDEX('[1]Définition Maintenances'!$G:$G,MATCH($A48,'[1]Définition Maintenances'!$K:$K,0)),CL48,INDEX('[1]Définition Maintenances'!$G:$G,MATCH($A48,'[1]Définition Maintenances'!$K:$K,0))+CL48),CL48))</f>
        <v>241</v>
      </c>
      <c r="CN48" s="26">
        <f>IF(ISNUMBER(VLOOKUP($D48,'Visu totale'!$D:$DH,CN$1,0)),CM48-VLOOKUP($D48,'Visu totale'!$D:$DH,CN$1,0),IF(LEFT(VLOOKUP($D48,'Visu totale'!$D:$DH,CN$1,0),1)="V",IF(CM48&gt;=INDEX('[1]Définition Maintenances'!$G:$G,MATCH($A48,'[1]Définition Maintenances'!$K:$K,0)),CM48,INDEX('[1]Définition Maintenances'!$G:$G,MATCH($A48,'[1]Définition Maintenances'!$K:$K,0))+CM48),CM48))</f>
        <v>241</v>
      </c>
      <c r="CO48" s="26">
        <f>IF(ISNUMBER(VLOOKUP($D48,'Visu totale'!$D:$DH,CO$1,0)),CN48-VLOOKUP($D48,'Visu totale'!$D:$DH,CO$1,0),IF(LEFT(VLOOKUP($D48,'Visu totale'!$D:$DH,CO$1,0),1)="V",IF(CN48&gt;=INDEX('[1]Définition Maintenances'!$G:$G,MATCH($A48,'[1]Définition Maintenances'!$K:$K,0)),CN48,INDEX('[1]Définition Maintenances'!$G:$G,MATCH($A48,'[1]Définition Maintenances'!$K:$K,0))+CN48),CN48))</f>
        <v>241</v>
      </c>
      <c r="CP48" s="26">
        <f>IF(ISNUMBER(VLOOKUP($D48,'Visu totale'!$D:$DH,CP$1,0)),CO48-VLOOKUP($D48,'Visu totale'!$D:$DH,CP$1,0),IF(LEFT(VLOOKUP($D48,'Visu totale'!$D:$DH,CP$1,0),1)="V",IF(CO48&gt;=INDEX('[1]Définition Maintenances'!$G:$G,MATCH($A48,'[1]Définition Maintenances'!$K:$K,0)),CO48,INDEX('[1]Définition Maintenances'!$G:$G,MATCH($A48,'[1]Définition Maintenances'!$K:$K,0))+CO48),CO48))</f>
        <v>241</v>
      </c>
      <c r="CQ48" s="26">
        <f>IF(ISNUMBER(VLOOKUP($D48,'Visu totale'!$D:$DH,CQ$1,0)),CP48-VLOOKUP($D48,'Visu totale'!$D:$DH,CQ$1,0),IF(LEFT(VLOOKUP($D48,'Visu totale'!$D:$DH,CQ$1,0),1)="V",IF(CP48&gt;=INDEX('[1]Définition Maintenances'!$G:$G,MATCH($A48,'[1]Définition Maintenances'!$K:$K,0)),CP48,INDEX('[1]Définition Maintenances'!$G:$G,MATCH($A48,'[1]Définition Maintenances'!$K:$K,0))+CP48),CP48))</f>
        <v>241</v>
      </c>
      <c r="CR48" s="26">
        <f>IF(ISNUMBER(VLOOKUP($D48,'Visu totale'!$D:$DH,CR$1,0)),CQ48-VLOOKUP($D48,'Visu totale'!$D:$DH,CR$1,0),IF(LEFT(VLOOKUP($D48,'Visu totale'!$D:$DH,CR$1,0),1)="V",IF(CQ48&gt;=INDEX('[1]Définition Maintenances'!$G:$G,MATCH($A48,'[1]Définition Maintenances'!$K:$K,0)),CQ48,INDEX('[1]Définition Maintenances'!$G:$G,MATCH($A48,'[1]Définition Maintenances'!$K:$K,0))+CQ48),CQ48))</f>
        <v>241</v>
      </c>
      <c r="CS48" s="26">
        <f>IF(ISNUMBER(VLOOKUP($D48,'Visu totale'!$D:$DH,CS$1,0)),CR48-VLOOKUP($D48,'Visu totale'!$D:$DH,CS$1,0),IF(LEFT(VLOOKUP($D48,'Visu totale'!$D:$DH,CS$1,0),1)="V",IF(CR48&gt;=INDEX('[1]Définition Maintenances'!$G:$G,MATCH($A48,'[1]Définition Maintenances'!$K:$K,0)),CR48,INDEX('[1]Définition Maintenances'!$G:$G,MATCH($A48,'[1]Définition Maintenances'!$K:$K,0))+CR48),CR48))</f>
        <v>241</v>
      </c>
      <c r="CT48" s="26">
        <f>IF(ISNUMBER(VLOOKUP($D48,'Visu totale'!$D:$DH,CT$1,0)),CS48-VLOOKUP($D48,'Visu totale'!$D:$DH,CT$1,0),IF(LEFT(VLOOKUP($D48,'Visu totale'!$D:$DH,CT$1,0),1)="V",IF(CS48&gt;=INDEX('[1]Définition Maintenances'!$G:$G,MATCH($A48,'[1]Définition Maintenances'!$K:$K,0)),CS48,INDEX('[1]Définition Maintenances'!$G:$G,MATCH($A48,'[1]Définition Maintenances'!$K:$K,0))+CS48),CS48))</f>
        <v>241</v>
      </c>
      <c r="CU48" s="26">
        <f>IF(ISNUMBER(VLOOKUP($D48,'Visu totale'!$D:$DH,CU$1,0)),CT48-VLOOKUP($D48,'Visu totale'!$D:$DH,CU$1,0),IF(LEFT(VLOOKUP($D48,'Visu totale'!$D:$DH,CU$1,0),1)="V",IF(CT48&gt;=INDEX('[1]Définition Maintenances'!$G:$G,MATCH($A48,'[1]Définition Maintenances'!$K:$K,0)),CT48,INDEX('[1]Définition Maintenances'!$G:$G,MATCH($A48,'[1]Définition Maintenances'!$K:$K,0))+CT48),CT48))</f>
        <v>241</v>
      </c>
      <c r="CV48" s="26">
        <f>IF(ISNUMBER(VLOOKUP($D48,'Visu totale'!$D:$DH,CV$1,0)),CU48-VLOOKUP($D48,'Visu totale'!$D:$DH,CV$1,0),IF(LEFT(VLOOKUP($D48,'Visu totale'!$D:$DH,CV$1,0),1)="V",IF(CU48&gt;=INDEX('[1]Définition Maintenances'!$G:$G,MATCH($A48,'[1]Définition Maintenances'!$K:$K,0)),CU48,INDEX('[1]Définition Maintenances'!$G:$G,MATCH($A48,'[1]Définition Maintenances'!$K:$K,0))+CU48),CU48))</f>
        <v>241</v>
      </c>
      <c r="CW48" s="27">
        <f>IF(ISNUMBER(VLOOKUP($D48,'Visu totale'!$D:$DH,CW$1,0)),CV48-VLOOKUP($D48,'Visu totale'!$D:$DH,CW$1,0),IF(LEFT(VLOOKUP($D48,'Visu totale'!$D:$DH,CW$1,0),1)="V",IF(CV48&gt;=INDEX('[1]Définition Maintenances'!$G:$G,MATCH($A48,'[1]Définition Maintenances'!$K:$K,0)),CV48,INDEX('[1]Définition Maintenances'!$G:$G,MATCH($A48,'[1]Définition Maintenances'!$K:$K,0))+CV48),CV48))</f>
        <v>241</v>
      </c>
      <c r="CX48" s="25">
        <f>IF(ISNUMBER(VLOOKUP($D48,'Visu totale'!$D:$DH,CX$1,0)),CW48-VLOOKUP($D48,'Visu totale'!$D:$DH,CX$1,0),IF(LEFT(VLOOKUP($D48,'Visu totale'!$D:$DH,CX$1,0),1)="V",IF(CW48&gt;=INDEX('[1]Définition Maintenances'!$G:$G,MATCH($A48,'[1]Définition Maintenances'!$K:$K,0)),CW48,INDEX('[1]Définition Maintenances'!$G:$G,MATCH($A48,'[1]Définition Maintenances'!$K:$K,0))+CW48),CW48))</f>
        <v>241</v>
      </c>
      <c r="CY48" s="26">
        <f>IF(ISNUMBER(VLOOKUP($D48,'Visu totale'!$D:$DH,CY$1,0)),CX48-VLOOKUP($D48,'Visu totale'!$D:$DH,CY$1,0),IF(LEFT(VLOOKUP($D48,'Visu totale'!$D:$DH,CY$1,0),1)="V",IF(CX48&gt;=INDEX('[1]Définition Maintenances'!$G:$G,MATCH($A48,'[1]Définition Maintenances'!$K:$K,0)),CX48,INDEX('[1]Définition Maintenances'!$G:$G,MATCH($A48,'[1]Définition Maintenances'!$K:$K,0))+CX48),CX48))</f>
        <v>241</v>
      </c>
      <c r="CZ48" s="26">
        <f>IF(ISNUMBER(VLOOKUP($D48,'Visu totale'!$D:$DH,CZ$1,0)),CY48-VLOOKUP($D48,'Visu totale'!$D:$DH,CZ$1,0),IF(LEFT(VLOOKUP($D48,'Visu totale'!$D:$DH,CZ$1,0),1)="V",IF(CY48&gt;=INDEX('[1]Définition Maintenances'!$G:$G,MATCH($A48,'[1]Définition Maintenances'!$K:$K,0)),CY48,INDEX('[1]Définition Maintenances'!$G:$G,MATCH($A48,'[1]Définition Maintenances'!$K:$K,0))+CY48),CY48))</f>
        <v>241</v>
      </c>
      <c r="DA48" s="26">
        <f>IF(ISNUMBER(VLOOKUP($D48,'Visu totale'!$D:$DH,DA$1,0)),CZ48-VLOOKUP($D48,'Visu totale'!$D:$DH,DA$1,0),IF(LEFT(VLOOKUP($D48,'Visu totale'!$D:$DH,DA$1,0),1)="V",IF(CZ48&gt;=INDEX('[1]Définition Maintenances'!$G:$G,MATCH($A48,'[1]Définition Maintenances'!$K:$K,0)),CZ48,INDEX('[1]Définition Maintenances'!$G:$G,MATCH($A48,'[1]Définition Maintenances'!$K:$K,0))+CZ48),CZ48))</f>
        <v>241</v>
      </c>
      <c r="DB48" s="26">
        <f>IF(ISNUMBER(VLOOKUP($D48,'Visu totale'!$D:$DH,DB$1,0)),DA48-VLOOKUP($D48,'Visu totale'!$D:$DH,DB$1,0),IF(LEFT(VLOOKUP($D48,'Visu totale'!$D:$DH,DB$1,0),1)="V",IF(DA48&gt;=INDEX('[1]Définition Maintenances'!$G:$G,MATCH($A48,'[1]Définition Maintenances'!$K:$K,0)),DA48,INDEX('[1]Définition Maintenances'!$G:$G,MATCH($A48,'[1]Définition Maintenances'!$K:$K,0))+DA48),DA48))</f>
        <v>241</v>
      </c>
      <c r="DC48" s="26">
        <f>IF(ISNUMBER(VLOOKUP($D48,'Visu totale'!$D:$DH,DC$1,0)),DB48-VLOOKUP($D48,'Visu totale'!$D:$DH,DC$1,0),IF(LEFT(VLOOKUP($D48,'Visu totale'!$D:$DH,DC$1,0),1)="V",IF(DB48&gt;=INDEX('[1]Définition Maintenances'!$G:$G,MATCH($A48,'[1]Définition Maintenances'!$K:$K,0)),DB48,INDEX('[1]Définition Maintenances'!$G:$G,MATCH($A48,'[1]Définition Maintenances'!$K:$K,0))+DB48),DB48))</f>
        <v>241</v>
      </c>
      <c r="DD48" s="26">
        <f>IF(ISNUMBER(VLOOKUP($D48,'Visu totale'!$D:$DH,DD$1,0)),DC48-VLOOKUP($D48,'Visu totale'!$D:$DH,DD$1,0),IF(LEFT(VLOOKUP($D48,'Visu totale'!$D:$DH,DD$1,0),1)="V",IF(DC48&gt;=INDEX('[1]Définition Maintenances'!$G:$G,MATCH($A48,'[1]Définition Maintenances'!$K:$K,0)),DC48,INDEX('[1]Définition Maintenances'!$G:$G,MATCH($A48,'[1]Définition Maintenances'!$K:$K,0))+DC48),DC48))</f>
        <v>241</v>
      </c>
      <c r="DE48" s="26">
        <f>IF(ISNUMBER(VLOOKUP($D48,'Visu totale'!$D:$DH,DE$1,0)),DD48-VLOOKUP($D48,'Visu totale'!$D:$DH,DE$1,0),IF(LEFT(VLOOKUP($D48,'Visu totale'!$D:$DH,DE$1,0),1)="V",IF(DD48&gt;=INDEX('[1]Définition Maintenances'!$G:$G,MATCH($A48,'[1]Définition Maintenances'!$K:$K,0)),DD48,INDEX('[1]Définition Maintenances'!$G:$G,MATCH($A48,'[1]Définition Maintenances'!$K:$K,0))+DD48),DD48))</f>
        <v>241</v>
      </c>
      <c r="DF48" s="26">
        <f>IF(ISNUMBER(VLOOKUP($D48,'Visu totale'!$D:$DH,DF$1,0)),DE48-VLOOKUP($D48,'Visu totale'!$D:$DH,DF$1,0),IF(LEFT(VLOOKUP($D48,'Visu totale'!$D:$DH,DF$1,0),1)="V",IF(DE48&gt;=INDEX('[1]Définition Maintenances'!$G:$G,MATCH($A48,'[1]Définition Maintenances'!$K:$K,0)),DE48,INDEX('[1]Définition Maintenances'!$G:$G,MATCH($A48,'[1]Définition Maintenances'!$K:$K,0))+DE48),DE48))</f>
        <v>241</v>
      </c>
      <c r="DG48" s="26">
        <f>IF(ISNUMBER(VLOOKUP($D48,'Visu totale'!$D:$DH,DG$1,0)),DF48-VLOOKUP($D48,'Visu totale'!$D:$DH,DG$1,0),IF(LEFT(VLOOKUP($D48,'Visu totale'!$D:$DH,DG$1,0),1)="V",IF(DF48&gt;=INDEX('[1]Définition Maintenances'!$G:$G,MATCH($A48,'[1]Définition Maintenances'!$K:$K,0)),DF48,INDEX('[1]Définition Maintenances'!$G:$G,MATCH($A48,'[1]Définition Maintenances'!$K:$K,0))+DF48),DF48))</f>
        <v>241</v>
      </c>
      <c r="DH48" s="26">
        <f>IF(ISNUMBER(VLOOKUP($D48,'Visu totale'!$D:$DH,DH$1,0)),DG48-VLOOKUP($D48,'Visu totale'!$D:$DH,DH$1,0),IF(LEFT(VLOOKUP($D48,'Visu totale'!$D:$DH,DH$1,0),1)="V",IF(DG48&gt;=INDEX('[1]Définition Maintenances'!$G:$G,MATCH($A48,'[1]Définition Maintenances'!$K:$K,0)),DG48,INDEX('[1]Définition Maintenances'!$G:$G,MATCH($A48,'[1]Définition Maintenances'!$K:$K,0))+DG48),DG48))</f>
        <v>241</v>
      </c>
      <c r="DI48" s="27">
        <f>IF(ISNUMBER(VLOOKUP($D48,'Visu totale'!$D:$DH,DI$1,0)),DH48-VLOOKUP($D48,'Visu totale'!$D:$DH,DI$1,0),IF(LEFT(VLOOKUP($D48,'Visu totale'!$D:$DH,DI$1,0),1)="V",IF(DH48&gt;=INDEX('[1]Définition Maintenances'!$G:$G,MATCH($A48,'[1]Définition Maintenances'!$K:$K,0)),DH48,INDEX('[1]Définition Maintenances'!$G:$G,MATCH($A48,'[1]Définition Maintenances'!$K:$K,0))+DH48),DH48))</f>
        <v>241</v>
      </c>
    </row>
    <row r="49" spans="1:113" x14ac:dyDescent="0.25">
      <c r="A49" s="13" t="str">
        <f t="shared" si="1"/>
        <v>V10D</v>
      </c>
      <c r="B49" s="13" t="str">
        <f>VLOOKUP(D49,'[1]Avions (Potentiels)'!$B$2:$H$128,7,FALSE)</f>
        <v>V10</v>
      </c>
      <c r="C49" s="13"/>
      <c r="D49" s="16" t="s">
        <v>52</v>
      </c>
      <c r="E49" s="13">
        <f>IFERROR(VALUE(SUBSTITUTE(VLOOKUP(D49,'[1]Avions (Potentiels)'!$B:$E,4,0),".",",")),VALUE(VLOOKUP(D49,'[1]Avions (Potentiels)'!$B:$E,4,0)))</f>
        <v>461</v>
      </c>
      <c r="F49" s="25">
        <f>IF(ISNUMBER(VLOOKUP($D49,'Visu totale'!$D:$DH,F$1,0)),E49-VLOOKUP($D49,'Visu totale'!$D:$DH,F$1,0),IF(LEFT(VLOOKUP($D49,'Visu totale'!$D:$DH,F$1,0),1)="V",IF(E49&gt;=INDEX('[1]Définition Maintenances'!$G:$G,MATCH($A49,'[1]Définition Maintenances'!$K:$K,0)),E49,INDEX('[1]Définition Maintenances'!$G:$G,MATCH($A49,'[1]Définition Maintenances'!$K:$K,0))+E49),E49))</f>
        <v>461</v>
      </c>
      <c r="G49" s="26">
        <f>IF(ISNUMBER(VLOOKUP($D49,'Visu totale'!$D:$DH,G$1,0)),F49-VLOOKUP($D49,'Visu totale'!$D:$DH,G$1,0),IF(LEFT(VLOOKUP($D49,'Visu totale'!$D:$DH,G$1,0),1)="V",IF(F49&gt;=INDEX('[1]Définition Maintenances'!$G:$G,MATCH($A49,'[1]Définition Maintenances'!$K:$K,0)),F49,INDEX('[1]Définition Maintenances'!$G:$G,MATCH($A49,'[1]Définition Maintenances'!$K:$K,0))+F49),F49))</f>
        <v>461</v>
      </c>
      <c r="H49" s="26">
        <f>IF(ISNUMBER(VLOOKUP($D49,'Visu totale'!$D:$DH,H$1,0)),G49-VLOOKUP($D49,'Visu totale'!$D:$DH,H$1,0),IF(LEFT(VLOOKUP($D49,'Visu totale'!$D:$DH,H$1,0),1)="V",IF(G49&gt;=INDEX('[1]Définition Maintenances'!$G:$G,MATCH($A49,'[1]Définition Maintenances'!$K:$K,0)),G49,INDEX('[1]Définition Maintenances'!$G:$G,MATCH($A49,'[1]Définition Maintenances'!$K:$K,0))+G49),G49))</f>
        <v>461</v>
      </c>
      <c r="I49" s="26">
        <f>IF(ISNUMBER(VLOOKUP($D49,'Visu totale'!$D:$DH,I$1,0)),H49-VLOOKUP($D49,'Visu totale'!$D:$DH,I$1,0),IF(LEFT(VLOOKUP($D49,'Visu totale'!$D:$DH,I$1,0),1)="V",IF(H49&gt;=INDEX('[1]Définition Maintenances'!$G:$G,MATCH($A49,'[1]Définition Maintenances'!$K:$K,0)),H49,INDEX('[1]Définition Maintenances'!$G:$G,MATCH($A49,'[1]Définition Maintenances'!$K:$K,0))+H49),H49))</f>
        <v>461</v>
      </c>
      <c r="J49" s="26">
        <f>IF(ISNUMBER(VLOOKUP($D49,'Visu totale'!$D:$DH,J$1,0)),I49-VLOOKUP($D49,'Visu totale'!$D:$DH,J$1,0),IF(LEFT(VLOOKUP($D49,'Visu totale'!$D:$DH,J$1,0),1)="V",IF(I49&gt;=INDEX('[1]Définition Maintenances'!$G:$G,MATCH($A49,'[1]Définition Maintenances'!$K:$K,0)),I49,INDEX('[1]Définition Maintenances'!$G:$G,MATCH($A49,'[1]Définition Maintenances'!$K:$K,0))+I49),I49))</f>
        <v>461</v>
      </c>
      <c r="K49" s="26">
        <f>IF(ISNUMBER(VLOOKUP($D49,'Visu totale'!$D:$DH,K$1,0)),J49-VLOOKUP($D49,'Visu totale'!$D:$DH,K$1,0),IF(LEFT(VLOOKUP($D49,'Visu totale'!$D:$DH,K$1,0),1)="V",IF(J49&gt;=INDEX('[1]Définition Maintenances'!$G:$G,MATCH($A49,'[1]Définition Maintenances'!$K:$K,0)),J49,INDEX('[1]Définition Maintenances'!$G:$G,MATCH($A49,'[1]Définition Maintenances'!$K:$K,0))+J49),J49))</f>
        <v>461</v>
      </c>
      <c r="L49" s="26">
        <f>IF(ISNUMBER(VLOOKUP($D49,'Visu totale'!$D:$DH,L$1,0)),K49-VLOOKUP($D49,'Visu totale'!$D:$DH,L$1,0),IF(LEFT(VLOOKUP($D49,'Visu totale'!$D:$DH,L$1,0),1)="V",IF(K49&gt;=INDEX('[1]Définition Maintenances'!$G:$G,MATCH($A49,'[1]Définition Maintenances'!$K:$K,0)),K49,INDEX('[1]Définition Maintenances'!$G:$G,MATCH($A49,'[1]Définition Maintenances'!$K:$K,0))+K49),K49))</f>
        <v>461</v>
      </c>
      <c r="M49" s="26">
        <f>IF(ISNUMBER(VLOOKUP($D49,'Visu totale'!$D:$DH,M$1,0)),L49-VLOOKUP($D49,'Visu totale'!$D:$DH,M$1,0),IF(LEFT(VLOOKUP($D49,'Visu totale'!$D:$DH,M$1,0),1)="V",IF(L49&gt;=INDEX('[1]Définition Maintenances'!$G:$G,MATCH($A49,'[1]Définition Maintenances'!$K:$K,0)),L49,INDEX('[1]Définition Maintenances'!$G:$G,MATCH($A49,'[1]Définition Maintenances'!$K:$K,0))+L49),L49))</f>
        <v>461</v>
      </c>
      <c r="N49" s="26">
        <f>IF(ISNUMBER(VLOOKUP($D49,'Visu totale'!$D:$DH,N$1,0)),M49-VLOOKUP($D49,'Visu totale'!$D:$DH,N$1,0),IF(LEFT(VLOOKUP($D49,'Visu totale'!$D:$DH,N$1,0),1)="V",IF(M49&gt;=INDEX('[1]Définition Maintenances'!$G:$G,MATCH($A49,'[1]Définition Maintenances'!$K:$K,0)),M49,INDEX('[1]Définition Maintenances'!$G:$G,MATCH($A49,'[1]Définition Maintenances'!$K:$K,0))+M49),M49))</f>
        <v>461</v>
      </c>
      <c r="O49" s="26">
        <f>IF(ISNUMBER(VLOOKUP($D49,'Visu totale'!$D:$DH,O$1,0)),N49-VLOOKUP($D49,'Visu totale'!$D:$DH,O$1,0),IF(LEFT(VLOOKUP($D49,'Visu totale'!$D:$DH,O$1,0),1)="V",IF(N49&gt;=INDEX('[1]Définition Maintenances'!$G:$G,MATCH($A49,'[1]Définition Maintenances'!$K:$K,0)),N49,INDEX('[1]Définition Maintenances'!$G:$G,MATCH($A49,'[1]Définition Maintenances'!$K:$K,0))+N49),N49))</f>
        <v>461</v>
      </c>
      <c r="P49" s="26">
        <f>IF(ISNUMBER(VLOOKUP($D49,'Visu totale'!$D:$DH,P$1,0)),O49-VLOOKUP($D49,'Visu totale'!$D:$DH,P$1,0),IF(LEFT(VLOOKUP($D49,'Visu totale'!$D:$DH,P$1,0),1)="V",IF(O49&gt;=INDEX('[1]Définition Maintenances'!$G:$G,MATCH($A49,'[1]Définition Maintenances'!$K:$K,0)),O49,INDEX('[1]Définition Maintenances'!$G:$G,MATCH($A49,'[1]Définition Maintenances'!$K:$K,0))+O49),O49))</f>
        <v>461</v>
      </c>
      <c r="Q49" s="27">
        <f>IF(ISNUMBER(VLOOKUP($D49,'Visu totale'!$D:$DH,Q$1,0)),P49-VLOOKUP($D49,'Visu totale'!$D:$DH,Q$1,0),IF(LEFT(VLOOKUP($D49,'Visu totale'!$D:$DH,Q$1,0),1)="V",IF(P49&gt;=INDEX('[1]Définition Maintenances'!$G:$G,MATCH($A49,'[1]Définition Maintenances'!$K:$K,0)),P49,INDEX('[1]Définition Maintenances'!$G:$G,MATCH($A49,'[1]Définition Maintenances'!$K:$K,0))+P49),P49))</f>
        <v>461</v>
      </c>
      <c r="R49" s="25">
        <f>IF(ISNUMBER(VLOOKUP($D49,'Visu totale'!$D:$DH,R$1,0)),Q49-VLOOKUP($D49,'Visu totale'!$D:$DH,R$1,0),IF(LEFT(VLOOKUP($D49,'Visu totale'!$D:$DH,R$1,0),1)="V",IF(Q49&gt;=INDEX('[1]Définition Maintenances'!$G:$G,MATCH($A49,'[1]Définition Maintenances'!$K:$K,0)),Q49,INDEX('[1]Définition Maintenances'!$G:$G,MATCH($A49,'[1]Définition Maintenances'!$K:$K,0))+Q49),Q49))</f>
        <v>461</v>
      </c>
      <c r="S49" s="26">
        <f>IF(ISNUMBER(VLOOKUP($D49,'Visu totale'!$D:$DH,S$1,0)),R49-VLOOKUP($D49,'Visu totale'!$D:$DH,S$1,0),IF(LEFT(VLOOKUP($D49,'Visu totale'!$D:$DH,S$1,0),1)="V",IF(R49&gt;=INDEX('[1]Définition Maintenances'!$G:$G,MATCH($A49,'[1]Définition Maintenances'!$K:$K,0)),R49,INDEX('[1]Définition Maintenances'!$G:$G,MATCH($A49,'[1]Définition Maintenances'!$K:$K,0))+R49),R49))</f>
        <v>461</v>
      </c>
      <c r="T49" s="26">
        <f>IF(ISNUMBER(VLOOKUP($D49,'Visu totale'!$D:$DH,T$1,0)),S49-VLOOKUP($D49,'Visu totale'!$D:$DH,T$1,0),IF(LEFT(VLOOKUP($D49,'Visu totale'!$D:$DH,T$1,0),1)="V",IF(S49&gt;=INDEX('[1]Définition Maintenances'!$G:$G,MATCH($A49,'[1]Définition Maintenances'!$K:$K,0)),S49,INDEX('[1]Définition Maintenances'!$G:$G,MATCH($A49,'[1]Définition Maintenances'!$K:$K,0))+S49),S49))</f>
        <v>461</v>
      </c>
      <c r="U49" s="26">
        <f>IF(ISNUMBER(VLOOKUP($D49,'Visu totale'!$D:$DH,U$1,0)),T49-VLOOKUP($D49,'Visu totale'!$D:$DH,U$1,0),IF(LEFT(VLOOKUP($D49,'Visu totale'!$D:$DH,U$1,0),1)="V",IF(T49&gt;=INDEX('[1]Définition Maintenances'!$G:$G,MATCH($A49,'[1]Définition Maintenances'!$K:$K,0)),T49,INDEX('[1]Définition Maintenances'!$G:$G,MATCH($A49,'[1]Définition Maintenances'!$K:$K,0))+T49),T49))</f>
        <v>461</v>
      </c>
      <c r="V49" s="26">
        <f>IF(ISNUMBER(VLOOKUP($D49,'Visu totale'!$D:$DH,V$1,0)),U49-VLOOKUP($D49,'Visu totale'!$D:$DH,V$1,0),IF(LEFT(VLOOKUP($D49,'Visu totale'!$D:$DH,V$1,0),1)="V",IF(U49&gt;=INDEX('[1]Définition Maintenances'!$G:$G,MATCH($A49,'[1]Définition Maintenances'!$K:$K,0)),U49,INDEX('[1]Définition Maintenances'!$G:$G,MATCH($A49,'[1]Définition Maintenances'!$K:$K,0))+U49),U49))</f>
        <v>461</v>
      </c>
      <c r="W49" s="26">
        <f>IF(ISNUMBER(VLOOKUP($D49,'Visu totale'!$D:$DH,W$1,0)),V49-VLOOKUP($D49,'Visu totale'!$D:$DH,W$1,0),IF(LEFT(VLOOKUP($D49,'Visu totale'!$D:$DH,W$1,0),1)="V",IF(V49&gt;=INDEX('[1]Définition Maintenances'!$G:$G,MATCH($A49,'[1]Définition Maintenances'!$K:$K,0)),V49,INDEX('[1]Définition Maintenances'!$G:$G,MATCH($A49,'[1]Définition Maintenances'!$K:$K,0))+V49),V49))</f>
        <v>461</v>
      </c>
      <c r="X49" s="26">
        <f>IF(ISNUMBER(VLOOKUP($D49,'Visu totale'!$D:$DH,X$1,0)),W49-VLOOKUP($D49,'Visu totale'!$D:$DH,X$1,0),IF(LEFT(VLOOKUP($D49,'Visu totale'!$D:$DH,X$1,0),1)="V",IF(W49&gt;=INDEX('[1]Définition Maintenances'!$G:$G,MATCH($A49,'[1]Définition Maintenances'!$K:$K,0)),W49,INDEX('[1]Définition Maintenances'!$G:$G,MATCH($A49,'[1]Définition Maintenances'!$K:$K,0))+W49),W49))</f>
        <v>461</v>
      </c>
      <c r="Y49" s="26">
        <f>IF(ISNUMBER(VLOOKUP($D49,'Visu totale'!$D:$DH,Y$1,0)),X49-VLOOKUP($D49,'Visu totale'!$D:$DH,Y$1,0),IF(LEFT(VLOOKUP($D49,'Visu totale'!$D:$DH,Y$1,0),1)="V",IF(X49&gt;=INDEX('[1]Définition Maintenances'!$G:$G,MATCH($A49,'[1]Définition Maintenances'!$K:$K,0)),X49,INDEX('[1]Définition Maintenances'!$G:$G,MATCH($A49,'[1]Définition Maintenances'!$K:$K,0))+X49),X49))</f>
        <v>461</v>
      </c>
      <c r="Z49" s="26">
        <f>IF(ISNUMBER(VLOOKUP($D49,'Visu totale'!$D:$DH,Z$1,0)),Y49-VLOOKUP($D49,'Visu totale'!$D:$DH,Z$1,0),IF(LEFT(VLOOKUP($D49,'Visu totale'!$D:$DH,Z$1,0),1)="V",IF(Y49&gt;=INDEX('[1]Définition Maintenances'!$G:$G,MATCH($A49,'[1]Définition Maintenances'!$K:$K,0)),Y49,INDEX('[1]Définition Maintenances'!$G:$G,MATCH($A49,'[1]Définition Maintenances'!$K:$K,0))+Y49),Y49))</f>
        <v>461</v>
      </c>
      <c r="AA49" s="26">
        <f>IF(ISNUMBER(VLOOKUP($D49,'Visu totale'!$D:$DH,AA$1,0)),Z49-VLOOKUP($D49,'Visu totale'!$D:$DH,AA$1,0),IF(LEFT(VLOOKUP($D49,'Visu totale'!$D:$DH,AA$1,0),1)="V",IF(Z49&gt;=INDEX('[1]Définition Maintenances'!$G:$G,MATCH($A49,'[1]Définition Maintenances'!$K:$K,0)),Z49,INDEX('[1]Définition Maintenances'!$G:$G,MATCH($A49,'[1]Définition Maintenances'!$K:$K,0))+Z49),Z49))</f>
        <v>461</v>
      </c>
      <c r="AB49" s="26">
        <f>IF(ISNUMBER(VLOOKUP($D49,'Visu totale'!$D:$DH,AB$1,0)),AA49-VLOOKUP($D49,'Visu totale'!$D:$DH,AB$1,0),IF(LEFT(VLOOKUP($D49,'Visu totale'!$D:$DH,AB$1,0),1)="V",IF(AA49&gt;=INDEX('[1]Définition Maintenances'!$G:$G,MATCH($A49,'[1]Définition Maintenances'!$K:$K,0)),AA49,INDEX('[1]Définition Maintenances'!$G:$G,MATCH($A49,'[1]Définition Maintenances'!$K:$K,0))+AA49),AA49))</f>
        <v>461</v>
      </c>
      <c r="AC49" s="27">
        <f>IF(ISNUMBER(VLOOKUP($D49,'Visu totale'!$D:$DH,AC$1,0)),AB49-VLOOKUP($D49,'Visu totale'!$D:$DH,AC$1,0),IF(LEFT(VLOOKUP($D49,'Visu totale'!$D:$DH,AC$1,0),1)="V",IF(AB49&gt;=INDEX('[1]Définition Maintenances'!$G:$G,MATCH($A49,'[1]Définition Maintenances'!$K:$K,0)),AB49,INDEX('[1]Définition Maintenances'!$G:$G,MATCH($A49,'[1]Définition Maintenances'!$K:$K,0))+AB49),AB49))</f>
        <v>461</v>
      </c>
      <c r="AD49" s="25">
        <f>IF(ISNUMBER(VLOOKUP($D49,'Visu totale'!$D:$DH,AD$1,0)),AC49-VLOOKUP($D49,'Visu totale'!$D:$DH,AD$1,0),IF(LEFT(VLOOKUP($D49,'Visu totale'!$D:$DH,AD$1,0),1)="V",IF(AC49&gt;=INDEX('[1]Définition Maintenances'!$G:$G,MATCH($A49,'[1]Définition Maintenances'!$K:$K,0)),AC49,INDEX('[1]Définition Maintenances'!$G:$G,MATCH($A49,'[1]Définition Maintenances'!$K:$K,0))+AC49),AC49))</f>
        <v>461</v>
      </c>
      <c r="AE49" s="26">
        <f>IF(ISNUMBER(VLOOKUP($D49,'Visu totale'!$D:$DH,AE$1,0)),AD49-VLOOKUP($D49,'Visu totale'!$D:$DH,AE$1,0),IF(LEFT(VLOOKUP($D49,'Visu totale'!$D:$DH,AE$1,0),1)="V",IF(AD49&gt;=INDEX('[1]Définition Maintenances'!$G:$G,MATCH($A49,'[1]Définition Maintenances'!$K:$K,0)),AD49,INDEX('[1]Définition Maintenances'!$G:$G,MATCH($A49,'[1]Définition Maintenances'!$K:$K,0))+AD49),AD49))</f>
        <v>461</v>
      </c>
      <c r="AF49" s="26">
        <f>IF(ISNUMBER(VLOOKUP($D49,'Visu totale'!$D:$DH,AF$1,0)),AE49-VLOOKUP($D49,'Visu totale'!$D:$DH,AF$1,0),IF(LEFT(VLOOKUP($D49,'Visu totale'!$D:$DH,AF$1,0),1)="V",IF(AE49&gt;=INDEX('[1]Définition Maintenances'!$G:$G,MATCH($A49,'[1]Définition Maintenances'!$K:$K,0)),AE49,INDEX('[1]Définition Maintenances'!$G:$G,MATCH($A49,'[1]Définition Maintenances'!$K:$K,0))+AE49),AE49))</f>
        <v>461</v>
      </c>
      <c r="AG49" s="26">
        <f>IF(ISNUMBER(VLOOKUP($D49,'Visu totale'!$D:$DH,AG$1,0)),AF49-VLOOKUP($D49,'Visu totale'!$D:$DH,AG$1,0),IF(LEFT(VLOOKUP($D49,'Visu totale'!$D:$DH,AG$1,0),1)="V",IF(AF49&gt;=INDEX('[1]Définition Maintenances'!$G:$G,MATCH($A49,'[1]Définition Maintenances'!$K:$K,0)),AF49,INDEX('[1]Définition Maintenances'!$G:$G,MATCH($A49,'[1]Définition Maintenances'!$K:$K,0))+AF49),AF49))</f>
        <v>461</v>
      </c>
      <c r="AH49" s="26">
        <f>IF(ISNUMBER(VLOOKUP($D49,'Visu totale'!$D:$DH,AH$1,0)),AG49-VLOOKUP($D49,'Visu totale'!$D:$DH,AH$1,0),IF(LEFT(VLOOKUP($D49,'Visu totale'!$D:$DH,AH$1,0),1)="V",IF(AG49&gt;=INDEX('[1]Définition Maintenances'!$G:$G,MATCH($A49,'[1]Définition Maintenances'!$K:$K,0)),AG49,INDEX('[1]Définition Maintenances'!$G:$G,MATCH($A49,'[1]Définition Maintenances'!$K:$K,0))+AG49),AG49))</f>
        <v>461</v>
      </c>
      <c r="AI49" s="26">
        <f>IF(ISNUMBER(VLOOKUP($D49,'Visu totale'!$D:$DH,AI$1,0)),AH49-VLOOKUP($D49,'Visu totale'!$D:$DH,AI$1,0),IF(LEFT(VLOOKUP($D49,'Visu totale'!$D:$DH,AI$1,0),1)="V",IF(AH49&gt;=INDEX('[1]Définition Maintenances'!$G:$G,MATCH($A49,'[1]Définition Maintenances'!$K:$K,0)),AH49,INDEX('[1]Définition Maintenances'!$G:$G,MATCH($A49,'[1]Définition Maintenances'!$K:$K,0))+AH49),AH49))</f>
        <v>461</v>
      </c>
      <c r="AJ49" s="26">
        <f>IF(ISNUMBER(VLOOKUP($D49,'Visu totale'!$D:$DH,AJ$1,0)),AI49-VLOOKUP($D49,'Visu totale'!$D:$DH,AJ$1,0),IF(LEFT(VLOOKUP($D49,'Visu totale'!$D:$DH,AJ$1,0),1)="V",IF(AI49&gt;=INDEX('[1]Définition Maintenances'!$G:$G,MATCH($A49,'[1]Définition Maintenances'!$K:$K,0)),AI49,INDEX('[1]Définition Maintenances'!$G:$G,MATCH($A49,'[1]Définition Maintenances'!$K:$K,0))+AI49),AI49))</f>
        <v>461</v>
      </c>
      <c r="AK49" s="26">
        <f>IF(ISNUMBER(VLOOKUP($D49,'Visu totale'!$D:$DH,AK$1,0)),AJ49-VLOOKUP($D49,'Visu totale'!$D:$DH,AK$1,0),IF(LEFT(VLOOKUP($D49,'Visu totale'!$D:$DH,AK$1,0),1)="V",IF(AJ49&gt;=INDEX('[1]Définition Maintenances'!$G:$G,MATCH($A49,'[1]Définition Maintenances'!$K:$K,0)),AJ49,INDEX('[1]Définition Maintenances'!$G:$G,MATCH($A49,'[1]Définition Maintenances'!$K:$K,0))+AJ49),AJ49))</f>
        <v>461</v>
      </c>
      <c r="AL49" s="26">
        <f>IF(ISNUMBER(VLOOKUP($D49,'Visu totale'!$D:$DH,AL$1,0)),AK49-VLOOKUP($D49,'Visu totale'!$D:$DH,AL$1,0),IF(LEFT(VLOOKUP($D49,'Visu totale'!$D:$DH,AL$1,0),1)="V",IF(AK49&gt;=INDEX('[1]Définition Maintenances'!$G:$G,MATCH($A49,'[1]Définition Maintenances'!$K:$K,0)),AK49,INDEX('[1]Définition Maintenances'!$G:$G,MATCH($A49,'[1]Définition Maintenances'!$K:$K,0))+AK49),AK49))</f>
        <v>461</v>
      </c>
      <c r="AM49" s="26">
        <f>IF(ISNUMBER(VLOOKUP($D49,'Visu totale'!$D:$DH,AM$1,0)),AL49-VLOOKUP($D49,'Visu totale'!$D:$DH,AM$1,0),IF(LEFT(VLOOKUP($D49,'Visu totale'!$D:$DH,AM$1,0),1)="V",IF(AL49&gt;=INDEX('[1]Définition Maintenances'!$G:$G,MATCH($A49,'[1]Définition Maintenances'!$K:$K,0)),AL49,INDEX('[1]Définition Maintenances'!$G:$G,MATCH($A49,'[1]Définition Maintenances'!$K:$K,0))+AL49),AL49))</f>
        <v>461</v>
      </c>
      <c r="AN49" s="26">
        <f>IF(ISNUMBER(VLOOKUP($D49,'Visu totale'!$D:$DH,AN$1,0)),AM49-VLOOKUP($D49,'Visu totale'!$D:$DH,AN$1,0),IF(LEFT(VLOOKUP($D49,'Visu totale'!$D:$DH,AN$1,0),1)="V",IF(AM49&gt;=INDEX('[1]Définition Maintenances'!$G:$G,MATCH($A49,'[1]Définition Maintenances'!$K:$K,0)),AM49,INDEX('[1]Définition Maintenances'!$G:$G,MATCH($A49,'[1]Définition Maintenances'!$K:$K,0))+AM49),AM49))</f>
        <v>461</v>
      </c>
      <c r="AO49" s="27">
        <f>IF(ISNUMBER(VLOOKUP($D49,'Visu totale'!$D:$DH,AO$1,0)),AN49-VLOOKUP($D49,'Visu totale'!$D:$DH,AO$1,0),IF(LEFT(VLOOKUP($D49,'Visu totale'!$D:$DH,AO$1,0),1)="V",IF(AN49&gt;=INDEX('[1]Définition Maintenances'!$G:$G,MATCH($A49,'[1]Définition Maintenances'!$K:$K,0)),AN49,INDEX('[1]Définition Maintenances'!$G:$G,MATCH($A49,'[1]Définition Maintenances'!$K:$K,0))+AN49),AN49))</f>
        <v>461</v>
      </c>
      <c r="AP49" s="25">
        <f>IF(ISNUMBER(VLOOKUP($D49,'Visu totale'!$D:$DH,AP$1,0)),AO49-VLOOKUP($D49,'Visu totale'!$D:$DH,AP$1,0),IF(LEFT(VLOOKUP($D49,'Visu totale'!$D:$DH,AP$1,0),1)="V",IF(AO49&gt;=INDEX('[1]Définition Maintenances'!$G:$G,MATCH($A49,'[1]Définition Maintenances'!$K:$K,0)),AO49,INDEX('[1]Définition Maintenances'!$G:$G,MATCH($A49,'[1]Définition Maintenances'!$K:$K,0))+AO49),AO49))</f>
        <v>461</v>
      </c>
      <c r="AQ49" s="26">
        <f>IF(ISNUMBER(VLOOKUP($D49,'Visu totale'!$D:$DH,AQ$1,0)),AP49-VLOOKUP($D49,'Visu totale'!$D:$DH,AQ$1,0),IF(LEFT(VLOOKUP($D49,'Visu totale'!$D:$DH,AQ$1,0),1)="V",IF(AP49&gt;=INDEX('[1]Définition Maintenances'!$G:$G,MATCH($A49,'[1]Définition Maintenances'!$K:$K,0)),AP49,INDEX('[1]Définition Maintenances'!$G:$G,MATCH($A49,'[1]Définition Maintenances'!$K:$K,0))+AP49),AP49))</f>
        <v>461</v>
      </c>
      <c r="AR49" s="26">
        <f>IF(ISNUMBER(VLOOKUP($D49,'Visu totale'!$D:$DH,AR$1,0)),AQ49-VLOOKUP($D49,'Visu totale'!$D:$DH,AR$1,0),IF(LEFT(VLOOKUP($D49,'Visu totale'!$D:$DH,AR$1,0),1)="V",IF(AQ49&gt;=INDEX('[1]Définition Maintenances'!$G:$G,MATCH($A49,'[1]Définition Maintenances'!$K:$K,0)),AQ49,INDEX('[1]Définition Maintenances'!$G:$G,MATCH($A49,'[1]Définition Maintenances'!$K:$K,0))+AQ49),AQ49))</f>
        <v>461</v>
      </c>
      <c r="AS49" s="26">
        <f>IF(ISNUMBER(VLOOKUP($D49,'Visu totale'!$D:$DH,AS$1,0)),AR49-VLOOKUP($D49,'Visu totale'!$D:$DH,AS$1,0),IF(LEFT(VLOOKUP($D49,'Visu totale'!$D:$DH,AS$1,0),1)="V",IF(AR49&gt;=INDEX('[1]Définition Maintenances'!$G:$G,MATCH($A49,'[1]Définition Maintenances'!$K:$K,0)),AR49,INDEX('[1]Définition Maintenances'!$G:$G,MATCH($A49,'[1]Définition Maintenances'!$K:$K,0))+AR49),AR49))</f>
        <v>461</v>
      </c>
      <c r="AT49" s="26">
        <f>IF(ISNUMBER(VLOOKUP($D49,'Visu totale'!$D:$DH,AT$1,0)),AS49-VLOOKUP($D49,'Visu totale'!$D:$DH,AT$1,0),IF(LEFT(VLOOKUP($D49,'Visu totale'!$D:$DH,AT$1,0),1)="V",IF(AS49&gt;=INDEX('[1]Définition Maintenances'!$G:$G,MATCH($A49,'[1]Définition Maintenances'!$K:$K,0)),AS49,INDEX('[1]Définition Maintenances'!$G:$G,MATCH($A49,'[1]Définition Maintenances'!$K:$K,0))+AS49),AS49))</f>
        <v>461</v>
      </c>
      <c r="AU49" s="26">
        <f>IF(ISNUMBER(VLOOKUP($D49,'Visu totale'!$D:$DH,AU$1,0)),AT49-VLOOKUP($D49,'Visu totale'!$D:$DH,AU$1,0),IF(LEFT(VLOOKUP($D49,'Visu totale'!$D:$DH,AU$1,0),1)="V",IF(AT49&gt;=INDEX('[1]Définition Maintenances'!$G:$G,MATCH($A49,'[1]Définition Maintenances'!$K:$K,0)),AT49,INDEX('[1]Définition Maintenances'!$G:$G,MATCH($A49,'[1]Définition Maintenances'!$K:$K,0))+AT49),AT49))</f>
        <v>461</v>
      </c>
      <c r="AV49" s="26">
        <f>IF(ISNUMBER(VLOOKUP($D49,'Visu totale'!$D:$DH,AV$1,0)),AU49-VLOOKUP($D49,'Visu totale'!$D:$DH,AV$1,0),IF(LEFT(VLOOKUP($D49,'Visu totale'!$D:$DH,AV$1,0),1)="V",IF(AU49&gt;=INDEX('[1]Définition Maintenances'!$G:$G,MATCH($A49,'[1]Définition Maintenances'!$K:$K,0)),AU49,INDEX('[1]Définition Maintenances'!$G:$G,MATCH($A49,'[1]Définition Maintenances'!$K:$K,0))+AU49),AU49))</f>
        <v>461</v>
      </c>
      <c r="AW49" s="26">
        <f>IF(ISNUMBER(VLOOKUP($D49,'Visu totale'!$D:$DH,AW$1,0)),AV49-VLOOKUP($D49,'Visu totale'!$D:$DH,AW$1,0),IF(LEFT(VLOOKUP($D49,'Visu totale'!$D:$DH,AW$1,0),1)="V",IF(AV49&gt;=INDEX('[1]Définition Maintenances'!$G:$G,MATCH($A49,'[1]Définition Maintenances'!$K:$K,0)),AV49,INDEX('[1]Définition Maintenances'!$G:$G,MATCH($A49,'[1]Définition Maintenances'!$K:$K,0))+AV49),AV49))</f>
        <v>461</v>
      </c>
      <c r="AX49" s="26">
        <f>IF(ISNUMBER(VLOOKUP($D49,'Visu totale'!$D:$DH,AX$1,0)),AW49-VLOOKUP($D49,'Visu totale'!$D:$DH,AX$1,0),IF(LEFT(VLOOKUP($D49,'Visu totale'!$D:$DH,AX$1,0),1)="V",IF(AW49&gt;=INDEX('[1]Définition Maintenances'!$G:$G,MATCH($A49,'[1]Définition Maintenances'!$K:$K,0)),AW49,INDEX('[1]Définition Maintenances'!$G:$G,MATCH($A49,'[1]Définition Maintenances'!$K:$K,0))+AW49),AW49))</f>
        <v>461</v>
      </c>
      <c r="AY49" s="26">
        <f>IF(ISNUMBER(VLOOKUP($D49,'Visu totale'!$D:$DH,AY$1,0)),AX49-VLOOKUP($D49,'Visu totale'!$D:$DH,AY$1,0),IF(LEFT(VLOOKUP($D49,'Visu totale'!$D:$DH,AY$1,0),1)="V",IF(AX49&gt;=INDEX('[1]Définition Maintenances'!$G:$G,MATCH($A49,'[1]Définition Maintenances'!$K:$K,0)),AX49,INDEX('[1]Définition Maintenances'!$G:$G,MATCH($A49,'[1]Définition Maintenances'!$K:$K,0))+AX49),AX49))</f>
        <v>461</v>
      </c>
      <c r="AZ49" s="26">
        <f>IF(ISNUMBER(VLOOKUP($D49,'Visu totale'!$D:$DH,AZ$1,0)),AY49-VLOOKUP($D49,'Visu totale'!$D:$DH,AZ$1,0),IF(LEFT(VLOOKUP($D49,'Visu totale'!$D:$DH,AZ$1,0),1)="V",IF(AY49&gt;=INDEX('[1]Définition Maintenances'!$G:$G,MATCH($A49,'[1]Définition Maintenances'!$K:$K,0)),AY49,INDEX('[1]Définition Maintenances'!$G:$G,MATCH($A49,'[1]Définition Maintenances'!$K:$K,0))+AY49),AY49))</f>
        <v>461</v>
      </c>
      <c r="BA49" s="27">
        <f>IF(ISNUMBER(VLOOKUP($D49,'Visu totale'!$D:$DH,BA$1,0)),AZ49-VLOOKUP($D49,'Visu totale'!$D:$DH,BA$1,0),IF(LEFT(VLOOKUP($D49,'Visu totale'!$D:$DH,BA$1,0),1)="V",IF(AZ49&gt;=INDEX('[1]Définition Maintenances'!$G:$G,MATCH($A49,'[1]Définition Maintenances'!$K:$K,0)),AZ49,INDEX('[1]Définition Maintenances'!$G:$G,MATCH($A49,'[1]Définition Maintenances'!$K:$K,0))+AZ49),AZ49))</f>
        <v>461</v>
      </c>
      <c r="BB49" s="25">
        <f>IF(ISNUMBER(VLOOKUP($D49,'Visu totale'!$D:$DH,BB$1,0)),BA49-VLOOKUP($D49,'Visu totale'!$D:$DH,BB$1,0),IF(LEFT(VLOOKUP($D49,'Visu totale'!$D:$DH,BB$1,0),1)="V",IF(BA49&gt;=INDEX('[1]Définition Maintenances'!$G:$G,MATCH($A49,'[1]Définition Maintenances'!$K:$K,0)),BA49,INDEX('[1]Définition Maintenances'!$G:$G,MATCH($A49,'[1]Définition Maintenances'!$K:$K,0))+BA49),BA49))</f>
        <v>461</v>
      </c>
      <c r="BC49" s="26">
        <f>IF(ISNUMBER(VLOOKUP($D49,'Visu totale'!$D:$DH,BC$1,0)),BB49-VLOOKUP($D49,'Visu totale'!$D:$DH,BC$1,0),IF(LEFT(VLOOKUP($D49,'Visu totale'!$D:$DH,BC$1,0),1)="V",IF(BB49&gt;=INDEX('[1]Définition Maintenances'!$G:$G,MATCH($A49,'[1]Définition Maintenances'!$K:$K,0)),BB49,INDEX('[1]Définition Maintenances'!$G:$G,MATCH($A49,'[1]Définition Maintenances'!$K:$K,0))+BB49),BB49))</f>
        <v>461</v>
      </c>
      <c r="BD49" s="26">
        <f>IF(ISNUMBER(VLOOKUP($D49,'Visu totale'!$D:$DH,BD$1,0)),BC49-VLOOKUP($D49,'Visu totale'!$D:$DH,BD$1,0),IF(LEFT(VLOOKUP($D49,'Visu totale'!$D:$DH,BD$1,0),1)="V",IF(BC49&gt;=INDEX('[1]Définition Maintenances'!$G:$G,MATCH($A49,'[1]Définition Maintenances'!$K:$K,0)),BC49,INDEX('[1]Définition Maintenances'!$G:$G,MATCH($A49,'[1]Définition Maintenances'!$K:$K,0))+BC49),BC49))</f>
        <v>461</v>
      </c>
      <c r="BE49" s="26">
        <f>IF(ISNUMBER(VLOOKUP($D49,'Visu totale'!$D:$DH,BE$1,0)),BD49-VLOOKUP($D49,'Visu totale'!$D:$DH,BE$1,0),IF(LEFT(VLOOKUP($D49,'Visu totale'!$D:$DH,BE$1,0),1)="V",IF(BD49&gt;=INDEX('[1]Définition Maintenances'!$G:$G,MATCH($A49,'[1]Définition Maintenances'!$K:$K,0)),BD49,INDEX('[1]Définition Maintenances'!$G:$G,MATCH($A49,'[1]Définition Maintenances'!$K:$K,0))+BD49),BD49))</f>
        <v>461</v>
      </c>
      <c r="BF49" s="26">
        <f>IF(ISNUMBER(VLOOKUP($D49,'Visu totale'!$D:$DH,BF$1,0)),BE49-VLOOKUP($D49,'Visu totale'!$D:$DH,BF$1,0),IF(LEFT(VLOOKUP($D49,'Visu totale'!$D:$DH,BF$1,0),1)="V",IF(BE49&gt;=INDEX('[1]Définition Maintenances'!$G:$G,MATCH($A49,'[1]Définition Maintenances'!$K:$K,0)),BE49,INDEX('[1]Définition Maintenances'!$G:$G,MATCH($A49,'[1]Définition Maintenances'!$K:$K,0))+BE49),BE49))</f>
        <v>461</v>
      </c>
      <c r="BG49" s="26">
        <f>IF(ISNUMBER(VLOOKUP($D49,'Visu totale'!$D:$DH,BG$1,0)),BF49-VLOOKUP($D49,'Visu totale'!$D:$DH,BG$1,0),IF(LEFT(VLOOKUP($D49,'Visu totale'!$D:$DH,BG$1,0),1)="V",IF(BF49&gt;=INDEX('[1]Définition Maintenances'!$G:$G,MATCH($A49,'[1]Définition Maintenances'!$K:$K,0)),BF49,INDEX('[1]Définition Maintenances'!$G:$G,MATCH($A49,'[1]Définition Maintenances'!$K:$K,0))+BF49),BF49))</f>
        <v>461</v>
      </c>
      <c r="BH49" s="26">
        <f>IF(ISNUMBER(VLOOKUP($D49,'Visu totale'!$D:$DH,BH$1,0)),BG49-VLOOKUP($D49,'Visu totale'!$D:$DH,BH$1,0),IF(LEFT(VLOOKUP($D49,'Visu totale'!$D:$DH,BH$1,0),1)="V",IF(BG49&gt;=INDEX('[1]Définition Maintenances'!$G:$G,MATCH($A49,'[1]Définition Maintenances'!$K:$K,0)),BG49,INDEX('[1]Définition Maintenances'!$G:$G,MATCH($A49,'[1]Définition Maintenances'!$K:$K,0))+BG49),BG49))</f>
        <v>461</v>
      </c>
      <c r="BI49" s="26">
        <f>IF(ISNUMBER(VLOOKUP($D49,'Visu totale'!$D:$DH,BI$1,0)),BH49-VLOOKUP($D49,'Visu totale'!$D:$DH,BI$1,0),IF(LEFT(VLOOKUP($D49,'Visu totale'!$D:$DH,BI$1,0),1)="V",IF(BH49&gt;=INDEX('[1]Définition Maintenances'!$G:$G,MATCH($A49,'[1]Définition Maintenances'!$K:$K,0)),BH49,INDEX('[1]Définition Maintenances'!$G:$G,MATCH($A49,'[1]Définition Maintenances'!$K:$K,0))+BH49),BH49))</f>
        <v>461</v>
      </c>
      <c r="BJ49" s="26">
        <f>IF(ISNUMBER(VLOOKUP($D49,'Visu totale'!$D:$DH,BJ$1,0)),BI49-VLOOKUP($D49,'Visu totale'!$D:$DH,BJ$1,0),IF(LEFT(VLOOKUP($D49,'Visu totale'!$D:$DH,BJ$1,0),1)="V",IF(BI49&gt;=INDEX('[1]Définition Maintenances'!$G:$G,MATCH($A49,'[1]Définition Maintenances'!$K:$K,0)),BI49,INDEX('[1]Définition Maintenances'!$G:$G,MATCH($A49,'[1]Définition Maintenances'!$K:$K,0))+BI49),BI49))</f>
        <v>461</v>
      </c>
      <c r="BK49" s="26">
        <f>IF(ISNUMBER(VLOOKUP($D49,'Visu totale'!$D:$DH,BK$1,0)),BJ49-VLOOKUP($D49,'Visu totale'!$D:$DH,BK$1,0),IF(LEFT(VLOOKUP($D49,'Visu totale'!$D:$DH,BK$1,0),1)="V",IF(BJ49&gt;=INDEX('[1]Définition Maintenances'!$G:$G,MATCH($A49,'[1]Définition Maintenances'!$K:$K,0)),BJ49,INDEX('[1]Définition Maintenances'!$G:$G,MATCH($A49,'[1]Définition Maintenances'!$K:$K,0))+BJ49),BJ49))</f>
        <v>461</v>
      </c>
      <c r="BL49" s="26">
        <f>IF(ISNUMBER(VLOOKUP($D49,'Visu totale'!$D:$DH,BL$1,0)),BK49-VLOOKUP($D49,'Visu totale'!$D:$DH,BL$1,0),IF(LEFT(VLOOKUP($D49,'Visu totale'!$D:$DH,BL$1,0),1)="V",IF(BK49&gt;=INDEX('[1]Définition Maintenances'!$G:$G,MATCH($A49,'[1]Définition Maintenances'!$K:$K,0)),BK49,INDEX('[1]Définition Maintenances'!$G:$G,MATCH($A49,'[1]Définition Maintenances'!$K:$K,0))+BK49),BK49))</f>
        <v>461</v>
      </c>
      <c r="BM49" s="27">
        <f>IF(ISNUMBER(VLOOKUP($D49,'Visu totale'!$D:$DH,BM$1,0)),BL49-VLOOKUP($D49,'Visu totale'!$D:$DH,BM$1,0),IF(LEFT(VLOOKUP($D49,'Visu totale'!$D:$DH,BM$1,0),1)="V",IF(BL49&gt;=INDEX('[1]Définition Maintenances'!$G:$G,MATCH($A49,'[1]Définition Maintenances'!$K:$K,0)),BL49,INDEX('[1]Définition Maintenances'!$G:$G,MATCH($A49,'[1]Définition Maintenances'!$K:$K,0))+BL49),BL49))</f>
        <v>461</v>
      </c>
      <c r="BN49" s="25">
        <f>IF(ISNUMBER(VLOOKUP($D49,'Visu totale'!$D:$DH,BN$1,0)),BM49-VLOOKUP($D49,'Visu totale'!$D:$DH,BN$1,0),IF(LEFT(VLOOKUP($D49,'Visu totale'!$D:$DH,BN$1,0),1)="V",IF(BM49&gt;=INDEX('[1]Définition Maintenances'!$G:$G,MATCH($A49,'[1]Définition Maintenances'!$K:$K,0)),BM49,INDEX('[1]Définition Maintenances'!$G:$G,MATCH($A49,'[1]Définition Maintenances'!$K:$K,0))+BM49),BM49))</f>
        <v>461</v>
      </c>
      <c r="BO49" s="26">
        <f>IF(ISNUMBER(VLOOKUP($D49,'Visu totale'!$D:$DH,BO$1,0)),BN49-VLOOKUP($D49,'Visu totale'!$D:$DH,BO$1,0),IF(LEFT(VLOOKUP($D49,'Visu totale'!$D:$DH,BO$1,0),1)="V",IF(BN49&gt;=INDEX('[1]Définition Maintenances'!$G:$G,MATCH($A49,'[1]Définition Maintenances'!$K:$K,0)),BN49,INDEX('[1]Définition Maintenances'!$G:$G,MATCH($A49,'[1]Définition Maintenances'!$K:$K,0))+BN49),BN49))</f>
        <v>461</v>
      </c>
      <c r="BP49" s="26">
        <f>IF(ISNUMBER(VLOOKUP($D49,'Visu totale'!$D:$DH,BP$1,0)),BO49-VLOOKUP($D49,'Visu totale'!$D:$DH,BP$1,0),IF(LEFT(VLOOKUP($D49,'Visu totale'!$D:$DH,BP$1,0),1)="V",IF(BO49&gt;=INDEX('[1]Définition Maintenances'!$G:$G,MATCH($A49,'[1]Définition Maintenances'!$K:$K,0)),BO49,INDEX('[1]Définition Maintenances'!$G:$G,MATCH($A49,'[1]Définition Maintenances'!$K:$K,0))+BO49),BO49))</f>
        <v>461</v>
      </c>
      <c r="BQ49" s="26">
        <f>IF(ISNUMBER(VLOOKUP($D49,'Visu totale'!$D:$DH,BQ$1,0)),BP49-VLOOKUP($D49,'Visu totale'!$D:$DH,BQ$1,0),IF(LEFT(VLOOKUP($D49,'Visu totale'!$D:$DH,BQ$1,0),1)="V",IF(BP49&gt;=INDEX('[1]Définition Maintenances'!$G:$G,MATCH($A49,'[1]Définition Maintenances'!$K:$K,0)),BP49,INDEX('[1]Définition Maintenances'!$G:$G,MATCH($A49,'[1]Définition Maintenances'!$K:$K,0))+BP49),BP49))</f>
        <v>461</v>
      </c>
      <c r="BR49" s="26">
        <f>IF(ISNUMBER(VLOOKUP($D49,'Visu totale'!$D:$DH,BR$1,0)),BQ49-VLOOKUP($D49,'Visu totale'!$D:$DH,BR$1,0),IF(LEFT(VLOOKUP($D49,'Visu totale'!$D:$DH,BR$1,0),1)="V",IF(BQ49&gt;=INDEX('[1]Définition Maintenances'!$G:$G,MATCH($A49,'[1]Définition Maintenances'!$K:$K,0)),BQ49,INDEX('[1]Définition Maintenances'!$G:$G,MATCH($A49,'[1]Définition Maintenances'!$K:$K,0))+BQ49),BQ49))</f>
        <v>461</v>
      </c>
      <c r="BS49" s="26">
        <f>IF(ISNUMBER(VLOOKUP($D49,'Visu totale'!$D:$DH,BS$1,0)),BR49-VLOOKUP($D49,'Visu totale'!$D:$DH,BS$1,0),IF(LEFT(VLOOKUP($D49,'Visu totale'!$D:$DH,BS$1,0),1)="V",IF(BR49&gt;=INDEX('[1]Définition Maintenances'!$G:$G,MATCH($A49,'[1]Définition Maintenances'!$K:$K,0)),BR49,INDEX('[1]Définition Maintenances'!$G:$G,MATCH($A49,'[1]Définition Maintenances'!$K:$K,0))+BR49),BR49))</f>
        <v>461</v>
      </c>
      <c r="BT49" s="26">
        <f>IF(ISNUMBER(VLOOKUP($D49,'Visu totale'!$D:$DH,BT$1,0)),BS49-VLOOKUP($D49,'Visu totale'!$D:$DH,BT$1,0),IF(LEFT(VLOOKUP($D49,'Visu totale'!$D:$DH,BT$1,0),1)="V",IF(BS49&gt;=INDEX('[1]Définition Maintenances'!$G:$G,MATCH($A49,'[1]Définition Maintenances'!$K:$K,0)),BS49,INDEX('[1]Définition Maintenances'!$G:$G,MATCH($A49,'[1]Définition Maintenances'!$K:$K,0))+BS49),BS49))</f>
        <v>461</v>
      </c>
      <c r="BU49" s="26">
        <f>IF(ISNUMBER(VLOOKUP($D49,'Visu totale'!$D:$DH,BU$1,0)),BT49-VLOOKUP($D49,'Visu totale'!$D:$DH,BU$1,0),IF(LEFT(VLOOKUP($D49,'Visu totale'!$D:$DH,BU$1,0),1)="V",IF(BT49&gt;=INDEX('[1]Définition Maintenances'!$G:$G,MATCH($A49,'[1]Définition Maintenances'!$K:$K,0)),BT49,INDEX('[1]Définition Maintenances'!$G:$G,MATCH($A49,'[1]Définition Maintenances'!$K:$K,0))+BT49),BT49))</f>
        <v>461</v>
      </c>
      <c r="BV49" s="26">
        <f>IF(ISNUMBER(VLOOKUP($D49,'Visu totale'!$D:$DH,BV$1,0)),BU49-VLOOKUP($D49,'Visu totale'!$D:$DH,BV$1,0),IF(LEFT(VLOOKUP($D49,'Visu totale'!$D:$DH,BV$1,0),1)="V",IF(BU49&gt;=INDEX('[1]Définition Maintenances'!$G:$G,MATCH($A49,'[1]Définition Maintenances'!$K:$K,0)),BU49,INDEX('[1]Définition Maintenances'!$G:$G,MATCH($A49,'[1]Définition Maintenances'!$K:$K,0))+BU49),BU49))</f>
        <v>461</v>
      </c>
      <c r="BW49" s="26">
        <f>IF(ISNUMBER(VLOOKUP($D49,'Visu totale'!$D:$DH,BW$1,0)),BV49-VLOOKUP($D49,'Visu totale'!$D:$DH,BW$1,0),IF(LEFT(VLOOKUP($D49,'Visu totale'!$D:$DH,BW$1,0),1)="V",IF(BV49&gt;=INDEX('[1]Définition Maintenances'!$G:$G,MATCH($A49,'[1]Définition Maintenances'!$K:$K,0)),BV49,INDEX('[1]Définition Maintenances'!$G:$G,MATCH($A49,'[1]Définition Maintenances'!$K:$K,0))+BV49),BV49))</f>
        <v>461</v>
      </c>
      <c r="BX49" s="26">
        <f>IF(ISNUMBER(VLOOKUP($D49,'Visu totale'!$D:$DH,BX$1,0)),BW49-VLOOKUP($D49,'Visu totale'!$D:$DH,BX$1,0),IF(LEFT(VLOOKUP($D49,'Visu totale'!$D:$DH,BX$1,0),1)="V",IF(BW49&gt;=INDEX('[1]Définition Maintenances'!$G:$G,MATCH($A49,'[1]Définition Maintenances'!$K:$K,0)),BW49,INDEX('[1]Définition Maintenances'!$G:$G,MATCH($A49,'[1]Définition Maintenances'!$K:$K,0))+BW49),BW49))</f>
        <v>461</v>
      </c>
      <c r="BY49" s="27">
        <f>IF(ISNUMBER(VLOOKUP($D49,'Visu totale'!$D:$DH,BY$1,0)),BX49-VLOOKUP($D49,'Visu totale'!$D:$DH,BY$1,0),IF(LEFT(VLOOKUP($D49,'Visu totale'!$D:$DH,BY$1,0),1)="V",IF(BX49&gt;=INDEX('[1]Définition Maintenances'!$G:$G,MATCH($A49,'[1]Définition Maintenances'!$K:$K,0)),BX49,INDEX('[1]Définition Maintenances'!$G:$G,MATCH($A49,'[1]Définition Maintenances'!$K:$K,0))+BX49),BX49))</f>
        <v>461</v>
      </c>
      <c r="BZ49" s="25">
        <f>IF(ISNUMBER(VLOOKUP($D49,'Visu totale'!$D:$DH,BZ$1,0)),BY49-VLOOKUP($D49,'Visu totale'!$D:$DH,BZ$1,0),IF(LEFT(VLOOKUP($D49,'Visu totale'!$D:$DH,BZ$1,0),1)="V",IF(BY49&gt;=INDEX('[1]Définition Maintenances'!$G:$G,MATCH($A49,'[1]Définition Maintenances'!$K:$K,0)),BY49,INDEX('[1]Définition Maintenances'!$G:$G,MATCH($A49,'[1]Définition Maintenances'!$K:$K,0))+BY49),BY49))</f>
        <v>461</v>
      </c>
      <c r="CA49" s="26">
        <f>IF(ISNUMBER(VLOOKUP($D49,'Visu totale'!$D:$DH,CA$1,0)),BZ49-VLOOKUP($D49,'Visu totale'!$D:$DH,CA$1,0),IF(LEFT(VLOOKUP($D49,'Visu totale'!$D:$DH,CA$1,0),1)="V",IF(BZ49&gt;=INDEX('[1]Définition Maintenances'!$G:$G,MATCH($A49,'[1]Définition Maintenances'!$K:$K,0)),BZ49,INDEX('[1]Définition Maintenances'!$G:$G,MATCH($A49,'[1]Définition Maintenances'!$K:$K,0))+BZ49),BZ49))</f>
        <v>461</v>
      </c>
      <c r="CB49" s="26">
        <f>IF(ISNUMBER(VLOOKUP($D49,'Visu totale'!$D:$DH,CB$1,0)),CA49-VLOOKUP($D49,'Visu totale'!$D:$DH,CB$1,0),IF(LEFT(VLOOKUP($D49,'Visu totale'!$D:$DH,CB$1,0),1)="V",IF(CA49&gt;=INDEX('[1]Définition Maintenances'!$G:$G,MATCH($A49,'[1]Définition Maintenances'!$K:$K,0)),CA49,INDEX('[1]Définition Maintenances'!$G:$G,MATCH($A49,'[1]Définition Maintenances'!$K:$K,0))+CA49),CA49))</f>
        <v>461</v>
      </c>
      <c r="CC49" s="26">
        <f>IF(ISNUMBER(VLOOKUP($D49,'Visu totale'!$D:$DH,CC$1,0)),CB49-VLOOKUP($D49,'Visu totale'!$D:$DH,CC$1,0),IF(LEFT(VLOOKUP($D49,'Visu totale'!$D:$DH,CC$1,0),1)="V",IF(CB49&gt;=INDEX('[1]Définition Maintenances'!$G:$G,MATCH($A49,'[1]Définition Maintenances'!$K:$K,0)),CB49,INDEX('[1]Définition Maintenances'!$G:$G,MATCH($A49,'[1]Définition Maintenances'!$K:$K,0))+CB49),CB49))</f>
        <v>461</v>
      </c>
      <c r="CD49" s="26">
        <f>IF(ISNUMBER(VLOOKUP($D49,'Visu totale'!$D:$DH,CD$1,0)),CC49-VLOOKUP($D49,'Visu totale'!$D:$DH,CD$1,0),IF(LEFT(VLOOKUP($D49,'Visu totale'!$D:$DH,CD$1,0),1)="V",IF(CC49&gt;=INDEX('[1]Définition Maintenances'!$G:$G,MATCH($A49,'[1]Définition Maintenances'!$K:$K,0)),CC49,INDEX('[1]Définition Maintenances'!$G:$G,MATCH($A49,'[1]Définition Maintenances'!$K:$K,0))+CC49),CC49))</f>
        <v>461</v>
      </c>
      <c r="CE49" s="26">
        <f>IF(ISNUMBER(VLOOKUP($D49,'Visu totale'!$D:$DH,CE$1,0)),CD49-VLOOKUP($D49,'Visu totale'!$D:$DH,CE$1,0),IF(LEFT(VLOOKUP($D49,'Visu totale'!$D:$DH,CE$1,0),1)="V",IF(CD49&gt;=INDEX('[1]Définition Maintenances'!$G:$G,MATCH($A49,'[1]Définition Maintenances'!$K:$K,0)),CD49,INDEX('[1]Définition Maintenances'!$G:$G,MATCH($A49,'[1]Définition Maintenances'!$K:$K,0))+CD49),CD49))</f>
        <v>461</v>
      </c>
      <c r="CF49" s="26">
        <f>IF(ISNUMBER(VLOOKUP($D49,'Visu totale'!$D:$DH,CF$1,0)),CE49-VLOOKUP($D49,'Visu totale'!$D:$DH,CF$1,0),IF(LEFT(VLOOKUP($D49,'Visu totale'!$D:$DH,CF$1,0),1)="V",IF(CE49&gt;=INDEX('[1]Définition Maintenances'!$G:$G,MATCH($A49,'[1]Définition Maintenances'!$K:$K,0)),CE49,INDEX('[1]Définition Maintenances'!$G:$G,MATCH($A49,'[1]Définition Maintenances'!$K:$K,0))+CE49),CE49))</f>
        <v>461</v>
      </c>
      <c r="CG49" s="26">
        <f>IF(ISNUMBER(VLOOKUP($D49,'Visu totale'!$D:$DH,CG$1,0)),CF49-VLOOKUP($D49,'Visu totale'!$D:$DH,CG$1,0),IF(LEFT(VLOOKUP($D49,'Visu totale'!$D:$DH,CG$1,0),1)="V",IF(CF49&gt;=INDEX('[1]Définition Maintenances'!$G:$G,MATCH($A49,'[1]Définition Maintenances'!$K:$K,0)),CF49,INDEX('[1]Définition Maintenances'!$G:$G,MATCH($A49,'[1]Définition Maintenances'!$K:$K,0))+CF49),CF49))</f>
        <v>461</v>
      </c>
      <c r="CH49" s="26">
        <f>IF(ISNUMBER(VLOOKUP($D49,'Visu totale'!$D:$DH,CH$1,0)),CG49-VLOOKUP($D49,'Visu totale'!$D:$DH,CH$1,0),IF(LEFT(VLOOKUP($D49,'Visu totale'!$D:$DH,CH$1,0),1)="V",IF(CG49&gt;=INDEX('[1]Définition Maintenances'!$G:$G,MATCH($A49,'[1]Définition Maintenances'!$K:$K,0)),CG49,INDEX('[1]Définition Maintenances'!$G:$G,MATCH($A49,'[1]Définition Maintenances'!$K:$K,0))+CG49),CG49))</f>
        <v>461</v>
      </c>
      <c r="CI49" s="26">
        <f>IF(ISNUMBER(VLOOKUP($D49,'Visu totale'!$D:$DH,CI$1,0)),CH49-VLOOKUP($D49,'Visu totale'!$D:$DH,CI$1,0),IF(LEFT(VLOOKUP($D49,'Visu totale'!$D:$DH,CI$1,0),1)="V",IF(CH49&gt;=INDEX('[1]Définition Maintenances'!$G:$G,MATCH($A49,'[1]Définition Maintenances'!$K:$K,0)),CH49,INDEX('[1]Définition Maintenances'!$G:$G,MATCH($A49,'[1]Définition Maintenances'!$K:$K,0))+CH49),CH49))</f>
        <v>461</v>
      </c>
      <c r="CJ49" s="26">
        <f>IF(ISNUMBER(VLOOKUP($D49,'Visu totale'!$D:$DH,CJ$1,0)),CI49-VLOOKUP($D49,'Visu totale'!$D:$DH,CJ$1,0),IF(LEFT(VLOOKUP($D49,'Visu totale'!$D:$DH,CJ$1,0),1)="V",IF(CI49&gt;=INDEX('[1]Définition Maintenances'!$G:$G,MATCH($A49,'[1]Définition Maintenances'!$K:$K,0)),CI49,INDEX('[1]Définition Maintenances'!$G:$G,MATCH($A49,'[1]Définition Maintenances'!$K:$K,0))+CI49),CI49))</f>
        <v>461</v>
      </c>
      <c r="CK49" s="27">
        <f>IF(ISNUMBER(VLOOKUP($D49,'Visu totale'!$D:$DH,CK$1,0)),CJ49-VLOOKUP($D49,'Visu totale'!$D:$DH,CK$1,0),IF(LEFT(VLOOKUP($D49,'Visu totale'!$D:$DH,CK$1,0),1)="V",IF(CJ49&gt;=INDEX('[1]Définition Maintenances'!$G:$G,MATCH($A49,'[1]Définition Maintenances'!$K:$K,0)),CJ49,INDEX('[1]Définition Maintenances'!$G:$G,MATCH($A49,'[1]Définition Maintenances'!$K:$K,0))+CJ49),CJ49))</f>
        <v>461</v>
      </c>
      <c r="CL49" s="25">
        <f>IF(ISNUMBER(VLOOKUP($D49,'Visu totale'!$D:$DH,CL$1,0)),CK49-VLOOKUP($D49,'Visu totale'!$D:$DH,CL$1,0),IF(LEFT(VLOOKUP($D49,'Visu totale'!$D:$DH,CL$1,0),1)="V",IF(CK49&gt;=INDEX('[1]Définition Maintenances'!$G:$G,MATCH($A49,'[1]Définition Maintenances'!$K:$K,0)),CK49,INDEX('[1]Définition Maintenances'!$G:$G,MATCH($A49,'[1]Définition Maintenances'!$K:$K,0))+CK49),CK49))</f>
        <v>461</v>
      </c>
      <c r="CM49" s="26">
        <f>IF(ISNUMBER(VLOOKUP($D49,'Visu totale'!$D:$DH,CM$1,0)),CL49-VLOOKUP($D49,'Visu totale'!$D:$DH,CM$1,0),IF(LEFT(VLOOKUP($D49,'Visu totale'!$D:$DH,CM$1,0),1)="V",IF(CL49&gt;=INDEX('[1]Définition Maintenances'!$G:$G,MATCH($A49,'[1]Définition Maintenances'!$K:$K,0)),CL49,INDEX('[1]Définition Maintenances'!$G:$G,MATCH($A49,'[1]Définition Maintenances'!$K:$K,0))+CL49),CL49))</f>
        <v>461</v>
      </c>
      <c r="CN49" s="26">
        <f>IF(ISNUMBER(VLOOKUP($D49,'Visu totale'!$D:$DH,CN$1,0)),CM49-VLOOKUP($D49,'Visu totale'!$D:$DH,CN$1,0),IF(LEFT(VLOOKUP($D49,'Visu totale'!$D:$DH,CN$1,0),1)="V",IF(CM49&gt;=INDEX('[1]Définition Maintenances'!$G:$G,MATCH($A49,'[1]Définition Maintenances'!$K:$K,0)),CM49,INDEX('[1]Définition Maintenances'!$G:$G,MATCH($A49,'[1]Définition Maintenances'!$K:$K,0))+CM49),CM49))</f>
        <v>461</v>
      </c>
      <c r="CO49" s="26">
        <f>IF(ISNUMBER(VLOOKUP($D49,'Visu totale'!$D:$DH,CO$1,0)),CN49-VLOOKUP($D49,'Visu totale'!$D:$DH,CO$1,0),IF(LEFT(VLOOKUP($D49,'Visu totale'!$D:$DH,CO$1,0),1)="V",IF(CN49&gt;=INDEX('[1]Définition Maintenances'!$G:$G,MATCH($A49,'[1]Définition Maintenances'!$K:$K,0)),CN49,INDEX('[1]Définition Maintenances'!$G:$G,MATCH($A49,'[1]Définition Maintenances'!$K:$K,0))+CN49),CN49))</f>
        <v>461</v>
      </c>
      <c r="CP49" s="26">
        <f>IF(ISNUMBER(VLOOKUP($D49,'Visu totale'!$D:$DH,CP$1,0)),CO49-VLOOKUP($D49,'Visu totale'!$D:$DH,CP$1,0),IF(LEFT(VLOOKUP($D49,'Visu totale'!$D:$DH,CP$1,0),1)="V",IF(CO49&gt;=INDEX('[1]Définition Maintenances'!$G:$G,MATCH($A49,'[1]Définition Maintenances'!$K:$K,0)),CO49,INDEX('[1]Définition Maintenances'!$G:$G,MATCH($A49,'[1]Définition Maintenances'!$K:$K,0))+CO49),CO49))</f>
        <v>461</v>
      </c>
      <c r="CQ49" s="26">
        <f>IF(ISNUMBER(VLOOKUP($D49,'Visu totale'!$D:$DH,CQ$1,0)),CP49-VLOOKUP($D49,'Visu totale'!$D:$DH,CQ$1,0),IF(LEFT(VLOOKUP($D49,'Visu totale'!$D:$DH,CQ$1,0),1)="V",IF(CP49&gt;=INDEX('[1]Définition Maintenances'!$G:$G,MATCH($A49,'[1]Définition Maintenances'!$K:$K,0)),CP49,INDEX('[1]Définition Maintenances'!$G:$G,MATCH($A49,'[1]Définition Maintenances'!$K:$K,0))+CP49),CP49))</f>
        <v>461</v>
      </c>
      <c r="CR49" s="26">
        <f>IF(ISNUMBER(VLOOKUP($D49,'Visu totale'!$D:$DH,CR$1,0)),CQ49-VLOOKUP($D49,'Visu totale'!$D:$DH,CR$1,0),IF(LEFT(VLOOKUP($D49,'Visu totale'!$D:$DH,CR$1,0),1)="V",IF(CQ49&gt;=INDEX('[1]Définition Maintenances'!$G:$G,MATCH($A49,'[1]Définition Maintenances'!$K:$K,0)),CQ49,INDEX('[1]Définition Maintenances'!$G:$G,MATCH($A49,'[1]Définition Maintenances'!$K:$K,0))+CQ49),CQ49))</f>
        <v>461</v>
      </c>
      <c r="CS49" s="26">
        <f>IF(ISNUMBER(VLOOKUP($D49,'Visu totale'!$D:$DH,CS$1,0)),CR49-VLOOKUP($D49,'Visu totale'!$D:$DH,CS$1,0),IF(LEFT(VLOOKUP($D49,'Visu totale'!$D:$DH,CS$1,0),1)="V",IF(CR49&gt;=INDEX('[1]Définition Maintenances'!$G:$G,MATCH($A49,'[1]Définition Maintenances'!$K:$K,0)),CR49,INDEX('[1]Définition Maintenances'!$G:$G,MATCH($A49,'[1]Définition Maintenances'!$K:$K,0))+CR49),CR49))</f>
        <v>461</v>
      </c>
      <c r="CT49" s="26">
        <f>IF(ISNUMBER(VLOOKUP($D49,'Visu totale'!$D:$DH,CT$1,0)),CS49-VLOOKUP($D49,'Visu totale'!$D:$DH,CT$1,0),IF(LEFT(VLOOKUP($D49,'Visu totale'!$D:$DH,CT$1,0),1)="V",IF(CS49&gt;=INDEX('[1]Définition Maintenances'!$G:$G,MATCH($A49,'[1]Définition Maintenances'!$K:$K,0)),CS49,INDEX('[1]Définition Maintenances'!$G:$G,MATCH($A49,'[1]Définition Maintenances'!$K:$K,0))+CS49),CS49))</f>
        <v>461</v>
      </c>
      <c r="CU49" s="26">
        <f>IF(ISNUMBER(VLOOKUP($D49,'Visu totale'!$D:$DH,CU$1,0)),CT49-VLOOKUP($D49,'Visu totale'!$D:$DH,CU$1,0),IF(LEFT(VLOOKUP($D49,'Visu totale'!$D:$DH,CU$1,0),1)="V",IF(CT49&gt;=INDEX('[1]Définition Maintenances'!$G:$G,MATCH($A49,'[1]Définition Maintenances'!$K:$K,0)),CT49,INDEX('[1]Définition Maintenances'!$G:$G,MATCH($A49,'[1]Définition Maintenances'!$K:$K,0))+CT49),CT49))</f>
        <v>461</v>
      </c>
      <c r="CV49" s="26">
        <f>IF(ISNUMBER(VLOOKUP($D49,'Visu totale'!$D:$DH,CV$1,0)),CU49-VLOOKUP($D49,'Visu totale'!$D:$DH,CV$1,0),IF(LEFT(VLOOKUP($D49,'Visu totale'!$D:$DH,CV$1,0),1)="V",IF(CU49&gt;=INDEX('[1]Définition Maintenances'!$G:$G,MATCH($A49,'[1]Définition Maintenances'!$K:$K,0)),CU49,INDEX('[1]Définition Maintenances'!$G:$G,MATCH($A49,'[1]Définition Maintenances'!$K:$K,0))+CU49),CU49))</f>
        <v>461</v>
      </c>
      <c r="CW49" s="27">
        <f>IF(ISNUMBER(VLOOKUP($D49,'Visu totale'!$D:$DH,CW$1,0)),CV49-VLOOKUP($D49,'Visu totale'!$D:$DH,CW$1,0),IF(LEFT(VLOOKUP($D49,'Visu totale'!$D:$DH,CW$1,0),1)="V",IF(CV49&gt;=INDEX('[1]Définition Maintenances'!$G:$G,MATCH($A49,'[1]Définition Maintenances'!$K:$K,0)),CV49,INDEX('[1]Définition Maintenances'!$G:$G,MATCH($A49,'[1]Définition Maintenances'!$K:$K,0))+CV49),CV49))</f>
        <v>461</v>
      </c>
      <c r="CX49" s="25">
        <f>IF(ISNUMBER(VLOOKUP($D49,'Visu totale'!$D:$DH,CX$1,0)),CW49-VLOOKUP($D49,'Visu totale'!$D:$DH,CX$1,0),IF(LEFT(VLOOKUP($D49,'Visu totale'!$D:$DH,CX$1,0),1)="V",IF(CW49&gt;=INDEX('[1]Définition Maintenances'!$G:$G,MATCH($A49,'[1]Définition Maintenances'!$K:$K,0)),CW49,INDEX('[1]Définition Maintenances'!$G:$G,MATCH($A49,'[1]Définition Maintenances'!$K:$K,0))+CW49),CW49))</f>
        <v>461</v>
      </c>
      <c r="CY49" s="26">
        <f>IF(ISNUMBER(VLOOKUP($D49,'Visu totale'!$D:$DH,CY$1,0)),CX49-VLOOKUP($D49,'Visu totale'!$D:$DH,CY$1,0),IF(LEFT(VLOOKUP($D49,'Visu totale'!$D:$DH,CY$1,0),1)="V",IF(CX49&gt;=INDEX('[1]Définition Maintenances'!$G:$G,MATCH($A49,'[1]Définition Maintenances'!$K:$K,0)),CX49,INDEX('[1]Définition Maintenances'!$G:$G,MATCH($A49,'[1]Définition Maintenances'!$K:$K,0))+CX49),CX49))</f>
        <v>461</v>
      </c>
      <c r="CZ49" s="26">
        <f>IF(ISNUMBER(VLOOKUP($D49,'Visu totale'!$D:$DH,CZ$1,0)),CY49-VLOOKUP($D49,'Visu totale'!$D:$DH,CZ$1,0),IF(LEFT(VLOOKUP($D49,'Visu totale'!$D:$DH,CZ$1,0),1)="V",IF(CY49&gt;=INDEX('[1]Définition Maintenances'!$G:$G,MATCH($A49,'[1]Définition Maintenances'!$K:$K,0)),CY49,INDEX('[1]Définition Maintenances'!$G:$G,MATCH($A49,'[1]Définition Maintenances'!$K:$K,0))+CY49),CY49))</f>
        <v>461</v>
      </c>
      <c r="DA49" s="26">
        <f>IF(ISNUMBER(VLOOKUP($D49,'Visu totale'!$D:$DH,DA$1,0)),CZ49-VLOOKUP($D49,'Visu totale'!$D:$DH,DA$1,0),IF(LEFT(VLOOKUP($D49,'Visu totale'!$D:$DH,DA$1,0),1)="V",IF(CZ49&gt;=INDEX('[1]Définition Maintenances'!$G:$G,MATCH($A49,'[1]Définition Maintenances'!$K:$K,0)),CZ49,INDEX('[1]Définition Maintenances'!$G:$G,MATCH($A49,'[1]Définition Maintenances'!$K:$K,0))+CZ49),CZ49))</f>
        <v>461</v>
      </c>
      <c r="DB49" s="26">
        <f>IF(ISNUMBER(VLOOKUP($D49,'Visu totale'!$D:$DH,DB$1,0)),DA49-VLOOKUP($D49,'Visu totale'!$D:$DH,DB$1,0),IF(LEFT(VLOOKUP($D49,'Visu totale'!$D:$DH,DB$1,0),1)="V",IF(DA49&gt;=INDEX('[1]Définition Maintenances'!$G:$G,MATCH($A49,'[1]Définition Maintenances'!$K:$K,0)),DA49,INDEX('[1]Définition Maintenances'!$G:$G,MATCH($A49,'[1]Définition Maintenances'!$K:$K,0))+DA49),DA49))</f>
        <v>461</v>
      </c>
      <c r="DC49" s="26">
        <f>IF(ISNUMBER(VLOOKUP($D49,'Visu totale'!$D:$DH,DC$1,0)),DB49-VLOOKUP($D49,'Visu totale'!$D:$DH,DC$1,0),IF(LEFT(VLOOKUP($D49,'Visu totale'!$D:$DH,DC$1,0),1)="V",IF(DB49&gt;=INDEX('[1]Définition Maintenances'!$G:$G,MATCH($A49,'[1]Définition Maintenances'!$K:$K,0)),DB49,INDEX('[1]Définition Maintenances'!$G:$G,MATCH($A49,'[1]Définition Maintenances'!$K:$K,0))+DB49),DB49))</f>
        <v>461</v>
      </c>
      <c r="DD49" s="26">
        <f>IF(ISNUMBER(VLOOKUP($D49,'Visu totale'!$D:$DH,DD$1,0)),DC49-VLOOKUP($D49,'Visu totale'!$D:$DH,DD$1,0),IF(LEFT(VLOOKUP($D49,'Visu totale'!$D:$DH,DD$1,0),1)="V",IF(DC49&gt;=INDEX('[1]Définition Maintenances'!$G:$G,MATCH($A49,'[1]Définition Maintenances'!$K:$K,0)),DC49,INDEX('[1]Définition Maintenances'!$G:$G,MATCH($A49,'[1]Définition Maintenances'!$K:$K,0))+DC49),DC49))</f>
        <v>461</v>
      </c>
      <c r="DE49" s="26">
        <f>IF(ISNUMBER(VLOOKUP($D49,'Visu totale'!$D:$DH,DE$1,0)),DD49-VLOOKUP($D49,'Visu totale'!$D:$DH,DE$1,0),IF(LEFT(VLOOKUP($D49,'Visu totale'!$D:$DH,DE$1,0),1)="V",IF(DD49&gt;=INDEX('[1]Définition Maintenances'!$G:$G,MATCH($A49,'[1]Définition Maintenances'!$K:$K,0)),DD49,INDEX('[1]Définition Maintenances'!$G:$G,MATCH($A49,'[1]Définition Maintenances'!$K:$K,0))+DD49),DD49))</f>
        <v>461</v>
      </c>
      <c r="DF49" s="26">
        <f>IF(ISNUMBER(VLOOKUP($D49,'Visu totale'!$D:$DH,DF$1,0)),DE49-VLOOKUP($D49,'Visu totale'!$D:$DH,DF$1,0),IF(LEFT(VLOOKUP($D49,'Visu totale'!$D:$DH,DF$1,0),1)="V",IF(DE49&gt;=INDEX('[1]Définition Maintenances'!$G:$G,MATCH($A49,'[1]Définition Maintenances'!$K:$K,0)),DE49,INDEX('[1]Définition Maintenances'!$G:$G,MATCH($A49,'[1]Définition Maintenances'!$K:$K,0))+DE49),DE49))</f>
        <v>461</v>
      </c>
      <c r="DG49" s="26">
        <f>IF(ISNUMBER(VLOOKUP($D49,'Visu totale'!$D:$DH,DG$1,0)),DF49-VLOOKUP($D49,'Visu totale'!$D:$DH,DG$1,0),IF(LEFT(VLOOKUP($D49,'Visu totale'!$D:$DH,DG$1,0),1)="V",IF(DF49&gt;=INDEX('[1]Définition Maintenances'!$G:$G,MATCH($A49,'[1]Définition Maintenances'!$K:$K,0)),DF49,INDEX('[1]Définition Maintenances'!$G:$G,MATCH($A49,'[1]Définition Maintenances'!$K:$K,0))+DF49),DF49))</f>
        <v>461</v>
      </c>
      <c r="DH49" s="26">
        <f>IF(ISNUMBER(VLOOKUP($D49,'Visu totale'!$D:$DH,DH$1,0)),DG49-VLOOKUP($D49,'Visu totale'!$D:$DH,DH$1,0),IF(LEFT(VLOOKUP($D49,'Visu totale'!$D:$DH,DH$1,0),1)="V",IF(DG49&gt;=INDEX('[1]Définition Maintenances'!$G:$G,MATCH($A49,'[1]Définition Maintenances'!$K:$K,0)),DG49,INDEX('[1]Définition Maintenances'!$G:$G,MATCH($A49,'[1]Définition Maintenances'!$K:$K,0))+DG49),DG49))</f>
        <v>461</v>
      </c>
      <c r="DI49" s="27">
        <f>IF(ISNUMBER(VLOOKUP($D49,'Visu totale'!$D:$DH,DI$1,0)),DH49-VLOOKUP($D49,'Visu totale'!$D:$DH,DI$1,0),IF(LEFT(VLOOKUP($D49,'Visu totale'!$D:$DH,DI$1,0),1)="V",IF(DH49&gt;=INDEX('[1]Définition Maintenances'!$G:$G,MATCH($A49,'[1]Définition Maintenances'!$K:$K,0)),DH49,INDEX('[1]Définition Maintenances'!$G:$G,MATCH($A49,'[1]Définition Maintenances'!$K:$K,0))+DH49),DH49))</f>
        <v>461</v>
      </c>
    </row>
    <row r="50" spans="1:113" x14ac:dyDescent="0.25">
      <c r="A50" s="13" t="str">
        <f t="shared" si="1"/>
        <v>V10D</v>
      </c>
      <c r="B50" s="13" t="str">
        <f>VLOOKUP(D50,'[1]Avions (Potentiels)'!$B$2:$H$128,7,FALSE)</f>
        <v>V10</v>
      </c>
      <c r="C50" s="13"/>
      <c r="D50" s="16" t="s">
        <v>53</v>
      </c>
      <c r="E50" s="13">
        <f>IFERROR(VALUE(SUBSTITUTE(VLOOKUP(D50,'[1]Avions (Potentiels)'!$B:$E,4,0),".",",")),VALUE(VLOOKUP(D50,'[1]Avions (Potentiels)'!$B:$E,4,0)))</f>
        <v>1178</v>
      </c>
      <c r="F50" s="25">
        <f>IF(ISNUMBER(VLOOKUP($D50,'Visu totale'!$D:$DH,F$1,0)),E50-VLOOKUP($D50,'Visu totale'!$D:$DH,F$1,0),IF(LEFT(VLOOKUP($D50,'Visu totale'!$D:$DH,F$1,0),1)="V",IF(E50&gt;=INDEX('[1]Définition Maintenances'!$G:$G,MATCH($A50,'[1]Définition Maintenances'!$K:$K,0)),E50,INDEX('[1]Définition Maintenances'!$G:$G,MATCH($A50,'[1]Définition Maintenances'!$K:$K,0))+E50),E50))</f>
        <v>1178</v>
      </c>
      <c r="G50" s="26">
        <f>IF(ISNUMBER(VLOOKUP($D50,'Visu totale'!$D:$DH,G$1,0)),F50-VLOOKUP($D50,'Visu totale'!$D:$DH,G$1,0),IF(LEFT(VLOOKUP($D50,'Visu totale'!$D:$DH,G$1,0),1)="V",IF(F50&gt;=INDEX('[1]Définition Maintenances'!$G:$G,MATCH($A50,'[1]Définition Maintenances'!$K:$K,0)),F50,INDEX('[1]Définition Maintenances'!$G:$G,MATCH($A50,'[1]Définition Maintenances'!$K:$K,0))+F50),F50))</f>
        <v>1178</v>
      </c>
      <c r="H50" s="26">
        <f>IF(ISNUMBER(VLOOKUP($D50,'Visu totale'!$D:$DH,H$1,0)),G50-VLOOKUP($D50,'Visu totale'!$D:$DH,H$1,0),IF(LEFT(VLOOKUP($D50,'Visu totale'!$D:$DH,H$1,0),1)="V",IF(G50&gt;=INDEX('[1]Définition Maintenances'!$G:$G,MATCH($A50,'[1]Définition Maintenances'!$K:$K,0)),G50,INDEX('[1]Définition Maintenances'!$G:$G,MATCH($A50,'[1]Définition Maintenances'!$K:$K,0))+G50),G50))</f>
        <v>1178</v>
      </c>
      <c r="I50" s="26">
        <f>IF(ISNUMBER(VLOOKUP($D50,'Visu totale'!$D:$DH,I$1,0)),H50-VLOOKUP($D50,'Visu totale'!$D:$DH,I$1,0),IF(LEFT(VLOOKUP($D50,'Visu totale'!$D:$DH,I$1,0),1)="V",IF(H50&gt;=INDEX('[1]Définition Maintenances'!$G:$G,MATCH($A50,'[1]Définition Maintenances'!$K:$K,0)),H50,INDEX('[1]Définition Maintenances'!$G:$G,MATCH($A50,'[1]Définition Maintenances'!$K:$K,0))+H50),H50))</f>
        <v>1178</v>
      </c>
      <c r="J50" s="26">
        <f>IF(ISNUMBER(VLOOKUP($D50,'Visu totale'!$D:$DH,J$1,0)),I50-VLOOKUP($D50,'Visu totale'!$D:$DH,J$1,0),IF(LEFT(VLOOKUP($D50,'Visu totale'!$D:$DH,J$1,0),1)="V",IF(I50&gt;=INDEX('[1]Définition Maintenances'!$G:$G,MATCH($A50,'[1]Définition Maintenances'!$K:$K,0)),I50,INDEX('[1]Définition Maintenances'!$G:$G,MATCH($A50,'[1]Définition Maintenances'!$K:$K,0))+I50),I50))</f>
        <v>1178</v>
      </c>
      <c r="K50" s="26">
        <f>IF(ISNUMBER(VLOOKUP($D50,'Visu totale'!$D:$DH,K$1,0)),J50-VLOOKUP($D50,'Visu totale'!$D:$DH,K$1,0),IF(LEFT(VLOOKUP($D50,'Visu totale'!$D:$DH,K$1,0),1)="V",IF(J50&gt;=INDEX('[1]Définition Maintenances'!$G:$G,MATCH($A50,'[1]Définition Maintenances'!$K:$K,0)),J50,INDEX('[1]Définition Maintenances'!$G:$G,MATCH($A50,'[1]Définition Maintenances'!$K:$K,0))+J50),J50))</f>
        <v>1178</v>
      </c>
      <c r="L50" s="26">
        <f>IF(ISNUMBER(VLOOKUP($D50,'Visu totale'!$D:$DH,L$1,0)),K50-VLOOKUP($D50,'Visu totale'!$D:$DH,L$1,0),IF(LEFT(VLOOKUP($D50,'Visu totale'!$D:$DH,L$1,0),1)="V",IF(K50&gt;=INDEX('[1]Définition Maintenances'!$G:$G,MATCH($A50,'[1]Définition Maintenances'!$K:$K,0)),K50,INDEX('[1]Définition Maintenances'!$G:$G,MATCH($A50,'[1]Définition Maintenances'!$K:$K,0))+K50),K50))</f>
        <v>1178</v>
      </c>
      <c r="M50" s="26">
        <f>IF(ISNUMBER(VLOOKUP($D50,'Visu totale'!$D:$DH,M$1,0)),L50-VLOOKUP($D50,'Visu totale'!$D:$DH,M$1,0),IF(LEFT(VLOOKUP($D50,'Visu totale'!$D:$DH,M$1,0),1)="V",IF(L50&gt;=INDEX('[1]Définition Maintenances'!$G:$G,MATCH($A50,'[1]Définition Maintenances'!$K:$K,0)),L50,INDEX('[1]Définition Maintenances'!$G:$G,MATCH($A50,'[1]Définition Maintenances'!$K:$K,0))+L50),L50))</f>
        <v>1178</v>
      </c>
      <c r="N50" s="26">
        <f>IF(ISNUMBER(VLOOKUP($D50,'Visu totale'!$D:$DH,N$1,0)),M50-VLOOKUP($D50,'Visu totale'!$D:$DH,N$1,0),IF(LEFT(VLOOKUP($D50,'Visu totale'!$D:$DH,N$1,0),1)="V",IF(M50&gt;=INDEX('[1]Définition Maintenances'!$G:$G,MATCH($A50,'[1]Définition Maintenances'!$K:$K,0)),M50,INDEX('[1]Définition Maintenances'!$G:$G,MATCH($A50,'[1]Définition Maintenances'!$K:$K,0))+M50),M50))</f>
        <v>1178</v>
      </c>
      <c r="O50" s="26">
        <f>IF(ISNUMBER(VLOOKUP($D50,'Visu totale'!$D:$DH,O$1,0)),N50-VLOOKUP($D50,'Visu totale'!$D:$DH,O$1,0),IF(LEFT(VLOOKUP($D50,'Visu totale'!$D:$DH,O$1,0),1)="V",IF(N50&gt;=INDEX('[1]Définition Maintenances'!$G:$G,MATCH($A50,'[1]Définition Maintenances'!$K:$K,0)),N50,INDEX('[1]Définition Maintenances'!$G:$G,MATCH($A50,'[1]Définition Maintenances'!$K:$K,0))+N50),N50))</f>
        <v>1178</v>
      </c>
      <c r="P50" s="26">
        <f>IF(ISNUMBER(VLOOKUP($D50,'Visu totale'!$D:$DH,P$1,0)),O50-VLOOKUP($D50,'Visu totale'!$D:$DH,P$1,0),IF(LEFT(VLOOKUP($D50,'Visu totale'!$D:$DH,P$1,0),1)="V",IF(O50&gt;=INDEX('[1]Définition Maintenances'!$G:$G,MATCH($A50,'[1]Définition Maintenances'!$K:$K,0)),O50,INDEX('[1]Définition Maintenances'!$G:$G,MATCH($A50,'[1]Définition Maintenances'!$K:$K,0))+O50),O50))</f>
        <v>1178</v>
      </c>
      <c r="Q50" s="27">
        <f>IF(ISNUMBER(VLOOKUP($D50,'Visu totale'!$D:$DH,Q$1,0)),P50-VLOOKUP($D50,'Visu totale'!$D:$DH,Q$1,0),IF(LEFT(VLOOKUP($D50,'Visu totale'!$D:$DH,Q$1,0),1)="V",IF(P50&gt;=INDEX('[1]Définition Maintenances'!$G:$G,MATCH($A50,'[1]Définition Maintenances'!$K:$K,0)),P50,INDEX('[1]Définition Maintenances'!$G:$G,MATCH($A50,'[1]Définition Maintenances'!$K:$K,0))+P50),P50))</f>
        <v>1178</v>
      </c>
      <c r="R50" s="25">
        <f>IF(ISNUMBER(VLOOKUP($D50,'Visu totale'!$D:$DH,R$1,0)),Q50-VLOOKUP($D50,'Visu totale'!$D:$DH,R$1,0),IF(LEFT(VLOOKUP($D50,'Visu totale'!$D:$DH,R$1,0),1)="V",IF(Q50&gt;=INDEX('[1]Définition Maintenances'!$G:$G,MATCH($A50,'[1]Définition Maintenances'!$K:$K,0)),Q50,INDEX('[1]Définition Maintenances'!$G:$G,MATCH($A50,'[1]Définition Maintenances'!$K:$K,0))+Q50),Q50))</f>
        <v>1178</v>
      </c>
      <c r="S50" s="26">
        <f>IF(ISNUMBER(VLOOKUP($D50,'Visu totale'!$D:$DH,S$1,0)),R50-VLOOKUP($D50,'Visu totale'!$D:$DH,S$1,0),IF(LEFT(VLOOKUP($D50,'Visu totale'!$D:$DH,S$1,0),1)="V",IF(R50&gt;=INDEX('[1]Définition Maintenances'!$G:$G,MATCH($A50,'[1]Définition Maintenances'!$K:$K,0)),R50,INDEX('[1]Définition Maintenances'!$G:$G,MATCH($A50,'[1]Définition Maintenances'!$K:$K,0))+R50),R50))</f>
        <v>1178</v>
      </c>
      <c r="T50" s="26">
        <f>IF(ISNUMBER(VLOOKUP($D50,'Visu totale'!$D:$DH,T$1,0)),S50-VLOOKUP($D50,'Visu totale'!$D:$DH,T$1,0),IF(LEFT(VLOOKUP($D50,'Visu totale'!$D:$DH,T$1,0),1)="V",IF(S50&gt;=INDEX('[1]Définition Maintenances'!$G:$G,MATCH($A50,'[1]Définition Maintenances'!$K:$K,0)),S50,INDEX('[1]Définition Maintenances'!$G:$G,MATCH($A50,'[1]Définition Maintenances'!$K:$K,0))+S50),S50))</f>
        <v>1178</v>
      </c>
      <c r="U50" s="26">
        <f>IF(ISNUMBER(VLOOKUP($D50,'Visu totale'!$D:$DH,U$1,0)),T50-VLOOKUP($D50,'Visu totale'!$D:$DH,U$1,0),IF(LEFT(VLOOKUP($D50,'Visu totale'!$D:$DH,U$1,0),1)="V",IF(T50&gt;=INDEX('[1]Définition Maintenances'!$G:$G,MATCH($A50,'[1]Définition Maintenances'!$K:$K,0)),T50,INDEX('[1]Définition Maintenances'!$G:$G,MATCH($A50,'[1]Définition Maintenances'!$K:$K,0))+T50),T50))</f>
        <v>1178</v>
      </c>
      <c r="V50" s="26">
        <f>IF(ISNUMBER(VLOOKUP($D50,'Visu totale'!$D:$DH,V$1,0)),U50-VLOOKUP($D50,'Visu totale'!$D:$DH,V$1,0),IF(LEFT(VLOOKUP($D50,'Visu totale'!$D:$DH,V$1,0),1)="V",IF(U50&gt;=INDEX('[1]Définition Maintenances'!$G:$G,MATCH($A50,'[1]Définition Maintenances'!$K:$K,0)),U50,INDEX('[1]Définition Maintenances'!$G:$G,MATCH($A50,'[1]Définition Maintenances'!$K:$K,0))+U50),U50))</f>
        <v>1178</v>
      </c>
      <c r="W50" s="26">
        <f>IF(ISNUMBER(VLOOKUP($D50,'Visu totale'!$D:$DH,W$1,0)),V50-VLOOKUP($D50,'Visu totale'!$D:$DH,W$1,0),IF(LEFT(VLOOKUP($D50,'Visu totale'!$D:$DH,W$1,0),1)="V",IF(V50&gt;=INDEX('[1]Définition Maintenances'!$G:$G,MATCH($A50,'[1]Définition Maintenances'!$K:$K,0)),V50,INDEX('[1]Définition Maintenances'!$G:$G,MATCH($A50,'[1]Définition Maintenances'!$K:$K,0))+V50),V50))</f>
        <v>1178</v>
      </c>
      <c r="X50" s="26">
        <f>IF(ISNUMBER(VLOOKUP($D50,'Visu totale'!$D:$DH,X$1,0)),W50-VLOOKUP($D50,'Visu totale'!$D:$DH,X$1,0),IF(LEFT(VLOOKUP($D50,'Visu totale'!$D:$DH,X$1,0),1)="V",IF(W50&gt;=INDEX('[1]Définition Maintenances'!$G:$G,MATCH($A50,'[1]Définition Maintenances'!$K:$K,0)),W50,INDEX('[1]Définition Maintenances'!$G:$G,MATCH($A50,'[1]Définition Maintenances'!$K:$K,0))+W50),W50))</f>
        <v>1178</v>
      </c>
      <c r="Y50" s="26">
        <f>IF(ISNUMBER(VLOOKUP($D50,'Visu totale'!$D:$DH,Y$1,0)),X50-VLOOKUP($D50,'Visu totale'!$D:$DH,Y$1,0),IF(LEFT(VLOOKUP($D50,'Visu totale'!$D:$DH,Y$1,0),1)="V",IF(X50&gt;=INDEX('[1]Définition Maintenances'!$G:$G,MATCH($A50,'[1]Définition Maintenances'!$K:$K,0)),X50,INDEX('[1]Définition Maintenances'!$G:$G,MATCH($A50,'[1]Définition Maintenances'!$K:$K,0))+X50),X50))</f>
        <v>1178</v>
      </c>
      <c r="Z50" s="26">
        <f>IF(ISNUMBER(VLOOKUP($D50,'Visu totale'!$D:$DH,Z$1,0)),Y50-VLOOKUP($D50,'Visu totale'!$D:$DH,Z$1,0),IF(LEFT(VLOOKUP($D50,'Visu totale'!$D:$DH,Z$1,0),1)="V",IF(Y50&gt;=INDEX('[1]Définition Maintenances'!$G:$G,MATCH($A50,'[1]Définition Maintenances'!$K:$K,0)),Y50,INDEX('[1]Définition Maintenances'!$G:$G,MATCH($A50,'[1]Définition Maintenances'!$K:$K,0))+Y50),Y50))</f>
        <v>1178</v>
      </c>
      <c r="AA50" s="26">
        <f>IF(ISNUMBER(VLOOKUP($D50,'Visu totale'!$D:$DH,AA$1,0)),Z50-VLOOKUP($D50,'Visu totale'!$D:$DH,AA$1,0),IF(LEFT(VLOOKUP($D50,'Visu totale'!$D:$DH,AA$1,0),1)="V",IF(Z50&gt;=INDEX('[1]Définition Maintenances'!$G:$G,MATCH($A50,'[1]Définition Maintenances'!$K:$K,0)),Z50,INDEX('[1]Définition Maintenances'!$G:$G,MATCH($A50,'[1]Définition Maintenances'!$K:$K,0))+Z50),Z50))</f>
        <v>1178</v>
      </c>
      <c r="AB50" s="26">
        <f>IF(ISNUMBER(VLOOKUP($D50,'Visu totale'!$D:$DH,AB$1,0)),AA50-VLOOKUP($D50,'Visu totale'!$D:$DH,AB$1,0),IF(LEFT(VLOOKUP($D50,'Visu totale'!$D:$DH,AB$1,0),1)="V",IF(AA50&gt;=INDEX('[1]Définition Maintenances'!$G:$G,MATCH($A50,'[1]Définition Maintenances'!$K:$K,0)),AA50,INDEX('[1]Définition Maintenances'!$G:$G,MATCH($A50,'[1]Définition Maintenances'!$K:$K,0))+AA50),AA50))</f>
        <v>1178</v>
      </c>
      <c r="AC50" s="27">
        <f>IF(ISNUMBER(VLOOKUP($D50,'Visu totale'!$D:$DH,AC$1,0)),AB50-VLOOKUP($D50,'Visu totale'!$D:$DH,AC$1,0),IF(LEFT(VLOOKUP($D50,'Visu totale'!$D:$DH,AC$1,0),1)="V",IF(AB50&gt;=INDEX('[1]Définition Maintenances'!$G:$G,MATCH($A50,'[1]Définition Maintenances'!$K:$K,0)),AB50,INDEX('[1]Définition Maintenances'!$G:$G,MATCH($A50,'[1]Définition Maintenances'!$K:$K,0))+AB50),AB50))</f>
        <v>1178</v>
      </c>
      <c r="AD50" s="25">
        <f>IF(ISNUMBER(VLOOKUP($D50,'Visu totale'!$D:$DH,AD$1,0)),AC50-VLOOKUP($D50,'Visu totale'!$D:$DH,AD$1,0),IF(LEFT(VLOOKUP($D50,'Visu totale'!$D:$DH,AD$1,0),1)="V",IF(AC50&gt;=INDEX('[1]Définition Maintenances'!$G:$G,MATCH($A50,'[1]Définition Maintenances'!$K:$K,0)),AC50,INDEX('[1]Définition Maintenances'!$G:$G,MATCH($A50,'[1]Définition Maintenances'!$K:$K,0))+AC50),AC50))</f>
        <v>1178</v>
      </c>
      <c r="AE50" s="26">
        <f>IF(ISNUMBER(VLOOKUP($D50,'Visu totale'!$D:$DH,AE$1,0)),AD50-VLOOKUP($D50,'Visu totale'!$D:$DH,AE$1,0),IF(LEFT(VLOOKUP($D50,'Visu totale'!$D:$DH,AE$1,0),1)="V",IF(AD50&gt;=INDEX('[1]Définition Maintenances'!$G:$G,MATCH($A50,'[1]Définition Maintenances'!$K:$K,0)),AD50,INDEX('[1]Définition Maintenances'!$G:$G,MATCH($A50,'[1]Définition Maintenances'!$K:$K,0))+AD50),AD50))</f>
        <v>1178</v>
      </c>
      <c r="AF50" s="26">
        <f>IF(ISNUMBER(VLOOKUP($D50,'Visu totale'!$D:$DH,AF$1,0)),AE50-VLOOKUP($D50,'Visu totale'!$D:$DH,AF$1,0),IF(LEFT(VLOOKUP($D50,'Visu totale'!$D:$DH,AF$1,0),1)="V",IF(AE50&gt;=INDEX('[1]Définition Maintenances'!$G:$G,MATCH($A50,'[1]Définition Maintenances'!$K:$K,0)),AE50,INDEX('[1]Définition Maintenances'!$G:$G,MATCH($A50,'[1]Définition Maintenances'!$K:$K,0))+AE50),AE50))</f>
        <v>1178</v>
      </c>
      <c r="AG50" s="26">
        <f>IF(ISNUMBER(VLOOKUP($D50,'Visu totale'!$D:$DH,AG$1,0)),AF50-VLOOKUP($D50,'Visu totale'!$D:$DH,AG$1,0),IF(LEFT(VLOOKUP($D50,'Visu totale'!$D:$DH,AG$1,0),1)="V",IF(AF50&gt;=INDEX('[1]Définition Maintenances'!$G:$G,MATCH($A50,'[1]Définition Maintenances'!$K:$K,0)),AF50,INDEX('[1]Définition Maintenances'!$G:$G,MATCH($A50,'[1]Définition Maintenances'!$K:$K,0))+AF50),AF50))</f>
        <v>1178</v>
      </c>
      <c r="AH50" s="26">
        <f>IF(ISNUMBER(VLOOKUP($D50,'Visu totale'!$D:$DH,AH$1,0)),AG50-VLOOKUP($D50,'Visu totale'!$D:$DH,AH$1,0),IF(LEFT(VLOOKUP($D50,'Visu totale'!$D:$DH,AH$1,0),1)="V",IF(AG50&gt;=INDEX('[1]Définition Maintenances'!$G:$G,MATCH($A50,'[1]Définition Maintenances'!$K:$K,0)),AG50,INDEX('[1]Définition Maintenances'!$G:$G,MATCH($A50,'[1]Définition Maintenances'!$K:$K,0))+AG50),AG50))</f>
        <v>1178</v>
      </c>
      <c r="AI50" s="26">
        <f>IF(ISNUMBER(VLOOKUP($D50,'Visu totale'!$D:$DH,AI$1,0)),AH50-VLOOKUP($D50,'Visu totale'!$D:$DH,AI$1,0),IF(LEFT(VLOOKUP($D50,'Visu totale'!$D:$DH,AI$1,0),1)="V",IF(AH50&gt;=INDEX('[1]Définition Maintenances'!$G:$G,MATCH($A50,'[1]Définition Maintenances'!$K:$K,0)),AH50,INDEX('[1]Définition Maintenances'!$G:$G,MATCH($A50,'[1]Définition Maintenances'!$K:$K,0))+AH50),AH50))</f>
        <v>1178</v>
      </c>
      <c r="AJ50" s="26">
        <f>IF(ISNUMBER(VLOOKUP($D50,'Visu totale'!$D:$DH,AJ$1,0)),AI50-VLOOKUP($D50,'Visu totale'!$D:$DH,AJ$1,0),IF(LEFT(VLOOKUP($D50,'Visu totale'!$D:$DH,AJ$1,0),1)="V",IF(AI50&gt;=INDEX('[1]Définition Maintenances'!$G:$G,MATCH($A50,'[1]Définition Maintenances'!$K:$K,0)),AI50,INDEX('[1]Définition Maintenances'!$G:$G,MATCH($A50,'[1]Définition Maintenances'!$K:$K,0))+AI50),AI50))</f>
        <v>1178</v>
      </c>
      <c r="AK50" s="26">
        <f>IF(ISNUMBER(VLOOKUP($D50,'Visu totale'!$D:$DH,AK$1,0)),AJ50-VLOOKUP($D50,'Visu totale'!$D:$DH,AK$1,0),IF(LEFT(VLOOKUP($D50,'Visu totale'!$D:$DH,AK$1,0),1)="V",IF(AJ50&gt;=INDEX('[1]Définition Maintenances'!$G:$G,MATCH($A50,'[1]Définition Maintenances'!$K:$K,0)),AJ50,INDEX('[1]Définition Maintenances'!$G:$G,MATCH($A50,'[1]Définition Maintenances'!$K:$K,0))+AJ50),AJ50))</f>
        <v>1178</v>
      </c>
      <c r="AL50" s="26">
        <f>IF(ISNUMBER(VLOOKUP($D50,'Visu totale'!$D:$DH,AL$1,0)),AK50-VLOOKUP($D50,'Visu totale'!$D:$DH,AL$1,0),IF(LEFT(VLOOKUP($D50,'Visu totale'!$D:$DH,AL$1,0),1)="V",IF(AK50&gt;=INDEX('[1]Définition Maintenances'!$G:$G,MATCH($A50,'[1]Définition Maintenances'!$K:$K,0)),AK50,INDEX('[1]Définition Maintenances'!$G:$G,MATCH($A50,'[1]Définition Maintenances'!$K:$K,0))+AK50),AK50))</f>
        <v>1178</v>
      </c>
      <c r="AM50" s="26">
        <f>IF(ISNUMBER(VLOOKUP($D50,'Visu totale'!$D:$DH,AM$1,0)),AL50-VLOOKUP($D50,'Visu totale'!$D:$DH,AM$1,0),IF(LEFT(VLOOKUP($D50,'Visu totale'!$D:$DH,AM$1,0),1)="V",IF(AL50&gt;=INDEX('[1]Définition Maintenances'!$G:$G,MATCH($A50,'[1]Définition Maintenances'!$K:$K,0)),AL50,INDEX('[1]Définition Maintenances'!$G:$G,MATCH($A50,'[1]Définition Maintenances'!$K:$K,0))+AL50),AL50))</f>
        <v>1178</v>
      </c>
      <c r="AN50" s="26">
        <f>IF(ISNUMBER(VLOOKUP($D50,'Visu totale'!$D:$DH,AN$1,0)),AM50-VLOOKUP($D50,'Visu totale'!$D:$DH,AN$1,0),IF(LEFT(VLOOKUP($D50,'Visu totale'!$D:$DH,AN$1,0),1)="V",IF(AM50&gt;=INDEX('[1]Définition Maintenances'!$G:$G,MATCH($A50,'[1]Définition Maintenances'!$K:$K,0)),AM50,INDEX('[1]Définition Maintenances'!$G:$G,MATCH($A50,'[1]Définition Maintenances'!$K:$K,0))+AM50),AM50))</f>
        <v>1178</v>
      </c>
      <c r="AO50" s="27">
        <f>IF(ISNUMBER(VLOOKUP($D50,'Visu totale'!$D:$DH,AO$1,0)),AN50-VLOOKUP($D50,'Visu totale'!$D:$DH,AO$1,0),IF(LEFT(VLOOKUP($D50,'Visu totale'!$D:$DH,AO$1,0),1)="V",IF(AN50&gt;=INDEX('[1]Définition Maintenances'!$G:$G,MATCH($A50,'[1]Définition Maintenances'!$K:$K,0)),AN50,INDEX('[1]Définition Maintenances'!$G:$G,MATCH($A50,'[1]Définition Maintenances'!$K:$K,0))+AN50),AN50))</f>
        <v>1178</v>
      </c>
      <c r="AP50" s="25">
        <f>IF(ISNUMBER(VLOOKUP($D50,'Visu totale'!$D:$DH,AP$1,0)),AO50-VLOOKUP($D50,'Visu totale'!$D:$DH,AP$1,0),IF(LEFT(VLOOKUP($D50,'Visu totale'!$D:$DH,AP$1,0),1)="V",IF(AO50&gt;=INDEX('[1]Définition Maintenances'!$G:$G,MATCH($A50,'[1]Définition Maintenances'!$K:$K,0)),AO50,INDEX('[1]Définition Maintenances'!$G:$G,MATCH($A50,'[1]Définition Maintenances'!$K:$K,0))+AO50),AO50))</f>
        <v>1178</v>
      </c>
      <c r="AQ50" s="26">
        <f>IF(ISNUMBER(VLOOKUP($D50,'Visu totale'!$D:$DH,AQ$1,0)),AP50-VLOOKUP($D50,'Visu totale'!$D:$DH,AQ$1,0),IF(LEFT(VLOOKUP($D50,'Visu totale'!$D:$DH,AQ$1,0),1)="V",IF(AP50&gt;=INDEX('[1]Définition Maintenances'!$G:$G,MATCH($A50,'[1]Définition Maintenances'!$K:$K,0)),AP50,INDEX('[1]Définition Maintenances'!$G:$G,MATCH($A50,'[1]Définition Maintenances'!$K:$K,0))+AP50),AP50))</f>
        <v>1178</v>
      </c>
      <c r="AR50" s="26">
        <f>IF(ISNUMBER(VLOOKUP($D50,'Visu totale'!$D:$DH,AR$1,0)),AQ50-VLOOKUP($D50,'Visu totale'!$D:$DH,AR$1,0),IF(LEFT(VLOOKUP($D50,'Visu totale'!$D:$DH,AR$1,0),1)="V",IF(AQ50&gt;=INDEX('[1]Définition Maintenances'!$G:$G,MATCH($A50,'[1]Définition Maintenances'!$K:$K,0)),AQ50,INDEX('[1]Définition Maintenances'!$G:$G,MATCH($A50,'[1]Définition Maintenances'!$K:$K,0))+AQ50),AQ50))</f>
        <v>1178</v>
      </c>
      <c r="AS50" s="26">
        <f>IF(ISNUMBER(VLOOKUP($D50,'Visu totale'!$D:$DH,AS$1,0)),AR50-VLOOKUP($D50,'Visu totale'!$D:$DH,AS$1,0),IF(LEFT(VLOOKUP($D50,'Visu totale'!$D:$DH,AS$1,0),1)="V",IF(AR50&gt;=INDEX('[1]Définition Maintenances'!$G:$G,MATCH($A50,'[1]Définition Maintenances'!$K:$K,0)),AR50,INDEX('[1]Définition Maintenances'!$G:$G,MATCH($A50,'[1]Définition Maintenances'!$K:$K,0))+AR50),AR50))</f>
        <v>1178</v>
      </c>
      <c r="AT50" s="26">
        <f>IF(ISNUMBER(VLOOKUP($D50,'Visu totale'!$D:$DH,AT$1,0)),AS50-VLOOKUP($D50,'Visu totale'!$D:$DH,AT$1,0),IF(LEFT(VLOOKUP($D50,'Visu totale'!$D:$DH,AT$1,0),1)="V",IF(AS50&gt;=INDEX('[1]Définition Maintenances'!$G:$G,MATCH($A50,'[1]Définition Maintenances'!$K:$K,0)),AS50,INDEX('[1]Définition Maintenances'!$G:$G,MATCH($A50,'[1]Définition Maintenances'!$K:$K,0))+AS50),AS50))</f>
        <v>1178</v>
      </c>
      <c r="AU50" s="26">
        <f>IF(ISNUMBER(VLOOKUP($D50,'Visu totale'!$D:$DH,AU$1,0)),AT50-VLOOKUP($D50,'Visu totale'!$D:$DH,AU$1,0),IF(LEFT(VLOOKUP($D50,'Visu totale'!$D:$DH,AU$1,0),1)="V",IF(AT50&gt;=INDEX('[1]Définition Maintenances'!$G:$G,MATCH($A50,'[1]Définition Maintenances'!$K:$K,0)),AT50,INDEX('[1]Définition Maintenances'!$G:$G,MATCH($A50,'[1]Définition Maintenances'!$K:$K,0))+AT50),AT50))</f>
        <v>1178</v>
      </c>
      <c r="AV50" s="26">
        <f>IF(ISNUMBER(VLOOKUP($D50,'Visu totale'!$D:$DH,AV$1,0)),AU50-VLOOKUP($D50,'Visu totale'!$D:$DH,AV$1,0),IF(LEFT(VLOOKUP($D50,'Visu totale'!$D:$DH,AV$1,0),1)="V",IF(AU50&gt;=INDEX('[1]Définition Maintenances'!$G:$G,MATCH($A50,'[1]Définition Maintenances'!$K:$K,0)),AU50,INDEX('[1]Définition Maintenances'!$G:$G,MATCH($A50,'[1]Définition Maintenances'!$K:$K,0))+AU50),AU50))</f>
        <v>1178</v>
      </c>
      <c r="AW50" s="26">
        <f>IF(ISNUMBER(VLOOKUP($D50,'Visu totale'!$D:$DH,AW$1,0)),AV50-VLOOKUP($D50,'Visu totale'!$D:$DH,AW$1,0),IF(LEFT(VLOOKUP($D50,'Visu totale'!$D:$DH,AW$1,0),1)="V",IF(AV50&gt;=INDEX('[1]Définition Maintenances'!$G:$G,MATCH($A50,'[1]Définition Maintenances'!$K:$K,0)),AV50,INDEX('[1]Définition Maintenances'!$G:$G,MATCH($A50,'[1]Définition Maintenances'!$K:$K,0))+AV50),AV50))</f>
        <v>1178</v>
      </c>
      <c r="AX50" s="26">
        <f>IF(ISNUMBER(VLOOKUP($D50,'Visu totale'!$D:$DH,AX$1,0)),AW50-VLOOKUP($D50,'Visu totale'!$D:$DH,AX$1,0),IF(LEFT(VLOOKUP($D50,'Visu totale'!$D:$DH,AX$1,0),1)="V",IF(AW50&gt;=INDEX('[1]Définition Maintenances'!$G:$G,MATCH($A50,'[1]Définition Maintenances'!$K:$K,0)),AW50,INDEX('[1]Définition Maintenances'!$G:$G,MATCH($A50,'[1]Définition Maintenances'!$K:$K,0))+AW50),AW50))</f>
        <v>1178</v>
      </c>
      <c r="AY50" s="26">
        <f>IF(ISNUMBER(VLOOKUP($D50,'Visu totale'!$D:$DH,AY$1,0)),AX50-VLOOKUP($D50,'Visu totale'!$D:$DH,AY$1,0),IF(LEFT(VLOOKUP($D50,'Visu totale'!$D:$DH,AY$1,0),1)="V",IF(AX50&gt;=INDEX('[1]Définition Maintenances'!$G:$G,MATCH($A50,'[1]Définition Maintenances'!$K:$K,0)),AX50,INDEX('[1]Définition Maintenances'!$G:$G,MATCH($A50,'[1]Définition Maintenances'!$K:$K,0))+AX50),AX50))</f>
        <v>1178</v>
      </c>
      <c r="AZ50" s="26">
        <f>IF(ISNUMBER(VLOOKUP($D50,'Visu totale'!$D:$DH,AZ$1,0)),AY50-VLOOKUP($D50,'Visu totale'!$D:$DH,AZ$1,0),IF(LEFT(VLOOKUP($D50,'Visu totale'!$D:$DH,AZ$1,0),1)="V",IF(AY50&gt;=INDEX('[1]Définition Maintenances'!$G:$G,MATCH($A50,'[1]Définition Maintenances'!$K:$K,0)),AY50,INDEX('[1]Définition Maintenances'!$G:$G,MATCH($A50,'[1]Définition Maintenances'!$K:$K,0))+AY50),AY50))</f>
        <v>1178</v>
      </c>
      <c r="BA50" s="27">
        <f>IF(ISNUMBER(VLOOKUP($D50,'Visu totale'!$D:$DH,BA$1,0)),AZ50-VLOOKUP($D50,'Visu totale'!$D:$DH,BA$1,0),IF(LEFT(VLOOKUP($D50,'Visu totale'!$D:$DH,BA$1,0),1)="V",IF(AZ50&gt;=INDEX('[1]Définition Maintenances'!$G:$G,MATCH($A50,'[1]Définition Maintenances'!$K:$K,0)),AZ50,INDEX('[1]Définition Maintenances'!$G:$G,MATCH($A50,'[1]Définition Maintenances'!$K:$K,0))+AZ50),AZ50))</f>
        <v>1178</v>
      </c>
      <c r="BB50" s="25">
        <f>IF(ISNUMBER(VLOOKUP($D50,'Visu totale'!$D:$DH,BB$1,0)),BA50-VLOOKUP($D50,'Visu totale'!$D:$DH,BB$1,0),IF(LEFT(VLOOKUP($D50,'Visu totale'!$D:$DH,BB$1,0),1)="V",IF(BA50&gt;=INDEX('[1]Définition Maintenances'!$G:$G,MATCH($A50,'[1]Définition Maintenances'!$K:$K,0)),BA50,INDEX('[1]Définition Maintenances'!$G:$G,MATCH($A50,'[1]Définition Maintenances'!$K:$K,0))+BA50),BA50))</f>
        <v>1178</v>
      </c>
      <c r="BC50" s="26">
        <f>IF(ISNUMBER(VLOOKUP($D50,'Visu totale'!$D:$DH,BC$1,0)),BB50-VLOOKUP($D50,'Visu totale'!$D:$DH,BC$1,0),IF(LEFT(VLOOKUP($D50,'Visu totale'!$D:$DH,BC$1,0),1)="V",IF(BB50&gt;=INDEX('[1]Définition Maintenances'!$G:$G,MATCH($A50,'[1]Définition Maintenances'!$K:$K,0)),BB50,INDEX('[1]Définition Maintenances'!$G:$G,MATCH($A50,'[1]Définition Maintenances'!$K:$K,0))+BB50),BB50))</f>
        <v>1178</v>
      </c>
      <c r="BD50" s="26">
        <f>IF(ISNUMBER(VLOOKUP($D50,'Visu totale'!$D:$DH,BD$1,0)),BC50-VLOOKUP($D50,'Visu totale'!$D:$DH,BD$1,0),IF(LEFT(VLOOKUP($D50,'Visu totale'!$D:$DH,BD$1,0),1)="V",IF(BC50&gt;=INDEX('[1]Définition Maintenances'!$G:$G,MATCH($A50,'[1]Définition Maintenances'!$K:$K,0)),BC50,INDEX('[1]Définition Maintenances'!$G:$G,MATCH($A50,'[1]Définition Maintenances'!$K:$K,0))+BC50),BC50))</f>
        <v>1178</v>
      </c>
      <c r="BE50" s="26">
        <f>IF(ISNUMBER(VLOOKUP($D50,'Visu totale'!$D:$DH,BE$1,0)),BD50-VLOOKUP($D50,'Visu totale'!$D:$DH,BE$1,0),IF(LEFT(VLOOKUP($D50,'Visu totale'!$D:$DH,BE$1,0),1)="V",IF(BD50&gt;=INDEX('[1]Définition Maintenances'!$G:$G,MATCH($A50,'[1]Définition Maintenances'!$K:$K,0)),BD50,INDEX('[1]Définition Maintenances'!$G:$G,MATCH($A50,'[1]Définition Maintenances'!$K:$K,0))+BD50),BD50))</f>
        <v>1178</v>
      </c>
      <c r="BF50" s="26">
        <f>IF(ISNUMBER(VLOOKUP($D50,'Visu totale'!$D:$DH,BF$1,0)),BE50-VLOOKUP($D50,'Visu totale'!$D:$DH,BF$1,0),IF(LEFT(VLOOKUP($D50,'Visu totale'!$D:$DH,BF$1,0),1)="V",IF(BE50&gt;=INDEX('[1]Définition Maintenances'!$G:$G,MATCH($A50,'[1]Définition Maintenances'!$K:$K,0)),BE50,INDEX('[1]Définition Maintenances'!$G:$G,MATCH($A50,'[1]Définition Maintenances'!$K:$K,0))+BE50),BE50))</f>
        <v>1178</v>
      </c>
      <c r="BG50" s="26">
        <f>IF(ISNUMBER(VLOOKUP($D50,'Visu totale'!$D:$DH,BG$1,0)),BF50-VLOOKUP($D50,'Visu totale'!$D:$DH,BG$1,0),IF(LEFT(VLOOKUP($D50,'Visu totale'!$D:$DH,BG$1,0),1)="V",IF(BF50&gt;=INDEX('[1]Définition Maintenances'!$G:$G,MATCH($A50,'[1]Définition Maintenances'!$K:$K,0)),BF50,INDEX('[1]Définition Maintenances'!$G:$G,MATCH($A50,'[1]Définition Maintenances'!$K:$K,0))+BF50),BF50))</f>
        <v>1178</v>
      </c>
      <c r="BH50" s="26">
        <f>IF(ISNUMBER(VLOOKUP($D50,'Visu totale'!$D:$DH,BH$1,0)),BG50-VLOOKUP($D50,'Visu totale'!$D:$DH,BH$1,0),IF(LEFT(VLOOKUP($D50,'Visu totale'!$D:$DH,BH$1,0),1)="V",IF(BG50&gt;=INDEX('[1]Définition Maintenances'!$G:$G,MATCH($A50,'[1]Définition Maintenances'!$K:$K,0)),BG50,INDEX('[1]Définition Maintenances'!$G:$G,MATCH($A50,'[1]Définition Maintenances'!$K:$K,0))+BG50),BG50))</f>
        <v>1178</v>
      </c>
      <c r="BI50" s="26">
        <f>IF(ISNUMBER(VLOOKUP($D50,'Visu totale'!$D:$DH,BI$1,0)),BH50-VLOOKUP($D50,'Visu totale'!$D:$DH,BI$1,0),IF(LEFT(VLOOKUP($D50,'Visu totale'!$D:$DH,BI$1,0),1)="V",IF(BH50&gt;=INDEX('[1]Définition Maintenances'!$G:$G,MATCH($A50,'[1]Définition Maintenances'!$K:$K,0)),BH50,INDEX('[1]Définition Maintenances'!$G:$G,MATCH($A50,'[1]Définition Maintenances'!$K:$K,0))+BH50),BH50))</f>
        <v>1178</v>
      </c>
      <c r="BJ50" s="26">
        <f>IF(ISNUMBER(VLOOKUP($D50,'Visu totale'!$D:$DH,BJ$1,0)),BI50-VLOOKUP($D50,'Visu totale'!$D:$DH,BJ$1,0),IF(LEFT(VLOOKUP($D50,'Visu totale'!$D:$DH,BJ$1,0),1)="V",IF(BI50&gt;=INDEX('[1]Définition Maintenances'!$G:$G,MATCH($A50,'[1]Définition Maintenances'!$K:$K,0)),BI50,INDEX('[1]Définition Maintenances'!$G:$G,MATCH($A50,'[1]Définition Maintenances'!$K:$K,0))+BI50),BI50))</f>
        <v>1178</v>
      </c>
      <c r="BK50" s="26">
        <f>IF(ISNUMBER(VLOOKUP($D50,'Visu totale'!$D:$DH,BK$1,0)),BJ50-VLOOKUP($D50,'Visu totale'!$D:$DH,BK$1,0),IF(LEFT(VLOOKUP($D50,'Visu totale'!$D:$DH,BK$1,0),1)="V",IF(BJ50&gt;=INDEX('[1]Définition Maintenances'!$G:$G,MATCH($A50,'[1]Définition Maintenances'!$K:$K,0)),BJ50,INDEX('[1]Définition Maintenances'!$G:$G,MATCH($A50,'[1]Définition Maintenances'!$K:$K,0))+BJ50),BJ50))</f>
        <v>1178</v>
      </c>
      <c r="BL50" s="26">
        <f>IF(ISNUMBER(VLOOKUP($D50,'Visu totale'!$D:$DH,BL$1,0)),BK50-VLOOKUP($D50,'Visu totale'!$D:$DH,BL$1,0),IF(LEFT(VLOOKUP($D50,'Visu totale'!$D:$DH,BL$1,0),1)="V",IF(BK50&gt;=INDEX('[1]Définition Maintenances'!$G:$G,MATCH($A50,'[1]Définition Maintenances'!$K:$K,0)),BK50,INDEX('[1]Définition Maintenances'!$G:$G,MATCH($A50,'[1]Définition Maintenances'!$K:$K,0))+BK50),BK50))</f>
        <v>1178</v>
      </c>
      <c r="BM50" s="27">
        <f>IF(ISNUMBER(VLOOKUP($D50,'Visu totale'!$D:$DH,BM$1,0)),BL50-VLOOKUP($D50,'Visu totale'!$D:$DH,BM$1,0),IF(LEFT(VLOOKUP($D50,'Visu totale'!$D:$DH,BM$1,0),1)="V",IF(BL50&gt;=INDEX('[1]Définition Maintenances'!$G:$G,MATCH($A50,'[1]Définition Maintenances'!$K:$K,0)),BL50,INDEX('[1]Définition Maintenances'!$G:$G,MATCH($A50,'[1]Définition Maintenances'!$K:$K,0))+BL50),BL50))</f>
        <v>1178</v>
      </c>
      <c r="BN50" s="25">
        <f>IF(ISNUMBER(VLOOKUP($D50,'Visu totale'!$D:$DH,BN$1,0)),BM50-VLOOKUP($D50,'Visu totale'!$D:$DH,BN$1,0),IF(LEFT(VLOOKUP($D50,'Visu totale'!$D:$DH,BN$1,0),1)="V",IF(BM50&gt;=INDEX('[1]Définition Maintenances'!$G:$G,MATCH($A50,'[1]Définition Maintenances'!$K:$K,0)),BM50,INDEX('[1]Définition Maintenances'!$G:$G,MATCH($A50,'[1]Définition Maintenances'!$K:$K,0))+BM50),BM50))</f>
        <v>1178</v>
      </c>
      <c r="BO50" s="26">
        <f>IF(ISNUMBER(VLOOKUP($D50,'Visu totale'!$D:$DH,BO$1,0)),BN50-VLOOKUP($D50,'Visu totale'!$D:$DH,BO$1,0),IF(LEFT(VLOOKUP($D50,'Visu totale'!$D:$DH,BO$1,0),1)="V",IF(BN50&gt;=INDEX('[1]Définition Maintenances'!$G:$G,MATCH($A50,'[1]Définition Maintenances'!$K:$K,0)),BN50,INDEX('[1]Définition Maintenances'!$G:$G,MATCH($A50,'[1]Définition Maintenances'!$K:$K,0))+BN50),BN50))</f>
        <v>1178</v>
      </c>
      <c r="BP50" s="26">
        <f>IF(ISNUMBER(VLOOKUP($D50,'Visu totale'!$D:$DH,BP$1,0)),BO50-VLOOKUP($D50,'Visu totale'!$D:$DH,BP$1,0),IF(LEFT(VLOOKUP($D50,'Visu totale'!$D:$DH,BP$1,0),1)="V",IF(BO50&gt;=INDEX('[1]Définition Maintenances'!$G:$G,MATCH($A50,'[1]Définition Maintenances'!$K:$K,0)),BO50,INDEX('[1]Définition Maintenances'!$G:$G,MATCH($A50,'[1]Définition Maintenances'!$K:$K,0))+BO50),BO50))</f>
        <v>1178</v>
      </c>
      <c r="BQ50" s="26">
        <f>IF(ISNUMBER(VLOOKUP($D50,'Visu totale'!$D:$DH,BQ$1,0)),BP50-VLOOKUP($D50,'Visu totale'!$D:$DH,BQ$1,0),IF(LEFT(VLOOKUP($D50,'Visu totale'!$D:$DH,BQ$1,0),1)="V",IF(BP50&gt;=INDEX('[1]Définition Maintenances'!$G:$G,MATCH($A50,'[1]Définition Maintenances'!$K:$K,0)),BP50,INDEX('[1]Définition Maintenances'!$G:$G,MATCH($A50,'[1]Définition Maintenances'!$K:$K,0))+BP50),BP50))</f>
        <v>1178</v>
      </c>
      <c r="BR50" s="26">
        <f>IF(ISNUMBER(VLOOKUP($D50,'Visu totale'!$D:$DH,BR$1,0)),BQ50-VLOOKUP($D50,'Visu totale'!$D:$DH,BR$1,0),IF(LEFT(VLOOKUP($D50,'Visu totale'!$D:$DH,BR$1,0),1)="V",IF(BQ50&gt;=INDEX('[1]Définition Maintenances'!$G:$G,MATCH($A50,'[1]Définition Maintenances'!$K:$K,0)),BQ50,INDEX('[1]Définition Maintenances'!$G:$G,MATCH($A50,'[1]Définition Maintenances'!$K:$K,0))+BQ50),BQ50))</f>
        <v>1178</v>
      </c>
      <c r="BS50" s="26">
        <f>IF(ISNUMBER(VLOOKUP($D50,'Visu totale'!$D:$DH,BS$1,0)),BR50-VLOOKUP($D50,'Visu totale'!$D:$DH,BS$1,0),IF(LEFT(VLOOKUP($D50,'Visu totale'!$D:$DH,BS$1,0),1)="V",IF(BR50&gt;=INDEX('[1]Définition Maintenances'!$G:$G,MATCH($A50,'[1]Définition Maintenances'!$K:$K,0)),BR50,INDEX('[1]Définition Maintenances'!$G:$G,MATCH($A50,'[1]Définition Maintenances'!$K:$K,0))+BR50),BR50))</f>
        <v>1178</v>
      </c>
      <c r="BT50" s="26">
        <f>IF(ISNUMBER(VLOOKUP($D50,'Visu totale'!$D:$DH,BT$1,0)),BS50-VLOOKUP($D50,'Visu totale'!$D:$DH,BT$1,0),IF(LEFT(VLOOKUP($D50,'Visu totale'!$D:$DH,BT$1,0),1)="V",IF(BS50&gt;=INDEX('[1]Définition Maintenances'!$G:$G,MATCH($A50,'[1]Définition Maintenances'!$K:$K,0)),BS50,INDEX('[1]Définition Maintenances'!$G:$G,MATCH($A50,'[1]Définition Maintenances'!$K:$K,0))+BS50),BS50))</f>
        <v>1178</v>
      </c>
      <c r="BU50" s="26">
        <f>IF(ISNUMBER(VLOOKUP($D50,'Visu totale'!$D:$DH,BU$1,0)),BT50-VLOOKUP($D50,'Visu totale'!$D:$DH,BU$1,0),IF(LEFT(VLOOKUP($D50,'Visu totale'!$D:$DH,BU$1,0),1)="V",IF(BT50&gt;=INDEX('[1]Définition Maintenances'!$G:$G,MATCH($A50,'[1]Définition Maintenances'!$K:$K,0)),BT50,INDEX('[1]Définition Maintenances'!$G:$G,MATCH($A50,'[1]Définition Maintenances'!$K:$K,0))+BT50),BT50))</f>
        <v>1178</v>
      </c>
      <c r="BV50" s="26">
        <f>IF(ISNUMBER(VLOOKUP($D50,'Visu totale'!$D:$DH,BV$1,0)),BU50-VLOOKUP($D50,'Visu totale'!$D:$DH,BV$1,0),IF(LEFT(VLOOKUP($D50,'Visu totale'!$D:$DH,BV$1,0),1)="V",IF(BU50&gt;=INDEX('[1]Définition Maintenances'!$G:$G,MATCH($A50,'[1]Définition Maintenances'!$K:$K,0)),BU50,INDEX('[1]Définition Maintenances'!$G:$G,MATCH($A50,'[1]Définition Maintenances'!$K:$K,0))+BU50),BU50))</f>
        <v>1178</v>
      </c>
      <c r="BW50" s="26">
        <f>IF(ISNUMBER(VLOOKUP($D50,'Visu totale'!$D:$DH,BW$1,0)),BV50-VLOOKUP($D50,'Visu totale'!$D:$DH,BW$1,0),IF(LEFT(VLOOKUP($D50,'Visu totale'!$D:$DH,BW$1,0),1)="V",IF(BV50&gt;=INDEX('[1]Définition Maintenances'!$G:$G,MATCH($A50,'[1]Définition Maintenances'!$K:$K,0)),BV50,INDEX('[1]Définition Maintenances'!$G:$G,MATCH($A50,'[1]Définition Maintenances'!$K:$K,0))+BV50),BV50))</f>
        <v>1178</v>
      </c>
      <c r="BX50" s="26">
        <f>IF(ISNUMBER(VLOOKUP($D50,'Visu totale'!$D:$DH,BX$1,0)),BW50-VLOOKUP($D50,'Visu totale'!$D:$DH,BX$1,0),IF(LEFT(VLOOKUP($D50,'Visu totale'!$D:$DH,BX$1,0),1)="V",IF(BW50&gt;=INDEX('[1]Définition Maintenances'!$G:$G,MATCH($A50,'[1]Définition Maintenances'!$K:$K,0)),BW50,INDEX('[1]Définition Maintenances'!$G:$G,MATCH($A50,'[1]Définition Maintenances'!$K:$K,0))+BW50),BW50))</f>
        <v>1178</v>
      </c>
      <c r="BY50" s="27">
        <f>IF(ISNUMBER(VLOOKUP($D50,'Visu totale'!$D:$DH,BY$1,0)),BX50-VLOOKUP($D50,'Visu totale'!$D:$DH,BY$1,0),IF(LEFT(VLOOKUP($D50,'Visu totale'!$D:$DH,BY$1,0),1)="V",IF(BX50&gt;=INDEX('[1]Définition Maintenances'!$G:$G,MATCH($A50,'[1]Définition Maintenances'!$K:$K,0)),BX50,INDEX('[1]Définition Maintenances'!$G:$G,MATCH($A50,'[1]Définition Maintenances'!$K:$K,0))+BX50),BX50))</f>
        <v>1178</v>
      </c>
      <c r="BZ50" s="25">
        <f>IF(ISNUMBER(VLOOKUP($D50,'Visu totale'!$D:$DH,BZ$1,0)),BY50-VLOOKUP($D50,'Visu totale'!$D:$DH,BZ$1,0),IF(LEFT(VLOOKUP($D50,'Visu totale'!$D:$DH,BZ$1,0),1)="V",IF(BY50&gt;=INDEX('[1]Définition Maintenances'!$G:$G,MATCH($A50,'[1]Définition Maintenances'!$K:$K,0)),BY50,INDEX('[1]Définition Maintenances'!$G:$G,MATCH($A50,'[1]Définition Maintenances'!$K:$K,0))+BY50),BY50))</f>
        <v>1178</v>
      </c>
      <c r="CA50" s="26">
        <f>IF(ISNUMBER(VLOOKUP($D50,'Visu totale'!$D:$DH,CA$1,0)),BZ50-VLOOKUP($D50,'Visu totale'!$D:$DH,CA$1,0),IF(LEFT(VLOOKUP($D50,'Visu totale'!$D:$DH,CA$1,0),1)="V",IF(BZ50&gt;=INDEX('[1]Définition Maintenances'!$G:$G,MATCH($A50,'[1]Définition Maintenances'!$K:$K,0)),BZ50,INDEX('[1]Définition Maintenances'!$G:$G,MATCH($A50,'[1]Définition Maintenances'!$K:$K,0))+BZ50),BZ50))</f>
        <v>1178</v>
      </c>
      <c r="CB50" s="26">
        <f>IF(ISNUMBER(VLOOKUP($D50,'Visu totale'!$D:$DH,CB$1,0)),CA50-VLOOKUP($D50,'Visu totale'!$D:$DH,CB$1,0),IF(LEFT(VLOOKUP($D50,'Visu totale'!$D:$DH,CB$1,0),1)="V",IF(CA50&gt;=INDEX('[1]Définition Maintenances'!$G:$G,MATCH($A50,'[1]Définition Maintenances'!$K:$K,0)),CA50,INDEX('[1]Définition Maintenances'!$G:$G,MATCH($A50,'[1]Définition Maintenances'!$K:$K,0))+CA50),CA50))</f>
        <v>1178</v>
      </c>
      <c r="CC50" s="26">
        <f>IF(ISNUMBER(VLOOKUP($D50,'Visu totale'!$D:$DH,CC$1,0)),CB50-VLOOKUP($D50,'Visu totale'!$D:$DH,CC$1,0),IF(LEFT(VLOOKUP($D50,'Visu totale'!$D:$DH,CC$1,0),1)="V",IF(CB50&gt;=INDEX('[1]Définition Maintenances'!$G:$G,MATCH($A50,'[1]Définition Maintenances'!$K:$K,0)),CB50,INDEX('[1]Définition Maintenances'!$G:$G,MATCH($A50,'[1]Définition Maintenances'!$K:$K,0))+CB50),CB50))</f>
        <v>1178</v>
      </c>
      <c r="CD50" s="26">
        <f>IF(ISNUMBER(VLOOKUP($D50,'Visu totale'!$D:$DH,CD$1,0)),CC50-VLOOKUP($D50,'Visu totale'!$D:$DH,CD$1,0),IF(LEFT(VLOOKUP($D50,'Visu totale'!$D:$DH,CD$1,0),1)="V",IF(CC50&gt;=INDEX('[1]Définition Maintenances'!$G:$G,MATCH($A50,'[1]Définition Maintenances'!$K:$K,0)),CC50,INDEX('[1]Définition Maintenances'!$G:$G,MATCH($A50,'[1]Définition Maintenances'!$K:$K,0))+CC50),CC50))</f>
        <v>1178</v>
      </c>
      <c r="CE50" s="26">
        <f>IF(ISNUMBER(VLOOKUP($D50,'Visu totale'!$D:$DH,CE$1,0)),CD50-VLOOKUP($D50,'Visu totale'!$D:$DH,CE$1,0),IF(LEFT(VLOOKUP($D50,'Visu totale'!$D:$DH,CE$1,0),1)="V",IF(CD50&gt;=INDEX('[1]Définition Maintenances'!$G:$G,MATCH($A50,'[1]Définition Maintenances'!$K:$K,0)),CD50,INDEX('[1]Définition Maintenances'!$G:$G,MATCH($A50,'[1]Définition Maintenances'!$K:$K,0))+CD50),CD50))</f>
        <v>1178</v>
      </c>
      <c r="CF50" s="26">
        <f>IF(ISNUMBER(VLOOKUP($D50,'Visu totale'!$D:$DH,CF$1,0)),CE50-VLOOKUP($D50,'Visu totale'!$D:$DH,CF$1,0),IF(LEFT(VLOOKUP($D50,'Visu totale'!$D:$DH,CF$1,0),1)="V",IF(CE50&gt;=INDEX('[1]Définition Maintenances'!$G:$G,MATCH($A50,'[1]Définition Maintenances'!$K:$K,0)),CE50,INDEX('[1]Définition Maintenances'!$G:$G,MATCH($A50,'[1]Définition Maintenances'!$K:$K,0))+CE50),CE50))</f>
        <v>1178</v>
      </c>
      <c r="CG50" s="26">
        <f>IF(ISNUMBER(VLOOKUP($D50,'Visu totale'!$D:$DH,CG$1,0)),CF50-VLOOKUP($D50,'Visu totale'!$D:$DH,CG$1,0),IF(LEFT(VLOOKUP($D50,'Visu totale'!$D:$DH,CG$1,0),1)="V",IF(CF50&gt;=INDEX('[1]Définition Maintenances'!$G:$G,MATCH($A50,'[1]Définition Maintenances'!$K:$K,0)),CF50,INDEX('[1]Définition Maintenances'!$G:$G,MATCH($A50,'[1]Définition Maintenances'!$K:$K,0))+CF50),CF50))</f>
        <v>1178</v>
      </c>
      <c r="CH50" s="26">
        <f>IF(ISNUMBER(VLOOKUP($D50,'Visu totale'!$D:$DH,CH$1,0)),CG50-VLOOKUP($D50,'Visu totale'!$D:$DH,CH$1,0),IF(LEFT(VLOOKUP($D50,'Visu totale'!$D:$DH,CH$1,0),1)="V",IF(CG50&gt;=INDEX('[1]Définition Maintenances'!$G:$G,MATCH($A50,'[1]Définition Maintenances'!$K:$K,0)),CG50,INDEX('[1]Définition Maintenances'!$G:$G,MATCH($A50,'[1]Définition Maintenances'!$K:$K,0))+CG50),CG50))</f>
        <v>1178</v>
      </c>
      <c r="CI50" s="26">
        <f>IF(ISNUMBER(VLOOKUP($D50,'Visu totale'!$D:$DH,CI$1,0)),CH50-VLOOKUP($D50,'Visu totale'!$D:$DH,CI$1,0),IF(LEFT(VLOOKUP($D50,'Visu totale'!$D:$DH,CI$1,0),1)="V",IF(CH50&gt;=INDEX('[1]Définition Maintenances'!$G:$G,MATCH($A50,'[1]Définition Maintenances'!$K:$K,0)),CH50,INDEX('[1]Définition Maintenances'!$G:$G,MATCH($A50,'[1]Définition Maintenances'!$K:$K,0))+CH50),CH50))</f>
        <v>1178</v>
      </c>
      <c r="CJ50" s="26">
        <f>IF(ISNUMBER(VLOOKUP($D50,'Visu totale'!$D:$DH,CJ$1,0)),CI50-VLOOKUP($D50,'Visu totale'!$D:$DH,CJ$1,0),IF(LEFT(VLOOKUP($D50,'Visu totale'!$D:$DH,CJ$1,0),1)="V",IF(CI50&gt;=INDEX('[1]Définition Maintenances'!$G:$G,MATCH($A50,'[1]Définition Maintenances'!$K:$K,0)),CI50,INDEX('[1]Définition Maintenances'!$G:$G,MATCH($A50,'[1]Définition Maintenances'!$K:$K,0))+CI50),CI50))</f>
        <v>1178</v>
      </c>
      <c r="CK50" s="27">
        <f>IF(ISNUMBER(VLOOKUP($D50,'Visu totale'!$D:$DH,CK$1,0)),CJ50-VLOOKUP($D50,'Visu totale'!$D:$DH,CK$1,0),IF(LEFT(VLOOKUP($D50,'Visu totale'!$D:$DH,CK$1,0),1)="V",IF(CJ50&gt;=INDEX('[1]Définition Maintenances'!$G:$G,MATCH($A50,'[1]Définition Maintenances'!$K:$K,0)),CJ50,INDEX('[1]Définition Maintenances'!$G:$G,MATCH($A50,'[1]Définition Maintenances'!$K:$K,0))+CJ50),CJ50))</f>
        <v>1178</v>
      </c>
      <c r="CL50" s="25">
        <f>IF(ISNUMBER(VLOOKUP($D50,'Visu totale'!$D:$DH,CL$1,0)),CK50-VLOOKUP($D50,'Visu totale'!$D:$DH,CL$1,0),IF(LEFT(VLOOKUP($D50,'Visu totale'!$D:$DH,CL$1,0),1)="V",IF(CK50&gt;=INDEX('[1]Définition Maintenances'!$G:$G,MATCH($A50,'[1]Définition Maintenances'!$K:$K,0)),CK50,INDEX('[1]Définition Maintenances'!$G:$G,MATCH($A50,'[1]Définition Maintenances'!$K:$K,0))+CK50),CK50))</f>
        <v>1178</v>
      </c>
      <c r="CM50" s="26">
        <f>IF(ISNUMBER(VLOOKUP($D50,'Visu totale'!$D:$DH,CM$1,0)),CL50-VLOOKUP($D50,'Visu totale'!$D:$DH,CM$1,0),IF(LEFT(VLOOKUP($D50,'Visu totale'!$D:$DH,CM$1,0),1)="V",IF(CL50&gt;=INDEX('[1]Définition Maintenances'!$G:$G,MATCH($A50,'[1]Définition Maintenances'!$K:$K,0)),CL50,INDEX('[1]Définition Maintenances'!$G:$G,MATCH($A50,'[1]Définition Maintenances'!$K:$K,0))+CL50),CL50))</f>
        <v>1178</v>
      </c>
      <c r="CN50" s="26">
        <f>IF(ISNUMBER(VLOOKUP($D50,'Visu totale'!$D:$DH,CN$1,0)),CM50-VLOOKUP($D50,'Visu totale'!$D:$DH,CN$1,0),IF(LEFT(VLOOKUP($D50,'Visu totale'!$D:$DH,CN$1,0),1)="V",IF(CM50&gt;=INDEX('[1]Définition Maintenances'!$G:$G,MATCH($A50,'[1]Définition Maintenances'!$K:$K,0)),CM50,INDEX('[1]Définition Maintenances'!$G:$G,MATCH($A50,'[1]Définition Maintenances'!$K:$K,0))+CM50),CM50))</f>
        <v>1178</v>
      </c>
      <c r="CO50" s="26">
        <f>IF(ISNUMBER(VLOOKUP($D50,'Visu totale'!$D:$DH,CO$1,0)),CN50-VLOOKUP($D50,'Visu totale'!$D:$DH,CO$1,0),IF(LEFT(VLOOKUP($D50,'Visu totale'!$D:$DH,CO$1,0),1)="V",IF(CN50&gt;=INDEX('[1]Définition Maintenances'!$G:$G,MATCH($A50,'[1]Définition Maintenances'!$K:$K,0)),CN50,INDEX('[1]Définition Maintenances'!$G:$G,MATCH($A50,'[1]Définition Maintenances'!$K:$K,0))+CN50),CN50))</f>
        <v>1178</v>
      </c>
      <c r="CP50" s="26">
        <f>IF(ISNUMBER(VLOOKUP($D50,'Visu totale'!$D:$DH,CP$1,0)),CO50-VLOOKUP($D50,'Visu totale'!$D:$DH,CP$1,0),IF(LEFT(VLOOKUP($D50,'Visu totale'!$D:$DH,CP$1,0),1)="V",IF(CO50&gt;=INDEX('[1]Définition Maintenances'!$G:$G,MATCH($A50,'[1]Définition Maintenances'!$K:$K,0)),CO50,INDEX('[1]Définition Maintenances'!$G:$G,MATCH($A50,'[1]Définition Maintenances'!$K:$K,0))+CO50),CO50))</f>
        <v>1178</v>
      </c>
      <c r="CQ50" s="26">
        <f>IF(ISNUMBER(VLOOKUP($D50,'Visu totale'!$D:$DH,CQ$1,0)),CP50-VLOOKUP($D50,'Visu totale'!$D:$DH,CQ$1,0),IF(LEFT(VLOOKUP($D50,'Visu totale'!$D:$DH,CQ$1,0),1)="V",IF(CP50&gt;=INDEX('[1]Définition Maintenances'!$G:$G,MATCH($A50,'[1]Définition Maintenances'!$K:$K,0)),CP50,INDEX('[1]Définition Maintenances'!$G:$G,MATCH($A50,'[1]Définition Maintenances'!$K:$K,0))+CP50),CP50))</f>
        <v>1178</v>
      </c>
      <c r="CR50" s="26">
        <f>IF(ISNUMBER(VLOOKUP($D50,'Visu totale'!$D:$DH,CR$1,0)),CQ50-VLOOKUP($D50,'Visu totale'!$D:$DH,CR$1,0),IF(LEFT(VLOOKUP($D50,'Visu totale'!$D:$DH,CR$1,0),1)="V",IF(CQ50&gt;=INDEX('[1]Définition Maintenances'!$G:$G,MATCH($A50,'[1]Définition Maintenances'!$K:$K,0)),CQ50,INDEX('[1]Définition Maintenances'!$G:$G,MATCH($A50,'[1]Définition Maintenances'!$K:$K,0))+CQ50),CQ50))</f>
        <v>1178</v>
      </c>
      <c r="CS50" s="26">
        <f>IF(ISNUMBER(VLOOKUP($D50,'Visu totale'!$D:$DH,CS$1,0)),CR50-VLOOKUP($D50,'Visu totale'!$D:$DH,CS$1,0),IF(LEFT(VLOOKUP($D50,'Visu totale'!$D:$DH,CS$1,0),1)="V",IF(CR50&gt;=INDEX('[1]Définition Maintenances'!$G:$G,MATCH($A50,'[1]Définition Maintenances'!$K:$K,0)),CR50,INDEX('[1]Définition Maintenances'!$G:$G,MATCH($A50,'[1]Définition Maintenances'!$K:$K,0))+CR50),CR50))</f>
        <v>1178</v>
      </c>
      <c r="CT50" s="26">
        <f>IF(ISNUMBER(VLOOKUP($D50,'Visu totale'!$D:$DH,CT$1,0)),CS50-VLOOKUP($D50,'Visu totale'!$D:$DH,CT$1,0),IF(LEFT(VLOOKUP($D50,'Visu totale'!$D:$DH,CT$1,0),1)="V",IF(CS50&gt;=INDEX('[1]Définition Maintenances'!$G:$G,MATCH($A50,'[1]Définition Maintenances'!$K:$K,0)),CS50,INDEX('[1]Définition Maintenances'!$G:$G,MATCH($A50,'[1]Définition Maintenances'!$K:$K,0))+CS50),CS50))</f>
        <v>1178</v>
      </c>
      <c r="CU50" s="26">
        <f>IF(ISNUMBER(VLOOKUP($D50,'Visu totale'!$D:$DH,CU$1,0)),CT50-VLOOKUP($D50,'Visu totale'!$D:$DH,CU$1,0),IF(LEFT(VLOOKUP($D50,'Visu totale'!$D:$DH,CU$1,0),1)="V",IF(CT50&gt;=INDEX('[1]Définition Maintenances'!$G:$G,MATCH($A50,'[1]Définition Maintenances'!$K:$K,0)),CT50,INDEX('[1]Définition Maintenances'!$G:$G,MATCH($A50,'[1]Définition Maintenances'!$K:$K,0))+CT50),CT50))</f>
        <v>1178</v>
      </c>
      <c r="CV50" s="26">
        <f>IF(ISNUMBER(VLOOKUP($D50,'Visu totale'!$D:$DH,CV$1,0)),CU50-VLOOKUP($D50,'Visu totale'!$D:$DH,CV$1,0),IF(LEFT(VLOOKUP($D50,'Visu totale'!$D:$DH,CV$1,0),1)="V",IF(CU50&gt;=INDEX('[1]Définition Maintenances'!$G:$G,MATCH($A50,'[1]Définition Maintenances'!$K:$K,0)),CU50,INDEX('[1]Définition Maintenances'!$G:$G,MATCH($A50,'[1]Définition Maintenances'!$K:$K,0))+CU50),CU50))</f>
        <v>1178</v>
      </c>
      <c r="CW50" s="27">
        <f>IF(ISNUMBER(VLOOKUP($D50,'Visu totale'!$D:$DH,CW$1,0)),CV50-VLOOKUP($D50,'Visu totale'!$D:$DH,CW$1,0),IF(LEFT(VLOOKUP($D50,'Visu totale'!$D:$DH,CW$1,0),1)="V",IF(CV50&gt;=INDEX('[1]Définition Maintenances'!$G:$G,MATCH($A50,'[1]Définition Maintenances'!$K:$K,0)),CV50,INDEX('[1]Définition Maintenances'!$G:$G,MATCH($A50,'[1]Définition Maintenances'!$K:$K,0))+CV50),CV50))</f>
        <v>1178</v>
      </c>
      <c r="CX50" s="25">
        <f>IF(ISNUMBER(VLOOKUP($D50,'Visu totale'!$D:$DH,CX$1,0)),CW50-VLOOKUP($D50,'Visu totale'!$D:$DH,CX$1,0),IF(LEFT(VLOOKUP($D50,'Visu totale'!$D:$DH,CX$1,0),1)="V",IF(CW50&gt;=INDEX('[1]Définition Maintenances'!$G:$G,MATCH($A50,'[1]Définition Maintenances'!$K:$K,0)),CW50,INDEX('[1]Définition Maintenances'!$G:$G,MATCH($A50,'[1]Définition Maintenances'!$K:$K,0))+CW50),CW50))</f>
        <v>1178</v>
      </c>
      <c r="CY50" s="26">
        <f>IF(ISNUMBER(VLOOKUP($D50,'Visu totale'!$D:$DH,CY$1,0)),CX50-VLOOKUP($D50,'Visu totale'!$D:$DH,CY$1,0),IF(LEFT(VLOOKUP($D50,'Visu totale'!$D:$DH,CY$1,0),1)="V",IF(CX50&gt;=INDEX('[1]Définition Maintenances'!$G:$G,MATCH($A50,'[1]Définition Maintenances'!$K:$K,0)),CX50,INDEX('[1]Définition Maintenances'!$G:$G,MATCH($A50,'[1]Définition Maintenances'!$K:$K,0))+CX50),CX50))</f>
        <v>1178</v>
      </c>
      <c r="CZ50" s="26">
        <f>IF(ISNUMBER(VLOOKUP($D50,'Visu totale'!$D:$DH,CZ$1,0)),CY50-VLOOKUP($D50,'Visu totale'!$D:$DH,CZ$1,0),IF(LEFT(VLOOKUP($D50,'Visu totale'!$D:$DH,CZ$1,0),1)="V",IF(CY50&gt;=INDEX('[1]Définition Maintenances'!$G:$G,MATCH($A50,'[1]Définition Maintenances'!$K:$K,0)),CY50,INDEX('[1]Définition Maintenances'!$G:$G,MATCH($A50,'[1]Définition Maintenances'!$K:$K,0))+CY50),CY50))</f>
        <v>1178</v>
      </c>
      <c r="DA50" s="26">
        <f>IF(ISNUMBER(VLOOKUP($D50,'Visu totale'!$D:$DH,DA$1,0)),CZ50-VLOOKUP($D50,'Visu totale'!$D:$DH,DA$1,0),IF(LEFT(VLOOKUP($D50,'Visu totale'!$D:$DH,DA$1,0),1)="V",IF(CZ50&gt;=INDEX('[1]Définition Maintenances'!$G:$G,MATCH($A50,'[1]Définition Maintenances'!$K:$K,0)),CZ50,INDEX('[1]Définition Maintenances'!$G:$G,MATCH($A50,'[1]Définition Maintenances'!$K:$K,0))+CZ50),CZ50))</f>
        <v>1178</v>
      </c>
      <c r="DB50" s="26">
        <f>IF(ISNUMBER(VLOOKUP($D50,'Visu totale'!$D:$DH,DB$1,0)),DA50-VLOOKUP($D50,'Visu totale'!$D:$DH,DB$1,0),IF(LEFT(VLOOKUP($D50,'Visu totale'!$D:$DH,DB$1,0),1)="V",IF(DA50&gt;=INDEX('[1]Définition Maintenances'!$G:$G,MATCH($A50,'[1]Définition Maintenances'!$K:$K,0)),DA50,INDEX('[1]Définition Maintenances'!$G:$G,MATCH($A50,'[1]Définition Maintenances'!$K:$K,0))+DA50),DA50))</f>
        <v>1178</v>
      </c>
      <c r="DC50" s="26">
        <f>IF(ISNUMBER(VLOOKUP($D50,'Visu totale'!$D:$DH,DC$1,0)),DB50-VLOOKUP($D50,'Visu totale'!$D:$DH,DC$1,0),IF(LEFT(VLOOKUP($D50,'Visu totale'!$D:$DH,DC$1,0),1)="V",IF(DB50&gt;=INDEX('[1]Définition Maintenances'!$G:$G,MATCH($A50,'[1]Définition Maintenances'!$K:$K,0)),DB50,INDEX('[1]Définition Maintenances'!$G:$G,MATCH($A50,'[1]Définition Maintenances'!$K:$K,0))+DB50),DB50))</f>
        <v>1178</v>
      </c>
      <c r="DD50" s="26">
        <f>IF(ISNUMBER(VLOOKUP($D50,'Visu totale'!$D:$DH,DD$1,0)),DC50-VLOOKUP($D50,'Visu totale'!$D:$DH,DD$1,0),IF(LEFT(VLOOKUP($D50,'Visu totale'!$D:$DH,DD$1,0),1)="V",IF(DC50&gt;=INDEX('[1]Définition Maintenances'!$G:$G,MATCH($A50,'[1]Définition Maintenances'!$K:$K,0)),DC50,INDEX('[1]Définition Maintenances'!$G:$G,MATCH($A50,'[1]Définition Maintenances'!$K:$K,0))+DC50),DC50))</f>
        <v>1178</v>
      </c>
      <c r="DE50" s="26">
        <f>IF(ISNUMBER(VLOOKUP($D50,'Visu totale'!$D:$DH,DE$1,0)),DD50-VLOOKUP($D50,'Visu totale'!$D:$DH,DE$1,0),IF(LEFT(VLOOKUP($D50,'Visu totale'!$D:$DH,DE$1,0),1)="V",IF(DD50&gt;=INDEX('[1]Définition Maintenances'!$G:$G,MATCH($A50,'[1]Définition Maintenances'!$K:$K,0)),DD50,INDEX('[1]Définition Maintenances'!$G:$G,MATCH($A50,'[1]Définition Maintenances'!$K:$K,0))+DD50),DD50))</f>
        <v>1178</v>
      </c>
      <c r="DF50" s="26">
        <f>IF(ISNUMBER(VLOOKUP($D50,'Visu totale'!$D:$DH,DF$1,0)),DE50-VLOOKUP($D50,'Visu totale'!$D:$DH,DF$1,0),IF(LEFT(VLOOKUP($D50,'Visu totale'!$D:$DH,DF$1,0),1)="V",IF(DE50&gt;=INDEX('[1]Définition Maintenances'!$G:$G,MATCH($A50,'[1]Définition Maintenances'!$K:$K,0)),DE50,INDEX('[1]Définition Maintenances'!$G:$G,MATCH($A50,'[1]Définition Maintenances'!$K:$K,0))+DE50),DE50))</f>
        <v>1178</v>
      </c>
      <c r="DG50" s="26">
        <f>IF(ISNUMBER(VLOOKUP($D50,'Visu totale'!$D:$DH,DG$1,0)),DF50-VLOOKUP($D50,'Visu totale'!$D:$DH,DG$1,0),IF(LEFT(VLOOKUP($D50,'Visu totale'!$D:$DH,DG$1,0),1)="V",IF(DF50&gt;=INDEX('[1]Définition Maintenances'!$G:$G,MATCH($A50,'[1]Définition Maintenances'!$K:$K,0)),DF50,INDEX('[1]Définition Maintenances'!$G:$G,MATCH($A50,'[1]Définition Maintenances'!$K:$K,0))+DF50),DF50))</f>
        <v>1178</v>
      </c>
      <c r="DH50" s="26">
        <f>IF(ISNUMBER(VLOOKUP($D50,'Visu totale'!$D:$DH,DH$1,0)),DG50-VLOOKUP($D50,'Visu totale'!$D:$DH,DH$1,0),IF(LEFT(VLOOKUP($D50,'Visu totale'!$D:$DH,DH$1,0),1)="V",IF(DG50&gt;=INDEX('[1]Définition Maintenances'!$G:$G,MATCH($A50,'[1]Définition Maintenances'!$K:$K,0)),DG50,INDEX('[1]Définition Maintenances'!$G:$G,MATCH($A50,'[1]Définition Maintenances'!$K:$K,0))+DG50),DG50))</f>
        <v>1178</v>
      </c>
      <c r="DI50" s="27">
        <f>IF(ISNUMBER(VLOOKUP($D50,'Visu totale'!$D:$DH,DI$1,0)),DH50-VLOOKUP($D50,'Visu totale'!$D:$DH,DI$1,0),IF(LEFT(VLOOKUP($D50,'Visu totale'!$D:$DH,DI$1,0),1)="V",IF(DH50&gt;=INDEX('[1]Définition Maintenances'!$G:$G,MATCH($A50,'[1]Définition Maintenances'!$K:$K,0)),DH50,INDEX('[1]Définition Maintenances'!$G:$G,MATCH($A50,'[1]Définition Maintenances'!$K:$K,0))+DH50),DH50))</f>
        <v>1178</v>
      </c>
    </row>
    <row r="51" spans="1:113" x14ac:dyDescent="0.25">
      <c r="A51" s="13" t="str">
        <f t="shared" si="1"/>
        <v>V15D</v>
      </c>
      <c r="B51" s="13" t="str">
        <f>VLOOKUP(D51,'[1]Avions (Potentiels)'!$B$2:$H$128,7,FALSE)</f>
        <v>V15</v>
      </c>
      <c r="C51" s="13"/>
      <c r="D51" s="16" t="s">
        <v>54</v>
      </c>
      <c r="E51" s="13">
        <f>IFERROR(VALUE(SUBSTITUTE(VLOOKUP(D51,'[1]Avions (Potentiels)'!$B:$E,4,0),".",",")),VALUE(VLOOKUP(D51,'[1]Avions (Potentiels)'!$B:$E,4,0)))</f>
        <v>142</v>
      </c>
      <c r="F51" s="25">
        <f>IF(ISNUMBER(VLOOKUP($D51,'Visu totale'!$D:$DH,F$1,0)),E51-VLOOKUP($D51,'Visu totale'!$D:$DH,F$1,0),IF(LEFT(VLOOKUP($D51,'Visu totale'!$D:$DH,F$1,0),1)="V",IF(E51&gt;=INDEX('[1]Définition Maintenances'!$G:$G,MATCH($A51,'[1]Définition Maintenances'!$K:$K,0)),E51,INDEX('[1]Définition Maintenances'!$G:$G,MATCH($A51,'[1]Définition Maintenances'!$K:$K,0))+E51),E51))</f>
        <v>142</v>
      </c>
      <c r="G51" s="26">
        <f>IF(ISNUMBER(VLOOKUP($D51,'Visu totale'!$D:$DH,G$1,0)),F51-VLOOKUP($D51,'Visu totale'!$D:$DH,G$1,0),IF(LEFT(VLOOKUP($D51,'Visu totale'!$D:$DH,G$1,0),1)="V",IF(F51&gt;=INDEX('[1]Définition Maintenances'!$G:$G,MATCH($A51,'[1]Définition Maintenances'!$K:$K,0)),F51,INDEX('[1]Définition Maintenances'!$G:$G,MATCH($A51,'[1]Définition Maintenances'!$K:$K,0))+F51),F51))</f>
        <v>142</v>
      </c>
      <c r="H51" s="26">
        <f>IF(ISNUMBER(VLOOKUP($D51,'Visu totale'!$D:$DH,H$1,0)),G51-VLOOKUP($D51,'Visu totale'!$D:$DH,H$1,0),IF(LEFT(VLOOKUP($D51,'Visu totale'!$D:$DH,H$1,0),1)="V",IF(G51&gt;=INDEX('[1]Définition Maintenances'!$G:$G,MATCH($A51,'[1]Définition Maintenances'!$K:$K,0)),G51,INDEX('[1]Définition Maintenances'!$G:$G,MATCH($A51,'[1]Définition Maintenances'!$K:$K,0))+G51),G51))</f>
        <v>142</v>
      </c>
      <c r="I51" s="26">
        <f>IF(ISNUMBER(VLOOKUP($D51,'Visu totale'!$D:$DH,I$1,0)),H51-VLOOKUP($D51,'Visu totale'!$D:$DH,I$1,0),IF(LEFT(VLOOKUP($D51,'Visu totale'!$D:$DH,I$1,0),1)="V",IF(H51&gt;=INDEX('[1]Définition Maintenances'!$G:$G,MATCH($A51,'[1]Définition Maintenances'!$K:$K,0)),H51,INDEX('[1]Définition Maintenances'!$G:$G,MATCH($A51,'[1]Définition Maintenances'!$K:$K,0))+H51),H51))</f>
        <v>142</v>
      </c>
      <c r="J51" s="26">
        <f>IF(ISNUMBER(VLOOKUP($D51,'Visu totale'!$D:$DH,J$1,0)),I51-VLOOKUP($D51,'Visu totale'!$D:$DH,J$1,0),IF(LEFT(VLOOKUP($D51,'Visu totale'!$D:$DH,J$1,0),1)="V",IF(I51&gt;=INDEX('[1]Définition Maintenances'!$G:$G,MATCH($A51,'[1]Définition Maintenances'!$K:$K,0)),I51,INDEX('[1]Définition Maintenances'!$G:$G,MATCH($A51,'[1]Définition Maintenances'!$K:$K,0))+I51),I51))</f>
        <v>142</v>
      </c>
      <c r="K51" s="26">
        <f>IF(ISNUMBER(VLOOKUP($D51,'Visu totale'!$D:$DH,K$1,0)),J51-VLOOKUP($D51,'Visu totale'!$D:$DH,K$1,0),IF(LEFT(VLOOKUP($D51,'Visu totale'!$D:$DH,K$1,0),1)="V",IF(J51&gt;=INDEX('[1]Définition Maintenances'!$G:$G,MATCH($A51,'[1]Définition Maintenances'!$K:$K,0)),J51,INDEX('[1]Définition Maintenances'!$G:$G,MATCH($A51,'[1]Définition Maintenances'!$K:$K,0))+J51),J51))</f>
        <v>142</v>
      </c>
      <c r="L51" s="26">
        <f>IF(ISNUMBER(VLOOKUP($D51,'Visu totale'!$D:$DH,L$1,0)),K51-VLOOKUP($D51,'Visu totale'!$D:$DH,L$1,0),IF(LEFT(VLOOKUP($D51,'Visu totale'!$D:$DH,L$1,0),1)="V",IF(K51&gt;=INDEX('[1]Définition Maintenances'!$G:$G,MATCH($A51,'[1]Définition Maintenances'!$K:$K,0)),K51,INDEX('[1]Définition Maintenances'!$G:$G,MATCH($A51,'[1]Définition Maintenances'!$K:$K,0))+K51),K51))</f>
        <v>142</v>
      </c>
      <c r="M51" s="26">
        <f>IF(ISNUMBER(VLOOKUP($D51,'Visu totale'!$D:$DH,M$1,0)),L51-VLOOKUP($D51,'Visu totale'!$D:$DH,M$1,0),IF(LEFT(VLOOKUP($D51,'Visu totale'!$D:$DH,M$1,0),1)="V",IF(L51&gt;=INDEX('[1]Définition Maintenances'!$G:$G,MATCH($A51,'[1]Définition Maintenances'!$K:$K,0)),L51,INDEX('[1]Définition Maintenances'!$G:$G,MATCH($A51,'[1]Définition Maintenances'!$K:$K,0))+L51),L51))</f>
        <v>142</v>
      </c>
      <c r="N51" s="26">
        <f>IF(ISNUMBER(VLOOKUP($D51,'Visu totale'!$D:$DH,N$1,0)),M51-VLOOKUP($D51,'Visu totale'!$D:$DH,N$1,0),IF(LEFT(VLOOKUP($D51,'Visu totale'!$D:$DH,N$1,0),1)="V",IF(M51&gt;=INDEX('[1]Définition Maintenances'!$G:$G,MATCH($A51,'[1]Définition Maintenances'!$K:$K,0)),M51,INDEX('[1]Définition Maintenances'!$G:$G,MATCH($A51,'[1]Définition Maintenances'!$K:$K,0))+M51),M51))</f>
        <v>142</v>
      </c>
      <c r="O51" s="26">
        <f>IF(ISNUMBER(VLOOKUP($D51,'Visu totale'!$D:$DH,O$1,0)),N51-VLOOKUP($D51,'Visu totale'!$D:$DH,O$1,0),IF(LEFT(VLOOKUP($D51,'Visu totale'!$D:$DH,O$1,0),1)="V",IF(N51&gt;=INDEX('[1]Définition Maintenances'!$G:$G,MATCH($A51,'[1]Définition Maintenances'!$K:$K,0)),N51,INDEX('[1]Définition Maintenances'!$G:$G,MATCH($A51,'[1]Définition Maintenances'!$K:$K,0))+N51),N51))</f>
        <v>142</v>
      </c>
      <c r="P51" s="26">
        <f>IF(ISNUMBER(VLOOKUP($D51,'Visu totale'!$D:$DH,P$1,0)),O51-VLOOKUP($D51,'Visu totale'!$D:$DH,P$1,0),IF(LEFT(VLOOKUP($D51,'Visu totale'!$D:$DH,P$1,0),1)="V",IF(O51&gt;=INDEX('[1]Définition Maintenances'!$G:$G,MATCH($A51,'[1]Définition Maintenances'!$K:$K,0)),O51,INDEX('[1]Définition Maintenances'!$G:$G,MATCH($A51,'[1]Définition Maintenances'!$K:$K,0))+O51),O51))</f>
        <v>142</v>
      </c>
      <c r="Q51" s="27">
        <f>IF(ISNUMBER(VLOOKUP($D51,'Visu totale'!$D:$DH,Q$1,0)),P51-VLOOKUP($D51,'Visu totale'!$D:$DH,Q$1,0),IF(LEFT(VLOOKUP($D51,'Visu totale'!$D:$DH,Q$1,0),1)="V",IF(P51&gt;=INDEX('[1]Définition Maintenances'!$G:$G,MATCH($A51,'[1]Définition Maintenances'!$K:$K,0)),P51,INDEX('[1]Définition Maintenances'!$G:$G,MATCH($A51,'[1]Définition Maintenances'!$K:$K,0))+P51),P51))</f>
        <v>142</v>
      </c>
      <c r="R51" s="25">
        <f>IF(ISNUMBER(VLOOKUP($D51,'Visu totale'!$D:$DH,R$1,0)),Q51-VLOOKUP($D51,'Visu totale'!$D:$DH,R$1,0),IF(LEFT(VLOOKUP($D51,'Visu totale'!$D:$DH,R$1,0),1)="V",IF(Q51&gt;=INDEX('[1]Définition Maintenances'!$G:$G,MATCH($A51,'[1]Définition Maintenances'!$K:$K,0)),Q51,INDEX('[1]Définition Maintenances'!$G:$G,MATCH($A51,'[1]Définition Maintenances'!$K:$K,0))+Q51),Q51))</f>
        <v>142</v>
      </c>
      <c r="S51" s="26">
        <f>IF(ISNUMBER(VLOOKUP($D51,'Visu totale'!$D:$DH,S$1,0)),R51-VLOOKUP($D51,'Visu totale'!$D:$DH,S$1,0),IF(LEFT(VLOOKUP($D51,'Visu totale'!$D:$DH,S$1,0),1)="V",IF(R51&gt;=INDEX('[1]Définition Maintenances'!$G:$G,MATCH($A51,'[1]Définition Maintenances'!$K:$K,0)),R51,INDEX('[1]Définition Maintenances'!$G:$G,MATCH($A51,'[1]Définition Maintenances'!$K:$K,0))+R51),R51))</f>
        <v>142</v>
      </c>
      <c r="T51" s="26">
        <f>IF(ISNUMBER(VLOOKUP($D51,'Visu totale'!$D:$DH,T$1,0)),S51-VLOOKUP($D51,'Visu totale'!$D:$DH,T$1,0),IF(LEFT(VLOOKUP($D51,'Visu totale'!$D:$DH,T$1,0),1)="V",IF(S51&gt;=INDEX('[1]Définition Maintenances'!$G:$G,MATCH($A51,'[1]Définition Maintenances'!$K:$K,0)),S51,INDEX('[1]Définition Maintenances'!$G:$G,MATCH($A51,'[1]Définition Maintenances'!$K:$K,0))+S51),S51))</f>
        <v>142</v>
      </c>
      <c r="U51" s="26">
        <f>IF(ISNUMBER(VLOOKUP($D51,'Visu totale'!$D:$DH,U$1,0)),T51-VLOOKUP($D51,'Visu totale'!$D:$DH,U$1,0),IF(LEFT(VLOOKUP($D51,'Visu totale'!$D:$DH,U$1,0),1)="V",IF(T51&gt;=INDEX('[1]Définition Maintenances'!$G:$G,MATCH($A51,'[1]Définition Maintenances'!$K:$K,0)),T51,INDEX('[1]Définition Maintenances'!$G:$G,MATCH($A51,'[1]Définition Maintenances'!$K:$K,0))+T51),T51))</f>
        <v>142</v>
      </c>
      <c r="V51" s="26">
        <f>IF(ISNUMBER(VLOOKUP($D51,'Visu totale'!$D:$DH,V$1,0)),U51-VLOOKUP($D51,'Visu totale'!$D:$DH,V$1,0),IF(LEFT(VLOOKUP($D51,'Visu totale'!$D:$DH,V$1,0),1)="V",IF(U51&gt;=INDEX('[1]Définition Maintenances'!$G:$G,MATCH($A51,'[1]Définition Maintenances'!$K:$K,0)),U51,INDEX('[1]Définition Maintenances'!$G:$G,MATCH($A51,'[1]Définition Maintenances'!$K:$K,0))+U51),U51))</f>
        <v>142</v>
      </c>
      <c r="W51" s="26">
        <f>IF(ISNUMBER(VLOOKUP($D51,'Visu totale'!$D:$DH,W$1,0)),V51-VLOOKUP($D51,'Visu totale'!$D:$DH,W$1,0),IF(LEFT(VLOOKUP($D51,'Visu totale'!$D:$DH,W$1,0),1)="V",IF(V51&gt;=INDEX('[1]Définition Maintenances'!$G:$G,MATCH($A51,'[1]Définition Maintenances'!$K:$K,0)),V51,INDEX('[1]Définition Maintenances'!$G:$G,MATCH($A51,'[1]Définition Maintenances'!$K:$K,0))+V51),V51))</f>
        <v>142</v>
      </c>
      <c r="X51" s="26">
        <f>IF(ISNUMBER(VLOOKUP($D51,'Visu totale'!$D:$DH,X$1,0)),W51-VLOOKUP($D51,'Visu totale'!$D:$DH,X$1,0),IF(LEFT(VLOOKUP($D51,'Visu totale'!$D:$DH,X$1,0),1)="V",IF(W51&gt;=INDEX('[1]Définition Maintenances'!$G:$G,MATCH($A51,'[1]Définition Maintenances'!$K:$K,0)),W51,INDEX('[1]Définition Maintenances'!$G:$G,MATCH($A51,'[1]Définition Maintenances'!$K:$K,0))+W51),W51))</f>
        <v>142</v>
      </c>
      <c r="Y51" s="26">
        <f>IF(ISNUMBER(VLOOKUP($D51,'Visu totale'!$D:$DH,Y$1,0)),X51-VLOOKUP($D51,'Visu totale'!$D:$DH,Y$1,0),IF(LEFT(VLOOKUP($D51,'Visu totale'!$D:$DH,Y$1,0),1)="V",IF(X51&gt;=INDEX('[1]Définition Maintenances'!$G:$G,MATCH($A51,'[1]Définition Maintenances'!$K:$K,0)),X51,INDEX('[1]Définition Maintenances'!$G:$G,MATCH($A51,'[1]Définition Maintenances'!$K:$K,0))+X51),X51))</f>
        <v>142</v>
      </c>
      <c r="Z51" s="26">
        <f>IF(ISNUMBER(VLOOKUP($D51,'Visu totale'!$D:$DH,Z$1,0)),Y51-VLOOKUP($D51,'Visu totale'!$D:$DH,Z$1,0),IF(LEFT(VLOOKUP($D51,'Visu totale'!$D:$DH,Z$1,0),1)="V",IF(Y51&gt;=INDEX('[1]Définition Maintenances'!$G:$G,MATCH($A51,'[1]Définition Maintenances'!$K:$K,0)),Y51,INDEX('[1]Définition Maintenances'!$G:$G,MATCH($A51,'[1]Définition Maintenances'!$K:$K,0))+Y51),Y51))</f>
        <v>142</v>
      </c>
      <c r="AA51" s="26">
        <f>IF(ISNUMBER(VLOOKUP($D51,'Visu totale'!$D:$DH,AA$1,0)),Z51-VLOOKUP($D51,'Visu totale'!$D:$DH,AA$1,0),IF(LEFT(VLOOKUP($D51,'Visu totale'!$D:$DH,AA$1,0),1)="V",IF(Z51&gt;=INDEX('[1]Définition Maintenances'!$G:$G,MATCH($A51,'[1]Définition Maintenances'!$K:$K,0)),Z51,INDEX('[1]Définition Maintenances'!$G:$G,MATCH($A51,'[1]Définition Maintenances'!$K:$K,0))+Z51),Z51))</f>
        <v>142</v>
      </c>
      <c r="AB51" s="26">
        <f>IF(ISNUMBER(VLOOKUP($D51,'Visu totale'!$D:$DH,AB$1,0)),AA51-VLOOKUP($D51,'Visu totale'!$D:$DH,AB$1,0),IF(LEFT(VLOOKUP($D51,'Visu totale'!$D:$DH,AB$1,0),1)="V",IF(AA51&gt;=INDEX('[1]Définition Maintenances'!$G:$G,MATCH($A51,'[1]Définition Maintenances'!$K:$K,0)),AA51,INDEX('[1]Définition Maintenances'!$G:$G,MATCH($A51,'[1]Définition Maintenances'!$K:$K,0))+AA51),AA51))</f>
        <v>142</v>
      </c>
      <c r="AC51" s="27">
        <f>IF(ISNUMBER(VLOOKUP($D51,'Visu totale'!$D:$DH,AC$1,0)),AB51-VLOOKUP($D51,'Visu totale'!$D:$DH,AC$1,0),IF(LEFT(VLOOKUP($D51,'Visu totale'!$D:$DH,AC$1,0),1)="V",IF(AB51&gt;=INDEX('[1]Définition Maintenances'!$G:$G,MATCH($A51,'[1]Définition Maintenances'!$K:$K,0)),AB51,INDEX('[1]Définition Maintenances'!$G:$G,MATCH($A51,'[1]Définition Maintenances'!$K:$K,0))+AB51),AB51))</f>
        <v>142</v>
      </c>
      <c r="AD51" s="25">
        <f>IF(ISNUMBER(VLOOKUP($D51,'Visu totale'!$D:$DH,AD$1,0)),AC51-VLOOKUP($D51,'Visu totale'!$D:$DH,AD$1,0),IF(LEFT(VLOOKUP($D51,'Visu totale'!$D:$DH,AD$1,0),1)="V",IF(AC51&gt;=INDEX('[1]Définition Maintenances'!$G:$G,MATCH($A51,'[1]Définition Maintenances'!$K:$K,0)),AC51,INDEX('[1]Définition Maintenances'!$G:$G,MATCH($A51,'[1]Définition Maintenances'!$K:$K,0))+AC51),AC51))</f>
        <v>142</v>
      </c>
      <c r="AE51" s="26">
        <f>IF(ISNUMBER(VLOOKUP($D51,'Visu totale'!$D:$DH,AE$1,0)),AD51-VLOOKUP($D51,'Visu totale'!$D:$DH,AE$1,0),IF(LEFT(VLOOKUP($D51,'Visu totale'!$D:$DH,AE$1,0),1)="V",IF(AD51&gt;=INDEX('[1]Définition Maintenances'!$G:$G,MATCH($A51,'[1]Définition Maintenances'!$K:$K,0)),AD51,INDEX('[1]Définition Maintenances'!$G:$G,MATCH($A51,'[1]Définition Maintenances'!$K:$K,0))+AD51),AD51))</f>
        <v>142</v>
      </c>
      <c r="AF51" s="26">
        <f>IF(ISNUMBER(VLOOKUP($D51,'Visu totale'!$D:$DH,AF$1,0)),AE51-VLOOKUP($D51,'Visu totale'!$D:$DH,AF$1,0),IF(LEFT(VLOOKUP($D51,'Visu totale'!$D:$DH,AF$1,0),1)="V",IF(AE51&gt;=INDEX('[1]Définition Maintenances'!$G:$G,MATCH($A51,'[1]Définition Maintenances'!$K:$K,0)),AE51,INDEX('[1]Définition Maintenances'!$G:$G,MATCH($A51,'[1]Définition Maintenances'!$K:$K,0))+AE51),AE51))</f>
        <v>142</v>
      </c>
      <c r="AG51" s="26">
        <f>IF(ISNUMBER(VLOOKUP($D51,'Visu totale'!$D:$DH,AG$1,0)),AF51-VLOOKUP($D51,'Visu totale'!$D:$DH,AG$1,0),IF(LEFT(VLOOKUP($D51,'Visu totale'!$D:$DH,AG$1,0),1)="V",IF(AF51&gt;=INDEX('[1]Définition Maintenances'!$G:$G,MATCH($A51,'[1]Définition Maintenances'!$K:$K,0)),AF51,INDEX('[1]Définition Maintenances'!$G:$G,MATCH($A51,'[1]Définition Maintenances'!$K:$K,0))+AF51),AF51))</f>
        <v>142</v>
      </c>
      <c r="AH51" s="26">
        <f>IF(ISNUMBER(VLOOKUP($D51,'Visu totale'!$D:$DH,AH$1,0)),AG51-VLOOKUP($D51,'Visu totale'!$D:$DH,AH$1,0),IF(LEFT(VLOOKUP($D51,'Visu totale'!$D:$DH,AH$1,0),1)="V",IF(AG51&gt;=INDEX('[1]Définition Maintenances'!$G:$G,MATCH($A51,'[1]Définition Maintenances'!$K:$K,0)),AG51,INDEX('[1]Définition Maintenances'!$G:$G,MATCH($A51,'[1]Définition Maintenances'!$K:$K,0))+AG51),AG51))</f>
        <v>142</v>
      </c>
      <c r="AI51" s="26">
        <f>IF(ISNUMBER(VLOOKUP($D51,'Visu totale'!$D:$DH,AI$1,0)),AH51-VLOOKUP($D51,'Visu totale'!$D:$DH,AI$1,0),IF(LEFT(VLOOKUP($D51,'Visu totale'!$D:$DH,AI$1,0),1)="V",IF(AH51&gt;=INDEX('[1]Définition Maintenances'!$G:$G,MATCH($A51,'[1]Définition Maintenances'!$K:$K,0)),AH51,INDEX('[1]Définition Maintenances'!$G:$G,MATCH($A51,'[1]Définition Maintenances'!$K:$K,0))+AH51),AH51))</f>
        <v>142</v>
      </c>
      <c r="AJ51" s="26">
        <f>IF(ISNUMBER(VLOOKUP($D51,'Visu totale'!$D:$DH,AJ$1,0)),AI51-VLOOKUP($D51,'Visu totale'!$D:$DH,AJ$1,0),IF(LEFT(VLOOKUP($D51,'Visu totale'!$D:$DH,AJ$1,0),1)="V",IF(AI51&gt;=INDEX('[1]Définition Maintenances'!$G:$G,MATCH($A51,'[1]Définition Maintenances'!$K:$K,0)),AI51,INDEX('[1]Définition Maintenances'!$G:$G,MATCH($A51,'[1]Définition Maintenances'!$K:$K,0))+AI51),AI51))</f>
        <v>142</v>
      </c>
      <c r="AK51" s="26">
        <f>IF(ISNUMBER(VLOOKUP($D51,'Visu totale'!$D:$DH,AK$1,0)),AJ51-VLOOKUP($D51,'Visu totale'!$D:$DH,AK$1,0),IF(LEFT(VLOOKUP($D51,'Visu totale'!$D:$DH,AK$1,0),1)="V",IF(AJ51&gt;=INDEX('[1]Définition Maintenances'!$G:$G,MATCH($A51,'[1]Définition Maintenances'!$K:$K,0)),AJ51,INDEX('[1]Définition Maintenances'!$G:$G,MATCH($A51,'[1]Définition Maintenances'!$K:$K,0))+AJ51),AJ51))</f>
        <v>142</v>
      </c>
      <c r="AL51" s="26">
        <f>IF(ISNUMBER(VLOOKUP($D51,'Visu totale'!$D:$DH,AL$1,0)),AK51-VLOOKUP($D51,'Visu totale'!$D:$DH,AL$1,0),IF(LEFT(VLOOKUP($D51,'Visu totale'!$D:$DH,AL$1,0),1)="V",IF(AK51&gt;=INDEX('[1]Définition Maintenances'!$G:$G,MATCH($A51,'[1]Définition Maintenances'!$K:$K,0)),AK51,INDEX('[1]Définition Maintenances'!$G:$G,MATCH($A51,'[1]Définition Maintenances'!$K:$K,0))+AK51),AK51))</f>
        <v>142</v>
      </c>
      <c r="AM51" s="26">
        <f>IF(ISNUMBER(VLOOKUP($D51,'Visu totale'!$D:$DH,AM$1,0)),AL51-VLOOKUP($D51,'Visu totale'!$D:$DH,AM$1,0),IF(LEFT(VLOOKUP($D51,'Visu totale'!$D:$DH,AM$1,0),1)="V",IF(AL51&gt;=INDEX('[1]Définition Maintenances'!$G:$G,MATCH($A51,'[1]Définition Maintenances'!$K:$K,0)),AL51,INDEX('[1]Définition Maintenances'!$G:$G,MATCH($A51,'[1]Définition Maintenances'!$K:$K,0))+AL51),AL51))</f>
        <v>142</v>
      </c>
      <c r="AN51" s="26">
        <f>IF(ISNUMBER(VLOOKUP($D51,'Visu totale'!$D:$DH,AN$1,0)),AM51-VLOOKUP($D51,'Visu totale'!$D:$DH,AN$1,0),IF(LEFT(VLOOKUP($D51,'Visu totale'!$D:$DH,AN$1,0),1)="V",IF(AM51&gt;=INDEX('[1]Définition Maintenances'!$G:$G,MATCH($A51,'[1]Définition Maintenances'!$K:$K,0)),AM51,INDEX('[1]Définition Maintenances'!$G:$G,MATCH($A51,'[1]Définition Maintenances'!$K:$K,0))+AM51),AM51))</f>
        <v>142</v>
      </c>
      <c r="AO51" s="27">
        <f>IF(ISNUMBER(VLOOKUP($D51,'Visu totale'!$D:$DH,AO$1,0)),AN51-VLOOKUP($D51,'Visu totale'!$D:$DH,AO$1,0),IF(LEFT(VLOOKUP($D51,'Visu totale'!$D:$DH,AO$1,0),1)="V",IF(AN51&gt;=INDEX('[1]Définition Maintenances'!$G:$G,MATCH($A51,'[1]Définition Maintenances'!$K:$K,0)),AN51,INDEX('[1]Définition Maintenances'!$G:$G,MATCH($A51,'[1]Définition Maintenances'!$K:$K,0))+AN51),AN51))</f>
        <v>142</v>
      </c>
      <c r="AP51" s="25">
        <f>IF(ISNUMBER(VLOOKUP($D51,'Visu totale'!$D:$DH,AP$1,0)),AO51-VLOOKUP($D51,'Visu totale'!$D:$DH,AP$1,0),IF(LEFT(VLOOKUP($D51,'Visu totale'!$D:$DH,AP$1,0),1)="V",IF(AO51&gt;=INDEX('[1]Définition Maintenances'!$G:$G,MATCH($A51,'[1]Définition Maintenances'!$K:$K,0)),AO51,INDEX('[1]Définition Maintenances'!$G:$G,MATCH($A51,'[1]Définition Maintenances'!$K:$K,0))+AO51),AO51))</f>
        <v>142</v>
      </c>
      <c r="AQ51" s="26">
        <f>IF(ISNUMBER(VLOOKUP($D51,'Visu totale'!$D:$DH,AQ$1,0)),AP51-VLOOKUP($D51,'Visu totale'!$D:$DH,AQ$1,0),IF(LEFT(VLOOKUP($D51,'Visu totale'!$D:$DH,AQ$1,0),1)="V",IF(AP51&gt;=INDEX('[1]Définition Maintenances'!$G:$G,MATCH($A51,'[1]Définition Maintenances'!$K:$K,0)),AP51,INDEX('[1]Définition Maintenances'!$G:$G,MATCH($A51,'[1]Définition Maintenances'!$K:$K,0))+AP51),AP51))</f>
        <v>142</v>
      </c>
      <c r="AR51" s="26">
        <f>IF(ISNUMBER(VLOOKUP($D51,'Visu totale'!$D:$DH,AR$1,0)),AQ51-VLOOKUP($D51,'Visu totale'!$D:$DH,AR$1,0),IF(LEFT(VLOOKUP($D51,'Visu totale'!$D:$DH,AR$1,0),1)="V",IF(AQ51&gt;=INDEX('[1]Définition Maintenances'!$G:$G,MATCH($A51,'[1]Définition Maintenances'!$K:$K,0)),AQ51,INDEX('[1]Définition Maintenances'!$G:$G,MATCH($A51,'[1]Définition Maintenances'!$K:$K,0))+AQ51),AQ51))</f>
        <v>142</v>
      </c>
      <c r="AS51" s="26">
        <f>IF(ISNUMBER(VLOOKUP($D51,'Visu totale'!$D:$DH,AS$1,0)),AR51-VLOOKUP($D51,'Visu totale'!$D:$DH,AS$1,0),IF(LEFT(VLOOKUP($D51,'Visu totale'!$D:$DH,AS$1,0),1)="V",IF(AR51&gt;=INDEX('[1]Définition Maintenances'!$G:$G,MATCH($A51,'[1]Définition Maintenances'!$K:$K,0)),AR51,INDEX('[1]Définition Maintenances'!$G:$G,MATCH($A51,'[1]Définition Maintenances'!$K:$K,0))+AR51),AR51))</f>
        <v>142</v>
      </c>
      <c r="AT51" s="26">
        <f>IF(ISNUMBER(VLOOKUP($D51,'Visu totale'!$D:$DH,AT$1,0)),AS51-VLOOKUP($D51,'Visu totale'!$D:$DH,AT$1,0),IF(LEFT(VLOOKUP($D51,'Visu totale'!$D:$DH,AT$1,0),1)="V",IF(AS51&gt;=INDEX('[1]Définition Maintenances'!$G:$G,MATCH($A51,'[1]Définition Maintenances'!$K:$K,0)),AS51,INDEX('[1]Définition Maintenances'!$G:$G,MATCH($A51,'[1]Définition Maintenances'!$K:$K,0))+AS51),AS51))</f>
        <v>142</v>
      </c>
      <c r="AU51" s="26">
        <f>IF(ISNUMBER(VLOOKUP($D51,'Visu totale'!$D:$DH,AU$1,0)),AT51-VLOOKUP($D51,'Visu totale'!$D:$DH,AU$1,0),IF(LEFT(VLOOKUP($D51,'Visu totale'!$D:$DH,AU$1,0),1)="V",IF(AT51&gt;=INDEX('[1]Définition Maintenances'!$G:$G,MATCH($A51,'[1]Définition Maintenances'!$K:$K,0)),AT51,INDEX('[1]Définition Maintenances'!$G:$G,MATCH($A51,'[1]Définition Maintenances'!$K:$K,0))+AT51),AT51))</f>
        <v>142</v>
      </c>
      <c r="AV51" s="26">
        <f>IF(ISNUMBER(VLOOKUP($D51,'Visu totale'!$D:$DH,AV$1,0)),AU51-VLOOKUP($D51,'Visu totale'!$D:$DH,AV$1,0),IF(LEFT(VLOOKUP($D51,'Visu totale'!$D:$DH,AV$1,0),1)="V",IF(AU51&gt;=INDEX('[1]Définition Maintenances'!$G:$G,MATCH($A51,'[1]Définition Maintenances'!$K:$K,0)),AU51,INDEX('[1]Définition Maintenances'!$G:$G,MATCH($A51,'[1]Définition Maintenances'!$K:$K,0))+AU51),AU51))</f>
        <v>142</v>
      </c>
      <c r="AW51" s="26">
        <f>IF(ISNUMBER(VLOOKUP($D51,'Visu totale'!$D:$DH,AW$1,0)),AV51-VLOOKUP($D51,'Visu totale'!$D:$DH,AW$1,0),IF(LEFT(VLOOKUP($D51,'Visu totale'!$D:$DH,AW$1,0),1)="V",IF(AV51&gt;=INDEX('[1]Définition Maintenances'!$G:$G,MATCH($A51,'[1]Définition Maintenances'!$K:$K,0)),AV51,INDEX('[1]Définition Maintenances'!$G:$G,MATCH($A51,'[1]Définition Maintenances'!$K:$K,0))+AV51),AV51))</f>
        <v>142</v>
      </c>
      <c r="AX51" s="26">
        <f>IF(ISNUMBER(VLOOKUP($D51,'Visu totale'!$D:$DH,AX$1,0)),AW51-VLOOKUP($D51,'Visu totale'!$D:$DH,AX$1,0),IF(LEFT(VLOOKUP($D51,'Visu totale'!$D:$DH,AX$1,0),1)="V",IF(AW51&gt;=INDEX('[1]Définition Maintenances'!$G:$G,MATCH($A51,'[1]Définition Maintenances'!$K:$K,0)),AW51,INDEX('[1]Définition Maintenances'!$G:$G,MATCH($A51,'[1]Définition Maintenances'!$K:$K,0))+AW51),AW51))</f>
        <v>142</v>
      </c>
      <c r="AY51" s="26">
        <f>IF(ISNUMBER(VLOOKUP($D51,'Visu totale'!$D:$DH,AY$1,0)),AX51-VLOOKUP($D51,'Visu totale'!$D:$DH,AY$1,0),IF(LEFT(VLOOKUP($D51,'Visu totale'!$D:$DH,AY$1,0),1)="V",IF(AX51&gt;=INDEX('[1]Définition Maintenances'!$G:$G,MATCH($A51,'[1]Définition Maintenances'!$K:$K,0)),AX51,INDEX('[1]Définition Maintenances'!$G:$G,MATCH($A51,'[1]Définition Maintenances'!$K:$K,0))+AX51),AX51))</f>
        <v>142</v>
      </c>
      <c r="AZ51" s="26">
        <f>IF(ISNUMBER(VLOOKUP($D51,'Visu totale'!$D:$DH,AZ$1,0)),AY51-VLOOKUP($D51,'Visu totale'!$D:$DH,AZ$1,0),IF(LEFT(VLOOKUP($D51,'Visu totale'!$D:$DH,AZ$1,0),1)="V",IF(AY51&gt;=INDEX('[1]Définition Maintenances'!$G:$G,MATCH($A51,'[1]Définition Maintenances'!$K:$K,0)),AY51,INDEX('[1]Définition Maintenances'!$G:$G,MATCH($A51,'[1]Définition Maintenances'!$K:$K,0))+AY51),AY51))</f>
        <v>142</v>
      </c>
      <c r="BA51" s="27">
        <f>IF(ISNUMBER(VLOOKUP($D51,'Visu totale'!$D:$DH,BA$1,0)),AZ51-VLOOKUP($D51,'Visu totale'!$D:$DH,BA$1,0),IF(LEFT(VLOOKUP($D51,'Visu totale'!$D:$DH,BA$1,0),1)="V",IF(AZ51&gt;=INDEX('[1]Définition Maintenances'!$G:$G,MATCH($A51,'[1]Définition Maintenances'!$K:$K,0)),AZ51,INDEX('[1]Définition Maintenances'!$G:$G,MATCH($A51,'[1]Définition Maintenances'!$K:$K,0))+AZ51),AZ51))</f>
        <v>142</v>
      </c>
      <c r="BB51" s="25">
        <f>IF(ISNUMBER(VLOOKUP($D51,'Visu totale'!$D:$DH,BB$1,0)),BA51-VLOOKUP($D51,'Visu totale'!$D:$DH,BB$1,0),IF(LEFT(VLOOKUP($D51,'Visu totale'!$D:$DH,BB$1,0),1)="V",IF(BA51&gt;=INDEX('[1]Définition Maintenances'!$G:$G,MATCH($A51,'[1]Définition Maintenances'!$K:$K,0)),BA51,INDEX('[1]Définition Maintenances'!$G:$G,MATCH($A51,'[1]Définition Maintenances'!$K:$K,0))+BA51),BA51))</f>
        <v>142</v>
      </c>
      <c r="BC51" s="26">
        <f>IF(ISNUMBER(VLOOKUP($D51,'Visu totale'!$D:$DH,BC$1,0)),BB51-VLOOKUP($D51,'Visu totale'!$D:$DH,BC$1,0),IF(LEFT(VLOOKUP($D51,'Visu totale'!$D:$DH,BC$1,0),1)="V",IF(BB51&gt;=INDEX('[1]Définition Maintenances'!$G:$G,MATCH($A51,'[1]Définition Maintenances'!$K:$K,0)),BB51,INDEX('[1]Définition Maintenances'!$G:$G,MATCH($A51,'[1]Définition Maintenances'!$K:$K,0))+BB51),BB51))</f>
        <v>142</v>
      </c>
      <c r="BD51" s="26">
        <f>IF(ISNUMBER(VLOOKUP($D51,'Visu totale'!$D:$DH,BD$1,0)),BC51-VLOOKUP($D51,'Visu totale'!$D:$DH,BD$1,0),IF(LEFT(VLOOKUP($D51,'Visu totale'!$D:$DH,BD$1,0),1)="V",IF(BC51&gt;=INDEX('[1]Définition Maintenances'!$G:$G,MATCH($A51,'[1]Définition Maintenances'!$K:$K,0)),BC51,INDEX('[1]Définition Maintenances'!$G:$G,MATCH($A51,'[1]Définition Maintenances'!$K:$K,0))+BC51),BC51))</f>
        <v>142</v>
      </c>
      <c r="BE51" s="26">
        <f>IF(ISNUMBER(VLOOKUP($D51,'Visu totale'!$D:$DH,BE$1,0)),BD51-VLOOKUP($D51,'Visu totale'!$D:$DH,BE$1,0),IF(LEFT(VLOOKUP($D51,'Visu totale'!$D:$DH,BE$1,0),1)="V",IF(BD51&gt;=INDEX('[1]Définition Maintenances'!$G:$G,MATCH($A51,'[1]Définition Maintenances'!$K:$K,0)),BD51,INDEX('[1]Définition Maintenances'!$G:$G,MATCH($A51,'[1]Définition Maintenances'!$K:$K,0))+BD51),BD51))</f>
        <v>142</v>
      </c>
      <c r="BF51" s="26">
        <f>IF(ISNUMBER(VLOOKUP($D51,'Visu totale'!$D:$DH,BF$1,0)),BE51-VLOOKUP($D51,'Visu totale'!$D:$DH,BF$1,0),IF(LEFT(VLOOKUP($D51,'Visu totale'!$D:$DH,BF$1,0),1)="V",IF(BE51&gt;=INDEX('[1]Définition Maintenances'!$G:$G,MATCH($A51,'[1]Définition Maintenances'!$K:$K,0)),BE51,INDEX('[1]Définition Maintenances'!$G:$G,MATCH($A51,'[1]Définition Maintenances'!$K:$K,0))+BE51),BE51))</f>
        <v>142</v>
      </c>
      <c r="BG51" s="26">
        <f>IF(ISNUMBER(VLOOKUP($D51,'Visu totale'!$D:$DH,BG$1,0)),BF51-VLOOKUP($D51,'Visu totale'!$D:$DH,BG$1,0),IF(LEFT(VLOOKUP($D51,'Visu totale'!$D:$DH,BG$1,0),1)="V",IF(BF51&gt;=INDEX('[1]Définition Maintenances'!$G:$G,MATCH($A51,'[1]Définition Maintenances'!$K:$K,0)),BF51,INDEX('[1]Définition Maintenances'!$G:$G,MATCH($A51,'[1]Définition Maintenances'!$K:$K,0))+BF51),BF51))</f>
        <v>142</v>
      </c>
      <c r="BH51" s="26">
        <f>IF(ISNUMBER(VLOOKUP($D51,'Visu totale'!$D:$DH,BH$1,0)),BG51-VLOOKUP($D51,'Visu totale'!$D:$DH,BH$1,0),IF(LEFT(VLOOKUP($D51,'Visu totale'!$D:$DH,BH$1,0),1)="V",IF(BG51&gt;=INDEX('[1]Définition Maintenances'!$G:$G,MATCH($A51,'[1]Définition Maintenances'!$K:$K,0)),BG51,INDEX('[1]Définition Maintenances'!$G:$G,MATCH($A51,'[1]Définition Maintenances'!$K:$K,0))+BG51),BG51))</f>
        <v>142</v>
      </c>
      <c r="BI51" s="26">
        <f>IF(ISNUMBER(VLOOKUP($D51,'Visu totale'!$D:$DH,BI$1,0)),BH51-VLOOKUP($D51,'Visu totale'!$D:$DH,BI$1,0),IF(LEFT(VLOOKUP($D51,'Visu totale'!$D:$DH,BI$1,0),1)="V",IF(BH51&gt;=INDEX('[1]Définition Maintenances'!$G:$G,MATCH($A51,'[1]Définition Maintenances'!$K:$K,0)),BH51,INDEX('[1]Définition Maintenances'!$G:$G,MATCH($A51,'[1]Définition Maintenances'!$K:$K,0))+BH51),BH51))</f>
        <v>142</v>
      </c>
      <c r="BJ51" s="26">
        <f>IF(ISNUMBER(VLOOKUP($D51,'Visu totale'!$D:$DH,BJ$1,0)),BI51-VLOOKUP($D51,'Visu totale'!$D:$DH,BJ$1,0),IF(LEFT(VLOOKUP($D51,'Visu totale'!$D:$DH,BJ$1,0),1)="V",IF(BI51&gt;=INDEX('[1]Définition Maintenances'!$G:$G,MATCH($A51,'[1]Définition Maintenances'!$K:$K,0)),BI51,INDEX('[1]Définition Maintenances'!$G:$G,MATCH($A51,'[1]Définition Maintenances'!$K:$K,0))+BI51),BI51))</f>
        <v>142</v>
      </c>
      <c r="BK51" s="26">
        <f>IF(ISNUMBER(VLOOKUP($D51,'Visu totale'!$D:$DH,BK$1,0)),BJ51-VLOOKUP($D51,'Visu totale'!$D:$DH,BK$1,0),IF(LEFT(VLOOKUP($D51,'Visu totale'!$D:$DH,BK$1,0),1)="V",IF(BJ51&gt;=INDEX('[1]Définition Maintenances'!$G:$G,MATCH($A51,'[1]Définition Maintenances'!$K:$K,0)),BJ51,INDEX('[1]Définition Maintenances'!$G:$G,MATCH($A51,'[1]Définition Maintenances'!$K:$K,0))+BJ51),BJ51))</f>
        <v>142</v>
      </c>
      <c r="BL51" s="26">
        <f>IF(ISNUMBER(VLOOKUP($D51,'Visu totale'!$D:$DH,BL$1,0)),BK51-VLOOKUP($D51,'Visu totale'!$D:$DH,BL$1,0),IF(LEFT(VLOOKUP($D51,'Visu totale'!$D:$DH,BL$1,0),1)="V",IF(BK51&gt;=INDEX('[1]Définition Maintenances'!$G:$G,MATCH($A51,'[1]Définition Maintenances'!$K:$K,0)),BK51,INDEX('[1]Définition Maintenances'!$G:$G,MATCH($A51,'[1]Définition Maintenances'!$K:$K,0))+BK51),BK51))</f>
        <v>142</v>
      </c>
      <c r="BM51" s="27">
        <f>IF(ISNUMBER(VLOOKUP($D51,'Visu totale'!$D:$DH,BM$1,0)),BL51-VLOOKUP($D51,'Visu totale'!$D:$DH,BM$1,0),IF(LEFT(VLOOKUP($D51,'Visu totale'!$D:$DH,BM$1,0),1)="V",IF(BL51&gt;=INDEX('[1]Définition Maintenances'!$G:$G,MATCH($A51,'[1]Définition Maintenances'!$K:$K,0)),BL51,INDEX('[1]Définition Maintenances'!$G:$G,MATCH($A51,'[1]Définition Maintenances'!$K:$K,0))+BL51),BL51))</f>
        <v>142</v>
      </c>
      <c r="BN51" s="25">
        <f>IF(ISNUMBER(VLOOKUP($D51,'Visu totale'!$D:$DH,BN$1,0)),BM51-VLOOKUP($D51,'Visu totale'!$D:$DH,BN$1,0),IF(LEFT(VLOOKUP($D51,'Visu totale'!$D:$DH,BN$1,0),1)="V",IF(BM51&gt;=INDEX('[1]Définition Maintenances'!$G:$G,MATCH($A51,'[1]Définition Maintenances'!$K:$K,0)),BM51,INDEX('[1]Définition Maintenances'!$G:$G,MATCH($A51,'[1]Définition Maintenances'!$K:$K,0))+BM51),BM51))</f>
        <v>142</v>
      </c>
      <c r="BO51" s="26">
        <f>IF(ISNUMBER(VLOOKUP($D51,'Visu totale'!$D:$DH,BO$1,0)),BN51-VLOOKUP($D51,'Visu totale'!$D:$DH,BO$1,0),IF(LEFT(VLOOKUP($D51,'Visu totale'!$D:$DH,BO$1,0),1)="V",IF(BN51&gt;=INDEX('[1]Définition Maintenances'!$G:$G,MATCH($A51,'[1]Définition Maintenances'!$K:$K,0)),BN51,INDEX('[1]Définition Maintenances'!$G:$G,MATCH($A51,'[1]Définition Maintenances'!$K:$K,0))+BN51),BN51))</f>
        <v>142</v>
      </c>
      <c r="BP51" s="26">
        <f>IF(ISNUMBER(VLOOKUP($D51,'Visu totale'!$D:$DH,BP$1,0)),BO51-VLOOKUP($D51,'Visu totale'!$D:$DH,BP$1,0),IF(LEFT(VLOOKUP($D51,'Visu totale'!$D:$DH,BP$1,0),1)="V",IF(BO51&gt;=INDEX('[1]Définition Maintenances'!$G:$G,MATCH($A51,'[1]Définition Maintenances'!$K:$K,0)),BO51,INDEX('[1]Définition Maintenances'!$G:$G,MATCH($A51,'[1]Définition Maintenances'!$K:$K,0))+BO51),BO51))</f>
        <v>142</v>
      </c>
      <c r="BQ51" s="26">
        <f>IF(ISNUMBER(VLOOKUP($D51,'Visu totale'!$D:$DH,BQ$1,0)),BP51-VLOOKUP($D51,'Visu totale'!$D:$DH,BQ$1,0),IF(LEFT(VLOOKUP($D51,'Visu totale'!$D:$DH,BQ$1,0),1)="V",IF(BP51&gt;=INDEX('[1]Définition Maintenances'!$G:$G,MATCH($A51,'[1]Définition Maintenances'!$K:$K,0)),BP51,INDEX('[1]Définition Maintenances'!$G:$G,MATCH($A51,'[1]Définition Maintenances'!$K:$K,0))+BP51),BP51))</f>
        <v>142</v>
      </c>
      <c r="BR51" s="26">
        <f>IF(ISNUMBER(VLOOKUP($D51,'Visu totale'!$D:$DH,BR$1,0)),BQ51-VLOOKUP($D51,'Visu totale'!$D:$DH,BR$1,0),IF(LEFT(VLOOKUP($D51,'Visu totale'!$D:$DH,BR$1,0),1)="V",IF(BQ51&gt;=INDEX('[1]Définition Maintenances'!$G:$G,MATCH($A51,'[1]Définition Maintenances'!$K:$K,0)),BQ51,INDEX('[1]Définition Maintenances'!$G:$G,MATCH($A51,'[1]Définition Maintenances'!$K:$K,0))+BQ51),BQ51))</f>
        <v>142</v>
      </c>
      <c r="BS51" s="26">
        <f>IF(ISNUMBER(VLOOKUP($D51,'Visu totale'!$D:$DH,BS$1,0)),BR51-VLOOKUP($D51,'Visu totale'!$D:$DH,BS$1,0),IF(LEFT(VLOOKUP($D51,'Visu totale'!$D:$DH,BS$1,0),1)="V",IF(BR51&gt;=INDEX('[1]Définition Maintenances'!$G:$G,MATCH($A51,'[1]Définition Maintenances'!$K:$K,0)),BR51,INDEX('[1]Définition Maintenances'!$G:$G,MATCH($A51,'[1]Définition Maintenances'!$K:$K,0))+BR51),BR51))</f>
        <v>142</v>
      </c>
      <c r="BT51" s="26">
        <f>IF(ISNUMBER(VLOOKUP($D51,'Visu totale'!$D:$DH,BT$1,0)),BS51-VLOOKUP($D51,'Visu totale'!$D:$DH,BT$1,0),IF(LEFT(VLOOKUP($D51,'Visu totale'!$D:$DH,BT$1,0),1)="V",IF(BS51&gt;=INDEX('[1]Définition Maintenances'!$G:$G,MATCH($A51,'[1]Définition Maintenances'!$K:$K,0)),BS51,INDEX('[1]Définition Maintenances'!$G:$G,MATCH($A51,'[1]Définition Maintenances'!$K:$K,0))+BS51),BS51))</f>
        <v>142</v>
      </c>
      <c r="BU51" s="26">
        <f>IF(ISNUMBER(VLOOKUP($D51,'Visu totale'!$D:$DH,BU$1,0)),BT51-VLOOKUP($D51,'Visu totale'!$D:$DH,BU$1,0),IF(LEFT(VLOOKUP($D51,'Visu totale'!$D:$DH,BU$1,0),1)="V",IF(BT51&gt;=INDEX('[1]Définition Maintenances'!$G:$G,MATCH($A51,'[1]Définition Maintenances'!$K:$K,0)),BT51,INDEX('[1]Définition Maintenances'!$G:$G,MATCH($A51,'[1]Définition Maintenances'!$K:$K,0))+BT51),BT51))</f>
        <v>142</v>
      </c>
      <c r="BV51" s="26">
        <f>IF(ISNUMBER(VLOOKUP($D51,'Visu totale'!$D:$DH,BV$1,0)),BU51-VLOOKUP($D51,'Visu totale'!$D:$DH,BV$1,0),IF(LEFT(VLOOKUP($D51,'Visu totale'!$D:$DH,BV$1,0),1)="V",IF(BU51&gt;=INDEX('[1]Définition Maintenances'!$G:$G,MATCH($A51,'[1]Définition Maintenances'!$K:$K,0)),BU51,INDEX('[1]Définition Maintenances'!$G:$G,MATCH($A51,'[1]Définition Maintenances'!$K:$K,0))+BU51),BU51))</f>
        <v>142</v>
      </c>
      <c r="BW51" s="26">
        <f>IF(ISNUMBER(VLOOKUP($D51,'Visu totale'!$D:$DH,BW$1,0)),BV51-VLOOKUP($D51,'Visu totale'!$D:$DH,BW$1,0),IF(LEFT(VLOOKUP($D51,'Visu totale'!$D:$DH,BW$1,0),1)="V",IF(BV51&gt;=INDEX('[1]Définition Maintenances'!$G:$G,MATCH($A51,'[1]Définition Maintenances'!$K:$K,0)),BV51,INDEX('[1]Définition Maintenances'!$G:$G,MATCH($A51,'[1]Définition Maintenances'!$K:$K,0))+BV51),BV51))</f>
        <v>142</v>
      </c>
      <c r="BX51" s="26">
        <f>IF(ISNUMBER(VLOOKUP($D51,'Visu totale'!$D:$DH,BX$1,0)),BW51-VLOOKUP($D51,'Visu totale'!$D:$DH,BX$1,0),IF(LEFT(VLOOKUP($D51,'Visu totale'!$D:$DH,BX$1,0),1)="V",IF(BW51&gt;=INDEX('[1]Définition Maintenances'!$G:$G,MATCH($A51,'[1]Définition Maintenances'!$K:$K,0)),BW51,INDEX('[1]Définition Maintenances'!$G:$G,MATCH($A51,'[1]Définition Maintenances'!$K:$K,0))+BW51),BW51))</f>
        <v>142</v>
      </c>
      <c r="BY51" s="27">
        <f>IF(ISNUMBER(VLOOKUP($D51,'Visu totale'!$D:$DH,BY$1,0)),BX51-VLOOKUP($D51,'Visu totale'!$D:$DH,BY$1,0),IF(LEFT(VLOOKUP($D51,'Visu totale'!$D:$DH,BY$1,0),1)="V",IF(BX51&gt;=INDEX('[1]Définition Maintenances'!$G:$G,MATCH($A51,'[1]Définition Maintenances'!$K:$K,0)),BX51,INDEX('[1]Définition Maintenances'!$G:$G,MATCH($A51,'[1]Définition Maintenances'!$K:$K,0))+BX51),BX51))</f>
        <v>142</v>
      </c>
      <c r="BZ51" s="25">
        <f>IF(ISNUMBER(VLOOKUP($D51,'Visu totale'!$D:$DH,BZ$1,0)),BY51-VLOOKUP($D51,'Visu totale'!$D:$DH,BZ$1,0),IF(LEFT(VLOOKUP($D51,'Visu totale'!$D:$DH,BZ$1,0),1)="V",IF(BY51&gt;=INDEX('[1]Définition Maintenances'!$G:$G,MATCH($A51,'[1]Définition Maintenances'!$K:$K,0)),BY51,INDEX('[1]Définition Maintenances'!$G:$G,MATCH($A51,'[1]Définition Maintenances'!$K:$K,0))+BY51),BY51))</f>
        <v>142</v>
      </c>
      <c r="CA51" s="26">
        <f>IF(ISNUMBER(VLOOKUP($D51,'Visu totale'!$D:$DH,CA$1,0)),BZ51-VLOOKUP($D51,'Visu totale'!$D:$DH,CA$1,0),IF(LEFT(VLOOKUP($D51,'Visu totale'!$D:$DH,CA$1,0),1)="V",IF(BZ51&gt;=INDEX('[1]Définition Maintenances'!$G:$G,MATCH($A51,'[1]Définition Maintenances'!$K:$K,0)),BZ51,INDEX('[1]Définition Maintenances'!$G:$G,MATCH($A51,'[1]Définition Maintenances'!$K:$K,0))+BZ51),BZ51))</f>
        <v>142</v>
      </c>
      <c r="CB51" s="26">
        <f>IF(ISNUMBER(VLOOKUP($D51,'Visu totale'!$D:$DH,CB$1,0)),CA51-VLOOKUP($D51,'Visu totale'!$D:$DH,CB$1,0),IF(LEFT(VLOOKUP($D51,'Visu totale'!$D:$DH,CB$1,0),1)="V",IF(CA51&gt;=INDEX('[1]Définition Maintenances'!$G:$G,MATCH($A51,'[1]Définition Maintenances'!$K:$K,0)),CA51,INDEX('[1]Définition Maintenances'!$G:$G,MATCH($A51,'[1]Définition Maintenances'!$K:$K,0))+CA51),CA51))</f>
        <v>142</v>
      </c>
      <c r="CC51" s="26">
        <f>IF(ISNUMBER(VLOOKUP($D51,'Visu totale'!$D:$DH,CC$1,0)),CB51-VLOOKUP($D51,'Visu totale'!$D:$DH,CC$1,0),IF(LEFT(VLOOKUP($D51,'Visu totale'!$D:$DH,CC$1,0),1)="V",IF(CB51&gt;=INDEX('[1]Définition Maintenances'!$G:$G,MATCH($A51,'[1]Définition Maintenances'!$K:$K,0)),CB51,INDEX('[1]Définition Maintenances'!$G:$G,MATCH($A51,'[1]Définition Maintenances'!$K:$K,0))+CB51),CB51))</f>
        <v>142</v>
      </c>
      <c r="CD51" s="26">
        <f>IF(ISNUMBER(VLOOKUP($D51,'Visu totale'!$D:$DH,CD$1,0)),CC51-VLOOKUP($D51,'Visu totale'!$D:$DH,CD$1,0),IF(LEFT(VLOOKUP($D51,'Visu totale'!$D:$DH,CD$1,0),1)="V",IF(CC51&gt;=INDEX('[1]Définition Maintenances'!$G:$G,MATCH($A51,'[1]Définition Maintenances'!$K:$K,0)),CC51,INDEX('[1]Définition Maintenances'!$G:$G,MATCH($A51,'[1]Définition Maintenances'!$K:$K,0))+CC51),CC51))</f>
        <v>142</v>
      </c>
      <c r="CE51" s="26">
        <f>IF(ISNUMBER(VLOOKUP($D51,'Visu totale'!$D:$DH,CE$1,0)),CD51-VLOOKUP($D51,'Visu totale'!$D:$DH,CE$1,0),IF(LEFT(VLOOKUP($D51,'Visu totale'!$D:$DH,CE$1,0),1)="V",IF(CD51&gt;=INDEX('[1]Définition Maintenances'!$G:$G,MATCH($A51,'[1]Définition Maintenances'!$K:$K,0)),CD51,INDEX('[1]Définition Maintenances'!$G:$G,MATCH($A51,'[1]Définition Maintenances'!$K:$K,0))+CD51),CD51))</f>
        <v>142</v>
      </c>
      <c r="CF51" s="26">
        <f>IF(ISNUMBER(VLOOKUP($D51,'Visu totale'!$D:$DH,CF$1,0)),CE51-VLOOKUP($D51,'Visu totale'!$D:$DH,CF$1,0),IF(LEFT(VLOOKUP($D51,'Visu totale'!$D:$DH,CF$1,0),1)="V",IF(CE51&gt;=INDEX('[1]Définition Maintenances'!$G:$G,MATCH($A51,'[1]Définition Maintenances'!$K:$K,0)),CE51,INDEX('[1]Définition Maintenances'!$G:$G,MATCH($A51,'[1]Définition Maintenances'!$K:$K,0))+CE51),CE51))</f>
        <v>142</v>
      </c>
      <c r="CG51" s="26">
        <f>IF(ISNUMBER(VLOOKUP($D51,'Visu totale'!$D:$DH,CG$1,0)),CF51-VLOOKUP($D51,'Visu totale'!$D:$DH,CG$1,0),IF(LEFT(VLOOKUP($D51,'Visu totale'!$D:$DH,CG$1,0),1)="V",IF(CF51&gt;=INDEX('[1]Définition Maintenances'!$G:$G,MATCH($A51,'[1]Définition Maintenances'!$K:$K,0)),CF51,INDEX('[1]Définition Maintenances'!$G:$G,MATCH($A51,'[1]Définition Maintenances'!$K:$K,0))+CF51),CF51))</f>
        <v>142</v>
      </c>
      <c r="CH51" s="26">
        <f>IF(ISNUMBER(VLOOKUP($D51,'Visu totale'!$D:$DH,CH$1,0)),CG51-VLOOKUP($D51,'Visu totale'!$D:$DH,CH$1,0),IF(LEFT(VLOOKUP($D51,'Visu totale'!$D:$DH,CH$1,0),1)="V",IF(CG51&gt;=INDEX('[1]Définition Maintenances'!$G:$G,MATCH($A51,'[1]Définition Maintenances'!$K:$K,0)),CG51,INDEX('[1]Définition Maintenances'!$G:$G,MATCH($A51,'[1]Définition Maintenances'!$K:$K,0))+CG51),CG51))</f>
        <v>142</v>
      </c>
      <c r="CI51" s="26">
        <f>IF(ISNUMBER(VLOOKUP($D51,'Visu totale'!$D:$DH,CI$1,0)),CH51-VLOOKUP($D51,'Visu totale'!$D:$DH,CI$1,0),IF(LEFT(VLOOKUP($D51,'Visu totale'!$D:$DH,CI$1,0),1)="V",IF(CH51&gt;=INDEX('[1]Définition Maintenances'!$G:$G,MATCH($A51,'[1]Définition Maintenances'!$K:$K,0)),CH51,INDEX('[1]Définition Maintenances'!$G:$G,MATCH($A51,'[1]Définition Maintenances'!$K:$K,0))+CH51),CH51))</f>
        <v>142</v>
      </c>
      <c r="CJ51" s="26">
        <f>IF(ISNUMBER(VLOOKUP($D51,'Visu totale'!$D:$DH,CJ$1,0)),CI51-VLOOKUP($D51,'Visu totale'!$D:$DH,CJ$1,0),IF(LEFT(VLOOKUP($D51,'Visu totale'!$D:$DH,CJ$1,0),1)="V",IF(CI51&gt;=INDEX('[1]Définition Maintenances'!$G:$G,MATCH($A51,'[1]Définition Maintenances'!$K:$K,0)),CI51,INDEX('[1]Définition Maintenances'!$G:$G,MATCH($A51,'[1]Définition Maintenances'!$K:$K,0))+CI51),CI51))</f>
        <v>142</v>
      </c>
      <c r="CK51" s="27">
        <f>IF(ISNUMBER(VLOOKUP($D51,'Visu totale'!$D:$DH,CK$1,0)),CJ51-VLOOKUP($D51,'Visu totale'!$D:$DH,CK$1,0),IF(LEFT(VLOOKUP($D51,'Visu totale'!$D:$DH,CK$1,0),1)="V",IF(CJ51&gt;=INDEX('[1]Définition Maintenances'!$G:$G,MATCH($A51,'[1]Définition Maintenances'!$K:$K,0)),CJ51,INDEX('[1]Définition Maintenances'!$G:$G,MATCH($A51,'[1]Définition Maintenances'!$K:$K,0))+CJ51),CJ51))</f>
        <v>142</v>
      </c>
      <c r="CL51" s="25">
        <f>IF(ISNUMBER(VLOOKUP($D51,'Visu totale'!$D:$DH,CL$1,0)),CK51-VLOOKUP($D51,'Visu totale'!$D:$DH,CL$1,0),IF(LEFT(VLOOKUP($D51,'Visu totale'!$D:$DH,CL$1,0),1)="V",IF(CK51&gt;=INDEX('[1]Définition Maintenances'!$G:$G,MATCH($A51,'[1]Définition Maintenances'!$K:$K,0)),CK51,INDEX('[1]Définition Maintenances'!$G:$G,MATCH($A51,'[1]Définition Maintenances'!$K:$K,0))+CK51),CK51))</f>
        <v>142</v>
      </c>
      <c r="CM51" s="26">
        <f>IF(ISNUMBER(VLOOKUP($D51,'Visu totale'!$D:$DH,CM$1,0)),CL51-VLOOKUP($D51,'Visu totale'!$D:$DH,CM$1,0),IF(LEFT(VLOOKUP($D51,'Visu totale'!$D:$DH,CM$1,0),1)="V",IF(CL51&gt;=INDEX('[1]Définition Maintenances'!$G:$G,MATCH($A51,'[1]Définition Maintenances'!$K:$K,0)),CL51,INDEX('[1]Définition Maintenances'!$G:$G,MATCH($A51,'[1]Définition Maintenances'!$K:$K,0))+CL51),CL51))</f>
        <v>142</v>
      </c>
      <c r="CN51" s="26">
        <f>IF(ISNUMBER(VLOOKUP($D51,'Visu totale'!$D:$DH,CN$1,0)),CM51-VLOOKUP($D51,'Visu totale'!$D:$DH,CN$1,0),IF(LEFT(VLOOKUP($D51,'Visu totale'!$D:$DH,CN$1,0),1)="V",IF(CM51&gt;=INDEX('[1]Définition Maintenances'!$G:$G,MATCH($A51,'[1]Définition Maintenances'!$K:$K,0)),CM51,INDEX('[1]Définition Maintenances'!$G:$G,MATCH($A51,'[1]Définition Maintenances'!$K:$K,0))+CM51),CM51))</f>
        <v>142</v>
      </c>
      <c r="CO51" s="26">
        <f>IF(ISNUMBER(VLOOKUP($D51,'Visu totale'!$D:$DH,CO$1,0)),CN51-VLOOKUP($D51,'Visu totale'!$D:$DH,CO$1,0),IF(LEFT(VLOOKUP($D51,'Visu totale'!$D:$DH,CO$1,0),1)="V",IF(CN51&gt;=INDEX('[1]Définition Maintenances'!$G:$G,MATCH($A51,'[1]Définition Maintenances'!$K:$K,0)),CN51,INDEX('[1]Définition Maintenances'!$G:$G,MATCH($A51,'[1]Définition Maintenances'!$K:$K,0))+CN51),CN51))</f>
        <v>142</v>
      </c>
      <c r="CP51" s="26">
        <f>IF(ISNUMBER(VLOOKUP($D51,'Visu totale'!$D:$DH,CP$1,0)),CO51-VLOOKUP($D51,'Visu totale'!$D:$DH,CP$1,0),IF(LEFT(VLOOKUP($D51,'Visu totale'!$D:$DH,CP$1,0),1)="V",IF(CO51&gt;=INDEX('[1]Définition Maintenances'!$G:$G,MATCH($A51,'[1]Définition Maintenances'!$K:$K,0)),CO51,INDEX('[1]Définition Maintenances'!$G:$G,MATCH($A51,'[1]Définition Maintenances'!$K:$K,0))+CO51),CO51))</f>
        <v>142</v>
      </c>
      <c r="CQ51" s="26">
        <f>IF(ISNUMBER(VLOOKUP($D51,'Visu totale'!$D:$DH,CQ$1,0)),CP51-VLOOKUP($D51,'Visu totale'!$D:$DH,CQ$1,0),IF(LEFT(VLOOKUP($D51,'Visu totale'!$D:$DH,CQ$1,0),1)="V",IF(CP51&gt;=INDEX('[1]Définition Maintenances'!$G:$G,MATCH($A51,'[1]Définition Maintenances'!$K:$K,0)),CP51,INDEX('[1]Définition Maintenances'!$G:$G,MATCH($A51,'[1]Définition Maintenances'!$K:$K,0))+CP51),CP51))</f>
        <v>142</v>
      </c>
      <c r="CR51" s="26">
        <f>IF(ISNUMBER(VLOOKUP($D51,'Visu totale'!$D:$DH,CR$1,0)),CQ51-VLOOKUP($D51,'Visu totale'!$D:$DH,CR$1,0),IF(LEFT(VLOOKUP($D51,'Visu totale'!$D:$DH,CR$1,0),1)="V",IF(CQ51&gt;=INDEX('[1]Définition Maintenances'!$G:$G,MATCH($A51,'[1]Définition Maintenances'!$K:$K,0)),CQ51,INDEX('[1]Définition Maintenances'!$G:$G,MATCH($A51,'[1]Définition Maintenances'!$K:$K,0))+CQ51),CQ51))</f>
        <v>142</v>
      </c>
      <c r="CS51" s="26">
        <f>IF(ISNUMBER(VLOOKUP($D51,'Visu totale'!$D:$DH,CS$1,0)),CR51-VLOOKUP($D51,'Visu totale'!$D:$DH,CS$1,0),IF(LEFT(VLOOKUP($D51,'Visu totale'!$D:$DH,CS$1,0),1)="V",IF(CR51&gt;=INDEX('[1]Définition Maintenances'!$G:$G,MATCH($A51,'[1]Définition Maintenances'!$K:$K,0)),CR51,INDEX('[1]Définition Maintenances'!$G:$G,MATCH($A51,'[1]Définition Maintenances'!$K:$K,0))+CR51),CR51))</f>
        <v>142</v>
      </c>
      <c r="CT51" s="26">
        <f>IF(ISNUMBER(VLOOKUP($D51,'Visu totale'!$D:$DH,CT$1,0)),CS51-VLOOKUP($D51,'Visu totale'!$D:$DH,CT$1,0),IF(LEFT(VLOOKUP($D51,'Visu totale'!$D:$DH,CT$1,0),1)="V",IF(CS51&gt;=INDEX('[1]Définition Maintenances'!$G:$G,MATCH($A51,'[1]Définition Maintenances'!$K:$K,0)),CS51,INDEX('[1]Définition Maintenances'!$G:$G,MATCH($A51,'[1]Définition Maintenances'!$K:$K,0))+CS51),CS51))</f>
        <v>142</v>
      </c>
      <c r="CU51" s="26">
        <f>IF(ISNUMBER(VLOOKUP($D51,'Visu totale'!$D:$DH,CU$1,0)),CT51-VLOOKUP($D51,'Visu totale'!$D:$DH,CU$1,0),IF(LEFT(VLOOKUP($D51,'Visu totale'!$D:$DH,CU$1,0),1)="V",IF(CT51&gt;=INDEX('[1]Définition Maintenances'!$G:$G,MATCH($A51,'[1]Définition Maintenances'!$K:$K,0)),CT51,INDEX('[1]Définition Maintenances'!$G:$G,MATCH($A51,'[1]Définition Maintenances'!$K:$K,0))+CT51),CT51))</f>
        <v>142</v>
      </c>
      <c r="CV51" s="26">
        <f>IF(ISNUMBER(VLOOKUP($D51,'Visu totale'!$D:$DH,CV$1,0)),CU51-VLOOKUP($D51,'Visu totale'!$D:$DH,CV$1,0),IF(LEFT(VLOOKUP($D51,'Visu totale'!$D:$DH,CV$1,0),1)="V",IF(CU51&gt;=INDEX('[1]Définition Maintenances'!$G:$G,MATCH($A51,'[1]Définition Maintenances'!$K:$K,0)),CU51,INDEX('[1]Définition Maintenances'!$G:$G,MATCH($A51,'[1]Définition Maintenances'!$K:$K,0))+CU51),CU51))</f>
        <v>142</v>
      </c>
      <c r="CW51" s="27">
        <f>IF(ISNUMBER(VLOOKUP($D51,'Visu totale'!$D:$DH,CW$1,0)),CV51-VLOOKUP($D51,'Visu totale'!$D:$DH,CW$1,0),IF(LEFT(VLOOKUP($D51,'Visu totale'!$D:$DH,CW$1,0),1)="V",IF(CV51&gt;=INDEX('[1]Définition Maintenances'!$G:$G,MATCH($A51,'[1]Définition Maintenances'!$K:$K,0)),CV51,INDEX('[1]Définition Maintenances'!$G:$G,MATCH($A51,'[1]Définition Maintenances'!$K:$K,0))+CV51),CV51))</f>
        <v>142</v>
      </c>
      <c r="CX51" s="25">
        <f>IF(ISNUMBER(VLOOKUP($D51,'Visu totale'!$D:$DH,CX$1,0)),CW51-VLOOKUP($D51,'Visu totale'!$D:$DH,CX$1,0),IF(LEFT(VLOOKUP($D51,'Visu totale'!$D:$DH,CX$1,0),1)="V",IF(CW51&gt;=INDEX('[1]Définition Maintenances'!$G:$G,MATCH($A51,'[1]Définition Maintenances'!$K:$K,0)),CW51,INDEX('[1]Définition Maintenances'!$G:$G,MATCH($A51,'[1]Définition Maintenances'!$K:$K,0))+CW51),CW51))</f>
        <v>142</v>
      </c>
      <c r="CY51" s="26">
        <f>IF(ISNUMBER(VLOOKUP($D51,'Visu totale'!$D:$DH,CY$1,0)),CX51-VLOOKUP($D51,'Visu totale'!$D:$DH,CY$1,0),IF(LEFT(VLOOKUP($D51,'Visu totale'!$D:$DH,CY$1,0),1)="V",IF(CX51&gt;=INDEX('[1]Définition Maintenances'!$G:$G,MATCH($A51,'[1]Définition Maintenances'!$K:$K,0)),CX51,INDEX('[1]Définition Maintenances'!$G:$G,MATCH($A51,'[1]Définition Maintenances'!$K:$K,0))+CX51),CX51))</f>
        <v>142</v>
      </c>
      <c r="CZ51" s="26">
        <f>IF(ISNUMBER(VLOOKUP($D51,'Visu totale'!$D:$DH,CZ$1,0)),CY51-VLOOKUP($D51,'Visu totale'!$D:$DH,CZ$1,0),IF(LEFT(VLOOKUP($D51,'Visu totale'!$D:$DH,CZ$1,0),1)="V",IF(CY51&gt;=INDEX('[1]Définition Maintenances'!$G:$G,MATCH($A51,'[1]Définition Maintenances'!$K:$K,0)),CY51,INDEX('[1]Définition Maintenances'!$G:$G,MATCH($A51,'[1]Définition Maintenances'!$K:$K,0))+CY51),CY51))</f>
        <v>142</v>
      </c>
      <c r="DA51" s="26">
        <f>IF(ISNUMBER(VLOOKUP($D51,'Visu totale'!$D:$DH,DA$1,0)),CZ51-VLOOKUP($D51,'Visu totale'!$D:$DH,DA$1,0),IF(LEFT(VLOOKUP($D51,'Visu totale'!$D:$DH,DA$1,0),1)="V",IF(CZ51&gt;=INDEX('[1]Définition Maintenances'!$G:$G,MATCH($A51,'[1]Définition Maintenances'!$K:$K,0)),CZ51,INDEX('[1]Définition Maintenances'!$G:$G,MATCH($A51,'[1]Définition Maintenances'!$K:$K,0))+CZ51),CZ51))</f>
        <v>142</v>
      </c>
      <c r="DB51" s="26">
        <f>IF(ISNUMBER(VLOOKUP($D51,'Visu totale'!$D:$DH,DB$1,0)),DA51-VLOOKUP($D51,'Visu totale'!$D:$DH,DB$1,0),IF(LEFT(VLOOKUP($D51,'Visu totale'!$D:$DH,DB$1,0),1)="V",IF(DA51&gt;=INDEX('[1]Définition Maintenances'!$G:$G,MATCH($A51,'[1]Définition Maintenances'!$K:$K,0)),DA51,INDEX('[1]Définition Maintenances'!$G:$G,MATCH($A51,'[1]Définition Maintenances'!$K:$K,0))+DA51),DA51))</f>
        <v>142</v>
      </c>
      <c r="DC51" s="26">
        <f>IF(ISNUMBER(VLOOKUP($D51,'Visu totale'!$D:$DH,DC$1,0)),DB51-VLOOKUP($D51,'Visu totale'!$D:$DH,DC$1,0),IF(LEFT(VLOOKUP($D51,'Visu totale'!$D:$DH,DC$1,0),1)="V",IF(DB51&gt;=INDEX('[1]Définition Maintenances'!$G:$G,MATCH($A51,'[1]Définition Maintenances'!$K:$K,0)),DB51,INDEX('[1]Définition Maintenances'!$G:$G,MATCH($A51,'[1]Définition Maintenances'!$K:$K,0))+DB51),DB51))</f>
        <v>142</v>
      </c>
      <c r="DD51" s="26">
        <f>IF(ISNUMBER(VLOOKUP($D51,'Visu totale'!$D:$DH,DD$1,0)),DC51-VLOOKUP($D51,'Visu totale'!$D:$DH,DD$1,0),IF(LEFT(VLOOKUP($D51,'Visu totale'!$D:$DH,DD$1,0),1)="V",IF(DC51&gt;=INDEX('[1]Définition Maintenances'!$G:$G,MATCH($A51,'[1]Définition Maintenances'!$K:$K,0)),DC51,INDEX('[1]Définition Maintenances'!$G:$G,MATCH($A51,'[1]Définition Maintenances'!$K:$K,0))+DC51),DC51))</f>
        <v>142</v>
      </c>
      <c r="DE51" s="26">
        <f>IF(ISNUMBER(VLOOKUP($D51,'Visu totale'!$D:$DH,DE$1,0)),DD51-VLOOKUP($D51,'Visu totale'!$D:$DH,DE$1,0),IF(LEFT(VLOOKUP($D51,'Visu totale'!$D:$DH,DE$1,0),1)="V",IF(DD51&gt;=INDEX('[1]Définition Maintenances'!$G:$G,MATCH($A51,'[1]Définition Maintenances'!$K:$K,0)),DD51,INDEX('[1]Définition Maintenances'!$G:$G,MATCH($A51,'[1]Définition Maintenances'!$K:$K,0))+DD51),DD51))</f>
        <v>142</v>
      </c>
      <c r="DF51" s="26">
        <f>IF(ISNUMBER(VLOOKUP($D51,'Visu totale'!$D:$DH,DF$1,0)),DE51-VLOOKUP($D51,'Visu totale'!$D:$DH,DF$1,0),IF(LEFT(VLOOKUP($D51,'Visu totale'!$D:$DH,DF$1,0),1)="V",IF(DE51&gt;=INDEX('[1]Définition Maintenances'!$G:$G,MATCH($A51,'[1]Définition Maintenances'!$K:$K,0)),DE51,INDEX('[1]Définition Maintenances'!$G:$G,MATCH($A51,'[1]Définition Maintenances'!$K:$K,0))+DE51),DE51))</f>
        <v>142</v>
      </c>
      <c r="DG51" s="26">
        <f>IF(ISNUMBER(VLOOKUP($D51,'Visu totale'!$D:$DH,DG$1,0)),DF51-VLOOKUP($D51,'Visu totale'!$D:$DH,DG$1,0),IF(LEFT(VLOOKUP($D51,'Visu totale'!$D:$DH,DG$1,0),1)="V",IF(DF51&gt;=INDEX('[1]Définition Maintenances'!$G:$G,MATCH($A51,'[1]Définition Maintenances'!$K:$K,0)),DF51,INDEX('[1]Définition Maintenances'!$G:$G,MATCH($A51,'[1]Définition Maintenances'!$K:$K,0))+DF51),DF51))</f>
        <v>142</v>
      </c>
      <c r="DH51" s="26">
        <f>IF(ISNUMBER(VLOOKUP($D51,'Visu totale'!$D:$DH,DH$1,0)),DG51-VLOOKUP($D51,'Visu totale'!$D:$DH,DH$1,0),IF(LEFT(VLOOKUP($D51,'Visu totale'!$D:$DH,DH$1,0),1)="V",IF(DG51&gt;=INDEX('[1]Définition Maintenances'!$G:$G,MATCH($A51,'[1]Définition Maintenances'!$K:$K,0)),DG51,INDEX('[1]Définition Maintenances'!$G:$G,MATCH($A51,'[1]Définition Maintenances'!$K:$K,0))+DG51),DG51))</f>
        <v>142</v>
      </c>
      <c r="DI51" s="27">
        <f>IF(ISNUMBER(VLOOKUP($D51,'Visu totale'!$D:$DH,DI$1,0)),DH51-VLOOKUP($D51,'Visu totale'!$D:$DH,DI$1,0),IF(LEFT(VLOOKUP($D51,'Visu totale'!$D:$DH,DI$1,0),1)="V",IF(DH51&gt;=INDEX('[1]Définition Maintenances'!$G:$G,MATCH($A51,'[1]Définition Maintenances'!$K:$K,0)),DH51,INDEX('[1]Définition Maintenances'!$G:$G,MATCH($A51,'[1]Définition Maintenances'!$K:$K,0))+DH51),DH51))</f>
        <v>142</v>
      </c>
    </row>
    <row r="52" spans="1:113" x14ac:dyDescent="0.25">
      <c r="A52" s="13" t="str">
        <f t="shared" si="1"/>
        <v>V15D</v>
      </c>
      <c r="B52" s="13" t="str">
        <f>VLOOKUP(D52,'[1]Avions (Potentiels)'!$B$2:$H$128,7,FALSE)</f>
        <v>V15</v>
      </c>
      <c r="C52" s="13"/>
      <c r="D52" s="16" t="s">
        <v>55</v>
      </c>
      <c r="E52" s="13">
        <f>IFERROR(VALUE(SUBSTITUTE(VLOOKUP(D52,'[1]Avions (Potentiels)'!$B:$E,4,0),".",",")),VALUE(VLOOKUP(D52,'[1]Avions (Potentiels)'!$B:$E,4,0)))</f>
        <v>1200</v>
      </c>
      <c r="F52" s="25">
        <f>IF(ISNUMBER(VLOOKUP($D52,'Visu totale'!$D:$DH,F$1,0)),E52-VLOOKUP($D52,'Visu totale'!$D:$DH,F$1,0),IF(LEFT(VLOOKUP($D52,'Visu totale'!$D:$DH,F$1,0),1)="V",IF(E52&gt;=INDEX('[1]Définition Maintenances'!$G:$G,MATCH($A52,'[1]Définition Maintenances'!$K:$K,0)),E52,INDEX('[1]Définition Maintenances'!$G:$G,MATCH($A52,'[1]Définition Maintenances'!$K:$K,0))+E52),E52))</f>
        <v>1200</v>
      </c>
      <c r="G52" s="26">
        <f>IF(ISNUMBER(VLOOKUP($D52,'Visu totale'!$D:$DH,G$1,0)),F52-VLOOKUP($D52,'Visu totale'!$D:$DH,G$1,0),IF(LEFT(VLOOKUP($D52,'Visu totale'!$D:$DH,G$1,0),1)="V",IF(F52&gt;=INDEX('[1]Définition Maintenances'!$G:$G,MATCH($A52,'[1]Définition Maintenances'!$K:$K,0)),F52,INDEX('[1]Définition Maintenances'!$G:$G,MATCH($A52,'[1]Définition Maintenances'!$K:$K,0))+F52),F52))</f>
        <v>1200</v>
      </c>
      <c r="H52" s="26">
        <f>IF(ISNUMBER(VLOOKUP($D52,'Visu totale'!$D:$DH,H$1,0)),G52-VLOOKUP($D52,'Visu totale'!$D:$DH,H$1,0),IF(LEFT(VLOOKUP($D52,'Visu totale'!$D:$DH,H$1,0),1)="V",IF(G52&gt;=INDEX('[1]Définition Maintenances'!$G:$G,MATCH($A52,'[1]Définition Maintenances'!$K:$K,0)),G52,INDEX('[1]Définition Maintenances'!$G:$G,MATCH($A52,'[1]Définition Maintenances'!$K:$K,0))+G52),G52))</f>
        <v>1200</v>
      </c>
      <c r="I52" s="26">
        <f>IF(ISNUMBER(VLOOKUP($D52,'Visu totale'!$D:$DH,I$1,0)),H52-VLOOKUP($D52,'Visu totale'!$D:$DH,I$1,0),IF(LEFT(VLOOKUP($D52,'Visu totale'!$D:$DH,I$1,0),1)="V",IF(H52&gt;=INDEX('[1]Définition Maintenances'!$G:$G,MATCH($A52,'[1]Définition Maintenances'!$K:$K,0)),H52,INDEX('[1]Définition Maintenances'!$G:$G,MATCH($A52,'[1]Définition Maintenances'!$K:$K,0))+H52),H52))</f>
        <v>1200</v>
      </c>
      <c r="J52" s="26">
        <f>IF(ISNUMBER(VLOOKUP($D52,'Visu totale'!$D:$DH,J$1,0)),I52-VLOOKUP($D52,'Visu totale'!$D:$DH,J$1,0),IF(LEFT(VLOOKUP($D52,'Visu totale'!$D:$DH,J$1,0),1)="V",IF(I52&gt;=INDEX('[1]Définition Maintenances'!$G:$G,MATCH($A52,'[1]Définition Maintenances'!$K:$K,0)),I52,INDEX('[1]Définition Maintenances'!$G:$G,MATCH($A52,'[1]Définition Maintenances'!$K:$K,0))+I52),I52))</f>
        <v>1200</v>
      </c>
      <c r="K52" s="26">
        <f>IF(ISNUMBER(VLOOKUP($D52,'Visu totale'!$D:$DH,K$1,0)),J52-VLOOKUP($D52,'Visu totale'!$D:$DH,K$1,0),IF(LEFT(VLOOKUP($D52,'Visu totale'!$D:$DH,K$1,0),1)="V",IF(J52&gt;=INDEX('[1]Définition Maintenances'!$G:$G,MATCH($A52,'[1]Définition Maintenances'!$K:$K,0)),J52,INDEX('[1]Définition Maintenances'!$G:$G,MATCH($A52,'[1]Définition Maintenances'!$K:$K,0))+J52),J52))</f>
        <v>1200</v>
      </c>
      <c r="L52" s="26">
        <f>IF(ISNUMBER(VLOOKUP($D52,'Visu totale'!$D:$DH,L$1,0)),K52-VLOOKUP($D52,'Visu totale'!$D:$DH,L$1,0),IF(LEFT(VLOOKUP($D52,'Visu totale'!$D:$DH,L$1,0),1)="V",IF(K52&gt;=INDEX('[1]Définition Maintenances'!$G:$G,MATCH($A52,'[1]Définition Maintenances'!$K:$K,0)),K52,INDEX('[1]Définition Maintenances'!$G:$G,MATCH($A52,'[1]Définition Maintenances'!$K:$K,0))+K52),K52))</f>
        <v>1200</v>
      </c>
      <c r="M52" s="26">
        <f>IF(ISNUMBER(VLOOKUP($D52,'Visu totale'!$D:$DH,M$1,0)),L52-VLOOKUP($D52,'Visu totale'!$D:$DH,M$1,0),IF(LEFT(VLOOKUP($D52,'Visu totale'!$D:$DH,M$1,0),1)="V",IF(L52&gt;=INDEX('[1]Définition Maintenances'!$G:$G,MATCH($A52,'[1]Définition Maintenances'!$K:$K,0)),L52,INDEX('[1]Définition Maintenances'!$G:$G,MATCH($A52,'[1]Définition Maintenances'!$K:$K,0))+L52),L52))</f>
        <v>1200</v>
      </c>
      <c r="N52" s="26">
        <f>IF(ISNUMBER(VLOOKUP($D52,'Visu totale'!$D:$DH,N$1,0)),M52-VLOOKUP($D52,'Visu totale'!$D:$DH,N$1,0),IF(LEFT(VLOOKUP($D52,'Visu totale'!$D:$DH,N$1,0),1)="V",IF(M52&gt;=INDEX('[1]Définition Maintenances'!$G:$G,MATCH($A52,'[1]Définition Maintenances'!$K:$K,0)),M52,INDEX('[1]Définition Maintenances'!$G:$G,MATCH($A52,'[1]Définition Maintenances'!$K:$K,0))+M52),M52))</f>
        <v>1200</v>
      </c>
      <c r="O52" s="26">
        <f>IF(ISNUMBER(VLOOKUP($D52,'Visu totale'!$D:$DH,O$1,0)),N52-VLOOKUP($D52,'Visu totale'!$D:$DH,O$1,0),IF(LEFT(VLOOKUP($D52,'Visu totale'!$D:$DH,O$1,0),1)="V",IF(N52&gt;=INDEX('[1]Définition Maintenances'!$G:$G,MATCH($A52,'[1]Définition Maintenances'!$K:$K,0)),N52,INDEX('[1]Définition Maintenances'!$G:$G,MATCH($A52,'[1]Définition Maintenances'!$K:$K,0))+N52),N52))</f>
        <v>1200</v>
      </c>
      <c r="P52" s="26">
        <f>IF(ISNUMBER(VLOOKUP($D52,'Visu totale'!$D:$DH,P$1,0)),O52-VLOOKUP($D52,'Visu totale'!$D:$DH,P$1,0),IF(LEFT(VLOOKUP($D52,'Visu totale'!$D:$DH,P$1,0),1)="V",IF(O52&gt;=INDEX('[1]Définition Maintenances'!$G:$G,MATCH($A52,'[1]Définition Maintenances'!$K:$K,0)),O52,INDEX('[1]Définition Maintenances'!$G:$G,MATCH($A52,'[1]Définition Maintenances'!$K:$K,0))+O52),O52))</f>
        <v>1200</v>
      </c>
      <c r="Q52" s="27">
        <f>IF(ISNUMBER(VLOOKUP($D52,'Visu totale'!$D:$DH,Q$1,0)),P52-VLOOKUP($D52,'Visu totale'!$D:$DH,Q$1,0),IF(LEFT(VLOOKUP($D52,'Visu totale'!$D:$DH,Q$1,0),1)="V",IF(P52&gt;=INDEX('[1]Définition Maintenances'!$G:$G,MATCH($A52,'[1]Définition Maintenances'!$K:$K,0)),P52,INDEX('[1]Définition Maintenances'!$G:$G,MATCH($A52,'[1]Définition Maintenances'!$K:$K,0))+P52),P52))</f>
        <v>1200</v>
      </c>
      <c r="R52" s="25">
        <f>IF(ISNUMBER(VLOOKUP($D52,'Visu totale'!$D:$DH,R$1,0)),Q52-VLOOKUP($D52,'Visu totale'!$D:$DH,R$1,0),IF(LEFT(VLOOKUP($D52,'Visu totale'!$D:$DH,R$1,0),1)="V",IF(Q52&gt;=INDEX('[1]Définition Maintenances'!$G:$G,MATCH($A52,'[1]Définition Maintenances'!$K:$K,0)),Q52,INDEX('[1]Définition Maintenances'!$G:$G,MATCH($A52,'[1]Définition Maintenances'!$K:$K,0))+Q52),Q52))</f>
        <v>1200</v>
      </c>
      <c r="S52" s="26">
        <f>IF(ISNUMBER(VLOOKUP($D52,'Visu totale'!$D:$DH,S$1,0)),R52-VLOOKUP($D52,'Visu totale'!$D:$DH,S$1,0),IF(LEFT(VLOOKUP($D52,'Visu totale'!$D:$DH,S$1,0),1)="V",IF(R52&gt;=INDEX('[1]Définition Maintenances'!$G:$G,MATCH($A52,'[1]Définition Maintenances'!$K:$K,0)),R52,INDEX('[1]Définition Maintenances'!$G:$G,MATCH($A52,'[1]Définition Maintenances'!$K:$K,0))+R52),R52))</f>
        <v>1200</v>
      </c>
      <c r="T52" s="26">
        <f>IF(ISNUMBER(VLOOKUP($D52,'Visu totale'!$D:$DH,T$1,0)),S52-VLOOKUP($D52,'Visu totale'!$D:$DH,T$1,0),IF(LEFT(VLOOKUP($D52,'Visu totale'!$D:$DH,T$1,0),1)="V",IF(S52&gt;=INDEX('[1]Définition Maintenances'!$G:$G,MATCH($A52,'[1]Définition Maintenances'!$K:$K,0)),S52,INDEX('[1]Définition Maintenances'!$G:$G,MATCH($A52,'[1]Définition Maintenances'!$K:$K,0))+S52),S52))</f>
        <v>1200</v>
      </c>
      <c r="U52" s="26">
        <f>IF(ISNUMBER(VLOOKUP($D52,'Visu totale'!$D:$DH,U$1,0)),T52-VLOOKUP($D52,'Visu totale'!$D:$DH,U$1,0),IF(LEFT(VLOOKUP($D52,'Visu totale'!$D:$DH,U$1,0),1)="V",IF(T52&gt;=INDEX('[1]Définition Maintenances'!$G:$G,MATCH($A52,'[1]Définition Maintenances'!$K:$K,0)),T52,INDEX('[1]Définition Maintenances'!$G:$G,MATCH($A52,'[1]Définition Maintenances'!$K:$K,0))+T52),T52))</f>
        <v>1200</v>
      </c>
      <c r="V52" s="26">
        <f>IF(ISNUMBER(VLOOKUP($D52,'Visu totale'!$D:$DH,V$1,0)),U52-VLOOKUP($D52,'Visu totale'!$D:$DH,V$1,0),IF(LEFT(VLOOKUP($D52,'Visu totale'!$D:$DH,V$1,0),1)="V",IF(U52&gt;=INDEX('[1]Définition Maintenances'!$G:$G,MATCH($A52,'[1]Définition Maintenances'!$K:$K,0)),U52,INDEX('[1]Définition Maintenances'!$G:$G,MATCH($A52,'[1]Définition Maintenances'!$K:$K,0))+U52),U52))</f>
        <v>1200</v>
      </c>
      <c r="W52" s="26">
        <f>IF(ISNUMBER(VLOOKUP($D52,'Visu totale'!$D:$DH,W$1,0)),V52-VLOOKUP($D52,'Visu totale'!$D:$DH,W$1,0),IF(LEFT(VLOOKUP($D52,'Visu totale'!$D:$DH,W$1,0),1)="V",IF(V52&gt;=INDEX('[1]Définition Maintenances'!$G:$G,MATCH($A52,'[1]Définition Maintenances'!$K:$K,0)),V52,INDEX('[1]Définition Maintenances'!$G:$G,MATCH($A52,'[1]Définition Maintenances'!$K:$K,0))+V52),V52))</f>
        <v>1200</v>
      </c>
      <c r="X52" s="26">
        <f>IF(ISNUMBER(VLOOKUP($D52,'Visu totale'!$D:$DH,X$1,0)),W52-VLOOKUP($D52,'Visu totale'!$D:$DH,X$1,0),IF(LEFT(VLOOKUP($D52,'Visu totale'!$D:$DH,X$1,0),1)="V",IF(W52&gt;=INDEX('[1]Définition Maintenances'!$G:$G,MATCH($A52,'[1]Définition Maintenances'!$K:$K,0)),W52,INDEX('[1]Définition Maintenances'!$G:$G,MATCH($A52,'[1]Définition Maintenances'!$K:$K,0))+W52),W52))</f>
        <v>1200</v>
      </c>
      <c r="Y52" s="26">
        <f>IF(ISNUMBER(VLOOKUP($D52,'Visu totale'!$D:$DH,Y$1,0)),X52-VLOOKUP($D52,'Visu totale'!$D:$DH,Y$1,0),IF(LEFT(VLOOKUP($D52,'Visu totale'!$D:$DH,Y$1,0),1)="V",IF(X52&gt;=INDEX('[1]Définition Maintenances'!$G:$G,MATCH($A52,'[1]Définition Maintenances'!$K:$K,0)),X52,INDEX('[1]Définition Maintenances'!$G:$G,MATCH($A52,'[1]Définition Maintenances'!$K:$K,0))+X52),X52))</f>
        <v>1200</v>
      </c>
      <c r="Z52" s="26">
        <f>IF(ISNUMBER(VLOOKUP($D52,'Visu totale'!$D:$DH,Z$1,0)),Y52-VLOOKUP($D52,'Visu totale'!$D:$DH,Z$1,0),IF(LEFT(VLOOKUP($D52,'Visu totale'!$D:$DH,Z$1,0),1)="V",IF(Y52&gt;=INDEX('[1]Définition Maintenances'!$G:$G,MATCH($A52,'[1]Définition Maintenances'!$K:$K,0)),Y52,INDEX('[1]Définition Maintenances'!$G:$G,MATCH($A52,'[1]Définition Maintenances'!$K:$K,0))+Y52),Y52))</f>
        <v>1200</v>
      </c>
      <c r="AA52" s="26">
        <f>IF(ISNUMBER(VLOOKUP($D52,'Visu totale'!$D:$DH,AA$1,0)),Z52-VLOOKUP($D52,'Visu totale'!$D:$DH,AA$1,0),IF(LEFT(VLOOKUP($D52,'Visu totale'!$D:$DH,AA$1,0),1)="V",IF(Z52&gt;=INDEX('[1]Définition Maintenances'!$G:$G,MATCH($A52,'[1]Définition Maintenances'!$K:$K,0)),Z52,INDEX('[1]Définition Maintenances'!$G:$G,MATCH($A52,'[1]Définition Maintenances'!$K:$K,0))+Z52),Z52))</f>
        <v>1200</v>
      </c>
      <c r="AB52" s="26">
        <f>IF(ISNUMBER(VLOOKUP($D52,'Visu totale'!$D:$DH,AB$1,0)),AA52-VLOOKUP($D52,'Visu totale'!$D:$DH,AB$1,0),IF(LEFT(VLOOKUP($D52,'Visu totale'!$D:$DH,AB$1,0),1)="V",IF(AA52&gt;=INDEX('[1]Définition Maintenances'!$G:$G,MATCH($A52,'[1]Définition Maintenances'!$K:$K,0)),AA52,INDEX('[1]Définition Maintenances'!$G:$G,MATCH($A52,'[1]Définition Maintenances'!$K:$K,0))+AA52),AA52))</f>
        <v>1200</v>
      </c>
      <c r="AC52" s="27">
        <f>IF(ISNUMBER(VLOOKUP($D52,'Visu totale'!$D:$DH,AC$1,0)),AB52-VLOOKUP($D52,'Visu totale'!$D:$DH,AC$1,0),IF(LEFT(VLOOKUP($D52,'Visu totale'!$D:$DH,AC$1,0),1)="V",IF(AB52&gt;=INDEX('[1]Définition Maintenances'!$G:$G,MATCH($A52,'[1]Définition Maintenances'!$K:$K,0)),AB52,INDEX('[1]Définition Maintenances'!$G:$G,MATCH($A52,'[1]Définition Maintenances'!$K:$K,0))+AB52),AB52))</f>
        <v>1200</v>
      </c>
      <c r="AD52" s="25">
        <f>IF(ISNUMBER(VLOOKUP($D52,'Visu totale'!$D:$DH,AD$1,0)),AC52-VLOOKUP($D52,'Visu totale'!$D:$DH,AD$1,0),IF(LEFT(VLOOKUP($D52,'Visu totale'!$D:$DH,AD$1,0),1)="V",IF(AC52&gt;=INDEX('[1]Définition Maintenances'!$G:$G,MATCH($A52,'[1]Définition Maintenances'!$K:$K,0)),AC52,INDEX('[1]Définition Maintenances'!$G:$G,MATCH($A52,'[1]Définition Maintenances'!$K:$K,0))+AC52),AC52))</f>
        <v>1200</v>
      </c>
      <c r="AE52" s="26">
        <f>IF(ISNUMBER(VLOOKUP($D52,'Visu totale'!$D:$DH,AE$1,0)),AD52-VLOOKUP($D52,'Visu totale'!$D:$DH,AE$1,0),IF(LEFT(VLOOKUP($D52,'Visu totale'!$D:$DH,AE$1,0),1)="V",IF(AD52&gt;=INDEX('[1]Définition Maintenances'!$G:$G,MATCH($A52,'[1]Définition Maintenances'!$K:$K,0)),AD52,INDEX('[1]Définition Maintenances'!$G:$G,MATCH($A52,'[1]Définition Maintenances'!$K:$K,0))+AD52),AD52))</f>
        <v>1200</v>
      </c>
      <c r="AF52" s="26">
        <f>IF(ISNUMBER(VLOOKUP($D52,'Visu totale'!$D:$DH,AF$1,0)),AE52-VLOOKUP($D52,'Visu totale'!$D:$DH,AF$1,0),IF(LEFT(VLOOKUP($D52,'Visu totale'!$D:$DH,AF$1,0),1)="V",IF(AE52&gt;=INDEX('[1]Définition Maintenances'!$G:$G,MATCH($A52,'[1]Définition Maintenances'!$K:$K,0)),AE52,INDEX('[1]Définition Maintenances'!$G:$G,MATCH($A52,'[1]Définition Maintenances'!$K:$K,0))+AE52),AE52))</f>
        <v>1200</v>
      </c>
      <c r="AG52" s="26">
        <f>IF(ISNUMBER(VLOOKUP($D52,'Visu totale'!$D:$DH,AG$1,0)),AF52-VLOOKUP($D52,'Visu totale'!$D:$DH,AG$1,0),IF(LEFT(VLOOKUP($D52,'Visu totale'!$D:$DH,AG$1,0),1)="V",IF(AF52&gt;=INDEX('[1]Définition Maintenances'!$G:$G,MATCH($A52,'[1]Définition Maintenances'!$K:$K,0)),AF52,INDEX('[1]Définition Maintenances'!$G:$G,MATCH($A52,'[1]Définition Maintenances'!$K:$K,0))+AF52),AF52))</f>
        <v>1200</v>
      </c>
      <c r="AH52" s="26">
        <f>IF(ISNUMBER(VLOOKUP($D52,'Visu totale'!$D:$DH,AH$1,0)),AG52-VLOOKUP($D52,'Visu totale'!$D:$DH,AH$1,0),IF(LEFT(VLOOKUP($D52,'Visu totale'!$D:$DH,AH$1,0),1)="V",IF(AG52&gt;=INDEX('[1]Définition Maintenances'!$G:$G,MATCH($A52,'[1]Définition Maintenances'!$K:$K,0)),AG52,INDEX('[1]Définition Maintenances'!$G:$G,MATCH($A52,'[1]Définition Maintenances'!$K:$K,0))+AG52),AG52))</f>
        <v>1200</v>
      </c>
      <c r="AI52" s="26">
        <f>IF(ISNUMBER(VLOOKUP($D52,'Visu totale'!$D:$DH,AI$1,0)),AH52-VLOOKUP($D52,'Visu totale'!$D:$DH,AI$1,0),IF(LEFT(VLOOKUP($D52,'Visu totale'!$D:$DH,AI$1,0),1)="V",IF(AH52&gt;=INDEX('[1]Définition Maintenances'!$G:$G,MATCH($A52,'[1]Définition Maintenances'!$K:$K,0)),AH52,INDEX('[1]Définition Maintenances'!$G:$G,MATCH($A52,'[1]Définition Maintenances'!$K:$K,0))+AH52),AH52))</f>
        <v>1200</v>
      </c>
      <c r="AJ52" s="26">
        <f>IF(ISNUMBER(VLOOKUP($D52,'Visu totale'!$D:$DH,AJ$1,0)),AI52-VLOOKUP($D52,'Visu totale'!$D:$DH,AJ$1,0),IF(LEFT(VLOOKUP($D52,'Visu totale'!$D:$DH,AJ$1,0),1)="V",IF(AI52&gt;=INDEX('[1]Définition Maintenances'!$G:$G,MATCH($A52,'[1]Définition Maintenances'!$K:$K,0)),AI52,INDEX('[1]Définition Maintenances'!$G:$G,MATCH($A52,'[1]Définition Maintenances'!$K:$K,0))+AI52),AI52))</f>
        <v>1200</v>
      </c>
      <c r="AK52" s="26">
        <f>IF(ISNUMBER(VLOOKUP($D52,'Visu totale'!$D:$DH,AK$1,0)),AJ52-VLOOKUP($D52,'Visu totale'!$D:$DH,AK$1,0),IF(LEFT(VLOOKUP($D52,'Visu totale'!$D:$DH,AK$1,0),1)="V",IF(AJ52&gt;=INDEX('[1]Définition Maintenances'!$G:$G,MATCH($A52,'[1]Définition Maintenances'!$K:$K,0)),AJ52,INDEX('[1]Définition Maintenances'!$G:$G,MATCH($A52,'[1]Définition Maintenances'!$K:$K,0))+AJ52),AJ52))</f>
        <v>1200</v>
      </c>
      <c r="AL52" s="26">
        <f>IF(ISNUMBER(VLOOKUP($D52,'Visu totale'!$D:$DH,AL$1,0)),AK52-VLOOKUP($D52,'Visu totale'!$D:$DH,AL$1,0),IF(LEFT(VLOOKUP($D52,'Visu totale'!$D:$DH,AL$1,0),1)="V",IF(AK52&gt;=INDEX('[1]Définition Maintenances'!$G:$G,MATCH($A52,'[1]Définition Maintenances'!$K:$K,0)),AK52,INDEX('[1]Définition Maintenances'!$G:$G,MATCH($A52,'[1]Définition Maintenances'!$K:$K,0))+AK52),AK52))</f>
        <v>1200</v>
      </c>
      <c r="AM52" s="26">
        <f>IF(ISNUMBER(VLOOKUP($D52,'Visu totale'!$D:$DH,AM$1,0)),AL52-VLOOKUP($D52,'Visu totale'!$D:$DH,AM$1,0),IF(LEFT(VLOOKUP($D52,'Visu totale'!$D:$DH,AM$1,0),1)="V",IF(AL52&gt;=INDEX('[1]Définition Maintenances'!$G:$G,MATCH($A52,'[1]Définition Maintenances'!$K:$K,0)),AL52,INDEX('[1]Définition Maintenances'!$G:$G,MATCH($A52,'[1]Définition Maintenances'!$K:$K,0))+AL52),AL52))</f>
        <v>1200</v>
      </c>
      <c r="AN52" s="26">
        <f>IF(ISNUMBER(VLOOKUP($D52,'Visu totale'!$D:$DH,AN$1,0)),AM52-VLOOKUP($D52,'Visu totale'!$D:$DH,AN$1,0),IF(LEFT(VLOOKUP($D52,'Visu totale'!$D:$DH,AN$1,0),1)="V",IF(AM52&gt;=INDEX('[1]Définition Maintenances'!$G:$G,MATCH($A52,'[1]Définition Maintenances'!$K:$K,0)),AM52,INDEX('[1]Définition Maintenances'!$G:$G,MATCH($A52,'[1]Définition Maintenances'!$K:$K,0))+AM52),AM52))</f>
        <v>1200</v>
      </c>
      <c r="AO52" s="27">
        <f>IF(ISNUMBER(VLOOKUP($D52,'Visu totale'!$D:$DH,AO$1,0)),AN52-VLOOKUP($D52,'Visu totale'!$D:$DH,AO$1,0),IF(LEFT(VLOOKUP($D52,'Visu totale'!$D:$DH,AO$1,0),1)="V",IF(AN52&gt;=INDEX('[1]Définition Maintenances'!$G:$G,MATCH($A52,'[1]Définition Maintenances'!$K:$K,0)),AN52,INDEX('[1]Définition Maintenances'!$G:$G,MATCH($A52,'[1]Définition Maintenances'!$K:$K,0))+AN52),AN52))</f>
        <v>1200</v>
      </c>
      <c r="AP52" s="25">
        <f>IF(ISNUMBER(VLOOKUP($D52,'Visu totale'!$D:$DH,AP$1,0)),AO52-VLOOKUP($D52,'Visu totale'!$D:$DH,AP$1,0),IF(LEFT(VLOOKUP($D52,'Visu totale'!$D:$DH,AP$1,0),1)="V",IF(AO52&gt;=INDEX('[1]Définition Maintenances'!$G:$G,MATCH($A52,'[1]Définition Maintenances'!$K:$K,0)),AO52,INDEX('[1]Définition Maintenances'!$G:$G,MATCH($A52,'[1]Définition Maintenances'!$K:$K,0))+AO52),AO52))</f>
        <v>1200</v>
      </c>
      <c r="AQ52" s="26">
        <f>IF(ISNUMBER(VLOOKUP($D52,'Visu totale'!$D:$DH,AQ$1,0)),AP52-VLOOKUP($D52,'Visu totale'!$D:$DH,AQ$1,0),IF(LEFT(VLOOKUP($D52,'Visu totale'!$D:$DH,AQ$1,0),1)="V",IF(AP52&gt;=INDEX('[1]Définition Maintenances'!$G:$G,MATCH($A52,'[1]Définition Maintenances'!$K:$K,0)),AP52,INDEX('[1]Définition Maintenances'!$G:$G,MATCH($A52,'[1]Définition Maintenances'!$K:$K,0))+AP52),AP52))</f>
        <v>1200</v>
      </c>
      <c r="AR52" s="26">
        <f>IF(ISNUMBER(VLOOKUP($D52,'Visu totale'!$D:$DH,AR$1,0)),AQ52-VLOOKUP($D52,'Visu totale'!$D:$DH,AR$1,0),IF(LEFT(VLOOKUP($D52,'Visu totale'!$D:$DH,AR$1,0),1)="V",IF(AQ52&gt;=INDEX('[1]Définition Maintenances'!$G:$G,MATCH($A52,'[1]Définition Maintenances'!$K:$K,0)),AQ52,INDEX('[1]Définition Maintenances'!$G:$G,MATCH($A52,'[1]Définition Maintenances'!$K:$K,0))+AQ52),AQ52))</f>
        <v>1200</v>
      </c>
      <c r="AS52" s="26">
        <f>IF(ISNUMBER(VLOOKUP($D52,'Visu totale'!$D:$DH,AS$1,0)),AR52-VLOOKUP($D52,'Visu totale'!$D:$DH,AS$1,0),IF(LEFT(VLOOKUP($D52,'Visu totale'!$D:$DH,AS$1,0),1)="V",IF(AR52&gt;=INDEX('[1]Définition Maintenances'!$G:$G,MATCH($A52,'[1]Définition Maintenances'!$K:$K,0)),AR52,INDEX('[1]Définition Maintenances'!$G:$G,MATCH($A52,'[1]Définition Maintenances'!$K:$K,0))+AR52),AR52))</f>
        <v>1200</v>
      </c>
      <c r="AT52" s="26">
        <f>IF(ISNUMBER(VLOOKUP($D52,'Visu totale'!$D:$DH,AT$1,0)),AS52-VLOOKUP($D52,'Visu totale'!$D:$DH,AT$1,0),IF(LEFT(VLOOKUP($D52,'Visu totale'!$D:$DH,AT$1,0),1)="V",IF(AS52&gt;=INDEX('[1]Définition Maintenances'!$G:$G,MATCH($A52,'[1]Définition Maintenances'!$K:$K,0)),AS52,INDEX('[1]Définition Maintenances'!$G:$G,MATCH($A52,'[1]Définition Maintenances'!$K:$K,0))+AS52),AS52))</f>
        <v>1200</v>
      </c>
      <c r="AU52" s="26">
        <f>IF(ISNUMBER(VLOOKUP($D52,'Visu totale'!$D:$DH,AU$1,0)),AT52-VLOOKUP($D52,'Visu totale'!$D:$DH,AU$1,0),IF(LEFT(VLOOKUP($D52,'Visu totale'!$D:$DH,AU$1,0),1)="V",IF(AT52&gt;=INDEX('[1]Définition Maintenances'!$G:$G,MATCH($A52,'[1]Définition Maintenances'!$K:$K,0)),AT52,INDEX('[1]Définition Maintenances'!$G:$G,MATCH($A52,'[1]Définition Maintenances'!$K:$K,0))+AT52),AT52))</f>
        <v>1200</v>
      </c>
      <c r="AV52" s="26">
        <f>IF(ISNUMBER(VLOOKUP($D52,'Visu totale'!$D:$DH,AV$1,0)),AU52-VLOOKUP($D52,'Visu totale'!$D:$DH,AV$1,0),IF(LEFT(VLOOKUP($D52,'Visu totale'!$D:$DH,AV$1,0),1)="V",IF(AU52&gt;=INDEX('[1]Définition Maintenances'!$G:$G,MATCH($A52,'[1]Définition Maintenances'!$K:$K,0)),AU52,INDEX('[1]Définition Maintenances'!$G:$G,MATCH($A52,'[1]Définition Maintenances'!$K:$K,0))+AU52),AU52))</f>
        <v>1200</v>
      </c>
      <c r="AW52" s="26">
        <f>IF(ISNUMBER(VLOOKUP($D52,'Visu totale'!$D:$DH,AW$1,0)),AV52-VLOOKUP($D52,'Visu totale'!$D:$DH,AW$1,0),IF(LEFT(VLOOKUP($D52,'Visu totale'!$D:$DH,AW$1,0),1)="V",IF(AV52&gt;=INDEX('[1]Définition Maintenances'!$G:$G,MATCH($A52,'[1]Définition Maintenances'!$K:$K,0)),AV52,INDEX('[1]Définition Maintenances'!$G:$G,MATCH($A52,'[1]Définition Maintenances'!$K:$K,0))+AV52),AV52))</f>
        <v>1200</v>
      </c>
      <c r="AX52" s="26">
        <f>IF(ISNUMBER(VLOOKUP($D52,'Visu totale'!$D:$DH,AX$1,0)),AW52-VLOOKUP($D52,'Visu totale'!$D:$DH,AX$1,0),IF(LEFT(VLOOKUP($D52,'Visu totale'!$D:$DH,AX$1,0),1)="V",IF(AW52&gt;=INDEX('[1]Définition Maintenances'!$G:$G,MATCH($A52,'[1]Définition Maintenances'!$K:$K,0)),AW52,INDEX('[1]Définition Maintenances'!$G:$G,MATCH($A52,'[1]Définition Maintenances'!$K:$K,0))+AW52),AW52))</f>
        <v>1200</v>
      </c>
      <c r="AY52" s="26">
        <f>IF(ISNUMBER(VLOOKUP($D52,'Visu totale'!$D:$DH,AY$1,0)),AX52-VLOOKUP($D52,'Visu totale'!$D:$DH,AY$1,0),IF(LEFT(VLOOKUP($D52,'Visu totale'!$D:$DH,AY$1,0),1)="V",IF(AX52&gt;=INDEX('[1]Définition Maintenances'!$G:$G,MATCH($A52,'[1]Définition Maintenances'!$K:$K,0)),AX52,INDEX('[1]Définition Maintenances'!$G:$G,MATCH($A52,'[1]Définition Maintenances'!$K:$K,0))+AX52),AX52))</f>
        <v>1200</v>
      </c>
      <c r="AZ52" s="26">
        <f>IF(ISNUMBER(VLOOKUP($D52,'Visu totale'!$D:$DH,AZ$1,0)),AY52-VLOOKUP($D52,'Visu totale'!$D:$DH,AZ$1,0),IF(LEFT(VLOOKUP($D52,'Visu totale'!$D:$DH,AZ$1,0),1)="V",IF(AY52&gt;=INDEX('[1]Définition Maintenances'!$G:$G,MATCH($A52,'[1]Définition Maintenances'!$K:$K,0)),AY52,INDEX('[1]Définition Maintenances'!$G:$G,MATCH($A52,'[1]Définition Maintenances'!$K:$K,0))+AY52),AY52))</f>
        <v>1200</v>
      </c>
      <c r="BA52" s="27">
        <f>IF(ISNUMBER(VLOOKUP($D52,'Visu totale'!$D:$DH,BA$1,0)),AZ52-VLOOKUP($D52,'Visu totale'!$D:$DH,BA$1,0),IF(LEFT(VLOOKUP($D52,'Visu totale'!$D:$DH,BA$1,0),1)="V",IF(AZ52&gt;=INDEX('[1]Définition Maintenances'!$G:$G,MATCH($A52,'[1]Définition Maintenances'!$K:$K,0)),AZ52,INDEX('[1]Définition Maintenances'!$G:$G,MATCH($A52,'[1]Définition Maintenances'!$K:$K,0))+AZ52),AZ52))</f>
        <v>1200</v>
      </c>
      <c r="BB52" s="25">
        <f>IF(ISNUMBER(VLOOKUP($D52,'Visu totale'!$D:$DH,BB$1,0)),BA52-VLOOKUP($D52,'Visu totale'!$D:$DH,BB$1,0),IF(LEFT(VLOOKUP($D52,'Visu totale'!$D:$DH,BB$1,0),1)="V",IF(BA52&gt;=INDEX('[1]Définition Maintenances'!$G:$G,MATCH($A52,'[1]Définition Maintenances'!$K:$K,0)),BA52,INDEX('[1]Définition Maintenances'!$G:$G,MATCH($A52,'[1]Définition Maintenances'!$K:$K,0))+BA52),BA52))</f>
        <v>1200</v>
      </c>
      <c r="BC52" s="26">
        <f>IF(ISNUMBER(VLOOKUP($D52,'Visu totale'!$D:$DH,BC$1,0)),BB52-VLOOKUP($D52,'Visu totale'!$D:$DH,BC$1,0),IF(LEFT(VLOOKUP($D52,'Visu totale'!$D:$DH,BC$1,0),1)="V",IF(BB52&gt;=INDEX('[1]Définition Maintenances'!$G:$G,MATCH($A52,'[1]Définition Maintenances'!$K:$K,0)),BB52,INDEX('[1]Définition Maintenances'!$G:$G,MATCH($A52,'[1]Définition Maintenances'!$K:$K,0))+BB52),BB52))</f>
        <v>1200</v>
      </c>
      <c r="BD52" s="26">
        <f>IF(ISNUMBER(VLOOKUP($D52,'Visu totale'!$D:$DH,BD$1,0)),BC52-VLOOKUP($D52,'Visu totale'!$D:$DH,BD$1,0),IF(LEFT(VLOOKUP($D52,'Visu totale'!$D:$DH,BD$1,0),1)="V",IF(BC52&gt;=INDEX('[1]Définition Maintenances'!$G:$G,MATCH($A52,'[1]Définition Maintenances'!$K:$K,0)),BC52,INDEX('[1]Définition Maintenances'!$G:$G,MATCH($A52,'[1]Définition Maintenances'!$K:$K,0))+BC52),BC52))</f>
        <v>1200</v>
      </c>
      <c r="BE52" s="26">
        <f>IF(ISNUMBER(VLOOKUP($D52,'Visu totale'!$D:$DH,BE$1,0)),BD52-VLOOKUP($D52,'Visu totale'!$D:$DH,BE$1,0),IF(LEFT(VLOOKUP($D52,'Visu totale'!$D:$DH,BE$1,0),1)="V",IF(BD52&gt;=INDEX('[1]Définition Maintenances'!$G:$G,MATCH($A52,'[1]Définition Maintenances'!$K:$K,0)),BD52,INDEX('[1]Définition Maintenances'!$G:$G,MATCH($A52,'[1]Définition Maintenances'!$K:$K,0))+BD52),BD52))</f>
        <v>1200</v>
      </c>
      <c r="BF52" s="26">
        <f>IF(ISNUMBER(VLOOKUP($D52,'Visu totale'!$D:$DH,BF$1,0)),BE52-VLOOKUP($D52,'Visu totale'!$D:$DH,BF$1,0),IF(LEFT(VLOOKUP($D52,'Visu totale'!$D:$DH,BF$1,0),1)="V",IF(BE52&gt;=INDEX('[1]Définition Maintenances'!$G:$G,MATCH($A52,'[1]Définition Maintenances'!$K:$K,0)),BE52,INDEX('[1]Définition Maintenances'!$G:$G,MATCH($A52,'[1]Définition Maintenances'!$K:$K,0))+BE52),BE52))</f>
        <v>1200</v>
      </c>
      <c r="BG52" s="26">
        <f>IF(ISNUMBER(VLOOKUP($D52,'Visu totale'!$D:$DH,BG$1,0)),BF52-VLOOKUP($D52,'Visu totale'!$D:$DH,BG$1,0),IF(LEFT(VLOOKUP($D52,'Visu totale'!$D:$DH,BG$1,0),1)="V",IF(BF52&gt;=INDEX('[1]Définition Maintenances'!$G:$G,MATCH($A52,'[1]Définition Maintenances'!$K:$K,0)),BF52,INDEX('[1]Définition Maintenances'!$G:$G,MATCH($A52,'[1]Définition Maintenances'!$K:$K,0))+BF52),BF52))</f>
        <v>1200</v>
      </c>
      <c r="BH52" s="26">
        <f>IF(ISNUMBER(VLOOKUP($D52,'Visu totale'!$D:$DH,BH$1,0)),BG52-VLOOKUP($D52,'Visu totale'!$D:$DH,BH$1,0),IF(LEFT(VLOOKUP($D52,'Visu totale'!$D:$DH,BH$1,0),1)="V",IF(BG52&gt;=INDEX('[1]Définition Maintenances'!$G:$G,MATCH($A52,'[1]Définition Maintenances'!$K:$K,0)),BG52,INDEX('[1]Définition Maintenances'!$G:$G,MATCH($A52,'[1]Définition Maintenances'!$K:$K,0))+BG52),BG52))</f>
        <v>1200</v>
      </c>
      <c r="BI52" s="26">
        <f>IF(ISNUMBER(VLOOKUP($D52,'Visu totale'!$D:$DH,BI$1,0)),BH52-VLOOKUP($D52,'Visu totale'!$D:$DH,BI$1,0),IF(LEFT(VLOOKUP($D52,'Visu totale'!$D:$DH,BI$1,0),1)="V",IF(BH52&gt;=INDEX('[1]Définition Maintenances'!$G:$G,MATCH($A52,'[1]Définition Maintenances'!$K:$K,0)),BH52,INDEX('[1]Définition Maintenances'!$G:$G,MATCH($A52,'[1]Définition Maintenances'!$K:$K,0))+BH52),BH52))</f>
        <v>1200</v>
      </c>
      <c r="BJ52" s="26">
        <f>IF(ISNUMBER(VLOOKUP($D52,'Visu totale'!$D:$DH,BJ$1,0)),BI52-VLOOKUP($D52,'Visu totale'!$D:$DH,BJ$1,0),IF(LEFT(VLOOKUP($D52,'Visu totale'!$D:$DH,BJ$1,0),1)="V",IF(BI52&gt;=INDEX('[1]Définition Maintenances'!$G:$G,MATCH($A52,'[1]Définition Maintenances'!$K:$K,0)),BI52,INDEX('[1]Définition Maintenances'!$G:$G,MATCH($A52,'[1]Définition Maintenances'!$K:$K,0))+BI52),BI52))</f>
        <v>1200</v>
      </c>
      <c r="BK52" s="26">
        <f>IF(ISNUMBER(VLOOKUP($D52,'Visu totale'!$D:$DH,BK$1,0)),BJ52-VLOOKUP($D52,'Visu totale'!$D:$DH,BK$1,0),IF(LEFT(VLOOKUP($D52,'Visu totale'!$D:$DH,BK$1,0),1)="V",IF(BJ52&gt;=INDEX('[1]Définition Maintenances'!$G:$G,MATCH($A52,'[1]Définition Maintenances'!$K:$K,0)),BJ52,INDEX('[1]Définition Maintenances'!$G:$G,MATCH($A52,'[1]Définition Maintenances'!$K:$K,0))+BJ52),BJ52))</f>
        <v>1200</v>
      </c>
      <c r="BL52" s="26">
        <f>IF(ISNUMBER(VLOOKUP($D52,'Visu totale'!$D:$DH,BL$1,0)),BK52-VLOOKUP($D52,'Visu totale'!$D:$DH,BL$1,0),IF(LEFT(VLOOKUP($D52,'Visu totale'!$D:$DH,BL$1,0),1)="V",IF(BK52&gt;=INDEX('[1]Définition Maintenances'!$G:$G,MATCH($A52,'[1]Définition Maintenances'!$K:$K,0)),BK52,INDEX('[1]Définition Maintenances'!$G:$G,MATCH($A52,'[1]Définition Maintenances'!$K:$K,0))+BK52),BK52))</f>
        <v>1200</v>
      </c>
      <c r="BM52" s="27">
        <f>IF(ISNUMBER(VLOOKUP($D52,'Visu totale'!$D:$DH,BM$1,0)),BL52-VLOOKUP($D52,'Visu totale'!$D:$DH,BM$1,0),IF(LEFT(VLOOKUP($D52,'Visu totale'!$D:$DH,BM$1,0),1)="V",IF(BL52&gt;=INDEX('[1]Définition Maintenances'!$G:$G,MATCH($A52,'[1]Définition Maintenances'!$K:$K,0)),BL52,INDEX('[1]Définition Maintenances'!$G:$G,MATCH($A52,'[1]Définition Maintenances'!$K:$K,0))+BL52),BL52))</f>
        <v>1200</v>
      </c>
      <c r="BN52" s="25">
        <f>IF(ISNUMBER(VLOOKUP($D52,'Visu totale'!$D:$DH,BN$1,0)),BM52-VLOOKUP($D52,'Visu totale'!$D:$DH,BN$1,0),IF(LEFT(VLOOKUP($D52,'Visu totale'!$D:$DH,BN$1,0),1)="V",IF(BM52&gt;=INDEX('[1]Définition Maintenances'!$G:$G,MATCH($A52,'[1]Définition Maintenances'!$K:$K,0)),BM52,INDEX('[1]Définition Maintenances'!$G:$G,MATCH($A52,'[1]Définition Maintenances'!$K:$K,0))+BM52),BM52))</f>
        <v>1200</v>
      </c>
      <c r="BO52" s="26">
        <f>IF(ISNUMBER(VLOOKUP($D52,'Visu totale'!$D:$DH,BO$1,0)),BN52-VLOOKUP($D52,'Visu totale'!$D:$DH,BO$1,0),IF(LEFT(VLOOKUP($D52,'Visu totale'!$D:$DH,BO$1,0),1)="V",IF(BN52&gt;=INDEX('[1]Définition Maintenances'!$G:$G,MATCH($A52,'[1]Définition Maintenances'!$K:$K,0)),BN52,INDEX('[1]Définition Maintenances'!$G:$G,MATCH($A52,'[1]Définition Maintenances'!$K:$K,0))+BN52),BN52))</f>
        <v>1200</v>
      </c>
      <c r="BP52" s="26">
        <f>IF(ISNUMBER(VLOOKUP($D52,'Visu totale'!$D:$DH,BP$1,0)),BO52-VLOOKUP($D52,'Visu totale'!$D:$DH,BP$1,0),IF(LEFT(VLOOKUP($D52,'Visu totale'!$D:$DH,BP$1,0),1)="V",IF(BO52&gt;=INDEX('[1]Définition Maintenances'!$G:$G,MATCH($A52,'[1]Définition Maintenances'!$K:$K,0)),BO52,INDEX('[1]Définition Maintenances'!$G:$G,MATCH($A52,'[1]Définition Maintenances'!$K:$K,0))+BO52),BO52))</f>
        <v>1200</v>
      </c>
      <c r="BQ52" s="26">
        <f>IF(ISNUMBER(VLOOKUP($D52,'Visu totale'!$D:$DH,BQ$1,0)),BP52-VLOOKUP($D52,'Visu totale'!$D:$DH,BQ$1,0),IF(LEFT(VLOOKUP($D52,'Visu totale'!$D:$DH,BQ$1,0),1)="V",IF(BP52&gt;=INDEX('[1]Définition Maintenances'!$G:$G,MATCH($A52,'[1]Définition Maintenances'!$K:$K,0)),BP52,INDEX('[1]Définition Maintenances'!$G:$G,MATCH($A52,'[1]Définition Maintenances'!$K:$K,0))+BP52),BP52))</f>
        <v>1200</v>
      </c>
      <c r="BR52" s="26">
        <f>IF(ISNUMBER(VLOOKUP($D52,'Visu totale'!$D:$DH,BR$1,0)),BQ52-VLOOKUP($D52,'Visu totale'!$D:$DH,BR$1,0),IF(LEFT(VLOOKUP($D52,'Visu totale'!$D:$DH,BR$1,0),1)="V",IF(BQ52&gt;=INDEX('[1]Définition Maintenances'!$G:$G,MATCH($A52,'[1]Définition Maintenances'!$K:$K,0)),BQ52,INDEX('[1]Définition Maintenances'!$G:$G,MATCH($A52,'[1]Définition Maintenances'!$K:$K,0))+BQ52),BQ52))</f>
        <v>1200</v>
      </c>
      <c r="BS52" s="26">
        <f>IF(ISNUMBER(VLOOKUP($D52,'Visu totale'!$D:$DH,BS$1,0)),BR52-VLOOKUP($D52,'Visu totale'!$D:$DH,BS$1,0),IF(LEFT(VLOOKUP($D52,'Visu totale'!$D:$DH,BS$1,0),1)="V",IF(BR52&gt;=INDEX('[1]Définition Maintenances'!$G:$G,MATCH($A52,'[1]Définition Maintenances'!$K:$K,0)),BR52,INDEX('[1]Définition Maintenances'!$G:$G,MATCH($A52,'[1]Définition Maintenances'!$K:$K,0))+BR52),BR52))</f>
        <v>1200</v>
      </c>
      <c r="BT52" s="26">
        <f>IF(ISNUMBER(VLOOKUP($D52,'Visu totale'!$D:$DH,BT$1,0)),BS52-VLOOKUP($D52,'Visu totale'!$D:$DH,BT$1,0),IF(LEFT(VLOOKUP($D52,'Visu totale'!$D:$DH,BT$1,0),1)="V",IF(BS52&gt;=INDEX('[1]Définition Maintenances'!$G:$G,MATCH($A52,'[1]Définition Maintenances'!$K:$K,0)),BS52,INDEX('[1]Définition Maintenances'!$G:$G,MATCH($A52,'[1]Définition Maintenances'!$K:$K,0))+BS52),BS52))</f>
        <v>1200</v>
      </c>
      <c r="BU52" s="26">
        <f>IF(ISNUMBER(VLOOKUP($D52,'Visu totale'!$D:$DH,BU$1,0)),BT52-VLOOKUP($D52,'Visu totale'!$D:$DH,BU$1,0),IF(LEFT(VLOOKUP($D52,'Visu totale'!$D:$DH,BU$1,0),1)="V",IF(BT52&gt;=INDEX('[1]Définition Maintenances'!$G:$G,MATCH($A52,'[1]Définition Maintenances'!$K:$K,0)),BT52,INDEX('[1]Définition Maintenances'!$G:$G,MATCH($A52,'[1]Définition Maintenances'!$K:$K,0))+BT52),BT52))</f>
        <v>1200</v>
      </c>
      <c r="BV52" s="26">
        <f>IF(ISNUMBER(VLOOKUP($D52,'Visu totale'!$D:$DH,BV$1,0)),BU52-VLOOKUP($D52,'Visu totale'!$D:$DH,BV$1,0),IF(LEFT(VLOOKUP($D52,'Visu totale'!$D:$DH,BV$1,0),1)="V",IF(BU52&gt;=INDEX('[1]Définition Maintenances'!$G:$G,MATCH($A52,'[1]Définition Maintenances'!$K:$K,0)),BU52,INDEX('[1]Définition Maintenances'!$G:$G,MATCH($A52,'[1]Définition Maintenances'!$K:$K,0))+BU52),BU52))</f>
        <v>1200</v>
      </c>
      <c r="BW52" s="26">
        <f>IF(ISNUMBER(VLOOKUP($D52,'Visu totale'!$D:$DH,BW$1,0)),BV52-VLOOKUP($D52,'Visu totale'!$D:$DH,BW$1,0),IF(LEFT(VLOOKUP($D52,'Visu totale'!$D:$DH,BW$1,0),1)="V",IF(BV52&gt;=INDEX('[1]Définition Maintenances'!$G:$G,MATCH($A52,'[1]Définition Maintenances'!$K:$K,0)),BV52,INDEX('[1]Définition Maintenances'!$G:$G,MATCH($A52,'[1]Définition Maintenances'!$K:$K,0))+BV52),BV52))</f>
        <v>1200</v>
      </c>
      <c r="BX52" s="26">
        <f>IF(ISNUMBER(VLOOKUP($D52,'Visu totale'!$D:$DH,BX$1,0)),BW52-VLOOKUP($D52,'Visu totale'!$D:$DH,BX$1,0),IF(LEFT(VLOOKUP($D52,'Visu totale'!$D:$DH,BX$1,0),1)="V",IF(BW52&gt;=INDEX('[1]Définition Maintenances'!$G:$G,MATCH($A52,'[1]Définition Maintenances'!$K:$K,0)),BW52,INDEX('[1]Définition Maintenances'!$G:$G,MATCH($A52,'[1]Définition Maintenances'!$K:$K,0))+BW52),BW52))</f>
        <v>1200</v>
      </c>
      <c r="BY52" s="27">
        <f>IF(ISNUMBER(VLOOKUP($D52,'Visu totale'!$D:$DH,BY$1,0)),BX52-VLOOKUP($D52,'Visu totale'!$D:$DH,BY$1,0),IF(LEFT(VLOOKUP($D52,'Visu totale'!$D:$DH,BY$1,0),1)="V",IF(BX52&gt;=INDEX('[1]Définition Maintenances'!$G:$G,MATCH($A52,'[1]Définition Maintenances'!$K:$K,0)),BX52,INDEX('[1]Définition Maintenances'!$G:$G,MATCH($A52,'[1]Définition Maintenances'!$K:$K,0))+BX52),BX52))</f>
        <v>1200</v>
      </c>
      <c r="BZ52" s="25">
        <f>IF(ISNUMBER(VLOOKUP($D52,'Visu totale'!$D:$DH,BZ$1,0)),BY52-VLOOKUP($D52,'Visu totale'!$D:$DH,BZ$1,0),IF(LEFT(VLOOKUP($D52,'Visu totale'!$D:$DH,BZ$1,0),1)="V",IF(BY52&gt;=INDEX('[1]Définition Maintenances'!$G:$G,MATCH($A52,'[1]Définition Maintenances'!$K:$K,0)),BY52,INDEX('[1]Définition Maintenances'!$G:$G,MATCH($A52,'[1]Définition Maintenances'!$K:$K,0))+BY52),BY52))</f>
        <v>1200</v>
      </c>
      <c r="CA52" s="26">
        <f>IF(ISNUMBER(VLOOKUP($D52,'Visu totale'!$D:$DH,CA$1,0)),BZ52-VLOOKUP($D52,'Visu totale'!$D:$DH,CA$1,0),IF(LEFT(VLOOKUP($D52,'Visu totale'!$D:$DH,CA$1,0),1)="V",IF(BZ52&gt;=INDEX('[1]Définition Maintenances'!$G:$G,MATCH($A52,'[1]Définition Maintenances'!$K:$K,0)),BZ52,INDEX('[1]Définition Maintenances'!$G:$G,MATCH($A52,'[1]Définition Maintenances'!$K:$K,0))+BZ52),BZ52))</f>
        <v>1200</v>
      </c>
      <c r="CB52" s="26">
        <f>IF(ISNUMBER(VLOOKUP($D52,'Visu totale'!$D:$DH,CB$1,0)),CA52-VLOOKUP($D52,'Visu totale'!$D:$DH,CB$1,0),IF(LEFT(VLOOKUP($D52,'Visu totale'!$D:$DH,CB$1,0),1)="V",IF(CA52&gt;=INDEX('[1]Définition Maintenances'!$G:$G,MATCH($A52,'[1]Définition Maintenances'!$K:$K,0)),CA52,INDEX('[1]Définition Maintenances'!$G:$G,MATCH($A52,'[1]Définition Maintenances'!$K:$K,0))+CA52),CA52))</f>
        <v>1200</v>
      </c>
      <c r="CC52" s="26">
        <f>IF(ISNUMBER(VLOOKUP($D52,'Visu totale'!$D:$DH,CC$1,0)),CB52-VLOOKUP($D52,'Visu totale'!$D:$DH,CC$1,0),IF(LEFT(VLOOKUP($D52,'Visu totale'!$D:$DH,CC$1,0),1)="V",IF(CB52&gt;=INDEX('[1]Définition Maintenances'!$G:$G,MATCH($A52,'[1]Définition Maintenances'!$K:$K,0)),CB52,INDEX('[1]Définition Maintenances'!$G:$G,MATCH($A52,'[1]Définition Maintenances'!$K:$K,0))+CB52),CB52))</f>
        <v>1200</v>
      </c>
      <c r="CD52" s="26">
        <f>IF(ISNUMBER(VLOOKUP($D52,'Visu totale'!$D:$DH,CD$1,0)),CC52-VLOOKUP($D52,'Visu totale'!$D:$DH,CD$1,0),IF(LEFT(VLOOKUP($D52,'Visu totale'!$D:$DH,CD$1,0),1)="V",IF(CC52&gt;=INDEX('[1]Définition Maintenances'!$G:$G,MATCH($A52,'[1]Définition Maintenances'!$K:$K,0)),CC52,INDEX('[1]Définition Maintenances'!$G:$G,MATCH($A52,'[1]Définition Maintenances'!$K:$K,0))+CC52),CC52))</f>
        <v>1200</v>
      </c>
      <c r="CE52" s="26">
        <f>IF(ISNUMBER(VLOOKUP($D52,'Visu totale'!$D:$DH,CE$1,0)),CD52-VLOOKUP($D52,'Visu totale'!$D:$DH,CE$1,0),IF(LEFT(VLOOKUP($D52,'Visu totale'!$D:$DH,CE$1,0),1)="V",IF(CD52&gt;=INDEX('[1]Définition Maintenances'!$G:$G,MATCH($A52,'[1]Définition Maintenances'!$K:$K,0)),CD52,INDEX('[1]Définition Maintenances'!$G:$G,MATCH($A52,'[1]Définition Maintenances'!$K:$K,0))+CD52),CD52))</f>
        <v>1200</v>
      </c>
      <c r="CF52" s="26">
        <f>IF(ISNUMBER(VLOOKUP($D52,'Visu totale'!$D:$DH,CF$1,0)),CE52-VLOOKUP($D52,'Visu totale'!$D:$DH,CF$1,0),IF(LEFT(VLOOKUP($D52,'Visu totale'!$D:$DH,CF$1,0),1)="V",IF(CE52&gt;=INDEX('[1]Définition Maintenances'!$G:$G,MATCH($A52,'[1]Définition Maintenances'!$K:$K,0)),CE52,INDEX('[1]Définition Maintenances'!$G:$G,MATCH($A52,'[1]Définition Maintenances'!$K:$K,0))+CE52),CE52))</f>
        <v>1200</v>
      </c>
      <c r="CG52" s="26">
        <f>IF(ISNUMBER(VLOOKUP($D52,'Visu totale'!$D:$DH,CG$1,0)),CF52-VLOOKUP($D52,'Visu totale'!$D:$DH,CG$1,0),IF(LEFT(VLOOKUP($D52,'Visu totale'!$D:$DH,CG$1,0),1)="V",IF(CF52&gt;=INDEX('[1]Définition Maintenances'!$G:$G,MATCH($A52,'[1]Définition Maintenances'!$K:$K,0)),CF52,INDEX('[1]Définition Maintenances'!$G:$G,MATCH($A52,'[1]Définition Maintenances'!$K:$K,0))+CF52),CF52))</f>
        <v>1200</v>
      </c>
      <c r="CH52" s="26">
        <f>IF(ISNUMBER(VLOOKUP($D52,'Visu totale'!$D:$DH,CH$1,0)),CG52-VLOOKUP($D52,'Visu totale'!$D:$DH,CH$1,0),IF(LEFT(VLOOKUP($D52,'Visu totale'!$D:$DH,CH$1,0),1)="V",IF(CG52&gt;=INDEX('[1]Définition Maintenances'!$G:$G,MATCH($A52,'[1]Définition Maintenances'!$K:$K,0)),CG52,INDEX('[1]Définition Maintenances'!$G:$G,MATCH($A52,'[1]Définition Maintenances'!$K:$K,0))+CG52),CG52))</f>
        <v>1200</v>
      </c>
      <c r="CI52" s="26">
        <f>IF(ISNUMBER(VLOOKUP($D52,'Visu totale'!$D:$DH,CI$1,0)),CH52-VLOOKUP($D52,'Visu totale'!$D:$DH,CI$1,0),IF(LEFT(VLOOKUP($D52,'Visu totale'!$D:$DH,CI$1,0),1)="V",IF(CH52&gt;=INDEX('[1]Définition Maintenances'!$G:$G,MATCH($A52,'[1]Définition Maintenances'!$K:$K,0)),CH52,INDEX('[1]Définition Maintenances'!$G:$G,MATCH($A52,'[1]Définition Maintenances'!$K:$K,0))+CH52),CH52))</f>
        <v>1200</v>
      </c>
      <c r="CJ52" s="26">
        <f>IF(ISNUMBER(VLOOKUP($D52,'Visu totale'!$D:$DH,CJ$1,0)),CI52-VLOOKUP($D52,'Visu totale'!$D:$DH,CJ$1,0),IF(LEFT(VLOOKUP($D52,'Visu totale'!$D:$DH,CJ$1,0),1)="V",IF(CI52&gt;=INDEX('[1]Définition Maintenances'!$G:$G,MATCH($A52,'[1]Définition Maintenances'!$K:$K,0)),CI52,INDEX('[1]Définition Maintenances'!$G:$G,MATCH($A52,'[1]Définition Maintenances'!$K:$K,0))+CI52),CI52))</f>
        <v>1200</v>
      </c>
      <c r="CK52" s="27">
        <f>IF(ISNUMBER(VLOOKUP($D52,'Visu totale'!$D:$DH,CK$1,0)),CJ52-VLOOKUP($D52,'Visu totale'!$D:$DH,CK$1,0),IF(LEFT(VLOOKUP($D52,'Visu totale'!$D:$DH,CK$1,0),1)="V",IF(CJ52&gt;=INDEX('[1]Définition Maintenances'!$G:$G,MATCH($A52,'[1]Définition Maintenances'!$K:$K,0)),CJ52,INDEX('[1]Définition Maintenances'!$G:$G,MATCH($A52,'[1]Définition Maintenances'!$K:$K,0))+CJ52),CJ52))</f>
        <v>1200</v>
      </c>
      <c r="CL52" s="25">
        <f>IF(ISNUMBER(VLOOKUP($D52,'Visu totale'!$D:$DH,CL$1,0)),CK52-VLOOKUP($D52,'Visu totale'!$D:$DH,CL$1,0),IF(LEFT(VLOOKUP($D52,'Visu totale'!$D:$DH,CL$1,0),1)="V",IF(CK52&gt;=INDEX('[1]Définition Maintenances'!$G:$G,MATCH($A52,'[1]Définition Maintenances'!$K:$K,0)),CK52,INDEX('[1]Définition Maintenances'!$G:$G,MATCH($A52,'[1]Définition Maintenances'!$K:$K,0))+CK52),CK52))</f>
        <v>1200</v>
      </c>
      <c r="CM52" s="26">
        <f>IF(ISNUMBER(VLOOKUP($D52,'Visu totale'!$D:$DH,CM$1,0)),CL52-VLOOKUP($D52,'Visu totale'!$D:$DH,CM$1,0),IF(LEFT(VLOOKUP($D52,'Visu totale'!$D:$DH,CM$1,0),1)="V",IF(CL52&gt;=INDEX('[1]Définition Maintenances'!$G:$G,MATCH($A52,'[1]Définition Maintenances'!$K:$K,0)),CL52,INDEX('[1]Définition Maintenances'!$G:$G,MATCH($A52,'[1]Définition Maintenances'!$K:$K,0))+CL52),CL52))</f>
        <v>1200</v>
      </c>
      <c r="CN52" s="26">
        <f>IF(ISNUMBER(VLOOKUP($D52,'Visu totale'!$D:$DH,CN$1,0)),CM52-VLOOKUP($D52,'Visu totale'!$D:$DH,CN$1,0),IF(LEFT(VLOOKUP($D52,'Visu totale'!$D:$DH,CN$1,0),1)="V",IF(CM52&gt;=INDEX('[1]Définition Maintenances'!$G:$G,MATCH($A52,'[1]Définition Maintenances'!$K:$K,0)),CM52,INDEX('[1]Définition Maintenances'!$G:$G,MATCH($A52,'[1]Définition Maintenances'!$K:$K,0))+CM52),CM52))</f>
        <v>1200</v>
      </c>
      <c r="CO52" s="26">
        <f>IF(ISNUMBER(VLOOKUP($D52,'Visu totale'!$D:$DH,CO$1,0)),CN52-VLOOKUP($D52,'Visu totale'!$D:$DH,CO$1,0),IF(LEFT(VLOOKUP($D52,'Visu totale'!$D:$DH,CO$1,0),1)="V",IF(CN52&gt;=INDEX('[1]Définition Maintenances'!$G:$G,MATCH($A52,'[1]Définition Maintenances'!$K:$K,0)),CN52,INDEX('[1]Définition Maintenances'!$G:$G,MATCH($A52,'[1]Définition Maintenances'!$K:$K,0))+CN52),CN52))</f>
        <v>1200</v>
      </c>
      <c r="CP52" s="26">
        <f>IF(ISNUMBER(VLOOKUP($D52,'Visu totale'!$D:$DH,CP$1,0)),CO52-VLOOKUP($D52,'Visu totale'!$D:$DH,CP$1,0),IF(LEFT(VLOOKUP($D52,'Visu totale'!$D:$DH,CP$1,0),1)="V",IF(CO52&gt;=INDEX('[1]Définition Maintenances'!$G:$G,MATCH($A52,'[1]Définition Maintenances'!$K:$K,0)),CO52,INDEX('[1]Définition Maintenances'!$G:$G,MATCH($A52,'[1]Définition Maintenances'!$K:$K,0))+CO52),CO52))</f>
        <v>1200</v>
      </c>
      <c r="CQ52" s="26">
        <f>IF(ISNUMBER(VLOOKUP($D52,'Visu totale'!$D:$DH,CQ$1,0)),CP52-VLOOKUP($D52,'Visu totale'!$D:$DH,CQ$1,0),IF(LEFT(VLOOKUP($D52,'Visu totale'!$D:$DH,CQ$1,0),1)="V",IF(CP52&gt;=INDEX('[1]Définition Maintenances'!$G:$G,MATCH($A52,'[1]Définition Maintenances'!$K:$K,0)),CP52,INDEX('[1]Définition Maintenances'!$G:$G,MATCH($A52,'[1]Définition Maintenances'!$K:$K,0))+CP52),CP52))</f>
        <v>1200</v>
      </c>
      <c r="CR52" s="26">
        <f>IF(ISNUMBER(VLOOKUP($D52,'Visu totale'!$D:$DH,CR$1,0)),CQ52-VLOOKUP($D52,'Visu totale'!$D:$DH,CR$1,0),IF(LEFT(VLOOKUP($D52,'Visu totale'!$D:$DH,CR$1,0),1)="V",IF(CQ52&gt;=INDEX('[1]Définition Maintenances'!$G:$G,MATCH($A52,'[1]Définition Maintenances'!$K:$K,0)),CQ52,INDEX('[1]Définition Maintenances'!$G:$G,MATCH($A52,'[1]Définition Maintenances'!$K:$K,0))+CQ52),CQ52))</f>
        <v>1200</v>
      </c>
      <c r="CS52" s="26">
        <f>IF(ISNUMBER(VLOOKUP($D52,'Visu totale'!$D:$DH,CS$1,0)),CR52-VLOOKUP($D52,'Visu totale'!$D:$DH,CS$1,0),IF(LEFT(VLOOKUP($D52,'Visu totale'!$D:$DH,CS$1,0),1)="V",IF(CR52&gt;=INDEX('[1]Définition Maintenances'!$G:$G,MATCH($A52,'[1]Définition Maintenances'!$K:$K,0)),CR52,INDEX('[1]Définition Maintenances'!$G:$G,MATCH($A52,'[1]Définition Maintenances'!$K:$K,0))+CR52),CR52))</f>
        <v>1200</v>
      </c>
      <c r="CT52" s="26">
        <f>IF(ISNUMBER(VLOOKUP($D52,'Visu totale'!$D:$DH,CT$1,0)),CS52-VLOOKUP($D52,'Visu totale'!$D:$DH,CT$1,0),IF(LEFT(VLOOKUP($D52,'Visu totale'!$D:$DH,CT$1,0),1)="V",IF(CS52&gt;=INDEX('[1]Définition Maintenances'!$G:$G,MATCH($A52,'[1]Définition Maintenances'!$K:$K,0)),CS52,INDEX('[1]Définition Maintenances'!$G:$G,MATCH($A52,'[1]Définition Maintenances'!$K:$K,0))+CS52),CS52))</f>
        <v>1200</v>
      </c>
      <c r="CU52" s="26">
        <f>IF(ISNUMBER(VLOOKUP($D52,'Visu totale'!$D:$DH,CU$1,0)),CT52-VLOOKUP($D52,'Visu totale'!$D:$DH,CU$1,0),IF(LEFT(VLOOKUP($D52,'Visu totale'!$D:$DH,CU$1,0),1)="V",IF(CT52&gt;=INDEX('[1]Définition Maintenances'!$G:$G,MATCH($A52,'[1]Définition Maintenances'!$K:$K,0)),CT52,INDEX('[1]Définition Maintenances'!$G:$G,MATCH($A52,'[1]Définition Maintenances'!$K:$K,0))+CT52),CT52))</f>
        <v>1200</v>
      </c>
      <c r="CV52" s="26">
        <f>IF(ISNUMBER(VLOOKUP($D52,'Visu totale'!$D:$DH,CV$1,0)),CU52-VLOOKUP($D52,'Visu totale'!$D:$DH,CV$1,0),IF(LEFT(VLOOKUP($D52,'Visu totale'!$D:$DH,CV$1,0),1)="V",IF(CU52&gt;=INDEX('[1]Définition Maintenances'!$G:$G,MATCH($A52,'[1]Définition Maintenances'!$K:$K,0)),CU52,INDEX('[1]Définition Maintenances'!$G:$G,MATCH($A52,'[1]Définition Maintenances'!$K:$K,0))+CU52),CU52))</f>
        <v>1200</v>
      </c>
      <c r="CW52" s="27">
        <f>IF(ISNUMBER(VLOOKUP($D52,'Visu totale'!$D:$DH,CW$1,0)),CV52-VLOOKUP($D52,'Visu totale'!$D:$DH,CW$1,0),IF(LEFT(VLOOKUP($D52,'Visu totale'!$D:$DH,CW$1,0),1)="V",IF(CV52&gt;=INDEX('[1]Définition Maintenances'!$G:$G,MATCH($A52,'[1]Définition Maintenances'!$K:$K,0)),CV52,INDEX('[1]Définition Maintenances'!$G:$G,MATCH($A52,'[1]Définition Maintenances'!$K:$K,0))+CV52),CV52))</f>
        <v>1200</v>
      </c>
      <c r="CX52" s="25">
        <f>IF(ISNUMBER(VLOOKUP($D52,'Visu totale'!$D:$DH,CX$1,0)),CW52-VLOOKUP($D52,'Visu totale'!$D:$DH,CX$1,0),IF(LEFT(VLOOKUP($D52,'Visu totale'!$D:$DH,CX$1,0),1)="V",IF(CW52&gt;=INDEX('[1]Définition Maintenances'!$G:$G,MATCH($A52,'[1]Définition Maintenances'!$K:$K,0)),CW52,INDEX('[1]Définition Maintenances'!$G:$G,MATCH($A52,'[1]Définition Maintenances'!$K:$K,0))+CW52),CW52))</f>
        <v>1200</v>
      </c>
      <c r="CY52" s="26">
        <f>IF(ISNUMBER(VLOOKUP($D52,'Visu totale'!$D:$DH,CY$1,0)),CX52-VLOOKUP($D52,'Visu totale'!$D:$DH,CY$1,0),IF(LEFT(VLOOKUP($D52,'Visu totale'!$D:$DH,CY$1,0),1)="V",IF(CX52&gt;=INDEX('[1]Définition Maintenances'!$G:$G,MATCH($A52,'[1]Définition Maintenances'!$K:$K,0)),CX52,INDEX('[1]Définition Maintenances'!$G:$G,MATCH($A52,'[1]Définition Maintenances'!$K:$K,0))+CX52),CX52))</f>
        <v>1200</v>
      </c>
      <c r="CZ52" s="26">
        <f>IF(ISNUMBER(VLOOKUP($D52,'Visu totale'!$D:$DH,CZ$1,0)),CY52-VLOOKUP($D52,'Visu totale'!$D:$DH,CZ$1,0),IF(LEFT(VLOOKUP($D52,'Visu totale'!$D:$DH,CZ$1,0),1)="V",IF(CY52&gt;=INDEX('[1]Définition Maintenances'!$G:$G,MATCH($A52,'[1]Définition Maintenances'!$K:$K,0)),CY52,INDEX('[1]Définition Maintenances'!$G:$G,MATCH($A52,'[1]Définition Maintenances'!$K:$K,0))+CY52),CY52))</f>
        <v>1200</v>
      </c>
      <c r="DA52" s="26">
        <f>IF(ISNUMBER(VLOOKUP($D52,'Visu totale'!$D:$DH,DA$1,0)),CZ52-VLOOKUP($D52,'Visu totale'!$D:$DH,DA$1,0),IF(LEFT(VLOOKUP($D52,'Visu totale'!$D:$DH,DA$1,0),1)="V",IF(CZ52&gt;=INDEX('[1]Définition Maintenances'!$G:$G,MATCH($A52,'[1]Définition Maintenances'!$K:$K,0)),CZ52,INDEX('[1]Définition Maintenances'!$G:$G,MATCH($A52,'[1]Définition Maintenances'!$K:$K,0))+CZ52),CZ52))</f>
        <v>1200</v>
      </c>
      <c r="DB52" s="26">
        <f>IF(ISNUMBER(VLOOKUP($D52,'Visu totale'!$D:$DH,DB$1,0)),DA52-VLOOKUP($D52,'Visu totale'!$D:$DH,DB$1,0),IF(LEFT(VLOOKUP($D52,'Visu totale'!$D:$DH,DB$1,0),1)="V",IF(DA52&gt;=INDEX('[1]Définition Maintenances'!$G:$G,MATCH($A52,'[1]Définition Maintenances'!$K:$K,0)),DA52,INDEX('[1]Définition Maintenances'!$G:$G,MATCH($A52,'[1]Définition Maintenances'!$K:$K,0))+DA52),DA52))</f>
        <v>1200</v>
      </c>
      <c r="DC52" s="26">
        <f>IF(ISNUMBER(VLOOKUP($D52,'Visu totale'!$D:$DH,DC$1,0)),DB52-VLOOKUP($D52,'Visu totale'!$D:$DH,DC$1,0),IF(LEFT(VLOOKUP($D52,'Visu totale'!$D:$DH,DC$1,0),1)="V",IF(DB52&gt;=INDEX('[1]Définition Maintenances'!$G:$G,MATCH($A52,'[1]Définition Maintenances'!$K:$K,0)),DB52,INDEX('[1]Définition Maintenances'!$G:$G,MATCH($A52,'[1]Définition Maintenances'!$K:$K,0))+DB52),DB52))</f>
        <v>1200</v>
      </c>
      <c r="DD52" s="26">
        <f>IF(ISNUMBER(VLOOKUP($D52,'Visu totale'!$D:$DH,DD$1,0)),DC52-VLOOKUP($D52,'Visu totale'!$D:$DH,DD$1,0),IF(LEFT(VLOOKUP($D52,'Visu totale'!$D:$DH,DD$1,0),1)="V",IF(DC52&gt;=INDEX('[1]Définition Maintenances'!$G:$G,MATCH($A52,'[1]Définition Maintenances'!$K:$K,0)),DC52,INDEX('[1]Définition Maintenances'!$G:$G,MATCH($A52,'[1]Définition Maintenances'!$K:$K,0))+DC52),DC52))</f>
        <v>1200</v>
      </c>
      <c r="DE52" s="26">
        <f>IF(ISNUMBER(VLOOKUP($D52,'Visu totale'!$D:$DH,DE$1,0)),DD52-VLOOKUP($D52,'Visu totale'!$D:$DH,DE$1,0),IF(LEFT(VLOOKUP($D52,'Visu totale'!$D:$DH,DE$1,0),1)="V",IF(DD52&gt;=INDEX('[1]Définition Maintenances'!$G:$G,MATCH($A52,'[1]Définition Maintenances'!$K:$K,0)),DD52,INDEX('[1]Définition Maintenances'!$G:$G,MATCH($A52,'[1]Définition Maintenances'!$K:$K,0))+DD52),DD52))</f>
        <v>1200</v>
      </c>
      <c r="DF52" s="26">
        <f>IF(ISNUMBER(VLOOKUP($D52,'Visu totale'!$D:$DH,DF$1,0)),DE52-VLOOKUP($D52,'Visu totale'!$D:$DH,DF$1,0),IF(LEFT(VLOOKUP($D52,'Visu totale'!$D:$DH,DF$1,0),1)="V",IF(DE52&gt;=INDEX('[1]Définition Maintenances'!$G:$G,MATCH($A52,'[1]Définition Maintenances'!$K:$K,0)),DE52,INDEX('[1]Définition Maintenances'!$G:$G,MATCH($A52,'[1]Définition Maintenances'!$K:$K,0))+DE52),DE52))</f>
        <v>1200</v>
      </c>
      <c r="DG52" s="26">
        <f>IF(ISNUMBER(VLOOKUP($D52,'Visu totale'!$D:$DH,DG$1,0)),DF52-VLOOKUP($D52,'Visu totale'!$D:$DH,DG$1,0),IF(LEFT(VLOOKUP($D52,'Visu totale'!$D:$DH,DG$1,0),1)="V",IF(DF52&gt;=INDEX('[1]Définition Maintenances'!$G:$G,MATCH($A52,'[1]Définition Maintenances'!$K:$K,0)),DF52,INDEX('[1]Définition Maintenances'!$G:$G,MATCH($A52,'[1]Définition Maintenances'!$K:$K,0))+DF52),DF52))</f>
        <v>1200</v>
      </c>
      <c r="DH52" s="26">
        <f>IF(ISNUMBER(VLOOKUP($D52,'Visu totale'!$D:$DH,DH$1,0)),DG52-VLOOKUP($D52,'Visu totale'!$D:$DH,DH$1,0),IF(LEFT(VLOOKUP($D52,'Visu totale'!$D:$DH,DH$1,0),1)="V",IF(DG52&gt;=INDEX('[1]Définition Maintenances'!$G:$G,MATCH($A52,'[1]Définition Maintenances'!$K:$K,0)),DG52,INDEX('[1]Définition Maintenances'!$G:$G,MATCH($A52,'[1]Définition Maintenances'!$K:$K,0))+DG52),DG52))</f>
        <v>1200</v>
      </c>
      <c r="DI52" s="27">
        <f>IF(ISNUMBER(VLOOKUP($D52,'Visu totale'!$D:$DH,DI$1,0)),DH52-VLOOKUP($D52,'Visu totale'!$D:$DH,DI$1,0),IF(LEFT(VLOOKUP($D52,'Visu totale'!$D:$DH,DI$1,0),1)="V",IF(DH52&gt;=INDEX('[1]Définition Maintenances'!$G:$G,MATCH($A52,'[1]Définition Maintenances'!$K:$K,0)),DH52,INDEX('[1]Définition Maintenances'!$G:$G,MATCH($A52,'[1]Définition Maintenances'!$K:$K,0))+DH52),DH52))</f>
        <v>1200</v>
      </c>
    </row>
    <row r="53" spans="1:113" x14ac:dyDescent="0.25">
      <c r="A53" s="13" t="str">
        <f t="shared" si="1"/>
        <v>V15D</v>
      </c>
      <c r="B53" s="13" t="str">
        <f>VLOOKUP(D53,'[1]Avions (Potentiels)'!$B$2:$H$128,7,FALSE)</f>
        <v>V15</v>
      </c>
      <c r="C53" s="13"/>
      <c r="D53" s="16" t="s">
        <v>56</v>
      </c>
      <c r="E53" s="13">
        <f>IFERROR(VALUE(SUBSTITUTE(VLOOKUP(D53,'[1]Avions (Potentiels)'!$B:$E,4,0),".",",")),VALUE(VLOOKUP(D53,'[1]Avions (Potentiels)'!$B:$E,4,0)))</f>
        <v>318</v>
      </c>
      <c r="F53" s="25">
        <f>IF(ISNUMBER(VLOOKUP($D53,'Visu totale'!$D:$DH,F$1,0)),E53-VLOOKUP($D53,'Visu totale'!$D:$DH,F$1,0),IF(LEFT(VLOOKUP($D53,'Visu totale'!$D:$DH,F$1,0),1)="V",IF(E53&gt;=INDEX('[1]Définition Maintenances'!$G:$G,MATCH($A53,'[1]Définition Maintenances'!$K:$K,0)),E53,INDEX('[1]Définition Maintenances'!$G:$G,MATCH($A53,'[1]Définition Maintenances'!$K:$K,0))+E53),E53))</f>
        <v>318</v>
      </c>
      <c r="G53" s="26">
        <f>IF(ISNUMBER(VLOOKUP($D53,'Visu totale'!$D:$DH,G$1,0)),F53-VLOOKUP($D53,'Visu totale'!$D:$DH,G$1,0),IF(LEFT(VLOOKUP($D53,'Visu totale'!$D:$DH,G$1,0),1)="V",IF(F53&gt;=INDEX('[1]Définition Maintenances'!$G:$G,MATCH($A53,'[1]Définition Maintenances'!$K:$K,0)),F53,INDEX('[1]Définition Maintenances'!$G:$G,MATCH($A53,'[1]Définition Maintenances'!$K:$K,0))+F53),F53))</f>
        <v>318</v>
      </c>
      <c r="H53" s="26">
        <f>IF(ISNUMBER(VLOOKUP($D53,'Visu totale'!$D:$DH,H$1,0)),G53-VLOOKUP($D53,'Visu totale'!$D:$DH,H$1,0),IF(LEFT(VLOOKUP($D53,'Visu totale'!$D:$DH,H$1,0),1)="V",IF(G53&gt;=INDEX('[1]Définition Maintenances'!$G:$G,MATCH($A53,'[1]Définition Maintenances'!$K:$K,0)),G53,INDEX('[1]Définition Maintenances'!$G:$G,MATCH($A53,'[1]Définition Maintenances'!$K:$K,0))+G53),G53))</f>
        <v>318</v>
      </c>
      <c r="I53" s="26">
        <f>IF(ISNUMBER(VLOOKUP($D53,'Visu totale'!$D:$DH,I$1,0)),H53-VLOOKUP($D53,'Visu totale'!$D:$DH,I$1,0),IF(LEFT(VLOOKUP($D53,'Visu totale'!$D:$DH,I$1,0),1)="V",IF(H53&gt;=INDEX('[1]Définition Maintenances'!$G:$G,MATCH($A53,'[1]Définition Maintenances'!$K:$K,0)),H53,INDEX('[1]Définition Maintenances'!$G:$G,MATCH($A53,'[1]Définition Maintenances'!$K:$K,0))+H53),H53))</f>
        <v>318</v>
      </c>
      <c r="J53" s="26">
        <f>IF(ISNUMBER(VLOOKUP($D53,'Visu totale'!$D:$DH,J$1,0)),I53-VLOOKUP($D53,'Visu totale'!$D:$DH,J$1,0),IF(LEFT(VLOOKUP($D53,'Visu totale'!$D:$DH,J$1,0),1)="V",IF(I53&gt;=INDEX('[1]Définition Maintenances'!$G:$G,MATCH($A53,'[1]Définition Maintenances'!$K:$K,0)),I53,INDEX('[1]Définition Maintenances'!$G:$G,MATCH($A53,'[1]Définition Maintenances'!$K:$K,0))+I53),I53))</f>
        <v>318</v>
      </c>
      <c r="K53" s="26">
        <f>IF(ISNUMBER(VLOOKUP($D53,'Visu totale'!$D:$DH,K$1,0)),J53-VLOOKUP($D53,'Visu totale'!$D:$DH,K$1,0),IF(LEFT(VLOOKUP($D53,'Visu totale'!$D:$DH,K$1,0),1)="V",IF(J53&gt;=INDEX('[1]Définition Maintenances'!$G:$G,MATCH($A53,'[1]Définition Maintenances'!$K:$K,0)),J53,INDEX('[1]Définition Maintenances'!$G:$G,MATCH($A53,'[1]Définition Maintenances'!$K:$K,0))+J53),J53))</f>
        <v>318</v>
      </c>
      <c r="L53" s="26">
        <f>IF(ISNUMBER(VLOOKUP($D53,'Visu totale'!$D:$DH,L$1,0)),K53-VLOOKUP($D53,'Visu totale'!$D:$DH,L$1,0),IF(LEFT(VLOOKUP($D53,'Visu totale'!$D:$DH,L$1,0),1)="V",IF(K53&gt;=INDEX('[1]Définition Maintenances'!$G:$G,MATCH($A53,'[1]Définition Maintenances'!$K:$K,0)),K53,INDEX('[1]Définition Maintenances'!$G:$G,MATCH($A53,'[1]Définition Maintenances'!$K:$K,0))+K53),K53))</f>
        <v>318</v>
      </c>
      <c r="M53" s="26">
        <f>IF(ISNUMBER(VLOOKUP($D53,'Visu totale'!$D:$DH,M$1,0)),L53-VLOOKUP($D53,'Visu totale'!$D:$DH,M$1,0),IF(LEFT(VLOOKUP($D53,'Visu totale'!$D:$DH,M$1,0),1)="V",IF(L53&gt;=INDEX('[1]Définition Maintenances'!$G:$G,MATCH($A53,'[1]Définition Maintenances'!$K:$K,0)),L53,INDEX('[1]Définition Maintenances'!$G:$G,MATCH($A53,'[1]Définition Maintenances'!$K:$K,0))+L53),L53))</f>
        <v>318</v>
      </c>
      <c r="N53" s="26">
        <f>IF(ISNUMBER(VLOOKUP($D53,'Visu totale'!$D:$DH,N$1,0)),M53-VLOOKUP($D53,'Visu totale'!$D:$DH,N$1,0),IF(LEFT(VLOOKUP($D53,'Visu totale'!$D:$DH,N$1,0),1)="V",IF(M53&gt;=INDEX('[1]Définition Maintenances'!$G:$G,MATCH($A53,'[1]Définition Maintenances'!$K:$K,0)),M53,INDEX('[1]Définition Maintenances'!$G:$G,MATCH($A53,'[1]Définition Maintenances'!$K:$K,0))+M53),M53))</f>
        <v>318</v>
      </c>
      <c r="O53" s="26">
        <f>IF(ISNUMBER(VLOOKUP($D53,'Visu totale'!$D:$DH,O$1,0)),N53-VLOOKUP($D53,'Visu totale'!$D:$DH,O$1,0),IF(LEFT(VLOOKUP($D53,'Visu totale'!$D:$DH,O$1,0),1)="V",IF(N53&gt;=INDEX('[1]Définition Maintenances'!$G:$G,MATCH($A53,'[1]Définition Maintenances'!$K:$K,0)),N53,INDEX('[1]Définition Maintenances'!$G:$G,MATCH($A53,'[1]Définition Maintenances'!$K:$K,0))+N53),N53))</f>
        <v>318</v>
      </c>
      <c r="P53" s="26">
        <f>IF(ISNUMBER(VLOOKUP($D53,'Visu totale'!$D:$DH,P$1,0)),O53-VLOOKUP($D53,'Visu totale'!$D:$DH,P$1,0),IF(LEFT(VLOOKUP($D53,'Visu totale'!$D:$DH,P$1,0),1)="V",IF(O53&gt;=INDEX('[1]Définition Maintenances'!$G:$G,MATCH($A53,'[1]Définition Maintenances'!$K:$K,0)),O53,INDEX('[1]Définition Maintenances'!$G:$G,MATCH($A53,'[1]Définition Maintenances'!$K:$K,0))+O53),O53))</f>
        <v>318</v>
      </c>
      <c r="Q53" s="27">
        <f>IF(ISNUMBER(VLOOKUP($D53,'Visu totale'!$D:$DH,Q$1,0)),P53-VLOOKUP($D53,'Visu totale'!$D:$DH,Q$1,0),IF(LEFT(VLOOKUP($D53,'Visu totale'!$D:$DH,Q$1,0),1)="V",IF(P53&gt;=INDEX('[1]Définition Maintenances'!$G:$G,MATCH($A53,'[1]Définition Maintenances'!$K:$K,0)),P53,INDEX('[1]Définition Maintenances'!$G:$G,MATCH($A53,'[1]Définition Maintenances'!$K:$K,0))+P53),P53))</f>
        <v>318</v>
      </c>
      <c r="R53" s="25">
        <f>IF(ISNUMBER(VLOOKUP($D53,'Visu totale'!$D:$DH,R$1,0)),Q53-VLOOKUP($D53,'Visu totale'!$D:$DH,R$1,0),IF(LEFT(VLOOKUP($D53,'Visu totale'!$D:$DH,R$1,0),1)="V",IF(Q53&gt;=INDEX('[1]Définition Maintenances'!$G:$G,MATCH($A53,'[1]Définition Maintenances'!$K:$K,0)),Q53,INDEX('[1]Définition Maintenances'!$G:$G,MATCH($A53,'[1]Définition Maintenances'!$K:$K,0))+Q53),Q53))</f>
        <v>318</v>
      </c>
      <c r="S53" s="26">
        <f>IF(ISNUMBER(VLOOKUP($D53,'Visu totale'!$D:$DH,S$1,0)),R53-VLOOKUP($D53,'Visu totale'!$D:$DH,S$1,0),IF(LEFT(VLOOKUP($D53,'Visu totale'!$D:$DH,S$1,0),1)="V",IF(R53&gt;=INDEX('[1]Définition Maintenances'!$G:$G,MATCH($A53,'[1]Définition Maintenances'!$K:$K,0)),R53,INDEX('[1]Définition Maintenances'!$G:$G,MATCH($A53,'[1]Définition Maintenances'!$K:$K,0))+R53),R53))</f>
        <v>318</v>
      </c>
      <c r="T53" s="26">
        <f>IF(ISNUMBER(VLOOKUP($D53,'Visu totale'!$D:$DH,T$1,0)),S53-VLOOKUP($D53,'Visu totale'!$D:$DH,T$1,0),IF(LEFT(VLOOKUP($D53,'Visu totale'!$D:$DH,T$1,0),1)="V",IF(S53&gt;=INDEX('[1]Définition Maintenances'!$G:$G,MATCH($A53,'[1]Définition Maintenances'!$K:$K,0)),S53,INDEX('[1]Définition Maintenances'!$G:$G,MATCH($A53,'[1]Définition Maintenances'!$K:$K,0))+S53),S53))</f>
        <v>318</v>
      </c>
      <c r="U53" s="26">
        <f>IF(ISNUMBER(VLOOKUP($D53,'Visu totale'!$D:$DH,U$1,0)),T53-VLOOKUP($D53,'Visu totale'!$D:$DH,U$1,0),IF(LEFT(VLOOKUP($D53,'Visu totale'!$D:$DH,U$1,0),1)="V",IF(T53&gt;=INDEX('[1]Définition Maintenances'!$G:$G,MATCH($A53,'[1]Définition Maintenances'!$K:$K,0)),T53,INDEX('[1]Définition Maintenances'!$G:$G,MATCH($A53,'[1]Définition Maintenances'!$K:$K,0))+T53),T53))</f>
        <v>318</v>
      </c>
      <c r="V53" s="26">
        <f>IF(ISNUMBER(VLOOKUP($D53,'Visu totale'!$D:$DH,V$1,0)),U53-VLOOKUP($D53,'Visu totale'!$D:$DH,V$1,0),IF(LEFT(VLOOKUP($D53,'Visu totale'!$D:$DH,V$1,0),1)="V",IF(U53&gt;=INDEX('[1]Définition Maintenances'!$G:$G,MATCH($A53,'[1]Définition Maintenances'!$K:$K,0)),U53,INDEX('[1]Définition Maintenances'!$G:$G,MATCH($A53,'[1]Définition Maintenances'!$K:$K,0))+U53),U53))</f>
        <v>318</v>
      </c>
      <c r="W53" s="26">
        <f>IF(ISNUMBER(VLOOKUP($D53,'Visu totale'!$D:$DH,W$1,0)),V53-VLOOKUP($D53,'Visu totale'!$D:$DH,W$1,0),IF(LEFT(VLOOKUP($D53,'Visu totale'!$D:$DH,W$1,0),1)="V",IF(V53&gt;=INDEX('[1]Définition Maintenances'!$G:$G,MATCH($A53,'[1]Définition Maintenances'!$K:$K,0)),V53,INDEX('[1]Définition Maintenances'!$G:$G,MATCH($A53,'[1]Définition Maintenances'!$K:$K,0))+V53),V53))</f>
        <v>318</v>
      </c>
      <c r="X53" s="26">
        <f>IF(ISNUMBER(VLOOKUP($D53,'Visu totale'!$D:$DH,X$1,0)),W53-VLOOKUP($D53,'Visu totale'!$D:$DH,X$1,0),IF(LEFT(VLOOKUP($D53,'Visu totale'!$D:$DH,X$1,0),1)="V",IF(W53&gt;=INDEX('[1]Définition Maintenances'!$G:$G,MATCH($A53,'[1]Définition Maintenances'!$K:$K,0)),W53,INDEX('[1]Définition Maintenances'!$G:$G,MATCH($A53,'[1]Définition Maintenances'!$K:$K,0))+W53),W53))</f>
        <v>318</v>
      </c>
      <c r="Y53" s="26">
        <f>IF(ISNUMBER(VLOOKUP($D53,'Visu totale'!$D:$DH,Y$1,0)),X53-VLOOKUP($D53,'Visu totale'!$D:$DH,Y$1,0),IF(LEFT(VLOOKUP($D53,'Visu totale'!$D:$DH,Y$1,0),1)="V",IF(X53&gt;=INDEX('[1]Définition Maintenances'!$G:$G,MATCH($A53,'[1]Définition Maintenances'!$K:$K,0)),X53,INDEX('[1]Définition Maintenances'!$G:$G,MATCH($A53,'[1]Définition Maintenances'!$K:$K,0))+X53),X53))</f>
        <v>318</v>
      </c>
      <c r="Z53" s="26">
        <f>IF(ISNUMBER(VLOOKUP($D53,'Visu totale'!$D:$DH,Z$1,0)),Y53-VLOOKUP($D53,'Visu totale'!$D:$DH,Z$1,0),IF(LEFT(VLOOKUP($D53,'Visu totale'!$D:$DH,Z$1,0),1)="V",IF(Y53&gt;=INDEX('[1]Définition Maintenances'!$G:$G,MATCH($A53,'[1]Définition Maintenances'!$K:$K,0)),Y53,INDEX('[1]Définition Maintenances'!$G:$G,MATCH($A53,'[1]Définition Maintenances'!$K:$K,0))+Y53),Y53))</f>
        <v>318</v>
      </c>
      <c r="AA53" s="26">
        <f>IF(ISNUMBER(VLOOKUP($D53,'Visu totale'!$D:$DH,AA$1,0)),Z53-VLOOKUP($D53,'Visu totale'!$D:$DH,AA$1,0),IF(LEFT(VLOOKUP($D53,'Visu totale'!$D:$DH,AA$1,0),1)="V",IF(Z53&gt;=INDEX('[1]Définition Maintenances'!$G:$G,MATCH($A53,'[1]Définition Maintenances'!$K:$K,0)),Z53,INDEX('[1]Définition Maintenances'!$G:$G,MATCH($A53,'[1]Définition Maintenances'!$K:$K,0))+Z53),Z53))</f>
        <v>318</v>
      </c>
      <c r="AB53" s="26">
        <f>IF(ISNUMBER(VLOOKUP($D53,'Visu totale'!$D:$DH,AB$1,0)),AA53-VLOOKUP($D53,'Visu totale'!$D:$DH,AB$1,0),IF(LEFT(VLOOKUP($D53,'Visu totale'!$D:$DH,AB$1,0),1)="V",IF(AA53&gt;=INDEX('[1]Définition Maintenances'!$G:$G,MATCH($A53,'[1]Définition Maintenances'!$K:$K,0)),AA53,INDEX('[1]Définition Maintenances'!$G:$G,MATCH($A53,'[1]Définition Maintenances'!$K:$K,0))+AA53),AA53))</f>
        <v>318</v>
      </c>
      <c r="AC53" s="27">
        <f>IF(ISNUMBER(VLOOKUP($D53,'Visu totale'!$D:$DH,AC$1,0)),AB53-VLOOKUP($D53,'Visu totale'!$D:$DH,AC$1,0),IF(LEFT(VLOOKUP($D53,'Visu totale'!$D:$DH,AC$1,0),1)="V",IF(AB53&gt;=INDEX('[1]Définition Maintenances'!$G:$G,MATCH($A53,'[1]Définition Maintenances'!$K:$K,0)),AB53,INDEX('[1]Définition Maintenances'!$G:$G,MATCH($A53,'[1]Définition Maintenances'!$K:$K,0))+AB53),AB53))</f>
        <v>318</v>
      </c>
      <c r="AD53" s="25">
        <f>IF(ISNUMBER(VLOOKUP($D53,'Visu totale'!$D:$DH,AD$1,0)),AC53-VLOOKUP($D53,'Visu totale'!$D:$DH,AD$1,0),IF(LEFT(VLOOKUP($D53,'Visu totale'!$D:$DH,AD$1,0),1)="V",IF(AC53&gt;=INDEX('[1]Définition Maintenances'!$G:$G,MATCH($A53,'[1]Définition Maintenances'!$K:$K,0)),AC53,INDEX('[1]Définition Maintenances'!$G:$G,MATCH($A53,'[1]Définition Maintenances'!$K:$K,0))+AC53),AC53))</f>
        <v>318</v>
      </c>
      <c r="AE53" s="26">
        <f>IF(ISNUMBER(VLOOKUP($D53,'Visu totale'!$D:$DH,AE$1,0)),AD53-VLOOKUP($D53,'Visu totale'!$D:$DH,AE$1,0),IF(LEFT(VLOOKUP($D53,'Visu totale'!$D:$DH,AE$1,0),1)="V",IF(AD53&gt;=INDEX('[1]Définition Maintenances'!$G:$G,MATCH($A53,'[1]Définition Maintenances'!$K:$K,0)),AD53,INDEX('[1]Définition Maintenances'!$G:$G,MATCH($A53,'[1]Définition Maintenances'!$K:$K,0))+AD53),AD53))</f>
        <v>318</v>
      </c>
      <c r="AF53" s="26">
        <f>IF(ISNUMBER(VLOOKUP($D53,'Visu totale'!$D:$DH,AF$1,0)),AE53-VLOOKUP($D53,'Visu totale'!$D:$DH,AF$1,0),IF(LEFT(VLOOKUP($D53,'Visu totale'!$D:$DH,AF$1,0),1)="V",IF(AE53&gt;=INDEX('[1]Définition Maintenances'!$G:$G,MATCH($A53,'[1]Définition Maintenances'!$K:$K,0)),AE53,INDEX('[1]Définition Maintenances'!$G:$G,MATCH($A53,'[1]Définition Maintenances'!$K:$K,0))+AE53),AE53))</f>
        <v>318</v>
      </c>
      <c r="AG53" s="26">
        <f>IF(ISNUMBER(VLOOKUP($D53,'Visu totale'!$D:$DH,AG$1,0)),AF53-VLOOKUP($D53,'Visu totale'!$D:$DH,AG$1,0),IF(LEFT(VLOOKUP($D53,'Visu totale'!$D:$DH,AG$1,0),1)="V",IF(AF53&gt;=INDEX('[1]Définition Maintenances'!$G:$G,MATCH($A53,'[1]Définition Maintenances'!$K:$K,0)),AF53,INDEX('[1]Définition Maintenances'!$G:$G,MATCH($A53,'[1]Définition Maintenances'!$K:$K,0))+AF53),AF53))</f>
        <v>318</v>
      </c>
      <c r="AH53" s="26">
        <f>IF(ISNUMBER(VLOOKUP($D53,'Visu totale'!$D:$DH,AH$1,0)),AG53-VLOOKUP($D53,'Visu totale'!$D:$DH,AH$1,0),IF(LEFT(VLOOKUP($D53,'Visu totale'!$D:$DH,AH$1,0),1)="V",IF(AG53&gt;=INDEX('[1]Définition Maintenances'!$G:$G,MATCH($A53,'[1]Définition Maintenances'!$K:$K,0)),AG53,INDEX('[1]Définition Maintenances'!$G:$G,MATCH($A53,'[1]Définition Maintenances'!$K:$K,0))+AG53),AG53))</f>
        <v>318</v>
      </c>
      <c r="AI53" s="26">
        <f>IF(ISNUMBER(VLOOKUP($D53,'Visu totale'!$D:$DH,AI$1,0)),AH53-VLOOKUP($D53,'Visu totale'!$D:$DH,AI$1,0),IF(LEFT(VLOOKUP($D53,'Visu totale'!$D:$DH,AI$1,0),1)="V",IF(AH53&gt;=INDEX('[1]Définition Maintenances'!$G:$G,MATCH($A53,'[1]Définition Maintenances'!$K:$K,0)),AH53,INDEX('[1]Définition Maintenances'!$G:$G,MATCH($A53,'[1]Définition Maintenances'!$K:$K,0))+AH53),AH53))</f>
        <v>318</v>
      </c>
      <c r="AJ53" s="26">
        <f>IF(ISNUMBER(VLOOKUP($D53,'Visu totale'!$D:$DH,AJ$1,0)),AI53-VLOOKUP($D53,'Visu totale'!$D:$DH,AJ$1,0),IF(LEFT(VLOOKUP($D53,'Visu totale'!$D:$DH,AJ$1,0),1)="V",IF(AI53&gt;=INDEX('[1]Définition Maintenances'!$G:$G,MATCH($A53,'[1]Définition Maintenances'!$K:$K,0)),AI53,INDEX('[1]Définition Maintenances'!$G:$G,MATCH($A53,'[1]Définition Maintenances'!$K:$K,0))+AI53),AI53))</f>
        <v>318</v>
      </c>
      <c r="AK53" s="26">
        <f>IF(ISNUMBER(VLOOKUP($D53,'Visu totale'!$D:$DH,AK$1,0)),AJ53-VLOOKUP($D53,'Visu totale'!$D:$DH,AK$1,0),IF(LEFT(VLOOKUP($D53,'Visu totale'!$D:$DH,AK$1,0),1)="V",IF(AJ53&gt;=INDEX('[1]Définition Maintenances'!$G:$G,MATCH($A53,'[1]Définition Maintenances'!$K:$K,0)),AJ53,INDEX('[1]Définition Maintenances'!$G:$G,MATCH($A53,'[1]Définition Maintenances'!$K:$K,0))+AJ53),AJ53))</f>
        <v>318</v>
      </c>
      <c r="AL53" s="26">
        <f>IF(ISNUMBER(VLOOKUP($D53,'Visu totale'!$D:$DH,AL$1,0)),AK53-VLOOKUP($D53,'Visu totale'!$D:$DH,AL$1,0),IF(LEFT(VLOOKUP($D53,'Visu totale'!$D:$DH,AL$1,0),1)="V",IF(AK53&gt;=INDEX('[1]Définition Maintenances'!$G:$G,MATCH($A53,'[1]Définition Maintenances'!$K:$K,0)),AK53,INDEX('[1]Définition Maintenances'!$G:$G,MATCH($A53,'[1]Définition Maintenances'!$K:$K,0))+AK53),AK53))</f>
        <v>318</v>
      </c>
      <c r="AM53" s="26">
        <f>IF(ISNUMBER(VLOOKUP($D53,'Visu totale'!$D:$DH,AM$1,0)),AL53-VLOOKUP($D53,'Visu totale'!$D:$DH,AM$1,0),IF(LEFT(VLOOKUP($D53,'Visu totale'!$D:$DH,AM$1,0),1)="V",IF(AL53&gt;=INDEX('[1]Définition Maintenances'!$G:$G,MATCH($A53,'[1]Définition Maintenances'!$K:$K,0)),AL53,INDEX('[1]Définition Maintenances'!$G:$G,MATCH($A53,'[1]Définition Maintenances'!$K:$K,0))+AL53),AL53))</f>
        <v>318</v>
      </c>
      <c r="AN53" s="26">
        <f>IF(ISNUMBER(VLOOKUP($D53,'Visu totale'!$D:$DH,AN$1,0)),AM53-VLOOKUP($D53,'Visu totale'!$D:$DH,AN$1,0),IF(LEFT(VLOOKUP($D53,'Visu totale'!$D:$DH,AN$1,0),1)="V",IF(AM53&gt;=INDEX('[1]Définition Maintenances'!$G:$G,MATCH($A53,'[1]Définition Maintenances'!$K:$K,0)),AM53,INDEX('[1]Définition Maintenances'!$G:$G,MATCH($A53,'[1]Définition Maintenances'!$K:$K,0))+AM53),AM53))</f>
        <v>318</v>
      </c>
      <c r="AO53" s="27">
        <f>IF(ISNUMBER(VLOOKUP($D53,'Visu totale'!$D:$DH,AO$1,0)),AN53-VLOOKUP($D53,'Visu totale'!$D:$DH,AO$1,0),IF(LEFT(VLOOKUP($D53,'Visu totale'!$D:$DH,AO$1,0),1)="V",IF(AN53&gt;=INDEX('[1]Définition Maintenances'!$G:$G,MATCH($A53,'[1]Définition Maintenances'!$K:$K,0)),AN53,INDEX('[1]Définition Maintenances'!$G:$G,MATCH($A53,'[1]Définition Maintenances'!$K:$K,0))+AN53),AN53))</f>
        <v>318</v>
      </c>
      <c r="AP53" s="25">
        <f>IF(ISNUMBER(VLOOKUP($D53,'Visu totale'!$D:$DH,AP$1,0)),AO53-VLOOKUP($D53,'Visu totale'!$D:$DH,AP$1,0),IF(LEFT(VLOOKUP($D53,'Visu totale'!$D:$DH,AP$1,0),1)="V",IF(AO53&gt;=INDEX('[1]Définition Maintenances'!$G:$G,MATCH($A53,'[1]Définition Maintenances'!$K:$K,0)),AO53,INDEX('[1]Définition Maintenances'!$G:$G,MATCH($A53,'[1]Définition Maintenances'!$K:$K,0))+AO53),AO53))</f>
        <v>318</v>
      </c>
      <c r="AQ53" s="26">
        <f>IF(ISNUMBER(VLOOKUP($D53,'Visu totale'!$D:$DH,AQ$1,0)),AP53-VLOOKUP($D53,'Visu totale'!$D:$DH,AQ$1,0),IF(LEFT(VLOOKUP($D53,'Visu totale'!$D:$DH,AQ$1,0),1)="V",IF(AP53&gt;=INDEX('[1]Définition Maintenances'!$G:$G,MATCH($A53,'[1]Définition Maintenances'!$K:$K,0)),AP53,INDEX('[1]Définition Maintenances'!$G:$G,MATCH($A53,'[1]Définition Maintenances'!$K:$K,0))+AP53),AP53))</f>
        <v>318</v>
      </c>
      <c r="AR53" s="26">
        <f>IF(ISNUMBER(VLOOKUP($D53,'Visu totale'!$D:$DH,AR$1,0)),AQ53-VLOOKUP($D53,'Visu totale'!$D:$DH,AR$1,0),IF(LEFT(VLOOKUP($D53,'Visu totale'!$D:$DH,AR$1,0),1)="V",IF(AQ53&gt;=INDEX('[1]Définition Maintenances'!$G:$G,MATCH($A53,'[1]Définition Maintenances'!$K:$K,0)),AQ53,INDEX('[1]Définition Maintenances'!$G:$G,MATCH($A53,'[1]Définition Maintenances'!$K:$K,0))+AQ53),AQ53))</f>
        <v>318</v>
      </c>
      <c r="AS53" s="26">
        <f>IF(ISNUMBER(VLOOKUP($D53,'Visu totale'!$D:$DH,AS$1,0)),AR53-VLOOKUP($D53,'Visu totale'!$D:$DH,AS$1,0),IF(LEFT(VLOOKUP($D53,'Visu totale'!$D:$DH,AS$1,0),1)="V",IF(AR53&gt;=INDEX('[1]Définition Maintenances'!$G:$G,MATCH($A53,'[1]Définition Maintenances'!$K:$K,0)),AR53,INDEX('[1]Définition Maintenances'!$G:$G,MATCH($A53,'[1]Définition Maintenances'!$K:$K,0))+AR53),AR53))</f>
        <v>318</v>
      </c>
      <c r="AT53" s="26">
        <f>IF(ISNUMBER(VLOOKUP($D53,'Visu totale'!$D:$DH,AT$1,0)),AS53-VLOOKUP($D53,'Visu totale'!$D:$DH,AT$1,0),IF(LEFT(VLOOKUP($D53,'Visu totale'!$D:$DH,AT$1,0),1)="V",IF(AS53&gt;=INDEX('[1]Définition Maintenances'!$G:$G,MATCH($A53,'[1]Définition Maintenances'!$K:$K,0)),AS53,INDEX('[1]Définition Maintenances'!$G:$G,MATCH($A53,'[1]Définition Maintenances'!$K:$K,0))+AS53),AS53))</f>
        <v>318</v>
      </c>
      <c r="AU53" s="26">
        <f>IF(ISNUMBER(VLOOKUP($D53,'Visu totale'!$D:$DH,AU$1,0)),AT53-VLOOKUP($D53,'Visu totale'!$D:$DH,AU$1,0),IF(LEFT(VLOOKUP($D53,'Visu totale'!$D:$DH,AU$1,0),1)="V",IF(AT53&gt;=INDEX('[1]Définition Maintenances'!$G:$G,MATCH($A53,'[1]Définition Maintenances'!$K:$K,0)),AT53,INDEX('[1]Définition Maintenances'!$G:$G,MATCH($A53,'[1]Définition Maintenances'!$K:$K,0))+AT53),AT53))</f>
        <v>318</v>
      </c>
      <c r="AV53" s="26">
        <f>IF(ISNUMBER(VLOOKUP($D53,'Visu totale'!$D:$DH,AV$1,0)),AU53-VLOOKUP($D53,'Visu totale'!$D:$DH,AV$1,0),IF(LEFT(VLOOKUP($D53,'Visu totale'!$D:$DH,AV$1,0),1)="V",IF(AU53&gt;=INDEX('[1]Définition Maintenances'!$G:$G,MATCH($A53,'[1]Définition Maintenances'!$K:$K,0)),AU53,INDEX('[1]Définition Maintenances'!$G:$G,MATCH($A53,'[1]Définition Maintenances'!$K:$K,0))+AU53),AU53))</f>
        <v>318</v>
      </c>
      <c r="AW53" s="26">
        <f>IF(ISNUMBER(VLOOKUP($D53,'Visu totale'!$D:$DH,AW$1,0)),AV53-VLOOKUP($D53,'Visu totale'!$D:$DH,AW$1,0),IF(LEFT(VLOOKUP($D53,'Visu totale'!$D:$DH,AW$1,0),1)="V",IF(AV53&gt;=INDEX('[1]Définition Maintenances'!$G:$G,MATCH($A53,'[1]Définition Maintenances'!$K:$K,0)),AV53,INDEX('[1]Définition Maintenances'!$G:$G,MATCH($A53,'[1]Définition Maintenances'!$K:$K,0))+AV53),AV53))</f>
        <v>318</v>
      </c>
      <c r="AX53" s="26">
        <f>IF(ISNUMBER(VLOOKUP($D53,'Visu totale'!$D:$DH,AX$1,0)),AW53-VLOOKUP($D53,'Visu totale'!$D:$DH,AX$1,0),IF(LEFT(VLOOKUP($D53,'Visu totale'!$D:$DH,AX$1,0),1)="V",IF(AW53&gt;=INDEX('[1]Définition Maintenances'!$G:$G,MATCH($A53,'[1]Définition Maintenances'!$K:$K,0)),AW53,INDEX('[1]Définition Maintenances'!$G:$G,MATCH($A53,'[1]Définition Maintenances'!$K:$K,0))+AW53),AW53))</f>
        <v>318</v>
      </c>
      <c r="AY53" s="26">
        <f>IF(ISNUMBER(VLOOKUP($D53,'Visu totale'!$D:$DH,AY$1,0)),AX53-VLOOKUP($D53,'Visu totale'!$D:$DH,AY$1,0),IF(LEFT(VLOOKUP($D53,'Visu totale'!$D:$DH,AY$1,0),1)="V",IF(AX53&gt;=INDEX('[1]Définition Maintenances'!$G:$G,MATCH($A53,'[1]Définition Maintenances'!$K:$K,0)),AX53,INDEX('[1]Définition Maintenances'!$G:$G,MATCH($A53,'[1]Définition Maintenances'!$K:$K,0))+AX53),AX53))</f>
        <v>318</v>
      </c>
      <c r="AZ53" s="26">
        <f>IF(ISNUMBER(VLOOKUP($D53,'Visu totale'!$D:$DH,AZ$1,0)),AY53-VLOOKUP($D53,'Visu totale'!$D:$DH,AZ$1,0),IF(LEFT(VLOOKUP($D53,'Visu totale'!$D:$DH,AZ$1,0),1)="V",IF(AY53&gt;=INDEX('[1]Définition Maintenances'!$G:$G,MATCH($A53,'[1]Définition Maintenances'!$K:$K,0)),AY53,INDEX('[1]Définition Maintenances'!$G:$G,MATCH($A53,'[1]Définition Maintenances'!$K:$K,0))+AY53),AY53))</f>
        <v>318</v>
      </c>
      <c r="BA53" s="27">
        <f>IF(ISNUMBER(VLOOKUP($D53,'Visu totale'!$D:$DH,BA$1,0)),AZ53-VLOOKUP($D53,'Visu totale'!$D:$DH,BA$1,0),IF(LEFT(VLOOKUP($D53,'Visu totale'!$D:$DH,BA$1,0),1)="V",IF(AZ53&gt;=INDEX('[1]Définition Maintenances'!$G:$G,MATCH($A53,'[1]Définition Maintenances'!$K:$K,0)),AZ53,INDEX('[1]Définition Maintenances'!$G:$G,MATCH($A53,'[1]Définition Maintenances'!$K:$K,0))+AZ53),AZ53))</f>
        <v>318</v>
      </c>
      <c r="BB53" s="25">
        <f>IF(ISNUMBER(VLOOKUP($D53,'Visu totale'!$D:$DH,BB$1,0)),BA53-VLOOKUP($D53,'Visu totale'!$D:$DH,BB$1,0),IF(LEFT(VLOOKUP($D53,'Visu totale'!$D:$DH,BB$1,0),1)="V",IF(BA53&gt;=INDEX('[1]Définition Maintenances'!$G:$G,MATCH($A53,'[1]Définition Maintenances'!$K:$K,0)),BA53,INDEX('[1]Définition Maintenances'!$G:$G,MATCH($A53,'[1]Définition Maintenances'!$K:$K,0))+BA53),BA53))</f>
        <v>318</v>
      </c>
      <c r="BC53" s="26">
        <f>IF(ISNUMBER(VLOOKUP($D53,'Visu totale'!$D:$DH,BC$1,0)),BB53-VLOOKUP($D53,'Visu totale'!$D:$DH,BC$1,0),IF(LEFT(VLOOKUP($D53,'Visu totale'!$D:$DH,BC$1,0),1)="V",IF(BB53&gt;=INDEX('[1]Définition Maintenances'!$G:$G,MATCH($A53,'[1]Définition Maintenances'!$K:$K,0)),BB53,INDEX('[1]Définition Maintenances'!$G:$G,MATCH($A53,'[1]Définition Maintenances'!$K:$K,0))+BB53),BB53))</f>
        <v>318</v>
      </c>
      <c r="BD53" s="26">
        <f>IF(ISNUMBER(VLOOKUP($D53,'Visu totale'!$D:$DH,BD$1,0)),BC53-VLOOKUP($D53,'Visu totale'!$D:$DH,BD$1,0),IF(LEFT(VLOOKUP($D53,'Visu totale'!$D:$DH,BD$1,0),1)="V",IF(BC53&gt;=INDEX('[1]Définition Maintenances'!$G:$G,MATCH($A53,'[1]Définition Maintenances'!$K:$K,0)),BC53,INDEX('[1]Définition Maintenances'!$G:$G,MATCH($A53,'[1]Définition Maintenances'!$K:$K,0))+BC53),BC53))</f>
        <v>318</v>
      </c>
      <c r="BE53" s="26">
        <f>IF(ISNUMBER(VLOOKUP($D53,'Visu totale'!$D:$DH,BE$1,0)),BD53-VLOOKUP($D53,'Visu totale'!$D:$DH,BE$1,0),IF(LEFT(VLOOKUP($D53,'Visu totale'!$D:$DH,BE$1,0),1)="V",IF(BD53&gt;=INDEX('[1]Définition Maintenances'!$G:$G,MATCH($A53,'[1]Définition Maintenances'!$K:$K,0)),BD53,INDEX('[1]Définition Maintenances'!$G:$G,MATCH($A53,'[1]Définition Maintenances'!$K:$K,0))+BD53),BD53))</f>
        <v>318</v>
      </c>
      <c r="BF53" s="26">
        <f>IF(ISNUMBER(VLOOKUP($D53,'Visu totale'!$D:$DH,BF$1,0)),BE53-VLOOKUP($D53,'Visu totale'!$D:$DH,BF$1,0),IF(LEFT(VLOOKUP($D53,'Visu totale'!$D:$DH,BF$1,0),1)="V",IF(BE53&gt;=INDEX('[1]Définition Maintenances'!$G:$G,MATCH($A53,'[1]Définition Maintenances'!$K:$K,0)),BE53,INDEX('[1]Définition Maintenances'!$G:$G,MATCH($A53,'[1]Définition Maintenances'!$K:$K,0))+BE53),BE53))</f>
        <v>318</v>
      </c>
      <c r="BG53" s="26">
        <f>IF(ISNUMBER(VLOOKUP($D53,'Visu totale'!$D:$DH,BG$1,0)),BF53-VLOOKUP($D53,'Visu totale'!$D:$DH,BG$1,0),IF(LEFT(VLOOKUP($D53,'Visu totale'!$D:$DH,BG$1,0),1)="V",IF(BF53&gt;=INDEX('[1]Définition Maintenances'!$G:$G,MATCH($A53,'[1]Définition Maintenances'!$K:$K,0)),BF53,INDEX('[1]Définition Maintenances'!$G:$G,MATCH($A53,'[1]Définition Maintenances'!$K:$K,0))+BF53),BF53))</f>
        <v>318</v>
      </c>
      <c r="BH53" s="26">
        <f>IF(ISNUMBER(VLOOKUP($D53,'Visu totale'!$D:$DH,BH$1,0)),BG53-VLOOKUP($D53,'Visu totale'!$D:$DH,BH$1,0),IF(LEFT(VLOOKUP($D53,'Visu totale'!$D:$DH,BH$1,0),1)="V",IF(BG53&gt;=INDEX('[1]Définition Maintenances'!$G:$G,MATCH($A53,'[1]Définition Maintenances'!$K:$K,0)),BG53,INDEX('[1]Définition Maintenances'!$G:$G,MATCH($A53,'[1]Définition Maintenances'!$K:$K,0))+BG53),BG53))</f>
        <v>318</v>
      </c>
      <c r="BI53" s="26">
        <f>IF(ISNUMBER(VLOOKUP($D53,'Visu totale'!$D:$DH,BI$1,0)),BH53-VLOOKUP($D53,'Visu totale'!$D:$DH,BI$1,0),IF(LEFT(VLOOKUP($D53,'Visu totale'!$D:$DH,BI$1,0),1)="V",IF(BH53&gt;=INDEX('[1]Définition Maintenances'!$G:$G,MATCH($A53,'[1]Définition Maintenances'!$K:$K,0)),BH53,INDEX('[1]Définition Maintenances'!$G:$G,MATCH($A53,'[1]Définition Maintenances'!$K:$K,0))+BH53),BH53))</f>
        <v>318</v>
      </c>
      <c r="BJ53" s="26">
        <f>IF(ISNUMBER(VLOOKUP($D53,'Visu totale'!$D:$DH,BJ$1,0)),BI53-VLOOKUP($D53,'Visu totale'!$D:$DH,BJ$1,0),IF(LEFT(VLOOKUP($D53,'Visu totale'!$D:$DH,BJ$1,0),1)="V",IF(BI53&gt;=INDEX('[1]Définition Maintenances'!$G:$G,MATCH($A53,'[1]Définition Maintenances'!$K:$K,0)),BI53,INDEX('[1]Définition Maintenances'!$G:$G,MATCH($A53,'[1]Définition Maintenances'!$K:$K,0))+BI53),BI53))</f>
        <v>318</v>
      </c>
      <c r="BK53" s="26">
        <f>IF(ISNUMBER(VLOOKUP($D53,'Visu totale'!$D:$DH,BK$1,0)),BJ53-VLOOKUP($D53,'Visu totale'!$D:$DH,BK$1,0),IF(LEFT(VLOOKUP($D53,'Visu totale'!$D:$DH,BK$1,0),1)="V",IF(BJ53&gt;=INDEX('[1]Définition Maintenances'!$G:$G,MATCH($A53,'[1]Définition Maintenances'!$K:$K,0)),BJ53,INDEX('[1]Définition Maintenances'!$G:$G,MATCH($A53,'[1]Définition Maintenances'!$K:$K,0))+BJ53),BJ53))</f>
        <v>318</v>
      </c>
      <c r="BL53" s="26">
        <f>IF(ISNUMBER(VLOOKUP($D53,'Visu totale'!$D:$DH,BL$1,0)),BK53-VLOOKUP($D53,'Visu totale'!$D:$DH,BL$1,0),IF(LEFT(VLOOKUP($D53,'Visu totale'!$D:$DH,BL$1,0),1)="V",IF(BK53&gt;=INDEX('[1]Définition Maintenances'!$G:$G,MATCH($A53,'[1]Définition Maintenances'!$K:$K,0)),BK53,INDEX('[1]Définition Maintenances'!$G:$G,MATCH($A53,'[1]Définition Maintenances'!$K:$K,0))+BK53),BK53))</f>
        <v>318</v>
      </c>
      <c r="BM53" s="27">
        <f>IF(ISNUMBER(VLOOKUP($D53,'Visu totale'!$D:$DH,BM$1,0)),BL53-VLOOKUP($D53,'Visu totale'!$D:$DH,BM$1,0),IF(LEFT(VLOOKUP($D53,'Visu totale'!$D:$DH,BM$1,0),1)="V",IF(BL53&gt;=INDEX('[1]Définition Maintenances'!$G:$G,MATCH($A53,'[1]Définition Maintenances'!$K:$K,0)),BL53,INDEX('[1]Définition Maintenances'!$G:$G,MATCH($A53,'[1]Définition Maintenances'!$K:$K,0))+BL53),BL53))</f>
        <v>318</v>
      </c>
      <c r="BN53" s="25">
        <f>IF(ISNUMBER(VLOOKUP($D53,'Visu totale'!$D:$DH,BN$1,0)),BM53-VLOOKUP($D53,'Visu totale'!$D:$DH,BN$1,0),IF(LEFT(VLOOKUP($D53,'Visu totale'!$D:$DH,BN$1,0),1)="V",IF(BM53&gt;=INDEX('[1]Définition Maintenances'!$G:$G,MATCH($A53,'[1]Définition Maintenances'!$K:$K,0)),BM53,INDEX('[1]Définition Maintenances'!$G:$G,MATCH($A53,'[1]Définition Maintenances'!$K:$K,0))+BM53),BM53))</f>
        <v>318</v>
      </c>
      <c r="BO53" s="26">
        <f>IF(ISNUMBER(VLOOKUP($D53,'Visu totale'!$D:$DH,BO$1,0)),BN53-VLOOKUP($D53,'Visu totale'!$D:$DH,BO$1,0),IF(LEFT(VLOOKUP($D53,'Visu totale'!$D:$DH,BO$1,0),1)="V",IF(BN53&gt;=INDEX('[1]Définition Maintenances'!$G:$G,MATCH($A53,'[1]Définition Maintenances'!$K:$K,0)),BN53,INDEX('[1]Définition Maintenances'!$G:$G,MATCH($A53,'[1]Définition Maintenances'!$K:$K,0))+BN53),BN53))</f>
        <v>318</v>
      </c>
      <c r="BP53" s="26">
        <f>IF(ISNUMBER(VLOOKUP($D53,'Visu totale'!$D:$DH,BP$1,0)),BO53-VLOOKUP($D53,'Visu totale'!$D:$DH,BP$1,0),IF(LEFT(VLOOKUP($D53,'Visu totale'!$D:$DH,BP$1,0),1)="V",IF(BO53&gt;=INDEX('[1]Définition Maintenances'!$G:$G,MATCH($A53,'[1]Définition Maintenances'!$K:$K,0)),BO53,INDEX('[1]Définition Maintenances'!$G:$G,MATCH($A53,'[1]Définition Maintenances'!$K:$K,0))+BO53),BO53))</f>
        <v>318</v>
      </c>
      <c r="BQ53" s="26">
        <f>IF(ISNUMBER(VLOOKUP($D53,'Visu totale'!$D:$DH,BQ$1,0)),BP53-VLOOKUP($D53,'Visu totale'!$D:$DH,BQ$1,0),IF(LEFT(VLOOKUP($D53,'Visu totale'!$D:$DH,BQ$1,0),1)="V",IF(BP53&gt;=INDEX('[1]Définition Maintenances'!$G:$G,MATCH($A53,'[1]Définition Maintenances'!$K:$K,0)),BP53,INDEX('[1]Définition Maintenances'!$G:$G,MATCH($A53,'[1]Définition Maintenances'!$K:$K,0))+BP53),BP53))</f>
        <v>318</v>
      </c>
      <c r="BR53" s="26">
        <f>IF(ISNUMBER(VLOOKUP($D53,'Visu totale'!$D:$DH,BR$1,0)),BQ53-VLOOKUP($D53,'Visu totale'!$D:$DH,BR$1,0),IF(LEFT(VLOOKUP($D53,'Visu totale'!$D:$DH,BR$1,0),1)="V",IF(BQ53&gt;=INDEX('[1]Définition Maintenances'!$G:$G,MATCH($A53,'[1]Définition Maintenances'!$K:$K,0)),BQ53,INDEX('[1]Définition Maintenances'!$G:$G,MATCH($A53,'[1]Définition Maintenances'!$K:$K,0))+BQ53),BQ53))</f>
        <v>318</v>
      </c>
      <c r="BS53" s="26">
        <f>IF(ISNUMBER(VLOOKUP($D53,'Visu totale'!$D:$DH,BS$1,0)),BR53-VLOOKUP($D53,'Visu totale'!$D:$DH,BS$1,0),IF(LEFT(VLOOKUP($D53,'Visu totale'!$D:$DH,BS$1,0),1)="V",IF(BR53&gt;=INDEX('[1]Définition Maintenances'!$G:$G,MATCH($A53,'[1]Définition Maintenances'!$K:$K,0)),BR53,INDEX('[1]Définition Maintenances'!$G:$G,MATCH($A53,'[1]Définition Maintenances'!$K:$K,0))+BR53),BR53))</f>
        <v>318</v>
      </c>
      <c r="BT53" s="26">
        <f>IF(ISNUMBER(VLOOKUP($D53,'Visu totale'!$D:$DH,BT$1,0)),BS53-VLOOKUP($D53,'Visu totale'!$D:$DH,BT$1,0),IF(LEFT(VLOOKUP($D53,'Visu totale'!$D:$DH,BT$1,0),1)="V",IF(BS53&gt;=INDEX('[1]Définition Maintenances'!$G:$G,MATCH($A53,'[1]Définition Maintenances'!$K:$K,0)),BS53,INDEX('[1]Définition Maintenances'!$G:$G,MATCH($A53,'[1]Définition Maintenances'!$K:$K,0))+BS53),BS53))</f>
        <v>318</v>
      </c>
      <c r="BU53" s="26">
        <f>IF(ISNUMBER(VLOOKUP($D53,'Visu totale'!$D:$DH,BU$1,0)),BT53-VLOOKUP($D53,'Visu totale'!$D:$DH,BU$1,0),IF(LEFT(VLOOKUP($D53,'Visu totale'!$D:$DH,BU$1,0),1)="V",IF(BT53&gt;=INDEX('[1]Définition Maintenances'!$G:$G,MATCH($A53,'[1]Définition Maintenances'!$K:$K,0)),BT53,INDEX('[1]Définition Maintenances'!$G:$G,MATCH($A53,'[1]Définition Maintenances'!$K:$K,0))+BT53),BT53))</f>
        <v>318</v>
      </c>
      <c r="BV53" s="26">
        <f>IF(ISNUMBER(VLOOKUP($D53,'Visu totale'!$D:$DH,BV$1,0)),BU53-VLOOKUP($D53,'Visu totale'!$D:$DH,BV$1,0),IF(LEFT(VLOOKUP($D53,'Visu totale'!$D:$DH,BV$1,0),1)="V",IF(BU53&gt;=INDEX('[1]Définition Maintenances'!$G:$G,MATCH($A53,'[1]Définition Maintenances'!$K:$K,0)),BU53,INDEX('[1]Définition Maintenances'!$G:$G,MATCH($A53,'[1]Définition Maintenances'!$K:$K,0))+BU53),BU53))</f>
        <v>318</v>
      </c>
      <c r="BW53" s="26">
        <f>IF(ISNUMBER(VLOOKUP($D53,'Visu totale'!$D:$DH,BW$1,0)),BV53-VLOOKUP($D53,'Visu totale'!$D:$DH,BW$1,0),IF(LEFT(VLOOKUP($D53,'Visu totale'!$D:$DH,BW$1,0),1)="V",IF(BV53&gt;=INDEX('[1]Définition Maintenances'!$G:$G,MATCH($A53,'[1]Définition Maintenances'!$K:$K,0)),BV53,INDEX('[1]Définition Maintenances'!$G:$G,MATCH($A53,'[1]Définition Maintenances'!$K:$K,0))+BV53),BV53))</f>
        <v>318</v>
      </c>
      <c r="BX53" s="26">
        <f>IF(ISNUMBER(VLOOKUP($D53,'Visu totale'!$D:$DH,BX$1,0)),BW53-VLOOKUP($D53,'Visu totale'!$D:$DH,BX$1,0),IF(LEFT(VLOOKUP($D53,'Visu totale'!$D:$DH,BX$1,0),1)="V",IF(BW53&gt;=INDEX('[1]Définition Maintenances'!$G:$G,MATCH($A53,'[1]Définition Maintenances'!$K:$K,0)),BW53,INDEX('[1]Définition Maintenances'!$G:$G,MATCH($A53,'[1]Définition Maintenances'!$K:$K,0))+BW53),BW53))</f>
        <v>318</v>
      </c>
      <c r="BY53" s="27">
        <f>IF(ISNUMBER(VLOOKUP($D53,'Visu totale'!$D:$DH,BY$1,0)),BX53-VLOOKUP($D53,'Visu totale'!$D:$DH,BY$1,0),IF(LEFT(VLOOKUP($D53,'Visu totale'!$D:$DH,BY$1,0),1)="V",IF(BX53&gt;=INDEX('[1]Définition Maintenances'!$G:$G,MATCH($A53,'[1]Définition Maintenances'!$K:$K,0)),BX53,INDEX('[1]Définition Maintenances'!$G:$G,MATCH($A53,'[1]Définition Maintenances'!$K:$K,0))+BX53),BX53))</f>
        <v>318</v>
      </c>
      <c r="BZ53" s="25">
        <f>IF(ISNUMBER(VLOOKUP($D53,'Visu totale'!$D:$DH,BZ$1,0)),BY53-VLOOKUP($D53,'Visu totale'!$D:$DH,BZ$1,0),IF(LEFT(VLOOKUP($D53,'Visu totale'!$D:$DH,BZ$1,0),1)="V",IF(BY53&gt;=INDEX('[1]Définition Maintenances'!$G:$G,MATCH($A53,'[1]Définition Maintenances'!$K:$K,0)),BY53,INDEX('[1]Définition Maintenances'!$G:$G,MATCH($A53,'[1]Définition Maintenances'!$K:$K,0))+BY53),BY53))</f>
        <v>318</v>
      </c>
      <c r="CA53" s="26">
        <f>IF(ISNUMBER(VLOOKUP($D53,'Visu totale'!$D:$DH,CA$1,0)),BZ53-VLOOKUP($D53,'Visu totale'!$D:$DH,CA$1,0),IF(LEFT(VLOOKUP($D53,'Visu totale'!$D:$DH,CA$1,0),1)="V",IF(BZ53&gt;=INDEX('[1]Définition Maintenances'!$G:$G,MATCH($A53,'[1]Définition Maintenances'!$K:$K,0)),BZ53,INDEX('[1]Définition Maintenances'!$G:$G,MATCH($A53,'[1]Définition Maintenances'!$K:$K,0))+BZ53),BZ53))</f>
        <v>318</v>
      </c>
      <c r="CB53" s="26">
        <f>IF(ISNUMBER(VLOOKUP($D53,'Visu totale'!$D:$DH,CB$1,0)),CA53-VLOOKUP($D53,'Visu totale'!$D:$DH,CB$1,0),IF(LEFT(VLOOKUP($D53,'Visu totale'!$D:$DH,CB$1,0),1)="V",IF(CA53&gt;=INDEX('[1]Définition Maintenances'!$G:$G,MATCH($A53,'[1]Définition Maintenances'!$K:$K,0)),CA53,INDEX('[1]Définition Maintenances'!$G:$G,MATCH($A53,'[1]Définition Maintenances'!$K:$K,0))+CA53),CA53))</f>
        <v>318</v>
      </c>
      <c r="CC53" s="26">
        <f>IF(ISNUMBER(VLOOKUP($D53,'Visu totale'!$D:$DH,CC$1,0)),CB53-VLOOKUP($D53,'Visu totale'!$D:$DH,CC$1,0),IF(LEFT(VLOOKUP($D53,'Visu totale'!$D:$DH,CC$1,0),1)="V",IF(CB53&gt;=INDEX('[1]Définition Maintenances'!$G:$G,MATCH($A53,'[1]Définition Maintenances'!$K:$K,0)),CB53,INDEX('[1]Définition Maintenances'!$G:$G,MATCH($A53,'[1]Définition Maintenances'!$K:$K,0))+CB53),CB53))</f>
        <v>318</v>
      </c>
      <c r="CD53" s="26">
        <f>IF(ISNUMBER(VLOOKUP($D53,'Visu totale'!$D:$DH,CD$1,0)),CC53-VLOOKUP($D53,'Visu totale'!$D:$DH,CD$1,0),IF(LEFT(VLOOKUP($D53,'Visu totale'!$D:$DH,CD$1,0),1)="V",IF(CC53&gt;=INDEX('[1]Définition Maintenances'!$G:$G,MATCH($A53,'[1]Définition Maintenances'!$K:$K,0)),CC53,INDEX('[1]Définition Maintenances'!$G:$G,MATCH($A53,'[1]Définition Maintenances'!$K:$K,0))+CC53),CC53))</f>
        <v>318</v>
      </c>
      <c r="CE53" s="26">
        <f>IF(ISNUMBER(VLOOKUP($D53,'Visu totale'!$D:$DH,CE$1,0)),CD53-VLOOKUP($D53,'Visu totale'!$D:$DH,CE$1,0),IF(LEFT(VLOOKUP($D53,'Visu totale'!$D:$DH,CE$1,0),1)="V",IF(CD53&gt;=INDEX('[1]Définition Maintenances'!$G:$G,MATCH($A53,'[1]Définition Maintenances'!$K:$K,0)),CD53,INDEX('[1]Définition Maintenances'!$G:$G,MATCH($A53,'[1]Définition Maintenances'!$K:$K,0))+CD53),CD53))</f>
        <v>318</v>
      </c>
      <c r="CF53" s="26">
        <f>IF(ISNUMBER(VLOOKUP($D53,'Visu totale'!$D:$DH,CF$1,0)),CE53-VLOOKUP($D53,'Visu totale'!$D:$DH,CF$1,0),IF(LEFT(VLOOKUP($D53,'Visu totale'!$D:$DH,CF$1,0),1)="V",IF(CE53&gt;=INDEX('[1]Définition Maintenances'!$G:$G,MATCH($A53,'[1]Définition Maintenances'!$K:$K,0)),CE53,INDEX('[1]Définition Maintenances'!$G:$G,MATCH($A53,'[1]Définition Maintenances'!$K:$K,0))+CE53),CE53))</f>
        <v>318</v>
      </c>
      <c r="CG53" s="26">
        <f>IF(ISNUMBER(VLOOKUP($D53,'Visu totale'!$D:$DH,CG$1,0)),CF53-VLOOKUP($D53,'Visu totale'!$D:$DH,CG$1,0),IF(LEFT(VLOOKUP($D53,'Visu totale'!$D:$DH,CG$1,0),1)="V",IF(CF53&gt;=INDEX('[1]Définition Maintenances'!$G:$G,MATCH($A53,'[1]Définition Maintenances'!$K:$K,0)),CF53,INDEX('[1]Définition Maintenances'!$G:$G,MATCH($A53,'[1]Définition Maintenances'!$K:$K,0))+CF53),CF53))</f>
        <v>318</v>
      </c>
      <c r="CH53" s="26">
        <f>IF(ISNUMBER(VLOOKUP($D53,'Visu totale'!$D:$DH,CH$1,0)),CG53-VLOOKUP($D53,'Visu totale'!$D:$DH,CH$1,0),IF(LEFT(VLOOKUP($D53,'Visu totale'!$D:$DH,CH$1,0),1)="V",IF(CG53&gt;=INDEX('[1]Définition Maintenances'!$G:$G,MATCH($A53,'[1]Définition Maintenances'!$K:$K,0)),CG53,INDEX('[1]Définition Maintenances'!$G:$G,MATCH($A53,'[1]Définition Maintenances'!$K:$K,0))+CG53),CG53))</f>
        <v>318</v>
      </c>
      <c r="CI53" s="26">
        <f>IF(ISNUMBER(VLOOKUP($D53,'Visu totale'!$D:$DH,CI$1,0)),CH53-VLOOKUP($D53,'Visu totale'!$D:$DH,CI$1,0),IF(LEFT(VLOOKUP($D53,'Visu totale'!$D:$DH,CI$1,0),1)="V",IF(CH53&gt;=INDEX('[1]Définition Maintenances'!$G:$G,MATCH($A53,'[1]Définition Maintenances'!$K:$K,0)),CH53,INDEX('[1]Définition Maintenances'!$G:$G,MATCH($A53,'[1]Définition Maintenances'!$K:$K,0))+CH53),CH53))</f>
        <v>318</v>
      </c>
      <c r="CJ53" s="26">
        <f>IF(ISNUMBER(VLOOKUP($D53,'Visu totale'!$D:$DH,CJ$1,0)),CI53-VLOOKUP($D53,'Visu totale'!$D:$DH,CJ$1,0),IF(LEFT(VLOOKUP($D53,'Visu totale'!$D:$DH,CJ$1,0),1)="V",IF(CI53&gt;=INDEX('[1]Définition Maintenances'!$G:$G,MATCH($A53,'[1]Définition Maintenances'!$K:$K,0)),CI53,INDEX('[1]Définition Maintenances'!$G:$G,MATCH($A53,'[1]Définition Maintenances'!$K:$K,0))+CI53),CI53))</f>
        <v>318</v>
      </c>
      <c r="CK53" s="27">
        <f>IF(ISNUMBER(VLOOKUP($D53,'Visu totale'!$D:$DH,CK$1,0)),CJ53-VLOOKUP($D53,'Visu totale'!$D:$DH,CK$1,0),IF(LEFT(VLOOKUP($D53,'Visu totale'!$D:$DH,CK$1,0),1)="V",IF(CJ53&gt;=INDEX('[1]Définition Maintenances'!$G:$G,MATCH($A53,'[1]Définition Maintenances'!$K:$K,0)),CJ53,INDEX('[1]Définition Maintenances'!$G:$G,MATCH($A53,'[1]Définition Maintenances'!$K:$K,0))+CJ53),CJ53))</f>
        <v>318</v>
      </c>
      <c r="CL53" s="25">
        <f>IF(ISNUMBER(VLOOKUP($D53,'Visu totale'!$D:$DH,CL$1,0)),CK53-VLOOKUP($D53,'Visu totale'!$D:$DH,CL$1,0),IF(LEFT(VLOOKUP($D53,'Visu totale'!$D:$DH,CL$1,0),1)="V",IF(CK53&gt;=INDEX('[1]Définition Maintenances'!$G:$G,MATCH($A53,'[1]Définition Maintenances'!$K:$K,0)),CK53,INDEX('[1]Définition Maintenances'!$G:$G,MATCH($A53,'[1]Définition Maintenances'!$K:$K,0))+CK53),CK53))</f>
        <v>318</v>
      </c>
      <c r="CM53" s="26">
        <f>IF(ISNUMBER(VLOOKUP($D53,'Visu totale'!$D:$DH,CM$1,0)),CL53-VLOOKUP($D53,'Visu totale'!$D:$DH,CM$1,0),IF(LEFT(VLOOKUP($D53,'Visu totale'!$D:$DH,CM$1,0),1)="V",IF(CL53&gt;=INDEX('[1]Définition Maintenances'!$G:$G,MATCH($A53,'[1]Définition Maintenances'!$K:$K,0)),CL53,INDEX('[1]Définition Maintenances'!$G:$G,MATCH($A53,'[1]Définition Maintenances'!$K:$K,0))+CL53),CL53))</f>
        <v>318</v>
      </c>
      <c r="CN53" s="26">
        <f>IF(ISNUMBER(VLOOKUP($D53,'Visu totale'!$D:$DH,CN$1,0)),CM53-VLOOKUP($D53,'Visu totale'!$D:$DH,CN$1,0),IF(LEFT(VLOOKUP($D53,'Visu totale'!$D:$DH,CN$1,0),1)="V",IF(CM53&gt;=INDEX('[1]Définition Maintenances'!$G:$G,MATCH($A53,'[1]Définition Maintenances'!$K:$K,0)),CM53,INDEX('[1]Définition Maintenances'!$G:$G,MATCH($A53,'[1]Définition Maintenances'!$K:$K,0))+CM53),CM53))</f>
        <v>318</v>
      </c>
      <c r="CO53" s="26">
        <f>IF(ISNUMBER(VLOOKUP($D53,'Visu totale'!$D:$DH,CO$1,0)),CN53-VLOOKUP($D53,'Visu totale'!$D:$DH,CO$1,0),IF(LEFT(VLOOKUP($D53,'Visu totale'!$D:$DH,CO$1,0),1)="V",IF(CN53&gt;=INDEX('[1]Définition Maintenances'!$G:$G,MATCH($A53,'[1]Définition Maintenances'!$K:$K,0)),CN53,INDEX('[1]Définition Maintenances'!$G:$G,MATCH($A53,'[1]Définition Maintenances'!$K:$K,0))+CN53),CN53))</f>
        <v>318</v>
      </c>
      <c r="CP53" s="26">
        <f>IF(ISNUMBER(VLOOKUP($D53,'Visu totale'!$D:$DH,CP$1,0)),CO53-VLOOKUP($D53,'Visu totale'!$D:$DH,CP$1,0),IF(LEFT(VLOOKUP($D53,'Visu totale'!$D:$DH,CP$1,0),1)="V",IF(CO53&gt;=INDEX('[1]Définition Maintenances'!$G:$G,MATCH($A53,'[1]Définition Maintenances'!$K:$K,0)),CO53,INDEX('[1]Définition Maintenances'!$G:$G,MATCH($A53,'[1]Définition Maintenances'!$K:$K,0))+CO53),CO53))</f>
        <v>318</v>
      </c>
      <c r="CQ53" s="26">
        <f>IF(ISNUMBER(VLOOKUP($D53,'Visu totale'!$D:$DH,CQ$1,0)),CP53-VLOOKUP($D53,'Visu totale'!$D:$DH,CQ$1,0),IF(LEFT(VLOOKUP($D53,'Visu totale'!$D:$DH,CQ$1,0),1)="V",IF(CP53&gt;=INDEX('[1]Définition Maintenances'!$G:$G,MATCH($A53,'[1]Définition Maintenances'!$K:$K,0)),CP53,INDEX('[1]Définition Maintenances'!$G:$G,MATCH($A53,'[1]Définition Maintenances'!$K:$K,0))+CP53),CP53))</f>
        <v>318</v>
      </c>
      <c r="CR53" s="26">
        <f>IF(ISNUMBER(VLOOKUP($D53,'Visu totale'!$D:$DH,CR$1,0)),CQ53-VLOOKUP($D53,'Visu totale'!$D:$DH,CR$1,0),IF(LEFT(VLOOKUP($D53,'Visu totale'!$D:$DH,CR$1,0),1)="V",IF(CQ53&gt;=INDEX('[1]Définition Maintenances'!$G:$G,MATCH($A53,'[1]Définition Maintenances'!$K:$K,0)),CQ53,INDEX('[1]Définition Maintenances'!$G:$G,MATCH($A53,'[1]Définition Maintenances'!$K:$K,0))+CQ53),CQ53))</f>
        <v>318</v>
      </c>
      <c r="CS53" s="26">
        <f>IF(ISNUMBER(VLOOKUP($D53,'Visu totale'!$D:$DH,CS$1,0)),CR53-VLOOKUP($D53,'Visu totale'!$D:$DH,CS$1,0),IF(LEFT(VLOOKUP($D53,'Visu totale'!$D:$DH,CS$1,0),1)="V",IF(CR53&gt;=INDEX('[1]Définition Maintenances'!$G:$G,MATCH($A53,'[1]Définition Maintenances'!$K:$K,0)),CR53,INDEX('[1]Définition Maintenances'!$G:$G,MATCH($A53,'[1]Définition Maintenances'!$K:$K,0))+CR53),CR53))</f>
        <v>318</v>
      </c>
      <c r="CT53" s="26">
        <f>IF(ISNUMBER(VLOOKUP($D53,'Visu totale'!$D:$DH,CT$1,0)),CS53-VLOOKUP($D53,'Visu totale'!$D:$DH,CT$1,0),IF(LEFT(VLOOKUP($D53,'Visu totale'!$D:$DH,CT$1,0),1)="V",IF(CS53&gt;=INDEX('[1]Définition Maintenances'!$G:$G,MATCH($A53,'[1]Définition Maintenances'!$K:$K,0)),CS53,INDEX('[1]Définition Maintenances'!$G:$G,MATCH($A53,'[1]Définition Maintenances'!$K:$K,0))+CS53),CS53))</f>
        <v>318</v>
      </c>
      <c r="CU53" s="26">
        <f>IF(ISNUMBER(VLOOKUP($D53,'Visu totale'!$D:$DH,CU$1,0)),CT53-VLOOKUP($D53,'Visu totale'!$D:$DH,CU$1,0),IF(LEFT(VLOOKUP($D53,'Visu totale'!$D:$DH,CU$1,0),1)="V",IF(CT53&gt;=INDEX('[1]Définition Maintenances'!$G:$G,MATCH($A53,'[1]Définition Maintenances'!$K:$K,0)),CT53,INDEX('[1]Définition Maintenances'!$G:$G,MATCH($A53,'[1]Définition Maintenances'!$K:$K,0))+CT53),CT53))</f>
        <v>318</v>
      </c>
      <c r="CV53" s="26">
        <f>IF(ISNUMBER(VLOOKUP($D53,'Visu totale'!$D:$DH,CV$1,0)),CU53-VLOOKUP($D53,'Visu totale'!$D:$DH,CV$1,0),IF(LEFT(VLOOKUP($D53,'Visu totale'!$D:$DH,CV$1,0),1)="V",IF(CU53&gt;=INDEX('[1]Définition Maintenances'!$G:$G,MATCH($A53,'[1]Définition Maintenances'!$K:$K,0)),CU53,INDEX('[1]Définition Maintenances'!$G:$G,MATCH($A53,'[1]Définition Maintenances'!$K:$K,0))+CU53),CU53))</f>
        <v>318</v>
      </c>
      <c r="CW53" s="27">
        <f>IF(ISNUMBER(VLOOKUP($D53,'Visu totale'!$D:$DH,CW$1,0)),CV53-VLOOKUP($D53,'Visu totale'!$D:$DH,CW$1,0),IF(LEFT(VLOOKUP($D53,'Visu totale'!$D:$DH,CW$1,0),1)="V",IF(CV53&gt;=INDEX('[1]Définition Maintenances'!$G:$G,MATCH($A53,'[1]Définition Maintenances'!$K:$K,0)),CV53,INDEX('[1]Définition Maintenances'!$G:$G,MATCH($A53,'[1]Définition Maintenances'!$K:$K,0))+CV53),CV53))</f>
        <v>318</v>
      </c>
      <c r="CX53" s="25">
        <f>IF(ISNUMBER(VLOOKUP($D53,'Visu totale'!$D:$DH,CX$1,0)),CW53-VLOOKUP($D53,'Visu totale'!$D:$DH,CX$1,0),IF(LEFT(VLOOKUP($D53,'Visu totale'!$D:$DH,CX$1,0),1)="V",IF(CW53&gt;=INDEX('[1]Définition Maintenances'!$G:$G,MATCH($A53,'[1]Définition Maintenances'!$K:$K,0)),CW53,INDEX('[1]Définition Maintenances'!$G:$G,MATCH($A53,'[1]Définition Maintenances'!$K:$K,0))+CW53),CW53))</f>
        <v>318</v>
      </c>
      <c r="CY53" s="26">
        <f>IF(ISNUMBER(VLOOKUP($D53,'Visu totale'!$D:$DH,CY$1,0)),CX53-VLOOKUP($D53,'Visu totale'!$D:$DH,CY$1,0),IF(LEFT(VLOOKUP($D53,'Visu totale'!$D:$DH,CY$1,0),1)="V",IF(CX53&gt;=INDEX('[1]Définition Maintenances'!$G:$G,MATCH($A53,'[1]Définition Maintenances'!$K:$K,0)),CX53,INDEX('[1]Définition Maintenances'!$G:$G,MATCH($A53,'[1]Définition Maintenances'!$K:$K,0))+CX53),CX53))</f>
        <v>318</v>
      </c>
      <c r="CZ53" s="26">
        <f>IF(ISNUMBER(VLOOKUP($D53,'Visu totale'!$D:$DH,CZ$1,0)),CY53-VLOOKUP($D53,'Visu totale'!$D:$DH,CZ$1,0),IF(LEFT(VLOOKUP($D53,'Visu totale'!$D:$DH,CZ$1,0),1)="V",IF(CY53&gt;=INDEX('[1]Définition Maintenances'!$G:$G,MATCH($A53,'[1]Définition Maintenances'!$K:$K,0)),CY53,INDEX('[1]Définition Maintenances'!$G:$G,MATCH($A53,'[1]Définition Maintenances'!$K:$K,0))+CY53),CY53))</f>
        <v>318</v>
      </c>
      <c r="DA53" s="26">
        <f>IF(ISNUMBER(VLOOKUP($D53,'Visu totale'!$D:$DH,DA$1,0)),CZ53-VLOOKUP($D53,'Visu totale'!$D:$DH,DA$1,0),IF(LEFT(VLOOKUP($D53,'Visu totale'!$D:$DH,DA$1,0),1)="V",IF(CZ53&gt;=INDEX('[1]Définition Maintenances'!$G:$G,MATCH($A53,'[1]Définition Maintenances'!$K:$K,0)),CZ53,INDEX('[1]Définition Maintenances'!$G:$G,MATCH($A53,'[1]Définition Maintenances'!$K:$K,0))+CZ53),CZ53))</f>
        <v>318</v>
      </c>
      <c r="DB53" s="26">
        <f>IF(ISNUMBER(VLOOKUP($D53,'Visu totale'!$D:$DH,DB$1,0)),DA53-VLOOKUP($D53,'Visu totale'!$D:$DH,DB$1,0),IF(LEFT(VLOOKUP($D53,'Visu totale'!$D:$DH,DB$1,0),1)="V",IF(DA53&gt;=INDEX('[1]Définition Maintenances'!$G:$G,MATCH($A53,'[1]Définition Maintenances'!$K:$K,0)),DA53,INDEX('[1]Définition Maintenances'!$G:$G,MATCH($A53,'[1]Définition Maintenances'!$K:$K,0))+DA53),DA53))</f>
        <v>318</v>
      </c>
      <c r="DC53" s="26">
        <f>IF(ISNUMBER(VLOOKUP($D53,'Visu totale'!$D:$DH,DC$1,0)),DB53-VLOOKUP($D53,'Visu totale'!$D:$DH,DC$1,0),IF(LEFT(VLOOKUP($D53,'Visu totale'!$D:$DH,DC$1,0),1)="V",IF(DB53&gt;=INDEX('[1]Définition Maintenances'!$G:$G,MATCH($A53,'[1]Définition Maintenances'!$K:$K,0)),DB53,INDEX('[1]Définition Maintenances'!$G:$G,MATCH($A53,'[1]Définition Maintenances'!$K:$K,0))+DB53),DB53))</f>
        <v>318</v>
      </c>
      <c r="DD53" s="26">
        <f>IF(ISNUMBER(VLOOKUP($D53,'Visu totale'!$D:$DH,DD$1,0)),DC53-VLOOKUP($D53,'Visu totale'!$D:$DH,DD$1,0),IF(LEFT(VLOOKUP($D53,'Visu totale'!$D:$DH,DD$1,0),1)="V",IF(DC53&gt;=INDEX('[1]Définition Maintenances'!$G:$G,MATCH($A53,'[1]Définition Maintenances'!$K:$K,0)),DC53,INDEX('[1]Définition Maintenances'!$G:$G,MATCH($A53,'[1]Définition Maintenances'!$K:$K,0))+DC53),DC53))</f>
        <v>318</v>
      </c>
      <c r="DE53" s="26">
        <f>IF(ISNUMBER(VLOOKUP($D53,'Visu totale'!$D:$DH,DE$1,0)),DD53-VLOOKUP($D53,'Visu totale'!$D:$DH,DE$1,0),IF(LEFT(VLOOKUP($D53,'Visu totale'!$D:$DH,DE$1,0),1)="V",IF(DD53&gt;=INDEX('[1]Définition Maintenances'!$G:$G,MATCH($A53,'[1]Définition Maintenances'!$K:$K,0)),DD53,INDEX('[1]Définition Maintenances'!$G:$G,MATCH($A53,'[1]Définition Maintenances'!$K:$K,0))+DD53),DD53))</f>
        <v>318</v>
      </c>
      <c r="DF53" s="26">
        <f>IF(ISNUMBER(VLOOKUP($D53,'Visu totale'!$D:$DH,DF$1,0)),DE53-VLOOKUP($D53,'Visu totale'!$D:$DH,DF$1,0),IF(LEFT(VLOOKUP($D53,'Visu totale'!$D:$DH,DF$1,0),1)="V",IF(DE53&gt;=INDEX('[1]Définition Maintenances'!$G:$G,MATCH($A53,'[1]Définition Maintenances'!$K:$K,0)),DE53,INDEX('[1]Définition Maintenances'!$G:$G,MATCH($A53,'[1]Définition Maintenances'!$K:$K,0))+DE53),DE53))</f>
        <v>318</v>
      </c>
      <c r="DG53" s="26">
        <f>IF(ISNUMBER(VLOOKUP($D53,'Visu totale'!$D:$DH,DG$1,0)),DF53-VLOOKUP($D53,'Visu totale'!$D:$DH,DG$1,0),IF(LEFT(VLOOKUP($D53,'Visu totale'!$D:$DH,DG$1,0),1)="V",IF(DF53&gt;=INDEX('[1]Définition Maintenances'!$G:$G,MATCH($A53,'[1]Définition Maintenances'!$K:$K,0)),DF53,INDEX('[1]Définition Maintenances'!$G:$G,MATCH($A53,'[1]Définition Maintenances'!$K:$K,0))+DF53),DF53))</f>
        <v>318</v>
      </c>
      <c r="DH53" s="26">
        <f>IF(ISNUMBER(VLOOKUP($D53,'Visu totale'!$D:$DH,DH$1,0)),DG53-VLOOKUP($D53,'Visu totale'!$D:$DH,DH$1,0),IF(LEFT(VLOOKUP($D53,'Visu totale'!$D:$DH,DH$1,0),1)="V",IF(DG53&gt;=INDEX('[1]Définition Maintenances'!$G:$G,MATCH($A53,'[1]Définition Maintenances'!$K:$K,0)),DG53,INDEX('[1]Définition Maintenances'!$G:$G,MATCH($A53,'[1]Définition Maintenances'!$K:$K,0))+DG53),DG53))</f>
        <v>318</v>
      </c>
      <c r="DI53" s="27">
        <f>IF(ISNUMBER(VLOOKUP($D53,'Visu totale'!$D:$DH,DI$1,0)),DH53-VLOOKUP($D53,'Visu totale'!$D:$DH,DI$1,0),IF(LEFT(VLOOKUP($D53,'Visu totale'!$D:$DH,DI$1,0),1)="V",IF(DH53&gt;=INDEX('[1]Définition Maintenances'!$G:$G,MATCH($A53,'[1]Définition Maintenances'!$K:$K,0)),DH53,INDEX('[1]Définition Maintenances'!$G:$G,MATCH($A53,'[1]Définition Maintenances'!$K:$K,0))+DH53),DH53))</f>
        <v>318</v>
      </c>
    </row>
    <row r="54" spans="1:113" x14ac:dyDescent="0.25">
      <c r="A54" s="13" t="str">
        <f t="shared" si="1"/>
        <v>V10D</v>
      </c>
      <c r="B54" s="13" t="str">
        <f>VLOOKUP(D54,'[1]Avions (Potentiels)'!$B$2:$H$128,7,FALSE)</f>
        <v>V10</v>
      </c>
      <c r="C54" s="13"/>
      <c r="D54" s="16" t="s">
        <v>57</v>
      </c>
      <c r="E54" s="13">
        <f>IFERROR(VALUE(SUBSTITUTE(VLOOKUP(D54,'[1]Avions (Potentiels)'!$B:$E,4,0),".",",")),VALUE(VLOOKUP(D54,'[1]Avions (Potentiels)'!$B:$E,4,0)))</f>
        <v>1200</v>
      </c>
      <c r="F54" s="25">
        <f>IF(ISNUMBER(VLOOKUP($D54,'Visu totale'!$D:$DH,F$1,0)),E54-VLOOKUP($D54,'Visu totale'!$D:$DH,F$1,0),IF(LEFT(VLOOKUP($D54,'Visu totale'!$D:$DH,F$1,0),1)="V",IF(E54&gt;=INDEX('[1]Définition Maintenances'!$G:$G,MATCH($A54,'[1]Définition Maintenances'!$K:$K,0)),E54,INDEX('[1]Définition Maintenances'!$G:$G,MATCH($A54,'[1]Définition Maintenances'!$K:$K,0))+E54),E54))</f>
        <v>1200</v>
      </c>
      <c r="G54" s="26">
        <f>IF(ISNUMBER(VLOOKUP($D54,'Visu totale'!$D:$DH,G$1,0)),F54-VLOOKUP($D54,'Visu totale'!$D:$DH,G$1,0),IF(LEFT(VLOOKUP($D54,'Visu totale'!$D:$DH,G$1,0),1)="V",IF(F54&gt;=INDEX('[1]Définition Maintenances'!$G:$G,MATCH($A54,'[1]Définition Maintenances'!$K:$K,0)),F54,INDEX('[1]Définition Maintenances'!$G:$G,MATCH($A54,'[1]Définition Maintenances'!$K:$K,0))+F54),F54))</f>
        <v>1200</v>
      </c>
      <c r="H54" s="26">
        <f>IF(ISNUMBER(VLOOKUP($D54,'Visu totale'!$D:$DH,H$1,0)),G54-VLOOKUP($D54,'Visu totale'!$D:$DH,H$1,0),IF(LEFT(VLOOKUP($D54,'Visu totale'!$D:$DH,H$1,0),1)="V",IF(G54&gt;=INDEX('[1]Définition Maintenances'!$G:$G,MATCH($A54,'[1]Définition Maintenances'!$K:$K,0)),G54,INDEX('[1]Définition Maintenances'!$G:$G,MATCH($A54,'[1]Définition Maintenances'!$K:$K,0))+G54),G54))</f>
        <v>1200</v>
      </c>
      <c r="I54" s="26">
        <f>IF(ISNUMBER(VLOOKUP($D54,'Visu totale'!$D:$DH,I$1,0)),H54-VLOOKUP($D54,'Visu totale'!$D:$DH,I$1,0),IF(LEFT(VLOOKUP($D54,'Visu totale'!$D:$DH,I$1,0),1)="V",IF(H54&gt;=INDEX('[1]Définition Maintenances'!$G:$G,MATCH($A54,'[1]Définition Maintenances'!$K:$K,0)),H54,INDEX('[1]Définition Maintenances'!$G:$G,MATCH($A54,'[1]Définition Maintenances'!$K:$K,0))+H54),H54))</f>
        <v>1200</v>
      </c>
      <c r="J54" s="26">
        <f>IF(ISNUMBER(VLOOKUP($D54,'Visu totale'!$D:$DH,J$1,0)),I54-VLOOKUP($D54,'Visu totale'!$D:$DH,J$1,0),IF(LEFT(VLOOKUP($D54,'Visu totale'!$D:$DH,J$1,0),1)="V",IF(I54&gt;=INDEX('[1]Définition Maintenances'!$G:$G,MATCH($A54,'[1]Définition Maintenances'!$K:$K,0)),I54,INDEX('[1]Définition Maintenances'!$G:$G,MATCH($A54,'[1]Définition Maintenances'!$K:$K,0))+I54),I54))</f>
        <v>1200</v>
      </c>
      <c r="K54" s="26">
        <f>IF(ISNUMBER(VLOOKUP($D54,'Visu totale'!$D:$DH,K$1,0)),J54-VLOOKUP($D54,'Visu totale'!$D:$DH,K$1,0),IF(LEFT(VLOOKUP($D54,'Visu totale'!$D:$DH,K$1,0),1)="V",IF(J54&gt;=INDEX('[1]Définition Maintenances'!$G:$G,MATCH($A54,'[1]Définition Maintenances'!$K:$K,0)),J54,INDEX('[1]Définition Maintenances'!$G:$G,MATCH($A54,'[1]Définition Maintenances'!$K:$K,0))+J54),J54))</f>
        <v>1200</v>
      </c>
      <c r="L54" s="26">
        <f>IF(ISNUMBER(VLOOKUP($D54,'Visu totale'!$D:$DH,L$1,0)),K54-VLOOKUP($D54,'Visu totale'!$D:$DH,L$1,0),IF(LEFT(VLOOKUP($D54,'Visu totale'!$D:$DH,L$1,0),1)="V",IF(K54&gt;=INDEX('[1]Définition Maintenances'!$G:$G,MATCH($A54,'[1]Définition Maintenances'!$K:$K,0)),K54,INDEX('[1]Définition Maintenances'!$G:$G,MATCH($A54,'[1]Définition Maintenances'!$K:$K,0))+K54),K54))</f>
        <v>1200</v>
      </c>
      <c r="M54" s="26">
        <f>IF(ISNUMBER(VLOOKUP($D54,'Visu totale'!$D:$DH,M$1,0)),L54-VLOOKUP($D54,'Visu totale'!$D:$DH,M$1,0),IF(LEFT(VLOOKUP($D54,'Visu totale'!$D:$DH,M$1,0),1)="V",IF(L54&gt;=INDEX('[1]Définition Maintenances'!$G:$G,MATCH($A54,'[1]Définition Maintenances'!$K:$K,0)),L54,INDEX('[1]Définition Maintenances'!$G:$G,MATCH($A54,'[1]Définition Maintenances'!$K:$K,0))+L54),L54))</f>
        <v>1200</v>
      </c>
      <c r="N54" s="26">
        <f>IF(ISNUMBER(VLOOKUP($D54,'Visu totale'!$D:$DH,N$1,0)),M54-VLOOKUP($D54,'Visu totale'!$D:$DH,N$1,0),IF(LEFT(VLOOKUP($D54,'Visu totale'!$D:$DH,N$1,0),1)="V",IF(M54&gt;=INDEX('[1]Définition Maintenances'!$G:$G,MATCH($A54,'[1]Définition Maintenances'!$K:$K,0)),M54,INDEX('[1]Définition Maintenances'!$G:$G,MATCH($A54,'[1]Définition Maintenances'!$K:$K,0))+M54),M54))</f>
        <v>1200</v>
      </c>
      <c r="O54" s="26">
        <f>IF(ISNUMBER(VLOOKUP($D54,'Visu totale'!$D:$DH,O$1,0)),N54-VLOOKUP($D54,'Visu totale'!$D:$DH,O$1,0),IF(LEFT(VLOOKUP($D54,'Visu totale'!$D:$DH,O$1,0),1)="V",IF(N54&gt;=INDEX('[1]Définition Maintenances'!$G:$G,MATCH($A54,'[1]Définition Maintenances'!$K:$K,0)),N54,INDEX('[1]Définition Maintenances'!$G:$G,MATCH($A54,'[1]Définition Maintenances'!$K:$K,0))+N54),N54))</f>
        <v>1200</v>
      </c>
      <c r="P54" s="26">
        <f>IF(ISNUMBER(VLOOKUP($D54,'Visu totale'!$D:$DH,P$1,0)),O54-VLOOKUP($D54,'Visu totale'!$D:$DH,P$1,0),IF(LEFT(VLOOKUP($D54,'Visu totale'!$D:$DH,P$1,0),1)="V",IF(O54&gt;=INDEX('[1]Définition Maintenances'!$G:$G,MATCH($A54,'[1]Définition Maintenances'!$K:$K,0)),O54,INDEX('[1]Définition Maintenances'!$G:$G,MATCH($A54,'[1]Définition Maintenances'!$K:$K,0))+O54),O54))</f>
        <v>1200</v>
      </c>
      <c r="Q54" s="27">
        <f>IF(ISNUMBER(VLOOKUP($D54,'Visu totale'!$D:$DH,Q$1,0)),P54-VLOOKUP($D54,'Visu totale'!$D:$DH,Q$1,0),IF(LEFT(VLOOKUP($D54,'Visu totale'!$D:$DH,Q$1,0),1)="V",IF(P54&gt;=INDEX('[1]Définition Maintenances'!$G:$G,MATCH($A54,'[1]Définition Maintenances'!$K:$K,0)),P54,INDEX('[1]Définition Maintenances'!$G:$G,MATCH($A54,'[1]Définition Maintenances'!$K:$K,0))+P54),P54))</f>
        <v>1200</v>
      </c>
      <c r="R54" s="25">
        <f>IF(ISNUMBER(VLOOKUP($D54,'Visu totale'!$D:$DH,R$1,0)),Q54-VLOOKUP($D54,'Visu totale'!$D:$DH,R$1,0),IF(LEFT(VLOOKUP($D54,'Visu totale'!$D:$DH,R$1,0),1)="V",IF(Q54&gt;=INDEX('[1]Définition Maintenances'!$G:$G,MATCH($A54,'[1]Définition Maintenances'!$K:$K,0)),Q54,INDEX('[1]Définition Maintenances'!$G:$G,MATCH($A54,'[1]Définition Maintenances'!$K:$K,0))+Q54),Q54))</f>
        <v>1200</v>
      </c>
      <c r="S54" s="26">
        <f>IF(ISNUMBER(VLOOKUP($D54,'Visu totale'!$D:$DH,S$1,0)),R54-VLOOKUP($D54,'Visu totale'!$D:$DH,S$1,0),IF(LEFT(VLOOKUP($D54,'Visu totale'!$D:$DH,S$1,0),1)="V",IF(R54&gt;=INDEX('[1]Définition Maintenances'!$G:$G,MATCH($A54,'[1]Définition Maintenances'!$K:$K,0)),R54,INDEX('[1]Définition Maintenances'!$G:$G,MATCH($A54,'[1]Définition Maintenances'!$K:$K,0))+R54),R54))</f>
        <v>1200</v>
      </c>
      <c r="T54" s="26">
        <f>IF(ISNUMBER(VLOOKUP($D54,'Visu totale'!$D:$DH,T$1,0)),S54-VLOOKUP($D54,'Visu totale'!$D:$DH,T$1,0),IF(LEFT(VLOOKUP($D54,'Visu totale'!$D:$DH,T$1,0),1)="V",IF(S54&gt;=INDEX('[1]Définition Maintenances'!$G:$G,MATCH($A54,'[1]Définition Maintenances'!$K:$K,0)),S54,INDEX('[1]Définition Maintenances'!$G:$G,MATCH($A54,'[1]Définition Maintenances'!$K:$K,0))+S54),S54))</f>
        <v>1200</v>
      </c>
      <c r="U54" s="26">
        <f>IF(ISNUMBER(VLOOKUP($D54,'Visu totale'!$D:$DH,U$1,0)),T54-VLOOKUP($D54,'Visu totale'!$D:$DH,U$1,0),IF(LEFT(VLOOKUP($D54,'Visu totale'!$D:$DH,U$1,0),1)="V",IF(T54&gt;=INDEX('[1]Définition Maintenances'!$G:$G,MATCH($A54,'[1]Définition Maintenances'!$K:$K,0)),T54,INDEX('[1]Définition Maintenances'!$G:$G,MATCH($A54,'[1]Définition Maintenances'!$K:$K,0))+T54),T54))</f>
        <v>1200</v>
      </c>
      <c r="V54" s="26">
        <f>IF(ISNUMBER(VLOOKUP($D54,'Visu totale'!$D:$DH,V$1,0)),U54-VLOOKUP($D54,'Visu totale'!$D:$DH,V$1,0),IF(LEFT(VLOOKUP($D54,'Visu totale'!$D:$DH,V$1,0),1)="V",IF(U54&gt;=INDEX('[1]Définition Maintenances'!$G:$G,MATCH($A54,'[1]Définition Maintenances'!$K:$K,0)),U54,INDEX('[1]Définition Maintenances'!$G:$G,MATCH($A54,'[1]Définition Maintenances'!$K:$K,0))+U54),U54))</f>
        <v>1200</v>
      </c>
      <c r="W54" s="26">
        <f>IF(ISNUMBER(VLOOKUP($D54,'Visu totale'!$D:$DH,W$1,0)),V54-VLOOKUP($D54,'Visu totale'!$D:$DH,W$1,0),IF(LEFT(VLOOKUP($D54,'Visu totale'!$D:$DH,W$1,0),1)="V",IF(V54&gt;=INDEX('[1]Définition Maintenances'!$G:$G,MATCH($A54,'[1]Définition Maintenances'!$K:$K,0)),V54,INDEX('[1]Définition Maintenances'!$G:$G,MATCH($A54,'[1]Définition Maintenances'!$K:$K,0))+V54),V54))</f>
        <v>1200</v>
      </c>
      <c r="X54" s="26">
        <f>IF(ISNUMBER(VLOOKUP($D54,'Visu totale'!$D:$DH,X$1,0)),W54-VLOOKUP($D54,'Visu totale'!$D:$DH,X$1,0),IF(LEFT(VLOOKUP($D54,'Visu totale'!$D:$DH,X$1,0),1)="V",IF(W54&gt;=INDEX('[1]Définition Maintenances'!$G:$G,MATCH($A54,'[1]Définition Maintenances'!$K:$K,0)),W54,INDEX('[1]Définition Maintenances'!$G:$G,MATCH($A54,'[1]Définition Maintenances'!$K:$K,0))+W54),W54))</f>
        <v>1200</v>
      </c>
      <c r="Y54" s="26">
        <f>IF(ISNUMBER(VLOOKUP($D54,'Visu totale'!$D:$DH,Y$1,0)),X54-VLOOKUP($D54,'Visu totale'!$D:$DH,Y$1,0),IF(LEFT(VLOOKUP($D54,'Visu totale'!$D:$DH,Y$1,0),1)="V",IF(X54&gt;=INDEX('[1]Définition Maintenances'!$G:$G,MATCH($A54,'[1]Définition Maintenances'!$K:$K,0)),X54,INDEX('[1]Définition Maintenances'!$G:$G,MATCH($A54,'[1]Définition Maintenances'!$K:$K,0))+X54),X54))</f>
        <v>1200</v>
      </c>
      <c r="Z54" s="26">
        <f>IF(ISNUMBER(VLOOKUP($D54,'Visu totale'!$D:$DH,Z$1,0)),Y54-VLOOKUP($D54,'Visu totale'!$D:$DH,Z$1,0),IF(LEFT(VLOOKUP($D54,'Visu totale'!$D:$DH,Z$1,0),1)="V",IF(Y54&gt;=INDEX('[1]Définition Maintenances'!$G:$G,MATCH($A54,'[1]Définition Maintenances'!$K:$K,0)),Y54,INDEX('[1]Définition Maintenances'!$G:$G,MATCH($A54,'[1]Définition Maintenances'!$K:$K,0))+Y54),Y54))</f>
        <v>1200</v>
      </c>
      <c r="AA54" s="26">
        <f>IF(ISNUMBER(VLOOKUP($D54,'Visu totale'!$D:$DH,AA$1,0)),Z54-VLOOKUP($D54,'Visu totale'!$D:$DH,AA$1,0),IF(LEFT(VLOOKUP($D54,'Visu totale'!$D:$DH,AA$1,0),1)="V",IF(Z54&gt;=INDEX('[1]Définition Maintenances'!$G:$G,MATCH($A54,'[1]Définition Maintenances'!$K:$K,0)),Z54,INDEX('[1]Définition Maintenances'!$G:$G,MATCH($A54,'[1]Définition Maintenances'!$K:$K,0))+Z54),Z54))</f>
        <v>1200</v>
      </c>
      <c r="AB54" s="26">
        <f>IF(ISNUMBER(VLOOKUP($D54,'Visu totale'!$D:$DH,AB$1,0)),AA54-VLOOKUP($D54,'Visu totale'!$D:$DH,AB$1,0),IF(LEFT(VLOOKUP($D54,'Visu totale'!$D:$DH,AB$1,0),1)="V",IF(AA54&gt;=INDEX('[1]Définition Maintenances'!$G:$G,MATCH($A54,'[1]Définition Maintenances'!$K:$K,0)),AA54,INDEX('[1]Définition Maintenances'!$G:$G,MATCH($A54,'[1]Définition Maintenances'!$K:$K,0))+AA54),AA54))</f>
        <v>1200</v>
      </c>
      <c r="AC54" s="27">
        <f>IF(ISNUMBER(VLOOKUP($D54,'Visu totale'!$D:$DH,AC$1,0)),AB54-VLOOKUP($D54,'Visu totale'!$D:$DH,AC$1,0),IF(LEFT(VLOOKUP($D54,'Visu totale'!$D:$DH,AC$1,0),1)="V",IF(AB54&gt;=INDEX('[1]Définition Maintenances'!$G:$G,MATCH($A54,'[1]Définition Maintenances'!$K:$K,0)),AB54,INDEX('[1]Définition Maintenances'!$G:$G,MATCH($A54,'[1]Définition Maintenances'!$K:$K,0))+AB54),AB54))</f>
        <v>1200</v>
      </c>
      <c r="AD54" s="25">
        <f>IF(ISNUMBER(VLOOKUP($D54,'Visu totale'!$D:$DH,AD$1,0)),AC54-VLOOKUP($D54,'Visu totale'!$D:$DH,AD$1,0),IF(LEFT(VLOOKUP($D54,'Visu totale'!$D:$DH,AD$1,0),1)="V",IF(AC54&gt;=INDEX('[1]Définition Maintenances'!$G:$G,MATCH($A54,'[1]Définition Maintenances'!$K:$K,0)),AC54,INDEX('[1]Définition Maintenances'!$G:$G,MATCH($A54,'[1]Définition Maintenances'!$K:$K,0))+AC54),AC54))</f>
        <v>1200</v>
      </c>
      <c r="AE54" s="26">
        <f>IF(ISNUMBER(VLOOKUP($D54,'Visu totale'!$D:$DH,AE$1,0)),AD54-VLOOKUP($D54,'Visu totale'!$D:$DH,AE$1,0),IF(LEFT(VLOOKUP($D54,'Visu totale'!$D:$DH,AE$1,0),1)="V",IF(AD54&gt;=INDEX('[1]Définition Maintenances'!$G:$G,MATCH($A54,'[1]Définition Maintenances'!$K:$K,0)),AD54,INDEX('[1]Définition Maintenances'!$G:$G,MATCH($A54,'[1]Définition Maintenances'!$K:$K,0))+AD54),AD54))</f>
        <v>1200</v>
      </c>
      <c r="AF54" s="26">
        <f>IF(ISNUMBER(VLOOKUP($D54,'Visu totale'!$D:$DH,AF$1,0)),AE54-VLOOKUP($D54,'Visu totale'!$D:$DH,AF$1,0),IF(LEFT(VLOOKUP($D54,'Visu totale'!$D:$DH,AF$1,0),1)="V",IF(AE54&gt;=INDEX('[1]Définition Maintenances'!$G:$G,MATCH($A54,'[1]Définition Maintenances'!$K:$K,0)),AE54,INDEX('[1]Définition Maintenances'!$G:$G,MATCH($A54,'[1]Définition Maintenances'!$K:$K,0))+AE54),AE54))</f>
        <v>1200</v>
      </c>
      <c r="AG54" s="26">
        <f>IF(ISNUMBER(VLOOKUP($D54,'Visu totale'!$D:$DH,AG$1,0)),AF54-VLOOKUP($D54,'Visu totale'!$D:$DH,AG$1,0),IF(LEFT(VLOOKUP($D54,'Visu totale'!$D:$DH,AG$1,0),1)="V",IF(AF54&gt;=INDEX('[1]Définition Maintenances'!$G:$G,MATCH($A54,'[1]Définition Maintenances'!$K:$K,0)),AF54,INDEX('[1]Définition Maintenances'!$G:$G,MATCH($A54,'[1]Définition Maintenances'!$K:$K,0))+AF54),AF54))</f>
        <v>1200</v>
      </c>
      <c r="AH54" s="26">
        <f>IF(ISNUMBER(VLOOKUP($D54,'Visu totale'!$D:$DH,AH$1,0)),AG54-VLOOKUP($D54,'Visu totale'!$D:$DH,AH$1,0),IF(LEFT(VLOOKUP($D54,'Visu totale'!$D:$DH,AH$1,0),1)="V",IF(AG54&gt;=INDEX('[1]Définition Maintenances'!$G:$G,MATCH($A54,'[1]Définition Maintenances'!$K:$K,0)),AG54,INDEX('[1]Définition Maintenances'!$G:$G,MATCH($A54,'[1]Définition Maintenances'!$K:$K,0))+AG54),AG54))</f>
        <v>1200</v>
      </c>
      <c r="AI54" s="26">
        <f>IF(ISNUMBER(VLOOKUP($D54,'Visu totale'!$D:$DH,AI$1,0)),AH54-VLOOKUP($D54,'Visu totale'!$D:$DH,AI$1,0),IF(LEFT(VLOOKUP($D54,'Visu totale'!$D:$DH,AI$1,0),1)="V",IF(AH54&gt;=INDEX('[1]Définition Maintenances'!$G:$G,MATCH($A54,'[1]Définition Maintenances'!$K:$K,0)),AH54,INDEX('[1]Définition Maintenances'!$G:$G,MATCH($A54,'[1]Définition Maintenances'!$K:$K,0))+AH54),AH54))</f>
        <v>1200</v>
      </c>
      <c r="AJ54" s="26">
        <f>IF(ISNUMBER(VLOOKUP($D54,'Visu totale'!$D:$DH,AJ$1,0)),AI54-VLOOKUP($D54,'Visu totale'!$D:$DH,AJ$1,0),IF(LEFT(VLOOKUP($D54,'Visu totale'!$D:$DH,AJ$1,0),1)="V",IF(AI54&gt;=INDEX('[1]Définition Maintenances'!$G:$G,MATCH($A54,'[1]Définition Maintenances'!$K:$K,0)),AI54,INDEX('[1]Définition Maintenances'!$G:$G,MATCH($A54,'[1]Définition Maintenances'!$K:$K,0))+AI54),AI54))</f>
        <v>1200</v>
      </c>
      <c r="AK54" s="26">
        <f>IF(ISNUMBER(VLOOKUP($D54,'Visu totale'!$D:$DH,AK$1,0)),AJ54-VLOOKUP($D54,'Visu totale'!$D:$DH,AK$1,0),IF(LEFT(VLOOKUP($D54,'Visu totale'!$D:$DH,AK$1,0),1)="V",IF(AJ54&gt;=INDEX('[1]Définition Maintenances'!$G:$G,MATCH($A54,'[1]Définition Maintenances'!$K:$K,0)),AJ54,INDEX('[1]Définition Maintenances'!$G:$G,MATCH($A54,'[1]Définition Maintenances'!$K:$K,0))+AJ54),AJ54))</f>
        <v>1200</v>
      </c>
      <c r="AL54" s="26">
        <f>IF(ISNUMBER(VLOOKUP($D54,'Visu totale'!$D:$DH,AL$1,0)),AK54-VLOOKUP($D54,'Visu totale'!$D:$DH,AL$1,0),IF(LEFT(VLOOKUP($D54,'Visu totale'!$D:$DH,AL$1,0),1)="V",IF(AK54&gt;=INDEX('[1]Définition Maintenances'!$G:$G,MATCH($A54,'[1]Définition Maintenances'!$K:$K,0)),AK54,INDEX('[1]Définition Maintenances'!$G:$G,MATCH($A54,'[1]Définition Maintenances'!$K:$K,0))+AK54),AK54))</f>
        <v>1200</v>
      </c>
      <c r="AM54" s="26">
        <f>IF(ISNUMBER(VLOOKUP($D54,'Visu totale'!$D:$DH,AM$1,0)),AL54-VLOOKUP($D54,'Visu totale'!$D:$DH,AM$1,0),IF(LEFT(VLOOKUP($D54,'Visu totale'!$D:$DH,AM$1,0),1)="V",IF(AL54&gt;=INDEX('[1]Définition Maintenances'!$G:$G,MATCH($A54,'[1]Définition Maintenances'!$K:$K,0)),AL54,INDEX('[1]Définition Maintenances'!$G:$G,MATCH($A54,'[1]Définition Maintenances'!$K:$K,0))+AL54),AL54))</f>
        <v>1200</v>
      </c>
      <c r="AN54" s="26">
        <f>IF(ISNUMBER(VLOOKUP($D54,'Visu totale'!$D:$DH,AN$1,0)),AM54-VLOOKUP($D54,'Visu totale'!$D:$DH,AN$1,0),IF(LEFT(VLOOKUP($D54,'Visu totale'!$D:$DH,AN$1,0),1)="V",IF(AM54&gt;=INDEX('[1]Définition Maintenances'!$G:$G,MATCH($A54,'[1]Définition Maintenances'!$K:$K,0)),AM54,INDEX('[1]Définition Maintenances'!$G:$G,MATCH($A54,'[1]Définition Maintenances'!$K:$K,0))+AM54),AM54))</f>
        <v>1200</v>
      </c>
      <c r="AO54" s="27">
        <f>IF(ISNUMBER(VLOOKUP($D54,'Visu totale'!$D:$DH,AO$1,0)),AN54-VLOOKUP($D54,'Visu totale'!$D:$DH,AO$1,0),IF(LEFT(VLOOKUP($D54,'Visu totale'!$D:$DH,AO$1,0),1)="V",IF(AN54&gt;=INDEX('[1]Définition Maintenances'!$G:$G,MATCH($A54,'[1]Définition Maintenances'!$K:$K,0)),AN54,INDEX('[1]Définition Maintenances'!$G:$G,MATCH($A54,'[1]Définition Maintenances'!$K:$K,0))+AN54),AN54))</f>
        <v>1200</v>
      </c>
      <c r="AP54" s="25">
        <f>IF(ISNUMBER(VLOOKUP($D54,'Visu totale'!$D:$DH,AP$1,0)),AO54-VLOOKUP($D54,'Visu totale'!$D:$DH,AP$1,0),IF(LEFT(VLOOKUP($D54,'Visu totale'!$D:$DH,AP$1,0),1)="V",IF(AO54&gt;=INDEX('[1]Définition Maintenances'!$G:$G,MATCH($A54,'[1]Définition Maintenances'!$K:$K,0)),AO54,INDEX('[1]Définition Maintenances'!$G:$G,MATCH($A54,'[1]Définition Maintenances'!$K:$K,0))+AO54),AO54))</f>
        <v>1200</v>
      </c>
      <c r="AQ54" s="26">
        <f>IF(ISNUMBER(VLOOKUP($D54,'Visu totale'!$D:$DH,AQ$1,0)),AP54-VLOOKUP($D54,'Visu totale'!$D:$DH,AQ$1,0),IF(LEFT(VLOOKUP($D54,'Visu totale'!$D:$DH,AQ$1,0),1)="V",IF(AP54&gt;=INDEX('[1]Définition Maintenances'!$G:$G,MATCH($A54,'[1]Définition Maintenances'!$K:$K,0)),AP54,INDEX('[1]Définition Maintenances'!$G:$G,MATCH($A54,'[1]Définition Maintenances'!$K:$K,0))+AP54),AP54))</f>
        <v>1200</v>
      </c>
      <c r="AR54" s="26">
        <f>IF(ISNUMBER(VLOOKUP($D54,'Visu totale'!$D:$DH,AR$1,0)),AQ54-VLOOKUP($D54,'Visu totale'!$D:$DH,AR$1,0),IF(LEFT(VLOOKUP($D54,'Visu totale'!$D:$DH,AR$1,0),1)="V",IF(AQ54&gt;=INDEX('[1]Définition Maintenances'!$G:$G,MATCH($A54,'[1]Définition Maintenances'!$K:$K,0)),AQ54,INDEX('[1]Définition Maintenances'!$G:$G,MATCH($A54,'[1]Définition Maintenances'!$K:$K,0))+AQ54),AQ54))</f>
        <v>1200</v>
      </c>
      <c r="AS54" s="26">
        <f>IF(ISNUMBER(VLOOKUP($D54,'Visu totale'!$D:$DH,AS$1,0)),AR54-VLOOKUP($D54,'Visu totale'!$D:$DH,AS$1,0),IF(LEFT(VLOOKUP($D54,'Visu totale'!$D:$DH,AS$1,0),1)="V",IF(AR54&gt;=INDEX('[1]Définition Maintenances'!$G:$G,MATCH($A54,'[1]Définition Maintenances'!$K:$K,0)),AR54,INDEX('[1]Définition Maintenances'!$G:$G,MATCH($A54,'[1]Définition Maintenances'!$K:$K,0))+AR54),AR54))</f>
        <v>1200</v>
      </c>
      <c r="AT54" s="26">
        <f>IF(ISNUMBER(VLOOKUP($D54,'Visu totale'!$D:$DH,AT$1,0)),AS54-VLOOKUP($D54,'Visu totale'!$D:$DH,AT$1,0),IF(LEFT(VLOOKUP($D54,'Visu totale'!$D:$DH,AT$1,0),1)="V",IF(AS54&gt;=INDEX('[1]Définition Maintenances'!$G:$G,MATCH($A54,'[1]Définition Maintenances'!$K:$K,0)),AS54,INDEX('[1]Définition Maintenances'!$G:$G,MATCH($A54,'[1]Définition Maintenances'!$K:$K,0))+AS54),AS54))</f>
        <v>1200</v>
      </c>
      <c r="AU54" s="26">
        <f>IF(ISNUMBER(VLOOKUP($D54,'Visu totale'!$D:$DH,AU$1,0)),AT54-VLOOKUP($D54,'Visu totale'!$D:$DH,AU$1,0),IF(LEFT(VLOOKUP($D54,'Visu totale'!$D:$DH,AU$1,0),1)="V",IF(AT54&gt;=INDEX('[1]Définition Maintenances'!$G:$G,MATCH($A54,'[1]Définition Maintenances'!$K:$K,0)),AT54,INDEX('[1]Définition Maintenances'!$G:$G,MATCH($A54,'[1]Définition Maintenances'!$K:$K,0))+AT54),AT54))</f>
        <v>1200</v>
      </c>
      <c r="AV54" s="26">
        <f>IF(ISNUMBER(VLOOKUP($D54,'Visu totale'!$D:$DH,AV$1,0)),AU54-VLOOKUP($D54,'Visu totale'!$D:$DH,AV$1,0),IF(LEFT(VLOOKUP($D54,'Visu totale'!$D:$DH,AV$1,0),1)="V",IF(AU54&gt;=INDEX('[1]Définition Maintenances'!$G:$G,MATCH($A54,'[1]Définition Maintenances'!$K:$K,0)),AU54,INDEX('[1]Définition Maintenances'!$G:$G,MATCH($A54,'[1]Définition Maintenances'!$K:$K,0))+AU54),AU54))</f>
        <v>1200</v>
      </c>
      <c r="AW54" s="26">
        <f>IF(ISNUMBER(VLOOKUP($D54,'Visu totale'!$D:$DH,AW$1,0)),AV54-VLOOKUP($D54,'Visu totale'!$D:$DH,AW$1,0),IF(LEFT(VLOOKUP($D54,'Visu totale'!$D:$DH,AW$1,0),1)="V",IF(AV54&gt;=INDEX('[1]Définition Maintenances'!$G:$G,MATCH($A54,'[1]Définition Maintenances'!$K:$K,0)),AV54,INDEX('[1]Définition Maintenances'!$G:$G,MATCH($A54,'[1]Définition Maintenances'!$K:$K,0))+AV54),AV54))</f>
        <v>1200</v>
      </c>
      <c r="AX54" s="26">
        <f>IF(ISNUMBER(VLOOKUP($D54,'Visu totale'!$D:$DH,AX$1,0)),AW54-VLOOKUP($D54,'Visu totale'!$D:$DH,AX$1,0),IF(LEFT(VLOOKUP($D54,'Visu totale'!$D:$DH,AX$1,0),1)="V",IF(AW54&gt;=INDEX('[1]Définition Maintenances'!$G:$G,MATCH($A54,'[1]Définition Maintenances'!$K:$K,0)),AW54,INDEX('[1]Définition Maintenances'!$G:$G,MATCH($A54,'[1]Définition Maintenances'!$K:$K,0))+AW54),AW54))</f>
        <v>1200</v>
      </c>
      <c r="AY54" s="26">
        <f>IF(ISNUMBER(VLOOKUP($D54,'Visu totale'!$D:$DH,AY$1,0)),AX54-VLOOKUP($D54,'Visu totale'!$D:$DH,AY$1,0),IF(LEFT(VLOOKUP($D54,'Visu totale'!$D:$DH,AY$1,0),1)="V",IF(AX54&gt;=INDEX('[1]Définition Maintenances'!$G:$G,MATCH($A54,'[1]Définition Maintenances'!$K:$K,0)),AX54,INDEX('[1]Définition Maintenances'!$G:$G,MATCH($A54,'[1]Définition Maintenances'!$K:$K,0))+AX54),AX54))</f>
        <v>1200</v>
      </c>
      <c r="AZ54" s="26">
        <f>IF(ISNUMBER(VLOOKUP($D54,'Visu totale'!$D:$DH,AZ$1,0)),AY54-VLOOKUP($D54,'Visu totale'!$D:$DH,AZ$1,0),IF(LEFT(VLOOKUP($D54,'Visu totale'!$D:$DH,AZ$1,0),1)="V",IF(AY54&gt;=INDEX('[1]Définition Maintenances'!$G:$G,MATCH($A54,'[1]Définition Maintenances'!$K:$K,0)),AY54,INDEX('[1]Définition Maintenances'!$G:$G,MATCH($A54,'[1]Définition Maintenances'!$K:$K,0))+AY54),AY54))</f>
        <v>1200</v>
      </c>
      <c r="BA54" s="27">
        <f>IF(ISNUMBER(VLOOKUP($D54,'Visu totale'!$D:$DH,BA$1,0)),AZ54-VLOOKUP($D54,'Visu totale'!$D:$DH,BA$1,0),IF(LEFT(VLOOKUP($D54,'Visu totale'!$D:$DH,BA$1,0),1)="V",IF(AZ54&gt;=INDEX('[1]Définition Maintenances'!$G:$G,MATCH($A54,'[1]Définition Maintenances'!$K:$K,0)),AZ54,INDEX('[1]Définition Maintenances'!$G:$G,MATCH($A54,'[1]Définition Maintenances'!$K:$K,0))+AZ54),AZ54))</f>
        <v>1200</v>
      </c>
      <c r="BB54" s="25">
        <f>IF(ISNUMBER(VLOOKUP($D54,'Visu totale'!$D:$DH,BB$1,0)),BA54-VLOOKUP($D54,'Visu totale'!$D:$DH,BB$1,0),IF(LEFT(VLOOKUP($D54,'Visu totale'!$D:$DH,BB$1,0),1)="V",IF(BA54&gt;=INDEX('[1]Définition Maintenances'!$G:$G,MATCH($A54,'[1]Définition Maintenances'!$K:$K,0)),BA54,INDEX('[1]Définition Maintenances'!$G:$G,MATCH($A54,'[1]Définition Maintenances'!$K:$K,0))+BA54),BA54))</f>
        <v>1200</v>
      </c>
      <c r="BC54" s="26">
        <f>IF(ISNUMBER(VLOOKUP($D54,'Visu totale'!$D:$DH,BC$1,0)),BB54-VLOOKUP($D54,'Visu totale'!$D:$DH,BC$1,0),IF(LEFT(VLOOKUP($D54,'Visu totale'!$D:$DH,BC$1,0),1)="V",IF(BB54&gt;=INDEX('[1]Définition Maintenances'!$G:$G,MATCH($A54,'[1]Définition Maintenances'!$K:$K,0)),BB54,INDEX('[1]Définition Maintenances'!$G:$G,MATCH($A54,'[1]Définition Maintenances'!$K:$K,0))+BB54),BB54))</f>
        <v>1200</v>
      </c>
      <c r="BD54" s="26">
        <f>IF(ISNUMBER(VLOOKUP($D54,'Visu totale'!$D:$DH,BD$1,0)),BC54-VLOOKUP($D54,'Visu totale'!$D:$DH,BD$1,0),IF(LEFT(VLOOKUP($D54,'Visu totale'!$D:$DH,BD$1,0),1)="V",IF(BC54&gt;=INDEX('[1]Définition Maintenances'!$G:$G,MATCH($A54,'[1]Définition Maintenances'!$K:$K,0)),BC54,INDEX('[1]Définition Maintenances'!$G:$G,MATCH($A54,'[1]Définition Maintenances'!$K:$K,0))+BC54),BC54))</f>
        <v>1200</v>
      </c>
      <c r="BE54" s="26">
        <f>IF(ISNUMBER(VLOOKUP($D54,'Visu totale'!$D:$DH,BE$1,0)),BD54-VLOOKUP($D54,'Visu totale'!$D:$DH,BE$1,0),IF(LEFT(VLOOKUP($D54,'Visu totale'!$D:$DH,BE$1,0),1)="V",IF(BD54&gt;=INDEX('[1]Définition Maintenances'!$G:$G,MATCH($A54,'[1]Définition Maintenances'!$K:$K,0)),BD54,INDEX('[1]Définition Maintenances'!$G:$G,MATCH($A54,'[1]Définition Maintenances'!$K:$K,0))+BD54),BD54))</f>
        <v>1200</v>
      </c>
      <c r="BF54" s="26">
        <f>IF(ISNUMBER(VLOOKUP($D54,'Visu totale'!$D:$DH,BF$1,0)),BE54-VLOOKUP($D54,'Visu totale'!$D:$DH,BF$1,0),IF(LEFT(VLOOKUP($D54,'Visu totale'!$D:$DH,BF$1,0),1)="V",IF(BE54&gt;=INDEX('[1]Définition Maintenances'!$G:$G,MATCH($A54,'[1]Définition Maintenances'!$K:$K,0)),BE54,INDEX('[1]Définition Maintenances'!$G:$G,MATCH($A54,'[1]Définition Maintenances'!$K:$K,0))+BE54),BE54))</f>
        <v>1200</v>
      </c>
      <c r="BG54" s="26">
        <f>IF(ISNUMBER(VLOOKUP($D54,'Visu totale'!$D:$DH,BG$1,0)),BF54-VLOOKUP($D54,'Visu totale'!$D:$DH,BG$1,0),IF(LEFT(VLOOKUP($D54,'Visu totale'!$D:$DH,BG$1,0),1)="V",IF(BF54&gt;=INDEX('[1]Définition Maintenances'!$G:$G,MATCH($A54,'[1]Définition Maintenances'!$K:$K,0)),BF54,INDEX('[1]Définition Maintenances'!$G:$G,MATCH($A54,'[1]Définition Maintenances'!$K:$K,0))+BF54),BF54))</f>
        <v>1200</v>
      </c>
      <c r="BH54" s="26">
        <f>IF(ISNUMBER(VLOOKUP($D54,'Visu totale'!$D:$DH,BH$1,0)),BG54-VLOOKUP($D54,'Visu totale'!$D:$DH,BH$1,0),IF(LEFT(VLOOKUP($D54,'Visu totale'!$D:$DH,BH$1,0),1)="V",IF(BG54&gt;=INDEX('[1]Définition Maintenances'!$G:$G,MATCH($A54,'[1]Définition Maintenances'!$K:$K,0)),BG54,INDEX('[1]Définition Maintenances'!$G:$G,MATCH($A54,'[1]Définition Maintenances'!$K:$K,0))+BG54),BG54))</f>
        <v>1200</v>
      </c>
      <c r="BI54" s="26">
        <f>IF(ISNUMBER(VLOOKUP($D54,'Visu totale'!$D:$DH,BI$1,0)),BH54-VLOOKUP($D54,'Visu totale'!$D:$DH,BI$1,0),IF(LEFT(VLOOKUP($D54,'Visu totale'!$D:$DH,BI$1,0),1)="V",IF(BH54&gt;=INDEX('[1]Définition Maintenances'!$G:$G,MATCH($A54,'[1]Définition Maintenances'!$K:$K,0)),BH54,INDEX('[1]Définition Maintenances'!$G:$G,MATCH($A54,'[1]Définition Maintenances'!$K:$K,0))+BH54),BH54))</f>
        <v>1200</v>
      </c>
      <c r="BJ54" s="26">
        <f>IF(ISNUMBER(VLOOKUP($D54,'Visu totale'!$D:$DH,BJ$1,0)),BI54-VLOOKUP($D54,'Visu totale'!$D:$DH,BJ$1,0),IF(LEFT(VLOOKUP($D54,'Visu totale'!$D:$DH,BJ$1,0),1)="V",IF(BI54&gt;=INDEX('[1]Définition Maintenances'!$G:$G,MATCH($A54,'[1]Définition Maintenances'!$K:$K,0)),BI54,INDEX('[1]Définition Maintenances'!$G:$G,MATCH($A54,'[1]Définition Maintenances'!$K:$K,0))+BI54),BI54))</f>
        <v>1200</v>
      </c>
      <c r="BK54" s="26">
        <f>IF(ISNUMBER(VLOOKUP($D54,'Visu totale'!$D:$DH,BK$1,0)),BJ54-VLOOKUP($D54,'Visu totale'!$D:$DH,BK$1,0),IF(LEFT(VLOOKUP($D54,'Visu totale'!$D:$DH,BK$1,0),1)="V",IF(BJ54&gt;=INDEX('[1]Définition Maintenances'!$G:$G,MATCH($A54,'[1]Définition Maintenances'!$K:$K,0)),BJ54,INDEX('[1]Définition Maintenances'!$G:$G,MATCH($A54,'[1]Définition Maintenances'!$K:$K,0))+BJ54),BJ54))</f>
        <v>1200</v>
      </c>
      <c r="BL54" s="26">
        <f>IF(ISNUMBER(VLOOKUP($D54,'Visu totale'!$D:$DH,BL$1,0)),BK54-VLOOKUP($D54,'Visu totale'!$D:$DH,BL$1,0),IF(LEFT(VLOOKUP($D54,'Visu totale'!$D:$DH,BL$1,0),1)="V",IF(BK54&gt;=INDEX('[1]Définition Maintenances'!$G:$G,MATCH($A54,'[1]Définition Maintenances'!$K:$K,0)),BK54,INDEX('[1]Définition Maintenances'!$G:$G,MATCH($A54,'[1]Définition Maintenances'!$K:$K,0))+BK54),BK54))</f>
        <v>1200</v>
      </c>
      <c r="BM54" s="27">
        <f>IF(ISNUMBER(VLOOKUP($D54,'Visu totale'!$D:$DH,BM$1,0)),BL54-VLOOKUP($D54,'Visu totale'!$D:$DH,BM$1,0),IF(LEFT(VLOOKUP($D54,'Visu totale'!$D:$DH,BM$1,0),1)="V",IF(BL54&gt;=INDEX('[1]Définition Maintenances'!$G:$G,MATCH($A54,'[1]Définition Maintenances'!$K:$K,0)),BL54,INDEX('[1]Définition Maintenances'!$G:$G,MATCH($A54,'[1]Définition Maintenances'!$K:$K,0))+BL54),BL54))</f>
        <v>1200</v>
      </c>
      <c r="BN54" s="25">
        <f>IF(ISNUMBER(VLOOKUP($D54,'Visu totale'!$D:$DH,BN$1,0)),BM54-VLOOKUP($D54,'Visu totale'!$D:$DH,BN$1,0),IF(LEFT(VLOOKUP($D54,'Visu totale'!$D:$DH,BN$1,0),1)="V",IF(BM54&gt;=INDEX('[1]Définition Maintenances'!$G:$G,MATCH($A54,'[1]Définition Maintenances'!$K:$K,0)),BM54,INDEX('[1]Définition Maintenances'!$G:$G,MATCH($A54,'[1]Définition Maintenances'!$K:$K,0))+BM54),BM54))</f>
        <v>1200</v>
      </c>
      <c r="BO54" s="26">
        <f>IF(ISNUMBER(VLOOKUP($D54,'Visu totale'!$D:$DH,BO$1,0)),BN54-VLOOKUP($D54,'Visu totale'!$D:$DH,BO$1,0),IF(LEFT(VLOOKUP($D54,'Visu totale'!$D:$DH,BO$1,0),1)="V",IF(BN54&gt;=INDEX('[1]Définition Maintenances'!$G:$G,MATCH($A54,'[1]Définition Maintenances'!$K:$K,0)),BN54,INDEX('[1]Définition Maintenances'!$G:$G,MATCH($A54,'[1]Définition Maintenances'!$K:$K,0))+BN54),BN54))</f>
        <v>1200</v>
      </c>
      <c r="BP54" s="26">
        <f>IF(ISNUMBER(VLOOKUP($D54,'Visu totale'!$D:$DH,BP$1,0)),BO54-VLOOKUP($D54,'Visu totale'!$D:$DH,BP$1,0),IF(LEFT(VLOOKUP($D54,'Visu totale'!$D:$DH,BP$1,0),1)="V",IF(BO54&gt;=INDEX('[1]Définition Maintenances'!$G:$G,MATCH($A54,'[1]Définition Maintenances'!$K:$K,0)),BO54,INDEX('[1]Définition Maintenances'!$G:$G,MATCH($A54,'[1]Définition Maintenances'!$K:$K,0))+BO54),BO54))</f>
        <v>1200</v>
      </c>
      <c r="BQ54" s="26">
        <f>IF(ISNUMBER(VLOOKUP($D54,'Visu totale'!$D:$DH,BQ$1,0)),BP54-VLOOKUP($D54,'Visu totale'!$D:$DH,BQ$1,0),IF(LEFT(VLOOKUP($D54,'Visu totale'!$D:$DH,BQ$1,0),1)="V",IF(BP54&gt;=INDEX('[1]Définition Maintenances'!$G:$G,MATCH($A54,'[1]Définition Maintenances'!$K:$K,0)),BP54,INDEX('[1]Définition Maintenances'!$G:$G,MATCH($A54,'[1]Définition Maintenances'!$K:$K,0))+BP54),BP54))</f>
        <v>1200</v>
      </c>
      <c r="BR54" s="26">
        <f>IF(ISNUMBER(VLOOKUP($D54,'Visu totale'!$D:$DH,BR$1,0)),BQ54-VLOOKUP($D54,'Visu totale'!$D:$DH,BR$1,0),IF(LEFT(VLOOKUP($D54,'Visu totale'!$D:$DH,BR$1,0),1)="V",IF(BQ54&gt;=INDEX('[1]Définition Maintenances'!$G:$G,MATCH($A54,'[1]Définition Maintenances'!$K:$K,0)),BQ54,INDEX('[1]Définition Maintenances'!$G:$G,MATCH($A54,'[1]Définition Maintenances'!$K:$K,0))+BQ54),BQ54))</f>
        <v>1200</v>
      </c>
      <c r="BS54" s="26">
        <f>IF(ISNUMBER(VLOOKUP($D54,'Visu totale'!$D:$DH,BS$1,0)),BR54-VLOOKUP($D54,'Visu totale'!$D:$DH,BS$1,0),IF(LEFT(VLOOKUP($D54,'Visu totale'!$D:$DH,BS$1,0),1)="V",IF(BR54&gt;=INDEX('[1]Définition Maintenances'!$G:$G,MATCH($A54,'[1]Définition Maintenances'!$K:$K,0)),BR54,INDEX('[1]Définition Maintenances'!$G:$G,MATCH($A54,'[1]Définition Maintenances'!$K:$K,0))+BR54),BR54))</f>
        <v>1200</v>
      </c>
      <c r="BT54" s="26">
        <f>IF(ISNUMBER(VLOOKUP($D54,'Visu totale'!$D:$DH,BT$1,0)),BS54-VLOOKUP($D54,'Visu totale'!$D:$DH,BT$1,0),IF(LEFT(VLOOKUP($D54,'Visu totale'!$D:$DH,BT$1,0),1)="V",IF(BS54&gt;=INDEX('[1]Définition Maintenances'!$G:$G,MATCH($A54,'[1]Définition Maintenances'!$K:$K,0)),BS54,INDEX('[1]Définition Maintenances'!$G:$G,MATCH($A54,'[1]Définition Maintenances'!$K:$K,0))+BS54),BS54))</f>
        <v>1200</v>
      </c>
      <c r="BU54" s="26">
        <f>IF(ISNUMBER(VLOOKUP($D54,'Visu totale'!$D:$DH,BU$1,0)),BT54-VLOOKUP($D54,'Visu totale'!$D:$DH,BU$1,0),IF(LEFT(VLOOKUP($D54,'Visu totale'!$D:$DH,BU$1,0),1)="V",IF(BT54&gt;=INDEX('[1]Définition Maintenances'!$G:$G,MATCH($A54,'[1]Définition Maintenances'!$K:$K,0)),BT54,INDEX('[1]Définition Maintenances'!$G:$G,MATCH($A54,'[1]Définition Maintenances'!$K:$K,0))+BT54),BT54))</f>
        <v>1200</v>
      </c>
      <c r="BV54" s="26">
        <f>IF(ISNUMBER(VLOOKUP($D54,'Visu totale'!$D:$DH,BV$1,0)),BU54-VLOOKUP($D54,'Visu totale'!$D:$DH,BV$1,0),IF(LEFT(VLOOKUP($D54,'Visu totale'!$D:$DH,BV$1,0),1)="V",IF(BU54&gt;=INDEX('[1]Définition Maintenances'!$G:$G,MATCH($A54,'[1]Définition Maintenances'!$K:$K,0)),BU54,INDEX('[1]Définition Maintenances'!$G:$G,MATCH($A54,'[1]Définition Maintenances'!$K:$K,0))+BU54),BU54))</f>
        <v>1200</v>
      </c>
      <c r="BW54" s="26">
        <f>IF(ISNUMBER(VLOOKUP($D54,'Visu totale'!$D:$DH,BW$1,0)),BV54-VLOOKUP($D54,'Visu totale'!$D:$DH,BW$1,0),IF(LEFT(VLOOKUP($D54,'Visu totale'!$D:$DH,BW$1,0),1)="V",IF(BV54&gt;=INDEX('[1]Définition Maintenances'!$G:$G,MATCH($A54,'[1]Définition Maintenances'!$K:$K,0)),BV54,INDEX('[1]Définition Maintenances'!$G:$G,MATCH($A54,'[1]Définition Maintenances'!$K:$K,0))+BV54),BV54))</f>
        <v>1200</v>
      </c>
      <c r="BX54" s="26">
        <f>IF(ISNUMBER(VLOOKUP($D54,'Visu totale'!$D:$DH,BX$1,0)),BW54-VLOOKUP($D54,'Visu totale'!$D:$DH,BX$1,0),IF(LEFT(VLOOKUP($D54,'Visu totale'!$D:$DH,BX$1,0),1)="V",IF(BW54&gt;=INDEX('[1]Définition Maintenances'!$G:$G,MATCH($A54,'[1]Définition Maintenances'!$K:$K,0)),BW54,INDEX('[1]Définition Maintenances'!$G:$G,MATCH($A54,'[1]Définition Maintenances'!$K:$K,0))+BW54),BW54))</f>
        <v>1200</v>
      </c>
      <c r="BY54" s="27">
        <f>IF(ISNUMBER(VLOOKUP($D54,'Visu totale'!$D:$DH,BY$1,0)),BX54-VLOOKUP($D54,'Visu totale'!$D:$DH,BY$1,0),IF(LEFT(VLOOKUP($D54,'Visu totale'!$D:$DH,BY$1,0),1)="V",IF(BX54&gt;=INDEX('[1]Définition Maintenances'!$G:$G,MATCH($A54,'[1]Définition Maintenances'!$K:$K,0)),BX54,INDEX('[1]Définition Maintenances'!$G:$G,MATCH($A54,'[1]Définition Maintenances'!$K:$K,0))+BX54),BX54))</f>
        <v>1200</v>
      </c>
      <c r="BZ54" s="25">
        <f>IF(ISNUMBER(VLOOKUP($D54,'Visu totale'!$D:$DH,BZ$1,0)),BY54-VLOOKUP($D54,'Visu totale'!$D:$DH,BZ$1,0),IF(LEFT(VLOOKUP($D54,'Visu totale'!$D:$DH,BZ$1,0),1)="V",IF(BY54&gt;=INDEX('[1]Définition Maintenances'!$G:$G,MATCH($A54,'[1]Définition Maintenances'!$K:$K,0)),BY54,INDEX('[1]Définition Maintenances'!$G:$G,MATCH($A54,'[1]Définition Maintenances'!$K:$K,0))+BY54),BY54))</f>
        <v>1200</v>
      </c>
      <c r="CA54" s="26">
        <f>IF(ISNUMBER(VLOOKUP($D54,'Visu totale'!$D:$DH,CA$1,0)),BZ54-VLOOKUP($D54,'Visu totale'!$D:$DH,CA$1,0),IF(LEFT(VLOOKUP($D54,'Visu totale'!$D:$DH,CA$1,0),1)="V",IF(BZ54&gt;=INDEX('[1]Définition Maintenances'!$G:$G,MATCH($A54,'[1]Définition Maintenances'!$K:$K,0)),BZ54,INDEX('[1]Définition Maintenances'!$G:$G,MATCH($A54,'[1]Définition Maintenances'!$K:$K,0))+BZ54),BZ54))</f>
        <v>1200</v>
      </c>
      <c r="CB54" s="26">
        <f>IF(ISNUMBER(VLOOKUP($D54,'Visu totale'!$D:$DH,CB$1,0)),CA54-VLOOKUP($D54,'Visu totale'!$D:$DH,CB$1,0),IF(LEFT(VLOOKUP($D54,'Visu totale'!$D:$DH,CB$1,0),1)="V",IF(CA54&gt;=INDEX('[1]Définition Maintenances'!$G:$G,MATCH($A54,'[1]Définition Maintenances'!$K:$K,0)),CA54,INDEX('[1]Définition Maintenances'!$G:$G,MATCH($A54,'[1]Définition Maintenances'!$K:$K,0))+CA54),CA54))</f>
        <v>1200</v>
      </c>
      <c r="CC54" s="26">
        <f>IF(ISNUMBER(VLOOKUP($D54,'Visu totale'!$D:$DH,CC$1,0)),CB54-VLOOKUP($D54,'Visu totale'!$D:$DH,CC$1,0),IF(LEFT(VLOOKUP($D54,'Visu totale'!$D:$DH,CC$1,0),1)="V",IF(CB54&gt;=INDEX('[1]Définition Maintenances'!$G:$G,MATCH($A54,'[1]Définition Maintenances'!$K:$K,0)),CB54,INDEX('[1]Définition Maintenances'!$G:$G,MATCH($A54,'[1]Définition Maintenances'!$K:$K,0))+CB54),CB54))</f>
        <v>1200</v>
      </c>
      <c r="CD54" s="26">
        <f>IF(ISNUMBER(VLOOKUP($D54,'Visu totale'!$D:$DH,CD$1,0)),CC54-VLOOKUP($D54,'Visu totale'!$D:$DH,CD$1,0),IF(LEFT(VLOOKUP($D54,'Visu totale'!$D:$DH,CD$1,0),1)="V",IF(CC54&gt;=INDEX('[1]Définition Maintenances'!$G:$G,MATCH($A54,'[1]Définition Maintenances'!$K:$K,0)),CC54,INDEX('[1]Définition Maintenances'!$G:$G,MATCH($A54,'[1]Définition Maintenances'!$K:$K,0))+CC54),CC54))</f>
        <v>1200</v>
      </c>
      <c r="CE54" s="26">
        <f>IF(ISNUMBER(VLOOKUP($D54,'Visu totale'!$D:$DH,CE$1,0)),CD54-VLOOKUP($D54,'Visu totale'!$D:$DH,CE$1,0),IF(LEFT(VLOOKUP($D54,'Visu totale'!$D:$DH,CE$1,0),1)="V",IF(CD54&gt;=INDEX('[1]Définition Maintenances'!$G:$G,MATCH($A54,'[1]Définition Maintenances'!$K:$K,0)),CD54,INDEX('[1]Définition Maintenances'!$G:$G,MATCH($A54,'[1]Définition Maintenances'!$K:$K,0))+CD54),CD54))</f>
        <v>1200</v>
      </c>
      <c r="CF54" s="26">
        <f>IF(ISNUMBER(VLOOKUP($D54,'Visu totale'!$D:$DH,CF$1,0)),CE54-VLOOKUP($D54,'Visu totale'!$D:$DH,CF$1,0),IF(LEFT(VLOOKUP($D54,'Visu totale'!$D:$DH,CF$1,0),1)="V",IF(CE54&gt;=INDEX('[1]Définition Maintenances'!$G:$G,MATCH($A54,'[1]Définition Maintenances'!$K:$K,0)),CE54,INDEX('[1]Définition Maintenances'!$G:$G,MATCH($A54,'[1]Définition Maintenances'!$K:$K,0))+CE54),CE54))</f>
        <v>1200</v>
      </c>
      <c r="CG54" s="26">
        <f>IF(ISNUMBER(VLOOKUP($D54,'Visu totale'!$D:$DH,CG$1,0)),CF54-VLOOKUP($D54,'Visu totale'!$D:$DH,CG$1,0),IF(LEFT(VLOOKUP($D54,'Visu totale'!$D:$DH,CG$1,0),1)="V",IF(CF54&gt;=INDEX('[1]Définition Maintenances'!$G:$G,MATCH($A54,'[1]Définition Maintenances'!$K:$K,0)),CF54,INDEX('[1]Définition Maintenances'!$G:$G,MATCH($A54,'[1]Définition Maintenances'!$K:$K,0))+CF54),CF54))</f>
        <v>1200</v>
      </c>
      <c r="CH54" s="26">
        <f>IF(ISNUMBER(VLOOKUP($D54,'Visu totale'!$D:$DH,CH$1,0)),CG54-VLOOKUP($D54,'Visu totale'!$D:$DH,CH$1,0),IF(LEFT(VLOOKUP($D54,'Visu totale'!$D:$DH,CH$1,0),1)="V",IF(CG54&gt;=INDEX('[1]Définition Maintenances'!$G:$G,MATCH($A54,'[1]Définition Maintenances'!$K:$K,0)),CG54,INDEX('[1]Définition Maintenances'!$G:$G,MATCH($A54,'[1]Définition Maintenances'!$K:$K,0))+CG54),CG54))</f>
        <v>1200</v>
      </c>
      <c r="CI54" s="26">
        <f>IF(ISNUMBER(VLOOKUP($D54,'Visu totale'!$D:$DH,CI$1,0)),CH54-VLOOKUP($D54,'Visu totale'!$D:$DH,CI$1,0),IF(LEFT(VLOOKUP($D54,'Visu totale'!$D:$DH,CI$1,0),1)="V",IF(CH54&gt;=INDEX('[1]Définition Maintenances'!$G:$G,MATCH($A54,'[1]Définition Maintenances'!$K:$K,0)),CH54,INDEX('[1]Définition Maintenances'!$G:$G,MATCH($A54,'[1]Définition Maintenances'!$K:$K,0))+CH54),CH54))</f>
        <v>1200</v>
      </c>
      <c r="CJ54" s="26">
        <f>IF(ISNUMBER(VLOOKUP($D54,'Visu totale'!$D:$DH,CJ$1,0)),CI54-VLOOKUP($D54,'Visu totale'!$D:$DH,CJ$1,0),IF(LEFT(VLOOKUP($D54,'Visu totale'!$D:$DH,CJ$1,0),1)="V",IF(CI54&gt;=INDEX('[1]Définition Maintenances'!$G:$G,MATCH($A54,'[1]Définition Maintenances'!$K:$K,0)),CI54,INDEX('[1]Définition Maintenances'!$G:$G,MATCH($A54,'[1]Définition Maintenances'!$K:$K,0))+CI54),CI54))</f>
        <v>1200</v>
      </c>
      <c r="CK54" s="27">
        <f>IF(ISNUMBER(VLOOKUP($D54,'Visu totale'!$D:$DH,CK$1,0)),CJ54-VLOOKUP($D54,'Visu totale'!$D:$DH,CK$1,0),IF(LEFT(VLOOKUP($D54,'Visu totale'!$D:$DH,CK$1,0),1)="V",IF(CJ54&gt;=INDEX('[1]Définition Maintenances'!$G:$G,MATCH($A54,'[1]Définition Maintenances'!$K:$K,0)),CJ54,INDEX('[1]Définition Maintenances'!$G:$G,MATCH($A54,'[1]Définition Maintenances'!$K:$K,0))+CJ54),CJ54))</f>
        <v>1200</v>
      </c>
      <c r="CL54" s="25">
        <f>IF(ISNUMBER(VLOOKUP($D54,'Visu totale'!$D:$DH,CL$1,0)),CK54-VLOOKUP($D54,'Visu totale'!$D:$DH,CL$1,0),IF(LEFT(VLOOKUP($D54,'Visu totale'!$D:$DH,CL$1,0),1)="V",IF(CK54&gt;=INDEX('[1]Définition Maintenances'!$G:$G,MATCH($A54,'[1]Définition Maintenances'!$K:$K,0)),CK54,INDEX('[1]Définition Maintenances'!$G:$G,MATCH($A54,'[1]Définition Maintenances'!$K:$K,0))+CK54),CK54))</f>
        <v>1200</v>
      </c>
      <c r="CM54" s="26">
        <f>IF(ISNUMBER(VLOOKUP($D54,'Visu totale'!$D:$DH,CM$1,0)),CL54-VLOOKUP($D54,'Visu totale'!$D:$DH,CM$1,0),IF(LEFT(VLOOKUP($D54,'Visu totale'!$D:$DH,CM$1,0),1)="V",IF(CL54&gt;=INDEX('[1]Définition Maintenances'!$G:$G,MATCH($A54,'[1]Définition Maintenances'!$K:$K,0)),CL54,INDEX('[1]Définition Maintenances'!$G:$G,MATCH($A54,'[1]Définition Maintenances'!$K:$K,0))+CL54),CL54))</f>
        <v>1200</v>
      </c>
      <c r="CN54" s="26">
        <f>IF(ISNUMBER(VLOOKUP($D54,'Visu totale'!$D:$DH,CN$1,0)),CM54-VLOOKUP($D54,'Visu totale'!$D:$DH,CN$1,0),IF(LEFT(VLOOKUP($D54,'Visu totale'!$D:$DH,CN$1,0),1)="V",IF(CM54&gt;=INDEX('[1]Définition Maintenances'!$G:$G,MATCH($A54,'[1]Définition Maintenances'!$K:$K,0)),CM54,INDEX('[1]Définition Maintenances'!$G:$G,MATCH($A54,'[1]Définition Maintenances'!$K:$K,0))+CM54),CM54))</f>
        <v>1200</v>
      </c>
      <c r="CO54" s="26">
        <f>IF(ISNUMBER(VLOOKUP($D54,'Visu totale'!$D:$DH,CO$1,0)),CN54-VLOOKUP($D54,'Visu totale'!$D:$DH,CO$1,0),IF(LEFT(VLOOKUP($D54,'Visu totale'!$D:$DH,CO$1,0),1)="V",IF(CN54&gt;=INDEX('[1]Définition Maintenances'!$G:$G,MATCH($A54,'[1]Définition Maintenances'!$K:$K,0)),CN54,INDEX('[1]Définition Maintenances'!$G:$G,MATCH($A54,'[1]Définition Maintenances'!$K:$K,0))+CN54),CN54))</f>
        <v>1200</v>
      </c>
      <c r="CP54" s="26">
        <f>IF(ISNUMBER(VLOOKUP($D54,'Visu totale'!$D:$DH,CP$1,0)),CO54-VLOOKUP($D54,'Visu totale'!$D:$DH,CP$1,0),IF(LEFT(VLOOKUP($D54,'Visu totale'!$D:$DH,CP$1,0),1)="V",IF(CO54&gt;=INDEX('[1]Définition Maintenances'!$G:$G,MATCH($A54,'[1]Définition Maintenances'!$K:$K,0)),CO54,INDEX('[1]Définition Maintenances'!$G:$G,MATCH($A54,'[1]Définition Maintenances'!$K:$K,0))+CO54),CO54))</f>
        <v>1200</v>
      </c>
      <c r="CQ54" s="26">
        <f>IF(ISNUMBER(VLOOKUP($D54,'Visu totale'!$D:$DH,CQ$1,0)),CP54-VLOOKUP($D54,'Visu totale'!$D:$DH,CQ$1,0),IF(LEFT(VLOOKUP($D54,'Visu totale'!$D:$DH,CQ$1,0),1)="V",IF(CP54&gt;=INDEX('[1]Définition Maintenances'!$G:$G,MATCH($A54,'[1]Définition Maintenances'!$K:$K,0)),CP54,INDEX('[1]Définition Maintenances'!$G:$G,MATCH($A54,'[1]Définition Maintenances'!$K:$K,0))+CP54),CP54))</f>
        <v>1200</v>
      </c>
      <c r="CR54" s="26">
        <f>IF(ISNUMBER(VLOOKUP($D54,'Visu totale'!$D:$DH,CR$1,0)),CQ54-VLOOKUP($D54,'Visu totale'!$D:$DH,CR$1,0),IF(LEFT(VLOOKUP($D54,'Visu totale'!$D:$DH,CR$1,0),1)="V",IF(CQ54&gt;=INDEX('[1]Définition Maintenances'!$G:$G,MATCH($A54,'[1]Définition Maintenances'!$K:$K,0)),CQ54,INDEX('[1]Définition Maintenances'!$G:$G,MATCH($A54,'[1]Définition Maintenances'!$K:$K,0))+CQ54),CQ54))</f>
        <v>1200</v>
      </c>
      <c r="CS54" s="26">
        <f>IF(ISNUMBER(VLOOKUP($D54,'Visu totale'!$D:$DH,CS$1,0)),CR54-VLOOKUP($D54,'Visu totale'!$D:$DH,CS$1,0),IF(LEFT(VLOOKUP($D54,'Visu totale'!$D:$DH,CS$1,0),1)="V",IF(CR54&gt;=INDEX('[1]Définition Maintenances'!$G:$G,MATCH($A54,'[1]Définition Maintenances'!$K:$K,0)),CR54,INDEX('[1]Définition Maintenances'!$G:$G,MATCH($A54,'[1]Définition Maintenances'!$K:$K,0))+CR54),CR54))</f>
        <v>1200</v>
      </c>
      <c r="CT54" s="26">
        <f>IF(ISNUMBER(VLOOKUP($D54,'Visu totale'!$D:$DH,CT$1,0)),CS54-VLOOKUP($D54,'Visu totale'!$D:$DH,CT$1,0),IF(LEFT(VLOOKUP($D54,'Visu totale'!$D:$DH,CT$1,0),1)="V",IF(CS54&gt;=INDEX('[1]Définition Maintenances'!$G:$G,MATCH($A54,'[1]Définition Maintenances'!$K:$K,0)),CS54,INDEX('[1]Définition Maintenances'!$G:$G,MATCH($A54,'[1]Définition Maintenances'!$K:$K,0))+CS54),CS54))</f>
        <v>1200</v>
      </c>
      <c r="CU54" s="26">
        <f>IF(ISNUMBER(VLOOKUP($D54,'Visu totale'!$D:$DH,CU$1,0)),CT54-VLOOKUP($D54,'Visu totale'!$D:$DH,CU$1,0),IF(LEFT(VLOOKUP($D54,'Visu totale'!$D:$DH,CU$1,0),1)="V",IF(CT54&gt;=INDEX('[1]Définition Maintenances'!$G:$G,MATCH($A54,'[1]Définition Maintenances'!$K:$K,0)),CT54,INDEX('[1]Définition Maintenances'!$G:$G,MATCH($A54,'[1]Définition Maintenances'!$K:$K,0))+CT54),CT54))</f>
        <v>1200</v>
      </c>
      <c r="CV54" s="26">
        <f>IF(ISNUMBER(VLOOKUP($D54,'Visu totale'!$D:$DH,CV$1,0)),CU54-VLOOKUP($D54,'Visu totale'!$D:$DH,CV$1,0),IF(LEFT(VLOOKUP($D54,'Visu totale'!$D:$DH,CV$1,0),1)="V",IF(CU54&gt;=INDEX('[1]Définition Maintenances'!$G:$G,MATCH($A54,'[1]Définition Maintenances'!$K:$K,0)),CU54,INDEX('[1]Définition Maintenances'!$G:$G,MATCH($A54,'[1]Définition Maintenances'!$K:$K,0))+CU54),CU54))</f>
        <v>1200</v>
      </c>
      <c r="CW54" s="27">
        <f>IF(ISNUMBER(VLOOKUP($D54,'Visu totale'!$D:$DH,CW$1,0)),CV54-VLOOKUP($D54,'Visu totale'!$D:$DH,CW$1,0),IF(LEFT(VLOOKUP($D54,'Visu totale'!$D:$DH,CW$1,0),1)="V",IF(CV54&gt;=INDEX('[1]Définition Maintenances'!$G:$G,MATCH($A54,'[1]Définition Maintenances'!$K:$K,0)),CV54,INDEX('[1]Définition Maintenances'!$G:$G,MATCH($A54,'[1]Définition Maintenances'!$K:$K,0))+CV54),CV54))</f>
        <v>1200</v>
      </c>
      <c r="CX54" s="25">
        <f>IF(ISNUMBER(VLOOKUP($D54,'Visu totale'!$D:$DH,CX$1,0)),CW54-VLOOKUP($D54,'Visu totale'!$D:$DH,CX$1,0),IF(LEFT(VLOOKUP($D54,'Visu totale'!$D:$DH,CX$1,0),1)="V",IF(CW54&gt;=INDEX('[1]Définition Maintenances'!$G:$G,MATCH($A54,'[1]Définition Maintenances'!$K:$K,0)),CW54,INDEX('[1]Définition Maintenances'!$G:$G,MATCH($A54,'[1]Définition Maintenances'!$K:$K,0))+CW54),CW54))</f>
        <v>1200</v>
      </c>
      <c r="CY54" s="26">
        <f>IF(ISNUMBER(VLOOKUP($D54,'Visu totale'!$D:$DH,CY$1,0)),CX54-VLOOKUP($D54,'Visu totale'!$D:$DH,CY$1,0),IF(LEFT(VLOOKUP($D54,'Visu totale'!$D:$DH,CY$1,0),1)="V",IF(CX54&gt;=INDEX('[1]Définition Maintenances'!$G:$G,MATCH($A54,'[1]Définition Maintenances'!$K:$K,0)),CX54,INDEX('[1]Définition Maintenances'!$G:$G,MATCH($A54,'[1]Définition Maintenances'!$K:$K,0))+CX54),CX54))</f>
        <v>1200</v>
      </c>
      <c r="CZ54" s="26">
        <f>IF(ISNUMBER(VLOOKUP($D54,'Visu totale'!$D:$DH,CZ$1,0)),CY54-VLOOKUP($D54,'Visu totale'!$D:$DH,CZ$1,0),IF(LEFT(VLOOKUP($D54,'Visu totale'!$D:$DH,CZ$1,0),1)="V",IF(CY54&gt;=INDEX('[1]Définition Maintenances'!$G:$G,MATCH($A54,'[1]Définition Maintenances'!$K:$K,0)),CY54,INDEX('[1]Définition Maintenances'!$G:$G,MATCH($A54,'[1]Définition Maintenances'!$K:$K,0))+CY54),CY54))</f>
        <v>1200</v>
      </c>
      <c r="DA54" s="26">
        <f>IF(ISNUMBER(VLOOKUP($D54,'Visu totale'!$D:$DH,DA$1,0)),CZ54-VLOOKUP($D54,'Visu totale'!$D:$DH,DA$1,0),IF(LEFT(VLOOKUP($D54,'Visu totale'!$D:$DH,DA$1,0),1)="V",IF(CZ54&gt;=INDEX('[1]Définition Maintenances'!$G:$G,MATCH($A54,'[1]Définition Maintenances'!$K:$K,0)),CZ54,INDEX('[1]Définition Maintenances'!$G:$G,MATCH($A54,'[1]Définition Maintenances'!$K:$K,0))+CZ54),CZ54))</f>
        <v>1200</v>
      </c>
      <c r="DB54" s="26">
        <f>IF(ISNUMBER(VLOOKUP($D54,'Visu totale'!$D:$DH,DB$1,0)),DA54-VLOOKUP($D54,'Visu totale'!$D:$DH,DB$1,0),IF(LEFT(VLOOKUP($D54,'Visu totale'!$D:$DH,DB$1,0),1)="V",IF(DA54&gt;=INDEX('[1]Définition Maintenances'!$G:$G,MATCH($A54,'[1]Définition Maintenances'!$K:$K,0)),DA54,INDEX('[1]Définition Maintenances'!$G:$G,MATCH($A54,'[1]Définition Maintenances'!$K:$K,0))+DA54),DA54))</f>
        <v>1200</v>
      </c>
      <c r="DC54" s="26">
        <f>IF(ISNUMBER(VLOOKUP($D54,'Visu totale'!$D:$DH,DC$1,0)),DB54-VLOOKUP($D54,'Visu totale'!$D:$DH,DC$1,0),IF(LEFT(VLOOKUP($D54,'Visu totale'!$D:$DH,DC$1,0),1)="V",IF(DB54&gt;=INDEX('[1]Définition Maintenances'!$G:$G,MATCH($A54,'[1]Définition Maintenances'!$K:$K,0)),DB54,INDEX('[1]Définition Maintenances'!$G:$G,MATCH($A54,'[1]Définition Maintenances'!$K:$K,0))+DB54),DB54))</f>
        <v>1200</v>
      </c>
      <c r="DD54" s="26">
        <f>IF(ISNUMBER(VLOOKUP($D54,'Visu totale'!$D:$DH,DD$1,0)),DC54-VLOOKUP($D54,'Visu totale'!$D:$DH,DD$1,0),IF(LEFT(VLOOKUP($D54,'Visu totale'!$D:$DH,DD$1,0),1)="V",IF(DC54&gt;=INDEX('[1]Définition Maintenances'!$G:$G,MATCH($A54,'[1]Définition Maintenances'!$K:$K,0)),DC54,INDEX('[1]Définition Maintenances'!$G:$G,MATCH($A54,'[1]Définition Maintenances'!$K:$K,0))+DC54),DC54))</f>
        <v>1200</v>
      </c>
      <c r="DE54" s="26">
        <f>IF(ISNUMBER(VLOOKUP($D54,'Visu totale'!$D:$DH,DE$1,0)),DD54-VLOOKUP($D54,'Visu totale'!$D:$DH,DE$1,0),IF(LEFT(VLOOKUP($D54,'Visu totale'!$D:$DH,DE$1,0),1)="V",IF(DD54&gt;=INDEX('[1]Définition Maintenances'!$G:$G,MATCH($A54,'[1]Définition Maintenances'!$K:$K,0)),DD54,INDEX('[1]Définition Maintenances'!$G:$G,MATCH($A54,'[1]Définition Maintenances'!$K:$K,0))+DD54),DD54))</f>
        <v>1200</v>
      </c>
      <c r="DF54" s="26">
        <f>IF(ISNUMBER(VLOOKUP($D54,'Visu totale'!$D:$DH,DF$1,0)),DE54-VLOOKUP($D54,'Visu totale'!$D:$DH,DF$1,0),IF(LEFT(VLOOKUP($D54,'Visu totale'!$D:$DH,DF$1,0),1)="V",IF(DE54&gt;=INDEX('[1]Définition Maintenances'!$G:$G,MATCH($A54,'[1]Définition Maintenances'!$K:$K,0)),DE54,INDEX('[1]Définition Maintenances'!$G:$G,MATCH($A54,'[1]Définition Maintenances'!$K:$K,0))+DE54),DE54))</f>
        <v>1200</v>
      </c>
      <c r="DG54" s="26">
        <f>IF(ISNUMBER(VLOOKUP($D54,'Visu totale'!$D:$DH,DG$1,0)),DF54-VLOOKUP($D54,'Visu totale'!$D:$DH,DG$1,0),IF(LEFT(VLOOKUP($D54,'Visu totale'!$D:$DH,DG$1,0),1)="V",IF(DF54&gt;=INDEX('[1]Définition Maintenances'!$G:$G,MATCH($A54,'[1]Définition Maintenances'!$K:$K,0)),DF54,INDEX('[1]Définition Maintenances'!$G:$G,MATCH($A54,'[1]Définition Maintenances'!$K:$K,0))+DF54),DF54))</f>
        <v>1200</v>
      </c>
      <c r="DH54" s="26">
        <f>IF(ISNUMBER(VLOOKUP($D54,'Visu totale'!$D:$DH,DH$1,0)),DG54-VLOOKUP($D54,'Visu totale'!$D:$DH,DH$1,0),IF(LEFT(VLOOKUP($D54,'Visu totale'!$D:$DH,DH$1,0),1)="V",IF(DG54&gt;=INDEX('[1]Définition Maintenances'!$G:$G,MATCH($A54,'[1]Définition Maintenances'!$K:$K,0)),DG54,INDEX('[1]Définition Maintenances'!$G:$G,MATCH($A54,'[1]Définition Maintenances'!$K:$K,0))+DG54),DG54))</f>
        <v>1200</v>
      </c>
      <c r="DI54" s="27">
        <f>IF(ISNUMBER(VLOOKUP($D54,'Visu totale'!$D:$DH,DI$1,0)),DH54-VLOOKUP($D54,'Visu totale'!$D:$DH,DI$1,0),IF(LEFT(VLOOKUP($D54,'Visu totale'!$D:$DH,DI$1,0),1)="V",IF(DH54&gt;=INDEX('[1]Définition Maintenances'!$G:$G,MATCH($A54,'[1]Définition Maintenances'!$K:$K,0)),DH54,INDEX('[1]Définition Maintenances'!$G:$G,MATCH($A54,'[1]Définition Maintenances'!$K:$K,0))+DH54),DH54))</f>
        <v>1200</v>
      </c>
    </row>
    <row r="55" spans="1:113" x14ac:dyDescent="0.25">
      <c r="A55" s="13" t="str">
        <f t="shared" si="1"/>
        <v>V15D</v>
      </c>
      <c r="B55" s="13" t="str">
        <f>VLOOKUP(D55,'[1]Avions (Potentiels)'!$B$2:$H$128,7,FALSE)</f>
        <v>V15</v>
      </c>
      <c r="C55" s="13"/>
      <c r="D55" s="16" t="s">
        <v>58</v>
      </c>
      <c r="E55" s="13">
        <f>IFERROR(VALUE(SUBSTITUTE(VLOOKUP(D55,'[1]Avions (Potentiels)'!$B:$E,4,0),".",",")),VALUE(VLOOKUP(D55,'[1]Avions (Potentiels)'!$B:$E,4,0)))</f>
        <v>642</v>
      </c>
      <c r="F55" s="25">
        <f>IF(ISNUMBER(VLOOKUP($D55,'Visu totale'!$D:$DH,F$1,0)),E55-VLOOKUP($D55,'Visu totale'!$D:$DH,F$1,0),IF(LEFT(VLOOKUP($D55,'Visu totale'!$D:$DH,F$1,0),1)="V",IF(E55&gt;=INDEX('[1]Définition Maintenances'!$G:$G,MATCH($A55,'[1]Définition Maintenances'!$K:$K,0)),E55,INDEX('[1]Définition Maintenances'!$G:$G,MATCH($A55,'[1]Définition Maintenances'!$K:$K,0))+E55),E55))</f>
        <v>642</v>
      </c>
      <c r="G55" s="26">
        <f>IF(ISNUMBER(VLOOKUP($D55,'Visu totale'!$D:$DH,G$1,0)),F55-VLOOKUP($D55,'Visu totale'!$D:$DH,G$1,0),IF(LEFT(VLOOKUP($D55,'Visu totale'!$D:$DH,G$1,0),1)="V",IF(F55&gt;=INDEX('[1]Définition Maintenances'!$G:$G,MATCH($A55,'[1]Définition Maintenances'!$K:$K,0)),F55,INDEX('[1]Définition Maintenances'!$G:$G,MATCH($A55,'[1]Définition Maintenances'!$K:$K,0))+F55),F55))</f>
        <v>642</v>
      </c>
      <c r="H55" s="26">
        <f>IF(ISNUMBER(VLOOKUP($D55,'Visu totale'!$D:$DH,H$1,0)),G55-VLOOKUP($D55,'Visu totale'!$D:$DH,H$1,0),IF(LEFT(VLOOKUP($D55,'Visu totale'!$D:$DH,H$1,0),1)="V",IF(G55&gt;=INDEX('[1]Définition Maintenances'!$G:$G,MATCH($A55,'[1]Définition Maintenances'!$K:$K,0)),G55,INDEX('[1]Définition Maintenances'!$G:$G,MATCH($A55,'[1]Définition Maintenances'!$K:$K,0))+G55),G55))</f>
        <v>642</v>
      </c>
      <c r="I55" s="26">
        <f>IF(ISNUMBER(VLOOKUP($D55,'Visu totale'!$D:$DH,I$1,0)),H55-VLOOKUP($D55,'Visu totale'!$D:$DH,I$1,0),IF(LEFT(VLOOKUP($D55,'Visu totale'!$D:$DH,I$1,0),1)="V",IF(H55&gt;=INDEX('[1]Définition Maintenances'!$G:$G,MATCH($A55,'[1]Définition Maintenances'!$K:$K,0)),H55,INDEX('[1]Définition Maintenances'!$G:$G,MATCH($A55,'[1]Définition Maintenances'!$K:$K,0))+H55),H55))</f>
        <v>642</v>
      </c>
      <c r="J55" s="26">
        <f>IF(ISNUMBER(VLOOKUP($D55,'Visu totale'!$D:$DH,J$1,0)),I55-VLOOKUP($D55,'Visu totale'!$D:$DH,J$1,0),IF(LEFT(VLOOKUP($D55,'Visu totale'!$D:$DH,J$1,0),1)="V",IF(I55&gt;=INDEX('[1]Définition Maintenances'!$G:$G,MATCH($A55,'[1]Définition Maintenances'!$K:$K,0)),I55,INDEX('[1]Définition Maintenances'!$G:$G,MATCH($A55,'[1]Définition Maintenances'!$K:$K,0))+I55),I55))</f>
        <v>642</v>
      </c>
      <c r="K55" s="26">
        <f>IF(ISNUMBER(VLOOKUP($D55,'Visu totale'!$D:$DH,K$1,0)),J55-VLOOKUP($D55,'Visu totale'!$D:$DH,K$1,0),IF(LEFT(VLOOKUP($D55,'Visu totale'!$D:$DH,K$1,0),1)="V",IF(J55&gt;=INDEX('[1]Définition Maintenances'!$G:$G,MATCH($A55,'[1]Définition Maintenances'!$K:$K,0)),J55,INDEX('[1]Définition Maintenances'!$G:$G,MATCH($A55,'[1]Définition Maintenances'!$K:$K,0))+J55),J55))</f>
        <v>642</v>
      </c>
      <c r="L55" s="26">
        <f>IF(ISNUMBER(VLOOKUP($D55,'Visu totale'!$D:$DH,L$1,0)),K55-VLOOKUP($D55,'Visu totale'!$D:$DH,L$1,0),IF(LEFT(VLOOKUP($D55,'Visu totale'!$D:$DH,L$1,0),1)="V",IF(K55&gt;=INDEX('[1]Définition Maintenances'!$G:$G,MATCH($A55,'[1]Définition Maintenances'!$K:$K,0)),K55,INDEX('[1]Définition Maintenances'!$G:$G,MATCH($A55,'[1]Définition Maintenances'!$K:$K,0))+K55),K55))</f>
        <v>642</v>
      </c>
      <c r="M55" s="26">
        <f>IF(ISNUMBER(VLOOKUP($D55,'Visu totale'!$D:$DH,M$1,0)),L55-VLOOKUP($D55,'Visu totale'!$D:$DH,M$1,0),IF(LEFT(VLOOKUP($D55,'Visu totale'!$D:$DH,M$1,0),1)="V",IF(L55&gt;=INDEX('[1]Définition Maintenances'!$G:$G,MATCH($A55,'[1]Définition Maintenances'!$K:$K,0)),L55,INDEX('[1]Définition Maintenances'!$G:$G,MATCH($A55,'[1]Définition Maintenances'!$K:$K,0))+L55),L55))</f>
        <v>642</v>
      </c>
      <c r="N55" s="26">
        <f>IF(ISNUMBER(VLOOKUP($D55,'Visu totale'!$D:$DH,N$1,0)),M55-VLOOKUP($D55,'Visu totale'!$D:$DH,N$1,0),IF(LEFT(VLOOKUP($D55,'Visu totale'!$D:$DH,N$1,0),1)="V",IF(M55&gt;=INDEX('[1]Définition Maintenances'!$G:$G,MATCH($A55,'[1]Définition Maintenances'!$K:$K,0)),M55,INDEX('[1]Définition Maintenances'!$G:$G,MATCH($A55,'[1]Définition Maintenances'!$K:$K,0))+M55),M55))</f>
        <v>642</v>
      </c>
      <c r="O55" s="26">
        <f>IF(ISNUMBER(VLOOKUP($D55,'Visu totale'!$D:$DH,O$1,0)),N55-VLOOKUP($D55,'Visu totale'!$D:$DH,O$1,0),IF(LEFT(VLOOKUP($D55,'Visu totale'!$D:$DH,O$1,0),1)="V",IF(N55&gt;=INDEX('[1]Définition Maintenances'!$G:$G,MATCH($A55,'[1]Définition Maintenances'!$K:$K,0)),N55,INDEX('[1]Définition Maintenances'!$G:$G,MATCH($A55,'[1]Définition Maintenances'!$K:$K,0))+N55),N55))</f>
        <v>642</v>
      </c>
      <c r="P55" s="26">
        <f>IF(ISNUMBER(VLOOKUP($D55,'Visu totale'!$D:$DH,P$1,0)),O55-VLOOKUP($D55,'Visu totale'!$D:$DH,P$1,0),IF(LEFT(VLOOKUP($D55,'Visu totale'!$D:$DH,P$1,0),1)="V",IF(O55&gt;=INDEX('[1]Définition Maintenances'!$G:$G,MATCH($A55,'[1]Définition Maintenances'!$K:$K,0)),O55,INDEX('[1]Définition Maintenances'!$G:$G,MATCH($A55,'[1]Définition Maintenances'!$K:$K,0))+O55),O55))</f>
        <v>642</v>
      </c>
      <c r="Q55" s="27">
        <f>IF(ISNUMBER(VLOOKUP($D55,'Visu totale'!$D:$DH,Q$1,0)),P55-VLOOKUP($D55,'Visu totale'!$D:$DH,Q$1,0),IF(LEFT(VLOOKUP($D55,'Visu totale'!$D:$DH,Q$1,0),1)="V",IF(P55&gt;=INDEX('[1]Définition Maintenances'!$G:$G,MATCH($A55,'[1]Définition Maintenances'!$K:$K,0)),P55,INDEX('[1]Définition Maintenances'!$G:$G,MATCH($A55,'[1]Définition Maintenances'!$K:$K,0))+P55),P55))</f>
        <v>642</v>
      </c>
      <c r="R55" s="25">
        <f>IF(ISNUMBER(VLOOKUP($D55,'Visu totale'!$D:$DH,R$1,0)),Q55-VLOOKUP($D55,'Visu totale'!$D:$DH,R$1,0),IF(LEFT(VLOOKUP($D55,'Visu totale'!$D:$DH,R$1,0),1)="V",IF(Q55&gt;=INDEX('[1]Définition Maintenances'!$G:$G,MATCH($A55,'[1]Définition Maintenances'!$K:$K,0)),Q55,INDEX('[1]Définition Maintenances'!$G:$G,MATCH($A55,'[1]Définition Maintenances'!$K:$K,0))+Q55),Q55))</f>
        <v>642</v>
      </c>
      <c r="S55" s="26">
        <f>IF(ISNUMBER(VLOOKUP($D55,'Visu totale'!$D:$DH,S$1,0)),R55-VLOOKUP($D55,'Visu totale'!$D:$DH,S$1,0),IF(LEFT(VLOOKUP($D55,'Visu totale'!$D:$DH,S$1,0),1)="V",IF(R55&gt;=INDEX('[1]Définition Maintenances'!$G:$G,MATCH($A55,'[1]Définition Maintenances'!$K:$K,0)),R55,INDEX('[1]Définition Maintenances'!$G:$G,MATCH($A55,'[1]Définition Maintenances'!$K:$K,0))+R55),R55))</f>
        <v>642</v>
      </c>
      <c r="T55" s="26">
        <f>IF(ISNUMBER(VLOOKUP($D55,'Visu totale'!$D:$DH,T$1,0)),S55-VLOOKUP($D55,'Visu totale'!$D:$DH,T$1,0),IF(LEFT(VLOOKUP($D55,'Visu totale'!$D:$DH,T$1,0),1)="V",IF(S55&gt;=INDEX('[1]Définition Maintenances'!$G:$G,MATCH($A55,'[1]Définition Maintenances'!$K:$K,0)),S55,INDEX('[1]Définition Maintenances'!$G:$G,MATCH($A55,'[1]Définition Maintenances'!$K:$K,0))+S55),S55))</f>
        <v>642</v>
      </c>
      <c r="U55" s="26">
        <f>IF(ISNUMBER(VLOOKUP($D55,'Visu totale'!$D:$DH,U$1,0)),T55-VLOOKUP($D55,'Visu totale'!$D:$DH,U$1,0),IF(LEFT(VLOOKUP($D55,'Visu totale'!$D:$DH,U$1,0),1)="V",IF(T55&gt;=INDEX('[1]Définition Maintenances'!$G:$G,MATCH($A55,'[1]Définition Maintenances'!$K:$K,0)),T55,INDEX('[1]Définition Maintenances'!$G:$G,MATCH($A55,'[1]Définition Maintenances'!$K:$K,0))+T55),T55))</f>
        <v>642</v>
      </c>
      <c r="V55" s="26">
        <f>IF(ISNUMBER(VLOOKUP($D55,'Visu totale'!$D:$DH,V$1,0)),U55-VLOOKUP($D55,'Visu totale'!$D:$DH,V$1,0),IF(LEFT(VLOOKUP($D55,'Visu totale'!$D:$DH,V$1,0),1)="V",IF(U55&gt;=INDEX('[1]Définition Maintenances'!$G:$G,MATCH($A55,'[1]Définition Maintenances'!$K:$K,0)),U55,INDEX('[1]Définition Maintenances'!$G:$G,MATCH($A55,'[1]Définition Maintenances'!$K:$K,0))+U55),U55))</f>
        <v>642</v>
      </c>
      <c r="W55" s="26">
        <f>IF(ISNUMBER(VLOOKUP($D55,'Visu totale'!$D:$DH,W$1,0)),V55-VLOOKUP($D55,'Visu totale'!$D:$DH,W$1,0),IF(LEFT(VLOOKUP($D55,'Visu totale'!$D:$DH,W$1,0),1)="V",IF(V55&gt;=INDEX('[1]Définition Maintenances'!$G:$G,MATCH($A55,'[1]Définition Maintenances'!$K:$K,0)),V55,INDEX('[1]Définition Maintenances'!$G:$G,MATCH($A55,'[1]Définition Maintenances'!$K:$K,0))+V55),V55))</f>
        <v>642</v>
      </c>
      <c r="X55" s="26">
        <f>IF(ISNUMBER(VLOOKUP($D55,'Visu totale'!$D:$DH,X$1,0)),W55-VLOOKUP($D55,'Visu totale'!$D:$DH,X$1,0),IF(LEFT(VLOOKUP($D55,'Visu totale'!$D:$DH,X$1,0),1)="V",IF(W55&gt;=INDEX('[1]Définition Maintenances'!$G:$G,MATCH($A55,'[1]Définition Maintenances'!$K:$K,0)),W55,INDEX('[1]Définition Maintenances'!$G:$G,MATCH($A55,'[1]Définition Maintenances'!$K:$K,0))+W55),W55))</f>
        <v>642</v>
      </c>
      <c r="Y55" s="26">
        <f>IF(ISNUMBER(VLOOKUP($D55,'Visu totale'!$D:$DH,Y$1,0)),X55-VLOOKUP($D55,'Visu totale'!$D:$DH,Y$1,0),IF(LEFT(VLOOKUP($D55,'Visu totale'!$D:$DH,Y$1,0),1)="V",IF(X55&gt;=INDEX('[1]Définition Maintenances'!$G:$G,MATCH($A55,'[1]Définition Maintenances'!$K:$K,0)),X55,INDEX('[1]Définition Maintenances'!$G:$G,MATCH($A55,'[1]Définition Maintenances'!$K:$K,0))+X55),X55))</f>
        <v>642</v>
      </c>
      <c r="Z55" s="26">
        <f>IF(ISNUMBER(VLOOKUP($D55,'Visu totale'!$D:$DH,Z$1,0)),Y55-VLOOKUP($D55,'Visu totale'!$D:$DH,Z$1,0),IF(LEFT(VLOOKUP($D55,'Visu totale'!$D:$DH,Z$1,0),1)="V",IF(Y55&gt;=INDEX('[1]Définition Maintenances'!$G:$G,MATCH($A55,'[1]Définition Maintenances'!$K:$K,0)),Y55,INDEX('[1]Définition Maintenances'!$G:$G,MATCH($A55,'[1]Définition Maintenances'!$K:$K,0))+Y55),Y55))</f>
        <v>642</v>
      </c>
      <c r="AA55" s="26">
        <f>IF(ISNUMBER(VLOOKUP($D55,'Visu totale'!$D:$DH,AA$1,0)),Z55-VLOOKUP($D55,'Visu totale'!$D:$DH,AA$1,0),IF(LEFT(VLOOKUP($D55,'Visu totale'!$D:$DH,AA$1,0),1)="V",IF(Z55&gt;=INDEX('[1]Définition Maintenances'!$G:$G,MATCH($A55,'[1]Définition Maintenances'!$K:$K,0)),Z55,INDEX('[1]Définition Maintenances'!$G:$G,MATCH($A55,'[1]Définition Maintenances'!$K:$K,0))+Z55),Z55))</f>
        <v>642</v>
      </c>
      <c r="AB55" s="26">
        <f>IF(ISNUMBER(VLOOKUP($D55,'Visu totale'!$D:$DH,AB$1,0)),AA55-VLOOKUP($D55,'Visu totale'!$D:$DH,AB$1,0),IF(LEFT(VLOOKUP($D55,'Visu totale'!$D:$DH,AB$1,0),1)="V",IF(AA55&gt;=INDEX('[1]Définition Maintenances'!$G:$G,MATCH($A55,'[1]Définition Maintenances'!$K:$K,0)),AA55,INDEX('[1]Définition Maintenances'!$G:$G,MATCH($A55,'[1]Définition Maintenances'!$K:$K,0))+AA55),AA55))</f>
        <v>642</v>
      </c>
      <c r="AC55" s="27">
        <f>IF(ISNUMBER(VLOOKUP($D55,'Visu totale'!$D:$DH,AC$1,0)),AB55-VLOOKUP($D55,'Visu totale'!$D:$DH,AC$1,0),IF(LEFT(VLOOKUP($D55,'Visu totale'!$D:$DH,AC$1,0),1)="V",IF(AB55&gt;=INDEX('[1]Définition Maintenances'!$G:$G,MATCH($A55,'[1]Définition Maintenances'!$K:$K,0)),AB55,INDEX('[1]Définition Maintenances'!$G:$G,MATCH($A55,'[1]Définition Maintenances'!$K:$K,0))+AB55),AB55))</f>
        <v>642</v>
      </c>
      <c r="AD55" s="25">
        <f>IF(ISNUMBER(VLOOKUP($D55,'Visu totale'!$D:$DH,AD$1,0)),AC55-VLOOKUP($D55,'Visu totale'!$D:$DH,AD$1,0),IF(LEFT(VLOOKUP($D55,'Visu totale'!$D:$DH,AD$1,0),1)="V",IF(AC55&gt;=INDEX('[1]Définition Maintenances'!$G:$G,MATCH($A55,'[1]Définition Maintenances'!$K:$K,0)),AC55,INDEX('[1]Définition Maintenances'!$G:$G,MATCH($A55,'[1]Définition Maintenances'!$K:$K,0))+AC55),AC55))</f>
        <v>642</v>
      </c>
      <c r="AE55" s="26">
        <f>IF(ISNUMBER(VLOOKUP($D55,'Visu totale'!$D:$DH,AE$1,0)),AD55-VLOOKUP($D55,'Visu totale'!$D:$DH,AE$1,0),IF(LEFT(VLOOKUP($D55,'Visu totale'!$D:$DH,AE$1,0),1)="V",IF(AD55&gt;=INDEX('[1]Définition Maintenances'!$G:$G,MATCH($A55,'[1]Définition Maintenances'!$K:$K,0)),AD55,INDEX('[1]Définition Maintenances'!$G:$G,MATCH($A55,'[1]Définition Maintenances'!$K:$K,0))+AD55),AD55))</f>
        <v>642</v>
      </c>
      <c r="AF55" s="26">
        <f>IF(ISNUMBER(VLOOKUP($D55,'Visu totale'!$D:$DH,AF$1,0)),AE55-VLOOKUP($D55,'Visu totale'!$D:$DH,AF$1,0),IF(LEFT(VLOOKUP($D55,'Visu totale'!$D:$DH,AF$1,0),1)="V",IF(AE55&gt;=INDEX('[1]Définition Maintenances'!$G:$G,MATCH($A55,'[1]Définition Maintenances'!$K:$K,0)),AE55,INDEX('[1]Définition Maintenances'!$G:$G,MATCH($A55,'[1]Définition Maintenances'!$K:$K,0))+AE55),AE55))</f>
        <v>642</v>
      </c>
      <c r="AG55" s="26">
        <f>IF(ISNUMBER(VLOOKUP($D55,'Visu totale'!$D:$DH,AG$1,0)),AF55-VLOOKUP($D55,'Visu totale'!$D:$DH,AG$1,0),IF(LEFT(VLOOKUP($D55,'Visu totale'!$D:$DH,AG$1,0),1)="V",IF(AF55&gt;=INDEX('[1]Définition Maintenances'!$G:$G,MATCH($A55,'[1]Définition Maintenances'!$K:$K,0)),AF55,INDEX('[1]Définition Maintenances'!$G:$G,MATCH($A55,'[1]Définition Maintenances'!$K:$K,0))+AF55),AF55))</f>
        <v>642</v>
      </c>
      <c r="AH55" s="26">
        <f>IF(ISNUMBER(VLOOKUP($D55,'Visu totale'!$D:$DH,AH$1,0)),AG55-VLOOKUP($D55,'Visu totale'!$D:$DH,AH$1,0),IF(LEFT(VLOOKUP($D55,'Visu totale'!$D:$DH,AH$1,0),1)="V",IF(AG55&gt;=INDEX('[1]Définition Maintenances'!$G:$G,MATCH($A55,'[1]Définition Maintenances'!$K:$K,0)),AG55,INDEX('[1]Définition Maintenances'!$G:$G,MATCH($A55,'[1]Définition Maintenances'!$K:$K,0))+AG55),AG55))</f>
        <v>642</v>
      </c>
      <c r="AI55" s="26">
        <f>IF(ISNUMBER(VLOOKUP($D55,'Visu totale'!$D:$DH,AI$1,0)),AH55-VLOOKUP($D55,'Visu totale'!$D:$DH,AI$1,0),IF(LEFT(VLOOKUP($D55,'Visu totale'!$D:$DH,AI$1,0),1)="V",IF(AH55&gt;=INDEX('[1]Définition Maintenances'!$G:$G,MATCH($A55,'[1]Définition Maintenances'!$K:$K,0)),AH55,INDEX('[1]Définition Maintenances'!$G:$G,MATCH($A55,'[1]Définition Maintenances'!$K:$K,0))+AH55),AH55))</f>
        <v>642</v>
      </c>
      <c r="AJ55" s="26">
        <f>IF(ISNUMBER(VLOOKUP($D55,'Visu totale'!$D:$DH,AJ$1,0)),AI55-VLOOKUP($D55,'Visu totale'!$D:$DH,AJ$1,0),IF(LEFT(VLOOKUP($D55,'Visu totale'!$D:$DH,AJ$1,0),1)="V",IF(AI55&gt;=INDEX('[1]Définition Maintenances'!$G:$G,MATCH($A55,'[1]Définition Maintenances'!$K:$K,0)),AI55,INDEX('[1]Définition Maintenances'!$G:$G,MATCH($A55,'[1]Définition Maintenances'!$K:$K,0))+AI55),AI55))</f>
        <v>642</v>
      </c>
      <c r="AK55" s="26">
        <f>IF(ISNUMBER(VLOOKUP($D55,'Visu totale'!$D:$DH,AK$1,0)),AJ55-VLOOKUP($D55,'Visu totale'!$D:$DH,AK$1,0),IF(LEFT(VLOOKUP($D55,'Visu totale'!$D:$DH,AK$1,0),1)="V",IF(AJ55&gt;=INDEX('[1]Définition Maintenances'!$G:$G,MATCH($A55,'[1]Définition Maintenances'!$K:$K,0)),AJ55,INDEX('[1]Définition Maintenances'!$G:$G,MATCH($A55,'[1]Définition Maintenances'!$K:$K,0))+AJ55),AJ55))</f>
        <v>642</v>
      </c>
      <c r="AL55" s="26">
        <f>IF(ISNUMBER(VLOOKUP($D55,'Visu totale'!$D:$DH,AL$1,0)),AK55-VLOOKUP($D55,'Visu totale'!$D:$DH,AL$1,0),IF(LEFT(VLOOKUP($D55,'Visu totale'!$D:$DH,AL$1,0),1)="V",IF(AK55&gt;=INDEX('[1]Définition Maintenances'!$G:$G,MATCH($A55,'[1]Définition Maintenances'!$K:$K,0)),AK55,INDEX('[1]Définition Maintenances'!$G:$G,MATCH($A55,'[1]Définition Maintenances'!$K:$K,0))+AK55),AK55))</f>
        <v>642</v>
      </c>
      <c r="AM55" s="26">
        <f>IF(ISNUMBER(VLOOKUP($D55,'Visu totale'!$D:$DH,AM$1,0)),AL55-VLOOKUP($D55,'Visu totale'!$D:$DH,AM$1,0),IF(LEFT(VLOOKUP($D55,'Visu totale'!$D:$DH,AM$1,0),1)="V",IF(AL55&gt;=INDEX('[1]Définition Maintenances'!$G:$G,MATCH($A55,'[1]Définition Maintenances'!$K:$K,0)),AL55,INDEX('[1]Définition Maintenances'!$G:$G,MATCH($A55,'[1]Définition Maintenances'!$K:$K,0))+AL55),AL55))</f>
        <v>642</v>
      </c>
      <c r="AN55" s="26">
        <f>IF(ISNUMBER(VLOOKUP($D55,'Visu totale'!$D:$DH,AN$1,0)),AM55-VLOOKUP($D55,'Visu totale'!$D:$DH,AN$1,0),IF(LEFT(VLOOKUP($D55,'Visu totale'!$D:$DH,AN$1,0),1)="V",IF(AM55&gt;=INDEX('[1]Définition Maintenances'!$G:$G,MATCH($A55,'[1]Définition Maintenances'!$K:$K,0)),AM55,INDEX('[1]Définition Maintenances'!$G:$G,MATCH($A55,'[1]Définition Maintenances'!$K:$K,0))+AM55),AM55))</f>
        <v>642</v>
      </c>
      <c r="AO55" s="27">
        <f>IF(ISNUMBER(VLOOKUP($D55,'Visu totale'!$D:$DH,AO$1,0)),AN55-VLOOKUP($D55,'Visu totale'!$D:$DH,AO$1,0),IF(LEFT(VLOOKUP($D55,'Visu totale'!$D:$DH,AO$1,0),1)="V",IF(AN55&gt;=INDEX('[1]Définition Maintenances'!$G:$G,MATCH($A55,'[1]Définition Maintenances'!$K:$K,0)),AN55,INDEX('[1]Définition Maintenances'!$G:$G,MATCH($A55,'[1]Définition Maintenances'!$K:$K,0))+AN55),AN55))</f>
        <v>642</v>
      </c>
      <c r="AP55" s="25">
        <f>IF(ISNUMBER(VLOOKUP($D55,'Visu totale'!$D:$DH,AP$1,0)),AO55-VLOOKUP($D55,'Visu totale'!$D:$DH,AP$1,0),IF(LEFT(VLOOKUP($D55,'Visu totale'!$D:$DH,AP$1,0),1)="V",IF(AO55&gt;=INDEX('[1]Définition Maintenances'!$G:$G,MATCH($A55,'[1]Définition Maintenances'!$K:$K,0)),AO55,INDEX('[1]Définition Maintenances'!$G:$G,MATCH($A55,'[1]Définition Maintenances'!$K:$K,0))+AO55),AO55))</f>
        <v>642</v>
      </c>
      <c r="AQ55" s="26">
        <f>IF(ISNUMBER(VLOOKUP($D55,'Visu totale'!$D:$DH,AQ$1,0)),AP55-VLOOKUP($D55,'Visu totale'!$D:$DH,AQ$1,0),IF(LEFT(VLOOKUP($D55,'Visu totale'!$D:$DH,AQ$1,0),1)="V",IF(AP55&gt;=INDEX('[1]Définition Maintenances'!$G:$G,MATCH($A55,'[1]Définition Maintenances'!$K:$K,0)),AP55,INDEX('[1]Définition Maintenances'!$G:$G,MATCH($A55,'[1]Définition Maintenances'!$K:$K,0))+AP55),AP55))</f>
        <v>642</v>
      </c>
      <c r="AR55" s="26">
        <f>IF(ISNUMBER(VLOOKUP($D55,'Visu totale'!$D:$DH,AR$1,0)),AQ55-VLOOKUP($D55,'Visu totale'!$D:$DH,AR$1,0),IF(LEFT(VLOOKUP($D55,'Visu totale'!$D:$DH,AR$1,0),1)="V",IF(AQ55&gt;=INDEX('[1]Définition Maintenances'!$G:$G,MATCH($A55,'[1]Définition Maintenances'!$K:$K,0)),AQ55,INDEX('[1]Définition Maintenances'!$G:$G,MATCH($A55,'[1]Définition Maintenances'!$K:$K,0))+AQ55),AQ55))</f>
        <v>642</v>
      </c>
      <c r="AS55" s="26">
        <f>IF(ISNUMBER(VLOOKUP($D55,'Visu totale'!$D:$DH,AS$1,0)),AR55-VLOOKUP($D55,'Visu totale'!$D:$DH,AS$1,0),IF(LEFT(VLOOKUP($D55,'Visu totale'!$D:$DH,AS$1,0),1)="V",IF(AR55&gt;=INDEX('[1]Définition Maintenances'!$G:$G,MATCH($A55,'[1]Définition Maintenances'!$K:$K,0)),AR55,INDEX('[1]Définition Maintenances'!$G:$G,MATCH($A55,'[1]Définition Maintenances'!$K:$K,0))+AR55),AR55))</f>
        <v>642</v>
      </c>
      <c r="AT55" s="26">
        <f>IF(ISNUMBER(VLOOKUP($D55,'Visu totale'!$D:$DH,AT$1,0)),AS55-VLOOKUP($D55,'Visu totale'!$D:$DH,AT$1,0),IF(LEFT(VLOOKUP($D55,'Visu totale'!$D:$DH,AT$1,0),1)="V",IF(AS55&gt;=INDEX('[1]Définition Maintenances'!$G:$G,MATCH($A55,'[1]Définition Maintenances'!$K:$K,0)),AS55,INDEX('[1]Définition Maintenances'!$G:$G,MATCH($A55,'[1]Définition Maintenances'!$K:$K,0))+AS55),AS55))</f>
        <v>642</v>
      </c>
      <c r="AU55" s="26">
        <f>IF(ISNUMBER(VLOOKUP($D55,'Visu totale'!$D:$DH,AU$1,0)),AT55-VLOOKUP($D55,'Visu totale'!$D:$DH,AU$1,0),IF(LEFT(VLOOKUP($D55,'Visu totale'!$D:$DH,AU$1,0),1)="V",IF(AT55&gt;=INDEX('[1]Définition Maintenances'!$G:$G,MATCH($A55,'[1]Définition Maintenances'!$K:$K,0)),AT55,INDEX('[1]Définition Maintenances'!$G:$G,MATCH($A55,'[1]Définition Maintenances'!$K:$K,0))+AT55),AT55))</f>
        <v>642</v>
      </c>
      <c r="AV55" s="26">
        <f>IF(ISNUMBER(VLOOKUP($D55,'Visu totale'!$D:$DH,AV$1,0)),AU55-VLOOKUP($D55,'Visu totale'!$D:$DH,AV$1,0),IF(LEFT(VLOOKUP($D55,'Visu totale'!$D:$DH,AV$1,0),1)="V",IF(AU55&gt;=INDEX('[1]Définition Maintenances'!$G:$G,MATCH($A55,'[1]Définition Maintenances'!$K:$K,0)),AU55,INDEX('[1]Définition Maintenances'!$G:$G,MATCH($A55,'[1]Définition Maintenances'!$K:$K,0))+AU55),AU55))</f>
        <v>642</v>
      </c>
      <c r="AW55" s="26">
        <f>IF(ISNUMBER(VLOOKUP($D55,'Visu totale'!$D:$DH,AW$1,0)),AV55-VLOOKUP($D55,'Visu totale'!$D:$DH,AW$1,0),IF(LEFT(VLOOKUP($D55,'Visu totale'!$D:$DH,AW$1,0),1)="V",IF(AV55&gt;=INDEX('[1]Définition Maintenances'!$G:$G,MATCH($A55,'[1]Définition Maintenances'!$K:$K,0)),AV55,INDEX('[1]Définition Maintenances'!$G:$G,MATCH($A55,'[1]Définition Maintenances'!$K:$K,0))+AV55),AV55))</f>
        <v>642</v>
      </c>
      <c r="AX55" s="26">
        <f>IF(ISNUMBER(VLOOKUP($D55,'Visu totale'!$D:$DH,AX$1,0)),AW55-VLOOKUP($D55,'Visu totale'!$D:$DH,AX$1,0),IF(LEFT(VLOOKUP($D55,'Visu totale'!$D:$DH,AX$1,0),1)="V",IF(AW55&gt;=INDEX('[1]Définition Maintenances'!$G:$G,MATCH($A55,'[1]Définition Maintenances'!$K:$K,0)),AW55,INDEX('[1]Définition Maintenances'!$G:$G,MATCH($A55,'[1]Définition Maintenances'!$K:$K,0))+AW55),AW55))</f>
        <v>642</v>
      </c>
      <c r="AY55" s="26">
        <f>IF(ISNUMBER(VLOOKUP($D55,'Visu totale'!$D:$DH,AY$1,0)),AX55-VLOOKUP($D55,'Visu totale'!$D:$DH,AY$1,0),IF(LEFT(VLOOKUP($D55,'Visu totale'!$D:$DH,AY$1,0),1)="V",IF(AX55&gt;=INDEX('[1]Définition Maintenances'!$G:$G,MATCH($A55,'[1]Définition Maintenances'!$K:$K,0)),AX55,INDEX('[1]Définition Maintenances'!$G:$G,MATCH($A55,'[1]Définition Maintenances'!$K:$K,0))+AX55),AX55))</f>
        <v>642</v>
      </c>
      <c r="AZ55" s="26">
        <f>IF(ISNUMBER(VLOOKUP($D55,'Visu totale'!$D:$DH,AZ$1,0)),AY55-VLOOKUP($D55,'Visu totale'!$D:$DH,AZ$1,0),IF(LEFT(VLOOKUP($D55,'Visu totale'!$D:$DH,AZ$1,0),1)="V",IF(AY55&gt;=INDEX('[1]Définition Maintenances'!$G:$G,MATCH($A55,'[1]Définition Maintenances'!$K:$K,0)),AY55,INDEX('[1]Définition Maintenances'!$G:$G,MATCH($A55,'[1]Définition Maintenances'!$K:$K,0))+AY55),AY55))</f>
        <v>642</v>
      </c>
      <c r="BA55" s="27">
        <f>IF(ISNUMBER(VLOOKUP($D55,'Visu totale'!$D:$DH,BA$1,0)),AZ55-VLOOKUP($D55,'Visu totale'!$D:$DH,BA$1,0),IF(LEFT(VLOOKUP($D55,'Visu totale'!$D:$DH,BA$1,0),1)="V",IF(AZ55&gt;=INDEX('[1]Définition Maintenances'!$G:$G,MATCH($A55,'[1]Définition Maintenances'!$K:$K,0)),AZ55,INDEX('[1]Définition Maintenances'!$G:$G,MATCH($A55,'[1]Définition Maintenances'!$K:$K,0))+AZ55),AZ55))</f>
        <v>642</v>
      </c>
      <c r="BB55" s="25">
        <f>IF(ISNUMBER(VLOOKUP($D55,'Visu totale'!$D:$DH,BB$1,0)),BA55-VLOOKUP($D55,'Visu totale'!$D:$DH,BB$1,0),IF(LEFT(VLOOKUP($D55,'Visu totale'!$D:$DH,BB$1,0),1)="V",IF(BA55&gt;=INDEX('[1]Définition Maintenances'!$G:$G,MATCH($A55,'[1]Définition Maintenances'!$K:$K,0)),BA55,INDEX('[1]Définition Maintenances'!$G:$G,MATCH($A55,'[1]Définition Maintenances'!$K:$K,0))+BA55),BA55))</f>
        <v>642</v>
      </c>
      <c r="BC55" s="26">
        <f>IF(ISNUMBER(VLOOKUP($D55,'Visu totale'!$D:$DH,BC$1,0)),BB55-VLOOKUP($D55,'Visu totale'!$D:$DH,BC$1,0),IF(LEFT(VLOOKUP($D55,'Visu totale'!$D:$DH,BC$1,0),1)="V",IF(BB55&gt;=INDEX('[1]Définition Maintenances'!$G:$G,MATCH($A55,'[1]Définition Maintenances'!$K:$K,0)),BB55,INDEX('[1]Définition Maintenances'!$G:$G,MATCH($A55,'[1]Définition Maintenances'!$K:$K,0))+BB55),BB55))</f>
        <v>642</v>
      </c>
      <c r="BD55" s="26">
        <f>IF(ISNUMBER(VLOOKUP($D55,'Visu totale'!$D:$DH,BD$1,0)),BC55-VLOOKUP($D55,'Visu totale'!$D:$DH,BD$1,0),IF(LEFT(VLOOKUP($D55,'Visu totale'!$D:$DH,BD$1,0),1)="V",IF(BC55&gt;=INDEX('[1]Définition Maintenances'!$G:$G,MATCH($A55,'[1]Définition Maintenances'!$K:$K,0)),BC55,INDEX('[1]Définition Maintenances'!$G:$G,MATCH($A55,'[1]Définition Maintenances'!$K:$K,0))+BC55),BC55))</f>
        <v>642</v>
      </c>
      <c r="BE55" s="26">
        <f>IF(ISNUMBER(VLOOKUP($D55,'Visu totale'!$D:$DH,BE$1,0)),BD55-VLOOKUP($D55,'Visu totale'!$D:$DH,BE$1,0),IF(LEFT(VLOOKUP($D55,'Visu totale'!$D:$DH,BE$1,0),1)="V",IF(BD55&gt;=INDEX('[1]Définition Maintenances'!$G:$G,MATCH($A55,'[1]Définition Maintenances'!$K:$K,0)),BD55,INDEX('[1]Définition Maintenances'!$G:$G,MATCH($A55,'[1]Définition Maintenances'!$K:$K,0))+BD55),BD55))</f>
        <v>642</v>
      </c>
      <c r="BF55" s="26">
        <f>IF(ISNUMBER(VLOOKUP($D55,'Visu totale'!$D:$DH,BF$1,0)),BE55-VLOOKUP($D55,'Visu totale'!$D:$DH,BF$1,0),IF(LEFT(VLOOKUP($D55,'Visu totale'!$D:$DH,BF$1,0),1)="V",IF(BE55&gt;=INDEX('[1]Définition Maintenances'!$G:$G,MATCH($A55,'[1]Définition Maintenances'!$K:$K,0)),BE55,INDEX('[1]Définition Maintenances'!$G:$G,MATCH($A55,'[1]Définition Maintenances'!$K:$K,0))+BE55),BE55))</f>
        <v>642</v>
      </c>
      <c r="BG55" s="26">
        <f>IF(ISNUMBER(VLOOKUP($D55,'Visu totale'!$D:$DH,BG$1,0)),BF55-VLOOKUP($D55,'Visu totale'!$D:$DH,BG$1,0),IF(LEFT(VLOOKUP($D55,'Visu totale'!$D:$DH,BG$1,0),1)="V",IF(BF55&gt;=INDEX('[1]Définition Maintenances'!$G:$G,MATCH($A55,'[1]Définition Maintenances'!$K:$K,0)),BF55,INDEX('[1]Définition Maintenances'!$G:$G,MATCH($A55,'[1]Définition Maintenances'!$K:$K,0))+BF55),BF55))</f>
        <v>642</v>
      </c>
      <c r="BH55" s="26">
        <f>IF(ISNUMBER(VLOOKUP($D55,'Visu totale'!$D:$DH,BH$1,0)),BG55-VLOOKUP($D55,'Visu totale'!$D:$DH,BH$1,0),IF(LEFT(VLOOKUP($D55,'Visu totale'!$D:$DH,BH$1,0),1)="V",IF(BG55&gt;=INDEX('[1]Définition Maintenances'!$G:$G,MATCH($A55,'[1]Définition Maintenances'!$K:$K,0)),BG55,INDEX('[1]Définition Maintenances'!$G:$G,MATCH($A55,'[1]Définition Maintenances'!$K:$K,0))+BG55),BG55))</f>
        <v>642</v>
      </c>
      <c r="BI55" s="26">
        <f>IF(ISNUMBER(VLOOKUP($D55,'Visu totale'!$D:$DH,BI$1,0)),BH55-VLOOKUP($D55,'Visu totale'!$D:$DH,BI$1,0),IF(LEFT(VLOOKUP($D55,'Visu totale'!$D:$DH,BI$1,0),1)="V",IF(BH55&gt;=INDEX('[1]Définition Maintenances'!$G:$G,MATCH($A55,'[1]Définition Maintenances'!$K:$K,0)),BH55,INDEX('[1]Définition Maintenances'!$G:$G,MATCH($A55,'[1]Définition Maintenances'!$K:$K,0))+BH55),BH55))</f>
        <v>642</v>
      </c>
      <c r="BJ55" s="26">
        <f>IF(ISNUMBER(VLOOKUP($D55,'Visu totale'!$D:$DH,BJ$1,0)),BI55-VLOOKUP($D55,'Visu totale'!$D:$DH,BJ$1,0),IF(LEFT(VLOOKUP($D55,'Visu totale'!$D:$DH,BJ$1,0),1)="V",IF(BI55&gt;=INDEX('[1]Définition Maintenances'!$G:$G,MATCH($A55,'[1]Définition Maintenances'!$K:$K,0)),BI55,INDEX('[1]Définition Maintenances'!$G:$G,MATCH($A55,'[1]Définition Maintenances'!$K:$K,0))+BI55),BI55))</f>
        <v>642</v>
      </c>
      <c r="BK55" s="26">
        <f>IF(ISNUMBER(VLOOKUP($D55,'Visu totale'!$D:$DH,BK$1,0)),BJ55-VLOOKUP($D55,'Visu totale'!$D:$DH,BK$1,0),IF(LEFT(VLOOKUP($D55,'Visu totale'!$D:$DH,BK$1,0),1)="V",IF(BJ55&gt;=INDEX('[1]Définition Maintenances'!$G:$G,MATCH($A55,'[1]Définition Maintenances'!$K:$K,0)),BJ55,INDEX('[1]Définition Maintenances'!$G:$G,MATCH($A55,'[1]Définition Maintenances'!$K:$K,0))+BJ55),BJ55))</f>
        <v>642</v>
      </c>
      <c r="BL55" s="26">
        <f>IF(ISNUMBER(VLOOKUP($D55,'Visu totale'!$D:$DH,BL$1,0)),BK55-VLOOKUP($D55,'Visu totale'!$D:$DH,BL$1,0),IF(LEFT(VLOOKUP($D55,'Visu totale'!$D:$DH,BL$1,0),1)="V",IF(BK55&gt;=INDEX('[1]Définition Maintenances'!$G:$G,MATCH($A55,'[1]Définition Maintenances'!$K:$K,0)),BK55,INDEX('[1]Définition Maintenances'!$G:$G,MATCH($A55,'[1]Définition Maintenances'!$K:$K,0))+BK55),BK55))</f>
        <v>642</v>
      </c>
      <c r="BM55" s="27">
        <f>IF(ISNUMBER(VLOOKUP($D55,'Visu totale'!$D:$DH,BM$1,0)),BL55-VLOOKUP($D55,'Visu totale'!$D:$DH,BM$1,0),IF(LEFT(VLOOKUP($D55,'Visu totale'!$D:$DH,BM$1,0),1)="V",IF(BL55&gt;=INDEX('[1]Définition Maintenances'!$G:$G,MATCH($A55,'[1]Définition Maintenances'!$K:$K,0)),BL55,INDEX('[1]Définition Maintenances'!$G:$G,MATCH($A55,'[1]Définition Maintenances'!$K:$K,0))+BL55),BL55))</f>
        <v>642</v>
      </c>
      <c r="BN55" s="25">
        <f>IF(ISNUMBER(VLOOKUP($D55,'Visu totale'!$D:$DH,BN$1,0)),BM55-VLOOKUP($D55,'Visu totale'!$D:$DH,BN$1,0),IF(LEFT(VLOOKUP($D55,'Visu totale'!$D:$DH,BN$1,0),1)="V",IF(BM55&gt;=INDEX('[1]Définition Maintenances'!$G:$G,MATCH($A55,'[1]Définition Maintenances'!$K:$K,0)),BM55,INDEX('[1]Définition Maintenances'!$G:$G,MATCH($A55,'[1]Définition Maintenances'!$K:$K,0))+BM55),BM55))</f>
        <v>642</v>
      </c>
      <c r="BO55" s="26">
        <f>IF(ISNUMBER(VLOOKUP($D55,'Visu totale'!$D:$DH,BO$1,0)),BN55-VLOOKUP($D55,'Visu totale'!$D:$DH,BO$1,0),IF(LEFT(VLOOKUP($D55,'Visu totale'!$D:$DH,BO$1,0),1)="V",IF(BN55&gt;=INDEX('[1]Définition Maintenances'!$G:$G,MATCH($A55,'[1]Définition Maintenances'!$K:$K,0)),BN55,INDEX('[1]Définition Maintenances'!$G:$G,MATCH($A55,'[1]Définition Maintenances'!$K:$K,0))+BN55),BN55))</f>
        <v>642</v>
      </c>
      <c r="BP55" s="26">
        <f>IF(ISNUMBER(VLOOKUP($D55,'Visu totale'!$D:$DH,BP$1,0)),BO55-VLOOKUP($D55,'Visu totale'!$D:$DH,BP$1,0),IF(LEFT(VLOOKUP($D55,'Visu totale'!$D:$DH,BP$1,0),1)="V",IF(BO55&gt;=INDEX('[1]Définition Maintenances'!$G:$G,MATCH($A55,'[1]Définition Maintenances'!$K:$K,0)),BO55,INDEX('[1]Définition Maintenances'!$G:$G,MATCH($A55,'[1]Définition Maintenances'!$K:$K,0))+BO55),BO55))</f>
        <v>642</v>
      </c>
      <c r="BQ55" s="26">
        <f>IF(ISNUMBER(VLOOKUP($D55,'Visu totale'!$D:$DH,BQ$1,0)),BP55-VLOOKUP($D55,'Visu totale'!$D:$DH,BQ$1,0),IF(LEFT(VLOOKUP($D55,'Visu totale'!$D:$DH,BQ$1,0),1)="V",IF(BP55&gt;=INDEX('[1]Définition Maintenances'!$G:$G,MATCH($A55,'[1]Définition Maintenances'!$K:$K,0)),BP55,INDEX('[1]Définition Maintenances'!$G:$G,MATCH($A55,'[1]Définition Maintenances'!$K:$K,0))+BP55),BP55))</f>
        <v>642</v>
      </c>
      <c r="BR55" s="26">
        <f>IF(ISNUMBER(VLOOKUP($D55,'Visu totale'!$D:$DH,BR$1,0)),BQ55-VLOOKUP($D55,'Visu totale'!$D:$DH,BR$1,0),IF(LEFT(VLOOKUP($D55,'Visu totale'!$D:$DH,BR$1,0),1)="V",IF(BQ55&gt;=INDEX('[1]Définition Maintenances'!$G:$G,MATCH($A55,'[1]Définition Maintenances'!$K:$K,0)),BQ55,INDEX('[1]Définition Maintenances'!$G:$G,MATCH($A55,'[1]Définition Maintenances'!$K:$K,0))+BQ55),BQ55))</f>
        <v>642</v>
      </c>
      <c r="BS55" s="26">
        <f>IF(ISNUMBER(VLOOKUP($D55,'Visu totale'!$D:$DH,BS$1,0)),BR55-VLOOKUP($D55,'Visu totale'!$D:$DH,BS$1,0),IF(LEFT(VLOOKUP($D55,'Visu totale'!$D:$DH,BS$1,0),1)="V",IF(BR55&gt;=INDEX('[1]Définition Maintenances'!$G:$G,MATCH($A55,'[1]Définition Maintenances'!$K:$K,0)),BR55,INDEX('[1]Définition Maintenances'!$G:$G,MATCH($A55,'[1]Définition Maintenances'!$K:$K,0))+BR55),BR55))</f>
        <v>642</v>
      </c>
      <c r="BT55" s="26">
        <f>IF(ISNUMBER(VLOOKUP($D55,'Visu totale'!$D:$DH,BT$1,0)),BS55-VLOOKUP($D55,'Visu totale'!$D:$DH,BT$1,0),IF(LEFT(VLOOKUP($D55,'Visu totale'!$D:$DH,BT$1,0),1)="V",IF(BS55&gt;=INDEX('[1]Définition Maintenances'!$G:$G,MATCH($A55,'[1]Définition Maintenances'!$K:$K,0)),BS55,INDEX('[1]Définition Maintenances'!$G:$G,MATCH($A55,'[1]Définition Maintenances'!$K:$K,0))+BS55),BS55))</f>
        <v>642</v>
      </c>
      <c r="BU55" s="26">
        <f>IF(ISNUMBER(VLOOKUP($D55,'Visu totale'!$D:$DH,BU$1,0)),BT55-VLOOKUP($D55,'Visu totale'!$D:$DH,BU$1,0),IF(LEFT(VLOOKUP($D55,'Visu totale'!$D:$DH,BU$1,0),1)="V",IF(BT55&gt;=INDEX('[1]Définition Maintenances'!$G:$G,MATCH($A55,'[1]Définition Maintenances'!$K:$K,0)),BT55,INDEX('[1]Définition Maintenances'!$G:$G,MATCH($A55,'[1]Définition Maintenances'!$K:$K,0))+BT55),BT55))</f>
        <v>642</v>
      </c>
      <c r="BV55" s="26">
        <f>IF(ISNUMBER(VLOOKUP($D55,'Visu totale'!$D:$DH,BV$1,0)),BU55-VLOOKUP($D55,'Visu totale'!$D:$DH,BV$1,0),IF(LEFT(VLOOKUP($D55,'Visu totale'!$D:$DH,BV$1,0),1)="V",IF(BU55&gt;=INDEX('[1]Définition Maintenances'!$G:$G,MATCH($A55,'[1]Définition Maintenances'!$K:$K,0)),BU55,INDEX('[1]Définition Maintenances'!$G:$G,MATCH($A55,'[1]Définition Maintenances'!$K:$K,0))+BU55),BU55))</f>
        <v>642</v>
      </c>
      <c r="BW55" s="26">
        <f>IF(ISNUMBER(VLOOKUP($D55,'Visu totale'!$D:$DH,BW$1,0)),BV55-VLOOKUP($D55,'Visu totale'!$D:$DH,BW$1,0),IF(LEFT(VLOOKUP($D55,'Visu totale'!$D:$DH,BW$1,0),1)="V",IF(BV55&gt;=INDEX('[1]Définition Maintenances'!$G:$G,MATCH($A55,'[1]Définition Maintenances'!$K:$K,0)),BV55,INDEX('[1]Définition Maintenances'!$G:$G,MATCH($A55,'[1]Définition Maintenances'!$K:$K,0))+BV55),BV55))</f>
        <v>642</v>
      </c>
      <c r="BX55" s="26">
        <f>IF(ISNUMBER(VLOOKUP($D55,'Visu totale'!$D:$DH,BX$1,0)),BW55-VLOOKUP($D55,'Visu totale'!$D:$DH,BX$1,0),IF(LEFT(VLOOKUP($D55,'Visu totale'!$D:$DH,BX$1,0),1)="V",IF(BW55&gt;=INDEX('[1]Définition Maintenances'!$G:$G,MATCH($A55,'[1]Définition Maintenances'!$K:$K,0)),BW55,INDEX('[1]Définition Maintenances'!$G:$G,MATCH($A55,'[1]Définition Maintenances'!$K:$K,0))+BW55),BW55))</f>
        <v>642</v>
      </c>
      <c r="BY55" s="27">
        <f>IF(ISNUMBER(VLOOKUP($D55,'Visu totale'!$D:$DH,BY$1,0)),BX55-VLOOKUP($D55,'Visu totale'!$D:$DH,BY$1,0),IF(LEFT(VLOOKUP($D55,'Visu totale'!$D:$DH,BY$1,0),1)="V",IF(BX55&gt;=INDEX('[1]Définition Maintenances'!$G:$G,MATCH($A55,'[1]Définition Maintenances'!$K:$K,0)),BX55,INDEX('[1]Définition Maintenances'!$G:$G,MATCH($A55,'[1]Définition Maintenances'!$K:$K,0))+BX55),BX55))</f>
        <v>642</v>
      </c>
      <c r="BZ55" s="25">
        <f>IF(ISNUMBER(VLOOKUP($D55,'Visu totale'!$D:$DH,BZ$1,0)),BY55-VLOOKUP($D55,'Visu totale'!$D:$DH,BZ$1,0),IF(LEFT(VLOOKUP($D55,'Visu totale'!$D:$DH,BZ$1,0),1)="V",IF(BY55&gt;=INDEX('[1]Définition Maintenances'!$G:$G,MATCH($A55,'[1]Définition Maintenances'!$K:$K,0)),BY55,INDEX('[1]Définition Maintenances'!$G:$G,MATCH($A55,'[1]Définition Maintenances'!$K:$K,0))+BY55),BY55))</f>
        <v>642</v>
      </c>
      <c r="CA55" s="26">
        <f>IF(ISNUMBER(VLOOKUP($D55,'Visu totale'!$D:$DH,CA$1,0)),BZ55-VLOOKUP($D55,'Visu totale'!$D:$DH,CA$1,0),IF(LEFT(VLOOKUP($D55,'Visu totale'!$D:$DH,CA$1,0),1)="V",IF(BZ55&gt;=INDEX('[1]Définition Maintenances'!$G:$G,MATCH($A55,'[1]Définition Maintenances'!$K:$K,0)),BZ55,INDEX('[1]Définition Maintenances'!$G:$G,MATCH($A55,'[1]Définition Maintenances'!$K:$K,0))+BZ55),BZ55))</f>
        <v>642</v>
      </c>
      <c r="CB55" s="26">
        <f>IF(ISNUMBER(VLOOKUP($D55,'Visu totale'!$D:$DH,CB$1,0)),CA55-VLOOKUP($D55,'Visu totale'!$D:$DH,CB$1,0),IF(LEFT(VLOOKUP($D55,'Visu totale'!$D:$DH,CB$1,0),1)="V",IF(CA55&gt;=INDEX('[1]Définition Maintenances'!$G:$G,MATCH($A55,'[1]Définition Maintenances'!$K:$K,0)),CA55,INDEX('[1]Définition Maintenances'!$G:$G,MATCH($A55,'[1]Définition Maintenances'!$K:$K,0))+CA55),CA55))</f>
        <v>642</v>
      </c>
      <c r="CC55" s="26">
        <f>IF(ISNUMBER(VLOOKUP($D55,'Visu totale'!$D:$DH,CC$1,0)),CB55-VLOOKUP($D55,'Visu totale'!$D:$DH,CC$1,0),IF(LEFT(VLOOKUP($D55,'Visu totale'!$D:$DH,CC$1,0),1)="V",IF(CB55&gt;=INDEX('[1]Définition Maintenances'!$G:$G,MATCH($A55,'[1]Définition Maintenances'!$K:$K,0)),CB55,INDEX('[1]Définition Maintenances'!$G:$G,MATCH($A55,'[1]Définition Maintenances'!$K:$K,0))+CB55),CB55))</f>
        <v>642</v>
      </c>
      <c r="CD55" s="26">
        <f>IF(ISNUMBER(VLOOKUP($D55,'Visu totale'!$D:$DH,CD$1,0)),CC55-VLOOKUP($D55,'Visu totale'!$D:$DH,CD$1,0),IF(LEFT(VLOOKUP($D55,'Visu totale'!$D:$DH,CD$1,0),1)="V",IF(CC55&gt;=INDEX('[1]Définition Maintenances'!$G:$G,MATCH($A55,'[1]Définition Maintenances'!$K:$K,0)),CC55,INDEX('[1]Définition Maintenances'!$G:$G,MATCH($A55,'[1]Définition Maintenances'!$K:$K,0))+CC55),CC55))</f>
        <v>642</v>
      </c>
      <c r="CE55" s="26">
        <f>IF(ISNUMBER(VLOOKUP($D55,'Visu totale'!$D:$DH,CE$1,0)),CD55-VLOOKUP($D55,'Visu totale'!$D:$DH,CE$1,0),IF(LEFT(VLOOKUP($D55,'Visu totale'!$D:$DH,CE$1,0),1)="V",IF(CD55&gt;=INDEX('[1]Définition Maintenances'!$G:$G,MATCH($A55,'[1]Définition Maintenances'!$K:$K,0)),CD55,INDEX('[1]Définition Maintenances'!$G:$G,MATCH($A55,'[1]Définition Maintenances'!$K:$K,0))+CD55),CD55))</f>
        <v>642</v>
      </c>
      <c r="CF55" s="26">
        <f>IF(ISNUMBER(VLOOKUP($D55,'Visu totale'!$D:$DH,CF$1,0)),CE55-VLOOKUP($D55,'Visu totale'!$D:$DH,CF$1,0),IF(LEFT(VLOOKUP($D55,'Visu totale'!$D:$DH,CF$1,0),1)="V",IF(CE55&gt;=INDEX('[1]Définition Maintenances'!$G:$G,MATCH($A55,'[1]Définition Maintenances'!$K:$K,0)),CE55,INDEX('[1]Définition Maintenances'!$G:$G,MATCH($A55,'[1]Définition Maintenances'!$K:$K,0))+CE55),CE55))</f>
        <v>642</v>
      </c>
      <c r="CG55" s="26">
        <f>IF(ISNUMBER(VLOOKUP($D55,'Visu totale'!$D:$DH,CG$1,0)),CF55-VLOOKUP($D55,'Visu totale'!$D:$DH,CG$1,0),IF(LEFT(VLOOKUP($D55,'Visu totale'!$D:$DH,CG$1,0),1)="V",IF(CF55&gt;=INDEX('[1]Définition Maintenances'!$G:$G,MATCH($A55,'[1]Définition Maintenances'!$K:$K,0)),CF55,INDEX('[1]Définition Maintenances'!$G:$G,MATCH($A55,'[1]Définition Maintenances'!$K:$K,0))+CF55),CF55))</f>
        <v>642</v>
      </c>
      <c r="CH55" s="26">
        <f>IF(ISNUMBER(VLOOKUP($D55,'Visu totale'!$D:$DH,CH$1,0)),CG55-VLOOKUP($D55,'Visu totale'!$D:$DH,CH$1,0),IF(LEFT(VLOOKUP($D55,'Visu totale'!$D:$DH,CH$1,0),1)="V",IF(CG55&gt;=INDEX('[1]Définition Maintenances'!$G:$G,MATCH($A55,'[1]Définition Maintenances'!$K:$K,0)),CG55,INDEX('[1]Définition Maintenances'!$G:$G,MATCH($A55,'[1]Définition Maintenances'!$K:$K,0))+CG55),CG55))</f>
        <v>642</v>
      </c>
      <c r="CI55" s="26">
        <f>IF(ISNUMBER(VLOOKUP($D55,'Visu totale'!$D:$DH,CI$1,0)),CH55-VLOOKUP($D55,'Visu totale'!$D:$DH,CI$1,0),IF(LEFT(VLOOKUP($D55,'Visu totale'!$D:$DH,CI$1,0),1)="V",IF(CH55&gt;=INDEX('[1]Définition Maintenances'!$G:$G,MATCH($A55,'[1]Définition Maintenances'!$K:$K,0)),CH55,INDEX('[1]Définition Maintenances'!$G:$G,MATCH($A55,'[1]Définition Maintenances'!$K:$K,0))+CH55),CH55))</f>
        <v>642</v>
      </c>
      <c r="CJ55" s="26">
        <f>IF(ISNUMBER(VLOOKUP($D55,'Visu totale'!$D:$DH,CJ$1,0)),CI55-VLOOKUP($D55,'Visu totale'!$D:$DH,CJ$1,0),IF(LEFT(VLOOKUP($D55,'Visu totale'!$D:$DH,CJ$1,0),1)="V",IF(CI55&gt;=INDEX('[1]Définition Maintenances'!$G:$G,MATCH($A55,'[1]Définition Maintenances'!$K:$K,0)),CI55,INDEX('[1]Définition Maintenances'!$G:$G,MATCH($A55,'[1]Définition Maintenances'!$K:$K,0))+CI55),CI55))</f>
        <v>642</v>
      </c>
      <c r="CK55" s="27">
        <f>IF(ISNUMBER(VLOOKUP($D55,'Visu totale'!$D:$DH,CK$1,0)),CJ55-VLOOKUP($D55,'Visu totale'!$D:$DH,CK$1,0),IF(LEFT(VLOOKUP($D55,'Visu totale'!$D:$DH,CK$1,0),1)="V",IF(CJ55&gt;=INDEX('[1]Définition Maintenances'!$G:$G,MATCH($A55,'[1]Définition Maintenances'!$K:$K,0)),CJ55,INDEX('[1]Définition Maintenances'!$G:$G,MATCH($A55,'[1]Définition Maintenances'!$K:$K,0))+CJ55),CJ55))</f>
        <v>642</v>
      </c>
      <c r="CL55" s="25">
        <f>IF(ISNUMBER(VLOOKUP($D55,'Visu totale'!$D:$DH,CL$1,0)),CK55-VLOOKUP($D55,'Visu totale'!$D:$DH,CL$1,0),IF(LEFT(VLOOKUP($D55,'Visu totale'!$D:$DH,CL$1,0),1)="V",IF(CK55&gt;=INDEX('[1]Définition Maintenances'!$G:$G,MATCH($A55,'[1]Définition Maintenances'!$K:$K,0)),CK55,INDEX('[1]Définition Maintenances'!$G:$G,MATCH($A55,'[1]Définition Maintenances'!$K:$K,0))+CK55),CK55))</f>
        <v>642</v>
      </c>
      <c r="CM55" s="26">
        <f>IF(ISNUMBER(VLOOKUP($D55,'Visu totale'!$D:$DH,CM$1,0)),CL55-VLOOKUP($D55,'Visu totale'!$D:$DH,CM$1,0),IF(LEFT(VLOOKUP($D55,'Visu totale'!$D:$DH,CM$1,0),1)="V",IF(CL55&gt;=INDEX('[1]Définition Maintenances'!$G:$G,MATCH($A55,'[1]Définition Maintenances'!$K:$K,0)),CL55,INDEX('[1]Définition Maintenances'!$G:$G,MATCH($A55,'[1]Définition Maintenances'!$K:$K,0))+CL55),CL55))</f>
        <v>642</v>
      </c>
      <c r="CN55" s="26">
        <f>IF(ISNUMBER(VLOOKUP($D55,'Visu totale'!$D:$DH,CN$1,0)),CM55-VLOOKUP($D55,'Visu totale'!$D:$DH,CN$1,0),IF(LEFT(VLOOKUP($D55,'Visu totale'!$D:$DH,CN$1,0),1)="V",IF(CM55&gt;=INDEX('[1]Définition Maintenances'!$G:$G,MATCH($A55,'[1]Définition Maintenances'!$K:$K,0)),CM55,INDEX('[1]Définition Maintenances'!$G:$G,MATCH($A55,'[1]Définition Maintenances'!$K:$K,0))+CM55),CM55))</f>
        <v>642</v>
      </c>
      <c r="CO55" s="26">
        <f>IF(ISNUMBER(VLOOKUP($D55,'Visu totale'!$D:$DH,CO$1,0)),CN55-VLOOKUP($D55,'Visu totale'!$D:$DH,CO$1,0),IF(LEFT(VLOOKUP($D55,'Visu totale'!$D:$DH,CO$1,0),1)="V",IF(CN55&gt;=INDEX('[1]Définition Maintenances'!$G:$G,MATCH($A55,'[1]Définition Maintenances'!$K:$K,0)),CN55,INDEX('[1]Définition Maintenances'!$G:$G,MATCH($A55,'[1]Définition Maintenances'!$K:$K,0))+CN55),CN55))</f>
        <v>642</v>
      </c>
      <c r="CP55" s="26">
        <f>IF(ISNUMBER(VLOOKUP($D55,'Visu totale'!$D:$DH,CP$1,0)),CO55-VLOOKUP($D55,'Visu totale'!$D:$DH,CP$1,0),IF(LEFT(VLOOKUP($D55,'Visu totale'!$D:$DH,CP$1,0),1)="V",IF(CO55&gt;=INDEX('[1]Définition Maintenances'!$G:$G,MATCH($A55,'[1]Définition Maintenances'!$K:$K,0)),CO55,INDEX('[1]Définition Maintenances'!$G:$G,MATCH($A55,'[1]Définition Maintenances'!$K:$K,0))+CO55),CO55))</f>
        <v>642</v>
      </c>
      <c r="CQ55" s="26">
        <f>IF(ISNUMBER(VLOOKUP($D55,'Visu totale'!$D:$DH,CQ$1,0)),CP55-VLOOKUP($D55,'Visu totale'!$D:$DH,CQ$1,0),IF(LEFT(VLOOKUP($D55,'Visu totale'!$D:$DH,CQ$1,0),1)="V",IF(CP55&gt;=INDEX('[1]Définition Maintenances'!$G:$G,MATCH($A55,'[1]Définition Maintenances'!$K:$K,0)),CP55,INDEX('[1]Définition Maintenances'!$G:$G,MATCH($A55,'[1]Définition Maintenances'!$K:$K,0))+CP55),CP55))</f>
        <v>642</v>
      </c>
      <c r="CR55" s="26">
        <f>IF(ISNUMBER(VLOOKUP($D55,'Visu totale'!$D:$DH,CR$1,0)),CQ55-VLOOKUP($D55,'Visu totale'!$D:$DH,CR$1,0),IF(LEFT(VLOOKUP($D55,'Visu totale'!$D:$DH,CR$1,0),1)="V",IF(CQ55&gt;=INDEX('[1]Définition Maintenances'!$G:$G,MATCH($A55,'[1]Définition Maintenances'!$K:$K,0)),CQ55,INDEX('[1]Définition Maintenances'!$G:$G,MATCH($A55,'[1]Définition Maintenances'!$K:$K,0))+CQ55),CQ55))</f>
        <v>642</v>
      </c>
      <c r="CS55" s="26">
        <f>IF(ISNUMBER(VLOOKUP($D55,'Visu totale'!$D:$DH,CS$1,0)),CR55-VLOOKUP($D55,'Visu totale'!$D:$DH,CS$1,0),IF(LEFT(VLOOKUP($D55,'Visu totale'!$D:$DH,CS$1,0),1)="V",IF(CR55&gt;=INDEX('[1]Définition Maintenances'!$G:$G,MATCH($A55,'[1]Définition Maintenances'!$K:$K,0)),CR55,INDEX('[1]Définition Maintenances'!$G:$G,MATCH($A55,'[1]Définition Maintenances'!$K:$K,0))+CR55),CR55))</f>
        <v>642</v>
      </c>
      <c r="CT55" s="26">
        <f>IF(ISNUMBER(VLOOKUP($D55,'Visu totale'!$D:$DH,CT$1,0)),CS55-VLOOKUP($D55,'Visu totale'!$D:$DH,CT$1,0),IF(LEFT(VLOOKUP($D55,'Visu totale'!$D:$DH,CT$1,0),1)="V",IF(CS55&gt;=INDEX('[1]Définition Maintenances'!$G:$G,MATCH($A55,'[1]Définition Maintenances'!$K:$K,0)),CS55,INDEX('[1]Définition Maintenances'!$G:$G,MATCH($A55,'[1]Définition Maintenances'!$K:$K,0))+CS55),CS55))</f>
        <v>642</v>
      </c>
      <c r="CU55" s="26">
        <f>IF(ISNUMBER(VLOOKUP($D55,'Visu totale'!$D:$DH,CU$1,0)),CT55-VLOOKUP($D55,'Visu totale'!$D:$DH,CU$1,0),IF(LEFT(VLOOKUP($D55,'Visu totale'!$D:$DH,CU$1,0),1)="V",IF(CT55&gt;=INDEX('[1]Définition Maintenances'!$G:$G,MATCH($A55,'[1]Définition Maintenances'!$K:$K,0)),CT55,INDEX('[1]Définition Maintenances'!$G:$G,MATCH($A55,'[1]Définition Maintenances'!$K:$K,0))+CT55),CT55))</f>
        <v>642</v>
      </c>
      <c r="CV55" s="26">
        <f>IF(ISNUMBER(VLOOKUP($D55,'Visu totale'!$D:$DH,CV$1,0)),CU55-VLOOKUP($D55,'Visu totale'!$D:$DH,CV$1,0),IF(LEFT(VLOOKUP($D55,'Visu totale'!$D:$DH,CV$1,0),1)="V",IF(CU55&gt;=INDEX('[1]Définition Maintenances'!$G:$G,MATCH($A55,'[1]Définition Maintenances'!$K:$K,0)),CU55,INDEX('[1]Définition Maintenances'!$G:$G,MATCH($A55,'[1]Définition Maintenances'!$K:$K,0))+CU55),CU55))</f>
        <v>642</v>
      </c>
      <c r="CW55" s="27">
        <f>IF(ISNUMBER(VLOOKUP($D55,'Visu totale'!$D:$DH,CW$1,0)),CV55-VLOOKUP($D55,'Visu totale'!$D:$DH,CW$1,0),IF(LEFT(VLOOKUP($D55,'Visu totale'!$D:$DH,CW$1,0),1)="V",IF(CV55&gt;=INDEX('[1]Définition Maintenances'!$G:$G,MATCH($A55,'[1]Définition Maintenances'!$K:$K,0)),CV55,INDEX('[1]Définition Maintenances'!$G:$G,MATCH($A55,'[1]Définition Maintenances'!$K:$K,0))+CV55),CV55))</f>
        <v>642</v>
      </c>
      <c r="CX55" s="25">
        <f>IF(ISNUMBER(VLOOKUP($D55,'Visu totale'!$D:$DH,CX$1,0)),CW55-VLOOKUP($D55,'Visu totale'!$D:$DH,CX$1,0),IF(LEFT(VLOOKUP($D55,'Visu totale'!$D:$DH,CX$1,0),1)="V",IF(CW55&gt;=INDEX('[1]Définition Maintenances'!$G:$G,MATCH($A55,'[1]Définition Maintenances'!$K:$K,0)),CW55,INDEX('[1]Définition Maintenances'!$G:$G,MATCH($A55,'[1]Définition Maintenances'!$K:$K,0))+CW55),CW55))</f>
        <v>642</v>
      </c>
      <c r="CY55" s="26">
        <f>IF(ISNUMBER(VLOOKUP($D55,'Visu totale'!$D:$DH,CY$1,0)),CX55-VLOOKUP($D55,'Visu totale'!$D:$DH,CY$1,0),IF(LEFT(VLOOKUP($D55,'Visu totale'!$D:$DH,CY$1,0),1)="V",IF(CX55&gt;=INDEX('[1]Définition Maintenances'!$G:$G,MATCH($A55,'[1]Définition Maintenances'!$K:$K,0)),CX55,INDEX('[1]Définition Maintenances'!$G:$G,MATCH($A55,'[1]Définition Maintenances'!$K:$K,0))+CX55),CX55))</f>
        <v>642</v>
      </c>
      <c r="CZ55" s="26">
        <f>IF(ISNUMBER(VLOOKUP($D55,'Visu totale'!$D:$DH,CZ$1,0)),CY55-VLOOKUP($D55,'Visu totale'!$D:$DH,CZ$1,0),IF(LEFT(VLOOKUP($D55,'Visu totale'!$D:$DH,CZ$1,0),1)="V",IF(CY55&gt;=INDEX('[1]Définition Maintenances'!$G:$G,MATCH($A55,'[1]Définition Maintenances'!$K:$K,0)),CY55,INDEX('[1]Définition Maintenances'!$G:$G,MATCH($A55,'[1]Définition Maintenances'!$K:$K,0))+CY55),CY55))</f>
        <v>642</v>
      </c>
      <c r="DA55" s="26">
        <f>IF(ISNUMBER(VLOOKUP($D55,'Visu totale'!$D:$DH,DA$1,0)),CZ55-VLOOKUP($D55,'Visu totale'!$D:$DH,DA$1,0),IF(LEFT(VLOOKUP($D55,'Visu totale'!$D:$DH,DA$1,0),1)="V",IF(CZ55&gt;=INDEX('[1]Définition Maintenances'!$G:$G,MATCH($A55,'[1]Définition Maintenances'!$K:$K,0)),CZ55,INDEX('[1]Définition Maintenances'!$G:$G,MATCH($A55,'[1]Définition Maintenances'!$K:$K,0))+CZ55),CZ55))</f>
        <v>642</v>
      </c>
      <c r="DB55" s="26">
        <f>IF(ISNUMBER(VLOOKUP($D55,'Visu totale'!$D:$DH,DB$1,0)),DA55-VLOOKUP($D55,'Visu totale'!$D:$DH,DB$1,0),IF(LEFT(VLOOKUP($D55,'Visu totale'!$D:$DH,DB$1,0),1)="V",IF(DA55&gt;=INDEX('[1]Définition Maintenances'!$G:$G,MATCH($A55,'[1]Définition Maintenances'!$K:$K,0)),DA55,INDEX('[1]Définition Maintenances'!$G:$G,MATCH($A55,'[1]Définition Maintenances'!$K:$K,0))+DA55),DA55))</f>
        <v>642</v>
      </c>
      <c r="DC55" s="26">
        <f>IF(ISNUMBER(VLOOKUP($D55,'Visu totale'!$D:$DH,DC$1,0)),DB55-VLOOKUP($D55,'Visu totale'!$D:$DH,DC$1,0),IF(LEFT(VLOOKUP($D55,'Visu totale'!$D:$DH,DC$1,0),1)="V",IF(DB55&gt;=INDEX('[1]Définition Maintenances'!$G:$G,MATCH($A55,'[1]Définition Maintenances'!$K:$K,0)),DB55,INDEX('[1]Définition Maintenances'!$G:$G,MATCH($A55,'[1]Définition Maintenances'!$K:$K,0))+DB55),DB55))</f>
        <v>642</v>
      </c>
      <c r="DD55" s="26">
        <f>IF(ISNUMBER(VLOOKUP($D55,'Visu totale'!$D:$DH,DD$1,0)),DC55-VLOOKUP($D55,'Visu totale'!$D:$DH,DD$1,0),IF(LEFT(VLOOKUP($D55,'Visu totale'!$D:$DH,DD$1,0),1)="V",IF(DC55&gt;=INDEX('[1]Définition Maintenances'!$G:$G,MATCH($A55,'[1]Définition Maintenances'!$K:$K,0)),DC55,INDEX('[1]Définition Maintenances'!$G:$G,MATCH($A55,'[1]Définition Maintenances'!$K:$K,0))+DC55),DC55))</f>
        <v>642</v>
      </c>
      <c r="DE55" s="26">
        <f>IF(ISNUMBER(VLOOKUP($D55,'Visu totale'!$D:$DH,DE$1,0)),DD55-VLOOKUP($D55,'Visu totale'!$D:$DH,DE$1,0),IF(LEFT(VLOOKUP($D55,'Visu totale'!$D:$DH,DE$1,0),1)="V",IF(DD55&gt;=INDEX('[1]Définition Maintenances'!$G:$G,MATCH($A55,'[1]Définition Maintenances'!$K:$K,0)),DD55,INDEX('[1]Définition Maintenances'!$G:$G,MATCH($A55,'[1]Définition Maintenances'!$K:$K,0))+DD55),DD55))</f>
        <v>642</v>
      </c>
      <c r="DF55" s="26">
        <f>IF(ISNUMBER(VLOOKUP($D55,'Visu totale'!$D:$DH,DF$1,0)),DE55-VLOOKUP($D55,'Visu totale'!$D:$DH,DF$1,0),IF(LEFT(VLOOKUP($D55,'Visu totale'!$D:$DH,DF$1,0),1)="V",IF(DE55&gt;=INDEX('[1]Définition Maintenances'!$G:$G,MATCH($A55,'[1]Définition Maintenances'!$K:$K,0)),DE55,INDEX('[1]Définition Maintenances'!$G:$G,MATCH($A55,'[1]Définition Maintenances'!$K:$K,0))+DE55),DE55))</f>
        <v>642</v>
      </c>
      <c r="DG55" s="26">
        <f>IF(ISNUMBER(VLOOKUP($D55,'Visu totale'!$D:$DH,DG$1,0)),DF55-VLOOKUP($D55,'Visu totale'!$D:$DH,DG$1,0),IF(LEFT(VLOOKUP($D55,'Visu totale'!$D:$DH,DG$1,0),1)="V",IF(DF55&gt;=INDEX('[1]Définition Maintenances'!$G:$G,MATCH($A55,'[1]Définition Maintenances'!$K:$K,0)),DF55,INDEX('[1]Définition Maintenances'!$G:$G,MATCH($A55,'[1]Définition Maintenances'!$K:$K,0))+DF55),DF55))</f>
        <v>642</v>
      </c>
      <c r="DH55" s="26">
        <f>IF(ISNUMBER(VLOOKUP($D55,'Visu totale'!$D:$DH,DH$1,0)),DG55-VLOOKUP($D55,'Visu totale'!$D:$DH,DH$1,0),IF(LEFT(VLOOKUP($D55,'Visu totale'!$D:$DH,DH$1,0),1)="V",IF(DG55&gt;=INDEX('[1]Définition Maintenances'!$G:$G,MATCH($A55,'[1]Définition Maintenances'!$K:$K,0)),DG55,INDEX('[1]Définition Maintenances'!$G:$G,MATCH($A55,'[1]Définition Maintenances'!$K:$K,0))+DG55),DG55))</f>
        <v>642</v>
      </c>
      <c r="DI55" s="27">
        <f>IF(ISNUMBER(VLOOKUP($D55,'Visu totale'!$D:$DH,DI$1,0)),DH55-VLOOKUP($D55,'Visu totale'!$D:$DH,DI$1,0),IF(LEFT(VLOOKUP($D55,'Visu totale'!$D:$DH,DI$1,0),1)="V",IF(DH55&gt;=INDEX('[1]Définition Maintenances'!$G:$G,MATCH($A55,'[1]Définition Maintenances'!$K:$K,0)),DH55,INDEX('[1]Définition Maintenances'!$G:$G,MATCH($A55,'[1]Définition Maintenances'!$K:$K,0))+DH55),DH55))</f>
        <v>642</v>
      </c>
    </row>
    <row r="56" spans="1:113" x14ac:dyDescent="0.25">
      <c r="A56" s="13" t="str">
        <f t="shared" si="1"/>
        <v>V15D</v>
      </c>
      <c r="B56" s="13" t="str">
        <f>VLOOKUP(D56,'[1]Avions (Potentiels)'!$B$2:$H$128,7,FALSE)</f>
        <v>V15</v>
      </c>
      <c r="C56" s="13"/>
      <c r="D56" s="16" t="s">
        <v>59</v>
      </c>
      <c r="E56" s="13">
        <f>IFERROR(VALUE(SUBSTITUTE(VLOOKUP(D56,'[1]Avions (Potentiels)'!$B:$E,4,0),".",",")),VALUE(VLOOKUP(D56,'[1]Avions (Potentiels)'!$B:$E,4,0)))</f>
        <v>209</v>
      </c>
      <c r="F56" s="25">
        <f>IF(ISNUMBER(VLOOKUP($D56,'Visu totale'!$D:$DH,F$1,0)),E56-VLOOKUP($D56,'Visu totale'!$D:$DH,F$1,0),IF(LEFT(VLOOKUP($D56,'Visu totale'!$D:$DH,F$1,0),1)="V",IF(E56&gt;=INDEX('[1]Définition Maintenances'!$G:$G,MATCH($A56,'[1]Définition Maintenances'!$K:$K,0)),E56,INDEX('[1]Définition Maintenances'!$G:$G,MATCH($A56,'[1]Définition Maintenances'!$K:$K,0))+E56),E56))</f>
        <v>209</v>
      </c>
      <c r="G56" s="26">
        <f>IF(ISNUMBER(VLOOKUP($D56,'Visu totale'!$D:$DH,G$1,0)),F56-VLOOKUP($D56,'Visu totale'!$D:$DH,G$1,0),IF(LEFT(VLOOKUP($D56,'Visu totale'!$D:$DH,G$1,0),1)="V",IF(F56&gt;=INDEX('[1]Définition Maintenances'!$G:$G,MATCH($A56,'[1]Définition Maintenances'!$K:$K,0)),F56,INDEX('[1]Définition Maintenances'!$G:$G,MATCH($A56,'[1]Définition Maintenances'!$K:$K,0))+F56),F56))</f>
        <v>209</v>
      </c>
      <c r="H56" s="26">
        <f>IF(ISNUMBER(VLOOKUP($D56,'Visu totale'!$D:$DH,H$1,0)),G56-VLOOKUP($D56,'Visu totale'!$D:$DH,H$1,0),IF(LEFT(VLOOKUP($D56,'Visu totale'!$D:$DH,H$1,0),1)="V",IF(G56&gt;=INDEX('[1]Définition Maintenances'!$G:$G,MATCH($A56,'[1]Définition Maintenances'!$K:$K,0)),G56,INDEX('[1]Définition Maintenances'!$G:$G,MATCH($A56,'[1]Définition Maintenances'!$K:$K,0))+G56),G56))</f>
        <v>209</v>
      </c>
      <c r="I56" s="26">
        <f>IF(ISNUMBER(VLOOKUP($D56,'Visu totale'!$D:$DH,I$1,0)),H56-VLOOKUP($D56,'Visu totale'!$D:$DH,I$1,0),IF(LEFT(VLOOKUP($D56,'Visu totale'!$D:$DH,I$1,0),1)="V",IF(H56&gt;=INDEX('[1]Définition Maintenances'!$G:$G,MATCH($A56,'[1]Définition Maintenances'!$K:$K,0)),H56,INDEX('[1]Définition Maintenances'!$G:$G,MATCH($A56,'[1]Définition Maintenances'!$K:$K,0))+H56),H56))</f>
        <v>209</v>
      </c>
      <c r="J56" s="26">
        <f>IF(ISNUMBER(VLOOKUP($D56,'Visu totale'!$D:$DH,J$1,0)),I56-VLOOKUP($D56,'Visu totale'!$D:$DH,J$1,0),IF(LEFT(VLOOKUP($D56,'Visu totale'!$D:$DH,J$1,0),1)="V",IF(I56&gt;=INDEX('[1]Définition Maintenances'!$G:$G,MATCH($A56,'[1]Définition Maintenances'!$K:$K,0)),I56,INDEX('[1]Définition Maintenances'!$G:$G,MATCH($A56,'[1]Définition Maintenances'!$K:$K,0))+I56),I56))</f>
        <v>209</v>
      </c>
      <c r="K56" s="26">
        <f>IF(ISNUMBER(VLOOKUP($D56,'Visu totale'!$D:$DH,K$1,0)),J56-VLOOKUP($D56,'Visu totale'!$D:$DH,K$1,0),IF(LEFT(VLOOKUP($D56,'Visu totale'!$D:$DH,K$1,0),1)="V",IF(J56&gt;=INDEX('[1]Définition Maintenances'!$G:$G,MATCH($A56,'[1]Définition Maintenances'!$K:$K,0)),J56,INDEX('[1]Définition Maintenances'!$G:$G,MATCH($A56,'[1]Définition Maintenances'!$K:$K,0))+J56),J56))</f>
        <v>209</v>
      </c>
      <c r="L56" s="26">
        <f>IF(ISNUMBER(VLOOKUP($D56,'Visu totale'!$D:$DH,L$1,0)),K56-VLOOKUP($D56,'Visu totale'!$D:$DH,L$1,0),IF(LEFT(VLOOKUP($D56,'Visu totale'!$D:$DH,L$1,0),1)="V",IF(K56&gt;=INDEX('[1]Définition Maintenances'!$G:$G,MATCH($A56,'[1]Définition Maintenances'!$K:$K,0)),K56,INDEX('[1]Définition Maintenances'!$G:$G,MATCH($A56,'[1]Définition Maintenances'!$K:$K,0))+K56),K56))</f>
        <v>209</v>
      </c>
      <c r="M56" s="26">
        <f>IF(ISNUMBER(VLOOKUP($D56,'Visu totale'!$D:$DH,M$1,0)),L56-VLOOKUP($D56,'Visu totale'!$D:$DH,M$1,0),IF(LEFT(VLOOKUP($D56,'Visu totale'!$D:$DH,M$1,0),1)="V",IF(L56&gt;=INDEX('[1]Définition Maintenances'!$G:$G,MATCH($A56,'[1]Définition Maintenances'!$K:$K,0)),L56,INDEX('[1]Définition Maintenances'!$G:$G,MATCH($A56,'[1]Définition Maintenances'!$K:$K,0))+L56),L56))</f>
        <v>209</v>
      </c>
      <c r="N56" s="26">
        <f>IF(ISNUMBER(VLOOKUP($D56,'Visu totale'!$D:$DH,N$1,0)),M56-VLOOKUP($D56,'Visu totale'!$D:$DH,N$1,0),IF(LEFT(VLOOKUP($D56,'Visu totale'!$D:$DH,N$1,0),1)="V",IF(M56&gt;=INDEX('[1]Définition Maintenances'!$G:$G,MATCH($A56,'[1]Définition Maintenances'!$K:$K,0)),M56,INDEX('[1]Définition Maintenances'!$G:$G,MATCH($A56,'[1]Définition Maintenances'!$K:$K,0))+M56),M56))</f>
        <v>209</v>
      </c>
      <c r="O56" s="26">
        <f>IF(ISNUMBER(VLOOKUP($D56,'Visu totale'!$D:$DH,O$1,0)),N56-VLOOKUP($D56,'Visu totale'!$D:$DH,O$1,0),IF(LEFT(VLOOKUP($D56,'Visu totale'!$D:$DH,O$1,0),1)="V",IF(N56&gt;=INDEX('[1]Définition Maintenances'!$G:$G,MATCH($A56,'[1]Définition Maintenances'!$K:$K,0)),N56,INDEX('[1]Définition Maintenances'!$G:$G,MATCH($A56,'[1]Définition Maintenances'!$K:$K,0))+N56),N56))</f>
        <v>209</v>
      </c>
      <c r="P56" s="26">
        <f>IF(ISNUMBER(VLOOKUP($D56,'Visu totale'!$D:$DH,P$1,0)),O56-VLOOKUP($D56,'Visu totale'!$D:$DH,P$1,0),IF(LEFT(VLOOKUP($D56,'Visu totale'!$D:$DH,P$1,0),1)="V",IF(O56&gt;=INDEX('[1]Définition Maintenances'!$G:$G,MATCH($A56,'[1]Définition Maintenances'!$K:$K,0)),O56,INDEX('[1]Définition Maintenances'!$G:$G,MATCH($A56,'[1]Définition Maintenances'!$K:$K,0))+O56),O56))</f>
        <v>209</v>
      </c>
      <c r="Q56" s="27">
        <f>IF(ISNUMBER(VLOOKUP($D56,'Visu totale'!$D:$DH,Q$1,0)),P56-VLOOKUP($D56,'Visu totale'!$D:$DH,Q$1,0),IF(LEFT(VLOOKUP($D56,'Visu totale'!$D:$DH,Q$1,0),1)="V",IF(P56&gt;=INDEX('[1]Définition Maintenances'!$G:$G,MATCH($A56,'[1]Définition Maintenances'!$K:$K,0)),P56,INDEX('[1]Définition Maintenances'!$G:$G,MATCH($A56,'[1]Définition Maintenances'!$K:$K,0))+P56),P56))</f>
        <v>209</v>
      </c>
      <c r="R56" s="25">
        <f>IF(ISNUMBER(VLOOKUP($D56,'Visu totale'!$D:$DH,R$1,0)),Q56-VLOOKUP($D56,'Visu totale'!$D:$DH,R$1,0),IF(LEFT(VLOOKUP($D56,'Visu totale'!$D:$DH,R$1,0),1)="V",IF(Q56&gt;=INDEX('[1]Définition Maintenances'!$G:$G,MATCH($A56,'[1]Définition Maintenances'!$K:$K,0)),Q56,INDEX('[1]Définition Maintenances'!$G:$G,MATCH($A56,'[1]Définition Maintenances'!$K:$K,0))+Q56),Q56))</f>
        <v>209</v>
      </c>
      <c r="S56" s="26">
        <f>IF(ISNUMBER(VLOOKUP($D56,'Visu totale'!$D:$DH,S$1,0)),R56-VLOOKUP($D56,'Visu totale'!$D:$DH,S$1,0),IF(LEFT(VLOOKUP($D56,'Visu totale'!$D:$DH,S$1,0),1)="V",IF(R56&gt;=INDEX('[1]Définition Maintenances'!$G:$G,MATCH($A56,'[1]Définition Maintenances'!$K:$K,0)),R56,INDEX('[1]Définition Maintenances'!$G:$G,MATCH($A56,'[1]Définition Maintenances'!$K:$K,0))+R56),R56))</f>
        <v>209</v>
      </c>
      <c r="T56" s="26">
        <f>IF(ISNUMBER(VLOOKUP($D56,'Visu totale'!$D:$DH,T$1,0)),S56-VLOOKUP($D56,'Visu totale'!$D:$DH,T$1,0),IF(LEFT(VLOOKUP($D56,'Visu totale'!$D:$DH,T$1,0),1)="V",IF(S56&gt;=INDEX('[1]Définition Maintenances'!$G:$G,MATCH($A56,'[1]Définition Maintenances'!$K:$K,0)),S56,INDEX('[1]Définition Maintenances'!$G:$G,MATCH($A56,'[1]Définition Maintenances'!$K:$K,0))+S56),S56))</f>
        <v>209</v>
      </c>
      <c r="U56" s="26">
        <f>IF(ISNUMBER(VLOOKUP($D56,'Visu totale'!$D:$DH,U$1,0)),T56-VLOOKUP($D56,'Visu totale'!$D:$DH,U$1,0),IF(LEFT(VLOOKUP($D56,'Visu totale'!$D:$DH,U$1,0),1)="V",IF(T56&gt;=INDEX('[1]Définition Maintenances'!$G:$G,MATCH($A56,'[1]Définition Maintenances'!$K:$K,0)),T56,INDEX('[1]Définition Maintenances'!$G:$G,MATCH($A56,'[1]Définition Maintenances'!$K:$K,0))+T56),T56))</f>
        <v>209</v>
      </c>
      <c r="V56" s="26">
        <f>IF(ISNUMBER(VLOOKUP($D56,'Visu totale'!$D:$DH,V$1,0)),U56-VLOOKUP($D56,'Visu totale'!$D:$DH,V$1,0),IF(LEFT(VLOOKUP($D56,'Visu totale'!$D:$DH,V$1,0),1)="V",IF(U56&gt;=INDEX('[1]Définition Maintenances'!$G:$G,MATCH($A56,'[1]Définition Maintenances'!$K:$K,0)),U56,INDEX('[1]Définition Maintenances'!$G:$G,MATCH($A56,'[1]Définition Maintenances'!$K:$K,0))+U56),U56))</f>
        <v>209</v>
      </c>
      <c r="W56" s="26">
        <f>IF(ISNUMBER(VLOOKUP($D56,'Visu totale'!$D:$DH,W$1,0)),V56-VLOOKUP($D56,'Visu totale'!$D:$DH,W$1,0),IF(LEFT(VLOOKUP($D56,'Visu totale'!$D:$DH,W$1,0),1)="V",IF(V56&gt;=INDEX('[1]Définition Maintenances'!$G:$G,MATCH($A56,'[1]Définition Maintenances'!$K:$K,0)),V56,INDEX('[1]Définition Maintenances'!$G:$G,MATCH($A56,'[1]Définition Maintenances'!$K:$K,0))+V56),V56))</f>
        <v>209</v>
      </c>
      <c r="X56" s="26">
        <f>IF(ISNUMBER(VLOOKUP($D56,'Visu totale'!$D:$DH,X$1,0)),W56-VLOOKUP($D56,'Visu totale'!$D:$DH,X$1,0),IF(LEFT(VLOOKUP($D56,'Visu totale'!$D:$DH,X$1,0),1)="V",IF(W56&gt;=INDEX('[1]Définition Maintenances'!$G:$G,MATCH($A56,'[1]Définition Maintenances'!$K:$K,0)),W56,INDEX('[1]Définition Maintenances'!$G:$G,MATCH($A56,'[1]Définition Maintenances'!$K:$K,0))+W56),W56))</f>
        <v>209</v>
      </c>
      <c r="Y56" s="26">
        <f>IF(ISNUMBER(VLOOKUP($D56,'Visu totale'!$D:$DH,Y$1,0)),X56-VLOOKUP($D56,'Visu totale'!$D:$DH,Y$1,0),IF(LEFT(VLOOKUP($D56,'Visu totale'!$D:$DH,Y$1,0),1)="V",IF(X56&gt;=INDEX('[1]Définition Maintenances'!$G:$G,MATCH($A56,'[1]Définition Maintenances'!$K:$K,0)),X56,INDEX('[1]Définition Maintenances'!$G:$G,MATCH($A56,'[1]Définition Maintenances'!$K:$K,0))+X56),X56))</f>
        <v>209</v>
      </c>
      <c r="Z56" s="26">
        <f>IF(ISNUMBER(VLOOKUP($D56,'Visu totale'!$D:$DH,Z$1,0)),Y56-VLOOKUP($D56,'Visu totale'!$D:$DH,Z$1,0),IF(LEFT(VLOOKUP($D56,'Visu totale'!$D:$DH,Z$1,0),1)="V",IF(Y56&gt;=INDEX('[1]Définition Maintenances'!$G:$G,MATCH($A56,'[1]Définition Maintenances'!$K:$K,0)),Y56,INDEX('[1]Définition Maintenances'!$G:$G,MATCH($A56,'[1]Définition Maintenances'!$K:$K,0))+Y56),Y56))</f>
        <v>209</v>
      </c>
      <c r="AA56" s="26">
        <f>IF(ISNUMBER(VLOOKUP($D56,'Visu totale'!$D:$DH,AA$1,0)),Z56-VLOOKUP($D56,'Visu totale'!$D:$DH,AA$1,0),IF(LEFT(VLOOKUP($D56,'Visu totale'!$D:$DH,AA$1,0),1)="V",IF(Z56&gt;=INDEX('[1]Définition Maintenances'!$G:$G,MATCH($A56,'[1]Définition Maintenances'!$K:$K,0)),Z56,INDEX('[1]Définition Maintenances'!$G:$G,MATCH($A56,'[1]Définition Maintenances'!$K:$K,0))+Z56),Z56))</f>
        <v>209</v>
      </c>
      <c r="AB56" s="26">
        <f>IF(ISNUMBER(VLOOKUP($D56,'Visu totale'!$D:$DH,AB$1,0)),AA56-VLOOKUP($D56,'Visu totale'!$D:$DH,AB$1,0),IF(LEFT(VLOOKUP($D56,'Visu totale'!$D:$DH,AB$1,0),1)="V",IF(AA56&gt;=INDEX('[1]Définition Maintenances'!$G:$G,MATCH($A56,'[1]Définition Maintenances'!$K:$K,0)),AA56,INDEX('[1]Définition Maintenances'!$G:$G,MATCH($A56,'[1]Définition Maintenances'!$K:$K,0))+AA56),AA56))</f>
        <v>209</v>
      </c>
      <c r="AC56" s="27">
        <f>IF(ISNUMBER(VLOOKUP($D56,'Visu totale'!$D:$DH,AC$1,0)),AB56-VLOOKUP($D56,'Visu totale'!$D:$DH,AC$1,0),IF(LEFT(VLOOKUP($D56,'Visu totale'!$D:$DH,AC$1,0),1)="V",IF(AB56&gt;=INDEX('[1]Définition Maintenances'!$G:$G,MATCH($A56,'[1]Définition Maintenances'!$K:$K,0)),AB56,INDEX('[1]Définition Maintenances'!$G:$G,MATCH($A56,'[1]Définition Maintenances'!$K:$K,0))+AB56),AB56))</f>
        <v>209</v>
      </c>
      <c r="AD56" s="25">
        <f>IF(ISNUMBER(VLOOKUP($D56,'Visu totale'!$D:$DH,AD$1,0)),AC56-VLOOKUP($D56,'Visu totale'!$D:$DH,AD$1,0),IF(LEFT(VLOOKUP($D56,'Visu totale'!$D:$DH,AD$1,0),1)="V",IF(AC56&gt;=INDEX('[1]Définition Maintenances'!$G:$G,MATCH($A56,'[1]Définition Maintenances'!$K:$K,0)),AC56,INDEX('[1]Définition Maintenances'!$G:$G,MATCH($A56,'[1]Définition Maintenances'!$K:$K,0))+AC56),AC56))</f>
        <v>209</v>
      </c>
      <c r="AE56" s="26">
        <f>IF(ISNUMBER(VLOOKUP($D56,'Visu totale'!$D:$DH,AE$1,0)),AD56-VLOOKUP($D56,'Visu totale'!$D:$DH,AE$1,0),IF(LEFT(VLOOKUP($D56,'Visu totale'!$D:$DH,AE$1,0),1)="V",IF(AD56&gt;=INDEX('[1]Définition Maintenances'!$G:$G,MATCH($A56,'[1]Définition Maintenances'!$K:$K,0)),AD56,INDEX('[1]Définition Maintenances'!$G:$G,MATCH($A56,'[1]Définition Maintenances'!$K:$K,0))+AD56),AD56))</f>
        <v>209</v>
      </c>
      <c r="AF56" s="26">
        <f>IF(ISNUMBER(VLOOKUP($D56,'Visu totale'!$D:$DH,AF$1,0)),AE56-VLOOKUP($D56,'Visu totale'!$D:$DH,AF$1,0),IF(LEFT(VLOOKUP($D56,'Visu totale'!$D:$DH,AF$1,0),1)="V",IF(AE56&gt;=INDEX('[1]Définition Maintenances'!$G:$G,MATCH($A56,'[1]Définition Maintenances'!$K:$K,0)),AE56,INDEX('[1]Définition Maintenances'!$G:$G,MATCH($A56,'[1]Définition Maintenances'!$K:$K,0))+AE56),AE56))</f>
        <v>209</v>
      </c>
      <c r="AG56" s="26">
        <f>IF(ISNUMBER(VLOOKUP($D56,'Visu totale'!$D:$DH,AG$1,0)),AF56-VLOOKUP($D56,'Visu totale'!$D:$DH,AG$1,0),IF(LEFT(VLOOKUP($D56,'Visu totale'!$D:$DH,AG$1,0),1)="V",IF(AF56&gt;=INDEX('[1]Définition Maintenances'!$G:$G,MATCH($A56,'[1]Définition Maintenances'!$K:$K,0)),AF56,INDEX('[1]Définition Maintenances'!$G:$G,MATCH($A56,'[1]Définition Maintenances'!$K:$K,0))+AF56),AF56))</f>
        <v>209</v>
      </c>
      <c r="AH56" s="26">
        <f>IF(ISNUMBER(VLOOKUP($D56,'Visu totale'!$D:$DH,AH$1,0)),AG56-VLOOKUP($D56,'Visu totale'!$D:$DH,AH$1,0),IF(LEFT(VLOOKUP($D56,'Visu totale'!$D:$DH,AH$1,0),1)="V",IF(AG56&gt;=INDEX('[1]Définition Maintenances'!$G:$G,MATCH($A56,'[1]Définition Maintenances'!$K:$K,0)),AG56,INDEX('[1]Définition Maintenances'!$G:$G,MATCH($A56,'[1]Définition Maintenances'!$K:$K,0))+AG56),AG56))</f>
        <v>209</v>
      </c>
      <c r="AI56" s="26">
        <f>IF(ISNUMBER(VLOOKUP($D56,'Visu totale'!$D:$DH,AI$1,0)),AH56-VLOOKUP($D56,'Visu totale'!$D:$DH,AI$1,0),IF(LEFT(VLOOKUP($D56,'Visu totale'!$D:$DH,AI$1,0),1)="V",IF(AH56&gt;=INDEX('[1]Définition Maintenances'!$G:$G,MATCH($A56,'[1]Définition Maintenances'!$K:$K,0)),AH56,INDEX('[1]Définition Maintenances'!$G:$G,MATCH($A56,'[1]Définition Maintenances'!$K:$K,0))+AH56),AH56))</f>
        <v>209</v>
      </c>
      <c r="AJ56" s="26">
        <f>IF(ISNUMBER(VLOOKUP($D56,'Visu totale'!$D:$DH,AJ$1,0)),AI56-VLOOKUP($D56,'Visu totale'!$D:$DH,AJ$1,0),IF(LEFT(VLOOKUP($D56,'Visu totale'!$D:$DH,AJ$1,0),1)="V",IF(AI56&gt;=INDEX('[1]Définition Maintenances'!$G:$G,MATCH($A56,'[1]Définition Maintenances'!$K:$K,0)),AI56,INDEX('[1]Définition Maintenances'!$G:$G,MATCH($A56,'[1]Définition Maintenances'!$K:$K,0))+AI56),AI56))</f>
        <v>209</v>
      </c>
      <c r="AK56" s="26">
        <f>IF(ISNUMBER(VLOOKUP($D56,'Visu totale'!$D:$DH,AK$1,0)),AJ56-VLOOKUP($D56,'Visu totale'!$D:$DH,AK$1,0),IF(LEFT(VLOOKUP($D56,'Visu totale'!$D:$DH,AK$1,0),1)="V",IF(AJ56&gt;=INDEX('[1]Définition Maintenances'!$G:$G,MATCH($A56,'[1]Définition Maintenances'!$K:$K,0)),AJ56,INDEX('[1]Définition Maintenances'!$G:$G,MATCH($A56,'[1]Définition Maintenances'!$K:$K,0))+AJ56),AJ56))</f>
        <v>209</v>
      </c>
      <c r="AL56" s="26">
        <f>IF(ISNUMBER(VLOOKUP($D56,'Visu totale'!$D:$DH,AL$1,0)),AK56-VLOOKUP($D56,'Visu totale'!$D:$DH,AL$1,0),IF(LEFT(VLOOKUP($D56,'Visu totale'!$D:$DH,AL$1,0),1)="V",IF(AK56&gt;=INDEX('[1]Définition Maintenances'!$G:$G,MATCH($A56,'[1]Définition Maintenances'!$K:$K,0)),AK56,INDEX('[1]Définition Maintenances'!$G:$G,MATCH($A56,'[1]Définition Maintenances'!$K:$K,0))+AK56),AK56))</f>
        <v>209</v>
      </c>
      <c r="AM56" s="26">
        <f>IF(ISNUMBER(VLOOKUP($D56,'Visu totale'!$D:$DH,AM$1,0)),AL56-VLOOKUP($D56,'Visu totale'!$D:$DH,AM$1,0),IF(LEFT(VLOOKUP($D56,'Visu totale'!$D:$DH,AM$1,0),1)="V",IF(AL56&gt;=INDEX('[1]Définition Maintenances'!$G:$G,MATCH($A56,'[1]Définition Maintenances'!$K:$K,0)),AL56,INDEX('[1]Définition Maintenances'!$G:$G,MATCH($A56,'[1]Définition Maintenances'!$K:$K,0))+AL56),AL56))</f>
        <v>209</v>
      </c>
      <c r="AN56" s="26">
        <f>IF(ISNUMBER(VLOOKUP($D56,'Visu totale'!$D:$DH,AN$1,0)),AM56-VLOOKUP($D56,'Visu totale'!$D:$DH,AN$1,0),IF(LEFT(VLOOKUP($D56,'Visu totale'!$D:$DH,AN$1,0),1)="V",IF(AM56&gt;=INDEX('[1]Définition Maintenances'!$G:$G,MATCH($A56,'[1]Définition Maintenances'!$K:$K,0)),AM56,INDEX('[1]Définition Maintenances'!$G:$G,MATCH($A56,'[1]Définition Maintenances'!$K:$K,0))+AM56),AM56))</f>
        <v>209</v>
      </c>
      <c r="AO56" s="27">
        <f>IF(ISNUMBER(VLOOKUP($D56,'Visu totale'!$D:$DH,AO$1,0)),AN56-VLOOKUP($D56,'Visu totale'!$D:$DH,AO$1,0),IF(LEFT(VLOOKUP($D56,'Visu totale'!$D:$DH,AO$1,0),1)="V",IF(AN56&gt;=INDEX('[1]Définition Maintenances'!$G:$G,MATCH($A56,'[1]Définition Maintenances'!$K:$K,0)),AN56,INDEX('[1]Définition Maintenances'!$G:$G,MATCH($A56,'[1]Définition Maintenances'!$K:$K,0))+AN56),AN56))</f>
        <v>209</v>
      </c>
      <c r="AP56" s="25">
        <f>IF(ISNUMBER(VLOOKUP($D56,'Visu totale'!$D:$DH,AP$1,0)),AO56-VLOOKUP($D56,'Visu totale'!$D:$DH,AP$1,0),IF(LEFT(VLOOKUP($D56,'Visu totale'!$D:$DH,AP$1,0),1)="V",IF(AO56&gt;=INDEX('[1]Définition Maintenances'!$G:$G,MATCH($A56,'[1]Définition Maintenances'!$K:$K,0)),AO56,INDEX('[1]Définition Maintenances'!$G:$G,MATCH($A56,'[1]Définition Maintenances'!$K:$K,0))+AO56),AO56))</f>
        <v>209</v>
      </c>
      <c r="AQ56" s="26">
        <f>IF(ISNUMBER(VLOOKUP($D56,'Visu totale'!$D:$DH,AQ$1,0)),AP56-VLOOKUP($D56,'Visu totale'!$D:$DH,AQ$1,0),IF(LEFT(VLOOKUP($D56,'Visu totale'!$D:$DH,AQ$1,0),1)="V",IF(AP56&gt;=INDEX('[1]Définition Maintenances'!$G:$G,MATCH($A56,'[1]Définition Maintenances'!$K:$K,0)),AP56,INDEX('[1]Définition Maintenances'!$G:$G,MATCH($A56,'[1]Définition Maintenances'!$K:$K,0))+AP56),AP56))</f>
        <v>209</v>
      </c>
      <c r="AR56" s="26">
        <f>IF(ISNUMBER(VLOOKUP($D56,'Visu totale'!$D:$DH,AR$1,0)),AQ56-VLOOKUP($D56,'Visu totale'!$D:$DH,AR$1,0),IF(LEFT(VLOOKUP($D56,'Visu totale'!$D:$DH,AR$1,0),1)="V",IF(AQ56&gt;=INDEX('[1]Définition Maintenances'!$G:$G,MATCH($A56,'[1]Définition Maintenances'!$K:$K,0)),AQ56,INDEX('[1]Définition Maintenances'!$G:$G,MATCH($A56,'[1]Définition Maintenances'!$K:$K,0))+AQ56),AQ56))</f>
        <v>209</v>
      </c>
      <c r="AS56" s="26">
        <f>IF(ISNUMBER(VLOOKUP($D56,'Visu totale'!$D:$DH,AS$1,0)),AR56-VLOOKUP($D56,'Visu totale'!$D:$DH,AS$1,0),IF(LEFT(VLOOKUP($D56,'Visu totale'!$D:$DH,AS$1,0),1)="V",IF(AR56&gt;=INDEX('[1]Définition Maintenances'!$G:$G,MATCH($A56,'[1]Définition Maintenances'!$K:$K,0)),AR56,INDEX('[1]Définition Maintenances'!$G:$G,MATCH($A56,'[1]Définition Maintenances'!$K:$K,0))+AR56),AR56))</f>
        <v>209</v>
      </c>
      <c r="AT56" s="26">
        <f>IF(ISNUMBER(VLOOKUP($D56,'Visu totale'!$D:$DH,AT$1,0)),AS56-VLOOKUP($D56,'Visu totale'!$D:$DH,AT$1,0),IF(LEFT(VLOOKUP($D56,'Visu totale'!$D:$DH,AT$1,0),1)="V",IF(AS56&gt;=INDEX('[1]Définition Maintenances'!$G:$G,MATCH($A56,'[1]Définition Maintenances'!$K:$K,0)),AS56,INDEX('[1]Définition Maintenances'!$G:$G,MATCH($A56,'[1]Définition Maintenances'!$K:$K,0))+AS56),AS56))</f>
        <v>209</v>
      </c>
      <c r="AU56" s="26">
        <f>IF(ISNUMBER(VLOOKUP($D56,'Visu totale'!$D:$DH,AU$1,0)),AT56-VLOOKUP($D56,'Visu totale'!$D:$DH,AU$1,0),IF(LEFT(VLOOKUP($D56,'Visu totale'!$D:$DH,AU$1,0),1)="V",IF(AT56&gt;=INDEX('[1]Définition Maintenances'!$G:$G,MATCH($A56,'[1]Définition Maintenances'!$K:$K,0)),AT56,INDEX('[1]Définition Maintenances'!$G:$G,MATCH($A56,'[1]Définition Maintenances'!$K:$K,0))+AT56),AT56))</f>
        <v>209</v>
      </c>
      <c r="AV56" s="26">
        <f>IF(ISNUMBER(VLOOKUP($D56,'Visu totale'!$D:$DH,AV$1,0)),AU56-VLOOKUP($D56,'Visu totale'!$D:$DH,AV$1,0),IF(LEFT(VLOOKUP($D56,'Visu totale'!$D:$DH,AV$1,0),1)="V",IF(AU56&gt;=INDEX('[1]Définition Maintenances'!$G:$G,MATCH($A56,'[1]Définition Maintenances'!$K:$K,0)),AU56,INDEX('[1]Définition Maintenances'!$G:$G,MATCH($A56,'[1]Définition Maintenances'!$K:$K,0))+AU56),AU56))</f>
        <v>209</v>
      </c>
      <c r="AW56" s="26">
        <f>IF(ISNUMBER(VLOOKUP($D56,'Visu totale'!$D:$DH,AW$1,0)),AV56-VLOOKUP($D56,'Visu totale'!$D:$DH,AW$1,0),IF(LEFT(VLOOKUP($D56,'Visu totale'!$D:$DH,AW$1,0),1)="V",IF(AV56&gt;=INDEX('[1]Définition Maintenances'!$G:$G,MATCH($A56,'[1]Définition Maintenances'!$K:$K,0)),AV56,INDEX('[1]Définition Maintenances'!$G:$G,MATCH($A56,'[1]Définition Maintenances'!$K:$K,0))+AV56),AV56))</f>
        <v>209</v>
      </c>
      <c r="AX56" s="26">
        <f>IF(ISNUMBER(VLOOKUP($D56,'Visu totale'!$D:$DH,AX$1,0)),AW56-VLOOKUP($D56,'Visu totale'!$D:$DH,AX$1,0),IF(LEFT(VLOOKUP($D56,'Visu totale'!$D:$DH,AX$1,0),1)="V",IF(AW56&gt;=INDEX('[1]Définition Maintenances'!$G:$G,MATCH($A56,'[1]Définition Maintenances'!$K:$K,0)),AW56,INDEX('[1]Définition Maintenances'!$G:$G,MATCH($A56,'[1]Définition Maintenances'!$K:$K,0))+AW56),AW56))</f>
        <v>209</v>
      </c>
      <c r="AY56" s="26">
        <f>IF(ISNUMBER(VLOOKUP($D56,'Visu totale'!$D:$DH,AY$1,0)),AX56-VLOOKUP($D56,'Visu totale'!$D:$DH,AY$1,0),IF(LEFT(VLOOKUP($D56,'Visu totale'!$D:$DH,AY$1,0),1)="V",IF(AX56&gt;=INDEX('[1]Définition Maintenances'!$G:$G,MATCH($A56,'[1]Définition Maintenances'!$K:$K,0)),AX56,INDEX('[1]Définition Maintenances'!$G:$G,MATCH($A56,'[1]Définition Maintenances'!$K:$K,0))+AX56),AX56))</f>
        <v>209</v>
      </c>
      <c r="AZ56" s="26">
        <f>IF(ISNUMBER(VLOOKUP($D56,'Visu totale'!$D:$DH,AZ$1,0)),AY56-VLOOKUP($D56,'Visu totale'!$D:$DH,AZ$1,0),IF(LEFT(VLOOKUP($D56,'Visu totale'!$D:$DH,AZ$1,0),1)="V",IF(AY56&gt;=INDEX('[1]Définition Maintenances'!$G:$G,MATCH($A56,'[1]Définition Maintenances'!$K:$K,0)),AY56,INDEX('[1]Définition Maintenances'!$G:$G,MATCH($A56,'[1]Définition Maintenances'!$K:$K,0))+AY56),AY56))</f>
        <v>209</v>
      </c>
      <c r="BA56" s="27">
        <f>IF(ISNUMBER(VLOOKUP($D56,'Visu totale'!$D:$DH,BA$1,0)),AZ56-VLOOKUP($D56,'Visu totale'!$D:$DH,BA$1,0),IF(LEFT(VLOOKUP($D56,'Visu totale'!$D:$DH,BA$1,0),1)="V",IF(AZ56&gt;=INDEX('[1]Définition Maintenances'!$G:$G,MATCH($A56,'[1]Définition Maintenances'!$K:$K,0)),AZ56,INDEX('[1]Définition Maintenances'!$G:$G,MATCH($A56,'[1]Définition Maintenances'!$K:$K,0))+AZ56),AZ56))</f>
        <v>209</v>
      </c>
      <c r="BB56" s="25">
        <f>IF(ISNUMBER(VLOOKUP($D56,'Visu totale'!$D:$DH,BB$1,0)),BA56-VLOOKUP($D56,'Visu totale'!$D:$DH,BB$1,0),IF(LEFT(VLOOKUP($D56,'Visu totale'!$D:$DH,BB$1,0),1)="V",IF(BA56&gt;=INDEX('[1]Définition Maintenances'!$G:$G,MATCH($A56,'[1]Définition Maintenances'!$K:$K,0)),BA56,INDEX('[1]Définition Maintenances'!$G:$G,MATCH($A56,'[1]Définition Maintenances'!$K:$K,0))+BA56),BA56))</f>
        <v>209</v>
      </c>
      <c r="BC56" s="26">
        <f>IF(ISNUMBER(VLOOKUP($D56,'Visu totale'!$D:$DH,BC$1,0)),BB56-VLOOKUP($D56,'Visu totale'!$D:$DH,BC$1,0),IF(LEFT(VLOOKUP($D56,'Visu totale'!$D:$DH,BC$1,0),1)="V",IF(BB56&gt;=INDEX('[1]Définition Maintenances'!$G:$G,MATCH($A56,'[1]Définition Maintenances'!$K:$K,0)),BB56,INDEX('[1]Définition Maintenances'!$G:$G,MATCH($A56,'[1]Définition Maintenances'!$K:$K,0))+BB56),BB56))</f>
        <v>209</v>
      </c>
      <c r="BD56" s="26">
        <f>IF(ISNUMBER(VLOOKUP($D56,'Visu totale'!$D:$DH,BD$1,0)),BC56-VLOOKUP($D56,'Visu totale'!$D:$DH,BD$1,0),IF(LEFT(VLOOKUP($D56,'Visu totale'!$D:$DH,BD$1,0),1)="V",IF(BC56&gt;=INDEX('[1]Définition Maintenances'!$G:$G,MATCH($A56,'[1]Définition Maintenances'!$K:$K,0)),BC56,INDEX('[1]Définition Maintenances'!$G:$G,MATCH($A56,'[1]Définition Maintenances'!$K:$K,0))+BC56),BC56))</f>
        <v>209</v>
      </c>
      <c r="BE56" s="26">
        <f>IF(ISNUMBER(VLOOKUP($D56,'Visu totale'!$D:$DH,BE$1,0)),BD56-VLOOKUP($D56,'Visu totale'!$D:$DH,BE$1,0),IF(LEFT(VLOOKUP($D56,'Visu totale'!$D:$DH,BE$1,0),1)="V",IF(BD56&gt;=INDEX('[1]Définition Maintenances'!$G:$G,MATCH($A56,'[1]Définition Maintenances'!$K:$K,0)),BD56,INDEX('[1]Définition Maintenances'!$G:$G,MATCH($A56,'[1]Définition Maintenances'!$K:$K,0))+BD56),BD56))</f>
        <v>209</v>
      </c>
      <c r="BF56" s="26">
        <f>IF(ISNUMBER(VLOOKUP($D56,'Visu totale'!$D:$DH,BF$1,0)),BE56-VLOOKUP($D56,'Visu totale'!$D:$DH,BF$1,0),IF(LEFT(VLOOKUP($D56,'Visu totale'!$D:$DH,BF$1,0),1)="V",IF(BE56&gt;=INDEX('[1]Définition Maintenances'!$G:$G,MATCH($A56,'[1]Définition Maintenances'!$K:$K,0)),BE56,INDEX('[1]Définition Maintenances'!$G:$G,MATCH($A56,'[1]Définition Maintenances'!$K:$K,0))+BE56),BE56))</f>
        <v>209</v>
      </c>
      <c r="BG56" s="26">
        <f>IF(ISNUMBER(VLOOKUP($D56,'Visu totale'!$D:$DH,BG$1,0)),BF56-VLOOKUP($D56,'Visu totale'!$D:$DH,BG$1,0),IF(LEFT(VLOOKUP($D56,'Visu totale'!$D:$DH,BG$1,0),1)="V",IF(BF56&gt;=INDEX('[1]Définition Maintenances'!$G:$G,MATCH($A56,'[1]Définition Maintenances'!$K:$K,0)),BF56,INDEX('[1]Définition Maintenances'!$G:$G,MATCH($A56,'[1]Définition Maintenances'!$K:$K,0))+BF56),BF56))</f>
        <v>209</v>
      </c>
      <c r="BH56" s="26">
        <f>IF(ISNUMBER(VLOOKUP($D56,'Visu totale'!$D:$DH,BH$1,0)),BG56-VLOOKUP($D56,'Visu totale'!$D:$DH,BH$1,0),IF(LEFT(VLOOKUP($D56,'Visu totale'!$D:$DH,BH$1,0),1)="V",IF(BG56&gt;=INDEX('[1]Définition Maintenances'!$G:$G,MATCH($A56,'[1]Définition Maintenances'!$K:$K,0)),BG56,INDEX('[1]Définition Maintenances'!$G:$G,MATCH($A56,'[1]Définition Maintenances'!$K:$K,0))+BG56),BG56))</f>
        <v>209</v>
      </c>
      <c r="BI56" s="26">
        <f>IF(ISNUMBER(VLOOKUP($D56,'Visu totale'!$D:$DH,BI$1,0)),BH56-VLOOKUP($D56,'Visu totale'!$D:$DH,BI$1,0),IF(LEFT(VLOOKUP($D56,'Visu totale'!$D:$DH,BI$1,0),1)="V",IF(BH56&gt;=INDEX('[1]Définition Maintenances'!$G:$G,MATCH($A56,'[1]Définition Maintenances'!$K:$K,0)),BH56,INDEX('[1]Définition Maintenances'!$G:$G,MATCH($A56,'[1]Définition Maintenances'!$K:$K,0))+BH56),BH56))</f>
        <v>209</v>
      </c>
      <c r="BJ56" s="26">
        <f>IF(ISNUMBER(VLOOKUP($D56,'Visu totale'!$D:$DH,BJ$1,0)),BI56-VLOOKUP($D56,'Visu totale'!$D:$DH,BJ$1,0),IF(LEFT(VLOOKUP($D56,'Visu totale'!$D:$DH,BJ$1,0),1)="V",IF(BI56&gt;=INDEX('[1]Définition Maintenances'!$G:$G,MATCH($A56,'[1]Définition Maintenances'!$K:$K,0)),BI56,INDEX('[1]Définition Maintenances'!$G:$G,MATCH($A56,'[1]Définition Maintenances'!$K:$K,0))+BI56),BI56))</f>
        <v>209</v>
      </c>
      <c r="BK56" s="26">
        <f>IF(ISNUMBER(VLOOKUP($D56,'Visu totale'!$D:$DH,BK$1,0)),BJ56-VLOOKUP($D56,'Visu totale'!$D:$DH,BK$1,0),IF(LEFT(VLOOKUP($D56,'Visu totale'!$D:$DH,BK$1,0),1)="V",IF(BJ56&gt;=INDEX('[1]Définition Maintenances'!$G:$G,MATCH($A56,'[1]Définition Maintenances'!$K:$K,0)),BJ56,INDEX('[1]Définition Maintenances'!$G:$G,MATCH($A56,'[1]Définition Maintenances'!$K:$K,0))+BJ56),BJ56))</f>
        <v>209</v>
      </c>
      <c r="BL56" s="26">
        <f>IF(ISNUMBER(VLOOKUP($D56,'Visu totale'!$D:$DH,BL$1,0)),BK56-VLOOKUP($D56,'Visu totale'!$D:$DH,BL$1,0),IF(LEFT(VLOOKUP($D56,'Visu totale'!$D:$DH,BL$1,0),1)="V",IF(BK56&gt;=INDEX('[1]Définition Maintenances'!$G:$G,MATCH($A56,'[1]Définition Maintenances'!$K:$K,0)),BK56,INDEX('[1]Définition Maintenances'!$G:$G,MATCH($A56,'[1]Définition Maintenances'!$K:$K,0))+BK56),BK56))</f>
        <v>209</v>
      </c>
      <c r="BM56" s="27">
        <f>IF(ISNUMBER(VLOOKUP($D56,'Visu totale'!$D:$DH,BM$1,0)),BL56-VLOOKUP($D56,'Visu totale'!$D:$DH,BM$1,0),IF(LEFT(VLOOKUP($D56,'Visu totale'!$D:$DH,BM$1,0),1)="V",IF(BL56&gt;=INDEX('[1]Définition Maintenances'!$G:$G,MATCH($A56,'[1]Définition Maintenances'!$K:$K,0)),BL56,INDEX('[1]Définition Maintenances'!$G:$G,MATCH($A56,'[1]Définition Maintenances'!$K:$K,0))+BL56),BL56))</f>
        <v>209</v>
      </c>
      <c r="BN56" s="25">
        <f>IF(ISNUMBER(VLOOKUP($D56,'Visu totale'!$D:$DH,BN$1,0)),BM56-VLOOKUP($D56,'Visu totale'!$D:$DH,BN$1,0),IF(LEFT(VLOOKUP($D56,'Visu totale'!$D:$DH,BN$1,0),1)="V",IF(BM56&gt;=INDEX('[1]Définition Maintenances'!$G:$G,MATCH($A56,'[1]Définition Maintenances'!$K:$K,0)),BM56,INDEX('[1]Définition Maintenances'!$G:$G,MATCH($A56,'[1]Définition Maintenances'!$K:$K,0))+BM56),BM56))</f>
        <v>209</v>
      </c>
      <c r="BO56" s="26">
        <f>IF(ISNUMBER(VLOOKUP($D56,'Visu totale'!$D:$DH,BO$1,0)),BN56-VLOOKUP($D56,'Visu totale'!$D:$DH,BO$1,0),IF(LEFT(VLOOKUP($D56,'Visu totale'!$D:$DH,BO$1,0),1)="V",IF(BN56&gt;=INDEX('[1]Définition Maintenances'!$G:$G,MATCH($A56,'[1]Définition Maintenances'!$K:$K,0)),BN56,INDEX('[1]Définition Maintenances'!$G:$G,MATCH($A56,'[1]Définition Maintenances'!$K:$K,0))+BN56),BN56))</f>
        <v>209</v>
      </c>
      <c r="BP56" s="26">
        <f>IF(ISNUMBER(VLOOKUP($D56,'Visu totale'!$D:$DH,BP$1,0)),BO56-VLOOKUP($D56,'Visu totale'!$D:$DH,BP$1,0),IF(LEFT(VLOOKUP($D56,'Visu totale'!$D:$DH,BP$1,0),1)="V",IF(BO56&gt;=INDEX('[1]Définition Maintenances'!$G:$G,MATCH($A56,'[1]Définition Maintenances'!$K:$K,0)),BO56,INDEX('[1]Définition Maintenances'!$G:$G,MATCH($A56,'[1]Définition Maintenances'!$K:$K,0))+BO56),BO56))</f>
        <v>209</v>
      </c>
      <c r="BQ56" s="26">
        <f>IF(ISNUMBER(VLOOKUP($D56,'Visu totale'!$D:$DH,BQ$1,0)),BP56-VLOOKUP($D56,'Visu totale'!$D:$DH,BQ$1,0),IF(LEFT(VLOOKUP($D56,'Visu totale'!$D:$DH,BQ$1,0),1)="V",IF(BP56&gt;=INDEX('[1]Définition Maintenances'!$G:$G,MATCH($A56,'[1]Définition Maintenances'!$K:$K,0)),BP56,INDEX('[1]Définition Maintenances'!$G:$G,MATCH($A56,'[1]Définition Maintenances'!$K:$K,0))+BP56),BP56))</f>
        <v>209</v>
      </c>
      <c r="BR56" s="26">
        <f>IF(ISNUMBER(VLOOKUP($D56,'Visu totale'!$D:$DH,BR$1,0)),BQ56-VLOOKUP($D56,'Visu totale'!$D:$DH,BR$1,0),IF(LEFT(VLOOKUP($D56,'Visu totale'!$D:$DH,BR$1,0),1)="V",IF(BQ56&gt;=INDEX('[1]Définition Maintenances'!$G:$G,MATCH($A56,'[1]Définition Maintenances'!$K:$K,0)),BQ56,INDEX('[1]Définition Maintenances'!$G:$G,MATCH($A56,'[1]Définition Maintenances'!$K:$K,0))+BQ56),BQ56))</f>
        <v>209</v>
      </c>
      <c r="BS56" s="26">
        <f>IF(ISNUMBER(VLOOKUP($D56,'Visu totale'!$D:$DH,BS$1,0)),BR56-VLOOKUP($D56,'Visu totale'!$D:$DH,BS$1,0),IF(LEFT(VLOOKUP($D56,'Visu totale'!$D:$DH,BS$1,0),1)="V",IF(BR56&gt;=INDEX('[1]Définition Maintenances'!$G:$G,MATCH($A56,'[1]Définition Maintenances'!$K:$K,0)),BR56,INDEX('[1]Définition Maintenances'!$G:$G,MATCH($A56,'[1]Définition Maintenances'!$K:$K,0))+BR56),BR56))</f>
        <v>209</v>
      </c>
      <c r="BT56" s="26">
        <f>IF(ISNUMBER(VLOOKUP($D56,'Visu totale'!$D:$DH,BT$1,0)),BS56-VLOOKUP($D56,'Visu totale'!$D:$DH,BT$1,0),IF(LEFT(VLOOKUP($D56,'Visu totale'!$D:$DH,BT$1,0),1)="V",IF(BS56&gt;=INDEX('[1]Définition Maintenances'!$G:$G,MATCH($A56,'[1]Définition Maintenances'!$K:$K,0)),BS56,INDEX('[1]Définition Maintenances'!$G:$G,MATCH($A56,'[1]Définition Maintenances'!$K:$K,0))+BS56),BS56))</f>
        <v>209</v>
      </c>
      <c r="BU56" s="26">
        <f>IF(ISNUMBER(VLOOKUP($D56,'Visu totale'!$D:$DH,BU$1,0)),BT56-VLOOKUP($D56,'Visu totale'!$D:$DH,BU$1,0),IF(LEFT(VLOOKUP($D56,'Visu totale'!$D:$DH,BU$1,0),1)="V",IF(BT56&gt;=INDEX('[1]Définition Maintenances'!$G:$G,MATCH($A56,'[1]Définition Maintenances'!$K:$K,0)),BT56,INDEX('[1]Définition Maintenances'!$G:$G,MATCH($A56,'[1]Définition Maintenances'!$K:$K,0))+BT56),BT56))</f>
        <v>209</v>
      </c>
      <c r="BV56" s="26">
        <f>IF(ISNUMBER(VLOOKUP($D56,'Visu totale'!$D:$DH,BV$1,0)),BU56-VLOOKUP($D56,'Visu totale'!$D:$DH,BV$1,0),IF(LEFT(VLOOKUP($D56,'Visu totale'!$D:$DH,BV$1,0),1)="V",IF(BU56&gt;=INDEX('[1]Définition Maintenances'!$G:$G,MATCH($A56,'[1]Définition Maintenances'!$K:$K,0)),BU56,INDEX('[1]Définition Maintenances'!$G:$G,MATCH($A56,'[1]Définition Maintenances'!$K:$K,0))+BU56),BU56))</f>
        <v>209</v>
      </c>
      <c r="BW56" s="26">
        <f>IF(ISNUMBER(VLOOKUP($D56,'Visu totale'!$D:$DH,BW$1,0)),BV56-VLOOKUP($D56,'Visu totale'!$D:$DH,BW$1,0),IF(LEFT(VLOOKUP($D56,'Visu totale'!$D:$DH,BW$1,0),1)="V",IF(BV56&gt;=INDEX('[1]Définition Maintenances'!$G:$G,MATCH($A56,'[1]Définition Maintenances'!$K:$K,0)),BV56,INDEX('[1]Définition Maintenances'!$G:$G,MATCH($A56,'[1]Définition Maintenances'!$K:$K,0))+BV56),BV56))</f>
        <v>209</v>
      </c>
      <c r="BX56" s="26">
        <f>IF(ISNUMBER(VLOOKUP($D56,'Visu totale'!$D:$DH,BX$1,0)),BW56-VLOOKUP($D56,'Visu totale'!$D:$DH,BX$1,0),IF(LEFT(VLOOKUP($D56,'Visu totale'!$D:$DH,BX$1,0),1)="V",IF(BW56&gt;=INDEX('[1]Définition Maintenances'!$G:$G,MATCH($A56,'[1]Définition Maintenances'!$K:$K,0)),BW56,INDEX('[1]Définition Maintenances'!$G:$G,MATCH($A56,'[1]Définition Maintenances'!$K:$K,0))+BW56),BW56))</f>
        <v>209</v>
      </c>
      <c r="BY56" s="27">
        <f>IF(ISNUMBER(VLOOKUP($D56,'Visu totale'!$D:$DH,BY$1,0)),BX56-VLOOKUP($D56,'Visu totale'!$D:$DH,BY$1,0),IF(LEFT(VLOOKUP($D56,'Visu totale'!$D:$DH,BY$1,0),1)="V",IF(BX56&gt;=INDEX('[1]Définition Maintenances'!$G:$G,MATCH($A56,'[1]Définition Maintenances'!$K:$K,0)),BX56,INDEX('[1]Définition Maintenances'!$G:$G,MATCH($A56,'[1]Définition Maintenances'!$K:$K,0))+BX56),BX56))</f>
        <v>209</v>
      </c>
      <c r="BZ56" s="25">
        <f>IF(ISNUMBER(VLOOKUP($D56,'Visu totale'!$D:$DH,BZ$1,0)),BY56-VLOOKUP($D56,'Visu totale'!$D:$DH,BZ$1,0),IF(LEFT(VLOOKUP($D56,'Visu totale'!$D:$DH,BZ$1,0),1)="V",IF(BY56&gt;=INDEX('[1]Définition Maintenances'!$G:$G,MATCH($A56,'[1]Définition Maintenances'!$K:$K,0)),BY56,INDEX('[1]Définition Maintenances'!$G:$G,MATCH($A56,'[1]Définition Maintenances'!$K:$K,0))+BY56),BY56))</f>
        <v>209</v>
      </c>
      <c r="CA56" s="26">
        <f>IF(ISNUMBER(VLOOKUP($D56,'Visu totale'!$D:$DH,CA$1,0)),BZ56-VLOOKUP($D56,'Visu totale'!$D:$DH,CA$1,0),IF(LEFT(VLOOKUP($D56,'Visu totale'!$D:$DH,CA$1,0),1)="V",IF(BZ56&gt;=INDEX('[1]Définition Maintenances'!$G:$G,MATCH($A56,'[1]Définition Maintenances'!$K:$K,0)),BZ56,INDEX('[1]Définition Maintenances'!$G:$G,MATCH($A56,'[1]Définition Maintenances'!$K:$K,0))+BZ56),BZ56))</f>
        <v>209</v>
      </c>
      <c r="CB56" s="26">
        <f>IF(ISNUMBER(VLOOKUP($D56,'Visu totale'!$D:$DH,CB$1,0)),CA56-VLOOKUP($D56,'Visu totale'!$D:$DH,CB$1,0),IF(LEFT(VLOOKUP($D56,'Visu totale'!$D:$DH,CB$1,0),1)="V",IF(CA56&gt;=INDEX('[1]Définition Maintenances'!$G:$G,MATCH($A56,'[1]Définition Maintenances'!$K:$K,0)),CA56,INDEX('[1]Définition Maintenances'!$G:$G,MATCH($A56,'[1]Définition Maintenances'!$K:$K,0))+CA56),CA56))</f>
        <v>209</v>
      </c>
      <c r="CC56" s="26">
        <f>IF(ISNUMBER(VLOOKUP($D56,'Visu totale'!$D:$DH,CC$1,0)),CB56-VLOOKUP($D56,'Visu totale'!$D:$DH,CC$1,0),IF(LEFT(VLOOKUP($D56,'Visu totale'!$D:$DH,CC$1,0),1)="V",IF(CB56&gt;=INDEX('[1]Définition Maintenances'!$G:$G,MATCH($A56,'[1]Définition Maintenances'!$K:$K,0)),CB56,INDEX('[1]Définition Maintenances'!$G:$G,MATCH($A56,'[1]Définition Maintenances'!$K:$K,0))+CB56),CB56))</f>
        <v>209</v>
      </c>
      <c r="CD56" s="26">
        <f>IF(ISNUMBER(VLOOKUP($D56,'Visu totale'!$D:$DH,CD$1,0)),CC56-VLOOKUP($D56,'Visu totale'!$D:$DH,CD$1,0),IF(LEFT(VLOOKUP($D56,'Visu totale'!$D:$DH,CD$1,0),1)="V",IF(CC56&gt;=INDEX('[1]Définition Maintenances'!$G:$G,MATCH($A56,'[1]Définition Maintenances'!$K:$K,0)),CC56,INDEX('[1]Définition Maintenances'!$G:$G,MATCH($A56,'[1]Définition Maintenances'!$K:$K,0))+CC56),CC56))</f>
        <v>209</v>
      </c>
      <c r="CE56" s="26">
        <f>IF(ISNUMBER(VLOOKUP($D56,'Visu totale'!$D:$DH,CE$1,0)),CD56-VLOOKUP($D56,'Visu totale'!$D:$DH,CE$1,0),IF(LEFT(VLOOKUP($D56,'Visu totale'!$D:$DH,CE$1,0),1)="V",IF(CD56&gt;=INDEX('[1]Définition Maintenances'!$G:$G,MATCH($A56,'[1]Définition Maintenances'!$K:$K,0)),CD56,INDEX('[1]Définition Maintenances'!$G:$G,MATCH($A56,'[1]Définition Maintenances'!$K:$K,0))+CD56),CD56))</f>
        <v>209</v>
      </c>
      <c r="CF56" s="26">
        <f>IF(ISNUMBER(VLOOKUP($D56,'Visu totale'!$D:$DH,CF$1,0)),CE56-VLOOKUP($D56,'Visu totale'!$D:$DH,CF$1,0),IF(LEFT(VLOOKUP($D56,'Visu totale'!$D:$DH,CF$1,0),1)="V",IF(CE56&gt;=INDEX('[1]Définition Maintenances'!$G:$G,MATCH($A56,'[1]Définition Maintenances'!$K:$K,0)),CE56,INDEX('[1]Définition Maintenances'!$G:$G,MATCH($A56,'[1]Définition Maintenances'!$K:$K,0))+CE56),CE56))</f>
        <v>209</v>
      </c>
      <c r="CG56" s="26">
        <f>IF(ISNUMBER(VLOOKUP($D56,'Visu totale'!$D:$DH,CG$1,0)),CF56-VLOOKUP($D56,'Visu totale'!$D:$DH,CG$1,0),IF(LEFT(VLOOKUP($D56,'Visu totale'!$D:$DH,CG$1,0),1)="V",IF(CF56&gt;=INDEX('[1]Définition Maintenances'!$G:$G,MATCH($A56,'[1]Définition Maintenances'!$K:$K,0)),CF56,INDEX('[1]Définition Maintenances'!$G:$G,MATCH($A56,'[1]Définition Maintenances'!$K:$K,0))+CF56),CF56))</f>
        <v>209</v>
      </c>
      <c r="CH56" s="26">
        <f>IF(ISNUMBER(VLOOKUP($D56,'Visu totale'!$D:$DH,CH$1,0)),CG56-VLOOKUP($D56,'Visu totale'!$D:$DH,CH$1,0),IF(LEFT(VLOOKUP($D56,'Visu totale'!$D:$DH,CH$1,0),1)="V",IF(CG56&gt;=INDEX('[1]Définition Maintenances'!$G:$G,MATCH($A56,'[1]Définition Maintenances'!$K:$K,0)),CG56,INDEX('[1]Définition Maintenances'!$G:$G,MATCH($A56,'[1]Définition Maintenances'!$K:$K,0))+CG56),CG56))</f>
        <v>209</v>
      </c>
      <c r="CI56" s="26">
        <f>IF(ISNUMBER(VLOOKUP($D56,'Visu totale'!$D:$DH,CI$1,0)),CH56-VLOOKUP($D56,'Visu totale'!$D:$DH,CI$1,0),IF(LEFT(VLOOKUP($D56,'Visu totale'!$D:$DH,CI$1,0),1)="V",IF(CH56&gt;=INDEX('[1]Définition Maintenances'!$G:$G,MATCH($A56,'[1]Définition Maintenances'!$K:$K,0)),CH56,INDEX('[1]Définition Maintenances'!$G:$G,MATCH($A56,'[1]Définition Maintenances'!$K:$K,0))+CH56),CH56))</f>
        <v>209</v>
      </c>
      <c r="CJ56" s="26">
        <f>IF(ISNUMBER(VLOOKUP($D56,'Visu totale'!$D:$DH,CJ$1,0)),CI56-VLOOKUP($D56,'Visu totale'!$D:$DH,CJ$1,0),IF(LEFT(VLOOKUP($D56,'Visu totale'!$D:$DH,CJ$1,0),1)="V",IF(CI56&gt;=INDEX('[1]Définition Maintenances'!$G:$G,MATCH($A56,'[1]Définition Maintenances'!$K:$K,0)),CI56,INDEX('[1]Définition Maintenances'!$G:$G,MATCH($A56,'[1]Définition Maintenances'!$K:$K,0))+CI56),CI56))</f>
        <v>209</v>
      </c>
      <c r="CK56" s="27">
        <f>IF(ISNUMBER(VLOOKUP($D56,'Visu totale'!$D:$DH,CK$1,0)),CJ56-VLOOKUP($D56,'Visu totale'!$D:$DH,CK$1,0),IF(LEFT(VLOOKUP($D56,'Visu totale'!$D:$DH,CK$1,0),1)="V",IF(CJ56&gt;=INDEX('[1]Définition Maintenances'!$G:$G,MATCH($A56,'[1]Définition Maintenances'!$K:$K,0)),CJ56,INDEX('[1]Définition Maintenances'!$G:$G,MATCH($A56,'[1]Définition Maintenances'!$K:$K,0))+CJ56),CJ56))</f>
        <v>209</v>
      </c>
      <c r="CL56" s="25">
        <f>IF(ISNUMBER(VLOOKUP($D56,'Visu totale'!$D:$DH,CL$1,0)),CK56-VLOOKUP($D56,'Visu totale'!$D:$DH,CL$1,0),IF(LEFT(VLOOKUP($D56,'Visu totale'!$D:$DH,CL$1,0),1)="V",IF(CK56&gt;=INDEX('[1]Définition Maintenances'!$G:$G,MATCH($A56,'[1]Définition Maintenances'!$K:$K,0)),CK56,INDEX('[1]Définition Maintenances'!$G:$G,MATCH($A56,'[1]Définition Maintenances'!$K:$K,0))+CK56),CK56))</f>
        <v>209</v>
      </c>
      <c r="CM56" s="26">
        <f>IF(ISNUMBER(VLOOKUP($D56,'Visu totale'!$D:$DH,CM$1,0)),CL56-VLOOKUP($D56,'Visu totale'!$D:$DH,CM$1,0),IF(LEFT(VLOOKUP($D56,'Visu totale'!$D:$DH,CM$1,0),1)="V",IF(CL56&gt;=INDEX('[1]Définition Maintenances'!$G:$G,MATCH($A56,'[1]Définition Maintenances'!$K:$K,0)),CL56,INDEX('[1]Définition Maintenances'!$G:$G,MATCH($A56,'[1]Définition Maintenances'!$K:$K,0))+CL56),CL56))</f>
        <v>209</v>
      </c>
      <c r="CN56" s="26">
        <f>IF(ISNUMBER(VLOOKUP($D56,'Visu totale'!$D:$DH,CN$1,0)),CM56-VLOOKUP($D56,'Visu totale'!$D:$DH,CN$1,0),IF(LEFT(VLOOKUP($D56,'Visu totale'!$D:$DH,CN$1,0),1)="V",IF(CM56&gt;=INDEX('[1]Définition Maintenances'!$G:$G,MATCH($A56,'[1]Définition Maintenances'!$K:$K,0)),CM56,INDEX('[1]Définition Maintenances'!$G:$G,MATCH($A56,'[1]Définition Maintenances'!$K:$K,0))+CM56),CM56))</f>
        <v>209</v>
      </c>
      <c r="CO56" s="26">
        <f>IF(ISNUMBER(VLOOKUP($D56,'Visu totale'!$D:$DH,CO$1,0)),CN56-VLOOKUP($D56,'Visu totale'!$D:$DH,CO$1,0),IF(LEFT(VLOOKUP($D56,'Visu totale'!$D:$DH,CO$1,0),1)="V",IF(CN56&gt;=INDEX('[1]Définition Maintenances'!$G:$G,MATCH($A56,'[1]Définition Maintenances'!$K:$K,0)),CN56,INDEX('[1]Définition Maintenances'!$G:$G,MATCH($A56,'[1]Définition Maintenances'!$K:$K,0))+CN56),CN56))</f>
        <v>209</v>
      </c>
      <c r="CP56" s="26">
        <f>IF(ISNUMBER(VLOOKUP($D56,'Visu totale'!$D:$DH,CP$1,0)),CO56-VLOOKUP($D56,'Visu totale'!$D:$DH,CP$1,0),IF(LEFT(VLOOKUP($D56,'Visu totale'!$D:$DH,CP$1,0),1)="V",IF(CO56&gt;=INDEX('[1]Définition Maintenances'!$G:$G,MATCH($A56,'[1]Définition Maintenances'!$K:$K,0)),CO56,INDEX('[1]Définition Maintenances'!$G:$G,MATCH($A56,'[1]Définition Maintenances'!$K:$K,0))+CO56),CO56))</f>
        <v>209</v>
      </c>
      <c r="CQ56" s="26">
        <f>IF(ISNUMBER(VLOOKUP($D56,'Visu totale'!$D:$DH,CQ$1,0)),CP56-VLOOKUP($D56,'Visu totale'!$D:$DH,CQ$1,0),IF(LEFT(VLOOKUP($D56,'Visu totale'!$D:$DH,CQ$1,0),1)="V",IF(CP56&gt;=INDEX('[1]Définition Maintenances'!$G:$G,MATCH($A56,'[1]Définition Maintenances'!$K:$K,0)),CP56,INDEX('[1]Définition Maintenances'!$G:$G,MATCH($A56,'[1]Définition Maintenances'!$K:$K,0))+CP56),CP56))</f>
        <v>209</v>
      </c>
      <c r="CR56" s="26">
        <f>IF(ISNUMBER(VLOOKUP($D56,'Visu totale'!$D:$DH,CR$1,0)),CQ56-VLOOKUP($D56,'Visu totale'!$D:$DH,CR$1,0),IF(LEFT(VLOOKUP($D56,'Visu totale'!$D:$DH,CR$1,0),1)="V",IF(CQ56&gt;=INDEX('[1]Définition Maintenances'!$G:$G,MATCH($A56,'[1]Définition Maintenances'!$K:$K,0)),CQ56,INDEX('[1]Définition Maintenances'!$G:$G,MATCH($A56,'[1]Définition Maintenances'!$K:$K,0))+CQ56),CQ56))</f>
        <v>209</v>
      </c>
      <c r="CS56" s="26">
        <f>IF(ISNUMBER(VLOOKUP($D56,'Visu totale'!$D:$DH,CS$1,0)),CR56-VLOOKUP($D56,'Visu totale'!$D:$DH,CS$1,0),IF(LEFT(VLOOKUP($D56,'Visu totale'!$D:$DH,CS$1,0),1)="V",IF(CR56&gt;=INDEX('[1]Définition Maintenances'!$G:$G,MATCH($A56,'[1]Définition Maintenances'!$K:$K,0)),CR56,INDEX('[1]Définition Maintenances'!$G:$G,MATCH($A56,'[1]Définition Maintenances'!$K:$K,0))+CR56),CR56))</f>
        <v>209</v>
      </c>
      <c r="CT56" s="26">
        <f>IF(ISNUMBER(VLOOKUP($D56,'Visu totale'!$D:$DH,CT$1,0)),CS56-VLOOKUP($D56,'Visu totale'!$D:$DH,CT$1,0),IF(LEFT(VLOOKUP($D56,'Visu totale'!$D:$DH,CT$1,0),1)="V",IF(CS56&gt;=INDEX('[1]Définition Maintenances'!$G:$G,MATCH($A56,'[1]Définition Maintenances'!$K:$K,0)),CS56,INDEX('[1]Définition Maintenances'!$G:$G,MATCH($A56,'[1]Définition Maintenances'!$K:$K,0))+CS56),CS56))</f>
        <v>209</v>
      </c>
      <c r="CU56" s="26">
        <f>IF(ISNUMBER(VLOOKUP($D56,'Visu totale'!$D:$DH,CU$1,0)),CT56-VLOOKUP($D56,'Visu totale'!$D:$DH,CU$1,0),IF(LEFT(VLOOKUP($D56,'Visu totale'!$D:$DH,CU$1,0),1)="V",IF(CT56&gt;=INDEX('[1]Définition Maintenances'!$G:$G,MATCH($A56,'[1]Définition Maintenances'!$K:$K,0)),CT56,INDEX('[1]Définition Maintenances'!$G:$G,MATCH($A56,'[1]Définition Maintenances'!$K:$K,0))+CT56),CT56))</f>
        <v>209</v>
      </c>
      <c r="CV56" s="26">
        <f>IF(ISNUMBER(VLOOKUP($D56,'Visu totale'!$D:$DH,CV$1,0)),CU56-VLOOKUP($D56,'Visu totale'!$D:$DH,CV$1,0),IF(LEFT(VLOOKUP($D56,'Visu totale'!$D:$DH,CV$1,0),1)="V",IF(CU56&gt;=INDEX('[1]Définition Maintenances'!$G:$G,MATCH($A56,'[1]Définition Maintenances'!$K:$K,0)),CU56,INDEX('[1]Définition Maintenances'!$G:$G,MATCH($A56,'[1]Définition Maintenances'!$K:$K,0))+CU56),CU56))</f>
        <v>209</v>
      </c>
      <c r="CW56" s="27">
        <f>IF(ISNUMBER(VLOOKUP($D56,'Visu totale'!$D:$DH,CW$1,0)),CV56-VLOOKUP($D56,'Visu totale'!$D:$DH,CW$1,0),IF(LEFT(VLOOKUP($D56,'Visu totale'!$D:$DH,CW$1,0),1)="V",IF(CV56&gt;=INDEX('[1]Définition Maintenances'!$G:$G,MATCH($A56,'[1]Définition Maintenances'!$K:$K,0)),CV56,INDEX('[1]Définition Maintenances'!$G:$G,MATCH($A56,'[1]Définition Maintenances'!$K:$K,0))+CV56),CV56))</f>
        <v>209</v>
      </c>
      <c r="CX56" s="25">
        <f>IF(ISNUMBER(VLOOKUP($D56,'Visu totale'!$D:$DH,CX$1,0)),CW56-VLOOKUP($D56,'Visu totale'!$D:$DH,CX$1,0),IF(LEFT(VLOOKUP($D56,'Visu totale'!$D:$DH,CX$1,0),1)="V",IF(CW56&gt;=INDEX('[1]Définition Maintenances'!$G:$G,MATCH($A56,'[1]Définition Maintenances'!$K:$K,0)),CW56,INDEX('[1]Définition Maintenances'!$G:$G,MATCH($A56,'[1]Définition Maintenances'!$K:$K,0))+CW56),CW56))</f>
        <v>209</v>
      </c>
      <c r="CY56" s="26">
        <f>IF(ISNUMBER(VLOOKUP($D56,'Visu totale'!$D:$DH,CY$1,0)),CX56-VLOOKUP($D56,'Visu totale'!$D:$DH,CY$1,0),IF(LEFT(VLOOKUP($D56,'Visu totale'!$D:$DH,CY$1,0),1)="V",IF(CX56&gt;=INDEX('[1]Définition Maintenances'!$G:$G,MATCH($A56,'[1]Définition Maintenances'!$K:$K,0)),CX56,INDEX('[1]Définition Maintenances'!$G:$G,MATCH($A56,'[1]Définition Maintenances'!$K:$K,0))+CX56),CX56))</f>
        <v>209</v>
      </c>
      <c r="CZ56" s="26">
        <f>IF(ISNUMBER(VLOOKUP($D56,'Visu totale'!$D:$DH,CZ$1,0)),CY56-VLOOKUP($D56,'Visu totale'!$D:$DH,CZ$1,0),IF(LEFT(VLOOKUP($D56,'Visu totale'!$D:$DH,CZ$1,0),1)="V",IF(CY56&gt;=INDEX('[1]Définition Maintenances'!$G:$G,MATCH($A56,'[1]Définition Maintenances'!$K:$K,0)),CY56,INDEX('[1]Définition Maintenances'!$G:$G,MATCH($A56,'[1]Définition Maintenances'!$K:$K,0))+CY56),CY56))</f>
        <v>209</v>
      </c>
      <c r="DA56" s="26">
        <f>IF(ISNUMBER(VLOOKUP($D56,'Visu totale'!$D:$DH,DA$1,0)),CZ56-VLOOKUP($D56,'Visu totale'!$D:$DH,DA$1,0),IF(LEFT(VLOOKUP($D56,'Visu totale'!$D:$DH,DA$1,0),1)="V",IF(CZ56&gt;=INDEX('[1]Définition Maintenances'!$G:$G,MATCH($A56,'[1]Définition Maintenances'!$K:$K,0)),CZ56,INDEX('[1]Définition Maintenances'!$G:$G,MATCH($A56,'[1]Définition Maintenances'!$K:$K,0))+CZ56),CZ56))</f>
        <v>209</v>
      </c>
      <c r="DB56" s="26">
        <f>IF(ISNUMBER(VLOOKUP($D56,'Visu totale'!$D:$DH,DB$1,0)),DA56-VLOOKUP($D56,'Visu totale'!$D:$DH,DB$1,0),IF(LEFT(VLOOKUP($D56,'Visu totale'!$D:$DH,DB$1,0),1)="V",IF(DA56&gt;=INDEX('[1]Définition Maintenances'!$G:$G,MATCH($A56,'[1]Définition Maintenances'!$K:$K,0)),DA56,INDEX('[1]Définition Maintenances'!$G:$G,MATCH($A56,'[1]Définition Maintenances'!$K:$K,0))+DA56),DA56))</f>
        <v>209</v>
      </c>
      <c r="DC56" s="26">
        <f>IF(ISNUMBER(VLOOKUP($D56,'Visu totale'!$D:$DH,DC$1,0)),DB56-VLOOKUP($D56,'Visu totale'!$D:$DH,DC$1,0),IF(LEFT(VLOOKUP($D56,'Visu totale'!$D:$DH,DC$1,0),1)="V",IF(DB56&gt;=INDEX('[1]Définition Maintenances'!$G:$G,MATCH($A56,'[1]Définition Maintenances'!$K:$K,0)),DB56,INDEX('[1]Définition Maintenances'!$G:$G,MATCH($A56,'[1]Définition Maintenances'!$K:$K,0))+DB56),DB56))</f>
        <v>209</v>
      </c>
      <c r="DD56" s="26">
        <f>IF(ISNUMBER(VLOOKUP($D56,'Visu totale'!$D:$DH,DD$1,0)),DC56-VLOOKUP($D56,'Visu totale'!$D:$DH,DD$1,0),IF(LEFT(VLOOKUP($D56,'Visu totale'!$D:$DH,DD$1,0),1)="V",IF(DC56&gt;=INDEX('[1]Définition Maintenances'!$G:$G,MATCH($A56,'[1]Définition Maintenances'!$K:$K,0)),DC56,INDEX('[1]Définition Maintenances'!$G:$G,MATCH($A56,'[1]Définition Maintenances'!$K:$K,0))+DC56),DC56))</f>
        <v>209</v>
      </c>
      <c r="DE56" s="26">
        <f>IF(ISNUMBER(VLOOKUP($D56,'Visu totale'!$D:$DH,DE$1,0)),DD56-VLOOKUP($D56,'Visu totale'!$D:$DH,DE$1,0),IF(LEFT(VLOOKUP($D56,'Visu totale'!$D:$DH,DE$1,0),1)="V",IF(DD56&gt;=INDEX('[1]Définition Maintenances'!$G:$G,MATCH($A56,'[1]Définition Maintenances'!$K:$K,0)),DD56,INDEX('[1]Définition Maintenances'!$G:$G,MATCH($A56,'[1]Définition Maintenances'!$K:$K,0))+DD56),DD56))</f>
        <v>209</v>
      </c>
      <c r="DF56" s="26">
        <f>IF(ISNUMBER(VLOOKUP($D56,'Visu totale'!$D:$DH,DF$1,0)),DE56-VLOOKUP($D56,'Visu totale'!$D:$DH,DF$1,0),IF(LEFT(VLOOKUP($D56,'Visu totale'!$D:$DH,DF$1,0),1)="V",IF(DE56&gt;=INDEX('[1]Définition Maintenances'!$G:$G,MATCH($A56,'[1]Définition Maintenances'!$K:$K,0)),DE56,INDEX('[1]Définition Maintenances'!$G:$G,MATCH($A56,'[1]Définition Maintenances'!$K:$K,0))+DE56),DE56))</f>
        <v>209</v>
      </c>
      <c r="DG56" s="26">
        <f>IF(ISNUMBER(VLOOKUP($D56,'Visu totale'!$D:$DH,DG$1,0)),DF56-VLOOKUP($D56,'Visu totale'!$D:$DH,DG$1,0),IF(LEFT(VLOOKUP($D56,'Visu totale'!$D:$DH,DG$1,0),1)="V",IF(DF56&gt;=INDEX('[1]Définition Maintenances'!$G:$G,MATCH($A56,'[1]Définition Maintenances'!$K:$K,0)),DF56,INDEX('[1]Définition Maintenances'!$G:$G,MATCH($A56,'[1]Définition Maintenances'!$K:$K,0))+DF56),DF56))</f>
        <v>209</v>
      </c>
      <c r="DH56" s="26">
        <f>IF(ISNUMBER(VLOOKUP($D56,'Visu totale'!$D:$DH,DH$1,0)),DG56-VLOOKUP($D56,'Visu totale'!$D:$DH,DH$1,0),IF(LEFT(VLOOKUP($D56,'Visu totale'!$D:$DH,DH$1,0),1)="V",IF(DG56&gt;=INDEX('[1]Définition Maintenances'!$G:$G,MATCH($A56,'[1]Définition Maintenances'!$K:$K,0)),DG56,INDEX('[1]Définition Maintenances'!$G:$G,MATCH($A56,'[1]Définition Maintenances'!$K:$K,0))+DG56),DG56))</f>
        <v>209</v>
      </c>
      <c r="DI56" s="27">
        <f>IF(ISNUMBER(VLOOKUP($D56,'Visu totale'!$D:$DH,DI$1,0)),DH56-VLOOKUP($D56,'Visu totale'!$D:$DH,DI$1,0),IF(LEFT(VLOOKUP($D56,'Visu totale'!$D:$DH,DI$1,0),1)="V",IF(DH56&gt;=INDEX('[1]Définition Maintenances'!$G:$G,MATCH($A56,'[1]Définition Maintenances'!$K:$K,0)),DH56,INDEX('[1]Définition Maintenances'!$G:$G,MATCH($A56,'[1]Définition Maintenances'!$K:$K,0))+DH56),DH56))</f>
        <v>209</v>
      </c>
    </row>
    <row r="57" spans="1:113" x14ac:dyDescent="0.25">
      <c r="A57" s="13" t="str">
        <f t="shared" si="1"/>
        <v>V15D</v>
      </c>
      <c r="B57" s="13" t="str">
        <f>VLOOKUP(D57,'[1]Avions (Potentiels)'!$B$2:$H$128,7,FALSE)</f>
        <v>V15</v>
      </c>
      <c r="C57" s="13"/>
      <c r="D57" s="16" t="s">
        <v>60</v>
      </c>
      <c r="E57" s="13">
        <f>IFERROR(VALUE(SUBSTITUTE(VLOOKUP(D57,'[1]Avions (Potentiels)'!$B:$E,4,0),".",",")),VALUE(VLOOKUP(D57,'[1]Avions (Potentiels)'!$B:$E,4,0)))</f>
        <v>291</v>
      </c>
      <c r="F57" s="25">
        <f>IF(ISNUMBER(VLOOKUP($D57,'Visu totale'!$D:$DH,F$1,0)),E57-VLOOKUP($D57,'Visu totale'!$D:$DH,F$1,0),IF(LEFT(VLOOKUP($D57,'Visu totale'!$D:$DH,F$1,0),1)="V",IF(E57&gt;=INDEX('[1]Définition Maintenances'!$G:$G,MATCH($A57,'[1]Définition Maintenances'!$K:$K,0)),E57,INDEX('[1]Définition Maintenances'!$G:$G,MATCH($A57,'[1]Définition Maintenances'!$K:$K,0))+E57),E57))</f>
        <v>291</v>
      </c>
      <c r="G57" s="26">
        <f>IF(ISNUMBER(VLOOKUP($D57,'Visu totale'!$D:$DH,G$1,0)),F57-VLOOKUP($D57,'Visu totale'!$D:$DH,G$1,0),IF(LEFT(VLOOKUP($D57,'Visu totale'!$D:$DH,G$1,0),1)="V",IF(F57&gt;=INDEX('[1]Définition Maintenances'!$G:$G,MATCH($A57,'[1]Définition Maintenances'!$K:$K,0)),F57,INDEX('[1]Définition Maintenances'!$G:$G,MATCH($A57,'[1]Définition Maintenances'!$K:$K,0))+F57),F57))</f>
        <v>291</v>
      </c>
      <c r="H57" s="26">
        <f>IF(ISNUMBER(VLOOKUP($D57,'Visu totale'!$D:$DH,H$1,0)),G57-VLOOKUP($D57,'Visu totale'!$D:$DH,H$1,0),IF(LEFT(VLOOKUP($D57,'Visu totale'!$D:$DH,H$1,0),1)="V",IF(G57&gt;=INDEX('[1]Définition Maintenances'!$G:$G,MATCH($A57,'[1]Définition Maintenances'!$K:$K,0)),G57,INDEX('[1]Définition Maintenances'!$G:$G,MATCH($A57,'[1]Définition Maintenances'!$K:$K,0))+G57),G57))</f>
        <v>291</v>
      </c>
      <c r="I57" s="26">
        <f>IF(ISNUMBER(VLOOKUP($D57,'Visu totale'!$D:$DH,I$1,0)),H57-VLOOKUP($D57,'Visu totale'!$D:$DH,I$1,0),IF(LEFT(VLOOKUP($D57,'Visu totale'!$D:$DH,I$1,0),1)="V",IF(H57&gt;=INDEX('[1]Définition Maintenances'!$G:$G,MATCH($A57,'[1]Définition Maintenances'!$K:$K,0)),H57,INDEX('[1]Définition Maintenances'!$G:$G,MATCH($A57,'[1]Définition Maintenances'!$K:$K,0))+H57),H57))</f>
        <v>291</v>
      </c>
      <c r="J57" s="26">
        <f>IF(ISNUMBER(VLOOKUP($D57,'Visu totale'!$D:$DH,J$1,0)),I57-VLOOKUP($D57,'Visu totale'!$D:$DH,J$1,0),IF(LEFT(VLOOKUP($D57,'Visu totale'!$D:$DH,J$1,0),1)="V",IF(I57&gt;=INDEX('[1]Définition Maintenances'!$G:$G,MATCH($A57,'[1]Définition Maintenances'!$K:$K,0)),I57,INDEX('[1]Définition Maintenances'!$G:$G,MATCH($A57,'[1]Définition Maintenances'!$K:$K,0))+I57),I57))</f>
        <v>291</v>
      </c>
      <c r="K57" s="26">
        <f>IF(ISNUMBER(VLOOKUP($D57,'Visu totale'!$D:$DH,K$1,0)),J57-VLOOKUP($D57,'Visu totale'!$D:$DH,K$1,0),IF(LEFT(VLOOKUP($D57,'Visu totale'!$D:$DH,K$1,0),1)="V",IF(J57&gt;=INDEX('[1]Définition Maintenances'!$G:$G,MATCH($A57,'[1]Définition Maintenances'!$K:$K,0)),J57,INDEX('[1]Définition Maintenances'!$G:$G,MATCH($A57,'[1]Définition Maintenances'!$K:$K,0))+J57),J57))</f>
        <v>291</v>
      </c>
      <c r="L57" s="26">
        <f>IF(ISNUMBER(VLOOKUP($D57,'Visu totale'!$D:$DH,L$1,0)),K57-VLOOKUP($D57,'Visu totale'!$D:$DH,L$1,0),IF(LEFT(VLOOKUP($D57,'Visu totale'!$D:$DH,L$1,0),1)="V",IF(K57&gt;=INDEX('[1]Définition Maintenances'!$G:$G,MATCH($A57,'[1]Définition Maintenances'!$K:$K,0)),K57,INDEX('[1]Définition Maintenances'!$G:$G,MATCH($A57,'[1]Définition Maintenances'!$K:$K,0))+K57),K57))</f>
        <v>291</v>
      </c>
      <c r="M57" s="26">
        <f>IF(ISNUMBER(VLOOKUP($D57,'Visu totale'!$D:$DH,M$1,0)),L57-VLOOKUP($D57,'Visu totale'!$D:$DH,M$1,0),IF(LEFT(VLOOKUP($D57,'Visu totale'!$D:$DH,M$1,0),1)="V",IF(L57&gt;=INDEX('[1]Définition Maintenances'!$G:$G,MATCH($A57,'[1]Définition Maintenances'!$K:$K,0)),L57,INDEX('[1]Définition Maintenances'!$G:$G,MATCH($A57,'[1]Définition Maintenances'!$K:$K,0))+L57),L57))</f>
        <v>291</v>
      </c>
      <c r="N57" s="26">
        <f>IF(ISNUMBER(VLOOKUP($D57,'Visu totale'!$D:$DH,N$1,0)),M57-VLOOKUP($D57,'Visu totale'!$D:$DH,N$1,0),IF(LEFT(VLOOKUP($D57,'Visu totale'!$D:$DH,N$1,0),1)="V",IF(M57&gt;=INDEX('[1]Définition Maintenances'!$G:$G,MATCH($A57,'[1]Définition Maintenances'!$K:$K,0)),M57,INDEX('[1]Définition Maintenances'!$G:$G,MATCH($A57,'[1]Définition Maintenances'!$K:$K,0))+M57),M57))</f>
        <v>291</v>
      </c>
      <c r="O57" s="26">
        <f>IF(ISNUMBER(VLOOKUP($D57,'Visu totale'!$D:$DH,O$1,0)),N57-VLOOKUP($D57,'Visu totale'!$D:$DH,O$1,0),IF(LEFT(VLOOKUP($D57,'Visu totale'!$D:$DH,O$1,0),1)="V",IF(N57&gt;=INDEX('[1]Définition Maintenances'!$G:$G,MATCH($A57,'[1]Définition Maintenances'!$K:$K,0)),N57,INDEX('[1]Définition Maintenances'!$G:$G,MATCH($A57,'[1]Définition Maintenances'!$K:$K,0))+N57),N57))</f>
        <v>291</v>
      </c>
      <c r="P57" s="26">
        <f>IF(ISNUMBER(VLOOKUP($D57,'Visu totale'!$D:$DH,P$1,0)),O57-VLOOKUP($D57,'Visu totale'!$D:$DH,P$1,0),IF(LEFT(VLOOKUP($D57,'Visu totale'!$D:$DH,P$1,0),1)="V",IF(O57&gt;=INDEX('[1]Définition Maintenances'!$G:$G,MATCH($A57,'[1]Définition Maintenances'!$K:$K,0)),O57,INDEX('[1]Définition Maintenances'!$G:$G,MATCH($A57,'[1]Définition Maintenances'!$K:$K,0))+O57),O57))</f>
        <v>291</v>
      </c>
      <c r="Q57" s="27">
        <f>IF(ISNUMBER(VLOOKUP($D57,'Visu totale'!$D:$DH,Q$1,0)),P57-VLOOKUP($D57,'Visu totale'!$D:$DH,Q$1,0),IF(LEFT(VLOOKUP($D57,'Visu totale'!$D:$DH,Q$1,0),1)="V",IF(P57&gt;=INDEX('[1]Définition Maintenances'!$G:$G,MATCH($A57,'[1]Définition Maintenances'!$K:$K,0)),P57,INDEX('[1]Définition Maintenances'!$G:$G,MATCH($A57,'[1]Définition Maintenances'!$K:$K,0))+P57),P57))</f>
        <v>291</v>
      </c>
      <c r="R57" s="25">
        <f>IF(ISNUMBER(VLOOKUP($D57,'Visu totale'!$D:$DH,R$1,0)),Q57-VLOOKUP($D57,'Visu totale'!$D:$DH,R$1,0),IF(LEFT(VLOOKUP($D57,'Visu totale'!$D:$DH,R$1,0),1)="V",IF(Q57&gt;=INDEX('[1]Définition Maintenances'!$G:$G,MATCH($A57,'[1]Définition Maintenances'!$K:$K,0)),Q57,INDEX('[1]Définition Maintenances'!$G:$G,MATCH($A57,'[1]Définition Maintenances'!$K:$K,0))+Q57),Q57))</f>
        <v>291</v>
      </c>
      <c r="S57" s="26">
        <f>IF(ISNUMBER(VLOOKUP($D57,'Visu totale'!$D:$DH,S$1,0)),R57-VLOOKUP($D57,'Visu totale'!$D:$DH,S$1,0),IF(LEFT(VLOOKUP($D57,'Visu totale'!$D:$DH,S$1,0),1)="V",IF(R57&gt;=INDEX('[1]Définition Maintenances'!$G:$G,MATCH($A57,'[1]Définition Maintenances'!$K:$K,0)),R57,INDEX('[1]Définition Maintenances'!$G:$G,MATCH($A57,'[1]Définition Maintenances'!$K:$K,0))+R57),R57))</f>
        <v>291</v>
      </c>
      <c r="T57" s="26">
        <f>IF(ISNUMBER(VLOOKUP($D57,'Visu totale'!$D:$DH,T$1,0)),S57-VLOOKUP($D57,'Visu totale'!$D:$DH,T$1,0),IF(LEFT(VLOOKUP($D57,'Visu totale'!$D:$DH,T$1,0),1)="V",IF(S57&gt;=INDEX('[1]Définition Maintenances'!$G:$G,MATCH($A57,'[1]Définition Maintenances'!$K:$K,0)),S57,INDEX('[1]Définition Maintenances'!$G:$G,MATCH($A57,'[1]Définition Maintenances'!$K:$K,0))+S57),S57))</f>
        <v>291</v>
      </c>
      <c r="U57" s="26">
        <f>IF(ISNUMBER(VLOOKUP($D57,'Visu totale'!$D:$DH,U$1,0)),T57-VLOOKUP($D57,'Visu totale'!$D:$DH,U$1,0),IF(LEFT(VLOOKUP($D57,'Visu totale'!$D:$DH,U$1,0),1)="V",IF(T57&gt;=INDEX('[1]Définition Maintenances'!$G:$G,MATCH($A57,'[1]Définition Maintenances'!$K:$K,0)),T57,INDEX('[1]Définition Maintenances'!$G:$G,MATCH($A57,'[1]Définition Maintenances'!$K:$K,0))+T57),T57))</f>
        <v>291</v>
      </c>
      <c r="V57" s="26">
        <f>IF(ISNUMBER(VLOOKUP($D57,'Visu totale'!$D:$DH,V$1,0)),U57-VLOOKUP($D57,'Visu totale'!$D:$DH,V$1,0),IF(LEFT(VLOOKUP($D57,'Visu totale'!$D:$DH,V$1,0),1)="V",IF(U57&gt;=INDEX('[1]Définition Maintenances'!$G:$G,MATCH($A57,'[1]Définition Maintenances'!$K:$K,0)),U57,INDEX('[1]Définition Maintenances'!$G:$G,MATCH($A57,'[1]Définition Maintenances'!$K:$K,0))+U57),U57))</f>
        <v>291</v>
      </c>
      <c r="W57" s="26">
        <f>IF(ISNUMBER(VLOOKUP($D57,'Visu totale'!$D:$DH,W$1,0)),V57-VLOOKUP($D57,'Visu totale'!$D:$DH,W$1,0),IF(LEFT(VLOOKUP($D57,'Visu totale'!$D:$DH,W$1,0),1)="V",IF(V57&gt;=INDEX('[1]Définition Maintenances'!$G:$G,MATCH($A57,'[1]Définition Maintenances'!$K:$K,0)),V57,INDEX('[1]Définition Maintenances'!$G:$G,MATCH($A57,'[1]Définition Maintenances'!$K:$K,0))+V57),V57))</f>
        <v>291</v>
      </c>
      <c r="X57" s="26">
        <f>IF(ISNUMBER(VLOOKUP($D57,'Visu totale'!$D:$DH,X$1,0)),W57-VLOOKUP($D57,'Visu totale'!$D:$DH,X$1,0),IF(LEFT(VLOOKUP($D57,'Visu totale'!$D:$DH,X$1,0),1)="V",IF(W57&gt;=INDEX('[1]Définition Maintenances'!$G:$G,MATCH($A57,'[1]Définition Maintenances'!$K:$K,0)),W57,INDEX('[1]Définition Maintenances'!$G:$G,MATCH($A57,'[1]Définition Maintenances'!$K:$K,0))+W57),W57))</f>
        <v>291</v>
      </c>
      <c r="Y57" s="26">
        <f>IF(ISNUMBER(VLOOKUP($D57,'Visu totale'!$D:$DH,Y$1,0)),X57-VLOOKUP($D57,'Visu totale'!$D:$DH,Y$1,0),IF(LEFT(VLOOKUP($D57,'Visu totale'!$D:$DH,Y$1,0),1)="V",IF(X57&gt;=INDEX('[1]Définition Maintenances'!$G:$G,MATCH($A57,'[1]Définition Maintenances'!$K:$K,0)),X57,INDEX('[1]Définition Maintenances'!$G:$G,MATCH($A57,'[1]Définition Maintenances'!$K:$K,0))+X57),X57))</f>
        <v>291</v>
      </c>
      <c r="Z57" s="26">
        <f>IF(ISNUMBER(VLOOKUP($D57,'Visu totale'!$D:$DH,Z$1,0)),Y57-VLOOKUP($D57,'Visu totale'!$D:$DH,Z$1,0),IF(LEFT(VLOOKUP($D57,'Visu totale'!$D:$DH,Z$1,0),1)="V",IF(Y57&gt;=INDEX('[1]Définition Maintenances'!$G:$G,MATCH($A57,'[1]Définition Maintenances'!$K:$K,0)),Y57,INDEX('[1]Définition Maintenances'!$G:$G,MATCH($A57,'[1]Définition Maintenances'!$K:$K,0))+Y57),Y57))</f>
        <v>291</v>
      </c>
      <c r="AA57" s="26">
        <f>IF(ISNUMBER(VLOOKUP($D57,'Visu totale'!$D:$DH,AA$1,0)),Z57-VLOOKUP($D57,'Visu totale'!$D:$DH,AA$1,0),IF(LEFT(VLOOKUP($D57,'Visu totale'!$D:$DH,AA$1,0),1)="V",IF(Z57&gt;=INDEX('[1]Définition Maintenances'!$G:$G,MATCH($A57,'[1]Définition Maintenances'!$K:$K,0)),Z57,INDEX('[1]Définition Maintenances'!$G:$G,MATCH($A57,'[1]Définition Maintenances'!$K:$K,0))+Z57),Z57))</f>
        <v>291</v>
      </c>
      <c r="AB57" s="26">
        <f>IF(ISNUMBER(VLOOKUP($D57,'Visu totale'!$D:$DH,AB$1,0)),AA57-VLOOKUP($D57,'Visu totale'!$D:$DH,AB$1,0),IF(LEFT(VLOOKUP($D57,'Visu totale'!$D:$DH,AB$1,0),1)="V",IF(AA57&gt;=INDEX('[1]Définition Maintenances'!$G:$G,MATCH($A57,'[1]Définition Maintenances'!$K:$K,0)),AA57,INDEX('[1]Définition Maintenances'!$G:$G,MATCH($A57,'[1]Définition Maintenances'!$K:$K,0))+AA57),AA57))</f>
        <v>291</v>
      </c>
      <c r="AC57" s="27">
        <f>IF(ISNUMBER(VLOOKUP($D57,'Visu totale'!$D:$DH,AC$1,0)),AB57-VLOOKUP($D57,'Visu totale'!$D:$DH,AC$1,0),IF(LEFT(VLOOKUP($D57,'Visu totale'!$D:$DH,AC$1,0),1)="V",IF(AB57&gt;=INDEX('[1]Définition Maintenances'!$G:$G,MATCH($A57,'[1]Définition Maintenances'!$K:$K,0)),AB57,INDEX('[1]Définition Maintenances'!$G:$G,MATCH($A57,'[1]Définition Maintenances'!$K:$K,0))+AB57),AB57))</f>
        <v>291</v>
      </c>
      <c r="AD57" s="25">
        <f>IF(ISNUMBER(VLOOKUP($D57,'Visu totale'!$D:$DH,AD$1,0)),AC57-VLOOKUP($D57,'Visu totale'!$D:$DH,AD$1,0),IF(LEFT(VLOOKUP($D57,'Visu totale'!$D:$DH,AD$1,0),1)="V",IF(AC57&gt;=INDEX('[1]Définition Maintenances'!$G:$G,MATCH($A57,'[1]Définition Maintenances'!$K:$K,0)),AC57,INDEX('[1]Définition Maintenances'!$G:$G,MATCH($A57,'[1]Définition Maintenances'!$K:$K,0))+AC57),AC57))</f>
        <v>291</v>
      </c>
      <c r="AE57" s="26">
        <f>IF(ISNUMBER(VLOOKUP($D57,'Visu totale'!$D:$DH,AE$1,0)),AD57-VLOOKUP($D57,'Visu totale'!$D:$DH,AE$1,0),IF(LEFT(VLOOKUP($D57,'Visu totale'!$D:$DH,AE$1,0),1)="V",IF(AD57&gt;=INDEX('[1]Définition Maintenances'!$G:$G,MATCH($A57,'[1]Définition Maintenances'!$K:$K,0)),AD57,INDEX('[1]Définition Maintenances'!$G:$G,MATCH($A57,'[1]Définition Maintenances'!$K:$K,0))+AD57),AD57))</f>
        <v>291</v>
      </c>
      <c r="AF57" s="26">
        <f>IF(ISNUMBER(VLOOKUP($D57,'Visu totale'!$D:$DH,AF$1,0)),AE57-VLOOKUP($D57,'Visu totale'!$D:$DH,AF$1,0),IF(LEFT(VLOOKUP($D57,'Visu totale'!$D:$DH,AF$1,0),1)="V",IF(AE57&gt;=INDEX('[1]Définition Maintenances'!$G:$G,MATCH($A57,'[1]Définition Maintenances'!$K:$K,0)),AE57,INDEX('[1]Définition Maintenances'!$G:$G,MATCH($A57,'[1]Définition Maintenances'!$K:$K,0))+AE57),AE57))</f>
        <v>291</v>
      </c>
      <c r="AG57" s="26">
        <f>IF(ISNUMBER(VLOOKUP($D57,'Visu totale'!$D:$DH,AG$1,0)),AF57-VLOOKUP($D57,'Visu totale'!$D:$DH,AG$1,0),IF(LEFT(VLOOKUP($D57,'Visu totale'!$D:$DH,AG$1,0),1)="V",IF(AF57&gt;=INDEX('[1]Définition Maintenances'!$G:$G,MATCH($A57,'[1]Définition Maintenances'!$K:$K,0)),AF57,INDEX('[1]Définition Maintenances'!$G:$G,MATCH($A57,'[1]Définition Maintenances'!$K:$K,0))+AF57),AF57))</f>
        <v>291</v>
      </c>
      <c r="AH57" s="26">
        <f>IF(ISNUMBER(VLOOKUP($D57,'Visu totale'!$D:$DH,AH$1,0)),AG57-VLOOKUP($D57,'Visu totale'!$D:$DH,AH$1,0),IF(LEFT(VLOOKUP($D57,'Visu totale'!$D:$DH,AH$1,0),1)="V",IF(AG57&gt;=INDEX('[1]Définition Maintenances'!$G:$G,MATCH($A57,'[1]Définition Maintenances'!$K:$K,0)),AG57,INDEX('[1]Définition Maintenances'!$G:$G,MATCH($A57,'[1]Définition Maintenances'!$K:$K,0))+AG57),AG57))</f>
        <v>291</v>
      </c>
      <c r="AI57" s="26">
        <f>IF(ISNUMBER(VLOOKUP($D57,'Visu totale'!$D:$DH,AI$1,0)),AH57-VLOOKUP($D57,'Visu totale'!$D:$DH,AI$1,0),IF(LEFT(VLOOKUP($D57,'Visu totale'!$D:$DH,AI$1,0),1)="V",IF(AH57&gt;=INDEX('[1]Définition Maintenances'!$G:$G,MATCH($A57,'[1]Définition Maintenances'!$K:$K,0)),AH57,INDEX('[1]Définition Maintenances'!$G:$G,MATCH($A57,'[1]Définition Maintenances'!$K:$K,0))+AH57),AH57))</f>
        <v>291</v>
      </c>
      <c r="AJ57" s="26">
        <f>IF(ISNUMBER(VLOOKUP($D57,'Visu totale'!$D:$DH,AJ$1,0)),AI57-VLOOKUP($D57,'Visu totale'!$D:$DH,AJ$1,0),IF(LEFT(VLOOKUP($D57,'Visu totale'!$D:$DH,AJ$1,0),1)="V",IF(AI57&gt;=INDEX('[1]Définition Maintenances'!$G:$G,MATCH($A57,'[1]Définition Maintenances'!$K:$K,0)),AI57,INDEX('[1]Définition Maintenances'!$G:$G,MATCH($A57,'[1]Définition Maintenances'!$K:$K,0))+AI57),AI57))</f>
        <v>291</v>
      </c>
      <c r="AK57" s="26">
        <f>IF(ISNUMBER(VLOOKUP($D57,'Visu totale'!$D:$DH,AK$1,0)),AJ57-VLOOKUP($D57,'Visu totale'!$D:$DH,AK$1,0),IF(LEFT(VLOOKUP($D57,'Visu totale'!$D:$DH,AK$1,0),1)="V",IF(AJ57&gt;=INDEX('[1]Définition Maintenances'!$G:$G,MATCH($A57,'[1]Définition Maintenances'!$K:$K,0)),AJ57,INDEX('[1]Définition Maintenances'!$G:$G,MATCH($A57,'[1]Définition Maintenances'!$K:$K,0))+AJ57),AJ57))</f>
        <v>291</v>
      </c>
      <c r="AL57" s="26">
        <f>IF(ISNUMBER(VLOOKUP($D57,'Visu totale'!$D:$DH,AL$1,0)),AK57-VLOOKUP($D57,'Visu totale'!$D:$DH,AL$1,0),IF(LEFT(VLOOKUP($D57,'Visu totale'!$D:$DH,AL$1,0),1)="V",IF(AK57&gt;=INDEX('[1]Définition Maintenances'!$G:$G,MATCH($A57,'[1]Définition Maintenances'!$K:$K,0)),AK57,INDEX('[1]Définition Maintenances'!$G:$G,MATCH($A57,'[1]Définition Maintenances'!$K:$K,0))+AK57),AK57))</f>
        <v>291</v>
      </c>
      <c r="AM57" s="26">
        <f>IF(ISNUMBER(VLOOKUP($D57,'Visu totale'!$D:$DH,AM$1,0)),AL57-VLOOKUP($D57,'Visu totale'!$D:$DH,AM$1,0),IF(LEFT(VLOOKUP($D57,'Visu totale'!$D:$DH,AM$1,0),1)="V",IF(AL57&gt;=INDEX('[1]Définition Maintenances'!$G:$G,MATCH($A57,'[1]Définition Maintenances'!$K:$K,0)),AL57,INDEX('[1]Définition Maintenances'!$G:$G,MATCH($A57,'[1]Définition Maintenances'!$K:$K,0))+AL57),AL57))</f>
        <v>291</v>
      </c>
      <c r="AN57" s="26">
        <f>IF(ISNUMBER(VLOOKUP($D57,'Visu totale'!$D:$DH,AN$1,0)),AM57-VLOOKUP($D57,'Visu totale'!$D:$DH,AN$1,0),IF(LEFT(VLOOKUP($D57,'Visu totale'!$D:$DH,AN$1,0),1)="V",IF(AM57&gt;=INDEX('[1]Définition Maintenances'!$G:$G,MATCH($A57,'[1]Définition Maintenances'!$K:$K,0)),AM57,INDEX('[1]Définition Maintenances'!$G:$G,MATCH($A57,'[1]Définition Maintenances'!$K:$K,0))+AM57),AM57))</f>
        <v>291</v>
      </c>
      <c r="AO57" s="27">
        <f>IF(ISNUMBER(VLOOKUP($D57,'Visu totale'!$D:$DH,AO$1,0)),AN57-VLOOKUP($D57,'Visu totale'!$D:$DH,AO$1,0),IF(LEFT(VLOOKUP($D57,'Visu totale'!$D:$DH,AO$1,0),1)="V",IF(AN57&gt;=INDEX('[1]Définition Maintenances'!$G:$G,MATCH($A57,'[1]Définition Maintenances'!$K:$K,0)),AN57,INDEX('[1]Définition Maintenances'!$G:$G,MATCH($A57,'[1]Définition Maintenances'!$K:$K,0))+AN57),AN57))</f>
        <v>291</v>
      </c>
      <c r="AP57" s="25">
        <f>IF(ISNUMBER(VLOOKUP($D57,'Visu totale'!$D:$DH,AP$1,0)),AO57-VLOOKUP($D57,'Visu totale'!$D:$DH,AP$1,0),IF(LEFT(VLOOKUP($D57,'Visu totale'!$D:$DH,AP$1,0),1)="V",IF(AO57&gt;=INDEX('[1]Définition Maintenances'!$G:$G,MATCH($A57,'[1]Définition Maintenances'!$K:$K,0)),AO57,INDEX('[1]Définition Maintenances'!$G:$G,MATCH($A57,'[1]Définition Maintenances'!$K:$K,0))+AO57),AO57))</f>
        <v>291</v>
      </c>
      <c r="AQ57" s="26">
        <f>IF(ISNUMBER(VLOOKUP($D57,'Visu totale'!$D:$DH,AQ$1,0)),AP57-VLOOKUP($D57,'Visu totale'!$D:$DH,AQ$1,0),IF(LEFT(VLOOKUP($D57,'Visu totale'!$D:$DH,AQ$1,0),1)="V",IF(AP57&gt;=INDEX('[1]Définition Maintenances'!$G:$G,MATCH($A57,'[1]Définition Maintenances'!$K:$K,0)),AP57,INDEX('[1]Définition Maintenances'!$G:$G,MATCH($A57,'[1]Définition Maintenances'!$K:$K,0))+AP57),AP57))</f>
        <v>291</v>
      </c>
      <c r="AR57" s="26">
        <f>IF(ISNUMBER(VLOOKUP($D57,'Visu totale'!$D:$DH,AR$1,0)),AQ57-VLOOKUP($D57,'Visu totale'!$D:$DH,AR$1,0),IF(LEFT(VLOOKUP($D57,'Visu totale'!$D:$DH,AR$1,0),1)="V",IF(AQ57&gt;=INDEX('[1]Définition Maintenances'!$G:$G,MATCH($A57,'[1]Définition Maintenances'!$K:$K,0)),AQ57,INDEX('[1]Définition Maintenances'!$G:$G,MATCH($A57,'[1]Définition Maintenances'!$K:$K,0))+AQ57),AQ57))</f>
        <v>291</v>
      </c>
      <c r="AS57" s="26">
        <f>IF(ISNUMBER(VLOOKUP($D57,'Visu totale'!$D:$DH,AS$1,0)),AR57-VLOOKUP($D57,'Visu totale'!$D:$DH,AS$1,0),IF(LEFT(VLOOKUP($D57,'Visu totale'!$D:$DH,AS$1,0),1)="V",IF(AR57&gt;=INDEX('[1]Définition Maintenances'!$G:$G,MATCH($A57,'[1]Définition Maintenances'!$K:$K,0)),AR57,INDEX('[1]Définition Maintenances'!$G:$G,MATCH($A57,'[1]Définition Maintenances'!$K:$K,0))+AR57),AR57))</f>
        <v>291</v>
      </c>
      <c r="AT57" s="26">
        <f>IF(ISNUMBER(VLOOKUP($D57,'Visu totale'!$D:$DH,AT$1,0)),AS57-VLOOKUP($D57,'Visu totale'!$D:$DH,AT$1,0),IF(LEFT(VLOOKUP($D57,'Visu totale'!$D:$DH,AT$1,0),1)="V",IF(AS57&gt;=INDEX('[1]Définition Maintenances'!$G:$G,MATCH($A57,'[1]Définition Maintenances'!$K:$K,0)),AS57,INDEX('[1]Définition Maintenances'!$G:$G,MATCH($A57,'[1]Définition Maintenances'!$K:$K,0))+AS57),AS57))</f>
        <v>291</v>
      </c>
      <c r="AU57" s="26">
        <f>IF(ISNUMBER(VLOOKUP($D57,'Visu totale'!$D:$DH,AU$1,0)),AT57-VLOOKUP($D57,'Visu totale'!$D:$DH,AU$1,0),IF(LEFT(VLOOKUP($D57,'Visu totale'!$D:$DH,AU$1,0),1)="V",IF(AT57&gt;=INDEX('[1]Définition Maintenances'!$G:$G,MATCH($A57,'[1]Définition Maintenances'!$K:$K,0)),AT57,INDEX('[1]Définition Maintenances'!$G:$G,MATCH($A57,'[1]Définition Maintenances'!$K:$K,0))+AT57),AT57))</f>
        <v>291</v>
      </c>
      <c r="AV57" s="26">
        <f>IF(ISNUMBER(VLOOKUP($D57,'Visu totale'!$D:$DH,AV$1,0)),AU57-VLOOKUP($D57,'Visu totale'!$D:$DH,AV$1,0),IF(LEFT(VLOOKUP($D57,'Visu totale'!$D:$DH,AV$1,0),1)="V",IF(AU57&gt;=INDEX('[1]Définition Maintenances'!$G:$G,MATCH($A57,'[1]Définition Maintenances'!$K:$K,0)),AU57,INDEX('[1]Définition Maintenances'!$G:$G,MATCH($A57,'[1]Définition Maintenances'!$K:$K,0))+AU57),AU57))</f>
        <v>291</v>
      </c>
      <c r="AW57" s="26">
        <f>IF(ISNUMBER(VLOOKUP($D57,'Visu totale'!$D:$DH,AW$1,0)),AV57-VLOOKUP($D57,'Visu totale'!$D:$DH,AW$1,0),IF(LEFT(VLOOKUP($D57,'Visu totale'!$D:$DH,AW$1,0),1)="V",IF(AV57&gt;=INDEX('[1]Définition Maintenances'!$G:$G,MATCH($A57,'[1]Définition Maintenances'!$K:$K,0)),AV57,INDEX('[1]Définition Maintenances'!$G:$G,MATCH($A57,'[1]Définition Maintenances'!$K:$K,0))+AV57),AV57))</f>
        <v>291</v>
      </c>
      <c r="AX57" s="26">
        <f>IF(ISNUMBER(VLOOKUP($D57,'Visu totale'!$D:$DH,AX$1,0)),AW57-VLOOKUP($D57,'Visu totale'!$D:$DH,AX$1,0),IF(LEFT(VLOOKUP($D57,'Visu totale'!$D:$DH,AX$1,0),1)="V",IF(AW57&gt;=INDEX('[1]Définition Maintenances'!$G:$G,MATCH($A57,'[1]Définition Maintenances'!$K:$K,0)),AW57,INDEX('[1]Définition Maintenances'!$G:$G,MATCH($A57,'[1]Définition Maintenances'!$K:$K,0))+AW57),AW57))</f>
        <v>291</v>
      </c>
      <c r="AY57" s="26">
        <f>IF(ISNUMBER(VLOOKUP($D57,'Visu totale'!$D:$DH,AY$1,0)),AX57-VLOOKUP($D57,'Visu totale'!$D:$DH,AY$1,0),IF(LEFT(VLOOKUP($D57,'Visu totale'!$D:$DH,AY$1,0),1)="V",IF(AX57&gt;=INDEX('[1]Définition Maintenances'!$G:$G,MATCH($A57,'[1]Définition Maintenances'!$K:$K,0)),AX57,INDEX('[1]Définition Maintenances'!$G:$G,MATCH($A57,'[1]Définition Maintenances'!$K:$K,0))+AX57),AX57))</f>
        <v>291</v>
      </c>
      <c r="AZ57" s="26">
        <f>IF(ISNUMBER(VLOOKUP($D57,'Visu totale'!$D:$DH,AZ$1,0)),AY57-VLOOKUP($D57,'Visu totale'!$D:$DH,AZ$1,0),IF(LEFT(VLOOKUP($D57,'Visu totale'!$D:$DH,AZ$1,0),1)="V",IF(AY57&gt;=INDEX('[1]Définition Maintenances'!$G:$G,MATCH($A57,'[1]Définition Maintenances'!$K:$K,0)),AY57,INDEX('[1]Définition Maintenances'!$G:$G,MATCH($A57,'[1]Définition Maintenances'!$K:$K,0))+AY57),AY57))</f>
        <v>291</v>
      </c>
      <c r="BA57" s="27">
        <f>IF(ISNUMBER(VLOOKUP($D57,'Visu totale'!$D:$DH,BA$1,0)),AZ57-VLOOKUP($D57,'Visu totale'!$D:$DH,BA$1,0),IF(LEFT(VLOOKUP($D57,'Visu totale'!$D:$DH,BA$1,0),1)="V",IF(AZ57&gt;=INDEX('[1]Définition Maintenances'!$G:$G,MATCH($A57,'[1]Définition Maintenances'!$K:$K,0)),AZ57,INDEX('[1]Définition Maintenances'!$G:$G,MATCH($A57,'[1]Définition Maintenances'!$K:$K,0))+AZ57),AZ57))</f>
        <v>291</v>
      </c>
      <c r="BB57" s="25">
        <f>IF(ISNUMBER(VLOOKUP($D57,'Visu totale'!$D:$DH,BB$1,0)),BA57-VLOOKUP($D57,'Visu totale'!$D:$DH,BB$1,0),IF(LEFT(VLOOKUP($D57,'Visu totale'!$D:$DH,BB$1,0),1)="V",IF(BA57&gt;=INDEX('[1]Définition Maintenances'!$G:$G,MATCH($A57,'[1]Définition Maintenances'!$K:$K,0)),BA57,INDEX('[1]Définition Maintenances'!$G:$G,MATCH($A57,'[1]Définition Maintenances'!$K:$K,0))+BA57),BA57))</f>
        <v>291</v>
      </c>
      <c r="BC57" s="26">
        <f>IF(ISNUMBER(VLOOKUP($D57,'Visu totale'!$D:$DH,BC$1,0)),BB57-VLOOKUP($D57,'Visu totale'!$D:$DH,BC$1,0),IF(LEFT(VLOOKUP($D57,'Visu totale'!$D:$DH,BC$1,0),1)="V",IF(BB57&gt;=INDEX('[1]Définition Maintenances'!$G:$G,MATCH($A57,'[1]Définition Maintenances'!$K:$K,0)),BB57,INDEX('[1]Définition Maintenances'!$G:$G,MATCH($A57,'[1]Définition Maintenances'!$K:$K,0))+BB57),BB57))</f>
        <v>291</v>
      </c>
      <c r="BD57" s="26">
        <f>IF(ISNUMBER(VLOOKUP($D57,'Visu totale'!$D:$DH,BD$1,0)),BC57-VLOOKUP($D57,'Visu totale'!$D:$DH,BD$1,0),IF(LEFT(VLOOKUP($D57,'Visu totale'!$D:$DH,BD$1,0),1)="V",IF(BC57&gt;=INDEX('[1]Définition Maintenances'!$G:$G,MATCH($A57,'[1]Définition Maintenances'!$K:$K,0)),BC57,INDEX('[1]Définition Maintenances'!$G:$G,MATCH($A57,'[1]Définition Maintenances'!$K:$K,0))+BC57),BC57))</f>
        <v>291</v>
      </c>
      <c r="BE57" s="26">
        <f>IF(ISNUMBER(VLOOKUP($D57,'Visu totale'!$D:$DH,BE$1,0)),BD57-VLOOKUP($D57,'Visu totale'!$D:$DH,BE$1,0),IF(LEFT(VLOOKUP($D57,'Visu totale'!$D:$DH,BE$1,0),1)="V",IF(BD57&gt;=INDEX('[1]Définition Maintenances'!$G:$G,MATCH($A57,'[1]Définition Maintenances'!$K:$K,0)),BD57,INDEX('[1]Définition Maintenances'!$G:$G,MATCH($A57,'[1]Définition Maintenances'!$K:$K,0))+BD57),BD57))</f>
        <v>291</v>
      </c>
      <c r="BF57" s="26">
        <f>IF(ISNUMBER(VLOOKUP($D57,'Visu totale'!$D:$DH,BF$1,0)),BE57-VLOOKUP($D57,'Visu totale'!$D:$DH,BF$1,0),IF(LEFT(VLOOKUP($D57,'Visu totale'!$D:$DH,BF$1,0),1)="V",IF(BE57&gt;=INDEX('[1]Définition Maintenances'!$G:$G,MATCH($A57,'[1]Définition Maintenances'!$K:$K,0)),BE57,INDEX('[1]Définition Maintenances'!$G:$G,MATCH($A57,'[1]Définition Maintenances'!$K:$K,0))+BE57),BE57))</f>
        <v>291</v>
      </c>
      <c r="BG57" s="26">
        <f>IF(ISNUMBER(VLOOKUP($D57,'Visu totale'!$D:$DH,BG$1,0)),BF57-VLOOKUP($D57,'Visu totale'!$D:$DH,BG$1,0),IF(LEFT(VLOOKUP($D57,'Visu totale'!$D:$DH,BG$1,0),1)="V",IF(BF57&gt;=INDEX('[1]Définition Maintenances'!$G:$G,MATCH($A57,'[1]Définition Maintenances'!$K:$K,0)),BF57,INDEX('[1]Définition Maintenances'!$G:$G,MATCH($A57,'[1]Définition Maintenances'!$K:$K,0))+BF57),BF57))</f>
        <v>291</v>
      </c>
      <c r="BH57" s="26">
        <f>IF(ISNUMBER(VLOOKUP($D57,'Visu totale'!$D:$DH,BH$1,0)),BG57-VLOOKUP($D57,'Visu totale'!$D:$DH,BH$1,0),IF(LEFT(VLOOKUP($D57,'Visu totale'!$D:$DH,BH$1,0),1)="V",IF(BG57&gt;=INDEX('[1]Définition Maintenances'!$G:$G,MATCH($A57,'[1]Définition Maintenances'!$K:$K,0)),BG57,INDEX('[1]Définition Maintenances'!$G:$G,MATCH($A57,'[1]Définition Maintenances'!$K:$K,0))+BG57),BG57))</f>
        <v>291</v>
      </c>
      <c r="BI57" s="26">
        <f>IF(ISNUMBER(VLOOKUP($D57,'Visu totale'!$D:$DH,BI$1,0)),BH57-VLOOKUP($D57,'Visu totale'!$D:$DH,BI$1,0),IF(LEFT(VLOOKUP($D57,'Visu totale'!$D:$DH,BI$1,0),1)="V",IF(BH57&gt;=INDEX('[1]Définition Maintenances'!$G:$G,MATCH($A57,'[1]Définition Maintenances'!$K:$K,0)),BH57,INDEX('[1]Définition Maintenances'!$G:$G,MATCH($A57,'[1]Définition Maintenances'!$K:$K,0))+BH57),BH57))</f>
        <v>291</v>
      </c>
      <c r="BJ57" s="26">
        <f>IF(ISNUMBER(VLOOKUP($D57,'Visu totale'!$D:$DH,BJ$1,0)),BI57-VLOOKUP($D57,'Visu totale'!$D:$DH,BJ$1,0),IF(LEFT(VLOOKUP($D57,'Visu totale'!$D:$DH,BJ$1,0),1)="V",IF(BI57&gt;=INDEX('[1]Définition Maintenances'!$G:$G,MATCH($A57,'[1]Définition Maintenances'!$K:$K,0)),BI57,INDEX('[1]Définition Maintenances'!$G:$G,MATCH($A57,'[1]Définition Maintenances'!$K:$K,0))+BI57),BI57))</f>
        <v>291</v>
      </c>
      <c r="BK57" s="26">
        <f>IF(ISNUMBER(VLOOKUP($D57,'Visu totale'!$D:$DH,BK$1,0)),BJ57-VLOOKUP($D57,'Visu totale'!$D:$DH,BK$1,0),IF(LEFT(VLOOKUP($D57,'Visu totale'!$D:$DH,BK$1,0),1)="V",IF(BJ57&gt;=INDEX('[1]Définition Maintenances'!$G:$G,MATCH($A57,'[1]Définition Maintenances'!$K:$K,0)),BJ57,INDEX('[1]Définition Maintenances'!$G:$G,MATCH($A57,'[1]Définition Maintenances'!$K:$K,0))+BJ57),BJ57))</f>
        <v>291</v>
      </c>
      <c r="BL57" s="26">
        <f>IF(ISNUMBER(VLOOKUP($D57,'Visu totale'!$D:$DH,BL$1,0)),BK57-VLOOKUP($D57,'Visu totale'!$D:$DH,BL$1,0),IF(LEFT(VLOOKUP($D57,'Visu totale'!$D:$DH,BL$1,0),1)="V",IF(BK57&gt;=INDEX('[1]Définition Maintenances'!$G:$G,MATCH($A57,'[1]Définition Maintenances'!$K:$K,0)),BK57,INDEX('[1]Définition Maintenances'!$G:$G,MATCH($A57,'[1]Définition Maintenances'!$K:$K,0))+BK57),BK57))</f>
        <v>291</v>
      </c>
      <c r="BM57" s="27">
        <f>IF(ISNUMBER(VLOOKUP($D57,'Visu totale'!$D:$DH,BM$1,0)),BL57-VLOOKUP($D57,'Visu totale'!$D:$DH,BM$1,0),IF(LEFT(VLOOKUP($D57,'Visu totale'!$D:$DH,BM$1,0),1)="V",IF(BL57&gt;=INDEX('[1]Définition Maintenances'!$G:$G,MATCH($A57,'[1]Définition Maintenances'!$K:$K,0)),BL57,INDEX('[1]Définition Maintenances'!$G:$G,MATCH($A57,'[1]Définition Maintenances'!$K:$K,0))+BL57),BL57))</f>
        <v>291</v>
      </c>
      <c r="BN57" s="25">
        <f>IF(ISNUMBER(VLOOKUP($D57,'Visu totale'!$D:$DH,BN$1,0)),BM57-VLOOKUP($D57,'Visu totale'!$D:$DH,BN$1,0),IF(LEFT(VLOOKUP($D57,'Visu totale'!$D:$DH,BN$1,0),1)="V",IF(BM57&gt;=INDEX('[1]Définition Maintenances'!$G:$G,MATCH($A57,'[1]Définition Maintenances'!$K:$K,0)),BM57,INDEX('[1]Définition Maintenances'!$G:$G,MATCH($A57,'[1]Définition Maintenances'!$K:$K,0))+BM57),BM57))</f>
        <v>291</v>
      </c>
      <c r="BO57" s="26">
        <f>IF(ISNUMBER(VLOOKUP($D57,'Visu totale'!$D:$DH,BO$1,0)),BN57-VLOOKUP($D57,'Visu totale'!$D:$DH,BO$1,0),IF(LEFT(VLOOKUP($D57,'Visu totale'!$D:$DH,BO$1,0),1)="V",IF(BN57&gt;=INDEX('[1]Définition Maintenances'!$G:$G,MATCH($A57,'[1]Définition Maintenances'!$K:$K,0)),BN57,INDEX('[1]Définition Maintenances'!$G:$G,MATCH($A57,'[1]Définition Maintenances'!$K:$K,0))+BN57),BN57))</f>
        <v>291</v>
      </c>
      <c r="BP57" s="26">
        <f>IF(ISNUMBER(VLOOKUP($D57,'Visu totale'!$D:$DH,BP$1,0)),BO57-VLOOKUP($D57,'Visu totale'!$D:$DH,BP$1,0),IF(LEFT(VLOOKUP($D57,'Visu totale'!$D:$DH,BP$1,0),1)="V",IF(BO57&gt;=INDEX('[1]Définition Maintenances'!$G:$G,MATCH($A57,'[1]Définition Maintenances'!$K:$K,0)),BO57,INDEX('[1]Définition Maintenances'!$G:$G,MATCH($A57,'[1]Définition Maintenances'!$K:$K,0))+BO57),BO57))</f>
        <v>291</v>
      </c>
      <c r="BQ57" s="26">
        <f>IF(ISNUMBER(VLOOKUP($D57,'Visu totale'!$D:$DH,BQ$1,0)),BP57-VLOOKUP($D57,'Visu totale'!$D:$DH,BQ$1,0),IF(LEFT(VLOOKUP($D57,'Visu totale'!$D:$DH,BQ$1,0),1)="V",IF(BP57&gt;=INDEX('[1]Définition Maintenances'!$G:$G,MATCH($A57,'[1]Définition Maintenances'!$K:$K,0)),BP57,INDEX('[1]Définition Maintenances'!$G:$G,MATCH($A57,'[1]Définition Maintenances'!$K:$K,0))+BP57),BP57))</f>
        <v>291</v>
      </c>
      <c r="BR57" s="26">
        <f>IF(ISNUMBER(VLOOKUP($D57,'Visu totale'!$D:$DH,BR$1,0)),BQ57-VLOOKUP($D57,'Visu totale'!$D:$DH,BR$1,0),IF(LEFT(VLOOKUP($D57,'Visu totale'!$D:$DH,BR$1,0),1)="V",IF(BQ57&gt;=INDEX('[1]Définition Maintenances'!$G:$G,MATCH($A57,'[1]Définition Maintenances'!$K:$K,0)),BQ57,INDEX('[1]Définition Maintenances'!$G:$G,MATCH($A57,'[1]Définition Maintenances'!$K:$K,0))+BQ57),BQ57))</f>
        <v>291</v>
      </c>
      <c r="BS57" s="26">
        <f>IF(ISNUMBER(VLOOKUP($D57,'Visu totale'!$D:$DH,BS$1,0)),BR57-VLOOKUP($D57,'Visu totale'!$D:$DH,BS$1,0),IF(LEFT(VLOOKUP($D57,'Visu totale'!$D:$DH,BS$1,0),1)="V",IF(BR57&gt;=INDEX('[1]Définition Maintenances'!$G:$G,MATCH($A57,'[1]Définition Maintenances'!$K:$K,0)),BR57,INDEX('[1]Définition Maintenances'!$G:$G,MATCH($A57,'[1]Définition Maintenances'!$K:$K,0))+BR57),BR57))</f>
        <v>291</v>
      </c>
      <c r="BT57" s="26">
        <f>IF(ISNUMBER(VLOOKUP($D57,'Visu totale'!$D:$DH,BT$1,0)),BS57-VLOOKUP($D57,'Visu totale'!$D:$DH,BT$1,0),IF(LEFT(VLOOKUP($D57,'Visu totale'!$D:$DH,BT$1,0),1)="V",IF(BS57&gt;=INDEX('[1]Définition Maintenances'!$G:$G,MATCH($A57,'[1]Définition Maintenances'!$K:$K,0)),BS57,INDEX('[1]Définition Maintenances'!$G:$G,MATCH($A57,'[1]Définition Maintenances'!$K:$K,0))+BS57),BS57))</f>
        <v>291</v>
      </c>
      <c r="BU57" s="26">
        <f>IF(ISNUMBER(VLOOKUP($D57,'Visu totale'!$D:$DH,BU$1,0)),BT57-VLOOKUP($D57,'Visu totale'!$D:$DH,BU$1,0),IF(LEFT(VLOOKUP($D57,'Visu totale'!$D:$DH,BU$1,0),1)="V",IF(BT57&gt;=INDEX('[1]Définition Maintenances'!$G:$G,MATCH($A57,'[1]Définition Maintenances'!$K:$K,0)),BT57,INDEX('[1]Définition Maintenances'!$G:$G,MATCH($A57,'[1]Définition Maintenances'!$K:$K,0))+BT57),BT57))</f>
        <v>291</v>
      </c>
      <c r="BV57" s="26">
        <f>IF(ISNUMBER(VLOOKUP($D57,'Visu totale'!$D:$DH,BV$1,0)),BU57-VLOOKUP($D57,'Visu totale'!$D:$DH,BV$1,0),IF(LEFT(VLOOKUP($D57,'Visu totale'!$D:$DH,BV$1,0),1)="V",IF(BU57&gt;=INDEX('[1]Définition Maintenances'!$G:$G,MATCH($A57,'[1]Définition Maintenances'!$K:$K,0)),BU57,INDEX('[1]Définition Maintenances'!$G:$G,MATCH($A57,'[1]Définition Maintenances'!$K:$K,0))+BU57),BU57))</f>
        <v>291</v>
      </c>
      <c r="BW57" s="26">
        <f>IF(ISNUMBER(VLOOKUP($D57,'Visu totale'!$D:$DH,BW$1,0)),BV57-VLOOKUP($D57,'Visu totale'!$D:$DH,BW$1,0),IF(LEFT(VLOOKUP($D57,'Visu totale'!$D:$DH,BW$1,0),1)="V",IF(BV57&gt;=INDEX('[1]Définition Maintenances'!$G:$G,MATCH($A57,'[1]Définition Maintenances'!$K:$K,0)),BV57,INDEX('[1]Définition Maintenances'!$G:$G,MATCH($A57,'[1]Définition Maintenances'!$K:$K,0))+BV57),BV57))</f>
        <v>291</v>
      </c>
      <c r="BX57" s="26">
        <f>IF(ISNUMBER(VLOOKUP($D57,'Visu totale'!$D:$DH,BX$1,0)),BW57-VLOOKUP($D57,'Visu totale'!$D:$DH,BX$1,0),IF(LEFT(VLOOKUP($D57,'Visu totale'!$D:$DH,BX$1,0),1)="V",IF(BW57&gt;=INDEX('[1]Définition Maintenances'!$G:$G,MATCH($A57,'[1]Définition Maintenances'!$K:$K,0)),BW57,INDEX('[1]Définition Maintenances'!$G:$G,MATCH($A57,'[1]Définition Maintenances'!$K:$K,0))+BW57),BW57))</f>
        <v>291</v>
      </c>
      <c r="BY57" s="27">
        <f>IF(ISNUMBER(VLOOKUP($D57,'Visu totale'!$D:$DH,BY$1,0)),BX57-VLOOKUP($D57,'Visu totale'!$D:$DH,BY$1,0),IF(LEFT(VLOOKUP($D57,'Visu totale'!$D:$DH,BY$1,0),1)="V",IF(BX57&gt;=INDEX('[1]Définition Maintenances'!$G:$G,MATCH($A57,'[1]Définition Maintenances'!$K:$K,0)),BX57,INDEX('[1]Définition Maintenances'!$G:$G,MATCH($A57,'[1]Définition Maintenances'!$K:$K,0))+BX57),BX57))</f>
        <v>291</v>
      </c>
      <c r="BZ57" s="25">
        <f>IF(ISNUMBER(VLOOKUP($D57,'Visu totale'!$D:$DH,BZ$1,0)),BY57-VLOOKUP($D57,'Visu totale'!$D:$DH,BZ$1,0),IF(LEFT(VLOOKUP($D57,'Visu totale'!$D:$DH,BZ$1,0),1)="V",IF(BY57&gt;=INDEX('[1]Définition Maintenances'!$G:$G,MATCH($A57,'[1]Définition Maintenances'!$K:$K,0)),BY57,INDEX('[1]Définition Maintenances'!$G:$G,MATCH($A57,'[1]Définition Maintenances'!$K:$K,0))+BY57),BY57))</f>
        <v>291</v>
      </c>
      <c r="CA57" s="26">
        <f>IF(ISNUMBER(VLOOKUP($D57,'Visu totale'!$D:$DH,CA$1,0)),BZ57-VLOOKUP($D57,'Visu totale'!$D:$DH,CA$1,0),IF(LEFT(VLOOKUP($D57,'Visu totale'!$D:$DH,CA$1,0),1)="V",IF(BZ57&gt;=INDEX('[1]Définition Maintenances'!$G:$G,MATCH($A57,'[1]Définition Maintenances'!$K:$K,0)),BZ57,INDEX('[1]Définition Maintenances'!$G:$G,MATCH($A57,'[1]Définition Maintenances'!$K:$K,0))+BZ57),BZ57))</f>
        <v>291</v>
      </c>
      <c r="CB57" s="26">
        <f>IF(ISNUMBER(VLOOKUP($D57,'Visu totale'!$D:$DH,CB$1,0)),CA57-VLOOKUP($D57,'Visu totale'!$D:$DH,CB$1,0),IF(LEFT(VLOOKUP($D57,'Visu totale'!$D:$DH,CB$1,0),1)="V",IF(CA57&gt;=INDEX('[1]Définition Maintenances'!$G:$G,MATCH($A57,'[1]Définition Maintenances'!$K:$K,0)),CA57,INDEX('[1]Définition Maintenances'!$G:$G,MATCH($A57,'[1]Définition Maintenances'!$K:$K,0))+CA57),CA57))</f>
        <v>291</v>
      </c>
      <c r="CC57" s="26">
        <f>IF(ISNUMBER(VLOOKUP($D57,'Visu totale'!$D:$DH,CC$1,0)),CB57-VLOOKUP($D57,'Visu totale'!$D:$DH,CC$1,0),IF(LEFT(VLOOKUP($D57,'Visu totale'!$D:$DH,CC$1,0),1)="V",IF(CB57&gt;=INDEX('[1]Définition Maintenances'!$G:$G,MATCH($A57,'[1]Définition Maintenances'!$K:$K,0)),CB57,INDEX('[1]Définition Maintenances'!$G:$G,MATCH($A57,'[1]Définition Maintenances'!$K:$K,0))+CB57),CB57))</f>
        <v>291</v>
      </c>
      <c r="CD57" s="26">
        <f>IF(ISNUMBER(VLOOKUP($D57,'Visu totale'!$D:$DH,CD$1,0)),CC57-VLOOKUP($D57,'Visu totale'!$D:$DH,CD$1,0),IF(LEFT(VLOOKUP($D57,'Visu totale'!$D:$DH,CD$1,0),1)="V",IF(CC57&gt;=INDEX('[1]Définition Maintenances'!$G:$G,MATCH($A57,'[1]Définition Maintenances'!$K:$K,0)),CC57,INDEX('[1]Définition Maintenances'!$G:$G,MATCH($A57,'[1]Définition Maintenances'!$K:$K,0))+CC57),CC57))</f>
        <v>291</v>
      </c>
      <c r="CE57" s="26">
        <f>IF(ISNUMBER(VLOOKUP($D57,'Visu totale'!$D:$DH,CE$1,0)),CD57-VLOOKUP($D57,'Visu totale'!$D:$DH,CE$1,0),IF(LEFT(VLOOKUP($D57,'Visu totale'!$D:$DH,CE$1,0),1)="V",IF(CD57&gt;=INDEX('[1]Définition Maintenances'!$G:$G,MATCH($A57,'[1]Définition Maintenances'!$K:$K,0)),CD57,INDEX('[1]Définition Maintenances'!$G:$G,MATCH($A57,'[1]Définition Maintenances'!$K:$K,0))+CD57),CD57))</f>
        <v>291</v>
      </c>
      <c r="CF57" s="26">
        <f>IF(ISNUMBER(VLOOKUP($D57,'Visu totale'!$D:$DH,CF$1,0)),CE57-VLOOKUP($D57,'Visu totale'!$D:$DH,CF$1,0),IF(LEFT(VLOOKUP($D57,'Visu totale'!$D:$DH,CF$1,0),1)="V",IF(CE57&gt;=INDEX('[1]Définition Maintenances'!$G:$G,MATCH($A57,'[1]Définition Maintenances'!$K:$K,0)),CE57,INDEX('[1]Définition Maintenances'!$G:$G,MATCH($A57,'[1]Définition Maintenances'!$K:$K,0))+CE57),CE57))</f>
        <v>291</v>
      </c>
      <c r="CG57" s="26">
        <f>IF(ISNUMBER(VLOOKUP($D57,'Visu totale'!$D:$DH,CG$1,0)),CF57-VLOOKUP($D57,'Visu totale'!$D:$DH,CG$1,0),IF(LEFT(VLOOKUP($D57,'Visu totale'!$D:$DH,CG$1,0),1)="V",IF(CF57&gt;=INDEX('[1]Définition Maintenances'!$G:$G,MATCH($A57,'[1]Définition Maintenances'!$K:$K,0)),CF57,INDEX('[1]Définition Maintenances'!$G:$G,MATCH($A57,'[1]Définition Maintenances'!$K:$K,0))+CF57),CF57))</f>
        <v>291</v>
      </c>
      <c r="CH57" s="26">
        <f>IF(ISNUMBER(VLOOKUP($D57,'Visu totale'!$D:$DH,CH$1,0)),CG57-VLOOKUP($D57,'Visu totale'!$D:$DH,CH$1,0),IF(LEFT(VLOOKUP($D57,'Visu totale'!$D:$DH,CH$1,0),1)="V",IF(CG57&gt;=INDEX('[1]Définition Maintenances'!$G:$G,MATCH($A57,'[1]Définition Maintenances'!$K:$K,0)),CG57,INDEX('[1]Définition Maintenances'!$G:$G,MATCH($A57,'[1]Définition Maintenances'!$K:$K,0))+CG57),CG57))</f>
        <v>291</v>
      </c>
      <c r="CI57" s="26">
        <f>IF(ISNUMBER(VLOOKUP($D57,'Visu totale'!$D:$DH,CI$1,0)),CH57-VLOOKUP($D57,'Visu totale'!$D:$DH,CI$1,0),IF(LEFT(VLOOKUP($D57,'Visu totale'!$D:$DH,CI$1,0),1)="V",IF(CH57&gt;=INDEX('[1]Définition Maintenances'!$G:$G,MATCH($A57,'[1]Définition Maintenances'!$K:$K,0)),CH57,INDEX('[1]Définition Maintenances'!$G:$G,MATCH($A57,'[1]Définition Maintenances'!$K:$K,0))+CH57),CH57))</f>
        <v>291</v>
      </c>
      <c r="CJ57" s="26">
        <f>IF(ISNUMBER(VLOOKUP($D57,'Visu totale'!$D:$DH,CJ$1,0)),CI57-VLOOKUP($D57,'Visu totale'!$D:$DH,CJ$1,0),IF(LEFT(VLOOKUP($D57,'Visu totale'!$D:$DH,CJ$1,0),1)="V",IF(CI57&gt;=INDEX('[1]Définition Maintenances'!$G:$G,MATCH($A57,'[1]Définition Maintenances'!$K:$K,0)),CI57,INDEX('[1]Définition Maintenances'!$G:$G,MATCH($A57,'[1]Définition Maintenances'!$K:$K,0))+CI57),CI57))</f>
        <v>291</v>
      </c>
      <c r="CK57" s="27">
        <f>IF(ISNUMBER(VLOOKUP($D57,'Visu totale'!$D:$DH,CK$1,0)),CJ57-VLOOKUP($D57,'Visu totale'!$D:$DH,CK$1,0),IF(LEFT(VLOOKUP($D57,'Visu totale'!$D:$DH,CK$1,0),1)="V",IF(CJ57&gt;=INDEX('[1]Définition Maintenances'!$G:$G,MATCH($A57,'[1]Définition Maintenances'!$K:$K,0)),CJ57,INDEX('[1]Définition Maintenances'!$G:$G,MATCH($A57,'[1]Définition Maintenances'!$K:$K,0))+CJ57),CJ57))</f>
        <v>291</v>
      </c>
      <c r="CL57" s="25">
        <f>IF(ISNUMBER(VLOOKUP($D57,'Visu totale'!$D:$DH,CL$1,0)),CK57-VLOOKUP($D57,'Visu totale'!$D:$DH,CL$1,0),IF(LEFT(VLOOKUP($D57,'Visu totale'!$D:$DH,CL$1,0),1)="V",IF(CK57&gt;=INDEX('[1]Définition Maintenances'!$G:$G,MATCH($A57,'[1]Définition Maintenances'!$K:$K,0)),CK57,INDEX('[1]Définition Maintenances'!$G:$G,MATCH($A57,'[1]Définition Maintenances'!$K:$K,0))+CK57),CK57))</f>
        <v>291</v>
      </c>
      <c r="CM57" s="26">
        <f>IF(ISNUMBER(VLOOKUP($D57,'Visu totale'!$D:$DH,CM$1,0)),CL57-VLOOKUP($D57,'Visu totale'!$D:$DH,CM$1,0),IF(LEFT(VLOOKUP($D57,'Visu totale'!$D:$DH,CM$1,0),1)="V",IF(CL57&gt;=INDEX('[1]Définition Maintenances'!$G:$G,MATCH($A57,'[1]Définition Maintenances'!$K:$K,0)),CL57,INDEX('[1]Définition Maintenances'!$G:$G,MATCH($A57,'[1]Définition Maintenances'!$K:$K,0))+CL57),CL57))</f>
        <v>291</v>
      </c>
      <c r="CN57" s="26">
        <f>IF(ISNUMBER(VLOOKUP($D57,'Visu totale'!$D:$DH,CN$1,0)),CM57-VLOOKUP($D57,'Visu totale'!$D:$DH,CN$1,0),IF(LEFT(VLOOKUP($D57,'Visu totale'!$D:$DH,CN$1,0),1)="V",IF(CM57&gt;=INDEX('[1]Définition Maintenances'!$G:$G,MATCH($A57,'[1]Définition Maintenances'!$K:$K,0)),CM57,INDEX('[1]Définition Maintenances'!$G:$G,MATCH($A57,'[1]Définition Maintenances'!$K:$K,0))+CM57),CM57))</f>
        <v>291</v>
      </c>
      <c r="CO57" s="26">
        <f>IF(ISNUMBER(VLOOKUP($D57,'Visu totale'!$D:$DH,CO$1,0)),CN57-VLOOKUP($D57,'Visu totale'!$D:$DH,CO$1,0),IF(LEFT(VLOOKUP($D57,'Visu totale'!$D:$DH,CO$1,0),1)="V",IF(CN57&gt;=INDEX('[1]Définition Maintenances'!$G:$G,MATCH($A57,'[1]Définition Maintenances'!$K:$K,0)),CN57,INDEX('[1]Définition Maintenances'!$G:$G,MATCH($A57,'[1]Définition Maintenances'!$K:$K,0))+CN57),CN57))</f>
        <v>291</v>
      </c>
      <c r="CP57" s="26">
        <f>IF(ISNUMBER(VLOOKUP($D57,'Visu totale'!$D:$DH,CP$1,0)),CO57-VLOOKUP($D57,'Visu totale'!$D:$DH,CP$1,0),IF(LEFT(VLOOKUP($D57,'Visu totale'!$D:$DH,CP$1,0),1)="V",IF(CO57&gt;=INDEX('[1]Définition Maintenances'!$G:$G,MATCH($A57,'[1]Définition Maintenances'!$K:$K,0)),CO57,INDEX('[1]Définition Maintenances'!$G:$G,MATCH($A57,'[1]Définition Maintenances'!$K:$K,0))+CO57),CO57))</f>
        <v>291</v>
      </c>
      <c r="CQ57" s="26">
        <f>IF(ISNUMBER(VLOOKUP($D57,'Visu totale'!$D:$DH,CQ$1,0)),CP57-VLOOKUP($D57,'Visu totale'!$D:$DH,CQ$1,0),IF(LEFT(VLOOKUP($D57,'Visu totale'!$D:$DH,CQ$1,0),1)="V",IF(CP57&gt;=INDEX('[1]Définition Maintenances'!$G:$G,MATCH($A57,'[1]Définition Maintenances'!$K:$K,0)),CP57,INDEX('[1]Définition Maintenances'!$G:$G,MATCH($A57,'[1]Définition Maintenances'!$K:$K,0))+CP57),CP57))</f>
        <v>291</v>
      </c>
      <c r="CR57" s="26">
        <f>IF(ISNUMBER(VLOOKUP($D57,'Visu totale'!$D:$DH,CR$1,0)),CQ57-VLOOKUP($D57,'Visu totale'!$D:$DH,CR$1,0),IF(LEFT(VLOOKUP($D57,'Visu totale'!$D:$DH,CR$1,0),1)="V",IF(CQ57&gt;=INDEX('[1]Définition Maintenances'!$G:$G,MATCH($A57,'[1]Définition Maintenances'!$K:$K,0)),CQ57,INDEX('[1]Définition Maintenances'!$G:$G,MATCH($A57,'[1]Définition Maintenances'!$K:$K,0))+CQ57),CQ57))</f>
        <v>291</v>
      </c>
      <c r="CS57" s="26">
        <f>IF(ISNUMBER(VLOOKUP($D57,'Visu totale'!$D:$DH,CS$1,0)),CR57-VLOOKUP($D57,'Visu totale'!$D:$DH,CS$1,0),IF(LEFT(VLOOKUP($D57,'Visu totale'!$D:$DH,CS$1,0),1)="V",IF(CR57&gt;=INDEX('[1]Définition Maintenances'!$G:$G,MATCH($A57,'[1]Définition Maintenances'!$K:$K,0)),CR57,INDEX('[1]Définition Maintenances'!$G:$G,MATCH($A57,'[1]Définition Maintenances'!$K:$K,0))+CR57),CR57))</f>
        <v>291</v>
      </c>
      <c r="CT57" s="26">
        <f>IF(ISNUMBER(VLOOKUP($D57,'Visu totale'!$D:$DH,CT$1,0)),CS57-VLOOKUP($D57,'Visu totale'!$D:$DH,CT$1,0),IF(LEFT(VLOOKUP($D57,'Visu totale'!$D:$DH,CT$1,0),1)="V",IF(CS57&gt;=INDEX('[1]Définition Maintenances'!$G:$G,MATCH($A57,'[1]Définition Maintenances'!$K:$K,0)),CS57,INDEX('[1]Définition Maintenances'!$G:$G,MATCH($A57,'[1]Définition Maintenances'!$K:$K,0))+CS57),CS57))</f>
        <v>291</v>
      </c>
      <c r="CU57" s="26">
        <f>IF(ISNUMBER(VLOOKUP($D57,'Visu totale'!$D:$DH,CU$1,0)),CT57-VLOOKUP($D57,'Visu totale'!$D:$DH,CU$1,0),IF(LEFT(VLOOKUP($D57,'Visu totale'!$D:$DH,CU$1,0),1)="V",IF(CT57&gt;=INDEX('[1]Définition Maintenances'!$G:$G,MATCH($A57,'[1]Définition Maintenances'!$K:$K,0)),CT57,INDEX('[1]Définition Maintenances'!$G:$G,MATCH($A57,'[1]Définition Maintenances'!$K:$K,0))+CT57),CT57))</f>
        <v>291</v>
      </c>
      <c r="CV57" s="26">
        <f>IF(ISNUMBER(VLOOKUP($D57,'Visu totale'!$D:$DH,CV$1,0)),CU57-VLOOKUP($D57,'Visu totale'!$D:$DH,CV$1,0),IF(LEFT(VLOOKUP($D57,'Visu totale'!$D:$DH,CV$1,0),1)="V",IF(CU57&gt;=INDEX('[1]Définition Maintenances'!$G:$G,MATCH($A57,'[1]Définition Maintenances'!$K:$K,0)),CU57,INDEX('[1]Définition Maintenances'!$G:$G,MATCH($A57,'[1]Définition Maintenances'!$K:$K,0))+CU57),CU57))</f>
        <v>291</v>
      </c>
      <c r="CW57" s="27">
        <f>IF(ISNUMBER(VLOOKUP($D57,'Visu totale'!$D:$DH,CW$1,0)),CV57-VLOOKUP($D57,'Visu totale'!$D:$DH,CW$1,0),IF(LEFT(VLOOKUP($D57,'Visu totale'!$D:$DH,CW$1,0),1)="V",IF(CV57&gt;=INDEX('[1]Définition Maintenances'!$G:$G,MATCH($A57,'[1]Définition Maintenances'!$K:$K,0)),CV57,INDEX('[1]Définition Maintenances'!$G:$G,MATCH($A57,'[1]Définition Maintenances'!$K:$K,0))+CV57),CV57))</f>
        <v>291</v>
      </c>
      <c r="CX57" s="25">
        <f>IF(ISNUMBER(VLOOKUP($D57,'Visu totale'!$D:$DH,CX$1,0)),CW57-VLOOKUP($D57,'Visu totale'!$D:$DH,CX$1,0),IF(LEFT(VLOOKUP($D57,'Visu totale'!$D:$DH,CX$1,0),1)="V",IF(CW57&gt;=INDEX('[1]Définition Maintenances'!$G:$G,MATCH($A57,'[1]Définition Maintenances'!$K:$K,0)),CW57,INDEX('[1]Définition Maintenances'!$G:$G,MATCH($A57,'[1]Définition Maintenances'!$K:$K,0))+CW57),CW57))</f>
        <v>291</v>
      </c>
      <c r="CY57" s="26">
        <f>IF(ISNUMBER(VLOOKUP($D57,'Visu totale'!$D:$DH,CY$1,0)),CX57-VLOOKUP($D57,'Visu totale'!$D:$DH,CY$1,0),IF(LEFT(VLOOKUP($D57,'Visu totale'!$D:$DH,CY$1,0),1)="V",IF(CX57&gt;=INDEX('[1]Définition Maintenances'!$G:$G,MATCH($A57,'[1]Définition Maintenances'!$K:$K,0)),CX57,INDEX('[1]Définition Maintenances'!$G:$G,MATCH($A57,'[1]Définition Maintenances'!$K:$K,0))+CX57),CX57))</f>
        <v>291</v>
      </c>
      <c r="CZ57" s="26">
        <f>IF(ISNUMBER(VLOOKUP($D57,'Visu totale'!$D:$DH,CZ$1,0)),CY57-VLOOKUP($D57,'Visu totale'!$D:$DH,CZ$1,0),IF(LEFT(VLOOKUP($D57,'Visu totale'!$D:$DH,CZ$1,0),1)="V",IF(CY57&gt;=INDEX('[1]Définition Maintenances'!$G:$G,MATCH($A57,'[1]Définition Maintenances'!$K:$K,0)),CY57,INDEX('[1]Définition Maintenances'!$G:$G,MATCH($A57,'[1]Définition Maintenances'!$K:$K,0))+CY57),CY57))</f>
        <v>291</v>
      </c>
      <c r="DA57" s="26">
        <f>IF(ISNUMBER(VLOOKUP($D57,'Visu totale'!$D:$DH,DA$1,0)),CZ57-VLOOKUP($D57,'Visu totale'!$D:$DH,DA$1,0),IF(LEFT(VLOOKUP($D57,'Visu totale'!$D:$DH,DA$1,0),1)="V",IF(CZ57&gt;=INDEX('[1]Définition Maintenances'!$G:$G,MATCH($A57,'[1]Définition Maintenances'!$K:$K,0)),CZ57,INDEX('[1]Définition Maintenances'!$G:$G,MATCH($A57,'[1]Définition Maintenances'!$K:$K,0))+CZ57),CZ57))</f>
        <v>291</v>
      </c>
      <c r="DB57" s="26">
        <f>IF(ISNUMBER(VLOOKUP($D57,'Visu totale'!$D:$DH,DB$1,0)),DA57-VLOOKUP($D57,'Visu totale'!$D:$DH,DB$1,0),IF(LEFT(VLOOKUP($D57,'Visu totale'!$D:$DH,DB$1,0),1)="V",IF(DA57&gt;=INDEX('[1]Définition Maintenances'!$G:$G,MATCH($A57,'[1]Définition Maintenances'!$K:$K,0)),DA57,INDEX('[1]Définition Maintenances'!$G:$G,MATCH($A57,'[1]Définition Maintenances'!$K:$K,0))+DA57),DA57))</f>
        <v>291</v>
      </c>
      <c r="DC57" s="26">
        <f>IF(ISNUMBER(VLOOKUP($D57,'Visu totale'!$D:$DH,DC$1,0)),DB57-VLOOKUP($D57,'Visu totale'!$D:$DH,DC$1,0),IF(LEFT(VLOOKUP($D57,'Visu totale'!$D:$DH,DC$1,0),1)="V",IF(DB57&gt;=INDEX('[1]Définition Maintenances'!$G:$G,MATCH($A57,'[1]Définition Maintenances'!$K:$K,0)),DB57,INDEX('[1]Définition Maintenances'!$G:$G,MATCH($A57,'[1]Définition Maintenances'!$K:$K,0))+DB57),DB57))</f>
        <v>291</v>
      </c>
      <c r="DD57" s="26">
        <f>IF(ISNUMBER(VLOOKUP($D57,'Visu totale'!$D:$DH,DD$1,0)),DC57-VLOOKUP($D57,'Visu totale'!$D:$DH,DD$1,0),IF(LEFT(VLOOKUP($D57,'Visu totale'!$D:$DH,DD$1,0),1)="V",IF(DC57&gt;=INDEX('[1]Définition Maintenances'!$G:$G,MATCH($A57,'[1]Définition Maintenances'!$K:$K,0)),DC57,INDEX('[1]Définition Maintenances'!$G:$G,MATCH($A57,'[1]Définition Maintenances'!$K:$K,0))+DC57),DC57))</f>
        <v>291</v>
      </c>
      <c r="DE57" s="26">
        <f>IF(ISNUMBER(VLOOKUP($D57,'Visu totale'!$D:$DH,DE$1,0)),DD57-VLOOKUP($D57,'Visu totale'!$D:$DH,DE$1,0),IF(LEFT(VLOOKUP($D57,'Visu totale'!$D:$DH,DE$1,0),1)="V",IF(DD57&gt;=INDEX('[1]Définition Maintenances'!$G:$G,MATCH($A57,'[1]Définition Maintenances'!$K:$K,0)),DD57,INDEX('[1]Définition Maintenances'!$G:$G,MATCH($A57,'[1]Définition Maintenances'!$K:$K,0))+DD57),DD57))</f>
        <v>291</v>
      </c>
      <c r="DF57" s="26">
        <f>IF(ISNUMBER(VLOOKUP($D57,'Visu totale'!$D:$DH,DF$1,0)),DE57-VLOOKUP($D57,'Visu totale'!$D:$DH,DF$1,0),IF(LEFT(VLOOKUP($D57,'Visu totale'!$D:$DH,DF$1,0),1)="V",IF(DE57&gt;=INDEX('[1]Définition Maintenances'!$G:$G,MATCH($A57,'[1]Définition Maintenances'!$K:$K,0)),DE57,INDEX('[1]Définition Maintenances'!$G:$G,MATCH($A57,'[1]Définition Maintenances'!$K:$K,0))+DE57),DE57))</f>
        <v>291</v>
      </c>
      <c r="DG57" s="26">
        <f>IF(ISNUMBER(VLOOKUP($D57,'Visu totale'!$D:$DH,DG$1,0)),DF57-VLOOKUP($D57,'Visu totale'!$D:$DH,DG$1,0),IF(LEFT(VLOOKUP($D57,'Visu totale'!$D:$DH,DG$1,0),1)="V",IF(DF57&gt;=INDEX('[1]Définition Maintenances'!$G:$G,MATCH($A57,'[1]Définition Maintenances'!$K:$K,0)),DF57,INDEX('[1]Définition Maintenances'!$G:$G,MATCH($A57,'[1]Définition Maintenances'!$K:$K,0))+DF57),DF57))</f>
        <v>291</v>
      </c>
      <c r="DH57" s="26">
        <f>IF(ISNUMBER(VLOOKUP($D57,'Visu totale'!$D:$DH,DH$1,0)),DG57-VLOOKUP($D57,'Visu totale'!$D:$DH,DH$1,0),IF(LEFT(VLOOKUP($D57,'Visu totale'!$D:$DH,DH$1,0),1)="V",IF(DG57&gt;=INDEX('[1]Définition Maintenances'!$G:$G,MATCH($A57,'[1]Définition Maintenances'!$K:$K,0)),DG57,INDEX('[1]Définition Maintenances'!$G:$G,MATCH($A57,'[1]Définition Maintenances'!$K:$K,0))+DG57),DG57))</f>
        <v>291</v>
      </c>
      <c r="DI57" s="27">
        <f>IF(ISNUMBER(VLOOKUP($D57,'Visu totale'!$D:$DH,DI$1,0)),DH57-VLOOKUP($D57,'Visu totale'!$D:$DH,DI$1,0),IF(LEFT(VLOOKUP($D57,'Visu totale'!$D:$DH,DI$1,0),1)="V",IF(DH57&gt;=INDEX('[1]Définition Maintenances'!$G:$G,MATCH($A57,'[1]Définition Maintenances'!$K:$K,0)),DH57,INDEX('[1]Définition Maintenances'!$G:$G,MATCH($A57,'[1]Définition Maintenances'!$K:$K,0))+DH57),DH57))</f>
        <v>291</v>
      </c>
    </row>
    <row r="58" spans="1:113" x14ac:dyDescent="0.25">
      <c r="A58" s="13" t="str">
        <f t="shared" si="1"/>
        <v>V15D</v>
      </c>
      <c r="B58" s="13" t="str">
        <f>VLOOKUP(D58,'[1]Avions (Potentiels)'!$B$2:$H$128,7,FALSE)</f>
        <v>V15</v>
      </c>
      <c r="C58" s="13"/>
      <c r="D58" s="16" t="s">
        <v>61</v>
      </c>
      <c r="E58" s="13">
        <f>IFERROR(VALUE(SUBSTITUTE(VLOOKUP(D58,'[1]Avions (Potentiels)'!$B:$E,4,0),".",",")),VALUE(VLOOKUP(D58,'[1]Avions (Potentiels)'!$B:$E,4,0)))</f>
        <v>207</v>
      </c>
      <c r="F58" s="25">
        <f>IF(ISNUMBER(VLOOKUP($D58,'Visu totale'!$D:$DH,F$1,0)),E58-VLOOKUP($D58,'Visu totale'!$D:$DH,F$1,0),IF(LEFT(VLOOKUP($D58,'Visu totale'!$D:$DH,F$1,0),1)="V",IF(E58&gt;=INDEX('[1]Définition Maintenances'!$G:$G,MATCH($A58,'[1]Définition Maintenances'!$K:$K,0)),E58,INDEX('[1]Définition Maintenances'!$G:$G,MATCH($A58,'[1]Définition Maintenances'!$K:$K,0))+E58),E58))</f>
        <v>207</v>
      </c>
      <c r="G58" s="26">
        <f>IF(ISNUMBER(VLOOKUP($D58,'Visu totale'!$D:$DH,G$1,0)),F58-VLOOKUP($D58,'Visu totale'!$D:$DH,G$1,0),IF(LEFT(VLOOKUP($D58,'Visu totale'!$D:$DH,G$1,0),1)="V",IF(F58&gt;=INDEX('[1]Définition Maintenances'!$G:$G,MATCH($A58,'[1]Définition Maintenances'!$K:$K,0)),F58,INDEX('[1]Définition Maintenances'!$G:$G,MATCH($A58,'[1]Définition Maintenances'!$K:$K,0))+F58),F58))</f>
        <v>207</v>
      </c>
      <c r="H58" s="26">
        <f>IF(ISNUMBER(VLOOKUP($D58,'Visu totale'!$D:$DH,H$1,0)),G58-VLOOKUP($D58,'Visu totale'!$D:$DH,H$1,0),IF(LEFT(VLOOKUP($D58,'Visu totale'!$D:$DH,H$1,0),1)="V",IF(G58&gt;=INDEX('[1]Définition Maintenances'!$G:$G,MATCH($A58,'[1]Définition Maintenances'!$K:$K,0)),G58,INDEX('[1]Définition Maintenances'!$G:$G,MATCH($A58,'[1]Définition Maintenances'!$K:$K,0))+G58),G58))</f>
        <v>207</v>
      </c>
      <c r="I58" s="26">
        <f>IF(ISNUMBER(VLOOKUP($D58,'Visu totale'!$D:$DH,I$1,0)),H58-VLOOKUP($D58,'Visu totale'!$D:$DH,I$1,0),IF(LEFT(VLOOKUP($D58,'Visu totale'!$D:$DH,I$1,0),1)="V",IF(H58&gt;=INDEX('[1]Définition Maintenances'!$G:$G,MATCH($A58,'[1]Définition Maintenances'!$K:$K,0)),H58,INDEX('[1]Définition Maintenances'!$G:$G,MATCH($A58,'[1]Définition Maintenances'!$K:$K,0))+H58),H58))</f>
        <v>207</v>
      </c>
      <c r="J58" s="26">
        <f>IF(ISNUMBER(VLOOKUP($D58,'Visu totale'!$D:$DH,J$1,0)),I58-VLOOKUP($D58,'Visu totale'!$D:$DH,J$1,0),IF(LEFT(VLOOKUP($D58,'Visu totale'!$D:$DH,J$1,0),1)="V",IF(I58&gt;=INDEX('[1]Définition Maintenances'!$G:$G,MATCH($A58,'[1]Définition Maintenances'!$K:$K,0)),I58,INDEX('[1]Définition Maintenances'!$G:$G,MATCH($A58,'[1]Définition Maintenances'!$K:$K,0))+I58),I58))</f>
        <v>207</v>
      </c>
      <c r="K58" s="26">
        <f>IF(ISNUMBER(VLOOKUP($D58,'Visu totale'!$D:$DH,K$1,0)),J58-VLOOKUP($D58,'Visu totale'!$D:$DH,K$1,0),IF(LEFT(VLOOKUP($D58,'Visu totale'!$D:$DH,K$1,0),1)="V",IF(J58&gt;=INDEX('[1]Définition Maintenances'!$G:$G,MATCH($A58,'[1]Définition Maintenances'!$K:$K,0)),J58,INDEX('[1]Définition Maintenances'!$G:$G,MATCH($A58,'[1]Définition Maintenances'!$K:$K,0))+J58),J58))</f>
        <v>207</v>
      </c>
      <c r="L58" s="26">
        <f>IF(ISNUMBER(VLOOKUP($D58,'Visu totale'!$D:$DH,L$1,0)),K58-VLOOKUP($D58,'Visu totale'!$D:$DH,L$1,0),IF(LEFT(VLOOKUP($D58,'Visu totale'!$D:$DH,L$1,0),1)="V",IF(K58&gt;=INDEX('[1]Définition Maintenances'!$G:$G,MATCH($A58,'[1]Définition Maintenances'!$K:$K,0)),K58,INDEX('[1]Définition Maintenances'!$G:$G,MATCH($A58,'[1]Définition Maintenances'!$K:$K,0))+K58),K58))</f>
        <v>207</v>
      </c>
      <c r="M58" s="26">
        <f>IF(ISNUMBER(VLOOKUP($D58,'Visu totale'!$D:$DH,M$1,0)),L58-VLOOKUP($D58,'Visu totale'!$D:$DH,M$1,0),IF(LEFT(VLOOKUP($D58,'Visu totale'!$D:$DH,M$1,0),1)="V",IF(L58&gt;=INDEX('[1]Définition Maintenances'!$G:$G,MATCH($A58,'[1]Définition Maintenances'!$K:$K,0)),L58,INDEX('[1]Définition Maintenances'!$G:$G,MATCH($A58,'[1]Définition Maintenances'!$K:$K,0))+L58),L58))</f>
        <v>207</v>
      </c>
      <c r="N58" s="26">
        <f>IF(ISNUMBER(VLOOKUP($D58,'Visu totale'!$D:$DH,N$1,0)),M58-VLOOKUP($D58,'Visu totale'!$D:$DH,N$1,0),IF(LEFT(VLOOKUP($D58,'Visu totale'!$D:$DH,N$1,0),1)="V",IF(M58&gt;=INDEX('[1]Définition Maintenances'!$G:$G,MATCH($A58,'[1]Définition Maintenances'!$K:$K,0)),M58,INDEX('[1]Définition Maintenances'!$G:$G,MATCH($A58,'[1]Définition Maintenances'!$K:$K,0))+M58),M58))</f>
        <v>207</v>
      </c>
      <c r="O58" s="26">
        <f>IF(ISNUMBER(VLOOKUP($D58,'Visu totale'!$D:$DH,O$1,0)),N58-VLOOKUP($D58,'Visu totale'!$D:$DH,O$1,0),IF(LEFT(VLOOKUP($D58,'Visu totale'!$D:$DH,O$1,0),1)="V",IF(N58&gt;=INDEX('[1]Définition Maintenances'!$G:$G,MATCH($A58,'[1]Définition Maintenances'!$K:$K,0)),N58,INDEX('[1]Définition Maintenances'!$G:$G,MATCH($A58,'[1]Définition Maintenances'!$K:$K,0))+N58),N58))</f>
        <v>207</v>
      </c>
      <c r="P58" s="26">
        <f>IF(ISNUMBER(VLOOKUP($D58,'Visu totale'!$D:$DH,P$1,0)),O58-VLOOKUP($D58,'Visu totale'!$D:$DH,P$1,0),IF(LEFT(VLOOKUP($D58,'Visu totale'!$D:$DH,P$1,0),1)="V",IF(O58&gt;=INDEX('[1]Définition Maintenances'!$G:$G,MATCH($A58,'[1]Définition Maintenances'!$K:$K,0)),O58,INDEX('[1]Définition Maintenances'!$G:$G,MATCH($A58,'[1]Définition Maintenances'!$K:$K,0))+O58),O58))</f>
        <v>207</v>
      </c>
      <c r="Q58" s="27">
        <f>IF(ISNUMBER(VLOOKUP($D58,'Visu totale'!$D:$DH,Q$1,0)),P58-VLOOKUP($D58,'Visu totale'!$D:$DH,Q$1,0),IF(LEFT(VLOOKUP($D58,'Visu totale'!$D:$DH,Q$1,0),1)="V",IF(P58&gt;=INDEX('[1]Définition Maintenances'!$G:$G,MATCH($A58,'[1]Définition Maintenances'!$K:$K,0)),P58,INDEX('[1]Définition Maintenances'!$G:$G,MATCH($A58,'[1]Définition Maintenances'!$K:$K,0))+P58),P58))</f>
        <v>207</v>
      </c>
      <c r="R58" s="25">
        <f>IF(ISNUMBER(VLOOKUP($D58,'Visu totale'!$D:$DH,R$1,0)),Q58-VLOOKUP($D58,'Visu totale'!$D:$DH,R$1,0),IF(LEFT(VLOOKUP($D58,'Visu totale'!$D:$DH,R$1,0),1)="V",IF(Q58&gt;=INDEX('[1]Définition Maintenances'!$G:$G,MATCH($A58,'[1]Définition Maintenances'!$K:$K,0)),Q58,INDEX('[1]Définition Maintenances'!$G:$G,MATCH($A58,'[1]Définition Maintenances'!$K:$K,0))+Q58),Q58))</f>
        <v>207</v>
      </c>
      <c r="S58" s="26">
        <f>IF(ISNUMBER(VLOOKUP($D58,'Visu totale'!$D:$DH,S$1,0)),R58-VLOOKUP($D58,'Visu totale'!$D:$DH,S$1,0),IF(LEFT(VLOOKUP($D58,'Visu totale'!$D:$DH,S$1,0),1)="V",IF(R58&gt;=INDEX('[1]Définition Maintenances'!$G:$G,MATCH($A58,'[1]Définition Maintenances'!$K:$K,0)),R58,INDEX('[1]Définition Maintenances'!$G:$G,MATCH($A58,'[1]Définition Maintenances'!$K:$K,0))+R58),R58))</f>
        <v>207</v>
      </c>
      <c r="T58" s="26">
        <f>IF(ISNUMBER(VLOOKUP($D58,'Visu totale'!$D:$DH,T$1,0)),S58-VLOOKUP($D58,'Visu totale'!$D:$DH,T$1,0),IF(LEFT(VLOOKUP($D58,'Visu totale'!$D:$DH,T$1,0),1)="V",IF(S58&gt;=INDEX('[1]Définition Maintenances'!$G:$G,MATCH($A58,'[1]Définition Maintenances'!$K:$K,0)),S58,INDEX('[1]Définition Maintenances'!$G:$G,MATCH($A58,'[1]Définition Maintenances'!$K:$K,0))+S58),S58))</f>
        <v>207</v>
      </c>
      <c r="U58" s="26">
        <f>IF(ISNUMBER(VLOOKUP($D58,'Visu totale'!$D:$DH,U$1,0)),T58-VLOOKUP($D58,'Visu totale'!$D:$DH,U$1,0),IF(LEFT(VLOOKUP($D58,'Visu totale'!$D:$DH,U$1,0),1)="V",IF(T58&gt;=INDEX('[1]Définition Maintenances'!$G:$G,MATCH($A58,'[1]Définition Maintenances'!$K:$K,0)),T58,INDEX('[1]Définition Maintenances'!$G:$G,MATCH($A58,'[1]Définition Maintenances'!$K:$K,0))+T58),T58))</f>
        <v>207</v>
      </c>
      <c r="V58" s="26">
        <f>IF(ISNUMBER(VLOOKUP($D58,'Visu totale'!$D:$DH,V$1,0)),U58-VLOOKUP($D58,'Visu totale'!$D:$DH,V$1,0),IF(LEFT(VLOOKUP($D58,'Visu totale'!$D:$DH,V$1,0),1)="V",IF(U58&gt;=INDEX('[1]Définition Maintenances'!$G:$G,MATCH($A58,'[1]Définition Maintenances'!$K:$K,0)),U58,INDEX('[1]Définition Maintenances'!$G:$G,MATCH($A58,'[1]Définition Maintenances'!$K:$K,0))+U58),U58))</f>
        <v>207</v>
      </c>
      <c r="W58" s="26">
        <f>IF(ISNUMBER(VLOOKUP($D58,'Visu totale'!$D:$DH,W$1,0)),V58-VLOOKUP($D58,'Visu totale'!$D:$DH,W$1,0),IF(LEFT(VLOOKUP($D58,'Visu totale'!$D:$DH,W$1,0),1)="V",IF(V58&gt;=INDEX('[1]Définition Maintenances'!$G:$G,MATCH($A58,'[1]Définition Maintenances'!$K:$K,0)),V58,INDEX('[1]Définition Maintenances'!$G:$G,MATCH($A58,'[1]Définition Maintenances'!$K:$K,0))+V58),V58))</f>
        <v>207</v>
      </c>
      <c r="X58" s="26">
        <f>IF(ISNUMBER(VLOOKUP($D58,'Visu totale'!$D:$DH,X$1,0)),W58-VLOOKUP($D58,'Visu totale'!$D:$DH,X$1,0),IF(LEFT(VLOOKUP($D58,'Visu totale'!$D:$DH,X$1,0),1)="V",IF(W58&gt;=INDEX('[1]Définition Maintenances'!$G:$G,MATCH($A58,'[1]Définition Maintenances'!$K:$K,0)),W58,INDEX('[1]Définition Maintenances'!$G:$G,MATCH($A58,'[1]Définition Maintenances'!$K:$K,0))+W58),W58))</f>
        <v>207</v>
      </c>
      <c r="Y58" s="26">
        <f>IF(ISNUMBER(VLOOKUP($D58,'Visu totale'!$D:$DH,Y$1,0)),X58-VLOOKUP($D58,'Visu totale'!$D:$DH,Y$1,0),IF(LEFT(VLOOKUP($D58,'Visu totale'!$D:$DH,Y$1,0),1)="V",IF(X58&gt;=INDEX('[1]Définition Maintenances'!$G:$G,MATCH($A58,'[1]Définition Maintenances'!$K:$K,0)),X58,INDEX('[1]Définition Maintenances'!$G:$G,MATCH($A58,'[1]Définition Maintenances'!$K:$K,0))+X58),X58))</f>
        <v>207</v>
      </c>
      <c r="Z58" s="26">
        <f>IF(ISNUMBER(VLOOKUP($D58,'Visu totale'!$D:$DH,Z$1,0)),Y58-VLOOKUP($D58,'Visu totale'!$D:$DH,Z$1,0),IF(LEFT(VLOOKUP($D58,'Visu totale'!$D:$DH,Z$1,0),1)="V",IF(Y58&gt;=INDEX('[1]Définition Maintenances'!$G:$G,MATCH($A58,'[1]Définition Maintenances'!$K:$K,0)),Y58,INDEX('[1]Définition Maintenances'!$G:$G,MATCH($A58,'[1]Définition Maintenances'!$K:$K,0))+Y58),Y58))</f>
        <v>207</v>
      </c>
      <c r="AA58" s="26">
        <f>IF(ISNUMBER(VLOOKUP($D58,'Visu totale'!$D:$DH,AA$1,0)),Z58-VLOOKUP($D58,'Visu totale'!$D:$DH,AA$1,0),IF(LEFT(VLOOKUP($D58,'Visu totale'!$D:$DH,AA$1,0),1)="V",IF(Z58&gt;=INDEX('[1]Définition Maintenances'!$G:$G,MATCH($A58,'[1]Définition Maintenances'!$K:$K,0)),Z58,INDEX('[1]Définition Maintenances'!$G:$G,MATCH($A58,'[1]Définition Maintenances'!$K:$K,0))+Z58),Z58))</f>
        <v>207</v>
      </c>
      <c r="AB58" s="26">
        <f>IF(ISNUMBER(VLOOKUP($D58,'Visu totale'!$D:$DH,AB$1,0)),AA58-VLOOKUP($D58,'Visu totale'!$D:$DH,AB$1,0),IF(LEFT(VLOOKUP($D58,'Visu totale'!$D:$DH,AB$1,0),1)="V",IF(AA58&gt;=INDEX('[1]Définition Maintenances'!$G:$G,MATCH($A58,'[1]Définition Maintenances'!$K:$K,0)),AA58,INDEX('[1]Définition Maintenances'!$G:$G,MATCH($A58,'[1]Définition Maintenances'!$K:$K,0))+AA58),AA58))</f>
        <v>207</v>
      </c>
      <c r="AC58" s="27">
        <f>IF(ISNUMBER(VLOOKUP($D58,'Visu totale'!$D:$DH,AC$1,0)),AB58-VLOOKUP($D58,'Visu totale'!$D:$DH,AC$1,0),IF(LEFT(VLOOKUP($D58,'Visu totale'!$D:$DH,AC$1,0),1)="V",IF(AB58&gt;=INDEX('[1]Définition Maintenances'!$G:$G,MATCH($A58,'[1]Définition Maintenances'!$K:$K,0)),AB58,INDEX('[1]Définition Maintenances'!$G:$G,MATCH($A58,'[1]Définition Maintenances'!$K:$K,0))+AB58),AB58))</f>
        <v>207</v>
      </c>
      <c r="AD58" s="25">
        <f>IF(ISNUMBER(VLOOKUP($D58,'Visu totale'!$D:$DH,AD$1,0)),AC58-VLOOKUP($D58,'Visu totale'!$D:$DH,AD$1,0),IF(LEFT(VLOOKUP($D58,'Visu totale'!$D:$DH,AD$1,0),1)="V",IF(AC58&gt;=INDEX('[1]Définition Maintenances'!$G:$G,MATCH($A58,'[1]Définition Maintenances'!$K:$K,0)),AC58,INDEX('[1]Définition Maintenances'!$G:$G,MATCH($A58,'[1]Définition Maintenances'!$K:$K,0))+AC58),AC58))</f>
        <v>207</v>
      </c>
      <c r="AE58" s="26">
        <f>IF(ISNUMBER(VLOOKUP($D58,'Visu totale'!$D:$DH,AE$1,0)),AD58-VLOOKUP($D58,'Visu totale'!$D:$DH,AE$1,0),IF(LEFT(VLOOKUP($D58,'Visu totale'!$D:$DH,AE$1,0),1)="V",IF(AD58&gt;=INDEX('[1]Définition Maintenances'!$G:$G,MATCH($A58,'[1]Définition Maintenances'!$K:$K,0)),AD58,INDEX('[1]Définition Maintenances'!$G:$G,MATCH($A58,'[1]Définition Maintenances'!$K:$K,0))+AD58),AD58))</f>
        <v>207</v>
      </c>
      <c r="AF58" s="26">
        <f>IF(ISNUMBER(VLOOKUP($D58,'Visu totale'!$D:$DH,AF$1,0)),AE58-VLOOKUP($D58,'Visu totale'!$D:$DH,AF$1,0),IF(LEFT(VLOOKUP($D58,'Visu totale'!$D:$DH,AF$1,0),1)="V",IF(AE58&gt;=INDEX('[1]Définition Maintenances'!$G:$G,MATCH($A58,'[1]Définition Maintenances'!$K:$K,0)),AE58,INDEX('[1]Définition Maintenances'!$G:$G,MATCH($A58,'[1]Définition Maintenances'!$K:$K,0))+AE58),AE58))</f>
        <v>207</v>
      </c>
      <c r="AG58" s="26">
        <f>IF(ISNUMBER(VLOOKUP($D58,'Visu totale'!$D:$DH,AG$1,0)),AF58-VLOOKUP($D58,'Visu totale'!$D:$DH,AG$1,0),IF(LEFT(VLOOKUP($D58,'Visu totale'!$D:$DH,AG$1,0),1)="V",IF(AF58&gt;=INDEX('[1]Définition Maintenances'!$G:$G,MATCH($A58,'[1]Définition Maintenances'!$K:$K,0)),AF58,INDEX('[1]Définition Maintenances'!$G:$G,MATCH($A58,'[1]Définition Maintenances'!$K:$K,0))+AF58),AF58))</f>
        <v>207</v>
      </c>
      <c r="AH58" s="26">
        <f>IF(ISNUMBER(VLOOKUP($D58,'Visu totale'!$D:$DH,AH$1,0)),AG58-VLOOKUP($D58,'Visu totale'!$D:$DH,AH$1,0),IF(LEFT(VLOOKUP($D58,'Visu totale'!$D:$DH,AH$1,0),1)="V",IF(AG58&gt;=INDEX('[1]Définition Maintenances'!$G:$G,MATCH($A58,'[1]Définition Maintenances'!$K:$K,0)),AG58,INDEX('[1]Définition Maintenances'!$G:$G,MATCH($A58,'[1]Définition Maintenances'!$K:$K,0))+AG58),AG58))</f>
        <v>207</v>
      </c>
      <c r="AI58" s="26">
        <f>IF(ISNUMBER(VLOOKUP($D58,'Visu totale'!$D:$DH,AI$1,0)),AH58-VLOOKUP($D58,'Visu totale'!$D:$DH,AI$1,0),IF(LEFT(VLOOKUP($D58,'Visu totale'!$D:$DH,AI$1,0),1)="V",IF(AH58&gt;=INDEX('[1]Définition Maintenances'!$G:$G,MATCH($A58,'[1]Définition Maintenances'!$K:$K,0)),AH58,INDEX('[1]Définition Maintenances'!$G:$G,MATCH($A58,'[1]Définition Maintenances'!$K:$K,0))+AH58),AH58))</f>
        <v>207</v>
      </c>
      <c r="AJ58" s="26">
        <f>IF(ISNUMBER(VLOOKUP($D58,'Visu totale'!$D:$DH,AJ$1,0)),AI58-VLOOKUP($D58,'Visu totale'!$D:$DH,AJ$1,0),IF(LEFT(VLOOKUP($D58,'Visu totale'!$D:$DH,AJ$1,0),1)="V",IF(AI58&gt;=INDEX('[1]Définition Maintenances'!$G:$G,MATCH($A58,'[1]Définition Maintenances'!$K:$K,0)),AI58,INDEX('[1]Définition Maintenances'!$G:$G,MATCH($A58,'[1]Définition Maintenances'!$K:$K,0))+AI58),AI58))</f>
        <v>207</v>
      </c>
      <c r="AK58" s="26">
        <f>IF(ISNUMBER(VLOOKUP($D58,'Visu totale'!$D:$DH,AK$1,0)),AJ58-VLOOKUP($D58,'Visu totale'!$D:$DH,AK$1,0),IF(LEFT(VLOOKUP($D58,'Visu totale'!$D:$DH,AK$1,0),1)="V",IF(AJ58&gt;=INDEX('[1]Définition Maintenances'!$G:$G,MATCH($A58,'[1]Définition Maintenances'!$K:$K,0)),AJ58,INDEX('[1]Définition Maintenances'!$G:$G,MATCH($A58,'[1]Définition Maintenances'!$K:$K,0))+AJ58),AJ58))</f>
        <v>207</v>
      </c>
      <c r="AL58" s="26">
        <f>IF(ISNUMBER(VLOOKUP($D58,'Visu totale'!$D:$DH,AL$1,0)),AK58-VLOOKUP($D58,'Visu totale'!$D:$DH,AL$1,0),IF(LEFT(VLOOKUP($D58,'Visu totale'!$D:$DH,AL$1,0),1)="V",IF(AK58&gt;=INDEX('[1]Définition Maintenances'!$G:$G,MATCH($A58,'[1]Définition Maintenances'!$K:$K,0)),AK58,INDEX('[1]Définition Maintenances'!$G:$G,MATCH($A58,'[1]Définition Maintenances'!$K:$K,0))+AK58),AK58))</f>
        <v>207</v>
      </c>
      <c r="AM58" s="26">
        <f>IF(ISNUMBER(VLOOKUP($D58,'Visu totale'!$D:$DH,AM$1,0)),AL58-VLOOKUP($D58,'Visu totale'!$D:$DH,AM$1,0),IF(LEFT(VLOOKUP($D58,'Visu totale'!$D:$DH,AM$1,0),1)="V",IF(AL58&gt;=INDEX('[1]Définition Maintenances'!$G:$G,MATCH($A58,'[1]Définition Maintenances'!$K:$K,0)),AL58,INDEX('[1]Définition Maintenances'!$G:$G,MATCH($A58,'[1]Définition Maintenances'!$K:$K,0))+AL58),AL58))</f>
        <v>207</v>
      </c>
      <c r="AN58" s="26">
        <f>IF(ISNUMBER(VLOOKUP($D58,'Visu totale'!$D:$DH,AN$1,0)),AM58-VLOOKUP($D58,'Visu totale'!$D:$DH,AN$1,0),IF(LEFT(VLOOKUP($D58,'Visu totale'!$D:$DH,AN$1,0),1)="V",IF(AM58&gt;=INDEX('[1]Définition Maintenances'!$G:$G,MATCH($A58,'[1]Définition Maintenances'!$K:$K,0)),AM58,INDEX('[1]Définition Maintenances'!$G:$G,MATCH($A58,'[1]Définition Maintenances'!$K:$K,0))+AM58),AM58))</f>
        <v>207</v>
      </c>
      <c r="AO58" s="27">
        <f>IF(ISNUMBER(VLOOKUP($D58,'Visu totale'!$D:$DH,AO$1,0)),AN58-VLOOKUP($D58,'Visu totale'!$D:$DH,AO$1,0),IF(LEFT(VLOOKUP($D58,'Visu totale'!$D:$DH,AO$1,0),1)="V",IF(AN58&gt;=INDEX('[1]Définition Maintenances'!$G:$G,MATCH($A58,'[1]Définition Maintenances'!$K:$K,0)),AN58,INDEX('[1]Définition Maintenances'!$G:$G,MATCH($A58,'[1]Définition Maintenances'!$K:$K,0))+AN58),AN58))</f>
        <v>207</v>
      </c>
      <c r="AP58" s="25">
        <f>IF(ISNUMBER(VLOOKUP($D58,'Visu totale'!$D:$DH,AP$1,0)),AO58-VLOOKUP($D58,'Visu totale'!$D:$DH,AP$1,0),IF(LEFT(VLOOKUP($D58,'Visu totale'!$D:$DH,AP$1,0),1)="V",IF(AO58&gt;=INDEX('[1]Définition Maintenances'!$G:$G,MATCH($A58,'[1]Définition Maintenances'!$K:$K,0)),AO58,INDEX('[1]Définition Maintenances'!$G:$G,MATCH($A58,'[1]Définition Maintenances'!$K:$K,0))+AO58),AO58))</f>
        <v>207</v>
      </c>
      <c r="AQ58" s="26">
        <f>IF(ISNUMBER(VLOOKUP($D58,'Visu totale'!$D:$DH,AQ$1,0)),AP58-VLOOKUP($D58,'Visu totale'!$D:$DH,AQ$1,0),IF(LEFT(VLOOKUP($D58,'Visu totale'!$D:$DH,AQ$1,0),1)="V",IF(AP58&gt;=INDEX('[1]Définition Maintenances'!$G:$G,MATCH($A58,'[1]Définition Maintenances'!$K:$K,0)),AP58,INDEX('[1]Définition Maintenances'!$G:$G,MATCH($A58,'[1]Définition Maintenances'!$K:$K,0))+AP58),AP58))</f>
        <v>207</v>
      </c>
      <c r="AR58" s="26">
        <f>IF(ISNUMBER(VLOOKUP($D58,'Visu totale'!$D:$DH,AR$1,0)),AQ58-VLOOKUP($D58,'Visu totale'!$D:$DH,AR$1,0),IF(LEFT(VLOOKUP($D58,'Visu totale'!$D:$DH,AR$1,0),1)="V",IF(AQ58&gt;=INDEX('[1]Définition Maintenances'!$G:$G,MATCH($A58,'[1]Définition Maintenances'!$K:$K,0)),AQ58,INDEX('[1]Définition Maintenances'!$G:$G,MATCH($A58,'[1]Définition Maintenances'!$K:$K,0))+AQ58),AQ58))</f>
        <v>207</v>
      </c>
      <c r="AS58" s="26">
        <f>IF(ISNUMBER(VLOOKUP($D58,'Visu totale'!$D:$DH,AS$1,0)),AR58-VLOOKUP($D58,'Visu totale'!$D:$DH,AS$1,0),IF(LEFT(VLOOKUP($D58,'Visu totale'!$D:$DH,AS$1,0),1)="V",IF(AR58&gt;=INDEX('[1]Définition Maintenances'!$G:$G,MATCH($A58,'[1]Définition Maintenances'!$K:$K,0)),AR58,INDEX('[1]Définition Maintenances'!$G:$G,MATCH($A58,'[1]Définition Maintenances'!$K:$K,0))+AR58),AR58))</f>
        <v>207</v>
      </c>
      <c r="AT58" s="26">
        <f>IF(ISNUMBER(VLOOKUP($D58,'Visu totale'!$D:$DH,AT$1,0)),AS58-VLOOKUP($D58,'Visu totale'!$D:$DH,AT$1,0),IF(LEFT(VLOOKUP($D58,'Visu totale'!$D:$DH,AT$1,0),1)="V",IF(AS58&gt;=INDEX('[1]Définition Maintenances'!$G:$G,MATCH($A58,'[1]Définition Maintenances'!$K:$K,0)),AS58,INDEX('[1]Définition Maintenances'!$G:$G,MATCH($A58,'[1]Définition Maintenances'!$K:$K,0))+AS58),AS58))</f>
        <v>207</v>
      </c>
      <c r="AU58" s="26">
        <f>IF(ISNUMBER(VLOOKUP($D58,'Visu totale'!$D:$DH,AU$1,0)),AT58-VLOOKUP($D58,'Visu totale'!$D:$DH,AU$1,0),IF(LEFT(VLOOKUP($D58,'Visu totale'!$D:$DH,AU$1,0),1)="V",IF(AT58&gt;=INDEX('[1]Définition Maintenances'!$G:$G,MATCH($A58,'[1]Définition Maintenances'!$K:$K,0)),AT58,INDEX('[1]Définition Maintenances'!$G:$G,MATCH($A58,'[1]Définition Maintenances'!$K:$K,0))+AT58),AT58))</f>
        <v>207</v>
      </c>
      <c r="AV58" s="26">
        <f>IF(ISNUMBER(VLOOKUP($D58,'Visu totale'!$D:$DH,AV$1,0)),AU58-VLOOKUP($D58,'Visu totale'!$D:$DH,AV$1,0),IF(LEFT(VLOOKUP($D58,'Visu totale'!$D:$DH,AV$1,0),1)="V",IF(AU58&gt;=INDEX('[1]Définition Maintenances'!$G:$G,MATCH($A58,'[1]Définition Maintenances'!$K:$K,0)),AU58,INDEX('[1]Définition Maintenances'!$G:$G,MATCH($A58,'[1]Définition Maintenances'!$K:$K,0))+AU58),AU58))</f>
        <v>207</v>
      </c>
      <c r="AW58" s="26">
        <f>IF(ISNUMBER(VLOOKUP($D58,'Visu totale'!$D:$DH,AW$1,0)),AV58-VLOOKUP($D58,'Visu totale'!$D:$DH,AW$1,0),IF(LEFT(VLOOKUP($D58,'Visu totale'!$D:$DH,AW$1,0),1)="V",IF(AV58&gt;=INDEX('[1]Définition Maintenances'!$G:$G,MATCH($A58,'[1]Définition Maintenances'!$K:$K,0)),AV58,INDEX('[1]Définition Maintenances'!$G:$G,MATCH($A58,'[1]Définition Maintenances'!$K:$K,0))+AV58),AV58))</f>
        <v>207</v>
      </c>
      <c r="AX58" s="26">
        <f>IF(ISNUMBER(VLOOKUP($D58,'Visu totale'!$D:$DH,AX$1,0)),AW58-VLOOKUP($D58,'Visu totale'!$D:$DH,AX$1,0),IF(LEFT(VLOOKUP($D58,'Visu totale'!$D:$DH,AX$1,0),1)="V",IF(AW58&gt;=INDEX('[1]Définition Maintenances'!$G:$G,MATCH($A58,'[1]Définition Maintenances'!$K:$K,0)),AW58,INDEX('[1]Définition Maintenances'!$G:$G,MATCH($A58,'[1]Définition Maintenances'!$K:$K,0))+AW58),AW58))</f>
        <v>207</v>
      </c>
      <c r="AY58" s="26">
        <f>IF(ISNUMBER(VLOOKUP($D58,'Visu totale'!$D:$DH,AY$1,0)),AX58-VLOOKUP($D58,'Visu totale'!$D:$DH,AY$1,0),IF(LEFT(VLOOKUP($D58,'Visu totale'!$D:$DH,AY$1,0),1)="V",IF(AX58&gt;=INDEX('[1]Définition Maintenances'!$G:$G,MATCH($A58,'[1]Définition Maintenances'!$K:$K,0)),AX58,INDEX('[1]Définition Maintenances'!$G:$G,MATCH($A58,'[1]Définition Maintenances'!$K:$K,0))+AX58),AX58))</f>
        <v>207</v>
      </c>
      <c r="AZ58" s="26">
        <f>IF(ISNUMBER(VLOOKUP($D58,'Visu totale'!$D:$DH,AZ$1,0)),AY58-VLOOKUP($D58,'Visu totale'!$D:$DH,AZ$1,0),IF(LEFT(VLOOKUP($D58,'Visu totale'!$D:$DH,AZ$1,0),1)="V",IF(AY58&gt;=INDEX('[1]Définition Maintenances'!$G:$G,MATCH($A58,'[1]Définition Maintenances'!$K:$K,0)),AY58,INDEX('[1]Définition Maintenances'!$G:$G,MATCH($A58,'[1]Définition Maintenances'!$K:$K,0))+AY58),AY58))</f>
        <v>207</v>
      </c>
      <c r="BA58" s="27">
        <f>IF(ISNUMBER(VLOOKUP($D58,'Visu totale'!$D:$DH,BA$1,0)),AZ58-VLOOKUP($D58,'Visu totale'!$D:$DH,BA$1,0),IF(LEFT(VLOOKUP($D58,'Visu totale'!$D:$DH,BA$1,0),1)="V",IF(AZ58&gt;=INDEX('[1]Définition Maintenances'!$G:$G,MATCH($A58,'[1]Définition Maintenances'!$K:$K,0)),AZ58,INDEX('[1]Définition Maintenances'!$G:$G,MATCH($A58,'[1]Définition Maintenances'!$K:$K,0))+AZ58),AZ58))</f>
        <v>207</v>
      </c>
      <c r="BB58" s="25">
        <f>IF(ISNUMBER(VLOOKUP($D58,'Visu totale'!$D:$DH,BB$1,0)),BA58-VLOOKUP($D58,'Visu totale'!$D:$DH,BB$1,0),IF(LEFT(VLOOKUP($D58,'Visu totale'!$D:$DH,BB$1,0),1)="V",IF(BA58&gt;=INDEX('[1]Définition Maintenances'!$G:$G,MATCH($A58,'[1]Définition Maintenances'!$K:$K,0)),BA58,INDEX('[1]Définition Maintenances'!$G:$G,MATCH($A58,'[1]Définition Maintenances'!$K:$K,0))+BA58),BA58))</f>
        <v>207</v>
      </c>
      <c r="BC58" s="26">
        <f>IF(ISNUMBER(VLOOKUP($D58,'Visu totale'!$D:$DH,BC$1,0)),BB58-VLOOKUP($D58,'Visu totale'!$D:$DH,BC$1,0),IF(LEFT(VLOOKUP($D58,'Visu totale'!$D:$DH,BC$1,0),1)="V",IF(BB58&gt;=INDEX('[1]Définition Maintenances'!$G:$G,MATCH($A58,'[1]Définition Maintenances'!$K:$K,0)),BB58,INDEX('[1]Définition Maintenances'!$G:$G,MATCH($A58,'[1]Définition Maintenances'!$K:$K,0))+BB58),BB58))</f>
        <v>207</v>
      </c>
      <c r="BD58" s="26">
        <f>IF(ISNUMBER(VLOOKUP($D58,'Visu totale'!$D:$DH,BD$1,0)),BC58-VLOOKUP($D58,'Visu totale'!$D:$DH,BD$1,0),IF(LEFT(VLOOKUP($D58,'Visu totale'!$D:$DH,BD$1,0),1)="V",IF(BC58&gt;=INDEX('[1]Définition Maintenances'!$G:$G,MATCH($A58,'[1]Définition Maintenances'!$K:$K,0)),BC58,INDEX('[1]Définition Maintenances'!$G:$G,MATCH($A58,'[1]Définition Maintenances'!$K:$K,0))+BC58),BC58))</f>
        <v>207</v>
      </c>
      <c r="BE58" s="26">
        <f>IF(ISNUMBER(VLOOKUP($D58,'Visu totale'!$D:$DH,BE$1,0)),BD58-VLOOKUP($D58,'Visu totale'!$D:$DH,BE$1,0),IF(LEFT(VLOOKUP($D58,'Visu totale'!$D:$DH,BE$1,0),1)="V",IF(BD58&gt;=INDEX('[1]Définition Maintenances'!$G:$G,MATCH($A58,'[1]Définition Maintenances'!$K:$K,0)),BD58,INDEX('[1]Définition Maintenances'!$G:$G,MATCH($A58,'[1]Définition Maintenances'!$K:$K,0))+BD58),BD58))</f>
        <v>207</v>
      </c>
      <c r="BF58" s="26">
        <f>IF(ISNUMBER(VLOOKUP($D58,'Visu totale'!$D:$DH,BF$1,0)),BE58-VLOOKUP($D58,'Visu totale'!$D:$DH,BF$1,0),IF(LEFT(VLOOKUP($D58,'Visu totale'!$D:$DH,BF$1,0),1)="V",IF(BE58&gt;=INDEX('[1]Définition Maintenances'!$G:$G,MATCH($A58,'[1]Définition Maintenances'!$K:$K,0)),BE58,INDEX('[1]Définition Maintenances'!$G:$G,MATCH($A58,'[1]Définition Maintenances'!$K:$K,0))+BE58),BE58))</f>
        <v>207</v>
      </c>
      <c r="BG58" s="26">
        <f>IF(ISNUMBER(VLOOKUP($D58,'Visu totale'!$D:$DH,BG$1,0)),BF58-VLOOKUP($D58,'Visu totale'!$D:$DH,BG$1,0),IF(LEFT(VLOOKUP($D58,'Visu totale'!$D:$DH,BG$1,0),1)="V",IF(BF58&gt;=INDEX('[1]Définition Maintenances'!$G:$G,MATCH($A58,'[1]Définition Maintenances'!$K:$K,0)),BF58,INDEX('[1]Définition Maintenances'!$G:$G,MATCH($A58,'[1]Définition Maintenances'!$K:$K,0))+BF58),BF58))</f>
        <v>207</v>
      </c>
      <c r="BH58" s="26">
        <f>IF(ISNUMBER(VLOOKUP($D58,'Visu totale'!$D:$DH,BH$1,0)),BG58-VLOOKUP($D58,'Visu totale'!$D:$DH,BH$1,0),IF(LEFT(VLOOKUP($D58,'Visu totale'!$D:$DH,BH$1,0),1)="V",IF(BG58&gt;=INDEX('[1]Définition Maintenances'!$G:$G,MATCH($A58,'[1]Définition Maintenances'!$K:$K,0)),BG58,INDEX('[1]Définition Maintenances'!$G:$G,MATCH($A58,'[1]Définition Maintenances'!$K:$K,0))+BG58),BG58))</f>
        <v>207</v>
      </c>
      <c r="BI58" s="26">
        <f>IF(ISNUMBER(VLOOKUP($D58,'Visu totale'!$D:$DH,BI$1,0)),BH58-VLOOKUP($D58,'Visu totale'!$D:$DH,BI$1,0),IF(LEFT(VLOOKUP($D58,'Visu totale'!$D:$DH,BI$1,0),1)="V",IF(BH58&gt;=INDEX('[1]Définition Maintenances'!$G:$G,MATCH($A58,'[1]Définition Maintenances'!$K:$K,0)),BH58,INDEX('[1]Définition Maintenances'!$G:$G,MATCH($A58,'[1]Définition Maintenances'!$K:$K,0))+BH58),BH58))</f>
        <v>207</v>
      </c>
      <c r="BJ58" s="26">
        <f>IF(ISNUMBER(VLOOKUP($D58,'Visu totale'!$D:$DH,BJ$1,0)),BI58-VLOOKUP($D58,'Visu totale'!$D:$DH,BJ$1,0),IF(LEFT(VLOOKUP($D58,'Visu totale'!$D:$DH,BJ$1,0),1)="V",IF(BI58&gt;=INDEX('[1]Définition Maintenances'!$G:$G,MATCH($A58,'[1]Définition Maintenances'!$K:$K,0)),BI58,INDEX('[1]Définition Maintenances'!$G:$G,MATCH($A58,'[1]Définition Maintenances'!$K:$K,0))+BI58),BI58))</f>
        <v>207</v>
      </c>
      <c r="BK58" s="26">
        <f>IF(ISNUMBER(VLOOKUP($D58,'Visu totale'!$D:$DH,BK$1,0)),BJ58-VLOOKUP($D58,'Visu totale'!$D:$DH,BK$1,0),IF(LEFT(VLOOKUP($D58,'Visu totale'!$D:$DH,BK$1,0),1)="V",IF(BJ58&gt;=INDEX('[1]Définition Maintenances'!$G:$G,MATCH($A58,'[1]Définition Maintenances'!$K:$K,0)),BJ58,INDEX('[1]Définition Maintenances'!$G:$G,MATCH($A58,'[1]Définition Maintenances'!$K:$K,0))+BJ58),BJ58))</f>
        <v>207</v>
      </c>
      <c r="BL58" s="26">
        <f>IF(ISNUMBER(VLOOKUP($D58,'Visu totale'!$D:$DH,BL$1,0)),BK58-VLOOKUP($D58,'Visu totale'!$D:$DH,BL$1,0),IF(LEFT(VLOOKUP($D58,'Visu totale'!$D:$DH,BL$1,0),1)="V",IF(BK58&gt;=INDEX('[1]Définition Maintenances'!$G:$G,MATCH($A58,'[1]Définition Maintenances'!$K:$K,0)),BK58,INDEX('[1]Définition Maintenances'!$G:$G,MATCH($A58,'[1]Définition Maintenances'!$K:$K,0))+BK58),BK58))</f>
        <v>207</v>
      </c>
      <c r="BM58" s="27">
        <f>IF(ISNUMBER(VLOOKUP($D58,'Visu totale'!$D:$DH,BM$1,0)),BL58-VLOOKUP($D58,'Visu totale'!$D:$DH,BM$1,0),IF(LEFT(VLOOKUP($D58,'Visu totale'!$D:$DH,BM$1,0),1)="V",IF(BL58&gt;=INDEX('[1]Définition Maintenances'!$G:$G,MATCH($A58,'[1]Définition Maintenances'!$K:$K,0)),BL58,INDEX('[1]Définition Maintenances'!$G:$G,MATCH($A58,'[1]Définition Maintenances'!$K:$K,0))+BL58),BL58))</f>
        <v>207</v>
      </c>
      <c r="BN58" s="25">
        <f>IF(ISNUMBER(VLOOKUP($D58,'Visu totale'!$D:$DH,BN$1,0)),BM58-VLOOKUP($D58,'Visu totale'!$D:$DH,BN$1,0),IF(LEFT(VLOOKUP($D58,'Visu totale'!$D:$DH,BN$1,0),1)="V",IF(BM58&gt;=INDEX('[1]Définition Maintenances'!$G:$G,MATCH($A58,'[1]Définition Maintenances'!$K:$K,0)),BM58,INDEX('[1]Définition Maintenances'!$G:$G,MATCH($A58,'[1]Définition Maintenances'!$K:$K,0))+BM58),BM58))</f>
        <v>207</v>
      </c>
      <c r="BO58" s="26">
        <f>IF(ISNUMBER(VLOOKUP($D58,'Visu totale'!$D:$DH,BO$1,0)),BN58-VLOOKUP($D58,'Visu totale'!$D:$DH,BO$1,0),IF(LEFT(VLOOKUP($D58,'Visu totale'!$D:$DH,BO$1,0),1)="V",IF(BN58&gt;=INDEX('[1]Définition Maintenances'!$G:$G,MATCH($A58,'[1]Définition Maintenances'!$K:$K,0)),BN58,INDEX('[1]Définition Maintenances'!$G:$G,MATCH($A58,'[1]Définition Maintenances'!$K:$K,0))+BN58),BN58))</f>
        <v>207</v>
      </c>
      <c r="BP58" s="26">
        <f>IF(ISNUMBER(VLOOKUP($D58,'Visu totale'!$D:$DH,BP$1,0)),BO58-VLOOKUP($D58,'Visu totale'!$D:$DH,BP$1,0),IF(LEFT(VLOOKUP($D58,'Visu totale'!$D:$DH,BP$1,0),1)="V",IF(BO58&gt;=INDEX('[1]Définition Maintenances'!$G:$G,MATCH($A58,'[1]Définition Maintenances'!$K:$K,0)),BO58,INDEX('[1]Définition Maintenances'!$G:$G,MATCH($A58,'[1]Définition Maintenances'!$K:$K,0))+BO58),BO58))</f>
        <v>207</v>
      </c>
      <c r="BQ58" s="26">
        <f>IF(ISNUMBER(VLOOKUP($D58,'Visu totale'!$D:$DH,BQ$1,0)),BP58-VLOOKUP($D58,'Visu totale'!$D:$DH,BQ$1,0),IF(LEFT(VLOOKUP($D58,'Visu totale'!$D:$DH,BQ$1,0),1)="V",IF(BP58&gt;=INDEX('[1]Définition Maintenances'!$G:$G,MATCH($A58,'[1]Définition Maintenances'!$K:$K,0)),BP58,INDEX('[1]Définition Maintenances'!$G:$G,MATCH($A58,'[1]Définition Maintenances'!$K:$K,0))+BP58),BP58))</f>
        <v>207</v>
      </c>
      <c r="BR58" s="26">
        <f>IF(ISNUMBER(VLOOKUP($D58,'Visu totale'!$D:$DH,BR$1,0)),BQ58-VLOOKUP($D58,'Visu totale'!$D:$DH,BR$1,0),IF(LEFT(VLOOKUP($D58,'Visu totale'!$D:$DH,BR$1,0),1)="V",IF(BQ58&gt;=INDEX('[1]Définition Maintenances'!$G:$G,MATCH($A58,'[1]Définition Maintenances'!$K:$K,0)),BQ58,INDEX('[1]Définition Maintenances'!$G:$G,MATCH($A58,'[1]Définition Maintenances'!$K:$K,0))+BQ58),BQ58))</f>
        <v>207</v>
      </c>
      <c r="BS58" s="26">
        <f>IF(ISNUMBER(VLOOKUP($D58,'Visu totale'!$D:$DH,BS$1,0)),BR58-VLOOKUP($D58,'Visu totale'!$D:$DH,BS$1,0),IF(LEFT(VLOOKUP($D58,'Visu totale'!$D:$DH,BS$1,0),1)="V",IF(BR58&gt;=INDEX('[1]Définition Maintenances'!$G:$G,MATCH($A58,'[1]Définition Maintenances'!$K:$K,0)),BR58,INDEX('[1]Définition Maintenances'!$G:$G,MATCH($A58,'[1]Définition Maintenances'!$K:$K,0))+BR58),BR58))</f>
        <v>207</v>
      </c>
      <c r="BT58" s="26">
        <f>IF(ISNUMBER(VLOOKUP($D58,'Visu totale'!$D:$DH,BT$1,0)),BS58-VLOOKUP($D58,'Visu totale'!$D:$DH,BT$1,0),IF(LEFT(VLOOKUP($D58,'Visu totale'!$D:$DH,BT$1,0),1)="V",IF(BS58&gt;=INDEX('[1]Définition Maintenances'!$G:$G,MATCH($A58,'[1]Définition Maintenances'!$K:$K,0)),BS58,INDEX('[1]Définition Maintenances'!$G:$G,MATCH($A58,'[1]Définition Maintenances'!$K:$K,0))+BS58),BS58))</f>
        <v>207</v>
      </c>
      <c r="BU58" s="26">
        <f>IF(ISNUMBER(VLOOKUP($D58,'Visu totale'!$D:$DH,BU$1,0)),BT58-VLOOKUP($D58,'Visu totale'!$D:$DH,BU$1,0),IF(LEFT(VLOOKUP($D58,'Visu totale'!$D:$DH,BU$1,0),1)="V",IF(BT58&gt;=INDEX('[1]Définition Maintenances'!$G:$G,MATCH($A58,'[1]Définition Maintenances'!$K:$K,0)),BT58,INDEX('[1]Définition Maintenances'!$G:$G,MATCH($A58,'[1]Définition Maintenances'!$K:$K,0))+BT58),BT58))</f>
        <v>207</v>
      </c>
      <c r="BV58" s="26">
        <f>IF(ISNUMBER(VLOOKUP($D58,'Visu totale'!$D:$DH,BV$1,0)),BU58-VLOOKUP($D58,'Visu totale'!$D:$DH,BV$1,0),IF(LEFT(VLOOKUP($D58,'Visu totale'!$D:$DH,BV$1,0),1)="V",IF(BU58&gt;=INDEX('[1]Définition Maintenances'!$G:$G,MATCH($A58,'[1]Définition Maintenances'!$K:$K,0)),BU58,INDEX('[1]Définition Maintenances'!$G:$G,MATCH($A58,'[1]Définition Maintenances'!$K:$K,0))+BU58),BU58))</f>
        <v>207</v>
      </c>
      <c r="BW58" s="26">
        <f>IF(ISNUMBER(VLOOKUP($D58,'Visu totale'!$D:$DH,BW$1,0)),BV58-VLOOKUP($D58,'Visu totale'!$D:$DH,BW$1,0),IF(LEFT(VLOOKUP($D58,'Visu totale'!$D:$DH,BW$1,0),1)="V",IF(BV58&gt;=INDEX('[1]Définition Maintenances'!$G:$G,MATCH($A58,'[1]Définition Maintenances'!$K:$K,0)),BV58,INDEX('[1]Définition Maintenances'!$G:$G,MATCH($A58,'[1]Définition Maintenances'!$K:$K,0))+BV58),BV58))</f>
        <v>207</v>
      </c>
      <c r="BX58" s="26">
        <f>IF(ISNUMBER(VLOOKUP($D58,'Visu totale'!$D:$DH,BX$1,0)),BW58-VLOOKUP($D58,'Visu totale'!$D:$DH,BX$1,0),IF(LEFT(VLOOKUP($D58,'Visu totale'!$D:$DH,BX$1,0),1)="V",IF(BW58&gt;=INDEX('[1]Définition Maintenances'!$G:$G,MATCH($A58,'[1]Définition Maintenances'!$K:$K,0)),BW58,INDEX('[1]Définition Maintenances'!$G:$G,MATCH($A58,'[1]Définition Maintenances'!$K:$K,0))+BW58),BW58))</f>
        <v>207</v>
      </c>
      <c r="BY58" s="27">
        <f>IF(ISNUMBER(VLOOKUP($D58,'Visu totale'!$D:$DH,BY$1,0)),BX58-VLOOKUP($D58,'Visu totale'!$D:$DH,BY$1,0),IF(LEFT(VLOOKUP($D58,'Visu totale'!$D:$DH,BY$1,0),1)="V",IF(BX58&gt;=INDEX('[1]Définition Maintenances'!$G:$G,MATCH($A58,'[1]Définition Maintenances'!$K:$K,0)),BX58,INDEX('[1]Définition Maintenances'!$G:$G,MATCH($A58,'[1]Définition Maintenances'!$K:$K,0))+BX58),BX58))</f>
        <v>207</v>
      </c>
      <c r="BZ58" s="25">
        <f>IF(ISNUMBER(VLOOKUP($D58,'Visu totale'!$D:$DH,BZ$1,0)),BY58-VLOOKUP($D58,'Visu totale'!$D:$DH,BZ$1,0),IF(LEFT(VLOOKUP($D58,'Visu totale'!$D:$DH,BZ$1,0),1)="V",IF(BY58&gt;=INDEX('[1]Définition Maintenances'!$G:$G,MATCH($A58,'[1]Définition Maintenances'!$K:$K,0)),BY58,INDEX('[1]Définition Maintenances'!$G:$G,MATCH($A58,'[1]Définition Maintenances'!$K:$K,0))+BY58),BY58))</f>
        <v>207</v>
      </c>
      <c r="CA58" s="26">
        <f>IF(ISNUMBER(VLOOKUP($D58,'Visu totale'!$D:$DH,CA$1,0)),BZ58-VLOOKUP($D58,'Visu totale'!$D:$DH,CA$1,0),IF(LEFT(VLOOKUP($D58,'Visu totale'!$D:$DH,CA$1,0),1)="V",IF(BZ58&gt;=INDEX('[1]Définition Maintenances'!$G:$G,MATCH($A58,'[1]Définition Maintenances'!$K:$K,0)),BZ58,INDEX('[1]Définition Maintenances'!$G:$G,MATCH($A58,'[1]Définition Maintenances'!$K:$K,0))+BZ58),BZ58))</f>
        <v>207</v>
      </c>
      <c r="CB58" s="26">
        <f>IF(ISNUMBER(VLOOKUP($D58,'Visu totale'!$D:$DH,CB$1,0)),CA58-VLOOKUP($D58,'Visu totale'!$D:$DH,CB$1,0),IF(LEFT(VLOOKUP($D58,'Visu totale'!$D:$DH,CB$1,0),1)="V",IF(CA58&gt;=INDEX('[1]Définition Maintenances'!$G:$G,MATCH($A58,'[1]Définition Maintenances'!$K:$K,0)),CA58,INDEX('[1]Définition Maintenances'!$G:$G,MATCH($A58,'[1]Définition Maintenances'!$K:$K,0))+CA58),CA58))</f>
        <v>207</v>
      </c>
      <c r="CC58" s="26">
        <f>IF(ISNUMBER(VLOOKUP($D58,'Visu totale'!$D:$DH,CC$1,0)),CB58-VLOOKUP($D58,'Visu totale'!$D:$DH,CC$1,0),IF(LEFT(VLOOKUP($D58,'Visu totale'!$D:$DH,CC$1,0),1)="V",IF(CB58&gt;=INDEX('[1]Définition Maintenances'!$G:$G,MATCH($A58,'[1]Définition Maintenances'!$K:$K,0)),CB58,INDEX('[1]Définition Maintenances'!$G:$G,MATCH($A58,'[1]Définition Maintenances'!$K:$K,0))+CB58),CB58))</f>
        <v>207</v>
      </c>
      <c r="CD58" s="26">
        <f>IF(ISNUMBER(VLOOKUP($D58,'Visu totale'!$D:$DH,CD$1,0)),CC58-VLOOKUP($D58,'Visu totale'!$D:$DH,CD$1,0),IF(LEFT(VLOOKUP($D58,'Visu totale'!$D:$DH,CD$1,0),1)="V",IF(CC58&gt;=INDEX('[1]Définition Maintenances'!$G:$G,MATCH($A58,'[1]Définition Maintenances'!$K:$K,0)),CC58,INDEX('[1]Définition Maintenances'!$G:$G,MATCH($A58,'[1]Définition Maintenances'!$K:$K,0))+CC58),CC58))</f>
        <v>207</v>
      </c>
      <c r="CE58" s="26">
        <f>IF(ISNUMBER(VLOOKUP($D58,'Visu totale'!$D:$DH,CE$1,0)),CD58-VLOOKUP($D58,'Visu totale'!$D:$DH,CE$1,0),IF(LEFT(VLOOKUP($D58,'Visu totale'!$D:$DH,CE$1,0),1)="V",IF(CD58&gt;=INDEX('[1]Définition Maintenances'!$G:$G,MATCH($A58,'[1]Définition Maintenances'!$K:$K,0)),CD58,INDEX('[1]Définition Maintenances'!$G:$G,MATCH($A58,'[1]Définition Maintenances'!$K:$K,0))+CD58),CD58))</f>
        <v>207</v>
      </c>
      <c r="CF58" s="26">
        <f>IF(ISNUMBER(VLOOKUP($D58,'Visu totale'!$D:$DH,CF$1,0)),CE58-VLOOKUP($D58,'Visu totale'!$D:$DH,CF$1,0),IF(LEFT(VLOOKUP($D58,'Visu totale'!$D:$DH,CF$1,0),1)="V",IF(CE58&gt;=INDEX('[1]Définition Maintenances'!$G:$G,MATCH($A58,'[1]Définition Maintenances'!$K:$K,0)),CE58,INDEX('[1]Définition Maintenances'!$G:$G,MATCH($A58,'[1]Définition Maintenances'!$K:$K,0))+CE58),CE58))</f>
        <v>207</v>
      </c>
      <c r="CG58" s="26">
        <f>IF(ISNUMBER(VLOOKUP($D58,'Visu totale'!$D:$DH,CG$1,0)),CF58-VLOOKUP($D58,'Visu totale'!$D:$DH,CG$1,0),IF(LEFT(VLOOKUP($D58,'Visu totale'!$D:$DH,CG$1,0),1)="V",IF(CF58&gt;=INDEX('[1]Définition Maintenances'!$G:$G,MATCH($A58,'[1]Définition Maintenances'!$K:$K,0)),CF58,INDEX('[1]Définition Maintenances'!$G:$G,MATCH($A58,'[1]Définition Maintenances'!$K:$K,0))+CF58),CF58))</f>
        <v>207</v>
      </c>
      <c r="CH58" s="26">
        <f>IF(ISNUMBER(VLOOKUP($D58,'Visu totale'!$D:$DH,CH$1,0)),CG58-VLOOKUP($D58,'Visu totale'!$D:$DH,CH$1,0),IF(LEFT(VLOOKUP($D58,'Visu totale'!$D:$DH,CH$1,0),1)="V",IF(CG58&gt;=INDEX('[1]Définition Maintenances'!$G:$G,MATCH($A58,'[1]Définition Maintenances'!$K:$K,0)),CG58,INDEX('[1]Définition Maintenances'!$G:$G,MATCH($A58,'[1]Définition Maintenances'!$K:$K,0))+CG58),CG58))</f>
        <v>207</v>
      </c>
      <c r="CI58" s="26">
        <f>IF(ISNUMBER(VLOOKUP($D58,'Visu totale'!$D:$DH,CI$1,0)),CH58-VLOOKUP($D58,'Visu totale'!$D:$DH,CI$1,0),IF(LEFT(VLOOKUP($D58,'Visu totale'!$D:$DH,CI$1,0),1)="V",IF(CH58&gt;=INDEX('[1]Définition Maintenances'!$G:$G,MATCH($A58,'[1]Définition Maintenances'!$K:$K,0)),CH58,INDEX('[1]Définition Maintenances'!$G:$G,MATCH($A58,'[1]Définition Maintenances'!$K:$K,0))+CH58),CH58))</f>
        <v>207</v>
      </c>
      <c r="CJ58" s="26">
        <f>IF(ISNUMBER(VLOOKUP($D58,'Visu totale'!$D:$DH,CJ$1,0)),CI58-VLOOKUP($D58,'Visu totale'!$D:$DH,CJ$1,0),IF(LEFT(VLOOKUP($D58,'Visu totale'!$D:$DH,CJ$1,0),1)="V",IF(CI58&gt;=INDEX('[1]Définition Maintenances'!$G:$G,MATCH($A58,'[1]Définition Maintenances'!$K:$K,0)),CI58,INDEX('[1]Définition Maintenances'!$G:$G,MATCH($A58,'[1]Définition Maintenances'!$K:$K,0))+CI58),CI58))</f>
        <v>207</v>
      </c>
      <c r="CK58" s="27">
        <f>IF(ISNUMBER(VLOOKUP($D58,'Visu totale'!$D:$DH,CK$1,0)),CJ58-VLOOKUP($D58,'Visu totale'!$D:$DH,CK$1,0),IF(LEFT(VLOOKUP($D58,'Visu totale'!$D:$DH,CK$1,0),1)="V",IF(CJ58&gt;=INDEX('[1]Définition Maintenances'!$G:$G,MATCH($A58,'[1]Définition Maintenances'!$K:$K,0)),CJ58,INDEX('[1]Définition Maintenances'!$G:$G,MATCH($A58,'[1]Définition Maintenances'!$K:$K,0))+CJ58),CJ58))</f>
        <v>207</v>
      </c>
      <c r="CL58" s="25">
        <f>IF(ISNUMBER(VLOOKUP($D58,'Visu totale'!$D:$DH,CL$1,0)),CK58-VLOOKUP($D58,'Visu totale'!$D:$DH,CL$1,0),IF(LEFT(VLOOKUP($D58,'Visu totale'!$D:$DH,CL$1,0),1)="V",IF(CK58&gt;=INDEX('[1]Définition Maintenances'!$G:$G,MATCH($A58,'[1]Définition Maintenances'!$K:$K,0)),CK58,INDEX('[1]Définition Maintenances'!$G:$G,MATCH($A58,'[1]Définition Maintenances'!$K:$K,0))+CK58),CK58))</f>
        <v>207</v>
      </c>
      <c r="CM58" s="26">
        <f>IF(ISNUMBER(VLOOKUP($D58,'Visu totale'!$D:$DH,CM$1,0)),CL58-VLOOKUP($D58,'Visu totale'!$D:$DH,CM$1,0),IF(LEFT(VLOOKUP($D58,'Visu totale'!$D:$DH,CM$1,0),1)="V",IF(CL58&gt;=INDEX('[1]Définition Maintenances'!$G:$G,MATCH($A58,'[1]Définition Maintenances'!$K:$K,0)),CL58,INDEX('[1]Définition Maintenances'!$G:$G,MATCH($A58,'[1]Définition Maintenances'!$K:$K,0))+CL58),CL58))</f>
        <v>207</v>
      </c>
      <c r="CN58" s="26">
        <f>IF(ISNUMBER(VLOOKUP($D58,'Visu totale'!$D:$DH,CN$1,0)),CM58-VLOOKUP($D58,'Visu totale'!$D:$DH,CN$1,0),IF(LEFT(VLOOKUP($D58,'Visu totale'!$D:$DH,CN$1,0),1)="V",IF(CM58&gt;=INDEX('[1]Définition Maintenances'!$G:$G,MATCH($A58,'[1]Définition Maintenances'!$K:$K,0)),CM58,INDEX('[1]Définition Maintenances'!$G:$G,MATCH($A58,'[1]Définition Maintenances'!$K:$K,0))+CM58),CM58))</f>
        <v>207</v>
      </c>
      <c r="CO58" s="26">
        <f>IF(ISNUMBER(VLOOKUP($D58,'Visu totale'!$D:$DH,CO$1,0)),CN58-VLOOKUP($D58,'Visu totale'!$D:$DH,CO$1,0),IF(LEFT(VLOOKUP($D58,'Visu totale'!$D:$DH,CO$1,0),1)="V",IF(CN58&gt;=INDEX('[1]Définition Maintenances'!$G:$G,MATCH($A58,'[1]Définition Maintenances'!$K:$K,0)),CN58,INDEX('[1]Définition Maintenances'!$G:$G,MATCH($A58,'[1]Définition Maintenances'!$K:$K,0))+CN58),CN58))</f>
        <v>207</v>
      </c>
      <c r="CP58" s="26">
        <f>IF(ISNUMBER(VLOOKUP($D58,'Visu totale'!$D:$DH,CP$1,0)),CO58-VLOOKUP($D58,'Visu totale'!$D:$DH,CP$1,0),IF(LEFT(VLOOKUP($D58,'Visu totale'!$D:$DH,CP$1,0),1)="V",IF(CO58&gt;=INDEX('[1]Définition Maintenances'!$G:$G,MATCH($A58,'[1]Définition Maintenances'!$K:$K,0)),CO58,INDEX('[1]Définition Maintenances'!$G:$G,MATCH($A58,'[1]Définition Maintenances'!$K:$K,0))+CO58),CO58))</f>
        <v>207</v>
      </c>
      <c r="CQ58" s="26">
        <f>IF(ISNUMBER(VLOOKUP($D58,'Visu totale'!$D:$DH,CQ$1,0)),CP58-VLOOKUP($D58,'Visu totale'!$D:$DH,CQ$1,0),IF(LEFT(VLOOKUP($D58,'Visu totale'!$D:$DH,CQ$1,0),1)="V",IF(CP58&gt;=INDEX('[1]Définition Maintenances'!$G:$G,MATCH($A58,'[1]Définition Maintenances'!$K:$K,0)),CP58,INDEX('[1]Définition Maintenances'!$G:$G,MATCH($A58,'[1]Définition Maintenances'!$K:$K,0))+CP58),CP58))</f>
        <v>207</v>
      </c>
      <c r="CR58" s="26">
        <f>IF(ISNUMBER(VLOOKUP($D58,'Visu totale'!$D:$DH,CR$1,0)),CQ58-VLOOKUP($D58,'Visu totale'!$D:$DH,CR$1,0),IF(LEFT(VLOOKUP($D58,'Visu totale'!$D:$DH,CR$1,0),1)="V",IF(CQ58&gt;=INDEX('[1]Définition Maintenances'!$G:$G,MATCH($A58,'[1]Définition Maintenances'!$K:$K,0)),CQ58,INDEX('[1]Définition Maintenances'!$G:$G,MATCH($A58,'[1]Définition Maintenances'!$K:$K,0))+CQ58),CQ58))</f>
        <v>207</v>
      </c>
      <c r="CS58" s="26">
        <f>IF(ISNUMBER(VLOOKUP($D58,'Visu totale'!$D:$DH,CS$1,0)),CR58-VLOOKUP($D58,'Visu totale'!$D:$DH,CS$1,0),IF(LEFT(VLOOKUP($D58,'Visu totale'!$D:$DH,CS$1,0),1)="V",IF(CR58&gt;=INDEX('[1]Définition Maintenances'!$G:$G,MATCH($A58,'[1]Définition Maintenances'!$K:$K,0)),CR58,INDEX('[1]Définition Maintenances'!$G:$G,MATCH($A58,'[1]Définition Maintenances'!$K:$K,0))+CR58),CR58))</f>
        <v>207</v>
      </c>
      <c r="CT58" s="26">
        <f>IF(ISNUMBER(VLOOKUP($D58,'Visu totale'!$D:$DH,CT$1,0)),CS58-VLOOKUP($D58,'Visu totale'!$D:$DH,CT$1,0),IF(LEFT(VLOOKUP($D58,'Visu totale'!$D:$DH,CT$1,0),1)="V",IF(CS58&gt;=INDEX('[1]Définition Maintenances'!$G:$G,MATCH($A58,'[1]Définition Maintenances'!$K:$K,0)),CS58,INDEX('[1]Définition Maintenances'!$G:$G,MATCH($A58,'[1]Définition Maintenances'!$K:$K,0))+CS58),CS58))</f>
        <v>207</v>
      </c>
      <c r="CU58" s="26">
        <f>IF(ISNUMBER(VLOOKUP($D58,'Visu totale'!$D:$DH,CU$1,0)),CT58-VLOOKUP($D58,'Visu totale'!$D:$DH,CU$1,0),IF(LEFT(VLOOKUP($D58,'Visu totale'!$D:$DH,CU$1,0),1)="V",IF(CT58&gt;=INDEX('[1]Définition Maintenances'!$G:$G,MATCH($A58,'[1]Définition Maintenances'!$K:$K,0)),CT58,INDEX('[1]Définition Maintenances'!$G:$G,MATCH($A58,'[1]Définition Maintenances'!$K:$K,0))+CT58),CT58))</f>
        <v>207</v>
      </c>
      <c r="CV58" s="26">
        <f>IF(ISNUMBER(VLOOKUP($D58,'Visu totale'!$D:$DH,CV$1,0)),CU58-VLOOKUP($D58,'Visu totale'!$D:$DH,CV$1,0),IF(LEFT(VLOOKUP($D58,'Visu totale'!$D:$DH,CV$1,0),1)="V",IF(CU58&gt;=INDEX('[1]Définition Maintenances'!$G:$G,MATCH($A58,'[1]Définition Maintenances'!$K:$K,0)),CU58,INDEX('[1]Définition Maintenances'!$G:$G,MATCH($A58,'[1]Définition Maintenances'!$K:$K,0))+CU58),CU58))</f>
        <v>207</v>
      </c>
      <c r="CW58" s="27">
        <f>IF(ISNUMBER(VLOOKUP($D58,'Visu totale'!$D:$DH,CW$1,0)),CV58-VLOOKUP($D58,'Visu totale'!$D:$DH,CW$1,0),IF(LEFT(VLOOKUP($D58,'Visu totale'!$D:$DH,CW$1,0),1)="V",IF(CV58&gt;=INDEX('[1]Définition Maintenances'!$G:$G,MATCH($A58,'[1]Définition Maintenances'!$K:$K,0)),CV58,INDEX('[1]Définition Maintenances'!$G:$G,MATCH($A58,'[1]Définition Maintenances'!$K:$K,0))+CV58),CV58))</f>
        <v>207</v>
      </c>
      <c r="CX58" s="25">
        <f>IF(ISNUMBER(VLOOKUP($D58,'Visu totale'!$D:$DH,CX$1,0)),CW58-VLOOKUP($D58,'Visu totale'!$D:$DH,CX$1,0),IF(LEFT(VLOOKUP($D58,'Visu totale'!$D:$DH,CX$1,0),1)="V",IF(CW58&gt;=INDEX('[1]Définition Maintenances'!$G:$G,MATCH($A58,'[1]Définition Maintenances'!$K:$K,0)),CW58,INDEX('[1]Définition Maintenances'!$G:$G,MATCH($A58,'[1]Définition Maintenances'!$K:$K,0))+CW58),CW58))</f>
        <v>207</v>
      </c>
      <c r="CY58" s="26">
        <f>IF(ISNUMBER(VLOOKUP($D58,'Visu totale'!$D:$DH,CY$1,0)),CX58-VLOOKUP($D58,'Visu totale'!$D:$DH,CY$1,0),IF(LEFT(VLOOKUP($D58,'Visu totale'!$D:$DH,CY$1,0),1)="V",IF(CX58&gt;=INDEX('[1]Définition Maintenances'!$G:$G,MATCH($A58,'[1]Définition Maintenances'!$K:$K,0)),CX58,INDEX('[1]Définition Maintenances'!$G:$G,MATCH($A58,'[1]Définition Maintenances'!$K:$K,0))+CX58),CX58))</f>
        <v>207</v>
      </c>
      <c r="CZ58" s="26">
        <f>IF(ISNUMBER(VLOOKUP($D58,'Visu totale'!$D:$DH,CZ$1,0)),CY58-VLOOKUP($D58,'Visu totale'!$D:$DH,CZ$1,0),IF(LEFT(VLOOKUP($D58,'Visu totale'!$D:$DH,CZ$1,0),1)="V",IF(CY58&gt;=INDEX('[1]Définition Maintenances'!$G:$G,MATCH($A58,'[1]Définition Maintenances'!$K:$K,0)),CY58,INDEX('[1]Définition Maintenances'!$G:$G,MATCH($A58,'[1]Définition Maintenances'!$K:$K,0))+CY58),CY58))</f>
        <v>207</v>
      </c>
      <c r="DA58" s="26">
        <f>IF(ISNUMBER(VLOOKUP($D58,'Visu totale'!$D:$DH,DA$1,0)),CZ58-VLOOKUP($D58,'Visu totale'!$D:$DH,DA$1,0),IF(LEFT(VLOOKUP($D58,'Visu totale'!$D:$DH,DA$1,0),1)="V",IF(CZ58&gt;=INDEX('[1]Définition Maintenances'!$G:$G,MATCH($A58,'[1]Définition Maintenances'!$K:$K,0)),CZ58,INDEX('[1]Définition Maintenances'!$G:$G,MATCH($A58,'[1]Définition Maintenances'!$K:$K,0))+CZ58),CZ58))</f>
        <v>207</v>
      </c>
      <c r="DB58" s="26">
        <f>IF(ISNUMBER(VLOOKUP($D58,'Visu totale'!$D:$DH,DB$1,0)),DA58-VLOOKUP($D58,'Visu totale'!$D:$DH,DB$1,0),IF(LEFT(VLOOKUP($D58,'Visu totale'!$D:$DH,DB$1,0),1)="V",IF(DA58&gt;=INDEX('[1]Définition Maintenances'!$G:$G,MATCH($A58,'[1]Définition Maintenances'!$K:$K,0)),DA58,INDEX('[1]Définition Maintenances'!$G:$G,MATCH($A58,'[1]Définition Maintenances'!$K:$K,0))+DA58),DA58))</f>
        <v>207</v>
      </c>
      <c r="DC58" s="26">
        <f>IF(ISNUMBER(VLOOKUP($D58,'Visu totale'!$D:$DH,DC$1,0)),DB58-VLOOKUP($D58,'Visu totale'!$D:$DH,DC$1,0),IF(LEFT(VLOOKUP($D58,'Visu totale'!$D:$DH,DC$1,0),1)="V",IF(DB58&gt;=INDEX('[1]Définition Maintenances'!$G:$G,MATCH($A58,'[1]Définition Maintenances'!$K:$K,0)),DB58,INDEX('[1]Définition Maintenances'!$G:$G,MATCH($A58,'[1]Définition Maintenances'!$K:$K,0))+DB58),DB58))</f>
        <v>207</v>
      </c>
      <c r="DD58" s="26">
        <f>IF(ISNUMBER(VLOOKUP($D58,'Visu totale'!$D:$DH,DD$1,0)),DC58-VLOOKUP($D58,'Visu totale'!$D:$DH,DD$1,0),IF(LEFT(VLOOKUP($D58,'Visu totale'!$D:$DH,DD$1,0),1)="V",IF(DC58&gt;=INDEX('[1]Définition Maintenances'!$G:$G,MATCH($A58,'[1]Définition Maintenances'!$K:$K,0)),DC58,INDEX('[1]Définition Maintenances'!$G:$G,MATCH($A58,'[1]Définition Maintenances'!$K:$K,0))+DC58),DC58))</f>
        <v>207</v>
      </c>
      <c r="DE58" s="26">
        <f>IF(ISNUMBER(VLOOKUP($D58,'Visu totale'!$D:$DH,DE$1,0)),DD58-VLOOKUP($D58,'Visu totale'!$D:$DH,DE$1,0),IF(LEFT(VLOOKUP($D58,'Visu totale'!$D:$DH,DE$1,0),1)="V",IF(DD58&gt;=INDEX('[1]Définition Maintenances'!$G:$G,MATCH($A58,'[1]Définition Maintenances'!$K:$K,0)),DD58,INDEX('[1]Définition Maintenances'!$G:$G,MATCH($A58,'[1]Définition Maintenances'!$K:$K,0))+DD58),DD58))</f>
        <v>207</v>
      </c>
      <c r="DF58" s="26">
        <f>IF(ISNUMBER(VLOOKUP($D58,'Visu totale'!$D:$DH,DF$1,0)),DE58-VLOOKUP($D58,'Visu totale'!$D:$DH,DF$1,0),IF(LEFT(VLOOKUP($D58,'Visu totale'!$D:$DH,DF$1,0),1)="V",IF(DE58&gt;=INDEX('[1]Définition Maintenances'!$G:$G,MATCH($A58,'[1]Définition Maintenances'!$K:$K,0)),DE58,INDEX('[1]Définition Maintenances'!$G:$G,MATCH($A58,'[1]Définition Maintenances'!$K:$K,0))+DE58),DE58))</f>
        <v>207</v>
      </c>
      <c r="DG58" s="26">
        <f>IF(ISNUMBER(VLOOKUP($D58,'Visu totale'!$D:$DH,DG$1,0)),DF58-VLOOKUP($D58,'Visu totale'!$D:$DH,DG$1,0),IF(LEFT(VLOOKUP($D58,'Visu totale'!$D:$DH,DG$1,0),1)="V",IF(DF58&gt;=INDEX('[1]Définition Maintenances'!$G:$G,MATCH($A58,'[1]Définition Maintenances'!$K:$K,0)),DF58,INDEX('[1]Définition Maintenances'!$G:$G,MATCH($A58,'[1]Définition Maintenances'!$K:$K,0))+DF58),DF58))</f>
        <v>207</v>
      </c>
      <c r="DH58" s="26">
        <f>IF(ISNUMBER(VLOOKUP($D58,'Visu totale'!$D:$DH,DH$1,0)),DG58-VLOOKUP($D58,'Visu totale'!$D:$DH,DH$1,0),IF(LEFT(VLOOKUP($D58,'Visu totale'!$D:$DH,DH$1,0),1)="V",IF(DG58&gt;=INDEX('[1]Définition Maintenances'!$G:$G,MATCH($A58,'[1]Définition Maintenances'!$K:$K,0)),DG58,INDEX('[1]Définition Maintenances'!$G:$G,MATCH($A58,'[1]Définition Maintenances'!$K:$K,0))+DG58),DG58))</f>
        <v>207</v>
      </c>
      <c r="DI58" s="27">
        <f>IF(ISNUMBER(VLOOKUP($D58,'Visu totale'!$D:$DH,DI$1,0)),DH58-VLOOKUP($D58,'Visu totale'!$D:$DH,DI$1,0),IF(LEFT(VLOOKUP($D58,'Visu totale'!$D:$DH,DI$1,0),1)="V",IF(DH58&gt;=INDEX('[1]Définition Maintenances'!$G:$G,MATCH($A58,'[1]Définition Maintenances'!$K:$K,0)),DH58,INDEX('[1]Définition Maintenances'!$G:$G,MATCH($A58,'[1]Définition Maintenances'!$K:$K,0))+DH58),DH58))</f>
        <v>207</v>
      </c>
    </row>
    <row r="59" spans="1:113" x14ac:dyDescent="0.25">
      <c r="A59" s="13" t="str">
        <f t="shared" si="1"/>
        <v>V15D</v>
      </c>
      <c r="B59" s="13" t="str">
        <f>VLOOKUP(D59,'[1]Avions (Potentiels)'!$B$2:$H$128,7,FALSE)</f>
        <v>V15</v>
      </c>
      <c r="C59" s="13"/>
      <c r="D59" s="16" t="s">
        <v>62</v>
      </c>
      <c r="E59" s="13">
        <f>IFERROR(VALUE(SUBSTITUTE(VLOOKUP(D59,'[1]Avions (Potentiels)'!$B:$E,4,0),".",",")),VALUE(VLOOKUP(D59,'[1]Avions (Potentiels)'!$B:$E,4,0)))</f>
        <v>1200</v>
      </c>
      <c r="F59" s="25">
        <f>IF(ISNUMBER(VLOOKUP($D59,'Visu totale'!$D:$DH,F$1,0)),E59-VLOOKUP($D59,'Visu totale'!$D:$DH,F$1,0),IF(LEFT(VLOOKUP($D59,'Visu totale'!$D:$DH,F$1,0),1)="V",IF(E59&gt;=INDEX('[1]Définition Maintenances'!$G:$G,MATCH($A59,'[1]Définition Maintenances'!$K:$K,0)),E59,INDEX('[1]Définition Maintenances'!$G:$G,MATCH($A59,'[1]Définition Maintenances'!$K:$K,0))+E59),E59))</f>
        <v>1200</v>
      </c>
      <c r="G59" s="26">
        <f>IF(ISNUMBER(VLOOKUP($D59,'Visu totale'!$D:$DH,G$1,0)),F59-VLOOKUP($D59,'Visu totale'!$D:$DH,G$1,0),IF(LEFT(VLOOKUP($D59,'Visu totale'!$D:$DH,G$1,0),1)="V",IF(F59&gt;=INDEX('[1]Définition Maintenances'!$G:$G,MATCH($A59,'[1]Définition Maintenances'!$K:$K,0)),F59,INDEX('[1]Définition Maintenances'!$G:$G,MATCH($A59,'[1]Définition Maintenances'!$K:$K,0))+F59),F59))</f>
        <v>1200</v>
      </c>
      <c r="H59" s="26">
        <f>IF(ISNUMBER(VLOOKUP($D59,'Visu totale'!$D:$DH,H$1,0)),G59-VLOOKUP($D59,'Visu totale'!$D:$DH,H$1,0),IF(LEFT(VLOOKUP($D59,'Visu totale'!$D:$DH,H$1,0),1)="V",IF(G59&gt;=INDEX('[1]Définition Maintenances'!$G:$G,MATCH($A59,'[1]Définition Maintenances'!$K:$K,0)),G59,INDEX('[1]Définition Maintenances'!$G:$G,MATCH($A59,'[1]Définition Maintenances'!$K:$K,0))+G59),G59))</f>
        <v>1200</v>
      </c>
      <c r="I59" s="26">
        <f>IF(ISNUMBER(VLOOKUP($D59,'Visu totale'!$D:$DH,I$1,0)),H59-VLOOKUP($D59,'Visu totale'!$D:$DH,I$1,0),IF(LEFT(VLOOKUP($D59,'Visu totale'!$D:$DH,I$1,0),1)="V",IF(H59&gt;=INDEX('[1]Définition Maintenances'!$G:$G,MATCH($A59,'[1]Définition Maintenances'!$K:$K,0)),H59,INDEX('[1]Définition Maintenances'!$G:$G,MATCH($A59,'[1]Définition Maintenances'!$K:$K,0))+H59),H59))</f>
        <v>1200</v>
      </c>
      <c r="J59" s="26">
        <f>IF(ISNUMBER(VLOOKUP($D59,'Visu totale'!$D:$DH,J$1,0)),I59-VLOOKUP($D59,'Visu totale'!$D:$DH,J$1,0),IF(LEFT(VLOOKUP($D59,'Visu totale'!$D:$DH,J$1,0),1)="V",IF(I59&gt;=INDEX('[1]Définition Maintenances'!$G:$G,MATCH($A59,'[1]Définition Maintenances'!$K:$K,0)),I59,INDEX('[1]Définition Maintenances'!$G:$G,MATCH($A59,'[1]Définition Maintenances'!$K:$K,0))+I59),I59))</f>
        <v>1200</v>
      </c>
      <c r="K59" s="26">
        <f>IF(ISNUMBER(VLOOKUP($D59,'Visu totale'!$D:$DH,K$1,0)),J59-VLOOKUP($D59,'Visu totale'!$D:$DH,K$1,0),IF(LEFT(VLOOKUP($D59,'Visu totale'!$D:$DH,K$1,0),1)="V",IF(J59&gt;=INDEX('[1]Définition Maintenances'!$G:$G,MATCH($A59,'[1]Définition Maintenances'!$K:$K,0)),J59,INDEX('[1]Définition Maintenances'!$G:$G,MATCH($A59,'[1]Définition Maintenances'!$K:$K,0))+J59),J59))</f>
        <v>1200</v>
      </c>
      <c r="L59" s="26">
        <f>IF(ISNUMBER(VLOOKUP($D59,'Visu totale'!$D:$DH,L$1,0)),K59-VLOOKUP($D59,'Visu totale'!$D:$DH,L$1,0),IF(LEFT(VLOOKUP($D59,'Visu totale'!$D:$DH,L$1,0),1)="V",IF(K59&gt;=INDEX('[1]Définition Maintenances'!$G:$G,MATCH($A59,'[1]Définition Maintenances'!$K:$K,0)),K59,INDEX('[1]Définition Maintenances'!$G:$G,MATCH($A59,'[1]Définition Maintenances'!$K:$K,0))+K59),K59))</f>
        <v>1200</v>
      </c>
      <c r="M59" s="26">
        <f>IF(ISNUMBER(VLOOKUP($D59,'Visu totale'!$D:$DH,M$1,0)),L59-VLOOKUP($D59,'Visu totale'!$D:$DH,M$1,0),IF(LEFT(VLOOKUP($D59,'Visu totale'!$D:$DH,M$1,0),1)="V",IF(L59&gt;=INDEX('[1]Définition Maintenances'!$G:$G,MATCH($A59,'[1]Définition Maintenances'!$K:$K,0)),L59,INDEX('[1]Définition Maintenances'!$G:$G,MATCH($A59,'[1]Définition Maintenances'!$K:$K,0))+L59),L59))</f>
        <v>1200</v>
      </c>
      <c r="N59" s="26">
        <f>IF(ISNUMBER(VLOOKUP($D59,'Visu totale'!$D:$DH,N$1,0)),M59-VLOOKUP($D59,'Visu totale'!$D:$DH,N$1,0),IF(LEFT(VLOOKUP($D59,'Visu totale'!$D:$DH,N$1,0),1)="V",IF(M59&gt;=INDEX('[1]Définition Maintenances'!$G:$G,MATCH($A59,'[1]Définition Maintenances'!$K:$K,0)),M59,INDEX('[1]Définition Maintenances'!$G:$G,MATCH($A59,'[1]Définition Maintenances'!$K:$K,0))+M59),M59))</f>
        <v>1200</v>
      </c>
      <c r="O59" s="26">
        <f>IF(ISNUMBER(VLOOKUP($D59,'Visu totale'!$D:$DH,O$1,0)),N59-VLOOKUP($D59,'Visu totale'!$D:$DH,O$1,0),IF(LEFT(VLOOKUP($D59,'Visu totale'!$D:$DH,O$1,0),1)="V",IF(N59&gt;=INDEX('[1]Définition Maintenances'!$G:$G,MATCH($A59,'[1]Définition Maintenances'!$K:$K,0)),N59,INDEX('[1]Définition Maintenances'!$G:$G,MATCH($A59,'[1]Définition Maintenances'!$K:$K,0))+N59),N59))</f>
        <v>1200</v>
      </c>
      <c r="P59" s="26">
        <f>IF(ISNUMBER(VLOOKUP($D59,'Visu totale'!$D:$DH,P$1,0)),O59-VLOOKUP($D59,'Visu totale'!$D:$DH,P$1,0),IF(LEFT(VLOOKUP($D59,'Visu totale'!$D:$DH,P$1,0),1)="V",IF(O59&gt;=INDEX('[1]Définition Maintenances'!$G:$G,MATCH($A59,'[1]Définition Maintenances'!$K:$K,0)),O59,INDEX('[1]Définition Maintenances'!$G:$G,MATCH($A59,'[1]Définition Maintenances'!$K:$K,0))+O59),O59))</f>
        <v>1200</v>
      </c>
      <c r="Q59" s="27">
        <f>IF(ISNUMBER(VLOOKUP($D59,'Visu totale'!$D:$DH,Q$1,0)),P59-VLOOKUP($D59,'Visu totale'!$D:$DH,Q$1,0),IF(LEFT(VLOOKUP($D59,'Visu totale'!$D:$DH,Q$1,0),1)="V",IF(P59&gt;=INDEX('[1]Définition Maintenances'!$G:$G,MATCH($A59,'[1]Définition Maintenances'!$K:$K,0)),P59,INDEX('[1]Définition Maintenances'!$G:$G,MATCH($A59,'[1]Définition Maintenances'!$K:$K,0))+P59),P59))</f>
        <v>1200</v>
      </c>
      <c r="R59" s="25">
        <f>IF(ISNUMBER(VLOOKUP($D59,'Visu totale'!$D:$DH,R$1,0)),Q59-VLOOKUP($D59,'Visu totale'!$D:$DH,R$1,0),IF(LEFT(VLOOKUP($D59,'Visu totale'!$D:$DH,R$1,0),1)="V",IF(Q59&gt;=INDEX('[1]Définition Maintenances'!$G:$G,MATCH($A59,'[1]Définition Maintenances'!$K:$K,0)),Q59,INDEX('[1]Définition Maintenances'!$G:$G,MATCH($A59,'[1]Définition Maintenances'!$K:$K,0))+Q59),Q59))</f>
        <v>1200</v>
      </c>
      <c r="S59" s="26">
        <f>IF(ISNUMBER(VLOOKUP($D59,'Visu totale'!$D:$DH,S$1,0)),R59-VLOOKUP($D59,'Visu totale'!$D:$DH,S$1,0),IF(LEFT(VLOOKUP($D59,'Visu totale'!$D:$DH,S$1,0),1)="V",IF(R59&gt;=INDEX('[1]Définition Maintenances'!$G:$G,MATCH($A59,'[1]Définition Maintenances'!$K:$K,0)),R59,INDEX('[1]Définition Maintenances'!$G:$G,MATCH($A59,'[1]Définition Maintenances'!$K:$K,0))+R59),R59))</f>
        <v>1200</v>
      </c>
      <c r="T59" s="26">
        <f>IF(ISNUMBER(VLOOKUP($D59,'Visu totale'!$D:$DH,T$1,0)),S59-VLOOKUP($D59,'Visu totale'!$D:$DH,T$1,0),IF(LEFT(VLOOKUP($D59,'Visu totale'!$D:$DH,T$1,0),1)="V",IF(S59&gt;=INDEX('[1]Définition Maintenances'!$G:$G,MATCH($A59,'[1]Définition Maintenances'!$K:$K,0)),S59,INDEX('[1]Définition Maintenances'!$G:$G,MATCH($A59,'[1]Définition Maintenances'!$K:$K,0))+S59),S59))</f>
        <v>1200</v>
      </c>
      <c r="U59" s="26">
        <f>IF(ISNUMBER(VLOOKUP($D59,'Visu totale'!$D:$DH,U$1,0)),T59-VLOOKUP($D59,'Visu totale'!$D:$DH,U$1,0),IF(LEFT(VLOOKUP($D59,'Visu totale'!$D:$DH,U$1,0),1)="V",IF(T59&gt;=INDEX('[1]Définition Maintenances'!$G:$G,MATCH($A59,'[1]Définition Maintenances'!$K:$K,0)),T59,INDEX('[1]Définition Maintenances'!$G:$G,MATCH($A59,'[1]Définition Maintenances'!$K:$K,0))+T59),T59))</f>
        <v>1200</v>
      </c>
      <c r="V59" s="26">
        <f>IF(ISNUMBER(VLOOKUP($D59,'Visu totale'!$D:$DH,V$1,0)),U59-VLOOKUP($D59,'Visu totale'!$D:$DH,V$1,0),IF(LEFT(VLOOKUP($D59,'Visu totale'!$D:$DH,V$1,0),1)="V",IF(U59&gt;=INDEX('[1]Définition Maintenances'!$G:$G,MATCH($A59,'[1]Définition Maintenances'!$K:$K,0)),U59,INDEX('[1]Définition Maintenances'!$G:$G,MATCH($A59,'[1]Définition Maintenances'!$K:$K,0))+U59),U59))</f>
        <v>1200</v>
      </c>
      <c r="W59" s="26">
        <f>IF(ISNUMBER(VLOOKUP($D59,'Visu totale'!$D:$DH,W$1,0)),V59-VLOOKUP($D59,'Visu totale'!$D:$DH,W$1,0),IF(LEFT(VLOOKUP($D59,'Visu totale'!$D:$DH,W$1,0),1)="V",IF(V59&gt;=INDEX('[1]Définition Maintenances'!$G:$G,MATCH($A59,'[1]Définition Maintenances'!$K:$K,0)),V59,INDEX('[1]Définition Maintenances'!$G:$G,MATCH($A59,'[1]Définition Maintenances'!$K:$K,0))+V59),V59))</f>
        <v>1200</v>
      </c>
      <c r="X59" s="26">
        <f>IF(ISNUMBER(VLOOKUP($D59,'Visu totale'!$D:$DH,X$1,0)),W59-VLOOKUP($D59,'Visu totale'!$D:$DH,X$1,0),IF(LEFT(VLOOKUP($D59,'Visu totale'!$D:$DH,X$1,0),1)="V",IF(W59&gt;=INDEX('[1]Définition Maintenances'!$G:$G,MATCH($A59,'[1]Définition Maintenances'!$K:$K,0)),W59,INDEX('[1]Définition Maintenances'!$G:$G,MATCH($A59,'[1]Définition Maintenances'!$K:$K,0))+W59),W59))</f>
        <v>1200</v>
      </c>
      <c r="Y59" s="26">
        <f>IF(ISNUMBER(VLOOKUP($D59,'Visu totale'!$D:$DH,Y$1,0)),X59-VLOOKUP($D59,'Visu totale'!$D:$DH,Y$1,0),IF(LEFT(VLOOKUP($D59,'Visu totale'!$D:$DH,Y$1,0),1)="V",IF(X59&gt;=INDEX('[1]Définition Maintenances'!$G:$G,MATCH($A59,'[1]Définition Maintenances'!$K:$K,0)),X59,INDEX('[1]Définition Maintenances'!$G:$G,MATCH($A59,'[1]Définition Maintenances'!$K:$K,0))+X59),X59))</f>
        <v>1200</v>
      </c>
      <c r="Z59" s="26">
        <f>IF(ISNUMBER(VLOOKUP($D59,'Visu totale'!$D:$DH,Z$1,0)),Y59-VLOOKUP($D59,'Visu totale'!$D:$DH,Z$1,0),IF(LEFT(VLOOKUP($D59,'Visu totale'!$D:$DH,Z$1,0),1)="V",IF(Y59&gt;=INDEX('[1]Définition Maintenances'!$G:$G,MATCH($A59,'[1]Définition Maintenances'!$K:$K,0)),Y59,INDEX('[1]Définition Maintenances'!$G:$G,MATCH($A59,'[1]Définition Maintenances'!$K:$K,0))+Y59),Y59))</f>
        <v>1200</v>
      </c>
      <c r="AA59" s="26">
        <f>IF(ISNUMBER(VLOOKUP($D59,'Visu totale'!$D:$DH,AA$1,0)),Z59-VLOOKUP($D59,'Visu totale'!$D:$DH,AA$1,0),IF(LEFT(VLOOKUP($D59,'Visu totale'!$D:$DH,AA$1,0),1)="V",IF(Z59&gt;=INDEX('[1]Définition Maintenances'!$G:$G,MATCH($A59,'[1]Définition Maintenances'!$K:$K,0)),Z59,INDEX('[1]Définition Maintenances'!$G:$G,MATCH($A59,'[1]Définition Maintenances'!$K:$K,0))+Z59),Z59))</f>
        <v>1200</v>
      </c>
      <c r="AB59" s="26">
        <f>IF(ISNUMBER(VLOOKUP($D59,'Visu totale'!$D:$DH,AB$1,0)),AA59-VLOOKUP($D59,'Visu totale'!$D:$DH,AB$1,0),IF(LEFT(VLOOKUP($D59,'Visu totale'!$D:$DH,AB$1,0),1)="V",IF(AA59&gt;=INDEX('[1]Définition Maintenances'!$G:$G,MATCH($A59,'[1]Définition Maintenances'!$K:$K,0)),AA59,INDEX('[1]Définition Maintenances'!$G:$G,MATCH($A59,'[1]Définition Maintenances'!$K:$K,0))+AA59),AA59))</f>
        <v>1200</v>
      </c>
      <c r="AC59" s="27">
        <f>IF(ISNUMBER(VLOOKUP($D59,'Visu totale'!$D:$DH,AC$1,0)),AB59-VLOOKUP($D59,'Visu totale'!$D:$DH,AC$1,0),IF(LEFT(VLOOKUP($D59,'Visu totale'!$D:$DH,AC$1,0),1)="V",IF(AB59&gt;=INDEX('[1]Définition Maintenances'!$G:$G,MATCH($A59,'[1]Définition Maintenances'!$K:$K,0)),AB59,INDEX('[1]Définition Maintenances'!$G:$G,MATCH($A59,'[1]Définition Maintenances'!$K:$K,0))+AB59),AB59))</f>
        <v>1200</v>
      </c>
      <c r="AD59" s="25">
        <f>IF(ISNUMBER(VLOOKUP($D59,'Visu totale'!$D:$DH,AD$1,0)),AC59-VLOOKUP($D59,'Visu totale'!$D:$DH,AD$1,0),IF(LEFT(VLOOKUP($D59,'Visu totale'!$D:$DH,AD$1,0),1)="V",IF(AC59&gt;=INDEX('[1]Définition Maintenances'!$G:$G,MATCH($A59,'[1]Définition Maintenances'!$K:$K,0)),AC59,INDEX('[1]Définition Maintenances'!$G:$G,MATCH($A59,'[1]Définition Maintenances'!$K:$K,0))+AC59),AC59))</f>
        <v>1200</v>
      </c>
      <c r="AE59" s="26">
        <f>IF(ISNUMBER(VLOOKUP($D59,'Visu totale'!$D:$DH,AE$1,0)),AD59-VLOOKUP($D59,'Visu totale'!$D:$DH,AE$1,0),IF(LEFT(VLOOKUP($D59,'Visu totale'!$D:$DH,AE$1,0),1)="V",IF(AD59&gt;=INDEX('[1]Définition Maintenances'!$G:$G,MATCH($A59,'[1]Définition Maintenances'!$K:$K,0)),AD59,INDEX('[1]Définition Maintenances'!$G:$G,MATCH($A59,'[1]Définition Maintenances'!$K:$K,0))+AD59),AD59))</f>
        <v>1200</v>
      </c>
      <c r="AF59" s="26">
        <f>IF(ISNUMBER(VLOOKUP($D59,'Visu totale'!$D:$DH,AF$1,0)),AE59-VLOOKUP($D59,'Visu totale'!$D:$DH,AF$1,0),IF(LEFT(VLOOKUP($D59,'Visu totale'!$D:$DH,AF$1,0),1)="V",IF(AE59&gt;=INDEX('[1]Définition Maintenances'!$G:$G,MATCH($A59,'[1]Définition Maintenances'!$K:$K,0)),AE59,INDEX('[1]Définition Maintenances'!$G:$G,MATCH($A59,'[1]Définition Maintenances'!$K:$K,0))+AE59),AE59))</f>
        <v>1200</v>
      </c>
      <c r="AG59" s="26">
        <f>IF(ISNUMBER(VLOOKUP($D59,'Visu totale'!$D:$DH,AG$1,0)),AF59-VLOOKUP($D59,'Visu totale'!$D:$DH,AG$1,0),IF(LEFT(VLOOKUP($D59,'Visu totale'!$D:$DH,AG$1,0),1)="V",IF(AF59&gt;=INDEX('[1]Définition Maintenances'!$G:$G,MATCH($A59,'[1]Définition Maintenances'!$K:$K,0)),AF59,INDEX('[1]Définition Maintenances'!$G:$G,MATCH($A59,'[1]Définition Maintenances'!$K:$K,0))+AF59),AF59))</f>
        <v>1200</v>
      </c>
      <c r="AH59" s="26">
        <f>IF(ISNUMBER(VLOOKUP($D59,'Visu totale'!$D:$DH,AH$1,0)),AG59-VLOOKUP($D59,'Visu totale'!$D:$DH,AH$1,0),IF(LEFT(VLOOKUP($D59,'Visu totale'!$D:$DH,AH$1,0),1)="V",IF(AG59&gt;=INDEX('[1]Définition Maintenances'!$G:$G,MATCH($A59,'[1]Définition Maintenances'!$K:$K,0)),AG59,INDEX('[1]Définition Maintenances'!$G:$G,MATCH($A59,'[1]Définition Maintenances'!$K:$K,0))+AG59),AG59))</f>
        <v>1200</v>
      </c>
      <c r="AI59" s="26">
        <f>IF(ISNUMBER(VLOOKUP($D59,'Visu totale'!$D:$DH,AI$1,0)),AH59-VLOOKUP($D59,'Visu totale'!$D:$DH,AI$1,0),IF(LEFT(VLOOKUP($D59,'Visu totale'!$D:$DH,AI$1,0),1)="V",IF(AH59&gt;=INDEX('[1]Définition Maintenances'!$G:$G,MATCH($A59,'[1]Définition Maintenances'!$K:$K,0)),AH59,INDEX('[1]Définition Maintenances'!$G:$G,MATCH($A59,'[1]Définition Maintenances'!$K:$K,0))+AH59),AH59))</f>
        <v>1200</v>
      </c>
      <c r="AJ59" s="26">
        <f>IF(ISNUMBER(VLOOKUP($D59,'Visu totale'!$D:$DH,AJ$1,0)),AI59-VLOOKUP($D59,'Visu totale'!$D:$DH,AJ$1,0),IF(LEFT(VLOOKUP($D59,'Visu totale'!$D:$DH,AJ$1,0),1)="V",IF(AI59&gt;=INDEX('[1]Définition Maintenances'!$G:$G,MATCH($A59,'[1]Définition Maintenances'!$K:$K,0)),AI59,INDEX('[1]Définition Maintenances'!$G:$G,MATCH($A59,'[1]Définition Maintenances'!$K:$K,0))+AI59),AI59))</f>
        <v>1200</v>
      </c>
      <c r="AK59" s="26">
        <f>IF(ISNUMBER(VLOOKUP($D59,'Visu totale'!$D:$DH,AK$1,0)),AJ59-VLOOKUP($D59,'Visu totale'!$D:$DH,AK$1,0),IF(LEFT(VLOOKUP($D59,'Visu totale'!$D:$DH,AK$1,0),1)="V",IF(AJ59&gt;=INDEX('[1]Définition Maintenances'!$G:$G,MATCH($A59,'[1]Définition Maintenances'!$K:$K,0)),AJ59,INDEX('[1]Définition Maintenances'!$G:$G,MATCH($A59,'[1]Définition Maintenances'!$K:$K,0))+AJ59),AJ59))</f>
        <v>1200</v>
      </c>
      <c r="AL59" s="26">
        <f>IF(ISNUMBER(VLOOKUP($D59,'Visu totale'!$D:$DH,AL$1,0)),AK59-VLOOKUP($D59,'Visu totale'!$D:$DH,AL$1,0),IF(LEFT(VLOOKUP($D59,'Visu totale'!$D:$DH,AL$1,0),1)="V",IF(AK59&gt;=INDEX('[1]Définition Maintenances'!$G:$G,MATCH($A59,'[1]Définition Maintenances'!$K:$K,0)),AK59,INDEX('[1]Définition Maintenances'!$G:$G,MATCH($A59,'[1]Définition Maintenances'!$K:$K,0))+AK59),AK59))</f>
        <v>1200</v>
      </c>
      <c r="AM59" s="26">
        <f>IF(ISNUMBER(VLOOKUP($D59,'Visu totale'!$D:$DH,AM$1,0)),AL59-VLOOKUP($D59,'Visu totale'!$D:$DH,AM$1,0),IF(LEFT(VLOOKUP($D59,'Visu totale'!$D:$DH,AM$1,0),1)="V",IF(AL59&gt;=INDEX('[1]Définition Maintenances'!$G:$G,MATCH($A59,'[1]Définition Maintenances'!$K:$K,0)),AL59,INDEX('[1]Définition Maintenances'!$G:$G,MATCH($A59,'[1]Définition Maintenances'!$K:$K,0))+AL59),AL59))</f>
        <v>1200</v>
      </c>
      <c r="AN59" s="26">
        <f>IF(ISNUMBER(VLOOKUP($D59,'Visu totale'!$D:$DH,AN$1,0)),AM59-VLOOKUP($D59,'Visu totale'!$D:$DH,AN$1,0),IF(LEFT(VLOOKUP($D59,'Visu totale'!$D:$DH,AN$1,0),1)="V",IF(AM59&gt;=INDEX('[1]Définition Maintenances'!$G:$G,MATCH($A59,'[1]Définition Maintenances'!$K:$K,0)),AM59,INDEX('[1]Définition Maintenances'!$G:$G,MATCH($A59,'[1]Définition Maintenances'!$K:$K,0))+AM59),AM59))</f>
        <v>1200</v>
      </c>
      <c r="AO59" s="27">
        <f>IF(ISNUMBER(VLOOKUP($D59,'Visu totale'!$D:$DH,AO$1,0)),AN59-VLOOKUP($D59,'Visu totale'!$D:$DH,AO$1,0),IF(LEFT(VLOOKUP($D59,'Visu totale'!$D:$DH,AO$1,0),1)="V",IF(AN59&gt;=INDEX('[1]Définition Maintenances'!$G:$G,MATCH($A59,'[1]Définition Maintenances'!$K:$K,0)),AN59,INDEX('[1]Définition Maintenances'!$G:$G,MATCH($A59,'[1]Définition Maintenances'!$K:$K,0))+AN59),AN59))</f>
        <v>1200</v>
      </c>
      <c r="AP59" s="25">
        <f>IF(ISNUMBER(VLOOKUP($D59,'Visu totale'!$D:$DH,AP$1,0)),AO59-VLOOKUP($D59,'Visu totale'!$D:$DH,AP$1,0),IF(LEFT(VLOOKUP($D59,'Visu totale'!$D:$DH,AP$1,0),1)="V",IF(AO59&gt;=INDEX('[1]Définition Maintenances'!$G:$G,MATCH($A59,'[1]Définition Maintenances'!$K:$K,0)),AO59,INDEX('[1]Définition Maintenances'!$G:$G,MATCH($A59,'[1]Définition Maintenances'!$K:$K,0))+AO59),AO59))</f>
        <v>1200</v>
      </c>
      <c r="AQ59" s="26">
        <f>IF(ISNUMBER(VLOOKUP($D59,'Visu totale'!$D:$DH,AQ$1,0)),AP59-VLOOKUP($D59,'Visu totale'!$D:$DH,AQ$1,0),IF(LEFT(VLOOKUP($D59,'Visu totale'!$D:$DH,AQ$1,0),1)="V",IF(AP59&gt;=INDEX('[1]Définition Maintenances'!$G:$G,MATCH($A59,'[1]Définition Maintenances'!$K:$K,0)),AP59,INDEX('[1]Définition Maintenances'!$G:$G,MATCH($A59,'[1]Définition Maintenances'!$K:$K,0))+AP59),AP59))</f>
        <v>1200</v>
      </c>
      <c r="AR59" s="26">
        <f>IF(ISNUMBER(VLOOKUP($D59,'Visu totale'!$D:$DH,AR$1,0)),AQ59-VLOOKUP($D59,'Visu totale'!$D:$DH,AR$1,0),IF(LEFT(VLOOKUP($D59,'Visu totale'!$D:$DH,AR$1,0),1)="V",IF(AQ59&gt;=INDEX('[1]Définition Maintenances'!$G:$G,MATCH($A59,'[1]Définition Maintenances'!$K:$K,0)),AQ59,INDEX('[1]Définition Maintenances'!$G:$G,MATCH($A59,'[1]Définition Maintenances'!$K:$K,0))+AQ59),AQ59))</f>
        <v>1200</v>
      </c>
      <c r="AS59" s="26">
        <f>IF(ISNUMBER(VLOOKUP($D59,'Visu totale'!$D:$DH,AS$1,0)),AR59-VLOOKUP($D59,'Visu totale'!$D:$DH,AS$1,0),IF(LEFT(VLOOKUP($D59,'Visu totale'!$D:$DH,AS$1,0),1)="V",IF(AR59&gt;=INDEX('[1]Définition Maintenances'!$G:$G,MATCH($A59,'[1]Définition Maintenances'!$K:$K,0)),AR59,INDEX('[1]Définition Maintenances'!$G:$G,MATCH($A59,'[1]Définition Maintenances'!$K:$K,0))+AR59),AR59))</f>
        <v>1200</v>
      </c>
      <c r="AT59" s="26">
        <f>IF(ISNUMBER(VLOOKUP($D59,'Visu totale'!$D:$DH,AT$1,0)),AS59-VLOOKUP($D59,'Visu totale'!$D:$DH,AT$1,0),IF(LEFT(VLOOKUP($D59,'Visu totale'!$D:$DH,AT$1,0),1)="V",IF(AS59&gt;=INDEX('[1]Définition Maintenances'!$G:$G,MATCH($A59,'[1]Définition Maintenances'!$K:$K,0)),AS59,INDEX('[1]Définition Maintenances'!$G:$G,MATCH($A59,'[1]Définition Maintenances'!$K:$K,0))+AS59),AS59))</f>
        <v>1200</v>
      </c>
      <c r="AU59" s="26">
        <f>IF(ISNUMBER(VLOOKUP($D59,'Visu totale'!$D:$DH,AU$1,0)),AT59-VLOOKUP($D59,'Visu totale'!$D:$DH,AU$1,0),IF(LEFT(VLOOKUP($D59,'Visu totale'!$D:$DH,AU$1,0),1)="V",IF(AT59&gt;=INDEX('[1]Définition Maintenances'!$G:$G,MATCH($A59,'[1]Définition Maintenances'!$K:$K,0)),AT59,INDEX('[1]Définition Maintenances'!$G:$G,MATCH($A59,'[1]Définition Maintenances'!$K:$K,0))+AT59),AT59))</f>
        <v>1200</v>
      </c>
      <c r="AV59" s="26">
        <f>IF(ISNUMBER(VLOOKUP($D59,'Visu totale'!$D:$DH,AV$1,0)),AU59-VLOOKUP($D59,'Visu totale'!$D:$DH,AV$1,0),IF(LEFT(VLOOKUP($D59,'Visu totale'!$D:$DH,AV$1,0),1)="V",IF(AU59&gt;=INDEX('[1]Définition Maintenances'!$G:$G,MATCH($A59,'[1]Définition Maintenances'!$K:$K,0)),AU59,INDEX('[1]Définition Maintenances'!$G:$G,MATCH($A59,'[1]Définition Maintenances'!$K:$K,0))+AU59),AU59))</f>
        <v>1200</v>
      </c>
      <c r="AW59" s="26">
        <f>IF(ISNUMBER(VLOOKUP($D59,'Visu totale'!$D:$DH,AW$1,0)),AV59-VLOOKUP($D59,'Visu totale'!$D:$DH,AW$1,0),IF(LEFT(VLOOKUP($D59,'Visu totale'!$D:$DH,AW$1,0),1)="V",IF(AV59&gt;=INDEX('[1]Définition Maintenances'!$G:$G,MATCH($A59,'[1]Définition Maintenances'!$K:$K,0)),AV59,INDEX('[1]Définition Maintenances'!$G:$G,MATCH($A59,'[1]Définition Maintenances'!$K:$K,0))+AV59),AV59))</f>
        <v>1200</v>
      </c>
      <c r="AX59" s="26">
        <f>IF(ISNUMBER(VLOOKUP($D59,'Visu totale'!$D:$DH,AX$1,0)),AW59-VLOOKUP($D59,'Visu totale'!$D:$DH,AX$1,0),IF(LEFT(VLOOKUP($D59,'Visu totale'!$D:$DH,AX$1,0),1)="V",IF(AW59&gt;=INDEX('[1]Définition Maintenances'!$G:$G,MATCH($A59,'[1]Définition Maintenances'!$K:$K,0)),AW59,INDEX('[1]Définition Maintenances'!$G:$G,MATCH($A59,'[1]Définition Maintenances'!$K:$K,0))+AW59),AW59))</f>
        <v>1200</v>
      </c>
      <c r="AY59" s="26">
        <f>IF(ISNUMBER(VLOOKUP($D59,'Visu totale'!$D:$DH,AY$1,0)),AX59-VLOOKUP($D59,'Visu totale'!$D:$DH,AY$1,0),IF(LEFT(VLOOKUP($D59,'Visu totale'!$D:$DH,AY$1,0),1)="V",IF(AX59&gt;=INDEX('[1]Définition Maintenances'!$G:$G,MATCH($A59,'[1]Définition Maintenances'!$K:$K,0)),AX59,INDEX('[1]Définition Maintenances'!$G:$G,MATCH($A59,'[1]Définition Maintenances'!$K:$K,0))+AX59),AX59))</f>
        <v>1200</v>
      </c>
      <c r="AZ59" s="26">
        <f>IF(ISNUMBER(VLOOKUP($D59,'Visu totale'!$D:$DH,AZ$1,0)),AY59-VLOOKUP($D59,'Visu totale'!$D:$DH,AZ$1,0),IF(LEFT(VLOOKUP($D59,'Visu totale'!$D:$DH,AZ$1,0),1)="V",IF(AY59&gt;=INDEX('[1]Définition Maintenances'!$G:$G,MATCH($A59,'[1]Définition Maintenances'!$K:$K,0)),AY59,INDEX('[1]Définition Maintenances'!$G:$G,MATCH($A59,'[1]Définition Maintenances'!$K:$K,0))+AY59),AY59))</f>
        <v>1200</v>
      </c>
      <c r="BA59" s="27">
        <f>IF(ISNUMBER(VLOOKUP($D59,'Visu totale'!$D:$DH,BA$1,0)),AZ59-VLOOKUP($D59,'Visu totale'!$D:$DH,BA$1,0),IF(LEFT(VLOOKUP($D59,'Visu totale'!$D:$DH,BA$1,0),1)="V",IF(AZ59&gt;=INDEX('[1]Définition Maintenances'!$G:$G,MATCH($A59,'[1]Définition Maintenances'!$K:$K,0)),AZ59,INDEX('[1]Définition Maintenances'!$G:$G,MATCH($A59,'[1]Définition Maintenances'!$K:$K,0))+AZ59),AZ59))</f>
        <v>1200</v>
      </c>
      <c r="BB59" s="25">
        <f>IF(ISNUMBER(VLOOKUP($D59,'Visu totale'!$D:$DH,BB$1,0)),BA59-VLOOKUP($D59,'Visu totale'!$D:$DH,BB$1,0),IF(LEFT(VLOOKUP($D59,'Visu totale'!$D:$DH,BB$1,0),1)="V",IF(BA59&gt;=INDEX('[1]Définition Maintenances'!$G:$G,MATCH($A59,'[1]Définition Maintenances'!$K:$K,0)),BA59,INDEX('[1]Définition Maintenances'!$G:$G,MATCH($A59,'[1]Définition Maintenances'!$K:$K,0))+BA59),BA59))</f>
        <v>1200</v>
      </c>
      <c r="BC59" s="26">
        <f>IF(ISNUMBER(VLOOKUP($D59,'Visu totale'!$D:$DH,BC$1,0)),BB59-VLOOKUP($D59,'Visu totale'!$D:$DH,BC$1,0),IF(LEFT(VLOOKUP($D59,'Visu totale'!$D:$DH,BC$1,0),1)="V",IF(BB59&gt;=INDEX('[1]Définition Maintenances'!$G:$G,MATCH($A59,'[1]Définition Maintenances'!$K:$K,0)),BB59,INDEX('[1]Définition Maintenances'!$G:$G,MATCH($A59,'[1]Définition Maintenances'!$K:$K,0))+BB59),BB59))</f>
        <v>1200</v>
      </c>
      <c r="BD59" s="26">
        <f>IF(ISNUMBER(VLOOKUP($D59,'Visu totale'!$D:$DH,BD$1,0)),BC59-VLOOKUP($D59,'Visu totale'!$D:$DH,BD$1,0),IF(LEFT(VLOOKUP($D59,'Visu totale'!$D:$DH,BD$1,0),1)="V",IF(BC59&gt;=INDEX('[1]Définition Maintenances'!$G:$G,MATCH($A59,'[1]Définition Maintenances'!$K:$K,0)),BC59,INDEX('[1]Définition Maintenances'!$G:$G,MATCH($A59,'[1]Définition Maintenances'!$K:$K,0))+BC59),BC59))</f>
        <v>1200</v>
      </c>
      <c r="BE59" s="26">
        <f>IF(ISNUMBER(VLOOKUP($D59,'Visu totale'!$D:$DH,BE$1,0)),BD59-VLOOKUP($D59,'Visu totale'!$D:$DH,BE$1,0),IF(LEFT(VLOOKUP($D59,'Visu totale'!$D:$DH,BE$1,0),1)="V",IF(BD59&gt;=INDEX('[1]Définition Maintenances'!$G:$G,MATCH($A59,'[1]Définition Maintenances'!$K:$K,0)),BD59,INDEX('[1]Définition Maintenances'!$G:$G,MATCH($A59,'[1]Définition Maintenances'!$K:$K,0))+BD59),BD59))</f>
        <v>1200</v>
      </c>
      <c r="BF59" s="26">
        <f>IF(ISNUMBER(VLOOKUP($D59,'Visu totale'!$D:$DH,BF$1,0)),BE59-VLOOKUP($D59,'Visu totale'!$D:$DH,BF$1,0),IF(LEFT(VLOOKUP($D59,'Visu totale'!$D:$DH,BF$1,0),1)="V",IF(BE59&gt;=INDEX('[1]Définition Maintenances'!$G:$G,MATCH($A59,'[1]Définition Maintenances'!$K:$K,0)),BE59,INDEX('[1]Définition Maintenances'!$G:$G,MATCH($A59,'[1]Définition Maintenances'!$K:$K,0))+BE59),BE59))</f>
        <v>1200</v>
      </c>
      <c r="BG59" s="26">
        <f>IF(ISNUMBER(VLOOKUP($D59,'Visu totale'!$D:$DH,BG$1,0)),BF59-VLOOKUP($D59,'Visu totale'!$D:$DH,BG$1,0),IF(LEFT(VLOOKUP($D59,'Visu totale'!$D:$DH,BG$1,0),1)="V",IF(BF59&gt;=INDEX('[1]Définition Maintenances'!$G:$G,MATCH($A59,'[1]Définition Maintenances'!$K:$K,0)),BF59,INDEX('[1]Définition Maintenances'!$G:$G,MATCH($A59,'[1]Définition Maintenances'!$K:$K,0))+BF59),BF59))</f>
        <v>1200</v>
      </c>
      <c r="BH59" s="26">
        <f>IF(ISNUMBER(VLOOKUP($D59,'Visu totale'!$D:$DH,BH$1,0)),BG59-VLOOKUP($D59,'Visu totale'!$D:$DH,BH$1,0),IF(LEFT(VLOOKUP($D59,'Visu totale'!$D:$DH,BH$1,0),1)="V",IF(BG59&gt;=INDEX('[1]Définition Maintenances'!$G:$G,MATCH($A59,'[1]Définition Maintenances'!$K:$K,0)),BG59,INDEX('[1]Définition Maintenances'!$G:$G,MATCH($A59,'[1]Définition Maintenances'!$K:$K,0))+BG59),BG59))</f>
        <v>1200</v>
      </c>
      <c r="BI59" s="26">
        <f>IF(ISNUMBER(VLOOKUP($D59,'Visu totale'!$D:$DH,BI$1,0)),BH59-VLOOKUP($D59,'Visu totale'!$D:$DH,BI$1,0),IF(LEFT(VLOOKUP($D59,'Visu totale'!$D:$DH,BI$1,0),1)="V",IF(BH59&gt;=INDEX('[1]Définition Maintenances'!$G:$G,MATCH($A59,'[1]Définition Maintenances'!$K:$K,0)),BH59,INDEX('[1]Définition Maintenances'!$G:$G,MATCH($A59,'[1]Définition Maintenances'!$K:$K,0))+BH59),BH59))</f>
        <v>1200</v>
      </c>
      <c r="BJ59" s="26">
        <f>IF(ISNUMBER(VLOOKUP($D59,'Visu totale'!$D:$DH,BJ$1,0)),BI59-VLOOKUP($D59,'Visu totale'!$D:$DH,BJ$1,0),IF(LEFT(VLOOKUP($D59,'Visu totale'!$D:$DH,BJ$1,0),1)="V",IF(BI59&gt;=INDEX('[1]Définition Maintenances'!$G:$G,MATCH($A59,'[1]Définition Maintenances'!$K:$K,0)),BI59,INDEX('[1]Définition Maintenances'!$G:$G,MATCH($A59,'[1]Définition Maintenances'!$K:$K,0))+BI59),BI59))</f>
        <v>1200</v>
      </c>
      <c r="BK59" s="26">
        <f>IF(ISNUMBER(VLOOKUP($D59,'Visu totale'!$D:$DH,BK$1,0)),BJ59-VLOOKUP($D59,'Visu totale'!$D:$DH,BK$1,0),IF(LEFT(VLOOKUP($D59,'Visu totale'!$D:$DH,BK$1,0),1)="V",IF(BJ59&gt;=INDEX('[1]Définition Maintenances'!$G:$G,MATCH($A59,'[1]Définition Maintenances'!$K:$K,0)),BJ59,INDEX('[1]Définition Maintenances'!$G:$G,MATCH($A59,'[1]Définition Maintenances'!$K:$K,0))+BJ59),BJ59))</f>
        <v>1200</v>
      </c>
      <c r="BL59" s="26">
        <f>IF(ISNUMBER(VLOOKUP($D59,'Visu totale'!$D:$DH,BL$1,0)),BK59-VLOOKUP($D59,'Visu totale'!$D:$DH,BL$1,0),IF(LEFT(VLOOKUP($D59,'Visu totale'!$D:$DH,BL$1,0),1)="V",IF(BK59&gt;=INDEX('[1]Définition Maintenances'!$G:$G,MATCH($A59,'[1]Définition Maintenances'!$K:$K,0)),BK59,INDEX('[1]Définition Maintenances'!$G:$G,MATCH($A59,'[1]Définition Maintenances'!$K:$K,0))+BK59),BK59))</f>
        <v>1200</v>
      </c>
      <c r="BM59" s="27">
        <f>IF(ISNUMBER(VLOOKUP($D59,'Visu totale'!$D:$DH,BM$1,0)),BL59-VLOOKUP($D59,'Visu totale'!$D:$DH,BM$1,0),IF(LEFT(VLOOKUP($D59,'Visu totale'!$D:$DH,BM$1,0),1)="V",IF(BL59&gt;=INDEX('[1]Définition Maintenances'!$G:$G,MATCH($A59,'[1]Définition Maintenances'!$K:$K,0)),BL59,INDEX('[1]Définition Maintenances'!$G:$G,MATCH($A59,'[1]Définition Maintenances'!$K:$K,0))+BL59),BL59))</f>
        <v>1200</v>
      </c>
      <c r="BN59" s="25">
        <f>IF(ISNUMBER(VLOOKUP($D59,'Visu totale'!$D:$DH,BN$1,0)),BM59-VLOOKUP($D59,'Visu totale'!$D:$DH,BN$1,0),IF(LEFT(VLOOKUP($D59,'Visu totale'!$D:$DH,BN$1,0),1)="V",IF(BM59&gt;=INDEX('[1]Définition Maintenances'!$G:$G,MATCH($A59,'[1]Définition Maintenances'!$K:$K,0)),BM59,INDEX('[1]Définition Maintenances'!$G:$G,MATCH($A59,'[1]Définition Maintenances'!$K:$K,0))+BM59),BM59))</f>
        <v>1200</v>
      </c>
      <c r="BO59" s="26">
        <f>IF(ISNUMBER(VLOOKUP($D59,'Visu totale'!$D:$DH,BO$1,0)),BN59-VLOOKUP($D59,'Visu totale'!$D:$DH,BO$1,0),IF(LEFT(VLOOKUP($D59,'Visu totale'!$D:$DH,BO$1,0),1)="V",IF(BN59&gt;=INDEX('[1]Définition Maintenances'!$G:$G,MATCH($A59,'[1]Définition Maintenances'!$K:$K,0)),BN59,INDEX('[1]Définition Maintenances'!$G:$G,MATCH($A59,'[1]Définition Maintenances'!$K:$K,0))+BN59),BN59))</f>
        <v>1200</v>
      </c>
      <c r="BP59" s="26">
        <f>IF(ISNUMBER(VLOOKUP($D59,'Visu totale'!$D:$DH,BP$1,0)),BO59-VLOOKUP($D59,'Visu totale'!$D:$DH,BP$1,0),IF(LEFT(VLOOKUP($D59,'Visu totale'!$D:$DH,BP$1,0),1)="V",IF(BO59&gt;=INDEX('[1]Définition Maintenances'!$G:$G,MATCH($A59,'[1]Définition Maintenances'!$K:$K,0)),BO59,INDEX('[1]Définition Maintenances'!$G:$G,MATCH($A59,'[1]Définition Maintenances'!$K:$K,0))+BO59),BO59))</f>
        <v>1200</v>
      </c>
      <c r="BQ59" s="26">
        <f>IF(ISNUMBER(VLOOKUP($D59,'Visu totale'!$D:$DH,BQ$1,0)),BP59-VLOOKUP($D59,'Visu totale'!$D:$DH,BQ$1,0),IF(LEFT(VLOOKUP($D59,'Visu totale'!$D:$DH,BQ$1,0),1)="V",IF(BP59&gt;=INDEX('[1]Définition Maintenances'!$G:$G,MATCH($A59,'[1]Définition Maintenances'!$K:$K,0)),BP59,INDEX('[1]Définition Maintenances'!$G:$G,MATCH($A59,'[1]Définition Maintenances'!$K:$K,0))+BP59),BP59))</f>
        <v>1200</v>
      </c>
      <c r="BR59" s="26">
        <f>IF(ISNUMBER(VLOOKUP($D59,'Visu totale'!$D:$DH,BR$1,0)),BQ59-VLOOKUP($D59,'Visu totale'!$D:$DH,BR$1,0),IF(LEFT(VLOOKUP($D59,'Visu totale'!$D:$DH,BR$1,0),1)="V",IF(BQ59&gt;=INDEX('[1]Définition Maintenances'!$G:$G,MATCH($A59,'[1]Définition Maintenances'!$K:$K,0)),BQ59,INDEX('[1]Définition Maintenances'!$G:$G,MATCH($A59,'[1]Définition Maintenances'!$K:$K,0))+BQ59),BQ59))</f>
        <v>1200</v>
      </c>
      <c r="BS59" s="26">
        <f>IF(ISNUMBER(VLOOKUP($D59,'Visu totale'!$D:$DH,BS$1,0)),BR59-VLOOKUP($D59,'Visu totale'!$D:$DH,BS$1,0),IF(LEFT(VLOOKUP($D59,'Visu totale'!$D:$DH,BS$1,0),1)="V",IF(BR59&gt;=INDEX('[1]Définition Maintenances'!$G:$G,MATCH($A59,'[1]Définition Maintenances'!$K:$K,0)),BR59,INDEX('[1]Définition Maintenances'!$G:$G,MATCH($A59,'[1]Définition Maintenances'!$K:$K,0))+BR59),BR59))</f>
        <v>1200</v>
      </c>
      <c r="BT59" s="26">
        <f>IF(ISNUMBER(VLOOKUP($D59,'Visu totale'!$D:$DH,BT$1,0)),BS59-VLOOKUP($D59,'Visu totale'!$D:$DH,BT$1,0),IF(LEFT(VLOOKUP($D59,'Visu totale'!$D:$DH,BT$1,0),1)="V",IF(BS59&gt;=INDEX('[1]Définition Maintenances'!$G:$G,MATCH($A59,'[1]Définition Maintenances'!$K:$K,0)),BS59,INDEX('[1]Définition Maintenances'!$G:$G,MATCH($A59,'[1]Définition Maintenances'!$K:$K,0))+BS59),BS59))</f>
        <v>1200</v>
      </c>
      <c r="BU59" s="26">
        <f>IF(ISNUMBER(VLOOKUP($D59,'Visu totale'!$D:$DH,BU$1,0)),BT59-VLOOKUP($D59,'Visu totale'!$D:$DH,BU$1,0),IF(LEFT(VLOOKUP($D59,'Visu totale'!$D:$DH,BU$1,0),1)="V",IF(BT59&gt;=INDEX('[1]Définition Maintenances'!$G:$G,MATCH($A59,'[1]Définition Maintenances'!$K:$K,0)),BT59,INDEX('[1]Définition Maintenances'!$G:$G,MATCH($A59,'[1]Définition Maintenances'!$K:$K,0))+BT59),BT59))</f>
        <v>1200</v>
      </c>
      <c r="BV59" s="26">
        <f>IF(ISNUMBER(VLOOKUP($D59,'Visu totale'!$D:$DH,BV$1,0)),BU59-VLOOKUP($D59,'Visu totale'!$D:$DH,BV$1,0),IF(LEFT(VLOOKUP($D59,'Visu totale'!$D:$DH,BV$1,0),1)="V",IF(BU59&gt;=INDEX('[1]Définition Maintenances'!$G:$G,MATCH($A59,'[1]Définition Maintenances'!$K:$K,0)),BU59,INDEX('[1]Définition Maintenances'!$G:$G,MATCH($A59,'[1]Définition Maintenances'!$K:$K,0))+BU59),BU59))</f>
        <v>1200</v>
      </c>
      <c r="BW59" s="26">
        <f>IF(ISNUMBER(VLOOKUP($D59,'Visu totale'!$D:$DH,BW$1,0)),BV59-VLOOKUP($D59,'Visu totale'!$D:$DH,BW$1,0),IF(LEFT(VLOOKUP($D59,'Visu totale'!$D:$DH,BW$1,0),1)="V",IF(BV59&gt;=INDEX('[1]Définition Maintenances'!$G:$G,MATCH($A59,'[1]Définition Maintenances'!$K:$K,0)),BV59,INDEX('[1]Définition Maintenances'!$G:$G,MATCH($A59,'[1]Définition Maintenances'!$K:$K,0))+BV59),BV59))</f>
        <v>1200</v>
      </c>
      <c r="BX59" s="26">
        <f>IF(ISNUMBER(VLOOKUP($D59,'Visu totale'!$D:$DH,BX$1,0)),BW59-VLOOKUP($D59,'Visu totale'!$D:$DH,BX$1,0),IF(LEFT(VLOOKUP($D59,'Visu totale'!$D:$DH,BX$1,0),1)="V",IF(BW59&gt;=INDEX('[1]Définition Maintenances'!$G:$G,MATCH($A59,'[1]Définition Maintenances'!$K:$K,0)),BW59,INDEX('[1]Définition Maintenances'!$G:$G,MATCH($A59,'[1]Définition Maintenances'!$K:$K,0))+BW59),BW59))</f>
        <v>1200</v>
      </c>
      <c r="BY59" s="27">
        <f>IF(ISNUMBER(VLOOKUP($D59,'Visu totale'!$D:$DH,BY$1,0)),BX59-VLOOKUP($D59,'Visu totale'!$D:$DH,BY$1,0),IF(LEFT(VLOOKUP($D59,'Visu totale'!$D:$DH,BY$1,0),1)="V",IF(BX59&gt;=INDEX('[1]Définition Maintenances'!$G:$G,MATCH($A59,'[1]Définition Maintenances'!$K:$K,0)),BX59,INDEX('[1]Définition Maintenances'!$G:$G,MATCH($A59,'[1]Définition Maintenances'!$K:$K,0))+BX59),BX59))</f>
        <v>1200</v>
      </c>
      <c r="BZ59" s="25">
        <f>IF(ISNUMBER(VLOOKUP($D59,'Visu totale'!$D:$DH,BZ$1,0)),BY59-VLOOKUP($D59,'Visu totale'!$D:$DH,BZ$1,0),IF(LEFT(VLOOKUP($D59,'Visu totale'!$D:$DH,BZ$1,0),1)="V",IF(BY59&gt;=INDEX('[1]Définition Maintenances'!$G:$G,MATCH($A59,'[1]Définition Maintenances'!$K:$K,0)),BY59,INDEX('[1]Définition Maintenances'!$G:$G,MATCH($A59,'[1]Définition Maintenances'!$K:$K,0))+BY59),BY59))</f>
        <v>1200</v>
      </c>
      <c r="CA59" s="26">
        <f>IF(ISNUMBER(VLOOKUP($D59,'Visu totale'!$D:$DH,CA$1,0)),BZ59-VLOOKUP($D59,'Visu totale'!$D:$DH,CA$1,0),IF(LEFT(VLOOKUP($D59,'Visu totale'!$D:$DH,CA$1,0),1)="V",IF(BZ59&gt;=INDEX('[1]Définition Maintenances'!$G:$G,MATCH($A59,'[1]Définition Maintenances'!$K:$K,0)),BZ59,INDEX('[1]Définition Maintenances'!$G:$G,MATCH($A59,'[1]Définition Maintenances'!$K:$K,0))+BZ59),BZ59))</f>
        <v>1200</v>
      </c>
      <c r="CB59" s="26">
        <f>IF(ISNUMBER(VLOOKUP($D59,'Visu totale'!$D:$DH,CB$1,0)),CA59-VLOOKUP($D59,'Visu totale'!$D:$DH,CB$1,0),IF(LEFT(VLOOKUP($D59,'Visu totale'!$D:$DH,CB$1,0),1)="V",IF(CA59&gt;=INDEX('[1]Définition Maintenances'!$G:$G,MATCH($A59,'[1]Définition Maintenances'!$K:$K,0)),CA59,INDEX('[1]Définition Maintenances'!$G:$G,MATCH($A59,'[1]Définition Maintenances'!$K:$K,0))+CA59),CA59))</f>
        <v>1200</v>
      </c>
      <c r="CC59" s="26">
        <f>IF(ISNUMBER(VLOOKUP($D59,'Visu totale'!$D:$DH,CC$1,0)),CB59-VLOOKUP($D59,'Visu totale'!$D:$DH,CC$1,0),IF(LEFT(VLOOKUP($D59,'Visu totale'!$D:$DH,CC$1,0),1)="V",IF(CB59&gt;=INDEX('[1]Définition Maintenances'!$G:$G,MATCH($A59,'[1]Définition Maintenances'!$K:$K,0)),CB59,INDEX('[1]Définition Maintenances'!$G:$G,MATCH($A59,'[1]Définition Maintenances'!$K:$K,0))+CB59),CB59))</f>
        <v>1200</v>
      </c>
      <c r="CD59" s="26">
        <f>IF(ISNUMBER(VLOOKUP($D59,'Visu totale'!$D:$DH,CD$1,0)),CC59-VLOOKUP($D59,'Visu totale'!$D:$DH,CD$1,0),IF(LEFT(VLOOKUP($D59,'Visu totale'!$D:$DH,CD$1,0),1)="V",IF(CC59&gt;=INDEX('[1]Définition Maintenances'!$G:$G,MATCH($A59,'[1]Définition Maintenances'!$K:$K,0)),CC59,INDEX('[1]Définition Maintenances'!$G:$G,MATCH($A59,'[1]Définition Maintenances'!$K:$K,0))+CC59),CC59))</f>
        <v>1200</v>
      </c>
      <c r="CE59" s="26">
        <f>IF(ISNUMBER(VLOOKUP($D59,'Visu totale'!$D:$DH,CE$1,0)),CD59-VLOOKUP($D59,'Visu totale'!$D:$DH,CE$1,0),IF(LEFT(VLOOKUP($D59,'Visu totale'!$D:$DH,CE$1,0),1)="V",IF(CD59&gt;=INDEX('[1]Définition Maintenances'!$G:$G,MATCH($A59,'[1]Définition Maintenances'!$K:$K,0)),CD59,INDEX('[1]Définition Maintenances'!$G:$G,MATCH($A59,'[1]Définition Maintenances'!$K:$K,0))+CD59),CD59))</f>
        <v>1200</v>
      </c>
      <c r="CF59" s="26">
        <f>IF(ISNUMBER(VLOOKUP($D59,'Visu totale'!$D:$DH,CF$1,0)),CE59-VLOOKUP($D59,'Visu totale'!$D:$DH,CF$1,0),IF(LEFT(VLOOKUP($D59,'Visu totale'!$D:$DH,CF$1,0),1)="V",IF(CE59&gt;=INDEX('[1]Définition Maintenances'!$G:$G,MATCH($A59,'[1]Définition Maintenances'!$K:$K,0)),CE59,INDEX('[1]Définition Maintenances'!$G:$G,MATCH($A59,'[1]Définition Maintenances'!$K:$K,0))+CE59),CE59))</f>
        <v>1200</v>
      </c>
      <c r="CG59" s="26">
        <f>IF(ISNUMBER(VLOOKUP($D59,'Visu totale'!$D:$DH,CG$1,0)),CF59-VLOOKUP($D59,'Visu totale'!$D:$DH,CG$1,0),IF(LEFT(VLOOKUP($D59,'Visu totale'!$D:$DH,CG$1,0),1)="V",IF(CF59&gt;=INDEX('[1]Définition Maintenances'!$G:$G,MATCH($A59,'[1]Définition Maintenances'!$K:$K,0)),CF59,INDEX('[1]Définition Maintenances'!$G:$G,MATCH($A59,'[1]Définition Maintenances'!$K:$K,0))+CF59),CF59))</f>
        <v>1200</v>
      </c>
      <c r="CH59" s="26">
        <f>IF(ISNUMBER(VLOOKUP($D59,'Visu totale'!$D:$DH,CH$1,0)),CG59-VLOOKUP($D59,'Visu totale'!$D:$DH,CH$1,0),IF(LEFT(VLOOKUP($D59,'Visu totale'!$D:$DH,CH$1,0),1)="V",IF(CG59&gt;=INDEX('[1]Définition Maintenances'!$G:$G,MATCH($A59,'[1]Définition Maintenances'!$K:$K,0)),CG59,INDEX('[1]Définition Maintenances'!$G:$G,MATCH($A59,'[1]Définition Maintenances'!$K:$K,0))+CG59),CG59))</f>
        <v>1200</v>
      </c>
      <c r="CI59" s="26">
        <f>IF(ISNUMBER(VLOOKUP($D59,'Visu totale'!$D:$DH,CI$1,0)),CH59-VLOOKUP($D59,'Visu totale'!$D:$DH,CI$1,0),IF(LEFT(VLOOKUP($D59,'Visu totale'!$D:$DH,CI$1,0),1)="V",IF(CH59&gt;=INDEX('[1]Définition Maintenances'!$G:$G,MATCH($A59,'[1]Définition Maintenances'!$K:$K,0)),CH59,INDEX('[1]Définition Maintenances'!$G:$G,MATCH($A59,'[1]Définition Maintenances'!$K:$K,0))+CH59),CH59))</f>
        <v>1200</v>
      </c>
      <c r="CJ59" s="26">
        <f>IF(ISNUMBER(VLOOKUP($D59,'Visu totale'!$D:$DH,CJ$1,0)),CI59-VLOOKUP($D59,'Visu totale'!$D:$DH,CJ$1,0),IF(LEFT(VLOOKUP($D59,'Visu totale'!$D:$DH,CJ$1,0),1)="V",IF(CI59&gt;=INDEX('[1]Définition Maintenances'!$G:$G,MATCH($A59,'[1]Définition Maintenances'!$K:$K,0)),CI59,INDEX('[1]Définition Maintenances'!$G:$G,MATCH($A59,'[1]Définition Maintenances'!$K:$K,0))+CI59),CI59))</f>
        <v>1200</v>
      </c>
      <c r="CK59" s="27">
        <f>IF(ISNUMBER(VLOOKUP($D59,'Visu totale'!$D:$DH,CK$1,0)),CJ59-VLOOKUP($D59,'Visu totale'!$D:$DH,CK$1,0),IF(LEFT(VLOOKUP($D59,'Visu totale'!$D:$DH,CK$1,0),1)="V",IF(CJ59&gt;=INDEX('[1]Définition Maintenances'!$G:$G,MATCH($A59,'[1]Définition Maintenances'!$K:$K,0)),CJ59,INDEX('[1]Définition Maintenances'!$G:$G,MATCH($A59,'[1]Définition Maintenances'!$K:$K,0))+CJ59),CJ59))</f>
        <v>1200</v>
      </c>
      <c r="CL59" s="25">
        <f>IF(ISNUMBER(VLOOKUP($D59,'Visu totale'!$D:$DH,CL$1,0)),CK59-VLOOKUP($D59,'Visu totale'!$D:$DH,CL$1,0),IF(LEFT(VLOOKUP($D59,'Visu totale'!$D:$DH,CL$1,0),1)="V",IF(CK59&gt;=INDEX('[1]Définition Maintenances'!$G:$G,MATCH($A59,'[1]Définition Maintenances'!$K:$K,0)),CK59,INDEX('[1]Définition Maintenances'!$G:$G,MATCH($A59,'[1]Définition Maintenances'!$K:$K,0))+CK59),CK59))</f>
        <v>1200</v>
      </c>
      <c r="CM59" s="26">
        <f>IF(ISNUMBER(VLOOKUP($D59,'Visu totale'!$D:$DH,CM$1,0)),CL59-VLOOKUP($D59,'Visu totale'!$D:$DH,CM$1,0),IF(LEFT(VLOOKUP($D59,'Visu totale'!$D:$DH,CM$1,0),1)="V",IF(CL59&gt;=INDEX('[1]Définition Maintenances'!$G:$G,MATCH($A59,'[1]Définition Maintenances'!$K:$K,0)),CL59,INDEX('[1]Définition Maintenances'!$G:$G,MATCH($A59,'[1]Définition Maintenances'!$K:$K,0))+CL59),CL59))</f>
        <v>1200</v>
      </c>
      <c r="CN59" s="26">
        <f>IF(ISNUMBER(VLOOKUP($D59,'Visu totale'!$D:$DH,CN$1,0)),CM59-VLOOKUP($D59,'Visu totale'!$D:$DH,CN$1,0),IF(LEFT(VLOOKUP($D59,'Visu totale'!$D:$DH,CN$1,0),1)="V",IF(CM59&gt;=INDEX('[1]Définition Maintenances'!$G:$G,MATCH($A59,'[1]Définition Maintenances'!$K:$K,0)),CM59,INDEX('[1]Définition Maintenances'!$G:$G,MATCH($A59,'[1]Définition Maintenances'!$K:$K,0))+CM59),CM59))</f>
        <v>1200</v>
      </c>
      <c r="CO59" s="26">
        <f>IF(ISNUMBER(VLOOKUP($D59,'Visu totale'!$D:$DH,CO$1,0)),CN59-VLOOKUP($D59,'Visu totale'!$D:$DH,CO$1,0),IF(LEFT(VLOOKUP($D59,'Visu totale'!$D:$DH,CO$1,0),1)="V",IF(CN59&gt;=INDEX('[1]Définition Maintenances'!$G:$G,MATCH($A59,'[1]Définition Maintenances'!$K:$K,0)),CN59,INDEX('[1]Définition Maintenances'!$G:$G,MATCH($A59,'[1]Définition Maintenances'!$K:$K,0))+CN59),CN59))</f>
        <v>1200</v>
      </c>
      <c r="CP59" s="26">
        <f>IF(ISNUMBER(VLOOKUP($D59,'Visu totale'!$D:$DH,CP$1,0)),CO59-VLOOKUP($D59,'Visu totale'!$D:$DH,CP$1,0),IF(LEFT(VLOOKUP($D59,'Visu totale'!$D:$DH,CP$1,0),1)="V",IF(CO59&gt;=INDEX('[1]Définition Maintenances'!$G:$G,MATCH($A59,'[1]Définition Maintenances'!$K:$K,0)),CO59,INDEX('[1]Définition Maintenances'!$G:$G,MATCH($A59,'[1]Définition Maintenances'!$K:$K,0))+CO59),CO59))</f>
        <v>1200</v>
      </c>
      <c r="CQ59" s="26">
        <f>IF(ISNUMBER(VLOOKUP($D59,'Visu totale'!$D:$DH,CQ$1,0)),CP59-VLOOKUP($D59,'Visu totale'!$D:$DH,CQ$1,0),IF(LEFT(VLOOKUP($D59,'Visu totale'!$D:$DH,CQ$1,0),1)="V",IF(CP59&gt;=INDEX('[1]Définition Maintenances'!$G:$G,MATCH($A59,'[1]Définition Maintenances'!$K:$K,0)),CP59,INDEX('[1]Définition Maintenances'!$G:$G,MATCH($A59,'[1]Définition Maintenances'!$K:$K,0))+CP59),CP59))</f>
        <v>1200</v>
      </c>
      <c r="CR59" s="26">
        <f>IF(ISNUMBER(VLOOKUP($D59,'Visu totale'!$D:$DH,CR$1,0)),CQ59-VLOOKUP($D59,'Visu totale'!$D:$DH,CR$1,0),IF(LEFT(VLOOKUP($D59,'Visu totale'!$D:$DH,CR$1,0),1)="V",IF(CQ59&gt;=INDEX('[1]Définition Maintenances'!$G:$G,MATCH($A59,'[1]Définition Maintenances'!$K:$K,0)),CQ59,INDEX('[1]Définition Maintenances'!$G:$G,MATCH($A59,'[1]Définition Maintenances'!$K:$K,0))+CQ59),CQ59))</f>
        <v>1200</v>
      </c>
      <c r="CS59" s="26">
        <f>IF(ISNUMBER(VLOOKUP($D59,'Visu totale'!$D:$DH,CS$1,0)),CR59-VLOOKUP($D59,'Visu totale'!$D:$DH,CS$1,0),IF(LEFT(VLOOKUP($D59,'Visu totale'!$D:$DH,CS$1,0),1)="V",IF(CR59&gt;=INDEX('[1]Définition Maintenances'!$G:$G,MATCH($A59,'[1]Définition Maintenances'!$K:$K,0)),CR59,INDEX('[1]Définition Maintenances'!$G:$G,MATCH($A59,'[1]Définition Maintenances'!$K:$K,0))+CR59),CR59))</f>
        <v>1200</v>
      </c>
      <c r="CT59" s="26">
        <f>IF(ISNUMBER(VLOOKUP($D59,'Visu totale'!$D:$DH,CT$1,0)),CS59-VLOOKUP($D59,'Visu totale'!$D:$DH,CT$1,0),IF(LEFT(VLOOKUP($D59,'Visu totale'!$D:$DH,CT$1,0),1)="V",IF(CS59&gt;=INDEX('[1]Définition Maintenances'!$G:$G,MATCH($A59,'[1]Définition Maintenances'!$K:$K,0)),CS59,INDEX('[1]Définition Maintenances'!$G:$G,MATCH($A59,'[1]Définition Maintenances'!$K:$K,0))+CS59),CS59))</f>
        <v>1200</v>
      </c>
      <c r="CU59" s="26">
        <f>IF(ISNUMBER(VLOOKUP($D59,'Visu totale'!$D:$DH,CU$1,0)),CT59-VLOOKUP($D59,'Visu totale'!$D:$DH,CU$1,0),IF(LEFT(VLOOKUP($D59,'Visu totale'!$D:$DH,CU$1,0),1)="V",IF(CT59&gt;=INDEX('[1]Définition Maintenances'!$G:$G,MATCH($A59,'[1]Définition Maintenances'!$K:$K,0)),CT59,INDEX('[1]Définition Maintenances'!$G:$G,MATCH($A59,'[1]Définition Maintenances'!$K:$K,0))+CT59),CT59))</f>
        <v>1200</v>
      </c>
      <c r="CV59" s="26">
        <f>IF(ISNUMBER(VLOOKUP($D59,'Visu totale'!$D:$DH,CV$1,0)),CU59-VLOOKUP($D59,'Visu totale'!$D:$DH,CV$1,0),IF(LEFT(VLOOKUP($D59,'Visu totale'!$D:$DH,CV$1,0),1)="V",IF(CU59&gt;=INDEX('[1]Définition Maintenances'!$G:$G,MATCH($A59,'[1]Définition Maintenances'!$K:$K,0)),CU59,INDEX('[1]Définition Maintenances'!$G:$G,MATCH($A59,'[1]Définition Maintenances'!$K:$K,0))+CU59),CU59))</f>
        <v>1200</v>
      </c>
      <c r="CW59" s="27">
        <f>IF(ISNUMBER(VLOOKUP($D59,'Visu totale'!$D:$DH,CW$1,0)),CV59-VLOOKUP($D59,'Visu totale'!$D:$DH,CW$1,0),IF(LEFT(VLOOKUP($D59,'Visu totale'!$D:$DH,CW$1,0),1)="V",IF(CV59&gt;=INDEX('[1]Définition Maintenances'!$G:$G,MATCH($A59,'[1]Définition Maintenances'!$K:$K,0)),CV59,INDEX('[1]Définition Maintenances'!$G:$G,MATCH($A59,'[1]Définition Maintenances'!$K:$K,0))+CV59),CV59))</f>
        <v>1200</v>
      </c>
      <c r="CX59" s="25">
        <f>IF(ISNUMBER(VLOOKUP($D59,'Visu totale'!$D:$DH,CX$1,0)),CW59-VLOOKUP($D59,'Visu totale'!$D:$DH,CX$1,0),IF(LEFT(VLOOKUP($D59,'Visu totale'!$D:$DH,CX$1,0),1)="V",IF(CW59&gt;=INDEX('[1]Définition Maintenances'!$G:$G,MATCH($A59,'[1]Définition Maintenances'!$K:$K,0)),CW59,INDEX('[1]Définition Maintenances'!$G:$G,MATCH($A59,'[1]Définition Maintenances'!$K:$K,0))+CW59),CW59))</f>
        <v>1200</v>
      </c>
      <c r="CY59" s="26">
        <f>IF(ISNUMBER(VLOOKUP($D59,'Visu totale'!$D:$DH,CY$1,0)),CX59-VLOOKUP($D59,'Visu totale'!$D:$DH,CY$1,0),IF(LEFT(VLOOKUP($D59,'Visu totale'!$D:$DH,CY$1,0),1)="V",IF(CX59&gt;=INDEX('[1]Définition Maintenances'!$G:$G,MATCH($A59,'[1]Définition Maintenances'!$K:$K,0)),CX59,INDEX('[1]Définition Maintenances'!$G:$G,MATCH($A59,'[1]Définition Maintenances'!$K:$K,0))+CX59),CX59))</f>
        <v>1200</v>
      </c>
      <c r="CZ59" s="26">
        <f>IF(ISNUMBER(VLOOKUP($D59,'Visu totale'!$D:$DH,CZ$1,0)),CY59-VLOOKUP($D59,'Visu totale'!$D:$DH,CZ$1,0),IF(LEFT(VLOOKUP($D59,'Visu totale'!$D:$DH,CZ$1,0),1)="V",IF(CY59&gt;=INDEX('[1]Définition Maintenances'!$G:$G,MATCH($A59,'[1]Définition Maintenances'!$K:$K,0)),CY59,INDEX('[1]Définition Maintenances'!$G:$G,MATCH($A59,'[1]Définition Maintenances'!$K:$K,0))+CY59),CY59))</f>
        <v>1200</v>
      </c>
      <c r="DA59" s="26">
        <f>IF(ISNUMBER(VLOOKUP($D59,'Visu totale'!$D:$DH,DA$1,0)),CZ59-VLOOKUP($D59,'Visu totale'!$D:$DH,DA$1,0),IF(LEFT(VLOOKUP($D59,'Visu totale'!$D:$DH,DA$1,0),1)="V",IF(CZ59&gt;=INDEX('[1]Définition Maintenances'!$G:$G,MATCH($A59,'[1]Définition Maintenances'!$K:$K,0)),CZ59,INDEX('[1]Définition Maintenances'!$G:$G,MATCH($A59,'[1]Définition Maintenances'!$K:$K,0))+CZ59),CZ59))</f>
        <v>1200</v>
      </c>
      <c r="DB59" s="26">
        <f>IF(ISNUMBER(VLOOKUP($D59,'Visu totale'!$D:$DH,DB$1,0)),DA59-VLOOKUP($D59,'Visu totale'!$D:$DH,DB$1,0),IF(LEFT(VLOOKUP($D59,'Visu totale'!$D:$DH,DB$1,0),1)="V",IF(DA59&gt;=INDEX('[1]Définition Maintenances'!$G:$G,MATCH($A59,'[1]Définition Maintenances'!$K:$K,0)),DA59,INDEX('[1]Définition Maintenances'!$G:$G,MATCH($A59,'[1]Définition Maintenances'!$K:$K,0))+DA59),DA59))</f>
        <v>1200</v>
      </c>
      <c r="DC59" s="26">
        <f>IF(ISNUMBER(VLOOKUP($D59,'Visu totale'!$D:$DH,DC$1,0)),DB59-VLOOKUP($D59,'Visu totale'!$D:$DH,DC$1,0),IF(LEFT(VLOOKUP($D59,'Visu totale'!$D:$DH,DC$1,0),1)="V",IF(DB59&gt;=INDEX('[1]Définition Maintenances'!$G:$G,MATCH($A59,'[1]Définition Maintenances'!$K:$K,0)),DB59,INDEX('[1]Définition Maintenances'!$G:$G,MATCH($A59,'[1]Définition Maintenances'!$K:$K,0))+DB59),DB59))</f>
        <v>1200</v>
      </c>
      <c r="DD59" s="26">
        <f>IF(ISNUMBER(VLOOKUP($D59,'Visu totale'!$D:$DH,DD$1,0)),DC59-VLOOKUP($D59,'Visu totale'!$D:$DH,DD$1,0),IF(LEFT(VLOOKUP($D59,'Visu totale'!$D:$DH,DD$1,0),1)="V",IF(DC59&gt;=INDEX('[1]Définition Maintenances'!$G:$G,MATCH($A59,'[1]Définition Maintenances'!$K:$K,0)),DC59,INDEX('[1]Définition Maintenances'!$G:$G,MATCH($A59,'[1]Définition Maintenances'!$K:$K,0))+DC59),DC59))</f>
        <v>1200</v>
      </c>
      <c r="DE59" s="26">
        <f>IF(ISNUMBER(VLOOKUP($D59,'Visu totale'!$D:$DH,DE$1,0)),DD59-VLOOKUP($D59,'Visu totale'!$D:$DH,DE$1,0),IF(LEFT(VLOOKUP($D59,'Visu totale'!$D:$DH,DE$1,0),1)="V",IF(DD59&gt;=INDEX('[1]Définition Maintenances'!$G:$G,MATCH($A59,'[1]Définition Maintenances'!$K:$K,0)),DD59,INDEX('[1]Définition Maintenances'!$G:$G,MATCH($A59,'[1]Définition Maintenances'!$K:$K,0))+DD59),DD59))</f>
        <v>1200</v>
      </c>
      <c r="DF59" s="26">
        <f>IF(ISNUMBER(VLOOKUP($D59,'Visu totale'!$D:$DH,DF$1,0)),DE59-VLOOKUP($D59,'Visu totale'!$D:$DH,DF$1,0),IF(LEFT(VLOOKUP($D59,'Visu totale'!$D:$DH,DF$1,0),1)="V",IF(DE59&gt;=INDEX('[1]Définition Maintenances'!$G:$G,MATCH($A59,'[1]Définition Maintenances'!$K:$K,0)),DE59,INDEX('[1]Définition Maintenances'!$G:$G,MATCH($A59,'[1]Définition Maintenances'!$K:$K,0))+DE59),DE59))</f>
        <v>1200</v>
      </c>
      <c r="DG59" s="26">
        <f>IF(ISNUMBER(VLOOKUP($D59,'Visu totale'!$D:$DH,DG$1,0)),DF59-VLOOKUP($D59,'Visu totale'!$D:$DH,DG$1,0),IF(LEFT(VLOOKUP($D59,'Visu totale'!$D:$DH,DG$1,0),1)="V",IF(DF59&gt;=INDEX('[1]Définition Maintenances'!$G:$G,MATCH($A59,'[1]Définition Maintenances'!$K:$K,0)),DF59,INDEX('[1]Définition Maintenances'!$G:$G,MATCH($A59,'[1]Définition Maintenances'!$K:$K,0))+DF59),DF59))</f>
        <v>1200</v>
      </c>
      <c r="DH59" s="26">
        <f>IF(ISNUMBER(VLOOKUP($D59,'Visu totale'!$D:$DH,DH$1,0)),DG59-VLOOKUP($D59,'Visu totale'!$D:$DH,DH$1,0),IF(LEFT(VLOOKUP($D59,'Visu totale'!$D:$DH,DH$1,0),1)="V",IF(DG59&gt;=INDEX('[1]Définition Maintenances'!$G:$G,MATCH($A59,'[1]Définition Maintenances'!$K:$K,0)),DG59,INDEX('[1]Définition Maintenances'!$G:$G,MATCH($A59,'[1]Définition Maintenances'!$K:$K,0))+DG59),DG59))</f>
        <v>1200</v>
      </c>
      <c r="DI59" s="27">
        <f>IF(ISNUMBER(VLOOKUP($D59,'Visu totale'!$D:$DH,DI$1,0)),DH59-VLOOKUP($D59,'Visu totale'!$D:$DH,DI$1,0),IF(LEFT(VLOOKUP($D59,'Visu totale'!$D:$DH,DI$1,0),1)="V",IF(DH59&gt;=INDEX('[1]Définition Maintenances'!$G:$G,MATCH($A59,'[1]Définition Maintenances'!$K:$K,0)),DH59,INDEX('[1]Définition Maintenances'!$G:$G,MATCH($A59,'[1]Définition Maintenances'!$K:$K,0))+DH59),DH59))</f>
        <v>1200</v>
      </c>
    </row>
    <row r="60" spans="1:113" x14ac:dyDescent="0.25">
      <c r="A60" s="13" t="str">
        <f t="shared" si="1"/>
        <v>V15D</v>
      </c>
      <c r="B60" s="13" t="str">
        <f>VLOOKUP(D60,'[1]Avions (Potentiels)'!$B$2:$H$128,7,FALSE)</f>
        <v>V15</v>
      </c>
      <c r="C60" s="13"/>
      <c r="D60" s="16" t="s">
        <v>63</v>
      </c>
      <c r="E60" s="13">
        <f>IFERROR(VALUE(SUBSTITUTE(VLOOKUP(D60,'[1]Avions (Potentiels)'!$B:$E,4,0),".",",")),VALUE(VLOOKUP(D60,'[1]Avions (Potentiels)'!$B:$E,4,0)))</f>
        <v>725</v>
      </c>
      <c r="F60" s="25">
        <f>IF(ISNUMBER(VLOOKUP($D60,'Visu totale'!$D:$DH,F$1,0)),E60-VLOOKUP($D60,'Visu totale'!$D:$DH,F$1,0),IF(LEFT(VLOOKUP($D60,'Visu totale'!$D:$DH,F$1,0),1)="V",IF(E60&gt;=INDEX('[1]Définition Maintenances'!$G:$G,MATCH($A60,'[1]Définition Maintenances'!$K:$K,0)),E60,INDEX('[1]Définition Maintenances'!$G:$G,MATCH($A60,'[1]Définition Maintenances'!$K:$K,0))+E60),E60))</f>
        <v>725</v>
      </c>
      <c r="G60" s="26">
        <f>IF(ISNUMBER(VLOOKUP($D60,'Visu totale'!$D:$DH,G$1,0)),F60-VLOOKUP($D60,'Visu totale'!$D:$DH,G$1,0),IF(LEFT(VLOOKUP($D60,'Visu totale'!$D:$DH,G$1,0),1)="V",IF(F60&gt;=INDEX('[1]Définition Maintenances'!$G:$G,MATCH($A60,'[1]Définition Maintenances'!$K:$K,0)),F60,INDEX('[1]Définition Maintenances'!$G:$G,MATCH($A60,'[1]Définition Maintenances'!$K:$K,0))+F60),F60))</f>
        <v>725</v>
      </c>
      <c r="H60" s="26">
        <f>IF(ISNUMBER(VLOOKUP($D60,'Visu totale'!$D:$DH,H$1,0)),G60-VLOOKUP($D60,'Visu totale'!$D:$DH,H$1,0),IF(LEFT(VLOOKUP($D60,'Visu totale'!$D:$DH,H$1,0),1)="V",IF(G60&gt;=INDEX('[1]Définition Maintenances'!$G:$G,MATCH($A60,'[1]Définition Maintenances'!$K:$K,0)),G60,INDEX('[1]Définition Maintenances'!$G:$G,MATCH($A60,'[1]Définition Maintenances'!$K:$K,0))+G60),G60))</f>
        <v>725</v>
      </c>
      <c r="I60" s="26">
        <f>IF(ISNUMBER(VLOOKUP($D60,'Visu totale'!$D:$DH,I$1,0)),H60-VLOOKUP($D60,'Visu totale'!$D:$DH,I$1,0),IF(LEFT(VLOOKUP($D60,'Visu totale'!$D:$DH,I$1,0),1)="V",IF(H60&gt;=INDEX('[1]Définition Maintenances'!$G:$G,MATCH($A60,'[1]Définition Maintenances'!$K:$K,0)),H60,INDEX('[1]Définition Maintenances'!$G:$G,MATCH($A60,'[1]Définition Maintenances'!$K:$K,0))+H60),H60))</f>
        <v>725</v>
      </c>
      <c r="J60" s="26">
        <f>IF(ISNUMBER(VLOOKUP($D60,'Visu totale'!$D:$DH,J$1,0)),I60-VLOOKUP($D60,'Visu totale'!$D:$DH,J$1,0),IF(LEFT(VLOOKUP($D60,'Visu totale'!$D:$DH,J$1,0),1)="V",IF(I60&gt;=INDEX('[1]Définition Maintenances'!$G:$G,MATCH($A60,'[1]Définition Maintenances'!$K:$K,0)),I60,INDEX('[1]Définition Maintenances'!$G:$G,MATCH($A60,'[1]Définition Maintenances'!$K:$K,0))+I60),I60))</f>
        <v>725</v>
      </c>
      <c r="K60" s="26">
        <f>IF(ISNUMBER(VLOOKUP($D60,'Visu totale'!$D:$DH,K$1,0)),J60-VLOOKUP($D60,'Visu totale'!$D:$DH,K$1,0),IF(LEFT(VLOOKUP($D60,'Visu totale'!$D:$DH,K$1,0),1)="V",IF(J60&gt;=INDEX('[1]Définition Maintenances'!$G:$G,MATCH($A60,'[1]Définition Maintenances'!$K:$K,0)),J60,INDEX('[1]Définition Maintenances'!$G:$G,MATCH($A60,'[1]Définition Maintenances'!$K:$K,0))+J60),J60))</f>
        <v>725</v>
      </c>
      <c r="L60" s="26">
        <f>IF(ISNUMBER(VLOOKUP($D60,'Visu totale'!$D:$DH,L$1,0)),K60-VLOOKUP($D60,'Visu totale'!$D:$DH,L$1,0),IF(LEFT(VLOOKUP($D60,'Visu totale'!$D:$DH,L$1,0),1)="V",IF(K60&gt;=INDEX('[1]Définition Maintenances'!$G:$G,MATCH($A60,'[1]Définition Maintenances'!$K:$K,0)),K60,INDEX('[1]Définition Maintenances'!$G:$G,MATCH($A60,'[1]Définition Maintenances'!$K:$K,0))+K60),K60))</f>
        <v>725</v>
      </c>
      <c r="M60" s="26">
        <f>IF(ISNUMBER(VLOOKUP($D60,'Visu totale'!$D:$DH,M$1,0)),L60-VLOOKUP($D60,'Visu totale'!$D:$DH,M$1,0),IF(LEFT(VLOOKUP($D60,'Visu totale'!$D:$DH,M$1,0),1)="V",IF(L60&gt;=INDEX('[1]Définition Maintenances'!$G:$G,MATCH($A60,'[1]Définition Maintenances'!$K:$K,0)),L60,INDEX('[1]Définition Maintenances'!$G:$G,MATCH($A60,'[1]Définition Maintenances'!$K:$K,0))+L60),L60))</f>
        <v>725</v>
      </c>
      <c r="N60" s="26">
        <f>IF(ISNUMBER(VLOOKUP($D60,'Visu totale'!$D:$DH,N$1,0)),M60-VLOOKUP($D60,'Visu totale'!$D:$DH,N$1,0),IF(LEFT(VLOOKUP($D60,'Visu totale'!$D:$DH,N$1,0),1)="V",IF(M60&gt;=INDEX('[1]Définition Maintenances'!$G:$G,MATCH($A60,'[1]Définition Maintenances'!$K:$K,0)),M60,INDEX('[1]Définition Maintenances'!$G:$G,MATCH($A60,'[1]Définition Maintenances'!$K:$K,0))+M60),M60))</f>
        <v>725</v>
      </c>
      <c r="O60" s="26">
        <f>IF(ISNUMBER(VLOOKUP($D60,'Visu totale'!$D:$DH,O$1,0)),N60-VLOOKUP($D60,'Visu totale'!$D:$DH,O$1,0),IF(LEFT(VLOOKUP($D60,'Visu totale'!$D:$DH,O$1,0),1)="V",IF(N60&gt;=INDEX('[1]Définition Maintenances'!$G:$G,MATCH($A60,'[1]Définition Maintenances'!$K:$K,0)),N60,INDEX('[1]Définition Maintenances'!$G:$G,MATCH($A60,'[1]Définition Maintenances'!$K:$K,0))+N60),N60))</f>
        <v>725</v>
      </c>
      <c r="P60" s="26">
        <f>IF(ISNUMBER(VLOOKUP($D60,'Visu totale'!$D:$DH,P$1,0)),O60-VLOOKUP($D60,'Visu totale'!$D:$DH,P$1,0),IF(LEFT(VLOOKUP($D60,'Visu totale'!$D:$DH,P$1,0),1)="V",IF(O60&gt;=INDEX('[1]Définition Maintenances'!$G:$G,MATCH($A60,'[1]Définition Maintenances'!$K:$K,0)),O60,INDEX('[1]Définition Maintenances'!$G:$G,MATCH($A60,'[1]Définition Maintenances'!$K:$K,0))+O60),O60))</f>
        <v>725</v>
      </c>
      <c r="Q60" s="27">
        <f>IF(ISNUMBER(VLOOKUP($D60,'Visu totale'!$D:$DH,Q$1,0)),P60-VLOOKUP($D60,'Visu totale'!$D:$DH,Q$1,0),IF(LEFT(VLOOKUP($D60,'Visu totale'!$D:$DH,Q$1,0),1)="V",IF(P60&gt;=INDEX('[1]Définition Maintenances'!$G:$G,MATCH($A60,'[1]Définition Maintenances'!$K:$K,0)),P60,INDEX('[1]Définition Maintenances'!$G:$G,MATCH($A60,'[1]Définition Maintenances'!$K:$K,0))+P60),P60))</f>
        <v>725</v>
      </c>
      <c r="R60" s="25">
        <f>IF(ISNUMBER(VLOOKUP($D60,'Visu totale'!$D:$DH,R$1,0)),Q60-VLOOKUP($D60,'Visu totale'!$D:$DH,R$1,0),IF(LEFT(VLOOKUP($D60,'Visu totale'!$D:$DH,R$1,0),1)="V",IF(Q60&gt;=INDEX('[1]Définition Maintenances'!$G:$G,MATCH($A60,'[1]Définition Maintenances'!$K:$K,0)),Q60,INDEX('[1]Définition Maintenances'!$G:$G,MATCH($A60,'[1]Définition Maintenances'!$K:$K,0))+Q60),Q60))</f>
        <v>725</v>
      </c>
      <c r="S60" s="26">
        <f>IF(ISNUMBER(VLOOKUP($D60,'Visu totale'!$D:$DH,S$1,0)),R60-VLOOKUP($D60,'Visu totale'!$D:$DH,S$1,0),IF(LEFT(VLOOKUP($D60,'Visu totale'!$D:$DH,S$1,0),1)="V",IF(R60&gt;=INDEX('[1]Définition Maintenances'!$G:$G,MATCH($A60,'[1]Définition Maintenances'!$K:$K,0)),R60,INDEX('[1]Définition Maintenances'!$G:$G,MATCH($A60,'[1]Définition Maintenances'!$K:$K,0))+R60),R60))</f>
        <v>725</v>
      </c>
      <c r="T60" s="26">
        <f>IF(ISNUMBER(VLOOKUP($D60,'Visu totale'!$D:$DH,T$1,0)),S60-VLOOKUP($D60,'Visu totale'!$D:$DH,T$1,0),IF(LEFT(VLOOKUP($D60,'Visu totale'!$D:$DH,T$1,0),1)="V",IF(S60&gt;=INDEX('[1]Définition Maintenances'!$G:$G,MATCH($A60,'[1]Définition Maintenances'!$K:$K,0)),S60,INDEX('[1]Définition Maintenances'!$G:$G,MATCH($A60,'[1]Définition Maintenances'!$K:$K,0))+S60),S60))</f>
        <v>725</v>
      </c>
      <c r="U60" s="26">
        <f>IF(ISNUMBER(VLOOKUP($D60,'Visu totale'!$D:$DH,U$1,0)),T60-VLOOKUP($D60,'Visu totale'!$D:$DH,U$1,0),IF(LEFT(VLOOKUP($D60,'Visu totale'!$D:$DH,U$1,0),1)="V",IF(T60&gt;=INDEX('[1]Définition Maintenances'!$G:$G,MATCH($A60,'[1]Définition Maintenances'!$K:$K,0)),T60,INDEX('[1]Définition Maintenances'!$G:$G,MATCH($A60,'[1]Définition Maintenances'!$K:$K,0))+T60),T60))</f>
        <v>725</v>
      </c>
      <c r="V60" s="26">
        <f>IF(ISNUMBER(VLOOKUP($D60,'Visu totale'!$D:$DH,V$1,0)),U60-VLOOKUP($D60,'Visu totale'!$D:$DH,V$1,0),IF(LEFT(VLOOKUP($D60,'Visu totale'!$D:$DH,V$1,0),1)="V",IF(U60&gt;=INDEX('[1]Définition Maintenances'!$G:$G,MATCH($A60,'[1]Définition Maintenances'!$K:$K,0)),U60,INDEX('[1]Définition Maintenances'!$G:$G,MATCH($A60,'[1]Définition Maintenances'!$K:$K,0))+U60),U60))</f>
        <v>725</v>
      </c>
      <c r="W60" s="26">
        <f>IF(ISNUMBER(VLOOKUP($D60,'Visu totale'!$D:$DH,W$1,0)),V60-VLOOKUP($D60,'Visu totale'!$D:$DH,W$1,0),IF(LEFT(VLOOKUP($D60,'Visu totale'!$D:$DH,W$1,0),1)="V",IF(V60&gt;=INDEX('[1]Définition Maintenances'!$G:$G,MATCH($A60,'[1]Définition Maintenances'!$K:$K,0)),V60,INDEX('[1]Définition Maintenances'!$G:$G,MATCH($A60,'[1]Définition Maintenances'!$K:$K,0))+V60),V60))</f>
        <v>725</v>
      </c>
      <c r="X60" s="26">
        <f>IF(ISNUMBER(VLOOKUP($D60,'Visu totale'!$D:$DH,X$1,0)),W60-VLOOKUP($D60,'Visu totale'!$D:$DH,X$1,0),IF(LEFT(VLOOKUP($D60,'Visu totale'!$D:$DH,X$1,0),1)="V",IF(W60&gt;=INDEX('[1]Définition Maintenances'!$G:$G,MATCH($A60,'[1]Définition Maintenances'!$K:$K,0)),W60,INDEX('[1]Définition Maintenances'!$G:$G,MATCH($A60,'[1]Définition Maintenances'!$K:$K,0))+W60),W60))</f>
        <v>725</v>
      </c>
      <c r="Y60" s="26">
        <f>IF(ISNUMBER(VLOOKUP($D60,'Visu totale'!$D:$DH,Y$1,0)),X60-VLOOKUP($D60,'Visu totale'!$D:$DH,Y$1,0),IF(LEFT(VLOOKUP($D60,'Visu totale'!$D:$DH,Y$1,0),1)="V",IF(X60&gt;=INDEX('[1]Définition Maintenances'!$G:$G,MATCH($A60,'[1]Définition Maintenances'!$K:$K,0)),X60,INDEX('[1]Définition Maintenances'!$G:$G,MATCH($A60,'[1]Définition Maintenances'!$K:$K,0))+X60),X60))</f>
        <v>725</v>
      </c>
      <c r="Z60" s="26">
        <f>IF(ISNUMBER(VLOOKUP($D60,'Visu totale'!$D:$DH,Z$1,0)),Y60-VLOOKUP($D60,'Visu totale'!$D:$DH,Z$1,0),IF(LEFT(VLOOKUP($D60,'Visu totale'!$D:$DH,Z$1,0),1)="V",IF(Y60&gt;=INDEX('[1]Définition Maintenances'!$G:$G,MATCH($A60,'[1]Définition Maintenances'!$K:$K,0)),Y60,INDEX('[1]Définition Maintenances'!$G:$G,MATCH($A60,'[1]Définition Maintenances'!$K:$K,0))+Y60),Y60))</f>
        <v>725</v>
      </c>
      <c r="AA60" s="26">
        <f>IF(ISNUMBER(VLOOKUP($D60,'Visu totale'!$D:$DH,AA$1,0)),Z60-VLOOKUP($D60,'Visu totale'!$D:$DH,AA$1,0),IF(LEFT(VLOOKUP($D60,'Visu totale'!$D:$DH,AA$1,0),1)="V",IF(Z60&gt;=INDEX('[1]Définition Maintenances'!$G:$G,MATCH($A60,'[1]Définition Maintenances'!$K:$K,0)),Z60,INDEX('[1]Définition Maintenances'!$G:$G,MATCH($A60,'[1]Définition Maintenances'!$K:$K,0))+Z60),Z60))</f>
        <v>725</v>
      </c>
      <c r="AB60" s="26">
        <f>IF(ISNUMBER(VLOOKUP($D60,'Visu totale'!$D:$DH,AB$1,0)),AA60-VLOOKUP($D60,'Visu totale'!$D:$DH,AB$1,0),IF(LEFT(VLOOKUP($D60,'Visu totale'!$D:$DH,AB$1,0),1)="V",IF(AA60&gt;=INDEX('[1]Définition Maintenances'!$G:$G,MATCH($A60,'[1]Définition Maintenances'!$K:$K,0)),AA60,INDEX('[1]Définition Maintenances'!$G:$G,MATCH($A60,'[1]Définition Maintenances'!$K:$K,0))+AA60),AA60))</f>
        <v>725</v>
      </c>
      <c r="AC60" s="27">
        <f>IF(ISNUMBER(VLOOKUP($D60,'Visu totale'!$D:$DH,AC$1,0)),AB60-VLOOKUP($D60,'Visu totale'!$D:$DH,AC$1,0),IF(LEFT(VLOOKUP($D60,'Visu totale'!$D:$DH,AC$1,0),1)="V",IF(AB60&gt;=INDEX('[1]Définition Maintenances'!$G:$G,MATCH($A60,'[1]Définition Maintenances'!$K:$K,0)),AB60,INDEX('[1]Définition Maintenances'!$G:$G,MATCH($A60,'[1]Définition Maintenances'!$K:$K,0))+AB60),AB60))</f>
        <v>725</v>
      </c>
      <c r="AD60" s="25">
        <f>IF(ISNUMBER(VLOOKUP($D60,'Visu totale'!$D:$DH,AD$1,0)),AC60-VLOOKUP($D60,'Visu totale'!$D:$DH,AD$1,0),IF(LEFT(VLOOKUP($D60,'Visu totale'!$D:$DH,AD$1,0),1)="V",IF(AC60&gt;=INDEX('[1]Définition Maintenances'!$G:$G,MATCH($A60,'[1]Définition Maintenances'!$K:$K,0)),AC60,INDEX('[1]Définition Maintenances'!$G:$G,MATCH($A60,'[1]Définition Maintenances'!$K:$K,0))+AC60),AC60))</f>
        <v>725</v>
      </c>
      <c r="AE60" s="26">
        <f>IF(ISNUMBER(VLOOKUP($D60,'Visu totale'!$D:$DH,AE$1,0)),AD60-VLOOKUP($D60,'Visu totale'!$D:$DH,AE$1,0),IF(LEFT(VLOOKUP($D60,'Visu totale'!$D:$DH,AE$1,0),1)="V",IF(AD60&gt;=INDEX('[1]Définition Maintenances'!$G:$G,MATCH($A60,'[1]Définition Maintenances'!$K:$K,0)),AD60,INDEX('[1]Définition Maintenances'!$G:$G,MATCH($A60,'[1]Définition Maintenances'!$K:$K,0))+AD60),AD60))</f>
        <v>725</v>
      </c>
      <c r="AF60" s="26">
        <f>IF(ISNUMBER(VLOOKUP($D60,'Visu totale'!$D:$DH,AF$1,0)),AE60-VLOOKUP($D60,'Visu totale'!$D:$DH,AF$1,0),IF(LEFT(VLOOKUP($D60,'Visu totale'!$D:$DH,AF$1,0),1)="V",IF(AE60&gt;=INDEX('[1]Définition Maintenances'!$G:$G,MATCH($A60,'[1]Définition Maintenances'!$K:$K,0)),AE60,INDEX('[1]Définition Maintenances'!$G:$G,MATCH($A60,'[1]Définition Maintenances'!$K:$K,0))+AE60),AE60))</f>
        <v>725</v>
      </c>
      <c r="AG60" s="26">
        <f>IF(ISNUMBER(VLOOKUP($D60,'Visu totale'!$D:$DH,AG$1,0)),AF60-VLOOKUP($D60,'Visu totale'!$D:$DH,AG$1,0),IF(LEFT(VLOOKUP($D60,'Visu totale'!$D:$DH,AG$1,0),1)="V",IF(AF60&gt;=INDEX('[1]Définition Maintenances'!$G:$G,MATCH($A60,'[1]Définition Maintenances'!$K:$K,0)),AF60,INDEX('[1]Définition Maintenances'!$G:$G,MATCH($A60,'[1]Définition Maintenances'!$K:$K,0))+AF60),AF60))</f>
        <v>725</v>
      </c>
      <c r="AH60" s="26">
        <f>IF(ISNUMBER(VLOOKUP($D60,'Visu totale'!$D:$DH,AH$1,0)),AG60-VLOOKUP($D60,'Visu totale'!$D:$DH,AH$1,0),IF(LEFT(VLOOKUP($D60,'Visu totale'!$D:$DH,AH$1,0),1)="V",IF(AG60&gt;=INDEX('[1]Définition Maintenances'!$G:$G,MATCH($A60,'[1]Définition Maintenances'!$K:$K,0)),AG60,INDEX('[1]Définition Maintenances'!$G:$G,MATCH($A60,'[1]Définition Maintenances'!$K:$K,0))+AG60),AG60))</f>
        <v>725</v>
      </c>
      <c r="AI60" s="26">
        <f>IF(ISNUMBER(VLOOKUP($D60,'Visu totale'!$D:$DH,AI$1,0)),AH60-VLOOKUP($D60,'Visu totale'!$D:$DH,AI$1,0),IF(LEFT(VLOOKUP($D60,'Visu totale'!$D:$DH,AI$1,0),1)="V",IF(AH60&gt;=INDEX('[1]Définition Maintenances'!$G:$G,MATCH($A60,'[1]Définition Maintenances'!$K:$K,0)),AH60,INDEX('[1]Définition Maintenances'!$G:$G,MATCH($A60,'[1]Définition Maintenances'!$K:$K,0))+AH60),AH60))</f>
        <v>725</v>
      </c>
      <c r="AJ60" s="26">
        <f>IF(ISNUMBER(VLOOKUP($D60,'Visu totale'!$D:$DH,AJ$1,0)),AI60-VLOOKUP($D60,'Visu totale'!$D:$DH,AJ$1,0),IF(LEFT(VLOOKUP($D60,'Visu totale'!$D:$DH,AJ$1,0),1)="V",IF(AI60&gt;=INDEX('[1]Définition Maintenances'!$G:$G,MATCH($A60,'[1]Définition Maintenances'!$K:$K,0)),AI60,INDEX('[1]Définition Maintenances'!$G:$G,MATCH($A60,'[1]Définition Maintenances'!$K:$K,0))+AI60),AI60))</f>
        <v>725</v>
      </c>
      <c r="AK60" s="26">
        <f>IF(ISNUMBER(VLOOKUP($D60,'Visu totale'!$D:$DH,AK$1,0)),AJ60-VLOOKUP($D60,'Visu totale'!$D:$DH,AK$1,0),IF(LEFT(VLOOKUP($D60,'Visu totale'!$D:$DH,AK$1,0),1)="V",IF(AJ60&gt;=INDEX('[1]Définition Maintenances'!$G:$G,MATCH($A60,'[1]Définition Maintenances'!$K:$K,0)),AJ60,INDEX('[1]Définition Maintenances'!$G:$G,MATCH($A60,'[1]Définition Maintenances'!$K:$K,0))+AJ60),AJ60))</f>
        <v>725</v>
      </c>
      <c r="AL60" s="26">
        <f>IF(ISNUMBER(VLOOKUP($D60,'Visu totale'!$D:$DH,AL$1,0)),AK60-VLOOKUP($D60,'Visu totale'!$D:$DH,AL$1,0),IF(LEFT(VLOOKUP($D60,'Visu totale'!$D:$DH,AL$1,0),1)="V",IF(AK60&gt;=INDEX('[1]Définition Maintenances'!$G:$G,MATCH($A60,'[1]Définition Maintenances'!$K:$K,0)),AK60,INDEX('[1]Définition Maintenances'!$G:$G,MATCH($A60,'[1]Définition Maintenances'!$K:$K,0))+AK60),AK60))</f>
        <v>725</v>
      </c>
      <c r="AM60" s="26">
        <f>IF(ISNUMBER(VLOOKUP($D60,'Visu totale'!$D:$DH,AM$1,0)),AL60-VLOOKUP($D60,'Visu totale'!$D:$DH,AM$1,0),IF(LEFT(VLOOKUP($D60,'Visu totale'!$D:$DH,AM$1,0),1)="V",IF(AL60&gt;=INDEX('[1]Définition Maintenances'!$G:$G,MATCH($A60,'[1]Définition Maintenances'!$K:$K,0)),AL60,INDEX('[1]Définition Maintenances'!$G:$G,MATCH($A60,'[1]Définition Maintenances'!$K:$K,0))+AL60),AL60))</f>
        <v>725</v>
      </c>
      <c r="AN60" s="26">
        <f>IF(ISNUMBER(VLOOKUP($D60,'Visu totale'!$D:$DH,AN$1,0)),AM60-VLOOKUP($D60,'Visu totale'!$D:$DH,AN$1,0),IF(LEFT(VLOOKUP($D60,'Visu totale'!$D:$DH,AN$1,0),1)="V",IF(AM60&gt;=INDEX('[1]Définition Maintenances'!$G:$G,MATCH($A60,'[1]Définition Maintenances'!$K:$K,0)),AM60,INDEX('[1]Définition Maintenances'!$G:$G,MATCH($A60,'[1]Définition Maintenances'!$K:$K,0))+AM60),AM60))</f>
        <v>725</v>
      </c>
      <c r="AO60" s="27">
        <f>IF(ISNUMBER(VLOOKUP($D60,'Visu totale'!$D:$DH,AO$1,0)),AN60-VLOOKUP($D60,'Visu totale'!$D:$DH,AO$1,0),IF(LEFT(VLOOKUP($D60,'Visu totale'!$D:$DH,AO$1,0),1)="V",IF(AN60&gt;=INDEX('[1]Définition Maintenances'!$G:$G,MATCH($A60,'[1]Définition Maintenances'!$K:$K,0)),AN60,INDEX('[1]Définition Maintenances'!$G:$G,MATCH($A60,'[1]Définition Maintenances'!$K:$K,0))+AN60),AN60))</f>
        <v>725</v>
      </c>
      <c r="AP60" s="25">
        <f>IF(ISNUMBER(VLOOKUP($D60,'Visu totale'!$D:$DH,AP$1,0)),AO60-VLOOKUP($D60,'Visu totale'!$D:$DH,AP$1,0),IF(LEFT(VLOOKUP($D60,'Visu totale'!$D:$DH,AP$1,0),1)="V",IF(AO60&gt;=INDEX('[1]Définition Maintenances'!$G:$G,MATCH($A60,'[1]Définition Maintenances'!$K:$K,0)),AO60,INDEX('[1]Définition Maintenances'!$G:$G,MATCH($A60,'[1]Définition Maintenances'!$K:$K,0))+AO60),AO60))</f>
        <v>725</v>
      </c>
      <c r="AQ60" s="26">
        <f>IF(ISNUMBER(VLOOKUP($D60,'Visu totale'!$D:$DH,AQ$1,0)),AP60-VLOOKUP($D60,'Visu totale'!$D:$DH,AQ$1,0),IF(LEFT(VLOOKUP($D60,'Visu totale'!$D:$DH,AQ$1,0),1)="V",IF(AP60&gt;=INDEX('[1]Définition Maintenances'!$G:$G,MATCH($A60,'[1]Définition Maintenances'!$K:$K,0)),AP60,INDEX('[1]Définition Maintenances'!$G:$G,MATCH($A60,'[1]Définition Maintenances'!$K:$K,0))+AP60),AP60))</f>
        <v>725</v>
      </c>
      <c r="AR60" s="26">
        <f>IF(ISNUMBER(VLOOKUP($D60,'Visu totale'!$D:$DH,AR$1,0)),AQ60-VLOOKUP($D60,'Visu totale'!$D:$DH,AR$1,0),IF(LEFT(VLOOKUP($D60,'Visu totale'!$D:$DH,AR$1,0),1)="V",IF(AQ60&gt;=INDEX('[1]Définition Maintenances'!$G:$G,MATCH($A60,'[1]Définition Maintenances'!$K:$K,0)),AQ60,INDEX('[1]Définition Maintenances'!$G:$G,MATCH($A60,'[1]Définition Maintenances'!$K:$K,0))+AQ60),AQ60))</f>
        <v>725</v>
      </c>
      <c r="AS60" s="26">
        <f>IF(ISNUMBER(VLOOKUP($D60,'Visu totale'!$D:$DH,AS$1,0)),AR60-VLOOKUP($D60,'Visu totale'!$D:$DH,AS$1,0),IF(LEFT(VLOOKUP($D60,'Visu totale'!$D:$DH,AS$1,0),1)="V",IF(AR60&gt;=INDEX('[1]Définition Maintenances'!$G:$G,MATCH($A60,'[1]Définition Maintenances'!$K:$K,0)),AR60,INDEX('[1]Définition Maintenances'!$G:$G,MATCH($A60,'[1]Définition Maintenances'!$K:$K,0))+AR60),AR60))</f>
        <v>725</v>
      </c>
      <c r="AT60" s="26">
        <f>IF(ISNUMBER(VLOOKUP($D60,'Visu totale'!$D:$DH,AT$1,0)),AS60-VLOOKUP($D60,'Visu totale'!$D:$DH,AT$1,0),IF(LEFT(VLOOKUP($D60,'Visu totale'!$D:$DH,AT$1,0),1)="V",IF(AS60&gt;=INDEX('[1]Définition Maintenances'!$G:$G,MATCH($A60,'[1]Définition Maintenances'!$K:$K,0)),AS60,INDEX('[1]Définition Maintenances'!$G:$G,MATCH($A60,'[1]Définition Maintenances'!$K:$K,0))+AS60),AS60))</f>
        <v>725</v>
      </c>
      <c r="AU60" s="26">
        <f>IF(ISNUMBER(VLOOKUP($D60,'Visu totale'!$D:$DH,AU$1,0)),AT60-VLOOKUP($D60,'Visu totale'!$D:$DH,AU$1,0),IF(LEFT(VLOOKUP($D60,'Visu totale'!$D:$DH,AU$1,0),1)="V",IF(AT60&gt;=INDEX('[1]Définition Maintenances'!$G:$G,MATCH($A60,'[1]Définition Maintenances'!$K:$K,0)),AT60,INDEX('[1]Définition Maintenances'!$G:$G,MATCH($A60,'[1]Définition Maintenances'!$K:$K,0))+AT60),AT60))</f>
        <v>725</v>
      </c>
      <c r="AV60" s="26">
        <f>IF(ISNUMBER(VLOOKUP($D60,'Visu totale'!$D:$DH,AV$1,0)),AU60-VLOOKUP($D60,'Visu totale'!$D:$DH,AV$1,0),IF(LEFT(VLOOKUP($D60,'Visu totale'!$D:$DH,AV$1,0),1)="V",IF(AU60&gt;=INDEX('[1]Définition Maintenances'!$G:$G,MATCH($A60,'[1]Définition Maintenances'!$K:$K,0)),AU60,INDEX('[1]Définition Maintenances'!$G:$G,MATCH($A60,'[1]Définition Maintenances'!$K:$K,0))+AU60),AU60))</f>
        <v>725</v>
      </c>
      <c r="AW60" s="26">
        <f>IF(ISNUMBER(VLOOKUP($D60,'Visu totale'!$D:$DH,AW$1,0)),AV60-VLOOKUP($D60,'Visu totale'!$D:$DH,AW$1,0),IF(LEFT(VLOOKUP($D60,'Visu totale'!$D:$DH,AW$1,0),1)="V",IF(AV60&gt;=INDEX('[1]Définition Maintenances'!$G:$G,MATCH($A60,'[1]Définition Maintenances'!$K:$K,0)),AV60,INDEX('[1]Définition Maintenances'!$G:$G,MATCH($A60,'[1]Définition Maintenances'!$K:$K,0))+AV60),AV60))</f>
        <v>725</v>
      </c>
      <c r="AX60" s="26">
        <f>IF(ISNUMBER(VLOOKUP($D60,'Visu totale'!$D:$DH,AX$1,0)),AW60-VLOOKUP($D60,'Visu totale'!$D:$DH,AX$1,0),IF(LEFT(VLOOKUP($D60,'Visu totale'!$D:$DH,AX$1,0),1)="V",IF(AW60&gt;=INDEX('[1]Définition Maintenances'!$G:$G,MATCH($A60,'[1]Définition Maintenances'!$K:$K,0)),AW60,INDEX('[1]Définition Maintenances'!$G:$G,MATCH($A60,'[1]Définition Maintenances'!$K:$K,0))+AW60),AW60))</f>
        <v>725</v>
      </c>
      <c r="AY60" s="26">
        <f>IF(ISNUMBER(VLOOKUP($D60,'Visu totale'!$D:$DH,AY$1,0)),AX60-VLOOKUP($D60,'Visu totale'!$D:$DH,AY$1,0),IF(LEFT(VLOOKUP($D60,'Visu totale'!$D:$DH,AY$1,0),1)="V",IF(AX60&gt;=INDEX('[1]Définition Maintenances'!$G:$G,MATCH($A60,'[1]Définition Maintenances'!$K:$K,0)),AX60,INDEX('[1]Définition Maintenances'!$G:$G,MATCH($A60,'[1]Définition Maintenances'!$K:$K,0))+AX60),AX60))</f>
        <v>725</v>
      </c>
      <c r="AZ60" s="26">
        <f>IF(ISNUMBER(VLOOKUP($D60,'Visu totale'!$D:$DH,AZ$1,0)),AY60-VLOOKUP($D60,'Visu totale'!$D:$DH,AZ$1,0),IF(LEFT(VLOOKUP($D60,'Visu totale'!$D:$DH,AZ$1,0),1)="V",IF(AY60&gt;=INDEX('[1]Définition Maintenances'!$G:$G,MATCH($A60,'[1]Définition Maintenances'!$K:$K,0)),AY60,INDEX('[1]Définition Maintenances'!$G:$G,MATCH($A60,'[1]Définition Maintenances'!$K:$K,0))+AY60),AY60))</f>
        <v>725</v>
      </c>
      <c r="BA60" s="27">
        <f>IF(ISNUMBER(VLOOKUP($D60,'Visu totale'!$D:$DH,BA$1,0)),AZ60-VLOOKUP($D60,'Visu totale'!$D:$DH,BA$1,0),IF(LEFT(VLOOKUP($D60,'Visu totale'!$D:$DH,BA$1,0),1)="V",IF(AZ60&gt;=INDEX('[1]Définition Maintenances'!$G:$G,MATCH($A60,'[1]Définition Maintenances'!$K:$K,0)),AZ60,INDEX('[1]Définition Maintenances'!$G:$G,MATCH($A60,'[1]Définition Maintenances'!$K:$K,0))+AZ60),AZ60))</f>
        <v>725</v>
      </c>
      <c r="BB60" s="25">
        <f>IF(ISNUMBER(VLOOKUP($D60,'Visu totale'!$D:$DH,BB$1,0)),BA60-VLOOKUP($D60,'Visu totale'!$D:$DH,BB$1,0),IF(LEFT(VLOOKUP($D60,'Visu totale'!$D:$DH,BB$1,0),1)="V",IF(BA60&gt;=INDEX('[1]Définition Maintenances'!$G:$G,MATCH($A60,'[1]Définition Maintenances'!$K:$K,0)),BA60,INDEX('[1]Définition Maintenances'!$G:$G,MATCH($A60,'[1]Définition Maintenances'!$K:$K,0))+BA60),BA60))</f>
        <v>725</v>
      </c>
      <c r="BC60" s="26">
        <f>IF(ISNUMBER(VLOOKUP($D60,'Visu totale'!$D:$DH,BC$1,0)),BB60-VLOOKUP($D60,'Visu totale'!$D:$DH,BC$1,0),IF(LEFT(VLOOKUP($D60,'Visu totale'!$D:$DH,BC$1,0),1)="V",IF(BB60&gt;=INDEX('[1]Définition Maintenances'!$G:$G,MATCH($A60,'[1]Définition Maintenances'!$K:$K,0)),BB60,INDEX('[1]Définition Maintenances'!$G:$G,MATCH($A60,'[1]Définition Maintenances'!$K:$K,0))+BB60),BB60))</f>
        <v>725</v>
      </c>
      <c r="BD60" s="26">
        <f>IF(ISNUMBER(VLOOKUP($D60,'Visu totale'!$D:$DH,BD$1,0)),BC60-VLOOKUP($D60,'Visu totale'!$D:$DH,BD$1,0),IF(LEFT(VLOOKUP($D60,'Visu totale'!$D:$DH,BD$1,0),1)="V",IF(BC60&gt;=INDEX('[1]Définition Maintenances'!$G:$G,MATCH($A60,'[1]Définition Maintenances'!$K:$K,0)),BC60,INDEX('[1]Définition Maintenances'!$G:$G,MATCH($A60,'[1]Définition Maintenances'!$K:$K,0))+BC60),BC60))</f>
        <v>725</v>
      </c>
      <c r="BE60" s="26">
        <f>IF(ISNUMBER(VLOOKUP($D60,'Visu totale'!$D:$DH,BE$1,0)),BD60-VLOOKUP($D60,'Visu totale'!$D:$DH,BE$1,0),IF(LEFT(VLOOKUP($D60,'Visu totale'!$D:$DH,BE$1,0),1)="V",IF(BD60&gt;=INDEX('[1]Définition Maintenances'!$G:$G,MATCH($A60,'[1]Définition Maintenances'!$K:$K,0)),BD60,INDEX('[1]Définition Maintenances'!$G:$G,MATCH($A60,'[1]Définition Maintenances'!$K:$K,0))+BD60),BD60))</f>
        <v>725</v>
      </c>
      <c r="BF60" s="26">
        <f>IF(ISNUMBER(VLOOKUP($D60,'Visu totale'!$D:$DH,BF$1,0)),BE60-VLOOKUP($D60,'Visu totale'!$D:$DH,BF$1,0),IF(LEFT(VLOOKUP($D60,'Visu totale'!$D:$DH,BF$1,0),1)="V",IF(BE60&gt;=INDEX('[1]Définition Maintenances'!$G:$G,MATCH($A60,'[1]Définition Maintenances'!$K:$K,0)),BE60,INDEX('[1]Définition Maintenances'!$G:$G,MATCH($A60,'[1]Définition Maintenances'!$K:$K,0))+BE60),BE60))</f>
        <v>725</v>
      </c>
      <c r="BG60" s="26">
        <f>IF(ISNUMBER(VLOOKUP($D60,'Visu totale'!$D:$DH,BG$1,0)),BF60-VLOOKUP($D60,'Visu totale'!$D:$DH,BG$1,0),IF(LEFT(VLOOKUP($D60,'Visu totale'!$D:$DH,BG$1,0),1)="V",IF(BF60&gt;=INDEX('[1]Définition Maintenances'!$G:$G,MATCH($A60,'[1]Définition Maintenances'!$K:$K,0)),BF60,INDEX('[1]Définition Maintenances'!$G:$G,MATCH($A60,'[1]Définition Maintenances'!$K:$K,0))+BF60),BF60))</f>
        <v>725</v>
      </c>
      <c r="BH60" s="26">
        <f>IF(ISNUMBER(VLOOKUP($D60,'Visu totale'!$D:$DH,BH$1,0)),BG60-VLOOKUP($D60,'Visu totale'!$D:$DH,BH$1,0),IF(LEFT(VLOOKUP($D60,'Visu totale'!$D:$DH,BH$1,0),1)="V",IF(BG60&gt;=INDEX('[1]Définition Maintenances'!$G:$G,MATCH($A60,'[1]Définition Maintenances'!$K:$K,0)),BG60,INDEX('[1]Définition Maintenances'!$G:$G,MATCH($A60,'[1]Définition Maintenances'!$K:$K,0))+BG60),BG60))</f>
        <v>725</v>
      </c>
      <c r="BI60" s="26">
        <f>IF(ISNUMBER(VLOOKUP($D60,'Visu totale'!$D:$DH,BI$1,0)),BH60-VLOOKUP($D60,'Visu totale'!$D:$DH,BI$1,0),IF(LEFT(VLOOKUP($D60,'Visu totale'!$D:$DH,BI$1,0),1)="V",IF(BH60&gt;=INDEX('[1]Définition Maintenances'!$G:$G,MATCH($A60,'[1]Définition Maintenances'!$K:$K,0)),BH60,INDEX('[1]Définition Maintenances'!$G:$G,MATCH($A60,'[1]Définition Maintenances'!$K:$K,0))+BH60),BH60))</f>
        <v>725</v>
      </c>
      <c r="BJ60" s="26">
        <f>IF(ISNUMBER(VLOOKUP($D60,'Visu totale'!$D:$DH,BJ$1,0)),BI60-VLOOKUP($D60,'Visu totale'!$D:$DH,BJ$1,0),IF(LEFT(VLOOKUP($D60,'Visu totale'!$D:$DH,BJ$1,0),1)="V",IF(BI60&gt;=INDEX('[1]Définition Maintenances'!$G:$G,MATCH($A60,'[1]Définition Maintenances'!$K:$K,0)),BI60,INDEX('[1]Définition Maintenances'!$G:$G,MATCH($A60,'[1]Définition Maintenances'!$K:$K,0))+BI60),BI60))</f>
        <v>725</v>
      </c>
      <c r="BK60" s="26">
        <f>IF(ISNUMBER(VLOOKUP($D60,'Visu totale'!$D:$DH,BK$1,0)),BJ60-VLOOKUP($D60,'Visu totale'!$D:$DH,BK$1,0),IF(LEFT(VLOOKUP($D60,'Visu totale'!$D:$DH,BK$1,0),1)="V",IF(BJ60&gt;=INDEX('[1]Définition Maintenances'!$G:$G,MATCH($A60,'[1]Définition Maintenances'!$K:$K,0)),BJ60,INDEX('[1]Définition Maintenances'!$G:$G,MATCH($A60,'[1]Définition Maintenances'!$K:$K,0))+BJ60),BJ60))</f>
        <v>725</v>
      </c>
      <c r="BL60" s="26">
        <f>IF(ISNUMBER(VLOOKUP($D60,'Visu totale'!$D:$DH,BL$1,0)),BK60-VLOOKUP($D60,'Visu totale'!$D:$DH,BL$1,0),IF(LEFT(VLOOKUP($D60,'Visu totale'!$D:$DH,BL$1,0),1)="V",IF(BK60&gt;=INDEX('[1]Définition Maintenances'!$G:$G,MATCH($A60,'[1]Définition Maintenances'!$K:$K,0)),BK60,INDEX('[1]Définition Maintenances'!$G:$G,MATCH($A60,'[1]Définition Maintenances'!$K:$K,0))+BK60),BK60))</f>
        <v>725</v>
      </c>
      <c r="BM60" s="27">
        <f>IF(ISNUMBER(VLOOKUP($D60,'Visu totale'!$D:$DH,BM$1,0)),BL60-VLOOKUP($D60,'Visu totale'!$D:$DH,BM$1,0),IF(LEFT(VLOOKUP($D60,'Visu totale'!$D:$DH,BM$1,0),1)="V",IF(BL60&gt;=INDEX('[1]Définition Maintenances'!$G:$G,MATCH($A60,'[1]Définition Maintenances'!$K:$K,0)),BL60,INDEX('[1]Définition Maintenances'!$G:$G,MATCH($A60,'[1]Définition Maintenances'!$K:$K,0))+BL60),BL60))</f>
        <v>725</v>
      </c>
      <c r="BN60" s="25">
        <f>IF(ISNUMBER(VLOOKUP($D60,'Visu totale'!$D:$DH,BN$1,0)),BM60-VLOOKUP($D60,'Visu totale'!$D:$DH,BN$1,0),IF(LEFT(VLOOKUP($D60,'Visu totale'!$D:$DH,BN$1,0),1)="V",IF(BM60&gt;=INDEX('[1]Définition Maintenances'!$G:$G,MATCH($A60,'[1]Définition Maintenances'!$K:$K,0)),BM60,INDEX('[1]Définition Maintenances'!$G:$G,MATCH($A60,'[1]Définition Maintenances'!$K:$K,0))+BM60),BM60))</f>
        <v>725</v>
      </c>
      <c r="BO60" s="26">
        <f>IF(ISNUMBER(VLOOKUP($D60,'Visu totale'!$D:$DH,BO$1,0)),BN60-VLOOKUP($D60,'Visu totale'!$D:$DH,BO$1,0),IF(LEFT(VLOOKUP($D60,'Visu totale'!$D:$DH,BO$1,0),1)="V",IF(BN60&gt;=INDEX('[1]Définition Maintenances'!$G:$G,MATCH($A60,'[1]Définition Maintenances'!$K:$K,0)),BN60,INDEX('[1]Définition Maintenances'!$G:$G,MATCH($A60,'[1]Définition Maintenances'!$K:$K,0))+BN60),BN60))</f>
        <v>725</v>
      </c>
      <c r="BP60" s="26">
        <f>IF(ISNUMBER(VLOOKUP($D60,'Visu totale'!$D:$DH,BP$1,0)),BO60-VLOOKUP($D60,'Visu totale'!$D:$DH,BP$1,0),IF(LEFT(VLOOKUP($D60,'Visu totale'!$D:$DH,BP$1,0),1)="V",IF(BO60&gt;=INDEX('[1]Définition Maintenances'!$G:$G,MATCH($A60,'[1]Définition Maintenances'!$K:$K,0)),BO60,INDEX('[1]Définition Maintenances'!$G:$G,MATCH($A60,'[1]Définition Maintenances'!$K:$K,0))+BO60),BO60))</f>
        <v>725</v>
      </c>
      <c r="BQ60" s="26">
        <f>IF(ISNUMBER(VLOOKUP($D60,'Visu totale'!$D:$DH,BQ$1,0)),BP60-VLOOKUP($D60,'Visu totale'!$D:$DH,BQ$1,0),IF(LEFT(VLOOKUP($D60,'Visu totale'!$D:$DH,BQ$1,0),1)="V",IF(BP60&gt;=INDEX('[1]Définition Maintenances'!$G:$G,MATCH($A60,'[1]Définition Maintenances'!$K:$K,0)),BP60,INDEX('[1]Définition Maintenances'!$G:$G,MATCH($A60,'[1]Définition Maintenances'!$K:$K,0))+BP60),BP60))</f>
        <v>725</v>
      </c>
      <c r="BR60" s="26">
        <f>IF(ISNUMBER(VLOOKUP($D60,'Visu totale'!$D:$DH,BR$1,0)),BQ60-VLOOKUP($D60,'Visu totale'!$D:$DH,BR$1,0),IF(LEFT(VLOOKUP($D60,'Visu totale'!$D:$DH,BR$1,0),1)="V",IF(BQ60&gt;=INDEX('[1]Définition Maintenances'!$G:$G,MATCH($A60,'[1]Définition Maintenances'!$K:$K,0)),BQ60,INDEX('[1]Définition Maintenances'!$G:$G,MATCH($A60,'[1]Définition Maintenances'!$K:$K,0))+BQ60),BQ60))</f>
        <v>725</v>
      </c>
      <c r="BS60" s="26">
        <f>IF(ISNUMBER(VLOOKUP($D60,'Visu totale'!$D:$DH,BS$1,0)),BR60-VLOOKUP($D60,'Visu totale'!$D:$DH,BS$1,0),IF(LEFT(VLOOKUP($D60,'Visu totale'!$D:$DH,BS$1,0),1)="V",IF(BR60&gt;=INDEX('[1]Définition Maintenances'!$G:$G,MATCH($A60,'[1]Définition Maintenances'!$K:$K,0)),BR60,INDEX('[1]Définition Maintenances'!$G:$G,MATCH($A60,'[1]Définition Maintenances'!$K:$K,0))+BR60),BR60))</f>
        <v>725</v>
      </c>
      <c r="BT60" s="26">
        <f>IF(ISNUMBER(VLOOKUP($D60,'Visu totale'!$D:$DH,BT$1,0)),BS60-VLOOKUP($D60,'Visu totale'!$D:$DH,BT$1,0),IF(LEFT(VLOOKUP($D60,'Visu totale'!$D:$DH,BT$1,0),1)="V",IF(BS60&gt;=INDEX('[1]Définition Maintenances'!$G:$G,MATCH($A60,'[1]Définition Maintenances'!$K:$K,0)),BS60,INDEX('[1]Définition Maintenances'!$G:$G,MATCH($A60,'[1]Définition Maintenances'!$K:$K,0))+BS60),BS60))</f>
        <v>725</v>
      </c>
      <c r="BU60" s="26">
        <f>IF(ISNUMBER(VLOOKUP($D60,'Visu totale'!$D:$DH,BU$1,0)),BT60-VLOOKUP($D60,'Visu totale'!$D:$DH,BU$1,0),IF(LEFT(VLOOKUP($D60,'Visu totale'!$D:$DH,BU$1,0),1)="V",IF(BT60&gt;=INDEX('[1]Définition Maintenances'!$G:$G,MATCH($A60,'[1]Définition Maintenances'!$K:$K,0)),BT60,INDEX('[1]Définition Maintenances'!$G:$G,MATCH($A60,'[1]Définition Maintenances'!$K:$K,0))+BT60),BT60))</f>
        <v>725</v>
      </c>
      <c r="BV60" s="26">
        <f>IF(ISNUMBER(VLOOKUP($D60,'Visu totale'!$D:$DH,BV$1,0)),BU60-VLOOKUP($D60,'Visu totale'!$D:$DH,BV$1,0),IF(LEFT(VLOOKUP($D60,'Visu totale'!$D:$DH,BV$1,0),1)="V",IF(BU60&gt;=INDEX('[1]Définition Maintenances'!$G:$G,MATCH($A60,'[1]Définition Maintenances'!$K:$K,0)),BU60,INDEX('[1]Définition Maintenances'!$G:$G,MATCH($A60,'[1]Définition Maintenances'!$K:$K,0))+BU60),BU60))</f>
        <v>725</v>
      </c>
      <c r="BW60" s="26">
        <f>IF(ISNUMBER(VLOOKUP($D60,'Visu totale'!$D:$DH,BW$1,0)),BV60-VLOOKUP($D60,'Visu totale'!$D:$DH,BW$1,0),IF(LEFT(VLOOKUP($D60,'Visu totale'!$D:$DH,BW$1,0),1)="V",IF(BV60&gt;=INDEX('[1]Définition Maintenances'!$G:$G,MATCH($A60,'[1]Définition Maintenances'!$K:$K,0)),BV60,INDEX('[1]Définition Maintenances'!$G:$G,MATCH($A60,'[1]Définition Maintenances'!$K:$K,0))+BV60),BV60))</f>
        <v>725</v>
      </c>
      <c r="BX60" s="26">
        <f>IF(ISNUMBER(VLOOKUP($D60,'Visu totale'!$D:$DH,BX$1,0)),BW60-VLOOKUP($D60,'Visu totale'!$D:$DH,BX$1,0),IF(LEFT(VLOOKUP($D60,'Visu totale'!$D:$DH,BX$1,0),1)="V",IF(BW60&gt;=INDEX('[1]Définition Maintenances'!$G:$G,MATCH($A60,'[1]Définition Maintenances'!$K:$K,0)),BW60,INDEX('[1]Définition Maintenances'!$G:$G,MATCH($A60,'[1]Définition Maintenances'!$K:$K,0))+BW60),BW60))</f>
        <v>725</v>
      </c>
      <c r="BY60" s="27">
        <f>IF(ISNUMBER(VLOOKUP($D60,'Visu totale'!$D:$DH,BY$1,0)),BX60-VLOOKUP($D60,'Visu totale'!$D:$DH,BY$1,0),IF(LEFT(VLOOKUP($D60,'Visu totale'!$D:$DH,BY$1,0),1)="V",IF(BX60&gt;=INDEX('[1]Définition Maintenances'!$G:$G,MATCH($A60,'[1]Définition Maintenances'!$K:$K,0)),BX60,INDEX('[1]Définition Maintenances'!$G:$G,MATCH($A60,'[1]Définition Maintenances'!$K:$K,0))+BX60),BX60))</f>
        <v>725</v>
      </c>
      <c r="BZ60" s="25">
        <f>IF(ISNUMBER(VLOOKUP($D60,'Visu totale'!$D:$DH,BZ$1,0)),BY60-VLOOKUP($D60,'Visu totale'!$D:$DH,BZ$1,0),IF(LEFT(VLOOKUP($D60,'Visu totale'!$D:$DH,BZ$1,0),1)="V",IF(BY60&gt;=INDEX('[1]Définition Maintenances'!$G:$G,MATCH($A60,'[1]Définition Maintenances'!$K:$K,0)),BY60,INDEX('[1]Définition Maintenances'!$G:$G,MATCH($A60,'[1]Définition Maintenances'!$K:$K,0))+BY60),BY60))</f>
        <v>725</v>
      </c>
      <c r="CA60" s="26">
        <f>IF(ISNUMBER(VLOOKUP($D60,'Visu totale'!$D:$DH,CA$1,0)),BZ60-VLOOKUP($D60,'Visu totale'!$D:$DH,CA$1,0),IF(LEFT(VLOOKUP($D60,'Visu totale'!$D:$DH,CA$1,0),1)="V",IF(BZ60&gt;=INDEX('[1]Définition Maintenances'!$G:$G,MATCH($A60,'[1]Définition Maintenances'!$K:$K,0)),BZ60,INDEX('[1]Définition Maintenances'!$G:$G,MATCH($A60,'[1]Définition Maintenances'!$K:$K,0))+BZ60),BZ60))</f>
        <v>725</v>
      </c>
      <c r="CB60" s="26">
        <f>IF(ISNUMBER(VLOOKUP($D60,'Visu totale'!$D:$DH,CB$1,0)),CA60-VLOOKUP($D60,'Visu totale'!$D:$DH,CB$1,0),IF(LEFT(VLOOKUP($D60,'Visu totale'!$D:$DH,CB$1,0),1)="V",IF(CA60&gt;=INDEX('[1]Définition Maintenances'!$G:$G,MATCH($A60,'[1]Définition Maintenances'!$K:$K,0)),CA60,INDEX('[1]Définition Maintenances'!$G:$G,MATCH($A60,'[1]Définition Maintenances'!$K:$K,0))+CA60),CA60))</f>
        <v>725</v>
      </c>
      <c r="CC60" s="26">
        <f>IF(ISNUMBER(VLOOKUP($D60,'Visu totale'!$D:$DH,CC$1,0)),CB60-VLOOKUP($D60,'Visu totale'!$D:$DH,CC$1,0),IF(LEFT(VLOOKUP($D60,'Visu totale'!$D:$DH,CC$1,0),1)="V",IF(CB60&gt;=INDEX('[1]Définition Maintenances'!$G:$G,MATCH($A60,'[1]Définition Maintenances'!$K:$K,0)),CB60,INDEX('[1]Définition Maintenances'!$G:$G,MATCH($A60,'[1]Définition Maintenances'!$K:$K,0))+CB60),CB60))</f>
        <v>725</v>
      </c>
      <c r="CD60" s="26">
        <f>IF(ISNUMBER(VLOOKUP($D60,'Visu totale'!$D:$DH,CD$1,0)),CC60-VLOOKUP($D60,'Visu totale'!$D:$DH,CD$1,0),IF(LEFT(VLOOKUP($D60,'Visu totale'!$D:$DH,CD$1,0),1)="V",IF(CC60&gt;=INDEX('[1]Définition Maintenances'!$G:$G,MATCH($A60,'[1]Définition Maintenances'!$K:$K,0)),CC60,INDEX('[1]Définition Maintenances'!$G:$G,MATCH($A60,'[1]Définition Maintenances'!$K:$K,0))+CC60),CC60))</f>
        <v>725</v>
      </c>
      <c r="CE60" s="26">
        <f>IF(ISNUMBER(VLOOKUP($D60,'Visu totale'!$D:$DH,CE$1,0)),CD60-VLOOKUP($D60,'Visu totale'!$D:$DH,CE$1,0),IF(LEFT(VLOOKUP($D60,'Visu totale'!$D:$DH,CE$1,0),1)="V",IF(CD60&gt;=INDEX('[1]Définition Maintenances'!$G:$G,MATCH($A60,'[1]Définition Maintenances'!$K:$K,0)),CD60,INDEX('[1]Définition Maintenances'!$G:$G,MATCH($A60,'[1]Définition Maintenances'!$K:$K,0))+CD60),CD60))</f>
        <v>725</v>
      </c>
      <c r="CF60" s="26">
        <f>IF(ISNUMBER(VLOOKUP($D60,'Visu totale'!$D:$DH,CF$1,0)),CE60-VLOOKUP($D60,'Visu totale'!$D:$DH,CF$1,0),IF(LEFT(VLOOKUP($D60,'Visu totale'!$D:$DH,CF$1,0),1)="V",IF(CE60&gt;=INDEX('[1]Définition Maintenances'!$G:$G,MATCH($A60,'[1]Définition Maintenances'!$K:$K,0)),CE60,INDEX('[1]Définition Maintenances'!$G:$G,MATCH($A60,'[1]Définition Maintenances'!$K:$K,0))+CE60),CE60))</f>
        <v>725</v>
      </c>
      <c r="CG60" s="26">
        <f>IF(ISNUMBER(VLOOKUP($D60,'Visu totale'!$D:$DH,CG$1,0)),CF60-VLOOKUP($D60,'Visu totale'!$D:$DH,CG$1,0),IF(LEFT(VLOOKUP($D60,'Visu totale'!$D:$DH,CG$1,0),1)="V",IF(CF60&gt;=INDEX('[1]Définition Maintenances'!$G:$G,MATCH($A60,'[1]Définition Maintenances'!$K:$K,0)),CF60,INDEX('[1]Définition Maintenances'!$G:$G,MATCH($A60,'[1]Définition Maintenances'!$K:$K,0))+CF60),CF60))</f>
        <v>725</v>
      </c>
      <c r="CH60" s="26">
        <f>IF(ISNUMBER(VLOOKUP($D60,'Visu totale'!$D:$DH,CH$1,0)),CG60-VLOOKUP($D60,'Visu totale'!$D:$DH,CH$1,0),IF(LEFT(VLOOKUP($D60,'Visu totale'!$D:$DH,CH$1,0),1)="V",IF(CG60&gt;=INDEX('[1]Définition Maintenances'!$G:$G,MATCH($A60,'[1]Définition Maintenances'!$K:$K,0)),CG60,INDEX('[1]Définition Maintenances'!$G:$G,MATCH($A60,'[1]Définition Maintenances'!$K:$K,0))+CG60),CG60))</f>
        <v>725</v>
      </c>
      <c r="CI60" s="26">
        <f>IF(ISNUMBER(VLOOKUP($D60,'Visu totale'!$D:$DH,CI$1,0)),CH60-VLOOKUP($D60,'Visu totale'!$D:$DH,CI$1,0),IF(LEFT(VLOOKUP($D60,'Visu totale'!$D:$DH,CI$1,0),1)="V",IF(CH60&gt;=INDEX('[1]Définition Maintenances'!$G:$G,MATCH($A60,'[1]Définition Maintenances'!$K:$K,0)),CH60,INDEX('[1]Définition Maintenances'!$G:$G,MATCH($A60,'[1]Définition Maintenances'!$K:$K,0))+CH60),CH60))</f>
        <v>725</v>
      </c>
      <c r="CJ60" s="26">
        <f>IF(ISNUMBER(VLOOKUP($D60,'Visu totale'!$D:$DH,CJ$1,0)),CI60-VLOOKUP($D60,'Visu totale'!$D:$DH,CJ$1,0),IF(LEFT(VLOOKUP($D60,'Visu totale'!$D:$DH,CJ$1,0),1)="V",IF(CI60&gt;=INDEX('[1]Définition Maintenances'!$G:$G,MATCH($A60,'[1]Définition Maintenances'!$K:$K,0)),CI60,INDEX('[1]Définition Maintenances'!$G:$G,MATCH($A60,'[1]Définition Maintenances'!$K:$K,0))+CI60),CI60))</f>
        <v>725</v>
      </c>
      <c r="CK60" s="27">
        <f>IF(ISNUMBER(VLOOKUP($D60,'Visu totale'!$D:$DH,CK$1,0)),CJ60-VLOOKUP($D60,'Visu totale'!$D:$DH,CK$1,0),IF(LEFT(VLOOKUP($D60,'Visu totale'!$D:$DH,CK$1,0),1)="V",IF(CJ60&gt;=INDEX('[1]Définition Maintenances'!$G:$G,MATCH($A60,'[1]Définition Maintenances'!$K:$K,0)),CJ60,INDEX('[1]Définition Maintenances'!$G:$G,MATCH($A60,'[1]Définition Maintenances'!$K:$K,0))+CJ60),CJ60))</f>
        <v>725</v>
      </c>
      <c r="CL60" s="25">
        <f>IF(ISNUMBER(VLOOKUP($D60,'Visu totale'!$D:$DH,CL$1,0)),CK60-VLOOKUP($D60,'Visu totale'!$D:$DH,CL$1,0),IF(LEFT(VLOOKUP($D60,'Visu totale'!$D:$DH,CL$1,0),1)="V",IF(CK60&gt;=INDEX('[1]Définition Maintenances'!$G:$G,MATCH($A60,'[1]Définition Maintenances'!$K:$K,0)),CK60,INDEX('[1]Définition Maintenances'!$G:$G,MATCH($A60,'[1]Définition Maintenances'!$K:$K,0))+CK60),CK60))</f>
        <v>725</v>
      </c>
      <c r="CM60" s="26">
        <f>IF(ISNUMBER(VLOOKUP($D60,'Visu totale'!$D:$DH,CM$1,0)),CL60-VLOOKUP($D60,'Visu totale'!$D:$DH,CM$1,0),IF(LEFT(VLOOKUP($D60,'Visu totale'!$D:$DH,CM$1,0),1)="V",IF(CL60&gt;=INDEX('[1]Définition Maintenances'!$G:$G,MATCH($A60,'[1]Définition Maintenances'!$K:$K,0)),CL60,INDEX('[1]Définition Maintenances'!$G:$G,MATCH($A60,'[1]Définition Maintenances'!$K:$K,0))+CL60),CL60))</f>
        <v>725</v>
      </c>
      <c r="CN60" s="26">
        <f>IF(ISNUMBER(VLOOKUP($D60,'Visu totale'!$D:$DH,CN$1,0)),CM60-VLOOKUP($D60,'Visu totale'!$D:$DH,CN$1,0),IF(LEFT(VLOOKUP($D60,'Visu totale'!$D:$DH,CN$1,0),1)="V",IF(CM60&gt;=INDEX('[1]Définition Maintenances'!$G:$G,MATCH($A60,'[1]Définition Maintenances'!$K:$K,0)),CM60,INDEX('[1]Définition Maintenances'!$G:$G,MATCH($A60,'[1]Définition Maintenances'!$K:$K,0))+CM60),CM60))</f>
        <v>725</v>
      </c>
      <c r="CO60" s="26">
        <f>IF(ISNUMBER(VLOOKUP($D60,'Visu totale'!$D:$DH,CO$1,0)),CN60-VLOOKUP($D60,'Visu totale'!$D:$DH,CO$1,0),IF(LEFT(VLOOKUP($D60,'Visu totale'!$D:$DH,CO$1,0),1)="V",IF(CN60&gt;=INDEX('[1]Définition Maintenances'!$G:$G,MATCH($A60,'[1]Définition Maintenances'!$K:$K,0)),CN60,INDEX('[1]Définition Maintenances'!$G:$G,MATCH($A60,'[1]Définition Maintenances'!$K:$K,0))+CN60),CN60))</f>
        <v>725</v>
      </c>
      <c r="CP60" s="26">
        <f>IF(ISNUMBER(VLOOKUP($D60,'Visu totale'!$D:$DH,CP$1,0)),CO60-VLOOKUP($D60,'Visu totale'!$D:$DH,CP$1,0),IF(LEFT(VLOOKUP($D60,'Visu totale'!$D:$DH,CP$1,0),1)="V",IF(CO60&gt;=INDEX('[1]Définition Maintenances'!$G:$G,MATCH($A60,'[1]Définition Maintenances'!$K:$K,0)),CO60,INDEX('[1]Définition Maintenances'!$G:$G,MATCH($A60,'[1]Définition Maintenances'!$K:$K,0))+CO60),CO60))</f>
        <v>725</v>
      </c>
      <c r="CQ60" s="26">
        <f>IF(ISNUMBER(VLOOKUP($D60,'Visu totale'!$D:$DH,CQ$1,0)),CP60-VLOOKUP($D60,'Visu totale'!$D:$DH,CQ$1,0),IF(LEFT(VLOOKUP($D60,'Visu totale'!$D:$DH,CQ$1,0),1)="V",IF(CP60&gt;=INDEX('[1]Définition Maintenances'!$G:$G,MATCH($A60,'[1]Définition Maintenances'!$K:$K,0)),CP60,INDEX('[1]Définition Maintenances'!$G:$G,MATCH($A60,'[1]Définition Maintenances'!$K:$K,0))+CP60),CP60))</f>
        <v>725</v>
      </c>
      <c r="CR60" s="26">
        <f>IF(ISNUMBER(VLOOKUP($D60,'Visu totale'!$D:$DH,CR$1,0)),CQ60-VLOOKUP($D60,'Visu totale'!$D:$DH,CR$1,0),IF(LEFT(VLOOKUP($D60,'Visu totale'!$D:$DH,CR$1,0),1)="V",IF(CQ60&gt;=INDEX('[1]Définition Maintenances'!$G:$G,MATCH($A60,'[1]Définition Maintenances'!$K:$K,0)),CQ60,INDEX('[1]Définition Maintenances'!$G:$G,MATCH($A60,'[1]Définition Maintenances'!$K:$K,0))+CQ60),CQ60))</f>
        <v>725</v>
      </c>
      <c r="CS60" s="26">
        <f>IF(ISNUMBER(VLOOKUP($D60,'Visu totale'!$D:$DH,CS$1,0)),CR60-VLOOKUP($D60,'Visu totale'!$D:$DH,CS$1,0),IF(LEFT(VLOOKUP($D60,'Visu totale'!$D:$DH,CS$1,0),1)="V",IF(CR60&gt;=INDEX('[1]Définition Maintenances'!$G:$G,MATCH($A60,'[1]Définition Maintenances'!$K:$K,0)),CR60,INDEX('[1]Définition Maintenances'!$G:$G,MATCH($A60,'[1]Définition Maintenances'!$K:$K,0))+CR60),CR60))</f>
        <v>725</v>
      </c>
      <c r="CT60" s="26">
        <f>IF(ISNUMBER(VLOOKUP($D60,'Visu totale'!$D:$DH,CT$1,0)),CS60-VLOOKUP($D60,'Visu totale'!$D:$DH,CT$1,0),IF(LEFT(VLOOKUP($D60,'Visu totale'!$D:$DH,CT$1,0),1)="V",IF(CS60&gt;=INDEX('[1]Définition Maintenances'!$G:$G,MATCH($A60,'[1]Définition Maintenances'!$K:$K,0)),CS60,INDEX('[1]Définition Maintenances'!$G:$G,MATCH($A60,'[1]Définition Maintenances'!$K:$K,0))+CS60),CS60))</f>
        <v>725</v>
      </c>
      <c r="CU60" s="26">
        <f>IF(ISNUMBER(VLOOKUP($D60,'Visu totale'!$D:$DH,CU$1,0)),CT60-VLOOKUP($D60,'Visu totale'!$D:$DH,CU$1,0),IF(LEFT(VLOOKUP($D60,'Visu totale'!$D:$DH,CU$1,0),1)="V",IF(CT60&gt;=INDEX('[1]Définition Maintenances'!$G:$G,MATCH($A60,'[1]Définition Maintenances'!$K:$K,0)),CT60,INDEX('[1]Définition Maintenances'!$G:$G,MATCH($A60,'[1]Définition Maintenances'!$K:$K,0))+CT60),CT60))</f>
        <v>725</v>
      </c>
      <c r="CV60" s="26">
        <f>IF(ISNUMBER(VLOOKUP($D60,'Visu totale'!$D:$DH,CV$1,0)),CU60-VLOOKUP($D60,'Visu totale'!$D:$DH,CV$1,0),IF(LEFT(VLOOKUP($D60,'Visu totale'!$D:$DH,CV$1,0),1)="V",IF(CU60&gt;=INDEX('[1]Définition Maintenances'!$G:$G,MATCH($A60,'[1]Définition Maintenances'!$K:$K,0)),CU60,INDEX('[1]Définition Maintenances'!$G:$G,MATCH($A60,'[1]Définition Maintenances'!$K:$K,0))+CU60),CU60))</f>
        <v>725</v>
      </c>
      <c r="CW60" s="27">
        <f>IF(ISNUMBER(VLOOKUP($D60,'Visu totale'!$D:$DH,CW$1,0)),CV60-VLOOKUP($D60,'Visu totale'!$D:$DH,CW$1,0),IF(LEFT(VLOOKUP($D60,'Visu totale'!$D:$DH,CW$1,0),1)="V",IF(CV60&gt;=INDEX('[1]Définition Maintenances'!$G:$G,MATCH($A60,'[1]Définition Maintenances'!$K:$K,0)),CV60,INDEX('[1]Définition Maintenances'!$G:$G,MATCH($A60,'[1]Définition Maintenances'!$K:$K,0))+CV60),CV60))</f>
        <v>725</v>
      </c>
      <c r="CX60" s="25">
        <f>IF(ISNUMBER(VLOOKUP($D60,'Visu totale'!$D:$DH,CX$1,0)),CW60-VLOOKUP($D60,'Visu totale'!$D:$DH,CX$1,0),IF(LEFT(VLOOKUP($D60,'Visu totale'!$D:$DH,CX$1,0),1)="V",IF(CW60&gt;=INDEX('[1]Définition Maintenances'!$G:$G,MATCH($A60,'[1]Définition Maintenances'!$K:$K,0)),CW60,INDEX('[1]Définition Maintenances'!$G:$G,MATCH($A60,'[1]Définition Maintenances'!$K:$K,0))+CW60),CW60))</f>
        <v>725</v>
      </c>
      <c r="CY60" s="26">
        <f>IF(ISNUMBER(VLOOKUP($D60,'Visu totale'!$D:$DH,CY$1,0)),CX60-VLOOKUP($D60,'Visu totale'!$D:$DH,CY$1,0),IF(LEFT(VLOOKUP($D60,'Visu totale'!$D:$DH,CY$1,0),1)="V",IF(CX60&gt;=INDEX('[1]Définition Maintenances'!$G:$G,MATCH($A60,'[1]Définition Maintenances'!$K:$K,0)),CX60,INDEX('[1]Définition Maintenances'!$G:$G,MATCH($A60,'[1]Définition Maintenances'!$K:$K,0))+CX60),CX60))</f>
        <v>725</v>
      </c>
      <c r="CZ60" s="26">
        <f>IF(ISNUMBER(VLOOKUP($D60,'Visu totale'!$D:$DH,CZ$1,0)),CY60-VLOOKUP($D60,'Visu totale'!$D:$DH,CZ$1,0),IF(LEFT(VLOOKUP($D60,'Visu totale'!$D:$DH,CZ$1,0),1)="V",IF(CY60&gt;=INDEX('[1]Définition Maintenances'!$G:$G,MATCH($A60,'[1]Définition Maintenances'!$K:$K,0)),CY60,INDEX('[1]Définition Maintenances'!$G:$G,MATCH($A60,'[1]Définition Maintenances'!$K:$K,0))+CY60),CY60))</f>
        <v>725</v>
      </c>
      <c r="DA60" s="26">
        <f>IF(ISNUMBER(VLOOKUP($D60,'Visu totale'!$D:$DH,DA$1,0)),CZ60-VLOOKUP($D60,'Visu totale'!$D:$DH,DA$1,0),IF(LEFT(VLOOKUP($D60,'Visu totale'!$D:$DH,DA$1,0),1)="V",IF(CZ60&gt;=INDEX('[1]Définition Maintenances'!$G:$G,MATCH($A60,'[1]Définition Maintenances'!$K:$K,0)),CZ60,INDEX('[1]Définition Maintenances'!$G:$G,MATCH($A60,'[1]Définition Maintenances'!$K:$K,0))+CZ60),CZ60))</f>
        <v>725</v>
      </c>
      <c r="DB60" s="26">
        <f>IF(ISNUMBER(VLOOKUP($D60,'Visu totale'!$D:$DH,DB$1,0)),DA60-VLOOKUP($D60,'Visu totale'!$D:$DH,DB$1,0),IF(LEFT(VLOOKUP($D60,'Visu totale'!$D:$DH,DB$1,0),1)="V",IF(DA60&gt;=INDEX('[1]Définition Maintenances'!$G:$G,MATCH($A60,'[1]Définition Maintenances'!$K:$K,0)),DA60,INDEX('[1]Définition Maintenances'!$G:$G,MATCH($A60,'[1]Définition Maintenances'!$K:$K,0))+DA60),DA60))</f>
        <v>725</v>
      </c>
      <c r="DC60" s="26">
        <f>IF(ISNUMBER(VLOOKUP($D60,'Visu totale'!$D:$DH,DC$1,0)),DB60-VLOOKUP($D60,'Visu totale'!$D:$DH,DC$1,0),IF(LEFT(VLOOKUP($D60,'Visu totale'!$D:$DH,DC$1,0),1)="V",IF(DB60&gt;=INDEX('[1]Définition Maintenances'!$G:$G,MATCH($A60,'[1]Définition Maintenances'!$K:$K,0)),DB60,INDEX('[1]Définition Maintenances'!$G:$G,MATCH($A60,'[1]Définition Maintenances'!$K:$K,0))+DB60),DB60))</f>
        <v>725</v>
      </c>
      <c r="DD60" s="26">
        <f>IF(ISNUMBER(VLOOKUP($D60,'Visu totale'!$D:$DH,DD$1,0)),DC60-VLOOKUP($D60,'Visu totale'!$D:$DH,DD$1,0),IF(LEFT(VLOOKUP($D60,'Visu totale'!$D:$DH,DD$1,0),1)="V",IF(DC60&gt;=INDEX('[1]Définition Maintenances'!$G:$G,MATCH($A60,'[1]Définition Maintenances'!$K:$K,0)),DC60,INDEX('[1]Définition Maintenances'!$G:$G,MATCH($A60,'[1]Définition Maintenances'!$K:$K,0))+DC60),DC60))</f>
        <v>725</v>
      </c>
      <c r="DE60" s="26">
        <f>IF(ISNUMBER(VLOOKUP($D60,'Visu totale'!$D:$DH,DE$1,0)),DD60-VLOOKUP($D60,'Visu totale'!$D:$DH,DE$1,0),IF(LEFT(VLOOKUP($D60,'Visu totale'!$D:$DH,DE$1,0),1)="V",IF(DD60&gt;=INDEX('[1]Définition Maintenances'!$G:$G,MATCH($A60,'[1]Définition Maintenances'!$K:$K,0)),DD60,INDEX('[1]Définition Maintenances'!$G:$G,MATCH($A60,'[1]Définition Maintenances'!$K:$K,0))+DD60),DD60))</f>
        <v>725</v>
      </c>
      <c r="DF60" s="26">
        <f>IF(ISNUMBER(VLOOKUP($D60,'Visu totale'!$D:$DH,DF$1,0)),DE60-VLOOKUP($D60,'Visu totale'!$D:$DH,DF$1,0),IF(LEFT(VLOOKUP($D60,'Visu totale'!$D:$DH,DF$1,0),1)="V",IF(DE60&gt;=INDEX('[1]Définition Maintenances'!$G:$G,MATCH($A60,'[1]Définition Maintenances'!$K:$K,0)),DE60,INDEX('[1]Définition Maintenances'!$G:$G,MATCH($A60,'[1]Définition Maintenances'!$K:$K,0))+DE60),DE60))</f>
        <v>725</v>
      </c>
      <c r="DG60" s="26">
        <f>IF(ISNUMBER(VLOOKUP($D60,'Visu totale'!$D:$DH,DG$1,0)),DF60-VLOOKUP($D60,'Visu totale'!$D:$DH,DG$1,0),IF(LEFT(VLOOKUP($D60,'Visu totale'!$D:$DH,DG$1,0),1)="V",IF(DF60&gt;=INDEX('[1]Définition Maintenances'!$G:$G,MATCH($A60,'[1]Définition Maintenances'!$K:$K,0)),DF60,INDEX('[1]Définition Maintenances'!$G:$G,MATCH($A60,'[1]Définition Maintenances'!$K:$K,0))+DF60),DF60))</f>
        <v>725</v>
      </c>
      <c r="DH60" s="26">
        <f>IF(ISNUMBER(VLOOKUP($D60,'Visu totale'!$D:$DH,DH$1,0)),DG60-VLOOKUP($D60,'Visu totale'!$D:$DH,DH$1,0),IF(LEFT(VLOOKUP($D60,'Visu totale'!$D:$DH,DH$1,0),1)="V",IF(DG60&gt;=INDEX('[1]Définition Maintenances'!$G:$G,MATCH($A60,'[1]Définition Maintenances'!$K:$K,0)),DG60,INDEX('[1]Définition Maintenances'!$G:$G,MATCH($A60,'[1]Définition Maintenances'!$K:$K,0))+DG60),DG60))</f>
        <v>725</v>
      </c>
      <c r="DI60" s="27">
        <f>IF(ISNUMBER(VLOOKUP($D60,'Visu totale'!$D:$DH,DI$1,0)),DH60-VLOOKUP($D60,'Visu totale'!$D:$DH,DI$1,0),IF(LEFT(VLOOKUP($D60,'Visu totale'!$D:$DH,DI$1,0),1)="V",IF(DH60&gt;=INDEX('[1]Définition Maintenances'!$G:$G,MATCH($A60,'[1]Définition Maintenances'!$K:$K,0)),DH60,INDEX('[1]Définition Maintenances'!$G:$G,MATCH($A60,'[1]Définition Maintenances'!$K:$K,0))+DH60),DH60))</f>
        <v>725</v>
      </c>
    </row>
    <row r="61" spans="1:113" x14ac:dyDescent="0.25">
      <c r="A61" s="13" t="str">
        <f t="shared" si="1"/>
        <v>V15D</v>
      </c>
      <c r="B61" s="13" t="str">
        <f>VLOOKUP(D61,'[1]Avions (Potentiels)'!$B$2:$H$128,7,FALSE)</f>
        <v>V15</v>
      </c>
      <c r="C61" s="13"/>
      <c r="D61" s="16" t="s">
        <v>64</v>
      </c>
      <c r="E61" s="13">
        <f>IFERROR(VALUE(SUBSTITUTE(VLOOKUP(D61,'[1]Avions (Potentiels)'!$B:$E,4,0),".",",")),VALUE(VLOOKUP(D61,'[1]Avions (Potentiels)'!$B:$E,4,0)))</f>
        <v>610</v>
      </c>
      <c r="F61" s="25">
        <f>IF(ISNUMBER(VLOOKUP($D61,'Visu totale'!$D:$DH,F$1,0)),E61-VLOOKUP($D61,'Visu totale'!$D:$DH,F$1,0),IF(LEFT(VLOOKUP($D61,'Visu totale'!$D:$DH,F$1,0),1)="V",IF(E61&gt;=INDEX('[1]Définition Maintenances'!$G:$G,MATCH($A61,'[1]Définition Maintenances'!$K:$K,0)),E61,INDEX('[1]Définition Maintenances'!$G:$G,MATCH($A61,'[1]Définition Maintenances'!$K:$K,0))+E61),E61))</f>
        <v>610</v>
      </c>
      <c r="G61" s="26">
        <f>IF(ISNUMBER(VLOOKUP($D61,'Visu totale'!$D:$DH,G$1,0)),F61-VLOOKUP($D61,'Visu totale'!$D:$DH,G$1,0),IF(LEFT(VLOOKUP($D61,'Visu totale'!$D:$DH,G$1,0),1)="V",IF(F61&gt;=INDEX('[1]Définition Maintenances'!$G:$G,MATCH($A61,'[1]Définition Maintenances'!$K:$K,0)),F61,INDEX('[1]Définition Maintenances'!$G:$G,MATCH($A61,'[1]Définition Maintenances'!$K:$K,0))+F61),F61))</f>
        <v>610</v>
      </c>
      <c r="H61" s="26">
        <f>IF(ISNUMBER(VLOOKUP($D61,'Visu totale'!$D:$DH,H$1,0)),G61-VLOOKUP($D61,'Visu totale'!$D:$DH,H$1,0),IF(LEFT(VLOOKUP($D61,'Visu totale'!$D:$DH,H$1,0),1)="V",IF(G61&gt;=INDEX('[1]Définition Maintenances'!$G:$G,MATCH($A61,'[1]Définition Maintenances'!$K:$K,0)),G61,INDEX('[1]Définition Maintenances'!$G:$G,MATCH($A61,'[1]Définition Maintenances'!$K:$K,0))+G61),G61))</f>
        <v>610</v>
      </c>
      <c r="I61" s="26">
        <f>IF(ISNUMBER(VLOOKUP($D61,'Visu totale'!$D:$DH,I$1,0)),H61-VLOOKUP($D61,'Visu totale'!$D:$DH,I$1,0),IF(LEFT(VLOOKUP($D61,'Visu totale'!$D:$DH,I$1,0),1)="V",IF(H61&gt;=INDEX('[1]Définition Maintenances'!$G:$G,MATCH($A61,'[1]Définition Maintenances'!$K:$K,0)),H61,INDEX('[1]Définition Maintenances'!$G:$G,MATCH($A61,'[1]Définition Maintenances'!$K:$K,0))+H61),H61))</f>
        <v>610</v>
      </c>
      <c r="J61" s="26">
        <f>IF(ISNUMBER(VLOOKUP($D61,'Visu totale'!$D:$DH,J$1,0)),I61-VLOOKUP($D61,'Visu totale'!$D:$DH,J$1,0),IF(LEFT(VLOOKUP($D61,'Visu totale'!$D:$DH,J$1,0),1)="V",IF(I61&gt;=INDEX('[1]Définition Maintenances'!$G:$G,MATCH($A61,'[1]Définition Maintenances'!$K:$K,0)),I61,INDEX('[1]Définition Maintenances'!$G:$G,MATCH($A61,'[1]Définition Maintenances'!$K:$K,0))+I61),I61))</f>
        <v>610</v>
      </c>
      <c r="K61" s="26">
        <f>IF(ISNUMBER(VLOOKUP($D61,'Visu totale'!$D:$DH,K$1,0)),J61-VLOOKUP($D61,'Visu totale'!$D:$DH,K$1,0),IF(LEFT(VLOOKUP($D61,'Visu totale'!$D:$DH,K$1,0),1)="V",IF(J61&gt;=INDEX('[1]Définition Maintenances'!$G:$G,MATCH($A61,'[1]Définition Maintenances'!$K:$K,0)),J61,INDEX('[1]Définition Maintenances'!$G:$G,MATCH($A61,'[1]Définition Maintenances'!$K:$K,0))+J61),J61))</f>
        <v>610</v>
      </c>
      <c r="L61" s="26">
        <f>IF(ISNUMBER(VLOOKUP($D61,'Visu totale'!$D:$DH,L$1,0)),K61-VLOOKUP($D61,'Visu totale'!$D:$DH,L$1,0),IF(LEFT(VLOOKUP($D61,'Visu totale'!$D:$DH,L$1,0),1)="V",IF(K61&gt;=INDEX('[1]Définition Maintenances'!$G:$G,MATCH($A61,'[1]Définition Maintenances'!$K:$K,0)),K61,INDEX('[1]Définition Maintenances'!$G:$G,MATCH($A61,'[1]Définition Maintenances'!$K:$K,0))+K61),K61))</f>
        <v>610</v>
      </c>
      <c r="M61" s="26">
        <f>IF(ISNUMBER(VLOOKUP($D61,'Visu totale'!$D:$DH,M$1,0)),L61-VLOOKUP($D61,'Visu totale'!$D:$DH,M$1,0),IF(LEFT(VLOOKUP($D61,'Visu totale'!$D:$DH,M$1,0),1)="V",IF(L61&gt;=INDEX('[1]Définition Maintenances'!$G:$G,MATCH($A61,'[1]Définition Maintenances'!$K:$K,0)),L61,INDEX('[1]Définition Maintenances'!$G:$G,MATCH($A61,'[1]Définition Maintenances'!$K:$K,0))+L61),L61))</f>
        <v>610</v>
      </c>
      <c r="N61" s="26">
        <f>IF(ISNUMBER(VLOOKUP($D61,'Visu totale'!$D:$DH,N$1,0)),M61-VLOOKUP($D61,'Visu totale'!$D:$DH,N$1,0),IF(LEFT(VLOOKUP($D61,'Visu totale'!$D:$DH,N$1,0),1)="V",IF(M61&gt;=INDEX('[1]Définition Maintenances'!$G:$G,MATCH($A61,'[1]Définition Maintenances'!$K:$K,0)),M61,INDEX('[1]Définition Maintenances'!$G:$G,MATCH($A61,'[1]Définition Maintenances'!$K:$K,0))+M61),M61))</f>
        <v>610</v>
      </c>
      <c r="O61" s="26">
        <f>IF(ISNUMBER(VLOOKUP($D61,'Visu totale'!$D:$DH,O$1,0)),N61-VLOOKUP($D61,'Visu totale'!$D:$DH,O$1,0),IF(LEFT(VLOOKUP($D61,'Visu totale'!$D:$DH,O$1,0),1)="V",IF(N61&gt;=INDEX('[1]Définition Maintenances'!$G:$G,MATCH($A61,'[1]Définition Maintenances'!$K:$K,0)),N61,INDEX('[1]Définition Maintenances'!$G:$G,MATCH($A61,'[1]Définition Maintenances'!$K:$K,0))+N61),N61))</f>
        <v>610</v>
      </c>
      <c r="P61" s="26">
        <f>IF(ISNUMBER(VLOOKUP($D61,'Visu totale'!$D:$DH,P$1,0)),O61-VLOOKUP($D61,'Visu totale'!$D:$DH,P$1,0),IF(LEFT(VLOOKUP($D61,'Visu totale'!$D:$DH,P$1,0),1)="V",IF(O61&gt;=INDEX('[1]Définition Maintenances'!$G:$G,MATCH($A61,'[1]Définition Maintenances'!$K:$K,0)),O61,INDEX('[1]Définition Maintenances'!$G:$G,MATCH($A61,'[1]Définition Maintenances'!$K:$K,0))+O61),O61))</f>
        <v>610</v>
      </c>
      <c r="Q61" s="27">
        <f>IF(ISNUMBER(VLOOKUP($D61,'Visu totale'!$D:$DH,Q$1,0)),P61-VLOOKUP($D61,'Visu totale'!$D:$DH,Q$1,0),IF(LEFT(VLOOKUP($D61,'Visu totale'!$D:$DH,Q$1,0),1)="V",IF(P61&gt;=INDEX('[1]Définition Maintenances'!$G:$G,MATCH($A61,'[1]Définition Maintenances'!$K:$K,0)),P61,INDEX('[1]Définition Maintenances'!$G:$G,MATCH($A61,'[1]Définition Maintenances'!$K:$K,0))+P61),P61))</f>
        <v>610</v>
      </c>
      <c r="R61" s="25">
        <f>IF(ISNUMBER(VLOOKUP($D61,'Visu totale'!$D:$DH,R$1,0)),Q61-VLOOKUP($D61,'Visu totale'!$D:$DH,R$1,0),IF(LEFT(VLOOKUP($D61,'Visu totale'!$D:$DH,R$1,0),1)="V",IF(Q61&gt;=INDEX('[1]Définition Maintenances'!$G:$G,MATCH($A61,'[1]Définition Maintenances'!$K:$K,0)),Q61,INDEX('[1]Définition Maintenances'!$G:$G,MATCH($A61,'[1]Définition Maintenances'!$K:$K,0))+Q61),Q61))</f>
        <v>610</v>
      </c>
      <c r="S61" s="26">
        <f>IF(ISNUMBER(VLOOKUP($D61,'Visu totale'!$D:$DH,S$1,0)),R61-VLOOKUP($D61,'Visu totale'!$D:$DH,S$1,0),IF(LEFT(VLOOKUP($D61,'Visu totale'!$D:$DH,S$1,0),1)="V",IF(R61&gt;=INDEX('[1]Définition Maintenances'!$G:$G,MATCH($A61,'[1]Définition Maintenances'!$K:$K,0)),R61,INDEX('[1]Définition Maintenances'!$G:$G,MATCH($A61,'[1]Définition Maintenances'!$K:$K,0))+R61),R61))</f>
        <v>610</v>
      </c>
      <c r="T61" s="26">
        <f>IF(ISNUMBER(VLOOKUP($D61,'Visu totale'!$D:$DH,T$1,0)),S61-VLOOKUP($D61,'Visu totale'!$D:$DH,T$1,0),IF(LEFT(VLOOKUP($D61,'Visu totale'!$D:$DH,T$1,0),1)="V",IF(S61&gt;=INDEX('[1]Définition Maintenances'!$G:$G,MATCH($A61,'[1]Définition Maintenances'!$K:$K,0)),S61,INDEX('[1]Définition Maintenances'!$G:$G,MATCH($A61,'[1]Définition Maintenances'!$K:$K,0))+S61),S61))</f>
        <v>610</v>
      </c>
      <c r="U61" s="26">
        <f>IF(ISNUMBER(VLOOKUP($D61,'Visu totale'!$D:$DH,U$1,0)),T61-VLOOKUP($D61,'Visu totale'!$D:$DH,U$1,0),IF(LEFT(VLOOKUP($D61,'Visu totale'!$D:$DH,U$1,0),1)="V",IF(T61&gt;=INDEX('[1]Définition Maintenances'!$G:$G,MATCH($A61,'[1]Définition Maintenances'!$K:$K,0)),T61,INDEX('[1]Définition Maintenances'!$G:$G,MATCH($A61,'[1]Définition Maintenances'!$K:$K,0))+T61),T61))</f>
        <v>610</v>
      </c>
      <c r="V61" s="26">
        <f>IF(ISNUMBER(VLOOKUP($D61,'Visu totale'!$D:$DH,V$1,0)),U61-VLOOKUP($D61,'Visu totale'!$D:$DH,V$1,0),IF(LEFT(VLOOKUP($D61,'Visu totale'!$D:$DH,V$1,0),1)="V",IF(U61&gt;=INDEX('[1]Définition Maintenances'!$G:$G,MATCH($A61,'[1]Définition Maintenances'!$K:$K,0)),U61,INDEX('[1]Définition Maintenances'!$G:$G,MATCH($A61,'[1]Définition Maintenances'!$K:$K,0))+U61),U61))</f>
        <v>610</v>
      </c>
      <c r="W61" s="26">
        <f>IF(ISNUMBER(VLOOKUP($D61,'Visu totale'!$D:$DH,W$1,0)),V61-VLOOKUP($D61,'Visu totale'!$D:$DH,W$1,0),IF(LEFT(VLOOKUP($D61,'Visu totale'!$D:$DH,W$1,0),1)="V",IF(V61&gt;=INDEX('[1]Définition Maintenances'!$G:$G,MATCH($A61,'[1]Définition Maintenances'!$K:$K,0)),V61,INDEX('[1]Définition Maintenances'!$G:$G,MATCH($A61,'[1]Définition Maintenances'!$K:$K,0))+V61),V61))</f>
        <v>610</v>
      </c>
      <c r="X61" s="26">
        <f>IF(ISNUMBER(VLOOKUP($D61,'Visu totale'!$D:$DH,X$1,0)),W61-VLOOKUP($D61,'Visu totale'!$D:$DH,X$1,0),IF(LEFT(VLOOKUP($D61,'Visu totale'!$D:$DH,X$1,0),1)="V",IF(W61&gt;=INDEX('[1]Définition Maintenances'!$G:$G,MATCH($A61,'[1]Définition Maintenances'!$K:$K,0)),W61,INDEX('[1]Définition Maintenances'!$G:$G,MATCH($A61,'[1]Définition Maintenances'!$K:$K,0))+W61),W61))</f>
        <v>610</v>
      </c>
      <c r="Y61" s="26">
        <f>IF(ISNUMBER(VLOOKUP($D61,'Visu totale'!$D:$DH,Y$1,0)),X61-VLOOKUP($D61,'Visu totale'!$D:$DH,Y$1,0),IF(LEFT(VLOOKUP($D61,'Visu totale'!$D:$DH,Y$1,0),1)="V",IF(X61&gt;=INDEX('[1]Définition Maintenances'!$G:$G,MATCH($A61,'[1]Définition Maintenances'!$K:$K,0)),X61,INDEX('[1]Définition Maintenances'!$G:$G,MATCH($A61,'[1]Définition Maintenances'!$K:$K,0))+X61),X61))</f>
        <v>610</v>
      </c>
      <c r="Z61" s="26">
        <f>IF(ISNUMBER(VLOOKUP($D61,'Visu totale'!$D:$DH,Z$1,0)),Y61-VLOOKUP($D61,'Visu totale'!$D:$DH,Z$1,0),IF(LEFT(VLOOKUP($D61,'Visu totale'!$D:$DH,Z$1,0),1)="V",IF(Y61&gt;=INDEX('[1]Définition Maintenances'!$G:$G,MATCH($A61,'[1]Définition Maintenances'!$K:$K,0)),Y61,INDEX('[1]Définition Maintenances'!$G:$G,MATCH($A61,'[1]Définition Maintenances'!$K:$K,0))+Y61),Y61))</f>
        <v>610</v>
      </c>
      <c r="AA61" s="26">
        <f>IF(ISNUMBER(VLOOKUP($D61,'Visu totale'!$D:$DH,AA$1,0)),Z61-VLOOKUP($D61,'Visu totale'!$D:$DH,AA$1,0),IF(LEFT(VLOOKUP($D61,'Visu totale'!$D:$DH,AA$1,0),1)="V",IF(Z61&gt;=INDEX('[1]Définition Maintenances'!$G:$G,MATCH($A61,'[1]Définition Maintenances'!$K:$K,0)),Z61,INDEX('[1]Définition Maintenances'!$G:$G,MATCH($A61,'[1]Définition Maintenances'!$K:$K,0))+Z61),Z61))</f>
        <v>610</v>
      </c>
      <c r="AB61" s="26">
        <f>IF(ISNUMBER(VLOOKUP($D61,'Visu totale'!$D:$DH,AB$1,0)),AA61-VLOOKUP($D61,'Visu totale'!$D:$DH,AB$1,0),IF(LEFT(VLOOKUP($D61,'Visu totale'!$D:$DH,AB$1,0),1)="V",IF(AA61&gt;=INDEX('[1]Définition Maintenances'!$G:$G,MATCH($A61,'[1]Définition Maintenances'!$K:$K,0)),AA61,INDEX('[1]Définition Maintenances'!$G:$G,MATCH($A61,'[1]Définition Maintenances'!$K:$K,0))+AA61),AA61))</f>
        <v>610</v>
      </c>
      <c r="AC61" s="27">
        <f>IF(ISNUMBER(VLOOKUP($D61,'Visu totale'!$D:$DH,AC$1,0)),AB61-VLOOKUP($D61,'Visu totale'!$D:$DH,AC$1,0),IF(LEFT(VLOOKUP($D61,'Visu totale'!$D:$DH,AC$1,0),1)="V",IF(AB61&gt;=INDEX('[1]Définition Maintenances'!$G:$G,MATCH($A61,'[1]Définition Maintenances'!$K:$K,0)),AB61,INDEX('[1]Définition Maintenances'!$G:$G,MATCH($A61,'[1]Définition Maintenances'!$K:$K,0))+AB61),AB61))</f>
        <v>610</v>
      </c>
      <c r="AD61" s="25">
        <f>IF(ISNUMBER(VLOOKUP($D61,'Visu totale'!$D:$DH,AD$1,0)),AC61-VLOOKUP($D61,'Visu totale'!$D:$DH,AD$1,0),IF(LEFT(VLOOKUP($D61,'Visu totale'!$D:$DH,AD$1,0),1)="V",IF(AC61&gt;=INDEX('[1]Définition Maintenances'!$G:$G,MATCH($A61,'[1]Définition Maintenances'!$K:$K,0)),AC61,INDEX('[1]Définition Maintenances'!$G:$G,MATCH($A61,'[1]Définition Maintenances'!$K:$K,0))+AC61),AC61))</f>
        <v>610</v>
      </c>
      <c r="AE61" s="26">
        <f>IF(ISNUMBER(VLOOKUP($D61,'Visu totale'!$D:$DH,AE$1,0)),AD61-VLOOKUP($D61,'Visu totale'!$D:$DH,AE$1,0),IF(LEFT(VLOOKUP($D61,'Visu totale'!$D:$DH,AE$1,0),1)="V",IF(AD61&gt;=INDEX('[1]Définition Maintenances'!$G:$G,MATCH($A61,'[1]Définition Maintenances'!$K:$K,0)),AD61,INDEX('[1]Définition Maintenances'!$G:$G,MATCH($A61,'[1]Définition Maintenances'!$K:$K,0))+AD61),AD61))</f>
        <v>610</v>
      </c>
      <c r="AF61" s="26">
        <f>IF(ISNUMBER(VLOOKUP($D61,'Visu totale'!$D:$DH,AF$1,0)),AE61-VLOOKUP($D61,'Visu totale'!$D:$DH,AF$1,0),IF(LEFT(VLOOKUP($D61,'Visu totale'!$D:$DH,AF$1,0),1)="V",IF(AE61&gt;=INDEX('[1]Définition Maintenances'!$G:$G,MATCH($A61,'[1]Définition Maintenances'!$K:$K,0)),AE61,INDEX('[1]Définition Maintenances'!$G:$G,MATCH($A61,'[1]Définition Maintenances'!$K:$K,0))+AE61),AE61))</f>
        <v>610</v>
      </c>
      <c r="AG61" s="26">
        <f>IF(ISNUMBER(VLOOKUP($D61,'Visu totale'!$D:$DH,AG$1,0)),AF61-VLOOKUP($D61,'Visu totale'!$D:$DH,AG$1,0),IF(LEFT(VLOOKUP($D61,'Visu totale'!$D:$DH,AG$1,0),1)="V",IF(AF61&gt;=INDEX('[1]Définition Maintenances'!$G:$G,MATCH($A61,'[1]Définition Maintenances'!$K:$K,0)),AF61,INDEX('[1]Définition Maintenances'!$G:$G,MATCH($A61,'[1]Définition Maintenances'!$K:$K,0))+AF61),AF61))</f>
        <v>610</v>
      </c>
      <c r="AH61" s="26">
        <f>IF(ISNUMBER(VLOOKUP($D61,'Visu totale'!$D:$DH,AH$1,0)),AG61-VLOOKUP($D61,'Visu totale'!$D:$DH,AH$1,0),IF(LEFT(VLOOKUP($D61,'Visu totale'!$D:$DH,AH$1,0),1)="V",IF(AG61&gt;=INDEX('[1]Définition Maintenances'!$G:$G,MATCH($A61,'[1]Définition Maintenances'!$K:$K,0)),AG61,INDEX('[1]Définition Maintenances'!$G:$G,MATCH($A61,'[1]Définition Maintenances'!$K:$K,0))+AG61),AG61))</f>
        <v>610</v>
      </c>
      <c r="AI61" s="26">
        <f>IF(ISNUMBER(VLOOKUP($D61,'Visu totale'!$D:$DH,AI$1,0)),AH61-VLOOKUP($D61,'Visu totale'!$D:$DH,AI$1,0),IF(LEFT(VLOOKUP($D61,'Visu totale'!$D:$DH,AI$1,0),1)="V",IF(AH61&gt;=INDEX('[1]Définition Maintenances'!$G:$G,MATCH($A61,'[1]Définition Maintenances'!$K:$K,0)),AH61,INDEX('[1]Définition Maintenances'!$G:$G,MATCH($A61,'[1]Définition Maintenances'!$K:$K,0))+AH61),AH61))</f>
        <v>610</v>
      </c>
      <c r="AJ61" s="26">
        <f>IF(ISNUMBER(VLOOKUP($D61,'Visu totale'!$D:$DH,AJ$1,0)),AI61-VLOOKUP($D61,'Visu totale'!$D:$DH,AJ$1,0),IF(LEFT(VLOOKUP($D61,'Visu totale'!$D:$DH,AJ$1,0),1)="V",IF(AI61&gt;=INDEX('[1]Définition Maintenances'!$G:$G,MATCH($A61,'[1]Définition Maintenances'!$K:$K,0)),AI61,INDEX('[1]Définition Maintenances'!$G:$G,MATCH($A61,'[1]Définition Maintenances'!$K:$K,0))+AI61),AI61))</f>
        <v>610</v>
      </c>
      <c r="AK61" s="26">
        <f>IF(ISNUMBER(VLOOKUP($D61,'Visu totale'!$D:$DH,AK$1,0)),AJ61-VLOOKUP($D61,'Visu totale'!$D:$DH,AK$1,0),IF(LEFT(VLOOKUP($D61,'Visu totale'!$D:$DH,AK$1,0),1)="V",IF(AJ61&gt;=INDEX('[1]Définition Maintenances'!$G:$G,MATCH($A61,'[1]Définition Maintenances'!$K:$K,0)),AJ61,INDEX('[1]Définition Maintenances'!$G:$G,MATCH($A61,'[1]Définition Maintenances'!$K:$K,0))+AJ61),AJ61))</f>
        <v>610</v>
      </c>
      <c r="AL61" s="26">
        <f>IF(ISNUMBER(VLOOKUP($D61,'Visu totale'!$D:$DH,AL$1,0)),AK61-VLOOKUP($D61,'Visu totale'!$D:$DH,AL$1,0),IF(LEFT(VLOOKUP($D61,'Visu totale'!$D:$DH,AL$1,0),1)="V",IF(AK61&gt;=INDEX('[1]Définition Maintenances'!$G:$G,MATCH($A61,'[1]Définition Maintenances'!$K:$K,0)),AK61,INDEX('[1]Définition Maintenances'!$G:$G,MATCH($A61,'[1]Définition Maintenances'!$K:$K,0))+AK61),AK61))</f>
        <v>610</v>
      </c>
      <c r="AM61" s="26">
        <f>IF(ISNUMBER(VLOOKUP($D61,'Visu totale'!$D:$DH,AM$1,0)),AL61-VLOOKUP($D61,'Visu totale'!$D:$DH,AM$1,0),IF(LEFT(VLOOKUP($D61,'Visu totale'!$D:$DH,AM$1,0),1)="V",IF(AL61&gt;=INDEX('[1]Définition Maintenances'!$G:$G,MATCH($A61,'[1]Définition Maintenances'!$K:$K,0)),AL61,INDEX('[1]Définition Maintenances'!$G:$G,MATCH($A61,'[1]Définition Maintenances'!$K:$K,0))+AL61),AL61))</f>
        <v>610</v>
      </c>
      <c r="AN61" s="26">
        <f>IF(ISNUMBER(VLOOKUP($D61,'Visu totale'!$D:$DH,AN$1,0)),AM61-VLOOKUP($D61,'Visu totale'!$D:$DH,AN$1,0),IF(LEFT(VLOOKUP($D61,'Visu totale'!$D:$DH,AN$1,0),1)="V",IF(AM61&gt;=INDEX('[1]Définition Maintenances'!$G:$G,MATCH($A61,'[1]Définition Maintenances'!$K:$K,0)),AM61,INDEX('[1]Définition Maintenances'!$G:$G,MATCH($A61,'[1]Définition Maintenances'!$K:$K,0))+AM61),AM61))</f>
        <v>610</v>
      </c>
      <c r="AO61" s="27">
        <f>IF(ISNUMBER(VLOOKUP($D61,'Visu totale'!$D:$DH,AO$1,0)),AN61-VLOOKUP($D61,'Visu totale'!$D:$DH,AO$1,0),IF(LEFT(VLOOKUP($D61,'Visu totale'!$D:$DH,AO$1,0),1)="V",IF(AN61&gt;=INDEX('[1]Définition Maintenances'!$G:$G,MATCH($A61,'[1]Définition Maintenances'!$K:$K,0)),AN61,INDEX('[1]Définition Maintenances'!$G:$G,MATCH($A61,'[1]Définition Maintenances'!$K:$K,0))+AN61),AN61))</f>
        <v>610</v>
      </c>
      <c r="AP61" s="25">
        <f>IF(ISNUMBER(VLOOKUP($D61,'Visu totale'!$D:$DH,AP$1,0)),AO61-VLOOKUP($D61,'Visu totale'!$D:$DH,AP$1,0),IF(LEFT(VLOOKUP($D61,'Visu totale'!$D:$DH,AP$1,0),1)="V",IF(AO61&gt;=INDEX('[1]Définition Maintenances'!$G:$G,MATCH($A61,'[1]Définition Maintenances'!$K:$K,0)),AO61,INDEX('[1]Définition Maintenances'!$G:$G,MATCH($A61,'[1]Définition Maintenances'!$K:$K,0))+AO61),AO61))</f>
        <v>610</v>
      </c>
      <c r="AQ61" s="26">
        <f>IF(ISNUMBER(VLOOKUP($D61,'Visu totale'!$D:$DH,AQ$1,0)),AP61-VLOOKUP($D61,'Visu totale'!$D:$DH,AQ$1,0),IF(LEFT(VLOOKUP($D61,'Visu totale'!$D:$DH,AQ$1,0),1)="V",IF(AP61&gt;=INDEX('[1]Définition Maintenances'!$G:$G,MATCH($A61,'[1]Définition Maintenances'!$K:$K,0)),AP61,INDEX('[1]Définition Maintenances'!$G:$G,MATCH($A61,'[1]Définition Maintenances'!$K:$K,0))+AP61),AP61))</f>
        <v>610</v>
      </c>
      <c r="AR61" s="26">
        <f>IF(ISNUMBER(VLOOKUP($D61,'Visu totale'!$D:$DH,AR$1,0)),AQ61-VLOOKUP($D61,'Visu totale'!$D:$DH,AR$1,0),IF(LEFT(VLOOKUP($D61,'Visu totale'!$D:$DH,AR$1,0),1)="V",IF(AQ61&gt;=INDEX('[1]Définition Maintenances'!$G:$G,MATCH($A61,'[1]Définition Maintenances'!$K:$K,0)),AQ61,INDEX('[1]Définition Maintenances'!$G:$G,MATCH($A61,'[1]Définition Maintenances'!$K:$K,0))+AQ61),AQ61))</f>
        <v>610</v>
      </c>
      <c r="AS61" s="26">
        <f>IF(ISNUMBER(VLOOKUP($D61,'Visu totale'!$D:$DH,AS$1,0)),AR61-VLOOKUP($D61,'Visu totale'!$D:$DH,AS$1,0),IF(LEFT(VLOOKUP($D61,'Visu totale'!$D:$DH,AS$1,0),1)="V",IF(AR61&gt;=INDEX('[1]Définition Maintenances'!$G:$G,MATCH($A61,'[1]Définition Maintenances'!$K:$K,0)),AR61,INDEX('[1]Définition Maintenances'!$G:$G,MATCH($A61,'[1]Définition Maintenances'!$K:$K,0))+AR61),AR61))</f>
        <v>610</v>
      </c>
      <c r="AT61" s="26">
        <f>IF(ISNUMBER(VLOOKUP($D61,'Visu totale'!$D:$DH,AT$1,0)),AS61-VLOOKUP($D61,'Visu totale'!$D:$DH,AT$1,0),IF(LEFT(VLOOKUP($D61,'Visu totale'!$D:$DH,AT$1,0),1)="V",IF(AS61&gt;=INDEX('[1]Définition Maintenances'!$G:$G,MATCH($A61,'[1]Définition Maintenances'!$K:$K,0)),AS61,INDEX('[1]Définition Maintenances'!$G:$G,MATCH($A61,'[1]Définition Maintenances'!$K:$K,0))+AS61),AS61))</f>
        <v>610</v>
      </c>
      <c r="AU61" s="26">
        <f>IF(ISNUMBER(VLOOKUP($D61,'Visu totale'!$D:$DH,AU$1,0)),AT61-VLOOKUP($D61,'Visu totale'!$D:$DH,AU$1,0),IF(LEFT(VLOOKUP($D61,'Visu totale'!$D:$DH,AU$1,0),1)="V",IF(AT61&gt;=INDEX('[1]Définition Maintenances'!$G:$G,MATCH($A61,'[1]Définition Maintenances'!$K:$K,0)),AT61,INDEX('[1]Définition Maintenances'!$G:$G,MATCH($A61,'[1]Définition Maintenances'!$K:$K,0))+AT61),AT61))</f>
        <v>610</v>
      </c>
      <c r="AV61" s="26">
        <f>IF(ISNUMBER(VLOOKUP($D61,'Visu totale'!$D:$DH,AV$1,0)),AU61-VLOOKUP($D61,'Visu totale'!$D:$DH,AV$1,0),IF(LEFT(VLOOKUP($D61,'Visu totale'!$D:$DH,AV$1,0),1)="V",IF(AU61&gt;=INDEX('[1]Définition Maintenances'!$G:$G,MATCH($A61,'[1]Définition Maintenances'!$K:$K,0)),AU61,INDEX('[1]Définition Maintenances'!$G:$G,MATCH($A61,'[1]Définition Maintenances'!$K:$K,0))+AU61),AU61))</f>
        <v>610</v>
      </c>
      <c r="AW61" s="26">
        <f>IF(ISNUMBER(VLOOKUP($D61,'Visu totale'!$D:$DH,AW$1,0)),AV61-VLOOKUP($D61,'Visu totale'!$D:$DH,AW$1,0),IF(LEFT(VLOOKUP($D61,'Visu totale'!$D:$DH,AW$1,0),1)="V",IF(AV61&gt;=INDEX('[1]Définition Maintenances'!$G:$G,MATCH($A61,'[1]Définition Maintenances'!$K:$K,0)),AV61,INDEX('[1]Définition Maintenances'!$G:$G,MATCH($A61,'[1]Définition Maintenances'!$K:$K,0))+AV61),AV61))</f>
        <v>610</v>
      </c>
      <c r="AX61" s="26">
        <f>IF(ISNUMBER(VLOOKUP($D61,'Visu totale'!$D:$DH,AX$1,0)),AW61-VLOOKUP($D61,'Visu totale'!$D:$DH,AX$1,0),IF(LEFT(VLOOKUP($D61,'Visu totale'!$D:$DH,AX$1,0),1)="V",IF(AW61&gt;=INDEX('[1]Définition Maintenances'!$G:$G,MATCH($A61,'[1]Définition Maintenances'!$K:$K,0)),AW61,INDEX('[1]Définition Maintenances'!$G:$G,MATCH($A61,'[1]Définition Maintenances'!$K:$K,0))+AW61),AW61))</f>
        <v>610</v>
      </c>
      <c r="AY61" s="26">
        <f>IF(ISNUMBER(VLOOKUP($D61,'Visu totale'!$D:$DH,AY$1,0)),AX61-VLOOKUP($D61,'Visu totale'!$D:$DH,AY$1,0),IF(LEFT(VLOOKUP($D61,'Visu totale'!$D:$DH,AY$1,0),1)="V",IF(AX61&gt;=INDEX('[1]Définition Maintenances'!$G:$G,MATCH($A61,'[1]Définition Maintenances'!$K:$K,0)),AX61,INDEX('[1]Définition Maintenances'!$G:$G,MATCH($A61,'[1]Définition Maintenances'!$K:$K,0))+AX61),AX61))</f>
        <v>610</v>
      </c>
      <c r="AZ61" s="26">
        <f>IF(ISNUMBER(VLOOKUP($D61,'Visu totale'!$D:$DH,AZ$1,0)),AY61-VLOOKUP($D61,'Visu totale'!$D:$DH,AZ$1,0),IF(LEFT(VLOOKUP($D61,'Visu totale'!$D:$DH,AZ$1,0),1)="V",IF(AY61&gt;=INDEX('[1]Définition Maintenances'!$G:$G,MATCH($A61,'[1]Définition Maintenances'!$K:$K,0)),AY61,INDEX('[1]Définition Maintenances'!$G:$G,MATCH($A61,'[1]Définition Maintenances'!$K:$K,0))+AY61),AY61))</f>
        <v>610</v>
      </c>
      <c r="BA61" s="27">
        <f>IF(ISNUMBER(VLOOKUP($D61,'Visu totale'!$D:$DH,BA$1,0)),AZ61-VLOOKUP($D61,'Visu totale'!$D:$DH,BA$1,0),IF(LEFT(VLOOKUP($D61,'Visu totale'!$D:$DH,BA$1,0),1)="V",IF(AZ61&gt;=INDEX('[1]Définition Maintenances'!$G:$G,MATCH($A61,'[1]Définition Maintenances'!$K:$K,0)),AZ61,INDEX('[1]Définition Maintenances'!$G:$G,MATCH($A61,'[1]Définition Maintenances'!$K:$K,0))+AZ61),AZ61))</f>
        <v>610</v>
      </c>
      <c r="BB61" s="25">
        <f>IF(ISNUMBER(VLOOKUP($D61,'Visu totale'!$D:$DH,BB$1,0)),BA61-VLOOKUP($D61,'Visu totale'!$D:$DH,BB$1,0),IF(LEFT(VLOOKUP($D61,'Visu totale'!$D:$DH,BB$1,0),1)="V",IF(BA61&gt;=INDEX('[1]Définition Maintenances'!$G:$G,MATCH($A61,'[1]Définition Maintenances'!$K:$K,0)),BA61,INDEX('[1]Définition Maintenances'!$G:$G,MATCH($A61,'[1]Définition Maintenances'!$K:$K,0))+BA61),BA61))</f>
        <v>610</v>
      </c>
      <c r="BC61" s="26">
        <f>IF(ISNUMBER(VLOOKUP($D61,'Visu totale'!$D:$DH,BC$1,0)),BB61-VLOOKUP($D61,'Visu totale'!$D:$DH,BC$1,0),IF(LEFT(VLOOKUP($D61,'Visu totale'!$D:$DH,BC$1,0),1)="V",IF(BB61&gt;=INDEX('[1]Définition Maintenances'!$G:$G,MATCH($A61,'[1]Définition Maintenances'!$K:$K,0)),BB61,INDEX('[1]Définition Maintenances'!$G:$G,MATCH($A61,'[1]Définition Maintenances'!$K:$K,0))+BB61),BB61))</f>
        <v>610</v>
      </c>
      <c r="BD61" s="26">
        <f>IF(ISNUMBER(VLOOKUP($D61,'Visu totale'!$D:$DH,BD$1,0)),BC61-VLOOKUP($D61,'Visu totale'!$D:$DH,BD$1,0),IF(LEFT(VLOOKUP($D61,'Visu totale'!$D:$DH,BD$1,0),1)="V",IF(BC61&gt;=INDEX('[1]Définition Maintenances'!$G:$G,MATCH($A61,'[1]Définition Maintenances'!$K:$K,0)),BC61,INDEX('[1]Définition Maintenances'!$G:$G,MATCH($A61,'[1]Définition Maintenances'!$K:$K,0))+BC61),BC61))</f>
        <v>610</v>
      </c>
      <c r="BE61" s="26">
        <f>IF(ISNUMBER(VLOOKUP($D61,'Visu totale'!$D:$DH,BE$1,0)),BD61-VLOOKUP($D61,'Visu totale'!$D:$DH,BE$1,0),IF(LEFT(VLOOKUP($D61,'Visu totale'!$D:$DH,BE$1,0),1)="V",IF(BD61&gt;=INDEX('[1]Définition Maintenances'!$G:$G,MATCH($A61,'[1]Définition Maintenances'!$K:$K,0)),BD61,INDEX('[1]Définition Maintenances'!$G:$G,MATCH($A61,'[1]Définition Maintenances'!$K:$K,0))+BD61),BD61))</f>
        <v>610</v>
      </c>
      <c r="BF61" s="26">
        <f>IF(ISNUMBER(VLOOKUP($D61,'Visu totale'!$D:$DH,BF$1,0)),BE61-VLOOKUP($D61,'Visu totale'!$D:$DH,BF$1,0),IF(LEFT(VLOOKUP($D61,'Visu totale'!$D:$DH,BF$1,0),1)="V",IF(BE61&gt;=INDEX('[1]Définition Maintenances'!$G:$G,MATCH($A61,'[1]Définition Maintenances'!$K:$K,0)),BE61,INDEX('[1]Définition Maintenances'!$G:$G,MATCH($A61,'[1]Définition Maintenances'!$K:$K,0))+BE61),BE61))</f>
        <v>610</v>
      </c>
      <c r="BG61" s="26">
        <f>IF(ISNUMBER(VLOOKUP($D61,'Visu totale'!$D:$DH,BG$1,0)),BF61-VLOOKUP($D61,'Visu totale'!$D:$DH,BG$1,0),IF(LEFT(VLOOKUP($D61,'Visu totale'!$D:$DH,BG$1,0),1)="V",IF(BF61&gt;=INDEX('[1]Définition Maintenances'!$G:$G,MATCH($A61,'[1]Définition Maintenances'!$K:$K,0)),BF61,INDEX('[1]Définition Maintenances'!$G:$G,MATCH($A61,'[1]Définition Maintenances'!$K:$K,0))+BF61),BF61))</f>
        <v>610</v>
      </c>
      <c r="BH61" s="26">
        <f>IF(ISNUMBER(VLOOKUP($D61,'Visu totale'!$D:$DH,BH$1,0)),BG61-VLOOKUP($D61,'Visu totale'!$D:$DH,BH$1,0),IF(LEFT(VLOOKUP($D61,'Visu totale'!$D:$DH,BH$1,0),1)="V",IF(BG61&gt;=INDEX('[1]Définition Maintenances'!$G:$G,MATCH($A61,'[1]Définition Maintenances'!$K:$K,0)),BG61,INDEX('[1]Définition Maintenances'!$G:$G,MATCH($A61,'[1]Définition Maintenances'!$K:$K,0))+BG61),BG61))</f>
        <v>610</v>
      </c>
      <c r="BI61" s="26">
        <f>IF(ISNUMBER(VLOOKUP($D61,'Visu totale'!$D:$DH,BI$1,0)),BH61-VLOOKUP($D61,'Visu totale'!$D:$DH,BI$1,0),IF(LEFT(VLOOKUP($D61,'Visu totale'!$D:$DH,BI$1,0),1)="V",IF(BH61&gt;=INDEX('[1]Définition Maintenances'!$G:$G,MATCH($A61,'[1]Définition Maintenances'!$K:$K,0)),BH61,INDEX('[1]Définition Maintenances'!$G:$G,MATCH($A61,'[1]Définition Maintenances'!$K:$K,0))+BH61),BH61))</f>
        <v>610</v>
      </c>
      <c r="BJ61" s="26">
        <f>IF(ISNUMBER(VLOOKUP($D61,'Visu totale'!$D:$DH,BJ$1,0)),BI61-VLOOKUP($D61,'Visu totale'!$D:$DH,BJ$1,0),IF(LEFT(VLOOKUP($D61,'Visu totale'!$D:$DH,BJ$1,0),1)="V",IF(BI61&gt;=INDEX('[1]Définition Maintenances'!$G:$G,MATCH($A61,'[1]Définition Maintenances'!$K:$K,0)),BI61,INDEX('[1]Définition Maintenances'!$G:$G,MATCH($A61,'[1]Définition Maintenances'!$K:$K,0))+BI61),BI61))</f>
        <v>610</v>
      </c>
      <c r="BK61" s="26">
        <f>IF(ISNUMBER(VLOOKUP($D61,'Visu totale'!$D:$DH,BK$1,0)),BJ61-VLOOKUP($D61,'Visu totale'!$D:$DH,BK$1,0),IF(LEFT(VLOOKUP($D61,'Visu totale'!$D:$DH,BK$1,0),1)="V",IF(BJ61&gt;=INDEX('[1]Définition Maintenances'!$G:$G,MATCH($A61,'[1]Définition Maintenances'!$K:$K,0)),BJ61,INDEX('[1]Définition Maintenances'!$G:$G,MATCH($A61,'[1]Définition Maintenances'!$K:$K,0))+BJ61),BJ61))</f>
        <v>610</v>
      </c>
      <c r="BL61" s="26">
        <f>IF(ISNUMBER(VLOOKUP($D61,'Visu totale'!$D:$DH,BL$1,0)),BK61-VLOOKUP($D61,'Visu totale'!$D:$DH,BL$1,0),IF(LEFT(VLOOKUP($D61,'Visu totale'!$D:$DH,BL$1,0),1)="V",IF(BK61&gt;=INDEX('[1]Définition Maintenances'!$G:$G,MATCH($A61,'[1]Définition Maintenances'!$K:$K,0)),BK61,INDEX('[1]Définition Maintenances'!$G:$G,MATCH($A61,'[1]Définition Maintenances'!$K:$K,0))+BK61),BK61))</f>
        <v>610</v>
      </c>
      <c r="BM61" s="27">
        <f>IF(ISNUMBER(VLOOKUP($D61,'Visu totale'!$D:$DH,BM$1,0)),BL61-VLOOKUP($D61,'Visu totale'!$D:$DH,BM$1,0),IF(LEFT(VLOOKUP($D61,'Visu totale'!$D:$DH,BM$1,0),1)="V",IF(BL61&gt;=INDEX('[1]Définition Maintenances'!$G:$G,MATCH($A61,'[1]Définition Maintenances'!$K:$K,0)),BL61,INDEX('[1]Définition Maintenances'!$G:$G,MATCH($A61,'[1]Définition Maintenances'!$K:$K,0))+BL61),BL61))</f>
        <v>610</v>
      </c>
      <c r="BN61" s="25">
        <f>IF(ISNUMBER(VLOOKUP($D61,'Visu totale'!$D:$DH,BN$1,0)),BM61-VLOOKUP($D61,'Visu totale'!$D:$DH,BN$1,0),IF(LEFT(VLOOKUP($D61,'Visu totale'!$D:$DH,BN$1,0),1)="V",IF(BM61&gt;=INDEX('[1]Définition Maintenances'!$G:$G,MATCH($A61,'[1]Définition Maintenances'!$K:$K,0)),BM61,INDEX('[1]Définition Maintenances'!$G:$G,MATCH($A61,'[1]Définition Maintenances'!$K:$K,0))+BM61),BM61))</f>
        <v>610</v>
      </c>
      <c r="BO61" s="26">
        <f>IF(ISNUMBER(VLOOKUP($D61,'Visu totale'!$D:$DH,BO$1,0)),BN61-VLOOKUP($D61,'Visu totale'!$D:$DH,BO$1,0),IF(LEFT(VLOOKUP($D61,'Visu totale'!$D:$DH,BO$1,0),1)="V",IF(BN61&gt;=INDEX('[1]Définition Maintenances'!$G:$G,MATCH($A61,'[1]Définition Maintenances'!$K:$K,0)),BN61,INDEX('[1]Définition Maintenances'!$G:$G,MATCH($A61,'[1]Définition Maintenances'!$K:$K,0))+BN61),BN61))</f>
        <v>610</v>
      </c>
      <c r="BP61" s="26">
        <f>IF(ISNUMBER(VLOOKUP($D61,'Visu totale'!$D:$DH,BP$1,0)),BO61-VLOOKUP($D61,'Visu totale'!$D:$DH,BP$1,0),IF(LEFT(VLOOKUP($D61,'Visu totale'!$D:$DH,BP$1,0),1)="V",IF(BO61&gt;=INDEX('[1]Définition Maintenances'!$G:$G,MATCH($A61,'[1]Définition Maintenances'!$K:$K,0)),BO61,INDEX('[1]Définition Maintenances'!$G:$G,MATCH($A61,'[1]Définition Maintenances'!$K:$K,0))+BO61),BO61))</f>
        <v>610</v>
      </c>
      <c r="BQ61" s="26">
        <f>IF(ISNUMBER(VLOOKUP($D61,'Visu totale'!$D:$DH,BQ$1,0)),BP61-VLOOKUP($D61,'Visu totale'!$D:$DH,BQ$1,0),IF(LEFT(VLOOKUP($D61,'Visu totale'!$D:$DH,BQ$1,0),1)="V",IF(BP61&gt;=INDEX('[1]Définition Maintenances'!$G:$G,MATCH($A61,'[1]Définition Maintenances'!$K:$K,0)),BP61,INDEX('[1]Définition Maintenances'!$G:$G,MATCH($A61,'[1]Définition Maintenances'!$K:$K,0))+BP61),BP61))</f>
        <v>610</v>
      </c>
      <c r="BR61" s="26">
        <f>IF(ISNUMBER(VLOOKUP($D61,'Visu totale'!$D:$DH,BR$1,0)),BQ61-VLOOKUP($D61,'Visu totale'!$D:$DH,BR$1,0),IF(LEFT(VLOOKUP($D61,'Visu totale'!$D:$DH,BR$1,0),1)="V",IF(BQ61&gt;=INDEX('[1]Définition Maintenances'!$G:$G,MATCH($A61,'[1]Définition Maintenances'!$K:$K,0)),BQ61,INDEX('[1]Définition Maintenances'!$G:$G,MATCH($A61,'[1]Définition Maintenances'!$K:$K,0))+BQ61),BQ61))</f>
        <v>610</v>
      </c>
      <c r="BS61" s="26">
        <f>IF(ISNUMBER(VLOOKUP($D61,'Visu totale'!$D:$DH,BS$1,0)),BR61-VLOOKUP($D61,'Visu totale'!$D:$DH,BS$1,0),IF(LEFT(VLOOKUP($D61,'Visu totale'!$D:$DH,BS$1,0),1)="V",IF(BR61&gt;=INDEX('[1]Définition Maintenances'!$G:$G,MATCH($A61,'[1]Définition Maintenances'!$K:$K,0)),BR61,INDEX('[1]Définition Maintenances'!$G:$G,MATCH($A61,'[1]Définition Maintenances'!$K:$K,0))+BR61),BR61))</f>
        <v>610</v>
      </c>
      <c r="BT61" s="26">
        <f>IF(ISNUMBER(VLOOKUP($D61,'Visu totale'!$D:$DH,BT$1,0)),BS61-VLOOKUP($D61,'Visu totale'!$D:$DH,BT$1,0),IF(LEFT(VLOOKUP($D61,'Visu totale'!$D:$DH,BT$1,0),1)="V",IF(BS61&gt;=INDEX('[1]Définition Maintenances'!$G:$G,MATCH($A61,'[1]Définition Maintenances'!$K:$K,0)),BS61,INDEX('[1]Définition Maintenances'!$G:$G,MATCH($A61,'[1]Définition Maintenances'!$K:$K,0))+BS61),BS61))</f>
        <v>610</v>
      </c>
      <c r="BU61" s="26">
        <f>IF(ISNUMBER(VLOOKUP($D61,'Visu totale'!$D:$DH,BU$1,0)),BT61-VLOOKUP($D61,'Visu totale'!$D:$DH,BU$1,0),IF(LEFT(VLOOKUP($D61,'Visu totale'!$D:$DH,BU$1,0),1)="V",IF(BT61&gt;=INDEX('[1]Définition Maintenances'!$G:$G,MATCH($A61,'[1]Définition Maintenances'!$K:$K,0)),BT61,INDEX('[1]Définition Maintenances'!$G:$G,MATCH($A61,'[1]Définition Maintenances'!$K:$K,0))+BT61),BT61))</f>
        <v>610</v>
      </c>
      <c r="BV61" s="26">
        <f>IF(ISNUMBER(VLOOKUP($D61,'Visu totale'!$D:$DH,BV$1,0)),BU61-VLOOKUP($D61,'Visu totale'!$D:$DH,BV$1,0),IF(LEFT(VLOOKUP($D61,'Visu totale'!$D:$DH,BV$1,0),1)="V",IF(BU61&gt;=INDEX('[1]Définition Maintenances'!$G:$G,MATCH($A61,'[1]Définition Maintenances'!$K:$K,0)),BU61,INDEX('[1]Définition Maintenances'!$G:$G,MATCH($A61,'[1]Définition Maintenances'!$K:$K,0))+BU61),BU61))</f>
        <v>610</v>
      </c>
      <c r="BW61" s="26">
        <f>IF(ISNUMBER(VLOOKUP($D61,'Visu totale'!$D:$DH,BW$1,0)),BV61-VLOOKUP($D61,'Visu totale'!$D:$DH,BW$1,0),IF(LEFT(VLOOKUP($D61,'Visu totale'!$D:$DH,BW$1,0),1)="V",IF(BV61&gt;=INDEX('[1]Définition Maintenances'!$G:$G,MATCH($A61,'[1]Définition Maintenances'!$K:$K,0)),BV61,INDEX('[1]Définition Maintenances'!$G:$G,MATCH($A61,'[1]Définition Maintenances'!$K:$K,0))+BV61),BV61))</f>
        <v>610</v>
      </c>
      <c r="BX61" s="26">
        <f>IF(ISNUMBER(VLOOKUP($D61,'Visu totale'!$D:$DH,BX$1,0)),BW61-VLOOKUP($D61,'Visu totale'!$D:$DH,BX$1,0),IF(LEFT(VLOOKUP($D61,'Visu totale'!$D:$DH,BX$1,0),1)="V",IF(BW61&gt;=INDEX('[1]Définition Maintenances'!$G:$G,MATCH($A61,'[1]Définition Maintenances'!$K:$K,0)),BW61,INDEX('[1]Définition Maintenances'!$G:$G,MATCH($A61,'[1]Définition Maintenances'!$K:$K,0))+BW61),BW61))</f>
        <v>610</v>
      </c>
      <c r="BY61" s="27">
        <f>IF(ISNUMBER(VLOOKUP($D61,'Visu totale'!$D:$DH,BY$1,0)),BX61-VLOOKUP($D61,'Visu totale'!$D:$DH,BY$1,0),IF(LEFT(VLOOKUP($D61,'Visu totale'!$D:$DH,BY$1,0),1)="V",IF(BX61&gt;=INDEX('[1]Définition Maintenances'!$G:$G,MATCH($A61,'[1]Définition Maintenances'!$K:$K,0)),BX61,INDEX('[1]Définition Maintenances'!$G:$G,MATCH($A61,'[1]Définition Maintenances'!$K:$K,0))+BX61),BX61))</f>
        <v>610</v>
      </c>
      <c r="BZ61" s="25">
        <f>IF(ISNUMBER(VLOOKUP($D61,'Visu totale'!$D:$DH,BZ$1,0)),BY61-VLOOKUP($D61,'Visu totale'!$D:$DH,BZ$1,0),IF(LEFT(VLOOKUP($D61,'Visu totale'!$D:$DH,BZ$1,0),1)="V",IF(BY61&gt;=INDEX('[1]Définition Maintenances'!$G:$G,MATCH($A61,'[1]Définition Maintenances'!$K:$K,0)),BY61,INDEX('[1]Définition Maintenances'!$G:$G,MATCH($A61,'[1]Définition Maintenances'!$K:$K,0))+BY61),BY61))</f>
        <v>610</v>
      </c>
      <c r="CA61" s="26">
        <f>IF(ISNUMBER(VLOOKUP($D61,'Visu totale'!$D:$DH,CA$1,0)),BZ61-VLOOKUP($D61,'Visu totale'!$D:$DH,CA$1,0),IF(LEFT(VLOOKUP($D61,'Visu totale'!$D:$DH,CA$1,0),1)="V",IF(BZ61&gt;=INDEX('[1]Définition Maintenances'!$G:$G,MATCH($A61,'[1]Définition Maintenances'!$K:$K,0)),BZ61,INDEX('[1]Définition Maintenances'!$G:$G,MATCH($A61,'[1]Définition Maintenances'!$K:$K,0))+BZ61),BZ61))</f>
        <v>610</v>
      </c>
      <c r="CB61" s="26">
        <f>IF(ISNUMBER(VLOOKUP($D61,'Visu totale'!$D:$DH,CB$1,0)),CA61-VLOOKUP($D61,'Visu totale'!$D:$DH,CB$1,0),IF(LEFT(VLOOKUP($D61,'Visu totale'!$D:$DH,CB$1,0),1)="V",IF(CA61&gt;=INDEX('[1]Définition Maintenances'!$G:$G,MATCH($A61,'[1]Définition Maintenances'!$K:$K,0)),CA61,INDEX('[1]Définition Maintenances'!$G:$G,MATCH($A61,'[1]Définition Maintenances'!$K:$K,0))+CA61),CA61))</f>
        <v>610</v>
      </c>
      <c r="CC61" s="26">
        <f>IF(ISNUMBER(VLOOKUP($D61,'Visu totale'!$D:$DH,CC$1,0)),CB61-VLOOKUP($D61,'Visu totale'!$D:$DH,CC$1,0),IF(LEFT(VLOOKUP($D61,'Visu totale'!$D:$DH,CC$1,0),1)="V",IF(CB61&gt;=INDEX('[1]Définition Maintenances'!$G:$G,MATCH($A61,'[1]Définition Maintenances'!$K:$K,0)),CB61,INDEX('[1]Définition Maintenances'!$G:$G,MATCH($A61,'[1]Définition Maintenances'!$K:$K,0))+CB61),CB61))</f>
        <v>610</v>
      </c>
      <c r="CD61" s="26">
        <f>IF(ISNUMBER(VLOOKUP($D61,'Visu totale'!$D:$DH,CD$1,0)),CC61-VLOOKUP($D61,'Visu totale'!$D:$DH,CD$1,0),IF(LEFT(VLOOKUP($D61,'Visu totale'!$D:$DH,CD$1,0),1)="V",IF(CC61&gt;=INDEX('[1]Définition Maintenances'!$G:$G,MATCH($A61,'[1]Définition Maintenances'!$K:$K,0)),CC61,INDEX('[1]Définition Maintenances'!$G:$G,MATCH($A61,'[1]Définition Maintenances'!$K:$K,0))+CC61),CC61))</f>
        <v>610</v>
      </c>
      <c r="CE61" s="26">
        <f>IF(ISNUMBER(VLOOKUP($D61,'Visu totale'!$D:$DH,CE$1,0)),CD61-VLOOKUP($D61,'Visu totale'!$D:$DH,CE$1,0),IF(LEFT(VLOOKUP($D61,'Visu totale'!$D:$DH,CE$1,0),1)="V",IF(CD61&gt;=INDEX('[1]Définition Maintenances'!$G:$G,MATCH($A61,'[1]Définition Maintenances'!$K:$K,0)),CD61,INDEX('[1]Définition Maintenances'!$G:$G,MATCH($A61,'[1]Définition Maintenances'!$K:$K,0))+CD61),CD61))</f>
        <v>610</v>
      </c>
      <c r="CF61" s="26">
        <f>IF(ISNUMBER(VLOOKUP($D61,'Visu totale'!$D:$DH,CF$1,0)),CE61-VLOOKUP($D61,'Visu totale'!$D:$DH,CF$1,0),IF(LEFT(VLOOKUP($D61,'Visu totale'!$D:$DH,CF$1,0),1)="V",IF(CE61&gt;=INDEX('[1]Définition Maintenances'!$G:$G,MATCH($A61,'[1]Définition Maintenances'!$K:$K,0)),CE61,INDEX('[1]Définition Maintenances'!$G:$G,MATCH($A61,'[1]Définition Maintenances'!$K:$K,0))+CE61),CE61))</f>
        <v>610</v>
      </c>
      <c r="CG61" s="26">
        <f>IF(ISNUMBER(VLOOKUP($D61,'Visu totale'!$D:$DH,CG$1,0)),CF61-VLOOKUP($D61,'Visu totale'!$D:$DH,CG$1,0),IF(LEFT(VLOOKUP($D61,'Visu totale'!$D:$DH,CG$1,0),1)="V",IF(CF61&gt;=INDEX('[1]Définition Maintenances'!$G:$G,MATCH($A61,'[1]Définition Maintenances'!$K:$K,0)),CF61,INDEX('[1]Définition Maintenances'!$G:$G,MATCH($A61,'[1]Définition Maintenances'!$K:$K,0))+CF61),CF61))</f>
        <v>610</v>
      </c>
      <c r="CH61" s="26">
        <f>IF(ISNUMBER(VLOOKUP($D61,'Visu totale'!$D:$DH,CH$1,0)),CG61-VLOOKUP($D61,'Visu totale'!$D:$DH,CH$1,0),IF(LEFT(VLOOKUP($D61,'Visu totale'!$D:$DH,CH$1,0),1)="V",IF(CG61&gt;=INDEX('[1]Définition Maintenances'!$G:$G,MATCH($A61,'[1]Définition Maintenances'!$K:$K,0)),CG61,INDEX('[1]Définition Maintenances'!$G:$G,MATCH($A61,'[1]Définition Maintenances'!$K:$K,0))+CG61),CG61))</f>
        <v>610</v>
      </c>
      <c r="CI61" s="26">
        <f>IF(ISNUMBER(VLOOKUP($D61,'Visu totale'!$D:$DH,CI$1,0)),CH61-VLOOKUP($D61,'Visu totale'!$D:$DH,CI$1,0),IF(LEFT(VLOOKUP($D61,'Visu totale'!$D:$DH,CI$1,0),1)="V",IF(CH61&gt;=INDEX('[1]Définition Maintenances'!$G:$G,MATCH($A61,'[1]Définition Maintenances'!$K:$K,0)),CH61,INDEX('[1]Définition Maintenances'!$G:$G,MATCH($A61,'[1]Définition Maintenances'!$K:$K,0))+CH61),CH61))</f>
        <v>610</v>
      </c>
      <c r="CJ61" s="26">
        <f>IF(ISNUMBER(VLOOKUP($D61,'Visu totale'!$D:$DH,CJ$1,0)),CI61-VLOOKUP($D61,'Visu totale'!$D:$DH,CJ$1,0),IF(LEFT(VLOOKUP($D61,'Visu totale'!$D:$DH,CJ$1,0),1)="V",IF(CI61&gt;=INDEX('[1]Définition Maintenances'!$G:$G,MATCH($A61,'[1]Définition Maintenances'!$K:$K,0)),CI61,INDEX('[1]Définition Maintenances'!$G:$G,MATCH($A61,'[1]Définition Maintenances'!$K:$K,0))+CI61),CI61))</f>
        <v>610</v>
      </c>
      <c r="CK61" s="27">
        <f>IF(ISNUMBER(VLOOKUP($D61,'Visu totale'!$D:$DH,CK$1,0)),CJ61-VLOOKUP($D61,'Visu totale'!$D:$DH,CK$1,0),IF(LEFT(VLOOKUP($D61,'Visu totale'!$D:$DH,CK$1,0),1)="V",IF(CJ61&gt;=INDEX('[1]Définition Maintenances'!$G:$G,MATCH($A61,'[1]Définition Maintenances'!$K:$K,0)),CJ61,INDEX('[1]Définition Maintenances'!$G:$G,MATCH($A61,'[1]Définition Maintenances'!$K:$K,0))+CJ61),CJ61))</f>
        <v>610</v>
      </c>
      <c r="CL61" s="25">
        <f>IF(ISNUMBER(VLOOKUP($D61,'Visu totale'!$D:$DH,CL$1,0)),CK61-VLOOKUP($D61,'Visu totale'!$D:$DH,CL$1,0),IF(LEFT(VLOOKUP($D61,'Visu totale'!$D:$DH,CL$1,0),1)="V",IF(CK61&gt;=INDEX('[1]Définition Maintenances'!$G:$G,MATCH($A61,'[1]Définition Maintenances'!$K:$K,0)),CK61,INDEX('[1]Définition Maintenances'!$G:$G,MATCH($A61,'[1]Définition Maintenances'!$K:$K,0))+CK61),CK61))</f>
        <v>610</v>
      </c>
      <c r="CM61" s="26">
        <f>IF(ISNUMBER(VLOOKUP($D61,'Visu totale'!$D:$DH,CM$1,0)),CL61-VLOOKUP($D61,'Visu totale'!$D:$DH,CM$1,0),IF(LEFT(VLOOKUP($D61,'Visu totale'!$D:$DH,CM$1,0),1)="V",IF(CL61&gt;=INDEX('[1]Définition Maintenances'!$G:$G,MATCH($A61,'[1]Définition Maintenances'!$K:$K,0)),CL61,INDEX('[1]Définition Maintenances'!$G:$G,MATCH($A61,'[1]Définition Maintenances'!$K:$K,0))+CL61),CL61))</f>
        <v>610</v>
      </c>
      <c r="CN61" s="26">
        <f>IF(ISNUMBER(VLOOKUP($D61,'Visu totale'!$D:$DH,CN$1,0)),CM61-VLOOKUP($D61,'Visu totale'!$D:$DH,CN$1,0),IF(LEFT(VLOOKUP($D61,'Visu totale'!$D:$DH,CN$1,0),1)="V",IF(CM61&gt;=INDEX('[1]Définition Maintenances'!$G:$G,MATCH($A61,'[1]Définition Maintenances'!$K:$K,0)),CM61,INDEX('[1]Définition Maintenances'!$G:$G,MATCH($A61,'[1]Définition Maintenances'!$K:$K,0))+CM61),CM61))</f>
        <v>610</v>
      </c>
      <c r="CO61" s="26">
        <f>IF(ISNUMBER(VLOOKUP($D61,'Visu totale'!$D:$DH,CO$1,0)),CN61-VLOOKUP($D61,'Visu totale'!$D:$DH,CO$1,0),IF(LEFT(VLOOKUP($D61,'Visu totale'!$D:$DH,CO$1,0),1)="V",IF(CN61&gt;=INDEX('[1]Définition Maintenances'!$G:$G,MATCH($A61,'[1]Définition Maintenances'!$K:$K,0)),CN61,INDEX('[1]Définition Maintenances'!$G:$G,MATCH($A61,'[1]Définition Maintenances'!$K:$K,0))+CN61),CN61))</f>
        <v>610</v>
      </c>
      <c r="CP61" s="26">
        <f>IF(ISNUMBER(VLOOKUP($D61,'Visu totale'!$D:$DH,CP$1,0)),CO61-VLOOKUP($D61,'Visu totale'!$D:$DH,CP$1,0),IF(LEFT(VLOOKUP($D61,'Visu totale'!$D:$DH,CP$1,0),1)="V",IF(CO61&gt;=INDEX('[1]Définition Maintenances'!$G:$G,MATCH($A61,'[1]Définition Maintenances'!$K:$K,0)),CO61,INDEX('[1]Définition Maintenances'!$G:$G,MATCH($A61,'[1]Définition Maintenances'!$K:$K,0))+CO61),CO61))</f>
        <v>610</v>
      </c>
      <c r="CQ61" s="26">
        <f>IF(ISNUMBER(VLOOKUP($D61,'Visu totale'!$D:$DH,CQ$1,0)),CP61-VLOOKUP($D61,'Visu totale'!$D:$DH,CQ$1,0),IF(LEFT(VLOOKUP($D61,'Visu totale'!$D:$DH,CQ$1,0),1)="V",IF(CP61&gt;=INDEX('[1]Définition Maintenances'!$G:$G,MATCH($A61,'[1]Définition Maintenances'!$K:$K,0)),CP61,INDEX('[1]Définition Maintenances'!$G:$G,MATCH($A61,'[1]Définition Maintenances'!$K:$K,0))+CP61),CP61))</f>
        <v>610</v>
      </c>
      <c r="CR61" s="26">
        <f>IF(ISNUMBER(VLOOKUP($D61,'Visu totale'!$D:$DH,CR$1,0)),CQ61-VLOOKUP($D61,'Visu totale'!$D:$DH,CR$1,0),IF(LEFT(VLOOKUP($D61,'Visu totale'!$D:$DH,CR$1,0),1)="V",IF(CQ61&gt;=INDEX('[1]Définition Maintenances'!$G:$G,MATCH($A61,'[1]Définition Maintenances'!$K:$K,0)),CQ61,INDEX('[1]Définition Maintenances'!$G:$G,MATCH($A61,'[1]Définition Maintenances'!$K:$K,0))+CQ61),CQ61))</f>
        <v>610</v>
      </c>
      <c r="CS61" s="26">
        <f>IF(ISNUMBER(VLOOKUP($D61,'Visu totale'!$D:$DH,CS$1,0)),CR61-VLOOKUP($D61,'Visu totale'!$D:$DH,CS$1,0),IF(LEFT(VLOOKUP($D61,'Visu totale'!$D:$DH,CS$1,0),1)="V",IF(CR61&gt;=INDEX('[1]Définition Maintenances'!$G:$G,MATCH($A61,'[1]Définition Maintenances'!$K:$K,0)),CR61,INDEX('[1]Définition Maintenances'!$G:$G,MATCH($A61,'[1]Définition Maintenances'!$K:$K,0))+CR61),CR61))</f>
        <v>610</v>
      </c>
      <c r="CT61" s="26">
        <f>IF(ISNUMBER(VLOOKUP($D61,'Visu totale'!$D:$DH,CT$1,0)),CS61-VLOOKUP($D61,'Visu totale'!$D:$DH,CT$1,0),IF(LEFT(VLOOKUP($D61,'Visu totale'!$D:$DH,CT$1,0),1)="V",IF(CS61&gt;=INDEX('[1]Définition Maintenances'!$G:$G,MATCH($A61,'[1]Définition Maintenances'!$K:$K,0)),CS61,INDEX('[1]Définition Maintenances'!$G:$G,MATCH($A61,'[1]Définition Maintenances'!$K:$K,0))+CS61),CS61))</f>
        <v>610</v>
      </c>
      <c r="CU61" s="26">
        <f>IF(ISNUMBER(VLOOKUP($D61,'Visu totale'!$D:$DH,CU$1,0)),CT61-VLOOKUP($D61,'Visu totale'!$D:$DH,CU$1,0),IF(LEFT(VLOOKUP($D61,'Visu totale'!$D:$DH,CU$1,0),1)="V",IF(CT61&gt;=INDEX('[1]Définition Maintenances'!$G:$G,MATCH($A61,'[1]Définition Maintenances'!$K:$K,0)),CT61,INDEX('[1]Définition Maintenances'!$G:$G,MATCH($A61,'[1]Définition Maintenances'!$K:$K,0))+CT61),CT61))</f>
        <v>610</v>
      </c>
      <c r="CV61" s="26">
        <f>IF(ISNUMBER(VLOOKUP($D61,'Visu totale'!$D:$DH,CV$1,0)),CU61-VLOOKUP($D61,'Visu totale'!$D:$DH,CV$1,0),IF(LEFT(VLOOKUP($D61,'Visu totale'!$D:$DH,CV$1,0),1)="V",IF(CU61&gt;=INDEX('[1]Définition Maintenances'!$G:$G,MATCH($A61,'[1]Définition Maintenances'!$K:$K,0)),CU61,INDEX('[1]Définition Maintenances'!$G:$G,MATCH($A61,'[1]Définition Maintenances'!$K:$K,0))+CU61),CU61))</f>
        <v>610</v>
      </c>
      <c r="CW61" s="27">
        <f>IF(ISNUMBER(VLOOKUP($D61,'Visu totale'!$D:$DH,CW$1,0)),CV61-VLOOKUP($D61,'Visu totale'!$D:$DH,CW$1,0),IF(LEFT(VLOOKUP($D61,'Visu totale'!$D:$DH,CW$1,0),1)="V",IF(CV61&gt;=INDEX('[1]Définition Maintenances'!$G:$G,MATCH($A61,'[1]Définition Maintenances'!$K:$K,0)),CV61,INDEX('[1]Définition Maintenances'!$G:$G,MATCH($A61,'[1]Définition Maintenances'!$K:$K,0))+CV61),CV61))</f>
        <v>610</v>
      </c>
      <c r="CX61" s="25">
        <f>IF(ISNUMBER(VLOOKUP($D61,'Visu totale'!$D:$DH,CX$1,0)),CW61-VLOOKUP($D61,'Visu totale'!$D:$DH,CX$1,0),IF(LEFT(VLOOKUP($D61,'Visu totale'!$D:$DH,CX$1,0),1)="V",IF(CW61&gt;=INDEX('[1]Définition Maintenances'!$G:$G,MATCH($A61,'[1]Définition Maintenances'!$K:$K,0)),CW61,INDEX('[1]Définition Maintenances'!$G:$G,MATCH($A61,'[1]Définition Maintenances'!$K:$K,0))+CW61),CW61))</f>
        <v>610</v>
      </c>
      <c r="CY61" s="26">
        <f>IF(ISNUMBER(VLOOKUP($D61,'Visu totale'!$D:$DH,CY$1,0)),CX61-VLOOKUP($D61,'Visu totale'!$D:$DH,CY$1,0),IF(LEFT(VLOOKUP($D61,'Visu totale'!$D:$DH,CY$1,0),1)="V",IF(CX61&gt;=INDEX('[1]Définition Maintenances'!$G:$G,MATCH($A61,'[1]Définition Maintenances'!$K:$K,0)),CX61,INDEX('[1]Définition Maintenances'!$G:$G,MATCH($A61,'[1]Définition Maintenances'!$K:$K,0))+CX61),CX61))</f>
        <v>610</v>
      </c>
      <c r="CZ61" s="26">
        <f>IF(ISNUMBER(VLOOKUP($D61,'Visu totale'!$D:$DH,CZ$1,0)),CY61-VLOOKUP($D61,'Visu totale'!$D:$DH,CZ$1,0),IF(LEFT(VLOOKUP($D61,'Visu totale'!$D:$DH,CZ$1,0),1)="V",IF(CY61&gt;=INDEX('[1]Définition Maintenances'!$G:$G,MATCH($A61,'[1]Définition Maintenances'!$K:$K,0)),CY61,INDEX('[1]Définition Maintenances'!$G:$G,MATCH($A61,'[1]Définition Maintenances'!$K:$K,0))+CY61),CY61))</f>
        <v>610</v>
      </c>
      <c r="DA61" s="26">
        <f>IF(ISNUMBER(VLOOKUP($D61,'Visu totale'!$D:$DH,DA$1,0)),CZ61-VLOOKUP($D61,'Visu totale'!$D:$DH,DA$1,0),IF(LEFT(VLOOKUP($D61,'Visu totale'!$D:$DH,DA$1,0),1)="V",IF(CZ61&gt;=INDEX('[1]Définition Maintenances'!$G:$G,MATCH($A61,'[1]Définition Maintenances'!$K:$K,0)),CZ61,INDEX('[1]Définition Maintenances'!$G:$G,MATCH($A61,'[1]Définition Maintenances'!$K:$K,0))+CZ61),CZ61))</f>
        <v>610</v>
      </c>
      <c r="DB61" s="26">
        <f>IF(ISNUMBER(VLOOKUP($D61,'Visu totale'!$D:$DH,DB$1,0)),DA61-VLOOKUP($D61,'Visu totale'!$D:$DH,DB$1,0),IF(LEFT(VLOOKUP($D61,'Visu totale'!$D:$DH,DB$1,0),1)="V",IF(DA61&gt;=INDEX('[1]Définition Maintenances'!$G:$G,MATCH($A61,'[1]Définition Maintenances'!$K:$K,0)),DA61,INDEX('[1]Définition Maintenances'!$G:$G,MATCH($A61,'[1]Définition Maintenances'!$K:$K,0))+DA61),DA61))</f>
        <v>610</v>
      </c>
      <c r="DC61" s="26">
        <f>IF(ISNUMBER(VLOOKUP($D61,'Visu totale'!$D:$DH,DC$1,0)),DB61-VLOOKUP($D61,'Visu totale'!$D:$DH,DC$1,0),IF(LEFT(VLOOKUP($D61,'Visu totale'!$D:$DH,DC$1,0),1)="V",IF(DB61&gt;=INDEX('[1]Définition Maintenances'!$G:$G,MATCH($A61,'[1]Définition Maintenances'!$K:$K,0)),DB61,INDEX('[1]Définition Maintenances'!$G:$G,MATCH($A61,'[1]Définition Maintenances'!$K:$K,0))+DB61),DB61))</f>
        <v>610</v>
      </c>
      <c r="DD61" s="26">
        <f>IF(ISNUMBER(VLOOKUP($D61,'Visu totale'!$D:$DH,DD$1,0)),DC61-VLOOKUP($D61,'Visu totale'!$D:$DH,DD$1,0),IF(LEFT(VLOOKUP($D61,'Visu totale'!$D:$DH,DD$1,0),1)="V",IF(DC61&gt;=INDEX('[1]Définition Maintenances'!$G:$G,MATCH($A61,'[1]Définition Maintenances'!$K:$K,0)),DC61,INDEX('[1]Définition Maintenances'!$G:$G,MATCH($A61,'[1]Définition Maintenances'!$K:$K,0))+DC61),DC61))</f>
        <v>610</v>
      </c>
      <c r="DE61" s="26">
        <f>IF(ISNUMBER(VLOOKUP($D61,'Visu totale'!$D:$DH,DE$1,0)),DD61-VLOOKUP($D61,'Visu totale'!$D:$DH,DE$1,0),IF(LEFT(VLOOKUP($D61,'Visu totale'!$D:$DH,DE$1,0),1)="V",IF(DD61&gt;=INDEX('[1]Définition Maintenances'!$G:$G,MATCH($A61,'[1]Définition Maintenances'!$K:$K,0)),DD61,INDEX('[1]Définition Maintenances'!$G:$G,MATCH($A61,'[1]Définition Maintenances'!$K:$K,0))+DD61),DD61))</f>
        <v>610</v>
      </c>
      <c r="DF61" s="26">
        <f>IF(ISNUMBER(VLOOKUP($D61,'Visu totale'!$D:$DH,DF$1,0)),DE61-VLOOKUP($D61,'Visu totale'!$D:$DH,DF$1,0),IF(LEFT(VLOOKUP($D61,'Visu totale'!$D:$DH,DF$1,0),1)="V",IF(DE61&gt;=INDEX('[1]Définition Maintenances'!$G:$G,MATCH($A61,'[1]Définition Maintenances'!$K:$K,0)),DE61,INDEX('[1]Définition Maintenances'!$G:$G,MATCH($A61,'[1]Définition Maintenances'!$K:$K,0))+DE61),DE61))</f>
        <v>610</v>
      </c>
      <c r="DG61" s="26">
        <f>IF(ISNUMBER(VLOOKUP($D61,'Visu totale'!$D:$DH,DG$1,0)),DF61-VLOOKUP($D61,'Visu totale'!$D:$DH,DG$1,0),IF(LEFT(VLOOKUP($D61,'Visu totale'!$D:$DH,DG$1,0),1)="V",IF(DF61&gt;=INDEX('[1]Définition Maintenances'!$G:$G,MATCH($A61,'[1]Définition Maintenances'!$K:$K,0)),DF61,INDEX('[1]Définition Maintenances'!$G:$G,MATCH($A61,'[1]Définition Maintenances'!$K:$K,0))+DF61),DF61))</f>
        <v>610</v>
      </c>
      <c r="DH61" s="26">
        <f>IF(ISNUMBER(VLOOKUP($D61,'Visu totale'!$D:$DH,DH$1,0)),DG61-VLOOKUP($D61,'Visu totale'!$D:$DH,DH$1,0),IF(LEFT(VLOOKUP($D61,'Visu totale'!$D:$DH,DH$1,0),1)="V",IF(DG61&gt;=INDEX('[1]Définition Maintenances'!$G:$G,MATCH($A61,'[1]Définition Maintenances'!$K:$K,0)),DG61,INDEX('[1]Définition Maintenances'!$G:$G,MATCH($A61,'[1]Définition Maintenances'!$K:$K,0))+DG61),DG61))</f>
        <v>610</v>
      </c>
      <c r="DI61" s="27">
        <f>IF(ISNUMBER(VLOOKUP($D61,'Visu totale'!$D:$DH,DI$1,0)),DH61-VLOOKUP($D61,'Visu totale'!$D:$DH,DI$1,0),IF(LEFT(VLOOKUP($D61,'Visu totale'!$D:$DH,DI$1,0),1)="V",IF(DH61&gt;=INDEX('[1]Définition Maintenances'!$G:$G,MATCH($A61,'[1]Définition Maintenances'!$K:$K,0)),DH61,INDEX('[1]Définition Maintenances'!$G:$G,MATCH($A61,'[1]Définition Maintenances'!$K:$K,0))+DH61),DH61))</f>
        <v>610</v>
      </c>
    </row>
    <row r="62" spans="1:113" x14ac:dyDescent="0.25">
      <c r="A62" s="13" t="str">
        <f t="shared" si="1"/>
        <v>V10D</v>
      </c>
      <c r="B62" s="13" t="str">
        <f>VLOOKUP(D62,'[1]Avions (Potentiels)'!$B$2:$H$128,7,FALSE)</f>
        <v>V10</v>
      </c>
      <c r="C62" s="13"/>
      <c r="D62" s="16" t="s">
        <v>65</v>
      </c>
      <c r="E62" s="13">
        <f>IFERROR(VALUE(SUBSTITUTE(VLOOKUP(D62,'[1]Avions (Potentiels)'!$B:$E,4,0),".",",")),VALUE(VLOOKUP(D62,'[1]Avions (Potentiels)'!$B:$E,4,0)))</f>
        <v>211</v>
      </c>
      <c r="F62" s="25">
        <f>IF(ISNUMBER(VLOOKUP($D62,'Visu totale'!$D:$DH,F$1,0)),E62-VLOOKUP($D62,'Visu totale'!$D:$DH,F$1,0),IF(LEFT(VLOOKUP($D62,'Visu totale'!$D:$DH,F$1,0),1)="V",IF(E62&gt;=INDEX('[1]Définition Maintenances'!$G:$G,MATCH($A62,'[1]Définition Maintenances'!$K:$K,0)),E62,INDEX('[1]Définition Maintenances'!$G:$G,MATCH($A62,'[1]Définition Maintenances'!$K:$K,0))+E62),E62))</f>
        <v>211</v>
      </c>
      <c r="G62" s="26">
        <f>IF(ISNUMBER(VLOOKUP($D62,'Visu totale'!$D:$DH,G$1,0)),F62-VLOOKUP($D62,'Visu totale'!$D:$DH,G$1,0),IF(LEFT(VLOOKUP($D62,'Visu totale'!$D:$DH,G$1,0),1)="V",IF(F62&gt;=INDEX('[1]Définition Maintenances'!$G:$G,MATCH($A62,'[1]Définition Maintenances'!$K:$K,0)),F62,INDEX('[1]Définition Maintenances'!$G:$G,MATCH($A62,'[1]Définition Maintenances'!$K:$K,0))+F62),F62))</f>
        <v>211</v>
      </c>
      <c r="H62" s="26">
        <f>IF(ISNUMBER(VLOOKUP($D62,'Visu totale'!$D:$DH,H$1,0)),G62-VLOOKUP($D62,'Visu totale'!$D:$DH,H$1,0),IF(LEFT(VLOOKUP($D62,'Visu totale'!$D:$DH,H$1,0),1)="V",IF(G62&gt;=INDEX('[1]Définition Maintenances'!$G:$G,MATCH($A62,'[1]Définition Maintenances'!$K:$K,0)),G62,INDEX('[1]Définition Maintenances'!$G:$G,MATCH($A62,'[1]Définition Maintenances'!$K:$K,0))+G62),G62))</f>
        <v>211</v>
      </c>
      <c r="I62" s="26">
        <f>IF(ISNUMBER(VLOOKUP($D62,'Visu totale'!$D:$DH,I$1,0)),H62-VLOOKUP($D62,'Visu totale'!$D:$DH,I$1,0),IF(LEFT(VLOOKUP($D62,'Visu totale'!$D:$DH,I$1,0),1)="V",IF(H62&gt;=INDEX('[1]Définition Maintenances'!$G:$G,MATCH($A62,'[1]Définition Maintenances'!$K:$K,0)),H62,INDEX('[1]Définition Maintenances'!$G:$G,MATCH($A62,'[1]Définition Maintenances'!$K:$K,0))+H62),H62))</f>
        <v>211</v>
      </c>
      <c r="J62" s="26">
        <f>IF(ISNUMBER(VLOOKUP($D62,'Visu totale'!$D:$DH,J$1,0)),I62-VLOOKUP($D62,'Visu totale'!$D:$DH,J$1,0),IF(LEFT(VLOOKUP($D62,'Visu totale'!$D:$DH,J$1,0),1)="V",IF(I62&gt;=INDEX('[1]Définition Maintenances'!$G:$G,MATCH($A62,'[1]Définition Maintenances'!$K:$K,0)),I62,INDEX('[1]Définition Maintenances'!$G:$G,MATCH($A62,'[1]Définition Maintenances'!$K:$K,0))+I62),I62))</f>
        <v>211</v>
      </c>
      <c r="K62" s="26">
        <f>IF(ISNUMBER(VLOOKUP($D62,'Visu totale'!$D:$DH,K$1,0)),J62-VLOOKUP($D62,'Visu totale'!$D:$DH,K$1,0),IF(LEFT(VLOOKUP($D62,'Visu totale'!$D:$DH,K$1,0),1)="V",IF(J62&gt;=INDEX('[1]Définition Maintenances'!$G:$G,MATCH($A62,'[1]Définition Maintenances'!$K:$K,0)),J62,INDEX('[1]Définition Maintenances'!$G:$G,MATCH($A62,'[1]Définition Maintenances'!$K:$K,0))+J62),J62))</f>
        <v>211</v>
      </c>
      <c r="L62" s="26">
        <f>IF(ISNUMBER(VLOOKUP($D62,'Visu totale'!$D:$DH,L$1,0)),K62-VLOOKUP($D62,'Visu totale'!$D:$DH,L$1,0),IF(LEFT(VLOOKUP($D62,'Visu totale'!$D:$DH,L$1,0),1)="V",IF(K62&gt;=INDEX('[1]Définition Maintenances'!$G:$G,MATCH($A62,'[1]Définition Maintenances'!$K:$K,0)),K62,INDEX('[1]Définition Maintenances'!$G:$G,MATCH($A62,'[1]Définition Maintenances'!$K:$K,0))+K62),K62))</f>
        <v>211</v>
      </c>
      <c r="M62" s="26">
        <f>IF(ISNUMBER(VLOOKUP($D62,'Visu totale'!$D:$DH,M$1,0)),L62-VLOOKUP($D62,'Visu totale'!$D:$DH,M$1,0),IF(LEFT(VLOOKUP($D62,'Visu totale'!$D:$DH,M$1,0),1)="V",IF(L62&gt;=INDEX('[1]Définition Maintenances'!$G:$G,MATCH($A62,'[1]Définition Maintenances'!$K:$K,0)),L62,INDEX('[1]Définition Maintenances'!$G:$G,MATCH($A62,'[1]Définition Maintenances'!$K:$K,0))+L62),L62))</f>
        <v>211</v>
      </c>
      <c r="N62" s="26">
        <f>IF(ISNUMBER(VLOOKUP($D62,'Visu totale'!$D:$DH,N$1,0)),M62-VLOOKUP($D62,'Visu totale'!$D:$DH,N$1,0),IF(LEFT(VLOOKUP($D62,'Visu totale'!$D:$DH,N$1,0),1)="V",IF(M62&gt;=INDEX('[1]Définition Maintenances'!$G:$G,MATCH($A62,'[1]Définition Maintenances'!$K:$K,0)),M62,INDEX('[1]Définition Maintenances'!$G:$G,MATCH($A62,'[1]Définition Maintenances'!$K:$K,0))+M62),M62))</f>
        <v>211</v>
      </c>
      <c r="O62" s="26">
        <f>IF(ISNUMBER(VLOOKUP($D62,'Visu totale'!$D:$DH,O$1,0)),N62-VLOOKUP($D62,'Visu totale'!$D:$DH,O$1,0),IF(LEFT(VLOOKUP($D62,'Visu totale'!$D:$DH,O$1,0),1)="V",IF(N62&gt;=INDEX('[1]Définition Maintenances'!$G:$G,MATCH($A62,'[1]Définition Maintenances'!$K:$K,0)),N62,INDEX('[1]Définition Maintenances'!$G:$G,MATCH($A62,'[1]Définition Maintenances'!$K:$K,0))+N62),N62))</f>
        <v>211</v>
      </c>
      <c r="P62" s="26">
        <f>IF(ISNUMBER(VLOOKUP($D62,'Visu totale'!$D:$DH,P$1,0)),O62-VLOOKUP($D62,'Visu totale'!$D:$DH,P$1,0),IF(LEFT(VLOOKUP($D62,'Visu totale'!$D:$DH,P$1,0),1)="V",IF(O62&gt;=INDEX('[1]Définition Maintenances'!$G:$G,MATCH($A62,'[1]Définition Maintenances'!$K:$K,0)),O62,INDEX('[1]Définition Maintenances'!$G:$G,MATCH($A62,'[1]Définition Maintenances'!$K:$K,0))+O62),O62))</f>
        <v>211</v>
      </c>
      <c r="Q62" s="27">
        <f>IF(ISNUMBER(VLOOKUP($D62,'Visu totale'!$D:$DH,Q$1,0)),P62-VLOOKUP($D62,'Visu totale'!$D:$DH,Q$1,0),IF(LEFT(VLOOKUP($D62,'Visu totale'!$D:$DH,Q$1,0),1)="V",IF(P62&gt;=INDEX('[1]Définition Maintenances'!$G:$G,MATCH($A62,'[1]Définition Maintenances'!$K:$K,0)),P62,INDEX('[1]Définition Maintenances'!$G:$G,MATCH($A62,'[1]Définition Maintenances'!$K:$K,0))+P62),P62))</f>
        <v>211</v>
      </c>
      <c r="R62" s="25">
        <f>IF(ISNUMBER(VLOOKUP($D62,'Visu totale'!$D:$DH,R$1,0)),Q62-VLOOKUP($D62,'Visu totale'!$D:$DH,R$1,0),IF(LEFT(VLOOKUP($D62,'Visu totale'!$D:$DH,R$1,0),1)="V",IF(Q62&gt;=INDEX('[1]Définition Maintenances'!$G:$G,MATCH($A62,'[1]Définition Maintenances'!$K:$K,0)),Q62,INDEX('[1]Définition Maintenances'!$G:$G,MATCH($A62,'[1]Définition Maintenances'!$K:$K,0))+Q62),Q62))</f>
        <v>211</v>
      </c>
      <c r="S62" s="26">
        <f>IF(ISNUMBER(VLOOKUP($D62,'Visu totale'!$D:$DH,S$1,0)),R62-VLOOKUP($D62,'Visu totale'!$D:$DH,S$1,0),IF(LEFT(VLOOKUP($D62,'Visu totale'!$D:$DH,S$1,0),1)="V",IF(R62&gt;=INDEX('[1]Définition Maintenances'!$G:$G,MATCH($A62,'[1]Définition Maintenances'!$K:$K,0)),R62,INDEX('[1]Définition Maintenances'!$G:$G,MATCH($A62,'[1]Définition Maintenances'!$K:$K,0))+R62),R62))</f>
        <v>211</v>
      </c>
      <c r="T62" s="26">
        <f>IF(ISNUMBER(VLOOKUP($D62,'Visu totale'!$D:$DH,T$1,0)),S62-VLOOKUP($D62,'Visu totale'!$D:$DH,T$1,0),IF(LEFT(VLOOKUP($D62,'Visu totale'!$D:$DH,T$1,0),1)="V",IF(S62&gt;=INDEX('[1]Définition Maintenances'!$G:$G,MATCH($A62,'[1]Définition Maintenances'!$K:$K,0)),S62,INDEX('[1]Définition Maintenances'!$G:$G,MATCH($A62,'[1]Définition Maintenances'!$K:$K,0))+S62),S62))</f>
        <v>211</v>
      </c>
      <c r="U62" s="26">
        <f>IF(ISNUMBER(VLOOKUP($D62,'Visu totale'!$D:$DH,U$1,0)),T62-VLOOKUP($D62,'Visu totale'!$D:$DH,U$1,0),IF(LEFT(VLOOKUP($D62,'Visu totale'!$D:$DH,U$1,0),1)="V",IF(T62&gt;=INDEX('[1]Définition Maintenances'!$G:$G,MATCH($A62,'[1]Définition Maintenances'!$K:$K,0)),T62,INDEX('[1]Définition Maintenances'!$G:$G,MATCH($A62,'[1]Définition Maintenances'!$K:$K,0))+T62),T62))</f>
        <v>211</v>
      </c>
      <c r="V62" s="26">
        <f>IF(ISNUMBER(VLOOKUP($D62,'Visu totale'!$D:$DH,V$1,0)),U62-VLOOKUP($D62,'Visu totale'!$D:$DH,V$1,0),IF(LEFT(VLOOKUP($D62,'Visu totale'!$D:$DH,V$1,0),1)="V",IF(U62&gt;=INDEX('[1]Définition Maintenances'!$G:$G,MATCH($A62,'[1]Définition Maintenances'!$K:$K,0)),U62,INDEX('[1]Définition Maintenances'!$G:$G,MATCH($A62,'[1]Définition Maintenances'!$K:$K,0))+U62),U62))</f>
        <v>211</v>
      </c>
      <c r="W62" s="26">
        <f>IF(ISNUMBER(VLOOKUP($D62,'Visu totale'!$D:$DH,W$1,0)),V62-VLOOKUP($D62,'Visu totale'!$D:$DH,W$1,0),IF(LEFT(VLOOKUP($D62,'Visu totale'!$D:$DH,W$1,0),1)="V",IF(V62&gt;=INDEX('[1]Définition Maintenances'!$G:$G,MATCH($A62,'[1]Définition Maintenances'!$K:$K,0)),V62,INDEX('[1]Définition Maintenances'!$G:$G,MATCH($A62,'[1]Définition Maintenances'!$K:$K,0))+V62),V62))</f>
        <v>211</v>
      </c>
      <c r="X62" s="26">
        <f>IF(ISNUMBER(VLOOKUP($D62,'Visu totale'!$D:$DH,X$1,0)),W62-VLOOKUP($D62,'Visu totale'!$D:$DH,X$1,0),IF(LEFT(VLOOKUP($D62,'Visu totale'!$D:$DH,X$1,0),1)="V",IF(W62&gt;=INDEX('[1]Définition Maintenances'!$G:$G,MATCH($A62,'[1]Définition Maintenances'!$K:$K,0)),W62,INDEX('[1]Définition Maintenances'!$G:$G,MATCH($A62,'[1]Définition Maintenances'!$K:$K,0))+W62),W62))</f>
        <v>211</v>
      </c>
      <c r="Y62" s="26">
        <f>IF(ISNUMBER(VLOOKUP($D62,'Visu totale'!$D:$DH,Y$1,0)),X62-VLOOKUP($D62,'Visu totale'!$D:$DH,Y$1,0),IF(LEFT(VLOOKUP($D62,'Visu totale'!$D:$DH,Y$1,0),1)="V",IF(X62&gt;=INDEX('[1]Définition Maintenances'!$G:$G,MATCH($A62,'[1]Définition Maintenances'!$K:$K,0)),X62,INDEX('[1]Définition Maintenances'!$G:$G,MATCH($A62,'[1]Définition Maintenances'!$K:$K,0))+X62),X62))</f>
        <v>211</v>
      </c>
      <c r="Z62" s="26">
        <f>IF(ISNUMBER(VLOOKUP($D62,'Visu totale'!$D:$DH,Z$1,0)),Y62-VLOOKUP($D62,'Visu totale'!$D:$DH,Z$1,0),IF(LEFT(VLOOKUP($D62,'Visu totale'!$D:$DH,Z$1,0),1)="V",IF(Y62&gt;=INDEX('[1]Définition Maintenances'!$G:$G,MATCH($A62,'[1]Définition Maintenances'!$K:$K,0)),Y62,INDEX('[1]Définition Maintenances'!$G:$G,MATCH($A62,'[1]Définition Maintenances'!$K:$K,0))+Y62),Y62))</f>
        <v>211</v>
      </c>
      <c r="AA62" s="26">
        <f>IF(ISNUMBER(VLOOKUP($D62,'Visu totale'!$D:$DH,AA$1,0)),Z62-VLOOKUP($D62,'Visu totale'!$D:$DH,AA$1,0),IF(LEFT(VLOOKUP($D62,'Visu totale'!$D:$DH,AA$1,0),1)="V",IF(Z62&gt;=INDEX('[1]Définition Maintenances'!$G:$G,MATCH($A62,'[1]Définition Maintenances'!$K:$K,0)),Z62,INDEX('[1]Définition Maintenances'!$G:$G,MATCH($A62,'[1]Définition Maintenances'!$K:$K,0))+Z62),Z62))</f>
        <v>211</v>
      </c>
      <c r="AB62" s="26">
        <f>IF(ISNUMBER(VLOOKUP($D62,'Visu totale'!$D:$DH,AB$1,0)),AA62-VLOOKUP($D62,'Visu totale'!$D:$DH,AB$1,0),IF(LEFT(VLOOKUP($D62,'Visu totale'!$D:$DH,AB$1,0),1)="V",IF(AA62&gt;=INDEX('[1]Définition Maintenances'!$G:$G,MATCH($A62,'[1]Définition Maintenances'!$K:$K,0)),AA62,INDEX('[1]Définition Maintenances'!$G:$G,MATCH($A62,'[1]Définition Maintenances'!$K:$K,0))+AA62),AA62))</f>
        <v>211</v>
      </c>
      <c r="AC62" s="27">
        <f>IF(ISNUMBER(VLOOKUP($D62,'Visu totale'!$D:$DH,AC$1,0)),AB62-VLOOKUP($D62,'Visu totale'!$D:$DH,AC$1,0),IF(LEFT(VLOOKUP($D62,'Visu totale'!$D:$DH,AC$1,0),1)="V",IF(AB62&gt;=INDEX('[1]Définition Maintenances'!$G:$G,MATCH($A62,'[1]Définition Maintenances'!$K:$K,0)),AB62,INDEX('[1]Définition Maintenances'!$G:$G,MATCH($A62,'[1]Définition Maintenances'!$K:$K,0))+AB62),AB62))</f>
        <v>211</v>
      </c>
      <c r="AD62" s="25">
        <f>IF(ISNUMBER(VLOOKUP($D62,'Visu totale'!$D:$DH,AD$1,0)),AC62-VLOOKUP($D62,'Visu totale'!$D:$DH,AD$1,0),IF(LEFT(VLOOKUP($D62,'Visu totale'!$D:$DH,AD$1,0),1)="V",IF(AC62&gt;=INDEX('[1]Définition Maintenances'!$G:$G,MATCH($A62,'[1]Définition Maintenances'!$K:$K,0)),AC62,INDEX('[1]Définition Maintenances'!$G:$G,MATCH($A62,'[1]Définition Maintenances'!$K:$K,0))+AC62),AC62))</f>
        <v>211</v>
      </c>
      <c r="AE62" s="26">
        <f>IF(ISNUMBER(VLOOKUP($D62,'Visu totale'!$D:$DH,AE$1,0)),AD62-VLOOKUP($D62,'Visu totale'!$D:$DH,AE$1,0),IF(LEFT(VLOOKUP($D62,'Visu totale'!$D:$DH,AE$1,0),1)="V",IF(AD62&gt;=INDEX('[1]Définition Maintenances'!$G:$G,MATCH($A62,'[1]Définition Maintenances'!$K:$K,0)),AD62,INDEX('[1]Définition Maintenances'!$G:$G,MATCH($A62,'[1]Définition Maintenances'!$K:$K,0))+AD62),AD62))</f>
        <v>211</v>
      </c>
      <c r="AF62" s="26">
        <f>IF(ISNUMBER(VLOOKUP($D62,'Visu totale'!$D:$DH,AF$1,0)),AE62-VLOOKUP($D62,'Visu totale'!$D:$DH,AF$1,0),IF(LEFT(VLOOKUP($D62,'Visu totale'!$D:$DH,AF$1,0),1)="V",IF(AE62&gt;=INDEX('[1]Définition Maintenances'!$G:$G,MATCH($A62,'[1]Définition Maintenances'!$K:$K,0)),AE62,INDEX('[1]Définition Maintenances'!$G:$G,MATCH($A62,'[1]Définition Maintenances'!$K:$K,0))+AE62),AE62))</f>
        <v>211</v>
      </c>
      <c r="AG62" s="26">
        <f>IF(ISNUMBER(VLOOKUP($D62,'Visu totale'!$D:$DH,AG$1,0)),AF62-VLOOKUP($D62,'Visu totale'!$D:$DH,AG$1,0),IF(LEFT(VLOOKUP($D62,'Visu totale'!$D:$DH,AG$1,0),1)="V",IF(AF62&gt;=INDEX('[1]Définition Maintenances'!$G:$G,MATCH($A62,'[1]Définition Maintenances'!$K:$K,0)),AF62,INDEX('[1]Définition Maintenances'!$G:$G,MATCH($A62,'[1]Définition Maintenances'!$K:$K,0))+AF62),AF62))</f>
        <v>211</v>
      </c>
      <c r="AH62" s="26">
        <f>IF(ISNUMBER(VLOOKUP($D62,'Visu totale'!$D:$DH,AH$1,0)),AG62-VLOOKUP($D62,'Visu totale'!$D:$DH,AH$1,0),IF(LEFT(VLOOKUP($D62,'Visu totale'!$D:$DH,AH$1,0),1)="V",IF(AG62&gt;=INDEX('[1]Définition Maintenances'!$G:$G,MATCH($A62,'[1]Définition Maintenances'!$K:$K,0)),AG62,INDEX('[1]Définition Maintenances'!$G:$G,MATCH($A62,'[1]Définition Maintenances'!$K:$K,0))+AG62),AG62))</f>
        <v>211</v>
      </c>
      <c r="AI62" s="26">
        <f>IF(ISNUMBER(VLOOKUP($D62,'Visu totale'!$D:$DH,AI$1,0)),AH62-VLOOKUP($D62,'Visu totale'!$D:$DH,AI$1,0),IF(LEFT(VLOOKUP($D62,'Visu totale'!$D:$DH,AI$1,0),1)="V",IF(AH62&gt;=INDEX('[1]Définition Maintenances'!$G:$G,MATCH($A62,'[1]Définition Maintenances'!$K:$K,0)),AH62,INDEX('[1]Définition Maintenances'!$G:$G,MATCH($A62,'[1]Définition Maintenances'!$K:$K,0))+AH62),AH62))</f>
        <v>211</v>
      </c>
      <c r="AJ62" s="26">
        <f>IF(ISNUMBER(VLOOKUP($D62,'Visu totale'!$D:$DH,AJ$1,0)),AI62-VLOOKUP($D62,'Visu totale'!$D:$DH,AJ$1,0),IF(LEFT(VLOOKUP($D62,'Visu totale'!$D:$DH,AJ$1,0),1)="V",IF(AI62&gt;=INDEX('[1]Définition Maintenances'!$G:$G,MATCH($A62,'[1]Définition Maintenances'!$K:$K,0)),AI62,INDEX('[1]Définition Maintenances'!$G:$G,MATCH($A62,'[1]Définition Maintenances'!$K:$K,0))+AI62),AI62))</f>
        <v>211</v>
      </c>
      <c r="AK62" s="26">
        <f>IF(ISNUMBER(VLOOKUP($D62,'Visu totale'!$D:$DH,AK$1,0)),AJ62-VLOOKUP($D62,'Visu totale'!$D:$DH,AK$1,0),IF(LEFT(VLOOKUP($D62,'Visu totale'!$D:$DH,AK$1,0),1)="V",IF(AJ62&gt;=INDEX('[1]Définition Maintenances'!$G:$G,MATCH($A62,'[1]Définition Maintenances'!$K:$K,0)),AJ62,INDEX('[1]Définition Maintenances'!$G:$G,MATCH($A62,'[1]Définition Maintenances'!$K:$K,0))+AJ62),AJ62))</f>
        <v>211</v>
      </c>
      <c r="AL62" s="26">
        <f>IF(ISNUMBER(VLOOKUP($D62,'Visu totale'!$D:$DH,AL$1,0)),AK62-VLOOKUP($D62,'Visu totale'!$D:$DH,AL$1,0),IF(LEFT(VLOOKUP($D62,'Visu totale'!$D:$DH,AL$1,0),1)="V",IF(AK62&gt;=INDEX('[1]Définition Maintenances'!$G:$G,MATCH($A62,'[1]Définition Maintenances'!$K:$K,0)),AK62,INDEX('[1]Définition Maintenances'!$G:$G,MATCH($A62,'[1]Définition Maintenances'!$K:$K,0))+AK62),AK62))</f>
        <v>211</v>
      </c>
      <c r="AM62" s="26">
        <f>IF(ISNUMBER(VLOOKUP($D62,'Visu totale'!$D:$DH,AM$1,0)),AL62-VLOOKUP($D62,'Visu totale'!$D:$DH,AM$1,0),IF(LEFT(VLOOKUP($D62,'Visu totale'!$D:$DH,AM$1,0),1)="V",IF(AL62&gt;=INDEX('[1]Définition Maintenances'!$G:$G,MATCH($A62,'[1]Définition Maintenances'!$K:$K,0)),AL62,INDEX('[1]Définition Maintenances'!$G:$G,MATCH($A62,'[1]Définition Maintenances'!$K:$K,0))+AL62),AL62))</f>
        <v>211</v>
      </c>
      <c r="AN62" s="26">
        <f>IF(ISNUMBER(VLOOKUP($D62,'Visu totale'!$D:$DH,AN$1,0)),AM62-VLOOKUP($D62,'Visu totale'!$D:$DH,AN$1,0),IF(LEFT(VLOOKUP($D62,'Visu totale'!$D:$DH,AN$1,0),1)="V",IF(AM62&gt;=INDEX('[1]Définition Maintenances'!$G:$G,MATCH($A62,'[1]Définition Maintenances'!$K:$K,0)),AM62,INDEX('[1]Définition Maintenances'!$G:$G,MATCH($A62,'[1]Définition Maintenances'!$K:$K,0))+AM62),AM62))</f>
        <v>211</v>
      </c>
      <c r="AO62" s="27">
        <f>IF(ISNUMBER(VLOOKUP($D62,'Visu totale'!$D:$DH,AO$1,0)),AN62-VLOOKUP($D62,'Visu totale'!$D:$DH,AO$1,0),IF(LEFT(VLOOKUP($D62,'Visu totale'!$D:$DH,AO$1,0),1)="V",IF(AN62&gt;=INDEX('[1]Définition Maintenances'!$G:$G,MATCH($A62,'[1]Définition Maintenances'!$K:$K,0)),AN62,INDEX('[1]Définition Maintenances'!$G:$G,MATCH($A62,'[1]Définition Maintenances'!$K:$K,0))+AN62),AN62))</f>
        <v>211</v>
      </c>
      <c r="AP62" s="25">
        <f>IF(ISNUMBER(VLOOKUP($D62,'Visu totale'!$D:$DH,AP$1,0)),AO62-VLOOKUP($D62,'Visu totale'!$D:$DH,AP$1,0),IF(LEFT(VLOOKUP($D62,'Visu totale'!$D:$DH,AP$1,0),1)="V",IF(AO62&gt;=INDEX('[1]Définition Maintenances'!$G:$G,MATCH($A62,'[1]Définition Maintenances'!$K:$K,0)),AO62,INDEX('[1]Définition Maintenances'!$G:$G,MATCH($A62,'[1]Définition Maintenances'!$K:$K,0))+AO62),AO62))</f>
        <v>211</v>
      </c>
      <c r="AQ62" s="26">
        <f>IF(ISNUMBER(VLOOKUP($D62,'Visu totale'!$D:$DH,AQ$1,0)),AP62-VLOOKUP($D62,'Visu totale'!$D:$DH,AQ$1,0),IF(LEFT(VLOOKUP($D62,'Visu totale'!$D:$DH,AQ$1,0),1)="V",IF(AP62&gt;=INDEX('[1]Définition Maintenances'!$G:$G,MATCH($A62,'[1]Définition Maintenances'!$K:$K,0)),AP62,INDEX('[1]Définition Maintenances'!$G:$G,MATCH($A62,'[1]Définition Maintenances'!$K:$K,0))+AP62),AP62))</f>
        <v>211</v>
      </c>
      <c r="AR62" s="26">
        <f>IF(ISNUMBER(VLOOKUP($D62,'Visu totale'!$D:$DH,AR$1,0)),AQ62-VLOOKUP($D62,'Visu totale'!$D:$DH,AR$1,0),IF(LEFT(VLOOKUP($D62,'Visu totale'!$D:$DH,AR$1,0),1)="V",IF(AQ62&gt;=INDEX('[1]Définition Maintenances'!$G:$G,MATCH($A62,'[1]Définition Maintenances'!$K:$K,0)),AQ62,INDEX('[1]Définition Maintenances'!$G:$G,MATCH($A62,'[1]Définition Maintenances'!$K:$K,0))+AQ62),AQ62))</f>
        <v>211</v>
      </c>
      <c r="AS62" s="26">
        <f>IF(ISNUMBER(VLOOKUP($D62,'Visu totale'!$D:$DH,AS$1,0)),AR62-VLOOKUP($D62,'Visu totale'!$D:$DH,AS$1,0),IF(LEFT(VLOOKUP($D62,'Visu totale'!$D:$DH,AS$1,0),1)="V",IF(AR62&gt;=INDEX('[1]Définition Maintenances'!$G:$G,MATCH($A62,'[1]Définition Maintenances'!$K:$K,0)),AR62,INDEX('[1]Définition Maintenances'!$G:$G,MATCH($A62,'[1]Définition Maintenances'!$K:$K,0))+AR62),AR62))</f>
        <v>211</v>
      </c>
      <c r="AT62" s="26">
        <f>IF(ISNUMBER(VLOOKUP($D62,'Visu totale'!$D:$DH,AT$1,0)),AS62-VLOOKUP($D62,'Visu totale'!$D:$DH,AT$1,0),IF(LEFT(VLOOKUP($D62,'Visu totale'!$D:$DH,AT$1,0),1)="V",IF(AS62&gt;=INDEX('[1]Définition Maintenances'!$G:$G,MATCH($A62,'[1]Définition Maintenances'!$K:$K,0)),AS62,INDEX('[1]Définition Maintenances'!$G:$G,MATCH($A62,'[1]Définition Maintenances'!$K:$K,0))+AS62),AS62))</f>
        <v>211</v>
      </c>
      <c r="AU62" s="26">
        <f>IF(ISNUMBER(VLOOKUP($D62,'Visu totale'!$D:$DH,AU$1,0)),AT62-VLOOKUP($D62,'Visu totale'!$D:$DH,AU$1,0),IF(LEFT(VLOOKUP($D62,'Visu totale'!$D:$DH,AU$1,0),1)="V",IF(AT62&gt;=INDEX('[1]Définition Maintenances'!$G:$G,MATCH($A62,'[1]Définition Maintenances'!$K:$K,0)),AT62,INDEX('[1]Définition Maintenances'!$G:$G,MATCH($A62,'[1]Définition Maintenances'!$K:$K,0))+AT62),AT62))</f>
        <v>211</v>
      </c>
      <c r="AV62" s="26">
        <f>IF(ISNUMBER(VLOOKUP($D62,'Visu totale'!$D:$DH,AV$1,0)),AU62-VLOOKUP($D62,'Visu totale'!$D:$DH,AV$1,0),IF(LEFT(VLOOKUP($D62,'Visu totale'!$D:$DH,AV$1,0),1)="V",IF(AU62&gt;=INDEX('[1]Définition Maintenances'!$G:$G,MATCH($A62,'[1]Définition Maintenances'!$K:$K,0)),AU62,INDEX('[1]Définition Maintenances'!$G:$G,MATCH($A62,'[1]Définition Maintenances'!$K:$K,0))+AU62),AU62))</f>
        <v>211</v>
      </c>
      <c r="AW62" s="26">
        <f>IF(ISNUMBER(VLOOKUP($D62,'Visu totale'!$D:$DH,AW$1,0)),AV62-VLOOKUP($D62,'Visu totale'!$D:$DH,AW$1,0),IF(LEFT(VLOOKUP($D62,'Visu totale'!$D:$DH,AW$1,0),1)="V",IF(AV62&gt;=INDEX('[1]Définition Maintenances'!$G:$G,MATCH($A62,'[1]Définition Maintenances'!$K:$K,0)),AV62,INDEX('[1]Définition Maintenances'!$G:$G,MATCH($A62,'[1]Définition Maintenances'!$K:$K,0))+AV62),AV62))</f>
        <v>211</v>
      </c>
      <c r="AX62" s="26">
        <f>IF(ISNUMBER(VLOOKUP($D62,'Visu totale'!$D:$DH,AX$1,0)),AW62-VLOOKUP($D62,'Visu totale'!$D:$DH,AX$1,0),IF(LEFT(VLOOKUP($D62,'Visu totale'!$D:$DH,AX$1,0),1)="V",IF(AW62&gt;=INDEX('[1]Définition Maintenances'!$G:$G,MATCH($A62,'[1]Définition Maintenances'!$K:$K,0)),AW62,INDEX('[1]Définition Maintenances'!$G:$G,MATCH($A62,'[1]Définition Maintenances'!$K:$K,0))+AW62),AW62))</f>
        <v>211</v>
      </c>
      <c r="AY62" s="26">
        <f>IF(ISNUMBER(VLOOKUP($D62,'Visu totale'!$D:$DH,AY$1,0)),AX62-VLOOKUP($D62,'Visu totale'!$D:$DH,AY$1,0),IF(LEFT(VLOOKUP($D62,'Visu totale'!$D:$DH,AY$1,0),1)="V",IF(AX62&gt;=INDEX('[1]Définition Maintenances'!$G:$G,MATCH($A62,'[1]Définition Maintenances'!$K:$K,0)),AX62,INDEX('[1]Définition Maintenances'!$G:$G,MATCH($A62,'[1]Définition Maintenances'!$K:$K,0))+AX62),AX62))</f>
        <v>211</v>
      </c>
      <c r="AZ62" s="26">
        <f>IF(ISNUMBER(VLOOKUP($D62,'Visu totale'!$D:$DH,AZ$1,0)),AY62-VLOOKUP($D62,'Visu totale'!$D:$DH,AZ$1,0),IF(LEFT(VLOOKUP($D62,'Visu totale'!$D:$DH,AZ$1,0),1)="V",IF(AY62&gt;=INDEX('[1]Définition Maintenances'!$G:$G,MATCH($A62,'[1]Définition Maintenances'!$K:$K,0)),AY62,INDEX('[1]Définition Maintenances'!$G:$G,MATCH($A62,'[1]Définition Maintenances'!$K:$K,0))+AY62),AY62))</f>
        <v>211</v>
      </c>
      <c r="BA62" s="27">
        <f>IF(ISNUMBER(VLOOKUP($D62,'Visu totale'!$D:$DH,BA$1,0)),AZ62-VLOOKUP($D62,'Visu totale'!$D:$DH,BA$1,0),IF(LEFT(VLOOKUP($D62,'Visu totale'!$D:$DH,BA$1,0),1)="V",IF(AZ62&gt;=INDEX('[1]Définition Maintenances'!$G:$G,MATCH($A62,'[1]Définition Maintenances'!$K:$K,0)),AZ62,INDEX('[1]Définition Maintenances'!$G:$G,MATCH($A62,'[1]Définition Maintenances'!$K:$K,0))+AZ62),AZ62))</f>
        <v>211</v>
      </c>
      <c r="BB62" s="25">
        <f>IF(ISNUMBER(VLOOKUP($D62,'Visu totale'!$D:$DH,BB$1,0)),BA62-VLOOKUP($D62,'Visu totale'!$D:$DH,BB$1,0),IF(LEFT(VLOOKUP($D62,'Visu totale'!$D:$DH,BB$1,0),1)="V",IF(BA62&gt;=INDEX('[1]Définition Maintenances'!$G:$G,MATCH($A62,'[1]Définition Maintenances'!$K:$K,0)),BA62,INDEX('[1]Définition Maintenances'!$G:$G,MATCH($A62,'[1]Définition Maintenances'!$K:$K,0))+BA62),BA62))</f>
        <v>211</v>
      </c>
      <c r="BC62" s="26">
        <f>IF(ISNUMBER(VLOOKUP($D62,'Visu totale'!$D:$DH,BC$1,0)),BB62-VLOOKUP($D62,'Visu totale'!$D:$DH,BC$1,0),IF(LEFT(VLOOKUP($D62,'Visu totale'!$D:$DH,BC$1,0),1)="V",IF(BB62&gt;=INDEX('[1]Définition Maintenances'!$G:$G,MATCH($A62,'[1]Définition Maintenances'!$K:$K,0)),BB62,INDEX('[1]Définition Maintenances'!$G:$G,MATCH($A62,'[1]Définition Maintenances'!$K:$K,0))+BB62),BB62))</f>
        <v>211</v>
      </c>
      <c r="BD62" s="26">
        <f>IF(ISNUMBER(VLOOKUP($D62,'Visu totale'!$D:$DH,BD$1,0)),BC62-VLOOKUP($D62,'Visu totale'!$D:$DH,BD$1,0),IF(LEFT(VLOOKUP($D62,'Visu totale'!$D:$DH,BD$1,0),1)="V",IF(BC62&gt;=INDEX('[1]Définition Maintenances'!$G:$G,MATCH($A62,'[1]Définition Maintenances'!$K:$K,0)),BC62,INDEX('[1]Définition Maintenances'!$G:$G,MATCH($A62,'[1]Définition Maintenances'!$K:$K,0))+BC62),BC62))</f>
        <v>211</v>
      </c>
      <c r="BE62" s="26">
        <f>IF(ISNUMBER(VLOOKUP($D62,'Visu totale'!$D:$DH,BE$1,0)),BD62-VLOOKUP($D62,'Visu totale'!$D:$DH,BE$1,0),IF(LEFT(VLOOKUP($D62,'Visu totale'!$D:$DH,BE$1,0),1)="V",IF(BD62&gt;=INDEX('[1]Définition Maintenances'!$G:$G,MATCH($A62,'[1]Définition Maintenances'!$K:$K,0)),BD62,INDEX('[1]Définition Maintenances'!$G:$G,MATCH($A62,'[1]Définition Maintenances'!$K:$K,0))+BD62),BD62))</f>
        <v>211</v>
      </c>
      <c r="BF62" s="26">
        <f>IF(ISNUMBER(VLOOKUP($D62,'Visu totale'!$D:$DH,BF$1,0)),BE62-VLOOKUP($D62,'Visu totale'!$D:$DH,BF$1,0),IF(LEFT(VLOOKUP($D62,'Visu totale'!$D:$DH,BF$1,0),1)="V",IF(BE62&gt;=INDEX('[1]Définition Maintenances'!$G:$G,MATCH($A62,'[1]Définition Maintenances'!$K:$K,0)),BE62,INDEX('[1]Définition Maintenances'!$G:$G,MATCH($A62,'[1]Définition Maintenances'!$K:$K,0))+BE62),BE62))</f>
        <v>211</v>
      </c>
      <c r="BG62" s="26">
        <f>IF(ISNUMBER(VLOOKUP($D62,'Visu totale'!$D:$DH,BG$1,0)),BF62-VLOOKUP($D62,'Visu totale'!$D:$DH,BG$1,0),IF(LEFT(VLOOKUP($D62,'Visu totale'!$D:$DH,BG$1,0),1)="V",IF(BF62&gt;=INDEX('[1]Définition Maintenances'!$G:$G,MATCH($A62,'[1]Définition Maintenances'!$K:$K,0)),BF62,INDEX('[1]Définition Maintenances'!$G:$G,MATCH($A62,'[1]Définition Maintenances'!$K:$K,0))+BF62),BF62))</f>
        <v>211</v>
      </c>
      <c r="BH62" s="26">
        <f>IF(ISNUMBER(VLOOKUP($D62,'Visu totale'!$D:$DH,BH$1,0)),BG62-VLOOKUP($D62,'Visu totale'!$D:$DH,BH$1,0),IF(LEFT(VLOOKUP($D62,'Visu totale'!$D:$DH,BH$1,0),1)="V",IF(BG62&gt;=INDEX('[1]Définition Maintenances'!$G:$G,MATCH($A62,'[1]Définition Maintenances'!$K:$K,0)),BG62,INDEX('[1]Définition Maintenances'!$G:$G,MATCH($A62,'[1]Définition Maintenances'!$K:$K,0))+BG62),BG62))</f>
        <v>211</v>
      </c>
      <c r="BI62" s="26">
        <f>IF(ISNUMBER(VLOOKUP($D62,'Visu totale'!$D:$DH,BI$1,0)),BH62-VLOOKUP($D62,'Visu totale'!$D:$DH,BI$1,0),IF(LEFT(VLOOKUP($D62,'Visu totale'!$D:$DH,BI$1,0),1)="V",IF(BH62&gt;=INDEX('[1]Définition Maintenances'!$G:$G,MATCH($A62,'[1]Définition Maintenances'!$K:$K,0)),BH62,INDEX('[1]Définition Maintenances'!$G:$G,MATCH($A62,'[1]Définition Maintenances'!$K:$K,0))+BH62),BH62))</f>
        <v>211</v>
      </c>
      <c r="BJ62" s="26">
        <f>IF(ISNUMBER(VLOOKUP($D62,'Visu totale'!$D:$DH,BJ$1,0)),BI62-VLOOKUP($D62,'Visu totale'!$D:$DH,BJ$1,0),IF(LEFT(VLOOKUP($D62,'Visu totale'!$D:$DH,BJ$1,0),1)="V",IF(BI62&gt;=INDEX('[1]Définition Maintenances'!$G:$G,MATCH($A62,'[1]Définition Maintenances'!$K:$K,0)),BI62,INDEX('[1]Définition Maintenances'!$G:$G,MATCH($A62,'[1]Définition Maintenances'!$K:$K,0))+BI62),BI62))</f>
        <v>211</v>
      </c>
      <c r="BK62" s="26">
        <f>IF(ISNUMBER(VLOOKUP($D62,'Visu totale'!$D:$DH,BK$1,0)),BJ62-VLOOKUP($D62,'Visu totale'!$D:$DH,BK$1,0),IF(LEFT(VLOOKUP($D62,'Visu totale'!$D:$DH,BK$1,0),1)="V",IF(BJ62&gt;=INDEX('[1]Définition Maintenances'!$G:$G,MATCH($A62,'[1]Définition Maintenances'!$K:$K,0)),BJ62,INDEX('[1]Définition Maintenances'!$G:$G,MATCH($A62,'[1]Définition Maintenances'!$K:$K,0))+BJ62),BJ62))</f>
        <v>211</v>
      </c>
      <c r="BL62" s="26">
        <f>IF(ISNUMBER(VLOOKUP($D62,'Visu totale'!$D:$DH,BL$1,0)),BK62-VLOOKUP($D62,'Visu totale'!$D:$DH,BL$1,0),IF(LEFT(VLOOKUP($D62,'Visu totale'!$D:$DH,BL$1,0),1)="V",IF(BK62&gt;=INDEX('[1]Définition Maintenances'!$G:$G,MATCH($A62,'[1]Définition Maintenances'!$K:$K,0)),BK62,INDEX('[1]Définition Maintenances'!$G:$G,MATCH($A62,'[1]Définition Maintenances'!$K:$K,0))+BK62),BK62))</f>
        <v>211</v>
      </c>
      <c r="BM62" s="27">
        <f>IF(ISNUMBER(VLOOKUP($D62,'Visu totale'!$D:$DH,BM$1,0)),BL62-VLOOKUP($D62,'Visu totale'!$D:$DH,BM$1,0),IF(LEFT(VLOOKUP($D62,'Visu totale'!$D:$DH,BM$1,0),1)="V",IF(BL62&gt;=INDEX('[1]Définition Maintenances'!$G:$G,MATCH($A62,'[1]Définition Maintenances'!$K:$K,0)),BL62,INDEX('[1]Définition Maintenances'!$G:$G,MATCH($A62,'[1]Définition Maintenances'!$K:$K,0))+BL62),BL62))</f>
        <v>211</v>
      </c>
      <c r="BN62" s="25">
        <f>IF(ISNUMBER(VLOOKUP($D62,'Visu totale'!$D:$DH,BN$1,0)),BM62-VLOOKUP($D62,'Visu totale'!$D:$DH,BN$1,0),IF(LEFT(VLOOKUP($D62,'Visu totale'!$D:$DH,BN$1,0),1)="V",IF(BM62&gt;=INDEX('[1]Définition Maintenances'!$G:$G,MATCH($A62,'[1]Définition Maintenances'!$K:$K,0)),BM62,INDEX('[1]Définition Maintenances'!$G:$G,MATCH($A62,'[1]Définition Maintenances'!$K:$K,0))+BM62),BM62))</f>
        <v>211</v>
      </c>
      <c r="BO62" s="26">
        <f>IF(ISNUMBER(VLOOKUP($D62,'Visu totale'!$D:$DH,BO$1,0)),BN62-VLOOKUP($D62,'Visu totale'!$D:$DH,BO$1,0),IF(LEFT(VLOOKUP($D62,'Visu totale'!$D:$DH,BO$1,0),1)="V",IF(BN62&gt;=INDEX('[1]Définition Maintenances'!$G:$G,MATCH($A62,'[1]Définition Maintenances'!$K:$K,0)),BN62,INDEX('[1]Définition Maintenances'!$G:$G,MATCH($A62,'[1]Définition Maintenances'!$K:$K,0))+BN62),BN62))</f>
        <v>211</v>
      </c>
      <c r="BP62" s="26">
        <f>IF(ISNUMBER(VLOOKUP($D62,'Visu totale'!$D:$DH,BP$1,0)),BO62-VLOOKUP($D62,'Visu totale'!$D:$DH,BP$1,0),IF(LEFT(VLOOKUP($D62,'Visu totale'!$D:$DH,BP$1,0),1)="V",IF(BO62&gt;=INDEX('[1]Définition Maintenances'!$G:$G,MATCH($A62,'[1]Définition Maintenances'!$K:$K,0)),BO62,INDEX('[1]Définition Maintenances'!$G:$G,MATCH($A62,'[1]Définition Maintenances'!$K:$K,0))+BO62),BO62))</f>
        <v>211</v>
      </c>
      <c r="BQ62" s="26">
        <f>IF(ISNUMBER(VLOOKUP($D62,'Visu totale'!$D:$DH,BQ$1,0)),BP62-VLOOKUP($D62,'Visu totale'!$D:$DH,BQ$1,0),IF(LEFT(VLOOKUP($D62,'Visu totale'!$D:$DH,BQ$1,0),1)="V",IF(BP62&gt;=INDEX('[1]Définition Maintenances'!$G:$G,MATCH($A62,'[1]Définition Maintenances'!$K:$K,0)),BP62,INDEX('[1]Définition Maintenances'!$G:$G,MATCH($A62,'[1]Définition Maintenances'!$K:$K,0))+BP62),BP62))</f>
        <v>211</v>
      </c>
      <c r="BR62" s="26">
        <f>IF(ISNUMBER(VLOOKUP($D62,'Visu totale'!$D:$DH,BR$1,0)),BQ62-VLOOKUP($D62,'Visu totale'!$D:$DH,BR$1,0),IF(LEFT(VLOOKUP($D62,'Visu totale'!$D:$DH,BR$1,0),1)="V",IF(BQ62&gt;=INDEX('[1]Définition Maintenances'!$G:$G,MATCH($A62,'[1]Définition Maintenances'!$K:$K,0)),BQ62,INDEX('[1]Définition Maintenances'!$G:$G,MATCH($A62,'[1]Définition Maintenances'!$K:$K,0))+BQ62),BQ62))</f>
        <v>211</v>
      </c>
      <c r="BS62" s="26">
        <f>IF(ISNUMBER(VLOOKUP($D62,'Visu totale'!$D:$DH,BS$1,0)),BR62-VLOOKUP($D62,'Visu totale'!$D:$DH,BS$1,0),IF(LEFT(VLOOKUP($D62,'Visu totale'!$D:$DH,BS$1,0),1)="V",IF(BR62&gt;=INDEX('[1]Définition Maintenances'!$G:$G,MATCH($A62,'[1]Définition Maintenances'!$K:$K,0)),BR62,INDEX('[1]Définition Maintenances'!$G:$G,MATCH($A62,'[1]Définition Maintenances'!$K:$K,0))+BR62),BR62))</f>
        <v>211</v>
      </c>
      <c r="BT62" s="26">
        <f>IF(ISNUMBER(VLOOKUP($D62,'Visu totale'!$D:$DH,BT$1,0)),BS62-VLOOKUP($D62,'Visu totale'!$D:$DH,BT$1,0),IF(LEFT(VLOOKUP($D62,'Visu totale'!$D:$DH,BT$1,0),1)="V",IF(BS62&gt;=INDEX('[1]Définition Maintenances'!$G:$G,MATCH($A62,'[1]Définition Maintenances'!$K:$K,0)),BS62,INDEX('[1]Définition Maintenances'!$G:$G,MATCH($A62,'[1]Définition Maintenances'!$K:$K,0))+BS62),BS62))</f>
        <v>211</v>
      </c>
      <c r="BU62" s="26">
        <f>IF(ISNUMBER(VLOOKUP($D62,'Visu totale'!$D:$DH,BU$1,0)),BT62-VLOOKUP($D62,'Visu totale'!$D:$DH,BU$1,0),IF(LEFT(VLOOKUP($D62,'Visu totale'!$D:$DH,BU$1,0),1)="V",IF(BT62&gt;=INDEX('[1]Définition Maintenances'!$G:$G,MATCH($A62,'[1]Définition Maintenances'!$K:$K,0)),BT62,INDEX('[1]Définition Maintenances'!$G:$G,MATCH($A62,'[1]Définition Maintenances'!$K:$K,0))+BT62),BT62))</f>
        <v>211</v>
      </c>
      <c r="BV62" s="26">
        <f>IF(ISNUMBER(VLOOKUP($D62,'Visu totale'!$D:$DH,BV$1,0)),BU62-VLOOKUP($D62,'Visu totale'!$D:$DH,BV$1,0),IF(LEFT(VLOOKUP($D62,'Visu totale'!$D:$DH,BV$1,0),1)="V",IF(BU62&gt;=INDEX('[1]Définition Maintenances'!$G:$G,MATCH($A62,'[1]Définition Maintenances'!$K:$K,0)),BU62,INDEX('[1]Définition Maintenances'!$G:$G,MATCH($A62,'[1]Définition Maintenances'!$K:$K,0))+BU62),BU62))</f>
        <v>211</v>
      </c>
      <c r="BW62" s="26">
        <f>IF(ISNUMBER(VLOOKUP($D62,'Visu totale'!$D:$DH,BW$1,0)),BV62-VLOOKUP($D62,'Visu totale'!$D:$DH,BW$1,0),IF(LEFT(VLOOKUP($D62,'Visu totale'!$D:$DH,BW$1,0),1)="V",IF(BV62&gt;=INDEX('[1]Définition Maintenances'!$G:$G,MATCH($A62,'[1]Définition Maintenances'!$K:$K,0)),BV62,INDEX('[1]Définition Maintenances'!$G:$G,MATCH($A62,'[1]Définition Maintenances'!$K:$K,0))+BV62),BV62))</f>
        <v>211</v>
      </c>
      <c r="BX62" s="26">
        <f>IF(ISNUMBER(VLOOKUP($D62,'Visu totale'!$D:$DH,BX$1,0)),BW62-VLOOKUP($D62,'Visu totale'!$D:$DH,BX$1,0),IF(LEFT(VLOOKUP($D62,'Visu totale'!$D:$DH,BX$1,0),1)="V",IF(BW62&gt;=INDEX('[1]Définition Maintenances'!$G:$G,MATCH($A62,'[1]Définition Maintenances'!$K:$K,0)),BW62,INDEX('[1]Définition Maintenances'!$G:$G,MATCH($A62,'[1]Définition Maintenances'!$K:$K,0))+BW62),BW62))</f>
        <v>211</v>
      </c>
      <c r="BY62" s="27">
        <f>IF(ISNUMBER(VLOOKUP($D62,'Visu totale'!$D:$DH,BY$1,0)),BX62-VLOOKUP($D62,'Visu totale'!$D:$DH,BY$1,0),IF(LEFT(VLOOKUP($D62,'Visu totale'!$D:$DH,BY$1,0),1)="V",IF(BX62&gt;=INDEX('[1]Définition Maintenances'!$G:$G,MATCH($A62,'[1]Définition Maintenances'!$K:$K,0)),BX62,INDEX('[1]Définition Maintenances'!$G:$G,MATCH($A62,'[1]Définition Maintenances'!$K:$K,0))+BX62),BX62))</f>
        <v>211</v>
      </c>
      <c r="BZ62" s="25">
        <f>IF(ISNUMBER(VLOOKUP($D62,'Visu totale'!$D:$DH,BZ$1,0)),BY62-VLOOKUP($D62,'Visu totale'!$D:$DH,BZ$1,0),IF(LEFT(VLOOKUP($D62,'Visu totale'!$D:$DH,BZ$1,0),1)="V",IF(BY62&gt;=INDEX('[1]Définition Maintenances'!$G:$G,MATCH($A62,'[1]Définition Maintenances'!$K:$K,0)),BY62,INDEX('[1]Définition Maintenances'!$G:$G,MATCH($A62,'[1]Définition Maintenances'!$K:$K,0))+BY62),BY62))</f>
        <v>211</v>
      </c>
      <c r="CA62" s="26">
        <f>IF(ISNUMBER(VLOOKUP($D62,'Visu totale'!$D:$DH,CA$1,0)),BZ62-VLOOKUP($D62,'Visu totale'!$D:$DH,CA$1,0),IF(LEFT(VLOOKUP($D62,'Visu totale'!$D:$DH,CA$1,0),1)="V",IF(BZ62&gt;=INDEX('[1]Définition Maintenances'!$G:$G,MATCH($A62,'[1]Définition Maintenances'!$K:$K,0)),BZ62,INDEX('[1]Définition Maintenances'!$G:$G,MATCH($A62,'[1]Définition Maintenances'!$K:$K,0))+BZ62),BZ62))</f>
        <v>211</v>
      </c>
      <c r="CB62" s="26">
        <f>IF(ISNUMBER(VLOOKUP($D62,'Visu totale'!$D:$DH,CB$1,0)),CA62-VLOOKUP($D62,'Visu totale'!$D:$DH,CB$1,0),IF(LEFT(VLOOKUP($D62,'Visu totale'!$D:$DH,CB$1,0),1)="V",IF(CA62&gt;=INDEX('[1]Définition Maintenances'!$G:$G,MATCH($A62,'[1]Définition Maintenances'!$K:$K,0)),CA62,INDEX('[1]Définition Maintenances'!$G:$G,MATCH($A62,'[1]Définition Maintenances'!$K:$K,0))+CA62),CA62))</f>
        <v>211</v>
      </c>
      <c r="CC62" s="26">
        <f>IF(ISNUMBER(VLOOKUP($D62,'Visu totale'!$D:$DH,CC$1,0)),CB62-VLOOKUP($D62,'Visu totale'!$D:$DH,CC$1,0),IF(LEFT(VLOOKUP($D62,'Visu totale'!$D:$DH,CC$1,0),1)="V",IF(CB62&gt;=INDEX('[1]Définition Maintenances'!$G:$G,MATCH($A62,'[1]Définition Maintenances'!$K:$K,0)),CB62,INDEX('[1]Définition Maintenances'!$G:$G,MATCH($A62,'[1]Définition Maintenances'!$K:$K,0))+CB62),CB62))</f>
        <v>211</v>
      </c>
      <c r="CD62" s="26">
        <f>IF(ISNUMBER(VLOOKUP($D62,'Visu totale'!$D:$DH,CD$1,0)),CC62-VLOOKUP($D62,'Visu totale'!$D:$DH,CD$1,0),IF(LEFT(VLOOKUP($D62,'Visu totale'!$D:$DH,CD$1,0),1)="V",IF(CC62&gt;=INDEX('[1]Définition Maintenances'!$G:$G,MATCH($A62,'[1]Définition Maintenances'!$K:$K,0)),CC62,INDEX('[1]Définition Maintenances'!$G:$G,MATCH($A62,'[1]Définition Maintenances'!$K:$K,0))+CC62),CC62))</f>
        <v>211</v>
      </c>
      <c r="CE62" s="26">
        <f>IF(ISNUMBER(VLOOKUP($D62,'Visu totale'!$D:$DH,CE$1,0)),CD62-VLOOKUP($D62,'Visu totale'!$D:$DH,CE$1,0),IF(LEFT(VLOOKUP($D62,'Visu totale'!$D:$DH,CE$1,0),1)="V",IF(CD62&gt;=INDEX('[1]Définition Maintenances'!$G:$G,MATCH($A62,'[1]Définition Maintenances'!$K:$K,0)),CD62,INDEX('[1]Définition Maintenances'!$G:$G,MATCH($A62,'[1]Définition Maintenances'!$K:$K,0))+CD62),CD62))</f>
        <v>211</v>
      </c>
      <c r="CF62" s="26">
        <f>IF(ISNUMBER(VLOOKUP($D62,'Visu totale'!$D:$DH,CF$1,0)),CE62-VLOOKUP($D62,'Visu totale'!$D:$DH,CF$1,0),IF(LEFT(VLOOKUP($D62,'Visu totale'!$D:$DH,CF$1,0),1)="V",IF(CE62&gt;=INDEX('[1]Définition Maintenances'!$G:$G,MATCH($A62,'[1]Définition Maintenances'!$K:$K,0)),CE62,INDEX('[1]Définition Maintenances'!$G:$G,MATCH($A62,'[1]Définition Maintenances'!$K:$K,0))+CE62),CE62))</f>
        <v>211</v>
      </c>
      <c r="CG62" s="26">
        <f>IF(ISNUMBER(VLOOKUP($D62,'Visu totale'!$D:$DH,CG$1,0)),CF62-VLOOKUP($D62,'Visu totale'!$D:$DH,CG$1,0),IF(LEFT(VLOOKUP($D62,'Visu totale'!$D:$DH,CG$1,0),1)="V",IF(CF62&gt;=INDEX('[1]Définition Maintenances'!$G:$G,MATCH($A62,'[1]Définition Maintenances'!$K:$K,0)),CF62,INDEX('[1]Définition Maintenances'!$G:$G,MATCH($A62,'[1]Définition Maintenances'!$K:$K,0))+CF62),CF62))</f>
        <v>211</v>
      </c>
      <c r="CH62" s="26">
        <f>IF(ISNUMBER(VLOOKUP($D62,'Visu totale'!$D:$DH,CH$1,0)),CG62-VLOOKUP($D62,'Visu totale'!$D:$DH,CH$1,0),IF(LEFT(VLOOKUP($D62,'Visu totale'!$D:$DH,CH$1,0),1)="V",IF(CG62&gt;=INDEX('[1]Définition Maintenances'!$G:$G,MATCH($A62,'[1]Définition Maintenances'!$K:$K,0)),CG62,INDEX('[1]Définition Maintenances'!$G:$G,MATCH($A62,'[1]Définition Maintenances'!$K:$K,0))+CG62),CG62))</f>
        <v>211</v>
      </c>
      <c r="CI62" s="26">
        <f>IF(ISNUMBER(VLOOKUP($D62,'Visu totale'!$D:$DH,CI$1,0)),CH62-VLOOKUP($D62,'Visu totale'!$D:$DH,CI$1,0),IF(LEFT(VLOOKUP($D62,'Visu totale'!$D:$DH,CI$1,0),1)="V",IF(CH62&gt;=INDEX('[1]Définition Maintenances'!$G:$G,MATCH($A62,'[1]Définition Maintenances'!$K:$K,0)),CH62,INDEX('[1]Définition Maintenances'!$G:$G,MATCH($A62,'[1]Définition Maintenances'!$K:$K,0))+CH62),CH62))</f>
        <v>211</v>
      </c>
      <c r="CJ62" s="26">
        <f>IF(ISNUMBER(VLOOKUP($D62,'Visu totale'!$D:$DH,CJ$1,0)),CI62-VLOOKUP($D62,'Visu totale'!$D:$DH,CJ$1,0),IF(LEFT(VLOOKUP($D62,'Visu totale'!$D:$DH,CJ$1,0),1)="V",IF(CI62&gt;=INDEX('[1]Définition Maintenances'!$G:$G,MATCH($A62,'[1]Définition Maintenances'!$K:$K,0)),CI62,INDEX('[1]Définition Maintenances'!$G:$G,MATCH($A62,'[1]Définition Maintenances'!$K:$K,0))+CI62),CI62))</f>
        <v>211</v>
      </c>
      <c r="CK62" s="27">
        <f>IF(ISNUMBER(VLOOKUP($D62,'Visu totale'!$D:$DH,CK$1,0)),CJ62-VLOOKUP($D62,'Visu totale'!$D:$DH,CK$1,0),IF(LEFT(VLOOKUP($D62,'Visu totale'!$D:$DH,CK$1,0),1)="V",IF(CJ62&gt;=INDEX('[1]Définition Maintenances'!$G:$G,MATCH($A62,'[1]Définition Maintenances'!$K:$K,0)),CJ62,INDEX('[1]Définition Maintenances'!$G:$G,MATCH($A62,'[1]Définition Maintenances'!$K:$K,0))+CJ62),CJ62))</f>
        <v>211</v>
      </c>
      <c r="CL62" s="25">
        <f>IF(ISNUMBER(VLOOKUP($D62,'Visu totale'!$D:$DH,CL$1,0)),CK62-VLOOKUP($D62,'Visu totale'!$D:$DH,CL$1,0),IF(LEFT(VLOOKUP($D62,'Visu totale'!$D:$DH,CL$1,0),1)="V",IF(CK62&gt;=INDEX('[1]Définition Maintenances'!$G:$G,MATCH($A62,'[1]Définition Maintenances'!$K:$K,0)),CK62,INDEX('[1]Définition Maintenances'!$G:$G,MATCH($A62,'[1]Définition Maintenances'!$K:$K,0))+CK62),CK62))</f>
        <v>211</v>
      </c>
      <c r="CM62" s="26">
        <f>IF(ISNUMBER(VLOOKUP($D62,'Visu totale'!$D:$DH,CM$1,0)),CL62-VLOOKUP($D62,'Visu totale'!$D:$DH,CM$1,0),IF(LEFT(VLOOKUP($D62,'Visu totale'!$D:$DH,CM$1,0),1)="V",IF(CL62&gt;=INDEX('[1]Définition Maintenances'!$G:$G,MATCH($A62,'[1]Définition Maintenances'!$K:$K,0)),CL62,INDEX('[1]Définition Maintenances'!$G:$G,MATCH($A62,'[1]Définition Maintenances'!$K:$K,0))+CL62),CL62))</f>
        <v>211</v>
      </c>
      <c r="CN62" s="26">
        <f>IF(ISNUMBER(VLOOKUP($D62,'Visu totale'!$D:$DH,CN$1,0)),CM62-VLOOKUP($D62,'Visu totale'!$D:$DH,CN$1,0),IF(LEFT(VLOOKUP($D62,'Visu totale'!$D:$DH,CN$1,0),1)="V",IF(CM62&gt;=INDEX('[1]Définition Maintenances'!$G:$G,MATCH($A62,'[1]Définition Maintenances'!$K:$K,0)),CM62,INDEX('[1]Définition Maintenances'!$G:$G,MATCH($A62,'[1]Définition Maintenances'!$K:$K,0))+CM62),CM62))</f>
        <v>211</v>
      </c>
      <c r="CO62" s="26">
        <f>IF(ISNUMBER(VLOOKUP($D62,'Visu totale'!$D:$DH,CO$1,0)),CN62-VLOOKUP($D62,'Visu totale'!$D:$DH,CO$1,0),IF(LEFT(VLOOKUP($D62,'Visu totale'!$D:$DH,CO$1,0),1)="V",IF(CN62&gt;=INDEX('[1]Définition Maintenances'!$G:$G,MATCH($A62,'[1]Définition Maintenances'!$K:$K,0)),CN62,INDEX('[1]Définition Maintenances'!$G:$G,MATCH($A62,'[1]Définition Maintenances'!$K:$K,0))+CN62),CN62))</f>
        <v>211</v>
      </c>
      <c r="CP62" s="26">
        <f>IF(ISNUMBER(VLOOKUP($D62,'Visu totale'!$D:$DH,CP$1,0)),CO62-VLOOKUP($D62,'Visu totale'!$D:$DH,CP$1,0),IF(LEFT(VLOOKUP($D62,'Visu totale'!$D:$DH,CP$1,0),1)="V",IF(CO62&gt;=INDEX('[1]Définition Maintenances'!$G:$G,MATCH($A62,'[1]Définition Maintenances'!$K:$K,0)),CO62,INDEX('[1]Définition Maintenances'!$G:$G,MATCH($A62,'[1]Définition Maintenances'!$K:$K,0))+CO62),CO62))</f>
        <v>211</v>
      </c>
      <c r="CQ62" s="26">
        <f>IF(ISNUMBER(VLOOKUP($D62,'Visu totale'!$D:$DH,CQ$1,0)),CP62-VLOOKUP($D62,'Visu totale'!$D:$DH,CQ$1,0),IF(LEFT(VLOOKUP($D62,'Visu totale'!$D:$DH,CQ$1,0),1)="V",IF(CP62&gt;=INDEX('[1]Définition Maintenances'!$G:$G,MATCH($A62,'[1]Définition Maintenances'!$K:$K,0)),CP62,INDEX('[1]Définition Maintenances'!$G:$G,MATCH($A62,'[1]Définition Maintenances'!$K:$K,0))+CP62),CP62))</f>
        <v>211</v>
      </c>
      <c r="CR62" s="26">
        <f>IF(ISNUMBER(VLOOKUP($D62,'Visu totale'!$D:$DH,CR$1,0)),CQ62-VLOOKUP($D62,'Visu totale'!$D:$DH,CR$1,0),IF(LEFT(VLOOKUP($D62,'Visu totale'!$D:$DH,CR$1,0),1)="V",IF(CQ62&gt;=INDEX('[1]Définition Maintenances'!$G:$G,MATCH($A62,'[1]Définition Maintenances'!$K:$K,0)),CQ62,INDEX('[1]Définition Maintenances'!$G:$G,MATCH($A62,'[1]Définition Maintenances'!$K:$K,0))+CQ62),CQ62))</f>
        <v>211</v>
      </c>
      <c r="CS62" s="26">
        <f>IF(ISNUMBER(VLOOKUP($D62,'Visu totale'!$D:$DH,CS$1,0)),CR62-VLOOKUP($D62,'Visu totale'!$D:$DH,CS$1,0),IF(LEFT(VLOOKUP($D62,'Visu totale'!$D:$DH,CS$1,0),1)="V",IF(CR62&gt;=INDEX('[1]Définition Maintenances'!$G:$G,MATCH($A62,'[1]Définition Maintenances'!$K:$K,0)),CR62,INDEX('[1]Définition Maintenances'!$G:$G,MATCH($A62,'[1]Définition Maintenances'!$K:$K,0))+CR62),CR62))</f>
        <v>211</v>
      </c>
      <c r="CT62" s="26">
        <f>IF(ISNUMBER(VLOOKUP($D62,'Visu totale'!$D:$DH,CT$1,0)),CS62-VLOOKUP($D62,'Visu totale'!$D:$DH,CT$1,0),IF(LEFT(VLOOKUP($D62,'Visu totale'!$D:$DH,CT$1,0),1)="V",IF(CS62&gt;=INDEX('[1]Définition Maintenances'!$G:$G,MATCH($A62,'[1]Définition Maintenances'!$K:$K,0)),CS62,INDEX('[1]Définition Maintenances'!$G:$G,MATCH($A62,'[1]Définition Maintenances'!$K:$K,0))+CS62),CS62))</f>
        <v>211</v>
      </c>
      <c r="CU62" s="26">
        <f>IF(ISNUMBER(VLOOKUP($D62,'Visu totale'!$D:$DH,CU$1,0)),CT62-VLOOKUP($D62,'Visu totale'!$D:$DH,CU$1,0),IF(LEFT(VLOOKUP($D62,'Visu totale'!$D:$DH,CU$1,0),1)="V",IF(CT62&gt;=INDEX('[1]Définition Maintenances'!$G:$G,MATCH($A62,'[1]Définition Maintenances'!$K:$K,0)),CT62,INDEX('[1]Définition Maintenances'!$G:$G,MATCH($A62,'[1]Définition Maintenances'!$K:$K,0))+CT62),CT62))</f>
        <v>211</v>
      </c>
      <c r="CV62" s="26">
        <f>IF(ISNUMBER(VLOOKUP($D62,'Visu totale'!$D:$DH,CV$1,0)),CU62-VLOOKUP($D62,'Visu totale'!$D:$DH,CV$1,0),IF(LEFT(VLOOKUP($D62,'Visu totale'!$D:$DH,CV$1,0),1)="V",IF(CU62&gt;=INDEX('[1]Définition Maintenances'!$G:$G,MATCH($A62,'[1]Définition Maintenances'!$K:$K,0)),CU62,INDEX('[1]Définition Maintenances'!$G:$G,MATCH($A62,'[1]Définition Maintenances'!$K:$K,0))+CU62),CU62))</f>
        <v>211</v>
      </c>
      <c r="CW62" s="27">
        <f>IF(ISNUMBER(VLOOKUP($D62,'Visu totale'!$D:$DH,CW$1,0)),CV62-VLOOKUP($D62,'Visu totale'!$D:$DH,CW$1,0),IF(LEFT(VLOOKUP($D62,'Visu totale'!$D:$DH,CW$1,0),1)="V",IF(CV62&gt;=INDEX('[1]Définition Maintenances'!$G:$G,MATCH($A62,'[1]Définition Maintenances'!$K:$K,0)),CV62,INDEX('[1]Définition Maintenances'!$G:$G,MATCH($A62,'[1]Définition Maintenances'!$K:$K,0))+CV62),CV62))</f>
        <v>211</v>
      </c>
      <c r="CX62" s="25">
        <f>IF(ISNUMBER(VLOOKUP($D62,'Visu totale'!$D:$DH,CX$1,0)),CW62-VLOOKUP($D62,'Visu totale'!$D:$DH,CX$1,0),IF(LEFT(VLOOKUP($D62,'Visu totale'!$D:$DH,CX$1,0),1)="V",IF(CW62&gt;=INDEX('[1]Définition Maintenances'!$G:$G,MATCH($A62,'[1]Définition Maintenances'!$K:$K,0)),CW62,INDEX('[1]Définition Maintenances'!$G:$G,MATCH($A62,'[1]Définition Maintenances'!$K:$K,0))+CW62),CW62))</f>
        <v>211</v>
      </c>
      <c r="CY62" s="26">
        <f>IF(ISNUMBER(VLOOKUP($D62,'Visu totale'!$D:$DH,CY$1,0)),CX62-VLOOKUP($D62,'Visu totale'!$D:$DH,CY$1,0),IF(LEFT(VLOOKUP($D62,'Visu totale'!$D:$DH,CY$1,0),1)="V",IF(CX62&gt;=INDEX('[1]Définition Maintenances'!$G:$G,MATCH($A62,'[1]Définition Maintenances'!$K:$K,0)),CX62,INDEX('[1]Définition Maintenances'!$G:$G,MATCH($A62,'[1]Définition Maintenances'!$K:$K,0))+CX62),CX62))</f>
        <v>211</v>
      </c>
      <c r="CZ62" s="26">
        <f>IF(ISNUMBER(VLOOKUP($D62,'Visu totale'!$D:$DH,CZ$1,0)),CY62-VLOOKUP($D62,'Visu totale'!$D:$DH,CZ$1,0),IF(LEFT(VLOOKUP($D62,'Visu totale'!$D:$DH,CZ$1,0),1)="V",IF(CY62&gt;=INDEX('[1]Définition Maintenances'!$G:$G,MATCH($A62,'[1]Définition Maintenances'!$K:$K,0)),CY62,INDEX('[1]Définition Maintenances'!$G:$G,MATCH($A62,'[1]Définition Maintenances'!$K:$K,0))+CY62),CY62))</f>
        <v>211</v>
      </c>
      <c r="DA62" s="26">
        <f>IF(ISNUMBER(VLOOKUP($D62,'Visu totale'!$D:$DH,DA$1,0)),CZ62-VLOOKUP($D62,'Visu totale'!$D:$DH,DA$1,0),IF(LEFT(VLOOKUP($D62,'Visu totale'!$D:$DH,DA$1,0),1)="V",IF(CZ62&gt;=INDEX('[1]Définition Maintenances'!$G:$G,MATCH($A62,'[1]Définition Maintenances'!$K:$K,0)),CZ62,INDEX('[1]Définition Maintenances'!$G:$G,MATCH($A62,'[1]Définition Maintenances'!$K:$K,0))+CZ62),CZ62))</f>
        <v>211</v>
      </c>
      <c r="DB62" s="26">
        <f>IF(ISNUMBER(VLOOKUP($D62,'Visu totale'!$D:$DH,DB$1,0)),DA62-VLOOKUP($D62,'Visu totale'!$D:$DH,DB$1,0),IF(LEFT(VLOOKUP($D62,'Visu totale'!$D:$DH,DB$1,0),1)="V",IF(DA62&gt;=INDEX('[1]Définition Maintenances'!$G:$G,MATCH($A62,'[1]Définition Maintenances'!$K:$K,0)),DA62,INDEX('[1]Définition Maintenances'!$G:$G,MATCH($A62,'[1]Définition Maintenances'!$K:$K,0))+DA62),DA62))</f>
        <v>211</v>
      </c>
      <c r="DC62" s="26">
        <f>IF(ISNUMBER(VLOOKUP($D62,'Visu totale'!$D:$DH,DC$1,0)),DB62-VLOOKUP($D62,'Visu totale'!$D:$DH,DC$1,0),IF(LEFT(VLOOKUP($D62,'Visu totale'!$D:$DH,DC$1,0),1)="V",IF(DB62&gt;=INDEX('[1]Définition Maintenances'!$G:$G,MATCH($A62,'[1]Définition Maintenances'!$K:$K,0)),DB62,INDEX('[1]Définition Maintenances'!$G:$G,MATCH($A62,'[1]Définition Maintenances'!$K:$K,0))+DB62),DB62))</f>
        <v>211</v>
      </c>
      <c r="DD62" s="26">
        <f>IF(ISNUMBER(VLOOKUP($D62,'Visu totale'!$D:$DH,DD$1,0)),DC62-VLOOKUP($D62,'Visu totale'!$D:$DH,DD$1,0),IF(LEFT(VLOOKUP($D62,'Visu totale'!$D:$DH,DD$1,0),1)="V",IF(DC62&gt;=INDEX('[1]Définition Maintenances'!$G:$G,MATCH($A62,'[1]Définition Maintenances'!$K:$K,0)),DC62,INDEX('[1]Définition Maintenances'!$G:$G,MATCH($A62,'[1]Définition Maintenances'!$K:$K,0))+DC62),DC62))</f>
        <v>211</v>
      </c>
      <c r="DE62" s="26">
        <f>IF(ISNUMBER(VLOOKUP($D62,'Visu totale'!$D:$DH,DE$1,0)),DD62-VLOOKUP($D62,'Visu totale'!$D:$DH,DE$1,0),IF(LEFT(VLOOKUP($D62,'Visu totale'!$D:$DH,DE$1,0),1)="V",IF(DD62&gt;=INDEX('[1]Définition Maintenances'!$G:$G,MATCH($A62,'[1]Définition Maintenances'!$K:$K,0)),DD62,INDEX('[1]Définition Maintenances'!$G:$G,MATCH($A62,'[1]Définition Maintenances'!$K:$K,0))+DD62),DD62))</f>
        <v>211</v>
      </c>
      <c r="DF62" s="26">
        <f>IF(ISNUMBER(VLOOKUP($D62,'Visu totale'!$D:$DH,DF$1,0)),DE62-VLOOKUP($D62,'Visu totale'!$D:$DH,DF$1,0),IF(LEFT(VLOOKUP($D62,'Visu totale'!$D:$DH,DF$1,0),1)="V",IF(DE62&gt;=INDEX('[1]Définition Maintenances'!$G:$G,MATCH($A62,'[1]Définition Maintenances'!$K:$K,0)),DE62,INDEX('[1]Définition Maintenances'!$G:$G,MATCH($A62,'[1]Définition Maintenances'!$K:$K,0))+DE62),DE62))</f>
        <v>211</v>
      </c>
      <c r="DG62" s="26">
        <f>IF(ISNUMBER(VLOOKUP($D62,'Visu totale'!$D:$DH,DG$1,0)),DF62-VLOOKUP($D62,'Visu totale'!$D:$DH,DG$1,0),IF(LEFT(VLOOKUP($D62,'Visu totale'!$D:$DH,DG$1,0),1)="V",IF(DF62&gt;=INDEX('[1]Définition Maintenances'!$G:$G,MATCH($A62,'[1]Définition Maintenances'!$K:$K,0)),DF62,INDEX('[1]Définition Maintenances'!$G:$G,MATCH($A62,'[1]Définition Maintenances'!$K:$K,0))+DF62),DF62))</f>
        <v>211</v>
      </c>
      <c r="DH62" s="26">
        <f>IF(ISNUMBER(VLOOKUP($D62,'Visu totale'!$D:$DH,DH$1,0)),DG62-VLOOKUP($D62,'Visu totale'!$D:$DH,DH$1,0),IF(LEFT(VLOOKUP($D62,'Visu totale'!$D:$DH,DH$1,0),1)="V",IF(DG62&gt;=INDEX('[1]Définition Maintenances'!$G:$G,MATCH($A62,'[1]Définition Maintenances'!$K:$K,0)),DG62,INDEX('[1]Définition Maintenances'!$G:$G,MATCH($A62,'[1]Définition Maintenances'!$K:$K,0))+DG62),DG62))</f>
        <v>211</v>
      </c>
      <c r="DI62" s="27">
        <f>IF(ISNUMBER(VLOOKUP($D62,'Visu totale'!$D:$DH,DI$1,0)),DH62-VLOOKUP($D62,'Visu totale'!$D:$DH,DI$1,0),IF(LEFT(VLOOKUP($D62,'Visu totale'!$D:$DH,DI$1,0),1)="V",IF(DH62&gt;=INDEX('[1]Définition Maintenances'!$G:$G,MATCH($A62,'[1]Définition Maintenances'!$K:$K,0)),DH62,INDEX('[1]Définition Maintenances'!$G:$G,MATCH($A62,'[1]Définition Maintenances'!$K:$K,0))+DH62),DH62))</f>
        <v>211</v>
      </c>
    </row>
    <row r="63" spans="1:113" x14ac:dyDescent="0.25">
      <c r="A63" s="13" t="str">
        <f t="shared" si="1"/>
        <v>V15D</v>
      </c>
      <c r="B63" s="13" t="str">
        <f>VLOOKUP(D63,'[1]Avions (Potentiels)'!$B$2:$H$128,7,FALSE)</f>
        <v>V15</v>
      </c>
      <c r="C63" s="13"/>
      <c r="D63" s="16" t="s">
        <v>66</v>
      </c>
      <c r="E63" s="13">
        <f>IFERROR(VALUE(SUBSTITUTE(VLOOKUP(D63,'[1]Avions (Potentiels)'!$B:$E,4,0),".",",")),VALUE(VLOOKUP(D63,'[1]Avions (Potentiels)'!$B:$E,4,0)))</f>
        <v>155</v>
      </c>
      <c r="F63" s="25">
        <f>IF(ISNUMBER(VLOOKUP($D63,'Visu totale'!$D:$DH,F$1,0)),E63-VLOOKUP($D63,'Visu totale'!$D:$DH,F$1,0),IF(LEFT(VLOOKUP($D63,'Visu totale'!$D:$DH,F$1,0),1)="V",IF(E63&gt;=INDEX('[1]Définition Maintenances'!$G:$G,MATCH($A63,'[1]Définition Maintenances'!$K:$K,0)),E63,INDEX('[1]Définition Maintenances'!$G:$G,MATCH($A63,'[1]Définition Maintenances'!$K:$K,0))+E63),E63))</f>
        <v>155</v>
      </c>
      <c r="G63" s="26">
        <f>IF(ISNUMBER(VLOOKUP($D63,'Visu totale'!$D:$DH,G$1,0)),F63-VLOOKUP($D63,'Visu totale'!$D:$DH,G$1,0),IF(LEFT(VLOOKUP($D63,'Visu totale'!$D:$DH,G$1,0),1)="V",IF(F63&gt;=INDEX('[1]Définition Maintenances'!$G:$G,MATCH($A63,'[1]Définition Maintenances'!$K:$K,0)),F63,INDEX('[1]Définition Maintenances'!$G:$G,MATCH($A63,'[1]Définition Maintenances'!$K:$K,0))+F63),F63))</f>
        <v>155</v>
      </c>
      <c r="H63" s="26">
        <f>IF(ISNUMBER(VLOOKUP($D63,'Visu totale'!$D:$DH,H$1,0)),G63-VLOOKUP($D63,'Visu totale'!$D:$DH,H$1,0),IF(LEFT(VLOOKUP($D63,'Visu totale'!$D:$DH,H$1,0),1)="V",IF(G63&gt;=INDEX('[1]Définition Maintenances'!$G:$G,MATCH($A63,'[1]Définition Maintenances'!$K:$K,0)),G63,INDEX('[1]Définition Maintenances'!$G:$G,MATCH($A63,'[1]Définition Maintenances'!$K:$K,0))+G63),G63))</f>
        <v>155</v>
      </c>
      <c r="I63" s="26">
        <f>IF(ISNUMBER(VLOOKUP($D63,'Visu totale'!$D:$DH,I$1,0)),H63-VLOOKUP($D63,'Visu totale'!$D:$DH,I$1,0),IF(LEFT(VLOOKUP($D63,'Visu totale'!$D:$DH,I$1,0),1)="V",IF(H63&gt;=INDEX('[1]Définition Maintenances'!$G:$G,MATCH($A63,'[1]Définition Maintenances'!$K:$K,0)),H63,INDEX('[1]Définition Maintenances'!$G:$G,MATCH($A63,'[1]Définition Maintenances'!$K:$K,0))+H63),H63))</f>
        <v>155</v>
      </c>
      <c r="J63" s="26">
        <f>IF(ISNUMBER(VLOOKUP($D63,'Visu totale'!$D:$DH,J$1,0)),I63-VLOOKUP($D63,'Visu totale'!$D:$DH,J$1,0),IF(LEFT(VLOOKUP($D63,'Visu totale'!$D:$DH,J$1,0),1)="V",IF(I63&gt;=INDEX('[1]Définition Maintenances'!$G:$G,MATCH($A63,'[1]Définition Maintenances'!$K:$K,0)),I63,INDEX('[1]Définition Maintenances'!$G:$G,MATCH($A63,'[1]Définition Maintenances'!$K:$K,0))+I63),I63))</f>
        <v>155</v>
      </c>
      <c r="K63" s="26">
        <f>IF(ISNUMBER(VLOOKUP($D63,'Visu totale'!$D:$DH,K$1,0)),J63-VLOOKUP($D63,'Visu totale'!$D:$DH,K$1,0),IF(LEFT(VLOOKUP($D63,'Visu totale'!$D:$DH,K$1,0),1)="V",IF(J63&gt;=INDEX('[1]Définition Maintenances'!$G:$G,MATCH($A63,'[1]Définition Maintenances'!$K:$K,0)),J63,INDEX('[1]Définition Maintenances'!$G:$G,MATCH($A63,'[1]Définition Maintenances'!$K:$K,0))+J63),J63))</f>
        <v>155</v>
      </c>
      <c r="L63" s="26">
        <f>IF(ISNUMBER(VLOOKUP($D63,'Visu totale'!$D:$DH,L$1,0)),K63-VLOOKUP($D63,'Visu totale'!$D:$DH,L$1,0),IF(LEFT(VLOOKUP($D63,'Visu totale'!$D:$DH,L$1,0),1)="V",IF(K63&gt;=INDEX('[1]Définition Maintenances'!$G:$G,MATCH($A63,'[1]Définition Maintenances'!$K:$K,0)),K63,INDEX('[1]Définition Maintenances'!$G:$G,MATCH($A63,'[1]Définition Maintenances'!$K:$K,0))+K63),K63))</f>
        <v>155</v>
      </c>
      <c r="M63" s="26">
        <f>IF(ISNUMBER(VLOOKUP($D63,'Visu totale'!$D:$DH,M$1,0)),L63-VLOOKUP($D63,'Visu totale'!$D:$DH,M$1,0),IF(LEFT(VLOOKUP($D63,'Visu totale'!$D:$DH,M$1,0),1)="V",IF(L63&gt;=INDEX('[1]Définition Maintenances'!$G:$G,MATCH($A63,'[1]Définition Maintenances'!$K:$K,0)),L63,INDEX('[1]Définition Maintenances'!$G:$G,MATCH($A63,'[1]Définition Maintenances'!$K:$K,0))+L63),L63))</f>
        <v>155</v>
      </c>
      <c r="N63" s="26">
        <f>IF(ISNUMBER(VLOOKUP($D63,'Visu totale'!$D:$DH,N$1,0)),M63-VLOOKUP($D63,'Visu totale'!$D:$DH,N$1,0),IF(LEFT(VLOOKUP($D63,'Visu totale'!$D:$DH,N$1,0),1)="V",IF(M63&gt;=INDEX('[1]Définition Maintenances'!$G:$G,MATCH($A63,'[1]Définition Maintenances'!$K:$K,0)),M63,INDEX('[1]Définition Maintenances'!$G:$G,MATCH($A63,'[1]Définition Maintenances'!$K:$K,0))+M63),M63))</f>
        <v>155</v>
      </c>
      <c r="O63" s="26">
        <f>IF(ISNUMBER(VLOOKUP($D63,'Visu totale'!$D:$DH,O$1,0)),N63-VLOOKUP($D63,'Visu totale'!$D:$DH,O$1,0),IF(LEFT(VLOOKUP($D63,'Visu totale'!$D:$DH,O$1,0),1)="V",IF(N63&gt;=INDEX('[1]Définition Maintenances'!$G:$G,MATCH($A63,'[1]Définition Maintenances'!$K:$K,0)),N63,INDEX('[1]Définition Maintenances'!$G:$G,MATCH($A63,'[1]Définition Maintenances'!$K:$K,0))+N63),N63))</f>
        <v>155</v>
      </c>
      <c r="P63" s="26">
        <f>IF(ISNUMBER(VLOOKUP($D63,'Visu totale'!$D:$DH,P$1,0)),O63-VLOOKUP($D63,'Visu totale'!$D:$DH,P$1,0),IF(LEFT(VLOOKUP($D63,'Visu totale'!$D:$DH,P$1,0),1)="V",IF(O63&gt;=INDEX('[1]Définition Maintenances'!$G:$G,MATCH($A63,'[1]Définition Maintenances'!$K:$K,0)),O63,INDEX('[1]Définition Maintenances'!$G:$G,MATCH($A63,'[1]Définition Maintenances'!$K:$K,0))+O63),O63))</f>
        <v>155</v>
      </c>
      <c r="Q63" s="27">
        <f>IF(ISNUMBER(VLOOKUP($D63,'Visu totale'!$D:$DH,Q$1,0)),P63-VLOOKUP($D63,'Visu totale'!$D:$DH,Q$1,0),IF(LEFT(VLOOKUP($D63,'Visu totale'!$D:$DH,Q$1,0),1)="V",IF(P63&gt;=INDEX('[1]Définition Maintenances'!$G:$G,MATCH($A63,'[1]Définition Maintenances'!$K:$K,0)),P63,INDEX('[1]Définition Maintenances'!$G:$G,MATCH($A63,'[1]Définition Maintenances'!$K:$K,0))+P63),P63))</f>
        <v>155</v>
      </c>
      <c r="R63" s="25">
        <f>IF(ISNUMBER(VLOOKUP($D63,'Visu totale'!$D:$DH,R$1,0)),Q63-VLOOKUP($D63,'Visu totale'!$D:$DH,R$1,0),IF(LEFT(VLOOKUP($D63,'Visu totale'!$D:$DH,R$1,0),1)="V",IF(Q63&gt;=INDEX('[1]Définition Maintenances'!$G:$G,MATCH($A63,'[1]Définition Maintenances'!$K:$K,0)),Q63,INDEX('[1]Définition Maintenances'!$G:$G,MATCH($A63,'[1]Définition Maintenances'!$K:$K,0))+Q63),Q63))</f>
        <v>155</v>
      </c>
      <c r="S63" s="26">
        <f>IF(ISNUMBER(VLOOKUP($D63,'Visu totale'!$D:$DH,S$1,0)),R63-VLOOKUP($D63,'Visu totale'!$D:$DH,S$1,0),IF(LEFT(VLOOKUP($D63,'Visu totale'!$D:$DH,S$1,0),1)="V",IF(R63&gt;=INDEX('[1]Définition Maintenances'!$G:$G,MATCH($A63,'[1]Définition Maintenances'!$K:$K,0)),R63,INDEX('[1]Définition Maintenances'!$G:$G,MATCH($A63,'[1]Définition Maintenances'!$K:$K,0))+R63),R63))</f>
        <v>155</v>
      </c>
      <c r="T63" s="26">
        <f>IF(ISNUMBER(VLOOKUP($D63,'Visu totale'!$D:$DH,T$1,0)),S63-VLOOKUP($D63,'Visu totale'!$D:$DH,T$1,0),IF(LEFT(VLOOKUP($D63,'Visu totale'!$D:$DH,T$1,0),1)="V",IF(S63&gt;=INDEX('[1]Définition Maintenances'!$G:$G,MATCH($A63,'[1]Définition Maintenances'!$K:$K,0)),S63,INDEX('[1]Définition Maintenances'!$G:$G,MATCH($A63,'[1]Définition Maintenances'!$K:$K,0))+S63),S63))</f>
        <v>155</v>
      </c>
      <c r="U63" s="26">
        <f>IF(ISNUMBER(VLOOKUP($D63,'Visu totale'!$D:$DH,U$1,0)),T63-VLOOKUP($D63,'Visu totale'!$D:$DH,U$1,0),IF(LEFT(VLOOKUP($D63,'Visu totale'!$D:$DH,U$1,0),1)="V",IF(T63&gt;=INDEX('[1]Définition Maintenances'!$G:$G,MATCH($A63,'[1]Définition Maintenances'!$K:$K,0)),T63,INDEX('[1]Définition Maintenances'!$G:$G,MATCH($A63,'[1]Définition Maintenances'!$K:$K,0))+T63),T63))</f>
        <v>155</v>
      </c>
      <c r="V63" s="26">
        <f>IF(ISNUMBER(VLOOKUP($D63,'Visu totale'!$D:$DH,V$1,0)),U63-VLOOKUP($D63,'Visu totale'!$D:$DH,V$1,0),IF(LEFT(VLOOKUP($D63,'Visu totale'!$D:$DH,V$1,0),1)="V",IF(U63&gt;=INDEX('[1]Définition Maintenances'!$G:$G,MATCH($A63,'[1]Définition Maintenances'!$K:$K,0)),U63,INDEX('[1]Définition Maintenances'!$G:$G,MATCH($A63,'[1]Définition Maintenances'!$K:$K,0))+U63),U63))</f>
        <v>155</v>
      </c>
      <c r="W63" s="26">
        <f>IF(ISNUMBER(VLOOKUP($D63,'Visu totale'!$D:$DH,W$1,0)),V63-VLOOKUP($D63,'Visu totale'!$D:$DH,W$1,0),IF(LEFT(VLOOKUP($D63,'Visu totale'!$D:$DH,W$1,0),1)="V",IF(V63&gt;=INDEX('[1]Définition Maintenances'!$G:$G,MATCH($A63,'[1]Définition Maintenances'!$K:$K,0)),V63,INDEX('[1]Définition Maintenances'!$G:$G,MATCH($A63,'[1]Définition Maintenances'!$K:$K,0))+V63),V63))</f>
        <v>155</v>
      </c>
      <c r="X63" s="26">
        <f>IF(ISNUMBER(VLOOKUP($D63,'Visu totale'!$D:$DH,X$1,0)),W63-VLOOKUP($D63,'Visu totale'!$D:$DH,X$1,0),IF(LEFT(VLOOKUP($D63,'Visu totale'!$D:$DH,X$1,0),1)="V",IF(W63&gt;=INDEX('[1]Définition Maintenances'!$G:$G,MATCH($A63,'[1]Définition Maintenances'!$K:$K,0)),W63,INDEX('[1]Définition Maintenances'!$G:$G,MATCH($A63,'[1]Définition Maintenances'!$K:$K,0))+W63),W63))</f>
        <v>155</v>
      </c>
      <c r="Y63" s="26">
        <f>IF(ISNUMBER(VLOOKUP($D63,'Visu totale'!$D:$DH,Y$1,0)),X63-VLOOKUP($D63,'Visu totale'!$D:$DH,Y$1,0),IF(LEFT(VLOOKUP($D63,'Visu totale'!$D:$DH,Y$1,0),1)="V",IF(X63&gt;=INDEX('[1]Définition Maintenances'!$G:$G,MATCH($A63,'[1]Définition Maintenances'!$K:$K,0)),X63,INDEX('[1]Définition Maintenances'!$G:$G,MATCH($A63,'[1]Définition Maintenances'!$K:$K,0))+X63),X63))</f>
        <v>155</v>
      </c>
      <c r="Z63" s="26">
        <f>IF(ISNUMBER(VLOOKUP($D63,'Visu totale'!$D:$DH,Z$1,0)),Y63-VLOOKUP($D63,'Visu totale'!$D:$DH,Z$1,0),IF(LEFT(VLOOKUP($D63,'Visu totale'!$D:$DH,Z$1,0),1)="V",IF(Y63&gt;=INDEX('[1]Définition Maintenances'!$G:$G,MATCH($A63,'[1]Définition Maintenances'!$K:$K,0)),Y63,INDEX('[1]Définition Maintenances'!$G:$G,MATCH($A63,'[1]Définition Maintenances'!$K:$K,0))+Y63),Y63))</f>
        <v>155</v>
      </c>
      <c r="AA63" s="26">
        <f>IF(ISNUMBER(VLOOKUP($D63,'Visu totale'!$D:$DH,AA$1,0)),Z63-VLOOKUP($D63,'Visu totale'!$D:$DH,AA$1,0),IF(LEFT(VLOOKUP($D63,'Visu totale'!$D:$DH,AA$1,0),1)="V",IF(Z63&gt;=INDEX('[1]Définition Maintenances'!$G:$G,MATCH($A63,'[1]Définition Maintenances'!$K:$K,0)),Z63,INDEX('[1]Définition Maintenances'!$G:$G,MATCH($A63,'[1]Définition Maintenances'!$K:$K,0))+Z63),Z63))</f>
        <v>155</v>
      </c>
      <c r="AB63" s="26">
        <f>IF(ISNUMBER(VLOOKUP($D63,'Visu totale'!$D:$DH,AB$1,0)),AA63-VLOOKUP($D63,'Visu totale'!$D:$DH,AB$1,0),IF(LEFT(VLOOKUP($D63,'Visu totale'!$D:$DH,AB$1,0),1)="V",IF(AA63&gt;=INDEX('[1]Définition Maintenances'!$G:$G,MATCH($A63,'[1]Définition Maintenances'!$K:$K,0)),AA63,INDEX('[1]Définition Maintenances'!$G:$G,MATCH($A63,'[1]Définition Maintenances'!$K:$K,0))+AA63),AA63))</f>
        <v>155</v>
      </c>
      <c r="AC63" s="27">
        <f>IF(ISNUMBER(VLOOKUP($D63,'Visu totale'!$D:$DH,AC$1,0)),AB63-VLOOKUP($D63,'Visu totale'!$D:$DH,AC$1,0),IF(LEFT(VLOOKUP($D63,'Visu totale'!$D:$DH,AC$1,0),1)="V",IF(AB63&gt;=INDEX('[1]Définition Maintenances'!$G:$G,MATCH($A63,'[1]Définition Maintenances'!$K:$K,0)),AB63,INDEX('[1]Définition Maintenances'!$G:$G,MATCH($A63,'[1]Définition Maintenances'!$K:$K,0))+AB63),AB63))</f>
        <v>155</v>
      </c>
      <c r="AD63" s="25">
        <f>IF(ISNUMBER(VLOOKUP($D63,'Visu totale'!$D:$DH,AD$1,0)),AC63-VLOOKUP($D63,'Visu totale'!$D:$DH,AD$1,0),IF(LEFT(VLOOKUP($D63,'Visu totale'!$D:$DH,AD$1,0),1)="V",IF(AC63&gt;=INDEX('[1]Définition Maintenances'!$G:$G,MATCH($A63,'[1]Définition Maintenances'!$K:$K,0)),AC63,INDEX('[1]Définition Maintenances'!$G:$G,MATCH($A63,'[1]Définition Maintenances'!$K:$K,0))+AC63),AC63))</f>
        <v>155</v>
      </c>
      <c r="AE63" s="26">
        <f>IF(ISNUMBER(VLOOKUP($D63,'Visu totale'!$D:$DH,AE$1,0)),AD63-VLOOKUP($D63,'Visu totale'!$D:$DH,AE$1,0),IF(LEFT(VLOOKUP($D63,'Visu totale'!$D:$DH,AE$1,0),1)="V",IF(AD63&gt;=INDEX('[1]Définition Maintenances'!$G:$G,MATCH($A63,'[1]Définition Maintenances'!$K:$K,0)),AD63,INDEX('[1]Définition Maintenances'!$G:$G,MATCH($A63,'[1]Définition Maintenances'!$K:$K,0))+AD63),AD63))</f>
        <v>155</v>
      </c>
      <c r="AF63" s="26">
        <f>IF(ISNUMBER(VLOOKUP($D63,'Visu totale'!$D:$DH,AF$1,0)),AE63-VLOOKUP($D63,'Visu totale'!$D:$DH,AF$1,0),IF(LEFT(VLOOKUP($D63,'Visu totale'!$D:$DH,AF$1,0),1)="V",IF(AE63&gt;=INDEX('[1]Définition Maintenances'!$G:$G,MATCH($A63,'[1]Définition Maintenances'!$K:$K,0)),AE63,INDEX('[1]Définition Maintenances'!$G:$G,MATCH($A63,'[1]Définition Maintenances'!$K:$K,0))+AE63),AE63))</f>
        <v>155</v>
      </c>
      <c r="AG63" s="26">
        <f>IF(ISNUMBER(VLOOKUP($D63,'Visu totale'!$D:$DH,AG$1,0)),AF63-VLOOKUP($D63,'Visu totale'!$D:$DH,AG$1,0),IF(LEFT(VLOOKUP($D63,'Visu totale'!$D:$DH,AG$1,0),1)="V",IF(AF63&gt;=INDEX('[1]Définition Maintenances'!$G:$G,MATCH($A63,'[1]Définition Maintenances'!$K:$K,0)),AF63,INDEX('[1]Définition Maintenances'!$G:$G,MATCH($A63,'[1]Définition Maintenances'!$K:$K,0))+AF63),AF63))</f>
        <v>155</v>
      </c>
      <c r="AH63" s="26">
        <f>IF(ISNUMBER(VLOOKUP($D63,'Visu totale'!$D:$DH,AH$1,0)),AG63-VLOOKUP($D63,'Visu totale'!$D:$DH,AH$1,0),IF(LEFT(VLOOKUP($D63,'Visu totale'!$D:$DH,AH$1,0),1)="V",IF(AG63&gt;=INDEX('[1]Définition Maintenances'!$G:$G,MATCH($A63,'[1]Définition Maintenances'!$K:$K,0)),AG63,INDEX('[1]Définition Maintenances'!$G:$G,MATCH($A63,'[1]Définition Maintenances'!$K:$K,0))+AG63),AG63))</f>
        <v>155</v>
      </c>
      <c r="AI63" s="26">
        <f>IF(ISNUMBER(VLOOKUP($D63,'Visu totale'!$D:$DH,AI$1,0)),AH63-VLOOKUP($D63,'Visu totale'!$D:$DH,AI$1,0),IF(LEFT(VLOOKUP($D63,'Visu totale'!$D:$DH,AI$1,0),1)="V",IF(AH63&gt;=INDEX('[1]Définition Maintenances'!$G:$G,MATCH($A63,'[1]Définition Maintenances'!$K:$K,0)),AH63,INDEX('[1]Définition Maintenances'!$G:$G,MATCH($A63,'[1]Définition Maintenances'!$K:$K,0))+AH63),AH63))</f>
        <v>155</v>
      </c>
      <c r="AJ63" s="26">
        <f>IF(ISNUMBER(VLOOKUP($D63,'Visu totale'!$D:$DH,AJ$1,0)),AI63-VLOOKUP($D63,'Visu totale'!$D:$DH,AJ$1,0),IF(LEFT(VLOOKUP($D63,'Visu totale'!$D:$DH,AJ$1,0),1)="V",IF(AI63&gt;=INDEX('[1]Définition Maintenances'!$G:$G,MATCH($A63,'[1]Définition Maintenances'!$K:$K,0)),AI63,INDEX('[1]Définition Maintenances'!$G:$G,MATCH($A63,'[1]Définition Maintenances'!$K:$K,0))+AI63),AI63))</f>
        <v>155</v>
      </c>
      <c r="AK63" s="26">
        <f>IF(ISNUMBER(VLOOKUP($D63,'Visu totale'!$D:$DH,AK$1,0)),AJ63-VLOOKUP($D63,'Visu totale'!$D:$DH,AK$1,0),IF(LEFT(VLOOKUP($D63,'Visu totale'!$D:$DH,AK$1,0),1)="V",IF(AJ63&gt;=INDEX('[1]Définition Maintenances'!$G:$G,MATCH($A63,'[1]Définition Maintenances'!$K:$K,0)),AJ63,INDEX('[1]Définition Maintenances'!$G:$G,MATCH($A63,'[1]Définition Maintenances'!$K:$K,0))+AJ63),AJ63))</f>
        <v>155</v>
      </c>
      <c r="AL63" s="26">
        <f>IF(ISNUMBER(VLOOKUP($D63,'Visu totale'!$D:$DH,AL$1,0)),AK63-VLOOKUP($D63,'Visu totale'!$D:$DH,AL$1,0),IF(LEFT(VLOOKUP($D63,'Visu totale'!$D:$DH,AL$1,0),1)="V",IF(AK63&gt;=INDEX('[1]Définition Maintenances'!$G:$G,MATCH($A63,'[1]Définition Maintenances'!$K:$K,0)),AK63,INDEX('[1]Définition Maintenances'!$G:$G,MATCH($A63,'[1]Définition Maintenances'!$K:$K,0))+AK63),AK63))</f>
        <v>155</v>
      </c>
      <c r="AM63" s="26">
        <f>IF(ISNUMBER(VLOOKUP($D63,'Visu totale'!$D:$DH,AM$1,0)),AL63-VLOOKUP($D63,'Visu totale'!$D:$DH,AM$1,0),IF(LEFT(VLOOKUP($D63,'Visu totale'!$D:$DH,AM$1,0),1)="V",IF(AL63&gt;=INDEX('[1]Définition Maintenances'!$G:$G,MATCH($A63,'[1]Définition Maintenances'!$K:$K,0)),AL63,INDEX('[1]Définition Maintenances'!$G:$G,MATCH($A63,'[1]Définition Maintenances'!$K:$K,0))+AL63),AL63))</f>
        <v>155</v>
      </c>
      <c r="AN63" s="26">
        <f>IF(ISNUMBER(VLOOKUP($D63,'Visu totale'!$D:$DH,AN$1,0)),AM63-VLOOKUP($D63,'Visu totale'!$D:$DH,AN$1,0),IF(LEFT(VLOOKUP($D63,'Visu totale'!$D:$DH,AN$1,0),1)="V",IF(AM63&gt;=INDEX('[1]Définition Maintenances'!$G:$G,MATCH($A63,'[1]Définition Maintenances'!$K:$K,0)),AM63,INDEX('[1]Définition Maintenances'!$G:$G,MATCH($A63,'[1]Définition Maintenances'!$K:$K,0))+AM63),AM63))</f>
        <v>155</v>
      </c>
      <c r="AO63" s="27">
        <f>IF(ISNUMBER(VLOOKUP($D63,'Visu totale'!$D:$DH,AO$1,0)),AN63-VLOOKUP($D63,'Visu totale'!$D:$DH,AO$1,0),IF(LEFT(VLOOKUP($D63,'Visu totale'!$D:$DH,AO$1,0),1)="V",IF(AN63&gt;=INDEX('[1]Définition Maintenances'!$G:$G,MATCH($A63,'[1]Définition Maintenances'!$K:$K,0)),AN63,INDEX('[1]Définition Maintenances'!$G:$G,MATCH($A63,'[1]Définition Maintenances'!$K:$K,0))+AN63),AN63))</f>
        <v>155</v>
      </c>
      <c r="AP63" s="25">
        <f>IF(ISNUMBER(VLOOKUP($D63,'Visu totale'!$D:$DH,AP$1,0)),AO63-VLOOKUP($D63,'Visu totale'!$D:$DH,AP$1,0),IF(LEFT(VLOOKUP($D63,'Visu totale'!$D:$DH,AP$1,0),1)="V",IF(AO63&gt;=INDEX('[1]Définition Maintenances'!$G:$G,MATCH($A63,'[1]Définition Maintenances'!$K:$K,0)),AO63,INDEX('[1]Définition Maintenances'!$G:$G,MATCH($A63,'[1]Définition Maintenances'!$K:$K,0))+AO63),AO63))</f>
        <v>155</v>
      </c>
      <c r="AQ63" s="26">
        <f>IF(ISNUMBER(VLOOKUP($D63,'Visu totale'!$D:$DH,AQ$1,0)),AP63-VLOOKUP($D63,'Visu totale'!$D:$DH,AQ$1,0),IF(LEFT(VLOOKUP($D63,'Visu totale'!$D:$DH,AQ$1,0),1)="V",IF(AP63&gt;=INDEX('[1]Définition Maintenances'!$G:$G,MATCH($A63,'[1]Définition Maintenances'!$K:$K,0)),AP63,INDEX('[1]Définition Maintenances'!$G:$G,MATCH($A63,'[1]Définition Maintenances'!$K:$K,0))+AP63),AP63))</f>
        <v>155</v>
      </c>
      <c r="AR63" s="26">
        <f>IF(ISNUMBER(VLOOKUP($D63,'Visu totale'!$D:$DH,AR$1,0)),AQ63-VLOOKUP($D63,'Visu totale'!$D:$DH,AR$1,0),IF(LEFT(VLOOKUP($D63,'Visu totale'!$D:$DH,AR$1,0),1)="V",IF(AQ63&gt;=INDEX('[1]Définition Maintenances'!$G:$G,MATCH($A63,'[1]Définition Maintenances'!$K:$K,0)),AQ63,INDEX('[1]Définition Maintenances'!$G:$G,MATCH($A63,'[1]Définition Maintenances'!$K:$K,0))+AQ63),AQ63))</f>
        <v>155</v>
      </c>
      <c r="AS63" s="26">
        <f>IF(ISNUMBER(VLOOKUP($D63,'Visu totale'!$D:$DH,AS$1,0)),AR63-VLOOKUP($D63,'Visu totale'!$D:$DH,AS$1,0),IF(LEFT(VLOOKUP($D63,'Visu totale'!$D:$DH,AS$1,0),1)="V",IF(AR63&gt;=INDEX('[1]Définition Maintenances'!$G:$G,MATCH($A63,'[1]Définition Maintenances'!$K:$K,0)),AR63,INDEX('[1]Définition Maintenances'!$G:$G,MATCH($A63,'[1]Définition Maintenances'!$K:$K,0))+AR63),AR63))</f>
        <v>155</v>
      </c>
      <c r="AT63" s="26">
        <f>IF(ISNUMBER(VLOOKUP($D63,'Visu totale'!$D:$DH,AT$1,0)),AS63-VLOOKUP($D63,'Visu totale'!$D:$DH,AT$1,0),IF(LEFT(VLOOKUP($D63,'Visu totale'!$D:$DH,AT$1,0),1)="V",IF(AS63&gt;=INDEX('[1]Définition Maintenances'!$G:$G,MATCH($A63,'[1]Définition Maintenances'!$K:$K,0)),AS63,INDEX('[1]Définition Maintenances'!$G:$G,MATCH($A63,'[1]Définition Maintenances'!$K:$K,0))+AS63),AS63))</f>
        <v>155</v>
      </c>
      <c r="AU63" s="26">
        <f>IF(ISNUMBER(VLOOKUP($D63,'Visu totale'!$D:$DH,AU$1,0)),AT63-VLOOKUP($D63,'Visu totale'!$D:$DH,AU$1,0),IF(LEFT(VLOOKUP($D63,'Visu totale'!$D:$DH,AU$1,0),1)="V",IF(AT63&gt;=INDEX('[1]Définition Maintenances'!$G:$G,MATCH($A63,'[1]Définition Maintenances'!$K:$K,0)),AT63,INDEX('[1]Définition Maintenances'!$G:$G,MATCH($A63,'[1]Définition Maintenances'!$K:$K,0))+AT63),AT63))</f>
        <v>155</v>
      </c>
      <c r="AV63" s="26">
        <f>IF(ISNUMBER(VLOOKUP($D63,'Visu totale'!$D:$DH,AV$1,0)),AU63-VLOOKUP($D63,'Visu totale'!$D:$DH,AV$1,0),IF(LEFT(VLOOKUP($D63,'Visu totale'!$D:$DH,AV$1,0),1)="V",IF(AU63&gt;=INDEX('[1]Définition Maintenances'!$G:$G,MATCH($A63,'[1]Définition Maintenances'!$K:$K,0)),AU63,INDEX('[1]Définition Maintenances'!$G:$G,MATCH($A63,'[1]Définition Maintenances'!$K:$K,0))+AU63),AU63))</f>
        <v>155</v>
      </c>
      <c r="AW63" s="26">
        <f>IF(ISNUMBER(VLOOKUP($D63,'Visu totale'!$D:$DH,AW$1,0)),AV63-VLOOKUP($D63,'Visu totale'!$D:$DH,AW$1,0),IF(LEFT(VLOOKUP($D63,'Visu totale'!$D:$DH,AW$1,0),1)="V",IF(AV63&gt;=INDEX('[1]Définition Maintenances'!$G:$G,MATCH($A63,'[1]Définition Maintenances'!$K:$K,0)),AV63,INDEX('[1]Définition Maintenances'!$G:$G,MATCH($A63,'[1]Définition Maintenances'!$K:$K,0))+AV63),AV63))</f>
        <v>155</v>
      </c>
      <c r="AX63" s="26">
        <f>IF(ISNUMBER(VLOOKUP($D63,'Visu totale'!$D:$DH,AX$1,0)),AW63-VLOOKUP($D63,'Visu totale'!$D:$DH,AX$1,0),IF(LEFT(VLOOKUP($D63,'Visu totale'!$D:$DH,AX$1,0),1)="V",IF(AW63&gt;=INDEX('[1]Définition Maintenances'!$G:$G,MATCH($A63,'[1]Définition Maintenances'!$K:$K,0)),AW63,INDEX('[1]Définition Maintenances'!$G:$G,MATCH($A63,'[1]Définition Maintenances'!$K:$K,0))+AW63),AW63))</f>
        <v>155</v>
      </c>
      <c r="AY63" s="26">
        <f>IF(ISNUMBER(VLOOKUP($D63,'Visu totale'!$D:$DH,AY$1,0)),AX63-VLOOKUP($D63,'Visu totale'!$D:$DH,AY$1,0),IF(LEFT(VLOOKUP($D63,'Visu totale'!$D:$DH,AY$1,0),1)="V",IF(AX63&gt;=INDEX('[1]Définition Maintenances'!$G:$G,MATCH($A63,'[1]Définition Maintenances'!$K:$K,0)),AX63,INDEX('[1]Définition Maintenances'!$G:$G,MATCH($A63,'[1]Définition Maintenances'!$K:$K,0))+AX63),AX63))</f>
        <v>155</v>
      </c>
      <c r="AZ63" s="26">
        <f>IF(ISNUMBER(VLOOKUP($D63,'Visu totale'!$D:$DH,AZ$1,0)),AY63-VLOOKUP($D63,'Visu totale'!$D:$DH,AZ$1,0),IF(LEFT(VLOOKUP($D63,'Visu totale'!$D:$DH,AZ$1,0),1)="V",IF(AY63&gt;=INDEX('[1]Définition Maintenances'!$G:$G,MATCH($A63,'[1]Définition Maintenances'!$K:$K,0)),AY63,INDEX('[1]Définition Maintenances'!$G:$G,MATCH($A63,'[1]Définition Maintenances'!$K:$K,0))+AY63),AY63))</f>
        <v>155</v>
      </c>
      <c r="BA63" s="27">
        <f>IF(ISNUMBER(VLOOKUP($D63,'Visu totale'!$D:$DH,BA$1,0)),AZ63-VLOOKUP($D63,'Visu totale'!$D:$DH,BA$1,0),IF(LEFT(VLOOKUP($D63,'Visu totale'!$D:$DH,BA$1,0),1)="V",IF(AZ63&gt;=INDEX('[1]Définition Maintenances'!$G:$G,MATCH($A63,'[1]Définition Maintenances'!$K:$K,0)),AZ63,INDEX('[1]Définition Maintenances'!$G:$G,MATCH($A63,'[1]Définition Maintenances'!$K:$K,0))+AZ63),AZ63))</f>
        <v>155</v>
      </c>
      <c r="BB63" s="25">
        <f>IF(ISNUMBER(VLOOKUP($D63,'Visu totale'!$D:$DH,BB$1,0)),BA63-VLOOKUP($D63,'Visu totale'!$D:$DH,BB$1,0),IF(LEFT(VLOOKUP($D63,'Visu totale'!$D:$DH,BB$1,0),1)="V",IF(BA63&gt;=INDEX('[1]Définition Maintenances'!$G:$G,MATCH($A63,'[1]Définition Maintenances'!$K:$K,0)),BA63,INDEX('[1]Définition Maintenances'!$G:$G,MATCH($A63,'[1]Définition Maintenances'!$K:$K,0))+BA63),BA63))</f>
        <v>155</v>
      </c>
      <c r="BC63" s="26">
        <f>IF(ISNUMBER(VLOOKUP($D63,'Visu totale'!$D:$DH,BC$1,0)),BB63-VLOOKUP($D63,'Visu totale'!$D:$DH,BC$1,0),IF(LEFT(VLOOKUP($D63,'Visu totale'!$D:$DH,BC$1,0),1)="V",IF(BB63&gt;=INDEX('[1]Définition Maintenances'!$G:$G,MATCH($A63,'[1]Définition Maintenances'!$K:$K,0)),BB63,INDEX('[1]Définition Maintenances'!$G:$G,MATCH($A63,'[1]Définition Maintenances'!$K:$K,0))+BB63),BB63))</f>
        <v>155</v>
      </c>
      <c r="BD63" s="26">
        <f>IF(ISNUMBER(VLOOKUP($D63,'Visu totale'!$D:$DH,BD$1,0)),BC63-VLOOKUP($D63,'Visu totale'!$D:$DH,BD$1,0),IF(LEFT(VLOOKUP($D63,'Visu totale'!$D:$DH,BD$1,0),1)="V",IF(BC63&gt;=INDEX('[1]Définition Maintenances'!$G:$G,MATCH($A63,'[1]Définition Maintenances'!$K:$K,0)),BC63,INDEX('[1]Définition Maintenances'!$G:$G,MATCH($A63,'[1]Définition Maintenances'!$K:$K,0))+BC63),BC63))</f>
        <v>155</v>
      </c>
      <c r="BE63" s="26">
        <f>IF(ISNUMBER(VLOOKUP($D63,'Visu totale'!$D:$DH,BE$1,0)),BD63-VLOOKUP($D63,'Visu totale'!$D:$DH,BE$1,0),IF(LEFT(VLOOKUP($D63,'Visu totale'!$D:$DH,BE$1,0),1)="V",IF(BD63&gt;=INDEX('[1]Définition Maintenances'!$G:$G,MATCH($A63,'[1]Définition Maintenances'!$K:$K,0)),BD63,INDEX('[1]Définition Maintenances'!$G:$G,MATCH($A63,'[1]Définition Maintenances'!$K:$K,0))+BD63),BD63))</f>
        <v>155</v>
      </c>
      <c r="BF63" s="26">
        <f>IF(ISNUMBER(VLOOKUP($D63,'Visu totale'!$D:$DH,BF$1,0)),BE63-VLOOKUP($D63,'Visu totale'!$D:$DH,BF$1,0),IF(LEFT(VLOOKUP($D63,'Visu totale'!$D:$DH,BF$1,0),1)="V",IF(BE63&gt;=INDEX('[1]Définition Maintenances'!$G:$G,MATCH($A63,'[1]Définition Maintenances'!$K:$K,0)),BE63,INDEX('[1]Définition Maintenances'!$G:$G,MATCH($A63,'[1]Définition Maintenances'!$K:$K,0))+BE63),BE63))</f>
        <v>155</v>
      </c>
      <c r="BG63" s="26">
        <f>IF(ISNUMBER(VLOOKUP($D63,'Visu totale'!$D:$DH,BG$1,0)),BF63-VLOOKUP($D63,'Visu totale'!$D:$DH,BG$1,0),IF(LEFT(VLOOKUP($D63,'Visu totale'!$D:$DH,BG$1,0),1)="V",IF(BF63&gt;=INDEX('[1]Définition Maintenances'!$G:$G,MATCH($A63,'[1]Définition Maintenances'!$K:$K,0)),BF63,INDEX('[1]Définition Maintenances'!$G:$G,MATCH($A63,'[1]Définition Maintenances'!$K:$K,0))+BF63),BF63))</f>
        <v>155</v>
      </c>
      <c r="BH63" s="26">
        <f>IF(ISNUMBER(VLOOKUP($D63,'Visu totale'!$D:$DH,BH$1,0)),BG63-VLOOKUP($D63,'Visu totale'!$D:$DH,BH$1,0),IF(LEFT(VLOOKUP($D63,'Visu totale'!$D:$DH,BH$1,0),1)="V",IF(BG63&gt;=INDEX('[1]Définition Maintenances'!$G:$G,MATCH($A63,'[1]Définition Maintenances'!$K:$K,0)),BG63,INDEX('[1]Définition Maintenances'!$G:$G,MATCH($A63,'[1]Définition Maintenances'!$K:$K,0))+BG63),BG63))</f>
        <v>155</v>
      </c>
      <c r="BI63" s="26">
        <f>IF(ISNUMBER(VLOOKUP($D63,'Visu totale'!$D:$DH,BI$1,0)),BH63-VLOOKUP($D63,'Visu totale'!$D:$DH,BI$1,0),IF(LEFT(VLOOKUP($D63,'Visu totale'!$D:$DH,BI$1,0),1)="V",IF(BH63&gt;=INDEX('[1]Définition Maintenances'!$G:$G,MATCH($A63,'[1]Définition Maintenances'!$K:$K,0)),BH63,INDEX('[1]Définition Maintenances'!$G:$G,MATCH($A63,'[1]Définition Maintenances'!$K:$K,0))+BH63),BH63))</f>
        <v>155</v>
      </c>
      <c r="BJ63" s="26">
        <f>IF(ISNUMBER(VLOOKUP($D63,'Visu totale'!$D:$DH,BJ$1,0)),BI63-VLOOKUP($D63,'Visu totale'!$D:$DH,BJ$1,0),IF(LEFT(VLOOKUP($D63,'Visu totale'!$D:$DH,BJ$1,0),1)="V",IF(BI63&gt;=INDEX('[1]Définition Maintenances'!$G:$G,MATCH($A63,'[1]Définition Maintenances'!$K:$K,0)),BI63,INDEX('[1]Définition Maintenances'!$G:$G,MATCH($A63,'[1]Définition Maintenances'!$K:$K,0))+BI63),BI63))</f>
        <v>155</v>
      </c>
      <c r="BK63" s="26">
        <f>IF(ISNUMBER(VLOOKUP($D63,'Visu totale'!$D:$DH,BK$1,0)),BJ63-VLOOKUP($D63,'Visu totale'!$D:$DH,BK$1,0),IF(LEFT(VLOOKUP($D63,'Visu totale'!$D:$DH,BK$1,0),1)="V",IF(BJ63&gt;=INDEX('[1]Définition Maintenances'!$G:$G,MATCH($A63,'[1]Définition Maintenances'!$K:$K,0)),BJ63,INDEX('[1]Définition Maintenances'!$G:$G,MATCH($A63,'[1]Définition Maintenances'!$K:$K,0))+BJ63),BJ63))</f>
        <v>155</v>
      </c>
      <c r="BL63" s="26">
        <f>IF(ISNUMBER(VLOOKUP($D63,'Visu totale'!$D:$DH,BL$1,0)),BK63-VLOOKUP($D63,'Visu totale'!$D:$DH,BL$1,0),IF(LEFT(VLOOKUP($D63,'Visu totale'!$D:$DH,BL$1,0),1)="V",IF(BK63&gt;=INDEX('[1]Définition Maintenances'!$G:$G,MATCH($A63,'[1]Définition Maintenances'!$K:$K,0)),BK63,INDEX('[1]Définition Maintenances'!$G:$G,MATCH($A63,'[1]Définition Maintenances'!$K:$K,0))+BK63),BK63))</f>
        <v>155</v>
      </c>
      <c r="BM63" s="27">
        <f>IF(ISNUMBER(VLOOKUP($D63,'Visu totale'!$D:$DH,BM$1,0)),BL63-VLOOKUP($D63,'Visu totale'!$D:$DH,BM$1,0),IF(LEFT(VLOOKUP($D63,'Visu totale'!$D:$DH,BM$1,0),1)="V",IF(BL63&gt;=INDEX('[1]Définition Maintenances'!$G:$G,MATCH($A63,'[1]Définition Maintenances'!$K:$K,0)),BL63,INDEX('[1]Définition Maintenances'!$G:$G,MATCH($A63,'[1]Définition Maintenances'!$K:$K,0))+BL63),BL63))</f>
        <v>155</v>
      </c>
      <c r="BN63" s="25">
        <f>IF(ISNUMBER(VLOOKUP($D63,'Visu totale'!$D:$DH,BN$1,0)),BM63-VLOOKUP($D63,'Visu totale'!$D:$DH,BN$1,0),IF(LEFT(VLOOKUP($D63,'Visu totale'!$D:$DH,BN$1,0),1)="V",IF(BM63&gt;=INDEX('[1]Définition Maintenances'!$G:$G,MATCH($A63,'[1]Définition Maintenances'!$K:$K,0)),BM63,INDEX('[1]Définition Maintenances'!$G:$G,MATCH($A63,'[1]Définition Maintenances'!$K:$K,0))+BM63),BM63))</f>
        <v>155</v>
      </c>
      <c r="BO63" s="26">
        <f>IF(ISNUMBER(VLOOKUP($D63,'Visu totale'!$D:$DH,BO$1,0)),BN63-VLOOKUP($D63,'Visu totale'!$D:$DH,BO$1,0),IF(LEFT(VLOOKUP($D63,'Visu totale'!$D:$DH,BO$1,0),1)="V",IF(BN63&gt;=INDEX('[1]Définition Maintenances'!$G:$G,MATCH($A63,'[1]Définition Maintenances'!$K:$K,0)),BN63,INDEX('[1]Définition Maintenances'!$G:$G,MATCH($A63,'[1]Définition Maintenances'!$K:$K,0))+BN63),BN63))</f>
        <v>155</v>
      </c>
      <c r="BP63" s="26">
        <f>IF(ISNUMBER(VLOOKUP($D63,'Visu totale'!$D:$DH,BP$1,0)),BO63-VLOOKUP($D63,'Visu totale'!$D:$DH,BP$1,0),IF(LEFT(VLOOKUP($D63,'Visu totale'!$D:$DH,BP$1,0),1)="V",IF(BO63&gt;=INDEX('[1]Définition Maintenances'!$G:$G,MATCH($A63,'[1]Définition Maintenances'!$K:$K,0)),BO63,INDEX('[1]Définition Maintenances'!$G:$G,MATCH($A63,'[1]Définition Maintenances'!$K:$K,0))+BO63),BO63))</f>
        <v>155</v>
      </c>
      <c r="BQ63" s="26">
        <f>IF(ISNUMBER(VLOOKUP($D63,'Visu totale'!$D:$DH,BQ$1,0)),BP63-VLOOKUP($D63,'Visu totale'!$D:$DH,BQ$1,0),IF(LEFT(VLOOKUP($D63,'Visu totale'!$D:$DH,BQ$1,0),1)="V",IF(BP63&gt;=INDEX('[1]Définition Maintenances'!$G:$G,MATCH($A63,'[1]Définition Maintenances'!$K:$K,0)),BP63,INDEX('[1]Définition Maintenances'!$G:$G,MATCH($A63,'[1]Définition Maintenances'!$K:$K,0))+BP63),BP63))</f>
        <v>155</v>
      </c>
      <c r="BR63" s="26">
        <f>IF(ISNUMBER(VLOOKUP($D63,'Visu totale'!$D:$DH,BR$1,0)),BQ63-VLOOKUP($D63,'Visu totale'!$D:$DH,BR$1,0),IF(LEFT(VLOOKUP($D63,'Visu totale'!$D:$DH,BR$1,0),1)="V",IF(BQ63&gt;=INDEX('[1]Définition Maintenances'!$G:$G,MATCH($A63,'[1]Définition Maintenances'!$K:$K,0)),BQ63,INDEX('[1]Définition Maintenances'!$G:$G,MATCH($A63,'[1]Définition Maintenances'!$K:$K,0))+BQ63),BQ63))</f>
        <v>155</v>
      </c>
      <c r="BS63" s="26">
        <f>IF(ISNUMBER(VLOOKUP($D63,'Visu totale'!$D:$DH,BS$1,0)),BR63-VLOOKUP($D63,'Visu totale'!$D:$DH,BS$1,0),IF(LEFT(VLOOKUP($D63,'Visu totale'!$D:$DH,BS$1,0),1)="V",IF(BR63&gt;=INDEX('[1]Définition Maintenances'!$G:$G,MATCH($A63,'[1]Définition Maintenances'!$K:$K,0)),BR63,INDEX('[1]Définition Maintenances'!$G:$G,MATCH($A63,'[1]Définition Maintenances'!$K:$K,0))+BR63),BR63))</f>
        <v>155</v>
      </c>
      <c r="BT63" s="26">
        <f>IF(ISNUMBER(VLOOKUP($D63,'Visu totale'!$D:$DH,BT$1,0)),BS63-VLOOKUP($D63,'Visu totale'!$D:$DH,BT$1,0),IF(LEFT(VLOOKUP($D63,'Visu totale'!$D:$DH,BT$1,0),1)="V",IF(BS63&gt;=INDEX('[1]Définition Maintenances'!$G:$G,MATCH($A63,'[1]Définition Maintenances'!$K:$K,0)),BS63,INDEX('[1]Définition Maintenances'!$G:$G,MATCH($A63,'[1]Définition Maintenances'!$K:$K,0))+BS63),BS63))</f>
        <v>155</v>
      </c>
      <c r="BU63" s="26">
        <f>IF(ISNUMBER(VLOOKUP($D63,'Visu totale'!$D:$DH,BU$1,0)),BT63-VLOOKUP($D63,'Visu totale'!$D:$DH,BU$1,0),IF(LEFT(VLOOKUP($D63,'Visu totale'!$D:$DH,BU$1,0),1)="V",IF(BT63&gt;=INDEX('[1]Définition Maintenances'!$G:$G,MATCH($A63,'[1]Définition Maintenances'!$K:$K,0)),BT63,INDEX('[1]Définition Maintenances'!$G:$G,MATCH($A63,'[1]Définition Maintenances'!$K:$K,0))+BT63),BT63))</f>
        <v>155</v>
      </c>
      <c r="BV63" s="26">
        <f>IF(ISNUMBER(VLOOKUP($D63,'Visu totale'!$D:$DH,BV$1,0)),BU63-VLOOKUP($D63,'Visu totale'!$D:$DH,BV$1,0),IF(LEFT(VLOOKUP($D63,'Visu totale'!$D:$DH,BV$1,0),1)="V",IF(BU63&gt;=INDEX('[1]Définition Maintenances'!$G:$G,MATCH($A63,'[1]Définition Maintenances'!$K:$K,0)),BU63,INDEX('[1]Définition Maintenances'!$G:$G,MATCH($A63,'[1]Définition Maintenances'!$K:$K,0))+BU63),BU63))</f>
        <v>155</v>
      </c>
      <c r="BW63" s="26">
        <f>IF(ISNUMBER(VLOOKUP($D63,'Visu totale'!$D:$DH,BW$1,0)),BV63-VLOOKUP($D63,'Visu totale'!$D:$DH,BW$1,0),IF(LEFT(VLOOKUP($D63,'Visu totale'!$D:$DH,BW$1,0),1)="V",IF(BV63&gt;=INDEX('[1]Définition Maintenances'!$G:$G,MATCH($A63,'[1]Définition Maintenances'!$K:$K,0)),BV63,INDEX('[1]Définition Maintenances'!$G:$G,MATCH($A63,'[1]Définition Maintenances'!$K:$K,0))+BV63),BV63))</f>
        <v>155</v>
      </c>
      <c r="BX63" s="26">
        <f>IF(ISNUMBER(VLOOKUP($D63,'Visu totale'!$D:$DH,BX$1,0)),BW63-VLOOKUP($D63,'Visu totale'!$D:$DH,BX$1,0),IF(LEFT(VLOOKUP($D63,'Visu totale'!$D:$DH,BX$1,0),1)="V",IF(BW63&gt;=INDEX('[1]Définition Maintenances'!$G:$G,MATCH($A63,'[1]Définition Maintenances'!$K:$K,0)),BW63,INDEX('[1]Définition Maintenances'!$G:$G,MATCH($A63,'[1]Définition Maintenances'!$K:$K,0))+BW63),BW63))</f>
        <v>155</v>
      </c>
      <c r="BY63" s="27">
        <f>IF(ISNUMBER(VLOOKUP($D63,'Visu totale'!$D:$DH,BY$1,0)),BX63-VLOOKUP($D63,'Visu totale'!$D:$DH,BY$1,0),IF(LEFT(VLOOKUP($D63,'Visu totale'!$D:$DH,BY$1,0),1)="V",IF(BX63&gt;=INDEX('[1]Définition Maintenances'!$G:$G,MATCH($A63,'[1]Définition Maintenances'!$K:$K,0)),BX63,INDEX('[1]Définition Maintenances'!$G:$G,MATCH($A63,'[1]Définition Maintenances'!$K:$K,0))+BX63),BX63))</f>
        <v>155</v>
      </c>
      <c r="BZ63" s="25">
        <f>IF(ISNUMBER(VLOOKUP($D63,'Visu totale'!$D:$DH,BZ$1,0)),BY63-VLOOKUP($D63,'Visu totale'!$D:$DH,BZ$1,0),IF(LEFT(VLOOKUP($D63,'Visu totale'!$D:$DH,BZ$1,0),1)="V",IF(BY63&gt;=INDEX('[1]Définition Maintenances'!$G:$G,MATCH($A63,'[1]Définition Maintenances'!$K:$K,0)),BY63,INDEX('[1]Définition Maintenances'!$G:$G,MATCH($A63,'[1]Définition Maintenances'!$K:$K,0))+BY63),BY63))</f>
        <v>155</v>
      </c>
      <c r="CA63" s="26">
        <f>IF(ISNUMBER(VLOOKUP($D63,'Visu totale'!$D:$DH,CA$1,0)),BZ63-VLOOKUP($D63,'Visu totale'!$D:$DH,CA$1,0),IF(LEFT(VLOOKUP($D63,'Visu totale'!$D:$DH,CA$1,0),1)="V",IF(BZ63&gt;=INDEX('[1]Définition Maintenances'!$G:$G,MATCH($A63,'[1]Définition Maintenances'!$K:$K,0)),BZ63,INDEX('[1]Définition Maintenances'!$G:$G,MATCH($A63,'[1]Définition Maintenances'!$K:$K,0))+BZ63),BZ63))</f>
        <v>155</v>
      </c>
      <c r="CB63" s="26">
        <f>IF(ISNUMBER(VLOOKUP($D63,'Visu totale'!$D:$DH,CB$1,0)),CA63-VLOOKUP($D63,'Visu totale'!$D:$DH,CB$1,0),IF(LEFT(VLOOKUP($D63,'Visu totale'!$D:$DH,CB$1,0),1)="V",IF(CA63&gt;=INDEX('[1]Définition Maintenances'!$G:$G,MATCH($A63,'[1]Définition Maintenances'!$K:$K,0)),CA63,INDEX('[1]Définition Maintenances'!$G:$G,MATCH($A63,'[1]Définition Maintenances'!$K:$K,0))+CA63),CA63))</f>
        <v>155</v>
      </c>
      <c r="CC63" s="26">
        <f>IF(ISNUMBER(VLOOKUP($D63,'Visu totale'!$D:$DH,CC$1,0)),CB63-VLOOKUP($D63,'Visu totale'!$D:$DH,CC$1,0),IF(LEFT(VLOOKUP($D63,'Visu totale'!$D:$DH,CC$1,0),1)="V",IF(CB63&gt;=INDEX('[1]Définition Maintenances'!$G:$G,MATCH($A63,'[1]Définition Maintenances'!$K:$K,0)),CB63,INDEX('[1]Définition Maintenances'!$G:$G,MATCH($A63,'[1]Définition Maintenances'!$K:$K,0))+CB63),CB63))</f>
        <v>155</v>
      </c>
      <c r="CD63" s="26">
        <f>IF(ISNUMBER(VLOOKUP($D63,'Visu totale'!$D:$DH,CD$1,0)),CC63-VLOOKUP($D63,'Visu totale'!$D:$DH,CD$1,0),IF(LEFT(VLOOKUP($D63,'Visu totale'!$D:$DH,CD$1,0),1)="V",IF(CC63&gt;=INDEX('[1]Définition Maintenances'!$G:$G,MATCH($A63,'[1]Définition Maintenances'!$K:$K,0)),CC63,INDEX('[1]Définition Maintenances'!$G:$G,MATCH($A63,'[1]Définition Maintenances'!$K:$K,0))+CC63),CC63))</f>
        <v>155</v>
      </c>
      <c r="CE63" s="26">
        <f>IF(ISNUMBER(VLOOKUP($D63,'Visu totale'!$D:$DH,CE$1,0)),CD63-VLOOKUP($D63,'Visu totale'!$D:$DH,CE$1,0),IF(LEFT(VLOOKUP($D63,'Visu totale'!$D:$DH,CE$1,0),1)="V",IF(CD63&gt;=INDEX('[1]Définition Maintenances'!$G:$G,MATCH($A63,'[1]Définition Maintenances'!$K:$K,0)),CD63,INDEX('[1]Définition Maintenances'!$G:$G,MATCH($A63,'[1]Définition Maintenances'!$K:$K,0))+CD63),CD63))</f>
        <v>155</v>
      </c>
      <c r="CF63" s="26">
        <f>IF(ISNUMBER(VLOOKUP($D63,'Visu totale'!$D:$DH,CF$1,0)),CE63-VLOOKUP($D63,'Visu totale'!$D:$DH,CF$1,0),IF(LEFT(VLOOKUP($D63,'Visu totale'!$D:$DH,CF$1,0),1)="V",IF(CE63&gt;=INDEX('[1]Définition Maintenances'!$G:$G,MATCH($A63,'[1]Définition Maintenances'!$K:$K,0)),CE63,INDEX('[1]Définition Maintenances'!$G:$G,MATCH($A63,'[1]Définition Maintenances'!$K:$K,0))+CE63),CE63))</f>
        <v>155</v>
      </c>
      <c r="CG63" s="26">
        <f>IF(ISNUMBER(VLOOKUP($D63,'Visu totale'!$D:$DH,CG$1,0)),CF63-VLOOKUP($D63,'Visu totale'!$D:$DH,CG$1,0),IF(LEFT(VLOOKUP($D63,'Visu totale'!$D:$DH,CG$1,0),1)="V",IF(CF63&gt;=INDEX('[1]Définition Maintenances'!$G:$G,MATCH($A63,'[1]Définition Maintenances'!$K:$K,0)),CF63,INDEX('[1]Définition Maintenances'!$G:$G,MATCH($A63,'[1]Définition Maintenances'!$K:$K,0))+CF63),CF63))</f>
        <v>155</v>
      </c>
      <c r="CH63" s="26">
        <f>IF(ISNUMBER(VLOOKUP($D63,'Visu totale'!$D:$DH,CH$1,0)),CG63-VLOOKUP($D63,'Visu totale'!$D:$DH,CH$1,0),IF(LEFT(VLOOKUP($D63,'Visu totale'!$D:$DH,CH$1,0),1)="V",IF(CG63&gt;=INDEX('[1]Définition Maintenances'!$G:$G,MATCH($A63,'[1]Définition Maintenances'!$K:$K,0)),CG63,INDEX('[1]Définition Maintenances'!$G:$G,MATCH($A63,'[1]Définition Maintenances'!$K:$K,0))+CG63),CG63))</f>
        <v>155</v>
      </c>
      <c r="CI63" s="26">
        <f>IF(ISNUMBER(VLOOKUP($D63,'Visu totale'!$D:$DH,CI$1,0)),CH63-VLOOKUP($D63,'Visu totale'!$D:$DH,CI$1,0),IF(LEFT(VLOOKUP($D63,'Visu totale'!$D:$DH,CI$1,0),1)="V",IF(CH63&gt;=INDEX('[1]Définition Maintenances'!$G:$G,MATCH($A63,'[1]Définition Maintenances'!$K:$K,0)),CH63,INDEX('[1]Définition Maintenances'!$G:$G,MATCH($A63,'[1]Définition Maintenances'!$K:$K,0))+CH63),CH63))</f>
        <v>155</v>
      </c>
      <c r="CJ63" s="26">
        <f>IF(ISNUMBER(VLOOKUP($D63,'Visu totale'!$D:$DH,CJ$1,0)),CI63-VLOOKUP($D63,'Visu totale'!$D:$DH,CJ$1,0),IF(LEFT(VLOOKUP($D63,'Visu totale'!$D:$DH,CJ$1,0),1)="V",IF(CI63&gt;=INDEX('[1]Définition Maintenances'!$G:$G,MATCH($A63,'[1]Définition Maintenances'!$K:$K,0)),CI63,INDEX('[1]Définition Maintenances'!$G:$G,MATCH($A63,'[1]Définition Maintenances'!$K:$K,0))+CI63),CI63))</f>
        <v>155</v>
      </c>
      <c r="CK63" s="27">
        <f>IF(ISNUMBER(VLOOKUP($D63,'Visu totale'!$D:$DH,CK$1,0)),CJ63-VLOOKUP($D63,'Visu totale'!$D:$DH,CK$1,0),IF(LEFT(VLOOKUP($D63,'Visu totale'!$D:$DH,CK$1,0),1)="V",IF(CJ63&gt;=INDEX('[1]Définition Maintenances'!$G:$G,MATCH($A63,'[1]Définition Maintenances'!$K:$K,0)),CJ63,INDEX('[1]Définition Maintenances'!$G:$G,MATCH($A63,'[1]Définition Maintenances'!$K:$K,0))+CJ63),CJ63))</f>
        <v>155</v>
      </c>
      <c r="CL63" s="25">
        <f>IF(ISNUMBER(VLOOKUP($D63,'Visu totale'!$D:$DH,CL$1,0)),CK63-VLOOKUP($D63,'Visu totale'!$D:$DH,CL$1,0),IF(LEFT(VLOOKUP($D63,'Visu totale'!$D:$DH,CL$1,0),1)="V",IF(CK63&gt;=INDEX('[1]Définition Maintenances'!$G:$G,MATCH($A63,'[1]Définition Maintenances'!$K:$K,0)),CK63,INDEX('[1]Définition Maintenances'!$G:$G,MATCH($A63,'[1]Définition Maintenances'!$K:$K,0))+CK63),CK63))</f>
        <v>155</v>
      </c>
      <c r="CM63" s="26">
        <f>IF(ISNUMBER(VLOOKUP($D63,'Visu totale'!$D:$DH,CM$1,0)),CL63-VLOOKUP($D63,'Visu totale'!$D:$DH,CM$1,0),IF(LEFT(VLOOKUP($D63,'Visu totale'!$D:$DH,CM$1,0),1)="V",IF(CL63&gt;=INDEX('[1]Définition Maintenances'!$G:$G,MATCH($A63,'[1]Définition Maintenances'!$K:$K,0)),CL63,INDEX('[1]Définition Maintenances'!$G:$G,MATCH($A63,'[1]Définition Maintenances'!$K:$K,0))+CL63),CL63))</f>
        <v>155</v>
      </c>
      <c r="CN63" s="26">
        <f>IF(ISNUMBER(VLOOKUP($D63,'Visu totale'!$D:$DH,CN$1,0)),CM63-VLOOKUP($D63,'Visu totale'!$D:$DH,CN$1,0),IF(LEFT(VLOOKUP($D63,'Visu totale'!$D:$DH,CN$1,0),1)="V",IF(CM63&gt;=INDEX('[1]Définition Maintenances'!$G:$G,MATCH($A63,'[1]Définition Maintenances'!$K:$K,0)),CM63,INDEX('[1]Définition Maintenances'!$G:$G,MATCH($A63,'[1]Définition Maintenances'!$K:$K,0))+CM63),CM63))</f>
        <v>155</v>
      </c>
      <c r="CO63" s="26">
        <f>IF(ISNUMBER(VLOOKUP($D63,'Visu totale'!$D:$DH,CO$1,0)),CN63-VLOOKUP($D63,'Visu totale'!$D:$DH,CO$1,0),IF(LEFT(VLOOKUP($D63,'Visu totale'!$D:$DH,CO$1,0),1)="V",IF(CN63&gt;=INDEX('[1]Définition Maintenances'!$G:$G,MATCH($A63,'[1]Définition Maintenances'!$K:$K,0)),CN63,INDEX('[1]Définition Maintenances'!$G:$G,MATCH($A63,'[1]Définition Maintenances'!$K:$K,0))+CN63),CN63))</f>
        <v>155</v>
      </c>
      <c r="CP63" s="26">
        <f>IF(ISNUMBER(VLOOKUP($D63,'Visu totale'!$D:$DH,CP$1,0)),CO63-VLOOKUP($D63,'Visu totale'!$D:$DH,CP$1,0),IF(LEFT(VLOOKUP($D63,'Visu totale'!$D:$DH,CP$1,0),1)="V",IF(CO63&gt;=INDEX('[1]Définition Maintenances'!$G:$G,MATCH($A63,'[1]Définition Maintenances'!$K:$K,0)),CO63,INDEX('[1]Définition Maintenances'!$G:$G,MATCH($A63,'[1]Définition Maintenances'!$K:$K,0))+CO63),CO63))</f>
        <v>155</v>
      </c>
      <c r="CQ63" s="26">
        <f>IF(ISNUMBER(VLOOKUP($D63,'Visu totale'!$D:$DH,CQ$1,0)),CP63-VLOOKUP($D63,'Visu totale'!$D:$DH,CQ$1,0),IF(LEFT(VLOOKUP($D63,'Visu totale'!$D:$DH,CQ$1,0),1)="V",IF(CP63&gt;=INDEX('[1]Définition Maintenances'!$G:$G,MATCH($A63,'[1]Définition Maintenances'!$K:$K,0)),CP63,INDEX('[1]Définition Maintenances'!$G:$G,MATCH($A63,'[1]Définition Maintenances'!$K:$K,0))+CP63),CP63))</f>
        <v>155</v>
      </c>
      <c r="CR63" s="26">
        <f>IF(ISNUMBER(VLOOKUP($D63,'Visu totale'!$D:$DH,CR$1,0)),CQ63-VLOOKUP($D63,'Visu totale'!$D:$DH,CR$1,0),IF(LEFT(VLOOKUP($D63,'Visu totale'!$D:$DH,CR$1,0),1)="V",IF(CQ63&gt;=INDEX('[1]Définition Maintenances'!$G:$G,MATCH($A63,'[1]Définition Maintenances'!$K:$K,0)),CQ63,INDEX('[1]Définition Maintenances'!$G:$G,MATCH($A63,'[1]Définition Maintenances'!$K:$K,0))+CQ63),CQ63))</f>
        <v>155</v>
      </c>
      <c r="CS63" s="26">
        <f>IF(ISNUMBER(VLOOKUP($D63,'Visu totale'!$D:$DH,CS$1,0)),CR63-VLOOKUP($D63,'Visu totale'!$D:$DH,CS$1,0),IF(LEFT(VLOOKUP($D63,'Visu totale'!$D:$DH,CS$1,0),1)="V",IF(CR63&gt;=INDEX('[1]Définition Maintenances'!$G:$G,MATCH($A63,'[1]Définition Maintenances'!$K:$K,0)),CR63,INDEX('[1]Définition Maintenances'!$G:$G,MATCH($A63,'[1]Définition Maintenances'!$K:$K,0))+CR63),CR63))</f>
        <v>155</v>
      </c>
      <c r="CT63" s="26">
        <f>IF(ISNUMBER(VLOOKUP($D63,'Visu totale'!$D:$DH,CT$1,0)),CS63-VLOOKUP($D63,'Visu totale'!$D:$DH,CT$1,0),IF(LEFT(VLOOKUP($D63,'Visu totale'!$D:$DH,CT$1,0),1)="V",IF(CS63&gt;=INDEX('[1]Définition Maintenances'!$G:$G,MATCH($A63,'[1]Définition Maintenances'!$K:$K,0)),CS63,INDEX('[1]Définition Maintenances'!$G:$G,MATCH($A63,'[1]Définition Maintenances'!$K:$K,0))+CS63),CS63))</f>
        <v>155</v>
      </c>
      <c r="CU63" s="26">
        <f>IF(ISNUMBER(VLOOKUP($D63,'Visu totale'!$D:$DH,CU$1,0)),CT63-VLOOKUP($D63,'Visu totale'!$D:$DH,CU$1,0),IF(LEFT(VLOOKUP($D63,'Visu totale'!$D:$DH,CU$1,0),1)="V",IF(CT63&gt;=INDEX('[1]Définition Maintenances'!$G:$G,MATCH($A63,'[1]Définition Maintenances'!$K:$K,0)),CT63,INDEX('[1]Définition Maintenances'!$G:$G,MATCH($A63,'[1]Définition Maintenances'!$K:$K,0))+CT63),CT63))</f>
        <v>155</v>
      </c>
      <c r="CV63" s="26">
        <f>IF(ISNUMBER(VLOOKUP($D63,'Visu totale'!$D:$DH,CV$1,0)),CU63-VLOOKUP($D63,'Visu totale'!$D:$DH,CV$1,0),IF(LEFT(VLOOKUP($D63,'Visu totale'!$D:$DH,CV$1,0),1)="V",IF(CU63&gt;=INDEX('[1]Définition Maintenances'!$G:$G,MATCH($A63,'[1]Définition Maintenances'!$K:$K,0)),CU63,INDEX('[1]Définition Maintenances'!$G:$G,MATCH($A63,'[1]Définition Maintenances'!$K:$K,0))+CU63),CU63))</f>
        <v>155</v>
      </c>
      <c r="CW63" s="27">
        <f>IF(ISNUMBER(VLOOKUP($D63,'Visu totale'!$D:$DH,CW$1,0)),CV63-VLOOKUP($D63,'Visu totale'!$D:$DH,CW$1,0),IF(LEFT(VLOOKUP($D63,'Visu totale'!$D:$DH,CW$1,0),1)="V",IF(CV63&gt;=INDEX('[1]Définition Maintenances'!$G:$G,MATCH($A63,'[1]Définition Maintenances'!$K:$K,0)),CV63,INDEX('[1]Définition Maintenances'!$G:$G,MATCH($A63,'[1]Définition Maintenances'!$K:$K,0))+CV63),CV63))</f>
        <v>155</v>
      </c>
      <c r="CX63" s="25">
        <f>IF(ISNUMBER(VLOOKUP($D63,'Visu totale'!$D:$DH,CX$1,0)),CW63-VLOOKUP($D63,'Visu totale'!$D:$DH,CX$1,0),IF(LEFT(VLOOKUP($D63,'Visu totale'!$D:$DH,CX$1,0),1)="V",IF(CW63&gt;=INDEX('[1]Définition Maintenances'!$G:$G,MATCH($A63,'[1]Définition Maintenances'!$K:$K,0)),CW63,INDEX('[1]Définition Maintenances'!$G:$G,MATCH($A63,'[1]Définition Maintenances'!$K:$K,0))+CW63),CW63))</f>
        <v>155</v>
      </c>
      <c r="CY63" s="26">
        <f>IF(ISNUMBER(VLOOKUP($D63,'Visu totale'!$D:$DH,CY$1,0)),CX63-VLOOKUP($D63,'Visu totale'!$D:$DH,CY$1,0),IF(LEFT(VLOOKUP($D63,'Visu totale'!$D:$DH,CY$1,0),1)="V",IF(CX63&gt;=INDEX('[1]Définition Maintenances'!$G:$G,MATCH($A63,'[1]Définition Maintenances'!$K:$K,0)),CX63,INDEX('[1]Définition Maintenances'!$G:$G,MATCH($A63,'[1]Définition Maintenances'!$K:$K,0))+CX63),CX63))</f>
        <v>155</v>
      </c>
      <c r="CZ63" s="26">
        <f>IF(ISNUMBER(VLOOKUP($D63,'Visu totale'!$D:$DH,CZ$1,0)),CY63-VLOOKUP($D63,'Visu totale'!$D:$DH,CZ$1,0),IF(LEFT(VLOOKUP($D63,'Visu totale'!$D:$DH,CZ$1,0),1)="V",IF(CY63&gt;=INDEX('[1]Définition Maintenances'!$G:$G,MATCH($A63,'[1]Définition Maintenances'!$K:$K,0)),CY63,INDEX('[1]Définition Maintenances'!$G:$G,MATCH($A63,'[1]Définition Maintenances'!$K:$K,0))+CY63),CY63))</f>
        <v>155</v>
      </c>
      <c r="DA63" s="26">
        <f>IF(ISNUMBER(VLOOKUP($D63,'Visu totale'!$D:$DH,DA$1,0)),CZ63-VLOOKUP($D63,'Visu totale'!$D:$DH,DA$1,0),IF(LEFT(VLOOKUP($D63,'Visu totale'!$D:$DH,DA$1,0),1)="V",IF(CZ63&gt;=INDEX('[1]Définition Maintenances'!$G:$G,MATCH($A63,'[1]Définition Maintenances'!$K:$K,0)),CZ63,INDEX('[1]Définition Maintenances'!$G:$G,MATCH($A63,'[1]Définition Maintenances'!$K:$K,0))+CZ63),CZ63))</f>
        <v>155</v>
      </c>
      <c r="DB63" s="26">
        <f>IF(ISNUMBER(VLOOKUP($D63,'Visu totale'!$D:$DH,DB$1,0)),DA63-VLOOKUP($D63,'Visu totale'!$D:$DH,DB$1,0),IF(LEFT(VLOOKUP($D63,'Visu totale'!$D:$DH,DB$1,0),1)="V",IF(DA63&gt;=INDEX('[1]Définition Maintenances'!$G:$G,MATCH($A63,'[1]Définition Maintenances'!$K:$K,0)),DA63,INDEX('[1]Définition Maintenances'!$G:$G,MATCH($A63,'[1]Définition Maintenances'!$K:$K,0))+DA63),DA63))</f>
        <v>155</v>
      </c>
      <c r="DC63" s="26">
        <f>IF(ISNUMBER(VLOOKUP($D63,'Visu totale'!$D:$DH,DC$1,0)),DB63-VLOOKUP($D63,'Visu totale'!$D:$DH,DC$1,0),IF(LEFT(VLOOKUP($D63,'Visu totale'!$D:$DH,DC$1,0),1)="V",IF(DB63&gt;=INDEX('[1]Définition Maintenances'!$G:$G,MATCH($A63,'[1]Définition Maintenances'!$K:$K,0)),DB63,INDEX('[1]Définition Maintenances'!$G:$G,MATCH($A63,'[1]Définition Maintenances'!$K:$K,0))+DB63),DB63))</f>
        <v>155</v>
      </c>
      <c r="DD63" s="26">
        <f>IF(ISNUMBER(VLOOKUP($D63,'Visu totale'!$D:$DH,DD$1,0)),DC63-VLOOKUP($D63,'Visu totale'!$D:$DH,DD$1,0),IF(LEFT(VLOOKUP($D63,'Visu totale'!$D:$DH,DD$1,0),1)="V",IF(DC63&gt;=INDEX('[1]Définition Maintenances'!$G:$G,MATCH($A63,'[1]Définition Maintenances'!$K:$K,0)),DC63,INDEX('[1]Définition Maintenances'!$G:$G,MATCH($A63,'[1]Définition Maintenances'!$K:$K,0))+DC63),DC63))</f>
        <v>155</v>
      </c>
      <c r="DE63" s="26">
        <f>IF(ISNUMBER(VLOOKUP($D63,'Visu totale'!$D:$DH,DE$1,0)),DD63-VLOOKUP($D63,'Visu totale'!$D:$DH,DE$1,0),IF(LEFT(VLOOKUP($D63,'Visu totale'!$D:$DH,DE$1,0),1)="V",IF(DD63&gt;=INDEX('[1]Définition Maintenances'!$G:$G,MATCH($A63,'[1]Définition Maintenances'!$K:$K,0)),DD63,INDEX('[1]Définition Maintenances'!$G:$G,MATCH($A63,'[1]Définition Maintenances'!$K:$K,0))+DD63),DD63))</f>
        <v>155</v>
      </c>
      <c r="DF63" s="26">
        <f>IF(ISNUMBER(VLOOKUP($D63,'Visu totale'!$D:$DH,DF$1,0)),DE63-VLOOKUP($D63,'Visu totale'!$D:$DH,DF$1,0),IF(LEFT(VLOOKUP($D63,'Visu totale'!$D:$DH,DF$1,0),1)="V",IF(DE63&gt;=INDEX('[1]Définition Maintenances'!$G:$G,MATCH($A63,'[1]Définition Maintenances'!$K:$K,0)),DE63,INDEX('[1]Définition Maintenances'!$G:$G,MATCH($A63,'[1]Définition Maintenances'!$K:$K,0))+DE63),DE63))</f>
        <v>155</v>
      </c>
      <c r="DG63" s="26">
        <f>IF(ISNUMBER(VLOOKUP($D63,'Visu totale'!$D:$DH,DG$1,0)),DF63-VLOOKUP($D63,'Visu totale'!$D:$DH,DG$1,0),IF(LEFT(VLOOKUP($D63,'Visu totale'!$D:$DH,DG$1,0),1)="V",IF(DF63&gt;=INDEX('[1]Définition Maintenances'!$G:$G,MATCH($A63,'[1]Définition Maintenances'!$K:$K,0)),DF63,INDEX('[1]Définition Maintenances'!$G:$G,MATCH($A63,'[1]Définition Maintenances'!$K:$K,0))+DF63),DF63))</f>
        <v>155</v>
      </c>
      <c r="DH63" s="26">
        <f>IF(ISNUMBER(VLOOKUP($D63,'Visu totale'!$D:$DH,DH$1,0)),DG63-VLOOKUP($D63,'Visu totale'!$D:$DH,DH$1,0),IF(LEFT(VLOOKUP($D63,'Visu totale'!$D:$DH,DH$1,0),1)="V",IF(DG63&gt;=INDEX('[1]Définition Maintenances'!$G:$G,MATCH($A63,'[1]Définition Maintenances'!$K:$K,0)),DG63,INDEX('[1]Définition Maintenances'!$G:$G,MATCH($A63,'[1]Définition Maintenances'!$K:$K,0))+DG63),DG63))</f>
        <v>155</v>
      </c>
      <c r="DI63" s="27">
        <f>IF(ISNUMBER(VLOOKUP($D63,'Visu totale'!$D:$DH,DI$1,0)),DH63-VLOOKUP($D63,'Visu totale'!$D:$DH,DI$1,0),IF(LEFT(VLOOKUP($D63,'Visu totale'!$D:$DH,DI$1,0),1)="V",IF(DH63&gt;=INDEX('[1]Définition Maintenances'!$G:$G,MATCH($A63,'[1]Définition Maintenances'!$K:$K,0)),DH63,INDEX('[1]Définition Maintenances'!$G:$G,MATCH($A63,'[1]Définition Maintenances'!$K:$K,0))+DH63),DH63))</f>
        <v>155</v>
      </c>
    </row>
    <row r="64" spans="1:113" x14ac:dyDescent="0.25">
      <c r="A64" s="13" t="str">
        <f t="shared" si="1"/>
        <v>V15D</v>
      </c>
      <c r="B64" s="13" t="str">
        <f>VLOOKUP(D64,'[1]Avions (Potentiels)'!$B$2:$H$128,7,FALSE)</f>
        <v>V15</v>
      </c>
      <c r="C64" s="13"/>
      <c r="D64" s="16" t="s">
        <v>67</v>
      </c>
      <c r="E64" s="13">
        <f>IFERROR(VALUE(SUBSTITUTE(VLOOKUP(D64,'[1]Avions (Potentiels)'!$B:$E,4,0),".",",")),VALUE(VLOOKUP(D64,'[1]Avions (Potentiels)'!$B:$E,4,0)))</f>
        <v>965</v>
      </c>
      <c r="F64" s="25">
        <f>IF(ISNUMBER(VLOOKUP($D64,'Visu totale'!$D:$DH,F$1,0)),E64-VLOOKUP($D64,'Visu totale'!$D:$DH,F$1,0),IF(LEFT(VLOOKUP($D64,'Visu totale'!$D:$DH,F$1,0),1)="V",IF(E64&gt;=INDEX('[1]Définition Maintenances'!$G:$G,MATCH($A64,'[1]Définition Maintenances'!$K:$K,0)),E64,INDEX('[1]Définition Maintenances'!$G:$G,MATCH($A64,'[1]Définition Maintenances'!$K:$K,0))+E64),E64))</f>
        <v>965</v>
      </c>
      <c r="G64" s="26">
        <f>IF(ISNUMBER(VLOOKUP($D64,'Visu totale'!$D:$DH,G$1,0)),F64-VLOOKUP($D64,'Visu totale'!$D:$DH,G$1,0),IF(LEFT(VLOOKUP($D64,'Visu totale'!$D:$DH,G$1,0),1)="V",IF(F64&gt;=INDEX('[1]Définition Maintenances'!$G:$G,MATCH($A64,'[1]Définition Maintenances'!$K:$K,0)),F64,INDEX('[1]Définition Maintenances'!$G:$G,MATCH($A64,'[1]Définition Maintenances'!$K:$K,0))+F64),F64))</f>
        <v>965</v>
      </c>
      <c r="H64" s="26">
        <f>IF(ISNUMBER(VLOOKUP($D64,'Visu totale'!$D:$DH,H$1,0)),G64-VLOOKUP($D64,'Visu totale'!$D:$DH,H$1,0),IF(LEFT(VLOOKUP($D64,'Visu totale'!$D:$DH,H$1,0),1)="V",IF(G64&gt;=INDEX('[1]Définition Maintenances'!$G:$G,MATCH($A64,'[1]Définition Maintenances'!$K:$K,0)),G64,INDEX('[1]Définition Maintenances'!$G:$G,MATCH($A64,'[1]Définition Maintenances'!$K:$K,0))+G64),G64))</f>
        <v>965</v>
      </c>
      <c r="I64" s="26">
        <f>IF(ISNUMBER(VLOOKUP($D64,'Visu totale'!$D:$DH,I$1,0)),H64-VLOOKUP($D64,'Visu totale'!$D:$DH,I$1,0),IF(LEFT(VLOOKUP($D64,'Visu totale'!$D:$DH,I$1,0),1)="V",IF(H64&gt;=INDEX('[1]Définition Maintenances'!$G:$G,MATCH($A64,'[1]Définition Maintenances'!$K:$K,0)),H64,INDEX('[1]Définition Maintenances'!$G:$G,MATCH($A64,'[1]Définition Maintenances'!$K:$K,0))+H64),H64))</f>
        <v>965</v>
      </c>
      <c r="J64" s="26">
        <f>IF(ISNUMBER(VLOOKUP($D64,'Visu totale'!$D:$DH,J$1,0)),I64-VLOOKUP($D64,'Visu totale'!$D:$DH,J$1,0),IF(LEFT(VLOOKUP($D64,'Visu totale'!$D:$DH,J$1,0),1)="V",IF(I64&gt;=INDEX('[1]Définition Maintenances'!$G:$G,MATCH($A64,'[1]Définition Maintenances'!$K:$K,0)),I64,INDEX('[1]Définition Maintenances'!$G:$G,MATCH($A64,'[1]Définition Maintenances'!$K:$K,0))+I64),I64))</f>
        <v>965</v>
      </c>
      <c r="K64" s="26">
        <f>IF(ISNUMBER(VLOOKUP($D64,'Visu totale'!$D:$DH,K$1,0)),J64-VLOOKUP($D64,'Visu totale'!$D:$DH,K$1,0),IF(LEFT(VLOOKUP($D64,'Visu totale'!$D:$DH,K$1,0),1)="V",IF(J64&gt;=INDEX('[1]Définition Maintenances'!$G:$G,MATCH($A64,'[1]Définition Maintenances'!$K:$K,0)),J64,INDEX('[1]Définition Maintenances'!$G:$G,MATCH($A64,'[1]Définition Maintenances'!$K:$K,0))+J64),J64))</f>
        <v>965</v>
      </c>
      <c r="L64" s="26">
        <f>IF(ISNUMBER(VLOOKUP($D64,'Visu totale'!$D:$DH,L$1,0)),K64-VLOOKUP($D64,'Visu totale'!$D:$DH,L$1,0),IF(LEFT(VLOOKUP($D64,'Visu totale'!$D:$DH,L$1,0),1)="V",IF(K64&gt;=INDEX('[1]Définition Maintenances'!$G:$G,MATCH($A64,'[1]Définition Maintenances'!$K:$K,0)),K64,INDEX('[1]Définition Maintenances'!$G:$G,MATCH($A64,'[1]Définition Maintenances'!$K:$K,0))+K64),K64))</f>
        <v>965</v>
      </c>
      <c r="M64" s="26">
        <f>IF(ISNUMBER(VLOOKUP($D64,'Visu totale'!$D:$DH,M$1,0)),L64-VLOOKUP($D64,'Visu totale'!$D:$DH,M$1,0),IF(LEFT(VLOOKUP($D64,'Visu totale'!$D:$DH,M$1,0),1)="V",IF(L64&gt;=INDEX('[1]Définition Maintenances'!$G:$G,MATCH($A64,'[1]Définition Maintenances'!$K:$K,0)),L64,INDEX('[1]Définition Maintenances'!$G:$G,MATCH($A64,'[1]Définition Maintenances'!$K:$K,0))+L64),L64))</f>
        <v>965</v>
      </c>
      <c r="N64" s="26">
        <f>IF(ISNUMBER(VLOOKUP($D64,'Visu totale'!$D:$DH,N$1,0)),M64-VLOOKUP($D64,'Visu totale'!$D:$DH,N$1,0),IF(LEFT(VLOOKUP($D64,'Visu totale'!$D:$DH,N$1,0),1)="V",IF(M64&gt;=INDEX('[1]Définition Maintenances'!$G:$G,MATCH($A64,'[1]Définition Maintenances'!$K:$K,0)),M64,INDEX('[1]Définition Maintenances'!$G:$G,MATCH($A64,'[1]Définition Maintenances'!$K:$K,0))+M64),M64))</f>
        <v>965</v>
      </c>
      <c r="O64" s="26">
        <f>IF(ISNUMBER(VLOOKUP($D64,'Visu totale'!$D:$DH,O$1,0)),N64-VLOOKUP($D64,'Visu totale'!$D:$DH,O$1,0),IF(LEFT(VLOOKUP($D64,'Visu totale'!$D:$DH,O$1,0),1)="V",IF(N64&gt;=INDEX('[1]Définition Maintenances'!$G:$G,MATCH($A64,'[1]Définition Maintenances'!$K:$K,0)),N64,INDEX('[1]Définition Maintenances'!$G:$G,MATCH($A64,'[1]Définition Maintenances'!$K:$K,0))+N64),N64))</f>
        <v>965</v>
      </c>
      <c r="P64" s="26">
        <f>IF(ISNUMBER(VLOOKUP($D64,'Visu totale'!$D:$DH,P$1,0)),O64-VLOOKUP($D64,'Visu totale'!$D:$DH,P$1,0),IF(LEFT(VLOOKUP($D64,'Visu totale'!$D:$DH,P$1,0),1)="V",IF(O64&gt;=INDEX('[1]Définition Maintenances'!$G:$G,MATCH($A64,'[1]Définition Maintenances'!$K:$K,0)),O64,INDEX('[1]Définition Maintenances'!$G:$G,MATCH($A64,'[1]Définition Maintenances'!$K:$K,0))+O64),O64))</f>
        <v>965</v>
      </c>
      <c r="Q64" s="27">
        <f>IF(ISNUMBER(VLOOKUP($D64,'Visu totale'!$D:$DH,Q$1,0)),P64-VLOOKUP($D64,'Visu totale'!$D:$DH,Q$1,0),IF(LEFT(VLOOKUP($D64,'Visu totale'!$D:$DH,Q$1,0),1)="V",IF(P64&gt;=INDEX('[1]Définition Maintenances'!$G:$G,MATCH($A64,'[1]Définition Maintenances'!$K:$K,0)),P64,INDEX('[1]Définition Maintenances'!$G:$G,MATCH($A64,'[1]Définition Maintenances'!$K:$K,0))+P64),P64))</f>
        <v>965</v>
      </c>
      <c r="R64" s="25">
        <f>IF(ISNUMBER(VLOOKUP($D64,'Visu totale'!$D:$DH,R$1,0)),Q64-VLOOKUP($D64,'Visu totale'!$D:$DH,R$1,0),IF(LEFT(VLOOKUP($D64,'Visu totale'!$D:$DH,R$1,0),1)="V",IF(Q64&gt;=INDEX('[1]Définition Maintenances'!$G:$G,MATCH($A64,'[1]Définition Maintenances'!$K:$K,0)),Q64,INDEX('[1]Définition Maintenances'!$G:$G,MATCH($A64,'[1]Définition Maintenances'!$K:$K,0))+Q64),Q64))</f>
        <v>965</v>
      </c>
      <c r="S64" s="26">
        <f>IF(ISNUMBER(VLOOKUP($D64,'Visu totale'!$D:$DH,S$1,0)),R64-VLOOKUP($D64,'Visu totale'!$D:$DH,S$1,0),IF(LEFT(VLOOKUP($D64,'Visu totale'!$D:$DH,S$1,0),1)="V",IF(R64&gt;=INDEX('[1]Définition Maintenances'!$G:$G,MATCH($A64,'[1]Définition Maintenances'!$K:$K,0)),R64,INDEX('[1]Définition Maintenances'!$G:$G,MATCH($A64,'[1]Définition Maintenances'!$K:$K,0))+R64),R64))</f>
        <v>965</v>
      </c>
      <c r="T64" s="26">
        <f>IF(ISNUMBER(VLOOKUP($D64,'Visu totale'!$D:$DH,T$1,0)),S64-VLOOKUP($D64,'Visu totale'!$D:$DH,T$1,0),IF(LEFT(VLOOKUP($D64,'Visu totale'!$D:$DH,T$1,0),1)="V",IF(S64&gt;=INDEX('[1]Définition Maintenances'!$G:$G,MATCH($A64,'[1]Définition Maintenances'!$K:$K,0)),S64,INDEX('[1]Définition Maintenances'!$G:$G,MATCH($A64,'[1]Définition Maintenances'!$K:$K,0))+S64),S64))</f>
        <v>965</v>
      </c>
      <c r="U64" s="26">
        <f>IF(ISNUMBER(VLOOKUP($D64,'Visu totale'!$D:$DH,U$1,0)),T64-VLOOKUP($D64,'Visu totale'!$D:$DH,U$1,0),IF(LEFT(VLOOKUP($D64,'Visu totale'!$D:$DH,U$1,0),1)="V",IF(T64&gt;=INDEX('[1]Définition Maintenances'!$G:$G,MATCH($A64,'[1]Définition Maintenances'!$K:$K,0)),T64,INDEX('[1]Définition Maintenances'!$G:$G,MATCH($A64,'[1]Définition Maintenances'!$K:$K,0))+T64),T64))</f>
        <v>965</v>
      </c>
      <c r="V64" s="26">
        <f>IF(ISNUMBER(VLOOKUP($D64,'Visu totale'!$D:$DH,V$1,0)),U64-VLOOKUP($D64,'Visu totale'!$D:$DH,V$1,0),IF(LEFT(VLOOKUP($D64,'Visu totale'!$D:$DH,V$1,0),1)="V",IF(U64&gt;=INDEX('[1]Définition Maintenances'!$G:$G,MATCH($A64,'[1]Définition Maintenances'!$K:$K,0)),U64,INDEX('[1]Définition Maintenances'!$G:$G,MATCH($A64,'[1]Définition Maintenances'!$K:$K,0))+U64),U64))</f>
        <v>965</v>
      </c>
      <c r="W64" s="26">
        <f>IF(ISNUMBER(VLOOKUP($D64,'Visu totale'!$D:$DH,W$1,0)),V64-VLOOKUP($D64,'Visu totale'!$D:$DH,W$1,0),IF(LEFT(VLOOKUP($D64,'Visu totale'!$D:$DH,W$1,0),1)="V",IF(V64&gt;=INDEX('[1]Définition Maintenances'!$G:$G,MATCH($A64,'[1]Définition Maintenances'!$K:$K,0)),V64,INDEX('[1]Définition Maintenances'!$G:$G,MATCH($A64,'[1]Définition Maintenances'!$K:$K,0))+V64),V64))</f>
        <v>965</v>
      </c>
      <c r="X64" s="26">
        <f>IF(ISNUMBER(VLOOKUP($D64,'Visu totale'!$D:$DH,X$1,0)),W64-VLOOKUP($D64,'Visu totale'!$D:$DH,X$1,0),IF(LEFT(VLOOKUP($D64,'Visu totale'!$D:$DH,X$1,0),1)="V",IF(W64&gt;=INDEX('[1]Définition Maintenances'!$G:$G,MATCH($A64,'[1]Définition Maintenances'!$K:$K,0)),W64,INDEX('[1]Définition Maintenances'!$G:$G,MATCH($A64,'[1]Définition Maintenances'!$K:$K,0))+W64),W64))</f>
        <v>965</v>
      </c>
      <c r="Y64" s="26">
        <f>IF(ISNUMBER(VLOOKUP($D64,'Visu totale'!$D:$DH,Y$1,0)),X64-VLOOKUP($D64,'Visu totale'!$D:$DH,Y$1,0),IF(LEFT(VLOOKUP($D64,'Visu totale'!$D:$DH,Y$1,0),1)="V",IF(X64&gt;=INDEX('[1]Définition Maintenances'!$G:$G,MATCH($A64,'[1]Définition Maintenances'!$K:$K,0)),X64,INDEX('[1]Définition Maintenances'!$G:$G,MATCH($A64,'[1]Définition Maintenances'!$K:$K,0))+X64),X64))</f>
        <v>965</v>
      </c>
      <c r="Z64" s="26">
        <f>IF(ISNUMBER(VLOOKUP($D64,'Visu totale'!$D:$DH,Z$1,0)),Y64-VLOOKUP($D64,'Visu totale'!$D:$DH,Z$1,0),IF(LEFT(VLOOKUP($D64,'Visu totale'!$D:$DH,Z$1,0),1)="V",IF(Y64&gt;=INDEX('[1]Définition Maintenances'!$G:$G,MATCH($A64,'[1]Définition Maintenances'!$K:$K,0)),Y64,INDEX('[1]Définition Maintenances'!$G:$G,MATCH($A64,'[1]Définition Maintenances'!$K:$K,0))+Y64),Y64))</f>
        <v>965</v>
      </c>
      <c r="AA64" s="26">
        <f>IF(ISNUMBER(VLOOKUP($D64,'Visu totale'!$D:$DH,AA$1,0)),Z64-VLOOKUP($D64,'Visu totale'!$D:$DH,AA$1,0),IF(LEFT(VLOOKUP($D64,'Visu totale'!$D:$DH,AA$1,0),1)="V",IF(Z64&gt;=INDEX('[1]Définition Maintenances'!$G:$G,MATCH($A64,'[1]Définition Maintenances'!$K:$K,0)),Z64,INDEX('[1]Définition Maintenances'!$G:$G,MATCH($A64,'[1]Définition Maintenances'!$K:$K,0))+Z64),Z64))</f>
        <v>965</v>
      </c>
      <c r="AB64" s="26">
        <f>IF(ISNUMBER(VLOOKUP($D64,'Visu totale'!$D:$DH,AB$1,0)),AA64-VLOOKUP($D64,'Visu totale'!$D:$DH,AB$1,0),IF(LEFT(VLOOKUP($D64,'Visu totale'!$D:$DH,AB$1,0),1)="V",IF(AA64&gt;=INDEX('[1]Définition Maintenances'!$G:$G,MATCH($A64,'[1]Définition Maintenances'!$K:$K,0)),AA64,INDEX('[1]Définition Maintenances'!$G:$G,MATCH($A64,'[1]Définition Maintenances'!$K:$K,0))+AA64),AA64))</f>
        <v>965</v>
      </c>
      <c r="AC64" s="27">
        <f>IF(ISNUMBER(VLOOKUP($D64,'Visu totale'!$D:$DH,AC$1,0)),AB64-VLOOKUP($D64,'Visu totale'!$D:$DH,AC$1,0),IF(LEFT(VLOOKUP($D64,'Visu totale'!$D:$DH,AC$1,0),1)="V",IF(AB64&gt;=INDEX('[1]Définition Maintenances'!$G:$G,MATCH($A64,'[1]Définition Maintenances'!$K:$K,0)),AB64,INDEX('[1]Définition Maintenances'!$G:$G,MATCH($A64,'[1]Définition Maintenances'!$K:$K,0))+AB64),AB64))</f>
        <v>965</v>
      </c>
      <c r="AD64" s="25">
        <f>IF(ISNUMBER(VLOOKUP($D64,'Visu totale'!$D:$DH,AD$1,0)),AC64-VLOOKUP($D64,'Visu totale'!$D:$DH,AD$1,0),IF(LEFT(VLOOKUP($D64,'Visu totale'!$D:$DH,AD$1,0),1)="V",IF(AC64&gt;=INDEX('[1]Définition Maintenances'!$G:$G,MATCH($A64,'[1]Définition Maintenances'!$K:$K,0)),AC64,INDEX('[1]Définition Maintenances'!$G:$G,MATCH($A64,'[1]Définition Maintenances'!$K:$K,0))+AC64),AC64))</f>
        <v>965</v>
      </c>
      <c r="AE64" s="26">
        <f>IF(ISNUMBER(VLOOKUP($D64,'Visu totale'!$D:$DH,AE$1,0)),AD64-VLOOKUP($D64,'Visu totale'!$D:$DH,AE$1,0),IF(LEFT(VLOOKUP($D64,'Visu totale'!$D:$DH,AE$1,0),1)="V",IF(AD64&gt;=INDEX('[1]Définition Maintenances'!$G:$G,MATCH($A64,'[1]Définition Maintenances'!$K:$K,0)),AD64,INDEX('[1]Définition Maintenances'!$G:$G,MATCH($A64,'[1]Définition Maintenances'!$K:$K,0))+AD64),AD64))</f>
        <v>965</v>
      </c>
      <c r="AF64" s="26">
        <f>IF(ISNUMBER(VLOOKUP($D64,'Visu totale'!$D:$DH,AF$1,0)),AE64-VLOOKUP($D64,'Visu totale'!$D:$DH,AF$1,0),IF(LEFT(VLOOKUP($D64,'Visu totale'!$D:$DH,AF$1,0),1)="V",IF(AE64&gt;=INDEX('[1]Définition Maintenances'!$G:$G,MATCH($A64,'[1]Définition Maintenances'!$K:$K,0)),AE64,INDEX('[1]Définition Maintenances'!$G:$G,MATCH($A64,'[1]Définition Maintenances'!$K:$K,0))+AE64),AE64))</f>
        <v>965</v>
      </c>
      <c r="AG64" s="26">
        <f>IF(ISNUMBER(VLOOKUP($D64,'Visu totale'!$D:$DH,AG$1,0)),AF64-VLOOKUP($D64,'Visu totale'!$D:$DH,AG$1,0),IF(LEFT(VLOOKUP($D64,'Visu totale'!$D:$DH,AG$1,0),1)="V",IF(AF64&gt;=INDEX('[1]Définition Maintenances'!$G:$G,MATCH($A64,'[1]Définition Maintenances'!$K:$K,0)),AF64,INDEX('[1]Définition Maintenances'!$G:$G,MATCH($A64,'[1]Définition Maintenances'!$K:$K,0))+AF64),AF64))</f>
        <v>965</v>
      </c>
      <c r="AH64" s="26">
        <f>IF(ISNUMBER(VLOOKUP($D64,'Visu totale'!$D:$DH,AH$1,0)),AG64-VLOOKUP($D64,'Visu totale'!$D:$DH,AH$1,0),IF(LEFT(VLOOKUP($D64,'Visu totale'!$D:$DH,AH$1,0),1)="V",IF(AG64&gt;=INDEX('[1]Définition Maintenances'!$G:$G,MATCH($A64,'[1]Définition Maintenances'!$K:$K,0)),AG64,INDEX('[1]Définition Maintenances'!$G:$G,MATCH($A64,'[1]Définition Maintenances'!$K:$K,0))+AG64),AG64))</f>
        <v>965</v>
      </c>
      <c r="AI64" s="26">
        <f>IF(ISNUMBER(VLOOKUP($D64,'Visu totale'!$D:$DH,AI$1,0)),AH64-VLOOKUP($D64,'Visu totale'!$D:$DH,AI$1,0),IF(LEFT(VLOOKUP($D64,'Visu totale'!$D:$DH,AI$1,0),1)="V",IF(AH64&gt;=INDEX('[1]Définition Maintenances'!$G:$G,MATCH($A64,'[1]Définition Maintenances'!$K:$K,0)),AH64,INDEX('[1]Définition Maintenances'!$G:$G,MATCH($A64,'[1]Définition Maintenances'!$K:$K,0))+AH64),AH64))</f>
        <v>965</v>
      </c>
      <c r="AJ64" s="26">
        <f>IF(ISNUMBER(VLOOKUP($D64,'Visu totale'!$D:$DH,AJ$1,0)),AI64-VLOOKUP($D64,'Visu totale'!$D:$DH,AJ$1,0),IF(LEFT(VLOOKUP($D64,'Visu totale'!$D:$DH,AJ$1,0),1)="V",IF(AI64&gt;=INDEX('[1]Définition Maintenances'!$G:$G,MATCH($A64,'[1]Définition Maintenances'!$K:$K,0)),AI64,INDEX('[1]Définition Maintenances'!$G:$G,MATCH($A64,'[1]Définition Maintenances'!$K:$K,0))+AI64),AI64))</f>
        <v>965</v>
      </c>
      <c r="AK64" s="26">
        <f>IF(ISNUMBER(VLOOKUP($D64,'Visu totale'!$D:$DH,AK$1,0)),AJ64-VLOOKUP($D64,'Visu totale'!$D:$DH,AK$1,0),IF(LEFT(VLOOKUP($D64,'Visu totale'!$D:$DH,AK$1,0),1)="V",IF(AJ64&gt;=INDEX('[1]Définition Maintenances'!$G:$G,MATCH($A64,'[1]Définition Maintenances'!$K:$K,0)),AJ64,INDEX('[1]Définition Maintenances'!$G:$G,MATCH($A64,'[1]Définition Maintenances'!$K:$K,0))+AJ64),AJ64))</f>
        <v>965</v>
      </c>
      <c r="AL64" s="26">
        <f>IF(ISNUMBER(VLOOKUP($D64,'Visu totale'!$D:$DH,AL$1,0)),AK64-VLOOKUP($D64,'Visu totale'!$D:$DH,AL$1,0),IF(LEFT(VLOOKUP($D64,'Visu totale'!$D:$DH,AL$1,0),1)="V",IF(AK64&gt;=INDEX('[1]Définition Maintenances'!$G:$G,MATCH($A64,'[1]Définition Maintenances'!$K:$K,0)),AK64,INDEX('[1]Définition Maintenances'!$G:$G,MATCH($A64,'[1]Définition Maintenances'!$K:$K,0))+AK64),AK64))</f>
        <v>965</v>
      </c>
      <c r="AM64" s="26">
        <f>IF(ISNUMBER(VLOOKUP($D64,'Visu totale'!$D:$DH,AM$1,0)),AL64-VLOOKUP($D64,'Visu totale'!$D:$DH,AM$1,0),IF(LEFT(VLOOKUP($D64,'Visu totale'!$D:$DH,AM$1,0),1)="V",IF(AL64&gt;=INDEX('[1]Définition Maintenances'!$G:$G,MATCH($A64,'[1]Définition Maintenances'!$K:$K,0)),AL64,INDEX('[1]Définition Maintenances'!$G:$G,MATCH($A64,'[1]Définition Maintenances'!$K:$K,0))+AL64),AL64))</f>
        <v>965</v>
      </c>
      <c r="AN64" s="26">
        <f>IF(ISNUMBER(VLOOKUP($D64,'Visu totale'!$D:$DH,AN$1,0)),AM64-VLOOKUP($D64,'Visu totale'!$D:$DH,AN$1,0),IF(LEFT(VLOOKUP($D64,'Visu totale'!$D:$DH,AN$1,0),1)="V",IF(AM64&gt;=INDEX('[1]Définition Maintenances'!$G:$G,MATCH($A64,'[1]Définition Maintenances'!$K:$K,0)),AM64,INDEX('[1]Définition Maintenances'!$G:$G,MATCH($A64,'[1]Définition Maintenances'!$K:$K,0))+AM64),AM64))</f>
        <v>965</v>
      </c>
      <c r="AO64" s="27">
        <f>IF(ISNUMBER(VLOOKUP($D64,'Visu totale'!$D:$DH,AO$1,0)),AN64-VLOOKUP($D64,'Visu totale'!$D:$DH,AO$1,0),IF(LEFT(VLOOKUP($D64,'Visu totale'!$D:$DH,AO$1,0),1)="V",IF(AN64&gt;=INDEX('[1]Définition Maintenances'!$G:$G,MATCH($A64,'[1]Définition Maintenances'!$K:$K,0)),AN64,INDEX('[1]Définition Maintenances'!$G:$G,MATCH($A64,'[1]Définition Maintenances'!$K:$K,0))+AN64),AN64))</f>
        <v>965</v>
      </c>
      <c r="AP64" s="25">
        <f>IF(ISNUMBER(VLOOKUP($D64,'Visu totale'!$D:$DH,AP$1,0)),AO64-VLOOKUP($D64,'Visu totale'!$D:$DH,AP$1,0),IF(LEFT(VLOOKUP($D64,'Visu totale'!$D:$DH,AP$1,0),1)="V",IF(AO64&gt;=INDEX('[1]Définition Maintenances'!$G:$G,MATCH($A64,'[1]Définition Maintenances'!$K:$K,0)),AO64,INDEX('[1]Définition Maintenances'!$G:$G,MATCH($A64,'[1]Définition Maintenances'!$K:$K,0))+AO64),AO64))</f>
        <v>965</v>
      </c>
      <c r="AQ64" s="26">
        <f>IF(ISNUMBER(VLOOKUP($D64,'Visu totale'!$D:$DH,AQ$1,0)),AP64-VLOOKUP($D64,'Visu totale'!$D:$DH,AQ$1,0),IF(LEFT(VLOOKUP($D64,'Visu totale'!$D:$DH,AQ$1,0),1)="V",IF(AP64&gt;=INDEX('[1]Définition Maintenances'!$G:$G,MATCH($A64,'[1]Définition Maintenances'!$K:$K,0)),AP64,INDEX('[1]Définition Maintenances'!$G:$G,MATCH($A64,'[1]Définition Maintenances'!$K:$K,0))+AP64),AP64))</f>
        <v>965</v>
      </c>
      <c r="AR64" s="26">
        <f>IF(ISNUMBER(VLOOKUP($D64,'Visu totale'!$D:$DH,AR$1,0)),AQ64-VLOOKUP($D64,'Visu totale'!$D:$DH,AR$1,0),IF(LEFT(VLOOKUP($D64,'Visu totale'!$D:$DH,AR$1,0),1)="V",IF(AQ64&gt;=INDEX('[1]Définition Maintenances'!$G:$G,MATCH($A64,'[1]Définition Maintenances'!$K:$K,0)),AQ64,INDEX('[1]Définition Maintenances'!$G:$G,MATCH($A64,'[1]Définition Maintenances'!$K:$K,0))+AQ64),AQ64))</f>
        <v>965</v>
      </c>
      <c r="AS64" s="26">
        <f>IF(ISNUMBER(VLOOKUP($D64,'Visu totale'!$D:$DH,AS$1,0)),AR64-VLOOKUP($D64,'Visu totale'!$D:$DH,AS$1,0),IF(LEFT(VLOOKUP($D64,'Visu totale'!$D:$DH,AS$1,0),1)="V",IF(AR64&gt;=INDEX('[1]Définition Maintenances'!$G:$G,MATCH($A64,'[1]Définition Maintenances'!$K:$K,0)),AR64,INDEX('[1]Définition Maintenances'!$G:$G,MATCH($A64,'[1]Définition Maintenances'!$K:$K,0))+AR64),AR64))</f>
        <v>965</v>
      </c>
      <c r="AT64" s="26">
        <f>IF(ISNUMBER(VLOOKUP($D64,'Visu totale'!$D:$DH,AT$1,0)),AS64-VLOOKUP($D64,'Visu totale'!$D:$DH,AT$1,0),IF(LEFT(VLOOKUP($D64,'Visu totale'!$D:$DH,AT$1,0),1)="V",IF(AS64&gt;=INDEX('[1]Définition Maintenances'!$G:$G,MATCH($A64,'[1]Définition Maintenances'!$K:$K,0)),AS64,INDEX('[1]Définition Maintenances'!$G:$G,MATCH($A64,'[1]Définition Maintenances'!$K:$K,0))+AS64),AS64))</f>
        <v>965</v>
      </c>
      <c r="AU64" s="26">
        <f>IF(ISNUMBER(VLOOKUP($D64,'Visu totale'!$D:$DH,AU$1,0)),AT64-VLOOKUP($D64,'Visu totale'!$D:$DH,AU$1,0),IF(LEFT(VLOOKUP($D64,'Visu totale'!$D:$DH,AU$1,0),1)="V",IF(AT64&gt;=INDEX('[1]Définition Maintenances'!$G:$G,MATCH($A64,'[1]Définition Maintenances'!$K:$K,0)),AT64,INDEX('[1]Définition Maintenances'!$G:$G,MATCH($A64,'[1]Définition Maintenances'!$K:$K,0))+AT64),AT64))</f>
        <v>965</v>
      </c>
      <c r="AV64" s="26">
        <f>IF(ISNUMBER(VLOOKUP($D64,'Visu totale'!$D:$DH,AV$1,0)),AU64-VLOOKUP($D64,'Visu totale'!$D:$DH,AV$1,0),IF(LEFT(VLOOKUP($D64,'Visu totale'!$D:$DH,AV$1,0),1)="V",IF(AU64&gt;=INDEX('[1]Définition Maintenances'!$G:$G,MATCH($A64,'[1]Définition Maintenances'!$K:$K,0)),AU64,INDEX('[1]Définition Maintenances'!$G:$G,MATCH($A64,'[1]Définition Maintenances'!$K:$K,0))+AU64),AU64))</f>
        <v>965</v>
      </c>
      <c r="AW64" s="26">
        <f>IF(ISNUMBER(VLOOKUP($D64,'Visu totale'!$D:$DH,AW$1,0)),AV64-VLOOKUP($D64,'Visu totale'!$D:$DH,AW$1,0),IF(LEFT(VLOOKUP($D64,'Visu totale'!$D:$DH,AW$1,0),1)="V",IF(AV64&gt;=INDEX('[1]Définition Maintenances'!$G:$G,MATCH($A64,'[1]Définition Maintenances'!$K:$K,0)),AV64,INDEX('[1]Définition Maintenances'!$G:$G,MATCH($A64,'[1]Définition Maintenances'!$K:$K,0))+AV64),AV64))</f>
        <v>965</v>
      </c>
      <c r="AX64" s="26">
        <f>IF(ISNUMBER(VLOOKUP($D64,'Visu totale'!$D:$DH,AX$1,0)),AW64-VLOOKUP($D64,'Visu totale'!$D:$DH,AX$1,0),IF(LEFT(VLOOKUP($D64,'Visu totale'!$D:$DH,AX$1,0),1)="V",IF(AW64&gt;=INDEX('[1]Définition Maintenances'!$G:$G,MATCH($A64,'[1]Définition Maintenances'!$K:$K,0)),AW64,INDEX('[1]Définition Maintenances'!$G:$G,MATCH($A64,'[1]Définition Maintenances'!$K:$K,0))+AW64),AW64))</f>
        <v>965</v>
      </c>
      <c r="AY64" s="26">
        <f>IF(ISNUMBER(VLOOKUP($D64,'Visu totale'!$D:$DH,AY$1,0)),AX64-VLOOKUP($D64,'Visu totale'!$D:$DH,AY$1,0),IF(LEFT(VLOOKUP($D64,'Visu totale'!$D:$DH,AY$1,0),1)="V",IF(AX64&gt;=INDEX('[1]Définition Maintenances'!$G:$G,MATCH($A64,'[1]Définition Maintenances'!$K:$K,0)),AX64,INDEX('[1]Définition Maintenances'!$G:$G,MATCH($A64,'[1]Définition Maintenances'!$K:$K,0))+AX64),AX64))</f>
        <v>965</v>
      </c>
      <c r="AZ64" s="26">
        <f>IF(ISNUMBER(VLOOKUP($D64,'Visu totale'!$D:$DH,AZ$1,0)),AY64-VLOOKUP($D64,'Visu totale'!$D:$DH,AZ$1,0),IF(LEFT(VLOOKUP($D64,'Visu totale'!$D:$DH,AZ$1,0),1)="V",IF(AY64&gt;=INDEX('[1]Définition Maintenances'!$G:$G,MATCH($A64,'[1]Définition Maintenances'!$K:$K,0)),AY64,INDEX('[1]Définition Maintenances'!$G:$G,MATCH($A64,'[1]Définition Maintenances'!$K:$K,0))+AY64),AY64))</f>
        <v>965</v>
      </c>
      <c r="BA64" s="27">
        <f>IF(ISNUMBER(VLOOKUP($D64,'Visu totale'!$D:$DH,BA$1,0)),AZ64-VLOOKUP($D64,'Visu totale'!$D:$DH,BA$1,0),IF(LEFT(VLOOKUP($D64,'Visu totale'!$D:$DH,BA$1,0),1)="V",IF(AZ64&gt;=INDEX('[1]Définition Maintenances'!$G:$G,MATCH($A64,'[1]Définition Maintenances'!$K:$K,0)),AZ64,INDEX('[1]Définition Maintenances'!$G:$G,MATCH($A64,'[1]Définition Maintenances'!$K:$K,0))+AZ64),AZ64))</f>
        <v>965</v>
      </c>
      <c r="BB64" s="25">
        <f>IF(ISNUMBER(VLOOKUP($D64,'Visu totale'!$D:$DH,BB$1,0)),BA64-VLOOKUP($D64,'Visu totale'!$D:$DH,BB$1,0),IF(LEFT(VLOOKUP($D64,'Visu totale'!$D:$DH,BB$1,0),1)="V",IF(BA64&gt;=INDEX('[1]Définition Maintenances'!$G:$G,MATCH($A64,'[1]Définition Maintenances'!$K:$K,0)),BA64,INDEX('[1]Définition Maintenances'!$G:$G,MATCH($A64,'[1]Définition Maintenances'!$K:$K,0))+BA64),BA64))</f>
        <v>965</v>
      </c>
      <c r="BC64" s="26">
        <f>IF(ISNUMBER(VLOOKUP($D64,'Visu totale'!$D:$DH,BC$1,0)),BB64-VLOOKUP($D64,'Visu totale'!$D:$DH,BC$1,0),IF(LEFT(VLOOKUP($D64,'Visu totale'!$D:$DH,BC$1,0),1)="V",IF(BB64&gt;=INDEX('[1]Définition Maintenances'!$G:$G,MATCH($A64,'[1]Définition Maintenances'!$K:$K,0)),BB64,INDEX('[1]Définition Maintenances'!$G:$G,MATCH($A64,'[1]Définition Maintenances'!$K:$K,0))+BB64),BB64))</f>
        <v>965</v>
      </c>
      <c r="BD64" s="26">
        <f>IF(ISNUMBER(VLOOKUP($D64,'Visu totale'!$D:$DH,BD$1,0)),BC64-VLOOKUP($D64,'Visu totale'!$D:$DH,BD$1,0),IF(LEFT(VLOOKUP($D64,'Visu totale'!$D:$DH,BD$1,0),1)="V",IF(BC64&gt;=INDEX('[1]Définition Maintenances'!$G:$G,MATCH($A64,'[1]Définition Maintenances'!$K:$K,0)),BC64,INDEX('[1]Définition Maintenances'!$G:$G,MATCH($A64,'[1]Définition Maintenances'!$K:$K,0))+BC64),BC64))</f>
        <v>965</v>
      </c>
      <c r="BE64" s="26">
        <f>IF(ISNUMBER(VLOOKUP($D64,'Visu totale'!$D:$DH,BE$1,0)),BD64-VLOOKUP($D64,'Visu totale'!$D:$DH,BE$1,0),IF(LEFT(VLOOKUP($D64,'Visu totale'!$D:$DH,BE$1,0),1)="V",IF(BD64&gt;=INDEX('[1]Définition Maintenances'!$G:$G,MATCH($A64,'[1]Définition Maintenances'!$K:$K,0)),BD64,INDEX('[1]Définition Maintenances'!$G:$G,MATCH($A64,'[1]Définition Maintenances'!$K:$K,0))+BD64),BD64))</f>
        <v>965</v>
      </c>
      <c r="BF64" s="26">
        <f>IF(ISNUMBER(VLOOKUP($D64,'Visu totale'!$D:$DH,BF$1,0)),BE64-VLOOKUP($D64,'Visu totale'!$D:$DH,BF$1,0),IF(LEFT(VLOOKUP($D64,'Visu totale'!$D:$DH,BF$1,0),1)="V",IF(BE64&gt;=INDEX('[1]Définition Maintenances'!$G:$G,MATCH($A64,'[1]Définition Maintenances'!$K:$K,0)),BE64,INDEX('[1]Définition Maintenances'!$G:$G,MATCH($A64,'[1]Définition Maintenances'!$K:$K,0))+BE64),BE64))</f>
        <v>965</v>
      </c>
      <c r="BG64" s="26">
        <f>IF(ISNUMBER(VLOOKUP($D64,'Visu totale'!$D:$DH,BG$1,0)),BF64-VLOOKUP($D64,'Visu totale'!$D:$DH,BG$1,0),IF(LEFT(VLOOKUP($D64,'Visu totale'!$D:$DH,BG$1,0),1)="V",IF(BF64&gt;=INDEX('[1]Définition Maintenances'!$G:$G,MATCH($A64,'[1]Définition Maintenances'!$K:$K,0)),BF64,INDEX('[1]Définition Maintenances'!$G:$G,MATCH($A64,'[1]Définition Maintenances'!$K:$K,0))+BF64),BF64))</f>
        <v>965</v>
      </c>
      <c r="BH64" s="26">
        <f>IF(ISNUMBER(VLOOKUP($D64,'Visu totale'!$D:$DH,BH$1,0)),BG64-VLOOKUP($D64,'Visu totale'!$D:$DH,BH$1,0),IF(LEFT(VLOOKUP($D64,'Visu totale'!$D:$DH,BH$1,0),1)="V",IF(BG64&gt;=INDEX('[1]Définition Maintenances'!$G:$G,MATCH($A64,'[1]Définition Maintenances'!$K:$K,0)),BG64,INDEX('[1]Définition Maintenances'!$G:$G,MATCH($A64,'[1]Définition Maintenances'!$K:$K,0))+BG64),BG64))</f>
        <v>965</v>
      </c>
      <c r="BI64" s="26">
        <f>IF(ISNUMBER(VLOOKUP($D64,'Visu totale'!$D:$DH,BI$1,0)),BH64-VLOOKUP($D64,'Visu totale'!$D:$DH,BI$1,0),IF(LEFT(VLOOKUP($D64,'Visu totale'!$D:$DH,BI$1,0),1)="V",IF(BH64&gt;=INDEX('[1]Définition Maintenances'!$G:$G,MATCH($A64,'[1]Définition Maintenances'!$K:$K,0)),BH64,INDEX('[1]Définition Maintenances'!$G:$G,MATCH($A64,'[1]Définition Maintenances'!$K:$K,0))+BH64),BH64))</f>
        <v>965</v>
      </c>
      <c r="BJ64" s="26">
        <f>IF(ISNUMBER(VLOOKUP($D64,'Visu totale'!$D:$DH,BJ$1,0)),BI64-VLOOKUP($D64,'Visu totale'!$D:$DH,BJ$1,0),IF(LEFT(VLOOKUP($D64,'Visu totale'!$D:$DH,BJ$1,0),1)="V",IF(BI64&gt;=INDEX('[1]Définition Maintenances'!$G:$G,MATCH($A64,'[1]Définition Maintenances'!$K:$K,0)),BI64,INDEX('[1]Définition Maintenances'!$G:$G,MATCH($A64,'[1]Définition Maintenances'!$K:$K,0))+BI64),BI64))</f>
        <v>965</v>
      </c>
      <c r="BK64" s="26">
        <f>IF(ISNUMBER(VLOOKUP($D64,'Visu totale'!$D:$DH,BK$1,0)),BJ64-VLOOKUP($D64,'Visu totale'!$D:$DH,BK$1,0),IF(LEFT(VLOOKUP($D64,'Visu totale'!$D:$DH,BK$1,0),1)="V",IF(BJ64&gt;=INDEX('[1]Définition Maintenances'!$G:$G,MATCH($A64,'[1]Définition Maintenances'!$K:$K,0)),BJ64,INDEX('[1]Définition Maintenances'!$G:$G,MATCH($A64,'[1]Définition Maintenances'!$K:$K,0))+BJ64),BJ64))</f>
        <v>965</v>
      </c>
      <c r="BL64" s="26">
        <f>IF(ISNUMBER(VLOOKUP($D64,'Visu totale'!$D:$DH,BL$1,0)),BK64-VLOOKUP($D64,'Visu totale'!$D:$DH,BL$1,0),IF(LEFT(VLOOKUP($D64,'Visu totale'!$D:$DH,BL$1,0),1)="V",IF(BK64&gt;=INDEX('[1]Définition Maintenances'!$G:$G,MATCH($A64,'[1]Définition Maintenances'!$K:$K,0)),BK64,INDEX('[1]Définition Maintenances'!$G:$G,MATCH($A64,'[1]Définition Maintenances'!$K:$K,0))+BK64),BK64))</f>
        <v>965</v>
      </c>
      <c r="BM64" s="27">
        <f>IF(ISNUMBER(VLOOKUP($D64,'Visu totale'!$D:$DH,BM$1,0)),BL64-VLOOKUP($D64,'Visu totale'!$D:$DH,BM$1,0),IF(LEFT(VLOOKUP($D64,'Visu totale'!$D:$DH,BM$1,0),1)="V",IF(BL64&gt;=INDEX('[1]Définition Maintenances'!$G:$G,MATCH($A64,'[1]Définition Maintenances'!$K:$K,0)),BL64,INDEX('[1]Définition Maintenances'!$G:$G,MATCH($A64,'[1]Définition Maintenances'!$K:$K,0))+BL64),BL64))</f>
        <v>965</v>
      </c>
      <c r="BN64" s="25">
        <f>IF(ISNUMBER(VLOOKUP($D64,'Visu totale'!$D:$DH,BN$1,0)),BM64-VLOOKUP($D64,'Visu totale'!$D:$DH,BN$1,0),IF(LEFT(VLOOKUP($D64,'Visu totale'!$D:$DH,BN$1,0),1)="V",IF(BM64&gt;=INDEX('[1]Définition Maintenances'!$G:$G,MATCH($A64,'[1]Définition Maintenances'!$K:$K,0)),BM64,INDEX('[1]Définition Maintenances'!$G:$G,MATCH($A64,'[1]Définition Maintenances'!$K:$K,0))+BM64),BM64))</f>
        <v>965</v>
      </c>
      <c r="BO64" s="26">
        <f>IF(ISNUMBER(VLOOKUP($D64,'Visu totale'!$D:$DH,BO$1,0)),BN64-VLOOKUP($D64,'Visu totale'!$D:$DH,BO$1,0),IF(LEFT(VLOOKUP($D64,'Visu totale'!$D:$DH,BO$1,0),1)="V",IF(BN64&gt;=INDEX('[1]Définition Maintenances'!$G:$G,MATCH($A64,'[1]Définition Maintenances'!$K:$K,0)),BN64,INDEX('[1]Définition Maintenances'!$G:$G,MATCH($A64,'[1]Définition Maintenances'!$K:$K,0))+BN64),BN64))</f>
        <v>965</v>
      </c>
      <c r="BP64" s="26">
        <f>IF(ISNUMBER(VLOOKUP($D64,'Visu totale'!$D:$DH,BP$1,0)),BO64-VLOOKUP($D64,'Visu totale'!$D:$DH,BP$1,0),IF(LEFT(VLOOKUP($D64,'Visu totale'!$D:$DH,BP$1,0),1)="V",IF(BO64&gt;=INDEX('[1]Définition Maintenances'!$G:$G,MATCH($A64,'[1]Définition Maintenances'!$K:$K,0)),BO64,INDEX('[1]Définition Maintenances'!$G:$G,MATCH($A64,'[1]Définition Maintenances'!$K:$K,0))+BO64),BO64))</f>
        <v>965</v>
      </c>
      <c r="BQ64" s="26">
        <f>IF(ISNUMBER(VLOOKUP($D64,'Visu totale'!$D:$DH,BQ$1,0)),BP64-VLOOKUP($D64,'Visu totale'!$D:$DH,BQ$1,0),IF(LEFT(VLOOKUP($D64,'Visu totale'!$D:$DH,BQ$1,0),1)="V",IF(BP64&gt;=INDEX('[1]Définition Maintenances'!$G:$G,MATCH($A64,'[1]Définition Maintenances'!$K:$K,0)),BP64,INDEX('[1]Définition Maintenances'!$G:$G,MATCH($A64,'[1]Définition Maintenances'!$K:$K,0))+BP64),BP64))</f>
        <v>965</v>
      </c>
      <c r="BR64" s="26">
        <f>IF(ISNUMBER(VLOOKUP($D64,'Visu totale'!$D:$DH,BR$1,0)),BQ64-VLOOKUP($D64,'Visu totale'!$D:$DH,BR$1,0),IF(LEFT(VLOOKUP($D64,'Visu totale'!$D:$DH,BR$1,0),1)="V",IF(BQ64&gt;=INDEX('[1]Définition Maintenances'!$G:$G,MATCH($A64,'[1]Définition Maintenances'!$K:$K,0)),BQ64,INDEX('[1]Définition Maintenances'!$G:$G,MATCH($A64,'[1]Définition Maintenances'!$K:$K,0))+BQ64),BQ64))</f>
        <v>965</v>
      </c>
      <c r="BS64" s="26">
        <f>IF(ISNUMBER(VLOOKUP($D64,'Visu totale'!$D:$DH,BS$1,0)),BR64-VLOOKUP($D64,'Visu totale'!$D:$DH,BS$1,0),IF(LEFT(VLOOKUP($D64,'Visu totale'!$D:$DH,BS$1,0),1)="V",IF(BR64&gt;=INDEX('[1]Définition Maintenances'!$G:$G,MATCH($A64,'[1]Définition Maintenances'!$K:$K,0)),BR64,INDEX('[1]Définition Maintenances'!$G:$G,MATCH($A64,'[1]Définition Maintenances'!$K:$K,0))+BR64),BR64))</f>
        <v>965</v>
      </c>
      <c r="BT64" s="26">
        <f>IF(ISNUMBER(VLOOKUP($D64,'Visu totale'!$D:$DH,BT$1,0)),BS64-VLOOKUP($D64,'Visu totale'!$D:$DH,BT$1,0),IF(LEFT(VLOOKUP($D64,'Visu totale'!$D:$DH,BT$1,0),1)="V",IF(BS64&gt;=INDEX('[1]Définition Maintenances'!$G:$G,MATCH($A64,'[1]Définition Maintenances'!$K:$K,0)),BS64,INDEX('[1]Définition Maintenances'!$G:$G,MATCH($A64,'[1]Définition Maintenances'!$K:$K,0))+BS64),BS64))</f>
        <v>965</v>
      </c>
      <c r="BU64" s="26">
        <f>IF(ISNUMBER(VLOOKUP($D64,'Visu totale'!$D:$DH,BU$1,0)),BT64-VLOOKUP($D64,'Visu totale'!$D:$DH,BU$1,0),IF(LEFT(VLOOKUP($D64,'Visu totale'!$D:$DH,BU$1,0),1)="V",IF(BT64&gt;=INDEX('[1]Définition Maintenances'!$G:$G,MATCH($A64,'[1]Définition Maintenances'!$K:$K,0)),BT64,INDEX('[1]Définition Maintenances'!$G:$G,MATCH($A64,'[1]Définition Maintenances'!$K:$K,0))+BT64),BT64))</f>
        <v>965</v>
      </c>
      <c r="BV64" s="26">
        <f>IF(ISNUMBER(VLOOKUP($D64,'Visu totale'!$D:$DH,BV$1,0)),BU64-VLOOKUP($D64,'Visu totale'!$D:$DH,BV$1,0),IF(LEFT(VLOOKUP($D64,'Visu totale'!$D:$DH,BV$1,0),1)="V",IF(BU64&gt;=INDEX('[1]Définition Maintenances'!$G:$G,MATCH($A64,'[1]Définition Maintenances'!$K:$K,0)),BU64,INDEX('[1]Définition Maintenances'!$G:$G,MATCH($A64,'[1]Définition Maintenances'!$K:$K,0))+BU64),BU64))</f>
        <v>965</v>
      </c>
      <c r="BW64" s="26">
        <f>IF(ISNUMBER(VLOOKUP($D64,'Visu totale'!$D:$DH,BW$1,0)),BV64-VLOOKUP($D64,'Visu totale'!$D:$DH,BW$1,0),IF(LEFT(VLOOKUP($D64,'Visu totale'!$D:$DH,BW$1,0),1)="V",IF(BV64&gt;=INDEX('[1]Définition Maintenances'!$G:$G,MATCH($A64,'[1]Définition Maintenances'!$K:$K,0)),BV64,INDEX('[1]Définition Maintenances'!$G:$G,MATCH($A64,'[1]Définition Maintenances'!$K:$K,0))+BV64),BV64))</f>
        <v>965</v>
      </c>
      <c r="BX64" s="26">
        <f>IF(ISNUMBER(VLOOKUP($D64,'Visu totale'!$D:$DH,BX$1,0)),BW64-VLOOKUP($D64,'Visu totale'!$D:$DH,BX$1,0),IF(LEFT(VLOOKUP($D64,'Visu totale'!$D:$DH,BX$1,0),1)="V",IF(BW64&gt;=INDEX('[1]Définition Maintenances'!$G:$G,MATCH($A64,'[1]Définition Maintenances'!$K:$K,0)),BW64,INDEX('[1]Définition Maintenances'!$G:$G,MATCH($A64,'[1]Définition Maintenances'!$K:$K,0))+BW64),BW64))</f>
        <v>965</v>
      </c>
      <c r="BY64" s="27">
        <f>IF(ISNUMBER(VLOOKUP($D64,'Visu totale'!$D:$DH,BY$1,0)),BX64-VLOOKUP($D64,'Visu totale'!$D:$DH,BY$1,0),IF(LEFT(VLOOKUP($D64,'Visu totale'!$D:$DH,BY$1,0),1)="V",IF(BX64&gt;=INDEX('[1]Définition Maintenances'!$G:$G,MATCH($A64,'[1]Définition Maintenances'!$K:$K,0)),BX64,INDEX('[1]Définition Maintenances'!$G:$G,MATCH($A64,'[1]Définition Maintenances'!$K:$K,0))+BX64),BX64))</f>
        <v>965</v>
      </c>
      <c r="BZ64" s="25">
        <f>IF(ISNUMBER(VLOOKUP($D64,'Visu totale'!$D:$DH,BZ$1,0)),BY64-VLOOKUP($D64,'Visu totale'!$D:$DH,BZ$1,0),IF(LEFT(VLOOKUP($D64,'Visu totale'!$D:$DH,BZ$1,0),1)="V",IF(BY64&gt;=INDEX('[1]Définition Maintenances'!$G:$G,MATCH($A64,'[1]Définition Maintenances'!$K:$K,0)),BY64,INDEX('[1]Définition Maintenances'!$G:$G,MATCH($A64,'[1]Définition Maintenances'!$K:$K,0))+BY64),BY64))</f>
        <v>965</v>
      </c>
      <c r="CA64" s="26">
        <f>IF(ISNUMBER(VLOOKUP($D64,'Visu totale'!$D:$DH,CA$1,0)),BZ64-VLOOKUP($D64,'Visu totale'!$D:$DH,CA$1,0),IF(LEFT(VLOOKUP($D64,'Visu totale'!$D:$DH,CA$1,0),1)="V",IF(BZ64&gt;=INDEX('[1]Définition Maintenances'!$G:$G,MATCH($A64,'[1]Définition Maintenances'!$K:$K,0)),BZ64,INDEX('[1]Définition Maintenances'!$G:$G,MATCH($A64,'[1]Définition Maintenances'!$K:$K,0))+BZ64),BZ64))</f>
        <v>965</v>
      </c>
      <c r="CB64" s="26">
        <f>IF(ISNUMBER(VLOOKUP($D64,'Visu totale'!$D:$DH,CB$1,0)),CA64-VLOOKUP($D64,'Visu totale'!$D:$DH,CB$1,0),IF(LEFT(VLOOKUP($D64,'Visu totale'!$D:$DH,CB$1,0),1)="V",IF(CA64&gt;=INDEX('[1]Définition Maintenances'!$G:$G,MATCH($A64,'[1]Définition Maintenances'!$K:$K,0)),CA64,INDEX('[1]Définition Maintenances'!$G:$G,MATCH($A64,'[1]Définition Maintenances'!$K:$K,0))+CA64),CA64))</f>
        <v>965</v>
      </c>
      <c r="CC64" s="26">
        <f>IF(ISNUMBER(VLOOKUP($D64,'Visu totale'!$D:$DH,CC$1,0)),CB64-VLOOKUP($D64,'Visu totale'!$D:$DH,CC$1,0),IF(LEFT(VLOOKUP($D64,'Visu totale'!$D:$DH,CC$1,0),1)="V",IF(CB64&gt;=INDEX('[1]Définition Maintenances'!$G:$G,MATCH($A64,'[1]Définition Maintenances'!$K:$K,0)),CB64,INDEX('[1]Définition Maintenances'!$G:$G,MATCH($A64,'[1]Définition Maintenances'!$K:$K,0))+CB64),CB64))</f>
        <v>965</v>
      </c>
      <c r="CD64" s="26">
        <f>IF(ISNUMBER(VLOOKUP($D64,'Visu totale'!$D:$DH,CD$1,0)),CC64-VLOOKUP($D64,'Visu totale'!$D:$DH,CD$1,0),IF(LEFT(VLOOKUP($D64,'Visu totale'!$D:$DH,CD$1,0),1)="V",IF(CC64&gt;=INDEX('[1]Définition Maintenances'!$G:$G,MATCH($A64,'[1]Définition Maintenances'!$K:$K,0)),CC64,INDEX('[1]Définition Maintenances'!$G:$G,MATCH($A64,'[1]Définition Maintenances'!$K:$K,0))+CC64),CC64))</f>
        <v>965</v>
      </c>
      <c r="CE64" s="26">
        <f>IF(ISNUMBER(VLOOKUP($D64,'Visu totale'!$D:$DH,CE$1,0)),CD64-VLOOKUP($D64,'Visu totale'!$D:$DH,CE$1,0),IF(LEFT(VLOOKUP($D64,'Visu totale'!$D:$DH,CE$1,0),1)="V",IF(CD64&gt;=INDEX('[1]Définition Maintenances'!$G:$G,MATCH($A64,'[1]Définition Maintenances'!$K:$K,0)),CD64,INDEX('[1]Définition Maintenances'!$G:$G,MATCH($A64,'[1]Définition Maintenances'!$K:$K,0))+CD64),CD64))</f>
        <v>965</v>
      </c>
      <c r="CF64" s="26">
        <f>IF(ISNUMBER(VLOOKUP($D64,'Visu totale'!$D:$DH,CF$1,0)),CE64-VLOOKUP($D64,'Visu totale'!$D:$DH,CF$1,0),IF(LEFT(VLOOKUP($D64,'Visu totale'!$D:$DH,CF$1,0),1)="V",IF(CE64&gt;=INDEX('[1]Définition Maintenances'!$G:$G,MATCH($A64,'[1]Définition Maintenances'!$K:$K,0)),CE64,INDEX('[1]Définition Maintenances'!$G:$G,MATCH($A64,'[1]Définition Maintenances'!$K:$K,0))+CE64),CE64))</f>
        <v>965</v>
      </c>
      <c r="CG64" s="26">
        <f>IF(ISNUMBER(VLOOKUP($D64,'Visu totale'!$D:$DH,CG$1,0)),CF64-VLOOKUP($D64,'Visu totale'!$D:$DH,CG$1,0),IF(LEFT(VLOOKUP($D64,'Visu totale'!$D:$DH,CG$1,0),1)="V",IF(CF64&gt;=INDEX('[1]Définition Maintenances'!$G:$G,MATCH($A64,'[1]Définition Maintenances'!$K:$K,0)),CF64,INDEX('[1]Définition Maintenances'!$G:$G,MATCH($A64,'[1]Définition Maintenances'!$K:$K,0))+CF64),CF64))</f>
        <v>965</v>
      </c>
      <c r="CH64" s="26">
        <f>IF(ISNUMBER(VLOOKUP($D64,'Visu totale'!$D:$DH,CH$1,0)),CG64-VLOOKUP($D64,'Visu totale'!$D:$DH,CH$1,0),IF(LEFT(VLOOKUP($D64,'Visu totale'!$D:$DH,CH$1,0),1)="V",IF(CG64&gt;=INDEX('[1]Définition Maintenances'!$G:$G,MATCH($A64,'[1]Définition Maintenances'!$K:$K,0)),CG64,INDEX('[1]Définition Maintenances'!$G:$G,MATCH($A64,'[1]Définition Maintenances'!$K:$K,0))+CG64),CG64))</f>
        <v>965</v>
      </c>
      <c r="CI64" s="26">
        <f>IF(ISNUMBER(VLOOKUP($D64,'Visu totale'!$D:$DH,CI$1,0)),CH64-VLOOKUP($D64,'Visu totale'!$D:$DH,CI$1,0),IF(LEFT(VLOOKUP($D64,'Visu totale'!$D:$DH,CI$1,0),1)="V",IF(CH64&gt;=INDEX('[1]Définition Maintenances'!$G:$G,MATCH($A64,'[1]Définition Maintenances'!$K:$K,0)),CH64,INDEX('[1]Définition Maintenances'!$G:$G,MATCH($A64,'[1]Définition Maintenances'!$K:$K,0))+CH64),CH64))</f>
        <v>965</v>
      </c>
      <c r="CJ64" s="26">
        <f>IF(ISNUMBER(VLOOKUP($D64,'Visu totale'!$D:$DH,CJ$1,0)),CI64-VLOOKUP($D64,'Visu totale'!$D:$DH,CJ$1,0),IF(LEFT(VLOOKUP($D64,'Visu totale'!$D:$DH,CJ$1,0),1)="V",IF(CI64&gt;=INDEX('[1]Définition Maintenances'!$G:$G,MATCH($A64,'[1]Définition Maintenances'!$K:$K,0)),CI64,INDEX('[1]Définition Maintenances'!$G:$G,MATCH($A64,'[1]Définition Maintenances'!$K:$K,0))+CI64),CI64))</f>
        <v>965</v>
      </c>
      <c r="CK64" s="27">
        <f>IF(ISNUMBER(VLOOKUP($D64,'Visu totale'!$D:$DH,CK$1,0)),CJ64-VLOOKUP($D64,'Visu totale'!$D:$DH,CK$1,0),IF(LEFT(VLOOKUP($D64,'Visu totale'!$D:$DH,CK$1,0),1)="V",IF(CJ64&gt;=INDEX('[1]Définition Maintenances'!$G:$G,MATCH($A64,'[1]Définition Maintenances'!$K:$K,0)),CJ64,INDEX('[1]Définition Maintenances'!$G:$G,MATCH($A64,'[1]Définition Maintenances'!$K:$K,0))+CJ64),CJ64))</f>
        <v>965</v>
      </c>
      <c r="CL64" s="25">
        <f>IF(ISNUMBER(VLOOKUP($D64,'Visu totale'!$D:$DH,CL$1,0)),CK64-VLOOKUP($D64,'Visu totale'!$D:$DH,CL$1,0),IF(LEFT(VLOOKUP($D64,'Visu totale'!$D:$DH,CL$1,0),1)="V",IF(CK64&gt;=INDEX('[1]Définition Maintenances'!$G:$G,MATCH($A64,'[1]Définition Maintenances'!$K:$K,0)),CK64,INDEX('[1]Définition Maintenances'!$G:$G,MATCH($A64,'[1]Définition Maintenances'!$K:$K,0))+CK64),CK64))</f>
        <v>965</v>
      </c>
      <c r="CM64" s="26">
        <f>IF(ISNUMBER(VLOOKUP($D64,'Visu totale'!$D:$DH,CM$1,0)),CL64-VLOOKUP($D64,'Visu totale'!$D:$DH,CM$1,0),IF(LEFT(VLOOKUP($D64,'Visu totale'!$D:$DH,CM$1,0),1)="V",IF(CL64&gt;=INDEX('[1]Définition Maintenances'!$G:$G,MATCH($A64,'[1]Définition Maintenances'!$K:$K,0)),CL64,INDEX('[1]Définition Maintenances'!$G:$G,MATCH($A64,'[1]Définition Maintenances'!$K:$K,0))+CL64),CL64))</f>
        <v>965</v>
      </c>
      <c r="CN64" s="26">
        <f>IF(ISNUMBER(VLOOKUP($D64,'Visu totale'!$D:$DH,CN$1,0)),CM64-VLOOKUP($D64,'Visu totale'!$D:$DH,CN$1,0),IF(LEFT(VLOOKUP($D64,'Visu totale'!$D:$DH,CN$1,0),1)="V",IF(CM64&gt;=INDEX('[1]Définition Maintenances'!$G:$G,MATCH($A64,'[1]Définition Maintenances'!$K:$K,0)),CM64,INDEX('[1]Définition Maintenances'!$G:$G,MATCH($A64,'[1]Définition Maintenances'!$K:$K,0))+CM64),CM64))</f>
        <v>965</v>
      </c>
      <c r="CO64" s="26">
        <f>IF(ISNUMBER(VLOOKUP($D64,'Visu totale'!$D:$DH,CO$1,0)),CN64-VLOOKUP($D64,'Visu totale'!$D:$DH,CO$1,0),IF(LEFT(VLOOKUP($D64,'Visu totale'!$D:$DH,CO$1,0),1)="V",IF(CN64&gt;=INDEX('[1]Définition Maintenances'!$G:$G,MATCH($A64,'[1]Définition Maintenances'!$K:$K,0)),CN64,INDEX('[1]Définition Maintenances'!$G:$G,MATCH($A64,'[1]Définition Maintenances'!$K:$K,0))+CN64),CN64))</f>
        <v>965</v>
      </c>
      <c r="CP64" s="26">
        <f>IF(ISNUMBER(VLOOKUP($D64,'Visu totale'!$D:$DH,CP$1,0)),CO64-VLOOKUP($D64,'Visu totale'!$D:$DH,CP$1,0),IF(LEFT(VLOOKUP($D64,'Visu totale'!$D:$DH,CP$1,0),1)="V",IF(CO64&gt;=INDEX('[1]Définition Maintenances'!$G:$G,MATCH($A64,'[1]Définition Maintenances'!$K:$K,0)),CO64,INDEX('[1]Définition Maintenances'!$G:$G,MATCH($A64,'[1]Définition Maintenances'!$K:$K,0))+CO64),CO64))</f>
        <v>965</v>
      </c>
      <c r="CQ64" s="26">
        <f>IF(ISNUMBER(VLOOKUP($D64,'Visu totale'!$D:$DH,CQ$1,0)),CP64-VLOOKUP($D64,'Visu totale'!$D:$DH,CQ$1,0),IF(LEFT(VLOOKUP($D64,'Visu totale'!$D:$DH,CQ$1,0),1)="V",IF(CP64&gt;=INDEX('[1]Définition Maintenances'!$G:$G,MATCH($A64,'[1]Définition Maintenances'!$K:$K,0)),CP64,INDEX('[1]Définition Maintenances'!$G:$G,MATCH($A64,'[1]Définition Maintenances'!$K:$K,0))+CP64),CP64))</f>
        <v>965</v>
      </c>
      <c r="CR64" s="26">
        <f>IF(ISNUMBER(VLOOKUP($D64,'Visu totale'!$D:$DH,CR$1,0)),CQ64-VLOOKUP($D64,'Visu totale'!$D:$DH,CR$1,0),IF(LEFT(VLOOKUP($D64,'Visu totale'!$D:$DH,CR$1,0),1)="V",IF(CQ64&gt;=INDEX('[1]Définition Maintenances'!$G:$G,MATCH($A64,'[1]Définition Maintenances'!$K:$K,0)),CQ64,INDEX('[1]Définition Maintenances'!$G:$G,MATCH($A64,'[1]Définition Maintenances'!$K:$K,0))+CQ64),CQ64))</f>
        <v>965</v>
      </c>
      <c r="CS64" s="26">
        <f>IF(ISNUMBER(VLOOKUP($D64,'Visu totale'!$D:$DH,CS$1,0)),CR64-VLOOKUP($D64,'Visu totale'!$D:$DH,CS$1,0),IF(LEFT(VLOOKUP($D64,'Visu totale'!$D:$DH,CS$1,0),1)="V",IF(CR64&gt;=INDEX('[1]Définition Maintenances'!$G:$G,MATCH($A64,'[1]Définition Maintenances'!$K:$K,0)),CR64,INDEX('[1]Définition Maintenances'!$G:$G,MATCH($A64,'[1]Définition Maintenances'!$K:$K,0))+CR64),CR64))</f>
        <v>965</v>
      </c>
      <c r="CT64" s="26">
        <f>IF(ISNUMBER(VLOOKUP($D64,'Visu totale'!$D:$DH,CT$1,0)),CS64-VLOOKUP($D64,'Visu totale'!$D:$DH,CT$1,0),IF(LEFT(VLOOKUP($D64,'Visu totale'!$D:$DH,CT$1,0),1)="V",IF(CS64&gt;=INDEX('[1]Définition Maintenances'!$G:$G,MATCH($A64,'[1]Définition Maintenances'!$K:$K,0)),CS64,INDEX('[1]Définition Maintenances'!$G:$G,MATCH($A64,'[1]Définition Maintenances'!$K:$K,0))+CS64),CS64))</f>
        <v>965</v>
      </c>
      <c r="CU64" s="26">
        <f>IF(ISNUMBER(VLOOKUP($D64,'Visu totale'!$D:$DH,CU$1,0)),CT64-VLOOKUP($D64,'Visu totale'!$D:$DH,CU$1,0),IF(LEFT(VLOOKUP($D64,'Visu totale'!$D:$DH,CU$1,0),1)="V",IF(CT64&gt;=INDEX('[1]Définition Maintenances'!$G:$G,MATCH($A64,'[1]Définition Maintenances'!$K:$K,0)),CT64,INDEX('[1]Définition Maintenances'!$G:$G,MATCH($A64,'[1]Définition Maintenances'!$K:$K,0))+CT64),CT64))</f>
        <v>965</v>
      </c>
      <c r="CV64" s="26">
        <f>IF(ISNUMBER(VLOOKUP($D64,'Visu totale'!$D:$DH,CV$1,0)),CU64-VLOOKUP($D64,'Visu totale'!$D:$DH,CV$1,0),IF(LEFT(VLOOKUP($D64,'Visu totale'!$D:$DH,CV$1,0),1)="V",IF(CU64&gt;=INDEX('[1]Définition Maintenances'!$G:$G,MATCH($A64,'[1]Définition Maintenances'!$K:$K,0)),CU64,INDEX('[1]Définition Maintenances'!$G:$G,MATCH($A64,'[1]Définition Maintenances'!$K:$K,0))+CU64),CU64))</f>
        <v>965</v>
      </c>
      <c r="CW64" s="27">
        <f>IF(ISNUMBER(VLOOKUP($D64,'Visu totale'!$D:$DH,CW$1,0)),CV64-VLOOKUP($D64,'Visu totale'!$D:$DH,CW$1,0),IF(LEFT(VLOOKUP($D64,'Visu totale'!$D:$DH,CW$1,0),1)="V",IF(CV64&gt;=INDEX('[1]Définition Maintenances'!$G:$G,MATCH($A64,'[1]Définition Maintenances'!$K:$K,0)),CV64,INDEX('[1]Définition Maintenances'!$G:$G,MATCH($A64,'[1]Définition Maintenances'!$K:$K,0))+CV64),CV64))</f>
        <v>965</v>
      </c>
      <c r="CX64" s="25">
        <f>IF(ISNUMBER(VLOOKUP($D64,'Visu totale'!$D:$DH,CX$1,0)),CW64-VLOOKUP($D64,'Visu totale'!$D:$DH,CX$1,0),IF(LEFT(VLOOKUP($D64,'Visu totale'!$D:$DH,CX$1,0),1)="V",IF(CW64&gt;=INDEX('[1]Définition Maintenances'!$G:$G,MATCH($A64,'[1]Définition Maintenances'!$K:$K,0)),CW64,INDEX('[1]Définition Maintenances'!$G:$G,MATCH($A64,'[1]Définition Maintenances'!$K:$K,0))+CW64),CW64))</f>
        <v>965</v>
      </c>
      <c r="CY64" s="26">
        <f>IF(ISNUMBER(VLOOKUP($D64,'Visu totale'!$D:$DH,CY$1,0)),CX64-VLOOKUP($D64,'Visu totale'!$D:$DH,CY$1,0),IF(LEFT(VLOOKUP($D64,'Visu totale'!$D:$DH,CY$1,0),1)="V",IF(CX64&gt;=INDEX('[1]Définition Maintenances'!$G:$G,MATCH($A64,'[1]Définition Maintenances'!$K:$K,0)),CX64,INDEX('[1]Définition Maintenances'!$G:$G,MATCH($A64,'[1]Définition Maintenances'!$K:$K,0))+CX64),CX64))</f>
        <v>965</v>
      </c>
      <c r="CZ64" s="26">
        <f>IF(ISNUMBER(VLOOKUP($D64,'Visu totale'!$D:$DH,CZ$1,0)),CY64-VLOOKUP($D64,'Visu totale'!$D:$DH,CZ$1,0),IF(LEFT(VLOOKUP($D64,'Visu totale'!$D:$DH,CZ$1,0),1)="V",IF(CY64&gt;=INDEX('[1]Définition Maintenances'!$G:$G,MATCH($A64,'[1]Définition Maintenances'!$K:$K,0)),CY64,INDEX('[1]Définition Maintenances'!$G:$G,MATCH($A64,'[1]Définition Maintenances'!$K:$K,0))+CY64),CY64))</f>
        <v>965</v>
      </c>
      <c r="DA64" s="26">
        <f>IF(ISNUMBER(VLOOKUP($D64,'Visu totale'!$D:$DH,DA$1,0)),CZ64-VLOOKUP($D64,'Visu totale'!$D:$DH,DA$1,0),IF(LEFT(VLOOKUP($D64,'Visu totale'!$D:$DH,DA$1,0),1)="V",IF(CZ64&gt;=INDEX('[1]Définition Maintenances'!$G:$G,MATCH($A64,'[1]Définition Maintenances'!$K:$K,0)),CZ64,INDEX('[1]Définition Maintenances'!$G:$G,MATCH($A64,'[1]Définition Maintenances'!$K:$K,0))+CZ64),CZ64))</f>
        <v>965</v>
      </c>
      <c r="DB64" s="26">
        <f>IF(ISNUMBER(VLOOKUP($D64,'Visu totale'!$D:$DH,DB$1,0)),DA64-VLOOKUP($D64,'Visu totale'!$D:$DH,DB$1,0),IF(LEFT(VLOOKUP($D64,'Visu totale'!$D:$DH,DB$1,0),1)="V",IF(DA64&gt;=INDEX('[1]Définition Maintenances'!$G:$G,MATCH($A64,'[1]Définition Maintenances'!$K:$K,0)),DA64,INDEX('[1]Définition Maintenances'!$G:$G,MATCH($A64,'[1]Définition Maintenances'!$K:$K,0))+DA64),DA64))</f>
        <v>965</v>
      </c>
      <c r="DC64" s="26">
        <f>IF(ISNUMBER(VLOOKUP($D64,'Visu totale'!$D:$DH,DC$1,0)),DB64-VLOOKUP($D64,'Visu totale'!$D:$DH,DC$1,0),IF(LEFT(VLOOKUP($D64,'Visu totale'!$D:$DH,DC$1,0),1)="V",IF(DB64&gt;=INDEX('[1]Définition Maintenances'!$G:$G,MATCH($A64,'[1]Définition Maintenances'!$K:$K,0)),DB64,INDEX('[1]Définition Maintenances'!$G:$G,MATCH($A64,'[1]Définition Maintenances'!$K:$K,0))+DB64),DB64))</f>
        <v>965</v>
      </c>
      <c r="DD64" s="26">
        <f>IF(ISNUMBER(VLOOKUP($D64,'Visu totale'!$D:$DH,DD$1,0)),DC64-VLOOKUP($D64,'Visu totale'!$D:$DH,DD$1,0),IF(LEFT(VLOOKUP($D64,'Visu totale'!$D:$DH,DD$1,0),1)="V",IF(DC64&gt;=INDEX('[1]Définition Maintenances'!$G:$G,MATCH($A64,'[1]Définition Maintenances'!$K:$K,0)),DC64,INDEX('[1]Définition Maintenances'!$G:$G,MATCH($A64,'[1]Définition Maintenances'!$K:$K,0))+DC64),DC64))</f>
        <v>965</v>
      </c>
      <c r="DE64" s="26">
        <f>IF(ISNUMBER(VLOOKUP($D64,'Visu totale'!$D:$DH,DE$1,0)),DD64-VLOOKUP($D64,'Visu totale'!$D:$DH,DE$1,0),IF(LEFT(VLOOKUP($D64,'Visu totale'!$D:$DH,DE$1,0),1)="V",IF(DD64&gt;=INDEX('[1]Définition Maintenances'!$G:$G,MATCH($A64,'[1]Définition Maintenances'!$K:$K,0)),DD64,INDEX('[1]Définition Maintenances'!$G:$G,MATCH($A64,'[1]Définition Maintenances'!$K:$K,0))+DD64),DD64))</f>
        <v>965</v>
      </c>
      <c r="DF64" s="26">
        <f>IF(ISNUMBER(VLOOKUP($D64,'Visu totale'!$D:$DH,DF$1,0)),DE64-VLOOKUP($D64,'Visu totale'!$D:$DH,DF$1,0),IF(LEFT(VLOOKUP($D64,'Visu totale'!$D:$DH,DF$1,0),1)="V",IF(DE64&gt;=INDEX('[1]Définition Maintenances'!$G:$G,MATCH($A64,'[1]Définition Maintenances'!$K:$K,0)),DE64,INDEX('[1]Définition Maintenances'!$G:$G,MATCH($A64,'[1]Définition Maintenances'!$K:$K,0))+DE64),DE64))</f>
        <v>965</v>
      </c>
      <c r="DG64" s="26">
        <f>IF(ISNUMBER(VLOOKUP($D64,'Visu totale'!$D:$DH,DG$1,0)),DF64-VLOOKUP($D64,'Visu totale'!$D:$DH,DG$1,0),IF(LEFT(VLOOKUP($D64,'Visu totale'!$D:$DH,DG$1,0),1)="V",IF(DF64&gt;=INDEX('[1]Définition Maintenances'!$G:$G,MATCH($A64,'[1]Définition Maintenances'!$K:$K,0)),DF64,INDEX('[1]Définition Maintenances'!$G:$G,MATCH($A64,'[1]Définition Maintenances'!$K:$K,0))+DF64),DF64))</f>
        <v>965</v>
      </c>
      <c r="DH64" s="26">
        <f>IF(ISNUMBER(VLOOKUP($D64,'Visu totale'!$D:$DH,DH$1,0)),DG64-VLOOKUP($D64,'Visu totale'!$D:$DH,DH$1,0),IF(LEFT(VLOOKUP($D64,'Visu totale'!$D:$DH,DH$1,0),1)="V",IF(DG64&gt;=INDEX('[1]Définition Maintenances'!$G:$G,MATCH($A64,'[1]Définition Maintenances'!$K:$K,0)),DG64,INDEX('[1]Définition Maintenances'!$G:$G,MATCH($A64,'[1]Définition Maintenances'!$K:$K,0))+DG64),DG64))</f>
        <v>965</v>
      </c>
      <c r="DI64" s="27">
        <f>IF(ISNUMBER(VLOOKUP($D64,'Visu totale'!$D:$DH,DI$1,0)),DH64-VLOOKUP($D64,'Visu totale'!$D:$DH,DI$1,0),IF(LEFT(VLOOKUP($D64,'Visu totale'!$D:$DH,DI$1,0),1)="V",IF(DH64&gt;=INDEX('[1]Définition Maintenances'!$G:$G,MATCH($A64,'[1]Définition Maintenances'!$K:$K,0)),DH64,INDEX('[1]Définition Maintenances'!$G:$G,MATCH($A64,'[1]Définition Maintenances'!$K:$K,0))+DH64),DH64))</f>
        <v>965</v>
      </c>
    </row>
    <row r="65" spans="1:113" x14ac:dyDescent="0.25">
      <c r="A65" s="13" t="str">
        <f t="shared" si="1"/>
        <v>V15D</v>
      </c>
      <c r="B65" s="13" t="str">
        <f>VLOOKUP(D65,'[1]Avions (Potentiels)'!$B$2:$H$128,7,FALSE)</f>
        <v>V15</v>
      </c>
      <c r="C65" s="13"/>
      <c r="D65" s="16" t="s">
        <v>68</v>
      </c>
      <c r="E65" s="13">
        <f>IFERROR(VALUE(SUBSTITUTE(VLOOKUP(D65,'[1]Avions (Potentiels)'!$B:$E,4,0),".",",")),VALUE(VLOOKUP(D65,'[1]Avions (Potentiels)'!$B:$E,4,0)))</f>
        <v>1115</v>
      </c>
      <c r="F65" s="25">
        <f>IF(ISNUMBER(VLOOKUP($D65,'Visu totale'!$D:$DH,F$1,0)),E65-VLOOKUP($D65,'Visu totale'!$D:$DH,F$1,0),IF(LEFT(VLOOKUP($D65,'Visu totale'!$D:$DH,F$1,0),1)="V",IF(E65&gt;=INDEX('[1]Définition Maintenances'!$G:$G,MATCH($A65,'[1]Définition Maintenances'!$K:$K,0)),E65,INDEX('[1]Définition Maintenances'!$G:$G,MATCH($A65,'[1]Définition Maintenances'!$K:$K,0))+E65),E65))</f>
        <v>1115</v>
      </c>
      <c r="G65" s="26">
        <f>IF(ISNUMBER(VLOOKUP($D65,'Visu totale'!$D:$DH,G$1,0)),F65-VLOOKUP($D65,'Visu totale'!$D:$DH,G$1,0),IF(LEFT(VLOOKUP($D65,'Visu totale'!$D:$DH,G$1,0),1)="V",IF(F65&gt;=INDEX('[1]Définition Maintenances'!$G:$G,MATCH($A65,'[1]Définition Maintenances'!$K:$K,0)),F65,INDEX('[1]Définition Maintenances'!$G:$G,MATCH($A65,'[1]Définition Maintenances'!$K:$K,0))+F65),F65))</f>
        <v>1115</v>
      </c>
      <c r="H65" s="26">
        <f>IF(ISNUMBER(VLOOKUP($D65,'Visu totale'!$D:$DH,H$1,0)),G65-VLOOKUP($D65,'Visu totale'!$D:$DH,H$1,0),IF(LEFT(VLOOKUP($D65,'Visu totale'!$D:$DH,H$1,0),1)="V",IF(G65&gt;=INDEX('[1]Définition Maintenances'!$G:$G,MATCH($A65,'[1]Définition Maintenances'!$K:$K,0)),G65,INDEX('[1]Définition Maintenances'!$G:$G,MATCH($A65,'[1]Définition Maintenances'!$K:$K,0))+G65),G65))</f>
        <v>1115</v>
      </c>
      <c r="I65" s="26">
        <f>IF(ISNUMBER(VLOOKUP($D65,'Visu totale'!$D:$DH,I$1,0)),H65-VLOOKUP($D65,'Visu totale'!$D:$DH,I$1,0),IF(LEFT(VLOOKUP($D65,'Visu totale'!$D:$DH,I$1,0),1)="V",IF(H65&gt;=INDEX('[1]Définition Maintenances'!$G:$G,MATCH($A65,'[1]Définition Maintenances'!$K:$K,0)),H65,INDEX('[1]Définition Maintenances'!$G:$G,MATCH($A65,'[1]Définition Maintenances'!$K:$K,0))+H65),H65))</f>
        <v>1115</v>
      </c>
      <c r="J65" s="26">
        <f>IF(ISNUMBER(VLOOKUP($D65,'Visu totale'!$D:$DH,J$1,0)),I65-VLOOKUP($D65,'Visu totale'!$D:$DH,J$1,0),IF(LEFT(VLOOKUP($D65,'Visu totale'!$D:$DH,J$1,0),1)="V",IF(I65&gt;=INDEX('[1]Définition Maintenances'!$G:$G,MATCH($A65,'[1]Définition Maintenances'!$K:$K,0)),I65,INDEX('[1]Définition Maintenances'!$G:$G,MATCH($A65,'[1]Définition Maintenances'!$K:$K,0))+I65),I65))</f>
        <v>1115</v>
      </c>
      <c r="K65" s="26">
        <f>IF(ISNUMBER(VLOOKUP($D65,'Visu totale'!$D:$DH,K$1,0)),J65-VLOOKUP($D65,'Visu totale'!$D:$DH,K$1,0),IF(LEFT(VLOOKUP($D65,'Visu totale'!$D:$DH,K$1,0),1)="V",IF(J65&gt;=INDEX('[1]Définition Maintenances'!$G:$G,MATCH($A65,'[1]Définition Maintenances'!$K:$K,0)),J65,INDEX('[1]Définition Maintenances'!$G:$G,MATCH($A65,'[1]Définition Maintenances'!$K:$K,0))+J65),J65))</f>
        <v>1115</v>
      </c>
      <c r="L65" s="26">
        <f>IF(ISNUMBER(VLOOKUP($D65,'Visu totale'!$D:$DH,L$1,0)),K65-VLOOKUP($D65,'Visu totale'!$D:$DH,L$1,0),IF(LEFT(VLOOKUP($D65,'Visu totale'!$D:$DH,L$1,0),1)="V",IF(K65&gt;=INDEX('[1]Définition Maintenances'!$G:$G,MATCH($A65,'[1]Définition Maintenances'!$K:$K,0)),K65,INDEX('[1]Définition Maintenances'!$G:$G,MATCH($A65,'[1]Définition Maintenances'!$K:$K,0))+K65),K65))</f>
        <v>1115</v>
      </c>
      <c r="M65" s="26">
        <f>IF(ISNUMBER(VLOOKUP($D65,'Visu totale'!$D:$DH,M$1,0)),L65-VLOOKUP($D65,'Visu totale'!$D:$DH,M$1,0),IF(LEFT(VLOOKUP($D65,'Visu totale'!$D:$DH,M$1,0),1)="V",IF(L65&gt;=INDEX('[1]Définition Maintenances'!$G:$G,MATCH($A65,'[1]Définition Maintenances'!$K:$K,0)),L65,INDEX('[1]Définition Maintenances'!$G:$G,MATCH($A65,'[1]Définition Maintenances'!$K:$K,0))+L65),L65))</f>
        <v>1115</v>
      </c>
      <c r="N65" s="26">
        <f>IF(ISNUMBER(VLOOKUP($D65,'Visu totale'!$D:$DH,N$1,0)),M65-VLOOKUP($D65,'Visu totale'!$D:$DH,N$1,0),IF(LEFT(VLOOKUP($D65,'Visu totale'!$D:$DH,N$1,0),1)="V",IF(M65&gt;=INDEX('[1]Définition Maintenances'!$G:$G,MATCH($A65,'[1]Définition Maintenances'!$K:$K,0)),M65,INDEX('[1]Définition Maintenances'!$G:$G,MATCH($A65,'[1]Définition Maintenances'!$K:$K,0))+M65),M65))</f>
        <v>1115</v>
      </c>
      <c r="O65" s="26">
        <f>IF(ISNUMBER(VLOOKUP($D65,'Visu totale'!$D:$DH,O$1,0)),N65-VLOOKUP($D65,'Visu totale'!$D:$DH,O$1,0),IF(LEFT(VLOOKUP($D65,'Visu totale'!$D:$DH,O$1,0),1)="V",IF(N65&gt;=INDEX('[1]Définition Maintenances'!$G:$G,MATCH($A65,'[1]Définition Maintenances'!$K:$K,0)),N65,INDEX('[1]Définition Maintenances'!$G:$G,MATCH($A65,'[1]Définition Maintenances'!$K:$K,0))+N65),N65))</f>
        <v>1115</v>
      </c>
      <c r="P65" s="26">
        <f>IF(ISNUMBER(VLOOKUP($D65,'Visu totale'!$D:$DH,P$1,0)),O65-VLOOKUP($D65,'Visu totale'!$D:$DH,P$1,0),IF(LEFT(VLOOKUP($D65,'Visu totale'!$D:$DH,P$1,0),1)="V",IF(O65&gt;=INDEX('[1]Définition Maintenances'!$G:$G,MATCH($A65,'[1]Définition Maintenances'!$K:$K,0)),O65,INDEX('[1]Définition Maintenances'!$G:$G,MATCH($A65,'[1]Définition Maintenances'!$K:$K,0))+O65),O65))</f>
        <v>1115</v>
      </c>
      <c r="Q65" s="27">
        <f>IF(ISNUMBER(VLOOKUP($D65,'Visu totale'!$D:$DH,Q$1,0)),P65-VLOOKUP($D65,'Visu totale'!$D:$DH,Q$1,0),IF(LEFT(VLOOKUP($D65,'Visu totale'!$D:$DH,Q$1,0),1)="V",IF(P65&gt;=INDEX('[1]Définition Maintenances'!$G:$G,MATCH($A65,'[1]Définition Maintenances'!$K:$K,0)),P65,INDEX('[1]Définition Maintenances'!$G:$G,MATCH($A65,'[1]Définition Maintenances'!$K:$K,0))+P65),P65))</f>
        <v>1115</v>
      </c>
      <c r="R65" s="25">
        <f>IF(ISNUMBER(VLOOKUP($D65,'Visu totale'!$D:$DH,R$1,0)),Q65-VLOOKUP($D65,'Visu totale'!$D:$DH,R$1,0),IF(LEFT(VLOOKUP($D65,'Visu totale'!$D:$DH,R$1,0),1)="V",IF(Q65&gt;=INDEX('[1]Définition Maintenances'!$G:$G,MATCH($A65,'[1]Définition Maintenances'!$K:$K,0)),Q65,INDEX('[1]Définition Maintenances'!$G:$G,MATCH($A65,'[1]Définition Maintenances'!$K:$K,0))+Q65),Q65))</f>
        <v>1115</v>
      </c>
      <c r="S65" s="26">
        <f>IF(ISNUMBER(VLOOKUP($D65,'Visu totale'!$D:$DH,S$1,0)),R65-VLOOKUP($D65,'Visu totale'!$D:$DH,S$1,0),IF(LEFT(VLOOKUP($D65,'Visu totale'!$D:$DH,S$1,0),1)="V",IF(R65&gt;=INDEX('[1]Définition Maintenances'!$G:$G,MATCH($A65,'[1]Définition Maintenances'!$K:$K,0)),R65,INDEX('[1]Définition Maintenances'!$G:$G,MATCH($A65,'[1]Définition Maintenances'!$K:$K,0))+R65),R65))</f>
        <v>1115</v>
      </c>
      <c r="T65" s="26">
        <f>IF(ISNUMBER(VLOOKUP($D65,'Visu totale'!$D:$DH,T$1,0)),S65-VLOOKUP($D65,'Visu totale'!$D:$DH,T$1,0),IF(LEFT(VLOOKUP($D65,'Visu totale'!$D:$DH,T$1,0),1)="V",IF(S65&gt;=INDEX('[1]Définition Maintenances'!$G:$G,MATCH($A65,'[1]Définition Maintenances'!$K:$K,0)),S65,INDEX('[1]Définition Maintenances'!$G:$G,MATCH($A65,'[1]Définition Maintenances'!$K:$K,0))+S65),S65))</f>
        <v>1115</v>
      </c>
      <c r="U65" s="26">
        <f>IF(ISNUMBER(VLOOKUP($D65,'Visu totale'!$D:$DH,U$1,0)),T65-VLOOKUP($D65,'Visu totale'!$D:$DH,U$1,0),IF(LEFT(VLOOKUP($D65,'Visu totale'!$D:$DH,U$1,0),1)="V",IF(T65&gt;=INDEX('[1]Définition Maintenances'!$G:$G,MATCH($A65,'[1]Définition Maintenances'!$K:$K,0)),T65,INDEX('[1]Définition Maintenances'!$G:$G,MATCH($A65,'[1]Définition Maintenances'!$K:$K,0))+T65),T65))</f>
        <v>1115</v>
      </c>
      <c r="V65" s="26">
        <f>IF(ISNUMBER(VLOOKUP($D65,'Visu totale'!$D:$DH,V$1,0)),U65-VLOOKUP($D65,'Visu totale'!$D:$DH,V$1,0),IF(LEFT(VLOOKUP($D65,'Visu totale'!$D:$DH,V$1,0),1)="V",IF(U65&gt;=INDEX('[1]Définition Maintenances'!$G:$G,MATCH($A65,'[1]Définition Maintenances'!$K:$K,0)),U65,INDEX('[1]Définition Maintenances'!$G:$G,MATCH($A65,'[1]Définition Maintenances'!$K:$K,0))+U65),U65))</f>
        <v>1115</v>
      </c>
      <c r="W65" s="26">
        <f>IF(ISNUMBER(VLOOKUP($D65,'Visu totale'!$D:$DH,W$1,0)),V65-VLOOKUP($D65,'Visu totale'!$D:$DH,W$1,0),IF(LEFT(VLOOKUP($D65,'Visu totale'!$D:$DH,W$1,0),1)="V",IF(V65&gt;=INDEX('[1]Définition Maintenances'!$G:$G,MATCH($A65,'[1]Définition Maintenances'!$K:$K,0)),V65,INDEX('[1]Définition Maintenances'!$G:$G,MATCH($A65,'[1]Définition Maintenances'!$K:$K,0))+V65),V65))</f>
        <v>1115</v>
      </c>
      <c r="X65" s="26">
        <f>IF(ISNUMBER(VLOOKUP($D65,'Visu totale'!$D:$DH,X$1,0)),W65-VLOOKUP($D65,'Visu totale'!$D:$DH,X$1,0),IF(LEFT(VLOOKUP($D65,'Visu totale'!$D:$DH,X$1,0),1)="V",IF(W65&gt;=INDEX('[1]Définition Maintenances'!$G:$G,MATCH($A65,'[1]Définition Maintenances'!$K:$K,0)),W65,INDEX('[1]Définition Maintenances'!$G:$G,MATCH($A65,'[1]Définition Maintenances'!$K:$K,0))+W65),W65))</f>
        <v>1115</v>
      </c>
      <c r="Y65" s="26">
        <f>IF(ISNUMBER(VLOOKUP($D65,'Visu totale'!$D:$DH,Y$1,0)),X65-VLOOKUP($D65,'Visu totale'!$D:$DH,Y$1,0),IF(LEFT(VLOOKUP($D65,'Visu totale'!$D:$DH,Y$1,0),1)="V",IF(X65&gt;=INDEX('[1]Définition Maintenances'!$G:$G,MATCH($A65,'[1]Définition Maintenances'!$K:$K,0)),X65,INDEX('[1]Définition Maintenances'!$G:$G,MATCH($A65,'[1]Définition Maintenances'!$K:$K,0))+X65),X65))</f>
        <v>1115</v>
      </c>
      <c r="Z65" s="26">
        <f>IF(ISNUMBER(VLOOKUP($D65,'Visu totale'!$D:$DH,Z$1,0)),Y65-VLOOKUP($D65,'Visu totale'!$D:$DH,Z$1,0),IF(LEFT(VLOOKUP($D65,'Visu totale'!$D:$DH,Z$1,0),1)="V",IF(Y65&gt;=INDEX('[1]Définition Maintenances'!$G:$G,MATCH($A65,'[1]Définition Maintenances'!$K:$K,0)),Y65,INDEX('[1]Définition Maintenances'!$G:$G,MATCH($A65,'[1]Définition Maintenances'!$K:$K,0))+Y65),Y65))</f>
        <v>1115</v>
      </c>
      <c r="AA65" s="26">
        <f>IF(ISNUMBER(VLOOKUP($D65,'Visu totale'!$D:$DH,AA$1,0)),Z65-VLOOKUP($D65,'Visu totale'!$D:$DH,AA$1,0),IF(LEFT(VLOOKUP($D65,'Visu totale'!$D:$DH,AA$1,0),1)="V",IF(Z65&gt;=INDEX('[1]Définition Maintenances'!$G:$G,MATCH($A65,'[1]Définition Maintenances'!$K:$K,0)),Z65,INDEX('[1]Définition Maintenances'!$G:$G,MATCH($A65,'[1]Définition Maintenances'!$K:$K,0))+Z65),Z65))</f>
        <v>1115</v>
      </c>
      <c r="AB65" s="26">
        <f>IF(ISNUMBER(VLOOKUP($D65,'Visu totale'!$D:$DH,AB$1,0)),AA65-VLOOKUP($D65,'Visu totale'!$D:$DH,AB$1,0),IF(LEFT(VLOOKUP($D65,'Visu totale'!$D:$DH,AB$1,0),1)="V",IF(AA65&gt;=INDEX('[1]Définition Maintenances'!$G:$G,MATCH($A65,'[1]Définition Maintenances'!$K:$K,0)),AA65,INDEX('[1]Définition Maintenances'!$G:$G,MATCH($A65,'[1]Définition Maintenances'!$K:$K,0))+AA65),AA65))</f>
        <v>1115</v>
      </c>
      <c r="AC65" s="27">
        <f>IF(ISNUMBER(VLOOKUP($D65,'Visu totale'!$D:$DH,AC$1,0)),AB65-VLOOKUP($D65,'Visu totale'!$D:$DH,AC$1,0),IF(LEFT(VLOOKUP($D65,'Visu totale'!$D:$DH,AC$1,0),1)="V",IF(AB65&gt;=INDEX('[1]Définition Maintenances'!$G:$G,MATCH($A65,'[1]Définition Maintenances'!$K:$K,0)),AB65,INDEX('[1]Définition Maintenances'!$G:$G,MATCH($A65,'[1]Définition Maintenances'!$K:$K,0))+AB65),AB65))</f>
        <v>1115</v>
      </c>
      <c r="AD65" s="25">
        <f>IF(ISNUMBER(VLOOKUP($D65,'Visu totale'!$D:$DH,AD$1,0)),AC65-VLOOKUP($D65,'Visu totale'!$D:$DH,AD$1,0),IF(LEFT(VLOOKUP($D65,'Visu totale'!$D:$DH,AD$1,0),1)="V",IF(AC65&gt;=INDEX('[1]Définition Maintenances'!$G:$G,MATCH($A65,'[1]Définition Maintenances'!$K:$K,0)),AC65,INDEX('[1]Définition Maintenances'!$G:$G,MATCH($A65,'[1]Définition Maintenances'!$K:$K,0))+AC65),AC65))</f>
        <v>1115</v>
      </c>
      <c r="AE65" s="26">
        <f>IF(ISNUMBER(VLOOKUP($D65,'Visu totale'!$D:$DH,AE$1,0)),AD65-VLOOKUP($D65,'Visu totale'!$D:$DH,AE$1,0),IF(LEFT(VLOOKUP($D65,'Visu totale'!$D:$DH,AE$1,0),1)="V",IF(AD65&gt;=INDEX('[1]Définition Maintenances'!$G:$G,MATCH($A65,'[1]Définition Maintenances'!$K:$K,0)),AD65,INDEX('[1]Définition Maintenances'!$G:$G,MATCH($A65,'[1]Définition Maintenances'!$K:$K,0))+AD65),AD65))</f>
        <v>1115</v>
      </c>
      <c r="AF65" s="26">
        <f>IF(ISNUMBER(VLOOKUP($D65,'Visu totale'!$D:$DH,AF$1,0)),AE65-VLOOKUP($D65,'Visu totale'!$D:$DH,AF$1,0),IF(LEFT(VLOOKUP($D65,'Visu totale'!$D:$DH,AF$1,0),1)="V",IF(AE65&gt;=INDEX('[1]Définition Maintenances'!$G:$G,MATCH($A65,'[1]Définition Maintenances'!$K:$K,0)),AE65,INDEX('[1]Définition Maintenances'!$G:$G,MATCH($A65,'[1]Définition Maintenances'!$K:$K,0))+AE65),AE65))</f>
        <v>1115</v>
      </c>
      <c r="AG65" s="26">
        <f>IF(ISNUMBER(VLOOKUP($D65,'Visu totale'!$D:$DH,AG$1,0)),AF65-VLOOKUP($D65,'Visu totale'!$D:$DH,AG$1,0),IF(LEFT(VLOOKUP($D65,'Visu totale'!$D:$DH,AG$1,0),1)="V",IF(AF65&gt;=INDEX('[1]Définition Maintenances'!$G:$G,MATCH($A65,'[1]Définition Maintenances'!$K:$K,0)),AF65,INDEX('[1]Définition Maintenances'!$G:$G,MATCH($A65,'[1]Définition Maintenances'!$K:$K,0))+AF65),AF65))</f>
        <v>1115</v>
      </c>
      <c r="AH65" s="26">
        <f>IF(ISNUMBER(VLOOKUP($D65,'Visu totale'!$D:$DH,AH$1,0)),AG65-VLOOKUP($D65,'Visu totale'!$D:$DH,AH$1,0),IF(LEFT(VLOOKUP($D65,'Visu totale'!$D:$DH,AH$1,0),1)="V",IF(AG65&gt;=INDEX('[1]Définition Maintenances'!$G:$G,MATCH($A65,'[1]Définition Maintenances'!$K:$K,0)),AG65,INDEX('[1]Définition Maintenances'!$G:$G,MATCH($A65,'[1]Définition Maintenances'!$K:$K,0))+AG65),AG65))</f>
        <v>1115</v>
      </c>
      <c r="AI65" s="26">
        <f>IF(ISNUMBER(VLOOKUP($D65,'Visu totale'!$D:$DH,AI$1,0)),AH65-VLOOKUP($D65,'Visu totale'!$D:$DH,AI$1,0),IF(LEFT(VLOOKUP($D65,'Visu totale'!$D:$DH,AI$1,0),1)="V",IF(AH65&gt;=INDEX('[1]Définition Maintenances'!$G:$G,MATCH($A65,'[1]Définition Maintenances'!$K:$K,0)),AH65,INDEX('[1]Définition Maintenances'!$G:$G,MATCH($A65,'[1]Définition Maintenances'!$K:$K,0))+AH65),AH65))</f>
        <v>1115</v>
      </c>
      <c r="AJ65" s="26">
        <f>IF(ISNUMBER(VLOOKUP($D65,'Visu totale'!$D:$DH,AJ$1,0)),AI65-VLOOKUP($D65,'Visu totale'!$D:$DH,AJ$1,0),IF(LEFT(VLOOKUP($D65,'Visu totale'!$D:$DH,AJ$1,0),1)="V",IF(AI65&gt;=INDEX('[1]Définition Maintenances'!$G:$G,MATCH($A65,'[1]Définition Maintenances'!$K:$K,0)),AI65,INDEX('[1]Définition Maintenances'!$G:$G,MATCH($A65,'[1]Définition Maintenances'!$K:$K,0))+AI65),AI65))</f>
        <v>1115</v>
      </c>
      <c r="AK65" s="26">
        <f>IF(ISNUMBER(VLOOKUP($D65,'Visu totale'!$D:$DH,AK$1,0)),AJ65-VLOOKUP($D65,'Visu totale'!$D:$DH,AK$1,0),IF(LEFT(VLOOKUP($D65,'Visu totale'!$D:$DH,AK$1,0),1)="V",IF(AJ65&gt;=INDEX('[1]Définition Maintenances'!$G:$G,MATCH($A65,'[1]Définition Maintenances'!$K:$K,0)),AJ65,INDEX('[1]Définition Maintenances'!$G:$G,MATCH($A65,'[1]Définition Maintenances'!$K:$K,0))+AJ65),AJ65))</f>
        <v>1115</v>
      </c>
      <c r="AL65" s="26">
        <f>IF(ISNUMBER(VLOOKUP($D65,'Visu totale'!$D:$DH,AL$1,0)),AK65-VLOOKUP($D65,'Visu totale'!$D:$DH,AL$1,0),IF(LEFT(VLOOKUP($D65,'Visu totale'!$D:$DH,AL$1,0),1)="V",IF(AK65&gt;=INDEX('[1]Définition Maintenances'!$G:$G,MATCH($A65,'[1]Définition Maintenances'!$K:$K,0)),AK65,INDEX('[1]Définition Maintenances'!$G:$G,MATCH($A65,'[1]Définition Maintenances'!$K:$K,0))+AK65),AK65))</f>
        <v>1115</v>
      </c>
      <c r="AM65" s="26">
        <f>IF(ISNUMBER(VLOOKUP($D65,'Visu totale'!$D:$DH,AM$1,0)),AL65-VLOOKUP($D65,'Visu totale'!$D:$DH,AM$1,0),IF(LEFT(VLOOKUP($D65,'Visu totale'!$D:$DH,AM$1,0),1)="V",IF(AL65&gt;=INDEX('[1]Définition Maintenances'!$G:$G,MATCH($A65,'[1]Définition Maintenances'!$K:$K,0)),AL65,INDEX('[1]Définition Maintenances'!$G:$G,MATCH($A65,'[1]Définition Maintenances'!$K:$K,0))+AL65),AL65))</f>
        <v>1115</v>
      </c>
      <c r="AN65" s="26">
        <f>IF(ISNUMBER(VLOOKUP($D65,'Visu totale'!$D:$DH,AN$1,0)),AM65-VLOOKUP($D65,'Visu totale'!$D:$DH,AN$1,0),IF(LEFT(VLOOKUP($D65,'Visu totale'!$D:$DH,AN$1,0),1)="V",IF(AM65&gt;=INDEX('[1]Définition Maintenances'!$G:$G,MATCH($A65,'[1]Définition Maintenances'!$K:$K,0)),AM65,INDEX('[1]Définition Maintenances'!$G:$G,MATCH($A65,'[1]Définition Maintenances'!$K:$K,0))+AM65),AM65))</f>
        <v>1115</v>
      </c>
      <c r="AO65" s="27">
        <f>IF(ISNUMBER(VLOOKUP($D65,'Visu totale'!$D:$DH,AO$1,0)),AN65-VLOOKUP($D65,'Visu totale'!$D:$DH,AO$1,0),IF(LEFT(VLOOKUP($D65,'Visu totale'!$D:$DH,AO$1,0),1)="V",IF(AN65&gt;=INDEX('[1]Définition Maintenances'!$G:$G,MATCH($A65,'[1]Définition Maintenances'!$K:$K,0)),AN65,INDEX('[1]Définition Maintenances'!$G:$G,MATCH($A65,'[1]Définition Maintenances'!$K:$K,0))+AN65),AN65))</f>
        <v>1115</v>
      </c>
      <c r="AP65" s="25">
        <f>IF(ISNUMBER(VLOOKUP($D65,'Visu totale'!$D:$DH,AP$1,0)),AO65-VLOOKUP($D65,'Visu totale'!$D:$DH,AP$1,0),IF(LEFT(VLOOKUP($D65,'Visu totale'!$D:$DH,AP$1,0),1)="V",IF(AO65&gt;=INDEX('[1]Définition Maintenances'!$G:$G,MATCH($A65,'[1]Définition Maintenances'!$K:$K,0)),AO65,INDEX('[1]Définition Maintenances'!$G:$G,MATCH($A65,'[1]Définition Maintenances'!$K:$K,0))+AO65),AO65))</f>
        <v>1115</v>
      </c>
      <c r="AQ65" s="26">
        <f>IF(ISNUMBER(VLOOKUP($D65,'Visu totale'!$D:$DH,AQ$1,0)),AP65-VLOOKUP($D65,'Visu totale'!$D:$DH,AQ$1,0),IF(LEFT(VLOOKUP($D65,'Visu totale'!$D:$DH,AQ$1,0),1)="V",IF(AP65&gt;=INDEX('[1]Définition Maintenances'!$G:$G,MATCH($A65,'[1]Définition Maintenances'!$K:$K,0)),AP65,INDEX('[1]Définition Maintenances'!$G:$G,MATCH($A65,'[1]Définition Maintenances'!$K:$K,0))+AP65),AP65))</f>
        <v>1115</v>
      </c>
      <c r="AR65" s="26">
        <f>IF(ISNUMBER(VLOOKUP($D65,'Visu totale'!$D:$DH,AR$1,0)),AQ65-VLOOKUP($D65,'Visu totale'!$D:$DH,AR$1,0),IF(LEFT(VLOOKUP($D65,'Visu totale'!$D:$DH,AR$1,0),1)="V",IF(AQ65&gt;=INDEX('[1]Définition Maintenances'!$G:$G,MATCH($A65,'[1]Définition Maintenances'!$K:$K,0)),AQ65,INDEX('[1]Définition Maintenances'!$G:$G,MATCH($A65,'[1]Définition Maintenances'!$K:$K,0))+AQ65),AQ65))</f>
        <v>1115</v>
      </c>
      <c r="AS65" s="26">
        <f>IF(ISNUMBER(VLOOKUP($D65,'Visu totale'!$D:$DH,AS$1,0)),AR65-VLOOKUP($D65,'Visu totale'!$D:$DH,AS$1,0),IF(LEFT(VLOOKUP($D65,'Visu totale'!$D:$DH,AS$1,0),1)="V",IF(AR65&gt;=INDEX('[1]Définition Maintenances'!$G:$G,MATCH($A65,'[1]Définition Maintenances'!$K:$K,0)),AR65,INDEX('[1]Définition Maintenances'!$G:$G,MATCH($A65,'[1]Définition Maintenances'!$K:$K,0))+AR65),AR65))</f>
        <v>1115</v>
      </c>
      <c r="AT65" s="26">
        <f>IF(ISNUMBER(VLOOKUP($D65,'Visu totale'!$D:$DH,AT$1,0)),AS65-VLOOKUP($D65,'Visu totale'!$D:$DH,AT$1,0),IF(LEFT(VLOOKUP($D65,'Visu totale'!$D:$DH,AT$1,0),1)="V",IF(AS65&gt;=INDEX('[1]Définition Maintenances'!$G:$G,MATCH($A65,'[1]Définition Maintenances'!$K:$K,0)),AS65,INDEX('[1]Définition Maintenances'!$G:$G,MATCH($A65,'[1]Définition Maintenances'!$K:$K,0))+AS65),AS65))</f>
        <v>1115</v>
      </c>
      <c r="AU65" s="26">
        <f>IF(ISNUMBER(VLOOKUP($D65,'Visu totale'!$D:$DH,AU$1,0)),AT65-VLOOKUP($D65,'Visu totale'!$D:$DH,AU$1,0),IF(LEFT(VLOOKUP($D65,'Visu totale'!$D:$DH,AU$1,0),1)="V",IF(AT65&gt;=INDEX('[1]Définition Maintenances'!$G:$G,MATCH($A65,'[1]Définition Maintenances'!$K:$K,0)),AT65,INDEX('[1]Définition Maintenances'!$G:$G,MATCH($A65,'[1]Définition Maintenances'!$K:$K,0))+AT65),AT65))</f>
        <v>1115</v>
      </c>
      <c r="AV65" s="26">
        <f>IF(ISNUMBER(VLOOKUP($D65,'Visu totale'!$D:$DH,AV$1,0)),AU65-VLOOKUP($D65,'Visu totale'!$D:$DH,AV$1,0),IF(LEFT(VLOOKUP($D65,'Visu totale'!$D:$DH,AV$1,0),1)="V",IF(AU65&gt;=INDEX('[1]Définition Maintenances'!$G:$G,MATCH($A65,'[1]Définition Maintenances'!$K:$K,0)),AU65,INDEX('[1]Définition Maintenances'!$G:$G,MATCH($A65,'[1]Définition Maintenances'!$K:$K,0))+AU65),AU65))</f>
        <v>1115</v>
      </c>
      <c r="AW65" s="26">
        <f>IF(ISNUMBER(VLOOKUP($D65,'Visu totale'!$D:$DH,AW$1,0)),AV65-VLOOKUP($D65,'Visu totale'!$D:$DH,AW$1,0),IF(LEFT(VLOOKUP($D65,'Visu totale'!$D:$DH,AW$1,0),1)="V",IF(AV65&gt;=INDEX('[1]Définition Maintenances'!$G:$G,MATCH($A65,'[1]Définition Maintenances'!$K:$K,0)),AV65,INDEX('[1]Définition Maintenances'!$G:$G,MATCH($A65,'[1]Définition Maintenances'!$K:$K,0))+AV65),AV65))</f>
        <v>1115</v>
      </c>
      <c r="AX65" s="26">
        <f>IF(ISNUMBER(VLOOKUP($D65,'Visu totale'!$D:$DH,AX$1,0)),AW65-VLOOKUP($D65,'Visu totale'!$D:$DH,AX$1,0),IF(LEFT(VLOOKUP($D65,'Visu totale'!$D:$DH,AX$1,0),1)="V",IF(AW65&gt;=INDEX('[1]Définition Maintenances'!$G:$G,MATCH($A65,'[1]Définition Maintenances'!$K:$K,0)),AW65,INDEX('[1]Définition Maintenances'!$G:$G,MATCH($A65,'[1]Définition Maintenances'!$K:$K,0))+AW65),AW65))</f>
        <v>1115</v>
      </c>
      <c r="AY65" s="26">
        <f>IF(ISNUMBER(VLOOKUP($D65,'Visu totale'!$D:$DH,AY$1,0)),AX65-VLOOKUP($D65,'Visu totale'!$D:$DH,AY$1,0),IF(LEFT(VLOOKUP($D65,'Visu totale'!$D:$DH,AY$1,0),1)="V",IF(AX65&gt;=INDEX('[1]Définition Maintenances'!$G:$G,MATCH($A65,'[1]Définition Maintenances'!$K:$K,0)),AX65,INDEX('[1]Définition Maintenances'!$G:$G,MATCH($A65,'[1]Définition Maintenances'!$K:$K,0))+AX65),AX65))</f>
        <v>1115</v>
      </c>
      <c r="AZ65" s="26">
        <f>IF(ISNUMBER(VLOOKUP($D65,'Visu totale'!$D:$DH,AZ$1,0)),AY65-VLOOKUP($D65,'Visu totale'!$D:$DH,AZ$1,0),IF(LEFT(VLOOKUP($D65,'Visu totale'!$D:$DH,AZ$1,0),1)="V",IF(AY65&gt;=INDEX('[1]Définition Maintenances'!$G:$G,MATCH($A65,'[1]Définition Maintenances'!$K:$K,0)),AY65,INDEX('[1]Définition Maintenances'!$G:$G,MATCH($A65,'[1]Définition Maintenances'!$K:$K,0))+AY65),AY65))</f>
        <v>1115</v>
      </c>
      <c r="BA65" s="27">
        <f>IF(ISNUMBER(VLOOKUP($D65,'Visu totale'!$D:$DH,BA$1,0)),AZ65-VLOOKUP($D65,'Visu totale'!$D:$DH,BA$1,0),IF(LEFT(VLOOKUP($D65,'Visu totale'!$D:$DH,BA$1,0),1)="V",IF(AZ65&gt;=INDEX('[1]Définition Maintenances'!$G:$G,MATCH($A65,'[1]Définition Maintenances'!$K:$K,0)),AZ65,INDEX('[1]Définition Maintenances'!$G:$G,MATCH($A65,'[1]Définition Maintenances'!$K:$K,0))+AZ65),AZ65))</f>
        <v>1115</v>
      </c>
      <c r="BB65" s="25">
        <f>IF(ISNUMBER(VLOOKUP($D65,'Visu totale'!$D:$DH,BB$1,0)),BA65-VLOOKUP($D65,'Visu totale'!$D:$DH,BB$1,0),IF(LEFT(VLOOKUP($D65,'Visu totale'!$D:$DH,BB$1,0),1)="V",IF(BA65&gt;=INDEX('[1]Définition Maintenances'!$G:$G,MATCH($A65,'[1]Définition Maintenances'!$K:$K,0)),BA65,INDEX('[1]Définition Maintenances'!$G:$G,MATCH($A65,'[1]Définition Maintenances'!$K:$K,0))+BA65),BA65))</f>
        <v>1115</v>
      </c>
      <c r="BC65" s="26">
        <f>IF(ISNUMBER(VLOOKUP($D65,'Visu totale'!$D:$DH,BC$1,0)),BB65-VLOOKUP($D65,'Visu totale'!$D:$DH,BC$1,0),IF(LEFT(VLOOKUP($D65,'Visu totale'!$D:$DH,BC$1,0),1)="V",IF(BB65&gt;=INDEX('[1]Définition Maintenances'!$G:$G,MATCH($A65,'[1]Définition Maintenances'!$K:$K,0)),BB65,INDEX('[1]Définition Maintenances'!$G:$G,MATCH($A65,'[1]Définition Maintenances'!$K:$K,0))+BB65),BB65))</f>
        <v>1115</v>
      </c>
      <c r="BD65" s="26">
        <f>IF(ISNUMBER(VLOOKUP($D65,'Visu totale'!$D:$DH,BD$1,0)),BC65-VLOOKUP($D65,'Visu totale'!$D:$DH,BD$1,0),IF(LEFT(VLOOKUP($D65,'Visu totale'!$D:$DH,BD$1,0),1)="V",IF(BC65&gt;=INDEX('[1]Définition Maintenances'!$G:$G,MATCH($A65,'[1]Définition Maintenances'!$K:$K,0)),BC65,INDEX('[1]Définition Maintenances'!$G:$G,MATCH($A65,'[1]Définition Maintenances'!$K:$K,0))+BC65),BC65))</f>
        <v>1115</v>
      </c>
      <c r="BE65" s="26">
        <f>IF(ISNUMBER(VLOOKUP($D65,'Visu totale'!$D:$DH,BE$1,0)),BD65-VLOOKUP($D65,'Visu totale'!$D:$DH,BE$1,0),IF(LEFT(VLOOKUP($D65,'Visu totale'!$D:$DH,BE$1,0),1)="V",IF(BD65&gt;=INDEX('[1]Définition Maintenances'!$G:$G,MATCH($A65,'[1]Définition Maintenances'!$K:$K,0)),BD65,INDEX('[1]Définition Maintenances'!$G:$G,MATCH($A65,'[1]Définition Maintenances'!$K:$K,0))+BD65),BD65))</f>
        <v>1115</v>
      </c>
      <c r="BF65" s="26">
        <f>IF(ISNUMBER(VLOOKUP($D65,'Visu totale'!$D:$DH,BF$1,0)),BE65-VLOOKUP($D65,'Visu totale'!$D:$DH,BF$1,0),IF(LEFT(VLOOKUP($D65,'Visu totale'!$D:$DH,BF$1,0),1)="V",IF(BE65&gt;=INDEX('[1]Définition Maintenances'!$G:$G,MATCH($A65,'[1]Définition Maintenances'!$K:$K,0)),BE65,INDEX('[1]Définition Maintenances'!$G:$G,MATCH($A65,'[1]Définition Maintenances'!$K:$K,0))+BE65),BE65))</f>
        <v>1115</v>
      </c>
      <c r="BG65" s="26">
        <f>IF(ISNUMBER(VLOOKUP($D65,'Visu totale'!$D:$DH,BG$1,0)),BF65-VLOOKUP($D65,'Visu totale'!$D:$DH,BG$1,0),IF(LEFT(VLOOKUP($D65,'Visu totale'!$D:$DH,BG$1,0),1)="V",IF(BF65&gt;=INDEX('[1]Définition Maintenances'!$G:$G,MATCH($A65,'[1]Définition Maintenances'!$K:$K,0)),BF65,INDEX('[1]Définition Maintenances'!$G:$G,MATCH($A65,'[1]Définition Maintenances'!$K:$K,0))+BF65),BF65))</f>
        <v>1115</v>
      </c>
      <c r="BH65" s="26">
        <f>IF(ISNUMBER(VLOOKUP($D65,'Visu totale'!$D:$DH,BH$1,0)),BG65-VLOOKUP($D65,'Visu totale'!$D:$DH,BH$1,0),IF(LEFT(VLOOKUP($D65,'Visu totale'!$D:$DH,BH$1,0),1)="V",IF(BG65&gt;=INDEX('[1]Définition Maintenances'!$G:$G,MATCH($A65,'[1]Définition Maintenances'!$K:$K,0)),BG65,INDEX('[1]Définition Maintenances'!$G:$G,MATCH($A65,'[1]Définition Maintenances'!$K:$K,0))+BG65),BG65))</f>
        <v>1115</v>
      </c>
      <c r="BI65" s="26">
        <f>IF(ISNUMBER(VLOOKUP($D65,'Visu totale'!$D:$DH,BI$1,0)),BH65-VLOOKUP($D65,'Visu totale'!$D:$DH,BI$1,0),IF(LEFT(VLOOKUP($D65,'Visu totale'!$D:$DH,BI$1,0),1)="V",IF(BH65&gt;=INDEX('[1]Définition Maintenances'!$G:$G,MATCH($A65,'[1]Définition Maintenances'!$K:$K,0)),BH65,INDEX('[1]Définition Maintenances'!$G:$G,MATCH($A65,'[1]Définition Maintenances'!$K:$K,0))+BH65),BH65))</f>
        <v>1115</v>
      </c>
      <c r="BJ65" s="26">
        <f>IF(ISNUMBER(VLOOKUP($D65,'Visu totale'!$D:$DH,BJ$1,0)),BI65-VLOOKUP($D65,'Visu totale'!$D:$DH,BJ$1,0),IF(LEFT(VLOOKUP($D65,'Visu totale'!$D:$DH,BJ$1,0),1)="V",IF(BI65&gt;=INDEX('[1]Définition Maintenances'!$G:$G,MATCH($A65,'[1]Définition Maintenances'!$K:$K,0)),BI65,INDEX('[1]Définition Maintenances'!$G:$G,MATCH($A65,'[1]Définition Maintenances'!$K:$K,0))+BI65),BI65))</f>
        <v>1115</v>
      </c>
      <c r="BK65" s="26">
        <f>IF(ISNUMBER(VLOOKUP($D65,'Visu totale'!$D:$DH,BK$1,0)),BJ65-VLOOKUP($D65,'Visu totale'!$D:$DH,BK$1,0),IF(LEFT(VLOOKUP($D65,'Visu totale'!$D:$DH,BK$1,0),1)="V",IF(BJ65&gt;=INDEX('[1]Définition Maintenances'!$G:$G,MATCH($A65,'[1]Définition Maintenances'!$K:$K,0)),BJ65,INDEX('[1]Définition Maintenances'!$G:$G,MATCH($A65,'[1]Définition Maintenances'!$K:$K,0))+BJ65),BJ65))</f>
        <v>1115</v>
      </c>
      <c r="BL65" s="26">
        <f>IF(ISNUMBER(VLOOKUP($D65,'Visu totale'!$D:$DH,BL$1,0)),BK65-VLOOKUP($D65,'Visu totale'!$D:$DH,BL$1,0),IF(LEFT(VLOOKUP($D65,'Visu totale'!$D:$DH,BL$1,0),1)="V",IF(BK65&gt;=INDEX('[1]Définition Maintenances'!$G:$G,MATCH($A65,'[1]Définition Maintenances'!$K:$K,0)),BK65,INDEX('[1]Définition Maintenances'!$G:$G,MATCH($A65,'[1]Définition Maintenances'!$K:$K,0))+BK65),BK65))</f>
        <v>1115</v>
      </c>
      <c r="BM65" s="27">
        <f>IF(ISNUMBER(VLOOKUP($D65,'Visu totale'!$D:$DH,BM$1,0)),BL65-VLOOKUP($D65,'Visu totale'!$D:$DH,BM$1,0),IF(LEFT(VLOOKUP($D65,'Visu totale'!$D:$DH,BM$1,0),1)="V",IF(BL65&gt;=INDEX('[1]Définition Maintenances'!$G:$G,MATCH($A65,'[1]Définition Maintenances'!$K:$K,0)),BL65,INDEX('[1]Définition Maintenances'!$G:$G,MATCH($A65,'[1]Définition Maintenances'!$K:$K,0))+BL65),BL65))</f>
        <v>1115</v>
      </c>
      <c r="BN65" s="25">
        <f>IF(ISNUMBER(VLOOKUP($D65,'Visu totale'!$D:$DH,BN$1,0)),BM65-VLOOKUP($D65,'Visu totale'!$D:$DH,BN$1,0),IF(LEFT(VLOOKUP($D65,'Visu totale'!$D:$DH,BN$1,0),1)="V",IF(BM65&gt;=INDEX('[1]Définition Maintenances'!$G:$G,MATCH($A65,'[1]Définition Maintenances'!$K:$K,0)),BM65,INDEX('[1]Définition Maintenances'!$G:$G,MATCH($A65,'[1]Définition Maintenances'!$K:$K,0))+BM65),BM65))</f>
        <v>1115</v>
      </c>
      <c r="BO65" s="26">
        <f>IF(ISNUMBER(VLOOKUP($D65,'Visu totale'!$D:$DH,BO$1,0)),BN65-VLOOKUP($D65,'Visu totale'!$D:$DH,BO$1,0),IF(LEFT(VLOOKUP($D65,'Visu totale'!$D:$DH,BO$1,0),1)="V",IF(BN65&gt;=INDEX('[1]Définition Maintenances'!$G:$G,MATCH($A65,'[1]Définition Maintenances'!$K:$K,0)),BN65,INDEX('[1]Définition Maintenances'!$G:$G,MATCH($A65,'[1]Définition Maintenances'!$K:$K,0))+BN65),BN65))</f>
        <v>1115</v>
      </c>
      <c r="BP65" s="26">
        <f>IF(ISNUMBER(VLOOKUP($D65,'Visu totale'!$D:$DH,BP$1,0)),BO65-VLOOKUP($D65,'Visu totale'!$D:$DH,BP$1,0),IF(LEFT(VLOOKUP($D65,'Visu totale'!$D:$DH,BP$1,0),1)="V",IF(BO65&gt;=INDEX('[1]Définition Maintenances'!$G:$G,MATCH($A65,'[1]Définition Maintenances'!$K:$K,0)),BO65,INDEX('[1]Définition Maintenances'!$G:$G,MATCH($A65,'[1]Définition Maintenances'!$K:$K,0))+BO65),BO65))</f>
        <v>1115</v>
      </c>
      <c r="BQ65" s="26">
        <f>IF(ISNUMBER(VLOOKUP($D65,'Visu totale'!$D:$DH,BQ$1,0)),BP65-VLOOKUP($D65,'Visu totale'!$D:$DH,BQ$1,0),IF(LEFT(VLOOKUP($D65,'Visu totale'!$D:$DH,BQ$1,0),1)="V",IF(BP65&gt;=INDEX('[1]Définition Maintenances'!$G:$G,MATCH($A65,'[1]Définition Maintenances'!$K:$K,0)),BP65,INDEX('[1]Définition Maintenances'!$G:$G,MATCH($A65,'[1]Définition Maintenances'!$K:$K,0))+BP65),BP65))</f>
        <v>1115</v>
      </c>
      <c r="BR65" s="26">
        <f>IF(ISNUMBER(VLOOKUP($D65,'Visu totale'!$D:$DH,BR$1,0)),BQ65-VLOOKUP($D65,'Visu totale'!$D:$DH,BR$1,0),IF(LEFT(VLOOKUP($D65,'Visu totale'!$D:$DH,BR$1,0),1)="V",IF(BQ65&gt;=INDEX('[1]Définition Maintenances'!$G:$G,MATCH($A65,'[1]Définition Maintenances'!$K:$K,0)),BQ65,INDEX('[1]Définition Maintenances'!$G:$G,MATCH($A65,'[1]Définition Maintenances'!$K:$K,0))+BQ65),BQ65))</f>
        <v>1115</v>
      </c>
      <c r="BS65" s="26">
        <f>IF(ISNUMBER(VLOOKUP($D65,'Visu totale'!$D:$DH,BS$1,0)),BR65-VLOOKUP($D65,'Visu totale'!$D:$DH,BS$1,0),IF(LEFT(VLOOKUP($D65,'Visu totale'!$D:$DH,BS$1,0),1)="V",IF(BR65&gt;=INDEX('[1]Définition Maintenances'!$G:$G,MATCH($A65,'[1]Définition Maintenances'!$K:$K,0)),BR65,INDEX('[1]Définition Maintenances'!$G:$G,MATCH($A65,'[1]Définition Maintenances'!$K:$K,0))+BR65),BR65))</f>
        <v>1115</v>
      </c>
      <c r="BT65" s="26">
        <f>IF(ISNUMBER(VLOOKUP($D65,'Visu totale'!$D:$DH,BT$1,0)),BS65-VLOOKUP($D65,'Visu totale'!$D:$DH,BT$1,0),IF(LEFT(VLOOKUP($D65,'Visu totale'!$D:$DH,BT$1,0),1)="V",IF(BS65&gt;=INDEX('[1]Définition Maintenances'!$G:$G,MATCH($A65,'[1]Définition Maintenances'!$K:$K,0)),BS65,INDEX('[1]Définition Maintenances'!$G:$G,MATCH($A65,'[1]Définition Maintenances'!$K:$K,0))+BS65),BS65))</f>
        <v>1115</v>
      </c>
      <c r="BU65" s="26">
        <f>IF(ISNUMBER(VLOOKUP($D65,'Visu totale'!$D:$DH,BU$1,0)),BT65-VLOOKUP($D65,'Visu totale'!$D:$DH,BU$1,0),IF(LEFT(VLOOKUP($D65,'Visu totale'!$D:$DH,BU$1,0),1)="V",IF(BT65&gt;=INDEX('[1]Définition Maintenances'!$G:$G,MATCH($A65,'[1]Définition Maintenances'!$K:$K,0)),BT65,INDEX('[1]Définition Maintenances'!$G:$G,MATCH($A65,'[1]Définition Maintenances'!$K:$K,0))+BT65),BT65))</f>
        <v>1115</v>
      </c>
      <c r="BV65" s="26">
        <f>IF(ISNUMBER(VLOOKUP($D65,'Visu totale'!$D:$DH,BV$1,0)),BU65-VLOOKUP($D65,'Visu totale'!$D:$DH,BV$1,0),IF(LEFT(VLOOKUP($D65,'Visu totale'!$D:$DH,BV$1,0),1)="V",IF(BU65&gt;=INDEX('[1]Définition Maintenances'!$G:$G,MATCH($A65,'[1]Définition Maintenances'!$K:$K,0)),BU65,INDEX('[1]Définition Maintenances'!$G:$G,MATCH($A65,'[1]Définition Maintenances'!$K:$K,0))+BU65),BU65))</f>
        <v>1115</v>
      </c>
      <c r="BW65" s="26">
        <f>IF(ISNUMBER(VLOOKUP($D65,'Visu totale'!$D:$DH,BW$1,0)),BV65-VLOOKUP($D65,'Visu totale'!$D:$DH,BW$1,0),IF(LEFT(VLOOKUP($D65,'Visu totale'!$D:$DH,BW$1,0),1)="V",IF(BV65&gt;=INDEX('[1]Définition Maintenances'!$G:$G,MATCH($A65,'[1]Définition Maintenances'!$K:$K,0)),BV65,INDEX('[1]Définition Maintenances'!$G:$G,MATCH($A65,'[1]Définition Maintenances'!$K:$K,0))+BV65),BV65))</f>
        <v>1115</v>
      </c>
      <c r="BX65" s="26">
        <f>IF(ISNUMBER(VLOOKUP($D65,'Visu totale'!$D:$DH,BX$1,0)),BW65-VLOOKUP($D65,'Visu totale'!$D:$DH,BX$1,0),IF(LEFT(VLOOKUP($D65,'Visu totale'!$D:$DH,BX$1,0),1)="V",IF(BW65&gt;=INDEX('[1]Définition Maintenances'!$G:$G,MATCH($A65,'[1]Définition Maintenances'!$K:$K,0)),BW65,INDEX('[1]Définition Maintenances'!$G:$G,MATCH($A65,'[1]Définition Maintenances'!$K:$K,0))+BW65),BW65))</f>
        <v>1115</v>
      </c>
      <c r="BY65" s="27">
        <f>IF(ISNUMBER(VLOOKUP($D65,'Visu totale'!$D:$DH,BY$1,0)),BX65-VLOOKUP($D65,'Visu totale'!$D:$DH,BY$1,0),IF(LEFT(VLOOKUP($D65,'Visu totale'!$D:$DH,BY$1,0),1)="V",IF(BX65&gt;=INDEX('[1]Définition Maintenances'!$G:$G,MATCH($A65,'[1]Définition Maintenances'!$K:$K,0)),BX65,INDEX('[1]Définition Maintenances'!$G:$G,MATCH($A65,'[1]Définition Maintenances'!$K:$K,0))+BX65),BX65))</f>
        <v>1115</v>
      </c>
      <c r="BZ65" s="25">
        <f>IF(ISNUMBER(VLOOKUP($D65,'Visu totale'!$D:$DH,BZ$1,0)),BY65-VLOOKUP($D65,'Visu totale'!$D:$DH,BZ$1,0),IF(LEFT(VLOOKUP($D65,'Visu totale'!$D:$DH,BZ$1,0),1)="V",IF(BY65&gt;=INDEX('[1]Définition Maintenances'!$G:$G,MATCH($A65,'[1]Définition Maintenances'!$K:$K,0)),BY65,INDEX('[1]Définition Maintenances'!$G:$G,MATCH($A65,'[1]Définition Maintenances'!$K:$K,0))+BY65),BY65))</f>
        <v>1115</v>
      </c>
      <c r="CA65" s="26">
        <f>IF(ISNUMBER(VLOOKUP($D65,'Visu totale'!$D:$DH,CA$1,0)),BZ65-VLOOKUP($D65,'Visu totale'!$D:$DH,CA$1,0),IF(LEFT(VLOOKUP($D65,'Visu totale'!$D:$DH,CA$1,0),1)="V",IF(BZ65&gt;=INDEX('[1]Définition Maintenances'!$G:$G,MATCH($A65,'[1]Définition Maintenances'!$K:$K,0)),BZ65,INDEX('[1]Définition Maintenances'!$G:$G,MATCH($A65,'[1]Définition Maintenances'!$K:$K,0))+BZ65),BZ65))</f>
        <v>1115</v>
      </c>
      <c r="CB65" s="26">
        <f>IF(ISNUMBER(VLOOKUP($D65,'Visu totale'!$D:$DH,CB$1,0)),CA65-VLOOKUP($D65,'Visu totale'!$D:$DH,CB$1,0),IF(LEFT(VLOOKUP($D65,'Visu totale'!$D:$DH,CB$1,0),1)="V",IF(CA65&gt;=INDEX('[1]Définition Maintenances'!$G:$G,MATCH($A65,'[1]Définition Maintenances'!$K:$K,0)),CA65,INDEX('[1]Définition Maintenances'!$G:$G,MATCH($A65,'[1]Définition Maintenances'!$K:$K,0))+CA65),CA65))</f>
        <v>1115</v>
      </c>
      <c r="CC65" s="26">
        <f>IF(ISNUMBER(VLOOKUP($D65,'Visu totale'!$D:$DH,CC$1,0)),CB65-VLOOKUP($D65,'Visu totale'!$D:$DH,CC$1,0),IF(LEFT(VLOOKUP($D65,'Visu totale'!$D:$DH,CC$1,0),1)="V",IF(CB65&gt;=INDEX('[1]Définition Maintenances'!$G:$G,MATCH($A65,'[1]Définition Maintenances'!$K:$K,0)),CB65,INDEX('[1]Définition Maintenances'!$G:$G,MATCH($A65,'[1]Définition Maintenances'!$K:$K,0))+CB65),CB65))</f>
        <v>1115</v>
      </c>
      <c r="CD65" s="26">
        <f>IF(ISNUMBER(VLOOKUP($D65,'Visu totale'!$D:$DH,CD$1,0)),CC65-VLOOKUP($D65,'Visu totale'!$D:$DH,CD$1,0),IF(LEFT(VLOOKUP($D65,'Visu totale'!$D:$DH,CD$1,0),1)="V",IF(CC65&gt;=INDEX('[1]Définition Maintenances'!$G:$G,MATCH($A65,'[1]Définition Maintenances'!$K:$K,0)),CC65,INDEX('[1]Définition Maintenances'!$G:$G,MATCH($A65,'[1]Définition Maintenances'!$K:$K,0))+CC65),CC65))</f>
        <v>1115</v>
      </c>
      <c r="CE65" s="26">
        <f>IF(ISNUMBER(VLOOKUP($D65,'Visu totale'!$D:$DH,CE$1,0)),CD65-VLOOKUP($D65,'Visu totale'!$D:$DH,CE$1,0),IF(LEFT(VLOOKUP($D65,'Visu totale'!$D:$DH,CE$1,0),1)="V",IF(CD65&gt;=INDEX('[1]Définition Maintenances'!$G:$G,MATCH($A65,'[1]Définition Maintenances'!$K:$K,0)),CD65,INDEX('[1]Définition Maintenances'!$G:$G,MATCH($A65,'[1]Définition Maintenances'!$K:$K,0))+CD65),CD65))</f>
        <v>1115</v>
      </c>
      <c r="CF65" s="26">
        <f>IF(ISNUMBER(VLOOKUP($D65,'Visu totale'!$D:$DH,CF$1,0)),CE65-VLOOKUP($D65,'Visu totale'!$D:$DH,CF$1,0),IF(LEFT(VLOOKUP($D65,'Visu totale'!$D:$DH,CF$1,0),1)="V",IF(CE65&gt;=INDEX('[1]Définition Maintenances'!$G:$G,MATCH($A65,'[1]Définition Maintenances'!$K:$K,0)),CE65,INDEX('[1]Définition Maintenances'!$G:$G,MATCH($A65,'[1]Définition Maintenances'!$K:$K,0))+CE65),CE65))</f>
        <v>1115</v>
      </c>
      <c r="CG65" s="26">
        <f>IF(ISNUMBER(VLOOKUP($D65,'Visu totale'!$D:$DH,CG$1,0)),CF65-VLOOKUP($D65,'Visu totale'!$D:$DH,CG$1,0),IF(LEFT(VLOOKUP($D65,'Visu totale'!$D:$DH,CG$1,0),1)="V",IF(CF65&gt;=INDEX('[1]Définition Maintenances'!$G:$G,MATCH($A65,'[1]Définition Maintenances'!$K:$K,0)),CF65,INDEX('[1]Définition Maintenances'!$G:$G,MATCH($A65,'[1]Définition Maintenances'!$K:$K,0))+CF65),CF65))</f>
        <v>1115</v>
      </c>
      <c r="CH65" s="26">
        <f>IF(ISNUMBER(VLOOKUP($D65,'Visu totale'!$D:$DH,CH$1,0)),CG65-VLOOKUP($D65,'Visu totale'!$D:$DH,CH$1,0),IF(LEFT(VLOOKUP($D65,'Visu totale'!$D:$DH,CH$1,0),1)="V",IF(CG65&gt;=INDEX('[1]Définition Maintenances'!$G:$G,MATCH($A65,'[1]Définition Maintenances'!$K:$K,0)),CG65,INDEX('[1]Définition Maintenances'!$G:$G,MATCH($A65,'[1]Définition Maintenances'!$K:$K,0))+CG65),CG65))</f>
        <v>1115</v>
      </c>
      <c r="CI65" s="26">
        <f>IF(ISNUMBER(VLOOKUP($D65,'Visu totale'!$D:$DH,CI$1,0)),CH65-VLOOKUP($D65,'Visu totale'!$D:$DH,CI$1,0),IF(LEFT(VLOOKUP($D65,'Visu totale'!$D:$DH,CI$1,0),1)="V",IF(CH65&gt;=INDEX('[1]Définition Maintenances'!$G:$G,MATCH($A65,'[1]Définition Maintenances'!$K:$K,0)),CH65,INDEX('[1]Définition Maintenances'!$G:$G,MATCH($A65,'[1]Définition Maintenances'!$K:$K,0))+CH65),CH65))</f>
        <v>1115</v>
      </c>
      <c r="CJ65" s="26">
        <f>IF(ISNUMBER(VLOOKUP($D65,'Visu totale'!$D:$DH,CJ$1,0)),CI65-VLOOKUP($D65,'Visu totale'!$D:$DH,CJ$1,0),IF(LEFT(VLOOKUP($D65,'Visu totale'!$D:$DH,CJ$1,0),1)="V",IF(CI65&gt;=INDEX('[1]Définition Maintenances'!$G:$G,MATCH($A65,'[1]Définition Maintenances'!$K:$K,0)),CI65,INDEX('[1]Définition Maintenances'!$G:$G,MATCH($A65,'[1]Définition Maintenances'!$K:$K,0))+CI65),CI65))</f>
        <v>1115</v>
      </c>
      <c r="CK65" s="27">
        <f>IF(ISNUMBER(VLOOKUP($D65,'Visu totale'!$D:$DH,CK$1,0)),CJ65-VLOOKUP($D65,'Visu totale'!$D:$DH,CK$1,0),IF(LEFT(VLOOKUP($D65,'Visu totale'!$D:$DH,CK$1,0),1)="V",IF(CJ65&gt;=INDEX('[1]Définition Maintenances'!$G:$G,MATCH($A65,'[1]Définition Maintenances'!$K:$K,0)),CJ65,INDEX('[1]Définition Maintenances'!$G:$G,MATCH($A65,'[1]Définition Maintenances'!$K:$K,0))+CJ65),CJ65))</f>
        <v>1115</v>
      </c>
      <c r="CL65" s="25">
        <f>IF(ISNUMBER(VLOOKUP($D65,'Visu totale'!$D:$DH,CL$1,0)),CK65-VLOOKUP($D65,'Visu totale'!$D:$DH,CL$1,0),IF(LEFT(VLOOKUP($D65,'Visu totale'!$D:$DH,CL$1,0),1)="V",IF(CK65&gt;=INDEX('[1]Définition Maintenances'!$G:$G,MATCH($A65,'[1]Définition Maintenances'!$K:$K,0)),CK65,INDEX('[1]Définition Maintenances'!$G:$G,MATCH($A65,'[1]Définition Maintenances'!$K:$K,0))+CK65),CK65))</f>
        <v>1115</v>
      </c>
      <c r="CM65" s="26">
        <f>IF(ISNUMBER(VLOOKUP($D65,'Visu totale'!$D:$DH,CM$1,0)),CL65-VLOOKUP($D65,'Visu totale'!$D:$DH,CM$1,0),IF(LEFT(VLOOKUP($D65,'Visu totale'!$D:$DH,CM$1,0),1)="V",IF(CL65&gt;=INDEX('[1]Définition Maintenances'!$G:$G,MATCH($A65,'[1]Définition Maintenances'!$K:$K,0)),CL65,INDEX('[1]Définition Maintenances'!$G:$G,MATCH($A65,'[1]Définition Maintenances'!$K:$K,0))+CL65),CL65))</f>
        <v>1115</v>
      </c>
      <c r="CN65" s="26">
        <f>IF(ISNUMBER(VLOOKUP($D65,'Visu totale'!$D:$DH,CN$1,0)),CM65-VLOOKUP($D65,'Visu totale'!$D:$DH,CN$1,0),IF(LEFT(VLOOKUP($D65,'Visu totale'!$D:$DH,CN$1,0),1)="V",IF(CM65&gt;=INDEX('[1]Définition Maintenances'!$G:$G,MATCH($A65,'[1]Définition Maintenances'!$K:$K,0)),CM65,INDEX('[1]Définition Maintenances'!$G:$G,MATCH($A65,'[1]Définition Maintenances'!$K:$K,0))+CM65),CM65))</f>
        <v>1115</v>
      </c>
      <c r="CO65" s="26">
        <f>IF(ISNUMBER(VLOOKUP($D65,'Visu totale'!$D:$DH,CO$1,0)),CN65-VLOOKUP($D65,'Visu totale'!$D:$DH,CO$1,0),IF(LEFT(VLOOKUP($D65,'Visu totale'!$D:$DH,CO$1,0),1)="V",IF(CN65&gt;=INDEX('[1]Définition Maintenances'!$G:$G,MATCH($A65,'[1]Définition Maintenances'!$K:$K,0)),CN65,INDEX('[1]Définition Maintenances'!$G:$G,MATCH($A65,'[1]Définition Maintenances'!$K:$K,0))+CN65),CN65))</f>
        <v>1115</v>
      </c>
      <c r="CP65" s="26">
        <f>IF(ISNUMBER(VLOOKUP($D65,'Visu totale'!$D:$DH,CP$1,0)),CO65-VLOOKUP($D65,'Visu totale'!$D:$DH,CP$1,0),IF(LEFT(VLOOKUP($D65,'Visu totale'!$D:$DH,CP$1,0),1)="V",IF(CO65&gt;=INDEX('[1]Définition Maintenances'!$G:$G,MATCH($A65,'[1]Définition Maintenances'!$K:$K,0)),CO65,INDEX('[1]Définition Maintenances'!$G:$G,MATCH($A65,'[1]Définition Maintenances'!$K:$K,0))+CO65),CO65))</f>
        <v>1115</v>
      </c>
      <c r="CQ65" s="26">
        <f>IF(ISNUMBER(VLOOKUP($D65,'Visu totale'!$D:$DH,CQ$1,0)),CP65-VLOOKUP($D65,'Visu totale'!$D:$DH,CQ$1,0),IF(LEFT(VLOOKUP($D65,'Visu totale'!$D:$DH,CQ$1,0),1)="V",IF(CP65&gt;=INDEX('[1]Définition Maintenances'!$G:$G,MATCH($A65,'[1]Définition Maintenances'!$K:$K,0)),CP65,INDEX('[1]Définition Maintenances'!$G:$G,MATCH($A65,'[1]Définition Maintenances'!$K:$K,0))+CP65),CP65))</f>
        <v>1115</v>
      </c>
      <c r="CR65" s="26">
        <f>IF(ISNUMBER(VLOOKUP($D65,'Visu totale'!$D:$DH,CR$1,0)),CQ65-VLOOKUP($D65,'Visu totale'!$D:$DH,CR$1,0),IF(LEFT(VLOOKUP($D65,'Visu totale'!$D:$DH,CR$1,0),1)="V",IF(CQ65&gt;=INDEX('[1]Définition Maintenances'!$G:$G,MATCH($A65,'[1]Définition Maintenances'!$K:$K,0)),CQ65,INDEX('[1]Définition Maintenances'!$G:$G,MATCH($A65,'[1]Définition Maintenances'!$K:$K,0))+CQ65),CQ65))</f>
        <v>1115</v>
      </c>
      <c r="CS65" s="26">
        <f>IF(ISNUMBER(VLOOKUP($D65,'Visu totale'!$D:$DH,CS$1,0)),CR65-VLOOKUP($D65,'Visu totale'!$D:$DH,CS$1,0),IF(LEFT(VLOOKUP($D65,'Visu totale'!$D:$DH,CS$1,0),1)="V",IF(CR65&gt;=INDEX('[1]Définition Maintenances'!$G:$G,MATCH($A65,'[1]Définition Maintenances'!$K:$K,0)),CR65,INDEX('[1]Définition Maintenances'!$G:$G,MATCH($A65,'[1]Définition Maintenances'!$K:$K,0))+CR65),CR65))</f>
        <v>1115</v>
      </c>
      <c r="CT65" s="26">
        <f>IF(ISNUMBER(VLOOKUP($D65,'Visu totale'!$D:$DH,CT$1,0)),CS65-VLOOKUP($D65,'Visu totale'!$D:$DH,CT$1,0),IF(LEFT(VLOOKUP($D65,'Visu totale'!$D:$DH,CT$1,0),1)="V",IF(CS65&gt;=INDEX('[1]Définition Maintenances'!$G:$G,MATCH($A65,'[1]Définition Maintenances'!$K:$K,0)),CS65,INDEX('[1]Définition Maintenances'!$G:$G,MATCH($A65,'[1]Définition Maintenances'!$K:$K,0))+CS65),CS65))</f>
        <v>1115</v>
      </c>
      <c r="CU65" s="26">
        <f>IF(ISNUMBER(VLOOKUP($D65,'Visu totale'!$D:$DH,CU$1,0)),CT65-VLOOKUP($D65,'Visu totale'!$D:$DH,CU$1,0),IF(LEFT(VLOOKUP($D65,'Visu totale'!$D:$DH,CU$1,0),1)="V",IF(CT65&gt;=INDEX('[1]Définition Maintenances'!$G:$G,MATCH($A65,'[1]Définition Maintenances'!$K:$K,0)),CT65,INDEX('[1]Définition Maintenances'!$G:$G,MATCH($A65,'[1]Définition Maintenances'!$K:$K,0))+CT65),CT65))</f>
        <v>1115</v>
      </c>
      <c r="CV65" s="26">
        <f>IF(ISNUMBER(VLOOKUP($D65,'Visu totale'!$D:$DH,CV$1,0)),CU65-VLOOKUP($D65,'Visu totale'!$D:$DH,CV$1,0),IF(LEFT(VLOOKUP($D65,'Visu totale'!$D:$DH,CV$1,0),1)="V",IF(CU65&gt;=INDEX('[1]Définition Maintenances'!$G:$G,MATCH($A65,'[1]Définition Maintenances'!$K:$K,0)),CU65,INDEX('[1]Définition Maintenances'!$G:$G,MATCH($A65,'[1]Définition Maintenances'!$K:$K,0))+CU65),CU65))</f>
        <v>1115</v>
      </c>
      <c r="CW65" s="27">
        <f>IF(ISNUMBER(VLOOKUP($D65,'Visu totale'!$D:$DH,CW$1,0)),CV65-VLOOKUP($D65,'Visu totale'!$D:$DH,CW$1,0),IF(LEFT(VLOOKUP($D65,'Visu totale'!$D:$DH,CW$1,0),1)="V",IF(CV65&gt;=INDEX('[1]Définition Maintenances'!$G:$G,MATCH($A65,'[1]Définition Maintenances'!$K:$K,0)),CV65,INDEX('[1]Définition Maintenances'!$G:$G,MATCH($A65,'[1]Définition Maintenances'!$K:$K,0))+CV65),CV65))</f>
        <v>1115</v>
      </c>
      <c r="CX65" s="25">
        <f>IF(ISNUMBER(VLOOKUP($D65,'Visu totale'!$D:$DH,CX$1,0)),CW65-VLOOKUP($D65,'Visu totale'!$D:$DH,CX$1,0),IF(LEFT(VLOOKUP($D65,'Visu totale'!$D:$DH,CX$1,0),1)="V",IF(CW65&gt;=INDEX('[1]Définition Maintenances'!$G:$G,MATCH($A65,'[1]Définition Maintenances'!$K:$K,0)),CW65,INDEX('[1]Définition Maintenances'!$G:$G,MATCH($A65,'[1]Définition Maintenances'!$K:$K,0))+CW65),CW65))</f>
        <v>1115</v>
      </c>
      <c r="CY65" s="26">
        <f>IF(ISNUMBER(VLOOKUP($D65,'Visu totale'!$D:$DH,CY$1,0)),CX65-VLOOKUP($D65,'Visu totale'!$D:$DH,CY$1,0),IF(LEFT(VLOOKUP($D65,'Visu totale'!$D:$DH,CY$1,0),1)="V",IF(CX65&gt;=INDEX('[1]Définition Maintenances'!$G:$G,MATCH($A65,'[1]Définition Maintenances'!$K:$K,0)),CX65,INDEX('[1]Définition Maintenances'!$G:$G,MATCH($A65,'[1]Définition Maintenances'!$K:$K,0))+CX65),CX65))</f>
        <v>1115</v>
      </c>
      <c r="CZ65" s="26">
        <f>IF(ISNUMBER(VLOOKUP($D65,'Visu totale'!$D:$DH,CZ$1,0)),CY65-VLOOKUP($D65,'Visu totale'!$D:$DH,CZ$1,0),IF(LEFT(VLOOKUP($D65,'Visu totale'!$D:$DH,CZ$1,0),1)="V",IF(CY65&gt;=INDEX('[1]Définition Maintenances'!$G:$G,MATCH($A65,'[1]Définition Maintenances'!$K:$K,0)),CY65,INDEX('[1]Définition Maintenances'!$G:$G,MATCH($A65,'[1]Définition Maintenances'!$K:$K,0))+CY65),CY65))</f>
        <v>1115</v>
      </c>
      <c r="DA65" s="26">
        <f>IF(ISNUMBER(VLOOKUP($D65,'Visu totale'!$D:$DH,DA$1,0)),CZ65-VLOOKUP($D65,'Visu totale'!$D:$DH,DA$1,0),IF(LEFT(VLOOKUP($D65,'Visu totale'!$D:$DH,DA$1,0),1)="V",IF(CZ65&gt;=INDEX('[1]Définition Maintenances'!$G:$G,MATCH($A65,'[1]Définition Maintenances'!$K:$K,0)),CZ65,INDEX('[1]Définition Maintenances'!$G:$G,MATCH($A65,'[1]Définition Maintenances'!$K:$K,0))+CZ65),CZ65))</f>
        <v>1115</v>
      </c>
      <c r="DB65" s="26">
        <f>IF(ISNUMBER(VLOOKUP($D65,'Visu totale'!$D:$DH,DB$1,0)),DA65-VLOOKUP($D65,'Visu totale'!$D:$DH,DB$1,0),IF(LEFT(VLOOKUP($D65,'Visu totale'!$D:$DH,DB$1,0),1)="V",IF(DA65&gt;=INDEX('[1]Définition Maintenances'!$G:$G,MATCH($A65,'[1]Définition Maintenances'!$K:$K,0)),DA65,INDEX('[1]Définition Maintenances'!$G:$G,MATCH($A65,'[1]Définition Maintenances'!$K:$K,0))+DA65),DA65))</f>
        <v>1115</v>
      </c>
      <c r="DC65" s="26">
        <f>IF(ISNUMBER(VLOOKUP($D65,'Visu totale'!$D:$DH,DC$1,0)),DB65-VLOOKUP($D65,'Visu totale'!$D:$DH,DC$1,0),IF(LEFT(VLOOKUP($D65,'Visu totale'!$D:$DH,DC$1,0),1)="V",IF(DB65&gt;=INDEX('[1]Définition Maintenances'!$G:$G,MATCH($A65,'[1]Définition Maintenances'!$K:$K,0)),DB65,INDEX('[1]Définition Maintenances'!$G:$G,MATCH($A65,'[1]Définition Maintenances'!$K:$K,0))+DB65),DB65))</f>
        <v>1115</v>
      </c>
      <c r="DD65" s="26">
        <f>IF(ISNUMBER(VLOOKUP($D65,'Visu totale'!$D:$DH,DD$1,0)),DC65-VLOOKUP($D65,'Visu totale'!$D:$DH,DD$1,0),IF(LEFT(VLOOKUP($D65,'Visu totale'!$D:$DH,DD$1,0),1)="V",IF(DC65&gt;=INDEX('[1]Définition Maintenances'!$G:$G,MATCH($A65,'[1]Définition Maintenances'!$K:$K,0)),DC65,INDEX('[1]Définition Maintenances'!$G:$G,MATCH($A65,'[1]Définition Maintenances'!$K:$K,0))+DC65),DC65))</f>
        <v>1115</v>
      </c>
      <c r="DE65" s="26">
        <f>IF(ISNUMBER(VLOOKUP($D65,'Visu totale'!$D:$DH,DE$1,0)),DD65-VLOOKUP($D65,'Visu totale'!$D:$DH,DE$1,0),IF(LEFT(VLOOKUP($D65,'Visu totale'!$D:$DH,DE$1,0),1)="V",IF(DD65&gt;=INDEX('[1]Définition Maintenances'!$G:$G,MATCH($A65,'[1]Définition Maintenances'!$K:$K,0)),DD65,INDEX('[1]Définition Maintenances'!$G:$G,MATCH($A65,'[1]Définition Maintenances'!$K:$K,0))+DD65),DD65))</f>
        <v>1115</v>
      </c>
      <c r="DF65" s="26">
        <f>IF(ISNUMBER(VLOOKUP($D65,'Visu totale'!$D:$DH,DF$1,0)),DE65-VLOOKUP($D65,'Visu totale'!$D:$DH,DF$1,0),IF(LEFT(VLOOKUP($D65,'Visu totale'!$D:$DH,DF$1,0),1)="V",IF(DE65&gt;=INDEX('[1]Définition Maintenances'!$G:$G,MATCH($A65,'[1]Définition Maintenances'!$K:$K,0)),DE65,INDEX('[1]Définition Maintenances'!$G:$G,MATCH($A65,'[1]Définition Maintenances'!$K:$K,0))+DE65),DE65))</f>
        <v>1115</v>
      </c>
      <c r="DG65" s="26">
        <f>IF(ISNUMBER(VLOOKUP($D65,'Visu totale'!$D:$DH,DG$1,0)),DF65-VLOOKUP($D65,'Visu totale'!$D:$DH,DG$1,0),IF(LEFT(VLOOKUP($D65,'Visu totale'!$D:$DH,DG$1,0),1)="V",IF(DF65&gt;=INDEX('[1]Définition Maintenances'!$G:$G,MATCH($A65,'[1]Définition Maintenances'!$K:$K,0)),DF65,INDEX('[1]Définition Maintenances'!$G:$G,MATCH($A65,'[1]Définition Maintenances'!$K:$K,0))+DF65),DF65))</f>
        <v>1115</v>
      </c>
      <c r="DH65" s="26">
        <f>IF(ISNUMBER(VLOOKUP($D65,'Visu totale'!$D:$DH,DH$1,0)),DG65-VLOOKUP($D65,'Visu totale'!$D:$DH,DH$1,0),IF(LEFT(VLOOKUP($D65,'Visu totale'!$D:$DH,DH$1,0),1)="V",IF(DG65&gt;=INDEX('[1]Définition Maintenances'!$G:$G,MATCH($A65,'[1]Définition Maintenances'!$K:$K,0)),DG65,INDEX('[1]Définition Maintenances'!$G:$G,MATCH($A65,'[1]Définition Maintenances'!$K:$K,0))+DG65),DG65))</f>
        <v>1115</v>
      </c>
      <c r="DI65" s="27">
        <f>IF(ISNUMBER(VLOOKUP($D65,'Visu totale'!$D:$DH,DI$1,0)),DH65-VLOOKUP($D65,'Visu totale'!$D:$DH,DI$1,0),IF(LEFT(VLOOKUP($D65,'Visu totale'!$D:$DH,DI$1,0),1)="V",IF(DH65&gt;=INDEX('[1]Définition Maintenances'!$G:$G,MATCH($A65,'[1]Définition Maintenances'!$K:$K,0)),DH65,INDEX('[1]Définition Maintenances'!$G:$G,MATCH($A65,'[1]Définition Maintenances'!$K:$K,0))+DH65),DH65))</f>
        <v>1115</v>
      </c>
    </row>
    <row r="66" spans="1:113" x14ac:dyDescent="0.25">
      <c r="A66" s="13" t="str">
        <f t="shared" si="1"/>
        <v>V15D</v>
      </c>
      <c r="B66" s="13" t="str">
        <f>VLOOKUP(D66,'[1]Avions (Potentiels)'!$B$2:$H$128,7,FALSE)</f>
        <v>V15</v>
      </c>
      <c r="C66" s="13"/>
      <c r="D66" s="16" t="s">
        <v>69</v>
      </c>
      <c r="E66" s="13">
        <f>IFERROR(VALUE(SUBSTITUTE(VLOOKUP(D66,'[1]Avions (Potentiels)'!$B:$E,4,0),".",",")),VALUE(VLOOKUP(D66,'[1]Avions (Potentiels)'!$B:$E,4,0)))</f>
        <v>200</v>
      </c>
      <c r="F66" s="25">
        <f>IF(ISNUMBER(VLOOKUP($D66,'Visu totale'!$D:$DH,F$1,0)),E66-VLOOKUP($D66,'Visu totale'!$D:$DH,F$1,0),IF(LEFT(VLOOKUP($D66,'Visu totale'!$D:$DH,F$1,0),1)="V",IF(E66&gt;=INDEX('[1]Définition Maintenances'!$G:$G,MATCH($A66,'[1]Définition Maintenances'!$K:$K,0)),E66,INDEX('[1]Définition Maintenances'!$G:$G,MATCH($A66,'[1]Définition Maintenances'!$K:$K,0))+E66),E66))</f>
        <v>200</v>
      </c>
      <c r="G66" s="26">
        <f>IF(ISNUMBER(VLOOKUP($D66,'Visu totale'!$D:$DH,G$1,0)),F66-VLOOKUP($D66,'Visu totale'!$D:$DH,G$1,0),IF(LEFT(VLOOKUP($D66,'Visu totale'!$D:$DH,G$1,0),1)="V",IF(F66&gt;=INDEX('[1]Définition Maintenances'!$G:$G,MATCH($A66,'[1]Définition Maintenances'!$K:$K,0)),F66,INDEX('[1]Définition Maintenances'!$G:$G,MATCH($A66,'[1]Définition Maintenances'!$K:$K,0))+F66),F66))</f>
        <v>200</v>
      </c>
      <c r="H66" s="26">
        <f>IF(ISNUMBER(VLOOKUP($D66,'Visu totale'!$D:$DH,H$1,0)),G66-VLOOKUP($D66,'Visu totale'!$D:$DH,H$1,0),IF(LEFT(VLOOKUP($D66,'Visu totale'!$D:$DH,H$1,0),1)="V",IF(G66&gt;=INDEX('[1]Définition Maintenances'!$G:$G,MATCH($A66,'[1]Définition Maintenances'!$K:$K,0)),G66,INDEX('[1]Définition Maintenances'!$G:$G,MATCH($A66,'[1]Définition Maintenances'!$K:$K,0))+G66),G66))</f>
        <v>200</v>
      </c>
      <c r="I66" s="26">
        <f>IF(ISNUMBER(VLOOKUP($D66,'Visu totale'!$D:$DH,I$1,0)),H66-VLOOKUP($D66,'Visu totale'!$D:$DH,I$1,0),IF(LEFT(VLOOKUP($D66,'Visu totale'!$D:$DH,I$1,0),1)="V",IF(H66&gt;=INDEX('[1]Définition Maintenances'!$G:$G,MATCH($A66,'[1]Définition Maintenances'!$K:$K,0)),H66,INDEX('[1]Définition Maintenances'!$G:$G,MATCH($A66,'[1]Définition Maintenances'!$K:$K,0))+H66),H66))</f>
        <v>200</v>
      </c>
      <c r="J66" s="26">
        <f>IF(ISNUMBER(VLOOKUP($D66,'Visu totale'!$D:$DH,J$1,0)),I66-VLOOKUP($D66,'Visu totale'!$D:$DH,J$1,0),IF(LEFT(VLOOKUP($D66,'Visu totale'!$D:$DH,J$1,0),1)="V",IF(I66&gt;=INDEX('[1]Définition Maintenances'!$G:$G,MATCH($A66,'[1]Définition Maintenances'!$K:$K,0)),I66,INDEX('[1]Définition Maintenances'!$G:$G,MATCH($A66,'[1]Définition Maintenances'!$K:$K,0))+I66),I66))</f>
        <v>200</v>
      </c>
      <c r="K66" s="26">
        <f>IF(ISNUMBER(VLOOKUP($D66,'Visu totale'!$D:$DH,K$1,0)),J66-VLOOKUP($D66,'Visu totale'!$D:$DH,K$1,0),IF(LEFT(VLOOKUP($D66,'Visu totale'!$D:$DH,K$1,0),1)="V",IF(J66&gt;=INDEX('[1]Définition Maintenances'!$G:$G,MATCH($A66,'[1]Définition Maintenances'!$K:$K,0)),J66,INDEX('[1]Définition Maintenances'!$G:$G,MATCH($A66,'[1]Définition Maintenances'!$K:$K,0))+J66),J66))</f>
        <v>200</v>
      </c>
      <c r="L66" s="26">
        <f>IF(ISNUMBER(VLOOKUP($D66,'Visu totale'!$D:$DH,L$1,0)),K66-VLOOKUP($D66,'Visu totale'!$D:$DH,L$1,0),IF(LEFT(VLOOKUP($D66,'Visu totale'!$D:$DH,L$1,0),1)="V",IF(K66&gt;=INDEX('[1]Définition Maintenances'!$G:$G,MATCH($A66,'[1]Définition Maintenances'!$K:$K,0)),K66,INDEX('[1]Définition Maintenances'!$G:$G,MATCH($A66,'[1]Définition Maintenances'!$K:$K,0))+K66),K66))</f>
        <v>200</v>
      </c>
      <c r="M66" s="26">
        <f>IF(ISNUMBER(VLOOKUP($D66,'Visu totale'!$D:$DH,M$1,0)),L66-VLOOKUP($D66,'Visu totale'!$D:$DH,M$1,0),IF(LEFT(VLOOKUP($D66,'Visu totale'!$D:$DH,M$1,0),1)="V",IF(L66&gt;=INDEX('[1]Définition Maintenances'!$G:$G,MATCH($A66,'[1]Définition Maintenances'!$K:$K,0)),L66,INDEX('[1]Définition Maintenances'!$G:$G,MATCH($A66,'[1]Définition Maintenances'!$K:$K,0))+L66),L66))</f>
        <v>200</v>
      </c>
      <c r="N66" s="26">
        <f>IF(ISNUMBER(VLOOKUP($D66,'Visu totale'!$D:$DH,N$1,0)),M66-VLOOKUP($D66,'Visu totale'!$D:$DH,N$1,0),IF(LEFT(VLOOKUP($D66,'Visu totale'!$D:$DH,N$1,0),1)="V",IF(M66&gt;=INDEX('[1]Définition Maintenances'!$G:$G,MATCH($A66,'[1]Définition Maintenances'!$K:$K,0)),M66,INDEX('[1]Définition Maintenances'!$G:$G,MATCH($A66,'[1]Définition Maintenances'!$K:$K,0))+M66),M66))</f>
        <v>200</v>
      </c>
      <c r="O66" s="26">
        <f>IF(ISNUMBER(VLOOKUP($D66,'Visu totale'!$D:$DH,O$1,0)),N66-VLOOKUP($D66,'Visu totale'!$D:$DH,O$1,0),IF(LEFT(VLOOKUP($D66,'Visu totale'!$D:$DH,O$1,0),1)="V",IF(N66&gt;=INDEX('[1]Définition Maintenances'!$G:$G,MATCH($A66,'[1]Définition Maintenances'!$K:$K,0)),N66,INDEX('[1]Définition Maintenances'!$G:$G,MATCH($A66,'[1]Définition Maintenances'!$K:$K,0))+N66),N66))</f>
        <v>200</v>
      </c>
      <c r="P66" s="26">
        <f>IF(ISNUMBER(VLOOKUP($D66,'Visu totale'!$D:$DH,P$1,0)),O66-VLOOKUP($D66,'Visu totale'!$D:$DH,P$1,0),IF(LEFT(VLOOKUP($D66,'Visu totale'!$D:$DH,P$1,0),1)="V",IF(O66&gt;=INDEX('[1]Définition Maintenances'!$G:$G,MATCH($A66,'[1]Définition Maintenances'!$K:$K,0)),O66,INDEX('[1]Définition Maintenances'!$G:$G,MATCH($A66,'[1]Définition Maintenances'!$K:$K,0))+O66),O66))</f>
        <v>200</v>
      </c>
      <c r="Q66" s="27">
        <f>IF(ISNUMBER(VLOOKUP($D66,'Visu totale'!$D:$DH,Q$1,0)),P66-VLOOKUP($D66,'Visu totale'!$D:$DH,Q$1,0),IF(LEFT(VLOOKUP($D66,'Visu totale'!$D:$DH,Q$1,0),1)="V",IF(P66&gt;=INDEX('[1]Définition Maintenances'!$G:$G,MATCH($A66,'[1]Définition Maintenances'!$K:$K,0)),P66,INDEX('[1]Définition Maintenances'!$G:$G,MATCH($A66,'[1]Définition Maintenances'!$K:$K,0))+P66),P66))</f>
        <v>200</v>
      </c>
      <c r="R66" s="25">
        <f>IF(ISNUMBER(VLOOKUP($D66,'Visu totale'!$D:$DH,R$1,0)),Q66-VLOOKUP($D66,'Visu totale'!$D:$DH,R$1,0),IF(LEFT(VLOOKUP($D66,'Visu totale'!$D:$DH,R$1,0),1)="V",IF(Q66&gt;=INDEX('[1]Définition Maintenances'!$G:$G,MATCH($A66,'[1]Définition Maintenances'!$K:$K,0)),Q66,INDEX('[1]Définition Maintenances'!$G:$G,MATCH($A66,'[1]Définition Maintenances'!$K:$K,0))+Q66),Q66))</f>
        <v>200</v>
      </c>
      <c r="S66" s="26">
        <f>IF(ISNUMBER(VLOOKUP($D66,'Visu totale'!$D:$DH,S$1,0)),R66-VLOOKUP($D66,'Visu totale'!$D:$DH,S$1,0),IF(LEFT(VLOOKUP($D66,'Visu totale'!$D:$DH,S$1,0),1)="V",IF(R66&gt;=INDEX('[1]Définition Maintenances'!$G:$G,MATCH($A66,'[1]Définition Maintenances'!$K:$K,0)),R66,INDEX('[1]Définition Maintenances'!$G:$G,MATCH($A66,'[1]Définition Maintenances'!$K:$K,0))+R66),R66))</f>
        <v>200</v>
      </c>
      <c r="T66" s="26">
        <f>IF(ISNUMBER(VLOOKUP($D66,'Visu totale'!$D:$DH,T$1,0)),S66-VLOOKUP($D66,'Visu totale'!$D:$DH,T$1,0),IF(LEFT(VLOOKUP($D66,'Visu totale'!$D:$DH,T$1,0),1)="V",IF(S66&gt;=INDEX('[1]Définition Maintenances'!$G:$G,MATCH($A66,'[1]Définition Maintenances'!$K:$K,0)),S66,INDEX('[1]Définition Maintenances'!$G:$G,MATCH($A66,'[1]Définition Maintenances'!$K:$K,0))+S66),S66))</f>
        <v>200</v>
      </c>
      <c r="U66" s="26">
        <f>IF(ISNUMBER(VLOOKUP($D66,'Visu totale'!$D:$DH,U$1,0)),T66-VLOOKUP($D66,'Visu totale'!$D:$DH,U$1,0),IF(LEFT(VLOOKUP($D66,'Visu totale'!$D:$DH,U$1,0),1)="V",IF(T66&gt;=INDEX('[1]Définition Maintenances'!$G:$G,MATCH($A66,'[1]Définition Maintenances'!$K:$K,0)),T66,INDEX('[1]Définition Maintenances'!$G:$G,MATCH($A66,'[1]Définition Maintenances'!$K:$K,0))+T66),T66))</f>
        <v>200</v>
      </c>
      <c r="V66" s="26">
        <f>IF(ISNUMBER(VLOOKUP($D66,'Visu totale'!$D:$DH,V$1,0)),U66-VLOOKUP($D66,'Visu totale'!$D:$DH,V$1,0),IF(LEFT(VLOOKUP($D66,'Visu totale'!$D:$DH,V$1,0),1)="V",IF(U66&gt;=INDEX('[1]Définition Maintenances'!$G:$G,MATCH($A66,'[1]Définition Maintenances'!$K:$K,0)),U66,INDEX('[1]Définition Maintenances'!$G:$G,MATCH($A66,'[1]Définition Maintenances'!$K:$K,0))+U66),U66))</f>
        <v>200</v>
      </c>
      <c r="W66" s="26">
        <f>IF(ISNUMBER(VLOOKUP($D66,'Visu totale'!$D:$DH,W$1,0)),V66-VLOOKUP($D66,'Visu totale'!$D:$DH,W$1,0),IF(LEFT(VLOOKUP($D66,'Visu totale'!$D:$DH,W$1,0),1)="V",IF(V66&gt;=INDEX('[1]Définition Maintenances'!$G:$G,MATCH($A66,'[1]Définition Maintenances'!$K:$K,0)),V66,INDEX('[1]Définition Maintenances'!$G:$G,MATCH($A66,'[1]Définition Maintenances'!$K:$K,0))+V66),V66))</f>
        <v>200</v>
      </c>
      <c r="X66" s="26">
        <f>IF(ISNUMBER(VLOOKUP($D66,'Visu totale'!$D:$DH,X$1,0)),W66-VLOOKUP($D66,'Visu totale'!$D:$DH,X$1,0),IF(LEFT(VLOOKUP($D66,'Visu totale'!$D:$DH,X$1,0),1)="V",IF(W66&gt;=INDEX('[1]Définition Maintenances'!$G:$G,MATCH($A66,'[1]Définition Maintenances'!$K:$K,0)),W66,INDEX('[1]Définition Maintenances'!$G:$G,MATCH($A66,'[1]Définition Maintenances'!$K:$K,0))+W66),W66))</f>
        <v>200</v>
      </c>
      <c r="Y66" s="26">
        <f>IF(ISNUMBER(VLOOKUP($D66,'Visu totale'!$D:$DH,Y$1,0)),X66-VLOOKUP($D66,'Visu totale'!$D:$DH,Y$1,0),IF(LEFT(VLOOKUP($D66,'Visu totale'!$D:$DH,Y$1,0),1)="V",IF(X66&gt;=INDEX('[1]Définition Maintenances'!$G:$G,MATCH($A66,'[1]Définition Maintenances'!$K:$K,0)),X66,INDEX('[1]Définition Maintenances'!$G:$G,MATCH($A66,'[1]Définition Maintenances'!$K:$K,0))+X66),X66))</f>
        <v>200</v>
      </c>
      <c r="Z66" s="26">
        <f>IF(ISNUMBER(VLOOKUP($D66,'Visu totale'!$D:$DH,Z$1,0)),Y66-VLOOKUP($D66,'Visu totale'!$D:$DH,Z$1,0),IF(LEFT(VLOOKUP($D66,'Visu totale'!$D:$DH,Z$1,0),1)="V",IF(Y66&gt;=INDEX('[1]Définition Maintenances'!$G:$G,MATCH($A66,'[1]Définition Maintenances'!$K:$K,0)),Y66,INDEX('[1]Définition Maintenances'!$G:$G,MATCH($A66,'[1]Définition Maintenances'!$K:$K,0))+Y66),Y66))</f>
        <v>200</v>
      </c>
      <c r="AA66" s="26">
        <f>IF(ISNUMBER(VLOOKUP($D66,'Visu totale'!$D:$DH,AA$1,0)),Z66-VLOOKUP($D66,'Visu totale'!$D:$DH,AA$1,0),IF(LEFT(VLOOKUP($D66,'Visu totale'!$D:$DH,AA$1,0),1)="V",IF(Z66&gt;=INDEX('[1]Définition Maintenances'!$G:$G,MATCH($A66,'[1]Définition Maintenances'!$K:$K,0)),Z66,INDEX('[1]Définition Maintenances'!$G:$G,MATCH($A66,'[1]Définition Maintenances'!$K:$K,0))+Z66),Z66))</f>
        <v>200</v>
      </c>
      <c r="AB66" s="26">
        <f>IF(ISNUMBER(VLOOKUP($D66,'Visu totale'!$D:$DH,AB$1,0)),AA66-VLOOKUP($D66,'Visu totale'!$D:$DH,AB$1,0),IF(LEFT(VLOOKUP($D66,'Visu totale'!$D:$DH,AB$1,0),1)="V",IF(AA66&gt;=INDEX('[1]Définition Maintenances'!$G:$G,MATCH($A66,'[1]Définition Maintenances'!$K:$K,0)),AA66,INDEX('[1]Définition Maintenances'!$G:$G,MATCH($A66,'[1]Définition Maintenances'!$K:$K,0))+AA66),AA66))</f>
        <v>200</v>
      </c>
      <c r="AC66" s="27">
        <f>IF(ISNUMBER(VLOOKUP($D66,'Visu totale'!$D:$DH,AC$1,0)),AB66-VLOOKUP($D66,'Visu totale'!$D:$DH,AC$1,0),IF(LEFT(VLOOKUP($D66,'Visu totale'!$D:$DH,AC$1,0),1)="V",IF(AB66&gt;=INDEX('[1]Définition Maintenances'!$G:$G,MATCH($A66,'[1]Définition Maintenances'!$K:$K,0)),AB66,INDEX('[1]Définition Maintenances'!$G:$G,MATCH($A66,'[1]Définition Maintenances'!$K:$K,0))+AB66),AB66))</f>
        <v>200</v>
      </c>
      <c r="AD66" s="25">
        <f>IF(ISNUMBER(VLOOKUP($D66,'Visu totale'!$D:$DH,AD$1,0)),AC66-VLOOKUP($D66,'Visu totale'!$D:$DH,AD$1,0),IF(LEFT(VLOOKUP($D66,'Visu totale'!$D:$DH,AD$1,0),1)="V",IF(AC66&gt;=INDEX('[1]Définition Maintenances'!$G:$G,MATCH($A66,'[1]Définition Maintenances'!$K:$K,0)),AC66,INDEX('[1]Définition Maintenances'!$G:$G,MATCH($A66,'[1]Définition Maintenances'!$K:$K,0))+AC66),AC66))</f>
        <v>200</v>
      </c>
      <c r="AE66" s="26">
        <f>IF(ISNUMBER(VLOOKUP($D66,'Visu totale'!$D:$DH,AE$1,0)),AD66-VLOOKUP($D66,'Visu totale'!$D:$DH,AE$1,0),IF(LEFT(VLOOKUP($D66,'Visu totale'!$D:$DH,AE$1,0),1)="V",IF(AD66&gt;=INDEX('[1]Définition Maintenances'!$G:$G,MATCH($A66,'[1]Définition Maintenances'!$K:$K,0)),AD66,INDEX('[1]Définition Maintenances'!$G:$G,MATCH($A66,'[1]Définition Maintenances'!$K:$K,0))+AD66),AD66))</f>
        <v>200</v>
      </c>
      <c r="AF66" s="26">
        <f>IF(ISNUMBER(VLOOKUP($D66,'Visu totale'!$D:$DH,AF$1,0)),AE66-VLOOKUP($D66,'Visu totale'!$D:$DH,AF$1,0),IF(LEFT(VLOOKUP($D66,'Visu totale'!$D:$DH,AF$1,0),1)="V",IF(AE66&gt;=INDEX('[1]Définition Maintenances'!$G:$G,MATCH($A66,'[1]Définition Maintenances'!$K:$K,0)),AE66,INDEX('[1]Définition Maintenances'!$G:$G,MATCH($A66,'[1]Définition Maintenances'!$K:$K,0))+AE66),AE66))</f>
        <v>200</v>
      </c>
      <c r="AG66" s="26">
        <f>IF(ISNUMBER(VLOOKUP($D66,'Visu totale'!$D:$DH,AG$1,0)),AF66-VLOOKUP($D66,'Visu totale'!$D:$DH,AG$1,0),IF(LEFT(VLOOKUP($D66,'Visu totale'!$D:$DH,AG$1,0),1)="V",IF(AF66&gt;=INDEX('[1]Définition Maintenances'!$G:$G,MATCH($A66,'[1]Définition Maintenances'!$K:$K,0)),AF66,INDEX('[1]Définition Maintenances'!$G:$G,MATCH($A66,'[1]Définition Maintenances'!$K:$K,0))+AF66),AF66))</f>
        <v>200</v>
      </c>
      <c r="AH66" s="26">
        <f>IF(ISNUMBER(VLOOKUP($D66,'Visu totale'!$D:$DH,AH$1,0)),AG66-VLOOKUP($D66,'Visu totale'!$D:$DH,AH$1,0),IF(LEFT(VLOOKUP($D66,'Visu totale'!$D:$DH,AH$1,0),1)="V",IF(AG66&gt;=INDEX('[1]Définition Maintenances'!$G:$G,MATCH($A66,'[1]Définition Maintenances'!$K:$K,0)),AG66,INDEX('[1]Définition Maintenances'!$G:$G,MATCH($A66,'[1]Définition Maintenances'!$K:$K,0))+AG66),AG66))</f>
        <v>200</v>
      </c>
      <c r="AI66" s="26">
        <f>IF(ISNUMBER(VLOOKUP($D66,'Visu totale'!$D:$DH,AI$1,0)),AH66-VLOOKUP($D66,'Visu totale'!$D:$DH,AI$1,0),IF(LEFT(VLOOKUP($D66,'Visu totale'!$D:$DH,AI$1,0),1)="V",IF(AH66&gt;=INDEX('[1]Définition Maintenances'!$G:$G,MATCH($A66,'[1]Définition Maintenances'!$K:$K,0)),AH66,INDEX('[1]Définition Maintenances'!$G:$G,MATCH($A66,'[1]Définition Maintenances'!$K:$K,0))+AH66),AH66))</f>
        <v>200</v>
      </c>
      <c r="AJ66" s="26">
        <f>IF(ISNUMBER(VLOOKUP($D66,'Visu totale'!$D:$DH,AJ$1,0)),AI66-VLOOKUP($D66,'Visu totale'!$D:$DH,AJ$1,0),IF(LEFT(VLOOKUP($D66,'Visu totale'!$D:$DH,AJ$1,0),1)="V",IF(AI66&gt;=INDEX('[1]Définition Maintenances'!$G:$G,MATCH($A66,'[1]Définition Maintenances'!$K:$K,0)),AI66,INDEX('[1]Définition Maintenances'!$G:$G,MATCH($A66,'[1]Définition Maintenances'!$K:$K,0))+AI66),AI66))</f>
        <v>200</v>
      </c>
      <c r="AK66" s="26">
        <f>IF(ISNUMBER(VLOOKUP($D66,'Visu totale'!$D:$DH,AK$1,0)),AJ66-VLOOKUP($D66,'Visu totale'!$D:$DH,AK$1,0),IF(LEFT(VLOOKUP($D66,'Visu totale'!$D:$DH,AK$1,0),1)="V",IF(AJ66&gt;=INDEX('[1]Définition Maintenances'!$G:$G,MATCH($A66,'[1]Définition Maintenances'!$K:$K,0)),AJ66,INDEX('[1]Définition Maintenances'!$G:$G,MATCH($A66,'[1]Définition Maintenances'!$K:$K,0))+AJ66),AJ66))</f>
        <v>200</v>
      </c>
      <c r="AL66" s="26">
        <f>IF(ISNUMBER(VLOOKUP($D66,'Visu totale'!$D:$DH,AL$1,0)),AK66-VLOOKUP($D66,'Visu totale'!$D:$DH,AL$1,0),IF(LEFT(VLOOKUP($D66,'Visu totale'!$D:$DH,AL$1,0),1)="V",IF(AK66&gt;=INDEX('[1]Définition Maintenances'!$G:$G,MATCH($A66,'[1]Définition Maintenances'!$K:$K,0)),AK66,INDEX('[1]Définition Maintenances'!$G:$G,MATCH($A66,'[1]Définition Maintenances'!$K:$K,0))+AK66),AK66))</f>
        <v>200</v>
      </c>
      <c r="AM66" s="26">
        <f>IF(ISNUMBER(VLOOKUP($D66,'Visu totale'!$D:$DH,AM$1,0)),AL66-VLOOKUP($D66,'Visu totale'!$D:$DH,AM$1,0),IF(LEFT(VLOOKUP($D66,'Visu totale'!$D:$DH,AM$1,0),1)="V",IF(AL66&gt;=INDEX('[1]Définition Maintenances'!$G:$G,MATCH($A66,'[1]Définition Maintenances'!$K:$K,0)),AL66,INDEX('[1]Définition Maintenances'!$G:$G,MATCH($A66,'[1]Définition Maintenances'!$K:$K,0))+AL66),AL66))</f>
        <v>200</v>
      </c>
      <c r="AN66" s="26">
        <f>IF(ISNUMBER(VLOOKUP($D66,'Visu totale'!$D:$DH,AN$1,0)),AM66-VLOOKUP($D66,'Visu totale'!$D:$DH,AN$1,0),IF(LEFT(VLOOKUP($D66,'Visu totale'!$D:$DH,AN$1,0),1)="V",IF(AM66&gt;=INDEX('[1]Définition Maintenances'!$G:$G,MATCH($A66,'[1]Définition Maintenances'!$K:$K,0)),AM66,INDEX('[1]Définition Maintenances'!$G:$G,MATCH($A66,'[1]Définition Maintenances'!$K:$K,0))+AM66),AM66))</f>
        <v>200</v>
      </c>
      <c r="AO66" s="27">
        <f>IF(ISNUMBER(VLOOKUP($D66,'Visu totale'!$D:$DH,AO$1,0)),AN66-VLOOKUP($D66,'Visu totale'!$D:$DH,AO$1,0),IF(LEFT(VLOOKUP($D66,'Visu totale'!$D:$DH,AO$1,0),1)="V",IF(AN66&gt;=INDEX('[1]Définition Maintenances'!$G:$G,MATCH($A66,'[1]Définition Maintenances'!$K:$K,0)),AN66,INDEX('[1]Définition Maintenances'!$G:$G,MATCH($A66,'[1]Définition Maintenances'!$K:$K,0))+AN66),AN66))</f>
        <v>200</v>
      </c>
      <c r="AP66" s="25">
        <f>IF(ISNUMBER(VLOOKUP($D66,'Visu totale'!$D:$DH,AP$1,0)),AO66-VLOOKUP($D66,'Visu totale'!$D:$DH,AP$1,0),IF(LEFT(VLOOKUP($D66,'Visu totale'!$D:$DH,AP$1,0),1)="V",IF(AO66&gt;=INDEX('[1]Définition Maintenances'!$G:$G,MATCH($A66,'[1]Définition Maintenances'!$K:$K,0)),AO66,INDEX('[1]Définition Maintenances'!$G:$G,MATCH($A66,'[1]Définition Maintenances'!$K:$K,0))+AO66),AO66))</f>
        <v>200</v>
      </c>
      <c r="AQ66" s="26">
        <f>IF(ISNUMBER(VLOOKUP($D66,'Visu totale'!$D:$DH,AQ$1,0)),AP66-VLOOKUP($D66,'Visu totale'!$D:$DH,AQ$1,0),IF(LEFT(VLOOKUP($D66,'Visu totale'!$D:$DH,AQ$1,0),1)="V",IF(AP66&gt;=INDEX('[1]Définition Maintenances'!$G:$G,MATCH($A66,'[1]Définition Maintenances'!$K:$K,0)),AP66,INDEX('[1]Définition Maintenances'!$G:$G,MATCH($A66,'[1]Définition Maintenances'!$K:$K,0))+AP66),AP66))</f>
        <v>200</v>
      </c>
      <c r="AR66" s="26">
        <f>IF(ISNUMBER(VLOOKUP($D66,'Visu totale'!$D:$DH,AR$1,0)),AQ66-VLOOKUP($D66,'Visu totale'!$D:$DH,AR$1,0),IF(LEFT(VLOOKUP($D66,'Visu totale'!$D:$DH,AR$1,0),1)="V",IF(AQ66&gt;=INDEX('[1]Définition Maintenances'!$G:$G,MATCH($A66,'[1]Définition Maintenances'!$K:$K,0)),AQ66,INDEX('[1]Définition Maintenances'!$G:$G,MATCH($A66,'[1]Définition Maintenances'!$K:$K,0))+AQ66),AQ66))</f>
        <v>200</v>
      </c>
      <c r="AS66" s="26">
        <f>IF(ISNUMBER(VLOOKUP($D66,'Visu totale'!$D:$DH,AS$1,0)),AR66-VLOOKUP($D66,'Visu totale'!$D:$DH,AS$1,0),IF(LEFT(VLOOKUP($D66,'Visu totale'!$D:$DH,AS$1,0),1)="V",IF(AR66&gt;=INDEX('[1]Définition Maintenances'!$G:$G,MATCH($A66,'[1]Définition Maintenances'!$K:$K,0)),AR66,INDEX('[1]Définition Maintenances'!$G:$G,MATCH($A66,'[1]Définition Maintenances'!$K:$K,0))+AR66),AR66))</f>
        <v>200</v>
      </c>
      <c r="AT66" s="26">
        <f>IF(ISNUMBER(VLOOKUP($D66,'Visu totale'!$D:$DH,AT$1,0)),AS66-VLOOKUP($D66,'Visu totale'!$D:$DH,AT$1,0),IF(LEFT(VLOOKUP($D66,'Visu totale'!$D:$DH,AT$1,0),1)="V",IF(AS66&gt;=INDEX('[1]Définition Maintenances'!$G:$G,MATCH($A66,'[1]Définition Maintenances'!$K:$K,0)),AS66,INDEX('[1]Définition Maintenances'!$G:$G,MATCH($A66,'[1]Définition Maintenances'!$K:$K,0))+AS66),AS66))</f>
        <v>200</v>
      </c>
      <c r="AU66" s="26">
        <f>IF(ISNUMBER(VLOOKUP($D66,'Visu totale'!$D:$DH,AU$1,0)),AT66-VLOOKUP($D66,'Visu totale'!$D:$DH,AU$1,0),IF(LEFT(VLOOKUP($D66,'Visu totale'!$D:$DH,AU$1,0),1)="V",IF(AT66&gt;=INDEX('[1]Définition Maintenances'!$G:$G,MATCH($A66,'[1]Définition Maintenances'!$K:$K,0)),AT66,INDEX('[1]Définition Maintenances'!$G:$G,MATCH($A66,'[1]Définition Maintenances'!$K:$K,0))+AT66),AT66))</f>
        <v>200</v>
      </c>
      <c r="AV66" s="26">
        <f>IF(ISNUMBER(VLOOKUP($D66,'Visu totale'!$D:$DH,AV$1,0)),AU66-VLOOKUP($D66,'Visu totale'!$D:$DH,AV$1,0),IF(LEFT(VLOOKUP($D66,'Visu totale'!$D:$DH,AV$1,0),1)="V",IF(AU66&gt;=INDEX('[1]Définition Maintenances'!$G:$G,MATCH($A66,'[1]Définition Maintenances'!$K:$K,0)),AU66,INDEX('[1]Définition Maintenances'!$G:$G,MATCH($A66,'[1]Définition Maintenances'!$K:$K,0))+AU66),AU66))</f>
        <v>200</v>
      </c>
      <c r="AW66" s="26">
        <f>IF(ISNUMBER(VLOOKUP($D66,'Visu totale'!$D:$DH,AW$1,0)),AV66-VLOOKUP($D66,'Visu totale'!$D:$DH,AW$1,0),IF(LEFT(VLOOKUP($D66,'Visu totale'!$D:$DH,AW$1,0),1)="V",IF(AV66&gt;=INDEX('[1]Définition Maintenances'!$G:$G,MATCH($A66,'[1]Définition Maintenances'!$K:$K,0)),AV66,INDEX('[1]Définition Maintenances'!$G:$G,MATCH($A66,'[1]Définition Maintenances'!$K:$K,0))+AV66),AV66))</f>
        <v>200</v>
      </c>
      <c r="AX66" s="26">
        <f>IF(ISNUMBER(VLOOKUP($D66,'Visu totale'!$D:$DH,AX$1,0)),AW66-VLOOKUP($D66,'Visu totale'!$D:$DH,AX$1,0),IF(LEFT(VLOOKUP($D66,'Visu totale'!$D:$DH,AX$1,0),1)="V",IF(AW66&gt;=INDEX('[1]Définition Maintenances'!$G:$G,MATCH($A66,'[1]Définition Maintenances'!$K:$K,0)),AW66,INDEX('[1]Définition Maintenances'!$G:$G,MATCH($A66,'[1]Définition Maintenances'!$K:$K,0))+AW66),AW66))</f>
        <v>200</v>
      </c>
      <c r="AY66" s="26">
        <f>IF(ISNUMBER(VLOOKUP($D66,'Visu totale'!$D:$DH,AY$1,0)),AX66-VLOOKUP($D66,'Visu totale'!$D:$DH,AY$1,0),IF(LEFT(VLOOKUP($D66,'Visu totale'!$D:$DH,AY$1,0),1)="V",IF(AX66&gt;=INDEX('[1]Définition Maintenances'!$G:$G,MATCH($A66,'[1]Définition Maintenances'!$K:$K,0)),AX66,INDEX('[1]Définition Maintenances'!$G:$G,MATCH($A66,'[1]Définition Maintenances'!$K:$K,0))+AX66),AX66))</f>
        <v>200</v>
      </c>
      <c r="AZ66" s="26">
        <f>IF(ISNUMBER(VLOOKUP($D66,'Visu totale'!$D:$DH,AZ$1,0)),AY66-VLOOKUP($D66,'Visu totale'!$D:$DH,AZ$1,0),IF(LEFT(VLOOKUP($D66,'Visu totale'!$D:$DH,AZ$1,0),1)="V",IF(AY66&gt;=INDEX('[1]Définition Maintenances'!$G:$G,MATCH($A66,'[1]Définition Maintenances'!$K:$K,0)),AY66,INDEX('[1]Définition Maintenances'!$G:$G,MATCH($A66,'[1]Définition Maintenances'!$K:$K,0))+AY66),AY66))</f>
        <v>200</v>
      </c>
      <c r="BA66" s="27">
        <f>IF(ISNUMBER(VLOOKUP($D66,'Visu totale'!$D:$DH,BA$1,0)),AZ66-VLOOKUP($D66,'Visu totale'!$D:$DH,BA$1,0),IF(LEFT(VLOOKUP($D66,'Visu totale'!$D:$DH,BA$1,0),1)="V",IF(AZ66&gt;=INDEX('[1]Définition Maintenances'!$G:$G,MATCH($A66,'[1]Définition Maintenances'!$K:$K,0)),AZ66,INDEX('[1]Définition Maintenances'!$G:$G,MATCH($A66,'[1]Définition Maintenances'!$K:$K,0))+AZ66),AZ66))</f>
        <v>200</v>
      </c>
      <c r="BB66" s="25">
        <f>IF(ISNUMBER(VLOOKUP($D66,'Visu totale'!$D:$DH,BB$1,0)),BA66-VLOOKUP($D66,'Visu totale'!$D:$DH,BB$1,0),IF(LEFT(VLOOKUP($D66,'Visu totale'!$D:$DH,BB$1,0),1)="V",IF(BA66&gt;=INDEX('[1]Définition Maintenances'!$G:$G,MATCH($A66,'[1]Définition Maintenances'!$K:$K,0)),BA66,INDEX('[1]Définition Maintenances'!$G:$G,MATCH($A66,'[1]Définition Maintenances'!$K:$K,0))+BA66),BA66))</f>
        <v>200</v>
      </c>
      <c r="BC66" s="26">
        <f>IF(ISNUMBER(VLOOKUP($D66,'Visu totale'!$D:$DH,BC$1,0)),BB66-VLOOKUP($D66,'Visu totale'!$D:$DH,BC$1,0),IF(LEFT(VLOOKUP($D66,'Visu totale'!$D:$DH,BC$1,0),1)="V",IF(BB66&gt;=INDEX('[1]Définition Maintenances'!$G:$G,MATCH($A66,'[1]Définition Maintenances'!$K:$K,0)),BB66,INDEX('[1]Définition Maintenances'!$G:$G,MATCH($A66,'[1]Définition Maintenances'!$K:$K,0))+BB66),BB66))</f>
        <v>200</v>
      </c>
      <c r="BD66" s="26">
        <f>IF(ISNUMBER(VLOOKUP($D66,'Visu totale'!$D:$DH,BD$1,0)),BC66-VLOOKUP($D66,'Visu totale'!$D:$DH,BD$1,0),IF(LEFT(VLOOKUP($D66,'Visu totale'!$D:$DH,BD$1,0),1)="V",IF(BC66&gt;=INDEX('[1]Définition Maintenances'!$G:$G,MATCH($A66,'[1]Définition Maintenances'!$K:$K,0)),BC66,INDEX('[1]Définition Maintenances'!$G:$G,MATCH($A66,'[1]Définition Maintenances'!$K:$K,0))+BC66),BC66))</f>
        <v>200</v>
      </c>
      <c r="BE66" s="26">
        <f>IF(ISNUMBER(VLOOKUP($D66,'Visu totale'!$D:$DH,BE$1,0)),BD66-VLOOKUP($D66,'Visu totale'!$D:$DH,BE$1,0),IF(LEFT(VLOOKUP($D66,'Visu totale'!$D:$DH,BE$1,0),1)="V",IF(BD66&gt;=INDEX('[1]Définition Maintenances'!$G:$G,MATCH($A66,'[1]Définition Maintenances'!$K:$K,0)),BD66,INDEX('[1]Définition Maintenances'!$G:$G,MATCH($A66,'[1]Définition Maintenances'!$K:$K,0))+BD66),BD66))</f>
        <v>200</v>
      </c>
      <c r="BF66" s="26">
        <f>IF(ISNUMBER(VLOOKUP($D66,'Visu totale'!$D:$DH,BF$1,0)),BE66-VLOOKUP($D66,'Visu totale'!$D:$DH,BF$1,0),IF(LEFT(VLOOKUP($D66,'Visu totale'!$D:$DH,BF$1,0),1)="V",IF(BE66&gt;=INDEX('[1]Définition Maintenances'!$G:$G,MATCH($A66,'[1]Définition Maintenances'!$K:$K,0)),BE66,INDEX('[1]Définition Maintenances'!$G:$G,MATCH($A66,'[1]Définition Maintenances'!$K:$K,0))+BE66),BE66))</f>
        <v>200</v>
      </c>
      <c r="BG66" s="26">
        <f>IF(ISNUMBER(VLOOKUP($D66,'Visu totale'!$D:$DH,BG$1,0)),BF66-VLOOKUP($D66,'Visu totale'!$D:$DH,BG$1,0),IF(LEFT(VLOOKUP($D66,'Visu totale'!$D:$DH,BG$1,0),1)="V",IF(BF66&gt;=INDEX('[1]Définition Maintenances'!$G:$G,MATCH($A66,'[1]Définition Maintenances'!$K:$K,0)),BF66,INDEX('[1]Définition Maintenances'!$G:$G,MATCH($A66,'[1]Définition Maintenances'!$K:$K,0))+BF66),BF66))</f>
        <v>200</v>
      </c>
      <c r="BH66" s="26">
        <f>IF(ISNUMBER(VLOOKUP($D66,'Visu totale'!$D:$DH,BH$1,0)),BG66-VLOOKUP($D66,'Visu totale'!$D:$DH,BH$1,0),IF(LEFT(VLOOKUP($D66,'Visu totale'!$D:$DH,BH$1,0),1)="V",IF(BG66&gt;=INDEX('[1]Définition Maintenances'!$G:$G,MATCH($A66,'[1]Définition Maintenances'!$K:$K,0)),BG66,INDEX('[1]Définition Maintenances'!$G:$G,MATCH($A66,'[1]Définition Maintenances'!$K:$K,0))+BG66),BG66))</f>
        <v>200</v>
      </c>
      <c r="BI66" s="26">
        <f>IF(ISNUMBER(VLOOKUP($D66,'Visu totale'!$D:$DH,BI$1,0)),BH66-VLOOKUP($D66,'Visu totale'!$D:$DH,BI$1,0),IF(LEFT(VLOOKUP($D66,'Visu totale'!$D:$DH,BI$1,0),1)="V",IF(BH66&gt;=INDEX('[1]Définition Maintenances'!$G:$G,MATCH($A66,'[1]Définition Maintenances'!$K:$K,0)),BH66,INDEX('[1]Définition Maintenances'!$G:$G,MATCH($A66,'[1]Définition Maintenances'!$K:$K,0))+BH66),BH66))</f>
        <v>200</v>
      </c>
      <c r="BJ66" s="26">
        <f>IF(ISNUMBER(VLOOKUP($D66,'Visu totale'!$D:$DH,BJ$1,0)),BI66-VLOOKUP($D66,'Visu totale'!$D:$DH,BJ$1,0),IF(LEFT(VLOOKUP($D66,'Visu totale'!$D:$DH,BJ$1,0),1)="V",IF(BI66&gt;=INDEX('[1]Définition Maintenances'!$G:$G,MATCH($A66,'[1]Définition Maintenances'!$K:$K,0)),BI66,INDEX('[1]Définition Maintenances'!$G:$G,MATCH($A66,'[1]Définition Maintenances'!$K:$K,0))+BI66),BI66))</f>
        <v>200</v>
      </c>
      <c r="BK66" s="26">
        <f>IF(ISNUMBER(VLOOKUP($D66,'Visu totale'!$D:$DH,BK$1,0)),BJ66-VLOOKUP($D66,'Visu totale'!$D:$DH,BK$1,0),IF(LEFT(VLOOKUP($D66,'Visu totale'!$D:$DH,BK$1,0),1)="V",IF(BJ66&gt;=INDEX('[1]Définition Maintenances'!$G:$G,MATCH($A66,'[1]Définition Maintenances'!$K:$K,0)),BJ66,INDEX('[1]Définition Maintenances'!$G:$G,MATCH($A66,'[1]Définition Maintenances'!$K:$K,0))+BJ66),BJ66))</f>
        <v>200</v>
      </c>
      <c r="BL66" s="26">
        <f>IF(ISNUMBER(VLOOKUP($D66,'Visu totale'!$D:$DH,BL$1,0)),BK66-VLOOKUP($D66,'Visu totale'!$D:$DH,BL$1,0),IF(LEFT(VLOOKUP($D66,'Visu totale'!$D:$DH,BL$1,0),1)="V",IF(BK66&gt;=INDEX('[1]Définition Maintenances'!$G:$G,MATCH($A66,'[1]Définition Maintenances'!$K:$K,0)),BK66,INDEX('[1]Définition Maintenances'!$G:$G,MATCH($A66,'[1]Définition Maintenances'!$K:$K,0))+BK66),BK66))</f>
        <v>200</v>
      </c>
      <c r="BM66" s="27">
        <f>IF(ISNUMBER(VLOOKUP($D66,'Visu totale'!$D:$DH,BM$1,0)),BL66-VLOOKUP($D66,'Visu totale'!$D:$DH,BM$1,0),IF(LEFT(VLOOKUP($D66,'Visu totale'!$D:$DH,BM$1,0),1)="V",IF(BL66&gt;=INDEX('[1]Définition Maintenances'!$G:$G,MATCH($A66,'[1]Définition Maintenances'!$K:$K,0)),BL66,INDEX('[1]Définition Maintenances'!$G:$G,MATCH($A66,'[1]Définition Maintenances'!$K:$K,0))+BL66),BL66))</f>
        <v>200</v>
      </c>
      <c r="BN66" s="25">
        <f>IF(ISNUMBER(VLOOKUP($D66,'Visu totale'!$D:$DH,BN$1,0)),BM66-VLOOKUP($D66,'Visu totale'!$D:$DH,BN$1,0),IF(LEFT(VLOOKUP($D66,'Visu totale'!$D:$DH,BN$1,0),1)="V",IF(BM66&gt;=INDEX('[1]Définition Maintenances'!$G:$G,MATCH($A66,'[1]Définition Maintenances'!$K:$K,0)),BM66,INDEX('[1]Définition Maintenances'!$G:$G,MATCH($A66,'[1]Définition Maintenances'!$K:$K,0))+BM66),BM66))</f>
        <v>200</v>
      </c>
      <c r="BO66" s="26">
        <f>IF(ISNUMBER(VLOOKUP($D66,'Visu totale'!$D:$DH,BO$1,0)),BN66-VLOOKUP($D66,'Visu totale'!$D:$DH,BO$1,0),IF(LEFT(VLOOKUP($D66,'Visu totale'!$D:$DH,BO$1,0),1)="V",IF(BN66&gt;=INDEX('[1]Définition Maintenances'!$G:$G,MATCH($A66,'[1]Définition Maintenances'!$K:$K,0)),BN66,INDEX('[1]Définition Maintenances'!$G:$G,MATCH($A66,'[1]Définition Maintenances'!$K:$K,0))+BN66),BN66))</f>
        <v>200</v>
      </c>
      <c r="BP66" s="26">
        <f>IF(ISNUMBER(VLOOKUP($D66,'Visu totale'!$D:$DH,BP$1,0)),BO66-VLOOKUP($D66,'Visu totale'!$D:$DH,BP$1,0),IF(LEFT(VLOOKUP($D66,'Visu totale'!$D:$DH,BP$1,0),1)="V",IF(BO66&gt;=INDEX('[1]Définition Maintenances'!$G:$G,MATCH($A66,'[1]Définition Maintenances'!$K:$K,0)),BO66,INDEX('[1]Définition Maintenances'!$G:$G,MATCH($A66,'[1]Définition Maintenances'!$K:$K,0))+BO66),BO66))</f>
        <v>200</v>
      </c>
      <c r="BQ66" s="26">
        <f>IF(ISNUMBER(VLOOKUP($D66,'Visu totale'!$D:$DH,BQ$1,0)),BP66-VLOOKUP($D66,'Visu totale'!$D:$DH,BQ$1,0),IF(LEFT(VLOOKUP($D66,'Visu totale'!$D:$DH,BQ$1,0),1)="V",IF(BP66&gt;=INDEX('[1]Définition Maintenances'!$G:$G,MATCH($A66,'[1]Définition Maintenances'!$K:$K,0)),BP66,INDEX('[1]Définition Maintenances'!$G:$G,MATCH($A66,'[1]Définition Maintenances'!$K:$K,0))+BP66),BP66))</f>
        <v>200</v>
      </c>
      <c r="BR66" s="26">
        <f>IF(ISNUMBER(VLOOKUP($D66,'Visu totale'!$D:$DH,BR$1,0)),BQ66-VLOOKUP($D66,'Visu totale'!$D:$DH,BR$1,0),IF(LEFT(VLOOKUP($D66,'Visu totale'!$D:$DH,BR$1,0),1)="V",IF(BQ66&gt;=INDEX('[1]Définition Maintenances'!$G:$G,MATCH($A66,'[1]Définition Maintenances'!$K:$K,0)),BQ66,INDEX('[1]Définition Maintenances'!$G:$G,MATCH($A66,'[1]Définition Maintenances'!$K:$K,0))+BQ66),BQ66))</f>
        <v>200</v>
      </c>
      <c r="BS66" s="26">
        <f>IF(ISNUMBER(VLOOKUP($D66,'Visu totale'!$D:$DH,BS$1,0)),BR66-VLOOKUP($D66,'Visu totale'!$D:$DH,BS$1,0),IF(LEFT(VLOOKUP($D66,'Visu totale'!$D:$DH,BS$1,0),1)="V",IF(BR66&gt;=INDEX('[1]Définition Maintenances'!$G:$G,MATCH($A66,'[1]Définition Maintenances'!$K:$K,0)),BR66,INDEX('[1]Définition Maintenances'!$G:$G,MATCH($A66,'[1]Définition Maintenances'!$K:$K,0))+BR66),BR66))</f>
        <v>200</v>
      </c>
      <c r="BT66" s="26">
        <f>IF(ISNUMBER(VLOOKUP($D66,'Visu totale'!$D:$DH,BT$1,0)),BS66-VLOOKUP($D66,'Visu totale'!$D:$DH,BT$1,0),IF(LEFT(VLOOKUP($D66,'Visu totale'!$D:$DH,BT$1,0),1)="V",IF(BS66&gt;=INDEX('[1]Définition Maintenances'!$G:$G,MATCH($A66,'[1]Définition Maintenances'!$K:$K,0)),BS66,INDEX('[1]Définition Maintenances'!$G:$G,MATCH($A66,'[1]Définition Maintenances'!$K:$K,0))+BS66),BS66))</f>
        <v>200</v>
      </c>
      <c r="BU66" s="26">
        <f>IF(ISNUMBER(VLOOKUP($D66,'Visu totale'!$D:$DH,BU$1,0)),BT66-VLOOKUP($D66,'Visu totale'!$D:$DH,BU$1,0),IF(LEFT(VLOOKUP($D66,'Visu totale'!$D:$DH,BU$1,0),1)="V",IF(BT66&gt;=INDEX('[1]Définition Maintenances'!$G:$G,MATCH($A66,'[1]Définition Maintenances'!$K:$K,0)),BT66,INDEX('[1]Définition Maintenances'!$G:$G,MATCH($A66,'[1]Définition Maintenances'!$K:$K,0))+BT66),BT66))</f>
        <v>200</v>
      </c>
      <c r="BV66" s="26">
        <f>IF(ISNUMBER(VLOOKUP($D66,'Visu totale'!$D:$DH,BV$1,0)),BU66-VLOOKUP($D66,'Visu totale'!$D:$DH,BV$1,0),IF(LEFT(VLOOKUP($D66,'Visu totale'!$D:$DH,BV$1,0),1)="V",IF(BU66&gt;=INDEX('[1]Définition Maintenances'!$G:$G,MATCH($A66,'[1]Définition Maintenances'!$K:$K,0)),BU66,INDEX('[1]Définition Maintenances'!$G:$G,MATCH($A66,'[1]Définition Maintenances'!$K:$K,0))+BU66),BU66))</f>
        <v>200</v>
      </c>
      <c r="BW66" s="26">
        <f>IF(ISNUMBER(VLOOKUP($D66,'Visu totale'!$D:$DH,BW$1,0)),BV66-VLOOKUP($D66,'Visu totale'!$D:$DH,BW$1,0),IF(LEFT(VLOOKUP($D66,'Visu totale'!$D:$DH,BW$1,0),1)="V",IF(BV66&gt;=INDEX('[1]Définition Maintenances'!$G:$G,MATCH($A66,'[1]Définition Maintenances'!$K:$K,0)),BV66,INDEX('[1]Définition Maintenances'!$G:$G,MATCH($A66,'[1]Définition Maintenances'!$K:$K,0))+BV66),BV66))</f>
        <v>200</v>
      </c>
      <c r="BX66" s="26">
        <f>IF(ISNUMBER(VLOOKUP($D66,'Visu totale'!$D:$DH,BX$1,0)),BW66-VLOOKUP($D66,'Visu totale'!$D:$DH,BX$1,0),IF(LEFT(VLOOKUP($D66,'Visu totale'!$D:$DH,BX$1,0),1)="V",IF(BW66&gt;=INDEX('[1]Définition Maintenances'!$G:$G,MATCH($A66,'[1]Définition Maintenances'!$K:$K,0)),BW66,INDEX('[1]Définition Maintenances'!$G:$G,MATCH($A66,'[1]Définition Maintenances'!$K:$K,0))+BW66),BW66))</f>
        <v>200</v>
      </c>
      <c r="BY66" s="27">
        <f>IF(ISNUMBER(VLOOKUP($D66,'Visu totale'!$D:$DH,BY$1,0)),BX66-VLOOKUP($D66,'Visu totale'!$D:$DH,BY$1,0),IF(LEFT(VLOOKUP($D66,'Visu totale'!$D:$DH,BY$1,0),1)="V",IF(BX66&gt;=INDEX('[1]Définition Maintenances'!$G:$G,MATCH($A66,'[1]Définition Maintenances'!$K:$K,0)),BX66,INDEX('[1]Définition Maintenances'!$G:$G,MATCH($A66,'[1]Définition Maintenances'!$K:$K,0))+BX66),BX66))</f>
        <v>200</v>
      </c>
      <c r="BZ66" s="25">
        <f>IF(ISNUMBER(VLOOKUP($D66,'Visu totale'!$D:$DH,BZ$1,0)),BY66-VLOOKUP($D66,'Visu totale'!$D:$DH,BZ$1,0),IF(LEFT(VLOOKUP($D66,'Visu totale'!$D:$DH,BZ$1,0),1)="V",IF(BY66&gt;=INDEX('[1]Définition Maintenances'!$G:$G,MATCH($A66,'[1]Définition Maintenances'!$K:$K,0)),BY66,INDEX('[1]Définition Maintenances'!$G:$G,MATCH($A66,'[1]Définition Maintenances'!$K:$K,0))+BY66),BY66))</f>
        <v>200</v>
      </c>
      <c r="CA66" s="26">
        <f>IF(ISNUMBER(VLOOKUP($D66,'Visu totale'!$D:$DH,CA$1,0)),BZ66-VLOOKUP($D66,'Visu totale'!$D:$DH,CA$1,0),IF(LEFT(VLOOKUP($D66,'Visu totale'!$D:$DH,CA$1,0),1)="V",IF(BZ66&gt;=INDEX('[1]Définition Maintenances'!$G:$G,MATCH($A66,'[1]Définition Maintenances'!$K:$K,0)),BZ66,INDEX('[1]Définition Maintenances'!$G:$G,MATCH($A66,'[1]Définition Maintenances'!$K:$K,0))+BZ66),BZ66))</f>
        <v>200</v>
      </c>
      <c r="CB66" s="26">
        <f>IF(ISNUMBER(VLOOKUP($D66,'Visu totale'!$D:$DH,CB$1,0)),CA66-VLOOKUP($D66,'Visu totale'!$D:$DH,CB$1,0),IF(LEFT(VLOOKUP($D66,'Visu totale'!$D:$DH,CB$1,0),1)="V",IF(CA66&gt;=INDEX('[1]Définition Maintenances'!$G:$G,MATCH($A66,'[1]Définition Maintenances'!$K:$K,0)),CA66,INDEX('[1]Définition Maintenances'!$G:$G,MATCH($A66,'[1]Définition Maintenances'!$K:$K,0))+CA66),CA66))</f>
        <v>200</v>
      </c>
      <c r="CC66" s="26">
        <f>IF(ISNUMBER(VLOOKUP($D66,'Visu totale'!$D:$DH,CC$1,0)),CB66-VLOOKUP($D66,'Visu totale'!$D:$DH,CC$1,0),IF(LEFT(VLOOKUP($D66,'Visu totale'!$D:$DH,CC$1,0),1)="V",IF(CB66&gt;=INDEX('[1]Définition Maintenances'!$G:$G,MATCH($A66,'[1]Définition Maintenances'!$K:$K,0)),CB66,INDEX('[1]Définition Maintenances'!$G:$G,MATCH($A66,'[1]Définition Maintenances'!$K:$K,0))+CB66),CB66))</f>
        <v>200</v>
      </c>
      <c r="CD66" s="26">
        <f>IF(ISNUMBER(VLOOKUP($D66,'Visu totale'!$D:$DH,CD$1,0)),CC66-VLOOKUP($D66,'Visu totale'!$D:$DH,CD$1,0),IF(LEFT(VLOOKUP($D66,'Visu totale'!$D:$DH,CD$1,0),1)="V",IF(CC66&gt;=INDEX('[1]Définition Maintenances'!$G:$G,MATCH($A66,'[1]Définition Maintenances'!$K:$K,0)),CC66,INDEX('[1]Définition Maintenances'!$G:$G,MATCH($A66,'[1]Définition Maintenances'!$K:$K,0))+CC66),CC66))</f>
        <v>200</v>
      </c>
      <c r="CE66" s="26">
        <f>IF(ISNUMBER(VLOOKUP($D66,'Visu totale'!$D:$DH,CE$1,0)),CD66-VLOOKUP($D66,'Visu totale'!$D:$DH,CE$1,0),IF(LEFT(VLOOKUP($D66,'Visu totale'!$D:$DH,CE$1,0),1)="V",IF(CD66&gt;=INDEX('[1]Définition Maintenances'!$G:$G,MATCH($A66,'[1]Définition Maintenances'!$K:$K,0)),CD66,INDEX('[1]Définition Maintenances'!$G:$G,MATCH($A66,'[1]Définition Maintenances'!$K:$K,0))+CD66),CD66))</f>
        <v>200</v>
      </c>
      <c r="CF66" s="26">
        <f>IF(ISNUMBER(VLOOKUP($D66,'Visu totale'!$D:$DH,CF$1,0)),CE66-VLOOKUP($D66,'Visu totale'!$D:$DH,CF$1,0),IF(LEFT(VLOOKUP($D66,'Visu totale'!$D:$DH,CF$1,0),1)="V",IF(CE66&gt;=INDEX('[1]Définition Maintenances'!$G:$G,MATCH($A66,'[1]Définition Maintenances'!$K:$K,0)),CE66,INDEX('[1]Définition Maintenances'!$G:$G,MATCH($A66,'[1]Définition Maintenances'!$K:$K,0))+CE66),CE66))</f>
        <v>200</v>
      </c>
      <c r="CG66" s="26">
        <f>IF(ISNUMBER(VLOOKUP($D66,'Visu totale'!$D:$DH,CG$1,0)),CF66-VLOOKUP($D66,'Visu totale'!$D:$DH,CG$1,0),IF(LEFT(VLOOKUP($D66,'Visu totale'!$D:$DH,CG$1,0),1)="V",IF(CF66&gt;=INDEX('[1]Définition Maintenances'!$G:$G,MATCH($A66,'[1]Définition Maintenances'!$K:$K,0)),CF66,INDEX('[1]Définition Maintenances'!$G:$G,MATCH($A66,'[1]Définition Maintenances'!$K:$K,0))+CF66),CF66))</f>
        <v>200</v>
      </c>
      <c r="CH66" s="26">
        <f>IF(ISNUMBER(VLOOKUP($D66,'Visu totale'!$D:$DH,CH$1,0)),CG66-VLOOKUP($D66,'Visu totale'!$D:$DH,CH$1,0),IF(LEFT(VLOOKUP($D66,'Visu totale'!$D:$DH,CH$1,0),1)="V",IF(CG66&gt;=INDEX('[1]Définition Maintenances'!$G:$G,MATCH($A66,'[1]Définition Maintenances'!$K:$K,0)),CG66,INDEX('[1]Définition Maintenances'!$G:$G,MATCH($A66,'[1]Définition Maintenances'!$K:$K,0))+CG66),CG66))</f>
        <v>200</v>
      </c>
      <c r="CI66" s="26">
        <f>IF(ISNUMBER(VLOOKUP($D66,'Visu totale'!$D:$DH,CI$1,0)),CH66-VLOOKUP($D66,'Visu totale'!$D:$DH,CI$1,0),IF(LEFT(VLOOKUP($D66,'Visu totale'!$D:$DH,CI$1,0),1)="V",IF(CH66&gt;=INDEX('[1]Définition Maintenances'!$G:$G,MATCH($A66,'[1]Définition Maintenances'!$K:$K,0)),CH66,INDEX('[1]Définition Maintenances'!$G:$G,MATCH($A66,'[1]Définition Maintenances'!$K:$K,0))+CH66),CH66))</f>
        <v>200</v>
      </c>
      <c r="CJ66" s="26">
        <f>IF(ISNUMBER(VLOOKUP($D66,'Visu totale'!$D:$DH,CJ$1,0)),CI66-VLOOKUP($D66,'Visu totale'!$D:$DH,CJ$1,0),IF(LEFT(VLOOKUP($D66,'Visu totale'!$D:$DH,CJ$1,0),1)="V",IF(CI66&gt;=INDEX('[1]Définition Maintenances'!$G:$G,MATCH($A66,'[1]Définition Maintenances'!$K:$K,0)),CI66,INDEX('[1]Définition Maintenances'!$G:$G,MATCH($A66,'[1]Définition Maintenances'!$K:$K,0))+CI66),CI66))</f>
        <v>200</v>
      </c>
      <c r="CK66" s="27">
        <f>IF(ISNUMBER(VLOOKUP($D66,'Visu totale'!$D:$DH,CK$1,0)),CJ66-VLOOKUP($D66,'Visu totale'!$D:$DH,CK$1,0),IF(LEFT(VLOOKUP($D66,'Visu totale'!$D:$DH,CK$1,0),1)="V",IF(CJ66&gt;=INDEX('[1]Définition Maintenances'!$G:$G,MATCH($A66,'[1]Définition Maintenances'!$K:$K,0)),CJ66,INDEX('[1]Définition Maintenances'!$G:$G,MATCH($A66,'[1]Définition Maintenances'!$K:$K,0))+CJ66),CJ66))</f>
        <v>200</v>
      </c>
      <c r="CL66" s="25">
        <f>IF(ISNUMBER(VLOOKUP($D66,'Visu totale'!$D:$DH,CL$1,0)),CK66-VLOOKUP($D66,'Visu totale'!$D:$DH,CL$1,0),IF(LEFT(VLOOKUP($D66,'Visu totale'!$D:$DH,CL$1,0),1)="V",IF(CK66&gt;=INDEX('[1]Définition Maintenances'!$G:$G,MATCH($A66,'[1]Définition Maintenances'!$K:$K,0)),CK66,INDEX('[1]Définition Maintenances'!$G:$G,MATCH($A66,'[1]Définition Maintenances'!$K:$K,0))+CK66),CK66))</f>
        <v>200</v>
      </c>
      <c r="CM66" s="26">
        <f>IF(ISNUMBER(VLOOKUP($D66,'Visu totale'!$D:$DH,CM$1,0)),CL66-VLOOKUP($D66,'Visu totale'!$D:$DH,CM$1,0),IF(LEFT(VLOOKUP($D66,'Visu totale'!$D:$DH,CM$1,0),1)="V",IF(CL66&gt;=INDEX('[1]Définition Maintenances'!$G:$G,MATCH($A66,'[1]Définition Maintenances'!$K:$K,0)),CL66,INDEX('[1]Définition Maintenances'!$G:$G,MATCH($A66,'[1]Définition Maintenances'!$K:$K,0))+CL66),CL66))</f>
        <v>200</v>
      </c>
      <c r="CN66" s="26">
        <f>IF(ISNUMBER(VLOOKUP($D66,'Visu totale'!$D:$DH,CN$1,0)),CM66-VLOOKUP($D66,'Visu totale'!$D:$DH,CN$1,0),IF(LEFT(VLOOKUP($D66,'Visu totale'!$D:$DH,CN$1,0),1)="V",IF(CM66&gt;=INDEX('[1]Définition Maintenances'!$G:$G,MATCH($A66,'[1]Définition Maintenances'!$K:$K,0)),CM66,INDEX('[1]Définition Maintenances'!$G:$G,MATCH($A66,'[1]Définition Maintenances'!$K:$K,0))+CM66),CM66))</f>
        <v>200</v>
      </c>
      <c r="CO66" s="26">
        <f>IF(ISNUMBER(VLOOKUP($D66,'Visu totale'!$D:$DH,CO$1,0)),CN66-VLOOKUP($D66,'Visu totale'!$D:$DH,CO$1,0),IF(LEFT(VLOOKUP($D66,'Visu totale'!$D:$DH,CO$1,0),1)="V",IF(CN66&gt;=INDEX('[1]Définition Maintenances'!$G:$G,MATCH($A66,'[1]Définition Maintenances'!$K:$K,0)),CN66,INDEX('[1]Définition Maintenances'!$G:$G,MATCH($A66,'[1]Définition Maintenances'!$K:$K,0))+CN66),CN66))</f>
        <v>200</v>
      </c>
      <c r="CP66" s="26">
        <f>IF(ISNUMBER(VLOOKUP($D66,'Visu totale'!$D:$DH,CP$1,0)),CO66-VLOOKUP($D66,'Visu totale'!$D:$DH,CP$1,0),IF(LEFT(VLOOKUP($D66,'Visu totale'!$D:$DH,CP$1,0),1)="V",IF(CO66&gt;=INDEX('[1]Définition Maintenances'!$G:$G,MATCH($A66,'[1]Définition Maintenances'!$K:$K,0)),CO66,INDEX('[1]Définition Maintenances'!$G:$G,MATCH($A66,'[1]Définition Maintenances'!$K:$K,0))+CO66),CO66))</f>
        <v>200</v>
      </c>
      <c r="CQ66" s="26">
        <f>IF(ISNUMBER(VLOOKUP($D66,'Visu totale'!$D:$DH,CQ$1,0)),CP66-VLOOKUP($D66,'Visu totale'!$D:$DH,CQ$1,0),IF(LEFT(VLOOKUP($D66,'Visu totale'!$D:$DH,CQ$1,0),1)="V",IF(CP66&gt;=INDEX('[1]Définition Maintenances'!$G:$G,MATCH($A66,'[1]Définition Maintenances'!$K:$K,0)),CP66,INDEX('[1]Définition Maintenances'!$G:$G,MATCH($A66,'[1]Définition Maintenances'!$K:$K,0))+CP66),CP66))</f>
        <v>200</v>
      </c>
      <c r="CR66" s="26">
        <f>IF(ISNUMBER(VLOOKUP($D66,'Visu totale'!$D:$DH,CR$1,0)),CQ66-VLOOKUP($D66,'Visu totale'!$D:$DH,CR$1,0),IF(LEFT(VLOOKUP($D66,'Visu totale'!$D:$DH,CR$1,0),1)="V",IF(CQ66&gt;=INDEX('[1]Définition Maintenances'!$G:$G,MATCH($A66,'[1]Définition Maintenances'!$K:$K,0)),CQ66,INDEX('[1]Définition Maintenances'!$G:$G,MATCH($A66,'[1]Définition Maintenances'!$K:$K,0))+CQ66),CQ66))</f>
        <v>200</v>
      </c>
      <c r="CS66" s="26">
        <f>IF(ISNUMBER(VLOOKUP($D66,'Visu totale'!$D:$DH,CS$1,0)),CR66-VLOOKUP($D66,'Visu totale'!$D:$DH,CS$1,0),IF(LEFT(VLOOKUP($D66,'Visu totale'!$D:$DH,CS$1,0),1)="V",IF(CR66&gt;=INDEX('[1]Définition Maintenances'!$G:$G,MATCH($A66,'[1]Définition Maintenances'!$K:$K,0)),CR66,INDEX('[1]Définition Maintenances'!$G:$G,MATCH($A66,'[1]Définition Maintenances'!$K:$K,0))+CR66),CR66))</f>
        <v>200</v>
      </c>
      <c r="CT66" s="26">
        <f>IF(ISNUMBER(VLOOKUP($D66,'Visu totale'!$D:$DH,CT$1,0)),CS66-VLOOKUP($D66,'Visu totale'!$D:$DH,CT$1,0),IF(LEFT(VLOOKUP($D66,'Visu totale'!$D:$DH,CT$1,0),1)="V",IF(CS66&gt;=INDEX('[1]Définition Maintenances'!$G:$G,MATCH($A66,'[1]Définition Maintenances'!$K:$K,0)),CS66,INDEX('[1]Définition Maintenances'!$G:$G,MATCH($A66,'[1]Définition Maintenances'!$K:$K,0))+CS66),CS66))</f>
        <v>200</v>
      </c>
      <c r="CU66" s="26">
        <f>IF(ISNUMBER(VLOOKUP($D66,'Visu totale'!$D:$DH,CU$1,0)),CT66-VLOOKUP($D66,'Visu totale'!$D:$DH,CU$1,0),IF(LEFT(VLOOKUP($D66,'Visu totale'!$D:$DH,CU$1,0),1)="V",IF(CT66&gt;=INDEX('[1]Définition Maintenances'!$G:$G,MATCH($A66,'[1]Définition Maintenances'!$K:$K,0)),CT66,INDEX('[1]Définition Maintenances'!$G:$G,MATCH($A66,'[1]Définition Maintenances'!$K:$K,0))+CT66),CT66))</f>
        <v>200</v>
      </c>
      <c r="CV66" s="26">
        <f>IF(ISNUMBER(VLOOKUP($D66,'Visu totale'!$D:$DH,CV$1,0)),CU66-VLOOKUP($D66,'Visu totale'!$D:$DH,CV$1,0),IF(LEFT(VLOOKUP($D66,'Visu totale'!$D:$DH,CV$1,0),1)="V",IF(CU66&gt;=INDEX('[1]Définition Maintenances'!$G:$G,MATCH($A66,'[1]Définition Maintenances'!$K:$K,0)),CU66,INDEX('[1]Définition Maintenances'!$G:$G,MATCH($A66,'[1]Définition Maintenances'!$K:$K,0))+CU66),CU66))</f>
        <v>200</v>
      </c>
      <c r="CW66" s="27">
        <f>IF(ISNUMBER(VLOOKUP($D66,'Visu totale'!$D:$DH,CW$1,0)),CV66-VLOOKUP($D66,'Visu totale'!$D:$DH,CW$1,0),IF(LEFT(VLOOKUP($D66,'Visu totale'!$D:$DH,CW$1,0),1)="V",IF(CV66&gt;=INDEX('[1]Définition Maintenances'!$G:$G,MATCH($A66,'[1]Définition Maintenances'!$K:$K,0)),CV66,INDEX('[1]Définition Maintenances'!$G:$G,MATCH($A66,'[1]Définition Maintenances'!$K:$K,0))+CV66),CV66))</f>
        <v>200</v>
      </c>
      <c r="CX66" s="25">
        <f>IF(ISNUMBER(VLOOKUP($D66,'Visu totale'!$D:$DH,CX$1,0)),CW66-VLOOKUP($D66,'Visu totale'!$D:$DH,CX$1,0),IF(LEFT(VLOOKUP($D66,'Visu totale'!$D:$DH,CX$1,0),1)="V",IF(CW66&gt;=INDEX('[1]Définition Maintenances'!$G:$G,MATCH($A66,'[1]Définition Maintenances'!$K:$K,0)),CW66,INDEX('[1]Définition Maintenances'!$G:$G,MATCH($A66,'[1]Définition Maintenances'!$K:$K,0))+CW66),CW66))</f>
        <v>200</v>
      </c>
      <c r="CY66" s="26">
        <f>IF(ISNUMBER(VLOOKUP($D66,'Visu totale'!$D:$DH,CY$1,0)),CX66-VLOOKUP($D66,'Visu totale'!$D:$DH,CY$1,0),IF(LEFT(VLOOKUP($D66,'Visu totale'!$D:$DH,CY$1,0),1)="V",IF(CX66&gt;=INDEX('[1]Définition Maintenances'!$G:$G,MATCH($A66,'[1]Définition Maintenances'!$K:$K,0)),CX66,INDEX('[1]Définition Maintenances'!$G:$G,MATCH($A66,'[1]Définition Maintenances'!$K:$K,0))+CX66),CX66))</f>
        <v>200</v>
      </c>
      <c r="CZ66" s="26">
        <f>IF(ISNUMBER(VLOOKUP($D66,'Visu totale'!$D:$DH,CZ$1,0)),CY66-VLOOKUP($D66,'Visu totale'!$D:$DH,CZ$1,0),IF(LEFT(VLOOKUP($D66,'Visu totale'!$D:$DH,CZ$1,0),1)="V",IF(CY66&gt;=INDEX('[1]Définition Maintenances'!$G:$G,MATCH($A66,'[1]Définition Maintenances'!$K:$K,0)),CY66,INDEX('[1]Définition Maintenances'!$G:$G,MATCH($A66,'[1]Définition Maintenances'!$K:$K,0))+CY66),CY66))</f>
        <v>200</v>
      </c>
      <c r="DA66" s="26">
        <f>IF(ISNUMBER(VLOOKUP($D66,'Visu totale'!$D:$DH,DA$1,0)),CZ66-VLOOKUP($D66,'Visu totale'!$D:$DH,DA$1,0),IF(LEFT(VLOOKUP($D66,'Visu totale'!$D:$DH,DA$1,0),1)="V",IF(CZ66&gt;=INDEX('[1]Définition Maintenances'!$G:$G,MATCH($A66,'[1]Définition Maintenances'!$K:$K,0)),CZ66,INDEX('[1]Définition Maintenances'!$G:$G,MATCH($A66,'[1]Définition Maintenances'!$K:$K,0))+CZ66),CZ66))</f>
        <v>200</v>
      </c>
      <c r="DB66" s="26">
        <f>IF(ISNUMBER(VLOOKUP($D66,'Visu totale'!$D:$DH,DB$1,0)),DA66-VLOOKUP($D66,'Visu totale'!$D:$DH,DB$1,0),IF(LEFT(VLOOKUP($D66,'Visu totale'!$D:$DH,DB$1,0),1)="V",IF(DA66&gt;=INDEX('[1]Définition Maintenances'!$G:$G,MATCH($A66,'[1]Définition Maintenances'!$K:$K,0)),DA66,INDEX('[1]Définition Maintenances'!$G:$G,MATCH($A66,'[1]Définition Maintenances'!$K:$K,0))+DA66),DA66))</f>
        <v>200</v>
      </c>
      <c r="DC66" s="26">
        <f>IF(ISNUMBER(VLOOKUP($D66,'Visu totale'!$D:$DH,DC$1,0)),DB66-VLOOKUP($D66,'Visu totale'!$D:$DH,DC$1,0),IF(LEFT(VLOOKUP($D66,'Visu totale'!$D:$DH,DC$1,0),1)="V",IF(DB66&gt;=INDEX('[1]Définition Maintenances'!$G:$G,MATCH($A66,'[1]Définition Maintenances'!$K:$K,0)),DB66,INDEX('[1]Définition Maintenances'!$G:$G,MATCH($A66,'[1]Définition Maintenances'!$K:$K,0))+DB66),DB66))</f>
        <v>200</v>
      </c>
      <c r="DD66" s="26">
        <f>IF(ISNUMBER(VLOOKUP($D66,'Visu totale'!$D:$DH,DD$1,0)),DC66-VLOOKUP($D66,'Visu totale'!$D:$DH,DD$1,0),IF(LEFT(VLOOKUP($D66,'Visu totale'!$D:$DH,DD$1,0),1)="V",IF(DC66&gt;=INDEX('[1]Définition Maintenances'!$G:$G,MATCH($A66,'[1]Définition Maintenances'!$K:$K,0)),DC66,INDEX('[1]Définition Maintenances'!$G:$G,MATCH($A66,'[1]Définition Maintenances'!$K:$K,0))+DC66),DC66))</f>
        <v>200</v>
      </c>
      <c r="DE66" s="26">
        <f>IF(ISNUMBER(VLOOKUP($D66,'Visu totale'!$D:$DH,DE$1,0)),DD66-VLOOKUP($D66,'Visu totale'!$D:$DH,DE$1,0),IF(LEFT(VLOOKUP($D66,'Visu totale'!$D:$DH,DE$1,0),1)="V",IF(DD66&gt;=INDEX('[1]Définition Maintenances'!$G:$G,MATCH($A66,'[1]Définition Maintenances'!$K:$K,0)),DD66,INDEX('[1]Définition Maintenances'!$G:$G,MATCH($A66,'[1]Définition Maintenances'!$K:$K,0))+DD66),DD66))</f>
        <v>200</v>
      </c>
      <c r="DF66" s="26">
        <f>IF(ISNUMBER(VLOOKUP($D66,'Visu totale'!$D:$DH,DF$1,0)),DE66-VLOOKUP($D66,'Visu totale'!$D:$DH,DF$1,0),IF(LEFT(VLOOKUP($D66,'Visu totale'!$D:$DH,DF$1,0),1)="V",IF(DE66&gt;=INDEX('[1]Définition Maintenances'!$G:$G,MATCH($A66,'[1]Définition Maintenances'!$K:$K,0)),DE66,INDEX('[1]Définition Maintenances'!$G:$G,MATCH($A66,'[1]Définition Maintenances'!$K:$K,0))+DE66),DE66))</f>
        <v>200</v>
      </c>
      <c r="DG66" s="26">
        <f>IF(ISNUMBER(VLOOKUP($D66,'Visu totale'!$D:$DH,DG$1,0)),DF66-VLOOKUP($D66,'Visu totale'!$D:$DH,DG$1,0),IF(LEFT(VLOOKUP($D66,'Visu totale'!$D:$DH,DG$1,0),1)="V",IF(DF66&gt;=INDEX('[1]Définition Maintenances'!$G:$G,MATCH($A66,'[1]Définition Maintenances'!$K:$K,0)),DF66,INDEX('[1]Définition Maintenances'!$G:$G,MATCH($A66,'[1]Définition Maintenances'!$K:$K,0))+DF66),DF66))</f>
        <v>200</v>
      </c>
      <c r="DH66" s="26">
        <f>IF(ISNUMBER(VLOOKUP($D66,'Visu totale'!$D:$DH,DH$1,0)),DG66-VLOOKUP($D66,'Visu totale'!$D:$DH,DH$1,0),IF(LEFT(VLOOKUP($D66,'Visu totale'!$D:$DH,DH$1,0),1)="V",IF(DG66&gt;=INDEX('[1]Définition Maintenances'!$G:$G,MATCH($A66,'[1]Définition Maintenances'!$K:$K,0)),DG66,INDEX('[1]Définition Maintenances'!$G:$G,MATCH($A66,'[1]Définition Maintenances'!$K:$K,0))+DG66),DG66))</f>
        <v>200</v>
      </c>
      <c r="DI66" s="27">
        <f>IF(ISNUMBER(VLOOKUP($D66,'Visu totale'!$D:$DH,DI$1,0)),DH66-VLOOKUP($D66,'Visu totale'!$D:$DH,DI$1,0),IF(LEFT(VLOOKUP($D66,'Visu totale'!$D:$DH,DI$1,0),1)="V",IF(DH66&gt;=INDEX('[1]Définition Maintenances'!$G:$G,MATCH($A66,'[1]Définition Maintenances'!$K:$K,0)),DH66,INDEX('[1]Définition Maintenances'!$G:$G,MATCH($A66,'[1]Définition Maintenances'!$K:$K,0))+DH66),DH66))</f>
        <v>200</v>
      </c>
    </row>
    <row r="67" spans="1:113" x14ac:dyDescent="0.25">
      <c r="A67" s="13" t="str">
        <f t="shared" si="1"/>
        <v>V15D</v>
      </c>
      <c r="B67" s="13" t="str">
        <f>VLOOKUP(D67,'[1]Avions (Potentiels)'!$B$2:$H$128,7,FALSE)</f>
        <v>V15</v>
      </c>
      <c r="C67" s="13"/>
      <c r="D67" s="16" t="s">
        <v>70</v>
      </c>
      <c r="E67" s="13">
        <f>IFERROR(VALUE(SUBSTITUTE(VLOOKUP(D67,'[1]Avions (Potentiels)'!$B:$E,4,0),".",",")),VALUE(VLOOKUP(D67,'[1]Avions (Potentiels)'!$B:$E,4,0)))</f>
        <v>1023</v>
      </c>
      <c r="F67" s="25">
        <f>IF(ISNUMBER(VLOOKUP($D67,'Visu totale'!$D:$DH,F$1,0)),E67-VLOOKUP($D67,'Visu totale'!$D:$DH,F$1,0),IF(LEFT(VLOOKUP($D67,'Visu totale'!$D:$DH,F$1,0),1)="V",IF(E67&gt;=INDEX('[1]Définition Maintenances'!$G:$G,MATCH($A67,'[1]Définition Maintenances'!$K:$K,0)),E67,INDEX('[1]Définition Maintenances'!$G:$G,MATCH($A67,'[1]Définition Maintenances'!$K:$K,0))+E67),E67))</f>
        <v>1023</v>
      </c>
      <c r="G67" s="26">
        <f>IF(ISNUMBER(VLOOKUP($D67,'Visu totale'!$D:$DH,G$1,0)),F67-VLOOKUP($D67,'Visu totale'!$D:$DH,G$1,0),IF(LEFT(VLOOKUP($D67,'Visu totale'!$D:$DH,G$1,0),1)="V",IF(F67&gt;=INDEX('[1]Définition Maintenances'!$G:$G,MATCH($A67,'[1]Définition Maintenances'!$K:$K,0)),F67,INDEX('[1]Définition Maintenances'!$G:$G,MATCH($A67,'[1]Définition Maintenances'!$K:$K,0))+F67),F67))</f>
        <v>1023</v>
      </c>
      <c r="H67" s="26">
        <f>IF(ISNUMBER(VLOOKUP($D67,'Visu totale'!$D:$DH,H$1,0)),G67-VLOOKUP($D67,'Visu totale'!$D:$DH,H$1,0),IF(LEFT(VLOOKUP($D67,'Visu totale'!$D:$DH,H$1,0),1)="V",IF(G67&gt;=INDEX('[1]Définition Maintenances'!$G:$G,MATCH($A67,'[1]Définition Maintenances'!$K:$K,0)),G67,INDEX('[1]Définition Maintenances'!$G:$G,MATCH($A67,'[1]Définition Maintenances'!$K:$K,0))+G67),G67))</f>
        <v>1023</v>
      </c>
      <c r="I67" s="26">
        <f>IF(ISNUMBER(VLOOKUP($D67,'Visu totale'!$D:$DH,I$1,0)),H67-VLOOKUP($D67,'Visu totale'!$D:$DH,I$1,0),IF(LEFT(VLOOKUP($D67,'Visu totale'!$D:$DH,I$1,0),1)="V",IF(H67&gt;=INDEX('[1]Définition Maintenances'!$G:$G,MATCH($A67,'[1]Définition Maintenances'!$K:$K,0)),H67,INDEX('[1]Définition Maintenances'!$G:$G,MATCH($A67,'[1]Définition Maintenances'!$K:$K,0))+H67),H67))</f>
        <v>1023</v>
      </c>
      <c r="J67" s="26">
        <f>IF(ISNUMBER(VLOOKUP($D67,'Visu totale'!$D:$DH,J$1,0)),I67-VLOOKUP($D67,'Visu totale'!$D:$DH,J$1,0),IF(LEFT(VLOOKUP($D67,'Visu totale'!$D:$DH,J$1,0),1)="V",IF(I67&gt;=INDEX('[1]Définition Maintenances'!$G:$G,MATCH($A67,'[1]Définition Maintenances'!$K:$K,0)),I67,INDEX('[1]Définition Maintenances'!$G:$G,MATCH($A67,'[1]Définition Maintenances'!$K:$K,0))+I67),I67))</f>
        <v>1023</v>
      </c>
      <c r="K67" s="26">
        <f>IF(ISNUMBER(VLOOKUP($D67,'Visu totale'!$D:$DH,K$1,0)),J67-VLOOKUP($D67,'Visu totale'!$D:$DH,K$1,0),IF(LEFT(VLOOKUP($D67,'Visu totale'!$D:$DH,K$1,0),1)="V",IF(J67&gt;=INDEX('[1]Définition Maintenances'!$G:$G,MATCH($A67,'[1]Définition Maintenances'!$K:$K,0)),J67,INDEX('[1]Définition Maintenances'!$G:$G,MATCH($A67,'[1]Définition Maintenances'!$K:$K,0))+J67),J67))</f>
        <v>1023</v>
      </c>
      <c r="L67" s="26">
        <f>IF(ISNUMBER(VLOOKUP($D67,'Visu totale'!$D:$DH,L$1,0)),K67-VLOOKUP($D67,'Visu totale'!$D:$DH,L$1,0),IF(LEFT(VLOOKUP($D67,'Visu totale'!$D:$DH,L$1,0),1)="V",IF(K67&gt;=INDEX('[1]Définition Maintenances'!$G:$G,MATCH($A67,'[1]Définition Maintenances'!$K:$K,0)),K67,INDEX('[1]Définition Maintenances'!$G:$G,MATCH($A67,'[1]Définition Maintenances'!$K:$K,0))+K67),K67))</f>
        <v>1023</v>
      </c>
      <c r="M67" s="26">
        <f>IF(ISNUMBER(VLOOKUP($D67,'Visu totale'!$D:$DH,M$1,0)),L67-VLOOKUP($D67,'Visu totale'!$D:$DH,M$1,0),IF(LEFT(VLOOKUP($D67,'Visu totale'!$D:$DH,M$1,0),1)="V",IF(L67&gt;=INDEX('[1]Définition Maintenances'!$G:$G,MATCH($A67,'[1]Définition Maintenances'!$K:$K,0)),L67,INDEX('[1]Définition Maintenances'!$G:$G,MATCH($A67,'[1]Définition Maintenances'!$K:$K,0))+L67),L67))</f>
        <v>1023</v>
      </c>
      <c r="N67" s="26">
        <f>IF(ISNUMBER(VLOOKUP($D67,'Visu totale'!$D:$DH,N$1,0)),M67-VLOOKUP($D67,'Visu totale'!$D:$DH,N$1,0),IF(LEFT(VLOOKUP($D67,'Visu totale'!$D:$DH,N$1,0),1)="V",IF(M67&gt;=INDEX('[1]Définition Maintenances'!$G:$G,MATCH($A67,'[1]Définition Maintenances'!$K:$K,0)),M67,INDEX('[1]Définition Maintenances'!$G:$G,MATCH($A67,'[1]Définition Maintenances'!$K:$K,0))+M67),M67))</f>
        <v>1023</v>
      </c>
      <c r="O67" s="26">
        <f>IF(ISNUMBER(VLOOKUP($D67,'Visu totale'!$D:$DH,O$1,0)),N67-VLOOKUP($D67,'Visu totale'!$D:$DH,O$1,0),IF(LEFT(VLOOKUP($D67,'Visu totale'!$D:$DH,O$1,0),1)="V",IF(N67&gt;=INDEX('[1]Définition Maintenances'!$G:$G,MATCH($A67,'[1]Définition Maintenances'!$K:$K,0)),N67,INDEX('[1]Définition Maintenances'!$G:$G,MATCH($A67,'[1]Définition Maintenances'!$K:$K,0))+N67),N67))</f>
        <v>1023</v>
      </c>
      <c r="P67" s="26">
        <f>IF(ISNUMBER(VLOOKUP($D67,'Visu totale'!$D:$DH,P$1,0)),O67-VLOOKUP($D67,'Visu totale'!$D:$DH,P$1,0),IF(LEFT(VLOOKUP($D67,'Visu totale'!$D:$DH,P$1,0),1)="V",IF(O67&gt;=INDEX('[1]Définition Maintenances'!$G:$G,MATCH($A67,'[1]Définition Maintenances'!$K:$K,0)),O67,INDEX('[1]Définition Maintenances'!$G:$G,MATCH($A67,'[1]Définition Maintenances'!$K:$K,0))+O67),O67))</f>
        <v>1023</v>
      </c>
      <c r="Q67" s="27">
        <f>IF(ISNUMBER(VLOOKUP($D67,'Visu totale'!$D:$DH,Q$1,0)),P67-VLOOKUP($D67,'Visu totale'!$D:$DH,Q$1,0),IF(LEFT(VLOOKUP($D67,'Visu totale'!$D:$DH,Q$1,0),1)="V",IF(P67&gt;=INDEX('[1]Définition Maintenances'!$G:$G,MATCH($A67,'[1]Définition Maintenances'!$K:$K,0)),P67,INDEX('[1]Définition Maintenances'!$G:$G,MATCH($A67,'[1]Définition Maintenances'!$K:$K,0))+P67),P67))</f>
        <v>1023</v>
      </c>
      <c r="R67" s="25">
        <f>IF(ISNUMBER(VLOOKUP($D67,'Visu totale'!$D:$DH,R$1,0)),Q67-VLOOKUP($D67,'Visu totale'!$D:$DH,R$1,0),IF(LEFT(VLOOKUP($D67,'Visu totale'!$D:$DH,R$1,0),1)="V",IF(Q67&gt;=INDEX('[1]Définition Maintenances'!$G:$G,MATCH($A67,'[1]Définition Maintenances'!$K:$K,0)),Q67,INDEX('[1]Définition Maintenances'!$G:$G,MATCH($A67,'[1]Définition Maintenances'!$K:$K,0))+Q67),Q67))</f>
        <v>1023</v>
      </c>
      <c r="S67" s="26">
        <f>IF(ISNUMBER(VLOOKUP($D67,'Visu totale'!$D:$DH,S$1,0)),R67-VLOOKUP($D67,'Visu totale'!$D:$DH,S$1,0),IF(LEFT(VLOOKUP($D67,'Visu totale'!$D:$DH,S$1,0),1)="V",IF(R67&gt;=INDEX('[1]Définition Maintenances'!$G:$G,MATCH($A67,'[1]Définition Maintenances'!$K:$K,0)),R67,INDEX('[1]Définition Maintenances'!$G:$G,MATCH($A67,'[1]Définition Maintenances'!$K:$K,0))+R67),R67))</f>
        <v>1023</v>
      </c>
      <c r="T67" s="26">
        <f>IF(ISNUMBER(VLOOKUP($D67,'Visu totale'!$D:$DH,T$1,0)),S67-VLOOKUP($D67,'Visu totale'!$D:$DH,T$1,0),IF(LEFT(VLOOKUP($D67,'Visu totale'!$D:$DH,T$1,0),1)="V",IF(S67&gt;=INDEX('[1]Définition Maintenances'!$G:$G,MATCH($A67,'[1]Définition Maintenances'!$K:$K,0)),S67,INDEX('[1]Définition Maintenances'!$G:$G,MATCH($A67,'[1]Définition Maintenances'!$K:$K,0))+S67),S67))</f>
        <v>1023</v>
      </c>
      <c r="U67" s="26">
        <f>IF(ISNUMBER(VLOOKUP($D67,'Visu totale'!$D:$DH,U$1,0)),T67-VLOOKUP($D67,'Visu totale'!$D:$DH,U$1,0),IF(LEFT(VLOOKUP($D67,'Visu totale'!$D:$DH,U$1,0),1)="V",IF(T67&gt;=INDEX('[1]Définition Maintenances'!$G:$G,MATCH($A67,'[1]Définition Maintenances'!$K:$K,0)),T67,INDEX('[1]Définition Maintenances'!$G:$G,MATCH($A67,'[1]Définition Maintenances'!$K:$K,0))+T67),T67))</f>
        <v>1023</v>
      </c>
      <c r="V67" s="26">
        <f>IF(ISNUMBER(VLOOKUP($D67,'Visu totale'!$D:$DH,V$1,0)),U67-VLOOKUP($D67,'Visu totale'!$D:$DH,V$1,0),IF(LEFT(VLOOKUP($D67,'Visu totale'!$D:$DH,V$1,0),1)="V",IF(U67&gt;=INDEX('[1]Définition Maintenances'!$G:$G,MATCH($A67,'[1]Définition Maintenances'!$K:$K,0)),U67,INDEX('[1]Définition Maintenances'!$G:$G,MATCH($A67,'[1]Définition Maintenances'!$K:$K,0))+U67),U67))</f>
        <v>1023</v>
      </c>
      <c r="W67" s="26">
        <f>IF(ISNUMBER(VLOOKUP($D67,'Visu totale'!$D:$DH,W$1,0)),V67-VLOOKUP($D67,'Visu totale'!$D:$DH,W$1,0),IF(LEFT(VLOOKUP($D67,'Visu totale'!$D:$DH,W$1,0),1)="V",IF(V67&gt;=INDEX('[1]Définition Maintenances'!$G:$G,MATCH($A67,'[1]Définition Maintenances'!$K:$K,0)),V67,INDEX('[1]Définition Maintenances'!$G:$G,MATCH($A67,'[1]Définition Maintenances'!$K:$K,0))+V67),V67))</f>
        <v>1023</v>
      </c>
      <c r="X67" s="26">
        <f>IF(ISNUMBER(VLOOKUP($D67,'Visu totale'!$D:$DH,X$1,0)),W67-VLOOKUP($D67,'Visu totale'!$D:$DH,X$1,0),IF(LEFT(VLOOKUP($D67,'Visu totale'!$D:$DH,X$1,0),1)="V",IF(W67&gt;=INDEX('[1]Définition Maintenances'!$G:$G,MATCH($A67,'[1]Définition Maintenances'!$K:$K,0)),W67,INDEX('[1]Définition Maintenances'!$G:$G,MATCH($A67,'[1]Définition Maintenances'!$K:$K,0))+W67),W67))</f>
        <v>1023</v>
      </c>
      <c r="Y67" s="26">
        <f>IF(ISNUMBER(VLOOKUP($D67,'Visu totale'!$D:$DH,Y$1,0)),X67-VLOOKUP($D67,'Visu totale'!$D:$DH,Y$1,0),IF(LEFT(VLOOKUP($D67,'Visu totale'!$D:$DH,Y$1,0),1)="V",IF(X67&gt;=INDEX('[1]Définition Maintenances'!$G:$G,MATCH($A67,'[1]Définition Maintenances'!$K:$K,0)),X67,INDEX('[1]Définition Maintenances'!$G:$G,MATCH($A67,'[1]Définition Maintenances'!$K:$K,0))+X67),X67))</f>
        <v>1023</v>
      </c>
      <c r="Z67" s="26">
        <f>IF(ISNUMBER(VLOOKUP($D67,'Visu totale'!$D:$DH,Z$1,0)),Y67-VLOOKUP($D67,'Visu totale'!$D:$DH,Z$1,0),IF(LEFT(VLOOKUP($D67,'Visu totale'!$D:$DH,Z$1,0),1)="V",IF(Y67&gt;=INDEX('[1]Définition Maintenances'!$G:$G,MATCH($A67,'[1]Définition Maintenances'!$K:$K,0)),Y67,INDEX('[1]Définition Maintenances'!$G:$G,MATCH($A67,'[1]Définition Maintenances'!$K:$K,0))+Y67),Y67))</f>
        <v>1023</v>
      </c>
      <c r="AA67" s="26">
        <f>IF(ISNUMBER(VLOOKUP($D67,'Visu totale'!$D:$DH,AA$1,0)),Z67-VLOOKUP($D67,'Visu totale'!$D:$DH,AA$1,0),IF(LEFT(VLOOKUP($D67,'Visu totale'!$D:$DH,AA$1,0),1)="V",IF(Z67&gt;=INDEX('[1]Définition Maintenances'!$G:$G,MATCH($A67,'[1]Définition Maintenances'!$K:$K,0)),Z67,INDEX('[1]Définition Maintenances'!$G:$G,MATCH($A67,'[1]Définition Maintenances'!$K:$K,0))+Z67),Z67))</f>
        <v>1023</v>
      </c>
      <c r="AB67" s="26">
        <f>IF(ISNUMBER(VLOOKUP($D67,'Visu totale'!$D:$DH,AB$1,0)),AA67-VLOOKUP($D67,'Visu totale'!$D:$DH,AB$1,0),IF(LEFT(VLOOKUP($D67,'Visu totale'!$D:$DH,AB$1,0),1)="V",IF(AA67&gt;=INDEX('[1]Définition Maintenances'!$G:$G,MATCH($A67,'[1]Définition Maintenances'!$K:$K,0)),AA67,INDEX('[1]Définition Maintenances'!$G:$G,MATCH($A67,'[1]Définition Maintenances'!$K:$K,0))+AA67),AA67))</f>
        <v>1023</v>
      </c>
      <c r="AC67" s="27">
        <f>IF(ISNUMBER(VLOOKUP($D67,'Visu totale'!$D:$DH,AC$1,0)),AB67-VLOOKUP($D67,'Visu totale'!$D:$DH,AC$1,0),IF(LEFT(VLOOKUP($D67,'Visu totale'!$D:$DH,AC$1,0),1)="V",IF(AB67&gt;=INDEX('[1]Définition Maintenances'!$G:$G,MATCH($A67,'[1]Définition Maintenances'!$K:$K,0)),AB67,INDEX('[1]Définition Maintenances'!$G:$G,MATCH($A67,'[1]Définition Maintenances'!$K:$K,0))+AB67),AB67))</f>
        <v>1023</v>
      </c>
      <c r="AD67" s="25">
        <f>IF(ISNUMBER(VLOOKUP($D67,'Visu totale'!$D:$DH,AD$1,0)),AC67-VLOOKUP($D67,'Visu totale'!$D:$DH,AD$1,0),IF(LEFT(VLOOKUP($D67,'Visu totale'!$D:$DH,AD$1,0),1)="V",IF(AC67&gt;=INDEX('[1]Définition Maintenances'!$G:$G,MATCH($A67,'[1]Définition Maintenances'!$K:$K,0)),AC67,INDEX('[1]Définition Maintenances'!$G:$G,MATCH($A67,'[1]Définition Maintenances'!$K:$K,0))+AC67),AC67))</f>
        <v>1023</v>
      </c>
      <c r="AE67" s="26">
        <f>IF(ISNUMBER(VLOOKUP($D67,'Visu totale'!$D:$DH,AE$1,0)),AD67-VLOOKUP($D67,'Visu totale'!$D:$DH,AE$1,0),IF(LEFT(VLOOKUP($D67,'Visu totale'!$D:$DH,AE$1,0),1)="V",IF(AD67&gt;=INDEX('[1]Définition Maintenances'!$G:$G,MATCH($A67,'[1]Définition Maintenances'!$K:$K,0)),AD67,INDEX('[1]Définition Maintenances'!$G:$G,MATCH($A67,'[1]Définition Maintenances'!$K:$K,0))+AD67),AD67))</f>
        <v>1023</v>
      </c>
      <c r="AF67" s="26">
        <f>IF(ISNUMBER(VLOOKUP($D67,'Visu totale'!$D:$DH,AF$1,0)),AE67-VLOOKUP($D67,'Visu totale'!$D:$DH,AF$1,0),IF(LEFT(VLOOKUP($D67,'Visu totale'!$D:$DH,AF$1,0),1)="V",IF(AE67&gt;=INDEX('[1]Définition Maintenances'!$G:$G,MATCH($A67,'[1]Définition Maintenances'!$K:$K,0)),AE67,INDEX('[1]Définition Maintenances'!$G:$G,MATCH($A67,'[1]Définition Maintenances'!$K:$K,0))+AE67),AE67))</f>
        <v>1023</v>
      </c>
      <c r="AG67" s="26">
        <f>IF(ISNUMBER(VLOOKUP($D67,'Visu totale'!$D:$DH,AG$1,0)),AF67-VLOOKUP($D67,'Visu totale'!$D:$DH,AG$1,0),IF(LEFT(VLOOKUP($D67,'Visu totale'!$D:$DH,AG$1,0),1)="V",IF(AF67&gt;=INDEX('[1]Définition Maintenances'!$G:$G,MATCH($A67,'[1]Définition Maintenances'!$K:$K,0)),AF67,INDEX('[1]Définition Maintenances'!$G:$G,MATCH($A67,'[1]Définition Maintenances'!$K:$K,0))+AF67),AF67))</f>
        <v>1023</v>
      </c>
      <c r="AH67" s="26">
        <f>IF(ISNUMBER(VLOOKUP($D67,'Visu totale'!$D:$DH,AH$1,0)),AG67-VLOOKUP($D67,'Visu totale'!$D:$DH,AH$1,0),IF(LEFT(VLOOKUP($D67,'Visu totale'!$D:$DH,AH$1,0),1)="V",IF(AG67&gt;=INDEX('[1]Définition Maintenances'!$G:$G,MATCH($A67,'[1]Définition Maintenances'!$K:$K,0)),AG67,INDEX('[1]Définition Maintenances'!$G:$G,MATCH($A67,'[1]Définition Maintenances'!$K:$K,0))+AG67),AG67))</f>
        <v>1023</v>
      </c>
      <c r="AI67" s="26">
        <f>IF(ISNUMBER(VLOOKUP($D67,'Visu totale'!$D:$DH,AI$1,0)),AH67-VLOOKUP($D67,'Visu totale'!$D:$DH,AI$1,0),IF(LEFT(VLOOKUP($D67,'Visu totale'!$D:$DH,AI$1,0),1)="V",IF(AH67&gt;=INDEX('[1]Définition Maintenances'!$G:$G,MATCH($A67,'[1]Définition Maintenances'!$K:$K,0)),AH67,INDEX('[1]Définition Maintenances'!$G:$G,MATCH($A67,'[1]Définition Maintenances'!$K:$K,0))+AH67),AH67))</f>
        <v>1023</v>
      </c>
      <c r="AJ67" s="26">
        <f>IF(ISNUMBER(VLOOKUP($D67,'Visu totale'!$D:$DH,AJ$1,0)),AI67-VLOOKUP($D67,'Visu totale'!$D:$DH,AJ$1,0),IF(LEFT(VLOOKUP($D67,'Visu totale'!$D:$DH,AJ$1,0),1)="V",IF(AI67&gt;=INDEX('[1]Définition Maintenances'!$G:$G,MATCH($A67,'[1]Définition Maintenances'!$K:$K,0)),AI67,INDEX('[1]Définition Maintenances'!$G:$G,MATCH($A67,'[1]Définition Maintenances'!$K:$K,0))+AI67),AI67))</f>
        <v>1023</v>
      </c>
      <c r="AK67" s="26">
        <f>IF(ISNUMBER(VLOOKUP($D67,'Visu totale'!$D:$DH,AK$1,0)),AJ67-VLOOKUP($D67,'Visu totale'!$D:$DH,AK$1,0),IF(LEFT(VLOOKUP($D67,'Visu totale'!$D:$DH,AK$1,0),1)="V",IF(AJ67&gt;=INDEX('[1]Définition Maintenances'!$G:$G,MATCH($A67,'[1]Définition Maintenances'!$K:$K,0)),AJ67,INDEX('[1]Définition Maintenances'!$G:$G,MATCH($A67,'[1]Définition Maintenances'!$K:$K,0))+AJ67),AJ67))</f>
        <v>1023</v>
      </c>
      <c r="AL67" s="26">
        <f>IF(ISNUMBER(VLOOKUP($D67,'Visu totale'!$D:$DH,AL$1,0)),AK67-VLOOKUP($D67,'Visu totale'!$D:$DH,AL$1,0),IF(LEFT(VLOOKUP($D67,'Visu totale'!$D:$DH,AL$1,0),1)="V",IF(AK67&gt;=INDEX('[1]Définition Maintenances'!$G:$G,MATCH($A67,'[1]Définition Maintenances'!$K:$K,0)),AK67,INDEX('[1]Définition Maintenances'!$G:$G,MATCH($A67,'[1]Définition Maintenances'!$K:$K,0))+AK67),AK67))</f>
        <v>1023</v>
      </c>
      <c r="AM67" s="26">
        <f>IF(ISNUMBER(VLOOKUP($D67,'Visu totale'!$D:$DH,AM$1,0)),AL67-VLOOKUP($D67,'Visu totale'!$D:$DH,AM$1,0),IF(LEFT(VLOOKUP($D67,'Visu totale'!$D:$DH,AM$1,0),1)="V",IF(AL67&gt;=INDEX('[1]Définition Maintenances'!$G:$G,MATCH($A67,'[1]Définition Maintenances'!$K:$K,0)),AL67,INDEX('[1]Définition Maintenances'!$G:$G,MATCH($A67,'[1]Définition Maintenances'!$K:$K,0))+AL67),AL67))</f>
        <v>1023</v>
      </c>
      <c r="AN67" s="26">
        <f>IF(ISNUMBER(VLOOKUP($D67,'Visu totale'!$D:$DH,AN$1,0)),AM67-VLOOKUP($D67,'Visu totale'!$D:$DH,AN$1,0),IF(LEFT(VLOOKUP($D67,'Visu totale'!$D:$DH,AN$1,0),1)="V",IF(AM67&gt;=INDEX('[1]Définition Maintenances'!$G:$G,MATCH($A67,'[1]Définition Maintenances'!$K:$K,0)),AM67,INDEX('[1]Définition Maintenances'!$G:$G,MATCH($A67,'[1]Définition Maintenances'!$K:$K,0))+AM67),AM67))</f>
        <v>1023</v>
      </c>
      <c r="AO67" s="27">
        <f>IF(ISNUMBER(VLOOKUP($D67,'Visu totale'!$D:$DH,AO$1,0)),AN67-VLOOKUP($D67,'Visu totale'!$D:$DH,AO$1,0),IF(LEFT(VLOOKUP($D67,'Visu totale'!$D:$DH,AO$1,0),1)="V",IF(AN67&gt;=INDEX('[1]Définition Maintenances'!$G:$G,MATCH($A67,'[1]Définition Maintenances'!$K:$K,0)),AN67,INDEX('[1]Définition Maintenances'!$G:$G,MATCH($A67,'[1]Définition Maintenances'!$K:$K,0))+AN67),AN67))</f>
        <v>1023</v>
      </c>
      <c r="AP67" s="25">
        <f>IF(ISNUMBER(VLOOKUP($D67,'Visu totale'!$D:$DH,AP$1,0)),AO67-VLOOKUP($D67,'Visu totale'!$D:$DH,AP$1,0),IF(LEFT(VLOOKUP($D67,'Visu totale'!$D:$DH,AP$1,0),1)="V",IF(AO67&gt;=INDEX('[1]Définition Maintenances'!$G:$G,MATCH($A67,'[1]Définition Maintenances'!$K:$K,0)),AO67,INDEX('[1]Définition Maintenances'!$G:$G,MATCH($A67,'[1]Définition Maintenances'!$K:$K,0))+AO67),AO67))</f>
        <v>1023</v>
      </c>
      <c r="AQ67" s="26">
        <f>IF(ISNUMBER(VLOOKUP($D67,'Visu totale'!$D:$DH,AQ$1,0)),AP67-VLOOKUP($D67,'Visu totale'!$D:$DH,AQ$1,0),IF(LEFT(VLOOKUP($D67,'Visu totale'!$D:$DH,AQ$1,0),1)="V",IF(AP67&gt;=INDEX('[1]Définition Maintenances'!$G:$G,MATCH($A67,'[1]Définition Maintenances'!$K:$K,0)),AP67,INDEX('[1]Définition Maintenances'!$G:$G,MATCH($A67,'[1]Définition Maintenances'!$K:$K,0))+AP67),AP67))</f>
        <v>1023</v>
      </c>
      <c r="AR67" s="26">
        <f>IF(ISNUMBER(VLOOKUP($D67,'Visu totale'!$D:$DH,AR$1,0)),AQ67-VLOOKUP($D67,'Visu totale'!$D:$DH,AR$1,0),IF(LEFT(VLOOKUP($D67,'Visu totale'!$D:$DH,AR$1,0),1)="V",IF(AQ67&gt;=INDEX('[1]Définition Maintenances'!$G:$G,MATCH($A67,'[1]Définition Maintenances'!$K:$K,0)),AQ67,INDEX('[1]Définition Maintenances'!$G:$G,MATCH($A67,'[1]Définition Maintenances'!$K:$K,0))+AQ67),AQ67))</f>
        <v>1023</v>
      </c>
      <c r="AS67" s="26">
        <f>IF(ISNUMBER(VLOOKUP($D67,'Visu totale'!$D:$DH,AS$1,0)),AR67-VLOOKUP($D67,'Visu totale'!$D:$DH,AS$1,0),IF(LEFT(VLOOKUP($D67,'Visu totale'!$D:$DH,AS$1,0),1)="V",IF(AR67&gt;=INDEX('[1]Définition Maintenances'!$G:$G,MATCH($A67,'[1]Définition Maintenances'!$K:$K,0)),AR67,INDEX('[1]Définition Maintenances'!$G:$G,MATCH($A67,'[1]Définition Maintenances'!$K:$K,0))+AR67),AR67))</f>
        <v>1023</v>
      </c>
      <c r="AT67" s="26">
        <f>IF(ISNUMBER(VLOOKUP($D67,'Visu totale'!$D:$DH,AT$1,0)),AS67-VLOOKUP($D67,'Visu totale'!$D:$DH,AT$1,0),IF(LEFT(VLOOKUP($D67,'Visu totale'!$D:$DH,AT$1,0),1)="V",IF(AS67&gt;=INDEX('[1]Définition Maintenances'!$G:$G,MATCH($A67,'[1]Définition Maintenances'!$K:$K,0)),AS67,INDEX('[1]Définition Maintenances'!$G:$G,MATCH($A67,'[1]Définition Maintenances'!$K:$K,0))+AS67),AS67))</f>
        <v>1023</v>
      </c>
      <c r="AU67" s="26">
        <f>IF(ISNUMBER(VLOOKUP($D67,'Visu totale'!$D:$DH,AU$1,0)),AT67-VLOOKUP($D67,'Visu totale'!$D:$DH,AU$1,0),IF(LEFT(VLOOKUP($D67,'Visu totale'!$D:$DH,AU$1,0),1)="V",IF(AT67&gt;=INDEX('[1]Définition Maintenances'!$G:$G,MATCH($A67,'[1]Définition Maintenances'!$K:$K,0)),AT67,INDEX('[1]Définition Maintenances'!$G:$G,MATCH($A67,'[1]Définition Maintenances'!$K:$K,0))+AT67),AT67))</f>
        <v>1023</v>
      </c>
      <c r="AV67" s="26">
        <f>IF(ISNUMBER(VLOOKUP($D67,'Visu totale'!$D:$DH,AV$1,0)),AU67-VLOOKUP($D67,'Visu totale'!$D:$DH,AV$1,0),IF(LEFT(VLOOKUP($D67,'Visu totale'!$D:$DH,AV$1,0),1)="V",IF(AU67&gt;=INDEX('[1]Définition Maintenances'!$G:$G,MATCH($A67,'[1]Définition Maintenances'!$K:$K,0)),AU67,INDEX('[1]Définition Maintenances'!$G:$G,MATCH($A67,'[1]Définition Maintenances'!$K:$K,0))+AU67),AU67))</f>
        <v>1023</v>
      </c>
      <c r="AW67" s="26">
        <f>IF(ISNUMBER(VLOOKUP($D67,'Visu totale'!$D:$DH,AW$1,0)),AV67-VLOOKUP($D67,'Visu totale'!$D:$DH,AW$1,0),IF(LEFT(VLOOKUP($D67,'Visu totale'!$D:$DH,AW$1,0),1)="V",IF(AV67&gt;=INDEX('[1]Définition Maintenances'!$G:$G,MATCH($A67,'[1]Définition Maintenances'!$K:$K,0)),AV67,INDEX('[1]Définition Maintenances'!$G:$G,MATCH($A67,'[1]Définition Maintenances'!$K:$K,0))+AV67),AV67))</f>
        <v>1023</v>
      </c>
      <c r="AX67" s="26">
        <f>IF(ISNUMBER(VLOOKUP($D67,'Visu totale'!$D:$DH,AX$1,0)),AW67-VLOOKUP($D67,'Visu totale'!$D:$DH,AX$1,0),IF(LEFT(VLOOKUP($D67,'Visu totale'!$D:$DH,AX$1,0),1)="V",IF(AW67&gt;=INDEX('[1]Définition Maintenances'!$G:$G,MATCH($A67,'[1]Définition Maintenances'!$K:$K,0)),AW67,INDEX('[1]Définition Maintenances'!$G:$G,MATCH($A67,'[1]Définition Maintenances'!$K:$K,0))+AW67),AW67))</f>
        <v>1023</v>
      </c>
      <c r="AY67" s="26">
        <f>IF(ISNUMBER(VLOOKUP($D67,'Visu totale'!$D:$DH,AY$1,0)),AX67-VLOOKUP($D67,'Visu totale'!$D:$DH,AY$1,0),IF(LEFT(VLOOKUP($D67,'Visu totale'!$D:$DH,AY$1,0),1)="V",IF(AX67&gt;=INDEX('[1]Définition Maintenances'!$G:$G,MATCH($A67,'[1]Définition Maintenances'!$K:$K,0)),AX67,INDEX('[1]Définition Maintenances'!$G:$G,MATCH($A67,'[1]Définition Maintenances'!$K:$K,0))+AX67),AX67))</f>
        <v>1023</v>
      </c>
      <c r="AZ67" s="26">
        <f>IF(ISNUMBER(VLOOKUP($D67,'Visu totale'!$D:$DH,AZ$1,0)),AY67-VLOOKUP($D67,'Visu totale'!$D:$DH,AZ$1,0),IF(LEFT(VLOOKUP($D67,'Visu totale'!$D:$DH,AZ$1,0),1)="V",IF(AY67&gt;=INDEX('[1]Définition Maintenances'!$G:$G,MATCH($A67,'[1]Définition Maintenances'!$K:$K,0)),AY67,INDEX('[1]Définition Maintenances'!$G:$G,MATCH($A67,'[1]Définition Maintenances'!$K:$K,0))+AY67),AY67))</f>
        <v>1023</v>
      </c>
      <c r="BA67" s="27">
        <f>IF(ISNUMBER(VLOOKUP($D67,'Visu totale'!$D:$DH,BA$1,0)),AZ67-VLOOKUP($D67,'Visu totale'!$D:$DH,BA$1,0),IF(LEFT(VLOOKUP($D67,'Visu totale'!$D:$DH,BA$1,0),1)="V",IF(AZ67&gt;=INDEX('[1]Définition Maintenances'!$G:$G,MATCH($A67,'[1]Définition Maintenances'!$K:$K,0)),AZ67,INDEX('[1]Définition Maintenances'!$G:$G,MATCH($A67,'[1]Définition Maintenances'!$K:$K,0))+AZ67),AZ67))</f>
        <v>1023</v>
      </c>
      <c r="BB67" s="25">
        <f>IF(ISNUMBER(VLOOKUP($D67,'Visu totale'!$D:$DH,BB$1,0)),BA67-VLOOKUP($D67,'Visu totale'!$D:$DH,BB$1,0),IF(LEFT(VLOOKUP($D67,'Visu totale'!$D:$DH,BB$1,0),1)="V",IF(BA67&gt;=INDEX('[1]Définition Maintenances'!$G:$G,MATCH($A67,'[1]Définition Maintenances'!$K:$K,0)),BA67,INDEX('[1]Définition Maintenances'!$G:$G,MATCH($A67,'[1]Définition Maintenances'!$K:$K,0))+BA67),BA67))</f>
        <v>1023</v>
      </c>
      <c r="BC67" s="26">
        <f>IF(ISNUMBER(VLOOKUP($D67,'Visu totale'!$D:$DH,BC$1,0)),BB67-VLOOKUP($D67,'Visu totale'!$D:$DH,BC$1,0),IF(LEFT(VLOOKUP($D67,'Visu totale'!$D:$DH,BC$1,0),1)="V",IF(BB67&gt;=INDEX('[1]Définition Maintenances'!$G:$G,MATCH($A67,'[1]Définition Maintenances'!$K:$K,0)),BB67,INDEX('[1]Définition Maintenances'!$G:$G,MATCH($A67,'[1]Définition Maintenances'!$K:$K,0))+BB67),BB67))</f>
        <v>1023</v>
      </c>
      <c r="BD67" s="26">
        <f>IF(ISNUMBER(VLOOKUP($D67,'Visu totale'!$D:$DH,BD$1,0)),BC67-VLOOKUP($D67,'Visu totale'!$D:$DH,BD$1,0),IF(LEFT(VLOOKUP($D67,'Visu totale'!$D:$DH,BD$1,0),1)="V",IF(BC67&gt;=INDEX('[1]Définition Maintenances'!$G:$G,MATCH($A67,'[1]Définition Maintenances'!$K:$K,0)),BC67,INDEX('[1]Définition Maintenances'!$G:$G,MATCH($A67,'[1]Définition Maintenances'!$K:$K,0))+BC67),BC67))</f>
        <v>1023</v>
      </c>
      <c r="BE67" s="26">
        <f>IF(ISNUMBER(VLOOKUP($D67,'Visu totale'!$D:$DH,BE$1,0)),BD67-VLOOKUP($D67,'Visu totale'!$D:$DH,BE$1,0),IF(LEFT(VLOOKUP($D67,'Visu totale'!$D:$DH,BE$1,0),1)="V",IF(BD67&gt;=INDEX('[1]Définition Maintenances'!$G:$G,MATCH($A67,'[1]Définition Maintenances'!$K:$K,0)),BD67,INDEX('[1]Définition Maintenances'!$G:$G,MATCH($A67,'[1]Définition Maintenances'!$K:$K,0))+BD67),BD67))</f>
        <v>1023</v>
      </c>
      <c r="BF67" s="26">
        <f>IF(ISNUMBER(VLOOKUP($D67,'Visu totale'!$D:$DH,BF$1,0)),BE67-VLOOKUP($D67,'Visu totale'!$D:$DH,BF$1,0),IF(LEFT(VLOOKUP($D67,'Visu totale'!$D:$DH,BF$1,0),1)="V",IF(BE67&gt;=INDEX('[1]Définition Maintenances'!$G:$G,MATCH($A67,'[1]Définition Maintenances'!$K:$K,0)),BE67,INDEX('[1]Définition Maintenances'!$G:$G,MATCH($A67,'[1]Définition Maintenances'!$K:$K,0))+BE67),BE67))</f>
        <v>1023</v>
      </c>
      <c r="BG67" s="26">
        <f>IF(ISNUMBER(VLOOKUP($D67,'Visu totale'!$D:$DH,BG$1,0)),BF67-VLOOKUP($D67,'Visu totale'!$D:$DH,BG$1,0),IF(LEFT(VLOOKUP($D67,'Visu totale'!$D:$DH,BG$1,0),1)="V",IF(BF67&gt;=INDEX('[1]Définition Maintenances'!$G:$G,MATCH($A67,'[1]Définition Maintenances'!$K:$K,0)),BF67,INDEX('[1]Définition Maintenances'!$G:$G,MATCH($A67,'[1]Définition Maintenances'!$K:$K,0))+BF67),BF67))</f>
        <v>1023</v>
      </c>
      <c r="BH67" s="26">
        <f>IF(ISNUMBER(VLOOKUP($D67,'Visu totale'!$D:$DH,BH$1,0)),BG67-VLOOKUP($D67,'Visu totale'!$D:$DH,BH$1,0),IF(LEFT(VLOOKUP($D67,'Visu totale'!$D:$DH,BH$1,0),1)="V",IF(BG67&gt;=INDEX('[1]Définition Maintenances'!$G:$G,MATCH($A67,'[1]Définition Maintenances'!$K:$K,0)),BG67,INDEX('[1]Définition Maintenances'!$G:$G,MATCH($A67,'[1]Définition Maintenances'!$K:$K,0))+BG67),BG67))</f>
        <v>1023</v>
      </c>
      <c r="BI67" s="26">
        <f>IF(ISNUMBER(VLOOKUP($D67,'Visu totale'!$D:$DH,BI$1,0)),BH67-VLOOKUP($D67,'Visu totale'!$D:$DH,BI$1,0),IF(LEFT(VLOOKUP($D67,'Visu totale'!$D:$DH,BI$1,0),1)="V",IF(BH67&gt;=INDEX('[1]Définition Maintenances'!$G:$G,MATCH($A67,'[1]Définition Maintenances'!$K:$K,0)),BH67,INDEX('[1]Définition Maintenances'!$G:$G,MATCH($A67,'[1]Définition Maintenances'!$K:$K,0))+BH67),BH67))</f>
        <v>1023</v>
      </c>
      <c r="BJ67" s="26">
        <f>IF(ISNUMBER(VLOOKUP($D67,'Visu totale'!$D:$DH,BJ$1,0)),BI67-VLOOKUP($D67,'Visu totale'!$D:$DH,BJ$1,0),IF(LEFT(VLOOKUP($D67,'Visu totale'!$D:$DH,BJ$1,0),1)="V",IF(BI67&gt;=INDEX('[1]Définition Maintenances'!$G:$G,MATCH($A67,'[1]Définition Maintenances'!$K:$K,0)),BI67,INDEX('[1]Définition Maintenances'!$G:$G,MATCH($A67,'[1]Définition Maintenances'!$K:$K,0))+BI67),BI67))</f>
        <v>1023</v>
      </c>
      <c r="BK67" s="26">
        <f>IF(ISNUMBER(VLOOKUP($D67,'Visu totale'!$D:$DH,BK$1,0)),BJ67-VLOOKUP($D67,'Visu totale'!$D:$DH,BK$1,0),IF(LEFT(VLOOKUP($D67,'Visu totale'!$D:$DH,BK$1,0),1)="V",IF(BJ67&gt;=INDEX('[1]Définition Maintenances'!$G:$G,MATCH($A67,'[1]Définition Maintenances'!$K:$K,0)),BJ67,INDEX('[1]Définition Maintenances'!$G:$G,MATCH($A67,'[1]Définition Maintenances'!$K:$K,0))+BJ67),BJ67))</f>
        <v>1023</v>
      </c>
      <c r="BL67" s="26">
        <f>IF(ISNUMBER(VLOOKUP($D67,'Visu totale'!$D:$DH,BL$1,0)),BK67-VLOOKUP($D67,'Visu totale'!$D:$DH,BL$1,0),IF(LEFT(VLOOKUP($D67,'Visu totale'!$D:$DH,BL$1,0),1)="V",IF(BK67&gt;=INDEX('[1]Définition Maintenances'!$G:$G,MATCH($A67,'[1]Définition Maintenances'!$K:$K,0)),BK67,INDEX('[1]Définition Maintenances'!$G:$G,MATCH($A67,'[1]Définition Maintenances'!$K:$K,0))+BK67),BK67))</f>
        <v>1023</v>
      </c>
      <c r="BM67" s="27">
        <f>IF(ISNUMBER(VLOOKUP($D67,'Visu totale'!$D:$DH,BM$1,0)),BL67-VLOOKUP($D67,'Visu totale'!$D:$DH,BM$1,0),IF(LEFT(VLOOKUP($D67,'Visu totale'!$D:$DH,BM$1,0),1)="V",IF(BL67&gt;=INDEX('[1]Définition Maintenances'!$G:$G,MATCH($A67,'[1]Définition Maintenances'!$K:$K,0)),BL67,INDEX('[1]Définition Maintenances'!$G:$G,MATCH($A67,'[1]Définition Maintenances'!$K:$K,0))+BL67),BL67))</f>
        <v>1023</v>
      </c>
      <c r="BN67" s="25">
        <f>IF(ISNUMBER(VLOOKUP($D67,'Visu totale'!$D:$DH,BN$1,0)),BM67-VLOOKUP($D67,'Visu totale'!$D:$DH,BN$1,0),IF(LEFT(VLOOKUP($D67,'Visu totale'!$D:$DH,BN$1,0),1)="V",IF(BM67&gt;=INDEX('[1]Définition Maintenances'!$G:$G,MATCH($A67,'[1]Définition Maintenances'!$K:$K,0)),BM67,INDEX('[1]Définition Maintenances'!$G:$G,MATCH($A67,'[1]Définition Maintenances'!$K:$K,0))+BM67),BM67))</f>
        <v>1023</v>
      </c>
      <c r="BO67" s="26">
        <f>IF(ISNUMBER(VLOOKUP($D67,'Visu totale'!$D:$DH,BO$1,0)),BN67-VLOOKUP($D67,'Visu totale'!$D:$DH,BO$1,0),IF(LEFT(VLOOKUP($D67,'Visu totale'!$D:$DH,BO$1,0),1)="V",IF(BN67&gt;=INDEX('[1]Définition Maintenances'!$G:$G,MATCH($A67,'[1]Définition Maintenances'!$K:$K,0)),BN67,INDEX('[1]Définition Maintenances'!$G:$G,MATCH($A67,'[1]Définition Maintenances'!$K:$K,0))+BN67),BN67))</f>
        <v>1023</v>
      </c>
      <c r="BP67" s="26">
        <f>IF(ISNUMBER(VLOOKUP($D67,'Visu totale'!$D:$DH,BP$1,0)),BO67-VLOOKUP($D67,'Visu totale'!$D:$DH,BP$1,0),IF(LEFT(VLOOKUP($D67,'Visu totale'!$D:$DH,BP$1,0),1)="V",IF(BO67&gt;=INDEX('[1]Définition Maintenances'!$G:$G,MATCH($A67,'[1]Définition Maintenances'!$K:$K,0)),BO67,INDEX('[1]Définition Maintenances'!$G:$G,MATCH($A67,'[1]Définition Maintenances'!$K:$K,0))+BO67),BO67))</f>
        <v>1023</v>
      </c>
      <c r="BQ67" s="26">
        <f>IF(ISNUMBER(VLOOKUP($D67,'Visu totale'!$D:$DH,BQ$1,0)),BP67-VLOOKUP($D67,'Visu totale'!$D:$DH,BQ$1,0),IF(LEFT(VLOOKUP($D67,'Visu totale'!$D:$DH,BQ$1,0),1)="V",IF(BP67&gt;=INDEX('[1]Définition Maintenances'!$G:$G,MATCH($A67,'[1]Définition Maintenances'!$K:$K,0)),BP67,INDEX('[1]Définition Maintenances'!$G:$G,MATCH($A67,'[1]Définition Maintenances'!$K:$K,0))+BP67),BP67))</f>
        <v>1023</v>
      </c>
      <c r="BR67" s="26">
        <f>IF(ISNUMBER(VLOOKUP($D67,'Visu totale'!$D:$DH,BR$1,0)),BQ67-VLOOKUP($D67,'Visu totale'!$D:$DH,BR$1,0),IF(LEFT(VLOOKUP($D67,'Visu totale'!$D:$DH,BR$1,0),1)="V",IF(BQ67&gt;=INDEX('[1]Définition Maintenances'!$G:$G,MATCH($A67,'[1]Définition Maintenances'!$K:$K,0)),BQ67,INDEX('[1]Définition Maintenances'!$G:$G,MATCH($A67,'[1]Définition Maintenances'!$K:$K,0))+BQ67),BQ67))</f>
        <v>1023</v>
      </c>
      <c r="BS67" s="26">
        <f>IF(ISNUMBER(VLOOKUP($D67,'Visu totale'!$D:$DH,BS$1,0)),BR67-VLOOKUP($D67,'Visu totale'!$D:$DH,BS$1,0),IF(LEFT(VLOOKUP($D67,'Visu totale'!$D:$DH,BS$1,0),1)="V",IF(BR67&gt;=INDEX('[1]Définition Maintenances'!$G:$G,MATCH($A67,'[1]Définition Maintenances'!$K:$K,0)),BR67,INDEX('[1]Définition Maintenances'!$G:$G,MATCH($A67,'[1]Définition Maintenances'!$K:$K,0))+BR67),BR67))</f>
        <v>1023</v>
      </c>
      <c r="BT67" s="26">
        <f>IF(ISNUMBER(VLOOKUP($D67,'Visu totale'!$D:$DH,BT$1,0)),BS67-VLOOKUP($D67,'Visu totale'!$D:$DH,BT$1,0),IF(LEFT(VLOOKUP($D67,'Visu totale'!$D:$DH,BT$1,0),1)="V",IF(BS67&gt;=INDEX('[1]Définition Maintenances'!$G:$G,MATCH($A67,'[1]Définition Maintenances'!$K:$K,0)),BS67,INDEX('[1]Définition Maintenances'!$G:$G,MATCH($A67,'[1]Définition Maintenances'!$K:$K,0))+BS67),BS67))</f>
        <v>1023</v>
      </c>
      <c r="BU67" s="26">
        <f>IF(ISNUMBER(VLOOKUP($D67,'Visu totale'!$D:$DH,BU$1,0)),BT67-VLOOKUP($D67,'Visu totale'!$D:$DH,BU$1,0),IF(LEFT(VLOOKUP($D67,'Visu totale'!$D:$DH,BU$1,0),1)="V",IF(BT67&gt;=INDEX('[1]Définition Maintenances'!$G:$G,MATCH($A67,'[1]Définition Maintenances'!$K:$K,0)),BT67,INDEX('[1]Définition Maintenances'!$G:$G,MATCH($A67,'[1]Définition Maintenances'!$K:$K,0))+BT67),BT67))</f>
        <v>1023</v>
      </c>
      <c r="BV67" s="26">
        <f>IF(ISNUMBER(VLOOKUP($D67,'Visu totale'!$D:$DH,BV$1,0)),BU67-VLOOKUP($D67,'Visu totale'!$D:$DH,BV$1,0),IF(LEFT(VLOOKUP($D67,'Visu totale'!$D:$DH,BV$1,0),1)="V",IF(BU67&gt;=INDEX('[1]Définition Maintenances'!$G:$G,MATCH($A67,'[1]Définition Maintenances'!$K:$K,0)),BU67,INDEX('[1]Définition Maintenances'!$G:$G,MATCH($A67,'[1]Définition Maintenances'!$K:$K,0))+BU67),BU67))</f>
        <v>1023</v>
      </c>
      <c r="BW67" s="26">
        <f>IF(ISNUMBER(VLOOKUP($D67,'Visu totale'!$D:$DH,BW$1,0)),BV67-VLOOKUP($D67,'Visu totale'!$D:$DH,BW$1,0),IF(LEFT(VLOOKUP($D67,'Visu totale'!$D:$DH,BW$1,0),1)="V",IF(BV67&gt;=INDEX('[1]Définition Maintenances'!$G:$G,MATCH($A67,'[1]Définition Maintenances'!$K:$K,0)),BV67,INDEX('[1]Définition Maintenances'!$G:$G,MATCH($A67,'[1]Définition Maintenances'!$K:$K,0))+BV67),BV67))</f>
        <v>1023</v>
      </c>
      <c r="BX67" s="26">
        <f>IF(ISNUMBER(VLOOKUP($D67,'Visu totale'!$D:$DH,BX$1,0)),BW67-VLOOKUP($D67,'Visu totale'!$D:$DH,BX$1,0),IF(LEFT(VLOOKUP($D67,'Visu totale'!$D:$DH,BX$1,0),1)="V",IF(BW67&gt;=INDEX('[1]Définition Maintenances'!$G:$G,MATCH($A67,'[1]Définition Maintenances'!$K:$K,0)),BW67,INDEX('[1]Définition Maintenances'!$G:$G,MATCH($A67,'[1]Définition Maintenances'!$K:$K,0))+BW67),BW67))</f>
        <v>1023</v>
      </c>
      <c r="BY67" s="27">
        <f>IF(ISNUMBER(VLOOKUP($D67,'Visu totale'!$D:$DH,BY$1,0)),BX67-VLOOKUP($D67,'Visu totale'!$D:$DH,BY$1,0),IF(LEFT(VLOOKUP($D67,'Visu totale'!$D:$DH,BY$1,0),1)="V",IF(BX67&gt;=INDEX('[1]Définition Maintenances'!$G:$G,MATCH($A67,'[1]Définition Maintenances'!$K:$K,0)),BX67,INDEX('[1]Définition Maintenances'!$G:$G,MATCH($A67,'[1]Définition Maintenances'!$K:$K,0))+BX67),BX67))</f>
        <v>1023</v>
      </c>
      <c r="BZ67" s="25">
        <f>IF(ISNUMBER(VLOOKUP($D67,'Visu totale'!$D:$DH,BZ$1,0)),BY67-VLOOKUP($D67,'Visu totale'!$D:$DH,BZ$1,0),IF(LEFT(VLOOKUP($D67,'Visu totale'!$D:$DH,BZ$1,0),1)="V",IF(BY67&gt;=INDEX('[1]Définition Maintenances'!$G:$G,MATCH($A67,'[1]Définition Maintenances'!$K:$K,0)),BY67,INDEX('[1]Définition Maintenances'!$G:$G,MATCH($A67,'[1]Définition Maintenances'!$K:$K,0))+BY67),BY67))</f>
        <v>1023</v>
      </c>
      <c r="CA67" s="26">
        <f>IF(ISNUMBER(VLOOKUP($D67,'Visu totale'!$D:$DH,CA$1,0)),BZ67-VLOOKUP($D67,'Visu totale'!$D:$DH,CA$1,0),IF(LEFT(VLOOKUP($D67,'Visu totale'!$D:$DH,CA$1,0),1)="V",IF(BZ67&gt;=INDEX('[1]Définition Maintenances'!$G:$G,MATCH($A67,'[1]Définition Maintenances'!$K:$K,0)),BZ67,INDEX('[1]Définition Maintenances'!$G:$G,MATCH($A67,'[1]Définition Maintenances'!$K:$K,0))+BZ67),BZ67))</f>
        <v>1023</v>
      </c>
      <c r="CB67" s="26">
        <f>IF(ISNUMBER(VLOOKUP($D67,'Visu totale'!$D:$DH,CB$1,0)),CA67-VLOOKUP($D67,'Visu totale'!$D:$DH,CB$1,0),IF(LEFT(VLOOKUP($D67,'Visu totale'!$D:$DH,CB$1,0),1)="V",IF(CA67&gt;=INDEX('[1]Définition Maintenances'!$G:$G,MATCH($A67,'[1]Définition Maintenances'!$K:$K,0)),CA67,INDEX('[1]Définition Maintenances'!$G:$G,MATCH($A67,'[1]Définition Maintenances'!$K:$K,0))+CA67),CA67))</f>
        <v>1023</v>
      </c>
      <c r="CC67" s="26">
        <f>IF(ISNUMBER(VLOOKUP($D67,'Visu totale'!$D:$DH,CC$1,0)),CB67-VLOOKUP($D67,'Visu totale'!$D:$DH,CC$1,0),IF(LEFT(VLOOKUP($D67,'Visu totale'!$D:$DH,CC$1,0),1)="V",IF(CB67&gt;=INDEX('[1]Définition Maintenances'!$G:$G,MATCH($A67,'[1]Définition Maintenances'!$K:$K,0)),CB67,INDEX('[1]Définition Maintenances'!$G:$G,MATCH($A67,'[1]Définition Maintenances'!$K:$K,0))+CB67),CB67))</f>
        <v>1023</v>
      </c>
      <c r="CD67" s="26">
        <f>IF(ISNUMBER(VLOOKUP($D67,'Visu totale'!$D:$DH,CD$1,0)),CC67-VLOOKUP($D67,'Visu totale'!$D:$DH,CD$1,0),IF(LEFT(VLOOKUP($D67,'Visu totale'!$D:$DH,CD$1,0),1)="V",IF(CC67&gt;=INDEX('[1]Définition Maintenances'!$G:$G,MATCH($A67,'[1]Définition Maintenances'!$K:$K,0)),CC67,INDEX('[1]Définition Maintenances'!$G:$G,MATCH($A67,'[1]Définition Maintenances'!$K:$K,0))+CC67),CC67))</f>
        <v>1023</v>
      </c>
      <c r="CE67" s="26">
        <f>IF(ISNUMBER(VLOOKUP($D67,'Visu totale'!$D:$DH,CE$1,0)),CD67-VLOOKUP($D67,'Visu totale'!$D:$DH,CE$1,0),IF(LEFT(VLOOKUP($D67,'Visu totale'!$D:$DH,CE$1,0),1)="V",IF(CD67&gt;=INDEX('[1]Définition Maintenances'!$G:$G,MATCH($A67,'[1]Définition Maintenances'!$K:$K,0)),CD67,INDEX('[1]Définition Maintenances'!$G:$G,MATCH($A67,'[1]Définition Maintenances'!$K:$K,0))+CD67),CD67))</f>
        <v>1023</v>
      </c>
      <c r="CF67" s="26">
        <f>IF(ISNUMBER(VLOOKUP($D67,'Visu totale'!$D:$DH,CF$1,0)),CE67-VLOOKUP($D67,'Visu totale'!$D:$DH,CF$1,0),IF(LEFT(VLOOKUP($D67,'Visu totale'!$D:$DH,CF$1,0),1)="V",IF(CE67&gt;=INDEX('[1]Définition Maintenances'!$G:$G,MATCH($A67,'[1]Définition Maintenances'!$K:$K,0)),CE67,INDEX('[1]Définition Maintenances'!$G:$G,MATCH($A67,'[1]Définition Maintenances'!$K:$K,0))+CE67),CE67))</f>
        <v>1023</v>
      </c>
      <c r="CG67" s="26">
        <f>IF(ISNUMBER(VLOOKUP($D67,'Visu totale'!$D:$DH,CG$1,0)),CF67-VLOOKUP($D67,'Visu totale'!$D:$DH,CG$1,0),IF(LEFT(VLOOKUP($D67,'Visu totale'!$D:$DH,CG$1,0),1)="V",IF(CF67&gt;=INDEX('[1]Définition Maintenances'!$G:$G,MATCH($A67,'[1]Définition Maintenances'!$K:$K,0)),CF67,INDEX('[1]Définition Maintenances'!$G:$G,MATCH($A67,'[1]Définition Maintenances'!$K:$K,0))+CF67),CF67))</f>
        <v>1023</v>
      </c>
      <c r="CH67" s="26">
        <f>IF(ISNUMBER(VLOOKUP($D67,'Visu totale'!$D:$DH,CH$1,0)),CG67-VLOOKUP($D67,'Visu totale'!$D:$DH,CH$1,0),IF(LEFT(VLOOKUP($D67,'Visu totale'!$D:$DH,CH$1,0),1)="V",IF(CG67&gt;=INDEX('[1]Définition Maintenances'!$G:$G,MATCH($A67,'[1]Définition Maintenances'!$K:$K,0)),CG67,INDEX('[1]Définition Maintenances'!$G:$G,MATCH($A67,'[1]Définition Maintenances'!$K:$K,0))+CG67),CG67))</f>
        <v>1023</v>
      </c>
      <c r="CI67" s="26">
        <f>IF(ISNUMBER(VLOOKUP($D67,'Visu totale'!$D:$DH,CI$1,0)),CH67-VLOOKUP($D67,'Visu totale'!$D:$DH,CI$1,0),IF(LEFT(VLOOKUP($D67,'Visu totale'!$D:$DH,CI$1,0),1)="V",IF(CH67&gt;=INDEX('[1]Définition Maintenances'!$G:$G,MATCH($A67,'[1]Définition Maintenances'!$K:$K,0)),CH67,INDEX('[1]Définition Maintenances'!$G:$G,MATCH($A67,'[1]Définition Maintenances'!$K:$K,0))+CH67),CH67))</f>
        <v>1023</v>
      </c>
      <c r="CJ67" s="26">
        <f>IF(ISNUMBER(VLOOKUP($D67,'Visu totale'!$D:$DH,CJ$1,0)),CI67-VLOOKUP($D67,'Visu totale'!$D:$DH,CJ$1,0),IF(LEFT(VLOOKUP($D67,'Visu totale'!$D:$DH,CJ$1,0),1)="V",IF(CI67&gt;=INDEX('[1]Définition Maintenances'!$G:$G,MATCH($A67,'[1]Définition Maintenances'!$K:$K,0)),CI67,INDEX('[1]Définition Maintenances'!$G:$G,MATCH($A67,'[1]Définition Maintenances'!$K:$K,0))+CI67),CI67))</f>
        <v>1023</v>
      </c>
      <c r="CK67" s="27">
        <f>IF(ISNUMBER(VLOOKUP($D67,'Visu totale'!$D:$DH,CK$1,0)),CJ67-VLOOKUP($D67,'Visu totale'!$D:$DH,CK$1,0),IF(LEFT(VLOOKUP($D67,'Visu totale'!$D:$DH,CK$1,0),1)="V",IF(CJ67&gt;=INDEX('[1]Définition Maintenances'!$G:$G,MATCH($A67,'[1]Définition Maintenances'!$K:$K,0)),CJ67,INDEX('[1]Définition Maintenances'!$G:$G,MATCH($A67,'[1]Définition Maintenances'!$K:$K,0))+CJ67),CJ67))</f>
        <v>1023</v>
      </c>
      <c r="CL67" s="25">
        <f>IF(ISNUMBER(VLOOKUP($D67,'Visu totale'!$D:$DH,CL$1,0)),CK67-VLOOKUP($D67,'Visu totale'!$D:$DH,CL$1,0),IF(LEFT(VLOOKUP($D67,'Visu totale'!$D:$DH,CL$1,0),1)="V",IF(CK67&gt;=INDEX('[1]Définition Maintenances'!$G:$G,MATCH($A67,'[1]Définition Maintenances'!$K:$K,0)),CK67,INDEX('[1]Définition Maintenances'!$G:$G,MATCH($A67,'[1]Définition Maintenances'!$K:$K,0))+CK67),CK67))</f>
        <v>1023</v>
      </c>
      <c r="CM67" s="26">
        <f>IF(ISNUMBER(VLOOKUP($D67,'Visu totale'!$D:$DH,CM$1,0)),CL67-VLOOKUP($D67,'Visu totale'!$D:$DH,CM$1,0),IF(LEFT(VLOOKUP($D67,'Visu totale'!$D:$DH,CM$1,0),1)="V",IF(CL67&gt;=INDEX('[1]Définition Maintenances'!$G:$G,MATCH($A67,'[1]Définition Maintenances'!$K:$K,0)),CL67,INDEX('[1]Définition Maintenances'!$G:$G,MATCH($A67,'[1]Définition Maintenances'!$K:$K,0))+CL67),CL67))</f>
        <v>1023</v>
      </c>
      <c r="CN67" s="26">
        <f>IF(ISNUMBER(VLOOKUP($D67,'Visu totale'!$D:$DH,CN$1,0)),CM67-VLOOKUP($D67,'Visu totale'!$D:$DH,CN$1,0),IF(LEFT(VLOOKUP($D67,'Visu totale'!$D:$DH,CN$1,0),1)="V",IF(CM67&gt;=INDEX('[1]Définition Maintenances'!$G:$G,MATCH($A67,'[1]Définition Maintenances'!$K:$K,0)),CM67,INDEX('[1]Définition Maintenances'!$G:$G,MATCH($A67,'[1]Définition Maintenances'!$K:$K,0))+CM67),CM67))</f>
        <v>1023</v>
      </c>
      <c r="CO67" s="26">
        <f>IF(ISNUMBER(VLOOKUP($D67,'Visu totale'!$D:$DH,CO$1,0)),CN67-VLOOKUP($D67,'Visu totale'!$D:$DH,CO$1,0),IF(LEFT(VLOOKUP($D67,'Visu totale'!$D:$DH,CO$1,0),1)="V",IF(CN67&gt;=INDEX('[1]Définition Maintenances'!$G:$G,MATCH($A67,'[1]Définition Maintenances'!$K:$K,0)),CN67,INDEX('[1]Définition Maintenances'!$G:$G,MATCH($A67,'[1]Définition Maintenances'!$K:$K,0))+CN67),CN67))</f>
        <v>1023</v>
      </c>
      <c r="CP67" s="26">
        <f>IF(ISNUMBER(VLOOKUP($D67,'Visu totale'!$D:$DH,CP$1,0)),CO67-VLOOKUP($D67,'Visu totale'!$D:$DH,CP$1,0),IF(LEFT(VLOOKUP($D67,'Visu totale'!$D:$DH,CP$1,0),1)="V",IF(CO67&gt;=INDEX('[1]Définition Maintenances'!$G:$G,MATCH($A67,'[1]Définition Maintenances'!$K:$K,0)),CO67,INDEX('[1]Définition Maintenances'!$G:$G,MATCH($A67,'[1]Définition Maintenances'!$K:$K,0))+CO67),CO67))</f>
        <v>1023</v>
      </c>
      <c r="CQ67" s="26">
        <f>IF(ISNUMBER(VLOOKUP($D67,'Visu totale'!$D:$DH,CQ$1,0)),CP67-VLOOKUP($D67,'Visu totale'!$D:$DH,CQ$1,0),IF(LEFT(VLOOKUP($D67,'Visu totale'!$D:$DH,CQ$1,0),1)="V",IF(CP67&gt;=INDEX('[1]Définition Maintenances'!$G:$G,MATCH($A67,'[1]Définition Maintenances'!$K:$K,0)),CP67,INDEX('[1]Définition Maintenances'!$G:$G,MATCH($A67,'[1]Définition Maintenances'!$K:$K,0))+CP67),CP67))</f>
        <v>1023</v>
      </c>
      <c r="CR67" s="26">
        <f>IF(ISNUMBER(VLOOKUP($D67,'Visu totale'!$D:$DH,CR$1,0)),CQ67-VLOOKUP($D67,'Visu totale'!$D:$DH,CR$1,0),IF(LEFT(VLOOKUP($D67,'Visu totale'!$D:$DH,CR$1,0),1)="V",IF(CQ67&gt;=INDEX('[1]Définition Maintenances'!$G:$G,MATCH($A67,'[1]Définition Maintenances'!$K:$K,0)),CQ67,INDEX('[1]Définition Maintenances'!$G:$G,MATCH($A67,'[1]Définition Maintenances'!$K:$K,0))+CQ67),CQ67))</f>
        <v>1023</v>
      </c>
      <c r="CS67" s="26">
        <f>IF(ISNUMBER(VLOOKUP($D67,'Visu totale'!$D:$DH,CS$1,0)),CR67-VLOOKUP($D67,'Visu totale'!$D:$DH,CS$1,0),IF(LEFT(VLOOKUP($D67,'Visu totale'!$D:$DH,CS$1,0),1)="V",IF(CR67&gt;=INDEX('[1]Définition Maintenances'!$G:$G,MATCH($A67,'[1]Définition Maintenances'!$K:$K,0)),CR67,INDEX('[1]Définition Maintenances'!$G:$G,MATCH($A67,'[1]Définition Maintenances'!$K:$K,0))+CR67),CR67))</f>
        <v>1023</v>
      </c>
      <c r="CT67" s="26">
        <f>IF(ISNUMBER(VLOOKUP($D67,'Visu totale'!$D:$DH,CT$1,0)),CS67-VLOOKUP($D67,'Visu totale'!$D:$DH,CT$1,0),IF(LEFT(VLOOKUP($D67,'Visu totale'!$D:$DH,CT$1,0),1)="V",IF(CS67&gt;=INDEX('[1]Définition Maintenances'!$G:$G,MATCH($A67,'[1]Définition Maintenances'!$K:$K,0)),CS67,INDEX('[1]Définition Maintenances'!$G:$G,MATCH($A67,'[1]Définition Maintenances'!$K:$K,0))+CS67),CS67))</f>
        <v>1023</v>
      </c>
      <c r="CU67" s="26">
        <f>IF(ISNUMBER(VLOOKUP($D67,'Visu totale'!$D:$DH,CU$1,0)),CT67-VLOOKUP($D67,'Visu totale'!$D:$DH,CU$1,0),IF(LEFT(VLOOKUP($D67,'Visu totale'!$D:$DH,CU$1,0),1)="V",IF(CT67&gt;=INDEX('[1]Définition Maintenances'!$G:$G,MATCH($A67,'[1]Définition Maintenances'!$K:$K,0)),CT67,INDEX('[1]Définition Maintenances'!$G:$G,MATCH($A67,'[1]Définition Maintenances'!$K:$K,0))+CT67),CT67))</f>
        <v>1023</v>
      </c>
      <c r="CV67" s="26">
        <f>IF(ISNUMBER(VLOOKUP($D67,'Visu totale'!$D:$DH,CV$1,0)),CU67-VLOOKUP($D67,'Visu totale'!$D:$DH,CV$1,0),IF(LEFT(VLOOKUP($D67,'Visu totale'!$D:$DH,CV$1,0),1)="V",IF(CU67&gt;=INDEX('[1]Définition Maintenances'!$G:$G,MATCH($A67,'[1]Définition Maintenances'!$K:$K,0)),CU67,INDEX('[1]Définition Maintenances'!$G:$G,MATCH($A67,'[1]Définition Maintenances'!$K:$K,0))+CU67),CU67))</f>
        <v>1023</v>
      </c>
      <c r="CW67" s="27">
        <f>IF(ISNUMBER(VLOOKUP($D67,'Visu totale'!$D:$DH,CW$1,0)),CV67-VLOOKUP($D67,'Visu totale'!$D:$DH,CW$1,0),IF(LEFT(VLOOKUP($D67,'Visu totale'!$D:$DH,CW$1,0),1)="V",IF(CV67&gt;=INDEX('[1]Définition Maintenances'!$G:$G,MATCH($A67,'[1]Définition Maintenances'!$K:$K,0)),CV67,INDEX('[1]Définition Maintenances'!$G:$G,MATCH($A67,'[1]Définition Maintenances'!$K:$K,0))+CV67),CV67))</f>
        <v>1023</v>
      </c>
      <c r="CX67" s="25">
        <f>IF(ISNUMBER(VLOOKUP($D67,'Visu totale'!$D:$DH,CX$1,0)),CW67-VLOOKUP($D67,'Visu totale'!$D:$DH,CX$1,0),IF(LEFT(VLOOKUP($D67,'Visu totale'!$D:$DH,CX$1,0),1)="V",IF(CW67&gt;=INDEX('[1]Définition Maintenances'!$G:$G,MATCH($A67,'[1]Définition Maintenances'!$K:$K,0)),CW67,INDEX('[1]Définition Maintenances'!$G:$G,MATCH($A67,'[1]Définition Maintenances'!$K:$K,0))+CW67),CW67))</f>
        <v>1023</v>
      </c>
      <c r="CY67" s="26">
        <f>IF(ISNUMBER(VLOOKUP($D67,'Visu totale'!$D:$DH,CY$1,0)),CX67-VLOOKUP($D67,'Visu totale'!$D:$DH,CY$1,0),IF(LEFT(VLOOKUP($D67,'Visu totale'!$D:$DH,CY$1,0),1)="V",IF(CX67&gt;=INDEX('[1]Définition Maintenances'!$G:$G,MATCH($A67,'[1]Définition Maintenances'!$K:$K,0)),CX67,INDEX('[1]Définition Maintenances'!$G:$G,MATCH($A67,'[1]Définition Maintenances'!$K:$K,0))+CX67),CX67))</f>
        <v>1023</v>
      </c>
      <c r="CZ67" s="26">
        <f>IF(ISNUMBER(VLOOKUP($D67,'Visu totale'!$D:$DH,CZ$1,0)),CY67-VLOOKUP($D67,'Visu totale'!$D:$DH,CZ$1,0),IF(LEFT(VLOOKUP($D67,'Visu totale'!$D:$DH,CZ$1,0),1)="V",IF(CY67&gt;=INDEX('[1]Définition Maintenances'!$G:$G,MATCH($A67,'[1]Définition Maintenances'!$K:$K,0)),CY67,INDEX('[1]Définition Maintenances'!$G:$G,MATCH($A67,'[1]Définition Maintenances'!$K:$K,0))+CY67),CY67))</f>
        <v>1023</v>
      </c>
      <c r="DA67" s="26">
        <f>IF(ISNUMBER(VLOOKUP($D67,'Visu totale'!$D:$DH,DA$1,0)),CZ67-VLOOKUP($D67,'Visu totale'!$D:$DH,DA$1,0),IF(LEFT(VLOOKUP($D67,'Visu totale'!$D:$DH,DA$1,0),1)="V",IF(CZ67&gt;=INDEX('[1]Définition Maintenances'!$G:$G,MATCH($A67,'[1]Définition Maintenances'!$K:$K,0)),CZ67,INDEX('[1]Définition Maintenances'!$G:$G,MATCH($A67,'[1]Définition Maintenances'!$K:$K,0))+CZ67),CZ67))</f>
        <v>1023</v>
      </c>
      <c r="DB67" s="26">
        <f>IF(ISNUMBER(VLOOKUP($D67,'Visu totale'!$D:$DH,DB$1,0)),DA67-VLOOKUP($D67,'Visu totale'!$D:$DH,DB$1,0),IF(LEFT(VLOOKUP($D67,'Visu totale'!$D:$DH,DB$1,0),1)="V",IF(DA67&gt;=INDEX('[1]Définition Maintenances'!$G:$G,MATCH($A67,'[1]Définition Maintenances'!$K:$K,0)),DA67,INDEX('[1]Définition Maintenances'!$G:$G,MATCH($A67,'[1]Définition Maintenances'!$K:$K,0))+DA67),DA67))</f>
        <v>1023</v>
      </c>
      <c r="DC67" s="26">
        <f>IF(ISNUMBER(VLOOKUP($D67,'Visu totale'!$D:$DH,DC$1,0)),DB67-VLOOKUP($D67,'Visu totale'!$D:$DH,DC$1,0),IF(LEFT(VLOOKUP($D67,'Visu totale'!$D:$DH,DC$1,0),1)="V",IF(DB67&gt;=INDEX('[1]Définition Maintenances'!$G:$G,MATCH($A67,'[1]Définition Maintenances'!$K:$K,0)),DB67,INDEX('[1]Définition Maintenances'!$G:$G,MATCH($A67,'[1]Définition Maintenances'!$K:$K,0))+DB67),DB67))</f>
        <v>1023</v>
      </c>
      <c r="DD67" s="26">
        <f>IF(ISNUMBER(VLOOKUP($D67,'Visu totale'!$D:$DH,DD$1,0)),DC67-VLOOKUP($D67,'Visu totale'!$D:$DH,DD$1,0),IF(LEFT(VLOOKUP($D67,'Visu totale'!$D:$DH,DD$1,0),1)="V",IF(DC67&gt;=INDEX('[1]Définition Maintenances'!$G:$G,MATCH($A67,'[1]Définition Maintenances'!$K:$K,0)),DC67,INDEX('[1]Définition Maintenances'!$G:$G,MATCH($A67,'[1]Définition Maintenances'!$K:$K,0))+DC67),DC67))</f>
        <v>1023</v>
      </c>
      <c r="DE67" s="26">
        <f>IF(ISNUMBER(VLOOKUP($D67,'Visu totale'!$D:$DH,DE$1,0)),DD67-VLOOKUP($D67,'Visu totale'!$D:$DH,DE$1,0),IF(LEFT(VLOOKUP($D67,'Visu totale'!$D:$DH,DE$1,0),1)="V",IF(DD67&gt;=INDEX('[1]Définition Maintenances'!$G:$G,MATCH($A67,'[1]Définition Maintenances'!$K:$K,0)),DD67,INDEX('[1]Définition Maintenances'!$G:$G,MATCH($A67,'[1]Définition Maintenances'!$K:$K,0))+DD67),DD67))</f>
        <v>1023</v>
      </c>
      <c r="DF67" s="26">
        <f>IF(ISNUMBER(VLOOKUP($D67,'Visu totale'!$D:$DH,DF$1,0)),DE67-VLOOKUP($D67,'Visu totale'!$D:$DH,DF$1,0),IF(LEFT(VLOOKUP($D67,'Visu totale'!$D:$DH,DF$1,0),1)="V",IF(DE67&gt;=INDEX('[1]Définition Maintenances'!$G:$G,MATCH($A67,'[1]Définition Maintenances'!$K:$K,0)),DE67,INDEX('[1]Définition Maintenances'!$G:$G,MATCH($A67,'[1]Définition Maintenances'!$K:$K,0))+DE67),DE67))</f>
        <v>1023</v>
      </c>
      <c r="DG67" s="26">
        <f>IF(ISNUMBER(VLOOKUP($D67,'Visu totale'!$D:$DH,DG$1,0)),DF67-VLOOKUP($D67,'Visu totale'!$D:$DH,DG$1,0),IF(LEFT(VLOOKUP($D67,'Visu totale'!$D:$DH,DG$1,0),1)="V",IF(DF67&gt;=INDEX('[1]Définition Maintenances'!$G:$G,MATCH($A67,'[1]Définition Maintenances'!$K:$K,0)),DF67,INDEX('[1]Définition Maintenances'!$G:$G,MATCH($A67,'[1]Définition Maintenances'!$K:$K,0))+DF67),DF67))</f>
        <v>1023</v>
      </c>
      <c r="DH67" s="26">
        <f>IF(ISNUMBER(VLOOKUP($D67,'Visu totale'!$D:$DH,DH$1,0)),DG67-VLOOKUP($D67,'Visu totale'!$D:$DH,DH$1,0),IF(LEFT(VLOOKUP($D67,'Visu totale'!$D:$DH,DH$1,0),1)="V",IF(DG67&gt;=INDEX('[1]Définition Maintenances'!$G:$G,MATCH($A67,'[1]Définition Maintenances'!$K:$K,0)),DG67,INDEX('[1]Définition Maintenances'!$G:$G,MATCH($A67,'[1]Définition Maintenances'!$K:$K,0))+DG67),DG67))</f>
        <v>1023</v>
      </c>
      <c r="DI67" s="27">
        <f>IF(ISNUMBER(VLOOKUP($D67,'Visu totale'!$D:$DH,DI$1,0)),DH67-VLOOKUP($D67,'Visu totale'!$D:$DH,DI$1,0),IF(LEFT(VLOOKUP($D67,'Visu totale'!$D:$DH,DI$1,0),1)="V",IF(DH67&gt;=INDEX('[1]Définition Maintenances'!$G:$G,MATCH($A67,'[1]Définition Maintenances'!$K:$K,0)),DH67,INDEX('[1]Définition Maintenances'!$G:$G,MATCH($A67,'[1]Définition Maintenances'!$K:$K,0))+DH67),DH67))</f>
        <v>1023</v>
      </c>
    </row>
    <row r="68" spans="1:113" x14ac:dyDescent="0.25">
      <c r="A68" s="13" t="str">
        <f t="shared" ref="A68:A99" si="2">B68&amp;LEFT(D68,1)</f>
        <v>V15D</v>
      </c>
      <c r="B68" s="13" t="str">
        <f>VLOOKUP(D68,'[1]Avions (Potentiels)'!$B$2:$H$128,7,FALSE)</f>
        <v>V15</v>
      </c>
      <c r="C68" s="13"/>
      <c r="D68" s="16" t="s">
        <v>71</v>
      </c>
      <c r="E68" s="13">
        <f>IFERROR(VALUE(SUBSTITUTE(VLOOKUP(D68,'[1]Avions (Potentiels)'!$B:$E,4,0),".",",")),VALUE(VLOOKUP(D68,'[1]Avions (Potentiels)'!$B:$E,4,0)))</f>
        <v>274</v>
      </c>
      <c r="F68" s="25">
        <f>IF(ISNUMBER(VLOOKUP($D68,'Visu totale'!$D:$DH,F$1,0)),E68-VLOOKUP($D68,'Visu totale'!$D:$DH,F$1,0),IF(LEFT(VLOOKUP($D68,'Visu totale'!$D:$DH,F$1,0),1)="V",IF(E68&gt;=INDEX('[1]Définition Maintenances'!$G:$G,MATCH($A68,'[1]Définition Maintenances'!$K:$K,0)),E68,INDEX('[1]Définition Maintenances'!$G:$G,MATCH($A68,'[1]Définition Maintenances'!$K:$K,0))+E68),E68))</f>
        <v>274</v>
      </c>
      <c r="G68" s="26">
        <f>IF(ISNUMBER(VLOOKUP($D68,'Visu totale'!$D:$DH,G$1,0)),F68-VLOOKUP($D68,'Visu totale'!$D:$DH,G$1,0),IF(LEFT(VLOOKUP($D68,'Visu totale'!$D:$DH,G$1,0),1)="V",IF(F68&gt;=INDEX('[1]Définition Maintenances'!$G:$G,MATCH($A68,'[1]Définition Maintenances'!$K:$K,0)),F68,INDEX('[1]Définition Maintenances'!$G:$G,MATCH($A68,'[1]Définition Maintenances'!$K:$K,0))+F68),F68))</f>
        <v>274</v>
      </c>
      <c r="H68" s="26">
        <f>IF(ISNUMBER(VLOOKUP($D68,'Visu totale'!$D:$DH,H$1,0)),G68-VLOOKUP($D68,'Visu totale'!$D:$DH,H$1,0),IF(LEFT(VLOOKUP($D68,'Visu totale'!$D:$DH,H$1,0),1)="V",IF(G68&gt;=INDEX('[1]Définition Maintenances'!$G:$G,MATCH($A68,'[1]Définition Maintenances'!$K:$K,0)),G68,INDEX('[1]Définition Maintenances'!$G:$G,MATCH($A68,'[1]Définition Maintenances'!$K:$K,0))+G68),G68))</f>
        <v>274</v>
      </c>
      <c r="I68" s="26">
        <f>IF(ISNUMBER(VLOOKUP($D68,'Visu totale'!$D:$DH,I$1,0)),H68-VLOOKUP($D68,'Visu totale'!$D:$DH,I$1,0),IF(LEFT(VLOOKUP($D68,'Visu totale'!$D:$DH,I$1,0),1)="V",IF(H68&gt;=INDEX('[1]Définition Maintenances'!$G:$G,MATCH($A68,'[1]Définition Maintenances'!$K:$K,0)),H68,INDEX('[1]Définition Maintenances'!$G:$G,MATCH($A68,'[1]Définition Maintenances'!$K:$K,0))+H68),H68))</f>
        <v>274</v>
      </c>
      <c r="J68" s="26">
        <f>IF(ISNUMBER(VLOOKUP($D68,'Visu totale'!$D:$DH,J$1,0)),I68-VLOOKUP($D68,'Visu totale'!$D:$DH,J$1,0),IF(LEFT(VLOOKUP($D68,'Visu totale'!$D:$DH,J$1,0),1)="V",IF(I68&gt;=INDEX('[1]Définition Maintenances'!$G:$G,MATCH($A68,'[1]Définition Maintenances'!$K:$K,0)),I68,INDEX('[1]Définition Maintenances'!$G:$G,MATCH($A68,'[1]Définition Maintenances'!$K:$K,0))+I68),I68))</f>
        <v>274</v>
      </c>
      <c r="K68" s="26">
        <f>IF(ISNUMBER(VLOOKUP($D68,'Visu totale'!$D:$DH,K$1,0)),J68-VLOOKUP($D68,'Visu totale'!$D:$DH,K$1,0),IF(LEFT(VLOOKUP($D68,'Visu totale'!$D:$DH,K$1,0),1)="V",IF(J68&gt;=INDEX('[1]Définition Maintenances'!$G:$G,MATCH($A68,'[1]Définition Maintenances'!$K:$K,0)),J68,INDEX('[1]Définition Maintenances'!$G:$G,MATCH($A68,'[1]Définition Maintenances'!$K:$K,0))+J68),J68))</f>
        <v>274</v>
      </c>
      <c r="L68" s="26">
        <f>IF(ISNUMBER(VLOOKUP($D68,'Visu totale'!$D:$DH,L$1,0)),K68-VLOOKUP($D68,'Visu totale'!$D:$DH,L$1,0),IF(LEFT(VLOOKUP($D68,'Visu totale'!$D:$DH,L$1,0),1)="V",IF(K68&gt;=INDEX('[1]Définition Maintenances'!$G:$G,MATCH($A68,'[1]Définition Maintenances'!$K:$K,0)),K68,INDEX('[1]Définition Maintenances'!$G:$G,MATCH($A68,'[1]Définition Maintenances'!$K:$K,0))+K68),K68))</f>
        <v>274</v>
      </c>
      <c r="M68" s="26">
        <f>IF(ISNUMBER(VLOOKUP($D68,'Visu totale'!$D:$DH,M$1,0)),L68-VLOOKUP($D68,'Visu totale'!$D:$DH,M$1,0),IF(LEFT(VLOOKUP($D68,'Visu totale'!$D:$DH,M$1,0),1)="V",IF(L68&gt;=INDEX('[1]Définition Maintenances'!$G:$G,MATCH($A68,'[1]Définition Maintenances'!$K:$K,0)),L68,INDEX('[1]Définition Maintenances'!$G:$G,MATCH($A68,'[1]Définition Maintenances'!$K:$K,0))+L68),L68))</f>
        <v>274</v>
      </c>
      <c r="N68" s="26">
        <f>IF(ISNUMBER(VLOOKUP($D68,'Visu totale'!$D:$DH,N$1,0)),M68-VLOOKUP($D68,'Visu totale'!$D:$DH,N$1,0),IF(LEFT(VLOOKUP($D68,'Visu totale'!$D:$DH,N$1,0),1)="V",IF(M68&gt;=INDEX('[1]Définition Maintenances'!$G:$G,MATCH($A68,'[1]Définition Maintenances'!$K:$K,0)),M68,INDEX('[1]Définition Maintenances'!$G:$G,MATCH($A68,'[1]Définition Maintenances'!$K:$K,0))+M68),M68))</f>
        <v>274</v>
      </c>
      <c r="O68" s="26">
        <f>IF(ISNUMBER(VLOOKUP($D68,'Visu totale'!$D:$DH,O$1,0)),N68-VLOOKUP($D68,'Visu totale'!$D:$DH,O$1,0),IF(LEFT(VLOOKUP($D68,'Visu totale'!$D:$DH,O$1,0),1)="V",IF(N68&gt;=INDEX('[1]Définition Maintenances'!$G:$G,MATCH($A68,'[1]Définition Maintenances'!$K:$K,0)),N68,INDEX('[1]Définition Maintenances'!$G:$G,MATCH($A68,'[1]Définition Maintenances'!$K:$K,0))+N68),N68))</f>
        <v>274</v>
      </c>
      <c r="P68" s="26">
        <f>IF(ISNUMBER(VLOOKUP($D68,'Visu totale'!$D:$DH,P$1,0)),O68-VLOOKUP($D68,'Visu totale'!$D:$DH,P$1,0),IF(LEFT(VLOOKUP($D68,'Visu totale'!$D:$DH,P$1,0),1)="V",IF(O68&gt;=INDEX('[1]Définition Maintenances'!$G:$G,MATCH($A68,'[1]Définition Maintenances'!$K:$K,0)),O68,INDEX('[1]Définition Maintenances'!$G:$G,MATCH($A68,'[1]Définition Maintenances'!$K:$K,0))+O68),O68))</f>
        <v>274</v>
      </c>
      <c r="Q68" s="27">
        <f>IF(ISNUMBER(VLOOKUP($D68,'Visu totale'!$D:$DH,Q$1,0)),P68-VLOOKUP($D68,'Visu totale'!$D:$DH,Q$1,0),IF(LEFT(VLOOKUP($D68,'Visu totale'!$D:$DH,Q$1,0),1)="V",IF(P68&gt;=INDEX('[1]Définition Maintenances'!$G:$G,MATCH($A68,'[1]Définition Maintenances'!$K:$K,0)),P68,INDEX('[1]Définition Maintenances'!$G:$G,MATCH($A68,'[1]Définition Maintenances'!$K:$K,0))+P68),P68))</f>
        <v>274</v>
      </c>
      <c r="R68" s="25">
        <f>IF(ISNUMBER(VLOOKUP($D68,'Visu totale'!$D:$DH,R$1,0)),Q68-VLOOKUP($D68,'Visu totale'!$D:$DH,R$1,0),IF(LEFT(VLOOKUP($D68,'Visu totale'!$D:$DH,R$1,0),1)="V",IF(Q68&gt;=INDEX('[1]Définition Maintenances'!$G:$G,MATCH($A68,'[1]Définition Maintenances'!$K:$K,0)),Q68,INDEX('[1]Définition Maintenances'!$G:$G,MATCH($A68,'[1]Définition Maintenances'!$K:$K,0))+Q68),Q68))</f>
        <v>274</v>
      </c>
      <c r="S68" s="26">
        <f>IF(ISNUMBER(VLOOKUP($D68,'Visu totale'!$D:$DH,S$1,0)),R68-VLOOKUP($D68,'Visu totale'!$D:$DH,S$1,0),IF(LEFT(VLOOKUP($D68,'Visu totale'!$D:$DH,S$1,0),1)="V",IF(R68&gt;=INDEX('[1]Définition Maintenances'!$G:$G,MATCH($A68,'[1]Définition Maintenances'!$K:$K,0)),R68,INDEX('[1]Définition Maintenances'!$G:$G,MATCH($A68,'[1]Définition Maintenances'!$K:$K,0))+R68),R68))</f>
        <v>274</v>
      </c>
      <c r="T68" s="26">
        <f>IF(ISNUMBER(VLOOKUP($D68,'Visu totale'!$D:$DH,T$1,0)),S68-VLOOKUP($D68,'Visu totale'!$D:$DH,T$1,0),IF(LEFT(VLOOKUP($D68,'Visu totale'!$D:$DH,T$1,0),1)="V",IF(S68&gt;=INDEX('[1]Définition Maintenances'!$G:$G,MATCH($A68,'[1]Définition Maintenances'!$K:$K,0)),S68,INDEX('[1]Définition Maintenances'!$G:$G,MATCH($A68,'[1]Définition Maintenances'!$K:$K,0))+S68),S68))</f>
        <v>274</v>
      </c>
      <c r="U68" s="26">
        <f>IF(ISNUMBER(VLOOKUP($D68,'Visu totale'!$D:$DH,U$1,0)),T68-VLOOKUP($D68,'Visu totale'!$D:$DH,U$1,0),IF(LEFT(VLOOKUP($D68,'Visu totale'!$D:$DH,U$1,0),1)="V",IF(T68&gt;=INDEX('[1]Définition Maintenances'!$G:$G,MATCH($A68,'[1]Définition Maintenances'!$K:$K,0)),T68,INDEX('[1]Définition Maintenances'!$G:$G,MATCH($A68,'[1]Définition Maintenances'!$K:$K,0))+T68),T68))</f>
        <v>274</v>
      </c>
      <c r="V68" s="26">
        <f>IF(ISNUMBER(VLOOKUP($D68,'Visu totale'!$D:$DH,V$1,0)),U68-VLOOKUP($D68,'Visu totale'!$D:$DH,V$1,0),IF(LEFT(VLOOKUP($D68,'Visu totale'!$D:$DH,V$1,0),1)="V",IF(U68&gt;=INDEX('[1]Définition Maintenances'!$G:$G,MATCH($A68,'[1]Définition Maintenances'!$K:$K,0)),U68,INDEX('[1]Définition Maintenances'!$G:$G,MATCH($A68,'[1]Définition Maintenances'!$K:$K,0))+U68),U68))</f>
        <v>274</v>
      </c>
      <c r="W68" s="26">
        <f>IF(ISNUMBER(VLOOKUP($D68,'Visu totale'!$D:$DH,W$1,0)),V68-VLOOKUP($D68,'Visu totale'!$D:$DH,W$1,0),IF(LEFT(VLOOKUP($D68,'Visu totale'!$D:$DH,W$1,0),1)="V",IF(V68&gt;=INDEX('[1]Définition Maintenances'!$G:$G,MATCH($A68,'[1]Définition Maintenances'!$K:$K,0)),V68,INDEX('[1]Définition Maintenances'!$G:$G,MATCH($A68,'[1]Définition Maintenances'!$K:$K,0))+V68),V68))</f>
        <v>274</v>
      </c>
      <c r="X68" s="26">
        <f>IF(ISNUMBER(VLOOKUP($D68,'Visu totale'!$D:$DH,X$1,0)),W68-VLOOKUP($D68,'Visu totale'!$D:$DH,X$1,0),IF(LEFT(VLOOKUP($D68,'Visu totale'!$D:$DH,X$1,0),1)="V",IF(W68&gt;=INDEX('[1]Définition Maintenances'!$G:$G,MATCH($A68,'[1]Définition Maintenances'!$K:$K,0)),W68,INDEX('[1]Définition Maintenances'!$G:$G,MATCH($A68,'[1]Définition Maintenances'!$K:$K,0))+W68),W68))</f>
        <v>274</v>
      </c>
      <c r="Y68" s="26">
        <f>IF(ISNUMBER(VLOOKUP($D68,'Visu totale'!$D:$DH,Y$1,0)),X68-VLOOKUP($D68,'Visu totale'!$D:$DH,Y$1,0),IF(LEFT(VLOOKUP($D68,'Visu totale'!$D:$DH,Y$1,0),1)="V",IF(X68&gt;=INDEX('[1]Définition Maintenances'!$G:$G,MATCH($A68,'[1]Définition Maintenances'!$K:$K,0)),X68,INDEX('[1]Définition Maintenances'!$G:$G,MATCH($A68,'[1]Définition Maintenances'!$K:$K,0))+X68),X68))</f>
        <v>274</v>
      </c>
      <c r="Z68" s="26">
        <f>IF(ISNUMBER(VLOOKUP($D68,'Visu totale'!$D:$DH,Z$1,0)),Y68-VLOOKUP($D68,'Visu totale'!$D:$DH,Z$1,0),IF(LEFT(VLOOKUP($D68,'Visu totale'!$D:$DH,Z$1,0),1)="V",IF(Y68&gt;=INDEX('[1]Définition Maintenances'!$G:$G,MATCH($A68,'[1]Définition Maintenances'!$K:$K,0)),Y68,INDEX('[1]Définition Maintenances'!$G:$G,MATCH($A68,'[1]Définition Maintenances'!$K:$K,0))+Y68),Y68))</f>
        <v>274</v>
      </c>
      <c r="AA68" s="26">
        <f>IF(ISNUMBER(VLOOKUP($D68,'Visu totale'!$D:$DH,AA$1,0)),Z68-VLOOKUP($D68,'Visu totale'!$D:$DH,AA$1,0),IF(LEFT(VLOOKUP($D68,'Visu totale'!$D:$DH,AA$1,0),1)="V",IF(Z68&gt;=INDEX('[1]Définition Maintenances'!$G:$G,MATCH($A68,'[1]Définition Maintenances'!$K:$K,0)),Z68,INDEX('[1]Définition Maintenances'!$G:$G,MATCH($A68,'[1]Définition Maintenances'!$K:$K,0))+Z68),Z68))</f>
        <v>274</v>
      </c>
      <c r="AB68" s="26">
        <f>IF(ISNUMBER(VLOOKUP($D68,'Visu totale'!$D:$DH,AB$1,0)),AA68-VLOOKUP($D68,'Visu totale'!$D:$DH,AB$1,0),IF(LEFT(VLOOKUP($D68,'Visu totale'!$D:$DH,AB$1,0),1)="V",IF(AA68&gt;=INDEX('[1]Définition Maintenances'!$G:$G,MATCH($A68,'[1]Définition Maintenances'!$K:$K,0)),AA68,INDEX('[1]Définition Maintenances'!$G:$G,MATCH($A68,'[1]Définition Maintenances'!$K:$K,0))+AA68),AA68))</f>
        <v>274</v>
      </c>
      <c r="AC68" s="27">
        <f>IF(ISNUMBER(VLOOKUP($D68,'Visu totale'!$D:$DH,AC$1,0)),AB68-VLOOKUP($D68,'Visu totale'!$D:$DH,AC$1,0),IF(LEFT(VLOOKUP($D68,'Visu totale'!$D:$DH,AC$1,0),1)="V",IF(AB68&gt;=INDEX('[1]Définition Maintenances'!$G:$G,MATCH($A68,'[1]Définition Maintenances'!$K:$K,0)),AB68,INDEX('[1]Définition Maintenances'!$G:$G,MATCH($A68,'[1]Définition Maintenances'!$K:$K,0))+AB68),AB68))</f>
        <v>274</v>
      </c>
      <c r="AD68" s="25">
        <f>IF(ISNUMBER(VLOOKUP($D68,'Visu totale'!$D:$DH,AD$1,0)),AC68-VLOOKUP($D68,'Visu totale'!$D:$DH,AD$1,0),IF(LEFT(VLOOKUP($D68,'Visu totale'!$D:$DH,AD$1,0),1)="V",IF(AC68&gt;=INDEX('[1]Définition Maintenances'!$G:$G,MATCH($A68,'[1]Définition Maintenances'!$K:$K,0)),AC68,INDEX('[1]Définition Maintenances'!$G:$G,MATCH($A68,'[1]Définition Maintenances'!$K:$K,0))+AC68),AC68))</f>
        <v>274</v>
      </c>
      <c r="AE68" s="26">
        <f>IF(ISNUMBER(VLOOKUP($D68,'Visu totale'!$D:$DH,AE$1,0)),AD68-VLOOKUP($D68,'Visu totale'!$D:$DH,AE$1,0),IF(LEFT(VLOOKUP($D68,'Visu totale'!$D:$DH,AE$1,0),1)="V",IF(AD68&gt;=INDEX('[1]Définition Maintenances'!$G:$G,MATCH($A68,'[1]Définition Maintenances'!$K:$K,0)),AD68,INDEX('[1]Définition Maintenances'!$G:$G,MATCH($A68,'[1]Définition Maintenances'!$K:$K,0))+AD68),AD68))</f>
        <v>274</v>
      </c>
      <c r="AF68" s="26">
        <f>IF(ISNUMBER(VLOOKUP($D68,'Visu totale'!$D:$DH,AF$1,0)),AE68-VLOOKUP($D68,'Visu totale'!$D:$DH,AF$1,0),IF(LEFT(VLOOKUP($D68,'Visu totale'!$D:$DH,AF$1,0),1)="V",IF(AE68&gt;=INDEX('[1]Définition Maintenances'!$G:$G,MATCH($A68,'[1]Définition Maintenances'!$K:$K,0)),AE68,INDEX('[1]Définition Maintenances'!$G:$G,MATCH($A68,'[1]Définition Maintenances'!$K:$K,0))+AE68),AE68))</f>
        <v>274</v>
      </c>
      <c r="AG68" s="26">
        <f>IF(ISNUMBER(VLOOKUP($D68,'Visu totale'!$D:$DH,AG$1,0)),AF68-VLOOKUP($D68,'Visu totale'!$D:$DH,AG$1,0),IF(LEFT(VLOOKUP($D68,'Visu totale'!$D:$DH,AG$1,0),1)="V",IF(AF68&gt;=INDEX('[1]Définition Maintenances'!$G:$G,MATCH($A68,'[1]Définition Maintenances'!$K:$K,0)),AF68,INDEX('[1]Définition Maintenances'!$G:$G,MATCH($A68,'[1]Définition Maintenances'!$K:$K,0))+AF68),AF68))</f>
        <v>274</v>
      </c>
      <c r="AH68" s="26">
        <f>IF(ISNUMBER(VLOOKUP($D68,'Visu totale'!$D:$DH,AH$1,0)),AG68-VLOOKUP($D68,'Visu totale'!$D:$DH,AH$1,0),IF(LEFT(VLOOKUP($D68,'Visu totale'!$D:$DH,AH$1,0),1)="V",IF(AG68&gt;=INDEX('[1]Définition Maintenances'!$G:$G,MATCH($A68,'[1]Définition Maintenances'!$K:$K,0)),AG68,INDEX('[1]Définition Maintenances'!$G:$G,MATCH($A68,'[1]Définition Maintenances'!$K:$K,0))+AG68),AG68))</f>
        <v>274</v>
      </c>
      <c r="AI68" s="26">
        <f>IF(ISNUMBER(VLOOKUP($D68,'Visu totale'!$D:$DH,AI$1,0)),AH68-VLOOKUP($D68,'Visu totale'!$D:$DH,AI$1,0),IF(LEFT(VLOOKUP($D68,'Visu totale'!$D:$DH,AI$1,0),1)="V",IF(AH68&gt;=INDEX('[1]Définition Maintenances'!$G:$G,MATCH($A68,'[1]Définition Maintenances'!$K:$K,0)),AH68,INDEX('[1]Définition Maintenances'!$G:$G,MATCH($A68,'[1]Définition Maintenances'!$K:$K,0))+AH68),AH68))</f>
        <v>274</v>
      </c>
      <c r="AJ68" s="26">
        <f>IF(ISNUMBER(VLOOKUP($D68,'Visu totale'!$D:$DH,AJ$1,0)),AI68-VLOOKUP($D68,'Visu totale'!$D:$DH,AJ$1,0),IF(LEFT(VLOOKUP($D68,'Visu totale'!$D:$DH,AJ$1,0),1)="V",IF(AI68&gt;=INDEX('[1]Définition Maintenances'!$G:$G,MATCH($A68,'[1]Définition Maintenances'!$K:$K,0)),AI68,INDEX('[1]Définition Maintenances'!$G:$G,MATCH($A68,'[1]Définition Maintenances'!$K:$K,0))+AI68),AI68))</f>
        <v>274</v>
      </c>
      <c r="AK68" s="26">
        <f>IF(ISNUMBER(VLOOKUP($D68,'Visu totale'!$D:$DH,AK$1,0)),AJ68-VLOOKUP($D68,'Visu totale'!$D:$DH,AK$1,0),IF(LEFT(VLOOKUP($D68,'Visu totale'!$D:$DH,AK$1,0),1)="V",IF(AJ68&gt;=INDEX('[1]Définition Maintenances'!$G:$G,MATCH($A68,'[1]Définition Maintenances'!$K:$K,0)),AJ68,INDEX('[1]Définition Maintenances'!$G:$G,MATCH($A68,'[1]Définition Maintenances'!$K:$K,0))+AJ68),AJ68))</f>
        <v>274</v>
      </c>
      <c r="AL68" s="26">
        <f>IF(ISNUMBER(VLOOKUP($D68,'Visu totale'!$D:$DH,AL$1,0)),AK68-VLOOKUP($D68,'Visu totale'!$D:$DH,AL$1,0),IF(LEFT(VLOOKUP($D68,'Visu totale'!$D:$DH,AL$1,0),1)="V",IF(AK68&gt;=INDEX('[1]Définition Maintenances'!$G:$G,MATCH($A68,'[1]Définition Maintenances'!$K:$K,0)),AK68,INDEX('[1]Définition Maintenances'!$G:$G,MATCH($A68,'[1]Définition Maintenances'!$K:$K,0))+AK68),AK68))</f>
        <v>274</v>
      </c>
      <c r="AM68" s="26">
        <f>IF(ISNUMBER(VLOOKUP($D68,'Visu totale'!$D:$DH,AM$1,0)),AL68-VLOOKUP($D68,'Visu totale'!$D:$DH,AM$1,0),IF(LEFT(VLOOKUP($D68,'Visu totale'!$D:$DH,AM$1,0),1)="V",IF(AL68&gt;=INDEX('[1]Définition Maintenances'!$G:$G,MATCH($A68,'[1]Définition Maintenances'!$K:$K,0)),AL68,INDEX('[1]Définition Maintenances'!$G:$G,MATCH($A68,'[1]Définition Maintenances'!$K:$K,0))+AL68),AL68))</f>
        <v>274</v>
      </c>
      <c r="AN68" s="26">
        <f>IF(ISNUMBER(VLOOKUP($D68,'Visu totale'!$D:$DH,AN$1,0)),AM68-VLOOKUP($D68,'Visu totale'!$D:$DH,AN$1,0),IF(LEFT(VLOOKUP($D68,'Visu totale'!$D:$DH,AN$1,0),1)="V",IF(AM68&gt;=INDEX('[1]Définition Maintenances'!$G:$G,MATCH($A68,'[1]Définition Maintenances'!$K:$K,0)),AM68,INDEX('[1]Définition Maintenances'!$G:$G,MATCH($A68,'[1]Définition Maintenances'!$K:$K,0))+AM68),AM68))</f>
        <v>274</v>
      </c>
      <c r="AO68" s="27">
        <f>IF(ISNUMBER(VLOOKUP($D68,'Visu totale'!$D:$DH,AO$1,0)),AN68-VLOOKUP($D68,'Visu totale'!$D:$DH,AO$1,0),IF(LEFT(VLOOKUP($D68,'Visu totale'!$D:$DH,AO$1,0),1)="V",IF(AN68&gt;=INDEX('[1]Définition Maintenances'!$G:$G,MATCH($A68,'[1]Définition Maintenances'!$K:$K,0)),AN68,INDEX('[1]Définition Maintenances'!$G:$G,MATCH($A68,'[1]Définition Maintenances'!$K:$K,0))+AN68),AN68))</f>
        <v>274</v>
      </c>
      <c r="AP68" s="25">
        <f>IF(ISNUMBER(VLOOKUP($D68,'Visu totale'!$D:$DH,AP$1,0)),AO68-VLOOKUP($D68,'Visu totale'!$D:$DH,AP$1,0),IF(LEFT(VLOOKUP($D68,'Visu totale'!$D:$DH,AP$1,0),1)="V",IF(AO68&gt;=INDEX('[1]Définition Maintenances'!$G:$G,MATCH($A68,'[1]Définition Maintenances'!$K:$K,0)),AO68,INDEX('[1]Définition Maintenances'!$G:$G,MATCH($A68,'[1]Définition Maintenances'!$K:$K,0))+AO68),AO68))</f>
        <v>274</v>
      </c>
      <c r="AQ68" s="26">
        <f>IF(ISNUMBER(VLOOKUP($D68,'Visu totale'!$D:$DH,AQ$1,0)),AP68-VLOOKUP($D68,'Visu totale'!$D:$DH,AQ$1,0),IF(LEFT(VLOOKUP($D68,'Visu totale'!$D:$DH,AQ$1,0),1)="V",IF(AP68&gt;=INDEX('[1]Définition Maintenances'!$G:$G,MATCH($A68,'[1]Définition Maintenances'!$K:$K,0)),AP68,INDEX('[1]Définition Maintenances'!$G:$G,MATCH($A68,'[1]Définition Maintenances'!$K:$K,0))+AP68),AP68))</f>
        <v>274</v>
      </c>
      <c r="AR68" s="26">
        <f>IF(ISNUMBER(VLOOKUP($D68,'Visu totale'!$D:$DH,AR$1,0)),AQ68-VLOOKUP($D68,'Visu totale'!$D:$DH,AR$1,0),IF(LEFT(VLOOKUP($D68,'Visu totale'!$D:$DH,AR$1,0),1)="V",IF(AQ68&gt;=INDEX('[1]Définition Maintenances'!$G:$G,MATCH($A68,'[1]Définition Maintenances'!$K:$K,0)),AQ68,INDEX('[1]Définition Maintenances'!$G:$G,MATCH($A68,'[1]Définition Maintenances'!$K:$K,0))+AQ68),AQ68))</f>
        <v>274</v>
      </c>
      <c r="AS68" s="26">
        <f>IF(ISNUMBER(VLOOKUP($D68,'Visu totale'!$D:$DH,AS$1,0)),AR68-VLOOKUP($D68,'Visu totale'!$D:$DH,AS$1,0),IF(LEFT(VLOOKUP($D68,'Visu totale'!$D:$DH,AS$1,0),1)="V",IF(AR68&gt;=INDEX('[1]Définition Maintenances'!$G:$G,MATCH($A68,'[1]Définition Maintenances'!$K:$K,0)),AR68,INDEX('[1]Définition Maintenances'!$G:$G,MATCH($A68,'[1]Définition Maintenances'!$K:$K,0))+AR68),AR68))</f>
        <v>274</v>
      </c>
      <c r="AT68" s="26">
        <f>IF(ISNUMBER(VLOOKUP($D68,'Visu totale'!$D:$DH,AT$1,0)),AS68-VLOOKUP($D68,'Visu totale'!$D:$DH,AT$1,0),IF(LEFT(VLOOKUP($D68,'Visu totale'!$D:$DH,AT$1,0),1)="V",IF(AS68&gt;=INDEX('[1]Définition Maintenances'!$G:$G,MATCH($A68,'[1]Définition Maintenances'!$K:$K,0)),AS68,INDEX('[1]Définition Maintenances'!$G:$G,MATCH($A68,'[1]Définition Maintenances'!$K:$K,0))+AS68),AS68))</f>
        <v>274</v>
      </c>
      <c r="AU68" s="26">
        <f>IF(ISNUMBER(VLOOKUP($D68,'Visu totale'!$D:$DH,AU$1,0)),AT68-VLOOKUP($D68,'Visu totale'!$D:$DH,AU$1,0),IF(LEFT(VLOOKUP($D68,'Visu totale'!$D:$DH,AU$1,0),1)="V",IF(AT68&gt;=INDEX('[1]Définition Maintenances'!$G:$G,MATCH($A68,'[1]Définition Maintenances'!$K:$K,0)),AT68,INDEX('[1]Définition Maintenances'!$G:$G,MATCH($A68,'[1]Définition Maintenances'!$K:$K,0))+AT68),AT68))</f>
        <v>274</v>
      </c>
      <c r="AV68" s="26">
        <f>IF(ISNUMBER(VLOOKUP($D68,'Visu totale'!$D:$DH,AV$1,0)),AU68-VLOOKUP($D68,'Visu totale'!$D:$DH,AV$1,0),IF(LEFT(VLOOKUP($D68,'Visu totale'!$D:$DH,AV$1,0),1)="V",IF(AU68&gt;=INDEX('[1]Définition Maintenances'!$G:$G,MATCH($A68,'[1]Définition Maintenances'!$K:$K,0)),AU68,INDEX('[1]Définition Maintenances'!$G:$G,MATCH($A68,'[1]Définition Maintenances'!$K:$K,0))+AU68),AU68))</f>
        <v>274</v>
      </c>
      <c r="AW68" s="26">
        <f>IF(ISNUMBER(VLOOKUP($D68,'Visu totale'!$D:$DH,AW$1,0)),AV68-VLOOKUP($D68,'Visu totale'!$D:$DH,AW$1,0),IF(LEFT(VLOOKUP($D68,'Visu totale'!$D:$DH,AW$1,0),1)="V",IF(AV68&gt;=INDEX('[1]Définition Maintenances'!$G:$G,MATCH($A68,'[1]Définition Maintenances'!$K:$K,0)),AV68,INDEX('[1]Définition Maintenances'!$G:$G,MATCH($A68,'[1]Définition Maintenances'!$K:$K,0))+AV68),AV68))</f>
        <v>274</v>
      </c>
      <c r="AX68" s="26">
        <f>IF(ISNUMBER(VLOOKUP($D68,'Visu totale'!$D:$DH,AX$1,0)),AW68-VLOOKUP($D68,'Visu totale'!$D:$DH,AX$1,0),IF(LEFT(VLOOKUP($D68,'Visu totale'!$D:$DH,AX$1,0),1)="V",IF(AW68&gt;=INDEX('[1]Définition Maintenances'!$G:$G,MATCH($A68,'[1]Définition Maintenances'!$K:$K,0)),AW68,INDEX('[1]Définition Maintenances'!$G:$G,MATCH($A68,'[1]Définition Maintenances'!$K:$K,0))+AW68),AW68))</f>
        <v>274</v>
      </c>
      <c r="AY68" s="26">
        <f>IF(ISNUMBER(VLOOKUP($D68,'Visu totale'!$D:$DH,AY$1,0)),AX68-VLOOKUP($D68,'Visu totale'!$D:$DH,AY$1,0),IF(LEFT(VLOOKUP($D68,'Visu totale'!$D:$DH,AY$1,0),1)="V",IF(AX68&gt;=INDEX('[1]Définition Maintenances'!$G:$G,MATCH($A68,'[1]Définition Maintenances'!$K:$K,0)),AX68,INDEX('[1]Définition Maintenances'!$G:$G,MATCH($A68,'[1]Définition Maintenances'!$K:$K,0))+AX68),AX68))</f>
        <v>274</v>
      </c>
      <c r="AZ68" s="26">
        <f>IF(ISNUMBER(VLOOKUP($D68,'Visu totale'!$D:$DH,AZ$1,0)),AY68-VLOOKUP($D68,'Visu totale'!$D:$DH,AZ$1,0),IF(LEFT(VLOOKUP($D68,'Visu totale'!$D:$DH,AZ$1,0),1)="V",IF(AY68&gt;=INDEX('[1]Définition Maintenances'!$G:$G,MATCH($A68,'[1]Définition Maintenances'!$K:$K,0)),AY68,INDEX('[1]Définition Maintenances'!$G:$G,MATCH($A68,'[1]Définition Maintenances'!$K:$K,0))+AY68),AY68))</f>
        <v>274</v>
      </c>
      <c r="BA68" s="27">
        <f>IF(ISNUMBER(VLOOKUP($D68,'Visu totale'!$D:$DH,BA$1,0)),AZ68-VLOOKUP($D68,'Visu totale'!$D:$DH,BA$1,0),IF(LEFT(VLOOKUP($D68,'Visu totale'!$D:$DH,BA$1,0),1)="V",IF(AZ68&gt;=INDEX('[1]Définition Maintenances'!$G:$G,MATCH($A68,'[1]Définition Maintenances'!$K:$K,0)),AZ68,INDEX('[1]Définition Maintenances'!$G:$G,MATCH($A68,'[1]Définition Maintenances'!$K:$K,0))+AZ68),AZ68))</f>
        <v>274</v>
      </c>
      <c r="BB68" s="25">
        <f>IF(ISNUMBER(VLOOKUP($D68,'Visu totale'!$D:$DH,BB$1,0)),BA68-VLOOKUP($D68,'Visu totale'!$D:$DH,BB$1,0),IF(LEFT(VLOOKUP($D68,'Visu totale'!$D:$DH,BB$1,0),1)="V",IF(BA68&gt;=INDEX('[1]Définition Maintenances'!$G:$G,MATCH($A68,'[1]Définition Maintenances'!$K:$K,0)),BA68,INDEX('[1]Définition Maintenances'!$G:$G,MATCH($A68,'[1]Définition Maintenances'!$K:$K,0))+BA68),BA68))</f>
        <v>274</v>
      </c>
      <c r="BC68" s="26">
        <f>IF(ISNUMBER(VLOOKUP($D68,'Visu totale'!$D:$DH,BC$1,0)),BB68-VLOOKUP($D68,'Visu totale'!$D:$DH,BC$1,0),IF(LEFT(VLOOKUP($D68,'Visu totale'!$D:$DH,BC$1,0),1)="V",IF(BB68&gt;=INDEX('[1]Définition Maintenances'!$G:$G,MATCH($A68,'[1]Définition Maintenances'!$K:$K,0)),BB68,INDEX('[1]Définition Maintenances'!$G:$G,MATCH($A68,'[1]Définition Maintenances'!$K:$K,0))+BB68),BB68))</f>
        <v>274</v>
      </c>
      <c r="BD68" s="26">
        <f>IF(ISNUMBER(VLOOKUP($D68,'Visu totale'!$D:$DH,BD$1,0)),BC68-VLOOKUP($D68,'Visu totale'!$D:$DH,BD$1,0),IF(LEFT(VLOOKUP($D68,'Visu totale'!$D:$DH,BD$1,0),1)="V",IF(BC68&gt;=INDEX('[1]Définition Maintenances'!$G:$G,MATCH($A68,'[1]Définition Maintenances'!$K:$K,0)),BC68,INDEX('[1]Définition Maintenances'!$G:$G,MATCH($A68,'[1]Définition Maintenances'!$K:$K,0))+BC68),BC68))</f>
        <v>274</v>
      </c>
      <c r="BE68" s="26">
        <f>IF(ISNUMBER(VLOOKUP($D68,'Visu totale'!$D:$DH,BE$1,0)),BD68-VLOOKUP($D68,'Visu totale'!$D:$DH,BE$1,0),IF(LEFT(VLOOKUP($D68,'Visu totale'!$D:$DH,BE$1,0),1)="V",IF(BD68&gt;=INDEX('[1]Définition Maintenances'!$G:$G,MATCH($A68,'[1]Définition Maintenances'!$K:$K,0)),BD68,INDEX('[1]Définition Maintenances'!$G:$G,MATCH($A68,'[1]Définition Maintenances'!$K:$K,0))+BD68),BD68))</f>
        <v>274</v>
      </c>
      <c r="BF68" s="26">
        <f>IF(ISNUMBER(VLOOKUP($D68,'Visu totale'!$D:$DH,BF$1,0)),BE68-VLOOKUP($D68,'Visu totale'!$D:$DH,BF$1,0),IF(LEFT(VLOOKUP($D68,'Visu totale'!$D:$DH,BF$1,0),1)="V",IF(BE68&gt;=INDEX('[1]Définition Maintenances'!$G:$G,MATCH($A68,'[1]Définition Maintenances'!$K:$K,0)),BE68,INDEX('[1]Définition Maintenances'!$G:$G,MATCH($A68,'[1]Définition Maintenances'!$K:$K,0))+BE68),BE68))</f>
        <v>274</v>
      </c>
      <c r="BG68" s="26">
        <f>IF(ISNUMBER(VLOOKUP($D68,'Visu totale'!$D:$DH,BG$1,0)),BF68-VLOOKUP($D68,'Visu totale'!$D:$DH,BG$1,0),IF(LEFT(VLOOKUP($D68,'Visu totale'!$D:$DH,BG$1,0),1)="V",IF(BF68&gt;=INDEX('[1]Définition Maintenances'!$G:$G,MATCH($A68,'[1]Définition Maintenances'!$K:$K,0)),BF68,INDEX('[1]Définition Maintenances'!$G:$G,MATCH($A68,'[1]Définition Maintenances'!$K:$K,0))+BF68),BF68))</f>
        <v>274</v>
      </c>
      <c r="BH68" s="26">
        <f>IF(ISNUMBER(VLOOKUP($D68,'Visu totale'!$D:$DH,BH$1,0)),BG68-VLOOKUP($D68,'Visu totale'!$D:$DH,BH$1,0),IF(LEFT(VLOOKUP($D68,'Visu totale'!$D:$DH,BH$1,0),1)="V",IF(BG68&gt;=INDEX('[1]Définition Maintenances'!$G:$G,MATCH($A68,'[1]Définition Maintenances'!$K:$K,0)),BG68,INDEX('[1]Définition Maintenances'!$G:$G,MATCH($A68,'[1]Définition Maintenances'!$K:$K,0))+BG68),BG68))</f>
        <v>274</v>
      </c>
      <c r="BI68" s="26">
        <f>IF(ISNUMBER(VLOOKUP($D68,'Visu totale'!$D:$DH,BI$1,0)),BH68-VLOOKUP($D68,'Visu totale'!$D:$DH,BI$1,0),IF(LEFT(VLOOKUP($D68,'Visu totale'!$D:$DH,BI$1,0),1)="V",IF(BH68&gt;=INDEX('[1]Définition Maintenances'!$G:$G,MATCH($A68,'[1]Définition Maintenances'!$K:$K,0)),BH68,INDEX('[1]Définition Maintenances'!$G:$G,MATCH($A68,'[1]Définition Maintenances'!$K:$K,0))+BH68),BH68))</f>
        <v>274</v>
      </c>
      <c r="BJ68" s="26">
        <f>IF(ISNUMBER(VLOOKUP($D68,'Visu totale'!$D:$DH,BJ$1,0)),BI68-VLOOKUP($D68,'Visu totale'!$D:$DH,BJ$1,0),IF(LEFT(VLOOKUP($D68,'Visu totale'!$D:$DH,BJ$1,0),1)="V",IF(BI68&gt;=INDEX('[1]Définition Maintenances'!$G:$G,MATCH($A68,'[1]Définition Maintenances'!$K:$K,0)),BI68,INDEX('[1]Définition Maintenances'!$G:$G,MATCH($A68,'[1]Définition Maintenances'!$K:$K,0))+BI68),BI68))</f>
        <v>274</v>
      </c>
      <c r="BK68" s="26">
        <f>IF(ISNUMBER(VLOOKUP($D68,'Visu totale'!$D:$DH,BK$1,0)),BJ68-VLOOKUP($D68,'Visu totale'!$D:$DH,BK$1,0),IF(LEFT(VLOOKUP($D68,'Visu totale'!$D:$DH,BK$1,0),1)="V",IF(BJ68&gt;=INDEX('[1]Définition Maintenances'!$G:$G,MATCH($A68,'[1]Définition Maintenances'!$K:$K,0)),BJ68,INDEX('[1]Définition Maintenances'!$G:$G,MATCH($A68,'[1]Définition Maintenances'!$K:$K,0))+BJ68),BJ68))</f>
        <v>274</v>
      </c>
      <c r="BL68" s="26">
        <f>IF(ISNUMBER(VLOOKUP($D68,'Visu totale'!$D:$DH,BL$1,0)),BK68-VLOOKUP($D68,'Visu totale'!$D:$DH,BL$1,0),IF(LEFT(VLOOKUP($D68,'Visu totale'!$D:$DH,BL$1,0),1)="V",IF(BK68&gt;=INDEX('[1]Définition Maintenances'!$G:$G,MATCH($A68,'[1]Définition Maintenances'!$K:$K,0)),BK68,INDEX('[1]Définition Maintenances'!$G:$G,MATCH($A68,'[1]Définition Maintenances'!$K:$K,0))+BK68),BK68))</f>
        <v>274</v>
      </c>
      <c r="BM68" s="27">
        <f>IF(ISNUMBER(VLOOKUP($D68,'Visu totale'!$D:$DH,BM$1,0)),BL68-VLOOKUP($D68,'Visu totale'!$D:$DH,BM$1,0),IF(LEFT(VLOOKUP($D68,'Visu totale'!$D:$DH,BM$1,0),1)="V",IF(BL68&gt;=INDEX('[1]Définition Maintenances'!$G:$G,MATCH($A68,'[1]Définition Maintenances'!$K:$K,0)),BL68,INDEX('[1]Définition Maintenances'!$G:$G,MATCH($A68,'[1]Définition Maintenances'!$K:$K,0))+BL68),BL68))</f>
        <v>274</v>
      </c>
      <c r="BN68" s="25">
        <f>IF(ISNUMBER(VLOOKUP($D68,'Visu totale'!$D:$DH,BN$1,0)),BM68-VLOOKUP($D68,'Visu totale'!$D:$DH,BN$1,0),IF(LEFT(VLOOKUP($D68,'Visu totale'!$D:$DH,BN$1,0),1)="V",IF(BM68&gt;=INDEX('[1]Définition Maintenances'!$G:$G,MATCH($A68,'[1]Définition Maintenances'!$K:$K,0)),BM68,INDEX('[1]Définition Maintenances'!$G:$G,MATCH($A68,'[1]Définition Maintenances'!$K:$K,0))+BM68),BM68))</f>
        <v>274</v>
      </c>
      <c r="BO68" s="26">
        <f>IF(ISNUMBER(VLOOKUP($D68,'Visu totale'!$D:$DH,BO$1,0)),BN68-VLOOKUP($D68,'Visu totale'!$D:$DH,BO$1,0),IF(LEFT(VLOOKUP($D68,'Visu totale'!$D:$DH,BO$1,0),1)="V",IF(BN68&gt;=INDEX('[1]Définition Maintenances'!$G:$G,MATCH($A68,'[1]Définition Maintenances'!$K:$K,0)),BN68,INDEX('[1]Définition Maintenances'!$G:$G,MATCH($A68,'[1]Définition Maintenances'!$K:$K,0))+BN68),BN68))</f>
        <v>274</v>
      </c>
      <c r="BP68" s="26">
        <f>IF(ISNUMBER(VLOOKUP($D68,'Visu totale'!$D:$DH,BP$1,0)),BO68-VLOOKUP($D68,'Visu totale'!$D:$DH,BP$1,0),IF(LEFT(VLOOKUP($D68,'Visu totale'!$D:$DH,BP$1,0),1)="V",IF(BO68&gt;=INDEX('[1]Définition Maintenances'!$G:$G,MATCH($A68,'[1]Définition Maintenances'!$K:$K,0)),BO68,INDEX('[1]Définition Maintenances'!$G:$G,MATCH($A68,'[1]Définition Maintenances'!$K:$K,0))+BO68),BO68))</f>
        <v>274</v>
      </c>
      <c r="BQ68" s="26">
        <f>IF(ISNUMBER(VLOOKUP($D68,'Visu totale'!$D:$DH,BQ$1,0)),BP68-VLOOKUP($D68,'Visu totale'!$D:$DH,BQ$1,0),IF(LEFT(VLOOKUP($D68,'Visu totale'!$D:$DH,BQ$1,0),1)="V",IF(BP68&gt;=INDEX('[1]Définition Maintenances'!$G:$G,MATCH($A68,'[1]Définition Maintenances'!$K:$K,0)),BP68,INDEX('[1]Définition Maintenances'!$G:$G,MATCH($A68,'[1]Définition Maintenances'!$K:$K,0))+BP68),BP68))</f>
        <v>274</v>
      </c>
      <c r="BR68" s="26">
        <f>IF(ISNUMBER(VLOOKUP($D68,'Visu totale'!$D:$DH,BR$1,0)),BQ68-VLOOKUP($D68,'Visu totale'!$D:$DH,BR$1,0),IF(LEFT(VLOOKUP($D68,'Visu totale'!$D:$DH,BR$1,0),1)="V",IF(BQ68&gt;=INDEX('[1]Définition Maintenances'!$G:$G,MATCH($A68,'[1]Définition Maintenances'!$K:$K,0)),BQ68,INDEX('[1]Définition Maintenances'!$G:$G,MATCH($A68,'[1]Définition Maintenances'!$K:$K,0))+BQ68),BQ68))</f>
        <v>274</v>
      </c>
      <c r="BS68" s="26">
        <f>IF(ISNUMBER(VLOOKUP($D68,'Visu totale'!$D:$DH,BS$1,0)),BR68-VLOOKUP($D68,'Visu totale'!$D:$DH,BS$1,0),IF(LEFT(VLOOKUP($D68,'Visu totale'!$D:$DH,BS$1,0),1)="V",IF(BR68&gt;=INDEX('[1]Définition Maintenances'!$G:$G,MATCH($A68,'[1]Définition Maintenances'!$K:$K,0)),BR68,INDEX('[1]Définition Maintenances'!$G:$G,MATCH($A68,'[1]Définition Maintenances'!$K:$K,0))+BR68),BR68))</f>
        <v>274</v>
      </c>
      <c r="BT68" s="26">
        <f>IF(ISNUMBER(VLOOKUP($D68,'Visu totale'!$D:$DH,BT$1,0)),BS68-VLOOKUP($D68,'Visu totale'!$D:$DH,BT$1,0),IF(LEFT(VLOOKUP($D68,'Visu totale'!$D:$DH,BT$1,0),1)="V",IF(BS68&gt;=INDEX('[1]Définition Maintenances'!$G:$G,MATCH($A68,'[1]Définition Maintenances'!$K:$K,0)),BS68,INDEX('[1]Définition Maintenances'!$G:$G,MATCH($A68,'[1]Définition Maintenances'!$K:$K,0))+BS68),BS68))</f>
        <v>274</v>
      </c>
      <c r="BU68" s="26">
        <f>IF(ISNUMBER(VLOOKUP($D68,'Visu totale'!$D:$DH,BU$1,0)),BT68-VLOOKUP($D68,'Visu totale'!$D:$DH,BU$1,0),IF(LEFT(VLOOKUP($D68,'Visu totale'!$D:$DH,BU$1,0),1)="V",IF(BT68&gt;=INDEX('[1]Définition Maintenances'!$G:$G,MATCH($A68,'[1]Définition Maintenances'!$K:$K,0)),BT68,INDEX('[1]Définition Maintenances'!$G:$G,MATCH($A68,'[1]Définition Maintenances'!$K:$K,0))+BT68),BT68))</f>
        <v>274</v>
      </c>
      <c r="BV68" s="26">
        <f>IF(ISNUMBER(VLOOKUP($D68,'Visu totale'!$D:$DH,BV$1,0)),BU68-VLOOKUP($D68,'Visu totale'!$D:$DH,BV$1,0),IF(LEFT(VLOOKUP($D68,'Visu totale'!$D:$DH,BV$1,0),1)="V",IF(BU68&gt;=INDEX('[1]Définition Maintenances'!$G:$G,MATCH($A68,'[1]Définition Maintenances'!$K:$K,0)),BU68,INDEX('[1]Définition Maintenances'!$G:$G,MATCH($A68,'[1]Définition Maintenances'!$K:$K,0))+BU68),BU68))</f>
        <v>274</v>
      </c>
      <c r="BW68" s="26">
        <f>IF(ISNUMBER(VLOOKUP($D68,'Visu totale'!$D:$DH,BW$1,0)),BV68-VLOOKUP($D68,'Visu totale'!$D:$DH,BW$1,0),IF(LEFT(VLOOKUP($D68,'Visu totale'!$D:$DH,BW$1,0),1)="V",IF(BV68&gt;=INDEX('[1]Définition Maintenances'!$G:$G,MATCH($A68,'[1]Définition Maintenances'!$K:$K,0)),BV68,INDEX('[1]Définition Maintenances'!$G:$G,MATCH($A68,'[1]Définition Maintenances'!$K:$K,0))+BV68),BV68))</f>
        <v>274</v>
      </c>
      <c r="BX68" s="26">
        <f>IF(ISNUMBER(VLOOKUP($D68,'Visu totale'!$D:$DH,BX$1,0)),BW68-VLOOKUP($D68,'Visu totale'!$D:$DH,BX$1,0),IF(LEFT(VLOOKUP($D68,'Visu totale'!$D:$DH,BX$1,0),1)="V",IF(BW68&gt;=INDEX('[1]Définition Maintenances'!$G:$G,MATCH($A68,'[1]Définition Maintenances'!$K:$K,0)),BW68,INDEX('[1]Définition Maintenances'!$G:$G,MATCH($A68,'[1]Définition Maintenances'!$K:$K,0))+BW68),BW68))</f>
        <v>274</v>
      </c>
      <c r="BY68" s="27">
        <f>IF(ISNUMBER(VLOOKUP($D68,'Visu totale'!$D:$DH,BY$1,0)),BX68-VLOOKUP($D68,'Visu totale'!$D:$DH,BY$1,0),IF(LEFT(VLOOKUP($D68,'Visu totale'!$D:$DH,BY$1,0),1)="V",IF(BX68&gt;=INDEX('[1]Définition Maintenances'!$G:$G,MATCH($A68,'[1]Définition Maintenances'!$K:$K,0)),BX68,INDEX('[1]Définition Maintenances'!$G:$G,MATCH($A68,'[1]Définition Maintenances'!$K:$K,0))+BX68),BX68))</f>
        <v>274</v>
      </c>
      <c r="BZ68" s="25">
        <f>IF(ISNUMBER(VLOOKUP($D68,'Visu totale'!$D:$DH,BZ$1,0)),BY68-VLOOKUP($D68,'Visu totale'!$D:$DH,BZ$1,0),IF(LEFT(VLOOKUP($D68,'Visu totale'!$D:$DH,BZ$1,0),1)="V",IF(BY68&gt;=INDEX('[1]Définition Maintenances'!$G:$G,MATCH($A68,'[1]Définition Maintenances'!$K:$K,0)),BY68,INDEX('[1]Définition Maintenances'!$G:$G,MATCH($A68,'[1]Définition Maintenances'!$K:$K,0))+BY68),BY68))</f>
        <v>274</v>
      </c>
      <c r="CA68" s="26">
        <f>IF(ISNUMBER(VLOOKUP($D68,'Visu totale'!$D:$DH,CA$1,0)),BZ68-VLOOKUP($D68,'Visu totale'!$D:$DH,CA$1,0),IF(LEFT(VLOOKUP($D68,'Visu totale'!$D:$DH,CA$1,0),1)="V",IF(BZ68&gt;=INDEX('[1]Définition Maintenances'!$G:$G,MATCH($A68,'[1]Définition Maintenances'!$K:$K,0)),BZ68,INDEX('[1]Définition Maintenances'!$G:$G,MATCH($A68,'[1]Définition Maintenances'!$K:$K,0))+BZ68),BZ68))</f>
        <v>274</v>
      </c>
      <c r="CB68" s="26">
        <f>IF(ISNUMBER(VLOOKUP($D68,'Visu totale'!$D:$DH,CB$1,0)),CA68-VLOOKUP($D68,'Visu totale'!$D:$DH,CB$1,0),IF(LEFT(VLOOKUP($D68,'Visu totale'!$D:$DH,CB$1,0),1)="V",IF(CA68&gt;=INDEX('[1]Définition Maintenances'!$G:$G,MATCH($A68,'[1]Définition Maintenances'!$K:$K,0)),CA68,INDEX('[1]Définition Maintenances'!$G:$G,MATCH($A68,'[1]Définition Maintenances'!$K:$K,0))+CA68),CA68))</f>
        <v>274</v>
      </c>
      <c r="CC68" s="26">
        <f>IF(ISNUMBER(VLOOKUP($D68,'Visu totale'!$D:$DH,CC$1,0)),CB68-VLOOKUP($D68,'Visu totale'!$D:$DH,CC$1,0),IF(LEFT(VLOOKUP($D68,'Visu totale'!$D:$DH,CC$1,0),1)="V",IF(CB68&gt;=INDEX('[1]Définition Maintenances'!$G:$G,MATCH($A68,'[1]Définition Maintenances'!$K:$K,0)),CB68,INDEX('[1]Définition Maintenances'!$G:$G,MATCH($A68,'[1]Définition Maintenances'!$K:$K,0))+CB68),CB68))</f>
        <v>274</v>
      </c>
      <c r="CD68" s="26">
        <f>IF(ISNUMBER(VLOOKUP($D68,'Visu totale'!$D:$DH,CD$1,0)),CC68-VLOOKUP($D68,'Visu totale'!$D:$DH,CD$1,0),IF(LEFT(VLOOKUP($D68,'Visu totale'!$D:$DH,CD$1,0),1)="V",IF(CC68&gt;=INDEX('[1]Définition Maintenances'!$G:$G,MATCH($A68,'[1]Définition Maintenances'!$K:$K,0)),CC68,INDEX('[1]Définition Maintenances'!$G:$G,MATCH($A68,'[1]Définition Maintenances'!$K:$K,0))+CC68),CC68))</f>
        <v>274</v>
      </c>
      <c r="CE68" s="26">
        <f>IF(ISNUMBER(VLOOKUP($D68,'Visu totale'!$D:$DH,CE$1,0)),CD68-VLOOKUP($D68,'Visu totale'!$D:$DH,CE$1,0),IF(LEFT(VLOOKUP($D68,'Visu totale'!$D:$DH,CE$1,0),1)="V",IF(CD68&gt;=INDEX('[1]Définition Maintenances'!$G:$G,MATCH($A68,'[1]Définition Maintenances'!$K:$K,0)),CD68,INDEX('[1]Définition Maintenances'!$G:$G,MATCH($A68,'[1]Définition Maintenances'!$K:$K,0))+CD68),CD68))</f>
        <v>274</v>
      </c>
      <c r="CF68" s="26">
        <f>IF(ISNUMBER(VLOOKUP($D68,'Visu totale'!$D:$DH,CF$1,0)),CE68-VLOOKUP($D68,'Visu totale'!$D:$DH,CF$1,0),IF(LEFT(VLOOKUP($D68,'Visu totale'!$D:$DH,CF$1,0),1)="V",IF(CE68&gt;=INDEX('[1]Définition Maintenances'!$G:$G,MATCH($A68,'[1]Définition Maintenances'!$K:$K,0)),CE68,INDEX('[1]Définition Maintenances'!$G:$G,MATCH($A68,'[1]Définition Maintenances'!$K:$K,0))+CE68),CE68))</f>
        <v>274</v>
      </c>
      <c r="CG68" s="26">
        <f>IF(ISNUMBER(VLOOKUP($D68,'Visu totale'!$D:$DH,CG$1,0)),CF68-VLOOKUP($D68,'Visu totale'!$D:$DH,CG$1,0),IF(LEFT(VLOOKUP($D68,'Visu totale'!$D:$DH,CG$1,0),1)="V",IF(CF68&gt;=INDEX('[1]Définition Maintenances'!$G:$G,MATCH($A68,'[1]Définition Maintenances'!$K:$K,0)),CF68,INDEX('[1]Définition Maintenances'!$G:$G,MATCH($A68,'[1]Définition Maintenances'!$K:$K,0))+CF68),CF68))</f>
        <v>274</v>
      </c>
      <c r="CH68" s="26">
        <f>IF(ISNUMBER(VLOOKUP($D68,'Visu totale'!$D:$DH,CH$1,0)),CG68-VLOOKUP($D68,'Visu totale'!$D:$DH,CH$1,0),IF(LEFT(VLOOKUP($D68,'Visu totale'!$D:$DH,CH$1,0),1)="V",IF(CG68&gt;=INDEX('[1]Définition Maintenances'!$G:$G,MATCH($A68,'[1]Définition Maintenances'!$K:$K,0)),CG68,INDEX('[1]Définition Maintenances'!$G:$G,MATCH($A68,'[1]Définition Maintenances'!$K:$K,0))+CG68),CG68))</f>
        <v>274</v>
      </c>
      <c r="CI68" s="26">
        <f>IF(ISNUMBER(VLOOKUP($D68,'Visu totale'!$D:$DH,CI$1,0)),CH68-VLOOKUP($D68,'Visu totale'!$D:$DH,CI$1,0),IF(LEFT(VLOOKUP($D68,'Visu totale'!$D:$DH,CI$1,0),1)="V",IF(CH68&gt;=INDEX('[1]Définition Maintenances'!$G:$G,MATCH($A68,'[1]Définition Maintenances'!$K:$K,0)),CH68,INDEX('[1]Définition Maintenances'!$G:$G,MATCH($A68,'[1]Définition Maintenances'!$K:$K,0))+CH68),CH68))</f>
        <v>274</v>
      </c>
      <c r="CJ68" s="26">
        <f>IF(ISNUMBER(VLOOKUP($D68,'Visu totale'!$D:$DH,CJ$1,0)),CI68-VLOOKUP($D68,'Visu totale'!$D:$DH,CJ$1,0),IF(LEFT(VLOOKUP($D68,'Visu totale'!$D:$DH,CJ$1,0),1)="V",IF(CI68&gt;=INDEX('[1]Définition Maintenances'!$G:$G,MATCH($A68,'[1]Définition Maintenances'!$K:$K,0)),CI68,INDEX('[1]Définition Maintenances'!$G:$G,MATCH($A68,'[1]Définition Maintenances'!$K:$K,0))+CI68),CI68))</f>
        <v>274</v>
      </c>
      <c r="CK68" s="27">
        <f>IF(ISNUMBER(VLOOKUP($D68,'Visu totale'!$D:$DH,CK$1,0)),CJ68-VLOOKUP($D68,'Visu totale'!$D:$DH,CK$1,0),IF(LEFT(VLOOKUP($D68,'Visu totale'!$D:$DH,CK$1,0),1)="V",IF(CJ68&gt;=INDEX('[1]Définition Maintenances'!$G:$G,MATCH($A68,'[1]Définition Maintenances'!$K:$K,0)),CJ68,INDEX('[1]Définition Maintenances'!$G:$G,MATCH($A68,'[1]Définition Maintenances'!$K:$K,0))+CJ68),CJ68))</f>
        <v>274</v>
      </c>
      <c r="CL68" s="25">
        <f>IF(ISNUMBER(VLOOKUP($D68,'Visu totale'!$D:$DH,CL$1,0)),CK68-VLOOKUP($D68,'Visu totale'!$D:$DH,CL$1,0),IF(LEFT(VLOOKUP($D68,'Visu totale'!$D:$DH,CL$1,0),1)="V",IF(CK68&gt;=INDEX('[1]Définition Maintenances'!$G:$G,MATCH($A68,'[1]Définition Maintenances'!$K:$K,0)),CK68,INDEX('[1]Définition Maintenances'!$G:$G,MATCH($A68,'[1]Définition Maintenances'!$K:$K,0))+CK68),CK68))</f>
        <v>274</v>
      </c>
      <c r="CM68" s="26">
        <f>IF(ISNUMBER(VLOOKUP($D68,'Visu totale'!$D:$DH,CM$1,0)),CL68-VLOOKUP($D68,'Visu totale'!$D:$DH,CM$1,0),IF(LEFT(VLOOKUP($D68,'Visu totale'!$D:$DH,CM$1,0),1)="V",IF(CL68&gt;=INDEX('[1]Définition Maintenances'!$G:$G,MATCH($A68,'[1]Définition Maintenances'!$K:$K,0)),CL68,INDEX('[1]Définition Maintenances'!$G:$G,MATCH($A68,'[1]Définition Maintenances'!$K:$K,0))+CL68),CL68))</f>
        <v>274</v>
      </c>
      <c r="CN68" s="26">
        <f>IF(ISNUMBER(VLOOKUP($D68,'Visu totale'!$D:$DH,CN$1,0)),CM68-VLOOKUP($D68,'Visu totale'!$D:$DH,CN$1,0),IF(LEFT(VLOOKUP($D68,'Visu totale'!$D:$DH,CN$1,0),1)="V",IF(CM68&gt;=INDEX('[1]Définition Maintenances'!$G:$G,MATCH($A68,'[1]Définition Maintenances'!$K:$K,0)),CM68,INDEX('[1]Définition Maintenances'!$G:$G,MATCH($A68,'[1]Définition Maintenances'!$K:$K,0))+CM68),CM68))</f>
        <v>274</v>
      </c>
      <c r="CO68" s="26">
        <f>IF(ISNUMBER(VLOOKUP($D68,'Visu totale'!$D:$DH,CO$1,0)),CN68-VLOOKUP($D68,'Visu totale'!$D:$DH,CO$1,0),IF(LEFT(VLOOKUP($D68,'Visu totale'!$D:$DH,CO$1,0),1)="V",IF(CN68&gt;=INDEX('[1]Définition Maintenances'!$G:$G,MATCH($A68,'[1]Définition Maintenances'!$K:$K,0)),CN68,INDEX('[1]Définition Maintenances'!$G:$G,MATCH($A68,'[1]Définition Maintenances'!$K:$K,0))+CN68),CN68))</f>
        <v>274</v>
      </c>
      <c r="CP68" s="26">
        <f>IF(ISNUMBER(VLOOKUP($D68,'Visu totale'!$D:$DH,CP$1,0)),CO68-VLOOKUP($D68,'Visu totale'!$D:$DH,CP$1,0),IF(LEFT(VLOOKUP($D68,'Visu totale'!$D:$DH,CP$1,0),1)="V",IF(CO68&gt;=INDEX('[1]Définition Maintenances'!$G:$G,MATCH($A68,'[1]Définition Maintenances'!$K:$K,0)),CO68,INDEX('[1]Définition Maintenances'!$G:$G,MATCH($A68,'[1]Définition Maintenances'!$K:$K,0))+CO68),CO68))</f>
        <v>274</v>
      </c>
      <c r="CQ68" s="26">
        <f>IF(ISNUMBER(VLOOKUP($D68,'Visu totale'!$D:$DH,CQ$1,0)),CP68-VLOOKUP($D68,'Visu totale'!$D:$DH,CQ$1,0),IF(LEFT(VLOOKUP($D68,'Visu totale'!$D:$DH,CQ$1,0),1)="V",IF(CP68&gt;=INDEX('[1]Définition Maintenances'!$G:$G,MATCH($A68,'[1]Définition Maintenances'!$K:$K,0)),CP68,INDEX('[1]Définition Maintenances'!$G:$G,MATCH($A68,'[1]Définition Maintenances'!$K:$K,0))+CP68),CP68))</f>
        <v>274</v>
      </c>
      <c r="CR68" s="26">
        <f>IF(ISNUMBER(VLOOKUP($D68,'Visu totale'!$D:$DH,CR$1,0)),CQ68-VLOOKUP($D68,'Visu totale'!$D:$DH,CR$1,0),IF(LEFT(VLOOKUP($D68,'Visu totale'!$D:$DH,CR$1,0),1)="V",IF(CQ68&gt;=INDEX('[1]Définition Maintenances'!$G:$G,MATCH($A68,'[1]Définition Maintenances'!$K:$K,0)),CQ68,INDEX('[1]Définition Maintenances'!$G:$G,MATCH($A68,'[1]Définition Maintenances'!$K:$K,0))+CQ68),CQ68))</f>
        <v>274</v>
      </c>
      <c r="CS68" s="26">
        <f>IF(ISNUMBER(VLOOKUP($D68,'Visu totale'!$D:$DH,CS$1,0)),CR68-VLOOKUP($D68,'Visu totale'!$D:$DH,CS$1,0),IF(LEFT(VLOOKUP($D68,'Visu totale'!$D:$DH,CS$1,0),1)="V",IF(CR68&gt;=INDEX('[1]Définition Maintenances'!$G:$G,MATCH($A68,'[1]Définition Maintenances'!$K:$K,0)),CR68,INDEX('[1]Définition Maintenances'!$G:$G,MATCH($A68,'[1]Définition Maintenances'!$K:$K,0))+CR68),CR68))</f>
        <v>274</v>
      </c>
      <c r="CT68" s="26">
        <f>IF(ISNUMBER(VLOOKUP($D68,'Visu totale'!$D:$DH,CT$1,0)),CS68-VLOOKUP($D68,'Visu totale'!$D:$DH,CT$1,0),IF(LEFT(VLOOKUP($D68,'Visu totale'!$D:$DH,CT$1,0),1)="V",IF(CS68&gt;=INDEX('[1]Définition Maintenances'!$G:$G,MATCH($A68,'[1]Définition Maintenances'!$K:$K,0)),CS68,INDEX('[1]Définition Maintenances'!$G:$G,MATCH($A68,'[1]Définition Maintenances'!$K:$K,0))+CS68),CS68))</f>
        <v>274</v>
      </c>
      <c r="CU68" s="26">
        <f>IF(ISNUMBER(VLOOKUP($D68,'Visu totale'!$D:$DH,CU$1,0)),CT68-VLOOKUP($D68,'Visu totale'!$D:$DH,CU$1,0),IF(LEFT(VLOOKUP($D68,'Visu totale'!$D:$DH,CU$1,0),1)="V",IF(CT68&gt;=INDEX('[1]Définition Maintenances'!$G:$G,MATCH($A68,'[1]Définition Maintenances'!$K:$K,0)),CT68,INDEX('[1]Définition Maintenances'!$G:$G,MATCH($A68,'[1]Définition Maintenances'!$K:$K,0))+CT68),CT68))</f>
        <v>274</v>
      </c>
      <c r="CV68" s="26">
        <f>IF(ISNUMBER(VLOOKUP($D68,'Visu totale'!$D:$DH,CV$1,0)),CU68-VLOOKUP($D68,'Visu totale'!$D:$DH,CV$1,0),IF(LEFT(VLOOKUP($D68,'Visu totale'!$D:$DH,CV$1,0),1)="V",IF(CU68&gt;=INDEX('[1]Définition Maintenances'!$G:$G,MATCH($A68,'[1]Définition Maintenances'!$K:$K,0)),CU68,INDEX('[1]Définition Maintenances'!$G:$G,MATCH($A68,'[1]Définition Maintenances'!$K:$K,0))+CU68),CU68))</f>
        <v>274</v>
      </c>
      <c r="CW68" s="27">
        <f>IF(ISNUMBER(VLOOKUP($D68,'Visu totale'!$D:$DH,CW$1,0)),CV68-VLOOKUP($D68,'Visu totale'!$D:$DH,CW$1,0),IF(LEFT(VLOOKUP($D68,'Visu totale'!$D:$DH,CW$1,0),1)="V",IF(CV68&gt;=INDEX('[1]Définition Maintenances'!$G:$G,MATCH($A68,'[1]Définition Maintenances'!$K:$K,0)),CV68,INDEX('[1]Définition Maintenances'!$G:$G,MATCH($A68,'[1]Définition Maintenances'!$K:$K,0))+CV68),CV68))</f>
        <v>274</v>
      </c>
      <c r="CX68" s="25">
        <f>IF(ISNUMBER(VLOOKUP($D68,'Visu totale'!$D:$DH,CX$1,0)),CW68-VLOOKUP($D68,'Visu totale'!$D:$DH,CX$1,0),IF(LEFT(VLOOKUP($D68,'Visu totale'!$D:$DH,CX$1,0),1)="V",IF(CW68&gt;=INDEX('[1]Définition Maintenances'!$G:$G,MATCH($A68,'[1]Définition Maintenances'!$K:$K,0)),CW68,INDEX('[1]Définition Maintenances'!$G:$G,MATCH($A68,'[1]Définition Maintenances'!$K:$K,0))+CW68),CW68))</f>
        <v>274</v>
      </c>
      <c r="CY68" s="26">
        <f>IF(ISNUMBER(VLOOKUP($D68,'Visu totale'!$D:$DH,CY$1,0)),CX68-VLOOKUP($D68,'Visu totale'!$D:$DH,CY$1,0),IF(LEFT(VLOOKUP($D68,'Visu totale'!$D:$DH,CY$1,0),1)="V",IF(CX68&gt;=INDEX('[1]Définition Maintenances'!$G:$G,MATCH($A68,'[1]Définition Maintenances'!$K:$K,0)),CX68,INDEX('[1]Définition Maintenances'!$G:$G,MATCH($A68,'[1]Définition Maintenances'!$K:$K,0))+CX68),CX68))</f>
        <v>274</v>
      </c>
      <c r="CZ68" s="26">
        <f>IF(ISNUMBER(VLOOKUP($D68,'Visu totale'!$D:$DH,CZ$1,0)),CY68-VLOOKUP($D68,'Visu totale'!$D:$DH,CZ$1,0),IF(LEFT(VLOOKUP($D68,'Visu totale'!$D:$DH,CZ$1,0),1)="V",IF(CY68&gt;=INDEX('[1]Définition Maintenances'!$G:$G,MATCH($A68,'[1]Définition Maintenances'!$K:$K,0)),CY68,INDEX('[1]Définition Maintenances'!$G:$G,MATCH($A68,'[1]Définition Maintenances'!$K:$K,0))+CY68),CY68))</f>
        <v>274</v>
      </c>
      <c r="DA68" s="26">
        <f>IF(ISNUMBER(VLOOKUP($D68,'Visu totale'!$D:$DH,DA$1,0)),CZ68-VLOOKUP($D68,'Visu totale'!$D:$DH,DA$1,0),IF(LEFT(VLOOKUP($D68,'Visu totale'!$D:$DH,DA$1,0),1)="V",IF(CZ68&gt;=INDEX('[1]Définition Maintenances'!$G:$G,MATCH($A68,'[1]Définition Maintenances'!$K:$K,0)),CZ68,INDEX('[1]Définition Maintenances'!$G:$G,MATCH($A68,'[1]Définition Maintenances'!$K:$K,0))+CZ68),CZ68))</f>
        <v>274</v>
      </c>
      <c r="DB68" s="26">
        <f>IF(ISNUMBER(VLOOKUP($D68,'Visu totale'!$D:$DH,DB$1,0)),DA68-VLOOKUP($D68,'Visu totale'!$D:$DH,DB$1,0),IF(LEFT(VLOOKUP($D68,'Visu totale'!$D:$DH,DB$1,0),1)="V",IF(DA68&gt;=INDEX('[1]Définition Maintenances'!$G:$G,MATCH($A68,'[1]Définition Maintenances'!$K:$K,0)),DA68,INDEX('[1]Définition Maintenances'!$G:$G,MATCH($A68,'[1]Définition Maintenances'!$K:$K,0))+DA68),DA68))</f>
        <v>274</v>
      </c>
      <c r="DC68" s="26">
        <f>IF(ISNUMBER(VLOOKUP($D68,'Visu totale'!$D:$DH,DC$1,0)),DB68-VLOOKUP($D68,'Visu totale'!$D:$DH,DC$1,0),IF(LEFT(VLOOKUP($D68,'Visu totale'!$D:$DH,DC$1,0),1)="V",IF(DB68&gt;=INDEX('[1]Définition Maintenances'!$G:$G,MATCH($A68,'[1]Définition Maintenances'!$K:$K,0)),DB68,INDEX('[1]Définition Maintenances'!$G:$G,MATCH($A68,'[1]Définition Maintenances'!$K:$K,0))+DB68),DB68))</f>
        <v>274</v>
      </c>
      <c r="DD68" s="26">
        <f>IF(ISNUMBER(VLOOKUP($D68,'Visu totale'!$D:$DH,DD$1,0)),DC68-VLOOKUP($D68,'Visu totale'!$D:$DH,DD$1,0),IF(LEFT(VLOOKUP($D68,'Visu totale'!$D:$DH,DD$1,0),1)="V",IF(DC68&gt;=INDEX('[1]Définition Maintenances'!$G:$G,MATCH($A68,'[1]Définition Maintenances'!$K:$K,0)),DC68,INDEX('[1]Définition Maintenances'!$G:$G,MATCH($A68,'[1]Définition Maintenances'!$K:$K,0))+DC68),DC68))</f>
        <v>274</v>
      </c>
      <c r="DE68" s="26">
        <f>IF(ISNUMBER(VLOOKUP($D68,'Visu totale'!$D:$DH,DE$1,0)),DD68-VLOOKUP($D68,'Visu totale'!$D:$DH,DE$1,0),IF(LEFT(VLOOKUP($D68,'Visu totale'!$D:$DH,DE$1,0),1)="V",IF(DD68&gt;=INDEX('[1]Définition Maintenances'!$G:$G,MATCH($A68,'[1]Définition Maintenances'!$K:$K,0)),DD68,INDEX('[1]Définition Maintenances'!$G:$G,MATCH($A68,'[1]Définition Maintenances'!$K:$K,0))+DD68),DD68))</f>
        <v>274</v>
      </c>
      <c r="DF68" s="26">
        <f>IF(ISNUMBER(VLOOKUP($D68,'Visu totale'!$D:$DH,DF$1,0)),DE68-VLOOKUP($D68,'Visu totale'!$D:$DH,DF$1,0),IF(LEFT(VLOOKUP($D68,'Visu totale'!$D:$DH,DF$1,0),1)="V",IF(DE68&gt;=INDEX('[1]Définition Maintenances'!$G:$G,MATCH($A68,'[1]Définition Maintenances'!$K:$K,0)),DE68,INDEX('[1]Définition Maintenances'!$G:$G,MATCH($A68,'[1]Définition Maintenances'!$K:$K,0))+DE68),DE68))</f>
        <v>274</v>
      </c>
      <c r="DG68" s="26">
        <f>IF(ISNUMBER(VLOOKUP($D68,'Visu totale'!$D:$DH,DG$1,0)),DF68-VLOOKUP($D68,'Visu totale'!$D:$DH,DG$1,0),IF(LEFT(VLOOKUP($D68,'Visu totale'!$D:$DH,DG$1,0),1)="V",IF(DF68&gt;=INDEX('[1]Définition Maintenances'!$G:$G,MATCH($A68,'[1]Définition Maintenances'!$K:$K,0)),DF68,INDEX('[1]Définition Maintenances'!$G:$G,MATCH($A68,'[1]Définition Maintenances'!$K:$K,0))+DF68),DF68))</f>
        <v>274</v>
      </c>
      <c r="DH68" s="26">
        <f>IF(ISNUMBER(VLOOKUP($D68,'Visu totale'!$D:$DH,DH$1,0)),DG68-VLOOKUP($D68,'Visu totale'!$D:$DH,DH$1,0),IF(LEFT(VLOOKUP($D68,'Visu totale'!$D:$DH,DH$1,0),1)="V",IF(DG68&gt;=INDEX('[1]Définition Maintenances'!$G:$G,MATCH($A68,'[1]Définition Maintenances'!$K:$K,0)),DG68,INDEX('[1]Définition Maintenances'!$G:$G,MATCH($A68,'[1]Définition Maintenances'!$K:$K,0))+DG68),DG68))</f>
        <v>274</v>
      </c>
      <c r="DI68" s="27">
        <f>IF(ISNUMBER(VLOOKUP($D68,'Visu totale'!$D:$DH,DI$1,0)),DH68-VLOOKUP($D68,'Visu totale'!$D:$DH,DI$1,0),IF(LEFT(VLOOKUP($D68,'Visu totale'!$D:$DH,DI$1,0),1)="V",IF(DH68&gt;=INDEX('[1]Définition Maintenances'!$G:$G,MATCH($A68,'[1]Définition Maintenances'!$K:$K,0)),DH68,INDEX('[1]Définition Maintenances'!$G:$G,MATCH($A68,'[1]Définition Maintenances'!$K:$K,0))+DH68),DH68))</f>
        <v>274</v>
      </c>
    </row>
    <row r="69" spans="1:113" x14ac:dyDescent="0.25">
      <c r="A69" s="13" t="str">
        <f t="shared" si="2"/>
        <v>V30D</v>
      </c>
      <c r="B69" s="13" t="str">
        <f>VLOOKUP(D69,'[1]Avions (Potentiels)'!$B$2:$H$128,7,FALSE)</f>
        <v>V30</v>
      </c>
      <c r="C69" s="13"/>
      <c r="D69" s="16" t="s">
        <v>72</v>
      </c>
      <c r="E69" s="13">
        <f>IFERROR(VALUE(SUBSTITUTE(VLOOKUP(D69,'[1]Avions (Potentiels)'!$B:$E,4,0),".",",")),VALUE(VLOOKUP(D69,'[1]Avions (Potentiels)'!$B:$E,4,0)))</f>
        <v>218</v>
      </c>
      <c r="F69" s="25">
        <f>IF(ISNUMBER(VLOOKUP($D69,'Visu totale'!$D:$DH,F$1,0)),E69-VLOOKUP($D69,'Visu totale'!$D:$DH,F$1,0),IF(LEFT(VLOOKUP($D69,'Visu totale'!$D:$DH,F$1,0),1)="V",IF(E69&gt;=INDEX('[1]Définition Maintenances'!$G:$G,MATCH($A69,'[1]Définition Maintenances'!$K:$K,0)),E69,INDEX('[1]Définition Maintenances'!$G:$G,MATCH($A69,'[1]Définition Maintenances'!$K:$K,0))+E69),E69))</f>
        <v>218</v>
      </c>
      <c r="G69" s="26">
        <f>IF(ISNUMBER(VLOOKUP($D69,'Visu totale'!$D:$DH,G$1,0)),F69-VLOOKUP($D69,'Visu totale'!$D:$DH,G$1,0),IF(LEFT(VLOOKUP($D69,'Visu totale'!$D:$DH,G$1,0),1)="V",IF(F69&gt;=INDEX('[1]Définition Maintenances'!$G:$G,MATCH($A69,'[1]Définition Maintenances'!$K:$K,0)),F69,INDEX('[1]Définition Maintenances'!$G:$G,MATCH($A69,'[1]Définition Maintenances'!$K:$K,0))+F69),F69))</f>
        <v>218</v>
      </c>
      <c r="H69" s="26">
        <f>IF(ISNUMBER(VLOOKUP($D69,'Visu totale'!$D:$DH,H$1,0)),G69-VLOOKUP($D69,'Visu totale'!$D:$DH,H$1,0),IF(LEFT(VLOOKUP($D69,'Visu totale'!$D:$DH,H$1,0),1)="V",IF(G69&gt;=INDEX('[1]Définition Maintenances'!$G:$G,MATCH($A69,'[1]Définition Maintenances'!$K:$K,0)),G69,INDEX('[1]Définition Maintenances'!$G:$G,MATCH($A69,'[1]Définition Maintenances'!$K:$K,0))+G69),G69))</f>
        <v>218</v>
      </c>
      <c r="I69" s="26">
        <f>IF(ISNUMBER(VLOOKUP($D69,'Visu totale'!$D:$DH,I$1,0)),H69-VLOOKUP($D69,'Visu totale'!$D:$DH,I$1,0),IF(LEFT(VLOOKUP($D69,'Visu totale'!$D:$DH,I$1,0),1)="V",IF(H69&gt;=INDEX('[1]Définition Maintenances'!$G:$G,MATCH($A69,'[1]Définition Maintenances'!$K:$K,0)),H69,INDEX('[1]Définition Maintenances'!$G:$G,MATCH($A69,'[1]Définition Maintenances'!$K:$K,0))+H69),H69))</f>
        <v>218</v>
      </c>
      <c r="J69" s="26">
        <f>IF(ISNUMBER(VLOOKUP($D69,'Visu totale'!$D:$DH,J$1,0)),I69-VLOOKUP($D69,'Visu totale'!$D:$DH,J$1,0),IF(LEFT(VLOOKUP($D69,'Visu totale'!$D:$DH,J$1,0),1)="V",IF(I69&gt;=INDEX('[1]Définition Maintenances'!$G:$G,MATCH($A69,'[1]Définition Maintenances'!$K:$K,0)),I69,INDEX('[1]Définition Maintenances'!$G:$G,MATCH($A69,'[1]Définition Maintenances'!$K:$K,0))+I69),I69))</f>
        <v>218</v>
      </c>
      <c r="K69" s="26">
        <f>IF(ISNUMBER(VLOOKUP($D69,'Visu totale'!$D:$DH,K$1,0)),J69-VLOOKUP($D69,'Visu totale'!$D:$DH,K$1,0),IF(LEFT(VLOOKUP($D69,'Visu totale'!$D:$DH,K$1,0),1)="V",IF(J69&gt;=INDEX('[1]Définition Maintenances'!$G:$G,MATCH($A69,'[1]Définition Maintenances'!$K:$K,0)),J69,INDEX('[1]Définition Maintenances'!$G:$G,MATCH($A69,'[1]Définition Maintenances'!$K:$K,0))+J69),J69))</f>
        <v>218</v>
      </c>
      <c r="L69" s="26">
        <f>IF(ISNUMBER(VLOOKUP($D69,'Visu totale'!$D:$DH,L$1,0)),K69-VLOOKUP($D69,'Visu totale'!$D:$DH,L$1,0),IF(LEFT(VLOOKUP($D69,'Visu totale'!$D:$DH,L$1,0),1)="V",IF(K69&gt;=INDEX('[1]Définition Maintenances'!$G:$G,MATCH($A69,'[1]Définition Maintenances'!$K:$K,0)),K69,INDEX('[1]Définition Maintenances'!$G:$G,MATCH($A69,'[1]Définition Maintenances'!$K:$K,0))+K69),K69))</f>
        <v>218</v>
      </c>
      <c r="M69" s="26">
        <f>IF(ISNUMBER(VLOOKUP($D69,'Visu totale'!$D:$DH,M$1,0)),L69-VLOOKUP($D69,'Visu totale'!$D:$DH,M$1,0),IF(LEFT(VLOOKUP($D69,'Visu totale'!$D:$DH,M$1,0),1)="V",IF(L69&gt;=INDEX('[1]Définition Maintenances'!$G:$G,MATCH($A69,'[1]Définition Maintenances'!$K:$K,0)),L69,INDEX('[1]Définition Maintenances'!$G:$G,MATCH($A69,'[1]Définition Maintenances'!$K:$K,0))+L69),L69))</f>
        <v>218</v>
      </c>
      <c r="N69" s="26">
        <f>IF(ISNUMBER(VLOOKUP($D69,'Visu totale'!$D:$DH,N$1,0)),M69-VLOOKUP($D69,'Visu totale'!$D:$DH,N$1,0),IF(LEFT(VLOOKUP($D69,'Visu totale'!$D:$DH,N$1,0),1)="V",IF(M69&gt;=INDEX('[1]Définition Maintenances'!$G:$G,MATCH($A69,'[1]Définition Maintenances'!$K:$K,0)),M69,INDEX('[1]Définition Maintenances'!$G:$G,MATCH($A69,'[1]Définition Maintenances'!$K:$K,0))+M69),M69))</f>
        <v>218</v>
      </c>
      <c r="O69" s="26">
        <f>IF(ISNUMBER(VLOOKUP($D69,'Visu totale'!$D:$DH,O$1,0)),N69-VLOOKUP($D69,'Visu totale'!$D:$DH,O$1,0),IF(LEFT(VLOOKUP($D69,'Visu totale'!$D:$DH,O$1,0),1)="V",IF(N69&gt;=INDEX('[1]Définition Maintenances'!$G:$G,MATCH($A69,'[1]Définition Maintenances'!$K:$K,0)),N69,INDEX('[1]Définition Maintenances'!$G:$G,MATCH($A69,'[1]Définition Maintenances'!$K:$K,0))+N69),N69))</f>
        <v>218</v>
      </c>
      <c r="P69" s="26">
        <f>IF(ISNUMBER(VLOOKUP($D69,'Visu totale'!$D:$DH,P$1,0)),O69-VLOOKUP($D69,'Visu totale'!$D:$DH,P$1,0),IF(LEFT(VLOOKUP($D69,'Visu totale'!$D:$DH,P$1,0),1)="V",IF(O69&gt;=INDEX('[1]Définition Maintenances'!$G:$G,MATCH($A69,'[1]Définition Maintenances'!$K:$K,0)),O69,INDEX('[1]Définition Maintenances'!$G:$G,MATCH($A69,'[1]Définition Maintenances'!$K:$K,0))+O69),O69))</f>
        <v>218</v>
      </c>
      <c r="Q69" s="27">
        <f>IF(ISNUMBER(VLOOKUP($D69,'Visu totale'!$D:$DH,Q$1,0)),P69-VLOOKUP($D69,'Visu totale'!$D:$DH,Q$1,0),IF(LEFT(VLOOKUP($D69,'Visu totale'!$D:$DH,Q$1,0),1)="V",IF(P69&gt;=INDEX('[1]Définition Maintenances'!$G:$G,MATCH($A69,'[1]Définition Maintenances'!$K:$K,0)),P69,INDEX('[1]Définition Maintenances'!$G:$G,MATCH($A69,'[1]Définition Maintenances'!$K:$K,0))+P69),P69))</f>
        <v>218</v>
      </c>
      <c r="R69" s="25">
        <f>IF(ISNUMBER(VLOOKUP($D69,'Visu totale'!$D:$DH,R$1,0)),Q69-VLOOKUP($D69,'Visu totale'!$D:$DH,R$1,0),IF(LEFT(VLOOKUP($D69,'Visu totale'!$D:$DH,R$1,0),1)="V",IF(Q69&gt;=INDEX('[1]Définition Maintenances'!$G:$G,MATCH($A69,'[1]Définition Maintenances'!$K:$K,0)),Q69,INDEX('[1]Définition Maintenances'!$G:$G,MATCH($A69,'[1]Définition Maintenances'!$K:$K,0))+Q69),Q69))</f>
        <v>218</v>
      </c>
      <c r="S69" s="26">
        <f>IF(ISNUMBER(VLOOKUP($D69,'Visu totale'!$D:$DH,S$1,0)),R69-VLOOKUP($D69,'Visu totale'!$D:$DH,S$1,0),IF(LEFT(VLOOKUP($D69,'Visu totale'!$D:$DH,S$1,0),1)="V",IF(R69&gt;=INDEX('[1]Définition Maintenances'!$G:$G,MATCH($A69,'[1]Définition Maintenances'!$K:$K,0)),R69,INDEX('[1]Définition Maintenances'!$G:$G,MATCH($A69,'[1]Définition Maintenances'!$K:$K,0))+R69),R69))</f>
        <v>218</v>
      </c>
      <c r="T69" s="26">
        <f>IF(ISNUMBER(VLOOKUP($D69,'Visu totale'!$D:$DH,T$1,0)),S69-VLOOKUP($D69,'Visu totale'!$D:$DH,T$1,0),IF(LEFT(VLOOKUP($D69,'Visu totale'!$D:$DH,T$1,0),1)="V",IF(S69&gt;=INDEX('[1]Définition Maintenances'!$G:$G,MATCH($A69,'[1]Définition Maintenances'!$K:$K,0)),S69,INDEX('[1]Définition Maintenances'!$G:$G,MATCH($A69,'[1]Définition Maintenances'!$K:$K,0))+S69),S69))</f>
        <v>218</v>
      </c>
      <c r="U69" s="26">
        <f>IF(ISNUMBER(VLOOKUP($D69,'Visu totale'!$D:$DH,U$1,0)),T69-VLOOKUP($D69,'Visu totale'!$D:$DH,U$1,0),IF(LEFT(VLOOKUP($D69,'Visu totale'!$D:$DH,U$1,0),1)="V",IF(T69&gt;=INDEX('[1]Définition Maintenances'!$G:$G,MATCH($A69,'[1]Définition Maintenances'!$K:$K,0)),T69,INDEX('[1]Définition Maintenances'!$G:$G,MATCH($A69,'[1]Définition Maintenances'!$K:$K,0))+T69),T69))</f>
        <v>218</v>
      </c>
      <c r="V69" s="26">
        <f>IF(ISNUMBER(VLOOKUP($D69,'Visu totale'!$D:$DH,V$1,0)),U69-VLOOKUP($D69,'Visu totale'!$D:$DH,V$1,0),IF(LEFT(VLOOKUP($D69,'Visu totale'!$D:$DH,V$1,0),1)="V",IF(U69&gt;=INDEX('[1]Définition Maintenances'!$G:$G,MATCH($A69,'[1]Définition Maintenances'!$K:$K,0)),U69,INDEX('[1]Définition Maintenances'!$G:$G,MATCH($A69,'[1]Définition Maintenances'!$K:$K,0))+U69),U69))</f>
        <v>218</v>
      </c>
      <c r="W69" s="26">
        <f>IF(ISNUMBER(VLOOKUP($D69,'Visu totale'!$D:$DH,W$1,0)),V69-VLOOKUP($D69,'Visu totale'!$D:$DH,W$1,0),IF(LEFT(VLOOKUP($D69,'Visu totale'!$D:$DH,W$1,0),1)="V",IF(V69&gt;=INDEX('[1]Définition Maintenances'!$G:$G,MATCH($A69,'[1]Définition Maintenances'!$K:$K,0)),V69,INDEX('[1]Définition Maintenances'!$G:$G,MATCH($A69,'[1]Définition Maintenances'!$K:$K,0))+V69),V69))</f>
        <v>218</v>
      </c>
      <c r="X69" s="26">
        <f>IF(ISNUMBER(VLOOKUP($D69,'Visu totale'!$D:$DH,X$1,0)),W69-VLOOKUP($D69,'Visu totale'!$D:$DH,X$1,0),IF(LEFT(VLOOKUP($D69,'Visu totale'!$D:$DH,X$1,0),1)="V",IF(W69&gt;=INDEX('[1]Définition Maintenances'!$G:$G,MATCH($A69,'[1]Définition Maintenances'!$K:$K,0)),W69,INDEX('[1]Définition Maintenances'!$G:$G,MATCH($A69,'[1]Définition Maintenances'!$K:$K,0))+W69),W69))</f>
        <v>218</v>
      </c>
      <c r="Y69" s="26">
        <f>IF(ISNUMBER(VLOOKUP($D69,'Visu totale'!$D:$DH,Y$1,0)),X69-VLOOKUP($D69,'Visu totale'!$D:$DH,Y$1,0),IF(LEFT(VLOOKUP($D69,'Visu totale'!$D:$DH,Y$1,0),1)="V",IF(X69&gt;=INDEX('[1]Définition Maintenances'!$G:$G,MATCH($A69,'[1]Définition Maintenances'!$K:$K,0)),X69,INDEX('[1]Définition Maintenances'!$G:$G,MATCH($A69,'[1]Définition Maintenances'!$K:$K,0))+X69),X69))</f>
        <v>218</v>
      </c>
      <c r="Z69" s="26">
        <f>IF(ISNUMBER(VLOOKUP($D69,'Visu totale'!$D:$DH,Z$1,0)),Y69-VLOOKUP($D69,'Visu totale'!$D:$DH,Z$1,0),IF(LEFT(VLOOKUP($D69,'Visu totale'!$D:$DH,Z$1,0),1)="V",IF(Y69&gt;=INDEX('[1]Définition Maintenances'!$G:$G,MATCH($A69,'[1]Définition Maintenances'!$K:$K,0)),Y69,INDEX('[1]Définition Maintenances'!$G:$G,MATCH($A69,'[1]Définition Maintenances'!$K:$K,0))+Y69),Y69))</f>
        <v>218</v>
      </c>
      <c r="AA69" s="26">
        <f>IF(ISNUMBER(VLOOKUP($D69,'Visu totale'!$D:$DH,AA$1,0)),Z69-VLOOKUP($D69,'Visu totale'!$D:$DH,AA$1,0),IF(LEFT(VLOOKUP($D69,'Visu totale'!$D:$DH,AA$1,0),1)="V",IF(Z69&gt;=INDEX('[1]Définition Maintenances'!$G:$G,MATCH($A69,'[1]Définition Maintenances'!$K:$K,0)),Z69,INDEX('[1]Définition Maintenances'!$G:$G,MATCH($A69,'[1]Définition Maintenances'!$K:$K,0))+Z69),Z69))</f>
        <v>218</v>
      </c>
      <c r="AB69" s="26">
        <f>IF(ISNUMBER(VLOOKUP($D69,'Visu totale'!$D:$DH,AB$1,0)),AA69-VLOOKUP($D69,'Visu totale'!$D:$DH,AB$1,0),IF(LEFT(VLOOKUP($D69,'Visu totale'!$D:$DH,AB$1,0),1)="V",IF(AA69&gt;=INDEX('[1]Définition Maintenances'!$G:$G,MATCH($A69,'[1]Définition Maintenances'!$K:$K,0)),AA69,INDEX('[1]Définition Maintenances'!$G:$G,MATCH($A69,'[1]Définition Maintenances'!$K:$K,0))+AA69),AA69))</f>
        <v>218</v>
      </c>
      <c r="AC69" s="27">
        <f>IF(ISNUMBER(VLOOKUP($D69,'Visu totale'!$D:$DH,AC$1,0)),AB69-VLOOKUP($D69,'Visu totale'!$D:$DH,AC$1,0),IF(LEFT(VLOOKUP($D69,'Visu totale'!$D:$DH,AC$1,0),1)="V",IF(AB69&gt;=INDEX('[1]Définition Maintenances'!$G:$G,MATCH($A69,'[1]Définition Maintenances'!$K:$K,0)),AB69,INDEX('[1]Définition Maintenances'!$G:$G,MATCH($A69,'[1]Définition Maintenances'!$K:$K,0))+AB69),AB69))</f>
        <v>218</v>
      </c>
      <c r="AD69" s="25">
        <f>IF(ISNUMBER(VLOOKUP($D69,'Visu totale'!$D:$DH,AD$1,0)),AC69-VLOOKUP($D69,'Visu totale'!$D:$DH,AD$1,0),IF(LEFT(VLOOKUP($D69,'Visu totale'!$D:$DH,AD$1,0),1)="V",IF(AC69&gt;=INDEX('[1]Définition Maintenances'!$G:$G,MATCH($A69,'[1]Définition Maintenances'!$K:$K,0)),AC69,INDEX('[1]Définition Maintenances'!$G:$G,MATCH($A69,'[1]Définition Maintenances'!$K:$K,0))+AC69),AC69))</f>
        <v>218</v>
      </c>
      <c r="AE69" s="26">
        <f>IF(ISNUMBER(VLOOKUP($D69,'Visu totale'!$D:$DH,AE$1,0)),AD69-VLOOKUP($D69,'Visu totale'!$D:$DH,AE$1,0),IF(LEFT(VLOOKUP($D69,'Visu totale'!$D:$DH,AE$1,0),1)="V",IF(AD69&gt;=INDEX('[1]Définition Maintenances'!$G:$G,MATCH($A69,'[1]Définition Maintenances'!$K:$K,0)),AD69,INDEX('[1]Définition Maintenances'!$G:$G,MATCH($A69,'[1]Définition Maintenances'!$K:$K,0))+AD69),AD69))</f>
        <v>218</v>
      </c>
      <c r="AF69" s="26">
        <f>IF(ISNUMBER(VLOOKUP($D69,'Visu totale'!$D:$DH,AF$1,0)),AE69-VLOOKUP($D69,'Visu totale'!$D:$DH,AF$1,0),IF(LEFT(VLOOKUP($D69,'Visu totale'!$D:$DH,AF$1,0),1)="V",IF(AE69&gt;=INDEX('[1]Définition Maintenances'!$G:$G,MATCH($A69,'[1]Définition Maintenances'!$K:$K,0)),AE69,INDEX('[1]Définition Maintenances'!$G:$G,MATCH($A69,'[1]Définition Maintenances'!$K:$K,0))+AE69),AE69))</f>
        <v>218</v>
      </c>
      <c r="AG69" s="26">
        <f>IF(ISNUMBER(VLOOKUP($D69,'Visu totale'!$D:$DH,AG$1,0)),AF69-VLOOKUP($D69,'Visu totale'!$D:$DH,AG$1,0),IF(LEFT(VLOOKUP($D69,'Visu totale'!$D:$DH,AG$1,0),1)="V",IF(AF69&gt;=INDEX('[1]Définition Maintenances'!$G:$G,MATCH($A69,'[1]Définition Maintenances'!$K:$K,0)),AF69,INDEX('[1]Définition Maintenances'!$G:$G,MATCH($A69,'[1]Définition Maintenances'!$K:$K,0))+AF69),AF69))</f>
        <v>218</v>
      </c>
      <c r="AH69" s="26">
        <f>IF(ISNUMBER(VLOOKUP($D69,'Visu totale'!$D:$DH,AH$1,0)),AG69-VLOOKUP($D69,'Visu totale'!$D:$DH,AH$1,0),IF(LEFT(VLOOKUP($D69,'Visu totale'!$D:$DH,AH$1,0),1)="V",IF(AG69&gt;=INDEX('[1]Définition Maintenances'!$G:$G,MATCH($A69,'[1]Définition Maintenances'!$K:$K,0)),AG69,INDEX('[1]Définition Maintenances'!$G:$G,MATCH($A69,'[1]Définition Maintenances'!$K:$K,0))+AG69),AG69))</f>
        <v>218</v>
      </c>
      <c r="AI69" s="26">
        <f>IF(ISNUMBER(VLOOKUP($D69,'Visu totale'!$D:$DH,AI$1,0)),AH69-VLOOKUP($D69,'Visu totale'!$D:$DH,AI$1,0),IF(LEFT(VLOOKUP($D69,'Visu totale'!$D:$DH,AI$1,0),1)="V",IF(AH69&gt;=INDEX('[1]Définition Maintenances'!$G:$G,MATCH($A69,'[1]Définition Maintenances'!$K:$K,0)),AH69,INDEX('[1]Définition Maintenances'!$G:$G,MATCH($A69,'[1]Définition Maintenances'!$K:$K,0))+AH69),AH69))</f>
        <v>218</v>
      </c>
      <c r="AJ69" s="26">
        <f>IF(ISNUMBER(VLOOKUP($D69,'Visu totale'!$D:$DH,AJ$1,0)),AI69-VLOOKUP($D69,'Visu totale'!$D:$DH,AJ$1,0),IF(LEFT(VLOOKUP($D69,'Visu totale'!$D:$DH,AJ$1,0),1)="V",IF(AI69&gt;=INDEX('[1]Définition Maintenances'!$G:$G,MATCH($A69,'[1]Définition Maintenances'!$K:$K,0)),AI69,INDEX('[1]Définition Maintenances'!$G:$G,MATCH($A69,'[1]Définition Maintenances'!$K:$K,0))+AI69),AI69))</f>
        <v>218</v>
      </c>
      <c r="AK69" s="26">
        <f>IF(ISNUMBER(VLOOKUP($D69,'Visu totale'!$D:$DH,AK$1,0)),AJ69-VLOOKUP($D69,'Visu totale'!$D:$DH,AK$1,0),IF(LEFT(VLOOKUP($D69,'Visu totale'!$D:$DH,AK$1,0),1)="V",IF(AJ69&gt;=INDEX('[1]Définition Maintenances'!$G:$G,MATCH($A69,'[1]Définition Maintenances'!$K:$K,0)),AJ69,INDEX('[1]Définition Maintenances'!$G:$G,MATCH($A69,'[1]Définition Maintenances'!$K:$K,0))+AJ69),AJ69))</f>
        <v>218</v>
      </c>
      <c r="AL69" s="26">
        <f>IF(ISNUMBER(VLOOKUP($D69,'Visu totale'!$D:$DH,AL$1,0)),AK69-VLOOKUP($D69,'Visu totale'!$D:$DH,AL$1,0),IF(LEFT(VLOOKUP($D69,'Visu totale'!$D:$DH,AL$1,0),1)="V",IF(AK69&gt;=INDEX('[1]Définition Maintenances'!$G:$G,MATCH($A69,'[1]Définition Maintenances'!$K:$K,0)),AK69,INDEX('[1]Définition Maintenances'!$G:$G,MATCH($A69,'[1]Définition Maintenances'!$K:$K,0))+AK69),AK69))</f>
        <v>218</v>
      </c>
      <c r="AM69" s="26">
        <f>IF(ISNUMBER(VLOOKUP($D69,'Visu totale'!$D:$DH,AM$1,0)),AL69-VLOOKUP($D69,'Visu totale'!$D:$DH,AM$1,0),IF(LEFT(VLOOKUP($D69,'Visu totale'!$D:$DH,AM$1,0),1)="V",IF(AL69&gt;=INDEX('[1]Définition Maintenances'!$G:$G,MATCH($A69,'[1]Définition Maintenances'!$K:$K,0)),AL69,INDEX('[1]Définition Maintenances'!$G:$G,MATCH($A69,'[1]Définition Maintenances'!$K:$K,0))+AL69),AL69))</f>
        <v>218</v>
      </c>
      <c r="AN69" s="26">
        <f>IF(ISNUMBER(VLOOKUP($D69,'Visu totale'!$D:$DH,AN$1,0)),AM69-VLOOKUP($D69,'Visu totale'!$D:$DH,AN$1,0),IF(LEFT(VLOOKUP($D69,'Visu totale'!$D:$DH,AN$1,0),1)="V",IF(AM69&gt;=INDEX('[1]Définition Maintenances'!$G:$G,MATCH($A69,'[1]Définition Maintenances'!$K:$K,0)),AM69,INDEX('[1]Définition Maintenances'!$G:$G,MATCH($A69,'[1]Définition Maintenances'!$K:$K,0))+AM69),AM69))</f>
        <v>218</v>
      </c>
      <c r="AO69" s="27">
        <f>IF(ISNUMBER(VLOOKUP($D69,'Visu totale'!$D:$DH,AO$1,0)),AN69-VLOOKUP($D69,'Visu totale'!$D:$DH,AO$1,0),IF(LEFT(VLOOKUP($D69,'Visu totale'!$D:$DH,AO$1,0),1)="V",IF(AN69&gt;=INDEX('[1]Définition Maintenances'!$G:$G,MATCH($A69,'[1]Définition Maintenances'!$K:$K,0)),AN69,INDEX('[1]Définition Maintenances'!$G:$G,MATCH($A69,'[1]Définition Maintenances'!$K:$K,0))+AN69),AN69))</f>
        <v>218</v>
      </c>
      <c r="AP69" s="25">
        <f>IF(ISNUMBER(VLOOKUP($D69,'Visu totale'!$D:$DH,AP$1,0)),AO69-VLOOKUP($D69,'Visu totale'!$D:$DH,AP$1,0),IF(LEFT(VLOOKUP($D69,'Visu totale'!$D:$DH,AP$1,0),1)="V",IF(AO69&gt;=INDEX('[1]Définition Maintenances'!$G:$G,MATCH($A69,'[1]Définition Maintenances'!$K:$K,0)),AO69,INDEX('[1]Définition Maintenances'!$G:$G,MATCH($A69,'[1]Définition Maintenances'!$K:$K,0))+AO69),AO69))</f>
        <v>218</v>
      </c>
      <c r="AQ69" s="26">
        <f>IF(ISNUMBER(VLOOKUP($D69,'Visu totale'!$D:$DH,AQ$1,0)),AP69-VLOOKUP($D69,'Visu totale'!$D:$DH,AQ$1,0),IF(LEFT(VLOOKUP($D69,'Visu totale'!$D:$DH,AQ$1,0),1)="V",IF(AP69&gt;=INDEX('[1]Définition Maintenances'!$G:$G,MATCH($A69,'[1]Définition Maintenances'!$K:$K,0)),AP69,INDEX('[1]Définition Maintenances'!$G:$G,MATCH($A69,'[1]Définition Maintenances'!$K:$K,0))+AP69),AP69))</f>
        <v>218</v>
      </c>
      <c r="AR69" s="26">
        <f>IF(ISNUMBER(VLOOKUP($D69,'Visu totale'!$D:$DH,AR$1,0)),AQ69-VLOOKUP($D69,'Visu totale'!$D:$DH,AR$1,0),IF(LEFT(VLOOKUP($D69,'Visu totale'!$D:$DH,AR$1,0),1)="V",IF(AQ69&gt;=INDEX('[1]Définition Maintenances'!$G:$G,MATCH($A69,'[1]Définition Maintenances'!$K:$K,0)),AQ69,INDEX('[1]Définition Maintenances'!$G:$G,MATCH($A69,'[1]Définition Maintenances'!$K:$K,0))+AQ69),AQ69))</f>
        <v>218</v>
      </c>
      <c r="AS69" s="26">
        <f>IF(ISNUMBER(VLOOKUP($D69,'Visu totale'!$D:$DH,AS$1,0)),AR69-VLOOKUP($D69,'Visu totale'!$D:$DH,AS$1,0),IF(LEFT(VLOOKUP($D69,'Visu totale'!$D:$DH,AS$1,0),1)="V",IF(AR69&gt;=INDEX('[1]Définition Maintenances'!$G:$G,MATCH($A69,'[1]Définition Maintenances'!$K:$K,0)),AR69,INDEX('[1]Définition Maintenances'!$G:$G,MATCH($A69,'[1]Définition Maintenances'!$K:$K,0))+AR69),AR69))</f>
        <v>218</v>
      </c>
      <c r="AT69" s="26">
        <f>IF(ISNUMBER(VLOOKUP($D69,'Visu totale'!$D:$DH,AT$1,0)),AS69-VLOOKUP($D69,'Visu totale'!$D:$DH,AT$1,0),IF(LEFT(VLOOKUP($D69,'Visu totale'!$D:$DH,AT$1,0),1)="V",IF(AS69&gt;=INDEX('[1]Définition Maintenances'!$G:$G,MATCH($A69,'[1]Définition Maintenances'!$K:$K,0)),AS69,INDEX('[1]Définition Maintenances'!$G:$G,MATCH($A69,'[1]Définition Maintenances'!$K:$K,0))+AS69),AS69))</f>
        <v>218</v>
      </c>
      <c r="AU69" s="26">
        <f>IF(ISNUMBER(VLOOKUP($D69,'Visu totale'!$D:$DH,AU$1,0)),AT69-VLOOKUP($D69,'Visu totale'!$D:$DH,AU$1,0),IF(LEFT(VLOOKUP($D69,'Visu totale'!$D:$DH,AU$1,0),1)="V",IF(AT69&gt;=INDEX('[1]Définition Maintenances'!$G:$G,MATCH($A69,'[1]Définition Maintenances'!$K:$K,0)),AT69,INDEX('[1]Définition Maintenances'!$G:$G,MATCH($A69,'[1]Définition Maintenances'!$K:$K,0))+AT69),AT69))</f>
        <v>218</v>
      </c>
      <c r="AV69" s="26">
        <f>IF(ISNUMBER(VLOOKUP($D69,'Visu totale'!$D:$DH,AV$1,0)),AU69-VLOOKUP($D69,'Visu totale'!$D:$DH,AV$1,0),IF(LEFT(VLOOKUP($D69,'Visu totale'!$D:$DH,AV$1,0),1)="V",IF(AU69&gt;=INDEX('[1]Définition Maintenances'!$G:$G,MATCH($A69,'[1]Définition Maintenances'!$K:$K,0)),AU69,INDEX('[1]Définition Maintenances'!$G:$G,MATCH($A69,'[1]Définition Maintenances'!$K:$K,0))+AU69),AU69))</f>
        <v>218</v>
      </c>
      <c r="AW69" s="26">
        <f>IF(ISNUMBER(VLOOKUP($D69,'Visu totale'!$D:$DH,AW$1,0)),AV69-VLOOKUP($D69,'Visu totale'!$D:$DH,AW$1,0),IF(LEFT(VLOOKUP($D69,'Visu totale'!$D:$DH,AW$1,0),1)="V",IF(AV69&gt;=INDEX('[1]Définition Maintenances'!$G:$G,MATCH($A69,'[1]Définition Maintenances'!$K:$K,0)),AV69,INDEX('[1]Définition Maintenances'!$G:$G,MATCH($A69,'[1]Définition Maintenances'!$K:$K,0))+AV69),AV69))</f>
        <v>218</v>
      </c>
      <c r="AX69" s="26">
        <f>IF(ISNUMBER(VLOOKUP($D69,'Visu totale'!$D:$DH,AX$1,0)),AW69-VLOOKUP($D69,'Visu totale'!$D:$DH,AX$1,0),IF(LEFT(VLOOKUP($D69,'Visu totale'!$D:$DH,AX$1,0),1)="V",IF(AW69&gt;=INDEX('[1]Définition Maintenances'!$G:$G,MATCH($A69,'[1]Définition Maintenances'!$K:$K,0)),AW69,INDEX('[1]Définition Maintenances'!$G:$G,MATCH($A69,'[1]Définition Maintenances'!$K:$K,0))+AW69),AW69))</f>
        <v>218</v>
      </c>
      <c r="AY69" s="26">
        <f>IF(ISNUMBER(VLOOKUP($D69,'Visu totale'!$D:$DH,AY$1,0)),AX69-VLOOKUP($D69,'Visu totale'!$D:$DH,AY$1,0),IF(LEFT(VLOOKUP($D69,'Visu totale'!$D:$DH,AY$1,0),1)="V",IF(AX69&gt;=INDEX('[1]Définition Maintenances'!$G:$G,MATCH($A69,'[1]Définition Maintenances'!$K:$K,0)),AX69,INDEX('[1]Définition Maintenances'!$G:$G,MATCH($A69,'[1]Définition Maintenances'!$K:$K,0))+AX69),AX69))</f>
        <v>218</v>
      </c>
      <c r="AZ69" s="26">
        <f>IF(ISNUMBER(VLOOKUP($D69,'Visu totale'!$D:$DH,AZ$1,0)),AY69-VLOOKUP($D69,'Visu totale'!$D:$DH,AZ$1,0),IF(LEFT(VLOOKUP($D69,'Visu totale'!$D:$DH,AZ$1,0),1)="V",IF(AY69&gt;=INDEX('[1]Définition Maintenances'!$G:$G,MATCH($A69,'[1]Définition Maintenances'!$K:$K,0)),AY69,INDEX('[1]Définition Maintenances'!$G:$G,MATCH($A69,'[1]Définition Maintenances'!$K:$K,0))+AY69),AY69))</f>
        <v>218</v>
      </c>
      <c r="BA69" s="27">
        <f>IF(ISNUMBER(VLOOKUP($D69,'Visu totale'!$D:$DH,BA$1,0)),AZ69-VLOOKUP($D69,'Visu totale'!$D:$DH,BA$1,0),IF(LEFT(VLOOKUP($D69,'Visu totale'!$D:$DH,BA$1,0),1)="V",IF(AZ69&gt;=INDEX('[1]Définition Maintenances'!$G:$G,MATCH($A69,'[1]Définition Maintenances'!$K:$K,0)),AZ69,INDEX('[1]Définition Maintenances'!$G:$G,MATCH($A69,'[1]Définition Maintenances'!$K:$K,0))+AZ69),AZ69))</f>
        <v>218</v>
      </c>
      <c r="BB69" s="25">
        <f>IF(ISNUMBER(VLOOKUP($D69,'Visu totale'!$D:$DH,BB$1,0)),BA69-VLOOKUP($D69,'Visu totale'!$D:$DH,BB$1,0),IF(LEFT(VLOOKUP($D69,'Visu totale'!$D:$DH,BB$1,0),1)="V",IF(BA69&gt;=INDEX('[1]Définition Maintenances'!$G:$G,MATCH($A69,'[1]Définition Maintenances'!$K:$K,0)),BA69,INDEX('[1]Définition Maintenances'!$G:$G,MATCH($A69,'[1]Définition Maintenances'!$K:$K,0))+BA69),BA69))</f>
        <v>218</v>
      </c>
      <c r="BC69" s="26">
        <f>IF(ISNUMBER(VLOOKUP($D69,'Visu totale'!$D:$DH,BC$1,0)),BB69-VLOOKUP($D69,'Visu totale'!$D:$DH,BC$1,0),IF(LEFT(VLOOKUP($D69,'Visu totale'!$D:$DH,BC$1,0),1)="V",IF(BB69&gt;=INDEX('[1]Définition Maintenances'!$G:$G,MATCH($A69,'[1]Définition Maintenances'!$K:$K,0)),BB69,INDEX('[1]Définition Maintenances'!$G:$G,MATCH($A69,'[1]Définition Maintenances'!$K:$K,0))+BB69),BB69))</f>
        <v>218</v>
      </c>
      <c r="BD69" s="26">
        <f>IF(ISNUMBER(VLOOKUP($D69,'Visu totale'!$D:$DH,BD$1,0)),BC69-VLOOKUP($D69,'Visu totale'!$D:$DH,BD$1,0),IF(LEFT(VLOOKUP($D69,'Visu totale'!$D:$DH,BD$1,0),1)="V",IF(BC69&gt;=INDEX('[1]Définition Maintenances'!$G:$G,MATCH($A69,'[1]Définition Maintenances'!$K:$K,0)),BC69,INDEX('[1]Définition Maintenances'!$G:$G,MATCH($A69,'[1]Définition Maintenances'!$K:$K,0))+BC69),BC69))</f>
        <v>218</v>
      </c>
      <c r="BE69" s="26">
        <f>IF(ISNUMBER(VLOOKUP($D69,'Visu totale'!$D:$DH,BE$1,0)),BD69-VLOOKUP($D69,'Visu totale'!$D:$DH,BE$1,0),IF(LEFT(VLOOKUP($D69,'Visu totale'!$D:$DH,BE$1,0),1)="V",IF(BD69&gt;=INDEX('[1]Définition Maintenances'!$G:$G,MATCH($A69,'[1]Définition Maintenances'!$K:$K,0)),BD69,INDEX('[1]Définition Maintenances'!$G:$G,MATCH($A69,'[1]Définition Maintenances'!$K:$K,0))+BD69),BD69))</f>
        <v>218</v>
      </c>
      <c r="BF69" s="26">
        <f>IF(ISNUMBER(VLOOKUP($D69,'Visu totale'!$D:$DH,BF$1,0)),BE69-VLOOKUP($D69,'Visu totale'!$D:$DH,BF$1,0),IF(LEFT(VLOOKUP($D69,'Visu totale'!$D:$DH,BF$1,0),1)="V",IF(BE69&gt;=INDEX('[1]Définition Maintenances'!$G:$G,MATCH($A69,'[1]Définition Maintenances'!$K:$K,0)),BE69,INDEX('[1]Définition Maintenances'!$G:$G,MATCH($A69,'[1]Définition Maintenances'!$K:$K,0))+BE69),BE69))</f>
        <v>218</v>
      </c>
      <c r="BG69" s="26">
        <f>IF(ISNUMBER(VLOOKUP($D69,'Visu totale'!$D:$DH,BG$1,0)),BF69-VLOOKUP($D69,'Visu totale'!$D:$DH,BG$1,0),IF(LEFT(VLOOKUP($D69,'Visu totale'!$D:$DH,BG$1,0),1)="V",IF(BF69&gt;=INDEX('[1]Définition Maintenances'!$G:$G,MATCH($A69,'[1]Définition Maintenances'!$K:$K,0)),BF69,INDEX('[1]Définition Maintenances'!$G:$G,MATCH($A69,'[1]Définition Maintenances'!$K:$K,0))+BF69),BF69))</f>
        <v>218</v>
      </c>
      <c r="BH69" s="26">
        <f>IF(ISNUMBER(VLOOKUP($D69,'Visu totale'!$D:$DH,BH$1,0)),BG69-VLOOKUP($D69,'Visu totale'!$D:$DH,BH$1,0),IF(LEFT(VLOOKUP($D69,'Visu totale'!$D:$DH,BH$1,0),1)="V",IF(BG69&gt;=INDEX('[1]Définition Maintenances'!$G:$G,MATCH($A69,'[1]Définition Maintenances'!$K:$K,0)),BG69,INDEX('[1]Définition Maintenances'!$G:$G,MATCH($A69,'[1]Définition Maintenances'!$K:$K,0))+BG69),BG69))</f>
        <v>218</v>
      </c>
      <c r="BI69" s="26">
        <f>IF(ISNUMBER(VLOOKUP($D69,'Visu totale'!$D:$DH,BI$1,0)),BH69-VLOOKUP($D69,'Visu totale'!$D:$DH,BI$1,0),IF(LEFT(VLOOKUP($D69,'Visu totale'!$D:$DH,BI$1,0),1)="V",IF(BH69&gt;=INDEX('[1]Définition Maintenances'!$G:$G,MATCH($A69,'[1]Définition Maintenances'!$K:$K,0)),BH69,INDEX('[1]Définition Maintenances'!$G:$G,MATCH($A69,'[1]Définition Maintenances'!$K:$K,0))+BH69),BH69))</f>
        <v>218</v>
      </c>
      <c r="BJ69" s="26">
        <f>IF(ISNUMBER(VLOOKUP($D69,'Visu totale'!$D:$DH,BJ$1,0)),BI69-VLOOKUP($D69,'Visu totale'!$D:$DH,BJ$1,0),IF(LEFT(VLOOKUP($D69,'Visu totale'!$D:$DH,BJ$1,0),1)="V",IF(BI69&gt;=INDEX('[1]Définition Maintenances'!$G:$G,MATCH($A69,'[1]Définition Maintenances'!$K:$K,0)),BI69,INDEX('[1]Définition Maintenances'!$G:$G,MATCH($A69,'[1]Définition Maintenances'!$K:$K,0))+BI69),BI69))</f>
        <v>218</v>
      </c>
      <c r="BK69" s="26">
        <f>IF(ISNUMBER(VLOOKUP($D69,'Visu totale'!$D:$DH,BK$1,0)),BJ69-VLOOKUP($D69,'Visu totale'!$D:$DH,BK$1,0),IF(LEFT(VLOOKUP($D69,'Visu totale'!$D:$DH,BK$1,0),1)="V",IF(BJ69&gt;=INDEX('[1]Définition Maintenances'!$G:$G,MATCH($A69,'[1]Définition Maintenances'!$K:$K,0)),BJ69,INDEX('[1]Définition Maintenances'!$G:$G,MATCH($A69,'[1]Définition Maintenances'!$K:$K,0))+BJ69),BJ69))</f>
        <v>218</v>
      </c>
      <c r="BL69" s="26">
        <f>IF(ISNUMBER(VLOOKUP($D69,'Visu totale'!$D:$DH,BL$1,0)),BK69-VLOOKUP($D69,'Visu totale'!$D:$DH,BL$1,0),IF(LEFT(VLOOKUP($D69,'Visu totale'!$D:$DH,BL$1,0),1)="V",IF(BK69&gt;=INDEX('[1]Définition Maintenances'!$G:$G,MATCH($A69,'[1]Définition Maintenances'!$K:$K,0)),BK69,INDEX('[1]Définition Maintenances'!$G:$G,MATCH($A69,'[1]Définition Maintenances'!$K:$K,0))+BK69),BK69))</f>
        <v>218</v>
      </c>
      <c r="BM69" s="27">
        <f>IF(ISNUMBER(VLOOKUP($D69,'Visu totale'!$D:$DH,BM$1,0)),BL69-VLOOKUP($D69,'Visu totale'!$D:$DH,BM$1,0),IF(LEFT(VLOOKUP($D69,'Visu totale'!$D:$DH,BM$1,0),1)="V",IF(BL69&gt;=INDEX('[1]Définition Maintenances'!$G:$G,MATCH($A69,'[1]Définition Maintenances'!$K:$K,0)),BL69,INDEX('[1]Définition Maintenances'!$G:$G,MATCH($A69,'[1]Définition Maintenances'!$K:$K,0))+BL69),BL69))</f>
        <v>218</v>
      </c>
      <c r="BN69" s="25">
        <f>IF(ISNUMBER(VLOOKUP($D69,'Visu totale'!$D:$DH,BN$1,0)),BM69-VLOOKUP($D69,'Visu totale'!$D:$DH,BN$1,0),IF(LEFT(VLOOKUP($D69,'Visu totale'!$D:$DH,BN$1,0),1)="V",IF(BM69&gt;=INDEX('[1]Définition Maintenances'!$G:$G,MATCH($A69,'[1]Définition Maintenances'!$K:$K,0)),BM69,INDEX('[1]Définition Maintenances'!$G:$G,MATCH($A69,'[1]Définition Maintenances'!$K:$K,0))+BM69),BM69))</f>
        <v>218</v>
      </c>
      <c r="BO69" s="26">
        <f>IF(ISNUMBER(VLOOKUP($D69,'Visu totale'!$D:$DH,BO$1,0)),BN69-VLOOKUP($D69,'Visu totale'!$D:$DH,BO$1,0),IF(LEFT(VLOOKUP($D69,'Visu totale'!$D:$DH,BO$1,0),1)="V",IF(BN69&gt;=INDEX('[1]Définition Maintenances'!$G:$G,MATCH($A69,'[1]Définition Maintenances'!$K:$K,0)),BN69,INDEX('[1]Définition Maintenances'!$G:$G,MATCH($A69,'[1]Définition Maintenances'!$K:$K,0))+BN69),BN69))</f>
        <v>218</v>
      </c>
      <c r="BP69" s="26">
        <f>IF(ISNUMBER(VLOOKUP($D69,'Visu totale'!$D:$DH,BP$1,0)),BO69-VLOOKUP($D69,'Visu totale'!$D:$DH,BP$1,0),IF(LEFT(VLOOKUP($D69,'Visu totale'!$D:$DH,BP$1,0),1)="V",IF(BO69&gt;=INDEX('[1]Définition Maintenances'!$G:$G,MATCH($A69,'[1]Définition Maintenances'!$K:$K,0)),BO69,INDEX('[1]Définition Maintenances'!$G:$G,MATCH($A69,'[1]Définition Maintenances'!$K:$K,0))+BO69),BO69))</f>
        <v>218</v>
      </c>
      <c r="BQ69" s="26">
        <f>IF(ISNUMBER(VLOOKUP($D69,'Visu totale'!$D:$DH,BQ$1,0)),BP69-VLOOKUP($D69,'Visu totale'!$D:$DH,BQ$1,0),IF(LEFT(VLOOKUP($D69,'Visu totale'!$D:$DH,BQ$1,0),1)="V",IF(BP69&gt;=INDEX('[1]Définition Maintenances'!$G:$G,MATCH($A69,'[1]Définition Maintenances'!$K:$K,0)),BP69,INDEX('[1]Définition Maintenances'!$G:$G,MATCH($A69,'[1]Définition Maintenances'!$K:$K,0))+BP69),BP69))</f>
        <v>218</v>
      </c>
      <c r="BR69" s="26">
        <f>IF(ISNUMBER(VLOOKUP($D69,'Visu totale'!$D:$DH,BR$1,0)),BQ69-VLOOKUP($D69,'Visu totale'!$D:$DH,BR$1,0),IF(LEFT(VLOOKUP($D69,'Visu totale'!$D:$DH,BR$1,0),1)="V",IF(BQ69&gt;=INDEX('[1]Définition Maintenances'!$G:$G,MATCH($A69,'[1]Définition Maintenances'!$K:$K,0)),BQ69,INDEX('[1]Définition Maintenances'!$G:$G,MATCH($A69,'[1]Définition Maintenances'!$K:$K,0))+BQ69),BQ69))</f>
        <v>218</v>
      </c>
      <c r="BS69" s="26">
        <f>IF(ISNUMBER(VLOOKUP($D69,'Visu totale'!$D:$DH,BS$1,0)),BR69-VLOOKUP($D69,'Visu totale'!$D:$DH,BS$1,0),IF(LEFT(VLOOKUP($D69,'Visu totale'!$D:$DH,BS$1,0),1)="V",IF(BR69&gt;=INDEX('[1]Définition Maintenances'!$G:$G,MATCH($A69,'[1]Définition Maintenances'!$K:$K,0)),BR69,INDEX('[1]Définition Maintenances'!$G:$G,MATCH($A69,'[1]Définition Maintenances'!$K:$K,0))+BR69),BR69))</f>
        <v>218</v>
      </c>
      <c r="BT69" s="26">
        <f>IF(ISNUMBER(VLOOKUP($D69,'Visu totale'!$D:$DH,BT$1,0)),BS69-VLOOKUP($D69,'Visu totale'!$D:$DH,BT$1,0),IF(LEFT(VLOOKUP($D69,'Visu totale'!$D:$DH,BT$1,0),1)="V",IF(BS69&gt;=INDEX('[1]Définition Maintenances'!$G:$G,MATCH($A69,'[1]Définition Maintenances'!$K:$K,0)),BS69,INDEX('[1]Définition Maintenances'!$G:$G,MATCH($A69,'[1]Définition Maintenances'!$K:$K,0))+BS69),BS69))</f>
        <v>218</v>
      </c>
      <c r="BU69" s="26">
        <f>IF(ISNUMBER(VLOOKUP($D69,'Visu totale'!$D:$DH,BU$1,0)),BT69-VLOOKUP($D69,'Visu totale'!$D:$DH,BU$1,0),IF(LEFT(VLOOKUP($D69,'Visu totale'!$D:$DH,BU$1,0),1)="V",IF(BT69&gt;=INDEX('[1]Définition Maintenances'!$G:$G,MATCH($A69,'[1]Définition Maintenances'!$K:$K,0)),BT69,INDEX('[1]Définition Maintenances'!$G:$G,MATCH($A69,'[1]Définition Maintenances'!$K:$K,0))+BT69),BT69))</f>
        <v>218</v>
      </c>
      <c r="BV69" s="26">
        <f>IF(ISNUMBER(VLOOKUP($D69,'Visu totale'!$D:$DH,BV$1,0)),BU69-VLOOKUP($D69,'Visu totale'!$D:$DH,BV$1,0),IF(LEFT(VLOOKUP($D69,'Visu totale'!$D:$DH,BV$1,0),1)="V",IF(BU69&gt;=INDEX('[1]Définition Maintenances'!$G:$G,MATCH($A69,'[1]Définition Maintenances'!$K:$K,0)),BU69,INDEX('[1]Définition Maintenances'!$G:$G,MATCH($A69,'[1]Définition Maintenances'!$K:$K,0))+BU69),BU69))</f>
        <v>218</v>
      </c>
      <c r="BW69" s="26">
        <f>IF(ISNUMBER(VLOOKUP($D69,'Visu totale'!$D:$DH,BW$1,0)),BV69-VLOOKUP($D69,'Visu totale'!$D:$DH,BW$1,0),IF(LEFT(VLOOKUP($D69,'Visu totale'!$D:$DH,BW$1,0),1)="V",IF(BV69&gt;=INDEX('[1]Définition Maintenances'!$G:$G,MATCH($A69,'[1]Définition Maintenances'!$K:$K,0)),BV69,INDEX('[1]Définition Maintenances'!$G:$G,MATCH($A69,'[1]Définition Maintenances'!$K:$K,0))+BV69),BV69))</f>
        <v>218</v>
      </c>
      <c r="BX69" s="26">
        <f>IF(ISNUMBER(VLOOKUP($D69,'Visu totale'!$D:$DH,BX$1,0)),BW69-VLOOKUP($D69,'Visu totale'!$D:$DH,BX$1,0),IF(LEFT(VLOOKUP($D69,'Visu totale'!$D:$DH,BX$1,0),1)="V",IF(BW69&gt;=INDEX('[1]Définition Maintenances'!$G:$G,MATCH($A69,'[1]Définition Maintenances'!$K:$K,0)),BW69,INDEX('[1]Définition Maintenances'!$G:$G,MATCH($A69,'[1]Définition Maintenances'!$K:$K,0))+BW69),BW69))</f>
        <v>218</v>
      </c>
      <c r="BY69" s="27">
        <f>IF(ISNUMBER(VLOOKUP($D69,'Visu totale'!$D:$DH,BY$1,0)),BX69-VLOOKUP($D69,'Visu totale'!$D:$DH,BY$1,0),IF(LEFT(VLOOKUP($D69,'Visu totale'!$D:$DH,BY$1,0),1)="V",IF(BX69&gt;=INDEX('[1]Définition Maintenances'!$G:$G,MATCH($A69,'[1]Définition Maintenances'!$K:$K,0)),BX69,INDEX('[1]Définition Maintenances'!$G:$G,MATCH($A69,'[1]Définition Maintenances'!$K:$K,0))+BX69),BX69))</f>
        <v>218</v>
      </c>
      <c r="BZ69" s="25">
        <f>IF(ISNUMBER(VLOOKUP($D69,'Visu totale'!$D:$DH,BZ$1,0)),BY69-VLOOKUP($D69,'Visu totale'!$D:$DH,BZ$1,0),IF(LEFT(VLOOKUP($D69,'Visu totale'!$D:$DH,BZ$1,0),1)="V",IF(BY69&gt;=INDEX('[1]Définition Maintenances'!$G:$G,MATCH($A69,'[1]Définition Maintenances'!$K:$K,0)),BY69,INDEX('[1]Définition Maintenances'!$G:$G,MATCH($A69,'[1]Définition Maintenances'!$K:$K,0))+BY69),BY69))</f>
        <v>218</v>
      </c>
      <c r="CA69" s="26">
        <f>IF(ISNUMBER(VLOOKUP($D69,'Visu totale'!$D:$DH,CA$1,0)),BZ69-VLOOKUP($D69,'Visu totale'!$D:$DH,CA$1,0),IF(LEFT(VLOOKUP($D69,'Visu totale'!$D:$DH,CA$1,0),1)="V",IF(BZ69&gt;=INDEX('[1]Définition Maintenances'!$G:$G,MATCH($A69,'[1]Définition Maintenances'!$K:$K,0)),BZ69,INDEX('[1]Définition Maintenances'!$G:$G,MATCH($A69,'[1]Définition Maintenances'!$K:$K,0))+BZ69),BZ69))</f>
        <v>218</v>
      </c>
      <c r="CB69" s="26">
        <f>IF(ISNUMBER(VLOOKUP($D69,'Visu totale'!$D:$DH,CB$1,0)),CA69-VLOOKUP($D69,'Visu totale'!$D:$DH,CB$1,0),IF(LEFT(VLOOKUP($D69,'Visu totale'!$D:$DH,CB$1,0),1)="V",IF(CA69&gt;=INDEX('[1]Définition Maintenances'!$G:$G,MATCH($A69,'[1]Définition Maintenances'!$K:$K,0)),CA69,INDEX('[1]Définition Maintenances'!$G:$G,MATCH($A69,'[1]Définition Maintenances'!$K:$K,0))+CA69),CA69))</f>
        <v>218</v>
      </c>
      <c r="CC69" s="26">
        <f>IF(ISNUMBER(VLOOKUP($D69,'Visu totale'!$D:$DH,CC$1,0)),CB69-VLOOKUP($D69,'Visu totale'!$D:$DH,CC$1,0),IF(LEFT(VLOOKUP($D69,'Visu totale'!$D:$DH,CC$1,0),1)="V",IF(CB69&gt;=INDEX('[1]Définition Maintenances'!$G:$G,MATCH($A69,'[1]Définition Maintenances'!$K:$K,0)),CB69,INDEX('[1]Définition Maintenances'!$G:$G,MATCH($A69,'[1]Définition Maintenances'!$K:$K,0))+CB69),CB69))</f>
        <v>218</v>
      </c>
      <c r="CD69" s="26">
        <f>IF(ISNUMBER(VLOOKUP($D69,'Visu totale'!$D:$DH,CD$1,0)),CC69-VLOOKUP($D69,'Visu totale'!$D:$DH,CD$1,0),IF(LEFT(VLOOKUP($D69,'Visu totale'!$D:$DH,CD$1,0),1)="V",IF(CC69&gt;=INDEX('[1]Définition Maintenances'!$G:$G,MATCH($A69,'[1]Définition Maintenances'!$K:$K,0)),CC69,INDEX('[1]Définition Maintenances'!$G:$G,MATCH($A69,'[1]Définition Maintenances'!$K:$K,0))+CC69),CC69))</f>
        <v>218</v>
      </c>
      <c r="CE69" s="26">
        <f>IF(ISNUMBER(VLOOKUP($D69,'Visu totale'!$D:$DH,CE$1,0)),CD69-VLOOKUP($D69,'Visu totale'!$D:$DH,CE$1,0),IF(LEFT(VLOOKUP($D69,'Visu totale'!$D:$DH,CE$1,0),1)="V",IF(CD69&gt;=INDEX('[1]Définition Maintenances'!$G:$G,MATCH($A69,'[1]Définition Maintenances'!$K:$K,0)),CD69,INDEX('[1]Définition Maintenances'!$G:$G,MATCH($A69,'[1]Définition Maintenances'!$K:$K,0))+CD69),CD69))</f>
        <v>218</v>
      </c>
      <c r="CF69" s="26">
        <f>IF(ISNUMBER(VLOOKUP($D69,'Visu totale'!$D:$DH,CF$1,0)),CE69-VLOOKUP($D69,'Visu totale'!$D:$DH,CF$1,0),IF(LEFT(VLOOKUP($D69,'Visu totale'!$D:$DH,CF$1,0),1)="V",IF(CE69&gt;=INDEX('[1]Définition Maintenances'!$G:$G,MATCH($A69,'[1]Définition Maintenances'!$K:$K,0)),CE69,INDEX('[1]Définition Maintenances'!$G:$G,MATCH($A69,'[1]Définition Maintenances'!$K:$K,0))+CE69),CE69))</f>
        <v>218</v>
      </c>
      <c r="CG69" s="26">
        <f>IF(ISNUMBER(VLOOKUP($D69,'Visu totale'!$D:$DH,CG$1,0)),CF69-VLOOKUP($D69,'Visu totale'!$D:$DH,CG$1,0),IF(LEFT(VLOOKUP($D69,'Visu totale'!$D:$DH,CG$1,0),1)="V",IF(CF69&gt;=INDEX('[1]Définition Maintenances'!$G:$G,MATCH($A69,'[1]Définition Maintenances'!$K:$K,0)),CF69,INDEX('[1]Définition Maintenances'!$G:$G,MATCH($A69,'[1]Définition Maintenances'!$K:$K,0))+CF69),CF69))</f>
        <v>218</v>
      </c>
      <c r="CH69" s="26">
        <f>IF(ISNUMBER(VLOOKUP($D69,'Visu totale'!$D:$DH,CH$1,0)),CG69-VLOOKUP($D69,'Visu totale'!$D:$DH,CH$1,0),IF(LEFT(VLOOKUP($D69,'Visu totale'!$D:$DH,CH$1,0),1)="V",IF(CG69&gt;=INDEX('[1]Définition Maintenances'!$G:$G,MATCH($A69,'[1]Définition Maintenances'!$K:$K,0)),CG69,INDEX('[1]Définition Maintenances'!$G:$G,MATCH($A69,'[1]Définition Maintenances'!$K:$K,0))+CG69),CG69))</f>
        <v>218</v>
      </c>
      <c r="CI69" s="26">
        <f>IF(ISNUMBER(VLOOKUP($D69,'Visu totale'!$D:$DH,CI$1,0)),CH69-VLOOKUP($D69,'Visu totale'!$D:$DH,CI$1,0),IF(LEFT(VLOOKUP($D69,'Visu totale'!$D:$DH,CI$1,0),1)="V",IF(CH69&gt;=INDEX('[1]Définition Maintenances'!$G:$G,MATCH($A69,'[1]Définition Maintenances'!$K:$K,0)),CH69,INDEX('[1]Définition Maintenances'!$G:$G,MATCH($A69,'[1]Définition Maintenances'!$K:$K,0))+CH69),CH69))</f>
        <v>218</v>
      </c>
      <c r="CJ69" s="26">
        <f>IF(ISNUMBER(VLOOKUP($D69,'Visu totale'!$D:$DH,CJ$1,0)),CI69-VLOOKUP($D69,'Visu totale'!$D:$DH,CJ$1,0),IF(LEFT(VLOOKUP($D69,'Visu totale'!$D:$DH,CJ$1,0),1)="V",IF(CI69&gt;=INDEX('[1]Définition Maintenances'!$G:$G,MATCH($A69,'[1]Définition Maintenances'!$K:$K,0)),CI69,INDEX('[1]Définition Maintenances'!$G:$G,MATCH($A69,'[1]Définition Maintenances'!$K:$K,0))+CI69),CI69))</f>
        <v>218</v>
      </c>
      <c r="CK69" s="27">
        <f>IF(ISNUMBER(VLOOKUP($D69,'Visu totale'!$D:$DH,CK$1,0)),CJ69-VLOOKUP($D69,'Visu totale'!$D:$DH,CK$1,0),IF(LEFT(VLOOKUP($D69,'Visu totale'!$D:$DH,CK$1,0),1)="V",IF(CJ69&gt;=INDEX('[1]Définition Maintenances'!$G:$G,MATCH($A69,'[1]Définition Maintenances'!$K:$K,0)),CJ69,INDEX('[1]Définition Maintenances'!$G:$G,MATCH($A69,'[1]Définition Maintenances'!$K:$K,0))+CJ69),CJ69))</f>
        <v>218</v>
      </c>
      <c r="CL69" s="25">
        <f>IF(ISNUMBER(VLOOKUP($D69,'Visu totale'!$D:$DH,CL$1,0)),CK69-VLOOKUP($D69,'Visu totale'!$D:$DH,CL$1,0),IF(LEFT(VLOOKUP($D69,'Visu totale'!$D:$DH,CL$1,0),1)="V",IF(CK69&gt;=INDEX('[1]Définition Maintenances'!$G:$G,MATCH($A69,'[1]Définition Maintenances'!$K:$K,0)),CK69,INDEX('[1]Définition Maintenances'!$G:$G,MATCH($A69,'[1]Définition Maintenances'!$K:$K,0))+CK69),CK69))</f>
        <v>218</v>
      </c>
      <c r="CM69" s="26">
        <f>IF(ISNUMBER(VLOOKUP($D69,'Visu totale'!$D:$DH,CM$1,0)),CL69-VLOOKUP($D69,'Visu totale'!$D:$DH,CM$1,0),IF(LEFT(VLOOKUP($D69,'Visu totale'!$D:$DH,CM$1,0),1)="V",IF(CL69&gt;=INDEX('[1]Définition Maintenances'!$G:$G,MATCH($A69,'[1]Définition Maintenances'!$K:$K,0)),CL69,INDEX('[1]Définition Maintenances'!$G:$G,MATCH($A69,'[1]Définition Maintenances'!$K:$K,0))+CL69),CL69))</f>
        <v>218</v>
      </c>
      <c r="CN69" s="26">
        <f>IF(ISNUMBER(VLOOKUP($D69,'Visu totale'!$D:$DH,CN$1,0)),CM69-VLOOKUP($D69,'Visu totale'!$D:$DH,CN$1,0),IF(LEFT(VLOOKUP($D69,'Visu totale'!$D:$DH,CN$1,0),1)="V",IF(CM69&gt;=INDEX('[1]Définition Maintenances'!$G:$G,MATCH($A69,'[1]Définition Maintenances'!$K:$K,0)),CM69,INDEX('[1]Définition Maintenances'!$G:$G,MATCH($A69,'[1]Définition Maintenances'!$K:$K,0))+CM69),CM69))</f>
        <v>218</v>
      </c>
      <c r="CO69" s="26">
        <f>IF(ISNUMBER(VLOOKUP($D69,'Visu totale'!$D:$DH,CO$1,0)),CN69-VLOOKUP($D69,'Visu totale'!$D:$DH,CO$1,0),IF(LEFT(VLOOKUP($D69,'Visu totale'!$D:$DH,CO$1,0),1)="V",IF(CN69&gt;=INDEX('[1]Définition Maintenances'!$G:$G,MATCH($A69,'[1]Définition Maintenances'!$K:$K,0)),CN69,INDEX('[1]Définition Maintenances'!$G:$G,MATCH($A69,'[1]Définition Maintenances'!$K:$K,0))+CN69),CN69))</f>
        <v>218</v>
      </c>
      <c r="CP69" s="26">
        <f>IF(ISNUMBER(VLOOKUP($D69,'Visu totale'!$D:$DH,CP$1,0)),CO69-VLOOKUP($D69,'Visu totale'!$D:$DH,CP$1,0),IF(LEFT(VLOOKUP($D69,'Visu totale'!$D:$DH,CP$1,0),1)="V",IF(CO69&gt;=INDEX('[1]Définition Maintenances'!$G:$G,MATCH($A69,'[1]Définition Maintenances'!$K:$K,0)),CO69,INDEX('[1]Définition Maintenances'!$G:$G,MATCH($A69,'[1]Définition Maintenances'!$K:$K,0))+CO69),CO69))</f>
        <v>218</v>
      </c>
      <c r="CQ69" s="26">
        <f>IF(ISNUMBER(VLOOKUP($D69,'Visu totale'!$D:$DH,CQ$1,0)),CP69-VLOOKUP($D69,'Visu totale'!$D:$DH,CQ$1,0),IF(LEFT(VLOOKUP($D69,'Visu totale'!$D:$DH,CQ$1,0),1)="V",IF(CP69&gt;=INDEX('[1]Définition Maintenances'!$G:$G,MATCH($A69,'[1]Définition Maintenances'!$K:$K,0)),CP69,INDEX('[1]Définition Maintenances'!$G:$G,MATCH($A69,'[1]Définition Maintenances'!$K:$K,0))+CP69),CP69))</f>
        <v>218</v>
      </c>
      <c r="CR69" s="26">
        <f>IF(ISNUMBER(VLOOKUP($D69,'Visu totale'!$D:$DH,CR$1,0)),CQ69-VLOOKUP($D69,'Visu totale'!$D:$DH,CR$1,0),IF(LEFT(VLOOKUP($D69,'Visu totale'!$D:$DH,CR$1,0),1)="V",IF(CQ69&gt;=INDEX('[1]Définition Maintenances'!$G:$G,MATCH($A69,'[1]Définition Maintenances'!$K:$K,0)),CQ69,INDEX('[1]Définition Maintenances'!$G:$G,MATCH($A69,'[1]Définition Maintenances'!$K:$K,0))+CQ69),CQ69))</f>
        <v>218</v>
      </c>
      <c r="CS69" s="26">
        <f>IF(ISNUMBER(VLOOKUP($D69,'Visu totale'!$D:$DH,CS$1,0)),CR69-VLOOKUP($D69,'Visu totale'!$D:$DH,CS$1,0),IF(LEFT(VLOOKUP($D69,'Visu totale'!$D:$DH,CS$1,0),1)="V",IF(CR69&gt;=INDEX('[1]Définition Maintenances'!$G:$G,MATCH($A69,'[1]Définition Maintenances'!$K:$K,0)),CR69,INDEX('[1]Définition Maintenances'!$G:$G,MATCH($A69,'[1]Définition Maintenances'!$K:$K,0))+CR69),CR69))</f>
        <v>218</v>
      </c>
      <c r="CT69" s="26">
        <f>IF(ISNUMBER(VLOOKUP($D69,'Visu totale'!$D:$DH,CT$1,0)),CS69-VLOOKUP($D69,'Visu totale'!$D:$DH,CT$1,0),IF(LEFT(VLOOKUP($D69,'Visu totale'!$D:$DH,CT$1,0),1)="V",IF(CS69&gt;=INDEX('[1]Définition Maintenances'!$G:$G,MATCH($A69,'[1]Définition Maintenances'!$K:$K,0)),CS69,INDEX('[1]Définition Maintenances'!$G:$G,MATCH($A69,'[1]Définition Maintenances'!$K:$K,0))+CS69),CS69))</f>
        <v>218</v>
      </c>
      <c r="CU69" s="26">
        <f>IF(ISNUMBER(VLOOKUP($D69,'Visu totale'!$D:$DH,CU$1,0)),CT69-VLOOKUP($D69,'Visu totale'!$D:$DH,CU$1,0),IF(LEFT(VLOOKUP($D69,'Visu totale'!$D:$DH,CU$1,0),1)="V",IF(CT69&gt;=INDEX('[1]Définition Maintenances'!$G:$G,MATCH($A69,'[1]Définition Maintenances'!$K:$K,0)),CT69,INDEX('[1]Définition Maintenances'!$G:$G,MATCH($A69,'[1]Définition Maintenances'!$K:$K,0))+CT69),CT69))</f>
        <v>218</v>
      </c>
      <c r="CV69" s="26">
        <f>IF(ISNUMBER(VLOOKUP($D69,'Visu totale'!$D:$DH,CV$1,0)),CU69-VLOOKUP($D69,'Visu totale'!$D:$DH,CV$1,0),IF(LEFT(VLOOKUP($D69,'Visu totale'!$D:$DH,CV$1,0),1)="V",IF(CU69&gt;=INDEX('[1]Définition Maintenances'!$G:$G,MATCH($A69,'[1]Définition Maintenances'!$K:$K,0)),CU69,INDEX('[1]Définition Maintenances'!$G:$G,MATCH($A69,'[1]Définition Maintenances'!$K:$K,0))+CU69),CU69))</f>
        <v>218</v>
      </c>
      <c r="CW69" s="27">
        <f>IF(ISNUMBER(VLOOKUP($D69,'Visu totale'!$D:$DH,CW$1,0)),CV69-VLOOKUP($D69,'Visu totale'!$D:$DH,CW$1,0),IF(LEFT(VLOOKUP($D69,'Visu totale'!$D:$DH,CW$1,0),1)="V",IF(CV69&gt;=INDEX('[1]Définition Maintenances'!$G:$G,MATCH($A69,'[1]Définition Maintenances'!$K:$K,0)),CV69,INDEX('[1]Définition Maintenances'!$G:$G,MATCH($A69,'[1]Définition Maintenances'!$K:$K,0))+CV69),CV69))</f>
        <v>218</v>
      </c>
      <c r="CX69" s="25">
        <f>IF(ISNUMBER(VLOOKUP($D69,'Visu totale'!$D:$DH,CX$1,0)),CW69-VLOOKUP($D69,'Visu totale'!$D:$DH,CX$1,0),IF(LEFT(VLOOKUP($D69,'Visu totale'!$D:$DH,CX$1,0),1)="V",IF(CW69&gt;=INDEX('[1]Définition Maintenances'!$G:$G,MATCH($A69,'[1]Définition Maintenances'!$K:$K,0)),CW69,INDEX('[1]Définition Maintenances'!$G:$G,MATCH($A69,'[1]Définition Maintenances'!$K:$K,0))+CW69),CW69))</f>
        <v>218</v>
      </c>
      <c r="CY69" s="26">
        <f>IF(ISNUMBER(VLOOKUP($D69,'Visu totale'!$D:$DH,CY$1,0)),CX69-VLOOKUP($D69,'Visu totale'!$D:$DH,CY$1,0),IF(LEFT(VLOOKUP($D69,'Visu totale'!$D:$DH,CY$1,0),1)="V",IF(CX69&gt;=INDEX('[1]Définition Maintenances'!$G:$G,MATCH($A69,'[1]Définition Maintenances'!$K:$K,0)),CX69,INDEX('[1]Définition Maintenances'!$G:$G,MATCH($A69,'[1]Définition Maintenances'!$K:$K,0))+CX69),CX69))</f>
        <v>218</v>
      </c>
      <c r="CZ69" s="26">
        <f>IF(ISNUMBER(VLOOKUP($D69,'Visu totale'!$D:$DH,CZ$1,0)),CY69-VLOOKUP($D69,'Visu totale'!$D:$DH,CZ$1,0),IF(LEFT(VLOOKUP($D69,'Visu totale'!$D:$DH,CZ$1,0),1)="V",IF(CY69&gt;=INDEX('[1]Définition Maintenances'!$G:$G,MATCH($A69,'[1]Définition Maintenances'!$K:$K,0)),CY69,INDEX('[1]Définition Maintenances'!$G:$G,MATCH($A69,'[1]Définition Maintenances'!$K:$K,0))+CY69),CY69))</f>
        <v>218</v>
      </c>
      <c r="DA69" s="26">
        <f>IF(ISNUMBER(VLOOKUP($D69,'Visu totale'!$D:$DH,DA$1,0)),CZ69-VLOOKUP($D69,'Visu totale'!$D:$DH,DA$1,0),IF(LEFT(VLOOKUP($D69,'Visu totale'!$D:$DH,DA$1,0),1)="V",IF(CZ69&gt;=INDEX('[1]Définition Maintenances'!$G:$G,MATCH($A69,'[1]Définition Maintenances'!$K:$K,0)),CZ69,INDEX('[1]Définition Maintenances'!$G:$G,MATCH($A69,'[1]Définition Maintenances'!$K:$K,0))+CZ69),CZ69))</f>
        <v>218</v>
      </c>
      <c r="DB69" s="26">
        <f>IF(ISNUMBER(VLOOKUP($D69,'Visu totale'!$D:$DH,DB$1,0)),DA69-VLOOKUP($D69,'Visu totale'!$D:$DH,DB$1,0),IF(LEFT(VLOOKUP($D69,'Visu totale'!$D:$DH,DB$1,0),1)="V",IF(DA69&gt;=INDEX('[1]Définition Maintenances'!$G:$G,MATCH($A69,'[1]Définition Maintenances'!$K:$K,0)),DA69,INDEX('[1]Définition Maintenances'!$G:$G,MATCH($A69,'[1]Définition Maintenances'!$K:$K,0))+DA69),DA69))</f>
        <v>218</v>
      </c>
      <c r="DC69" s="26">
        <f>IF(ISNUMBER(VLOOKUP($D69,'Visu totale'!$D:$DH,DC$1,0)),DB69-VLOOKUP($D69,'Visu totale'!$D:$DH,DC$1,0),IF(LEFT(VLOOKUP($D69,'Visu totale'!$D:$DH,DC$1,0),1)="V",IF(DB69&gt;=INDEX('[1]Définition Maintenances'!$G:$G,MATCH($A69,'[1]Définition Maintenances'!$K:$K,0)),DB69,INDEX('[1]Définition Maintenances'!$G:$G,MATCH($A69,'[1]Définition Maintenances'!$K:$K,0))+DB69),DB69))</f>
        <v>218</v>
      </c>
      <c r="DD69" s="26">
        <f>IF(ISNUMBER(VLOOKUP($D69,'Visu totale'!$D:$DH,DD$1,0)),DC69-VLOOKUP($D69,'Visu totale'!$D:$DH,DD$1,0),IF(LEFT(VLOOKUP($D69,'Visu totale'!$D:$DH,DD$1,0),1)="V",IF(DC69&gt;=INDEX('[1]Définition Maintenances'!$G:$G,MATCH($A69,'[1]Définition Maintenances'!$K:$K,0)),DC69,INDEX('[1]Définition Maintenances'!$G:$G,MATCH($A69,'[1]Définition Maintenances'!$K:$K,0))+DC69),DC69))</f>
        <v>218</v>
      </c>
      <c r="DE69" s="26">
        <f>IF(ISNUMBER(VLOOKUP($D69,'Visu totale'!$D:$DH,DE$1,0)),DD69-VLOOKUP($D69,'Visu totale'!$D:$DH,DE$1,0),IF(LEFT(VLOOKUP($D69,'Visu totale'!$D:$DH,DE$1,0),1)="V",IF(DD69&gt;=INDEX('[1]Définition Maintenances'!$G:$G,MATCH($A69,'[1]Définition Maintenances'!$K:$K,0)),DD69,INDEX('[1]Définition Maintenances'!$G:$G,MATCH($A69,'[1]Définition Maintenances'!$K:$K,0))+DD69),DD69))</f>
        <v>218</v>
      </c>
      <c r="DF69" s="26">
        <f>IF(ISNUMBER(VLOOKUP($D69,'Visu totale'!$D:$DH,DF$1,0)),DE69-VLOOKUP($D69,'Visu totale'!$D:$DH,DF$1,0),IF(LEFT(VLOOKUP($D69,'Visu totale'!$D:$DH,DF$1,0),1)="V",IF(DE69&gt;=INDEX('[1]Définition Maintenances'!$G:$G,MATCH($A69,'[1]Définition Maintenances'!$K:$K,0)),DE69,INDEX('[1]Définition Maintenances'!$G:$G,MATCH($A69,'[1]Définition Maintenances'!$K:$K,0))+DE69),DE69))</f>
        <v>218</v>
      </c>
      <c r="DG69" s="26">
        <f>IF(ISNUMBER(VLOOKUP($D69,'Visu totale'!$D:$DH,DG$1,0)),DF69-VLOOKUP($D69,'Visu totale'!$D:$DH,DG$1,0),IF(LEFT(VLOOKUP($D69,'Visu totale'!$D:$DH,DG$1,0),1)="V",IF(DF69&gt;=INDEX('[1]Définition Maintenances'!$G:$G,MATCH($A69,'[1]Définition Maintenances'!$K:$K,0)),DF69,INDEX('[1]Définition Maintenances'!$G:$G,MATCH($A69,'[1]Définition Maintenances'!$K:$K,0))+DF69),DF69))</f>
        <v>218</v>
      </c>
      <c r="DH69" s="26">
        <f>IF(ISNUMBER(VLOOKUP($D69,'Visu totale'!$D:$DH,DH$1,0)),DG69-VLOOKUP($D69,'Visu totale'!$D:$DH,DH$1,0),IF(LEFT(VLOOKUP($D69,'Visu totale'!$D:$DH,DH$1,0),1)="V",IF(DG69&gt;=INDEX('[1]Définition Maintenances'!$G:$G,MATCH($A69,'[1]Définition Maintenances'!$K:$K,0)),DG69,INDEX('[1]Définition Maintenances'!$G:$G,MATCH($A69,'[1]Définition Maintenances'!$K:$K,0))+DG69),DG69))</f>
        <v>218</v>
      </c>
      <c r="DI69" s="27">
        <f>IF(ISNUMBER(VLOOKUP($D69,'Visu totale'!$D:$DH,DI$1,0)),DH69-VLOOKUP($D69,'Visu totale'!$D:$DH,DI$1,0),IF(LEFT(VLOOKUP($D69,'Visu totale'!$D:$DH,DI$1,0),1)="V",IF(DH69&gt;=INDEX('[1]Définition Maintenances'!$G:$G,MATCH($A69,'[1]Définition Maintenances'!$K:$K,0)),DH69,INDEX('[1]Définition Maintenances'!$G:$G,MATCH($A69,'[1]Définition Maintenances'!$K:$K,0))+DH69),DH69))</f>
        <v>218</v>
      </c>
    </row>
    <row r="70" spans="1:113" x14ac:dyDescent="0.25">
      <c r="A70" s="13" t="str">
        <f t="shared" si="2"/>
        <v>V15D</v>
      </c>
      <c r="B70" s="13" t="str">
        <f>VLOOKUP(D70,'[1]Avions (Potentiels)'!$B$2:$H$128,7,FALSE)</f>
        <v>V15</v>
      </c>
      <c r="C70" s="13"/>
      <c r="D70" s="16" t="s">
        <v>73</v>
      </c>
      <c r="E70" s="13">
        <f>IFERROR(VALUE(SUBSTITUTE(VLOOKUP(D70,'[1]Avions (Potentiels)'!$B:$E,4,0),".",",")),VALUE(VLOOKUP(D70,'[1]Avions (Potentiels)'!$B:$E,4,0)))</f>
        <v>883</v>
      </c>
      <c r="F70" s="25">
        <f>IF(ISNUMBER(VLOOKUP($D70,'Visu totale'!$D:$DH,F$1,0)),E70-VLOOKUP($D70,'Visu totale'!$D:$DH,F$1,0),IF(LEFT(VLOOKUP($D70,'Visu totale'!$D:$DH,F$1,0),1)="V",IF(E70&gt;=INDEX('[1]Définition Maintenances'!$G:$G,MATCH($A70,'[1]Définition Maintenances'!$K:$K,0)),E70,INDEX('[1]Définition Maintenances'!$G:$G,MATCH($A70,'[1]Définition Maintenances'!$K:$K,0))+E70),E70))</f>
        <v>883</v>
      </c>
      <c r="G70" s="26">
        <f>IF(ISNUMBER(VLOOKUP($D70,'Visu totale'!$D:$DH,G$1,0)),F70-VLOOKUP($D70,'Visu totale'!$D:$DH,G$1,0),IF(LEFT(VLOOKUP($D70,'Visu totale'!$D:$DH,G$1,0),1)="V",IF(F70&gt;=INDEX('[1]Définition Maintenances'!$G:$G,MATCH($A70,'[1]Définition Maintenances'!$K:$K,0)),F70,INDEX('[1]Définition Maintenances'!$G:$G,MATCH($A70,'[1]Définition Maintenances'!$K:$K,0))+F70),F70))</f>
        <v>883</v>
      </c>
      <c r="H70" s="26">
        <f>IF(ISNUMBER(VLOOKUP($D70,'Visu totale'!$D:$DH,H$1,0)),G70-VLOOKUP($D70,'Visu totale'!$D:$DH,H$1,0),IF(LEFT(VLOOKUP($D70,'Visu totale'!$D:$DH,H$1,0),1)="V",IF(G70&gt;=INDEX('[1]Définition Maintenances'!$G:$G,MATCH($A70,'[1]Définition Maintenances'!$K:$K,0)),G70,INDEX('[1]Définition Maintenances'!$G:$G,MATCH($A70,'[1]Définition Maintenances'!$K:$K,0))+G70),G70))</f>
        <v>883</v>
      </c>
      <c r="I70" s="26">
        <f>IF(ISNUMBER(VLOOKUP($D70,'Visu totale'!$D:$DH,I$1,0)),H70-VLOOKUP($D70,'Visu totale'!$D:$DH,I$1,0),IF(LEFT(VLOOKUP($D70,'Visu totale'!$D:$DH,I$1,0),1)="V",IF(H70&gt;=INDEX('[1]Définition Maintenances'!$G:$G,MATCH($A70,'[1]Définition Maintenances'!$K:$K,0)),H70,INDEX('[1]Définition Maintenances'!$G:$G,MATCH($A70,'[1]Définition Maintenances'!$K:$K,0))+H70),H70))</f>
        <v>883</v>
      </c>
      <c r="J70" s="26">
        <f>IF(ISNUMBER(VLOOKUP($D70,'Visu totale'!$D:$DH,J$1,0)),I70-VLOOKUP($D70,'Visu totale'!$D:$DH,J$1,0),IF(LEFT(VLOOKUP($D70,'Visu totale'!$D:$DH,J$1,0),1)="V",IF(I70&gt;=INDEX('[1]Définition Maintenances'!$G:$G,MATCH($A70,'[1]Définition Maintenances'!$K:$K,0)),I70,INDEX('[1]Définition Maintenances'!$G:$G,MATCH($A70,'[1]Définition Maintenances'!$K:$K,0))+I70),I70))</f>
        <v>883</v>
      </c>
      <c r="K70" s="26">
        <f>IF(ISNUMBER(VLOOKUP($D70,'Visu totale'!$D:$DH,K$1,0)),J70-VLOOKUP($D70,'Visu totale'!$D:$DH,K$1,0),IF(LEFT(VLOOKUP($D70,'Visu totale'!$D:$DH,K$1,0),1)="V",IF(J70&gt;=INDEX('[1]Définition Maintenances'!$G:$G,MATCH($A70,'[1]Définition Maintenances'!$K:$K,0)),J70,INDEX('[1]Définition Maintenances'!$G:$G,MATCH($A70,'[1]Définition Maintenances'!$K:$K,0))+J70),J70))</f>
        <v>883</v>
      </c>
      <c r="L70" s="26">
        <f>IF(ISNUMBER(VLOOKUP($D70,'Visu totale'!$D:$DH,L$1,0)),K70-VLOOKUP($D70,'Visu totale'!$D:$DH,L$1,0),IF(LEFT(VLOOKUP($D70,'Visu totale'!$D:$DH,L$1,0),1)="V",IF(K70&gt;=INDEX('[1]Définition Maintenances'!$G:$G,MATCH($A70,'[1]Définition Maintenances'!$K:$K,0)),K70,INDEX('[1]Définition Maintenances'!$G:$G,MATCH($A70,'[1]Définition Maintenances'!$K:$K,0))+K70),K70))</f>
        <v>883</v>
      </c>
      <c r="M70" s="26">
        <f>IF(ISNUMBER(VLOOKUP($D70,'Visu totale'!$D:$DH,M$1,0)),L70-VLOOKUP($D70,'Visu totale'!$D:$DH,M$1,0),IF(LEFT(VLOOKUP($D70,'Visu totale'!$D:$DH,M$1,0),1)="V",IF(L70&gt;=INDEX('[1]Définition Maintenances'!$G:$G,MATCH($A70,'[1]Définition Maintenances'!$K:$K,0)),L70,INDEX('[1]Définition Maintenances'!$G:$G,MATCH($A70,'[1]Définition Maintenances'!$K:$K,0))+L70),L70))</f>
        <v>883</v>
      </c>
      <c r="N70" s="26">
        <f>IF(ISNUMBER(VLOOKUP($D70,'Visu totale'!$D:$DH,N$1,0)),M70-VLOOKUP($D70,'Visu totale'!$D:$DH,N$1,0),IF(LEFT(VLOOKUP($D70,'Visu totale'!$D:$DH,N$1,0),1)="V",IF(M70&gt;=INDEX('[1]Définition Maintenances'!$G:$G,MATCH($A70,'[1]Définition Maintenances'!$K:$K,0)),M70,INDEX('[1]Définition Maintenances'!$G:$G,MATCH($A70,'[1]Définition Maintenances'!$K:$K,0))+M70),M70))</f>
        <v>883</v>
      </c>
      <c r="O70" s="26">
        <f>IF(ISNUMBER(VLOOKUP($D70,'Visu totale'!$D:$DH,O$1,0)),N70-VLOOKUP($D70,'Visu totale'!$D:$DH,O$1,0),IF(LEFT(VLOOKUP($D70,'Visu totale'!$D:$DH,O$1,0),1)="V",IF(N70&gt;=INDEX('[1]Définition Maintenances'!$G:$G,MATCH($A70,'[1]Définition Maintenances'!$K:$K,0)),N70,INDEX('[1]Définition Maintenances'!$G:$G,MATCH($A70,'[1]Définition Maintenances'!$K:$K,0))+N70),N70))</f>
        <v>883</v>
      </c>
      <c r="P70" s="26">
        <f>IF(ISNUMBER(VLOOKUP($D70,'Visu totale'!$D:$DH,P$1,0)),O70-VLOOKUP($D70,'Visu totale'!$D:$DH,P$1,0),IF(LEFT(VLOOKUP($D70,'Visu totale'!$D:$DH,P$1,0),1)="V",IF(O70&gt;=INDEX('[1]Définition Maintenances'!$G:$G,MATCH($A70,'[1]Définition Maintenances'!$K:$K,0)),O70,INDEX('[1]Définition Maintenances'!$G:$G,MATCH($A70,'[1]Définition Maintenances'!$K:$K,0))+O70),O70))</f>
        <v>883</v>
      </c>
      <c r="Q70" s="27">
        <f>IF(ISNUMBER(VLOOKUP($D70,'Visu totale'!$D:$DH,Q$1,0)),P70-VLOOKUP($D70,'Visu totale'!$D:$DH,Q$1,0),IF(LEFT(VLOOKUP($D70,'Visu totale'!$D:$DH,Q$1,0),1)="V",IF(P70&gt;=INDEX('[1]Définition Maintenances'!$G:$G,MATCH($A70,'[1]Définition Maintenances'!$K:$K,0)),P70,INDEX('[1]Définition Maintenances'!$G:$G,MATCH($A70,'[1]Définition Maintenances'!$K:$K,0))+P70),P70))</f>
        <v>883</v>
      </c>
      <c r="R70" s="25">
        <f>IF(ISNUMBER(VLOOKUP($D70,'Visu totale'!$D:$DH,R$1,0)),Q70-VLOOKUP($D70,'Visu totale'!$D:$DH,R$1,0),IF(LEFT(VLOOKUP($D70,'Visu totale'!$D:$DH,R$1,0),1)="V",IF(Q70&gt;=INDEX('[1]Définition Maintenances'!$G:$G,MATCH($A70,'[1]Définition Maintenances'!$K:$K,0)),Q70,INDEX('[1]Définition Maintenances'!$G:$G,MATCH($A70,'[1]Définition Maintenances'!$K:$K,0))+Q70),Q70))</f>
        <v>883</v>
      </c>
      <c r="S70" s="26">
        <f>IF(ISNUMBER(VLOOKUP($D70,'Visu totale'!$D:$DH,S$1,0)),R70-VLOOKUP($D70,'Visu totale'!$D:$DH,S$1,0),IF(LEFT(VLOOKUP($D70,'Visu totale'!$D:$DH,S$1,0),1)="V",IF(R70&gt;=INDEX('[1]Définition Maintenances'!$G:$G,MATCH($A70,'[1]Définition Maintenances'!$K:$K,0)),R70,INDEX('[1]Définition Maintenances'!$G:$G,MATCH($A70,'[1]Définition Maintenances'!$K:$K,0))+R70),R70))</f>
        <v>883</v>
      </c>
      <c r="T70" s="26">
        <f>IF(ISNUMBER(VLOOKUP($D70,'Visu totale'!$D:$DH,T$1,0)),S70-VLOOKUP($D70,'Visu totale'!$D:$DH,T$1,0),IF(LEFT(VLOOKUP($D70,'Visu totale'!$D:$DH,T$1,0),1)="V",IF(S70&gt;=INDEX('[1]Définition Maintenances'!$G:$G,MATCH($A70,'[1]Définition Maintenances'!$K:$K,0)),S70,INDEX('[1]Définition Maintenances'!$G:$G,MATCH($A70,'[1]Définition Maintenances'!$K:$K,0))+S70),S70))</f>
        <v>883</v>
      </c>
      <c r="U70" s="26">
        <f>IF(ISNUMBER(VLOOKUP($D70,'Visu totale'!$D:$DH,U$1,0)),T70-VLOOKUP($D70,'Visu totale'!$D:$DH,U$1,0),IF(LEFT(VLOOKUP($D70,'Visu totale'!$D:$DH,U$1,0),1)="V",IF(T70&gt;=INDEX('[1]Définition Maintenances'!$G:$G,MATCH($A70,'[1]Définition Maintenances'!$K:$K,0)),T70,INDEX('[1]Définition Maintenances'!$G:$G,MATCH($A70,'[1]Définition Maintenances'!$K:$K,0))+T70),T70))</f>
        <v>883</v>
      </c>
      <c r="V70" s="26">
        <f>IF(ISNUMBER(VLOOKUP($D70,'Visu totale'!$D:$DH,V$1,0)),U70-VLOOKUP($D70,'Visu totale'!$D:$DH,V$1,0),IF(LEFT(VLOOKUP($D70,'Visu totale'!$D:$DH,V$1,0),1)="V",IF(U70&gt;=INDEX('[1]Définition Maintenances'!$G:$G,MATCH($A70,'[1]Définition Maintenances'!$K:$K,0)),U70,INDEX('[1]Définition Maintenances'!$G:$G,MATCH($A70,'[1]Définition Maintenances'!$K:$K,0))+U70),U70))</f>
        <v>883</v>
      </c>
      <c r="W70" s="26">
        <f>IF(ISNUMBER(VLOOKUP($D70,'Visu totale'!$D:$DH,W$1,0)),V70-VLOOKUP($D70,'Visu totale'!$D:$DH,W$1,0),IF(LEFT(VLOOKUP($D70,'Visu totale'!$D:$DH,W$1,0),1)="V",IF(V70&gt;=INDEX('[1]Définition Maintenances'!$G:$G,MATCH($A70,'[1]Définition Maintenances'!$K:$K,0)),V70,INDEX('[1]Définition Maintenances'!$G:$G,MATCH($A70,'[1]Définition Maintenances'!$K:$K,0))+V70),V70))</f>
        <v>883</v>
      </c>
      <c r="X70" s="26">
        <f>IF(ISNUMBER(VLOOKUP($D70,'Visu totale'!$D:$DH,X$1,0)),W70-VLOOKUP($D70,'Visu totale'!$D:$DH,X$1,0),IF(LEFT(VLOOKUP($D70,'Visu totale'!$D:$DH,X$1,0),1)="V",IF(W70&gt;=INDEX('[1]Définition Maintenances'!$G:$G,MATCH($A70,'[1]Définition Maintenances'!$K:$K,0)),W70,INDEX('[1]Définition Maintenances'!$G:$G,MATCH($A70,'[1]Définition Maintenances'!$K:$K,0))+W70),W70))</f>
        <v>883</v>
      </c>
      <c r="Y70" s="26">
        <f>IF(ISNUMBER(VLOOKUP($D70,'Visu totale'!$D:$DH,Y$1,0)),X70-VLOOKUP($D70,'Visu totale'!$D:$DH,Y$1,0),IF(LEFT(VLOOKUP($D70,'Visu totale'!$D:$DH,Y$1,0),1)="V",IF(X70&gt;=INDEX('[1]Définition Maintenances'!$G:$G,MATCH($A70,'[1]Définition Maintenances'!$K:$K,0)),X70,INDEX('[1]Définition Maintenances'!$G:$G,MATCH($A70,'[1]Définition Maintenances'!$K:$K,0))+X70),X70))</f>
        <v>883</v>
      </c>
      <c r="Z70" s="26">
        <f>IF(ISNUMBER(VLOOKUP($D70,'Visu totale'!$D:$DH,Z$1,0)),Y70-VLOOKUP($D70,'Visu totale'!$D:$DH,Z$1,0),IF(LEFT(VLOOKUP($D70,'Visu totale'!$D:$DH,Z$1,0),1)="V",IF(Y70&gt;=INDEX('[1]Définition Maintenances'!$G:$G,MATCH($A70,'[1]Définition Maintenances'!$K:$K,0)),Y70,INDEX('[1]Définition Maintenances'!$G:$G,MATCH($A70,'[1]Définition Maintenances'!$K:$K,0))+Y70),Y70))</f>
        <v>883</v>
      </c>
      <c r="AA70" s="26">
        <f>IF(ISNUMBER(VLOOKUP($D70,'Visu totale'!$D:$DH,AA$1,0)),Z70-VLOOKUP($D70,'Visu totale'!$D:$DH,AA$1,0),IF(LEFT(VLOOKUP($D70,'Visu totale'!$D:$DH,AA$1,0),1)="V",IF(Z70&gt;=INDEX('[1]Définition Maintenances'!$G:$G,MATCH($A70,'[1]Définition Maintenances'!$K:$K,0)),Z70,INDEX('[1]Définition Maintenances'!$G:$G,MATCH($A70,'[1]Définition Maintenances'!$K:$K,0))+Z70),Z70))</f>
        <v>883</v>
      </c>
      <c r="AB70" s="26">
        <f>IF(ISNUMBER(VLOOKUP($D70,'Visu totale'!$D:$DH,AB$1,0)),AA70-VLOOKUP($D70,'Visu totale'!$D:$DH,AB$1,0),IF(LEFT(VLOOKUP($D70,'Visu totale'!$D:$DH,AB$1,0),1)="V",IF(AA70&gt;=INDEX('[1]Définition Maintenances'!$G:$G,MATCH($A70,'[1]Définition Maintenances'!$K:$K,0)),AA70,INDEX('[1]Définition Maintenances'!$G:$G,MATCH($A70,'[1]Définition Maintenances'!$K:$K,0))+AA70),AA70))</f>
        <v>883</v>
      </c>
      <c r="AC70" s="27">
        <f>IF(ISNUMBER(VLOOKUP($D70,'Visu totale'!$D:$DH,AC$1,0)),AB70-VLOOKUP($D70,'Visu totale'!$D:$DH,AC$1,0),IF(LEFT(VLOOKUP($D70,'Visu totale'!$D:$DH,AC$1,0),1)="V",IF(AB70&gt;=INDEX('[1]Définition Maintenances'!$G:$G,MATCH($A70,'[1]Définition Maintenances'!$K:$K,0)),AB70,INDEX('[1]Définition Maintenances'!$G:$G,MATCH($A70,'[1]Définition Maintenances'!$K:$K,0))+AB70),AB70))</f>
        <v>883</v>
      </c>
      <c r="AD70" s="25">
        <f>IF(ISNUMBER(VLOOKUP($D70,'Visu totale'!$D:$DH,AD$1,0)),AC70-VLOOKUP($D70,'Visu totale'!$D:$DH,AD$1,0),IF(LEFT(VLOOKUP($D70,'Visu totale'!$D:$DH,AD$1,0),1)="V",IF(AC70&gt;=INDEX('[1]Définition Maintenances'!$G:$G,MATCH($A70,'[1]Définition Maintenances'!$K:$K,0)),AC70,INDEX('[1]Définition Maintenances'!$G:$G,MATCH($A70,'[1]Définition Maintenances'!$K:$K,0))+AC70),AC70))</f>
        <v>883</v>
      </c>
      <c r="AE70" s="26">
        <f>IF(ISNUMBER(VLOOKUP($D70,'Visu totale'!$D:$DH,AE$1,0)),AD70-VLOOKUP($D70,'Visu totale'!$D:$DH,AE$1,0),IF(LEFT(VLOOKUP($D70,'Visu totale'!$D:$DH,AE$1,0),1)="V",IF(AD70&gt;=INDEX('[1]Définition Maintenances'!$G:$G,MATCH($A70,'[1]Définition Maintenances'!$K:$K,0)),AD70,INDEX('[1]Définition Maintenances'!$G:$G,MATCH($A70,'[1]Définition Maintenances'!$K:$K,0))+AD70),AD70))</f>
        <v>883</v>
      </c>
      <c r="AF70" s="26">
        <f>IF(ISNUMBER(VLOOKUP($D70,'Visu totale'!$D:$DH,AF$1,0)),AE70-VLOOKUP($D70,'Visu totale'!$D:$DH,AF$1,0),IF(LEFT(VLOOKUP($D70,'Visu totale'!$D:$DH,AF$1,0),1)="V",IF(AE70&gt;=INDEX('[1]Définition Maintenances'!$G:$G,MATCH($A70,'[1]Définition Maintenances'!$K:$K,0)),AE70,INDEX('[1]Définition Maintenances'!$G:$G,MATCH($A70,'[1]Définition Maintenances'!$K:$K,0))+AE70),AE70))</f>
        <v>883</v>
      </c>
      <c r="AG70" s="26">
        <f>IF(ISNUMBER(VLOOKUP($D70,'Visu totale'!$D:$DH,AG$1,0)),AF70-VLOOKUP($D70,'Visu totale'!$D:$DH,AG$1,0),IF(LEFT(VLOOKUP($D70,'Visu totale'!$D:$DH,AG$1,0),1)="V",IF(AF70&gt;=INDEX('[1]Définition Maintenances'!$G:$G,MATCH($A70,'[1]Définition Maintenances'!$K:$K,0)),AF70,INDEX('[1]Définition Maintenances'!$G:$G,MATCH($A70,'[1]Définition Maintenances'!$K:$K,0))+AF70),AF70))</f>
        <v>883</v>
      </c>
      <c r="AH70" s="26">
        <f>IF(ISNUMBER(VLOOKUP($D70,'Visu totale'!$D:$DH,AH$1,0)),AG70-VLOOKUP($D70,'Visu totale'!$D:$DH,AH$1,0),IF(LEFT(VLOOKUP($D70,'Visu totale'!$D:$DH,AH$1,0),1)="V",IF(AG70&gt;=INDEX('[1]Définition Maintenances'!$G:$G,MATCH($A70,'[1]Définition Maintenances'!$K:$K,0)),AG70,INDEX('[1]Définition Maintenances'!$G:$G,MATCH($A70,'[1]Définition Maintenances'!$K:$K,0))+AG70),AG70))</f>
        <v>883</v>
      </c>
      <c r="AI70" s="26">
        <f>IF(ISNUMBER(VLOOKUP($D70,'Visu totale'!$D:$DH,AI$1,0)),AH70-VLOOKUP($D70,'Visu totale'!$D:$DH,AI$1,0),IF(LEFT(VLOOKUP($D70,'Visu totale'!$D:$DH,AI$1,0),1)="V",IF(AH70&gt;=INDEX('[1]Définition Maintenances'!$G:$G,MATCH($A70,'[1]Définition Maintenances'!$K:$K,0)),AH70,INDEX('[1]Définition Maintenances'!$G:$G,MATCH($A70,'[1]Définition Maintenances'!$K:$K,0))+AH70),AH70))</f>
        <v>883</v>
      </c>
      <c r="AJ70" s="26">
        <f>IF(ISNUMBER(VLOOKUP($D70,'Visu totale'!$D:$DH,AJ$1,0)),AI70-VLOOKUP($D70,'Visu totale'!$D:$DH,AJ$1,0),IF(LEFT(VLOOKUP($D70,'Visu totale'!$D:$DH,AJ$1,0),1)="V",IF(AI70&gt;=INDEX('[1]Définition Maintenances'!$G:$G,MATCH($A70,'[1]Définition Maintenances'!$K:$K,0)),AI70,INDEX('[1]Définition Maintenances'!$G:$G,MATCH($A70,'[1]Définition Maintenances'!$K:$K,0))+AI70),AI70))</f>
        <v>883</v>
      </c>
      <c r="AK70" s="26">
        <f>IF(ISNUMBER(VLOOKUP($D70,'Visu totale'!$D:$DH,AK$1,0)),AJ70-VLOOKUP($D70,'Visu totale'!$D:$DH,AK$1,0),IF(LEFT(VLOOKUP($D70,'Visu totale'!$D:$DH,AK$1,0),1)="V",IF(AJ70&gt;=INDEX('[1]Définition Maintenances'!$G:$G,MATCH($A70,'[1]Définition Maintenances'!$K:$K,0)),AJ70,INDEX('[1]Définition Maintenances'!$G:$G,MATCH($A70,'[1]Définition Maintenances'!$K:$K,0))+AJ70),AJ70))</f>
        <v>883</v>
      </c>
      <c r="AL70" s="26">
        <f>IF(ISNUMBER(VLOOKUP($D70,'Visu totale'!$D:$DH,AL$1,0)),AK70-VLOOKUP($D70,'Visu totale'!$D:$DH,AL$1,0),IF(LEFT(VLOOKUP($D70,'Visu totale'!$D:$DH,AL$1,0),1)="V",IF(AK70&gt;=INDEX('[1]Définition Maintenances'!$G:$G,MATCH($A70,'[1]Définition Maintenances'!$K:$K,0)),AK70,INDEX('[1]Définition Maintenances'!$G:$G,MATCH($A70,'[1]Définition Maintenances'!$K:$K,0))+AK70),AK70))</f>
        <v>883</v>
      </c>
      <c r="AM70" s="26">
        <f>IF(ISNUMBER(VLOOKUP($D70,'Visu totale'!$D:$DH,AM$1,0)),AL70-VLOOKUP($D70,'Visu totale'!$D:$DH,AM$1,0),IF(LEFT(VLOOKUP($D70,'Visu totale'!$D:$DH,AM$1,0),1)="V",IF(AL70&gt;=INDEX('[1]Définition Maintenances'!$G:$G,MATCH($A70,'[1]Définition Maintenances'!$K:$K,0)),AL70,INDEX('[1]Définition Maintenances'!$G:$G,MATCH($A70,'[1]Définition Maintenances'!$K:$K,0))+AL70),AL70))</f>
        <v>883</v>
      </c>
      <c r="AN70" s="26">
        <f>IF(ISNUMBER(VLOOKUP($D70,'Visu totale'!$D:$DH,AN$1,0)),AM70-VLOOKUP($D70,'Visu totale'!$D:$DH,AN$1,0),IF(LEFT(VLOOKUP($D70,'Visu totale'!$D:$DH,AN$1,0),1)="V",IF(AM70&gt;=INDEX('[1]Définition Maintenances'!$G:$G,MATCH($A70,'[1]Définition Maintenances'!$K:$K,0)),AM70,INDEX('[1]Définition Maintenances'!$G:$G,MATCH($A70,'[1]Définition Maintenances'!$K:$K,0))+AM70),AM70))</f>
        <v>883</v>
      </c>
      <c r="AO70" s="27">
        <f>IF(ISNUMBER(VLOOKUP($D70,'Visu totale'!$D:$DH,AO$1,0)),AN70-VLOOKUP($D70,'Visu totale'!$D:$DH,AO$1,0),IF(LEFT(VLOOKUP($D70,'Visu totale'!$D:$DH,AO$1,0),1)="V",IF(AN70&gt;=INDEX('[1]Définition Maintenances'!$G:$G,MATCH($A70,'[1]Définition Maintenances'!$K:$K,0)),AN70,INDEX('[1]Définition Maintenances'!$G:$G,MATCH($A70,'[1]Définition Maintenances'!$K:$K,0))+AN70),AN70))</f>
        <v>883</v>
      </c>
      <c r="AP70" s="25">
        <f>IF(ISNUMBER(VLOOKUP($D70,'Visu totale'!$D:$DH,AP$1,0)),AO70-VLOOKUP($D70,'Visu totale'!$D:$DH,AP$1,0),IF(LEFT(VLOOKUP($D70,'Visu totale'!$D:$DH,AP$1,0),1)="V",IF(AO70&gt;=INDEX('[1]Définition Maintenances'!$G:$G,MATCH($A70,'[1]Définition Maintenances'!$K:$K,0)),AO70,INDEX('[1]Définition Maintenances'!$G:$G,MATCH($A70,'[1]Définition Maintenances'!$K:$K,0))+AO70),AO70))</f>
        <v>883</v>
      </c>
      <c r="AQ70" s="26">
        <f>IF(ISNUMBER(VLOOKUP($D70,'Visu totale'!$D:$DH,AQ$1,0)),AP70-VLOOKUP($D70,'Visu totale'!$D:$DH,AQ$1,0),IF(LEFT(VLOOKUP($D70,'Visu totale'!$D:$DH,AQ$1,0),1)="V",IF(AP70&gt;=INDEX('[1]Définition Maintenances'!$G:$G,MATCH($A70,'[1]Définition Maintenances'!$K:$K,0)),AP70,INDEX('[1]Définition Maintenances'!$G:$G,MATCH($A70,'[1]Définition Maintenances'!$K:$K,0))+AP70),AP70))</f>
        <v>883</v>
      </c>
      <c r="AR70" s="26">
        <f>IF(ISNUMBER(VLOOKUP($D70,'Visu totale'!$D:$DH,AR$1,0)),AQ70-VLOOKUP($D70,'Visu totale'!$D:$DH,AR$1,0),IF(LEFT(VLOOKUP($D70,'Visu totale'!$D:$DH,AR$1,0),1)="V",IF(AQ70&gt;=INDEX('[1]Définition Maintenances'!$G:$G,MATCH($A70,'[1]Définition Maintenances'!$K:$K,0)),AQ70,INDEX('[1]Définition Maintenances'!$G:$G,MATCH($A70,'[1]Définition Maintenances'!$K:$K,0))+AQ70),AQ70))</f>
        <v>883</v>
      </c>
      <c r="AS70" s="26">
        <f>IF(ISNUMBER(VLOOKUP($D70,'Visu totale'!$D:$DH,AS$1,0)),AR70-VLOOKUP($D70,'Visu totale'!$D:$DH,AS$1,0),IF(LEFT(VLOOKUP($D70,'Visu totale'!$D:$DH,AS$1,0),1)="V",IF(AR70&gt;=INDEX('[1]Définition Maintenances'!$G:$G,MATCH($A70,'[1]Définition Maintenances'!$K:$K,0)),AR70,INDEX('[1]Définition Maintenances'!$G:$G,MATCH($A70,'[1]Définition Maintenances'!$K:$K,0))+AR70),AR70))</f>
        <v>883</v>
      </c>
      <c r="AT70" s="26">
        <f>IF(ISNUMBER(VLOOKUP($D70,'Visu totale'!$D:$DH,AT$1,0)),AS70-VLOOKUP($D70,'Visu totale'!$D:$DH,AT$1,0),IF(LEFT(VLOOKUP($D70,'Visu totale'!$D:$DH,AT$1,0),1)="V",IF(AS70&gt;=INDEX('[1]Définition Maintenances'!$G:$G,MATCH($A70,'[1]Définition Maintenances'!$K:$K,0)),AS70,INDEX('[1]Définition Maintenances'!$G:$G,MATCH($A70,'[1]Définition Maintenances'!$K:$K,0))+AS70),AS70))</f>
        <v>883</v>
      </c>
      <c r="AU70" s="26">
        <f>IF(ISNUMBER(VLOOKUP($D70,'Visu totale'!$D:$DH,AU$1,0)),AT70-VLOOKUP($D70,'Visu totale'!$D:$DH,AU$1,0),IF(LEFT(VLOOKUP($D70,'Visu totale'!$D:$DH,AU$1,0),1)="V",IF(AT70&gt;=INDEX('[1]Définition Maintenances'!$G:$G,MATCH($A70,'[1]Définition Maintenances'!$K:$K,0)),AT70,INDEX('[1]Définition Maintenances'!$G:$G,MATCH($A70,'[1]Définition Maintenances'!$K:$K,0))+AT70),AT70))</f>
        <v>883</v>
      </c>
      <c r="AV70" s="26">
        <f>IF(ISNUMBER(VLOOKUP($D70,'Visu totale'!$D:$DH,AV$1,0)),AU70-VLOOKUP($D70,'Visu totale'!$D:$DH,AV$1,0),IF(LEFT(VLOOKUP($D70,'Visu totale'!$D:$DH,AV$1,0),1)="V",IF(AU70&gt;=INDEX('[1]Définition Maintenances'!$G:$G,MATCH($A70,'[1]Définition Maintenances'!$K:$K,0)),AU70,INDEX('[1]Définition Maintenances'!$G:$G,MATCH($A70,'[1]Définition Maintenances'!$K:$K,0))+AU70),AU70))</f>
        <v>883</v>
      </c>
      <c r="AW70" s="26">
        <f>IF(ISNUMBER(VLOOKUP($D70,'Visu totale'!$D:$DH,AW$1,0)),AV70-VLOOKUP($D70,'Visu totale'!$D:$DH,AW$1,0),IF(LEFT(VLOOKUP($D70,'Visu totale'!$D:$DH,AW$1,0),1)="V",IF(AV70&gt;=INDEX('[1]Définition Maintenances'!$G:$G,MATCH($A70,'[1]Définition Maintenances'!$K:$K,0)),AV70,INDEX('[1]Définition Maintenances'!$G:$G,MATCH($A70,'[1]Définition Maintenances'!$K:$K,0))+AV70),AV70))</f>
        <v>883</v>
      </c>
      <c r="AX70" s="26">
        <f>IF(ISNUMBER(VLOOKUP($D70,'Visu totale'!$D:$DH,AX$1,0)),AW70-VLOOKUP($D70,'Visu totale'!$D:$DH,AX$1,0),IF(LEFT(VLOOKUP($D70,'Visu totale'!$D:$DH,AX$1,0),1)="V",IF(AW70&gt;=INDEX('[1]Définition Maintenances'!$G:$G,MATCH($A70,'[1]Définition Maintenances'!$K:$K,0)),AW70,INDEX('[1]Définition Maintenances'!$G:$G,MATCH($A70,'[1]Définition Maintenances'!$K:$K,0))+AW70),AW70))</f>
        <v>883</v>
      </c>
      <c r="AY70" s="26">
        <f>IF(ISNUMBER(VLOOKUP($D70,'Visu totale'!$D:$DH,AY$1,0)),AX70-VLOOKUP($D70,'Visu totale'!$D:$DH,AY$1,0),IF(LEFT(VLOOKUP($D70,'Visu totale'!$D:$DH,AY$1,0),1)="V",IF(AX70&gt;=INDEX('[1]Définition Maintenances'!$G:$G,MATCH($A70,'[1]Définition Maintenances'!$K:$K,0)),AX70,INDEX('[1]Définition Maintenances'!$G:$G,MATCH($A70,'[1]Définition Maintenances'!$K:$K,0))+AX70),AX70))</f>
        <v>883</v>
      </c>
      <c r="AZ70" s="26">
        <f>IF(ISNUMBER(VLOOKUP($D70,'Visu totale'!$D:$DH,AZ$1,0)),AY70-VLOOKUP($D70,'Visu totale'!$D:$DH,AZ$1,0),IF(LEFT(VLOOKUP($D70,'Visu totale'!$D:$DH,AZ$1,0),1)="V",IF(AY70&gt;=INDEX('[1]Définition Maintenances'!$G:$G,MATCH($A70,'[1]Définition Maintenances'!$K:$K,0)),AY70,INDEX('[1]Définition Maintenances'!$G:$G,MATCH($A70,'[1]Définition Maintenances'!$K:$K,0))+AY70),AY70))</f>
        <v>883</v>
      </c>
      <c r="BA70" s="27">
        <f>IF(ISNUMBER(VLOOKUP($D70,'Visu totale'!$D:$DH,BA$1,0)),AZ70-VLOOKUP($D70,'Visu totale'!$D:$DH,BA$1,0),IF(LEFT(VLOOKUP($D70,'Visu totale'!$D:$DH,BA$1,0),1)="V",IF(AZ70&gt;=INDEX('[1]Définition Maintenances'!$G:$G,MATCH($A70,'[1]Définition Maintenances'!$K:$K,0)),AZ70,INDEX('[1]Définition Maintenances'!$G:$G,MATCH($A70,'[1]Définition Maintenances'!$K:$K,0))+AZ70),AZ70))</f>
        <v>883</v>
      </c>
      <c r="BB70" s="25">
        <f>IF(ISNUMBER(VLOOKUP($D70,'Visu totale'!$D:$DH,BB$1,0)),BA70-VLOOKUP($D70,'Visu totale'!$D:$DH,BB$1,0),IF(LEFT(VLOOKUP($D70,'Visu totale'!$D:$DH,BB$1,0),1)="V",IF(BA70&gt;=INDEX('[1]Définition Maintenances'!$G:$G,MATCH($A70,'[1]Définition Maintenances'!$K:$K,0)),BA70,INDEX('[1]Définition Maintenances'!$G:$G,MATCH($A70,'[1]Définition Maintenances'!$K:$K,0))+BA70),BA70))</f>
        <v>883</v>
      </c>
      <c r="BC70" s="26">
        <f>IF(ISNUMBER(VLOOKUP($D70,'Visu totale'!$D:$DH,BC$1,0)),BB70-VLOOKUP($D70,'Visu totale'!$D:$DH,BC$1,0),IF(LEFT(VLOOKUP($D70,'Visu totale'!$D:$DH,BC$1,0),1)="V",IF(BB70&gt;=INDEX('[1]Définition Maintenances'!$G:$G,MATCH($A70,'[1]Définition Maintenances'!$K:$K,0)),BB70,INDEX('[1]Définition Maintenances'!$G:$G,MATCH($A70,'[1]Définition Maintenances'!$K:$K,0))+BB70),BB70))</f>
        <v>883</v>
      </c>
      <c r="BD70" s="26">
        <f>IF(ISNUMBER(VLOOKUP($D70,'Visu totale'!$D:$DH,BD$1,0)),BC70-VLOOKUP($D70,'Visu totale'!$D:$DH,BD$1,0),IF(LEFT(VLOOKUP($D70,'Visu totale'!$D:$DH,BD$1,0),1)="V",IF(BC70&gt;=INDEX('[1]Définition Maintenances'!$G:$G,MATCH($A70,'[1]Définition Maintenances'!$K:$K,0)),BC70,INDEX('[1]Définition Maintenances'!$G:$G,MATCH($A70,'[1]Définition Maintenances'!$K:$K,0))+BC70),BC70))</f>
        <v>883</v>
      </c>
      <c r="BE70" s="26">
        <f>IF(ISNUMBER(VLOOKUP($D70,'Visu totale'!$D:$DH,BE$1,0)),BD70-VLOOKUP($D70,'Visu totale'!$D:$DH,BE$1,0),IF(LEFT(VLOOKUP($D70,'Visu totale'!$D:$DH,BE$1,0),1)="V",IF(BD70&gt;=INDEX('[1]Définition Maintenances'!$G:$G,MATCH($A70,'[1]Définition Maintenances'!$K:$K,0)),BD70,INDEX('[1]Définition Maintenances'!$G:$G,MATCH($A70,'[1]Définition Maintenances'!$K:$K,0))+BD70),BD70))</f>
        <v>883</v>
      </c>
      <c r="BF70" s="26">
        <f>IF(ISNUMBER(VLOOKUP($D70,'Visu totale'!$D:$DH,BF$1,0)),BE70-VLOOKUP($D70,'Visu totale'!$D:$DH,BF$1,0),IF(LEFT(VLOOKUP($D70,'Visu totale'!$D:$DH,BF$1,0),1)="V",IF(BE70&gt;=INDEX('[1]Définition Maintenances'!$G:$G,MATCH($A70,'[1]Définition Maintenances'!$K:$K,0)),BE70,INDEX('[1]Définition Maintenances'!$G:$G,MATCH($A70,'[1]Définition Maintenances'!$K:$K,0))+BE70),BE70))</f>
        <v>883</v>
      </c>
      <c r="BG70" s="26">
        <f>IF(ISNUMBER(VLOOKUP($D70,'Visu totale'!$D:$DH,BG$1,0)),BF70-VLOOKUP($D70,'Visu totale'!$D:$DH,BG$1,0),IF(LEFT(VLOOKUP($D70,'Visu totale'!$D:$DH,BG$1,0),1)="V",IF(BF70&gt;=INDEX('[1]Définition Maintenances'!$G:$G,MATCH($A70,'[1]Définition Maintenances'!$K:$K,0)),BF70,INDEX('[1]Définition Maintenances'!$G:$G,MATCH($A70,'[1]Définition Maintenances'!$K:$K,0))+BF70),BF70))</f>
        <v>883</v>
      </c>
      <c r="BH70" s="26">
        <f>IF(ISNUMBER(VLOOKUP($D70,'Visu totale'!$D:$DH,BH$1,0)),BG70-VLOOKUP($D70,'Visu totale'!$D:$DH,BH$1,0),IF(LEFT(VLOOKUP($D70,'Visu totale'!$D:$DH,BH$1,0),1)="V",IF(BG70&gt;=INDEX('[1]Définition Maintenances'!$G:$G,MATCH($A70,'[1]Définition Maintenances'!$K:$K,0)),BG70,INDEX('[1]Définition Maintenances'!$G:$G,MATCH($A70,'[1]Définition Maintenances'!$K:$K,0))+BG70),BG70))</f>
        <v>883</v>
      </c>
      <c r="BI70" s="26">
        <f>IF(ISNUMBER(VLOOKUP($D70,'Visu totale'!$D:$DH,BI$1,0)),BH70-VLOOKUP($D70,'Visu totale'!$D:$DH,BI$1,0),IF(LEFT(VLOOKUP($D70,'Visu totale'!$D:$DH,BI$1,0),1)="V",IF(BH70&gt;=INDEX('[1]Définition Maintenances'!$G:$G,MATCH($A70,'[1]Définition Maintenances'!$K:$K,0)),BH70,INDEX('[1]Définition Maintenances'!$G:$G,MATCH($A70,'[1]Définition Maintenances'!$K:$K,0))+BH70),BH70))</f>
        <v>883</v>
      </c>
      <c r="BJ70" s="26">
        <f>IF(ISNUMBER(VLOOKUP($D70,'Visu totale'!$D:$DH,BJ$1,0)),BI70-VLOOKUP($D70,'Visu totale'!$D:$DH,BJ$1,0),IF(LEFT(VLOOKUP($D70,'Visu totale'!$D:$DH,BJ$1,0),1)="V",IF(BI70&gt;=INDEX('[1]Définition Maintenances'!$G:$G,MATCH($A70,'[1]Définition Maintenances'!$K:$K,0)),BI70,INDEX('[1]Définition Maintenances'!$G:$G,MATCH($A70,'[1]Définition Maintenances'!$K:$K,0))+BI70),BI70))</f>
        <v>883</v>
      </c>
      <c r="BK70" s="26">
        <f>IF(ISNUMBER(VLOOKUP($D70,'Visu totale'!$D:$DH,BK$1,0)),BJ70-VLOOKUP($D70,'Visu totale'!$D:$DH,BK$1,0),IF(LEFT(VLOOKUP($D70,'Visu totale'!$D:$DH,BK$1,0),1)="V",IF(BJ70&gt;=INDEX('[1]Définition Maintenances'!$G:$G,MATCH($A70,'[1]Définition Maintenances'!$K:$K,0)),BJ70,INDEX('[1]Définition Maintenances'!$G:$G,MATCH($A70,'[1]Définition Maintenances'!$K:$K,0))+BJ70),BJ70))</f>
        <v>883</v>
      </c>
      <c r="BL70" s="26">
        <f>IF(ISNUMBER(VLOOKUP($D70,'Visu totale'!$D:$DH,BL$1,0)),BK70-VLOOKUP($D70,'Visu totale'!$D:$DH,BL$1,0),IF(LEFT(VLOOKUP($D70,'Visu totale'!$D:$DH,BL$1,0),1)="V",IF(BK70&gt;=INDEX('[1]Définition Maintenances'!$G:$G,MATCH($A70,'[1]Définition Maintenances'!$K:$K,0)),BK70,INDEX('[1]Définition Maintenances'!$G:$G,MATCH($A70,'[1]Définition Maintenances'!$K:$K,0))+BK70),BK70))</f>
        <v>883</v>
      </c>
      <c r="BM70" s="27">
        <f>IF(ISNUMBER(VLOOKUP($D70,'Visu totale'!$D:$DH,BM$1,0)),BL70-VLOOKUP($D70,'Visu totale'!$D:$DH,BM$1,0),IF(LEFT(VLOOKUP($D70,'Visu totale'!$D:$DH,BM$1,0),1)="V",IF(BL70&gt;=INDEX('[1]Définition Maintenances'!$G:$G,MATCH($A70,'[1]Définition Maintenances'!$K:$K,0)),BL70,INDEX('[1]Définition Maintenances'!$G:$G,MATCH($A70,'[1]Définition Maintenances'!$K:$K,0))+BL70),BL70))</f>
        <v>883</v>
      </c>
      <c r="BN70" s="25">
        <f>IF(ISNUMBER(VLOOKUP($D70,'Visu totale'!$D:$DH,BN$1,0)),BM70-VLOOKUP($D70,'Visu totale'!$D:$DH,BN$1,0),IF(LEFT(VLOOKUP($D70,'Visu totale'!$D:$DH,BN$1,0),1)="V",IF(BM70&gt;=INDEX('[1]Définition Maintenances'!$G:$G,MATCH($A70,'[1]Définition Maintenances'!$K:$K,0)),BM70,INDEX('[1]Définition Maintenances'!$G:$G,MATCH($A70,'[1]Définition Maintenances'!$K:$K,0))+BM70),BM70))</f>
        <v>883</v>
      </c>
      <c r="BO70" s="26">
        <f>IF(ISNUMBER(VLOOKUP($D70,'Visu totale'!$D:$DH,BO$1,0)),BN70-VLOOKUP($D70,'Visu totale'!$D:$DH,BO$1,0),IF(LEFT(VLOOKUP($D70,'Visu totale'!$D:$DH,BO$1,0),1)="V",IF(BN70&gt;=INDEX('[1]Définition Maintenances'!$G:$G,MATCH($A70,'[1]Définition Maintenances'!$K:$K,0)),BN70,INDEX('[1]Définition Maintenances'!$G:$G,MATCH($A70,'[1]Définition Maintenances'!$K:$K,0))+BN70),BN70))</f>
        <v>883</v>
      </c>
      <c r="BP70" s="26">
        <f>IF(ISNUMBER(VLOOKUP($D70,'Visu totale'!$D:$DH,BP$1,0)),BO70-VLOOKUP($D70,'Visu totale'!$D:$DH,BP$1,0),IF(LEFT(VLOOKUP($D70,'Visu totale'!$D:$DH,BP$1,0),1)="V",IF(BO70&gt;=INDEX('[1]Définition Maintenances'!$G:$G,MATCH($A70,'[1]Définition Maintenances'!$K:$K,0)),BO70,INDEX('[1]Définition Maintenances'!$G:$G,MATCH($A70,'[1]Définition Maintenances'!$K:$K,0))+BO70),BO70))</f>
        <v>883</v>
      </c>
      <c r="BQ70" s="26">
        <f>IF(ISNUMBER(VLOOKUP($D70,'Visu totale'!$D:$DH,BQ$1,0)),BP70-VLOOKUP($D70,'Visu totale'!$D:$DH,BQ$1,0),IF(LEFT(VLOOKUP($D70,'Visu totale'!$D:$DH,BQ$1,0),1)="V",IF(BP70&gt;=INDEX('[1]Définition Maintenances'!$G:$G,MATCH($A70,'[1]Définition Maintenances'!$K:$K,0)),BP70,INDEX('[1]Définition Maintenances'!$G:$G,MATCH($A70,'[1]Définition Maintenances'!$K:$K,0))+BP70),BP70))</f>
        <v>883</v>
      </c>
      <c r="BR70" s="26">
        <f>IF(ISNUMBER(VLOOKUP($D70,'Visu totale'!$D:$DH,BR$1,0)),BQ70-VLOOKUP($D70,'Visu totale'!$D:$DH,BR$1,0),IF(LEFT(VLOOKUP($D70,'Visu totale'!$D:$DH,BR$1,0),1)="V",IF(BQ70&gt;=INDEX('[1]Définition Maintenances'!$G:$G,MATCH($A70,'[1]Définition Maintenances'!$K:$K,0)),BQ70,INDEX('[1]Définition Maintenances'!$G:$G,MATCH($A70,'[1]Définition Maintenances'!$K:$K,0))+BQ70),BQ70))</f>
        <v>883</v>
      </c>
      <c r="BS70" s="26">
        <f>IF(ISNUMBER(VLOOKUP($D70,'Visu totale'!$D:$DH,BS$1,0)),BR70-VLOOKUP($D70,'Visu totale'!$D:$DH,BS$1,0),IF(LEFT(VLOOKUP($D70,'Visu totale'!$D:$DH,BS$1,0),1)="V",IF(BR70&gt;=INDEX('[1]Définition Maintenances'!$G:$G,MATCH($A70,'[1]Définition Maintenances'!$K:$K,0)),BR70,INDEX('[1]Définition Maintenances'!$G:$G,MATCH($A70,'[1]Définition Maintenances'!$K:$K,0))+BR70),BR70))</f>
        <v>883</v>
      </c>
      <c r="BT70" s="26">
        <f>IF(ISNUMBER(VLOOKUP($D70,'Visu totale'!$D:$DH,BT$1,0)),BS70-VLOOKUP($D70,'Visu totale'!$D:$DH,BT$1,0),IF(LEFT(VLOOKUP($D70,'Visu totale'!$D:$DH,BT$1,0),1)="V",IF(BS70&gt;=INDEX('[1]Définition Maintenances'!$G:$G,MATCH($A70,'[1]Définition Maintenances'!$K:$K,0)),BS70,INDEX('[1]Définition Maintenances'!$G:$G,MATCH($A70,'[1]Définition Maintenances'!$K:$K,0))+BS70),BS70))</f>
        <v>883</v>
      </c>
      <c r="BU70" s="26">
        <f>IF(ISNUMBER(VLOOKUP($D70,'Visu totale'!$D:$DH,BU$1,0)),BT70-VLOOKUP($D70,'Visu totale'!$D:$DH,BU$1,0),IF(LEFT(VLOOKUP($D70,'Visu totale'!$D:$DH,BU$1,0),1)="V",IF(BT70&gt;=INDEX('[1]Définition Maintenances'!$G:$G,MATCH($A70,'[1]Définition Maintenances'!$K:$K,0)),BT70,INDEX('[1]Définition Maintenances'!$G:$G,MATCH($A70,'[1]Définition Maintenances'!$K:$K,0))+BT70),BT70))</f>
        <v>883</v>
      </c>
      <c r="BV70" s="26">
        <f>IF(ISNUMBER(VLOOKUP($D70,'Visu totale'!$D:$DH,BV$1,0)),BU70-VLOOKUP($D70,'Visu totale'!$D:$DH,BV$1,0),IF(LEFT(VLOOKUP($D70,'Visu totale'!$D:$DH,BV$1,0),1)="V",IF(BU70&gt;=INDEX('[1]Définition Maintenances'!$G:$G,MATCH($A70,'[1]Définition Maintenances'!$K:$K,0)),BU70,INDEX('[1]Définition Maintenances'!$G:$G,MATCH($A70,'[1]Définition Maintenances'!$K:$K,0))+BU70),BU70))</f>
        <v>883</v>
      </c>
      <c r="BW70" s="26">
        <f>IF(ISNUMBER(VLOOKUP($D70,'Visu totale'!$D:$DH,BW$1,0)),BV70-VLOOKUP($D70,'Visu totale'!$D:$DH,BW$1,0),IF(LEFT(VLOOKUP($D70,'Visu totale'!$D:$DH,BW$1,0),1)="V",IF(BV70&gt;=INDEX('[1]Définition Maintenances'!$G:$G,MATCH($A70,'[1]Définition Maintenances'!$K:$K,0)),BV70,INDEX('[1]Définition Maintenances'!$G:$G,MATCH($A70,'[1]Définition Maintenances'!$K:$K,0))+BV70),BV70))</f>
        <v>883</v>
      </c>
      <c r="BX70" s="26">
        <f>IF(ISNUMBER(VLOOKUP($D70,'Visu totale'!$D:$DH,BX$1,0)),BW70-VLOOKUP($D70,'Visu totale'!$D:$DH,BX$1,0),IF(LEFT(VLOOKUP($D70,'Visu totale'!$D:$DH,BX$1,0),1)="V",IF(BW70&gt;=INDEX('[1]Définition Maintenances'!$G:$G,MATCH($A70,'[1]Définition Maintenances'!$K:$K,0)),BW70,INDEX('[1]Définition Maintenances'!$G:$G,MATCH($A70,'[1]Définition Maintenances'!$K:$K,0))+BW70),BW70))</f>
        <v>883</v>
      </c>
      <c r="BY70" s="27">
        <f>IF(ISNUMBER(VLOOKUP($D70,'Visu totale'!$D:$DH,BY$1,0)),BX70-VLOOKUP($D70,'Visu totale'!$D:$DH,BY$1,0),IF(LEFT(VLOOKUP($D70,'Visu totale'!$D:$DH,BY$1,0),1)="V",IF(BX70&gt;=INDEX('[1]Définition Maintenances'!$G:$G,MATCH($A70,'[1]Définition Maintenances'!$K:$K,0)),BX70,INDEX('[1]Définition Maintenances'!$G:$G,MATCH($A70,'[1]Définition Maintenances'!$K:$K,0))+BX70),BX70))</f>
        <v>883</v>
      </c>
      <c r="BZ70" s="25">
        <f>IF(ISNUMBER(VLOOKUP($D70,'Visu totale'!$D:$DH,BZ$1,0)),BY70-VLOOKUP($D70,'Visu totale'!$D:$DH,BZ$1,0),IF(LEFT(VLOOKUP($D70,'Visu totale'!$D:$DH,BZ$1,0),1)="V",IF(BY70&gt;=INDEX('[1]Définition Maintenances'!$G:$G,MATCH($A70,'[1]Définition Maintenances'!$K:$K,0)),BY70,INDEX('[1]Définition Maintenances'!$G:$G,MATCH($A70,'[1]Définition Maintenances'!$K:$K,0))+BY70),BY70))</f>
        <v>883</v>
      </c>
      <c r="CA70" s="26">
        <f>IF(ISNUMBER(VLOOKUP($D70,'Visu totale'!$D:$DH,CA$1,0)),BZ70-VLOOKUP($D70,'Visu totale'!$D:$DH,CA$1,0),IF(LEFT(VLOOKUP($D70,'Visu totale'!$D:$DH,CA$1,0),1)="V",IF(BZ70&gt;=INDEX('[1]Définition Maintenances'!$G:$G,MATCH($A70,'[1]Définition Maintenances'!$K:$K,0)),BZ70,INDEX('[1]Définition Maintenances'!$G:$G,MATCH($A70,'[1]Définition Maintenances'!$K:$K,0))+BZ70),BZ70))</f>
        <v>883</v>
      </c>
      <c r="CB70" s="26">
        <f>IF(ISNUMBER(VLOOKUP($D70,'Visu totale'!$D:$DH,CB$1,0)),CA70-VLOOKUP($D70,'Visu totale'!$D:$DH,CB$1,0),IF(LEFT(VLOOKUP($D70,'Visu totale'!$D:$DH,CB$1,0),1)="V",IF(CA70&gt;=INDEX('[1]Définition Maintenances'!$G:$G,MATCH($A70,'[1]Définition Maintenances'!$K:$K,0)),CA70,INDEX('[1]Définition Maintenances'!$G:$G,MATCH($A70,'[1]Définition Maintenances'!$K:$K,0))+CA70),CA70))</f>
        <v>883</v>
      </c>
      <c r="CC70" s="26">
        <f>IF(ISNUMBER(VLOOKUP($D70,'Visu totale'!$D:$DH,CC$1,0)),CB70-VLOOKUP($D70,'Visu totale'!$D:$DH,CC$1,0),IF(LEFT(VLOOKUP($D70,'Visu totale'!$D:$DH,CC$1,0),1)="V",IF(CB70&gt;=INDEX('[1]Définition Maintenances'!$G:$G,MATCH($A70,'[1]Définition Maintenances'!$K:$K,0)),CB70,INDEX('[1]Définition Maintenances'!$G:$G,MATCH($A70,'[1]Définition Maintenances'!$K:$K,0))+CB70),CB70))</f>
        <v>883</v>
      </c>
      <c r="CD70" s="26">
        <f>IF(ISNUMBER(VLOOKUP($D70,'Visu totale'!$D:$DH,CD$1,0)),CC70-VLOOKUP($D70,'Visu totale'!$D:$DH,CD$1,0),IF(LEFT(VLOOKUP($D70,'Visu totale'!$D:$DH,CD$1,0),1)="V",IF(CC70&gt;=INDEX('[1]Définition Maintenances'!$G:$G,MATCH($A70,'[1]Définition Maintenances'!$K:$K,0)),CC70,INDEX('[1]Définition Maintenances'!$G:$G,MATCH($A70,'[1]Définition Maintenances'!$K:$K,0))+CC70),CC70))</f>
        <v>883</v>
      </c>
      <c r="CE70" s="26">
        <f>IF(ISNUMBER(VLOOKUP($D70,'Visu totale'!$D:$DH,CE$1,0)),CD70-VLOOKUP($D70,'Visu totale'!$D:$DH,CE$1,0),IF(LEFT(VLOOKUP($D70,'Visu totale'!$D:$DH,CE$1,0),1)="V",IF(CD70&gt;=INDEX('[1]Définition Maintenances'!$G:$G,MATCH($A70,'[1]Définition Maintenances'!$K:$K,0)),CD70,INDEX('[1]Définition Maintenances'!$G:$G,MATCH($A70,'[1]Définition Maintenances'!$K:$K,0))+CD70),CD70))</f>
        <v>883</v>
      </c>
      <c r="CF70" s="26">
        <f>IF(ISNUMBER(VLOOKUP($D70,'Visu totale'!$D:$DH,CF$1,0)),CE70-VLOOKUP($D70,'Visu totale'!$D:$DH,CF$1,0),IF(LEFT(VLOOKUP($D70,'Visu totale'!$D:$DH,CF$1,0),1)="V",IF(CE70&gt;=INDEX('[1]Définition Maintenances'!$G:$G,MATCH($A70,'[1]Définition Maintenances'!$K:$K,0)),CE70,INDEX('[1]Définition Maintenances'!$G:$G,MATCH($A70,'[1]Définition Maintenances'!$K:$K,0))+CE70),CE70))</f>
        <v>883</v>
      </c>
      <c r="CG70" s="26">
        <f>IF(ISNUMBER(VLOOKUP($D70,'Visu totale'!$D:$DH,CG$1,0)),CF70-VLOOKUP($D70,'Visu totale'!$D:$DH,CG$1,0),IF(LEFT(VLOOKUP($D70,'Visu totale'!$D:$DH,CG$1,0),1)="V",IF(CF70&gt;=INDEX('[1]Définition Maintenances'!$G:$G,MATCH($A70,'[1]Définition Maintenances'!$K:$K,0)),CF70,INDEX('[1]Définition Maintenances'!$G:$G,MATCH($A70,'[1]Définition Maintenances'!$K:$K,0))+CF70),CF70))</f>
        <v>883</v>
      </c>
      <c r="CH70" s="26">
        <f>IF(ISNUMBER(VLOOKUP($D70,'Visu totale'!$D:$DH,CH$1,0)),CG70-VLOOKUP($D70,'Visu totale'!$D:$DH,CH$1,0),IF(LEFT(VLOOKUP($D70,'Visu totale'!$D:$DH,CH$1,0),1)="V",IF(CG70&gt;=INDEX('[1]Définition Maintenances'!$G:$G,MATCH($A70,'[1]Définition Maintenances'!$K:$K,0)),CG70,INDEX('[1]Définition Maintenances'!$G:$G,MATCH($A70,'[1]Définition Maintenances'!$K:$K,0))+CG70),CG70))</f>
        <v>883</v>
      </c>
      <c r="CI70" s="26">
        <f>IF(ISNUMBER(VLOOKUP($D70,'Visu totale'!$D:$DH,CI$1,0)),CH70-VLOOKUP($D70,'Visu totale'!$D:$DH,CI$1,0),IF(LEFT(VLOOKUP($D70,'Visu totale'!$D:$DH,CI$1,0),1)="V",IF(CH70&gt;=INDEX('[1]Définition Maintenances'!$G:$G,MATCH($A70,'[1]Définition Maintenances'!$K:$K,0)),CH70,INDEX('[1]Définition Maintenances'!$G:$G,MATCH($A70,'[1]Définition Maintenances'!$K:$K,0))+CH70),CH70))</f>
        <v>883</v>
      </c>
      <c r="CJ70" s="26">
        <f>IF(ISNUMBER(VLOOKUP($D70,'Visu totale'!$D:$DH,CJ$1,0)),CI70-VLOOKUP($D70,'Visu totale'!$D:$DH,CJ$1,0),IF(LEFT(VLOOKUP($D70,'Visu totale'!$D:$DH,CJ$1,0),1)="V",IF(CI70&gt;=INDEX('[1]Définition Maintenances'!$G:$G,MATCH($A70,'[1]Définition Maintenances'!$K:$K,0)),CI70,INDEX('[1]Définition Maintenances'!$G:$G,MATCH($A70,'[1]Définition Maintenances'!$K:$K,0))+CI70),CI70))</f>
        <v>883</v>
      </c>
      <c r="CK70" s="27">
        <f>IF(ISNUMBER(VLOOKUP($D70,'Visu totale'!$D:$DH,CK$1,0)),CJ70-VLOOKUP($D70,'Visu totale'!$D:$DH,CK$1,0),IF(LEFT(VLOOKUP($D70,'Visu totale'!$D:$DH,CK$1,0),1)="V",IF(CJ70&gt;=INDEX('[1]Définition Maintenances'!$G:$G,MATCH($A70,'[1]Définition Maintenances'!$K:$K,0)),CJ70,INDEX('[1]Définition Maintenances'!$G:$G,MATCH($A70,'[1]Définition Maintenances'!$K:$K,0))+CJ70),CJ70))</f>
        <v>883</v>
      </c>
      <c r="CL70" s="25">
        <f>IF(ISNUMBER(VLOOKUP($D70,'Visu totale'!$D:$DH,CL$1,0)),CK70-VLOOKUP($D70,'Visu totale'!$D:$DH,CL$1,0),IF(LEFT(VLOOKUP($D70,'Visu totale'!$D:$DH,CL$1,0),1)="V",IF(CK70&gt;=INDEX('[1]Définition Maintenances'!$G:$G,MATCH($A70,'[1]Définition Maintenances'!$K:$K,0)),CK70,INDEX('[1]Définition Maintenances'!$G:$G,MATCH($A70,'[1]Définition Maintenances'!$K:$K,0))+CK70),CK70))</f>
        <v>883</v>
      </c>
      <c r="CM70" s="26">
        <f>IF(ISNUMBER(VLOOKUP($D70,'Visu totale'!$D:$DH,CM$1,0)),CL70-VLOOKUP($D70,'Visu totale'!$D:$DH,CM$1,0),IF(LEFT(VLOOKUP($D70,'Visu totale'!$D:$DH,CM$1,0),1)="V",IF(CL70&gt;=INDEX('[1]Définition Maintenances'!$G:$G,MATCH($A70,'[1]Définition Maintenances'!$K:$K,0)),CL70,INDEX('[1]Définition Maintenances'!$G:$G,MATCH($A70,'[1]Définition Maintenances'!$K:$K,0))+CL70),CL70))</f>
        <v>883</v>
      </c>
      <c r="CN70" s="26">
        <f>IF(ISNUMBER(VLOOKUP($D70,'Visu totale'!$D:$DH,CN$1,0)),CM70-VLOOKUP($D70,'Visu totale'!$D:$DH,CN$1,0),IF(LEFT(VLOOKUP($D70,'Visu totale'!$D:$DH,CN$1,0),1)="V",IF(CM70&gt;=INDEX('[1]Définition Maintenances'!$G:$G,MATCH($A70,'[1]Définition Maintenances'!$K:$K,0)),CM70,INDEX('[1]Définition Maintenances'!$G:$G,MATCH($A70,'[1]Définition Maintenances'!$K:$K,0))+CM70),CM70))</f>
        <v>883</v>
      </c>
      <c r="CO70" s="26">
        <f>IF(ISNUMBER(VLOOKUP($D70,'Visu totale'!$D:$DH,CO$1,0)),CN70-VLOOKUP($D70,'Visu totale'!$D:$DH,CO$1,0),IF(LEFT(VLOOKUP($D70,'Visu totale'!$D:$DH,CO$1,0),1)="V",IF(CN70&gt;=INDEX('[1]Définition Maintenances'!$G:$G,MATCH($A70,'[1]Définition Maintenances'!$K:$K,0)),CN70,INDEX('[1]Définition Maintenances'!$G:$G,MATCH($A70,'[1]Définition Maintenances'!$K:$K,0))+CN70),CN70))</f>
        <v>883</v>
      </c>
      <c r="CP70" s="26">
        <f>IF(ISNUMBER(VLOOKUP($D70,'Visu totale'!$D:$DH,CP$1,0)),CO70-VLOOKUP($D70,'Visu totale'!$D:$DH,CP$1,0),IF(LEFT(VLOOKUP($D70,'Visu totale'!$D:$DH,CP$1,0),1)="V",IF(CO70&gt;=INDEX('[1]Définition Maintenances'!$G:$G,MATCH($A70,'[1]Définition Maintenances'!$K:$K,0)),CO70,INDEX('[1]Définition Maintenances'!$G:$G,MATCH($A70,'[1]Définition Maintenances'!$K:$K,0))+CO70),CO70))</f>
        <v>883</v>
      </c>
      <c r="CQ70" s="26">
        <f>IF(ISNUMBER(VLOOKUP($D70,'Visu totale'!$D:$DH,CQ$1,0)),CP70-VLOOKUP($D70,'Visu totale'!$D:$DH,CQ$1,0),IF(LEFT(VLOOKUP($D70,'Visu totale'!$D:$DH,CQ$1,0),1)="V",IF(CP70&gt;=INDEX('[1]Définition Maintenances'!$G:$G,MATCH($A70,'[1]Définition Maintenances'!$K:$K,0)),CP70,INDEX('[1]Définition Maintenances'!$G:$G,MATCH($A70,'[1]Définition Maintenances'!$K:$K,0))+CP70),CP70))</f>
        <v>883</v>
      </c>
      <c r="CR70" s="26">
        <f>IF(ISNUMBER(VLOOKUP($D70,'Visu totale'!$D:$DH,CR$1,0)),CQ70-VLOOKUP($D70,'Visu totale'!$D:$DH,CR$1,0),IF(LEFT(VLOOKUP($D70,'Visu totale'!$D:$DH,CR$1,0),1)="V",IF(CQ70&gt;=INDEX('[1]Définition Maintenances'!$G:$G,MATCH($A70,'[1]Définition Maintenances'!$K:$K,0)),CQ70,INDEX('[1]Définition Maintenances'!$G:$G,MATCH($A70,'[1]Définition Maintenances'!$K:$K,0))+CQ70),CQ70))</f>
        <v>883</v>
      </c>
      <c r="CS70" s="26">
        <f>IF(ISNUMBER(VLOOKUP($D70,'Visu totale'!$D:$DH,CS$1,0)),CR70-VLOOKUP($D70,'Visu totale'!$D:$DH,CS$1,0),IF(LEFT(VLOOKUP($D70,'Visu totale'!$D:$DH,CS$1,0),1)="V",IF(CR70&gt;=INDEX('[1]Définition Maintenances'!$G:$G,MATCH($A70,'[1]Définition Maintenances'!$K:$K,0)),CR70,INDEX('[1]Définition Maintenances'!$G:$G,MATCH($A70,'[1]Définition Maintenances'!$K:$K,0))+CR70),CR70))</f>
        <v>883</v>
      </c>
      <c r="CT70" s="26">
        <f>IF(ISNUMBER(VLOOKUP($D70,'Visu totale'!$D:$DH,CT$1,0)),CS70-VLOOKUP($D70,'Visu totale'!$D:$DH,CT$1,0),IF(LEFT(VLOOKUP($D70,'Visu totale'!$D:$DH,CT$1,0),1)="V",IF(CS70&gt;=INDEX('[1]Définition Maintenances'!$G:$G,MATCH($A70,'[1]Définition Maintenances'!$K:$K,0)),CS70,INDEX('[1]Définition Maintenances'!$G:$G,MATCH($A70,'[1]Définition Maintenances'!$K:$K,0))+CS70),CS70))</f>
        <v>883</v>
      </c>
      <c r="CU70" s="26">
        <f>IF(ISNUMBER(VLOOKUP($D70,'Visu totale'!$D:$DH,CU$1,0)),CT70-VLOOKUP($D70,'Visu totale'!$D:$DH,CU$1,0),IF(LEFT(VLOOKUP($D70,'Visu totale'!$D:$DH,CU$1,0),1)="V",IF(CT70&gt;=INDEX('[1]Définition Maintenances'!$G:$G,MATCH($A70,'[1]Définition Maintenances'!$K:$K,0)),CT70,INDEX('[1]Définition Maintenances'!$G:$G,MATCH($A70,'[1]Définition Maintenances'!$K:$K,0))+CT70),CT70))</f>
        <v>883</v>
      </c>
      <c r="CV70" s="26">
        <f>IF(ISNUMBER(VLOOKUP($D70,'Visu totale'!$D:$DH,CV$1,0)),CU70-VLOOKUP($D70,'Visu totale'!$D:$DH,CV$1,0),IF(LEFT(VLOOKUP($D70,'Visu totale'!$D:$DH,CV$1,0),1)="V",IF(CU70&gt;=INDEX('[1]Définition Maintenances'!$G:$G,MATCH($A70,'[1]Définition Maintenances'!$K:$K,0)),CU70,INDEX('[1]Définition Maintenances'!$G:$G,MATCH($A70,'[1]Définition Maintenances'!$K:$K,0))+CU70),CU70))</f>
        <v>883</v>
      </c>
      <c r="CW70" s="27">
        <f>IF(ISNUMBER(VLOOKUP($D70,'Visu totale'!$D:$DH,CW$1,0)),CV70-VLOOKUP($D70,'Visu totale'!$D:$DH,CW$1,0),IF(LEFT(VLOOKUP($D70,'Visu totale'!$D:$DH,CW$1,0),1)="V",IF(CV70&gt;=INDEX('[1]Définition Maintenances'!$G:$G,MATCH($A70,'[1]Définition Maintenances'!$K:$K,0)),CV70,INDEX('[1]Définition Maintenances'!$G:$G,MATCH($A70,'[1]Définition Maintenances'!$K:$K,0))+CV70),CV70))</f>
        <v>883</v>
      </c>
      <c r="CX70" s="25">
        <f>IF(ISNUMBER(VLOOKUP($D70,'Visu totale'!$D:$DH,CX$1,0)),CW70-VLOOKUP($D70,'Visu totale'!$D:$DH,CX$1,0),IF(LEFT(VLOOKUP($D70,'Visu totale'!$D:$DH,CX$1,0),1)="V",IF(CW70&gt;=INDEX('[1]Définition Maintenances'!$G:$G,MATCH($A70,'[1]Définition Maintenances'!$K:$K,0)),CW70,INDEX('[1]Définition Maintenances'!$G:$G,MATCH($A70,'[1]Définition Maintenances'!$K:$K,0))+CW70),CW70))</f>
        <v>883</v>
      </c>
      <c r="CY70" s="26">
        <f>IF(ISNUMBER(VLOOKUP($D70,'Visu totale'!$D:$DH,CY$1,0)),CX70-VLOOKUP($D70,'Visu totale'!$D:$DH,CY$1,0),IF(LEFT(VLOOKUP($D70,'Visu totale'!$D:$DH,CY$1,0),1)="V",IF(CX70&gt;=INDEX('[1]Définition Maintenances'!$G:$G,MATCH($A70,'[1]Définition Maintenances'!$K:$K,0)),CX70,INDEX('[1]Définition Maintenances'!$G:$G,MATCH($A70,'[1]Définition Maintenances'!$K:$K,0))+CX70),CX70))</f>
        <v>883</v>
      </c>
      <c r="CZ70" s="26">
        <f>IF(ISNUMBER(VLOOKUP($D70,'Visu totale'!$D:$DH,CZ$1,0)),CY70-VLOOKUP($D70,'Visu totale'!$D:$DH,CZ$1,0),IF(LEFT(VLOOKUP($D70,'Visu totale'!$D:$DH,CZ$1,0),1)="V",IF(CY70&gt;=INDEX('[1]Définition Maintenances'!$G:$G,MATCH($A70,'[1]Définition Maintenances'!$K:$K,0)),CY70,INDEX('[1]Définition Maintenances'!$G:$G,MATCH($A70,'[1]Définition Maintenances'!$K:$K,0))+CY70),CY70))</f>
        <v>883</v>
      </c>
      <c r="DA70" s="26">
        <f>IF(ISNUMBER(VLOOKUP($D70,'Visu totale'!$D:$DH,DA$1,0)),CZ70-VLOOKUP($D70,'Visu totale'!$D:$DH,DA$1,0),IF(LEFT(VLOOKUP($D70,'Visu totale'!$D:$DH,DA$1,0),1)="V",IF(CZ70&gt;=INDEX('[1]Définition Maintenances'!$G:$G,MATCH($A70,'[1]Définition Maintenances'!$K:$K,0)),CZ70,INDEX('[1]Définition Maintenances'!$G:$G,MATCH($A70,'[1]Définition Maintenances'!$K:$K,0))+CZ70),CZ70))</f>
        <v>883</v>
      </c>
      <c r="DB70" s="26">
        <f>IF(ISNUMBER(VLOOKUP($D70,'Visu totale'!$D:$DH,DB$1,0)),DA70-VLOOKUP($D70,'Visu totale'!$D:$DH,DB$1,0),IF(LEFT(VLOOKUP($D70,'Visu totale'!$D:$DH,DB$1,0),1)="V",IF(DA70&gt;=INDEX('[1]Définition Maintenances'!$G:$G,MATCH($A70,'[1]Définition Maintenances'!$K:$K,0)),DA70,INDEX('[1]Définition Maintenances'!$G:$G,MATCH($A70,'[1]Définition Maintenances'!$K:$K,0))+DA70),DA70))</f>
        <v>883</v>
      </c>
      <c r="DC70" s="26">
        <f>IF(ISNUMBER(VLOOKUP($D70,'Visu totale'!$D:$DH,DC$1,0)),DB70-VLOOKUP($D70,'Visu totale'!$D:$DH,DC$1,0),IF(LEFT(VLOOKUP($D70,'Visu totale'!$D:$DH,DC$1,0),1)="V",IF(DB70&gt;=INDEX('[1]Définition Maintenances'!$G:$G,MATCH($A70,'[1]Définition Maintenances'!$K:$K,0)),DB70,INDEX('[1]Définition Maintenances'!$G:$G,MATCH($A70,'[1]Définition Maintenances'!$K:$K,0))+DB70),DB70))</f>
        <v>883</v>
      </c>
      <c r="DD70" s="26">
        <f>IF(ISNUMBER(VLOOKUP($D70,'Visu totale'!$D:$DH,DD$1,0)),DC70-VLOOKUP($D70,'Visu totale'!$D:$DH,DD$1,0),IF(LEFT(VLOOKUP($D70,'Visu totale'!$D:$DH,DD$1,0),1)="V",IF(DC70&gt;=INDEX('[1]Définition Maintenances'!$G:$G,MATCH($A70,'[1]Définition Maintenances'!$K:$K,0)),DC70,INDEX('[1]Définition Maintenances'!$G:$G,MATCH($A70,'[1]Définition Maintenances'!$K:$K,0))+DC70),DC70))</f>
        <v>883</v>
      </c>
      <c r="DE70" s="26">
        <f>IF(ISNUMBER(VLOOKUP($D70,'Visu totale'!$D:$DH,DE$1,0)),DD70-VLOOKUP($D70,'Visu totale'!$D:$DH,DE$1,0),IF(LEFT(VLOOKUP($D70,'Visu totale'!$D:$DH,DE$1,0),1)="V",IF(DD70&gt;=INDEX('[1]Définition Maintenances'!$G:$G,MATCH($A70,'[1]Définition Maintenances'!$K:$K,0)),DD70,INDEX('[1]Définition Maintenances'!$G:$G,MATCH($A70,'[1]Définition Maintenances'!$K:$K,0))+DD70),DD70))</f>
        <v>883</v>
      </c>
      <c r="DF70" s="26">
        <f>IF(ISNUMBER(VLOOKUP($D70,'Visu totale'!$D:$DH,DF$1,0)),DE70-VLOOKUP($D70,'Visu totale'!$D:$DH,DF$1,0),IF(LEFT(VLOOKUP($D70,'Visu totale'!$D:$DH,DF$1,0),1)="V",IF(DE70&gt;=INDEX('[1]Définition Maintenances'!$G:$G,MATCH($A70,'[1]Définition Maintenances'!$K:$K,0)),DE70,INDEX('[1]Définition Maintenances'!$G:$G,MATCH($A70,'[1]Définition Maintenances'!$K:$K,0))+DE70),DE70))</f>
        <v>883</v>
      </c>
      <c r="DG70" s="26">
        <f>IF(ISNUMBER(VLOOKUP($D70,'Visu totale'!$D:$DH,DG$1,0)),DF70-VLOOKUP($D70,'Visu totale'!$D:$DH,DG$1,0),IF(LEFT(VLOOKUP($D70,'Visu totale'!$D:$DH,DG$1,0),1)="V",IF(DF70&gt;=INDEX('[1]Définition Maintenances'!$G:$G,MATCH($A70,'[1]Définition Maintenances'!$K:$K,0)),DF70,INDEX('[1]Définition Maintenances'!$G:$G,MATCH($A70,'[1]Définition Maintenances'!$K:$K,0))+DF70),DF70))</f>
        <v>883</v>
      </c>
      <c r="DH70" s="26">
        <f>IF(ISNUMBER(VLOOKUP($D70,'Visu totale'!$D:$DH,DH$1,0)),DG70-VLOOKUP($D70,'Visu totale'!$D:$DH,DH$1,0),IF(LEFT(VLOOKUP($D70,'Visu totale'!$D:$DH,DH$1,0),1)="V",IF(DG70&gt;=INDEX('[1]Définition Maintenances'!$G:$G,MATCH($A70,'[1]Définition Maintenances'!$K:$K,0)),DG70,INDEX('[1]Définition Maintenances'!$G:$G,MATCH($A70,'[1]Définition Maintenances'!$K:$K,0))+DG70),DG70))</f>
        <v>883</v>
      </c>
      <c r="DI70" s="27">
        <f>IF(ISNUMBER(VLOOKUP($D70,'Visu totale'!$D:$DH,DI$1,0)),DH70-VLOOKUP($D70,'Visu totale'!$D:$DH,DI$1,0),IF(LEFT(VLOOKUP($D70,'Visu totale'!$D:$DH,DI$1,0),1)="V",IF(DH70&gt;=INDEX('[1]Définition Maintenances'!$G:$G,MATCH($A70,'[1]Définition Maintenances'!$K:$K,0)),DH70,INDEX('[1]Définition Maintenances'!$G:$G,MATCH($A70,'[1]Définition Maintenances'!$K:$K,0))+DH70),DH70))</f>
        <v>883</v>
      </c>
    </row>
    <row r="71" spans="1:113" x14ac:dyDescent="0.25">
      <c r="A71" s="13" t="str">
        <f t="shared" si="2"/>
        <v>V15D</v>
      </c>
      <c r="B71" s="13" t="str">
        <f>VLOOKUP(D71,'[1]Avions (Potentiels)'!$B$2:$H$128,7,FALSE)</f>
        <v>V15</v>
      </c>
      <c r="C71" s="13"/>
      <c r="D71" s="16" t="s">
        <v>74</v>
      </c>
      <c r="E71" s="13">
        <f>IFERROR(VALUE(SUBSTITUTE(VLOOKUP(D71,'[1]Avions (Potentiels)'!$B:$E,4,0),".",",")),VALUE(VLOOKUP(D71,'[1]Avions (Potentiels)'!$B:$E,4,0)))</f>
        <v>252</v>
      </c>
      <c r="F71" s="25">
        <f>IF(ISNUMBER(VLOOKUP($D71,'Visu totale'!$D:$DH,F$1,0)),E71-VLOOKUP($D71,'Visu totale'!$D:$DH,F$1,0),IF(LEFT(VLOOKUP($D71,'Visu totale'!$D:$DH,F$1,0),1)="V",IF(E71&gt;=INDEX('[1]Définition Maintenances'!$G:$G,MATCH($A71,'[1]Définition Maintenances'!$K:$K,0)),E71,INDEX('[1]Définition Maintenances'!$G:$G,MATCH($A71,'[1]Définition Maintenances'!$K:$K,0))+E71),E71))</f>
        <v>252</v>
      </c>
      <c r="G71" s="26">
        <f>IF(ISNUMBER(VLOOKUP($D71,'Visu totale'!$D:$DH,G$1,0)),F71-VLOOKUP($D71,'Visu totale'!$D:$DH,G$1,0),IF(LEFT(VLOOKUP($D71,'Visu totale'!$D:$DH,G$1,0),1)="V",IF(F71&gt;=INDEX('[1]Définition Maintenances'!$G:$G,MATCH($A71,'[1]Définition Maintenances'!$K:$K,0)),F71,INDEX('[1]Définition Maintenances'!$G:$G,MATCH($A71,'[1]Définition Maintenances'!$K:$K,0))+F71),F71))</f>
        <v>252</v>
      </c>
      <c r="H71" s="26">
        <f>IF(ISNUMBER(VLOOKUP($D71,'Visu totale'!$D:$DH,H$1,0)),G71-VLOOKUP($D71,'Visu totale'!$D:$DH,H$1,0),IF(LEFT(VLOOKUP($D71,'Visu totale'!$D:$DH,H$1,0),1)="V",IF(G71&gt;=INDEX('[1]Définition Maintenances'!$G:$G,MATCH($A71,'[1]Définition Maintenances'!$K:$K,0)),G71,INDEX('[1]Définition Maintenances'!$G:$G,MATCH($A71,'[1]Définition Maintenances'!$K:$K,0))+G71),G71))</f>
        <v>252</v>
      </c>
      <c r="I71" s="26">
        <f>IF(ISNUMBER(VLOOKUP($D71,'Visu totale'!$D:$DH,I$1,0)),H71-VLOOKUP($D71,'Visu totale'!$D:$DH,I$1,0),IF(LEFT(VLOOKUP($D71,'Visu totale'!$D:$DH,I$1,0),1)="V",IF(H71&gt;=INDEX('[1]Définition Maintenances'!$G:$G,MATCH($A71,'[1]Définition Maintenances'!$K:$K,0)),H71,INDEX('[1]Définition Maintenances'!$G:$G,MATCH($A71,'[1]Définition Maintenances'!$K:$K,0))+H71),H71))</f>
        <v>252</v>
      </c>
      <c r="J71" s="26">
        <f>IF(ISNUMBER(VLOOKUP($D71,'Visu totale'!$D:$DH,J$1,0)),I71-VLOOKUP($D71,'Visu totale'!$D:$DH,J$1,0),IF(LEFT(VLOOKUP($D71,'Visu totale'!$D:$DH,J$1,0),1)="V",IF(I71&gt;=INDEX('[1]Définition Maintenances'!$G:$G,MATCH($A71,'[1]Définition Maintenances'!$K:$K,0)),I71,INDEX('[1]Définition Maintenances'!$G:$G,MATCH($A71,'[1]Définition Maintenances'!$K:$K,0))+I71),I71))</f>
        <v>252</v>
      </c>
      <c r="K71" s="26">
        <f>IF(ISNUMBER(VLOOKUP($D71,'Visu totale'!$D:$DH,K$1,0)),J71-VLOOKUP($D71,'Visu totale'!$D:$DH,K$1,0),IF(LEFT(VLOOKUP($D71,'Visu totale'!$D:$DH,K$1,0),1)="V",IF(J71&gt;=INDEX('[1]Définition Maintenances'!$G:$G,MATCH($A71,'[1]Définition Maintenances'!$K:$K,0)),J71,INDEX('[1]Définition Maintenances'!$G:$G,MATCH($A71,'[1]Définition Maintenances'!$K:$K,0))+J71),J71))</f>
        <v>252</v>
      </c>
      <c r="L71" s="26">
        <f>IF(ISNUMBER(VLOOKUP($D71,'Visu totale'!$D:$DH,L$1,0)),K71-VLOOKUP($D71,'Visu totale'!$D:$DH,L$1,0),IF(LEFT(VLOOKUP($D71,'Visu totale'!$D:$DH,L$1,0),1)="V",IF(K71&gt;=INDEX('[1]Définition Maintenances'!$G:$G,MATCH($A71,'[1]Définition Maintenances'!$K:$K,0)),K71,INDEX('[1]Définition Maintenances'!$G:$G,MATCH($A71,'[1]Définition Maintenances'!$K:$K,0))+K71),K71))</f>
        <v>252</v>
      </c>
      <c r="M71" s="26">
        <f>IF(ISNUMBER(VLOOKUP($D71,'Visu totale'!$D:$DH,M$1,0)),L71-VLOOKUP($D71,'Visu totale'!$D:$DH,M$1,0),IF(LEFT(VLOOKUP($D71,'Visu totale'!$D:$DH,M$1,0),1)="V",IF(L71&gt;=INDEX('[1]Définition Maintenances'!$G:$G,MATCH($A71,'[1]Définition Maintenances'!$K:$K,0)),L71,INDEX('[1]Définition Maintenances'!$G:$G,MATCH($A71,'[1]Définition Maintenances'!$K:$K,0))+L71),L71))</f>
        <v>252</v>
      </c>
      <c r="N71" s="26">
        <f>IF(ISNUMBER(VLOOKUP($D71,'Visu totale'!$D:$DH,N$1,0)),M71-VLOOKUP($D71,'Visu totale'!$D:$DH,N$1,0),IF(LEFT(VLOOKUP($D71,'Visu totale'!$D:$DH,N$1,0),1)="V",IF(M71&gt;=INDEX('[1]Définition Maintenances'!$G:$G,MATCH($A71,'[1]Définition Maintenances'!$K:$K,0)),M71,INDEX('[1]Définition Maintenances'!$G:$G,MATCH($A71,'[1]Définition Maintenances'!$K:$K,0))+M71),M71))</f>
        <v>252</v>
      </c>
      <c r="O71" s="26">
        <f>IF(ISNUMBER(VLOOKUP($D71,'Visu totale'!$D:$DH,O$1,0)),N71-VLOOKUP($D71,'Visu totale'!$D:$DH,O$1,0),IF(LEFT(VLOOKUP($D71,'Visu totale'!$D:$DH,O$1,0),1)="V",IF(N71&gt;=INDEX('[1]Définition Maintenances'!$G:$G,MATCH($A71,'[1]Définition Maintenances'!$K:$K,0)),N71,INDEX('[1]Définition Maintenances'!$G:$G,MATCH($A71,'[1]Définition Maintenances'!$K:$K,0))+N71),N71))</f>
        <v>252</v>
      </c>
      <c r="P71" s="26">
        <f>IF(ISNUMBER(VLOOKUP($D71,'Visu totale'!$D:$DH,P$1,0)),O71-VLOOKUP($D71,'Visu totale'!$D:$DH,P$1,0),IF(LEFT(VLOOKUP($D71,'Visu totale'!$D:$DH,P$1,0),1)="V",IF(O71&gt;=INDEX('[1]Définition Maintenances'!$G:$G,MATCH($A71,'[1]Définition Maintenances'!$K:$K,0)),O71,INDEX('[1]Définition Maintenances'!$G:$G,MATCH($A71,'[1]Définition Maintenances'!$K:$K,0))+O71),O71))</f>
        <v>252</v>
      </c>
      <c r="Q71" s="27">
        <f>IF(ISNUMBER(VLOOKUP($D71,'Visu totale'!$D:$DH,Q$1,0)),P71-VLOOKUP($D71,'Visu totale'!$D:$DH,Q$1,0),IF(LEFT(VLOOKUP($D71,'Visu totale'!$D:$DH,Q$1,0),1)="V",IF(P71&gt;=INDEX('[1]Définition Maintenances'!$G:$G,MATCH($A71,'[1]Définition Maintenances'!$K:$K,0)),P71,INDEX('[1]Définition Maintenances'!$G:$G,MATCH($A71,'[1]Définition Maintenances'!$K:$K,0))+P71),P71))</f>
        <v>252</v>
      </c>
      <c r="R71" s="25">
        <f>IF(ISNUMBER(VLOOKUP($D71,'Visu totale'!$D:$DH,R$1,0)),Q71-VLOOKUP($D71,'Visu totale'!$D:$DH,R$1,0),IF(LEFT(VLOOKUP($D71,'Visu totale'!$D:$DH,R$1,0),1)="V",IF(Q71&gt;=INDEX('[1]Définition Maintenances'!$G:$G,MATCH($A71,'[1]Définition Maintenances'!$K:$K,0)),Q71,INDEX('[1]Définition Maintenances'!$G:$G,MATCH($A71,'[1]Définition Maintenances'!$K:$K,0))+Q71),Q71))</f>
        <v>252</v>
      </c>
      <c r="S71" s="26">
        <f>IF(ISNUMBER(VLOOKUP($D71,'Visu totale'!$D:$DH,S$1,0)),R71-VLOOKUP($D71,'Visu totale'!$D:$DH,S$1,0),IF(LEFT(VLOOKUP($D71,'Visu totale'!$D:$DH,S$1,0),1)="V",IF(R71&gt;=INDEX('[1]Définition Maintenances'!$G:$G,MATCH($A71,'[1]Définition Maintenances'!$K:$K,0)),R71,INDEX('[1]Définition Maintenances'!$G:$G,MATCH($A71,'[1]Définition Maintenances'!$K:$K,0))+R71),R71))</f>
        <v>252</v>
      </c>
      <c r="T71" s="26">
        <f>IF(ISNUMBER(VLOOKUP($D71,'Visu totale'!$D:$DH,T$1,0)),S71-VLOOKUP($D71,'Visu totale'!$D:$DH,T$1,0),IF(LEFT(VLOOKUP($D71,'Visu totale'!$D:$DH,T$1,0),1)="V",IF(S71&gt;=INDEX('[1]Définition Maintenances'!$G:$G,MATCH($A71,'[1]Définition Maintenances'!$K:$K,0)),S71,INDEX('[1]Définition Maintenances'!$G:$G,MATCH($A71,'[1]Définition Maintenances'!$K:$K,0))+S71),S71))</f>
        <v>252</v>
      </c>
      <c r="U71" s="26">
        <f>IF(ISNUMBER(VLOOKUP($D71,'Visu totale'!$D:$DH,U$1,0)),T71-VLOOKUP($D71,'Visu totale'!$D:$DH,U$1,0),IF(LEFT(VLOOKUP($D71,'Visu totale'!$D:$DH,U$1,0),1)="V",IF(T71&gt;=INDEX('[1]Définition Maintenances'!$G:$G,MATCH($A71,'[1]Définition Maintenances'!$K:$K,0)),T71,INDEX('[1]Définition Maintenances'!$G:$G,MATCH($A71,'[1]Définition Maintenances'!$K:$K,0))+T71),T71))</f>
        <v>252</v>
      </c>
      <c r="V71" s="26">
        <f>IF(ISNUMBER(VLOOKUP($D71,'Visu totale'!$D:$DH,V$1,0)),U71-VLOOKUP($D71,'Visu totale'!$D:$DH,V$1,0),IF(LEFT(VLOOKUP($D71,'Visu totale'!$D:$DH,V$1,0),1)="V",IF(U71&gt;=INDEX('[1]Définition Maintenances'!$G:$G,MATCH($A71,'[1]Définition Maintenances'!$K:$K,0)),U71,INDEX('[1]Définition Maintenances'!$G:$G,MATCH($A71,'[1]Définition Maintenances'!$K:$K,0))+U71),U71))</f>
        <v>252</v>
      </c>
      <c r="W71" s="26">
        <f>IF(ISNUMBER(VLOOKUP($D71,'Visu totale'!$D:$DH,W$1,0)),V71-VLOOKUP($D71,'Visu totale'!$D:$DH,W$1,0),IF(LEFT(VLOOKUP($D71,'Visu totale'!$D:$DH,W$1,0),1)="V",IF(V71&gt;=INDEX('[1]Définition Maintenances'!$G:$G,MATCH($A71,'[1]Définition Maintenances'!$K:$K,0)),V71,INDEX('[1]Définition Maintenances'!$G:$G,MATCH($A71,'[1]Définition Maintenances'!$K:$K,0))+V71),V71))</f>
        <v>252</v>
      </c>
      <c r="X71" s="26">
        <f>IF(ISNUMBER(VLOOKUP($D71,'Visu totale'!$D:$DH,X$1,0)),W71-VLOOKUP($D71,'Visu totale'!$D:$DH,X$1,0),IF(LEFT(VLOOKUP($D71,'Visu totale'!$D:$DH,X$1,0),1)="V",IF(W71&gt;=INDEX('[1]Définition Maintenances'!$G:$G,MATCH($A71,'[1]Définition Maintenances'!$K:$K,0)),W71,INDEX('[1]Définition Maintenances'!$G:$G,MATCH($A71,'[1]Définition Maintenances'!$K:$K,0))+W71),W71))</f>
        <v>252</v>
      </c>
      <c r="Y71" s="26">
        <f>IF(ISNUMBER(VLOOKUP($D71,'Visu totale'!$D:$DH,Y$1,0)),X71-VLOOKUP($D71,'Visu totale'!$D:$DH,Y$1,0),IF(LEFT(VLOOKUP($D71,'Visu totale'!$D:$DH,Y$1,0),1)="V",IF(X71&gt;=INDEX('[1]Définition Maintenances'!$G:$G,MATCH($A71,'[1]Définition Maintenances'!$K:$K,0)),X71,INDEX('[1]Définition Maintenances'!$G:$G,MATCH($A71,'[1]Définition Maintenances'!$K:$K,0))+X71),X71))</f>
        <v>252</v>
      </c>
      <c r="Z71" s="26">
        <f>IF(ISNUMBER(VLOOKUP($D71,'Visu totale'!$D:$DH,Z$1,0)),Y71-VLOOKUP($D71,'Visu totale'!$D:$DH,Z$1,0),IF(LEFT(VLOOKUP($D71,'Visu totale'!$D:$DH,Z$1,0),1)="V",IF(Y71&gt;=INDEX('[1]Définition Maintenances'!$G:$G,MATCH($A71,'[1]Définition Maintenances'!$K:$K,0)),Y71,INDEX('[1]Définition Maintenances'!$G:$G,MATCH($A71,'[1]Définition Maintenances'!$K:$K,0))+Y71),Y71))</f>
        <v>252</v>
      </c>
      <c r="AA71" s="26">
        <f>IF(ISNUMBER(VLOOKUP($D71,'Visu totale'!$D:$DH,AA$1,0)),Z71-VLOOKUP($D71,'Visu totale'!$D:$DH,AA$1,0),IF(LEFT(VLOOKUP($D71,'Visu totale'!$D:$DH,AA$1,0),1)="V",IF(Z71&gt;=INDEX('[1]Définition Maintenances'!$G:$G,MATCH($A71,'[1]Définition Maintenances'!$K:$K,0)),Z71,INDEX('[1]Définition Maintenances'!$G:$G,MATCH($A71,'[1]Définition Maintenances'!$K:$K,0))+Z71),Z71))</f>
        <v>252</v>
      </c>
      <c r="AB71" s="26">
        <f>IF(ISNUMBER(VLOOKUP($D71,'Visu totale'!$D:$DH,AB$1,0)),AA71-VLOOKUP($D71,'Visu totale'!$D:$DH,AB$1,0),IF(LEFT(VLOOKUP($D71,'Visu totale'!$D:$DH,AB$1,0),1)="V",IF(AA71&gt;=INDEX('[1]Définition Maintenances'!$G:$G,MATCH($A71,'[1]Définition Maintenances'!$K:$K,0)),AA71,INDEX('[1]Définition Maintenances'!$G:$G,MATCH($A71,'[1]Définition Maintenances'!$K:$K,0))+AA71),AA71))</f>
        <v>252</v>
      </c>
      <c r="AC71" s="27">
        <f>IF(ISNUMBER(VLOOKUP($D71,'Visu totale'!$D:$DH,AC$1,0)),AB71-VLOOKUP($D71,'Visu totale'!$D:$DH,AC$1,0),IF(LEFT(VLOOKUP($D71,'Visu totale'!$D:$DH,AC$1,0),1)="V",IF(AB71&gt;=INDEX('[1]Définition Maintenances'!$G:$G,MATCH($A71,'[1]Définition Maintenances'!$K:$K,0)),AB71,INDEX('[1]Définition Maintenances'!$G:$G,MATCH($A71,'[1]Définition Maintenances'!$K:$K,0))+AB71),AB71))</f>
        <v>252</v>
      </c>
      <c r="AD71" s="25">
        <f>IF(ISNUMBER(VLOOKUP($D71,'Visu totale'!$D:$DH,AD$1,0)),AC71-VLOOKUP($D71,'Visu totale'!$D:$DH,AD$1,0),IF(LEFT(VLOOKUP($D71,'Visu totale'!$D:$DH,AD$1,0),1)="V",IF(AC71&gt;=INDEX('[1]Définition Maintenances'!$G:$G,MATCH($A71,'[1]Définition Maintenances'!$K:$K,0)),AC71,INDEX('[1]Définition Maintenances'!$G:$G,MATCH($A71,'[1]Définition Maintenances'!$K:$K,0))+AC71),AC71))</f>
        <v>252</v>
      </c>
      <c r="AE71" s="26">
        <f>IF(ISNUMBER(VLOOKUP($D71,'Visu totale'!$D:$DH,AE$1,0)),AD71-VLOOKUP($D71,'Visu totale'!$D:$DH,AE$1,0),IF(LEFT(VLOOKUP($D71,'Visu totale'!$D:$DH,AE$1,0),1)="V",IF(AD71&gt;=INDEX('[1]Définition Maintenances'!$G:$G,MATCH($A71,'[1]Définition Maintenances'!$K:$K,0)),AD71,INDEX('[1]Définition Maintenances'!$G:$G,MATCH($A71,'[1]Définition Maintenances'!$K:$K,0))+AD71),AD71))</f>
        <v>252</v>
      </c>
      <c r="AF71" s="26">
        <f>IF(ISNUMBER(VLOOKUP($D71,'Visu totale'!$D:$DH,AF$1,0)),AE71-VLOOKUP($D71,'Visu totale'!$D:$DH,AF$1,0),IF(LEFT(VLOOKUP($D71,'Visu totale'!$D:$DH,AF$1,0),1)="V",IF(AE71&gt;=INDEX('[1]Définition Maintenances'!$G:$G,MATCH($A71,'[1]Définition Maintenances'!$K:$K,0)),AE71,INDEX('[1]Définition Maintenances'!$G:$G,MATCH($A71,'[1]Définition Maintenances'!$K:$K,0))+AE71),AE71))</f>
        <v>252</v>
      </c>
      <c r="AG71" s="26">
        <f>IF(ISNUMBER(VLOOKUP($D71,'Visu totale'!$D:$DH,AG$1,0)),AF71-VLOOKUP($D71,'Visu totale'!$D:$DH,AG$1,0),IF(LEFT(VLOOKUP($D71,'Visu totale'!$D:$DH,AG$1,0),1)="V",IF(AF71&gt;=INDEX('[1]Définition Maintenances'!$G:$G,MATCH($A71,'[1]Définition Maintenances'!$K:$K,0)),AF71,INDEX('[1]Définition Maintenances'!$G:$G,MATCH($A71,'[1]Définition Maintenances'!$K:$K,0))+AF71),AF71))</f>
        <v>252</v>
      </c>
      <c r="AH71" s="26">
        <f>IF(ISNUMBER(VLOOKUP($D71,'Visu totale'!$D:$DH,AH$1,0)),AG71-VLOOKUP($D71,'Visu totale'!$D:$DH,AH$1,0),IF(LEFT(VLOOKUP($D71,'Visu totale'!$D:$DH,AH$1,0),1)="V",IF(AG71&gt;=INDEX('[1]Définition Maintenances'!$G:$G,MATCH($A71,'[1]Définition Maintenances'!$K:$K,0)),AG71,INDEX('[1]Définition Maintenances'!$G:$G,MATCH($A71,'[1]Définition Maintenances'!$K:$K,0))+AG71),AG71))</f>
        <v>252</v>
      </c>
      <c r="AI71" s="26">
        <f>IF(ISNUMBER(VLOOKUP($D71,'Visu totale'!$D:$DH,AI$1,0)),AH71-VLOOKUP($D71,'Visu totale'!$D:$DH,AI$1,0),IF(LEFT(VLOOKUP($D71,'Visu totale'!$D:$DH,AI$1,0),1)="V",IF(AH71&gt;=INDEX('[1]Définition Maintenances'!$G:$G,MATCH($A71,'[1]Définition Maintenances'!$K:$K,0)),AH71,INDEX('[1]Définition Maintenances'!$G:$G,MATCH($A71,'[1]Définition Maintenances'!$K:$K,0))+AH71),AH71))</f>
        <v>252</v>
      </c>
      <c r="AJ71" s="26">
        <f>IF(ISNUMBER(VLOOKUP($D71,'Visu totale'!$D:$DH,AJ$1,0)),AI71-VLOOKUP($D71,'Visu totale'!$D:$DH,AJ$1,0),IF(LEFT(VLOOKUP($D71,'Visu totale'!$D:$DH,AJ$1,0),1)="V",IF(AI71&gt;=INDEX('[1]Définition Maintenances'!$G:$G,MATCH($A71,'[1]Définition Maintenances'!$K:$K,0)),AI71,INDEX('[1]Définition Maintenances'!$G:$G,MATCH($A71,'[1]Définition Maintenances'!$K:$K,0))+AI71),AI71))</f>
        <v>252</v>
      </c>
      <c r="AK71" s="26">
        <f>IF(ISNUMBER(VLOOKUP($D71,'Visu totale'!$D:$DH,AK$1,0)),AJ71-VLOOKUP($D71,'Visu totale'!$D:$DH,AK$1,0),IF(LEFT(VLOOKUP($D71,'Visu totale'!$D:$DH,AK$1,0),1)="V",IF(AJ71&gt;=INDEX('[1]Définition Maintenances'!$G:$G,MATCH($A71,'[1]Définition Maintenances'!$K:$K,0)),AJ71,INDEX('[1]Définition Maintenances'!$G:$G,MATCH($A71,'[1]Définition Maintenances'!$K:$K,0))+AJ71),AJ71))</f>
        <v>252</v>
      </c>
      <c r="AL71" s="26">
        <f>IF(ISNUMBER(VLOOKUP($D71,'Visu totale'!$D:$DH,AL$1,0)),AK71-VLOOKUP($D71,'Visu totale'!$D:$DH,AL$1,0),IF(LEFT(VLOOKUP($D71,'Visu totale'!$D:$DH,AL$1,0),1)="V",IF(AK71&gt;=INDEX('[1]Définition Maintenances'!$G:$G,MATCH($A71,'[1]Définition Maintenances'!$K:$K,0)),AK71,INDEX('[1]Définition Maintenances'!$G:$G,MATCH($A71,'[1]Définition Maintenances'!$K:$K,0))+AK71),AK71))</f>
        <v>252</v>
      </c>
      <c r="AM71" s="26">
        <f>IF(ISNUMBER(VLOOKUP($D71,'Visu totale'!$D:$DH,AM$1,0)),AL71-VLOOKUP($D71,'Visu totale'!$D:$DH,AM$1,0),IF(LEFT(VLOOKUP($D71,'Visu totale'!$D:$DH,AM$1,0),1)="V",IF(AL71&gt;=INDEX('[1]Définition Maintenances'!$G:$G,MATCH($A71,'[1]Définition Maintenances'!$K:$K,0)),AL71,INDEX('[1]Définition Maintenances'!$G:$G,MATCH($A71,'[1]Définition Maintenances'!$K:$K,0))+AL71),AL71))</f>
        <v>252</v>
      </c>
      <c r="AN71" s="26">
        <f>IF(ISNUMBER(VLOOKUP($D71,'Visu totale'!$D:$DH,AN$1,0)),AM71-VLOOKUP($D71,'Visu totale'!$D:$DH,AN$1,0),IF(LEFT(VLOOKUP($D71,'Visu totale'!$D:$DH,AN$1,0),1)="V",IF(AM71&gt;=INDEX('[1]Définition Maintenances'!$G:$G,MATCH($A71,'[1]Définition Maintenances'!$K:$K,0)),AM71,INDEX('[1]Définition Maintenances'!$G:$G,MATCH($A71,'[1]Définition Maintenances'!$K:$K,0))+AM71),AM71))</f>
        <v>252</v>
      </c>
      <c r="AO71" s="27">
        <f>IF(ISNUMBER(VLOOKUP($D71,'Visu totale'!$D:$DH,AO$1,0)),AN71-VLOOKUP($D71,'Visu totale'!$D:$DH,AO$1,0),IF(LEFT(VLOOKUP($D71,'Visu totale'!$D:$DH,AO$1,0),1)="V",IF(AN71&gt;=INDEX('[1]Définition Maintenances'!$G:$G,MATCH($A71,'[1]Définition Maintenances'!$K:$K,0)),AN71,INDEX('[1]Définition Maintenances'!$G:$G,MATCH($A71,'[1]Définition Maintenances'!$K:$K,0))+AN71),AN71))</f>
        <v>252</v>
      </c>
      <c r="AP71" s="25">
        <f>IF(ISNUMBER(VLOOKUP($D71,'Visu totale'!$D:$DH,AP$1,0)),AO71-VLOOKUP($D71,'Visu totale'!$D:$DH,AP$1,0),IF(LEFT(VLOOKUP($D71,'Visu totale'!$D:$DH,AP$1,0),1)="V",IF(AO71&gt;=INDEX('[1]Définition Maintenances'!$G:$G,MATCH($A71,'[1]Définition Maintenances'!$K:$K,0)),AO71,INDEX('[1]Définition Maintenances'!$G:$G,MATCH($A71,'[1]Définition Maintenances'!$K:$K,0))+AO71),AO71))</f>
        <v>252</v>
      </c>
      <c r="AQ71" s="26">
        <f>IF(ISNUMBER(VLOOKUP($D71,'Visu totale'!$D:$DH,AQ$1,0)),AP71-VLOOKUP($D71,'Visu totale'!$D:$DH,AQ$1,0),IF(LEFT(VLOOKUP($D71,'Visu totale'!$D:$DH,AQ$1,0),1)="V",IF(AP71&gt;=INDEX('[1]Définition Maintenances'!$G:$G,MATCH($A71,'[1]Définition Maintenances'!$K:$K,0)),AP71,INDEX('[1]Définition Maintenances'!$G:$G,MATCH($A71,'[1]Définition Maintenances'!$K:$K,0))+AP71),AP71))</f>
        <v>252</v>
      </c>
      <c r="AR71" s="26">
        <f>IF(ISNUMBER(VLOOKUP($D71,'Visu totale'!$D:$DH,AR$1,0)),AQ71-VLOOKUP($D71,'Visu totale'!$D:$DH,AR$1,0),IF(LEFT(VLOOKUP($D71,'Visu totale'!$D:$DH,AR$1,0),1)="V",IF(AQ71&gt;=INDEX('[1]Définition Maintenances'!$G:$G,MATCH($A71,'[1]Définition Maintenances'!$K:$K,0)),AQ71,INDEX('[1]Définition Maintenances'!$G:$G,MATCH($A71,'[1]Définition Maintenances'!$K:$K,0))+AQ71),AQ71))</f>
        <v>252</v>
      </c>
      <c r="AS71" s="26">
        <f>IF(ISNUMBER(VLOOKUP($D71,'Visu totale'!$D:$DH,AS$1,0)),AR71-VLOOKUP($D71,'Visu totale'!$D:$DH,AS$1,0),IF(LEFT(VLOOKUP($D71,'Visu totale'!$D:$DH,AS$1,0),1)="V",IF(AR71&gt;=INDEX('[1]Définition Maintenances'!$G:$G,MATCH($A71,'[1]Définition Maintenances'!$K:$K,0)),AR71,INDEX('[1]Définition Maintenances'!$G:$G,MATCH($A71,'[1]Définition Maintenances'!$K:$K,0))+AR71),AR71))</f>
        <v>252</v>
      </c>
      <c r="AT71" s="26">
        <f>IF(ISNUMBER(VLOOKUP($D71,'Visu totale'!$D:$DH,AT$1,0)),AS71-VLOOKUP($D71,'Visu totale'!$D:$DH,AT$1,0),IF(LEFT(VLOOKUP($D71,'Visu totale'!$D:$DH,AT$1,0),1)="V",IF(AS71&gt;=INDEX('[1]Définition Maintenances'!$G:$G,MATCH($A71,'[1]Définition Maintenances'!$K:$K,0)),AS71,INDEX('[1]Définition Maintenances'!$G:$G,MATCH($A71,'[1]Définition Maintenances'!$K:$K,0))+AS71),AS71))</f>
        <v>252</v>
      </c>
      <c r="AU71" s="26">
        <f>IF(ISNUMBER(VLOOKUP($D71,'Visu totale'!$D:$DH,AU$1,0)),AT71-VLOOKUP($D71,'Visu totale'!$D:$DH,AU$1,0),IF(LEFT(VLOOKUP($D71,'Visu totale'!$D:$DH,AU$1,0),1)="V",IF(AT71&gt;=INDEX('[1]Définition Maintenances'!$G:$G,MATCH($A71,'[1]Définition Maintenances'!$K:$K,0)),AT71,INDEX('[1]Définition Maintenances'!$G:$G,MATCH($A71,'[1]Définition Maintenances'!$K:$K,0))+AT71),AT71))</f>
        <v>252</v>
      </c>
      <c r="AV71" s="26">
        <f>IF(ISNUMBER(VLOOKUP($D71,'Visu totale'!$D:$DH,AV$1,0)),AU71-VLOOKUP($D71,'Visu totale'!$D:$DH,AV$1,0),IF(LEFT(VLOOKUP($D71,'Visu totale'!$D:$DH,AV$1,0),1)="V",IF(AU71&gt;=INDEX('[1]Définition Maintenances'!$G:$G,MATCH($A71,'[1]Définition Maintenances'!$K:$K,0)),AU71,INDEX('[1]Définition Maintenances'!$G:$G,MATCH($A71,'[1]Définition Maintenances'!$K:$K,0))+AU71),AU71))</f>
        <v>252</v>
      </c>
      <c r="AW71" s="26">
        <f>IF(ISNUMBER(VLOOKUP($D71,'Visu totale'!$D:$DH,AW$1,0)),AV71-VLOOKUP($D71,'Visu totale'!$D:$DH,AW$1,0),IF(LEFT(VLOOKUP($D71,'Visu totale'!$D:$DH,AW$1,0),1)="V",IF(AV71&gt;=INDEX('[1]Définition Maintenances'!$G:$G,MATCH($A71,'[1]Définition Maintenances'!$K:$K,0)),AV71,INDEX('[1]Définition Maintenances'!$G:$G,MATCH($A71,'[1]Définition Maintenances'!$K:$K,0))+AV71),AV71))</f>
        <v>252</v>
      </c>
      <c r="AX71" s="26">
        <f>IF(ISNUMBER(VLOOKUP($D71,'Visu totale'!$D:$DH,AX$1,0)),AW71-VLOOKUP($D71,'Visu totale'!$D:$DH,AX$1,0),IF(LEFT(VLOOKUP($D71,'Visu totale'!$D:$DH,AX$1,0),1)="V",IF(AW71&gt;=INDEX('[1]Définition Maintenances'!$G:$G,MATCH($A71,'[1]Définition Maintenances'!$K:$K,0)),AW71,INDEX('[1]Définition Maintenances'!$G:$G,MATCH($A71,'[1]Définition Maintenances'!$K:$K,0))+AW71),AW71))</f>
        <v>252</v>
      </c>
      <c r="AY71" s="26">
        <f>IF(ISNUMBER(VLOOKUP($D71,'Visu totale'!$D:$DH,AY$1,0)),AX71-VLOOKUP($D71,'Visu totale'!$D:$DH,AY$1,0),IF(LEFT(VLOOKUP($D71,'Visu totale'!$D:$DH,AY$1,0),1)="V",IF(AX71&gt;=INDEX('[1]Définition Maintenances'!$G:$G,MATCH($A71,'[1]Définition Maintenances'!$K:$K,0)),AX71,INDEX('[1]Définition Maintenances'!$G:$G,MATCH($A71,'[1]Définition Maintenances'!$K:$K,0))+AX71),AX71))</f>
        <v>252</v>
      </c>
      <c r="AZ71" s="26">
        <f>IF(ISNUMBER(VLOOKUP($D71,'Visu totale'!$D:$DH,AZ$1,0)),AY71-VLOOKUP($D71,'Visu totale'!$D:$DH,AZ$1,0),IF(LEFT(VLOOKUP($D71,'Visu totale'!$D:$DH,AZ$1,0),1)="V",IF(AY71&gt;=INDEX('[1]Définition Maintenances'!$G:$G,MATCH($A71,'[1]Définition Maintenances'!$K:$K,0)),AY71,INDEX('[1]Définition Maintenances'!$G:$G,MATCH($A71,'[1]Définition Maintenances'!$K:$K,0))+AY71),AY71))</f>
        <v>252</v>
      </c>
      <c r="BA71" s="27">
        <f>IF(ISNUMBER(VLOOKUP($D71,'Visu totale'!$D:$DH,BA$1,0)),AZ71-VLOOKUP($D71,'Visu totale'!$D:$DH,BA$1,0),IF(LEFT(VLOOKUP($D71,'Visu totale'!$D:$DH,BA$1,0),1)="V",IF(AZ71&gt;=INDEX('[1]Définition Maintenances'!$G:$G,MATCH($A71,'[1]Définition Maintenances'!$K:$K,0)),AZ71,INDEX('[1]Définition Maintenances'!$G:$G,MATCH($A71,'[1]Définition Maintenances'!$K:$K,0))+AZ71),AZ71))</f>
        <v>252</v>
      </c>
      <c r="BB71" s="25">
        <f>IF(ISNUMBER(VLOOKUP($D71,'Visu totale'!$D:$DH,BB$1,0)),BA71-VLOOKUP($D71,'Visu totale'!$D:$DH,BB$1,0),IF(LEFT(VLOOKUP($D71,'Visu totale'!$D:$DH,BB$1,0),1)="V",IF(BA71&gt;=INDEX('[1]Définition Maintenances'!$G:$G,MATCH($A71,'[1]Définition Maintenances'!$K:$K,0)),BA71,INDEX('[1]Définition Maintenances'!$G:$G,MATCH($A71,'[1]Définition Maintenances'!$K:$K,0))+BA71),BA71))</f>
        <v>252</v>
      </c>
      <c r="BC71" s="26">
        <f>IF(ISNUMBER(VLOOKUP($D71,'Visu totale'!$D:$DH,BC$1,0)),BB71-VLOOKUP($D71,'Visu totale'!$D:$DH,BC$1,0),IF(LEFT(VLOOKUP($D71,'Visu totale'!$D:$DH,BC$1,0),1)="V",IF(BB71&gt;=INDEX('[1]Définition Maintenances'!$G:$G,MATCH($A71,'[1]Définition Maintenances'!$K:$K,0)),BB71,INDEX('[1]Définition Maintenances'!$G:$G,MATCH($A71,'[1]Définition Maintenances'!$K:$K,0))+BB71),BB71))</f>
        <v>252</v>
      </c>
      <c r="BD71" s="26">
        <f>IF(ISNUMBER(VLOOKUP($D71,'Visu totale'!$D:$DH,BD$1,0)),BC71-VLOOKUP($D71,'Visu totale'!$D:$DH,BD$1,0),IF(LEFT(VLOOKUP($D71,'Visu totale'!$D:$DH,BD$1,0),1)="V",IF(BC71&gt;=INDEX('[1]Définition Maintenances'!$G:$G,MATCH($A71,'[1]Définition Maintenances'!$K:$K,0)),BC71,INDEX('[1]Définition Maintenances'!$G:$G,MATCH($A71,'[1]Définition Maintenances'!$K:$K,0))+BC71),BC71))</f>
        <v>252</v>
      </c>
      <c r="BE71" s="26">
        <f>IF(ISNUMBER(VLOOKUP($D71,'Visu totale'!$D:$DH,BE$1,0)),BD71-VLOOKUP($D71,'Visu totale'!$D:$DH,BE$1,0),IF(LEFT(VLOOKUP($D71,'Visu totale'!$D:$DH,BE$1,0),1)="V",IF(BD71&gt;=INDEX('[1]Définition Maintenances'!$G:$G,MATCH($A71,'[1]Définition Maintenances'!$K:$K,0)),BD71,INDEX('[1]Définition Maintenances'!$G:$G,MATCH($A71,'[1]Définition Maintenances'!$K:$K,0))+BD71),BD71))</f>
        <v>252</v>
      </c>
      <c r="BF71" s="26">
        <f>IF(ISNUMBER(VLOOKUP($D71,'Visu totale'!$D:$DH,BF$1,0)),BE71-VLOOKUP($D71,'Visu totale'!$D:$DH,BF$1,0),IF(LEFT(VLOOKUP($D71,'Visu totale'!$D:$DH,BF$1,0),1)="V",IF(BE71&gt;=INDEX('[1]Définition Maintenances'!$G:$G,MATCH($A71,'[1]Définition Maintenances'!$K:$K,0)),BE71,INDEX('[1]Définition Maintenances'!$G:$G,MATCH($A71,'[1]Définition Maintenances'!$K:$K,0))+BE71),BE71))</f>
        <v>252</v>
      </c>
      <c r="BG71" s="26">
        <f>IF(ISNUMBER(VLOOKUP($D71,'Visu totale'!$D:$DH,BG$1,0)),BF71-VLOOKUP($D71,'Visu totale'!$D:$DH,BG$1,0),IF(LEFT(VLOOKUP($D71,'Visu totale'!$D:$DH,BG$1,0),1)="V",IF(BF71&gt;=INDEX('[1]Définition Maintenances'!$G:$G,MATCH($A71,'[1]Définition Maintenances'!$K:$K,0)),BF71,INDEX('[1]Définition Maintenances'!$G:$G,MATCH($A71,'[1]Définition Maintenances'!$K:$K,0))+BF71),BF71))</f>
        <v>252</v>
      </c>
      <c r="BH71" s="26">
        <f>IF(ISNUMBER(VLOOKUP($D71,'Visu totale'!$D:$DH,BH$1,0)),BG71-VLOOKUP($D71,'Visu totale'!$D:$DH,BH$1,0),IF(LEFT(VLOOKUP($D71,'Visu totale'!$D:$DH,BH$1,0),1)="V",IF(BG71&gt;=INDEX('[1]Définition Maintenances'!$G:$G,MATCH($A71,'[1]Définition Maintenances'!$K:$K,0)),BG71,INDEX('[1]Définition Maintenances'!$G:$G,MATCH($A71,'[1]Définition Maintenances'!$K:$K,0))+BG71),BG71))</f>
        <v>252</v>
      </c>
      <c r="BI71" s="26">
        <f>IF(ISNUMBER(VLOOKUP($D71,'Visu totale'!$D:$DH,BI$1,0)),BH71-VLOOKUP($D71,'Visu totale'!$D:$DH,BI$1,0),IF(LEFT(VLOOKUP($D71,'Visu totale'!$D:$DH,BI$1,0),1)="V",IF(BH71&gt;=INDEX('[1]Définition Maintenances'!$G:$G,MATCH($A71,'[1]Définition Maintenances'!$K:$K,0)),BH71,INDEX('[1]Définition Maintenances'!$G:$G,MATCH($A71,'[1]Définition Maintenances'!$K:$K,0))+BH71),BH71))</f>
        <v>252</v>
      </c>
      <c r="BJ71" s="26">
        <f>IF(ISNUMBER(VLOOKUP($D71,'Visu totale'!$D:$DH,BJ$1,0)),BI71-VLOOKUP($D71,'Visu totale'!$D:$DH,BJ$1,0),IF(LEFT(VLOOKUP($D71,'Visu totale'!$D:$DH,BJ$1,0),1)="V",IF(BI71&gt;=INDEX('[1]Définition Maintenances'!$G:$G,MATCH($A71,'[1]Définition Maintenances'!$K:$K,0)),BI71,INDEX('[1]Définition Maintenances'!$G:$G,MATCH($A71,'[1]Définition Maintenances'!$K:$K,0))+BI71),BI71))</f>
        <v>252</v>
      </c>
      <c r="BK71" s="26">
        <f>IF(ISNUMBER(VLOOKUP($D71,'Visu totale'!$D:$DH,BK$1,0)),BJ71-VLOOKUP($D71,'Visu totale'!$D:$DH,BK$1,0),IF(LEFT(VLOOKUP($D71,'Visu totale'!$D:$DH,BK$1,0),1)="V",IF(BJ71&gt;=INDEX('[1]Définition Maintenances'!$G:$G,MATCH($A71,'[1]Définition Maintenances'!$K:$K,0)),BJ71,INDEX('[1]Définition Maintenances'!$G:$G,MATCH($A71,'[1]Définition Maintenances'!$K:$K,0))+BJ71),BJ71))</f>
        <v>252</v>
      </c>
      <c r="BL71" s="26">
        <f>IF(ISNUMBER(VLOOKUP($D71,'Visu totale'!$D:$DH,BL$1,0)),BK71-VLOOKUP($D71,'Visu totale'!$D:$DH,BL$1,0),IF(LEFT(VLOOKUP($D71,'Visu totale'!$D:$DH,BL$1,0),1)="V",IF(BK71&gt;=INDEX('[1]Définition Maintenances'!$G:$G,MATCH($A71,'[1]Définition Maintenances'!$K:$K,0)),BK71,INDEX('[1]Définition Maintenances'!$G:$G,MATCH($A71,'[1]Définition Maintenances'!$K:$K,0))+BK71),BK71))</f>
        <v>252</v>
      </c>
      <c r="BM71" s="27">
        <f>IF(ISNUMBER(VLOOKUP($D71,'Visu totale'!$D:$DH,BM$1,0)),BL71-VLOOKUP($D71,'Visu totale'!$D:$DH,BM$1,0),IF(LEFT(VLOOKUP($D71,'Visu totale'!$D:$DH,BM$1,0),1)="V",IF(BL71&gt;=INDEX('[1]Définition Maintenances'!$G:$G,MATCH($A71,'[1]Définition Maintenances'!$K:$K,0)),BL71,INDEX('[1]Définition Maintenances'!$G:$G,MATCH($A71,'[1]Définition Maintenances'!$K:$K,0))+BL71),BL71))</f>
        <v>252</v>
      </c>
      <c r="BN71" s="25">
        <f>IF(ISNUMBER(VLOOKUP($D71,'Visu totale'!$D:$DH,BN$1,0)),BM71-VLOOKUP($D71,'Visu totale'!$D:$DH,BN$1,0),IF(LEFT(VLOOKUP($D71,'Visu totale'!$D:$DH,BN$1,0),1)="V",IF(BM71&gt;=INDEX('[1]Définition Maintenances'!$G:$G,MATCH($A71,'[1]Définition Maintenances'!$K:$K,0)),BM71,INDEX('[1]Définition Maintenances'!$G:$G,MATCH($A71,'[1]Définition Maintenances'!$K:$K,0))+BM71),BM71))</f>
        <v>252</v>
      </c>
      <c r="BO71" s="26">
        <f>IF(ISNUMBER(VLOOKUP($D71,'Visu totale'!$D:$DH,BO$1,0)),BN71-VLOOKUP($D71,'Visu totale'!$D:$DH,BO$1,0),IF(LEFT(VLOOKUP($D71,'Visu totale'!$D:$DH,BO$1,0),1)="V",IF(BN71&gt;=INDEX('[1]Définition Maintenances'!$G:$G,MATCH($A71,'[1]Définition Maintenances'!$K:$K,0)),BN71,INDEX('[1]Définition Maintenances'!$G:$G,MATCH($A71,'[1]Définition Maintenances'!$K:$K,0))+BN71),BN71))</f>
        <v>252</v>
      </c>
      <c r="BP71" s="26">
        <f>IF(ISNUMBER(VLOOKUP($D71,'Visu totale'!$D:$DH,BP$1,0)),BO71-VLOOKUP($D71,'Visu totale'!$D:$DH,BP$1,0),IF(LEFT(VLOOKUP($D71,'Visu totale'!$D:$DH,BP$1,0),1)="V",IF(BO71&gt;=INDEX('[1]Définition Maintenances'!$G:$G,MATCH($A71,'[1]Définition Maintenances'!$K:$K,0)),BO71,INDEX('[1]Définition Maintenances'!$G:$G,MATCH($A71,'[1]Définition Maintenances'!$K:$K,0))+BO71),BO71))</f>
        <v>252</v>
      </c>
      <c r="BQ71" s="26">
        <f>IF(ISNUMBER(VLOOKUP($D71,'Visu totale'!$D:$DH,BQ$1,0)),BP71-VLOOKUP($D71,'Visu totale'!$D:$DH,BQ$1,0),IF(LEFT(VLOOKUP($D71,'Visu totale'!$D:$DH,BQ$1,0),1)="V",IF(BP71&gt;=INDEX('[1]Définition Maintenances'!$G:$G,MATCH($A71,'[1]Définition Maintenances'!$K:$K,0)),BP71,INDEX('[1]Définition Maintenances'!$G:$G,MATCH($A71,'[1]Définition Maintenances'!$K:$K,0))+BP71),BP71))</f>
        <v>252</v>
      </c>
      <c r="BR71" s="26">
        <f>IF(ISNUMBER(VLOOKUP($D71,'Visu totale'!$D:$DH,BR$1,0)),BQ71-VLOOKUP($D71,'Visu totale'!$D:$DH,BR$1,0),IF(LEFT(VLOOKUP($D71,'Visu totale'!$D:$DH,BR$1,0),1)="V",IF(BQ71&gt;=INDEX('[1]Définition Maintenances'!$G:$G,MATCH($A71,'[1]Définition Maintenances'!$K:$K,0)),BQ71,INDEX('[1]Définition Maintenances'!$G:$G,MATCH($A71,'[1]Définition Maintenances'!$K:$K,0))+BQ71),BQ71))</f>
        <v>252</v>
      </c>
      <c r="BS71" s="26">
        <f>IF(ISNUMBER(VLOOKUP($D71,'Visu totale'!$D:$DH,BS$1,0)),BR71-VLOOKUP($D71,'Visu totale'!$D:$DH,BS$1,0),IF(LEFT(VLOOKUP($D71,'Visu totale'!$D:$DH,BS$1,0),1)="V",IF(BR71&gt;=INDEX('[1]Définition Maintenances'!$G:$G,MATCH($A71,'[1]Définition Maintenances'!$K:$K,0)),BR71,INDEX('[1]Définition Maintenances'!$G:$G,MATCH($A71,'[1]Définition Maintenances'!$K:$K,0))+BR71),BR71))</f>
        <v>252</v>
      </c>
      <c r="BT71" s="26">
        <f>IF(ISNUMBER(VLOOKUP($D71,'Visu totale'!$D:$DH,BT$1,0)),BS71-VLOOKUP($D71,'Visu totale'!$D:$DH,BT$1,0),IF(LEFT(VLOOKUP($D71,'Visu totale'!$D:$DH,BT$1,0),1)="V",IF(BS71&gt;=INDEX('[1]Définition Maintenances'!$G:$G,MATCH($A71,'[1]Définition Maintenances'!$K:$K,0)),BS71,INDEX('[1]Définition Maintenances'!$G:$G,MATCH($A71,'[1]Définition Maintenances'!$K:$K,0))+BS71),BS71))</f>
        <v>252</v>
      </c>
      <c r="BU71" s="26">
        <f>IF(ISNUMBER(VLOOKUP($D71,'Visu totale'!$D:$DH,BU$1,0)),BT71-VLOOKUP($D71,'Visu totale'!$D:$DH,BU$1,0),IF(LEFT(VLOOKUP($D71,'Visu totale'!$D:$DH,BU$1,0),1)="V",IF(BT71&gt;=INDEX('[1]Définition Maintenances'!$G:$G,MATCH($A71,'[1]Définition Maintenances'!$K:$K,0)),BT71,INDEX('[1]Définition Maintenances'!$G:$G,MATCH($A71,'[1]Définition Maintenances'!$K:$K,0))+BT71),BT71))</f>
        <v>252</v>
      </c>
      <c r="BV71" s="26">
        <f>IF(ISNUMBER(VLOOKUP($D71,'Visu totale'!$D:$DH,BV$1,0)),BU71-VLOOKUP($D71,'Visu totale'!$D:$DH,BV$1,0),IF(LEFT(VLOOKUP($D71,'Visu totale'!$D:$DH,BV$1,0),1)="V",IF(BU71&gt;=INDEX('[1]Définition Maintenances'!$G:$G,MATCH($A71,'[1]Définition Maintenances'!$K:$K,0)),BU71,INDEX('[1]Définition Maintenances'!$G:$G,MATCH($A71,'[1]Définition Maintenances'!$K:$K,0))+BU71),BU71))</f>
        <v>252</v>
      </c>
      <c r="BW71" s="26">
        <f>IF(ISNUMBER(VLOOKUP($D71,'Visu totale'!$D:$DH,BW$1,0)),BV71-VLOOKUP($D71,'Visu totale'!$D:$DH,BW$1,0),IF(LEFT(VLOOKUP($D71,'Visu totale'!$D:$DH,BW$1,0),1)="V",IF(BV71&gt;=INDEX('[1]Définition Maintenances'!$G:$G,MATCH($A71,'[1]Définition Maintenances'!$K:$K,0)),BV71,INDEX('[1]Définition Maintenances'!$G:$G,MATCH($A71,'[1]Définition Maintenances'!$K:$K,0))+BV71),BV71))</f>
        <v>252</v>
      </c>
      <c r="BX71" s="26">
        <f>IF(ISNUMBER(VLOOKUP($D71,'Visu totale'!$D:$DH,BX$1,0)),BW71-VLOOKUP($D71,'Visu totale'!$D:$DH,BX$1,0),IF(LEFT(VLOOKUP($D71,'Visu totale'!$D:$DH,BX$1,0),1)="V",IF(BW71&gt;=INDEX('[1]Définition Maintenances'!$G:$G,MATCH($A71,'[1]Définition Maintenances'!$K:$K,0)),BW71,INDEX('[1]Définition Maintenances'!$G:$G,MATCH($A71,'[1]Définition Maintenances'!$K:$K,0))+BW71),BW71))</f>
        <v>252</v>
      </c>
      <c r="BY71" s="27">
        <f>IF(ISNUMBER(VLOOKUP($D71,'Visu totale'!$D:$DH,BY$1,0)),BX71-VLOOKUP($D71,'Visu totale'!$D:$DH,BY$1,0),IF(LEFT(VLOOKUP($D71,'Visu totale'!$D:$DH,BY$1,0),1)="V",IF(BX71&gt;=INDEX('[1]Définition Maintenances'!$G:$G,MATCH($A71,'[1]Définition Maintenances'!$K:$K,0)),BX71,INDEX('[1]Définition Maintenances'!$G:$G,MATCH($A71,'[1]Définition Maintenances'!$K:$K,0))+BX71),BX71))</f>
        <v>252</v>
      </c>
      <c r="BZ71" s="25">
        <f>IF(ISNUMBER(VLOOKUP($D71,'Visu totale'!$D:$DH,BZ$1,0)),BY71-VLOOKUP($D71,'Visu totale'!$D:$DH,BZ$1,0),IF(LEFT(VLOOKUP($D71,'Visu totale'!$D:$DH,BZ$1,0),1)="V",IF(BY71&gt;=INDEX('[1]Définition Maintenances'!$G:$G,MATCH($A71,'[1]Définition Maintenances'!$K:$K,0)),BY71,INDEX('[1]Définition Maintenances'!$G:$G,MATCH($A71,'[1]Définition Maintenances'!$K:$K,0))+BY71),BY71))</f>
        <v>252</v>
      </c>
      <c r="CA71" s="26">
        <f>IF(ISNUMBER(VLOOKUP($D71,'Visu totale'!$D:$DH,CA$1,0)),BZ71-VLOOKUP($D71,'Visu totale'!$D:$DH,CA$1,0),IF(LEFT(VLOOKUP($D71,'Visu totale'!$D:$DH,CA$1,0),1)="V",IF(BZ71&gt;=INDEX('[1]Définition Maintenances'!$G:$G,MATCH($A71,'[1]Définition Maintenances'!$K:$K,0)),BZ71,INDEX('[1]Définition Maintenances'!$G:$G,MATCH($A71,'[1]Définition Maintenances'!$K:$K,0))+BZ71),BZ71))</f>
        <v>252</v>
      </c>
      <c r="CB71" s="26">
        <f>IF(ISNUMBER(VLOOKUP($D71,'Visu totale'!$D:$DH,CB$1,0)),CA71-VLOOKUP($D71,'Visu totale'!$D:$DH,CB$1,0),IF(LEFT(VLOOKUP($D71,'Visu totale'!$D:$DH,CB$1,0),1)="V",IF(CA71&gt;=INDEX('[1]Définition Maintenances'!$G:$G,MATCH($A71,'[1]Définition Maintenances'!$K:$K,0)),CA71,INDEX('[1]Définition Maintenances'!$G:$G,MATCH($A71,'[1]Définition Maintenances'!$K:$K,0))+CA71),CA71))</f>
        <v>252</v>
      </c>
      <c r="CC71" s="26">
        <f>IF(ISNUMBER(VLOOKUP($D71,'Visu totale'!$D:$DH,CC$1,0)),CB71-VLOOKUP($D71,'Visu totale'!$D:$DH,CC$1,0),IF(LEFT(VLOOKUP($D71,'Visu totale'!$D:$DH,CC$1,0),1)="V",IF(CB71&gt;=INDEX('[1]Définition Maintenances'!$G:$G,MATCH($A71,'[1]Définition Maintenances'!$K:$K,0)),CB71,INDEX('[1]Définition Maintenances'!$G:$G,MATCH($A71,'[1]Définition Maintenances'!$K:$K,0))+CB71),CB71))</f>
        <v>252</v>
      </c>
      <c r="CD71" s="26">
        <f>IF(ISNUMBER(VLOOKUP($D71,'Visu totale'!$D:$DH,CD$1,0)),CC71-VLOOKUP($D71,'Visu totale'!$D:$DH,CD$1,0),IF(LEFT(VLOOKUP($D71,'Visu totale'!$D:$DH,CD$1,0),1)="V",IF(CC71&gt;=INDEX('[1]Définition Maintenances'!$G:$G,MATCH($A71,'[1]Définition Maintenances'!$K:$K,0)),CC71,INDEX('[1]Définition Maintenances'!$G:$G,MATCH($A71,'[1]Définition Maintenances'!$K:$K,0))+CC71),CC71))</f>
        <v>252</v>
      </c>
      <c r="CE71" s="26">
        <f>IF(ISNUMBER(VLOOKUP($D71,'Visu totale'!$D:$DH,CE$1,0)),CD71-VLOOKUP($D71,'Visu totale'!$D:$DH,CE$1,0),IF(LEFT(VLOOKUP($D71,'Visu totale'!$D:$DH,CE$1,0),1)="V",IF(CD71&gt;=INDEX('[1]Définition Maintenances'!$G:$G,MATCH($A71,'[1]Définition Maintenances'!$K:$K,0)),CD71,INDEX('[1]Définition Maintenances'!$G:$G,MATCH($A71,'[1]Définition Maintenances'!$K:$K,0))+CD71),CD71))</f>
        <v>252</v>
      </c>
      <c r="CF71" s="26">
        <f>IF(ISNUMBER(VLOOKUP($D71,'Visu totale'!$D:$DH,CF$1,0)),CE71-VLOOKUP($D71,'Visu totale'!$D:$DH,CF$1,0),IF(LEFT(VLOOKUP($D71,'Visu totale'!$D:$DH,CF$1,0),1)="V",IF(CE71&gt;=INDEX('[1]Définition Maintenances'!$G:$G,MATCH($A71,'[1]Définition Maintenances'!$K:$K,0)),CE71,INDEX('[1]Définition Maintenances'!$G:$G,MATCH($A71,'[1]Définition Maintenances'!$K:$K,0))+CE71),CE71))</f>
        <v>252</v>
      </c>
      <c r="CG71" s="26">
        <f>IF(ISNUMBER(VLOOKUP($D71,'Visu totale'!$D:$DH,CG$1,0)),CF71-VLOOKUP($D71,'Visu totale'!$D:$DH,CG$1,0),IF(LEFT(VLOOKUP($D71,'Visu totale'!$D:$DH,CG$1,0),1)="V",IF(CF71&gt;=INDEX('[1]Définition Maintenances'!$G:$G,MATCH($A71,'[1]Définition Maintenances'!$K:$K,0)),CF71,INDEX('[1]Définition Maintenances'!$G:$G,MATCH($A71,'[1]Définition Maintenances'!$K:$K,0))+CF71),CF71))</f>
        <v>252</v>
      </c>
      <c r="CH71" s="26">
        <f>IF(ISNUMBER(VLOOKUP($D71,'Visu totale'!$D:$DH,CH$1,0)),CG71-VLOOKUP($D71,'Visu totale'!$D:$DH,CH$1,0),IF(LEFT(VLOOKUP($D71,'Visu totale'!$D:$DH,CH$1,0),1)="V",IF(CG71&gt;=INDEX('[1]Définition Maintenances'!$G:$G,MATCH($A71,'[1]Définition Maintenances'!$K:$K,0)),CG71,INDEX('[1]Définition Maintenances'!$G:$G,MATCH($A71,'[1]Définition Maintenances'!$K:$K,0))+CG71),CG71))</f>
        <v>252</v>
      </c>
      <c r="CI71" s="26">
        <f>IF(ISNUMBER(VLOOKUP($D71,'Visu totale'!$D:$DH,CI$1,0)),CH71-VLOOKUP($D71,'Visu totale'!$D:$DH,CI$1,0),IF(LEFT(VLOOKUP($D71,'Visu totale'!$D:$DH,CI$1,0),1)="V",IF(CH71&gt;=INDEX('[1]Définition Maintenances'!$G:$G,MATCH($A71,'[1]Définition Maintenances'!$K:$K,0)),CH71,INDEX('[1]Définition Maintenances'!$G:$G,MATCH($A71,'[1]Définition Maintenances'!$K:$K,0))+CH71),CH71))</f>
        <v>252</v>
      </c>
      <c r="CJ71" s="26">
        <f>IF(ISNUMBER(VLOOKUP($D71,'Visu totale'!$D:$DH,CJ$1,0)),CI71-VLOOKUP($D71,'Visu totale'!$D:$DH,CJ$1,0),IF(LEFT(VLOOKUP($D71,'Visu totale'!$D:$DH,CJ$1,0),1)="V",IF(CI71&gt;=INDEX('[1]Définition Maintenances'!$G:$G,MATCH($A71,'[1]Définition Maintenances'!$K:$K,0)),CI71,INDEX('[1]Définition Maintenances'!$G:$G,MATCH($A71,'[1]Définition Maintenances'!$K:$K,0))+CI71),CI71))</f>
        <v>252</v>
      </c>
      <c r="CK71" s="27">
        <f>IF(ISNUMBER(VLOOKUP($D71,'Visu totale'!$D:$DH,CK$1,0)),CJ71-VLOOKUP($D71,'Visu totale'!$D:$DH,CK$1,0),IF(LEFT(VLOOKUP($D71,'Visu totale'!$D:$DH,CK$1,0),1)="V",IF(CJ71&gt;=INDEX('[1]Définition Maintenances'!$G:$G,MATCH($A71,'[1]Définition Maintenances'!$K:$K,0)),CJ71,INDEX('[1]Définition Maintenances'!$G:$G,MATCH($A71,'[1]Définition Maintenances'!$K:$K,0))+CJ71),CJ71))</f>
        <v>252</v>
      </c>
      <c r="CL71" s="25">
        <f>IF(ISNUMBER(VLOOKUP($D71,'Visu totale'!$D:$DH,CL$1,0)),CK71-VLOOKUP($D71,'Visu totale'!$D:$DH,CL$1,0),IF(LEFT(VLOOKUP($D71,'Visu totale'!$D:$DH,CL$1,0),1)="V",IF(CK71&gt;=INDEX('[1]Définition Maintenances'!$G:$G,MATCH($A71,'[1]Définition Maintenances'!$K:$K,0)),CK71,INDEX('[1]Définition Maintenances'!$G:$G,MATCH($A71,'[1]Définition Maintenances'!$K:$K,0))+CK71),CK71))</f>
        <v>252</v>
      </c>
      <c r="CM71" s="26">
        <f>IF(ISNUMBER(VLOOKUP($D71,'Visu totale'!$D:$DH,CM$1,0)),CL71-VLOOKUP($D71,'Visu totale'!$D:$DH,CM$1,0),IF(LEFT(VLOOKUP($D71,'Visu totale'!$D:$DH,CM$1,0),1)="V",IF(CL71&gt;=INDEX('[1]Définition Maintenances'!$G:$G,MATCH($A71,'[1]Définition Maintenances'!$K:$K,0)),CL71,INDEX('[1]Définition Maintenances'!$G:$G,MATCH($A71,'[1]Définition Maintenances'!$K:$K,0))+CL71),CL71))</f>
        <v>252</v>
      </c>
      <c r="CN71" s="26">
        <f>IF(ISNUMBER(VLOOKUP($D71,'Visu totale'!$D:$DH,CN$1,0)),CM71-VLOOKUP($D71,'Visu totale'!$D:$DH,CN$1,0),IF(LEFT(VLOOKUP($D71,'Visu totale'!$D:$DH,CN$1,0),1)="V",IF(CM71&gt;=INDEX('[1]Définition Maintenances'!$G:$G,MATCH($A71,'[1]Définition Maintenances'!$K:$K,0)),CM71,INDEX('[1]Définition Maintenances'!$G:$G,MATCH($A71,'[1]Définition Maintenances'!$K:$K,0))+CM71),CM71))</f>
        <v>252</v>
      </c>
      <c r="CO71" s="26">
        <f>IF(ISNUMBER(VLOOKUP($D71,'Visu totale'!$D:$DH,CO$1,0)),CN71-VLOOKUP($D71,'Visu totale'!$D:$DH,CO$1,0),IF(LEFT(VLOOKUP($D71,'Visu totale'!$D:$DH,CO$1,0),1)="V",IF(CN71&gt;=INDEX('[1]Définition Maintenances'!$G:$G,MATCH($A71,'[1]Définition Maintenances'!$K:$K,0)),CN71,INDEX('[1]Définition Maintenances'!$G:$G,MATCH($A71,'[1]Définition Maintenances'!$K:$K,0))+CN71),CN71))</f>
        <v>252</v>
      </c>
      <c r="CP71" s="26">
        <f>IF(ISNUMBER(VLOOKUP($D71,'Visu totale'!$D:$DH,CP$1,0)),CO71-VLOOKUP($D71,'Visu totale'!$D:$DH,CP$1,0),IF(LEFT(VLOOKUP($D71,'Visu totale'!$D:$DH,CP$1,0),1)="V",IF(CO71&gt;=INDEX('[1]Définition Maintenances'!$G:$G,MATCH($A71,'[1]Définition Maintenances'!$K:$K,0)),CO71,INDEX('[1]Définition Maintenances'!$G:$G,MATCH($A71,'[1]Définition Maintenances'!$K:$K,0))+CO71),CO71))</f>
        <v>252</v>
      </c>
      <c r="CQ71" s="26">
        <f>IF(ISNUMBER(VLOOKUP($D71,'Visu totale'!$D:$DH,CQ$1,0)),CP71-VLOOKUP($D71,'Visu totale'!$D:$DH,CQ$1,0),IF(LEFT(VLOOKUP($D71,'Visu totale'!$D:$DH,CQ$1,0),1)="V",IF(CP71&gt;=INDEX('[1]Définition Maintenances'!$G:$G,MATCH($A71,'[1]Définition Maintenances'!$K:$K,0)),CP71,INDEX('[1]Définition Maintenances'!$G:$G,MATCH($A71,'[1]Définition Maintenances'!$K:$K,0))+CP71),CP71))</f>
        <v>252</v>
      </c>
      <c r="CR71" s="26">
        <f>IF(ISNUMBER(VLOOKUP($D71,'Visu totale'!$D:$DH,CR$1,0)),CQ71-VLOOKUP($D71,'Visu totale'!$D:$DH,CR$1,0),IF(LEFT(VLOOKUP($D71,'Visu totale'!$D:$DH,CR$1,0),1)="V",IF(CQ71&gt;=INDEX('[1]Définition Maintenances'!$G:$G,MATCH($A71,'[1]Définition Maintenances'!$K:$K,0)),CQ71,INDEX('[1]Définition Maintenances'!$G:$G,MATCH($A71,'[1]Définition Maintenances'!$K:$K,0))+CQ71),CQ71))</f>
        <v>252</v>
      </c>
      <c r="CS71" s="26">
        <f>IF(ISNUMBER(VLOOKUP($D71,'Visu totale'!$D:$DH,CS$1,0)),CR71-VLOOKUP($D71,'Visu totale'!$D:$DH,CS$1,0),IF(LEFT(VLOOKUP($D71,'Visu totale'!$D:$DH,CS$1,0),1)="V",IF(CR71&gt;=INDEX('[1]Définition Maintenances'!$G:$G,MATCH($A71,'[1]Définition Maintenances'!$K:$K,0)),CR71,INDEX('[1]Définition Maintenances'!$G:$G,MATCH($A71,'[1]Définition Maintenances'!$K:$K,0))+CR71),CR71))</f>
        <v>252</v>
      </c>
      <c r="CT71" s="26">
        <f>IF(ISNUMBER(VLOOKUP($D71,'Visu totale'!$D:$DH,CT$1,0)),CS71-VLOOKUP($D71,'Visu totale'!$D:$DH,CT$1,0),IF(LEFT(VLOOKUP($D71,'Visu totale'!$D:$DH,CT$1,0),1)="V",IF(CS71&gt;=INDEX('[1]Définition Maintenances'!$G:$G,MATCH($A71,'[1]Définition Maintenances'!$K:$K,0)),CS71,INDEX('[1]Définition Maintenances'!$G:$G,MATCH($A71,'[1]Définition Maintenances'!$K:$K,0))+CS71),CS71))</f>
        <v>252</v>
      </c>
      <c r="CU71" s="26">
        <f>IF(ISNUMBER(VLOOKUP($D71,'Visu totale'!$D:$DH,CU$1,0)),CT71-VLOOKUP($D71,'Visu totale'!$D:$DH,CU$1,0),IF(LEFT(VLOOKUP($D71,'Visu totale'!$D:$DH,CU$1,0),1)="V",IF(CT71&gt;=INDEX('[1]Définition Maintenances'!$G:$G,MATCH($A71,'[1]Définition Maintenances'!$K:$K,0)),CT71,INDEX('[1]Définition Maintenances'!$G:$G,MATCH($A71,'[1]Définition Maintenances'!$K:$K,0))+CT71),CT71))</f>
        <v>252</v>
      </c>
      <c r="CV71" s="26">
        <f>IF(ISNUMBER(VLOOKUP($D71,'Visu totale'!$D:$DH,CV$1,0)),CU71-VLOOKUP($D71,'Visu totale'!$D:$DH,CV$1,0),IF(LEFT(VLOOKUP($D71,'Visu totale'!$D:$DH,CV$1,0),1)="V",IF(CU71&gt;=INDEX('[1]Définition Maintenances'!$G:$G,MATCH($A71,'[1]Définition Maintenances'!$K:$K,0)),CU71,INDEX('[1]Définition Maintenances'!$G:$G,MATCH($A71,'[1]Définition Maintenances'!$K:$K,0))+CU71),CU71))</f>
        <v>252</v>
      </c>
      <c r="CW71" s="27">
        <f>IF(ISNUMBER(VLOOKUP($D71,'Visu totale'!$D:$DH,CW$1,0)),CV71-VLOOKUP($D71,'Visu totale'!$D:$DH,CW$1,0),IF(LEFT(VLOOKUP($D71,'Visu totale'!$D:$DH,CW$1,0),1)="V",IF(CV71&gt;=INDEX('[1]Définition Maintenances'!$G:$G,MATCH($A71,'[1]Définition Maintenances'!$K:$K,0)),CV71,INDEX('[1]Définition Maintenances'!$G:$G,MATCH($A71,'[1]Définition Maintenances'!$K:$K,0))+CV71),CV71))</f>
        <v>252</v>
      </c>
      <c r="CX71" s="25">
        <f>IF(ISNUMBER(VLOOKUP($D71,'Visu totale'!$D:$DH,CX$1,0)),CW71-VLOOKUP($D71,'Visu totale'!$D:$DH,CX$1,0),IF(LEFT(VLOOKUP($D71,'Visu totale'!$D:$DH,CX$1,0),1)="V",IF(CW71&gt;=INDEX('[1]Définition Maintenances'!$G:$G,MATCH($A71,'[1]Définition Maintenances'!$K:$K,0)),CW71,INDEX('[1]Définition Maintenances'!$G:$G,MATCH($A71,'[1]Définition Maintenances'!$K:$K,0))+CW71),CW71))</f>
        <v>252</v>
      </c>
      <c r="CY71" s="26">
        <f>IF(ISNUMBER(VLOOKUP($D71,'Visu totale'!$D:$DH,CY$1,0)),CX71-VLOOKUP($D71,'Visu totale'!$D:$DH,CY$1,0),IF(LEFT(VLOOKUP($D71,'Visu totale'!$D:$DH,CY$1,0),1)="V",IF(CX71&gt;=INDEX('[1]Définition Maintenances'!$G:$G,MATCH($A71,'[1]Définition Maintenances'!$K:$K,0)),CX71,INDEX('[1]Définition Maintenances'!$G:$G,MATCH($A71,'[1]Définition Maintenances'!$K:$K,0))+CX71),CX71))</f>
        <v>252</v>
      </c>
      <c r="CZ71" s="26">
        <f>IF(ISNUMBER(VLOOKUP($D71,'Visu totale'!$D:$DH,CZ$1,0)),CY71-VLOOKUP($D71,'Visu totale'!$D:$DH,CZ$1,0),IF(LEFT(VLOOKUP($D71,'Visu totale'!$D:$DH,CZ$1,0),1)="V",IF(CY71&gt;=INDEX('[1]Définition Maintenances'!$G:$G,MATCH($A71,'[1]Définition Maintenances'!$K:$K,0)),CY71,INDEX('[1]Définition Maintenances'!$G:$G,MATCH($A71,'[1]Définition Maintenances'!$K:$K,0))+CY71),CY71))</f>
        <v>252</v>
      </c>
      <c r="DA71" s="26">
        <f>IF(ISNUMBER(VLOOKUP($D71,'Visu totale'!$D:$DH,DA$1,0)),CZ71-VLOOKUP($D71,'Visu totale'!$D:$DH,DA$1,0),IF(LEFT(VLOOKUP($D71,'Visu totale'!$D:$DH,DA$1,0),1)="V",IF(CZ71&gt;=INDEX('[1]Définition Maintenances'!$G:$G,MATCH($A71,'[1]Définition Maintenances'!$K:$K,0)),CZ71,INDEX('[1]Définition Maintenances'!$G:$G,MATCH($A71,'[1]Définition Maintenances'!$K:$K,0))+CZ71),CZ71))</f>
        <v>252</v>
      </c>
      <c r="DB71" s="26">
        <f>IF(ISNUMBER(VLOOKUP($D71,'Visu totale'!$D:$DH,DB$1,0)),DA71-VLOOKUP($D71,'Visu totale'!$D:$DH,DB$1,0),IF(LEFT(VLOOKUP($D71,'Visu totale'!$D:$DH,DB$1,0),1)="V",IF(DA71&gt;=INDEX('[1]Définition Maintenances'!$G:$G,MATCH($A71,'[1]Définition Maintenances'!$K:$K,0)),DA71,INDEX('[1]Définition Maintenances'!$G:$G,MATCH($A71,'[1]Définition Maintenances'!$K:$K,0))+DA71),DA71))</f>
        <v>252</v>
      </c>
      <c r="DC71" s="26">
        <f>IF(ISNUMBER(VLOOKUP($D71,'Visu totale'!$D:$DH,DC$1,0)),DB71-VLOOKUP($D71,'Visu totale'!$D:$DH,DC$1,0),IF(LEFT(VLOOKUP($D71,'Visu totale'!$D:$DH,DC$1,0),1)="V",IF(DB71&gt;=INDEX('[1]Définition Maintenances'!$G:$G,MATCH($A71,'[1]Définition Maintenances'!$K:$K,0)),DB71,INDEX('[1]Définition Maintenances'!$G:$G,MATCH($A71,'[1]Définition Maintenances'!$K:$K,0))+DB71),DB71))</f>
        <v>252</v>
      </c>
      <c r="DD71" s="26">
        <f>IF(ISNUMBER(VLOOKUP($D71,'Visu totale'!$D:$DH,DD$1,0)),DC71-VLOOKUP($D71,'Visu totale'!$D:$DH,DD$1,0),IF(LEFT(VLOOKUP($D71,'Visu totale'!$D:$DH,DD$1,0),1)="V",IF(DC71&gt;=INDEX('[1]Définition Maintenances'!$G:$G,MATCH($A71,'[1]Définition Maintenances'!$K:$K,0)),DC71,INDEX('[1]Définition Maintenances'!$G:$G,MATCH($A71,'[1]Définition Maintenances'!$K:$K,0))+DC71),DC71))</f>
        <v>252</v>
      </c>
      <c r="DE71" s="26">
        <f>IF(ISNUMBER(VLOOKUP($D71,'Visu totale'!$D:$DH,DE$1,0)),DD71-VLOOKUP($D71,'Visu totale'!$D:$DH,DE$1,0),IF(LEFT(VLOOKUP($D71,'Visu totale'!$D:$DH,DE$1,0),1)="V",IF(DD71&gt;=INDEX('[1]Définition Maintenances'!$G:$G,MATCH($A71,'[1]Définition Maintenances'!$K:$K,0)),DD71,INDEX('[1]Définition Maintenances'!$G:$G,MATCH($A71,'[1]Définition Maintenances'!$K:$K,0))+DD71),DD71))</f>
        <v>252</v>
      </c>
      <c r="DF71" s="26">
        <f>IF(ISNUMBER(VLOOKUP($D71,'Visu totale'!$D:$DH,DF$1,0)),DE71-VLOOKUP($D71,'Visu totale'!$D:$DH,DF$1,0),IF(LEFT(VLOOKUP($D71,'Visu totale'!$D:$DH,DF$1,0),1)="V",IF(DE71&gt;=INDEX('[1]Définition Maintenances'!$G:$G,MATCH($A71,'[1]Définition Maintenances'!$K:$K,0)),DE71,INDEX('[1]Définition Maintenances'!$G:$G,MATCH($A71,'[1]Définition Maintenances'!$K:$K,0))+DE71),DE71))</f>
        <v>252</v>
      </c>
      <c r="DG71" s="26">
        <f>IF(ISNUMBER(VLOOKUP($D71,'Visu totale'!$D:$DH,DG$1,0)),DF71-VLOOKUP($D71,'Visu totale'!$D:$DH,DG$1,0),IF(LEFT(VLOOKUP($D71,'Visu totale'!$D:$DH,DG$1,0),1)="V",IF(DF71&gt;=INDEX('[1]Définition Maintenances'!$G:$G,MATCH($A71,'[1]Définition Maintenances'!$K:$K,0)),DF71,INDEX('[1]Définition Maintenances'!$G:$G,MATCH($A71,'[1]Définition Maintenances'!$K:$K,0))+DF71),DF71))</f>
        <v>252</v>
      </c>
      <c r="DH71" s="26">
        <f>IF(ISNUMBER(VLOOKUP($D71,'Visu totale'!$D:$DH,DH$1,0)),DG71-VLOOKUP($D71,'Visu totale'!$D:$DH,DH$1,0),IF(LEFT(VLOOKUP($D71,'Visu totale'!$D:$DH,DH$1,0),1)="V",IF(DG71&gt;=INDEX('[1]Définition Maintenances'!$G:$G,MATCH($A71,'[1]Définition Maintenances'!$K:$K,0)),DG71,INDEX('[1]Définition Maintenances'!$G:$G,MATCH($A71,'[1]Définition Maintenances'!$K:$K,0))+DG71),DG71))</f>
        <v>252</v>
      </c>
      <c r="DI71" s="27">
        <f>IF(ISNUMBER(VLOOKUP($D71,'Visu totale'!$D:$DH,DI$1,0)),DH71-VLOOKUP($D71,'Visu totale'!$D:$DH,DI$1,0),IF(LEFT(VLOOKUP($D71,'Visu totale'!$D:$DH,DI$1,0),1)="V",IF(DH71&gt;=INDEX('[1]Définition Maintenances'!$G:$G,MATCH($A71,'[1]Définition Maintenances'!$K:$K,0)),DH71,INDEX('[1]Définition Maintenances'!$G:$G,MATCH($A71,'[1]Définition Maintenances'!$K:$K,0))+DH71),DH71))</f>
        <v>252</v>
      </c>
    </row>
    <row r="72" spans="1:113" x14ac:dyDescent="0.25">
      <c r="A72" s="13" t="str">
        <f t="shared" si="2"/>
        <v>V15D</v>
      </c>
      <c r="B72" s="13" t="str">
        <f>VLOOKUP(D72,'[1]Avions (Potentiels)'!$B$2:$H$128,7,FALSE)</f>
        <v>V15</v>
      </c>
      <c r="C72" s="13"/>
      <c r="D72" s="16" t="s">
        <v>75</v>
      </c>
      <c r="E72" s="13">
        <f>IFERROR(VALUE(SUBSTITUTE(VLOOKUP(D72,'[1]Avions (Potentiels)'!$B:$E,4,0),".",",")),VALUE(VLOOKUP(D72,'[1]Avions (Potentiels)'!$B:$E,4,0)))</f>
        <v>212</v>
      </c>
      <c r="F72" s="25">
        <f>IF(ISNUMBER(VLOOKUP($D72,'Visu totale'!$D:$DH,F$1,0)),E72-VLOOKUP($D72,'Visu totale'!$D:$DH,F$1,0),IF(LEFT(VLOOKUP($D72,'Visu totale'!$D:$DH,F$1,0),1)="V",IF(E72&gt;=INDEX('[1]Définition Maintenances'!$G:$G,MATCH($A72,'[1]Définition Maintenances'!$K:$K,0)),E72,INDEX('[1]Définition Maintenances'!$G:$G,MATCH($A72,'[1]Définition Maintenances'!$K:$K,0))+E72),E72))</f>
        <v>212</v>
      </c>
      <c r="G72" s="26">
        <f>IF(ISNUMBER(VLOOKUP($D72,'Visu totale'!$D:$DH,G$1,0)),F72-VLOOKUP($D72,'Visu totale'!$D:$DH,G$1,0),IF(LEFT(VLOOKUP($D72,'Visu totale'!$D:$DH,G$1,0),1)="V",IF(F72&gt;=INDEX('[1]Définition Maintenances'!$G:$G,MATCH($A72,'[1]Définition Maintenances'!$K:$K,0)),F72,INDEX('[1]Définition Maintenances'!$G:$G,MATCH($A72,'[1]Définition Maintenances'!$K:$K,0))+F72),F72))</f>
        <v>212</v>
      </c>
      <c r="H72" s="26">
        <f>IF(ISNUMBER(VLOOKUP($D72,'Visu totale'!$D:$DH,H$1,0)),G72-VLOOKUP($D72,'Visu totale'!$D:$DH,H$1,0),IF(LEFT(VLOOKUP($D72,'Visu totale'!$D:$DH,H$1,0),1)="V",IF(G72&gt;=INDEX('[1]Définition Maintenances'!$G:$G,MATCH($A72,'[1]Définition Maintenances'!$K:$K,0)),G72,INDEX('[1]Définition Maintenances'!$G:$G,MATCH($A72,'[1]Définition Maintenances'!$K:$K,0))+G72),G72))</f>
        <v>212</v>
      </c>
      <c r="I72" s="26">
        <f>IF(ISNUMBER(VLOOKUP($D72,'Visu totale'!$D:$DH,I$1,0)),H72-VLOOKUP($D72,'Visu totale'!$D:$DH,I$1,0),IF(LEFT(VLOOKUP($D72,'Visu totale'!$D:$DH,I$1,0),1)="V",IF(H72&gt;=INDEX('[1]Définition Maintenances'!$G:$G,MATCH($A72,'[1]Définition Maintenances'!$K:$K,0)),H72,INDEX('[1]Définition Maintenances'!$G:$G,MATCH($A72,'[1]Définition Maintenances'!$K:$K,0))+H72),H72))</f>
        <v>212</v>
      </c>
      <c r="J72" s="26">
        <f>IF(ISNUMBER(VLOOKUP($D72,'Visu totale'!$D:$DH,J$1,0)),I72-VLOOKUP($D72,'Visu totale'!$D:$DH,J$1,0),IF(LEFT(VLOOKUP($D72,'Visu totale'!$D:$DH,J$1,0),1)="V",IF(I72&gt;=INDEX('[1]Définition Maintenances'!$G:$G,MATCH($A72,'[1]Définition Maintenances'!$K:$K,0)),I72,INDEX('[1]Définition Maintenances'!$G:$G,MATCH($A72,'[1]Définition Maintenances'!$K:$K,0))+I72),I72))</f>
        <v>212</v>
      </c>
      <c r="K72" s="26">
        <f>IF(ISNUMBER(VLOOKUP($D72,'Visu totale'!$D:$DH,K$1,0)),J72-VLOOKUP($D72,'Visu totale'!$D:$DH,K$1,0),IF(LEFT(VLOOKUP($D72,'Visu totale'!$D:$DH,K$1,0),1)="V",IF(J72&gt;=INDEX('[1]Définition Maintenances'!$G:$G,MATCH($A72,'[1]Définition Maintenances'!$K:$K,0)),J72,INDEX('[1]Définition Maintenances'!$G:$G,MATCH($A72,'[1]Définition Maintenances'!$K:$K,0))+J72),J72))</f>
        <v>212</v>
      </c>
      <c r="L72" s="26">
        <f>IF(ISNUMBER(VLOOKUP($D72,'Visu totale'!$D:$DH,L$1,0)),K72-VLOOKUP($D72,'Visu totale'!$D:$DH,L$1,0),IF(LEFT(VLOOKUP($D72,'Visu totale'!$D:$DH,L$1,0),1)="V",IF(K72&gt;=INDEX('[1]Définition Maintenances'!$G:$G,MATCH($A72,'[1]Définition Maintenances'!$K:$K,0)),K72,INDEX('[1]Définition Maintenances'!$G:$G,MATCH($A72,'[1]Définition Maintenances'!$K:$K,0))+K72),K72))</f>
        <v>212</v>
      </c>
      <c r="M72" s="26">
        <f>IF(ISNUMBER(VLOOKUP($D72,'Visu totale'!$D:$DH,M$1,0)),L72-VLOOKUP($D72,'Visu totale'!$D:$DH,M$1,0),IF(LEFT(VLOOKUP($D72,'Visu totale'!$D:$DH,M$1,0),1)="V",IF(L72&gt;=INDEX('[1]Définition Maintenances'!$G:$G,MATCH($A72,'[1]Définition Maintenances'!$K:$K,0)),L72,INDEX('[1]Définition Maintenances'!$G:$G,MATCH($A72,'[1]Définition Maintenances'!$K:$K,0))+L72),L72))</f>
        <v>212</v>
      </c>
      <c r="N72" s="26">
        <f>IF(ISNUMBER(VLOOKUP($D72,'Visu totale'!$D:$DH,N$1,0)),M72-VLOOKUP($D72,'Visu totale'!$D:$DH,N$1,0),IF(LEFT(VLOOKUP($D72,'Visu totale'!$D:$DH,N$1,0),1)="V",IF(M72&gt;=INDEX('[1]Définition Maintenances'!$G:$G,MATCH($A72,'[1]Définition Maintenances'!$K:$K,0)),M72,INDEX('[1]Définition Maintenances'!$G:$G,MATCH($A72,'[1]Définition Maintenances'!$K:$K,0))+M72),M72))</f>
        <v>212</v>
      </c>
      <c r="O72" s="26">
        <f>IF(ISNUMBER(VLOOKUP($D72,'Visu totale'!$D:$DH,O$1,0)),N72-VLOOKUP($D72,'Visu totale'!$D:$DH,O$1,0),IF(LEFT(VLOOKUP($D72,'Visu totale'!$D:$DH,O$1,0),1)="V",IF(N72&gt;=INDEX('[1]Définition Maintenances'!$G:$G,MATCH($A72,'[1]Définition Maintenances'!$K:$K,0)),N72,INDEX('[1]Définition Maintenances'!$G:$G,MATCH($A72,'[1]Définition Maintenances'!$K:$K,0))+N72),N72))</f>
        <v>212</v>
      </c>
      <c r="P72" s="26">
        <f>IF(ISNUMBER(VLOOKUP($D72,'Visu totale'!$D:$DH,P$1,0)),O72-VLOOKUP($D72,'Visu totale'!$D:$DH,P$1,0),IF(LEFT(VLOOKUP($D72,'Visu totale'!$D:$DH,P$1,0),1)="V",IF(O72&gt;=INDEX('[1]Définition Maintenances'!$G:$G,MATCH($A72,'[1]Définition Maintenances'!$K:$K,0)),O72,INDEX('[1]Définition Maintenances'!$G:$G,MATCH($A72,'[1]Définition Maintenances'!$K:$K,0))+O72),O72))</f>
        <v>212</v>
      </c>
      <c r="Q72" s="27">
        <f>IF(ISNUMBER(VLOOKUP($D72,'Visu totale'!$D:$DH,Q$1,0)),P72-VLOOKUP($D72,'Visu totale'!$D:$DH,Q$1,0),IF(LEFT(VLOOKUP($D72,'Visu totale'!$D:$DH,Q$1,0),1)="V",IF(P72&gt;=INDEX('[1]Définition Maintenances'!$G:$G,MATCH($A72,'[1]Définition Maintenances'!$K:$K,0)),P72,INDEX('[1]Définition Maintenances'!$G:$G,MATCH($A72,'[1]Définition Maintenances'!$K:$K,0))+P72),P72))</f>
        <v>212</v>
      </c>
      <c r="R72" s="25">
        <f>IF(ISNUMBER(VLOOKUP($D72,'Visu totale'!$D:$DH,R$1,0)),Q72-VLOOKUP($D72,'Visu totale'!$D:$DH,R$1,0),IF(LEFT(VLOOKUP($D72,'Visu totale'!$D:$DH,R$1,0),1)="V",IF(Q72&gt;=INDEX('[1]Définition Maintenances'!$G:$G,MATCH($A72,'[1]Définition Maintenances'!$K:$K,0)),Q72,INDEX('[1]Définition Maintenances'!$G:$G,MATCH($A72,'[1]Définition Maintenances'!$K:$K,0))+Q72),Q72))</f>
        <v>212</v>
      </c>
      <c r="S72" s="26">
        <f>IF(ISNUMBER(VLOOKUP($D72,'Visu totale'!$D:$DH,S$1,0)),R72-VLOOKUP($D72,'Visu totale'!$D:$DH,S$1,0),IF(LEFT(VLOOKUP($D72,'Visu totale'!$D:$DH,S$1,0),1)="V",IF(R72&gt;=INDEX('[1]Définition Maintenances'!$G:$G,MATCH($A72,'[1]Définition Maintenances'!$K:$K,0)),R72,INDEX('[1]Définition Maintenances'!$G:$G,MATCH($A72,'[1]Définition Maintenances'!$K:$K,0))+R72),R72))</f>
        <v>212</v>
      </c>
      <c r="T72" s="26">
        <f>IF(ISNUMBER(VLOOKUP($D72,'Visu totale'!$D:$DH,T$1,0)),S72-VLOOKUP($D72,'Visu totale'!$D:$DH,T$1,0),IF(LEFT(VLOOKUP($D72,'Visu totale'!$D:$DH,T$1,0),1)="V",IF(S72&gt;=INDEX('[1]Définition Maintenances'!$G:$G,MATCH($A72,'[1]Définition Maintenances'!$K:$K,0)),S72,INDEX('[1]Définition Maintenances'!$G:$G,MATCH($A72,'[1]Définition Maintenances'!$K:$K,0))+S72),S72))</f>
        <v>212</v>
      </c>
      <c r="U72" s="26">
        <f>IF(ISNUMBER(VLOOKUP($D72,'Visu totale'!$D:$DH,U$1,0)),T72-VLOOKUP($D72,'Visu totale'!$D:$DH,U$1,0),IF(LEFT(VLOOKUP($D72,'Visu totale'!$D:$DH,U$1,0),1)="V",IF(T72&gt;=INDEX('[1]Définition Maintenances'!$G:$G,MATCH($A72,'[1]Définition Maintenances'!$K:$K,0)),T72,INDEX('[1]Définition Maintenances'!$G:$G,MATCH($A72,'[1]Définition Maintenances'!$K:$K,0))+T72),T72))</f>
        <v>212</v>
      </c>
      <c r="V72" s="26">
        <f>IF(ISNUMBER(VLOOKUP($D72,'Visu totale'!$D:$DH,V$1,0)),U72-VLOOKUP($D72,'Visu totale'!$D:$DH,V$1,0),IF(LEFT(VLOOKUP($D72,'Visu totale'!$D:$DH,V$1,0),1)="V",IF(U72&gt;=INDEX('[1]Définition Maintenances'!$G:$G,MATCH($A72,'[1]Définition Maintenances'!$K:$K,0)),U72,INDEX('[1]Définition Maintenances'!$G:$G,MATCH($A72,'[1]Définition Maintenances'!$K:$K,0))+U72),U72))</f>
        <v>212</v>
      </c>
      <c r="W72" s="26">
        <f>IF(ISNUMBER(VLOOKUP($D72,'Visu totale'!$D:$DH,W$1,0)),V72-VLOOKUP($D72,'Visu totale'!$D:$DH,W$1,0),IF(LEFT(VLOOKUP($D72,'Visu totale'!$D:$DH,W$1,0),1)="V",IF(V72&gt;=INDEX('[1]Définition Maintenances'!$G:$G,MATCH($A72,'[1]Définition Maintenances'!$K:$K,0)),V72,INDEX('[1]Définition Maintenances'!$G:$G,MATCH($A72,'[1]Définition Maintenances'!$K:$K,0))+V72),V72))</f>
        <v>212</v>
      </c>
      <c r="X72" s="26">
        <f>IF(ISNUMBER(VLOOKUP($D72,'Visu totale'!$D:$DH,X$1,0)),W72-VLOOKUP($D72,'Visu totale'!$D:$DH,X$1,0),IF(LEFT(VLOOKUP($D72,'Visu totale'!$D:$DH,X$1,0),1)="V",IF(W72&gt;=INDEX('[1]Définition Maintenances'!$G:$G,MATCH($A72,'[1]Définition Maintenances'!$K:$K,0)),W72,INDEX('[1]Définition Maintenances'!$G:$G,MATCH($A72,'[1]Définition Maintenances'!$K:$K,0))+W72),W72))</f>
        <v>212</v>
      </c>
      <c r="Y72" s="26">
        <f>IF(ISNUMBER(VLOOKUP($D72,'Visu totale'!$D:$DH,Y$1,0)),X72-VLOOKUP($D72,'Visu totale'!$D:$DH,Y$1,0),IF(LEFT(VLOOKUP($D72,'Visu totale'!$D:$DH,Y$1,0),1)="V",IF(X72&gt;=INDEX('[1]Définition Maintenances'!$G:$G,MATCH($A72,'[1]Définition Maintenances'!$K:$K,0)),X72,INDEX('[1]Définition Maintenances'!$G:$G,MATCH($A72,'[1]Définition Maintenances'!$K:$K,0))+X72),X72))</f>
        <v>212</v>
      </c>
      <c r="Z72" s="26">
        <f>IF(ISNUMBER(VLOOKUP($D72,'Visu totale'!$D:$DH,Z$1,0)),Y72-VLOOKUP($D72,'Visu totale'!$D:$DH,Z$1,0),IF(LEFT(VLOOKUP($D72,'Visu totale'!$D:$DH,Z$1,0),1)="V",IF(Y72&gt;=INDEX('[1]Définition Maintenances'!$G:$G,MATCH($A72,'[1]Définition Maintenances'!$K:$K,0)),Y72,INDEX('[1]Définition Maintenances'!$G:$G,MATCH($A72,'[1]Définition Maintenances'!$K:$K,0))+Y72),Y72))</f>
        <v>212</v>
      </c>
      <c r="AA72" s="26">
        <f>IF(ISNUMBER(VLOOKUP($D72,'Visu totale'!$D:$DH,AA$1,0)),Z72-VLOOKUP($D72,'Visu totale'!$D:$DH,AA$1,0),IF(LEFT(VLOOKUP($D72,'Visu totale'!$D:$DH,AA$1,0),1)="V",IF(Z72&gt;=INDEX('[1]Définition Maintenances'!$G:$G,MATCH($A72,'[1]Définition Maintenances'!$K:$K,0)),Z72,INDEX('[1]Définition Maintenances'!$G:$G,MATCH($A72,'[1]Définition Maintenances'!$K:$K,0))+Z72),Z72))</f>
        <v>212</v>
      </c>
      <c r="AB72" s="26">
        <f>IF(ISNUMBER(VLOOKUP($D72,'Visu totale'!$D:$DH,AB$1,0)),AA72-VLOOKUP($D72,'Visu totale'!$D:$DH,AB$1,0),IF(LEFT(VLOOKUP($D72,'Visu totale'!$D:$DH,AB$1,0),1)="V",IF(AA72&gt;=INDEX('[1]Définition Maintenances'!$G:$G,MATCH($A72,'[1]Définition Maintenances'!$K:$K,0)),AA72,INDEX('[1]Définition Maintenances'!$G:$G,MATCH($A72,'[1]Définition Maintenances'!$K:$K,0))+AA72),AA72))</f>
        <v>212</v>
      </c>
      <c r="AC72" s="27">
        <f>IF(ISNUMBER(VLOOKUP($D72,'Visu totale'!$D:$DH,AC$1,0)),AB72-VLOOKUP($D72,'Visu totale'!$D:$DH,AC$1,0),IF(LEFT(VLOOKUP($D72,'Visu totale'!$D:$DH,AC$1,0),1)="V",IF(AB72&gt;=INDEX('[1]Définition Maintenances'!$G:$G,MATCH($A72,'[1]Définition Maintenances'!$K:$K,0)),AB72,INDEX('[1]Définition Maintenances'!$G:$G,MATCH($A72,'[1]Définition Maintenances'!$K:$K,0))+AB72),AB72))</f>
        <v>212</v>
      </c>
      <c r="AD72" s="25">
        <f>IF(ISNUMBER(VLOOKUP($D72,'Visu totale'!$D:$DH,AD$1,0)),AC72-VLOOKUP($D72,'Visu totale'!$D:$DH,AD$1,0),IF(LEFT(VLOOKUP($D72,'Visu totale'!$D:$DH,AD$1,0),1)="V",IF(AC72&gt;=INDEX('[1]Définition Maintenances'!$G:$G,MATCH($A72,'[1]Définition Maintenances'!$K:$K,0)),AC72,INDEX('[1]Définition Maintenances'!$G:$G,MATCH($A72,'[1]Définition Maintenances'!$K:$K,0))+AC72),AC72))</f>
        <v>212</v>
      </c>
      <c r="AE72" s="26">
        <f>IF(ISNUMBER(VLOOKUP($D72,'Visu totale'!$D:$DH,AE$1,0)),AD72-VLOOKUP($D72,'Visu totale'!$D:$DH,AE$1,0),IF(LEFT(VLOOKUP($D72,'Visu totale'!$D:$DH,AE$1,0),1)="V",IF(AD72&gt;=INDEX('[1]Définition Maintenances'!$G:$G,MATCH($A72,'[1]Définition Maintenances'!$K:$K,0)),AD72,INDEX('[1]Définition Maintenances'!$G:$G,MATCH($A72,'[1]Définition Maintenances'!$K:$K,0))+AD72),AD72))</f>
        <v>212</v>
      </c>
      <c r="AF72" s="26">
        <f>IF(ISNUMBER(VLOOKUP($D72,'Visu totale'!$D:$DH,AF$1,0)),AE72-VLOOKUP($D72,'Visu totale'!$D:$DH,AF$1,0),IF(LEFT(VLOOKUP($D72,'Visu totale'!$D:$DH,AF$1,0),1)="V",IF(AE72&gt;=INDEX('[1]Définition Maintenances'!$G:$G,MATCH($A72,'[1]Définition Maintenances'!$K:$K,0)),AE72,INDEX('[1]Définition Maintenances'!$G:$G,MATCH($A72,'[1]Définition Maintenances'!$K:$K,0))+AE72),AE72))</f>
        <v>212</v>
      </c>
      <c r="AG72" s="26">
        <f>IF(ISNUMBER(VLOOKUP($D72,'Visu totale'!$D:$DH,AG$1,0)),AF72-VLOOKUP($D72,'Visu totale'!$D:$DH,AG$1,0),IF(LEFT(VLOOKUP($D72,'Visu totale'!$D:$DH,AG$1,0),1)="V",IF(AF72&gt;=INDEX('[1]Définition Maintenances'!$G:$G,MATCH($A72,'[1]Définition Maintenances'!$K:$K,0)),AF72,INDEX('[1]Définition Maintenances'!$G:$G,MATCH($A72,'[1]Définition Maintenances'!$K:$K,0))+AF72),AF72))</f>
        <v>212</v>
      </c>
      <c r="AH72" s="26">
        <f>IF(ISNUMBER(VLOOKUP($D72,'Visu totale'!$D:$DH,AH$1,0)),AG72-VLOOKUP($D72,'Visu totale'!$D:$DH,AH$1,0),IF(LEFT(VLOOKUP($D72,'Visu totale'!$D:$DH,AH$1,0),1)="V",IF(AG72&gt;=INDEX('[1]Définition Maintenances'!$G:$G,MATCH($A72,'[1]Définition Maintenances'!$K:$K,0)),AG72,INDEX('[1]Définition Maintenances'!$G:$G,MATCH($A72,'[1]Définition Maintenances'!$K:$K,0))+AG72),AG72))</f>
        <v>212</v>
      </c>
      <c r="AI72" s="26">
        <f>IF(ISNUMBER(VLOOKUP($D72,'Visu totale'!$D:$DH,AI$1,0)),AH72-VLOOKUP($D72,'Visu totale'!$D:$DH,AI$1,0),IF(LEFT(VLOOKUP($D72,'Visu totale'!$D:$DH,AI$1,0),1)="V",IF(AH72&gt;=INDEX('[1]Définition Maintenances'!$G:$G,MATCH($A72,'[1]Définition Maintenances'!$K:$K,0)),AH72,INDEX('[1]Définition Maintenances'!$G:$G,MATCH($A72,'[1]Définition Maintenances'!$K:$K,0))+AH72),AH72))</f>
        <v>212</v>
      </c>
      <c r="AJ72" s="26">
        <f>IF(ISNUMBER(VLOOKUP($D72,'Visu totale'!$D:$DH,AJ$1,0)),AI72-VLOOKUP($D72,'Visu totale'!$D:$DH,AJ$1,0),IF(LEFT(VLOOKUP($D72,'Visu totale'!$D:$DH,AJ$1,0),1)="V",IF(AI72&gt;=INDEX('[1]Définition Maintenances'!$G:$G,MATCH($A72,'[1]Définition Maintenances'!$K:$K,0)),AI72,INDEX('[1]Définition Maintenances'!$G:$G,MATCH($A72,'[1]Définition Maintenances'!$K:$K,0))+AI72),AI72))</f>
        <v>212</v>
      </c>
      <c r="AK72" s="26">
        <f>IF(ISNUMBER(VLOOKUP($D72,'Visu totale'!$D:$DH,AK$1,0)),AJ72-VLOOKUP($D72,'Visu totale'!$D:$DH,AK$1,0),IF(LEFT(VLOOKUP($D72,'Visu totale'!$D:$DH,AK$1,0),1)="V",IF(AJ72&gt;=INDEX('[1]Définition Maintenances'!$G:$G,MATCH($A72,'[1]Définition Maintenances'!$K:$K,0)),AJ72,INDEX('[1]Définition Maintenances'!$G:$G,MATCH($A72,'[1]Définition Maintenances'!$K:$K,0))+AJ72),AJ72))</f>
        <v>212</v>
      </c>
      <c r="AL72" s="26">
        <f>IF(ISNUMBER(VLOOKUP($D72,'Visu totale'!$D:$DH,AL$1,0)),AK72-VLOOKUP($D72,'Visu totale'!$D:$DH,AL$1,0),IF(LEFT(VLOOKUP($D72,'Visu totale'!$D:$DH,AL$1,0),1)="V",IF(AK72&gt;=INDEX('[1]Définition Maintenances'!$G:$G,MATCH($A72,'[1]Définition Maintenances'!$K:$K,0)),AK72,INDEX('[1]Définition Maintenances'!$G:$G,MATCH($A72,'[1]Définition Maintenances'!$K:$K,0))+AK72),AK72))</f>
        <v>212</v>
      </c>
      <c r="AM72" s="26">
        <f>IF(ISNUMBER(VLOOKUP($D72,'Visu totale'!$D:$DH,AM$1,0)),AL72-VLOOKUP($D72,'Visu totale'!$D:$DH,AM$1,0),IF(LEFT(VLOOKUP($D72,'Visu totale'!$D:$DH,AM$1,0),1)="V",IF(AL72&gt;=INDEX('[1]Définition Maintenances'!$G:$G,MATCH($A72,'[1]Définition Maintenances'!$K:$K,0)),AL72,INDEX('[1]Définition Maintenances'!$G:$G,MATCH($A72,'[1]Définition Maintenances'!$K:$K,0))+AL72),AL72))</f>
        <v>212</v>
      </c>
      <c r="AN72" s="26">
        <f>IF(ISNUMBER(VLOOKUP($D72,'Visu totale'!$D:$DH,AN$1,0)),AM72-VLOOKUP($D72,'Visu totale'!$D:$DH,AN$1,0),IF(LEFT(VLOOKUP($D72,'Visu totale'!$D:$DH,AN$1,0),1)="V",IF(AM72&gt;=INDEX('[1]Définition Maintenances'!$G:$G,MATCH($A72,'[1]Définition Maintenances'!$K:$K,0)),AM72,INDEX('[1]Définition Maintenances'!$G:$G,MATCH($A72,'[1]Définition Maintenances'!$K:$K,0))+AM72),AM72))</f>
        <v>212</v>
      </c>
      <c r="AO72" s="27">
        <f>IF(ISNUMBER(VLOOKUP($D72,'Visu totale'!$D:$DH,AO$1,0)),AN72-VLOOKUP($D72,'Visu totale'!$D:$DH,AO$1,0),IF(LEFT(VLOOKUP($D72,'Visu totale'!$D:$DH,AO$1,0),1)="V",IF(AN72&gt;=INDEX('[1]Définition Maintenances'!$G:$G,MATCH($A72,'[1]Définition Maintenances'!$K:$K,0)),AN72,INDEX('[1]Définition Maintenances'!$G:$G,MATCH($A72,'[1]Définition Maintenances'!$K:$K,0))+AN72),AN72))</f>
        <v>212</v>
      </c>
      <c r="AP72" s="25">
        <f>IF(ISNUMBER(VLOOKUP($D72,'Visu totale'!$D:$DH,AP$1,0)),AO72-VLOOKUP($D72,'Visu totale'!$D:$DH,AP$1,0),IF(LEFT(VLOOKUP($D72,'Visu totale'!$D:$DH,AP$1,0),1)="V",IF(AO72&gt;=INDEX('[1]Définition Maintenances'!$G:$G,MATCH($A72,'[1]Définition Maintenances'!$K:$K,0)),AO72,INDEX('[1]Définition Maintenances'!$G:$G,MATCH($A72,'[1]Définition Maintenances'!$K:$K,0))+AO72),AO72))</f>
        <v>212</v>
      </c>
      <c r="AQ72" s="26">
        <f>IF(ISNUMBER(VLOOKUP($D72,'Visu totale'!$D:$DH,AQ$1,0)),AP72-VLOOKUP($D72,'Visu totale'!$D:$DH,AQ$1,0),IF(LEFT(VLOOKUP($D72,'Visu totale'!$D:$DH,AQ$1,0),1)="V",IF(AP72&gt;=INDEX('[1]Définition Maintenances'!$G:$G,MATCH($A72,'[1]Définition Maintenances'!$K:$K,0)),AP72,INDEX('[1]Définition Maintenances'!$G:$G,MATCH($A72,'[1]Définition Maintenances'!$K:$K,0))+AP72),AP72))</f>
        <v>212</v>
      </c>
      <c r="AR72" s="26">
        <f>IF(ISNUMBER(VLOOKUP($D72,'Visu totale'!$D:$DH,AR$1,0)),AQ72-VLOOKUP($D72,'Visu totale'!$D:$DH,AR$1,0),IF(LEFT(VLOOKUP($D72,'Visu totale'!$D:$DH,AR$1,0),1)="V",IF(AQ72&gt;=INDEX('[1]Définition Maintenances'!$G:$G,MATCH($A72,'[1]Définition Maintenances'!$K:$K,0)),AQ72,INDEX('[1]Définition Maintenances'!$G:$G,MATCH($A72,'[1]Définition Maintenances'!$K:$K,0))+AQ72),AQ72))</f>
        <v>212</v>
      </c>
      <c r="AS72" s="26">
        <f>IF(ISNUMBER(VLOOKUP($D72,'Visu totale'!$D:$DH,AS$1,0)),AR72-VLOOKUP($D72,'Visu totale'!$D:$DH,AS$1,0),IF(LEFT(VLOOKUP($D72,'Visu totale'!$D:$DH,AS$1,0),1)="V",IF(AR72&gt;=INDEX('[1]Définition Maintenances'!$G:$G,MATCH($A72,'[1]Définition Maintenances'!$K:$K,0)),AR72,INDEX('[1]Définition Maintenances'!$G:$G,MATCH($A72,'[1]Définition Maintenances'!$K:$K,0))+AR72),AR72))</f>
        <v>212</v>
      </c>
      <c r="AT72" s="26">
        <f>IF(ISNUMBER(VLOOKUP($D72,'Visu totale'!$D:$DH,AT$1,0)),AS72-VLOOKUP($D72,'Visu totale'!$D:$DH,AT$1,0),IF(LEFT(VLOOKUP($D72,'Visu totale'!$D:$DH,AT$1,0),1)="V",IF(AS72&gt;=INDEX('[1]Définition Maintenances'!$G:$G,MATCH($A72,'[1]Définition Maintenances'!$K:$K,0)),AS72,INDEX('[1]Définition Maintenances'!$G:$G,MATCH($A72,'[1]Définition Maintenances'!$K:$K,0))+AS72),AS72))</f>
        <v>212</v>
      </c>
      <c r="AU72" s="26">
        <f>IF(ISNUMBER(VLOOKUP($D72,'Visu totale'!$D:$DH,AU$1,0)),AT72-VLOOKUP($D72,'Visu totale'!$D:$DH,AU$1,0),IF(LEFT(VLOOKUP($D72,'Visu totale'!$D:$DH,AU$1,0),1)="V",IF(AT72&gt;=INDEX('[1]Définition Maintenances'!$G:$G,MATCH($A72,'[1]Définition Maintenances'!$K:$K,0)),AT72,INDEX('[1]Définition Maintenances'!$G:$G,MATCH($A72,'[1]Définition Maintenances'!$K:$K,0))+AT72),AT72))</f>
        <v>212</v>
      </c>
      <c r="AV72" s="26">
        <f>IF(ISNUMBER(VLOOKUP($D72,'Visu totale'!$D:$DH,AV$1,0)),AU72-VLOOKUP($D72,'Visu totale'!$D:$DH,AV$1,0),IF(LEFT(VLOOKUP($D72,'Visu totale'!$D:$DH,AV$1,0),1)="V",IF(AU72&gt;=INDEX('[1]Définition Maintenances'!$G:$G,MATCH($A72,'[1]Définition Maintenances'!$K:$K,0)),AU72,INDEX('[1]Définition Maintenances'!$G:$G,MATCH($A72,'[1]Définition Maintenances'!$K:$K,0))+AU72),AU72))</f>
        <v>212</v>
      </c>
      <c r="AW72" s="26">
        <f>IF(ISNUMBER(VLOOKUP($D72,'Visu totale'!$D:$DH,AW$1,0)),AV72-VLOOKUP($D72,'Visu totale'!$D:$DH,AW$1,0),IF(LEFT(VLOOKUP($D72,'Visu totale'!$D:$DH,AW$1,0),1)="V",IF(AV72&gt;=INDEX('[1]Définition Maintenances'!$G:$G,MATCH($A72,'[1]Définition Maintenances'!$K:$K,0)),AV72,INDEX('[1]Définition Maintenances'!$G:$G,MATCH($A72,'[1]Définition Maintenances'!$K:$K,0))+AV72),AV72))</f>
        <v>212</v>
      </c>
      <c r="AX72" s="26">
        <f>IF(ISNUMBER(VLOOKUP($D72,'Visu totale'!$D:$DH,AX$1,0)),AW72-VLOOKUP($D72,'Visu totale'!$D:$DH,AX$1,0),IF(LEFT(VLOOKUP($D72,'Visu totale'!$D:$DH,AX$1,0),1)="V",IF(AW72&gt;=INDEX('[1]Définition Maintenances'!$G:$G,MATCH($A72,'[1]Définition Maintenances'!$K:$K,0)),AW72,INDEX('[1]Définition Maintenances'!$G:$G,MATCH($A72,'[1]Définition Maintenances'!$K:$K,0))+AW72),AW72))</f>
        <v>212</v>
      </c>
      <c r="AY72" s="26">
        <f>IF(ISNUMBER(VLOOKUP($D72,'Visu totale'!$D:$DH,AY$1,0)),AX72-VLOOKUP($D72,'Visu totale'!$D:$DH,AY$1,0),IF(LEFT(VLOOKUP($D72,'Visu totale'!$D:$DH,AY$1,0),1)="V",IF(AX72&gt;=INDEX('[1]Définition Maintenances'!$G:$G,MATCH($A72,'[1]Définition Maintenances'!$K:$K,0)),AX72,INDEX('[1]Définition Maintenances'!$G:$G,MATCH($A72,'[1]Définition Maintenances'!$K:$K,0))+AX72),AX72))</f>
        <v>212</v>
      </c>
      <c r="AZ72" s="26">
        <f>IF(ISNUMBER(VLOOKUP($D72,'Visu totale'!$D:$DH,AZ$1,0)),AY72-VLOOKUP($D72,'Visu totale'!$D:$DH,AZ$1,0),IF(LEFT(VLOOKUP($D72,'Visu totale'!$D:$DH,AZ$1,0),1)="V",IF(AY72&gt;=INDEX('[1]Définition Maintenances'!$G:$G,MATCH($A72,'[1]Définition Maintenances'!$K:$K,0)),AY72,INDEX('[1]Définition Maintenances'!$G:$G,MATCH($A72,'[1]Définition Maintenances'!$K:$K,0))+AY72),AY72))</f>
        <v>212</v>
      </c>
      <c r="BA72" s="27">
        <f>IF(ISNUMBER(VLOOKUP($D72,'Visu totale'!$D:$DH,BA$1,0)),AZ72-VLOOKUP($D72,'Visu totale'!$D:$DH,BA$1,0),IF(LEFT(VLOOKUP($D72,'Visu totale'!$D:$DH,BA$1,0),1)="V",IF(AZ72&gt;=INDEX('[1]Définition Maintenances'!$G:$G,MATCH($A72,'[1]Définition Maintenances'!$K:$K,0)),AZ72,INDEX('[1]Définition Maintenances'!$G:$G,MATCH($A72,'[1]Définition Maintenances'!$K:$K,0))+AZ72),AZ72))</f>
        <v>212</v>
      </c>
      <c r="BB72" s="25">
        <f>IF(ISNUMBER(VLOOKUP($D72,'Visu totale'!$D:$DH,BB$1,0)),BA72-VLOOKUP($D72,'Visu totale'!$D:$DH,BB$1,0),IF(LEFT(VLOOKUP($D72,'Visu totale'!$D:$DH,BB$1,0),1)="V",IF(BA72&gt;=INDEX('[1]Définition Maintenances'!$G:$G,MATCH($A72,'[1]Définition Maintenances'!$K:$K,0)),BA72,INDEX('[1]Définition Maintenances'!$G:$G,MATCH($A72,'[1]Définition Maintenances'!$K:$K,0))+BA72),BA72))</f>
        <v>212</v>
      </c>
      <c r="BC72" s="26">
        <f>IF(ISNUMBER(VLOOKUP($D72,'Visu totale'!$D:$DH,BC$1,0)),BB72-VLOOKUP($D72,'Visu totale'!$D:$DH,BC$1,0),IF(LEFT(VLOOKUP($D72,'Visu totale'!$D:$DH,BC$1,0),1)="V",IF(BB72&gt;=INDEX('[1]Définition Maintenances'!$G:$G,MATCH($A72,'[1]Définition Maintenances'!$K:$K,0)),BB72,INDEX('[1]Définition Maintenances'!$G:$G,MATCH($A72,'[1]Définition Maintenances'!$K:$K,0))+BB72),BB72))</f>
        <v>212</v>
      </c>
      <c r="BD72" s="26">
        <f>IF(ISNUMBER(VLOOKUP($D72,'Visu totale'!$D:$DH,BD$1,0)),BC72-VLOOKUP($D72,'Visu totale'!$D:$DH,BD$1,0),IF(LEFT(VLOOKUP($D72,'Visu totale'!$D:$DH,BD$1,0),1)="V",IF(BC72&gt;=INDEX('[1]Définition Maintenances'!$G:$G,MATCH($A72,'[1]Définition Maintenances'!$K:$K,0)),BC72,INDEX('[1]Définition Maintenances'!$G:$G,MATCH($A72,'[1]Définition Maintenances'!$K:$K,0))+BC72),BC72))</f>
        <v>212</v>
      </c>
      <c r="BE72" s="26">
        <f>IF(ISNUMBER(VLOOKUP($D72,'Visu totale'!$D:$DH,BE$1,0)),BD72-VLOOKUP($D72,'Visu totale'!$D:$DH,BE$1,0),IF(LEFT(VLOOKUP($D72,'Visu totale'!$D:$DH,BE$1,0),1)="V",IF(BD72&gt;=INDEX('[1]Définition Maintenances'!$G:$G,MATCH($A72,'[1]Définition Maintenances'!$K:$K,0)),BD72,INDEX('[1]Définition Maintenances'!$G:$G,MATCH($A72,'[1]Définition Maintenances'!$K:$K,0))+BD72),BD72))</f>
        <v>212</v>
      </c>
      <c r="BF72" s="26">
        <f>IF(ISNUMBER(VLOOKUP($D72,'Visu totale'!$D:$DH,BF$1,0)),BE72-VLOOKUP($D72,'Visu totale'!$D:$DH,BF$1,0),IF(LEFT(VLOOKUP($D72,'Visu totale'!$D:$DH,BF$1,0),1)="V",IF(BE72&gt;=INDEX('[1]Définition Maintenances'!$G:$G,MATCH($A72,'[1]Définition Maintenances'!$K:$K,0)),BE72,INDEX('[1]Définition Maintenances'!$G:$G,MATCH($A72,'[1]Définition Maintenances'!$K:$K,0))+BE72),BE72))</f>
        <v>212</v>
      </c>
      <c r="BG72" s="26">
        <f>IF(ISNUMBER(VLOOKUP($D72,'Visu totale'!$D:$DH,BG$1,0)),BF72-VLOOKUP($D72,'Visu totale'!$D:$DH,BG$1,0),IF(LEFT(VLOOKUP($D72,'Visu totale'!$D:$DH,BG$1,0),1)="V",IF(BF72&gt;=INDEX('[1]Définition Maintenances'!$G:$G,MATCH($A72,'[1]Définition Maintenances'!$K:$K,0)),BF72,INDEX('[1]Définition Maintenances'!$G:$G,MATCH($A72,'[1]Définition Maintenances'!$K:$K,0))+BF72),BF72))</f>
        <v>212</v>
      </c>
      <c r="BH72" s="26">
        <f>IF(ISNUMBER(VLOOKUP($D72,'Visu totale'!$D:$DH,BH$1,0)),BG72-VLOOKUP($D72,'Visu totale'!$D:$DH,BH$1,0),IF(LEFT(VLOOKUP($D72,'Visu totale'!$D:$DH,BH$1,0),1)="V",IF(BG72&gt;=INDEX('[1]Définition Maintenances'!$G:$G,MATCH($A72,'[1]Définition Maintenances'!$K:$K,0)),BG72,INDEX('[1]Définition Maintenances'!$G:$G,MATCH($A72,'[1]Définition Maintenances'!$K:$K,0))+BG72),BG72))</f>
        <v>212</v>
      </c>
      <c r="BI72" s="26">
        <f>IF(ISNUMBER(VLOOKUP($D72,'Visu totale'!$D:$DH,BI$1,0)),BH72-VLOOKUP($D72,'Visu totale'!$D:$DH,BI$1,0),IF(LEFT(VLOOKUP($D72,'Visu totale'!$D:$DH,BI$1,0),1)="V",IF(BH72&gt;=INDEX('[1]Définition Maintenances'!$G:$G,MATCH($A72,'[1]Définition Maintenances'!$K:$K,0)),BH72,INDEX('[1]Définition Maintenances'!$G:$G,MATCH($A72,'[1]Définition Maintenances'!$K:$K,0))+BH72),BH72))</f>
        <v>212</v>
      </c>
      <c r="BJ72" s="26">
        <f>IF(ISNUMBER(VLOOKUP($D72,'Visu totale'!$D:$DH,BJ$1,0)),BI72-VLOOKUP($D72,'Visu totale'!$D:$DH,BJ$1,0),IF(LEFT(VLOOKUP($D72,'Visu totale'!$D:$DH,BJ$1,0),1)="V",IF(BI72&gt;=INDEX('[1]Définition Maintenances'!$G:$G,MATCH($A72,'[1]Définition Maintenances'!$K:$K,0)),BI72,INDEX('[1]Définition Maintenances'!$G:$G,MATCH($A72,'[1]Définition Maintenances'!$K:$K,0))+BI72),BI72))</f>
        <v>212</v>
      </c>
      <c r="BK72" s="26">
        <f>IF(ISNUMBER(VLOOKUP($D72,'Visu totale'!$D:$DH,BK$1,0)),BJ72-VLOOKUP($D72,'Visu totale'!$D:$DH,BK$1,0),IF(LEFT(VLOOKUP($D72,'Visu totale'!$D:$DH,BK$1,0),1)="V",IF(BJ72&gt;=INDEX('[1]Définition Maintenances'!$G:$G,MATCH($A72,'[1]Définition Maintenances'!$K:$K,0)),BJ72,INDEX('[1]Définition Maintenances'!$G:$G,MATCH($A72,'[1]Définition Maintenances'!$K:$K,0))+BJ72),BJ72))</f>
        <v>212</v>
      </c>
      <c r="BL72" s="26">
        <f>IF(ISNUMBER(VLOOKUP($D72,'Visu totale'!$D:$DH,BL$1,0)),BK72-VLOOKUP($D72,'Visu totale'!$D:$DH,BL$1,0),IF(LEFT(VLOOKUP($D72,'Visu totale'!$D:$DH,BL$1,0),1)="V",IF(BK72&gt;=INDEX('[1]Définition Maintenances'!$G:$G,MATCH($A72,'[1]Définition Maintenances'!$K:$K,0)),BK72,INDEX('[1]Définition Maintenances'!$G:$G,MATCH($A72,'[1]Définition Maintenances'!$K:$K,0))+BK72),BK72))</f>
        <v>212</v>
      </c>
      <c r="BM72" s="27">
        <f>IF(ISNUMBER(VLOOKUP($D72,'Visu totale'!$D:$DH,BM$1,0)),BL72-VLOOKUP($D72,'Visu totale'!$D:$DH,BM$1,0),IF(LEFT(VLOOKUP($D72,'Visu totale'!$D:$DH,BM$1,0),1)="V",IF(BL72&gt;=INDEX('[1]Définition Maintenances'!$G:$G,MATCH($A72,'[1]Définition Maintenances'!$K:$K,0)),BL72,INDEX('[1]Définition Maintenances'!$G:$G,MATCH($A72,'[1]Définition Maintenances'!$K:$K,0))+BL72),BL72))</f>
        <v>212</v>
      </c>
      <c r="BN72" s="25">
        <f>IF(ISNUMBER(VLOOKUP($D72,'Visu totale'!$D:$DH,BN$1,0)),BM72-VLOOKUP($D72,'Visu totale'!$D:$DH,BN$1,0),IF(LEFT(VLOOKUP($D72,'Visu totale'!$D:$DH,BN$1,0),1)="V",IF(BM72&gt;=INDEX('[1]Définition Maintenances'!$G:$G,MATCH($A72,'[1]Définition Maintenances'!$K:$K,0)),BM72,INDEX('[1]Définition Maintenances'!$G:$G,MATCH($A72,'[1]Définition Maintenances'!$K:$K,0))+BM72),BM72))</f>
        <v>212</v>
      </c>
      <c r="BO72" s="26">
        <f>IF(ISNUMBER(VLOOKUP($D72,'Visu totale'!$D:$DH,BO$1,0)),BN72-VLOOKUP($D72,'Visu totale'!$D:$DH,BO$1,0),IF(LEFT(VLOOKUP($D72,'Visu totale'!$D:$DH,BO$1,0),1)="V",IF(BN72&gt;=INDEX('[1]Définition Maintenances'!$G:$G,MATCH($A72,'[1]Définition Maintenances'!$K:$K,0)),BN72,INDEX('[1]Définition Maintenances'!$G:$G,MATCH($A72,'[1]Définition Maintenances'!$K:$K,0))+BN72),BN72))</f>
        <v>212</v>
      </c>
      <c r="BP72" s="26">
        <f>IF(ISNUMBER(VLOOKUP($D72,'Visu totale'!$D:$DH,BP$1,0)),BO72-VLOOKUP($D72,'Visu totale'!$D:$DH,BP$1,0),IF(LEFT(VLOOKUP($D72,'Visu totale'!$D:$DH,BP$1,0),1)="V",IF(BO72&gt;=INDEX('[1]Définition Maintenances'!$G:$G,MATCH($A72,'[1]Définition Maintenances'!$K:$K,0)),BO72,INDEX('[1]Définition Maintenances'!$G:$G,MATCH($A72,'[1]Définition Maintenances'!$K:$K,0))+BO72),BO72))</f>
        <v>212</v>
      </c>
      <c r="BQ72" s="26">
        <f>IF(ISNUMBER(VLOOKUP($D72,'Visu totale'!$D:$DH,BQ$1,0)),BP72-VLOOKUP($D72,'Visu totale'!$D:$DH,BQ$1,0),IF(LEFT(VLOOKUP($D72,'Visu totale'!$D:$DH,BQ$1,0),1)="V",IF(BP72&gt;=INDEX('[1]Définition Maintenances'!$G:$G,MATCH($A72,'[1]Définition Maintenances'!$K:$K,0)),BP72,INDEX('[1]Définition Maintenances'!$G:$G,MATCH($A72,'[1]Définition Maintenances'!$K:$K,0))+BP72),BP72))</f>
        <v>212</v>
      </c>
      <c r="BR72" s="26">
        <f>IF(ISNUMBER(VLOOKUP($D72,'Visu totale'!$D:$DH,BR$1,0)),BQ72-VLOOKUP($D72,'Visu totale'!$D:$DH,BR$1,0),IF(LEFT(VLOOKUP($D72,'Visu totale'!$D:$DH,BR$1,0),1)="V",IF(BQ72&gt;=INDEX('[1]Définition Maintenances'!$G:$G,MATCH($A72,'[1]Définition Maintenances'!$K:$K,0)),BQ72,INDEX('[1]Définition Maintenances'!$G:$G,MATCH($A72,'[1]Définition Maintenances'!$K:$K,0))+BQ72),BQ72))</f>
        <v>212</v>
      </c>
      <c r="BS72" s="26">
        <f>IF(ISNUMBER(VLOOKUP($D72,'Visu totale'!$D:$DH,BS$1,0)),BR72-VLOOKUP($D72,'Visu totale'!$D:$DH,BS$1,0),IF(LEFT(VLOOKUP($D72,'Visu totale'!$D:$DH,BS$1,0),1)="V",IF(BR72&gt;=INDEX('[1]Définition Maintenances'!$G:$G,MATCH($A72,'[1]Définition Maintenances'!$K:$K,0)),BR72,INDEX('[1]Définition Maintenances'!$G:$G,MATCH($A72,'[1]Définition Maintenances'!$K:$K,0))+BR72),BR72))</f>
        <v>212</v>
      </c>
      <c r="BT72" s="26">
        <f>IF(ISNUMBER(VLOOKUP($D72,'Visu totale'!$D:$DH,BT$1,0)),BS72-VLOOKUP($D72,'Visu totale'!$D:$DH,BT$1,0),IF(LEFT(VLOOKUP($D72,'Visu totale'!$D:$DH,BT$1,0),1)="V",IF(BS72&gt;=INDEX('[1]Définition Maintenances'!$G:$G,MATCH($A72,'[1]Définition Maintenances'!$K:$K,0)),BS72,INDEX('[1]Définition Maintenances'!$G:$G,MATCH($A72,'[1]Définition Maintenances'!$K:$K,0))+BS72),BS72))</f>
        <v>212</v>
      </c>
      <c r="BU72" s="26">
        <f>IF(ISNUMBER(VLOOKUP($D72,'Visu totale'!$D:$DH,BU$1,0)),BT72-VLOOKUP($D72,'Visu totale'!$D:$DH,BU$1,0),IF(LEFT(VLOOKUP($D72,'Visu totale'!$D:$DH,BU$1,0),1)="V",IF(BT72&gt;=INDEX('[1]Définition Maintenances'!$G:$G,MATCH($A72,'[1]Définition Maintenances'!$K:$K,0)),BT72,INDEX('[1]Définition Maintenances'!$G:$G,MATCH($A72,'[1]Définition Maintenances'!$K:$K,0))+BT72),BT72))</f>
        <v>212</v>
      </c>
      <c r="BV72" s="26">
        <f>IF(ISNUMBER(VLOOKUP($D72,'Visu totale'!$D:$DH,BV$1,0)),BU72-VLOOKUP($D72,'Visu totale'!$D:$DH,BV$1,0),IF(LEFT(VLOOKUP($D72,'Visu totale'!$D:$DH,BV$1,0),1)="V",IF(BU72&gt;=INDEX('[1]Définition Maintenances'!$G:$G,MATCH($A72,'[1]Définition Maintenances'!$K:$K,0)),BU72,INDEX('[1]Définition Maintenances'!$G:$G,MATCH($A72,'[1]Définition Maintenances'!$K:$K,0))+BU72),BU72))</f>
        <v>212</v>
      </c>
      <c r="BW72" s="26">
        <f>IF(ISNUMBER(VLOOKUP($D72,'Visu totale'!$D:$DH,BW$1,0)),BV72-VLOOKUP($D72,'Visu totale'!$D:$DH,BW$1,0),IF(LEFT(VLOOKUP($D72,'Visu totale'!$D:$DH,BW$1,0),1)="V",IF(BV72&gt;=INDEX('[1]Définition Maintenances'!$G:$G,MATCH($A72,'[1]Définition Maintenances'!$K:$K,0)),BV72,INDEX('[1]Définition Maintenances'!$G:$G,MATCH($A72,'[1]Définition Maintenances'!$K:$K,0))+BV72),BV72))</f>
        <v>212</v>
      </c>
      <c r="BX72" s="26">
        <f>IF(ISNUMBER(VLOOKUP($D72,'Visu totale'!$D:$DH,BX$1,0)),BW72-VLOOKUP($D72,'Visu totale'!$D:$DH,BX$1,0),IF(LEFT(VLOOKUP($D72,'Visu totale'!$D:$DH,BX$1,0),1)="V",IF(BW72&gt;=INDEX('[1]Définition Maintenances'!$G:$G,MATCH($A72,'[1]Définition Maintenances'!$K:$K,0)),BW72,INDEX('[1]Définition Maintenances'!$G:$G,MATCH($A72,'[1]Définition Maintenances'!$K:$K,0))+BW72),BW72))</f>
        <v>212</v>
      </c>
      <c r="BY72" s="27">
        <f>IF(ISNUMBER(VLOOKUP($D72,'Visu totale'!$D:$DH,BY$1,0)),BX72-VLOOKUP($D72,'Visu totale'!$D:$DH,BY$1,0),IF(LEFT(VLOOKUP($D72,'Visu totale'!$D:$DH,BY$1,0),1)="V",IF(BX72&gt;=INDEX('[1]Définition Maintenances'!$G:$G,MATCH($A72,'[1]Définition Maintenances'!$K:$K,0)),BX72,INDEX('[1]Définition Maintenances'!$G:$G,MATCH($A72,'[1]Définition Maintenances'!$K:$K,0))+BX72),BX72))</f>
        <v>212</v>
      </c>
      <c r="BZ72" s="25">
        <f>IF(ISNUMBER(VLOOKUP($D72,'Visu totale'!$D:$DH,BZ$1,0)),BY72-VLOOKUP($D72,'Visu totale'!$D:$DH,BZ$1,0),IF(LEFT(VLOOKUP($D72,'Visu totale'!$D:$DH,BZ$1,0),1)="V",IF(BY72&gt;=INDEX('[1]Définition Maintenances'!$G:$G,MATCH($A72,'[1]Définition Maintenances'!$K:$K,0)),BY72,INDEX('[1]Définition Maintenances'!$G:$G,MATCH($A72,'[1]Définition Maintenances'!$K:$K,0))+BY72),BY72))</f>
        <v>212</v>
      </c>
      <c r="CA72" s="26">
        <f>IF(ISNUMBER(VLOOKUP($D72,'Visu totale'!$D:$DH,CA$1,0)),BZ72-VLOOKUP($D72,'Visu totale'!$D:$DH,CA$1,0),IF(LEFT(VLOOKUP($D72,'Visu totale'!$D:$DH,CA$1,0),1)="V",IF(BZ72&gt;=INDEX('[1]Définition Maintenances'!$G:$G,MATCH($A72,'[1]Définition Maintenances'!$K:$K,0)),BZ72,INDEX('[1]Définition Maintenances'!$G:$G,MATCH($A72,'[1]Définition Maintenances'!$K:$K,0))+BZ72),BZ72))</f>
        <v>212</v>
      </c>
      <c r="CB72" s="26">
        <f>IF(ISNUMBER(VLOOKUP($D72,'Visu totale'!$D:$DH,CB$1,0)),CA72-VLOOKUP($D72,'Visu totale'!$D:$DH,CB$1,0),IF(LEFT(VLOOKUP($D72,'Visu totale'!$D:$DH,CB$1,0),1)="V",IF(CA72&gt;=INDEX('[1]Définition Maintenances'!$G:$G,MATCH($A72,'[1]Définition Maintenances'!$K:$K,0)),CA72,INDEX('[1]Définition Maintenances'!$G:$G,MATCH($A72,'[1]Définition Maintenances'!$K:$K,0))+CA72),CA72))</f>
        <v>212</v>
      </c>
      <c r="CC72" s="26">
        <f>IF(ISNUMBER(VLOOKUP($D72,'Visu totale'!$D:$DH,CC$1,0)),CB72-VLOOKUP($D72,'Visu totale'!$D:$DH,CC$1,0),IF(LEFT(VLOOKUP($D72,'Visu totale'!$D:$DH,CC$1,0),1)="V",IF(CB72&gt;=INDEX('[1]Définition Maintenances'!$G:$G,MATCH($A72,'[1]Définition Maintenances'!$K:$K,0)),CB72,INDEX('[1]Définition Maintenances'!$G:$G,MATCH($A72,'[1]Définition Maintenances'!$K:$K,0))+CB72),CB72))</f>
        <v>212</v>
      </c>
      <c r="CD72" s="26">
        <f>IF(ISNUMBER(VLOOKUP($D72,'Visu totale'!$D:$DH,CD$1,0)),CC72-VLOOKUP($D72,'Visu totale'!$D:$DH,CD$1,0),IF(LEFT(VLOOKUP($D72,'Visu totale'!$D:$DH,CD$1,0),1)="V",IF(CC72&gt;=INDEX('[1]Définition Maintenances'!$G:$G,MATCH($A72,'[1]Définition Maintenances'!$K:$K,0)),CC72,INDEX('[1]Définition Maintenances'!$G:$G,MATCH($A72,'[1]Définition Maintenances'!$K:$K,0))+CC72),CC72))</f>
        <v>212</v>
      </c>
      <c r="CE72" s="26">
        <f>IF(ISNUMBER(VLOOKUP($D72,'Visu totale'!$D:$DH,CE$1,0)),CD72-VLOOKUP($D72,'Visu totale'!$D:$DH,CE$1,0),IF(LEFT(VLOOKUP($D72,'Visu totale'!$D:$DH,CE$1,0),1)="V",IF(CD72&gt;=INDEX('[1]Définition Maintenances'!$G:$G,MATCH($A72,'[1]Définition Maintenances'!$K:$K,0)),CD72,INDEX('[1]Définition Maintenances'!$G:$G,MATCH($A72,'[1]Définition Maintenances'!$K:$K,0))+CD72),CD72))</f>
        <v>212</v>
      </c>
      <c r="CF72" s="26">
        <f>IF(ISNUMBER(VLOOKUP($D72,'Visu totale'!$D:$DH,CF$1,0)),CE72-VLOOKUP($D72,'Visu totale'!$D:$DH,CF$1,0),IF(LEFT(VLOOKUP($D72,'Visu totale'!$D:$DH,CF$1,0),1)="V",IF(CE72&gt;=INDEX('[1]Définition Maintenances'!$G:$G,MATCH($A72,'[1]Définition Maintenances'!$K:$K,0)),CE72,INDEX('[1]Définition Maintenances'!$G:$G,MATCH($A72,'[1]Définition Maintenances'!$K:$K,0))+CE72),CE72))</f>
        <v>212</v>
      </c>
      <c r="CG72" s="26">
        <f>IF(ISNUMBER(VLOOKUP($D72,'Visu totale'!$D:$DH,CG$1,0)),CF72-VLOOKUP($D72,'Visu totale'!$D:$DH,CG$1,0),IF(LEFT(VLOOKUP($D72,'Visu totale'!$D:$DH,CG$1,0),1)="V",IF(CF72&gt;=INDEX('[1]Définition Maintenances'!$G:$G,MATCH($A72,'[1]Définition Maintenances'!$K:$K,0)),CF72,INDEX('[1]Définition Maintenances'!$G:$G,MATCH($A72,'[1]Définition Maintenances'!$K:$K,0))+CF72),CF72))</f>
        <v>212</v>
      </c>
      <c r="CH72" s="26">
        <f>IF(ISNUMBER(VLOOKUP($D72,'Visu totale'!$D:$DH,CH$1,0)),CG72-VLOOKUP($D72,'Visu totale'!$D:$DH,CH$1,0),IF(LEFT(VLOOKUP($D72,'Visu totale'!$D:$DH,CH$1,0),1)="V",IF(CG72&gt;=INDEX('[1]Définition Maintenances'!$G:$G,MATCH($A72,'[1]Définition Maintenances'!$K:$K,0)),CG72,INDEX('[1]Définition Maintenances'!$G:$G,MATCH($A72,'[1]Définition Maintenances'!$K:$K,0))+CG72),CG72))</f>
        <v>212</v>
      </c>
      <c r="CI72" s="26">
        <f>IF(ISNUMBER(VLOOKUP($D72,'Visu totale'!$D:$DH,CI$1,0)),CH72-VLOOKUP($D72,'Visu totale'!$D:$DH,CI$1,0),IF(LEFT(VLOOKUP($D72,'Visu totale'!$D:$DH,CI$1,0),1)="V",IF(CH72&gt;=INDEX('[1]Définition Maintenances'!$G:$G,MATCH($A72,'[1]Définition Maintenances'!$K:$K,0)),CH72,INDEX('[1]Définition Maintenances'!$G:$G,MATCH($A72,'[1]Définition Maintenances'!$K:$K,0))+CH72),CH72))</f>
        <v>212</v>
      </c>
      <c r="CJ72" s="26">
        <f>IF(ISNUMBER(VLOOKUP($D72,'Visu totale'!$D:$DH,CJ$1,0)),CI72-VLOOKUP($D72,'Visu totale'!$D:$DH,CJ$1,0),IF(LEFT(VLOOKUP($D72,'Visu totale'!$D:$DH,CJ$1,0),1)="V",IF(CI72&gt;=INDEX('[1]Définition Maintenances'!$G:$G,MATCH($A72,'[1]Définition Maintenances'!$K:$K,0)),CI72,INDEX('[1]Définition Maintenances'!$G:$G,MATCH($A72,'[1]Définition Maintenances'!$K:$K,0))+CI72),CI72))</f>
        <v>212</v>
      </c>
      <c r="CK72" s="27">
        <f>IF(ISNUMBER(VLOOKUP($D72,'Visu totale'!$D:$DH,CK$1,0)),CJ72-VLOOKUP($D72,'Visu totale'!$D:$DH,CK$1,0),IF(LEFT(VLOOKUP($D72,'Visu totale'!$D:$DH,CK$1,0),1)="V",IF(CJ72&gt;=INDEX('[1]Définition Maintenances'!$G:$G,MATCH($A72,'[1]Définition Maintenances'!$K:$K,0)),CJ72,INDEX('[1]Définition Maintenances'!$G:$G,MATCH($A72,'[1]Définition Maintenances'!$K:$K,0))+CJ72),CJ72))</f>
        <v>212</v>
      </c>
      <c r="CL72" s="25">
        <f>IF(ISNUMBER(VLOOKUP($D72,'Visu totale'!$D:$DH,CL$1,0)),CK72-VLOOKUP($D72,'Visu totale'!$D:$DH,CL$1,0),IF(LEFT(VLOOKUP($D72,'Visu totale'!$D:$DH,CL$1,0),1)="V",IF(CK72&gt;=INDEX('[1]Définition Maintenances'!$G:$G,MATCH($A72,'[1]Définition Maintenances'!$K:$K,0)),CK72,INDEX('[1]Définition Maintenances'!$G:$G,MATCH($A72,'[1]Définition Maintenances'!$K:$K,0))+CK72),CK72))</f>
        <v>212</v>
      </c>
      <c r="CM72" s="26">
        <f>IF(ISNUMBER(VLOOKUP($D72,'Visu totale'!$D:$DH,CM$1,0)),CL72-VLOOKUP($D72,'Visu totale'!$D:$DH,CM$1,0),IF(LEFT(VLOOKUP($D72,'Visu totale'!$D:$DH,CM$1,0),1)="V",IF(CL72&gt;=INDEX('[1]Définition Maintenances'!$G:$G,MATCH($A72,'[1]Définition Maintenances'!$K:$K,0)),CL72,INDEX('[1]Définition Maintenances'!$G:$G,MATCH($A72,'[1]Définition Maintenances'!$K:$K,0))+CL72),CL72))</f>
        <v>212</v>
      </c>
      <c r="CN72" s="26">
        <f>IF(ISNUMBER(VLOOKUP($D72,'Visu totale'!$D:$DH,CN$1,0)),CM72-VLOOKUP($D72,'Visu totale'!$D:$DH,CN$1,0),IF(LEFT(VLOOKUP($D72,'Visu totale'!$D:$DH,CN$1,0),1)="V",IF(CM72&gt;=INDEX('[1]Définition Maintenances'!$G:$G,MATCH($A72,'[1]Définition Maintenances'!$K:$K,0)),CM72,INDEX('[1]Définition Maintenances'!$G:$G,MATCH($A72,'[1]Définition Maintenances'!$K:$K,0))+CM72),CM72))</f>
        <v>212</v>
      </c>
      <c r="CO72" s="26">
        <f>IF(ISNUMBER(VLOOKUP($D72,'Visu totale'!$D:$DH,CO$1,0)),CN72-VLOOKUP($D72,'Visu totale'!$D:$DH,CO$1,0),IF(LEFT(VLOOKUP($D72,'Visu totale'!$D:$DH,CO$1,0),1)="V",IF(CN72&gt;=INDEX('[1]Définition Maintenances'!$G:$G,MATCH($A72,'[1]Définition Maintenances'!$K:$K,0)),CN72,INDEX('[1]Définition Maintenances'!$G:$G,MATCH($A72,'[1]Définition Maintenances'!$K:$K,0))+CN72),CN72))</f>
        <v>212</v>
      </c>
      <c r="CP72" s="26">
        <f>IF(ISNUMBER(VLOOKUP($D72,'Visu totale'!$D:$DH,CP$1,0)),CO72-VLOOKUP($D72,'Visu totale'!$D:$DH,CP$1,0),IF(LEFT(VLOOKUP($D72,'Visu totale'!$D:$DH,CP$1,0),1)="V",IF(CO72&gt;=INDEX('[1]Définition Maintenances'!$G:$G,MATCH($A72,'[1]Définition Maintenances'!$K:$K,0)),CO72,INDEX('[1]Définition Maintenances'!$G:$G,MATCH($A72,'[1]Définition Maintenances'!$K:$K,0))+CO72),CO72))</f>
        <v>212</v>
      </c>
      <c r="CQ72" s="26">
        <f>IF(ISNUMBER(VLOOKUP($D72,'Visu totale'!$D:$DH,CQ$1,0)),CP72-VLOOKUP($D72,'Visu totale'!$D:$DH,CQ$1,0),IF(LEFT(VLOOKUP($D72,'Visu totale'!$D:$DH,CQ$1,0),1)="V",IF(CP72&gt;=INDEX('[1]Définition Maintenances'!$G:$G,MATCH($A72,'[1]Définition Maintenances'!$K:$K,0)),CP72,INDEX('[1]Définition Maintenances'!$G:$G,MATCH($A72,'[1]Définition Maintenances'!$K:$K,0))+CP72),CP72))</f>
        <v>212</v>
      </c>
      <c r="CR72" s="26">
        <f>IF(ISNUMBER(VLOOKUP($D72,'Visu totale'!$D:$DH,CR$1,0)),CQ72-VLOOKUP($D72,'Visu totale'!$D:$DH,CR$1,0),IF(LEFT(VLOOKUP($D72,'Visu totale'!$D:$DH,CR$1,0),1)="V",IF(CQ72&gt;=INDEX('[1]Définition Maintenances'!$G:$G,MATCH($A72,'[1]Définition Maintenances'!$K:$K,0)),CQ72,INDEX('[1]Définition Maintenances'!$G:$G,MATCH($A72,'[1]Définition Maintenances'!$K:$K,0))+CQ72),CQ72))</f>
        <v>212</v>
      </c>
      <c r="CS72" s="26">
        <f>IF(ISNUMBER(VLOOKUP($D72,'Visu totale'!$D:$DH,CS$1,0)),CR72-VLOOKUP($D72,'Visu totale'!$D:$DH,CS$1,0),IF(LEFT(VLOOKUP($D72,'Visu totale'!$D:$DH,CS$1,0),1)="V",IF(CR72&gt;=INDEX('[1]Définition Maintenances'!$G:$G,MATCH($A72,'[1]Définition Maintenances'!$K:$K,0)),CR72,INDEX('[1]Définition Maintenances'!$G:$G,MATCH($A72,'[1]Définition Maintenances'!$K:$K,0))+CR72),CR72))</f>
        <v>212</v>
      </c>
      <c r="CT72" s="26">
        <f>IF(ISNUMBER(VLOOKUP($D72,'Visu totale'!$D:$DH,CT$1,0)),CS72-VLOOKUP($D72,'Visu totale'!$D:$DH,CT$1,0),IF(LEFT(VLOOKUP($D72,'Visu totale'!$D:$DH,CT$1,0),1)="V",IF(CS72&gt;=INDEX('[1]Définition Maintenances'!$G:$G,MATCH($A72,'[1]Définition Maintenances'!$K:$K,0)),CS72,INDEX('[1]Définition Maintenances'!$G:$G,MATCH($A72,'[1]Définition Maintenances'!$K:$K,0))+CS72),CS72))</f>
        <v>212</v>
      </c>
      <c r="CU72" s="26">
        <f>IF(ISNUMBER(VLOOKUP($D72,'Visu totale'!$D:$DH,CU$1,0)),CT72-VLOOKUP($D72,'Visu totale'!$D:$DH,CU$1,0),IF(LEFT(VLOOKUP($D72,'Visu totale'!$D:$DH,CU$1,0),1)="V",IF(CT72&gt;=INDEX('[1]Définition Maintenances'!$G:$G,MATCH($A72,'[1]Définition Maintenances'!$K:$K,0)),CT72,INDEX('[1]Définition Maintenances'!$G:$G,MATCH($A72,'[1]Définition Maintenances'!$K:$K,0))+CT72),CT72))</f>
        <v>212</v>
      </c>
      <c r="CV72" s="26">
        <f>IF(ISNUMBER(VLOOKUP($D72,'Visu totale'!$D:$DH,CV$1,0)),CU72-VLOOKUP($D72,'Visu totale'!$D:$DH,CV$1,0),IF(LEFT(VLOOKUP($D72,'Visu totale'!$D:$DH,CV$1,0),1)="V",IF(CU72&gt;=INDEX('[1]Définition Maintenances'!$G:$G,MATCH($A72,'[1]Définition Maintenances'!$K:$K,0)),CU72,INDEX('[1]Définition Maintenances'!$G:$G,MATCH($A72,'[1]Définition Maintenances'!$K:$K,0))+CU72),CU72))</f>
        <v>212</v>
      </c>
      <c r="CW72" s="27">
        <f>IF(ISNUMBER(VLOOKUP($D72,'Visu totale'!$D:$DH,CW$1,0)),CV72-VLOOKUP($D72,'Visu totale'!$D:$DH,CW$1,0),IF(LEFT(VLOOKUP($D72,'Visu totale'!$D:$DH,CW$1,0),1)="V",IF(CV72&gt;=INDEX('[1]Définition Maintenances'!$G:$G,MATCH($A72,'[1]Définition Maintenances'!$K:$K,0)),CV72,INDEX('[1]Définition Maintenances'!$G:$G,MATCH($A72,'[1]Définition Maintenances'!$K:$K,0))+CV72),CV72))</f>
        <v>212</v>
      </c>
      <c r="CX72" s="25">
        <f>IF(ISNUMBER(VLOOKUP($D72,'Visu totale'!$D:$DH,CX$1,0)),CW72-VLOOKUP($D72,'Visu totale'!$D:$DH,CX$1,0),IF(LEFT(VLOOKUP($D72,'Visu totale'!$D:$DH,CX$1,0),1)="V",IF(CW72&gt;=INDEX('[1]Définition Maintenances'!$G:$G,MATCH($A72,'[1]Définition Maintenances'!$K:$K,0)),CW72,INDEX('[1]Définition Maintenances'!$G:$G,MATCH($A72,'[1]Définition Maintenances'!$K:$K,0))+CW72),CW72))</f>
        <v>212</v>
      </c>
      <c r="CY72" s="26">
        <f>IF(ISNUMBER(VLOOKUP($D72,'Visu totale'!$D:$DH,CY$1,0)),CX72-VLOOKUP($D72,'Visu totale'!$D:$DH,CY$1,0),IF(LEFT(VLOOKUP($D72,'Visu totale'!$D:$DH,CY$1,0),1)="V",IF(CX72&gt;=INDEX('[1]Définition Maintenances'!$G:$G,MATCH($A72,'[1]Définition Maintenances'!$K:$K,0)),CX72,INDEX('[1]Définition Maintenances'!$G:$G,MATCH($A72,'[1]Définition Maintenances'!$K:$K,0))+CX72),CX72))</f>
        <v>212</v>
      </c>
      <c r="CZ72" s="26">
        <f>IF(ISNUMBER(VLOOKUP($D72,'Visu totale'!$D:$DH,CZ$1,0)),CY72-VLOOKUP($D72,'Visu totale'!$D:$DH,CZ$1,0),IF(LEFT(VLOOKUP($D72,'Visu totale'!$D:$DH,CZ$1,0),1)="V",IF(CY72&gt;=INDEX('[1]Définition Maintenances'!$G:$G,MATCH($A72,'[1]Définition Maintenances'!$K:$K,0)),CY72,INDEX('[1]Définition Maintenances'!$G:$G,MATCH($A72,'[1]Définition Maintenances'!$K:$K,0))+CY72),CY72))</f>
        <v>212</v>
      </c>
      <c r="DA72" s="26">
        <f>IF(ISNUMBER(VLOOKUP($D72,'Visu totale'!$D:$DH,DA$1,0)),CZ72-VLOOKUP($D72,'Visu totale'!$D:$DH,DA$1,0),IF(LEFT(VLOOKUP($D72,'Visu totale'!$D:$DH,DA$1,0),1)="V",IF(CZ72&gt;=INDEX('[1]Définition Maintenances'!$G:$G,MATCH($A72,'[1]Définition Maintenances'!$K:$K,0)),CZ72,INDEX('[1]Définition Maintenances'!$G:$G,MATCH($A72,'[1]Définition Maintenances'!$K:$K,0))+CZ72),CZ72))</f>
        <v>212</v>
      </c>
      <c r="DB72" s="26">
        <f>IF(ISNUMBER(VLOOKUP($D72,'Visu totale'!$D:$DH,DB$1,0)),DA72-VLOOKUP($D72,'Visu totale'!$D:$DH,DB$1,0),IF(LEFT(VLOOKUP($D72,'Visu totale'!$D:$DH,DB$1,0),1)="V",IF(DA72&gt;=INDEX('[1]Définition Maintenances'!$G:$G,MATCH($A72,'[1]Définition Maintenances'!$K:$K,0)),DA72,INDEX('[1]Définition Maintenances'!$G:$G,MATCH($A72,'[1]Définition Maintenances'!$K:$K,0))+DA72),DA72))</f>
        <v>212</v>
      </c>
      <c r="DC72" s="26">
        <f>IF(ISNUMBER(VLOOKUP($D72,'Visu totale'!$D:$DH,DC$1,0)),DB72-VLOOKUP($D72,'Visu totale'!$D:$DH,DC$1,0),IF(LEFT(VLOOKUP($D72,'Visu totale'!$D:$DH,DC$1,0),1)="V",IF(DB72&gt;=INDEX('[1]Définition Maintenances'!$G:$G,MATCH($A72,'[1]Définition Maintenances'!$K:$K,0)),DB72,INDEX('[1]Définition Maintenances'!$G:$G,MATCH($A72,'[1]Définition Maintenances'!$K:$K,0))+DB72),DB72))</f>
        <v>212</v>
      </c>
      <c r="DD72" s="26">
        <f>IF(ISNUMBER(VLOOKUP($D72,'Visu totale'!$D:$DH,DD$1,0)),DC72-VLOOKUP($D72,'Visu totale'!$D:$DH,DD$1,0),IF(LEFT(VLOOKUP($D72,'Visu totale'!$D:$DH,DD$1,0),1)="V",IF(DC72&gt;=INDEX('[1]Définition Maintenances'!$G:$G,MATCH($A72,'[1]Définition Maintenances'!$K:$K,0)),DC72,INDEX('[1]Définition Maintenances'!$G:$G,MATCH($A72,'[1]Définition Maintenances'!$K:$K,0))+DC72),DC72))</f>
        <v>212</v>
      </c>
      <c r="DE72" s="26">
        <f>IF(ISNUMBER(VLOOKUP($D72,'Visu totale'!$D:$DH,DE$1,0)),DD72-VLOOKUP($D72,'Visu totale'!$D:$DH,DE$1,0),IF(LEFT(VLOOKUP($D72,'Visu totale'!$D:$DH,DE$1,0),1)="V",IF(DD72&gt;=INDEX('[1]Définition Maintenances'!$G:$G,MATCH($A72,'[1]Définition Maintenances'!$K:$K,0)),DD72,INDEX('[1]Définition Maintenances'!$G:$G,MATCH($A72,'[1]Définition Maintenances'!$K:$K,0))+DD72),DD72))</f>
        <v>212</v>
      </c>
      <c r="DF72" s="26">
        <f>IF(ISNUMBER(VLOOKUP($D72,'Visu totale'!$D:$DH,DF$1,0)),DE72-VLOOKUP($D72,'Visu totale'!$D:$DH,DF$1,0),IF(LEFT(VLOOKUP($D72,'Visu totale'!$D:$DH,DF$1,0),1)="V",IF(DE72&gt;=INDEX('[1]Définition Maintenances'!$G:$G,MATCH($A72,'[1]Définition Maintenances'!$K:$K,0)),DE72,INDEX('[1]Définition Maintenances'!$G:$G,MATCH($A72,'[1]Définition Maintenances'!$K:$K,0))+DE72),DE72))</f>
        <v>212</v>
      </c>
      <c r="DG72" s="26">
        <f>IF(ISNUMBER(VLOOKUP($D72,'Visu totale'!$D:$DH,DG$1,0)),DF72-VLOOKUP($D72,'Visu totale'!$D:$DH,DG$1,0),IF(LEFT(VLOOKUP($D72,'Visu totale'!$D:$DH,DG$1,0),1)="V",IF(DF72&gt;=INDEX('[1]Définition Maintenances'!$G:$G,MATCH($A72,'[1]Définition Maintenances'!$K:$K,0)),DF72,INDEX('[1]Définition Maintenances'!$G:$G,MATCH($A72,'[1]Définition Maintenances'!$K:$K,0))+DF72),DF72))</f>
        <v>212</v>
      </c>
      <c r="DH72" s="26">
        <f>IF(ISNUMBER(VLOOKUP($D72,'Visu totale'!$D:$DH,DH$1,0)),DG72-VLOOKUP($D72,'Visu totale'!$D:$DH,DH$1,0),IF(LEFT(VLOOKUP($D72,'Visu totale'!$D:$DH,DH$1,0),1)="V",IF(DG72&gt;=INDEX('[1]Définition Maintenances'!$G:$G,MATCH($A72,'[1]Définition Maintenances'!$K:$K,0)),DG72,INDEX('[1]Définition Maintenances'!$G:$G,MATCH($A72,'[1]Définition Maintenances'!$K:$K,0))+DG72),DG72))</f>
        <v>212</v>
      </c>
      <c r="DI72" s="27">
        <f>IF(ISNUMBER(VLOOKUP($D72,'Visu totale'!$D:$DH,DI$1,0)),DH72-VLOOKUP($D72,'Visu totale'!$D:$DH,DI$1,0),IF(LEFT(VLOOKUP($D72,'Visu totale'!$D:$DH,DI$1,0),1)="V",IF(DH72&gt;=INDEX('[1]Définition Maintenances'!$G:$G,MATCH($A72,'[1]Définition Maintenances'!$K:$K,0)),DH72,INDEX('[1]Définition Maintenances'!$G:$G,MATCH($A72,'[1]Définition Maintenances'!$K:$K,0))+DH72),DH72))</f>
        <v>212</v>
      </c>
    </row>
    <row r="73" spans="1:113" x14ac:dyDescent="0.25">
      <c r="A73" s="13" t="str">
        <f t="shared" si="2"/>
        <v>V15D</v>
      </c>
      <c r="B73" s="13" t="str">
        <f>VLOOKUP(D73,'[1]Avions (Potentiels)'!$B$2:$H$128,7,FALSE)</f>
        <v>V15</v>
      </c>
      <c r="C73" s="13"/>
      <c r="D73" s="16" t="s">
        <v>76</v>
      </c>
      <c r="E73" s="13">
        <f>IFERROR(VALUE(SUBSTITUTE(VLOOKUP(D73,'[1]Avions (Potentiels)'!$B:$E,4,0),".",",")),VALUE(VLOOKUP(D73,'[1]Avions (Potentiels)'!$B:$E,4,0)))</f>
        <v>449</v>
      </c>
      <c r="F73" s="25">
        <f>IF(ISNUMBER(VLOOKUP($D73,'Visu totale'!$D:$DH,F$1,0)),E73-VLOOKUP($D73,'Visu totale'!$D:$DH,F$1,0),IF(LEFT(VLOOKUP($D73,'Visu totale'!$D:$DH,F$1,0),1)="V",IF(E73&gt;=INDEX('[1]Définition Maintenances'!$G:$G,MATCH($A73,'[1]Définition Maintenances'!$K:$K,0)),E73,INDEX('[1]Définition Maintenances'!$G:$G,MATCH($A73,'[1]Définition Maintenances'!$K:$K,0))+E73),E73))</f>
        <v>449</v>
      </c>
      <c r="G73" s="26">
        <f>IF(ISNUMBER(VLOOKUP($D73,'Visu totale'!$D:$DH,G$1,0)),F73-VLOOKUP($D73,'Visu totale'!$D:$DH,G$1,0),IF(LEFT(VLOOKUP($D73,'Visu totale'!$D:$DH,G$1,0),1)="V",IF(F73&gt;=INDEX('[1]Définition Maintenances'!$G:$G,MATCH($A73,'[1]Définition Maintenances'!$K:$K,0)),F73,INDEX('[1]Définition Maintenances'!$G:$G,MATCH($A73,'[1]Définition Maintenances'!$K:$K,0))+F73),F73))</f>
        <v>449</v>
      </c>
      <c r="H73" s="26">
        <f>IF(ISNUMBER(VLOOKUP($D73,'Visu totale'!$D:$DH,H$1,0)),G73-VLOOKUP($D73,'Visu totale'!$D:$DH,H$1,0),IF(LEFT(VLOOKUP($D73,'Visu totale'!$D:$DH,H$1,0),1)="V",IF(G73&gt;=INDEX('[1]Définition Maintenances'!$G:$G,MATCH($A73,'[1]Définition Maintenances'!$K:$K,0)),G73,INDEX('[1]Définition Maintenances'!$G:$G,MATCH($A73,'[1]Définition Maintenances'!$K:$K,0))+G73),G73))</f>
        <v>449</v>
      </c>
      <c r="I73" s="26">
        <f>IF(ISNUMBER(VLOOKUP($D73,'Visu totale'!$D:$DH,I$1,0)),H73-VLOOKUP($D73,'Visu totale'!$D:$DH,I$1,0),IF(LEFT(VLOOKUP($D73,'Visu totale'!$D:$DH,I$1,0),1)="V",IF(H73&gt;=INDEX('[1]Définition Maintenances'!$G:$G,MATCH($A73,'[1]Définition Maintenances'!$K:$K,0)),H73,INDEX('[1]Définition Maintenances'!$G:$G,MATCH($A73,'[1]Définition Maintenances'!$K:$K,0))+H73),H73))</f>
        <v>449</v>
      </c>
      <c r="J73" s="26">
        <f>IF(ISNUMBER(VLOOKUP($D73,'Visu totale'!$D:$DH,J$1,0)),I73-VLOOKUP($D73,'Visu totale'!$D:$DH,J$1,0),IF(LEFT(VLOOKUP($D73,'Visu totale'!$D:$DH,J$1,0),1)="V",IF(I73&gt;=INDEX('[1]Définition Maintenances'!$G:$G,MATCH($A73,'[1]Définition Maintenances'!$K:$K,0)),I73,INDEX('[1]Définition Maintenances'!$G:$G,MATCH($A73,'[1]Définition Maintenances'!$K:$K,0))+I73),I73))</f>
        <v>449</v>
      </c>
      <c r="K73" s="26">
        <f>IF(ISNUMBER(VLOOKUP($D73,'Visu totale'!$D:$DH,K$1,0)),J73-VLOOKUP($D73,'Visu totale'!$D:$DH,K$1,0),IF(LEFT(VLOOKUP($D73,'Visu totale'!$D:$DH,K$1,0),1)="V",IF(J73&gt;=INDEX('[1]Définition Maintenances'!$G:$G,MATCH($A73,'[1]Définition Maintenances'!$K:$K,0)),J73,INDEX('[1]Définition Maintenances'!$G:$G,MATCH($A73,'[1]Définition Maintenances'!$K:$K,0))+J73),J73))</f>
        <v>449</v>
      </c>
      <c r="L73" s="26">
        <f>IF(ISNUMBER(VLOOKUP($D73,'Visu totale'!$D:$DH,L$1,0)),K73-VLOOKUP($D73,'Visu totale'!$D:$DH,L$1,0),IF(LEFT(VLOOKUP($D73,'Visu totale'!$D:$DH,L$1,0),1)="V",IF(K73&gt;=INDEX('[1]Définition Maintenances'!$G:$G,MATCH($A73,'[1]Définition Maintenances'!$K:$K,0)),K73,INDEX('[1]Définition Maintenances'!$G:$G,MATCH($A73,'[1]Définition Maintenances'!$K:$K,0))+K73),K73))</f>
        <v>449</v>
      </c>
      <c r="M73" s="26">
        <f>IF(ISNUMBER(VLOOKUP($D73,'Visu totale'!$D:$DH,M$1,0)),L73-VLOOKUP($D73,'Visu totale'!$D:$DH,M$1,0),IF(LEFT(VLOOKUP($D73,'Visu totale'!$D:$DH,M$1,0),1)="V",IF(L73&gt;=INDEX('[1]Définition Maintenances'!$G:$G,MATCH($A73,'[1]Définition Maintenances'!$K:$K,0)),L73,INDEX('[1]Définition Maintenances'!$G:$G,MATCH($A73,'[1]Définition Maintenances'!$K:$K,0))+L73),L73))</f>
        <v>449</v>
      </c>
      <c r="N73" s="26">
        <f>IF(ISNUMBER(VLOOKUP($D73,'Visu totale'!$D:$DH,N$1,0)),M73-VLOOKUP($D73,'Visu totale'!$D:$DH,N$1,0),IF(LEFT(VLOOKUP($D73,'Visu totale'!$D:$DH,N$1,0),1)="V",IF(M73&gt;=INDEX('[1]Définition Maintenances'!$G:$G,MATCH($A73,'[1]Définition Maintenances'!$K:$K,0)),M73,INDEX('[1]Définition Maintenances'!$G:$G,MATCH($A73,'[1]Définition Maintenances'!$K:$K,0))+M73),M73))</f>
        <v>449</v>
      </c>
      <c r="O73" s="26">
        <f>IF(ISNUMBER(VLOOKUP($D73,'Visu totale'!$D:$DH,O$1,0)),N73-VLOOKUP($D73,'Visu totale'!$D:$DH,O$1,0),IF(LEFT(VLOOKUP($D73,'Visu totale'!$D:$DH,O$1,0),1)="V",IF(N73&gt;=INDEX('[1]Définition Maintenances'!$G:$G,MATCH($A73,'[1]Définition Maintenances'!$K:$K,0)),N73,INDEX('[1]Définition Maintenances'!$G:$G,MATCH($A73,'[1]Définition Maintenances'!$K:$K,0))+N73),N73))</f>
        <v>449</v>
      </c>
      <c r="P73" s="26">
        <f>IF(ISNUMBER(VLOOKUP($D73,'Visu totale'!$D:$DH,P$1,0)),O73-VLOOKUP($D73,'Visu totale'!$D:$DH,P$1,0),IF(LEFT(VLOOKUP($D73,'Visu totale'!$D:$DH,P$1,0),1)="V",IF(O73&gt;=INDEX('[1]Définition Maintenances'!$G:$G,MATCH($A73,'[1]Définition Maintenances'!$K:$K,0)),O73,INDEX('[1]Définition Maintenances'!$G:$G,MATCH($A73,'[1]Définition Maintenances'!$K:$K,0))+O73),O73))</f>
        <v>449</v>
      </c>
      <c r="Q73" s="27">
        <f>IF(ISNUMBER(VLOOKUP($D73,'Visu totale'!$D:$DH,Q$1,0)),P73-VLOOKUP($D73,'Visu totale'!$D:$DH,Q$1,0),IF(LEFT(VLOOKUP($D73,'Visu totale'!$D:$DH,Q$1,0),1)="V",IF(P73&gt;=INDEX('[1]Définition Maintenances'!$G:$G,MATCH($A73,'[1]Définition Maintenances'!$K:$K,0)),P73,INDEX('[1]Définition Maintenances'!$G:$G,MATCH($A73,'[1]Définition Maintenances'!$K:$K,0))+P73),P73))</f>
        <v>449</v>
      </c>
      <c r="R73" s="25">
        <f>IF(ISNUMBER(VLOOKUP($D73,'Visu totale'!$D:$DH,R$1,0)),Q73-VLOOKUP($D73,'Visu totale'!$D:$DH,R$1,0),IF(LEFT(VLOOKUP($D73,'Visu totale'!$D:$DH,R$1,0),1)="V",IF(Q73&gt;=INDEX('[1]Définition Maintenances'!$G:$G,MATCH($A73,'[1]Définition Maintenances'!$K:$K,0)),Q73,INDEX('[1]Définition Maintenances'!$G:$G,MATCH($A73,'[1]Définition Maintenances'!$K:$K,0))+Q73),Q73))</f>
        <v>449</v>
      </c>
      <c r="S73" s="26">
        <f>IF(ISNUMBER(VLOOKUP($D73,'Visu totale'!$D:$DH,S$1,0)),R73-VLOOKUP($D73,'Visu totale'!$D:$DH,S$1,0),IF(LEFT(VLOOKUP($D73,'Visu totale'!$D:$DH,S$1,0),1)="V",IF(R73&gt;=INDEX('[1]Définition Maintenances'!$G:$G,MATCH($A73,'[1]Définition Maintenances'!$K:$K,0)),R73,INDEX('[1]Définition Maintenances'!$G:$G,MATCH($A73,'[1]Définition Maintenances'!$K:$K,0))+R73),R73))</f>
        <v>449</v>
      </c>
      <c r="T73" s="26">
        <f>IF(ISNUMBER(VLOOKUP($D73,'Visu totale'!$D:$DH,T$1,0)),S73-VLOOKUP($D73,'Visu totale'!$D:$DH,T$1,0),IF(LEFT(VLOOKUP($D73,'Visu totale'!$D:$DH,T$1,0),1)="V",IF(S73&gt;=INDEX('[1]Définition Maintenances'!$G:$G,MATCH($A73,'[1]Définition Maintenances'!$K:$K,0)),S73,INDEX('[1]Définition Maintenances'!$G:$G,MATCH($A73,'[1]Définition Maintenances'!$K:$K,0))+S73),S73))</f>
        <v>449</v>
      </c>
      <c r="U73" s="26">
        <f>IF(ISNUMBER(VLOOKUP($D73,'Visu totale'!$D:$DH,U$1,0)),T73-VLOOKUP($D73,'Visu totale'!$D:$DH,U$1,0),IF(LEFT(VLOOKUP($D73,'Visu totale'!$D:$DH,U$1,0),1)="V",IF(T73&gt;=INDEX('[1]Définition Maintenances'!$G:$G,MATCH($A73,'[1]Définition Maintenances'!$K:$K,0)),T73,INDEX('[1]Définition Maintenances'!$G:$G,MATCH($A73,'[1]Définition Maintenances'!$K:$K,0))+T73),T73))</f>
        <v>449</v>
      </c>
      <c r="V73" s="26">
        <f>IF(ISNUMBER(VLOOKUP($D73,'Visu totale'!$D:$DH,V$1,0)),U73-VLOOKUP($D73,'Visu totale'!$D:$DH,V$1,0),IF(LEFT(VLOOKUP($D73,'Visu totale'!$D:$DH,V$1,0),1)="V",IF(U73&gt;=INDEX('[1]Définition Maintenances'!$G:$G,MATCH($A73,'[1]Définition Maintenances'!$K:$K,0)),U73,INDEX('[1]Définition Maintenances'!$G:$G,MATCH($A73,'[1]Définition Maintenances'!$K:$K,0))+U73),U73))</f>
        <v>449</v>
      </c>
      <c r="W73" s="26">
        <f>IF(ISNUMBER(VLOOKUP($D73,'Visu totale'!$D:$DH,W$1,0)),V73-VLOOKUP($D73,'Visu totale'!$D:$DH,W$1,0),IF(LEFT(VLOOKUP($D73,'Visu totale'!$D:$DH,W$1,0),1)="V",IF(V73&gt;=INDEX('[1]Définition Maintenances'!$G:$G,MATCH($A73,'[1]Définition Maintenances'!$K:$K,0)),V73,INDEX('[1]Définition Maintenances'!$G:$G,MATCH($A73,'[1]Définition Maintenances'!$K:$K,0))+V73),V73))</f>
        <v>449</v>
      </c>
      <c r="X73" s="26">
        <f>IF(ISNUMBER(VLOOKUP($D73,'Visu totale'!$D:$DH,X$1,0)),W73-VLOOKUP($D73,'Visu totale'!$D:$DH,X$1,0),IF(LEFT(VLOOKUP($D73,'Visu totale'!$D:$DH,X$1,0),1)="V",IF(W73&gt;=INDEX('[1]Définition Maintenances'!$G:$G,MATCH($A73,'[1]Définition Maintenances'!$K:$K,0)),W73,INDEX('[1]Définition Maintenances'!$G:$G,MATCH($A73,'[1]Définition Maintenances'!$K:$K,0))+W73),W73))</f>
        <v>449</v>
      </c>
      <c r="Y73" s="26">
        <f>IF(ISNUMBER(VLOOKUP($D73,'Visu totale'!$D:$DH,Y$1,0)),X73-VLOOKUP($D73,'Visu totale'!$D:$DH,Y$1,0),IF(LEFT(VLOOKUP($D73,'Visu totale'!$D:$DH,Y$1,0),1)="V",IF(X73&gt;=INDEX('[1]Définition Maintenances'!$G:$G,MATCH($A73,'[1]Définition Maintenances'!$K:$K,0)),X73,INDEX('[1]Définition Maintenances'!$G:$G,MATCH($A73,'[1]Définition Maintenances'!$K:$K,0))+X73),X73))</f>
        <v>449</v>
      </c>
      <c r="Z73" s="26">
        <f>IF(ISNUMBER(VLOOKUP($D73,'Visu totale'!$D:$DH,Z$1,0)),Y73-VLOOKUP($D73,'Visu totale'!$D:$DH,Z$1,0),IF(LEFT(VLOOKUP($D73,'Visu totale'!$D:$DH,Z$1,0),1)="V",IF(Y73&gt;=INDEX('[1]Définition Maintenances'!$G:$G,MATCH($A73,'[1]Définition Maintenances'!$K:$K,0)),Y73,INDEX('[1]Définition Maintenances'!$G:$G,MATCH($A73,'[1]Définition Maintenances'!$K:$K,0))+Y73),Y73))</f>
        <v>449</v>
      </c>
      <c r="AA73" s="26">
        <f>IF(ISNUMBER(VLOOKUP($D73,'Visu totale'!$D:$DH,AA$1,0)),Z73-VLOOKUP($D73,'Visu totale'!$D:$DH,AA$1,0),IF(LEFT(VLOOKUP($D73,'Visu totale'!$D:$DH,AA$1,0),1)="V",IF(Z73&gt;=INDEX('[1]Définition Maintenances'!$G:$G,MATCH($A73,'[1]Définition Maintenances'!$K:$K,0)),Z73,INDEX('[1]Définition Maintenances'!$G:$G,MATCH($A73,'[1]Définition Maintenances'!$K:$K,0))+Z73),Z73))</f>
        <v>449</v>
      </c>
      <c r="AB73" s="26">
        <f>IF(ISNUMBER(VLOOKUP($D73,'Visu totale'!$D:$DH,AB$1,0)),AA73-VLOOKUP($D73,'Visu totale'!$D:$DH,AB$1,0),IF(LEFT(VLOOKUP($D73,'Visu totale'!$D:$DH,AB$1,0),1)="V",IF(AA73&gt;=INDEX('[1]Définition Maintenances'!$G:$G,MATCH($A73,'[1]Définition Maintenances'!$K:$K,0)),AA73,INDEX('[1]Définition Maintenances'!$G:$G,MATCH($A73,'[1]Définition Maintenances'!$K:$K,0))+AA73),AA73))</f>
        <v>449</v>
      </c>
      <c r="AC73" s="27">
        <f>IF(ISNUMBER(VLOOKUP($D73,'Visu totale'!$D:$DH,AC$1,0)),AB73-VLOOKUP($D73,'Visu totale'!$D:$DH,AC$1,0),IF(LEFT(VLOOKUP($D73,'Visu totale'!$D:$DH,AC$1,0),1)="V",IF(AB73&gt;=INDEX('[1]Définition Maintenances'!$G:$G,MATCH($A73,'[1]Définition Maintenances'!$K:$K,0)),AB73,INDEX('[1]Définition Maintenances'!$G:$G,MATCH($A73,'[1]Définition Maintenances'!$K:$K,0))+AB73),AB73))</f>
        <v>449</v>
      </c>
      <c r="AD73" s="25">
        <f>IF(ISNUMBER(VLOOKUP($D73,'Visu totale'!$D:$DH,AD$1,0)),AC73-VLOOKUP($D73,'Visu totale'!$D:$DH,AD$1,0),IF(LEFT(VLOOKUP($D73,'Visu totale'!$D:$DH,AD$1,0),1)="V",IF(AC73&gt;=INDEX('[1]Définition Maintenances'!$G:$G,MATCH($A73,'[1]Définition Maintenances'!$K:$K,0)),AC73,INDEX('[1]Définition Maintenances'!$G:$G,MATCH($A73,'[1]Définition Maintenances'!$K:$K,0))+AC73),AC73))</f>
        <v>449</v>
      </c>
      <c r="AE73" s="26">
        <f>IF(ISNUMBER(VLOOKUP($D73,'Visu totale'!$D:$DH,AE$1,0)),AD73-VLOOKUP($D73,'Visu totale'!$D:$DH,AE$1,0),IF(LEFT(VLOOKUP($D73,'Visu totale'!$D:$DH,AE$1,0),1)="V",IF(AD73&gt;=INDEX('[1]Définition Maintenances'!$G:$G,MATCH($A73,'[1]Définition Maintenances'!$K:$K,0)),AD73,INDEX('[1]Définition Maintenances'!$G:$G,MATCH($A73,'[1]Définition Maintenances'!$K:$K,0))+AD73),AD73))</f>
        <v>449</v>
      </c>
      <c r="AF73" s="26">
        <f>IF(ISNUMBER(VLOOKUP($D73,'Visu totale'!$D:$DH,AF$1,0)),AE73-VLOOKUP($D73,'Visu totale'!$D:$DH,AF$1,0),IF(LEFT(VLOOKUP($D73,'Visu totale'!$D:$DH,AF$1,0),1)="V",IF(AE73&gt;=INDEX('[1]Définition Maintenances'!$G:$G,MATCH($A73,'[1]Définition Maintenances'!$K:$K,0)),AE73,INDEX('[1]Définition Maintenances'!$G:$G,MATCH($A73,'[1]Définition Maintenances'!$K:$K,0))+AE73),AE73))</f>
        <v>449</v>
      </c>
      <c r="AG73" s="26">
        <f>IF(ISNUMBER(VLOOKUP($D73,'Visu totale'!$D:$DH,AG$1,0)),AF73-VLOOKUP($D73,'Visu totale'!$D:$DH,AG$1,0),IF(LEFT(VLOOKUP($D73,'Visu totale'!$D:$DH,AG$1,0),1)="V",IF(AF73&gt;=INDEX('[1]Définition Maintenances'!$G:$G,MATCH($A73,'[1]Définition Maintenances'!$K:$K,0)),AF73,INDEX('[1]Définition Maintenances'!$G:$G,MATCH($A73,'[1]Définition Maintenances'!$K:$K,0))+AF73),AF73))</f>
        <v>449</v>
      </c>
      <c r="AH73" s="26">
        <f>IF(ISNUMBER(VLOOKUP($D73,'Visu totale'!$D:$DH,AH$1,0)),AG73-VLOOKUP($D73,'Visu totale'!$D:$DH,AH$1,0),IF(LEFT(VLOOKUP($D73,'Visu totale'!$D:$DH,AH$1,0),1)="V",IF(AG73&gt;=INDEX('[1]Définition Maintenances'!$G:$G,MATCH($A73,'[1]Définition Maintenances'!$K:$K,0)),AG73,INDEX('[1]Définition Maintenances'!$G:$G,MATCH($A73,'[1]Définition Maintenances'!$K:$K,0))+AG73),AG73))</f>
        <v>449</v>
      </c>
      <c r="AI73" s="26">
        <f>IF(ISNUMBER(VLOOKUP($D73,'Visu totale'!$D:$DH,AI$1,0)),AH73-VLOOKUP($D73,'Visu totale'!$D:$DH,AI$1,0),IF(LEFT(VLOOKUP($D73,'Visu totale'!$D:$DH,AI$1,0),1)="V",IF(AH73&gt;=INDEX('[1]Définition Maintenances'!$G:$G,MATCH($A73,'[1]Définition Maintenances'!$K:$K,0)),AH73,INDEX('[1]Définition Maintenances'!$G:$G,MATCH($A73,'[1]Définition Maintenances'!$K:$K,0))+AH73),AH73))</f>
        <v>449</v>
      </c>
      <c r="AJ73" s="26">
        <f>IF(ISNUMBER(VLOOKUP($D73,'Visu totale'!$D:$DH,AJ$1,0)),AI73-VLOOKUP($D73,'Visu totale'!$D:$DH,AJ$1,0),IF(LEFT(VLOOKUP($D73,'Visu totale'!$D:$DH,AJ$1,0),1)="V",IF(AI73&gt;=INDEX('[1]Définition Maintenances'!$G:$G,MATCH($A73,'[1]Définition Maintenances'!$K:$K,0)),AI73,INDEX('[1]Définition Maintenances'!$G:$G,MATCH($A73,'[1]Définition Maintenances'!$K:$K,0))+AI73),AI73))</f>
        <v>449</v>
      </c>
      <c r="AK73" s="26">
        <f>IF(ISNUMBER(VLOOKUP($D73,'Visu totale'!$D:$DH,AK$1,0)),AJ73-VLOOKUP($D73,'Visu totale'!$D:$DH,AK$1,0),IF(LEFT(VLOOKUP($D73,'Visu totale'!$D:$DH,AK$1,0),1)="V",IF(AJ73&gt;=INDEX('[1]Définition Maintenances'!$G:$G,MATCH($A73,'[1]Définition Maintenances'!$K:$K,0)),AJ73,INDEX('[1]Définition Maintenances'!$G:$G,MATCH($A73,'[1]Définition Maintenances'!$K:$K,0))+AJ73),AJ73))</f>
        <v>449</v>
      </c>
      <c r="AL73" s="26">
        <f>IF(ISNUMBER(VLOOKUP($D73,'Visu totale'!$D:$DH,AL$1,0)),AK73-VLOOKUP($D73,'Visu totale'!$D:$DH,AL$1,0),IF(LEFT(VLOOKUP($D73,'Visu totale'!$D:$DH,AL$1,0),1)="V",IF(AK73&gt;=INDEX('[1]Définition Maintenances'!$G:$G,MATCH($A73,'[1]Définition Maintenances'!$K:$K,0)),AK73,INDEX('[1]Définition Maintenances'!$G:$G,MATCH($A73,'[1]Définition Maintenances'!$K:$K,0))+AK73),AK73))</f>
        <v>449</v>
      </c>
      <c r="AM73" s="26">
        <f>IF(ISNUMBER(VLOOKUP($D73,'Visu totale'!$D:$DH,AM$1,0)),AL73-VLOOKUP($D73,'Visu totale'!$D:$DH,AM$1,0),IF(LEFT(VLOOKUP($D73,'Visu totale'!$D:$DH,AM$1,0),1)="V",IF(AL73&gt;=INDEX('[1]Définition Maintenances'!$G:$G,MATCH($A73,'[1]Définition Maintenances'!$K:$K,0)),AL73,INDEX('[1]Définition Maintenances'!$G:$G,MATCH($A73,'[1]Définition Maintenances'!$K:$K,0))+AL73),AL73))</f>
        <v>449</v>
      </c>
      <c r="AN73" s="26">
        <f>IF(ISNUMBER(VLOOKUP($D73,'Visu totale'!$D:$DH,AN$1,0)),AM73-VLOOKUP($D73,'Visu totale'!$D:$DH,AN$1,0),IF(LEFT(VLOOKUP($D73,'Visu totale'!$D:$DH,AN$1,0),1)="V",IF(AM73&gt;=INDEX('[1]Définition Maintenances'!$G:$G,MATCH($A73,'[1]Définition Maintenances'!$K:$K,0)),AM73,INDEX('[1]Définition Maintenances'!$G:$G,MATCH($A73,'[1]Définition Maintenances'!$K:$K,0))+AM73),AM73))</f>
        <v>449</v>
      </c>
      <c r="AO73" s="27">
        <f>IF(ISNUMBER(VLOOKUP($D73,'Visu totale'!$D:$DH,AO$1,0)),AN73-VLOOKUP($D73,'Visu totale'!$D:$DH,AO$1,0),IF(LEFT(VLOOKUP($D73,'Visu totale'!$D:$DH,AO$1,0),1)="V",IF(AN73&gt;=INDEX('[1]Définition Maintenances'!$G:$G,MATCH($A73,'[1]Définition Maintenances'!$K:$K,0)),AN73,INDEX('[1]Définition Maintenances'!$G:$G,MATCH($A73,'[1]Définition Maintenances'!$K:$K,0))+AN73),AN73))</f>
        <v>449</v>
      </c>
      <c r="AP73" s="25">
        <f>IF(ISNUMBER(VLOOKUP($D73,'Visu totale'!$D:$DH,AP$1,0)),AO73-VLOOKUP($D73,'Visu totale'!$D:$DH,AP$1,0),IF(LEFT(VLOOKUP($D73,'Visu totale'!$D:$DH,AP$1,0),1)="V",IF(AO73&gt;=INDEX('[1]Définition Maintenances'!$G:$G,MATCH($A73,'[1]Définition Maintenances'!$K:$K,0)),AO73,INDEX('[1]Définition Maintenances'!$G:$G,MATCH($A73,'[1]Définition Maintenances'!$K:$K,0))+AO73),AO73))</f>
        <v>449</v>
      </c>
      <c r="AQ73" s="26">
        <f>IF(ISNUMBER(VLOOKUP($D73,'Visu totale'!$D:$DH,AQ$1,0)),AP73-VLOOKUP($D73,'Visu totale'!$D:$DH,AQ$1,0),IF(LEFT(VLOOKUP($D73,'Visu totale'!$D:$DH,AQ$1,0),1)="V",IF(AP73&gt;=INDEX('[1]Définition Maintenances'!$G:$G,MATCH($A73,'[1]Définition Maintenances'!$K:$K,0)),AP73,INDEX('[1]Définition Maintenances'!$G:$G,MATCH($A73,'[1]Définition Maintenances'!$K:$K,0))+AP73),AP73))</f>
        <v>449</v>
      </c>
      <c r="AR73" s="26">
        <f>IF(ISNUMBER(VLOOKUP($D73,'Visu totale'!$D:$DH,AR$1,0)),AQ73-VLOOKUP($D73,'Visu totale'!$D:$DH,AR$1,0),IF(LEFT(VLOOKUP($D73,'Visu totale'!$D:$DH,AR$1,0),1)="V",IF(AQ73&gt;=INDEX('[1]Définition Maintenances'!$G:$G,MATCH($A73,'[1]Définition Maintenances'!$K:$K,0)),AQ73,INDEX('[1]Définition Maintenances'!$G:$G,MATCH($A73,'[1]Définition Maintenances'!$K:$K,0))+AQ73),AQ73))</f>
        <v>449</v>
      </c>
      <c r="AS73" s="26">
        <f>IF(ISNUMBER(VLOOKUP($D73,'Visu totale'!$D:$DH,AS$1,0)),AR73-VLOOKUP($D73,'Visu totale'!$D:$DH,AS$1,0),IF(LEFT(VLOOKUP($D73,'Visu totale'!$D:$DH,AS$1,0),1)="V",IF(AR73&gt;=INDEX('[1]Définition Maintenances'!$G:$G,MATCH($A73,'[1]Définition Maintenances'!$K:$K,0)),AR73,INDEX('[1]Définition Maintenances'!$G:$G,MATCH($A73,'[1]Définition Maintenances'!$K:$K,0))+AR73),AR73))</f>
        <v>449</v>
      </c>
      <c r="AT73" s="26">
        <f>IF(ISNUMBER(VLOOKUP($D73,'Visu totale'!$D:$DH,AT$1,0)),AS73-VLOOKUP($D73,'Visu totale'!$D:$DH,AT$1,0),IF(LEFT(VLOOKUP($D73,'Visu totale'!$D:$DH,AT$1,0),1)="V",IF(AS73&gt;=INDEX('[1]Définition Maintenances'!$G:$G,MATCH($A73,'[1]Définition Maintenances'!$K:$K,0)),AS73,INDEX('[1]Définition Maintenances'!$G:$G,MATCH($A73,'[1]Définition Maintenances'!$K:$K,0))+AS73),AS73))</f>
        <v>449</v>
      </c>
      <c r="AU73" s="26">
        <f>IF(ISNUMBER(VLOOKUP($D73,'Visu totale'!$D:$DH,AU$1,0)),AT73-VLOOKUP($D73,'Visu totale'!$D:$DH,AU$1,0),IF(LEFT(VLOOKUP($D73,'Visu totale'!$D:$DH,AU$1,0),1)="V",IF(AT73&gt;=INDEX('[1]Définition Maintenances'!$G:$G,MATCH($A73,'[1]Définition Maintenances'!$K:$K,0)),AT73,INDEX('[1]Définition Maintenances'!$G:$G,MATCH($A73,'[1]Définition Maintenances'!$K:$K,0))+AT73),AT73))</f>
        <v>449</v>
      </c>
      <c r="AV73" s="26">
        <f>IF(ISNUMBER(VLOOKUP($D73,'Visu totale'!$D:$DH,AV$1,0)),AU73-VLOOKUP($D73,'Visu totale'!$D:$DH,AV$1,0),IF(LEFT(VLOOKUP($D73,'Visu totale'!$D:$DH,AV$1,0),1)="V",IF(AU73&gt;=INDEX('[1]Définition Maintenances'!$G:$G,MATCH($A73,'[1]Définition Maintenances'!$K:$K,0)),AU73,INDEX('[1]Définition Maintenances'!$G:$G,MATCH($A73,'[1]Définition Maintenances'!$K:$K,0))+AU73),AU73))</f>
        <v>449</v>
      </c>
      <c r="AW73" s="26">
        <f>IF(ISNUMBER(VLOOKUP($D73,'Visu totale'!$D:$DH,AW$1,0)),AV73-VLOOKUP($D73,'Visu totale'!$D:$DH,AW$1,0),IF(LEFT(VLOOKUP($D73,'Visu totale'!$D:$DH,AW$1,0),1)="V",IF(AV73&gt;=INDEX('[1]Définition Maintenances'!$G:$G,MATCH($A73,'[1]Définition Maintenances'!$K:$K,0)),AV73,INDEX('[1]Définition Maintenances'!$G:$G,MATCH($A73,'[1]Définition Maintenances'!$K:$K,0))+AV73),AV73))</f>
        <v>449</v>
      </c>
      <c r="AX73" s="26">
        <f>IF(ISNUMBER(VLOOKUP($D73,'Visu totale'!$D:$DH,AX$1,0)),AW73-VLOOKUP($D73,'Visu totale'!$D:$DH,AX$1,0),IF(LEFT(VLOOKUP($D73,'Visu totale'!$D:$DH,AX$1,0),1)="V",IF(AW73&gt;=INDEX('[1]Définition Maintenances'!$G:$G,MATCH($A73,'[1]Définition Maintenances'!$K:$K,0)),AW73,INDEX('[1]Définition Maintenances'!$G:$G,MATCH($A73,'[1]Définition Maintenances'!$K:$K,0))+AW73),AW73))</f>
        <v>449</v>
      </c>
      <c r="AY73" s="26">
        <f>IF(ISNUMBER(VLOOKUP($D73,'Visu totale'!$D:$DH,AY$1,0)),AX73-VLOOKUP($D73,'Visu totale'!$D:$DH,AY$1,0),IF(LEFT(VLOOKUP($D73,'Visu totale'!$D:$DH,AY$1,0),1)="V",IF(AX73&gt;=INDEX('[1]Définition Maintenances'!$G:$G,MATCH($A73,'[1]Définition Maintenances'!$K:$K,0)),AX73,INDEX('[1]Définition Maintenances'!$G:$G,MATCH($A73,'[1]Définition Maintenances'!$K:$K,0))+AX73),AX73))</f>
        <v>449</v>
      </c>
      <c r="AZ73" s="26">
        <f>IF(ISNUMBER(VLOOKUP($D73,'Visu totale'!$D:$DH,AZ$1,0)),AY73-VLOOKUP($D73,'Visu totale'!$D:$DH,AZ$1,0),IF(LEFT(VLOOKUP($D73,'Visu totale'!$D:$DH,AZ$1,0),1)="V",IF(AY73&gt;=INDEX('[1]Définition Maintenances'!$G:$G,MATCH($A73,'[1]Définition Maintenances'!$K:$K,0)),AY73,INDEX('[1]Définition Maintenances'!$G:$G,MATCH($A73,'[1]Définition Maintenances'!$K:$K,0))+AY73),AY73))</f>
        <v>449</v>
      </c>
      <c r="BA73" s="27">
        <f>IF(ISNUMBER(VLOOKUP($D73,'Visu totale'!$D:$DH,BA$1,0)),AZ73-VLOOKUP($D73,'Visu totale'!$D:$DH,BA$1,0),IF(LEFT(VLOOKUP($D73,'Visu totale'!$D:$DH,BA$1,0),1)="V",IF(AZ73&gt;=INDEX('[1]Définition Maintenances'!$G:$G,MATCH($A73,'[1]Définition Maintenances'!$K:$K,0)),AZ73,INDEX('[1]Définition Maintenances'!$G:$G,MATCH($A73,'[1]Définition Maintenances'!$K:$K,0))+AZ73),AZ73))</f>
        <v>449</v>
      </c>
      <c r="BB73" s="25">
        <f>IF(ISNUMBER(VLOOKUP($D73,'Visu totale'!$D:$DH,BB$1,0)),BA73-VLOOKUP($D73,'Visu totale'!$D:$DH,BB$1,0),IF(LEFT(VLOOKUP($D73,'Visu totale'!$D:$DH,BB$1,0),1)="V",IF(BA73&gt;=INDEX('[1]Définition Maintenances'!$G:$G,MATCH($A73,'[1]Définition Maintenances'!$K:$K,0)),BA73,INDEX('[1]Définition Maintenances'!$G:$G,MATCH($A73,'[1]Définition Maintenances'!$K:$K,0))+BA73),BA73))</f>
        <v>449</v>
      </c>
      <c r="BC73" s="26">
        <f>IF(ISNUMBER(VLOOKUP($D73,'Visu totale'!$D:$DH,BC$1,0)),BB73-VLOOKUP($D73,'Visu totale'!$D:$DH,BC$1,0),IF(LEFT(VLOOKUP($D73,'Visu totale'!$D:$DH,BC$1,0),1)="V",IF(BB73&gt;=INDEX('[1]Définition Maintenances'!$G:$G,MATCH($A73,'[1]Définition Maintenances'!$K:$K,0)),BB73,INDEX('[1]Définition Maintenances'!$G:$G,MATCH($A73,'[1]Définition Maintenances'!$K:$K,0))+BB73),BB73))</f>
        <v>449</v>
      </c>
      <c r="BD73" s="26">
        <f>IF(ISNUMBER(VLOOKUP($D73,'Visu totale'!$D:$DH,BD$1,0)),BC73-VLOOKUP($D73,'Visu totale'!$D:$DH,BD$1,0),IF(LEFT(VLOOKUP($D73,'Visu totale'!$D:$DH,BD$1,0),1)="V",IF(BC73&gt;=INDEX('[1]Définition Maintenances'!$G:$G,MATCH($A73,'[1]Définition Maintenances'!$K:$K,0)),BC73,INDEX('[1]Définition Maintenances'!$G:$G,MATCH($A73,'[1]Définition Maintenances'!$K:$K,0))+BC73),BC73))</f>
        <v>449</v>
      </c>
      <c r="BE73" s="26">
        <f>IF(ISNUMBER(VLOOKUP($D73,'Visu totale'!$D:$DH,BE$1,0)),BD73-VLOOKUP($D73,'Visu totale'!$D:$DH,BE$1,0),IF(LEFT(VLOOKUP($D73,'Visu totale'!$D:$DH,BE$1,0),1)="V",IF(BD73&gt;=INDEX('[1]Définition Maintenances'!$G:$G,MATCH($A73,'[1]Définition Maintenances'!$K:$K,0)),BD73,INDEX('[1]Définition Maintenances'!$G:$G,MATCH($A73,'[1]Définition Maintenances'!$K:$K,0))+BD73),BD73))</f>
        <v>449</v>
      </c>
      <c r="BF73" s="26">
        <f>IF(ISNUMBER(VLOOKUP($D73,'Visu totale'!$D:$DH,BF$1,0)),BE73-VLOOKUP($D73,'Visu totale'!$D:$DH,BF$1,0),IF(LEFT(VLOOKUP($D73,'Visu totale'!$D:$DH,BF$1,0),1)="V",IF(BE73&gt;=INDEX('[1]Définition Maintenances'!$G:$G,MATCH($A73,'[1]Définition Maintenances'!$K:$K,0)),BE73,INDEX('[1]Définition Maintenances'!$G:$G,MATCH($A73,'[1]Définition Maintenances'!$K:$K,0))+BE73),BE73))</f>
        <v>449</v>
      </c>
      <c r="BG73" s="26">
        <f>IF(ISNUMBER(VLOOKUP($D73,'Visu totale'!$D:$DH,BG$1,0)),BF73-VLOOKUP($D73,'Visu totale'!$D:$DH,BG$1,0),IF(LEFT(VLOOKUP($D73,'Visu totale'!$D:$DH,BG$1,0),1)="V",IF(BF73&gt;=INDEX('[1]Définition Maintenances'!$G:$G,MATCH($A73,'[1]Définition Maintenances'!$K:$K,0)),BF73,INDEX('[1]Définition Maintenances'!$G:$G,MATCH($A73,'[1]Définition Maintenances'!$K:$K,0))+BF73),BF73))</f>
        <v>449</v>
      </c>
      <c r="BH73" s="26">
        <f>IF(ISNUMBER(VLOOKUP($D73,'Visu totale'!$D:$DH,BH$1,0)),BG73-VLOOKUP($D73,'Visu totale'!$D:$DH,BH$1,0),IF(LEFT(VLOOKUP($D73,'Visu totale'!$D:$DH,BH$1,0),1)="V",IF(BG73&gt;=INDEX('[1]Définition Maintenances'!$G:$G,MATCH($A73,'[1]Définition Maintenances'!$K:$K,0)),BG73,INDEX('[1]Définition Maintenances'!$G:$G,MATCH($A73,'[1]Définition Maintenances'!$K:$K,0))+BG73),BG73))</f>
        <v>449</v>
      </c>
      <c r="BI73" s="26">
        <f>IF(ISNUMBER(VLOOKUP($D73,'Visu totale'!$D:$DH,BI$1,0)),BH73-VLOOKUP($D73,'Visu totale'!$D:$DH,BI$1,0),IF(LEFT(VLOOKUP($D73,'Visu totale'!$D:$DH,BI$1,0),1)="V",IF(BH73&gt;=INDEX('[1]Définition Maintenances'!$G:$G,MATCH($A73,'[1]Définition Maintenances'!$K:$K,0)),BH73,INDEX('[1]Définition Maintenances'!$G:$G,MATCH($A73,'[1]Définition Maintenances'!$K:$K,0))+BH73),BH73))</f>
        <v>449</v>
      </c>
      <c r="BJ73" s="26">
        <f>IF(ISNUMBER(VLOOKUP($D73,'Visu totale'!$D:$DH,BJ$1,0)),BI73-VLOOKUP($D73,'Visu totale'!$D:$DH,BJ$1,0),IF(LEFT(VLOOKUP($D73,'Visu totale'!$D:$DH,BJ$1,0),1)="V",IF(BI73&gt;=INDEX('[1]Définition Maintenances'!$G:$G,MATCH($A73,'[1]Définition Maintenances'!$K:$K,0)),BI73,INDEX('[1]Définition Maintenances'!$G:$G,MATCH($A73,'[1]Définition Maintenances'!$K:$K,0))+BI73),BI73))</f>
        <v>449</v>
      </c>
      <c r="BK73" s="26">
        <f>IF(ISNUMBER(VLOOKUP($D73,'Visu totale'!$D:$DH,BK$1,0)),BJ73-VLOOKUP($D73,'Visu totale'!$D:$DH,BK$1,0),IF(LEFT(VLOOKUP($D73,'Visu totale'!$D:$DH,BK$1,0),1)="V",IF(BJ73&gt;=INDEX('[1]Définition Maintenances'!$G:$G,MATCH($A73,'[1]Définition Maintenances'!$K:$K,0)),BJ73,INDEX('[1]Définition Maintenances'!$G:$G,MATCH($A73,'[1]Définition Maintenances'!$K:$K,0))+BJ73),BJ73))</f>
        <v>449</v>
      </c>
      <c r="BL73" s="26">
        <f>IF(ISNUMBER(VLOOKUP($D73,'Visu totale'!$D:$DH,BL$1,0)),BK73-VLOOKUP($D73,'Visu totale'!$D:$DH,BL$1,0),IF(LEFT(VLOOKUP($D73,'Visu totale'!$D:$DH,BL$1,0),1)="V",IF(BK73&gt;=INDEX('[1]Définition Maintenances'!$G:$G,MATCH($A73,'[1]Définition Maintenances'!$K:$K,0)),BK73,INDEX('[1]Définition Maintenances'!$G:$G,MATCH($A73,'[1]Définition Maintenances'!$K:$K,0))+BK73),BK73))</f>
        <v>449</v>
      </c>
      <c r="BM73" s="27">
        <f>IF(ISNUMBER(VLOOKUP($D73,'Visu totale'!$D:$DH,BM$1,0)),BL73-VLOOKUP($D73,'Visu totale'!$D:$DH,BM$1,0),IF(LEFT(VLOOKUP($D73,'Visu totale'!$D:$DH,BM$1,0),1)="V",IF(BL73&gt;=INDEX('[1]Définition Maintenances'!$G:$G,MATCH($A73,'[1]Définition Maintenances'!$K:$K,0)),BL73,INDEX('[1]Définition Maintenances'!$G:$G,MATCH($A73,'[1]Définition Maintenances'!$K:$K,0))+BL73),BL73))</f>
        <v>449</v>
      </c>
      <c r="BN73" s="25">
        <f>IF(ISNUMBER(VLOOKUP($D73,'Visu totale'!$D:$DH,BN$1,0)),BM73-VLOOKUP($D73,'Visu totale'!$D:$DH,BN$1,0),IF(LEFT(VLOOKUP($D73,'Visu totale'!$D:$DH,BN$1,0),1)="V",IF(BM73&gt;=INDEX('[1]Définition Maintenances'!$G:$G,MATCH($A73,'[1]Définition Maintenances'!$K:$K,0)),BM73,INDEX('[1]Définition Maintenances'!$G:$G,MATCH($A73,'[1]Définition Maintenances'!$K:$K,0))+BM73),BM73))</f>
        <v>449</v>
      </c>
      <c r="BO73" s="26">
        <f>IF(ISNUMBER(VLOOKUP($D73,'Visu totale'!$D:$DH,BO$1,0)),BN73-VLOOKUP($D73,'Visu totale'!$D:$DH,BO$1,0),IF(LEFT(VLOOKUP($D73,'Visu totale'!$D:$DH,BO$1,0),1)="V",IF(BN73&gt;=INDEX('[1]Définition Maintenances'!$G:$G,MATCH($A73,'[1]Définition Maintenances'!$K:$K,0)),BN73,INDEX('[1]Définition Maintenances'!$G:$G,MATCH($A73,'[1]Définition Maintenances'!$K:$K,0))+BN73),BN73))</f>
        <v>449</v>
      </c>
      <c r="BP73" s="26">
        <f>IF(ISNUMBER(VLOOKUP($D73,'Visu totale'!$D:$DH,BP$1,0)),BO73-VLOOKUP($D73,'Visu totale'!$D:$DH,BP$1,0),IF(LEFT(VLOOKUP($D73,'Visu totale'!$D:$DH,BP$1,0),1)="V",IF(BO73&gt;=INDEX('[1]Définition Maintenances'!$G:$G,MATCH($A73,'[1]Définition Maintenances'!$K:$K,0)),BO73,INDEX('[1]Définition Maintenances'!$G:$G,MATCH($A73,'[1]Définition Maintenances'!$K:$K,0))+BO73),BO73))</f>
        <v>449</v>
      </c>
      <c r="BQ73" s="26">
        <f>IF(ISNUMBER(VLOOKUP($D73,'Visu totale'!$D:$DH,BQ$1,0)),BP73-VLOOKUP($D73,'Visu totale'!$D:$DH,BQ$1,0),IF(LEFT(VLOOKUP($D73,'Visu totale'!$D:$DH,BQ$1,0),1)="V",IF(BP73&gt;=INDEX('[1]Définition Maintenances'!$G:$G,MATCH($A73,'[1]Définition Maintenances'!$K:$K,0)),BP73,INDEX('[1]Définition Maintenances'!$G:$G,MATCH($A73,'[1]Définition Maintenances'!$K:$K,0))+BP73),BP73))</f>
        <v>449</v>
      </c>
      <c r="BR73" s="26">
        <f>IF(ISNUMBER(VLOOKUP($D73,'Visu totale'!$D:$DH,BR$1,0)),BQ73-VLOOKUP($D73,'Visu totale'!$D:$DH,BR$1,0),IF(LEFT(VLOOKUP($D73,'Visu totale'!$D:$DH,BR$1,0),1)="V",IF(BQ73&gt;=INDEX('[1]Définition Maintenances'!$G:$G,MATCH($A73,'[1]Définition Maintenances'!$K:$K,0)),BQ73,INDEX('[1]Définition Maintenances'!$G:$G,MATCH($A73,'[1]Définition Maintenances'!$K:$K,0))+BQ73),BQ73))</f>
        <v>449</v>
      </c>
      <c r="BS73" s="26">
        <f>IF(ISNUMBER(VLOOKUP($D73,'Visu totale'!$D:$DH,BS$1,0)),BR73-VLOOKUP($D73,'Visu totale'!$D:$DH,BS$1,0),IF(LEFT(VLOOKUP($D73,'Visu totale'!$D:$DH,BS$1,0),1)="V",IF(BR73&gt;=INDEX('[1]Définition Maintenances'!$G:$G,MATCH($A73,'[1]Définition Maintenances'!$K:$K,0)),BR73,INDEX('[1]Définition Maintenances'!$G:$G,MATCH($A73,'[1]Définition Maintenances'!$K:$K,0))+BR73),BR73))</f>
        <v>449</v>
      </c>
      <c r="BT73" s="26">
        <f>IF(ISNUMBER(VLOOKUP($D73,'Visu totale'!$D:$DH,BT$1,0)),BS73-VLOOKUP($D73,'Visu totale'!$D:$DH,BT$1,0),IF(LEFT(VLOOKUP($D73,'Visu totale'!$D:$DH,BT$1,0),1)="V",IF(BS73&gt;=INDEX('[1]Définition Maintenances'!$G:$G,MATCH($A73,'[1]Définition Maintenances'!$K:$K,0)),BS73,INDEX('[1]Définition Maintenances'!$G:$G,MATCH($A73,'[1]Définition Maintenances'!$K:$K,0))+BS73),BS73))</f>
        <v>449</v>
      </c>
      <c r="BU73" s="26">
        <f>IF(ISNUMBER(VLOOKUP($D73,'Visu totale'!$D:$DH,BU$1,0)),BT73-VLOOKUP($D73,'Visu totale'!$D:$DH,BU$1,0),IF(LEFT(VLOOKUP($D73,'Visu totale'!$D:$DH,BU$1,0),1)="V",IF(BT73&gt;=INDEX('[1]Définition Maintenances'!$G:$G,MATCH($A73,'[1]Définition Maintenances'!$K:$K,0)),BT73,INDEX('[1]Définition Maintenances'!$G:$G,MATCH($A73,'[1]Définition Maintenances'!$K:$K,0))+BT73),BT73))</f>
        <v>449</v>
      </c>
      <c r="BV73" s="26">
        <f>IF(ISNUMBER(VLOOKUP($D73,'Visu totale'!$D:$DH,BV$1,0)),BU73-VLOOKUP($D73,'Visu totale'!$D:$DH,BV$1,0),IF(LEFT(VLOOKUP($D73,'Visu totale'!$D:$DH,BV$1,0),1)="V",IF(BU73&gt;=INDEX('[1]Définition Maintenances'!$G:$G,MATCH($A73,'[1]Définition Maintenances'!$K:$K,0)),BU73,INDEX('[1]Définition Maintenances'!$G:$G,MATCH($A73,'[1]Définition Maintenances'!$K:$K,0))+BU73),BU73))</f>
        <v>449</v>
      </c>
      <c r="BW73" s="26">
        <f>IF(ISNUMBER(VLOOKUP($D73,'Visu totale'!$D:$DH,BW$1,0)),BV73-VLOOKUP($D73,'Visu totale'!$D:$DH,BW$1,0),IF(LEFT(VLOOKUP($D73,'Visu totale'!$D:$DH,BW$1,0),1)="V",IF(BV73&gt;=INDEX('[1]Définition Maintenances'!$G:$G,MATCH($A73,'[1]Définition Maintenances'!$K:$K,0)),BV73,INDEX('[1]Définition Maintenances'!$G:$G,MATCH($A73,'[1]Définition Maintenances'!$K:$K,0))+BV73),BV73))</f>
        <v>449</v>
      </c>
      <c r="BX73" s="26">
        <f>IF(ISNUMBER(VLOOKUP($D73,'Visu totale'!$D:$DH,BX$1,0)),BW73-VLOOKUP($D73,'Visu totale'!$D:$DH,BX$1,0),IF(LEFT(VLOOKUP($D73,'Visu totale'!$D:$DH,BX$1,0),1)="V",IF(BW73&gt;=INDEX('[1]Définition Maintenances'!$G:$G,MATCH($A73,'[1]Définition Maintenances'!$K:$K,0)),BW73,INDEX('[1]Définition Maintenances'!$G:$G,MATCH($A73,'[1]Définition Maintenances'!$K:$K,0))+BW73),BW73))</f>
        <v>449</v>
      </c>
      <c r="BY73" s="27">
        <f>IF(ISNUMBER(VLOOKUP($D73,'Visu totale'!$D:$DH,BY$1,0)),BX73-VLOOKUP($D73,'Visu totale'!$D:$DH,BY$1,0),IF(LEFT(VLOOKUP($D73,'Visu totale'!$D:$DH,BY$1,0),1)="V",IF(BX73&gt;=INDEX('[1]Définition Maintenances'!$G:$G,MATCH($A73,'[1]Définition Maintenances'!$K:$K,0)),BX73,INDEX('[1]Définition Maintenances'!$G:$G,MATCH($A73,'[1]Définition Maintenances'!$K:$K,0))+BX73),BX73))</f>
        <v>449</v>
      </c>
      <c r="BZ73" s="25">
        <f>IF(ISNUMBER(VLOOKUP($D73,'Visu totale'!$D:$DH,BZ$1,0)),BY73-VLOOKUP($D73,'Visu totale'!$D:$DH,BZ$1,0),IF(LEFT(VLOOKUP($D73,'Visu totale'!$D:$DH,BZ$1,0),1)="V",IF(BY73&gt;=INDEX('[1]Définition Maintenances'!$G:$G,MATCH($A73,'[1]Définition Maintenances'!$K:$K,0)),BY73,INDEX('[1]Définition Maintenances'!$G:$G,MATCH($A73,'[1]Définition Maintenances'!$K:$K,0))+BY73),BY73))</f>
        <v>449</v>
      </c>
      <c r="CA73" s="26">
        <f>IF(ISNUMBER(VLOOKUP($D73,'Visu totale'!$D:$DH,CA$1,0)),BZ73-VLOOKUP($D73,'Visu totale'!$D:$DH,CA$1,0),IF(LEFT(VLOOKUP($D73,'Visu totale'!$D:$DH,CA$1,0),1)="V",IF(BZ73&gt;=INDEX('[1]Définition Maintenances'!$G:$G,MATCH($A73,'[1]Définition Maintenances'!$K:$K,0)),BZ73,INDEX('[1]Définition Maintenances'!$G:$G,MATCH($A73,'[1]Définition Maintenances'!$K:$K,0))+BZ73),BZ73))</f>
        <v>449</v>
      </c>
      <c r="CB73" s="26">
        <f>IF(ISNUMBER(VLOOKUP($D73,'Visu totale'!$D:$DH,CB$1,0)),CA73-VLOOKUP($D73,'Visu totale'!$D:$DH,CB$1,0),IF(LEFT(VLOOKUP($D73,'Visu totale'!$D:$DH,CB$1,0),1)="V",IF(CA73&gt;=INDEX('[1]Définition Maintenances'!$G:$G,MATCH($A73,'[1]Définition Maintenances'!$K:$K,0)),CA73,INDEX('[1]Définition Maintenances'!$G:$G,MATCH($A73,'[1]Définition Maintenances'!$K:$K,0))+CA73),CA73))</f>
        <v>449</v>
      </c>
      <c r="CC73" s="26">
        <f>IF(ISNUMBER(VLOOKUP($D73,'Visu totale'!$D:$DH,CC$1,0)),CB73-VLOOKUP($D73,'Visu totale'!$D:$DH,CC$1,0),IF(LEFT(VLOOKUP($D73,'Visu totale'!$D:$DH,CC$1,0),1)="V",IF(CB73&gt;=INDEX('[1]Définition Maintenances'!$G:$G,MATCH($A73,'[1]Définition Maintenances'!$K:$K,0)),CB73,INDEX('[1]Définition Maintenances'!$G:$G,MATCH($A73,'[1]Définition Maintenances'!$K:$K,0))+CB73),CB73))</f>
        <v>449</v>
      </c>
      <c r="CD73" s="26">
        <f>IF(ISNUMBER(VLOOKUP($D73,'Visu totale'!$D:$DH,CD$1,0)),CC73-VLOOKUP($D73,'Visu totale'!$D:$DH,CD$1,0),IF(LEFT(VLOOKUP($D73,'Visu totale'!$D:$DH,CD$1,0),1)="V",IF(CC73&gt;=INDEX('[1]Définition Maintenances'!$G:$G,MATCH($A73,'[1]Définition Maintenances'!$K:$K,0)),CC73,INDEX('[1]Définition Maintenances'!$G:$G,MATCH($A73,'[1]Définition Maintenances'!$K:$K,0))+CC73),CC73))</f>
        <v>449</v>
      </c>
      <c r="CE73" s="26">
        <f>IF(ISNUMBER(VLOOKUP($D73,'Visu totale'!$D:$DH,CE$1,0)),CD73-VLOOKUP($D73,'Visu totale'!$D:$DH,CE$1,0),IF(LEFT(VLOOKUP($D73,'Visu totale'!$D:$DH,CE$1,0),1)="V",IF(CD73&gt;=INDEX('[1]Définition Maintenances'!$G:$G,MATCH($A73,'[1]Définition Maintenances'!$K:$K,0)),CD73,INDEX('[1]Définition Maintenances'!$G:$G,MATCH($A73,'[1]Définition Maintenances'!$K:$K,0))+CD73),CD73))</f>
        <v>449</v>
      </c>
      <c r="CF73" s="26">
        <f>IF(ISNUMBER(VLOOKUP($D73,'Visu totale'!$D:$DH,CF$1,0)),CE73-VLOOKUP($D73,'Visu totale'!$D:$DH,CF$1,0),IF(LEFT(VLOOKUP($D73,'Visu totale'!$D:$DH,CF$1,0),1)="V",IF(CE73&gt;=INDEX('[1]Définition Maintenances'!$G:$G,MATCH($A73,'[1]Définition Maintenances'!$K:$K,0)),CE73,INDEX('[1]Définition Maintenances'!$G:$G,MATCH($A73,'[1]Définition Maintenances'!$K:$K,0))+CE73),CE73))</f>
        <v>449</v>
      </c>
      <c r="CG73" s="26">
        <f>IF(ISNUMBER(VLOOKUP($D73,'Visu totale'!$D:$DH,CG$1,0)),CF73-VLOOKUP($D73,'Visu totale'!$D:$DH,CG$1,0),IF(LEFT(VLOOKUP($D73,'Visu totale'!$D:$DH,CG$1,0),1)="V",IF(CF73&gt;=INDEX('[1]Définition Maintenances'!$G:$G,MATCH($A73,'[1]Définition Maintenances'!$K:$K,0)),CF73,INDEX('[1]Définition Maintenances'!$G:$G,MATCH($A73,'[1]Définition Maintenances'!$K:$K,0))+CF73),CF73))</f>
        <v>449</v>
      </c>
      <c r="CH73" s="26">
        <f>IF(ISNUMBER(VLOOKUP($D73,'Visu totale'!$D:$DH,CH$1,0)),CG73-VLOOKUP($D73,'Visu totale'!$D:$DH,CH$1,0),IF(LEFT(VLOOKUP($D73,'Visu totale'!$D:$DH,CH$1,0),1)="V",IF(CG73&gt;=INDEX('[1]Définition Maintenances'!$G:$G,MATCH($A73,'[1]Définition Maintenances'!$K:$K,0)),CG73,INDEX('[1]Définition Maintenances'!$G:$G,MATCH($A73,'[1]Définition Maintenances'!$K:$K,0))+CG73),CG73))</f>
        <v>449</v>
      </c>
      <c r="CI73" s="26">
        <f>IF(ISNUMBER(VLOOKUP($D73,'Visu totale'!$D:$DH,CI$1,0)),CH73-VLOOKUP($D73,'Visu totale'!$D:$DH,CI$1,0),IF(LEFT(VLOOKUP($D73,'Visu totale'!$D:$DH,CI$1,0),1)="V",IF(CH73&gt;=INDEX('[1]Définition Maintenances'!$G:$G,MATCH($A73,'[1]Définition Maintenances'!$K:$K,0)),CH73,INDEX('[1]Définition Maintenances'!$G:$G,MATCH($A73,'[1]Définition Maintenances'!$K:$K,0))+CH73),CH73))</f>
        <v>449</v>
      </c>
      <c r="CJ73" s="26">
        <f>IF(ISNUMBER(VLOOKUP($D73,'Visu totale'!$D:$DH,CJ$1,0)),CI73-VLOOKUP($D73,'Visu totale'!$D:$DH,CJ$1,0),IF(LEFT(VLOOKUP($D73,'Visu totale'!$D:$DH,CJ$1,0),1)="V",IF(CI73&gt;=INDEX('[1]Définition Maintenances'!$G:$G,MATCH($A73,'[1]Définition Maintenances'!$K:$K,0)),CI73,INDEX('[1]Définition Maintenances'!$G:$G,MATCH($A73,'[1]Définition Maintenances'!$K:$K,0))+CI73),CI73))</f>
        <v>449</v>
      </c>
      <c r="CK73" s="27">
        <f>IF(ISNUMBER(VLOOKUP($D73,'Visu totale'!$D:$DH,CK$1,0)),CJ73-VLOOKUP($D73,'Visu totale'!$D:$DH,CK$1,0),IF(LEFT(VLOOKUP($D73,'Visu totale'!$D:$DH,CK$1,0),1)="V",IF(CJ73&gt;=INDEX('[1]Définition Maintenances'!$G:$G,MATCH($A73,'[1]Définition Maintenances'!$K:$K,0)),CJ73,INDEX('[1]Définition Maintenances'!$G:$G,MATCH($A73,'[1]Définition Maintenances'!$K:$K,0))+CJ73),CJ73))</f>
        <v>449</v>
      </c>
      <c r="CL73" s="25">
        <f>IF(ISNUMBER(VLOOKUP($D73,'Visu totale'!$D:$DH,CL$1,0)),CK73-VLOOKUP($D73,'Visu totale'!$D:$DH,CL$1,0),IF(LEFT(VLOOKUP($D73,'Visu totale'!$D:$DH,CL$1,0),1)="V",IF(CK73&gt;=INDEX('[1]Définition Maintenances'!$G:$G,MATCH($A73,'[1]Définition Maintenances'!$K:$K,0)),CK73,INDEX('[1]Définition Maintenances'!$G:$G,MATCH($A73,'[1]Définition Maintenances'!$K:$K,0))+CK73),CK73))</f>
        <v>449</v>
      </c>
      <c r="CM73" s="26">
        <f>IF(ISNUMBER(VLOOKUP($D73,'Visu totale'!$D:$DH,CM$1,0)),CL73-VLOOKUP($D73,'Visu totale'!$D:$DH,CM$1,0),IF(LEFT(VLOOKUP($D73,'Visu totale'!$D:$DH,CM$1,0),1)="V",IF(CL73&gt;=INDEX('[1]Définition Maintenances'!$G:$G,MATCH($A73,'[1]Définition Maintenances'!$K:$K,0)),CL73,INDEX('[1]Définition Maintenances'!$G:$G,MATCH($A73,'[1]Définition Maintenances'!$K:$K,0))+CL73),CL73))</f>
        <v>449</v>
      </c>
      <c r="CN73" s="26">
        <f>IF(ISNUMBER(VLOOKUP($D73,'Visu totale'!$D:$DH,CN$1,0)),CM73-VLOOKUP($D73,'Visu totale'!$D:$DH,CN$1,0),IF(LEFT(VLOOKUP($D73,'Visu totale'!$D:$DH,CN$1,0),1)="V",IF(CM73&gt;=INDEX('[1]Définition Maintenances'!$G:$G,MATCH($A73,'[1]Définition Maintenances'!$K:$K,0)),CM73,INDEX('[1]Définition Maintenances'!$G:$G,MATCH($A73,'[1]Définition Maintenances'!$K:$K,0))+CM73),CM73))</f>
        <v>449</v>
      </c>
      <c r="CO73" s="26">
        <f>IF(ISNUMBER(VLOOKUP($D73,'Visu totale'!$D:$DH,CO$1,0)),CN73-VLOOKUP($D73,'Visu totale'!$D:$DH,CO$1,0),IF(LEFT(VLOOKUP($D73,'Visu totale'!$D:$DH,CO$1,0),1)="V",IF(CN73&gt;=INDEX('[1]Définition Maintenances'!$G:$G,MATCH($A73,'[1]Définition Maintenances'!$K:$K,0)),CN73,INDEX('[1]Définition Maintenances'!$G:$G,MATCH($A73,'[1]Définition Maintenances'!$K:$K,0))+CN73),CN73))</f>
        <v>449</v>
      </c>
      <c r="CP73" s="26">
        <f>IF(ISNUMBER(VLOOKUP($D73,'Visu totale'!$D:$DH,CP$1,0)),CO73-VLOOKUP($D73,'Visu totale'!$D:$DH,CP$1,0),IF(LEFT(VLOOKUP($D73,'Visu totale'!$D:$DH,CP$1,0),1)="V",IF(CO73&gt;=INDEX('[1]Définition Maintenances'!$G:$G,MATCH($A73,'[1]Définition Maintenances'!$K:$K,0)),CO73,INDEX('[1]Définition Maintenances'!$G:$G,MATCH($A73,'[1]Définition Maintenances'!$K:$K,0))+CO73),CO73))</f>
        <v>449</v>
      </c>
      <c r="CQ73" s="26">
        <f>IF(ISNUMBER(VLOOKUP($D73,'Visu totale'!$D:$DH,CQ$1,0)),CP73-VLOOKUP($D73,'Visu totale'!$D:$DH,CQ$1,0),IF(LEFT(VLOOKUP($D73,'Visu totale'!$D:$DH,CQ$1,0),1)="V",IF(CP73&gt;=INDEX('[1]Définition Maintenances'!$G:$G,MATCH($A73,'[1]Définition Maintenances'!$K:$K,0)),CP73,INDEX('[1]Définition Maintenances'!$G:$G,MATCH($A73,'[1]Définition Maintenances'!$K:$K,0))+CP73),CP73))</f>
        <v>449</v>
      </c>
      <c r="CR73" s="26">
        <f>IF(ISNUMBER(VLOOKUP($D73,'Visu totale'!$D:$DH,CR$1,0)),CQ73-VLOOKUP($D73,'Visu totale'!$D:$DH,CR$1,0),IF(LEFT(VLOOKUP($D73,'Visu totale'!$D:$DH,CR$1,0),1)="V",IF(CQ73&gt;=INDEX('[1]Définition Maintenances'!$G:$G,MATCH($A73,'[1]Définition Maintenances'!$K:$K,0)),CQ73,INDEX('[1]Définition Maintenances'!$G:$G,MATCH($A73,'[1]Définition Maintenances'!$K:$K,0))+CQ73),CQ73))</f>
        <v>449</v>
      </c>
      <c r="CS73" s="26">
        <f>IF(ISNUMBER(VLOOKUP($D73,'Visu totale'!$D:$DH,CS$1,0)),CR73-VLOOKUP($D73,'Visu totale'!$D:$DH,CS$1,0),IF(LEFT(VLOOKUP($D73,'Visu totale'!$D:$DH,CS$1,0),1)="V",IF(CR73&gt;=INDEX('[1]Définition Maintenances'!$G:$G,MATCH($A73,'[1]Définition Maintenances'!$K:$K,0)),CR73,INDEX('[1]Définition Maintenances'!$G:$G,MATCH($A73,'[1]Définition Maintenances'!$K:$K,0))+CR73),CR73))</f>
        <v>449</v>
      </c>
      <c r="CT73" s="26">
        <f>IF(ISNUMBER(VLOOKUP($D73,'Visu totale'!$D:$DH,CT$1,0)),CS73-VLOOKUP($D73,'Visu totale'!$D:$DH,CT$1,0),IF(LEFT(VLOOKUP($D73,'Visu totale'!$D:$DH,CT$1,0),1)="V",IF(CS73&gt;=INDEX('[1]Définition Maintenances'!$G:$G,MATCH($A73,'[1]Définition Maintenances'!$K:$K,0)),CS73,INDEX('[1]Définition Maintenances'!$G:$G,MATCH($A73,'[1]Définition Maintenances'!$K:$K,0))+CS73),CS73))</f>
        <v>449</v>
      </c>
      <c r="CU73" s="26">
        <f>IF(ISNUMBER(VLOOKUP($D73,'Visu totale'!$D:$DH,CU$1,0)),CT73-VLOOKUP($D73,'Visu totale'!$D:$DH,CU$1,0),IF(LEFT(VLOOKUP($D73,'Visu totale'!$D:$DH,CU$1,0),1)="V",IF(CT73&gt;=INDEX('[1]Définition Maintenances'!$G:$G,MATCH($A73,'[1]Définition Maintenances'!$K:$K,0)),CT73,INDEX('[1]Définition Maintenances'!$G:$G,MATCH($A73,'[1]Définition Maintenances'!$K:$K,0))+CT73),CT73))</f>
        <v>449</v>
      </c>
      <c r="CV73" s="26">
        <f>IF(ISNUMBER(VLOOKUP($D73,'Visu totale'!$D:$DH,CV$1,0)),CU73-VLOOKUP($D73,'Visu totale'!$D:$DH,CV$1,0),IF(LEFT(VLOOKUP($D73,'Visu totale'!$D:$DH,CV$1,0),1)="V",IF(CU73&gt;=INDEX('[1]Définition Maintenances'!$G:$G,MATCH($A73,'[1]Définition Maintenances'!$K:$K,0)),CU73,INDEX('[1]Définition Maintenances'!$G:$G,MATCH($A73,'[1]Définition Maintenances'!$K:$K,0))+CU73),CU73))</f>
        <v>449</v>
      </c>
      <c r="CW73" s="27">
        <f>IF(ISNUMBER(VLOOKUP($D73,'Visu totale'!$D:$DH,CW$1,0)),CV73-VLOOKUP($D73,'Visu totale'!$D:$DH,CW$1,0),IF(LEFT(VLOOKUP($D73,'Visu totale'!$D:$DH,CW$1,0),1)="V",IF(CV73&gt;=INDEX('[1]Définition Maintenances'!$G:$G,MATCH($A73,'[1]Définition Maintenances'!$K:$K,0)),CV73,INDEX('[1]Définition Maintenances'!$G:$G,MATCH($A73,'[1]Définition Maintenances'!$K:$K,0))+CV73),CV73))</f>
        <v>449</v>
      </c>
      <c r="CX73" s="25">
        <f>IF(ISNUMBER(VLOOKUP($D73,'Visu totale'!$D:$DH,CX$1,0)),CW73-VLOOKUP($D73,'Visu totale'!$D:$DH,CX$1,0),IF(LEFT(VLOOKUP($D73,'Visu totale'!$D:$DH,CX$1,0),1)="V",IF(CW73&gt;=INDEX('[1]Définition Maintenances'!$G:$G,MATCH($A73,'[1]Définition Maintenances'!$K:$K,0)),CW73,INDEX('[1]Définition Maintenances'!$G:$G,MATCH($A73,'[1]Définition Maintenances'!$K:$K,0))+CW73),CW73))</f>
        <v>449</v>
      </c>
      <c r="CY73" s="26">
        <f>IF(ISNUMBER(VLOOKUP($D73,'Visu totale'!$D:$DH,CY$1,0)),CX73-VLOOKUP($D73,'Visu totale'!$D:$DH,CY$1,0),IF(LEFT(VLOOKUP($D73,'Visu totale'!$D:$DH,CY$1,0),1)="V",IF(CX73&gt;=INDEX('[1]Définition Maintenances'!$G:$G,MATCH($A73,'[1]Définition Maintenances'!$K:$K,0)),CX73,INDEX('[1]Définition Maintenances'!$G:$G,MATCH($A73,'[1]Définition Maintenances'!$K:$K,0))+CX73),CX73))</f>
        <v>449</v>
      </c>
      <c r="CZ73" s="26">
        <f>IF(ISNUMBER(VLOOKUP($D73,'Visu totale'!$D:$DH,CZ$1,0)),CY73-VLOOKUP($D73,'Visu totale'!$D:$DH,CZ$1,0),IF(LEFT(VLOOKUP($D73,'Visu totale'!$D:$DH,CZ$1,0),1)="V",IF(CY73&gt;=INDEX('[1]Définition Maintenances'!$G:$G,MATCH($A73,'[1]Définition Maintenances'!$K:$K,0)),CY73,INDEX('[1]Définition Maintenances'!$G:$G,MATCH($A73,'[1]Définition Maintenances'!$K:$K,0))+CY73),CY73))</f>
        <v>449</v>
      </c>
      <c r="DA73" s="26">
        <f>IF(ISNUMBER(VLOOKUP($D73,'Visu totale'!$D:$DH,DA$1,0)),CZ73-VLOOKUP($D73,'Visu totale'!$D:$DH,DA$1,0),IF(LEFT(VLOOKUP($D73,'Visu totale'!$D:$DH,DA$1,0),1)="V",IF(CZ73&gt;=INDEX('[1]Définition Maintenances'!$G:$G,MATCH($A73,'[1]Définition Maintenances'!$K:$K,0)),CZ73,INDEX('[1]Définition Maintenances'!$G:$G,MATCH($A73,'[1]Définition Maintenances'!$K:$K,0))+CZ73),CZ73))</f>
        <v>449</v>
      </c>
      <c r="DB73" s="26">
        <f>IF(ISNUMBER(VLOOKUP($D73,'Visu totale'!$D:$DH,DB$1,0)),DA73-VLOOKUP($D73,'Visu totale'!$D:$DH,DB$1,0),IF(LEFT(VLOOKUP($D73,'Visu totale'!$D:$DH,DB$1,0),1)="V",IF(DA73&gt;=INDEX('[1]Définition Maintenances'!$G:$G,MATCH($A73,'[1]Définition Maintenances'!$K:$K,0)),DA73,INDEX('[1]Définition Maintenances'!$G:$G,MATCH($A73,'[1]Définition Maintenances'!$K:$K,0))+DA73),DA73))</f>
        <v>449</v>
      </c>
      <c r="DC73" s="26">
        <f>IF(ISNUMBER(VLOOKUP($D73,'Visu totale'!$D:$DH,DC$1,0)),DB73-VLOOKUP($D73,'Visu totale'!$D:$DH,DC$1,0),IF(LEFT(VLOOKUP($D73,'Visu totale'!$D:$DH,DC$1,0),1)="V",IF(DB73&gt;=INDEX('[1]Définition Maintenances'!$G:$G,MATCH($A73,'[1]Définition Maintenances'!$K:$K,0)),DB73,INDEX('[1]Définition Maintenances'!$G:$G,MATCH($A73,'[1]Définition Maintenances'!$K:$K,0))+DB73),DB73))</f>
        <v>449</v>
      </c>
      <c r="DD73" s="26">
        <f>IF(ISNUMBER(VLOOKUP($D73,'Visu totale'!$D:$DH,DD$1,0)),DC73-VLOOKUP($D73,'Visu totale'!$D:$DH,DD$1,0),IF(LEFT(VLOOKUP($D73,'Visu totale'!$D:$DH,DD$1,0),1)="V",IF(DC73&gt;=INDEX('[1]Définition Maintenances'!$G:$G,MATCH($A73,'[1]Définition Maintenances'!$K:$K,0)),DC73,INDEX('[1]Définition Maintenances'!$G:$G,MATCH($A73,'[1]Définition Maintenances'!$K:$K,0))+DC73),DC73))</f>
        <v>449</v>
      </c>
      <c r="DE73" s="26">
        <f>IF(ISNUMBER(VLOOKUP($D73,'Visu totale'!$D:$DH,DE$1,0)),DD73-VLOOKUP($D73,'Visu totale'!$D:$DH,DE$1,0),IF(LEFT(VLOOKUP($D73,'Visu totale'!$D:$DH,DE$1,0),1)="V",IF(DD73&gt;=INDEX('[1]Définition Maintenances'!$G:$G,MATCH($A73,'[1]Définition Maintenances'!$K:$K,0)),DD73,INDEX('[1]Définition Maintenances'!$G:$G,MATCH($A73,'[1]Définition Maintenances'!$K:$K,0))+DD73),DD73))</f>
        <v>449</v>
      </c>
      <c r="DF73" s="26">
        <f>IF(ISNUMBER(VLOOKUP($D73,'Visu totale'!$D:$DH,DF$1,0)),DE73-VLOOKUP($D73,'Visu totale'!$D:$DH,DF$1,0),IF(LEFT(VLOOKUP($D73,'Visu totale'!$D:$DH,DF$1,0),1)="V",IF(DE73&gt;=INDEX('[1]Définition Maintenances'!$G:$G,MATCH($A73,'[1]Définition Maintenances'!$K:$K,0)),DE73,INDEX('[1]Définition Maintenances'!$G:$G,MATCH($A73,'[1]Définition Maintenances'!$K:$K,0))+DE73),DE73))</f>
        <v>449</v>
      </c>
      <c r="DG73" s="26">
        <f>IF(ISNUMBER(VLOOKUP($D73,'Visu totale'!$D:$DH,DG$1,0)),DF73-VLOOKUP($D73,'Visu totale'!$D:$DH,DG$1,0),IF(LEFT(VLOOKUP($D73,'Visu totale'!$D:$DH,DG$1,0),1)="V",IF(DF73&gt;=INDEX('[1]Définition Maintenances'!$G:$G,MATCH($A73,'[1]Définition Maintenances'!$K:$K,0)),DF73,INDEX('[1]Définition Maintenances'!$G:$G,MATCH($A73,'[1]Définition Maintenances'!$K:$K,0))+DF73),DF73))</f>
        <v>449</v>
      </c>
      <c r="DH73" s="26">
        <f>IF(ISNUMBER(VLOOKUP($D73,'Visu totale'!$D:$DH,DH$1,0)),DG73-VLOOKUP($D73,'Visu totale'!$D:$DH,DH$1,0),IF(LEFT(VLOOKUP($D73,'Visu totale'!$D:$DH,DH$1,0),1)="V",IF(DG73&gt;=INDEX('[1]Définition Maintenances'!$G:$G,MATCH($A73,'[1]Définition Maintenances'!$K:$K,0)),DG73,INDEX('[1]Définition Maintenances'!$G:$G,MATCH($A73,'[1]Définition Maintenances'!$K:$K,0))+DG73),DG73))</f>
        <v>449</v>
      </c>
      <c r="DI73" s="27">
        <f>IF(ISNUMBER(VLOOKUP($D73,'Visu totale'!$D:$DH,DI$1,0)),DH73-VLOOKUP($D73,'Visu totale'!$D:$DH,DI$1,0),IF(LEFT(VLOOKUP($D73,'Visu totale'!$D:$DH,DI$1,0),1)="V",IF(DH73&gt;=INDEX('[1]Définition Maintenances'!$G:$G,MATCH($A73,'[1]Définition Maintenances'!$K:$K,0)),DH73,INDEX('[1]Définition Maintenances'!$G:$G,MATCH($A73,'[1]Définition Maintenances'!$K:$K,0))+DH73),DH73))</f>
        <v>449</v>
      </c>
    </row>
    <row r="74" spans="1:113" x14ac:dyDescent="0.25">
      <c r="A74" s="13" t="str">
        <f t="shared" si="2"/>
        <v>V15D</v>
      </c>
      <c r="B74" s="13" t="str">
        <f>VLOOKUP(D74,'[1]Avions (Potentiels)'!$B$2:$H$128,7,FALSE)</f>
        <v>V15</v>
      </c>
      <c r="C74" s="13"/>
      <c r="D74" s="16" t="s">
        <v>77</v>
      </c>
      <c r="E74" s="13">
        <f>IFERROR(VALUE(SUBSTITUTE(VLOOKUP(D74,'[1]Avions (Potentiels)'!$B:$E,4,0),".",",")),VALUE(VLOOKUP(D74,'[1]Avions (Potentiels)'!$B:$E,4,0)))</f>
        <v>512</v>
      </c>
      <c r="F74" s="25">
        <f>IF(ISNUMBER(VLOOKUP($D74,'Visu totale'!$D:$DH,F$1,0)),E74-VLOOKUP($D74,'Visu totale'!$D:$DH,F$1,0),IF(LEFT(VLOOKUP($D74,'Visu totale'!$D:$DH,F$1,0),1)="V",IF(E74&gt;=INDEX('[1]Définition Maintenances'!$G:$G,MATCH($A74,'[1]Définition Maintenances'!$K:$K,0)),E74,INDEX('[1]Définition Maintenances'!$G:$G,MATCH($A74,'[1]Définition Maintenances'!$K:$K,0))+E74),E74))</f>
        <v>512</v>
      </c>
      <c r="G74" s="26">
        <f>IF(ISNUMBER(VLOOKUP($D74,'Visu totale'!$D:$DH,G$1,0)),F74-VLOOKUP($D74,'Visu totale'!$D:$DH,G$1,0),IF(LEFT(VLOOKUP($D74,'Visu totale'!$D:$DH,G$1,0),1)="V",IF(F74&gt;=INDEX('[1]Définition Maintenances'!$G:$G,MATCH($A74,'[1]Définition Maintenances'!$K:$K,0)),F74,INDEX('[1]Définition Maintenances'!$G:$G,MATCH($A74,'[1]Définition Maintenances'!$K:$K,0))+F74),F74))</f>
        <v>512</v>
      </c>
      <c r="H74" s="26">
        <f>IF(ISNUMBER(VLOOKUP($D74,'Visu totale'!$D:$DH,H$1,0)),G74-VLOOKUP($D74,'Visu totale'!$D:$DH,H$1,0),IF(LEFT(VLOOKUP($D74,'Visu totale'!$D:$DH,H$1,0),1)="V",IF(G74&gt;=INDEX('[1]Définition Maintenances'!$G:$G,MATCH($A74,'[1]Définition Maintenances'!$K:$K,0)),G74,INDEX('[1]Définition Maintenances'!$G:$G,MATCH($A74,'[1]Définition Maintenances'!$K:$K,0))+G74),G74))</f>
        <v>512</v>
      </c>
      <c r="I74" s="26">
        <f>IF(ISNUMBER(VLOOKUP($D74,'Visu totale'!$D:$DH,I$1,0)),H74-VLOOKUP($D74,'Visu totale'!$D:$DH,I$1,0),IF(LEFT(VLOOKUP($D74,'Visu totale'!$D:$DH,I$1,0),1)="V",IF(H74&gt;=INDEX('[1]Définition Maintenances'!$G:$G,MATCH($A74,'[1]Définition Maintenances'!$K:$K,0)),H74,INDEX('[1]Définition Maintenances'!$G:$G,MATCH($A74,'[1]Définition Maintenances'!$K:$K,0))+H74),H74))</f>
        <v>512</v>
      </c>
      <c r="J74" s="26">
        <f>IF(ISNUMBER(VLOOKUP($D74,'Visu totale'!$D:$DH,J$1,0)),I74-VLOOKUP($D74,'Visu totale'!$D:$DH,J$1,0),IF(LEFT(VLOOKUP($D74,'Visu totale'!$D:$DH,J$1,0),1)="V",IF(I74&gt;=INDEX('[1]Définition Maintenances'!$G:$G,MATCH($A74,'[1]Définition Maintenances'!$K:$K,0)),I74,INDEX('[1]Définition Maintenances'!$G:$G,MATCH($A74,'[1]Définition Maintenances'!$K:$K,0))+I74),I74))</f>
        <v>512</v>
      </c>
      <c r="K74" s="26">
        <f>IF(ISNUMBER(VLOOKUP($D74,'Visu totale'!$D:$DH,K$1,0)),J74-VLOOKUP($D74,'Visu totale'!$D:$DH,K$1,0),IF(LEFT(VLOOKUP($D74,'Visu totale'!$D:$DH,K$1,0),1)="V",IF(J74&gt;=INDEX('[1]Définition Maintenances'!$G:$G,MATCH($A74,'[1]Définition Maintenances'!$K:$K,0)),J74,INDEX('[1]Définition Maintenances'!$G:$G,MATCH($A74,'[1]Définition Maintenances'!$K:$K,0))+J74),J74))</f>
        <v>512</v>
      </c>
      <c r="L74" s="26">
        <f>IF(ISNUMBER(VLOOKUP($D74,'Visu totale'!$D:$DH,L$1,0)),K74-VLOOKUP($D74,'Visu totale'!$D:$DH,L$1,0),IF(LEFT(VLOOKUP($D74,'Visu totale'!$D:$DH,L$1,0),1)="V",IF(K74&gt;=INDEX('[1]Définition Maintenances'!$G:$G,MATCH($A74,'[1]Définition Maintenances'!$K:$K,0)),K74,INDEX('[1]Définition Maintenances'!$G:$G,MATCH($A74,'[1]Définition Maintenances'!$K:$K,0))+K74),K74))</f>
        <v>512</v>
      </c>
      <c r="M74" s="26">
        <f>IF(ISNUMBER(VLOOKUP($D74,'Visu totale'!$D:$DH,M$1,0)),L74-VLOOKUP($D74,'Visu totale'!$D:$DH,M$1,0),IF(LEFT(VLOOKUP($D74,'Visu totale'!$D:$DH,M$1,0),1)="V",IF(L74&gt;=INDEX('[1]Définition Maintenances'!$G:$G,MATCH($A74,'[1]Définition Maintenances'!$K:$K,0)),L74,INDEX('[1]Définition Maintenances'!$G:$G,MATCH($A74,'[1]Définition Maintenances'!$K:$K,0))+L74),L74))</f>
        <v>512</v>
      </c>
      <c r="N74" s="26">
        <f>IF(ISNUMBER(VLOOKUP($D74,'Visu totale'!$D:$DH,N$1,0)),M74-VLOOKUP($D74,'Visu totale'!$D:$DH,N$1,0),IF(LEFT(VLOOKUP($D74,'Visu totale'!$D:$DH,N$1,0),1)="V",IF(M74&gt;=INDEX('[1]Définition Maintenances'!$G:$G,MATCH($A74,'[1]Définition Maintenances'!$K:$K,0)),M74,INDEX('[1]Définition Maintenances'!$G:$G,MATCH($A74,'[1]Définition Maintenances'!$K:$K,0))+M74),M74))</f>
        <v>512</v>
      </c>
      <c r="O74" s="26">
        <f>IF(ISNUMBER(VLOOKUP($D74,'Visu totale'!$D:$DH,O$1,0)),N74-VLOOKUP($D74,'Visu totale'!$D:$DH,O$1,0),IF(LEFT(VLOOKUP($D74,'Visu totale'!$D:$DH,O$1,0),1)="V",IF(N74&gt;=INDEX('[1]Définition Maintenances'!$G:$G,MATCH($A74,'[1]Définition Maintenances'!$K:$K,0)),N74,INDEX('[1]Définition Maintenances'!$G:$G,MATCH($A74,'[1]Définition Maintenances'!$K:$K,0))+N74),N74))</f>
        <v>512</v>
      </c>
      <c r="P74" s="26">
        <f>IF(ISNUMBER(VLOOKUP($D74,'Visu totale'!$D:$DH,P$1,0)),O74-VLOOKUP($D74,'Visu totale'!$D:$DH,P$1,0),IF(LEFT(VLOOKUP($D74,'Visu totale'!$D:$DH,P$1,0),1)="V",IF(O74&gt;=INDEX('[1]Définition Maintenances'!$G:$G,MATCH($A74,'[1]Définition Maintenances'!$K:$K,0)),O74,INDEX('[1]Définition Maintenances'!$G:$G,MATCH($A74,'[1]Définition Maintenances'!$K:$K,0))+O74),O74))</f>
        <v>512</v>
      </c>
      <c r="Q74" s="27">
        <f>IF(ISNUMBER(VLOOKUP($D74,'Visu totale'!$D:$DH,Q$1,0)),P74-VLOOKUP($D74,'Visu totale'!$D:$DH,Q$1,0),IF(LEFT(VLOOKUP($D74,'Visu totale'!$D:$DH,Q$1,0),1)="V",IF(P74&gt;=INDEX('[1]Définition Maintenances'!$G:$G,MATCH($A74,'[1]Définition Maintenances'!$K:$K,0)),P74,INDEX('[1]Définition Maintenances'!$G:$G,MATCH($A74,'[1]Définition Maintenances'!$K:$K,0))+P74),P74))</f>
        <v>512</v>
      </c>
      <c r="R74" s="25">
        <f>IF(ISNUMBER(VLOOKUP($D74,'Visu totale'!$D:$DH,R$1,0)),Q74-VLOOKUP($D74,'Visu totale'!$D:$DH,R$1,0),IF(LEFT(VLOOKUP($D74,'Visu totale'!$D:$DH,R$1,0),1)="V",IF(Q74&gt;=INDEX('[1]Définition Maintenances'!$G:$G,MATCH($A74,'[1]Définition Maintenances'!$K:$K,0)),Q74,INDEX('[1]Définition Maintenances'!$G:$G,MATCH($A74,'[1]Définition Maintenances'!$K:$K,0))+Q74),Q74))</f>
        <v>512</v>
      </c>
      <c r="S74" s="26">
        <f>IF(ISNUMBER(VLOOKUP($D74,'Visu totale'!$D:$DH,S$1,0)),R74-VLOOKUP($D74,'Visu totale'!$D:$DH,S$1,0),IF(LEFT(VLOOKUP($D74,'Visu totale'!$D:$DH,S$1,0),1)="V",IF(R74&gt;=INDEX('[1]Définition Maintenances'!$G:$G,MATCH($A74,'[1]Définition Maintenances'!$K:$K,0)),R74,INDEX('[1]Définition Maintenances'!$G:$G,MATCH($A74,'[1]Définition Maintenances'!$K:$K,0))+R74),R74))</f>
        <v>512</v>
      </c>
      <c r="T74" s="26">
        <f>IF(ISNUMBER(VLOOKUP($D74,'Visu totale'!$D:$DH,T$1,0)),S74-VLOOKUP($D74,'Visu totale'!$D:$DH,T$1,0),IF(LEFT(VLOOKUP($D74,'Visu totale'!$D:$DH,T$1,0),1)="V",IF(S74&gt;=INDEX('[1]Définition Maintenances'!$G:$G,MATCH($A74,'[1]Définition Maintenances'!$K:$K,0)),S74,INDEX('[1]Définition Maintenances'!$G:$G,MATCH($A74,'[1]Définition Maintenances'!$K:$K,0))+S74),S74))</f>
        <v>512</v>
      </c>
      <c r="U74" s="26">
        <f>IF(ISNUMBER(VLOOKUP($D74,'Visu totale'!$D:$DH,U$1,0)),T74-VLOOKUP($D74,'Visu totale'!$D:$DH,U$1,0),IF(LEFT(VLOOKUP($D74,'Visu totale'!$D:$DH,U$1,0),1)="V",IF(T74&gt;=INDEX('[1]Définition Maintenances'!$G:$G,MATCH($A74,'[1]Définition Maintenances'!$K:$K,0)),T74,INDEX('[1]Définition Maintenances'!$G:$G,MATCH($A74,'[1]Définition Maintenances'!$K:$K,0))+T74),T74))</f>
        <v>512</v>
      </c>
      <c r="V74" s="26">
        <f>IF(ISNUMBER(VLOOKUP($D74,'Visu totale'!$D:$DH,V$1,0)),U74-VLOOKUP($D74,'Visu totale'!$D:$DH,V$1,0),IF(LEFT(VLOOKUP($D74,'Visu totale'!$D:$DH,V$1,0),1)="V",IF(U74&gt;=INDEX('[1]Définition Maintenances'!$G:$G,MATCH($A74,'[1]Définition Maintenances'!$K:$K,0)),U74,INDEX('[1]Définition Maintenances'!$G:$G,MATCH($A74,'[1]Définition Maintenances'!$K:$K,0))+U74),U74))</f>
        <v>512</v>
      </c>
      <c r="W74" s="26">
        <f>IF(ISNUMBER(VLOOKUP($D74,'Visu totale'!$D:$DH,W$1,0)),V74-VLOOKUP($D74,'Visu totale'!$D:$DH,W$1,0),IF(LEFT(VLOOKUP($D74,'Visu totale'!$D:$DH,W$1,0),1)="V",IF(V74&gt;=INDEX('[1]Définition Maintenances'!$G:$G,MATCH($A74,'[1]Définition Maintenances'!$K:$K,0)),V74,INDEX('[1]Définition Maintenances'!$G:$G,MATCH($A74,'[1]Définition Maintenances'!$K:$K,0))+V74),V74))</f>
        <v>512</v>
      </c>
      <c r="X74" s="26">
        <f>IF(ISNUMBER(VLOOKUP($D74,'Visu totale'!$D:$DH,X$1,0)),W74-VLOOKUP($D74,'Visu totale'!$D:$DH,X$1,0),IF(LEFT(VLOOKUP($D74,'Visu totale'!$D:$DH,X$1,0),1)="V",IF(W74&gt;=INDEX('[1]Définition Maintenances'!$G:$G,MATCH($A74,'[1]Définition Maintenances'!$K:$K,0)),W74,INDEX('[1]Définition Maintenances'!$G:$G,MATCH($A74,'[1]Définition Maintenances'!$K:$K,0))+W74),W74))</f>
        <v>512</v>
      </c>
      <c r="Y74" s="26">
        <f>IF(ISNUMBER(VLOOKUP($D74,'Visu totale'!$D:$DH,Y$1,0)),X74-VLOOKUP($D74,'Visu totale'!$D:$DH,Y$1,0),IF(LEFT(VLOOKUP($D74,'Visu totale'!$D:$DH,Y$1,0),1)="V",IF(X74&gt;=INDEX('[1]Définition Maintenances'!$G:$G,MATCH($A74,'[1]Définition Maintenances'!$K:$K,0)),X74,INDEX('[1]Définition Maintenances'!$G:$G,MATCH($A74,'[1]Définition Maintenances'!$K:$K,0))+X74),X74))</f>
        <v>512</v>
      </c>
      <c r="Z74" s="26">
        <f>IF(ISNUMBER(VLOOKUP($D74,'Visu totale'!$D:$DH,Z$1,0)),Y74-VLOOKUP($D74,'Visu totale'!$D:$DH,Z$1,0),IF(LEFT(VLOOKUP($D74,'Visu totale'!$D:$DH,Z$1,0),1)="V",IF(Y74&gt;=INDEX('[1]Définition Maintenances'!$G:$G,MATCH($A74,'[1]Définition Maintenances'!$K:$K,0)),Y74,INDEX('[1]Définition Maintenances'!$G:$G,MATCH($A74,'[1]Définition Maintenances'!$K:$K,0))+Y74),Y74))</f>
        <v>512</v>
      </c>
      <c r="AA74" s="26">
        <f>IF(ISNUMBER(VLOOKUP($D74,'Visu totale'!$D:$DH,AA$1,0)),Z74-VLOOKUP($D74,'Visu totale'!$D:$DH,AA$1,0),IF(LEFT(VLOOKUP($D74,'Visu totale'!$D:$DH,AA$1,0),1)="V",IF(Z74&gt;=INDEX('[1]Définition Maintenances'!$G:$G,MATCH($A74,'[1]Définition Maintenances'!$K:$K,0)),Z74,INDEX('[1]Définition Maintenances'!$G:$G,MATCH($A74,'[1]Définition Maintenances'!$K:$K,0))+Z74),Z74))</f>
        <v>512</v>
      </c>
      <c r="AB74" s="26">
        <f>IF(ISNUMBER(VLOOKUP($D74,'Visu totale'!$D:$DH,AB$1,0)),AA74-VLOOKUP($D74,'Visu totale'!$D:$DH,AB$1,0),IF(LEFT(VLOOKUP($D74,'Visu totale'!$D:$DH,AB$1,0),1)="V",IF(AA74&gt;=INDEX('[1]Définition Maintenances'!$G:$G,MATCH($A74,'[1]Définition Maintenances'!$K:$K,0)),AA74,INDEX('[1]Définition Maintenances'!$G:$G,MATCH($A74,'[1]Définition Maintenances'!$K:$K,0))+AA74),AA74))</f>
        <v>512</v>
      </c>
      <c r="AC74" s="27">
        <f>IF(ISNUMBER(VLOOKUP($D74,'Visu totale'!$D:$DH,AC$1,0)),AB74-VLOOKUP($D74,'Visu totale'!$D:$DH,AC$1,0),IF(LEFT(VLOOKUP($D74,'Visu totale'!$D:$DH,AC$1,0),1)="V",IF(AB74&gt;=INDEX('[1]Définition Maintenances'!$G:$G,MATCH($A74,'[1]Définition Maintenances'!$K:$K,0)),AB74,INDEX('[1]Définition Maintenances'!$G:$G,MATCH($A74,'[1]Définition Maintenances'!$K:$K,0))+AB74),AB74))</f>
        <v>512</v>
      </c>
      <c r="AD74" s="25">
        <f>IF(ISNUMBER(VLOOKUP($D74,'Visu totale'!$D:$DH,AD$1,0)),AC74-VLOOKUP($D74,'Visu totale'!$D:$DH,AD$1,0),IF(LEFT(VLOOKUP($D74,'Visu totale'!$D:$DH,AD$1,0),1)="V",IF(AC74&gt;=INDEX('[1]Définition Maintenances'!$G:$G,MATCH($A74,'[1]Définition Maintenances'!$K:$K,0)),AC74,INDEX('[1]Définition Maintenances'!$G:$G,MATCH($A74,'[1]Définition Maintenances'!$K:$K,0))+AC74),AC74))</f>
        <v>512</v>
      </c>
      <c r="AE74" s="26">
        <f>IF(ISNUMBER(VLOOKUP($D74,'Visu totale'!$D:$DH,AE$1,0)),AD74-VLOOKUP($D74,'Visu totale'!$D:$DH,AE$1,0),IF(LEFT(VLOOKUP($D74,'Visu totale'!$D:$DH,AE$1,0),1)="V",IF(AD74&gt;=INDEX('[1]Définition Maintenances'!$G:$G,MATCH($A74,'[1]Définition Maintenances'!$K:$K,0)),AD74,INDEX('[1]Définition Maintenances'!$G:$G,MATCH($A74,'[1]Définition Maintenances'!$K:$K,0))+AD74),AD74))</f>
        <v>512</v>
      </c>
      <c r="AF74" s="26">
        <f>IF(ISNUMBER(VLOOKUP($D74,'Visu totale'!$D:$DH,AF$1,0)),AE74-VLOOKUP($D74,'Visu totale'!$D:$DH,AF$1,0),IF(LEFT(VLOOKUP($D74,'Visu totale'!$D:$DH,AF$1,0),1)="V",IF(AE74&gt;=INDEX('[1]Définition Maintenances'!$G:$G,MATCH($A74,'[1]Définition Maintenances'!$K:$K,0)),AE74,INDEX('[1]Définition Maintenances'!$G:$G,MATCH($A74,'[1]Définition Maintenances'!$K:$K,0))+AE74),AE74))</f>
        <v>512</v>
      </c>
      <c r="AG74" s="26">
        <f>IF(ISNUMBER(VLOOKUP($D74,'Visu totale'!$D:$DH,AG$1,0)),AF74-VLOOKUP($D74,'Visu totale'!$D:$DH,AG$1,0),IF(LEFT(VLOOKUP($D74,'Visu totale'!$D:$DH,AG$1,0),1)="V",IF(AF74&gt;=INDEX('[1]Définition Maintenances'!$G:$G,MATCH($A74,'[1]Définition Maintenances'!$K:$K,0)),AF74,INDEX('[1]Définition Maintenances'!$G:$G,MATCH($A74,'[1]Définition Maintenances'!$K:$K,0))+AF74),AF74))</f>
        <v>512</v>
      </c>
      <c r="AH74" s="26">
        <f>IF(ISNUMBER(VLOOKUP($D74,'Visu totale'!$D:$DH,AH$1,0)),AG74-VLOOKUP($D74,'Visu totale'!$D:$DH,AH$1,0),IF(LEFT(VLOOKUP($D74,'Visu totale'!$D:$DH,AH$1,0),1)="V",IF(AG74&gt;=INDEX('[1]Définition Maintenances'!$G:$G,MATCH($A74,'[1]Définition Maintenances'!$K:$K,0)),AG74,INDEX('[1]Définition Maintenances'!$G:$G,MATCH($A74,'[1]Définition Maintenances'!$K:$K,0))+AG74),AG74))</f>
        <v>512</v>
      </c>
      <c r="AI74" s="26">
        <f>IF(ISNUMBER(VLOOKUP($D74,'Visu totale'!$D:$DH,AI$1,0)),AH74-VLOOKUP($D74,'Visu totale'!$D:$DH,AI$1,0),IF(LEFT(VLOOKUP($D74,'Visu totale'!$D:$DH,AI$1,0),1)="V",IF(AH74&gt;=INDEX('[1]Définition Maintenances'!$G:$G,MATCH($A74,'[1]Définition Maintenances'!$K:$K,0)),AH74,INDEX('[1]Définition Maintenances'!$G:$G,MATCH($A74,'[1]Définition Maintenances'!$K:$K,0))+AH74),AH74))</f>
        <v>512</v>
      </c>
      <c r="AJ74" s="26">
        <f>IF(ISNUMBER(VLOOKUP($D74,'Visu totale'!$D:$DH,AJ$1,0)),AI74-VLOOKUP($D74,'Visu totale'!$D:$DH,AJ$1,0),IF(LEFT(VLOOKUP($D74,'Visu totale'!$D:$DH,AJ$1,0),1)="V",IF(AI74&gt;=INDEX('[1]Définition Maintenances'!$G:$G,MATCH($A74,'[1]Définition Maintenances'!$K:$K,0)),AI74,INDEX('[1]Définition Maintenances'!$G:$G,MATCH($A74,'[1]Définition Maintenances'!$K:$K,0))+AI74),AI74))</f>
        <v>512</v>
      </c>
      <c r="AK74" s="26">
        <f>IF(ISNUMBER(VLOOKUP($D74,'Visu totale'!$D:$DH,AK$1,0)),AJ74-VLOOKUP($D74,'Visu totale'!$D:$DH,AK$1,0),IF(LEFT(VLOOKUP($D74,'Visu totale'!$D:$DH,AK$1,0),1)="V",IF(AJ74&gt;=INDEX('[1]Définition Maintenances'!$G:$G,MATCH($A74,'[1]Définition Maintenances'!$K:$K,0)),AJ74,INDEX('[1]Définition Maintenances'!$G:$G,MATCH($A74,'[1]Définition Maintenances'!$K:$K,0))+AJ74),AJ74))</f>
        <v>512</v>
      </c>
      <c r="AL74" s="26">
        <f>IF(ISNUMBER(VLOOKUP($D74,'Visu totale'!$D:$DH,AL$1,0)),AK74-VLOOKUP($D74,'Visu totale'!$D:$DH,AL$1,0),IF(LEFT(VLOOKUP($D74,'Visu totale'!$D:$DH,AL$1,0),1)="V",IF(AK74&gt;=INDEX('[1]Définition Maintenances'!$G:$G,MATCH($A74,'[1]Définition Maintenances'!$K:$K,0)),AK74,INDEX('[1]Définition Maintenances'!$G:$G,MATCH($A74,'[1]Définition Maintenances'!$K:$K,0))+AK74),AK74))</f>
        <v>512</v>
      </c>
      <c r="AM74" s="26">
        <f>IF(ISNUMBER(VLOOKUP($D74,'Visu totale'!$D:$DH,AM$1,0)),AL74-VLOOKUP($D74,'Visu totale'!$D:$DH,AM$1,0),IF(LEFT(VLOOKUP($D74,'Visu totale'!$D:$DH,AM$1,0),1)="V",IF(AL74&gt;=INDEX('[1]Définition Maintenances'!$G:$G,MATCH($A74,'[1]Définition Maintenances'!$K:$K,0)),AL74,INDEX('[1]Définition Maintenances'!$G:$G,MATCH($A74,'[1]Définition Maintenances'!$K:$K,0))+AL74),AL74))</f>
        <v>512</v>
      </c>
      <c r="AN74" s="26">
        <f>IF(ISNUMBER(VLOOKUP($D74,'Visu totale'!$D:$DH,AN$1,0)),AM74-VLOOKUP($D74,'Visu totale'!$D:$DH,AN$1,0),IF(LEFT(VLOOKUP($D74,'Visu totale'!$D:$DH,AN$1,0),1)="V",IF(AM74&gt;=INDEX('[1]Définition Maintenances'!$G:$G,MATCH($A74,'[1]Définition Maintenances'!$K:$K,0)),AM74,INDEX('[1]Définition Maintenances'!$G:$G,MATCH($A74,'[1]Définition Maintenances'!$K:$K,0))+AM74),AM74))</f>
        <v>512</v>
      </c>
      <c r="AO74" s="27">
        <f>IF(ISNUMBER(VLOOKUP($D74,'Visu totale'!$D:$DH,AO$1,0)),AN74-VLOOKUP($D74,'Visu totale'!$D:$DH,AO$1,0),IF(LEFT(VLOOKUP($D74,'Visu totale'!$D:$DH,AO$1,0),1)="V",IF(AN74&gt;=INDEX('[1]Définition Maintenances'!$G:$G,MATCH($A74,'[1]Définition Maintenances'!$K:$K,0)),AN74,INDEX('[1]Définition Maintenances'!$G:$G,MATCH($A74,'[1]Définition Maintenances'!$K:$K,0))+AN74),AN74))</f>
        <v>512</v>
      </c>
      <c r="AP74" s="25">
        <f>IF(ISNUMBER(VLOOKUP($D74,'Visu totale'!$D:$DH,AP$1,0)),AO74-VLOOKUP($D74,'Visu totale'!$D:$DH,AP$1,0),IF(LEFT(VLOOKUP($D74,'Visu totale'!$D:$DH,AP$1,0),1)="V",IF(AO74&gt;=INDEX('[1]Définition Maintenances'!$G:$G,MATCH($A74,'[1]Définition Maintenances'!$K:$K,0)),AO74,INDEX('[1]Définition Maintenances'!$G:$G,MATCH($A74,'[1]Définition Maintenances'!$K:$K,0))+AO74),AO74))</f>
        <v>512</v>
      </c>
      <c r="AQ74" s="26">
        <f>IF(ISNUMBER(VLOOKUP($D74,'Visu totale'!$D:$DH,AQ$1,0)),AP74-VLOOKUP($D74,'Visu totale'!$D:$DH,AQ$1,0),IF(LEFT(VLOOKUP($D74,'Visu totale'!$D:$DH,AQ$1,0),1)="V",IF(AP74&gt;=INDEX('[1]Définition Maintenances'!$G:$G,MATCH($A74,'[1]Définition Maintenances'!$K:$K,0)),AP74,INDEX('[1]Définition Maintenances'!$G:$G,MATCH($A74,'[1]Définition Maintenances'!$K:$K,0))+AP74),AP74))</f>
        <v>512</v>
      </c>
      <c r="AR74" s="26">
        <f>IF(ISNUMBER(VLOOKUP($D74,'Visu totale'!$D:$DH,AR$1,0)),AQ74-VLOOKUP($D74,'Visu totale'!$D:$DH,AR$1,0),IF(LEFT(VLOOKUP($D74,'Visu totale'!$D:$DH,AR$1,0),1)="V",IF(AQ74&gt;=INDEX('[1]Définition Maintenances'!$G:$G,MATCH($A74,'[1]Définition Maintenances'!$K:$K,0)),AQ74,INDEX('[1]Définition Maintenances'!$G:$G,MATCH($A74,'[1]Définition Maintenances'!$K:$K,0))+AQ74),AQ74))</f>
        <v>512</v>
      </c>
      <c r="AS74" s="26">
        <f>IF(ISNUMBER(VLOOKUP($D74,'Visu totale'!$D:$DH,AS$1,0)),AR74-VLOOKUP($D74,'Visu totale'!$D:$DH,AS$1,0),IF(LEFT(VLOOKUP($D74,'Visu totale'!$D:$DH,AS$1,0),1)="V",IF(AR74&gt;=INDEX('[1]Définition Maintenances'!$G:$G,MATCH($A74,'[1]Définition Maintenances'!$K:$K,0)),AR74,INDEX('[1]Définition Maintenances'!$G:$G,MATCH($A74,'[1]Définition Maintenances'!$K:$K,0))+AR74),AR74))</f>
        <v>512</v>
      </c>
      <c r="AT74" s="26">
        <f>IF(ISNUMBER(VLOOKUP($D74,'Visu totale'!$D:$DH,AT$1,0)),AS74-VLOOKUP($D74,'Visu totale'!$D:$DH,AT$1,0),IF(LEFT(VLOOKUP($D74,'Visu totale'!$D:$DH,AT$1,0),1)="V",IF(AS74&gt;=INDEX('[1]Définition Maintenances'!$G:$G,MATCH($A74,'[1]Définition Maintenances'!$K:$K,0)),AS74,INDEX('[1]Définition Maintenances'!$G:$G,MATCH($A74,'[1]Définition Maintenances'!$K:$K,0))+AS74),AS74))</f>
        <v>512</v>
      </c>
      <c r="AU74" s="26">
        <f>IF(ISNUMBER(VLOOKUP($D74,'Visu totale'!$D:$DH,AU$1,0)),AT74-VLOOKUP($D74,'Visu totale'!$D:$DH,AU$1,0),IF(LEFT(VLOOKUP($D74,'Visu totale'!$D:$DH,AU$1,0),1)="V",IF(AT74&gt;=INDEX('[1]Définition Maintenances'!$G:$G,MATCH($A74,'[1]Définition Maintenances'!$K:$K,0)),AT74,INDEX('[1]Définition Maintenances'!$G:$G,MATCH($A74,'[1]Définition Maintenances'!$K:$K,0))+AT74),AT74))</f>
        <v>512</v>
      </c>
      <c r="AV74" s="26">
        <f>IF(ISNUMBER(VLOOKUP($D74,'Visu totale'!$D:$DH,AV$1,0)),AU74-VLOOKUP($D74,'Visu totale'!$D:$DH,AV$1,0),IF(LEFT(VLOOKUP($D74,'Visu totale'!$D:$DH,AV$1,0),1)="V",IF(AU74&gt;=INDEX('[1]Définition Maintenances'!$G:$G,MATCH($A74,'[1]Définition Maintenances'!$K:$K,0)),AU74,INDEX('[1]Définition Maintenances'!$G:$G,MATCH($A74,'[1]Définition Maintenances'!$K:$K,0))+AU74),AU74))</f>
        <v>512</v>
      </c>
      <c r="AW74" s="26">
        <f>IF(ISNUMBER(VLOOKUP($D74,'Visu totale'!$D:$DH,AW$1,0)),AV74-VLOOKUP($D74,'Visu totale'!$D:$DH,AW$1,0),IF(LEFT(VLOOKUP($D74,'Visu totale'!$D:$DH,AW$1,0),1)="V",IF(AV74&gt;=INDEX('[1]Définition Maintenances'!$G:$G,MATCH($A74,'[1]Définition Maintenances'!$K:$K,0)),AV74,INDEX('[1]Définition Maintenances'!$G:$G,MATCH($A74,'[1]Définition Maintenances'!$K:$K,0))+AV74),AV74))</f>
        <v>512</v>
      </c>
      <c r="AX74" s="26">
        <f>IF(ISNUMBER(VLOOKUP($D74,'Visu totale'!$D:$DH,AX$1,0)),AW74-VLOOKUP($D74,'Visu totale'!$D:$DH,AX$1,0),IF(LEFT(VLOOKUP($D74,'Visu totale'!$D:$DH,AX$1,0),1)="V",IF(AW74&gt;=INDEX('[1]Définition Maintenances'!$G:$G,MATCH($A74,'[1]Définition Maintenances'!$K:$K,0)),AW74,INDEX('[1]Définition Maintenances'!$G:$G,MATCH($A74,'[1]Définition Maintenances'!$K:$K,0))+AW74),AW74))</f>
        <v>512</v>
      </c>
      <c r="AY74" s="26">
        <f>IF(ISNUMBER(VLOOKUP($D74,'Visu totale'!$D:$DH,AY$1,0)),AX74-VLOOKUP($D74,'Visu totale'!$D:$DH,AY$1,0),IF(LEFT(VLOOKUP($D74,'Visu totale'!$D:$DH,AY$1,0),1)="V",IF(AX74&gt;=INDEX('[1]Définition Maintenances'!$G:$G,MATCH($A74,'[1]Définition Maintenances'!$K:$K,0)),AX74,INDEX('[1]Définition Maintenances'!$G:$G,MATCH($A74,'[1]Définition Maintenances'!$K:$K,0))+AX74),AX74))</f>
        <v>512</v>
      </c>
      <c r="AZ74" s="26">
        <f>IF(ISNUMBER(VLOOKUP($D74,'Visu totale'!$D:$DH,AZ$1,0)),AY74-VLOOKUP($D74,'Visu totale'!$D:$DH,AZ$1,0),IF(LEFT(VLOOKUP($D74,'Visu totale'!$D:$DH,AZ$1,0),1)="V",IF(AY74&gt;=INDEX('[1]Définition Maintenances'!$G:$G,MATCH($A74,'[1]Définition Maintenances'!$K:$K,0)),AY74,INDEX('[1]Définition Maintenances'!$G:$G,MATCH($A74,'[1]Définition Maintenances'!$K:$K,0))+AY74),AY74))</f>
        <v>512</v>
      </c>
      <c r="BA74" s="27">
        <f>IF(ISNUMBER(VLOOKUP($D74,'Visu totale'!$D:$DH,BA$1,0)),AZ74-VLOOKUP($D74,'Visu totale'!$D:$DH,BA$1,0),IF(LEFT(VLOOKUP($D74,'Visu totale'!$D:$DH,BA$1,0),1)="V",IF(AZ74&gt;=INDEX('[1]Définition Maintenances'!$G:$G,MATCH($A74,'[1]Définition Maintenances'!$K:$K,0)),AZ74,INDEX('[1]Définition Maintenances'!$G:$G,MATCH($A74,'[1]Définition Maintenances'!$K:$K,0))+AZ74),AZ74))</f>
        <v>512</v>
      </c>
      <c r="BB74" s="25">
        <f>IF(ISNUMBER(VLOOKUP($D74,'Visu totale'!$D:$DH,BB$1,0)),BA74-VLOOKUP($D74,'Visu totale'!$D:$DH,BB$1,0),IF(LEFT(VLOOKUP($D74,'Visu totale'!$D:$DH,BB$1,0),1)="V",IF(BA74&gt;=INDEX('[1]Définition Maintenances'!$G:$G,MATCH($A74,'[1]Définition Maintenances'!$K:$K,0)),BA74,INDEX('[1]Définition Maintenances'!$G:$G,MATCH($A74,'[1]Définition Maintenances'!$K:$K,0))+BA74),BA74))</f>
        <v>512</v>
      </c>
      <c r="BC74" s="26">
        <f>IF(ISNUMBER(VLOOKUP($D74,'Visu totale'!$D:$DH,BC$1,0)),BB74-VLOOKUP($D74,'Visu totale'!$D:$DH,BC$1,0),IF(LEFT(VLOOKUP($D74,'Visu totale'!$D:$DH,BC$1,0),1)="V",IF(BB74&gt;=INDEX('[1]Définition Maintenances'!$G:$G,MATCH($A74,'[1]Définition Maintenances'!$K:$K,0)),BB74,INDEX('[1]Définition Maintenances'!$G:$G,MATCH($A74,'[1]Définition Maintenances'!$K:$K,0))+BB74),BB74))</f>
        <v>512</v>
      </c>
      <c r="BD74" s="26">
        <f>IF(ISNUMBER(VLOOKUP($D74,'Visu totale'!$D:$DH,BD$1,0)),BC74-VLOOKUP($D74,'Visu totale'!$D:$DH,BD$1,0),IF(LEFT(VLOOKUP($D74,'Visu totale'!$D:$DH,BD$1,0),1)="V",IF(BC74&gt;=INDEX('[1]Définition Maintenances'!$G:$G,MATCH($A74,'[1]Définition Maintenances'!$K:$K,0)),BC74,INDEX('[1]Définition Maintenances'!$G:$G,MATCH($A74,'[1]Définition Maintenances'!$K:$K,0))+BC74),BC74))</f>
        <v>512</v>
      </c>
      <c r="BE74" s="26">
        <f>IF(ISNUMBER(VLOOKUP($D74,'Visu totale'!$D:$DH,BE$1,0)),BD74-VLOOKUP($D74,'Visu totale'!$D:$DH,BE$1,0),IF(LEFT(VLOOKUP($D74,'Visu totale'!$D:$DH,BE$1,0),1)="V",IF(BD74&gt;=INDEX('[1]Définition Maintenances'!$G:$G,MATCH($A74,'[1]Définition Maintenances'!$K:$K,0)),BD74,INDEX('[1]Définition Maintenances'!$G:$G,MATCH($A74,'[1]Définition Maintenances'!$K:$K,0))+BD74),BD74))</f>
        <v>512</v>
      </c>
      <c r="BF74" s="26">
        <f>IF(ISNUMBER(VLOOKUP($D74,'Visu totale'!$D:$DH,BF$1,0)),BE74-VLOOKUP($D74,'Visu totale'!$D:$DH,BF$1,0),IF(LEFT(VLOOKUP($D74,'Visu totale'!$D:$DH,BF$1,0),1)="V",IF(BE74&gt;=INDEX('[1]Définition Maintenances'!$G:$G,MATCH($A74,'[1]Définition Maintenances'!$K:$K,0)),BE74,INDEX('[1]Définition Maintenances'!$G:$G,MATCH($A74,'[1]Définition Maintenances'!$K:$K,0))+BE74),BE74))</f>
        <v>512</v>
      </c>
      <c r="BG74" s="26">
        <f>IF(ISNUMBER(VLOOKUP($D74,'Visu totale'!$D:$DH,BG$1,0)),BF74-VLOOKUP($D74,'Visu totale'!$D:$DH,BG$1,0),IF(LEFT(VLOOKUP($D74,'Visu totale'!$D:$DH,BG$1,0),1)="V",IF(BF74&gt;=INDEX('[1]Définition Maintenances'!$G:$G,MATCH($A74,'[1]Définition Maintenances'!$K:$K,0)),BF74,INDEX('[1]Définition Maintenances'!$G:$G,MATCH($A74,'[1]Définition Maintenances'!$K:$K,0))+BF74),BF74))</f>
        <v>512</v>
      </c>
      <c r="BH74" s="26">
        <f>IF(ISNUMBER(VLOOKUP($D74,'Visu totale'!$D:$DH,BH$1,0)),BG74-VLOOKUP($D74,'Visu totale'!$D:$DH,BH$1,0),IF(LEFT(VLOOKUP($D74,'Visu totale'!$D:$DH,BH$1,0),1)="V",IF(BG74&gt;=INDEX('[1]Définition Maintenances'!$G:$G,MATCH($A74,'[1]Définition Maintenances'!$K:$K,0)),BG74,INDEX('[1]Définition Maintenances'!$G:$G,MATCH($A74,'[1]Définition Maintenances'!$K:$K,0))+BG74),BG74))</f>
        <v>512</v>
      </c>
      <c r="BI74" s="26">
        <f>IF(ISNUMBER(VLOOKUP($D74,'Visu totale'!$D:$DH,BI$1,0)),BH74-VLOOKUP($D74,'Visu totale'!$D:$DH,BI$1,0),IF(LEFT(VLOOKUP($D74,'Visu totale'!$D:$DH,BI$1,0),1)="V",IF(BH74&gt;=INDEX('[1]Définition Maintenances'!$G:$G,MATCH($A74,'[1]Définition Maintenances'!$K:$K,0)),BH74,INDEX('[1]Définition Maintenances'!$G:$G,MATCH($A74,'[1]Définition Maintenances'!$K:$K,0))+BH74),BH74))</f>
        <v>512</v>
      </c>
      <c r="BJ74" s="26">
        <f>IF(ISNUMBER(VLOOKUP($D74,'Visu totale'!$D:$DH,BJ$1,0)),BI74-VLOOKUP($D74,'Visu totale'!$D:$DH,BJ$1,0),IF(LEFT(VLOOKUP($D74,'Visu totale'!$D:$DH,BJ$1,0),1)="V",IF(BI74&gt;=INDEX('[1]Définition Maintenances'!$G:$G,MATCH($A74,'[1]Définition Maintenances'!$K:$K,0)),BI74,INDEX('[1]Définition Maintenances'!$G:$G,MATCH($A74,'[1]Définition Maintenances'!$K:$K,0))+BI74),BI74))</f>
        <v>512</v>
      </c>
      <c r="BK74" s="26">
        <f>IF(ISNUMBER(VLOOKUP($D74,'Visu totale'!$D:$DH,BK$1,0)),BJ74-VLOOKUP($D74,'Visu totale'!$D:$DH,BK$1,0),IF(LEFT(VLOOKUP($D74,'Visu totale'!$D:$DH,BK$1,0),1)="V",IF(BJ74&gt;=INDEX('[1]Définition Maintenances'!$G:$G,MATCH($A74,'[1]Définition Maintenances'!$K:$K,0)),BJ74,INDEX('[1]Définition Maintenances'!$G:$G,MATCH($A74,'[1]Définition Maintenances'!$K:$K,0))+BJ74),BJ74))</f>
        <v>512</v>
      </c>
      <c r="BL74" s="26">
        <f>IF(ISNUMBER(VLOOKUP($D74,'Visu totale'!$D:$DH,BL$1,0)),BK74-VLOOKUP($D74,'Visu totale'!$D:$DH,BL$1,0),IF(LEFT(VLOOKUP($D74,'Visu totale'!$D:$DH,BL$1,0),1)="V",IF(BK74&gt;=INDEX('[1]Définition Maintenances'!$G:$G,MATCH($A74,'[1]Définition Maintenances'!$K:$K,0)),BK74,INDEX('[1]Définition Maintenances'!$G:$G,MATCH($A74,'[1]Définition Maintenances'!$K:$K,0))+BK74),BK74))</f>
        <v>512</v>
      </c>
      <c r="BM74" s="27">
        <f>IF(ISNUMBER(VLOOKUP($D74,'Visu totale'!$D:$DH,BM$1,0)),BL74-VLOOKUP($D74,'Visu totale'!$D:$DH,BM$1,0),IF(LEFT(VLOOKUP($D74,'Visu totale'!$D:$DH,BM$1,0),1)="V",IF(BL74&gt;=INDEX('[1]Définition Maintenances'!$G:$G,MATCH($A74,'[1]Définition Maintenances'!$K:$K,0)),BL74,INDEX('[1]Définition Maintenances'!$G:$G,MATCH($A74,'[1]Définition Maintenances'!$K:$K,0))+BL74),BL74))</f>
        <v>512</v>
      </c>
      <c r="BN74" s="25">
        <f>IF(ISNUMBER(VLOOKUP($D74,'Visu totale'!$D:$DH,BN$1,0)),BM74-VLOOKUP($D74,'Visu totale'!$D:$DH,BN$1,0),IF(LEFT(VLOOKUP($D74,'Visu totale'!$D:$DH,BN$1,0),1)="V",IF(BM74&gt;=INDEX('[1]Définition Maintenances'!$G:$G,MATCH($A74,'[1]Définition Maintenances'!$K:$K,0)),BM74,INDEX('[1]Définition Maintenances'!$G:$G,MATCH($A74,'[1]Définition Maintenances'!$K:$K,0))+BM74),BM74))</f>
        <v>512</v>
      </c>
      <c r="BO74" s="26">
        <f>IF(ISNUMBER(VLOOKUP($D74,'Visu totale'!$D:$DH,BO$1,0)),BN74-VLOOKUP($D74,'Visu totale'!$D:$DH,BO$1,0),IF(LEFT(VLOOKUP($D74,'Visu totale'!$D:$DH,BO$1,0),1)="V",IF(BN74&gt;=INDEX('[1]Définition Maintenances'!$G:$G,MATCH($A74,'[1]Définition Maintenances'!$K:$K,0)),BN74,INDEX('[1]Définition Maintenances'!$G:$G,MATCH($A74,'[1]Définition Maintenances'!$K:$K,0))+BN74),BN74))</f>
        <v>512</v>
      </c>
      <c r="BP74" s="26">
        <f>IF(ISNUMBER(VLOOKUP($D74,'Visu totale'!$D:$DH,BP$1,0)),BO74-VLOOKUP($D74,'Visu totale'!$D:$DH,BP$1,0),IF(LEFT(VLOOKUP($D74,'Visu totale'!$D:$DH,BP$1,0),1)="V",IF(BO74&gt;=INDEX('[1]Définition Maintenances'!$G:$G,MATCH($A74,'[1]Définition Maintenances'!$K:$K,0)),BO74,INDEX('[1]Définition Maintenances'!$G:$G,MATCH($A74,'[1]Définition Maintenances'!$K:$K,0))+BO74),BO74))</f>
        <v>512</v>
      </c>
      <c r="BQ74" s="26">
        <f>IF(ISNUMBER(VLOOKUP($D74,'Visu totale'!$D:$DH,BQ$1,0)),BP74-VLOOKUP($D74,'Visu totale'!$D:$DH,BQ$1,0),IF(LEFT(VLOOKUP($D74,'Visu totale'!$D:$DH,BQ$1,0),1)="V",IF(BP74&gt;=INDEX('[1]Définition Maintenances'!$G:$G,MATCH($A74,'[1]Définition Maintenances'!$K:$K,0)),BP74,INDEX('[1]Définition Maintenances'!$G:$G,MATCH($A74,'[1]Définition Maintenances'!$K:$K,0))+BP74),BP74))</f>
        <v>512</v>
      </c>
      <c r="BR74" s="26">
        <f>IF(ISNUMBER(VLOOKUP($D74,'Visu totale'!$D:$DH,BR$1,0)),BQ74-VLOOKUP($D74,'Visu totale'!$D:$DH,BR$1,0),IF(LEFT(VLOOKUP($D74,'Visu totale'!$D:$DH,BR$1,0),1)="V",IF(BQ74&gt;=INDEX('[1]Définition Maintenances'!$G:$G,MATCH($A74,'[1]Définition Maintenances'!$K:$K,0)),BQ74,INDEX('[1]Définition Maintenances'!$G:$G,MATCH($A74,'[1]Définition Maintenances'!$K:$K,0))+BQ74),BQ74))</f>
        <v>512</v>
      </c>
      <c r="BS74" s="26">
        <f>IF(ISNUMBER(VLOOKUP($D74,'Visu totale'!$D:$DH,BS$1,0)),BR74-VLOOKUP($D74,'Visu totale'!$D:$DH,BS$1,0),IF(LEFT(VLOOKUP($D74,'Visu totale'!$D:$DH,BS$1,0),1)="V",IF(BR74&gt;=INDEX('[1]Définition Maintenances'!$G:$G,MATCH($A74,'[1]Définition Maintenances'!$K:$K,0)),BR74,INDEX('[1]Définition Maintenances'!$G:$G,MATCH($A74,'[1]Définition Maintenances'!$K:$K,0))+BR74),BR74))</f>
        <v>512</v>
      </c>
      <c r="BT74" s="26">
        <f>IF(ISNUMBER(VLOOKUP($D74,'Visu totale'!$D:$DH,BT$1,0)),BS74-VLOOKUP($D74,'Visu totale'!$D:$DH,BT$1,0),IF(LEFT(VLOOKUP($D74,'Visu totale'!$D:$DH,BT$1,0),1)="V",IF(BS74&gt;=INDEX('[1]Définition Maintenances'!$G:$G,MATCH($A74,'[1]Définition Maintenances'!$K:$K,0)),BS74,INDEX('[1]Définition Maintenances'!$G:$G,MATCH($A74,'[1]Définition Maintenances'!$K:$K,0))+BS74),BS74))</f>
        <v>512</v>
      </c>
      <c r="BU74" s="26">
        <f>IF(ISNUMBER(VLOOKUP($D74,'Visu totale'!$D:$DH,BU$1,0)),BT74-VLOOKUP($D74,'Visu totale'!$D:$DH,BU$1,0),IF(LEFT(VLOOKUP($D74,'Visu totale'!$D:$DH,BU$1,0),1)="V",IF(BT74&gt;=INDEX('[1]Définition Maintenances'!$G:$G,MATCH($A74,'[1]Définition Maintenances'!$K:$K,0)),BT74,INDEX('[1]Définition Maintenances'!$G:$G,MATCH($A74,'[1]Définition Maintenances'!$K:$K,0))+BT74),BT74))</f>
        <v>512</v>
      </c>
      <c r="BV74" s="26">
        <f>IF(ISNUMBER(VLOOKUP($D74,'Visu totale'!$D:$DH,BV$1,0)),BU74-VLOOKUP($D74,'Visu totale'!$D:$DH,BV$1,0),IF(LEFT(VLOOKUP($D74,'Visu totale'!$D:$DH,BV$1,0),1)="V",IF(BU74&gt;=INDEX('[1]Définition Maintenances'!$G:$G,MATCH($A74,'[1]Définition Maintenances'!$K:$K,0)),BU74,INDEX('[1]Définition Maintenances'!$G:$G,MATCH($A74,'[1]Définition Maintenances'!$K:$K,0))+BU74),BU74))</f>
        <v>512</v>
      </c>
      <c r="BW74" s="26">
        <f>IF(ISNUMBER(VLOOKUP($D74,'Visu totale'!$D:$DH,BW$1,0)),BV74-VLOOKUP($D74,'Visu totale'!$D:$DH,BW$1,0),IF(LEFT(VLOOKUP($D74,'Visu totale'!$D:$DH,BW$1,0),1)="V",IF(BV74&gt;=INDEX('[1]Définition Maintenances'!$G:$G,MATCH($A74,'[1]Définition Maintenances'!$K:$K,0)),BV74,INDEX('[1]Définition Maintenances'!$G:$G,MATCH($A74,'[1]Définition Maintenances'!$K:$K,0))+BV74),BV74))</f>
        <v>512</v>
      </c>
      <c r="BX74" s="26">
        <f>IF(ISNUMBER(VLOOKUP($D74,'Visu totale'!$D:$DH,BX$1,0)),BW74-VLOOKUP($D74,'Visu totale'!$D:$DH,BX$1,0),IF(LEFT(VLOOKUP($D74,'Visu totale'!$D:$DH,BX$1,0),1)="V",IF(BW74&gt;=INDEX('[1]Définition Maintenances'!$G:$G,MATCH($A74,'[1]Définition Maintenances'!$K:$K,0)),BW74,INDEX('[1]Définition Maintenances'!$G:$G,MATCH($A74,'[1]Définition Maintenances'!$K:$K,0))+BW74),BW74))</f>
        <v>512</v>
      </c>
      <c r="BY74" s="27">
        <f>IF(ISNUMBER(VLOOKUP($D74,'Visu totale'!$D:$DH,BY$1,0)),BX74-VLOOKUP($D74,'Visu totale'!$D:$DH,BY$1,0),IF(LEFT(VLOOKUP($D74,'Visu totale'!$D:$DH,BY$1,0),1)="V",IF(BX74&gt;=INDEX('[1]Définition Maintenances'!$G:$G,MATCH($A74,'[1]Définition Maintenances'!$K:$K,0)),BX74,INDEX('[1]Définition Maintenances'!$G:$G,MATCH($A74,'[1]Définition Maintenances'!$K:$K,0))+BX74),BX74))</f>
        <v>512</v>
      </c>
      <c r="BZ74" s="25">
        <f>IF(ISNUMBER(VLOOKUP($D74,'Visu totale'!$D:$DH,BZ$1,0)),BY74-VLOOKUP($D74,'Visu totale'!$D:$DH,BZ$1,0),IF(LEFT(VLOOKUP($D74,'Visu totale'!$D:$DH,BZ$1,0),1)="V",IF(BY74&gt;=INDEX('[1]Définition Maintenances'!$G:$G,MATCH($A74,'[1]Définition Maintenances'!$K:$K,0)),BY74,INDEX('[1]Définition Maintenances'!$G:$G,MATCH($A74,'[1]Définition Maintenances'!$K:$K,0))+BY74),BY74))</f>
        <v>512</v>
      </c>
      <c r="CA74" s="26">
        <f>IF(ISNUMBER(VLOOKUP($D74,'Visu totale'!$D:$DH,CA$1,0)),BZ74-VLOOKUP($D74,'Visu totale'!$D:$DH,CA$1,0),IF(LEFT(VLOOKUP($D74,'Visu totale'!$D:$DH,CA$1,0),1)="V",IF(BZ74&gt;=INDEX('[1]Définition Maintenances'!$G:$G,MATCH($A74,'[1]Définition Maintenances'!$K:$K,0)),BZ74,INDEX('[1]Définition Maintenances'!$G:$G,MATCH($A74,'[1]Définition Maintenances'!$K:$K,0))+BZ74),BZ74))</f>
        <v>512</v>
      </c>
      <c r="CB74" s="26">
        <f>IF(ISNUMBER(VLOOKUP($D74,'Visu totale'!$D:$DH,CB$1,0)),CA74-VLOOKUP($D74,'Visu totale'!$D:$DH,CB$1,0),IF(LEFT(VLOOKUP($D74,'Visu totale'!$D:$DH,CB$1,0),1)="V",IF(CA74&gt;=INDEX('[1]Définition Maintenances'!$G:$G,MATCH($A74,'[1]Définition Maintenances'!$K:$K,0)),CA74,INDEX('[1]Définition Maintenances'!$G:$G,MATCH($A74,'[1]Définition Maintenances'!$K:$K,0))+CA74),CA74))</f>
        <v>512</v>
      </c>
      <c r="CC74" s="26">
        <f>IF(ISNUMBER(VLOOKUP($D74,'Visu totale'!$D:$DH,CC$1,0)),CB74-VLOOKUP($D74,'Visu totale'!$D:$DH,CC$1,0),IF(LEFT(VLOOKUP($D74,'Visu totale'!$D:$DH,CC$1,0),1)="V",IF(CB74&gt;=INDEX('[1]Définition Maintenances'!$G:$G,MATCH($A74,'[1]Définition Maintenances'!$K:$K,0)),CB74,INDEX('[1]Définition Maintenances'!$G:$G,MATCH($A74,'[1]Définition Maintenances'!$K:$K,0))+CB74),CB74))</f>
        <v>512</v>
      </c>
      <c r="CD74" s="26">
        <f>IF(ISNUMBER(VLOOKUP($D74,'Visu totale'!$D:$DH,CD$1,0)),CC74-VLOOKUP($D74,'Visu totale'!$D:$DH,CD$1,0),IF(LEFT(VLOOKUP($D74,'Visu totale'!$D:$DH,CD$1,0),1)="V",IF(CC74&gt;=INDEX('[1]Définition Maintenances'!$G:$G,MATCH($A74,'[1]Définition Maintenances'!$K:$K,0)),CC74,INDEX('[1]Définition Maintenances'!$G:$G,MATCH($A74,'[1]Définition Maintenances'!$K:$K,0))+CC74),CC74))</f>
        <v>512</v>
      </c>
      <c r="CE74" s="26">
        <f>IF(ISNUMBER(VLOOKUP($D74,'Visu totale'!$D:$DH,CE$1,0)),CD74-VLOOKUP($D74,'Visu totale'!$D:$DH,CE$1,0),IF(LEFT(VLOOKUP($D74,'Visu totale'!$D:$DH,CE$1,0),1)="V",IF(CD74&gt;=INDEX('[1]Définition Maintenances'!$G:$G,MATCH($A74,'[1]Définition Maintenances'!$K:$K,0)),CD74,INDEX('[1]Définition Maintenances'!$G:$G,MATCH($A74,'[1]Définition Maintenances'!$K:$K,0))+CD74),CD74))</f>
        <v>512</v>
      </c>
      <c r="CF74" s="26">
        <f>IF(ISNUMBER(VLOOKUP($D74,'Visu totale'!$D:$DH,CF$1,0)),CE74-VLOOKUP($D74,'Visu totale'!$D:$DH,CF$1,0),IF(LEFT(VLOOKUP($D74,'Visu totale'!$D:$DH,CF$1,0),1)="V",IF(CE74&gt;=INDEX('[1]Définition Maintenances'!$G:$G,MATCH($A74,'[1]Définition Maintenances'!$K:$K,0)),CE74,INDEX('[1]Définition Maintenances'!$G:$G,MATCH($A74,'[1]Définition Maintenances'!$K:$K,0))+CE74),CE74))</f>
        <v>512</v>
      </c>
      <c r="CG74" s="26">
        <f>IF(ISNUMBER(VLOOKUP($D74,'Visu totale'!$D:$DH,CG$1,0)),CF74-VLOOKUP($D74,'Visu totale'!$D:$DH,CG$1,0),IF(LEFT(VLOOKUP($D74,'Visu totale'!$D:$DH,CG$1,0),1)="V",IF(CF74&gt;=INDEX('[1]Définition Maintenances'!$G:$G,MATCH($A74,'[1]Définition Maintenances'!$K:$K,0)),CF74,INDEX('[1]Définition Maintenances'!$G:$G,MATCH($A74,'[1]Définition Maintenances'!$K:$K,0))+CF74),CF74))</f>
        <v>512</v>
      </c>
      <c r="CH74" s="26">
        <f>IF(ISNUMBER(VLOOKUP($D74,'Visu totale'!$D:$DH,CH$1,0)),CG74-VLOOKUP($D74,'Visu totale'!$D:$DH,CH$1,0),IF(LEFT(VLOOKUP($D74,'Visu totale'!$D:$DH,CH$1,0),1)="V",IF(CG74&gt;=INDEX('[1]Définition Maintenances'!$G:$G,MATCH($A74,'[1]Définition Maintenances'!$K:$K,0)),CG74,INDEX('[1]Définition Maintenances'!$G:$G,MATCH($A74,'[1]Définition Maintenances'!$K:$K,0))+CG74),CG74))</f>
        <v>512</v>
      </c>
      <c r="CI74" s="26">
        <f>IF(ISNUMBER(VLOOKUP($D74,'Visu totale'!$D:$DH,CI$1,0)),CH74-VLOOKUP($D74,'Visu totale'!$D:$DH,CI$1,0),IF(LEFT(VLOOKUP($D74,'Visu totale'!$D:$DH,CI$1,0),1)="V",IF(CH74&gt;=INDEX('[1]Définition Maintenances'!$G:$G,MATCH($A74,'[1]Définition Maintenances'!$K:$K,0)),CH74,INDEX('[1]Définition Maintenances'!$G:$G,MATCH($A74,'[1]Définition Maintenances'!$K:$K,0))+CH74),CH74))</f>
        <v>512</v>
      </c>
      <c r="CJ74" s="26">
        <f>IF(ISNUMBER(VLOOKUP($D74,'Visu totale'!$D:$DH,CJ$1,0)),CI74-VLOOKUP($D74,'Visu totale'!$D:$DH,CJ$1,0),IF(LEFT(VLOOKUP($D74,'Visu totale'!$D:$DH,CJ$1,0),1)="V",IF(CI74&gt;=INDEX('[1]Définition Maintenances'!$G:$G,MATCH($A74,'[1]Définition Maintenances'!$K:$K,0)),CI74,INDEX('[1]Définition Maintenances'!$G:$G,MATCH($A74,'[1]Définition Maintenances'!$K:$K,0))+CI74),CI74))</f>
        <v>512</v>
      </c>
      <c r="CK74" s="27">
        <f>IF(ISNUMBER(VLOOKUP($D74,'Visu totale'!$D:$DH,CK$1,0)),CJ74-VLOOKUP($D74,'Visu totale'!$D:$DH,CK$1,0),IF(LEFT(VLOOKUP($D74,'Visu totale'!$D:$DH,CK$1,0),1)="V",IF(CJ74&gt;=INDEX('[1]Définition Maintenances'!$G:$G,MATCH($A74,'[1]Définition Maintenances'!$K:$K,0)),CJ74,INDEX('[1]Définition Maintenances'!$G:$G,MATCH($A74,'[1]Définition Maintenances'!$K:$K,0))+CJ74),CJ74))</f>
        <v>512</v>
      </c>
      <c r="CL74" s="25">
        <f>IF(ISNUMBER(VLOOKUP($D74,'Visu totale'!$D:$DH,CL$1,0)),CK74-VLOOKUP($D74,'Visu totale'!$D:$DH,CL$1,0),IF(LEFT(VLOOKUP($D74,'Visu totale'!$D:$DH,CL$1,0),1)="V",IF(CK74&gt;=INDEX('[1]Définition Maintenances'!$G:$G,MATCH($A74,'[1]Définition Maintenances'!$K:$K,0)),CK74,INDEX('[1]Définition Maintenances'!$G:$G,MATCH($A74,'[1]Définition Maintenances'!$K:$K,0))+CK74),CK74))</f>
        <v>512</v>
      </c>
      <c r="CM74" s="26">
        <f>IF(ISNUMBER(VLOOKUP($D74,'Visu totale'!$D:$DH,CM$1,0)),CL74-VLOOKUP($D74,'Visu totale'!$D:$DH,CM$1,0),IF(LEFT(VLOOKUP($D74,'Visu totale'!$D:$DH,CM$1,0),1)="V",IF(CL74&gt;=INDEX('[1]Définition Maintenances'!$G:$G,MATCH($A74,'[1]Définition Maintenances'!$K:$K,0)),CL74,INDEX('[1]Définition Maintenances'!$G:$G,MATCH($A74,'[1]Définition Maintenances'!$K:$K,0))+CL74),CL74))</f>
        <v>512</v>
      </c>
      <c r="CN74" s="26">
        <f>IF(ISNUMBER(VLOOKUP($D74,'Visu totale'!$D:$DH,CN$1,0)),CM74-VLOOKUP($D74,'Visu totale'!$D:$DH,CN$1,0),IF(LEFT(VLOOKUP($D74,'Visu totale'!$D:$DH,CN$1,0),1)="V",IF(CM74&gt;=INDEX('[1]Définition Maintenances'!$G:$G,MATCH($A74,'[1]Définition Maintenances'!$K:$K,0)),CM74,INDEX('[1]Définition Maintenances'!$G:$G,MATCH($A74,'[1]Définition Maintenances'!$K:$K,0))+CM74),CM74))</f>
        <v>512</v>
      </c>
      <c r="CO74" s="26">
        <f>IF(ISNUMBER(VLOOKUP($D74,'Visu totale'!$D:$DH,CO$1,0)),CN74-VLOOKUP($D74,'Visu totale'!$D:$DH,CO$1,0),IF(LEFT(VLOOKUP($D74,'Visu totale'!$D:$DH,CO$1,0),1)="V",IF(CN74&gt;=INDEX('[1]Définition Maintenances'!$G:$G,MATCH($A74,'[1]Définition Maintenances'!$K:$K,0)),CN74,INDEX('[1]Définition Maintenances'!$G:$G,MATCH($A74,'[1]Définition Maintenances'!$K:$K,0))+CN74),CN74))</f>
        <v>512</v>
      </c>
      <c r="CP74" s="26">
        <f>IF(ISNUMBER(VLOOKUP($D74,'Visu totale'!$D:$DH,CP$1,0)),CO74-VLOOKUP($D74,'Visu totale'!$D:$DH,CP$1,0),IF(LEFT(VLOOKUP($D74,'Visu totale'!$D:$DH,CP$1,0),1)="V",IF(CO74&gt;=INDEX('[1]Définition Maintenances'!$G:$G,MATCH($A74,'[1]Définition Maintenances'!$K:$K,0)),CO74,INDEX('[1]Définition Maintenances'!$G:$G,MATCH($A74,'[1]Définition Maintenances'!$K:$K,0))+CO74),CO74))</f>
        <v>512</v>
      </c>
      <c r="CQ74" s="26">
        <f>IF(ISNUMBER(VLOOKUP($D74,'Visu totale'!$D:$DH,CQ$1,0)),CP74-VLOOKUP($D74,'Visu totale'!$D:$DH,CQ$1,0),IF(LEFT(VLOOKUP($D74,'Visu totale'!$D:$DH,CQ$1,0),1)="V",IF(CP74&gt;=INDEX('[1]Définition Maintenances'!$G:$G,MATCH($A74,'[1]Définition Maintenances'!$K:$K,0)),CP74,INDEX('[1]Définition Maintenances'!$G:$G,MATCH($A74,'[1]Définition Maintenances'!$K:$K,0))+CP74),CP74))</f>
        <v>512</v>
      </c>
      <c r="CR74" s="26">
        <f>IF(ISNUMBER(VLOOKUP($D74,'Visu totale'!$D:$DH,CR$1,0)),CQ74-VLOOKUP($D74,'Visu totale'!$D:$DH,CR$1,0),IF(LEFT(VLOOKUP($D74,'Visu totale'!$D:$DH,CR$1,0),1)="V",IF(CQ74&gt;=INDEX('[1]Définition Maintenances'!$G:$G,MATCH($A74,'[1]Définition Maintenances'!$K:$K,0)),CQ74,INDEX('[1]Définition Maintenances'!$G:$G,MATCH($A74,'[1]Définition Maintenances'!$K:$K,0))+CQ74),CQ74))</f>
        <v>512</v>
      </c>
      <c r="CS74" s="26">
        <f>IF(ISNUMBER(VLOOKUP($D74,'Visu totale'!$D:$DH,CS$1,0)),CR74-VLOOKUP($D74,'Visu totale'!$D:$DH,CS$1,0),IF(LEFT(VLOOKUP($D74,'Visu totale'!$D:$DH,CS$1,0),1)="V",IF(CR74&gt;=INDEX('[1]Définition Maintenances'!$G:$G,MATCH($A74,'[1]Définition Maintenances'!$K:$K,0)),CR74,INDEX('[1]Définition Maintenances'!$G:$G,MATCH($A74,'[1]Définition Maintenances'!$K:$K,0))+CR74),CR74))</f>
        <v>512</v>
      </c>
      <c r="CT74" s="26">
        <f>IF(ISNUMBER(VLOOKUP($D74,'Visu totale'!$D:$DH,CT$1,0)),CS74-VLOOKUP($D74,'Visu totale'!$D:$DH,CT$1,0),IF(LEFT(VLOOKUP($D74,'Visu totale'!$D:$DH,CT$1,0),1)="V",IF(CS74&gt;=INDEX('[1]Définition Maintenances'!$G:$G,MATCH($A74,'[1]Définition Maintenances'!$K:$K,0)),CS74,INDEX('[1]Définition Maintenances'!$G:$G,MATCH($A74,'[1]Définition Maintenances'!$K:$K,0))+CS74),CS74))</f>
        <v>512</v>
      </c>
      <c r="CU74" s="26">
        <f>IF(ISNUMBER(VLOOKUP($D74,'Visu totale'!$D:$DH,CU$1,0)),CT74-VLOOKUP($D74,'Visu totale'!$D:$DH,CU$1,0),IF(LEFT(VLOOKUP($D74,'Visu totale'!$D:$DH,CU$1,0),1)="V",IF(CT74&gt;=INDEX('[1]Définition Maintenances'!$G:$G,MATCH($A74,'[1]Définition Maintenances'!$K:$K,0)),CT74,INDEX('[1]Définition Maintenances'!$G:$G,MATCH($A74,'[1]Définition Maintenances'!$K:$K,0))+CT74),CT74))</f>
        <v>512</v>
      </c>
      <c r="CV74" s="26">
        <f>IF(ISNUMBER(VLOOKUP($D74,'Visu totale'!$D:$DH,CV$1,0)),CU74-VLOOKUP($D74,'Visu totale'!$D:$DH,CV$1,0),IF(LEFT(VLOOKUP($D74,'Visu totale'!$D:$DH,CV$1,0),1)="V",IF(CU74&gt;=INDEX('[1]Définition Maintenances'!$G:$G,MATCH($A74,'[1]Définition Maintenances'!$K:$K,0)),CU74,INDEX('[1]Définition Maintenances'!$G:$G,MATCH($A74,'[1]Définition Maintenances'!$K:$K,0))+CU74),CU74))</f>
        <v>512</v>
      </c>
      <c r="CW74" s="27">
        <f>IF(ISNUMBER(VLOOKUP($D74,'Visu totale'!$D:$DH,CW$1,0)),CV74-VLOOKUP($D74,'Visu totale'!$D:$DH,CW$1,0),IF(LEFT(VLOOKUP($D74,'Visu totale'!$D:$DH,CW$1,0),1)="V",IF(CV74&gt;=INDEX('[1]Définition Maintenances'!$G:$G,MATCH($A74,'[1]Définition Maintenances'!$K:$K,0)),CV74,INDEX('[1]Définition Maintenances'!$G:$G,MATCH($A74,'[1]Définition Maintenances'!$K:$K,0))+CV74),CV74))</f>
        <v>512</v>
      </c>
      <c r="CX74" s="25">
        <f>IF(ISNUMBER(VLOOKUP($D74,'Visu totale'!$D:$DH,CX$1,0)),CW74-VLOOKUP($D74,'Visu totale'!$D:$DH,CX$1,0),IF(LEFT(VLOOKUP($D74,'Visu totale'!$D:$DH,CX$1,0),1)="V",IF(CW74&gt;=INDEX('[1]Définition Maintenances'!$G:$G,MATCH($A74,'[1]Définition Maintenances'!$K:$K,0)),CW74,INDEX('[1]Définition Maintenances'!$G:$G,MATCH($A74,'[1]Définition Maintenances'!$K:$K,0))+CW74),CW74))</f>
        <v>512</v>
      </c>
      <c r="CY74" s="26">
        <f>IF(ISNUMBER(VLOOKUP($D74,'Visu totale'!$D:$DH,CY$1,0)),CX74-VLOOKUP($D74,'Visu totale'!$D:$DH,CY$1,0),IF(LEFT(VLOOKUP($D74,'Visu totale'!$D:$DH,CY$1,0),1)="V",IF(CX74&gt;=INDEX('[1]Définition Maintenances'!$G:$G,MATCH($A74,'[1]Définition Maintenances'!$K:$K,0)),CX74,INDEX('[1]Définition Maintenances'!$G:$G,MATCH($A74,'[1]Définition Maintenances'!$K:$K,0))+CX74),CX74))</f>
        <v>512</v>
      </c>
      <c r="CZ74" s="26">
        <f>IF(ISNUMBER(VLOOKUP($D74,'Visu totale'!$D:$DH,CZ$1,0)),CY74-VLOOKUP($D74,'Visu totale'!$D:$DH,CZ$1,0),IF(LEFT(VLOOKUP($D74,'Visu totale'!$D:$DH,CZ$1,0),1)="V",IF(CY74&gt;=INDEX('[1]Définition Maintenances'!$G:$G,MATCH($A74,'[1]Définition Maintenances'!$K:$K,0)),CY74,INDEX('[1]Définition Maintenances'!$G:$G,MATCH($A74,'[1]Définition Maintenances'!$K:$K,0))+CY74),CY74))</f>
        <v>512</v>
      </c>
      <c r="DA74" s="26">
        <f>IF(ISNUMBER(VLOOKUP($D74,'Visu totale'!$D:$DH,DA$1,0)),CZ74-VLOOKUP($D74,'Visu totale'!$D:$DH,DA$1,0),IF(LEFT(VLOOKUP($D74,'Visu totale'!$D:$DH,DA$1,0),1)="V",IF(CZ74&gt;=INDEX('[1]Définition Maintenances'!$G:$G,MATCH($A74,'[1]Définition Maintenances'!$K:$K,0)),CZ74,INDEX('[1]Définition Maintenances'!$G:$G,MATCH($A74,'[1]Définition Maintenances'!$K:$K,0))+CZ74),CZ74))</f>
        <v>512</v>
      </c>
      <c r="DB74" s="26">
        <f>IF(ISNUMBER(VLOOKUP($D74,'Visu totale'!$D:$DH,DB$1,0)),DA74-VLOOKUP($D74,'Visu totale'!$D:$DH,DB$1,0),IF(LEFT(VLOOKUP($D74,'Visu totale'!$D:$DH,DB$1,0),1)="V",IF(DA74&gt;=INDEX('[1]Définition Maintenances'!$G:$G,MATCH($A74,'[1]Définition Maintenances'!$K:$K,0)),DA74,INDEX('[1]Définition Maintenances'!$G:$G,MATCH($A74,'[1]Définition Maintenances'!$K:$K,0))+DA74),DA74))</f>
        <v>512</v>
      </c>
      <c r="DC74" s="26">
        <f>IF(ISNUMBER(VLOOKUP($D74,'Visu totale'!$D:$DH,DC$1,0)),DB74-VLOOKUP($D74,'Visu totale'!$D:$DH,DC$1,0),IF(LEFT(VLOOKUP($D74,'Visu totale'!$D:$DH,DC$1,0),1)="V",IF(DB74&gt;=INDEX('[1]Définition Maintenances'!$G:$G,MATCH($A74,'[1]Définition Maintenances'!$K:$K,0)),DB74,INDEX('[1]Définition Maintenances'!$G:$G,MATCH($A74,'[1]Définition Maintenances'!$K:$K,0))+DB74),DB74))</f>
        <v>512</v>
      </c>
      <c r="DD74" s="26">
        <f>IF(ISNUMBER(VLOOKUP($D74,'Visu totale'!$D:$DH,DD$1,0)),DC74-VLOOKUP($D74,'Visu totale'!$D:$DH,DD$1,0),IF(LEFT(VLOOKUP($D74,'Visu totale'!$D:$DH,DD$1,0),1)="V",IF(DC74&gt;=INDEX('[1]Définition Maintenances'!$G:$G,MATCH($A74,'[1]Définition Maintenances'!$K:$K,0)),DC74,INDEX('[1]Définition Maintenances'!$G:$G,MATCH($A74,'[1]Définition Maintenances'!$K:$K,0))+DC74),DC74))</f>
        <v>512</v>
      </c>
      <c r="DE74" s="26">
        <f>IF(ISNUMBER(VLOOKUP($D74,'Visu totale'!$D:$DH,DE$1,0)),DD74-VLOOKUP($D74,'Visu totale'!$D:$DH,DE$1,0),IF(LEFT(VLOOKUP($D74,'Visu totale'!$D:$DH,DE$1,0),1)="V",IF(DD74&gt;=INDEX('[1]Définition Maintenances'!$G:$G,MATCH($A74,'[1]Définition Maintenances'!$K:$K,0)),DD74,INDEX('[1]Définition Maintenances'!$G:$G,MATCH($A74,'[1]Définition Maintenances'!$K:$K,0))+DD74),DD74))</f>
        <v>512</v>
      </c>
      <c r="DF74" s="26">
        <f>IF(ISNUMBER(VLOOKUP($D74,'Visu totale'!$D:$DH,DF$1,0)),DE74-VLOOKUP($D74,'Visu totale'!$D:$DH,DF$1,0),IF(LEFT(VLOOKUP($D74,'Visu totale'!$D:$DH,DF$1,0),1)="V",IF(DE74&gt;=INDEX('[1]Définition Maintenances'!$G:$G,MATCH($A74,'[1]Définition Maintenances'!$K:$K,0)),DE74,INDEX('[1]Définition Maintenances'!$G:$G,MATCH($A74,'[1]Définition Maintenances'!$K:$K,0))+DE74),DE74))</f>
        <v>512</v>
      </c>
      <c r="DG74" s="26">
        <f>IF(ISNUMBER(VLOOKUP($D74,'Visu totale'!$D:$DH,DG$1,0)),DF74-VLOOKUP($D74,'Visu totale'!$D:$DH,DG$1,0),IF(LEFT(VLOOKUP($D74,'Visu totale'!$D:$DH,DG$1,0),1)="V",IF(DF74&gt;=INDEX('[1]Définition Maintenances'!$G:$G,MATCH($A74,'[1]Définition Maintenances'!$K:$K,0)),DF74,INDEX('[1]Définition Maintenances'!$G:$G,MATCH($A74,'[1]Définition Maintenances'!$K:$K,0))+DF74),DF74))</f>
        <v>512</v>
      </c>
      <c r="DH74" s="26">
        <f>IF(ISNUMBER(VLOOKUP($D74,'Visu totale'!$D:$DH,DH$1,0)),DG74-VLOOKUP($D74,'Visu totale'!$D:$DH,DH$1,0),IF(LEFT(VLOOKUP($D74,'Visu totale'!$D:$DH,DH$1,0),1)="V",IF(DG74&gt;=INDEX('[1]Définition Maintenances'!$G:$G,MATCH($A74,'[1]Définition Maintenances'!$K:$K,0)),DG74,INDEX('[1]Définition Maintenances'!$G:$G,MATCH($A74,'[1]Définition Maintenances'!$K:$K,0))+DG74),DG74))</f>
        <v>512</v>
      </c>
      <c r="DI74" s="27">
        <f>IF(ISNUMBER(VLOOKUP($D74,'Visu totale'!$D:$DH,DI$1,0)),DH74-VLOOKUP($D74,'Visu totale'!$D:$DH,DI$1,0),IF(LEFT(VLOOKUP($D74,'Visu totale'!$D:$DH,DI$1,0),1)="V",IF(DH74&gt;=INDEX('[1]Définition Maintenances'!$G:$G,MATCH($A74,'[1]Définition Maintenances'!$K:$K,0)),DH74,INDEX('[1]Définition Maintenances'!$G:$G,MATCH($A74,'[1]Définition Maintenances'!$K:$K,0))+DH74),DH74))</f>
        <v>512</v>
      </c>
    </row>
    <row r="75" spans="1:113" x14ac:dyDescent="0.25">
      <c r="A75" s="13" t="str">
        <f t="shared" si="2"/>
        <v>V30D</v>
      </c>
      <c r="B75" s="13" t="str">
        <f>VLOOKUP(D75,'[1]Avions (Potentiels)'!$B$2:$H$128,7,FALSE)</f>
        <v>V30</v>
      </c>
      <c r="C75" s="13"/>
      <c r="D75" s="16" t="s">
        <v>78</v>
      </c>
      <c r="E75" s="13">
        <f>IFERROR(VALUE(SUBSTITUTE(VLOOKUP(D75,'[1]Avions (Potentiels)'!$B:$E,4,0),".",",")),VALUE(VLOOKUP(D75,'[1]Avions (Potentiels)'!$B:$E,4,0)))</f>
        <v>1200</v>
      </c>
      <c r="F75" s="25">
        <f>IF(ISNUMBER(VLOOKUP($D75,'Visu totale'!$D:$DH,F$1,0)),E75-VLOOKUP($D75,'Visu totale'!$D:$DH,F$1,0),IF(LEFT(VLOOKUP($D75,'Visu totale'!$D:$DH,F$1,0),1)="V",IF(E75&gt;=INDEX('[1]Définition Maintenances'!$G:$G,MATCH($A75,'[1]Définition Maintenances'!$K:$K,0)),E75,INDEX('[1]Définition Maintenances'!$G:$G,MATCH($A75,'[1]Définition Maintenances'!$K:$K,0))+E75),E75))</f>
        <v>1200</v>
      </c>
      <c r="G75" s="26">
        <f>IF(ISNUMBER(VLOOKUP($D75,'Visu totale'!$D:$DH,G$1,0)),F75-VLOOKUP($D75,'Visu totale'!$D:$DH,G$1,0),IF(LEFT(VLOOKUP($D75,'Visu totale'!$D:$DH,G$1,0),1)="V",IF(F75&gt;=INDEX('[1]Définition Maintenances'!$G:$G,MATCH($A75,'[1]Définition Maintenances'!$K:$K,0)),F75,INDEX('[1]Définition Maintenances'!$G:$G,MATCH($A75,'[1]Définition Maintenances'!$K:$K,0))+F75),F75))</f>
        <v>1200</v>
      </c>
      <c r="H75" s="26">
        <f>IF(ISNUMBER(VLOOKUP($D75,'Visu totale'!$D:$DH,H$1,0)),G75-VLOOKUP($D75,'Visu totale'!$D:$DH,H$1,0),IF(LEFT(VLOOKUP($D75,'Visu totale'!$D:$DH,H$1,0),1)="V",IF(G75&gt;=INDEX('[1]Définition Maintenances'!$G:$G,MATCH($A75,'[1]Définition Maintenances'!$K:$K,0)),G75,INDEX('[1]Définition Maintenances'!$G:$G,MATCH($A75,'[1]Définition Maintenances'!$K:$K,0))+G75),G75))</f>
        <v>1200</v>
      </c>
      <c r="I75" s="26">
        <f>IF(ISNUMBER(VLOOKUP($D75,'Visu totale'!$D:$DH,I$1,0)),H75-VLOOKUP($D75,'Visu totale'!$D:$DH,I$1,0),IF(LEFT(VLOOKUP($D75,'Visu totale'!$D:$DH,I$1,0),1)="V",IF(H75&gt;=INDEX('[1]Définition Maintenances'!$G:$G,MATCH($A75,'[1]Définition Maintenances'!$K:$K,0)),H75,INDEX('[1]Définition Maintenances'!$G:$G,MATCH($A75,'[1]Définition Maintenances'!$K:$K,0))+H75),H75))</f>
        <v>1200</v>
      </c>
      <c r="J75" s="26">
        <f>IF(ISNUMBER(VLOOKUP($D75,'Visu totale'!$D:$DH,J$1,0)),I75-VLOOKUP($D75,'Visu totale'!$D:$DH,J$1,0),IF(LEFT(VLOOKUP($D75,'Visu totale'!$D:$DH,J$1,0),1)="V",IF(I75&gt;=INDEX('[1]Définition Maintenances'!$G:$G,MATCH($A75,'[1]Définition Maintenances'!$K:$K,0)),I75,INDEX('[1]Définition Maintenances'!$G:$G,MATCH($A75,'[1]Définition Maintenances'!$K:$K,0))+I75),I75))</f>
        <v>1200</v>
      </c>
      <c r="K75" s="26">
        <f>IF(ISNUMBER(VLOOKUP($D75,'Visu totale'!$D:$DH,K$1,0)),J75-VLOOKUP($D75,'Visu totale'!$D:$DH,K$1,0),IF(LEFT(VLOOKUP($D75,'Visu totale'!$D:$DH,K$1,0),1)="V",IF(J75&gt;=INDEX('[1]Définition Maintenances'!$G:$G,MATCH($A75,'[1]Définition Maintenances'!$K:$K,0)),J75,INDEX('[1]Définition Maintenances'!$G:$G,MATCH($A75,'[1]Définition Maintenances'!$K:$K,0))+J75),J75))</f>
        <v>1200</v>
      </c>
      <c r="L75" s="26">
        <f>IF(ISNUMBER(VLOOKUP($D75,'Visu totale'!$D:$DH,L$1,0)),K75-VLOOKUP($D75,'Visu totale'!$D:$DH,L$1,0),IF(LEFT(VLOOKUP($D75,'Visu totale'!$D:$DH,L$1,0),1)="V",IF(K75&gt;=INDEX('[1]Définition Maintenances'!$G:$G,MATCH($A75,'[1]Définition Maintenances'!$K:$K,0)),K75,INDEX('[1]Définition Maintenances'!$G:$G,MATCH($A75,'[1]Définition Maintenances'!$K:$K,0))+K75),K75))</f>
        <v>1200</v>
      </c>
      <c r="M75" s="26">
        <f>IF(ISNUMBER(VLOOKUP($D75,'Visu totale'!$D:$DH,M$1,0)),L75-VLOOKUP($D75,'Visu totale'!$D:$DH,M$1,0),IF(LEFT(VLOOKUP($D75,'Visu totale'!$D:$DH,M$1,0),1)="V",IF(L75&gt;=INDEX('[1]Définition Maintenances'!$G:$G,MATCH($A75,'[1]Définition Maintenances'!$K:$K,0)),L75,INDEX('[1]Définition Maintenances'!$G:$G,MATCH($A75,'[1]Définition Maintenances'!$K:$K,0))+L75),L75))</f>
        <v>1200</v>
      </c>
      <c r="N75" s="26">
        <f>IF(ISNUMBER(VLOOKUP($D75,'Visu totale'!$D:$DH,N$1,0)),M75-VLOOKUP($D75,'Visu totale'!$D:$DH,N$1,0),IF(LEFT(VLOOKUP($D75,'Visu totale'!$D:$DH,N$1,0),1)="V",IF(M75&gt;=INDEX('[1]Définition Maintenances'!$G:$G,MATCH($A75,'[1]Définition Maintenances'!$K:$K,0)),M75,INDEX('[1]Définition Maintenances'!$G:$G,MATCH($A75,'[1]Définition Maintenances'!$K:$K,0))+M75),M75))</f>
        <v>1200</v>
      </c>
      <c r="O75" s="26">
        <f>IF(ISNUMBER(VLOOKUP($D75,'Visu totale'!$D:$DH,O$1,0)),N75-VLOOKUP($D75,'Visu totale'!$D:$DH,O$1,0),IF(LEFT(VLOOKUP($D75,'Visu totale'!$D:$DH,O$1,0),1)="V",IF(N75&gt;=INDEX('[1]Définition Maintenances'!$G:$G,MATCH($A75,'[1]Définition Maintenances'!$K:$K,0)),N75,INDEX('[1]Définition Maintenances'!$G:$G,MATCH($A75,'[1]Définition Maintenances'!$K:$K,0))+N75),N75))</f>
        <v>1200</v>
      </c>
      <c r="P75" s="26">
        <f>IF(ISNUMBER(VLOOKUP($D75,'Visu totale'!$D:$DH,P$1,0)),O75-VLOOKUP($D75,'Visu totale'!$D:$DH,P$1,0),IF(LEFT(VLOOKUP($D75,'Visu totale'!$D:$DH,P$1,0),1)="V",IF(O75&gt;=INDEX('[1]Définition Maintenances'!$G:$G,MATCH($A75,'[1]Définition Maintenances'!$K:$K,0)),O75,INDEX('[1]Définition Maintenances'!$G:$G,MATCH($A75,'[1]Définition Maintenances'!$K:$K,0))+O75),O75))</f>
        <v>1200</v>
      </c>
      <c r="Q75" s="27">
        <f>IF(ISNUMBER(VLOOKUP($D75,'Visu totale'!$D:$DH,Q$1,0)),P75-VLOOKUP($D75,'Visu totale'!$D:$DH,Q$1,0),IF(LEFT(VLOOKUP($D75,'Visu totale'!$D:$DH,Q$1,0),1)="V",IF(P75&gt;=INDEX('[1]Définition Maintenances'!$G:$G,MATCH($A75,'[1]Définition Maintenances'!$K:$K,0)),P75,INDEX('[1]Définition Maintenances'!$G:$G,MATCH($A75,'[1]Définition Maintenances'!$K:$K,0))+P75),P75))</f>
        <v>1200</v>
      </c>
      <c r="R75" s="25">
        <f>IF(ISNUMBER(VLOOKUP($D75,'Visu totale'!$D:$DH,R$1,0)),Q75-VLOOKUP($D75,'Visu totale'!$D:$DH,R$1,0),IF(LEFT(VLOOKUP($D75,'Visu totale'!$D:$DH,R$1,0),1)="V",IF(Q75&gt;=INDEX('[1]Définition Maintenances'!$G:$G,MATCH($A75,'[1]Définition Maintenances'!$K:$K,0)),Q75,INDEX('[1]Définition Maintenances'!$G:$G,MATCH($A75,'[1]Définition Maintenances'!$K:$K,0))+Q75),Q75))</f>
        <v>1200</v>
      </c>
      <c r="S75" s="26">
        <f>IF(ISNUMBER(VLOOKUP($D75,'Visu totale'!$D:$DH,S$1,0)),R75-VLOOKUP($D75,'Visu totale'!$D:$DH,S$1,0),IF(LEFT(VLOOKUP($D75,'Visu totale'!$D:$DH,S$1,0),1)="V",IF(R75&gt;=INDEX('[1]Définition Maintenances'!$G:$G,MATCH($A75,'[1]Définition Maintenances'!$K:$K,0)),R75,INDEX('[1]Définition Maintenances'!$G:$G,MATCH($A75,'[1]Définition Maintenances'!$K:$K,0))+R75),R75))</f>
        <v>1200</v>
      </c>
      <c r="T75" s="26">
        <f>IF(ISNUMBER(VLOOKUP($D75,'Visu totale'!$D:$DH,T$1,0)),S75-VLOOKUP($D75,'Visu totale'!$D:$DH,T$1,0),IF(LEFT(VLOOKUP($D75,'Visu totale'!$D:$DH,T$1,0),1)="V",IF(S75&gt;=INDEX('[1]Définition Maintenances'!$G:$G,MATCH($A75,'[1]Définition Maintenances'!$K:$K,0)),S75,INDEX('[1]Définition Maintenances'!$G:$G,MATCH($A75,'[1]Définition Maintenances'!$K:$K,0))+S75),S75))</f>
        <v>1200</v>
      </c>
      <c r="U75" s="26">
        <f>IF(ISNUMBER(VLOOKUP($D75,'Visu totale'!$D:$DH,U$1,0)),T75-VLOOKUP($D75,'Visu totale'!$D:$DH,U$1,0),IF(LEFT(VLOOKUP($D75,'Visu totale'!$D:$DH,U$1,0),1)="V",IF(T75&gt;=INDEX('[1]Définition Maintenances'!$G:$G,MATCH($A75,'[1]Définition Maintenances'!$K:$K,0)),T75,INDEX('[1]Définition Maintenances'!$G:$G,MATCH($A75,'[1]Définition Maintenances'!$K:$K,0))+T75),T75))</f>
        <v>1200</v>
      </c>
      <c r="V75" s="26">
        <f>IF(ISNUMBER(VLOOKUP($D75,'Visu totale'!$D:$DH,V$1,0)),U75-VLOOKUP($D75,'Visu totale'!$D:$DH,V$1,0),IF(LEFT(VLOOKUP($D75,'Visu totale'!$D:$DH,V$1,0),1)="V",IF(U75&gt;=INDEX('[1]Définition Maintenances'!$G:$G,MATCH($A75,'[1]Définition Maintenances'!$K:$K,0)),U75,INDEX('[1]Définition Maintenances'!$G:$G,MATCH($A75,'[1]Définition Maintenances'!$K:$K,0))+U75),U75))</f>
        <v>1200</v>
      </c>
      <c r="W75" s="26">
        <f>IF(ISNUMBER(VLOOKUP($D75,'Visu totale'!$D:$DH,W$1,0)),V75-VLOOKUP($D75,'Visu totale'!$D:$DH,W$1,0),IF(LEFT(VLOOKUP($D75,'Visu totale'!$D:$DH,W$1,0),1)="V",IF(V75&gt;=INDEX('[1]Définition Maintenances'!$G:$G,MATCH($A75,'[1]Définition Maintenances'!$K:$K,0)),V75,INDEX('[1]Définition Maintenances'!$G:$G,MATCH($A75,'[1]Définition Maintenances'!$K:$K,0))+V75),V75))</f>
        <v>1200</v>
      </c>
      <c r="X75" s="26">
        <f>IF(ISNUMBER(VLOOKUP($D75,'Visu totale'!$D:$DH,X$1,0)),W75-VLOOKUP($D75,'Visu totale'!$D:$DH,X$1,0),IF(LEFT(VLOOKUP($D75,'Visu totale'!$D:$DH,X$1,0),1)="V",IF(W75&gt;=INDEX('[1]Définition Maintenances'!$G:$G,MATCH($A75,'[1]Définition Maintenances'!$K:$K,0)),W75,INDEX('[1]Définition Maintenances'!$G:$G,MATCH($A75,'[1]Définition Maintenances'!$K:$K,0))+W75),W75))</f>
        <v>1200</v>
      </c>
      <c r="Y75" s="26">
        <f>IF(ISNUMBER(VLOOKUP($D75,'Visu totale'!$D:$DH,Y$1,0)),X75-VLOOKUP($D75,'Visu totale'!$D:$DH,Y$1,0),IF(LEFT(VLOOKUP($D75,'Visu totale'!$D:$DH,Y$1,0),1)="V",IF(X75&gt;=INDEX('[1]Définition Maintenances'!$G:$G,MATCH($A75,'[1]Définition Maintenances'!$K:$K,0)),X75,INDEX('[1]Définition Maintenances'!$G:$G,MATCH($A75,'[1]Définition Maintenances'!$K:$K,0))+X75),X75))</f>
        <v>1200</v>
      </c>
      <c r="Z75" s="26">
        <f>IF(ISNUMBER(VLOOKUP($D75,'Visu totale'!$D:$DH,Z$1,0)),Y75-VLOOKUP($D75,'Visu totale'!$D:$DH,Z$1,0),IF(LEFT(VLOOKUP($D75,'Visu totale'!$D:$DH,Z$1,0),1)="V",IF(Y75&gt;=INDEX('[1]Définition Maintenances'!$G:$G,MATCH($A75,'[1]Définition Maintenances'!$K:$K,0)),Y75,INDEX('[1]Définition Maintenances'!$G:$G,MATCH($A75,'[1]Définition Maintenances'!$K:$K,0))+Y75),Y75))</f>
        <v>1200</v>
      </c>
      <c r="AA75" s="26">
        <f>IF(ISNUMBER(VLOOKUP($D75,'Visu totale'!$D:$DH,AA$1,0)),Z75-VLOOKUP($D75,'Visu totale'!$D:$DH,AA$1,0),IF(LEFT(VLOOKUP($D75,'Visu totale'!$D:$DH,AA$1,0),1)="V",IF(Z75&gt;=INDEX('[1]Définition Maintenances'!$G:$G,MATCH($A75,'[1]Définition Maintenances'!$K:$K,0)),Z75,INDEX('[1]Définition Maintenances'!$G:$G,MATCH($A75,'[1]Définition Maintenances'!$K:$K,0))+Z75),Z75))</f>
        <v>1200</v>
      </c>
      <c r="AB75" s="26">
        <f>IF(ISNUMBER(VLOOKUP($D75,'Visu totale'!$D:$DH,AB$1,0)),AA75-VLOOKUP($D75,'Visu totale'!$D:$DH,AB$1,0),IF(LEFT(VLOOKUP($D75,'Visu totale'!$D:$DH,AB$1,0),1)="V",IF(AA75&gt;=INDEX('[1]Définition Maintenances'!$G:$G,MATCH($A75,'[1]Définition Maintenances'!$K:$K,0)),AA75,INDEX('[1]Définition Maintenances'!$G:$G,MATCH($A75,'[1]Définition Maintenances'!$K:$K,0))+AA75),AA75))</f>
        <v>1200</v>
      </c>
      <c r="AC75" s="27">
        <f>IF(ISNUMBER(VLOOKUP($D75,'Visu totale'!$D:$DH,AC$1,0)),AB75-VLOOKUP($D75,'Visu totale'!$D:$DH,AC$1,0),IF(LEFT(VLOOKUP($D75,'Visu totale'!$D:$DH,AC$1,0),1)="V",IF(AB75&gt;=INDEX('[1]Définition Maintenances'!$G:$G,MATCH($A75,'[1]Définition Maintenances'!$K:$K,0)),AB75,INDEX('[1]Définition Maintenances'!$G:$G,MATCH($A75,'[1]Définition Maintenances'!$K:$K,0))+AB75),AB75))</f>
        <v>1200</v>
      </c>
      <c r="AD75" s="25">
        <f>IF(ISNUMBER(VLOOKUP($D75,'Visu totale'!$D:$DH,AD$1,0)),AC75-VLOOKUP($D75,'Visu totale'!$D:$DH,AD$1,0),IF(LEFT(VLOOKUP($D75,'Visu totale'!$D:$DH,AD$1,0),1)="V",IF(AC75&gt;=INDEX('[1]Définition Maintenances'!$G:$G,MATCH($A75,'[1]Définition Maintenances'!$K:$K,0)),AC75,INDEX('[1]Définition Maintenances'!$G:$G,MATCH($A75,'[1]Définition Maintenances'!$K:$K,0))+AC75),AC75))</f>
        <v>1200</v>
      </c>
      <c r="AE75" s="26">
        <f>IF(ISNUMBER(VLOOKUP($D75,'Visu totale'!$D:$DH,AE$1,0)),AD75-VLOOKUP($D75,'Visu totale'!$D:$DH,AE$1,0),IF(LEFT(VLOOKUP($D75,'Visu totale'!$D:$DH,AE$1,0),1)="V",IF(AD75&gt;=INDEX('[1]Définition Maintenances'!$G:$G,MATCH($A75,'[1]Définition Maintenances'!$K:$K,0)),AD75,INDEX('[1]Définition Maintenances'!$G:$G,MATCH($A75,'[1]Définition Maintenances'!$K:$K,0))+AD75),AD75))</f>
        <v>1200</v>
      </c>
      <c r="AF75" s="26">
        <f>IF(ISNUMBER(VLOOKUP($D75,'Visu totale'!$D:$DH,AF$1,0)),AE75-VLOOKUP($D75,'Visu totale'!$D:$DH,AF$1,0),IF(LEFT(VLOOKUP($D75,'Visu totale'!$D:$DH,AF$1,0),1)="V",IF(AE75&gt;=INDEX('[1]Définition Maintenances'!$G:$G,MATCH($A75,'[1]Définition Maintenances'!$K:$K,0)),AE75,INDEX('[1]Définition Maintenances'!$G:$G,MATCH($A75,'[1]Définition Maintenances'!$K:$K,0))+AE75),AE75))</f>
        <v>1200</v>
      </c>
      <c r="AG75" s="26">
        <f>IF(ISNUMBER(VLOOKUP($D75,'Visu totale'!$D:$DH,AG$1,0)),AF75-VLOOKUP($D75,'Visu totale'!$D:$DH,AG$1,0),IF(LEFT(VLOOKUP($D75,'Visu totale'!$D:$DH,AG$1,0),1)="V",IF(AF75&gt;=INDEX('[1]Définition Maintenances'!$G:$G,MATCH($A75,'[1]Définition Maintenances'!$K:$K,0)),AF75,INDEX('[1]Définition Maintenances'!$G:$G,MATCH($A75,'[1]Définition Maintenances'!$K:$K,0))+AF75),AF75))</f>
        <v>1200</v>
      </c>
      <c r="AH75" s="26">
        <f>IF(ISNUMBER(VLOOKUP($D75,'Visu totale'!$D:$DH,AH$1,0)),AG75-VLOOKUP($D75,'Visu totale'!$D:$DH,AH$1,0),IF(LEFT(VLOOKUP($D75,'Visu totale'!$D:$DH,AH$1,0),1)="V",IF(AG75&gt;=INDEX('[1]Définition Maintenances'!$G:$G,MATCH($A75,'[1]Définition Maintenances'!$K:$K,0)),AG75,INDEX('[1]Définition Maintenances'!$G:$G,MATCH($A75,'[1]Définition Maintenances'!$K:$K,0))+AG75),AG75))</f>
        <v>1200</v>
      </c>
      <c r="AI75" s="26">
        <f>IF(ISNUMBER(VLOOKUP($D75,'Visu totale'!$D:$DH,AI$1,0)),AH75-VLOOKUP($D75,'Visu totale'!$D:$DH,AI$1,0),IF(LEFT(VLOOKUP($D75,'Visu totale'!$D:$DH,AI$1,0),1)="V",IF(AH75&gt;=INDEX('[1]Définition Maintenances'!$G:$G,MATCH($A75,'[1]Définition Maintenances'!$K:$K,0)),AH75,INDEX('[1]Définition Maintenances'!$G:$G,MATCH($A75,'[1]Définition Maintenances'!$K:$K,0))+AH75),AH75))</f>
        <v>1200</v>
      </c>
      <c r="AJ75" s="26">
        <f>IF(ISNUMBER(VLOOKUP($D75,'Visu totale'!$D:$DH,AJ$1,0)),AI75-VLOOKUP($D75,'Visu totale'!$D:$DH,AJ$1,0),IF(LEFT(VLOOKUP($D75,'Visu totale'!$D:$DH,AJ$1,0),1)="V",IF(AI75&gt;=INDEX('[1]Définition Maintenances'!$G:$G,MATCH($A75,'[1]Définition Maintenances'!$K:$K,0)),AI75,INDEX('[1]Définition Maintenances'!$G:$G,MATCH($A75,'[1]Définition Maintenances'!$K:$K,0))+AI75),AI75))</f>
        <v>1200</v>
      </c>
      <c r="AK75" s="26">
        <f>IF(ISNUMBER(VLOOKUP($D75,'Visu totale'!$D:$DH,AK$1,0)),AJ75-VLOOKUP($D75,'Visu totale'!$D:$DH,AK$1,0),IF(LEFT(VLOOKUP($D75,'Visu totale'!$D:$DH,AK$1,0),1)="V",IF(AJ75&gt;=INDEX('[1]Définition Maintenances'!$G:$G,MATCH($A75,'[1]Définition Maintenances'!$K:$K,0)),AJ75,INDEX('[1]Définition Maintenances'!$G:$G,MATCH($A75,'[1]Définition Maintenances'!$K:$K,0))+AJ75),AJ75))</f>
        <v>1200</v>
      </c>
      <c r="AL75" s="26">
        <f>IF(ISNUMBER(VLOOKUP($D75,'Visu totale'!$D:$DH,AL$1,0)),AK75-VLOOKUP($D75,'Visu totale'!$D:$DH,AL$1,0),IF(LEFT(VLOOKUP($D75,'Visu totale'!$D:$DH,AL$1,0),1)="V",IF(AK75&gt;=INDEX('[1]Définition Maintenances'!$G:$G,MATCH($A75,'[1]Définition Maintenances'!$K:$K,0)),AK75,INDEX('[1]Définition Maintenances'!$G:$G,MATCH($A75,'[1]Définition Maintenances'!$K:$K,0))+AK75),AK75))</f>
        <v>1200</v>
      </c>
      <c r="AM75" s="26">
        <f>IF(ISNUMBER(VLOOKUP($D75,'Visu totale'!$D:$DH,AM$1,0)),AL75-VLOOKUP($D75,'Visu totale'!$D:$DH,AM$1,0),IF(LEFT(VLOOKUP($D75,'Visu totale'!$D:$DH,AM$1,0),1)="V",IF(AL75&gt;=INDEX('[1]Définition Maintenances'!$G:$G,MATCH($A75,'[1]Définition Maintenances'!$K:$K,0)),AL75,INDEX('[1]Définition Maintenances'!$G:$G,MATCH($A75,'[1]Définition Maintenances'!$K:$K,0))+AL75),AL75))</f>
        <v>1200</v>
      </c>
      <c r="AN75" s="26">
        <f>IF(ISNUMBER(VLOOKUP($D75,'Visu totale'!$D:$DH,AN$1,0)),AM75-VLOOKUP($D75,'Visu totale'!$D:$DH,AN$1,0),IF(LEFT(VLOOKUP($D75,'Visu totale'!$D:$DH,AN$1,0),1)="V",IF(AM75&gt;=INDEX('[1]Définition Maintenances'!$G:$G,MATCH($A75,'[1]Définition Maintenances'!$K:$K,0)),AM75,INDEX('[1]Définition Maintenances'!$G:$G,MATCH($A75,'[1]Définition Maintenances'!$K:$K,0))+AM75),AM75))</f>
        <v>1200</v>
      </c>
      <c r="AO75" s="27">
        <f>IF(ISNUMBER(VLOOKUP($D75,'Visu totale'!$D:$DH,AO$1,0)),AN75-VLOOKUP($D75,'Visu totale'!$D:$DH,AO$1,0),IF(LEFT(VLOOKUP($D75,'Visu totale'!$D:$DH,AO$1,0),1)="V",IF(AN75&gt;=INDEX('[1]Définition Maintenances'!$G:$G,MATCH($A75,'[1]Définition Maintenances'!$K:$K,0)),AN75,INDEX('[1]Définition Maintenances'!$G:$G,MATCH($A75,'[1]Définition Maintenances'!$K:$K,0))+AN75),AN75))</f>
        <v>1200</v>
      </c>
      <c r="AP75" s="25">
        <f>IF(ISNUMBER(VLOOKUP($D75,'Visu totale'!$D:$DH,AP$1,0)),AO75-VLOOKUP($D75,'Visu totale'!$D:$DH,AP$1,0),IF(LEFT(VLOOKUP($D75,'Visu totale'!$D:$DH,AP$1,0),1)="V",IF(AO75&gt;=INDEX('[1]Définition Maintenances'!$G:$G,MATCH($A75,'[1]Définition Maintenances'!$K:$K,0)),AO75,INDEX('[1]Définition Maintenances'!$G:$G,MATCH($A75,'[1]Définition Maintenances'!$K:$K,0))+AO75),AO75))</f>
        <v>1200</v>
      </c>
      <c r="AQ75" s="26">
        <f>IF(ISNUMBER(VLOOKUP($D75,'Visu totale'!$D:$DH,AQ$1,0)),AP75-VLOOKUP($D75,'Visu totale'!$D:$DH,AQ$1,0),IF(LEFT(VLOOKUP($D75,'Visu totale'!$D:$DH,AQ$1,0),1)="V",IF(AP75&gt;=INDEX('[1]Définition Maintenances'!$G:$G,MATCH($A75,'[1]Définition Maintenances'!$K:$K,0)),AP75,INDEX('[1]Définition Maintenances'!$G:$G,MATCH($A75,'[1]Définition Maintenances'!$K:$K,0))+AP75),AP75))</f>
        <v>1200</v>
      </c>
      <c r="AR75" s="26">
        <f>IF(ISNUMBER(VLOOKUP($D75,'Visu totale'!$D:$DH,AR$1,0)),AQ75-VLOOKUP($D75,'Visu totale'!$D:$DH,AR$1,0),IF(LEFT(VLOOKUP($D75,'Visu totale'!$D:$DH,AR$1,0),1)="V",IF(AQ75&gt;=INDEX('[1]Définition Maintenances'!$G:$G,MATCH($A75,'[1]Définition Maintenances'!$K:$K,0)),AQ75,INDEX('[1]Définition Maintenances'!$G:$G,MATCH($A75,'[1]Définition Maintenances'!$K:$K,0))+AQ75),AQ75))</f>
        <v>1200</v>
      </c>
      <c r="AS75" s="26">
        <f>IF(ISNUMBER(VLOOKUP($D75,'Visu totale'!$D:$DH,AS$1,0)),AR75-VLOOKUP($D75,'Visu totale'!$D:$DH,AS$1,0),IF(LEFT(VLOOKUP($D75,'Visu totale'!$D:$DH,AS$1,0),1)="V",IF(AR75&gt;=INDEX('[1]Définition Maintenances'!$G:$G,MATCH($A75,'[1]Définition Maintenances'!$K:$K,0)),AR75,INDEX('[1]Définition Maintenances'!$G:$G,MATCH($A75,'[1]Définition Maintenances'!$K:$K,0))+AR75),AR75))</f>
        <v>1200</v>
      </c>
      <c r="AT75" s="26">
        <f>IF(ISNUMBER(VLOOKUP($D75,'Visu totale'!$D:$DH,AT$1,0)),AS75-VLOOKUP($D75,'Visu totale'!$D:$DH,AT$1,0),IF(LEFT(VLOOKUP($D75,'Visu totale'!$D:$DH,AT$1,0),1)="V",IF(AS75&gt;=INDEX('[1]Définition Maintenances'!$G:$G,MATCH($A75,'[1]Définition Maintenances'!$K:$K,0)),AS75,INDEX('[1]Définition Maintenances'!$G:$G,MATCH($A75,'[1]Définition Maintenances'!$K:$K,0))+AS75),AS75))</f>
        <v>1200</v>
      </c>
      <c r="AU75" s="26">
        <f>IF(ISNUMBER(VLOOKUP($D75,'Visu totale'!$D:$DH,AU$1,0)),AT75-VLOOKUP($D75,'Visu totale'!$D:$DH,AU$1,0),IF(LEFT(VLOOKUP($D75,'Visu totale'!$D:$DH,AU$1,0),1)="V",IF(AT75&gt;=INDEX('[1]Définition Maintenances'!$G:$G,MATCH($A75,'[1]Définition Maintenances'!$K:$K,0)),AT75,INDEX('[1]Définition Maintenances'!$G:$G,MATCH($A75,'[1]Définition Maintenances'!$K:$K,0))+AT75),AT75))</f>
        <v>1200</v>
      </c>
      <c r="AV75" s="26">
        <f>IF(ISNUMBER(VLOOKUP($D75,'Visu totale'!$D:$DH,AV$1,0)),AU75-VLOOKUP($D75,'Visu totale'!$D:$DH,AV$1,0),IF(LEFT(VLOOKUP($D75,'Visu totale'!$D:$DH,AV$1,0),1)="V",IF(AU75&gt;=INDEX('[1]Définition Maintenances'!$G:$G,MATCH($A75,'[1]Définition Maintenances'!$K:$K,0)),AU75,INDEX('[1]Définition Maintenances'!$G:$G,MATCH($A75,'[1]Définition Maintenances'!$K:$K,0))+AU75),AU75))</f>
        <v>1200</v>
      </c>
      <c r="AW75" s="26">
        <f>IF(ISNUMBER(VLOOKUP($D75,'Visu totale'!$D:$DH,AW$1,0)),AV75-VLOOKUP($D75,'Visu totale'!$D:$DH,AW$1,0),IF(LEFT(VLOOKUP($D75,'Visu totale'!$D:$DH,AW$1,0),1)="V",IF(AV75&gt;=INDEX('[1]Définition Maintenances'!$G:$G,MATCH($A75,'[1]Définition Maintenances'!$K:$K,0)),AV75,INDEX('[1]Définition Maintenances'!$G:$G,MATCH($A75,'[1]Définition Maintenances'!$K:$K,0))+AV75),AV75))</f>
        <v>1200</v>
      </c>
      <c r="AX75" s="26">
        <f>IF(ISNUMBER(VLOOKUP($D75,'Visu totale'!$D:$DH,AX$1,0)),AW75-VLOOKUP($D75,'Visu totale'!$D:$DH,AX$1,0),IF(LEFT(VLOOKUP($D75,'Visu totale'!$D:$DH,AX$1,0),1)="V",IF(AW75&gt;=INDEX('[1]Définition Maintenances'!$G:$G,MATCH($A75,'[1]Définition Maintenances'!$K:$K,0)),AW75,INDEX('[1]Définition Maintenances'!$G:$G,MATCH($A75,'[1]Définition Maintenances'!$K:$K,0))+AW75),AW75))</f>
        <v>1200</v>
      </c>
      <c r="AY75" s="26">
        <f>IF(ISNUMBER(VLOOKUP($D75,'Visu totale'!$D:$DH,AY$1,0)),AX75-VLOOKUP($D75,'Visu totale'!$D:$DH,AY$1,0),IF(LEFT(VLOOKUP($D75,'Visu totale'!$D:$DH,AY$1,0),1)="V",IF(AX75&gt;=INDEX('[1]Définition Maintenances'!$G:$G,MATCH($A75,'[1]Définition Maintenances'!$K:$K,0)),AX75,INDEX('[1]Définition Maintenances'!$G:$G,MATCH($A75,'[1]Définition Maintenances'!$K:$K,0))+AX75),AX75))</f>
        <v>1200</v>
      </c>
      <c r="AZ75" s="26">
        <f>IF(ISNUMBER(VLOOKUP($D75,'Visu totale'!$D:$DH,AZ$1,0)),AY75-VLOOKUP($D75,'Visu totale'!$D:$DH,AZ$1,0),IF(LEFT(VLOOKUP($D75,'Visu totale'!$D:$DH,AZ$1,0),1)="V",IF(AY75&gt;=INDEX('[1]Définition Maintenances'!$G:$G,MATCH($A75,'[1]Définition Maintenances'!$K:$K,0)),AY75,INDEX('[1]Définition Maintenances'!$G:$G,MATCH($A75,'[1]Définition Maintenances'!$K:$K,0))+AY75),AY75))</f>
        <v>1200</v>
      </c>
      <c r="BA75" s="27">
        <f>IF(ISNUMBER(VLOOKUP($D75,'Visu totale'!$D:$DH,BA$1,0)),AZ75-VLOOKUP($D75,'Visu totale'!$D:$DH,BA$1,0),IF(LEFT(VLOOKUP($D75,'Visu totale'!$D:$DH,BA$1,0),1)="V",IF(AZ75&gt;=INDEX('[1]Définition Maintenances'!$G:$G,MATCH($A75,'[1]Définition Maintenances'!$K:$K,0)),AZ75,INDEX('[1]Définition Maintenances'!$G:$G,MATCH($A75,'[1]Définition Maintenances'!$K:$K,0))+AZ75),AZ75))</f>
        <v>1200</v>
      </c>
      <c r="BB75" s="25">
        <f>IF(ISNUMBER(VLOOKUP($D75,'Visu totale'!$D:$DH,BB$1,0)),BA75-VLOOKUP($D75,'Visu totale'!$D:$DH,BB$1,0),IF(LEFT(VLOOKUP($D75,'Visu totale'!$D:$DH,BB$1,0),1)="V",IF(BA75&gt;=INDEX('[1]Définition Maintenances'!$G:$G,MATCH($A75,'[1]Définition Maintenances'!$K:$K,0)),BA75,INDEX('[1]Définition Maintenances'!$G:$G,MATCH($A75,'[1]Définition Maintenances'!$K:$K,0))+BA75),BA75))</f>
        <v>1200</v>
      </c>
      <c r="BC75" s="26">
        <f>IF(ISNUMBER(VLOOKUP($D75,'Visu totale'!$D:$DH,BC$1,0)),BB75-VLOOKUP($D75,'Visu totale'!$D:$DH,BC$1,0),IF(LEFT(VLOOKUP($D75,'Visu totale'!$D:$DH,BC$1,0),1)="V",IF(BB75&gt;=INDEX('[1]Définition Maintenances'!$G:$G,MATCH($A75,'[1]Définition Maintenances'!$K:$K,0)),BB75,INDEX('[1]Définition Maintenances'!$G:$G,MATCH($A75,'[1]Définition Maintenances'!$K:$K,0))+BB75),BB75))</f>
        <v>1200</v>
      </c>
      <c r="BD75" s="26">
        <f>IF(ISNUMBER(VLOOKUP($D75,'Visu totale'!$D:$DH,BD$1,0)),BC75-VLOOKUP($D75,'Visu totale'!$D:$DH,BD$1,0),IF(LEFT(VLOOKUP($D75,'Visu totale'!$D:$DH,BD$1,0),1)="V",IF(BC75&gt;=INDEX('[1]Définition Maintenances'!$G:$G,MATCH($A75,'[1]Définition Maintenances'!$K:$K,0)),BC75,INDEX('[1]Définition Maintenances'!$G:$G,MATCH($A75,'[1]Définition Maintenances'!$K:$K,0))+BC75),BC75))</f>
        <v>1200</v>
      </c>
      <c r="BE75" s="26">
        <f>IF(ISNUMBER(VLOOKUP($D75,'Visu totale'!$D:$DH,BE$1,0)),BD75-VLOOKUP($D75,'Visu totale'!$D:$DH,BE$1,0),IF(LEFT(VLOOKUP($D75,'Visu totale'!$D:$DH,BE$1,0),1)="V",IF(BD75&gt;=INDEX('[1]Définition Maintenances'!$G:$G,MATCH($A75,'[1]Définition Maintenances'!$K:$K,0)),BD75,INDEX('[1]Définition Maintenances'!$G:$G,MATCH($A75,'[1]Définition Maintenances'!$K:$K,0))+BD75),BD75))</f>
        <v>1200</v>
      </c>
      <c r="BF75" s="26">
        <f>IF(ISNUMBER(VLOOKUP($D75,'Visu totale'!$D:$DH,BF$1,0)),BE75-VLOOKUP($D75,'Visu totale'!$D:$DH,BF$1,0),IF(LEFT(VLOOKUP($D75,'Visu totale'!$D:$DH,BF$1,0),1)="V",IF(BE75&gt;=INDEX('[1]Définition Maintenances'!$G:$G,MATCH($A75,'[1]Définition Maintenances'!$K:$K,0)),BE75,INDEX('[1]Définition Maintenances'!$G:$G,MATCH($A75,'[1]Définition Maintenances'!$K:$K,0))+BE75),BE75))</f>
        <v>1200</v>
      </c>
      <c r="BG75" s="26">
        <f>IF(ISNUMBER(VLOOKUP($D75,'Visu totale'!$D:$DH,BG$1,0)),BF75-VLOOKUP($D75,'Visu totale'!$D:$DH,BG$1,0),IF(LEFT(VLOOKUP($D75,'Visu totale'!$D:$DH,BG$1,0),1)="V",IF(BF75&gt;=INDEX('[1]Définition Maintenances'!$G:$G,MATCH($A75,'[1]Définition Maintenances'!$K:$K,0)),BF75,INDEX('[1]Définition Maintenances'!$G:$G,MATCH($A75,'[1]Définition Maintenances'!$K:$K,0))+BF75),BF75))</f>
        <v>1200</v>
      </c>
      <c r="BH75" s="26">
        <f>IF(ISNUMBER(VLOOKUP($D75,'Visu totale'!$D:$DH,BH$1,0)),BG75-VLOOKUP($D75,'Visu totale'!$D:$DH,BH$1,0),IF(LEFT(VLOOKUP($D75,'Visu totale'!$D:$DH,BH$1,0),1)="V",IF(BG75&gt;=INDEX('[1]Définition Maintenances'!$G:$G,MATCH($A75,'[1]Définition Maintenances'!$K:$K,0)),BG75,INDEX('[1]Définition Maintenances'!$G:$G,MATCH($A75,'[1]Définition Maintenances'!$K:$K,0))+BG75),BG75))</f>
        <v>1200</v>
      </c>
      <c r="BI75" s="26">
        <f>IF(ISNUMBER(VLOOKUP($D75,'Visu totale'!$D:$DH,BI$1,0)),BH75-VLOOKUP($D75,'Visu totale'!$D:$DH,BI$1,0),IF(LEFT(VLOOKUP($D75,'Visu totale'!$D:$DH,BI$1,0),1)="V",IF(BH75&gt;=INDEX('[1]Définition Maintenances'!$G:$G,MATCH($A75,'[1]Définition Maintenances'!$K:$K,0)),BH75,INDEX('[1]Définition Maintenances'!$G:$G,MATCH($A75,'[1]Définition Maintenances'!$K:$K,0))+BH75),BH75))</f>
        <v>1200</v>
      </c>
      <c r="BJ75" s="26">
        <f>IF(ISNUMBER(VLOOKUP($D75,'Visu totale'!$D:$DH,BJ$1,0)),BI75-VLOOKUP($D75,'Visu totale'!$D:$DH,BJ$1,0),IF(LEFT(VLOOKUP($D75,'Visu totale'!$D:$DH,BJ$1,0),1)="V",IF(BI75&gt;=INDEX('[1]Définition Maintenances'!$G:$G,MATCH($A75,'[1]Définition Maintenances'!$K:$K,0)),BI75,INDEX('[1]Définition Maintenances'!$G:$G,MATCH($A75,'[1]Définition Maintenances'!$K:$K,0))+BI75),BI75))</f>
        <v>1200</v>
      </c>
      <c r="BK75" s="26">
        <f>IF(ISNUMBER(VLOOKUP($D75,'Visu totale'!$D:$DH,BK$1,0)),BJ75-VLOOKUP($D75,'Visu totale'!$D:$DH,BK$1,0),IF(LEFT(VLOOKUP($D75,'Visu totale'!$D:$DH,BK$1,0),1)="V",IF(BJ75&gt;=INDEX('[1]Définition Maintenances'!$G:$G,MATCH($A75,'[1]Définition Maintenances'!$K:$K,0)),BJ75,INDEX('[1]Définition Maintenances'!$G:$G,MATCH($A75,'[1]Définition Maintenances'!$K:$K,0))+BJ75),BJ75))</f>
        <v>1200</v>
      </c>
      <c r="BL75" s="26">
        <f>IF(ISNUMBER(VLOOKUP($D75,'Visu totale'!$D:$DH,BL$1,0)),BK75-VLOOKUP($D75,'Visu totale'!$D:$DH,BL$1,0),IF(LEFT(VLOOKUP($D75,'Visu totale'!$D:$DH,BL$1,0),1)="V",IF(BK75&gt;=INDEX('[1]Définition Maintenances'!$G:$G,MATCH($A75,'[1]Définition Maintenances'!$K:$K,0)),BK75,INDEX('[1]Définition Maintenances'!$G:$G,MATCH($A75,'[1]Définition Maintenances'!$K:$K,0))+BK75),BK75))</f>
        <v>1200</v>
      </c>
      <c r="BM75" s="27">
        <f>IF(ISNUMBER(VLOOKUP($D75,'Visu totale'!$D:$DH,BM$1,0)),BL75-VLOOKUP($D75,'Visu totale'!$D:$DH,BM$1,0),IF(LEFT(VLOOKUP($D75,'Visu totale'!$D:$DH,BM$1,0),1)="V",IF(BL75&gt;=INDEX('[1]Définition Maintenances'!$G:$G,MATCH($A75,'[1]Définition Maintenances'!$K:$K,0)),BL75,INDEX('[1]Définition Maintenances'!$G:$G,MATCH($A75,'[1]Définition Maintenances'!$K:$K,0))+BL75),BL75))</f>
        <v>1200</v>
      </c>
      <c r="BN75" s="25">
        <f>IF(ISNUMBER(VLOOKUP($D75,'Visu totale'!$D:$DH,BN$1,0)),BM75-VLOOKUP($D75,'Visu totale'!$D:$DH,BN$1,0),IF(LEFT(VLOOKUP($D75,'Visu totale'!$D:$DH,BN$1,0),1)="V",IF(BM75&gt;=INDEX('[1]Définition Maintenances'!$G:$G,MATCH($A75,'[1]Définition Maintenances'!$K:$K,0)),BM75,INDEX('[1]Définition Maintenances'!$G:$G,MATCH($A75,'[1]Définition Maintenances'!$K:$K,0))+BM75),BM75))</f>
        <v>1200</v>
      </c>
      <c r="BO75" s="26">
        <f>IF(ISNUMBER(VLOOKUP($D75,'Visu totale'!$D:$DH,BO$1,0)),BN75-VLOOKUP($D75,'Visu totale'!$D:$DH,BO$1,0),IF(LEFT(VLOOKUP($D75,'Visu totale'!$D:$DH,BO$1,0),1)="V",IF(BN75&gt;=INDEX('[1]Définition Maintenances'!$G:$G,MATCH($A75,'[1]Définition Maintenances'!$K:$K,0)),BN75,INDEX('[1]Définition Maintenances'!$G:$G,MATCH($A75,'[1]Définition Maintenances'!$K:$K,0))+BN75),BN75))</f>
        <v>1200</v>
      </c>
      <c r="BP75" s="26">
        <f>IF(ISNUMBER(VLOOKUP($D75,'Visu totale'!$D:$DH,BP$1,0)),BO75-VLOOKUP($D75,'Visu totale'!$D:$DH,BP$1,0),IF(LEFT(VLOOKUP($D75,'Visu totale'!$D:$DH,BP$1,0),1)="V",IF(BO75&gt;=INDEX('[1]Définition Maintenances'!$G:$G,MATCH($A75,'[1]Définition Maintenances'!$K:$K,0)),BO75,INDEX('[1]Définition Maintenances'!$G:$G,MATCH($A75,'[1]Définition Maintenances'!$K:$K,0))+BO75),BO75))</f>
        <v>1200</v>
      </c>
      <c r="BQ75" s="26">
        <f>IF(ISNUMBER(VLOOKUP($D75,'Visu totale'!$D:$DH,BQ$1,0)),BP75-VLOOKUP($D75,'Visu totale'!$D:$DH,BQ$1,0),IF(LEFT(VLOOKUP($D75,'Visu totale'!$D:$DH,BQ$1,0),1)="V",IF(BP75&gt;=INDEX('[1]Définition Maintenances'!$G:$G,MATCH($A75,'[1]Définition Maintenances'!$K:$K,0)),BP75,INDEX('[1]Définition Maintenances'!$G:$G,MATCH($A75,'[1]Définition Maintenances'!$K:$K,0))+BP75),BP75))</f>
        <v>1200</v>
      </c>
      <c r="BR75" s="26">
        <f>IF(ISNUMBER(VLOOKUP($D75,'Visu totale'!$D:$DH,BR$1,0)),BQ75-VLOOKUP($D75,'Visu totale'!$D:$DH,BR$1,0),IF(LEFT(VLOOKUP($D75,'Visu totale'!$D:$DH,BR$1,0),1)="V",IF(BQ75&gt;=INDEX('[1]Définition Maintenances'!$G:$G,MATCH($A75,'[1]Définition Maintenances'!$K:$K,0)),BQ75,INDEX('[1]Définition Maintenances'!$G:$G,MATCH($A75,'[1]Définition Maintenances'!$K:$K,0))+BQ75),BQ75))</f>
        <v>1200</v>
      </c>
      <c r="BS75" s="26">
        <f>IF(ISNUMBER(VLOOKUP($D75,'Visu totale'!$D:$DH,BS$1,0)),BR75-VLOOKUP($D75,'Visu totale'!$D:$DH,BS$1,0),IF(LEFT(VLOOKUP($D75,'Visu totale'!$D:$DH,BS$1,0),1)="V",IF(BR75&gt;=INDEX('[1]Définition Maintenances'!$G:$G,MATCH($A75,'[1]Définition Maintenances'!$K:$K,0)),BR75,INDEX('[1]Définition Maintenances'!$G:$G,MATCH($A75,'[1]Définition Maintenances'!$K:$K,0))+BR75),BR75))</f>
        <v>1200</v>
      </c>
      <c r="BT75" s="26">
        <f>IF(ISNUMBER(VLOOKUP($D75,'Visu totale'!$D:$DH,BT$1,0)),BS75-VLOOKUP($D75,'Visu totale'!$D:$DH,BT$1,0),IF(LEFT(VLOOKUP($D75,'Visu totale'!$D:$DH,BT$1,0),1)="V",IF(BS75&gt;=INDEX('[1]Définition Maintenances'!$G:$G,MATCH($A75,'[1]Définition Maintenances'!$K:$K,0)),BS75,INDEX('[1]Définition Maintenances'!$G:$G,MATCH($A75,'[1]Définition Maintenances'!$K:$K,0))+BS75),BS75))</f>
        <v>1200</v>
      </c>
      <c r="BU75" s="26">
        <f>IF(ISNUMBER(VLOOKUP($D75,'Visu totale'!$D:$DH,BU$1,0)),BT75-VLOOKUP($D75,'Visu totale'!$D:$DH,BU$1,0),IF(LEFT(VLOOKUP($D75,'Visu totale'!$D:$DH,BU$1,0),1)="V",IF(BT75&gt;=INDEX('[1]Définition Maintenances'!$G:$G,MATCH($A75,'[1]Définition Maintenances'!$K:$K,0)),BT75,INDEX('[1]Définition Maintenances'!$G:$G,MATCH($A75,'[1]Définition Maintenances'!$K:$K,0))+BT75),BT75))</f>
        <v>1200</v>
      </c>
      <c r="BV75" s="26">
        <f>IF(ISNUMBER(VLOOKUP($D75,'Visu totale'!$D:$DH,BV$1,0)),BU75-VLOOKUP($D75,'Visu totale'!$D:$DH,BV$1,0),IF(LEFT(VLOOKUP($D75,'Visu totale'!$D:$DH,BV$1,0),1)="V",IF(BU75&gt;=INDEX('[1]Définition Maintenances'!$G:$G,MATCH($A75,'[1]Définition Maintenances'!$K:$K,0)),BU75,INDEX('[1]Définition Maintenances'!$G:$G,MATCH($A75,'[1]Définition Maintenances'!$K:$K,0))+BU75),BU75))</f>
        <v>1200</v>
      </c>
      <c r="BW75" s="26">
        <f>IF(ISNUMBER(VLOOKUP($D75,'Visu totale'!$D:$DH,BW$1,0)),BV75-VLOOKUP($D75,'Visu totale'!$D:$DH,BW$1,0),IF(LEFT(VLOOKUP($D75,'Visu totale'!$D:$DH,BW$1,0),1)="V",IF(BV75&gt;=INDEX('[1]Définition Maintenances'!$G:$G,MATCH($A75,'[1]Définition Maintenances'!$K:$K,0)),BV75,INDEX('[1]Définition Maintenances'!$G:$G,MATCH($A75,'[1]Définition Maintenances'!$K:$K,0))+BV75),BV75))</f>
        <v>1200</v>
      </c>
      <c r="BX75" s="26">
        <f>IF(ISNUMBER(VLOOKUP($D75,'Visu totale'!$D:$DH,BX$1,0)),BW75-VLOOKUP($D75,'Visu totale'!$D:$DH,BX$1,0),IF(LEFT(VLOOKUP($D75,'Visu totale'!$D:$DH,BX$1,0),1)="V",IF(BW75&gt;=INDEX('[1]Définition Maintenances'!$G:$G,MATCH($A75,'[1]Définition Maintenances'!$K:$K,0)),BW75,INDEX('[1]Définition Maintenances'!$G:$G,MATCH($A75,'[1]Définition Maintenances'!$K:$K,0))+BW75),BW75))</f>
        <v>1200</v>
      </c>
      <c r="BY75" s="27">
        <f>IF(ISNUMBER(VLOOKUP($D75,'Visu totale'!$D:$DH,BY$1,0)),BX75-VLOOKUP($D75,'Visu totale'!$D:$DH,BY$1,0),IF(LEFT(VLOOKUP($D75,'Visu totale'!$D:$DH,BY$1,0),1)="V",IF(BX75&gt;=INDEX('[1]Définition Maintenances'!$G:$G,MATCH($A75,'[1]Définition Maintenances'!$K:$K,0)),BX75,INDEX('[1]Définition Maintenances'!$G:$G,MATCH($A75,'[1]Définition Maintenances'!$K:$K,0))+BX75),BX75))</f>
        <v>1200</v>
      </c>
      <c r="BZ75" s="25">
        <f>IF(ISNUMBER(VLOOKUP($D75,'Visu totale'!$D:$DH,BZ$1,0)),BY75-VLOOKUP($D75,'Visu totale'!$D:$DH,BZ$1,0),IF(LEFT(VLOOKUP($D75,'Visu totale'!$D:$DH,BZ$1,0),1)="V",IF(BY75&gt;=INDEX('[1]Définition Maintenances'!$G:$G,MATCH($A75,'[1]Définition Maintenances'!$K:$K,0)),BY75,INDEX('[1]Définition Maintenances'!$G:$G,MATCH($A75,'[1]Définition Maintenances'!$K:$K,0))+BY75),BY75))</f>
        <v>1200</v>
      </c>
      <c r="CA75" s="26">
        <f>IF(ISNUMBER(VLOOKUP($D75,'Visu totale'!$D:$DH,CA$1,0)),BZ75-VLOOKUP($D75,'Visu totale'!$D:$DH,CA$1,0),IF(LEFT(VLOOKUP($D75,'Visu totale'!$D:$DH,CA$1,0),1)="V",IF(BZ75&gt;=INDEX('[1]Définition Maintenances'!$G:$G,MATCH($A75,'[1]Définition Maintenances'!$K:$K,0)),BZ75,INDEX('[1]Définition Maintenances'!$G:$G,MATCH($A75,'[1]Définition Maintenances'!$K:$K,0))+BZ75),BZ75))</f>
        <v>1200</v>
      </c>
      <c r="CB75" s="26">
        <f>IF(ISNUMBER(VLOOKUP($D75,'Visu totale'!$D:$DH,CB$1,0)),CA75-VLOOKUP($D75,'Visu totale'!$D:$DH,CB$1,0),IF(LEFT(VLOOKUP($D75,'Visu totale'!$D:$DH,CB$1,0),1)="V",IF(CA75&gt;=INDEX('[1]Définition Maintenances'!$G:$G,MATCH($A75,'[1]Définition Maintenances'!$K:$K,0)),CA75,INDEX('[1]Définition Maintenances'!$G:$G,MATCH($A75,'[1]Définition Maintenances'!$K:$K,0))+CA75),CA75))</f>
        <v>1200</v>
      </c>
      <c r="CC75" s="26">
        <f>IF(ISNUMBER(VLOOKUP($D75,'Visu totale'!$D:$DH,CC$1,0)),CB75-VLOOKUP($D75,'Visu totale'!$D:$DH,CC$1,0),IF(LEFT(VLOOKUP($D75,'Visu totale'!$D:$DH,CC$1,0),1)="V",IF(CB75&gt;=INDEX('[1]Définition Maintenances'!$G:$G,MATCH($A75,'[1]Définition Maintenances'!$K:$K,0)),CB75,INDEX('[1]Définition Maintenances'!$G:$G,MATCH($A75,'[1]Définition Maintenances'!$K:$K,0))+CB75),CB75))</f>
        <v>1200</v>
      </c>
      <c r="CD75" s="26">
        <f>IF(ISNUMBER(VLOOKUP($D75,'Visu totale'!$D:$DH,CD$1,0)),CC75-VLOOKUP($D75,'Visu totale'!$D:$DH,CD$1,0),IF(LEFT(VLOOKUP($D75,'Visu totale'!$D:$DH,CD$1,0),1)="V",IF(CC75&gt;=INDEX('[1]Définition Maintenances'!$G:$G,MATCH($A75,'[1]Définition Maintenances'!$K:$K,0)),CC75,INDEX('[1]Définition Maintenances'!$G:$G,MATCH($A75,'[1]Définition Maintenances'!$K:$K,0))+CC75),CC75))</f>
        <v>1200</v>
      </c>
      <c r="CE75" s="26">
        <f>IF(ISNUMBER(VLOOKUP($D75,'Visu totale'!$D:$DH,CE$1,0)),CD75-VLOOKUP($D75,'Visu totale'!$D:$DH,CE$1,0),IF(LEFT(VLOOKUP($D75,'Visu totale'!$D:$DH,CE$1,0),1)="V",IF(CD75&gt;=INDEX('[1]Définition Maintenances'!$G:$G,MATCH($A75,'[1]Définition Maintenances'!$K:$K,0)),CD75,INDEX('[1]Définition Maintenances'!$G:$G,MATCH($A75,'[1]Définition Maintenances'!$K:$K,0))+CD75),CD75))</f>
        <v>1200</v>
      </c>
      <c r="CF75" s="26">
        <f>IF(ISNUMBER(VLOOKUP($D75,'Visu totale'!$D:$DH,CF$1,0)),CE75-VLOOKUP($D75,'Visu totale'!$D:$DH,CF$1,0),IF(LEFT(VLOOKUP($D75,'Visu totale'!$D:$DH,CF$1,0),1)="V",IF(CE75&gt;=INDEX('[1]Définition Maintenances'!$G:$G,MATCH($A75,'[1]Définition Maintenances'!$K:$K,0)),CE75,INDEX('[1]Définition Maintenances'!$G:$G,MATCH($A75,'[1]Définition Maintenances'!$K:$K,0))+CE75),CE75))</f>
        <v>1200</v>
      </c>
      <c r="CG75" s="26">
        <f>IF(ISNUMBER(VLOOKUP($D75,'Visu totale'!$D:$DH,CG$1,0)),CF75-VLOOKUP($D75,'Visu totale'!$D:$DH,CG$1,0),IF(LEFT(VLOOKUP($D75,'Visu totale'!$D:$DH,CG$1,0),1)="V",IF(CF75&gt;=INDEX('[1]Définition Maintenances'!$G:$G,MATCH($A75,'[1]Définition Maintenances'!$K:$K,0)),CF75,INDEX('[1]Définition Maintenances'!$G:$G,MATCH($A75,'[1]Définition Maintenances'!$K:$K,0))+CF75),CF75))</f>
        <v>1200</v>
      </c>
      <c r="CH75" s="26">
        <f>IF(ISNUMBER(VLOOKUP($D75,'Visu totale'!$D:$DH,CH$1,0)),CG75-VLOOKUP($D75,'Visu totale'!$D:$DH,CH$1,0),IF(LEFT(VLOOKUP($D75,'Visu totale'!$D:$DH,CH$1,0),1)="V",IF(CG75&gt;=INDEX('[1]Définition Maintenances'!$G:$G,MATCH($A75,'[1]Définition Maintenances'!$K:$K,0)),CG75,INDEX('[1]Définition Maintenances'!$G:$G,MATCH($A75,'[1]Définition Maintenances'!$K:$K,0))+CG75),CG75))</f>
        <v>1200</v>
      </c>
      <c r="CI75" s="26">
        <f>IF(ISNUMBER(VLOOKUP($D75,'Visu totale'!$D:$DH,CI$1,0)),CH75-VLOOKUP($D75,'Visu totale'!$D:$DH,CI$1,0),IF(LEFT(VLOOKUP($D75,'Visu totale'!$D:$DH,CI$1,0),1)="V",IF(CH75&gt;=INDEX('[1]Définition Maintenances'!$G:$G,MATCH($A75,'[1]Définition Maintenances'!$K:$K,0)),CH75,INDEX('[1]Définition Maintenances'!$G:$G,MATCH($A75,'[1]Définition Maintenances'!$K:$K,0))+CH75),CH75))</f>
        <v>1200</v>
      </c>
      <c r="CJ75" s="26">
        <f>IF(ISNUMBER(VLOOKUP($D75,'Visu totale'!$D:$DH,CJ$1,0)),CI75-VLOOKUP($D75,'Visu totale'!$D:$DH,CJ$1,0),IF(LEFT(VLOOKUP($D75,'Visu totale'!$D:$DH,CJ$1,0),1)="V",IF(CI75&gt;=INDEX('[1]Définition Maintenances'!$G:$G,MATCH($A75,'[1]Définition Maintenances'!$K:$K,0)),CI75,INDEX('[1]Définition Maintenances'!$G:$G,MATCH($A75,'[1]Définition Maintenances'!$K:$K,0))+CI75),CI75))</f>
        <v>1200</v>
      </c>
      <c r="CK75" s="27">
        <f>IF(ISNUMBER(VLOOKUP($D75,'Visu totale'!$D:$DH,CK$1,0)),CJ75-VLOOKUP($D75,'Visu totale'!$D:$DH,CK$1,0),IF(LEFT(VLOOKUP($D75,'Visu totale'!$D:$DH,CK$1,0),1)="V",IF(CJ75&gt;=INDEX('[1]Définition Maintenances'!$G:$G,MATCH($A75,'[1]Définition Maintenances'!$K:$K,0)),CJ75,INDEX('[1]Définition Maintenances'!$G:$G,MATCH($A75,'[1]Définition Maintenances'!$K:$K,0))+CJ75),CJ75))</f>
        <v>1200</v>
      </c>
      <c r="CL75" s="25">
        <f>IF(ISNUMBER(VLOOKUP($D75,'Visu totale'!$D:$DH,CL$1,0)),CK75-VLOOKUP($D75,'Visu totale'!$D:$DH,CL$1,0),IF(LEFT(VLOOKUP($D75,'Visu totale'!$D:$DH,CL$1,0),1)="V",IF(CK75&gt;=INDEX('[1]Définition Maintenances'!$G:$G,MATCH($A75,'[1]Définition Maintenances'!$K:$K,0)),CK75,INDEX('[1]Définition Maintenances'!$G:$G,MATCH($A75,'[1]Définition Maintenances'!$K:$K,0))+CK75),CK75))</f>
        <v>1200</v>
      </c>
      <c r="CM75" s="26">
        <f>IF(ISNUMBER(VLOOKUP($D75,'Visu totale'!$D:$DH,CM$1,0)),CL75-VLOOKUP($D75,'Visu totale'!$D:$DH,CM$1,0),IF(LEFT(VLOOKUP($D75,'Visu totale'!$D:$DH,CM$1,0),1)="V",IF(CL75&gt;=INDEX('[1]Définition Maintenances'!$G:$G,MATCH($A75,'[1]Définition Maintenances'!$K:$K,0)),CL75,INDEX('[1]Définition Maintenances'!$G:$G,MATCH($A75,'[1]Définition Maintenances'!$K:$K,0))+CL75),CL75))</f>
        <v>1200</v>
      </c>
      <c r="CN75" s="26">
        <f>IF(ISNUMBER(VLOOKUP($D75,'Visu totale'!$D:$DH,CN$1,0)),CM75-VLOOKUP($D75,'Visu totale'!$D:$DH,CN$1,0),IF(LEFT(VLOOKUP($D75,'Visu totale'!$D:$DH,CN$1,0),1)="V",IF(CM75&gt;=INDEX('[1]Définition Maintenances'!$G:$G,MATCH($A75,'[1]Définition Maintenances'!$K:$K,0)),CM75,INDEX('[1]Définition Maintenances'!$G:$G,MATCH($A75,'[1]Définition Maintenances'!$K:$K,0))+CM75),CM75))</f>
        <v>1200</v>
      </c>
      <c r="CO75" s="26">
        <f>IF(ISNUMBER(VLOOKUP($D75,'Visu totale'!$D:$DH,CO$1,0)),CN75-VLOOKUP($D75,'Visu totale'!$D:$DH,CO$1,0),IF(LEFT(VLOOKUP($D75,'Visu totale'!$D:$DH,CO$1,0),1)="V",IF(CN75&gt;=INDEX('[1]Définition Maintenances'!$G:$G,MATCH($A75,'[1]Définition Maintenances'!$K:$K,0)),CN75,INDEX('[1]Définition Maintenances'!$G:$G,MATCH($A75,'[1]Définition Maintenances'!$K:$K,0))+CN75),CN75))</f>
        <v>1200</v>
      </c>
      <c r="CP75" s="26">
        <f>IF(ISNUMBER(VLOOKUP($D75,'Visu totale'!$D:$DH,CP$1,0)),CO75-VLOOKUP($D75,'Visu totale'!$D:$DH,CP$1,0),IF(LEFT(VLOOKUP($D75,'Visu totale'!$D:$DH,CP$1,0),1)="V",IF(CO75&gt;=INDEX('[1]Définition Maintenances'!$G:$G,MATCH($A75,'[1]Définition Maintenances'!$K:$K,0)),CO75,INDEX('[1]Définition Maintenances'!$G:$G,MATCH($A75,'[1]Définition Maintenances'!$K:$K,0))+CO75),CO75))</f>
        <v>1200</v>
      </c>
      <c r="CQ75" s="26">
        <f>IF(ISNUMBER(VLOOKUP($D75,'Visu totale'!$D:$DH,CQ$1,0)),CP75-VLOOKUP($D75,'Visu totale'!$D:$DH,CQ$1,0),IF(LEFT(VLOOKUP($D75,'Visu totale'!$D:$DH,CQ$1,0),1)="V",IF(CP75&gt;=INDEX('[1]Définition Maintenances'!$G:$G,MATCH($A75,'[1]Définition Maintenances'!$K:$K,0)),CP75,INDEX('[1]Définition Maintenances'!$G:$G,MATCH($A75,'[1]Définition Maintenances'!$K:$K,0))+CP75),CP75))</f>
        <v>1200</v>
      </c>
      <c r="CR75" s="26">
        <f>IF(ISNUMBER(VLOOKUP($D75,'Visu totale'!$D:$DH,CR$1,0)),CQ75-VLOOKUP($D75,'Visu totale'!$D:$DH,CR$1,0),IF(LEFT(VLOOKUP($D75,'Visu totale'!$D:$DH,CR$1,0),1)="V",IF(CQ75&gt;=INDEX('[1]Définition Maintenances'!$G:$G,MATCH($A75,'[1]Définition Maintenances'!$K:$K,0)),CQ75,INDEX('[1]Définition Maintenances'!$G:$G,MATCH($A75,'[1]Définition Maintenances'!$K:$K,0))+CQ75),CQ75))</f>
        <v>1200</v>
      </c>
      <c r="CS75" s="26">
        <f>IF(ISNUMBER(VLOOKUP($D75,'Visu totale'!$D:$DH,CS$1,0)),CR75-VLOOKUP($D75,'Visu totale'!$D:$DH,CS$1,0),IF(LEFT(VLOOKUP($D75,'Visu totale'!$D:$DH,CS$1,0),1)="V",IF(CR75&gt;=INDEX('[1]Définition Maintenances'!$G:$G,MATCH($A75,'[1]Définition Maintenances'!$K:$K,0)),CR75,INDEX('[1]Définition Maintenances'!$G:$G,MATCH($A75,'[1]Définition Maintenances'!$K:$K,0))+CR75),CR75))</f>
        <v>1200</v>
      </c>
      <c r="CT75" s="26">
        <f>IF(ISNUMBER(VLOOKUP($D75,'Visu totale'!$D:$DH,CT$1,0)),CS75-VLOOKUP($D75,'Visu totale'!$D:$DH,CT$1,0),IF(LEFT(VLOOKUP($D75,'Visu totale'!$D:$DH,CT$1,0),1)="V",IF(CS75&gt;=INDEX('[1]Définition Maintenances'!$G:$G,MATCH($A75,'[1]Définition Maintenances'!$K:$K,0)),CS75,INDEX('[1]Définition Maintenances'!$G:$G,MATCH($A75,'[1]Définition Maintenances'!$K:$K,0))+CS75),CS75))</f>
        <v>1200</v>
      </c>
      <c r="CU75" s="26">
        <f>IF(ISNUMBER(VLOOKUP($D75,'Visu totale'!$D:$DH,CU$1,0)),CT75-VLOOKUP($D75,'Visu totale'!$D:$DH,CU$1,0),IF(LEFT(VLOOKUP($D75,'Visu totale'!$D:$DH,CU$1,0),1)="V",IF(CT75&gt;=INDEX('[1]Définition Maintenances'!$G:$G,MATCH($A75,'[1]Définition Maintenances'!$K:$K,0)),CT75,INDEX('[1]Définition Maintenances'!$G:$G,MATCH($A75,'[1]Définition Maintenances'!$K:$K,0))+CT75),CT75))</f>
        <v>1200</v>
      </c>
      <c r="CV75" s="26">
        <f>IF(ISNUMBER(VLOOKUP($D75,'Visu totale'!$D:$DH,CV$1,0)),CU75-VLOOKUP($D75,'Visu totale'!$D:$DH,CV$1,0),IF(LEFT(VLOOKUP($D75,'Visu totale'!$D:$DH,CV$1,0),1)="V",IF(CU75&gt;=INDEX('[1]Définition Maintenances'!$G:$G,MATCH($A75,'[1]Définition Maintenances'!$K:$K,0)),CU75,INDEX('[1]Définition Maintenances'!$G:$G,MATCH($A75,'[1]Définition Maintenances'!$K:$K,0))+CU75),CU75))</f>
        <v>1200</v>
      </c>
      <c r="CW75" s="27">
        <f>IF(ISNUMBER(VLOOKUP($D75,'Visu totale'!$D:$DH,CW$1,0)),CV75-VLOOKUP($D75,'Visu totale'!$D:$DH,CW$1,0),IF(LEFT(VLOOKUP($D75,'Visu totale'!$D:$DH,CW$1,0),1)="V",IF(CV75&gt;=INDEX('[1]Définition Maintenances'!$G:$G,MATCH($A75,'[1]Définition Maintenances'!$K:$K,0)),CV75,INDEX('[1]Définition Maintenances'!$G:$G,MATCH($A75,'[1]Définition Maintenances'!$K:$K,0))+CV75),CV75))</f>
        <v>1200</v>
      </c>
      <c r="CX75" s="25">
        <f>IF(ISNUMBER(VLOOKUP($D75,'Visu totale'!$D:$DH,CX$1,0)),CW75-VLOOKUP($D75,'Visu totale'!$D:$DH,CX$1,0),IF(LEFT(VLOOKUP($D75,'Visu totale'!$D:$DH,CX$1,0),1)="V",IF(CW75&gt;=INDEX('[1]Définition Maintenances'!$G:$G,MATCH($A75,'[1]Définition Maintenances'!$K:$K,0)),CW75,INDEX('[1]Définition Maintenances'!$G:$G,MATCH($A75,'[1]Définition Maintenances'!$K:$K,0))+CW75),CW75))</f>
        <v>1200</v>
      </c>
      <c r="CY75" s="26">
        <f>IF(ISNUMBER(VLOOKUP($D75,'Visu totale'!$D:$DH,CY$1,0)),CX75-VLOOKUP($D75,'Visu totale'!$D:$DH,CY$1,0),IF(LEFT(VLOOKUP($D75,'Visu totale'!$D:$DH,CY$1,0),1)="V",IF(CX75&gt;=INDEX('[1]Définition Maintenances'!$G:$G,MATCH($A75,'[1]Définition Maintenances'!$K:$K,0)),CX75,INDEX('[1]Définition Maintenances'!$G:$G,MATCH($A75,'[1]Définition Maintenances'!$K:$K,0))+CX75),CX75))</f>
        <v>1200</v>
      </c>
      <c r="CZ75" s="26">
        <f>IF(ISNUMBER(VLOOKUP($D75,'Visu totale'!$D:$DH,CZ$1,0)),CY75-VLOOKUP($D75,'Visu totale'!$D:$DH,CZ$1,0),IF(LEFT(VLOOKUP($D75,'Visu totale'!$D:$DH,CZ$1,0),1)="V",IF(CY75&gt;=INDEX('[1]Définition Maintenances'!$G:$G,MATCH($A75,'[1]Définition Maintenances'!$K:$K,0)),CY75,INDEX('[1]Définition Maintenances'!$G:$G,MATCH($A75,'[1]Définition Maintenances'!$K:$K,0))+CY75),CY75))</f>
        <v>1200</v>
      </c>
      <c r="DA75" s="26">
        <f>IF(ISNUMBER(VLOOKUP($D75,'Visu totale'!$D:$DH,DA$1,0)),CZ75-VLOOKUP($D75,'Visu totale'!$D:$DH,DA$1,0),IF(LEFT(VLOOKUP($D75,'Visu totale'!$D:$DH,DA$1,0),1)="V",IF(CZ75&gt;=INDEX('[1]Définition Maintenances'!$G:$G,MATCH($A75,'[1]Définition Maintenances'!$K:$K,0)),CZ75,INDEX('[1]Définition Maintenances'!$G:$G,MATCH($A75,'[1]Définition Maintenances'!$K:$K,0))+CZ75),CZ75))</f>
        <v>1200</v>
      </c>
      <c r="DB75" s="26">
        <f>IF(ISNUMBER(VLOOKUP($D75,'Visu totale'!$D:$DH,DB$1,0)),DA75-VLOOKUP($D75,'Visu totale'!$D:$DH,DB$1,0),IF(LEFT(VLOOKUP($D75,'Visu totale'!$D:$DH,DB$1,0),1)="V",IF(DA75&gt;=INDEX('[1]Définition Maintenances'!$G:$G,MATCH($A75,'[1]Définition Maintenances'!$K:$K,0)),DA75,INDEX('[1]Définition Maintenances'!$G:$G,MATCH($A75,'[1]Définition Maintenances'!$K:$K,0))+DA75),DA75))</f>
        <v>1200</v>
      </c>
      <c r="DC75" s="26">
        <f>IF(ISNUMBER(VLOOKUP($D75,'Visu totale'!$D:$DH,DC$1,0)),DB75-VLOOKUP($D75,'Visu totale'!$D:$DH,DC$1,0),IF(LEFT(VLOOKUP($D75,'Visu totale'!$D:$DH,DC$1,0),1)="V",IF(DB75&gt;=INDEX('[1]Définition Maintenances'!$G:$G,MATCH($A75,'[1]Définition Maintenances'!$K:$K,0)),DB75,INDEX('[1]Définition Maintenances'!$G:$G,MATCH($A75,'[1]Définition Maintenances'!$K:$K,0))+DB75),DB75))</f>
        <v>1200</v>
      </c>
      <c r="DD75" s="26">
        <f>IF(ISNUMBER(VLOOKUP($D75,'Visu totale'!$D:$DH,DD$1,0)),DC75-VLOOKUP($D75,'Visu totale'!$D:$DH,DD$1,0),IF(LEFT(VLOOKUP($D75,'Visu totale'!$D:$DH,DD$1,0),1)="V",IF(DC75&gt;=INDEX('[1]Définition Maintenances'!$G:$G,MATCH($A75,'[1]Définition Maintenances'!$K:$K,0)),DC75,INDEX('[1]Définition Maintenances'!$G:$G,MATCH($A75,'[1]Définition Maintenances'!$K:$K,0))+DC75),DC75))</f>
        <v>1200</v>
      </c>
      <c r="DE75" s="26">
        <f>IF(ISNUMBER(VLOOKUP($D75,'Visu totale'!$D:$DH,DE$1,0)),DD75-VLOOKUP($D75,'Visu totale'!$D:$DH,DE$1,0),IF(LEFT(VLOOKUP($D75,'Visu totale'!$D:$DH,DE$1,0),1)="V",IF(DD75&gt;=INDEX('[1]Définition Maintenances'!$G:$G,MATCH($A75,'[1]Définition Maintenances'!$K:$K,0)),DD75,INDEX('[1]Définition Maintenances'!$G:$G,MATCH($A75,'[1]Définition Maintenances'!$K:$K,0))+DD75),DD75))</f>
        <v>1200</v>
      </c>
      <c r="DF75" s="26">
        <f>IF(ISNUMBER(VLOOKUP($D75,'Visu totale'!$D:$DH,DF$1,0)),DE75-VLOOKUP($D75,'Visu totale'!$D:$DH,DF$1,0),IF(LEFT(VLOOKUP($D75,'Visu totale'!$D:$DH,DF$1,0),1)="V",IF(DE75&gt;=INDEX('[1]Définition Maintenances'!$G:$G,MATCH($A75,'[1]Définition Maintenances'!$K:$K,0)),DE75,INDEX('[1]Définition Maintenances'!$G:$G,MATCH($A75,'[1]Définition Maintenances'!$K:$K,0))+DE75),DE75))</f>
        <v>1200</v>
      </c>
      <c r="DG75" s="26">
        <f>IF(ISNUMBER(VLOOKUP($D75,'Visu totale'!$D:$DH,DG$1,0)),DF75-VLOOKUP($D75,'Visu totale'!$D:$DH,DG$1,0),IF(LEFT(VLOOKUP($D75,'Visu totale'!$D:$DH,DG$1,0),1)="V",IF(DF75&gt;=INDEX('[1]Définition Maintenances'!$G:$G,MATCH($A75,'[1]Définition Maintenances'!$K:$K,0)),DF75,INDEX('[1]Définition Maintenances'!$G:$G,MATCH($A75,'[1]Définition Maintenances'!$K:$K,0))+DF75),DF75))</f>
        <v>1200</v>
      </c>
      <c r="DH75" s="26">
        <f>IF(ISNUMBER(VLOOKUP($D75,'Visu totale'!$D:$DH,DH$1,0)),DG75-VLOOKUP($D75,'Visu totale'!$D:$DH,DH$1,0),IF(LEFT(VLOOKUP($D75,'Visu totale'!$D:$DH,DH$1,0),1)="V",IF(DG75&gt;=INDEX('[1]Définition Maintenances'!$G:$G,MATCH($A75,'[1]Définition Maintenances'!$K:$K,0)),DG75,INDEX('[1]Définition Maintenances'!$G:$G,MATCH($A75,'[1]Définition Maintenances'!$K:$K,0))+DG75),DG75))</f>
        <v>1200</v>
      </c>
      <c r="DI75" s="27">
        <f>IF(ISNUMBER(VLOOKUP($D75,'Visu totale'!$D:$DH,DI$1,0)),DH75-VLOOKUP($D75,'Visu totale'!$D:$DH,DI$1,0),IF(LEFT(VLOOKUP($D75,'Visu totale'!$D:$DH,DI$1,0),1)="V",IF(DH75&gt;=INDEX('[1]Définition Maintenances'!$G:$G,MATCH($A75,'[1]Définition Maintenances'!$K:$K,0)),DH75,INDEX('[1]Définition Maintenances'!$G:$G,MATCH($A75,'[1]Définition Maintenances'!$K:$K,0))+DH75),DH75))</f>
        <v>1200</v>
      </c>
    </row>
    <row r="76" spans="1:113" x14ac:dyDescent="0.25">
      <c r="A76" s="13" t="str">
        <f t="shared" si="2"/>
        <v>V30D</v>
      </c>
      <c r="B76" s="13" t="str">
        <f>VLOOKUP(D76,'[1]Avions (Potentiels)'!$B$2:$H$128,7,FALSE)</f>
        <v>V30</v>
      </c>
      <c r="C76" s="13"/>
      <c r="D76" s="16" t="s">
        <v>79</v>
      </c>
      <c r="E76" s="13">
        <f>IFERROR(VALUE(SUBSTITUTE(VLOOKUP(D76,'[1]Avions (Potentiels)'!$B:$E,4,0),".",",")),VALUE(VLOOKUP(D76,'[1]Avions (Potentiels)'!$B:$E,4,0)))</f>
        <v>1200</v>
      </c>
      <c r="F76" s="25">
        <f>IF(ISNUMBER(VLOOKUP($D76,'Visu totale'!$D:$DH,F$1,0)),E76-VLOOKUP($D76,'Visu totale'!$D:$DH,F$1,0),IF(LEFT(VLOOKUP($D76,'Visu totale'!$D:$DH,F$1,0),1)="V",IF(E76&gt;=INDEX('[1]Définition Maintenances'!$G:$G,MATCH($A76,'[1]Définition Maintenances'!$K:$K,0)),E76,INDEX('[1]Définition Maintenances'!$G:$G,MATCH($A76,'[1]Définition Maintenances'!$K:$K,0))+E76),E76))</f>
        <v>1200</v>
      </c>
      <c r="G76" s="26">
        <f>IF(ISNUMBER(VLOOKUP($D76,'Visu totale'!$D:$DH,G$1,0)),F76-VLOOKUP($D76,'Visu totale'!$D:$DH,G$1,0),IF(LEFT(VLOOKUP($D76,'Visu totale'!$D:$DH,G$1,0),1)="V",IF(F76&gt;=INDEX('[1]Définition Maintenances'!$G:$G,MATCH($A76,'[1]Définition Maintenances'!$K:$K,0)),F76,INDEX('[1]Définition Maintenances'!$G:$G,MATCH($A76,'[1]Définition Maintenances'!$K:$K,0))+F76),F76))</f>
        <v>1200</v>
      </c>
      <c r="H76" s="26">
        <f>IF(ISNUMBER(VLOOKUP($D76,'Visu totale'!$D:$DH,H$1,0)),G76-VLOOKUP($D76,'Visu totale'!$D:$DH,H$1,0),IF(LEFT(VLOOKUP($D76,'Visu totale'!$D:$DH,H$1,0),1)="V",IF(G76&gt;=INDEX('[1]Définition Maintenances'!$G:$G,MATCH($A76,'[1]Définition Maintenances'!$K:$K,0)),G76,INDEX('[1]Définition Maintenances'!$G:$G,MATCH($A76,'[1]Définition Maintenances'!$K:$K,0))+G76),G76))</f>
        <v>1200</v>
      </c>
      <c r="I76" s="26">
        <f>IF(ISNUMBER(VLOOKUP($D76,'Visu totale'!$D:$DH,I$1,0)),H76-VLOOKUP($D76,'Visu totale'!$D:$DH,I$1,0),IF(LEFT(VLOOKUP($D76,'Visu totale'!$D:$DH,I$1,0),1)="V",IF(H76&gt;=INDEX('[1]Définition Maintenances'!$G:$G,MATCH($A76,'[1]Définition Maintenances'!$K:$K,0)),H76,INDEX('[1]Définition Maintenances'!$G:$G,MATCH($A76,'[1]Définition Maintenances'!$K:$K,0))+H76),H76))</f>
        <v>1200</v>
      </c>
      <c r="J76" s="26">
        <f>IF(ISNUMBER(VLOOKUP($D76,'Visu totale'!$D:$DH,J$1,0)),I76-VLOOKUP($D76,'Visu totale'!$D:$DH,J$1,0),IF(LEFT(VLOOKUP($D76,'Visu totale'!$D:$DH,J$1,0),1)="V",IF(I76&gt;=INDEX('[1]Définition Maintenances'!$G:$G,MATCH($A76,'[1]Définition Maintenances'!$K:$K,0)),I76,INDEX('[1]Définition Maintenances'!$G:$G,MATCH($A76,'[1]Définition Maintenances'!$K:$K,0))+I76),I76))</f>
        <v>1200</v>
      </c>
      <c r="K76" s="26">
        <f>IF(ISNUMBER(VLOOKUP($D76,'Visu totale'!$D:$DH,K$1,0)),J76-VLOOKUP($D76,'Visu totale'!$D:$DH,K$1,0),IF(LEFT(VLOOKUP($D76,'Visu totale'!$D:$DH,K$1,0),1)="V",IF(J76&gt;=INDEX('[1]Définition Maintenances'!$G:$G,MATCH($A76,'[1]Définition Maintenances'!$K:$K,0)),J76,INDEX('[1]Définition Maintenances'!$G:$G,MATCH($A76,'[1]Définition Maintenances'!$K:$K,0))+J76),J76))</f>
        <v>1200</v>
      </c>
      <c r="L76" s="26">
        <f>IF(ISNUMBER(VLOOKUP($D76,'Visu totale'!$D:$DH,L$1,0)),K76-VLOOKUP($D76,'Visu totale'!$D:$DH,L$1,0),IF(LEFT(VLOOKUP($D76,'Visu totale'!$D:$DH,L$1,0),1)="V",IF(K76&gt;=INDEX('[1]Définition Maintenances'!$G:$G,MATCH($A76,'[1]Définition Maintenances'!$K:$K,0)),K76,INDEX('[1]Définition Maintenances'!$G:$G,MATCH($A76,'[1]Définition Maintenances'!$K:$K,0))+K76),K76))</f>
        <v>1200</v>
      </c>
      <c r="M76" s="26">
        <f>IF(ISNUMBER(VLOOKUP($D76,'Visu totale'!$D:$DH,M$1,0)),L76-VLOOKUP($D76,'Visu totale'!$D:$DH,M$1,0),IF(LEFT(VLOOKUP($D76,'Visu totale'!$D:$DH,M$1,0),1)="V",IF(L76&gt;=INDEX('[1]Définition Maintenances'!$G:$G,MATCH($A76,'[1]Définition Maintenances'!$K:$K,0)),L76,INDEX('[1]Définition Maintenances'!$G:$G,MATCH($A76,'[1]Définition Maintenances'!$K:$K,0))+L76),L76))</f>
        <v>1200</v>
      </c>
      <c r="N76" s="26">
        <f>IF(ISNUMBER(VLOOKUP($D76,'Visu totale'!$D:$DH,N$1,0)),M76-VLOOKUP($D76,'Visu totale'!$D:$DH,N$1,0),IF(LEFT(VLOOKUP($D76,'Visu totale'!$D:$DH,N$1,0),1)="V",IF(M76&gt;=INDEX('[1]Définition Maintenances'!$G:$G,MATCH($A76,'[1]Définition Maintenances'!$K:$K,0)),M76,INDEX('[1]Définition Maintenances'!$G:$G,MATCH($A76,'[1]Définition Maintenances'!$K:$K,0))+M76),M76))</f>
        <v>1200</v>
      </c>
      <c r="O76" s="26">
        <f>IF(ISNUMBER(VLOOKUP($D76,'Visu totale'!$D:$DH,O$1,0)),N76-VLOOKUP($D76,'Visu totale'!$D:$DH,O$1,0),IF(LEFT(VLOOKUP($D76,'Visu totale'!$D:$DH,O$1,0),1)="V",IF(N76&gt;=INDEX('[1]Définition Maintenances'!$G:$G,MATCH($A76,'[1]Définition Maintenances'!$K:$K,0)),N76,INDEX('[1]Définition Maintenances'!$G:$G,MATCH($A76,'[1]Définition Maintenances'!$K:$K,0))+N76),N76))</f>
        <v>1200</v>
      </c>
      <c r="P76" s="26">
        <f>IF(ISNUMBER(VLOOKUP($D76,'Visu totale'!$D:$DH,P$1,0)),O76-VLOOKUP($D76,'Visu totale'!$D:$DH,P$1,0),IF(LEFT(VLOOKUP($D76,'Visu totale'!$D:$DH,P$1,0),1)="V",IF(O76&gt;=INDEX('[1]Définition Maintenances'!$G:$G,MATCH($A76,'[1]Définition Maintenances'!$K:$K,0)),O76,INDEX('[1]Définition Maintenances'!$G:$G,MATCH($A76,'[1]Définition Maintenances'!$K:$K,0))+O76),O76))</f>
        <v>1200</v>
      </c>
      <c r="Q76" s="27">
        <f>IF(ISNUMBER(VLOOKUP($D76,'Visu totale'!$D:$DH,Q$1,0)),P76-VLOOKUP($D76,'Visu totale'!$D:$DH,Q$1,0),IF(LEFT(VLOOKUP($D76,'Visu totale'!$D:$DH,Q$1,0),1)="V",IF(P76&gt;=INDEX('[1]Définition Maintenances'!$G:$G,MATCH($A76,'[1]Définition Maintenances'!$K:$K,0)),P76,INDEX('[1]Définition Maintenances'!$G:$G,MATCH($A76,'[1]Définition Maintenances'!$K:$K,0))+P76),P76))</f>
        <v>1200</v>
      </c>
      <c r="R76" s="25">
        <f>IF(ISNUMBER(VLOOKUP($D76,'Visu totale'!$D:$DH,R$1,0)),Q76-VLOOKUP($D76,'Visu totale'!$D:$DH,R$1,0),IF(LEFT(VLOOKUP($D76,'Visu totale'!$D:$DH,R$1,0),1)="V",IF(Q76&gt;=INDEX('[1]Définition Maintenances'!$G:$G,MATCH($A76,'[1]Définition Maintenances'!$K:$K,0)),Q76,INDEX('[1]Définition Maintenances'!$G:$G,MATCH($A76,'[1]Définition Maintenances'!$K:$K,0))+Q76),Q76))</f>
        <v>1200</v>
      </c>
      <c r="S76" s="26">
        <f>IF(ISNUMBER(VLOOKUP($D76,'Visu totale'!$D:$DH,S$1,0)),R76-VLOOKUP($D76,'Visu totale'!$D:$DH,S$1,0),IF(LEFT(VLOOKUP($D76,'Visu totale'!$D:$DH,S$1,0),1)="V",IF(R76&gt;=INDEX('[1]Définition Maintenances'!$G:$G,MATCH($A76,'[1]Définition Maintenances'!$K:$K,0)),R76,INDEX('[1]Définition Maintenances'!$G:$G,MATCH($A76,'[1]Définition Maintenances'!$K:$K,0))+R76),R76))</f>
        <v>1200</v>
      </c>
      <c r="T76" s="26">
        <f>IF(ISNUMBER(VLOOKUP($D76,'Visu totale'!$D:$DH,T$1,0)),S76-VLOOKUP($D76,'Visu totale'!$D:$DH,T$1,0),IF(LEFT(VLOOKUP($D76,'Visu totale'!$D:$DH,T$1,0),1)="V",IF(S76&gt;=INDEX('[1]Définition Maintenances'!$G:$G,MATCH($A76,'[1]Définition Maintenances'!$K:$K,0)),S76,INDEX('[1]Définition Maintenances'!$G:$G,MATCH($A76,'[1]Définition Maintenances'!$K:$K,0))+S76),S76))</f>
        <v>1200</v>
      </c>
      <c r="U76" s="26">
        <f>IF(ISNUMBER(VLOOKUP($D76,'Visu totale'!$D:$DH,U$1,0)),T76-VLOOKUP($D76,'Visu totale'!$D:$DH,U$1,0),IF(LEFT(VLOOKUP($D76,'Visu totale'!$D:$DH,U$1,0),1)="V",IF(T76&gt;=INDEX('[1]Définition Maintenances'!$G:$G,MATCH($A76,'[1]Définition Maintenances'!$K:$K,0)),T76,INDEX('[1]Définition Maintenances'!$G:$G,MATCH($A76,'[1]Définition Maintenances'!$K:$K,0))+T76),T76))</f>
        <v>1200</v>
      </c>
      <c r="V76" s="26">
        <f>IF(ISNUMBER(VLOOKUP($D76,'Visu totale'!$D:$DH,V$1,0)),U76-VLOOKUP($D76,'Visu totale'!$D:$DH,V$1,0),IF(LEFT(VLOOKUP($D76,'Visu totale'!$D:$DH,V$1,0),1)="V",IF(U76&gt;=INDEX('[1]Définition Maintenances'!$G:$G,MATCH($A76,'[1]Définition Maintenances'!$K:$K,0)),U76,INDEX('[1]Définition Maintenances'!$G:$G,MATCH($A76,'[1]Définition Maintenances'!$K:$K,0))+U76),U76))</f>
        <v>1200</v>
      </c>
      <c r="W76" s="26">
        <f>IF(ISNUMBER(VLOOKUP($D76,'Visu totale'!$D:$DH,W$1,0)),V76-VLOOKUP($D76,'Visu totale'!$D:$DH,W$1,0),IF(LEFT(VLOOKUP($D76,'Visu totale'!$D:$DH,W$1,0),1)="V",IF(V76&gt;=INDEX('[1]Définition Maintenances'!$G:$G,MATCH($A76,'[1]Définition Maintenances'!$K:$K,0)),V76,INDEX('[1]Définition Maintenances'!$G:$G,MATCH($A76,'[1]Définition Maintenances'!$K:$K,0))+V76),V76))</f>
        <v>1200</v>
      </c>
      <c r="X76" s="26">
        <f>IF(ISNUMBER(VLOOKUP($D76,'Visu totale'!$D:$DH,X$1,0)),W76-VLOOKUP($D76,'Visu totale'!$D:$DH,X$1,0),IF(LEFT(VLOOKUP($D76,'Visu totale'!$D:$DH,X$1,0),1)="V",IF(W76&gt;=INDEX('[1]Définition Maintenances'!$G:$G,MATCH($A76,'[1]Définition Maintenances'!$K:$K,0)),W76,INDEX('[1]Définition Maintenances'!$G:$G,MATCH($A76,'[1]Définition Maintenances'!$K:$K,0))+W76),W76))</f>
        <v>1200</v>
      </c>
      <c r="Y76" s="26">
        <f>IF(ISNUMBER(VLOOKUP($D76,'Visu totale'!$D:$DH,Y$1,0)),X76-VLOOKUP($D76,'Visu totale'!$D:$DH,Y$1,0),IF(LEFT(VLOOKUP($D76,'Visu totale'!$D:$DH,Y$1,0),1)="V",IF(X76&gt;=INDEX('[1]Définition Maintenances'!$G:$G,MATCH($A76,'[1]Définition Maintenances'!$K:$K,0)),X76,INDEX('[1]Définition Maintenances'!$G:$G,MATCH($A76,'[1]Définition Maintenances'!$K:$K,0))+X76),X76))</f>
        <v>1200</v>
      </c>
      <c r="Z76" s="26">
        <f>IF(ISNUMBER(VLOOKUP($D76,'Visu totale'!$D:$DH,Z$1,0)),Y76-VLOOKUP($D76,'Visu totale'!$D:$DH,Z$1,0),IF(LEFT(VLOOKUP($D76,'Visu totale'!$D:$DH,Z$1,0),1)="V",IF(Y76&gt;=INDEX('[1]Définition Maintenances'!$G:$G,MATCH($A76,'[1]Définition Maintenances'!$K:$K,0)),Y76,INDEX('[1]Définition Maintenances'!$G:$G,MATCH($A76,'[1]Définition Maintenances'!$K:$K,0))+Y76),Y76))</f>
        <v>1200</v>
      </c>
      <c r="AA76" s="26">
        <f>IF(ISNUMBER(VLOOKUP($D76,'Visu totale'!$D:$DH,AA$1,0)),Z76-VLOOKUP($D76,'Visu totale'!$D:$DH,AA$1,0),IF(LEFT(VLOOKUP($D76,'Visu totale'!$D:$DH,AA$1,0),1)="V",IF(Z76&gt;=INDEX('[1]Définition Maintenances'!$G:$G,MATCH($A76,'[1]Définition Maintenances'!$K:$K,0)),Z76,INDEX('[1]Définition Maintenances'!$G:$G,MATCH($A76,'[1]Définition Maintenances'!$K:$K,0))+Z76),Z76))</f>
        <v>1200</v>
      </c>
      <c r="AB76" s="26">
        <f>IF(ISNUMBER(VLOOKUP($D76,'Visu totale'!$D:$DH,AB$1,0)),AA76-VLOOKUP($D76,'Visu totale'!$D:$DH,AB$1,0),IF(LEFT(VLOOKUP($D76,'Visu totale'!$D:$DH,AB$1,0),1)="V",IF(AA76&gt;=INDEX('[1]Définition Maintenances'!$G:$G,MATCH($A76,'[1]Définition Maintenances'!$K:$K,0)),AA76,INDEX('[1]Définition Maintenances'!$G:$G,MATCH($A76,'[1]Définition Maintenances'!$K:$K,0))+AA76),AA76))</f>
        <v>1200</v>
      </c>
      <c r="AC76" s="27">
        <f>IF(ISNUMBER(VLOOKUP($D76,'Visu totale'!$D:$DH,AC$1,0)),AB76-VLOOKUP($D76,'Visu totale'!$D:$DH,AC$1,0),IF(LEFT(VLOOKUP($D76,'Visu totale'!$D:$DH,AC$1,0),1)="V",IF(AB76&gt;=INDEX('[1]Définition Maintenances'!$G:$G,MATCH($A76,'[1]Définition Maintenances'!$K:$K,0)),AB76,INDEX('[1]Définition Maintenances'!$G:$G,MATCH($A76,'[1]Définition Maintenances'!$K:$K,0))+AB76),AB76))</f>
        <v>1200</v>
      </c>
      <c r="AD76" s="25">
        <f>IF(ISNUMBER(VLOOKUP($D76,'Visu totale'!$D:$DH,AD$1,0)),AC76-VLOOKUP($D76,'Visu totale'!$D:$DH,AD$1,0),IF(LEFT(VLOOKUP($D76,'Visu totale'!$D:$DH,AD$1,0),1)="V",IF(AC76&gt;=INDEX('[1]Définition Maintenances'!$G:$G,MATCH($A76,'[1]Définition Maintenances'!$K:$K,0)),AC76,INDEX('[1]Définition Maintenances'!$G:$G,MATCH($A76,'[1]Définition Maintenances'!$K:$K,0))+AC76),AC76))</f>
        <v>1200</v>
      </c>
      <c r="AE76" s="26">
        <f>IF(ISNUMBER(VLOOKUP($D76,'Visu totale'!$D:$DH,AE$1,0)),AD76-VLOOKUP($D76,'Visu totale'!$D:$DH,AE$1,0),IF(LEFT(VLOOKUP($D76,'Visu totale'!$D:$DH,AE$1,0),1)="V",IF(AD76&gt;=INDEX('[1]Définition Maintenances'!$G:$G,MATCH($A76,'[1]Définition Maintenances'!$K:$K,0)),AD76,INDEX('[1]Définition Maintenances'!$G:$G,MATCH($A76,'[1]Définition Maintenances'!$K:$K,0))+AD76),AD76))</f>
        <v>1200</v>
      </c>
      <c r="AF76" s="26">
        <f>IF(ISNUMBER(VLOOKUP($D76,'Visu totale'!$D:$DH,AF$1,0)),AE76-VLOOKUP($D76,'Visu totale'!$D:$DH,AF$1,0),IF(LEFT(VLOOKUP($D76,'Visu totale'!$D:$DH,AF$1,0),1)="V",IF(AE76&gt;=INDEX('[1]Définition Maintenances'!$G:$G,MATCH($A76,'[1]Définition Maintenances'!$K:$K,0)),AE76,INDEX('[1]Définition Maintenances'!$G:$G,MATCH($A76,'[1]Définition Maintenances'!$K:$K,0))+AE76),AE76))</f>
        <v>1200</v>
      </c>
      <c r="AG76" s="26">
        <f>IF(ISNUMBER(VLOOKUP($D76,'Visu totale'!$D:$DH,AG$1,0)),AF76-VLOOKUP($D76,'Visu totale'!$D:$DH,AG$1,0),IF(LEFT(VLOOKUP($D76,'Visu totale'!$D:$DH,AG$1,0),1)="V",IF(AF76&gt;=INDEX('[1]Définition Maintenances'!$G:$G,MATCH($A76,'[1]Définition Maintenances'!$K:$K,0)),AF76,INDEX('[1]Définition Maintenances'!$G:$G,MATCH($A76,'[1]Définition Maintenances'!$K:$K,0))+AF76),AF76))</f>
        <v>1200</v>
      </c>
      <c r="AH76" s="26">
        <f>IF(ISNUMBER(VLOOKUP($D76,'Visu totale'!$D:$DH,AH$1,0)),AG76-VLOOKUP($D76,'Visu totale'!$D:$DH,AH$1,0),IF(LEFT(VLOOKUP($D76,'Visu totale'!$D:$DH,AH$1,0),1)="V",IF(AG76&gt;=INDEX('[1]Définition Maintenances'!$G:$G,MATCH($A76,'[1]Définition Maintenances'!$K:$K,0)),AG76,INDEX('[1]Définition Maintenances'!$G:$G,MATCH($A76,'[1]Définition Maintenances'!$K:$K,0))+AG76),AG76))</f>
        <v>1200</v>
      </c>
      <c r="AI76" s="26">
        <f>IF(ISNUMBER(VLOOKUP($D76,'Visu totale'!$D:$DH,AI$1,0)),AH76-VLOOKUP($D76,'Visu totale'!$D:$DH,AI$1,0),IF(LEFT(VLOOKUP($D76,'Visu totale'!$D:$DH,AI$1,0),1)="V",IF(AH76&gt;=INDEX('[1]Définition Maintenances'!$G:$G,MATCH($A76,'[1]Définition Maintenances'!$K:$K,0)),AH76,INDEX('[1]Définition Maintenances'!$G:$G,MATCH($A76,'[1]Définition Maintenances'!$K:$K,0))+AH76),AH76))</f>
        <v>1200</v>
      </c>
      <c r="AJ76" s="26">
        <f>IF(ISNUMBER(VLOOKUP($D76,'Visu totale'!$D:$DH,AJ$1,0)),AI76-VLOOKUP($D76,'Visu totale'!$D:$DH,AJ$1,0),IF(LEFT(VLOOKUP($D76,'Visu totale'!$D:$DH,AJ$1,0),1)="V",IF(AI76&gt;=INDEX('[1]Définition Maintenances'!$G:$G,MATCH($A76,'[1]Définition Maintenances'!$K:$K,0)),AI76,INDEX('[1]Définition Maintenances'!$G:$G,MATCH($A76,'[1]Définition Maintenances'!$K:$K,0))+AI76),AI76))</f>
        <v>1200</v>
      </c>
      <c r="AK76" s="26">
        <f>IF(ISNUMBER(VLOOKUP($D76,'Visu totale'!$D:$DH,AK$1,0)),AJ76-VLOOKUP($D76,'Visu totale'!$D:$DH,AK$1,0),IF(LEFT(VLOOKUP($D76,'Visu totale'!$D:$DH,AK$1,0),1)="V",IF(AJ76&gt;=INDEX('[1]Définition Maintenances'!$G:$G,MATCH($A76,'[1]Définition Maintenances'!$K:$K,0)),AJ76,INDEX('[1]Définition Maintenances'!$G:$G,MATCH($A76,'[1]Définition Maintenances'!$K:$K,0))+AJ76),AJ76))</f>
        <v>1200</v>
      </c>
      <c r="AL76" s="26">
        <f>IF(ISNUMBER(VLOOKUP($D76,'Visu totale'!$D:$DH,AL$1,0)),AK76-VLOOKUP($D76,'Visu totale'!$D:$DH,AL$1,0),IF(LEFT(VLOOKUP($D76,'Visu totale'!$D:$DH,AL$1,0),1)="V",IF(AK76&gt;=INDEX('[1]Définition Maintenances'!$G:$G,MATCH($A76,'[1]Définition Maintenances'!$K:$K,0)),AK76,INDEX('[1]Définition Maintenances'!$G:$G,MATCH($A76,'[1]Définition Maintenances'!$K:$K,0))+AK76),AK76))</f>
        <v>1200</v>
      </c>
      <c r="AM76" s="26">
        <f>IF(ISNUMBER(VLOOKUP($D76,'Visu totale'!$D:$DH,AM$1,0)),AL76-VLOOKUP($D76,'Visu totale'!$D:$DH,AM$1,0),IF(LEFT(VLOOKUP($D76,'Visu totale'!$D:$DH,AM$1,0),1)="V",IF(AL76&gt;=INDEX('[1]Définition Maintenances'!$G:$G,MATCH($A76,'[1]Définition Maintenances'!$K:$K,0)),AL76,INDEX('[1]Définition Maintenances'!$G:$G,MATCH($A76,'[1]Définition Maintenances'!$K:$K,0))+AL76),AL76))</f>
        <v>1200</v>
      </c>
      <c r="AN76" s="26">
        <f>IF(ISNUMBER(VLOOKUP($D76,'Visu totale'!$D:$DH,AN$1,0)),AM76-VLOOKUP($D76,'Visu totale'!$D:$DH,AN$1,0),IF(LEFT(VLOOKUP($D76,'Visu totale'!$D:$DH,AN$1,0),1)="V",IF(AM76&gt;=INDEX('[1]Définition Maintenances'!$G:$G,MATCH($A76,'[1]Définition Maintenances'!$K:$K,0)),AM76,INDEX('[1]Définition Maintenances'!$G:$G,MATCH($A76,'[1]Définition Maintenances'!$K:$K,0))+AM76),AM76))</f>
        <v>1200</v>
      </c>
      <c r="AO76" s="27">
        <f>IF(ISNUMBER(VLOOKUP($D76,'Visu totale'!$D:$DH,AO$1,0)),AN76-VLOOKUP($D76,'Visu totale'!$D:$DH,AO$1,0),IF(LEFT(VLOOKUP($D76,'Visu totale'!$D:$DH,AO$1,0),1)="V",IF(AN76&gt;=INDEX('[1]Définition Maintenances'!$G:$G,MATCH($A76,'[1]Définition Maintenances'!$K:$K,0)),AN76,INDEX('[1]Définition Maintenances'!$G:$G,MATCH($A76,'[1]Définition Maintenances'!$K:$K,0))+AN76),AN76))</f>
        <v>1200</v>
      </c>
      <c r="AP76" s="25">
        <f>IF(ISNUMBER(VLOOKUP($D76,'Visu totale'!$D:$DH,AP$1,0)),AO76-VLOOKUP($D76,'Visu totale'!$D:$DH,AP$1,0),IF(LEFT(VLOOKUP($D76,'Visu totale'!$D:$DH,AP$1,0),1)="V",IF(AO76&gt;=INDEX('[1]Définition Maintenances'!$G:$G,MATCH($A76,'[1]Définition Maintenances'!$K:$K,0)),AO76,INDEX('[1]Définition Maintenances'!$G:$G,MATCH($A76,'[1]Définition Maintenances'!$K:$K,0))+AO76),AO76))</f>
        <v>1200</v>
      </c>
      <c r="AQ76" s="26">
        <f>IF(ISNUMBER(VLOOKUP($D76,'Visu totale'!$D:$DH,AQ$1,0)),AP76-VLOOKUP($D76,'Visu totale'!$D:$DH,AQ$1,0),IF(LEFT(VLOOKUP($D76,'Visu totale'!$D:$DH,AQ$1,0),1)="V",IF(AP76&gt;=INDEX('[1]Définition Maintenances'!$G:$G,MATCH($A76,'[1]Définition Maintenances'!$K:$K,0)),AP76,INDEX('[1]Définition Maintenances'!$G:$G,MATCH($A76,'[1]Définition Maintenances'!$K:$K,0))+AP76),AP76))</f>
        <v>1200</v>
      </c>
      <c r="AR76" s="26">
        <f>IF(ISNUMBER(VLOOKUP($D76,'Visu totale'!$D:$DH,AR$1,0)),AQ76-VLOOKUP($D76,'Visu totale'!$D:$DH,AR$1,0),IF(LEFT(VLOOKUP($D76,'Visu totale'!$D:$DH,AR$1,0),1)="V",IF(AQ76&gt;=INDEX('[1]Définition Maintenances'!$G:$G,MATCH($A76,'[1]Définition Maintenances'!$K:$K,0)),AQ76,INDEX('[1]Définition Maintenances'!$G:$G,MATCH($A76,'[1]Définition Maintenances'!$K:$K,0))+AQ76),AQ76))</f>
        <v>1200</v>
      </c>
      <c r="AS76" s="26">
        <f>IF(ISNUMBER(VLOOKUP($D76,'Visu totale'!$D:$DH,AS$1,0)),AR76-VLOOKUP($D76,'Visu totale'!$D:$DH,AS$1,0),IF(LEFT(VLOOKUP($D76,'Visu totale'!$D:$DH,AS$1,0),1)="V",IF(AR76&gt;=INDEX('[1]Définition Maintenances'!$G:$G,MATCH($A76,'[1]Définition Maintenances'!$K:$K,0)),AR76,INDEX('[1]Définition Maintenances'!$G:$G,MATCH($A76,'[1]Définition Maintenances'!$K:$K,0))+AR76),AR76))</f>
        <v>1200</v>
      </c>
      <c r="AT76" s="26">
        <f>IF(ISNUMBER(VLOOKUP($D76,'Visu totale'!$D:$DH,AT$1,0)),AS76-VLOOKUP($D76,'Visu totale'!$D:$DH,AT$1,0),IF(LEFT(VLOOKUP($D76,'Visu totale'!$D:$DH,AT$1,0),1)="V",IF(AS76&gt;=INDEX('[1]Définition Maintenances'!$G:$G,MATCH($A76,'[1]Définition Maintenances'!$K:$K,0)),AS76,INDEX('[1]Définition Maintenances'!$G:$G,MATCH($A76,'[1]Définition Maintenances'!$K:$K,0))+AS76),AS76))</f>
        <v>1200</v>
      </c>
      <c r="AU76" s="26">
        <f>IF(ISNUMBER(VLOOKUP($D76,'Visu totale'!$D:$DH,AU$1,0)),AT76-VLOOKUP($D76,'Visu totale'!$D:$DH,AU$1,0),IF(LEFT(VLOOKUP($D76,'Visu totale'!$D:$DH,AU$1,0),1)="V",IF(AT76&gt;=INDEX('[1]Définition Maintenances'!$G:$G,MATCH($A76,'[1]Définition Maintenances'!$K:$K,0)),AT76,INDEX('[1]Définition Maintenances'!$G:$G,MATCH($A76,'[1]Définition Maintenances'!$K:$K,0))+AT76),AT76))</f>
        <v>1200</v>
      </c>
      <c r="AV76" s="26">
        <f>IF(ISNUMBER(VLOOKUP($D76,'Visu totale'!$D:$DH,AV$1,0)),AU76-VLOOKUP($D76,'Visu totale'!$D:$DH,AV$1,0),IF(LEFT(VLOOKUP($D76,'Visu totale'!$D:$DH,AV$1,0),1)="V",IF(AU76&gt;=INDEX('[1]Définition Maintenances'!$G:$G,MATCH($A76,'[1]Définition Maintenances'!$K:$K,0)),AU76,INDEX('[1]Définition Maintenances'!$G:$G,MATCH($A76,'[1]Définition Maintenances'!$K:$K,0))+AU76),AU76))</f>
        <v>1200</v>
      </c>
      <c r="AW76" s="26">
        <f>IF(ISNUMBER(VLOOKUP($D76,'Visu totale'!$D:$DH,AW$1,0)),AV76-VLOOKUP($D76,'Visu totale'!$D:$DH,AW$1,0),IF(LEFT(VLOOKUP($D76,'Visu totale'!$D:$DH,AW$1,0),1)="V",IF(AV76&gt;=INDEX('[1]Définition Maintenances'!$G:$G,MATCH($A76,'[1]Définition Maintenances'!$K:$K,0)),AV76,INDEX('[1]Définition Maintenances'!$G:$G,MATCH($A76,'[1]Définition Maintenances'!$K:$K,0))+AV76),AV76))</f>
        <v>1200</v>
      </c>
      <c r="AX76" s="26">
        <f>IF(ISNUMBER(VLOOKUP($D76,'Visu totale'!$D:$DH,AX$1,0)),AW76-VLOOKUP($D76,'Visu totale'!$D:$DH,AX$1,0),IF(LEFT(VLOOKUP($D76,'Visu totale'!$D:$DH,AX$1,0),1)="V",IF(AW76&gt;=INDEX('[1]Définition Maintenances'!$G:$G,MATCH($A76,'[1]Définition Maintenances'!$K:$K,0)),AW76,INDEX('[1]Définition Maintenances'!$G:$G,MATCH($A76,'[1]Définition Maintenances'!$K:$K,0))+AW76),AW76))</f>
        <v>1200</v>
      </c>
      <c r="AY76" s="26">
        <f>IF(ISNUMBER(VLOOKUP($D76,'Visu totale'!$D:$DH,AY$1,0)),AX76-VLOOKUP($D76,'Visu totale'!$D:$DH,AY$1,0),IF(LEFT(VLOOKUP($D76,'Visu totale'!$D:$DH,AY$1,0),1)="V",IF(AX76&gt;=INDEX('[1]Définition Maintenances'!$G:$G,MATCH($A76,'[1]Définition Maintenances'!$K:$K,0)),AX76,INDEX('[1]Définition Maintenances'!$G:$G,MATCH($A76,'[1]Définition Maintenances'!$K:$K,0))+AX76),AX76))</f>
        <v>1200</v>
      </c>
      <c r="AZ76" s="26">
        <f>IF(ISNUMBER(VLOOKUP($D76,'Visu totale'!$D:$DH,AZ$1,0)),AY76-VLOOKUP($D76,'Visu totale'!$D:$DH,AZ$1,0),IF(LEFT(VLOOKUP($D76,'Visu totale'!$D:$DH,AZ$1,0),1)="V",IF(AY76&gt;=INDEX('[1]Définition Maintenances'!$G:$G,MATCH($A76,'[1]Définition Maintenances'!$K:$K,0)),AY76,INDEX('[1]Définition Maintenances'!$G:$G,MATCH($A76,'[1]Définition Maintenances'!$K:$K,0))+AY76),AY76))</f>
        <v>1200</v>
      </c>
      <c r="BA76" s="27">
        <f>IF(ISNUMBER(VLOOKUP($D76,'Visu totale'!$D:$DH,BA$1,0)),AZ76-VLOOKUP($D76,'Visu totale'!$D:$DH,BA$1,0),IF(LEFT(VLOOKUP($D76,'Visu totale'!$D:$DH,BA$1,0),1)="V",IF(AZ76&gt;=INDEX('[1]Définition Maintenances'!$G:$G,MATCH($A76,'[1]Définition Maintenances'!$K:$K,0)),AZ76,INDEX('[1]Définition Maintenances'!$G:$G,MATCH($A76,'[1]Définition Maintenances'!$K:$K,0))+AZ76),AZ76))</f>
        <v>1200</v>
      </c>
      <c r="BB76" s="25">
        <f>IF(ISNUMBER(VLOOKUP($D76,'Visu totale'!$D:$DH,BB$1,0)),BA76-VLOOKUP($D76,'Visu totale'!$D:$DH,BB$1,0),IF(LEFT(VLOOKUP($D76,'Visu totale'!$D:$DH,BB$1,0),1)="V",IF(BA76&gt;=INDEX('[1]Définition Maintenances'!$G:$G,MATCH($A76,'[1]Définition Maintenances'!$K:$K,0)),BA76,INDEX('[1]Définition Maintenances'!$G:$G,MATCH($A76,'[1]Définition Maintenances'!$K:$K,0))+BA76),BA76))</f>
        <v>1200</v>
      </c>
      <c r="BC76" s="26">
        <f>IF(ISNUMBER(VLOOKUP($D76,'Visu totale'!$D:$DH,BC$1,0)),BB76-VLOOKUP($D76,'Visu totale'!$D:$DH,BC$1,0),IF(LEFT(VLOOKUP($D76,'Visu totale'!$D:$DH,BC$1,0),1)="V",IF(BB76&gt;=INDEX('[1]Définition Maintenances'!$G:$G,MATCH($A76,'[1]Définition Maintenances'!$K:$K,0)),BB76,INDEX('[1]Définition Maintenances'!$G:$G,MATCH($A76,'[1]Définition Maintenances'!$K:$K,0))+BB76),BB76))</f>
        <v>1200</v>
      </c>
      <c r="BD76" s="26">
        <f>IF(ISNUMBER(VLOOKUP($D76,'Visu totale'!$D:$DH,BD$1,0)),BC76-VLOOKUP($D76,'Visu totale'!$D:$DH,BD$1,0),IF(LEFT(VLOOKUP($D76,'Visu totale'!$D:$DH,BD$1,0),1)="V",IF(BC76&gt;=INDEX('[1]Définition Maintenances'!$G:$G,MATCH($A76,'[1]Définition Maintenances'!$K:$K,0)),BC76,INDEX('[1]Définition Maintenances'!$G:$G,MATCH($A76,'[1]Définition Maintenances'!$K:$K,0))+BC76),BC76))</f>
        <v>1200</v>
      </c>
      <c r="BE76" s="26">
        <f>IF(ISNUMBER(VLOOKUP($D76,'Visu totale'!$D:$DH,BE$1,0)),BD76-VLOOKUP($D76,'Visu totale'!$D:$DH,BE$1,0),IF(LEFT(VLOOKUP($D76,'Visu totale'!$D:$DH,BE$1,0),1)="V",IF(BD76&gt;=INDEX('[1]Définition Maintenances'!$G:$G,MATCH($A76,'[1]Définition Maintenances'!$K:$K,0)),BD76,INDEX('[1]Définition Maintenances'!$G:$G,MATCH($A76,'[1]Définition Maintenances'!$K:$K,0))+BD76),BD76))</f>
        <v>1200</v>
      </c>
      <c r="BF76" s="26">
        <f>IF(ISNUMBER(VLOOKUP($D76,'Visu totale'!$D:$DH,BF$1,0)),BE76-VLOOKUP($D76,'Visu totale'!$D:$DH,BF$1,0),IF(LEFT(VLOOKUP($D76,'Visu totale'!$D:$DH,BF$1,0),1)="V",IF(BE76&gt;=INDEX('[1]Définition Maintenances'!$G:$G,MATCH($A76,'[1]Définition Maintenances'!$K:$K,0)),BE76,INDEX('[1]Définition Maintenances'!$G:$G,MATCH($A76,'[1]Définition Maintenances'!$K:$K,0))+BE76),BE76))</f>
        <v>1200</v>
      </c>
      <c r="BG76" s="26">
        <f>IF(ISNUMBER(VLOOKUP($D76,'Visu totale'!$D:$DH,BG$1,0)),BF76-VLOOKUP($D76,'Visu totale'!$D:$DH,BG$1,0),IF(LEFT(VLOOKUP($D76,'Visu totale'!$D:$DH,BG$1,0),1)="V",IF(BF76&gt;=INDEX('[1]Définition Maintenances'!$G:$G,MATCH($A76,'[1]Définition Maintenances'!$K:$K,0)),BF76,INDEX('[1]Définition Maintenances'!$G:$G,MATCH($A76,'[1]Définition Maintenances'!$K:$K,0))+BF76),BF76))</f>
        <v>1200</v>
      </c>
      <c r="BH76" s="26">
        <f>IF(ISNUMBER(VLOOKUP($D76,'Visu totale'!$D:$DH,BH$1,0)),BG76-VLOOKUP($D76,'Visu totale'!$D:$DH,BH$1,0),IF(LEFT(VLOOKUP($D76,'Visu totale'!$D:$DH,BH$1,0),1)="V",IF(BG76&gt;=INDEX('[1]Définition Maintenances'!$G:$G,MATCH($A76,'[1]Définition Maintenances'!$K:$K,0)),BG76,INDEX('[1]Définition Maintenances'!$G:$G,MATCH($A76,'[1]Définition Maintenances'!$K:$K,0))+BG76),BG76))</f>
        <v>1200</v>
      </c>
      <c r="BI76" s="26">
        <f>IF(ISNUMBER(VLOOKUP($D76,'Visu totale'!$D:$DH,BI$1,0)),BH76-VLOOKUP($D76,'Visu totale'!$D:$DH,BI$1,0),IF(LEFT(VLOOKUP($D76,'Visu totale'!$D:$DH,BI$1,0),1)="V",IF(BH76&gt;=INDEX('[1]Définition Maintenances'!$G:$G,MATCH($A76,'[1]Définition Maintenances'!$K:$K,0)),BH76,INDEX('[1]Définition Maintenances'!$G:$G,MATCH($A76,'[1]Définition Maintenances'!$K:$K,0))+BH76),BH76))</f>
        <v>1200</v>
      </c>
      <c r="BJ76" s="26">
        <f>IF(ISNUMBER(VLOOKUP($D76,'Visu totale'!$D:$DH,BJ$1,0)),BI76-VLOOKUP($D76,'Visu totale'!$D:$DH,BJ$1,0),IF(LEFT(VLOOKUP($D76,'Visu totale'!$D:$DH,BJ$1,0),1)="V",IF(BI76&gt;=INDEX('[1]Définition Maintenances'!$G:$G,MATCH($A76,'[1]Définition Maintenances'!$K:$K,0)),BI76,INDEX('[1]Définition Maintenances'!$G:$G,MATCH($A76,'[1]Définition Maintenances'!$K:$K,0))+BI76),BI76))</f>
        <v>1200</v>
      </c>
      <c r="BK76" s="26">
        <f>IF(ISNUMBER(VLOOKUP($D76,'Visu totale'!$D:$DH,BK$1,0)),BJ76-VLOOKUP($D76,'Visu totale'!$D:$DH,BK$1,0),IF(LEFT(VLOOKUP($D76,'Visu totale'!$D:$DH,BK$1,0),1)="V",IF(BJ76&gt;=INDEX('[1]Définition Maintenances'!$G:$G,MATCH($A76,'[1]Définition Maintenances'!$K:$K,0)),BJ76,INDEX('[1]Définition Maintenances'!$G:$G,MATCH($A76,'[1]Définition Maintenances'!$K:$K,0))+BJ76),BJ76))</f>
        <v>1200</v>
      </c>
      <c r="BL76" s="26">
        <f>IF(ISNUMBER(VLOOKUP($D76,'Visu totale'!$D:$DH,BL$1,0)),BK76-VLOOKUP($D76,'Visu totale'!$D:$DH,BL$1,0),IF(LEFT(VLOOKUP($D76,'Visu totale'!$D:$DH,BL$1,0),1)="V",IF(BK76&gt;=INDEX('[1]Définition Maintenances'!$G:$G,MATCH($A76,'[1]Définition Maintenances'!$K:$K,0)),BK76,INDEX('[1]Définition Maintenances'!$G:$G,MATCH($A76,'[1]Définition Maintenances'!$K:$K,0))+BK76),BK76))</f>
        <v>1200</v>
      </c>
      <c r="BM76" s="27">
        <f>IF(ISNUMBER(VLOOKUP($D76,'Visu totale'!$D:$DH,BM$1,0)),BL76-VLOOKUP($D76,'Visu totale'!$D:$DH,BM$1,0),IF(LEFT(VLOOKUP($D76,'Visu totale'!$D:$DH,BM$1,0),1)="V",IF(BL76&gt;=INDEX('[1]Définition Maintenances'!$G:$G,MATCH($A76,'[1]Définition Maintenances'!$K:$K,0)),BL76,INDEX('[1]Définition Maintenances'!$G:$G,MATCH($A76,'[1]Définition Maintenances'!$K:$K,0))+BL76),BL76))</f>
        <v>1200</v>
      </c>
      <c r="BN76" s="25">
        <f>IF(ISNUMBER(VLOOKUP($D76,'Visu totale'!$D:$DH,BN$1,0)),BM76-VLOOKUP($D76,'Visu totale'!$D:$DH,BN$1,0),IF(LEFT(VLOOKUP($D76,'Visu totale'!$D:$DH,BN$1,0),1)="V",IF(BM76&gt;=INDEX('[1]Définition Maintenances'!$G:$G,MATCH($A76,'[1]Définition Maintenances'!$K:$K,0)),BM76,INDEX('[1]Définition Maintenances'!$G:$G,MATCH($A76,'[1]Définition Maintenances'!$K:$K,0))+BM76),BM76))</f>
        <v>1200</v>
      </c>
      <c r="BO76" s="26">
        <f>IF(ISNUMBER(VLOOKUP($D76,'Visu totale'!$D:$DH,BO$1,0)),BN76-VLOOKUP($D76,'Visu totale'!$D:$DH,BO$1,0),IF(LEFT(VLOOKUP($D76,'Visu totale'!$D:$DH,BO$1,0),1)="V",IF(BN76&gt;=INDEX('[1]Définition Maintenances'!$G:$G,MATCH($A76,'[1]Définition Maintenances'!$K:$K,0)),BN76,INDEX('[1]Définition Maintenances'!$G:$G,MATCH($A76,'[1]Définition Maintenances'!$K:$K,0))+BN76),BN76))</f>
        <v>1200</v>
      </c>
      <c r="BP76" s="26">
        <f>IF(ISNUMBER(VLOOKUP($D76,'Visu totale'!$D:$DH,BP$1,0)),BO76-VLOOKUP($D76,'Visu totale'!$D:$DH,BP$1,0),IF(LEFT(VLOOKUP($D76,'Visu totale'!$D:$DH,BP$1,0),1)="V",IF(BO76&gt;=INDEX('[1]Définition Maintenances'!$G:$G,MATCH($A76,'[1]Définition Maintenances'!$K:$K,0)),BO76,INDEX('[1]Définition Maintenances'!$G:$G,MATCH($A76,'[1]Définition Maintenances'!$K:$K,0))+BO76),BO76))</f>
        <v>1200</v>
      </c>
      <c r="BQ76" s="26">
        <f>IF(ISNUMBER(VLOOKUP($D76,'Visu totale'!$D:$DH,BQ$1,0)),BP76-VLOOKUP($D76,'Visu totale'!$D:$DH,BQ$1,0),IF(LEFT(VLOOKUP($D76,'Visu totale'!$D:$DH,BQ$1,0),1)="V",IF(BP76&gt;=INDEX('[1]Définition Maintenances'!$G:$G,MATCH($A76,'[1]Définition Maintenances'!$K:$K,0)),BP76,INDEX('[1]Définition Maintenances'!$G:$G,MATCH($A76,'[1]Définition Maintenances'!$K:$K,0))+BP76),BP76))</f>
        <v>1200</v>
      </c>
      <c r="BR76" s="26">
        <f>IF(ISNUMBER(VLOOKUP($D76,'Visu totale'!$D:$DH,BR$1,0)),BQ76-VLOOKUP($D76,'Visu totale'!$D:$DH,BR$1,0),IF(LEFT(VLOOKUP($D76,'Visu totale'!$D:$DH,BR$1,0),1)="V",IF(BQ76&gt;=INDEX('[1]Définition Maintenances'!$G:$G,MATCH($A76,'[1]Définition Maintenances'!$K:$K,0)),BQ76,INDEX('[1]Définition Maintenances'!$G:$G,MATCH($A76,'[1]Définition Maintenances'!$K:$K,0))+BQ76),BQ76))</f>
        <v>1200</v>
      </c>
      <c r="BS76" s="26">
        <f>IF(ISNUMBER(VLOOKUP($D76,'Visu totale'!$D:$DH,BS$1,0)),BR76-VLOOKUP($D76,'Visu totale'!$D:$DH,BS$1,0),IF(LEFT(VLOOKUP($D76,'Visu totale'!$D:$DH,BS$1,0),1)="V",IF(BR76&gt;=INDEX('[1]Définition Maintenances'!$G:$G,MATCH($A76,'[1]Définition Maintenances'!$K:$K,0)),BR76,INDEX('[1]Définition Maintenances'!$G:$G,MATCH($A76,'[1]Définition Maintenances'!$K:$K,0))+BR76),BR76))</f>
        <v>1200</v>
      </c>
      <c r="BT76" s="26">
        <f>IF(ISNUMBER(VLOOKUP($D76,'Visu totale'!$D:$DH,BT$1,0)),BS76-VLOOKUP($D76,'Visu totale'!$D:$DH,BT$1,0),IF(LEFT(VLOOKUP($D76,'Visu totale'!$D:$DH,BT$1,0),1)="V",IF(BS76&gt;=INDEX('[1]Définition Maintenances'!$G:$G,MATCH($A76,'[1]Définition Maintenances'!$K:$K,0)),BS76,INDEX('[1]Définition Maintenances'!$G:$G,MATCH($A76,'[1]Définition Maintenances'!$K:$K,0))+BS76),BS76))</f>
        <v>1200</v>
      </c>
      <c r="BU76" s="26">
        <f>IF(ISNUMBER(VLOOKUP($D76,'Visu totale'!$D:$DH,BU$1,0)),BT76-VLOOKUP($D76,'Visu totale'!$D:$DH,BU$1,0),IF(LEFT(VLOOKUP($D76,'Visu totale'!$D:$DH,BU$1,0),1)="V",IF(BT76&gt;=INDEX('[1]Définition Maintenances'!$G:$G,MATCH($A76,'[1]Définition Maintenances'!$K:$K,0)),BT76,INDEX('[1]Définition Maintenances'!$G:$G,MATCH($A76,'[1]Définition Maintenances'!$K:$K,0))+BT76),BT76))</f>
        <v>1200</v>
      </c>
      <c r="BV76" s="26">
        <f>IF(ISNUMBER(VLOOKUP($D76,'Visu totale'!$D:$DH,BV$1,0)),BU76-VLOOKUP($D76,'Visu totale'!$D:$DH,BV$1,0),IF(LEFT(VLOOKUP($D76,'Visu totale'!$D:$DH,BV$1,0),1)="V",IF(BU76&gt;=INDEX('[1]Définition Maintenances'!$G:$G,MATCH($A76,'[1]Définition Maintenances'!$K:$K,0)),BU76,INDEX('[1]Définition Maintenances'!$G:$G,MATCH($A76,'[1]Définition Maintenances'!$K:$K,0))+BU76),BU76))</f>
        <v>1200</v>
      </c>
      <c r="BW76" s="26">
        <f>IF(ISNUMBER(VLOOKUP($D76,'Visu totale'!$D:$DH,BW$1,0)),BV76-VLOOKUP($D76,'Visu totale'!$D:$DH,BW$1,0),IF(LEFT(VLOOKUP($D76,'Visu totale'!$D:$DH,BW$1,0),1)="V",IF(BV76&gt;=INDEX('[1]Définition Maintenances'!$G:$G,MATCH($A76,'[1]Définition Maintenances'!$K:$K,0)),BV76,INDEX('[1]Définition Maintenances'!$G:$G,MATCH($A76,'[1]Définition Maintenances'!$K:$K,0))+BV76),BV76))</f>
        <v>1200</v>
      </c>
      <c r="BX76" s="26">
        <f>IF(ISNUMBER(VLOOKUP($D76,'Visu totale'!$D:$DH,BX$1,0)),BW76-VLOOKUP($D76,'Visu totale'!$D:$DH,BX$1,0),IF(LEFT(VLOOKUP($D76,'Visu totale'!$D:$DH,BX$1,0),1)="V",IF(BW76&gt;=INDEX('[1]Définition Maintenances'!$G:$G,MATCH($A76,'[1]Définition Maintenances'!$K:$K,0)),BW76,INDEX('[1]Définition Maintenances'!$G:$G,MATCH($A76,'[1]Définition Maintenances'!$K:$K,0))+BW76),BW76))</f>
        <v>1200</v>
      </c>
      <c r="BY76" s="27">
        <f>IF(ISNUMBER(VLOOKUP($D76,'Visu totale'!$D:$DH,BY$1,0)),BX76-VLOOKUP($D76,'Visu totale'!$D:$DH,BY$1,0),IF(LEFT(VLOOKUP($D76,'Visu totale'!$D:$DH,BY$1,0),1)="V",IF(BX76&gt;=INDEX('[1]Définition Maintenances'!$G:$G,MATCH($A76,'[1]Définition Maintenances'!$K:$K,0)),BX76,INDEX('[1]Définition Maintenances'!$G:$G,MATCH($A76,'[1]Définition Maintenances'!$K:$K,0))+BX76),BX76))</f>
        <v>1200</v>
      </c>
      <c r="BZ76" s="25">
        <f>IF(ISNUMBER(VLOOKUP($D76,'Visu totale'!$D:$DH,BZ$1,0)),BY76-VLOOKUP($D76,'Visu totale'!$D:$DH,BZ$1,0),IF(LEFT(VLOOKUP($D76,'Visu totale'!$D:$DH,BZ$1,0),1)="V",IF(BY76&gt;=INDEX('[1]Définition Maintenances'!$G:$G,MATCH($A76,'[1]Définition Maintenances'!$K:$K,0)),BY76,INDEX('[1]Définition Maintenances'!$G:$G,MATCH($A76,'[1]Définition Maintenances'!$K:$K,0))+BY76),BY76))</f>
        <v>1200</v>
      </c>
      <c r="CA76" s="26">
        <f>IF(ISNUMBER(VLOOKUP($D76,'Visu totale'!$D:$DH,CA$1,0)),BZ76-VLOOKUP($D76,'Visu totale'!$D:$DH,CA$1,0),IF(LEFT(VLOOKUP($D76,'Visu totale'!$D:$DH,CA$1,0),1)="V",IF(BZ76&gt;=INDEX('[1]Définition Maintenances'!$G:$G,MATCH($A76,'[1]Définition Maintenances'!$K:$K,0)),BZ76,INDEX('[1]Définition Maintenances'!$G:$G,MATCH($A76,'[1]Définition Maintenances'!$K:$K,0))+BZ76),BZ76))</f>
        <v>1200</v>
      </c>
      <c r="CB76" s="26">
        <f>IF(ISNUMBER(VLOOKUP($D76,'Visu totale'!$D:$DH,CB$1,0)),CA76-VLOOKUP($D76,'Visu totale'!$D:$DH,CB$1,0),IF(LEFT(VLOOKUP($D76,'Visu totale'!$D:$DH,CB$1,0),1)="V",IF(CA76&gt;=INDEX('[1]Définition Maintenances'!$G:$G,MATCH($A76,'[1]Définition Maintenances'!$K:$K,0)),CA76,INDEX('[1]Définition Maintenances'!$G:$G,MATCH($A76,'[1]Définition Maintenances'!$K:$K,0))+CA76),CA76))</f>
        <v>1200</v>
      </c>
      <c r="CC76" s="26">
        <f>IF(ISNUMBER(VLOOKUP($D76,'Visu totale'!$D:$DH,CC$1,0)),CB76-VLOOKUP($D76,'Visu totale'!$D:$DH,CC$1,0),IF(LEFT(VLOOKUP($D76,'Visu totale'!$D:$DH,CC$1,0),1)="V",IF(CB76&gt;=INDEX('[1]Définition Maintenances'!$G:$G,MATCH($A76,'[1]Définition Maintenances'!$K:$K,0)),CB76,INDEX('[1]Définition Maintenances'!$G:$G,MATCH($A76,'[1]Définition Maintenances'!$K:$K,0))+CB76),CB76))</f>
        <v>1200</v>
      </c>
      <c r="CD76" s="26">
        <f>IF(ISNUMBER(VLOOKUP($D76,'Visu totale'!$D:$DH,CD$1,0)),CC76-VLOOKUP($D76,'Visu totale'!$D:$DH,CD$1,0),IF(LEFT(VLOOKUP($D76,'Visu totale'!$D:$DH,CD$1,0),1)="V",IF(CC76&gt;=INDEX('[1]Définition Maintenances'!$G:$G,MATCH($A76,'[1]Définition Maintenances'!$K:$K,0)),CC76,INDEX('[1]Définition Maintenances'!$G:$G,MATCH($A76,'[1]Définition Maintenances'!$K:$K,0))+CC76),CC76))</f>
        <v>1200</v>
      </c>
      <c r="CE76" s="26">
        <f>IF(ISNUMBER(VLOOKUP($D76,'Visu totale'!$D:$DH,CE$1,0)),CD76-VLOOKUP($D76,'Visu totale'!$D:$DH,CE$1,0),IF(LEFT(VLOOKUP($D76,'Visu totale'!$D:$DH,CE$1,0),1)="V",IF(CD76&gt;=INDEX('[1]Définition Maintenances'!$G:$G,MATCH($A76,'[1]Définition Maintenances'!$K:$K,0)),CD76,INDEX('[1]Définition Maintenances'!$G:$G,MATCH($A76,'[1]Définition Maintenances'!$K:$K,0))+CD76),CD76))</f>
        <v>1200</v>
      </c>
      <c r="CF76" s="26">
        <f>IF(ISNUMBER(VLOOKUP($D76,'Visu totale'!$D:$DH,CF$1,0)),CE76-VLOOKUP($D76,'Visu totale'!$D:$DH,CF$1,0),IF(LEFT(VLOOKUP($D76,'Visu totale'!$D:$DH,CF$1,0),1)="V",IF(CE76&gt;=INDEX('[1]Définition Maintenances'!$G:$G,MATCH($A76,'[1]Définition Maintenances'!$K:$K,0)),CE76,INDEX('[1]Définition Maintenances'!$G:$G,MATCH($A76,'[1]Définition Maintenances'!$K:$K,0))+CE76),CE76))</f>
        <v>1200</v>
      </c>
      <c r="CG76" s="26">
        <f>IF(ISNUMBER(VLOOKUP($D76,'Visu totale'!$D:$DH,CG$1,0)),CF76-VLOOKUP($D76,'Visu totale'!$D:$DH,CG$1,0),IF(LEFT(VLOOKUP($D76,'Visu totale'!$D:$DH,CG$1,0),1)="V",IF(CF76&gt;=INDEX('[1]Définition Maintenances'!$G:$G,MATCH($A76,'[1]Définition Maintenances'!$K:$K,0)),CF76,INDEX('[1]Définition Maintenances'!$G:$G,MATCH($A76,'[1]Définition Maintenances'!$K:$K,0))+CF76),CF76))</f>
        <v>1200</v>
      </c>
      <c r="CH76" s="26">
        <f>IF(ISNUMBER(VLOOKUP($D76,'Visu totale'!$D:$DH,CH$1,0)),CG76-VLOOKUP($D76,'Visu totale'!$D:$DH,CH$1,0),IF(LEFT(VLOOKUP($D76,'Visu totale'!$D:$DH,CH$1,0),1)="V",IF(CG76&gt;=INDEX('[1]Définition Maintenances'!$G:$G,MATCH($A76,'[1]Définition Maintenances'!$K:$K,0)),CG76,INDEX('[1]Définition Maintenances'!$G:$G,MATCH($A76,'[1]Définition Maintenances'!$K:$K,0))+CG76),CG76))</f>
        <v>1200</v>
      </c>
      <c r="CI76" s="26">
        <f>IF(ISNUMBER(VLOOKUP($D76,'Visu totale'!$D:$DH,CI$1,0)),CH76-VLOOKUP($D76,'Visu totale'!$D:$DH,CI$1,0),IF(LEFT(VLOOKUP($D76,'Visu totale'!$D:$DH,CI$1,0),1)="V",IF(CH76&gt;=INDEX('[1]Définition Maintenances'!$G:$G,MATCH($A76,'[1]Définition Maintenances'!$K:$K,0)),CH76,INDEX('[1]Définition Maintenances'!$G:$G,MATCH($A76,'[1]Définition Maintenances'!$K:$K,0))+CH76),CH76))</f>
        <v>1200</v>
      </c>
      <c r="CJ76" s="26">
        <f>IF(ISNUMBER(VLOOKUP($D76,'Visu totale'!$D:$DH,CJ$1,0)),CI76-VLOOKUP($D76,'Visu totale'!$D:$DH,CJ$1,0),IF(LEFT(VLOOKUP($D76,'Visu totale'!$D:$DH,CJ$1,0),1)="V",IF(CI76&gt;=INDEX('[1]Définition Maintenances'!$G:$G,MATCH($A76,'[1]Définition Maintenances'!$K:$K,0)),CI76,INDEX('[1]Définition Maintenances'!$G:$G,MATCH($A76,'[1]Définition Maintenances'!$K:$K,0))+CI76),CI76))</f>
        <v>1200</v>
      </c>
      <c r="CK76" s="27">
        <f>IF(ISNUMBER(VLOOKUP($D76,'Visu totale'!$D:$DH,CK$1,0)),CJ76-VLOOKUP($D76,'Visu totale'!$D:$DH,CK$1,0),IF(LEFT(VLOOKUP($D76,'Visu totale'!$D:$DH,CK$1,0),1)="V",IF(CJ76&gt;=INDEX('[1]Définition Maintenances'!$G:$G,MATCH($A76,'[1]Définition Maintenances'!$K:$K,0)),CJ76,INDEX('[1]Définition Maintenances'!$G:$G,MATCH($A76,'[1]Définition Maintenances'!$K:$K,0))+CJ76),CJ76))</f>
        <v>1200</v>
      </c>
      <c r="CL76" s="25">
        <f>IF(ISNUMBER(VLOOKUP($D76,'Visu totale'!$D:$DH,CL$1,0)),CK76-VLOOKUP($D76,'Visu totale'!$D:$DH,CL$1,0),IF(LEFT(VLOOKUP($D76,'Visu totale'!$D:$DH,CL$1,0),1)="V",IF(CK76&gt;=INDEX('[1]Définition Maintenances'!$G:$G,MATCH($A76,'[1]Définition Maintenances'!$K:$K,0)),CK76,INDEX('[1]Définition Maintenances'!$G:$G,MATCH($A76,'[1]Définition Maintenances'!$K:$K,0))+CK76),CK76))</f>
        <v>1200</v>
      </c>
      <c r="CM76" s="26">
        <f>IF(ISNUMBER(VLOOKUP($D76,'Visu totale'!$D:$DH,CM$1,0)),CL76-VLOOKUP($D76,'Visu totale'!$D:$DH,CM$1,0),IF(LEFT(VLOOKUP($D76,'Visu totale'!$D:$DH,CM$1,0),1)="V",IF(CL76&gt;=INDEX('[1]Définition Maintenances'!$G:$G,MATCH($A76,'[1]Définition Maintenances'!$K:$K,0)),CL76,INDEX('[1]Définition Maintenances'!$G:$G,MATCH($A76,'[1]Définition Maintenances'!$K:$K,0))+CL76),CL76))</f>
        <v>1200</v>
      </c>
      <c r="CN76" s="26">
        <f>IF(ISNUMBER(VLOOKUP($D76,'Visu totale'!$D:$DH,CN$1,0)),CM76-VLOOKUP($D76,'Visu totale'!$D:$DH,CN$1,0),IF(LEFT(VLOOKUP($D76,'Visu totale'!$D:$DH,CN$1,0),1)="V",IF(CM76&gt;=INDEX('[1]Définition Maintenances'!$G:$G,MATCH($A76,'[1]Définition Maintenances'!$K:$K,0)),CM76,INDEX('[1]Définition Maintenances'!$G:$G,MATCH($A76,'[1]Définition Maintenances'!$K:$K,0))+CM76),CM76))</f>
        <v>1200</v>
      </c>
      <c r="CO76" s="26">
        <f>IF(ISNUMBER(VLOOKUP($D76,'Visu totale'!$D:$DH,CO$1,0)),CN76-VLOOKUP($D76,'Visu totale'!$D:$DH,CO$1,0),IF(LEFT(VLOOKUP($D76,'Visu totale'!$D:$DH,CO$1,0),1)="V",IF(CN76&gt;=INDEX('[1]Définition Maintenances'!$G:$G,MATCH($A76,'[1]Définition Maintenances'!$K:$K,0)),CN76,INDEX('[1]Définition Maintenances'!$G:$G,MATCH($A76,'[1]Définition Maintenances'!$K:$K,0))+CN76),CN76))</f>
        <v>1200</v>
      </c>
      <c r="CP76" s="26">
        <f>IF(ISNUMBER(VLOOKUP($D76,'Visu totale'!$D:$DH,CP$1,0)),CO76-VLOOKUP($D76,'Visu totale'!$D:$DH,CP$1,0),IF(LEFT(VLOOKUP($D76,'Visu totale'!$D:$DH,CP$1,0),1)="V",IF(CO76&gt;=INDEX('[1]Définition Maintenances'!$G:$G,MATCH($A76,'[1]Définition Maintenances'!$K:$K,0)),CO76,INDEX('[1]Définition Maintenances'!$G:$G,MATCH($A76,'[1]Définition Maintenances'!$K:$K,0))+CO76),CO76))</f>
        <v>1200</v>
      </c>
      <c r="CQ76" s="26">
        <f>IF(ISNUMBER(VLOOKUP($D76,'Visu totale'!$D:$DH,CQ$1,0)),CP76-VLOOKUP($D76,'Visu totale'!$D:$DH,CQ$1,0),IF(LEFT(VLOOKUP($D76,'Visu totale'!$D:$DH,CQ$1,0),1)="V",IF(CP76&gt;=INDEX('[1]Définition Maintenances'!$G:$G,MATCH($A76,'[1]Définition Maintenances'!$K:$K,0)),CP76,INDEX('[1]Définition Maintenances'!$G:$G,MATCH($A76,'[1]Définition Maintenances'!$K:$K,0))+CP76),CP76))</f>
        <v>1200</v>
      </c>
      <c r="CR76" s="26">
        <f>IF(ISNUMBER(VLOOKUP($D76,'Visu totale'!$D:$DH,CR$1,0)),CQ76-VLOOKUP($D76,'Visu totale'!$D:$DH,CR$1,0),IF(LEFT(VLOOKUP($D76,'Visu totale'!$D:$DH,CR$1,0),1)="V",IF(CQ76&gt;=INDEX('[1]Définition Maintenances'!$G:$G,MATCH($A76,'[1]Définition Maintenances'!$K:$K,0)),CQ76,INDEX('[1]Définition Maintenances'!$G:$G,MATCH($A76,'[1]Définition Maintenances'!$K:$K,0))+CQ76),CQ76))</f>
        <v>1200</v>
      </c>
      <c r="CS76" s="26">
        <f>IF(ISNUMBER(VLOOKUP($D76,'Visu totale'!$D:$DH,CS$1,0)),CR76-VLOOKUP($D76,'Visu totale'!$D:$DH,CS$1,0),IF(LEFT(VLOOKUP($D76,'Visu totale'!$D:$DH,CS$1,0),1)="V",IF(CR76&gt;=INDEX('[1]Définition Maintenances'!$G:$G,MATCH($A76,'[1]Définition Maintenances'!$K:$K,0)),CR76,INDEX('[1]Définition Maintenances'!$G:$G,MATCH($A76,'[1]Définition Maintenances'!$K:$K,0))+CR76),CR76))</f>
        <v>1200</v>
      </c>
      <c r="CT76" s="26">
        <f>IF(ISNUMBER(VLOOKUP($D76,'Visu totale'!$D:$DH,CT$1,0)),CS76-VLOOKUP($D76,'Visu totale'!$D:$DH,CT$1,0),IF(LEFT(VLOOKUP($D76,'Visu totale'!$D:$DH,CT$1,0),1)="V",IF(CS76&gt;=INDEX('[1]Définition Maintenances'!$G:$G,MATCH($A76,'[1]Définition Maintenances'!$K:$K,0)),CS76,INDEX('[1]Définition Maintenances'!$G:$G,MATCH($A76,'[1]Définition Maintenances'!$K:$K,0))+CS76),CS76))</f>
        <v>1200</v>
      </c>
      <c r="CU76" s="26">
        <f>IF(ISNUMBER(VLOOKUP($D76,'Visu totale'!$D:$DH,CU$1,0)),CT76-VLOOKUP($D76,'Visu totale'!$D:$DH,CU$1,0),IF(LEFT(VLOOKUP($D76,'Visu totale'!$D:$DH,CU$1,0),1)="V",IF(CT76&gt;=INDEX('[1]Définition Maintenances'!$G:$G,MATCH($A76,'[1]Définition Maintenances'!$K:$K,0)),CT76,INDEX('[1]Définition Maintenances'!$G:$G,MATCH($A76,'[1]Définition Maintenances'!$K:$K,0))+CT76),CT76))</f>
        <v>1200</v>
      </c>
      <c r="CV76" s="26">
        <f>IF(ISNUMBER(VLOOKUP($D76,'Visu totale'!$D:$DH,CV$1,0)),CU76-VLOOKUP($D76,'Visu totale'!$D:$DH,CV$1,0),IF(LEFT(VLOOKUP($D76,'Visu totale'!$D:$DH,CV$1,0),1)="V",IF(CU76&gt;=INDEX('[1]Définition Maintenances'!$G:$G,MATCH($A76,'[1]Définition Maintenances'!$K:$K,0)),CU76,INDEX('[1]Définition Maintenances'!$G:$G,MATCH($A76,'[1]Définition Maintenances'!$K:$K,0))+CU76),CU76))</f>
        <v>1200</v>
      </c>
      <c r="CW76" s="27">
        <f>IF(ISNUMBER(VLOOKUP($D76,'Visu totale'!$D:$DH,CW$1,0)),CV76-VLOOKUP($D76,'Visu totale'!$D:$DH,CW$1,0),IF(LEFT(VLOOKUP($D76,'Visu totale'!$D:$DH,CW$1,0),1)="V",IF(CV76&gt;=INDEX('[1]Définition Maintenances'!$G:$G,MATCH($A76,'[1]Définition Maintenances'!$K:$K,0)),CV76,INDEX('[1]Définition Maintenances'!$G:$G,MATCH($A76,'[1]Définition Maintenances'!$K:$K,0))+CV76),CV76))</f>
        <v>1200</v>
      </c>
      <c r="CX76" s="25">
        <f>IF(ISNUMBER(VLOOKUP($D76,'Visu totale'!$D:$DH,CX$1,0)),CW76-VLOOKUP($D76,'Visu totale'!$D:$DH,CX$1,0),IF(LEFT(VLOOKUP($D76,'Visu totale'!$D:$DH,CX$1,0),1)="V",IF(CW76&gt;=INDEX('[1]Définition Maintenances'!$G:$G,MATCH($A76,'[1]Définition Maintenances'!$K:$K,0)),CW76,INDEX('[1]Définition Maintenances'!$G:$G,MATCH($A76,'[1]Définition Maintenances'!$K:$K,0))+CW76),CW76))</f>
        <v>1200</v>
      </c>
      <c r="CY76" s="26">
        <f>IF(ISNUMBER(VLOOKUP($D76,'Visu totale'!$D:$DH,CY$1,0)),CX76-VLOOKUP($D76,'Visu totale'!$D:$DH,CY$1,0),IF(LEFT(VLOOKUP($D76,'Visu totale'!$D:$DH,CY$1,0),1)="V",IF(CX76&gt;=INDEX('[1]Définition Maintenances'!$G:$G,MATCH($A76,'[1]Définition Maintenances'!$K:$K,0)),CX76,INDEX('[1]Définition Maintenances'!$G:$G,MATCH($A76,'[1]Définition Maintenances'!$K:$K,0))+CX76),CX76))</f>
        <v>1200</v>
      </c>
      <c r="CZ76" s="26">
        <f>IF(ISNUMBER(VLOOKUP($D76,'Visu totale'!$D:$DH,CZ$1,0)),CY76-VLOOKUP($D76,'Visu totale'!$D:$DH,CZ$1,0),IF(LEFT(VLOOKUP($D76,'Visu totale'!$D:$DH,CZ$1,0),1)="V",IF(CY76&gt;=INDEX('[1]Définition Maintenances'!$G:$G,MATCH($A76,'[1]Définition Maintenances'!$K:$K,0)),CY76,INDEX('[1]Définition Maintenances'!$G:$G,MATCH($A76,'[1]Définition Maintenances'!$K:$K,0))+CY76),CY76))</f>
        <v>1200</v>
      </c>
      <c r="DA76" s="26">
        <f>IF(ISNUMBER(VLOOKUP($D76,'Visu totale'!$D:$DH,DA$1,0)),CZ76-VLOOKUP($D76,'Visu totale'!$D:$DH,DA$1,0),IF(LEFT(VLOOKUP($D76,'Visu totale'!$D:$DH,DA$1,0),1)="V",IF(CZ76&gt;=INDEX('[1]Définition Maintenances'!$G:$G,MATCH($A76,'[1]Définition Maintenances'!$K:$K,0)),CZ76,INDEX('[1]Définition Maintenances'!$G:$G,MATCH($A76,'[1]Définition Maintenances'!$K:$K,0))+CZ76),CZ76))</f>
        <v>1200</v>
      </c>
      <c r="DB76" s="26">
        <f>IF(ISNUMBER(VLOOKUP($D76,'Visu totale'!$D:$DH,DB$1,0)),DA76-VLOOKUP($D76,'Visu totale'!$D:$DH,DB$1,0),IF(LEFT(VLOOKUP($D76,'Visu totale'!$D:$DH,DB$1,0),1)="V",IF(DA76&gt;=INDEX('[1]Définition Maintenances'!$G:$G,MATCH($A76,'[1]Définition Maintenances'!$K:$K,0)),DA76,INDEX('[1]Définition Maintenances'!$G:$G,MATCH($A76,'[1]Définition Maintenances'!$K:$K,0))+DA76),DA76))</f>
        <v>1200</v>
      </c>
      <c r="DC76" s="26">
        <f>IF(ISNUMBER(VLOOKUP($D76,'Visu totale'!$D:$DH,DC$1,0)),DB76-VLOOKUP($D76,'Visu totale'!$D:$DH,DC$1,0),IF(LEFT(VLOOKUP($D76,'Visu totale'!$D:$DH,DC$1,0),1)="V",IF(DB76&gt;=INDEX('[1]Définition Maintenances'!$G:$G,MATCH($A76,'[1]Définition Maintenances'!$K:$K,0)),DB76,INDEX('[1]Définition Maintenances'!$G:$G,MATCH($A76,'[1]Définition Maintenances'!$K:$K,0))+DB76),DB76))</f>
        <v>1200</v>
      </c>
      <c r="DD76" s="26">
        <f>IF(ISNUMBER(VLOOKUP($D76,'Visu totale'!$D:$DH,DD$1,0)),DC76-VLOOKUP($D76,'Visu totale'!$D:$DH,DD$1,0),IF(LEFT(VLOOKUP($D76,'Visu totale'!$D:$DH,DD$1,0),1)="V",IF(DC76&gt;=INDEX('[1]Définition Maintenances'!$G:$G,MATCH($A76,'[1]Définition Maintenances'!$K:$K,0)),DC76,INDEX('[1]Définition Maintenances'!$G:$G,MATCH($A76,'[1]Définition Maintenances'!$K:$K,0))+DC76),DC76))</f>
        <v>1200</v>
      </c>
      <c r="DE76" s="26">
        <f>IF(ISNUMBER(VLOOKUP($D76,'Visu totale'!$D:$DH,DE$1,0)),DD76-VLOOKUP($D76,'Visu totale'!$D:$DH,DE$1,0),IF(LEFT(VLOOKUP($D76,'Visu totale'!$D:$DH,DE$1,0),1)="V",IF(DD76&gt;=INDEX('[1]Définition Maintenances'!$G:$G,MATCH($A76,'[1]Définition Maintenances'!$K:$K,0)),DD76,INDEX('[1]Définition Maintenances'!$G:$G,MATCH($A76,'[1]Définition Maintenances'!$K:$K,0))+DD76),DD76))</f>
        <v>1200</v>
      </c>
      <c r="DF76" s="26">
        <f>IF(ISNUMBER(VLOOKUP($D76,'Visu totale'!$D:$DH,DF$1,0)),DE76-VLOOKUP($D76,'Visu totale'!$D:$DH,DF$1,0),IF(LEFT(VLOOKUP($D76,'Visu totale'!$D:$DH,DF$1,0),1)="V",IF(DE76&gt;=INDEX('[1]Définition Maintenances'!$G:$G,MATCH($A76,'[1]Définition Maintenances'!$K:$K,0)),DE76,INDEX('[1]Définition Maintenances'!$G:$G,MATCH($A76,'[1]Définition Maintenances'!$K:$K,0))+DE76),DE76))</f>
        <v>1200</v>
      </c>
      <c r="DG76" s="26">
        <f>IF(ISNUMBER(VLOOKUP($D76,'Visu totale'!$D:$DH,DG$1,0)),DF76-VLOOKUP($D76,'Visu totale'!$D:$DH,DG$1,0),IF(LEFT(VLOOKUP($D76,'Visu totale'!$D:$DH,DG$1,0),1)="V",IF(DF76&gt;=INDEX('[1]Définition Maintenances'!$G:$G,MATCH($A76,'[1]Définition Maintenances'!$K:$K,0)),DF76,INDEX('[1]Définition Maintenances'!$G:$G,MATCH($A76,'[1]Définition Maintenances'!$K:$K,0))+DF76),DF76))</f>
        <v>1200</v>
      </c>
      <c r="DH76" s="26">
        <f>IF(ISNUMBER(VLOOKUP($D76,'Visu totale'!$D:$DH,DH$1,0)),DG76-VLOOKUP($D76,'Visu totale'!$D:$DH,DH$1,0),IF(LEFT(VLOOKUP($D76,'Visu totale'!$D:$DH,DH$1,0),1)="V",IF(DG76&gt;=INDEX('[1]Définition Maintenances'!$G:$G,MATCH($A76,'[1]Définition Maintenances'!$K:$K,0)),DG76,INDEX('[1]Définition Maintenances'!$G:$G,MATCH($A76,'[1]Définition Maintenances'!$K:$K,0))+DG76),DG76))</f>
        <v>1200</v>
      </c>
      <c r="DI76" s="27">
        <f>IF(ISNUMBER(VLOOKUP($D76,'Visu totale'!$D:$DH,DI$1,0)),DH76-VLOOKUP($D76,'Visu totale'!$D:$DH,DI$1,0),IF(LEFT(VLOOKUP($D76,'Visu totale'!$D:$DH,DI$1,0),1)="V",IF(DH76&gt;=INDEX('[1]Définition Maintenances'!$G:$G,MATCH($A76,'[1]Définition Maintenances'!$K:$K,0)),DH76,INDEX('[1]Définition Maintenances'!$G:$G,MATCH($A76,'[1]Définition Maintenances'!$K:$K,0))+DH76),DH76))</f>
        <v>1200</v>
      </c>
    </row>
    <row r="77" spans="1:113" x14ac:dyDescent="0.25">
      <c r="A77" s="13" t="str">
        <f t="shared" si="2"/>
        <v>V10B</v>
      </c>
      <c r="B77" s="13" t="str">
        <f>VLOOKUP(D77,'[1]Avions (Potentiels)'!$B$2:$H$128,7,FALSE)</f>
        <v>V10</v>
      </c>
      <c r="C77" s="13"/>
      <c r="D77" s="16" t="s">
        <v>80</v>
      </c>
      <c r="E77" s="13">
        <f>IFERROR(VALUE(SUBSTITUTE(VLOOKUP(D77,'[1]Avions (Potentiels)'!$B:$E,4,0),".",",")),VALUE(VLOOKUP(D77,'[1]Avions (Potentiels)'!$B:$E,4,0)))</f>
        <v>773</v>
      </c>
      <c r="F77" s="25">
        <f>IF(ISNUMBER(VLOOKUP($D77,'Visu totale'!$D:$DH,F$1,0)),E77-VLOOKUP($D77,'Visu totale'!$D:$DH,F$1,0),IF(LEFT(VLOOKUP($D77,'Visu totale'!$D:$DH,F$1,0),1)="V",IF(E77&gt;=INDEX('[1]Définition Maintenances'!$G:$G,MATCH($A77,'[1]Définition Maintenances'!$K:$K,0)),E77,INDEX('[1]Définition Maintenances'!$G:$G,MATCH($A77,'[1]Définition Maintenances'!$K:$K,0))+E77),E77))</f>
        <v>773</v>
      </c>
      <c r="G77" s="26">
        <f>IF(ISNUMBER(VLOOKUP($D77,'Visu totale'!$D:$DH,G$1,0)),F77-VLOOKUP($D77,'Visu totale'!$D:$DH,G$1,0),IF(LEFT(VLOOKUP($D77,'Visu totale'!$D:$DH,G$1,0),1)="V",IF(F77&gt;=INDEX('[1]Définition Maintenances'!$G:$G,MATCH($A77,'[1]Définition Maintenances'!$K:$K,0)),F77,INDEX('[1]Définition Maintenances'!$G:$G,MATCH($A77,'[1]Définition Maintenances'!$K:$K,0))+F77),F77))</f>
        <v>773</v>
      </c>
      <c r="H77" s="26">
        <f>IF(ISNUMBER(VLOOKUP($D77,'Visu totale'!$D:$DH,H$1,0)),G77-VLOOKUP($D77,'Visu totale'!$D:$DH,H$1,0),IF(LEFT(VLOOKUP($D77,'Visu totale'!$D:$DH,H$1,0),1)="V",IF(G77&gt;=INDEX('[1]Définition Maintenances'!$G:$G,MATCH($A77,'[1]Définition Maintenances'!$K:$K,0)),G77,INDEX('[1]Définition Maintenances'!$G:$G,MATCH($A77,'[1]Définition Maintenances'!$K:$K,0))+G77),G77))</f>
        <v>773</v>
      </c>
      <c r="I77" s="26">
        <f>IF(ISNUMBER(VLOOKUP($D77,'Visu totale'!$D:$DH,I$1,0)),H77-VLOOKUP($D77,'Visu totale'!$D:$DH,I$1,0),IF(LEFT(VLOOKUP($D77,'Visu totale'!$D:$DH,I$1,0),1)="V",IF(H77&gt;=INDEX('[1]Définition Maintenances'!$G:$G,MATCH($A77,'[1]Définition Maintenances'!$K:$K,0)),H77,INDEX('[1]Définition Maintenances'!$G:$G,MATCH($A77,'[1]Définition Maintenances'!$K:$K,0))+H77),H77))</f>
        <v>773</v>
      </c>
      <c r="J77" s="26">
        <f>IF(ISNUMBER(VLOOKUP($D77,'Visu totale'!$D:$DH,J$1,0)),I77-VLOOKUP($D77,'Visu totale'!$D:$DH,J$1,0),IF(LEFT(VLOOKUP($D77,'Visu totale'!$D:$DH,J$1,0),1)="V",IF(I77&gt;=INDEX('[1]Définition Maintenances'!$G:$G,MATCH($A77,'[1]Définition Maintenances'!$K:$K,0)),I77,INDEX('[1]Définition Maintenances'!$G:$G,MATCH($A77,'[1]Définition Maintenances'!$K:$K,0))+I77),I77))</f>
        <v>773</v>
      </c>
      <c r="K77" s="26">
        <f>IF(ISNUMBER(VLOOKUP($D77,'Visu totale'!$D:$DH,K$1,0)),J77-VLOOKUP($D77,'Visu totale'!$D:$DH,K$1,0),IF(LEFT(VLOOKUP($D77,'Visu totale'!$D:$DH,K$1,0),1)="V",IF(J77&gt;=INDEX('[1]Définition Maintenances'!$G:$G,MATCH($A77,'[1]Définition Maintenances'!$K:$K,0)),J77,INDEX('[1]Définition Maintenances'!$G:$G,MATCH($A77,'[1]Définition Maintenances'!$K:$K,0))+J77),J77))</f>
        <v>773</v>
      </c>
      <c r="L77" s="26">
        <f>IF(ISNUMBER(VLOOKUP($D77,'Visu totale'!$D:$DH,L$1,0)),K77-VLOOKUP($D77,'Visu totale'!$D:$DH,L$1,0),IF(LEFT(VLOOKUP($D77,'Visu totale'!$D:$DH,L$1,0),1)="V",IF(K77&gt;=INDEX('[1]Définition Maintenances'!$G:$G,MATCH($A77,'[1]Définition Maintenances'!$K:$K,0)),K77,INDEX('[1]Définition Maintenances'!$G:$G,MATCH($A77,'[1]Définition Maintenances'!$K:$K,0))+K77),K77))</f>
        <v>773</v>
      </c>
      <c r="M77" s="26">
        <f>IF(ISNUMBER(VLOOKUP($D77,'Visu totale'!$D:$DH,M$1,0)),L77-VLOOKUP($D77,'Visu totale'!$D:$DH,M$1,0),IF(LEFT(VLOOKUP($D77,'Visu totale'!$D:$DH,M$1,0),1)="V",IF(L77&gt;=INDEX('[1]Définition Maintenances'!$G:$G,MATCH($A77,'[1]Définition Maintenances'!$K:$K,0)),L77,INDEX('[1]Définition Maintenances'!$G:$G,MATCH($A77,'[1]Définition Maintenances'!$K:$K,0))+L77),L77))</f>
        <v>773</v>
      </c>
      <c r="N77" s="26">
        <f>IF(ISNUMBER(VLOOKUP($D77,'Visu totale'!$D:$DH,N$1,0)),M77-VLOOKUP($D77,'Visu totale'!$D:$DH,N$1,0),IF(LEFT(VLOOKUP($D77,'Visu totale'!$D:$DH,N$1,0),1)="V",IF(M77&gt;=INDEX('[1]Définition Maintenances'!$G:$G,MATCH($A77,'[1]Définition Maintenances'!$K:$K,0)),M77,INDEX('[1]Définition Maintenances'!$G:$G,MATCH($A77,'[1]Définition Maintenances'!$K:$K,0))+M77),M77))</f>
        <v>773</v>
      </c>
      <c r="O77" s="26">
        <f>IF(ISNUMBER(VLOOKUP($D77,'Visu totale'!$D:$DH,O$1,0)),N77-VLOOKUP($D77,'Visu totale'!$D:$DH,O$1,0),IF(LEFT(VLOOKUP($D77,'Visu totale'!$D:$DH,O$1,0),1)="V",IF(N77&gt;=INDEX('[1]Définition Maintenances'!$G:$G,MATCH($A77,'[1]Définition Maintenances'!$K:$K,0)),N77,INDEX('[1]Définition Maintenances'!$G:$G,MATCH($A77,'[1]Définition Maintenances'!$K:$K,0))+N77),N77))</f>
        <v>773</v>
      </c>
      <c r="P77" s="26">
        <f>IF(ISNUMBER(VLOOKUP($D77,'Visu totale'!$D:$DH,P$1,0)),O77-VLOOKUP($D77,'Visu totale'!$D:$DH,P$1,0),IF(LEFT(VLOOKUP($D77,'Visu totale'!$D:$DH,P$1,0),1)="V",IF(O77&gt;=INDEX('[1]Définition Maintenances'!$G:$G,MATCH($A77,'[1]Définition Maintenances'!$K:$K,0)),O77,INDEX('[1]Définition Maintenances'!$G:$G,MATCH($A77,'[1]Définition Maintenances'!$K:$K,0))+O77),O77))</f>
        <v>773</v>
      </c>
      <c r="Q77" s="27">
        <f>IF(ISNUMBER(VLOOKUP($D77,'Visu totale'!$D:$DH,Q$1,0)),P77-VLOOKUP($D77,'Visu totale'!$D:$DH,Q$1,0),IF(LEFT(VLOOKUP($D77,'Visu totale'!$D:$DH,Q$1,0),1)="V",IF(P77&gt;=INDEX('[1]Définition Maintenances'!$G:$G,MATCH($A77,'[1]Définition Maintenances'!$K:$K,0)),P77,INDEX('[1]Définition Maintenances'!$G:$G,MATCH($A77,'[1]Définition Maintenances'!$K:$K,0))+P77),P77))</f>
        <v>773</v>
      </c>
      <c r="R77" s="25">
        <f>IF(ISNUMBER(VLOOKUP($D77,'Visu totale'!$D:$DH,R$1,0)),Q77-VLOOKUP($D77,'Visu totale'!$D:$DH,R$1,0),IF(LEFT(VLOOKUP($D77,'Visu totale'!$D:$DH,R$1,0),1)="V",IF(Q77&gt;=INDEX('[1]Définition Maintenances'!$G:$G,MATCH($A77,'[1]Définition Maintenances'!$K:$K,0)),Q77,INDEX('[1]Définition Maintenances'!$G:$G,MATCH($A77,'[1]Définition Maintenances'!$K:$K,0))+Q77),Q77))</f>
        <v>773</v>
      </c>
      <c r="S77" s="26">
        <f>IF(ISNUMBER(VLOOKUP($D77,'Visu totale'!$D:$DH,S$1,0)),R77-VLOOKUP($D77,'Visu totale'!$D:$DH,S$1,0),IF(LEFT(VLOOKUP($D77,'Visu totale'!$D:$DH,S$1,0),1)="V",IF(R77&gt;=INDEX('[1]Définition Maintenances'!$G:$G,MATCH($A77,'[1]Définition Maintenances'!$K:$K,0)),R77,INDEX('[1]Définition Maintenances'!$G:$G,MATCH($A77,'[1]Définition Maintenances'!$K:$K,0))+R77),R77))</f>
        <v>773</v>
      </c>
      <c r="T77" s="26">
        <f>IF(ISNUMBER(VLOOKUP($D77,'Visu totale'!$D:$DH,T$1,0)),S77-VLOOKUP($D77,'Visu totale'!$D:$DH,T$1,0),IF(LEFT(VLOOKUP($D77,'Visu totale'!$D:$DH,T$1,0),1)="V",IF(S77&gt;=INDEX('[1]Définition Maintenances'!$G:$G,MATCH($A77,'[1]Définition Maintenances'!$K:$K,0)),S77,INDEX('[1]Définition Maintenances'!$G:$G,MATCH($A77,'[1]Définition Maintenances'!$K:$K,0))+S77),S77))</f>
        <v>773</v>
      </c>
      <c r="U77" s="26">
        <f>IF(ISNUMBER(VLOOKUP($D77,'Visu totale'!$D:$DH,U$1,0)),T77-VLOOKUP($D77,'Visu totale'!$D:$DH,U$1,0),IF(LEFT(VLOOKUP($D77,'Visu totale'!$D:$DH,U$1,0),1)="V",IF(T77&gt;=INDEX('[1]Définition Maintenances'!$G:$G,MATCH($A77,'[1]Définition Maintenances'!$K:$K,0)),T77,INDEX('[1]Définition Maintenances'!$G:$G,MATCH($A77,'[1]Définition Maintenances'!$K:$K,0))+T77),T77))</f>
        <v>773</v>
      </c>
      <c r="V77" s="26">
        <f>IF(ISNUMBER(VLOOKUP($D77,'Visu totale'!$D:$DH,V$1,0)),U77-VLOOKUP($D77,'Visu totale'!$D:$DH,V$1,0),IF(LEFT(VLOOKUP($D77,'Visu totale'!$D:$DH,V$1,0),1)="V",IF(U77&gt;=INDEX('[1]Définition Maintenances'!$G:$G,MATCH($A77,'[1]Définition Maintenances'!$K:$K,0)),U77,INDEX('[1]Définition Maintenances'!$G:$G,MATCH($A77,'[1]Définition Maintenances'!$K:$K,0))+U77),U77))</f>
        <v>773</v>
      </c>
      <c r="W77" s="26">
        <f>IF(ISNUMBER(VLOOKUP($D77,'Visu totale'!$D:$DH,W$1,0)),V77-VLOOKUP($D77,'Visu totale'!$D:$DH,W$1,0),IF(LEFT(VLOOKUP($D77,'Visu totale'!$D:$DH,W$1,0),1)="V",IF(V77&gt;=INDEX('[1]Définition Maintenances'!$G:$G,MATCH($A77,'[1]Définition Maintenances'!$K:$K,0)),V77,INDEX('[1]Définition Maintenances'!$G:$G,MATCH($A77,'[1]Définition Maintenances'!$K:$K,0))+V77),V77))</f>
        <v>773</v>
      </c>
      <c r="X77" s="26">
        <f>IF(ISNUMBER(VLOOKUP($D77,'Visu totale'!$D:$DH,X$1,0)),W77-VLOOKUP($D77,'Visu totale'!$D:$DH,X$1,0),IF(LEFT(VLOOKUP($D77,'Visu totale'!$D:$DH,X$1,0),1)="V",IF(W77&gt;=INDEX('[1]Définition Maintenances'!$G:$G,MATCH($A77,'[1]Définition Maintenances'!$K:$K,0)),W77,INDEX('[1]Définition Maintenances'!$G:$G,MATCH($A77,'[1]Définition Maintenances'!$K:$K,0))+W77),W77))</f>
        <v>773</v>
      </c>
      <c r="Y77" s="26">
        <f>IF(ISNUMBER(VLOOKUP($D77,'Visu totale'!$D:$DH,Y$1,0)),X77-VLOOKUP($D77,'Visu totale'!$D:$DH,Y$1,0),IF(LEFT(VLOOKUP($D77,'Visu totale'!$D:$DH,Y$1,0),1)="V",IF(X77&gt;=INDEX('[1]Définition Maintenances'!$G:$G,MATCH($A77,'[1]Définition Maintenances'!$K:$K,0)),X77,INDEX('[1]Définition Maintenances'!$G:$G,MATCH($A77,'[1]Définition Maintenances'!$K:$K,0))+X77),X77))</f>
        <v>773</v>
      </c>
      <c r="Z77" s="26">
        <f>IF(ISNUMBER(VLOOKUP($D77,'Visu totale'!$D:$DH,Z$1,0)),Y77-VLOOKUP($D77,'Visu totale'!$D:$DH,Z$1,0),IF(LEFT(VLOOKUP($D77,'Visu totale'!$D:$DH,Z$1,0),1)="V",IF(Y77&gt;=INDEX('[1]Définition Maintenances'!$G:$G,MATCH($A77,'[1]Définition Maintenances'!$K:$K,0)),Y77,INDEX('[1]Définition Maintenances'!$G:$G,MATCH($A77,'[1]Définition Maintenances'!$K:$K,0))+Y77),Y77))</f>
        <v>773</v>
      </c>
      <c r="AA77" s="26">
        <f>IF(ISNUMBER(VLOOKUP($D77,'Visu totale'!$D:$DH,AA$1,0)),Z77-VLOOKUP($D77,'Visu totale'!$D:$DH,AA$1,0),IF(LEFT(VLOOKUP($D77,'Visu totale'!$D:$DH,AA$1,0),1)="V",IF(Z77&gt;=INDEX('[1]Définition Maintenances'!$G:$G,MATCH($A77,'[1]Définition Maintenances'!$K:$K,0)),Z77,INDEX('[1]Définition Maintenances'!$G:$G,MATCH($A77,'[1]Définition Maintenances'!$K:$K,0))+Z77),Z77))</f>
        <v>773</v>
      </c>
      <c r="AB77" s="26">
        <f>IF(ISNUMBER(VLOOKUP($D77,'Visu totale'!$D:$DH,AB$1,0)),AA77-VLOOKUP($D77,'Visu totale'!$D:$DH,AB$1,0),IF(LEFT(VLOOKUP($D77,'Visu totale'!$D:$DH,AB$1,0),1)="V",IF(AA77&gt;=INDEX('[1]Définition Maintenances'!$G:$G,MATCH($A77,'[1]Définition Maintenances'!$K:$K,0)),AA77,INDEX('[1]Définition Maintenances'!$G:$G,MATCH($A77,'[1]Définition Maintenances'!$K:$K,0))+AA77),AA77))</f>
        <v>773</v>
      </c>
      <c r="AC77" s="27">
        <f>IF(ISNUMBER(VLOOKUP($D77,'Visu totale'!$D:$DH,AC$1,0)),AB77-VLOOKUP($D77,'Visu totale'!$D:$DH,AC$1,0),IF(LEFT(VLOOKUP($D77,'Visu totale'!$D:$DH,AC$1,0),1)="V",IF(AB77&gt;=INDEX('[1]Définition Maintenances'!$G:$G,MATCH($A77,'[1]Définition Maintenances'!$K:$K,0)),AB77,INDEX('[1]Définition Maintenances'!$G:$G,MATCH($A77,'[1]Définition Maintenances'!$K:$K,0))+AB77),AB77))</f>
        <v>773</v>
      </c>
      <c r="AD77" s="25">
        <f>IF(ISNUMBER(VLOOKUP($D77,'Visu totale'!$D:$DH,AD$1,0)),AC77-VLOOKUP($D77,'Visu totale'!$D:$DH,AD$1,0),IF(LEFT(VLOOKUP($D77,'Visu totale'!$D:$DH,AD$1,0),1)="V",IF(AC77&gt;=INDEX('[1]Définition Maintenances'!$G:$G,MATCH($A77,'[1]Définition Maintenances'!$K:$K,0)),AC77,INDEX('[1]Définition Maintenances'!$G:$G,MATCH($A77,'[1]Définition Maintenances'!$K:$K,0))+AC77),AC77))</f>
        <v>773</v>
      </c>
      <c r="AE77" s="26">
        <f>IF(ISNUMBER(VLOOKUP($D77,'Visu totale'!$D:$DH,AE$1,0)),AD77-VLOOKUP($D77,'Visu totale'!$D:$DH,AE$1,0),IF(LEFT(VLOOKUP($D77,'Visu totale'!$D:$DH,AE$1,0),1)="V",IF(AD77&gt;=INDEX('[1]Définition Maintenances'!$G:$G,MATCH($A77,'[1]Définition Maintenances'!$K:$K,0)),AD77,INDEX('[1]Définition Maintenances'!$G:$G,MATCH($A77,'[1]Définition Maintenances'!$K:$K,0))+AD77),AD77))</f>
        <v>773</v>
      </c>
      <c r="AF77" s="26">
        <f>IF(ISNUMBER(VLOOKUP($D77,'Visu totale'!$D:$DH,AF$1,0)),AE77-VLOOKUP($D77,'Visu totale'!$D:$DH,AF$1,0),IF(LEFT(VLOOKUP($D77,'Visu totale'!$D:$DH,AF$1,0),1)="V",IF(AE77&gt;=INDEX('[1]Définition Maintenances'!$G:$G,MATCH($A77,'[1]Définition Maintenances'!$K:$K,0)),AE77,INDEX('[1]Définition Maintenances'!$G:$G,MATCH($A77,'[1]Définition Maintenances'!$K:$K,0))+AE77),AE77))</f>
        <v>773</v>
      </c>
      <c r="AG77" s="26">
        <f>IF(ISNUMBER(VLOOKUP($D77,'Visu totale'!$D:$DH,AG$1,0)),AF77-VLOOKUP($D77,'Visu totale'!$D:$DH,AG$1,0),IF(LEFT(VLOOKUP($D77,'Visu totale'!$D:$DH,AG$1,0),1)="V",IF(AF77&gt;=INDEX('[1]Définition Maintenances'!$G:$G,MATCH($A77,'[1]Définition Maintenances'!$K:$K,0)),AF77,INDEX('[1]Définition Maintenances'!$G:$G,MATCH($A77,'[1]Définition Maintenances'!$K:$K,0))+AF77),AF77))</f>
        <v>773</v>
      </c>
      <c r="AH77" s="26">
        <f>IF(ISNUMBER(VLOOKUP($D77,'Visu totale'!$D:$DH,AH$1,0)),AG77-VLOOKUP($D77,'Visu totale'!$D:$DH,AH$1,0),IF(LEFT(VLOOKUP($D77,'Visu totale'!$D:$DH,AH$1,0),1)="V",IF(AG77&gt;=INDEX('[1]Définition Maintenances'!$G:$G,MATCH($A77,'[1]Définition Maintenances'!$K:$K,0)),AG77,INDEX('[1]Définition Maintenances'!$G:$G,MATCH($A77,'[1]Définition Maintenances'!$K:$K,0))+AG77),AG77))</f>
        <v>773</v>
      </c>
      <c r="AI77" s="26">
        <f>IF(ISNUMBER(VLOOKUP($D77,'Visu totale'!$D:$DH,AI$1,0)),AH77-VLOOKUP($D77,'Visu totale'!$D:$DH,AI$1,0),IF(LEFT(VLOOKUP($D77,'Visu totale'!$D:$DH,AI$1,0),1)="V",IF(AH77&gt;=INDEX('[1]Définition Maintenances'!$G:$G,MATCH($A77,'[1]Définition Maintenances'!$K:$K,0)),AH77,INDEX('[1]Définition Maintenances'!$G:$G,MATCH($A77,'[1]Définition Maintenances'!$K:$K,0))+AH77),AH77))</f>
        <v>773</v>
      </c>
      <c r="AJ77" s="26">
        <f>IF(ISNUMBER(VLOOKUP($D77,'Visu totale'!$D:$DH,AJ$1,0)),AI77-VLOOKUP($D77,'Visu totale'!$D:$DH,AJ$1,0),IF(LEFT(VLOOKUP($D77,'Visu totale'!$D:$DH,AJ$1,0),1)="V",IF(AI77&gt;=INDEX('[1]Définition Maintenances'!$G:$G,MATCH($A77,'[1]Définition Maintenances'!$K:$K,0)),AI77,INDEX('[1]Définition Maintenances'!$G:$G,MATCH($A77,'[1]Définition Maintenances'!$K:$K,0))+AI77),AI77))</f>
        <v>773</v>
      </c>
      <c r="AK77" s="26">
        <f>IF(ISNUMBER(VLOOKUP($D77,'Visu totale'!$D:$DH,AK$1,0)),AJ77-VLOOKUP($D77,'Visu totale'!$D:$DH,AK$1,0),IF(LEFT(VLOOKUP($D77,'Visu totale'!$D:$DH,AK$1,0),1)="V",IF(AJ77&gt;=INDEX('[1]Définition Maintenances'!$G:$G,MATCH($A77,'[1]Définition Maintenances'!$K:$K,0)),AJ77,INDEX('[1]Définition Maintenances'!$G:$G,MATCH($A77,'[1]Définition Maintenances'!$K:$K,0))+AJ77),AJ77))</f>
        <v>773</v>
      </c>
      <c r="AL77" s="26">
        <f>IF(ISNUMBER(VLOOKUP($D77,'Visu totale'!$D:$DH,AL$1,0)),AK77-VLOOKUP($D77,'Visu totale'!$D:$DH,AL$1,0),IF(LEFT(VLOOKUP($D77,'Visu totale'!$D:$DH,AL$1,0),1)="V",IF(AK77&gt;=INDEX('[1]Définition Maintenances'!$G:$G,MATCH($A77,'[1]Définition Maintenances'!$K:$K,0)),AK77,INDEX('[1]Définition Maintenances'!$G:$G,MATCH($A77,'[1]Définition Maintenances'!$K:$K,0))+AK77),AK77))</f>
        <v>773</v>
      </c>
      <c r="AM77" s="26">
        <f>IF(ISNUMBER(VLOOKUP($D77,'Visu totale'!$D:$DH,AM$1,0)),AL77-VLOOKUP($D77,'Visu totale'!$D:$DH,AM$1,0),IF(LEFT(VLOOKUP($D77,'Visu totale'!$D:$DH,AM$1,0),1)="V",IF(AL77&gt;=INDEX('[1]Définition Maintenances'!$G:$G,MATCH($A77,'[1]Définition Maintenances'!$K:$K,0)),AL77,INDEX('[1]Définition Maintenances'!$G:$G,MATCH($A77,'[1]Définition Maintenances'!$K:$K,0))+AL77),AL77))</f>
        <v>773</v>
      </c>
      <c r="AN77" s="26">
        <f>IF(ISNUMBER(VLOOKUP($D77,'Visu totale'!$D:$DH,AN$1,0)),AM77-VLOOKUP($D77,'Visu totale'!$D:$DH,AN$1,0),IF(LEFT(VLOOKUP($D77,'Visu totale'!$D:$DH,AN$1,0),1)="V",IF(AM77&gt;=INDEX('[1]Définition Maintenances'!$G:$G,MATCH($A77,'[1]Définition Maintenances'!$K:$K,0)),AM77,INDEX('[1]Définition Maintenances'!$G:$G,MATCH($A77,'[1]Définition Maintenances'!$K:$K,0))+AM77),AM77))</f>
        <v>773</v>
      </c>
      <c r="AO77" s="27">
        <f>IF(ISNUMBER(VLOOKUP($D77,'Visu totale'!$D:$DH,AO$1,0)),AN77-VLOOKUP($D77,'Visu totale'!$D:$DH,AO$1,0),IF(LEFT(VLOOKUP($D77,'Visu totale'!$D:$DH,AO$1,0),1)="V",IF(AN77&gt;=INDEX('[1]Définition Maintenances'!$G:$G,MATCH($A77,'[1]Définition Maintenances'!$K:$K,0)),AN77,INDEX('[1]Définition Maintenances'!$G:$G,MATCH($A77,'[1]Définition Maintenances'!$K:$K,0))+AN77),AN77))</f>
        <v>773</v>
      </c>
      <c r="AP77" s="25">
        <f>IF(ISNUMBER(VLOOKUP($D77,'Visu totale'!$D:$DH,AP$1,0)),AO77-VLOOKUP($D77,'Visu totale'!$D:$DH,AP$1,0),IF(LEFT(VLOOKUP($D77,'Visu totale'!$D:$DH,AP$1,0),1)="V",IF(AO77&gt;=INDEX('[1]Définition Maintenances'!$G:$G,MATCH($A77,'[1]Définition Maintenances'!$K:$K,0)),AO77,INDEX('[1]Définition Maintenances'!$G:$G,MATCH($A77,'[1]Définition Maintenances'!$K:$K,0))+AO77),AO77))</f>
        <v>773</v>
      </c>
      <c r="AQ77" s="26">
        <f>IF(ISNUMBER(VLOOKUP($D77,'Visu totale'!$D:$DH,AQ$1,0)),AP77-VLOOKUP($D77,'Visu totale'!$D:$DH,AQ$1,0),IF(LEFT(VLOOKUP($D77,'Visu totale'!$D:$DH,AQ$1,0),1)="V",IF(AP77&gt;=INDEX('[1]Définition Maintenances'!$G:$G,MATCH($A77,'[1]Définition Maintenances'!$K:$K,0)),AP77,INDEX('[1]Définition Maintenances'!$G:$G,MATCH($A77,'[1]Définition Maintenances'!$K:$K,0))+AP77),AP77))</f>
        <v>773</v>
      </c>
      <c r="AR77" s="26">
        <f>IF(ISNUMBER(VLOOKUP($D77,'Visu totale'!$D:$DH,AR$1,0)),AQ77-VLOOKUP($D77,'Visu totale'!$D:$DH,AR$1,0),IF(LEFT(VLOOKUP($D77,'Visu totale'!$D:$DH,AR$1,0),1)="V",IF(AQ77&gt;=INDEX('[1]Définition Maintenances'!$G:$G,MATCH($A77,'[1]Définition Maintenances'!$K:$K,0)),AQ77,INDEX('[1]Définition Maintenances'!$G:$G,MATCH($A77,'[1]Définition Maintenances'!$K:$K,0))+AQ77),AQ77))</f>
        <v>773</v>
      </c>
      <c r="AS77" s="26">
        <f>IF(ISNUMBER(VLOOKUP($D77,'Visu totale'!$D:$DH,AS$1,0)),AR77-VLOOKUP($D77,'Visu totale'!$D:$DH,AS$1,0),IF(LEFT(VLOOKUP($D77,'Visu totale'!$D:$DH,AS$1,0),1)="V",IF(AR77&gt;=INDEX('[1]Définition Maintenances'!$G:$G,MATCH($A77,'[1]Définition Maintenances'!$K:$K,0)),AR77,INDEX('[1]Définition Maintenances'!$G:$G,MATCH($A77,'[1]Définition Maintenances'!$K:$K,0))+AR77),AR77))</f>
        <v>773</v>
      </c>
      <c r="AT77" s="26">
        <f>IF(ISNUMBER(VLOOKUP($D77,'Visu totale'!$D:$DH,AT$1,0)),AS77-VLOOKUP($D77,'Visu totale'!$D:$DH,AT$1,0),IF(LEFT(VLOOKUP($D77,'Visu totale'!$D:$DH,AT$1,0),1)="V",IF(AS77&gt;=INDEX('[1]Définition Maintenances'!$G:$G,MATCH($A77,'[1]Définition Maintenances'!$K:$K,0)),AS77,INDEX('[1]Définition Maintenances'!$G:$G,MATCH($A77,'[1]Définition Maintenances'!$K:$K,0))+AS77),AS77))</f>
        <v>773</v>
      </c>
      <c r="AU77" s="26">
        <f>IF(ISNUMBER(VLOOKUP($D77,'Visu totale'!$D:$DH,AU$1,0)),AT77-VLOOKUP($D77,'Visu totale'!$D:$DH,AU$1,0),IF(LEFT(VLOOKUP($D77,'Visu totale'!$D:$DH,AU$1,0),1)="V",IF(AT77&gt;=INDEX('[1]Définition Maintenances'!$G:$G,MATCH($A77,'[1]Définition Maintenances'!$K:$K,0)),AT77,INDEX('[1]Définition Maintenances'!$G:$G,MATCH($A77,'[1]Définition Maintenances'!$K:$K,0))+AT77),AT77))</f>
        <v>773</v>
      </c>
      <c r="AV77" s="26">
        <f>IF(ISNUMBER(VLOOKUP($D77,'Visu totale'!$D:$DH,AV$1,0)),AU77-VLOOKUP($D77,'Visu totale'!$D:$DH,AV$1,0),IF(LEFT(VLOOKUP($D77,'Visu totale'!$D:$DH,AV$1,0),1)="V",IF(AU77&gt;=INDEX('[1]Définition Maintenances'!$G:$G,MATCH($A77,'[1]Définition Maintenances'!$K:$K,0)),AU77,INDEX('[1]Définition Maintenances'!$G:$G,MATCH($A77,'[1]Définition Maintenances'!$K:$K,0))+AU77),AU77))</f>
        <v>773</v>
      </c>
      <c r="AW77" s="26">
        <f>IF(ISNUMBER(VLOOKUP($D77,'Visu totale'!$D:$DH,AW$1,0)),AV77-VLOOKUP($D77,'Visu totale'!$D:$DH,AW$1,0),IF(LEFT(VLOOKUP($D77,'Visu totale'!$D:$DH,AW$1,0),1)="V",IF(AV77&gt;=INDEX('[1]Définition Maintenances'!$G:$G,MATCH($A77,'[1]Définition Maintenances'!$K:$K,0)),AV77,INDEX('[1]Définition Maintenances'!$G:$G,MATCH($A77,'[1]Définition Maintenances'!$K:$K,0))+AV77),AV77))</f>
        <v>773</v>
      </c>
      <c r="AX77" s="26">
        <f>IF(ISNUMBER(VLOOKUP($D77,'Visu totale'!$D:$DH,AX$1,0)),AW77-VLOOKUP($D77,'Visu totale'!$D:$DH,AX$1,0),IF(LEFT(VLOOKUP($D77,'Visu totale'!$D:$DH,AX$1,0),1)="V",IF(AW77&gt;=INDEX('[1]Définition Maintenances'!$G:$G,MATCH($A77,'[1]Définition Maintenances'!$K:$K,0)),AW77,INDEX('[1]Définition Maintenances'!$G:$G,MATCH($A77,'[1]Définition Maintenances'!$K:$K,0))+AW77),AW77))</f>
        <v>773</v>
      </c>
      <c r="AY77" s="26">
        <f>IF(ISNUMBER(VLOOKUP($D77,'Visu totale'!$D:$DH,AY$1,0)),AX77-VLOOKUP($D77,'Visu totale'!$D:$DH,AY$1,0),IF(LEFT(VLOOKUP($D77,'Visu totale'!$D:$DH,AY$1,0),1)="V",IF(AX77&gt;=INDEX('[1]Définition Maintenances'!$G:$G,MATCH($A77,'[1]Définition Maintenances'!$K:$K,0)),AX77,INDEX('[1]Définition Maintenances'!$G:$G,MATCH($A77,'[1]Définition Maintenances'!$K:$K,0))+AX77),AX77))</f>
        <v>773</v>
      </c>
      <c r="AZ77" s="26">
        <f>IF(ISNUMBER(VLOOKUP($D77,'Visu totale'!$D:$DH,AZ$1,0)),AY77-VLOOKUP($D77,'Visu totale'!$D:$DH,AZ$1,0),IF(LEFT(VLOOKUP($D77,'Visu totale'!$D:$DH,AZ$1,0),1)="V",IF(AY77&gt;=INDEX('[1]Définition Maintenances'!$G:$G,MATCH($A77,'[1]Définition Maintenances'!$K:$K,0)),AY77,INDEX('[1]Définition Maintenances'!$G:$G,MATCH($A77,'[1]Définition Maintenances'!$K:$K,0))+AY77),AY77))</f>
        <v>773</v>
      </c>
      <c r="BA77" s="27">
        <f>IF(ISNUMBER(VLOOKUP($D77,'Visu totale'!$D:$DH,BA$1,0)),AZ77-VLOOKUP($D77,'Visu totale'!$D:$DH,BA$1,0),IF(LEFT(VLOOKUP($D77,'Visu totale'!$D:$DH,BA$1,0),1)="V",IF(AZ77&gt;=INDEX('[1]Définition Maintenances'!$G:$G,MATCH($A77,'[1]Définition Maintenances'!$K:$K,0)),AZ77,INDEX('[1]Définition Maintenances'!$G:$G,MATCH($A77,'[1]Définition Maintenances'!$K:$K,0))+AZ77),AZ77))</f>
        <v>773</v>
      </c>
      <c r="BB77" s="25">
        <f>IF(ISNUMBER(VLOOKUP($D77,'Visu totale'!$D:$DH,BB$1,0)),BA77-VLOOKUP($D77,'Visu totale'!$D:$DH,BB$1,0),IF(LEFT(VLOOKUP($D77,'Visu totale'!$D:$DH,BB$1,0),1)="V",IF(BA77&gt;=INDEX('[1]Définition Maintenances'!$G:$G,MATCH($A77,'[1]Définition Maintenances'!$K:$K,0)),BA77,INDEX('[1]Définition Maintenances'!$G:$G,MATCH($A77,'[1]Définition Maintenances'!$K:$K,0))+BA77),BA77))</f>
        <v>773</v>
      </c>
      <c r="BC77" s="26">
        <f>IF(ISNUMBER(VLOOKUP($D77,'Visu totale'!$D:$DH,BC$1,0)),BB77-VLOOKUP($D77,'Visu totale'!$D:$DH,BC$1,0),IF(LEFT(VLOOKUP($D77,'Visu totale'!$D:$DH,BC$1,0),1)="V",IF(BB77&gt;=INDEX('[1]Définition Maintenances'!$G:$G,MATCH($A77,'[1]Définition Maintenances'!$K:$K,0)),BB77,INDEX('[1]Définition Maintenances'!$G:$G,MATCH($A77,'[1]Définition Maintenances'!$K:$K,0))+BB77),BB77))</f>
        <v>773</v>
      </c>
      <c r="BD77" s="26">
        <f>IF(ISNUMBER(VLOOKUP($D77,'Visu totale'!$D:$DH,BD$1,0)),BC77-VLOOKUP($D77,'Visu totale'!$D:$DH,BD$1,0),IF(LEFT(VLOOKUP($D77,'Visu totale'!$D:$DH,BD$1,0),1)="V",IF(BC77&gt;=INDEX('[1]Définition Maintenances'!$G:$G,MATCH($A77,'[1]Définition Maintenances'!$K:$K,0)),BC77,INDEX('[1]Définition Maintenances'!$G:$G,MATCH($A77,'[1]Définition Maintenances'!$K:$K,0))+BC77),BC77))</f>
        <v>773</v>
      </c>
      <c r="BE77" s="26">
        <f>IF(ISNUMBER(VLOOKUP($D77,'Visu totale'!$D:$DH,BE$1,0)),BD77-VLOOKUP($D77,'Visu totale'!$D:$DH,BE$1,0),IF(LEFT(VLOOKUP($D77,'Visu totale'!$D:$DH,BE$1,0),1)="V",IF(BD77&gt;=INDEX('[1]Définition Maintenances'!$G:$G,MATCH($A77,'[1]Définition Maintenances'!$K:$K,0)),BD77,INDEX('[1]Définition Maintenances'!$G:$G,MATCH($A77,'[1]Définition Maintenances'!$K:$K,0))+BD77),BD77))</f>
        <v>773</v>
      </c>
      <c r="BF77" s="26">
        <f>IF(ISNUMBER(VLOOKUP($D77,'Visu totale'!$D:$DH,BF$1,0)),BE77-VLOOKUP($D77,'Visu totale'!$D:$DH,BF$1,0),IF(LEFT(VLOOKUP($D77,'Visu totale'!$D:$DH,BF$1,0),1)="V",IF(BE77&gt;=INDEX('[1]Définition Maintenances'!$G:$G,MATCH($A77,'[1]Définition Maintenances'!$K:$K,0)),BE77,INDEX('[1]Définition Maintenances'!$G:$G,MATCH($A77,'[1]Définition Maintenances'!$K:$K,0))+BE77),BE77))</f>
        <v>773</v>
      </c>
      <c r="BG77" s="26">
        <f>IF(ISNUMBER(VLOOKUP($D77,'Visu totale'!$D:$DH,BG$1,0)),BF77-VLOOKUP($D77,'Visu totale'!$D:$DH,BG$1,0),IF(LEFT(VLOOKUP($D77,'Visu totale'!$D:$DH,BG$1,0),1)="V",IF(BF77&gt;=INDEX('[1]Définition Maintenances'!$G:$G,MATCH($A77,'[1]Définition Maintenances'!$K:$K,0)),BF77,INDEX('[1]Définition Maintenances'!$G:$G,MATCH($A77,'[1]Définition Maintenances'!$K:$K,0))+BF77),BF77))</f>
        <v>773</v>
      </c>
      <c r="BH77" s="26">
        <f>IF(ISNUMBER(VLOOKUP($D77,'Visu totale'!$D:$DH,BH$1,0)),BG77-VLOOKUP($D77,'Visu totale'!$D:$DH,BH$1,0),IF(LEFT(VLOOKUP($D77,'Visu totale'!$D:$DH,BH$1,0),1)="V",IF(BG77&gt;=INDEX('[1]Définition Maintenances'!$G:$G,MATCH($A77,'[1]Définition Maintenances'!$K:$K,0)),BG77,INDEX('[1]Définition Maintenances'!$G:$G,MATCH($A77,'[1]Définition Maintenances'!$K:$K,0))+BG77),BG77))</f>
        <v>773</v>
      </c>
      <c r="BI77" s="26">
        <f>IF(ISNUMBER(VLOOKUP($D77,'Visu totale'!$D:$DH,BI$1,0)),BH77-VLOOKUP($D77,'Visu totale'!$D:$DH,BI$1,0),IF(LEFT(VLOOKUP($D77,'Visu totale'!$D:$DH,BI$1,0),1)="V",IF(BH77&gt;=INDEX('[1]Définition Maintenances'!$G:$G,MATCH($A77,'[1]Définition Maintenances'!$K:$K,0)),BH77,INDEX('[1]Définition Maintenances'!$G:$G,MATCH($A77,'[1]Définition Maintenances'!$K:$K,0))+BH77),BH77))</f>
        <v>773</v>
      </c>
      <c r="BJ77" s="26">
        <f>IF(ISNUMBER(VLOOKUP($D77,'Visu totale'!$D:$DH,BJ$1,0)),BI77-VLOOKUP($D77,'Visu totale'!$D:$DH,BJ$1,0),IF(LEFT(VLOOKUP($D77,'Visu totale'!$D:$DH,BJ$1,0),1)="V",IF(BI77&gt;=INDEX('[1]Définition Maintenances'!$G:$G,MATCH($A77,'[1]Définition Maintenances'!$K:$K,0)),BI77,INDEX('[1]Définition Maintenances'!$G:$G,MATCH($A77,'[1]Définition Maintenances'!$K:$K,0))+BI77),BI77))</f>
        <v>773</v>
      </c>
      <c r="BK77" s="26">
        <f>IF(ISNUMBER(VLOOKUP($D77,'Visu totale'!$D:$DH,BK$1,0)),BJ77-VLOOKUP($D77,'Visu totale'!$D:$DH,BK$1,0),IF(LEFT(VLOOKUP($D77,'Visu totale'!$D:$DH,BK$1,0),1)="V",IF(BJ77&gt;=INDEX('[1]Définition Maintenances'!$G:$G,MATCH($A77,'[1]Définition Maintenances'!$K:$K,0)),BJ77,INDEX('[1]Définition Maintenances'!$G:$G,MATCH($A77,'[1]Définition Maintenances'!$K:$K,0))+BJ77),BJ77))</f>
        <v>773</v>
      </c>
      <c r="BL77" s="26">
        <f>IF(ISNUMBER(VLOOKUP($D77,'Visu totale'!$D:$DH,BL$1,0)),BK77-VLOOKUP($D77,'Visu totale'!$D:$DH,BL$1,0),IF(LEFT(VLOOKUP($D77,'Visu totale'!$D:$DH,BL$1,0),1)="V",IF(BK77&gt;=INDEX('[1]Définition Maintenances'!$G:$G,MATCH($A77,'[1]Définition Maintenances'!$K:$K,0)),BK77,INDEX('[1]Définition Maintenances'!$G:$G,MATCH($A77,'[1]Définition Maintenances'!$K:$K,0))+BK77),BK77))</f>
        <v>773</v>
      </c>
      <c r="BM77" s="27">
        <f>IF(ISNUMBER(VLOOKUP($D77,'Visu totale'!$D:$DH,BM$1,0)),BL77-VLOOKUP($D77,'Visu totale'!$D:$DH,BM$1,0),IF(LEFT(VLOOKUP($D77,'Visu totale'!$D:$DH,BM$1,0),1)="V",IF(BL77&gt;=INDEX('[1]Définition Maintenances'!$G:$G,MATCH($A77,'[1]Définition Maintenances'!$K:$K,0)),BL77,INDEX('[1]Définition Maintenances'!$G:$G,MATCH($A77,'[1]Définition Maintenances'!$K:$K,0))+BL77),BL77))</f>
        <v>773</v>
      </c>
      <c r="BN77" s="25">
        <f>IF(ISNUMBER(VLOOKUP($D77,'Visu totale'!$D:$DH,BN$1,0)),BM77-VLOOKUP($D77,'Visu totale'!$D:$DH,BN$1,0),IF(LEFT(VLOOKUP($D77,'Visu totale'!$D:$DH,BN$1,0),1)="V",IF(BM77&gt;=INDEX('[1]Définition Maintenances'!$G:$G,MATCH($A77,'[1]Définition Maintenances'!$K:$K,0)),BM77,INDEX('[1]Définition Maintenances'!$G:$G,MATCH($A77,'[1]Définition Maintenances'!$K:$K,0))+BM77),BM77))</f>
        <v>773</v>
      </c>
      <c r="BO77" s="26">
        <f>IF(ISNUMBER(VLOOKUP($D77,'Visu totale'!$D:$DH,BO$1,0)),BN77-VLOOKUP($D77,'Visu totale'!$D:$DH,BO$1,0),IF(LEFT(VLOOKUP($D77,'Visu totale'!$D:$DH,BO$1,0),1)="V",IF(BN77&gt;=INDEX('[1]Définition Maintenances'!$G:$G,MATCH($A77,'[1]Définition Maintenances'!$K:$K,0)),BN77,INDEX('[1]Définition Maintenances'!$G:$G,MATCH($A77,'[1]Définition Maintenances'!$K:$K,0))+BN77),BN77))</f>
        <v>773</v>
      </c>
      <c r="BP77" s="26">
        <f>IF(ISNUMBER(VLOOKUP($D77,'Visu totale'!$D:$DH,BP$1,0)),BO77-VLOOKUP($D77,'Visu totale'!$D:$DH,BP$1,0),IF(LEFT(VLOOKUP($D77,'Visu totale'!$D:$DH,BP$1,0),1)="V",IF(BO77&gt;=INDEX('[1]Définition Maintenances'!$G:$G,MATCH($A77,'[1]Définition Maintenances'!$K:$K,0)),BO77,INDEX('[1]Définition Maintenances'!$G:$G,MATCH($A77,'[1]Définition Maintenances'!$K:$K,0))+BO77),BO77))</f>
        <v>773</v>
      </c>
      <c r="BQ77" s="26">
        <f>IF(ISNUMBER(VLOOKUP($D77,'Visu totale'!$D:$DH,BQ$1,0)),BP77-VLOOKUP($D77,'Visu totale'!$D:$DH,BQ$1,0),IF(LEFT(VLOOKUP($D77,'Visu totale'!$D:$DH,BQ$1,0),1)="V",IF(BP77&gt;=INDEX('[1]Définition Maintenances'!$G:$G,MATCH($A77,'[1]Définition Maintenances'!$K:$K,0)),BP77,INDEX('[1]Définition Maintenances'!$G:$G,MATCH($A77,'[1]Définition Maintenances'!$K:$K,0))+BP77),BP77))</f>
        <v>773</v>
      </c>
      <c r="BR77" s="26">
        <f>IF(ISNUMBER(VLOOKUP($D77,'Visu totale'!$D:$DH,BR$1,0)),BQ77-VLOOKUP($D77,'Visu totale'!$D:$DH,BR$1,0),IF(LEFT(VLOOKUP($D77,'Visu totale'!$D:$DH,BR$1,0),1)="V",IF(BQ77&gt;=INDEX('[1]Définition Maintenances'!$G:$G,MATCH($A77,'[1]Définition Maintenances'!$K:$K,0)),BQ77,INDEX('[1]Définition Maintenances'!$G:$G,MATCH($A77,'[1]Définition Maintenances'!$K:$K,0))+BQ77),BQ77))</f>
        <v>773</v>
      </c>
      <c r="BS77" s="26">
        <f>IF(ISNUMBER(VLOOKUP($D77,'Visu totale'!$D:$DH,BS$1,0)),BR77-VLOOKUP($D77,'Visu totale'!$D:$DH,BS$1,0),IF(LEFT(VLOOKUP($D77,'Visu totale'!$D:$DH,BS$1,0),1)="V",IF(BR77&gt;=INDEX('[1]Définition Maintenances'!$G:$G,MATCH($A77,'[1]Définition Maintenances'!$K:$K,0)),BR77,INDEX('[1]Définition Maintenances'!$G:$G,MATCH($A77,'[1]Définition Maintenances'!$K:$K,0))+BR77),BR77))</f>
        <v>773</v>
      </c>
      <c r="BT77" s="26">
        <f>IF(ISNUMBER(VLOOKUP($D77,'Visu totale'!$D:$DH,BT$1,0)),BS77-VLOOKUP($D77,'Visu totale'!$D:$DH,BT$1,0),IF(LEFT(VLOOKUP($D77,'Visu totale'!$D:$DH,BT$1,0),1)="V",IF(BS77&gt;=INDEX('[1]Définition Maintenances'!$G:$G,MATCH($A77,'[1]Définition Maintenances'!$K:$K,0)),BS77,INDEX('[1]Définition Maintenances'!$G:$G,MATCH($A77,'[1]Définition Maintenances'!$K:$K,0))+BS77),BS77))</f>
        <v>773</v>
      </c>
      <c r="BU77" s="26">
        <f>IF(ISNUMBER(VLOOKUP($D77,'Visu totale'!$D:$DH,BU$1,0)),BT77-VLOOKUP($D77,'Visu totale'!$D:$DH,BU$1,0),IF(LEFT(VLOOKUP($D77,'Visu totale'!$D:$DH,BU$1,0),1)="V",IF(BT77&gt;=INDEX('[1]Définition Maintenances'!$G:$G,MATCH($A77,'[1]Définition Maintenances'!$K:$K,0)),BT77,INDEX('[1]Définition Maintenances'!$G:$G,MATCH($A77,'[1]Définition Maintenances'!$K:$K,0))+BT77),BT77))</f>
        <v>773</v>
      </c>
      <c r="BV77" s="26">
        <f>IF(ISNUMBER(VLOOKUP($D77,'Visu totale'!$D:$DH,BV$1,0)),BU77-VLOOKUP($D77,'Visu totale'!$D:$DH,BV$1,0),IF(LEFT(VLOOKUP($D77,'Visu totale'!$D:$DH,BV$1,0),1)="V",IF(BU77&gt;=INDEX('[1]Définition Maintenances'!$G:$G,MATCH($A77,'[1]Définition Maintenances'!$K:$K,0)),BU77,INDEX('[1]Définition Maintenances'!$G:$G,MATCH($A77,'[1]Définition Maintenances'!$K:$K,0))+BU77),BU77))</f>
        <v>773</v>
      </c>
      <c r="BW77" s="26">
        <f>IF(ISNUMBER(VLOOKUP($D77,'Visu totale'!$D:$DH,BW$1,0)),BV77-VLOOKUP($D77,'Visu totale'!$D:$DH,BW$1,0),IF(LEFT(VLOOKUP($D77,'Visu totale'!$D:$DH,BW$1,0),1)="V",IF(BV77&gt;=INDEX('[1]Définition Maintenances'!$G:$G,MATCH($A77,'[1]Définition Maintenances'!$K:$K,0)),BV77,INDEX('[1]Définition Maintenances'!$G:$G,MATCH($A77,'[1]Définition Maintenances'!$K:$K,0))+BV77),BV77))</f>
        <v>773</v>
      </c>
      <c r="BX77" s="26">
        <f>IF(ISNUMBER(VLOOKUP($D77,'Visu totale'!$D:$DH,BX$1,0)),BW77-VLOOKUP($D77,'Visu totale'!$D:$DH,BX$1,0),IF(LEFT(VLOOKUP($D77,'Visu totale'!$D:$DH,BX$1,0),1)="V",IF(BW77&gt;=INDEX('[1]Définition Maintenances'!$G:$G,MATCH($A77,'[1]Définition Maintenances'!$K:$K,0)),BW77,INDEX('[1]Définition Maintenances'!$G:$G,MATCH($A77,'[1]Définition Maintenances'!$K:$K,0))+BW77),BW77))</f>
        <v>773</v>
      </c>
      <c r="BY77" s="27">
        <f>IF(ISNUMBER(VLOOKUP($D77,'Visu totale'!$D:$DH,BY$1,0)),BX77-VLOOKUP($D77,'Visu totale'!$D:$DH,BY$1,0),IF(LEFT(VLOOKUP($D77,'Visu totale'!$D:$DH,BY$1,0),1)="V",IF(BX77&gt;=INDEX('[1]Définition Maintenances'!$G:$G,MATCH($A77,'[1]Définition Maintenances'!$K:$K,0)),BX77,INDEX('[1]Définition Maintenances'!$G:$G,MATCH($A77,'[1]Définition Maintenances'!$K:$K,0))+BX77),BX77))</f>
        <v>773</v>
      </c>
      <c r="BZ77" s="25">
        <f>IF(ISNUMBER(VLOOKUP($D77,'Visu totale'!$D:$DH,BZ$1,0)),BY77-VLOOKUP($D77,'Visu totale'!$D:$DH,BZ$1,0),IF(LEFT(VLOOKUP($D77,'Visu totale'!$D:$DH,BZ$1,0),1)="V",IF(BY77&gt;=INDEX('[1]Définition Maintenances'!$G:$G,MATCH($A77,'[1]Définition Maintenances'!$K:$K,0)),BY77,INDEX('[1]Définition Maintenances'!$G:$G,MATCH($A77,'[1]Définition Maintenances'!$K:$K,0))+BY77),BY77))</f>
        <v>773</v>
      </c>
      <c r="CA77" s="26">
        <f>IF(ISNUMBER(VLOOKUP($D77,'Visu totale'!$D:$DH,CA$1,0)),BZ77-VLOOKUP($D77,'Visu totale'!$D:$DH,CA$1,0),IF(LEFT(VLOOKUP($D77,'Visu totale'!$D:$DH,CA$1,0),1)="V",IF(BZ77&gt;=INDEX('[1]Définition Maintenances'!$G:$G,MATCH($A77,'[1]Définition Maintenances'!$K:$K,0)),BZ77,INDEX('[1]Définition Maintenances'!$G:$G,MATCH($A77,'[1]Définition Maintenances'!$K:$K,0))+BZ77),BZ77))</f>
        <v>773</v>
      </c>
      <c r="CB77" s="26">
        <f>IF(ISNUMBER(VLOOKUP($D77,'Visu totale'!$D:$DH,CB$1,0)),CA77-VLOOKUP($D77,'Visu totale'!$D:$DH,CB$1,0),IF(LEFT(VLOOKUP($D77,'Visu totale'!$D:$DH,CB$1,0),1)="V",IF(CA77&gt;=INDEX('[1]Définition Maintenances'!$G:$G,MATCH($A77,'[1]Définition Maintenances'!$K:$K,0)),CA77,INDEX('[1]Définition Maintenances'!$G:$G,MATCH($A77,'[1]Définition Maintenances'!$K:$K,0))+CA77),CA77))</f>
        <v>773</v>
      </c>
      <c r="CC77" s="26">
        <f>IF(ISNUMBER(VLOOKUP($D77,'Visu totale'!$D:$DH,CC$1,0)),CB77-VLOOKUP($D77,'Visu totale'!$D:$DH,CC$1,0),IF(LEFT(VLOOKUP($D77,'Visu totale'!$D:$DH,CC$1,0),1)="V",IF(CB77&gt;=INDEX('[1]Définition Maintenances'!$G:$G,MATCH($A77,'[1]Définition Maintenances'!$K:$K,0)),CB77,INDEX('[1]Définition Maintenances'!$G:$G,MATCH($A77,'[1]Définition Maintenances'!$K:$K,0))+CB77),CB77))</f>
        <v>773</v>
      </c>
      <c r="CD77" s="26">
        <f>IF(ISNUMBER(VLOOKUP($D77,'Visu totale'!$D:$DH,CD$1,0)),CC77-VLOOKUP($D77,'Visu totale'!$D:$DH,CD$1,0),IF(LEFT(VLOOKUP($D77,'Visu totale'!$D:$DH,CD$1,0),1)="V",IF(CC77&gt;=INDEX('[1]Définition Maintenances'!$G:$G,MATCH($A77,'[1]Définition Maintenances'!$K:$K,0)),CC77,INDEX('[1]Définition Maintenances'!$G:$G,MATCH($A77,'[1]Définition Maintenances'!$K:$K,0))+CC77),CC77))</f>
        <v>773</v>
      </c>
      <c r="CE77" s="26">
        <f>IF(ISNUMBER(VLOOKUP($D77,'Visu totale'!$D:$DH,CE$1,0)),CD77-VLOOKUP($D77,'Visu totale'!$D:$DH,CE$1,0),IF(LEFT(VLOOKUP($D77,'Visu totale'!$D:$DH,CE$1,0),1)="V",IF(CD77&gt;=INDEX('[1]Définition Maintenances'!$G:$G,MATCH($A77,'[1]Définition Maintenances'!$K:$K,0)),CD77,INDEX('[1]Définition Maintenances'!$G:$G,MATCH($A77,'[1]Définition Maintenances'!$K:$K,0))+CD77),CD77))</f>
        <v>773</v>
      </c>
      <c r="CF77" s="26">
        <f>IF(ISNUMBER(VLOOKUP($D77,'Visu totale'!$D:$DH,CF$1,0)),CE77-VLOOKUP($D77,'Visu totale'!$D:$DH,CF$1,0),IF(LEFT(VLOOKUP($D77,'Visu totale'!$D:$DH,CF$1,0),1)="V",IF(CE77&gt;=INDEX('[1]Définition Maintenances'!$G:$G,MATCH($A77,'[1]Définition Maintenances'!$K:$K,0)),CE77,INDEX('[1]Définition Maintenances'!$G:$G,MATCH($A77,'[1]Définition Maintenances'!$K:$K,0))+CE77),CE77))</f>
        <v>773</v>
      </c>
      <c r="CG77" s="26">
        <f>IF(ISNUMBER(VLOOKUP($D77,'Visu totale'!$D:$DH,CG$1,0)),CF77-VLOOKUP($D77,'Visu totale'!$D:$DH,CG$1,0),IF(LEFT(VLOOKUP($D77,'Visu totale'!$D:$DH,CG$1,0),1)="V",IF(CF77&gt;=INDEX('[1]Définition Maintenances'!$G:$G,MATCH($A77,'[1]Définition Maintenances'!$K:$K,0)),CF77,INDEX('[1]Définition Maintenances'!$G:$G,MATCH($A77,'[1]Définition Maintenances'!$K:$K,0))+CF77),CF77))</f>
        <v>773</v>
      </c>
      <c r="CH77" s="26">
        <f>IF(ISNUMBER(VLOOKUP($D77,'Visu totale'!$D:$DH,CH$1,0)),CG77-VLOOKUP($D77,'Visu totale'!$D:$DH,CH$1,0),IF(LEFT(VLOOKUP($D77,'Visu totale'!$D:$DH,CH$1,0),1)="V",IF(CG77&gt;=INDEX('[1]Définition Maintenances'!$G:$G,MATCH($A77,'[1]Définition Maintenances'!$K:$K,0)),CG77,INDEX('[1]Définition Maintenances'!$G:$G,MATCH($A77,'[1]Définition Maintenances'!$K:$K,0))+CG77),CG77))</f>
        <v>773</v>
      </c>
      <c r="CI77" s="26">
        <f>IF(ISNUMBER(VLOOKUP($D77,'Visu totale'!$D:$DH,CI$1,0)),CH77-VLOOKUP($D77,'Visu totale'!$D:$DH,CI$1,0),IF(LEFT(VLOOKUP($D77,'Visu totale'!$D:$DH,CI$1,0),1)="V",IF(CH77&gt;=INDEX('[1]Définition Maintenances'!$G:$G,MATCH($A77,'[1]Définition Maintenances'!$K:$K,0)),CH77,INDEX('[1]Définition Maintenances'!$G:$G,MATCH($A77,'[1]Définition Maintenances'!$K:$K,0))+CH77),CH77))</f>
        <v>773</v>
      </c>
      <c r="CJ77" s="26">
        <f>IF(ISNUMBER(VLOOKUP($D77,'Visu totale'!$D:$DH,CJ$1,0)),CI77-VLOOKUP($D77,'Visu totale'!$D:$DH,CJ$1,0),IF(LEFT(VLOOKUP($D77,'Visu totale'!$D:$DH,CJ$1,0),1)="V",IF(CI77&gt;=INDEX('[1]Définition Maintenances'!$G:$G,MATCH($A77,'[1]Définition Maintenances'!$K:$K,0)),CI77,INDEX('[1]Définition Maintenances'!$G:$G,MATCH($A77,'[1]Définition Maintenances'!$K:$K,0))+CI77),CI77))</f>
        <v>773</v>
      </c>
      <c r="CK77" s="27">
        <f>IF(ISNUMBER(VLOOKUP($D77,'Visu totale'!$D:$DH,CK$1,0)),CJ77-VLOOKUP($D77,'Visu totale'!$D:$DH,CK$1,0),IF(LEFT(VLOOKUP($D77,'Visu totale'!$D:$DH,CK$1,0),1)="V",IF(CJ77&gt;=INDEX('[1]Définition Maintenances'!$G:$G,MATCH($A77,'[1]Définition Maintenances'!$K:$K,0)),CJ77,INDEX('[1]Définition Maintenances'!$G:$G,MATCH($A77,'[1]Définition Maintenances'!$K:$K,0))+CJ77),CJ77))</f>
        <v>773</v>
      </c>
      <c r="CL77" s="25">
        <f>IF(ISNUMBER(VLOOKUP($D77,'Visu totale'!$D:$DH,CL$1,0)),CK77-VLOOKUP($D77,'Visu totale'!$D:$DH,CL$1,0),IF(LEFT(VLOOKUP($D77,'Visu totale'!$D:$DH,CL$1,0),1)="V",IF(CK77&gt;=INDEX('[1]Définition Maintenances'!$G:$G,MATCH($A77,'[1]Définition Maintenances'!$K:$K,0)),CK77,INDEX('[1]Définition Maintenances'!$G:$G,MATCH($A77,'[1]Définition Maintenances'!$K:$K,0))+CK77),CK77))</f>
        <v>773</v>
      </c>
      <c r="CM77" s="26">
        <f>IF(ISNUMBER(VLOOKUP($D77,'Visu totale'!$D:$DH,CM$1,0)),CL77-VLOOKUP($D77,'Visu totale'!$D:$DH,CM$1,0),IF(LEFT(VLOOKUP($D77,'Visu totale'!$D:$DH,CM$1,0),1)="V",IF(CL77&gt;=INDEX('[1]Définition Maintenances'!$G:$G,MATCH($A77,'[1]Définition Maintenances'!$K:$K,0)),CL77,INDEX('[1]Définition Maintenances'!$G:$G,MATCH($A77,'[1]Définition Maintenances'!$K:$K,0))+CL77),CL77))</f>
        <v>773</v>
      </c>
      <c r="CN77" s="26">
        <f>IF(ISNUMBER(VLOOKUP($D77,'Visu totale'!$D:$DH,CN$1,0)),CM77-VLOOKUP($D77,'Visu totale'!$D:$DH,CN$1,0),IF(LEFT(VLOOKUP($D77,'Visu totale'!$D:$DH,CN$1,0),1)="V",IF(CM77&gt;=INDEX('[1]Définition Maintenances'!$G:$G,MATCH($A77,'[1]Définition Maintenances'!$K:$K,0)),CM77,INDEX('[1]Définition Maintenances'!$G:$G,MATCH($A77,'[1]Définition Maintenances'!$K:$K,0))+CM77),CM77))</f>
        <v>773</v>
      </c>
      <c r="CO77" s="26">
        <f>IF(ISNUMBER(VLOOKUP($D77,'Visu totale'!$D:$DH,CO$1,0)),CN77-VLOOKUP($D77,'Visu totale'!$D:$DH,CO$1,0),IF(LEFT(VLOOKUP($D77,'Visu totale'!$D:$DH,CO$1,0),1)="V",IF(CN77&gt;=INDEX('[1]Définition Maintenances'!$G:$G,MATCH($A77,'[1]Définition Maintenances'!$K:$K,0)),CN77,INDEX('[1]Définition Maintenances'!$G:$G,MATCH($A77,'[1]Définition Maintenances'!$K:$K,0))+CN77),CN77))</f>
        <v>773</v>
      </c>
      <c r="CP77" s="26">
        <f>IF(ISNUMBER(VLOOKUP($D77,'Visu totale'!$D:$DH,CP$1,0)),CO77-VLOOKUP($D77,'Visu totale'!$D:$DH,CP$1,0),IF(LEFT(VLOOKUP($D77,'Visu totale'!$D:$DH,CP$1,0),1)="V",IF(CO77&gt;=INDEX('[1]Définition Maintenances'!$G:$G,MATCH($A77,'[1]Définition Maintenances'!$K:$K,0)),CO77,INDEX('[1]Définition Maintenances'!$G:$G,MATCH($A77,'[1]Définition Maintenances'!$K:$K,0))+CO77),CO77))</f>
        <v>773</v>
      </c>
      <c r="CQ77" s="26">
        <f>IF(ISNUMBER(VLOOKUP($D77,'Visu totale'!$D:$DH,CQ$1,0)),CP77-VLOOKUP($D77,'Visu totale'!$D:$DH,CQ$1,0),IF(LEFT(VLOOKUP($D77,'Visu totale'!$D:$DH,CQ$1,0),1)="V",IF(CP77&gt;=INDEX('[1]Définition Maintenances'!$G:$G,MATCH($A77,'[1]Définition Maintenances'!$K:$K,0)),CP77,INDEX('[1]Définition Maintenances'!$G:$G,MATCH($A77,'[1]Définition Maintenances'!$K:$K,0))+CP77),CP77))</f>
        <v>773</v>
      </c>
      <c r="CR77" s="26">
        <f>IF(ISNUMBER(VLOOKUP($D77,'Visu totale'!$D:$DH,CR$1,0)),CQ77-VLOOKUP($D77,'Visu totale'!$D:$DH,CR$1,0),IF(LEFT(VLOOKUP($D77,'Visu totale'!$D:$DH,CR$1,0),1)="V",IF(CQ77&gt;=INDEX('[1]Définition Maintenances'!$G:$G,MATCH($A77,'[1]Définition Maintenances'!$K:$K,0)),CQ77,INDEX('[1]Définition Maintenances'!$G:$G,MATCH($A77,'[1]Définition Maintenances'!$K:$K,0))+CQ77),CQ77))</f>
        <v>773</v>
      </c>
      <c r="CS77" s="26">
        <f>IF(ISNUMBER(VLOOKUP($D77,'Visu totale'!$D:$DH,CS$1,0)),CR77-VLOOKUP($D77,'Visu totale'!$D:$DH,CS$1,0),IF(LEFT(VLOOKUP($D77,'Visu totale'!$D:$DH,CS$1,0),1)="V",IF(CR77&gt;=INDEX('[1]Définition Maintenances'!$G:$G,MATCH($A77,'[1]Définition Maintenances'!$K:$K,0)),CR77,INDEX('[1]Définition Maintenances'!$G:$G,MATCH($A77,'[1]Définition Maintenances'!$K:$K,0))+CR77),CR77))</f>
        <v>773</v>
      </c>
      <c r="CT77" s="26">
        <f>IF(ISNUMBER(VLOOKUP($D77,'Visu totale'!$D:$DH,CT$1,0)),CS77-VLOOKUP($D77,'Visu totale'!$D:$DH,CT$1,0),IF(LEFT(VLOOKUP($D77,'Visu totale'!$D:$DH,CT$1,0),1)="V",IF(CS77&gt;=INDEX('[1]Définition Maintenances'!$G:$G,MATCH($A77,'[1]Définition Maintenances'!$K:$K,0)),CS77,INDEX('[1]Définition Maintenances'!$G:$G,MATCH($A77,'[1]Définition Maintenances'!$K:$K,0))+CS77),CS77))</f>
        <v>773</v>
      </c>
      <c r="CU77" s="26">
        <f>IF(ISNUMBER(VLOOKUP($D77,'Visu totale'!$D:$DH,CU$1,0)),CT77-VLOOKUP($D77,'Visu totale'!$D:$DH,CU$1,0),IF(LEFT(VLOOKUP($D77,'Visu totale'!$D:$DH,CU$1,0),1)="V",IF(CT77&gt;=INDEX('[1]Définition Maintenances'!$G:$G,MATCH($A77,'[1]Définition Maintenances'!$K:$K,0)),CT77,INDEX('[1]Définition Maintenances'!$G:$G,MATCH($A77,'[1]Définition Maintenances'!$K:$K,0))+CT77),CT77))</f>
        <v>773</v>
      </c>
      <c r="CV77" s="26">
        <f>IF(ISNUMBER(VLOOKUP($D77,'Visu totale'!$D:$DH,CV$1,0)),CU77-VLOOKUP($D77,'Visu totale'!$D:$DH,CV$1,0),IF(LEFT(VLOOKUP($D77,'Visu totale'!$D:$DH,CV$1,0),1)="V",IF(CU77&gt;=INDEX('[1]Définition Maintenances'!$G:$G,MATCH($A77,'[1]Définition Maintenances'!$K:$K,0)),CU77,INDEX('[1]Définition Maintenances'!$G:$G,MATCH($A77,'[1]Définition Maintenances'!$K:$K,0))+CU77),CU77))</f>
        <v>773</v>
      </c>
      <c r="CW77" s="27">
        <f>IF(ISNUMBER(VLOOKUP($D77,'Visu totale'!$D:$DH,CW$1,0)),CV77-VLOOKUP($D77,'Visu totale'!$D:$DH,CW$1,0),IF(LEFT(VLOOKUP($D77,'Visu totale'!$D:$DH,CW$1,0),1)="V",IF(CV77&gt;=INDEX('[1]Définition Maintenances'!$G:$G,MATCH($A77,'[1]Définition Maintenances'!$K:$K,0)),CV77,INDEX('[1]Définition Maintenances'!$G:$G,MATCH($A77,'[1]Définition Maintenances'!$K:$K,0))+CV77),CV77))</f>
        <v>773</v>
      </c>
      <c r="CX77" s="25">
        <f>IF(ISNUMBER(VLOOKUP($D77,'Visu totale'!$D:$DH,CX$1,0)),CW77-VLOOKUP($D77,'Visu totale'!$D:$DH,CX$1,0),IF(LEFT(VLOOKUP($D77,'Visu totale'!$D:$DH,CX$1,0),1)="V",IF(CW77&gt;=INDEX('[1]Définition Maintenances'!$G:$G,MATCH($A77,'[1]Définition Maintenances'!$K:$K,0)),CW77,INDEX('[1]Définition Maintenances'!$G:$G,MATCH($A77,'[1]Définition Maintenances'!$K:$K,0))+CW77),CW77))</f>
        <v>773</v>
      </c>
      <c r="CY77" s="26">
        <f>IF(ISNUMBER(VLOOKUP($D77,'Visu totale'!$D:$DH,CY$1,0)),CX77-VLOOKUP($D77,'Visu totale'!$D:$DH,CY$1,0),IF(LEFT(VLOOKUP($D77,'Visu totale'!$D:$DH,CY$1,0),1)="V",IF(CX77&gt;=INDEX('[1]Définition Maintenances'!$G:$G,MATCH($A77,'[1]Définition Maintenances'!$K:$K,0)),CX77,INDEX('[1]Définition Maintenances'!$G:$G,MATCH($A77,'[1]Définition Maintenances'!$K:$K,0))+CX77),CX77))</f>
        <v>773</v>
      </c>
      <c r="CZ77" s="26">
        <f>IF(ISNUMBER(VLOOKUP($D77,'Visu totale'!$D:$DH,CZ$1,0)),CY77-VLOOKUP($D77,'Visu totale'!$D:$DH,CZ$1,0),IF(LEFT(VLOOKUP($D77,'Visu totale'!$D:$DH,CZ$1,0),1)="V",IF(CY77&gt;=INDEX('[1]Définition Maintenances'!$G:$G,MATCH($A77,'[1]Définition Maintenances'!$K:$K,0)),CY77,INDEX('[1]Définition Maintenances'!$G:$G,MATCH($A77,'[1]Définition Maintenances'!$K:$K,0))+CY77),CY77))</f>
        <v>773</v>
      </c>
      <c r="DA77" s="26">
        <f>IF(ISNUMBER(VLOOKUP($D77,'Visu totale'!$D:$DH,DA$1,0)),CZ77-VLOOKUP($D77,'Visu totale'!$D:$DH,DA$1,0),IF(LEFT(VLOOKUP($D77,'Visu totale'!$D:$DH,DA$1,0),1)="V",IF(CZ77&gt;=INDEX('[1]Définition Maintenances'!$G:$G,MATCH($A77,'[1]Définition Maintenances'!$K:$K,0)),CZ77,INDEX('[1]Définition Maintenances'!$G:$G,MATCH($A77,'[1]Définition Maintenances'!$K:$K,0))+CZ77),CZ77))</f>
        <v>773</v>
      </c>
      <c r="DB77" s="26">
        <f>IF(ISNUMBER(VLOOKUP($D77,'Visu totale'!$D:$DH,DB$1,0)),DA77-VLOOKUP($D77,'Visu totale'!$D:$DH,DB$1,0),IF(LEFT(VLOOKUP($D77,'Visu totale'!$D:$DH,DB$1,0),1)="V",IF(DA77&gt;=INDEX('[1]Définition Maintenances'!$G:$G,MATCH($A77,'[1]Définition Maintenances'!$K:$K,0)),DA77,INDEX('[1]Définition Maintenances'!$G:$G,MATCH($A77,'[1]Définition Maintenances'!$K:$K,0))+DA77),DA77))</f>
        <v>773</v>
      </c>
      <c r="DC77" s="26">
        <f>IF(ISNUMBER(VLOOKUP($D77,'Visu totale'!$D:$DH,DC$1,0)),DB77-VLOOKUP($D77,'Visu totale'!$D:$DH,DC$1,0),IF(LEFT(VLOOKUP($D77,'Visu totale'!$D:$DH,DC$1,0),1)="V",IF(DB77&gt;=INDEX('[1]Définition Maintenances'!$G:$G,MATCH($A77,'[1]Définition Maintenances'!$K:$K,0)),DB77,INDEX('[1]Définition Maintenances'!$G:$G,MATCH($A77,'[1]Définition Maintenances'!$K:$K,0))+DB77),DB77))</f>
        <v>773</v>
      </c>
      <c r="DD77" s="26">
        <f>IF(ISNUMBER(VLOOKUP($D77,'Visu totale'!$D:$DH,DD$1,0)),DC77-VLOOKUP($D77,'Visu totale'!$D:$DH,DD$1,0),IF(LEFT(VLOOKUP($D77,'Visu totale'!$D:$DH,DD$1,0),1)="V",IF(DC77&gt;=INDEX('[1]Définition Maintenances'!$G:$G,MATCH($A77,'[1]Définition Maintenances'!$K:$K,0)),DC77,INDEX('[1]Définition Maintenances'!$G:$G,MATCH($A77,'[1]Définition Maintenances'!$K:$K,0))+DC77),DC77))</f>
        <v>773</v>
      </c>
      <c r="DE77" s="26">
        <f>IF(ISNUMBER(VLOOKUP($D77,'Visu totale'!$D:$DH,DE$1,0)),DD77-VLOOKUP($D77,'Visu totale'!$D:$DH,DE$1,0),IF(LEFT(VLOOKUP($D77,'Visu totale'!$D:$DH,DE$1,0),1)="V",IF(DD77&gt;=INDEX('[1]Définition Maintenances'!$G:$G,MATCH($A77,'[1]Définition Maintenances'!$K:$K,0)),DD77,INDEX('[1]Définition Maintenances'!$G:$G,MATCH($A77,'[1]Définition Maintenances'!$K:$K,0))+DD77),DD77))</f>
        <v>773</v>
      </c>
      <c r="DF77" s="26">
        <f>IF(ISNUMBER(VLOOKUP($D77,'Visu totale'!$D:$DH,DF$1,0)),DE77-VLOOKUP($D77,'Visu totale'!$D:$DH,DF$1,0),IF(LEFT(VLOOKUP($D77,'Visu totale'!$D:$DH,DF$1,0),1)="V",IF(DE77&gt;=INDEX('[1]Définition Maintenances'!$G:$G,MATCH($A77,'[1]Définition Maintenances'!$K:$K,0)),DE77,INDEX('[1]Définition Maintenances'!$G:$G,MATCH($A77,'[1]Définition Maintenances'!$K:$K,0))+DE77),DE77))</f>
        <v>773</v>
      </c>
      <c r="DG77" s="26">
        <f>IF(ISNUMBER(VLOOKUP($D77,'Visu totale'!$D:$DH,DG$1,0)),DF77-VLOOKUP($D77,'Visu totale'!$D:$DH,DG$1,0),IF(LEFT(VLOOKUP($D77,'Visu totale'!$D:$DH,DG$1,0),1)="V",IF(DF77&gt;=INDEX('[1]Définition Maintenances'!$G:$G,MATCH($A77,'[1]Définition Maintenances'!$K:$K,0)),DF77,INDEX('[1]Définition Maintenances'!$G:$G,MATCH($A77,'[1]Définition Maintenances'!$K:$K,0))+DF77),DF77))</f>
        <v>773</v>
      </c>
      <c r="DH77" s="26">
        <f>IF(ISNUMBER(VLOOKUP($D77,'Visu totale'!$D:$DH,DH$1,0)),DG77-VLOOKUP($D77,'Visu totale'!$D:$DH,DH$1,0),IF(LEFT(VLOOKUP($D77,'Visu totale'!$D:$DH,DH$1,0),1)="V",IF(DG77&gt;=INDEX('[1]Définition Maintenances'!$G:$G,MATCH($A77,'[1]Définition Maintenances'!$K:$K,0)),DG77,INDEX('[1]Définition Maintenances'!$G:$G,MATCH($A77,'[1]Définition Maintenances'!$K:$K,0))+DG77),DG77))</f>
        <v>773</v>
      </c>
      <c r="DI77" s="27">
        <f>IF(ISNUMBER(VLOOKUP($D77,'Visu totale'!$D:$DH,DI$1,0)),DH77-VLOOKUP($D77,'Visu totale'!$D:$DH,DI$1,0),IF(LEFT(VLOOKUP($D77,'Visu totale'!$D:$DH,DI$1,0),1)="V",IF(DH77&gt;=INDEX('[1]Définition Maintenances'!$G:$G,MATCH($A77,'[1]Définition Maintenances'!$K:$K,0)),DH77,INDEX('[1]Définition Maintenances'!$G:$G,MATCH($A77,'[1]Définition Maintenances'!$K:$K,0))+DH77),DH77))</f>
        <v>773</v>
      </c>
    </row>
    <row r="78" spans="1:113" x14ac:dyDescent="0.25">
      <c r="A78" s="13" t="str">
        <f t="shared" si="2"/>
        <v>V15B</v>
      </c>
      <c r="B78" s="13" t="str">
        <f>VLOOKUP(D78,'[1]Avions (Potentiels)'!$B$2:$H$128,7,FALSE)</f>
        <v>V15</v>
      </c>
      <c r="C78" s="13"/>
      <c r="D78" s="16" t="s">
        <v>81</v>
      </c>
      <c r="E78" s="13">
        <f>IFERROR(VALUE(SUBSTITUTE(VLOOKUP(D78,'[1]Avions (Potentiels)'!$B:$E,4,0),".",",")),VALUE(VLOOKUP(D78,'[1]Avions (Potentiels)'!$B:$E,4,0)))</f>
        <v>891</v>
      </c>
      <c r="F78" s="25">
        <f>IF(ISNUMBER(VLOOKUP($D78,'Visu totale'!$D:$DH,F$1,0)),E78-VLOOKUP($D78,'Visu totale'!$D:$DH,F$1,0),IF(LEFT(VLOOKUP($D78,'Visu totale'!$D:$DH,F$1,0),1)="V",IF(E78&gt;=INDEX('[1]Définition Maintenances'!$G:$G,MATCH($A78,'[1]Définition Maintenances'!$K:$K,0)),E78,INDEX('[1]Définition Maintenances'!$G:$G,MATCH($A78,'[1]Définition Maintenances'!$K:$K,0))+E78),E78))</f>
        <v>891</v>
      </c>
      <c r="G78" s="26">
        <f>IF(ISNUMBER(VLOOKUP($D78,'Visu totale'!$D:$DH,G$1,0)),F78-VLOOKUP($D78,'Visu totale'!$D:$DH,G$1,0),IF(LEFT(VLOOKUP($D78,'Visu totale'!$D:$DH,G$1,0),1)="V",IF(F78&gt;=INDEX('[1]Définition Maintenances'!$G:$G,MATCH($A78,'[1]Définition Maintenances'!$K:$K,0)),F78,INDEX('[1]Définition Maintenances'!$G:$G,MATCH($A78,'[1]Définition Maintenances'!$K:$K,0))+F78),F78))</f>
        <v>891</v>
      </c>
      <c r="H78" s="26">
        <f>IF(ISNUMBER(VLOOKUP($D78,'Visu totale'!$D:$DH,H$1,0)),G78-VLOOKUP($D78,'Visu totale'!$D:$DH,H$1,0),IF(LEFT(VLOOKUP($D78,'Visu totale'!$D:$DH,H$1,0),1)="V",IF(G78&gt;=INDEX('[1]Définition Maintenances'!$G:$G,MATCH($A78,'[1]Définition Maintenances'!$K:$K,0)),G78,INDEX('[1]Définition Maintenances'!$G:$G,MATCH($A78,'[1]Définition Maintenances'!$K:$K,0))+G78),G78))</f>
        <v>891</v>
      </c>
      <c r="I78" s="26">
        <f>IF(ISNUMBER(VLOOKUP($D78,'Visu totale'!$D:$DH,I$1,0)),H78-VLOOKUP($D78,'Visu totale'!$D:$DH,I$1,0),IF(LEFT(VLOOKUP($D78,'Visu totale'!$D:$DH,I$1,0),1)="V",IF(H78&gt;=INDEX('[1]Définition Maintenances'!$G:$G,MATCH($A78,'[1]Définition Maintenances'!$K:$K,0)),H78,INDEX('[1]Définition Maintenances'!$G:$G,MATCH($A78,'[1]Définition Maintenances'!$K:$K,0))+H78),H78))</f>
        <v>891</v>
      </c>
      <c r="J78" s="26">
        <f>IF(ISNUMBER(VLOOKUP($D78,'Visu totale'!$D:$DH,J$1,0)),I78-VLOOKUP($D78,'Visu totale'!$D:$DH,J$1,0),IF(LEFT(VLOOKUP($D78,'Visu totale'!$D:$DH,J$1,0),1)="V",IF(I78&gt;=INDEX('[1]Définition Maintenances'!$G:$G,MATCH($A78,'[1]Définition Maintenances'!$K:$K,0)),I78,INDEX('[1]Définition Maintenances'!$G:$G,MATCH($A78,'[1]Définition Maintenances'!$K:$K,0))+I78),I78))</f>
        <v>891</v>
      </c>
      <c r="K78" s="26">
        <f>IF(ISNUMBER(VLOOKUP($D78,'Visu totale'!$D:$DH,K$1,0)),J78-VLOOKUP($D78,'Visu totale'!$D:$DH,K$1,0),IF(LEFT(VLOOKUP($D78,'Visu totale'!$D:$DH,K$1,0),1)="V",IF(J78&gt;=INDEX('[1]Définition Maintenances'!$G:$G,MATCH($A78,'[1]Définition Maintenances'!$K:$K,0)),J78,INDEX('[1]Définition Maintenances'!$G:$G,MATCH($A78,'[1]Définition Maintenances'!$K:$K,0))+J78),J78))</f>
        <v>891</v>
      </c>
      <c r="L78" s="26">
        <f>IF(ISNUMBER(VLOOKUP($D78,'Visu totale'!$D:$DH,L$1,0)),K78-VLOOKUP($D78,'Visu totale'!$D:$DH,L$1,0),IF(LEFT(VLOOKUP($D78,'Visu totale'!$D:$DH,L$1,0),1)="V",IF(K78&gt;=INDEX('[1]Définition Maintenances'!$G:$G,MATCH($A78,'[1]Définition Maintenances'!$K:$K,0)),K78,INDEX('[1]Définition Maintenances'!$G:$G,MATCH($A78,'[1]Définition Maintenances'!$K:$K,0))+K78),K78))</f>
        <v>891</v>
      </c>
      <c r="M78" s="26">
        <f>IF(ISNUMBER(VLOOKUP($D78,'Visu totale'!$D:$DH,M$1,0)),L78-VLOOKUP($D78,'Visu totale'!$D:$DH,M$1,0),IF(LEFT(VLOOKUP($D78,'Visu totale'!$D:$DH,M$1,0),1)="V",IF(L78&gt;=INDEX('[1]Définition Maintenances'!$G:$G,MATCH($A78,'[1]Définition Maintenances'!$K:$K,0)),L78,INDEX('[1]Définition Maintenances'!$G:$G,MATCH($A78,'[1]Définition Maintenances'!$K:$K,0))+L78),L78))</f>
        <v>891</v>
      </c>
      <c r="N78" s="26">
        <f>IF(ISNUMBER(VLOOKUP($D78,'Visu totale'!$D:$DH,N$1,0)),M78-VLOOKUP($D78,'Visu totale'!$D:$DH,N$1,0),IF(LEFT(VLOOKUP($D78,'Visu totale'!$D:$DH,N$1,0),1)="V",IF(M78&gt;=INDEX('[1]Définition Maintenances'!$G:$G,MATCH($A78,'[1]Définition Maintenances'!$K:$K,0)),M78,INDEX('[1]Définition Maintenances'!$G:$G,MATCH($A78,'[1]Définition Maintenances'!$K:$K,0))+M78),M78))</f>
        <v>891</v>
      </c>
      <c r="O78" s="26">
        <f>IF(ISNUMBER(VLOOKUP($D78,'Visu totale'!$D:$DH,O$1,0)),N78-VLOOKUP($D78,'Visu totale'!$D:$DH,O$1,0),IF(LEFT(VLOOKUP($D78,'Visu totale'!$D:$DH,O$1,0),1)="V",IF(N78&gt;=INDEX('[1]Définition Maintenances'!$G:$G,MATCH($A78,'[1]Définition Maintenances'!$K:$K,0)),N78,INDEX('[1]Définition Maintenances'!$G:$G,MATCH($A78,'[1]Définition Maintenances'!$K:$K,0))+N78),N78))</f>
        <v>891</v>
      </c>
      <c r="P78" s="26">
        <f>IF(ISNUMBER(VLOOKUP($D78,'Visu totale'!$D:$DH,P$1,0)),O78-VLOOKUP($D78,'Visu totale'!$D:$DH,P$1,0),IF(LEFT(VLOOKUP($D78,'Visu totale'!$D:$DH,P$1,0),1)="V",IF(O78&gt;=INDEX('[1]Définition Maintenances'!$G:$G,MATCH($A78,'[1]Définition Maintenances'!$K:$K,0)),O78,INDEX('[1]Définition Maintenances'!$G:$G,MATCH($A78,'[1]Définition Maintenances'!$K:$K,0))+O78),O78))</f>
        <v>891</v>
      </c>
      <c r="Q78" s="27">
        <f>IF(ISNUMBER(VLOOKUP($D78,'Visu totale'!$D:$DH,Q$1,0)),P78-VLOOKUP($D78,'Visu totale'!$D:$DH,Q$1,0),IF(LEFT(VLOOKUP($D78,'Visu totale'!$D:$DH,Q$1,0),1)="V",IF(P78&gt;=INDEX('[1]Définition Maintenances'!$G:$G,MATCH($A78,'[1]Définition Maintenances'!$K:$K,0)),P78,INDEX('[1]Définition Maintenances'!$G:$G,MATCH($A78,'[1]Définition Maintenances'!$K:$K,0))+P78),P78))</f>
        <v>891</v>
      </c>
      <c r="R78" s="25">
        <f>IF(ISNUMBER(VLOOKUP($D78,'Visu totale'!$D:$DH,R$1,0)),Q78-VLOOKUP($D78,'Visu totale'!$D:$DH,R$1,0),IF(LEFT(VLOOKUP($D78,'Visu totale'!$D:$DH,R$1,0),1)="V",IF(Q78&gt;=INDEX('[1]Définition Maintenances'!$G:$G,MATCH($A78,'[1]Définition Maintenances'!$K:$K,0)),Q78,INDEX('[1]Définition Maintenances'!$G:$G,MATCH($A78,'[1]Définition Maintenances'!$K:$K,0))+Q78),Q78))</f>
        <v>891</v>
      </c>
      <c r="S78" s="26">
        <f>IF(ISNUMBER(VLOOKUP($D78,'Visu totale'!$D:$DH,S$1,0)),R78-VLOOKUP($D78,'Visu totale'!$D:$DH,S$1,0),IF(LEFT(VLOOKUP($D78,'Visu totale'!$D:$DH,S$1,0),1)="V",IF(R78&gt;=INDEX('[1]Définition Maintenances'!$G:$G,MATCH($A78,'[1]Définition Maintenances'!$K:$K,0)),R78,INDEX('[1]Définition Maintenances'!$G:$G,MATCH($A78,'[1]Définition Maintenances'!$K:$K,0))+R78),R78))</f>
        <v>891</v>
      </c>
      <c r="T78" s="26">
        <f>IF(ISNUMBER(VLOOKUP($D78,'Visu totale'!$D:$DH,T$1,0)),S78-VLOOKUP($D78,'Visu totale'!$D:$DH,T$1,0),IF(LEFT(VLOOKUP($D78,'Visu totale'!$D:$DH,T$1,0),1)="V",IF(S78&gt;=INDEX('[1]Définition Maintenances'!$G:$G,MATCH($A78,'[1]Définition Maintenances'!$K:$K,0)),S78,INDEX('[1]Définition Maintenances'!$G:$G,MATCH($A78,'[1]Définition Maintenances'!$K:$K,0))+S78),S78))</f>
        <v>891</v>
      </c>
      <c r="U78" s="26">
        <f>IF(ISNUMBER(VLOOKUP($D78,'Visu totale'!$D:$DH,U$1,0)),T78-VLOOKUP($D78,'Visu totale'!$D:$DH,U$1,0),IF(LEFT(VLOOKUP($D78,'Visu totale'!$D:$DH,U$1,0),1)="V",IF(T78&gt;=INDEX('[1]Définition Maintenances'!$G:$G,MATCH($A78,'[1]Définition Maintenances'!$K:$K,0)),T78,INDEX('[1]Définition Maintenances'!$G:$G,MATCH($A78,'[1]Définition Maintenances'!$K:$K,0))+T78),T78))</f>
        <v>891</v>
      </c>
      <c r="V78" s="26">
        <f>IF(ISNUMBER(VLOOKUP($D78,'Visu totale'!$D:$DH,V$1,0)),U78-VLOOKUP($D78,'Visu totale'!$D:$DH,V$1,0),IF(LEFT(VLOOKUP($D78,'Visu totale'!$D:$DH,V$1,0),1)="V",IF(U78&gt;=INDEX('[1]Définition Maintenances'!$G:$G,MATCH($A78,'[1]Définition Maintenances'!$K:$K,0)),U78,INDEX('[1]Définition Maintenances'!$G:$G,MATCH($A78,'[1]Définition Maintenances'!$K:$K,0))+U78),U78))</f>
        <v>891</v>
      </c>
      <c r="W78" s="26">
        <f>IF(ISNUMBER(VLOOKUP($D78,'Visu totale'!$D:$DH,W$1,0)),V78-VLOOKUP($D78,'Visu totale'!$D:$DH,W$1,0),IF(LEFT(VLOOKUP($D78,'Visu totale'!$D:$DH,W$1,0),1)="V",IF(V78&gt;=INDEX('[1]Définition Maintenances'!$G:$G,MATCH($A78,'[1]Définition Maintenances'!$K:$K,0)),V78,INDEX('[1]Définition Maintenances'!$G:$G,MATCH($A78,'[1]Définition Maintenances'!$K:$K,0))+V78),V78))</f>
        <v>891</v>
      </c>
      <c r="X78" s="26">
        <f>IF(ISNUMBER(VLOOKUP($D78,'Visu totale'!$D:$DH,X$1,0)),W78-VLOOKUP($D78,'Visu totale'!$D:$DH,X$1,0),IF(LEFT(VLOOKUP($D78,'Visu totale'!$D:$DH,X$1,0),1)="V",IF(W78&gt;=INDEX('[1]Définition Maintenances'!$G:$G,MATCH($A78,'[1]Définition Maintenances'!$K:$K,0)),W78,INDEX('[1]Définition Maintenances'!$G:$G,MATCH($A78,'[1]Définition Maintenances'!$K:$K,0))+W78),W78))</f>
        <v>891</v>
      </c>
      <c r="Y78" s="26">
        <f>IF(ISNUMBER(VLOOKUP($D78,'Visu totale'!$D:$DH,Y$1,0)),X78-VLOOKUP($D78,'Visu totale'!$D:$DH,Y$1,0),IF(LEFT(VLOOKUP($D78,'Visu totale'!$D:$DH,Y$1,0),1)="V",IF(X78&gt;=INDEX('[1]Définition Maintenances'!$G:$G,MATCH($A78,'[1]Définition Maintenances'!$K:$K,0)),X78,INDEX('[1]Définition Maintenances'!$G:$G,MATCH($A78,'[1]Définition Maintenances'!$K:$K,0))+X78),X78))</f>
        <v>891</v>
      </c>
      <c r="Z78" s="26">
        <f>IF(ISNUMBER(VLOOKUP($D78,'Visu totale'!$D:$DH,Z$1,0)),Y78-VLOOKUP($D78,'Visu totale'!$D:$DH,Z$1,0),IF(LEFT(VLOOKUP($D78,'Visu totale'!$D:$DH,Z$1,0),1)="V",IF(Y78&gt;=INDEX('[1]Définition Maintenances'!$G:$G,MATCH($A78,'[1]Définition Maintenances'!$K:$K,0)),Y78,INDEX('[1]Définition Maintenances'!$G:$G,MATCH($A78,'[1]Définition Maintenances'!$K:$K,0))+Y78),Y78))</f>
        <v>891</v>
      </c>
      <c r="AA78" s="26">
        <f>IF(ISNUMBER(VLOOKUP($D78,'Visu totale'!$D:$DH,AA$1,0)),Z78-VLOOKUP($D78,'Visu totale'!$D:$DH,AA$1,0),IF(LEFT(VLOOKUP($D78,'Visu totale'!$D:$DH,AA$1,0),1)="V",IF(Z78&gt;=INDEX('[1]Définition Maintenances'!$G:$G,MATCH($A78,'[1]Définition Maintenances'!$K:$K,0)),Z78,INDEX('[1]Définition Maintenances'!$G:$G,MATCH($A78,'[1]Définition Maintenances'!$K:$K,0))+Z78),Z78))</f>
        <v>891</v>
      </c>
      <c r="AB78" s="26">
        <f>IF(ISNUMBER(VLOOKUP($D78,'Visu totale'!$D:$DH,AB$1,0)),AA78-VLOOKUP($D78,'Visu totale'!$D:$DH,AB$1,0),IF(LEFT(VLOOKUP($D78,'Visu totale'!$D:$DH,AB$1,0),1)="V",IF(AA78&gt;=INDEX('[1]Définition Maintenances'!$G:$G,MATCH($A78,'[1]Définition Maintenances'!$K:$K,0)),AA78,INDEX('[1]Définition Maintenances'!$G:$G,MATCH($A78,'[1]Définition Maintenances'!$K:$K,0))+AA78),AA78))</f>
        <v>891</v>
      </c>
      <c r="AC78" s="27">
        <f>IF(ISNUMBER(VLOOKUP($D78,'Visu totale'!$D:$DH,AC$1,0)),AB78-VLOOKUP($D78,'Visu totale'!$D:$DH,AC$1,0),IF(LEFT(VLOOKUP($D78,'Visu totale'!$D:$DH,AC$1,0),1)="V",IF(AB78&gt;=INDEX('[1]Définition Maintenances'!$G:$G,MATCH($A78,'[1]Définition Maintenances'!$K:$K,0)),AB78,INDEX('[1]Définition Maintenances'!$G:$G,MATCH($A78,'[1]Définition Maintenances'!$K:$K,0))+AB78),AB78))</f>
        <v>891</v>
      </c>
      <c r="AD78" s="25">
        <f>IF(ISNUMBER(VLOOKUP($D78,'Visu totale'!$D:$DH,AD$1,0)),AC78-VLOOKUP($D78,'Visu totale'!$D:$DH,AD$1,0),IF(LEFT(VLOOKUP($D78,'Visu totale'!$D:$DH,AD$1,0),1)="V",IF(AC78&gt;=INDEX('[1]Définition Maintenances'!$G:$G,MATCH($A78,'[1]Définition Maintenances'!$K:$K,0)),AC78,INDEX('[1]Définition Maintenances'!$G:$G,MATCH($A78,'[1]Définition Maintenances'!$K:$K,0))+AC78),AC78))</f>
        <v>891</v>
      </c>
      <c r="AE78" s="26">
        <f>IF(ISNUMBER(VLOOKUP($D78,'Visu totale'!$D:$DH,AE$1,0)),AD78-VLOOKUP($D78,'Visu totale'!$D:$DH,AE$1,0),IF(LEFT(VLOOKUP($D78,'Visu totale'!$D:$DH,AE$1,0),1)="V",IF(AD78&gt;=INDEX('[1]Définition Maintenances'!$G:$G,MATCH($A78,'[1]Définition Maintenances'!$K:$K,0)),AD78,INDEX('[1]Définition Maintenances'!$G:$G,MATCH($A78,'[1]Définition Maintenances'!$K:$K,0))+AD78),AD78))</f>
        <v>891</v>
      </c>
      <c r="AF78" s="26">
        <f>IF(ISNUMBER(VLOOKUP($D78,'Visu totale'!$D:$DH,AF$1,0)),AE78-VLOOKUP($D78,'Visu totale'!$D:$DH,AF$1,0),IF(LEFT(VLOOKUP($D78,'Visu totale'!$D:$DH,AF$1,0),1)="V",IF(AE78&gt;=INDEX('[1]Définition Maintenances'!$G:$G,MATCH($A78,'[1]Définition Maintenances'!$K:$K,0)),AE78,INDEX('[1]Définition Maintenances'!$G:$G,MATCH($A78,'[1]Définition Maintenances'!$K:$K,0))+AE78),AE78))</f>
        <v>891</v>
      </c>
      <c r="AG78" s="26">
        <f>IF(ISNUMBER(VLOOKUP($D78,'Visu totale'!$D:$DH,AG$1,0)),AF78-VLOOKUP($D78,'Visu totale'!$D:$DH,AG$1,0),IF(LEFT(VLOOKUP($D78,'Visu totale'!$D:$DH,AG$1,0),1)="V",IF(AF78&gt;=INDEX('[1]Définition Maintenances'!$G:$G,MATCH($A78,'[1]Définition Maintenances'!$K:$K,0)),AF78,INDEX('[1]Définition Maintenances'!$G:$G,MATCH($A78,'[1]Définition Maintenances'!$K:$K,0))+AF78),AF78))</f>
        <v>891</v>
      </c>
      <c r="AH78" s="26">
        <f>IF(ISNUMBER(VLOOKUP($D78,'Visu totale'!$D:$DH,AH$1,0)),AG78-VLOOKUP($D78,'Visu totale'!$D:$DH,AH$1,0),IF(LEFT(VLOOKUP($D78,'Visu totale'!$D:$DH,AH$1,0),1)="V",IF(AG78&gt;=INDEX('[1]Définition Maintenances'!$G:$G,MATCH($A78,'[1]Définition Maintenances'!$K:$K,0)),AG78,INDEX('[1]Définition Maintenances'!$G:$G,MATCH($A78,'[1]Définition Maintenances'!$K:$K,0))+AG78),AG78))</f>
        <v>891</v>
      </c>
      <c r="AI78" s="26">
        <f>IF(ISNUMBER(VLOOKUP($D78,'Visu totale'!$D:$DH,AI$1,0)),AH78-VLOOKUP($D78,'Visu totale'!$D:$DH,AI$1,0),IF(LEFT(VLOOKUP($D78,'Visu totale'!$D:$DH,AI$1,0),1)="V",IF(AH78&gt;=INDEX('[1]Définition Maintenances'!$G:$G,MATCH($A78,'[1]Définition Maintenances'!$K:$K,0)),AH78,INDEX('[1]Définition Maintenances'!$G:$G,MATCH($A78,'[1]Définition Maintenances'!$K:$K,0))+AH78),AH78))</f>
        <v>891</v>
      </c>
      <c r="AJ78" s="26">
        <f>IF(ISNUMBER(VLOOKUP($D78,'Visu totale'!$D:$DH,AJ$1,0)),AI78-VLOOKUP($D78,'Visu totale'!$D:$DH,AJ$1,0),IF(LEFT(VLOOKUP($D78,'Visu totale'!$D:$DH,AJ$1,0),1)="V",IF(AI78&gt;=INDEX('[1]Définition Maintenances'!$G:$G,MATCH($A78,'[1]Définition Maintenances'!$K:$K,0)),AI78,INDEX('[1]Définition Maintenances'!$G:$G,MATCH($A78,'[1]Définition Maintenances'!$K:$K,0))+AI78),AI78))</f>
        <v>891</v>
      </c>
      <c r="AK78" s="26">
        <f>IF(ISNUMBER(VLOOKUP($D78,'Visu totale'!$D:$DH,AK$1,0)),AJ78-VLOOKUP($D78,'Visu totale'!$D:$DH,AK$1,0),IF(LEFT(VLOOKUP($D78,'Visu totale'!$D:$DH,AK$1,0),1)="V",IF(AJ78&gt;=INDEX('[1]Définition Maintenances'!$G:$G,MATCH($A78,'[1]Définition Maintenances'!$K:$K,0)),AJ78,INDEX('[1]Définition Maintenances'!$G:$G,MATCH($A78,'[1]Définition Maintenances'!$K:$K,0))+AJ78),AJ78))</f>
        <v>891</v>
      </c>
      <c r="AL78" s="26">
        <f>IF(ISNUMBER(VLOOKUP($D78,'Visu totale'!$D:$DH,AL$1,0)),AK78-VLOOKUP($D78,'Visu totale'!$D:$DH,AL$1,0),IF(LEFT(VLOOKUP($D78,'Visu totale'!$D:$DH,AL$1,0),1)="V",IF(AK78&gt;=INDEX('[1]Définition Maintenances'!$G:$G,MATCH($A78,'[1]Définition Maintenances'!$K:$K,0)),AK78,INDEX('[1]Définition Maintenances'!$G:$G,MATCH($A78,'[1]Définition Maintenances'!$K:$K,0))+AK78),AK78))</f>
        <v>891</v>
      </c>
      <c r="AM78" s="26">
        <f>IF(ISNUMBER(VLOOKUP($D78,'Visu totale'!$D:$DH,AM$1,0)),AL78-VLOOKUP($D78,'Visu totale'!$D:$DH,AM$1,0),IF(LEFT(VLOOKUP($D78,'Visu totale'!$D:$DH,AM$1,0),1)="V",IF(AL78&gt;=INDEX('[1]Définition Maintenances'!$G:$G,MATCH($A78,'[1]Définition Maintenances'!$K:$K,0)),AL78,INDEX('[1]Définition Maintenances'!$G:$G,MATCH($A78,'[1]Définition Maintenances'!$K:$K,0))+AL78),AL78))</f>
        <v>891</v>
      </c>
      <c r="AN78" s="26">
        <f>IF(ISNUMBER(VLOOKUP($D78,'Visu totale'!$D:$DH,AN$1,0)),AM78-VLOOKUP($D78,'Visu totale'!$D:$DH,AN$1,0),IF(LEFT(VLOOKUP($D78,'Visu totale'!$D:$DH,AN$1,0),1)="V",IF(AM78&gt;=INDEX('[1]Définition Maintenances'!$G:$G,MATCH($A78,'[1]Définition Maintenances'!$K:$K,0)),AM78,INDEX('[1]Définition Maintenances'!$G:$G,MATCH($A78,'[1]Définition Maintenances'!$K:$K,0))+AM78),AM78))</f>
        <v>891</v>
      </c>
      <c r="AO78" s="27">
        <f>IF(ISNUMBER(VLOOKUP($D78,'Visu totale'!$D:$DH,AO$1,0)),AN78-VLOOKUP($D78,'Visu totale'!$D:$DH,AO$1,0),IF(LEFT(VLOOKUP($D78,'Visu totale'!$D:$DH,AO$1,0),1)="V",IF(AN78&gt;=INDEX('[1]Définition Maintenances'!$G:$G,MATCH($A78,'[1]Définition Maintenances'!$K:$K,0)),AN78,INDEX('[1]Définition Maintenances'!$G:$G,MATCH($A78,'[1]Définition Maintenances'!$K:$K,0))+AN78),AN78))</f>
        <v>891</v>
      </c>
      <c r="AP78" s="25">
        <f>IF(ISNUMBER(VLOOKUP($D78,'Visu totale'!$D:$DH,AP$1,0)),AO78-VLOOKUP($D78,'Visu totale'!$D:$DH,AP$1,0),IF(LEFT(VLOOKUP($D78,'Visu totale'!$D:$DH,AP$1,0),1)="V",IF(AO78&gt;=INDEX('[1]Définition Maintenances'!$G:$G,MATCH($A78,'[1]Définition Maintenances'!$K:$K,0)),AO78,INDEX('[1]Définition Maintenances'!$G:$G,MATCH($A78,'[1]Définition Maintenances'!$K:$K,0))+AO78),AO78))</f>
        <v>891</v>
      </c>
      <c r="AQ78" s="26">
        <f>IF(ISNUMBER(VLOOKUP($D78,'Visu totale'!$D:$DH,AQ$1,0)),AP78-VLOOKUP($D78,'Visu totale'!$D:$DH,AQ$1,0),IF(LEFT(VLOOKUP($D78,'Visu totale'!$D:$DH,AQ$1,0),1)="V",IF(AP78&gt;=INDEX('[1]Définition Maintenances'!$G:$G,MATCH($A78,'[1]Définition Maintenances'!$K:$K,0)),AP78,INDEX('[1]Définition Maintenances'!$G:$G,MATCH($A78,'[1]Définition Maintenances'!$K:$K,0))+AP78),AP78))</f>
        <v>891</v>
      </c>
      <c r="AR78" s="26">
        <f>IF(ISNUMBER(VLOOKUP($D78,'Visu totale'!$D:$DH,AR$1,0)),AQ78-VLOOKUP($D78,'Visu totale'!$D:$DH,AR$1,0),IF(LEFT(VLOOKUP($D78,'Visu totale'!$D:$DH,AR$1,0),1)="V",IF(AQ78&gt;=INDEX('[1]Définition Maintenances'!$G:$G,MATCH($A78,'[1]Définition Maintenances'!$K:$K,0)),AQ78,INDEX('[1]Définition Maintenances'!$G:$G,MATCH($A78,'[1]Définition Maintenances'!$K:$K,0))+AQ78),AQ78))</f>
        <v>891</v>
      </c>
      <c r="AS78" s="26">
        <f>IF(ISNUMBER(VLOOKUP($D78,'Visu totale'!$D:$DH,AS$1,0)),AR78-VLOOKUP($D78,'Visu totale'!$D:$DH,AS$1,0),IF(LEFT(VLOOKUP($D78,'Visu totale'!$D:$DH,AS$1,0),1)="V",IF(AR78&gt;=INDEX('[1]Définition Maintenances'!$G:$G,MATCH($A78,'[1]Définition Maintenances'!$K:$K,0)),AR78,INDEX('[1]Définition Maintenances'!$G:$G,MATCH($A78,'[1]Définition Maintenances'!$K:$K,0))+AR78),AR78))</f>
        <v>891</v>
      </c>
      <c r="AT78" s="26">
        <f>IF(ISNUMBER(VLOOKUP($D78,'Visu totale'!$D:$DH,AT$1,0)),AS78-VLOOKUP($D78,'Visu totale'!$D:$DH,AT$1,0),IF(LEFT(VLOOKUP($D78,'Visu totale'!$D:$DH,AT$1,0),1)="V",IF(AS78&gt;=INDEX('[1]Définition Maintenances'!$G:$G,MATCH($A78,'[1]Définition Maintenances'!$K:$K,0)),AS78,INDEX('[1]Définition Maintenances'!$G:$G,MATCH($A78,'[1]Définition Maintenances'!$K:$K,0))+AS78),AS78))</f>
        <v>891</v>
      </c>
      <c r="AU78" s="26">
        <f>IF(ISNUMBER(VLOOKUP($D78,'Visu totale'!$D:$DH,AU$1,0)),AT78-VLOOKUP($D78,'Visu totale'!$D:$DH,AU$1,0),IF(LEFT(VLOOKUP($D78,'Visu totale'!$D:$DH,AU$1,0),1)="V",IF(AT78&gt;=INDEX('[1]Définition Maintenances'!$G:$G,MATCH($A78,'[1]Définition Maintenances'!$K:$K,0)),AT78,INDEX('[1]Définition Maintenances'!$G:$G,MATCH($A78,'[1]Définition Maintenances'!$K:$K,0))+AT78),AT78))</f>
        <v>891</v>
      </c>
      <c r="AV78" s="26">
        <f>IF(ISNUMBER(VLOOKUP($D78,'Visu totale'!$D:$DH,AV$1,0)),AU78-VLOOKUP($D78,'Visu totale'!$D:$DH,AV$1,0),IF(LEFT(VLOOKUP($D78,'Visu totale'!$D:$DH,AV$1,0),1)="V",IF(AU78&gt;=INDEX('[1]Définition Maintenances'!$G:$G,MATCH($A78,'[1]Définition Maintenances'!$K:$K,0)),AU78,INDEX('[1]Définition Maintenances'!$G:$G,MATCH($A78,'[1]Définition Maintenances'!$K:$K,0))+AU78),AU78))</f>
        <v>891</v>
      </c>
      <c r="AW78" s="26">
        <f>IF(ISNUMBER(VLOOKUP($D78,'Visu totale'!$D:$DH,AW$1,0)),AV78-VLOOKUP($D78,'Visu totale'!$D:$DH,AW$1,0),IF(LEFT(VLOOKUP($D78,'Visu totale'!$D:$DH,AW$1,0),1)="V",IF(AV78&gt;=INDEX('[1]Définition Maintenances'!$G:$G,MATCH($A78,'[1]Définition Maintenances'!$K:$K,0)),AV78,INDEX('[1]Définition Maintenances'!$G:$G,MATCH($A78,'[1]Définition Maintenances'!$K:$K,0))+AV78),AV78))</f>
        <v>891</v>
      </c>
      <c r="AX78" s="26">
        <f>IF(ISNUMBER(VLOOKUP($D78,'Visu totale'!$D:$DH,AX$1,0)),AW78-VLOOKUP($D78,'Visu totale'!$D:$DH,AX$1,0),IF(LEFT(VLOOKUP($D78,'Visu totale'!$D:$DH,AX$1,0),1)="V",IF(AW78&gt;=INDEX('[1]Définition Maintenances'!$G:$G,MATCH($A78,'[1]Définition Maintenances'!$K:$K,0)),AW78,INDEX('[1]Définition Maintenances'!$G:$G,MATCH($A78,'[1]Définition Maintenances'!$K:$K,0))+AW78),AW78))</f>
        <v>891</v>
      </c>
      <c r="AY78" s="26">
        <f>IF(ISNUMBER(VLOOKUP($D78,'Visu totale'!$D:$DH,AY$1,0)),AX78-VLOOKUP($D78,'Visu totale'!$D:$DH,AY$1,0),IF(LEFT(VLOOKUP($D78,'Visu totale'!$D:$DH,AY$1,0),1)="V",IF(AX78&gt;=INDEX('[1]Définition Maintenances'!$G:$G,MATCH($A78,'[1]Définition Maintenances'!$K:$K,0)),AX78,INDEX('[1]Définition Maintenances'!$G:$G,MATCH($A78,'[1]Définition Maintenances'!$K:$K,0))+AX78),AX78))</f>
        <v>891</v>
      </c>
      <c r="AZ78" s="26">
        <f>IF(ISNUMBER(VLOOKUP($D78,'Visu totale'!$D:$DH,AZ$1,0)),AY78-VLOOKUP($D78,'Visu totale'!$D:$DH,AZ$1,0),IF(LEFT(VLOOKUP($D78,'Visu totale'!$D:$DH,AZ$1,0),1)="V",IF(AY78&gt;=INDEX('[1]Définition Maintenances'!$G:$G,MATCH($A78,'[1]Définition Maintenances'!$K:$K,0)),AY78,INDEX('[1]Définition Maintenances'!$G:$G,MATCH($A78,'[1]Définition Maintenances'!$K:$K,0))+AY78),AY78))</f>
        <v>891</v>
      </c>
      <c r="BA78" s="27">
        <f>IF(ISNUMBER(VLOOKUP($D78,'Visu totale'!$D:$DH,BA$1,0)),AZ78-VLOOKUP($D78,'Visu totale'!$D:$DH,BA$1,0),IF(LEFT(VLOOKUP($D78,'Visu totale'!$D:$DH,BA$1,0),1)="V",IF(AZ78&gt;=INDEX('[1]Définition Maintenances'!$G:$G,MATCH($A78,'[1]Définition Maintenances'!$K:$K,0)),AZ78,INDEX('[1]Définition Maintenances'!$G:$G,MATCH($A78,'[1]Définition Maintenances'!$K:$K,0))+AZ78),AZ78))</f>
        <v>891</v>
      </c>
      <c r="BB78" s="25">
        <f>IF(ISNUMBER(VLOOKUP($D78,'Visu totale'!$D:$DH,BB$1,0)),BA78-VLOOKUP($D78,'Visu totale'!$D:$DH,BB$1,0),IF(LEFT(VLOOKUP($D78,'Visu totale'!$D:$DH,BB$1,0),1)="V",IF(BA78&gt;=INDEX('[1]Définition Maintenances'!$G:$G,MATCH($A78,'[1]Définition Maintenances'!$K:$K,0)),BA78,INDEX('[1]Définition Maintenances'!$G:$G,MATCH($A78,'[1]Définition Maintenances'!$K:$K,0))+BA78),BA78))</f>
        <v>891</v>
      </c>
      <c r="BC78" s="26">
        <f>IF(ISNUMBER(VLOOKUP($D78,'Visu totale'!$D:$DH,BC$1,0)),BB78-VLOOKUP($D78,'Visu totale'!$D:$DH,BC$1,0),IF(LEFT(VLOOKUP($D78,'Visu totale'!$D:$DH,BC$1,0),1)="V",IF(BB78&gt;=INDEX('[1]Définition Maintenances'!$G:$G,MATCH($A78,'[1]Définition Maintenances'!$K:$K,0)),BB78,INDEX('[1]Définition Maintenances'!$G:$G,MATCH($A78,'[1]Définition Maintenances'!$K:$K,0))+BB78),BB78))</f>
        <v>891</v>
      </c>
      <c r="BD78" s="26">
        <f>IF(ISNUMBER(VLOOKUP($D78,'Visu totale'!$D:$DH,BD$1,0)),BC78-VLOOKUP($D78,'Visu totale'!$D:$DH,BD$1,0),IF(LEFT(VLOOKUP($D78,'Visu totale'!$D:$DH,BD$1,0),1)="V",IF(BC78&gt;=INDEX('[1]Définition Maintenances'!$G:$G,MATCH($A78,'[1]Définition Maintenances'!$K:$K,0)),BC78,INDEX('[1]Définition Maintenances'!$G:$G,MATCH($A78,'[1]Définition Maintenances'!$K:$K,0))+BC78),BC78))</f>
        <v>891</v>
      </c>
      <c r="BE78" s="26">
        <f>IF(ISNUMBER(VLOOKUP($D78,'Visu totale'!$D:$DH,BE$1,0)),BD78-VLOOKUP($D78,'Visu totale'!$D:$DH,BE$1,0),IF(LEFT(VLOOKUP($D78,'Visu totale'!$D:$DH,BE$1,0),1)="V",IF(BD78&gt;=INDEX('[1]Définition Maintenances'!$G:$G,MATCH($A78,'[1]Définition Maintenances'!$K:$K,0)),BD78,INDEX('[1]Définition Maintenances'!$G:$G,MATCH($A78,'[1]Définition Maintenances'!$K:$K,0))+BD78),BD78))</f>
        <v>891</v>
      </c>
      <c r="BF78" s="26">
        <f>IF(ISNUMBER(VLOOKUP($D78,'Visu totale'!$D:$DH,BF$1,0)),BE78-VLOOKUP($D78,'Visu totale'!$D:$DH,BF$1,0),IF(LEFT(VLOOKUP($D78,'Visu totale'!$D:$DH,BF$1,0),1)="V",IF(BE78&gt;=INDEX('[1]Définition Maintenances'!$G:$G,MATCH($A78,'[1]Définition Maintenances'!$K:$K,0)),BE78,INDEX('[1]Définition Maintenances'!$G:$G,MATCH($A78,'[1]Définition Maintenances'!$K:$K,0))+BE78),BE78))</f>
        <v>891</v>
      </c>
      <c r="BG78" s="26">
        <f>IF(ISNUMBER(VLOOKUP($D78,'Visu totale'!$D:$DH,BG$1,0)),BF78-VLOOKUP($D78,'Visu totale'!$D:$DH,BG$1,0),IF(LEFT(VLOOKUP($D78,'Visu totale'!$D:$DH,BG$1,0),1)="V",IF(BF78&gt;=INDEX('[1]Définition Maintenances'!$G:$G,MATCH($A78,'[1]Définition Maintenances'!$K:$K,0)),BF78,INDEX('[1]Définition Maintenances'!$G:$G,MATCH($A78,'[1]Définition Maintenances'!$K:$K,0))+BF78),BF78))</f>
        <v>891</v>
      </c>
      <c r="BH78" s="26">
        <f>IF(ISNUMBER(VLOOKUP($D78,'Visu totale'!$D:$DH,BH$1,0)),BG78-VLOOKUP($D78,'Visu totale'!$D:$DH,BH$1,0),IF(LEFT(VLOOKUP($D78,'Visu totale'!$D:$DH,BH$1,0),1)="V",IF(BG78&gt;=INDEX('[1]Définition Maintenances'!$G:$G,MATCH($A78,'[1]Définition Maintenances'!$K:$K,0)),BG78,INDEX('[1]Définition Maintenances'!$G:$G,MATCH($A78,'[1]Définition Maintenances'!$K:$K,0))+BG78),BG78))</f>
        <v>891</v>
      </c>
      <c r="BI78" s="26">
        <f>IF(ISNUMBER(VLOOKUP($D78,'Visu totale'!$D:$DH,BI$1,0)),BH78-VLOOKUP($D78,'Visu totale'!$D:$DH,BI$1,0),IF(LEFT(VLOOKUP($D78,'Visu totale'!$D:$DH,BI$1,0),1)="V",IF(BH78&gt;=INDEX('[1]Définition Maintenances'!$G:$G,MATCH($A78,'[1]Définition Maintenances'!$K:$K,0)),BH78,INDEX('[1]Définition Maintenances'!$G:$G,MATCH($A78,'[1]Définition Maintenances'!$K:$K,0))+BH78),BH78))</f>
        <v>891</v>
      </c>
      <c r="BJ78" s="26">
        <f>IF(ISNUMBER(VLOOKUP($D78,'Visu totale'!$D:$DH,BJ$1,0)),BI78-VLOOKUP($D78,'Visu totale'!$D:$DH,BJ$1,0),IF(LEFT(VLOOKUP($D78,'Visu totale'!$D:$DH,BJ$1,0),1)="V",IF(BI78&gt;=INDEX('[1]Définition Maintenances'!$G:$G,MATCH($A78,'[1]Définition Maintenances'!$K:$K,0)),BI78,INDEX('[1]Définition Maintenances'!$G:$G,MATCH($A78,'[1]Définition Maintenances'!$K:$K,0))+BI78),BI78))</f>
        <v>891</v>
      </c>
      <c r="BK78" s="26">
        <f>IF(ISNUMBER(VLOOKUP($D78,'Visu totale'!$D:$DH,BK$1,0)),BJ78-VLOOKUP($D78,'Visu totale'!$D:$DH,BK$1,0),IF(LEFT(VLOOKUP($D78,'Visu totale'!$D:$DH,BK$1,0),1)="V",IF(BJ78&gt;=INDEX('[1]Définition Maintenances'!$G:$G,MATCH($A78,'[1]Définition Maintenances'!$K:$K,0)),BJ78,INDEX('[1]Définition Maintenances'!$G:$G,MATCH($A78,'[1]Définition Maintenances'!$K:$K,0))+BJ78),BJ78))</f>
        <v>891</v>
      </c>
      <c r="BL78" s="26">
        <f>IF(ISNUMBER(VLOOKUP($D78,'Visu totale'!$D:$DH,BL$1,0)),BK78-VLOOKUP($D78,'Visu totale'!$D:$DH,BL$1,0),IF(LEFT(VLOOKUP($D78,'Visu totale'!$D:$DH,BL$1,0),1)="V",IF(BK78&gt;=INDEX('[1]Définition Maintenances'!$G:$G,MATCH($A78,'[1]Définition Maintenances'!$K:$K,0)),BK78,INDEX('[1]Définition Maintenances'!$G:$G,MATCH($A78,'[1]Définition Maintenances'!$K:$K,0))+BK78),BK78))</f>
        <v>891</v>
      </c>
      <c r="BM78" s="27">
        <f>IF(ISNUMBER(VLOOKUP($D78,'Visu totale'!$D:$DH,BM$1,0)),BL78-VLOOKUP($D78,'Visu totale'!$D:$DH,BM$1,0),IF(LEFT(VLOOKUP($D78,'Visu totale'!$D:$DH,BM$1,0),1)="V",IF(BL78&gt;=INDEX('[1]Définition Maintenances'!$G:$G,MATCH($A78,'[1]Définition Maintenances'!$K:$K,0)),BL78,INDEX('[1]Définition Maintenances'!$G:$G,MATCH($A78,'[1]Définition Maintenances'!$K:$K,0))+BL78),BL78))</f>
        <v>891</v>
      </c>
      <c r="BN78" s="25">
        <f>IF(ISNUMBER(VLOOKUP($D78,'Visu totale'!$D:$DH,BN$1,0)),BM78-VLOOKUP($D78,'Visu totale'!$D:$DH,BN$1,0),IF(LEFT(VLOOKUP($D78,'Visu totale'!$D:$DH,BN$1,0),1)="V",IF(BM78&gt;=INDEX('[1]Définition Maintenances'!$G:$G,MATCH($A78,'[1]Définition Maintenances'!$K:$K,0)),BM78,INDEX('[1]Définition Maintenances'!$G:$G,MATCH($A78,'[1]Définition Maintenances'!$K:$K,0))+BM78),BM78))</f>
        <v>891</v>
      </c>
      <c r="BO78" s="26">
        <f>IF(ISNUMBER(VLOOKUP($D78,'Visu totale'!$D:$DH,BO$1,0)),BN78-VLOOKUP($D78,'Visu totale'!$D:$DH,BO$1,0),IF(LEFT(VLOOKUP($D78,'Visu totale'!$D:$DH,BO$1,0),1)="V",IF(BN78&gt;=INDEX('[1]Définition Maintenances'!$G:$G,MATCH($A78,'[1]Définition Maintenances'!$K:$K,0)),BN78,INDEX('[1]Définition Maintenances'!$G:$G,MATCH($A78,'[1]Définition Maintenances'!$K:$K,0))+BN78),BN78))</f>
        <v>891</v>
      </c>
      <c r="BP78" s="26">
        <f>IF(ISNUMBER(VLOOKUP($D78,'Visu totale'!$D:$DH,BP$1,0)),BO78-VLOOKUP($D78,'Visu totale'!$D:$DH,BP$1,0),IF(LEFT(VLOOKUP($D78,'Visu totale'!$D:$DH,BP$1,0),1)="V",IF(BO78&gt;=INDEX('[1]Définition Maintenances'!$G:$G,MATCH($A78,'[1]Définition Maintenances'!$K:$K,0)),BO78,INDEX('[1]Définition Maintenances'!$G:$G,MATCH($A78,'[1]Définition Maintenances'!$K:$K,0))+BO78),BO78))</f>
        <v>891</v>
      </c>
      <c r="BQ78" s="26">
        <f>IF(ISNUMBER(VLOOKUP($D78,'Visu totale'!$D:$DH,BQ$1,0)),BP78-VLOOKUP($D78,'Visu totale'!$D:$DH,BQ$1,0),IF(LEFT(VLOOKUP($D78,'Visu totale'!$D:$DH,BQ$1,0),1)="V",IF(BP78&gt;=INDEX('[1]Définition Maintenances'!$G:$G,MATCH($A78,'[1]Définition Maintenances'!$K:$K,0)),BP78,INDEX('[1]Définition Maintenances'!$G:$G,MATCH($A78,'[1]Définition Maintenances'!$K:$K,0))+BP78),BP78))</f>
        <v>891</v>
      </c>
      <c r="BR78" s="26">
        <f>IF(ISNUMBER(VLOOKUP($D78,'Visu totale'!$D:$DH,BR$1,0)),BQ78-VLOOKUP($D78,'Visu totale'!$D:$DH,BR$1,0),IF(LEFT(VLOOKUP($D78,'Visu totale'!$D:$DH,BR$1,0),1)="V",IF(BQ78&gt;=INDEX('[1]Définition Maintenances'!$G:$G,MATCH($A78,'[1]Définition Maintenances'!$K:$K,0)),BQ78,INDEX('[1]Définition Maintenances'!$G:$G,MATCH($A78,'[1]Définition Maintenances'!$K:$K,0))+BQ78),BQ78))</f>
        <v>891</v>
      </c>
      <c r="BS78" s="26">
        <f>IF(ISNUMBER(VLOOKUP($D78,'Visu totale'!$D:$DH,BS$1,0)),BR78-VLOOKUP($D78,'Visu totale'!$D:$DH,BS$1,0),IF(LEFT(VLOOKUP($D78,'Visu totale'!$D:$DH,BS$1,0),1)="V",IF(BR78&gt;=INDEX('[1]Définition Maintenances'!$G:$G,MATCH($A78,'[1]Définition Maintenances'!$K:$K,0)),BR78,INDEX('[1]Définition Maintenances'!$G:$G,MATCH($A78,'[1]Définition Maintenances'!$K:$K,0))+BR78),BR78))</f>
        <v>891</v>
      </c>
      <c r="BT78" s="26">
        <f>IF(ISNUMBER(VLOOKUP($D78,'Visu totale'!$D:$DH,BT$1,0)),BS78-VLOOKUP($D78,'Visu totale'!$D:$DH,BT$1,0),IF(LEFT(VLOOKUP($D78,'Visu totale'!$D:$DH,BT$1,0),1)="V",IF(BS78&gt;=INDEX('[1]Définition Maintenances'!$G:$G,MATCH($A78,'[1]Définition Maintenances'!$K:$K,0)),BS78,INDEX('[1]Définition Maintenances'!$G:$G,MATCH($A78,'[1]Définition Maintenances'!$K:$K,0))+BS78),BS78))</f>
        <v>891</v>
      </c>
      <c r="BU78" s="26">
        <f>IF(ISNUMBER(VLOOKUP($D78,'Visu totale'!$D:$DH,BU$1,0)),BT78-VLOOKUP($D78,'Visu totale'!$D:$DH,BU$1,0),IF(LEFT(VLOOKUP($D78,'Visu totale'!$D:$DH,BU$1,0),1)="V",IF(BT78&gt;=INDEX('[1]Définition Maintenances'!$G:$G,MATCH($A78,'[1]Définition Maintenances'!$K:$K,0)),BT78,INDEX('[1]Définition Maintenances'!$G:$G,MATCH($A78,'[1]Définition Maintenances'!$K:$K,0))+BT78),BT78))</f>
        <v>891</v>
      </c>
      <c r="BV78" s="26">
        <f>IF(ISNUMBER(VLOOKUP($D78,'Visu totale'!$D:$DH,BV$1,0)),BU78-VLOOKUP($D78,'Visu totale'!$D:$DH,BV$1,0),IF(LEFT(VLOOKUP($D78,'Visu totale'!$D:$DH,BV$1,0),1)="V",IF(BU78&gt;=INDEX('[1]Définition Maintenances'!$G:$G,MATCH($A78,'[1]Définition Maintenances'!$K:$K,0)),BU78,INDEX('[1]Définition Maintenances'!$G:$G,MATCH($A78,'[1]Définition Maintenances'!$K:$K,0))+BU78),BU78))</f>
        <v>891</v>
      </c>
      <c r="BW78" s="26">
        <f>IF(ISNUMBER(VLOOKUP($D78,'Visu totale'!$D:$DH,BW$1,0)),BV78-VLOOKUP($D78,'Visu totale'!$D:$DH,BW$1,0),IF(LEFT(VLOOKUP($D78,'Visu totale'!$D:$DH,BW$1,0),1)="V",IF(BV78&gt;=INDEX('[1]Définition Maintenances'!$G:$G,MATCH($A78,'[1]Définition Maintenances'!$K:$K,0)),BV78,INDEX('[1]Définition Maintenances'!$G:$G,MATCH($A78,'[1]Définition Maintenances'!$K:$K,0))+BV78),BV78))</f>
        <v>891</v>
      </c>
      <c r="BX78" s="26">
        <f>IF(ISNUMBER(VLOOKUP($D78,'Visu totale'!$D:$DH,BX$1,0)),BW78-VLOOKUP($D78,'Visu totale'!$D:$DH,BX$1,0),IF(LEFT(VLOOKUP($D78,'Visu totale'!$D:$DH,BX$1,0),1)="V",IF(BW78&gt;=INDEX('[1]Définition Maintenances'!$G:$G,MATCH($A78,'[1]Définition Maintenances'!$K:$K,0)),BW78,INDEX('[1]Définition Maintenances'!$G:$G,MATCH($A78,'[1]Définition Maintenances'!$K:$K,0))+BW78),BW78))</f>
        <v>891</v>
      </c>
      <c r="BY78" s="27">
        <f>IF(ISNUMBER(VLOOKUP($D78,'Visu totale'!$D:$DH,BY$1,0)),BX78-VLOOKUP($D78,'Visu totale'!$D:$DH,BY$1,0),IF(LEFT(VLOOKUP($D78,'Visu totale'!$D:$DH,BY$1,0),1)="V",IF(BX78&gt;=INDEX('[1]Définition Maintenances'!$G:$G,MATCH($A78,'[1]Définition Maintenances'!$K:$K,0)),BX78,INDEX('[1]Définition Maintenances'!$G:$G,MATCH($A78,'[1]Définition Maintenances'!$K:$K,0))+BX78),BX78))</f>
        <v>891</v>
      </c>
      <c r="BZ78" s="25">
        <f>IF(ISNUMBER(VLOOKUP($D78,'Visu totale'!$D:$DH,BZ$1,0)),BY78-VLOOKUP($D78,'Visu totale'!$D:$DH,BZ$1,0),IF(LEFT(VLOOKUP($D78,'Visu totale'!$D:$DH,BZ$1,0),1)="V",IF(BY78&gt;=INDEX('[1]Définition Maintenances'!$G:$G,MATCH($A78,'[1]Définition Maintenances'!$K:$K,0)),BY78,INDEX('[1]Définition Maintenances'!$G:$G,MATCH($A78,'[1]Définition Maintenances'!$K:$K,0))+BY78),BY78))</f>
        <v>891</v>
      </c>
      <c r="CA78" s="26">
        <f>IF(ISNUMBER(VLOOKUP($D78,'Visu totale'!$D:$DH,CA$1,0)),BZ78-VLOOKUP($D78,'Visu totale'!$D:$DH,CA$1,0),IF(LEFT(VLOOKUP($D78,'Visu totale'!$D:$DH,CA$1,0),1)="V",IF(BZ78&gt;=INDEX('[1]Définition Maintenances'!$G:$G,MATCH($A78,'[1]Définition Maintenances'!$K:$K,0)),BZ78,INDEX('[1]Définition Maintenances'!$G:$G,MATCH($A78,'[1]Définition Maintenances'!$K:$K,0))+BZ78),BZ78))</f>
        <v>891</v>
      </c>
      <c r="CB78" s="26">
        <f>IF(ISNUMBER(VLOOKUP($D78,'Visu totale'!$D:$DH,CB$1,0)),CA78-VLOOKUP($D78,'Visu totale'!$D:$DH,CB$1,0),IF(LEFT(VLOOKUP($D78,'Visu totale'!$D:$DH,CB$1,0),1)="V",IF(CA78&gt;=INDEX('[1]Définition Maintenances'!$G:$G,MATCH($A78,'[1]Définition Maintenances'!$K:$K,0)),CA78,INDEX('[1]Définition Maintenances'!$G:$G,MATCH($A78,'[1]Définition Maintenances'!$K:$K,0))+CA78),CA78))</f>
        <v>891</v>
      </c>
      <c r="CC78" s="26">
        <f>IF(ISNUMBER(VLOOKUP($D78,'Visu totale'!$D:$DH,CC$1,0)),CB78-VLOOKUP($D78,'Visu totale'!$D:$DH,CC$1,0),IF(LEFT(VLOOKUP($D78,'Visu totale'!$D:$DH,CC$1,0),1)="V",IF(CB78&gt;=INDEX('[1]Définition Maintenances'!$G:$G,MATCH($A78,'[1]Définition Maintenances'!$K:$K,0)),CB78,INDEX('[1]Définition Maintenances'!$G:$G,MATCH($A78,'[1]Définition Maintenances'!$K:$K,0))+CB78),CB78))</f>
        <v>891</v>
      </c>
      <c r="CD78" s="26">
        <f>IF(ISNUMBER(VLOOKUP($D78,'Visu totale'!$D:$DH,CD$1,0)),CC78-VLOOKUP($D78,'Visu totale'!$D:$DH,CD$1,0),IF(LEFT(VLOOKUP($D78,'Visu totale'!$D:$DH,CD$1,0),1)="V",IF(CC78&gt;=INDEX('[1]Définition Maintenances'!$G:$G,MATCH($A78,'[1]Définition Maintenances'!$K:$K,0)),CC78,INDEX('[1]Définition Maintenances'!$G:$G,MATCH($A78,'[1]Définition Maintenances'!$K:$K,0))+CC78),CC78))</f>
        <v>891</v>
      </c>
      <c r="CE78" s="26">
        <f>IF(ISNUMBER(VLOOKUP($D78,'Visu totale'!$D:$DH,CE$1,0)),CD78-VLOOKUP($D78,'Visu totale'!$D:$DH,CE$1,0),IF(LEFT(VLOOKUP($D78,'Visu totale'!$D:$DH,CE$1,0),1)="V",IF(CD78&gt;=INDEX('[1]Définition Maintenances'!$G:$G,MATCH($A78,'[1]Définition Maintenances'!$K:$K,0)),CD78,INDEX('[1]Définition Maintenances'!$G:$G,MATCH($A78,'[1]Définition Maintenances'!$K:$K,0))+CD78),CD78))</f>
        <v>891</v>
      </c>
      <c r="CF78" s="26">
        <f>IF(ISNUMBER(VLOOKUP($D78,'Visu totale'!$D:$DH,CF$1,0)),CE78-VLOOKUP($D78,'Visu totale'!$D:$DH,CF$1,0),IF(LEFT(VLOOKUP($D78,'Visu totale'!$D:$DH,CF$1,0),1)="V",IF(CE78&gt;=INDEX('[1]Définition Maintenances'!$G:$G,MATCH($A78,'[1]Définition Maintenances'!$K:$K,0)),CE78,INDEX('[1]Définition Maintenances'!$G:$G,MATCH($A78,'[1]Définition Maintenances'!$K:$K,0))+CE78),CE78))</f>
        <v>891</v>
      </c>
      <c r="CG78" s="26">
        <f>IF(ISNUMBER(VLOOKUP($D78,'Visu totale'!$D:$DH,CG$1,0)),CF78-VLOOKUP($D78,'Visu totale'!$D:$DH,CG$1,0),IF(LEFT(VLOOKUP($D78,'Visu totale'!$D:$DH,CG$1,0),1)="V",IF(CF78&gt;=INDEX('[1]Définition Maintenances'!$G:$G,MATCH($A78,'[1]Définition Maintenances'!$K:$K,0)),CF78,INDEX('[1]Définition Maintenances'!$G:$G,MATCH($A78,'[1]Définition Maintenances'!$K:$K,0))+CF78),CF78))</f>
        <v>891</v>
      </c>
      <c r="CH78" s="26">
        <f>IF(ISNUMBER(VLOOKUP($D78,'Visu totale'!$D:$DH,CH$1,0)),CG78-VLOOKUP($D78,'Visu totale'!$D:$DH,CH$1,0),IF(LEFT(VLOOKUP($D78,'Visu totale'!$D:$DH,CH$1,0),1)="V",IF(CG78&gt;=INDEX('[1]Définition Maintenances'!$G:$G,MATCH($A78,'[1]Définition Maintenances'!$K:$K,0)),CG78,INDEX('[1]Définition Maintenances'!$G:$G,MATCH($A78,'[1]Définition Maintenances'!$K:$K,0))+CG78),CG78))</f>
        <v>891</v>
      </c>
      <c r="CI78" s="26">
        <f>IF(ISNUMBER(VLOOKUP($D78,'Visu totale'!$D:$DH,CI$1,0)),CH78-VLOOKUP($D78,'Visu totale'!$D:$DH,CI$1,0),IF(LEFT(VLOOKUP($D78,'Visu totale'!$D:$DH,CI$1,0),1)="V",IF(CH78&gt;=INDEX('[1]Définition Maintenances'!$G:$G,MATCH($A78,'[1]Définition Maintenances'!$K:$K,0)),CH78,INDEX('[1]Définition Maintenances'!$G:$G,MATCH($A78,'[1]Définition Maintenances'!$K:$K,0))+CH78),CH78))</f>
        <v>891</v>
      </c>
      <c r="CJ78" s="26">
        <f>IF(ISNUMBER(VLOOKUP($D78,'Visu totale'!$D:$DH,CJ$1,0)),CI78-VLOOKUP($D78,'Visu totale'!$D:$DH,CJ$1,0),IF(LEFT(VLOOKUP($D78,'Visu totale'!$D:$DH,CJ$1,0),1)="V",IF(CI78&gt;=INDEX('[1]Définition Maintenances'!$G:$G,MATCH($A78,'[1]Définition Maintenances'!$K:$K,0)),CI78,INDEX('[1]Définition Maintenances'!$G:$G,MATCH($A78,'[1]Définition Maintenances'!$K:$K,0))+CI78),CI78))</f>
        <v>891</v>
      </c>
      <c r="CK78" s="27">
        <f>IF(ISNUMBER(VLOOKUP($D78,'Visu totale'!$D:$DH,CK$1,0)),CJ78-VLOOKUP($D78,'Visu totale'!$D:$DH,CK$1,0),IF(LEFT(VLOOKUP($D78,'Visu totale'!$D:$DH,CK$1,0),1)="V",IF(CJ78&gt;=INDEX('[1]Définition Maintenances'!$G:$G,MATCH($A78,'[1]Définition Maintenances'!$K:$K,0)),CJ78,INDEX('[1]Définition Maintenances'!$G:$G,MATCH($A78,'[1]Définition Maintenances'!$K:$K,0))+CJ78),CJ78))</f>
        <v>891</v>
      </c>
      <c r="CL78" s="25">
        <f>IF(ISNUMBER(VLOOKUP($D78,'Visu totale'!$D:$DH,CL$1,0)),CK78-VLOOKUP($D78,'Visu totale'!$D:$DH,CL$1,0),IF(LEFT(VLOOKUP($D78,'Visu totale'!$D:$DH,CL$1,0),1)="V",IF(CK78&gt;=INDEX('[1]Définition Maintenances'!$G:$G,MATCH($A78,'[1]Définition Maintenances'!$K:$K,0)),CK78,INDEX('[1]Définition Maintenances'!$G:$G,MATCH($A78,'[1]Définition Maintenances'!$K:$K,0))+CK78),CK78))</f>
        <v>891</v>
      </c>
      <c r="CM78" s="26">
        <f>IF(ISNUMBER(VLOOKUP($D78,'Visu totale'!$D:$DH,CM$1,0)),CL78-VLOOKUP($D78,'Visu totale'!$D:$DH,CM$1,0),IF(LEFT(VLOOKUP($D78,'Visu totale'!$D:$DH,CM$1,0),1)="V",IF(CL78&gt;=INDEX('[1]Définition Maintenances'!$G:$G,MATCH($A78,'[1]Définition Maintenances'!$K:$K,0)),CL78,INDEX('[1]Définition Maintenances'!$G:$G,MATCH($A78,'[1]Définition Maintenances'!$K:$K,0))+CL78),CL78))</f>
        <v>891</v>
      </c>
      <c r="CN78" s="26">
        <f>IF(ISNUMBER(VLOOKUP($D78,'Visu totale'!$D:$DH,CN$1,0)),CM78-VLOOKUP($D78,'Visu totale'!$D:$DH,CN$1,0),IF(LEFT(VLOOKUP($D78,'Visu totale'!$D:$DH,CN$1,0),1)="V",IF(CM78&gt;=INDEX('[1]Définition Maintenances'!$G:$G,MATCH($A78,'[1]Définition Maintenances'!$K:$K,0)),CM78,INDEX('[1]Définition Maintenances'!$G:$G,MATCH($A78,'[1]Définition Maintenances'!$K:$K,0))+CM78),CM78))</f>
        <v>891</v>
      </c>
      <c r="CO78" s="26">
        <f>IF(ISNUMBER(VLOOKUP($D78,'Visu totale'!$D:$DH,CO$1,0)),CN78-VLOOKUP($D78,'Visu totale'!$D:$DH,CO$1,0),IF(LEFT(VLOOKUP($D78,'Visu totale'!$D:$DH,CO$1,0),1)="V",IF(CN78&gt;=INDEX('[1]Définition Maintenances'!$G:$G,MATCH($A78,'[1]Définition Maintenances'!$K:$K,0)),CN78,INDEX('[1]Définition Maintenances'!$G:$G,MATCH($A78,'[1]Définition Maintenances'!$K:$K,0))+CN78),CN78))</f>
        <v>891</v>
      </c>
      <c r="CP78" s="26">
        <f>IF(ISNUMBER(VLOOKUP($D78,'Visu totale'!$D:$DH,CP$1,0)),CO78-VLOOKUP($D78,'Visu totale'!$D:$DH,CP$1,0),IF(LEFT(VLOOKUP($D78,'Visu totale'!$D:$DH,CP$1,0),1)="V",IF(CO78&gt;=INDEX('[1]Définition Maintenances'!$G:$G,MATCH($A78,'[1]Définition Maintenances'!$K:$K,0)),CO78,INDEX('[1]Définition Maintenances'!$G:$G,MATCH($A78,'[1]Définition Maintenances'!$K:$K,0))+CO78),CO78))</f>
        <v>891</v>
      </c>
      <c r="CQ78" s="26">
        <f>IF(ISNUMBER(VLOOKUP($D78,'Visu totale'!$D:$DH,CQ$1,0)),CP78-VLOOKUP($D78,'Visu totale'!$D:$DH,CQ$1,0),IF(LEFT(VLOOKUP($D78,'Visu totale'!$D:$DH,CQ$1,0),1)="V",IF(CP78&gt;=INDEX('[1]Définition Maintenances'!$G:$G,MATCH($A78,'[1]Définition Maintenances'!$K:$K,0)),CP78,INDEX('[1]Définition Maintenances'!$G:$G,MATCH($A78,'[1]Définition Maintenances'!$K:$K,0))+CP78),CP78))</f>
        <v>891</v>
      </c>
      <c r="CR78" s="26">
        <f>IF(ISNUMBER(VLOOKUP($D78,'Visu totale'!$D:$DH,CR$1,0)),CQ78-VLOOKUP($D78,'Visu totale'!$D:$DH,CR$1,0),IF(LEFT(VLOOKUP($D78,'Visu totale'!$D:$DH,CR$1,0),1)="V",IF(CQ78&gt;=INDEX('[1]Définition Maintenances'!$G:$G,MATCH($A78,'[1]Définition Maintenances'!$K:$K,0)),CQ78,INDEX('[1]Définition Maintenances'!$G:$G,MATCH($A78,'[1]Définition Maintenances'!$K:$K,0))+CQ78),CQ78))</f>
        <v>891</v>
      </c>
      <c r="CS78" s="26">
        <f>IF(ISNUMBER(VLOOKUP($D78,'Visu totale'!$D:$DH,CS$1,0)),CR78-VLOOKUP($D78,'Visu totale'!$D:$DH,CS$1,0),IF(LEFT(VLOOKUP($D78,'Visu totale'!$D:$DH,CS$1,0),1)="V",IF(CR78&gt;=INDEX('[1]Définition Maintenances'!$G:$G,MATCH($A78,'[1]Définition Maintenances'!$K:$K,0)),CR78,INDEX('[1]Définition Maintenances'!$G:$G,MATCH($A78,'[1]Définition Maintenances'!$K:$K,0))+CR78),CR78))</f>
        <v>891</v>
      </c>
      <c r="CT78" s="26">
        <f>IF(ISNUMBER(VLOOKUP($D78,'Visu totale'!$D:$DH,CT$1,0)),CS78-VLOOKUP($D78,'Visu totale'!$D:$DH,CT$1,0),IF(LEFT(VLOOKUP($D78,'Visu totale'!$D:$DH,CT$1,0),1)="V",IF(CS78&gt;=INDEX('[1]Définition Maintenances'!$G:$G,MATCH($A78,'[1]Définition Maintenances'!$K:$K,0)),CS78,INDEX('[1]Définition Maintenances'!$G:$G,MATCH($A78,'[1]Définition Maintenances'!$K:$K,0))+CS78),CS78))</f>
        <v>891</v>
      </c>
      <c r="CU78" s="26">
        <f>IF(ISNUMBER(VLOOKUP($D78,'Visu totale'!$D:$DH,CU$1,0)),CT78-VLOOKUP($D78,'Visu totale'!$D:$DH,CU$1,0),IF(LEFT(VLOOKUP($D78,'Visu totale'!$D:$DH,CU$1,0),1)="V",IF(CT78&gt;=INDEX('[1]Définition Maintenances'!$G:$G,MATCH($A78,'[1]Définition Maintenances'!$K:$K,0)),CT78,INDEX('[1]Définition Maintenances'!$G:$G,MATCH($A78,'[1]Définition Maintenances'!$K:$K,0))+CT78),CT78))</f>
        <v>891</v>
      </c>
      <c r="CV78" s="26">
        <f>IF(ISNUMBER(VLOOKUP($D78,'Visu totale'!$D:$DH,CV$1,0)),CU78-VLOOKUP($D78,'Visu totale'!$D:$DH,CV$1,0),IF(LEFT(VLOOKUP($D78,'Visu totale'!$D:$DH,CV$1,0),1)="V",IF(CU78&gt;=INDEX('[1]Définition Maintenances'!$G:$G,MATCH($A78,'[1]Définition Maintenances'!$K:$K,0)),CU78,INDEX('[1]Définition Maintenances'!$G:$G,MATCH($A78,'[1]Définition Maintenances'!$K:$K,0))+CU78),CU78))</f>
        <v>891</v>
      </c>
      <c r="CW78" s="27">
        <f>IF(ISNUMBER(VLOOKUP($D78,'Visu totale'!$D:$DH,CW$1,0)),CV78-VLOOKUP($D78,'Visu totale'!$D:$DH,CW$1,0),IF(LEFT(VLOOKUP($D78,'Visu totale'!$D:$DH,CW$1,0),1)="V",IF(CV78&gt;=INDEX('[1]Définition Maintenances'!$G:$G,MATCH($A78,'[1]Définition Maintenances'!$K:$K,0)),CV78,INDEX('[1]Définition Maintenances'!$G:$G,MATCH($A78,'[1]Définition Maintenances'!$K:$K,0))+CV78),CV78))</f>
        <v>891</v>
      </c>
      <c r="CX78" s="25">
        <f>IF(ISNUMBER(VLOOKUP($D78,'Visu totale'!$D:$DH,CX$1,0)),CW78-VLOOKUP($D78,'Visu totale'!$D:$DH,CX$1,0),IF(LEFT(VLOOKUP($D78,'Visu totale'!$D:$DH,CX$1,0),1)="V",IF(CW78&gt;=INDEX('[1]Définition Maintenances'!$G:$G,MATCH($A78,'[1]Définition Maintenances'!$K:$K,0)),CW78,INDEX('[1]Définition Maintenances'!$G:$G,MATCH($A78,'[1]Définition Maintenances'!$K:$K,0))+CW78),CW78))</f>
        <v>891</v>
      </c>
      <c r="CY78" s="26">
        <f>IF(ISNUMBER(VLOOKUP($D78,'Visu totale'!$D:$DH,CY$1,0)),CX78-VLOOKUP($D78,'Visu totale'!$D:$DH,CY$1,0),IF(LEFT(VLOOKUP($D78,'Visu totale'!$D:$DH,CY$1,0),1)="V",IF(CX78&gt;=INDEX('[1]Définition Maintenances'!$G:$G,MATCH($A78,'[1]Définition Maintenances'!$K:$K,0)),CX78,INDEX('[1]Définition Maintenances'!$G:$G,MATCH($A78,'[1]Définition Maintenances'!$K:$K,0))+CX78),CX78))</f>
        <v>891</v>
      </c>
      <c r="CZ78" s="26">
        <f>IF(ISNUMBER(VLOOKUP($D78,'Visu totale'!$D:$DH,CZ$1,0)),CY78-VLOOKUP($D78,'Visu totale'!$D:$DH,CZ$1,0),IF(LEFT(VLOOKUP($D78,'Visu totale'!$D:$DH,CZ$1,0),1)="V",IF(CY78&gt;=INDEX('[1]Définition Maintenances'!$G:$G,MATCH($A78,'[1]Définition Maintenances'!$K:$K,0)),CY78,INDEX('[1]Définition Maintenances'!$G:$G,MATCH($A78,'[1]Définition Maintenances'!$K:$K,0))+CY78),CY78))</f>
        <v>891</v>
      </c>
      <c r="DA78" s="26">
        <f>IF(ISNUMBER(VLOOKUP($D78,'Visu totale'!$D:$DH,DA$1,0)),CZ78-VLOOKUP($D78,'Visu totale'!$D:$DH,DA$1,0),IF(LEFT(VLOOKUP($D78,'Visu totale'!$D:$DH,DA$1,0),1)="V",IF(CZ78&gt;=INDEX('[1]Définition Maintenances'!$G:$G,MATCH($A78,'[1]Définition Maintenances'!$K:$K,0)),CZ78,INDEX('[1]Définition Maintenances'!$G:$G,MATCH($A78,'[1]Définition Maintenances'!$K:$K,0))+CZ78),CZ78))</f>
        <v>891</v>
      </c>
      <c r="DB78" s="26">
        <f>IF(ISNUMBER(VLOOKUP($D78,'Visu totale'!$D:$DH,DB$1,0)),DA78-VLOOKUP($D78,'Visu totale'!$D:$DH,DB$1,0),IF(LEFT(VLOOKUP($D78,'Visu totale'!$D:$DH,DB$1,0),1)="V",IF(DA78&gt;=INDEX('[1]Définition Maintenances'!$G:$G,MATCH($A78,'[1]Définition Maintenances'!$K:$K,0)),DA78,INDEX('[1]Définition Maintenances'!$G:$G,MATCH($A78,'[1]Définition Maintenances'!$K:$K,0))+DA78),DA78))</f>
        <v>891</v>
      </c>
      <c r="DC78" s="26">
        <f>IF(ISNUMBER(VLOOKUP($D78,'Visu totale'!$D:$DH,DC$1,0)),DB78-VLOOKUP($D78,'Visu totale'!$D:$DH,DC$1,0),IF(LEFT(VLOOKUP($D78,'Visu totale'!$D:$DH,DC$1,0),1)="V",IF(DB78&gt;=INDEX('[1]Définition Maintenances'!$G:$G,MATCH($A78,'[1]Définition Maintenances'!$K:$K,0)),DB78,INDEX('[1]Définition Maintenances'!$G:$G,MATCH($A78,'[1]Définition Maintenances'!$K:$K,0))+DB78),DB78))</f>
        <v>891</v>
      </c>
      <c r="DD78" s="26">
        <f>IF(ISNUMBER(VLOOKUP($D78,'Visu totale'!$D:$DH,DD$1,0)),DC78-VLOOKUP($D78,'Visu totale'!$D:$DH,DD$1,0),IF(LEFT(VLOOKUP($D78,'Visu totale'!$D:$DH,DD$1,0),1)="V",IF(DC78&gt;=INDEX('[1]Définition Maintenances'!$G:$G,MATCH($A78,'[1]Définition Maintenances'!$K:$K,0)),DC78,INDEX('[1]Définition Maintenances'!$G:$G,MATCH($A78,'[1]Définition Maintenances'!$K:$K,0))+DC78),DC78))</f>
        <v>891</v>
      </c>
      <c r="DE78" s="26">
        <f>IF(ISNUMBER(VLOOKUP($D78,'Visu totale'!$D:$DH,DE$1,0)),DD78-VLOOKUP($D78,'Visu totale'!$D:$DH,DE$1,0),IF(LEFT(VLOOKUP($D78,'Visu totale'!$D:$DH,DE$1,0),1)="V",IF(DD78&gt;=INDEX('[1]Définition Maintenances'!$G:$G,MATCH($A78,'[1]Définition Maintenances'!$K:$K,0)),DD78,INDEX('[1]Définition Maintenances'!$G:$G,MATCH($A78,'[1]Définition Maintenances'!$K:$K,0))+DD78),DD78))</f>
        <v>891</v>
      </c>
      <c r="DF78" s="26">
        <f>IF(ISNUMBER(VLOOKUP($D78,'Visu totale'!$D:$DH,DF$1,0)),DE78-VLOOKUP($D78,'Visu totale'!$D:$DH,DF$1,0),IF(LEFT(VLOOKUP($D78,'Visu totale'!$D:$DH,DF$1,0),1)="V",IF(DE78&gt;=INDEX('[1]Définition Maintenances'!$G:$G,MATCH($A78,'[1]Définition Maintenances'!$K:$K,0)),DE78,INDEX('[1]Définition Maintenances'!$G:$G,MATCH($A78,'[1]Définition Maintenances'!$K:$K,0))+DE78),DE78))</f>
        <v>891</v>
      </c>
      <c r="DG78" s="26">
        <f>IF(ISNUMBER(VLOOKUP($D78,'Visu totale'!$D:$DH,DG$1,0)),DF78-VLOOKUP($D78,'Visu totale'!$D:$DH,DG$1,0),IF(LEFT(VLOOKUP($D78,'Visu totale'!$D:$DH,DG$1,0),1)="V",IF(DF78&gt;=INDEX('[1]Définition Maintenances'!$G:$G,MATCH($A78,'[1]Définition Maintenances'!$K:$K,0)),DF78,INDEX('[1]Définition Maintenances'!$G:$G,MATCH($A78,'[1]Définition Maintenances'!$K:$K,0))+DF78),DF78))</f>
        <v>891</v>
      </c>
      <c r="DH78" s="26">
        <f>IF(ISNUMBER(VLOOKUP($D78,'Visu totale'!$D:$DH,DH$1,0)),DG78-VLOOKUP($D78,'Visu totale'!$D:$DH,DH$1,0),IF(LEFT(VLOOKUP($D78,'Visu totale'!$D:$DH,DH$1,0),1)="V",IF(DG78&gt;=INDEX('[1]Définition Maintenances'!$G:$G,MATCH($A78,'[1]Définition Maintenances'!$K:$K,0)),DG78,INDEX('[1]Définition Maintenances'!$G:$G,MATCH($A78,'[1]Définition Maintenances'!$K:$K,0))+DG78),DG78))</f>
        <v>891</v>
      </c>
      <c r="DI78" s="27">
        <f>IF(ISNUMBER(VLOOKUP($D78,'Visu totale'!$D:$DH,DI$1,0)),DH78-VLOOKUP($D78,'Visu totale'!$D:$DH,DI$1,0),IF(LEFT(VLOOKUP($D78,'Visu totale'!$D:$DH,DI$1,0),1)="V",IF(DH78&gt;=INDEX('[1]Définition Maintenances'!$G:$G,MATCH($A78,'[1]Définition Maintenances'!$K:$K,0)),DH78,INDEX('[1]Définition Maintenances'!$G:$G,MATCH($A78,'[1]Définition Maintenances'!$K:$K,0))+DH78),DH78))</f>
        <v>891</v>
      </c>
    </row>
    <row r="79" spans="1:113" x14ac:dyDescent="0.25">
      <c r="A79" s="13" t="str">
        <f t="shared" si="2"/>
        <v>V30B</v>
      </c>
      <c r="B79" s="13" t="str">
        <f>VLOOKUP(D79,'[1]Avions (Potentiels)'!$B$2:$H$128,7,FALSE)</f>
        <v>V30</v>
      </c>
      <c r="C79" s="13"/>
      <c r="D79" s="16" t="s">
        <v>82</v>
      </c>
      <c r="E79" s="13">
        <f>IFERROR(VALUE(SUBSTITUTE(VLOOKUP(D79,'[1]Avions (Potentiels)'!$B:$E,4,0),".",",")),VALUE(VLOOKUP(D79,'[1]Avions (Potentiels)'!$B:$E,4,0)))</f>
        <v>358</v>
      </c>
      <c r="F79" s="25">
        <f>IF(ISNUMBER(VLOOKUP($D79,'Visu totale'!$D:$DH,F$1,0)),E79-VLOOKUP($D79,'Visu totale'!$D:$DH,F$1,0),IF(LEFT(VLOOKUP($D79,'Visu totale'!$D:$DH,F$1,0),1)="V",IF(E79&gt;=INDEX('[1]Définition Maintenances'!$G:$G,MATCH($A79,'[1]Définition Maintenances'!$K:$K,0)),E79,INDEX('[1]Définition Maintenances'!$G:$G,MATCH($A79,'[1]Définition Maintenances'!$K:$K,0))+E79),E79))</f>
        <v>358</v>
      </c>
      <c r="G79" s="26">
        <f>IF(ISNUMBER(VLOOKUP($D79,'Visu totale'!$D:$DH,G$1,0)),F79-VLOOKUP($D79,'Visu totale'!$D:$DH,G$1,0),IF(LEFT(VLOOKUP($D79,'Visu totale'!$D:$DH,G$1,0),1)="V",IF(F79&gt;=INDEX('[1]Définition Maintenances'!$G:$G,MATCH($A79,'[1]Définition Maintenances'!$K:$K,0)),F79,INDEX('[1]Définition Maintenances'!$G:$G,MATCH($A79,'[1]Définition Maintenances'!$K:$K,0))+F79),F79))</f>
        <v>358</v>
      </c>
      <c r="H79" s="26">
        <f>IF(ISNUMBER(VLOOKUP($D79,'Visu totale'!$D:$DH,H$1,0)),G79-VLOOKUP($D79,'Visu totale'!$D:$DH,H$1,0),IF(LEFT(VLOOKUP($D79,'Visu totale'!$D:$DH,H$1,0),1)="V",IF(G79&gt;=INDEX('[1]Définition Maintenances'!$G:$G,MATCH($A79,'[1]Définition Maintenances'!$K:$K,0)),G79,INDEX('[1]Définition Maintenances'!$G:$G,MATCH($A79,'[1]Définition Maintenances'!$K:$K,0))+G79),G79))</f>
        <v>358</v>
      </c>
      <c r="I79" s="26">
        <f>IF(ISNUMBER(VLOOKUP($D79,'Visu totale'!$D:$DH,I$1,0)),H79-VLOOKUP($D79,'Visu totale'!$D:$DH,I$1,0),IF(LEFT(VLOOKUP($D79,'Visu totale'!$D:$DH,I$1,0),1)="V",IF(H79&gt;=INDEX('[1]Définition Maintenances'!$G:$G,MATCH($A79,'[1]Définition Maintenances'!$K:$K,0)),H79,INDEX('[1]Définition Maintenances'!$G:$G,MATCH($A79,'[1]Définition Maintenances'!$K:$K,0))+H79),H79))</f>
        <v>358</v>
      </c>
      <c r="J79" s="26">
        <f>IF(ISNUMBER(VLOOKUP($D79,'Visu totale'!$D:$DH,J$1,0)),I79-VLOOKUP($D79,'Visu totale'!$D:$DH,J$1,0),IF(LEFT(VLOOKUP($D79,'Visu totale'!$D:$DH,J$1,0),1)="V",IF(I79&gt;=INDEX('[1]Définition Maintenances'!$G:$G,MATCH($A79,'[1]Définition Maintenances'!$K:$K,0)),I79,INDEX('[1]Définition Maintenances'!$G:$G,MATCH($A79,'[1]Définition Maintenances'!$K:$K,0))+I79),I79))</f>
        <v>358</v>
      </c>
      <c r="K79" s="26">
        <f>IF(ISNUMBER(VLOOKUP($D79,'Visu totale'!$D:$DH,K$1,0)),J79-VLOOKUP($D79,'Visu totale'!$D:$DH,K$1,0),IF(LEFT(VLOOKUP($D79,'Visu totale'!$D:$DH,K$1,0),1)="V",IF(J79&gt;=INDEX('[1]Définition Maintenances'!$G:$G,MATCH($A79,'[1]Définition Maintenances'!$K:$K,0)),J79,INDEX('[1]Définition Maintenances'!$G:$G,MATCH($A79,'[1]Définition Maintenances'!$K:$K,0))+J79),J79))</f>
        <v>358</v>
      </c>
      <c r="L79" s="26">
        <f>IF(ISNUMBER(VLOOKUP($D79,'Visu totale'!$D:$DH,L$1,0)),K79-VLOOKUP($D79,'Visu totale'!$D:$DH,L$1,0),IF(LEFT(VLOOKUP($D79,'Visu totale'!$D:$DH,L$1,0),1)="V",IF(K79&gt;=INDEX('[1]Définition Maintenances'!$G:$G,MATCH($A79,'[1]Définition Maintenances'!$K:$K,0)),K79,INDEX('[1]Définition Maintenances'!$G:$G,MATCH($A79,'[1]Définition Maintenances'!$K:$K,0))+K79),K79))</f>
        <v>358</v>
      </c>
      <c r="M79" s="26">
        <f>IF(ISNUMBER(VLOOKUP($D79,'Visu totale'!$D:$DH,M$1,0)),L79-VLOOKUP($D79,'Visu totale'!$D:$DH,M$1,0),IF(LEFT(VLOOKUP($D79,'Visu totale'!$D:$DH,M$1,0),1)="V",IF(L79&gt;=INDEX('[1]Définition Maintenances'!$G:$G,MATCH($A79,'[1]Définition Maintenances'!$K:$K,0)),L79,INDEX('[1]Définition Maintenances'!$G:$G,MATCH($A79,'[1]Définition Maintenances'!$K:$K,0))+L79),L79))</f>
        <v>358</v>
      </c>
      <c r="N79" s="26">
        <f>IF(ISNUMBER(VLOOKUP($D79,'Visu totale'!$D:$DH,N$1,0)),M79-VLOOKUP($D79,'Visu totale'!$D:$DH,N$1,0),IF(LEFT(VLOOKUP($D79,'Visu totale'!$D:$DH,N$1,0),1)="V",IF(M79&gt;=INDEX('[1]Définition Maintenances'!$G:$G,MATCH($A79,'[1]Définition Maintenances'!$K:$K,0)),M79,INDEX('[1]Définition Maintenances'!$G:$G,MATCH($A79,'[1]Définition Maintenances'!$K:$K,0))+M79),M79))</f>
        <v>358</v>
      </c>
      <c r="O79" s="26">
        <f>IF(ISNUMBER(VLOOKUP($D79,'Visu totale'!$D:$DH,O$1,0)),N79-VLOOKUP($D79,'Visu totale'!$D:$DH,O$1,0),IF(LEFT(VLOOKUP($D79,'Visu totale'!$D:$DH,O$1,0),1)="V",IF(N79&gt;=INDEX('[1]Définition Maintenances'!$G:$G,MATCH($A79,'[1]Définition Maintenances'!$K:$K,0)),N79,INDEX('[1]Définition Maintenances'!$G:$G,MATCH($A79,'[1]Définition Maintenances'!$K:$K,0))+N79),N79))</f>
        <v>358</v>
      </c>
      <c r="P79" s="26">
        <f>IF(ISNUMBER(VLOOKUP($D79,'Visu totale'!$D:$DH,P$1,0)),O79-VLOOKUP($D79,'Visu totale'!$D:$DH,P$1,0),IF(LEFT(VLOOKUP($D79,'Visu totale'!$D:$DH,P$1,0),1)="V",IF(O79&gt;=INDEX('[1]Définition Maintenances'!$G:$G,MATCH($A79,'[1]Définition Maintenances'!$K:$K,0)),O79,INDEX('[1]Définition Maintenances'!$G:$G,MATCH($A79,'[1]Définition Maintenances'!$K:$K,0))+O79),O79))</f>
        <v>358</v>
      </c>
      <c r="Q79" s="27">
        <f>IF(ISNUMBER(VLOOKUP($D79,'Visu totale'!$D:$DH,Q$1,0)),P79-VLOOKUP($D79,'Visu totale'!$D:$DH,Q$1,0),IF(LEFT(VLOOKUP($D79,'Visu totale'!$D:$DH,Q$1,0),1)="V",IF(P79&gt;=INDEX('[1]Définition Maintenances'!$G:$G,MATCH($A79,'[1]Définition Maintenances'!$K:$K,0)),P79,INDEX('[1]Définition Maintenances'!$G:$G,MATCH($A79,'[1]Définition Maintenances'!$K:$K,0))+P79),P79))</f>
        <v>358</v>
      </c>
      <c r="R79" s="25">
        <f>IF(ISNUMBER(VLOOKUP($D79,'Visu totale'!$D:$DH,R$1,0)),Q79-VLOOKUP($D79,'Visu totale'!$D:$DH,R$1,0),IF(LEFT(VLOOKUP($D79,'Visu totale'!$D:$DH,R$1,0),1)="V",IF(Q79&gt;=INDEX('[1]Définition Maintenances'!$G:$G,MATCH($A79,'[1]Définition Maintenances'!$K:$K,0)),Q79,INDEX('[1]Définition Maintenances'!$G:$G,MATCH($A79,'[1]Définition Maintenances'!$K:$K,0))+Q79),Q79))</f>
        <v>358</v>
      </c>
      <c r="S79" s="26">
        <f>IF(ISNUMBER(VLOOKUP($D79,'Visu totale'!$D:$DH,S$1,0)),R79-VLOOKUP($D79,'Visu totale'!$D:$DH,S$1,0),IF(LEFT(VLOOKUP($D79,'Visu totale'!$D:$DH,S$1,0),1)="V",IF(R79&gt;=INDEX('[1]Définition Maintenances'!$G:$G,MATCH($A79,'[1]Définition Maintenances'!$K:$K,0)),R79,INDEX('[1]Définition Maintenances'!$G:$G,MATCH($A79,'[1]Définition Maintenances'!$K:$K,0))+R79),R79))</f>
        <v>358</v>
      </c>
      <c r="T79" s="26">
        <f>IF(ISNUMBER(VLOOKUP($D79,'Visu totale'!$D:$DH,T$1,0)),S79-VLOOKUP($D79,'Visu totale'!$D:$DH,T$1,0),IF(LEFT(VLOOKUP($D79,'Visu totale'!$D:$DH,T$1,0),1)="V",IF(S79&gt;=INDEX('[1]Définition Maintenances'!$G:$G,MATCH($A79,'[1]Définition Maintenances'!$K:$K,0)),S79,INDEX('[1]Définition Maintenances'!$G:$G,MATCH($A79,'[1]Définition Maintenances'!$K:$K,0))+S79),S79))</f>
        <v>358</v>
      </c>
      <c r="U79" s="26">
        <f>IF(ISNUMBER(VLOOKUP($D79,'Visu totale'!$D:$DH,U$1,0)),T79-VLOOKUP($D79,'Visu totale'!$D:$DH,U$1,0),IF(LEFT(VLOOKUP($D79,'Visu totale'!$D:$DH,U$1,0),1)="V",IF(T79&gt;=INDEX('[1]Définition Maintenances'!$G:$G,MATCH($A79,'[1]Définition Maintenances'!$K:$K,0)),T79,INDEX('[1]Définition Maintenances'!$G:$G,MATCH($A79,'[1]Définition Maintenances'!$K:$K,0))+T79),T79))</f>
        <v>358</v>
      </c>
      <c r="V79" s="26">
        <f>IF(ISNUMBER(VLOOKUP($D79,'Visu totale'!$D:$DH,V$1,0)),U79-VLOOKUP($D79,'Visu totale'!$D:$DH,V$1,0),IF(LEFT(VLOOKUP($D79,'Visu totale'!$D:$DH,V$1,0),1)="V",IF(U79&gt;=INDEX('[1]Définition Maintenances'!$G:$G,MATCH($A79,'[1]Définition Maintenances'!$K:$K,0)),U79,INDEX('[1]Définition Maintenances'!$G:$G,MATCH($A79,'[1]Définition Maintenances'!$K:$K,0))+U79),U79))</f>
        <v>358</v>
      </c>
      <c r="W79" s="26">
        <f>IF(ISNUMBER(VLOOKUP($D79,'Visu totale'!$D:$DH,W$1,0)),V79-VLOOKUP($D79,'Visu totale'!$D:$DH,W$1,0),IF(LEFT(VLOOKUP($D79,'Visu totale'!$D:$DH,W$1,0),1)="V",IF(V79&gt;=INDEX('[1]Définition Maintenances'!$G:$G,MATCH($A79,'[1]Définition Maintenances'!$K:$K,0)),V79,INDEX('[1]Définition Maintenances'!$G:$G,MATCH($A79,'[1]Définition Maintenances'!$K:$K,0))+V79),V79))</f>
        <v>358</v>
      </c>
      <c r="X79" s="26">
        <f>IF(ISNUMBER(VLOOKUP($D79,'Visu totale'!$D:$DH,X$1,0)),W79-VLOOKUP($D79,'Visu totale'!$D:$DH,X$1,0),IF(LEFT(VLOOKUP($D79,'Visu totale'!$D:$DH,X$1,0),1)="V",IF(W79&gt;=INDEX('[1]Définition Maintenances'!$G:$G,MATCH($A79,'[1]Définition Maintenances'!$K:$K,0)),W79,INDEX('[1]Définition Maintenances'!$G:$G,MATCH($A79,'[1]Définition Maintenances'!$K:$K,0))+W79),W79))</f>
        <v>358</v>
      </c>
      <c r="Y79" s="26">
        <f>IF(ISNUMBER(VLOOKUP($D79,'Visu totale'!$D:$DH,Y$1,0)),X79-VLOOKUP($D79,'Visu totale'!$D:$DH,Y$1,0),IF(LEFT(VLOOKUP($D79,'Visu totale'!$D:$DH,Y$1,0),1)="V",IF(X79&gt;=INDEX('[1]Définition Maintenances'!$G:$G,MATCH($A79,'[1]Définition Maintenances'!$K:$K,0)),X79,INDEX('[1]Définition Maintenances'!$G:$G,MATCH($A79,'[1]Définition Maintenances'!$K:$K,0))+X79),X79))</f>
        <v>358</v>
      </c>
      <c r="Z79" s="26">
        <f>IF(ISNUMBER(VLOOKUP($D79,'Visu totale'!$D:$DH,Z$1,0)),Y79-VLOOKUP($D79,'Visu totale'!$D:$DH,Z$1,0),IF(LEFT(VLOOKUP($D79,'Visu totale'!$D:$DH,Z$1,0),1)="V",IF(Y79&gt;=INDEX('[1]Définition Maintenances'!$G:$G,MATCH($A79,'[1]Définition Maintenances'!$K:$K,0)),Y79,INDEX('[1]Définition Maintenances'!$G:$G,MATCH($A79,'[1]Définition Maintenances'!$K:$K,0))+Y79),Y79))</f>
        <v>358</v>
      </c>
      <c r="AA79" s="26">
        <f>IF(ISNUMBER(VLOOKUP($D79,'Visu totale'!$D:$DH,AA$1,0)),Z79-VLOOKUP($D79,'Visu totale'!$D:$DH,AA$1,0),IF(LEFT(VLOOKUP($D79,'Visu totale'!$D:$DH,AA$1,0),1)="V",IF(Z79&gt;=INDEX('[1]Définition Maintenances'!$G:$G,MATCH($A79,'[1]Définition Maintenances'!$K:$K,0)),Z79,INDEX('[1]Définition Maintenances'!$G:$G,MATCH($A79,'[1]Définition Maintenances'!$K:$K,0))+Z79),Z79))</f>
        <v>358</v>
      </c>
      <c r="AB79" s="26">
        <f>IF(ISNUMBER(VLOOKUP($D79,'Visu totale'!$D:$DH,AB$1,0)),AA79-VLOOKUP($D79,'Visu totale'!$D:$DH,AB$1,0),IF(LEFT(VLOOKUP($D79,'Visu totale'!$D:$DH,AB$1,0),1)="V",IF(AA79&gt;=INDEX('[1]Définition Maintenances'!$G:$G,MATCH($A79,'[1]Définition Maintenances'!$K:$K,0)),AA79,INDEX('[1]Définition Maintenances'!$G:$G,MATCH($A79,'[1]Définition Maintenances'!$K:$K,0))+AA79),AA79))</f>
        <v>358</v>
      </c>
      <c r="AC79" s="27">
        <f>IF(ISNUMBER(VLOOKUP($D79,'Visu totale'!$D:$DH,AC$1,0)),AB79-VLOOKUP($D79,'Visu totale'!$D:$DH,AC$1,0),IF(LEFT(VLOOKUP($D79,'Visu totale'!$D:$DH,AC$1,0),1)="V",IF(AB79&gt;=INDEX('[1]Définition Maintenances'!$G:$G,MATCH($A79,'[1]Définition Maintenances'!$K:$K,0)),AB79,INDEX('[1]Définition Maintenances'!$G:$G,MATCH($A79,'[1]Définition Maintenances'!$K:$K,0))+AB79),AB79))</f>
        <v>358</v>
      </c>
      <c r="AD79" s="25">
        <f>IF(ISNUMBER(VLOOKUP($D79,'Visu totale'!$D:$DH,AD$1,0)),AC79-VLOOKUP($D79,'Visu totale'!$D:$DH,AD$1,0),IF(LEFT(VLOOKUP($D79,'Visu totale'!$D:$DH,AD$1,0),1)="V",IF(AC79&gt;=INDEX('[1]Définition Maintenances'!$G:$G,MATCH($A79,'[1]Définition Maintenances'!$K:$K,0)),AC79,INDEX('[1]Définition Maintenances'!$G:$G,MATCH($A79,'[1]Définition Maintenances'!$K:$K,0))+AC79),AC79))</f>
        <v>358</v>
      </c>
      <c r="AE79" s="26">
        <f>IF(ISNUMBER(VLOOKUP($D79,'Visu totale'!$D:$DH,AE$1,0)),AD79-VLOOKUP($D79,'Visu totale'!$D:$DH,AE$1,0),IF(LEFT(VLOOKUP($D79,'Visu totale'!$D:$DH,AE$1,0),1)="V",IF(AD79&gt;=INDEX('[1]Définition Maintenances'!$G:$G,MATCH($A79,'[1]Définition Maintenances'!$K:$K,0)),AD79,INDEX('[1]Définition Maintenances'!$G:$G,MATCH($A79,'[1]Définition Maintenances'!$K:$K,0))+AD79),AD79))</f>
        <v>358</v>
      </c>
      <c r="AF79" s="26">
        <f>IF(ISNUMBER(VLOOKUP($D79,'Visu totale'!$D:$DH,AF$1,0)),AE79-VLOOKUP($D79,'Visu totale'!$D:$DH,AF$1,0),IF(LEFT(VLOOKUP($D79,'Visu totale'!$D:$DH,AF$1,0),1)="V",IF(AE79&gt;=INDEX('[1]Définition Maintenances'!$G:$G,MATCH($A79,'[1]Définition Maintenances'!$K:$K,0)),AE79,INDEX('[1]Définition Maintenances'!$G:$G,MATCH($A79,'[1]Définition Maintenances'!$K:$K,0))+AE79),AE79))</f>
        <v>358</v>
      </c>
      <c r="AG79" s="26">
        <f>IF(ISNUMBER(VLOOKUP($D79,'Visu totale'!$D:$DH,AG$1,0)),AF79-VLOOKUP($D79,'Visu totale'!$D:$DH,AG$1,0),IF(LEFT(VLOOKUP($D79,'Visu totale'!$D:$DH,AG$1,0),1)="V",IF(AF79&gt;=INDEX('[1]Définition Maintenances'!$G:$G,MATCH($A79,'[1]Définition Maintenances'!$K:$K,0)),AF79,INDEX('[1]Définition Maintenances'!$G:$G,MATCH($A79,'[1]Définition Maintenances'!$K:$K,0))+AF79),AF79))</f>
        <v>358</v>
      </c>
      <c r="AH79" s="26">
        <f>IF(ISNUMBER(VLOOKUP($D79,'Visu totale'!$D:$DH,AH$1,0)),AG79-VLOOKUP($D79,'Visu totale'!$D:$DH,AH$1,0),IF(LEFT(VLOOKUP($D79,'Visu totale'!$D:$DH,AH$1,0),1)="V",IF(AG79&gt;=INDEX('[1]Définition Maintenances'!$G:$G,MATCH($A79,'[1]Définition Maintenances'!$K:$K,0)),AG79,INDEX('[1]Définition Maintenances'!$G:$G,MATCH($A79,'[1]Définition Maintenances'!$K:$K,0))+AG79),AG79))</f>
        <v>358</v>
      </c>
      <c r="AI79" s="26">
        <f>IF(ISNUMBER(VLOOKUP($D79,'Visu totale'!$D:$DH,AI$1,0)),AH79-VLOOKUP($D79,'Visu totale'!$D:$DH,AI$1,0),IF(LEFT(VLOOKUP($D79,'Visu totale'!$D:$DH,AI$1,0),1)="V",IF(AH79&gt;=INDEX('[1]Définition Maintenances'!$G:$G,MATCH($A79,'[1]Définition Maintenances'!$K:$K,0)),AH79,INDEX('[1]Définition Maintenances'!$G:$G,MATCH($A79,'[1]Définition Maintenances'!$K:$K,0))+AH79),AH79))</f>
        <v>358</v>
      </c>
      <c r="AJ79" s="26">
        <f>IF(ISNUMBER(VLOOKUP($D79,'Visu totale'!$D:$DH,AJ$1,0)),AI79-VLOOKUP($D79,'Visu totale'!$D:$DH,AJ$1,0),IF(LEFT(VLOOKUP($D79,'Visu totale'!$D:$DH,AJ$1,0),1)="V",IF(AI79&gt;=INDEX('[1]Définition Maintenances'!$G:$G,MATCH($A79,'[1]Définition Maintenances'!$K:$K,0)),AI79,INDEX('[1]Définition Maintenances'!$G:$G,MATCH($A79,'[1]Définition Maintenances'!$K:$K,0))+AI79),AI79))</f>
        <v>358</v>
      </c>
      <c r="AK79" s="26">
        <f>IF(ISNUMBER(VLOOKUP($D79,'Visu totale'!$D:$DH,AK$1,0)),AJ79-VLOOKUP($D79,'Visu totale'!$D:$DH,AK$1,0),IF(LEFT(VLOOKUP($D79,'Visu totale'!$D:$DH,AK$1,0),1)="V",IF(AJ79&gt;=INDEX('[1]Définition Maintenances'!$G:$G,MATCH($A79,'[1]Définition Maintenances'!$K:$K,0)),AJ79,INDEX('[1]Définition Maintenances'!$G:$G,MATCH($A79,'[1]Définition Maintenances'!$K:$K,0))+AJ79),AJ79))</f>
        <v>358</v>
      </c>
      <c r="AL79" s="26">
        <f>IF(ISNUMBER(VLOOKUP($D79,'Visu totale'!$D:$DH,AL$1,0)),AK79-VLOOKUP($D79,'Visu totale'!$D:$DH,AL$1,0),IF(LEFT(VLOOKUP($D79,'Visu totale'!$D:$DH,AL$1,0),1)="V",IF(AK79&gt;=INDEX('[1]Définition Maintenances'!$G:$G,MATCH($A79,'[1]Définition Maintenances'!$K:$K,0)),AK79,INDEX('[1]Définition Maintenances'!$G:$G,MATCH($A79,'[1]Définition Maintenances'!$K:$K,0))+AK79),AK79))</f>
        <v>358</v>
      </c>
      <c r="AM79" s="26">
        <f>IF(ISNUMBER(VLOOKUP($D79,'Visu totale'!$D:$DH,AM$1,0)),AL79-VLOOKUP($D79,'Visu totale'!$D:$DH,AM$1,0),IF(LEFT(VLOOKUP($D79,'Visu totale'!$D:$DH,AM$1,0),1)="V",IF(AL79&gt;=INDEX('[1]Définition Maintenances'!$G:$G,MATCH($A79,'[1]Définition Maintenances'!$K:$K,0)),AL79,INDEX('[1]Définition Maintenances'!$G:$G,MATCH($A79,'[1]Définition Maintenances'!$K:$K,0))+AL79),AL79))</f>
        <v>358</v>
      </c>
      <c r="AN79" s="26">
        <f>IF(ISNUMBER(VLOOKUP($D79,'Visu totale'!$D:$DH,AN$1,0)),AM79-VLOOKUP($D79,'Visu totale'!$D:$DH,AN$1,0),IF(LEFT(VLOOKUP($D79,'Visu totale'!$D:$DH,AN$1,0),1)="V",IF(AM79&gt;=INDEX('[1]Définition Maintenances'!$G:$G,MATCH($A79,'[1]Définition Maintenances'!$K:$K,0)),AM79,INDEX('[1]Définition Maintenances'!$G:$G,MATCH($A79,'[1]Définition Maintenances'!$K:$K,0))+AM79),AM79))</f>
        <v>358</v>
      </c>
      <c r="AO79" s="27">
        <f>IF(ISNUMBER(VLOOKUP($D79,'Visu totale'!$D:$DH,AO$1,0)),AN79-VLOOKUP($D79,'Visu totale'!$D:$DH,AO$1,0),IF(LEFT(VLOOKUP($D79,'Visu totale'!$D:$DH,AO$1,0),1)="V",IF(AN79&gt;=INDEX('[1]Définition Maintenances'!$G:$G,MATCH($A79,'[1]Définition Maintenances'!$K:$K,0)),AN79,INDEX('[1]Définition Maintenances'!$G:$G,MATCH($A79,'[1]Définition Maintenances'!$K:$K,0))+AN79),AN79))</f>
        <v>358</v>
      </c>
      <c r="AP79" s="25">
        <f>IF(ISNUMBER(VLOOKUP($D79,'Visu totale'!$D:$DH,AP$1,0)),AO79-VLOOKUP($D79,'Visu totale'!$D:$DH,AP$1,0),IF(LEFT(VLOOKUP($D79,'Visu totale'!$D:$DH,AP$1,0),1)="V",IF(AO79&gt;=INDEX('[1]Définition Maintenances'!$G:$G,MATCH($A79,'[1]Définition Maintenances'!$K:$K,0)),AO79,INDEX('[1]Définition Maintenances'!$G:$G,MATCH($A79,'[1]Définition Maintenances'!$K:$K,0))+AO79),AO79))</f>
        <v>358</v>
      </c>
      <c r="AQ79" s="26">
        <f>IF(ISNUMBER(VLOOKUP($D79,'Visu totale'!$D:$DH,AQ$1,0)),AP79-VLOOKUP($D79,'Visu totale'!$D:$DH,AQ$1,0),IF(LEFT(VLOOKUP($D79,'Visu totale'!$D:$DH,AQ$1,0),1)="V",IF(AP79&gt;=INDEX('[1]Définition Maintenances'!$G:$G,MATCH($A79,'[1]Définition Maintenances'!$K:$K,0)),AP79,INDEX('[1]Définition Maintenances'!$G:$G,MATCH($A79,'[1]Définition Maintenances'!$K:$K,0))+AP79),AP79))</f>
        <v>358</v>
      </c>
      <c r="AR79" s="26">
        <f>IF(ISNUMBER(VLOOKUP($D79,'Visu totale'!$D:$DH,AR$1,0)),AQ79-VLOOKUP($D79,'Visu totale'!$D:$DH,AR$1,0),IF(LEFT(VLOOKUP($D79,'Visu totale'!$D:$DH,AR$1,0),1)="V",IF(AQ79&gt;=INDEX('[1]Définition Maintenances'!$G:$G,MATCH($A79,'[1]Définition Maintenances'!$K:$K,0)),AQ79,INDEX('[1]Définition Maintenances'!$G:$G,MATCH($A79,'[1]Définition Maintenances'!$K:$K,0))+AQ79),AQ79))</f>
        <v>358</v>
      </c>
      <c r="AS79" s="26">
        <f>IF(ISNUMBER(VLOOKUP($D79,'Visu totale'!$D:$DH,AS$1,0)),AR79-VLOOKUP($D79,'Visu totale'!$D:$DH,AS$1,0),IF(LEFT(VLOOKUP($D79,'Visu totale'!$D:$DH,AS$1,0),1)="V",IF(AR79&gt;=INDEX('[1]Définition Maintenances'!$G:$G,MATCH($A79,'[1]Définition Maintenances'!$K:$K,0)),AR79,INDEX('[1]Définition Maintenances'!$G:$G,MATCH($A79,'[1]Définition Maintenances'!$K:$K,0))+AR79),AR79))</f>
        <v>358</v>
      </c>
      <c r="AT79" s="26">
        <f>IF(ISNUMBER(VLOOKUP($D79,'Visu totale'!$D:$DH,AT$1,0)),AS79-VLOOKUP($D79,'Visu totale'!$D:$DH,AT$1,0),IF(LEFT(VLOOKUP($D79,'Visu totale'!$D:$DH,AT$1,0),1)="V",IF(AS79&gt;=INDEX('[1]Définition Maintenances'!$G:$G,MATCH($A79,'[1]Définition Maintenances'!$K:$K,0)),AS79,INDEX('[1]Définition Maintenances'!$G:$G,MATCH($A79,'[1]Définition Maintenances'!$K:$K,0))+AS79),AS79))</f>
        <v>358</v>
      </c>
      <c r="AU79" s="26">
        <f>IF(ISNUMBER(VLOOKUP($D79,'Visu totale'!$D:$DH,AU$1,0)),AT79-VLOOKUP($D79,'Visu totale'!$D:$DH,AU$1,0),IF(LEFT(VLOOKUP($D79,'Visu totale'!$D:$DH,AU$1,0),1)="V",IF(AT79&gt;=INDEX('[1]Définition Maintenances'!$G:$G,MATCH($A79,'[1]Définition Maintenances'!$K:$K,0)),AT79,INDEX('[1]Définition Maintenances'!$G:$G,MATCH($A79,'[1]Définition Maintenances'!$K:$K,0))+AT79),AT79))</f>
        <v>358</v>
      </c>
      <c r="AV79" s="26">
        <f>IF(ISNUMBER(VLOOKUP($D79,'Visu totale'!$D:$DH,AV$1,0)),AU79-VLOOKUP($D79,'Visu totale'!$D:$DH,AV$1,0),IF(LEFT(VLOOKUP($D79,'Visu totale'!$D:$DH,AV$1,0),1)="V",IF(AU79&gt;=INDEX('[1]Définition Maintenances'!$G:$G,MATCH($A79,'[1]Définition Maintenances'!$K:$K,0)),AU79,INDEX('[1]Définition Maintenances'!$G:$G,MATCH($A79,'[1]Définition Maintenances'!$K:$K,0))+AU79),AU79))</f>
        <v>358</v>
      </c>
      <c r="AW79" s="26">
        <f>IF(ISNUMBER(VLOOKUP($D79,'Visu totale'!$D:$DH,AW$1,0)),AV79-VLOOKUP($D79,'Visu totale'!$D:$DH,AW$1,0),IF(LEFT(VLOOKUP($D79,'Visu totale'!$D:$DH,AW$1,0),1)="V",IF(AV79&gt;=INDEX('[1]Définition Maintenances'!$G:$G,MATCH($A79,'[1]Définition Maintenances'!$K:$K,0)),AV79,INDEX('[1]Définition Maintenances'!$G:$G,MATCH($A79,'[1]Définition Maintenances'!$K:$K,0))+AV79),AV79))</f>
        <v>358</v>
      </c>
      <c r="AX79" s="26">
        <f>IF(ISNUMBER(VLOOKUP($D79,'Visu totale'!$D:$DH,AX$1,0)),AW79-VLOOKUP($D79,'Visu totale'!$D:$DH,AX$1,0),IF(LEFT(VLOOKUP($D79,'Visu totale'!$D:$DH,AX$1,0),1)="V",IF(AW79&gt;=INDEX('[1]Définition Maintenances'!$G:$G,MATCH($A79,'[1]Définition Maintenances'!$K:$K,0)),AW79,INDEX('[1]Définition Maintenances'!$G:$G,MATCH($A79,'[1]Définition Maintenances'!$K:$K,0))+AW79),AW79))</f>
        <v>358</v>
      </c>
      <c r="AY79" s="26">
        <f>IF(ISNUMBER(VLOOKUP($D79,'Visu totale'!$D:$DH,AY$1,0)),AX79-VLOOKUP($D79,'Visu totale'!$D:$DH,AY$1,0),IF(LEFT(VLOOKUP($D79,'Visu totale'!$D:$DH,AY$1,0),1)="V",IF(AX79&gt;=INDEX('[1]Définition Maintenances'!$G:$G,MATCH($A79,'[1]Définition Maintenances'!$K:$K,0)),AX79,INDEX('[1]Définition Maintenances'!$G:$G,MATCH($A79,'[1]Définition Maintenances'!$K:$K,0))+AX79),AX79))</f>
        <v>358</v>
      </c>
      <c r="AZ79" s="26">
        <f>IF(ISNUMBER(VLOOKUP($D79,'Visu totale'!$D:$DH,AZ$1,0)),AY79-VLOOKUP($D79,'Visu totale'!$D:$DH,AZ$1,0),IF(LEFT(VLOOKUP($D79,'Visu totale'!$D:$DH,AZ$1,0),1)="V",IF(AY79&gt;=INDEX('[1]Définition Maintenances'!$G:$G,MATCH($A79,'[1]Définition Maintenances'!$K:$K,0)),AY79,INDEX('[1]Définition Maintenances'!$G:$G,MATCH($A79,'[1]Définition Maintenances'!$K:$K,0))+AY79),AY79))</f>
        <v>358</v>
      </c>
      <c r="BA79" s="27">
        <f>IF(ISNUMBER(VLOOKUP($D79,'Visu totale'!$D:$DH,BA$1,0)),AZ79-VLOOKUP($D79,'Visu totale'!$D:$DH,BA$1,0),IF(LEFT(VLOOKUP($D79,'Visu totale'!$D:$DH,BA$1,0),1)="V",IF(AZ79&gt;=INDEX('[1]Définition Maintenances'!$G:$G,MATCH($A79,'[1]Définition Maintenances'!$K:$K,0)),AZ79,INDEX('[1]Définition Maintenances'!$G:$G,MATCH($A79,'[1]Définition Maintenances'!$K:$K,0))+AZ79),AZ79))</f>
        <v>358</v>
      </c>
      <c r="BB79" s="25">
        <f>IF(ISNUMBER(VLOOKUP($D79,'Visu totale'!$D:$DH,BB$1,0)),BA79-VLOOKUP($D79,'Visu totale'!$D:$DH,BB$1,0),IF(LEFT(VLOOKUP($D79,'Visu totale'!$D:$DH,BB$1,0),1)="V",IF(BA79&gt;=INDEX('[1]Définition Maintenances'!$G:$G,MATCH($A79,'[1]Définition Maintenances'!$K:$K,0)),BA79,INDEX('[1]Définition Maintenances'!$G:$G,MATCH($A79,'[1]Définition Maintenances'!$K:$K,0))+BA79),BA79))</f>
        <v>358</v>
      </c>
      <c r="BC79" s="26">
        <f>IF(ISNUMBER(VLOOKUP($D79,'Visu totale'!$D:$DH,BC$1,0)),BB79-VLOOKUP($D79,'Visu totale'!$D:$DH,BC$1,0),IF(LEFT(VLOOKUP($D79,'Visu totale'!$D:$DH,BC$1,0),1)="V",IF(BB79&gt;=INDEX('[1]Définition Maintenances'!$G:$G,MATCH($A79,'[1]Définition Maintenances'!$K:$K,0)),BB79,INDEX('[1]Définition Maintenances'!$G:$G,MATCH($A79,'[1]Définition Maintenances'!$K:$K,0))+BB79),BB79))</f>
        <v>358</v>
      </c>
      <c r="BD79" s="26">
        <f>IF(ISNUMBER(VLOOKUP($D79,'Visu totale'!$D:$DH,BD$1,0)),BC79-VLOOKUP($D79,'Visu totale'!$D:$DH,BD$1,0),IF(LEFT(VLOOKUP($D79,'Visu totale'!$D:$DH,BD$1,0),1)="V",IF(BC79&gt;=INDEX('[1]Définition Maintenances'!$G:$G,MATCH($A79,'[1]Définition Maintenances'!$K:$K,0)),BC79,INDEX('[1]Définition Maintenances'!$G:$G,MATCH($A79,'[1]Définition Maintenances'!$K:$K,0))+BC79),BC79))</f>
        <v>358</v>
      </c>
      <c r="BE79" s="26">
        <f>IF(ISNUMBER(VLOOKUP($D79,'Visu totale'!$D:$DH,BE$1,0)),BD79-VLOOKUP($D79,'Visu totale'!$D:$DH,BE$1,0),IF(LEFT(VLOOKUP($D79,'Visu totale'!$D:$DH,BE$1,0),1)="V",IF(BD79&gt;=INDEX('[1]Définition Maintenances'!$G:$G,MATCH($A79,'[1]Définition Maintenances'!$K:$K,0)),BD79,INDEX('[1]Définition Maintenances'!$G:$G,MATCH($A79,'[1]Définition Maintenances'!$K:$K,0))+BD79),BD79))</f>
        <v>358</v>
      </c>
      <c r="BF79" s="26">
        <f>IF(ISNUMBER(VLOOKUP($D79,'Visu totale'!$D:$DH,BF$1,0)),BE79-VLOOKUP($D79,'Visu totale'!$D:$DH,BF$1,0),IF(LEFT(VLOOKUP($D79,'Visu totale'!$D:$DH,BF$1,0),1)="V",IF(BE79&gt;=INDEX('[1]Définition Maintenances'!$G:$G,MATCH($A79,'[1]Définition Maintenances'!$K:$K,0)),BE79,INDEX('[1]Définition Maintenances'!$G:$G,MATCH($A79,'[1]Définition Maintenances'!$K:$K,0))+BE79),BE79))</f>
        <v>358</v>
      </c>
      <c r="BG79" s="26">
        <f>IF(ISNUMBER(VLOOKUP($D79,'Visu totale'!$D:$DH,BG$1,0)),BF79-VLOOKUP($D79,'Visu totale'!$D:$DH,BG$1,0),IF(LEFT(VLOOKUP($D79,'Visu totale'!$D:$DH,BG$1,0),1)="V",IF(BF79&gt;=INDEX('[1]Définition Maintenances'!$G:$G,MATCH($A79,'[1]Définition Maintenances'!$K:$K,0)),BF79,INDEX('[1]Définition Maintenances'!$G:$G,MATCH($A79,'[1]Définition Maintenances'!$K:$K,0))+BF79),BF79))</f>
        <v>358</v>
      </c>
      <c r="BH79" s="26">
        <f>IF(ISNUMBER(VLOOKUP($D79,'Visu totale'!$D:$DH,BH$1,0)),BG79-VLOOKUP($D79,'Visu totale'!$D:$DH,BH$1,0),IF(LEFT(VLOOKUP($D79,'Visu totale'!$D:$DH,BH$1,0),1)="V",IF(BG79&gt;=INDEX('[1]Définition Maintenances'!$G:$G,MATCH($A79,'[1]Définition Maintenances'!$K:$K,0)),BG79,INDEX('[1]Définition Maintenances'!$G:$G,MATCH($A79,'[1]Définition Maintenances'!$K:$K,0))+BG79),BG79))</f>
        <v>358</v>
      </c>
      <c r="BI79" s="26">
        <f>IF(ISNUMBER(VLOOKUP($D79,'Visu totale'!$D:$DH,BI$1,0)),BH79-VLOOKUP($D79,'Visu totale'!$D:$DH,BI$1,0),IF(LEFT(VLOOKUP($D79,'Visu totale'!$D:$DH,BI$1,0),1)="V",IF(BH79&gt;=INDEX('[1]Définition Maintenances'!$G:$G,MATCH($A79,'[1]Définition Maintenances'!$K:$K,0)),BH79,INDEX('[1]Définition Maintenances'!$G:$G,MATCH($A79,'[1]Définition Maintenances'!$K:$K,0))+BH79),BH79))</f>
        <v>358</v>
      </c>
      <c r="BJ79" s="26">
        <f>IF(ISNUMBER(VLOOKUP($D79,'Visu totale'!$D:$DH,BJ$1,0)),BI79-VLOOKUP($D79,'Visu totale'!$D:$DH,BJ$1,0),IF(LEFT(VLOOKUP($D79,'Visu totale'!$D:$DH,BJ$1,0),1)="V",IF(BI79&gt;=INDEX('[1]Définition Maintenances'!$G:$G,MATCH($A79,'[1]Définition Maintenances'!$K:$K,0)),BI79,INDEX('[1]Définition Maintenances'!$G:$G,MATCH($A79,'[1]Définition Maintenances'!$K:$K,0))+BI79),BI79))</f>
        <v>358</v>
      </c>
      <c r="BK79" s="26">
        <f>IF(ISNUMBER(VLOOKUP($D79,'Visu totale'!$D:$DH,BK$1,0)),BJ79-VLOOKUP($D79,'Visu totale'!$D:$DH,BK$1,0),IF(LEFT(VLOOKUP($D79,'Visu totale'!$D:$DH,BK$1,0),1)="V",IF(BJ79&gt;=INDEX('[1]Définition Maintenances'!$G:$G,MATCH($A79,'[1]Définition Maintenances'!$K:$K,0)),BJ79,INDEX('[1]Définition Maintenances'!$G:$G,MATCH($A79,'[1]Définition Maintenances'!$K:$K,0))+BJ79),BJ79))</f>
        <v>358</v>
      </c>
      <c r="BL79" s="26">
        <f>IF(ISNUMBER(VLOOKUP($D79,'Visu totale'!$D:$DH,BL$1,0)),BK79-VLOOKUP($D79,'Visu totale'!$D:$DH,BL$1,0),IF(LEFT(VLOOKUP($D79,'Visu totale'!$D:$DH,BL$1,0),1)="V",IF(BK79&gt;=INDEX('[1]Définition Maintenances'!$G:$G,MATCH($A79,'[1]Définition Maintenances'!$K:$K,0)),BK79,INDEX('[1]Définition Maintenances'!$G:$G,MATCH($A79,'[1]Définition Maintenances'!$K:$K,0))+BK79),BK79))</f>
        <v>358</v>
      </c>
      <c r="BM79" s="27">
        <f>IF(ISNUMBER(VLOOKUP($D79,'Visu totale'!$D:$DH,BM$1,0)),BL79-VLOOKUP($D79,'Visu totale'!$D:$DH,BM$1,0),IF(LEFT(VLOOKUP($D79,'Visu totale'!$D:$DH,BM$1,0),1)="V",IF(BL79&gt;=INDEX('[1]Définition Maintenances'!$G:$G,MATCH($A79,'[1]Définition Maintenances'!$K:$K,0)),BL79,INDEX('[1]Définition Maintenances'!$G:$G,MATCH($A79,'[1]Définition Maintenances'!$K:$K,0))+BL79),BL79))</f>
        <v>358</v>
      </c>
      <c r="BN79" s="25">
        <f>IF(ISNUMBER(VLOOKUP($D79,'Visu totale'!$D:$DH,BN$1,0)),BM79-VLOOKUP($D79,'Visu totale'!$D:$DH,BN$1,0),IF(LEFT(VLOOKUP($D79,'Visu totale'!$D:$DH,BN$1,0),1)="V",IF(BM79&gt;=INDEX('[1]Définition Maintenances'!$G:$G,MATCH($A79,'[1]Définition Maintenances'!$K:$K,0)),BM79,INDEX('[1]Définition Maintenances'!$G:$G,MATCH($A79,'[1]Définition Maintenances'!$K:$K,0))+BM79),BM79))</f>
        <v>358</v>
      </c>
      <c r="BO79" s="26">
        <f>IF(ISNUMBER(VLOOKUP($D79,'Visu totale'!$D:$DH,BO$1,0)),BN79-VLOOKUP($D79,'Visu totale'!$D:$DH,BO$1,0),IF(LEFT(VLOOKUP($D79,'Visu totale'!$D:$DH,BO$1,0),1)="V",IF(BN79&gt;=INDEX('[1]Définition Maintenances'!$G:$G,MATCH($A79,'[1]Définition Maintenances'!$K:$K,0)),BN79,INDEX('[1]Définition Maintenances'!$G:$G,MATCH($A79,'[1]Définition Maintenances'!$K:$K,0))+BN79),BN79))</f>
        <v>358</v>
      </c>
      <c r="BP79" s="26">
        <f>IF(ISNUMBER(VLOOKUP($D79,'Visu totale'!$D:$DH,BP$1,0)),BO79-VLOOKUP($D79,'Visu totale'!$D:$DH,BP$1,0),IF(LEFT(VLOOKUP($D79,'Visu totale'!$D:$DH,BP$1,0),1)="V",IF(BO79&gt;=INDEX('[1]Définition Maintenances'!$G:$G,MATCH($A79,'[1]Définition Maintenances'!$K:$K,0)),BO79,INDEX('[1]Définition Maintenances'!$G:$G,MATCH($A79,'[1]Définition Maintenances'!$K:$K,0))+BO79),BO79))</f>
        <v>358</v>
      </c>
      <c r="BQ79" s="26">
        <f>IF(ISNUMBER(VLOOKUP($D79,'Visu totale'!$D:$DH,BQ$1,0)),BP79-VLOOKUP($D79,'Visu totale'!$D:$DH,BQ$1,0),IF(LEFT(VLOOKUP($D79,'Visu totale'!$D:$DH,BQ$1,0),1)="V",IF(BP79&gt;=INDEX('[1]Définition Maintenances'!$G:$G,MATCH($A79,'[1]Définition Maintenances'!$K:$K,0)),BP79,INDEX('[1]Définition Maintenances'!$G:$G,MATCH($A79,'[1]Définition Maintenances'!$K:$K,0))+BP79),BP79))</f>
        <v>358</v>
      </c>
      <c r="BR79" s="26">
        <f>IF(ISNUMBER(VLOOKUP($D79,'Visu totale'!$D:$DH,BR$1,0)),BQ79-VLOOKUP($D79,'Visu totale'!$D:$DH,BR$1,0),IF(LEFT(VLOOKUP($D79,'Visu totale'!$D:$DH,BR$1,0),1)="V",IF(BQ79&gt;=INDEX('[1]Définition Maintenances'!$G:$G,MATCH($A79,'[1]Définition Maintenances'!$K:$K,0)),BQ79,INDEX('[1]Définition Maintenances'!$G:$G,MATCH($A79,'[1]Définition Maintenances'!$K:$K,0))+BQ79),BQ79))</f>
        <v>358</v>
      </c>
      <c r="BS79" s="26">
        <f>IF(ISNUMBER(VLOOKUP($D79,'Visu totale'!$D:$DH,BS$1,0)),BR79-VLOOKUP($D79,'Visu totale'!$D:$DH,BS$1,0),IF(LEFT(VLOOKUP($D79,'Visu totale'!$D:$DH,BS$1,0),1)="V",IF(BR79&gt;=INDEX('[1]Définition Maintenances'!$G:$G,MATCH($A79,'[1]Définition Maintenances'!$K:$K,0)),BR79,INDEX('[1]Définition Maintenances'!$G:$G,MATCH($A79,'[1]Définition Maintenances'!$K:$K,0))+BR79),BR79))</f>
        <v>358</v>
      </c>
      <c r="BT79" s="26">
        <f>IF(ISNUMBER(VLOOKUP($D79,'Visu totale'!$D:$DH,BT$1,0)),BS79-VLOOKUP($D79,'Visu totale'!$D:$DH,BT$1,0),IF(LEFT(VLOOKUP($D79,'Visu totale'!$D:$DH,BT$1,0),1)="V",IF(BS79&gt;=INDEX('[1]Définition Maintenances'!$G:$G,MATCH($A79,'[1]Définition Maintenances'!$K:$K,0)),BS79,INDEX('[1]Définition Maintenances'!$G:$G,MATCH($A79,'[1]Définition Maintenances'!$K:$K,0))+BS79),BS79))</f>
        <v>358</v>
      </c>
      <c r="BU79" s="26">
        <f>IF(ISNUMBER(VLOOKUP($D79,'Visu totale'!$D:$DH,BU$1,0)),BT79-VLOOKUP($D79,'Visu totale'!$D:$DH,BU$1,0),IF(LEFT(VLOOKUP($D79,'Visu totale'!$D:$DH,BU$1,0),1)="V",IF(BT79&gt;=INDEX('[1]Définition Maintenances'!$G:$G,MATCH($A79,'[1]Définition Maintenances'!$K:$K,0)),BT79,INDEX('[1]Définition Maintenances'!$G:$G,MATCH($A79,'[1]Définition Maintenances'!$K:$K,0))+BT79),BT79))</f>
        <v>358</v>
      </c>
      <c r="BV79" s="26">
        <f>IF(ISNUMBER(VLOOKUP($D79,'Visu totale'!$D:$DH,BV$1,0)),BU79-VLOOKUP($D79,'Visu totale'!$D:$DH,BV$1,0),IF(LEFT(VLOOKUP($D79,'Visu totale'!$D:$DH,BV$1,0),1)="V",IF(BU79&gt;=INDEX('[1]Définition Maintenances'!$G:$G,MATCH($A79,'[1]Définition Maintenances'!$K:$K,0)),BU79,INDEX('[1]Définition Maintenances'!$G:$G,MATCH($A79,'[1]Définition Maintenances'!$K:$K,0))+BU79),BU79))</f>
        <v>358</v>
      </c>
      <c r="BW79" s="26">
        <f>IF(ISNUMBER(VLOOKUP($D79,'Visu totale'!$D:$DH,BW$1,0)),BV79-VLOOKUP($D79,'Visu totale'!$D:$DH,BW$1,0),IF(LEFT(VLOOKUP($D79,'Visu totale'!$D:$DH,BW$1,0),1)="V",IF(BV79&gt;=INDEX('[1]Définition Maintenances'!$G:$G,MATCH($A79,'[1]Définition Maintenances'!$K:$K,0)),BV79,INDEX('[1]Définition Maintenances'!$G:$G,MATCH($A79,'[1]Définition Maintenances'!$K:$K,0))+BV79),BV79))</f>
        <v>358</v>
      </c>
      <c r="BX79" s="26">
        <f>IF(ISNUMBER(VLOOKUP($D79,'Visu totale'!$D:$DH,BX$1,0)),BW79-VLOOKUP($D79,'Visu totale'!$D:$DH,BX$1,0),IF(LEFT(VLOOKUP($D79,'Visu totale'!$D:$DH,BX$1,0),1)="V",IF(BW79&gt;=INDEX('[1]Définition Maintenances'!$G:$G,MATCH($A79,'[1]Définition Maintenances'!$K:$K,0)),BW79,INDEX('[1]Définition Maintenances'!$G:$G,MATCH($A79,'[1]Définition Maintenances'!$K:$K,0))+BW79),BW79))</f>
        <v>358</v>
      </c>
      <c r="BY79" s="27">
        <f>IF(ISNUMBER(VLOOKUP($D79,'Visu totale'!$D:$DH,BY$1,0)),BX79-VLOOKUP($D79,'Visu totale'!$D:$DH,BY$1,0),IF(LEFT(VLOOKUP($D79,'Visu totale'!$D:$DH,BY$1,0),1)="V",IF(BX79&gt;=INDEX('[1]Définition Maintenances'!$G:$G,MATCH($A79,'[1]Définition Maintenances'!$K:$K,0)),BX79,INDEX('[1]Définition Maintenances'!$G:$G,MATCH($A79,'[1]Définition Maintenances'!$K:$K,0))+BX79),BX79))</f>
        <v>358</v>
      </c>
      <c r="BZ79" s="25">
        <f>IF(ISNUMBER(VLOOKUP($D79,'Visu totale'!$D:$DH,BZ$1,0)),BY79-VLOOKUP($D79,'Visu totale'!$D:$DH,BZ$1,0),IF(LEFT(VLOOKUP($D79,'Visu totale'!$D:$DH,BZ$1,0),1)="V",IF(BY79&gt;=INDEX('[1]Définition Maintenances'!$G:$G,MATCH($A79,'[1]Définition Maintenances'!$K:$K,0)),BY79,INDEX('[1]Définition Maintenances'!$G:$G,MATCH($A79,'[1]Définition Maintenances'!$K:$K,0))+BY79),BY79))</f>
        <v>358</v>
      </c>
      <c r="CA79" s="26">
        <f>IF(ISNUMBER(VLOOKUP($D79,'Visu totale'!$D:$DH,CA$1,0)),BZ79-VLOOKUP($D79,'Visu totale'!$D:$DH,CA$1,0),IF(LEFT(VLOOKUP($D79,'Visu totale'!$D:$DH,CA$1,0),1)="V",IF(BZ79&gt;=INDEX('[1]Définition Maintenances'!$G:$G,MATCH($A79,'[1]Définition Maintenances'!$K:$K,0)),BZ79,INDEX('[1]Définition Maintenances'!$G:$G,MATCH($A79,'[1]Définition Maintenances'!$K:$K,0))+BZ79),BZ79))</f>
        <v>358</v>
      </c>
      <c r="CB79" s="26">
        <f>IF(ISNUMBER(VLOOKUP($D79,'Visu totale'!$D:$DH,CB$1,0)),CA79-VLOOKUP($D79,'Visu totale'!$D:$DH,CB$1,0),IF(LEFT(VLOOKUP($D79,'Visu totale'!$D:$DH,CB$1,0),1)="V",IF(CA79&gt;=INDEX('[1]Définition Maintenances'!$G:$G,MATCH($A79,'[1]Définition Maintenances'!$K:$K,0)),CA79,INDEX('[1]Définition Maintenances'!$G:$G,MATCH($A79,'[1]Définition Maintenances'!$K:$K,0))+CA79),CA79))</f>
        <v>358</v>
      </c>
      <c r="CC79" s="26">
        <f>IF(ISNUMBER(VLOOKUP($D79,'Visu totale'!$D:$DH,CC$1,0)),CB79-VLOOKUP($D79,'Visu totale'!$D:$DH,CC$1,0),IF(LEFT(VLOOKUP($D79,'Visu totale'!$D:$DH,CC$1,0),1)="V",IF(CB79&gt;=INDEX('[1]Définition Maintenances'!$G:$G,MATCH($A79,'[1]Définition Maintenances'!$K:$K,0)),CB79,INDEX('[1]Définition Maintenances'!$G:$G,MATCH($A79,'[1]Définition Maintenances'!$K:$K,0))+CB79),CB79))</f>
        <v>358</v>
      </c>
      <c r="CD79" s="26">
        <f>IF(ISNUMBER(VLOOKUP($D79,'Visu totale'!$D:$DH,CD$1,0)),CC79-VLOOKUP($D79,'Visu totale'!$D:$DH,CD$1,0),IF(LEFT(VLOOKUP($D79,'Visu totale'!$D:$DH,CD$1,0),1)="V",IF(CC79&gt;=INDEX('[1]Définition Maintenances'!$G:$G,MATCH($A79,'[1]Définition Maintenances'!$K:$K,0)),CC79,INDEX('[1]Définition Maintenances'!$G:$G,MATCH($A79,'[1]Définition Maintenances'!$K:$K,0))+CC79),CC79))</f>
        <v>358</v>
      </c>
      <c r="CE79" s="26">
        <f>IF(ISNUMBER(VLOOKUP($D79,'Visu totale'!$D:$DH,CE$1,0)),CD79-VLOOKUP($D79,'Visu totale'!$D:$DH,CE$1,0),IF(LEFT(VLOOKUP($D79,'Visu totale'!$D:$DH,CE$1,0),1)="V",IF(CD79&gt;=INDEX('[1]Définition Maintenances'!$G:$G,MATCH($A79,'[1]Définition Maintenances'!$K:$K,0)),CD79,INDEX('[1]Définition Maintenances'!$G:$G,MATCH($A79,'[1]Définition Maintenances'!$K:$K,0))+CD79),CD79))</f>
        <v>358</v>
      </c>
      <c r="CF79" s="26">
        <f>IF(ISNUMBER(VLOOKUP($D79,'Visu totale'!$D:$DH,CF$1,0)),CE79-VLOOKUP($D79,'Visu totale'!$D:$DH,CF$1,0),IF(LEFT(VLOOKUP($D79,'Visu totale'!$D:$DH,CF$1,0),1)="V",IF(CE79&gt;=INDEX('[1]Définition Maintenances'!$G:$G,MATCH($A79,'[1]Définition Maintenances'!$K:$K,0)),CE79,INDEX('[1]Définition Maintenances'!$G:$G,MATCH($A79,'[1]Définition Maintenances'!$K:$K,0))+CE79),CE79))</f>
        <v>358</v>
      </c>
      <c r="CG79" s="26">
        <f>IF(ISNUMBER(VLOOKUP($D79,'Visu totale'!$D:$DH,CG$1,0)),CF79-VLOOKUP($D79,'Visu totale'!$D:$DH,CG$1,0),IF(LEFT(VLOOKUP($D79,'Visu totale'!$D:$DH,CG$1,0),1)="V",IF(CF79&gt;=INDEX('[1]Définition Maintenances'!$G:$G,MATCH($A79,'[1]Définition Maintenances'!$K:$K,0)),CF79,INDEX('[1]Définition Maintenances'!$G:$G,MATCH($A79,'[1]Définition Maintenances'!$K:$K,0))+CF79),CF79))</f>
        <v>358</v>
      </c>
      <c r="CH79" s="26">
        <f>IF(ISNUMBER(VLOOKUP($D79,'Visu totale'!$D:$DH,CH$1,0)),CG79-VLOOKUP($D79,'Visu totale'!$D:$DH,CH$1,0),IF(LEFT(VLOOKUP($D79,'Visu totale'!$D:$DH,CH$1,0),1)="V",IF(CG79&gt;=INDEX('[1]Définition Maintenances'!$G:$G,MATCH($A79,'[1]Définition Maintenances'!$K:$K,0)),CG79,INDEX('[1]Définition Maintenances'!$G:$G,MATCH($A79,'[1]Définition Maintenances'!$K:$K,0))+CG79),CG79))</f>
        <v>358</v>
      </c>
      <c r="CI79" s="26">
        <f>IF(ISNUMBER(VLOOKUP($D79,'Visu totale'!$D:$DH,CI$1,0)),CH79-VLOOKUP($D79,'Visu totale'!$D:$DH,CI$1,0),IF(LEFT(VLOOKUP($D79,'Visu totale'!$D:$DH,CI$1,0),1)="V",IF(CH79&gt;=INDEX('[1]Définition Maintenances'!$G:$G,MATCH($A79,'[1]Définition Maintenances'!$K:$K,0)),CH79,INDEX('[1]Définition Maintenances'!$G:$G,MATCH($A79,'[1]Définition Maintenances'!$K:$K,0))+CH79),CH79))</f>
        <v>358</v>
      </c>
      <c r="CJ79" s="26">
        <f>IF(ISNUMBER(VLOOKUP($D79,'Visu totale'!$D:$DH,CJ$1,0)),CI79-VLOOKUP($D79,'Visu totale'!$D:$DH,CJ$1,0),IF(LEFT(VLOOKUP($D79,'Visu totale'!$D:$DH,CJ$1,0),1)="V",IF(CI79&gt;=INDEX('[1]Définition Maintenances'!$G:$G,MATCH($A79,'[1]Définition Maintenances'!$K:$K,0)),CI79,INDEX('[1]Définition Maintenances'!$G:$G,MATCH($A79,'[1]Définition Maintenances'!$K:$K,0))+CI79),CI79))</f>
        <v>358</v>
      </c>
      <c r="CK79" s="27">
        <f>IF(ISNUMBER(VLOOKUP($D79,'Visu totale'!$D:$DH,CK$1,0)),CJ79-VLOOKUP($D79,'Visu totale'!$D:$DH,CK$1,0),IF(LEFT(VLOOKUP($D79,'Visu totale'!$D:$DH,CK$1,0),1)="V",IF(CJ79&gt;=INDEX('[1]Définition Maintenances'!$G:$G,MATCH($A79,'[1]Définition Maintenances'!$K:$K,0)),CJ79,INDEX('[1]Définition Maintenances'!$G:$G,MATCH($A79,'[1]Définition Maintenances'!$K:$K,0))+CJ79),CJ79))</f>
        <v>358</v>
      </c>
      <c r="CL79" s="25">
        <f>IF(ISNUMBER(VLOOKUP($D79,'Visu totale'!$D:$DH,CL$1,0)),CK79-VLOOKUP($D79,'Visu totale'!$D:$DH,CL$1,0),IF(LEFT(VLOOKUP($D79,'Visu totale'!$D:$DH,CL$1,0),1)="V",IF(CK79&gt;=INDEX('[1]Définition Maintenances'!$G:$G,MATCH($A79,'[1]Définition Maintenances'!$K:$K,0)),CK79,INDEX('[1]Définition Maintenances'!$G:$G,MATCH($A79,'[1]Définition Maintenances'!$K:$K,0))+CK79),CK79))</f>
        <v>358</v>
      </c>
      <c r="CM79" s="26">
        <f>IF(ISNUMBER(VLOOKUP($D79,'Visu totale'!$D:$DH,CM$1,0)),CL79-VLOOKUP($D79,'Visu totale'!$D:$DH,CM$1,0),IF(LEFT(VLOOKUP($D79,'Visu totale'!$D:$DH,CM$1,0),1)="V",IF(CL79&gt;=INDEX('[1]Définition Maintenances'!$G:$G,MATCH($A79,'[1]Définition Maintenances'!$K:$K,0)),CL79,INDEX('[1]Définition Maintenances'!$G:$G,MATCH($A79,'[1]Définition Maintenances'!$K:$K,0))+CL79),CL79))</f>
        <v>358</v>
      </c>
      <c r="CN79" s="26">
        <f>IF(ISNUMBER(VLOOKUP($D79,'Visu totale'!$D:$DH,CN$1,0)),CM79-VLOOKUP($D79,'Visu totale'!$D:$DH,CN$1,0),IF(LEFT(VLOOKUP($D79,'Visu totale'!$D:$DH,CN$1,0),1)="V",IF(CM79&gt;=INDEX('[1]Définition Maintenances'!$G:$G,MATCH($A79,'[1]Définition Maintenances'!$K:$K,0)),CM79,INDEX('[1]Définition Maintenances'!$G:$G,MATCH($A79,'[1]Définition Maintenances'!$K:$K,0))+CM79),CM79))</f>
        <v>358</v>
      </c>
      <c r="CO79" s="26">
        <f>IF(ISNUMBER(VLOOKUP($D79,'Visu totale'!$D:$DH,CO$1,0)),CN79-VLOOKUP($D79,'Visu totale'!$D:$DH,CO$1,0),IF(LEFT(VLOOKUP($D79,'Visu totale'!$D:$DH,CO$1,0),1)="V",IF(CN79&gt;=INDEX('[1]Définition Maintenances'!$G:$G,MATCH($A79,'[1]Définition Maintenances'!$K:$K,0)),CN79,INDEX('[1]Définition Maintenances'!$G:$G,MATCH($A79,'[1]Définition Maintenances'!$K:$K,0))+CN79),CN79))</f>
        <v>358</v>
      </c>
      <c r="CP79" s="26">
        <f>IF(ISNUMBER(VLOOKUP($D79,'Visu totale'!$D:$DH,CP$1,0)),CO79-VLOOKUP($D79,'Visu totale'!$D:$DH,CP$1,0),IF(LEFT(VLOOKUP($D79,'Visu totale'!$D:$DH,CP$1,0),1)="V",IF(CO79&gt;=INDEX('[1]Définition Maintenances'!$G:$G,MATCH($A79,'[1]Définition Maintenances'!$K:$K,0)),CO79,INDEX('[1]Définition Maintenances'!$G:$G,MATCH($A79,'[1]Définition Maintenances'!$K:$K,0))+CO79),CO79))</f>
        <v>358</v>
      </c>
      <c r="CQ79" s="26">
        <f>IF(ISNUMBER(VLOOKUP($D79,'Visu totale'!$D:$DH,CQ$1,0)),CP79-VLOOKUP($D79,'Visu totale'!$D:$DH,CQ$1,0),IF(LEFT(VLOOKUP($D79,'Visu totale'!$D:$DH,CQ$1,0),1)="V",IF(CP79&gt;=INDEX('[1]Définition Maintenances'!$G:$G,MATCH($A79,'[1]Définition Maintenances'!$K:$K,0)),CP79,INDEX('[1]Définition Maintenances'!$G:$G,MATCH($A79,'[1]Définition Maintenances'!$K:$K,0))+CP79),CP79))</f>
        <v>358</v>
      </c>
      <c r="CR79" s="26">
        <f>IF(ISNUMBER(VLOOKUP($D79,'Visu totale'!$D:$DH,CR$1,0)),CQ79-VLOOKUP($D79,'Visu totale'!$D:$DH,CR$1,0),IF(LEFT(VLOOKUP($D79,'Visu totale'!$D:$DH,CR$1,0),1)="V",IF(CQ79&gt;=INDEX('[1]Définition Maintenances'!$G:$G,MATCH($A79,'[1]Définition Maintenances'!$K:$K,0)),CQ79,INDEX('[1]Définition Maintenances'!$G:$G,MATCH($A79,'[1]Définition Maintenances'!$K:$K,0))+CQ79),CQ79))</f>
        <v>358</v>
      </c>
      <c r="CS79" s="26">
        <f>IF(ISNUMBER(VLOOKUP($D79,'Visu totale'!$D:$DH,CS$1,0)),CR79-VLOOKUP($D79,'Visu totale'!$D:$DH,CS$1,0),IF(LEFT(VLOOKUP($D79,'Visu totale'!$D:$DH,CS$1,0),1)="V",IF(CR79&gt;=INDEX('[1]Définition Maintenances'!$G:$G,MATCH($A79,'[1]Définition Maintenances'!$K:$K,0)),CR79,INDEX('[1]Définition Maintenances'!$G:$G,MATCH($A79,'[1]Définition Maintenances'!$K:$K,0))+CR79),CR79))</f>
        <v>358</v>
      </c>
      <c r="CT79" s="26">
        <f>IF(ISNUMBER(VLOOKUP($D79,'Visu totale'!$D:$DH,CT$1,0)),CS79-VLOOKUP($D79,'Visu totale'!$D:$DH,CT$1,0),IF(LEFT(VLOOKUP($D79,'Visu totale'!$D:$DH,CT$1,0),1)="V",IF(CS79&gt;=INDEX('[1]Définition Maintenances'!$G:$G,MATCH($A79,'[1]Définition Maintenances'!$K:$K,0)),CS79,INDEX('[1]Définition Maintenances'!$G:$G,MATCH($A79,'[1]Définition Maintenances'!$K:$K,0))+CS79),CS79))</f>
        <v>358</v>
      </c>
      <c r="CU79" s="26">
        <f>IF(ISNUMBER(VLOOKUP($D79,'Visu totale'!$D:$DH,CU$1,0)),CT79-VLOOKUP($D79,'Visu totale'!$D:$DH,CU$1,0),IF(LEFT(VLOOKUP($D79,'Visu totale'!$D:$DH,CU$1,0),1)="V",IF(CT79&gt;=INDEX('[1]Définition Maintenances'!$G:$G,MATCH($A79,'[1]Définition Maintenances'!$K:$K,0)),CT79,INDEX('[1]Définition Maintenances'!$G:$G,MATCH($A79,'[1]Définition Maintenances'!$K:$K,0))+CT79),CT79))</f>
        <v>358</v>
      </c>
      <c r="CV79" s="26">
        <f>IF(ISNUMBER(VLOOKUP($D79,'Visu totale'!$D:$DH,CV$1,0)),CU79-VLOOKUP($D79,'Visu totale'!$D:$DH,CV$1,0),IF(LEFT(VLOOKUP($D79,'Visu totale'!$D:$DH,CV$1,0),1)="V",IF(CU79&gt;=INDEX('[1]Définition Maintenances'!$G:$G,MATCH($A79,'[1]Définition Maintenances'!$K:$K,0)),CU79,INDEX('[1]Définition Maintenances'!$G:$G,MATCH($A79,'[1]Définition Maintenances'!$K:$K,0))+CU79),CU79))</f>
        <v>358</v>
      </c>
      <c r="CW79" s="27">
        <f>IF(ISNUMBER(VLOOKUP($D79,'Visu totale'!$D:$DH,CW$1,0)),CV79-VLOOKUP($D79,'Visu totale'!$D:$DH,CW$1,0),IF(LEFT(VLOOKUP($D79,'Visu totale'!$D:$DH,CW$1,0),1)="V",IF(CV79&gt;=INDEX('[1]Définition Maintenances'!$G:$G,MATCH($A79,'[1]Définition Maintenances'!$K:$K,0)),CV79,INDEX('[1]Définition Maintenances'!$G:$G,MATCH($A79,'[1]Définition Maintenances'!$K:$K,0))+CV79),CV79))</f>
        <v>358</v>
      </c>
      <c r="CX79" s="25">
        <f>IF(ISNUMBER(VLOOKUP($D79,'Visu totale'!$D:$DH,CX$1,0)),CW79-VLOOKUP($D79,'Visu totale'!$D:$DH,CX$1,0),IF(LEFT(VLOOKUP($D79,'Visu totale'!$D:$DH,CX$1,0),1)="V",IF(CW79&gt;=INDEX('[1]Définition Maintenances'!$G:$G,MATCH($A79,'[1]Définition Maintenances'!$K:$K,0)),CW79,INDEX('[1]Définition Maintenances'!$G:$G,MATCH($A79,'[1]Définition Maintenances'!$K:$K,0))+CW79),CW79))</f>
        <v>358</v>
      </c>
      <c r="CY79" s="26">
        <f>IF(ISNUMBER(VLOOKUP($D79,'Visu totale'!$D:$DH,CY$1,0)),CX79-VLOOKUP($D79,'Visu totale'!$D:$DH,CY$1,0),IF(LEFT(VLOOKUP($D79,'Visu totale'!$D:$DH,CY$1,0),1)="V",IF(CX79&gt;=INDEX('[1]Définition Maintenances'!$G:$G,MATCH($A79,'[1]Définition Maintenances'!$K:$K,0)),CX79,INDEX('[1]Définition Maintenances'!$G:$G,MATCH($A79,'[1]Définition Maintenances'!$K:$K,0))+CX79),CX79))</f>
        <v>358</v>
      </c>
      <c r="CZ79" s="26">
        <f>IF(ISNUMBER(VLOOKUP($D79,'Visu totale'!$D:$DH,CZ$1,0)),CY79-VLOOKUP($D79,'Visu totale'!$D:$DH,CZ$1,0),IF(LEFT(VLOOKUP($D79,'Visu totale'!$D:$DH,CZ$1,0),1)="V",IF(CY79&gt;=INDEX('[1]Définition Maintenances'!$G:$G,MATCH($A79,'[1]Définition Maintenances'!$K:$K,0)),CY79,INDEX('[1]Définition Maintenances'!$G:$G,MATCH($A79,'[1]Définition Maintenances'!$K:$K,0))+CY79),CY79))</f>
        <v>358</v>
      </c>
      <c r="DA79" s="26">
        <f>IF(ISNUMBER(VLOOKUP($D79,'Visu totale'!$D:$DH,DA$1,0)),CZ79-VLOOKUP($D79,'Visu totale'!$D:$DH,DA$1,0),IF(LEFT(VLOOKUP($D79,'Visu totale'!$D:$DH,DA$1,0),1)="V",IF(CZ79&gt;=INDEX('[1]Définition Maintenances'!$G:$G,MATCH($A79,'[1]Définition Maintenances'!$K:$K,0)),CZ79,INDEX('[1]Définition Maintenances'!$G:$G,MATCH($A79,'[1]Définition Maintenances'!$K:$K,0))+CZ79),CZ79))</f>
        <v>358</v>
      </c>
      <c r="DB79" s="26">
        <f>IF(ISNUMBER(VLOOKUP($D79,'Visu totale'!$D:$DH,DB$1,0)),DA79-VLOOKUP($D79,'Visu totale'!$D:$DH,DB$1,0),IF(LEFT(VLOOKUP($D79,'Visu totale'!$D:$DH,DB$1,0),1)="V",IF(DA79&gt;=INDEX('[1]Définition Maintenances'!$G:$G,MATCH($A79,'[1]Définition Maintenances'!$K:$K,0)),DA79,INDEX('[1]Définition Maintenances'!$G:$G,MATCH($A79,'[1]Définition Maintenances'!$K:$K,0))+DA79),DA79))</f>
        <v>358</v>
      </c>
      <c r="DC79" s="26">
        <f>IF(ISNUMBER(VLOOKUP($D79,'Visu totale'!$D:$DH,DC$1,0)),DB79-VLOOKUP($D79,'Visu totale'!$D:$DH,DC$1,0),IF(LEFT(VLOOKUP($D79,'Visu totale'!$D:$DH,DC$1,0),1)="V",IF(DB79&gt;=INDEX('[1]Définition Maintenances'!$G:$G,MATCH($A79,'[1]Définition Maintenances'!$K:$K,0)),DB79,INDEX('[1]Définition Maintenances'!$G:$G,MATCH($A79,'[1]Définition Maintenances'!$K:$K,0))+DB79),DB79))</f>
        <v>358</v>
      </c>
      <c r="DD79" s="26">
        <f>IF(ISNUMBER(VLOOKUP($D79,'Visu totale'!$D:$DH,DD$1,0)),DC79-VLOOKUP($D79,'Visu totale'!$D:$DH,DD$1,0),IF(LEFT(VLOOKUP($D79,'Visu totale'!$D:$DH,DD$1,0),1)="V",IF(DC79&gt;=INDEX('[1]Définition Maintenances'!$G:$G,MATCH($A79,'[1]Définition Maintenances'!$K:$K,0)),DC79,INDEX('[1]Définition Maintenances'!$G:$G,MATCH($A79,'[1]Définition Maintenances'!$K:$K,0))+DC79),DC79))</f>
        <v>358</v>
      </c>
      <c r="DE79" s="26">
        <f>IF(ISNUMBER(VLOOKUP($D79,'Visu totale'!$D:$DH,DE$1,0)),DD79-VLOOKUP($D79,'Visu totale'!$D:$DH,DE$1,0),IF(LEFT(VLOOKUP($D79,'Visu totale'!$D:$DH,DE$1,0),1)="V",IF(DD79&gt;=INDEX('[1]Définition Maintenances'!$G:$G,MATCH($A79,'[1]Définition Maintenances'!$K:$K,0)),DD79,INDEX('[1]Définition Maintenances'!$G:$G,MATCH($A79,'[1]Définition Maintenances'!$K:$K,0))+DD79),DD79))</f>
        <v>358</v>
      </c>
      <c r="DF79" s="26">
        <f>IF(ISNUMBER(VLOOKUP($D79,'Visu totale'!$D:$DH,DF$1,0)),DE79-VLOOKUP($D79,'Visu totale'!$D:$DH,DF$1,0),IF(LEFT(VLOOKUP($D79,'Visu totale'!$D:$DH,DF$1,0),1)="V",IF(DE79&gt;=INDEX('[1]Définition Maintenances'!$G:$G,MATCH($A79,'[1]Définition Maintenances'!$K:$K,0)),DE79,INDEX('[1]Définition Maintenances'!$G:$G,MATCH($A79,'[1]Définition Maintenances'!$K:$K,0))+DE79),DE79))</f>
        <v>358</v>
      </c>
      <c r="DG79" s="26">
        <f>IF(ISNUMBER(VLOOKUP($D79,'Visu totale'!$D:$DH,DG$1,0)),DF79-VLOOKUP($D79,'Visu totale'!$D:$DH,DG$1,0),IF(LEFT(VLOOKUP($D79,'Visu totale'!$D:$DH,DG$1,0),1)="V",IF(DF79&gt;=INDEX('[1]Définition Maintenances'!$G:$G,MATCH($A79,'[1]Définition Maintenances'!$K:$K,0)),DF79,INDEX('[1]Définition Maintenances'!$G:$G,MATCH($A79,'[1]Définition Maintenances'!$K:$K,0))+DF79),DF79))</f>
        <v>358</v>
      </c>
      <c r="DH79" s="26">
        <f>IF(ISNUMBER(VLOOKUP($D79,'Visu totale'!$D:$DH,DH$1,0)),DG79-VLOOKUP($D79,'Visu totale'!$D:$DH,DH$1,0),IF(LEFT(VLOOKUP($D79,'Visu totale'!$D:$DH,DH$1,0),1)="V",IF(DG79&gt;=INDEX('[1]Définition Maintenances'!$G:$G,MATCH($A79,'[1]Définition Maintenances'!$K:$K,0)),DG79,INDEX('[1]Définition Maintenances'!$G:$G,MATCH($A79,'[1]Définition Maintenances'!$K:$K,0))+DG79),DG79))</f>
        <v>358</v>
      </c>
      <c r="DI79" s="27">
        <f>IF(ISNUMBER(VLOOKUP($D79,'Visu totale'!$D:$DH,DI$1,0)),DH79-VLOOKUP($D79,'Visu totale'!$D:$DH,DI$1,0),IF(LEFT(VLOOKUP($D79,'Visu totale'!$D:$DH,DI$1,0),1)="V",IF(DH79&gt;=INDEX('[1]Définition Maintenances'!$G:$G,MATCH($A79,'[1]Définition Maintenances'!$K:$K,0)),DH79,INDEX('[1]Définition Maintenances'!$G:$G,MATCH($A79,'[1]Définition Maintenances'!$K:$K,0))+DH79),DH79))</f>
        <v>358</v>
      </c>
    </row>
    <row r="80" spans="1:113" x14ac:dyDescent="0.25">
      <c r="A80" s="13" t="str">
        <f t="shared" si="2"/>
        <v>V10B</v>
      </c>
      <c r="B80" s="13" t="str">
        <f>VLOOKUP(D80,'[1]Avions (Potentiels)'!$B$2:$H$128,7,FALSE)</f>
        <v>V10</v>
      </c>
      <c r="C80" s="13"/>
      <c r="D80" s="16" t="s">
        <v>83</v>
      </c>
      <c r="E80" s="13">
        <f>IFERROR(VALUE(SUBSTITUTE(VLOOKUP(D80,'[1]Avions (Potentiels)'!$B:$E,4,0),".",",")),VALUE(VLOOKUP(D80,'[1]Avions (Potentiels)'!$B:$E,4,0)))</f>
        <v>185</v>
      </c>
      <c r="F80" s="25">
        <f>IF(ISNUMBER(VLOOKUP($D80,'Visu totale'!$D:$DH,F$1,0)),E80-VLOOKUP($D80,'Visu totale'!$D:$DH,F$1,0),IF(LEFT(VLOOKUP($D80,'Visu totale'!$D:$DH,F$1,0),1)="V",IF(E80&gt;=INDEX('[1]Définition Maintenances'!$G:$G,MATCH($A80,'[1]Définition Maintenances'!$K:$K,0)),E80,INDEX('[1]Définition Maintenances'!$G:$G,MATCH($A80,'[1]Définition Maintenances'!$K:$K,0))+E80),E80))</f>
        <v>185</v>
      </c>
      <c r="G80" s="26">
        <f>IF(ISNUMBER(VLOOKUP($D80,'Visu totale'!$D:$DH,G$1,0)),F80-VLOOKUP($D80,'Visu totale'!$D:$DH,G$1,0),IF(LEFT(VLOOKUP($D80,'Visu totale'!$D:$DH,G$1,0),1)="V",IF(F80&gt;=INDEX('[1]Définition Maintenances'!$G:$G,MATCH($A80,'[1]Définition Maintenances'!$K:$K,0)),F80,INDEX('[1]Définition Maintenances'!$G:$G,MATCH($A80,'[1]Définition Maintenances'!$K:$K,0))+F80),F80))</f>
        <v>185</v>
      </c>
      <c r="H80" s="26">
        <f>IF(ISNUMBER(VLOOKUP($D80,'Visu totale'!$D:$DH,H$1,0)),G80-VLOOKUP($D80,'Visu totale'!$D:$DH,H$1,0),IF(LEFT(VLOOKUP($D80,'Visu totale'!$D:$DH,H$1,0),1)="V",IF(G80&gt;=INDEX('[1]Définition Maintenances'!$G:$G,MATCH($A80,'[1]Définition Maintenances'!$K:$K,0)),G80,INDEX('[1]Définition Maintenances'!$G:$G,MATCH($A80,'[1]Définition Maintenances'!$K:$K,0))+G80),G80))</f>
        <v>185</v>
      </c>
      <c r="I80" s="26">
        <f>IF(ISNUMBER(VLOOKUP($D80,'Visu totale'!$D:$DH,I$1,0)),H80-VLOOKUP($D80,'Visu totale'!$D:$DH,I$1,0),IF(LEFT(VLOOKUP($D80,'Visu totale'!$D:$DH,I$1,0),1)="V",IF(H80&gt;=INDEX('[1]Définition Maintenances'!$G:$G,MATCH($A80,'[1]Définition Maintenances'!$K:$K,0)),H80,INDEX('[1]Définition Maintenances'!$G:$G,MATCH($A80,'[1]Définition Maintenances'!$K:$K,0))+H80),H80))</f>
        <v>185</v>
      </c>
      <c r="J80" s="26">
        <f>IF(ISNUMBER(VLOOKUP($D80,'Visu totale'!$D:$DH,J$1,0)),I80-VLOOKUP($D80,'Visu totale'!$D:$DH,J$1,0),IF(LEFT(VLOOKUP($D80,'Visu totale'!$D:$DH,J$1,0),1)="V",IF(I80&gt;=INDEX('[1]Définition Maintenances'!$G:$G,MATCH($A80,'[1]Définition Maintenances'!$K:$K,0)),I80,INDEX('[1]Définition Maintenances'!$G:$G,MATCH($A80,'[1]Définition Maintenances'!$K:$K,0))+I80),I80))</f>
        <v>185</v>
      </c>
      <c r="K80" s="26">
        <f>IF(ISNUMBER(VLOOKUP($D80,'Visu totale'!$D:$DH,K$1,0)),J80-VLOOKUP($D80,'Visu totale'!$D:$DH,K$1,0),IF(LEFT(VLOOKUP($D80,'Visu totale'!$D:$DH,K$1,0),1)="V",IF(J80&gt;=INDEX('[1]Définition Maintenances'!$G:$G,MATCH($A80,'[1]Définition Maintenances'!$K:$K,0)),J80,INDEX('[1]Définition Maintenances'!$G:$G,MATCH($A80,'[1]Définition Maintenances'!$K:$K,0))+J80),J80))</f>
        <v>185</v>
      </c>
      <c r="L80" s="26">
        <f>IF(ISNUMBER(VLOOKUP($D80,'Visu totale'!$D:$DH,L$1,0)),K80-VLOOKUP($D80,'Visu totale'!$D:$DH,L$1,0),IF(LEFT(VLOOKUP($D80,'Visu totale'!$D:$DH,L$1,0),1)="V",IF(K80&gt;=INDEX('[1]Définition Maintenances'!$G:$G,MATCH($A80,'[1]Définition Maintenances'!$K:$K,0)),K80,INDEX('[1]Définition Maintenances'!$G:$G,MATCH($A80,'[1]Définition Maintenances'!$K:$K,0))+K80),K80))</f>
        <v>185</v>
      </c>
      <c r="M80" s="26">
        <f>IF(ISNUMBER(VLOOKUP($D80,'Visu totale'!$D:$DH,M$1,0)),L80-VLOOKUP($D80,'Visu totale'!$D:$DH,M$1,0),IF(LEFT(VLOOKUP($D80,'Visu totale'!$D:$DH,M$1,0),1)="V",IF(L80&gt;=INDEX('[1]Définition Maintenances'!$G:$G,MATCH($A80,'[1]Définition Maintenances'!$K:$K,0)),L80,INDEX('[1]Définition Maintenances'!$G:$G,MATCH($A80,'[1]Définition Maintenances'!$K:$K,0))+L80),L80))</f>
        <v>185</v>
      </c>
      <c r="N80" s="26">
        <f>IF(ISNUMBER(VLOOKUP($D80,'Visu totale'!$D:$DH,N$1,0)),M80-VLOOKUP($D80,'Visu totale'!$D:$DH,N$1,0),IF(LEFT(VLOOKUP($D80,'Visu totale'!$D:$DH,N$1,0),1)="V",IF(M80&gt;=INDEX('[1]Définition Maintenances'!$G:$G,MATCH($A80,'[1]Définition Maintenances'!$K:$K,0)),M80,INDEX('[1]Définition Maintenances'!$G:$G,MATCH($A80,'[1]Définition Maintenances'!$K:$K,0))+M80),M80))</f>
        <v>185</v>
      </c>
      <c r="O80" s="26">
        <f>IF(ISNUMBER(VLOOKUP($D80,'Visu totale'!$D:$DH,O$1,0)),N80-VLOOKUP($D80,'Visu totale'!$D:$DH,O$1,0),IF(LEFT(VLOOKUP($D80,'Visu totale'!$D:$DH,O$1,0),1)="V",IF(N80&gt;=INDEX('[1]Définition Maintenances'!$G:$G,MATCH($A80,'[1]Définition Maintenances'!$K:$K,0)),N80,INDEX('[1]Définition Maintenances'!$G:$G,MATCH($A80,'[1]Définition Maintenances'!$K:$K,0))+N80),N80))</f>
        <v>185</v>
      </c>
      <c r="P80" s="26">
        <f>IF(ISNUMBER(VLOOKUP($D80,'Visu totale'!$D:$DH,P$1,0)),O80-VLOOKUP($D80,'Visu totale'!$D:$DH,P$1,0),IF(LEFT(VLOOKUP($D80,'Visu totale'!$D:$DH,P$1,0),1)="V",IF(O80&gt;=INDEX('[1]Définition Maintenances'!$G:$G,MATCH($A80,'[1]Définition Maintenances'!$K:$K,0)),O80,INDEX('[1]Définition Maintenances'!$G:$G,MATCH($A80,'[1]Définition Maintenances'!$K:$K,0))+O80),O80))</f>
        <v>185</v>
      </c>
      <c r="Q80" s="27">
        <f>IF(ISNUMBER(VLOOKUP($D80,'Visu totale'!$D:$DH,Q$1,0)),P80-VLOOKUP($D80,'Visu totale'!$D:$DH,Q$1,0),IF(LEFT(VLOOKUP($D80,'Visu totale'!$D:$DH,Q$1,0),1)="V",IF(P80&gt;=INDEX('[1]Définition Maintenances'!$G:$G,MATCH($A80,'[1]Définition Maintenances'!$K:$K,0)),P80,INDEX('[1]Définition Maintenances'!$G:$G,MATCH($A80,'[1]Définition Maintenances'!$K:$K,0))+P80),P80))</f>
        <v>185</v>
      </c>
      <c r="R80" s="25">
        <f>IF(ISNUMBER(VLOOKUP($D80,'Visu totale'!$D:$DH,R$1,0)),Q80-VLOOKUP($D80,'Visu totale'!$D:$DH,R$1,0),IF(LEFT(VLOOKUP($D80,'Visu totale'!$D:$DH,R$1,0),1)="V",IF(Q80&gt;=INDEX('[1]Définition Maintenances'!$G:$G,MATCH($A80,'[1]Définition Maintenances'!$K:$K,0)),Q80,INDEX('[1]Définition Maintenances'!$G:$G,MATCH($A80,'[1]Définition Maintenances'!$K:$K,0))+Q80),Q80))</f>
        <v>185</v>
      </c>
      <c r="S80" s="26">
        <f>IF(ISNUMBER(VLOOKUP($D80,'Visu totale'!$D:$DH,S$1,0)),R80-VLOOKUP($D80,'Visu totale'!$D:$DH,S$1,0),IF(LEFT(VLOOKUP($D80,'Visu totale'!$D:$DH,S$1,0),1)="V",IF(R80&gt;=INDEX('[1]Définition Maintenances'!$G:$G,MATCH($A80,'[1]Définition Maintenances'!$K:$K,0)),R80,INDEX('[1]Définition Maintenances'!$G:$G,MATCH($A80,'[1]Définition Maintenances'!$K:$K,0))+R80),R80))</f>
        <v>185</v>
      </c>
      <c r="T80" s="26">
        <f>IF(ISNUMBER(VLOOKUP($D80,'Visu totale'!$D:$DH,T$1,0)),S80-VLOOKUP($D80,'Visu totale'!$D:$DH,T$1,0),IF(LEFT(VLOOKUP($D80,'Visu totale'!$D:$DH,T$1,0),1)="V",IF(S80&gt;=INDEX('[1]Définition Maintenances'!$G:$G,MATCH($A80,'[1]Définition Maintenances'!$K:$K,0)),S80,INDEX('[1]Définition Maintenances'!$G:$G,MATCH($A80,'[1]Définition Maintenances'!$K:$K,0))+S80),S80))</f>
        <v>185</v>
      </c>
      <c r="U80" s="26">
        <f>IF(ISNUMBER(VLOOKUP($D80,'Visu totale'!$D:$DH,U$1,0)),T80-VLOOKUP($D80,'Visu totale'!$D:$DH,U$1,0),IF(LEFT(VLOOKUP($D80,'Visu totale'!$D:$DH,U$1,0),1)="V",IF(T80&gt;=INDEX('[1]Définition Maintenances'!$G:$G,MATCH($A80,'[1]Définition Maintenances'!$K:$K,0)),T80,INDEX('[1]Définition Maintenances'!$G:$G,MATCH($A80,'[1]Définition Maintenances'!$K:$K,0))+T80),T80))</f>
        <v>185</v>
      </c>
      <c r="V80" s="26">
        <f>IF(ISNUMBER(VLOOKUP($D80,'Visu totale'!$D:$DH,V$1,0)),U80-VLOOKUP($D80,'Visu totale'!$D:$DH,V$1,0),IF(LEFT(VLOOKUP($D80,'Visu totale'!$D:$DH,V$1,0),1)="V",IF(U80&gt;=INDEX('[1]Définition Maintenances'!$G:$G,MATCH($A80,'[1]Définition Maintenances'!$K:$K,0)),U80,INDEX('[1]Définition Maintenances'!$G:$G,MATCH($A80,'[1]Définition Maintenances'!$K:$K,0))+U80),U80))</f>
        <v>185</v>
      </c>
      <c r="W80" s="26">
        <f>IF(ISNUMBER(VLOOKUP($D80,'Visu totale'!$D:$DH,W$1,0)),V80-VLOOKUP($D80,'Visu totale'!$D:$DH,W$1,0),IF(LEFT(VLOOKUP($D80,'Visu totale'!$D:$DH,W$1,0),1)="V",IF(V80&gt;=INDEX('[1]Définition Maintenances'!$G:$G,MATCH($A80,'[1]Définition Maintenances'!$K:$K,0)),V80,INDEX('[1]Définition Maintenances'!$G:$G,MATCH($A80,'[1]Définition Maintenances'!$K:$K,0))+V80),V80))</f>
        <v>185</v>
      </c>
      <c r="X80" s="26">
        <f>IF(ISNUMBER(VLOOKUP($D80,'Visu totale'!$D:$DH,X$1,0)),W80-VLOOKUP($D80,'Visu totale'!$D:$DH,X$1,0),IF(LEFT(VLOOKUP($D80,'Visu totale'!$D:$DH,X$1,0),1)="V",IF(W80&gt;=INDEX('[1]Définition Maintenances'!$G:$G,MATCH($A80,'[1]Définition Maintenances'!$K:$K,0)),W80,INDEX('[1]Définition Maintenances'!$G:$G,MATCH($A80,'[1]Définition Maintenances'!$K:$K,0))+W80),W80))</f>
        <v>185</v>
      </c>
      <c r="Y80" s="26">
        <f>IF(ISNUMBER(VLOOKUP($D80,'Visu totale'!$D:$DH,Y$1,0)),X80-VLOOKUP($D80,'Visu totale'!$D:$DH,Y$1,0),IF(LEFT(VLOOKUP($D80,'Visu totale'!$D:$DH,Y$1,0),1)="V",IF(X80&gt;=INDEX('[1]Définition Maintenances'!$G:$G,MATCH($A80,'[1]Définition Maintenances'!$K:$K,0)),X80,INDEX('[1]Définition Maintenances'!$G:$G,MATCH($A80,'[1]Définition Maintenances'!$K:$K,0))+X80),X80))</f>
        <v>185</v>
      </c>
      <c r="Z80" s="26">
        <f>IF(ISNUMBER(VLOOKUP($D80,'Visu totale'!$D:$DH,Z$1,0)),Y80-VLOOKUP($D80,'Visu totale'!$D:$DH,Z$1,0),IF(LEFT(VLOOKUP($D80,'Visu totale'!$D:$DH,Z$1,0),1)="V",IF(Y80&gt;=INDEX('[1]Définition Maintenances'!$G:$G,MATCH($A80,'[1]Définition Maintenances'!$K:$K,0)),Y80,INDEX('[1]Définition Maintenances'!$G:$G,MATCH($A80,'[1]Définition Maintenances'!$K:$K,0))+Y80),Y80))</f>
        <v>185</v>
      </c>
      <c r="AA80" s="26">
        <f>IF(ISNUMBER(VLOOKUP($D80,'Visu totale'!$D:$DH,AA$1,0)),Z80-VLOOKUP($D80,'Visu totale'!$D:$DH,AA$1,0),IF(LEFT(VLOOKUP($D80,'Visu totale'!$D:$DH,AA$1,0),1)="V",IF(Z80&gt;=INDEX('[1]Définition Maintenances'!$G:$G,MATCH($A80,'[1]Définition Maintenances'!$K:$K,0)),Z80,INDEX('[1]Définition Maintenances'!$G:$G,MATCH($A80,'[1]Définition Maintenances'!$K:$K,0))+Z80),Z80))</f>
        <v>185</v>
      </c>
      <c r="AB80" s="26">
        <f>IF(ISNUMBER(VLOOKUP($D80,'Visu totale'!$D:$DH,AB$1,0)),AA80-VLOOKUP($D80,'Visu totale'!$D:$DH,AB$1,0),IF(LEFT(VLOOKUP($D80,'Visu totale'!$D:$DH,AB$1,0),1)="V",IF(AA80&gt;=INDEX('[1]Définition Maintenances'!$G:$G,MATCH($A80,'[1]Définition Maintenances'!$K:$K,0)),AA80,INDEX('[1]Définition Maintenances'!$G:$G,MATCH($A80,'[1]Définition Maintenances'!$K:$K,0))+AA80),AA80))</f>
        <v>185</v>
      </c>
      <c r="AC80" s="27">
        <f>IF(ISNUMBER(VLOOKUP($D80,'Visu totale'!$D:$DH,AC$1,0)),AB80-VLOOKUP($D80,'Visu totale'!$D:$DH,AC$1,0),IF(LEFT(VLOOKUP($D80,'Visu totale'!$D:$DH,AC$1,0),1)="V",IF(AB80&gt;=INDEX('[1]Définition Maintenances'!$G:$G,MATCH($A80,'[1]Définition Maintenances'!$K:$K,0)),AB80,INDEX('[1]Définition Maintenances'!$G:$G,MATCH($A80,'[1]Définition Maintenances'!$K:$K,0))+AB80),AB80))</f>
        <v>185</v>
      </c>
      <c r="AD80" s="25">
        <f>IF(ISNUMBER(VLOOKUP($D80,'Visu totale'!$D:$DH,AD$1,0)),AC80-VLOOKUP($D80,'Visu totale'!$D:$DH,AD$1,0),IF(LEFT(VLOOKUP($D80,'Visu totale'!$D:$DH,AD$1,0),1)="V",IF(AC80&gt;=INDEX('[1]Définition Maintenances'!$G:$G,MATCH($A80,'[1]Définition Maintenances'!$K:$K,0)),AC80,INDEX('[1]Définition Maintenances'!$G:$G,MATCH($A80,'[1]Définition Maintenances'!$K:$K,0))+AC80),AC80))</f>
        <v>185</v>
      </c>
      <c r="AE80" s="26">
        <f>IF(ISNUMBER(VLOOKUP($D80,'Visu totale'!$D:$DH,AE$1,0)),AD80-VLOOKUP($D80,'Visu totale'!$D:$DH,AE$1,0),IF(LEFT(VLOOKUP($D80,'Visu totale'!$D:$DH,AE$1,0),1)="V",IF(AD80&gt;=INDEX('[1]Définition Maintenances'!$G:$G,MATCH($A80,'[1]Définition Maintenances'!$K:$K,0)),AD80,INDEX('[1]Définition Maintenances'!$G:$G,MATCH($A80,'[1]Définition Maintenances'!$K:$K,0))+AD80),AD80))</f>
        <v>185</v>
      </c>
      <c r="AF80" s="26">
        <f>IF(ISNUMBER(VLOOKUP($D80,'Visu totale'!$D:$DH,AF$1,0)),AE80-VLOOKUP($D80,'Visu totale'!$D:$DH,AF$1,0),IF(LEFT(VLOOKUP($D80,'Visu totale'!$D:$DH,AF$1,0),1)="V",IF(AE80&gt;=INDEX('[1]Définition Maintenances'!$G:$G,MATCH($A80,'[1]Définition Maintenances'!$K:$K,0)),AE80,INDEX('[1]Définition Maintenances'!$G:$G,MATCH($A80,'[1]Définition Maintenances'!$K:$K,0))+AE80),AE80))</f>
        <v>185</v>
      </c>
      <c r="AG80" s="26">
        <f>IF(ISNUMBER(VLOOKUP($D80,'Visu totale'!$D:$DH,AG$1,0)),AF80-VLOOKUP($D80,'Visu totale'!$D:$DH,AG$1,0),IF(LEFT(VLOOKUP($D80,'Visu totale'!$D:$DH,AG$1,0),1)="V",IF(AF80&gt;=INDEX('[1]Définition Maintenances'!$G:$G,MATCH($A80,'[1]Définition Maintenances'!$K:$K,0)),AF80,INDEX('[1]Définition Maintenances'!$G:$G,MATCH($A80,'[1]Définition Maintenances'!$K:$K,0))+AF80),AF80))</f>
        <v>185</v>
      </c>
      <c r="AH80" s="26">
        <f>IF(ISNUMBER(VLOOKUP($D80,'Visu totale'!$D:$DH,AH$1,0)),AG80-VLOOKUP($D80,'Visu totale'!$D:$DH,AH$1,0),IF(LEFT(VLOOKUP($D80,'Visu totale'!$D:$DH,AH$1,0),1)="V",IF(AG80&gt;=INDEX('[1]Définition Maintenances'!$G:$G,MATCH($A80,'[1]Définition Maintenances'!$K:$K,0)),AG80,INDEX('[1]Définition Maintenances'!$G:$G,MATCH($A80,'[1]Définition Maintenances'!$K:$K,0))+AG80),AG80))</f>
        <v>185</v>
      </c>
      <c r="AI80" s="26">
        <f>IF(ISNUMBER(VLOOKUP($D80,'Visu totale'!$D:$DH,AI$1,0)),AH80-VLOOKUP($D80,'Visu totale'!$D:$DH,AI$1,0),IF(LEFT(VLOOKUP($D80,'Visu totale'!$D:$DH,AI$1,0),1)="V",IF(AH80&gt;=INDEX('[1]Définition Maintenances'!$G:$G,MATCH($A80,'[1]Définition Maintenances'!$K:$K,0)),AH80,INDEX('[1]Définition Maintenances'!$G:$G,MATCH($A80,'[1]Définition Maintenances'!$K:$K,0))+AH80),AH80))</f>
        <v>185</v>
      </c>
      <c r="AJ80" s="26">
        <f>IF(ISNUMBER(VLOOKUP($D80,'Visu totale'!$D:$DH,AJ$1,0)),AI80-VLOOKUP($D80,'Visu totale'!$D:$DH,AJ$1,0),IF(LEFT(VLOOKUP($D80,'Visu totale'!$D:$DH,AJ$1,0),1)="V",IF(AI80&gt;=INDEX('[1]Définition Maintenances'!$G:$G,MATCH($A80,'[1]Définition Maintenances'!$K:$K,0)),AI80,INDEX('[1]Définition Maintenances'!$G:$G,MATCH($A80,'[1]Définition Maintenances'!$K:$K,0))+AI80),AI80))</f>
        <v>185</v>
      </c>
      <c r="AK80" s="26">
        <f>IF(ISNUMBER(VLOOKUP($D80,'Visu totale'!$D:$DH,AK$1,0)),AJ80-VLOOKUP($D80,'Visu totale'!$D:$DH,AK$1,0),IF(LEFT(VLOOKUP($D80,'Visu totale'!$D:$DH,AK$1,0),1)="V",IF(AJ80&gt;=INDEX('[1]Définition Maintenances'!$G:$G,MATCH($A80,'[1]Définition Maintenances'!$K:$K,0)),AJ80,INDEX('[1]Définition Maintenances'!$G:$G,MATCH($A80,'[1]Définition Maintenances'!$K:$K,0))+AJ80),AJ80))</f>
        <v>185</v>
      </c>
      <c r="AL80" s="26">
        <f>IF(ISNUMBER(VLOOKUP($D80,'Visu totale'!$D:$DH,AL$1,0)),AK80-VLOOKUP($D80,'Visu totale'!$D:$DH,AL$1,0),IF(LEFT(VLOOKUP($D80,'Visu totale'!$D:$DH,AL$1,0),1)="V",IF(AK80&gt;=INDEX('[1]Définition Maintenances'!$G:$G,MATCH($A80,'[1]Définition Maintenances'!$K:$K,0)),AK80,INDEX('[1]Définition Maintenances'!$G:$G,MATCH($A80,'[1]Définition Maintenances'!$K:$K,0))+AK80),AK80))</f>
        <v>185</v>
      </c>
      <c r="AM80" s="26">
        <f>IF(ISNUMBER(VLOOKUP($D80,'Visu totale'!$D:$DH,AM$1,0)),AL80-VLOOKUP($D80,'Visu totale'!$D:$DH,AM$1,0),IF(LEFT(VLOOKUP($D80,'Visu totale'!$D:$DH,AM$1,0),1)="V",IF(AL80&gt;=INDEX('[1]Définition Maintenances'!$G:$G,MATCH($A80,'[1]Définition Maintenances'!$K:$K,0)),AL80,INDEX('[1]Définition Maintenances'!$G:$G,MATCH($A80,'[1]Définition Maintenances'!$K:$K,0))+AL80),AL80))</f>
        <v>185</v>
      </c>
      <c r="AN80" s="26">
        <f>IF(ISNUMBER(VLOOKUP($D80,'Visu totale'!$D:$DH,AN$1,0)),AM80-VLOOKUP($D80,'Visu totale'!$D:$DH,AN$1,0),IF(LEFT(VLOOKUP($D80,'Visu totale'!$D:$DH,AN$1,0),1)="V",IF(AM80&gt;=INDEX('[1]Définition Maintenances'!$G:$G,MATCH($A80,'[1]Définition Maintenances'!$K:$K,0)),AM80,INDEX('[1]Définition Maintenances'!$G:$G,MATCH($A80,'[1]Définition Maintenances'!$K:$K,0))+AM80),AM80))</f>
        <v>185</v>
      </c>
      <c r="AO80" s="27">
        <f>IF(ISNUMBER(VLOOKUP($D80,'Visu totale'!$D:$DH,AO$1,0)),AN80-VLOOKUP($D80,'Visu totale'!$D:$DH,AO$1,0),IF(LEFT(VLOOKUP($D80,'Visu totale'!$D:$DH,AO$1,0),1)="V",IF(AN80&gt;=INDEX('[1]Définition Maintenances'!$G:$G,MATCH($A80,'[1]Définition Maintenances'!$K:$K,0)),AN80,INDEX('[1]Définition Maintenances'!$G:$G,MATCH($A80,'[1]Définition Maintenances'!$K:$K,0))+AN80),AN80))</f>
        <v>185</v>
      </c>
      <c r="AP80" s="25">
        <f>IF(ISNUMBER(VLOOKUP($D80,'Visu totale'!$D:$DH,AP$1,0)),AO80-VLOOKUP($D80,'Visu totale'!$D:$DH,AP$1,0),IF(LEFT(VLOOKUP($D80,'Visu totale'!$D:$DH,AP$1,0),1)="V",IF(AO80&gt;=INDEX('[1]Définition Maintenances'!$G:$G,MATCH($A80,'[1]Définition Maintenances'!$K:$K,0)),AO80,INDEX('[1]Définition Maintenances'!$G:$G,MATCH($A80,'[1]Définition Maintenances'!$K:$K,0))+AO80),AO80))</f>
        <v>185</v>
      </c>
      <c r="AQ80" s="26">
        <f>IF(ISNUMBER(VLOOKUP($D80,'Visu totale'!$D:$DH,AQ$1,0)),AP80-VLOOKUP($D80,'Visu totale'!$D:$DH,AQ$1,0),IF(LEFT(VLOOKUP($D80,'Visu totale'!$D:$DH,AQ$1,0),1)="V",IF(AP80&gt;=INDEX('[1]Définition Maintenances'!$G:$G,MATCH($A80,'[1]Définition Maintenances'!$K:$K,0)),AP80,INDEX('[1]Définition Maintenances'!$G:$G,MATCH($A80,'[1]Définition Maintenances'!$K:$K,0))+AP80),AP80))</f>
        <v>185</v>
      </c>
      <c r="AR80" s="26">
        <f>IF(ISNUMBER(VLOOKUP($D80,'Visu totale'!$D:$DH,AR$1,0)),AQ80-VLOOKUP($D80,'Visu totale'!$D:$DH,AR$1,0),IF(LEFT(VLOOKUP($D80,'Visu totale'!$D:$DH,AR$1,0),1)="V",IF(AQ80&gt;=INDEX('[1]Définition Maintenances'!$G:$G,MATCH($A80,'[1]Définition Maintenances'!$K:$K,0)),AQ80,INDEX('[1]Définition Maintenances'!$G:$G,MATCH($A80,'[1]Définition Maintenances'!$K:$K,0))+AQ80),AQ80))</f>
        <v>185</v>
      </c>
      <c r="AS80" s="26">
        <f>IF(ISNUMBER(VLOOKUP($D80,'Visu totale'!$D:$DH,AS$1,0)),AR80-VLOOKUP($D80,'Visu totale'!$D:$DH,AS$1,0),IF(LEFT(VLOOKUP($D80,'Visu totale'!$D:$DH,AS$1,0),1)="V",IF(AR80&gt;=INDEX('[1]Définition Maintenances'!$G:$G,MATCH($A80,'[1]Définition Maintenances'!$K:$K,0)),AR80,INDEX('[1]Définition Maintenances'!$G:$G,MATCH($A80,'[1]Définition Maintenances'!$K:$K,0))+AR80),AR80))</f>
        <v>185</v>
      </c>
      <c r="AT80" s="26">
        <f>IF(ISNUMBER(VLOOKUP($D80,'Visu totale'!$D:$DH,AT$1,0)),AS80-VLOOKUP($D80,'Visu totale'!$D:$DH,AT$1,0),IF(LEFT(VLOOKUP($D80,'Visu totale'!$D:$DH,AT$1,0),1)="V",IF(AS80&gt;=INDEX('[1]Définition Maintenances'!$G:$G,MATCH($A80,'[1]Définition Maintenances'!$K:$K,0)),AS80,INDEX('[1]Définition Maintenances'!$G:$G,MATCH($A80,'[1]Définition Maintenances'!$K:$K,0))+AS80),AS80))</f>
        <v>185</v>
      </c>
      <c r="AU80" s="26">
        <f>IF(ISNUMBER(VLOOKUP($D80,'Visu totale'!$D:$DH,AU$1,0)),AT80-VLOOKUP($D80,'Visu totale'!$D:$DH,AU$1,0),IF(LEFT(VLOOKUP($D80,'Visu totale'!$D:$DH,AU$1,0),1)="V",IF(AT80&gt;=INDEX('[1]Définition Maintenances'!$G:$G,MATCH($A80,'[1]Définition Maintenances'!$K:$K,0)),AT80,INDEX('[1]Définition Maintenances'!$G:$G,MATCH($A80,'[1]Définition Maintenances'!$K:$K,0))+AT80),AT80))</f>
        <v>185</v>
      </c>
      <c r="AV80" s="26">
        <f>IF(ISNUMBER(VLOOKUP($D80,'Visu totale'!$D:$DH,AV$1,0)),AU80-VLOOKUP($D80,'Visu totale'!$D:$DH,AV$1,0),IF(LEFT(VLOOKUP($D80,'Visu totale'!$D:$DH,AV$1,0),1)="V",IF(AU80&gt;=INDEX('[1]Définition Maintenances'!$G:$G,MATCH($A80,'[1]Définition Maintenances'!$K:$K,0)),AU80,INDEX('[1]Définition Maintenances'!$G:$G,MATCH($A80,'[1]Définition Maintenances'!$K:$K,0))+AU80),AU80))</f>
        <v>185</v>
      </c>
      <c r="AW80" s="26">
        <f>IF(ISNUMBER(VLOOKUP($D80,'Visu totale'!$D:$DH,AW$1,0)),AV80-VLOOKUP($D80,'Visu totale'!$D:$DH,AW$1,0),IF(LEFT(VLOOKUP($D80,'Visu totale'!$D:$DH,AW$1,0),1)="V",IF(AV80&gt;=INDEX('[1]Définition Maintenances'!$G:$G,MATCH($A80,'[1]Définition Maintenances'!$K:$K,0)),AV80,INDEX('[1]Définition Maintenances'!$G:$G,MATCH($A80,'[1]Définition Maintenances'!$K:$K,0))+AV80),AV80))</f>
        <v>185</v>
      </c>
      <c r="AX80" s="26">
        <f>IF(ISNUMBER(VLOOKUP($D80,'Visu totale'!$D:$DH,AX$1,0)),AW80-VLOOKUP($D80,'Visu totale'!$D:$DH,AX$1,0),IF(LEFT(VLOOKUP($D80,'Visu totale'!$D:$DH,AX$1,0),1)="V",IF(AW80&gt;=INDEX('[1]Définition Maintenances'!$G:$G,MATCH($A80,'[1]Définition Maintenances'!$K:$K,0)),AW80,INDEX('[1]Définition Maintenances'!$G:$G,MATCH($A80,'[1]Définition Maintenances'!$K:$K,0))+AW80),AW80))</f>
        <v>185</v>
      </c>
      <c r="AY80" s="26">
        <f>IF(ISNUMBER(VLOOKUP($D80,'Visu totale'!$D:$DH,AY$1,0)),AX80-VLOOKUP($D80,'Visu totale'!$D:$DH,AY$1,0),IF(LEFT(VLOOKUP($D80,'Visu totale'!$D:$DH,AY$1,0),1)="V",IF(AX80&gt;=INDEX('[1]Définition Maintenances'!$G:$G,MATCH($A80,'[1]Définition Maintenances'!$K:$K,0)),AX80,INDEX('[1]Définition Maintenances'!$G:$G,MATCH($A80,'[1]Définition Maintenances'!$K:$K,0))+AX80),AX80))</f>
        <v>185</v>
      </c>
      <c r="AZ80" s="26">
        <f>IF(ISNUMBER(VLOOKUP($D80,'Visu totale'!$D:$DH,AZ$1,0)),AY80-VLOOKUP($D80,'Visu totale'!$D:$DH,AZ$1,0),IF(LEFT(VLOOKUP($D80,'Visu totale'!$D:$DH,AZ$1,0),1)="V",IF(AY80&gt;=INDEX('[1]Définition Maintenances'!$G:$G,MATCH($A80,'[1]Définition Maintenances'!$K:$K,0)),AY80,INDEX('[1]Définition Maintenances'!$G:$G,MATCH($A80,'[1]Définition Maintenances'!$K:$K,0))+AY80),AY80))</f>
        <v>185</v>
      </c>
      <c r="BA80" s="27">
        <f>IF(ISNUMBER(VLOOKUP($D80,'Visu totale'!$D:$DH,BA$1,0)),AZ80-VLOOKUP($D80,'Visu totale'!$D:$DH,BA$1,0),IF(LEFT(VLOOKUP($D80,'Visu totale'!$D:$DH,BA$1,0),1)="V",IF(AZ80&gt;=INDEX('[1]Définition Maintenances'!$G:$G,MATCH($A80,'[1]Définition Maintenances'!$K:$K,0)),AZ80,INDEX('[1]Définition Maintenances'!$G:$G,MATCH($A80,'[1]Définition Maintenances'!$K:$K,0))+AZ80),AZ80))</f>
        <v>185</v>
      </c>
      <c r="BB80" s="25">
        <f>IF(ISNUMBER(VLOOKUP($D80,'Visu totale'!$D:$DH,BB$1,0)),BA80-VLOOKUP($D80,'Visu totale'!$D:$DH,BB$1,0),IF(LEFT(VLOOKUP($D80,'Visu totale'!$D:$DH,BB$1,0),1)="V",IF(BA80&gt;=INDEX('[1]Définition Maintenances'!$G:$G,MATCH($A80,'[1]Définition Maintenances'!$K:$K,0)),BA80,INDEX('[1]Définition Maintenances'!$G:$G,MATCH($A80,'[1]Définition Maintenances'!$K:$K,0))+BA80),BA80))</f>
        <v>185</v>
      </c>
      <c r="BC80" s="26">
        <f>IF(ISNUMBER(VLOOKUP($D80,'Visu totale'!$D:$DH,BC$1,0)),BB80-VLOOKUP($D80,'Visu totale'!$D:$DH,BC$1,0),IF(LEFT(VLOOKUP($D80,'Visu totale'!$D:$DH,BC$1,0),1)="V",IF(BB80&gt;=INDEX('[1]Définition Maintenances'!$G:$G,MATCH($A80,'[1]Définition Maintenances'!$K:$K,0)),BB80,INDEX('[1]Définition Maintenances'!$G:$G,MATCH($A80,'[1]Définition Maintenances'!$K:$K,0))+BB80),BB80))</f>
        <v>185</v>
      </c>
      <c r="BD80" s="26">
        <f>IF(ISNUMBER(VLOOKUP($D80,'Visu totale'!$D:$DH,BD$1,0)),BC80-VLOOKUP($D80,'Visu totale'!$D:$DH,BD$1,0),IF(LEFT(VLOOKUP($D80,'Visu totale'!$D:$DH,BD$1,0),1)="V",IF(BC80&gt;=INDEX('[1]Définition Maintenances'!$G:$G,MATCH($A80,'[1]Définition Maintenances'!$K:$K,0)),BC80,INDEX('[1]Définition Maintenances'!$G:$G,MATCH($A80,'[1]Définition Maintenances'!$K:$K,0))+BC80),BC80))</f>
        <v>185</v>
      </c>
      <c r="BE80" s="26">
        <f>IF(ISNUMBER(VLOOKUP($D80,'Visu totale'!$D:$DH,BE$1,0)),BD80-VLOOKUP($D80,'Visu totale'!$D:$DH,BE$1,0),IF(LEFT(VLOOKUP($D80,'Visu totale'!$D:$DH,BE$1,0),1)="V",IF(BD80&gt;=INDEX('[1]Définition Maintenances'!$G:$G,MATCH($A80,'[1]Définition Maintenances'!$K:$K,0)),BD80,INDEX('[1]Définition Maintenances'!$G:$G,MATCH($A80,'[1]Définition Maintenances'!$K:$K,0))+BD80),BD80))</f>
        <v>185</v>
      </c>
      <c r="BF80" s="26">
        <f>IF(ISNUMBER(VLOOKUP($D80,'Visu totale'!$D:$DH,BF$1,0)),BE80-VLOOKUP($D80,'Visu totale'!$D:$DH,BF$1,0),IF(LEFT(VLOOKUP($D80,'Visu totale'!$D:$DH,BF$1,0),1)="V",IF(BE80&gt;=INDEX('[1]Définition Maintenances'!$G:$G,MATCH($A80,'[1]Définition Maintenances'!$K:$K,0)),BE80,INDEX('[1]Définition Maintenances'!$G:$G,MATCH($A80,'[1]Définition Maintenances'!$K:$K,0))+BE80),BE80))</f>
        <v>185</v>
      </c>
      <c r="BG80" s="26">
        <f>IF(ISNUMBER(VLOOKUP($D80,'Visu totale'!$D:$DH,BG$1,0)),BF80-VLOOKUP($D80,'Visu totale'!$D:$DH,BG$1,0),IF(LEFT(VLOOKUP($D80,'Visu totale'!$D:$DH,BG$1,0),1)="V",IF(BF80&gt;=INDEX('[1]Définition Maintenances'!$G:$G,MATCH($A80,'[1]Définition Maintenances'!$K:$K,0)),BF80,INDEX('[1]Définition Maintenances'!$G:$G,MATCH($A80,'[1]Définition Maintenances'!$K:$K,0))+BF80),BF80))</f>
        <v>185</v>
      </c>
      <c r="BH80" s="26">
        <f>IF(ISNUMBER(VLOOKUP($D80,'Visu totale'!$D:$DH,BH$1,0)),BG80-VLOOKUP($D80,'Visu totale'!$D:$DH,BH$1,0),IF(LEFT(VLOOKUP($D80,'Visu totale'!$D:$DH,BH$1,0),1)="V",IF(BG80&gt;=INDEX('[1]Définition Maintenances'!$G:$G,MATCH($A80,'[1]Définition Maintenances'!$K:$K,0)),BG80,INDEX('[1]Définition Maintenances'!$G:$G,MATCH($A80,'[1]Définition Maintenances'!$K:$K,0))+BG80),BG80))</f>
        <v>185</v>
      </c>
      <c r="BI80" s="26">
        <f>IF(ISNUMBER(VLOOKUP($D80,'Visu totale'!$D:$DH,BI$1,0)),BH80-VLOOKUP($D80,'Visu totale'!$D:$DH,BI$1,0),IF(LEFT(VLOOKUP($D80,'Visu totale'!$D:$DH,BI$1,0),1)="V",IF(BH80&gt;=INDEX('[1]Définition Maintenances'!$G:$G,MATCH($A80,'[1]Définition Maintenances'!$K:$K,0)),BH80,INDEX('[1]Définition Maintenances'!$G:$G,MATCH($A80,'[1]Définition Maintenances'!$K:$K,0))+BH80),BH80))</f>
        <v>185</v>
      </c>
      <c r="BJ80" s="26">
        <f>IF(ISNUMBER(VLOOKUP($D80,'Visu totale'!$D:$DH,BJ$1,0)),BI80-VLOOKUP($D80,'Visu totale'!$D:$DH,BJ$1,0),IF(LEFT(VLOOKUP($D80,'Visu totale'!$D:$DH,BJ$1,0),1)="V",IF(BI80&gt;=INDEX('[1]Définition Maintenances'!$G:$G,MATCH($A80,'[1]Définition Maintenances'!$K:$K,0)),BI80,INDEX('[1]Définition Maintenances'!$G:$G,MATCH($A80,'[1]Définition Maintenances'!$K:$K,0))+BI80),BI80))</f>
        <v>185</v>
      </c>
      <c r="BK80" s="26">
        <f>IF(ISNUMBER(VLOOKUP($D80,'Visu totale'!$D:$DH,BK$1,0)),BJ80-VLOOKUP($D80,'Visu totale'!$D:$DH,BK$1,0),IF(LEFT(VLOOKUP($D80,'Visu totale'!$D:$DH,BK$1,0),1)="V",IF(BJ80&gt;=INDEX('[1]Définition Maintenances'!$G:$G,MATCH($A80,'[1]Définition Maintenances'!$K:$K,0)),BJ80,INDEX('[1]Définition Maintenances'!$G:$G,MATCH($A80,'[1]Définition Maintenances'!$K:$K,0))+BJ80),BJ80))</f>
        <v>185</v>
      </c>
      <c r="BL80" s="26">
        <f>IF(ISNUMBER(VLOOKUP($D80,'Visu totale'!$D:$DH,BL$1,0)),BK80-VLOOKUP($D80,'Visu totale'!$D:$DH,BL$1,0),IF(LEFT(VLOOKUP($D80,'Visu totale'!$D:$DH,BL$1,0),1)="V",IF(BK80&gt;=INDEX('[1]Définition Maintenances'!$G:$G,MATCH($A80,'[1]Définition Maintenances'!$K:$K,0)),BK80,INDEX('[1]Définition Maintenances'!$G:$G,MATCH($A80,'[1]Définition Maintenances'!$K:$K,0))+BK80),BK80))</f>
        <v>185</v>
      </c>
      <c r="BM80" s="27">
        <f>IF(ISNUMBER(VLOOKUP($D80,'Visu totale'!$D:$DH,BM$1,0)),BL80-VLOOKUP($D80,'Visu totale'!$D:$DH,BM$1,0),IF(LEFT(VLOOKUP($D80,'Visu totale'!$D:$DH,BM$1,0),1)="V",IF(BL80&gt;=INDEX('[1]Définition Maintenances'!$G:$G,MATCH($A80,'[1]Définition Maintenances'!$K:$K,0)),BL80,INDEX('[1]Définition Maintenances'!$G:$G,MATCH($A80,'[1]Définition Maintenances'!$K:$K,0))+BL80),BL80))</f>
        <v>185</v>
      </c>
      <c r="BN80" s="25">
        <f>IF(ISNUMBER(VLOOKUP($D80,'Visu totale'!$D:$DH,BN$1,0)),BM80-VLOOKUP($D80,'Visu totale'!$D:$DH,BN$1,0),IF(LEFT(VLOOKUP($D80,'Visu totale'!$D:$DH,BN$1,0),1)="V",IF(BM80&gt;=INDEX('[1]Définition Maintenances'!$G:$G,MATCH($A80,'[1]Définition Maintenances'!$K:$K,0)),BM80,INDEX('[1]Définition Maintenances'!$G:$G,MATCH($A80,'[1]Définition Maintenances'!$K:$K,0))+BM80),BM80))</f>
        <v>185</v>
      </c>
      <c r="BO80" s="26">
        <f>IF(ISNUMBER(VLOOKUP($D80,'Visu totale'!$D:$DH,BO$1,0)),BN80-VLOOKUP($D80,'Visu totale'!$D:$DH,BO$1,0),IF(LEFT(VLOOKUP($D80,'Visu totale'!$D:$DH,BO$1,0),1)="V",IF(BN80&gt;=INDEX('[1]Définition Maintenances'!$G:$G,MATCH($A80,'[1]Définition Maintenances'!$K:$K,0)),BN80,INDEX('[1]Définition Maintenances'!$G:$G,MATCH($A80,'[1]Définition Maintenances'!$K:$K,0))+BN80),BN80))</f>
        <v>185</v>
      </c>
      <c r="BP80" s="26">
        <f>IF(ISNUMBER(VLOOKUP($D80,'Visu totale'!$D:$DH,BP$1,0)),BO80-VLOOKUP($D80,'Visu totale'!$D:$DH,BP$1,0),IF(LEFT(VLOOKUP($D80,'Visu totale'!$D:$DH,BP$1,0),1)="V",IF(BO80&gt;=INDEX('[1]Définition Maintenances'!$G:$G,MATCH($A80,'[1]Définition Maintenances'!$K:$K,0)),BO80,INDEX('[1]Définition Maintenances'!$G:$G,MATCH($A80,'[1]Définition Maintenances'!$K:$K,0))+BO80),BO80))</f>
        <v>185</v>
      </c>
      <c r="BQ80" s="26">
        <f>IF(ISNUMBER(VLOOKUP($D80,'Visu totale'!$D:$DH,BQ$1,0)),BP80-VLOOKUP($D80,'Visu totale'!$D:$DH,BQ$1,0),IF(LEFT(VLOOKUP($D80,'Visu totale'!$D:$DH,BQ$1,0),1)="V",IF(BP80&gt;=INDEX('[1]Définition Maintenances'!$G:$G,MATCH($A80,'[1]Définition Maintenances'!$K:$K,0)),BP80,INDEX('[1]Définition Maintenances'!$G:$G,MATCH($A80,'[1]Définition Maintenances'!$K:$K,0))+BP80),BP80))</f>
        <v>185</v>
      </c>
      <c r="BR80" s="26">
        <f>IF(ISNUMBER(VLOOKUP($D80,'Visu totale'!$D:$DH,BR$1,0)),BQ80-VLOOKUP($D80,'Visu totale'!$D:$DH,BR$1,0),IF(LEFT(VLOOKUP($D80,'Visu totale'!$D:$DH,BR$1,0),1)="V",IF(BQ80&gt;=INDEX('[1]Définition Maintenances'!$G:$G,MATCH($A80,'[1]Définition Maintenances'!$K:$K,0)),BQ80,INDEX('[1]Définition Maintenances'!$G:$G,MATCH($A80,'[1]Définition Maintenances'!$K:$K,0))+BQ80),BQ80))</f>
        <v>185</v>
      </c>
      <c r="BS80" s="26">
        <f>IF(ISNUMBER(VLOOKUP($D80,'Visu totale'!$D:$DH,BS$1,0)),BR80-VLOOKUP($D80,'Visu totale'!$D:$DH,BS$1,0),IF(LEFT(VLOOKUP($D80,'Visu totale'!$D:$DH,BS$1,0),1)="V",IF(BR80&gt;=INDEX('[1]Définition Maintenances'!$G:$G,MATCH($A80,'[1]Définition Maintenances'!$K:$K,0)),BR80,INDEX('[1]Définition Maintenances'!$G:$G,MATCH($A80,'[1]Définition Maintenances'!$K:$K,0))+BR80),BR80))</f>
        <v>185</v>
      </c>
      <c r="BT80" s="26">
        <f>IF(ISNUMBER(VLOOKUP($D80,'Visu totale'!$D:$DH,BT$1,0)),BS80-VLOOKUP($D80,'Visu totale'!$D:$DH,BT$1,0),IF(LEFT(VLOOKUP($D80,'Visu totale'!$D:$DH,BT$1,0),1)="V",IF(BS80&gt;=INDEX('[1]Définition Maintenances'!$G:$G,MATCH($A80,'[1]Définition Maintenances'!$K:$K,0)),BS80,INDEX('[1]Définition Maintenances'!$G:$G,MATCH($A80,'[1]Définition Maintenances'!$K:$K,0))+BS80),BS80))</f>
        <v>185</v>
      </c>
      <c r="BU80" s="26">
        <f>IF(ISNUMBER(VLOOKUP($D80,'Visu totale'!$D:$DH,BU$1,0)),BT80-VLOOKUP($D80,'Visu totale'!$D:$DH,BU$1,0),IF(LEFT(VLOOKUP($D80,'Visu totale'!$D:$DH,BU$1,0),1)="V",IF(BT80&gt;=INDEX('[1]Définition Maintenances'!$G:$G,MATCH($A80,'[1]Définition Maintenances'!$K:$K,0)),BT80,INDEX('[1]Définition Maintenances'!$G:$G,MATCH($A80,'[1]Définition Maintenances'!$K:$K,0))+BT80),BT80))</f>
        <v>185</v>
      </c>
      <c r="BV80" s="26">
        <f>IF(ISNUMBER(VLOOKUP($D80,'Visu totale'!$D:$DH,BV$1,0)),BU80-VLOOKUP($D80,'Visu totale'!$D:$DH,BV$1,0),IF(LEFT(VLOOKUP($D80,'Visu totale'!$D:$DH,BV$1,0),1)="V",IF(BU80&gt;=INDEX('[1]Définition Maintenances'!$G:$G,MATCH($A80,'[1]Définition Maintenances'!$K:$K,0)),BU80,INDEX('[1]Définition Maintenances'!$G:$G,MATCH($A80,'[1]Définition Maintenances'!$K:$K,0))+BU80),BU80))</f>
        <v>185</v>
      </c>
      <c r="BW80" s="26">
        <f>IF(ISNUMBER(VLOOKUP($D80,'Visu totale'!$D:$DH,BW$1,0)),BV80-VLOOKUP($D80,'Visu totale'!$D:$DH,BW$1,0),IF(LEFT(VLOOKUP($D80,'Visu totale'!$D:$DH,BW$1,0),1)="V",IF(BV80&gt;=INDEX('[1]Définition Maintenances'!$G:$G,MATCH($A80,'[1]Définition Maintenances'!$K:$K,0)),BV80,INDEX('[1]Définition Maintenances'!$G:$G,MATCH($A80,'[1]Définition Maintenances'!$K:$K,0))+BV80),BV80))</f>
        <v>185</v>
      </c>
      <c r="BX80" s="26">
        <f>IF(ISNUMBER(VLOOKUP($D80,'Visu totale'!$D:$DH,BX$1,0)),BW80-VLOOKUP($D80,'Visu totale'!$D:$DH,BX$1,0),IF(LEFT(VLOOKUP($D80,'Visu totale'!$D:$DH,BX$1,0),1)="V",IF(BW80&gt;=INDEX('[1]Définition Maintenances'!$G:$G,MATCH($A80,'[1]Définition Maintenances'!$K:$K,0)),BW80,INDEX('[1]Définition Maintenances'!$G:$G,MATCH($A80,'[1]Définition Maintenances'!$K:$K,0))+BW80),BW80))</f>
        <v>185</v>
      </c>
      <c r="BY80" s="27">
        <f>IF(ISNUMBER(VLOOKUP($D80,'Visu totale'!$D:$DH,BY$1,0)),BX80-VLOOKUP($D80,'Visu totale'!$D:$DH,BY$1,0),IF(LEFT(VLOOKUP($D80,'Visu totale'!$D:$DH,BY$1,0),1)="V",IF(BX80&gt;=INDEX('[1]Définition Maintenances'!$G:$G,MATCH($A80,'[1]Définition Maintenances'!$K:$K,0)),BX80,INDEX('[1]Définition Maintenances'!$G:$G,MATCH($A80,'[1]Définition Maintenances'!$K:$K,0))+BX80),BX80))</f>
        <v>185</v>
      </c>
      <c r="BZ80" s="25">
        <f>IF(ISNUMBER(VLOOKUP($D80,'Visu totale'!$D:$DH,BZ$1,0)),BY80-VLOOKUP($D80,'Visu totale'!$D:$DH,BZ$1,0),IF(LEFT(VLOOKUP($D80,'Visu totale'!$D:$DH,BZ$1,0),1)="V",IF(BY80&gt;=INDEX('[1]Définition Maintenances'!$G:$G,MATCH($A80,'[1]Définition Maintenances'!$K:$K,0)),BY80,INDEX('[1]Définition Maintenances'!$G:$G,MATCH($A80,'[1]Définition Maintenances'!$K:$K,0))+BY80),BY80))</f>
        <v>185</v>
      </c>
      <c r="CA80" s="26">
        <f>IF(ISNUMBER(VLOOKUP($D80,'Visu totale'!$D:$DH,CA$1,0)),BZ80-VLOOKUP($D80,'Visu totale'!$D:$DH,CA$1,0),IF(LEFT(VLOOKUP($D80,'Visu totale'!$D:$DH,CA$1,0),1)="V",IF(BZ80&gt;=INDEX('[1]Définition Maintenances'!$G:$G,MATCH($A80,'[1]Définition Maintenances'!$K:$K,0)),BZ80,INDEX('[1]Définition Maintenances'!$G:$G,MATCH($A80,'[1]Définition Maintenances'!$K:$K,0))+BZ80),BZ80))</f>
        <v>185</v>
      </c>
      <c r="CB80" s="26">
        <f>IF(ISNUMBER(VLOOKUP($D80,'Visu totale'!$D:$DH,CB$1,0)),CA80-VLOOKUP($D80,'Visu totale'!$D:$DH,CB$1,0),IF(LEFT(VLOOKUP($D80,'Visu totale'!$D:$DH,CB$1,0),1)="V",IF(CA80&gt;=INDEX('[1]Définition Maintenances'!$G:$G,MATCH($A80,'[1]Définition Maintenances'!$K:$K,0)),CA80,INDEX('[1]Définition Maintenances'!$G:$G,MATCH($A80,'[1]Définition Maintenances'!$K:$K,0))+CA80),CA80))</f>
        <v>185</v>
      </c>
      <c r="CC80" s="26">
        <f>IF(ISNUMBER(VLOOKUP($D80,'Visu totale'!$D:$DH,CC$1,0)),CB80-VLOOKUP($D80,'Visu totale'!$D:$DH,CC$1,0),IF(LEFT(VLOOKUP($D80,'Visu totale'!$D:$DH,CC$1,0),1)="V",IF(CB80&gt;=INDEX('[1]Définition Maintenances'!$G:$G,MATCH($A80,'[1]Définition Maintenances'!$K:$K,0)),CB80,INDEX('[1]Définition Maintenances'!$G:$G,MATCH($A80,'[1]Définition Maintenances'!$K:$K,0))+CB80),CB80))</f>
        <v>185</v>
      </c>
      <c r="CD80" s="26">
        <f>IF(ISNUMBER(VLOOKUP($D80,'Visu totale'!$D:$DH,CD$1,0)),CC80-VLOOKUP($D80,'Visu totale'!$D:$DH,CD$1,0),IF(LEFT(VLOOKUP($D80,'Visu totale'!$D:$DH,CD$1,0),1)="V",IF(CC80&gt;=INDEX('[1]Définition Maintenances'!$G:$G,MATCH($A80,'[1]Définition Maintenances'!$K:$K,0)),CC80,INDEX('[1]Définition Maintenances'!$G:$G,MATCH($A80,'[1]Définition Maintenances'!$K:$K,0))+CC80),CC80))</f>
        <v>185</v>
      </c>
      <c r="CE80" s="26">
        <f>IF(ISNUMBER(VLOOKUP($D80,'Visu totale'!$D:$DH,CE$1,0)),CD80-VLOOKUP($D80,'Visu totale'!$D:$DH,CE$1,0),IF(LEFT(VLOOKUP($D80,'Visu totale'!$D:$DH,CE$1,0),1)="V",IF(CD80&gt;=INDEX('[1]Définition Maintenances'!$G:$G,MATCH($A80,'[1]Définition Maintenances'!$K:$K,0)),CD80,INDEX('[1]Définition Maintenances'!$G:$G,MATCH($A80,'[1]Définition Maintenances'!$K:$K,0))+CD80),CD80))</f>
        <v>185</v>
      </c>
      <c r="CF80" s="26">
        <f>IF(ISNUMBER(VLOOKUP($D80,'Visu totale'!$D:$DH,CF$1,0)),CE80-VLOOKUP($D80,'Visu totale'!$D:$DH,CF$1,0),IF(LEFT(VLOOKUP($D80,'Visu totale'!$D:$DH,CF$1,0),1)="V",IF(CE80&gt;=INDEX('[1]Définition Maintenances'!$G:$G,MATCH($A80,'[1]Définition Maintenances'!$K:$K,0)),CE80,INDEX('[1]Définition Maintenances'!$G:$G,MATCH($A80,'[1]Définition Maintenances'!$K:$K,0))+CE80),CE80))</f>
        <v>185</v>
      </c>
      <c r="CG80" s="26">
        <f>IF(ISNUMBER(VLOOKUP($D80,'Visu totale'!$D:$DH,CG$1,0)),CF80-VLOOKUP($D80,'Visu totale'!$D:$DH,CG$1,0),IF(LEFT(VLOOKUP($D80,'Visu totale'!$D:$DH,CG$1,0),1)="V",IF(CF80&gt;=INDEX('[1]Définition Maintenances'!$G:$G,MATCH($A80,'[1]Définition Maintenances'!$K:$K,0)),CF80,INDEX('[1]Définition Maintenances'!$G:$G,MATCH($A80,'[1]Définition Maintenances'!$K:$K,0))+CF80),CF80))</f>
        <v>185</v>
      </c>
      <c r="CH80" s="26">
        <f>IF(ISNUMBER(VLOOKUP($D80,'Visu totale'!$D:$DH,CH$1,0)),CG80-VLOOKUP($D80,'Visu totale'!$D:$DH,CH$1,0),IF(LEFT(VLOOKUP($D80,'Visu totale'!$D:$DH,CH$1,0),1)="V",IF(CG80&gt;=INDEX('[1]Définition Maintenances'!$G:$G,MATCH($A80,'[1]Définition Maintenances'!$K:$K,0)),CG80,INDEX('[1]Définition Maintenances'!$G:$G,MATCH($A80,'[1]Définition Maintenances'!$K:$K,0))+CG80),CG80))</f>
        <v>185</v>
      </c>
      <c r="CI80" s="26">
        <f>IF(ISNUMBER(VLOOKUP($D80,'Visu totale'!$D:$DH,CI$1,0)),CH80-VLOOKUP($D80,'Visu totale'!$D:$DH,CI$1,0),IF(LEFT(VLOOKUP($D80,'Visu totale'!$D:$DH,CI$1,0),1)="V",IF(CH80&gt;=INDEX('[1]Définition Maintenances'!$G:$G,MATCH($A80,'[1]Définition Maintenances'!$K:$K,0)),CH80,INDEX('[1]Définition Maintenances'!$G:$G,MATCH($A80,'[1]Définition Maintenances'!$K:$K,0))+CH80),CH80))</f>
        <v>185</v>
      </c>
      <c r="CJ80" s="26">
        <f>IF(ISNUMBER(VLOOKUP($D80,'Visu totale'!$D:$DH,CJ$1,0)),CI80-VLOOKUP($D80,'Visu totale'!$D:$DH,CJ$1,0),IF(LEFT(VLOOKUP($D80,'Visu totale'!$D:$DH,CJ$1,0),1)="V",IF(CI80&gt;=INDEX('[1]Définition Maintenances'!$G:$G,MATCH($A80,'[1]Définition Maintenances'!$K:$K,0)),CI80,INDEX('[1]Définition Maintenances'!$G:$G,MATCH($A80,'[1]Définition Maintenances'!$K:$K,0))+CI80),CI80))</f>
        <v>185</v>
      </c>
      <c r="CK80" s="27">
        <f>IF(ISNUMBER(VLOOKUP($D80,'Visu totale'!$D:$DH,CK$1,0)),CJ80-VLOOKUP($D80,'Visu totale'!$D:$DH,CK$1,0),IF(LEFT(VLOOKUP($D80,'Visu totale'!$D:$DH,CK$1,0),1)="V",IF(CJ80&gt;=INDEX('[1]Définition Maintenances'!$G:$G,MATCH($A80,'[1]Définition Maintenances'!$K:$K,0)),CJ80,INDEX('[1]Définition Maintenances'!$G:$G,MATCH($A80,'[1]Définition Maintenances'!$K:$K,0))+CJ80),CJ80))</f>
        <v>185</v>
      </c>
      <c r="CL80" s="25">
        <f>IF(ISNUMBER(VLOOKUP($D80,'Visu totale'!$D:$DH,CL$1,0)),CK80-VLOOKUP($D80,'Visu totale'!$D:$DH,CL$1,0),IF(LEFT(VLOOKUP($D80,'Visu totale'!$D:$DH,CL$1,0),1)="V",IF(CK80&gt;=INDEX('[1]Définition Maintenances'!$G:$G,MATCH($A80,'[1]Définition Maintenances'!$K:$K,0)),CK80,INDEX('[1]Définition Maintenances'!$G:$G,MATCH($A80,'[1]Définition Maintenances'!$K:$K,0))+CK80),CK80))</f>
        <v>185</v>
      </c>
      <c r="CM80" s="26">
        <f>IF(ISNUMBER(VLOOKUP($D80,'Visu totale'!$D:$DH,CM$1,0)),CL80-VLOOKUP($D80,'Visu totale'!$D:$DH,CM$1,0),IF(LEFT(VLOOKUP($D80,'Visu totale'!$D:$DH,CM$1,0),1)="V",IF(CL80&gt;=INDEX('[1]Définition Maintenances'!$G:$G,MATCH($A80,'[1]Définition Maintenances'!$K:$K,0)),CL80,INDEX('[1]Définition Maintenances'!$G:$G,MATCH($A80,'[1]Définition Maintenances'!$K:$K,0))+CL80),CL80))</f>
        <v>185</v>
      </c>
      <c r="CN80" s="26">
        <f>IF(ISNUMBER(VLOOKUP($D80,'Visu totale'!$D:$DH,CN$1,0)),CM80-VLOOKUP($D80,'Visu totale'!$D:$DH,CN$1,0),IF(LEFT(VLOOKUP($D80,'Visu totale'!$D:$DH,CN$1,0),1)="V",IF(CM80&gt;=INDEX('[1]Définition Maintenances'!$G:$G,MATCH($A80,'[1]Définition Maintenances'!$K:$K,0)),CM80,INDEX('[1]Définition Maintenances'!$G:$G,MATCH($A80,'[1]Définition Maintenances'!$K:$K,0))+CM80),CM80))</f>
        <v>185</v>
      </c>
      <c r="CO80" s="26">
        <f>IF(ISNUMBER(VLOOKUP($D80,'Visu totale'!$D:$DH,CO$1,0)),CN80-VLOOKUP($D80,'Visu totale'!$D:$DH,CO$1,0),IF(LEFT(VLOOKUP($D80,'Visu totale'!$D:$DH,CO$1,0),1)="V",IF(CN80&gt;=INDEX('[1]Définition Maintenances'!$G:$G,MATCH($A80,'[1]Définition Maintenances'!$K:$K,0)),CN80,INDEX('[1]Définition Maintenances'!$G:$G,MATCH($A80,'[1]Définition Maintenances'!$K:$K,0))+CN80),CN80))</f>
        <v>185</v>
      </c>
      <c r="CP80" s="26">
        <f>IF(ISNUMBER(VLOOKUP($D80,'Visu totale'!$D:$DH,CP$1,0)),CO80-VLOOKUP($D80,'Visu totale'!$D:$DH,CP$1,0),IF(LEFT(VLOOKUP($D80,'Visu totale'!$D:$DH,CP$1,0),1)="V",IF(CO80&gt;=INDEX('[1]Définition Maintenances'!$G:$G,MATCH($A80,'[1]Définition Maintenances'!$K:$K,0)),CO80,INDEX('[1]Définition Maintenances'!$G:$G,MATCH($A80,'[1]Définition Maintenances'!$K:$K,0))+CO80),CO80))</f>
        <v>185</v>
      </c>
      <c r="CQ80" s="26">
        <f>IF(ISNUMBER(VLOOKUP($D80,'Visu totale'!$D:$DH,CQ$1,0)),CP80-VLOOKUP($D80,'Visu totale'!$D:$DH,CQ$1,0),IF(LEFT(VLOOKUP($D80,'Visu totale'!$D:$DH,CQ$1,0),1)="V",IF(CP80&gt;=INDEX('[1]Définition Maintenances'!$G:$G,MATCH($A80,'[1]Définition Maintenances'!$K:$K,0)),CP80,INDEX('[1]Définition Maintenances'!$G:$G,MATCH($A80,'[1]Définition Maintenances'!$K:$K,0))+CP80),CP80))</f>
        <v>185</v>
      </c>
      <c r="CR80" s="26">
        <f>IF(ISNUMBER(VLOOKUP($D80,'Visu totale'!$D:$DH,CR$1,0)),CQ80-VLOOKUP($D80,'Visu totale'!$D:$DH,CR$1,0),IF(LEFT(VLOOKUP($D80,'Visu totale'!$D:$DH,CR$1,0),1)="V",IF(CQ80&gt;=INDEX('[1]Définition Maintenances'!$G:$G,MATCH($A80,'[1]Définition Maintenances'!$K:$K,0)),CQ80,INDEX('[1]Définition Maintenances'!$G:$G,MATCH($A80,'[1]Définition Maintenances'!$K:$K,0))+CQ80),CQ80))</f>
        <v>185</v>
      </c>
      <c r="CS80" s="26">
        <f>IF(ISNUMBER(VLOOKUP($D80,'Visu totale'!$D:$DH,CS$1,0)),CR80-VLOOKUP($D80,'Visu totale'!$D:$DH,CS$1,0),IF(LEFT(VLOOKUP($D80,'Visu totale'!$D:$DH,CS$1,0),1)="V",IF(CR80&gt;=INDEX('[1]Définition Maintenances'!$G:$G,MATCH($A80,'[1]Définition Maintenances'!$K:$K,0)),CR80,INDEX('[1]Définition Maintenances'!$G:$G,MATCH($A80,'[1]Définition Maintenances'!$K:$K,0))+CR80),CR80))</f>
        <v>185</v>
      </c>
      <c r="CT80" s="26">
        <f>IF(ISNUMBER(VLOOKUP($D80,'Visu totale'!$D:$DH,CT$1,0)),CS80-VLOOKUP($D80,'Visu totale'!$D:$DH,CT$1,0),IF(LEFT(VLOOKUP($D80,'Visu totale'!$D:$DH,CT$1,0),1)="V",IF(CS80&gt;=INDEX('[1]Définition Maintenances'!$G:$G,MATCH($A80,'[1]Définition Maintenances'!$K:$K,0)),CS80,INDEX('[1]Définition Maintenances'!$G:$G,MATCH($A80,'[1]Définition Maintenances'!$K:$K,0))+CS80),CS80))</f>
        <v>185</v>
      </c>
      <c r="CU80" s="26">
        <f>IF(ISNUMBER(VLOOKUP($D80,'Visu totale'!$D:$DH,CU$1,0)),CT80-VLOOKUP($D80,'Visu totale'!$D:$DH,CU$1,0),IF(LEFT(VLOOKUP($D80,'Visu totale'!$D:$DH,CU$1,0),1)="V",IF(CT80&gt;=INDEX('[1]Définition Maintenances'!$G:$G,MATCH($A80,'[1]Définition Maintenances'!$K:$K,0)),CT80,INDEX('[1]Définition Maintenances'!$G:$G,MATCH($A80,'[1]Définition Maintenances'!$K:$K,0))+CT80),CT80))</f>
        <v>185</v>
      </c>
      <c r="CV80" s="26">
        <f>IF(ISNUMBER(VLOOKUP($D80,'Visu totale'!$D:$DH,CV$1,0)),CU80-VLOOKUP($D80,'Visu totale'!$D:$DH,CV$1,0),IF(LEFT(VLOOKUP($D80,'Visu totale'!$D:$DH,CV$1,0),1)="V",IF(CU80&gt;=INDEX('[1]Définition Maintenances'!$G:$G,MATCH($A80,'[1]Définition Maintenances'!$K:$K,0)),CU80,INDEX('[1]Définition Maintenances'!$G:$G,MATCH($A80,'[1]Définition Maintenances'!$K:$K,0))+CU80),CU80))</f>
        <v>185</v>
      </c>
      <c r="CW80" s="27">
        <f>IF(ISNUMBER(VLOOKUP($D80,'Visu totale'!$D:$DH,CW$1,0)),CV80-VLOOKUP($D80,'Visu totale'!$D:$DH,CW$1,0),IF(LEFT(VLOOKUP($D80,'Visu totale'!$D:$DH,CW$1,0),1)="V",IF(CV80&gt;=INDEX('[1]Définition Maintenances'!$G:$G,MATCH($A80,'[1]Définition Maintenances'!$K:$K,0)),CV80,INDEX('[1]Définition Maintenances'!$G:$G,MATCH($A80,'[1]Définition Maintenances'!$K:$K,0))+CV80),CV80))</f>
        <v>185</v>
      </c>
      <c r="CX80" s="25">
        <f>IF(ISNUMBER(VLOOKUP($D80,'Visu totale'!$D:$DH,CX$1,0)),CW80-VLOOKUP($D80,'Visu totale'!$D:$DH,CX$1,0),IF(LEFT(VLOOKUP($D80,'Visu totale'!$D:$DH,CX$1,0),1)="V",IF(CW80&gt;=INDEX('[1]Définition Maintenances'!$G:$G,MATCH($A80,'[1]Définition Maintenances'!$K:$K,0)),CW80,INDEX('[1]Définition Maintenances'!$G:$G,MATCH($A80,'[1]Définition Maintenances'!$K:$K,0))+CW80),CW80))</f>
        <v>185</v>
      </c>
      <c r="CY80" s="26">
        <f>IF(ISNUMBER(VLOOKUP($D80,'Visu totale'!$D:$DH,CY$1,0)),CX80-VLOOKUP($D80,'Visu totale'!$D:$DH,CY$1,0),IF(LEFT(VLOOKUP($D80,'Visu totale'!$D:$DH,CY$1,0),1)="V",IF(CX80&gt;=INDEX('[1]Définition Maintenances'!$G:$G,MATCH($A80,'[1]Définition Maintenances'!$K:$K,0)),CX80,INDEX('[1]Définition Maintenances'!$G:$G,MATCH($A80,'[1]Définition Maintenances'!$K:$K,0))+CX80),CX80))</f>
        <v>185</v>
      </c>
      <c r="CZ80" s="26">
        <f>IF(ISNUMBER(VLOOKUP($D80,'Visu totale'!$D:$DH,CZ$1,0)),CY80-VLOOKUP($D80,'Visu totale'!$D:$DH,CZ$1,0),IF(LEFT(VLOOKUP($D80,'Visu totale'!$D:$DH,CZ$1,0),1)="V",IF(CY80&gt;=INDEX('[1]Définition Maintenances'!$G:$G,MATCH($A80,'[1]Définition Maintenances'!$K:$K,0)),CY80,INDEX('[1]Définition Maintenances'!$G:$G,MATCH($A80,'[1]Définition Maintenances'!$K:$K,0))+CY80),CY80))</f>
        <v>185</v>
      </c>
      <c r="DA80" s="26">
        <f>IF(ISNUMBER(VLOOKUP($D80,'Visu totale'!$D:$DH,DA$1,0)),CZ80-VLOOKUP($D80,'Visu totale'!$D:$DH,DA$1,0),IF(LEFT(VLOOKUP($D80,'Visu totale'!$D:$DH,DA$1,0),1)="V",IF(CZ80&gt;=INDEX('[1]Définition Maintenances'!$G:$G,MATCH($A80,'[1]Définition Maintenances'!$K:$K,0)),CZ80,INDEX('[1]Définition Maintenances'!$G:$G,MATCH($A80,'[1]Définition Maintenances'!$K:$K,0))+CZ80),CZ80))</f>
        <v>185</v>
      </c>
      <c r="DB80" s="26">
        <f>IF(ISNUMBER(VLOOKUP($D80,'Visu totale'!$D:$DH,DB$1,0)),DA80-VLOOKUP($D80,'Visu totale'!$D:$DH,DB$1,0),IF(LEFT(VLOOKUP($D80,'Visu totale'!$D:$DH,DB$1,0),1)="V",IF(DA80&gt;=INDEX('[1]Définition Maintenances'!$G:$G,MATCH($A80,'[1]Définition Maintenances'!$K:$K,0)),DA80,INDEX('[1]Définition Maintenances'!$G:$G,MATCH($A80,'[1]Définition Maintenances'!$K:$K,0))+DA80),DA80))</f>
        <v>185</v>
      </c>
      <c r="DC80" s="26">
        <f>IF(ISNUMBER(VLOOKUP($D80,'Visu totale'!$D:$DH,DC$1,0)),DB80-VLOOKUP($D80,'Visu totale'!$D:$DH,DC$1,0),IF(LEFT(VLOOKUP($D80,'Visu totale'!$D:$DH,DC$1,0),1)="V",IF(DB80&gt;=INDEX('[1]Définition Maintenances'!$G:$G,MATCH($A80,'[1]Définition Maintenances'!$K:$K,0)),DB80,INDEX('[1]Définition Maintenances'!$G:$G,MATCH($A80,'[1]Définition Maintenances'!$K:$K,0))+DB80),DB80))</f>
        <v>185</v>
      </c>
      <c r="DD80" s="26">
        <f>IF(ISNUMBER(VLOOKUP($D80,'Visu totale'!$D:$DH,DD$1,0)),DC80-VLOOKUP($D80,'Visu totale'!$D:$DH,DD$1,0),IF(LEFT(VLOOKUP($D80,'Visu totale'!$D:$DH,DD$1,0),1)="V",IF(DC80&gt;=INDEX('[1]Définition Maintenances'!$G:$G,MATCH($A80,'[1]Définition Maintenances'!$K:$K,0)),DC80,INDEX('[1]Définition Maintenances'!$G:$G,MATCH($A80,'[1]Définition Maintenances'!$K:$K,0))+DC80),DC80))</f>
        <v>185</v>
      </c>
      <c r="DE80" s="26">
        <f>IF(ISNUMBER(VLOOKUP($D80,'Visu totale'!$D:$DH,DE$1,0)),DD80-VLOOKUP($D80,'Visu totale'!$D:$DH,DE$1,0),IF(LEFT(VLOOKUP($D80,'Visu totale'!$D:$DH,DE$1,0),1)="V",IF(DD80&gt;=INDEX('[1]Définition Maintenances'!$G:$G,MATCH($A80,'[1]Définition Maintenances'!$K:$K,0)),DD80,INDEX('[1]Définition Maintenances'!$G:$G,MATCH($A80,'[1]Définition Maintenances'!$K:$K,0))+DD80),DD80))</f>
        <v>185</v>
      </c>
      <c r="DF80" s="26">
        <f>IF(ISNUMBER(VLOOKUP($D80,'Visu totale'!$D:$DH,DF$1,0)),DE80-VLOOKUP($D80,'Visu totale'!$D:$DH,DF$1,0),IF(LEFT(VLOOKUP($D80,'Visu totale'!$D:$DH,DF$1,0),1)="V",IF(DE80&gt;=INDEX('[1]Définition Maintenances'!$G:$G,MATCH($A80,'[1]Définition Maintenances'!$K:$K,0)),DE80,INDEX('[1]Définition Maintenances'!$G:$G,MATCH($A80,'[1]Définition Maintenances'!$K:$K,0))+DE80),DE80))</f>
        <v>185</v>
      </c>
      <c r="DG80" s="26">
        <f>IF(ISNUMBER(VLOOKUP($D80,'Visu totale'!$D:$DH,DG$1,0)),DF80-VLOOKUP($D80,'Visu totale'!$D:$DH,DG$1,0),IF(LEFT(VLOOKUP($D80,'Visu totale'!$D:$DH,DG$1,0),1)="V",IF(DF80&gt;=INDEX('[1]Définition Maintenances'!$G:$G,MATCH($A80,'[1]Définition Maintenances'!$K:$K,0)),DF80,INDEX('[1]Définition Maintenances'!$G:$G,MATCH($A80,'[1]Définition Maintenances'!$K:$K,0))+DF80),DF80))</f>
        <v>185</v>
      </c>
      <c r="DH80" s="26">
        <f>IF(ISNUMBER(VLOOKUP($D80,'Visu totale'!$D:$DH,DH$1,0)),DG80-VLOOKUP($D80,'Visu totale'!$D:$DH,DH$1,0),IF(LEFT(VLOOKUP($D80,'Visu totale'!$D:$DH,DH$1,0),1)="V",IF(DG80&gt;=INDEX('[1]Définition Maintenances'!$G:$G,MATCH($A80,'[1]Définition Maintenances'!$K:$K,0)),DG80,INDEX('[1]Définition Maintenances'!$G:$G,MATCH($A80,'[1]Définition Maintenances'!$K:$K,0))+DG80),DG80))</f>
        <v>185</v>
      </c>
      <c r="DI80" s="27">
        <f>IF(ISNUMBER(VLOOKUP($D80,'Visu totale'!$D:$DH,DI$1,0)),DH80-VLOOKUP($D80,'Visu totale'!$D:$DH,DI$1,0),IF(LEFT(VLOOKUP($D80,'Visu totale'!$D:$DH,DI$1,0),1)="V",IF(DH80&gt;=INDEX('[1]Définition Maintenances'!$G:$G,MATCH($A80,'[1]Définition Maintenances'!$K:$K,0)),DH80,INDEX('[1]Définition Maintenances'!$G:$G,MATCH($A80,'[1]Définition Maintenances'!$K:$K,0))+DH80),DH80))</f>
        <v>185</v>
      </c>
    </row>
    <row r="81" spans="1:113" x14ac:dyDescent="0.25">
      <c r="A81" s="13" t="str">
        <f t="shared" si="2"/>
        <v>V10B</v>
      </c>
      <c r="B81" s="13" t="str">
        <f>VLOOKUP(D81,'[1]Avions (Potentiels)'!$B$2:$H$128,7,FALSE)</f>
        <v>V10</v>
      </c>
      <c r="C81" s="13"/>
      <c r="D81" s="16" t="s">
        <v>84</v>
      </c>
      <c r="E81" s="13">
        <f>IFERROR(VALUE(SUBSTITUTE(VLOOKUP(D81,'[1]Avions (Potentiels)'!$B:$E,4,0),".",",")),VALUE(VLOOKUP(D81,'[1]Avions (Potentiels)'!$B:$E,4,0)))</f>
        <v>255</v>
      </c>
      <c r="F81" s="25">
        <f>IF(ISNUMBER(VLOOKUP($D81,'Visu totale'!$D:$DH,F$1,0)),E81-VLOOKUP($D81,'Visu totale'!$D:$DH,F$1,0),IF(LEFT(VLOOKUP($D81,'Visu totale'!$D:$DH,F$1,0),1)="V",IF(E81&gt;=INDEX('[1]Définition Maintenances'!$G:$G,MATCH($A81,'[1]Définition Maintenances'!$K:$K,0)),E81,INDEX('[1]Définition Maintenances'!$G:$G,MATCH($A81,'[1]Définition Maintenances'!$K:$K,0))+E81),E81))</f>
        <v>255</v>
      </c>
      <c r="G81" s="26">
        <f>IF(ISNUMBER(VLOOKUP($D81,'Visu totale'!$D:$DH,G$1,0)),F81-VLOOKUP($D81,'Visu totale'!$D:$DH,G$1,0),IF(LEFT(VLOOKUP($D81,'Visu totale'!$D:$DH,G$1,0),1)="V",IF(F81&gt;=INDEX('[1]Définition Maintenances'!$G:$G,MATCH($A81,'[1]Définition Maintenances'!$K:$K,0)),F81,INDEX('[1]Définition Maintenances'!$G:$G,MATCH($A81,'[1]Définition Maintenances'!$K:$K,0))+F81),F81))</f>
        <v>255</v>
      </c>
      <c r="H81" s="26">
        <f>IF(ISNUMBER(VLOOKUP($D81,'Visu totale'!$D:$DH,H$1,0)),G81-VLOOKUP($D81,'Visu totale'!$D:$DH,H$1,0),IF(LEFT(VLOOKUP($D81,'Visu totale'!$D:$DH,H$1,0),1)="V",IF(G81&gt;=INDEX('[1]Définition Maintenances'!$G:$G,MATCH($A81,'[1]Définition Maintenances'!$K:$K,0)),G81,INDEX('[1]Définition Maintenances'!$G:$G,MATCH($A81,'[1]Définition Maintenances'!$K:$K,0))+G81),G81))</f>
        <v>255</v>
      </c>
      <c r="I81" s="26">
        <f>IF(ISNUMBER(VLOOKUP($D81,'Visu totale'!$D:$DH,I$1,0)),H81-VLOOKUP($D81,'Visu totale'!$D:$DH,I$1,0),IF(LEFT(VLOOKUP($D81,'Visu totale'!$D:$DH,I$1,0),1)="V",IF(H81&gt;=INDEX('[1]Définition Maintenances'!$G:$G,MATCH($A81,'[1]Définition Maintenances'!$K:$K,0)),H81,INDEX('[1]Définition Maintenances'!$G:$G,MATCH($A81,'[1]Définition Maintenances'!$K:$K,0))+H81),H81))</f>
        <v>255</v>
      </c>
      <c r="J81" s="26">
        <f>IF(ISNUMBER(VLOOKUP($D81,'Visu totale'!$D:$DH,J$1,0)),I81-VLOOKUP($D81,'Visu totale'!$D:$DH,J$1,0),IF(LEFT(VLOOKUP($D81,'Visu totale'!$D:$DH,J$1,0),1)="V",IF(I81&gt;=INDEX('[1]Définition Maintenances'!$G:$G,MATCH($A81,'[1]Définition Maintenances'!$K:$K,0)),I81,INDEX('[1]Définition Maintenances'!$G:$G,MATCH($A81,'[1]Définition Maintenances'!$K:$K,0))+I81),I81))</f>
        <v>255</v>
      </c>
      <c r="K81" s="26">
        <f>IF(ISNUMBER(VLOOKUP($D81,'Visu totale'!$D:$DH,K$1,0)),J81-VLOOKUP($D81,'Visu totale'!$D:$DH,K$1,0),IF(LEFT(VLOOKUP($D81,'Visu totale'!$D:$DH,K$1,0),1)="V",IF(J81&gt;=INDEX('[1]Définition Maintenances'!$G:$G,MATCH($A81,'[1]Définition Maintenances'!$K:$K,0)),J81,INDEX('[1]Définition Maintenances'!$G:$G,MATCH($A81,'[1]Définition Maintenances'!$K:$K,0))+J81),J81))</f>
        <v>255</v>
      </c>
      <c r="L81" s="26">
        <f>IF(ISNUMBER(VLOOKUP($D81,'Visu totale'!$D:$DH,L$1,0)),K81-VLOOKUP($D81,'Visu totale'!$D:$DH,L$1,0),IF(LEFT(VLOOKUP($D81,'Visu totale'!$D:$DH,L$1,0),1)="V",IF(K81&gt;=INDEX('[1]Définition Maintenances'!$G:$G,MATCH($A81,'[1]Définition Maintenances'!$K:$K,0)),K81,INDEX('[1]Définition Maintenances'!$G:$G,MATCH($A81,'[1]Définition Maintenances'!$K:$K,0))+K81),K81))</f>
        <v>255</v>
      </c>
      <c r="M81" s="26">
        <f>IF(ISNUMBER(VLOOKUP($D81,'Visu totale'!$D:$DH,M$1,0)),L81-VLOOKUP($D81,'Visu totale'!$D:$DH,M$1,0),IF(LEFT(VLOOKUP($D81,'Visu totale'!$D:$DH,M$1,0),1)="V",IF(L81&gt;=INDEX('[1]Définition Maintenances'!$G:$G,MATCH($A81,'[1]Définition Maintenances'!$K:$K,0)),L81,INDEX('[1]Définition Maintenances'!$G:$G,MATCH($A81,'[1]Définition Maintenances'!$K:$K,0))+L81),L81))</f>
        <v>255</v>
      </c>
      <c r="N81" s="26">
        <f>IF(ISNUMBER(VLOOKUP($D81,'Visu totale'!$D:$DH,N$1,0)),M81-VLOOKUP($D81,'Visu totale'!$D:$DH,N$1,0),IF(LEFT(VLOOKUP($D81,'Visu totale'!$D:$DH,N$1,0),1)="V",IF(M81&gt;=INDEX('[1]Définition Maintenances'!$G:$G,MATCH($A81,'[1]Définition Maintenances'!$K:$K,0)),M81,INDEX('[1]Définition Maintenances'!$G:$G,MATCH($A81,'[1]Définition Maintenances'!$K:$K,0))+M81),M81))</f>
        <v>255</v>
      </c>
      <c r="O81" s="26">
        <f>IF(ISNUMBER(VLOOKUP($D81,'Visu totale'!$D:$DH,O$1,0)),N81-VLOOKUP($D81,'Visu totale'!$D:$DH,O$1,0),IF(LEFT(VLOOKUP($D81,'Visu totale'!$D:$DH,O$1,0),1)="V",IF(N81&gt;=INDEX('[1]Définition Maintenances'!$G:$G,MATCH($A81,'[1]Définition Maintenances'!$K:$K,0)),N81,INDEX('[1]Définition Maintenances'!$G:$G,MATCH($A81,'[1]Définition Maintenances'!$K:$K,0))+N81),N81))</f>
        <v>255</v>
      </c>
      <c r="P81" s="26">
        <f>IF(ISNUMBER(VLOOKUP($D81,'Visu totale'!$D:$DH,P$1,0)),O81-VLOOKUP($D81,'Visu totale'!$D:$DH,P$1,0),IF(LEFT(VLOOKUP($D81,'Visu totale'!$D:$DH,P$1,0),1)="V",IF(O81&gt;=INDEX('[1]Définition Maintenances'!$G:$G,MATCH($A81,'[1]Définition Maintenances'!$K:$K,0)),O81,INDEX('[1]Définition Maintenances'!$G:$G,MATCH($A81,'[1]Définition Maintenances'!$K:$K,0))+O81),O81))</f>
        <v>255</v>
      </c>
      <c r="Q81" s="27">
        <f>IF(ISNUMBER(VLOOKUP($D81,'Visu totale'!$D:$DH,Q$1,0)),P81-VLOOKUP($D81,'Visu totale'!$D:$DH,Q$1,0),IF(LEFT(VLOOKUP($D81,'Visu totale'!$D:$DH,Q$1,0),1)="V",IF(P81&gt;=INDEX('[1]Définition Maintenances'!$G:$G,MATCH($A81,'[1]Définition Maintenances'!$K:$K,0)),P81,INDEX('[1]Définition Maintenances'!$G:$G,MATCH($A81,'[1]Définition Maintenances'!$K:$K,0))+P81),P81))</f>
        <v>255</v>
      </c>
      <c r="R81" s="25">
        <f>IF(ISNUMBER(VLOOKUP($D81,'Visu totale'!$D:$DH,R$1,0)),Q81-VLOOKUP($D81,'Visu totale'!$D:$DH,R$1,0),IF(LEFT(VLOOKUP($D81,'Visu totale'!$D:$DH,R$1,0),1)="V",IF(Q81&gt;=INDEX('[1]Définition Maintenances'!$G:$G,MATCH($A81,'[1]Définition Maintenances'!$K:$K,0)),Q81,INDEX('[1]Définition Maintenances'!$G:$G,MATCH($A81,'[1]Définition Maintenances'!$K:$K,0))+Q81),Q81))</f>
        <v>255</v>
      </c>
      <c r="S81" s="26">
        <f>IF(ISNUMBER(VLOOKUP($D81,'Visu totale'!$D:$DH,S$1,0)),R81-VLOOKUP($D81,'Visu totale'!$D:$DH,S$1,0),IF(LEFT(VLOOKUP($D81,'Visu totale'!$D:$DH,S$1,0),1)="V",IF(R81&gt;=INDEX('[1]Définition Maintenances'!$G:$G,MATCH($A81,'[1]Définition Maintenances'!$K:$K,0)),R81,INDEX('[1]Définition Maintenances'!$G:$G,MATCH($A81,'[1]Définition Maintenances'!$K:$K,0))+R81),R81))</f>
        <v>255</v>
      </c>
      <c r="T81" s="26">
        <f>IF(ISNUMBER(VLOOKUP($D81,'Visu totale'!$D:$DH,T$1,0)),S81-VLOOKUP($D81,'Visu totale'!$D:$DH,T$1,0),IF(LEFT(VLOOKUP($D81,'Visu totale'!$D:$DH,T$1,0),1)="V",IF(S81&gt;=INDEX('[1]Définition Maintenances'!$G:$G,MATCH($A81,'[1]Définition Maintenances'!$K:$K,0)),S81,INDEX('[1]Définition Maintenances'!$G:$G,MATCH($A81,'[1]Définition Maintenances'!$K:$K,0))+S81),S81))</f>
        <v>255</v>
      </c>
      <c r="U81" s="26">
        <f>IF(ISNUMBER(VLOOKUP($D81,'Visu totale'!$D:$DH,U$1,0)),T81-VLOOKUP($D81,'Visu totale'!$D:$DH,U$1,0),IF(LEFT(VLOOKUP($D81,'Visu totale'!$D:$DH,U$1,0),1)="V",IF(T81&gt;=INDEX('[1]Définition Maintenances'!$G:$G,MATCH($A81,'[1]Définition Maintenances'!$K:$K,0)),T81,INDEX('[1]Définition Maintenances'!$G:$G,MATCH($A81,'[1]Définition Maintenances'!$K:$K,0))+T81),T81))</f>
        <v>255</v>
      </c>
      <c r="V81" s="26">
        <f>IF(ISNUMBER(VLOOKUP($D81,'Visu totale'!$D:$DH,V$1,0)),U81-VLOOKUP($D81,'Visu totale'!$D:$DH,V$1,0),IF(LEFT(VLOOKUP($D81,'Visu totale'!$D:$DH,V$1,0),1)="V",IF(U81&gt;=INDEX('[1]Définition Maintenances'!$G:$G,MATCH($A81,'[1]Définition Maintenances'!$K:$K,0)),U81,INDEX('[1]Définition Maintenances'!$G:$G,MATCH($A81,'[1]Définition Maintenances'!$K:$K,0))+U81),U81))</f>
        <v>255</v>
      </c>
      <c r="W81" s="26">
        <f>IF(ISNUMBER(VLOOKUP($D81,'Visu totale'!$D:$DH,W$1,0)),V81-VLOOKUP($D81,'Visu totale'!$D:$DH,W$1,0),IF(LEFT(VLOOKUP($D81,'Visu totale'!$D:$DH,W$1,0),1)="V",IF(V81&gt;=INDEX('[1]Définition Maintenances'!$G:$G,MATCH($A81,'[1]Définition Maintenances'!$K:$K,0)),V81,INDEX('[1]Définition Maintenances'!$G:$G,MATCH($A81,'[1]Définition Maintenances'!$K:$K,0))+V81),V81))</f>
        <v>255</v>
      </c>
      <c r="X81" s="26">
        <f>IF(ISNUMBER(VLOOKUP($D81,'Visu totale'!$D:$DH,X$1,0)),W81-VLOOKUP($D81,'Visu totale'!$D:$DH,X$1,0),IF(LEFT(VLOOKUP($D81,'Visu totale'!$D:$DH,X$1,0),1)="V",IF(W81&gt;=INDEX('[1]Définition Maintenances'!$G:$G,MATCH($A81,'[1]Définition Maintenances'!$K:$K,0)),W81,INDEX('[1]Définition Maintenances'!$G:$G,MATCH($A81,'[1]Définition Maintenances'!$K:$K,0))+W81),W81))</f>
        <v>255</v>
      </c>
      <c r="Y81" s="26">
        <f>IF(ISNUMBER(VLOOKUP($D81,'Visu totale'!$D:$DH,Y$1,0)),X81-VLOOKUP($D81,'Visu totale'!$D:$DH,Y$1,0),IF(LEFT(VLOOKUP($D81,'Visu totale'!$D:$DH,Y$1,0),1)="V",IF(X81&gt;=INDEX('[1]Définition Maintenances'!$G:$G,MATCH($A81,'[1]Définition Maintenances'!$K:$K,0)),X81,INDEX('[1]Définition Maintenances'!$G:$G,MATCH($A81,'[1]Définition Maintenances'!$K:$K,0))+X81),X81))</f>
        <v>255</v>
      </c>
      <c r="Z81" s="26">
        <f>IF(ISNUMBER(VLOOKUP($D81,'Visu totale'!$D:$DH,Z$1,0)),Y81-VLOOKUP($D81,'Visu totale'!$D:$DH,Z$1,0),IF(LEFT(VLOOKUP($D81,'Visu totale'!$D:$DH,Z$1,0),1)="V",IF(Y81&gt;=INDEX('[1]Définition Maintenances'!$G:$G,MATCH($A81,'[1]Définition Maintenances'!$K:$K,0)),Y81,INDEX('[1]Définition Maintenances'!$G:$G,MATCH($A81,'[1]Définition Maintenances'!$K:$K,0))+Y81),Y81))</f>
        <v>255</v>
      </c>
      <c r="AA81" s="26">
        <f>IF(ISNUMBER(VLOOKUP($D81,'Visu totale'!$D:$DH,AA$1,0)),Z81-VLOOKUP($D81,'Visu totale'!$D:$DH,AA$1,0),IF(LEFT(VLOOKUP($D81,'Visu totale'!$D:$DH,AA$1,0),1)="V",IF(Z81&gt;=INDEX('[1]Définition Maintenances'!$G:$G,MATCH($A81,'[1]Définition Maintenances'!$K:$K,0)),Z81,INDEX('[1]Définition Maintenances'!$G:$G,MATCH($A81,'[1]Définition Maintenances'!$K:$K,0))+Z81),Z81))</f>
        <v>255</v>
      </c>
      <c r="AB81" s="26">
        <f>IF(ISNUMBER(VLOOKUP($D81,'Visu totale'!$D:$DH,AB$1,0)),AA81-VLOOKUP($D81,'Visu totale'!$D:$DH,AB$1,0),IF(LEFT(VLOOKUP($D81,'Visu totale'!$D:$DH,AB$1,0),1)="V",IF(AA81&gt;=INDEX('[1]Définition Maintenances'!$G:$G,MATCH($A81,'[1]Définition Maintenances'!$K:$K,0)),AA81,INDEX('[1]Définition Maintenances'!$G:$G,MATCH($A81,'[1]Définition Maintenances'!$K:$K,0))+AA81),AA81))</f>
        <v>255</v>
      </c>
      <c r="AC81" s="27">
        <f>IF(ISNUMBER(VLOOKUP($D81,'Visu totale'!$D:$DH,AC$1,0)),AB81-VLOOKUP($D81,'Visu totale'!$D:$DH,AC$1,0),IF(LEFT(VLOOKUP($D81,'Visu totale'!$D:$DH,AC$1,0),1)="V",IF(AB81&gt;=INDEX('[1]Définition Maintenances'!$G:$G,MATCH($A81,'[1]Définition Maintenances'!$K:$K,0)),AB81,INDEX('[1]Définition Maintenances'!$G:$G,MATCH($A81,'[1]Définition Maintenances'!$K:$K,0))+AB81),AB81))</f>
        <v>255</v>
      </c>
      <c r="AD81" s="25">
        <f>IF(ISNUMBER(VLOOKUP($D81,'Visu totale'!$D:$DH,AD$1,0)),AC81-VLOOKUP($D81,'Visu totale'!$D:$DH,AD$1,0),IF(LEFT(VLOOKUP($D81,'Visu totale'!$D:$DH,AD$1,0),1)="V",IF(AC81&gt;=INDEX('[1]Définition Maintenances'!$G:$G,MATCH($A81,'[1]Définition Maintenances'!$K:$K,0)),AC81,INDEX('[1]Définition Maintenances'!$G:$G,MATCH($A81,'[1]Définition Maintenances'!$K:$K,0))+AC81),AC81))</f>
        <v>255</v>
      </c>
      <c r="AE81" s="26">
        <f>IF(ISNUMBER(VLOOKUP($D81,'Visu totale'!$D:$DH,AE$1,0)),AD81-VLOOKUP($D81,'Visu totale'!$D:$DH,AE$1,0),IF(LEFT(VLOOKUP($D81,'Visu totale'!$D:$DH,AE$1,0),1)="V",IF(AD81&gt;=INDEX('[1]Définition Maintenances'!$G:$G,MATCH($A81,'[1]Définition Maintenances'!$K:$K,0)),AD81,INDEX('[1]Définition Maintenances'!$G:$G,MATCH($A81,'[1]Définition Maintenances'!$K:$K,0))+AD81),AD81))</f>
        <v>255</v>
      </c>
      <c r="AF81" s="26">
        <f>IF(ISNUMBER(VLOOKUP($D81,'Visu totale'!$D:$DH,AF$1,0)),AE81-VLOOKUP($D81,'Visu totale'!$D:$DH,AF$1,0),IF(LEFT(VLOOKUP($D81,'Visu totale'!$D:$DH,AF$1,0),1)="V",IF(AE81&gt;=INDEX('[1]Définition Maintenances'!$G:$G,MATCH($A81,'[1]Définition Maintenances'!$K:$K,0)),AE81,INDEX('[1]Définition Maintenances'!$G:$G,MATCH($A81,'[1]Définition Maintenances'!$K:$K,0))+AE81),AE81))</f>
        <v>255</v>
      </c>
      <c r="AG81" s="26">
        <f>IF(ISNUMBER(VLOOKUP($D81,'Visu totale'!$D:$DH,AG$1,0)),AF81-VLOOKUP($D81,'Visu totale'!$D:$DH,AG$1,0),IF(LEFT(VLOOKUP($D81,'Visu totale'!$D:$DH,AG$1,0),1)="V",IF(AF81&gt;=INDEX('[1]Définition Maintenances'!$G:$G,MATCH($A81,'[1]Définition Maintenances'!$K:$K,0)),AF81,INDEX('[1]Définition Maintenances'!$G:$G,MATCH($A81,'[1]Définition Maintenances'!$K:$K,0))+AF81),AF81))</f>
        <v>255</v>
      </c>
      <c r="AH81" s="26">
        <f>IF(ISNUMBER(VLOOKUP($D81,'Visu totale'!$D:$DH,AH$1,0)),AG81-VLOOKUP($D81,'Visu totale'!$D:$DH,AH$1,0),IF(LEFT(VLOOKUP($D81,'Visu totale'!$D:$DH,AH$1,0),1)="V",IF(AG81&gt;=INDEX('[1]Définition Maintenances'!$G:$G,MATCH($A81,'[1]Définition Maintenances'!$K:$K,0)),AG81,INDEX('[1]Définition Maintenances'!$G:$G,MATCH($A81,'[1]Définition Maintenances'!$K:$K,0))+AG81),AG81))</f>
        <v>255</v>
      </c>
      <c r="AI81" s="26">
        <f>IF(ISNUMBER(VLOOKUP($D81,'Visu totale'!$D:$DH,AI$1,0)),AH81-VLOOKUP($D81,'Visu totale'!$D:$DH,AI$1,0),IF(LEFT(VLOOKUP($D81,'Visu totale'!$D:$DH,AI$1,0),1)="V",IF(AH81&gt;=INDEX('[1]Définition Maintenances'!$G:$G,MATCH($A81,'[1]Définition Maintenances'!$K:$K,0)),AH81,INDEX('[1]Définition Maintenances'!$G:$G,MATCH($A81,'[1]Définition Maintenances'!$K:$K,0))+AH81),AH81))</f>
        <v>255</v>
      </c>
      <c r="AJ81" s="26">
        <f>IF(ISNUMBER(VLOOKUP($D81,'Visu totale'!$D:$DH,AJ$1,0)),AI81-VLOOKUP($D81,'Visu totale'!$D:$DH,AJ$1,0),IF(LEFT(VLOOKUP($D81,'Visu totale'!$D:$DH,AJ$1,0),1)="V",IF(AI81&gt;=INDEX('[1]Définition Maintenances'!$G:$G,MATCH($A81,'[1]Définition Maintenances'!$K:$K,0)),AI81,INDEX('[1]Définition Maintenances'!$G:$G,MATCH($A81,'[1]Définition Maintenances'!$K:$K,0))+AI81),AI81))</f>
        <v>255</v>
      </c>
      <c r="AK81" s="26">
        <f>IF(ISNUMBER(VLOOKUP($D81,'Visu totale'!$D:$DH,AK$1,0)),AJ81-VLOOKUP($D81,'Visu totale'!$D:$DH,AK$1,0),IF(LEFT(VLOOKUP($D81,'Visu totale'!$D:$DH,AK$1,0),1)="V",IF(AJ81&gt;=INDEX('[1]Définition Maintenances'!$G:$G,MATCH($A81,'[1]Définition Maintenances'!$K:$K,0)),AJ81,INDEX('[1]Définition Maintenances'!$G:$G,MATCH($A81,'[1]Définition Maintenances'!$K:$K,0))+AJ81),AJ81))</f>
        <v>255</v>
      </c>
      <c r="AL81" s="26">
        <f>IF(ISNUMBER(VLOOKUP($D81,'Visu totale'!$D:$DH,AL$1,0)),AK81-VLOOKUP($D81,'Visu totale'!$D:$DH,AL$1,0),IF(LEFT(VLOOKUP($D81,'Visu totale'!$D:$DH,AL$1,0),1)="V",IF(AK81&gt;=INDEX('[1]Définition Maintenances'!$G:$G,MATCH($A81,'[1]Définition Maintenances'!$K:$K,0)),AK81,INDEX('[1]Définition Maintenances'!$G:$G,MATCH($A81,'[1]Définition Maintenances'!$K:$K,0))+AK81),AK81))</f>
        <v>255</v>
      </c>
      <c r="AM81" s="26">
        <f>IF(ISNUMBER(VLOOKUP($D81,'Visu totale'!$D:$DH,AM$1,0)),AL81-VLOOKUP($D81,'Visu totale'!$D:$DH,AM$1,0),IF(LEFT(VLOOKUP($D81,'Visu totale'!$D:$DH,AM$1,0),1)="V",IF(AL81&gt;=INDEX('[1]Définition Maintenances'!$G:$G,MATCH($A81,'[1]Définition Maintenances'!$K:$K,0)),AL81,INDEX('[1]Définition Maintenances'!$G:$G,MATCH($A81,'[1]Définition Maintenances'!$K:$K,0))+AL81),AL81))</f>
        <v>255</v>
      </c>
      <c r="AN81" s="26">
        <f>IF(ISNUMBER(VLOOKUP($D81,'Visu totale'!$D:$DH,AN$1,0)),AM81-VLOOKUP($D81,'Visu totale'!$D:$DH,AN$1,0),IF(LEFT(VLOOKUP($D81,'Visu totale'!$D:$DH,AN$1,0),1)="V",IF(AM81&gt;=INDEX('[1]Définition Maintenances'!$G:$G,MATCH($A81,'[1]Définition Maintenances'!$K:$K,0)),AM81,INDEX('[1]Définition Maintenances'!$G:$G,MATCH($A81,'[1]Définition Maintenances'!$K:$K,0))+AM81),AM81))</f>
        <v>255</v>
      </c>
      <c r="AO81" s="27">
        <f>IF(ISNUMBER(VLOOKUP($D81,'Visu totale'!$D:$DH,AO$1,0)),AN81-VLOOKUP($D81,'Visu totale'!$D:$DH,AO$1,0),IF(LEFT(VLOOKUP($D81,'Visu totale'!$D:$DH,AO$1,0),1)="V",IF(AN81&gt;=INDEX('[1]Définition Maintenances'!$G:$G,MATCH($A81,'[1]Définition Maintenances'!$K:$K,0)),AN81,INDEX('[1]Définition Maintenances'!$G:$G,MATCH($A81,'[1]Définition Maintenances'!$K:$K,0))+AN81),AN81))</f>
        <v>255</v>
      </c>
      <c r="AP81" s="25">
        <f>IF(ISNUMBER(VLOOKUP($D81,'Visu totale'!$D:$DH,AP$1,0)),AO81-VLOOKUP($D81,'Visu totale'!$D:$DH,AP$1,0),IF(LEFT(VLOOKUP($D81,'Visu totale'!$D:$DH,AP$1,0),1)="V",IF(AO81&gt;=INDEX('[1]Définition Maintenances'!$G:$G,MATCH($A81,'[1]Définition Maintenances'!$K:$K,0)),AO81,INDEX('[1]Définition Maintenances'!$G:$G,MATCH($A81,'[1]Définition Maintenances'!$K:$K,0))+AO81),AO81))</f>
        <v>255</v>
      </c>
      <c r="AQ81" s="26">
        <f>IF(ISNUMBER(VLOOKUP($D81,'Visu totale'!$D:$DH,AQ$1,0)),AP81-VLOOKUP($D81,'Visu totale'!$D:$DH,AQ$1,0),IF(LEFT(VLOOKUP($D81,'Visu totale'!$D:$DH,AQ$1,0),1)="V",IF(AP81&gt;=INDEX('[1]Définition Maintenances'!$G:$G,MATCH($A81,'[1]Définition Maintenances'!$K:$K,0)),AP81,INDEX('[1]Définition Maintenances'!$G:$G,MATCH($A81,'[1]Définition Maintenances'!$K:$K,0))+AP81),AP81))</f>
        <v>255</v>
      </c>
      <c r="AR81" s="26">
        <f>IF(ISNUMBER(VLOOKUP($D81,'Visu totale'!$D:$DH,AR$1,0)),AQ81-VLOOKUP($D81,'Visu totale'!$D:$DH,AR$1,0),IF(LEFT(VLOOKUP($D81,'Visu totale'!$D:$DH,AR$1,0),1)="V",IF(AQ81&gt;=INDEX('[1]Définition Maintenances'!$G:$G,MATCH($A81,'[1]Définition Maintenances'!$K:$K,0)),AQ81,INDEX('[1]Définition Maintenances'!$G:$G,MATCH($A81,'[1]Définition Maintenances'!$K:$K,0))+AQ81),AQ81))</f>
        <v>255</v>
      </c>
      <c r="AS81" s="26">
        <f>IF(ISNUMBER(VLOOKUP($D81,'Visu totale'!$D:$DH,AS$1,0)),AR81-VLOOKUP($D81,'Visu totale'!$D:$DH,AS$1,0),IF(LEFT(VLOOKUP($D81,'Visu totale'!$D:$DH,AS$1,0),1)="V",IF(AR81&gt;=INDEX('[1]Définition Maintenances'!$G:$G,MATCH($A81,'[1]Définition Maintenances'!$K:$K,0)),AR81,INDEX('[1]Définition Maintenances'!$G:$G,MATCH($A81,'[1]Définition Maintenances'!$K:$K,0))+AR81),AR81))</f>
        <v>255</v>
      </c>
      <c r="AT81" s="26">
        <f>IF(ISNUMBER(VLOOKUP($D81,'Visu totale'!$D:$DH,AT$1,0)),AS81-VLOOKUP($D81,'Visu totale'!$D:$DH,AT$1,0),IF(LEFT(VLOOKUP($D81,'Visu totale'!$D:$DH,AT$1,0),1)="V",IF(AS81&gt;=INDEX('[1]Définition Maintenances'!$G:$G,MATCH($A81,'[1]Définition Maintenances'!$K:$K,0)),AS81,INDEX('[1]Définition Maintenances'!$G:$G,MATCH($A81,'[1]Définition Maintenances'!$K:$K,0))+AS81),AS81))</f>
        <v>255</v>
      </c>
      <c r="AU81" s="26">
        <f>IF(ISNUMBER(VLOOKUP($D81,'Visu totale'!$D:$DH,AU$1,0)),AT81-VLOOKUP($D81,'Visu totale'!$D:$DH,AU$1,0),IF(LEFT(VLOOKUP($D81,'Visu totale'!$D:$DH,AU$1,0),1)="V",IF(AT81&gt;=INDEX('[1]Définition Maintenances'!$G:$G,MATCH($A81,'[1]Définition Maintenances'!$K:$K,0)),AT81,INDEX('[1]Définition Maintenances'!$G:$G,MATCH($A81,'[1]Définition Maintenances'!$K:$K,0))+AT81),AT81))</f>
        <v>255</v>
      </c>
      <c r="AV81" s="26">
        <f>IF(ISNUMBER(VLOOKUP($D81,'Visu totale'!$D:$DH,AV$1,0)),AU81-VLOOKUP($D81,'Visu totale'!$D:$DH,AV$1,0),IF(LEFT(VLOOKUP($D81,'Visu totale'!$D:$DH,AV$1,0),1)="V",IF(AU81&gt;=INDEX('[1]Définition Maintenances'!$G:$G,MATCH($A81,'[1]Définition Maintenances'!$K:$K,0)),AU81,INDEX('[1]Définition Maintenances'!$G:$G,MATCH($A81,'[1]Définition Maintenances'!$K:$K,0))+AU81),AU81))</f>
        <v>255</v>
      </c>
      <c r="AW81" s="26">
        <f>IF(ISNUMBER(VLOOKUP($D81,'Visu totale'!$D:$DH,AW$1,0)),AV81-VLOOKUP($D81,'Visu totale'!$D:$DH,AW$1,0),IF(LEFT(VLOOKUP($D81,'Visu totale'!$D:$DH,AW$1,0),1)="V",IF(AV81&gt;=INDEX('[1]Définition Maintenances'!$G:$G,MATCH($A81,'[1]Définition Maintenances'!$K:$K,0)),AV81,INDEX('[1]Définition Maintenances'!$G:$G,MATCH($A81,'[1]Définition Maintenances'!$K:$K,0))+AV81),AV81))</f>
        <v>255</v>
      </c>
      <c r="AX81" s="26">
        <f>IF(ISNUMBER(VLOOKUP($D81,'Visu totale'!$D:$DH,AX$1,0)),AW81-VLOOKUP($D81,'Visu totale'!$D:$DH,AX$1,0),IF(LEFT(VLOOKUP($D81,'Visu totale'!$D:$DH,AX$1,0),1)="V",IF(AW81&gt;=INDEX('[1]Définition Maintenances'!$G:$G,MATCH($A81,'[1]Définition Maintenances'!$K:$K,0)),AW81,INDEX('[1]Définition Maintenances'!$G:$G,MATCH($A81,'[1]Définition Maintenances'!$K:$K,0))+AW81),AW81))</f>
        <v>255</v>
      </c>
      <c r="AY81" s="26">
        <f>IF(ISNUMBER(VLOOKUP($D81,'Visu totale'!$D:$DH,AY$1,0)),AX81-VLOOKUP($D81,'Visu totale'!$D:$DH,AY$1,0),IF(LEFT(VLOOKUP($D81,'Visu totale'!$D:$DH,AY$1,0),1)="V",IF(AX81&gt;=INDEX('[1]Définition Maintenances'!$G:$G,MATCH($A81,'[1]Définition Maintenances'!$K:$K,0)),AX81,INDEX('[1]Définition Maintenances'!$G:$G,MATCH($A81,'[1]Définition Maintenances'!$K:$K,0))+AX81),AX81))</f>
        <v>255</v>
      </c>
      <c r="AZ81" s="26">
        <f>IF(ISNUMBER(VLOOKUP($D81,'Visu totale'!$D:$DH,AZ$1,0)),AY81-VLOOKUP($D81,'Visu totale'!$D:$DH,AZ$1,0),IF(LEFT(VLOOKUP($D81,'Visu totale'!$D:$DH,AZ$1,0),1)="V",IF(AY81&gt;=INDEX('[1]Définition Maintenances'!$G:$G,MATCH($A81,'[1]Définition Maintenances'!$K:$K,0)),AY81,INDEX('[1]Définition Maintenances'!$G:$G,MATCH($A81,'[1]Définition Maintenances'!$K:$K,0))+AY81),AY81))</f>
        <v>255</v>
      </c>
      <c r="BA81" s="27">
        <f>IF(ISNUMBER(VLOOKUP($D81,'Visu totale'!$D:$DH,BA$1,0)),AZ81-VLOOKUP($D81,'Visu totale'!$D:$DH,BA$1,0),IF(LEFT(VLOOKUP($D81,'Visu totale'!$D:$DH,BA$1,0),1)="V",IF(AZ81&gt;=INDEX('[1]Définition Maintenances'!$G:$G,MATCH($A81,'[1]Définition Maintenances'!$K:$K,0)),AZ81,INDEX('[1]Définition Maintenances'!$G:$G,MATCH($A81,'[1]Définition Maintenances'!$K:$K,0))+AZ81),AZ81))</f>
        <v>255</v>
      </c>
      <c r="BB81" s="25">
        <f>IF(ISNUMBER(VLOOKUP($D81,'Visu totale'!$D:$DH,BB$1,0)),BA81-VLOOKUP($D81,'Visu totale'!$D:$DH,BB$1,0),IF(LEFT(VLOOKUP($D81,'Visu totale'!$D:$DH,BB$1,0),1)="V",IF(BA81&gt;=INDEX('[1]Définition Maintenances'!$G:$G,MATCH($A81,'[1]Définition Maintenances'!$K:$K,0)),BA81,INDEX('[1]Définition Maintenances'!$G:$G,MATCH($A81,'[1]Définition Maintenances'!$K:$K,0))+BA81),BA81))</f>
        <v>255</v>
      </c>
      <c r="BC81" s="26">
        <f>IF(ISNUMBER(VLOOKUP($D81,'Visu totale'!$D:$DH,BC$1,0)),BB81-VLOOKUP($D81,'Visu totale'!$D:$DH,BC$1,0),IF(LEFT(VLOOKUP($D81,'Visu totale'!$D:$DH,BC$1,0),1)="V",IF(BB81&gt;=INDEX('[1]Définition Maintenances'!$G:$G,MATCH($A81,'[1]Définition Maintenances'!$K:$K,0)),BB81,INDEX('[1]Définition Maintenances'!$G:$G,MATCH($A81,'[1]Définition Maintenances'!$K:$K,0))+BB81),BB81))</f>
        <v>255</v>
      </c>
      <c r="BD81" s="26">
        <f>IF(ISNUMBER(VLOOKUP($D81,'Visu totale'!$D:$DH,BD$1,0)),BC81-VLOOKUP($D81,'Visu totale'!$D:$DH,BD$1,0),IF(LEFT(VLOOKUP($D81,'Visu totale'!$D:$DH,BD$1,0),1)="V",IF(BC81&gt;=INDEX('[1]Définition Maintenances'!$G:$G,MATCH($A81,'[1]Définition Maintenances'!$K:$K,0)),BC81,INDEX('[1]Définition Maintenances'!$G:$G,MATCH($A81,'[1]Définition Maintenances'!$K:$K,0))+BC81),BC81))</f>
        <v>255</v>
      </c>
      <c r="BE81" s="26">
        <f>IF(ISNUMBER(VLOOKUP($D81,'Visu totale'!$D:$DH,BE$1,0)),BD81-VLOOKUP($D81,'Visu totale'!$D:$DH,BE$1,0),IF(LEFT(VLOOKUP($D81,'Visu totale'!$D:$DH,BE$1,0),1)="V",IF(BD81&gt;=INDEX('[1]Définition Maintenances'!$G:$G,MATCH($A81,'[1]Définition Maintenances'!$K:$K,0)),BD81,INDEX('[1]Définition Maintenances'!$G:$G,MATCH($A81,'[1]Définition Maintenances'!$K:$K,0))+BD81),BD81))</f>
        <v>255</v>
      </c>
      <c r="BF81" s="26">
        <f>IF(ISNUMBER(VLOOKUP($D81,'Visu totale'!$D:$DH,BF$1,0)),BE81-VLOOKUP($D81,'Visu totale'!$D:$DH,BF$1,0),IF(LEFT(VLOOKUP($D81,'Visu totale'!$D:$DH,BF$1,0),1)="V",IF(BE81&gt;=INDEX('[1]Définition Maintenances'!$G:$G,MATCH($A81,'[1]Définition Maintenances'!$K:$K,0)),BE81,INDEX('[1]Définition Maintenances'!$G:$G,MATCH($A81,'[1]Définition Maintenances'!$K:$K,0))+BE81),BE81))</f>
        <v>255</v>
      </c>
      <c r="BG81" s="26">
        <f>IF(ISNUMBER(VLOOKUP($D81,'Visu totale'!$D:$DH,BG$1,0)),BF81-VLOOKUP($D81,'Visu totale'!$D:$DH,BG$1,0),IF(LEFT(VLOOKUP($D81,'Visu totale'!$D:$DH,BG$1,0),1)="V",IF(BF81&gt;=INDEX('[1]Définition Maintenances'!$G:$G,MATCH($A81,'[1]Définition Maintenances'!$K:$K,0)),BF81,INDEX('[1]Définition Maintenances'!$G:$G,MATCH($A81,'[1]Définition Maintenances'!$K:$K,0))+BF81),BF81))</f>
        <v>255</v>
      </c>
      <c r="BH81" s="26">
        <f>IF(ISNUMBER(VLOOKUP($D81,'Visu totale'!$D:$DH,BH$1,0)),BG81-VLOOKUP($D81,'Visu totale'!$D:$DH,BH$1,0),IF(LEFT(VLOOKUP($D81,'Visu totale'!$D:$DH,BH$1,0),1)="V",IF(BG81&gt;=INDEX('[1]Définition Maintenances'!$G:$G,MATCH($A81,'[1]Définition Maintenances'!$K:$K,0)),BG81,INDEX('[1]Définition Maintenances'!$G:$G,MATCH($A81,'[1]Définition Maintenances'!$K:$K,0))+BG81),BG81))</f>
        <v>255</v>
      </c>
      <c r="BI81" s="26">
        <f>IF(ISNUMBER(VLOOKUP($D81,'Visu totale'!$D:$DH,BI$1,0)),BH81-VLOOKUP($D81,'Visu totale'!$D:$DH,BI$1,0),IF(LEFT(VLOOKUP($D81,'Visu totale'!$D:$DH,BI$1,0),1)="V",IF(BH81&gt;=INDEX('[1]Définition Maintenances'!$G:$G,MATCH($A81,'[1]Définition Maintenances'!$K:$K,0)),BH81,INDEX('[1]Définition Maintenances'!$G:$G,MATCH($A81,'[1]Définition Maintenances'!$K:$K,0))+BH81),BH81))</f>
        <v>255</v>
      </c>
      <c r="BJ81" s="26">
        <f>IF(ISNUMBER(VLOOKUP($D81,'Visu totale'!$D:$DH,BJ$1,0)),BI81-VLOOKUP($D81,'Visu totale'!$D:$DH,BJ$1,0),IF(LEFT(VLOOKUP($D81,'Visu totale'!$D:$DH,BJ$1,0),1)="V",IF(BI81&gt;=INDEX('[1]Définition Maintenances'!$G:$G,MATCH($A81,'[1]Définition Maintenances'!$K:$K,0)),BI81,INDEX('[1]Définition Maintenances'!$G:$G,MATCH($A81,'[1]Définition Maintenances'!$K:$K,0))+BI81),BI81))</f>
        <v>255</v>
      </c>
      <c r="BK81" s="26">
        <f>IF(ISNUMBER(VLOOKUP($D81,'Visu totale'!$D:$DH,BK$1,0)),BJ81-VLOOKUP($D81,'Visu totale'!$D:$DH,BK$1,0),IF(LEFT(VLOOKUP($D81,'Visu totale'!$D:$DH,BK$1,0),1)="V",IF(BJ81&gt;=INDEX('[1]Définition Maintenances'!$G:$G,MATCH($A81,'[1]Définition Maintenances'!$K:$K,0)),BJ81,INDEX('[1]Définition Maintenances'!$G:$G,MATCH($A81,'[1]Définition Maintenances'!$K:$K,0))+BJ81),BJ81))</f>
        <v>255</v>
      </c>
      <c r="BL81" s="26">
        <f>IF(ISNUMBER(VLOOKUP($D81,'Visu totale'!$D:$DH,BL$1,0)),BK81-VLOOKUP($D81,'Visu totale'!$D:$DH,BL$1,0),IF(LEFT(VLOOKUP($D81,'Visu totale'!$D:$DH,BL$1,0),1)="V",IF(BK81&gt;=INDEX('[1]Définition Maintenances'!$G:$G,MATCH($A81,'[1]Définition Maintenances'!$K:$K,0)),BK81,INDEX('[1]Définition Maintenances'!$G:$G,MATCH($A81,'[1]Définition Maintenances'!$K:$K,0))+BK81),BK81))</f>
        <v>255</v>
      </c>
      <c r="BM81" s="27">
        <f>IF(ISNUMBER(VLOOKUP($D81,'Visu totale'!$D:$DH,BM$1,0)),BL81-VLOOKUP($D81,'Visu totale'!$D:$DH,BM$1,0),IF(LEFT(VLOOKUP($D81,'Visu totale'!$D:$DH,BM$1,0),1)="V",IF(BL81&gt;=INDEX('[1]Définition Maintenances'!$G:$G,MATCH($A81,'[1]Définition Maintenances'!$K:$K,0)),BL81,INDEX('[1]Définition Maintenances'!$G:$G,MATCH($A81,'[1]Définition Maintenances'!$K:$K,0))+BL81),BL81))</f>
        <v>255</v>
      </c>
      <c r="BN81" s="25">
        <f>IF(ISNUMBER(VLOOKUP($D81,'Visu totale'!$D:$DH,BN$1,0)),BM81-VLOOKUP($D81,'Visu totale'!$D:$DH,BN$1,0),IF(LEFT(VLOOKUP($D81,'Visu totale'!$D:$DH,BN$1,0),1)="V",IF(BM81&gt;=INDEX('[1]Définition Maintenances'!$G:$G,MATCH($A81,'[1]Définition Maintenances'!$K:$K,0)),BM81,INDEX('[1]Définition Maintenances'!$G:$G,MATCH($A81,'[1]Définition Maintenances'!$K:$K,0))+BM81),BM81))</f>
        <v>255</v>
      </c>
      <c r="BO81" s="26">
        <f>IF(ISNUMBER(VLOOKUP($D81,'Visu totale'!$D:$DH,BO$1,0)),BN81-VLOOKUP($D81,'Visu totale'!$D:$DH,BO$1,0),IF(LEFT(VLOOKUP($D81,'Visu totale'!$D:$DH,BO$1,0),1)="V",IF(BN81&gt;=INDEX('[1]Définition Maintenances'!$G:$G,MATCH($A81,'[1]Définition Maintenances'!$K:$K,0)),BN81,INDEX('[1]Définition Maintenances'!$G:$G,MATCH($A81,'[1]Définition Maintenances'!$K:$K,0))+BN81),BN81))</f>
        <v>255</v>
      </c>
      <c r="BP81" s="26">
        <f>IF(ISNUMBER(VLOOKUP($D81,'Visu totale'!$D:$DH,BP$1,0)),BO81-VLOOKUP($D81,'Visu totale'!$D:$DH,BP$1,0),IF(LEFT(VLOOKUP($D81,'Visu totale'!$D:$DH,BP$1,0),1)="V",IF(BO81&gt;=INDEX('[1]Définition Maintenances'!$G:$G,MATCH($A81,'[1]Définition Maintenances'!$K:$K,0)),BO81,INDEX('[1]Définition Maintenances'!$G:$G,MATCH($A81,'[1]Définition Maintenances'!$K:$K,0))+BO81),BO81))</f>
        <v>255</v>
      </c>
      <c r="BQ81" s="26">
        <f>IF(ISNUMBER(VLOOKUP($D81,'Visu totale'!$D:$DH,BQ$1,0)),BP81-VLOOKUP($D81,'Visu totale'!$D:$DH,BQ$1,0),IF(LEFT(VLOOKUP($D81,'Visu totale'!$D:$DH,BQ$1,0),1)="V",IF(BP81&gt;=INDEX('[1]Définition Maintenances'!$G:$G,MATCH($A81,'[1]Définition Maintenances'!$K:$K,0)),BP81,INDEX('[1]Définition Maintenances'!$G:$G,MATCH($A81,'[1]Définition Maintenances'!$K:$K,0))+BP81),BP81))</f>
        <v>255</v>
      </c>
      <c r="BR81" s="26">
        <f>IF(ISNUMBER(VLOOKUP($D81,'Visu totale'!$D:$DH,BR$1,0)),BQ81-VLOOKUP($D81,'Visu totale'!$D:$DH,BR$1,0),IF(LEFT(VLOOKUP($D81,'Visu totale'!$D:$DH,BR$1,0),1)="V",IF(BQ81&gt;=INDEX('[1]Définition Maintenances'!$G:$G,MATCH($A81,'[1]Définition Maintenances'!$K:$K,0)),BQ81,INDEX('[1]Définition Maintenances'!$G:$G,MATCH($A81,'[1]Définition Maintenances'!$K:$K,0))+BQ81),BQ81))</f>
        <v>255</v>
      </c>
      <c r="BS81" s="26">
        <f>IF(ISNUMBER(VLOOKUP($D81,'Visu totale'!$D:$DH,BS$1,0)),BR81-VLOOKUP($D81,'Visu totale'!$D:$DH,BS$1,0),IF(LEFT(VLOOKUP($D81,'Visu totale'!$D:$DH,BS$1,0),1)="V",IF(BR81&gt;=INDEX('[1]Définition Maintenances'!$G:$G,MATCH($A81,'[1]Définition Maintenances'!$K:$K,0)),BR81,INDEX('[1]Définition Maintenances'!$G:$G,MATCH($A81,'[1]Définition Maintenances'!$K:$K,0))+BR81),BR81))</f>
        <v>255</v>
      </c>
      <c r="BT81" s="26">
        <f>IF(ISNUMBER(VLOOKUP($D81,'Visu totale'!$D:$DH,BT$1,0)),BS81-VLOOKUP($D81,'Visu totale'!$D:$DH,BT$1,0),IF(LEFT(VLOOKUP($D81,'Visu totale'!$D:$DH,BT$1,0),1)="V",IF(BS81&gt;=INDEX('[1]Définition Maintenances'!$G:$G,MATCH($A81,'[1]Définition Maintenances'!$K:$K,0)),BS81,INDEX('[1]Définition Maintenances'!$G:$G,MATCH($A81,'[1]Définition Maintenances'!$K:$K,0))+BS81),BS81))</f>
        <v>255</v>
      </c>
      <c r="BU81" s="26">
        <f>IF(ISNUMBER(VLOOKUP($D81,'Visu totale'!$D:$DH,BU$1,0)),BT81-VLOOKUP($D81,'Visu totale'!$D:$DH,BU$1,0),IF(LEFT(VLOOKUP($D81,'Visu totale'!$D:$DH,BU$1,0),1)="V",IF(BT81&gt;=INDEX('[1]Définition Maintenances'!$G:$G,MATCH($A81,'[1]Définition Maintenances'!$K:$K,0)),BT81,INDEX('[1]Définition Maintenances'!$G:$G,MATCH($A81,'[1]Définition Maintenances'!$K:$K,0))+BT81),BT81))</f>
        <v>255</v>
      </c>
      <c r="BV81" s="26">
        <f>IF(ISNUMBER(VLOOKUP($D81,'Visu totale'!$D:$DH,BV$1,0)),BU81-VLOOKUP($D81,'Visu totale'!$D:$DH,BV$1,0),IF(LEFT(VLOOKUP($D81,'Visu totale'!$D:$DH,BV$1,0),1)="V",IF(BU81&gt;=INDEX('[1]Définition Maintenances'!$G:$G,MATCH($A81,'[1]Définition Maintenances'!$K:$K,0)),BU81,INDEX('[1]Définition Maintenances'!$G:$G,MATCH($A81,'[1]Définition Maintenances'!$K:$K,0))+BU81),BU81))</f>
        <v>255</v>
      </c>
      <c r="BW81" s="26">
        <f>IF(ISNUMBER(VLOOKUP($D81,'Visu totale'!$D:$DH,BW$1,0)),BV81-VLOOKUP($D81,'Visu totale'!$D:$DH,BW$1,0),IF(LEFT(VLOOKUP($D81,'Visu totale'!$D:$DH,BW$1,0),1)="V",IF(BV81&gt;=INDEX('[1]Définition Maintenances'!$G:$G,MATCH($A81,'[1]Définition Maintenances'!$K:$K,0)),BV81,INDEX('[1]Définition Maintenances'!$G:$G,MATCH($A81,'[1]Définition Maintenances'!$K:$K,0))+BV81),BV81))</f>
        <v>255</v>
      </c>
      <c r="BX81" s="26">
        <f>IF(ISNUMBER(VLOOKUP($D81,'Visu totale'!$D:$DH,BX$1,0)),BW81-VLOOKUP($D81,'Visu totale'!$D:$DH,BX$1,0),IF(LEFT(VLOOKUP($D81,'Visu totale'!$D:$DH,BX$1,0),1)="V",IF(BW81&gt;=INDEX('[1]Définition Maintenances'!$G:$G,MATCH($A81,'[1]Définition Maintenances'!$K:$K,0)),BW81,INDEX('[1]Définition Maintenances'!$G:$G,MATCH($A81,'[1]Définition Maintenances'!$K:$K,0))+BW81),BW81))</f>
        <v>255</v>
      </c>
      <c r="BY81" s="27">
        <f>IF(ISNUMBER(VLOOKUP($D81,'Visu totale'!$D:$DH,BY$1,0)),BX81-VLOOKUP($D81,'Visu totale'!$D:$DH,BY$1,0),IF(LEFT(VLOOKUP($D81,'Visu totale'!$D:$DH,BY$1,0),1)="V",IF(BX81&gt;=INDEX('[1]Définition Maintenances'!$G:$G,MATCH($A81,'[1]Définition Maintenances'!$K:$K,0)),BX81,INDEX('[1]Définition Maintenances'!$G:$G,MATCH($A81,'[1]Définition Maintenances'!$K:$K,0))+BX81),BX81))</f>
        <v>255</v>
      </c>
      <c r="BZ81" s="25">
        <f>IF(ISNUMBER(VLOOKUP($D81,'Visu totale'!$D:$DH,BZ$1,0)),BY81-VLOOKUP($D81,'Visu totale'!$D:$DH,BZ$1,0),IF(LEFT(VLOOKUP($D81,'Visu totale'!$D:$DH,BZ$1,0),1)="V",IF(BY81&gt;=INDEX('[1]Définition Maintenances'!$G:$G,MATCH($A81,'[1]Définition Maintenances'!$K:$K,0)),BY81,INDEX('[1]Définition Maintenances'!$G:$G,MATCH($A81,'[1]Définition Maintenances'!$K:$K,0))+BY81),BY81))</f>
        <v>255</v>
      </c>
      <c r="CA81" s="26">
        <f>IF(ISNUMBER(VLOOKUP($D81,'Visu totale'!$D:$DH,CA$1,0)),BZ81-VLOOKUP($D81,'Visu totale'!$D:$DH,CA$1,0),IF(LEFT(VLOOKUP($D81,'Visu totale'!$D:$DH,CA$1,0),1)="V",IF(BZ81&gt;=INDEX('[1]Définition Maintenances'!$G:$G,MATCH($A81,'[1]Définition Maintenances'!$K:$K,0)),BZ81,INDEX('[1]Définition Maintenances'!$G:$G,MATCH($A81,'[1]Définition Maintenances'!$K:$K,0))+BZ81),BZ81))</f>
        <v>255</v>
      </c>
      <c r="CB81" s="26">
        <f>IF(ISNUMBER(VLOOKUP($D81,'Visu totale'!$D:$DH,CB$1,0)),CA81-VLOOKUP($D81,'Visu totale'!$D:$DH,CB$1,0),IF(LEFT(VLOOKUP($D81,'Visu totale'!$D:$DH,CB$1,0),1)="V",IF(CA81&gt;=INDEX('[1]Définition Maintenances'!$G:$G,MATCH($A81,'[1]Définition Maintenances'!$K:$K,0)),CA81,INDEX('[1]Définition Maintenances'!$G:$G,MATCH($A81,'[1]Définition Maintenances'!$K:$K,0))+CA81),CA81))</f>
        <v>255</v>
      </c>
      <c r="CC81" s="26">
        <f>IF(ISNUMBER(VLOOKUP($D81,'Visu totale'!$D:$DH,CC$1,0)),CB81-VLOOKUP($D81,'Visu totale'!$D:$DH,CC$1,0),IF(LEFT(VLOOKUP($D81,'Visu totale'!$D:$DH,CC$1,0),1)="V",IF(CB81&gt;=INDEX('[1]Définition Maintenances'!$G:$G,MATCH($A81,'[1]Définition Maintenances'!$K:$K,0)),CB81,INDEX('[1]Définition Maintenances'!$G:$G,MATCH($A81,'[1]Définition Maintenances'!$K:$K,0))+CB81),CB81))</f>
        <v>255</v>
      </c>
      <c r="CD81" s="26">
        <f>IF(ISNUMBER(VLOOKUP($D81,'Visu totale'!$D:$DH,CD$1,0)),CC81-VLOOKUP($D81,'Visu totale'!$D:$DH,CD$1,0),IF(LEFT(VLOOKUP($D81,'Visu totale'!$D:$DH,CD$1,0),1)="V",IF(CC81&gt;=INDEX('[1]Définition Maintenances'!$G:$G,MATCH($A81,'[1]Définition Maintenances'!$K:$K,0)),CC81,INDEX('[1]Définition Maintenances'!$G:$G,MATCH($A81,'[1]Définition Maintenances'!$K:$K,0))+CC81),CC81))</f>
        <v>255</v>
      </c>
      <c r="CE81" s="26">
        <f>IF(ISNUMBER(VLOOKUP($D81,'Visu totale'!$D:$DH,CE$1,0)),CD81-VLOOKUP($D81,'Visu totale'!$D:$DH,CE$1,0),IF(LEFT(VLOOKUP($D81,'Visu totale'!$D:$DH,CE$1,0),1)="V",IF(CD81&gt;=INDEX('[1]Définition Maintenances'!$G:$G,MATCH($A81,'[1]Définition Maintenances'!$K:$K,0)),CD81,INDEX('[1]Définition Maintenances'!$G:$G,MATCH($A81,'[1]Définition Maintenances'!$K:$K,0))+CD81),CD81))</f>
        <v>255</v>
      </c>
      <c r="CF81" s="26">
        <f>IF(ISNUMBER(VLOOKUP($D81,'Visu totale'!$D:$DH,CF$1,0)),CE81-VLOOKUP($D81,'Visu totale'!$D:$DH,CF$1,0),IF(LEFT(VLOOKUP($D81,'Visu totale'!$D:$DH,CF$1,0),1)="V",IF(CE81&gt;=INDEX('[1]Définition Maintenances'!$G:$G,MATCH($A81,'[1]Définition Maintenances'!$K:$K,0)),CE81,INDEX('[1]Définition Maintenances'!$G:$G,MATCH($A81,'[1]Définition Maintenances'!$K:$K,0))+CE81),CE81))</f>
        <v>255</v>
      </c>
      <c r="CG81" s="26">
        <f>IF(ISNUMBER(VLOOKUP($D81,'Visu totale'!$D:$DH,CG$1,0)),CF81-VLOOKUP($D81,'Visu totale'!$D:$DH,CG$1,0),IF(LEFT(VLOOKUP($D81,'Visu totale'!$D:$DH,CG$1,0),1)="V",IF(CF81&gt;=INDEX('[1]Définition Maintenances'!$G:$G,MATCH($A81,'[1]Définition Maintenances'!$K:$K,0)),CF81,INDEX('[1]Définition Maintenances'!$G:$G,MATCH($A81,'[1]Définition Maintenances'!$K:$K,0))+CF81),CF81))</f>
        <v>255</v>
      </c>
      <c r="CH81" s="26">
        <f>IF(ISNUMBER(VLOOKUP($D81,'Visu totale'!$D:$DH,CH$1,0)),CG81-VLOOKUP($D81,'Visu totale'!$D:$DH,CH$1,0),IF(LEFT(VLOOKUP($D81,'Visu totale'!$D:$DH,CH$1,0),1)="V",IF(CG81&gt;=INDEX('[1]Définition Maintenances'!$G:$G,MATCH($A81,'[1]Définition Maintenances'!$K:$K,0)),CG81,INDEX('[1]Définition Maintenances'!$G:$G,MATCH($A81,'[1]Définition Maintenances'!$K:$K,0))+CG81),CG81))</f>
        <v>255</v>
      </c>
      <c r="CI81" s="26">
        <f>IF(ISNUMBER(VLOOKUP($D81,'Visu totale'!$D:$DH,CI$1,0)),CH81-VLOOKUP($D81,'Visu totale'!$D:$DH,CI$1,0),IF(LEFT(VLOOKUP($D81,'Visu totale'!$D:$DH,CI$1,0),1)="V",IF(CH81&gt;=INDEX('[1]Définition Maintenances'!$G:$G,MATCH($A81,'[1]Définition Maintenances'!$K:$K,0)),CH81,INDEX('[1]Définition Maintenances'!$G:$G,MATCH($A81,'[1]Définition Maintenances'!$K:$K,0))+CH81),CH81))</f>
        <v>255</v>
      </c>
      <c r="CJ81" s="26">
        <f>IF(ISNUMBER(VLOOKUP($D81,'Visu totale'!$D:$DH,CJ$1,0)),CI81-VLOOKUP($D81,'Visu totale'!$D:$DH,CJ$1,0),IF(LEFT(VLOOKUP($D81,'Visu totale'!$D:$DH,CJ$1,0),1)="V",IF(CI81&gt;=INDEX('[1]Définition Maintenances'!$G:$G,MATCH($A81,'[1]Définition Maintenances'!$K:$K,0)),CI81,INDEX('[1]Définition Maintenances'!$G:$G,MATCH($A81,'[1]Définition Maintenances'!$K:$K,0))+CI81),CI81))</f>
        <v>255</v>
      </c>
      <c r="CK81" s="27">
        <f>IF(ISNUMBER(VLOOKUP($D81,'Visu totale'!$D:$DH,CK$1,0)),CJ81-VLOOKUP($D81,'Visu totale'!$D:$DH,CK$1,0),IF(LEFT(VLOOKUP($D81,'Visu totale'!$D:$DH,CK$1,0),1)="V",IF(CJ81&gt;=INDEX('[1]Définition Maintenances'!$G:$G,MATCH($A81,'[1]Définition Maintenances'!$K:$K,0)),CJ81,INDEX('[1]Définition Maintenances'!$G:$G,MATCH($A81,'[1]Définition Maintenances'!$K:$K,0))+CJ81),CJ81))</f>
        <v>255</v>
      </c>
      <c r="CL81" s="25">
        <f>IF(ISNUMBER(VLOOKUP($D81,'Visu totale'!$D:$DH,CL$1,0)),CK81-VLOOKUP($D81,'Visu totale'!$D:$DH,CL$1,0),IF(LEFT(VLOOKUP($D81,'Visu totale'!$D:$DH,CL$1,0),1)="V",IF(CK81&gt;=INDEX('[1]Définition Maintenances'!$G:$G,MATCH($A81,'[1]Définition Maintenances'!$K:$K,0)),CK81,INDEX('[1]Définition Maintenances'!$G:$G,MATCH($A81,'[1]Définition Maintenances'!$K:$K,0))+CK81),CK81))</f>
        <v>255</v>
      </c>
      <c r="CM81" s="26">
        <f>IF(ISNUMBER(VLOOKUP($D81,'Visu totale'!$D:$DH,CM$1,0)),CL81-VLOOKUP($D81,'Visu totale'!$D:$DH,CM$1,0),IF(LEFT(VLOOKUP($D81,'Visu totale'!$D:$DH,CM$1,0),1)="V",IF(CL81&gt;=INDEX('[1]Définition Maintenances'!$G:$G,MATCH($A81,'[1]Définition Maintenances'!$K:$K,0)),CL81,INDEX('[1]Définition Maintenances'!$G:$G,MATCH($A81,'[1]Définition Maintenances'!$K:$K,0))+CL81),CL81))</f>
        <v>255</v>
      </c>
      <c r="CN81" s="26">
        <f>IF(ISNUMBER(VLOOKUP($D81,'Visu totale'!$D:$DH,CN$1,0)),CM81-VLOOKUP($D81,'Visu totale'!$D:$DH,CN$1,0),IF(LEFT(VLOOKUP($D81,'Visu totale'!$D:$DH,CN$1,0),1)="V",IF(CM81&gt;=INDEX('[1]Définition Maintenances'!$G:$G,MATCH($A81,'[1]Définition Maintenances'!$K:$K,0)),CM81,INDEX('[1]Définition Maintenances'!$G:$G,MATCH($A81,'[1]Définition Maintenances'!$K:$K,0))+CM81),CM81))</f>
        <v>255</v>
      </c>
      <c r="CO81" s="26">
        <f>IF(ISNUMBER(VLOOKUP($D81,'Visu totale'!$D:$DH,CO$1,0)),CN81-VLOOKUP($D81,'Visu totale'!$D:$DH,CO$1,0),IF(LEFT(VLOOKUP($D81,'Visu totale'!$D:$DH,CO$1,0),1)="V",IF(CN81&gt;=INDEX('[1]Définition Maintenances'!$G:$G,MATCH($A81,'[1]Définition Maintenances'!$K:$K,0)),CN81,INDEX('[1]Définition Maintenances'!$G:$G,MATCH($A81,'[1]Définition Maintenances'!$K:$K,0))+CN81),CN81))</f>
        <v>255</v>
      </c>
      <c r="CP81" s="26">
        <f>IF(ISNUMBER(VLOOKUP($D81,'Visu totale'!$D:$DH,CP$1,0)),CO81-VLOOKUP($D81,'Visu totale'!$D:$DH,CP$1,0),IF(LEFT(VLOOKUP($D81,'Visu totale'!$D:$DH,CP$1,0),1)="V",IF(CO81&gt;=INDEX('[1]Définition Maintenances'!$G:$G,MATCH($A81,'[1]Définition Maintenances'!$K:$K,0)),CO81,INDEX('[1]Définition Maintenances'!$G:$G,MATCH($A81,'[1]Définition Maintenances'!$K:$K,0))+CO81),CO81))</f>
        <v>255</v>
      </c>
      <c r="CQ81" s="26">
        <f>IF(ISNUMBER(VLOOKUP($D81,'Visu totale'!$D:$DH,CQ$1,0)),CP81-VLOOKUP($D81,'Visu totale'!$D:$DH,CQ$1,0),IF(LEFT(VLOOKUP($D81,'Visu totale'!$D:$DH,CQ$1,0),1)="V",IF(CP81&gt;=INDEX('[1]Définition Maintenances'!$G:$G,MATCH($A81,'[1]Définition Maintenances'!$K:$K,0)),CP81,INDEX('[1]Définition Maintenances'!$G:$G,MATCH($A81,'[1]Définition Maintenances'!$K:$K,0))+CP81),CP81))</f>
        <v>255</v>
      </c>
      <c r="CR81" s="26">
        <f>IF(ISNUMBER(VLOOKUP($D81,'Visu totale'!$D:$DH,CR$1,0)),CQ81-VLOOKUP($D81,'Visu totale'!$D:$DH,CR$1,0),IF(LEFT(VLOOKUP($D81,'Visu totale'!$D:$DH,CR$1,0),1)="V",IF(CQ81&gt;=INDEX('[1]Définition Maintenances'!$G:$G,MATCH($A81,'[1]Définition Maintenances'!$K:$K,0)),CQ81,INDEX('[1]Définition Maintenances'!$G:$G,MATCH($A81,'[1]Définition Maintenances'!$K:$K,0))+CQ81),CQ81))</f>
        <v>255</v>
      </c>
      <c r="CS81" s="26">
        <f>IF(ISNUMBER(VLOOKUP($D81,'Visu totale'!$D:$DH,CS$1,0)),CR81-VLOOKUP($D81,'Visu totale'!$D:$DH,CS$1,0),IF(LEFT(VLOOKUP($D81,'Visu totale'!$D:$DH,CS$1,0),1)="V",IF(CR81&gt;=INDEX('[1]Définition Maintenances'!$G:$G,MATCH($A81,'[1]Définition Maintenances'!$K:$K,0)),CR81,INDEX('[1]Définition Maintenances'!$G:$G,MATCH($A81,'[1]Définition Maintenances'!$K:$K,0))+CR81),CR81))</f>
        <v>255</v>
      </c>
      <c r="CT81" s="26">
        <f>IF(ISNUMBER(VLOOKUP($D81,'Visu totale'!$D:$DH,CT$1,0)),CS81-VLOOKUP($D81,'Visu totale'!$D:$DH,CT$1,0),IF(LEFT(VLOOKUP($D81,'Visu totale'!$D:$DH,CT$1,0),1)="V",IF(CS81&gt;=INDEX('[1]Définition Maintenances'!$G:$G,MATCH($A81,'[1]Définition Maintenances'!$K:$K,0)),CS81,INDEX('[1]Définition Maintenances'!$G:$G,MATCH($A81,'[1]Définition Maintenances'!$K:$K,0))+CS81),CS81))</f>
        <v>255</v>
      </c>
      <c r="CU81" s="26">
        <f>IF(ISNUMBER(VLOOKUP($D81,'Visu totale'!$D:$DH,CU$1,0)),CT81-VLOOKUP($D81,'Visu totale'!$D:$DH,CU$1,0),IF(LEFT(VLOOKUP($D81,'Visu totale'!$D:$DH,CU$1,0),1)="V",IF(CT81&gt;=INDEX('[1]Définition Maintenances'!$G:$G,MATCH($A81,'[1]Définition Maintenances'!$K:$K,0)),CT81,INDEX('[1]Définition Maintenances'!$G:$G,MATCH($A81,'[1]Définition Maintenances'!$K:$K,0))+CT81),CT81))</f>
        <v>255</v>
      </c>
      <c r="CV81" s="26">
        <f>IF(ISNUMBER(VLOOKUP($D81,'Visu totale'!$D:$DH,CV$1,0)),CU81-VLOOKUP($D81,'Visu totale'!$D:$DH,CV$1,0),IF(LEFT(VLOOKUP($D81,'Visu totale'!$D:$DH,CV$1,0),1)="V",IF(CU81&gt;=INDEX('[1]Définition Maintenances'!$G:$G,MATCH($A81,'[1]Définition Maintenances'!$K:$K,0)),CU81,INDEX('[1]Définition Maintenances'!$G:$G,MATCH($A81,'[1]Définition Maintenances'!$K:$K,0))+CU81),CU81))</f>
        <v>255</v>
      </c>
      <c r="CW81" s="27">
        <f>IF(ISNUMBER(VLOOKUP($D81,'Visu totale'!$D:$DH,CW$1,0)),CV81-VLOOKUP($D81,'Visu totale'!$D:$DH,CW$1,0),IF(LEFT(VLOOKUP($D81,'Visu totale'!$D:$DH,CW$1,0),1)="V",IF(CV81&gt;=INDEX('[1]Définition Maintenances'!$G:$G,MATCH($A81,'[1]Définition Maintenances'!$K:$K,0)),CV81,INDEX('[1]Définition Maintenances'!$G:$G,MATCH($A81,'[1]Définition Maintenances'!$K:$K,0))+CV81),CV81))</f>
        <v>255</v>
      </c>
      <c r="CX81" s="25">
        <f>IF(ISNUMBER(VLOOKUP($D81,'Visu totale'!$D:$DH,CX$1,0)),CW81-VLOOKUP($D81,'Visu totale'!$D:$DH,CX$1,0),IF(LEFT(VLOOKUP($D81,'Visu totale'!$D:$DH,CX$1,0),1)="V",IF(CW81&gt;=INDEX('[1]Définition Maintenances'!$G:$G,MATCH($A81,'[1]Définition Maintenances'!$K:$K,0)),CW81,INDEX('[1]Définition Maintenances'!$G:$G,MATCH($A81,'[1]Définition Maintenances'!$K:$K,0))+CW81),CW81))</f>
        <v>255</v>
      </c>
      <c r="CY81" s="26">
        <f>IF(ISNUMBER(VLOOKUP($D81,'Visu totale'!$D:$DH,CY$1,0)),CX81-VLOOKUP($D81,'Visu totale'!$D:$DH,CY$1,0),IF(LEFT(VLOOKUP($D81,'Visu totale'!$D:$DH,CY$1,0),1)="V",IF(CX81&gt;=INDEX('[1]Définition Maintenances'!$G:$G,MATCH($A81,'[1]Définition Maintenances'!$K:$K,0)),CX81,INDEX('[1]Définition Maintenances'!$G:$G,MATCH($A81,'[1]Définition Maintenances'!$K:$K,0))+CX81),CX81))</f>
        <v>255</v>
      </c>
      <c r="CZ81" s="26">
        <f>IF(ISNUMBER(VLOOKUP($D81,'Visu totale'!$D:$DH,CZ$1,0)),CY81-VLOOKUP($D81,'Visu totale'!$D:$DH,CZ$1,0),IF(LEFT(VLOOKUP($D81,'Visu totale'!$D:$DH,CZ$1,0),1)="V",IF(CY81&gt;=INDEX('[1]Définition Maintenances'!$G:$G,MATCH($A81,'[1]Définition Maintenances'!$K:$K,0)),CY81,INDEX('[1]Définition Maintenances'!$G:$G,MATCH($A81,'[1]Définition Maintenances'!$K:$K,0))+CY81),CY81))</f>
        <v>255</v>
      </c>
      <c r="DA81" s="26">
        <f>IF(ISNUMBER(VLOOKUP($D81,'Visu totale'!$D:$DH,DA$1,0)),CZ81-VLOOKUP($D81,'Visu totale'!$D:$DH,DA$1,0),IF(LEFT(VLOOKUP($D81,'Visu totale'!$D:$DH,DA$1,0),1)="V",IF(CZ81&gt;=INDEX('[1]Définition Maintenances'!$G:$G,MATCH($A81,'[1]Définition Maintenances'!$K:$K,0)),CZ81,INDEX('[1]Définition Maintenances'!$G:$G,MATCH($A81,'[1]Définition Maintenances'!$K:$K,0))+CZ81),CZ81))</f>
        <v>255</v>
      </c>
      <c r="DB81" s="26">
        <f>IF(ISNUMBER(VLOOKUP($D81,'Visu totale'!$D:$DH,DB$1,0)),DA81-VLOOKUP($D81,'Visu totale'!$D:$DH,DB$1,0),IF(LEFT(VLOOKUP($D81,'Visu totale'!$D:$DH,DB$1,0),1)="V",IF(DA81&gt;=INDEX('[1]Définition Maintenances'!$G:$G,MATCH($A81,'[1]Définition Maintenances'!$K:$K,0)),DA81,INDEX('[1]Définition Maintenances'!$G:$G,MATCH($A81,'[1]Définition Maintenances'!$K:$K,0))+DA81),DA81))</f>
        <v>255</v>
      </c>
      <c r="DC81" s="26">
        <f>IF(ISNUMBER(VLOOKUP($D81,'Visu totale'!$D:$DH,DC$1,0)),DB81-VLOOKUP($D81,'Visu totale'!$D:$DH,DC$1,0),IF(LEFT(VLOOKUP($D81,'Visu totale'!$D:$DH,DC$1,0),1)="V",IF(DB81&gt;=INDEX('[1]Définition Maintenances'!$G:$G,MATCH($A81,'[1]Définition Maintenances'!$K:$K,0)),DB81,INDEX('[1]Définition Maintenances'!$G:$G,MATCH($A81,'[1]Définition Maintenances'!$K:$K,0))+DB81),DB81))</f>
        <v>255</v>
      </c>
      <c r="DD81" s="26">
        <f>IF(ISNUMBER(VLOOKUP($D81,'Visu totale'!$D:$DH,DD$1,0)),DC81-VLOOKUP($D81,'Visu totale'!$D:$DH,DD$1,0),IF(LEFT(VLOOKUP($D81,'Visu totale'!$D:$DH,DD$1,0),1)="V",IF(DC81&gt;=INDEX('[1]Définition Maintenances'!$G:$G,MATCH($A81,'[1]Définition Maintenances'!$K:$K,0)),DC81,INDEX('[1]Définition Maintenances'!$G:$G,MATCH($A81,'[1]Définition Maintenances'!$K:$K,0))+DC81),DC81))</f>
        <v>255</v>
      </c>
      <c r="DE81" s="26">
        <f>IF(ISNUMBER(VLOOKUP($D81,'Visu totale'!$D:$DH,DE$1,0)),DD81-VLOOKUP($D81,'Visu totale'!$D:$DH,DE$1,0),IF(LEFT(VLOOKUP($D81,'Visu totale'!$D:$DH,DE$1,0),1)="V",IF(DD81&gt;=INDEX('[1]Définition Maintenances'!$G:$G,MATCH($A81,'[1]Définition Maintenances'!$K:$K,0)),DD81,INDEX('[1]Définition Maintenances'!$G:$G,MATCH($A81,'[1]Définition Maintenances'!$K:$K,0))+DD81),DD81))</f>
        <v>255</v>
      </c>
      <c r="DF81" s="26">
        <f>IF(ISNUMBER(VLOOKUP($D81,'Visu totale'!$D:$DH,DF$1,0)),DE81-VLOOKUP($D81,'Visu totale'!$D:$DH,DF$1,0),IF(LEFT(VLOOKUP($D81,'Visu totale'!$D:$DH,DF$1,0),1)="V",IF(DE81&gt;=INDEX('[1]Définition Maintenances'!$G:$G,MATCH($A81,'[1]Définition Maintenances'!$K:$K,0)),DE81,INDEX('[1]Définition Maintenances'!$G:$G,MATCH($A81,'[1]Définition Maintenances'!$K:$K,0))+DE81),DE81))</f>
        <v>255</v>
      </c>
      <c r="DG81" s="26">
        <f>IF(ISNUMBER(VLOOKUP($D81,'Visu totale'!$D:$DH,DG$1,0)),DF81-VLOOKUP($D81,'Visu totale'!$D:$DH,DG$1,0),IF(LEFT(VLOOKUP($D81,'Visu totale'!$D:$DH,DG$1,0),1)="V",IF(DF81&gt;=INDEX('[1]Définition Maintenances'!$G:$G,MATCH($A81,'[1]Définition Maintenances'!$K:$K,0)),DF81,INDEX('[1]Définition Maintenances'!$G:$G,MATCH($A81,'[1]Définition Maintenances'!$K:$K,0))+DF81),DF81))</f>
        <v>255</v>
      </c>
      <c r="DH81" s="26">
        <f>IF(ISNUMBER(VLOOKUP($D81,'Visu totale'!$D:$DH,DH$1,0)),DG81-VLOOKUP($D81,'Visu totale'!$D:$DH,DH$1,0),IF(LEFT(VLOOKUP($D81,'Visu totale'!$D:$DH,DH$1,0),1)="V",IF(DG81&gt;=INDEX('[1]Définition Maintenances'!$G:$G,MATCH($A81,'[1]Définition Maintenances'!$K:$K,0)),DG81,INDEX('[1]Définition Maintenances'!$G:$G,MATCH($A81,'[1]Définition Maintenances'!$K:$K,0))+DG81),DG81))</f>
        <v>255</v>
      </c>
      <c r="DI81" s="27">
        <f>IF(ISNUMBER(VLOOKUP($D81,'Visu totale'!$D:$DH,DI$1,0)),DH81-VLOOKUP($D81,'Visu totale'!$D:$DH,DI$1,0),IF(LEFT(VLOOKUP($D81,'Visu totale'!$D:$DH,DI$1,0),1)="V",IF(DH81&gt;=INDEX('[1]Définition Maintenances'!$G:$G,MATCH($A81,'[1]Définition Maintenances'!$K:$K,0)),DH81,INDEX('[1]Définition Maintenances'!$G:$G,MATCH($A81,'[1]Définition Maintenances'!$K:$K,0))+DH81),DH81))</f>
        <v>255</v>
      </c>
    </row>
    <row r="82" spans="1:113" x14ac:dyDescent="0.25">
      <c r="A82" s="13" t="str">
        <f t="shared" si="2"/>
        <v>V10B</v>
      </c>
      <c r="B82" s="13" t="str">
        <f>VLOOKUP(D82,'[1]Avions (Potentiels)'!$B$2:$H$128,7,FALSE)</f>
        <v>V10</v>
      </c>
      <c r="C82" s="13"/>
      <c r="D82" s="16" t="s">
        <v>85</v>
      </c>
      <c r="E82" s="13">
        <f>IFERROR(VALUE(SUBSTITUTE(VLOOKUP(D82,'[1]Avions (Potentiels)'!$B:$E,4,0),".",",")),VALUE(VLOOKUP(D82,'[1]Avions (Potentiels)'!$B:$E,4,0)))</f>
        <v>462</v>
      </c>
      <c r="F82" s="25">
        <f>IF(ISNUMBER(VLOOKUP($D82,'Visu totale'!$D:$DH,F$1,0)),E82-VLOOKUP($D82,'Visu totale'!$D:$DH,F$1,0),IF(LEFT(VLOOKUP($D82,'Visu totale'!$D:$DH,F$1,0),1)="V",IF(E82&gt;=INDEX('[1]Définition Maintenances'!$G:$G,MATCH($A82,'[1]Définition Maintenances'!$K:$K,0)),E82,INDEX('[1]Définition Maintenances'!$G:$G,MATCH($A82,'[1]Définition Maintenances'!$K:$K,0))+E82),E82))</f>
        <v>462</v>
      </c>
      <c r="G82" s="26">
        <f>IF(ISNUMBER(VLOOKUP($D82,'Visu totale'!$D:$DH,G$1,0)),F82-VLOOKUP($D82,'Visu totale'!$D:$DH,G$1,0),IF(LEFT(VLOOKUP($D82,'Visu totale'!$D:$DH,G$1,0),1)="V",IF(F82&gt;=INDEX('[1]Définition Maintenances'!$G:$G,MATCH($A82,'[1]Définition Maintenances'!$K:$K,0)),F82,INDEX('[1]Définition Maintenances'!$G:$G,MATCH($A82,'[1]Définition Maintenances'!$K:$K,0))+F82),F82))</f>
        <v>462</v>
      </c>
      <c r="H82" s="26">
        <f>IF(ISNUMBER(VLOOKUP($D82,'Visu totale'!$D:$DH,H$1,0)),G82-VLOOKUP($D82,'Visu totale'!$D:$DH,H$1,0),IF(LEFT(VLOOKUP($D82,'Visu totale'!$D:$DH,H$1,0),1)="V",IF(G82&gt;=INDEX('[1]Définition Maintenances'!$G:$G,MATCH($A82,'[1]Définition Maintenances'!$K:$K,0)),G82,INDEX('[1]Définition Maintenances'!$G:$G,MATCH($A82,'[1]Définition Maintenances'!$K:$K,0))+G82),G82))</f>
        <v>462</v>
      </c>
      <c r="I82" s="26">
        <f>IF(ISNUMBER(VLOOKUP($D82,'Visu totale'!$D:$DH,I$1,0)),H82-VLOOKUP($D82,'Visu totale'!$D:$DH,I$1,0),IF(LEFT(VLOOKUP($D82,'Visu totale'!$D:$DH,I$1,0),1)="V",IF(H82&gt;=INDEX('[1]Définition Maintenances'!$G:$G,MATCH($A82,'[1]Définition Maintenances'!$K:$K,0)),H82,INDEX('[1]Définition Maintenances'!$G:$G,MATCH($A82,'[1]Définition Maintenances'!$K:$K,0))+H82),H82))</f>
        <v>462</v>
      </c>
      <c r="J82" s="26">
        <f>IF(ISNUMBER(VLOOKUP($D82,'Visu totale'!$D:$DH,J$1,0)),I82-VLOOKUP($D82,'Visu totale'!$D:$DH,J$1,0),IF(LEFT(VLOOKUP($D82,'Visu totale'!$D:$DH,J$1,0),1)="V",IF(I82&gt;=INDEX('[1]Définition Maintenances'!$G:$G,MATCH($A82,'[1]Définition Maintenances'!$K:$K,0)),I82,INDEX('[1]Définition Maintenances'!$G:$G,MATCH($A82,'[1]Définition Maintenances'!$K:$K,0))+I82),I82))</f>
        <v>462</v>
      </c>
      <c r="K82" s="26">
        <f>IF(ISNUMBER(VLOOKUP($D82,'Visu totale'!$D:$DH,K$1,0)),J82-VLOOKUP($D82,'Visu totale'!$D:$DH,K$1,0),IF(LEFT(VLOOKUP($D82,'Visu totale'!$D:$DH,K$1,0),1)="V",IF(J82&gt;=INDEX('[1]Définition Maintenances'!$G:$G,MATCH($A82,'[1]Définition Maintenances'!$K:$K,0)),J82,INDEX('[1]Définition Maintenances'!$G:$G,MATCH($A82,'[1]Définition Maintenances'!$K:$K,0))+J82),J82))</f>
        <v>462</v>
      </c>
      <c r="L82" s="26">
        <f>IF(ISNUMBER(VLOOKUP($D82,'Visu totale'!$D:$DH,L$1,0)),K82-VLOOKUP($D82,'Visu totale'!$D:$DH,L$1,0),IF(LEFT(VLOOKUP($D82,'Visu totale'!$D:$DH,L$1,0),1)="V",IF(K82&gt;=INDEX('[1]Définition Maintenances'!$G:$G,MATCH($A82,'[1]Définition Maintenances'!$K:$K,0)),K82,INDEX('[1]Définition Maintenances'!$G:$G,MATCH($A82,'[1]Définition Maintenances'!$K:$K,0))+K82),K82))</f>
        <v>462</v>
      </c>
      <c r="M82" s="26">
        <f>IF(ISNUMBER(VLOOKUP($D82,'Visu totale'!$D:$DH,M$1,0)),L82-VLOOKUP($D82,'Visu totale'!$D:$DH,M$1,0),IF(LEFT(VLOOKUP($D82,'Visu totale'!$D:$DH,M$1,0),1)="V",IF(L82&gt;=INDEX('[1]Définition Maintenances'!$G:$G,MATCH($A82,'[1]Définition Maintenances'!$K:$K,0)),L82,INDEX('[1]Définition Maintenances'!$G:$G,MATCH($A82,'[1]Définition Maintenances'!$K:$K,0))+L82),L82))</f>
        <v>462</v>
      </c>
      <c r="N82" s="26">
        <f>IF(ISNUMBER(VLOOKUP($D82,'Visu totale'!$D:$DH,N$1,0)),M82-VLOOKUP($D82,'Visu totale'!$D:$DH,N$1,0),IF(LEFT(VLOOKUP($D82,'Visu totale'!$D:$DH,N$1,0),1)="V",IF(M82&gt;=INDEX('[1]Définition Maintenances'!$G:$G,MATCH($A82,'[1]Définition Maintenances'!$K:$K,0)),M82,INDEX('[1]Définition Maintenances'!$G:$G,MATCH($A82,'[1]Définition Maintenances'!$K:$K,0))+M82),M82))</f>
        <v>462</v>
      </c>
      <c r="O82" s="26">
        <f>IF(ISNUMBER(VLOOKUP($D82,'Visu totale'!$D:$DH,O$1,0)),N82-VLOOKUP($D82,'Visu totale'!$D:$DH,O$1,0),IF(LEFT(VLOOKUP($D82,'Visu totale'!$D:$DH,O$1,0),1)="V",IF(N82&gt;=INDEX('[1]Définition Maintenances'!$G:$G,MATCH($A82,'[1]Définition Maintenances'!$K:$K,0)),N82,INDEX('[1]Définition Maintenances'!$G:$G,MATCH($A82,'[1]Définition Maintenances'!$K:$K,0))+N82),N82))</f>
        <v>462</v>
      </c>
      <c r="P82" s="26">
        <f>IF(ISNUMBER(VLOOKUP($D82,'Visu totale'!$D:$DH,P$1,0)),O82-VLOOKUP($D82,'Visu totale'!$D:$DH,P$1,0),IF(LEFT(VLOOKUP($D82,'Visu totale'!$D:$DH,P$1,0),1)="V",IF(O82&gt;=INDEX('[1]Définition Maintenances'!$G:$G,MATCH($A82,'[1]Définition Maintenances'!$K:$K,0)),O82,INDEX('[1]Définition Maintenances'!$G:$G,MATCH($A82,'[1]Définition Maintenances'!$K:$K,0))+O82),O82))</f>
        <v>462</v>
      </c>
      <c r="Q82" s="27">
        <f>IF(ISNUMBER(VLOOKUP($D82,'Visu totale'!$D:$DH,Q$1,0)),P82-VLOOKUP($D82,'Visu totale'!$D:$DH,Q$1,0),IF(LEFT(VLOOKUP($D82,'Visu totale'!$D:$DH,Q$1,0),1)="V",IF(P82&gt;=INDEX('[1]Définition Maintenances'!$G:$G,MATCH($A82,'[1]Définition Maintenances'!$K:$K,0)),P82,INDEX('[1]Définition Maintenances'!$G:$G,MATCH($A82,'[1]Définition Maintenances'!$K:$K,0))+P82),P82))</f>
        <v>462</v>
      </c>
      <c r="R82" s="25">
        <f>IF(ISNUMBER(VLOOKUP($D82,'Visu totale'!$D:$DH,R$1,0)),Q82-VLOOKUP($D82,'Visu totale'!$D:$DH,R$1,0),IF(LEFT(VLOOKUP($D82,'Visu totale'!$D:$DH,R$1,0),1)="V",IF(Q82&gt;=INDEX('[1]Définition Maintenances'!$G:$G,MATCH($A82,'[1]Définition Maintenances'!$K:$K,0)),Q82,INDEX('[1]Définition Maintenances'!$G:$G,MATCH($A82,'[1]Définition Maintenances'!$K:$K,0))+Q82),Q82))</f>
        <v>462</v>
      </c>
      <c r="S82" s="26">
        <f>IF(ISNUMBER(VLOOKUP($D82,'Visu totale'!$D:$DH,S$1,0)),R82-VLOOKUP($D82,'Visu totale'!$D:$DH,S$1,0),IF(LEFT(VLOOKUP($D82,'Visu totale'!$D:$DH,S$1,0),1)="V",IF(R82&gt;=INDEX('[1]Définition Maintenances'!$G:$G,MATCH($A82,'[1]Définition Maintenances'!$K:$K,0)),R82,INDEX('[1]Définition Maintenances'!$G:$G,MATCH($A82,'[1]Définition Maintenances'!$K:$K,0))+R82),R82))</f>
        <v>462</v>
      </c>
      <c r="T82" s="26">
        <f>IF(ISNUMBER(VLOOKUP($D82,'Visu totale'!$D:$DH,T$1,0)),S82-VLOOKUP($D82,'Visu totale'!$D:$DH,T$1,0),IF(LEFT(VLOOKUP($D82,'Visu totale'!$D:$DH,T$1,0),1)="V",IF(S82&gt;=INDEX('[1]Définition Maintenances'!$G:$G,MATCH($A82,'[1]Définition Maintenances'!$K:$K,0)),S82,INDEX('[1]Définition Maintenances'!$G:$G,MATCH($A82,'[1]Définition Maintenances'!$K:$K,0))+S82),S82))</f>
        <v>462</v>
      </c>
      <c r="U82" s="26">
        <f>IF(ISNUMBER(VLOOKUP($D82,'Visu totale'!$D:$DH,U$1,0)),T82-VLOOKUP($D82,'Visu totale'!$D:$DH,U$1,0),IF(LEFT(VLOOKUP($D82,'Visu totale'!$D:$DH,U$1,0),1)="V",IF(T82&gt;=INDEX('[1]Définition Maintenances'!$G:$G,MATCH($A82,'[1]Définition Maintenances'!$K:$K,0)),T82,INDEX('[1]Définition Maintenances'!$G:$G,MATCH($A82,'[1]Définition Maintenances'!$K:$K,0))+T82),T82))</f>
        <v>462</v>
      </c>
      <c r="V82" s="26">
        <f>IF(ISNUMBER(VLOOKUP($D82,'Visu totale'!$D:$DH,V$1,0)),U82-VLOOKUP($D82,'Visu totale'!$D:$DH,V$1,0),IF(LEFT(VLOOKUP($D82,'Visu totale'!$D:$DH,V$1,0),1)="V",IF(U82&gt;=INDEX('[1]Définition Maintenances'!$G:$G,MATCH($A82,'[1]Définition Maintenances'!$K:$K,0)),U82,INDEX('[1]Définition Maintenances'!$G:$G,MATCH($A82,'[1]Définition Maintenances'!$K:$K,0))+U82),U82))</f>
        <v>462</v>
      </c>
      <c r="W82" s="26">
        <f>IF(ISNUMBER(VLOOKUP($D82,'Visu totale'!$D:$DH,W$1,0)),V82-VLOOKUP($D82,'Visu totale'!$D:$DH,W$1,0),IF(LEFT(VLOOKUP($D82,'Visu totale'!$D:$DH,W$1,0),1)="V",IF(V82&gt;=INDEX('[1]Définition Maintenances'!$G:$G,MATCH($A82,'[1]Définition Maintenances'!$K:$K,0)),V82,INDEX('[1]Définition Maintenances'!$G:$G,MATCH($A82,'[1]Définition Maintenances'!$K:$K,0))+V82),V82))</f>
        <v>462</v>
      </c>
      <c r="X82" s="26">
        <f>IF(ISNUMBER(VLOOKUP($D82,'Visu totale'!$D:$DH,X$1,0)),W82-VLOOKUP($D82,'Visu totale'!$D:$DH,X$1,0),IF(LEFT(VLOOKUP($D82,'Visu totale'!$D:$DH,X$1,0),1)="V",IF(W82&gt;=INDEX('[1]Définition Maintenances'!$G:$G,MATCH($A82,'[1]Définition Maintenances'!$K:$K,0)),W82,INDEX('[1]Définition Maintenances'!$G:$G,MATCH($A82,'[1]Définition Maintenances'!$K:$K,0))+W82),W82))</f>
        <v>462</v>
      </c>
      <c r="Y82" s="26">
        <f>IF(ISNUMBER(VLOOKUP($D82,'Visu totale'!$D:$DH,Y$1,0)),X82-VLOOKUP($D82,'Visu totale'!$D:$DH,Y$1,0),IF(LEFT(VLOOKUP($D82,'Visu totale'!$D:$DH,Y$1,0),1)="V",IF(X82&gt;=INDEX('[1]Définition Maintenances'!$G:$G,MATCH($A82,'[1]Définition Maintenances'!$K:$K,0)),X82,INDEX('[1]Définition Maintenances'!$G:$G,MATCH($A82,'[1]Définition Maintenances'!$K:$K,0))+X82),X82))</f>
        <v>462</v>
      </c>
      <c r="Z82" s="26">
        <f>IF(ISNUMBER(VLOOKUP($D82,'Visu totale'!$D:$DH,Z$1,0)),Y82-VLOOKUP($D82,'Visu totale'!$D:$DH,Z$1,0),IF(LEFT(VLOOKUP($D82,'Visu totale'!$D:$DH,Z$1,0),1)="V",IF(Y82&gt;=INDEX('[1]Définition Maintenances'!$G:$G,MATCH($A82,'[1]Définition Maintenances'!$K:$K,0)),Y82,INDEX('[1]Définition Maintenances'!$G:$G,MATCH($A82,'[1]Définition Maintenances'!$K:$K,0))+Y82),Y82))</f>
        <v>462</v>
      </c>
      <c r="AA82" s="26">
        <f>IF(ISNUMBER(VLOOKUP($D82,'Visu totale'!$D:$DH,AA$1,0)),Z82-VLOOKUP($D82,'Visu totale'!$D:$DH,AA$1,0),IF(LEFT(VLOOKUP($D82,'Visu totale'!$D:$DH,AA$1,0),1)="V",IF(Z82&gt;=INDEX('[1]Définition Maintenances'!$G:$G,MATCH($A82,'[1]Définition Maintenances'!$K:$K,0)),Z82,INDEX('[1]Définition Maintenances'!$G:$G,MATCH($A82,'[1]Définition Maintenances'!$K:$K,0))+Z82),Z82))</f>
        <v>462</v>
      </c>
      <c r="AB82" s="26">
        <f>IF(ISNUMBER(VLOOKUP($D82,'Visu totale'!$D:$DH,AB$1,0)),AA82-VLOOKUP($D82,'Visu totale'!$D:$DH,AB$1,0),IF(LEFT(VLOOKUP($D82,'Visu totale'!$D:$DH,AB$1,0),1)="V",IF(AA82&gt;=INDEX('[1]Définition Maintenances'!$G:$G,MATCH($A82,'[1]Définition Maintenances'!$K:$K,0)),AA82,INDEX('[1]Définition Maintenances'!$G:$G,MATCH($A82,'[1]Définition Maintenances'!$K:$K,0))+AA82),AA82))</f>
        <v>462</v>
      </c>
      <c r="AC82" s="27">
        <f>IF(ISNUMBER(VLOOKUP($D82,'Visu totale'!$D:$DH,AC$1,0)),AB82-VLOOKUP($D82,'Visu totale'!$D:$DH,AC$1,0),IF(LEFT(VLOOKUP($D82,'Visu totale'!$D:$DH,AC$1,0),1)="V",IF(AB82&gt;=INDEX('[1]Définition Maintenances'!$G:$G,MATCH($A82,'[1]Définition Maintenances'!$K:$K,0)),AB82,INDEX('[1]Définition Maintenances'!$G:$G,MATCH($A82,'[1]Définition Maintenances'!$K:$K,0))+AB82),AB82))</f>
        <v>462</v>
      </c>
      <c r="AD82" s="25">
        <f>IF(ISNUMBER(VLOOKUP($D82,'Visu totale'!$D:$DH,AD$1,0)),AC82-VLOOKUP($D82,'Visu totale'!$D:$DH,AD$1,0),IF(LEFT(VLOOKUP($D82,'Visu totale'!$D:$DH,AD$1,0),1)="V",IF(AC82&gt;=INDEX('[1]Définition Maintenances'!$G:$G,MATCH($A82,'[1]Définition Maintenances'!$K:$K,0)),AC82,INDEX('[1]Définition Maintenances'!$G:$G,MATCH($A82,'[1]Définition Maintenances'!$K:$K,0))+AC82),AC82))</f>
        <v>462</v>
      </c>
      <c r="AE82" s="26">
        <f>IF(ISNUMBER(VLOOKUP($D82,'Visu totale'!$D:$DH,AE$1,0)),AD82-VLOOKUP($D82,'Visu totale'!$D:$DH,AE$1,0),IF(LEFT(VLOOKUP($D82,'Visu totale'!$D:$DH,AE$1,0),1)="V",IF(AD82&gt;=INDEX('[1]Définition Maintenances'!$G:$G,MATCH($A82,'[1]Définition Maintenances'!$K:$K,0)),AD82,INDEX('[1]Définition Maintenances'!$G:$G,MATCH($A82,'[1]Définition Maintenances'!$K:$K,0))+AD82),AD82))</f>
        <v>462</v>
      </c>
      <c r="AF82" s="26">
        <f>IF(ISNUMBER(VLOOKUP($D82,'Visu totale'!$D:$DH,AF$1,0)),AE82-VLOOKUP($D82,'Visu totale'!$D:$DH,AF$1,0),IF(LEFT(VLOOKUP($D82,'Visu totale'!$D:$DH,AF$1,0),1)="V",IF(AE82&gt;=INDEX('[1]Définition Maintenances'!$G:$G,MATCH($A82,'[1]Définition Maintenances'!$K:$K,0)),AE82,INDEX('[1]Définition Maintenances'!$G:$G,MATCH($A82,'[1]Définition Maintenances'!$K:$K,0))+AE82),AE82))</f>
        <v>462</v>
      </c>
      <c r="AG82" s="26">
        <f>IF(ISNUMBER(VLOOKUP($D82,'Visu totale'!$D:$DH,AG$1,0)),AF82-VLOOKUP($D82,'Visu totale'!$D:$DH,AG$1,0),IF(LEFT(VLOOKUP($D82,'Visu totale'!$D:$DH,AG$1,0),1)="V",IF(AF82&gt;=INDEX('[1]Définition Maintenances'!$G:$G,MATCH($A82,'[1]Définition Maintenances'!$K:$K,0)),AF82,INDEX('[1]Définition Maintenances'!$G:$G,MATCH($A82,'[1]Définition Maintenances'!$K:$K,0))+AF82),AF82))</f>
        <v>462</v>
      </c>
      <c r="AH82" s="26">
        <f>IF(ISNUMBER(VLOOKUP($D82,'Visu totale'!$D:$DH,AH$1,0)),AG82-VLOOKUP($D82,'Visu totale'!$D:$DH,AH$1,0),IF(LEFT(VLOOKUP($D82,'Visu totale'!$D:$DH,AH$1,0),1)="V",IF(AG82&gt;=INDEX('[1]Définition Maintenances'!$G:$G,MATCH($A82,'[1]Définition Maintenances'!$K:$K,0)),AG82,INDEX('[1]Définition Maintenances'!$G:$G,MATCH($A82,'[1]Définition Maintenances'!$K:$K,0))+AG82),AG82))</f>
        <v>462</v>
      </c>
      <c r="AI82" s="26">
        <f>IF(ISNUMBER(VLOOKUP($D82,'Visu totale'!$D:$DH,AI$1,0)),AH82-VLOOKUP($D82,'Visu totale'!$D:$DH,AI$1,0),IF(LEFT(VLOOKUP($D82,'Visu totale'!$D:$DH,AI$1,0),1)="V",IF(AH82&gt;=INDEX('[1]Définition Maintenances'!$G:$G,MATCH($A82,'[1]Définition Maintenances'!$K:$K,0)),AH82,INDEX('[1]Définition Maintenances'!$G:$G,MATCH($A82,'[1]Définition Maintenances'!$K:$K,0))+AH82),AH82))</f>
        <v>462</v>
      </c>
      <c r="AJ82" s="26">
        <f>IF(ISNUMBER(VLOOKUP($D82,'Visu totale'!$D:$DH,AJ$1,0)),AI82-VLOOKUP($D82,'Visu totale'!$D:$DH,AJ$1,0),IF(LEFT(VLOOKUP($D82,'Visu totale'!$D:$DH,AJ$1,0),1)="V",IF(AI82&gt;=INDEX('[1]Définition Maintenances'!$G:$G,MATCH($A82,'[1]Définition Maintenances'!$K:$K,0)),AI82,INDEX('[1]Définition Maintenances'!$G:$G,MATCH($A82,'[1]Définition Maintenances'!$K:$K,0))+AI82),AI82))</f>
        <v>462</v>
      </c>
      <c r="AK82" s="26">
        <f>IF(ISNUMBER(VLOOKUP($D82,'Visu totale'!$D:$DH,AK$1,0)),AJ82-VLOOKUP($D82,'Visu totale'!$D:$DH,AK$1,0),IF(LEFT(VLOOKUP($D82,'Visu totale'!$D:$DH,AK$1,0),1)="V",IF(AJ82&gt;=INDEX('[1]Définition Maintenances'!$G:$G,MATCH($A82,'[1]Définition Maintenances'!$K:$K,0)),AJ82,INDEX('[1]Définition Maintenances'!$G:$G,MATCH($A82,'[1]Définition Maintenances'!$K:$K,0))+AJ82),AJ82))</f>
        <v>462</v>
      </c>
      <c r="AL82" s="26">
        <f>IF(ISNUMBER(VLOOKUP($D82,'Visu totale'!$D:$DH,AL$1,0)),AK82-VLOOKUP($D82,'Visu totale'!$D:$DH,AL$1,0),IF(LEFT(VLOOKUP($D82,'Visu totale'!$D:$DH,AL$1,0),1)="V",IF(AK82&gt;=INDEX('[1]Définition Maintenances'!$G:$G,MATCH($A82,'[1]Définition Maintenances'!$K:$K,0)),AK82,INDEX('[1]Définition Maintenances'!$G:$G,MATCH($A82,'[1]Définition Maintenances'!$K:$K,0))+AK82),AK82))</f>
        <v>462</v>
      </c>
      <c r="AM82" s="26">
        <f>IF(ISNUMBER(VLOOKUP($D82,'Visu totale'!$D:$DH,AM$1,0)),AL82-VLOOKUP($D82,'Visu totale'!$D:$DH,AM$1,0),IF(LEFT(VLOOKUP($D82,'Visu totale'!$D:$DH,AM$1,0),1)="V",IF(AL82&gt;=INDEX('[1]Définition Maintenances'!$G:$G,MATCH($A82,'[1]Définition Maintenances'!$K:$K,0)),AL82,INDEX('[1]Définition Maintenances'!$G:$G,MATCH($A82,'[1]Définition Maintenances'!$K:$K,0))+AL82),AL82))</f>
        <v>462</v>
      </c>
      <c r="AN82" s="26">
        <f>IF(ISNUMBER(VLOOKUP($D82,'Visu totale'!$D:$DH,AN$1,0)),AM82-VLOOKUP($D82,'Visu totale'!$D:$DH,AN$1,0),IF(LEFT(VLOOKUP($D82,'Visu totale'!$D:$DH,AN$1,0),1)="V",IF(AM82&gt;=INDEX('[1]Définition Maintenances'!$G:$G,MATCH($A82,'[1]Définition Maintenances'!$K:$K,0)),AM82,INDEX('[1]Définition Maintenances'!$G:$G,MATCH($A82,'[1]Définition Maintenances'!$K:$K,0))+AM82),AM82))</f>
        <v>462</v>
      </c>
      <c r="AO82" s="27">
        <f>IF(ISNUMBER(VLOOKUP($D82,'Visu totale'!$D:$DH,AO$1,0)),AN82-VLOOKUP($D82,'Visu totale'!$D:$DH,AO$1,0),IF(LEFT(VLOOKUP($D82,'Visu totale'!$D:$DH,AO$1,0),1)="V",IF(AN82&gt;=INDEX('[1]Définition Maintenances'!$G:$G,MATCH($A82,'[1]Définition Maintenances'!$K:$K,0)),AN82,INDEX('[1]Définition Maintenances'!$G:$G,MATCH($A82,'[1]Définition Maintenances'!$K:$K,0))+AN82),AN82))</f>
        <v>462</v>
      </c>
      <c r="AP82" s="25">
        <f>IF(ISNUMBER(VLOOKUP($D82,'Visu totale'!$D:$DH,AP$1,0)),AO82-VLOOKUP($D82,'Visu totale'!$D:$DH,AP$1,0),IF(LEFT(VLOOKUP($D82,'Visu totale'!$D:$DH,AP$1,0),1)="V",IF(AO82&gt;=INDEX('[1]Définition Maintenances'!$G:$G,MATCH($A82,'[1]Définition Maintenances'!$K:$K,0)),AO82,INDEX('[1]Définition Maintenances'!$G:$G,MATCH($A82,'[1]Définition Maintenances'!$K:$K,0))+AO82),AO82))</f>
        <v>462</v>
      </c>
      <c r="AQ82" s="26">
        <f>IF(ISNUMBER(VLOOKUP($D82,'Visu totale'!$D:$DH,AQ$1,0)),AP82-VLOOKUP($D82,'Visu totale'!$D:$DH,AQ$1,0),IF(LEFT(VLOOKUP($D82,'Visu totale'!$D:$DH,AQ$1,0),1)="V",IF(AP82&gt;=INDEX('[1]Définition Maintenances'!$G:$G,MATCH($A82,'[1]Définition Maintenances'!$K:$K,0)),AP82,INDEX('[1]Définition Maintenances'!$G:$G,MATCH($A82,'[1]Définition Maintenances'!$K:$K,0))+AP82),AP82))</f>
        <v>462</v>
      </c>
      <c r="AR82" s="26">
        <f>IF(ISNUMBER(VLOOKUP($D82,'Visu totale'!$D:$DH,AR$1,0)),AQ82-VLOOKUP($D82,'Visu totale'!$D:$DH,AR$1,0),IF(LEFT(VLOOKUP($D82,'Visu totale'!$D:$DH,AR$1,0),1)="V",IF(AQ82&gt;=INDEX('[1]Définition Maintenances'!$G:$G,MATCH($A82,'[1]Définition Maintenances'!$K:$K,0)),AQ82,INDEX('[1]Définition Maintenances'!$G:$G,MATCH($A82,'[1]Définition Maintenances'!$K:$K,0))+AQ82),AQ82))</f>
        <v>462</v>
      </c>
      <c r="AS82" s="26">
        <f>IF(ISNUMBER(VLOOKUP($D82,'Visu totale'!$D:$DH,AS$1,0)),AR82-VLOOKUP($D82,'Visu totale'!$D:$DH,AS$1,0),IF(LEFT(VLOOKUP($D82,'Visu totale'!$D:$DH,AS$1,0),1)="V",IF(AR82&gt;=INDEX('[1]Définition Maintenances'!$G:$G,MATCH($A82,'[1]Définition Maintenances'!$K:$K,0)),AR82,INDEX('[1]Définition Maintenances'!$G:$G,MATCH($A82,'[1]Définition Maintenances'!$K:$K,0))+AR82),AR82))</f>
        <v>462</v>
      </c>
      <c r="AT82" s="26">
        <f>IF(ISNUMBER(VLOOKUP($D82,'Visu totale'!$D:$DH,AT$1,0)),AS82-VLOOKUP($D82,'Visu totale'!$D:$DH,AT$1,0),IF(LEFT(VLOOKUP($D82,'Visu totale'!$D:$DH,AT$1,0),1)="V",IF(AS82&gt;=INDEX('[1]Définition Maintenances'!$G:$G,MATCH($A82,'[1]Définition Maintenances'!$K:$K,0)),AS82,INDEX('[1]Définition Maintenances'!$G:$G,MATCH($A82,'[1]Définition Maintenances'!$K:$K,0))+AS82),AS82))</f>
        <v>462</v>
      </c>
      <c r="AU82" s="26">
        <f>IF(ISNUMBER(VLOOKUP($D82,'Visu totale'!$D:$DH,AU$1,0)),AT82-VLOOKUP($D82,'Visu totale'!$D:$DH,AU$1,0),IF(LEFT(VLOOKUP($D82,'Visu totale'!$D:$DH,AU$1,0),1)="V",IF(AT82&gt;=INDEX('[1]Définition Maintenances'!$G:$G,MATCH($A82,'[1]Définition Maintenances'!$K:$K,0)),AT82,INDEX('[1]Définition Maintenances'!$G:$G,MATCH($A82,'[1]Définition Maintenances'!$K:$K,0))+AT82),AT82))</f>
        <v>462</v>
      </c>
      <c r="AV82" s="26">
        <f>IF(ISNUMBER(VLOOKUP($D82,'Visu totale'!$D:$DH,AV$1,0)),AU82-VLOOKUP($D82,'Visu totale'!$D:$DH,AV$1,0),IF(LEFT(VLOOKUP($D82,'Visu totale'!$D:$DH,AV$1,0),1)="V",IF(AU82&gt;=INDEX('[1]Définition Maintenances'!$G:$G,MATCH($A82,'[1]Définition Maintenances'!$K:$K,0)),AU82,INDEX('[1]Définition Maintenances'!$G:$G,MATCH($A82,'[1]Définition Maintenances'!$K:$K,0))+AU82),AU82))</f>
        <v>462</v>
      </c>
      <c r="AW82" s="26">
        <f>IF(ISNUMBER(VLOOKUP($D82,'Visu totale'!$D:$DH,AW$1,0)),AV82-VLOOKUP($D82,'Visu totale'!$D:$DH,AW$1,0),IF(LEFT(VLOOKUP($D82,'Visu totale'!$D:$DH,AW$1,0),1)="V",IF(AV82&gt;=INDEX('[1]Définition Maintenances'!$G:$G,MATCH($A82,'[1]Définition Maintenances'!$K:$K,0)),AV82,INDEX('[1]Définition Maintenances'!$G:$G,MATCH($A82,'[1]Définition Maintenances'!$K:$K,0))+AV82),AV82))</f>
        <v>462</v>
      </c>
      <c r="AX82" s="26">
        <f>IF(ISNUMBER(VLOOKUP($D82,'Visu totale'!$D:$DH,AX$1,0)),AW82-VLOOKUP($D82,'Visu totale'!$D:$DH,AX$1,0),IF(LEFT(VLOOKUP($D82,'Visu totale'!$D:$DH,AX$1,0),1)="V",IF(AW82&gt;=INDEX('[1]Définition Maintenances'!$G:$G,MATCH($A82,'[1]Définition Maintenances'!$K:$K,0)),AW82,INDEX('[1]Définition Maintenances'!$G:$G,MATCH($A82,'[1]Définition Maintenances'!$K:$K,0))+AW82),AW82))</f>
        <v>462</v>
      </c>
      <c r="AY82" s="26">
        <f>IF(ISNUMBER(VLOOKUP($D82,'Visu totale'!$D:$DH,AY$1,0)),AX82-VLOOKUP($D82,'Visu totale'!$D:$DH,AY$1,0),IF(LEFT(VLOOKUP($D82,'Visu totale'!$D:$DH,AY$1,0),1)="V",IF(AX82&gt;=INDEX('[1]Définition Maintenances'!$G:$G,MATCH($A82,'[1]Définition Maintenances'!$K:$K,0)),AX82,INDEX('[1]Définition Maintenances'!$G:$G,MATCH($A82,'[1]Définition Maintenances'!$K:$K,0))+AX82),AX82))</f>
        <v>462</v>
      </c>
      <c r="AZ82" s="26">
        <f>IF(ISNUMBER(VLOOKUP($D82,'Visu totale'!$D:$DH,AZ$1,0)),AY82-VLOOKUP($D82,'Visu totale'!$D:$DH,AZ$1,0),IF(LEFT(VLOOKUP($D82,'Visu totale'!$D:$DH,AZ$1,0),1)="V",IF(AY82&gt;=INDEX('[1]Définition Maintenances'!$G:$G,MATCH($A82,'[1]Définition Maintenances'!$K:$K,0)),AY82,INDEX('[1]Définition Maintenances'!$G:$G,MATCH($A82,'[1]Définition Maintenances'!$K:$K,0))+AY82),AY82))</f>
        <v>462</v>
      </c>
      <c r="BA82" s="27">
        <f>IF(ISNUMBER(VLOOKUP($D82,'Visu totale'!$D:$DH,BA$1,0)),AZ82-VLOOKUP($D82,'Visu totale'!$D:$DH,BA$1,0),IF(LEFT(VLOOKUP($D82,'Visu totale'!$D:$DH,BA$1,0),1)="V",IF(AZ82&gt;=INDEX('[1]Définition Maintenances'!$G:$G,MATCH($A82,'[1]Définition Maintenances'!$K:$K,0)),AZ82,INDEX('[1]Définition Maintenances'!$G:$G,MATCH($A82,'[1]Définition Maintenances'!$K:$K,0))+AZ82),AZ82))</f>
        <v>462</v>
      </c>
      <c r="BB82" s="25">
        <f>IF(ISNUMBER(VLOOKUP($D82,'Visu totale'!$D:$DH,BB$1,0)),BA82-VLOOKUP($D82,'Visu totale'!$D:$DH,BB$1,0),IF(LEFT(VLOOKUP($D82,'Visu totale'!$D:$DH,BB$1,0),1)="V",IF(BA82&gt;=INDEX('[1]Définition Maintenances'!$G:$G,MATCH($A82,'[1]Définition Maintenances'!$K:$K,0)),BA82,INDEX('[1]Définition Maintenances'!$G:$G,MATCH($A82,'[1]Définition Maintenances'!$K:$K,0))+BA82),BA82))</f>
        <v>462</v>
      </c>
      <c r="BC82" s="26">
        <f>IF(ISNUMBER(VLOOKUP($D82,'Visu totale'!$D:$DH,BC$1,0)),BB82-VLOOKUP($D82,'Visu totale'!$D:$DH,BC$1,0),IF(LEFT(VLOOKUP($D82,'Visu totale'!$D:$DH,BC$1,0),1)="V",IF(BB82&gt;=INDEX('[1]Définition Maintenances'!$G:$G,MATCH($A82,'[1]Définition Maintenances'!$K:$K,0)),BB82,INDEX('[1]Définition Maintenances'!$G:$G,MATCH($A82,'[1]Définition Maintenances'!$K:$K,0))+BB82),BB82))</f>
        <v>462</v>
      </c>
      <c r="BD82" s="26">
        <f>IF(ISNUMBER(VLOOKUP($D82,'Visu totale'!$D:$DH,BD$1,0)),BC82-VLOOKUP($D82,'Visu totale'!$D:$DH,BD$1,0),IF(LEFT(VLOOKUP($D82,'Visu totale'!$D:$DH,BD$1,0),1)="V",IF(BC82&gt;=INDEX('[1]Définition Maintenances'!$G:$G,MATCH($A82,'[1]Définition Maintenances'!$K:$K,0)),BC82,INDEX('[1]Définition Maintenances'!$G:$G,MATCH($A82,'[1]Définition Maintenances'!$K:$K,0))+BC82),BC82))</f>
        <v>462</v>
      </c>
      <c r="BE82" s="26">
        <f>IF(ISNUMBER(VLOOKUP($D82,'Visu totale'!$D:$DH,BE$1,0)),BD82-VLOOKUP($D82,'Visu totale'!$D:$DH,BE$1,0),IF(LEFT(VLOOKUP($D82,'Visu totale'!$D:$DH,BE$1,0),1)="V",IF(BD82&gt;=INDEX('[1]Définition Maintenances'!$G:$G,MATCH($A82,'[1]Définition Maintenances'!$K:$K,0)),BD82,INDEX('[1]Définition Maintenances'!$G:$G,MATCH($A82,'[1]Définition Maintenances'!$K:$K,0))+BD82),BD82))</f>
        <v>462</v>
      </c>
      <c r="BF82" s="26">
        <f>IF(ISNUMBER(VLOOKUP($D82,'Visu totale'!$D:$DH,BF$1,0)),BE82-VLOOKUP($D82,'Visu totale'!$D:$DH,BF$1,0),IF(LEFT(VLOOKUP($D82,'Visu totale'!$D:$DH,BF$1,0),1)="V",IF(BE82&gt;=INDEX('[1]Définition Maintenances'!$G:$G,MATCH($A82,'[1]Définition Maintenances'!$K:$K,0)),BE82,INDEX('[1]Définition Maintenances'!$G:$G,MATCH($A82,'[1]Définition Maintenances'!$K:$K,0))+BE82),BE82))</f>
        <v>462</v>
      </c>
      <c r="BG82" s="26">
        <f>IF(ISNUMBER(VLOOKUP($D82,'Visu totale'!$D:$DH,BG$1,0)),BF82-VLOOKUP($D82,'Visu totale'!$D:$DH,BG$1,0),IF(LEFT(VLOOKUP($D82,'Visu totale'!$D:$DH,BG$1,0),1)="V",IF(BF82&gt;=INDEX('[1]Définition Maintenances'!$G:$G,MATCH($A82,'[1]Définition Maintenances'!$K:$K,0)),BF82,INDEX('[1]Définition Maintenances'!$G:$G,MATCH($A82,'[1]Définition Maintenances'!$K:$K,0))+BF82),BF82))</f>
        <v>462</v>
      </c>
      <c r="BH82" s="26">
        <f>IF(ISNUMBER(VLOOKUP($D82,'Visu totale'!$D:$DH,BH$1,0)),BG82-VLOOKUP($D82,'Visu totale'!$D:$DH,BH$1,0),IF(LEFT(VLOOKUP($D82,'Visu totale'!$D:$DH,BH$1,0),1)="V",IF(BG82&gt;=INDEX('[1]Définition Maintenances'!$G:$G,MATCH($A82,'[1]Définition Maintenances'!$K:$K,0)),BG82,INDEX('[1]Définition Maintenances'!$G:$G,MATCH($A82,'[1]Définition Maintenances'!$K:$K,0))+BG82),BG82))</f>
        <v>462</v>
      </c>
      <c r="BI82" s="26">
        <f>IF(ISNUMBER(VLOOKUP($D82,'Visu totale'!$D:$DH,BI$1,0)),BH82-VLOOKUP($D82,'Visu totale'!$D:$DH,BI$1,0),IF(LEFT(VLOOKUP($D82,'Visu totale'!$D:$DH,BI$1,0),1)="V",IF(BH82&gt;=INDEX('[1]Définition Maintenances'!$G:$G,MATCH($A82,'[1]Définition Maintenances'!$K:$K,0)),BH82,INDEX('[1]Définition Maintenances'!$G:$G,MATCH($A82,'[1]Définition Maintenances'!$K:$K,0))+BH82),BH82))</f>
        <v>462</v>
      </c>
      <c r="BJ82" s="26">
        <f>IF(ISNUMBER(VLOOKUP($D82,'Visu totale'!$D:$DH,BJ$1,0)),BI82-VLOOKUP($D82,'Visu totale'!$D:$DH,BJ$1,0),IF(LEFT(VLOOKUP($D82,'Visu totale'!$D:$DH,BJ$1,0),1)="V",IF(BI82&gt;=INDEX('[1]Définition Maintenances'!$G:$G,MATCH($A82,'[1]Définition Maintenances'!$K:$K,0)),BI82,INDEX('[1]Définition Maintenances'!$G:$G,MATCH($A82,'[1]Définition Maintenances'!$K:$K,0))+BI82),BI82))</f>
        <v>462</v>
      </c>
      <c r="BK82" s="26">
        <f>IF(ISNUMBER(VLOOKUP($D82,'Visu totale'!$D:$DH,BK$1,0)),BJ82-VLOOKUP($D82,'Visu totale'!$D:$DH,BK$1,0),IF(LEFT(VLOOKUP($D82,'Visu totale'!$D:$DH,BK$1,0),1)="V",IF(BJ82&gt;=INDEX('[1]Définition Maintenances'!$G:$G,MATCH($A82,'[1]Définition Maintenances'!$K:$K,0)),BJ82,INDEX('[1]Définition Maintenances'!$G:$G,MATCH($A82,'[1]Définition Maintenances'!$K:$K,0))+BJ82),BJ82))</f>
        <v>462</v>
      </c>
      <c r="BL82" s="26">
        <f>IF(ISNUMBER(VLOOKUP($D82,'Visu totale'!$D:$DH,BL$1,0)),BK82-VLOOKUP($D82,'Visu totale'!$D:$DH,BL$1,0),IF(LEFT(VLOOKUP($D82,'Visu totale'!$D:$DH,BL$1,0),1)="V",IF(BK82&gt;=INDEX('[1]Définition Maintenances'!$G:$G,MATCH($A82,'[1]Définition Maintenances'!$K:$K,0)),BK82,INDEX('[1]Définition Maintenances'!$G:$G,MATCH($A82,'[1]Définition Maintenances'!$K:$K,0))+BK82),BK82))</f>
        <v>462</v>
      </c>
      <c r="BM82" s="27">
        <f>IF(ISNUMBER(VLOOKUP($D82,'Visu totale'!$D:$DH,BM$1,0)),BL82-VLOOKUP($D82,'Visu totale'!$D:$DH,BM$1,0),IF(LEFT(VLOOKUP($D82,'Visu totale'!$D:$DH,BM$1,0),1)="V",IF(BL82&gt;=INDEX('[1]Définition Maintenances'!$G:$G,MATCH($A82,'[1]Définition Maintenances'!$K:$K,0)),BL82,INDEX('[1]Définition Maintenances'!$G:$G,MATCH($A82,'[1]Définition Maintenances'!$K:$K,0))+BL82),BL82))</f>
        <v>462</v>
      </c>
      <c r="BN82" s="25">
        <f>IF(ISNUMBER(VLOOKUP($D82,'Visu totale'!$D:$DH,BN$1,0)),BM82-VLOOKUP($D82,'Visu totale'!$D:$DH,BN$1,0),IF(LEFT(VLOOKUP($D82,'Visu totale'!$D:$DH,BN$1,0),1)="V",IF(BM82&gt;=INDEX('[1]Définition Maintenances'!$G:$G,MATCH($A82,'[1]Définition Maintenances'!$K:$K,0)),BM82,INDEX('[1]Définition Maintenances'!$G:$G,MATCH($A82,'[1]Définition Maintenances'!$K:$K,0))+BM82),BM82))</f>
        <v>462</v>
      </c>
      <c r="BO82" s="26">
        <f>IF(ISNUMBER(VLOOKUP($D82,'Visu totale'!$D:$DH,BO$1,0)),BN82-VLOOKUP($D82,'Visu totale'!$D:$DH,BO$1,0),IF(LEFT(VLOOKUP($D82,'Visu totale'!$D:$DH,BO$1,0),1)="V",IF(BN82&gt;=INDEX('[1]Définition Maintenances'!$G:$G,MATCH($A82,'[1]Définition Maintenances'!$K:$K,0)),BN82,INDEX('[1]Définition Maintenances'!$G:$G,MATCH($A82,'[1]Définition Maintenances'!$K:$K,0))+BN82),BN82))</f>
        <v>462</v>
      </c>
      <c r="BP82" s="26">
        <f>IF(ISNUMBER(VLOOKUP($D82,'Visu totale'!$D:$DH,BP$1,0)),BO82-VLOOKUP($D82,'Visu totale'!$D:$DH,BP$1,0),IF(LEFT(VLOOKUP($D82,'Visu totale'!$D:$DH,BP$1,0),1)="V",IF(BO82&gt;=INDEX('[1]Définition Maintenances'!$G:$G,MATCH($A82,'[1]Définition Maintenances'!$K:$K,0)),BO82,INDEX('[1]Définition Maintenances'!$G:$G,MATCH($A82,'[1]Définition Maintenances'!$K:$K,0))+BO82),BO82))</f>
        <v>462</v>
      </c>
      <c r="BQ82" s="26">
        <f>IF(ISNUMBER(VLOOKUP($D82,'Visu totale'!$D:$DH,BQ$1,0)),BP82-VLOOKUP($D82,'Visu totale'!$D:$DH,BQ$1,0),IF(LEFT(VLOOKUP($D82,'Visu totale'!$D:$DH,BQ$1,0),1)="V",IF(BP82&gt;=INDEX('[1]Définition Maintenances'!$G:$G,MATCH($A82,'[1]Définition Maintenances'!$K:$K,0)),BP82,INDEX('[1]Définition Maintenances'!$G:$G,MATCH($A82,'[1]Définition Maintenances'!$K:$K,0))+BP82),BP82))</f>
        <v>462</v>
      </c>
      <c r="BR82" s="26">
        <f>IF(ISNUMBER(VLOOKUP($D82,'Visu totale'!$D:$DH,BR$1,0)),BQ82-VLOOKUP($D82,'Visu totale'!$D:$DH,BR$1,0),IF(LEFT(VLOOKUP($D82,'Visu totale'!$D:$DH,BR$1,0),1)="V",IF(BQ82&gt;=INDEX('[1]Définition Maintenances'!$G:$G,MATCH($A82,'[1]Définition Maintenances'!$K:$K,0)),BQ82,INDEX('[1]Définition Maintenances'!$G:$G,MATCH($A82,'[1]Définition Maintenances'!$K:$K,0))+BQ82),BQ82))</f>
        <v>462</v>
      </c>
      <c r="BS82" s="26">
        <f>IF(ISNUMBER(VLOOKUP($D82,'Visu totale'!$D:$DH,BS$1,0)),BR82-VLOOKUP($D82,'Visu totale'!$D:$DH,BS$1,0),IF(LEFT(VLOOKUP($D82,'Visu totale'!$D:$DH,BS$1,0),1)="V",IF(BR82&gt;=INDEX('[1]Définition Maintenances'!$G:$G,MATCH($A82,'[1]Définition Maintenances'!$K:$K,0)),BR82,INDEX('[1]Définition Maintenances'!$G:$G,MATCH($A82,'[1]Définition Maintenances'!$K:$K,0))+BR82),BR82))</f>
        <v>462</v>
      </c>
      <c r="BT82" s="26">
        <f>IF(ISNUMBER(VLOOKUP($D82,'Visu totale'!$D:$DH,BT$1,0)),BS82-VLOOKUP($D82,'Visu totale'!$D:$DH,BT$1,0),IF(LEFT(VLOOKUP($D82,'Visu totale'!$D:$DH,BT$1,0),1)="V",IF(BS82&gt;=INDEX('[1]Définition Maintenances'!$G:$G,MATCH($A82,'[1]Définition Maintenances'!$K:$K,0)),BS82,INDEX('[1]Définition Maintenances'!$G:$G,MATCH($A82,'[1]Définition Maintenances'!$K:$K,0))+BS82),BS82))</f>
        <v>462</v>
      </c>
      <c r="BU82" s="26">
        <f>IF(ISNUMBER(VLOOKUP($D82,'Visu totale'!$D:$DH,BU$1,0)),BT82-VLOOKUP($D82,'Visu totale'!$D:$DH,BU$1,0),IF(LEFT(VLOOKUP($D82,'Visu totale'!$D:$DH,BU$1,0),1)="V",IF(BT82&gt;=INDEX('[1]Définition Maintenances'!$G:$G,MATCH($A82,'[1]Définition Maintenances'!$K:$K,0)),BT82,INDEX('[1]Définition Maintenances'!$G:$G,MATCH($A82,'[1]Définition Maintenances'!$K:$K,0))+BT82),BT82))</f>
        <v>462</v>
      </c>
      <c r="BV82" s="26">
        <f>IF(ISNUMBER(VLOOKUP($D82,'Visu totale'!$D:$DH,BV$1,0)),BU82-VLOOKUP($D82,'Visu totale'!$D:$DH,BV$1,0),IF(LEFT(VLOOKUP($D82,'Visu totale'!$D:$DH,BV$1,0),1)="V",IF(BU82&gt;=INDEX('[1]Définition Maintenances'!$G:$G,MATCH($A82,'[1]Définition Maintenances'!$K:$K,0)),BU82,INDEX('[1]Définition Maintenances'!$G:$G,MATCH($A82,'[1]Définition Maintenances'!$K:$K,0))+BU82),BU82))</f>
        <v>462</v>
      </c>
      <c r="BW82" s="26">
        <f>IF(ISNUMBER(VLOOKUP($D82,'Visu totale'!$D:$DH,BW$1,0)),BV82-VLOOKUP($D82,'Visu totale'!$D:$DH,BW$1,0),IF(LEFT(VLOOKUP($D82,'Visu totale'!$D:$DH,BW$1,0),1)="V",IF(BV82&gt;=INDEX('[1]Définition Maintenances'!$G:$G,MATCH($A82,'[1]Définition Maintenances'!$K:$K,0)),BV82,INDEX('[1]Définition Maintenances'!$G:$G,MATCH($A82,'[1]Définition Maintenances'!$K:$K,0))+BV82),BV82))</f>
        <v>462</v>
      </c>
      <c r="BX82" s="26">
        <f>IF(ISNUMBER(VLOOKUP($D82,'Visu totale'!$D:$DH,BX$1,0)),BW82-VLOOKUP($D82,'Visu totale'!$D:$DH,BX$1,0),IF(LEFT(VLOOKUP($D82,'Visu totale'!$D:$DH,BX$1,0),1)="V",IF(BW82&gt;=INDEX('[1]Définition Maintenances'!$G:$G,MATCH($A82,'[1]Définition Maintenances'!$K:$K,0)),BW82,INDEX('[1]Définition Maintenances'!$G:$G,MATCH($A82,'[1]Définition Maintenances'!$K:$K,0))+BW82),BW82))</f>
        <v>462</v>
      </c>
      <c r="BY82" s="27">
        <f>IF(ISNUMBER(VLOOKUP($D82,'Visu totale'!$D:$DH,BY$1,0)),BX82-VLOOKUP($D82,'Visu totale'!$D:$DH,BY$1,0),IF(LEFT(VLOOKUP($D82,'Visu totale'!$D:$DH,BY$1,0),1)="V",IF(BX82&gt;=INDEX('[1]Définition Maintenances'!$G:$G,MATCH($A82,'[1]Définition Maintenances'!$K:$K,0)),BX82,INDEX('[1]Définition Maintenances'!$G:$G,MATCH($A82,'[1]Définition Maintenances'!$K:$K,0))+BX82),BX82))</f>
        <v>462</v>
      </c>
      <c r="BZ82" s="25">
        <f>IF(ISNUMBER(VLOOKUP($D82,'Visu totale'!$D:$DH,BZ$1,0)),BY82-VLOOKUP($D82,'Visu totale'!$D:$DH,BZ$1,0),IF(LEFT(VLOOKUP($D82,'Visu totale'!$D:$DH,BZ$1,0),1)="V",IF(BY82&gt;=INDEX('[1]Définition Maintenances'!$G:$G,MATCH($A82,'[1]Définition Maintenances'!$K:$K,0)),BY82,INDEX('[1]Définition Maintenances'!$G:$G,MATCH($A82,'[1]Définition Maintenances'!$K:$K,0))+BY82),BY82))</f>
        <v>462</v>
      </c>
      <c r="CA82" s="26">
        <f>IF(ISNUMBER(VLOOKUP($D82,'Visu totale'!$D:$DH,CA$1,0)),BZ82-VLOOKUP($D82,'Visu totale'!$D:$DH,CA$1,0),IF(LEFT(VLOOKUP($D82,'Visu totale'!$D:$DH,CA$1,0),1)="V",IF(BZ82&gt;=INDEX('[1]Définition Maintenances'!$G:$G,MATCH($A82,'[1]Définition Maintenances'!$K:$K,0)),BZ82,INDEX('[1]Définition Maintenances'!$G:$G,MATCH($A82,'[1]Définition Maintenances'!$K:$K,0))+BZ82),BZ82))</f>
        <v>462</v>
      </c>
      <c r="CB82" s="26">
        <f>IF(ISNUMBER(VLOOKUP($D82,'Visu totale'!$D:$DH,CB$1,0)),CA82-VLOOKUP($D82,'Visu totale'!$D:$DH,CB$1,0),IF(LEFT(VLOOKUP($D82,'Visu totale'!$D:$DH,CB$1,0),1)="V",IF(CA82&gt;=INDEX('[1]Définition Maintenances'!$G:$G,MATCH($A82,'[1]Définition Maintenances'!$K:$K,0)),CA82,INDEX('[1]Définition Maintenances'!$G:$G,MATCH($A82,'[1]Définition Maintenances'!$K:$K,0))+CA82),CA82))</f>
        <v>462</v>
      </c>
      <c r="CC82" s="26">
        <f>IF(ISNUMBER(VLOOKUP($D82,'Visu totale'!$D:$DH,CC$1,0)),CB82-VLOOKUP($D82,'Visu totale'!$D:$DH,CC$1,0),IF(LEFT(VLOOKUP($D82,'Visu totale'!$D:$DH,CC$1,0),1)="V",IF(CB82&gt;=INDEX('[1]Définition Maintenances'!$G:$G,MATCH($A82,'[1]Définition Maintenances'!$K:$K,0)),CB82,INDEX('[1]Définition Maintenances'!$G:$G,MATCH($A82,'[1]Définition Maintenances'!$K:$K,0))+CB82),CB82))</f>
        <v>462</v>
      </c>
      <c r="CD82" s="26">
        <f>IF(ISNUMBER(VLOOKUP($D82,'Visu totale'!$D:$DH,CD$1,0)),CC82-VLOOKUP($D82,'Visu totale'!$D:$DH,CD$1,0),IF(LEFT(VLOOKUP($D82,'Visu totale'!$D:$DH,CD$1,0),1)="V",IF(CC82&gt;=INDEX('[1]Définition Maintenances'!$G:$G,MATCH($A82,'[1]Définition Maintenances'!$K:$K,0)),CC82,INDEX('[1]Définition Maintenances'!$G:$G,MATCH($A82,'[1]Définition Maintenances'!$K:$K,0))+CC82),CC82))</f>
        <v>462</v>
      </c>
      <c r="CE82" s="26">
        <f>IF(ISNUMBER(VLOOKUP($D82,'Visu totale'!$D:$DH,CE$1,0)),CD82-VLOOKUP($D82,'Visu totale'!$D:$DH,CE$1,0),IF(LEFT(VLOOKUP($D82,'Visu totale'!$D:$DH,CE$1,0),1)="V",IF(CD82&gt;=INDEX('[1]Définition Maintenances'!$G:$G,MATCH($A82,'[1]Définition Maintenances'!$K:$K,0)),CD82,INDEX('[1]Définition Maintenances'!$G:$G,MATCH($A82,'[1]Définition Maintenances'!$K:$K,0))+CD82),CD82))</f>
        <v>462</v>
      </c>
      <c r="CF82" s="26">
        <f>IF(ISNUMBER(VLOOKUP($D82,'Visu totale'!$D:$DH,CF$1,0)),CE82-VLOOKUP($D82,'Visu totale'!$D:$DH,CF$1,0),IF(LEFT(VLOOKUP($D82,'Visu totale'!$D:$DH,CF$1,0),1)="V",IF(CE82&gt;=INDEX('[1]Définition Maintenances'!$G:$G,MATCH($A82,'[1]Définition Maintenances'!$K:$K,0)),CE82,INDEX('[1]Définition Maintenances'!$G:$G,MATCH($A82,'[1]Définition Maintenances'!$K:$K,0))+CE82),CE82))</f>
        <v>462</v>
      </c>
      <c r="CG82" s="26">
        <f>IF(ISNUMBER(VLOOKUP($D82,'Visu totale'!$D:$DH,CG$1,0)),CF82-VLOOKUP($D82,'Visu totale'!$D:$DH,CG$1,0),IF(LEFT(VLOOKUP($D82,'Visu totale'!$D:$DH,CG$1,0),1)="V",IF(CF82&gt;=INDEX('[1]Définition Maintenances'!$G:$G,MATCH($A82,'[1]Définition Maintenances'!$K:$K,0)),CF82,INDEX('[1]Définition Maintenances'!$G:$G,MATCH($A82,'[1]Définition Maintenances'!$K:$K,0))+CF82),CF82))</f>
        <v>462</v>
      </c>
      <c r="CH82" s="26">
        <f>IF(ISNUMBER(VLOOKUP($D82,'Visu totale'!$D:$DH,CH$1,0)),CG82-VLOOKUP($D82,'Visu totale'!$D:$DH,CH$1,0),IF(LEFT(VLOOKUP($D82,'Visu totale'!$D:$DH,CH$1,0),1)="V",IF(CG82&gt;=INDEX('[1]Définition Maintenances'!$G:$G,MATCH($A82,'[1]Définition Maintenances'!$K:$K,0)),CG82,INDEX('[1]Définition Maintenances'!$G:$G,MATCH($A82,'[1]Définition Maintenances'!$K:$K,0))+CG82),CG82))</f>
        <v>462</v>
      </c>
      <c r="CI82" s="26">
        <f>IF(ISNUMBER(VLOOKUP($D82,'Visu totale'!$D:$DH,CI$1,0)),CH82-VLOOKUP($D82,'Visu totale'!$D:$DH,CI$1,0),IF(LEFT(VLOOKUP($D82,'Visu totale'!$D:$DH,CI$1,0),1)="V",IF(CH82&gt;=INDEX('[1]Définition Maintenances'!$G:$G,MATCH($A82,'[1]Définition Maintenances'!$K:$K,0)),CH82,INDEX('[1]Définition Maintenances'!$G:$G,MATCH($A82,'[1]Définition Maintenances'!$K:$K,0))+CH82),CH82))</f>
        <v>462</v>
      </c>
      <c r="CJ82" s="26">
        <f>IF(ISNUMBER(VLOOKUP($D82,'Visu totale'!$D:$DH,CJ$1,0)),CI82-VLOOKUP($D82,'Visu totale'!$D:$DH,CJ$1,0),IF(LEFT(VLOOKUP($D82,'Visu totale'!$D:$DH,CJ$1,0),1)="V",IF(CI82&gt;=INDEX('[1]Définition Maintenances'!$G:$G,MATCH($A82,'[1]Définition Maintenances'!$K:$K,0)),CI82,INDEX('[1]Définition Maintenances'!$G:$G,MATCH($A82,'[1]Définition Maintenances'!$K:$K,0))+CI82),CI82))</f>
        <v>462</v>
      </c>
      <c r="CK82" s="27">
        <f>IF(ISNUMBER(VLOOKUP($D82,'Visu totale'!$D:$DH,CK$1,0)),CJ82-VLOOKUP($D82,'Visu totale'!$D:$DH,CK$1,0),IF(LEFT(VLOOKUP($D82,'Visu totale'!$D:$DH,CK$1,0),1)="V",IF(CJ82&gt;=INDEX('[1]Définition Maintenances'!$G:$G,MATCH($A82,'[1]Définition Maintenances'!$K:$K,0)),CJ82,INDEX('[1]Définition Maintenances'!$G:$G,MATCH($A82,'[1]Définition Maintenances'!$K:$K,0))+CJ82),CJ82))</f>
        <v>462</v>
      </c>
      <c r="CL82" s="25">
        <f>IF(ISNUMBER(VLOOKUP($D82,'Visu totale'!$D:$DH,CL$1,0)),CK82-VLOOKUP($D82,'Visu totale'!$D:$DH,CL$1,0),IF(LEFT(VLOOKUP($D82,'Visu totale'!$D:$DH,CL$1,0),1)="V",IF(CK82&gt;=INDEX('[1]Définition Maintenances'!$G:$G,MATCH($A82,'[1]Définition Maintenances'!$K:$K,0)),CK82,INDEX('[1]Définition Maintenances'!$G:$G,MATCH($A82,'[1]Définition Maintenances'!$K:$K,0))+CK82),CK82))</f>
        <v>462</v>
      </c>
      <c r="CM82" s="26">
        <f>IF(ISNUMBER(VLOOKUP($D82,'Visu totale'!$D:$DH,CM$1,0)),CL82-VLOOKUP($D82,'Visu totale'!$D:$DH,CM$1,0),IF(LEFT(VLOOKUP($D82,'Visu totale'!$D:$DH,CM$1,0),1)="V",IF(CL82&gt;=INDEX('[1]Définition Maintenances'!$G:$G,MATCH($A82,'[1]Définition Maintenances'!$K:$K,0)),CL82,INDEX('[1]Définition Maintenances'!$G:$G,MATCH($A82,'[1]Définition Maintenances'!$K:$K,0))+CL82),CL82))</f>
        <v>462</v>
      </c>
      <c r="CN82" s="26">
        <f>IF(ISNUMBER(VLOOKUP($D82,'Visu totale'!$D:$DH,CN$1,0)),CM82-VLOOKUP($D82,'Visu totale'!$D:$DH,CN$1,0),IF(LEFT(VLOOKUP($D82,'Visu totale'!$D:$DH,CN$1,0),1)="V",IF(CM82&gt;=INDEX('[1]Définition Maintenances'!$G:$G,MATCH($A82,'[1]Définition Maintenances'!$K:$K,0)),CM82,INDEX('[1]Définition Maintenances'!$G:$G,MATCH($A82,'[1]Définition Maintenances'!$K:$K,0))+CM82),CM82))</f>
        <v>462</v>
      </c>
      <c r="CO82" s="26">
        <f>IF(ISNUMBER(VLOOKUP($D82,'Visu totale'!$D:$DH,CO$1,0)),CN82-VLOOKUP($D82,'Visu totale'!$D:$DH,CO$1,0),IF(LEFT(VLOOKUP($D82,'Visu totale'!$D:$DH,CO$1,0),1)="V",IF(CN82&gt;=INDEX('[1]Définition Maintenances'!$G:$G,MATCH($A82,'[1]Définition Maintenances'!$K:$K,0)),CN82,INDEX('[1]Définition Maintenances'!$G:$G,MATCH($A82,'[1]Définition Maintenances'!$K:$K,0))+CN82),CN82))</f>
        <v>462</v>
      </c>
      <c r="CP82" s="26">
        <f>IF(ISNUMBER(VLOOKUP($D82,'Visu totale'!$D:$DH,CP$1,0)),CO82-VLOOKUP($D82,'Visu totale'!$D:$DH,CP$1,0),IF(LEFT(VLOOKUP($D82,'Visu totale'!$D:$DH,CP$1,0),1)="V",IF(CO82&gt;=INDEX('[1]Définition Maintenances'!$G:$G,MATCH($A82,'[1]Définition Maintenances'!$K:$K,0)),CO82,INDEX('[1]Définition Maintenances'!$G:$G,MATCH($A82,'[1]Définition Maintenances'!$K:$K,0))+CO82),CO82))</f>
        <v>462</v>
      </c>
      <c r="CQ82" s="26">
        <f>IF(ISNUMBER(VLOOKUP($D82,'Visu totale'!$D:$DH,CQ$1,0)),CP82-VLOOKUP($D82,'Visu totale'!$D:$DH,CQ$1,0),IF(LEFT(VLOOKUP($D82,'Visu totale'!$D:$DH,CQ$1,0),1)="V",IF(CP82&gt;=INDEX('[1]Définition Maintenances'!$G:$G,MATCH($A82,'[1]Définition Maintenances'!$K:$K,0)),CP82,INDEX('[1]Définition Maintenances'!$G:$G,MATCH($A82,'[1]Définition Maintenances'!$K:$K,0))+CP82),CP82))</f>
        <v>462</v>
      </c>
      <c r="CR82" s="26">
        <f>IF(ISNUMBER(VLOOKUP($D82,'Visu totale'!$D:$DH,CR$1,0)),CQ82-VLOOKUP($D82,'Visu totale'!$D:$DH,CR$1,0),IF(LEFT(VLOOKUP($D82,'Visu totale'!$D:$DH,CR$1,0),1)="V",IF(CQ82&gt;=INDEX('[1]Définition Maintenances'!$G:$G,MATCH($A82,'[1]Définition Maintenances'!$K:$K,0)),CQ82,INDEX('[1]Définition Maintenances'!$G:$G,MATCH($A82,'[1]Définition Maintenances'!$K:$K,0))+CQ82),CQ82))</f>
        <v>462</v>
      </c>
      <c r="CS82" s="26">
        <f>IF(ISNUMBER(VLOOKUP($D82,'Visu totale'!$D:$DH,CS$1,0)),CR82-VLOOKUP($D82,'Visu totale'!$D:$DH,CS$1,0),IF(LEFT(VLOOKUP($D82,'Visu totale'!$D:$DH,CS$1,0),1)="V",IF(CR82&gt;=INDEX('[1]Définition Maintenances'!$G:$G,MATCH($A82,'[1]Définition Maintenances'!$K:$K,0)),CR82,INDEX('[1]Définition Maintenances'!$G:$G,MATCH($A82,'[1]Définition Maintenances'!$K:$K,0))+CR82),CR82))</f>
        <v>462</v>
      </c>
      <c r="CT82" s="26">
        <f>IF(ISNUMBER(VLOOKUP($D82,'Visu totale'!$D:$DH,CT$1,0)),CS82-VLOOKUP($D82,'Visu totale'!$D:$DH,CT$1,0),IF(LEFT(VLOOKUP($D82,'Visu totale'!$D:$DH,CT$1,0),1)="V",IF(CS82&gt;=INDEX('[1]Définition Maintenances'!$G:$G,MATCH($A82,'[1]Définition Maintenances'!$K:$K,0)),CS82,INDEX('[1]Définition Maintenances'!$G:$G,MATCH($A82,'[1]Définition Maintenances'!$K:$K,0))+CS82),CS82))</f>
        <v>462</v>
      </c>
      <c r="CU82" s="26">
        <f>IF(ISNUMBER(VLOOKUP($D82,'Visu totale'!$D:$DH,CU$1,0)),CT82-VLOOKUP($D82,'Visu totale'!$D:$DH,CU$1,0),IF(LEFT(VLOOKUP($D82,'Visu totale'!$D:$DH,CU$1,0),1)="V",IF(CT82&gt;=INDEX('[1]Définition Maintenances'!$G:$G,MATCH($A82,'[1]Définition Maintenances'!$K:$K,0)),CT82,INDEX('[1]Définition Maintenances'!$G:$G,MATCH($A82,'[1]Définition Maintenances'!$K:$K,0))+CT82),CT82))</f>
        <v>462</v>
      </c>
      <c r="CV82" s="26">
        <f>IF(ISNUMBER(VLOOKUP($D82,'Visu totale'!$D:$DH,CV$1,0)),CU82-VLOOKUP($D82,'Visu totale'!$D:$DH,CV$1,0),IF(LEFT(VLOOKUP($D82,'Visu totale'!$D:$DH,CV$1,0),1)="V",IF(CU82&gt;=INDEX('[1]Définition Maintenances'!$G:$G,MATCH($A82,'[1]Définition Maintenances'!$K:$K,0)),CU82,INDEX('[1]Définition Maintenances'!$G:$G,MATCH($A82,'[1]Définition Maintenances'!$K:$K,0))+CU82),CU82))</f>
        <v>462</v>
      </c>
      <c r="CW82" s="27">
        <f>IF(ISNUMBER(VLOOKUP($D82,'Visu totale'!$D:$DH,CW$1,0)),CV82-VLOOKUP($D82,'Visu totale'!$D:$DH,CW$1,0),IF(LEFT(VLOOKUP($D82,'Visu totale'!$D:$DH,CW$1,0),1)="V",IF(CV82&gt;=INDEX('[1]Définition Maintenances'!$G:$G,MATCH($A82,'[1]Définition Maintenances'!$K:$K,0)),CV82,INDEX('[1]Définition Maintenances'!$G:$G,MATCH($A82,'[1]Définition Maintenances'!$K:$K,0))+CV82),CV82))</f>
        <v>462</v>
      </c>
      <c r="CX82" s="25">
        <f>IF(ISNUMBER(VLOOKUP($D82,'Visu totale'!$D:$DH,CX$1,0)),CW82-VLOOKUP($D82,'Visu totale'!$D:$DH,CX$1,0),IF(LEFT(VLOOKUP($D82,'Visu totale'!$D:$DH,CX$1,0),1)="V",IF(CW82&gt;=INDEX('[1]Définition Maintenances'!$G:$G,MATCH($A82,'[1]Définition Maintenances'!$K:$K,0)),CW82,INDEX('[1]Définition Maintenances'!$G:$G,MATCH($A82,'[1]Définition Maintenances'!$K:$K,0))+CW82),CW82))</f>
        <v>462</v>
      </c>
      <c r="CY82" s="26">
        <f>IF(ISNUMBER(VLOOKUP($D82,'Visu totale'!$D:$DH,CY$1,0)),CX82-VLOOKUP($D82,'Visu totale'!$D:$DH,CY$1,0),IF(LEFT(VLOOKUP($D82,'Visu totale'!$D:$DH,CY$1,0),1)="V",IF(CX82&gt;=INDEX('[1]Définition Maintenances'!$G:$G,MATCH($A82,'[1]Définition Maintenances'!$K:$K,0)),CX82,INDEX('[1]Définition Maintenances'!$G:$G,MATCH($A82,'[1]Définition Maintenances'!$K:$K,0))+CX82),CX82))</f>
        <v>462</v>
      </c>
      <c r="CZ82" s="26">
        <f>IF(ISNUMBER(VLOOKUP($D82,'Visu totale'!$D:$DH,CZ$1,0)),CY82-VLOOKUP($D82,'Visu totale'!$D:$DH,CZ$1,0),IF(LEFT(VLOOKUP($D82,'Visu totale'!$D:$DH,CZ$1,0),1)="V",IF(CY82&gt;=INDEX('[1]Définition Maintenances'!$G:$G,MATCH($A82,'[1]Définition Maintenances'!$K:$K,0)),CY82,INDEX('[1]Définition Maintenances'!$G:$G,MATCH($A82,'[1]Définition Maintenances'!$K:$K,0))+CY82),CY82))</f>
        <v>462</v>
      </c>
      <c r="DA82" s="26">
        <f>IF(ISNUMBER(VLOOKUP($D82,'Visu totale'!$D:$DH,DA$1,0)),CZ82-VLOOKUP($D82,'Visu totale'!$D:$DH,DA$1,0),IF(LEFT(VLOOKUP($D82,'Visu totale'!$D:$DH,DA$1,0),1)="V",IF(CZ82&gt;=INDEX('[1]Définition Maintenances'!$G:$G,MATCH($A82,'[1]Définition Maintenances'!$K:$K,0)),CZ82,INDEX('[1]Définition Maintenances'!$G:$G,MATCH($A82,'[1]Définition Maintenances'!$K:$K,0))+CZ82),CZ82))</f>
        <v>462</v>
      </c>
      <c r="DB82" s="26">
        <f>IF(ISNUMBER(VLOOKUP($D82,'Visu totale'!$D:$DH,DB$1,0)),DA82-VLOOKUP($D82,'Visu totale'!$D:$DH,DB$1,0),IF(LEFT(VLOOKUP($D82,'Visu totale'!$D:$DH,DB$1,0),1)="V",IF(DA82&gt;=INDEX('[1]Définition Maintenances'!$G:$G,MATCH($A82,'[1]Définition Maintenances'!$K:$K,0)),DA82,INDEX('[1]Définition Maintenances'!$G:$G,MATCH($A82,'[1]Définition Maintenances'!$K:$K,0))+DA82),DA82))</f>
        <v>462</v>
      </c>
      <c r="DC82" s="26">
        <f>IF(ISNUMBER(VLOOKUP($D82,'Visu totale'!$D:$DH,DC$1,0)),DB82-VLOOKUP($D82,'Visu totale'!$D:$DH,DC$1,0),IF(LEFT(VLOOKUP($D82,'Visu totale'!$D:$DH,DC$1,0),1)="V",IF(DB82&gt;=INDEX('[1]Définition Maintenances'!$G:$G,MATCH($A82,'[1]Définition Maintenances'!$K:$K,0)),DB82,INDEX('[1]Définition Maintenances'!$G:$G,MATCH($A82,'[1]Définition Maintenances'!$K:$K,0))+DB82),DB82))</f>
        <v>462</v>
      </c>
      <c r="DD82" s="26">
        <f>IF(ISNUMBER(VLOOKUP($D82,'Visu totale'!$D:$DH,DD$1,0)),DC82-VLOOKUP($D82,'Visu totale'!$D:$DH,DD$1,0),IF(LEFT(VLOOKUP($D82,'Visu totale'!$D:$DH,DD$1,0),1)="V",IF(DC82&gt;=INDEX('[1]Définition Maintenances'!$G:$G,MATCH($A82,'[1]Définition Maintenances'!$K:$K,0)),DC82,INDEX('[1]Définition Maintenances'!$G:$G,MATCH($A82,'[1]Définition Maintenances'!$K:$K,0))+DC82),DC82))</f>
        <v>462</v>
      </c>
      <c r="DE82" s="26">
        <f>IF(ISNUMBER(VLOOKUP($D82,'Visu totale'!$D:$DH,DE$1,0)),DD82-VLOOKUP($D82,'Visu totale'!$D:$DH,DE$1,0),IF(LEFT(VLOOKUP($D82,'Visu totale'!$D:$DH,DE$1,0),1)="V",IF(DD82&gt;=INDEX('[1]Définition Maintenances'!$G:$G,MATCH($A82,'[1]Définition Maintenances'!$K:$K,0)),DD82,INDEX('[1]Définition Maintenances'!$G:$G,MATCH($A82,'[1]Définition Maintenances'!$K:$K,0))+DD82),DD82))</f>
        <v>462</v>
      </c>
      <c r="DF82" s="26">
        <f>IF(ISNUMBER(VLOOKUP($D82,'Visu totale'!$D:$DH,DF$1,0)),DE82-VLOOKUP($D82,'Visu totale'!$D:$DH,DF$1,0),IF(LEFT(VLOOKUP($D82,'Visu totale'!$D:$DH,DF$1,0),1)="V",IF(DE82&gt;=INDEX('[1]Définition Maintenances'!$G:$G,MATCH($A82,'[1]Définition Maintenances'!$K:$K,0)),DE82,INDEX('[1]Définition Maintenances'!$G:$G,MATCH($A82,'[1]Définition Maintenances'!$K:$K,0))+DE82),DE82))</f>
        <v>462</v>
      </c>
      <c r="DG82" s="26">
        <f>IF(ISNUMBER(VLOOKUP($D82,'Visu totale'!$D:$DH,DG$1,0)),DF82-VLOOKUP($D82,'Visu totale'!$D:$DH,DG$1,0),IF(LEFT(VLOOKUP($D82,'Visu totale'!$D:$DH,DG$1,0),1)="V",IF(DF82&gt;=INDEX('[1]Définition Maintenances'!$G:$G,MATCH($A82,'[1]Définition Maintenances'!$K:$K,0)),DF82,INDEX('[1]Définition Maintenances'!$G:$G,MATCH($A82,'[1]Définition Maintenances'!$K:$K,0))+DF82),DF82))</f>
        <v>462</v>
      </c>
      <c r="DH82" s="26">
        <f>IF(ISNUMBER(VLOOKUP($D82,'Visu totale'!$D:$DH,DH$1,0)),DG82-VLOOKUP($D82,'Visu totale'!$D:$DH,DH$1,0),IF(LEFT(VLOOKUP($D82,'Visu totale'!$D:$DH,DH$1,0),1)="V",IF(DG82&gt;=INDEX('[1]Définition Maintenances'!$G:$G,MATCH($A82,'[1]Définition Maintenances'!$K:$K,0)),DG82,INDEX('[1]Définition Maintenances'!$G:$G,MATCH($A82,'[1]Définition Maintenances'!$K:$K,0))+DG82),DG82))</f>
        <v>462</v>
      </c>
      <c r="DI82" s="27">
        <f>IF(ISNUMBER(VLOOKUP($D82,'Visu totale'!$D:$DH,DI$1,0)),DH82-VLOOKUP($D82,'Visu totale'!$D:$DH,DI$1,0),IF(LEFT(VLOOKUP($D82,'Visu totale'!$D:$DH,DI$1,0),1)="V",IF(DH82&gt;=INDEX('[1]Définition Maintenances'!$G:$G,MATCH($A82,'[1]Définition Maintenances'!$K:$K,0)),DH82,INDEX('[1]Définition Maintenances'!$G:$G,MATCH($A82,'[1]Définition Maintenances'!$K:$K,0))+DH82),DH82))</f>
        <v>462</v>
      </c>
    </row>
    <row r="83" spans="1:113" x14ac:dyDescent="0.25">
      <c r="A83" s="13" t="str">
        <f t="shared" si="2"/>
        <v>V10B</v>
      </c>
      <c r="B83" s="13" t="str">
        <f>VLOOKUP(D83,'[1]Avions (Potentiels)'!$B$2:$H$128,7,FALSE)</f>
        <v>V10</v>
      </c>
      <c r="C83" s="13"/>
      <c r="D83" s="16" t="s">
        <v>86</v>
      </c>
      <c r="E83" s="13">
        <f>IFERROR(VALUE(SUBSTITUTE(VLOOKUP(D83,'[1]Avions (Potentiels)'!$B:$E,4,0),".",",")),VALUE(VLOOKUP(D83,'[1]Avions (Potentiels)'!$B:$E,4,0)))</f>
        <v>337</v>
      </c>
      <c r="F83" s="25">
        <f>IF(ISNUMBER(VLOOKUP($D83,'Visu totale'!$D:$DH,F$1,0)),E83-VLOOKUP($D83,'Visu totale'!$D:$DH,F$1,0),IF(LEFT(VLOOKUP($D83,'Visu totale'!$D:$DH,F$1,0),1)="V",IF(E83&gt;=INDEX('[1]Définition Maintenances'!$G:$G,MATCH($A83,'[1]Définition Maintenances'!$K:$K,0)),E83,INDEX('[1]Définition Maintenances'!$G:$G,MATCH($A83,'[1]Définition Maintenances'!$K:$K,0))+E83),E83))</f>
        <v>337</v>
      </c>
      <c r="G83" s="26">
        <f>IF(ISNUMBER(VLOOKUP($D83,'Visu totale'!$D:$DH,G$1,0)),F83-VLOOKUP($D83,'Visu totale'!$D:$DH,G$1,0),IF(LEFT(VLOOKUP($D83,'Visu totale'!$D:$DH,G$1,0),1)="V",IF(F83&gt;=INDEX('[1]Définition Maintenances'!$G:$G,MATCH($A83,'[1]Définition Maintenances'!$K:$K,0)),F83,INDEX('[1]Définition Maintenances'!$G:$G,MATCH($A83,'[1]Définition Maintenances'!$K:$K,0))+F83),F83))</f>
        <v>337</v>
      </c>
      <c r="H83" s="26">
        <f>IF(ISNUMBER(VLOOKUP($D83,'Visu totale'!$D:$DH,H$1,0)),G83-VLOOKUP($D83,'Visu totale'!$D:$DH,H$1,0),IF(LEFT(VLOOKUP($D83,'Visu totale'!$D:$DH,H$1,0),1)="V",IF(G83&gt;=INDEX('[1]Définition Maintenances'!$G:$G,MATCH($A83,'[1]Définition Maintenances'!$K:$K,0)),G83,INDEX('[1]Définition Maintenances'!$G:$G,MATCH($A83,'[1]Définition Maintenances'!$K:$K,0))+G83),G83))</f>
        <v>337</v>
      </c>
      <c r="I83" s="26">
        <f>IF(ISNUMBER(VLOOKUP($D83,'Visu totale'!$D:$DH,I$1,0)),H83-VLOOKUP($D83,'Visu totale'!$D:$DH,I$1,0),IF(LEFT(VLOOKUP($D83,'Visu totale'!$D:$DH,I$1,0),1)="V",IF(H83&gt;=INDEX('[1]Définition Maintenances'!$G:$G,MATCH($A83,'[1]Définition Maintenances'!$K:$K,0)),H83,INDEX('[1]Définition Maintenances'!$G:$G,MATCH($A83,'[1]Définition Maintenances'!$K:$K,0))+H83),H83))</f>
        <v>337</v>
      </c>
      <c r="J83" s="26">
        <f>IF(ISNUMBER(VLOOKUP($D83,'Visu totale'!$D:$DH,J$1,0)),I83-VLOOKUP($D83,'Visu totale'!$D:$DH,J$1,0),IF(LEFT(VLOOKUP($D83,'Visu totale'!$D:$DH,J$1,0),1)="V",IF(I83&gt;=INDEX('[1]Définition Maintenances'!$G:$G,MATCH($A83,'[1]Définition Maintenances'!$K:$K,0)),I83,INDEX('[1]Définition Maintenances'!$G:$G,MATCH($A83,'[1]Définition Maintenances'!$K:$K,0))+I83),I83))</f>
        <v>337</v>
      </c>
      <c r="K83" s="26">
        <f>IF(ISNUMBER(VLOOKUP($D83,'Visu totale'!$D:$DH,K$1,0)),J83-VLOOKUP($D83,'Visu totale'!$D:$DH,K$1,0),IF(LEFT(VLOOKUP($D83,'Visu totale'!$D:$DH,K$1,0),1)="V",IF(J83&gt;=INDEX('[1]Définition Maintenances'!$G:$G,MATCH($A83,'[1]Définition Maintenances'!$K:$K,0)),J83,INDEX('[1]Définition Maintenances'!$G:$G,MATCH($A83,'[1]Définition Maintenances'!$K:$K,0))+J83),J83))</f>
        <v>337</v>
      </c>
      <c r="L83" s="26">
        <f>IF(ISNUMBER(VLOOKUP($D83,'Visu totale'!$D:$DH,L$1,0)),K83-VLOOKUP($D83,'Visu totale'!$D:$DH,L$1,0),IF(LEFT(VLOOKUP($D83,'Visu totale'!$D:$DH,L$1,0),1)="V",IF(K83&gt;=INDEX('[1]Définition Maintenances'!$G:$G,MATCH($A83,'[1]Définition Maintenances'!$K:$K,0)),K83,INDEX('[1]Définition Maintenances'!$G:$G,MATCH($A83,'[1]Définition Maintenances'!$K:$K,0))+K83),K83))</f>
        <v>337</v>
      </c>
      <c r="M83" s="26">
        <f>IF(ISNUMBER(VLOOKUP($D83,'Visu totale'!$D:$DH,M$1,0)),L83-VLOOKUP($D83,'Visu totale'!$D:$DH,M$1,0),IF(LEFT(VLOOKUP($D83,'Visu totale'!$D:$DH,M$1,0),1)="V",IF(L83&gt;=INDEX('[1]Définition Maintenances'!$G:$G,MATCH($A83,'[1]Définition Maintenances'!$K:$K,0)),L83,INDEX('[1]Définition Maintenances'!$G:$G,MATCH($A83,'[1]Définition Maintenances'!$K:$K,0))+L83),L83))</f>
        <v>337</v>
      </c>
      <c r="N83" s="26">
        <f>IF(ISNUMBER(VLOOKUP($D83,'Visu totale'!$D:$DH,N$1,0)),M83-VLOOKUP($D83,'Visu totale'!$D:$DH,N$1,0),IF(LEFT(VLOOKUP($D83,'Visu totale'!$D:$DH,N$1,0),1)="V",IF(M83&gt;=INDEX('[1]Définition Maintenances'!$G:$G,MATCH($A83,'[1]Définition Maintenances'!$K:$K,0)),M83,INDEX('[1]Définition Maintenances'!$G:$G,MATCH($A83,'[1]Définition Maintenances'!$K:$K,0))+M83),M83))</f>
        <v>337</v>
      </c>
      <c r="O83" s="26">
        <f>IF(ISNUMBER(VLOOKUP($D83,'Visu totale'!$D:$DH,O$1,0)),N83-VLOOKUP($D83,'Visu totale'!$D:$DH,O$1,0),IF(LEFT(VLOOKUP($D83,'Visu totale'!$D:$DH,O$1,0),1)="V",IF(N83&gt;=INDEX('[1]Définition Maintenances'!$G:$G,MATCH($A83,'[1]Définition Maintenances'!$K:$K,0)),N83,INDEX('[1]Définition Maintenances'!$G:$G,MATCH($A83,'[1]Définition Maintenances'!$K:$K,0))+N83),N83))</f>
        <v>337</v>
      </c>
      <c r="P83" s="26">
        <f>IF(ISNUMBER(VLOOKUP($D83,'Visu totale'!$D:$DH,P$1,0)),O83-VLOOKUP($D83,'Visu totale'!$D:$DH,P$1,0),IF(LEFT(VLOOKUP($D83,'Visu totale'!$D:$DH,P$1,0),1)="V",IF(O83&gt;=INDEX('[1]Définition Maintenances'!$G:$G,MATCH($A83,'[1]Définition Maintenances'!$K:$K,0)),O83,INDEX('[1]Définition Maintenances'!$G:$G,MATCH($A83,'[1]Définition Maintenances'!$K:$K,0))+O83),O83))</f>
        <v>337</v>
      </c>
      <c r="Q83" s="27">
        <f>IF(ISNUMBER(VLOOKUP($D83,'Visu totale'!$D:$DH,Q$1,0)),P83-VLOOKUP($D83,'Visu totale'!$D:$DH,Q$1,0),IF(LEFT(VLOOKUP($D83,'Visu totale'!$D:$DH,Q$1,0),1)="V",IF(P83&gt;=INDEX('[1]Définition Maintenances'!$G:$G,MATCH($A83,'[1]Définition Maintenances'!$K:$K,0)),P83,INDEX('[1]Définition Maintenances'!$G:$G,MATCH($A83,'[1]Définition Maintenances'!$K:$K,0))+P83),P83))</f>
        <v>337</v>
      </c>
      <c r="R83" s="25">
        <f>IF(ISNUMBER(VLOOKUP($D83,'Visu totale'!$D:$DH,R$1,0)),Q83-VLOOKUP($D83,'Visu totale'!$D:$DH,R$1,0),IF(LEFT(VLOOKUP($D83,'Visu totale'!$D:$DH,R$1,0),1)="V",IF(Q83&gt;=INDEX('[1]Définition Maintenances'!$G:$G,MATCH($A83,'[1]Définition Maintenances'!$K:$K,0)),Q83,INDEX('[1]Définition Maintenances'!$G:$G,MATCH($A83,'[1]Définition Maintenances'!$K:$K,0))+Q83),Q83))</f>
        <v>337</v>
      </c>
      <c r="S83" s="26">
        <f>IF(ISNUMBER(VLOOKUP($D83,'Visu totale'!$D:$DH,S$1,0)),R83-VLOOKUP($D83,'Visu totale'!$D:$DH,S$1,0),IF(LEFT(VLOOKUP($D83,'Visu totale'!$D:$DH,S$1,0),1)="V",IF(R83&gt;=INDEX('[1]Définition Maintenances'!$G:$G,MATCH($A83,'[1]Définition Maintenances'!$K:$K,0)),R83,INDEX('[1]Définition Maintenances'!$G:$G,MATCH($A83,'[1]Définition Maintenances'!$K:$K,0))+R83),R83))</f>
        <v>337</v>
      </c>
      <c r="T83" s="26">
        <f>IF(ISNUMBER(VLOOKUP($D83,'Visu totale'!$D:$DH,T$1,0)),S83-VLOOKUP($D83,'Visu totale'!$D:$DH,T$1,0),IF(LEFT(VLOOKUP($D83,'Visu totale'!$D:$DH,T$1,0),1)="V",IF(S83&gt;=INDEX('[1]Définition Maintenances'!$G:$G,MATCH($A83,'[1]Définition Maintenances'!$K:$K,0)),S83,INDEX('[1]Définition Maintenances'!$G:$G,MATCH($A83,'[1]Définition Maintenances'!$K:$K,0))+S83),S83))</f>
        <v>337</v>
      </c>
      <c r="U83" s="26">
        <f>IF(ISNUMBER(VLOOKUP($D83,'Visu totale'!$D:$DH,U$1,0)),T83-VLOOKUP($D83,'Visu totale'!$D:$DH,U$1,0),IF(LEFT(VLOOKUP($D83,'Visu totale'!$D:$DH,U$1,0),1)="V",IF(T83&gt;=INDEX('[1]Définition Maintenances'!$G:$G,MATCH($A83,'[1]Définition Maintenances'!$K:$K,0)),T83,INDEX('[1]Définition Maintenances'!$G:$G,MATCH($A83,'[1]Définition Maintenances'!$K:$K,0))+T83),T83))</f>
        <v>337</v>
      </c>
      <c r="V83" s="26">
        <f>IF(ISNUMBER(VLOOKUP($D83,'Visu totale'!$D:$DH,V$1,0)),U83-VLOOKUP($D83,'Visu totale'!$D:$DH,V$1,0),IF(LEFT(VLOOKUP($D83,'Visu totale'!$D:$DH,V$1,0),1)="V",IF(U83&gt;=INDEX('[1]Définition Maintenances'!$G:$G,MATCH($A83,'[1]Définition Maintenances'!$K:$K,0)),U83,INDEX('[1]Définition Maintenances'!$G:$G,MATCH($A83,'[1]Définition Maintenances'!$K:$K,0))+U83),U83))</f>
        <v>337</v>
      </c>
      <c r="W83" s="26">
        <f>IF(ISNUMBER(VLOOKUP($D83,'Visu totale'!$D:$DH,W$1,0)),V83-VLOOKUP($D83,'Visu totale'!$D:$DH,W$1,0),IF(LEFT(VLOOKUP($D83,'Visu totale'!$D:$DH,W$1,0),1)="V",IF(V83&gt;=INDEX('[1]Définition Maintenances'!$G:$G,MATCH($A83,'[1]Définition Maintenances'!$K:$K,0)),V83,INDEX('[1]Définition Maintenances'!$G:$G,MATCH($A83,'[1]Définition Maintenances'!$K:$K,0))+V83),V83))</f>
        <v>337</v>
      </c>
      <c r="X83" s="26">
        <f>IF(ISNUMBER(VLOOKUP($D83,'Visu totale'!$D:$DH,X$1,0)),W83-VLOOKUP($D83,'Visu totale'!$D:$DH,X$1,0),IF(LEFT(VLOOKUP($D83,'Visu totale'!$D:$DH,X$1,0),1)="V",IF(W83&gt;=INDEX('[1]Définition Maintenances'!$G:$G,MATCH($A83,'[1]Définition Maintenances'!$K:$K,0)),W83,INDEX('[1]Définition Maintenances'!$G:$G,MATCH($A83,'[1]Définition Maintenances'!$K:$K,0))+W83),W83))</f>
        <v>337</v>
      </c>
      <c r="Y83" s="26">
        <f>IF(ISNUMBER(VLOOKUP($D83,'Visu totale'!$D:$DH,Y$1,0)),X83-VLOOKUP($D83,'Visu totale'!$D:$DH,Y$1,0),IF(LEFT(VLOOKUP($D83,'Visu totale'!$D:$DH,Y$1,0),1)="V",IF(X83&gt;=INDEX('[1]Définition Maintenances'!$G:$G,MATCH($A83,'[1]Définition Maintenances'!$K:$K,0)),X83,INDEX('[1]Définition Maintenances'!$G:$G,MATCH($A83,'[1]Définition Maintenances'!$K:$K,0))+X83),X83))</f>
        <v>337</v>
      </c>
      <c r="Z83" s="26">
        <f>IF(ISNUMBER(VLOOKUP($D83,'Visu totale'!$D:$DH,Z$1,0)),Y83-VLOOKUP($D83,'Visu totale'!$D:$DH,Z$1,0),IF(LEFT(VLOOKUP($D83,'Visu totale'!$D:$DH,Z$1,0),1)="V",IF(Y83&gt;=INDEX('[1]Définition Maintenances'!$G:$G,MATCH($A83,'[1]Définition Maintenances'!$K:$K,0)),Y83,INDEX('[1]Définition Maintenances'!$G:$G,MATCH($A83,'[1]Définition Maintenances'!$K:$K,0))+Y83),Y83))</f>
        <v>337</v>
      </c>
      <c r="AA83" s="26">
        <f>IF(ISNUMBER(VLOOKUP($D83,'Visu totale'!$D:$DH,AA$1,0)),Z83-VLOOKUP($D83,'Visu totale'!$D:$DH,AA$1,0),IF(LEFT(VLOOKUP($D83,'Visu totale'!$D:$DH,AA$1,0),1)="V",IF(Z83&gt;=INDEX('[1]Définition Maintenances'!$G:$G,MATCH($A83,'[1]Définition Maintenances'!$K:$K,0)),Z83,INDEX('[1]Définition Maintenances'!$G:$G,MATCH($A83,'[1]Définition Maintenances'!$K:$K,0))+Z83),Z83))</f>
        <v>337</v>
      </c>
      <c r="AB83" s="26">
        <f>IF(ISNUMBER(VLOOKUP($D83,'Visu totale'!$D:$DH,AB$1,0)),AA83-VLOOKUP($D83,'Visu totale'!$D:$DH,AB$1,0),IF(LEFT(VLOOKUP($D83,'Visu totale'!$D:$DH,AB$1,0),1)="V",IF(AA83&gt;=INDEX('[1]Définition Maintenances'!$G:$G,MATCH($A83,'[1]Définition Maintenances'!$K:$K,0)),AA83,INDEX('[1]Définition Maintenances'!$G:$G,MATCH($A83,'[1]Définition Maintenances'!$K:$K,0))+AA83),AA83))</f>
        <v>337</v>
      </c>
      <c r="AC83" s="27">
        <f>IF(ISNUMBER(VLOOKUP($D83,'Visu totale'!$D:$DH,AC$1,0)),AB83-VLOOKUP($D83,'Visu totale'!$D:$DH,AC$1,0),IF(LEFT(VLOOKUP($D83,'Visu totale'!$D:$DH,AC$1,0),1)="V",IF(AB83&gt;=INDEX('[1]Définition Maintenances'!$G:$G,MATCH($A83,'[1]Définition Maintenances'!$K:$K,0)),AB83,INDEX('[1]Définition Maintenances'!$G:$G,MATCH($A83,'[1]Définition Maintenances'!$K:$K,0))+AB83),AB83))</f>
        <v>337</v>
      </c>
      <c r="AD83" s="25">
        <f>IF(ISNUMBER(VLOOKUP($D83,'Visu totale'!$D:$DH,AD$1,0)),AC83-VLOOKUP($D83,'Visu totale'!$D:$DH,AD$1,0),IF(LEFT(VLOOKUP($D83,'Visu totale'!$D:$DH,AD$1,0),1)="V",IF(AC83&gt;=INDEX('[1]Définition Maintenances'!$G:$G,MATCH($A83,'[1]Définition Maintenances'!$K:$K,0)),AC83,INDEX('[1]Définition Maintenances'!$G:$G,MATCH($A83,'[1]Définition Maintenances'!$K:$K,0))+AC83),AC83))</f>
        <v>337</v>
      </c>
      <c r="AE83" s="26">
        <f>IF(ISNUMBER(VLOOKUP($D83,'Visu totale'!$D:$DH,AE$1,0)),AD83-VLOOKUP($D83,'Visu totale'!$D:$DH,AE$1,0),IF(LEFT(VLOOKUP($D83,'Visu totale'!$D:$DH,AE$1,0),1)="V",IF(AD83&gt;=INDEX('[1]Définition Maintenances'!$G:$G,MATCH($A83,'[1]Définition Maintenances'!$K:$K,0)),AD83,INDEX('[1]Définition Maintenances'!$G:$G,MATCH($A83,'[1]Définition Maintenances'!$K:$K,0))+AD83),AD83))</f>
        <v>337</v>
      </c>
      <c r="AF83" s="26">
        <f>IF(ISNUMBER(VLOOKUP($D83,'Visu totale'!$D:$DH,AF$1,0)),AE83-VLOOKUP($D83,'Visu totale'!$D:$DH,AF$1,0),IF(LEFT(VLOOKUP($D83,'Visu totale'!$D:$DH,AF$1,0),1)="V",IF(AE83&gt;=INDEX('[1]Définition Maintenances'!$G:$G,MATCH($A83,'[1]Définition Maintenances'!$K:$K,0)),AE83,INDEX('[1]Définition Maintenances'!$G:$G,MATCH($A83,'[1]Définition Maintenances'!$K:$K,0))+AE83),AE83))</f>
        <v>337</v>
      </c>
      <c r="AG83" s="26">
        <f>IF(ISNUMBER(VLOOKUP($D83,'Visu totale'!$D:$DH,AG$1,0)),AF83-VLOOKUP($D83,'Visu totale'!$D:$DH,AG$1,0),IF(LEFT(VLOOKUP($D83,'Visu totale'!$D:$DH,AG$1,0),1)="V",IF(AF83&gt;=INDEX('[1]Définition Maintenances'!$G:$G,MATCH($A83,'[1]Définition Maintenances'!$K:$K,0)),AF83,INDEX('[1]Définition Maintenances'!$G:$G,MATCH($A83,'[1]Définition Maintenances'!$K:$K,0))+AF83),AF83))</f>
        <v>337</v>
      </c>
      <c r="AH83" s="26">
        <f>IF(ISNUMBER(VLOOKUP($D83,'Visu totale'!$D:$DH,AH$1,0)),AG83-VLOOKUP($D83,'Visu totale'!$D:$DH,AH$1,0),IF(LEFT(VLOOKUP($D83,'Visu totale'!$D:$DH,AH$1,0),1)="V",IF(AG83&gt;=INDEX('[1]Définition Maintenances'!$G:$G,MATCH($A83,'[1]Définition Maintenances'!$K:$K,0)),AG83,INDEX('[1]Définition Maintenances'!$G:$G,MATCH($A83,'[1]Définition Maintenances'!$K:$K,0))+AG83),AG83))</f>
        <v>337</v>
      </c>
      <c r="AI83" s="26">
        <f>IF(ISNUMBER(VLOOKUP($D83,'Visu totale'!$D:$DH,AI$1,0)),AH83-VLOOKUP($D83,'Visu totale'!$D:$DH,AI$1,0),IF(LEFT(VLOOKUP($D83,'Visu totale'!$D:$DH,AI$1,0),1)="V",IF(AH83&gt;=INDEX('[1]Définition Maintenances'!$G:$G,MATCH($A83,'[1]Définition Maintenances'!$K:$K,0)),AH83,INDEX('[1]Définition Maintenances'!$G:$G,MATCH($A83,'[1]Définition Maintenances'!$K:$K,0))+AH83),AH83))</f>
        <v>337</v>
      </c>
      <c r="AJ83" s="26">
        <f>IF(ISNUMBER(VLOOKUP($D83,'Visu totale'!$D:$DH,AJ$1,0)),AI83-VLOOKUP($D83,'Visu totale'!$D:$DH,AJ$1,0),IF(LEFT(VLOOKUP($D83,'Visu totale'!$D:$DH,AJ$1,0),1)="V",IF(AI83&gt;=INDEX('[1]Définition Maintenances'!$G:$G,MATCH($A83,'[1]Définition Maintenances'!$K:$K,0)),AI83,INDEX('[1]Définition Maintenances'!$G:$G,MATCH($A83,'[1]Définition Maintenances'!$K:$K,0))+AI83),AI83))</f>
        <v>337</v>
      </c>
      <c r="AK83" s="26">
        <f>IF(ISNUMBER(VLOOKUP($D83,'Visu totale'!$D:$DH,AK$1,0)),AJ83-VLOOKUP($D83,'Visu totale'!$D:$DH,AK$1,0),IF(LEFT(VLOOKUP($D83,'Visu totale'!$D:$DH,AK$1,0),1)="V",IF(AJ83&gt;=INDEX('[1]Définition Maintenances'!$G:$G,MATCH($A83,'[1]Définition Maintenances'!$K:$K,0)),AJ83,INDEX('[1]Définition Maintenances'!$G:$G,MATCH($A83,'[1]Définition Maintenances'!$K:$K,0))+AJ83),AJ83))</f>
        <v>337</v>
      </c>
      <c r="AL83" s="26">
        <f>IF(ISNUMBER(VLOOKUP($D83,'Visu totale'!$D:$DH,AL$1,0)),AK83-VLOOKUP($D83,'Visu totale'!$D:$DH,AL$1,0),IF(LEFT(VLOOKUP($D83,'Visu totale'!$D:$DH,AL$1,0),1)="V",IF(AK83&gt;=INDEX('[1]Définition Maintenances'!$G:$G,MATCH($A83,'[1]Définition Maintenances'!$K:$K,0)),AK83,INDEX('[1]Définition Maintenances'!$G:$G,MATCH($A83,'[1]Définition Maintenances'!$K:$K,0))+AK83),AK83))</f>
        <v>337</v>
      </c>
      <c r="AM83" s="26">
        <f>IF(ISNUMBER(VLOOKUP($D83,'Visu totale'!$D:$DH,AM$1,0)),AL83-VLOOKUP($D83,'Visu totale'!$D:$DH,AM$1,0),IF(LEFT(VLOOKUP($D83,'Visu totale'!$D:$DH,AM$1,0),1)="V",IF(AL83&gt;=INDEX('[1]Définition Maintenances'!$G:$G,MATCH($A83,'[1]Définition Maintenances'!$K:$K,0)),AL83,INDEX('[1]Définition Maintenances'!$G:$G,MATCH($A83,'[1]Définition Maintenances'!$K:$K,0))+AL83),AL83))</f>
        <v>337</v>
      </c>
      <c r="AN83" s="26">
        <f>IF(ISNUMBER(VLOOKUP($D83,'Visu totale'!$D:$DH,AN$1,0)),AM83-VLOOKUP($D83,'Visu totale'!$D:$DH,AN$1,0),IF(LEFT(VLOOKUP($D83,'Visu totale'!$D:$DH,AN$1,0),1)="V",IF(AM83&gt;=INDEX('[1]Définition Maintenances'!$G:$G,MATCH($A83,'[1]Définition Maintenances'!$K:$K,0)),AM83,INDEX('[1]Définition Maintenances'!$G:$G,MATCH($A83,'[1]Définition Maintenances'!$K:$K,0))+AM83),AM83))</f>
        <v>337</v>
      </c>
      <c r="AO83" s="27">
        <f>IF(ISNUMBER(VLOOKUP($D83,'Visu totale'!$D:$DH,AO$1,0)),AN83-VLOOKUP($D83,'Visu totale'!$D:$DH,AO$1,0),IF(LEFT(VLOOKUP($D83,'Visu totale'!$D:$DH,AO$1,0),1)="V",IF(AN83&gt;=INDEX('[1]Définition Maintenances'!$G:$G,MATCH($A83,'[1]Définition Maintenances'!$K:$K,0)),AN83,INDEX('[1]Définition Maintenances'!$G:$G,MATCH($A83,'[1]Définition Maintenances'!$K:$K,0))+AN83),AN83))</f>
        <v>337</v>
      </c>
      <c r="AP83" s="25">
        <f>IF(ISNUMBER(VLOOKUP($D83,'Visu totale'!$D:$DH,AP$1,0)),AO83-VLOOKUP($D83,'Visu totale'!$D:$DH,AP$1,0),IF(LEFT(VLOOKUP($D83,'Visu totale'!$D:$DH,AP$1,0),1)="V",IF(AO83&gt;=INDEX('[1]Définition Maintenances'!$G:$G,MATCH($A83,'[1]Définition Maintenances'!$K:$K,0)),AO83,INDEX('[1]Définition Maintenances'!$G:$G,MATCH($A83,'[1]Définition Maintenances'!$K:$K,0))+AO83),AO83))</f>
        <v>337</v>
      </c>
      <c r="AQ83" s="26">
        <f>IF(ISNUMBER(VLOOKUP($D83,'Visu totale'!$D:$DH,AQ$1,0)),AP83-VLOOKUP($D83,'Visu totale'!$D:$DH,AQ$1,0),IF(LEFT(VLOOKUP($D83,'Visu totale'!$D:$DH,AQ$1,0),1)="V",IF(AP83&gt;=INDEX('[1]Définition Maintenances'!$G:$G,MATCH($A83,'[1]Définition Maintenances'!$K:$K,0)),AP83,INDEX('[1]Définition Maintenances'!$G:$G,MATCH($A83,'[1]Définition Maintenances'!$K:$K,0))+AP83),AP83))</f>
        <v>337</v>
      </c>
      <c r="AR83" s="26">
        <f>IF(ISNUMBER(VLOOKUP($D83,'Visu totale'!$D:$DH,AR$1,0)),AQ83-VLOOKUP($D83,'Visu totale'!$D:$DH,AR$1,0),IF(LEFT(VLOOKUP($D83,'Visu totale'!$D:$DH,AR$1,0),1)="V",IF(AQ83&gt;=INDEX('[1]Définition Maintenances'!$G:$G,MATCH($A83,'[1]Définition Maintenances'!$K:$K,0)),AQ83,INDEX('[1]Définition Maintenances'!$G:$G,MATCH($A83,'[1]Définition Maintenances'!$K:$K,0))+AQ83),AQ83))</f>
        <v>337</v>
      </c>
      <c r="AS83" s="26">
        <f>IF(ISNUMBER(VLOOKUP($D83,'Visu totale'!$D:$DH,AS$1,0)),AR83-VLOOKUP($D83,'Visu totale'!$D:$DH,AS$1,0),IF(LEFT(VLOOKUP($D83,'Visu totale'!$D:$DH,AS$1,0),1)="V",IF(AR83&gt;=INDEX('[1]Définition Maintenances'!$G:$G,MATCH($A83,'[1]Définition Maintenances'!$K:$K,0)),AR83,INDEX('[1]Définition Maintenances'!$G:$G,MATCH($A83,'[1]Définition Maintenances'!$K:$K,0))+AR83),AR83))</f>
        <v>337</v>
      </c>
      <c r="AT83" s="26">
        <f>IF(ISNUMBER(VLOOKUP($D83,'Visu totale'!$D:$DH,AT$1,0)),AS83-VLOOKUP($D83,'Visu totale'!$D:$DH,AT$1,0),IF(LEFT(VLOOKUP($D83,'Visu totale'!$D:$DH,AT$1,0),1)="V",IF(AS83&gt;=INDEX('[1]Définition Maintenances'!$G:$G,MATCH($A83,'[1]Définition Maintenances'!$K:$K,0)),AS83,INDEX('[1]Définition Maintenances'!$G:$G,MATCH($A83,'[1]Définition Maintenances'!$K:$K,0))+AS83),AS83))</f>
        <v>337</v>
      </c>
      <c r="AU83" s="26">
        <f>IF(ISNUMBER(VLOOKUP($D83,'Visu totale'!$D:$DH,AU$1,0)),AT83-VLOOKUP($D83,'Visu totale'!$D:$DH,AU$1,0),IF(LEFT(VLOOKUP($D83,'Visu totale'!$D:$DH,AU$1,0),1)="V",IF(AT83&gt;=INDEX('[1]Définition Maintenances'!$G:$G,MATCH($A83,'[1]Définition Maintenances'!$K:$K,0)),AT83,INDEX('[1]Définition Maintenances'!$G:$G,MATCH($A83,'[1]Définition Maintenances'!$K:$K,0))+AT83),AT83))</f>
        <v>337</v>
      </c>
      <c r="AV83" s="26">
        <f>IF(ISNUMBER(VLOOKUP($D83,'Visu totale'!$D:$DH,AV$1,0)),AU83-VLOOKUP($D83,'Visu totale'!$D:$DH,AV$1,0),IF(LEFT(VLOOKUP($D83,'Visu totale'!$D:$DH,AV$1,0),1)="V",IF(AU83&gt;=INDEX('[1]Définition Maintenances'!$G:$G,MATCH($A83,'[1]Définition Maintenances'!$K:$K,0)),AU83,INDEX('[1]Définition Maintenances'!$G:$G,MATCH($A83,'[1]Définition Maintenances'!$K:$K,0))+AU83),AU83))</f>
        <v>337</v>
      </c>
      <c r="AW83" s="26">
        <f>IF(ISNUMBER(VLOOKUP($D83,'Visu totale'!$D:$DH,AW$1,0)),AV83-VLOOKUP($D83,'Visu totale'!$D:$DH,AW$1,0),IF(LEFT(VLOOKUP($D83,'Visu totale'!$D:$DH,AW$1,0),1)="V",IF(AV83&gt;=INDEX('[1]Définition Maintenances'!$G:$G,MATCH($A83,'[1]Définition Maintenances'!$K:$K,0)),AV83,INDEX('[1]Définition Maintenances'!$G:$G,MATCH($A83,'[1]Définition Maintenances'!$K:$K,0))+AV83),AV83))</f>
        <v>337</v>
      </c>
      <c r="AX83" s="26">
        <f>IF(ISNUMBER(VLOOKUP($D83,'Visu totale'!$D:$DH,AX$1,0)),AW83-VLOOKUP($D83,'Visu totale'!$D:$DH,AX$1,0),IF(LEFT(VLOOKUP($D83,'Visu totale'!$D:$DH,AX$1,0),1)="V",IF(AW83&gt;=INDEX('[1]Définition Maintenances'!$G:$G,MATCH($A83,'[1]Définition Maintenances'!$K:$K,0)),AW83,INDEX('[1]Définition Maintenances'!$G:$G,MATCH($A83,'[1]Définition Maintenances'!$K:$K,0))+AW83),AW83))</f>
        <v>337</v>
      </c>
      <c r="AY83" s="26">
        <f>IF(ISNUMBER(VLOOKUP($D83,'Visu totale'!$D:$DH,AY$1,0)),AX83-VLOOKUP($D83,'Visu totale'!$D:$DH,AY$1,0),IF(LEFT(VLOOKUP($D83,'Visu totale'!$D:$DH,AY$1,0),1)="V",IF(AX83&gt;=INDEX('[1]Définition Maintenances'!$G:$G,MATCH($A83,'[1]Définition Maintenances'!$K:$K,0)),AX83,INDEX('[1]Définition Maintenances'!$G:$G,MATCH($A83,'[1]Définition Maintenances'!$K:$K,0))+AX83),AX83))</f>
        <v>337</v>
      </c>
      <c r="AZ83" s="26">
        <f>IF(ISNUMBER(VLOOKUP($D83,'Visu totale'!$D:$DH,AZ$1,0)),AY83-VLOOKUP($D83,'Visu totale'!$D:$DH,AZ$1,0),IF(LEFT(VLOOKUP($D83,'Visu totale'!$D:$DH,AZ$1,0),1)="V",IF(AY83&gt;=INDEX('[1]Définition Maintenances'!$G:$G,MATCH($A83,'[1]Définition Maintenances'!$K:$K,0)),AY83,INDEX('[1]Définition Maintenances'!$G:$G,MATCH($A83,'[1]Définition Maintenances'!$K:$K,0))+AY83),AY83))</f>
        <v>337</v>
      </c>
      <c r="BA83" s="27">
        <f>IF(ISNUMBER(VLOOKUP($D83,'Visu totale'!$D:$DH,BA$1,0)),AZ83-VLOOKUP($D83,'Visu totale'!$D:$DH,BA$1,0),IF(LEFT(VLOOKUP($D83,'Visu totale'!$D:$DH,BA$1,0),1)="V",IF(AZ83&gt;=INDEX('[1]Définition Maintenances'!$G:$G,MATCH($A83,'[1]Définition Maintenances'!$K:$K,0)),AZ83,INDEX('[1]Définition Maintenances'!$G:$G,MATCH($A83,'[1]Définition Maintenances'!$K:$K,0))+AZ83),AZ83))</f>
        <v>337</v>
      </c>
      <c r="BB83" s="25">
        <f>IF(ISNUMBER(VLOOKUP($D83,'Visu totale'!$D:$DH,BB$1,0)),BA83-VLOOKUP($D83,'Visu totale'!$D:$DH,BB$1,0),IF(LEFT(VLOOKUP($D83,'Visu totale'!$D:$DH,BB$1,0),1)="V",IF(BA83&gt;=INDEX('[1]Définition Maintenances'!$G:$G,MATCH($A83,'[1]Définition Maintenances'!$K:$K,0)),BA83,INDEX('[1]Définition Maintenances'!$G:$G,MATCH($A83,'[1]Définition Maintenances'!$K:$K,0))+BA83),BA83))</f>
        <v>337</v>
      </c>
      <c r="BC83" s="26">
        <f>IF(ISNUMBER(VLOOKUP($D83,'Visu totale'!$D:$DH,BC$1,0)),BB83-VLOOKUP($D83,'Visu totale'!$D:$DH,BC$1,0),IF(LEFT(VLOOKUP($D83,'Visu totale'!$D:$DH,BC$1,0),1)="V",IF(BB83&gt;=INDEX('[1]Définition Maintenances'!$G:$G,MATCH($A83,'[1]Définition Maintenances'!$K:$K,0)),BB83,INDEX('[1]Définition Maintenances'!$G:$G,MATCH($A83,'[1]Définition Maintenances'!$K:$K,0))+BB83),BB83))</f>
        <v>337</v>
      </c>
      <c r="BD83" s="26">
        <f>IF(ISNUMBER(VLOOKUP($D83,'Visu totale'!$D:$DH,BD$1,0)),BC83-VLOOKUP($D83,'Visu totale'!$D:$DH,BD$1,0),IF(LEFT(VLOOKUP($D83,'Visu totale'!$D:$DH,BD$1,0),1)="V",IF(BC83&gt;=INDEX('[1]Définition Maintenances'!$G:$G,MATCH($A83,'[1]Définition Maintenances'!$K:$K,0)),BC83,INDEX('[1]Définition Maintenances'!$G:$G,MATCH($A83,'[1]Définition Maintenances'!$K:$K,0))+BC83),BC83))</f>
        <v>337</v>
      </c>
      <c r="BE83" s="26">
        <f>IF(ISNUMBER(VLOOKUP($D83,'Visu totale'!$D:$DH,BE$1,0)),BD83-VLOOKUP($D83,'Visu totale'!$D:$DH,BE$1,0),IF(LEFT(VLOOKUP($D83,'Visu totale'!$D:$DH,BE$1,0),1)="V",IF(BD83&gt;=INDEX('[1]Définition Maintenances'!$G:$G,MATCH($A83,'[1]Définition Maintenances'!$K:$K,0)),BD83,INDEX('[1]Définition Maintenances'!$G:$G,MATCH($A83,'[1]Définition Maintenances'!$K:$K,0))+BD83),BD83))</f>
        <v>337</v>
      </c>
      <c r="BF83" s="26">
        <f>IF(ISNUMBER(VLOOKUP($D83,'Visu totale'!$D:$DH,BF$1,0)),BE83-VLOOKUP($D83,'Visu totale'!$D:$DH,BF$1,0),IF(LEFT(VLOOKUP($D83,'Visu totale'!$D:$DH,BF$1,0),1)="V",IF(BE83&gt;=INDEX('[1]Définition Maintenances'!$G:$G,MATCH($A83,'[1]Définition Maintenances'!$K:$K,0)),BE83,INDEX('[1]Définition Maintenances'!$G:$G,MATCH($A83,'[1]Définition Maintenances'!$K:$K,0))+BE83),BE83))</f>
        <v>337</v>
      </c>
      <c r="BG83" s="26">
        <f>IF(ISNUMBER(VLOOKUP($D83,'Visu totale'!$D:$DH,BG$1,0)),BF83-VLOOKUP($D83,'Visu totale'!$D:$DH,BG$1,0),IF(LEFT(VLOOKUP($D83,'Visu totale'!$D:$DH,BG$1,0),1)="V",IF(BF83&gt;=INDEX('[1]Définition Maintenances'!$G:$G,MATCH($A83,'[1]Définition Maintenances'!$K:$K,0)),BF83,INDEX('[1]Définition Maintenances'!$G:$G,MATCH($A83,'[1]Définition Maintenances'!$K:$K,0))+BF83),BF83))</f>
        <v>337</v>
      </c>
      <c r="BH83" s="26">
        <f>IF(ISNUMBER(VLOOKUP($D83,'Visu totale'!$D:$DH,BH$1,0)),BG83-VLOOKUP($D83,'Visu totale'!$D:$DH,BH$1,0),IF(LEFT(VLOOKUP($D83,'Visu totale'!$D:$DH,BH$1,0),1)="V",IF(BG83&gt;=INDEX('[1]Définition Maintenances'!$G:$G,MATCH($A83,'[1]Définition Maintenances'!$K:$K,0)),BG83,INDEX('[1]Définition Maintenances'!$G:$G,MATCH($A83,'[1]Définition Maintenances'!$K:$K,0))+BG83),BG83))</f>
        <v>337</v>
      </c>
      <c r="BI83" s="26">
        <f>IF(ISNUMBER(VLOOKUP($D83,'Visu totale'!$D:$DH,BI$1,0)),BH83-VLOOKUP($D83,'Visu totale'!$D:$DH,BI$1,0),IF(LEFT(VLOOKUP($D83,'Visu totale'!$D:$DH,BI$1,0),1)="V",IF(BH83&gt;=INDEX('[1]Définition Maintenances'!$G:$G,MATCH($A83,'[1]Définition Maintenances'!$K:$K,0)),BH83,INDEX('[1]Définition Maintenances'!$G:$G,MATCH($A83,'[1]Définition Maintenances'!$K:$K,0))+BH83),BH83))</f>
        <v>337</v>
      </c>
      <c r="BJ83" s="26">
        <f>IF(ISNUMBER(VLOOKUP($D83,'Visu totale'!$D:$DH,BJ$1,0)),BI83-VLOOKUP($D83,'Visu totale'!$D:$DH,BJ$1,0),IF(LEFT(VLOOKUP($D83,'Visu totale'!$D:$DH,BJ$1,0),1)="V",IF(BI83&gt;=INDEX('[1]Définition Maintenances'!$G:$G,MATCH($A83,'[1]Définition Maintenances'!$K:$K,0)),BI83,INDEX('[1]Définition Maintenances'!$G:$G,MATCH($A83,'[1]Définition Maintenances'!$K:$K,0))+BI83),BI83))</f>
        <v>337</v>
      </c>
      <c r="BK83" s="26">
        <f>IF(ISNUMBER(VLOOKUP($D83,'Visu totale'!$D:$DH,BK$1,0)),BJ83-VLOOKUP($D83,'Visu totale'!$D:$DH,BK$1,0),IF(LEFT(VLOOKUP($D83,'Visu totale'!$D:$DH,BK$1,0),1)="V",IF(BJ83&gt;=INDEX('[1]Définition Maintenances'!$G:$G,MATCH($A83,'[1]Définition Maintenances'!$K:$K,0)),BJ83,INDEX('[1]Définition Maintenances'!$G:$G,MATCH($A83,'[1]Définition Maintenances'!$K:$K,0))+BJ83),BJ83))</f>
        <v>337</v>
      </c>
      <c r="BL83" s="26">
        <f>IF(ISNUMBER(VLOOKUP($D83,'Visu totale'!$D:$DH,BL$1,0)),BK83-VLOOKUP($D83,'Visu totale'!$D:$DH,BL$1,0),IF(LEFT(VLOOKUP($D83,'Visu totale'!$D:$DH,BL$1,0),1)="V",IF(BK83&gt;=INDEX('[1]Définition Maintenances'!$G:$G,MATCH($A83,'[1]Définition Maintenances'!$K:$K,0)),BK83,INDEX('[1]Définition Maintenances'!$G:$G,MATCH($A83,'[1]Définition Maintenances'!$K:$K,0))+BK83),BK83))</f>
        <v>337</v>
      </c>
      <c r="BM83" s="27">
        <f>IF(ISNUMBER(VLOOKUP($D83,'Visu totale'!$D:$DH,BM$1,0)),BL83-VLOOKUP($D83,'Visu totale'!$D:$DH,BM$1,0),IF(LEFT(VLOOKUP($D83,'Visu totale'!$D:$DH,BM$1,0),1)="V",IF(BL83&gt;=INDEX('[1]Définition Maintenances'!$G:$G,MATCH($A83,'[1]Définition Maintenances'!$K:$K,0)),BL83,INDEX('[1]Définition Maintenances'!$G:$G,MATCH($A83,'[1]Définition Maintenances'!$K:$K,0))+BL83),BL83))</f>
        <v>337</v>
      </c>
      <c r="BN83" s="25">
        <f>IF(ISNUMBER(VLOOKUP($D83,'Visu totale'!$D:$DH,BN$1,0)),BM83-VLOOKUP($D83,'Visu totale'!$D:$DH,BN$1,0),IF(LEFT(VLOOKUP($D83,'Visu totale'!$D:$DH,BN$1,0),1)="V",IF(BM83&gt;=INDEX('[1]Définition Maintenances'!$G:$G,MATCH($A83,'[1]Définition Maintenances'!$K:$K,0)),BM83,INDEX('[1]Définition Maintenances'!$G:$G,MATCH($A83,'[1]Définition Maintenances'!$K:$K,0))+BM83),BM83))</f>
        <v>337</v>
      </c>
      <c r="BO83" s="26">
        <f>IF(ISNUMBER(VLOOKUP($D83,'Visu totale'!$D:$DH,BO$1,0)),BN83-VLOOKUP($D83,'Visu totale'!$D:$DH,BO$1,0),IF(LEFT(VLOOKUP($D83,'Visu totale'!$D:$DH,BO$1,0),1)="V",IF(BN83&gt;=INDEX('[1]Définition Maintenances'!$G:$G,MATCH($A83,'[1]Définition Maintenances'!$K:$K,0)),BN83,INDEX('[1]Définition Maintenances'!$G:$G,MATCH($A83,'[1]Définition Maintenances'!$K:$K,0))+BN83),BN83))</f>
        <v>337</v>
      </c>
      <c r="BP83" s="26">
        <f>IF(ISNUMBER(VLOOKUP($D83,'Visu totale'!$D:$DH,BP$1,0)),BO83-VLOOKUP($D83,'Visu totale'!$D:$DH,BP$1,0),IF(LEFT(VLOOKUP($D83,'Visu totale'!$D:$DH,BP$1,0),1)="V",IF(BO83&gt;=INDEX('[1]Définition Maintenances'!$G:$G,MATCH($A83,'[1]Définition Maintenances'!$K:$K,0)),BO83,INDEX('[1]Définition Maintenances'!$G:$G,MATCH($A83,'[1]Définition Maintenances'!$K:$K,0))+BO83),BO83))</f>
        <v>337</v>
      </c>
      <c r="BQ83" s="26">
        <f>IF(ISNUMBER(VLOOKUP($D83,'Visu totale'!$D:$DH,BQ$1,0)),BP83-VLOOKUP($D83,'Visu totale'!$D:$DH,BQ$1,0),IF(LEFT(VLOOKUP($D83,'Visu totale'!$D:$DH,BQ$1,0),1)="V",IF(BP83&gt;=INDEX('[1]Définition Maintenances'!$G:$G,MATCH($A83,'[1]Définition Maintenances'!$K:$K,0)),BP83,INDEX('[1]Définition Maintenances'!$G:$G,MATCH($A83,'[1]Définition Maintenances'!$K:$K,0))+BP83),BP83))</f>
        <v>337</v>
      </c>
      <c r="BR83" s="26">
        <f>IF(ISNUMBER(VLOOKUP($D83,'Visu totale'!$D:$DH,BR$1,0)),BQ83-VLOOKUP($D83,'Visu totale'!$D:$DH,BR$1,0),IF(LEFT(VLOOKUP($D83,'Visu totale'!$D:$DH,BR$1,0),1)="V",IF(BQ83&gt;=INDEX('[1]Définition Maintenances'!$G:$G,MATCH($A83,'[1]Définition Maintenances'!$K:$K,0)),BQ83,INDEX('[1]Définition Maintenances'!$G:$G,MATCH($A83,'[1]Définition Maintenances'!$K:$K,0))+BQ83),BQ83))</f>
        <v>337</v>
      </c>
      <c r="BS83" s="26">
        <f>IF(ISNUMBER(VLOOKUP($D83,'Visu totale'!$D:$DH,BS$1,0)),BR83-VLOOKUP($D83,'Visu totale'!$D:$DH,BS$1,0),IF(LEFT(VLOOKUP($D83,'Visu totale'!$D:$DH,BS$1,0),1)="V",IF(BR83&gt;=INDEX('[1]Définition Maintenances'!$G:$G,MATCH($A83,'[1]Définition Maintenances'!$K:$K,0)),BR83,INDEX('[1]Définition Maintenances'!$G:$G,MATCH($A83,'[1]Définition Maintenances'!$K:$K,0))+BR83),BR83))</f>
        <v>337</v>
      </c>
      <c r="BT83" s="26">
        <f>IF(ISNUMBER(VLOOKUP($D83,'Visu totale'!$D:$DH,BT$1,0)),BS83-VLOOKUP($D83,'Visu totale'!$D:$DH,BT$1,0),IF(LEFT(VLOOKUP($D83,'Visu totale'!$D:$DH,BT$1,0),1)="V",IF(BS83&gt;=INDEX('[1]Définition Maintenances'!$G:$G,MATCH($A83,'[1]Définition Maintenances'!$K:$K,0)),BS83,INDEX('[1]Définition Maintenances'!$G:$G,MATCH($A83,'[1]Définition Maintenances'!$K:$K,0))+BS83),BS83))</f>
        <v>337</v>
      </c>
      <c r="BU83" s="26">
        <f>IF(ISNUMBER(VLOOKUP($D83,'Visu totale'!$D:$DH,BU$1,0)),BT83-VLOOKUP($D83,'Visu totale'!$D:$DH,BU$1,0),IF(LEFT(VLOOKUP($D83,'Visu totale'!$D:$DH,BU$1,0),1)="V",IF(BT83&gt;=INDEX('[1]Définition Maintenances'!$G:$G,MATCH($A83,'[1]Définition Maintenances'!$K:$K,0)),BT83,INDEX('[1]Définition Maintenances'!$G:$G,MATCH($A83,'[1]Définition Maintenances'!$K:$K,0))+BT83),BT83))</f>
        <v>337</v>
      </c>
      <c r="BV83" s="26">
        <f>IF(ISNUMBER(VLOOKUP($D83,'Visu totale'!$D:$DH,BV$1,0)),BU83-VLOOKUP($D83,'Visu totale'!$D:$DH,BV$1,0),IF(LEFT(VLOOKUP($D83,'Visu totale'!$D:$DH,BV$1,0),1)="V",IF(BU83&gt;=INDEX('[1]Définition Maintenances'!$G:$G,MATCH($A83,'[1]Définition Maintenances'!$K:$K,0)),BU83,INDEX('[1]Définition Maintenances'!$G:$G,MATCH($A83,'[1]Définition Maintenances'!$K:$K,0))+BU83),BU83))</f>
        <v>337</v>
      </c>
      <c r="BW83" s="26">
        <f>IF(ISNUMBER(VLOOKUP($D83,'Visu totale'!$D:$DH,BW$1,0)),BV83-VLOOKUP($D83,'Visu totale'!$D:$DH,BW$1,0),IF(LEFT(VLOOKUP($D83,'Visu totale'!$D:$DH,BW$1,0),1)="V",IF(BV83&gt;=INDEX('[1]Définition Maintenances'!$G:$G,MATCH($A83,'[1]Définition Maintenances'!$K:$K,0)),BV83,INDEX('[1]Définition Maintenances'!$G:$G,MATCH($A83,'[1]Définition Maintenances'!$K:$K,0))+BV83),BV83))</f>
        <v>337</v>
      </c>
      <c r="BX83" s="26">
        <f>IF(ISNUMBER(VLOOKUP($D83,'Visu totale'!$D:$DH,BX$1,0)),BW83-VLOOKUP($D83,'Visu totale'!$D:$DH,BX$1,0),IF(LEFT(VLOOKUP($D83,'Visu totale'!$D:$DH,BX$1,0),1)="V",IF(BW83&gt;=INDEX('[1]Définition Maintenances'!$G:$G,MATCH($A83,'[1]Définition Maintenances'!$K:$K,0)),BW83,INDEX('[1]Définition Maintenances'!$G:$G,MATCH($A83,'[1]Définition Maintenances'!$K:$K,0))+BW83),BW83))</f>
        <v>337</v>
      </c>
      <c r="BY83" s="27">
        <f>IF(ISNUMBER(VLOOKUP($D83,'Visu totale'!$D:$DH,BY$1,0)),BX83-VLOOKUP($D83,'Visu totale'!$D:$DH,BY$1,0),IF(LEFT(VLOOKUP($D83,'Visu totale'!$D:$DH,BY$1,0),1)="V",IF(BX83&gt;=INDEX('[1]Définition Maintenances'!$G:$G,MATCH($A83,'[1]Définition Maintenances'!$K:$K,0)),BX83,INDEX('[1]Définition Maintenances'!$G:$G,MATCH($A83,'[1]Définition Maintenances'!$K:$K,0))+BX83),BX83))</f>
        <v>337</v>
      </c>
      <c r="BZ83" s="25">
        <f>IF(ISNUMBER(VLOOKUP($D83,'Visu totale'!$D:$DH,BZ$1,0)),BY83-VLOOKUP($D83,'Visu totale'!$D:$DH,BZ$1,0),IF(LEFT(VLOOKUP($D83,'Visu totale'!$D:$DH,BZ$1,0),1)="V",IF(BY83&gt;=INDEX('[1]Définition Maintenances'!$G:$G,MATCH($A83,'[1]Définition Maintenances'!$K:$K,0)),BY83,INDEX('[1]Définition Maintenances'!$G:$G,MATCH($A83,'[1]Définition Maintenances'!$K:$K,0))+BY83),BY83))</f>
        <v>337</v>
      </c>
      <c r="CA83" s="26">
        <f>IF(ISNUMBER(VLOOKUP($D83,'Visu totale'!$D:$DH,CA$1,0)),BZ83-VLOOKUP($D83,'Visu totale'!$D:$DH,CA$1,0),IF(LEFT(VLOOKUP($D83,'Visu totale'!$D:$DH,CA$1,0),1)="V",IF(BZ83&gt;=INDEX('[1]Définition Maintenances'!$G:$G,MATCH($A83,'[1]Définition Maintenances'!$K:$K,0)),BZ83,INDEX('[1]Définition Maintenances'!$G:$G,MATCH($A83,'[1]Définition Maintenances'!$K:$K,0))+BZ83),BZ83))</f>
        <v>337</v>
      </c>
      <c r="CB83" s="26">
        <f>IF(ISNUMBER(VLOOKUP($D83,'Visu totale'!$D:$DH,CB$1,0)),CA83-VLOOKUP($D83,'Visu totale'!$D:$DH,CB$1,0),IF(LEFT(VLOOKUP($D83,'Visu totale'!$D:$DH,CB$1,0),1)="V",IF(CA83&gt;=INDEX('[1]Définition Maintenances'!$G:$G,MATCH($A83,'[1]Définition Maintenances'!$K:$K,0)),CA83,INDEX('[1]Définition Maintenances'!$G:$G,MATCH($A83,'[1]Définition Maintenances'!$K:$K,0))+CA83),CA83))</f>
        <v>337</v>
      </c>
      <c r="CC83" s="26">
        <f>IF(ISNUMBER(VLOOKUP($D83,'Visu totale'!$D:$DH,CC$1,0)),CB83-VLOOKUP($D83,'Visu totale'!$D:$DH,CC$1,0),IF(LEFT(VLOOKUP($D83,'Visu totale'!$D:$DH,CC$1,0),1)="V",IF(CB83&gt;=INDEX('[1]Définition Maintenances'!$G:$G,MATCH($A83,'[1]Définition Maintenances'!$K:$K,0)),CB83,INDEX('[1]Définition Maintenances'!$G:$G,MATCH($A83,'[1]Définition Maintenances'!$K:$K,0))+CB83),CB83))</f>
        <v>337</v>
      </c>
      <c r="CD83" s="26">
        <f>IF(ISNUMBER(VLOOKUP($D83,'Visu totale'!$D:$DH,CD$1,0)),CC83-VLOOKUP($D83,'Visu totale'!$D:$DH,CD$1,0),IF(LEFT(VLOOKUP($D83,'Visu totale'!$D:$DH,CD$1,0),1)="V",IF(CC83&gt;=INDEX('[1]Définition Maintenances'!$G:$G,MATCH($A83,'[1]Définition Maintenances'!$K:$K,0)),CC83,INDEX('[1]Définition Maintenances'!$G:$G,MATCH($A83,'[1]Définition Maintenances'!$K:$K,0))+CC83),CC83))</f>
        <v>337</v>
      </c>
      <c r="CE83" s="26">
        <f>IF(ISNUMBER(VLOOKUP($D83,'Visu totale'!$D:$DH,CE$1,0)),CD83-VLOOKUP($D83,'Visu totale'!$D:$DH,CE$1,0),IF(LEFT(VLOOKUP($D83,'Visu totale'!$D:$DH,CE$1,0),1)="V",IF(CD83&gt;=INDEX('[1]Définition Maintenances'!$G:$G,MATCH($A83,'[1]Définition Maintenances'!$K:$K,0)),CD83,INDEX('[1]Définition Maintenances'!$G:$G,MATCH($A83,'[1]Définition Maintenances'!$K:$K,0))+CD83),CD83))</f>
        <v>337</v>
      </c>
      <c r="CF83" s="26">
        <f>IF(ISNUMBER(VLOOKUP($D83,'Visu totale'!$D:$DH,CF$1,0)),CE83-VLOOKUP($D83,'Visu totale'!$D:$DH,CF$1,0),IF(LEFT(VLOOKUP($D83,'Visu totale'!$D:$DH,CF$1,0),1)="V",IF(CE83&gt;=INDEX('[1]Définition Maintenances'!$G:$G,MATCH($A83,'[1]Définition Maintenances'!$K:$K,0)),CE83,INDEX('[1]Définition Maintenances'!$G:$G,MATCH($A83,'[1]Définition Maintenances'!$K:$K,0))+CE83),CE83))</f>
        <v>337</v>
      </c>
      <c r="CG83" s="26">
        <f>IF(ISNUMBER(VLOOKUP($D83,'Visu totale'!$D:$DH,CG$1,0)),CF83-VLOOKUP($D83,'Visu totale'!$D:$DH,CG$1,0),IF(LEFT(VLOOKUP($D83,'Visu totale'!$D:$DH,CG$1,0),1)="V",IF(CF83&gt;=INDEX('[1]Définition Maintenances'!$G:$G,MATCH($A83,'[1]Définition Maintenances'!$K:$K,0)),CF83,INDEX('[1]Définition Maintenances'!$G:$G,MATCH($A83,'[1]Définition Maintenances'!$K:$K,0))+CF83),CF83))</f>
        <v>337</v>
      </c>
      <c r="CH83" s="26">
        <f>IF(ISNUMBER(VLOOKUP($D83,'Visu totale'!$D:$DH,CH$1,0)),CG83-VLOOKUP($D83,'Visu totale'!$D:$DH,CH$1,0),IF(LEFT(VLOOKUP($D83,'Visu totale'!$D:$DH,CH$1,0),1)="V",IF(CG83&gt;=INDEX('[1]Définition Maintenances'!$G:$G,MATCH($A83,'[1]Définition Maintenances'!$K:$K,0)),CG83,INDEX('[1]Définition Maintenances'!$G:$G,MATCH($A83,'[1]Définition Maintenances'!$K:$K,0))+CG83),CG83))</f>
        <v>337</v>
      </c>
      <c r="CI83" s="26">
        <f>IF(ISNUMBER(VLOOKUP($D83,'Visu totale'!$D:$DH,CI$1,0)),CH83-VLOOKUP($D83,'Visu totale'!$D:$DH,CI$1,0),IF(LEFT(VLOOKUP($D83,'Visu totale'!$D:$DH,CI$1,0),1)="V",IF(CH83&gt;=INDEX('[1]Définition Maintenances'!$G:$G,MATCH($A83,'[1]Définition Maintenances'!$K:$K,0)),CH83,INDEX('[1]Définition Maintenances'!$G:$G,MATCH($A83,'[1]Définition Maintenances'!$K:$K,0))+CH83),CH83))</f>
        <v>337</v>
      </c>
      <c r="CJ83" s="26">
        <f>IF(ISNUMBER(VLOOKUP($D83,'Visu totale'!$D:$DH,CJ$1,0)),CI83-VLOOKUP($D83,'Visu totale'!$D:$DH,CJ$1,0),IF(LEFT(VLOOKUP($D83,'Visu totale'!$D:$DH,CJ$1,0),1)="V",IF(CI83&gt;=INDEX('[1]Définition Maintenances'!$G:$G,MATCH($A83,'[1]Définition Maintenances'!$K:$K,0)),CI83,INDEX('[1]Définition Maintenances'!$G:$G,MATCH($A83,'[1]Définition Maintenances'!$K:$K,0))+CI83),CI83))</f>
        <v>337</v>
      </c>
      <c r="CK83" s="27">
        <f>IF(ISNUMBER(VLOOKUP($D83,'Visu totale'!$D:$DH,CK$1,0)),CJ83-VLOOKUP($D83,'Visu totale'!$D:$DH,CK$1,0),IF(LEFT(VLOOKUP($D83,'Visu totale'!$D:$DH,CK$1,0),1)="V",IF(CJ83&gt;=INDEX('[1]Définition Maintenances'!$G:$G,MATCH($A83,'[1]Définition Maintenances'!$K:$K,0)),CJ83,INDEX('[1]Définition Maintenances'!$G:$G,MATCH($A83,'[1]Définition Maintenances'!$K:$K,0))+CJ83),CJ83))</f>
        <v>337</v>
      </c>
      <c r="CL83" s="25">
        <f>IF(ISNUMBER(VLOOKUP($D83,'Visu totale'!$D:$DH,CL$1,0)),CK83-VLOOKUP($D83,'Visu totale'!$D:$DH,CL$1,0),IF(LEFT(VLOOKUP($D83,'Visu totale'!$D:$DH,CL$1,0),1)="V",IF(CK83&gt;=INDEX('[1]Définition Maintenances'!$G:$G,MATCH($A83,'[1]Définition Maintenances'!$K:$K,0)),CK83,INDEX('[1]Définition Maintenances'!$G:$G,MATCH($A83,'[1]Définition Maintenances'!$K:$K,0))+CK83),CK83))</f>
        <v>337</v>
      </c>
      <c r="CM83" s="26">
        <f>IF(ISNUMBER(VLOOKUP($D83,'Visu totale'!$D:$DH,CM$1,0)),CL83-VLOOKUP($D83,'Visu totale'!$D:$DH,CM$1,0),IF(LEFT(VLOOKUP($D83,'Visu totale'!$D:$DH,CM$1,0),1)="V",IF(CL83&gt;=INDEX('[1]Définition Maintenances'!$G:$G,MATCH($A83,'[1]Définition Maintenances'!$K:$K,0)),CL83,INDEX('[1]Définition Maintenances'!$G:$G,MATCH($A83,'[1]Définition Maintenances'!$K:$K,0))+CL83),CL83))</f>
        <v>337</v>
      </c>
      <c r="CN83" s="26">
        <f>IF(ISNUMBER(VLOOKUP($D83,'Visu totale'!$D:$DH,CN$1,0)),CM83-VLOOKUP($D83,'Visu totale'!$D:$DH,CN$1,0),IF(LEFT(VLOOKUP($D83,'Visu totale'!$D:$DH,CN$1,0),1)="V",IF(CM83&gt;=INDEX('[1]Définition Maintenances'!$G:$G,MATCH($A83,'[1]Définition Maintenances'!$K:$K,0)),CM83,INDEX('[1]Définition Maintenances'!$G:$G,MATCH($A83,'[1]Définition Maintenances'!$K:$K,0))+CM83),CM83))</f>
        <v>337</v>
      </c>
      <c r="CO83" s="26">
        <f>IF(ISNUMBER(VLOOKUP($D83,'Visu totale'!$D:$DH,CO$1,0)),CN83-VLOOKUP($D83,'Visu totale'!$D:$DH,CO$1,0),IF(LEFT(VLOOKUP($D83,'Visu totale'!$D:$DH,CO$1,0),1)="V",IF(CN83&gt;=INDEX('[1]Définition Maintenances'!$G:$G,MATCH($A83,'[1]Définition Maintenances'!$K:$K,0)),CN83,INDEX('[1]Définition Maintenances'!$G:$G,MATCH($A83,'[1]Définition Maintenances'!$K:$K,0))+CN83),CN83))</f>
        <v>337</v>
      </c>
      <c r="CP83" s="26">
        <f>IF(ISNUMBER(VLOOKUP($D83,'Visu totale'!$D:$DH,CP$1,0)),CO83-VLOOKUP($D83,'Visu totale'!$D:$DH,CP$1,0),IF(LEFT(VLOOKUP($D83,'Visu totale'!$D:$DH,CP$1,0),1)="V",IF(CO83&gt;=INDEX('[1]Définition Maintenances'!$G:$G,MATCH($A83,'[1]Définition Maintenances'!$K:$K,0)),CO83,INDEX('[1]Définition Maintenances'!$G:$G,MATCH($A83,'[1]Définition Maintenances'!$K:$K,0))+CO83),CO83))</f>
        <v>337</v>
      </c>
      <c r="CQ83" s="26">
        <f>IF(ISNUMBER(VLOOKUP($D83,'Visu totale'!$D:$DH,CQ$1,0)),CP83-VLOOKUP($D83,'Visu totale'!$D:$DH,CQ$1,0),IF(LEFT(VLOOKUP($D83,'Visu totale'!$D:$DH,CQ$1,0),1)="V",IF(CP83&gt;=INDEX('[1]Définition Maintenances'!$G:$G,MATCH($A83,'[1]Définition Maintenances'!$K:$K,0)),CP83,INDEX('[1]Définition Maintenances'!$G:$G,MATCH($A83,'[1]Définition Maintenances'!$K:$K,0))+CP83),CP83))</f>
        <v>337</v>
      </c>
      <c r="CR83" s="26">
        <f>IF(ISNUMBER(VLOOKUP($D83,'Visu totale'!$D:$DH,CR$1,0)),CQ83-VLOOKUP($D83,'Visu totale'!$D:$DH,CR$1,0),IF(LEFT(VLOOKUP($D83,'Visu totale'!$D:$DH,CR$1,0),1)="V",IF(CQ83&gt;=INDEX('[1]Définition Maintenances'!$G:$G,MATCH($A83,'[1]Définition Maintenances'!$K:$K,0)),CQ83,INDEX('[1]Définition Maintenances'!$G:$G,MATCH($A83,'[1]Définition Maintenances'!$K:$K,0))+CQ83),CQ83))</f>
        <v>337</v>
      </c>
      <c r="CS83" s="26">
        <f>IF(ISNUMBER(VLOOKUP($D83,'Visu totale'!$D:$DH,CS$1,0)),CR83-VLOOKUP($D83,'Visu totale'!$D:$DH,CS$1,0),IF(LEFT(VLOOKUP($D83,'Visu totale'!$D:$DH,CS$1,0),1)="V",IF(CR83&gt;=INDEX('[1]Définition Maintenances'!$G:$G,MATCH($A83,'[1]Définition Maintenances'!$K:$K,0)),CR83,INDEX('[1]Définition Maintenances'!$G:$G,MATCH($A83,'[1]Définition Maintenances'!$K:$K,0))+CR83),CR83))</f>
        <v>337</v>
      </c>
      <c r="CT83" s="26">
        <f>IF(ISNUMBER(VLOOKUP($D83,'Visu totale'!$D:$DH,CT$1,0)),CS83-VLOOKUP($D83,'Visu totale'!$D:$DH,CT$1,0),IF(LEFT(VLOOKUP($D83,'Visu totale'!$D:$DH,CT$1,0),1)="V",IF(CS83&gt;=INDEX('[1]Définition Maintenances'!$G:$G,MATCH($A83,'[1]Définition Maintenances'!$K:$K,0)),CS83,INDEX('[1]Définition Maintenances'!$G:$G,MATCH($A83,'[1]Définition Maintenances'!$K:$K,0))+CS83),CS83))</f>
        <v>337</v>
      </c>
      <c r="CU83" s="26">
        <f>IF(ISNUMBER(VLOOKUP($D83,'Visu totale'!$D:$DH,CU$1,0)),CT83-VLOOKUP($D83,'Visu totale'!$D:$DH,CU$1,0),IF(LEFT(VLOOKUP($D83,'Visu totale'!$D:$DH,CU$1,0),1)="V",IF(CT83&gt;=INDEX('[1]Définition Maintenances'!$G:$G,MATCH($A83,'[1]Définition Maintenances'!$K:$K,0)),CT83,INDEX('[1]Définition Maintenances'!$G:$G,MATCH($A83,'[1]Définition Maintenances'!$K:$K,0))+CT83),CT83))</f>
        <v>337</v>
      </c>
      <c r="CV83" s="26">
        <f>IF(ISNUMBER(VLOOKUP($D83,'Visu totale'!$D:$DH,CV$1,0)),CU83-VLOOKUP($D83,'Visu totale'!$D:$DH,CV$1,0),IF(LEFT(VLOOKUP($D83,'Visu totale'!$D:$DH,CV$1,0),1)="V",IF(CU83&gt;=INDEX('[1]Définition Maintenances'!$G:$G,MATCH($A83,'[1]Définition Maintenances'!$K:$K,0)),CU83,INDEX('[1]Définition Maintenances'!$G:$G,MATCH($A83,'[1]Définition Maintenances'!$K:$K,0))+CU83),CU83))</f>
        <v>337</v>
      </c>
      <c r="CW83" s="27">
        <f>IF(ISNUMBER(VLOOKUP($D83,'Visu totale'!$D:$DH,CW$1,0)),CV83-VLOOKUP($D83,'Visu totale'!$D:$DH,CW$1,0),IF(LEFT(VLOOKUP($D83,'Visu totale'!$D:$DH,CW$1,0),1)="V",IF(CV83&gt;=INDEX('[1]Définition Maintenances'!$G:$G,MATCH($A83,'[1]Définition Maintenances'!$K:$K,0)),CV83,INDEX('[1]Définition Maintenances'!$G:$G,MATCH($A83,'[1]Définition Maintenances'!$K:$K,0))+CV83),CV83))</f>
        <v>337</v>
      </c>
      <c r="CX83" s="25">
        <f>IF(ISNUMBER(VLOOKUP($D83,'Visu totale'!$D:$DH,CX$1,0)),CW83-VLOOKUP($D83,'Visu totale'!$D:$DH,CX$1,0),IF(LEFT(VLOOKUP($D83,'Visu totale'!$D:$DH,CX$1,0),1)="V",IF(CW83&gt;=INDEX('[1]Définition Maintenances'!$G:$G,MATCH($A83,'[1]Définition Maintenances'!$K:$K,0)),CW83,INDEX('[1]Définition Maintenances'!$G:$G,MATCH($A83,'[1]Définition Maintenances'!$K:$K,0))+CW83),CW83))</f>
        <v>337</v>
      </c>
      <c r="CY83" s="26">
        <f>IF(ISNUMBER(VLOOKUP($D83,'Visu totale'!$D:$DH,CY$1,0)),CX83-VLOOKUP($D83,'Visu totale'!$D:$DH,CY$1,0),IF(LEFT(VLOOKUP($D83,'Visu totale'!$D:$DH,CY$1,0),1)="V",IF(CX83&gt;=INDEX('[1]Définition Maintenances'!$G:$G,MATCH($A83,'[1]Définition Maintenances'!$K:$K,0)),CX83,INDEX('[1]Définition Maintenances'!$G:$G,MATCH($A83,'[1]Définition Maintenances'!$K:$K,0))+CX83),CX83))</f>
        <v>337</v>
      </c>
      <c r="CZ83" s="26">
        <f>IF(ISNUMBER(VLOOKUP($D83,'Visu totale'!$D:$DH,CZ$1,0)),CY83-VLOOKUP($D83,'Visu totale'!$D:$DH,CZ$1,0),IF(LEFT(VLOOKUP($D83,'Visu totale'!$D:$DH,CZ$1,0),1)="V",IF(CY83&gt;=INDEX('[1]Définition Maintenances'!$G:$G,MATCH($A83,'[1]Définition Maintenances'!$K:$K,0)),CY83,INDEX('[1]Définition Maintenances'!$G:$G,MATCH($A83,'[1]Définition Maintenances'!$K:$K,0))+CY83),CY83))</f>
        <v>337</v>
      </c>
      <c r="DA83" s="26">
        <f>IF(ISNUMBER(VLOOKUP($D83,'Visu totale'!$D:$DH,DA$1,0)),CZ83-VLOOKUP($D83,'Visu totale'!$D:$DH,DA$1,0),IF(LEFT(VLOOKUP($D83,'Visu totale'!$D:$DH,DA$1,0),1)="V",IF(CZ83&gt;=INDEX('[1]Définition Maintenances'!$G:$G,MATCH($A83,'[1]Définition Maintenances'!$K:$K,0)),CZ83,INDEX('[1]Définition Maintenances'!$G:$G,MATCH($A83,'[1]Définition Maintenances'!$K:$K,0))+CZ83),CZ83))</f>
        <v>337</v>
      </c>
      <c r="DB83" s="26">
        <f>IF(ISNUMBER(VLOOKUP($D83,'Visu totale'!$D:$DH,DB$1,0)),DA83-VLOOKUP($D83,'Visu totale'!$D:$DH,DB$1,0),IF(LEFT(VLOOKUP($D83,'Visu totale'!$D:$DH,DB$1,0),1)="V",IF(DA83&gt;=INDEX('[1]Définition Maintenances'!$G:$G,MATCH($A83,'[1]Définition Maintenances'!$K:$K,0)),DA83,INDEX('[1]Définition Maintenances'!$G:$G,MATCH($A83,'[1]Définition Maintenances'!$K:$K,0))+DA83),DA83))</f>
        <v>337</v>
      </c>
      <c r="DC83" s="26">
        <f>IF(ISNUMBER(VLOOKUP($D83,'Visu totale'!$D:$DH,DC$1,0)),DB83-VLOOKUP($D83,'Visu totale'!$D:$DH,DC$1,0),IF(LEFT(VLOOKUP($D83,'Visu totale'!$D:$DH,DC$1,0),1)="V",IF(DB83&gt;=INDEX('[1]Définition Maintenances'!$G:$G,MATCH($A83,'[1]Définition Maintenances'!$K:$K,0)),DB83,INDEX('[1]Définition Maintenances'!$G:$G,MATCH($A83,'[1]Définition Maintenances'!$K:$K,0))+DB83),DB83))</f>
        <v>337</v>
      </c>
      <c r="DD83" s="26">
        <f>IF(ISNUMBER(VLOOKUP($D83,'Visu totale'!$D:$DH,DD$1,0)),DC83-VLOOKUP($D83,'Visu totale'!$D:$DH,DD$1,0),IF(LEFT(VLOOKUP($D83,'Visu totale'!$D:$DH,DD$1,0),1)="V",IF(DC83&gt;=INDEX('[1]Définition Maintenances'!$G:$G,MATCH($A83,'[1]Définition Maintenances'!$K:$K,0)),DC83,INDEX('[1]Définition Maintenances'!$G:$G,MATCH($A83,'[1]Définition Maintenances'!$K:$K,0))+DC83),DC83))</f>
        <v>337</v>
      </c>
      <c r="DE83" s="26">
        <f>IF(ISNUMBER(VLOOKUP($D83,'Visu totale'!$D:$DH,DE$1,0)),DD83-VLOOKUP($D83,'Visu totale'!$D:$DH,DE$1,0),IF(LEFT(VLOOKUP($D83,'Visu totale'!$D:$DH,DE$1,0),1)="V",IF(DD83&gt;=INDEX('[1]Définition Maintenances'!$G:$G,MATCH($A83,'[1]Définition Maintenances'!$K:$K,0)),DD83,INDEX('[1]Définition Maintenances'!$G:$G,MATCH($A83,'[1]Définition Maintenances'!$K:$K,0))+DD83),DD83))</f>
        <v>337</v>
      </c>
      <c r="DF83" s="26">
        <f>IF(ISNUMBER(VLOOKUP($D83,'Visu totale'!$D:$DH,DF$1,0)),DE83-VLOOKUP($D83,'Visu totale'!$D:$DH,DF$1,0),IF(LEFT(VLOOKUP($D83,'Visu totale'!$D:$DH,DF$1,0),1)="V",IF(DE83&gt;=INDEX('[1]Définition Maintenances'!$G:$G,MATCH($A83,'[1]Définition Maintenances'!$K:$K,0)),DE83,INDEX('[1]Définition Maintenances'!$G:$G,MATCH($A83,'[1]Définition Maintenances'!$K:$K,0))+DE83),DE83))</f>
        <v>337</v>
      </c>
      <c r="DG83" s="26">
        <f>IF(ISNUMBER(VLOOKUP($D83,'Visu totale'!$D:$DH,DG$1,0)),DF83-VLOOKUP($D83,'Visu totale'!$D:$DH,DG$1,0),IF(LEFT(VLOOKUP($D83,'Visu totale'!$D:$DH,DG$1,0),1)="V",IF(DF83&gt;=INDEX('[1]Définition Maintenances'!$G:$G,MATCH($A83,'[1]Définition Maintenances'!$K:$K,0)),DF83,INDEX('[1]Définition Maintenances'!$G:$G,MATCH($A83,'[1]Définition Maintenances'!$K:$K,0))+DF83),DF83))</f>
        <v>337</v>
      </c>
      <c r="DH83" s="26">
        <f>IF(ISNUMBER(VLOOKUP($D83,'Visu totale'!$D:$DH,DH$1,0)),DG83-VLOOKUP($D83,'Visu totale'!$D:$DH,DH$1,0),IF(LEFT(VLOOKUP($D83,'Visu totale'!$D:$DH,DH$1,0),1)="V",IF(DG83&gt;=INDEX('[1]Définition Maintenances'!$G:$G,MATCH($A83,'[1]Définition Maintenances'!$K:$K,0)),DG83,INDEX('[1]Définition Maintenances'!$G:$G,MATCH($A83,'[1]Définition Maintenances'!$K:$K,0))+DG83),DG83))</f>
        <v>337</v>
      </c>
      <c r="DI83" s="27">
        <f>IF(ISNUMBER(VLOOKUP($D83,'Visu totale'!$D:$DH,DI$1,0)),DH83-VLOOKUP($D83,'Visu totale'!$D:$DH,DI$1,0),IF(LEFT(VLOOKUP($D83,'Visu totale'!$D:$DH,DI$1,0),1)="V",IF(DH83&gt;=INDEX('[1]Définition Maintenances'!$G:$G,MATCH($A83,'[1]Définition Maintenances'!$K:$K,0)),DH83,INDEX('[1]Définition Maintenances'!$G:$G,MATCH($A83,'[1]Définition Maintenances'!$K:$K,0))+DH83),DH83))</f>
        <v>337</v>
      </c>
    </row>
    <row r="84" spans="1:113" x14ac:dyDescent="0.25">
      <c r="A84" s="13" t="str">
        <f t="shared" si="2"/>
        <v>V5B</v>
      </c>
      <c r="B84" s="13" t="str">
        <f>VLOOKUP(D84,'[1]Avions (Potentiels)'!$B$2:$H$128,7,FALSE)</f>
        <v>V5</v>
      </c>
      <c r="C84" s="13"/>
      <c r="D84" s="16" t="s">
        <v>87</v>
      </c>
      <c r="E84" s="13">
        <f>IFERROR(VALUE(SUBSTITUTE(VLOOKUP(D84,'[1]Avions (Potentiels)'!$B:$E,4,0),".",",")),VALUE(VLOOKUP(D84,'[1]Avions (Potentiels)'!$B:$E,4,0)))</f>
        <v>644</v>
      </c>
      <c r="F84" s="25">
        <f>IF(ISNUMBER(VLOOKUP($D84,'Visu totale'!$D:$DH,F$1,0)),E84-VLOOKUP($D84,'Visu totale'!$D:$DH,F$1,0),IF(LEFT(VLOOKUP($D84,'Visu totale'!$D:$DH,F$1,0),1)="V",IF(E84&gt;=INDEX('[1]Définition Maintenances'!$G:$G,MATCH($A84,'[1]Définition Maintenances'!$K:$K,0)),E84,INDEX('[1]Définition Maintenances'!$G:$G,MATCH($A84,'[1]Définition Maintenances'!$K:$K,0))+E84),E84))</f>
        <v>644</v>
      </c>
      <c r="G84" s="26">
        <f>IF(ISNUMBER(VLOOKUP($D84,'Visu totale'!$D:$DH,G$1,0)),F84-VLOOKUP($D84,'Visu totale'!$D:$DH,G$1,0),IF(LEFT(VLOOKUP($D84,'Visu totale'!$D:$DH,G$1,0),1)="V",IF(F84&gt;=INDEX('[1]Définition Maintenances'!$G:$G,MATCH($A84,'[1]Définition Maintenances'!$K:$K,0)),F84,INDEX('[1]Définition Maintenances'!$G:$G,MATCH($A84,'[1]Définition Maintenances'!$K:$K,0))+F84),F84))</f>
        <v>644</v>
      </c>
      <c r="H84" s="26">
        <f>IF(ISNUMBER(VLOOKUP($D84,'Visu totale'!$D:$DH,H$1,0)),G84-VLOOKUP($D84,'Visu totale'!$D:$DH,H$1,0),IF(LEFT(VLOOKUP($D84,'Visu totale'!$D:$DH,H$1,0),1)="V",IF(G84&gt;=INDEX('[1]Définition Maintenances'!$G:$G,MATCH($A84,'[1]Définition Maintenances'!$K:$K,0)),G84,INDEX('[1]Définition Maintenances'!$G:$G,MATCH($A84,'[1]Définition Maintenances'!$K:$K,0))+G84),G84))</f>
        <v>644</v>
      </c>
      <c r="I84" s="26">
        <f>IF(ISNUMBER(VLOOKUP($D84,'Visu totale'!$D:$DH,I$1,0)),H84-VLOOKUP($D84,'Visu totale'!$D:$DH,I$1,0),IF(LEFT(VLOOKUP($D84,'Visu totale'!$D:$DH,I$1,0),1)="V",IF(H84&gt;=INDEX('[1]Définition Maintenances'!$G:$G,MATCH($A84,'[1]Définition Maintenances'!$K:$K,0)),H84,INDEX('[1]Définition Maintenances'!$G:$G,MATCH($A84,'[1]Définition Maintenances'!$K:$K,0))+H84),H84))</f>
        <v>644</v>
      </c>
      <c r="J84" s="26">
        <f>IF(ISNUMBER(VLOOKUP($D84,'Visu totale'!$D:$DH,J$1,0)),I84-VLOOKUP($D84,'Visu totale'!$D:$DH,J$1,0),IF(LEFT(VLOOKUP($D84,'Visu totale'!$D:$DH,J$1,0),1)="V",IF(I84&gt;=INDEX('[1]Définition Maintenances'!$G:$G,MATCH($A84,'[1]Définition Maintenances'!$K:$K,0)),I84,INDEX('[1]Définition Maintenances'!$G:$G,MATCH($A84,'[1]Définition Maintenances'!$K:$K,0))+I84),I84))</f>
        <v>644</v>
      </c>
      <c r="K84" s="26">
        <f>IF(ISNUMBER(VLOOKUP($D84,'Visu totale'!$D:$DH,K$1,0)),J84-VLOOKUP($D84,'Visu totale'!$D:$DH,K$1,0),IF(LEFT(VLOOKUP($D84,'Visu totale'!$D:$DH,K$1,0),1)="V",IF(J84&gt;=INDEX('[1]Définition Maintenances'!$G:$G,MATCH($A84,'[1]Définition Maintenances'!$K:$K,0)),J84,INDEX('[1]Définition Maintenances'!$G:$G,MATCH($A84,'[1]Définition Maintenances'!$K:$K,0))+J84),J84))</f>
        <v>644</v>
      </c>
      <c r="L84" s="26">
        <f>IF(ISNUMBER(VLOOKUP($D84,'Visu totale'!$D:$DH,L$1,0)),K84-VLOOKUP($D84,'Visu totale'!$D:$DH,L$1,0),IF(LEFT(VLOOKUP($D84,'Visu totale'!$D:$DH,L$1,0),1)="V",IF(K84&gt;=INDEX('[1]Définition Maintenances'!$G:$G,MATCH($A84,'[1]Définition Maintenances'!$K:$K,0)),K84,INDEX('[1]Définition Maintenances'!$G:$G,MATCH($A84,'[1]Définition Maintenances'!$K:$K,0))+K84),K84))</f>
        <v>644</v>
      </c>
      <c r="M84" s="26">
        <f>IF(ISNUMBER(VLOOKUP($D84,'Visu totale'!$D:$DH,M$1,0)),L84-VLOOKUP($D84,'Visu totale'!$D:$DH,M$1,0),IF(LEFT(VLOOKUP($D84,'Visu totale'!$D:$DH,M$1,0),1)="V",IF(L84&gt;=INDEX('[1]Définition Maintenances'!$G:$G,MATCH($A84,'[1]Définition Maintenances'!$K:$K,0)),L84,INDEX('[1]Définition Maintenances'!$G:$G,MATCH($A84,'[1]Définition Maintenances'!$K:$K,0))+L84),L84))</f>
        <v>644</v>
      </c>
      <c r="N84" s="26">
        <f>IF(ISNUMBER(VLOOKUP($D84,'Visu totale'!$D:$DH,N$1,0)),M84-VLOOKUP($D84,'Visu totale'!$D:$DH,N$1,0),IF(LEFT(VLOOKUP($D84,'Visu totale'!$D:$DH,N$1,0),1)="V",IF(M84&gt;=INDEX('[1]Définition Maintenances'!$G:$G,MATCH($A84,'[1]Définition Maintenances'!$K:$K,0)),M84,INDEX('[1]Définition Maintenances'!$G:$G,MATCH($A84,'[1]Définition Maintenances'!$K:$K,0))+M84),M84))</f>
        <v>644</v>
      </c>
      <c r="O84" s="26">
        <f>IF(ISNUMBER(VLOOKUP($D84,'Visu totale'!$D:$DH,O$1,0)),N84-VLOOKUP($D84,'Visu totale'!$D:$DH,O$1,0),IF(LEFT(VLOOKUP($D84,'Visu totale'!$D:$DH,O$1,0),1)="V",IF(N84&gt;=INDEX('[1]Définition Maintenances'!$G:$G,MATCH($A84,'[1]Définition Maintenances'!$K:$K,0)),N84,INDEX('[1]Définition Maintenances'!$G:$G,MATCH($A84,'[1]Définition Maintenances'!$K:$K,0))+N84),N84))</f>
        <v>644</v>
      </c>
      <c r="P84" s="26">
        <f>IF(ISNUMBER(VLOOKUP($D84,'Visu totale'!$D:$DH,P$1,0)),O84-VLOOKUP($D84,'Visu totale'!$D:$DH,P$1,0),IF(LEFT(VLOOKUP($D84,'Visu totale'!$D:$DH,P$1,0),1)="V",IF(O84&gt;=INDEX('[1]Définition Maintenances'!$G:$G,MATCH($A84,'[1]Définition Maintenances'!$K:$K,0)),O84,INDEX('[1]Définition Maintenances'!$G:$G,MATCH($A84,'[1]Définition Maintenances'!$K:$K,0))+O84),O84))</f>
        <v>644</v>
      </c>
      <c r="Q84" s="27">
        <f>IF(ISNUMBER(VLOOKUP($D84,'Visu totale'!$D:$DH,Q$1,0)),P84-VLOOKUP($D84,'Visu totale'!$D:$DH,Q$1,0),IF(LEFT(VLOOKUP($D84,'Visu totale'!$D:$DH,Q$1,0),1)="V",IF(P84&gt;=INDEX('[1]Définition Maintenances'!$G:$G,MATCH($A84,'[1]Définition Maintenances'!$K:$K,0)),P84,INDEX('[1]Définition Maintenances'!$G:$G,MATCH($A84,'[1]Définition Maintenances'!$K:$K,0))+P84),P84))</f>
        <v>644</v>
      </c>
      <c r="R84" s="25">
        <f>IF(ISNUMBER(VLOOKUP($D84,'Visu totale'!$D:$DH,R$1,0)),Q84-VLOOKUP($D84,'Visu totale'!$D:$DH,R$1,0),IF(LEFT(VLOOKUP($D84,'Visu totale'!$D:$DH,R$1,0),1)="V",IF(Q84&gt;=INDEX('[1]Définition Maintenances'!$G:$G,MATCH($A84,'[1]Définition Maintenances'!$K:$K,0)),Q84,INDEX('[1]Définition Maintenances'!$G:$G,MATCH($A84,'[1]Définition Maintenances'!$K:$K,0))+Q84),Q84))</f>
        <v>644</v>
      </c>
      <c r="S84" s="26">
        <f>IF(ISNUMBER(VLOOKUP($D84,'Visu totale'!$D:$DH,S$1,0)),R84-VLOOKUP($D84,'Visu totale'!$D:$DH,S$1,0),IF(LEFT(VLOOKUP($D84,'Visu totale'!$D:$DH,S$1,0),1)="V",IF(R84&gt;=INDEX('[1]Définition Maintenances'!$G:$G,MATCH($A84,'[1]Définition Maintenances'!$K:$K,0)),R84,INDEX('[1]Définition Maintenances'!$G:$G,MATCH($A84,'[1]Définition Maintenances'!$K:$K,0))+R84),R84))</f>
        <v>644</v>
      </c>
      <c r="T84" s="26">
        <f>IF(ISNUMBER(VLOOKUP($D84,'Visu totale'!$D:$DH,T$1,0)),S84-VLOOKUP($D84,'Visu totale'!$D:$DH,T$1,0),IF(LEFT(VLOOKUP($D84,'Visu totale'!$D:$DH,T$1,0),1)="V",IF(S84&gt;=INDEX('[1]Définition Maintenances'!$G:$G,MATCH($A84,'[1]Définition Maintenances'!$K:$K,0)),S84,INDEX('[1]Définition Maintenances'!$G:$G,MATCH($A84,'[1]Définition Maintenances'!$K:$K,0))+S84),S84))</f>
        <v>644</v>
      </c>
      <c r="U84" s="26">
        <f>IF(ISNUMBER(VLOOKUP($D84,'Visu totale'!$D:$DH,U$1,0)),T84-VLOOKUP($D84,'Visu totale'!$D:$DH,U$1,0),IF(LEFT(VLOOKUP($D84,'Visu totale'!$D:$DH,U$1,0),1)="V",IF(T84&gt;=INDEX('[1]Définition Maintenances'!$G:$G,MATCH($A84,'[1]Définition Maintenances'!$K:$K,0)),T84,INDEX('[1]Définition Maintenances'!$G:$G,MATCH($A84,'[1]Définition Maintenances'!$K:$K,0))+T84),T84))</f>
        <v>644</v>
      </c>
      <c r="V84" s="26">
        <f>IF(ISNUMBER(VLOOKUP($D84,'Visu totale'!$D:$DH,V$1,0)),U84-VLOOKUP($D84,'Visu totale'!$D:$DH,V$1,0),IF(LEFT(VLOOKUP($D84,'Visu totale'!$D:$DH,V$1,0),1)="V",IF(U84&gt;=INDEX('[1]Définition Maintenances'!$G:$G,MATCH($A84,'[1]Définition Maintenances'!$K:$K,0)),U84,INDEX('[1]Définition Maintenances'!$G:$G,MATCH($A84,'[1]Définition Maintenances'!$K:$K,0))+U84),U84))</f>
        <v>644</v>
      </c>
      <c r="W84" s="26">
        <f>IF(ISNUMBER(VLOOKUP($D84,'Visu totale'!$D:$DH,W$1,0)),V84-VLOOKUP($D84,'Visu totale'!$D:$DH,W$1,0),IF(LEFT(VLOOKUP($D84,'Visu totale'!$D:$DH,W$1,0),1)="V",IF(V84&gt;=INDEX('[1]Définition Maintenances'!$G:$G,MATCH($A84,'[1]Définition Maintenances'!$K:$K,0)),V84,INDEX('[1]Définition Maintenances'!$G:$G,MATCH($A84,'[1]Définition Maintenances'!$K:$K,0))+V84),V84))</f>
        <v>644</v>
      </c>
      <c r="X84" s="26">
        <f>IF(ISNUMBER(VLOOKUP($D84,'Visu totale'!$D:$DH,X$1,0)),W84-VLOOKUP($D84,'Visu totale'!$D:$DH,X$1,0),IF(LEFT(VLOOKUP($D84,'Visu totale'!$D:$DH,X$1,0),1)="V",IF(W84&gt;=INDEX('[1]Définition Maintenances'!$G:$G,MATCH($A84,'[1]Définition Maintenances'!$K:$K,0)),W84,INDEX('[1]Définition Maintenances'!$G:$G,MATCH($A84,'[1]Définition Maintenances'!$K:$K,0))+W84),W84))</f>
        <v>644</v>
      </c>
      <c r="Y84" s="26">
        <f>IF(ISNUMBER(VLOOKUP($D84,'Visu totale'!$D:$DH,Y$1,0)),X84-VLOOKUP($D84,'Visu totale'!$D:$DH,Y$1,0),IF(LEFT(VLOOKUP($D84,'Visu totale'!$D:$DH,Y$1,0),1)="V",IF(X84&gt;=INDEX('[1]Définition Maintenances'!$G:$G,MATCH($A84,'[1]Définition Maintenances'!$K:$K,0)),X84,INDEX('[1]Définition Maintenances'!$G:$G,MATCH($A84,'[1]Définition Maintenances'!$K:$K,0))+X84),X84))</f>
        <v>644</v>
      </c>
      <c r="Z84" s="26">
        <f>IF(ISNUMBER(VLOOKUP($D84,'Visu totale'!$D:$DH,Z$1,0)),Y84-VLOOKUP($D84,'Visu totale'!$D:$DH,Z$1,0),IF(LEFT(VLOOKUP($D84,'Visu totale'!$D:$DH,Z$1,0),1)="V",IF(Y84&gt;=INDEX('[1]Définition Maintenances'!$G:$G,MATCH($A84,'[1]Définition Maintenances'!$K:$K,0)),Y84,INDEX('[1]Définition Maintenances'!$G:$G,MATCH($A84,'[1]Définition Maintenances'!$K:$K,0))+Y84),Y84))</f>
        <v>644</v>
      </c>
      <c r="AA84" s="26">
        <f>IF(ISNUMBER(VLOOKUP($D84,'Visu totale'!$D:$DH,AA$1,0)),Z84-VLOOKUP($D84,'Visu totale'!$D:$DH,AA$1,0),IF(LEFT(VLOOKUP($D84,'Visu totale'!$D:$DH,AA$1,0),1)="V",IF(Z84&gt;=INDEX('[1]Définition Maintenances'!$G:$G,MATCH($A84,'[1]Définition Maintenances'!$K:$K,0)),Z84,INDEX('[1]Définition Maintenances'!$G:$G,MATCH($A84,'[1]Définition Maintenances'!$K:$K,0))+Z84),Z84))</f>
        <v>644</v>
      </c>
      <c r="AB84" s="26">
        <f>IF(ISNUMBER(VLOOKUP($D84,'Visu totale'!$D:$DH,AB$1,0)),AA84-VLOOKUP($D84,'Visu totale'!$D:$DH,AB$1,0),IF(LEFT(VLOOKUP($D84,'Visu totale'!$D:$DH,AB$1,0),1)="V",IF(AA84&gt;=INDEX('[1]Définition Maintenances'!$G:$G,MATCH($A84,'[1]Définition Maintenances'!$K:$K,0)),AA84,INDEX('[1]Définition Maintenances'!$G:$G,MATCH($A84,'[1]Définition Maintenances'!$K:$K,0))+AA84),AA84))</f>
        <v>644</v>
      </c>
      <c r="AC84" s="27">
        <f>IF(ISNUMBER(VLOOKUP($D84,'Visu totale'!$D:$DH,AC$1,0)),AB84-VLOOKUP($D84,'Visu totale'!$D:$DH,AC$1,0),IF(LEFT(VLOOKUP($D84,'Visu totale'!$D:$DH,AC$1,0),1)="V",IF(AB84&gt;=INDEX('[1]Définition Maintenances'!$G:$G,MATCH($A84,'[1]Définition Maintenances'!$K:$K,0)),AB84,INDEX('[1]Définition Maintenances'!$G:$G,MATCH($A84,'[1]Définition Maintenances'!$K:$K,0))+AB84),AB84))</f>
        <v>644</v>
      </c>
      <c r="AD84" s="25">
        <f>IF(ISNUMBER(VLOOKUP($D84,'Visu totale'!$D:$DH,AD$1,0)),AC84-VLOOKUP($D84,'Visu totale'!$D:$DH,AD$1,0),IF(LEFT(VLOOKUP($D84,'Visu totale'!$D:$DH,AD$1,0),1)="V",IF(AC84&gt;=INDEX('[1]Définition Maintenances'!$G:$G,MATCH($A84,'[1]Définition Maintenances'!$K:$K,0)),AC84,INDEX('[1]Définition Maintenances'!$G:$G,MATCH($A84,'[1]Définition Maintenances'!$K:$K,0))+AC84),AC84))</f>
        <v>644</v>
      </c>
      <c r="AE84" s="26">
        <f>IF(ISNUMBER(VLOOKUP($D84,'Visu totale'!$D:$DH,AE$1,0)),AD84-VLOOKUP($D84,'Visu totale'!$D:$DH,AE$1,0),IF(LEFT(VLOOKUP($D84,'Visu totale'!$D:$DH,AE$1,0),1)="V",IF(AD84&gt;=INDEX('[1]Définition Maintenances'!$G:$G,MATCH($A84,'[1]Définition Maintenances'!$K:$K,0)),AD84,INDEX('[1]Définition Maintenances'!$G:$G,MATCH($A84,'[1]Définition Maintenances'!$K:$K,0))+AD84),AD84))</f>
        <v>644</v>
      </c>
      <c r="AF84" s="26">
        <f>IF(ISNUMBER(VLOOKUP($D84,'Visu totale'!$D:$DH,AF$1,0)),AE84-VLOOKUP($D84,'Visu totale'!$D:$DH,AF$1,0),IF(LEFT(VLOOKUP($D84,'Visu totale'!$D:$DH,AF$1,0),1)="V",IF(AE84&gt;=INDEX('[1]Définition Maintenances'!$G:$G,MATCH($A84,'[1]Définition Maintenances'!$K:$K,0)),AE84,INDEX('[1]Définition Maintenances'!$G:$G,MATCH($A84,'[1]Définition Maintenances'!$K:$K,0))+AE84),AE84))</f>
        <v>644</v>
      </c>
      <c r="AG84" s="26">
        <f>IF(ISNUMBER(VLOOKUP($D84,'Visu totale'!$D:$DH,AG$1,0)),AF84-VLOOKUP($D84,'Visu totale'!$D:$DH,AG$1,0),IF(LEFT(VLOOKUP($D84,'Visu totale'!$D:$DH,AG$1,0),1)="V",IF(AF84&gt;=INDEX('[1]Définition Maintenances'!$G:$G,MATCH($A84,'[1]Définition Maintenances'!$K:$K,0)),AF84,INDEX('[1]Définition Maintenances'!$G:$G,MATCH($A84,'[1]Définition Maintenances'!$K:$K,0))+AF84),AF84))</f>
        <v>644</v>
      </c>
      <c r="AH84" s="26">
        <f>IF(ISNUMBER(VLOOKUP($D84,'Visu totale'!$D:$DH,AH$1,0)),AG84-VLOOKUP($D84,'Visu totale'!$D:$DH,AH$1,0),IF(LEFT(VLOOKUP($D84,'Visu totale'!$D:$DH,AH$1,0),1)="V",IF(AG84&gt;=INDEX('[1]Définition Maintenances'!$G:$G,MATCH($A84,'[1]Définition Maintenances'!$K:$K,0)),AG84,INDEX('[1]Définition Maintenances'!$G:$G,MATCH($A84,'[1]Définition Maintenances'!$K:$K,0))+AG84),AG84))</f>
        <v>644</v>
      </c>
      <c r="AI84" s="26">
        <f>IF(ISNUMBER(VLOOKUP($D84,'Visu totale'!$D:$DH,AI$1,0)),AH84-VLOOKUP($D84,'Visu totale'!$D:$DH,AI$1,0),IF(LEFT(VLOOKUP($D84,'Visu totale'!$D:$DH,AI$1,0),1)="V",IF(AH84&gt;=INDEX('[1]Définition Maintenances'!$G:$G,MATCH($A84,'[1]Définition Maintenances'!$K:$K,0)),AH84,INDEX('[1]Définition Maintenances'!$G:$G,MATCH($A84,'[1]Définition Maintenances'!$K:$K,0))+AH84),AH84))</f>
        <v>644</v>
      </c>
      <c r="AJ84" s="26">
        <f>IF(ISNUMBER(VLOOKUP($D84,'Visu totale'!$D:$DH,AJ$1,0)),AI84-VLOOKUP($D84,'Visu totale'!$D:$DH,AJ$1,0),IF(LEFT(VLOOKUP($D84,'Visu totale'!$D:$DH,AJ$1,0),1)="V",IF(AI84&gt;=INDEX('[1]Définition Maintenances'!$G:$G,MATCH($A84,'[1]Définition Maintenances'!$K:$K,0)),AI84,INDEX('[1]Définition Maintenances'!$G:$G,MATCH($A84,'[1]Définition Maintenances'!$K:$K,0))+AI84),AI84))</f>
        <v>644</v>
      </c>
      <c r="AK84" s="26">
        <f>IF(ISNUMBER(VLOOKUP($D84,'Visu totale'!$D:$DH,AK$1,0)),AJ84-VLOOKUP($D84,'Visu totale'!$D:$DH,AK$1,0),IF(LEFT(VLOOKUP($D84,'Visu totale'!$D:$DH,AK$1,0),1)="V",IF(AJ84&gt;=INDEX('[1]Définition Maintenances'!$G:$G,MATCH($A84,'[1]Définition Maintenances'!$K:$K,0)),AJ84,INDEX('[1]Définition Maintenances'!$G:$G,MATCH($A84,'[1]Définition Maintenances'!$K:$K,0))+AJ84),AJ84))</f>
        <v>644</v>
      </c>
      <c r="AL84" s="26">
        <f>IF(ISNUMBER(VLOOKUP($D84,'Visu totale'!$D:$DH,AL$1,0)),AK84-VLOOKUP($D84,'Visu totale'!$D:$DH,AL$1,0),IF(LEFT(VLOOKUP($D84,'Visu totale'!$D:$DH,AL$1,0),1)="V",IF(AK84&gt;=INDEX('[1]Définition Maintenances'!$G:$G,MATCH($A84,'[1]Définition Maintenances'!$K:$K,0)),AK84,INDEX('[1]Définition Maintenances'!$G:$G,MATCH($A84,'[1]Définition Maintenances'!$K:$K,0))+AK84),AK84))</f>
        <v>644</v>
      </c>
      <c r="AM84" s="26">
        <f>IF(ISNUMBER(VLOOKUP($D84,'Visu totale'!$D:$DH,AM$1,0)),AL84-VLOOKUP($D84,'Visu totale'!$D:$DH,AM$1,0),IF(LEFT(VLOOKUP($D84,'Visu totale'!$D:$DH,AM$1,0),1)="V",IF(AL84&gt;=INDEX('[1]Définition Maintenances'!$G:$G,MATCH($A84,'[1]Définition Maintenances'!$K:$K,0)),AL84,INDEX('[1]Définition Maintenances'!$G:$G,MATCH($A84,'[1]Définition Maintenances'!$K:$K,0))+AL84),AL84))</f>
        <v>644</v>
      </c>
      <c r="AN84" s="26">
        <f>IF(ISNUMBER(VLOOKUP($D84,'Visu totale'!$D:$DH,AN$1,0)),AM84-VLOOKUP($D84,'Visu totale'!$D:$DH,AN$1,0),IF(LEFT(VLOOKUP($D84,'Visu totale'!$D:$DH,AN$1,0),1)="V",IF(AM84&gt;=INDEX('[1]Définition Maintenances'!$G:$G,MATCH($A84,'[1]Définition Maintenances'!$K:$K,0)),AM84,INDEX('[1]Définition Maintenances'!$G:$G,MATCH($A84,'[1]Définition Maintenances'!$K:$K,0))+AM84),AM84))</f>
        <v>644</v>
      </c>
      <c r="AO84" s="27">
        <f>IF(ISNUMBER(VLOOKUP($D84,'Visu totale'!$D:$DH,AO$1,0)),AN84-VLOOKUP($D84,'Visu totale'!$D:$DH,AO$1,0),IF(LEFT(VLOOKUP($D84,'Visu totale'!$D:$DH,AO$1,0),1)="V",IF(AN84&gt;=INDEX('[1]Définition Maintenances'!$G:$G,MATCH($A84,'[1]Définition Maintenances'!$K:$K,0)),AN84,INDEX('[1]Définition Maintenances'!$G:$G,MATCH($A84,'[1]Définition Maintenances'!$K:$K,0))+AN84),AN84))</f>
        <v>644</v>
      </c>
      <c r="AP84" s="25">
        <f>IF(ISNUMBER(VLOOKUP($D84,'Visu totale'!$D:$DH,AP$1,0)),AO84-VLOOKUP($D84,'Visu totale'!$D:$DH,AP$1,0),IF(LEFT(VLOOKUP($D84,'Visu totale'!$D:$DH,AP$1,0),1)="V",IF(AO84&gt;=INDEX('[1]Définition Maintenances'!$G:$G,MATCH($A84,'[1]Définition Maintenances'!$K:$K,0)),AO84,INDEX('[1]Définition Maintenances'!$G:$G,MATCH($A84,'[1]Définition Maintenances'!$K:$K,0))+AO84),AO84))</f>
        <v>644</v>
      </c>
      <c r="AQ84" s="26">
        <f>IF(ISNUMBER(VLOOKUP($D84,'Visu totale'!$D:$DH,AQ$1,0)),AP84-VLOOKUP($D84,'Visu totale'!$D:$DH,AQ$1,0),IF(LEFT(VLOOKUP($D84,'Visu totale'!$D:$DH,AQ$1,0),1)="V",IF(AP84&gt;=INDEX('[1]Définition Maintenances'!$G:$G,MATCH($A84,'[1]Définition Maintenances'!$K:$K,0)),AP84,INDEX('[1]Définition Maintenances'!$G:$G,MATCH($A84,'[1]Définition Maintenances'!$K:$K,0))+AP84),AP84))</f>
        <v>644</v>
      </c>
      <c r="AR84" s="26">
        <f>IF(ISNUMBER(VLOOKUP($D84,'Visu totale'!$D:$DH,AR$1,0)),AQ84-VLOOKUP($D84,'Visu totale'!$D:$DH,AR$1,0),IF(LEFT(VLOOKUP($D84,'Visu totale'!$D:$DH,AR$1,0),1)="V",IF(AQ84&gt;=INDEX('[1]Définition Maintenances'!$G:$G,MATCH($A84,'[1]Définition Maintenances'!$K:$K,0)),AQ84,INDEX('[1]Définition Maintenances'!$G:$G,MATCH($A84,'[1]Définition Maintenances'!$K:$K,0))+AQ84),AQ84))</f>
        <v>644</v>
      </c>
      <c r="AS84" s="26">
        <f>IF(ISNUMBER(VLOOKUP($D84,'Visu totale'!$D:$DH,AS$1,0)),AR84-VLOOKUP($D84,'Visu totale'!$D:$DH,AS$1,0),IF(LEFT(VLOOKUP($D84,'Visu totale'!$D:$DH,AS$1,0),1)="V",IF(AR84&gt;=INDEX('[1]Définition Maintenances'!$G:$G,MATCH($A84,'[1]Définition Maintenances'!$K:$K,0)),AR84,INDEX('[1]Définition Maintenances'!$G:$G,MATCH($A84,'[1]Définition Maintenances'!$K:$K,0))+AR84),AR84))</f>
        <v>644</v>
      </c>
      <c r="AT84" s="26">
        <f>IF(ISNUMBER(VLOOKUP($D84,'Visu totale'!$D:$DH,AT$1,0)),AS84-VLOOKUP($D84,'Visu totale'!$D:$DH,AT$1,0),IF(LEFT(VLOOKUP($D84,'Visu totale'!$D:$DH,AT$1,0),1)="V",IF(AS84&gt;=INDEX('[1]Définition Maintenances'!$G:$G,MATCH($A84,'[1]Définition Maintenances'!$K:$K,0)),AS84,INDEX('[1]Définition Maintenances'!$G:$G,MATCH($A84,'[1]Définition Maintenances'!$K:$K,0))+AS84),AS84))</f>
        <v>644</v>
      </c>
      <c r="AU84" s="26">
        <f>IF(ISNUMBER(VLOOKUP($D84,'Visu totale'!$D:$DH,AU$1,0)),AT84-VLOOKUP($D84,'Visu totale'!$D:$DH,AU$1,0),IF(LEFT(VLOOKUP($D84,'Visu totale'!$D:$DH,AU$1,0),1)="V",IF(AT84&gt;=INDEX('[1]Définition Maintenances'!$G:$G,MATCH($A84,'[1]Définition Maintenances'!$K:$K,0)),AT84,INDEX('[1]Définition Maintenances'!$G:$G,MATCH($A84,'[1]Définition Maintenances'!$K:$K,0))+AT84),AT84))</f>
        <v>644</v>
      </c>
      <c r="AV84" s="26">
        <f>IF(ISNUMBER(VLOOKUP($D84,'Visu totale'!$D:$DH,AV$1,0)),AU84-VLOOKUP($D84,'Visu totale'!$D:$DH,AV$1,0),IF(LEFT(VLOOKUP($D84,'Visu totale'!$D:$DH,AV$1,0),1)="V",IF(AU84&gt;=INDEX('[1]Définition Maintenances'!$G:$G,MATCH($A84,'[1]Définition Maintenances'!$K:$K,0)),AU84,INDEX('[1]Définition Maintenances'!$G:$G,MATCH($A84,'[1]Définition Maintenances'!$K:$K,0))+AU84),AU84))</f>
        <v>644</v>
      </c>
      <c r="AW84" s="26">
        <f>IF(ISNUMBER(VLOOKUP($D84,'Visu totale'!$D:$DH,AW$1,0)),AV84-VLOOKUP($D84,'Visu totale'!$D:$DH,AW$1,0),IF(LEFT(VLOOKUP($D84,'Visu totale'!$D:$DH,AW$1,0),1)="V",IF(AV84&gt;=INDEX('[1]Définition Maintenances'!$G:$G,MATCH($A84,'[1]Définition Maintenances'!$K:$K,0)),AV84,INDEX('[1]Définition Maintenances'!$G:$G,MATCH($A84,'[1]Définition Maintenances'!$K:$K,0))+AV84),AV84))</f>
        <v>644</v>
      </c>
      <c r="AX84" s="26">
        <f>IF(ISNUMBER(VLOOKUP($D84,'Visu totale'!$D:$DH,AX$1,0)),AW84-VLOOKUP($D84,'Visu totale'!$D:$DH,AX$1,0),IF(LEFT(VLOOKUP($D84,'Visu totale'!$D:$DH,AX$1,0),1)="V",IF(AW84&gt;=INDEX('[1]Définition Maintenances'!$G:$G,MATCH($A84,'[1]Définition Maintenances'!$K:$K,0)),AW84,INDEX('[1]Définition Maintenances'!$G:$G,MATCH($A84,'[1]Définition Maintenances'!$K:$K,0))+AW84),AW84))</f>
        <v>644</v>
      </c>
      <c r="AY84" s="26">
        <f>IF(ISNUMBER(VLOOKUP($D84,'Visu totale'!$D:$DH,AY$1,0)),AX84-VLOOKUP($D84,'Visu totale'!$D:$DH,AY$1,0),IF(LEFT(VLOOKUP($D84,'Visu totale'!$D:$DH,AY$1,0),1)="V",IF(AX84&gt;=INDEX('[1]Définition Maintenances'!$G:$G,MATCH($A84,'[1]Définition Maintenances'!$K:$K,0)),AX84,INDEX('[1]Définition Maintenances'!$G:$G,MATCH($A84,'[1]Définition Maintenances'!$K:$K,0))+AX84),AX84))</f>
        <v>644</v>
      </c>
      <c r="AZ84" s="26">
        <f>IF(ISNUMBER(VLOOKUP($D84,'Visu totale'!$D:$DH,AZ$1,0)),AY84-VLOOKUP($D84,'Visu totale'!$D:$DH,AZ$1,0),IF(LEFT(VLOOKUP($D84,'Visu totale'!$D:$DH,AZ$1,0),1)="V",IF(AY84&gt;=INDEX('[1]Définition Maintenances'!$G:$G,MATCH($A84,'[1]Définition Maintenances'!$K:$K,0)),AY84,INDEX('[1]Définition Maintenances'!$G:$G,MATCH($A84,'[1]Définition Maintenances'!$K:$K,0))+AY84),AY84))</f>
        <v>644</v>
      </c>
      <c r="BA84" s="27">
        <f>IF(ISNUMBER(VLOOKUP($D84,'Visu totale'!$D:$DH,BA$1,0)),AZ84-VLOOKUP($D84,'Visu totale'!$D:$DH,BA$1,0),IF(LEFT(VLOOKUP($D84,'Visu totale'!$D:$DH,BA$1,0),1)="V",IF(AZ84&gt;=INDEX('[1]Définition Maintenances'!$G:$G,MATCH($A84,'[1]Définition Maintenances'!$K:$K,0)),AZ84,INDEX('[1]Définition Maintenances'!$G:$G,MATCH($A84,'[1]Définition Maintenances'!$K:$K,0))+AZ84),AZ84))</f>
        <v>644</v>
      </c>
      <c r="BB84" s="25">
        <f>IF(ISNUMBER(VLOOKUP($D84,'Visu totale'!$D:$DH,BB$1,0)),BA84-VLOOKUP($D84,'Visu totale'!$D:$DH,BB$1,0),IF(LEFT(VLOOKUP($D84,'Visu totale'!$D:$DH,BB$1,0),1)="V",IF(BA84&gt;=INDEX('[1]Définition Maintenances'!$G:$G,MATCH($A84,'[1]Définition Maintenances'!$K:$K,0)),BA84,INDEX('[1]Définition Maintenances'!$G:$G,MATCH($A84,'[1]Définition Maintenances'!$K:$K,0))+BA84),BA84))</f>
        <v>644</v>
      </c>
      <c r="BC84" s="26">
        <f>IF(ISNUMBER(VLOOKUP($D84,'Visu totale'!$D:$DH,BC$1,0)),BB84-VLOOKUP($D84,'Visu totale'!$D:$DH,BC$1,0),IF(LEFT(VLOOKUP($D84,'Visu totale'!$D:$DH,BC$1,0),1)="V",IF(BB84&gt;=INDEX('[1]Définition Maintenances'!$G:$G,MATCH($A84,'[1]Définition Maintenances'!$K:$K,0)),BB84,INDEX('[1]Définition Maintenances'!$G:$G,MATCH($A84,'[1]Définition Maintenances'!$K:$K,0))+BB84),BB84))</f>
        <v>644</v>
      </c>
      <c r="BD84" s="26">
        <f>IF(ISNUMBER(VLOOKUP($D84,'Visu totale'!$D:$DH,BD$1,0)),BC84-VLOOKUP($D84,'Visu totale'!$D:$DH,BD$1,0),IF(LEFT(VLOOKUP($D84,'Visu totale'!$D:$DH,BD$1,0),1)="V",IF(BC84&gt;=INDEX('[1]Définition Maintenances'!$G:$G,MATCH($A84,'[1]Définition Maintenances'!$K:$K,0)),BC84,INDEX('[1]Définition Maintenances'!$G:$G,MATCH($A84,'[1]Définition Maintenances'!$K:$K,0))+BC84),BC84))</f>
        <v>644</v>
      </c>
      <c r="BE84" s="26">
        <f>IF(ISNUMBER(VLOOKUP($D84,'Visu totale'!$D:$DH,BE$1,0)),BD84-VLOOKUP($D84,'Visu totale'!$D:$DH,BE$1,0),IF(LEFT(VLOOKUP($D84,'Visu totale'!$D:$DH,BE$1,0),1)="V",IF(BD84&gt;=INDEX('[1]Définition Maintenances'!$G:$G,MATCH($A84,'[1]Définition Maintenances'!$K:$K,0)),BD84,INDEX('[1]Définition Maintenances'!$G:$G,MATCH($A84,'[1]Définition Maintenances'!$K:$K,0))+BD84),BD84))</f>
        <v>644</v>
      </c>
      <c r="BF84" s="26">
        <f>IF(ISNUMBER(VLOOKUP($D84,'Visu totale'!$D:$DH,BF$1,0)),BE84-VLOOKUP($D84,'Visu totale'!$D:$DH,BF$1,0),IF(LEFT(VLOOKUP($D84,'Visu totale'!$D:$DH,BF$1,0),1)="V",IF(BE84&gt;=INDEX('[1]Définition Maintenances'!$G:$G,MATCH($A84,'[1]Définition Maintenances'!$K:$K,0)),BE84,INDEX('[1]Définition Maintenances'!$G:$G,MATCH($A84,'[1]Définition Maintenances'!$K:$K,0))+BE84),BE84))</f>
        <v>644</v>
      </c>
      <c r="BG84" s="26">
        <f>IF(ISNUMBER(VLOOKUP($D84,'Visu totale'!$D:$DH,BG$1,0)),BF84-VLOOKUP($D84,'Visu totale'!$D:$DH,BG$1,0),IF(LEFT(VLOOKUP($D84,'Visu totale'!$D:$DH,BG$1,0),1)="V",IF(BF84&gt;=INDEX('[1]Définition Maintenances'!$G:$G,MATCH($A84,'[1]Définition Maintenances'!$K:$K,0)),BF84,INDEX('[1]Définition Maintenances'!$G:$G,MATCH($A84,'[1]Définition Maintenances'!$K:$K,0))+BF84),BF84))</f>
        <v>644</v>
      </c>
      <c r="BH84" s="26">
        <f>IF(ISNUMBER(VLOOKUP($D84,'Visu totale'!$D:$DH,BH$1,0)),BG84-VLOOKUP($D84,'Visu totale'!$D:$DH,BH$1,0),IF(LEFT(VLOOKUP($D84,'Visu totale'!$D:$DH,BH$1,0),1)="V",IF(BG84&gt;=INDEX('[1]Définition Maintenances'!$G:$G,MATCH($A84,'[1]Définition Maintenances'!$K:$K,0)),BG84,INDEX('[1]Définition Maintenances'!$G:$G,MATCH($A84,'[1]Définition Maintenances'!$K:$K,0))+BG84),BG84))</f>
        <v>644</v>
      </c>
      <c r="BI84" s="26">
        <f>IF(ISNUMBER(VLOOKUP($D84,'Visu totale'!$D:$DH,BI$1,0)),BH84-VLOOKUP($D84,'Visu totale'!$D:$DH,BI$1,0),IF(LEFT(VLOOKUP($D84,'Visu totale'!$D:$DH,BI$1,0),1)="V",IF(BH84&gt;=INDEX('[1]Définition Maintenances'!$G:$G,MATCH($A84,'[1]Définition Maintenances'!$K:$K,0)),BH84,INDEX('[1]Définition Maintenances'!$G:$G,MATCH($A84,'[1]Définition Maintenances'!$K:$K,0))+BH84),BH84))</f>
        <v>644</v>
      </c>
      <c r="BJ84" s="26">
        <f>IF(ISNUMBER(VLOOKUP($D84,'Visu totale'!$D:$DH,BJ$1,0)),BI84-VLOOKUP($D84,'Visu totale'!$D:$DH,BJ$1,0),IF(LEFT(VLOOKUP($D84,'Visu totale'!$D:$DH,BJ$1,0),1)="V",IF(BI84&gt;=INDEX('[1]Définition Maintenances'!$G:$G,MATCH($A84,'[1]Définition Maintenances'!$K:$K,0)),BI84,INDEX('[1]Définition Maintenances'!$G:$G,MATCH($A84,'[1]Définition Maintenances'!$K:$K,0))+BI84),BI84))</f>
        <v>644</v>
      </c>
      <c r="BK84" s="26">
        <f>IF(ISNUMBER(VLOOKUP($D84,'Visu totale'!$D:$DH,BK$1,0)),BJ84-VLOOKUP($D84,'Visu totale'!$D:$DH,BK$1,0),IF(LEFT(VLOOKUP($D84,'Visu totale'!$D:$DH,BK$1,0),1)="V",IF(BJ84&gt;=INDEX('[1]Définition Maintenances'!$G:$G,MATCH($A84,'[1]Définition Maintenances'!$K:$K,0)),BJ84,INDEX('[1]Définition Maintenances'!$G:$G,MATCH($A84,'[1]Définition Maintenances'!$K:$K,0))+BJ84),BJ84))</f>
        <v>644</v>
      </c>
      <c r="BL84" s="26">
        <f>IF(ISNUMBER(VLOOKUP($D84,'Visu totale'!$D:$DH,BL$1,0)),BK84-VLOOKUP($D84,'Visu totale'!$D:$DH,BL$1,0),IF(LEFT(VLOOKUP($D84,'Visu totale'!$D:$DH,BL$1,0),1)="V",IF(BK84&gt;=INDEX('[1]Définition Maintenances'!$G:$G,MATCH($A84,'[1]Définition Maintenances'!$K:$K,0)),BK84,INDEX('[1]Définition Maintenances'!$G:$G,MATCH($A84,'[1]Définition Maintenances'!$K:$K,0))+BK84),BK84))</f>
        <v>644</v>
      </c>
      <c r="BM84" s="27">
        <f>IF(ISNUMBER(VLOOKUP($D84,'Visu totale'!$D:$DH,BM$1,0)),BL84-VLOOKUP($D84,'Visu totale'!$D:$DH,BM$1,0),IF(LEFT(VLOOKUP($D84,'Visu totale'!$D:$DH,BM$1,0),1)="V",IF(BL84&gt;=INDEX('[1]Définition Maintenances'!$G:$G,MATCH($A84,'[1]Définition Maintenances'!$K:$K,0)),BL84,INDEX('[1]Définition Maintenances'!$G:$G,MATCH($A84,'[1]Définition Maintenances'!$K:$K,0))+BL84),BL84))</f>
        <v>644</v>
      </c>
      <c r="BN84" s="25">
        <f>IF(ISNUMBER(VLOOKUP($D84,'Visu totale'!$D:$DH,BN$1,0)),BM84-VLOOKUP($D84,'Visu totale'!$D:$DH,BN$1,0),IF(LEFT(VLOOKUP($D84,'Visu totale'!$D:$DH,BN$1,0),1)="V",IF(BM84&gt;=INDEX('[1]Définition Maintenances'!$G:$G,MATCH($A84,'[1]Définition Maintenances'!$K:$K,0)),BM84,INDEX('[1]Définition Maintenances'!$G:$G,MATCH($A84,'[1]Définition Maintenances'!$K:$K,0))+BM84),BM84))</f>
        <v>644</v>
      </c>
      <c r="BO84" s="26">
        <f>IF(ISNUMBER(VLOOKUP($D84,'Visu totale'!$D:$DH,BO$1,0)),BN84-VLOOKUP($D84,'Visu totale'!$D:$DH,BO$1,0),IF(LEFT(VLOOKUP($D84,'Visu totale'!$D:$DH,BO$1,0),1)="V",IF(BN84&gt;=INDEX('[1]Définition Maintenances'!$G:$G,MATCH($A84,'[1]Définition Maintenances'!$K:$K,0)),BN84,INDEX('[1]Définition Maintenances'!$G:$G,MATCH($A84,'[1]Définition Maintenances'!$K:$K,0))+BN84),BN84))</f>
        <v>644</v>
      </c>
      <c r="BP84" s="26">
        <f>IF(ISNUMBER(VLOOKUP($D84,'Visu totale'!$D:$DH,BP$1,0)),BO84-VLOOKUP($D84,'Visu totale'!$D:$DH,BP$1,0),IF(LEFT(VLOOKUP($D84,'Visu totale'!$D:$DH,BP$1,0),1)="V",IF(BO84&gt;=INDEX('[1]Définition Maintenances'!$G:$G,MATCH($A84,'[1]Définition Maintenances'!$K:$K,0)),BO84,INDEX('[1]Définition Maintenances'!$G:$G,MATCH($A84,'[1]Définition Maintenances'!$K:$K,0))+BO84),BO84))</f>
        <v>644</v>
      </c>
      <c r="BQ84" s="26">
        <f>IF(ISNUMBER(VLOOKUP($D84,'Visu totale'!$D:$DH,BQ$1,0)),BP84-VLOOKUP($D84,'Visu totale'!$D:$DH,BQ$1,0),IF(LEFT(VLOOKUP($D84,'Visu totale'!$D:$DH,BQ$1,0),1)="V",IF(BP84&gt;=INDEX('[1]Définition Maintenances'!$G:$G,MATCH($A84,'[1]Définition Maintenances'!$K:$K,0)),BP84,INDEX('[1]Définition Maintenances'!$G:$G,MATCH($A84,'[1]Définition Maintenances'!$K:$K,0))+BP84),BP84))</f>
        <v>644</v>
      </c>
      <c r="BR84" s="26">
        <f>IF(ISNUMBER(VLOOKUP($D84,'Visu totale'!$D:$DH,BR$1,0)),BQ84-VLOOKUP($D84,'Visu totale'!$D:$DH,BR$1,0),IF(LEFT(VLOOKUP($D84,'Visu totale'!$D:$DH,BR$1,0),1)="V",IF(BQ84&gt;=INDEX('[1]Définition Maintenances'!$G:$G,MATCH($A84,'[1]Définition Maintenances'!$K:$K,0)),BQ84,INDEX('[1]Définition Maintenances'!$G:$G,MATCH($A84,'[1]Définition Maintenances'!$K:$K,0))+BQ84),BQ84))</f>
        <v>644</v>
      </c>
      <c r="BS84" s="26">
        <f>IF(ISNUMBER(VLOOKUP($D84,'Visu totale'!$D:$DH,BS$1,0)),BR84-VLOOKUP($D84,'Visu totale'!$D:$DH,BS$1,0),IF(LEFT(VLOOKUP($D84,'Visu totale'!$D:$DH,BS$1,0),1)="V",IF(BR84&gt;=INDEX('[1]Définition Maintenances'!$G:$G,MATCH($A84,'[1]Définition Maintenances'!$K:$K,0)),BR84,INDEX('[1]Définition Maintenances'!$G:$G,MATCH($A84,'[1]Définition Maintenances'!$K:$K,0))+BR84),BR84))</f>
        <v>644</v>
      </c>
      <c r="BT84" s="26">
        <f>IF(ISNUMBER(VLOOKUP($D84,'Visu totale'!$D:$DH,BT$1,0)),BS84-VLOOKUP($D84,'Visu totale'!$D:$DH,BT$1,0),IF(LEFT(VLOOKUP($D84,'Visu totale'!$D:$DH,BT$1,0),1)="V",IF(BS84&gt;=INDEX('[1]Définition Maintenances'!$G:$G,MATCH($A84,'[1]Définition Maintenances'!$K:$K,0)),BS84,INDEX('[1]Définition Maintenances'!$G:$G,MATCH($A84,'[1]Définition Maintenances'!$K:$K,0))+BS84),BS84))</f>
        <v>644</v>
      </c>
      <c r="BU84" s="26">
        <f>IF(ISNUMBER(VLOOKUP($D84,'Visu totale'!$D:$DH,BU$1,0)),BT84-VLOOKUP($D84,'Visu totale'!$D:$DH,BU$1,0),IF(LEFT(VLOOKUP($D84,'Visu totale'!$D:$DH,BU$1,0),1)="V",IF(BT84&gt;=INDEX('[1]Définition Maintenances'!$G:$G,MATCH($A84,'[1]Définition Maintenances'!$K:$K,0)),BT84,INDEX('[1]Définition Maintenances'!$G:$G,MATCH($A84,'[1]Définition Maintenances'!$K:$K,0))+BT84),BT84))</f>
        <v>644</v>
      </c>
      <c r="BV84" s="26">
        <f>IF(ISNUMBER(VLOOKUP($D84,'Visu totale'!$D:$DH,BV$1,0)),BU84-VLOOKUP($D84,'Visu totale'!$D:$DH,BV$1,0),IF(LEFT(VLOOKUP($D84,'Visu totale'!$D:$DH,BV$1,0),1)="V",IF(BU84&gt;=INDEX('[1]Définition Maintenances'!$G:$G,MATCH($A84,'[1]Définition Maintenances'!$K:$K,0)),BU84,INDEX('[1]Définition Maintenances'!$G:$G,MATCH($A84,'[1]Définition Maintenances'!$K:$K,0))+BU84),BU84))</f>
        <v>644</v>
      </c>
      <c r="BW84" s="26">
        <f>IF(ISNUMBER(VLOOKUP($D84,'Visu totale'!$D:$DH,BW$1,0)),BV84-VLOOKUP($D84,'Visu totale'!$D:$DH,BW$1,0),IF(LEFT(VLOOKUP($D84,'Visu totale'!$D:$DH,BW$1,0),1)="V",IF(BV84&gt;=INDEX('[1]Définition Maintenances'!$G:$G,MATCH($A84,'[1]Définition Maintenances'!$K:$K,0)),BV84,INDEX('[1]Définition Maintenances'!$G:$G,MATCH($A84,'[1]Définition Maintenances'!$K:$K,0))+BV84),BV84))</f>
        <v>644</v>
      </c>
      <c r="BX84" s="26">
        <f>IF(ISNUMBER(VLOOKUP($D84,'Visu totale'!$D:$DH,BX$1,0)),BW84-VLOOKUP($D84,'Visu totale'!$D:$DH,BX$1,0),IF(LEFT(VLOOKUP($D84,'Visu totale'!$D:$DH,BX$1,0),1)="V",IF(BW84&gt;=INDEX('[1]Définition Maintenances'!$G:$G,MATCH($A84,'[1]Définition Maintenances'!$K:$K,0)),BW84,INDEX('[1]Définition Maintenances'!$G:$G,MATCH($A84,'[1]Définition Maintenances'!$K:$K,0))+BW84),BW84))</f>
        <v>644</v>
      </c>
      <c r="BY84" s="27">
        <f>IF(ISNUMBER(VLOOKUP($D84,'Visu totale'!$D:$DH,BY$1,0)),BX84-VLOOKUP($D84,'Visu totale'!$D:$DH,BY$1,0),IF(LEFT(VLOOKUP($D84,'Visu totale'!$D:$DH,BY$1,0),1)="V",IF(BX84&gt;=INDEX('[1]Définition Maintenances'!$G:$G,MATCH($A84,'[1]Définition Maintenances'!$K:$K,0)),BX84,INDEX('[1]Définition Maintenances'!$G:$G,MATCH($A84,'[1]Définition Maintenances'!$K:$K,0))+BX84),BX84))</f>
        <v>644</v>
      </c>
      <c r="BZ84" s="25">
        <f>IF(ISNUMBER(VLOOKUP($D84,'Visu totale'!$D:$DH,BZ$1,0)),BY84-VLOOKUP($D84,'Visu totale'!$D:$DH,BZ$1,0),IF(LEFT(VLOOKUP($D84,'Visu totale'!$D:$DH,BZ$1,0),1)="V",IF(BY84&gt;=INDEX('[1]Définition Maintenances'!$G:$G,MATCH($A84,'[1]Définition Maintenances'!$K:$K,0)),BY84,INDEX('[1]Définition Maintenances'!$G:$G,MATCH($A84,'[1]Définition Maintenances'!$K:$K,0))+BY84),BY84))</f>
        <v>644</v>
      </c>
      <c r="CA84" s="26">
        <f>IF(ISNUMBER(VLOOKUP($D84,'Visu totale'!$D:$DH,CA$1,0)),BZ84-VLOOKUP($D84,'Visu totale'!$D:$DH,CA$1,0),IF(LEFT(VLOOKUP($D84,'Visu totale'!$D:$DH,CA$1,0),1)="V",IF(BZ84&gt;=INDEX('[1]Définition Maintenances'!$G:$G,MATCH($A84,'[1]Définition Maintenances'!$K:$K,0)),BZ84,INDEX('[1]Définition Maintenances'!$G:$G,MATCH($A84,'[1]Définition Maintenances'!$K:$K,0))+BZ84),BZ84))</f>
        <v>644</v>
      </c>
      <c r="CB84" s="26">
        <f>IF(ISNUMBER(VLOOKUP($D84,'Visu totale'!$D:$DH,CB$1,0)),CA84-VLOOKUP($D84,'Visu totale'!$D:$DH,CB$1,0),IF(LEFT(VLOOKUP($D84,'Visu totale'!$D:$DH,CB$1,0),1)="V",IF(CA84&gt;=INDEX('[1]Définition Maintenances'!$G:$G,MATCH($A84,'[1]Définition Maintenances'!$K:$K,0)),CA84,INDEX('[1]Définition Maintenances'!$G:$G,MATCH($A84,'[1]Définition Maintenances'!$K:$K,0))+CA84),CA84))</f>
        <v>644</v>
      </c>
      <c r="CC84" s="26">
        <f>IF(ISNUMBER(VLOOKUP($D84,'Visu totale'!$D:$DH,CC$1,0)),CB84-VLOOKUP($D84,'Visu totale'!$D:$DH,CC$1,0),IF(LEFT(VLOOKUP($D84,'Visu totale'!$D:$DH,CC$1,0),1)="V",IF(CB84&gt;=INDEX('[1]Définition Maintenances'!$G:$G,MATCH($A84,'[1]Définition Maintenances'!$K:$K,0)),CB84,INDEX('[1]Définition Maintenances'!$G:$G,MATCH($A84,'[1]Définition Maintenances'!$K:$K,0))+CB84),CB84))</f>
        <v>644</v>
      </c>
      <c r="CD84" s="26">
        <f>IF(ISNUMBER(VLOOKUP($D84,'Visu totale'!$D:$DH,CD$1,0)),CC84-VLOOKUP($D84,'Visu totale'!$D:$DH,CD$1,0),IF(LEFT(VLOOKUP($D84,'Visu totale'!$D:$DH,CD$1,0),1)="V",IF(CC84&gt;=INDEX('[1]Définition Maintenances'!$G:$G,MATCH($A84,'[1]Définition Maintenances'!$K:$K,0)),CC84,INDEX('[1]Définition Maintenances'!$G:$G,MATCH($A84,'[1]Définition Maintenances'!$K:$K,0))+CC84),CC84))</f>
        <v>644</v>
      </c>
      <c r="CE84" s="26">
        <f>IF(ISNUMBER(VLOOKUP($D84,'Visu totale'!$D:$DH,CE$1,0)),CD84-VLOOKUP($D84,'Visu totale'!$D:$DH,CE$1,0),IF(LEFT(VLOOKUP($D84,'Visu totale'!$D:$DH,CE$1,0),1)="V",IF(CD84&gt;=INDEX('[1]Définition Maintenances'!$G:$G,MATCH($A84,'[1]Définition Maintenances'!$K:$K,0)),CD84,INDEX('[1]Définition Maintenances'!$G:$G,MATCH($A84,'[1]Définition Maintenances'!$K:$K,0))+CD84),CD84))</f>
        <v>644</v>
      </c>
      <c r="CF84" s="26">
        <f>IF(ISNUMBER(VLOOKUP($D84,'Visu totale'!$D:$DH,CF$1,0)),CE84-VLOOKUP($D84,'Visu totale'!$D:$DH,CF$1,0),IF(LEFT(VLOOKUP($D84,'Visu totale'!$D:$DH,CF$1,0),1)="V",IF(CE84&gt;=INDEX('[1]Définition Maintenances'!$G:$G,MATCH($A84,'[1]Définition Maintenances'!$K:$K,0)),CE84,INDEX('[1]Définition Maintenances'!$G:$G,MATCH($A84,'[1]Définition Maintenances'!$K:$K,0))+CE84),CE84))</f>
        <v>644</v>
      </c>
      <c r="CG84" s="26">
        <f>IF(ISNUMBER(VLOOKUP($D84,'Visu totale'!$D:$DH,CG$1,0)),CF84-VLOOKUP($D84,'Visu totale'!$D:$DH,CG$1,0),IF(LEFT(VLOOKUP($D84,'Visu totale'!$D:$DH,CG$1,0),1)="V",IF(CF84&gt;=INDEX('[1]Définition Maintenances'!$G:$G,MATCH($A84,'[1]Définition Maintenances'!$K:$K,0)),CF84,INDEX('[1]Définition Maintenances'!$G:$G,MATCH($A84,'[1]Définition Maintenances'!$K:$K,0))+CF84),CF84))</f>
        <v>644</v>
      </c>
      <c r="CH84" s="26">
        <f>IF(ISNUMBER(VLOOKUP($D84,'Visu totale'!$D:$DH,CH$1,0)),CG84-VLOOKUP($D84,'Visu totale'!$D:$DH,CH$1,0),IF(LEFT(VLOOKUP($D84,'Visu totale'!$D:$DH,CH$1,0),1)="V",IF(CG84&gt;=INDEX('[1]Définition Maintenances'!$G:$G,MATCH($A84,'[1]Définition Maintenances'!$K:$K,0)),CG84,INDEX('[1]Définition Maintenances'!$G:$G,MATCH($A84,'[1]Définition Maintenances'!$K:$K,0))+CG84),CG84))</f>
        <v>644</v>
      </c>
      <c r="CI84" s="26">
        <f>IF(ISNUMBER(VLOOKUP($D84,'Visu totale'!$D:$DH,CI$1,0)),CH84-VLOOKUP($D84,'Visu totale'!$D:$DH,CI$1,0),IF(LEFT(VLOOKUP($D84,'Visu totale'!$D:$DH,CI$1,0),1)="V",IF(CH84&gt;=INDEX('[1]Définition Maintenances'!$G:$G,MATCH($A84,'[1]Définition Maintenances'!$K:$K,0)),CH84,INDEX('[1]Définition Maintenances'!$G:$G,MATCH($A84,'[1]Définition Maintenances'!$K:$K,0))+CH84),CH84))</f>
        <v>644</v>
      </c>
      <c r="CJ84" s="26">
        <f>IF(ISNUMBER(VLOOKUP($D84,'Visu totale'!$D:$DH,CJ$1,0)),CI84-VLOOKUP($D84,'Visu totale'!$D:$DH,CJ$1,0),IF(LEFT(VLOOKUP($D84,'Visu totale'!$D:$DH,CJ$1,0),1)="V",IF(CI84&gt;=INDEX('[1]Définition Maintenances'!$G:$G,MATCH($A84,'[1]Définition Maintenances'!$K:$K,0)),CI84,INDEX('[1]Définition Maintenances'!$G:$G,MATCH($A84,'[1]Définition Maintenances'!$K:$K,0))+CI84),CI84))</f>
        <v>644</v>
      </c>
      <c r="CK84" s="27">
        <f>IF(ISNUMBER(VLOOKUP($D84,'Visu totale'!$D:$DH,CK$1,0)),CJ84-VLOOKUP($D84,'Visu totale'!$D:$DH,CK$1,0),IF(LEFT(VLOOKUP($D84,'Visu totale'!$D:$DH,CK$1,0),1)="V",IF(CJ84&gt;=INDEX('[1]Définition Maintenances'!$G:$G,MATCH($A84,'[1]Définition Maintenances'!$K:$K,0)),CJ84,INDEX('[1]Définition Maintenances'!$G:$G,MATCH($A84,'[1]Définition Maintenances'!$K:$K,0))+CJ84),CJ84))</f>
        <v>644</v>
      </c>
      <c r="CL84" s="25">
        <f>IF(ISNUMBER(VLOOKUP($D84,'Visu totale'!$D:$DH,CL$1,0)),CK84-VLOOKUP($D84,'Visu totale'!$D:$DH,CL$1,0),IF(LEFT(VLOOKUP($D84,'Visu totale'!$D:$DH,CL$1,0),1)="V",IF(CK84&gt;=INDEX('[1]Définition Maintenances'!$G:$G,MATCH($A84,'[1]Définition Maintenances'!$K:$K,0)),CK84,INDEX('[1]Définition Maintenances'!$G:$G,MATCH($A84,'[1]Définition Maintenances'!$K:$K,0))+CK84),CK84))</f>
        <v>644</v>
      </c>
      <c r="CM84" s="26">
        <f>IF(ISNUMBER(VLOOKUP($D84,'Visu totale'!$D:$DH,CM$1,0)),CL84-VLOOKUP($D84,'Visu totale'!$D:$DH,CM$1,0),IF(LEFT(VLOOKUP($D84,'Visu totale'!$D:$DH,CM$1,0),1)="V",IF(CL84&gt;=INDEX('[1]Définition Maintenances'!$G:$G,MATCH($A84,'[1]Définition Maintenances'!$K:$K,0)),CL84,INDEX('[1]Définition Maintenances'!$G:$G,MATCH($A84,'[1]Définition Maintenances'!$K:$K,0))+CL84),CL84))</f>
        <v>644</v>
      </c>
      <c r="CN84" s="26">
        <f>IF(ISNUMBER(VLOOKUP($D84,'Visu totale'!$D:$DH,CN$1,0)),CM84-VLOOKUP($D84,'Visu totale'!$D:$DH,CN$1,0),IF(LEFT(VLOOKUP($D84,'Visu totale'!$D:$DH,CN$1,0),1)="V",IF(CM84&gt;=INDEX('[1]Définition Maintenances'!$G:$G,MATCH($A84,'[1]Définition Maintenances'!$K:$K,0)),CM84,INDEX('[1]Définition Maintenances'!$G:$G,MATCH($A84,'[1]Définition Maintenances'!$K:$K,0))+CM84),CM84))</f>
        <v>644</v>
      </c>
      <c r="CO84" s="26">
        <f>IF(ISNUMBER(VLOOKUP($D84,'Visu totale'!$D:$DH,CO$1,0)),CN84-VLOOKUP($D84,'Visu totale'!$D:$DH,CO$1,0),IF(LEFT(VLOOKUP($D84,'Visu totale'!$D:$DH,CO$1,0),1)="V",IF(CN84&gt;=INDEX('[1]Définition Maintenances'!$G:$G,MATCH($A84,'[1]Définition Maintenances'!$K:$K,0)),CN84,INDEX('[1]Définition Maintenances'!$G:$G,MATCH($A84,'[1]Définition Maintenances'!$K:$K,0))+CN84),CN84))</f>
        <v>644</v>
      </c>
      <c r="CP84" s="26">
        <f>IF(ISNUMBER(VLOOKUP($D84,'Visu totale'!$D:$DH,CP$1,0)),CO84-VLOOKUP($D84,'Visu totale'!$D:$DH,CP$1,0),IF(LEFT(VLOOKUP($D84,'Visu totale'!$D:$DH,CP$1,0),1)="V",IF(CO84&gt;=INDEX('[1]Définition Maintenances'!$G:$G,MATCH($A84,'[1]Définition Maintenances'!$K:$K,0)),CO84,INDEX('[1]Définition Maintenances'!$G:$G,MATCH($A84,'[1]Définition Maintenances'!$K:$K,0))+CO84),CO84))</f>
        <v>644</v>
      </c>
      <c r="CQ84" s="26">
        <f>IF(ISNUMBER(VLOOKUP($D84,'Visu totale'!$D:$DH,CQ$1,0)),CP84-VLOOKUP($D84,'Visu totale'!$D:$DH,CQ$1,0),IF(LEFT(VLOOKUP($D84,'Visu totale'!$D:$DH,CQ$1,0),1)="V",IF(CP84&gt;=INDEX('[1]Définition Maintenances'!$G:$G,MATCH($A84,'[1]Définition Maintenances'!$K:$K,0)),CP84,INDEX('[1]Définition Maintenances'!$G:$G,MATCH($A84,'[1]Définition Maintenances'!$K:$K,0))+CP84),CP84))</f>
        <v>644</v>
      </c>
      <c r="CR84" s="26">
        <f>IF(ISNUMBER(VLOOKUP($D84,'Visu totale'!$D:$DH,CR$1,0)),CQ84-VLOOKUP($D84,'Visu totale'!$D:$DH,CR$1,0),IF(LEFT(VLOOKUP($D84,'Visu totale'!$D:$DH,CR$1,0),1)="V",IF(CQ84&gt;=INDEX('[1]Définition Maintenances'!$G:$G,MATCH($A84,'[1]Définition Maintenances'!$K:$K,0)),CQ84,INDEX('[1]Définition Maintenances'!$G:$G,MATCH($A84,'[1]Définition Maintenances'!$K:$K,0))+CQ84),CQ84))</f>
        <v>644</v>
      </c>
      <c r="CS84" s="26">
        <f>IF(ISNUMBER(VLOOKUP($D84,'Visu totale'!$D:$DH,CS$1,0)),CR84-VLOOKUP($D84,'Visu totale'!$D:$DH,CS$1,0),IF(LEFT(VLOOKUP($D84,'Visu totale'!$D:$DH,CS$1,0),1)="V",IF(CR84&gt;=INDEX('[1]Définition Maintenances'!$G:$G,MATCH($A84,'[1]Définition Maintenances'!$K:$K,0)),CR84,INDEX('[1]Définition Maintenances'!$G:$G,MATCH($A84,'[1]Définition Maintenances'!$K:$K,0))+CR84),CR84))</f>
        <v>644</v>
      </c>
      <c r="CT84" s="26">
        <f>IF(ISNUMBER(VLOOKUP($D84,'Visu totale'!$D:$DH,CT$1,0)),CS84-VLOOKUP($D84,'Visu totale'!$D:$DH,CT$1,0),IF(LEFT(VLOOKUP($D84,'Visu totale'!$D:$DH,CT$1,0),1)="V",IF(CS84&gt;=INDEX('[1]Définition Maintenances'!$G:$G,MATCH($A84,'[1]Définition Maintenances'!$K:$K,0)),CS84,INDEX('[1]Définition Maintenances'!$G:$G,MATCH($A84,'[1]Définition Maintenances'!$K:$K,0))+CS84),CS84))</f>
        <v>644</v>
      </c>
      <c r="CU84" s="26">
        <f>IF(ISNUMBER(VLOOKUP($D84,'Visu totale'!$D:$DH,CU$1,0)),CT84-VLOOKUP($D84,'Visu totale'!$D:$DH,CU$1,0),IF(LEFT(VLOOKUP($D84,'Visu totale'!$D:$DH,CU$1,0),1)="V",IF(CT84&gt;=INDEX('[1]Définition Maintenances'!$G:$G,MATCH($A84,'[1]Définition Maintenances'!$K:$K,0)),CT84,INDEX('[1]Définition Maintenances'!$G:$G,MATCH($A84,'[1]Définition Maintenances'!$K:$K,0))+CT84),CT84))</f>
        <v>644</v>
      </c>
      <c r="CV84" s="26">
        <f>IF(ISNUMBER(VLOOKUP($D84,'Visu totale'!$D:$DH,CV$1,0)),CU84-VLOOKUP($D84,'Visu totale'!$D:$DH,CV$1,0),IF(LEFT(VLOOKUP($D84,'Visu totale'!$D:$DH,CV$1,0),1)="V",IF(CU84&gt;=INDEX('[1]Définition Maintenances'!$G:$G,MATCH($A84,'[1]Définition Maintenances'!$K:$K,0)),CU84,INDEX('[1]Définition Maintenances'!$G:$G,MATCH($A84,'[1]Définition Maintenances'!$K:$K,0))+CU84),CU84))</f>
        <v>644</v>
      </c>
      <c r="CW84" s="27">
        <f>IF(ISNUMBER(VLOOKUP($D84,'Visu totale'!$D:$DH,CW$1,0)),CV84-VLOOKUP($D84,'Visu totale'!$D:$DH,CW$1,0),IF(LEFT(VLOOKUP($D84,'Visu totale'!$D:$DH,CW$1,0),1)="V",IF(CV84&gt;=INDEX('[1]Définition Maintenances'!$G:$G,MATCH($A84,'[1]Définition Maintenances'!$K:$K,0)),CV84,INDEX('[1]Définition Maintenances'!$G:$G,MATCH($A84,'[1]Définition Maintenances'!$K:$K,0))+CV84),CV84))</f>
        <v>644</v>
      </c>
      <c r="CX84" s="25">
        <f>IF(ISNUMBER(VLOOKUP($D84,'Visu totale'!$D:$DH,CX$1,0)),CW84-VLOOKUP($D84,'Visu totale'!$D:$DH,CX$1,0),IF(LEFT(VLOOKUP($D84,'Visu totale'!$D:$DH,CX$1,0),1)="V",IF(CW84&gt;=INDEX('[1]Définition Maintenances'!$G:$G,MATCH($A84,'[1]Définition Maintenances'!$K:$K,0)),CW84,INDEX('[1]Définition Maintenances'!$G:$G,MATCH($A84,'[1]Définition Maintenances'!$K:$K,0))+CW84),CW84))</f>
        <v>644</v>
      </c>
      <c r="CY84" s="26">
        <f>IF(ISNUMBER(VLOOKUP($D84,'Visu totale'!$D:$DH,CY$1,0)),CX84-VLOOKUP($D84,'Visu totale'!$D:$DH,CY$1,0),IF(LEFT(VLOOKUP($D84,'Visu totale'!$D:$DH,CY$1,0),1)="V",IF(CX84&gt;=INDEX('[1]Définition Maintenances'!$G:$G,MATCH($A84,'[1]Définition Maintenances'!$K:$K,0)),CX84,INDEX('[1]Définition Maintenances'!$G:$G,MATCH($A84,'[1]Définition Maintenances'!$K:$K,0))+CX84),CX84))</f>
        <v>644</v>
      </c>
      <c r="CZ84" s="26">
        <f>IF(ISNUMBER(VLOOKUP($D84,'Visu totale'!$D:$DH,CZ$1,0)),CY84-VLOOKUP($D84,'Visu totale'!$D:$DH,CZ$1,0),IF(LEFT(VLOOKUP($D84,'Visu totale'!$D:$DH,CZ$1,0),1)="V",IF(CY84&gt;=INDEX('[1]Définition Maintenances'!$G:$G,MATCH($A84,'[1]Définition Maintenances'!$K:$K,0)),CY84,INDEX('[1]Définition Maintenances'!$G:$G,MATCH($A84,'[1]Définition Maintenances'!$K:$K,0))+CY84),CY84))</f>
        <v>644</v>
      </c>
      <c r="DA84" s="26">
        <f>IF(ISNUMBER(VLOOKUP($D84,'Visu totale'!$D:$DH,DA$1,0)),CZ84-VLOOKUP($D84,'Visu totale'!$D:$DH,DA$1,0),IF(LEFT(VLOOKUP($D84,'Visu totale'!$D:$DH,DA$1,0),1)="V",IF(CZ84&gt;=INDEX('[1]Définition Maintenances'!$G:$G,MATCH($A84,'[1]Définition Maintenances'!$K:$K,0)),CZ84,INDEX('[1]Définition Maintenances'!$G:$G,MATCH($A84,'[1]Définition Maintenances'!$K:$K,0))+CZ84),CZ84))</f>
        <v>644</v>
      </c>
      <c r="DB84" s="26">
        <f>IF(ISNUMBER(VLOOKUP($D84,'Visu totale'!$D:$DH,DB$1,0)),DA84-VLOOKUP($D84,'Visu totale'!$D:$DH,DB$1,0),IF(LEFT(VLOOKUP($D84,'Visu totale'!$D:$DH,DB$1,0),1)="V",IF(DA84&gt;=INDEX('[1]Définition Maintenances'!$G:$G,MATCH($A84,'[1]Définition Maintenances'!$K:$K,0)),DA84,INDEX('[1]Définition Maintenances'!$G:$G,MATCH($A84,'[1]Définition Maintenances'!$K:$K,0))+DA84),DA84))</f>
        <v>644</v>
      </c>
      <c r="DC84" s="26">
        <f>IF(ISNUMBER(VLOOKUP($D84,'Visu totale'!$D:$DH,DC$1,0)),DB84-VLOOKUP($D84,'Visu totale'!$D:$DH,DC$1,0),IF(LEFT(VLOOKUP($D84,'Visu totale'!$D:$DH,DC$1,0),1)="V",IF(DB84&gt;=INDEX('[1]Définition Maintenances'!$G:$G,MATCH($A84,'[1]Définition Maintenances'!$K:$K,0)),DB84,INDEX('[1]Définition Maintenances'!$G:$G,MATCH($A84,'[1]Définition Maintenances'!$K:$K,0))+DB84),DB84))</f>
        <v>644</v>
      </c>
      <c r="DD84" s="26">
        <f>IF(ISNUMBER(VLOOKUP($D84,'Visu totale'!$D:$DH,DD$1,0)),DC84-VLOOKUP($D84,'Visu totale'!$D:$DH,DD$1,0),IF(LEFT(VLOOKUP($D84,'Visu totale'!$D:$DH,DD$1,0),1)="V",IF(DC84&gt;=INDEX('[1]Définition Maintenances'!$G:$G,MATCH($A84,'[1]Définition Maintenances'!$K:$K,0)),DC84,INDEX('[1]Définition Maintenances'!$G:$G,MATCH($A84,'[1]Définition Maintenances'!$K:$K,0))+DC84),DC84))</f>
        <v>644</v>
      </c>
      <c r="DE84" s="26">
        <f>IF(ISNUMBER(VLOOKUP($D84,'Visu totale'!$D:$DH,DE$1,0)),DD84-VLOOKUP($D84,'Visu totale'!$D:$DH,DE$1,0),IF(LEFT(VLOOKUP($D84,'Visu totale'!$D:$DH,DE$1,0),1)="V",IF(DD84&gt;=INDEX('[1]Définition Maintenances'!$G:$G,MATCH($A84,'[1]Définition Maintenances'!$K:$K,0)),DD84,INDEX('[1]Définition Maintenances'!$G:$G,MATCH($A84,'[1]Définition Maintenances'!$K:$K,0))+DD84),DD84))</f>
        <v>644</v>
      </c>
      <c r="DF84" s="26">
        <f>IF(ISNUMBER(VLOOKUP($D84,'Visu totale'!$D:$DH,DF$1,0)),DE84-VLOOKUP($D84,'Visu totale'!$D:$DH,DF$1,0),IF(LEFT(VLOOKUP($D84,'Visu totale'!$D:$DH,DF$1,0),1)="V",IF(DE84&gt;=INDEX('[1]Définition Maintenances'!$G:$G,MATCH($A84,'[1]Définition Maintenances'!$K:$K,0)),DE84,INDEX('[1]Définition Maintenances'!$G:$G,MATCH($A84,'[1]Définition Maintenances'!$K:$K,0))+DE84),DE84))</f>
        <v>644</v>
      </c>
      <c r="DG84" s="26">
        <f>IF(ISNUMBER(VLOOKUP($D84,'Visu totale'!$D:$DH,DG$1,0)),DF84-VLOOKUP($D84,'Visu totale'!$D:$DH,DG$1,0),IF(LEFT(VLOOKUP($D84,'Visu totale'!$D:$DH,DG$1,0),1)="V",IF(DF84&gt;=INDEX('[1]Définition Maintenances'!$G:$G,MATCH($A84,'[1]Définition Maintenances'!$K:$K,0)),DF84,INDEX('[1]Définition Maintenances'!$G:$G,MATCH($A84,'[1]Définition Maintenances'!$K:$K,0))+DF84),DF84))</f>
        <v>644</v>
      </c>
      <c r="DH84" s="26">
        <f>IF(ISNUMBER(VLOOKUP($D84,'Visu totale'!$D:$DH,DH$1,0)),DG84-VLOOKUP($D84,'Visu totale'!$D:$DH,DH$1,0),IF(LEFT(VLOOKUP($D84,'Visu totale'!$D:$DH,DH$1,0),1)="V",IF(DG84&gt;=INDEX('[1]Définition Maintenances'!$G:$G,MATCH($A84,'[1]Définition Maintenances'!$K:$K,0)),DG84,INDEX('[1]Définition Maintenances'!$G:$G,MATCH($A84,'[1]Définition Maintenances'!$K:$K,0))+DG84),DG84))</f>
        <v>644</v>
      </c>
      <c r="DI84" s="27">
        <f>IF(ISNUMBER(VLOOKUP($D84,'Visu totale'!$D:$DH,DI$1,0)),DH84-VLOOKUP($D84,'Visu totale'!$D:$DH,DI$1,0),IF(LEFT(VLOOKUP($D84,'Visu totale'!$D:$DH,DI$1,0),1)="V",IF(DH84&gt;=INDEX('[1]Définition Maintenances'!$G:$G,MATCH($A84,'[1]Définition Maintenances'!$K:$K,0)),DH84,INDEX('[1]Définition Maintenances'!$G:$G,MATCH($A84,'[1]Définition Maintenances'!$K:$K,0))+DH84),DH84))</f>
        <v>644</v>
      </c>
    </row>
    <row r="85" spans="1:113" x14ac:dyDescent="0.25">
      <c r="A85" s="13" t="str">
        <f t="shared" si="2"/>
        <v>V30C</v>
      </c>
      <c r="B85" s="13" t="str">
        <f>VLOOKUP(D85,'[1]Avions (Potentiels)'!$B$2:$H$128,7,FALSE)</f>
        <v>V30</v>
      </c>
      <c r="C85" s="13"/>
      <c r="D85" s="16" t="s">
        <v>88</v>
      </c>
      <c r="E85" s="13">
        <f>IFERROR(VALUE(SUBSTITUTE(VLOOKUP(D85,'[1]Avions (Potentiels)'!$B:$E,4,0),".",",")),VALUE(VLOOKUP(D85,'[1]Avions (Potentiels)'!$B:$E,4,0)))</f>
        <v>844</v>
      </c>
      <c r="F85" s="25">
        <f>IF(ISNUMBER(VLOOKUP($D85,'Visu totale'!$D:$DH,F$1,0)),E85-VLOOKUP($D85,'Visu totale'!$D:$DH,F$1,0),IF(LEFT(VLOOKUP($D85,'Visu totale'!$D:$DH,F$1,0),1)="V",IF(E85&gt;=INDEX('[1]Définition Maintenances'!$G:$G,MATCH($A85,'[1]Définition Maintenances'!$K:$K,0)),E85,INDEX('[1]Définition Maintenances'!$G:$G,MATCH($A85,'[1]Définition Maintenances'!$K:$K,0))+E85),E85))</f>
        <v>844</v>
      </c>
      <c r="G85" s="26">
        <f>IF(ISNUMBER(VLOOKUP($D85,'Visu totale'!$D:$DH,G$1,0)),F85-VLOOKUP($D85,'Visu totale'!$D:$DH,G$1,0),IF(LEFT(VLOOKUP($D85,'Visu totale'!$D:$DH,G$1,0),1)="V",IF(F85&gt;=INDEX('[1]Définition Maintenances'!$G:$G,MATCH($A85,'[1]Définition Maintenances'!$K:$K,0)),F85,INDEX('[1]Définition Maintenances'!$G:$G,MATCH($A85,'[1]Définition Maintenances'!$K:$K,0))+F85),F85))</f>
        <v>844</v>
      </c>
      <c r="H85" s="26">
        <f>IF(ISNUMBER(VLOOKUP($D85,'Visu totale'!$D:$DH,H$1,0)),G85-VLOOKUP($D85,'Visu totale'!$D:$DH,H$1,0),IF(LEFT(VLOOKUP($D85,'Visu totale'!$D:$DH,H$1,0),1)="V",IF(G85&gt;=INDEX('[1]Définition Maintenances'!$G:$G,MATCH($A85,'[1]Définition Maintenances'!$K:$K,0)),G85,INDEX('[1]Définition Maintenances'!$G:$G,MATCH($A85,'[1]Définition Maintenances'!$K:$K,0))+G85),G85))</f>
        <v>844</v>
      </c>
      <c r="I85" s="26">
        <f>IF(ISNUMBER(VLOOKUP($D85,'Visu totale'!$D:$DH,I$1,0)),H85-VLOOKUP($D85,'Visu totale'!$D:$DH,I$1,0),IF(LEFT(VLOOKUP($D85,'Visu totale'!$D:$DH,I$1,0),1)="V",IF(H85&gt;=INDEX('[1]Définition Maintenances'!$G:$G,MATCH($A85,'[1]Définition Maintenances'!$K:$K,0)),H85,INDEX('[1]Définition Maintenances'!$G:$G,MATCH($A85,'[1]Définition Maintenances'!$K:$K,0))+H85),H85))</f>
        <v>844</v>
      </c>
      <c r="J85" s="26">
        <f>IF(ISNUMBER(VLOOKUP($D85,'Visu totale'!$D:$DH,J$1,0)),I85-VLOOKUP($D85,'Visu totale'!$D:$DH,J$1,0),IF(LEFT(VLOOKUP($D85,'Visu totale'!$D:$DH,J$1,0),1)="V",IF(I85&gt;=INDEX('[1]Définition Maintenances'!$G:$G,MATCH($A85,'[1]Définition Maintenances'!$K:$K,0)),I85,INDEX('[1]Définition Maintenances'!$G:$G,MATCH($A85,'[1]Définition Maintenances'!$K:$K,0))+I85),I85))</f>
        <v>844</v>
      </c>
      <c r="K85" s="26">
        <f>IF(ISNUMBER(VLOOKUP($D85,'Visu totale'!$D:$DH,K$1,0)),J85-VLOOKUP($D85,'Visu totale'!$D:$DH,K$1,0),IF(LEFT(VLOOKUP($D85,'Visu totale'!$D:$DH,K$1,0),1)="V",IF(J85&gt;=INDEX('[1]Définition Maintenances'!$G:$G,MATCH($A85,'[1]Définition Maintenances'!$K:$K,0)),J85,INDEX('[1]Définition Maintenances'!$G:$G,MATCH($A85,'[1]Définition Maintenances'!$K:$K,0))+J85),J85))</f>
        <v>844</v>
      </c>
      <c r="L85" s="26">
        <f>IF(ISNUMBER(VLOOKUP($D85,'Visu totale'!$D:$DH,L$1,0)),K85-VLOOKUP($D85,'Visu totale'!$D:$DH,L$1,0),IF(LEFT(VLOOKUP($D85,'Visu totale'!$D:$DH,L$1,0),1)="V",IF(K85&gt;=INDEX('[1]Définition Maintenances'!$G:$G,MATCH($A85,'[1]Définition Maintenances'!$K:$K,0)),K85,INDEX('[1]Définition Maintenances'!$G:$G,MATCH($A85,'[1]Définition Maintenances'!$K:$K,0))+K85),K85))</f>
        <v>844</v>
      </c>
      <c r="M85" s="26">
        <f>IF(ISNUMBER(VLOOKUP($D85,'Visu totale'!$D:$DH,M$1,0)),L85-VLOOKUP($D85,'Visu totale'!$D:$DH,M$1,0),IF(LEFT(VLOOKUP($D85,'Visu totale'!$D:$DH,M$1,0),1)="V",IF(L85&gt;=INDEX('[1]Définition Maintenances'!$G:$G,MATCH($A85,'[1]Définition Maintenances'!$K:$K,0)),L85,INDEX('[1]Définition Maintenances'!$G:$G,MATCH($A85,'[1]Définition Maintenances'!$K:$K,0))+L85),L85))</f>
        <v>844</v>
      </c>
      <c r="N85" s="26">
        <f>IF(ISNUMBER(VLOOKUP($D85,'Visu totale'!$D:$DH,N$1,0)),M85-VLOOKUP($D85,'Visu totale'!$D:$DH,N$1,0),IF(LEFT(VLOOKUP($D85,'Visu totale'!$D:$DH,N$1,0),1)="V",IF(M85&gt;=INDEX('[1]Définition Maintenances'!$G:$G,MATCH($A85,'[1]Définition Maintenances'!$K:$K,0)),M85,INDEX('[1]Définition Maintenances'!$G:$G,MATCH($A85,'[1]Définition Maintenances'!$K:$K,0))+M85),M85))</f>
        <v>844</v>
      </c>
      <c r="O85" s="26">
        <f>IF(ISNUMBER(VLOOKUP($D85,'Visu totale'!$D:$DH,O$1,0)),N85-VLOOKUP($D85,'Visu totale'!$D:$DH,O$1,0),IF(LEFT(VLOOKUP($D85,'Visu totale'!$D:$DH,O$1,0),1)="V",IF(N85&gt;=INDEX('[1]Définition Maintenances'!$G:$G,MATCH($A85,'[1]Définition Maintenances'!$K:$K,0)),N85,INDEX('[1]Définition Maintenances'!$G:$G,MATCH($A85,'[1]Définition Maintenances'!$K:$K,0))+N85),N85))</f>
        <v>844</v>
      </c>
      <c r="P85" s="26">
        <f>IF(ISNUMBER(VLOOKUP($D85,'Visu totale'!$D:$DH,P$1,0)),O85-VLOOKUP($D85,'Visu totale'!$D:$DH,P$1,0),IF(LEFT(VLOOKUP($D85,'Visu totale'!$D:$DH,P$1,0),1)="V",IF(O85&gt;=INDEX('[1]Définition Maintenances'!$G:$G,MATCH($A85,'[1]Définition Maintenances'!$K:$K,0)),O85,INDEX('[1]Définition Maintenances'!$G:$G,MATCH($A85,'[1]Définition Maintenances'!$K:$K,0))+O85),O85))</f>
        <v>844</v>
      </c>
      <c r="Q85" s="27">
        <f>IF(ISNUMBER(VLOOKUP($D85,'Visu totale'!$D:$DH,Q$1,0)),P85-VLOOKUP($D85,'Visu totale'!$D:$DH,Q$1,0),IF(LEFT(VLOOKUP($D85,'Visu totale'!$D:$DH,Q$1,0),1)="V",IF(P85&gt;=INDEX('[1]Définition Maintenances'!$G:$G,MATCH($A85,'[1]Définition Maintenances'!$K:$K,0)),P85,INDEX('[1]Définition Maintenances'!$G:$G,MATCH($A85,'[1]Définition Maintenances'!$K:$K,0))+P85),P85))</f>
        <v>844</v>
      </c>
      <c r="R85" s="25">
        <f>IF(ISNUMBER(VLOOKUP($D85,'Visu totale'!$D:$DH,R$1,0)),Q85-VLOOKUP($D85,'Visu totale'!$D:$DH,R$1,0),IF(LEFT(VLOOKUP($D85,'Visu totale'!$D:$DH,R$1,0),1)="V",IF(Q85&gt;=INDEX('[1]Définition Maintenances'!$G:$G,MATCH($A85,'[1]Définition Maintenances'!$K:$K,0)),Q85,INDEX('[1]Définition Maintenances'!$G:$G,MATCH($A85,'[1]Définition Maintenances'!$K:$K,0))+Q85),Q85))</f>
        <v>844</v>
      </c>
      <c r="S85" s="26">
        <f>IF(ISNUMBER(VLOOKUP($D85,'Visu totale'!$D:$DH,S$1,0)),R85-VLOOKUP($D85,'Visu totale'!$D:$DH,S$1,0),IF(LEFT(VLOOKUP($D85,'Visu totale'!$D:$DH,S$1,0),1)="V",IF(R85&gt;=INDEX('[1]Définition Maintenances'!$G:$G,MATCH($A85,'[1]Définition Maintenances'!$K:$K,0)),R85,INDEX('[1]Définition Maintenances'!$G:$G,MATCH($A85,'[1]Définition Maintenances'!$K:$K,0))+R85),R85))</f>
        <v>844</v>
      </c>
      <c r="T85" s="26">
        <f>IF(ISNUMBER(VLOOKUP($D85,'Visu totale'!$D:$DH,T$1,0)),S85-VLOOKUP($D85,'Visu totale'!$D:$DH,T$1,0),IF(LEFT(VLOOKUP($D85,'Visu totale'!$D:$DH,T$1,0),1)="V",IF(S85&gt;=INDEX('[1]Définition Maintenances'!$G:$G,MATCH($A85,'[1]Définition Maintenances'!$K:$K,0)),S85,INDEX('[1]Définition Maintenances'!$G:$G,MATCH($A85,'[1]Définition Maintenances'!$K:$K,0))+S85),S85))</f>
        <v>844</v>
      </c>
      <c r="U85" s="26">
        <f>IF(ISNUMBER(VLOOKUP($D85,'Visu totale'!$D:$DH,U$1,0)),T85-VLOOKUP($D85,'Visu totale'!$D:$DH,U$1,0),IF(LEFT(VLOOKUP($D85,'Visu totale'!$D:$DH,U$1,0),1)="V",IF(T85&gt;=INDEX('[1]Définition Maintenances'!$G:$G,MATCH($A85,'[1]Définition Maintenances'!$K:$K,0)),T85,INDEX('[1]Définition Maintenances'!$G:$G,MATCH($A85,'[1]Définition Maintenances'!$K:$K,0))+T85),T85))</f>
        <v>844</v>
      </c>
      <c r="V85" s="26">
        <f>IF(ISNUMBER(VLOOKUP($D85,'Visu totale'!$D:$DH,V$1,0)),U85-VLOOKUP($D85,'Visu totale'!$D:$DH,V$1,0),IF(LEFT(VLOOKUP($D85,'Visu totale'!$D:$DH,V$1,0),1)="V",IF(U85&gt;=INDEX('[1]Définition Maintenances'!$G:$G,MATCH($A85,'[1]Définition Maintenances'!$K:$K,0)),U85,INDEX('[1]Définition Maintenances'!$G:$G,MATCH($A85,'[1]Définition Maintenances'!$K:$K,0))+U85),U85))</f>
        <v>844</v>
      </c>
      <c r="W85" s="26">
        <f>IF(ISNUMBER(VLOOKUP($D85,'Visu totale'!$D:$DH,W$1,0)),V85-VLOOKUP($D85,'Visu totale'!$D:$DH,W$1,0),IF(LEFT(VLOOKUP($D85,'Visu totale'!$D:$DH,W$1,0),1)="V",IF(V85&gt;=INDEX('[1]Définition Maintenances'!$G:$G,MATCH($A85,'[1]Définition Maintenances'!$K:$K,0)),V85,INDEX('[1]Définition Maintenances'!$G:$G,MATCH($A85,'[1]Définition Maintenances'!$K:$K,0))+V85),V85))</f>
        <v>844</v>
      </c>
      <c r="X85" s="26">
        <f>IF(ISNUMBER(VLOOKUP($D85,'Visu totale'!$D:$DH,X$1,0)),W85-VLOOKUP($D85,'Visu totale'!$D:$DH,X$1,0),IF(LEFT(VLOOKUP($D85,'Visu totale'!$D:$DH,X$1,0),1)="V",IF(W85&gt;=INDEX('[1]Définition Maintenances'!$G:$G,MATCH($A85,'[1]Définition Maintenances'!$K:$K,0)),W85,INDEX('[1]Définition Maintenances'!$G:$G,MATCH($A85,'[1]Définition Maintenances'!$K:$K,0))+W85),W85))</f>
        <v>844</v>
      </c>
      <c r="Y85" s="26">
        <f>IF(ISNUMBER(VLOOKUP($D85,'Visu totale'!$D:$DH,Y$1,0)),X85-VLOOKUP($D85,'Visu totale'!$D:$DH,Y$1,0),IF(LEFT(VLOOKUP($D85,'Visu totale'!$D:$DH,Y$1,0),1)="V",IF(X85&gt;=INDEX('[1]Définition Maintenances'!$G:$G,MATCH($A85,'[1]Définition Maintenances'!$K:$K,0)),X85,INDEX('[1]Définition Maintenances'!$G:$G,MATCH($A85,'[1]Définition Maintenances'!$K:$K,0))+X85),X85))</f>
        <v>844</v>
      </c>
      <c r="Z85" s="26">
        <f>IF(ISNUMBER(VLOOKUP($D85,'Visu totale'!$D:$DH,Z$1,0)),Y85-VLOOKUP($D85,'Visu totale'!$D:$DH,Z$1,0),IF(LEFT(VLOOKUP($D85,'Visu totale'!$D:$DH,Z$1,0),1)="V",IF(Y85&gt;=INDEX('[1]Définition Maintenances'!$G:$G,MATCH($A85,'[1]Définition Maintenances'!$K:$K,0)),Y85,INDEX('[1]Définition Maintenances'!$G:$G,MATCH($A85,'[1]Définition Maintenances'!$K:$K,0))+Y85),Y85))</f>
        <v>844</v>
      </c>
      <c r="AA85" s="26">
        <f>IF(ISNUMBER(VLOOKUP($D85,'Visu totale'!$D:$DH,AA$1,0)),Z85-VLOOKUP($D85,'Visu totale'!$D:$DH,AA$1,0),IF(LEFT(VLOOKUP($D85,'Visu totale'!$D:$DH,AA$1,0),1)="V",IF(Z85&gt;=INDEX('[1]Définition Maintenances'!$G:$G,MATCH($A85,'[1]Définition Maintenances'!$K:$K,0)),Z85,INDEX('[1]Définition Maintenances'!$G:$G,MATCH($A85,'[1]Définition Maintenances'!$K:$K,0))+Z85),Z85))</f>
        <v>844</v>
      </c>
      <c r="AB85" s="26">
        <f>IF(ISNUMBER(VLOOKUP($D85,'Visu totale'!$D:$DH,AB$1,0)),AA85-VLOOKUP($D85,'Visu totale'!$D:$DH,AB$1,0),IF(LEFT(VLOOKUP($D85,'Visu totale'!$D:$DH,AB$1,0),1)="V",IF(AA85&gt;=INDEX('[1]Définition Maintenances'!$G:$G,MATCH($A85,'[1]Définition Maintenances'!$K:$K,0)),AA85,INDEX('[1]Définition Maintenances'!$G:$G,MATCH($A85,'[1]Définition Maintenances'!$K:$K,0))+AA85),AA85))</f>
        <v>844</v>
      </c>
      <c r="AC85" s="27">
        <f>IF(ISNUMBER(VLOOKUP($D85,'Visu totale'!$D:$DH,AC$1,0)),AB85-VLOOKUP($D85,'Visu totale'!$D:$DH,AC$1,0),IF(LEFT(VLOOKUP($D85,'Visu totale'!$D:$DH,AC$1,0),1)="V",IF(AB85&gt;=INDEX('[1]Définition Maintenances'!$G:$G,MATCH($A85,'[1]Définition Maintenances'!$K:$K,0)),AB85,INDEX('[1]Définition Maintenances'!$G:$G,MATCH($A85,'[1]Définition Maintenances'!$K:$K,0))+AB85),AB85))</f>
        <v>844</v>
      </c>
      <c r="AD85" s="25">
        <f>IF(ISNUMBER(VLOOKUP($D85,'Visu totale'!$D:$DH,AD$1,0)),AC85-VLOOKUP($D85,'Visu totale'!$D:$DH,AD$1,0),IF(LEFT(VLOOKUP($D85,'Visu totale'!$D:$DH,AD$1,0),1)="V",IF(AC85&gt;=INDEX('[1]Définition Maintenances'!$G:$G,MATCH($A85,'[1]Définition Maintenances'!$K:$K,0)),AC85,INDEX('[1]Définition Maintenances'!$G:$G,MATCH($A85,'[1]Définition Maintenances'!$K:$K,0))+AC85),AC85))</f>
        <v>844</v>
      </c>
      <c r="AE85" s="26">
        <f>IF(ISNUMBER(VLOOKUP($D85,'Visu totale'!$D:$DH,AE$1,0)),AD85-VLOOKUP($D85,'Visu totale'!$D:$DH,AE$1,0),IF(LEFT(VLOOKUP($D85,'Visu totale'!$D:$DH,AE$1,0),1)="V",IF(AD85&gt;=INDEX('[1]Définition Maintenances'!$G:$G,MATCH($A85,'[1]Définition Maintenances'!$K:$K,0)),AD85,INDEX('[1]Définition Maintenances'!$G:$G,MATCH($A85,'[1]Définition Maintenances'!$K:$K,0))+AD85),AD85))</f>
        <v>844</v>
      </c>
      <c r="AF85" s="26">
        <f>IF(ISNUMBER(VLOOKUP($D85,'Visu totale'!$D:$DH,AF$1,0)),AE85-VLOOKUP($D85,'Visu totale'!$D:$DH,AF$1,0),IF(LEFT(VLOOKUP($D85,'Visu totale'!$D:$DH,AF$1,0),1)="V",IF(AE85&gt;=INDEX('[1]Définition Maintenances'!$G:$G,MATCH($A85,'[1]Définition Maintenances'!$K:$K,0)),AE85,INDEX('[1]Définition Maintenances'!$G:$G,MATCH($A85,'[1]Définition Maintenances'!$K:$K,0))+AE85),AE85))</f>
        <v>844</v>
      </c>
      <c r="AG85" s="26">
        <f>IF(ISNUMBER(VLOOKUP($D85,'Visu totale'!$D:$DH,AG$1,0)),AF85-VLOOKUP($D85,'Visu totale'!$D:$DH,AG$1,0),IF(LEFT(VLOOKUP($D85,'Visu totale'!$D:$DH,AG$1,0),1)="V",IF(AF85&gt;=INDEX('[1]Définition Maintenances'!$G:$G,MATCH($A85,'[1]Définition Maintenances'!$K:$K,0)),AF85,INDEX('[1]Définition Maintenances'!$G:$G,MATCH($A85,'[1]Définition Maintenances'!$K:$K,0))+AF85),AF85))</f>
        <v>844</v>
      </c>
      <c r="AH85" s="26">
        <f>IF(ISNUMBER(VLOOKUP($D85,'Visu totale'!$D:$DH,AH$1,0)),AG85-VLOOKUP($D85,'Visu totale'!$D:$DH,AH$1,0),IF(LEFT(VLOOKUP($D85,'Visu totale'!$D:$DH,AH$1,0),1)="V",IF(AG85&gt;=INDEX('[1]Définition Maintenances'!$G:$G,MATCH($A85,'[1]Définition Maintenances'!$K:$K,0)),AG85,INDEX('[1]Définition Maintenances'!$G:$G,MATCH($A85,'[1]Définition Maintenances'!$K:$K,0))+AG85),AG85))</f>
        <v>844</v>
      </c>
      <c r="AI85" s="26">
        <f>IF(ISNUMBER(VLOOKUP($D85,'Visu totale'!$D:$DH,AI$1,0)),AH85-VLOOKUP($D85,'Visu totale'!$D:$DH,AI$1,0),IF(LEFT(VLOOKUP($D85,'Visu totale'!$D:$DH,AI$1,0),1)="V",IF(AH85&gt;=INDEX('[1]Définition Maintenances'!$G:$G,MATCH($A85,'[1]Définition Maintenances'!$K:$K,0)),AH85,INDEX('[1]Définition Maintenances'!$G:$G,MATCH($A85,'[1]Définition Maintenances'!$K:$K,0))+AH85),AH85))</f>
        <v>844</v>
      </c>
      <c r="AJ85" s="26">
        <f>IF(ISNUMBER(VLOOKUP($D85,'Visu totale'!$D:$DH,AJ$1,0)),AI85-VLOOKUP($D85,'Visu totale'!$D:$DH,AJ$1,0),IF(LEFT(VLOOKUP($D85,'Visu totale'!$D:$DH,AJ$1,0),1)="V",IF(AI85&gt;=INDEX('[1]Définition Maintenances'!$G:$G,MATCH($A85,'[1]Définition Maintenances'!$K:$K,0)),AI85,INDEX('[1]Définition Maintenances'!$G:$G,MATCH($A85,'[1]Définition Maintenances'!$K:$K,0))+AI85),AI85))</f>
        <v>844</v>
      </c>
      <c r="AK85" s="26">
        <f>IF(ISNUMBER(VLOOKUP($D85,'Visu totale'!$D:$DH,AK$1,0)),AJ85-VLOOKUP($D85,'Visu totale'!$D:$DH,AK$1,0),IF(LEFT(VLOOKUP($D85,'Visu totale'!$D:$DH,AK$1,0),1)="V",IF(AJ85&gt;=INDEX('[1]Définition Maintenances'!$G:$G,MATCH($A85,'[1]Définition Maintenances'!$K:$K,0)),AJ85,INDEX('[1]Définition Maintenances'!$G:$G,MATCH($A85,'[1]Définition Maintenances'!$K:$K,0))+AJ85),AJ85))</f>
        <v>844</v>
      </c>
      <c r="AL85" s="26">
        <f>IF(ISNUMBER(VLOOKUP($D85,'Visu totale'!$D:$DH,AL$1,0)),AK85-VLOOKUP($D85,'Visu totale'!$D:$DH,AL$1,0),IF(LEFT(VLOOKUP($D85,'Visu totale'!$D:$DH,AL$1,0),1)="V",IF(AK85&gt;=INDEX('[1]Définition Maintenances'!$G:$G,MATCH($A85,'[1]Définition Maintenances'!$K:$K,0)),AK85,INDEX('[1]Définition Maintenances'!$G:$G,MATCH($A85,'[1]Définition Maintenances'!$K:$K,0))+AK85),AK85))</f>
        <v>844</v>
      </c>
      <c r="AM85" s="26">
        <f>IF(ISNUMBER(VLOOKUP($D85,'Visu totale'!$D:$DH,AM$1,0)),AL85-VLOOKUP($D85,'Visu totale'!$D:$DH,AM$1,0),IF(LEFT(VLOOKUP($D85,'Visu totale'!$D:$DH,AM$1,0),1)="V",IF(AL85&gt;=INDEX('[1]Définition Maintenances'!$G:$G,MATCH($A85,'[1]Définition Maintenances'!$K:$K,0)),AL85,INDEX('[1]Définition Maintenances'!$G:$G,MATCH($A85,'[1]Définition Maintenances'!$K:$K,0))+AL85),AL85))</f>
        <v>844</v>
      </c>
      <c r="AN85" s="26">
        <f>IF(ISNUMBER(VLOOKUP($D85,'Visu totale'!$D:$DH,AN$1,0)),AM85-VLOOKUP($D85,'Visu totale'!$D:$DH,AN$1,0),IF(LEFT(VLOOKUP($D85,'Visu totale'!$D:$DH,AN$1,0),1)="V",IF(AM85&gt;=INDEX('[1]Définition Maintenances'!$G:$G,MATCH($A85,'[1]Définition Maintenances'!$K:$K,0)),AM85,INDEX('[1]Définition Maintenances'!$G:$G,MATCH($A85,'[1]Définition Maintenances'!$K:$K,0))+AM85),AM85))</f>
        <v>844</v>
      </c>
      <c r="AO85" s="27">
        <f>IF(ISNUMBER(VLOOKUP($D85,'Visu totale'!$D:$DH,AO$1,0)),AN85-VLOOKUP($D85,'Visu totale'!$D:$DH,AO$1,0),IF(LEFT(VLOOKUP($D85,'Visu totale'!$D:$DH,AO$1,0),1)="V",IF(AN85&gt;=INDEX('[1]Définition Maintenances'!$G:$G,MATCH($A85,'[1]Définition Maintenances'!$K:$K,0)),AN85,INDEX('[1]Définition Maintenances'!$G:$G,MATCH($A85,'[1]Définition Maintenances'!$K:$K,0))+AN85),AN85))</f>
        <v>844</v>
      </c>
      <c r="AP85" s="25">
        <f>IF(ISNUMBER(VLOOKUP($D85,'Visu totale'!$D:$DH,AP$1,0)),AO85-VLOOKUP($D85,'Visu totale'!$D:$DH,AP$1,0),IF(LEFT(VLOOKUP($D85,'Visu totale'!$D:$DH,AP$1,0),1)="V",IF(AO85&gt;=INDEX('[1]Définition Maintenances'!$G:$G,MATCH($A85,'[1]Définition Maintenances'!$K:$K,0)),AO85,INDEX('[1]Définition Maintenances'!$G:$G,MATCH($A85,'[1]Définition Maintenances'!$K:$K,0))+AO85),AO85))</f>
        <v>844</v>
      </c>
      <c r="AQ85" s="26">
        <f>IF(ISNUMBER(VLOOKUP($D85,'Visu totale'!$D:$DH,AQ$1,0)),AP85-VLOOKUP($D85,'Visu totale'!$D:$DH,AQ$1,0),IF(LEFT(VLOOKUP($D85,'Visu totale'!$D:$DH,AQ$1,0),1)="V",IF(AP85&gt;=INDEX('[1]Définition Maintenances'!$G:$G,MATCH($A85,'[1]Définition Maintenances'!$K:$K,0)),AP85,INDEX('[1]Définition Maintenances'!$G:$G,MATCH($A85,'[1]Définition Maintenances'!$K:$K,0))+AP85),AP85))</f>
        <v>844</v>
      </c>
      <c r="AR85" s="26">
        <f>IF(ISNUMBER(VLOOKUP($D85,'Visu totale'!$D:$DH,AR$1,0)),AQ85-VLOOKUP($D85,'Visu totale'!$D:$DH,AR$1,0),IF(LEFT(VLOOKUP($D85,'Visu totale'!$D:$DH,AR$1,0),1)="V",IF(AQ85&gt;=INDEX('[1]Définition Maintenances'!$G:$G,MATCH($A85,'[1]Définition Maintenances'!$K:$K,0)),AQ85,INDEX('[1]Définition Maintenances'!$G:$G,MATCH($A85,'[1]Définition Maintenances'!$K:$K,0))+AQ85),AQ85))</f>
        <v>844</v>
      </c>
      <c r="AS85" s="26">
        <f>IF(ISNUMBER(VLOOKUP($D85,'Visu totale'!$D:$DH,AS$1,0)),AR85-VLOOKUP($D85,'Visu totale'!$D:$DH,AS$1,0),IF(LEFT(VLOOKUP($D85,'Visu totale'!$D:$DH,AS$1,0),1)="V",IF(AR85&gt;=INDEX('[1]Définition Maintenances'!$G:$G,MATCH($A85,'[1]Définition Maintenances'!$K:$K,0)),AR85,INDEX('[1]Définition Maintenances'!$G:$G,MATCH($A85,'[1]Définition Maintenances'!$K:$K,0))+AR85),AR85))</f>
        <v>844</v>
      </c>
      <c r="AT85" s="26">
        <f>IF(ISNUMBER(VLOOKUP($D85,'Visu totale'!$D:$DH,AT$1,0)),AS85-VLOOKUP($D85,'Visu totale'!$D:$DH,AT$1,0),IF(LEFT(VLOOKUP($D85,'Visu totale'!$D:$DH,AT$1,0),1)="V",IF(AS85&gt;=INDEX('[1]Définition Maintenances'!$G:$G,MATCH($A85,'[1]Définition Maintenances'!$K:$K,0)),AS85,INDEX('[1]Définition Maintenances'!$G:$G,MATCH($A85,'[1]Définition Maintenances'!$K:$K,0))+AS85),AS85))</f>
        <v>844</v>
      </c>
      <c r="AU85" s="26">
        <f>IF(ISNUMBER(VLOOKUP($D85,'Visu totale'!$D:$DH,AU$1,0)),AT85-VLOOKUP($D85,'Visu totale'!$D:$DH,AU$1,0),IF(LEFT(VLOOKUP($D85,'Visu totale'!$D:$DH,AU$1,0),1)="V",IF(AT85&gt;=INDEX('[1]Définition Maintenances'!$G:$G,MATCH($A85,'[1]Définition Maintenances'!$K:$K,0)),AT85,INDEX('[1]Définition Maintenances'!$G:$G,MATCH($A85,'[1]Définition Maintenances'!$K:$K,0))+AT85),AT85))</f>
        <v>844</v>
      </c>
      <c r="AV85" s="26">
        <f>IF(ISNUMBER(VLOOKUP($D85,'Visu totale'!$D:$DH,AV$1,0)),AU85-VLOOKUP($D85,'Visu totale'!$D:$DH,AV$1,0),IF(LEFT(VLOOKUP($D85,'Visu totale'!$D:$DH,AV$1,0),1)="V",IF(AU85&gt;=INDEX('[1]Définition Maintenances'!$G:$G,MATCH($A85,'[1]Définition Maintenances'!$K:$K,0)),AU85,INDEX('[1]Définition Maintenances'!$G:$G,MATCH($A85,'[1]Définition Maintenances'!$K:$K,0))+AU85),AU85))</f>
        <v>844</v>
      </c>
      <c r="AW85" s="26">
        <f>IF(ISNUMBER(VLOOKUP($D85,'Visu totale'!$D:$DH,AW$1,0)),AV85-VLOOKUP($D85,'Visu totale'!$D:$DH,AW$1,0),IF(LEFT(VLOOKUP($D85,'Visu totale'!$D:$DH,AW$1,0),1)="V",IF(AV85&gt;=INDEX('[1]Définition Maintenances'!$G:$G,MATCH($A85,'[1]Définition Maintenances'!$K:$K,0)),AV85,INDEX('[1]Définition Maintenances'!$G:$G,MATCH($A85,'[1]Définition Maintenances'!$K:$K,0))+AV85),AV85))</f>
        <v>844</v>
      </c>
      <c r="AX85" s="26">
        <f>IF(ISNUMBER(VLOOKUP($D85,'Visu totale'!$D:$DH,AX$1,0)),AW85-VLOOKUP($D85,'Visu totale'!$D:$DH,AX$1,0),IF(LEFT(VLOOKUP($D85,'Visu totale'!$D:$DH,AX$1,0),1)="V",IF(AW85&gt;=INDEX('[1]Définition Maintenances'!$G:$G,MATCH($A85,'[1]Définition Maintenances'!$K:$K,0)),AW85,INDEX('[1]Définition Maintenances'!$G:$G,MATCH($A85,'[1]Définition Maintenances'!$K:$K,0))+AW85),AW85))</f>
        <v>844</v>
      </c>
      <c r="AY85" s="26">
        <f>IF(ISNUMBER(VLOOKUP($D85,'Visu totale'!$D:$DH,AY$1,0)),AX85-VLOOKUP($D85,'Visu totale'!$D:$DH,AY$1,0),IF(LEFT(VLOOKUP($D85,'Visu totale'!$D:$DH,AY$1,0),1)="V",IF(AX85&gt;=INDEX('[1]Définition Maintenances'!$G:$G,MATCH($A85,'[1]Définition Maintenances'!$K:$K,0)),AX85,INDEX('[1]Définition Maintenances'!$G:$G,MATCH($A85,'[1]Définition Maintenances'!$K:$K,0))+AX85),AX85))</f>
        <v>844</v>
      </c>
      <c r="AZ85" s="26">
        <f>IF(ISNUMBER(VLOOKUP($D85,'Visu totale'!$D:$DH,AZ$1,0)),AY85-VLOOKUP($D85,'Visu totale'!$D:$DH,AZ$1,0),IF(LEFT(VLOOKUP($D85,'Visu totale'!$D:$DH,AZ$1,0),1)="V",IF(AY85&gt;=INDEX('[1]Définition Maintenances'!$G:$G,MATCH($A85,'[1]Définition Maintenances'!$K:$K,0)),AY85,INDEX('[1]Définition Maintenances'!$G:$G,MATCH($A85,'[1]Définition Maintenances'!$K:$K,0))+AY85),AY85))</f>
        <v>844</v>
      </c>
      <c r="BA85" s="27">
        <f>IF(ISNUMBER(VLOOKUP($D85,'Visu totale'!$D:$DH,BA$1,0)),AZ85-VLOOKUP($D85,'Visu totale'!$D:$DH,BA$1,0),IF(LEFT(VLOOKUP($D85,'Visu totale'!$D:$DH,BA$1,0),1)="V",IF(AZ85&gt;=INDEX('[1]Définition Maintenances'!$G:$G,MATCH($A85,'[1]Définition Maintenances'!$K:$K,0)),AZ85,INDEX('[1]Définition Maintenances'!$G:$G,MATCH($A85,'[1]Définition Maintenances'!$K:$K,0))+AZ85),AZ85))</f>
        <v>844</v>
      </c>
      <c r="BB85" s="25">
        <f>IF(ISNUMBER(VLOOKUP($D85,'Visu totale'!$D:$DH,BB$1,0)),BA85-VLOOKUP($D85,'Visu totale'!$D:$DH,BB$1,0),IF(LEFT(VLOOKUP($D85,'Visu totale'!$D:$DH,BB$1,0),1)="V",IF(BA85&gt;=INDEX('[1]Définition Maintenances'!$G:$G,MATCH($A85,'[1]Définition Maintenances'!$K:$K,0)),BA85,INDEX('[1]Définition Maintenances'!$G:$G,MATCH($A85,'[1]Définition Maintenances'!$K:$K,0))+BA85),BA85))</f>
        <v>844</v>
      </c>
      <c r="BC85" s="26">
        <f>IF(ISNUMBER(VLOOKUP($D85,'Visu totale'!$D:$DH,BC$1,0)),BB85-VLOOKUP($D85,'Visu totale'!$D:$DH,BC$1,0),IF(LEFT(VLOOKUP($D85,'Visu totale'!$D:$DH,BC$1,0),1)="V",IF(BB85&gt;=INDEX('[1]Définition Maintenances'!$G:$G,MATCH($A85,'[1]Définition Maintenances'!$K:$K,0)),BB85,INDEX('[1]Définition Maintenances'!$G:$G,MATCH($A85,'[1]Définition Maintenances'!$K:$K,0))+BB85),BB85))</f>
        <v>844</v>
      </c>
      <c r="BD85" s="26">
        <f>IF(ISNUMBER(VLOOKUP($D85,'Visu totale'!$D:$DH,BD$1,0)),BC85-VLOOKUP($D85,'Visu totale'!$D:$DH,BD$1,0),IF(LEFT(VLOOKUP($D85,'Visu totale'!$D:$DH,BD$1,0),1)="V",IF(BC85&gt;=INDEX('[1]Définition Maintenances'!$G:$G,MATCH($A85,'[1]Définition Maintenances'!$K:$K,0)),BC85,INDEX('[1]Définition Maintenances'!$G:$G,MATCH($A85,'[1]Définition Maintenances'!$K:$K,0))+BC85),BC85))</f>
        <v>844</v>
      </c>
      <c r="BE85" s="26">
        <f>IF(ISNUMBER(VLOOKUP($D85,'Visu totale'!$D:$DH,BE$1,0)),BD85-VLOOKUP($D85,'Visu totale'!$D:$DH,BE$1,0),IF(LEFT(VLOOKUP($D85,'Visu totale'!$D:$DH,BE$1,0),1)="V",IF(BD85&gt;=INDEX('[1]Définition Maintenances'!$G:$G,MATCH($A85,'[1]Définition Maintenances'!$K:$K,0)),BD85,INDEX('[1]Définition Maintenances'!$G:$G,MATCH($A85,'[1]Définition Maintenances'!$K:$K,0))+BD85),BD85))</f>
        <v>844</v>
      </c>
      <c r="BF85" s="26">
        <f>IF(ISNUMBER(VLOOKUP($D85,'Visu totale'!$D:$DH,BF$1,0)),BE85-VLOOKUP($D85,'Visu totale'!$D:$DH,BF$1,0),IF(LEFT(VLOOKUP($D85,'Visu totale'!$D:$DH,BF$1,0),1)="V",IF(BE85&gt;=INDEX('[1]Définition Maintenances'!$G:$G,MATCH($A85,'[1]Définition Maintenances'!$K:$K,0)),BE85,INDEX('[1]Définition Maintenances'!$G:$G,MATCH($A85,'[1]Définition Maintenances'!$K:$K,0))+BE85),BE85))</f>
        <v>844</v>
      </c>
      <c r="BG85" s="26">
        <f>IF(ISNUMBER(VLOOKUP($D85,'Visu totale'!$D:$DH,BG$1,0)),BF85-VLOOKUP($D85,'Visu totale'!$D:$DH,BG$1,0),IF(LEFT(VLOOKUP($D85,'Visu totale'!$D:$DH,BG$1,0),1)="V",IF(BF85&gt;=INDEX('[1]Définition Maintenances'!$G:$G,MATCH($A85,'[1]Définition Maintenances'!$K:$K,0)),BF85,INDEX('[1]Définition Maintenances'!$G:$G,MATCH($A85,'[1]Définition Maintenances'!$K:$K,0))+BF85),BF85))</f>
        <v>844</v>
      </c>
      <c r="BH85" s="26">
        <f>IF(ISNUMBER(VLOOKUP($D85,'Visu totale'!$D:$DH,BH$1,0)),BG85-VLOOKUP($D85,'Visu totale'!$D:$DH,BH$1,0),IF(LEFT(VLOOKUP($D85,'Visu totale'!$D:$DH,BH$1,0),1)="V",IF(BG85&gt;=INDEX('[1]Définition Maintenances'!$G:$G,MATCH($A85,'[1]Définition Maintenances'!$K:$K,0)),BG85,INDEX('[1]Définition Maintenances'!$G:$G,MATCH($A85,'[1]Définition Maintenances'!$K:$K,0))+BG85),BG85))</f>
        <v>844</v>
      </c>
      <c r="BI85" s="26">
        <f>IF(ISNUMBER(VLOOKUP($D85,'Visu totale'!$D:$DH,BI$1,0)),BH85-VLOOKUP($D85,'Visu totale'!$D:$DH,BI$1,0),IF(LEFT(VLOOKUP($D85,'Visu totale'!$D:$DH,BI$1,0),1)="V",IF(BH85&gt;=INDEX('[1]Définition Maintenances'!$G:$G,MATCH($A85,'[1]Définition Maintenances'!$K:$K,0)),BH85,INDEX('[1]Définition Maintenances'!$G:$G,MATCH($A85,'[1]Définition Maintenances'!$K:$K,0))+BH85),BH85))</f>
        <v>844</v>
      </c>
      <c r="BJ85" s="26">
        <f>IF(ISNUMBER(VLOOKUP($D85,'Visu totale'!$D:$DH,BJ$1,0)),BI85-VLOOKUP($D85,'Visu totale'!$D:$DH,BJ$1,0),IF(LEFT(VLOOKUP($D85,'Visu totale'!$D:$DH,BJ$1,0),1)="V",IF(BI85&gt;=INDEX('[1]Définition Maintenances'!$G:$G,MATCH($A85,'[1]Définition Maintenances'!$K:$K,0)),BI85,INDEX('[1]Définition Maintenances'!$G:$G,MATCH($A85,'[1]Définition Maintenances'!$K:$K,0))+BI85),BI85))</f>
        <v>844</v>
      </c>
      <c r="BK85" s="26">
        <f>IF(ISNUMBER(VLOOKUP($D85,'Visu totale'!$D:$DH,BK$1,0)),BJ85-VLOOKUP($D85,'Visu totale'!$D:$DH,BK$1,0),IF(LEFT(VLOOKUP($D85,'Visu totale'!$D:$DH,BK$1,0),1)="V",IF(BJ85&gt;=INDEX('[1]Définition Maintenances'!$G:$G,MATCH($A85,'[1]Définition Maintenances'!$K:$K,0)),BJ85,INDEX('[1]Définition Maintenances'!$G:$G,MATCH($A85,'[1]Définition Maintenances'!$K:$K,0))+BJ85),BJ85))</f>
        <v>844</v>
      </c>
      <c r="BL85" s="26">
        <f>IF(ISNUMBER(VLOOKUP($D85,'Visu totale'!$D:$DH,BL$1,0)),BK85-VLOOKUP($D85,'Visu totale'!$D:$DH,BL$1,0),IF(LEFT(VLOOKUP($D85,'Visu totale'!$D:$DH,BL$1,0),1)="V",IF(BK85&gt;=INDEX('[1]Définition Maintenances'!$G:$G,MATCH($A85,'[1]Définition Maintenances'!$K:$K,0)),BK85,INDEX('[1]Définition Maintenances'!$G:$G,MATCH($A85,'[1]Définition Maintenances'!$K:$K,0))+BK85),BK85))</f>
        <v>844</v>
      </c>
      <c r="BM85" s="27">
        <f>IF(ISNUMBER(VLOOKUP($D85,'Visu totale'!$D:$DH,BM$1,0)),BL85-VLOOKUP($D85,'Visu totale'!$D:$DH,BM$1,0),IF(LEFT(VLOOKUP($D85,'Visu totale'!$D:$DH,BM$1,0),1)="V",IF(BL85&gt;=INDEX('[1]Définition Maintenances'!$G:$G,MATCH($A85,'[1]Définition Maintenances'!$K:$K,0)),BL85,INDEX('[1]Définition Maintenances'!$G:$G,MATCH($A85,'[1]Définition Maintenances'!$K:$K,0))+BL85),BL85))</f>
        <v>844</v>
      </c>
      <c r="BN85" s="25">
        <f>IF(ISNUMBER(VLOOKUP($D85,'Visu totale'!$D:$DH,BN$1,0)),BM85-VLOOKUP($D85,'Visu totale'!$D:$DH,BN$1,0),IF(LEFT(VLOOKUP($D85,'Visu totale'!$D:$DH,BN$1,0),1)="V",IF(BM85&gt;=INDEX('[1]Définition Maintenances'!$G:$G,MATCH($A85,'[1]Définition Maintenances'!$K:$K,0)),BM85,INDEX('[1]Définition Maintenances'!$G:$G,MATCH($A85,'[1]Définition Maintenances'!$K:$K,0))+BM85),BM85))</f>
        <v>844</v>
      </c>
      <c r="BO85" s="26">
        <f>IF(ISNUMBER(VLOOKUP($D85,'Visu totale'!$D:$DH,BO$1,0)),BN85-VLOOKUP($D85,'Visu totale'!$D:$DH,BO$1,0),IF(LEFT(VLOOKUP($D85,'Visu totale'!$D:$DH,BO$1,0),1)="V",IF(BN85&gt;=INDEX('[1]Définition Maintenances'!$G:$G,MATCH($A85,'[1]Définition Maintenances'!$K:$K,0)),BN85,INDEX('[1]Définition Maintenances'!$G:$G,MATCH($A85,'[1]Définition Maintenances'!$K:$K,0))+BN85),BN85))</f>
        <v>844</v>
      </c>
      <c r="BP85" s="26">
        <f>IF(ISNUMBER(VLOOKUP($D85,'Visu totale'!$D:$DH,BP$1,0)),BO85-VLOOKUP($D85,'Visu totale'!$D:$DH,BP$1,0),IF(LEFT(VLOOKUP($D85,'Visu totale'!$D:$DH,BP$1,0),1)="V",IF(BO85&gt;=INDEX('[1]Définition Maintenances'!$G:$G,MATCH($A85,'[1]Définition Maintenances'!$K:$K,0)),BO85,INDEX('[1]Définition Maintenances'!$G:$G,MATCH($A85,'[1]Définition Maintenances'!$K:$K,0))+BO85),BO85))</f>
        <v>844</v>
      </c>
      <c r="BQ85" s="26">
        <f>IF(ISNUMBER(VLOOKUP($D85,'Visu totale'!$D:$DH,BQ$1,0)),BP85-VLOOKUP($D85,'Visu totale'!$D:$DH,BQ$1,0),IF(LEFT(VLOOKUP($D85,'Visu totale'!$D:$DH,BQ$1,0),1)="V",IF(BP85&gt;=INDEX('[1]Définition Maintenances'!$G:$G,MATCH($A85,'[1]Définition Maintenances'!$K:$K,0)),BP85,INDEX('[1]Définition Maintenances'!$G:$G,MATCH($A85,'[1]Définition Maintenances'!$K:$K,0))+BP85),BP85))</f>
        <v>844</v>
      </c>
      <c r="BR85" s="26">
        <f>IF(ISNUMBER(VLOOKUP($D85,'Visu totale'!$D:$DH,BR$1,0)),BQ85-VLOOKUP($D85,'Visu totale'!$D:$DH,BR$1,0),IF(LEFT(VLOOKUP($D85,'Visu totale'!$D:$DH,BR$1,0),1)="V",IF(BQ85&gt;=INDEX('[1]Définition Maintenances'!$G:$G,MATCH($A85,'[1]Définition Maintenances'!$K:$K,0)),BQ85,INDEX('[1]Définition Maintenances'!$G:$G,MATCH($A85,'[1]Définition Maintenances'!$K:$K,0))+BQ85),BQ85))</f>
        <v>844</v>
      </c>
      <c r="BS85" s="26">
        <f>IF(ISNUMBER(VLOOKUP($D85,'Visu totale'!$D:$DH,BS$1,0)),BR85-VLOOKUP($D85,'Visu totale'!$D:$DH,BS$1,0),IF(LEFT(VLOOKUP($D85,'Visu totale'!$D:$DH,BS$1,0),1)="V",IF(BR85&gt;=INDEX('[1]Définition Maintenances'!$G:$G,MATCH($A85,'[1]Définition Maintenances'!$K:$K,0)),BR85,INDEX('[1]Définition Maintenances'!$G:$G,MATCH($A85,'[1]Définition Maintenances'!$K:$K,0))+BR85),BR85))</f>
        <v>844</v>
      </c>
      <c r="BT85" s="26">
        <f>IF(ISNUMBER(VLOOKUP($D85,'Visu totale'!$D:$DH,BT$1,0)),BS85-VLOOKUP($D85,'Visu totale'!$D:$DH,BT$1,0),IF(LEFT(VLOOKUP($D85,'Visu totale'!$D:$DH,BT$1,0),1)="V",IF(BS85&gt;=INDEX('[1]Définition Maintenances'!$G:$G,MATCH($A85,'[1]Définition Maintenances'!$K:$K,0)),BS85,INDEX('[1]Définition Maintenances'!$G:$G,MATCH($A85,'[1]Définition Maintenances'!$K:$K,0))+BS85),BS85))</f>
        <v>844</v>
      </c>
      <c r="BU85" s="26">
        <f>IF(ISNUMBER(VLOOKUP($D85,'Visu totale'!$D:$DH,BU$1,0)),BT85-VLOOKUP($D85,'Visu totale'!$D:$DH,BU$1,0),IF(LEFT(VLOOKUP($D85,'Visu totale'!$D:$DH,BU$1,0),1)="V",IF(BT85&gt;=INDEX('[1]Définition Maintenances'!$G:$G,MATCH($A85,'[1]Définition Maintenances'!$K:$K,0)),BT85,INDEX('[1]Définition Maintenances'!$G:$G,MATCH($A85,'[1]Définition Maintenances'!$K:$K,0))+BT85),BT85))</f>
        <v>844</v>
      </c>
      <c r="BV85" s="26">
        <f>IF(ISNUMBER(VLOOKUP($D85,'Visu totale'!$D:$DH,BV$1,0)),BU85-VLOOKUP($D85,'Visu totale'!$D:$DH,BV$1,0),IF(LEFT(VLOOKUP($D85,'Visu totale'!$D:$DH,BV$1,0),1)="V",IF(BU85&gt;=INDEX('[1]Définition Maintenances'!$G:$G,MATCH($A85,'[1]Définition Maintenances'!$K:$K,0)),BU85,INDEX('[1]Définition Maintenances'!$G:$G,MATCH($A85,'[1]Définition Maintenances'!$K:$K,0))+BU85),BU85))</f>
        <v>844</v>
      </c>
      <c r="BW85" s="26">
        <f>IF(ISNUMBER(VLOOKUP($D85,'Visu totale'!$D:$DH,BW$1,0)),BV85-VLOOKUP($D85,'Visu totale'!$D:$DH,BW$1,0),IF(LEFT(VLOOKUP($D85,'Visu totale'!$D:$DH,BW$1,0),1)="V",IF(BV85&gt;=INDEX('[1]Définition Maintenances'!$G:$G,MATCH($A85,'[1]Définition Maintenances'!$K:$K,0)),BV85,INDEX('[1]Définition Maintenances'!$G:$G,MATCH($A85,'[1]Définition Maintenances'!$K:$K,0))+BV85),BV85))</f>
        <v>844</v>
      </c>
      <c r="BX85" s="26">
        <f>IF(ISNUMBER(VLOOKUP($D85,'Visu totale'!$D:$DH,BX$1,0)),BW85-VLOOKUP($D85,'Visu totale'!$D:$DH,BX$1,0),IF(LEFT(VLOOKUP($D85,'Visu totale'!$D:$DH,BX$1,0),1)="V",IF(BW85&gt;=INDEX('[1]Définition Maintenances'!$G:$G,MATCH($A85,'[1]Définition Maintenances'!$K:$K,0)),BW85,INDEX('[1]Définition Maintenances'!$G:$G,MATCH($A85,'[1]Définition Maintenances'!$K:$K,0))+BW85),BW85))</f>
        <v>844</v>
      </c>
      <c r="BY85" s="27">
        <f>IF(ISNUMBER(VLOOKUP($D85,'Visu totale'!$D:$DH,BY$1,0)),BX85-VLOOKUP($D85,'Visu totale'!$D:$DH,BY$1,0),IF(LEFT(VLOOKUP($D85,'Visu totale'!$D:$DH,BY$1,0),1)="V",IF(BX85&gt;=INDEX('[1]Définition Maintenances'!$G:$G,MATCH($A85,'[1]Définition Maintenances'!$K:$K,0)),BX85,INDEX('[1]Définition Maintenances'!$G:$G,MATCH($A85,'[1]Définition Maintenances'!$K:$K,0))+BX85),BX85))</f>
        <v>844</v>
      </c>
      <c r="BZ85" s="25">
        <f>IF(ISNUMBER(VLOOKUP($D85,'Visu totale'!$D:$DH,BZ$1,0)),BY85-VLOOKUP($D85,'Visu totale'!$D:$DH,BZ$1,0),IF(LEFT(VLOOKUP($D85,'Visu totale'!$D:$DH,BZ$1,0),1)="V",IF(BY85&gt;=INDEX('[1]Définition Maintenances'!$G:$G,MATCH($A85,'[1]Définition Maintenances'!$K:$K,0)),BY85,INDEX('[1]Définition Maintenances'!$G:$G,MATCH($A85,'[1]Définition Maintenances'!$K:$K,0))+BY85),BY85))</f>
        <v>844</v>
      </c>
      <c r="CA85" s="26">
        <f>IF(ISNUMBER(VLOOKUP($D85,'Visu totale'!$D:$DH,CA$1,0)),BZ85-VLOOKUP($D85,'Visu totale'!$D:$DH,CA$1,0),IF(LEFT(VLOOKUP($D85,'Visu totale'!$D:$DH,CA$1,0),1)="V",IF(BZ85&gt;=INDEX('[1]Définition Maintenances'!$G:$G,MATCH($A85,'[1]Définition Maintenances'!$K:$K,0)),BZ85,INDEX('[1]Définition Maintenances'!$G:$G,MATCH($A85,'[1]Définition Maintenances'!$K:$K,0))+BZ85),BZ85))</f>
        <v>844</v>
      </c>
      <c r="CB85" s="26">
        <f>IF(ISNUMBER(VLOOKUP($D85,'Visu totale'!$D:$DH,CB$1,0)),CA85-VLOOKUP($D85,'Visu totale'!$D:$DH,CB$1,0),IF(LEFT(VLOOKUP($D85,'Visu totale'!$D:$DH,CB$1,0),1)="V",IF(CA85&gt;=INDEX('[1]Définition Maintenances'!$G:$G,MATCH($A85,'[1]Définition Maintenances'!$K:$K,0)),CA85,INDEX('[1]Définition Maintenances'!$G:$G,MATCH($A85,'[1]Définition Maintenances'!$K:$K,0))+CA85),CA85))</f>
        <v>844</v>
      </c>
      <c r="CC85" s="26">
        <f>IF(ISNUMBER(VLOOKUP($D85,'Visu totale'!$D:$DH,CC$1,0)),CB85-VLOOKUP($D85,'Visu totale'!$D:$DH,CC$1,0),IF(LEFT(VLOOKUP($D85,'Visu totale'!$D:$DH,CC$1,0),1)="V",IF(CB85&gt;=INDEX('[1]Définition Maintenances'!$G:$G,MATCH($A85,'[1]Définition Maintenances'!$K:$K,0)),CB85,INDEX('[1]Définition Maintenances'!$G:$G,MATCH($A85,'[1]Définition Maintenances'!$K:$K,0))+CB85),CB85))</f>
        <v>844</v>
      </c>
      <c r="CD85" s="26">
        <f>IF(ISNUMBER(VLOOKUP($D85,'Visu totale'!$D:$DH,CD$1,0)),CC85-VLOOKUP($D85,'Visu totale'!$D:$DH,CD$1,0),IF(LEFT(VLOOKUP($D85,'Visu totale'!$D:$DH,CD$1,0),1)="V",IF(CC85&gt;=INDEX('[1]Définition Maintenances'!$G:$G,MATCH($A85,'[1]Définition Maintenances'!$K:$K,0)),CC85,INDEX('[1]Définition Maintenances'!$G:$G,MATCH($A85,'[1]Définition Maintenances'!$K:$K,0))+CC85),CC85))</f>
        <v>844</v>
      </c>
      <c r="CE85" s="26">
        <f>IF(ISNUMBER(VLOOKUP($D85,'Visu totale'!$D:$DH,CE$1,0)),CD85-VLOOKUP($D85,'Visu totale'!$D:$DH,CE$1,0),IF(LEFT(VLOOKUP($D85,'Visu totale'!$D:$DH,CE$1,0),1)="V",IF(CD85&gt;=INDEX('[1]Définition Maintenances'!$G:$G,MATCH($A85,'[1]Définition Maintenances'!$K:$K,0)),CD85,INDEX('[1]Définition Maintenances'!$G:$G,MATCH($A85,'[1]Définition Maintenances'!$K:$K,0))+CD85),CD85))</f>
        <v>844</v>
      </c>
      <c r="CF85" s="26">
        <f>IF(ISNUMBER(VLOOKUP($D85,'Visu totale'!$D:$DH,CF$1,0)),CE85-VLOOKUP($D85,'Visu totale'!$D:$DH,CF$1,0),IF(LEFT(VLOOKUP($D85,'Visu totale'!$D:$DH,CF$1,0),1)="V",IF(CE85&gt;=INDEX('[1]Définition Maintenances'!$G:$G,MATCH($A85,'[1]Définition Maintenances'!$K:$K,0)),CE85,INDEX('[1]Définition Maintenances'!$G:$G,MATCH($A85,'[1]Définition Maintenances'!$K:$K,0))+CE85),CE85))</f>
        <v>844</v>
      </c>
      <c r="CG85" s="26">
        <f>IF(ISNUMBER(VLOOKUP($D85,'Visu totale'!$D:$DH,CG$1,0)),CF85-VLOOKUP($D85,'Visu totale'!$D:$DH,CG$1,0),IF(LEFT(VLOOKUP($D85,'Visu totale'!$D:$DH,CG$1,0),1)="V",IF(CF85&gt;=INDEX('[1]Définition Maintenances'!$G:$G,MATCH($A85,'[1]Définition Maintenances'!$K:$K,0)),CF85,INDEX('[1]Définition Maintenances'!$G:$G,MATCH($A85,'[1]Définition Maintenances'!$K:$K,0))+CF85),CF85))</f>
        <v>844</v>
      </c>
      <c r="CH85" s="26">
        <f>IF(ISNUMBER(VLOOKUP($D85,'Visu totale'!$D:$DH,CH$1,0)),CG85-VLOOKUP($D85,'Visu totale'!$D:$DH,CH$1,0),IF(LEFT(VLOOKUP($D85,'Visu totale'!$D:$DH,CH$1,0),1)="V",IF(CG85&gt;=INDEX('[1]Définition Maintenances'!$G:$G,MATCH($A85,'[1]Définition Maintenances'!$K:$K,0)),CG85,INDEX('[1]Définition Maintenances'!$G:$G,MATCH($A85,'[1]Définition Maintenances'!$K:$K,0))+CG85),CG85))</f>
        <v>844</v>
      </c>
      <c r="CI85" s="26">
        <f>IF(ISNUMBER(VLOOKUP($D85,'Visu totale'!$D:$DH,CI$1,0)),CH85-VLOOKUP($D85,'Visu totale'!$D:$DH,CI$1,0),IF(LEFT(VLOOKUP($D85,'Visu totale'!$D:$DH,CI$1,0),1)="V",IF(CH85&gt;=INDEX('[1]Définition Maintenances'!$G:$G,MATCH($A85,'[1]Définition Maintenances'!$K:$K,0)),CH85,INDEX('[1]Définition Maintenances'!$G:$G,MATCH($A85,'[1]Définition Maintenances'!$K:$K,0))+CH85),CH85))</f>
        <v>844</v>
      </c>
      <c r="CJ85" s="26">
        <f>IF(ISNUMBER(VLOOKUP($D85,'Visu totale'!$D:$DH,CJ$1,0)),CI85-VLOOKUP($D85,'Visu totale'!$D:$DH,CJ$1,0),IF(LEFT(VLOOKUP($D85,'Visu totale'!$D:$DH,CJ$1,0),1)="V",IF(CI85&gt;=INDEX('[1]Définition Maintenances'!$G:$G,MATCH($A85,'[1]Définition Maintenances'!$K:$K,0)),CI85,INDEX('[1]Définition Maintenances'!$G:$G,MATCH($A85,'[1]Définition Maintenances'!$K:$K,0))+CI85),CI85))</f>
        <v>844</v>
      </c>
      <c r="CK85" s="27">
        <f>IF(ISNUMBER(VLOOKUP($D85,'Visu totale'!$D:$DH,CK$1,0)),CJ85-VLOOKUP($D85,'Visu totale'!$D:$DH,CK$1,0),IF(LEFT(VLOOKUP($D85,'Visu totale'!$D:$DH,CK$1,0),1)="V",IF(CJ85&gt;=INDEX('[1]Définition Maintenances'!$G:$G,MATCH($A85,'[1]Définition Maintenances'!$K:$K,0)),CJ85,INDEX('[1]Définition Maintenances'!$G:$G,MATCH($A85,'[1]Définition Maintenances'!$K:$K,0))+CJ85),CJ85))</f>
        <v>844</v>
      </c>
      <c r="CL85" s="25">
        <f>IF(ISNUMBER(VLOOKUP($D85,'Visu totale'!$D:$DH,CL$1,0)),CK85-VLOOKUP($D85,'Visu totale'!$D:$DH,CL$1,0),IF(LEFT(VLOOKUP($D85,'Visu totale'!$D:$DH,CL$1,0),1)="V",IF(CK85&gt;=INDEX('[1]Définition Maintenances'!$G:$G,MATCH($A85,'[1]Définition Maintenances'!$K:$K,0)),CK85,INDEX('[1]Définition Maintenances'!$G:$G,MATCH($A85,'[1]Définition Maintenances'!$K:$K,0))+CK85),CK85))</f>
        <v>844</v>
      </c>
      <c r="CM85" s="26">
        <f>IF(ISNUMBER(VLOOKUP($D85,'Visu totale'!$D:$DH,CM$1,0)),CL85-VLOOKUP($D85,'Visu totale'!$D:$DH,CM$1,0),IF(LEFT(VLOOKUP($D85,'Visu totale'!$D:$DH,CM$1,0),1)="V",IF(CL85&gt;=INDEX('[1]Définition Maintenances'!$G:$G,MATCH($A85,'[1]Définition Maintenances'!$K:$K,0)),CL85,INDEX('[1]Définition Maintenances'!$G:$G,MATCH($A85,'[1]Définition Maintenances'!$K:$K,0))+CL85),CL85))</f>
        <v>844</v>
      </c>
      <c r="CN85" s="26">
        <f>IF(ISNUMBER(VLOOKUP($D85,'Visu totale'!$D:$DH,CN$1,0)),CM85-VLOOKUP($D85,'Visu totale'!$D:$DH,CN$1,0),IF(LEFT(VLOOKUP($D85,'Visu totale'!$D:$DH,CN$1,0),1)="V",IF(CM85&gt;=INDEX('[1]Définition Maintenances'!$G:$G,MATCH($A85,'[1]Définition Maintenances'!$K:$K,0)),CM85,INDEX('[1]Définition Maintenances'!$G:$G,MATCH($A85,'[1]Définition Maintenances'!$K:$K,0))+CM85),CM85))</f>
        <v>844</v>
      </c>
      <c r="CO85" s="26">
        <f>IF(ISNUMBER(VLOOKUP($D85,'Visu totale'!$D:$DH,CO$1,0)),CN85-VLOOKUP($D85,'Visu totale'!$D:$DH,CO$1,0),IF(LEFT(VLOOKUP($D85,'Visu totale'!$D:$DH,CO$1,0),1)="V",IF(CN85&gt;=INDEX('[1]Définition Maintenances'!$G:$G,MATCH($A85,'[1]Définition Maintenances'!$K:$K,0)),CN85,INDEX('[1]Définition Maintenances'!$G:$G,MATCH($A85,'[1]Définition Maintenances'!$K:$K,0))+CN85),CN85))</f>
        <v>844</v>
      </c>
      <c r="CP85" s="26">
        <f>IF(ISNUMBER(VLOOKUP($D85,'Visu totale'!$D:$DH,CP$1,0)),CO85-VLOOKUP($D85,'Visu totale'!$D:$DH,CP$1,0),IF(LEFT(VLOOKUP($D85,'Visu totale'!$D:$DH,CP$1,0),1)="V",IF(CO85&gt;=INDEX('[1]Définition Maintenances'!$G:$G,MATCH($A85,'[1]Définition Maintenances'!$K:$K,0)),CO85,INDEX('[1]Définition Maintenances'!$G:$G,MATCH($A85,'[1]Définition Maintenances'!$K:$K,0))+CO85),CO85))</f>
        <v>844</v>
      </c>
      <c r="CQ85" s="26">
        <f>IF(ISNUMBER(VLOOKUP($D85,'Visu totale'!$D:$DH,CQ$1,0)),CP85-VLOOKUP($D85,'Visu totale'!$D:$DH,CQ$1,0),IF(LEFT(VLOOKUP($D85,'Visu totale'!$D:$DH,CQ$1,0),1)="V",IF(CP85&gt;=INDEX('[1]Définition Maintenances'!$G:$G,MATCH($A85,'[1]Définition Maintenances'!$K:$K,0)),CP85,INDEX('[1]Définition Maintenances'!$G:$G,MATCH($A85,'[1]Définition Maintenances'!$K:$K,0))+CP85),CP85))</f>
        <v>844</v>
      </c>
      <c r="CR85" s="26">
        <f>IF(ISNUMBER(VLOOKUP($D85,'Visu totale'!$D:$DH,CR$1,0)),CQ85-VLOOKUP($D85,'Visu totale'!$D:$DH,CR$1,0),IF(LEFT(VLOOKUP($D85,'Visu totale'!$D:$DH,CR$1,0),1)="V",IF(CQ85&gt;=INDEX('[1]Définition Maintenances'!$G:$G,MATCH($A85,'[1]Définition Maintenances'!$K:$K,0)),CQ85,INDEX('[1]Définition Maintenances'!$G:$G,MATCH($A85,'[1]Définition Maintenances'!$K:$K,0))+CQ85),CQ85))</f>
        <v>844</v>
      </c>
      <c r="CS85" s="26">
        <f>IF(ISNUMBER(VLOOKUP($D85,'Visu totale'!$D:$DH,CS$1,0)),CR85-VLOOKUP($D85,'Visu totale'!$D:$DH,CS$1,0),IF(LEFT(VLOOKUP($D85,'Visu totale'!$D:$DH,CS$1,0),1)="V",IF(CR85&gt;=INDEX('[1]Définition Maintenances'!$G:$G,MATCH($A85,'[1]Définition Maintenances'!$K:$K,0)),CR85,INDEX('[1]Définition Maintenances'!$G:$G,MATCH($A85,'[1]Définition Maintenances'!$K:$K,0))+CR85),CR85))</f>
        <v>844</v>
      </c>
      <c r="CT85" s="26">
        <f>IF(ISNUMBER(VLOOKUP($D85,'Visu totale'!$D:$DH,CT$1,0)),CS85-VLOOKUP($D85,'Visu totale'!$D:$DH,CT$1,0),IF(LEFT(VLOOKUP($D85,'Visu totale'!$D:$DH,CT$1,0),1)="V",IF(CS85&gt;=INDEX('[1]Définition Maintenances'!$G:$G,MATCH($A85,'[1]Définition Maintenances'!$K:$K,0)),CS85,INDEX('[1]Définition Maintenances'!$G:$G,MATCH($A85,'[1]Définition Maintenances'!$K:$K,0))+CS85),CS85))</f>
        <v>844</v>
      </c>
      <c r="CU85" s="26">
        <f>IF(ISNUMBER(VLOOKUP($D85,'Visu totale'!$D:$DH,CU$1,0)),CT85-VLOOKUP($D85,'Visu totale'!$D:$DH,CU$1,0),IF(LEFT(VLOOKUP($D85,'Visu totale'!$D:$DH,CU$1,0),1)="V",IF(CT85&gt;=INDEX('[1]Définition Maintenances'!$G:$G,MATCH($A85,'[1]Définition Maintenances'!$K:$K,0)),CT85,INDEX('[1]Définition Maintenances'!$G:$G,MATCH($A85,'[1]Définition Maintenances'!$K:$K,0))+CT85),CT85))</f>
        <v>844</v>
      </c>
      <c r="CV85" s="26">
        <f>IF(ISNUMBER(VLOOKUP($D85,'Visu totale'!$D:$DH,CV$1,0)),CU85-VLOOKUP($D85,'Visu totale'!$D:$DH,CV$1,0),IF(LEFT(VLOOKUP($D85,'Visu totale'!$D:$DH,CV$1,0),1)="V",IF(CU85&gt;=INDEX('[1]Définition Maintenances'!$G:$G,MATCH($A85,'[1]Définition Maintenances'!$K:$K,0)),CU85,INDEX('[1]Définition Maintenances'!$G:$G,MATCH($A85,'[1]Définition Maintenances'!$K:$K,0))+CU85),CU85))</f>
        <v>844</v>
      </c>
      <c r="CW85" s="27">
        <f>IF(ISNUMBER(VLOOKUP($D85,'Visu totale'!$D:$DH,CW$1,0)),CV85-VLOOKUP($D85,'Visu totale'!$D:$DH,CW$1,0),IF(LEFT(VLOOKUP($D85,'Visu totale'!$D:$DH,CW$1,0),1)="V",IF(CV85&gt;=INDEX('[1]Définition Maintenances'!$G:$G,MATCH($A85,'[1]Définition Maintenances'!$K:$K,0)),CV85,INDEX('[1]Définition Maintenances'!$G:$G,MATCH($A85,'[1]Définition Maintenances'!$K:$K,0))+CV85),CV85))</f>
        <v>844</v>
      </c>
      <c r="CX85" s="25">
        <f>IF(ISNUMBER(VLOOKUP($D85,'Visu totale'!$D:$DH,CX$1,0)),CW85-VLOOKUP($D85,'Visu totale'!$D:$DH,CX$1,0),IF(LEFT(VLOOKUP($D85,'Visu totale'!$D:$DH,CX$1,0),1)="V",IF(CW85&gt;=INDEX('[1]Définition Maintenances'!$G:$G,MATCH($A85,'[1]Définition Maintenances'!$K:$K,0)),CW85,INDEX('[1]Définition Maintenances'!$G:$G,MATCH($A85,'[1]Définition Maintenances'!$K:$K,0))+CW85),CW85))</f>
        <v>844</v>
      </c>
      <c r="CY85" s="26">
        <f>IF(ISNUMBER(VLOOKUP($D85,'Visu totale'!$D:$DH,CY$1,0)),CX85-VLOOKUP($D85,'Visu totale'!$D:$DH,CY$1,0),IF(LEFT(VLOOKUP($D85,'Visu totale'!$D:$DH,CY$1,0),1)="V",IF(CX85&gt;=INDEX('[1]Définition Maintenances'!$G:$G,MATCH($A85,'[1]Définition Maintenances'!$K:$K,0)),CX85,INDEX('[1]Définition Maintenances'!$G:$G,MATCH($A85,'[1]Définition Maintenances'!$K:$K,0))+CX85),CX85))</f>
        <v>844</v>
      </c>
      <c r="CZ85" s="26">
        <f>IF(ISNUMBER(VLOOKUP($D85,'Visu totale'!$D:$DH,CZ$1,0)),CY85-VLOOKUP($D85,'Visu totale'!$D:$DH,CZ$1,0),IF(LEFT(VLOOKUP($D85,'Visu totale'!$D:$DH,CZ$1,0),1)="V",IF(CY85&gt;=INDEX('[1]Définition Maintenances'!$G:$G,MATCH($A85,'[1]Définition Maintenances'!$K:$K,0)),CY85,INDEX('[1]Définition Maintenances'!$G:$G,MATCH($A85,'[1]Définition Maintenances'!$K:$K,0))+CY85),CY85))</f>
        <v>844</v>
      </c>
      <c r="DA85" s="26">
        <f>IF(ISNUMBER(VLOOKUP($D85,'Visu totale'!$D:$DH,DA$1,0)),CZ85-VLOOKUP($D85,'Visu totale'!$D:$DH,DA$1,0),IF(LEFT(VLOOKUP($D85,'Visu totale'!$D:$DH,DA$1,0),1)="V",IF(CZ85&gt;=INDEX('[1]Définition Maintenances'!$G:$G,MATCH($A85,'[1]Définition Maintenances'!$K:$K,0)),CZ85,INDEX('[1]Définition Maintenances'!$G:$G,MATCH($A85,'[1]Définition Maintenances'!$K:$K,0))+CZ85),CZ85))</f>
        <v>844</v>
      </c>
      <c r="DB85" s="26">
        <f>IF(ISNUMBER(VLOOKUP($D85,'Visu totale'!$D:$DH,DB$1,0)),DA85-VLOOKUP($D85,'Visu totale'!$D:$DH,DB$1,0),IF(LEFT(VLOOKUP($D85,'Visu totale'!$D:$DH,DB$1,0),1)="V",IF(DA85&gt;=INDEX('[1]Définition Maintenances'!$G:$G,MATCH($A85,'[1]Définition Maintenances'!$K:$K,0)),DA85,INDEX('[1]Définition Maintenances'!$G:$G,MATCH($A85,'[1]Définition Maintenances'!$K:$K,0))+DA85),DA85))</f>
        <v>844</v>
      </c>
      <c r="DC85" s="26">
        <f>IF(ISNUMBER(VLOOKUP($D85,'Visu totale'!$D:$DH,DC$1,0)),DB85-VLOOKUP($D85,'Visu totale'!$D:$DH,DC$1,0),IF(LEFT(VLOOKUP($D85,'Visu totale'!$D:$DH,DC$1,0),1)="V",IF(DB85&gt;=INDEX('[1]Définition Maintenances'!$G:$G,MATCH($A85,'[1]Définition Maintenances'!$K:$K,0)),DB85,INDEX('[1]Définition Maintenances'!$G:$G,MATCH($A85,'[1]Définition Maintenances'!$K:$K,0))+DB85),DB85))</f>
        <v>844</v>
      </c>
      <c r="DD85" s="26">
        <f>IF(ISNUMBER(VLOOKUP($D85,'Visu totale'!$D:$DH,DD$1,0)),DC85-VLOOKUP($D85,'Visu totale'!$D:$DH,DD$1,0),IF(LEFT(VLOOKUP($D85,'Visu totale'!$D:$DH,DD$1,0),1)="V",IF(DC85&gt;=INDEX('[1]Définition Maintenances'!$G:$G,MATCH($A85,'[1]Définition Maintenances'!$K:$K,0)),DC85,INDEX('[1]Définition Maintenances'!$G:$G,MATCH($A85,'[1]Définition Maintenances'!$K:$K,0))+DC85),DC85))</f>
        <v>844</v>
      </c>
      <c r="DE85" s="26">
        <f>IF(ISNUMBER(VLOOKUP($D85,'Visu totale'!$D:$DH,DE$1,0)),DD85-VLOOKUP($D85,'Visu totale'!$D:$DH,DE$1,0),IF(LEFT(VLOOKUP($D85,'Visu totale'!$D:$DH,DE$1,0),1)="V",IF(DD85&gt;=INDEX('[1]Définition Maintenances'!$G:$G,MATCH($A85,'[1]Définition Maintenances'!$K:$K,0)),DD85,INDEX('[1]Définition Maintenances'!$G:$G,MATCH($A85,'[1]Définition Maintenances'!$K:$K,0))+DD85),DD85))</f>
        <v>844</v>
      </c>
      <c r="DF85" s="26">
        <f>IF(ISNUMBER(VLOOKUP($D85,'Visu totale'!$D:$DH,DF$1,0)),DE85-VLOOKUP($D85,'Visu totale'!$D:$DH,DF$1,0),IF(LEFT(VLOOKUP($D85,'Visu totale'!$D:$DH,DF$1,0),1)="V",IF(DE85&gt;=INDEX('[1]Définition Maintenances'!$G:$G,MATCH($A85,'[1]Définition Maintenances'!$K:$K,0)),DE85,INDEX('[1]Définition Maintenances'!$G:$G,MATCH($A85,'[1]Définition Maintenances'!$K:$K,0))+DE85),DE85))</f>
        <v>844</v>
      </c>
      <c r="DG85" s="26">
        <f>IF(ISNUMBER(VLOOKUP($D85,'Visu totale'!$D:$DH,DG$1,0)),DF85-VLOOKUP($D85,'Visu totale'!$D:$DH,DG$1,0),IF(LEFT(VLOOKUP($D85,'Visu totale'!$D:$DH,DG$1,0),1)="V",IF(DF85&gt;=INDEX('[1]Définition Maintenances'!$G:$G,MATCH($A85,'[1]Définition Maintenances'!$K:$K,0)),DF85,INDEX('[1]Définition Maintenances'!$G:$G,MATCH($A85,'[1]Définition Maintenances'!$K:$K,0))+DF85),DF85))</f>
        <v>844</v>
      </c>
      <c r="DH85" s="26">
        <f>IF(ISNUMBER(VLOOKUP($D85,'Visu totale'!$D:$DH,DH$1,0)),DG85-VLOOKUP($D85,'Visu totale'!$D:$DH,DH$1,0),IF(LEFT(VLOOKUP($D85,'Visu totale'!$D:$DH,DH$1,0),1)="V",IF(DG85&gt;=INDEX('[1]Définition Maintenances'!$G:$G,MATCH($A85,'[1]Définition Maintenances'!$K:$K,0)),DG85,INDEX('[1]Définition Maintenances'!$G:$G,MATCH($A85,'[1]Définition Maintenances'!$K:$K,0))+DG85),DG85))</f>
        <v>844</v>
      </c>
      <c r="DI85" s="27">
        <f>IF(ISNUMBER(VLOOKUP($D85,'Visu totale'!$D:$DH,DI$1,0)),DH85-VLOOKUP($D85,'Visu totale'!$D:$DH,DI$1,0),IF(LEFT(VLOOKUP($D85,'Visu totale'!$D:$DH,DI$1,0),1)="V",IF(DH85&gt;=INDEX('[1]Définition Maintenances'!$G:$G,MATCH($A85,'[1]Définition Maintenances'!$K:$K,0)),DH85,INDEX('[1]Définition Maintenances'!$G:$G,MATCH($A85,'[1]Définition Maintenances'!$K:$K,0))+DH85),DH85))</f>
        <v>844</v>
      </c>
    </row>
    <row r="86" spans="1:113" x14ac:dyDescent="0.25">
      <c r="A86" s="13" t="str">
        <f t="shared" si="2"/>
        <v>V30C</v>
      </c>
      <c r="B86" s="13" t="str">
        <f>VLOOKUP(D86,'[1]Avions (Potentiels)'!$B$2:$H$128,7,FALSE)</f>
        <v>V30</v>
      </c>
      <c r="C86" s="13"/>
      <c r="D86" s="16" t="s">
        <v>89</v>
      </c>
      <c r="E86" s="13">
        <f>IFERROR(VALUE(SUBSTITUTE(VLOOKUP(D86,'[1]Avions (Potentiels)'!$B:$E,4,0),".",",")),VALUE(VLOOKUP(D86,'[1]Avions (Potentiels)'!$B:$E,4,0)))</f>
        <v>167</v>
      </c>
      <c r="F86" s="25">
        <f>IF(ISNUMBER(VLOOKUP($D86,'Visu totale'!$D:$DH,F$1,0)),E86-VLOOKUP($D86,'Visu totale'!$D:$DH,F$1,0),IF(LEFT(VLOOKUP($D86,'Visu totale'!$D:$DH,F$1,0),1)="V",IF(E86&gt;=INDEX('[1]Définition Maintenances'!$G:$G,MATCH($A86,'[1]Définition Maintenances'!$K:$K,0)),E86,INDEX('[1]Définition Maintenances'!$G:$G,MATCH($A86,'[1]Définition Maintenances'!$K:$K,0))+E86),E86))</f>
        <v>167</v>
      </c>
      <c r="G86" s="26">
        <f>IF(ISNUMBER(VLOOKUP($D86,'Visu totale'!$D:$DH,G$1,0)),F86-VLOOKUP($D86,'Visu totale'!$D:$DH,G$1,0),IF(LEFT(VLOOKUP($D86,'Visu totale'!$D:$DH,G$1,0),1)="V",IF(F86&gt;=INDEX('[1]Définition Maintenances'!$G:$G,MATCH($A86,'[1]Définition Maintenances'!$K:$K,0)),F86,INDEX('[1]Définition Maintenances'!$G:$G,MATCH($A86,'[1]Définition Maintenances'!$K:$K,0))+F86),F86))</f>
        <v>167</v>
      </c>
      <c r="H86" s="26">
        <f>IF(ISNUMBER(VLOOKUP($D86,'Visu totale'!$D:$DH,H$1,0)),G86-VLOOKUP($D86,'Visu totale'!$D:$DH,H$1,0),IF(LEFT(VLOOKUP($D86,'Visu totale'!$D:$DH,H$1,0),1)="V",IF(G86&gt;=INDEX('[1]Définition Maintenances'!$G:$G,MATCH($A86,'[1]Définition Maintenances'!$K:$K,0)),G86,INDEX('[1]Définition Maintenances'!$G:$G,MATCH($A86,'[1]Définition Maintenances'!$K:$K,0))+G86),G86))</f>
        <v>167</v>
      </c>
      <c r="I86" s="26">
        <f>IF(ISNUMBER(VLOOKUP($D86,'Visu totale'!$D:$DH,I$1,0)),H86-VLOOKUP($D86,'Visu totale'!$D:$DH,I$1,0),IF(LEFT(VLOOKUP($D86,'Visu totale'!$D:$DH,I$1,0),1)="V",IF(H86&gt;=INDEX('[1]Définition Maintenances'!$G:$G,MATCH($A86,'[1]Définition Maintenances'!$K:$K,0)),H86,INDEX('[1]Définition Maintenances'!$G:$G,MATCH($A86,'[1]Définition Maintenances'!$K:$K,0))+H86),H86))</f>
        <v>167</v>
      </c>
      <c r="J86" s="26">
        <f>IF(ISNUMBER(VLOOKUP($D86,'Visu totale'!$D:$DH,J$1,0)),I86-VLOOKUP($D86,'Visu totale'!$D:$DH,J$1,0),IF(LEFT(VLOOKUP($D86,'Visu totale'!$D:$DH,J$1,0),1)="V",IF(I86&gt;=INDEX('[1]Définition Maintenances'!$G:$G,MATCH($A86,'[1]Définition Maintenances'!$K:$K,0)),I86,INDEX('[1]Définition Maintenances'!$G:$G,MATCH($A86,'[1]Définition Maintenances'!$K:$K,0))+I86),I86))</f>
        <v>167</v>
      </c>
      <c r="K86" s="26">
        <f>IF(ISNUMBER(VLOOKUP($D86,'Visu totale'!$D:$DH,K$1,0)),J86-VLOOKUP($D86,'Visu totale'!$D:$DH,K$1,0),IF(LEFT(VLOOKUP($D86,'Visu totale'!$D:$DH,K$1,0),1)="V",IF(J86&gt;=INDEX('[1]Définition Maintenances'!$G:$G,MATCH($A86,'[1]Définition Maintenances'!$K:$K,0)),J86,INDEX('[1]Définition Maintenances'!$G:$G,MATCH($A86,'[1]Définition Maintenances'!$K:$K,0))+J86),J86))</f>
        <v>167</v>
      </c>
      <c r="L86" s="26">
        <f>IF(ISNUMBER(VLOOKUP($D86,'Visu totale'!$D:$DH,L$1,0)),K86-VLOOKUP($D86,'Visu totale'!$D:$DH,L$1,0),IF(LEFT(VLOOKUP($D86,'Visu totale'!$D:$DH,L$1,0),1)="V",IF(K86&gt;=INDEX('[1]Définition Maintenances'!$G:$G,MATCH($A86,'[1]Définition Maintenances'!$K:$K,0)),K86,INDEX('[1]Définition Maintenances'!$G:$G,MATCH($A86,'[1]Définition Maintenances'!$K:$K,0))+K86),K86))</f>
        <v>167</v>
      </c>
      <c r="M86" s="26">
        <f>IF(ISNUMBER(VLOOKUP($D86,'Visu totale'!$D:$DH,M$1,0)),L86-VLOOKUP($D86,'Visu totale'!$D:$DH,M$1,0),IF(LEFT(VLOOKUP($D86,'Visu totale'!$D:$DH,M$1,0),1)="V",IF(L86&gt;=INDEX('[1]Définition Maintenances'!$G:$G,MATCH($A86,'[1]Définition Maintenances'!$K:$K,0)),L86,INDEX('[1]Définition Maintenances'!$G:$G,MATCH($A86,'[1]Définition Maintenances'!$K:$K,0))+L86),L86))</f>
        <v>167</v>
      </c>
      <c r="N86" s="26">
        <f>IF(ISNUMBER(VLOOKUP($D86,'Visu totale'!$D:$DH,N$1,0)),M86-VLOOKUP($D86,'Visu totale'!$D:$DH,N$1,0),IF(LEFT(VLOOKUP($D86,'Visu totale'!$D:$DH,N$1,0),1)="V",IF(M86&gt;=INDEX('[1]Définition Maintenances'!$G:$G,MATCH($A86,'[1]Définition Maintenances'!$K:$K,0)),M86,INDEX('[1]Définition Maintenances'!$G:$G,MATCH($A86,'[1]Définition Maintenances'!$K:$K,0))+M86),M86))</f>
        <v>167</v>
      </c>
      <c r="O86" s="26">
        <f>IF(ISNUMBER(VLOOKUP($D86,'Visu totale'!$D:$DH,O$1,0)),N86-VLOOKUP($D86,'Visu totale'!$D:$DH,O$1,0),IF(LEFT(VLOOKUP($D86,'Visu totale'!$D:$DH,O$1,0),1)="V",IF(N86&gt;=INDEX('[1]Définition Maintenances'!$G:$G,MATCH($A86,'[1]Définition Maintenances'!$K:$K,0)),N86,INDEX('[1]Définition Maintenances'!$G:$G,MATCH($A86,'[1]Définition Maintenances'!$K:$K,0))+N86),N86))</f>
        <v>167</v>
      </c>
      <c r="P86" s="26">
        <f>IF(ISNUMBER(VLOOKUP($D86,'Visu totale'!$D:$DH,P$1,0)),O86-VLOOKUP($D86,'Visu totale'!$D:$DH,P$1,0),IF(LEFT(VLOOKUP($D86,'Visu totale'!$D:$DH,P$1,0),1)="V",IF(O86&gt;=INDEX('[1]Définition Maintenances'!$G:$G,MATCH($A86,'[1]Définition Maintenances'!$K:$K,0)),O86,INDEX('[1]Définition Maintenances'!$G:$G,MATCH($A86,'[1]Définition Maintenances'!$K:$K,0))+O86),O86))</f>
        <v>167</v>
      </c>
      <c r="Q86" s="27">
        <f>IF(ISNUMBER(VLOOKUP($D86,'Visu totale'!$D:$DH,Q$1,0)),P86-VLOOKUP($D86,'Visu totale'!$D:$DH,Q$1,0),IF(LEFT(VLOOKUP($D86,'Visu totale'!$D:$DH,Q$1,0),1)="V",IF(P86&gt;=INDEX('[1]Définition Maintenances'!$G:$G,MATCH($A86,'[1]Définition Maintenances'!$K:$K,0)),P86,INDEX('[1]Définition Maintenances'!$G:$G,MATCH($A86,'[1]Définition Maintenances'!$K:$K,0))+P86),P86))</f>
        <v>167</v>
      </c>
      <c r="R86" s="25">
        <f>IF(ISNUMBER(VLOOKUP($D86,'Visu totale'!$D:$DH,R$1,0)),Q86-VLOOKUP($D86,'Visu totale'!$D:$DH,R$1,0),IF(LEFT(VLOOKUP($D86,'Visu totale'!$D:$DH,R$1,0),1)="V",IF(Q86&gt;=INDEX('[1]Définition Maintenances'!$G:$G,MATCH($A86,'[1]Définition Maintenances'!$K:$K,0)),Q86,INDEX('[1]Définition Maintenances'!$G:$G,MATCH($A86,'[1]Définition Maintenances'!$K:$K,0))+Q86),Q86))</f>
        <v>167</v>
      </c>
      <c r="S86" s="26">
        <f>IF(ISNUMBER(VLOOKUP($D86,'Visu totale'!$D:$DH,S$1,0)),R86-VLOOKUP($D86,'Visu totale'!$D:$DH,S$1,0),IF(LEFT(VLOOKUP($D86,'Visu totale'!$D:$DH,S$1,0),1)="V",IF(R86&gt;=INDEX('[1]Définition Maintenances'!$G:$G,MATCH($A86,'[1]Définition Maintenances'!$K:$K,0)),R86,INDEX('[1]Définition Maintenances'!$G:$G,MATCH($A86,'[1]Définition Maintenances'!$K:$K,0))+R86),R86))</f>
        <v>167</v>
      </c>
      <c r="T86" s="26">
        <f>IF(ISNUMBER(VLOOKUP($D86,'Visu totale'!$D:$DH,T$1,0)),S86-VLOOKUP($D86,'Visu totale'!$D:$DH,T$1,0),IF(LEFT(VLOOKUP($D86,'Visu totale'!$D:$DH,T$1,0),1)="V",IF(S86&gt;=INDEX('[1]Définition Maintenances'!$G:$G,MATCH($A86,'[1]Définition Maintenances'!$K:$K,0)),S86,INDEX('[1]Définition Maintenances'!$G:$G,MATCH($A86,'[1]Définition Maintenances'!$K:$K,0))+S86),S86))</f>
        <v>167</v>
      </c>
      <c r="U86" s="26">
        <f>IF(ISNUMBER(VLOOKUP($D86,'Visu totale'!$D:$DH,U$1,0)),T86-VLOOKUP($D86,'Visu totale'!$D:$DH,U$1,0),IF(LEFT(VLOOKUP($D86,'Visu totale'!$D:$DH,U$1,0),1)="V",IF(T86&gt;=INDEX('[1]Définition Maintenances'!$G:$G,MATCH($A86,'[1]Définition Maintenances'!$K:$K,0)),T86,INDEX('[1]Définition Maintenances'!$G:$G,MATCH($A86,'[1]Définition Maintenances'!$K:$K,0))+T86),T86))</f>
        <v>167</v>
      </c>
      <c r="V86" s="26">
        <f>IF(ISNUMBER(VLOOKUP($D86,'Visu totale'!$D:$DH,V$1,0)),U86-VLOOKUP($D86,'Visu totale'!$D:$DH,V$1,0),IF(LEFT(VLOOKUP($D86,'Visu totale'!$D:$DH,V$1,0),1)="V",IF(U86&gt;=INDEX('[1]Définition Maintenances'!$G:$G,MATCH($A86,'[1]Définition Maintenances'!$K:$K,0)),U86,INDEX('[1]Définition Maintenances'!$G:$G,MATCH($A86,'[1]Définition Maintenances'!$K:$K,0))+U86),U86))</f>
        <v>167</v>
      </c>
      <c r="W86" s="26">
        <f>IF(ISNUMBER(VLOOKUP($D86,'Visu totale'!$D:$DH,W$1,0)),V86-VLOOKUP($D86,'Visu totale'!$D:$DH,W$1,0),IF(LEFT(VLOOKUP($D86,'Visu totale'!$D:$DH,W$1,0),1)="V",IF(V86&gt;=INDEX('[1]Définition Maintenances'!$G:$G,MATCH($A86,'[1]Définition Maintenances'!$K:$K,0)),V86,INDEX('[1]Définition Maintenances'!$G:$G,MATCH($A86,'[1]Définition Maintenances'!$K:$K,0))+V86),V86))</f>
        <v>167</v>
      </c>
      <c r="X86" s="26">
        <f>IF(ISNUMBER(VLOOKUP($D86,'Visu totale'!$D:$DH,X$1,0)),W86-VLOOKUP($D86,'Visu totale'!$D:$DH,X$1,0),IF(LEFT(VLOOKUP($D86,'Visu totale'!$D:$DH,X$1,0),1)="V",IF(W86&gt;=INDEX('[1]Définition Maintenances'!$G:$G,MATCH($A86,'[1]Définition Maintenances'!$K:$K,0)),W86,INDEX('[1]Définition Maintenances'!$G:$G,MATCH($A86,'[1]Définition Maintenances'!$K:$K,0))+W86),W86))</f>
        <v>167</v>
      </c>
      <c r="Y86" s="26">
        <f>IF(ISNUMBER(VLOOKUP($D86,'Visu totale'!$D:$DH,Y$1,0)),X86-VLOOKUP($D86,'Visu totale'!$D:$DH,Y$1,0),IF(LEFT(VLOOKUP($D86,'Visu totale'!$D:$DH,Y$1,0),1)="V",IF(X86&gt;=INDEX('[1]Définition Maintenances'!$G:$G,MATCH($A86,'[1]Définition Maintenances'!$K:$K,0)),X86,INDEX('[1]Définition Maintenances'!$G:$G,MATCH($A86,'[1]Définition Maintenances'!$K:$K,0))+X86),X86))</f>
        <v>167</v>
      </c>
      <c r="Z86" s="26">
        <f>IF(ISNUMBER(VLOOKUP($D86,'Visu totale'!$D:$DH,Z$1,0)),Y86-VLOOKUP($D86,'Visu totale'!$D:$DH,Z$1,0),IF(LEFT(VLOOKUP($D86,'Visu totale'!$D:$DH,Z$1,0),1)="V",IF(Y86&gt;=INDEX('[1]Définition Maintenances'!$G:$G,MATCH($A86,'[1]Définition Maintenances'!$K:$K,0)),Y86,INDEX('[1]Définition Maintenances'!$G:$G,MATCH($A86,'[1]Définition Maintenances'!$K:$K,0))+Y86),Y86))</f>
        <v>167</v>
      </c>
      <c r="AA86" s="26">
        <f>IF(ISNUMBER(VLOOKUP($D86,'Visu totale'!$D:$DH,AA$1,0)),Z86-VLOOKUP($D86,'Visu totale'!$D:$DH,AA$1,0),IF(LEFT(VLOOKUP($D86,'Visu totale'!$D:$DH,AA$1,0),1)="V",IF(Z86&gt;=INDEX('[1]Définition Maintenances'!$G:$G,MATCH($A86,'[1]Définition Maintenances'!$K:$K,0)),Z86,INDEX('[1]Définition Maintenances'!$G:$G,MATCH($A86,'[1]Définition Maintenances'!$K:$K,0))+Z86),Z86))</f>
        <v>167</v>
      </c>
      <c r="AB86" s="26">
        <f>IF(ISNUMBER(VLOOKUP($D86,'Visu totale'!$D:$DH,AB$1,0)),AA86-VLOOKUP($D86,'Visu totale'!$D:$DH,AB$1,0),IF(LEFT(VLOOKUP($D86,'Visu totale'!$D:$DH,AB$1,0),1)="V",IF(AA86&gt;=INDEX('[1]Définition Maintenances'!$G:$G,MATCH($A86,'[1]Définition Maintenances'!$K:$K,0)),AA86,INDEX('[1]Définition Maintenances'!$G:$G,MATCH($A86,'[1]Définition Maintenances'!$K:$K,0))+AA86),AA86))</f>
        <v>167</v>
      </c>
      <c r="AC86" s="27">
        <f>IF(ISNUMBER(VLOOKUP($D86,'Visu totale'!$D:$DH,AC$1,0)),AB86-VLOOKUP($D86,'Visu totale'!$D:$DH,AC$1,0),IF(LEFT(VLOOKUP($D86,'Visu totale'!$D:$DH,AC$1,0),1)="V",IF(AB86&gt;=INDEX('[1]Définition Maintenances'!$G:$G,MATCH($A86,'[1]Définition Maintenances'!$K:$K,0)),AB86,INDEX('[1]Définition Maintenances'!$G:$G,MATCH($A86,'[1]Définition Maintenances'!$K:$K,0))+AB86),AB86))</f>
        <v>167</v>
      </c>
      <c r="AD86" s="25">
        <f>IF(ISNUMBER(VLOOKUP($D86,'Visu totale'!$D:$DH,AD$1,0)),AC86-VLOOKUP($D86,'Visu totale'!$D:$DH,AD$1,0),IF(LEFT(VLOOKUP($D86,'Visu totale'!$D:$DH,AD$1,0),1)="V",IF(AC86&gt;=INDEX('[1]Définition Maintenances'!$G:$G,MATCH($A86,'[1]Définition Maintenances'!$K:$K,0)),AC86,INDEX('[1]Définition Maintenances'!$G:$G,MATCH($A86,'[1]Définition Maintenances'!$K:$K,0))+AC86),AC86))</f>
        <v>167</v>
      </c>
      <c r="AE86" s="26">
        <f>IF(ISNUMBER(VLOOKUP($D86,'Visu totale'!$D:$DH,AE$1,0)),AD86-VLOOKUP($D86,'Visu totale'!$D:$DH,AE$1,0),IF(LEFT(VLOOKUP($D86,'Visu totale'!$D:$DH,AE$1,0),1)="V",IF(AD86&gt;=INDEX('[1]Définition Maintenances'!$G:$G,MATCH($A86,'[1]Définition Maintenances'!$K:$K,0)),AD86,INDEX('[1]Définition Maintenances'!$G:$G,MATCH($A86,'[1]Définition Maintenances'!$K:$K,0))+AD86),AD86))</f>
        <v>167</v>
      </c>
      <c r="AF86" s="26">
        <f>IF(ISNUMBER(VLOOKUP($D86,'Visu totale'!$D:$DH,AF$1,0)),AE86-VLOOKUP($D86,'Visu totale'!$D:$DH,AF$1,0),IF(LEFT(VLOOKUP($D86,'Visu totale'!$D:$DH,AF$1,0),1)="V",IF(AE86&gt;=INDEX('[1]Définition Maintenances'!$G:$G,MATCH($A86,'[1]Définition Maintenances'!$K:$K,0)),AE86,INDEX('[1]Définition Maintenances'!$G:$G,MATCH($A86,'[1]Définition Maintenances'!$K:$K,0))+AE86),AE86))</f>
        <v>167</v>
      </c>
      <c r="AG86" s="26">
        <f>IF(ISNUMBER(VLOOKUP($D86,'Visu totale'!$D:$DH,AG$1,0)),AF86-VLOOKUP($D86,'Visu totale'!$D:$DH,AG$1,0),IF(LEFT(VLOOKUP($D86,'Visu totale'!$D:$DH,AG$1,0),1)="V",IF(AF86&gt;=INDEX('[1]Définition Maintenances'!$G:$G,MATCH($A86,'[1]Définition Maintenances'!$K:$K,0)),AF86,INDEX('[1]Définition Maintenances'!$G:$G,MATCH($A86,'[1]Définition Maintenances'!$K:$K,0))+AF86),AF86))</f>
        <v>167</v>
      </c>
      <c r="AH86" s="26">
        <f>IF(ISNUMBER(VLOOKUP($D86,'Visu totale'!$D:$DH,AH$1,0)),AG86-VLOOKUP($D86,'Visu totale'!$D:$DH,AH$1,0),IF(LEFT(VLOOKUP($D86,'Visu totale'!$D:$DH,AH$1,0),1)="V",IF(AG86&gt;=INDEX('[1]Définition Maintenances'!$G:$G,MATCH($A86,'[1]Définition Maintenances'!$K:$K,0)),AG86,INDEX('[1]Définition Maintenances'!$G:$G,MATCH($A86,'[1]Définition Maintenances'!$K:$K,0))+AG86),AG86))</f>
        <v>167</v>
      </c>
      <c r="AI86" s="26">
        <f>IF(ISNUMBER(VLOOKUP($D86,'Visu totale'!$D:$DH,AI$1,0)),AH86-VLOOKUP($D86,'Visu totale'!$D:$DH,AI$1,0),IF(LEFT(VLOOKUP($D86,'Visu totale'!$D:$DH,AI$1,0),1)="V",IF(AH86&gt;=INDEX('[1]Définition Maintenances'!$G:$G,MATCH($A86,'[1]Définition Maintenances'!$K:$K,0)),AH86,INDEX('[1]Définition Maintenances'!$G:$G,MATCH($A86,'[1]Définition Maintenances'!$K:$K,0))+AH86),AH86))</f>
        <v>167</v>
      </c>
      <c r="AJ86" s="26">
        <f>IF(ISNUMBER(VLOOKUP($D86,'Visu totale'!$D:$DH,AJ$1,0)),AI86-VLOOKUP($D86,'Visu totale'!$D:$DH,AJ$1,0),IF(LEFT(VLOOKUP($D86,'Visu totale'!$D:$DH,AJ$1,0),1)="V",IF(AI86&gt;=INDEX('[1]Définition Maintenances'!$G:$G,MATCH($A86,'[1]Définition Maintenances'!$K:$K,0)),AI86,INDEX('[1]Définition Maintenances'!$G:$G,MATCH($A86,'[1]Définition Maintenances'!$K:$K,0))+AI86),AI86))</f>
        <v>167</v>
      </c>
      <c r="AK86" s="26">
        <f>IF(ISNUMBER(VLOOKUP($D86,'Visu totale'!$D:$DH,AK$1,0)),AJ86-VLOOKUP($D86,'Visu totale'!$D:$DH,AK$1,0),IF(LEFT(VLOOKUP($D86,'Visu totale'!$D:$DH,AK$1,0),1)="V",IF(AJ86&gt;=INDEX('[1]Définition Maintenances'!$G:$G,MATCH($A86,'[1]Définition Maintenances'!$K:$K,0)),AJ86,INDEX('[1]Définition Maintenances'!$G:$G,MATCH($A86,'[1]Définition Maintenances'!$K:$K,0))+AJ86),AJ86))</f>
        <v>167</v>
      </c>
      <c r="AL86" s="26">
        <f>IF(ISNUMBER(VLOOKUP($D86,'Visu totale'!$D:$DH,AL$1,0)),AK86-VLOOKUP($D86,'Visu totale'!$D:$DH,AL$1,0),IF(LEFT(VLOOKUP($D86,'Visu totale'!$D:$DH,AL$1,0),1)="V",IF(AK86&gt;=INDEX('[1]Définition Maintenances'!$G:$G,MATCH($A86,'[1]Définition Maintenances'!$K:$K,0)),AK86,INDEX('[1]Définition Maintenances'!$G:$G,MATCH($A86,'[1]Définition Maintenances'!$K:$K,0))+AK86),AK86))</f>
        <v>167</v>
      </c>
      <c r="AM86" s="26">
        <f>IF(ISNUMBER(VLOOKUP($D86,'Visu totale'!$D:$DH,AM$1,0)),AL86-VLOOKUP($D86,'Visu totale'!$D:$DH,AM$1,0),IF(LEFT(VLOOKUP($D86,'Visu totale'!$D:$DH,AM$1,0),1)="V",IF(AL86&gt;=INDEX('[1]Définition Maintenances'!$G:$G,MATCH($A86,'[1]Définition Maintenances'!$K:$K,0)),AL86,INDEX('[1]Définition Maintenances'!$G:$G,MATCH($A86,'[1]Définition Maintenances'!$K:$K,0))+AL86),AL86))</f>
        <v>167</v>
      </c>
      <c r="AN86" s="26">
        <f>IF(ISNUMBER(VLOOKUP($D86,'Visu totale'!$D:$DH,AN$1,0)),AM86-VLOOKUP($D86,'Visu totale'!$D:$DH,AN$1,0),IF(LEFT(VLOOKUP($D86,'Visu totale'!$D:$DH,AN$1,0),1)="V",IF(AM86&gt;=INDEX('[1]Définition Maintenances'!$G:$G,MATCH($A86,'[1]Définition Maintenances'!$K:$K,0)),AM86,INDEX('[1]Définition Maintenances'!$G:$G,MATCH($A86,'[1]Définition Maintenances'!$K:$K,0))+AM86),AM86))</f>
        <v>167</v>
      </c>
      <c r="AO86" s="27">
        <f>IF(ISNUMBER(VLOOKUP($D86,'Visu totale'!$D:$DH,AO$1,0)),AN86-VLOOKUP($D86,'Visu totale'!$D:$DH,AO$1,0),IF(LEFT(VLOOKUP($D86,'Visu totale'!$D:$DH,AO$1,0),1)="V",IF(AN86&gt;=INDEX('[1]Définition Maintenances'!$G:$G,MATCH($A86,'[1]Définition Maintenances'!$K:$K,0)),AN86,INDEX('[1]Définition Maintenances'!$G:$G,MATCH($A86,'[1]Définition Maintenances'!$K:$K,0))+AN86),AN86))</f>
        <v>167</v>
      </c>
      <c r="AP86" s="25">
        <f>IF(ISNUMBER(VLOOKUP($D86,'Visu totale'!$D:$DH,AP$1,0)),AO86-VLOOKUP($D86,'Visu totale'!$D:$DH,AP$1,0),IF(LEFT(VLOOKUP($D86,'Visu totale'!$D:$DH,AP$1,0),1)="V",IF(AO86&gt;=INDEX('[1]Définition Maintenances'!$G:$G,MATCH($A86,'[1]Définition Maintenances'!$K:$K,0)),AO86,INDEX('[1]Définition Maintenances'!$G:$G,MATCH($A86,'[1]Définition Maintenances'!$K:$K,0))+AO86),AO86))</f>
        <v>167</v>
      </c>
      <c r="AQ86" s="26">
        <f>IF(ISNUMBER(VLOOKUP($D86,'Visu totale'!$D:$DH,AQ$1,0)),AP86-VLOOKUP($D86,'Visu totale'!$D:$DH,AQ$1,0),IF(LEFT(VLOOKUP($D86,'Visu totale'!$D:$DH,AQ$1,0),1)="V",IF(AP86&gt;=INDEX('[1]Définition Maintenances'!$G:$G,MATCH($A86,'[1]Définition Maintenances'!$K:$K,0)),AP86,INDEX('[1]Définition Maintenances'!$G:$G,MATCH($A86,'[1]Définition Maintenances'!$K:$K,0))+AP86),AP86))</f>
        <v>167</v>
      </c>
      <c r="AR86" s="26">
        <f>IF(ISNUMBER(VLOOKUP($D86,'Visu totale'!$D:$DH,AR$1,0)),AQ86-VLOOKUP($D86,'Visu totale'!$D:$DH,AR$1,0),IF(LEFT(VLOOKUP($D86,'Visu totale'!$D:$DH,AR$1,0),1)="V",IF(AQ86&gt;=INDEX('[1]Définition Maintenances'!$G:$G,MATCH($A86,'[1]Définition Maintenances'!$K:$K,0)),AQ86,INDEX('[1]Définition Maintenances'!$G:$G,MATCH($A86,'[1]Définition Maintenances'!$K:$K,0))+AQ86),AQ86))</f>
        <v>167</v>
      </c>
      <c r="AS86" s="26">
        <f>IF(ISNUMBER(VLOOKUP($D86,'Visu totale'!$D:$DH,AS$1,0)),AR86-VLOOKUP($D86,'Visu totale'!$D:$DH,AS$1,0),IF(LEFT(VLOOKUP($D86,'Visu totale'!$D:$DH,AS$1,0),1)="V",IF(AR86&gt;=INDEX('[1]Définition Maintenances'!$G:$G,MATCH($A86,'[1]Définition Maintenances'!$K:$K,0)),AR86,INDEX('[1]Définition Maintenances'!$G:$G,MATCH($A86,'[1]Définition Maintenances'!$K:$K,0))+AR86),AR86))</f>
        <v>167</v>
      </c>
      <c r="AT86" s="26">
        <f>IF(ISNUMBER(VLOOKUP($D86,'Visu totale'!$D:$DH,AT$1,0)),AS86-VLOOKUP($D86,'Visu totale'!$D:$DH,AT$1,0),IF(LEFT(VLOOKUP($D86,'Visu totale'!$D:$DH,AT$1,0),1)="V",IF(AS86&gt;=INDEX('[1]Définition Maintenances'!$G:$G,MATCH($A86,'[1]Définition Maintenances'!$K:$K,0)),AS86,INDEX('[1]Définition Maintenances'!$G:$G,MATCH($A86,'[1]Définition Maintenances'!$K:$K,0))+AS86),AS86))</f>
        <v>167</v>
      </c>
      <c r="AU86" s="26">
        <f>IF(ISNUMBER(VLOOKUP($D86,'Visu totale'!$D:$DH,AU$1,0)),AT86-VLOOKUP($D86,'Visu totale'!$D:$DH,AU$1,0),IF(LEFT(VLOOKUP($D86,'Visu totale'!$D:$DH,AU$1,0),1)="V",IF(AT86&gt;=INDEX('[1]Définition Maintenances'!$G:$G,MATCH($A86,'[1]Définition Maintenances'!$K:$K,0)),AT86,INDEX('[1]Définition Maintenances'!$G:$G,MATCH($A86,'[1]Définition Maintenances'!$K:$K,0))+AT86),AT86))</f>
        <v>167</v>
      </c>
      <c r="AV86" s="26">
        <f>IF(ISNUMBER(VLOOKUP($D86,'Visu totale'!$D:$DH,AV$1,0)),AU86-VLOOKUP($D86,'Visu totale'!$D:$DH,AV$1,0),IF(LEFT(VLOOKUP($D86,'Visu totale'!$D:$DH,AV$1,0),1)="V",IF(AU86&gt;=INDEX('[1]Définition Maintenances'!$G:$G,MATCH($A86,'[1]Définition Maintenances'!$K:$K,0)),AU86,INDEX('[1]Définition Maintenances'!$G:$G,MATCH($A86,'[1]Définition Maintenances'!$K:$K,0))+AU86),AU86))</f>
        <v>167</v>
      </c>
      <c r="AW86" s="26">
        <f>IF(ISNUMBER(VLOOKUP($D86,'Visu totale'!$D:$DH,AW$1,0)),AV86-VLOOKUP($D86,'Visu totale'!$D:$DH,AW$1,0),IF(LEFT(VLOOKUP($D86,'Visu totale'!$D:$DH,AW$1,0),1)="V",IF(AV86&gt;=INDEX('[1]Définition Maintenances'!$G:$G,MATCH($A86,'[1]Définition Maintenances'!$K:$K,0)),AV86,INDEX('[1]Définition Maintenances'!$G:$G,MATCH($A86,'[1]Définition Maintenances'!$K:$K,0))+AV86),AV86))</f>
        <v>167</v>
      </c>
      <c r="AX86" s="26">
        <f>IF(ISNUMBER(VLOOKUP($D86,'Visu totale'!$D:$DH,AX$1,0)),AW86-VLOOKUP($D86,'Visu totale'!$D:$DH,AX$1,0),IF(LEFT(VLOOKUP($D86,'Visu totale'!$D:$DH,AX$1,0),1)="V",IF(AW86&gt;=INDEX('[1]Définition Maintenances'!$G:$G,MATCH($A86,'[1]Définition Maintenances'!$K:$K,0)),AW86,INDEX('[1]Définition Maintenances'!$G:$G,MATCH($A86,'[1]Définition Maintenances'!$K:$K,0))+AW86),AW86))</f>
        <v>167</v>
      </c>
      <c r="AY86" s="26">
        <f>IF(ISNUMBER(VLOOKUP($D86,'Visu totale'!$D:$DH,AY$1,0)),AX86-VLOOKUP($D86,'Visu totale'!$D:$DH,AY$1,0),IF(LEFT(VLOOKUP($D86,'Visu totale'!$D:$DH,AY$1,0),1)="V",IF(AX86&gt;=INDEX('[1]Définition Maintenances'!$G:$G,MATCH($A86,'[1]Définition Maintenances'!$K:$K,0)),AX86,INDEX('[1]Définition Maintenances'!$G:$G,MATCH($A86,'[1]Définition Maintenances'!$K:$K,0))+AX86),AX86))</f>
        <v>167</v>
      </c>
      <c r="AZ86" s="26">
        <f>IF(ISNUMBER(VLOOKUP($D86,'Visu totale'!$D:$DH,AZ$1,0)),AY86-VLOOKUP($D86,'Visu totale'!$D:$DH,AZ$1,0),IF(LEFT(VLOOKUP($D86,'Visu totale'!$D:$DH,AZ$1,0),1)="V",IF(AY86&gt;=INDEX('[1]Définition Maintenances'!$G:$G,MATCH($A86,'[1]Définition Maintenances'!$K:$K,0)),AY86,INDEX('[1]Définition Maintenances'!$G:$G,MATCH($A86,'[1]Définition Maintenances'!$K:$K,0))+AY86),AY86))</f>
        <v>167</v>
      </c>
      <c r="BA86" s="27">
        <f>IF(ISNUMBER(VLOOKUP($D86,'Visu totale'!$D:$DH,BA$1,0)),AZ86-VLOOKUP($D86,'Visu totale'!$D:$DH,BA$1,0),IF(LEFT(VLOOKUP($D86,'Visu totale'!$D:$DH,BA$1,0),1)="V",IF(AZ86&gt;=INDEX('[1]Définition Maintenances'!$G:$G,MATCH($A86,'[1]Définition Maintenances'!$K:$K,0)),AZ86,INDEX('[1]Définition Maintenances'!$G:$G,MATCH($A86,'[1]Définition Maintenances'!$K:$K,0))+AZ86),AZ86))</f>
        <v>167</v>
      </c>
      <c r="BB86" s="25">
        <f>IF(ISNUMBER(VLOOKUP($D86,'Visu totale'!$D:$DH,BB$1,0)),BA86-VLOOKUP($D86,'Visu totale'!$D:$DH,BB$1,0),IF(LEFT(VLOOKUP($D86,'Visu totale'!$D:$DH,BB$1,0),1)="V",IF(BA86&gt;=INDEX('[1]Définition Maintenances'!$G:$G,MATCH($A86,'[1]Définition Maintenances'!$K:$K,0)),BA86,INDEX('[1]Définition Maintenances'!$G:$G,MATCH($A86,'[1]Définition Maintenances'!$K:$K,0))+BA86),BA86))</f>
        <v>167</v>
      </c>
      <c r="BC86" s="26">
        <f>IF(ISNUMBER(VLOOKUP($D86,'Visu totale'!$D:$DH,BC$1,0)),BB86-VLOOKUP($D86,'Visu totale'!$D:$DH,BC$1,0),IF(LEFT(VLOOKUP($D86,'Visu totale'!$D:$DH,BC$1,0),1)="V",IF(BB86&gt;=INDEX('[1]Définition Maintenances'!$G:$G,MATCH($A86,'[1]Définition Maintenances'!$K:$K,0)),BB86,INDEX('[1]Définition Maintenances'!$G:$G,MATCH($A86,'[1]Définition Maintenances'!$K:$K,0))+BB86),BB86))</f>
        <v>167</v>
      </c>
      <c r="BD86" s="26">
        <f>IF(ISNUMBER(VLOOKUP($D86,'Visu totale'!$D:$DH,BD$1,0)),BC86-VLOOKUP($D86,'Visu totale'!$D:$DH,BD$1,0),IF(LEFT(VLOOKUP($D86,'Visu totale'!$D:$DH,BD$1,0),1)="V",IF(BC86&gt;=INDEX('[1]Définition Maintenances'!$G:$G,MATCH($A86,'[1]Définition Maintenances'!$K:$K,0)),BC86,INDEX('[1]Définition Maintenances'!$G:$G,MATCH($A86,'[1]Définition Maintenances'!$K:$K,0))+BC86),BC86))</f>
        <v>167</v>
      </c>
      <c r="BE86" s="26">
        <f>IF(ISNUMBER(VLOOKUP($D86,'Visu totale'!$D:$DH,BE$1,0)),BD86-VLOOKUP($D86,'Visu totale'!$D:$DH,BE$1,0),IF(LEFT(VLOOKUP($D86,'Visu totale'!$D:$DH,BE$1,0),1)="V",IF(BD86&gt;=INDEX('[1]Définition Maintenances'!$G:$G,MATCH($A86,'[1]Définition Maintenances'!$K:$K,0)),BD86,INDEX('[1]Définition Maintenances'!$G:$G,MATCH($A86,'[1]Définition Maintenances'!$K:$K,0))+BD86),BD86))</f>
        <v>167</v>
      </c>
      <c r="BF86" s="26">
        <f>IF(ISNUMBER(VLOOKUP($D86,'Visu totale'!$D:$DH,BF$1,0)),BE86-VLOOKUP($D86,'Visu totale'!$D:$DH,BF$1,0),IF(LEFT(VLOOKUP($D86,'Visu totale'!$D:$DH,BF$1,0),1)="V",IF(BE86&gt;=INDEX('[1]Définition Maintenances'!$G:$G,MATCH($A86,'[1]Définition Maintenances'!$K:$K,0)),BE86,INDEX('[1]Définition Maintenances'!$G:$G,MATCH($A86,'[1]Définition Maintenances'!$K:$K,0))+BE86),BE86))</f>
        <v>167</v>
      </c>
      <c r="BG86" s="26">
        <f>IF(ISNUMBER(VLOOKUP($D86,'Visu totale'!$D:$DH,BG$1,0)),BF86-VLOOKUP($D86,'Visu totale'!$D:$DH,BG$1,0),IF(LEFT(VLOOKUP($D86,'Visu totale'!$D:$DH,BG$1,0),1)="V",IF(BF86&gt;=INDEX('[1]Définition Maintenances'!$G:$G,MATCH($A86,'[1]Définition Maintenances'!$K:$K,0)),BF86,INDEX('[1]Définition Maintenances'!$G:$G,MATCH($A86,'[1]Définition Maintenances'!$K:$K,0))+BF86),BF86))</f>
        <v>167</v>
      </c>
      <c r="BH86" s="26">
        <f>IF(ISNUMBER(VLOOKUP($D86,'Visu totale'!$D:$DH,BH$1,0)),BG86-VLOOKUP($D86,'Visu totale'!$D:$DH,BH$1,0),IF(LEFT(VLOOKUP($D86,'Visu totale'!$D:$DH,BH$1,0),1)="V",IF(BG86&gt;=INDEX('[1]Définition Maintenances'!$G:$G,MATCH($A86,'[1]Définition Maintenances'!$K:$K,0)),BG86,INDEX('[1]Définition Maintenances'!$G:$G,MATCH($A86,'[1]Définition Maintenances'!$K:$K,0))+BG86),BG86))</f>
        <v>167</v>
      </c>
      <c r="BI86" s="26">
        <f>IF(ISNUMBER(VLOOKUP($D86,'Visu totale'!$D:$DH,BI$1,0)),BH86-VLOOKUP($D86,'Visu totale'!$D:$DH,BI$1,0),IF(LEFT(VLOOKUP($D86,'Visu totale'!$D:$DH,BI$1,0),1)="V",IF(BH86&gt;=INDEX('[1]Définition Maintenances'!$G:$G,MATCH($A86,'[1]Définition Maintenances'!$K:$K,0)),BH86,INDEX('[1]Définition Maintenances'!$G:$G,MATCH($A86,'[1]Définition Maintenances'!$K:$K,0))+BH86),BH86))</f>
        <v>167</v>
      </c>
      <c r="BJ86" s="26">
        <f>IF(ISNUMBER(VLOOKUP($D86,'Visu totale'!$D:$DH,BJ$1,0)),BI86-VLOOKUP($D86,'Visu totale'!$D:$DH,BJ$1,0),IF(LEFT(VLOOKUP($D86,'Visu totale'!$D:$DH,BJ$1,0),1)="V",IF(BI86&gt;=INDEX('[1]Définition Maintenances'!$G:$G,MATCH($A86,'[1]Définition Maintenances'!$K:$K,0)),BI86,INDEX('[1]Définition Maintenances'!$G:$G,MATCH($A86,'[1]Définition Maintenances'!$K:$K,0))+BI86),BI86))</f>
        <v>167</v>
      </c>
      <c r="BK86" s="26">
        <f>IF(ISNUMBER(VLOOKUP($D86,'Visu totale'!$D:$DH,BK$1,0)),BJ86-VLOOKUP($D86,'Visu totale'!$D:$DH,BK$1,0),IF(LEFT(VLOOKUP($D86,'Visu totale'!$D:$DH,BK$1,0),1)="V",IF(BJ86&gt;=INDEX('[1]Définition Maintenances'!$G:$G,MATCH($A86,'[1]Définition Maintenances'!$K:$K,0)),BJ86,INDEX('[1]Définition Maintenances'!$G:$G,MATCH($A86,'[1]Définition Maintenances'!$K:$K,0))+BJ86),BJ86))</f>
        <v>167</v>
      </c>
      <c r="BL86" s="26">
        <f>IF(ISNUMBER(VLOOKUP($D86,'Visu totale'!$D:$DH,BL$1,0)),BK86-VLOOKUP($D86,'Visu totale'!$D:$DH,BL$1,0),IF(LEFT(VLOOKUP($D86,'Visu totale'!$D:$DH,BL$1,0),1)="V",IF(BK86&gt;=INDEX('[1]Définition Maintenances'!$G:$G,MATCH($A86,'[1]Définition Maintenances'!$K:$K,0)),BK86,INDEX('[1]Définition Maintenances'!$G:$G,MATCH($A86,'[1]Définition Maintenances'!$K:$K,0))+BK86),BK86))</f>
        <v>167</v>
      </c>
      <c r="BM86" s="27">
        <f>IF(ISNUMBER(VLOOKUP($D86,'Visu totale'!$D:$DH,BM$1,0)),BL86-VLOOKUP($D86,'Visu totale'!$D:$DH,BM$1,0),IF(LEFT(VLOOKUP($D86,'Visu totale'!$D:$DH,BM$1,0),1)="V",IF(BL86&gt;=INDEX('[1]Définition Maintenances'!$G:$G,MATCH($A86,'[1]Définition Maintenances'!$K:$K,0)),BL86,INDEX('[1]Définition Maintenances'!$G:$G,MATCH($A86,'[1]Définition Maintenances'!$K:$K,0))+BL86),BL86))</f>
        <v>167</v>
      </c>
      <c r="BN86" s="25">
        <f>IF(ISNUMBER(VLOOKUP($D86,'Visu totale'!$D:$DH,BN$1,0)),BM86-VLOOKUP($D86,'Visu totale'!$D:$DH,BN$1,0),IF(LEFT(VLOOKUP($D86,'Visu totale'!$D:$DH,BN$1,0),1)="V",IF(BM86&gt;=INDEX('[1]Définition Maintenances'!$G:$G,MATCH($A86,'[1]Définition Maintenances'!$K:$K,0)),BM86,INDEX('[1]Définition Maintenances'!$G:$G,MATCH($A86,'[1]Définition Maintenances'!$K:$K,0))+BM86),BM86))</f>
        <v>167</v>
      </c>
      <c r="BO86" s="26">
        <f>IF(ISNUMBER(VLOOKUP($D86,'Visu totale'!$D:$DH,BO$1,0)),BN86-VLOOKUP($D86,'Visu totale'!$D:$DH,BO$1,0),IF(LEFT(VLOOKUP($D86,'Visu totale'!$D:$DH,BO$1,0),1)="V",IF(BN86&gt;=INDEX('[1]Définition Maintenances'!$G:$G,MATCH($A86,'[1]Définition Maintenances'!$K:$K,0)),BN86,INDEX('[1]Définition Maintenances'!$G:$G,MATCH($A86,'[1]Définition Maintenances'!$K:$K,0))+BN86),BN86))</f>
        <v>167</v>
      </c>
      <c r="BP86" s="26">
        <f>IF(ISNUMBER(VLOOKUP($D86,'Visu totale'!$D:$DH,BP$1,0)),BO86-VLOOKUP($D86,'Visu totale'!$D:$DH,BP$1,0),IF(LEFT(VLOOKUP($D86,'Visu totale'!$D:$DH,BP$1,0),1)="V",IF(BO86&gt;=INDEX('[1]Définition Maintenances'!$G:$G,MATCH($A86,'[1]Définition Maintenances'!$K:$K,0)),BO86,INDEX('[1]Définition Maintenances'!$G:$G,MATCH($A86,'[1]Définition Maintenances'!$K:$K,0))+BO86),BO86))</f>
        <v>167</v>
      </c>
      <c r="BQ86" s="26">
        <f>IF(ISNUMBER(VLOOKUP($D86,'Visu totale'!$D:$DH,BQ$1,0)),BP86-VLOOKUP($D86,'Visu totale'!$D:$DH,BQ$1,0),IF(LEFT(VLOOKUP($D86,'Visu totale'!$D:$DH,BQ$1,0),1)="V",IF(BP86&gt;=INDEX('[1]Définition Maintenances'!$G:$G,MATCH($A86,'[1]Définition Maintenances'!$K:$K,0)),BP86,INDEX('[1]Définition Maintenances'!$G:$G,MATCH($A86,'[1]Définition Maintenances'!$K:$K,0))+BP86),BP86))</f>
        <v>167</v>
      </c>
      <c r="BR86" s="26">
        <f>IF(ISNUMBER(VLOOKUP($D86,'Visu totale'!$D:$DH,BR$1,0)),BQ86-VLOOKUP($D86,'Visu totale'!$D:$DH,BR$1,0),IF(LEFT(VLOOKUP($D86,'Visu totale'!$D:$DH,BR$1,0),1)="V",IF(BQ86&gt;=INDEX('[1]Définition Maintenances'!$G:$G,MATCH($A86,'[1]Définition Maintenances'!$K:$K,0)),BQ86,INDEX('[1]Définition Maintenances'!$G:$G,MATCH($A86,'[1]Définition Maintenances'!$K:$K,0))+BQ86),BQ86))</f>
        <v>167</v>
      </c>
      <c r="BS86" s="26">
        <f>IF(ISNUMBER(VLOOKUP($D86,'Visu totale'!$D:$DH,BS$1,0)),BR86-VLOOKUP($D86,'Visu totale'!$D:$DH,BS$1,0),IF(LEFT(VLOOKUP($D86,'Visu totale'!$D:$DH,BS$1,0),1)="V",IF(BR86&gt;=INDEX('[1]Définition Maintenances'!$G:$G,MATCH($A86,'[1]Définition Maintenances'!$K:$K,0)),BR86,INDEX('[1]Définition Maintenances'!$G:$G,MATCH($A86,'[1]Définition Maintenances'!$K:$K,0))+BR86),BR86))</f>
        <v>167</v>
      </c>
      <c r="BT86" s="26">
        <f>IF(ISNUMBER(VLOOKUP($D86,'Visu totale'!$D:$DH,BT$1,0)),BS86-VLOOKUP($D86,'Visu totale'!$D:$DH,BT$1,0),IF(LEFT(VLOOKUP($D86,'Visu totale'!$D:$DH,BT$1,0),1)="V",IF(BS86&gt;=INDEX('[1]Définition Maintenances'!$G:$G,MATCH($A86,'[1]Définition Maintenances'!$K:$K,0)),BS86,INDEX('[1]Définition Maintenances'!$G:$G,MATCH($A86,'[1]Définition Maintenances'!$K:$K,0))+BS86),BS86))</f>
        <v>167</v>
      </c>
      <c r="BU86" s="26">
        <f>IF(ISNUMBER(VLOOKUP($D86,'Visu totale'!$D:$DH,BU$1,0)),BT86-VLOOKUP($D86,'Visu totale'!$D:$DH,BU$1,0),IF(LEFT(VLOOKUP($D86,'Visu totale'!$D:$DH,BU$1,0),1)="V",IF(BT86&gt;=INDEX('[1]Définition Maintenances'!$G:$G,MATCH($A86,'[1]Définition Maintenances'!$K:$K,0)),BT86,INDEX('[1]Définition Maintenances'!$G:$G,MATCH($A86,'[1]Définition Maintenances'!$K:$K,0))+BT86),BT86))</f>
        <v>167</v>
      </c>
      <c r="BV86" s="26">
        <f>IF(ISNUMBER(VLOOKUP($D86,'Visu totale'!$D:$DH,BV$1,0)),BU86-VLOOKUP($D86,'Visu totale'!$D:$DH,BV$1,0),IF(LEFT(VLOOKUP($D86,'Visu totale'!$D:$DH,BV$1,0),1)="V",IF(BU86&gt;=INDEX('[1]Définition Maintenances'!$G:$G,MATCH($A86,'[1]Définition Maintenances'!$K:$K,0)),BU86,INDEX('[1]Définition Maintenances'!$G:$G,MATCH($A86,'[1]Définition Maintenances'!$K:$K,0))+BU86),BU86))</f>
        <v>167</v>
      </c>
      <c r="BW86" s="26">
        <f>IF(ISNUMBER(VLOOKUP($D86,'Visu totale'!$D:$DH,BW$1,0)),BV86-VLOOKUP($D86,'Visu totale'!$D:$DH,BW$1,0),IF(LEFT(VLOOKUP($D86,'Visu totale'!$D:$DH,BW$1,0),1)="V",IF(BV86&gt;=INDEX('[1]Définition Maintenances'!$G:$G,MATCH($A86,'[1]Définition Maintenances'!$K:$K,0)),BV86,INDEX('[1]Définition Maintenances'!$G:$G,MATCH($A86,'[1]Définition Maintenances'!$K:$K,0))+BV86),BV86))</f>
        <v>167</v>
      </c>
      <c r="BX86" s="26">
        <f>IF(ISNUMBER(VLOOKUP($D86,'Visu totale'!$D:$DH,BX$1,0)),BW86-VLOOKUP($D86,'Visu totale'!$D:$DH,BX$1,0),IF(LEFT(VLOOKUP($D86,'Visu totale'!$D:$DH,BX$1,0),1)="V",IF(BW86&gt;=INDEX('[1]Définition Maintenances'!$G:$G,MATCH($A86,'[1]Définition Maintenances'!$K:$K,0)),BW86,INDEX('[1]Définition Maintenances'!$G:$G,MATCH($A86,'[1]Définition Maintenances'!$K:$K,0))+BW86),BW86))</f>
        <v>167</v>
      </c>
      <c r="BY86" s="27">
        <f>IF(ISNUMBER(VLOOKUP($D86,'Visu totale'!$D:$DH,BY$1,0)),BX86-VLOOKUP($D86,'Visu totale'!$D:$DH,BY$1,0),IF(LEFT(VLOOKUP($D86,'Visu totale'!$D:$DH,BY$1,0),1)="V",IF(BX86&gt;=INDEX('[1]Définition Maintenances'!$G:$G,MATCH($A86,'[1]Définition Maintenances'!$K:$K,0)),BX86,INDEX('[1]Définition Maintenances'!$G:$G,MATCH($A86,'[1]Définition Maintenances'!$K:$K,0))+BX86),BX86))</f>
        <v>167</v>
      </c>
      <c r="BZ86" s="25">
        <f>IF(ISNUMBER(VLOOKUP($D86,'Visu totale'!$D:$DH,BZ$1,0)),BY86-VLOOKUP($D86,'Visu totale'!$D:$DH,BZ$1,0),IF(LEFT(VLOOKUP($D86,'Visu totale'!$D:$DH,BZ$1,0),1)="V",IF(BY86&gt;=INDEX('[1]Définition Maintenances'!$G:$G,MATCH($A86,'[1]Définition Maintenances'!$K:$K,0)),BY86,INDEX('[1]Définition Maintenances'!$G:$G,MATCH($A86,'[1]Définition Maintenances'!$K:$K,0))+BY86),BY86))</f>
        <v>167</v>
      </c>
      <c r="CA86" s="26">
        <f>IF(ISNUMBER(VLOOKUP($D86,'Visu totale'!$D:$DH,CA$1,0)),BZ86-VLOOKUP($D86,'Visu totale'!$D:$DH,CA$1,0),IF(LEFT(VLOOKUP($D86,'Visu totale'!$D:$DH,CA$1,0),1)="V",IF(BZ86&gt;=INDEX('[1]Définition Maintenances'!$G:$G,MATCH($A86,'[1]Définition Maintenances'!$K:$K,0)),BZ86,INDEX('[1]Définition Maintenances'!$G:$G,MATCH($A86,'[1]Définition Maintenances'!$K:$K,0))+BZ86),BZ86))</f>
        <v>167</v>
      </c>
      <c r="CB86" s="26">
        <f>IF(ISNUMBER(VLOOKUP($D86,'Visu totale'!$D:$DH,CB$1,0)),CA86-VLOOKUP($D86,'Visu totale'!$D:$DH,CB$1,0),IF(LEFT(VLOOKUP($D86,'Visu totale'!$D:$DH,CB$1,0),1)="V",IF(CA86&gt;=INDEX('[1]Définition Maintenances'!$G:$G,MATCH($A86,'[1]Définition Maintenances'!$K:$K,0)),CA86,INDEX('[1]Définition Maintenances'!$G:$G,MATCH($A86,'[1]Définition Maintenances'!$K:$K,0))+CA86),CA86))</f>
        <v>167</v>
      </c>
      <c r="CC86" s="26">
        <f>IF(ISNUMBER(VLOOKUP($D86,'Visu totale'!$D:$DH,CC$1,0)),CB86-VLOOKUP($D86,'Visu totale'!$D:$DH,CC$1,0),IF(LEFT(VLOOKUP($D86,'Visu totale'!$D:$DH,CC$1,0),1)="V",IF(CB86&gt;=INDEX('[1]Définition Maintenances'!$G:$G,MATCH($A86,'[1]Définition Maintenances'!$K:$K,0)),CB86,INDEX('[1]Définition Maintenances'!$G:$G,MATCH($A86,'[1]Définition Maintenances'!$K:$K,0))+CB86),CB86))</f>
        <v>167</v>
      </c>
      <c r="CD86" s="26">
        <f>IF(ISNUMBER(VLOOKUP($D86,'Visu totale'!$D:$DH,CD$1,0)),CC86-VLOOKUP($D86,'Visu totale'!$D:$DH,CD$1,0),IF(LEFT(VLOOKUP($D86,'Visu totale'!$D:$DH,CD$1,0),1)="V",IF(CC86&gt;=INDEX('[1]Définition Maintenances'!$G:$G,MATCH($A86,'[1]Définition Maintenances'!$K:$K,0)),CC86,INDEX('[1]Définition Maintenances'!$G:$G,MATCH($A86,'[1]Définition Maintenances'!$K:$K,0))+CC86),CC86))</f>
        <v>167</v>
      </c>
      <c r="CE86" s="26">
        <f>IF(ISNUMBER(VLOOKUP($D86,'Visu totale'!$D:$DH,CE$1,0)),CD86-VLOOKUP($D86,'Visu totale'!$D:$DH,CE$1,0),IF(LEFT(VLOOKUP($D86,'Visu totale'!$D:$DH,CE$1,0),1)="V",IF(CD86&gt;=INDEX('[1]Définition Maintenances'!$G:$G,MATCH($A86,'[1]Définition Maintenances'!$K:$K,0)),CD86,INDEX('[1]Définition Maintenances'!$G:$G,MATCH($A86,'[1]Définition Maintenances'!$K:$K,0))+CD86),CD86))</f>
        <v>167</v>
      </c>
      <c r="CF86" s="26">
        <f>IF(ISNUMBER(VLOOKUP($D86,'Visu totale'!$D:$DH,CF$1,0)),CE86-VLOOKUP($D86,'Visu totale'!$D:$DH,CF$1,0),IF(LEFT(VLOOKUP($D86,'Visu totale'!$D:$DH,CF$1,0),1)="V",IF(CE86&gt;=INDEX('[1]Définition Maintenances'!$G:$G,MATCH($A86,'[1]Définition Maintenances'!$K:$K,0)),CE86,INDEX('[1]Définition Maintenances'!$G:$G,MATCH($A86,'[1]Définition Maintenances'!$K:$K,0))+CE86),CE86))</f>
        <v>167</v>
      </c>
      <c r="CG86" s="26">
        <f>IF(ISNUMBER(VLOOKUP($D86,'Visu totale'!$D:$DH,CG$1,0)),CF86-VLOOKUP($D86,'Visu totale'!$D:$DH,CG$1,0),IF(LEFT(VLOOKUP($D86,'Visu totale'!$D:$DH,CG$1,0),1)="V",IF(CF86&gt;=INDEX('[1]Définition Maintenances'!$G:$G,MATCH($A86,'[1]Définition Maintenances'!$K:$K,0)),CF86,INDEX('[1]Définition Maintenances'!$G:$G,MATCH($A86,'[1]Définition Maintenances'!$K:$K,0))+CF86),CF86))</f>
        <v>167</v>
      </c>
      <c r="CH86" s="26">
        <f>IF(ISNUMBER(VLOOKUP($D86,'Visu totale'!$D:$DH,CH$1,0)),CG86-VLOOKUP($D86,'Visu totale'!$D:$DH,CH$1,0),IF(LEFT(VLOOKUP($D86,'Visu totale'!$D:$DH,CH$1,0),1)="V",IF(CG86&gt;=INDEX('[1]Définition Maintenances'!$G:$G,MATCH($A86,'[1]Définition Maintenances'!$K:$K,0)),CG86,INDEX('[1]Définition Maintenances'!$G:$G,MATCH($A86,'[1]Définition Maintenances'!$K:$K,0))+CG86),CG86))</f>
        <v>167</v>
      </c>
      <c r="CI86" s="26">
        <f>IF(ISNUMBER(VLOOKUP($D86,'Visu totale'!$D:$DH,CI$1,0)),CH86-VLOOKUP($D86,'Visu totale'!$D:$DH,CI$1,0),IF(LEFT(VLOOKUP($D86,'Visu totale'!$D:$DH,CI$1,0),1)="V",IF(CH86&gt;=INDEX('[1]Définition Maintenances'!$G:$G,MATCH($A86,'[1]Définition Maintenances'!$K:$K,0)),CH86,INDEX('[1]Définition Maintenances'!$G:$G,MATCH($A86,'[1]Définition Maintenances'!$K:$K,0))+CH86),CH86))</f>
        <v>167</v>
      </c>
      <c r="CJ86" s="26">
        <f>IF(ISNUMBER(VLOOKUP($D86,'Visu totale'!$D:$DH,CJ$1,0)),CI86-VLOOKUP($D86,'Visu totale'!$D:$DH,CJ$1,0),IF(LEFT(VLOOKUP($D86,'Visu totale'!$D:$DH,CJ$1,0),1)="V",IF(CI86&gt;=INDEX('[1]Définition Maintenances'!$G:$G,MATCH($A86,'[1]Définition Maintenances'!$K:$K,0)),CI86,INDEX('[1]Définition Maintenances'!$G:$G,MATCH($A86,'[1]Définition Maintenances'!$K:$K,0))+CI86),CI86))</f>
        <v>167</v>
      </c>
      <c r="CK86" s="27">
        <f>IF(ISNUMBER(VLOOKUP($D86,'Visu totale'!$D:$DH,CK$1,0)),CJ86-VLOOKUP($D86,'Visu totale'!$D:$DH,CK$1,0),IF(LEFT(VLOOKUP($D86,'Visu totale'!$D:$DH,CK$1,0),1)="V",IF(CJ86&gt;=INDEX('[1]Définition Maintenances'!$G:$G,MATCH($A86,'[1]Définition Maintenances'!$K:$K,0)),CJ86,INDEX('[1]Définition Maintenances'!$G:$G,MATCH($A86,'[1]Définition Maintenances'!$K:$K,0))+CJ86),CJ86))</f>
        <v>167</v>
      </c>
      <c r="CL86" s="25">
        <f>IF(ISNUMBER(VLOOKUP($D86,'Visu totale'!$D:$DH,CL$1,0)),CK86-VLOOKUP($D86,'Visu totale'!$D:$DH,CL$1,0),IF(LEFT(VLOOKUP($D86,'Visu totale'!$D:$DH,CL$1,0),1)="V",IF(CK86&gt;=INDEX('[1]Définition Maintenances'!$G:$G,MATCH($A86,'[1]Définition Maintenances'!$K:$K,0)),CK86,INDEX('[1]Définition Maintenances'!$G:$G,MATCH($A86,'[1]Définition Maintenances'!$K:$K,0))+CK86),CK86))</f>
        <v>167</v>
      </c>
      <c r="CM86" s="26">
        <f>IF(ISNUMBER(VLOOKUP($D86,'Visu totale'!$D:$DH,CM$1,0)),CL86-VLOOKUP($D86,'Visu totale'!$D:$DH,CM$1,0),IF(LEFT(VLOOKUP($D86,'Visu totale'!$D:$DH,CM$1,0),1)="V",IF(CL86&gt;=INDEX('[1]Définition Maintenances'!$G:$G,MATCH($A86,'[1]Définition Maintenances'!$K:$K,0)),CL86,INDEX('[1]Définition Maintenances'!$G:$G,MATCH($A86,'[1]Définition Maintenances'!$K:$K,0))+CL86),CL86))</f>
        <v>167</v>
      </c>
      <c r="CN86" s="26">
        <f>IF(ISNUMBER(VLOOKUP($D86,'Visu totale'!$D:$DH,CN$1,0)),CM86-VLOOKUP($D86,'Visu totale'!$D:$DH,CN$1,0),IF(LEFT(VLOOKUP($D86,'Visu totale'!$D:$DH,CN$1,0),1)="V",IF(CM86&gt;=INDEX('[1]Définition Maintenances'!$G:$G,MATCH($A86,'[1]Définition Maintenances'!$K:$K,0)),CM86,INDEX('[1]Définition Maintenances'!$G:$G,MATCH($A86,'[1]Définition Maintenances'!$K:$K,0))+CM86),CM86))</f>
        <v>167</v>
      </c>
      <c r="CO86" s="26">
        <f>IF(ISNUMBER(VLOOKUP($D86,'Visu totale'!$D:$DH,CO$1,0)),CN86-VLOOKUP($D86,'Visu totale'!$D:$DH,CO$1,0),IF(LEFT(VLOOKUP($D86,'Visu totale'!$D:$DH,CO$1,0),1)="V",IF(CN86&gt;=INDEX('[1]Définition Maintenances'!$G:$G,MATCH($A86,'[1]Définition Maintenances'!$K:$K,0)),CN86,INDEX('[1]Définition Maintenances'!$G:$G,MATCH($A86,'[1]Définition Maintenances'!$K:$K,0))+CN86),CN86))</f>
        <v>167</v>
      </c>
      <c r="CP86" s="26">
        <f>IF(ISNUMBER(VLOOKUP($D86,'Visu totale'!$D:$DH,CP$1,0)),CO86-VLOOKUP($D86,'Visu totale'!$D:$DH,CP$1,0),IF(LEFT(VLOOKUP($D86,'Visu totale'!$D:$DH,CP$1,0),1)="V",IF(CO86&gt;=INDEX('[1]Définition Maintenances'!$G:$G,MATCH($A86,'[1]Définition Maintenances'!$K:$K,0)),CO86,INDEX('[1]Définition Maintenances'!$G:$G,MATCH($A86,'[1]Définition Maintenances'!$K:$K,0))+CO86),CO86))</f>
        <v>167</v>
      </c>
      <c r="CQ86" s="26">
        <f>IF(ISNUMBER(VLOOKUP($D86,'Visu totale'!$D:$DH,CQ$1,0)),CP86-VLOOKUP($D86,'Visu totale'!$D:$DH,CQ$1,0),IF(LEFT(VLOOKUP($D86,'Visu totale'!$D:$DH,CQ$1,0),1)="V",IF(CP86&gt;=INDEX('[1]Définition Maintenances'!$G:$G,MATCH($A86,'[1]Définition Maintenances'!$K:$K,0)),CP86,INDEX('[1]Définition Maintenances'!$G:$G,MATCH($A86,'[1]Définition Maintenances'!$K:$K,0))+CP86),CP86))</f>
        <v>167</v>
      </c>
      <c r="CR86" s="26">
        <f>IF(ISNUMBER(VLOOKUP($D86,'Visu totale'!$D:$DH,CR$1,0)),CQ86-VLOOKUP($D86,'Visu totale'!$D:$DH,CR$1,0),IF(LEFT(VLOOKUP($D86,'Visu totale'!$D:$DH,CR$1,0),1)="V",IF(CQ86&gt;=INDEX('[1]Définition Maintenances'!$G:$G,MATCH($A86,'[1]Définition Maintenances'!$K:$K,0)),CQ86,INDEX('[1]Définition Maintenances'!$G:$G,MATCH($A86,'[1]Définition Maintenances'!$K:$K,0))+CQ86),CQ86))</f>
        <v>167</v>
      </c>
      <c r="CS86" s="26">
        <f>IF(ISNUMBER(VLOOKUP($D86,'Visu totale'!$D:$DH,CS$1,0)),CR86-VLOOKUP($D86,'Visu totale'!$D:$DH,CS$1,0),IF(LEFT(VLOOKUP($D86,'Visu totale'!$D:$DH,CS$1,0),1)="V",IF(CR86&gt;=INDEX('[1]Définition Maintenances'!$G:$G,MATCH($A86,'[1]Définition Maintenances'!$K:$K,0)),CR86,INDEX('[1]Définition Maintenances'!$G:$G,MATCH($A86,'[1]Définition Maintenances'!$K:$K,0))+CR86),CR86))</f>
        <v>167</v>
      </c>
      <c r="CT86" s="26">
        <f>IF(ISNUMBER(VLOOKUP($D86,'Visu totale'!$D:$DH,CT$1,0)),CS86-VLOOKUP($D86,'Visu totale'!$D:$DH,CT$1,0),IF(LEFT(VLOOKUP($D86,'Visu totale'!$D:$DH,CT$1,0),1)="V",IF(CS86&gt;=INDEX('[1]Définition Maintenances'!$G:$G,MATCH($A86,'[1]Définition Maintenances'!$K:$K,0)),CS86,INDEX('[1]Définition Maintenances'!$G:$G,MATCH($A86,'[1]Définition Maintenances'!$K:$K,0))+CS86),CS86))</f>
        <v>167</v>
      </c>
      <c r="CU86" s="26">
        <f>IF(ISNUMBER(VLOOKUP($D86,'Visu totale'!$D:$DH,CU$1,0)),CT86-VLOOKUP($D86,'Visu totale'!$D:$DH,CU$1,0),IF(LEFT(VLOOKUP($D86,'Visu totale'!$D:$DH,CU$1,0),1)="V",IF(CT86&gt;=INDEX('[1]Définition Maintenances'!$G:$G,MATCH($A86,'[1]Définition Maintenances'!$K:$K,0)),CT86,INDEX('[1]Définition Maintenances'!$G:$G,MATCH($A86,'[1]Définition Maintenances'!$K:$K,0))+CT86),CT86))</f>
        <v>167</v>
      </c>
      <c r="CV86" s="26">
        <f>IF(ISNUMBER(VLOOKUP($D86,'Visu totale'!$D:$DH,CV$1,0)),CU86-VLOOKUP($D86,'Visu totale'!$D:$DH,CV$1,0),IF(LEFT(VLOOKUP($D86,'Visu totale'!$D:$DH,CV$1,0),1)="V",IF(CU86&gt;=INDEX('[1]Définition Maintenances'!$G:$G,MATCH($A86,'[1]Définition Maintenances'!$K:$K,0)),CU86,INDEX('[1]Définition Maintenances'!$G:$G,MATCH($A86,'[1]Définition Maintenances'!$K:$K,0))+CU86),CU86))</f>
        <v>167</v>
      </c>
      <c r="CW86" s="27">
        <f>IF(ISNUMBER(VLOOKUP($D86,'Visu totale'!$D:$DH,CW$1,0)),CV86-VLOOKUP($D86,'Visu totale'!$D:$DH,CW$1,0),IF(LEFT(VLOOKUP($D86,'Visu totale'!$D:$DH,CW$1,0),1)="V",IF(CV86&gt;=INDEX('[1]Définition Maintenances'!$G:$G,MATCH($A86,'[1]Définition Maintenances'!$K:$K,0)),CV86,INDEX('[1]Définition Maintenances'!$G:$G,MATCH($A86,'[1]Définition Maintenances'!$K:$K,0))+CV86),CV86))</f>
        <v>167</v>
      </c>
      <c r="CX86" s="25">
        <f>IF(ISNUMBER(VLOOKUP($D86,'Visu totale'!$D:$DH,CX$1,0)),CW86-VLOOKUP($D86,'Visu totale'!$D:$DH,CX$1,0),IF(LEFT(VLOOKUP($D86,'Visu totale'!$D:$DH,CX$1,0),1)="V",IF(CW86&gt;=INDEX('[1]Définition Maintenances'!$G:$G,MATCH($A86,'[1]Définition Maintenances'!$K:$K,0)),CW86,INDEX('[1]Définition Maintenances'!$G:$G,MATCH($A86,'[1]Définition Maintenances'!$K:$K,0))+CW86),CW86))</f>
        <v>167</v>
      </c>
      <c r="CY86" s="26">
        <f>IF(ISNUMBER(VLOOKUP($D86,'Visu totale'!$D:$DH,CY$1,0)),CX86-VLOOKUP($D86,'Visu totale'!$D:$DH,CY$1,0),IF(LEFT(VLOOKUP($D86,'Visu totale'!$D:$DH,CY$1,0),1)="V",IF(CX86&gt;=INDEX('[1]Définition Maintenances'!$G:$G,MATCH($A86,'[1]Définition Maintenances'!$K:$K,0)),CX86,INDEX('[1]Définition Maintenances'!$G:$G,MATCH($A86,'[1]Définition Maintenances'!$K:$K,0))+CX86),CX86))</f>
        <v>167</v>
      </c>
      <c r="CZ86" s="26">
        <f>IF(ISNUMBER(VLOOKUP($D86,'Visu totale'!$D:$DH,CZ$1,0)),CY86-VLOOKUP($D86,'Visu totale'!$D:$DH,CZ$1,0),IF(LEFT(VLOOKUP($D86,'Visu totale'!$D:$DH,CZ$1,0),1)="V",IF(CY86&gt;=INDEX('[1]Définition Maintenances'!$G:$G,MATCH($A86,'[1]Définition Maintenances'!$K:$K,0)),CY86,INDEX('[1]Définition Maintenances'!$G:$G,MATCH($A86,'[1]Définition Maintenances'!$K:$K,0))+CY86),CY86))</f>
        <v>167</v>
      </c>
      <c r="DA86" s="26">
        <f>IF(ISNUMBER(VLOOKUP($D86,'Visu totale'!$D:$DH,DA$1,0)),CZ86-VLOOKUP($D86,'Visu totale'!$D:$DH,DA$1,0),IF(LEFT(VLOOKUP($D86,'Visu totale'!$D:$DH,DA$1,0),1)="V",IF(CZ86&gt;=INDEX('[1]Définition Maintenances'!$G:$G,MATCH($A86,'[1]Définition Maintenances'!$K:$K,0)),CZ86,INDEX('[1]Définition Maintenances'!$G:$G,MATCH($A86,'[1]Définition Maintenances'!$K:$K,0))+CZ86),CZ86))</f>
        <v>167</v>
      </c>
      <c r="DB86" s="26">
        <f>IF(ISNUMBER(VLOOKUP($D86,'Visu totale'!$D:$DH,DB$1,0)),DA86-VLOOKUP($D86,'Visu totale'!$D:$DH,DB$1,0),IF(LEFT(VLOOKUP($D86,'Visu totale'!$D:$DH,DB$1,0),1)="V",IF(DA86&gt;=INDEX('[1]Définition Maintenances'!$G:$G,MATCH($A86,'[1]Définition Maintenances'!$K:$K,0)),DA86,INDEX('[1]Définition Maintenances'!$G:$G,MATCH($A86,'[1]Définition Maintenances'!$K:$K,0))+DA86),DA86))</f>
        <v>167</v>
      </c>
      <c r="DC86" s="26">
        <f>IF(ISNUMBER(VLOOKUP($D86,'Visu totale'!$D:$DH,DC$1,0)),DB86-VLOOKUP($D86,'Visu totale'!$D:$DH,DC$1,0),IF(LEFT(VLOOKUP($D86,'Visu totale'!$D:$DH,DC$1,0),1)="V",IF(DB86&gt;=INDEX('[1]Définition Maintenances'!$G:$G,MATCH($A86,'[1]Définition Maintenances'!$K:$K,0)),DB86,INDEX('[1]Définition Maintenances'!$G:$G,MATCH($A86,'[1]Définition Maintenances'!$K:$K,0))+DB86),DB86))</f>
        <v>167</v>
      </c>
      <c r="DD86" s="26">
        <f>IF(ISNUMBER(VLOOKUP($D86,'Visu totale'!$D:$DH,DD$1,0)),DC86-VLOOKUP($D86,'Visu totale'!$D:$DH,DD$1,0),IF(LEFT(VLOOKUP($D86,'Visu totale'!$D:$DH,DD$1,0),1)="V",IF(DC86&gt;=INDEX('[1]Définition Maintenances'!$G:$G,MATCH($A86,'[1]Définition Maintenances'!$K:$K,0)),DC86,INDEX('[1]Définition Maintenances'!$G:$G,MATCH($A86,'[1]Définition Maintenances'!$K:$K,0))+DC86),DC86))</f>
        <v>167</v>
      </c>
      <c r="DE86" s="26">
        <f>IF(ISNUMBER(VLOOKUP($D86,'Visu totale'!$D:$DH,DE$1,0)),DD86-VLOOKUP($D86,'Visu totale'!$D:$DH,DE$1,0),IF(LEFT(VLOOKUP($D86,'Visu totale'!$D:$DH,DE$1,0),1)="V",IF(DD86&gt;=INDEX('[1]Définition Maintenances'!$G:$G,MATCH($A86,'[1]Définition Maintenances'!$K:$K,0)),DD86,INDEX('[1]Définition Maintenances'!$G:$G,MATCH($A86,'[1]Définition Maintenances'!$K:$K,0))+DD86),DD86))</f>
        <v>167</v>
      </c>
      <c r="DF86" s="26">
        <f>IF(ISNUMBER(VLOOKUP($D86,'Visu totale'!$D:$DH,DF$1,0)),DE86-VLOOKUP($D86,'Visu totale'!$D:$DH,DF$1,0),IF(LEFT(VLOOKUP($D86,'Visu totale'!$D:$DH,DF$1,0),1)="V",IF(DE86&gt;=INDEX('[1]Définition Maintenances'!$G:$G,MATCH($A86,'[1]Définition Maintenances'!$K:$K,0)),DE86,INDEX('[1]Définition Maintenances'!$G:$G,MATCH($A86,'[1]Définition Maintenances'!$K:$K,0))+DE86),DE86))</f>
        <v>167</v>
      </c>
      <c r="DG86" s="26">
        <f>IF(ISNUMBER(VLOOKUP($D86,'Visu totale'!$D:$DH,DG$1,0)),DF86-VLOOKUP($D86,'Visu totale'!$D:$DH,DG$1,0),IF(LEFT(VLOOKUP($D86,'Visu totale'!$D:$DH,DG$1,0),1)="V",IF(DF86&gt;=INDEX('[1]Définition Maintenances'!$G:$G,MATCH($A86,'[1]Définition Maintenances'!$K:$K,0)),DF86,INDEX('[1]Définition Maintenances'!$G:$G,MATCH($A86,'[1]Définition Maintenances'!$K:$K,0))+DF86),DF86))</f>
        <v>167</v>
      </c>
      <c r="DH86" s="26">
        <f>IF(ISNUMBER(VLOOKUP($D86,'Visu totale'!$D:$DH,DH$1,0)),DG86-VLOOKUP($D86,'Visu totale'!$D:$DH,DH$1,0),IF(LEFT(VLOOKUP($D86,'Visu totale'!$D:$DH,DH$1,0),1)="V",IF(DG86&gt;=INDEX('[1]Définition Maintenances'!$G:$G,MATCH($A86,'[1]Définition Maintenances'!$K:$K,0)),DG86,INDEX('[1]Définition Maintenances'!$G:$G,MATCH($A86,'[1]Définition Maintenances'!$K:$K,0))+DG86),DG86))</f>
        <v>167</v>
      </c>
      <c r="DI86" s="27">
        <f>IF(ISNUMBER(VLOOKUP($D86,'Visu totale'!$D:$DH,DI$1,0)),DH86-VLOOKUP($D86,'Visu totale'!$D:$DH,DI$1,0),IF(LEFT(VLOOKUP($D86,'Visu totale'!$D:$DH,DI$1,0),1)="V",IF(DH86&gt;=INDEX('[1]Définition Maintenances'!$G:$G,MATCH($A86,'[1]Définition Maintenances'!$K:$K,0)),DH86,INDEX('[1]Définition Maintenances'!$G:$G,MATCH($A86,'[1]Définition Maintenances'!$K:$K,0))+DH86),DH86))</f>
        <v>167</v>
      </c>
    </row>
    <row r="87" spans="1:113" x14ac:dyDescent="0.25">
      <c r="A87" s="13" t="str">
        <f t="shared" si="2"/>
        <v>V15C</v>
      </c>
      <c r="B87" s="13" t="str">
        <f>VLOOKUP(D87,'[1]Avions (Potentiels)'!$B$2:$H$128,7,FALSE)</f>
        <v>V15</v>
      </c>
      <c r="C87" s="13"/>
      <c r="D87" s="16" t="s">
        <v>90</v>
      </c>
      <c r="E87" s="13">
        <f>IFERROR(VALUE(SUBSTITUTE(VLOOKUP(D87,'[1]Avions (Potentiels)'!$B:$E,4,0),".",",")),VALUE(VLOOKUP(D87,'[1]Avions (Potentiels)'!$B:$E,4,0)))</f>
        <v>72</v>
      </c>
      <c r="F87" s="25">
        <f>IF(ISNUMBER(VLOOKUP($D87,'Visu totale'!$D:$DH,F$1,0)),E87-VLOOKUP($D87,'Visu totale'!$D:$DH,F$1,0),IF(LEFT(VLOOKUP($D87,'Visu totale'!$D:$DH,F$1,0),1)="V",IF(E87&gt;=INDEX('[1]Définition Maintenances'!$G:$G,MATCH($A87,'[1]Définition Maintenances'!$K:$K,0)),E87,INDEX('[1]Définition Maintenances'!$G:$G,MATCH($A87,'[1]Définition Maintenances'!$K:$K,0))+E87),E87))</f>
        <v>72</v>
      </c>
      <c r="G87" s="26">
        <f>IF(ISNUMBER(VLOOKUP($D87,'Visu totale'!$D:$DH,G$1,0)),F87-VLOOKUP($D87,'Visu totale'!$D:$DH,G$1,0),IF(LEFT(VLOOKUP($D87,'Visu totale'!$D:$DH,G$1,0),1)="V",IF(F87&gt;=INDEX('[1]Définition Maintenances'!$G:$G,MATCH($A87,'[1]Définition Maintenances'!$K:$K,0)),F87,INDEX('[1]Définition Maintenances'!$G:$G,MATCH($A87,'[1]Définition Maintenances'!$K:$K,0))+F87),F87))</f>
        <v>72</v>
      </c>
      <c r="H87" s="26">
        <f>IF(ISNUMBER(VLOOKUP($D87,'Visu totale'!$D:$DH,H$1,0)),G87-VLOOKUP($D87,'Visu totale'!$D:$DH,H$1,0),IF(LEFT(VLOOKUP($D87,'Visu totale'!$D:$DH,H$1,0),1)="V",IF(G87&gt;=INDEX('[1]Définition Maintenances'!$G:$G,MATCH($A87,'[1]Définition Maintenances'!$K:$K,0)),G87,INDEX('[1]Définition Maintenances'!$G:$G,MATCH($A87,'[1]Définition Maintenances'!$K:$K,0))+G87),G87))</f>
        <v>72</v>
      </c>
      <c r="I87" s="26">
        <f>IF(ISNUMBER(VLOOKUP($D87,'Visu totale'!$D:$DH,I$1,0)),H87-VLOOKUP($D87,'Visu totale'!$D:$DH,I$1,0),IF(LEFT(VLOOKUP($D87,'Visu totale'!$D:$DH,I$1,0),1)="V",IF(H87&gt;=INDEX('[1]Définition Maintenances'!$G:$G,MATCH($A87,'[1]Définition Maintenances'!$K:$K,0)),H87,INDEX('[1]Définition Maintenances'!$G:$G,MATCH($A87,'[1]Définition Maintenances'!$K:$K,0))+H87),H87))</f>
        <v>72</v>
      </c>
      <c r="J87" s="26">
        <f>IF(ISNUMBER(VLOOKUP($D87,'Visu totale'!$D:$DH,J$1,0)),I87-VLOOKUP($D87,'Visu totale'!$D:$DH,J$1,0),IF(LEFT(VLOOKUP($D87,'Visu totale'!$D:$DH,J$1,0),1)="V",IF(I87&gt;=INDEX('[1]Définition Maintenances'!$G:$G,MATCH($A87,'[1]Définition Maintenances'!$K:$K,0)),I87,INDEX('[1]Définition Maintenances'!$G:$G,MATCH($A87,'[1]Définition Maintenances'!$K:$K,0))+I87),I87))</f>
        <v>72</v>
      </c>
      <c r="K87" s="26">
        <f>IF(ISNUMBER(VLOOKUP($D87,'Visu totale'!$D:$DH,K$1,0)),J87-VLOOKUP($D87,'Visu totale'!$D:$DH,K$1,0),IF(LEFT(VLOOKUP($D87,'Visu totale'!$D:$DH,K$1,0),1)="V",IF(J87&gt;=INDEX('[1]Définition Maintenances'!$G:$G,MATCH($A87,'[1]Définition Maintenances'!$K:$K,0)),J87,INDEX('[1]Définition Maintenances'!$G:$G,MATCH($A87,'[1]Définition Maintenances'!$K:$K,0))+J87),J87))</f>
        <v>72</v>
      </c>
      <c r="L87" s="26">
        <f>IF(ISNUMBER(VLOOKUP($D87,'Visu totale'!$D:$DH,L$1,0)),K87-VLOOKUP($D87,'Visu totale'!$D:$DH,L$1,0),IF(LEFT(VLOOKUP($D87,'Visu totale'!$D:$DH,L$1,0),1)="V",IF(K87&gt;=INDEX('[1]Définition Maintenances'!$G:$G,MATCH($A87,'[1]Définition Maintenances'!$K:$K,0)),K87,INDEX('[1]Définition Maintenances'!$G:$G,MATCH($A87,'[1]Définition Maintenances'!$K:$K,0))+K87),K87))</f>
        <v>72</v>
      </c>
      <c r="M87" s="26">
        <f>IF(ISNUMBER(VLOOKUP($D87,'Visu totale'!$D:$DH,M$1,0)),L87-VLOOKUP($D87,'Visu totale'!$D:$DH,M$1,0),IF(LEFT(VLOOKUP($D87,'Visu totale'!$D:$DH,M$1,0),1)="V",IF(L87&gt;=INDEX('[1]Définition Maintenances'!$G:$G,MATCH($A87,'[1]Définition Maintenances'!$K:$K,0)),L87,INDEX('[1]Définition Maintenances'!$G:$G,MATCH($A87,'[1]Définition Maintenances'!$K:$K,0))+L87),L87))</f>
        <v>72</v>
      </c>
      <c r="N87" s="26">
        <f>IF(ISNUMBER(VLOOKUP($D87,'Visu totale'!$D:$DH,N$1,0)),M87-VLOOKUP($D87,'Visu totale'!$D:$DH,N$1,0),IF(LEFT(VLOOKUP($D87,'Visu totale'!$D:$DH,N$1,0),1)="V",IF(M87&gt;=INDEX('[1]Définition Maintenances'!$G:$G,MATCH($A87,'[1]Définition Maintenances'!$K:$K,0)),M87,INDEX('[1]Définition Maintenances'!$G:$G,MATCH($A87,'[1]Définition Maintenances'!$K:$K,0))+M87),M87))</f>
        <v>72</v>
      </c>
      <c r="O87" s="26">
        <f>IF(ISNUMBER(VLOOKUP($D87,'Visu totale'!$D:$DH,O$1,0)),N87-VLOOKUP($D87,'Visu totale'!$D:$DH,O$1,0),IF(LEFT(VLOOKUP($D87,'Visu totale'!$D:$DH,O$1,0),1)="V",IF(N87&gt;=INDEX('[1]Définition Maintenances'!$G:$G,MATCH($A87,'[1]Définition Maintenances'!$K:$K,0)),N87,INDEX('[1]Définition Maintenances'!$G:$G,MATCH($A87,'[1]Définition Maintenances'!$K:$K,0))+N87),N87))</f>
        <v>72</v>
      </c>
      <c r="P87" s="26">
        <f>IF(ISNUMBER(VLOOKUP($D87,'Visu totale'!$D:$DH,P$1,0)),O87-VLOOKUP($D87,'Visu totale'!$D:$DH,P$1,0),IF(LEFT(VLOOKUP($D87,'Visu totale'!$D:$DH,P$1,0),1)="V",IF(O87&gt;=INDEX('[1]Définition Maintenances'!$G:$G,MATCH($A87,'[1]Définition Maintenances'!$K:$K,0)),O87,INDEX('[1]Définition Maintenances'!$G:$G,MATCH($A87,'[1]Définition Maintenances'!$K:$K,0))+O87),O87))</f>
        <v>72</v>
      </c>
      <c r="Q87" s="27">
        <f>IF(ISNUMBER(VLOOKUP($D87,'Visu totale'!$D:$DH,Q$1,0)),P87-VLOOKUP($D87,'Visu totale'!$D:$DH,Q$1,0),IF(LEFT(VLOOKUP($D87,'Visu totale'!$D:$DH,Q$1,0),1)="V",IF(P87&gt;=INDEX('[1]Définition Maintenances'!$G:$G,MATCH($A87,'[1]Définition Maintenances'!$K:$K,0)),P87,INDEX('[1]Définition Maintenances'!$G:$G,MATCH($A87,'[1]Définition Maintenances'!$K:$K,0))+P87),P87))</f>
        <v>72</v>
      </c>
      <c r="R87" s="25">
        <f>IF(ISNUMBER(VLOOKUP($D87,'Visu totale'!$D:$DH,R$1,0)),Q87-VLOOKUP($D87,'Visu totale'!$D:$DH,R$1,0),IF(LEFT(VLOOKUP($D87,'Visu totale'!$D:$DH,R$1,0),1)="V",IF(Q87&gt;=INDEX('[1]Définition Maintenances'!$G:$G,MATCH($A87,'[1]Définition Maintenances'!$K:$K,0)),Q87,INDEX('[1]Définition Maintenances'!$G:$G,MATCH($A87,'[1]Définition Maintenances'!$K:$K,0))+Q87),Q87))</f>
        <v>72</v>
      </c>
      <c r="S87" s="26">
        <f>IF(ISNUMBER(VLOOKUP($D87,'Visu totale'!$D:$DH,S$1,0)),R87-VLOOKUP($D87,'Visu totale'!$D:$DH,S$1,0),IF(LEFT(VLOOKUP($D87,'Visu totale'!$D:$DH,S$1,0),1)="V",IF(R87&gt;=INDEX('[1]Définition Maintenances'!$G:$G,MATCH($A87,'[1]Définition Maintenances'!$K:$K,0)),R87,INDEX('[1]Définition Maintenances'!$G:$G,MATCH($A87,'[1]Définition Maintenances'!$K:$K,0))+R87),R87))</f>
        <v>72</v>
      </c>
      <c r="T87" s="26">
        <f>IF(ISNUMBER(VLOOKUP($D87,'Visu totale'!$D:$DH,T$1,0)),S87-VLOOKUP($D87,'Visu totale'!$D:$DH,T$1,0),IF(LEFT(VLOOKUP($D87,'Visu totale'!$D:$DH,T$1,0),1)="V",IF(S87&gt;=INDEX('[1]Définition Maintenances'!$G:$G,MATCH($A87,'[1]Définition Maintenances'!$K:$K,0)),S87,INDEX('[1]Définition Maintenances'!$G:$G,MATCH($A87,'[1]Définition Maintenances'!$K:$K,0))+S87),S87))</f>
        <v>72</v>
      </c>
      <c r="U87" s="26">
        <f>IF(ISNUMBER(VLOOKUP($D87,'Visu totale'!$D:$DH,U$1,0)),T87-VLOOKUP($D87,'Visu totale'!$D:$DH,U$1,0),IF(LEFT(VLOOKUP($D87,'Visu totale'!$D:$DH,U$1,0),1)="V",IF(T87&gt;=INDEX('[1]Définition Maintenances'!$G:$G,MATCH($A87,'[1]Définition Maintenances'!$K:$K,0)),T87,INDEX('[1]Définition Maintenances'!$G:$G,MATCH($A87,'[1]Définition Maintenances'!$K:$K,0))+T87),T87))</f>
        <v>72</v>
      </c>
      <c r="V87" s="26">
        <f>IF(ISNUMBER(VLOOKUP($D87,'Visu totale'!$D:$DH,V$1,0)),U87-VLOOKUP($D87,'Visu totale'!$D:$DH,V$1,0),IF(LEFT(VLOOKUP($D87,'Visu totale'!$D:$DH,V$1,0),1)="V",IF(U87&gt;=INDEX('[1]Définition Maintenances'!$G:$G,MATCH($A87,'[1]Définition Maintenances'!$K:$K,0)),U87,INDEX('[1]Définition Maintenances'!$G:$G,MATCH($A87,'[1]Définition Maintenances'!$K:$K,0))+U87),U87))</f>
        <v>72</v>
      </c>
      <c r="W87" s="26">
        <f>IF(ISNUMBER(VLOOKUP($D87,'Visu totale'!$D:$DH,W$1,0)),V87-VLOOKUP($D87,'Visu totale'!$D:$DH,W$1,0),IF(LEFT(VLOOKUP($D87,'Visu totale'!$D:$DH,W$1,0),1)="V",IF(V87&gt;=INDEX('[1]Définition Maintenances'!$G:$G,MATCH($A87,'[1]Définition Maintenances'!$K:$K,0)),V87,INDEX('[1]Définition Maintenances'!$G:$G,MATCH($A87,'[1]Définition Maintenances'!$K:$K,0))+V87),V87))</f>
        <v>72</v>
      </c>
      <c r="X87" s="26">
        <f>IF(ISNUMBER(VLOOKUP($D87,'Visu totale'!$D:$DH,X$1,0)),W87-VLOOKUP($D87,'Visu totale'!$D:$DH,X$1,0),IF(LEFT(VLOOKUP($D87,'Visu totale'!$D:$DH,X$1,0),1)="V",IF(W87&gt;=INDEX('[1]Définition Maintenances'!$G:$G,MATCH($A87,'[1]Définition Maintenances'!$K:$K,0)),W87,INDEX('[1]Définition Maintenances'!$G:$G,MATCH($A87,'[1]Définition Maintenances'!$K:$K,0))+W87),W87))</f>
        <v>72</v>
      </c>
      <c r="Y87" s="26">
        <f>IF(ISNUMBER(VLOOKUP($D87,'Visu totale'!$D:$DH,Y$1,0)),X87-VLOOKUP($D87,'Visu totale'!$D:$DH,Y$1,0),IF(LEFT(VLOOKUP($D87,'Visu totale'!$D:$DH,Y$1,0),1)="V",IF(X87&gt;=INDEX('[1]Définition Maintenances'!$G:$G,MATCH($A87,'[1]Définition Maintenances'!$K:$K,0)),X87,INDEX('[1]Définition Maintenances'!$G:$G,MATCH($A87,'[1]Définition Maintenances'!$K:$K,0))+X87),X87))</f>
        <v>72</v>
      </c>
      <c r="Z87" s="26">
        <f>IF(ISNUMBER(VLOOKUP($D87,'Visu totale'!$D:$DH,Z$1,0)),Y87-VLOOKUP($D87,'Visu totale'!$D:$DH,Z$1,0),IF(LEFT(VLOOKUP($D87,'Visu totale'!$D:$DH,Z$1,0),1)="V",IF(Y87&gt;=INDEX('[1]Définition Maintenances'!$G:$G,MATCH($A87,'[1]Définition Maintenances'!$K:$K,0)),Y87,INDEX('[1]Définition Maintenances'!$G:$G,MATCH($A87,'[1]Définition Maintenances'!$K:$K,0))+Y87),Y87))</f>
        <v>72</v>
      </c>
      <c r="AA87" s="26">
        <f>IF(ISNUMBER(VLOOKUP($D87,'Visu totale'!$D:$DH,AA$1,0)),Z87-VLOOKUP($D87,'Visu totale'!$D:$DH,AA$1,0),IF(LEFT(VLOOKUP($D87,'Visu totale'!$D:$DH,AA$1,0),1)="V",IF(Z87&gt;=INDEX('[1]Définition Maintenances'!$G:$G,MATCH($A87,'[1]Définition Maintenances'!$K:$K,0)),Z87,INDEX('[1]Définition Maintenances'!$G:$G,MATCH($A87,'[1]Définition Maintenances'!$K:$K,0))+Z87),Z87))</f>
        <v>72</v>
      </c>
      <c r="AB87" s="26">
        <f>IF(ISNUMBER(VLOOKUP($D87,'Visu totale'!$D:$DH,AB$1,0)),AA87-VLOOKUP($D87,'Visu totale'!$D:$DH,AB$1,0),IF(LEFT(VLOOKUP($D87,'Visu totale'!$D:$DH,AB$1,0),1)="V",IF(AA87&gt;=INDEX('[1]Définition Maintenances'!$G:$G,MATCH($A87,'[1]Définition Maintenances'!$K:$K,0)),AA87,INDEX('[1]Définition Maintenances'!$G:$G,MATCH($A87,'[1]Définition Maintenances'!$K:$K,0))+AA87),AA87))</f>
        <v>72</v>
      </c>
      <c r="AC87" s="27">
        <f>IF(ISNUMBER(VLOOKUP($D87,'Visu totale'!$D:$DH,AC$1,0)),AB87-VLOOKUP($D87,'Visu totale'!$D:$DH,AC$1,0),IF(LEFT(VLOOKUP($D87,'Visu totale'!$D:$DH,AC$1,0),1)="V",IF(AB87&gt;=INDEX('[1]Définition Maintenances'!$G:$G,MATCH($A87,'[1]Définition Maintenances'!$K:$K,0)),AB87,INDEX('[1]Définition Maintenances'!$G:$G,MATCH($A87,'[1]Définition Maintenances'!$K:$K,0))+AB87),AB87))</f>
        <v>72</v>
      </c>
      <c r="AD87" s="25">
        <f>IF(ISNUMBER(VLOOKUP($D87,'Visu totale'!$D:$DH,AD$1,0)),AC87-VLOOKUP($D87,'Visu totale'!$D:$DH,AD$1,0),IF(LEFT(VLOOKUP($D87,'Visu totale'!$D:$DH,AD$1,0),1)="V",IF(AC87&gt;=INDEX('[1]Définition Maintenances'!$G:$G,MATCH($A87,'[1]Définition Maintenances'!$K:$K,0)),AC87,INDEX('[1]Définition Maintenances'!$G:$G,MATCH($A87,'[1]Définition Maintenances'!$K:$K,0))+AC87),AC87))</f>
        <v>72</v>
      </c>
      <c r="AE87" s="26">
        <f>IF(ISNUMBER(VLOOKUP($D87,'Visu totale'!$D:$DH,AE$1,0)),AD87-VLOOKUP($D87,'Visu totale'!$D:$DH,AE$1,0),IF(LEFT(VLOOKUP($D87,'Visu totale'!$D:$DH,AE$1,0),1)="V",IF(AD87&gt;=INDEX('[1]Définition Maintenances'!$G:$G,MATCH($A87,'[1]Définition Maintenances'!$K:$K,0)),AD87,INDEX('[1]Définition Maintenances'!$G:$G,MATCH($A87,'[1]Définition Maintenances'!$K:$K,0))+AD87),AD87))</f>
        <v>72</v>
      </c>
      <c r="AF87" s="26">
        <f>IF(ISNUMBER(VLOOKUP($D87,'Visu totale'!$D:$DH,AF$1,0)),AE87-VLOOKUP($D87,'Visu totale'!$D:$DH,AF$1,0),IF(LEFT(VLOOKUP($D87,'Visu totale'!$D:$DH,AF$1,0),1)="V",IF(AE87&gt;=INDEX('[1]Définition Maintenances'!$G:$G,MATCH($A87,'[1]Définition Maintenances'!$K:$K,0)),AE87,INDEX('[1]Définition Maintenances'!$G:$G,MATCH($A87,'[1]Définition Maintenances'!$K:$K,0))+AE87),AE87))</f>
        <v>72</v>
      </c>
      <c r="AG87" s="26">
        <f>IF(ISNUMBER(VLOOKUP($D87,'Visu totale'!$D:$DH,AG$1,0)),AF87-VLOOKUP($D87,'Visu totale'!$D:$DH,AG$1,0),IF(LEFT(VLOOKUP($D87,'Visu totale'!$D:$DH,AG$1,0),1)="V",IF(AF87&gt;=INDEX('[1]Définition Maintenances'!$G:$G,MATCH($A87,'[1]Définition Maintenances'!$K:$K,0)),AF87,INDEX('[1]Définition Maintenances'!$G:$G,MATCH($A87,'[1]Définition Maintenances'!$K:$K,0))+AF87),AF87))</f>
        <v>72</v>
      </c>
      <c r="AH87" s="26">
        <f>IF(ISNUMBER(VLOOKUP($D87,'Visu totale'!$D:$DH,AH$1,0)),AG87-VLOOKUP($D87,'Visu totale'!$D:$DH,AH$1,0),IF(LEFT(VLOOKUP($D87,'Visu totale'!$D:$DH,AH$1,0),1)="V",IF(AG87&gt;=INDEX('[1]Définition Maintenances'!$G:$G,MATCH($A87,'[1]Définition Maintenances'!$K:$K,0)),AG87,INDEX('[1]Définition Maintenances'!$G:$G,MATCH($A87,'[1]Définition Maintenances'!$K:$K,0))+AG87),AG87))</f>
        <v>72</v>
      </c>
      <c r="AI87" s="26">
        <f>IF(ISNUMBER(VLOOKUP($D87,'Visu totale'!$D:$DH,AI$1,0)),AH87-VLOOKUP($D87,'Visu totale'!$D:$DH,AI$1,0),IF(LEFT(VLOOKUP($D87,'Visu totale'!$D:$DH,AI$1,0),1)="V",IF(AH87&gt;=INDEX('[1]Définition Maintenances'!$G:$G,MATCH($A87,'[1]Définition Maintenances'!$K:$K,0)),AH87,INDEX('[1]Définition Maintenances'!$G:$G,MATCH($A87,'[1]Définition Maintenances'!$K:$K,0))+AH87),AH87))</f>
        <v>72</v>
      </c>
      <c r="AJ87" s="26">
        <f>IF(ISNUMBER(VLOOKUP($D87,'Visu totale'!$D:$DH,AJ$1,0)),AI87-VLOOKUP($D87,'Visu totale'!$D:$DH,AJ$1,0),IF(LEFT(VLOOKUP($D87,'Visu totale'!$D:$DH,AJ$1,0),1)="V",IF(AI87&gt;=INDEX('[1]Définition Maintenances'!$G:$G,MATCH($A87,'[1]Définition Maintenances'!$K:$K,0)),AI87,INDEX('[1]Définition Maintenances'!$G:$G,MATCH($A87,'[1]Définition Maintenances'!$K:$K,0))+AI87),AI87))</f>
        <v>72</v>
      </c>
      <c r="AK87" s="26">
        <f>IF(ISNUMBER(VLOOKUP($D87,'Visu totale'!$D:$DH,AK$1,0)),AJ87-VLOOKUP($D87,'Visu totale'!$D:$DH,AK$1,0),IF(LEFT(VLOOKUP($D87,'Visu totale'!$D:$DH,AK$1,0),1)="V",IF(AJ87&gt;=INDEX('[1]Définition Maintenances'!$G:$G,MATCH($A87,'[1]Définition Maintenances'!$K:$K,0)),AJ87,INDEX('[1]Définition Maintenances'!$G:$G,MATCH($A87,'[1]Définition Maintenances'!$K:$K,0))+AJ87),AJ87))</f>
        <v>72</v>
      </c>
      <c r="AL87" s="26">
        <f>IF(ISNUMBER(VLOOKUP($D87,'Visu totale'!$D:$DH,AL$1,0)),AK87-VLOOKUP($D87,'Visu totale'!$D:$DH,AL$1,0),IF(LEFT(VLOOKUP($D87,'Visu totale'!$D:$DH,AL$1,0),1)="V",IF(AK87&gt;=INDEX('[1]Définition Maintenances'!$G:$G,MATCH($A87,'[1]Définition Maintenances'!$K:$K,0)),AK87,INDEX('[1]Définition Maintenances'!$G:$G,MATCH($A87,'[1]Définition Maintenances'!$K:$K,0))+AK87),AK87))</f>
        <v>72</v>
      </c>
      <c r="AM87" s="26">
        <f>IF(ISNUMBER(VLOOKUP($D87,'Visu totale'!$D:$DH,AM$1,0)),AL87-VLOOKUP($D87,'Visu totale'!$D:$DH,AM$1,0),IF(LEFT(VLOOKUP($D87,'Visu totale'!$D:$DH,AM$1,0),1)="V",IF(AL87&gt;=INDEX('[1]Définition Maintenances'!$G:$G,MATCH($A87,'[1]Définition Maintenances'!$K:$K,0)),AL87,INDEX('[1]Définition Maintenances'!$G:$G,MATCH($A87,'[1]Définition Maintenances'!$K:$K,0))+AL87),AL87))</f>
        <v>72</v>
      </c>
      <c r="AN87" s="26">
        <f>IF(ISNUMBER(VLOOKUP($D87,'Visu totale'!$D:$DH,AN$1,0)),AM87-VLOOKUP($D87,'Visu totale'!$D:$DH,AN$1,0),IF(LEFT(VLOOKUP($D87,'Visu totale'!$D:$DH,AN$1,0),1)="V",IF(AM87&gt;=INDEX('[1]Définition Maintenances'!$G:$G,MATCH($A87,'[1]Définition Maintenances'!$K:$K,0)),AM87,INDEX('[1]Définition Maintenances'!$G:$G,MATCH($A87,'[1]Définition Maintenances'!$K:$K,0))+AM87),AM87))</f>
        <v>72</v>
      </c>
      <c r="AO87" s="27">
        <f>IF(ISNUMBER(VLOOKUP($D87,'Visu totale'!$D:$DH,AO$1,0)),AN87-VLOOKUP($D87,'Visu totale'!$D:$DH,AO$1,0),IF(LEFT(VLOOKUP($D87,'Visu totale'!$D:$DH,AO$1,0),1)="V",IF(AN87&gt;=INDEX('[1]Définition Maintenances'!$G:$G,MATCH($A87,'[1]Définition Maintenances'!$K:$K,0)),AN87,INDEX('[1]Définition Maintenances'!$G:$G,MATCH($A87,'[1]Définition Maintenances'!$K:$K,0))+AN87),AN87))</f>
        <v>72</v>
      </c>
      <c r="AP87" s="25">
        <f>IF(ISNUMBER(VLOOKUP($D87,'Visu totale'!$D:$DH,AP$1,0)),AO87-VLOOKUP($D87,'Visu totale'!$D:$DH,AP$1,0),IF(LEFT(VLOOKUP($D87,'Visu totale'!$D:$DH,AP$1,0),1)="V",IF(AO87&gt;=INDEX('[1]Définition Maintenances'!$G:$G,MATCH($A87,'[1]Définition Maintenances'!$K:$K,0)),AO87,INDEX('[1]Définition Maintenances'!$G:$G,MATCH($A87,'[1]Définition Maintenances'!$K:$K,0))+AO87),AO87))</f>
        <v>72</v>
      </c>
      <c r="AQ87" s="26">
        <f>IF(ISNUMBER(VLOOKUP($D87,'Visu totale'!$D:$DH,AQ$1,0)),AP87-VLOOKUP($D87,'Visu totale'!$D:$DH,AQ$1,0),IF(LEFT(VLOOKUP($D87,'Visu totale'!$D:$DH,AQ$1,0),1)="V",IF(AP87&gt;=INDEX('[1]Définition Maintenances'!$G:$G,MATCH($A87,'[1]Définition Maintenances'!$K:$K,0)),AP87,INDEX('[1]Définition Maintenances'!$G:$G,MATCH($A87,'[1]Définition Maintenances'!$K:$K,0))+AP87),AP87))</f>
        <v>72</v>
      </c>
      <c r="AR87" s="26">
        <f>IF(ISNUMBER(VLOOKUP($D87,'Visu totale'!$D:$DH,AR$1,0)),AQ87-VLOOKUP($D87,'Visu totale'!$D:$DH,AR$1,0),IF(LEFT(VLOOKUP($D87,'Visu totale'!$D:$DH,AR$1,0),1)="V",IF(AQ87&gt;=INDEX('[1]Définition Maintenances'!$G:$G,MATCH($A87,'[1]Définition Maintenances'!$K:$K,0)),AQ87,INDEX('[1]Définition Maintenances'!$G:$G,MATCH($A87,'[1]Définition Maintenances'!$K:$K,0))+AQ87),AQ87))</f>
        <v>72</v>
      </c>
      <c r="AS87" s="26">
        <f>IF(ISNUMBER(VLOOKUP($D87,'Visu totale'!$D:$DH,AS$1,0)),AR87-VLOOKUP($D87,'Visu totale'!$D:$DH,AS$1,0),IF(LEFT(VLOOKUP($D87,'Visu totale'!$D:$DH,AS$1,0),1)="V",IF(AR87&gt;=INDEX('[1]Définition Maintenances'!$G:$G,MATCH($A87,'[1]Définition Maintenances'!$K:$K,0)),AR87,INDEX('[1]Définition Maintenances'!$G:$G,MATCH($A87,'[1]Définition Maintenances'!$K:$K,0))+AR87),AR87))</f>
        <v>72</v>
      </c>
      <c r="AT87" s="26">
        <f>IF(ISNUMBER(VLOOKUP($D87,'Visu totale'!$D:$DH,AT$1,0)),AS87-VLOOKUP($D87,'Visu totale'!$D:$DH,AT$1,0),IF(LEFT(VLOOKUP($D87,'Visu totale'!$D:$DH,AT$1,0),1)="V",IF(AS87&gt;=INDEX('[1]Définition Maintenances'!$G:$G,MATCH($A87,'[1]Définition Maintenances'!$K:$K,0)),AS87,INDEX('[1]Définition Maintenances'!$G:$G,MATCH($A87,'[1]Définition Maintenances'!$K:$K,0))+AS87),AS87))</f>
        <v>72</v>
      </c>
      <c r="AU87" s="26">
        <f>IF(ISNUMBER(VLOOKUP($D87,'Visu totale'!$D:$DH,AU$1,0)),AT87-VLOOKUP($D87,'Visu totale'!$D:$DH,AU$1,0),IF(LEFT(VLOOKUP($D87,'Visu totale'!$D:$DH,AU$1,0),1)="V",IF(AT87&gt;=INDEX('[1]Définition Maintenances'!$G:$G,MATCH($A87,'[1]Définition Maintenances'!$K:$K,0)),AT87,INDEX('[1]Définition Maintenances'!$G:$G,MATCH($A87,'[1]Définition Maintenances'!$K:$K,0))+AT87),AT87))</f>
        <v>72</v>
      </c>
      <c r="AV87" s="26">
        <f>IF(ISNUMBER(VLOOKUP($D87,'Visu totale'!$D:$DH,AV$1,0)),AU87-VLOOKUP($D87,'Visu totale'!$D:$DH,AV$1,0),IF(LEFT(VLOOKUP($D87,'Visu totale'!$D:$DH,AV$1,0),1)="V",IF(AU87&gt;=INDEX('[1]Définition Maintenances'!$G:$G,MATCH($A87,'[1]Définition Maintenances'!$K:$K,0)),AU87,INDEX('[1]Définition Maintenances'!$G:$G,MATCH($A87,'[1]Définition Maintenances'!$K:$K,0))+AU87),AU87))</f>
        <v>72</v>
      </c>
      <c r="AW87" s="26">
        <f>IF(ISNUMBER(VLOOKUP($D87,'Visu totale'!$D:$DH,AW$1,0)),AV87-VLOOKUP($D87,'Visu totale'!$D:$DH,AW$1,0),IF(LEFT(VLOOKUP($D87,'Visu totale'!$D:$DH,AW$1,0),1)="V",IF(AV87&gt;=INDEX('[1]Définition Maintenances'!$G:$G,MATCH($A87,'[1]Définition Maintenances'!$K:$K,0)),AV87,INDEX('[1]Définition Maintenances'!$G:$G,MATCH($A87,'[1]Définition Maintenances'!$K:$K,0))+AV87),AV87))</f>
        <v>72</v>
      </c>
      <c r="AX87" s="26">
        <f>IF(ISNUMBER(VLOOKUP($D87,'Visu totale'!$D:$DH,AX$1,0)),AW87-VLOOKUP($D87,'Visu totale'!$D:$DH,AX$1,0),IF(LEFT(VLOOKUP($D87,'Visu totale'!$D:$DH,AX$1,0),1)="V",IF(AW87&gt;=INDEX('[1]Définition Maintenances'!$G:$G,MATCH($A87,'[1]Définition Maintenances'!$K:$K,0)),AW87,INDEX('[1]Définition Maintenances'!$G:$G,MATCH($A87,'[1]Définition Maintenances'!$K:$K,0))+AW87),AW87))</f>
        <v>72</v>
      </c>
      <c r="AY87" s="26">
        <f>IF(ISNUMBER(VLOOKUP($D87,'Visu totale'!$D:$DH,AY$1,0)),AX87-VLOOKUP($D87,'Visu totale'!$D:$DH,AY$1,0),IF(LEFT(VLOOKUP($D87,'Visu totale'!$D:$DH,AY$1,0),1)="V",IF(AX87&gt;=INDEX('[1]Définition Maintenances'!$G:$G,MATCH($A87,'[1]Définition Maintenances'!$K:$K,0)),AX87,INDEX('[1]Définition Maintenances'!$G:$G,MATCH($A87,'[1]Définition Maintenances'!$K:$K,0))+AX87),AX87))</f>
        <v>72</v>
      </c>
      <c r="AZ87" s="26">
        <f>IF(ISNUMBER(VLOOKUP($D87,'Visu totale'!$D:$DH,AZ$1,0)),AY87-VLOOKUP($D87,'Visu totale'!$D:$DH,AZ$1,0),IF(LEFT(VLOOKUP($D87,'Visu totale'!$D:$DH,AZ$1,0),1)="V",IF(AY87&gt;=INDEX('[1]Définition Maintenances'!$G:$G,MATCH($A87,'[1]Définition Maintenances'!$K:$K,0)),AY87,INDEX('[1]Définition Maintenances'!$G:$G,MATCH($A87,'[1]Définition Maintenances'!$K:$K,0))+AY87),AY87))</f>
        <v>72</v>
      </c>
      <c r="BA87" s="27">
        <f>IF(ISNUMBER(VLOOKUP($D87,'Visu totale'!$D:$DH,BA$1,0)),AZ87-VLOOKUP($D87,'Visu totale'!$D:$DH,BA$1,0),IF(LEFT(VLOOKUP($D87,'Visu totale'!$D:$DH,BA$1,0),1)="V",IF(AZ87&gt;=INDEX('[1]Définition Maintenances'!$G:$G,MATCH($A87,'[1]Définition Maintenances'!$K:$K,0)),AZ87,INDEX('[1]Définition Maintenances'!$G:$G,MATCH($A87,'[1]Définition Maintenances'!$K:$K,0))+AZ87),AZ87))</f>
        <v>72</v>
      </c>
      <c r="BB87" s="25">
        <f>IF(ISNUMBER(VLOOKUP($D87,'Visu totale'!$D:$DH,BB$1,0)),BA87-VLOOKUP($D87,'Visu totale'!$D:$DH,BB$1,0),IF(LEFT(VLOOKUP($D87,'Visu totale'!$D:$DH,BB$1,0),1)="V",IF(BA87&gt;=INDEX('[1]Définition Maintenances'!$G:$G,MATCH($A87,'[1]Définition Maintenances'!$K:$K,0)),BA87,INDEX('[1]Définition Maintenances'!$G:$G,MATCH($A87,'[1]Définition Maintenances'!$K:$K,0))+BA87),BA87))</f>
        <v>72</v>
      </c>
      <c r="BC87" s="26">
        <f>IF(ISNUMBER(VLOOKUP($D87,'Visu totale'!$D:$DH,BC$1,0)),BB87-VLOOKUP($D87,'Visu totale'!$D:$DH,BC$1,0),IF(LEFT(VLOOKUP($D87,'Visu totale'!$D:$DH,BC$1,0),1)="V",IF(BB87&gt;=INDEX('[1]Définition Maintenances'!$G:$G,MATCH($A87,'[1]Définition Maintenances'!$K:$K,0)),BB87,INDEX('[1]Définition Maintenances'!$G:$G,MATCH($A87,'[1]Définition Maintenances'!$K:$K,0))+BB87),BB87))</f>
        <v>72</v>
      </c>
      <c r="BD87" s="26">
        <f>IF(ISNUMBER(VLOOKUP($D87,'Visu totale'!$D:$DH,BD$1,0)),BC87-VLOOKUP($D87,'Visu totale'!$D:$DH,BD$1,0),IF(LEFT(VLOOKUP($D87,'Visu totale'!$D:$DH,BD$1,0),1)="V",IF(BC87&gt;=INDEX('[1]Définition Maintenances'!$G:$G,MATCH($A87,'[1]Définition Maintenances'!$K:$K,0)),BC87,INDEX('[1]Définition Maintenances'!$G:$G,MATCH($A87,'[1]Définition Maintenances'!$K:$K,0))+BC87),BC87))</f>
        <v>72</v>
      </c>
      <c r="BE87" s="26">
        <f>IF(ISNUMBER(VLOOKUP($D87,'Visu totale'!$D:$DH,BE$1,0)),BD87-VLOOKUP($D87,'Visu totale'!$D:$DH,BE$1,0),IF(LEFT(VLOOKUP($D87,'Visu totale'!$D:$DH,BE$1,0),1)="V",IF(BD87&gt;=INDEX('[1]Définition Maintenances'!$G:$G,MATCH($A87,'[1]Définition Maintenances'!$K:$K,0)),BD87,INDEX('[1]Définition Maintenances'!$G:$G,MATCH($A87,'[1]Définition Maintenances'!$K:$K,0))+BD87),BD87))</f>
        <v>72</v>
      </c>
      <c r="BF87" s="26">
        <f>IF(ISNUMBER(VLOOKUP($D87,'Visu totale'!$D:$DH,BF$1,0)),BE87-VLOOKUP($D87,'Visu totale'!$D:$DH,BF$1,0),IF(LEFT(VLOOKUP($D87,'Visu totale'!$D:$DH,BF$1,0),1)="V",IF(BE87&gt;=INDEX('[1]Définition Maintenances'!$G:$G,MATCH($A87,'[1]Définition Maintenances'!$K:$K,0)),BE87,INDEX('[1]Définition Maintenances'!$G:$G,MATCH($A87,'[1]Définition Maintenances'!$K:$K,0))+BE87),BE87))</f>
        <v>72</v>
      </c>
      <c r="BG87" s="26">
        <f>IF(ISNUMBER(VLOOKUP($D87,'Visu totale'!$D:$DH,BG$1,0)),BF87-VLOOKUP($D87,'Visu totale'!$D:$DH,BG$1,0),IF(LEFT(VLOOKUP($D87,'Visu totale'!$D:$DH,BG$1,0),1)="V",IF(BF87&gt;=INDEX('[1]Définition Maintenances'!$G:$G,MATCH($A87,'[1]Définition Maintenances'!$K:$K,0)),BF87,INDEX('[1]Définition Maintenances'!$G:$G,MATCH($A87,'[1]Définition Maintenances'!$K:$K,0))+BF87),BF87))</f>
        <v>72</v>
      </c>
      <c r="BH87" s="26">
        <f>IF(ISNUMBER(VLOOKUP($D87,'Visu totale'!$D:$DH,BH$1,0)),BG87-VLOOKUP($D87,'Visu totale'!$D:$DH,BH$1,0),IF(LEFT(VLOOKUP($D87,'Visu totale'!$D:$DH,BH$1,0),1)="V",IF(BG87&gt;=INDEX('[1]Définition Maintenances'!$G:$G,MATCH($A87,'[1]Définition Maintenances'!$K:$K,0)),BG87,INDEX('[1]Définition Maintenances'!$G:$G,MATCH($A87,'[1]Définition Maintenances'!$K:$K,0))+BG87),BG87))</f>
        <v>72</v>
      </c>
      <c r="BI87" s="26">
        <f>IF(ISNUMBER(VLOOKUP($D87,'Visu totale'!$D:$DH,BI$1,0)),BH87-VLOOKUP($D87,'Visu totale'!$D:$DH,BI$1,0),IF(LEFT(VLOOKUP($D87,'Visu totale'!$D:$DH,BI$1,0),1)="V",IF(BH87&gt;=INDEX('[1]Définition Maintenances'!$G:$G,MATCH($A87,'[1]Définition Maintenances'!$K:$K,0)),BH87,INDEX('[1]Définition Maintenances'!$G:$G,MATCH($A87,'[1]Définition Maintenances'!$K:$K,0))+BH87),BH87))</f>
        <v>72</v>
      </c>
      <c r="BJ87" s="26">
        <f>IF(ISNUMBER(VLOOKUP($D87,'Visu totale'!$D:$DH,BJ$1,0)),BI87-VLOOKUP($D87,'Visu totale'!$D:$DH,BJ$1,0),IF(LEFT(VLOOKUP($D87,'Visu totale'!$D:$DH,BJ$1,0),1)="V",IF(BI87&gt;=INDEX('[1]Définition Maintenances'!$G:$G,MATCH($A87,'[1]Définition Maintenances'!$K:$K,0)),BI87,INDEX('[1]Définition Maintenances'!$G:$G,MATCH($A87,'[1]Définition Maintenances'!$K:$K,0))+BI87),BI87))</f>
        <v>72</v>
      </c>
      <c r="BK87" s="26">
        <f>IF(ISNUMBER(VLOOKUP($D87,'Visu totale'!$D:$DH,BK$1,0)),BJ87-VLOOKUP($D87,'Visu totale'!$D:$DH,BK$1,0),IF(LEFT(VLOOKUP($D87,'Visu totale'!$D:$DH,BK$1,0),1)="V",IF(BJ87&gt;=INDEX('[1]Définition Maintenances'!$G:$G,MATCH($A87,'[1]Définition Maintenances'!$K:$K,0)),BJ87,INDEX('[1]Définition Maintenances'!$G:$G,MATCH($A87,'[1]Définition Maintenances'!$K:$K,0))+BJ87),BJ87))</f>
        <v>72</v>
      </c>
      <c r="BL87" s="26">
        <f>IF(ISNUMBER(VLOOKUP($D87,'Visu totale'!$D:$DH,BL$1,0)),BK87-VLOOKUP($D87,'Visu totale'!$D:$DH,BL$1,0),IF(LEFT(VLOOKUP($D87,'Visu totale'!$D:$DH,BL$1,0),1)="V",IF(BK87&gt;=INDEX('[1]Définition Maintenances'!$G:$G,MATCH($A87,'[1]Définition Maintenances'!$K:$K,0)),BK87,INDEX('[1]Définition Maintenances'!$G:$G,MATCH($A87,'[1]Définition Maintenances'!$K:$K,0))+BK87),BK87))</f>
        <v>72</v>
      </c>
      <c r="BM87" s="27">
        <f>IF(ISNUMBER(VLOOKUP($D87,'Visu totale'!$D:$DH,BM$1,0)),BL87-VLOOKUP($D87,'Visu totale'!$D:$DH,BM$1,0),IF(LEFT(VLOOKUP($D87,'Visu totale'!$D:$DH,BM$1,0),1)="V",IF(BL87&gt;=INDEX('[1]Définition Maintenances'!$G:$G,MATCH($A87,'[1]Définition Maintenances'!$K:$K,0)),BL87,INDEX('[1]Définition Maintenances'!$G:$G,MATCH($A87,'[1]Définition Maintenances'!$K:$K,0))+BL87),BL87))</f>
        <v>72</v>
      </c>
      <c r="BN87" s="25">
        <f>IF(ISNUMBER(VLOOKUP($D87,'Visu totale'!$D:$DH,BN$1,0)),BM87-VLOOKUP($D87,'Visu totale'!$D:$DH,BN$1,0),IF(LEFT(VLOOKUP($D87,'Visu totale'!$D:$DH,BN$1,0),1)="V",IF(BM87&gt;=INDEX('[1]Définition Maintenances'!$G:$G,MATCH($A87,'[1]Définition Maintenances'!$K:$K,0)),BM87,INDEX('[1]Définition Maintenances'!$G:$G,MATCH($A87,'[1]Définition Maintenances'!$K:$K,0))+BM87),BM87))</f>
        <v>72</v>
      </c>
      <c r="BO87" s="26">
        <f>IF(ISNUMBER(VLOOKUP($D87,'Visu totale'!$D:$DH,BO$1,0)),BN87-VLOOKUP($D87,'Visu totale'!$D:$DH,BO$1,0),IF(LEFT(VLOOKUP($D87,'Visu totale'!$D:$DH,BO$1,0),1)="V",IF(BN87&gt;=INDEX('[1]Définition Maintenances'!$G:$G,MATCH($A87,'[1]Définition Maintenances'!$K:$K,0)),BN87,INDEX('[1]Définition Maintenances'!$G:$G,MATCH($A87,'[1]Définition Maintenances'!$K:$K,0))+BN87),BN87))</f>
        <v>72</v>
      </c>
      <c r="BP87" s="26">
        <f>IF(ISNUMBER(VLOOKUP($D87,'Visu totale'!$D:$DH,BP$1,0)),BO87-VLOOKUP($D87,'Visu totale'!$D:$DH,BP$1,0),IF(LEFT(VLOOKUP($D87,'Visu totale'!$D:$DH,BP$1,0),1)="V",IF(BO87&gt;=INDEX('[1]Définition Maintenances'!$G:$G,MATCH($A87,'[1]Définition Maintenances'!$K:$K,0)),BO87,INDEX('[1]Définition Maintenances'!$G:$G,MATCH($A87,'[1]Définition Maintenances'!$K:$K,0))+BO87),BO87))</f>
        <v>72</v>
      </c>
      <c r="BQ87" s="26">
        <f>IF(ISNUMBER(VLOOKUP($D87,'Visu totale'!$D:$DH,BQ$1,0)),BP87-VLOOKUP($D87,'Visu totale'!$D:$DH,BQ$1,0),IF(LEFT(VLOOKUP($D87,'Visu totale'!$D:$DH,BQ$1,0),1)="V",IF(BP87&gt;=INDEX('[1]Définition Maintenances'!$G:$G,MATCH($A87,'[1]Définition Maintenances'!$K:$K,0)),BP87,INDEX('[1]Définition Maintenances'!$G:$G,MATCH($A87,'[1]Définition Maintenances'!$K:$K,0))+BP87),BP87))</f>
        <v>72</v>
      </c>
      <c r="BR87" s="26">
        <f>IF(ISNUMBER(VLOOKUP($D87,'Visu totale'!$D:$DH,BR$1,0)),BQ87-VLOOKUP($D87,'Visu totale'!$D:$DH,BR$1,0),IF(LEFT(VLOOKUP($D87,'Visu totale'!$D:$DH,BR$1,0),1)="V",IF(BQ87&gt;=INDEX('[1]Définition Maintenances'!$G:$G,MATCH($A87,'[1]Définition Maintenances'!$K:$K,0)),BQ87,INDEX('[1]Définition Maintenances'!$G:$G,MATCH($A87,'[1]Définition Maintenances'!$K:$K,0))+BQ87),BQ87))</f>
        <v>72</v>
      </c>
      <c r="BS87" s="26">
        <f>IF(ISNUMBER(VLOOKUP($D87,'Visu totale'!$D:$DH,BS$1,0)),BR87-VLOOKUP($D87,'Visu totale'!$D:$DH,BS$1,0),IF(LEFT(VLOOKUP($D87,'Visu totale'!$D:$DH,BS$1,0),1)="V",IF(BR87&gt;=INDEX('[1]Définition Maintenances'!$G:$G,MATCH($A87,'[1]Définition Maintenances'!$K:$K,0)),BR87,INDEX('[1]Définition Maintenances'!$G:$G,MATCH($A87,'[1]Définition Maintenances'!$K:$K,0))+BR87),BR87))</f>
        <v>72</v>
      </c>
      <c r="BT87" s="26">
        <f>IF(ISNUMBER(VLOOKUP($D87,'Visu totale'!$D:$DH,BT$1,0)),BS87-VLOOKUP($D87,'Visu totale'!$D:$DH,BT$1,0),IF(LEFT(VLOOKUP($D87,'Visu totale'!$D:$DH,BT$1,0),1)="V",IF(BS87&gt;=INDEX('[1]Définition Maintenances'!$G:$G,MATCH($A87,'[1]Définition Maintenances'!$K:$K,0)),BS87,INDEX('[1]Définition Maintenances'!$G:$G,MATCH($A87,'[1]Définition Maintenances'!$K:$K,0))+BS87),BS87))</f>
        <v>72</v>
      </c>
      <c r="BU87" s="26">
        <f>IF(ISNUMBER(VLOOKUP($D87,'Visu totale'!$D:$DH,BU$1,0)),BT87-VLOOKUP($D87,'Visu totale'!$D:$DH,BU$1,0),IF(LEFT(VLOOKUP($D87,'Visu totale'!$D:$DH,BU$1,0),1)="V",IF(BT87&gt;=INDEX('[1]Définition Maintenances'!$G:$G,MATCH($A87,'[1]Définition Maintenances'!$K:$K,0)),BT87,INDEX('[1]Définition Maintenances'!$G:$G,MATCH($A87,'[1]Définition Maintenances'!$K:$K,0))+BT87),BT87))</f>
        <v>72</v>
      </c>
      <c r="BV87" s="26">
        <f>IF(ISNUMBER(VLOOKUP($D87,'Visu totale'!$D:$DH,BV$1,0)),BU87-VLOOKUP($D87,'Visu totale'!$D:$DH,BV$1,0),IF(LEFT(VLOOKUP($D87,'Visu totale'!$D:$DH,BV$1,0),1)="V",IF(BU87&gt;=INDEX('[1]Définition Maintenances'!$G:$G,MATCH($A87,'[1]Définition Maintenances'!$K:$K,0)),BU87,INDEX('[1]Définition Maintenances'!$G:$G,MATCH($A87,'[1]Définition Maintenances'!$K:$K,0))+BU87),BU87))</f>
        <v>72</v>
      </c>
      <c r="BW87" s="26">
        <f>IF(ISNUMBER(VLOOKUP($D87,'Visu totale'!$D:$DH,BW$1,0)),BV87-VLOOKUP($D87,'Visu totale'!$D:$DH,BW$1,0),IF(LEFT(VLOOKUP($D87,'Visu totale'!$D:$DH,BW$1,0),1)="V",IF(BV87&gt;=INDEX('[1]Définition Maintenances'!$G:$G,MATCH($A87,'[1]Définition Maintenances'!$K:$K,0)),BV87,INDEX('[1]Définition Maintenances'!$G:$G,MATCH($A87,'[1]Définition Maintenances'!$K:$K,0))+BV87),BV87))</f>
        <v>72</v>
      </c>
      <c r="BX87" s="26">
        <f>IF(ISNUMBER(VLOOKUP($D87,'Visu totale'!$D:$DH,BX$1,0)),BW87-VLOOKUP($D87,'Visu totale'!$D:$DH,BX$1,0),IF(LEFT(VLOOKUP($D87,'Visu totale'!$D:$DH,BX$1,0),1)="V",IF(BW87&gt;=INDEX('[1]Définition Maintenances'!$G:$G,MATCH($A87,'[1]Définition Maintenances'!$K:$K,0)),BW87,INDEX('[1]Définition Maintenances'!$G:$G,MATCH($A87,'[1]Définition Maintenances'!$K:$K,0))+BW87),BW87))</f>
        <v>72</v>
      </c>
      <c r="BY87" s="27">
        <f>IF(ISNUMBER(VLOOKUP($D87,'Visu totale'!$D:$DH,BY$1,0)),BX87-VLOOKUP($D87,'Visu totale'!$D:$DH,BY$1,0),IF(LEFT(VLOOKUP($D87,'Visu totale'!$D:$DH,BY$1,0),1)="V",IF(BX87&gt;=INDEX('[1]Définition Maintenances'!$G:$G,MATCH($A87,'[1]Définition Maintenances'!$K:$K,0)),BX87,INDEX('[1]Définition Maintenances'!$G:$G,MATCH($A87,'[1]Définition Maintenances'!$K:$K,0))+BX87),BX87))</f>
        <v>72</v>
      </c>
      <c r="BZ87" s="25">
        <f>IF(ISNUMBER(VLOOKUP($D87,'Visu totale'!$D:$DH,BZ$1,0)),BY87-VLOOKUP($D87,'Visu totale'!$D:$DH,BZ$1,0),IF(LEFT(VLOOKUP($D87,'Visu totale'!$D:$DH,BZ$1,0),1)="V",IF(BY87&gt;=INDEX('[1]Définition Maintenances'!$G:$G,MATCH($A87,'[1]Définition Maintenances'!$K:$K,0)),BY87,INDEX('[1]Définition Maintenances'!$G:$G,MATCH($A87,'[1]Définition Maintenances'!$K:$K,0))+BY87),BY87))</f>
        <v>72</v>
      </c>
      <c r="CA87" s="26">
        <f>IF(ISNUMBER(VLOOKUP($D87,'Visu totale'!$D:$DH,CA$1,0)),BZ87-VLOOKUP($D87,'Visu totale'!$D:$DH,CA$1,0),IF(LEFT(VLOOKUP($D87,'Visu totale'!$D:$DH,CA$1,0),1)="V",IF(BZ87&gt;=INDEX('[1]Définition Maintenances'!$G:$G,MATCH($A87,'[1]Définition Maintenances'!$K:$K,0)),BZ87,INDEX('[1]Définition Maintenances'!$G:$G,MATCH($A87,'[1]Définition Maintenances'!$K:$K,0))+BZ87),BZ87))</f>
        <v>72</v>
      </c>
      <c r="CB87" s="26">
        <f>IF(ISNUMBER(VLOOKUP($D87,'Visu totale'!$D:$DH,CB$1,0)),CA87-VLOOKUP($D87,'Visu totale'!$D:$DH,CB$1,0),IF(LEFT(VLOOKUP($D87,'Visu totale'!$D:$DH,CB$1,0),1)="V",IF(CA87&gt;=INDEX('[1]Définition Maintenances'!$G:$G,MATCH($A87,'[1]Définition Maintenances'!$K:$K,0)),CA87,INDEX('[1]Définition Maintenances'!$G:$G,MATCH($A87,'[1]Définition Maintenances'!$K:$K,0))+CA87),CA87))</f>
        <v>72</v>
      </c>
      <c r="CC87" s="26">
        <f>IF(ISNUMBER(VLOOKUP($D87,'Visu totale'!$D:$DH,CC$1,0)),CB87-VLOOKUP($D87,'Visu totale'!$D:$DH,CC$1,0),IF(LEFT(VLOOKUP($D87,'Visu totale'!$D:$DH,CC$1,0),1)="V",IF(CB87&gt;=INDEX('[1]Définition Maintenances'!$G:$G,MATCH($A87,'[1]Définition Maintenances'!$K:$K,0)),CB87,INDEX('[1]Définition Maintenances'!$G:$G,MATCH($A87,'[1]Définition Maintenances'!$K:$K,0))+CB87),CB87))</f>
        <v>72</v>
      </c>
      <c r="CD87" s="26">
        <f>IF(ISNUMBER(VLOOKUP($D87,'Visu totale'!$D:$DH,CD$1,0)),CC87-VLOOKUP($D87,'Visu totale'!$D:$DH,CD$1,0),IF(LEFT(VLOOKUP($D87,'Visu totale'!$D:$DH,CD$1,0),1)="V",IF(CC87&gt;=INDEX('[1]Définition Maintenances'!$G:$G,MATCH($A87,'[1]Définition Maintenances'!$K:$K,0)),CC87,INDEX('[1]Définition Maintenances'!$G:$G,MATCH($A87,'[1]Définition Maintenances'!$K:$K,0))+CC87),CC87))</f>
        <v>72</v>
      </c>
      <c r="CE87" s="26">
        <f>IF(ISNUMBER(VLOOKUP($D87,'Visu totale'!$D:$DH,CE$1,0)),CD87-VLOOKUP($D87,'Visu totale'!$D:$DH,CE$1,0),IF(LEFT(VLOOKUP($D87,'Visu totale'!$D:$DH,CE$1,0),1)="V",IF(CD87&gt;=INDEX('[1]Définition Maintenances'!$G:$G,MATCH($A87,'[1]Définition Maintenances'!$K:$K,0)),CD87,INDEX('[1]Définition Maintenances'!$G:$G,MATCH($A87,'[1]Définition Maintenances'!$K:$K,0))+CD87),CD87))</f>
        <v>72</v>
      </c>
      <c r="CF87" s="26">
        <f>IF(ISNUMBER(VLOOKUP($D87,'Visu totale'!$D:$DH,CF$1,0)),CE87-VLOOKUP($D87,'Visu totale'!$D:$DH,CF$1,0),IF(LEFT(VLOOKUP($D87,'Visu totale'!$D:$DH,CF$1,0),1)="V",IF(CE87&gt;=INDEX('[1]Définition Maintenances'!$G:$G,MATCH($A87,'[1]Définition Maintenances'!$K:$K,0)),CE87,INDEX('[1]Définition Maintenances'!$G:$G,MATCH($A87,'[1]Définition Maintenances'!$K:$K,0))+CE87),CE87))</f>
        <v>72</v>
      </c>
      <c r="CG87" s="26">
        <f>IF(ISNUMBER(VLOOKUP($D87,'Visu totale'!$D:$DH,CG$1,0)),CF87-VLOOKUP($D87,'Visu totale'!$D:$DH,CG$1,0),IF(LEFT(VLOOKUP($D87,'Visu totale'!$D:$DH,CG$1,0),1)="V",IF(CF87&gt;=INDEX('[1]Définition Maintenances'!$G:$G,MATCH($A87,'[1]Définition Maintenances'!$K:$K,0)),CF87,INDEX('[1]Définition Maintenances'!$G:$G,MATCH($A87,'[1]Définition Maintenances'!$K:$K,0))+CF87),CF87))</f>
        <v>72</v>
      </c>
      <c r="CH87" s="26">
        <f>IF(ISNUMBER(VLOOKUP($D87,'Visu totale'!$D:$DH,CH$1,0)),CG87-VLOOKUP($D87,'Visu totale'!$D:$DH,CH$1,0),IF(LEFT(VLOOKUP($D87,'Visu totale'!$D:$DH,CH$1,0),1)="V",IF(CG87&gt;=INDEX('[1]Définition Maintenances'!$G:$G,MATCH($A87,'[1]Définition Maintenances'!$K:$K,0)),CG87,INDEX('[1]Définition Maintenances'!$G:$G,MATCH($A87,'[1]Définition Maintenances'!$K:$K,0))+CG87),CG87))</f>
        <v>72</v>
      </c>
      <c r="CI87" s="26">
        <f>IF(ISNUMBER(VLOOKUP($D87,'Visu totale'!$D:$DH,CI$1,0)),CH87-VLOOKUP($D87,'Visu totale'!$D:$DH,CI$1,0),IF(LEFT(VLOOKUP($D87,'Visu totale'!$D:$DH,CI$1,0),1)="V",IF(CH87&gt;=INDEX('[1]Définition Maintenances'!$G:$G,MATCH($A87,'[1]Définition Maintenances'!$K:$K,0)),CH87,INDEX('[1]Définition Maintenances'!$G:$G,MATCH($A87,'[1]Définition Maintenances'!$K:$K,0))+CH87),CH87))</f>
        <v>72</v>
      </c>
      <c r="CJ87" s="26">
        <f>IF(ISNUMBER(VLOOKUP($D87,'Visu totale'!$D:$DH,CJ$1,0)),CI87-VLOOKUP($D87,'Visu totale'!$D:$DH,CJ$1,0),IF(LEFT(VLOOKUP($D87,'Visu totale'!$D:$DH,CJ$1,0),1)="V",IF(CI87&gt;=INDEX('[1]Définition Maintenances'!$G:$G,MATCH($A87,'[1]Définition Maintenances'!$K:$K,0)),CI87,INDEX('[1]Définition Maintenances'!$G:$G,MATCH($A87,'[1]Définition Maintenances'!$K:$K,0))+CI87),CI87))</f>
        <v>72</v>
      </c>
      <c r="CK87" s="27">
        <f>IF(ISNUMBER(VLOOKUP($D87,'Visu totale'!$D:$DH,CK$1,0)),CJ87-VLOOKUP($D87,'Visu totale'!$D:$DH,CK$1,0),IF(LEFT(VLOOKUP($D87,'Visu totale'!$D:$DH,CK$1,0),1)="V",IF(CJ87&gt;=INDEX('[1]Définition Maintenances'!$G:$G,MATCH($A87,'[1]Définition Maintenances'!$K:$K,0)),CJ87,INDEX('[1]Définition Maintenances'!$G:$G,MATCH($A87,'[1]Définition Maintenances'!$K:$K,0))+CJ87),CJ87))</f>
        <v>72</v>
      </c>
      <c r="CL87" s="25">
        <f>IF(ISNUMBER(VLOOKUP($D87,'Visu totale'!$D:$DH,CL$1,0)),CK87-VLOOKUP($D87,'Visu totale'!$D:$DH,CL$1,0),IF(LEFT(VLOOKUP($D87,'Visu totale'!$D:$DH,CL$1,0),1)="V",IF(CK87&gt;=INDEX('[1]Définition Maintenances'!$G:$G,MATCH($A87,'[1]Définition Maintenances'!$K:$K,0)),CK87,INDEX('[1]Définition Maintenances'!$G:$G,MATCH($A87,'[1]Définition Maintenances'!$K:$K,0))+CK87),CK87))</f>
        <v>72</v>
      </c>
      <c r="CM87" s="26">
        <f>IF(ISNUMBER(VLOOKUP($D87,'Visu totale'!$D:$DH,CM$1,0)),CL87-VLOOKUP($D87,'Visu totale'!$D:$DH,CM$1,0),IF(LEFT(VLOOKUP($D87,'Visu totale'!$D:$DH,CM$1,0),1)="V",IF(CL87&gt;=INDEX('[1]Définition Maintenances'!$G:$G,MATCH($A87,'[1]Définition Maintenances'!$K:$K,0)),CL87,INDEX('[1]Définition Maintenances'!$G:$G,MATCH($A87,'[1]Définition Maintenances'!$K:$K,0))+CL87),CL87))</f>
        <v>72</v>
      </c>
      <c r="CN87" s="26">
        <f>IF(ISNUMBER(VLOOKUP($D87,'Visu totale'!$D:$DH,CN$1,0)),CM87-VLOOKUP($D87,'Visu totale'!$D:$DH,CN$1,0),IF(LEFT(VLOOKUP($D87,'Visu totale'!$D:$DH,CN$1,0),1)="V",IF(CM87&gt;=INDEX('[1]Définition Maintenances'!$G:$G,MATCH($A87,'[1]Définition Maintenances'!$K:$K,0)),CM87,INDEX('[1]Définition Maintenances'!$G:$G,MATCH($A87,'[1]Définition Maintenances'!$K:$K,0))+CM87),CM87))</f>
        <v>72</v>
      </c>
      <c r="CO87" s="26">
        <f>IF(ISNUMBER(VLOOKUP($D87,'Visu totale'!$D:$DH,CO$1,0)),CN87-VLOOKUP($D87,'Visu totale'!$D:$DH,CO$1,0),IF(LEFT(VLOOKUP($D87,'Visu totale'!$D:$DH,CO$1,0),1)="V",IF(CN87&gt;=INDEX('[1]Définition Maintenances'!$G:$G,MATCH($A87,'[1]Définition Maintenances'!$K:$K,0)),CN87,INDEX('[1]Définition Maintenances'!$G:$G,MATCH($A87,'[1]Définition Maintenances'!$K:$K,0))+CN87),CN87))</f>
        <v>72</v>
      </c>
      <c r="CP87" s="26">
        <f>IF(ISNUMBER(VLOOKUP($D87,'Visu totale'!$D:$DH,CP$1,0)),CO87-VLOOKUP($D87,'Visu totale'!$D:$DH,CP$1,0),IF(LEFT(VLOOKUP($D87,'Visu totale'!$D:$DH,CP$1,0),1)="V",IF(CO87&gt;=INDEX('[1]Définition Maintenances'!$G:$G,MATCH($A87,'[1]Définition Maintenances'!$K:$K,0)),CO87,INDEX('[1]Définition Maintenances'!$G:$G,MATCH($A87,'[1]Définition Maintenances'!$K:$K,0))+CO87),CO87))</f>
        <v>72</v>
      </c>
      <c r="CQ87" s="26">
        <f>IF(ISNUMBER(VLOOKUP($D87,'Visu totale'!$D:$DH,CQ$1,0)),CP87-VLOOKUP($D87,'Visu totale'!$D:$DH,CQ$1,0),IF(LEFT(VLOOKUP($D87,'Visu totale'!$D:$DH,CQ$1,0),1)="V",IF(CP87&gt;=INDEX('[1]Définition Maintenances'!$G:$G,MATCH($A87,'[1]Définition Maintenances'!$K:$K,0)),CP87,INDEX('[1]Définition Maintenances'!$G:$G,MATCH($A87,'[1]Définition Maintenances'!$K:$K,0))+CP87),CP87))</f>
        <v>72</v>
      </c>
      <c r="CR87" s="26">
        <f>IF(ISNUMBER(VLOOKUP($D87,'Visu totale'!$D:$DH,CR$1,0)),CQ87-VLOOKUP($D87,'Visu totale'!$D:$DH,CR$1,0),IF(LEFT(VLOOKUP($D87,'Visu totale'!$D:$DH,CR$1,0),1)="V",IF(CQ87&gt;=INDEX('[1]Définition Maintenances'!$G:$G,MATCH($A87,'[1]Définition Maintenances'!$K:$K,0)),CQ87,INDEX('[1]Définition Maintenances'!$G:$G,MATCH($A87,'[1]Définition Maintenances'!$K:$K,0))+CQ87),CQ87))</f>
        <v>72</v>
      </c>
      <c r="CS87" s="26">
        <f>IF(ISNUMBER(VLOOKUP($D87,'Visu totale'!$D:$DH,CS$1,0)),CR87-VLOOKUP($D87,'Visu totale'!$D:$DH,CS$1,0),IF(LEFT(VLOOKUP($D87,'Visu totale'!$D:$DH,CS$1,0),1)="V",IF(CR87&gt;=INDEX('[1]Définition Maintenances'!$G:$G,MATCH($A87,'[1]Définition Maintenances'!$K:$K,0)),CR87,INDEX('[1]Définition Maintenances'!$G:$G,MATCH($A87,'[1]Définition Maintenances'!$K:$K,0))+CR87),CR87))</f>
        <v>72</v>
      </c>
      <c r="CT87" s="26">
        <f>IF(ISNUMBER(VLOOKUP($D87,'Visu totale'!$D:$DH,CT$1,0)),CS87-VLOOKUP($D87,'Visu totale'!$D:$DH,CT$1,0),IF(LEFT(VLOOKUP($D87,'Visu totale'!$D:$DH,CT$1,0),1)="V",IF(CS87&gt;=INDEX('[1]Définition Maintenances'!$G:$G,MATCH($A87,'[1]Définition Maintenances'!$K:$K,0)),CS87,INDEX('[1]Définition Maintenances'!$G:$G,MATCH($A87,'[1]Définition Maintenances'!$K:$K,0))+CS87),CS87))</f>
        <v>72</v>
      </c>
      <c r="CU87" s="26">
        <f>IF(ISNUMBER(VLOOKUP($D87,'Visu totale'!$D:$DH,CU$1,0)),CT87-VLOOKUP($D87,'Visu totale'!$D:$DH,CU$1,0),IF(LEFT(VLOOKUP($D87,'Visu totale'!$D:$DH,CU$1,0),1)="V",IF(CT87&gt;=INDEX('[1]Définition Maintenances'!$G:$G,MATCH($A87,'[1]Définition Maintenances'!$K:$K,0)),CT87,INDEX('[1]Définition Maintenances'!$G:$G,MATCH($A87,'[1]Définition Maintenances'!$K:$K,0))+CT87),CT87))</f>
        <v>72</v>
      </c>
      <c r="CV87" s="26">
        <f>IF(ISNUMBER(VLOOKUP($D87,'Visu totale'!$D:$DH,CV$1,0)),CU87-VLOOKUP($D87,'Visu totale'!$D:$DH,CV$1,0),IF(LEFT(VLOOKUP($D87,'Visu totale'!$D:$DH,CV$1,0),1)="V",IF(CU87&gt;=INDEX('[1]Définition Maintenances'!$G:$G,MATCH($A87,'[1]Définition Maintenances'!$K:$K,0)),CU87,INDEX('[1]Définition Maintenances'!$G:$G,MATCH($A87,'[1]Définition Maintenances'!$K:$K,0))+CU87),CU87))</f>
        <v>72</v>
      </c>
      <c r="CW87" s="27">
        <f>IF(ISNUMBER(VLOOKUP($D87,'Visu totale'!$D:$DH,CW$1,0)),CV87-VLOOKUP($D87,'Visu totale'!$D:$DH,CW$1,0),IF(LEFT(VLOOKUP($D87,'Visu totale'!$D:$DH,CW$1,0),1)="V",IF(CV87&gt;=INDEX('[1]Définition Maintenances'!$G:$G,MATCH($A87,'[1]Définition Maintenances'!$K:$K,0)),CV87,INDEX('[1]Définition Maintenances'!$G:$G,MATCH($A87,'[1]Définition Maintenances'!$K:$K,0))+CV87),CV87))</f>
        <v>72</v>
      </c>
      <c r="CX87" s="25">
        <f>IF(ISNUMBER(VLOOKUP($D87,'Visu totale'!$D:$DH,CX$1,0)),CW87-VLOOKUP($D87,'Visu totale'!$D:$DH,CX$1,0),IF(LEFT(VLOOKUP($D87,'Visu totale'!$D:$DH,CX$1,0),1)="V",IF(CW87&gt;=INDEX('[1]Définition Maintenances'!$G:$G,MATCH($A87,'[1]Définition Maintenances'!$K:$K,0)),CW87,INDEX('[1]Définition Maintenances'!$G:$G,MATCH($A87,'[1]Définition Maintenances'!$K:$K,0))+CW87),CW87))</f>
        <v>72</v>
      </c>
      <c r="CY87" s="26">
        <f>IF(ISNUMBER(VLOOKUP($D87,'Visu totale'!$D:$DH,CY$1,0)),CX87-VLOOKUP($D87,'Visu totale'!$D:$DH,CY$1,0),IF(LEFT(VLOOKUP($D87,'Visu totale'!$D:$DH,CY$1,0),1)="V",IF(CX87&gt;=INDEX('[1]Définition Maintenances'!$G:$G,MATCH($A87,'[1]Définition Maintenances'!$K:$K,0)),CX87,INDEX('[1]Définition Maintenances'!$G:$G,MATCH($A87,'[1]Définition Maintenances'!$K:$K,0))+CX87),CX87))</f>
        <v>72</v>
      </c>
      <c r="CZ87" s="26">
        <f>IF(ISNUMBER(VLOOKUP($D87,'Visu totale'!$D:$DH,CZ$1,0)),CY87-VLOOKUP($D87,'Visu totale'!$D:$DH,CZ$1,0),IF(LEFT(VLOOKUP($D87,'Visu totale'!$D:$DH,CZ$1,0),1)="V",IF(CY87&gt;=INDEX('[1]Définition Maintenances'!$G:$G,MATCH($A87,'[1]Définition Maintenances'!$K:$K,0)),CY87,INDEX('[1]Définition Maintenances'!$G:$G,MATCH($A87,'[1]Définition Maintenances'!$K:$K,0))+CY87),CY87))</f>
        <v>72</v>
      </c>
      <c r="DA87" s="26">
        <f>IF(ISNUMBER(VLOOKUP($D87,'Visu totale'!$D:$DH,DA$1,0)),CZ87-VLOOKUP($D87,'Visu totale'!$D:$DH,DA$1,0),IF(LEFT(VLOOKUP($D87,'Visu totale'!$D:$DH,DA$1,0),1)="V",IF(CZ87&gt;=INDEX('[1]Définition Maintenances'!$G:$G,MATCH($A87,'[1]Définition Maintenances'!$K:$K,0)),CZ87,INDEX('[1]Définition Maintenances'!$G:$G,MATCH($A87,'[1]Définition Maintenances'!$K:$K,0))+CZ87),CZ87))</f>
        <v>72</v>
      </c>
      <c r="DB87" s="26">
        <f>IF(ISNUMBER(VLOOKUP($D87,'Visu totale'!$D:$DH,DB$1,0)),DA87-VLOOKUP($D87,'Visu totale'!$D:$DH,DB$1,0),IF(LEFT(VLOOKUP($D87,'Visu totale'!$D:$DH,DB$1,0),1)="V",IF(DA87&gt;=INDEX('[1]Définition Maintenances'!$G:$G,MATCH($A87,'[1]Définition Maintenances'!$K:$K,0)),DA87,INDEX('[1]Définition Maintenances'!$G:$G,MATCH($A87,'[1]Définition Maintenances'!$K:$K,0))+DA87),DA87))</f>
        <v>72</v>
      </c>
      <c r="DC87" s="26">
        <f>IF(ISNUMBER(VLOOKUP($D87,'Visu totale'!$D:$DH,DC$1,0)),DB87-VLOOKUP($D87,'Visu totale'!$D:$DH,DC$1,0),IF(LEFT(VLOOKUP($D87,'Visu totale'!$D:$DH,DC$1,0),1)="V",IF(DB87&gt;=INDEX('[1]Définition Maintenances'!$G:$G,MATCH($A87,'[1]Définition Maintenances'!$K:$K,0)),DB87,INDEX('[1]Définition Maintenances'!$G:$G,MATCH($A87,'[1]Définition Maintenances'!$K:$K,0))+DB87),DB87))</f>
        <v>72</v>
      </c>
      <c r="DD87" s="26">
        <f>IF(ISNUMBER(VLOOKUP($D87,'Visu totale'!$D:$DH,DD$1,0)),DC87-VLOOKUP($D87,'Visu totale'!$D:$DH,DD$1,0),IF(LEFT(VLOOKUP($D87,'Visu totale'!$D:$DH,DD$1,0),1)="V",IF(DC87&gt;=INDEX('[1]Définition Maintenances'!$G:$G,MATCH($A87,'[1]Définition Maintenances'!$K:$K,0)),DC87,INDEX('[1]Définition Maintenances'!$G:$G,MATCH($A87,'[1]Définition Maintenances'!$K:$K,0))+DC87),DC87))</f>
        <v>72</v>
      </c>
      <c r="DE87" s="26">
        <f>IF(ISNUMBER(VLOOKUP($D87,'Visu totale'!$D:$DH,DE$1,0)),DD87-VLOOKUP($D87,'Visu totale'!$D:$DH,DE$1,0),IF(LEFT(VLOOKUP($D87,'Visu totale'!$D:$DH,DE$1,0),1)="V",IF(DD87&gt;=INDEX('[1]Définition Maintenances'!$G:$G,MATCH($A87,'[1]Définition Maintenances'!$K:$K,0)),DD87,INDEX('[1]Définition Maintenances'!$G:$G,MATCH($A87,'[1]Définition Maintenances'!$K:$K,0))+DD87),DD87))</f>
        <v>72</v>
      </c>
      <c r="DF87" s="26">
        <f>IF(ISNUMBER(VLOOKUP($D87,'Visu totale'!$D:$DH,DF$1,0)),DE87-VLOOKUP($D87,'Visu totale'!$D:$DH,DF$1,0),IF(LEFT(VLOOKUP($D87,'Visu totale'!$D:$DH,DF$1,0),1)="V",IF(DE87&gt;=INDEX('[1]Définition Maintenances'!$G:$G,MATCH($A87,'[1]Définition Maintenances'!$K:$K,0)),DE87,INDEX('[1]Définition Maintenances'!$G:$G,MATCH($A87,'[1]Définition Maintenances'!$K:$K,0))+DE87),DE87))</f>
        <v>72</v>
      </c>
      <c r="DG87" s="26">
        <f>IF(ISNUMBER(VLOOKUP($D87,'Visu totale'!$D:$DH,DG$1,0)),DF87-VLOOKUP($D87,'Visu totale'!$D:$DH,DG$1,0),IF(LEFT(VLOOKUP($D87,'Visu totale'!$D:$DH,DG$1,0),1)="V",IF(DF87&gt;=INDEX('[1]Définition Maintenances'!$G:$G,MATCH($A87,'[1]Définition Maintenances'!$K:$K,0)),DF87,INDEX('[1]Définition Maintenances'!$G:$G,MATCH($A87,'[1]Définition Maintenances'!$K:$K,0))+DF87),DF87))</f>
        <v>72</v>
      </c>
      <c r="DH87" s="26">
        <f>IF(ISNUMBER(VLOOKUP($D87,'Visu totale'!$D:$DH,DH$1,0)),DG87-VLOOKUP($D87,'Visu totale'!$D:$DH,DH$1,0),IF(LEFT(VLOOKUP($D87,'Visu totale'!$D:$DH,DH$1,0),1)="V",IF(DG87&gt;=INDEX('[1]Définition Maintenances'!$G:$G,MATCH($A87,'[1]Définition Maintenances'!$K:$K,0)),DG87,INDEX('[1]Définition Maintenances'!$G:$G,MATCH($A87,'[1]Définition Maintenances'!$K:$K,0))+DG87),DG87))</f>
        <v>72</v>
      </c>
      <c r="DI87" s="27">
        <f>IF(ISNUMBER(VLOOKUP($D87,'Visu totale'!$D:$DH,DI$1,0)),DH87-VLOOKUP($D87,'Visu totale'!$D:$DH,DI$1,0),IF(LEFT(VLOOKUP($D87,'Visu totale'!$D:$DH,DI$1,0),1)="V",IF(DH87&gt;=INDEX('[1]Définition Maintenances'!$G:$G,MATCH($A87,'[1]Définition Maintenances'!$K:$K,0)),DH87,INDEX('[1]Définition Maintenances'!$G:$G,MATCH($A87,'[1]Définition Maintenances'!$K:$K,0))+DH87),DH87))</f>
        <v>72</v>
      </c>
    </row>
    <row r="88" spans="1:113" x14ac:dyDescent="0.25">
      <c r="A88" s="13" t="str">
        <f t="shared" si="2"/>
        <v>V15C</v>
      </c>
      <c r="B88" s="13" t="str">
        <f>VLOOKUP(D88,'[1]Avions (Potentiels)'!$B$2:$H$128,7,FALSE)</f>
        <v>V15</v>
      </c>
      <c r="C88" s="13"/>
      <c r="D88" s="16" t="s">
        <v>91</v>
      </c>
      <c r="E88" s="13">
        <f>IFERROR(VALUE(SUBSTITUTE(VLOOKUP(D88,'[1]Avions (Potentiels)'!$B:$E,4,0),".",",")),VALUE(VLOOKUP(D88,'[1]Avions (Potentiels)'!$B:$E,4,0)))</f>
        <v>1000</v>
      </c>
      <c r="F88" s="25">
        <f>IF(ISNUMBER(VLOOKUP($D88,'Visu totale'!$D:$DH,F$1,0)),E88-VLOOKUP($D88,'Visu totale'!$D:$DH,F$1,0),IF(LEFT(VLOOKUP($D88,'Visu totale'!$D:$DH,F$1,0),1)="V",IF(E88&gt;=INDEX('[1]Définition Maintenances'!$G:$G,MATCH($A88,'[1]Définition Maintenances'!$K:$K,0)),E88,INDEX('[1]Définition Maintenances'!$G:$G,MATCH($A88,'[1]Définition Maintenances'!$K:$K,0))+E88),E88))</f>
        <v>1000</v>
      </c>
      <c r="G88" s="26">
        <f>IF(ISNUMBER(VLOOKUP($D88,'Visu totale'!$D:$DH,G$1,0)),F88-VLOOKUP($D88,'Visu totale'!$D:$DH,G$1,0),IF(LEFT(VLOOKUP($D88,'Visu totale'!$D:$DH,G$1,0),1)="V",IF(F88&gt;=INDEX('[1]Définition Maintenances'!$G:$G,MATCH($A88,'[1]Définition Maintenances'!$K:$K,0)),F88,INDEX('[1]Définition Maintenances'!$G:$G,MATCH($A88,'[1]Définition Maintenances'!$K:$K,0))+F88),F88))</f>
        <v>1000</v>
      </c>
      <c r="H88" s="26">
        <f>IF(ISNUMBER(VLOOKUP($D88,'Visu totale'!$D:$DH,H$1,0)),G88-VLOOKUP($D88,'Visu totale'!$D:$DH,H$1,0),IF(LEFT(VLOOKUP($D88,'Visu totale'!$D:$DH,H$1,0),1)="V",IF(G88&gt;=INDEX('[1]Définition Maintenances'!$G:$G,MATCH($A88,'[1]Définition Maintenances'!$K:$K,0)),G88,INDEX('[1]Définition Maintenances'!$G:$G,MATCH($A88,'[1]Définition Maintenances'!$K:$K,0))+G88),G88))</f>
        <v>1000</v>
      </c>
      <c r="I88" s="26">
        <f>IF(ISNUMBER(VLOOKUP($D88,'Visu totale'!$D:$DH,I$1,0)),H88-VLOOKUP($D88,'Visu totale'!$D:$DH,I$1,0),IF(LEFT(VLOOKUP($D88,'Visu totale'!$D:$DH,I$1,0),1)="V",IF(H88&gt;=INDEX('[1]Définition Maintenances'!$G:$G,MATCH($A88,'[1]Définition Maintenances'!$K:$K,0)),H88,INDEX('[1]Définition Maintenances'!$G:$G,MATCH($A88,'[1]Définition Maintenances'!$K:$K,0))+H88),H88))</f>
        <v>1000</v>
      </c>
      <c r="J88" s="26">
        <f>IF(ISNUMBER(VLOOKUP($D88,'Visu totale'!$D:$DH,J$1,0)),I88-VLOOKUP($D88,'Visu totale'!$D:$DH,J$1,0),IF(LEFT(VLOOKUP($D88,'Visu totale'!$D:$DH,J$1,0),1)="V",IF(I88&gt;=INDEX('[1]Définition Maintenances'!$G:$G,MATCH($A88,'[1]Définition Maintenances'!$K:$K,0)),I88,INDEX('[1]Définition Maintenances'!$G:$G,MATCH($A88,'[1]Définition Maintenances'!$K:$K,0))+I88),I88))</f>
        <v>1000</v>
      </c>
      <c r="K88" s="26">
        <f>IF(ISNUMBER(VLOOKUP($D88,'Visu totale'!$D:$DH,K$1,0)),J88-VLOOKUP($D88,'Visu totale'!$D:$DH,K$1,0),IF(LEFT(VLOOKUP($D88,'Visu totale'!$D:$DH,K$1,0),1)="V",IF(J88&gt;=INDEX('[1]Définition Maintenances'!$G:$G,MATCH($A88,'[1]Définition Maintenances'!$K:$K,0)),J88,INDEX('[1]Définition Maintenances'!$G:$G,MATCH($A88,'[1]Définition Maintenances'!$K:$K,0))+J88),J88))</f>
        <v>1000</v>
      </c>
      <c r="L88" s="26">
        <f>IF(ISNUMBER(VLOOKUP($D88,'Visu totale'!$D:$DH,L$1,0)),K88-VLOOKUP($D88,'Visu totale'!$D:$DH,L$1,0),IF(LEFT(VLOOKUP($D88,'Visu totale'!$D:$DH,L$1,0),1)="V",IF(K88&gt;=INDEX('[1]Définition Maintenances'!$G:$G,MATCH($A88,'[1]Définition Maintenances'!$K:$K,0)),K88,INDEX('[1]Définition Maintenances'!$G:$G,MATCH($A88,'[1]Définition Maintenances'!$K:$K,0))+K88),K88))</f>
        <v>1000</v>
      </c>
      <c r="M88" s="26">
        <f>IF(ISNUMBER(VLOOKUP($D88,'Visu totale'!$D:$DH,M$1,0)),L88-VLOOKUP($D88,'Visu totale'!$D:$DH,M$1,0),IF(LEFT(VLOOKUP($D88,'Visu totale'!$D:$DH,M$1,0),1)="V",IF(L88&gt;=INDEX('[1]Définition Maintenances'!$G:$G,MATCH($A88,'[1]Définition Maintenances'!$K:$K,0)),L88,INDEX('[1]Définition Maintenances'!$G:$G,MATCH($A88,'[1]Définition Maintenances'!$K:$K,0))+L88),L88))</f>
        <v>1000</v>
      </c>
      <c r="N88" s="26">
        <f>IF(ISNUMBER(VLOOKUP($D88,'Visu totale'!$D:$DH,N$1,0)),M88-VLOOKUP($D88,'Visu totale'!$D:$DH,N$1,0),IF(LEFT(VLOOKUP($D88,'Visu totale'!$D:$DH,N$1,0),1)="V",IF(M88&gt;=INDEX('[1]Définition Maintenances'!$G:$G,MATCH($A88,'[1]Définition Maintenances'!$K:$K,0)),M88,INDEX('[1]Définition Maintenances'!$G:$G,MATCH($A88,'[1]Définition Maintenances'!$K:$K,0))+M88),M88))</f>
        <v>1000</v>
      </c>
      <c r="O88" s="26">
        <f>IF(ISNUMBER(VLOOKUP($D88,'Visu totale'!$D:$DH,O$1,0)),N88-VLOOKUP($D88,'Visu totale'!$D:$DH,O$1,0),IF(LEFT(VLOOKUP($D88,'Visu totale'!$D:$DH,O$1,0),1)="V",IF(N88&gt;=INDEX('[1]Définition Maintenances'!$G:$G,MATCH($A88,'[1]Définition Maintenances'!$K:$K,0)),N88,INDEX('[1]Définition Maintenances'!$G:$G,MATCH($A88,'[1]Définition Maintenances'!$K:$K,0))+N88),N88))</f>
        <v>1000</v>
      </c>
      <c r="P88" s="26">
        <f>IF(ISNUMBER(VLOOKUP($D88,'Visu totale'!$D:$DH,P$1,0)),O88-VLOOKUP($D88,'Visu totale'!$D:$DH,P$1,0),IF(LEFT(VLOOKUP($D88,'Visu totale'!$D:$DH,P$1,0),1)="V",IF(O88&gt;=INDEX('[1]Définition Maintenances'!$G:$G,MATCH($A88,'[1]Définition Maintenances'!$K:$K,0)),O88,INDEX('[1]Définition Maintenances'!$G:$G,MATCH($A88,'[1]Définition Maintenances'!$K:$K,0))+O88),O88))</f>
        <v>1000</v>
      </c>
      <c r="Q88" s="27">
        <f>IF(ISNUMBER(VLOOKUP($D88,'Visu totale'!$D:$DH,Q$1,0)),P88-VLOOKUP($D88,'Visu totale'!$D:$DH,Q$1,0),IF(LEFT(VLOOKUP($D88,'Visu totale'!$D:$DH,Q$1,0),1)="V",IF(P88&gt;=INDEX('[1]Définition Maintenances'!$G:$G,MATCH($A88,'[1]Définition Maintenances'!$K:$K,0)),P88,INDEX('[1]Définition Maintenances'!$G:$G,MATCH($A88,'[1]Définition Maintenances'!$K:$K,0))+P88),P88))</f>
        <v>1000</v>
      </c>
      <c r="R88" s="25">
        <f>IF(ISNUMBER(VLOOKUP($D88,'Visu totale'!$D:$DH,R$1,0)),Q88-VLOOKUP($D88,'Visu totale'!$D:$DH,R$1,0),IF(LEFT(VLOOKUP($D88,'Visu totale'!$D:$DH,R$1,0),1)="V",IF(Q88&gt;=INDEX('[1]Définition Maintenances'!$G:$G,MATCH($A88,'[1]Définition Maintenances'!$K:$K,0)),Q88,INDEX('[1]Définition Maintenances'!$G:$G,MATCH($A88,'[1]Définition Maintenances'!$K:$K,0))+Q88),Q88))</f>
        <v>1000</v>
      </c>
      <c r="S88" s="26">
        <f>IF(ISNUMBER(VLOOKUP($D88,'Visu totale'!$D:$DH,S$1,0)),R88-VLOOKUP($D88,'Visu totale'!$D:$DH,S$1,0),IF(LEFT(VLOOKUP($D88,'Visu totale'!$D:$DH,S$1,0),1)="V",IF(R88&gt;=INDEX('[1]Définition Maintenances'!$G:$G,MATCH($A88,'[1]Définition Maintenances'!$K:$K,0)),R88,INDEX('[1]Définition Maintenances'!$G:$G,MATCH($A88,'[1]Définition Maintenances'!$K:$K,0))+R88),R88))</f>
        <v>1000</v>
      </c>
      <c r="T88" s="26">
        <f>IF(ISNUMBER(VLOOKUP($D88,'Visu totale'!$D:$DH,T$1,0)),S88-VLOOKUP($D88,'Visu totale'!$D:$DH,T$1,0),IF(LEFT(VLOOKUP($D88,'Visu totale'!$D:$DH,T$1,0),1)="V",IF(S88&gt;=INDEX('[1]Définition Maintenances'!$G:$G,MATCH($A88,'[1]Définition Maintenances'!$K:$K,0)),S88,INDEX('[1]Définition Maintenances'!$G:$G,MATCH($A88,'[1]Définition Maintenances'!$K:$K,0))+S88),S88))</f>
        <v>1000</v>
      </c>
      <c r="U88" s="26">
        <f>IF(ISNUMBER(VLOOKUP($D88,'Visu totale'!$D:$DH,U$1,0)),T88-VLOOKUP($D88,'Visu totale'!$D:$DH,U$1,0),IF(LEFT(VLOOKUP($D88,'Visu totale'!$D:$DH,U$1,0),1)="V",IF(T88&gt;=INDEX('[1]Définition Maintenances'!$G:$G,MATCH($A88,'[1]Définition Maintenances'!$K:$K,0)),T88,INDEX('[1]Définition Maintenances'!$G:$G,MATCH($A88,'[1]Définition Maintenances'!$K:$K,0))+T88),T88))</f>
        <v>1000</v>
      </c>
      <c r="V88" s="26">
        <f>IF(ISNUMBER(VLOOKUP($D88,'Visu totale'!$D:$DH,V$1,0)),U88-VLOOKUP($D88,'Visu totale'!$D:$DH,V$1,0),IF(LEFT(VLOOKUP($D88,'Visu totale'!$D:$DH,V$1,0),1)="V",IF(U88&gt;=INDEX('[1]Définition Maintenances'!$G:$G,MATCH($A88,'[1]Définition Maintenances'!$K:$K,0)),U88,INDEX('[1]Définition Maintenances'!$G:$G,MATCH($A88,'[1]Définition Maintenances'!$K:$K,0))+U88),U88))</f>
        <v>1000</v>
      </c>
      <c r="W88" s="26">
        <f>IF(ISNUMBER(VLOOKUP($D88,'Visu totale'!$D:$DH,W$1,0)),V88-VLOOKUP($D88,'Visu totale'!$D:$DH,W$1,0),IF(LEFT(VLOOKUP($D88,'Visu totale'!$D:$DH,W$1,0),1)="V",IF(V88&gt;=INDEX('[1]Définition Maintenances'!$G:$G,MATCH($A88,'[1]Définition Maintenances'!$K:$K,0)),V88,INDEX('[1]Définition Maintenances'!$G:$G,MATCH($A88,'[1]Définition Maintenances'!$K:$K,0))+V88),V88))</f>
        <v>1000</v>
      </c>
      <c r="X88" s="26">
        <f>IF(ISNUMBER(VLOOKUP($D88,'Visu totale'!$D:$DH,X$1,0)),W88-VLOOKUP($D88,'Visu totale'!$D:$DH,X$1,0),IF(LEFT(VLOOKUP($D88,'Visu totale'!$D:$DH,X$1,0),1)="V",IF(W88&gt;=INDEX('[1]Définition Maintenances'!$G:$G,MATCH($A88,'[1]Définition Maintenances'!$K:$K,0)),W88,INDEX('[1]Définition Maintenances'!$G:$G,MATCH($A88,'[1]Définition Maintenances'!$K:$K,0))+W88),W88))</f>
        <v>1000</v>
      </c>
      <c r="Y88" s="26">
        <f>IF(ISNUMBER(VLOOKUP($D88,'Visu totale'!$D:$DH,Y$1,0)),X88-VLOOKUP($D88,'Visu totale'!$D:$DH,Y$1,0),IF(LEFT(VLOOKUP($D88,'Visu totale'!$D:$DH,Y$1,0),1)="V",IF(X88&gt;=INDEX('[1]Définition Maintenances'!$G:$G,MATCH($A88,'[1]Définition Maintenances'!$K:$K,0)),X88,INDEX('[1]Définition Maintenances'!$G:$G,MATCH($A88,'[1]Définition Maintenances'!$K:$K,0))+X88),X88))</f>
        <v>1000</v>
      </c>
      <c r="Z88" s="26">
        <f>IF(ISNUMBER(VLOOKUP($D88,'Visu totale'!$D:$DH,Z$1,0)),Y88-VLOOKUP($D88,'Visu totale'!$D:$DH,Z$1,0),IF(LEFT(VLOOKUP($D88,'Visu totale'!$D:$DH,Z$1,0),1)="V",IF(Y88&gt;=INDEX('[1]Définition Maintenances'!$G:$G,MATCH($A88,'[1]Définition Maintenances'!$K:$K,0)),Y88,INDEX('[1]Définition Maintenances'!$G:$G,MATCH($A88,'[1]Définition Maintenances'!$K:$K,0))+Y88),Y88))</f>
        <v>1000</v>
      </c>
      <c r="AA88" s="26">
        <f>IF(ISNUMBER(VLOOKUP($D88,'Visu totale'!$D:$DH,AA$1,0)),Z88-VLOOKUP($D88,'Visu totale'!$D:$DH,AA$1,0),IF(LEFT(VLOOKUP($D88,'Visu totale'!$D:$DH,AA$1,0),1)="V",IF(Z88&gt;=INDEX('[1]Définition Maintenances'!$G:$G,MATCH($A88,'[1]Définition Maintenances'!$K:$K,0)),Z88,INDEX('[1]Définition Maintenances'!$G:$G,MATCH($A88,'[1]Définition Maintenances'!$K:$K,0))+Z88),Z88))</f>
        <v>1000</v>
      </c>
      <c r="AB88" s="26">
        <f>IF(ISNUMBER(VLOOKUP($D88,'Visu totale'!$D:$DH,AB$1,0)),AA88-VLOOKUP($D88,'Visu totale'!$D:$DH,AB$1,0),IF(LEFT(VLOOKUP($D88,'Visu totale'!$D:$DH,AB$1,0),1)="V",IF(AA88&gt;=INDEX('[1]Définition Maintenances'!$G:$G,MATCH($A88,'[1]Définition Maintenances'!$K:$K,0)),AA88,INDEX('[1]Définition Maintenances'!$G:$G,MATCH($A88,'[1]Définition Maintenances'!$K:$K,0))+AA88),AA88))</f>
        <v>1000</v>
      </c>
      <c r="AC88" s="27">
        <f>IF(ISNUMBER(VLOOKUP($D88,'Visu totale'!$D:$DH,AC$1,0)),AB88-VLOOKUP($D88,'Visu totale'!$D:$DH,AC$1,0),IF(LEFT(VLOOKUP($D88,'Visu totale'!$D:$DH,AC$1,0),1)="V",IF(AB88&gt;=INDEX('[1]Définition Maintenances'!$G:$G,MATCH($A88,'[1]Définition Maintenances'!$K:$K,0)),AB88,INDEX('[1]Définition Maintenances'!$G:$G,MATCH($A88,'[1]Définition Maintenances'!$K:$K,0))+AB88),AB88))</f>
        <v>1000</v>
      </c>
      <c r="AD88" s="25">
        <f>IF(ISNUMBER(VLOOKUP($D88,'Visu totale'!$D:$DH,AD$1,0)),AC88-VLOOKUP($D88,'Visu totale'!$D:$DH,AD$1,0),IF(LEFT(VLOOKUP($D88,'Visu totale'!$D:$DH,AD$1,0),1)="V",IF(AC88&gt;=INDEX('[1]Définition Maintenances'!$G:$G,MATCH($A88,'[1]Définition Maintenances'!$K:$K,0)),AC88,INDEX('[1]Définition Maintenances'!$G:$G,MATCH($A88,'[1]Définition Maintenances'!$K:$K,0))+AC88),AC88))</f>
        <v>1000</v>
      </c>
      <c r="AE88" s="26">
        <f>IF(ISNUMBER(VLOOKUP($D88,'Visu totale'!$D:$DH,AE$1,0)),AD88-VLOOKUP($D88,'Visu totale'!$D:$DH,AE$1,0),IF(LEFT(VLOOKUP($D88,'Visu totale'!$D:$DH,AE$1,0),1)="V",IF(AD88&gt;=INDEX('[1]Définition Maintenances'!$G:$G,MATCH($A88,'[1]Définition Maintenances'!$K:$K,0)),AD88,INDEX('[1]Définition Maintenances'!$G:$G,MATCH($A88,'[1]Définition Maintenances'!$K:$K,0))+AD88),AD88))</f>
        <v>1000</v>
      </c>
      <c r="AF88" s="26">
        <f>IF(ISNUMBER(VLOOKUP($D88,'Visu totale'!$D:$DH,AF$1,0)),AE88-VLOOKUP($D88,'Visu totale'!$D:$DH,AF$1,0),IF(LEFT(VLOOKUP($D88,'Visu totale'!$D:$DH,AF$1,0),1)="V",IF(AE88&gt;=INDEX('[1]Définition Maintenances'!$G:$G,MATCH($A88,'[1]Définition Maintenances'!$K:$K,0)),AE88,INDEX('[1]Définition Maintenances'!$G:$G,MATCH($A88,'[1]Définition Maintenances'!$K:$K,0))+AE88),AE88))</f>
        <v>1000</v>
      </c>
      <c r="AG88" s="26">
        <f>IF(ISNUMBER(VLOOKUP($D88,'Visu totale'!$D:$DH,AG$1,0)),AF88-VLOOKUP($D88,'Visu totale'!$D:$DH,AG$1,0),IF(LEFT(VLOOKUP($D88,'Visu totale'!$D:$DH,AG$1,0),1)="V",IF(AF88&gt;=INDEX('[1]Définition Maintenances'!$G:$G,MATCH($A88,'[1]Définition Maintenances'!$K:$K,0)),AF88,INDEX('[1]Définition Maintenances'!$G:$G,MATCH($A88,'[1]Définition Maintenances'!$K:$K,0))+AF88),AF88))</f>
        <v>1000</v>
      </c>
      <c r="AH88" s="26">
        <f>IF(ISNUMBER(VLOOKUP($D88,'Visu totale'!$D:$DH,AH$1,0)),AG88-VLOOKUP($D88,'Visu totale'!$D:$DH,AH$1,0),IF(LEFT(VLOOKUP($D88,'Visu totale'!$D:$DH,AH$1,0),1)="V",IF(AG88&gt;=INDEX('[1]Définition Maintenances'!$G:$G,MATCH($A88,'[1]Définition Maintenances'!$K:$K,0)),AG88,INDEX('[1]Définition Maintenances'!$G:$G,MATCH($A88,'[1]Définition Maintenances'!$K:$K,0))+AG88),AG88))</f>
        <v>1000</v>
      </c>
      <c r="AI88" s="26">
        <f>IF(ISNUMBER(VLOOKUP($D88,'Visu totale'!$D:$DH,AI$1,0)),AH88-VLOOKUP($D88,'Visu totale'!$D:$DH,AI$1,0),IF(LEFT(VLOOKUP($D88,'Visu totale'!$D:$DH,AI$1,0),1)="V",IF(AH88&gt;=INDEX('[1]Définition Maintenances'!$G:$G,MATCH($A88,'[1]Définition Maintenances'!$K:$K,0)),AH88,INDEX('[1]Définition Maintenances'!$G:$G,MATCH($A88,'[1]Définition Maintenances'!$K:$K,0))+AH88),AH88))</f>
        <v>1000</v>
      </c>
      <c r="AJ88" s="26">
        <f>IF(ISNUMBER(VLOOKUP($D88,'Visu totale'!$D:$DH,AJ$1,0)),AI88-VLOOKUP($D88,'Visu totale'!$D:$DH,AJ$1,0),IF(LEFT(VLOOKUP($D88,'Visu totale'!$D:$DH,AJ$1,0),1)="V",IF(AI88&gt;=INDEX('[1]Définition Maintenances'!$G:$G,MATCH($A88,'[1]Définition Maintenances'!$K:$K,0)),AI88,INDEX('[1]Définition Maintenances'!$G:$G,MATCH($A88,'[1]Définition Maintenances'!$K:$K,0))+AI88),AI88))</f>
        <v>1000</v>
      </c>
      <c r="AK88" s="26">
        <f>IF(ISNUMBER(VLOOKUP($D88,'Visu totale'!$D:$DH,AK$1,0)),AJ88-VLOOKUP($D88,'Visu totale'!$D:$DH,AK$1,0),IF(LEFT(VLOOKUP($D88,'Visu totale'!$D:$DH,AK$1,0),1)="V",IF(AJ88&gt;=INDEX('[1]Définition Maintenances'!$G:$G,MATCH($A88,'[1]Définition Maintenances'!$K:$K,0)),AJ88,INDEX('[1]Définition Maintenances'!$G:$G,MATCH($A88,'[1]Définition Maintenances'!$K:$K,0))+AJ88),AJ88))</f>
        <v>1000</v>
      </c>
      <c r="AL88" s="26">
        <f>IF(ISNUMBER(VLOOKUP($D88,'Visu totale'!$D:$DH,AL$1,0)),AK88-VLOOKUP($D88,'Visu totale'!$D:$DH,AL$1,0),IF(LEFT(VLOOKUP($D88,'Visu totale'!$D:$DH,AL$1,0),1)="V",IF(AK88&gt;=INDEX('[1]Définition Maintenances'!$G:$G,MATCH($A88,'[1]Définition Maintenances'!$K:$K,0)),AK88,INDEX('[1]Définition Maintenances'!$G:$G,MATCH($A88,'[1]Définition Maintenances'!$K:$K,0))+AK88),AK88))</f>
        <v>1000</v>
      </c>
      <c r="AM88" s="26">
        <f>IF(ISNUMBER(VLOOKUP($D88,'Visu totale'!$D:$DH,AM$1,0)),AL88-VLOOKUP($D88,'Visu totale'!$D:$DH,AM$1,0),IF(LEFT(VLOOKUP($D88,'Visu totale'!$D:$DH,AM$1,0),1)="V",IF(AL88&gt;=INDEX('[1]Définition Maintenances'!$G:$G,MATCH($A88,'[1]Définition Maintenances'!$K:$K,0)),AL88,INDEX('[1]Définition Maintenances'!$G:$G,MATCH($A88,'[1]Définition Maintenances'!$K:$K,0))+AL88),AL88))</f>
        <v>1000</v>
      </c>
      <c r="AN88" s="26">
        <f>IF(ISNUMBER(VLOOKUP($D88,'Visu totale'!$D:$DH,AN$1,0)),AM88-VLOOKUP($D88,'Visu totale'!$D:$DH,AN$1,0),IF(LEFT(VLOOKUP($D88,'Visu totale'!$D:$DH,AN$1,0),1)="V",IF(AM88&gt;=INDEX('[1]Définition Maintenances'!$G:$G,MATCH($A88,'[1]Définition Maintenances'!$K:$K,0)),AM88,INDEX('[1]Définition Maintenances'!$G:$G,MATCH($A88,'[1]Définition Maintenances'!$K:$K,0))+AM88),AM88))</f>
        <v>1000</v>
      </c>
      <c r="AO88" s="27">
        <f>IF(ISNUMBER(VLOOKUP($D88,'Visu totale'!$D:$DH,AO$1,0)),AN88-VLOOKUP($D88,'Visu totale'!$D:$DH,AO$1,0),IF(LEFT(VLOOKUP($D88,'Visu totale'!$D:$DH,AO$1,0),1)="V",IF(AN88&gt;=INDEX('[1]Définition Maintenances'!$G:$G,MATCH($A88,'[1]Définition Maintenances'!$K:$K,0)),AN88,INDEX('[1]Définition Maintenances'!$G:$G,MATCH($A88,'[1]Définition Maintenances'!$K:$K,0))+AN88),AN88))</f>
        <v>1000</v>
      </c>
      <c r="AP88" s="25">
        <f>IF(ISNUMBER(VLOOKUP($D88,'Visu totale'!$D:$DH,AP$1,0)),AO88-VLOOKUP($D88,'Visu totale'!$D:$DH,AP$1,0),IF(LEFT(VLOOKUP($D88,'Visu totale'!$D:$DH,AP$1,0),1)="V",IF(AO88&gt;=INDEX('[1]Définition Maintenances'!$G:$G,MATCH($A88,'[1]Définition Maintenances'!$K:$K,0)),AO88,INDEX('[1]Définition Maintenances'!$G:$G,MATCH($A88,'[1]Définition Maintenances'!$K:$K,0))+AO88),AO88))</f>
        <v>1000</v>
      </c>
      <c r="AQ88" s="26">
        <f>IF(ISNUMBER(VLOOKUP($D88,'Visu totale'!$D:$DH,AQ$1,0)),AP88-VLOOKUP($D88,'Visu totale'!$D:$DH,AQ$1,0),IF(LEFT(VLOOKUP($D88,'Visu totale'!$D:$DH,AQ$1,0),1)="V",IF(AP88&gt;=INDEX('[1]Définition Maintenances'!$G:$G,MATCH($A88,'[1]Définition Maintenances'!$K:$K,0)),AP88,INDEX('[1]Définition Maintenances'!$G:$G,MATCH($A88,'[1]Définition Maintenances'!$K:$K,0))+AP88),AP88))</f>
        <v>1000</v>
      </c>
      <c r="AR88" s="26">
        <f>IF(ISNUMBER(VLOOKUP($D88,'Visu totale'!$D:$DH,AR$1,0)),AQ88-VLOOKUP($D88,'Visu totale'!$D:$DH,AR$1,0),IF(LEFT(VLOOKUP($D88,'Visu totale'!$D:$DH,AR$1,0),1)="V",IF(AQ88&gt;=INDEX('[1]Définition Maintenances'!$G:$G,MATCH($A88,'[1]Définition Maintenances'!$K:$K,0)),AQ88,INDEX('[1]Définition Maintenances'!$G:$G,MATCH($A88,'[1]Définition Maintenances'!$K:$K,0))+AQ88),AQ88))</f>
        <v>1000</v>
      </c>
      <c r="AS88" s="26">
        <f>IF(ISNUMBER(VLOOKUP($D88,'Visu totale'!$D:$DH,AS$1,0)),AR88-VLOOKUP($D88,'Visu totale'!$D:$DH,AS$1,0),IF(LEFT(VLOOKUP($D88,'Visu totale'!$D:$DH,AS$1,0),1)="V",IF(AR88&gt;=INDEX('[1]Définition Maintenances'!$G:$G,MATCH($A88,'[1]Définition Maintenances'!$K:$K,0)),AR88,INDEX('[1]Définition Maintenances'!$G:$G,MATCH($A88,'[1]Définition Maintenances'!$K:$K,0))+AR88),AR88))</f>
        <v>1000</v>
      </c>
      <c r="AT88" s="26">
        <f>IF(ISNUMBER(VLOOKUP($D88,'Visu totale'!$D:$DH,AT$1,0)),AS88-VLOOKUP($D88,'Visu totale'!$D:$DH,AT$1,0),IF(LEFT(VLOOKUP($D88,'Visu totale'!$D:$DH,AT$1,0),1)="V",IF(AS88&gt;=INDEX('[1]Définition Maintenances'!$G:$G,MATCH($A88,'[1]Définition Maintenances'!$K:$K,0)),AS88,INDEX('[1]Définition Maintenances'!$G:$G,MATCH($A88,'[1]Définition Maintenances'!$K:$K,0))+AS88),AS88))</f>
        <v>1000</v>
      </c>
      <c r="AU88" s="26">
        <f>IF(ISNUMBER(VLOOKUP($D88,'Visu totale'!$D:$DH,AU$1,0)),AT88-VLOOKUP($D88,'Visu totale'!$D:$DH,AU$1,0),IF(LEFT(VLOOKUP($D88,'Visu totale'!$D:$DH,AU$1,0),1)="V",IF(AT88&gt;=INDEX('[1]Définition Maintenances'!$G:$G,MATCH($A88,'[1]Définition Maintenances'!$K:$K,0)),AT88,INDEX('[1]Définition Maintenances'!$G:$G,MATCH($A88,'[1]Définition Maintenances'!$K:$K,0))+AT88),AT88))</f>
        <v>1000</v>
      </c>
      <c r="AV88" s="26">
        <f>IF(ISNUMBER(VLOOKUP($D88,'Visu totale'!$D:$DH,AV$1,0)),AU88-VLOOKUP($D88,'Visu totale'!$D:$DH,AV$1,0),IF(LEFT(VLOOKUP($D88,'Visu totale'!$D:$DH,AV$1,0),1)="V",IF(AU88&gt;=INDEX('[1]Définition Maintenances'!$G:$G,MATCH($A88,'[1]Définition Maintenances'!$K:$K,0)),AU88,INDEX('[1]Définition Maintenances'!$G:$G,MATCH($A88,'[1]Définition Maintenances'!$K:$K,0))+AU88),AU88))</f>
        <v>1000</v>
      </c>
      <c r="AW88" s="26">
        <f>IF(ISNUMBER(VLOOKUP($D88,'Visu totale'!$D:$DH,AW$1,0)),AV88-VLOOKUP($D88,'Visu totale'!$D:$DH,AW$1,0),IF(LEFT(VLOOKUP($D88,'Visu totale'!$D:$DH,AW$1,0),1)="V",IF(AV88&gt;=INDEX('[1]Définition Maintenances'!$G:$G,MATCH($A88,'[1]Définition Maintenances'!$K:$K,0)),AV88,INDEX('[1]Définition Maintenances'!$G:$G,MATCH($A88,'[1]Définition Maintenances'!$K:$K,0))+AV88),AV88))</f>
        <v>1000</v>
      </c>
      <c r="AX88" s="26">
        <f>IF(ISNUMBER(VLOOKUP($D88,'Visu totale'!$D:$DH,AX$1,0)),AW88-VLOOKUP($D88,'Visu totale'!$D:$DH,AX$1,0),IF(LEFT(VLOOKUP($D88,'Visu totale'!$D:$DH,AX$1,0),1)="V",IF(AW88&gt;=INDEX('[1]Définition Maintenances'!$G:$G,MATCH($A88,'[1]Définition Maintenances'!$K:$K,0)),AW88,INDEX('[1]Définition Maintenances'!$G:$G,MATCH($A88,'[1]Définition Maintenances'!$K:$K,0))+AW88),AW88))</f>
        <v>1000</v>
      </c>
      <c r="AY88" s="26">
        <f>IF(ISNUMBER(VLOOKUP($D88,'Visu totale'!$D:$DH,AY$1,0)),AX88-VLOOKUP($D88,'Visu totale'!$D:$DH,AY$1,0),IF(LEFT(VLOOKUP($D88,'Visu totale'!$D:$DH,AY$1,0),1)="V",IF(AX88&gt;=INDEX('[1]Définition Maintenances'!$G:$G,MATCH($A88,'[1]Définition Maintenances'!$K:$K,0)),AX88,INDEX('[1]Définition Maintenances'!$G:$G,MATCH($A88,'[1]Définition Maintenances'!$K:$K,0))+AX88),AX88))</f>
        <v>1000</v>
      </c>
      <c r="AZ88" s="26">
        <f>IF(ISNUMBER(VLOOKUP($D88,'Visu totale'!$D:$DH,AZ$1,0)),AY88-VLOOKUP($D88,'Visu totale'!$D:$DH,AZ$1,0),IF(LEFT(VLOOKUP($D88,'Visu totale'!$D:$DH,AZ$1,0),1)="V",IF(AY88&gt;=INDEX('[1]Définition Maintenances'!$G:$G,MATCH($A88,'[1]Définition Maintenances'!$K:$K,0)),AY88,INDEX('[1]Définition Maintenances'!$G:$G,MATCH($A88,'[1]Définition Maintenances'!$K:$K,0))+AY88),AY88))</f>
        <v>1000</v>
      </c>
      <c r="BA88" s="27">
        <f>IF(ISNUMBER(VLOOKUP($D88,'Visu totale'!$D:$DH,BA$1,0)),AZ88-VLOOKUP($D88,'Visu totale'!$D:$DH,BA$1,0),IF(LEFT(VLOOKUP($D88,'Visu totale'!$D:$DH,BA$1,0),1)="V",IF(AZ88&gt;=INDEX('[1]Définition Maintenances'!$G:$G,MATCH($A88,'[1]Définition Maintenances'!$K:$K,0)),AZ88,INDEX('[1]Définition Maintenances'!$G:$G,MATCH($A88,'[1]Définition Maintenances'!$K:$K,0))+AZ88),AZ88))</f>
        <v>1000</v>
      </c>
      <c r="BB88" s="25">
        <f>IF(ISNUMBER(VLOOKUP($D88,'Visu totale'!$D:$DH,BB$1,0)),BA88-VLOOKUP($D88,'Visu totale'!$D:$DH,BB$1,0),IF(LEFT(VLOOKUP($D88,'Visu totale'!$D:$DH,BB$1,0),1)="V",IF(BA88&gt;=INDEX('[1]Définition Maintenances'!$G:$G,MATCH($A88,'[1]Définition Maintenances'!$K:$K,0)),BA88,INDEX('[1]Définition Maintenances'!$G:$G,MATCH($A88,'[1]Définition Maintenances'!$K:$K,0))+BA88),BA88))</f>
        <v>1000</v>
      </c>
      <c r="BC88" s="26">
        <f>IF(ISNUMBER(VLOOKUP($D88,'Visu totale'!$D:$DH,BC$1,0)),BB88-VLOOKUP($D88,'Visu totale'!$D:$DH,BC$1,0),IF(LEFT(VLOOKUP($D88,'Visu totale'!$D:$DH,BC$1,0),1)="V",IF(BB88&gt;=INDEX('[1]Définition Maintenances'!$G:$G,MATCH($A88,'[1]Définition Maintenances'!$K:$K,0)),BB88,INDEX('[1]Définition Maintenances'!$G:$G,MATCH($A88,'[1]Définition Maintenances'!$K:$K,0))+BB88),BB88))</f>
        <v>1000</v>
      </c>
      <c r="BD88" s="26">
        <f>IF(ISNUMBER(VLOOKUP($D88,'Visu totale'!$D:$DH,BD$1,0)),BC88-VLOOKUP($D88,'Visu totale'!$D:$DH,BD$1,0),IF(LEFT(VLOOKUP($D88,'Visu totale'!$D:$DH,BD$1,0),1)="V",IF(BC88&gt;=INDEX('[1]Définition Maintenances'!$G:$G,MATCH($A88,'[1]Définition Maintenances'!$K:$K,0)),BC88,INDEX('[1]Définition Maintenances'!$G:$G,MATCH($A88,'[1]Définition Maintenances'!$K:$K,0))+BC88),BC88))</f>
        <v>1000</v>
      </c>
      <c r="BE88" s="26">
        <f>IF(ISNUMBER(VLOOKUP($D88,'Visu totale'!$D:$DH,BE$1,0)),BD88-VLOOKUP($D88,'Visu totale'!$D:$DH,BE$1,0),IF(LEFT(VLOOKUP($D88,'Visu totale'!$D:$DH,BE$1,0),1)="V",IF(BD88&gt;=INDEX('[1]Définition Maintenances'!$G:$G,MATCH($A88,'[1]Définition Maintenances'!$K:$K,0)),BD88,INDEX('[1]Définition Maintenances'!$G:$G,MATCH($A88,'[1]Définition Maintenances'!$K:$K,0))+BD88),BD88))</f>
        <v>1000</v>
      </c>
      <c r="BF88" s="26">
        <f>IF(ISNUMBER(VLOOKUP($D88,'Visu totale'!$D:$DH,BF$1,0)),BE88-VLOOKUP($D88,'Visu totale'!$D:$DH,BF$1,0),IF(LEFT(VLOOKUP($D88,'Visu totale'!$D:$DH,BF$1,0),1)="V",IF(BE88&gt;=INDEX('[1]Définition Maintenances'!$G:$G,MATCH($A88,'[1]Définition Maintenances'!$K:$K,0)),BE88,INDEX('[1]Définition Maintenances'!$G:$G,MATCH($A88,'[1]Définition Maintenances'!$K:$K,0))+BE88),BE88))</f>
        <v>1000</v>
      </c>
      <c r="BG88" s="26">
        <f>IF(ISNUMBER(VLOOKUP($D88,'Visu totale'!$D:$DH,BG$1,0)),BF88-VLOOKUP($D88,'Visu totale'!$D:$DH,BG$1,0),IF(LEFT(VLOOKUP($D88,'Visu totale'!$D:$DH,BG$1,0),1)="V",IF(BF88&gt;=INDEX('[1]Définition Maintenances'!$G:$G,MATCH($A88,'[1]Définition Maintenances'!$K:$K,0)),BF88,INDEX('[1]Définition Maintenances'!$G:$G,MATCH($A88,'[1]Définition Maintenances'!$K:$K,0))+BF88),BF88))</f>
        <v>1000</v>
      </c>
      <c r="BH88" s="26">
        <f>IF(ISNUMBER(VLOOKUP($D88,'Visu totale'!$D:$DH,BH$1,0)),BG88-VLOOKUP($D88,'Visu totale'!$D:$DH,BH$1,0),IF(LEFT(VLOOKUP($D88,'Visu totale'!$D:$DH,BH$1,0),1)="V",IF(BG88&gt;=INDEX('[1]Définition Maintenances'!$G:$G,MATCH($A88,'[1]Définition Maintenances'!$K:$K,0)),BG88,INDEX('[1]Définition Maintenances'!$G:$G,MATCH($A88,'[1]Définition Maintenances'!$K:$K,0))+BG88),BG88))</f>
        <v>1000</v>
      </c>
      <c r="BI88" s="26">
        <f>IF(ISNUMBER(VLOOKUP($D88,'Visu totale'!$D:$DH,BI$1,0)),BH88-VLOOKUP($D88,'Visu totale'!$D:$DH,BI$1,0),IF(LEFT(VLOOKUP($D88,'Visu totale'!$D:$DH,BI$1,0),1)="V",IF(BH88&gt;=INDEX('[1]Définition Maintenances'!$G:$G,MATCH($A88,'[1]Définition Maintenances'!$K:$K,0)),BH88,INDEX('[1]Définition Maintenances'!$G:$G,MATCH($A88,'[1]Définition Maintenances'!$K:$K,0))+BH88),BH88))</f>
        <v>1000</v>
      </c>
      <c r="BJ88" s="26">
        <f>IF(ISNUMBER(VLOOKUP($D88,'Visu totale'!$D:$DH,BJ$1,0)),BI88-VLOOKUP($D88,'Visu totale'!$D:$DH,BJ$1,0),IF(LEFT(VLOOKUP($D88,'Visu totale'!$D:$DH,BJ$1,0),1)="V",IF(BI88&gt;=INDEX('[1]Définition Maintenances'!$G:$G,MATCH($A88,'[1]Définition Maintenances'!$K:$K,0)),BI88,INDEX('[1]Définition Maintenances'!$G:$G,MATCH($A88,'[1]Définition Maintenances'!$K:$K,0))+BI88),BI88))</f>
        <v>1000</v>
      </c>
      <c r="BK88" s="26">
        <f>IF(ISNUMBER(VLOOKUP($D88,'Visu totale'!$D:$DH,BK$1,0)),BJ88-VLOOKUP($D88,'Visu totale'!$D:$DH,BK$1,0),IF(LEFT(VLOOKUP($D88,'Visu totale'!$D:$DH,BK$1,0),1)="V",IF(BJ88&gt;=INDEX('[1]Définition Maintenances'!$G:$G,MATCH($A88,'[1]Définition Maintenances'!$K:$K,0)),BJ88,INDEX('[1]Définition Maintenances'!$G:$G,MATCH($A88,'[1]Définition Maintenances'!$K:$K,0))+BJ88),BJ88))</f>
        <v>1000</v>
      </c>
      <c r="BL88" s="26">
        <f>IF(ISNUMBER(VLOOKUP($D88,'Visu totale'!$D:$DH,BL$1,0)),BK88-VLOOKUP($D88,'Visu totale'!$D:$DH,BL$1,0),IF(LEFT(VLOOKUP($D88,'Visu totale'!$D:$DH,BL$1,0),1)="V",IF(BK88&gt;=INDEX('[1]Définition Maintenances'!$G:$G,MATCH($A88,'[1]Définition Maintenances'!$K:$K,0)),BK88,INDEX('[1]Définition Maintenances'!$G:$G,MATCH($A88,'[1]Définition Maintenances'!$K:$K,0))+BK88),BK88))</f>
        <v>1000</v>
      </c>
      <c r="BM88" s="27">
        <f>IF(ISNUMBER(VLOOKUP($D88,'Visu totale'!$D:$DH,BM$1,0)),BL88-VLOOKUP($D88,'Visu totale'!$D:$DH,BM$1,0),IF(LEFT(VLOOKUP($D88,'Visu totale'!$D:$DH,BM$1,0),1)="V",IF(BL88&gt;=INDEX('[1]Définition Maintenances'!$G:$G,MATCH($A88,'[1]Définition Maintenances'!$K:$K,0)),BL88,INDEX('[1]Définition Maintenances'!$G:$G,MATCH($A88,'[1]Définition Maintenances'!$K:$K,0))+BL88),BL88))</f>
        <v>1000</v>
      </c>
      <c r="BN88" s="25">
        <f>IF(ISNUMBER(VLOOKUP($D88,'Visu totale'!$D:$DH,BN$1,0)),BM88-VLOOKUP($D88,'Visu totale'!$D:$DH,BN$1,0),IF(LEFT(VLOOKUP($D88,'Visu totale'!$D:$DH,BN$1,0),1)="V",IF(BM88&gt;=INDEX('[1]Définition Maintenances'!$G:$G,MATCH($A88,'[1]Définition Maintenances'!$K:$K,0)),BM88,INDEX('[1]Définition Maintenances'!$G:$G,MATCH($A88,'[1]Définition Maintenances'!$K:$K,0))+BM88),BM88))</f>
        <v>1000</v>
      </c>
      <c r="BO88" s="26">
        <f>IF(ISNUMBER(VLOOKUP($D88,'Visu totale'!$D:$DH,BO$1,0)),BN88-VLOOKUP($D88,'Visu totale'!$D:$DH,BO$1,0),IF(LEFT(VLOOKUP($D88,'Visu totale'!$D:$DH,BO$1,0),1)="V",IF(BN88&gt;=INDEX('[1]Définition Maintenances'!$G:$G,MATCH($A88,'[1]Définition Maintenances'!$K:$K,0)),BN88,INDEX('[1]Définition Maintenances'!$G:$G,MATCH($A88,'[1]Définition Maintenances'!$K:$K,0))+BN88),BN88))</f>
        <v>1000</v>
      </c>
      <c r="BP88" s="26">
        <f>IF(ISNUMBER(VLOOKUP($D88,'Visu totale'!$D:$DH,BP$1,0)),BO88-VLOOKUP($D88,'Visu totale'!$D:$DH,BP$1,0),IF(LEFT(VLOOKUP($D88,'Visu totale'!$D:$DH,BP$1,0),1)="V",IF(BO88&gt;=INDEX('[1]Définition Maintenances'!$G:$G,MATCH($A88,'[1]Définition Maintenances'!$K:$K,0)),BO88,INDEX('[1]Définition Maintenances'!$G:$G,MATCH($A88,'[1]Définition Maintenances'!$K:$K,0))+BO88),BO88))</f>
        <v>1000</v>
      </c>
      <c r="BQ88" s="26">
        <f>IF(ISNUMBER(VLOOKUP($D88,'Visu totale'!$D:$DH,BQ$1,0)),BP88-VLOOKUP($D88,'Visu totale'!$D:$DH,BQ$1,0),IF(LEFT(VLOOKUP($D88,'Visu totale'!$D:$DH,BQ$1,0),1)="V",IF(BP88&gt;=INDEX('[1]Définition Maintenances'!$G:$G,MATCH($A88,'[1]Définition Maintenances'!$K:$K,0)),BP88,INDEX('[1]Définition Maintenances'!$G:$G,MATCH($A88,'[1]Définition Maintenances'!$K:$K,0))+BP88),BP88))</f>
        <v>1000</v>
      </c>
      <c r="BR88" s="26">
        <f>IF(ISNUMBER(VLOOKUP($D88,'Visu totale'!$D:$DH,BR$1,0)),BQ88-VLOOKUP($D88,'Visu totale'!$D:$DH,BR$1,0),IF(LEFT(VLOOKUP($D88,'Visu totale'!$D:$DH,BR$1,0),1)="V",IF(BQ88&gt;=INDEX('[1]Définition Maintenances'!$G:$G,MATCH($A88,'[1]Définition Maintenances'!$K:$K,0)),BQ88,INDEX('[1]Définition Maintenances'!$G:$G,MATCH($A88,'[1]Définition Maintenances'!$K:$K,0))+BQ88),BQ88))</f>
        <v>1000</v>
      </c>
      <c r="BS88" s="26">
        <f>IF(ISNUMBER(VLOOKUP($D88,'Visu totale'!$D:$DH,BS$1,0)),BR88-VLOOKUP($D88,'Visu totale'!$D:$DH,BS$1,0),IF(LEFT(VLOOKUP($D88,'Visu totale'!$D:$DH,BS$1,0),1)="V",IF(BR88&gt;=INDEX('[1]Définition Maintenances'!$G:$G,MATCH($A88,'[1]Définition Maintenances'!$K:$K,0)),BR88,INDEX('[1]Définition Maintenances'!$G:$G,MATCH($A88,'[1]Définition Maintenances'!$K:$K,0))+BR88),BR88))</f>
        <v>1000</v>
      </c>
      <c r="BT88" s="26">
        <f>IF(ISNUMBER(VLOOKUP($D88,'Visu totale'!$D:$DH,BT$1,0)),BS88-VLOOKUP($D88,'Visu totale'!$D:$DH,BT$1,0),IF(LEFT(VLOOKUP($D88,'Visu totale'!$D:$DH,BT$1,0),1)="V",IF(BS88&gt;=INDEX('[1]Définition Maintenances'!$G:$G,MATCH($A88,'[1]Définition Maintenances'!$K:$K,0)),BS88,INDEX('[1]Définition Maintenances'!$G:$G,MATCH($A88,'[1]Définition Maintenances'!$K:$K,0))+BS88),BS88))</f>
        <v>1000</v>
      </c>
      <c r="BU88" s="26">
        <f>IF(ISNUMBER(VLOOKUP($D88,'Visu totale'!$D:$DH,BU$1,0)),BT88-VLOOKUP($D88,'Visu totale'!$D:$DH,BU$1,0),IF(LEFT(VLOOKUP($D88,'Visu totale'!$D:$DH,BU$1,0),1)="V",IF(BT88&gt;=INDEX('[1]Définition Maintenances'!$G:$G,MATCH($A88,'[1]Définition Maintenances'!$K:$K,0)),BT88,INDEX('[1]Définition Maintenances'!$G:$G,MATCH($A88,'[1]Définition Maintenances'!$K:$K,0))+BT88),BT88))</f>
        <v>1000</v>
      </c>
      <c r="BV88" s="26">
        <f>IF(ISNUMBER(VLOOKUP($D88,'Visu totale'!$D:$DH,BV$1,0)),BU88-VLOOKUP($D88,'Visu totale'!$D:$DH,BV$1,0),IF(LEFT(VLOOKUP($D88,'Visu totale'!$D:$DH,BV$1,0),1)="V",IF(BU88&gt;=INDEX('[1]Définition Maintenances'!$G:$G,MATCH($A88,'[1]Définition Maintenances'!$K:$K,0)),BU88,INDEX('[1]Définition Maintenances'!$G:$G,MATCH($A88,'[1]Définition Maintenances'!$K:$K,0))+BU88),BU88))</f>
        <v>1000</v>
      </c>
      <c r="BW88" s="26">
        <f>IF(ISNUMBER(VLOOKUP($D88,'Visu totale'!$D:$DH,BW$1,0)),BV88-VLOOKUP($D88,'Visu totale'!$D:$DH,BW$1,0),IF(LEFT(VLOOKUP($D88,'Visu totale'!$D:$DH,BW$1,0),1)="V",IF(BV88&gt;=INDEX('[1]Définition Maintenances'!$G:$G,MATCH($A88,'[1]Définition Maintenances'!$K:$K,0)),BV88,INDEX('[1]Définition Maintenances'!$G:$G,MATCH($A88,'[1]Définition Maintenances'!$K:$K,0))+BV88),BV88))</f>
        <v>1000</v>
      </c>
      <c r="BX88" s="26">
        <f>IF(ISNUMBER(VLOOKUP($D88,'Visu totale'!$D:$DH,BX$1,0)),BW88-VLOOKUP($D88,'Visu totale'!$D:$DH,BX$1,0),IF(LEFT(VLOOKUP($D88,'Visu totale'!$D:$DH,BX$1,0),1)="V",IF(BW88&gt;=INDEX('[1]Définition Maintenances'!$G:$G,MATCH($A88,'[1]Définition Maintenances'!$K:$K,0)),BW88,INDEX('[1]Définition Maintenances'!$G:$G,MATCH($A88,'[1]Définition Maintenances'!$K:$K,0))+BW88),BW88))</f>
        <v>1000</v>
      </c>
      <c r="BY88" s="27">
        <f>IF(ISNUMBER(VLOOKUP($D88,'Visu totale'!$D:$DH,BY$1,0)),BX88-VLOOKUP($D88,'Visu totale'!$D:$DH,BY$1,0),IF(LEFT(VLOOKUP($D88,'Visu totale'!$D:$DH,BY$1,0),1)="V",IF(BX88&gt;=INDEX('[1]Définition Maintenances'!$G:$G,MATCH($A88,'[1]Définition Maintenances'!$K:$K,0)),BX88,INDEX('[1]Définition Maintenances'!$G:$G,MATCH($A88,'[1]Définition Maintenances'!$K:$K,0))+BX88),BX88))</f>
        <v>1000</v>
      </c>
      <c r="BZ88" s="25">
        <f>IF(ISNUMBER(VLOOKUP($D88,'Visu totale'!$D:$DH,BZ$1,0)),BY88-VLOOKUP($D88,'Visu totale'!$D:$DH,BZ$1,0),IF(LEFT(VLOOKUP($D88,'Visu totale'!$D:$DH,BZ$1,0),1)="V",IF(BY88&gt;=INDEX('[1]Définition Maintenances'!$G:$G,MATCH($A88,'[1]Définition Maintenances'!$K:$K,0)),BY88,INDEX('[1]Définition Maintenances'!$G:$G,MATCH($A88,'[1]Définition Maintenances'!$K:$K,0))+BY88),BY88))</f>
        <v>1000</v>
      </c>
      <c r="CA88" s="26">
        <f>IF(ISNUMBER(VLOOKUP($D88,'Visu totale'!$D:$DH,CA$1,0)),BZ88-VLOOKUP($D88,'Visu totale'!$D:$DH,CA$1,0),IF(LEFT(VLOOKUP($D88,'Visu totale'!$D:$DH,CA$1,0),1)="V",IF(BZ88&gt;=INDEX('[1]Définition Maintenances'!$G:$G,MATCH($A88,'[1]Définition Maintenances'!$K:$K,0)),BZ88,INDEX('[1]Définition Maintenances'!$G:$G,MATCH($A88,'[1]Définition Maintenances'!$K:$K,0))+BZ88),BZ88))</f>
        <v>1000</v>
      </c>
      <c r="CB88" s="26">
        <f>IF(ISNUMBER(VLOOKUP($D88,'Visu totale'!$D:$DH,CB$1,0)),CA88-VLOOKUP($D88,'Visu totale'!$D:$DH,CB$1,0),IF(LEFT(VLOOKUP($D88,'Visu totale'!$D:$DH,CB$1,0),1)="V",IF(CA88&gt;=INDEX('[1]Définition Maintenances'!$G:$G,MATCH($A88,'[1]Définition Maintenances'!$K:$K,0)),CA88,INDEX('[1]Définition Maintenances'!$G:$G,MATCH($A88,'[1]Définition Maintenances'!$K:$K,0))+CA88),CA88))</f>
        <v>1000</v>
      </c>
      <c r="CC88" s="26">
        <f>IF(ISNUMBER(VLOOKUP($D88,'Visu totale'!$D:$DH,CC$1,0)),CB88-VLOOKUP($D88,'Visu totale'!$D:$DH,CC$1,0),IF(LEFT(VLOOKUP($D88,'Visu totale'!$D:$DH,CC$1,0),1)="V",IF(CB88&gt;=INDEX('[1]Définition Maintenances'!$G:$G,MATCH($A88,'[1]Définition Maintenances'!$K:$K,0)),CB88,INDEX('[1]Définition Maintenances'!$G:$G,MATCH($A88,'[1]Définition Maintenances'!$K:$K,0))+CB88),CB88))</f>
        <v>1000</v>
      </c>
      <c r="CD88" s="26">
        <f>IF(ISNUMBER(VLOOKUP($D88,'Visu totale'!$D:$DH,CD$1,0)),CC88-VLOOKUP($D88,'Visu totale'!$D:$DH,CD$1,0),IF(LEFT(VLOOKUP($D88,'Visu totale'!$D:$DH,CD$1,0),1)="V",IF(CC88&gt;=INDEX('[1]Définition Maintenances'!$G:$G,MATCH($A88,'[1]Définition Maintenances'!$K:$K,0)),CC88,INDEX('[1]Définition Maintenances'!$G:$G,MATCH($A88,'[1]Définition Maintenances'!$K:$K,0))+CC88),CC88))</f>
        <v>1000</v>
      </c>
      <c r="CE88" s="26">
        <f>IF(ISNUMBER(VLOOKUP($D88,'Visu totale'!$D:$DH,CE$1,0)),CD88-VLOOKUP($D88,'Visu totale'!$D:$DH,CE$1,0),IF(LEFT(VLOOKUP($D88,'Visu totale'!$D:$DH,CE$1,0),1)="V",IF(CD88&gt;=INDEX('[1]Définition Maintenances'!$G:$G,MATCH($A88,'[1]Définition Maintenances'!$K:$K,0)),CD88,INDEX('[1]Définition Maintenances'!$G:$G,MATCH($A88,'[1]Définition Maintenances'!$K:$K,0))+CD88),CD88))</f>
        <v>1000</v>
      </c>
      <c r="CF88" s="26">
        <f>IF(ISNUMBER(VLOOKUP($D88,'Visu totale'!$D:$DH,CF$1,0)),CE88-VLOOKUP($D88,'Visu totale'!$D:$DH,CF$1,0),IF(LEFT(VLOOKUP($D88,'Visu totale'!$D:$DH,CF$1,0),1)="V",IF(CE88&gt;=INDEX('[1]Définition Maintenances'!$G:$G,MATCH($A88,'[1]Définition Maintenances'!$K:$K,0)),CE88,INDEX('[1]Définition Maintenances'!$G:$G,MATCH($A88,'[1]Définition Maintenances'!$K:$K,0))+CE88),CE88))</f>
        <v>1000</v>
      </c>
      <c r="CG88" s="26">
        <f>IF(ISNUMBER(VLOOKUP($D88,'Visu totale'!$D:$DH,CG$1,0)),CF88-VLOOKUP($D88,'Visu totale'!$D:$DH,CG$1,0),IF(LEFT(VLOOKUP($D88,'Visu totale'!$D:$DH,CG$1,0),1)="V",IF(CF88&gt;=INDEX('[1]Définition Maintenances'!$G:$G,MATCH($A88,'[1]Définition Maintenances'!$K:$K,0)),CF88,INDEX('[1]Définition Maintenances'!$G:$G,MATCH($A88,'[1]Définition Maintenances'!$K:$K,0))+CF88),CF88))</f>
        <v>1000</v>
      </c>
      <c r="CH88" s="26">
        <f>IF(ISNUMBER(VLOOKUP($D88,'Visu totale'!$D:$DH,CH$1,0)),CG88-VLOOKUP($D88,'Visu totale'!$D:$DH,CH$1,0),IF(LEFT(VLOOKUP($D88,'Visu totale'!$D:$DH,CH$1,0),1)="V",IF(CG88&gt;=INDEX('[1]Définition Maintenances'!$G:$G,MATCH($A88,'[1]Définition Maintenances'!$K:$K,0)),CG88,INDEX('[1]Définition Maintenances'!$G:$G,MATCH($A88,'[1]Définition Maintenances'!$K:$K,0))+CG88),CG88))</f>
        <v>1000</v>
      </c>
      <c r="CI88" s="26">
        <f>IF(ISNUMBER(VLOOKUP($D88,'Visu totale'!$D:$DH,CI$1,0)),CH88-VLOOKUP($D88,'Visu totale'!$D:$DH,CI$1,0),IF(LEFT(VLOOKUP($D88,'Visu totale'!$D:$DH,CI$1,0),1)="V",IF(CH88&gt;=INDEX('[1]Définition Maintenances'!$G:$G,MATCH($A88,'[1]Définition Maintenances'!$K:$K,0)),CH88,INDEX('[1]Définition Maintenances'!$G:$G,MATCH($A88,'[1]Définition Maintenances'!$K:$K,0))+CH88),CH88))</f>
        <v>1000</v>
      </c>
      <c r="CJ88" s="26">
        <f>IF(ISNUMBER(VLOOKUP($D88,'Visu totale'!$D:$DH,CJ$1,0)),CI88-VLOOKUP($D88,'Visu totale'!$D:$DH,CJ$1,0),IF(LEFT(VLOOKUP($D88,'Visu totale'!$D:$DH,CJ$1,0),1)="V",IF(CI88&gt;=INDEX('[1]Définition Maintenances'!$G:$G,MATCH($A88,'[1]Définition Maintenances'!$K:$K,0)),CI88,INDEX('[1]Définition Maintenances'!$G:$G,MATCH($A88,'[1]Définition Maintenances'!$K:$K,0))+CI88),CI88))</f>
        <v>1000</v>
      </c>
      <c r="CK88" s="27">
        <f>IF(ISNUMBER(VLOOKUP($D88,'Visu totale'!$D:$DH,CK$1,0)),CJ88-VLOOKUP($D88,'Visu totale'!$D:$DH,CK$1,0),IF(LEFT(VLOOKUP($D88,'Visu totale'!$D:$DH,CK$1,0),1)="V",IF(CJ88&gt;=INDEX('[1]Définition Maintenances'!$G:$G,MATCH($A88,'[1]Définition Maintenances'!$K:$K,0)),CJ88,INDEX('[1]Définition Maintenances'!$G:$G,MATCH($A88,'[1]Définition Maintenances'!$K:$K,0))+CJ88),CJ88))</f>
        <v>1000</v>
      </c>
      <c r="CL88" s="25">
        <f>IF(ISNUMBER(VLOOKUP($D88,'Visu totale'!$D:$DH,CL$1,0)),CK88-VLOOKUP($D88,'Visu totale'!$D:$DH,CL$1,0),IF(LEFT(VLOOKUP($D88,'Visu totale'!$D:$DH,CL$1,0),1)="V",IF(CK88&gt;=INDEX('[1]Définition Maintenances'!$G:$G,MATCH($A88,'[1]Définition Maintenances'!$K:$K,0)),CK88,INDEX('[1]Définition Maintenances'!$G:$G,MATCH($A88,'[1]Définition Maintenances'!$K:$K,0))+CK88),CK88))</f>
        <v>1000</v>
      </c>
      <c r="CM88" s="26">
        <f>IF(ISNUMBER(VLOOKUP($D88,'Visu totale'!$D:$DH,CM$1,0)),CL88-VLOOKUP($D88,'Visu totale'!$D:$DH,CM$1,0),IF(LEFT(VLOOKUP($D88,'Visu totale'!$D:$DH,CM$1,0),1)="V",IF(CL88&gt;=INDEX('[1]Définition Maintenances'!$G:$G,MATCH($A88,'[1]Définition Maintenances'!$K:$K,0)),CL88,INDEX('[1]Définition Maintenances'!$G:$G,MATCH($A88,'[1]Définition Maintenances'!$K:$K,0))+CL88),CL88))</f>
        <v>1000</v>
      </c>
      <c r="CN88" s="26">
        <f>IF(ISNUMBER(VLOOKUP($D88,'Visu totale'!$D:$DH,CN$1,0)),CM88-VLOOKUP($D88,'Visu totale'!$D:$DH,CN$1,0),IF(LEFT(VLOOKUP($D88,'Visu totale'!$D:$DH,CN$1,0),1)="V",IF(CM88&gt;=INDEX('[1]Définition Maintenances'!$G:$G,MATCH($A88,'[1]Définition Maintenances'!$K:$K,0)),CM88,INDEX('[1]Définition Maintenances'!$G:$G,MATCH($A88,'[1]Définition Maintenances'!$K:$K,0))+CM88),CM88))</f>
        <v>1000</v>
      </c>
      <c r="CO88" s="26">
        <f>IF(ISNUMBER(VLOOKUP($D88,'Visu totale'!$D:$DH,CO$1,0)),CN88-VLOOKUP($D88,'Visu totale'!$D:$DH,CO$1,0),IF(LEFT(VLOOKUP($D88,'Visu totale'!$D:$DH,CO$1,0),1)="V",IF(CN88&gt;=INDEX('[1]Définition Maintenances'!$G:$G,MATCH($A88,'[1]Définition Maintenances'!$K:$K,0)),CN88,INDEX('[1]Définition Maintenances'!$G:$G,MATCH($A88,'[1]Définition Maintenances'!$K:$K,0))+CN88),CN88))</f>
        <v>1000</v>
      </c>
      <c r="CP88" s="26">
        <f>IF(ISNUMBER(VLOOKUP($D88,'Visu totale'!$D:$DH,CP$1,0)),CO88-VLOOKUP($D88,'Visu totale'!$D:$DH,CP$1,0),IF(LEFT(VLOOKUP($D88,'Visu totale'!$D:$DH,CP$1,0),1)="V",IF(CO88&gt;=INDEX('[1]Définition Maintenances'!$G:$G,MATCH($A88,'[1]Définition Maintenances'!$K:$K,0)),CO88,INDEX('[1]Définition Maintenances'!$G:$G,MATCH($A88,'[1]Définition Maintenances'!$K:$K,0))+CO88),CO88))</f>
        <v>1000</v>
      </c>
      <c r="CQ88" s="26">
        <f>IF(ISNUMBER(VLOOKUP($D88,'Visu totale'!$D:$DH,CQ$1,0)),CP88-VLOOKUP($D88,'Visu totale'!$D:$DH,CQ$1,0),IF(LEFT(VLOOKUP($D88,'Visu totale'!$D:$DH,CQ$1,0),1)="V",IF(CP88&gt;=INDEX('[1]Définition Maintenances'!$G:$G,MATCH($A88,'[1]Définition Maintenances'!$K:$K,0)),CP88,INDEX('[1]Définition Maintenances'!$G:$G,MATCH($A88,'[1]Définition Maintenances'!$K:$K,0))+CP88),CP88))</f>
        <v>1000</v>
      </c>
      <c r="CR88" s="26">
        <f>IF(ISNUMBER(VLOOKUP($D88,'Visu totale'!$D:$DH,CR$1,0)),CQ88-VLOOKUP($D88,'Visu totale'!$D:$DH,CR$1,0),IF(LEFT(VLOOKUP($D88,'Visu totale'!$D:$DH,CR$1,0),1)="V",IF(CQ88&gt;=INDEX('[1]Définition Maintenances'!$G:$G,MATCH($A88,'[1]Définition Maintenances'!$K:$K,0)),CQ88,INDEX('[1]Définition Maintenances'!$G:$G,MATCH($A88,'[1]Définition Maintenances'!$K:$K,0))+CQ88),CQ88))</f>
        <v>1000</v>
      </c>
      <c r="CS88" s="26">
        <f>IF(ISNUMBER(VLOOKUP($D88,'Visu totale'!$D:$DH,CS$1,0)),CR88-VLOOKUP($D88,'Visu totale'!$D:$DH,CS$1,0),IF(LEFT(VLOOKUP($D88,'Visu totale'!$D:$DH,CS$1,0),1)="V",IF(CR88&gt;=INDEX('[1]Définition Maintenances'!$G:$G,MATCH($A88,'[1]Définition Maintenances'!$K:$K,0)),CR88,INDEX('[1]Définition Maintenances'!$G:$G,MATCH($A88,'[1]Définition Maintenances'!$K:$K,0))+CR88),CR88))</f>
        <v>1000</v>
      </c>
      <c r="CT88" s="26">
        <f>IF(ISNUMBER(VLOOKUP($D88,'Visu totale'!$D:$DH,CT$1,0)),CS88-VLOOKUP($D88,'Visu totale'!$D:$DH,CT$1,0),IF(LEFT(VLOOKUP($D88,'Visu totale'!$D:$DH,CT$1,0),1)="V",IF(CS88&gt;=INDEX('[1]Définition Maintenances'!$G:$G,MATCH($A88,'[1]Définition Maintenances'!$K:$K,0)),CS88,INDEX('[1]Définition Maintenances'!$G:$G,MATCH($A88,'[1]Définition Maintenances'!$K:$K,0))+CS88),CS88))</f>
        <v>1000</v>
      </c>
      <c r="CU88" s="26">
        <f>IF(ISNUMBER(VLOOKUP($D88,'Visu totale'!$D:$DH,CU$1,0)),CT88-VLOOKUP($D88,'Visu totale'!$D:$DH,CU$1,0),IF(LEFT(VLOOKUP($D88,'Visu totale'!$D:$DH,CU$1,0),1)="V",IF(CT88&gt;=INDEX('[1]Définition Maintenances'!$G:$G,MATCH($A88,'[1]Définition Maintenances'!$K:$K,0)),CT88,INDEX('[1]Définition Maintenances'!$G:$G,MATCH($A88,'[1]Définition Maintenances'!$K:$K,0))+CT88),CT88))</f>
        <v>1000</v>
      </c>
      <c r="CV88" s="26">
        <f>IF(ISNUMBER(VLOOKUP($D88,'Visu totale'!$D:$DH,CV$1,0)),CU88-VLOOKUP($D88,'Visu totale'!$D:$DH,CV$1,0),IF(LEFT(VLOOKUP($D88,'Visu totale'!$D:$DH,CV$1,0),1)="V",IF(CU88&gt;=INDEX('[1]Définition Maintenances'!$G:$G,MATCH($A88,'[1]Définition Maintenances'!$K:$K,0)),CU88,INDEX('[1]Définition Maintenances'!$G:$G,MATCH($A88,'[1]Définition Maintenances'!$K:$K,0))+CU88),CU88))</f>
        <v>1000</v>
      </c>
      <c r="CW88" s="27">
        <f>IF(ISNUMBER(VLOOKUP($D88,'Visu totale'!$D:$DH,CW$1,0)),CV88-VLOOKUP($D88,'Visu totale'!$D:$DH,CW$1,0),IF(LEFT(VLOOKUP($D88,'Visu totale'!$D:$DH,CW$1,0),1)="V",IF(CV88&gt;=INDEX('[1]Définition Maintenances'!$G:$G,MATCH($A88,'[1]Définition Maintenances'!$K:$K,0)),CV88,INDEX('[1]Définition Maintenances'!$G:$G,MATCH($A88,'[1]Définition Maintenances'!$K:$K,0))+CV88),CV88))</f>
        <v>1000</v>
      </c>
      <c r="CX88" s="25">
        <f>IF(ISNUMBER(VLOOKUP($D88,'Visu totale'!$D:$DH,CX$1,0)),CW88-VLOOKUP($D88,'Visu totale'!$D:$DH,CX$1,0),IF(LEFT(VLOOKUP($D88,'Visu totale'!$D:$DH,CX$1,0),1)="V",IF(CW88&gt;=INDEX('[1]Définition Maintenances'!$G:$G,MATCH($A88,'[1]Définition Maintenances'!$K:$K,0)),CW88,INDEX('[1]Définition Maintenances'!$G:$G,MATCH($A88,'[1]Définition Maintenances'!$K:$K,0))+CW88),CW88))</f>
        <v>1000</v>
      </c>
      <c r="CY88" s="26">
        <f>IF(ISNUMBER(VLOOKUP($D88,'Visu totale'!$D:$DH,CY$1,0)),CX88-VLOOKUP($D88,'Visu totale'!$D:$DH,CY$1,0),IF(LEFT(VLOOKUP($D88,'Visu totale'!$D:$DH,CY$1,0),1)="V",IF(CX88&gt;=INDEX('[1]Définition Maintenances'!$G:$G,MATCH($A88,'[1]Définition Maintenances'!$K:$K,0)),CX88,INDEX('[1]Définition Maintenances'!$G:$G,MATCH($A88,'[1]Définition Maintenances'!$K:$K,0))+CX88),CX88))</f>
        <v>1000</v>
      </c>
      <c r="CZ88" s="26">
        <f>IF(ISNUMBER(VLOOKUP($D88,'Visu totale'!$D:$DH,CZ$1,0)),CY88-VLOOKUP($D88,'Visu totale'!$D:$DH,CZ$1,0),IF(LEFT(VLOOKUP($D88,'Visu totale'!$D:$DH,CZ$1,0),1)="V",IF(CY88&gt;=INDEX('[1]Définition Maintenances'!$G:$G,MATCH($A88,'[1]Définition Maintenances'!$K:$K,0)),CY88,INDEX('[1]Définition Maintenances'!$G:$G,MATCH($A88,'[1]Définition Maintenances'!$K:$K,0))+CY88),CY88))</f>
        <v>1000</v>
      </c>
      <c r="DA88" s="26">
        <f>IF(ISNUMBER(VLOOKUP($D88,'Visu totale'!$D:$DH,DA$1,0)),CZ88-VLOOKUP($D88,'Visu totale'!$D:$DH,DA$1,0),IF(LEFT(VLOOKUP($D88,'Visu totale'!$D:$DH,DA$1,0),1)="V",IF(CZ88&gt;=INDEX('[1]Définition Maintenances'!$G:$G,MATCH($A88,'[1]Définition Maintenances'!$K:$K,0)),CZ88,INDEX('[1]Définition Maintenances'!$G:$G,MATCH($A88,'[1]Définition Maintenances'!$K:$K,0))+CZ88),CZ88))</f>
        <v>1000</v>
      </c>
      <c r="DB88" s="26">
        <f>IF(ISNUMBER(VLOOKUP($D88,'Visu totale'!$D:$DH,DB$1,0)),DA88-VLOOKUP($D88,'Visu totale'!$D:$DH,DB$1,0),IF(LEFT(VLOOKUP($D88,'Visu totale'!$D:$DH,DB$1,0),1)="V",IF(DA88&gt;=INDEX('[1]Définition Maintenances'!$G:$G,MATCH($A88,'[1]Définition Maintenances'!$K:$K,0)),DA88,INDEX('[1]Définition Maintenances'!$G:$G,MATCH($A88,'[1]Définition Maintenances'!$K:$K,0))+DA88),DA88))</f>
        <v>1000</v>
      </c>
      <c r="DC88" s="26">
        <f>IF(ISNUMBER(VLOOKUP($D88,'Visu totale'!$D:$DH,DC$1,0)),DB88-VLOOKUP($D88,'Visu totale'!$D:$DH,DC$1,0),IF(LEFT(VLOOKUP($D88,'Visu totale'!$D:$DH,DC$1,0),1)="V",IF(DB88&gt;=INDEX('[1]Définition Maintenances'!$G:$G,MATCH($A88,'[1]Définition Maintenances'!$K:$K,0)),DB88,INDEX('[1]Définition Maintenances'!$G:$G,MATCH($A88,'[1]Définition Maintenances'!$K:$K,0))+DB88),DB88))</f>
        <v>1000</v>
      </c>
      <c r="DD88" s="26">
        <f>IF(ISNUMBER(VLOOKUP($D88,'Visu totale'!$D:$DH,DD$1,0)),DC88-VLOOKUP($D88,'Visu totale'!$D:$DH,DD$1,0),IF(LEFT(VLOOKUP($D88,'Visu totale'!$D:$DH,DD$1,0),1)="V",IF(DC88&gt;=INDEX('[1]Définition Maintenances'!$G:$G,MATCH($A88,'[1]Définition Maintenances'!$K:$K,0)),DC88,INDEX('[1]Définition Maintenances'!$G:$G,MATCH($A88,'[1]Définition Maintenances'!$K:$K,0))+DC88),DC88))</f>
        <v>1000</v>
      </c>
      <c r="DE88" s="26">
        <f>IF(ISNUMBER(VLOOKUP($D88,'Visu totale'!$D:$DH,DE$1,0)),DD88-VLOOKUP($D88,'Visu totale'!$D:$DH,DE$1,0),IF(LEFT(VLOOKUP($D88,'Visu totale'!$D:$DH,DE$1,0),1)="V",IF(DD88&gt;=INDEX('[1]Définition Maintenances'!$G:$G,MATCH($A88,'[1]Définition Maintenances'!$K:$K,0)),DD88,INDEX('[1]Définition Maintenances'!$G:$G,MATCH($A88,'[1]Définition Maintenances'!$K:$K,0))+DD88),DD88))</f>
        <v>1000</v>
      </c>
      <c r="DF88" s="26">
        <f>IF(ISNUMBER(VLOOKUP($D88,'Visu totale'!$D:$DH,DF$1,0)),DE88-VLOOKUP($D88,'Visu totale'!$D:$DH,DF$1,0),IF(LEFT(VLOOKUP($D88,'Visu totale'!$D:$DH,DF$1,0),1)="V",IF(DE88&gt;=INDEX('[1]Définition Maintenances'!$G:$G,MATCH($A88,'[1]Définition Maintenances'!$K:$K,0)),DE88,INDEX('[1]Définition Maintenances'!$G:$G,MATCH($A88,'[1]Définition Maintenances'!$K:$K,0))+DE88),DE88))</f>
        <v>1000</v>
      </c>
      <c r="DG88" s="26">
        <f>IF(ISNUMBER(VLOOKUP($D88,'Visu totale'!$D:$DH,DG$1,0)),DF88-VLOOKUP($D88,'Visu totale'!$D:$DH,DG$1,0),IF(LEFT(VLOOKUP($D88,'Visu totale'!$D:$DH,DG$1,0),1)="V",IF(DF88&gt;=INDEX('[1]Définition Maintenances'!$G:$G,MATCH($A88,'[1]Définition Maintenances'!$K:$K,0)),DF88,INDEX('[1]Définition Maintenances'!$G:$G,MATCH($A88,'[1]Définition Maintenances'!$K:$K,0))+DF88),DF88))</f>
        <v>1000</v>
      </c>
      <c r="DH88" s="26">
        <f>IF(ISNUMBER(VLOOKUP($D88,'Visu totale'!$D:$DH,DH$1,0)),DG88-VLOOKUP($D88,'Visu totale'!$D:$DH,DH$1,0),IF(LEFT(VLOOKUP($D88,'Visu totale'!$D:$DH,DH$1,0),1)="V",IF(DG88&gt;=INDEX('[1]Définition Maintenances'!$G:$G,MATCH($A88,'[1]Définition Maintenances'!$K:$K,0)),DG88,INDEX('[1]Définition Maintenances'!$G:$G,MATCH($A88,'[1]Définition Maintenances'!$K:$K,0))+DG88),DG88))</f>
        <v>1000</v>
      </c>
      <c r="DI88" s="27">
        <f>IF(ISNUMBER(VLOOKUP($D88,'Visu totale'!$D:$DH,DI$1,0)),DH88-VLOOKUP($D88,'Visu totale'!$D:$DH,DI$1,0),IF(LEFT(VLOOKUP($D88,'Visu totale'!$D:$DH,DI$1,0),1)="V",IF(DH88&gt;=INDEX('[1]Définition Maintenances'!$G:$G,MATCH($A88,'[1]Définition Maintenances'!$K:$K,0)),DH88,INDEX('[1]Définition Maintenances'!$G:$G,MATCH($A88,'[1]Définition Maintenances'!$K:$K,0))+DH88),DH88))</f>
        <v>1000</v>
      </c>
    </row>
    <row r="89" spans="1:113" x14ac:dyDescent="0.25">
      <c r="A89" s="13" t="str">
        <f t="shared" si="2"/>
        <v>V30C</v>
      </c>
      <c r="B89" s="13" t="str">
        <f>VLOOKUP(D89,'[1]Avions (Potentiels)'!$B$2:$H$128,7,FALSE)</f>
        <v>V30</v>
      </c>
      <c r="C89" s="13"/>
      <c r="D89" s="16" t="s">
        <v>92</v>
      </c>
      <c r="E89" s="13">
        <f>IFERROR(VALUE(SUBSTITUTE(VLOOKUP(D89,'[1]Avions (Potentiels)'!$B:$E,4,0),".",",")),VALUE(VLOOKUP(D89,'[1]Avions (Potentiels)'!$B:$E,4,0)))</f>
        <v>661</v>
      </c>
      <c r="F89" s="25">
        <f>IF(ISNUMBER(VLOOKUP($D89,'Visu totale'!$D:$DH,F$1,0)),E89-VLOOKUP($D89,'Visu totale'!$D:$DH,F$1,0),IF(LEFT(VLOOKUP($D89,'Visu totale'!$D:$DH,F$1,0),1)="V",IF(E89&gt;=INDEX('[1]Définition Maintenances'!$G:$G,MATCH($A89,'[1]Définition Maintenances'!$K:$K,0)),E89,INDEX('[1]Définition Maintenances'!$G:$G,MATCH($A89,'[1]Définition Maintenances'!$K:$K,0))+E89),E89))</f>
        <v>661</v>
      </c>
      <c r="G89" s="26">
        <f>IF(ISNUMBER(VLOOKUP($D89,'Visu totale'!$D:$DH,G$1,0)),F89-VLOOKUP($D89,'Visu totale'!$D:$DH,G$1,0),IF(LEFT(VLOOKUP($D89,'Visu totale'!$D:$DH,G$1,0),1)="V",IF(F89&gt;=INDEX('[1]Définition Maintenances'!$G:$G,MATCH($A89,'[1]Définition Maintenances'!$K:$K,0)),F89,INDEX('[1]Définition Maintenances'!$G:$G,MATCH($A89,'[1]Définition Maintenances'!$K:$K,0))+F89),F89))</f>
        <v>661</v>
      </c>
      <c r="H89" s="26">
        <f>IF(ISNUMBER(VLOOKUP($D89,'Visu totale'!$D:$DH,H$1,0)),G89-VLOOKUP($D89,'Visu totale'!$D:$DH,H$1,0),IF(LEFT(VLOOKUP($D89,'Visu totale'!$D:$DH,H$1,0),1)="V",IF(G89&gt;=INDEX('[1]Définition Maintenances'!$G:$G,MATCH($A89,'[1]Définition Maintenances'!$K:$K,0)),G89,INDEX('[1]Définition Maintenances'!$G:$G,MATCH($A89,'[1]Définition Maintenances'!$K:$K,0))+G89),G89))</f>
        <v>661</v>
      </c>
      <c r="I89" s="26">
        <f>IF(ISNUMBER(VLOOKUP($D89,'Visu totale'!$D:$DH,I$1,0)),H89-VLOOKUP($D89,'Visu totale'!$D:$DH,I$1,0),IF(LEFT(VLOOKUP($D89,'Visu totale'!$D:$DH,I$1,0),1)="V",IF(H89&gt;=INDEX('[1]Définition Maintenances'!$G:$G,MATCH($A89,'[1]Définition Maintenances'!$K:$K,0)),H89,INDEX('[1]Définition Maintenances'!$G:$G,MATCH($A89,'[1]Définition Maintenances'!$K:$K,0))+H89),H89))</f>
        <v>661</v>
      </c>
      <c r="J89" s="26">
        <f>IF(ISNUMBER(VLOOKUP($D89,'Visu totale'!$D:$DH,J$1,0)),I89-VLOOKUP($D89,'Visu totale'!$D:$DH,J$1,0),IF(LEFT(VLOOKUP($D89,'Visu totale'!$D:$DH,J$1,0),1)="V",IF(I89&gt;=INDEX('[1]Définition Maintenances'!$G:$G,MATCH($A89,'[1]Définition Maintenances'!$K:$K,0)),I89,INDEX('[1]Définition Maintenances'!$G:$G,MATCH($A89,'[1]Définition Maintenances'!$K:$K,0))+I89),I89))</f>
        <v>661</v>
      </c>
      <c r="K89" s="26">
        <f>IF(ISNUMBER(VLOOKUP($D89,'Visu totale'!$D:$DH,K$1,0)),J89-VLOOKUP($D89,'Visu totale'!$D:$DH,K$1,0),IF(LEFT(VLOOKUP($D89,'Visu totale'!$D:$DH,K$1,0),1)="V",IF(J89&gt;=INDEX('[1]Définition Maintenances'!$G:$G,MATCH($A89,'[1]Définition Maintenances'!$K:$K,0)),J89,INDEX('[1]Définition Maintenances'!$G:$G,MATCH($A89,'[1]Définition Maintenances'!$K:$K,0))+J89),J89))</f>
        <v>661</v>
      </c>
      <c r="L89" s="26">
        <f>IF(ISNUMBER(VLOOKUP($D89,'Visu totale'!$D:$DH,L$1,0)),K89-VLOOKUP($D89,'Visu totale'!$D:$DH,L$1,0),IF(LEFT(VLOOKUP($D89,'Visu totale'!$D:$DH,L$1,0),1)="V",IF(K89&gt;=INDEX('[1]Définition Maintenances'!$G:$G,MATCH($A89,'[1]Définition Maintenances'!$K:$K,0)),K89,INDEX('[1]Définition Maintenances'!$G:$G,MATCH($A89,'[1]Définition Maintenances'!$K:$K,0))+K89),K89))</f>
        <v>661</v>
      </c>
      <c r="M89" s="26">
        <f>IF(ISNUMBER(VLOOKUP($D89,'Visu totale'!$D:$DH,M$1,0)),L89-VLOOKUP($D89,'Visu totale'!$D:$DH,M$1,0),IF(LEFT(VLOOKUP($D89,'Visu totale'!$D:$DH,M$1,0),1)="V",IF(L89&gt;=INDEX('[1]Définition Maintenances'!$G:$G,MATCH($A89,'[1]Définition Maintenances'!$K:$K,0)),L89,INDEX('[1]Définition Maintenances'!$G:$G,MATCH($A89,'[1]Définition Maintenances'!$K:$K,0))+L89),L89))</f>
        <v>661</v>
      </c>
      <c r="N89" s="26">
        <f>IF(ISNUMBER(VLOOKUP($D89,'Visu totale'!$D:$DH,N$1,0)),M89-VLOOKUP($D89,'Visu totale'!$D:$DH,N$1,0),IF(LEFT(VLOOKUP($D89,'Visu totale'!$D:$DH,N$1,0),1)="V",IF(M89&gt;=INDEX('[1]Définition Maintenances'!$G:$G,MATCH($A89,'[1]Définition Maintenances'!$K:$K,0)),M89,INDEX('[1]Définition Maintenances'!$G:$G,MATCH($A89,'[1]Définition Maintenances'!$K:$K,0))+M89),M89))</f>
        <v>661</v>
      </c>
      <c r="O89" s="26">
        <f>IF(ISNUMBER(VLOOKUP($D89,'Visu totale'!$D:$DH,O$1,0)),N89-VLOOKUP($D89,'Visu totale'!$D:$DH,O$1,0),IF(LEFT(VLOOKUP($D89,'Visu totale'!$D:$DH,O$1,0),1)="V",IF(N89&gt;=INDEX('[1]Définition Maintenances'!$G:$G,MATCH($A89,'[1]Définition Maintenances'!$K:$K,0)),N89,INDEX('[1]Définition Maintenances'!$G:$G,MATCH($A89,'[1]Définition Maintenances'!$K:$K,0))+N89),N89))</f>
        <v>661</v>
      </c>
      <c r="P89" s="26">
        <f>IF(ISNUMBER(VLOOKUP($D89,'Visu totale'!$D:$DH,P$1,0)),O89-VLOOKUP($D89,'Visu totale'!$D:$DH,P$1,0),IF(LEFT(VLOOKUP($D89,'Visu totale'!$D:$DH,P$1,0),1)="V",IF(O89&gt;=INDEX('[1]Définition Maintenances'!$G:$G,MATCH($A89,'[1]Définition Maintenances'!$K:$K,0)),O89,INDEX('[1]Définition Maintenances'!$G:$G,MATCH($A89,'[1]Définition Maintenances'!$K:$K,0))+O89),O89))</f>
        <v>661</v>
      </c>
      <c r="Q89" s="27">
        <f>IF(ISNUMBER(VLOOKUP($D89,'Visu totale'!$D:$DH,Q$1,0)),P89-VLOOKUP($D89,'Visu totale'!$D:$DH,Q$1,0),IF(LEFT(VLOOKUP($D89,'Visu totale'!$D:$DH,Q$1,0),1)="V",IF(P89&gt;=INDEX('[1]Définition Maintenances'!$G:$G,MATCH($A89,'[1]Définition Maintenances'!$K:$K,0)),P89,INDEX('[1]Définition Maintenances'!$G:$G,MATCH($A89,'[1]Définition Maintenances'!$K:$K,0))+P89),P89))</f>
        <v>661</v>
      </c>
      <c r="R89" s="25">
        <f>IF(ISNUMBER(VLOOKUP($D89,'Visu totale'!$D:$DH,R$1,0)),Q89-VLOOKUP($D89,'Visu totale'!$D:$DH,R$1,0),IF(LEFT(VLOOKUP($D89,'Visu totale'!$D:$DH,R$1,0),1)="V",IF(Q89&gt;=INDEX('[1]Définition Maintenances'!$G:$G,MATCH($A89,'[1]Définition Maintenances'!$K:$K,0)),Q89,INDEX('[1]Définition Maintenances'!$G:$G,MATCH($A89,'[1]Définition Maintenances'!$K:$K,0))+Q89),Q89))</f>
        <v>661</v>
      </c>
      <c r="S89" s="26">
        <f>IF(ISNUMBER(VLOOKUP($D89,'Visu totale'!$D:$DH,S$1,0)),R89-VLOOKUP($D89,'Visu totale'!$D:$DH,S$1,0),IF(LEFT(VLOOKUP($D89,'Visu totale'!$D:$DH,S$1,0),1)="V",IF(R89&gt;=INDEX('[1]Définition Maintenances'!$G:$G,MATCH($A89,'[1]Définition Maintenances'!$K:$K,0)),R89,INDEX('[1]Définition Maintenances'!$G:$G,MATCH($A89,'[1]Définition Maintenances'!$K:$K,0))+R89),R89))</f>
        <v>661</v>
      </c>
      <c r="T89" s="26">
        <f>IF(ISNUMBER(VLOOKUP($D89,'Visu totale'!$D:$DH,T$1,0)),S89-VLOOKUP($D89,'Visu totale'!$D:$DH,T$1,0),IF(LEFT(VLOOKUP($D89,'Visu totale'!$D:$DH,T$1,0),1)="V",IF(S89&gt;=INDEX('[1]Définition Maintenances'!$G:$G,MATCH($A89,'[1]Définition Maintenances'!$K:$K,0)),S89,INDEX('[1]Définition Maintenances'!$G:$G,MATCH($A89,'[1]Définition Maintenances'!$K:$K,0))+S89),S89))</f>
        <v>661</v>
      </c>
      <c r="U89" s="26">
        <f>IF(ISNUMBER(VLOOKUP($D89,'Visu totale'!$D:$DH,U$1,0)),T89-VLOOKUP($D89,'Visu totale'!$D:$DH,U$1,0),IF(LEFT(VLOOKUP($D89,'Visu totale'!$D:$DH,U$1,0),1)="V",IF(T89&gt;=INDEX('[1]Définition Maintenances'!$G:$G,MATCH($A89,'[1]Définition Maintenances'!$K:$K,0)),T89,INDEX('[1]Définition Maintenances'!$G:$G,MATCH($A89,'[1]Définition Maintenances'!$K:$K,0))+T89),T89))</f>
        <v>661</v>
      </c>
      <c r="V89" s="26">
        <f>IF(ISNUMBER(VLOOKUP($D89,'Visu totale'!$D:$DH,V$1,0)),U89-VLOOKUP($D89,'Visu totale'!$D:$DH,V$1,0),IF(LEFT(VLOOKUP($D89,'Visu totale'!$D:$DH,V$1,0),1)="V",IF(U89&gt;=INDEX('[1]Définition Maintenances'!$G:$G,MATCH($A89,'[1]Définition Maintenances'!$K:$K,0)),U89,INDEX('[1]Définition Maintenances'!$G:$G,MATCH($A89,'[1]Définition Maintenances'!$K:$K,0))+U89),U89))</f>
        <v>661</v>
      </c>
      <c r="W89" s="26">
        <f>IF(ISNUMBER(VLOOKUP($D89,'Visu totale'!$D:$DH,W$1,0)),V89-VLOOKUP($D89,'Visu totale'!$D:$DH,W$1,0),IF(LEFT(VLOOKUP($D89,'Visu totale'!$D:$DH,W$1,0),1)="V",IF(V89&gt;=INDEX('[1]Définition Maintenances'!$G:$G,MATCH($A89,'[1]Définition Maintenances'!$K:$K,0)),V89,INDEX('[1]Définition Maintenances'!$G:$G,MATCH($A89,'[1]Définition Maintenances'!$K:$K,0))+V89),V89))</f>
        <v>661</v>
      </c>
      <c r="X89" s="26">
        <f>IF(ISNUMBER(VLOOKUP($D89,'Visu totale'!$D:$DH,X$1,0)),W89-VLOOKUP($D89,'Visu totale'!$D:$DH,X$1,0),IF(LEFT(VLOOKUP($D89,'Visu totale'!$D:$DH,X$1,0),1)="V",IF(W89&gt;=INDEX('[1]Définition Maintenances'!$G:$G,MATCH($A89,'[1]Définition Maintenances'!$K:$K,0)),W89,INDEX('[1]Définition Maintenances'!$G:$G,MATCH($A89,'[1]Définition Maintenances'!$K:$K,0))+W89),W89))</f>
        <v>661</v>
      </c>
      <c r="Y89" s="26">
        <f>IF(ISNUMBER(VLOOKUP($D89,'Visu totale'!$D:$DH,Y$1,0)),X89-VLOOKUP($D89,'Visu totale'!$D:$DH,Y$1,0),IF(LEFT(VLOOKUP($D89,'Visu totale'!$D:$DH,Y$1,0),1)="V",IF(X89&gt;=INDEX('[1]Définition Maintenances'!$G:$G,MATCH($A89,'[1]Définition Maintenances'!$K:$K,0)),X89,INDEX('[1]Définition Maintenances'!$G:$G,MATCH($A89,'[1]Définition Maintenances'!$K:$K,0))+X89),X89))</f>
        <v>661</v>
      </c>
      <c r="Z89" s="26">
        <f>IF(ISNUMBER(VLOOKUP($D89,'Visu totale'!$D:$DH,Z$1,0)),Y89-VLOOKUP($D89,'Visu totale'!$D:$DH,Z$1,0),IF(LEFT(VLOOKUP($D89,'Visu totale'!$D:$DH,Z$1,0),1)="V",IF(Y89&gt;=INDEX('[1]Définition Maintenances'!$G:$G,MATCH($A89,'[1]Définition Maintenances'!$K:$K,0)),Y89,INDEX('[1]Définition Maintenances'!$G:$G,MATCH($A89,'[1]Définition Maintenances'!$K:$K,0))+Y89),Y89))</f>
        <v>661</v>
      </c>
      <c r="AA89" s="26">
        <f>IF(ISNUMBER(VLOOKUP($D89,'Visu totale'!$D:$DH,AA$1,0)),Z89-VLOOKUP($D89,'Visu totale'!$D:$DH,AA$1,0),IF(LEFT(VLOOKUP($D89,'Visu totale'!$D:$DH,AA$1,0),1)="V",IF(Z89&gt;=INDEX('[1]Définition Maintenances'!$G:$G,MATCH($A89,'[1]Définition Maintenances'!$K:$K,0)),Z89,INDEX('[1]Définition Maintenances'!$G:$G,MATCH($A89,'[1]Définition Maintenances'!$K:$K,0))+Z89),Z89))</f>
        <v>661</v>
      </c>
      <c r="AB89" s="26">
        <f>IF(ISNUMBER(VLOOKUP($D89,'Visu totale'!$D:$DH,AB$1,0)),AA89-VLOOKUP($D89,'Visu totale'!$D:$DH,AB$1,0),IF(LEFT(VLOOKUP($D89,'Visu totale'!$D:$DH,AB$1,0),1)="V",IF(AA89&gt;=INDEX('[1]Définition Maintenances'!$G:$G,MATCH($A89,'[1]Définition Maintenances'!$K:$K,0)),AA89,INDEX('[1]Définition Maintenances'!$G:$G,MATCH($A89,'[1]Définition Maintenances'!$K:$K,0))+AA89),AA89))</f>
        <v>661</v>
      </c>
      <c r="AC89" s="27">
        <f>IF(ISNUMBER(VLOOKUP($D89,'Visu totale'!$D:$DH,AC$1,0)),AB89-VLOOKUP($D89,'Visu totale'!$D:$DH,AC$1,0),IF(LEFT(VLOOKUP($D89,'Visu totale'!$D:$DH,AC$1,0),1)="V",IF(AB89&gt;=INDEX('[1]Définition Maintenances'!$G:$G,MATCH($A89,'[1]Définition Maintenances'!$K:$K,0)),AB89,INDEX('[1]Définition Maintenances'!$G:$G,MATCH($A89,'[1]Définition Maintenances'!$K:$K,0))+AB89),AB89))</f>
        <v>661</v>
      </c>
      <c r="AD89" s="25">
        <f>IF(ISNUMBER(VLOOKUP($D89,'Visu totale'!$D:$DH,AD$1,0)),AC89-VLOOKUP($D89,'Visu totale'!$D:$DH,AD$1,0),IF(LEFT(VLOOKUP($D89,'Visu totale'!$D:$DH,AD$1,0),1)="V",IF(AC89&gt;=INDEX('[1]Définition Maintenances'!$G:$G,MATCH($A89,'[1]Définition Maintenances'!$K:$K,0)),AC89,INDEX('[1]Définition Maintenances'!$G:$G,MATCH($A89,'[1]Définition Maintenances'!$K:$K,0))+AC89),AC89))</f>
        <v>661</v>
      </c>
      <c r="AE89" s="26">
        <f>IF(ISNUMBER(VLOOKUP($D89,'Visu totale'!$D:$DH,AE$1,0)),AD89-VLOOKUP($D89,'Visu totale'!$D:$DH,AE$1,0),IF(LEFT(VLOOKUP($D89,'Visu totale'!$D:$DH,AE$1,0),1)="V",IF(AD89&gt;=INDEX('[1]Définition Maintenances'!$G:$G,MATCH($A89,'[1]Définition Maintenances'!$K:$K,0)),AD89,INDEX('[1]Définition Maintenances'!$G:$G,MATCH($A89,'[1]Définition Maintenances'!$K:$K,0))+AD89),AD89))</f>
        <v>661</v>
      </c>
      <c r="AF89" s="26">
        <f>IF(ISNUMBER(VLOOKUP($D89,'Visu totale'!$D:$DH,AF$1,0)),AE89-VLOOKUP($D89,'Visu totale'!$D:$DH,AF$1,0),IF(LEFT(VLOOKUP($D89,'Visu totale'!$D:$DH,AF$1,0),1)="V",IF(AE89&gt;=INDEX('[1]Définition Maintenances'!$G:$G,MATCH($A89,'[1]Définition Maintenances'!$K:$K,0)),AE89,INDEX('[1]Définition Maintenances'!$G:$G,MATCH($A89,'[1]Définition Maintenances'!$K:$K,0))+AE89),AE89))</f>
        <v>661</v>
      </c>
      <c r="AG89" s="26">
        <f>IF(ISNUMBER(VLOOKUP($D89,'Visu totale'!$D:$DH,AG$1,0)),AF89-VLOOKUP($D89,'Visu totale'!$D:$DH,AG$1,0),IF(LEFT(VLOOKUP($D89,'Visu totale'!$D:$DH,AG$1,0),1)="V",IF(AF89&gt;=INDEX('[1]Définition Maintenances'!$G:$G,MATCH($A89,'[1]Définition Maintenances'!$K:$K,0)),AF89,INDEX('[1]Définition Maintenances'!$G:$G,MATCH($A89,'[1]Définition Maintenances'!$K:$K,0))+AF89),AF89))</f>
        <v>661</v>
      </c>
      <c r="AH89" s="26">
        <f>IF(ISNUMBER(VLOOKUP($D89,'Visu totale'!$D:$DH,AH$1,0)),AG89-VLOOKUP($D89,'Visu totale'!$D:$DH,AH$1,0),IF(LEFT(VLOOKUP($D89,'Visu totale'!$D:$DH,AH$1,0),1)="V",IF(AG89&gt;=INDEX('[1]Définition Maintenances'!$G:$G,MATCH($A89,'[1]Définition Maintenances'!$K:$K,0)),AG89,INDEX('[1]Définition Maintenances'!$G:$G,MATCH($A89,'[1]Définition Maintenances'!$K:$K,0))+AG89),AG89))</f>
        <v>661</v>
      </c>
      <c r="AI89" s="26">
        <f>IF(ISNUMBER(VLOOKUP($D89,'Visu totale'!$D:$DH,AI$1,0)),AH89-VLOOKUP($D89,'Visu totale'!$D:$DH,AI$1,0),IF(LEFT(VLOOKUP($D89,'Visu totale'!$D:$DH,AI$1,0),1)="V",IF(AH89&gt;=INDEX('[1]Définition Maintenances'!$G:$G,MATCH($A89,'[1]Définition Maintenances'!$K:$K,0)),AH89,INDEX('[1]Définition Maintenances'!$G:$G,MATCH($A89,'[1]Définition Maintenances'!$K:$K,0))+AH89),AH89))</f>
        <v>661</v>
      </c>
      <c r="AJ89" s="26">
        <f>IF(ISNUMBER(VLOOKUP($D89,'Visu totale'!$D:$DH,AJ$1,0)),AI89-VLOOKUP($D89,'Visu totale'!$D:$DH,AJ$1,0),IF(LEFT(VLOOKUP($D89,'Visu totale'!$D:$DH,AJ$1,0),1)="V",IF(AI89&gt;=INDEX('[1]Définition Maintenances'!$G:$G,MATCH($A89,'[1]Définition Maintenances'!$K:$K,0)),AI89,INDEX('[1]Définition Maintenances'!$G:$G,MATCH($A89,'[1]Définition Maintenances'!$K:$K,0))+AI89),AI89))</f>
        <v>661</v>
      </c>
      <c r="AK89" s="26">
        <f>IF(ISNUMBER(VLOOKUP($D89,'Visu totale'!$D:$DH,AK$1,0)),AJ89-VLOOKUP($D89,'Visu totale'!$D:$DH,AK$1,0),IF(LEFT(VLOOKUP($D89,'Visu totale'!$D:$DH,AK$1,0),1)="V",IF(AJ89&gt;=INDEX('[1]Définition Maintenances'!$G:$G,MATCH($A89,'[1]Définition Maintenances'!$K:$K,0)),AJ89,INDEX('[1]Définition Maintenances'!$G:$G,MATCH($A89,'[1]Définition Maintenances'!$K:$K,0))+AJ89),AJ89))</f>
        <v>661</v>
      </c>
      <c r="AL89" s="26">
        <f>IF(ISNUMBER(VLOOKUP($D89,'Visu totale'!$D:$DH,AL$1,0)),AK89-VLOOKUP($D89,'Visu totale'!$D:$DH,AL$1,0),IF(LEFT(VLOOKUP($D89,'Visu totale'!$D:$DH,AL$1,0),1)="V",IF(AK89&gt;=INDEX('[1]Définition Maintenances'!$G:$G,MATCH($A89,'[1]Définition Maintenances'!$K:$K,0)),AK89,INDEX('[1]Définition Maintenances'!$G:$G,MATCH($A89,'[1]Définition Maintenances'!$K:$K,0))+AK89),AK89))</f>
        <v>661</v>
      </c>
      <c r="AM89" s="26">
        <f>IF(ISNUMBER(VLOOKUP($D89,'Visu totale'!$D:$DH,AM$1,0)),AL89-VLOOKUP($D89,'Visu totale'!$D:$DH,AM$1,0),IF(LEFT(VLOOKUP($D89,'Visu totale'!$D:$DH,AM$1,0),1)="V",IF(AL89&gt;=INDEX('[1]Définition Maintenances'!$G:$G,MATCH($A89,'[1]Définition Maintenances'!$K:$K,0)),AL89,INDEX('[1]Définition Maintenances'!$G:$G,MATCH($A89,'[1]Définition Maintenances'!$K:$K,0))+AL89),AL89))</f>
        <v>661</v>
      </c>
      <c r="AN89" s="26">
        <f>IF(ISNUMBER(VLOOKUP($D89,'Visu totale'!$D:$DH,AN$1,0)),AM89-VLOOKUP($D89,'Visu totale'!$D:$DH,AN$1,0),IF(LEFT(VLOOKUP($D89,'Visu totale'!$D:$DH,AN$1,0),1)="V",IF(AM89&gt;=INDEX('[1]Définition Maintenances'!$G:$G,MATCH($A89,'[1]Définition Maintenances'!$K:$K,0)),AM89,INDEX('[1]Définition Maintenances'!$G:$G,MATCH($A89,'[1]Définition Maintenances'!$K:$K,0))+AM89),AM89))</f>
        <v>661</v>
      </c>
      <c r="AO89" s="27">
        <f>IF(ISNUMBER(VLOOKUP($D89,'Visu totale'!$D:$DH,AO$1,0)),AN89-VLOOKUP($D89,'Visu totale'!$D:$DH,AO$1,0),IF(LEFT(VLOOKUP($D89,'Visu totale'!$D:$DH,AO$1,0),1)="V",IF(AN89&gt;=INDEX('[1]Définition Maintenances'!$G:$G,MATCH($A89,'[1]Définition Maintenances'!$K:$K,0)),AN89,INDEX('[1]Définition Maintenances'!$G:$G,MATCH($A89,'[1]Définition Maintenances'!$K:$K,0))+AN89),AN89))</f>
        <v>661</v>
      </c>
      <c r="AP89" s="25">
        <f>IF(ISNUMBER(VLOOKUP($D89,'Visu totale'!$D:$DH,AP$1,0)),AO89-VLOOKUP($D89,'Visu totale'!$D:$DH,AP$1,0),IF(LEFT(VLOOKUP($D89,'Visu totale'!$D:$DH,AP$1,0),1)="V",IF(AO89&gt;=INDEX('[1]Définition Maintenances'!$G:$G,MATCH($A89,'[1]Définition Maintenances'!$K:$K,0)),AO89,INDEX('[1]Définition Maintenances'!$G:$G,MATCH($A89,'[1]Définition Maintenances'!$K:$K,0))+AO89),AO89))</f>
        <v>661</v>
      </c>
      <c r="AQ89" s="26">
        <f>IF(ISNUMBER(VLOOKUP($D89,'Visu totale'!$D:$DH,AQ$1,0)),AP89-VLOOKUP($D89,'Visu totale'!$D:$DH,AQ$1,0),IF(LEFT(VLOOKUP($D89,'Visu totale'!$D:$DH,AQ$1,0),1)="V",IF(AP89&gt;=INDEX('[1]Définition Maintenances'!$G:$G,MATCH($A89,'[1]Définition Maintenances'!$K:$K,0)),AP89,INDEX('[1]Définition Maintenances'!$G:$G,MATCH($A89,'[1]Définition Maintenances'!$K:$K,0))+AP89),AP89))</f>
        <v>661</v>
      </c>
      <c r="AR89" s="26">
        <f>IF(ISNUMBER(VLOOKUP($D89,'Visu totale'!$D:$DH,AR$1,0)),AQ89-VLOOKUP($D89,'Visu totale'!$D:$DH,AR$1,0),IF(LEFT(VLOOKUP($D89,'Visu totale'!$D:$DH,AR$1,0),1)="V",IF(AQ89&gt;=INDEX('[1]Définition Maintenances'!$G:$G,MATCH($A89,'[1]Définition Maintenances'!$K:$K,0)),AQ89,INDEX('[1]Définition Maintenances'!$G:$G,MATCH($A89,'[1]Définition Maintenances'!$K:$K,0))+AQ89),AQ89))</f>
        <v>661</v>
      </c>
      <c r="AS89" s="26">
        <f>IF(ISNUMBER(VLOOKUP($D89,'Visu totale'!$D:$DH,AS$1,0)),AR89-VLOOKUP($D89,'Visu totale'!$D:$DH,AS$1,0),IF(LEFT(VLOOKUP($D89,'Visu totale'!$D:$DH,AS$1,0),1)="V",IF(AR89&gt;=INDEX('[1]Définition Maintenances'!$G:$G,MATCH($A89,'[1]Définition Maintenances'!$K:$K,0)),AR89,INDEX('[1]Définition Maintenances'!$G:$G,MATCH($A89,'[1]Définition Maintenances'!$K:$K,0))+AR89),AR89))</f>
        <v>661</v>
      </c>
      <c r="AT89" s="26">
        <f>IF(ISNUMBER(VLOOKUP($D89,'Visu totale'!$D:$DH,AT$1,0)),AS89-VLOOKUP($D89,'Visu totale'!$D:$DH,AT$1,0),IF(LEFT(VLOOKUP($D89,'Visu totale'!$D:$DH,AT$1,0),1)="V",IF(AS89&gt;=INDEX('[1]Définition Maintenances'!$G:$G,MATCH($A89,'[1]Définition Maintenances'!$K:$K,0)),AS89,INDEX('[1]Définition Maintenances'!$G:$G,MATCH($A89,'[1]Définition Maintenances'!$K:$K,0))+AS89),AS89))</f>
        <v>661</v>
      </c>
      <c r="AU89" s="26">
        <f>IF(ISNUMBER(VLOOKUP($D89,'Visu totale'!$D:$DH,AU$1,0)),AT89-VLOOKUP($D89,'Visu totale'!$D:$DH,AU$1,0),IF(LEFT(VLOOKUP($D89,'Visu totale'!$D:$DH,AU$1,0),1)="V",IF(AT89&gt;=INDEX('[1]Définition Maintenances'!$G:$G,MATCH($A89,'[1]Définition Maintenances'!$K:$K,0)),AT89,INDEX('[1]Définition Maintenances'!$G:$G,MATCH($A89,'[1]Définition Maintenances'!$K:$K,0))+AT89),AT89))</f>
        <v>661</v>
      </c>
      <c r="AV89" s="26">
        <f>IF(ISNUMBER(VLOOKUP($D89,'Visu totale'!$D:$DH,AV$1,0)),AU89-VLOOKUP($D89,'Visu totale'!$D:$DH,AV$1,0),IF(LEFT(VLOOKUP($D89,'Visu totale'!$D:$DH,AV$1,0),1)="V",IF(AU89&gt;=INDEX('[1]Définition Maintenances'!$G:$G,MATCH($A89,'[1]Définition Maintenances'!$K:$K,0)),AU89,INDEX('[1]Définition Maintenances'!$G:$G,MATCH($A89,'[1]Définition Maintenances'!$K:$K,0))+AU89),AU89))</f>
        <v>661</v>
      </c>
      <c r="AW89" s="26">
        <f>IF(ISNUMBER(VLOOKUP($D89,'Visu totale'!$D:$DH,AW$1,0)),AV89-VLOOKUP($D89,'Visu totale'!$D:$DH,AW$1,0),IF(LEFT(VLOOKUP($D89,'Visu totale'!$D:$DH,AW$1,0),1)="V",IF(AV89&gt;=INDEX('[1]Définition Maintenances'!$G:$G,MATCH($A89,'[1]Définition Maintenances'!$K:$K,0)),AV89,INDEX('[1]Définition Maintenances'!$G:$G,MATCH($A89,'[1]Définition Maintenances'!$K:$K,0))+AV89),AV89))</f>
        <v>661</v>
      </c>
      <c r="AX89" s="26">
        <f>IF(ISNUMBER(VLOOKUP($D89,'Visu totale'!$D:$DH,AX$1,0)),AW89-VLOOKUP($D89,'Visu totale'!$D:$DH,AX$1,0),IF(LEFT(VLOOKUP($D89,'Visu totale'!$D:$DH,AX$1,0),1)="V",IF(AW89&gt;=INDEX('[1]Définition Maintenances'!$G:$G,MATCH($A89,'[1]Définition Maintenances'!$K:$K,0)),AW89,INDEX('[1]Définition Maintenances'!$G:$G,MATCH($A89,'[1]Définition Maintenances'!$K:$K,0))+AW89),AW89))</f>
        <v>661</v>
      </c>
      <c r="AY89" s="26">
        <f>IF(ISNUMBER(VLOOKUP($D89,'Visu totale'!$D:$DH,AY$1,0)),AX89-VLOOKUP($D89,'Visu totale'!$D:$DH,AY$1,0),IF(LEFT(VLOOKUP($D89,'Visu totale'!$D:$DH,AY$1,0),1)="V",IF(AX89&gt;=INDEX('[1]Définition Maintenances'!$G:$G,MATCH($A89,'[1]Définition Maintenances'!$K:$K,0)),AX89,INDEX('[1]Définition Maintenances'!$G:$G,MATCH($A89,'[1]Définition Maintenances'!$K:$K,0))+AX89),AX89))</f>
        <v>661</v>
      </c>
      <c r="AZ89" s="26">
        <f>IF(ISNUMBER(VLOOKUP($D89,'Visu totale'!$D:$DH,AZ$1,0)),AY89-VLOOKUP($D89,'Visu totale'!$D:$DH,AZ$1,0),IF(LEFT(VLOOKUP($D89,'Visu totale'!$D:$DH,AZ$1,0),1)="V",IF(AY89&gt;=INDEX('[1]Définition Maintenances'!$G:$G,MATCH($A89,'[1]Définition Maintenances'!$K:$K,0)),AY89,INDEX('[1]Définition Maintenances'!$G:$G,MATCH($A89,'[1]Définition Maintenances'!$K:$K,0))+AY89),AY89))</f>
        <v>661</v>
      </c>
      <c r="BA89" s="27">
        <f>IF(ISNUMBER(VLOOKUP($D89,'Visu totale'!$D:$DH,BA$1,0)),AZ89-VLOOKUP($D89,'Visu totale'!$D:$DH,BA$1,0),IF(LEFT(VLOOKUP($D89,'Visu totale'!$D:$DH,BA$1,0),1)="V",IF(AZ89&gt;=INDEX('[1]Définition Maintenances'!$G:$G,MATCH($A89,'[1]Définition Maintenances'!$K:$K,0)),AZ89,INDEX('[1]Définition Maintenances'!$G:$G,MATCH($A89,'[1]Définition Maintenances'!$K:$K,0))+AZ89),AZ89))</f>
        <v>661</v>
      </c>
      <c r="BB89" s="25">
        <f>IF(ISNUMBER(VLOOKUP($D89,'Visu totale'!$D:$DH,BB$1,0)),BA89-VLOOKUP($D89,'Visu totale'!$D:$DH,BB$1,0),IF(LEFT(VLOOKUP($D89,'Visu totale'!$D:$DH,BB$1,0),1)="V",IF(BA89&gt;=INDEX('[1]Définition Maintenances'!$G:$G,MATCH($A89,'[1]Définition Maintenances'!$K:$K,0)),BA89,INDEX('[1]Définition Maintenances'!$G:$G,MATCH($A89,'[1]Définition Maintenances'!$K:$K,0))+BA89),BA89))</f>
        <v>661</v>
      </c>
      <c r="BC89" s="26">
        <f>IF(ISNUMBER(VLOOKUP($D89,'Visu totale'!$D:$DH,BC$1,0)),BB89-VLOOKUP($D89,'Visu totale'!$D:$DH,BC$1,0),IF(LEFT(VLOOKUP($D89,'Visu totale'!$D:$DH,BC$1,0),1)="V",IF(BB89&gt;=INDEX('[1]Définition Maintenances'!$G:$G,MATCH($A89,'[1]Définition Maintenances'!$K:$K,0)),BB89,INDEX('[1]Définition Maintenances'!$G:$G,MATCH($A89,'[1]Définition Maintenances'!$K:$K,0))+BB89),BB89))</f>
        <v>661</v>
      </c>
      <c r="BD89" s="26">
        <f>IF(ISNUMBER(VLOOKUP($D89,'Visu totale'!$D:$DH,BD$1,0)),BC89-VLOOKUP($D89,'Visu totale'!$D:$DH,BD$1,0),IF(LEFT(VLOOKUP($D89,'Visu totale'!$D:$DH,BD$1,0),1)="V",IF(BC89&gt;=INDEX('[1]Définition Maintenances'!$G:$G,MATCH($A89,'[1]Définition Maintenances'!$K:$K,0)),BC89,INDEX('[1]Définition Maintenances'!$G:$G,MATCH($A89,'[1]Définition Maintenances'!$K:$K,0))+BC89),BC89))</f>
        <v>661</v>
      </c>
      <c r="BE89" s="26">
        <f>IF(ISNUMBER(VLOOKUP($D89,'Visu totale'!$D:$DH,BE$1,0)),BD89-VLOOKUP($D89,'Visu totale'!$D:$DH,BE$1,0),IF(LEFT(VLOOKUP($D89,'Visu totale'!$D:$DH,BE$1,0),1)="V",IF(BD89&gt;=INDEX('[1]Définition Maintenances'!$G:$G,MATCH($A89,'[1]Définition Maintenances'!$K:$K,0)),BD89,INDEX('[1]Définition Maintenances'!$G:$G,MATCH($A89,'[1]Définition Maintenances'!$K:$K,0))+BD89),BD89))</f>
        <v>661</v>
      </c>
      <c r="BF89" s="26">
        <f>IF(ISNUMBER(VLOOKUP($D89,'Visu totale'!$D:$DH,BF$1,0)),BE89-VLOOKUP($D89,'Visu totale'!$D:$DH,BF$1,0),IF(LEFT(VLOOKUP($D89,'Visu totale'!$D:$DH,BF$1,0),1)="V",IF(BE89&gt;=INDEX('[1]Définition Maintenances'!$G:$G,MATCH($A89,'[1]Définition Maintenances'!$K:$K,0)),BE89,INDEX('[1]Définition Maintenances'!$G:$G,MATCH($A89,'[1]Définition Maintenances'!$K:$K,0))+BE89),BE89))</f>
        <v>661</v>
      </c>
      <c r="BG89" s="26">
        <f>IF(ISNUMBER(VLOOKUP($D89,'Visu totale'!$D:$DH,BG$1,0)),BF89-VLOOKUP($D89,'Visu totale'!$D:$DH,BG$1,0),IF(LEFT(VLOOKUP($D89,'Visu totale'!$D:$DH,BG$1,0),1)="V",IF(BF89&gt;=INDEX('[1]Définition Maintenances'!$G:$G,MATCH($A89,'[1]Définition Maintenances'!$K:$K,0)),BF89,INDEX('[1]Définition Maintenances'!$G:$G,MATCH($A89,'[1]Définition Maintenances'!$K:$K,0))+BF89),BF89))</f>
        <v>661</v>
      </c>
      <c r="BH89" s="26">
        <f>IF(ISNUMBER(VLOOKUP($D89,'Visu totale'!$D:$DH,BH$1,0)),BG89-VLOOKUP($D89,'Visu totale'!$D:$DH,BH$1,0),IF(LEFT(VLOOKUP($D89,'Visu totale'!$D:$DH,BH$1,0),1)="V",IF(BG89&gt;=INDEX('[1]Définition Maintenances'!$G:$G,MATCH($A89,'[1]Définition Maintenances'!$K:$K,0)),BG89,INDEX('[1]Définition Maintenances'!$G:$G,MATCH($A89,'[1]Définition Maintenances'!$K:$K,0))+BG89),BG89))</f>
        <v>661</v>
      </c>
      <c r="BI89" s="26">
        <f>IF(ISNUMBER(VLOOKUP($D89,'Visu totale'!$D:$DH,BI$1,0)),BH89-VLOOKUP($D89,'Visu totale'!$D:$DH,BI$1,0),IF(LEFT(VLOOKUP($D89,'Visu totale'!$D:$DH,BI$1,0),1)="V",IF(BH89&gt;=INDEX('[1]Définition Maintenances'!$G:$G,MATCH($A89,'[1]Définition Maintenances'!$K:$K,0)),BH89,INDEX('[1]Définition Maintenances'!$G:$G,MATCH($A89,'[1]Définition Maintenances'!$K:$K,0))+BH89),BH89))</f>
        <v>661</v>
      </c>
      <c r="BJ89" s="26">
        <f>IF(ISNUMBER(VLOOKUP($D89,'Visu totale'!$D:$DH,BJ$1,0)),BI89-VLOOKUP($D89,'Visu totale'!$D:$DH,BJ$1,0),IF(LEFT(VLOOKUP($D89,'Visu totale'!$D:$DH,BJ$1,0),1)="V",IF(BI89&gt;=INDEX('[1]Définition Maintenances'!$G:$G,MATCH($A89,'[1]Définition Maintenances'!$K:$K,0)),BI89,INDEX('[1]Définition Maintenances'!$G:$G,MATCH($A89,'[1]Définition Maintenances'!$K:$K,0))+BI89),BI89))</f>
        <v>661</v>
      </c>
      <c r="BK89" s="26">
        <f>IF(ISNUMBER(VLOOKUP($D89,'Visu totale'!$D:$DH,BK$1,0)),BJ89-VLOOKUP($D89,'Visu totale'!$D:$DH,BK$1,0),IF(LEFT(VLOOKUP($D89,'Visu totale'!$D:$DH,BK$1,0),1)="V",IF(BJ89&gt;=INDEX('[1]Définition Maintenances'!$G:$G,MATCH($A89,'[1]Définition Maintenances'!$K:$K,0)),BJ89,INDEX('[1]Définition Maintenances'!$G:$G,MATCH($A89,'[1]Définition Maintenances'!$K:$K,0))+BJ89),BJ89))</f>
        <v>661</v>
      </c>
      <c r="BL89" s="26">
        <f>IF(ISNUMBER(VLOOKUP($D89,'Visu totale'!$D:$DH,BL$1,0)),BK89-VLOOKUP($D89,'Visu totale'!$D:$DH,BL$1,0),IF(LEFT(VLOOKUP($D89,'Visu totale'!$D:$DH,BL$1,0),1)="V",IF(BK89&gt;=INDEX('[1]Définition Maintenances'!$G:$G,MATCH($A89,'[1]Définition Maintenances'!$K:$K,0)),BK89,INDEX('[1]Définition Maintenances'!$G:$G,MATCH($A89,'[1]Définition Maintenances'!$K:$K,0))+BK89),BK89))</f>
        <v>661</v>
      </c>
      <c r="BM89" s="27">
        <f>IF(ISNUMBER(VLOOKUP($D89,'Visu totale'!$D:$DH,BM$1,0)),BL89-VLOOKUP($D89,'Visu totale'!$D:$DH,BM$1,0),IF(LEFT(VLOOKUP($D89,'Visu totale'!$D:$DH,BM$1,0),1)="V",IF(BL89&gt;=INDEX('[1]Définition Maintenances'!$G:$G,MATCH($A89,'[1]Définition Maintenances'!$K:$K,0)),BL89,INDEX('[1]Définition Maintenances'!$G:$G,MATCH($A89,'[1]Définition Maintenances'!$K:$K,0))+BL89),BL89))</f>
        <v>661</v>
      </c>
      <c r="BN89" s="25">
        <f>IF(ISNUMBER(VLOOKUP($D89,'Visu totale'!$D:$DH,BN$1,0)),BM89-VLOOKUP($D89,'Visu totale'!$D:$DH,BN$1,0),IF(LEFT(VLOOKUP($D89,'Visu totale'!$D:$DH,BN$1,0),1)="V",IF(BM89&gt;=INDEX('[1]Définition Maintenances'!$G:$G,MATCH($A89,'[1]Définition Maintenances'!$K:$K,0)),BM89,INDEX('[1]Définition Maintenances'!$G:$G,MATCH($A89,'[1]Définition Maintenances'!$K:$K,0))+BM89),BM89))</f>
        <v>661</v>
      </c>
      <c r="BO89" s="26">
        <f>IF(ISNUMBER(VLOOKUP($D89,'Visu totale'!$D:$DH,BO$1,0)),BN89-VLOOKUP($D89,'Visu totale'!$D:$DH,BO$1,0),IF(LEFT(VLOOKUP($D89,'Visu totale'!$D:$DH,BO$1,0),1)="V",IF(BN89&gt;=INDEX('[1]Définition Maintenances'!$G:$G,MATCH($A89,'[1]Définition Maintenances'!$K:$K,0)),BN89,INDEX('[1]Définition Maintenances'!$G:$G,MATCH($A89,'[1]Définition Maintenances'!$K:$K,0))+BN89),BN89))</f>
        <v>661</v>
      </c>
      <c r="BP89" s="26">
        <f>IF(ISNUMBER(VLOOKUP($D89,'Visu totale'!$D:$DH,BP$1,0)),BO89-VLOOKUP($D89,'Visu totale'!$D:$DH,BP$1,0),IF(LEFT(VLOOKUP($D89,'Visu totale'!$D:$DH,BP$1,0),1)="V",IF(BO89&gt;=INDEX('[1]Définition Maintenances'!$G:$G,MATCH($A89,'[1]Définition Maintenances'!$K:$K,0)),BO89,INDEX('[1]Définition Maintenances'!$G:$G,MATCH($A89,'[1]Définition Maintenances'!$K:$K,0))+BO89),BO89))</f>
        <v>661</v>
      </c>
      <c r="BQ89" s="26">
        <f>IF(ISNUMBER(VLOOKUP($D89,'Visu totale'!$D:$DH,BQ$1,0)),BP89-VLOOKUP($D89,'Visu totale'!$D:$DH,BQ$1,0),IF(LEFT(VLOOKUP($D89,'Visu totale'!$D:$DH,BQ$1,0),1)="V",IF(BP89&gt;=INDEX('[1]Définition Maintenances'!$G:$G,MATCH($A89,'[1]Définition Maintenances'!$K:$K,0)),BP89,INDEX('[1]Définition Maintenances'!$G:$G,MATCH($A89,'[1]Définition Maintenances'!$K:$K,0))+BP89),BP89))</f>
        <v>661</v>
      </c>
      <c r="BR89" s="26">
        <f>IF(ISNUMBER(VLOOKUP($D89,'Visu totale'!$D:$DH,BR$1,0)),BQ89-VLOOKUP($D89,'Visu totale'!$D:$DH,BR$1,0),IF(LEFT(VLOOKUP($D89,'Visu totale'!$D:$DH,BR$1,0),1)="V",IF(BQ89&gt;=INDEX('[1]Définition Maintenances'!$G:$G,MATCH($A89,'[1]Définition Maintenances'!$K:$K,0)),BQ89,INDEX('[1]Définition Maintenances'!$G:$G,MATCH($A89,'[1]Définition Maintenances'!$K:$K,0))+BQ89),BQ89))</f>
        <v>661</v>
      </c>
      <c r="BS89" s="26">
        <f>IF(ISNUMBER(VLOOKUP($D89,'Visu totale'!$D:$DH,BS$1,0)),BR89-VLOOKUP($D89,'Visu totale'!$D:$DH,BS$1,0),IF(LEFT(VLOOKUP($D89,'Visu totale'!$D:$DH,BS$1,0),1)="V",IF(BR89&gt;=INDEX('[1]Définition Maintenances'!$G:$G,MATCH($A89,'[1]Définition Maintenances'!$K:$K,0)),BR89,INDEX('[1]Définition Maintenances'!$G:$G,MATCH($A89,'[1]Définition Maintenances'!$K:$K,0))+BR89),BR89))</f>
        <v>661</v>
      </c>
      <c r="BT89" s="26">
        <f>IF(ISNUMBER(VLOOKUP($D89,'Visu totale'!$D:$DH,BT$1,0)),BS89-VLOOKUP($D89,'Visu totale'!$D:$DH,BT$1,0),IF(LEFT(VLOOKUP($D89,'Visu totale'!$D:$DH,BT$1,0),1)="V",IF(BS89&gt;=INDEX('[1]Définition Maintenances'!$G:$G,MATCH($A89,'[1]Définition Maintenances'!$K:$K,0)),BS89,INDEX('[1]Définition Maintenances'!$G:$G,MATCH($A89,'[1]Définition Maintenances'!$K:$K,0))+BS89),BS89))</f>
        <v>661</v>
      </c>
      <c r="BU89" s="26">
        <f>IF(ISNUMBER(VLOOKUP($D89,'Visu totale'!$D:$DH,BU$1,0)),BT89-VLOOKUP($D89,'Visu totale'!$D:$DH,BU$1,0),IF(LEFT(VLOOKUP($D89,'Visu totale'!$D:$DH,BU$1,0),1)="V",IF(BT89&gt;=INDEX('[1]Définition Maintenances'!$G:$G,MATCH($A89,'[1]Définition Maintenances'!$K:$K,0)),BT89,INDEX('[1]Définition Maintenances'!$G:$G,MATCH($A89,'[1]Définition Maintenances'!$K:$K,0))+BT89),BT89))</f>
        <v>661</v>
      </c>
      <c r="BV89" s="26">
        <f>IF(ISNUMBER(VLOOKUP($D89,'Visu totale'!$D:$DH,BV$1,0)),BU89-VLOOKUP($D89,'Visu totale'!$D:$DH,BV$1,0),IF(LEFT(VLOOKUP($D89,'Visu totale'!$D:$DH,BV$1,0),1)="V",IF(BU89&gt;=INDEX('[1]Définition Maintenances'!$G:$G,MATCH($A89,'[1]Définition Maintenances'!$K:$K,0)),BU89,INDEX('[1]Définition Maintenances'!$G:$G,MATCH($A89,'[1]Définition Maintenances'!$K:$K,0))+BU89),BU89))</f>
        <v>661</v>
      </c>
      <c r="BW89" s="26">
        <f>IF(ISNUMBER(VLOOKUP($D89,'Visu totale'!$D:$DH,BW$1,0)),BV89-VLOOKUP($D89,'Visu totale'!$D:$DH,BW$1,0),IF(LEFT(VLOOKUP($D89,'Visu totale'!$D:$DH,BW$1,0),1)="V",IF(BV89&gt;=INDEX('[1]Définition Maintenances'!$G:$G,MATCH($A89,'[1]Définition Maintenances'!$K:$K,0)),BV89,INDEX('[1]Définition Maintenances'!$G:$G,MATCH($A89,'[1]Définition Maintenances'!$K:$K,0))+BV89),BV89))</f>
        <v>661</v>
      </c>
      <c r="BX89" s="26">
        <f>IF(ISNUMBER(VLOOKUP($D89,'Visu totale'!$D:$DH,BX$1,0)),BW89-VLOOKUP($D89,'Visu totale'!$D:$DH,BX$1,0),IF(LEFT(VLOOKUP($D89,'Visu totale'!$D:$DH,BX$1,0),1)="V",IF(BW89&gt;=INDEX('[1]Définition Maintenances'!$G:$G,MATCH($A89,'[1]Définition Maintenances'!$K:$K,0)),BW89,INDEX('[1]Définition Maintenances'!$G:$G,MATCH($A89,'[1]Définition Maintenances'!$K:$K,0))+BW89),BW89))</f>
        <v>661</v>
      </c>
      <c r="BY89" s="27">
        <f>IF(ISNUMBER(VLOOKUP($D89,'Visu totale'!$D:$DH,BY$1,0)),BX89-VLOOKUP($D89,'Visu totale'!$D:$DH,BY$1,0),IF(LEFT(VLOOKUP($D89,'Visu totale'!$D:$DH,BY$1,0),1)="V",IF(BX89&gt;=INDEX('[1]Définition Maintenances'!$G:$G,MATCH($A89,'[1]Définition Maintenances'!$K:$K,0)),BX89,INDEX('[1]Définition Maintenances'!$G:$G,MATCH($A89,'[1]Définition Maintenances'!$K:$K,0))+BX89),BX89))</f>
        <v>661</v>
      </c>
      <c r="BZ89" s="25">
        <f>IF(ISNUMBER(VLOOKUP($D89,'Visu totale'!$D:$DH,BZ$1,0)),BY89-VLOOKUP($D89,'Visu totale'!$D:$DH,BZ$1,0),IF(LEFT(VLOOKUP($D89,'Visu totale'!$D:$DH,BZ$1,0),1)="V",IF(BY89&gt;=INDEX('[1]Définition Maintenances'!$G:$G,MATCH($A89,'[1]Définition Maintenances'!$K:$K,0)),BY89,INDEX('[1]Définition Maintenances'!$G:$G,MATCH($A89,'[1]Définition Maintenances'!$K:$K,0))+BY89),BY89))</f>
        <v>661</v>
      </c>
      <c r="CA89" s="26">
        <f>IF(ISNUMBER(VLOOKUP($D89,'Visu totale'!$D:$DH,CA$1,0)),BZ89-VLOOKUP($D89,'Visu totale'!$D:$DH,CA$1,0),IF(LEFT(VLOOKUP($D89,'Visu totale'!$D:$DH,CA$1,0),1)="V",IF(BZ89&gt;=INDEX('[1]Définition Maintenances'!$G:$G,MATCH($A89,'[1]Définition Maintenances'!$K:$K,0)),BZ89,INDEX('[1]Définition Maintenances'!$G:$G,MATCH($A89,'[1]Définition Maintenances'!$K:$K,0))+BZ89),BZ89))</f>
        <v>661</v>
      </c>
      <c r="CB89" s="26">
        <f>IF(ISNUMBER(VLOOKUP($D89,'Visu totale'!$D:$DH,CB$1,0)),CA89-VLOOKUP($D89,'Visu totale'!$D:$DH,CB$1,0),IF(LEFT(VLOOKUP($D89,'Visu totale'!$D:$DH,CB$1,0),1)="V",IF(CA89&gt;=INDEX('[1]Définition Maintenances'!$G:$G,MATCH($A89,'[1]Définition Maintenances'!$K:$K,0)),CA89,INDEX('[1]Définition Maintenances'!$G:$G,MATCH($A89,'[1]Définition Maintenances'!$K:$K,0))+CA89),CA89))</f>
        <v>661</v>
      </c>
      <c r="CC89" s="26">
        <f>IF(ISNUMBER(VLOOKUP($D89,'Visu totale'!$D:$DH,CC$1,0)),CB89-VLOOKUP($D89,'Visu totale'!$D:$DH,CC$1,0),IF(LEFT(VLOOKUP($D89,'Visu totale'!$D:$DH,CC$1,0),1)="V",IF(CB89&gt;=INDEX('[1]Définition Maintenances'!$G:$G,MATCH($A89,'[1]Définition Maintenances'!$K:$K,0)),CB89,INDEX('[1]Définition Maintenances'!$G:$G,MATCH($A89,'[1]Définition Maintenances'!$K:$K,0))+CB89),CB89))</f>
        <v>661</v>
      </c>
      <c r="CD89" s="26">
        <f>IF(ISNUMBER(VLOOKUP($D89,'Visu totale'!$D:$DH,CD$1,0)),CC89-VLOOKUP($D89,'Visu totale'!$D:$DH,CD$1,0),IF(LEFT(VLOOKUP($D89,'Visu totale'!$D:$DH,CD$1,0),1)="V",IF(CC89&gt;=INDEX('[1]Définition Maintenances'!$G:$G,MATCH($A89,'[1]Définition Maintenances'!$K:$K,0)),CC89,INDEX('[1]Définition Maintenances'!$G:$G,MATCH($A89,'[1]Définition Maintenances'!$K:$K,0))+CC89),CC89))</f>
        <v>661</v>
      </c>
      <c r="CE89" s="26">
        <f>IF(ISNUMBER(VLOOKUP($D89,'Visu totale'!$D:$DH,CE$1,0)),CD89-VLOOKUP($D89,'Visu totale'!$D:$DH,CE$1,0),IF(LEFT(VLOOKUP($D89,'Visu totale'!$D:$DH,CE$1,0),1)="V",IF(CD89&gt;=INDEX('[1]Définition Maintenances'!$G:$G,MATCH($A89,'[1]Définition Maintenances'!$K:$K,0)),CD89,INDEX('[1]Définition Maintenances'!$G:$G,MATCH($A89,'[1]Définition Maintenances'!$K:$K,0))+CD89),CD89))</f>
        <v>661</v>
      </c>
      <c r="CF89" s="26">
        <f>IF(ISNUMBER(VLOOKUP($D89,'Visu totale'!$D:$DH,CF$1,0)),CE89-VLOOKUP($D89,'Visu totale'!$D:$DH,CF$1,0),IF(LEFT(VLOOKUP($D89,'Visu totale'!$D:$DH,CF$1,0),1)="V",IF(CE89&gt;=INDEX('[1]Définition Maintenances'!$G:$G,MATCH($A89,'[1]Définition Maintenances'!$K:$K,0)),CE89,INDEX('[1]Définition Maintenances'!$G:$G,MATCH($A89,'[1]Définition Maintenances'!$K:$K,0))+CE89),CE89))</f>
        <v>661</v>
      </c>
      <c r="CG89" s="26">
        <f>IF(ISNUMBER(VLOOKUP($D89,'Visu totale'!$D:$DH,CG$1,0)),CF89-VLOOKUP($D89,'Visu totale'!$D:$DH,CG$1,0),IF(LEFT(VLOOKUP($D89,'Visu totale'!$D:$DH,CG$1,0),1)="V",IF(CF89&gt;=INDEX('[1]Définition Maintenances'!$G:$G,MATCH($A89,'[1]Définition Maintenances'!$K:$K,0)),CF89,INDEX('[1]Définition Maintenances'!$G:$G,MATCH($A89,'[1]Définition Maintenances'!$K:$K,0))+CF89),CF89))</f>
        <v>661</v>
      </c>
      <c r="CH89" s="26">
        <f>IF(ISNUMBER(VLOOKUP($D89,'Visu totale'!$D:$DH,CH$1,0)),CG89-VLOOKUP($D89,'Visu totale'!$D:$DH,CH$1,0),IF(LEFT(VLOOKUP($D89,'Visu totale'!$D:$DH,CH$1,0),1)="V",IF(CG89&gt;=INDEX('[1]Définition Maintenances'!$G:$G,MATCH($A89,'[1]Définition Maintenances'!$K:$K,0)),CG89,INDEX('[1]Définition Maintenances'!$G:$G,MATCH($A89,'[1]Définition Maintenances'!$K:$K,0))+CG89),CG89))</f>
        <v>661</v>
      </c>
      <c r="CI89" s="26">
        <f>IF(ISNUMBER(VLOOKUP($D89,'Visu totale'!$D:$DH,CI$1,0)),CH89-VLOOKUP($D89,'Visu totale'!$D:$DH,CI$1,0),IF(LEFT(VLOOKUP($D89,'Visu totale'!$D:$DH,CI$1,0),1)="V",IF(CH89&gt;=INDEX('[1]Définition Maintenances'!$G:$G,MATCH($A89,'[1]Définition Maintenances'!$K:$K,0)),CH89,INDEX('[1]Définition Maintenances'!$G:$G,MATCH($A89,'[1]Définition Maintenances'!$K:$K,0))+CH89),CH89))</f>
        <v>661</v>
      </c>
      <c r="CJ89" s="26">
        <f>IF(ISNUMBER(VLOOKUP($D89,'Visu totale'!$D:$DH,CJ$1,0)),CI89-VLOOKUP($D89,'Visu totale'!$D:$DH,CJ$1,0),IF(LEFT(VLOOKUP($D89,'Visu totale'!$D:$DH,CJ$1,0),1)="V",IF(CI89&gt;=INDEX('[1]Définition Maintenances'!$G:$G,MATCH($A89,'[1]Définition Maintenances'!$K:$K,0)),CI89,INDEX('[1]Définition Maintenances'!$G:$G,MATCH($A89,'[1]Définition Maintenances'!$K:$K,0))+CI89),CI89))</f>
        <v>661</v>
      </c>
      <c r="CK89" s="27">
        <f>IF(ISNUMBER(VLOOKUP($D89,'Visu totale'!$D:$DH,CK$1,0)),CJ89-VLOOKUP($D89,'Visu totale'!$D:$DH,CK$1,0),IF(LEFT(VLOOKUP($D89,'Visu totale'!$D:$DH,CK$1,0),1)="V",IF(CJ89&gt;=INDEX('[1]Définition Maintenances'!$G:$G,MATCH($A89,'[1]Définition Maintenances'!$K:$K,0)),CJ89,INDEX('[1]Définition Maintenances'!$G:$G,MATCH($A89,'[1]Définition Maintenances'!$K:$K,0))+CJ89),CJ89))</f>
        <v>661</v>
      </c>
      <c r="CL89" s="25">
        <f>IF(ISNUMBER(VLOOKUP($D89,'Visu totale'!$D:$DH,CL$1,0)),CK89-VLOOKUP($D89,'Visu totale'!$D:$DH,CL$1,0),IF(LEFT(VLOOKUP($D89,'Visu totale'!$D:$DH,CL$1,0),1)="V",IF(CK89&gt;=INDEX('[1]Définition Maintenances'!$G:$G,MATCH($A89,'[1]Définition Maintenances'!$K:$K,0)),CK89,INDEX('[1]Définition Maintenances'!$G:$G,MATCH($A89,'[1]Définition Maintenances'!$K:$K,0))+CK89),CK89))</f>
        <v>661</v>
      </c>
      <c r="CM89" s="26">
        <f>IF(ISNUMBER(VLOOKUP($D89,'Visu totale'!$D:$DH,CM$1,0)),CL89-VLOOKUP($D89,'Visu totale'!$D:$DH,CM$1,0),IF(LEFT(VLOOKUP($D89,'Visu totale'!$D:$DH,CM$1,0),1)="V",IF(CL89&gt;=INDEX('[1]Définition Maintenances'!$G:$G,MATCH($A89,'[1]Définition Maintenances'!$K:$K,0)),CL89,INDEX('[1]Définition Maintenances'!$G:$G,MATCH($A89,'[1]Définition Maintenances'!$K:$K,0))+CL89),CL89))</f>
        <v>661</v>
      </c>
      <c r="CN89" s="26">
        <f>IF(ISNUMBER(VLOOKUP($D89,'Visu totale'!$D:$DH,CN$1,0)),CM89-VLOOKUP($D89,'Visu totale'!$D:$DH,CN$1,0),IF(LEFT(VLOOKUP($D89,'Visu totale'!$D:$DH,CN$1,0),1)="V",IF(CM89&gt;=INDEX('[1]Définition Maintenances'!$G:$G,MATCH($A89,'[1]Définition Maintenances'!$K:$K,0)),CM89,INDEX('[1]Définition Maintenances'!$G:$G,MATCH($A89,'[1]Définition Maintenances'!$K:$K,0))+CM89),CM89))</f>
        <v>661</v>
      </c>
      <c r="CO89" s="26">
        <f>IF(ISNUMBER(VLOOKUP($D89,'Visu totale'!$D:$DH,CO$1,0)),CN89-VLOOKUP($D89,'Visu totale'!$D:$DH,CO$1,0),IF(LEFT(VLOOKUP($D89,'Visu totale'!$D:$DH,CO$1,0),1)="V",IF(CN89&gt;=INDEX('[1]Définition Maintenances'!$G:$G,MATCH($A89,'[1]Définition Maintenances'!$K:$K,0)),CN89,INDEX('[1]Définition Maintenances'!$G:$G,MATCH($A89,'[1]Définition Maintenances'!$K:$K,0))+CN89),CN89))</f>
        <v>661</v>
      </c>
      <c r="CP89" s="26">
        <f>IF(ISNUMBER(VLOOKUP($D89,'Visu totale'!$D:$DH,CP$1,0)),CO89-VLOOKUP($D89,'Visu totale'!$D:$DH,CP$1,0),IF(LEFT(VLOOKUP($D89,'Visu totale'!$D:$DH,CP$1,0),1)="V",IF(CO89&gt;=INDEX('[1]Définition Maintenances'!$G:$G,MATCH($A89,'[1]Définition Maintenances'!$K:$K,0)),CO89,INDEX('[1]Définition Maintenances'!$G:$G,MATCH($A89,'[1]Définition Maintenances'!$K:$K,0))+CO89),CO89))</f>
        <v>661</v>
      </c>
      <c r="CQ89" s="26">
        <f>IF(ISNUMBER(VLOOKUP($D89,'Visu totale'!$D:$DH,CQ$1,0)),CP89-VLOOKUP($D89,'Visu totale'!$D:$DH,CQ$1,0),IF(LEFT(VLOOKUP($D89,'Visu totale'!$D:$DH,CQ$1,0),1)="V",IF(CP89&gt;=INDEX('[1]Définition Maintenances'!$G:$G,MATCH($A89,'[1]Définition Maintenances'!$K:$K,0)),CP89,INDEX('[1]Définition Maintenances'!$G:$G,MATCH($A89,'[1]Définition Maintenances'!$K:$K,0))+CP89),CP89))</f>
        <v>661</v>
      </c>
      <c r="CR89" s="26">
        <f>IF(ISNUMBER(VLOOKUP($D89,'Visu totale'!$D:$DH,CR$1,0)),CQ89-VLOOKUP($D89,'Visu totale'!$D:$DH,CR$1,0),IF(LEFT(VLOOKUP($D89,'Visu totale'!$D:$DH,CR$1,0),1)="V",IF(CQ89&gt;=INDEX('[1]Définition Maintenances'!$G:$G,MATCH($A89,'[1]Définition Maintenances'!$K:$K,0)),CQ89,INDEX('[1]Définition Maintenances'!$G:$G,MATCH($A89,'[1]Définition Maintenances'!$K:$K,0))+CQ89),CQ89))</f>
        <v>661</v>
      </c>
      <c r="CS89" s="26">
        <f>IF(ISNUMBER(VLOOKUP($D89,'Visu totale'!$D:$DH,CS$1,0)),CR89-VLOOKUP($D89,'Visu totale'!$D:$DH,CS$1,0),IF(LEFT(VLOOKUP($D89,'Visu totale'!$D:$DH,CS$1,0),1)="V",IF(CR89&gt;=INDEX('[1]Définition Maintenances'!$G:$G,MATCH($A89,'[1]Définition Maintenances'!$K:$K,0)),CR89,INDEX('[1]Définition Maintenances'!$G:$G,MATCH($A89,'[1]Définition Maintenances'!$K:$K,0))+CR89),CR89))</f>
        <v>661</v>
      </c>
      <c r="CT89" s="26">
        <f>IF(ISNUMBER(VLOOKUP($D89,'Visu totale'!$D:$DH,CT$1,0)),CS89-VLOOKUP($D89,'Visu totale'!$D:$DH,CT$1,0),IF(LEFT(VLOOKUP($D89,'Visu totale'!$D:$DH,CT$1,0),1)="V",IF(CS89&gt;=INDEX('[1]Définition Maintenances'!$G:$G,MATCH($A89,'[1]Définition Maintenances'!$K:$K,0)),CS89,INDEX('[1]Définition Maintenances'!$G:$G,MATCH($A89,'[1]Définition Maintenances'!$K:$K,0))+CS89),CS89))</f>
        <v>661</v>
      </c>
      <c r="CU89" s="26">
        <f>IF(ISNUMBER(VLOOKUP($D89,'Visu totale'!$D:$DH,CU$1,0)),CT89-VLOOKUP($D89,'Visu totale'!$D:$DH,CU$1,0),IF(LEFT(VLOOKUP($D89,'Visu totale'!$D:$DH,CU$1,0),1)="V",IF(CT89&gt;=INDEX('[1]Définition Maintenances'!$G:$G,MATCH($A89,'[1]Définition Maintenances'!$K:$K,0)),CT89,INDEX('[1]Définition Maintenances'!$G:$G,MATCH($A89,'[1]Définition Maintenances'!$K:$K,0))+CT89),CT89))</f>
        <v>661</v>
      </c>
      <c r="CV89" s="26">
        <f>IF(ISNUMBER(VLOOKUP($D89,'Visu totale'!$D:$DH,CV$1,0)),CU89-VLOOKUP($D89,'Visu totale'!$D:$DH,CV$1,0),IF(LEFT(VLOOKUP($D89,'Visu totale'!$D:$DH,CV$1,0),1)="V",IF(CU89&gt;=INDEX('[1]Définition Maintenances'!$G:$G,MATCH($A89,'[1]Définition Maintenances'!$K:$K,0)),CU89,INDEX('[1]Définition Maintenances'!$G:$G,MATCH($A89,'[1]Définition Maintenances'!$K:$K,0))+CU89),CU89))</f>
        <v>661</v>
      </c>
      <c r="CW89" s="27">
        <f>IF(ISNUMBER(VLOOKUP($D89,'Visu totale'!$D:$DH,CW$1,0)),CV89-VLOOKUP($D89,'Visu totale'!$D:$DH,CW$1,0),IF(LEFT(VLOOKUP($D89,'Visu totale'!$D:$DH,CW$1,0),1)="V",IF(CV89&gt;=INDEX('[1]Définition Maintenances'!$G:$G,MATCH($A89,'[1]Définition Maintenances'!$K:$K,0)),CV89,INDEX('[1]Définition Maintenances'!$G:$G,MATCH($A89,'[1]Définition Maintenances'!$K:$K,0))+CV89),CV89))</f>
        <v>661</v>
      </c>
      <c r="CX89" s="25">
        <f>IF(ISNUMBER(VLOOKUP($D89,'Visu totale'!$D:$DH,CX$1,0)),CW89-VLOOKUP($D89,'Visu totale'!$D:$DH,CX$1,0),IF(LEFT(VLOOKUP($D89,'Visu totale'!$D:$DH,CX$1,0),1)="V",IF(CW89&gt;=INDEX('[1]Définition Maintenances'!$G:$G,MATCH($A89,'[1]Définition Maintenances'!$K:$K,0)),CW89,INDEX('[1]Définition Maintenances'!$G:$G,MATCH($A89,'[1]Définition Maintenances'!$K:$K,0))+CW89),CW89))</f>
        <v>661</v>
      </c>
      <c r="CY89" s="26">
        <f>IF(ISNUMBER(VLOOKUP($D89,'Visu totale'!$D:$DH,CY$1,0)),CX89-VLOOKUP($D89,'Visu totale'!$D:$DH,CY$1,0),IF(LEFT(VLOOKUP($D89,'Visu totale'!$D:$DH,CY$1,0),1)="V",IF(CX89&gt;=INDEX('[1]Définition Maintenances'!$G:$G,MATCH($A89,'[1]Définition Maintenances'!$K:$K,0)),CX89,INDEX('[1]Définition Maintenances'!$G:$G,MATCH($A89,'[1]Définition Maintenances'!$K:$K,0))+CX89),CX89))</f>
        <v>661</v>
      </c>
      <c r="CZ89" s="26">
        <f>IF(ISNUMBER(VLOOKUP($D89,'Visu totale'!$D:$DH,CZ$1,0)),CY89-VLOOKUP($D89,'Visu totale'!$D:$DH,CZ$1,0),IF(LEFT(VLOOKUP($D89,'Visu totale'!$D:$DH,CZ$1,0),1)="V",IF(CY89&gt;=INDEX('[1]Définition Maintenances'!$G:$G,MATCH($A89,'[1]Définition Maintenances'!$K:$K,0)),CY89,INDEX('[1]Définition Maintenances'!$G:$G,MATCH($A89,'[1]Définition Maintenances'!$K:$K,0))+CY89),CY89))</f>
        <v>661</v>
      </c>
      <c r="DA89" s="26">
        <f>IF(ISNUMBER(VLOOKUP($D89,'Visu totale'!$D:$DH,DA$1,0)),CZ89-VLOOKUP($D89,'Visu totale'!$D:$DH,DA$1,0),IF(LEFT(VLOOKUP($D89,'Visu totale'!$D:$DH,DA$1,0),1)="V",IF(CZ89&gt;=INDEX('[1]Définition Maintenances'!$G:$G,MATCH($A89,'[1]Définition Maintenances'!$K:$K,0)),CZ89,INDEX('[1]Définition Maintenances'!$G:$G,MATCH($A89,'[1]Définition Maintenances'!$K:$K,0))+CZ89),CZ89))</f>
        <v>661</v>
      </c>
      <c r="DB89" s="26">
        <f>IF(ISNUMBER(VLOOKUP($D89,'Visu totale'!$D:$DH,DB$1,0)),DA89-VLOOKUP($D89,'Visu totale'!$D:$DH,DB$1,0),IF(LEFT(VLOOKUP($D89,'Visu totale'!$D:$DH,DB$1,0),1)="V",IF(DA89&gt;=INDEX('[1]Définition Maintenances'!$G:$G,MATCH($A89,'[1]Définition Maintenances'!$K:$K,0)),DA89,INDEX('[1]Définition Maintenances'!$G:$G,MATCH($A89,'[1]Définition Maintenances'!$K:$K,0))+DA89),DA89))</f>
        <v>661</v>
      </c>
      <c r="DC89" s="26">
        <f>IF(ISNUMBER(VLOOKUP($D89,'Visu totale'!$D:$DH,DC$1,0)),DB89-VLOOKUP($D89,'Visu totale'!$D:$DH,DC$1,0),IF(LEFT(VLOOKUP($D89,'Visu totale'!$D:$DH,DC$1,0),1)="V",IF(DB89&gt;=INDEX('[1]Définition Maintenances'!$G:$G,MATCH($A89,'[1]Définition Maintenances'!$K:$K,0)),DB89,INDEX('[1]Définition Maintenances'!$G:$G,MATCH($A89,'[1]Définition Maintenances'!$K:$K,0))+DB89),DB89))</f>
        <v>661</v>
      </c>
      <c r="DD89" s="26">
        <f>IF(ISNUMBER(VLOOKUP($D89,'Visu totale'!$D:$DH,DD$1,0)),DC89-VLOOKUP($D89,'Visu totale'!$D:$DH,DD$1,0),IF(LEFT(VLOOKUP($D89,'Visu totale'!$D:$DH,DD$1,0),1)="V",IF(DC89&gt;=INDEX('[1]Définition Maintenances'!$G:$G,MATCH($A89,'[1]Définition Maintenances'!$K:$K,0)),DC89,INDEX('[1]Définition Maintenances'!$G:$G,MATCH($A89,'[1]Définition Maintenances'!$K:$K,0))+DC89),DC89))</f>
        <v>661</v>
      </c>
      <c r="DE89" s="26">
        <f>IF(ISNUMBER(VLOOKUP($D89,'Visu totale'!$D:$DH,DE$1,0)),DD89-VLOOKUP($D89,'Visu totale'!$D:$DH,DE$1,0),IF(LEFT(VLOOKUP($D89,'Visu totale'!$D:$DH,DE$1,0),1)="V",IF(DD89&gt;=INDEX('[1]Définition Maintenances'!$G:$G,MATCH($A89,'[1]Définition Maintenances'!$K:$K,0)),DD89,INDEX('[1]Définition Maintenances'!$G:$G,MATCH($A89,'[1]Définition Maintenances'!$K:$K,0))+DD89),DD89))</f>
        <v>661</v>
      </c>
      <c r="DF89" s="26">
        <f>IF(ISNUMBER(VLOOKUP($D89,'Visu totale'!$D:$DH,DF$1,0)),DE89-VLOOKUP($D89,'Visu totale'!$D:$DH,DF$1,0),IF(LEFT(VLOOKUP($D89,'Visu totale'!$D:$DH,DF$1,0),1)="V",IF(DE89&gt;=INDEX('[1]Définition Maintenances'!$G:$G,MATCH($A89,'[1]Définition Maintenances'!$K:$K,0)),DE89,INDEX('[1]Définition Maintenances'!$G:$G,MATCH($A89,'[1]Définition Maintenances'!$K:$K,0))+DE89),DE89))</f>
        <v>661</v>
      </c>
      <c r="DG89" s="26">
        <f>IF(ISNUMBER(VLOOKUP($D89,'Visu totale'!$D:$DH,DG$1,0)),DF89-VLOOKUP($D89,'Visu totale'!$D:$DH,DG$1,0),IF(LEFT(VLOOKUP($D89,'Visu totale'!$D:$DH,DG$1,0),1)="V",IF(DF89&gt;=INDEX('[1]Définition Maintenances'!$G:$G,MATCH($A89,'[1]Définition Maintenances'!$K:$K,0)),DF89,INDEX('[1]Définition Maintenances'!$G:$G,MATCH($A89,'[1]Définition Maintenances'!$K:$K,0))+DF89),DF89))</f>
        <v>661</v>
      </c>
      <c r="DH89" s="26">
        <f>IF(ISNUMBER(VLOOKUP($D89,'Visu totale'!$D:$DH,DH$1,0)),DG89-VLOOKUP($D89,'Visu totale'!$D:$DH,DH$1,0),IF(LEFT(VLOOKUP($D89,'Visu totale'!$D:$DH,DH$1,0),1)="V",IF(DG89&gt;=INDEX('[1]Définition Maintenances'!$G:$G,MATCH($A89,'[1]Définition Maintenances'!$K:$K,0)),DG89,INDEX('[1]Définition Maintenances'!$G:$G,MATCH($A89,'[1]Définition Maintenances'!$K:$K,0))+DG89),DG89))</f>
        <v>661</v>
      </c>
      <c r="DI89" s="27">
        <f>IF(ISNUMBER(VLOOKUP($D89,'Visu totale'!$D:$DH,DI$1,0)),DH89-VLOOKUP($D89,'Visu totale'!$D:$DH,DI$1,0),IF(LEFT(VLOOKUP($D89,'Visu totale'!$D:$DH,DI$1,0),1)="V",IF(DH89&gt;=INDEX('[1]Définition Maintenances'!$G:$G,MATCH($A89,'[1]Définition Maintenances'!$K:$K,0)),DH89,INDEX('[1]Définition Maintenances'!$G:$G,MATCH($A89,'[1]Définition Maintenances'!$K:$K,0))+DH89),DH89))</f>
        <v>661</v>
      </c>
    </row>
    <row r="90" spans="1:113" x14ac:dyDescent="0.25">
      <c r="A90" s="13" t="str">
        <f t="shared" si="2"/>
        <v>V15C</v>
      </c>
      <c r="B90" s="13" t="str">
        <f>VLOOKUP(D90,'[1]Avions (Potentiels)'!$B$2:$H$128,7,FALSE)</f>
        <v>V15</v>
      </c>
      <c r="C90" s="13"/>
      <c r="D90" s="16" t="s">
        <v>93</v>
      </c>
      <c r="E90" s="13">
        <f>IFERROR(VALUE(SUBSTITUTE(VLOOKUP(D90,'[1]Avions (Potentiels)'!$B:$E,4,0),".",",")),VALUE(VLOOKUP(D90,'[1]Avions (Potentiels)'!$B:$E,4,0)))</f>
        <v>116</v>
      </c>
      <c r="F90" s="25">
        <f>IF(ISNUMBER(VLOOKUP($D90,'Visu totale'!$D:$DH,F$1,0)),E90-VLOOKUP($D90,'Visu totale'!$D:$DH,F$1,0),IF(LEFT(VLOOKUP($D90,'Visu totale'!$D:$DH,F$1,0),1)="V",IF(E90&gt;=INDEX('[1]Définition Maintenances'!$G:$G,MATCH($A90,'[1]Définition Maintenances'!$K:$K,0)),E90,INDEX('[1]Définition Maintenances'!$G:$G,MATCH($A90,'[1]Définition Maintenances'!$K:$K,0))+E90),E90))</f>
        <v>116</v>
      </c>
      <c r="G90" s="26">
        <f>IF(ISNUMBER(VLOOKUP($D90,'Visu totale'!$D:$DH,G$1,0)),F90-VLOOKUP($D90,'Visu totale'!$D:$DH,G$1,0),IF(LEFT(VLOOKUP($D90,'Visu totale'!$D:$DH,G$1,0),1)="V",IF(F90&gt;=INDEX('[1]Définition Maintenances'!$G:$G,MATCH($A90,'[1]Définition Maintenances'!$K:$K,0)),F90,INDEX('[1]Définition Maintenances'!$G:$G,MATCH($A90,'[1]Définition Maintenances'!$K:$K,0))+F90),F90))</f>
        <v>116</v>
      </c>
      <c r="H90" s="26">
        <f>IF(ISNUMBER(VLOOKUP($D90,'Visu totale'!$D:$DH,H$1,0)),G90-VLOOKUP($D90,'Visu totale'!$D:$DH,H$1,0),IF(LEFT(VLOOKUP($D90,'Visu totale'!$D:$DH,H$1,0),1)="V",IF(G90&gt;=INDEX('[1]Définition Maintenances'!$G:$G,MATCH($A90,'[1]Définition Maintenances'!$K:$K,0)),G90,INDEX('[1]Définition Maintenances'!$G:$G,MATCH($A90,'[1]Définition Maintenances'!$K:$K,0))+G90),G90))</f>
        <v>116</v>
      </c>
      <c r="I90" s="26">
        <f>IF(ISNUMBER(VLOOKUP($D90,'Visu totale'!$D:$DH,I$1,0)),H90-VLOOKUP($D90,'Visu totale'!$D:$DH,I$1,0),IF(LEFT(VLOOKUP($D90,'Visu totale'!$D:$DH,I$1,0),1)="V",IF(H90&gt;=INDEX('[1]Définition Maintenances'!$G:$G,MATCH($A90,'[1]Définition Maintenances'!$K:$K,0)),H90,INDEX('[1]Définition Maintenances'!$G:$G,MATCH($A90,'[1]Définition Maintenances'!$K:$K,0))+H90),H90))</f>
        <v>116</v>
      </c>
      <c r="J90" s="26">
        <f>IF(ISNUMBER(VLOOKUP($D90,'Visu totale'!$D:$DH,J$1,0)),I90-VLOOKUP($D90,'Visu totale'!$D:$DH,J$1,0),IF(LEFT(VLOOKUP($D90,'Visu totale'!$D:$DH,J$1,0),1)="V",IF(I90&gt;=INDEX('[1]Définition Maintenances'!$G:$G,MATCH($A90,'[1]Définition Maintenances'!$K:$K,0)),I90,INDEX('[1]Définition Maintenances'!$G:$G,MATCH($A90,'[1]Définition Maintenances'!$K:$K,0))+I90),I90))</f>
        <v>116</v>
      </c>
      <c r="K90" s="26">
        <f>IF(ISNUMBER(VLOOKUP($D90,'Visu totale'!$D:$DH,K$1,0)),J90-VLOOKUP($D90,'Visu totale'!$D:$DH,K$1,0),IF(LEFT(VLOOKUP($D90,'Visu totale'!$D:$DH,K$1,0),1)="V",IF(J90&gt;=INDEX('[1]Définition Maintenances'!$G:$G,MATCH($A90,'[1]Définition Maintenances'!$K:$K,0)),J90,INDEX('[1]Définition Maintenances'!$G:$G,MATCH($A90,'[1]Définition Maintenances'!$K:$K,0))+J90),J90))</f>
        <v>116</v>
      </c>
      <c r="L90" s="26">
        <f>IF(ISNUMBER(VLOOKUP($D90,'Visu totale'!$D:$DH,L$1,0)),K90-VLOOKUP($D90,'Visu totale'!$D:$DH,L$1,0),IF(LEFT(VLOOKUP($D90,'Visu totale'!$D:$DH,L$1,0),1)="V",IF(K90&gt;=INDEX('[1]Définition Maintenances'!$G:$G,MATCH($A90,'[1]Définition Maintenances'!$K:$K,0)),K90,INDEX('[1]Définition Maintenances'!$G:$G,MATCH($A90,'[1]Définition Maintenances'!$K:$K,0))+K90),K90))</f>
        <v>116</v>
      </c>
      <c r="M90" s="26">
        <f>IF(ISNUMBER(VLOOKUP($D90,'Visu totale'!$D:$DH,M$1,0)),L90-VLOOKUP($D90,'Visu totale'!$D:$DH,M$1,0),IF(LEFT(VLOOKUP($D90,'Visu totale'!$D:$DH,M$1,0),1)="V",IF(L90&gt;=INDEX('[1]Définition Maintenances'!$G:$G,MATCH($A90,'[1]Définition Maintenances'!$K:$K,0)),L90,INDEX('[1]Définition Maintenances'!$G:$G,MATCH($A90,'[1]Définition Maintenances'!$K:$K,0))+L90),L90))</f>
        <v>116</v>
      </c>
      <c r="N90" s="26">
        <f>IF(ISNUMBER(VLOOKUP($D90,'Visu totale'!$D:$DH,N$1,0)),M90-VLOOKUP($D90,'Visu totale'!$D:$DH,N$1,0),IF(LEFT(VLOOKUP($D90,'Visu totale'!$D:$DH,N$1,0),1)="V",IF(M90&gt;=INDEX('[1]Définition Maintenances'!$G:$G,MATCH($A90,'[1]Définition Maintenances'!$K:$K,0)),M90,INDEX('[1]Définition Maintenances'!$G:$G,MATCH($A90,'[1]Définition Maintenances'!$K:$K,0))+M90),M90))</f>
        <v>116</v>
      </c>
      <c r="O90" s="26">
        <f>IF(ISNUMBER(VLOOKUP($D90,'Visu totale'!$D:$DH,O$1,0)),N90-VLOOKUP($D90,'Visu totale'!$D:$DH,O$1,0),IF(LEFT(VLOOKUP($D90,'Visu totale'!$D:$DH,O$1,0),1)="V",IF(N90&gt;=INDEX('[1]Définition Maintenances'!$G:$G,MATCH($A90,'[1]Définition Maintenances'!$K:$K,0)),N90,INDEX('[1]Définition Maintenances'!$G:$G,MATCH($A90,'[1]Définition Maintenances'!$K:$K,0))+N90),N90))</f>
        <v>116</v>
      </c>
      <c r="P90" s="26">
        <f>IF(ISNUMBER(VLOOKUP($D90,'Visu totale'!$D:$DH,P$1,0)),O90-VLOOKUP($D90,'Visu totale'!$D:$DH,P$1,0),IF(LEFT(VLOOKUP($D90,'Visu totale'!$D:$DH,P$1,0),1)="V",IF(O90&gt;=INDEX('[1]Définition Maintenances'!$G:$G,MATCH($A90,'[1]Définition Maintenances'!$K:$K,0)),O90,INDEX('[1]Définition Maintenances'!$G:$G,MATCH($A90,'[1]Définition Maintenances'!$K:$K,0))+O90),O90))</f>
        <v>116</v>
      </c>
      <c r="Q90" s="27">
        <f>IF(ISNUMBER(VLOOKUP($D90,'Visu totale'!$D:$DH,Q$1,0)),P90-VLOOKUP($D90,'Visu totale'!$D:$DH,Q$1,0),IF(LEFT(VLOOKUP($D90,'Visu totale'!$D:$DH,Q$1,0),1)="V",IF(P90&gt;=INDEX('[1]Définition Maintenances'!$G:$G,MATCH($A90,'[1]Définition Maintenances'!$K:$K,0)),P90,INDEX('[1]Définition Maintenances'!$G:$G,MATCH($A90,'[1]Définition Maintenances'!$K:$K,0))+P90),P90))</f>
        <v>116</v>
      </c>
      <c r="R90" s="25">
        <f>IF(ISNUMBER(VLOOKUP($D90,'Visu totale'!$D:$DH,R$1,0)),Q90-VLOOKUP($D90,'Visu totale'!$D:$DH,R$1,0),IF(LEFT(VLOOKUP($D90,'Visu totale'!$D:$DH,R$1,0),1)="V",IF(Q90&gt;=INDEX('[1]Définition Maintenances'!$G:$G,MATCH($A90,'[1]Définition Maintenances'!$K:$K,0)),Q90,INDEX('[1]Définition Maintenances'!$G:$G,MATCH($A90,'[1]Définition Maintenances'!$K:$K,0))+Q90),Q90))</f>
        <v>116</v>
      </c>
      <c r="S90" s="26">
        <f>IF(ISNUMBER(VLOOKUP($D90,'Visu totale'!$D:$DH,S$1,0)),R90-VLOOKUP($D90,'Visu totale'!$D:$DH,S$1,0),IF(LEFT(VLOOKUP($D90,'Visu totale'!$D:$DH,S$1,0),1)="V",IF(R90&gt;=INDEX('[1]Définition Maintenances'!$G:$G,MATCH($A90,'[1]Définition Maintenances'!$K:$K,0)),R90,INDEX('[1]Définition Maintenances'!$G:$G,MATCH($A90,'[1]Définition Maintenances'!$K:$K,0))+R90),R90))</f>
        <v>116</v>
      </c>
      <c r="T90" s="26">
        <f>IF(ISNUMBER(VLOOKUP($D90,'Visu totale'!$D:$DH,T$1,0)),S90-VLOOKUP($D90,'Visu totale'!$D:$DH,T$1,0),IF(LEFT(VLOOKUP($D90,'Visu totale'!$D:$DH,T$1,0),1)="V",IF(S90&gt;=INDEX('[1]Définition Maintenances'!$G:$G,MATCH($A90,'[1]Définition Maintenances'!$K:$K,0)),S90,INDEX('[1]Définition Maintenances'!$G:$G,MATCH($A90,'[1]Définition Maintenances'!$K:$K,0))+S90),S90))</f>
        <v>116</v>
      </c>
      <c r="U90" s="26">
        <f>IF(ISNUMBER(VLOOKUP($D90,'Visu totale'!$D:$DH,U$1,0)),T90-VLOOKUP($D90,'Visu totale'!$D:$DH,U$1,0),IF(LEFT(VLOOKUP($D90,'Visu totale'!$D:$DH,U$1,0),1)="V",IF(T90&gt;=INDEX('[1]Définition Maintenances'!$G:$G,MATCH($A90,'[1]Définition Maintenances'!$K:$K,0)),T90,INDEX('[1]Définition Maintenances'!$G:$G,MATCH($A90,'[1]Définition Maintenances'!$K:$K,0))+T90),T90))</f>
        <v>116</v>
      </c>
      <c r="V90" s="26">
        <f>IF(ISNUMBER(VLOOKUP($D90,'Visu totale'!$D:$DH,V$1,0)),U90-VLOOKUP($D90,'Visu totale'!$D:$DH,V$1,0),IF(LEFT(VLOOKUP($D90,'Visu totale'!$D:$DH,V$1,0),1)="V",IF(U90&gt;=INDEX('[1]Définition Maintenances'!$G:$G,MATCH($A90,'[1]Définition Maintenances'!$K:$K,0)),U90,INDEX('[1]Définition Maintenances'!$G:$G,MATCH($A90,'[1]Définition Maintenances'!$K:$K,0))+U90),U90))</f>
        <v>116</v>
      </c>
      <c r="W90" s="26">
        <f>IF(ISNUMBER(VLOOKUP($D90,'Visu totale'!$D:$DH,W$1,0)),V90-VLOOKUP($D90,'Visu totale'!$D:$DH,W$1,0),IF(LEFT(VLOOKUP($D90,'Visu totale'!$D:$DH,W$1,0),1)="V",IF(V90&gt;=INDEX('[1]Définition Maintenances'!$G:$G,MATCH($A90,'[1]Définition Maintenances'!$K:$K,0)),V90,INDEX('[1]Définition Maintenances'!$G:$G,MATCH($A90,'[1]Définition Maintenances'!$K:$K,0))+V90),V90))</f>
        <v>116</v>
      </c>
      <c r="X90" s="26">
        <f>IF(ISNUMBER(VLOOKUP($D90,'Visu totale'!$D:$DH,X$1,0)),W90-VLOOKUP($D90,'Visu totale'!$D:$DH,X$1,0),IF(LEFT(VLOOKUP($D90,'Visu totale'!$D:$DH,X$1,0),1)="V",IF(W90&gt;=INDEX('[1]Définition Maintenances'!$G:$G,MATCH($A90,'[1]Définition Maintenances'!$K:$K,0)),W90,INDEX('[1]Définition Maintenances'!$G:$G,MATCH($A90,'[1]Définition Maintenances'!$K:$K,0))+W90),W90))</f>
        <v>116</v>
      </c>
      <c r="Y90" s="26">
        <f>IF(ISNUMBER(VLOOKUP($D90,'Visu totale'!$D:$DH,Y$1,0)),X90-VLOOKUP($D90,'Visu totale'!$D:$DH,Y$1,0),IF(LEFT(VLOOKUP($D90,'Visu totale'!$D:$DH,Y$1,0),1)="V",IF(X90&gt;=INDEX('[1]Définition Maintenances'!$G:$G,MATCH($A90,'[1]Définition Maintenances'!$K:$K,0)),X90,INDEX('[1]Définition Maintenances'!$G:$G,MATCH($A90,'[1]Définition Maintenances'!$K:$K,0))+X90),X90))</f>
        <v>116</v>
      </c>
      <c r="Z90" s="26">
        <f>IF(ISNUMBER(VLOOKUP($D90,'Visu totale'!$D:$DH,Z$1,0)),Y90-VLOOKUP($D90,'Visu totale'!$D:$DH,Z$1,0),IF(LEFT(VLOOKUP($D90,'Visu totale'!$D:$DH,Z$1,0),1)="V",IF(Y90&gt;=INDEX('[1]Définition Maintenances'!$G:$G,MATCH($A90,'[1]Définition Maintenances'!$K:$K,0)),Y90,INDEX('[1]Définition Maintenances'!$G:$G,MATCH($A90,'[1]Définition Maintenances'!$K:$K,0))+Y90),Y90))</f>
        <v>116</v>
      </c>
      <c r="AA90" s="26">
        <f>IF(ISNUMBER(VLOOKUP($D90,'Visu totale'!$D:$DH,AA$1,0)),Z90-VLOOKUP($D90,'Visu totale'!$D:$DH,AA$1,0),IF(LEFT(VLOOKUP($D90,'Visu totale'!$D:$DH,AA$1,0),1)="V",IF(Z90&gt;=INDEX('[1]Définition Maintenances'!$G:$G,MATCH($A90,'[1]Définition Maintenances'!$K:$K,0)),Z90,INDEX('[1]Définition Maintenances'!$G:$G,MATCH($A90,'[1]Définition Maintenances'!$K:$K,0))+Z90),Z90))</f>
        <v>116</v>
      </c>
      <c r="AB90" s="26">
        <f>IF(ISNUMBER(VLOOKUP($D90,'Visu totale'!$D:$DH,AB$1,0)),AA90-VLOOKUP($D90,'Visu totale'!$D:$DH,AB$1,0),IF(LEFT(VLOOKUP($D90,'Visu totale'!$D:$DH,AB$1,0),1)="V",IF(AA90&gt;=INDEX('[1]Définition Maintenances'!$G:$G,MATCH($A90,'[1]Définition Maintenances'!$K:$K,0)),AA90,INDEX('[1]Définition Maintenances'!$G:$G,MATCH($A90,'[1]Définition Maintenances'!$K:$K,0))+AA90),AA90))</f>
        <v>116</v>
      </c>
      <c r="AC90" s="27">
        <f>IF(ISNUMBER(VLOOKUP($D90,'Visu totale'!$D:$DH,AC$1,0)),AB90-VLOOKUP($D90,'Visu totale'!$D:$DH,AC$1,0),IF(LEFT(VLOOKUP($D90,'Visu totale'!$D:$DH,AC$1,0),1)="V",IF(AB90&gt;=INDEX('[1]Définition Maintenances'!$G:$G,MATCH($A90,'[1]Définition Maintenances'!$K:$K,0)),AB90,INDEX('[1]Définition Maintenances'!$G:$G,MATCH($A90,'[1]Définition Maintenances'!$K:$K,0))+AB90),AB90))</f>
        <v>116</v>
      </c>
      <c r="AD90" s="25">
        <f>IF(ISNUMBER(VLOOKUP($D90,'Visu totale'!$D:$DH,AD$1,0)),AC90-VLOOKUP($D90,'Visu totale'!$D:$DH,AD$1,0),IF(LEFT(VLOOKUP($D90,'Visu totale'!$D:$DH,AD$1,0),1)="V",IF(AC90&gt;=INDEX('[1]Définition Maintenances'!$G:$G,MATCH($A90,'[1]Définition Maintenances'!$K:$K,0)),AC90,INDEX('[1]Définition Maintenances'!$G:$G,MATCH($A90,'[1]Définition Maintenances'!$K:$K,0))+AC90),AC90))</f>
        <v>116</v>
      </c>
      <c r="AE90" s="26">
        <f>IF(ISNUMBER(VLOOKUP($D90,'Visu totale'!$D:$DH,AE$1,0)),AD90-VLOOKUP($D90,'Visu totale'!$D:$DH,AE$1,0),IF(LEFT(VLOOKUP($D90,'Visu totale'!$D:$DH,AE$1,0),1)="V",IF(AD90&gt;=INDEX('[1]Définition Maintenances'!$G:$G,MATCH($A90,'[1]Définition Maintenances'!$K:$K,0)),AD90,INDEX('[1]Définition Maintenances'!$G:$G,MATCH($A90,'[1]Définition Maintenances'!$K:$K,0))+AD90),AD90))</f>
        <v>116</v>
      </c>
      <c r="AF90" s="26">
        <f>IF(ISNUMBER(VLOOKUP($D90,'Visu totale'!$D:$DH,AF$1,0)),AE90-VLOOKUP($D90,'Visu totale'!$D:$DH,AF$1,0),IF(LEFT(VLOOKUP($D90,'Visu totale'!$D:$DH,AF$1,0),1)="V",IF(AE90&gt;=INDEX('[1]Définition Maintenances'!$G:$G,MATCH($A90,'[1]Définition Maintenances'!$K:$K,0)),AE90,INDEX('[1]Définition Maintenances'!$G:$G,MATCH($A90,'[1]Définition Maintenances'!$K:$K,0))+AE90),AE90))</f>
        <v>116</v>
      </c>
      <c r="AG90" s="26">
        <f>IF(ISNUMBER(VLOOKUP($D90,'Visu totale'!$D:$DH,AG$1,0)),AF90-VLOOKUP($D90,'Visu totale'!$D:$DH,AG$1,0),IF(LEFT(VLOOKUP($D90,'Visu totale'!$D:$DH,AG$1,0),1)="V",IF(AF90&gt;=INDEX('[1]Définition Maintenances'!$G:$G,MATCH($A90,'[1]Définition Maintenances'!$K:$K,0)),AF90,INDEX('[1]Définition Maintenances'!$G:$G,MATCH($A90,'[1]Définition Maintenances'!$K:$K,0))+AF90),AF90))</f>
        <v>116</v>
      </c>
      <c r="AH90" s="26">
        <f>IF(ISNUMBER(VLOOKUP($D90,'Visu totale'!$D:$DH,AH$1,0)),AG90-VLOOKUP($D90,'Visu totale'!$D:$DH,AH$1,0),IF(LEFT(VLOOKUP($D90,'Visu totale'!$D:$DH,AH$1,0),1)="V",IF(AG90&gt;=INDEX('[1]Définition Maintenances'!$G:$G,MATCH($A90,'[1]Définition Maintenances'!$K:$K,0)),AG90,INDEX('[1]Définition Maintenances'!$G:$G,MATCH($A90,'[1]Définition Maintenances'!$K:$K,0))+AG90),AG90))</f>
        <v>116</v>
      </c>
      <c r="AI90" s="26">
        <f>IF(ISNUMBER(VLOOKUP($D90,'Visu totale'!$D:$DH,AI$1,0)),AH90-VLOOKUP($D90,'Visu totale'!$D:$DH,AI$1,0),IF(LEFT(VLOOKUP($D90,'Visu totale'!$D:$DH,AI$1,0),1)="V",IF(AH90&gt;=INDEX('[1]Définition Maintenances'!$G:$G,MATCH($A90,'[1]Définition Maintenances'!$K:$K,0)),AH90,INDEX('[1]Définition Maintenances'!$G:$G,MATCH($A90,'[1]Définition Maintenances'!$K:$K,0))+AH90),AH90))</f>
        <v>116</v>
      </c>
      <c r="AJ90" s="26">
        <f>IF(ISNUMBER(VLOOKUP($D90,'Visu totale'!$D:$DH,AJ$1,0)),AI90-VLOOKUP($D90,'Visu totale'!$D:$DH,AJ$1,0),IF(LEFT(VLOOKUP($D90,'Visu totale'!$D:$DH,AJ$1,0),1)="V",IF(AI90&gt;=INDEX('[1]Définition Maintenances'!$G:$G,MATCH($A90,'[1]Définition Maintenances'!$K:$K,0)),AI90,INDEX('[1]Définition Maintenances'!$G:$G,MATCH($A90,'[1]Définition Maintenances'!$K:$K,0))+AI90),AI90))</f>
        <v>116</v>
      </c>
      <c r="AK90" s="26">
        <f>IF(ISNUMBER(VLOOKUP($D90,'Visu totale'!$D:$DH,AK$1,0)),AJ90-VLOOKUP($D90,'Visu totale'!$D:$DH,AK$1,0),IF(LEFT(VLOOKUP($D90,'Visu totale'!$D:$DH,AK$1,0),1)="V",IF(AJ90&gt;=INDEX('[1]Définition Maintenances'!$G:$G,MATCH($A90,'[1]Définition Maintenances'!$K:$K,0)),AJ90,INDEX('[1]Définition Maintenances'!$G:$G,MATCH($A90,'[1]Définition Maintenances'!$K:$K,0))+AJ90),AJ90))</f>
        <v>116</v>
      </c>
      <c r="AL90" s="26">
        <f>IF(ISNUMBER(VLOOKUP($D90,'Visu totale'!$D:$DH,AL$1,0)),AK90-VLOOKUP($D90,'Visu totale'!$D:$DH,AL$1,0),IF(LEFT(VLOOKUP($D90,'Visu totale'!$D:$DH,AL$1,0),1)="V",IF(AK90&gt;=INDEX('[1]Définition Maintenances'!$G:$G,MATCH($A90,'[1]Définition Maintenances'!$K:$K,0)),AK90,INDEX('[1]Définition Maintenances'!$G:$G,MATCH($A90,'[1]Définition Maintenances'!$K:$K,0))+AK90),AK90))</f>
        <v>116</v>
      </c>
      <c r="AM90" s="26">
        <f>IF(ISNUMBER(VLOOKUP($D90,'Visu totale'!$D:$DH,AM$1,0)),AL90-VLOOKUP($D90,'Visu totale'!$D:$DH,AM$1,0),IF(LEFT(VLOOKUP($D90,'Visu totale'!$D:$DH,AM$1,0),1)="V",IF(AL90&gt;=INDEX('[1]Définition Maintenances'!$G:$G,MATCH($A90,'[1]Définition Maintenances'!$K:$K,0)),AL90,INDEX('[1]Définition Maintenances'!$G:$G,MATCH($A90,'[1]Définition Maintenances'!$K:$K,0))+AL90),AL90))</f>
        <v>116</v>
      </c>
      <c r="AN90" s="26">
        <f>IF(ISNUMBER(VLOOKUP($D90,'Visu totale'!$D:$DH,AN$1,0)),AM90-VLOOKUP($D90,'Visu totale'!$D:$DH,AN$1,0),IF(LEFT(VLOOKUP($D90,'Visu totale'!$D:$DH,AN$1,0),1)="V",IF(AM90&gt;=INDEX('[1]Définition Maintenances'!$G:$G,MATCH($A90,'[1]Définition Maintenances'!$K:$K,0)),AM90,INDEX('[1]Définition Maintenances'!$G:$G,MATCH($A90,'[1]Définition Maintenances'!$K:$K,0))+AM90),AM90))</f>
        <v>116</v>
      </c>
      <c r="AO90" s="27">
        <f>IF(ISNUMBER(VLOOKUP($D90,'Visu totale'!$D:$DH,AO$1,0)),AN90-VLOOKUP($D90,'Visu totale'!$D:$DH,AO$1,0),IF(LEFT(VLOOKUP($D90,'Visu totale'!$D:$DH,AO$1,0),1)="V",IF(AN90&gt;=INDEX('[1]Définition Maintenances'!$G:$G,MATCH($A90,'[1]Définition Maintenances'!$K:$K,0)),AN90,INDEX('[1]Définition Maintenances'!$G:$G,MATCH($A90,'[1]Définition Maintenances'!$K:$K,0))+AN90),AN90))</f>
        <v>116</v>
      </c>
      <c r="AP90" s="25">
        <f>IF(ISNUMBER(VLOOKUP($D90,'Visu totale'!$D:$DH,AP$1,0)),AO90-VLOOKUP($D90,'Visu totale'!$D:$DH,AP$1,0),IF(LEFT(VLOOKUP($D90,'Visu totale'!$D:$DH,AP$1,0),1)="V",IF(AO90&gt;=INDEX('[1]Définition Maintenances'!$G:$G,MATCH($A90,'[1]Définition Maintenances'!$K:$K,0)),AO90,INDEX('[1]Définition Maintenances'!$G:$G,MATCH($A90,'[1]Définition Maintenances'!$K:$K,0))+AO90),AO90))</f>
        <v>116</v>
      </c>
      <c r="AQ90" s="26">
        <f>IF(ISNUMBER(VLOOKUP($D90,'Visu totale'!$D:$DH,AQ$1,0)),AP90-VLOOKUP($D90,'Visu totale'!$D:$DH,AQ$1,0),IF(LEFT(VLOOKUP($D90,'Visu totale'!$D:$DH,AQ$1,0),1)="V",IF(AP90&gt;=INDEX('[1]Définition Maintenances'!$G:$G,MATCH($A90,'[1]Définition Maintenances'!$K:$K,0)),AP90,INDEX('[1]Définition Maintenances'!$G:$G,MATCH($A90,'[1]Définition Maintenances'!$K:$K,0))+AP90),AP90))</f>
        <v>116</v>
      </c>
      <c r="AR90" s="26">
        <f>IF(ISNUMBER(VLOOKUP($D90,'Visu totale'!$D:$DH,AR$1,0)),AQ90-VLOOKUP($D90,'Visu totale'!$D:$DH,AR$1,0),IF(LEFT(VLOOKUP($D90,'Visu totale'!$D:$DH,AR$1,0),1)="V",IF(AQ90&gt;=INDEX('[1]Définition Maintenances'!$G:$G,MATCH($A90,'[1]Définition Maintenances'!$K:$K,0)),AQ90,INDEX('[1]Définition Maintenances'!$G:$G,MATCH($A90,'[1]Définition Maintenances'!$K:$K,0))+AQ90),AQ90))</f>
        <v>116</v>
      </c>
      <c r="AS90" s="26">
        <f>IF(ISNUMBER(VLOOKUP($D90,'Visu totale'!$D:$DH,AS$1,0)),AR90-VLOOKUP($D90,'Visu totale'!$D:$DH,AS$1,0),IF(LEFT(VLOOKUP($D90,'Visu totale'!$D:$DH,AS$1,0),1)="V",IF(AR90&gt;=INDEX('[1]Définition Maintenances'!$G:$G,MATCH($A90,'[1]Définition Maintenances'!$K:$K,0)),AR90,INDEX('[1]Définition Maintenances'!$G:$G,MATCH($A90,'[1]Définition Maintenances'!$K:$K,0))+AR90),AR90))</f>
        <v>116</v>
      </c>
      <c r="AT90" s="26">
        <f>IF(ISNUMBER(VLOOKUP($D90,'Visu totale'!$D:$DH,AT$1,0)),AS90-VLOOKUP($D90,'Visu totale'!$D:$DH,AT$1,0),IF(LEFT(VLOOKUP($D90,'Visu totale'!$D:$DH,AT$1,0),1)="V",IF(AS90&gt;=INDEX('[1]Définition Maintenances'!$G:$G,MATCH($A90,'[1]Définition Maintenances'!$K:$K,0)),AS90,INDEX('[1]Définition Maintenances'!$G:$G,MATCH($A90,'[1]Définition Maintenances'!$K:$K,0))+AS90),AS90))</f>
        <v>116</v>
      </c>
      <c r="AU90" s="26">
        <f>IF(ISNUMBER(VLOOKUP($D90,'Visu totale'!$D:$DH,AU$1,0)),AT90-VLOOKUP($D90,'Visu totale'!$D:$DH,AU$1,0),IF(LEFT(VLOOKUP($D90,'Visu totale'!$D:$DH,AU$1,0),1)="V",IF(AT90&gt;=INDEX('[1]Définition Maintenances'!$G:$G,MATCH($A90,'[1]Définition Maintenances'!$K:$K,0)),AT90,INDEX('[1]Définition Maintenances'!$G:$G,MATCH($A90,'[1]Définition Maintenances'!$K:$K,0))+AT90),AT90))</f>
        <v>116</v>
      </c>
      <c r="AV90" s="26">
        <f>IF(ISNUMBER(VLOOKUP($D90,'Visu totale'!$D:$DH,AV$1,0)),AU90-VLOOKUP($D90,'Visu totale'!$D:$DH,AV$1,0),IF(LEFT(VLOOKUP($D90,'Visu totale'!$D:$DH,AV$1,0),1)="V",IF(AU90&gt;=INDEX('[1]Définition Maintenances'!$G:$G,MATCH($A90,'[1]Définition Maintenances'!$K:$K,0)),AU90,INDEX('[1]Définition Maintenances'!$G:$G,MATCH($A90,'[1]Définition Maintenances'!$K:$K,0))+AU90),AU90))</f>
        <v>116</v>
      </c>
      <c r="AW90" s="26">
        <f>IF(ISNUMBER(VLOOKUP($D90,'Visu totale'!$D:$DH,AW$1,0)),AV90-VLOOKUP($D90,'Visu totale'!$D:$DH,AW$1,0),IF(LEFT(VLOOKUP($D90,'Visu totale'!$D:$DH,AW$1,0),1)="V",IF(AV90&gt;=INDEX('[1]Définition Maintenances'!$G:$G,MATCH($A90,'[1]Définition Maintenances'!$K:$K,0)),AV90,INDEX('[1]Définition Maintenances'!$G:$G,MATCH($A90,'[1]Définition Maintenances'!$K:$K,0))+AV90),AV90))</f>
        <v>116</v>
      </c>
      <c r="AX90" s="26">
        <f>IF(ISNUMBER(VLOOKUP($D90,'Visu totale'!$D:$DH,AX$1,0)),AW90-VLOOKUP($D90,'Visu totale'!$D:$DH,AX$1,0),IF(LEFT(VLOOKUP($D90,'Visu totale'!$D:$DH,AX$1,0),1)="V",IF(AW90&gt;=INDEX('[1]Définition Maintenances'!$G:$G,MATCH($A90,'[1]Définition Maintenances'!$K:$K,0)),AW90,INDEX('[1]Définition Maintenances'!$G:$G,MATCH($A90,'[1]Définition Maintenances'!$K:$K,0))+AW90),AW90))</f>
        <v>116</v>
      </c>
      <c r="AY90" s="26">
        <f>IF(ISNUMBER(VLOOKUP($D90,'Visu totale'!$D:$DH,AY$1,0)),AX90-VLOOKUP($D90,'Visu totale'!$D:$DH,AY$1,0),IF(LEFT(VLOOKUP($D90,'Visu totale'!$D:$DH,AY$1,0),1)="V",IF(AX90&gt;=INDEX('[1]Définition Maintenances'!$G:$G,MATCH($A90,'[1]Définition Maintenances'!$K:$K,0)),AX90,INDEX('[1]Définition Maintenances'!$G:$G,MATCH($A90,'[1]Définition Maintenances'!$K:$K,0))+AX90),AX90))</f>
        <v>116</v>
      </c>
      <c r="AZ90" s="26">
        <f>IF(ISNUMBER(VLOOKUP($D90,'Visu totale'!$D:$DH,AZ$1,0)),AY90-VLOOKUP($D90,'Visu totale'!$D:$DH,AZ$1,0),IF(LEFT(VLOOKUP($D90,'Visu totale'!$D:$DH,AZ$1,0),1)="V",IF(AY90&gt;=INDEX('[1]Définition Maintenances'!$G:$G,MATCH($A90,'[1]Définition Maintenances'!$K:$K,0)),AY90,INDEX('[1]Définition Maintenances'!$G:$G,MATCH($A90,'[1]Définition Maintenances'!$K:$K,0))+AY90),AY90))</f>
        <v>116</v>
      </c>
      <c r="BA90" s="27">
        <f>IF(ISNUMBER(VLOOKUP($D90,'Visu totale'!$D:$DH,BA$1,0)),AZ90-VLOOKUP($D90,'Visu totale'!$D:$DH,BA$1,0),IF(LEFT(VLOOKUP($D90,'Visu totale'!$D:$DH,BA$1,0),1)="V",IF(AZ90&gt;=INDEX('[1]Définition Maintenances'!$G:$G,MATCH($A90,'[1]Définition Maintenances'!$K:$K,0)),AZ90,INDEX('[1]Définition Maintenances'!$G:$G,MATCH($A90,'[1]Définition Maintenances'!$K:$K,0))+AZ90),AZ90))</f>
        <v>116</v>
      </c>
      <c r="BB90" s="25">
        <f>IF(ISNUMBER(VLOOKUP($D90,'Visu totale'!$D:$DH,BB$1,0)),BA90-VLOOKUP($D90,'Visu totale'!$D:$DH,BB$1,0),IF(LEFT(VLOOKUP($D90,'Visu totale'!$D:$DH,BB$1,0),1)="V",IF(BA90&gt;=INDEX('[1]Définition Maintenances'!$G:$G,MATCH($A90,'[1]Définition Maintenances'!$K:$K,0)),BA90,INDEX('[1]Définition Maintenances'!$G:$G,MATCH($A90,'[1]Définition Maintenances'!$K:$K,0))+BA90),BA90))</f>
        <v>116</v>
      </c>
      <c r="BC90" s="26">
        <f>IF(ISNUMBER(VLOOKUP($D90,'Visu totale'!$D:$DH,BC$1,0)),BB90-VLOOKUP($D90,'Visu totale'!$D:$DH,BC$1,0),IF(LEFT(VLOOKUP($D90,'Visu totale'!$D:$DH,BC$1,0),1)="V",IF(BB90&gt;=INDEX('[1]Définition Maintenances'!$G:$G,MATCH($A90,'[1]Définition Maintenances'!$K:$K,0)),BB90,INDEX('[1]Définition Maintenances'!$G:$G,MATCH($A90,'[1]Définition Maintenances'!$K:$K,0))+BB90),BB90))</f>
        <v>116</v>
      </c>
      <c r="BD90" s="26">
        <f>IF(ISNUMBER(VLOOKUP($D90,'Visu totale'!$D:$DH,BD$1,0)),BC90-VLOOKUP($D90,'Visu totale'!$D:$DH,BD$1,0),IF(LEFT(VLOOKUP($D90,'Visu totale'!$D:$DH,BD$1,0),1)="V",IF(BC90&gt;=INDEX('[1]Définition Maintenances'!$G:$G,MATCH($A90,'[1]Définition Maintenances'!$K:$K,0)),BC90,INDEX('[1]Définition Maintenances'!$G:$G,MATCH($A90,'[1]Définition Maintenances'!$K:$K,0))+BC90),BC90))</f>
        <v>116</v>
      </c>
      <c r="BE90" s="26">
        <f>IF(ISNUMBER(VLOOKUP($D90,'Visu totale'!$D:$DH,BE$1,0)),BD90-VLOOKUP($D90,'Visu totale'!$D:$DH,BE$1,0),IF(LEFT(VLOOKUP($D90,'Visu totale'!$D:$DH,BE$1,0),1)="V",IF(BD90&gt;=INDEX('[1]Définition Maintenances'!$G:$G,MATCH($A90,'[1]Définition Maintenances'!$K:$K,0)),BD90,INDEX('[1]Définition Maintenances'!$G:$G,MATCH($A90,'[1]Définition Maintenances'!$K:$K,0))+BD90),BD90))</f>
        <v>116</v>
      </c>
      <c r="BF90" s="26">
        <f>IF(ISNUMBER(VLOOKUP($D90,'Visu totale'!$D:$DH,BF$1,0)),BE90-VLOOKUP($D90,'Visu totale'!$D:$DH,BF$1,0),IF(LEFT(VLOOKUP($D90,'Visu totale'!$D:$DH,BF$1,0),1)="V",IF(BE90&gt;=INDEX('[1]Définition Maintenances'!$G:$G,MATCH($A90,'[1]Définition Maintenances'!$K:$K,0)),BE90,INDEX('[1]Définition Maintenances'!$G:$G,MATCH($A90,'[1]Définition Maintenances'!$K:$K,0))+BE90),BE90))</f>
        <v>116</v>
      </c>
      <c r="BG90" s="26">
        <f>IF(ISNUMBER(VLOOKUP($D90,'Visu totale'!$D:$DH,BG$1,0)),BF90-VLOOKUP($D90,'Visu totale'!$D:$DH,BG$1,0),IF(LEFT(VLOOKUP($D90,'Visu totale'!$D:$DH,BG$1,0),1)="V",IF(BF90&gt;=INDEX('[1]Définition Maintenances'!$G:$G,MATCH($A90,'[1]Définition Maintenances'!$K:$K,0)),BF90,INDEX('[1]Définition Maintenances'!$G:$G,MATCH($A90,'[1]Définition Maintenances'!$K:$K,0))+BF90),BF90))</f>
        <v>116</v>
      </c>
      <c r="BH90" s="26">
        <f>IF(ISNUMBER(VLOOKUP($D90,'Visu totale'!$D:$DH,BH$1,0)),BG90-VLOOKUP($D90,'Visu totale'!$D:$DH,BH$1,0),IF(LEFT(VLOOKUP($D90,'Visu totale'!$D:$DH,BH$1,0),1)="V",IF(BG90&gt;=INDEX('[1]Définition Maintenances'!$G:$G,MATCH($A90,'[1]Définition Maintenances'!$K:$K,0)),BG90,INDEX('[1]Définition Maintenances'!$G:$G,MATCH($A90,'[1]Définition Maintenances'!$K:$K,0))+BG90),BG90))</f>
        <v>116</v>
      </c>
      <c r="BI90" s="26">
        <f>IF(ISNUMBER(VLOOKUP($D90,'Visu totale'!$D:$DH,BI$1,0)),BH90-VLOOKUP($D90,'Visu totale'!$D:$DH,BI$1,0),IF(LEFT(VLOOKUP($D90,'Visu totale'!$D:$DH,BI$1,0),1)="V",IF(BH90&gt;=INDEX('[1]Définition Maintenances'!$G:$G,MATCH($A90,'[1]Définition Maintenances'!$K:$K,0)),BH90,INDEX('[1]Définition Maintenances'!$G:$G,MATCH($A90,'[1]Définition Maintenances'!$K:$K,0))+BH90),BH90))</f>
        <v>116</v>
      </c>
      <c r="BJ90" s="26">
        <f>IF(ISNUMBER(VLOOKUP($D90,'Visu totale'!$D:$DH,BJ$1,0)),BI90-VLOOKUP($D90,'Visu totale'!$D:$DH,BJ$1,0),IF(LEFT(VLOOKUP($D90,'Visu totale'!$D:$DH,BJ$1,0),1)="V",IF(BI90&gt;=INDEX('[1]Définition Maintenances'!$G:$G,MATCH($A90,'[1]Définition Maintenances'!$K:$K,0)),BI90,INDEX('[1]Définition Maintenances'!$G:$G,MATCH($A90,'[1]Définition Maintenances'!$K:$K,0))+BI90),BI90))</f>
        <v>116</v>
      </c>
      <c r="BK90" s="26">
        <f>IF(ISNUMBER(VLOOKUP($D90,'Visu totale'!$D:$DH,BK$1,0)),BJ90-VLOOKUP($D90,'Visu totale'!$D:$DH,BK$1,0),IF(LEFT(VLOOKUP($D90,'Visu totale'!$D:$DH,BK$1,0),1)="V",IF(BJ90&gt;=INDEX('[1]Définition Maintenances'!$G:$G,MATCH($A90,'[1]Définition Maintenances'!$K:$K,0)),BJ90,INDEX('[1]Définition Maintenances'!$G:$G,MATCH($A90,'[1]Définition Maintenances'!$K:$K,0))+BJ90),BJ90))</f>
        <v>116</v>
      </c>
      <c r="BL90" s="26">
        <f>IF(ISNUMBER(VLOOKUP($D90,'Visu totale'!$D:$DH,BL$1,0)),BK90-VLOOKUP($D90,'Visu totale'!$D:$DH,BL$1,0),IF(LEFT(VLOOKUP($D90,'Visu totale'!$D:$DH,BL$1,0),1)="V",IF(BK90&gt;=INDEX('[1]Définition Maintenances'!$G:$G,MATCH($A90,'[1]Définition Maintenances'!$K:$K,0)),BK90,INDEX('[1]Définition Maintenances'!$G:$G,MATCH($A90,'[1]Définition Maintenances'!$K:$K,0))+BK90),BK90))</f>
        <v>116</v>
      </c>
      <c r="BM90" s="27">
        <f>IF(ISNUMBER(VLOOKUP($D90,'Visu totale'!$D:$DH,BM$1,0)),BL90-VLOOKUP($D90,'Visu totale'!$D:$DH,BM$1,0),IF(LEFT(VLOOKUP($D90,'Visu totale'!$D:$DH,BM$1,0),1)="V",IF(BL90&gt;=INDEX('[1]Définition Maintenances'!$G:$G,MATCH($A90,'[1]Définition Maintenances'!$K:$K,0)),BL90,INDEX('[1]Définition Maintenances'!$G:$G,MATCH($A90,'[1]Définition Maintenances'!$K:$K,0))+BL90),BL90))</f>
        <v>116</v>
      </c>
      <c r="BN90" s="25">
        <f>IF(ISNUMBER(VLOOKUP($D90,'Visu totale'!$D:$DH,BN$1,0)),BM90-VLOOKUP($D90,'Visu totale'!$D:$DH,BN$1,0),IF(LEFT(VLOOKUP($D90,'Visu totale'!$D:$DH,BN$1,0),1)="V",IF(BM90&gt;=INDEX('[1]Définition Maintenances'!$G:$G,MATCH($A90,'[1]Définition Maintenances'!$K:$K,0)),BM90,INDEX('[1]Définition Maintenances'!$G:$G,MATCH($A90,'[1]Définition Maintenances'!$K:$K,0))+BM90),BM90))</f>
        <v>116</v>
      </c>
      <c r="BO90" s="26">
        <f>IF(ISNUMBER(VLOOKUP($D90,'Visu totale'!$D:$DH,BO$1,0)),BN90-VLOOKUP($D90,'Visu totale'!$D:$DH,BO$1,0),IF(LEFT(VLOOKUP($D90,'Visu totale'!$D:$DH,BO$1,0),1)="V",IF(BN90&gt;=INDEX('[1]Définition Maintenances'!$G:$G,MATCH($A90,'[1]Définition Maintenances'!$K:$K,0)),BN90,INDEX('[1]Définition Maintenances'!$G:$G,MATCH($A90,'[1]Définition Maintenances'!$K:$K,0))+BN90),BN90))</f>
        <v>116</v>
      </c>
      <c r="BP90" s="26">
        <f>IF(ISNUMBER(VLOOKUP($D90,'Visu totale'!$D:$DH,BP$1,0)),BO90-VLOOKUP($D90,'Visu totale'!$D:$DH,BP$1,0),IF(LEFT(VLOOKUP($D90,'Visu totale'!$D:$DH,BP$1,0),1)="V",IF(BO90&gt;=INDEX('[1]Définition Maintenances'!$G:$G,MATCH($A90,'[1]Définition Maintenances'!$K:$K,0)),BO90,INDEX('[1]Définition Maintenances'!$G:$G,MATCH($A90,'[1]Définition Maintenances'!$K:$K,0))+BO90),BO90))</f>
        <v>116</v>
      </c>
      <c r="BQ90" s="26">
        <f>IF(ISNUMBER(VLOOKUP($D90,'Visu totale'!$D:$DH,BQ$1,0)),BP90-VLOOKUP($D90,'Visu totale'!$D:$DH,BQ$1,0),IF(LEFT(VLOOKUP($D90,'Visu totale'!$D:$DH,BQ$1,0),1)="V",IF(BP90&gt;=INDEX('[1]Définition Maintenances'!$G:$G,MATCH($A90,'[1]Définition Maintenances'!$K:$K,0)),BP90,INDEX('[1]Définition Maintenances'!$G:$G,MATCH($A90,'[1]Définition Maintenances'!$K:$K,0))+BP90),BP90))</f>
        <v>116</v>
      </c>
      <c r="BR90" s="26">
        <f>IF(ISNUMBER(VLOOKUP($D90,'Visu totale'!$D:$DH,BR$1,0)),BQ90-VLOOKUP($D90,'Visu totale'!$D:$DH,BR$1,0),IF(LEFT(VLOOKUP($D90,'Visu totale'!$D:$DH,BR$1,0),1)="V",IF(BQ90&gt;=INDEX('[1]Définition Maintenances'!$G:$G,MATCH($A90,'[1]Définition Maintenances'!$K:$K,0)),BQ90,INDEX('[1]Définition Maintenances'!$G:$G,MATCH($A90,'[1]Définition Maintenances'!$K:$K,0))+BQ90),BQ90))</f>
        <v>116</v>
      </c>
      <c r="BS90" s="26">
        <f>IF(ISNUMBER(VLOOKUP($D90,'Visu totale'!$D:$DH,BS$1,0)),BR90-VLOOKUP($D90,'Visu totale'!$D:$DH,BS$1,0),IF(LEFT(VLOOKUP($D90,'Visu totale'!$D:$DH,BS$1,0),1)="V",IF(BR90&gt;=INDEX('[1]Définition Maintenances'!$G:$G,MATCH($A90,'[1]Définition Maintenances'!$K:$K,0)),BR90,INDEX('[1]Définition Maintenances'!$G:$G,MATCH($A90,'[1]Définition Maintenances'!$K:$K,0))+BR90),BR90))</f>
        <v>116</v>
      </c>
      <c r="BT90" s="26">
        <f>IF(ISNUMBER(VLOOKUP($D90,'Visu totale'!$D:$DH,BT$1,0)),BS90-VLOOKUP($D90,'Visu totale'!$D:$DH,BT$1,0),IF(LEFT(VLOOKUP($D90,'Visu totale'!$D:$DH,BT$1,0),1)="V",IF(BS90&gt;=INDEX('[1]Définition Maintenances'!$G:$G,MATCH($A90,'[1]Définition Maintenances'!$K:$K,0)),BS90,INDEX('[1]Définition Maintenances'!$G:$G,MATCH($A90,'[1]Définition Maintenances'!$K:$K,0))+BS90),BS90))</f>
        <v>116</v>
      </c>
      <c r="BU90" s="26">
        <f>IF(ISNUMBER(VLOOKUP($D90,'Visu totale'!$D:$DH,BU$1,0)),BT90-VLOOKUP($D90,'Visu totale'!$D:$DH,BU$1,0),IF(LEFT(VLOOKUP($D90,'Visu totale'!$D:$DH,BU$1,0),1)="V",IF(BT90&gt;=INDEX('[1]Définition Maintenances'!$G:$G,MATCH($A90,'[1]Définition Maintenances'!$K:$K,0)),BT90,INDEX('[1]Définition Maintenances'!$G:$G,MATCH($A90,'[1]Définition Maintenances'!$K:$K,0))+BT90),BT90))</f>
        <v>116</v>
      </c>
      <c r="BV90" s="26">
        <f>IF(ISNUMBER(VLOOKUP($D90,'Visu totale'!$D:$DH,BV$1,0)),BU90-VLOOKUP($D90,'Visu totale'!$D:$DH,BV$1,0),IF(LEFT(VLOOKUP($D90,'Visu totale'!$D:$DH,BV$1,0),1)="V",IF(BU90&gt;=INDEX('[1]Définition Maintenances'!$G:$G,MATCH($A90,'[1]Définition Maintenances'!$K:$K,0)),BU90,INDEX('[1]Définition Maintenances'!$G:$G,MATCH($A90,'[1]Définition Maintenances'!$K:$K,0))+BU90),BU90))</f>
        <v>116</v>
      </c>
      <c r="BW90" s="26">
        <f>IF(ISNUMBER(VLOOKUP($D90,'Visu totale'!$D:$DH,BW$1,0)),BV90-VLOOKUP($D90,'Visu totale'!$D:$DH,BW$1,0),IF(LEFT(VLOOKUP($D90,'Visu totale'!$D:$DH,BW$1,0),1)="V",IF(BV90&gt;=INDEX('[1]Définition Maintenances'!$G:$G,MATCH($A90,'[1]Définition Maintenances'!$K:$K,0)),BV90,INDEX('[1]Définition Maintenances'!$G:$G,MATCH($A90,'[1]Définition Maintenances'!$K:$K,0))+BV90),BV90))</f>
        <v>116</v>
      </c>
      <c r="BX90" s="26">
        <f>IF(ISNUMBER(VLOOKUP($D90,'Visu totale'!$D:$DH,BX$1,0)),BW90-VLOOKUP($D90,'Visu totale'!$D:$DH,BX$1,0),IF(LEFT(VLOOKUP($D90,'Visu totale'!$D:$DH,BX$1,0),1)="V",IF(BW90&gt;=INDEX('[1]Définition Maintenances'!$G:$G,MATCH($A90,'[1]Définition Maintenances'!$K:$K,0)),BW90,INDEX('[1]Définition Maintenances'!$G:$G,MATCH($A90,'[1]Définition Maintenances'!$K:$K,0))+BW90),BW90))</f>
        <v>116</v>
      </c>
      <c r="BY90" s="27">
        <f>IF(ISNUMBER(VLOOKUP($D90,'Visu totale'!$D:$DH,BY$1,0)),BX90-VLOOKUP($D90,'Visu totale'!$D:$DH,BY$1,0),IF(LEFT(VLOOKUP($D90,'Visu totale'!$D:$DH,BY$1,0),1)="V",IF(BX90&gt;=INDEX('[1]Définition Maintenances'!$G:$G,MATCH($A90,'[1]Définition Maintenances'!$K:$K,0)),BX90,INDEX('[1]Définition Maintenances'!$G:$G,MATCH($A90,'[1]Définition Maintenances'!$K:$K,0))+BX90),BX90))</f>
        <v>116</v>
      </c>
      <c r="BZ90" s="25">
        <f>IF(ISNUMBER(VLOOKUP($D90,'Visu totale'!$D:$DH,BZ$1,0)),BY90-VLOOKUP($D90,'Visu totale'!$D:$DH,BZ$1,0),IF(LEFT(VLOOKUP($D90,'Visu totale'!$D:$DH,BZ$1,0),1)="V",IF(BY90&gt;=INDEX('[1]Définition Maintenances'!$G:$G,MATCH($A90,'[1]Définition Maintenances'!$K:$K,0)),BY90,INDEX('[1]Définition Maintenances'!$G:$G,MATCH($A90,'[1]Définition Maintenances'!$K:$K,0))+BY90),BY90))</f>
        <v>116</v>
      </c>
      <c r="CA90" s="26">
        <f>IF(ISNUMBER(VLOOKUP($D90,'Visu totale'!$D:$DH,CA$1,0)),BZ90-VLOOKUP($D90,'Visu totale'!$D:$DH,CA$1,0),IF(LEFT(VLOOKUP($D90,'Visu totale'!$D:$DH,CA$1,0),1)="V",IF(BZ90&gt;=INDEX('[1]Définition Maintenances'!$G:$G,MATCH($A90,'[1]Définition Maintenances'!$K:$K,0)),BZ90,INDEX('[1]Définition Maintenances'!$G:$G,MATCH($A90,'[1]Définition Maintenances'!$K:$K,0))+BZ90),BZ90))</f>
        <v>116</v>
      </c>
      <c r="CB90" s="26">
        <f>IF(ISNUMBER(VLOOKUP($D90,'Visu totale'!$D:$DH,CB$1,0)),CA90-VLOOKUP($D90,'Visu totale'!$D:$DH,CB$1,0),IF(LEFT(VLOOKUP($D90,'Visu totale'!$D:$DH,CB$1,0),1)="V",IF(CA90&gt;=INDEX('[1]Définition Maintenances'!$G:$G,MATCH($A90,'[1]Définition Maintenances'!$K:$K,0)),CA90,INDEX('[1]Définition Maintenances'!$G:$G,MATCH($A90,'[1]Définition Maintenances'!$K:$K,0))+CA90),CA90))</f>
        <v>116</v>
      </c>
      <c r="CC90" s="26">
        <f>IF(ISNUMBER(VLOOKUP($D90,'Visu totale'!$D:$DH,CC$1,0)),CB90-VLOOKUP($D90,'Visu totale'!$D:$DH,CC$1,0),IF(LEFT(VLOOKUP($D90,'Visu totale'!$D:$DH,CC$1,0),1)="V",IF(CB90&gt;=INDEX('[1]Définition Maintenances'!$G:$G,MATCH($A90,'[1]Définition Maintenances'!$K:$K,0)),CB90,INDEX('[1]Définition Maintenances'!$G:$G,MATCH($A90,'[1]Définition Maintenances'!$K:$K,0))+CB90),CB90))</f>
        <v>116</v>
      </c>
      <c r="CD90" s="26">
        <f>IF(ISNUMBER(VLOOKUP($D90,'Visu totale'!$D:$DH,CD$1,0)),CC90-VLOOKUP($D90,'Visu totale'!$D:$DH,CD$1,0),IF(LEFT(VLOOKUP($D90,'Visu totale'!$D:$DH,CD$1,0),1)="V",IF(CC90&gt;=INDEX('[1]Définition Maintenances'!$G:$G,MATCH($A90,'[1]Définition Maintenances'!$K:$K,0)),CC90,INDEX('[1]Définition Maintenances'!$G:$G,MATCH($A90,'[1]Définition Maintenances'!$K:$K,0))+CC90),CC90))</f>
        <v>116</v>
      </c>
      <c r="CE90" s="26">
        <f>IF(ISNUMBER(VLOOKUP($D90,'Visu totale'!$D:$DH,CE$1,0)),CD90-VLOOKUP($D90,'Visu totale'!$D:$DH,CE$1,0),IF(LEFT(VLOOKUP($D90,'Visu totale'!$D:$DH,CE$1,0),1)="V",IF(CD90&gt;=INDEX('[1]Définition Maintenances'!$G:$G,MATCH($A90,'[1]Définition Maintenances'!$K:$K,0)),CD90,INDEX('[1]Définition Maintenances'!$G:$G,MATCH($A90,'[1]Définition Maintenances'!$K:$K,0))+CD90),CD90))</f>
        <v>116</v>
      </c>
      <c r="CF90" s="26">
        <f>IF(ISNUMBER(VLOOKUP($D90,'Visu totale'!$D:$DH,CF$1,0)),CE90-VLOOKUP($D90,'Visu totale'!$D:$DH,CF$1,0),IF(LEFT(VLOOKUP($D90,'Visu totale'!$D:$DH,CF$1,0),1)="V",IF(CE90&gt;=INDEX('[1]Définition Maintenances'!$G:$G,MATCH($A90,'[1]Définition Maintenances'!$K:$K,0)),CE90,INDEX('[1]Définition Maintenances'!$G:$G,MATCH($A90,'[1]Définition Maintenances'!$K:$K,0))+CE90),CE90))</f>
        <v>116</v>
      </c>
      <c r="CG90" s="26">
        <f>IF(ISNUMBER(VLOOKUP($D90,'Visu totale'!$D:$DH,CG$1,0)),CF90-VLOOKUP($D90,'Visu totale'!$D:$DH,CG$1,0),IF(LEFT(VLOOKUP($D90,'Visu totale'!$D:$DH,CG$1,0),1)="V",IF(CF90&gt;=INDEX('[1]Définition Maintenances'!$G:$G,MATCH($A90,'[1]Définition Maintenances'!$K:$K,0)),CF90,INDEX('[1]Définition Maintenances'!$G:$G,MATCH($A90,'[1]Définition Maintenances'!$K:$K,0))+CF90),CF90))</f>
        <v>116</v>
      </c>
      <c r="CH90" s="26">
        <f>IF(ISNUMBER(VLOOKUP($D90,'Visu totale'!$D:$DH,CH$1,0)),CG90-VLOOKUP($D90,'Visu totale'!$D:$DH,CH$1,0),IF(LEFT(VLOOKUP($D90,'Visu totale'!$D:$DH,CH$1,0),1)="V",IF(CG90&gt;=INDEX('[1]Définition Maintenances'!$G:$G,MATCH($A90,'[1]Définition Maintenances'!$K:$K,0)),CG90,INDEX('[1]Définition Maintenances'!$G:$G,MATCH($A90,'[1]Définition Maintenances'!$K:$K,0))+CG90),CG90))</f>
        <v>116</v>
      </c>
      <c r="CI90" s="26">
        <f>IF(ISNUMBER(VLOOKUP($D90,'Visu totale'!$D:$DH,CI$1,0)),CH90-VLOOKUP($D90,'Visu totale'!$D:$DH,CI$1,0),IF(LEFT(VLOOKUP($D90,'Visu totale'!$D:$DH,CI$1,0),1)="V",IF(CH90&gt;=INDEX('[1]Définition Maintenances'!$G:$G,MATCH($A90,'[1]Définition Maintenances'!$K:$K,0)),CH90,INDEX('[1]Définition Maintenances'!$G:$G,MATCH($A90,'[1]Définition Maintenances'!$K:$K,0))+CH90),CH90))</f>
        <v>116</v>
      </c>
      <c r="CJ90" s="26">
        <f>IF(ISNUMBER(VLOOKUP($D90,'Visu totale'!$D:$DH,CJ$1,0)),CI90-VLOOKUP($D90,'Visu totale'!$D:$DH,CJ$1,0),IF(LEFT(VLOOKUP($D90,'Visu totale'!$D:$DH,CJ$1,0),1)="V",IF(CI90&gt;=INDEX('[1]Définition Maintenances'!$G:$G,MATCH($A90,'[1]Définition Maintenances'!$K:$K,0)),CI90,INDEX('[1]Définition Maintenances'!$G:$G,MATCH($A90,'[1]Définition Maintenances'!$K:$K,0))+CI90),CI90))</f>
        <v>116</v>
      </c>
      <c r="CK90" s="27">
        <f>IF(ISNUMBER(VLOOKUP($D90,'Visu totale'!$D:$DH,CK$1,0)),CJ90-VLOOKUP($D90,'Visu totale'!$D:$DH,CK$1,0),IF(LEFT(VLOOKUP($D90,'Visu totale'!$D:$DH,CK$1,0),1)="V",IF(CJ90&gt;=INDEX('[1]Définition Maintenances'!$G:$G,MATCH($A90,'[1]Définition Maintenances'!$K:$K,0)),CJ90,INDEX('[1]Définition Maintenances'!$G:$G,MATCH($A90,'[1]Définition Maintenances'!$K:$K,0))+CJ90),CJ90))</f>
        <v>116</v>
      </c>
      <c r="CL90" s="25">
        <f>IF(ISNUMBER(VLOOKUP($D90,'Visu totale'!$D:$DH,CL$1,0)),CK90-VLOOKUP($D90,'Visu totale'!$D:$DH,CL$1,0),IF(LEFT(VLOOKUP($D90,'Visu totale'!$D:$DH,CL$1,0),1)="V",IF(CK90&gt;=INDEX('[1]Définition Maintenances'!$G:$G,MATCH($A90,'[1]Définition Maintenances'!$K:$K,0)),CK90,INDEX('[1]Définition Maintenances'!$G:$G,MATCH($A90,'[1]Définition Maintenances'!$K:$K,0))+CK90),CK90))</f>
        <v>116</v>
      </c>
      <c r="CM90" s="26">
        <f>IF(ISNUMBER(VLOOKUP($D90,'Visu totale'!$D:$DH,CM$1,0)),CL90-VLOOKUP($D90,'Visu totale'!$D:$DH,CM$1,0),IF(LEFT(VLOOKUP($D90,'Visu totale'!$D:$DH,CM$1,0),1)="V",IF(CL90&gt;=INDEX('[1]Définition Maintenances'!$G:$G,MATCH($A90,'[1]Définition Maintenances'!$K:$K,0)),CL90,INDEX('[1]Définition Maintenances'!$G:$G,MATCH($A90,'[1]Définition Maintenances'!$K:$K,0))+CL90),CL90))</f>
        <v>116</v>
      </c>
      <c r="CN90" s="26">
        <f>IF(ISNUMBER(VLOOKUP($D90,'Visu totale'!$D:$DH,CN$1,0)),CM90-VLOOKUP($D90,'Visu totale'!$D:$DH,CN$1,0),IF(LEFT(VLOOKUP($D90,'Visu totale'!$D:$DH,CN$1,0),1)="V",IF(CM90&gt;=INDEX('[1]Définition Maintenances'!$G:$G,MATCH($A90,'[1]Définition Maintenances'!$K:$K,0)),CM90,INDEX('[1]Définition Maintenances'!$G:$G,MATCH($A90,'[1]Définition Maintenances'!$K:$K,0))+CM90),CM90))</f>
        <v>116</v>
      </c>
      <c r="CO90" s="26">
        <f>IF(ISNUMBER(VLOOKUP($D90,'Visu totale'!$D:$DH,CO$1,0)),CN90-VLOOKUP($D90,'Visu totale'!$D:$DH,CO$1,0),IF(LEFT(VLOOKUP($D90,'Visu totale'!$D:$DH,CO$1,0),1)="V",IF(CN90&gt;=INDEX('[1]Définition Maintenances'!$G:$G,MATCH($A90,'[1]Définition Maintenances'!$K:$K,0)),CN90,INDEX('[1]Définition Maintenances'!$G:$G,MATCH($A90,'[1]Définition Maintenances'!$K:$K,0))+CN90),CN90))</f>
        <v>116</v>
      </c>
      <c r="CP90" s="26">
        <f>IF(ISNUMBER(VLOOKUP($D90,'Visu totale'!$D:$DH,CP$1,0)),CO90-VLOOKUP($D90,'Visu totale'!$D:$DH,CP$1,0),IF(LEFT(VLOOKUP($D90,'Visu totale'!$D:$DH,CP$1,0),1)="V",IF(CO90&gt;=INDEX('[1]Définition Maintenances'!$G:$G,MATCH($A90,'[1]Définition Maintenances'!$K:$K,0)),CO90,INDEX('[1]Définition Maintenances'!$G:$G,MATCH($A90,'[1]Définition Maintenances'!$K:$K,0))+CO90),CO90))</f>
        <v>116</v>
      </c>
      <c r="CQ90" s="26">
        <f>IF(ISNUMBER(VLOOKUP($D90,'Visu totale'!$D:$DH,CQ$1,0)),CP90-VLOOKUP($D90,'Visu totale'!$D:$DH,CQ$1,0),IF(LEFT(VLOOKUP($D90,'Visu totale'!$D:$DH,CQ$1,0),1)="V",IF(CP90&gt;=INDEX('[1]Définition Maintenances'!$G:$G,MATCH($A90,'[1]Définition Maintenances'!$K:$K,0)),CP90,INDEX('[1]Définition Maintenances'!$G:$G,MATCH($A90,'[1]Définition Maintenances'!$K:$K,0))+CP90),CP90))</f>
        <v>116</v>
      </c>
      <c r="CR90" s="26">
        <f>IF(ISNUMBER(VLOOKUP($D90,'Visu totale'!$D:$DH,CR$1,0)),CQ90-VLOOKUP($D90,'Visu totale'!$D:$DH,CR$1,0),IF(LEFT(VLOOKUP($D90,'Visu totale'!$D:$DH,CR$1,0),1)="V",IF(CQ90&gt;=INDEX('[1]Définition Maintenances'!$G:$G,MATCH($A90,'[1]Définition Maintenances'!$K:$K,0)),CQ90,INDEX('[1]Définition Maintenances'!$G:$G,MATCH($A90,'[1]Définition Maintenances'!$K:$K,0))+CQ90),CQ90))</f>
        <v>116</v>
      </c>
      <c r="CS90" s="26">
        <f>IF(ISNUMBER(VLOOKUP($D90,'Visu totale'!$D:$DH,CS$1,0)),CR90-VLOOKUP($D90,'Visu totale'!$D:$DH,CS$1,0),IF(LEFT(VLOOKUP($D90,'Visu totale'!$D:$DH,CS$1,0),1)="V",IF(CR90&gt;=INDEX('[1]Définition Maintenances'!$G:$G,MATCH($A90,'[1]Définition Maintenances'!$K:$K,0)),CR90,INDEX('[1]Définition Maintenances'!$G:$G,MATCH($A90,'[1]Définition Maintenances'!$K:$K,0))+CR90),CR90))</f>
        <v>116</v>
      </c>
      <c r="CT90" s="26">
        <f>IF(ISNUMBER(VLOOKUP($D90,'Visu totale'!$D:$DH,CT$1,0)),CS90-VLOOKUP($D90,'Visu totale'!$D:$DH,CT$1,0),IF(LEFT(VLOOKUP($D90,'Visu totale'!$D:$DH,CT$1,0),1)="V",IF(CS90&gt;=INDEX('[1]Définition Maintenances'!$G:$G,MATCH($A90,'[1]Définition Maintenances'!$K:$K,0)),CS90,INDEX('[1]Définition Maintenances'!$G:$G,MATCH($A90,'[1]Définition Maintenances'!$K:$K,0))+CS90),CS90))</f>
        <v>116</v>
      </c>
      <c r="CU90" s="26">
        <f>IF(ISNUMBER(VLOOKUP($D90,'Visu totale'!$D:$DH,CU$1,0)),CT90-VLOOKUP($D90,'Visu totale'!$D:$DH,CU$1,0),IF(LEFT(VLOOKUP($D90,'Visu totale'!$D:$DH,CU$1,0),1)="V",IF(CT90&gt;=INDEX('[1]Définition Maintenances'!$G:$G,MATCH($A90,'[1]Définition Maintenances'!$K:$K,0)),CT90,INDEX('[1]Définition Maintenances'!$G:$G,MATCH($A90,'[1]Définition Maintenances'!$K:$K,0))+CT90),CT90))</f>
        <v>116</v>
      </c>
      <c r="CV90" s="26">
        <f>IF(ISNUMBER(VLOOKUP($D90,'Visu totale'!$D:$DH,CV$1,0)),CU90-VLOOKUP($D90,'Visu totale'!$D:$DH,CV$1,0),IF(LEFT(VLOOKUP($D90,'Visu totale'!$D:$DH,CV$1,0),1)="V",IF(CU90&gt;=INDEX('[1]Définition Maintenances'!$G:$G,MATCH($A90,'[1]Définition Maintenances'!$K:$K,0)),CU90,INDEX('[1]Définition Maintenances'!$G:$G,MATCH($A90,'[1]Définition Maintenances'!$K:$K,0))+CU90),CU90))</f>
        <v>116</v>
      </c>
      <c r="CW90" s="27">
        <f>IF(ISNUMBER(VLOOKUP($D90,'Visu totale'!$D:$DH,CW$1,0)),CV90-VLOOKUP($D90,'Visu totale'!$D:$DH,CW$1,0),IF(LEFT(VLOOKUP($D90,'Visu totale'!$D:$DH,CW$1,0),1)="V",IF(CV90&gt;=INDEX('[1]Définition Maintenances'!$G:$G,MATCH($A90,'[1]Définition Maintenances'!$K:$K,0)),CV90,INDEX('[1]Définition Maintenances'!$G:$G,MATCH($A90,'[1]Définition Maintenances'!$K:$K,0))+CV90),CV90))</f>
        <v>116</v>
      </c>
      <c r="CX90" s="25">
        <f>IF(ISNUMBER(VLOOKUP($D90,'Visu totale'!$D:$DH,CX$1,0)),CW90-VLOOKUP($D90,'Visu totale'!$D:$DH,CX$1,0),IF(LEFT(VLOOKUP($D90,'Visu totale'!$D:$DH,CX$1,0),1)="V",IF(CW90&gt;=INDEX('[1]Définition Maintenances'!$G:$G,MATCH($A90,'[1]Définition Maintenances'!$K:$K,0)),CW90,INDEX('[1]Définition Maintenances'!$G:$G,MATCH($A90,'[1]Définition Maintenances'!$K:$K,0))+CW90),CW90))</f>
        <v>116</v>
      </c>
      <c r="CY90" s="26">
        <f>IF(ISNUMBER(VLOOKUP($D90,'Visu totale'!$D:$DH,CY$1,0)),CX90-VLOOKUP($D90,'Visu totale'!$D:$DH,CY$1,0),IF(LEFT(VLOOKUP($D90,'Visu totale'!$D:$DH,CY$1,0),1)="V",IF(CX90&gt;=INDEX('[1]Définition Maintenances'!$G:$G,MATCH($A90,'[1]Définition Maintenances'!$K:$K,0)),CX90,INDEX('[1]Définition Maintenances'!$G:$G,MATCH($A90,'[1]Définition Maintenances'!$K:$K,0))+CX90),CX90))</f>
        <v>116</v>
      </c>
      <c r="CZ90" s="26">
        <f>IF(ISNUMBER(VLOOKUP($D90,'Visu totale'!$D:$DH,CZ$1,0)),CY90-VLOOKUP($D90,'Visu totale'!$D:$DH,CZ$1,0),IF(LEFT(VLOOKUP($D90,'Visu totale'!$D:$DH,CZ$1,0),1)="V",IF(CY90&gt;=INDEX('[1]Définition Maintenances'!$G:$G,MATCH($A90,'[1]Définition Maintenances'!$K:$K,0)),CY90,INDEX('[1]Définition Maintenances'!$G:$G,MATCH($A90,'[1]Définition Maintenances'!$K:$K,0))+CY90),CY90))</f>
        <v>116</v>
      </c>
      <c r="DA90" s="26">
        <f>IF(ISNUMBER(VLOOKUP($D90,'Visu totale'!$D:$DH,DA$1,0)),CZ90-VLOOKUP($D90,'Visu totale'!$D:$DH,DA$1,0),IF(LEFT(VLOOKUP($D90,'Visu totale'!$D:$DH,DA$1,0),1)="V",IF(CZ90&gt;=INDEX('[1]Définition Maintenances'!$G:$G,MATCH($A90,'[1]Définition Maintenances'!$K:$K,0)),CZ90,INDEX('[1]Définition Maintenances'!$G:$G,MATCH($A90,'[1]Définition Maintenances'!$K:$K,0))+CZ90),CZ90))</f>
        <v>116</v>
      </c>
      <c r="DB90" s="26">
        <f>IF(ISNUMBER(VLOOKUP($D90,'Visu totale'!$D:$DH,DB$1,0)),DA90-VLOOKUP($D90,'Visu totale'!$D:$DH,DB$1,0),IF(LEFT(VLOOKUP($D90,'Visu totale'!$D:$DH,DB$1,0),1)="V",IF(DA90&gt;=INDEX('[1]Définition Maintenances'!$G:$G,MATCH($A90,'[1]Définition Maintenances'!$K:$K,0)),DA90,INDEX('[1]Définition Maintenances'!$G:$G,MATCH($A90,'[1]Définition Maintenances'!$K:$K,0))+DA90),DA90))</f>
        <v>116</v>
      </c>
      <c r="DC90" s="26">
        <f>IF(ISNUMBER(VLOOKUP($D90,'Visu totale'!$D:$DH,DC$1,0)),DB90-VLOOKUP($D90,'Visu totale'!$D:$DH,DC$1,0),IF(LEFT(VLOOKUP($D90,'Visu totale'!$D:$DH,DC$1,0),1)="V",IF(DB90&gt;=INDEX('[1]Définition Maintenances'!$G:$G,MATCH($A90,'[1]Définition Maintenances'!$K:$K,0)),DB90,INDEX('[1]Définition Maintenances'!$G:$G,MATCH($A90,'[1]Définition Maintenances'!$K:$K,0))+DB90),DB90))</f>
        <v>116</v>
      </c>
      <c r="DD90" s="26">
        <f>IF(ISNUMBER(VLOOKUP($D90,'Visu totale'!$D:$DH,DD$1,0)),DC90-VLOOKUP($D90,'Visu totale'!$D:$DH,DD$1,0),IF(LEFT(VLOOKUP($D90,'Visu totale'!$D:$DH,DD$1,0),1)="V",IF(DC90&gt;=INDEX('[1]Définition Maintenances'!$G:$G,MATCH($A90,'[1]Définition Maintenances'!$K:$K,0)),DC90,INDEX('[1]Définition Maintenances'!$G:$G,MATCH($A90,'[1]Définition Maintenances'!$K:$K,0))+DC90),DC90))</f>
        <v>116</v>
      </c>
      <c r="DE90" s="26">
        <f>IF(ISNUMBER(VLOOKUP($D90,'Visu totale'!$D:$DH,DE$1,0)),DD90-VLOOKUP($D90,'Visu totale'!$D:$DH,DE$1,0),IF(LEFT(VLOOKUP($D90,'Visu totale'!$D:$DH,DE$1,0),1)="V",IF(DD90&gt;=INDEX('[1]Définition Maintenances'!$G:$G,MATCH($A90,'[1]Définition Maintenances'!$K:$K,0)),DD90,INDEX('[1]Définition Maintenances'!$G:$G,MATCH($A90,'[1]Définition Maintenances'!$K:$K,0))+DD90),DD90))</f>
        <v>116</v>
      </c>
      <c r="DF90" s="26">
        <f>IF(ISNUMBER(VLOOKUP($D90,'Visu totale'!$D:$DH,DF$1,0)),DE90-VLOOKUP($D90,'Visu totale'!$D:$DH,DF$1,0),IF(LEFT(VLOOKUP($D90,'Visu totale'!$D:$DH,DF$1,0),1)="V",IF(DE90&gt;=INDEX('[1]Définition Maintenances'!$G:$G,MATCH($A90,'[1]Définition Maintenances'!$K:$K,0)),DE90,INDEX('[1]Définition Maintenances'!$G:$G,MATCH($A90,'[1]Définition Maintenances'!$K:$K,0))+DE90),DE90))</f>
        <v>116</v>
      </c>
      <c r="DG90" s="26">
        <f>IF(ISNUMBER(VLOOKUP($D90,'Visu totale'!$D:$DH,DG$1,0)),DF90-VLOOKUP($D90,'Visu totale'!$D:$DH,DG$1,0),IF(LEFT(VLOOKUP($D90,'Visu totale'!$D:$DH,DG$1,0),1)="V",IF(DF90&gt;=INDEX('[1]Définition Maintenances'!$G:$G,MATCH($A90,'[1]Définition Maintenances'!$K:$K,0)),DF90,INDEX('[1]Définition Maintenances'!$G:$G,MATCH($A90,'[1]Définition Maintenances'!$K:$K,0))+DF90),DF90))</f>
        <v>116</v>
      </c>
      <c r="DH90" s="26">
        <f>IF(ISNUMBER(VLOOKUP($D90,'Visu totale'!$D:$DH,DH$1,0)),DG90-VLOOKUP($D90,'Visu totale'!$D:$DH,DH$1,0),IF(LEFT(VLOOKUP($D90,'Visu totale'!$D:$DH,DH$1,0),1)="V",IF(DG90&gt;=INDEX('[1]Définition Maintenances'!$G:$G,MATCH($A90,'[1]Définition Maintenances'!$K:$K,0)),DG90,INDEX('[1]Définition Maintenances'!$G:$G,MATCH($A90,'[1]Définition Maintenances'!$K:$K,0))+DG90),DG90))</f>
        <v>116</v>
      </c>
      <c r="DI90" s="27">
        <f>IF(ISNUMBER(VLOOKUP($D90,'Visu totale'!$D:$DH,DI$1,0)),DH90-VLOOKUP($D90,'Visu totale'!$D:$DH,DI$1,0),IF(LEFT(VLOOKUP($D90,'Visu totale'!$D:$DH,DI$1,0),1)="V",IF(DH90&gt;=INDEX('[1]Définition Maintenances'!$G:$G,MATCH($A90,'[1]Définition Maintenances'!$K:$K,0)),DH90,INDEX('[1]Définition Maintenances'!$G:$G,MATCH($A90,'[1]Définition Maintenances'!$K:$K,0))+DH90),DH90))</f>
        <v>116</v>
      </c>
    </row>
    <row r="91" spans="1:113" x14ac:dyDescent="0.25">
      <c r="A91" s="13" t="str">
        <f t="shared" si="2"/>
        <v>V15C</v>
      </c>
      <c r="B91" s="13" t="str">
        <f>VLOOKUP(D91,'[1]Avions (Potentiels)'!$B$2:$H$128,7,FALSE)</f>
        <v>V15</v>
      </c>
      <c r="C91" s="13"/>
      <c r="D91" s="16" t="s">
        <v>94</v>
      </c>
      <c r="E91" s="13">
        <f>IFERROR(VALUE(SUBSTITUTE(VLOOKUP(D91,'[1]Avions (Potentiels)'!$B:$E,4,0),".",",")),VALUE(VLOOKUP(D91,'[1]Avions (Potentiels)'!$B:$E,4,0)))</f>
        <v>1000</v>
      </c>
      <c r="F91" s="25">
        <f>IF(ISNUMBER(VLOOKUP($D91,'Visu totale'!$D:$DH,F$1,0)),E91-VLOOKUP($D91,'Visu totale'!$D:$DH,F$1,0),IF(LEFT(VLOOKUP($D91,'Visu totale'!$D:$DH,F$1,0),1)="V",IF(E91&gt;=INDEX('[1]Définition Maintenances'!$G:$G,MATCH($A91,'[1]Définition Maintenances'!$K:$K,0)),E91,INDEX('[1]Définition Maintenances'!$G:$G,MATCH($A91,'[1]Définition Maintenances'!$K:$K,0))+E91),E91))</f>
        <v>1000</v>
      </c>
      <c r="G91" s="26">
        <f>IF(ISNUMBER(VLOOKUP($D91,'Visu totale'!$D:$DH,G$1,0)),F91-VLOOKUP($D91,'Visu totale'!$D:$DH,G$1,0),IF(LEFT(VLOOKUP($D91,'Visu totale'!$D:$DH,G$1,0),1)="V",IF(F91&gt;=INDEX('[1]Définition Maintenances'!$G:$G,MATCH($A91,'[1]Définition Maintenances'!$K:$K,0)),F91,INDEX('[1]Définition Maintenances'!$G:$G,MATCH($A91,'[1]Définition Maintenances'!$K:$K,0))+F91),F91))</f>
        <v>1000</v>
      </c>
      <c r="H91" s="26">
        <f>IF(ISNUMBER(VLOOKUP($D91,'Visu totale'!$D:$DH,H$1,0)),G91-VLOOKUP($D91,'Visu totale'!$D:$DH,H$1,0),IF(LEFT(VLOOKUP($D91,'Visu totale'!$D:$DH,H$1,0),1)="V",IF(G91&gt;=INDEX('[1]Définition Maintenances'!$G:$G,MATCH($A91,'[1]Définition Maintenances'!$K:$K,0)),G91,INDEX('[1]Définition Maintenances'!$G:$G,MATCH($A91,'[1]Définition Maintenances'!$K:$K,0))+G91),G91))</f>
        <v>1000</v>
      </c>
      <c r="I91" s="26">
        <f>IF(ISNUMBER(VLOOKUP($D91,'Visu totale'!$D:$DH,I$1,0)),H91-VLOOKUP($D91,'Visu totale'!$D:$DH,I$1,0),IF(LEFT(VLOOKUP($D91,'Visu totale'!$D:$DH,I$1,0),1)="V",IF(H91&gt;=INDEX('[1]Définition Maintenances'!$G:$G,MATCH($A91,'[1]Définition Maintenances'!$K:$K,0)),H91,INDEX('[1]Définition Maintenances'!$G:$G,MATCH($A91,'[1]Définition Maintenances'!$K:$K,0))+H91),H91))</f>
        <v>1000</v>
      </c>
      <c r="J91" s="26">
        <f>IF(ISNUMBER(VLOOKUP($D91,'Visu totale'!$D:$DH,J$1,0)),I91-VLOOKUP($D91,'Visu totale'!$D:$DH,J$1,0),IF(LEFT(VLOOKUP($D91,'Visu totale'!$D:$DH,J$1,0),1)="V",IF(I91&gt;=INDEX('[1]Définition Maintenances'!$G:$G,MATCH($A91,'[1]Définition Maintenances'!$K:$K,0)),I91,INDEX('[1]Définition Maintenances'!$G:$G,MATCH($A91,'[1]Définition Maintenances'!$K:$K,0))+I91),I91))</f>
        <v>1000</v>
      </c>
      <c r="K91" s="26">
        <f>IF(ISNUMBER(VLOOKUP($D91,'Visu totale'!$D:$DH,K$1,0)),J91-VLOOKUP($D91,'Visu totale'!$D:$DH,K$1,0),IF(LEFT(VLOOKUP($D91,'Visu totale'!$D:$DH,K$1,0),1)="V",IF(J91&gt;=INDEX('[1]Définition Maintenances'!$G:$G,MATCH($A91,'[1]Définition Maintenances'!$K:$K,0)),J91,INDEX('[1]Définition Maintenances'!$G:$G,MATCH($A91,'[1]Définition Maintenances'!$K:$K,0))+J91),J91))</f>
        <v>1000</v>
      </c>
      <c r="L91" s="26">
        <f>IF(ISNUMBER(VLOOKUP($D91,'Visu totale'!$D:$DH,L$1,0)),K91-VLOOKUP($D91,'Visu totale'!$D:$DH,L$1,0),IF(LEFT(VLOOKUP($D91,'Visu totale'!$D:$DH,L$1,0),1)="V",IF(K91&gt;=INDEX('[1]Définition Maintenances'!$G:$G,MATCH($A91,'[1]Définition Maintenances'!$K:$K,0)),K91,INDEX('[1]Définition Maintenances'!$G:$G,MATCH($A91,'[1]Définition Maintenances'!$K:$K,0))+K91),K91))</f>
        <v>1000</v>
      </c>
      <c r="M91" s="26">
        <f>IF(ISNUMBER(VLOOKUP($D91,'Visu totale'!$D:$DH,M$1,0)),L91-VLOOKUP($D91,'Visu totale'!$D:$DH,M$1,0),IF(LEFT(VLOOKUP($D91,'Visu totale'!$D:$DH,M$1,0),1)="V",IF(L91&gt;=INDEX('[1]Définition Maintenances'!$G:$G,MATCH($A91,'[1]Définition Maintenances'!$K:$K,0)),L91,INDEX('[1]Définition Maintenances'!$G:$G,MATCH($A91,'[1]Définition Maintenances'!$K:$K,0))+L91),L91))</f>
        <v>1000</v>
      </c>
      <c r="N91" s="26">
        <f>IF(ISNUMBER(VLOOKUP($D91,'Visu totale'!$D:$DH,N$1,0)),M91-VLOOKUP($D91,'Visu totale'!$D:$DH,N$1,0),IF(LEFT(VLOOKUP($D91,'Visu totale'!$D:$DH,N$1,0),1)="V",IF(M91&gt;=INDEX('[1]Définition Maintenances'!$G:$G,MATCH($A91,'[1]Définition Maintenances'!$K:$K,0)),M91,INDEX('[1]Définition Maintenances'!$G:$G,MATCH($A91,'[1]Définition Maintenances'!$K:$K,0))+M91),M91))</f>
        <v>1000</v>
      </c>
      <c r="O91" s="26">
        <f>IF(ISNUMBER(VLOOKUP($D91,'Visu totale'!$D:$DH,O$1,0)),N91-VLOOKUP($D91,'Visu totale'!$D:$DH,O$1,0),IF(LEFT(VLOOKUP($D91,'Visu totale'!$D:$DH,O$1,0),1)="V",IF(N91&gt;=INDEX('[1]Définition Maintenances'!$G:$G,MATCH($A91,'[1]Définition Maintenances'!$K:$K,0)),N91,INDEX('[1]Définition Maintenances'!$G:$G,MATCH($A91,'[1]Définition Maintenances'!$K:$K,0))+N91),N91))</f>
        <v>1000</v>
      </c>
      <c r="P91" s="26">
        <f>IF(ISNUMBER(VLOOKUP($D91,'Visu totale'!$D:$DH,P$1,0)),O91-VLOOKUP($D91,'Visu totale'!$D:$DH,P$1,0),IF(LEFT(VLOOKUP($D91,'Visu totale'!$D:$DH,P$1,0),1)="V",IF(O91&gt;=INDEX('[1]Définition Maintenances'!$G:$G,MATCH($A91,'[1]Définition Maintenances'!$K:$K,0)),O91,INDEX('[1]Définition Maintenances'!$G:$G,MATCH($A91,'[1]Définition Maintenances'!$K:$K,0))+O91),O91))</f>
        <v>1000</v>
      </c>
      <c r="Q91" s="27">
        <f>IF(ISNUMBER(VLOOKUP($D91,'Visu totale'!$D:$DH,Q$1,0)),P91-VLOOKUP($D91,'Visu totale'!$D:$DH,Q$1,0),IF(LEFT(VLOOKUP($D91,'Visu totale'!$D:$DH,Q$1,0),1)="V",IF(P91&gt;=INDEX('[1]Définition Maintenances'!$G:$G,MATCH($A91,'[1]Définition Maintenances'!$K:$K,0)),P91,INDEX('[1]Définition Maintenances'!$G:$G,MATCH($A91,'[1]Définition Maintenances'!$K:$K,0))+P91),P91))</f>
        <v>1000</v>
      </c>
      <c r="R91" s="25">
        <f>IF(ISNUMBER(VLOOKUP($D91,'Visu totale'!$D:$DH,R$1,0)),Q91-VLOOKUP($D91,'Visu totale'!$D:$DH,R$1,0),IF(LEFT(VLOOKUP($D91,'Visu totale'!$D:$DH,R$1,0),1)="V",IF(Q91&gt;=INDEX('[1]Définition Maintenances'!$G:$G,MATCH($A91,'[1]Définition Maintenances'!$K:$K,0)),Q91,INDEX('[1]Définition Maintenances'!$G:$G,MATCH($A91,'[1]Définition Maintenances'!$K:$K,0))+Q91),Q91))</f>
        <v>1000</v>
      </c>
      <c r="S91" s="26">
        <f>IF(ISNUMBER(VLOOKUP($D91,'Visu totale'!$D:$DH,S$1,0)),R91-VLOOKUP($D91,'Visu totale'!$D:$DH,S$1,0),IF(LEFT(VLOOKUP($D91,'Visu totale'!$D:$DH,S$1,0),1)="V",IF(R91&gt;=INDEX('[1]Définition Maintenances'!$G:$G,MATCH($A91,'[1]Définition Maintenances'!$K:$K,0)),R91,INDEX('[1]Définition Maintenances'!$G:$G,MATCH($A91,'[1]Définition Maintenances'!$K:$K,0))+R91),R91))</f>
        <v>1000</v>
      </c>
      <c r="T91" s="26">
        <f>IF(ISNUMBER(VLOOKUP($D91,'Visu totale'!$D:$DH,T$1,0)),S91-VLOOKUP($D91,'Visu totale'!$D:$DH,T$1,0),IF(LEFT(VLOOKUP($D91,'Visu totale'!$D:$DH,T$1,0),1)="V",IF(S91&gt;=INDEX('[1]Définition Maintenances'!$G:$G,MATCH($A91,'[1]Définition Maintenances'!$K:$K,0)),S91,INDEX('[1]Définition Maintenances'!$G:$G,MATCH($A91,'[1]Définition Maintenances'!$K:$K,0))+S91),S91))</f>
        <v>1000</v>
      </c>
      <c r="U91" s="26">
        <f>IF(ISNUMBER(VLOOKUP($D91,'Visu totale'!$D:$DH,U$1,0)),T91-VLOOKUP($D91,'Visu totale'!$D:$DH,U$1,0),IF(LEFT(VLOOKUP($D91,'Visu totale'!$D:$DH,U$1,0),1)="V",IF(T91&gt;=INDEX('[1]Définition Maintenances'!$G:$G,MATCH($A91,'[1]Définition Maintenances'!$K:$K,0)),T91,INDEX('[1]Définition Maintenances'!$G:$G,MATCH($A91,'[1]Définition Maintenances'!$K:$K,0))+T91),T91))</f>
        <v>1000</v>
      </c>
      <c r="V91" s="26">
        <f>IF(ISNUMBER(VLOOKUP($D91,'Visu totale'!$D:$DH,V$1,0)),U91-VLOOKUP($D91,'Visu totale'!$D:$DH,V$1,0),IF(LEFT(VLOOKUP($D91,'Visu totale'!$D:$DH,V$1,0),1)="V",IF(U91&gt;=INDEX('[1]Définition Maintenances'!$G:$G,MATCH($A91,'[1]Définition Maintenances'!$K:$K,0)),U91,INDEX('[1]Définition Maintenances'!$G:$G,MATCH($A91,'[1]Définition Maintenances'!$K:$K,0))+U91),U91))</f>
        <v>1000</v>
      </c>
      <c r="W91" s="26">
        <f>IF(ISNUMBER(VLOOKUP($D91,'Visu totale'!$D:$DH,W$1,0)),V91-VLOOKUP($D91,'Visu totale'!$D:$DH,W$1,0),IF(LEFT(VLOOKUP($D91,'Visu totale'!$D:$DH,W$1,0),1)="V",IF(V91&gt;=INDEX('[1]Définition Maintenances'!$G:$G,MATCH($A91,'[1]Définition Maintenances'!$K:$K,0)),V91,INDEX('[1]Définition Maintenances'!$G:$G,MATCH($A91,'[1]Définition Maintenances'!$K:$K,0))+V91),V91))</f>
        <v>1000</v>
      </c>
      <c r="X91" s="26">
        <f>IF(ISNUMBER(VLOOKUP($D91,'Visu totale'!$D:$DH,X$1,0)),W91-VLOOKUP($D91,'Visu totale'!$D:$DH,X$1,0),IF(LEFT(VLOOKUP($D91,'Visu totale'!$D:$DH,X$1,0),1)="V",IF(W91&gt;=INDEX('[1]Définition Maintenances'!$G:$G,MATCH($A91,'[1]Définition Maintenances'!$K:$K,0)),W91,INDEX('[1]Définition Maintenances'!$G:$G,MATCH($A91,'[1]Définition Maintenances'!$K:$K,0))+W91),W91))</f>
        <v>1000</v>
      </c>
      <c r="Y91" s="26">
        <f>IF(ISNUMBER(VLOOKUP($D91,'Visu totale'!$D:$DH,Y$1,0)),X91-VLOOKUP($D91,'Visu totale'!$D:$DH,Y$1,0),IF(LEFT(VLOOKUP($D91,'Visu totale'!$D:$DH,Y$1,0),1)="V",IF(X91&gt;=INDEX('[1]Définition Maintenances'!$G:$G,MATCH($A91,'[1]Définition Maintenances'!$K:$K,0)),X91,INDEX('[1]Définition Maintenances'!$G:$G,MATCH($A91,'[1]Définition Maintenances'!$K:$K,0))+X91),X91))</f>
        <v>1000</v>
      </c>
      <c r="Z91" s="26">
        <f>IF(ISNUMBER(VLOOKUP($D91,'Visu totale'!$D:$DH,Z$1,0)),Y91-VLOOKUP($D91,'Visu totale'!$D:$DH,Z$1,0),IF(LEFT(VLOOKUP($D91,'Visu totale'!$D:$DH,Z$1,0),1)="V",IF(Y91&gt;=INDEX('[1]Définition Maintenances'!$G:$G,MATCH($A91,'[1]Définition Maintenances'!$K:$K,0)),Y91,INDEX('[1]Définition Maintenances'!$G:$G,MATCH($A91,'[1]Définition Maintenances'!$K:$K,0))+Y91),Y91))</f>
        <v>1000</v>
      </c>
      <c r="AA91" s="26">
        <f>IF(ISNUMBER(VLOOKUP($D91,'Visu totale'!$D:$DH,AA$1,0)),Z91-VLOOKUP($D91,'Visu totale'!$D:$DH,AA$1,0),IF(LEFT(VLOOKUP($D91,'Visu totale'!$D:$DH,AA$1,0),1)="V",IF(Z91&gt;=INDEX('[1]Définition Maintenances'!$G:$G,MATCH($A91,'[1]Définition Maintenances'!$K:$K,0)),Z91,INDEX('[1]Définition Maintenances'!$G:$G,MATCH($A91,'[1]Définition Maintenances'!$K:$K,0))+Z91),Z91))</f>
        <v>1000</v>
      </c>
      <c r="AB91" s="26">
        <f>IF(ISNUMBER(VLOOKUP($D91,'Visu totale'!$D:$DH,AB$1,0)),AA91-VLOOKUP($D91,'Visu totale'!$D:$DH,AB$1,0),IF(LEFT(VLOOKUP($D91,'Visu totale'!$D:$DH,AB$1,0),1)="V",IF(AA91&gt;=INDEX('[1]Définition Maintenances'!$G:$G,MATCH($A91,'[1]Définition Maintenances'!$K:$K,0)),AA91,INDEX('[1]Définition Maintenances'!$G:$G,MATCH($A91,'[1]Définition Maintenances'!$K:$K,0))+AA91),AA91))</f>
        <v>1000</v>
      </c>
      <c r="AC91" s="27">
        <f>IF(ISNUMBER(VLOOKUP($D91,'Visu totale'!$D:$DH,AC$1,0)),AB91-VLOOKUP($D91,'Visu totale'!$D:$DH,AC$1,0),IF(LEFT(VLOOKUP($D91,'Visu totale'!$D:$DH,AC$1,0),1)="V",IF(AB91&gt;=INDEX('[1]Définition Maintenances'!$G:$G,MATCH($A91,'[1]Définition Maintenances'!$K:$K,0)),AB91,INDEX('[1]Définition Maintenances'!$G:$G,MATCH($A91,'[1]Définition Maintenances'!$K:$K,0))+AB91),AB91))</f>
        <v>1000</v>
      </c>
      <c r="AD91" s="25">
        <f>IF(ISNUMBER(VLOOKUP($D91,'Visu totale'!$D:$DH,AD$1,0)),AC91-VLOOKUP($D91,'Visu totale'!$D:$DH,AD$1,0),IF(LEFT(VLOOKUP($D91,'Visu totale'!$D:$DH,AD$1,0),1)="V",IF(AC91&gt;=INDEX('[1]Définition Maintenances'!$G:$G,MATCH($A91,'[1]Définition Maintenances'!$K:$K,0)),AC91,INDEX('[1]Définition Maintenances'!$G:$G,MATCH($A91,'[1]Définition Maintenances'!$K:$K,0))+AC91),AC91))</f>
        <v>1000</v>
      </c>
      <c r="AE91" s="26">
        <f>IF(ISNUMBER(VLOOKUP($D91,'Visu totale'!$D:$DH,AE$1,0)),AD91-VLOOKUP($D91,'Visu totale'!$D:$DH,AE$1,0),IF(LEFT(VLOOKUP($D91,'Visu totale'!$D:$DH,AE$1,0),1)="V",IF(AD91&gt;=INDEX('[1]Définition Maintenances'!$G:$G,MATCH($A91,'[1]Définition Maintenances'!$K:$K,0)),AD91,INDEX('[1]Définition Maintenances'!$G:$G,MATCH($A91,'[1]Définition Maintenances'!$K:$K,0))+AD91),AD91))</f>
        <v>1000</v>
      </c>
      <c r="AF91" s="26">
        <f>IF(ISNUMBER(VLOOKUP($D91,'Visu totale'!$D:$DH,AF$1,0)),AE91-VLOOKUP($D91,'Visu totale'!$D:$DH,AF$1,0),IF(LEFT(VLOOKUP($D91,'Visu totale'!$D:$DH,AF$1,0),1)="V",IF(AE91&gt;=INDEX('[1]Définition Maintenances'!$G:$G,MATCH($A91,'[1]Définition Maintenances'!$K:$K,0)),AE91,INDEX('[1]Définition Maintenances'!$G:$G,MATCH($A91,'[1]Définition Maintenances'!$K:$K,0))+AE91),AE91))</f>
        <v>1000</v>
      </c>
      <c r="AG91" s="26">
        <f>IF(ISNUMBER(VLOOKUP($D91,'Visu totale'!$D:$DH,AG$1,0)),AF91-VLOOKUP($D91,'Visu totale'!$D:$DH,AG$1,0),IF(LEFT(VLOOKUP($D91,'Visu totale'!$D:$DH,AG$1,0),1)="V",IF(AF91&gt;=INDEX('[1]Définition Maintenances'!$G:$G,MATCH($A91,'[1]Définition Maintenances'!$K:$K,0)),AF91,INDEX('[1]Définition Maintenances'!$G:$G,MATCH($A91,'[1]Définition Maintenances'!$K:$K,0))+AF91),AF91))</f>
        <v>1000</v>
      </c>
      <c r="AH91" s="26">
        <f>IF(ISNUMBER(VLOOKUP($D91,'Visu totale'!$D:$DH,AH$1,0)),AG91-VLOOKUP($D91,'Visu totale'!$D:$DH,AH$1,0),IF(LEFT(VLOOKUP($D91,'Visu totale'!$D:$DH,AH$1,0),1)="V",IF(AG91&gt;=INDEX('[1]Définition Maintenances'!$G:$G,MATCH($A91,'[1]Définition Maintenances'!$K:$K,0)),AG91,INDEX('[1]Définition Maintenances'!$G:$G,MATCH($A91,'[1]Définition Maintenances'!$K:$K,0))+AG91),AG91))</f>
        <v>1000</v>
      </c>
      <c r="AI91" s="26">
        <f>IF(ISNUMBER(VLOOKUP($D91,'Visu totale'!$D:$DH,AI$1,0)),AH91-VLOOKUP($D91,'Visu totale'!$D:$DH,AI$1,0),IF(LEFT(VLOOKUP($D91,'Visu totale'!$D:$DH,AI$1,0),1)="V",IF(AH91&gt;=INDEX('[1]Définition Maintenances'!$G:$G,MATCH($A91,'[1]Définition Maintenances'!$K:$K,0)),AH91,INDEX('[1]Définition Maintenances'!$G:$G,MATCH($A91,'[1]Définition Maintenances'!$K:$K,0))+AH91),AH91))</f>
        <v>1000</v>
      </c>
      <c r="AJ91" s="26">
        <f>IF(ISNUMBER(VLOOKUP($D91,'Visu totale'!$D:$DH,AJ$1,0)),AI91-VLOOKUP($D91,'Visu totale'!$D:$DH,AJ$1,0),IF(LEFT(VLOOKUP($D91,'Visu totale'!$D:$DH,AJ$1,0),1)="V",IF(AI91&gt;=INDEX('[1]Définition Maintenances'!$G:$G,MATCH($A91,'[1]Définition Maintenances'!$K:$K,0)),AI91,INDEX('[1]Définition Maintenances'!$G:$G,MATCH($A91,'[1]Définition Maintenances'!$K:$K,0))+AI91),AI91))</f>
        <v>1000</v>
      </c>
      <c r="AK91" s="26">
        <f>IF(ISNUMBER(VLOOKUP($D91,'Visu totale'!$D:$DH,AK$1,0)),AJ91-VLOOKUP($D91,'Visu totale'!$D:$DH,AK$1,0),IF(LEFT(VLOOKUP($D91,'Visu totale'!$D:$DH,AK$1,0),1)="V",IF(AJ91&gt;=INDEX('[1]Définition Maintenances'!$G:$G,MATCH($A91,'[1]Définition Maintenances'!$K:$K,0)),AJ91,INDEX('[1]Définition Maintenances'!$G:$G,MATCH($A91,'[1]Définition Maintenances'!$K:$K,0))+AJ91),AJ91))</f>
        <v>1000</v>
      </c>
      <c r="AL91" s="26">
        <f>IF(ISNUMBER(VLOOKUP($D91,'Visu totale'!$D:$DH,AL$1,0)),AK91-VLOOKUP($D91,'Visu totale'!$D:$DH,AL$1,0),IF(LEFT(VLOOKUP($D91,'Visu totale'!$D:$DH,AL$1,0),1)="V",IF(AK91&gt;=INDEX('[1]Définition Maintenances'!$G:$G,MATCH($A91,'[1]Définition Maintenances'!$K:$K,0)),AK91,INDEX('[1]Définition Maintenances'!$G:$G,MATCH($A91,'[1]Définition Maintenances'!$K:$K,0))+AK91),AK91))</f>
        <v>1000</v>
      </c>
      <c r="AM91" s="26">
        <f>IF(ISNUMBER(VLOOKUP($D91,'Visu totale'!$D:$DH,AM$1,0)),AL91-VLOOKUP($D91,'Visu totale'!$D:$DH,AM$1,0),IF(LEFT(VLOOKUP($D91,'Visu totale'!$D:$DH,AM$1,0),1)="V",IF(AL91&gt;=INDEX('[1]Définition Maintenances'!$G:$G,MATCH($A91,'[1]Définition Maintenances'!$K:$K,0)),AL91,INDEX('[1]Définition Maintenances'!$G:$G,MATCH($A91,'[1]Définition Maintenances'!$K:$K,0))+AL91),AL91))</f>
        <v>1000</v>
      </c>
      <c r="AN91" s="26">
        <f>IF(ISNUMBER(VLOOKUP($D91,'Visu totale'!$D:$DH,AN$1,0)),AM91-VLOOKUP($D91,'Visu totale'!$D:$DH,AN$1,0),IF(LEFT(VLOOKUP($D91,'Visu totale'!$D:$DH,AN$1,0),1)="V",IF(AM91&gt;=INDEX('[1]Définition Maintenances'!$G:$G,MATCH($A91,'[1]Définition Maintenances'!$K:$K,0)),AM91,INDEX('[1]Définition Maintenances'!$G:$G,MATCH($A91,'[1]Définition Maintenances'!$K:$K,0))+AM91),AM91))</f>
        <v>1000</v>
      </c>
      <c r="AO91" s="27">
        <f>IF(ISNUMBER(VLOOKUP($D91,'Visu totale'!$D:$DH,AO$1,0)),AN91-VLOOKUP($D91,'Visu totale'!$D:$DH,AO$1,0),IF(LEFT(VLOOKUP($D91,'Visu totale'!$D:$DH,AO$1,0),1)="V",IF(AN91&gt;=INDEX('[1]Définition Maintenances'!$G:$G,MATCH($A91,'[1]Définition Maintenances'!$K:$K,0)),AN91,INDEX('[1]Définition Maintenances'!$G:$G,MATCH($A91,'[1]Définition Maintenances'!$K:$K,0))+AN91),AN91))</f>
        <v>1000</v>
      </c>
      <c r="AP91" s="25">
        <f>IF(ISNUMBER(VLOOKUP($D91,'Visu totale'!$D:$DH,AP$1,0)),AO91-VLOOKUP($D91,'Visu totale'!$D:$DH,AP$1,0),IF(LEFT(VLOOKUP($D91,'Visu totale'!$D:$DH,AP$1,0),1)="V",IF(AO91&gt;=INDEX('[1]Définition Maintenances'!$G:$G,MATCH($A91,'[1]Définition Maintenances'!$K:$K,0)),AO91,INDEX('[1]Définition Maintenances'!$G:$G,MATCH($A91,'[1]Définition Maintenances'!$K:$K,0))+AO91),AO91))</f>
        <v>1000</v>
      </c>
      <c r="AQ91" s="26">
        <f>IF(ISNUMBER(VLOOKUP($D91,'Visu totale'!$D:$DH,AQ$1,0)),AP91-VLOOKUP($D91,'Visu totale'!$D:$DH,AQ$1,0),IF(LEFT(VLOOKUP($D91,'Visu totale'!$D:$DH,AQ$1,0),1)="V",IF(AP91&gt;=INDEX('[1]Définition Maintenances'!$G:$G,MATCH($A91,'[1]Définition Maintenances'!$K:$K,0)),AP91,INDEX('[1]Définition Maintenances'!$G:$G,MATCH($A91,'[1]Définition Maintenances'!$K:$K,0))+AP91),AP91))</f>
        <v>1000</v>
      </c>
      <c r="AR91" s="26">
        <f>IF(ISNUMBER(VLOOKUP($D91,'Visu totale'!$D:$DH,AR$1,0)),AQ91-VLOOKUP($D91,'Visu totale'!$D:$DH,AR$1,0),IF(LEFT(VLOOKUP($D91,'Visu totale'!$D:$DH,AR$1,0),1)="V",IF(AQ91&gt;=INDEX('[1]Définition Maintenances'!$G:$G,MATCH($A91,'[1]Définition Maintenances'!$K:$K,0)),AQ91,INDEX('[1]Définition Maintenances'!$G:$G,MATCH($A91,'[1]Définition Maintenances'!$K:$K,0))+AQ91),AQ91))</f>
        <v>1000</v>
      </c>
      <c r="AS91" s="26">
        <f>IF(ISNUMBER(VLOOKUP($D91,'Visu totale'!$D:$DH,AS$1,0)),AR91-VLOOKUP($D91,'Visu totale'!$D:$DH,AS$1,0),IF(LEFT(VLOOKUP($D91,'Visu totale'!$D:$DH,AS$1,0),1)="V",IF(AR91&gt;=INDEX('[1]Définition Maintenances'!$G:$G,MATCH($A91,'[1]Définition Maintenances'!$K:$K,0)),AR91,INDEX('[1]Définition Maintenances'!$G:$G,MATCH($A91,'[1]Définition Maintenances'!$K:$K,0))+AR91),AR91))</f>
        <v>1000</v>
      </c>
      <c r="AT91" s="26">
        <f>IF(ISNUMBER(VLOOKUP($D91,'Visu totale'!$D:$DH,AT$1,0)),AS91-VLOOKUP($D91,'Visu totale'!$D:$DH,AT$1,0),IF(LEFT(VLOOKUP($D91,'Visu totale'!$D:$DH,AT$1,0),1)="V",IF(AS91&gt;=INDEX('[1]Définition Maintenances'!$G:$G,MATCH($A91,'[1]Définition Maintenances'!$K:$K,0)),AS91,INDEX('[1]Définition Maintenances'!$G:$G,MATCH($A91,'[1]Définition Maintenances'!$K:$K,0))+AS91),AS91))</f>
        <v>1000</v>
      </c>
      <c r="AU91" s="26">
        <f>IF(ISNUMBER(VLOOKUP($D91,'Visu totale'!$D:$DH,AU$1,0)),AT91-VLOOKUP($D91,'Visu totale'!$D:$DH,AU$1,0),IF(LEFT(VLOOKUP($D91,'Visu totale'!$D:$DH,AU$1,0),1)="V",IF(AT91&gt;=INDEX('[1]Définition Maintenances'!$G:$G,MATCH($A91,'[1]Définition Maintenances'!$K:$K,0)),AT91,INDEX('[1]Définition Maintenances'!$G:$G,MATCH($A91,'[1]Définition Maintenances'!$K:$K,0))+AT91),AT91))</f>
        <v>1000</v>
      </c>
      <c r="AV91" s="26">
        <f>IF(ISNUMBER(VLOOKUP($D91,'Visu totale'!$D:$DH,AV$1,0)),AU91-VLOOKUP($D91,'Visu totale'!$D:$DH,AV$1,0),IF(LEFT(VLOOKUP($D91,'Visu totale'!$D:$DH,AV$1,0),1)="V",IF(AU91&gt;=INDEX('[1]Définition Maintenances'!$G:$G,MATCH($A91,'[1]Définition Maintenances'!$K:$K,0)),AU91,INDEX('[1]Définition Maintenances'!$G:$G,MATCH($A91,'[1]Définition Maintenances'!$K:$K,0))+AU91),AU91))</f>
        <v>1000</v>
      </c>
      <c r="AW91" s="26">
        <f>IF(ISNUMBER(VLOOKUP($D91,'Visu totale'!$D:$DH,AW$1,0)),AV91-VLOOKUP($D91,'Visu totale'!$D:$DH,AW$1,0),IF(LEFT(VLOOKUP($D91,'Visu totale'!$D:$DH,AW$1,0),1)="V",IF(AV91&gt;=INDEX('[1]Définition Maintenances'!$G:$G,MATCH($A91,'[1]Définition Maintenances'!$K:$K,0)),AV91,INDEX('[1]Définition Maintenances'!$G:$G,MATCH($A91,'[1]Définition Maintenances'!$K:$K,0))+AV91),AV91))</f>
        <v>1000</v>
      </c>
      <c r="AX91" s="26">
        <f>IF(ISNUMBER(VLOOKUP($D91,'Visu totale'!$D:$DH,AX$1,0)),AW91-VLOOKUP($D91,'Visu totale'!$D:$DH,AX$1,0),IF(LEFT(VLOOKUP($D91,'Visu totale'!$D:$DH,AX$1,0),1)="V",IF(AW91&gt;=INDEX('[1]Définition Maintenances'!$G:$G,MATCH($A91,'[1]Définition Maintenances'!$K:$K,0)),AW91,INDEX('[1]Définition Maintenances'!$G:$G,MATCH($A91,'[1]Définition Maintenances'!$K:$K,0))+AW91),AW91))</f>
        <v>1000</v>
      </c>
      <c r="AY91" s="26">
        <f>IF(ISNUMBER(VLOOKUP($D91,'Visu totale'!$D:$DH,AY$1,0)),AX91-VLOOKUP($D91,'Visu totale'!$D:$DH,AY$1,0),IF(LEFT(VLOOKUP($D91,'Visu totale'!$D:$DH,AY$1,0),1)="V",IF(AX91&gt;=INDEX('[1]Définition Maintenances'!$G:$G,MATCH($A91,'[1]Définition Maintenances'!$K:$K,0)),AX91,INDEX('[1]Définition Maintenances'!$G:$G,MATCH($A91,'[1]Définition Maintenances'!$K:$K,0))+AX91),AX91))</f>
        <v>1000</v>
      </c>
      <c r="AZ91" s="26">
        <f>IF(ISNUMBER(VLOOKUP($D91,'Visu totale'!$D:$DH,AZ$1,0)),AY91-VLOOKUP($D91,'Visu totale'!$D:$DH,AZ$1,0),IF(LEFT(VLOOKUP($D91,'Visu totale'!$D:$DH,AZ$1,0),1)="V",IF(AY91&gt;=INDEX('[1]Définition Maintenances'!$G:$G,MATCH($A91,'[1]Définition Maintenances'!$K:$K,0)),AY91,INDEX('[1]Définition Maintenances'!$G:$G,MATCH($A91,'[1]Définition Maintenances'!$K:$K,0))+AY91),AY91))</f>
        <v>1000</v>
      </c>
      <c r="BA91" s="27">
        <f>IF(ISNUMBER(VLOOKUP($D91,'Visu totale'!$D:$DH,BA$1,0)),AZ91-VLOOKUP($D91,'Visu totale'!$D:$DH,BA$1,0),IF(LEFT(VLOOKUP($D91,'Visu totale'!$D:$DH,BA$1,0),1)="V",IF(AZ91&gt;=INDEX('[1]Définition Maintenances'!$G:$G,MATCH($A91,'[1]Définition Maintenances'!$K:$K,0)),AZ91,INDEX('[1]Définition Maintenances'!$G:$G,MATCH($A91,'[1]Définition Maintenances'!$K:$K,0))+AZ91),AZ91))</f>
        <v>1000</v>
      </c>
      <c r="BB91" s="25">
        <f>IF(ISNUMBER(VLOOKUP($D91,'Visu totale'!$D:$DH,BB$1,0)),BA91-VLOOKUP($D91,'Visu totale'!$D:$DH,BB$1,0),IF(LEFT(VLOOKUP($D91,'Visu totale'!$D:$DH,BB$1,0),1)="V",IF(BA91&gt;=INDEX('[1]Définition Maintenances'!$G:$G,MATCH($A91,'[1]Définition Maintenances'!$K:$K,0)),BA91,INDEX('[1]Définition Maintenances'!$G:$G,MATCH($A91,'[1]Définition Maintenances'!$K:$K,0))+BA91),BA91))</f>
        <v>1000</v>
      </c>
      <c r="BC91" s="26">
        <f>IF(ISNUMBER(VLOOKUP($D91,'Visu totale'!$D:$DH,BC$1,0)),BB91-VLOOKUP($D91,'Visu totale'!$D:$DH,BC$1,0),IF(LEFT(VLOOKUP($D91,'Visu totale'!$D:$DH,BC$1,0),1)="V",IF(BB91&gt;=INDEX('[1]Définition Maintenances'!$G:$G,MATCH($A91,'[1]Définition Maintenances'!$K:$K,0)),BB91,INDEX('[1]Définition Maintenances'!$G:$G,MATCH($A91,'[1]Définition Maintenances'!$K:$K,0))+BB91),BB91))</f>
        <v>1000</v>
      </c>
      <c r="BD91" s="26">
        <f>IF(ISNUMBER(VLOOKUP($D91,'Visu totale'!$D:$DH,BD$1,0)),BC91-VLOOKUP($D91,'Visu totale'!$D:$DH,BD$1,0),IF(LEFT(VLOOKUP($D91,'Visu totale'!$D:$DH,BD$1,0),1)="V",IF(BC91&gt;=INDEX('[1]Définition Maintenances'!$G:$G,MATCH($A91,'[1]Définition Maintenances'!$K:$K,0)),BC91,INDEX('[1]Définition Maintenances'!$G:$G,MATCH($A91,'[1]Définition Maintenances'!$K:$K,0))+BC91),BC91))</f>
        <v>1000</v>
      </c>
      <c r="BE91" s="26">
        <f>IF(ISNUMBER(VLOOKUP($D91,'Visu totale'!$D:$DH,BE$1,0)),BD91-VLOOKUP($D91,'Visu totale'!$D:$DH,BE$1,0),IF(LEFT(VLOOKUP($D91,'Visu totale'!$D:$DH,BE$1,0),1)="V",IF(BD91&gt;=INDEX('[1]Définition Maintenances'!$G:$G,MATCH($A91,'[1]Définition Maintenances'!$K:$K,0)),BD91,INDEX('[1]Définition Maintenances'!$G:$G,MATCH($A91,'[1]Définition Maintenances'!$K:$K,0))+BD91),BD91))</f>
        <v>1000</v>
      </c>
      <c r="BF91" s="26">
        <f>IF(ISNUMBER(VLOOKUP($D91,'Visu totale'!$D:$DH,BF$1,0)),BE91-VLOOKUP($D91,'Visu totale'!$D:$DH,BF$1,0),IF(LEFT(VLOOKUP($D91,'Visu totale'!$D:$DH,BF$1,0),1)="V",IF(BE91&gt;=INDEX('[1]Définition Maintenances'!$G:$G,MATCH($A91,'[1]Définition Maintenances'!$K:$K,0)),BE91,INDEX('[1]Définition Maintenances'!$G:$G,MATCH($A91,'[1]Définition Maintenances'!$K:$K,0))+BE91),BE91))</f>
        <v>1000</v>
      </c>
      <c r="BG91" s="26">
        <f>IF(ISNUMBER(VLOOKUP($D91,'Visu totale'!$D:$DH,BG$1,0)),BF91-VLOOKUP($D91,'Visu totale'!$D:$DH,BG$1,0),IF(LEFT(VLOOKUP($D91,'Visu totale'!$D:$DH,BG$1,0),1)="V",IF(BF91&gt;=INDEX('[1]Définition Maintenances'!$G:$G,MATCH($A91,'[1]Définition Maintenances'!$K:$K,0)),BF91,INDEX('[1]Définition Maintenances'!$G:$G,MATCH($A91,'[1]Définition Maintenances'!$K:$K,0))+BF91),BF91))</f>
        <v>1000</v>
      </c>
      <c r="BH91" s="26">
        <f>IF(ISNUMBER(VLOOKUP($D91,'Visu totale'!$D:$DH,BH$1,0)),BG91-VLOOKUP($D91,'Visu totale'!$D:$DH,BH$1,0),IF(LEFT(VLOOKUP($D91,'Visu totale'!$D:$DH,BH$1,0),1)="V",IF(BG91&gt;=INDEX('[1]Définition Maintenances'!$G:$G,MATCH($A91,'[1]Définition Maintenances'!$K:$K,0)),BG91,INDEX('[1]Définition Maintenances'!$G:$G,MATCH($A91,'[1]Définition Maintenances'!$K:$K,0))+BG91),BG91))</f>
        <v>1000</v>
      </c>
      <c r="BI91" s="26">
        <f>IF(ISNUMBER(VLOOKUP($D91,'Visu totale'!$D:$DH,BI$1,0)),BH91-VLOOKUP($D91,'Visu totale'!$D:$DH,BI$1,0),IF(LEFT(VLOOKUP($D91,'Visu totale'!$D:$DH,BI$1,0),1)="V",IF(BH91&gt;=INDEX('[1]Définition Maintenances'!$G:$G,MATCH($A91,'[1]Définition Maintenances'!$K:$K,0)),BH91,INDEX('[1]Définition Maintenances'!$G:$G,MATCH($A91,'[1]Définition Maintenances'!$K:$K,0))+BH91),BH91))</f>
        <v>1000</v>
      </c>
      <c r="BJ91" s="26">
        <f>IF(ISNUMBER(VLOOKUP($D91,'Visu totale'!$D:$DH,BJ$1,0)),BI91-VLOOKUP($D91,'Visu totale'!$D:$DH,BJ$1,0),IF(LEFT(VLOOKUP($D91,'Visu totale'!$D:$DH,BJ$1,0),1)="V",IF(BI91&gt;=INDEX('[1]Définition Maintenances'!$G:$G,MATCH($A91,'[1]Définition Maintenances'!$K:$K,0)),BI91,INDEX('[1]Définition Maintenances'!$G:$G,MATCH($A91,'[1]Définition Maintenances'!$K:$K,0))+BI91),BI91))</f>
        <v>1000</v>
      </c>
      <c r="BK91" s="26">
        <f>IF(ISNUMBER(VLOOKUP($D91,'Visu totale'!$D:$DH,BK$1,0)),BJ91-VLOOKUP($D91,'Visu totale'!$D:$DH,BK$1,0),IF(LEFT(VLOOKUP($D91,'Visu totale'!$D:$DH,BK$1,0),1)="V",IF(BJ91&gt;=INDEX('[1]Définition Maintenances'!$G:$G,MATCH($A91,'[1]Définition Maintenances'!$K:$K,0)),BJ91,INDEX('[1]Définition Maintenances'!$G:$G,MATCH($A91,'[1]Définition Maintenances'!$K:$K,0))+BJ91),BJ91))</f>
        <v>1000</v>
      </c>
      <c r="BL91" s="26">
        <f>IF(ISNUMBER(VLOOKUP($D91,'Visu totale'!$D:$DH,BL$1,0)),BK91-VLOOKUP($D91,'Visu totale'!$D:$DH,BL$1,0),IF(LEFT(VLOOKUP($D91,'Visu totale'!$D:$DH,BL$1,0),1)="V",IF(BK91&gt;=INDEX('[1]Définition Maintenances'!$G:$G,MATCH($A91,'[1]Définition Maintenances'!$K:$K,0)),BK91,INDEX('[1]Définition Maintenances'!$G:$G,MATCH($A91,'[1]Définition Maintenances'!$K:$K,0))+BK91),BK91))</f>
        <v>1000</v>
      </c>
      <c r="BM91" s="27">
        <f>IF(ISNUMBER(VLOOKUP($D91,'Visu totale'!$D:$DH,BM$1,0)),BL91-VLOOKUP($D91,'Visu totale'!$D:$DH,BM$1,0),IF(LEFT(VLOOKUP($D91,'Visu totale'!$D:$DH,BM$1,0),1)="V",IF(BL91&gt;=INDEX('[1]Définition Maintenances'!$G:$G,MATCH($A91,'[1]Définition Maintenances'!$K:$K,0)),BL91,INDEX('[1]Définition Maintenances'!$G:$G,MATCH($A91,'[1]Définition Maintenances'!$K:$K,0))+BL91),BL91))</f>
        <v>1000</v>
      </c>
      <c r="BN91" s="25">
        <f>IF(ISNUMBER(VLOOKUP($D91,'Visu totale'!$D:$DH,BN$1,0)),BM91-VLOOKUP($D91,'Visu totale'!$D:$DH,BN$1,0),IF(LEFT(VLOOKUP($D91,'Visu totale'!$D:$DH,BN$1,0),1)="V",IF(BM91&gt;=INDEX('[1]Définition Maintenances'!$G:$G,MATCH($A91,'[1]Définition Maintenances'!$K:$K,0)),BM91,INDEX('[1]Définition Maintenances'!$G:$G,MATCH($A91,'[1]Définition Maintenances'!$K:$K,0))+BM91),BM91))</f>
        <v>1000</v>
      </c>
      <c r="BO91" s="26">
        <f>IF(ISNUMBER(VLOOKUP($D91,'Visu totale'!$D:$DH,BO$1,0)),BN91-VLOOKUP($D91,'Visu totale'!$D:$DH,BO$1,0),IF(LEFT(VLOOKUP($D91,'Visu totale'!$D:$DH,BO$1,0),1)="V",IF(BN91&gt;=INDEX('[1]Définition Maintenances'!$G:$G,MATCH($A91,'[1]Définition Maintenances'!$K:$K,0)),BN91,INDEX('[1]Définition Maintenances'!$G:$G,MATCH($A91,'[1]Définition Maintenances'!$K:$K,0))+BN91),BN91))</f>
        <v>1000</v>
      </c>
      <c r="BP91" s="26">
        <f>IF(ISNUMBER(VLOOKUP($D91,'Visu totale'!$D:$DH,BP$1,0)),BO91-VLOOKUP($D91,'Visu totale'!$D:$DH,BP$1,0),IF(LEFT(VLOOKUP($D91,'Visu totale'!$D:$DH,BP$1,0),1)="V",IF(BO91&gt;=INDEX('[1]Définition Maintenances'!$G:$G,MATCH($A91,'[1]Définition Maintenances'!$K:$K,0)),BO91,INDEX('[1]Définition Maintenances'!$G:$G,MATCH($A91,'[1]Définition Maintenances'!$K:$K,0))+BO91),BO91))</f>
        <v>1000</v>
      </c>
      <c r="BQ91" s="26">
        <f>IF(ISNUMBER(VLOOKUP($D91,'Visu totale'!$D:$DH,BQ$1,0)),BP91-VLOOKUP($D91,'Visu totale'!$D:$DH,BQ$1,0),IF(LEFT(VLOOKUP($D91,'Visu totale'!$D:$DH,BQ$1,0),1)="V",IF(BP91&gt;=INDEX('[1]Définition Maintenances'!$G:$G,MATCH($A91,'[1]Définition Maintenances'!$K:$K,0)),BP91,INDEX('[1]Définition Maintenances'!$G:$G,MATCH($A91,'[1]Définition Maintenances'!$K:$K,0))+BP91),BP91))</f>
        <v>1000</v>
      </c>
      <c r="BR91" s="26">
        <f>IF(ISNUMBER(VLOOKUP($D91,'Visu totale'!$D:$DH,BR$1,0)),BQ91-VLOOKUP($D91,'Visu totale'!$D:$DH,BR$1,0),IF(LEFT(VLOOKUP($D91,'Visu totale'!$D:$DH,BR$1,0),1)="V",IF(BQ91&gt;=INDEX('[1]Définition Maintenances'!$G:$G,MATCH($A91,'[1]Définition Maintenances'!$K:$K,0)),BQ91,INDEX('[1]Définition Maintenances'!$G:$G,MATCH($A91,'[1]Définition Maintenances'!$K:$K,0))+BQ91),BQ91))</f>
        <v>1000</v>
      </c>
      <c r="BS91" s="26">
        <f>IF(ISNUMBER(VLOOKUP($D91,'Visu totale'!$D:$DH,BS$1,0)),BR91-VLOOKUP($D91,'Visu totale'!$D:$DH,BS$1,0),IF(LEFT(VLOOKUP($D91,'Visu totale'!$D:$DH,BS$1,0),1)="V",IF(BR91&gt;=INDEX('[1]Définition Maintenances'!$G:$G,MATCH($A91,'[1]Définition Maintenances'!$K:$K,0)),BR91,INDEX('[1]Définition Maintenances'!$G:$G,MATCH($A91,'[1]Définition Maintenances'!$K:$K,0))+BR91),BR91))</f>
        <v>1000</v>
      </c>
      <c r="BT91" s="26">
        <f>IF(ISNUMBER(VLOOKUP($D91,'Visu totale'!$D:$DH,BT$1,0)),BS91-VLOOKUP($D91,'Visu totale'!$D:$DH,BT$1,0),IF(LEFT(VLOOKUP($D91,'Visu totale'!$D:$DH,BT$1,0),1)="V",IF(BS91&gt;=INDEX('[1]Définition Maintenances'!$G:$G,MATCH($A91,'[1]Définition Maintenances'!$K:$K,0)),BS91,INDEX('[1]Définition Maintenances'!$G:$G,MATCH($A91,'[1]Définition Maintenances'!$K:$K,0))+BS91),BS91))</f>
        <v>1000</v>
      </c>
      <c r="BU91" s="26">
        <f>IF(ISNUMBER(VLOOKUP($D91,'Visu totale'!$D:$DH,BU$1,0)),BT91-VLOOKUP($D91,'Visu totale'!$D:$DH,BU$1,0),IF(LEFT(VLOOKUP($D91,'Visu totale'!$D:$DH,BU$1,0),1)="V",IF(BT91&gt;=INDEX('[1]Définition Maintenances'!$G:$G,MATCH($A91,'[1]Définition Maintenances'!$K:$K,0)),BT91,INDEX('[1]Définition Maintenances'!$G:$G,MATCH($A91,'[1]Définition Maintenances'!$K:$K,0))+BT91),BT91))</f>
        <v>1000</v>
      </c>
      <c r="BV91" s="26">
        <f>IF(ISNUMBER(VLOOKUP($D91,'Visu totale'!$D:$DH,BV$1,0)),BU91-VLOOKUP($D91,'Visu totale'!$D:$DH,BV$1,0),IF(LEFT(VLOOKUP($D91,'Visu totale'!$D:$DH,BV$1,0),1)="V",IF(BU91&gt;=INDEX('[1]Définition Maintenances'!$G:$G,MATCH($A91,'[1]Définition Maintenances'!$K:$K,0)),BU91,INDEX('[1]Définition Maintenances'!$G:$G,MATCH($A91,'[1]Définition Maintenances'!$K:$K,0))+BU91),BU91))</f>
        <v>1000</v>
      </c>
      <c r="BW91" s="26">
        <f>IF(ISNUMBER(VLOOKUP($D91,'Visu totale'!$D:$DH,BW$1,0)),BV91-VLOOKUP($D91,'Visu totale'!$D:$DH,BW$1,0),IF(LEFT(VLOOKUP($D91,'Visu totale'!$D:$DH,BW$1,0),1)="V",IF(BV91&gt;=INDEX('[1]Définition Maintenances'!$G:$G,MATCH($A91,'[1]Définition Maintenances'!$K:$K,0)),BV91,INDEX('[1]Définition Maintenances'!$G:$G,MATCH($A91,'[1]Définition Maintenances'!$K:$K,0))+BV91),BV91))</f>
        <v>1000</v>
      </c>
      <c r="BX91" s="26">
        <f>IF(ISNUMBER(VLOOKUP($D91,'Visu totale'!$D:$DH,BX$1,0)),BW91-VLOOKUP($D91,'Visu totale'!$D:$DH,BX$1,0),IF(LEFT(VLOOKUP($D91,'Visu totale'!$D:$DH,BX$1,0),1)="V",IF(BW91&gt;=INDEX('[1]Définition Maintenances'!$G:$G,MATCH($A91,'[1]Définition Maintenances'!$K:$K,0)),BW91,INDEX('[1]Définition Maintenances'!$G:$G,MATCH($A91,'[1]Définition Maintenances'!$K:$K,0))+BW91),BW91))</f>
        <v>1000</v>
      </c>
      <c r="BY91" s="27">
        <f>IF(ISNUMBER(VLOOKUP($D91,'Visu totale'!$D:$DH,BY$1,0)),BX91-VLOOKUP($D91,'Visu totale'!$D:$DH,BY$1,0),IF(LEFT(VLOOKUP($D91,'Visu totale'!$D:$DH,BY$1,0),1)="V",IF(BX91&gt;=INDEX('[1]Définition Maintenances'!$G:$G,MATCH($A91,'[1]Définition Maintenances'!$K:$K,0)),BX91,INDEX('[1]Définition Maintenances'!$G:$G,MATCH($A91,'[1]Définition Maintenances'!$K:$K,0))+BX91),BX91))</f>
        <v>1000</v>
      </c>
      <c r="BZ91" s="25">
        <f>IF(ISNUMBER(VLOOKUP($D91,'Visu totale'!$D:$DH,BZ$1,0)),BY91-VLOOKUP($D91,'Visu totale'!$D:$DH,BZ$1,0),IF(LEFT(VLOOKUP($D91,'Visu totale'!$D:$DH,BZ$1,0),1)="V",IF(BY91&gt;=INDEX('[1]Définition Maintenances'!$G:$G,MATCH($A91,'[1]Définition Maintenances'!$K:$K,0)),BY91,INDEX('[1]Définition Maintenances'!$G:$G,MATCH($A91,'[1]Définition Maintenances'!$K:$K,0))+BY91),BY91))</f>
        <v>1000</v>
      </c>
      <c r="CA91" s="26">
        <f>IF(ISNUMBER(VLOOKUP($D91,'Visu totale'!$D:$DH,CA$1,0)),BZ91-VLOOKUP($D91,'Visu totale'!$D:$DH,CA$1,0),IF(LEFT(VLOOKUP($D91,'Visu totale'!$D:$DH,CA$1,0),1)="V",IF(BZ91&gt;=INDEX('[1]Définition Maintenances'!$G:$G,MATCH($A91,'[1]Définition Maintenances'!$K:$K,0)),BZ91,INDEX('[1]Définition Maintenances'!$G:$G,MATCH($A91,'[1]Définition Maintenances'!$K:$K,0))+BZ91),BZ91))</f>
        <v>1000</v>
      </c>
      <c r="CB91" s="26">
        <f>IF(ISNUMBER(VLOOKUP($D91,'Visu totale'!$D:$DH,CB$1,0)),CA91-VLOOKUP($D91,'Visu totale'!$D:$DH,CB$1,0),IF(LEFT(VLOOKUP($D91,'Visu totale'!$D:$DH,CB$1,0),1)="V",IF(CA91&gt;=INDEX('[1]Définition Maintenances'!$G:$G,MATCH($A91,'[1]Définition Maintenances'!$K:$K,0)),CA91,INDEX('[1]Définition Maintenances'!$G:$G,MATCH($A91,'[1]Définition Maintenances'!$K:$K,0))+CA91),CA91))</f>
        <v>1000</v>
      </c>
      <c r="CC91" s="26">
        <f>IF(ISNUMBER(VLOOKUP($D91,'Visu totale'!$D:$DH,CC$1,0)),CB91-VLOOKUP($D91,'Visu totale'!$D:$DH,CC$1,0),IF(LEFT(VLOOKUP($D91,'Visu totale'!$D:$DH,CC$1,0),1)="V",IF(CB91&gt;=INDEX('[1]Définition Maintenances'!$G:$G,MATCH($A91,'[1]Définition Maintenances'!$K:$K,0)),CB91,INDEX('[1]Définition Maintenances'!$G:$G,MATCH($A91,'[1]Définition Maintenances'!$K:$K,0))+CB91),CB91))</f>
        <v>1000</v>
      </c>
      <c r="CD91" s="26">
        <f>IF(ISNUMBER(VLOOKUP($D91,'Visu totale'!$D:$DH,CD$1,0)),CC91-VLOOKUP($D91,'Visu totale'!$D:$DH,CD$1,0),IF(LEFT(VLOOKUP($D91,'Visu totale'!$D:$DH,CD$1,0),1)="V",IF(CC91&gt;=INDEX('[1]Définition Maintenances'!$G:$G,MATCH($A91,'[1]Définition Maintenances'!$K:$K,0)),CC91,INDEX('[1]Définition Maintenances'!$G:$G,MATCH($A91,'[1]Définition Maintenances'!$K:$K,0))+CC91),CC91))</f>
        <v>1000</v>
      </c>
      <c r="CE91" s="26">
        <f>IF(ISNUMBER(VLOOKUP($D91,'Visu totale'!$D:$DH,CE$1,0)),CD91-VLOOKUP($D91,'Visu totale'!$D:$DH,CE$1,0),IF(LEFT(VLOOKUP($D91,'Visu totale'!$D:$DH,CE$1,0),1)="V",IF(CD91&gt;=INDEX('[1]Définition Maintenances'!$G:$G,MATCH($A91,'[1]Définition Maintenances'!$K:$K,0)),CD91,INDEX('[1]Définition Maintenances'!$G:$G,MATCH($A91,'[1]Définition Maintenances'!$K:$K,0))+CD91),CD91))</f>
        <v>1000</v>
      </c>
      <c r="CF91" s="26">
        <f>IF(ISNUMBER(VLOOKUP($D91,'Visu totale'!$D:$DH,CF$1,0)),CE91-VLOOKUP($D91,'Visu totale'!$D:$DH,CF$1,0),IF(LEFT(VLOOKUP($D91,'Visu totale'!$D:$DH,CF$1,0),1)="V",IF(CE91&gt;=INDEX('[1]Définition Maintenances'!$G:$G,MATCH($A91,'[1]Définition Maintenances'!$K:$K,0)),CE91,INDEX('[1]Définition Maintenances'!$G:$G,MATCH($A91,'[1]Définition Maintenances'!$K:$K,0))+CE91),CE91))</f>
        <v>1000</v>
      </c>
      <c r="CG91" s="26">
        <f>IF(ISNUMBER(VLOOKUP($D91,'Visu totale'!$D:$DH,CG$1,0)),CF91-VLOOKUP($D91,'Visu totale'!$D:$DH,CG$1,0),IF(LEFT(VLOOKUP($D91,'Visu totale'!$D:$DH,CG$1,0),1)="V",IF(CF91&gt;=INDEX('[1]Définition Maintenances'!$G:$G,MATCH($A91,'[1]Définition Maintenances'!$K:$K,0)),CF91,INDEX('[1]Définition Maintenances'!$G:$G,MATCH($A91,'[1]Définition Maintenances'!$K:$K,0))+CF91),CF91))</f>
        <v>1000</v>
      </c>
      <c r="CH91" s="26">
        <f>IF(ISNUMBER(VLOOKUP($D91,'Visu totale'!$D:$DH,CH$1,0)),CG91-VLOOKUP($D91,'Visu totale'!$D:$DH,CH$1,0),IF(LEFT(VLOOKUP($D91,'Visu totale'!$D:$DH,CH$1,0),1)="V",IF(CG91&gt;=INDEX('[1]Définition Maintenances'!$G:$G,MATCH($A91,'[1]Définition Maintenances'!$K:$K,0)),CG91,INDEX('[1]Définition Maintenances'!$G:$G,MATCH($A91,'[1]Définition Maintenances'!$K:$K,0))+CG91),CG91))</f>
        <v>1000</v>
      </c>
      <c r="CI91" s="26">
        <f>IF(ISNUMBER(VLOOKUP($D91,'Visu totale'!$D:$DH,CI$1,0)),CH91-VLOOKUP($D91,'Visu totale'!$D:$DH,CI$1,0),IF(LEFT(VLOOKUP($D91,'Visu totale'!$D:$DH,CI$1,0),1)="V",IF(CH91&gt;=INDEX('[1]Définition Maintenances'!$G:$G,MATCH($A91,'[1]Définition Maintenances'!$K:$K,0)),CH91,INDEX('[1]Définition Maintenances'!$G:$G,MATCH($A91,'[1]Définition Maintenances'!$K:$K,0))+CH91),CH91))</f>
        <v>1000</v>
      </c>
      <c r="CJ91" s="26">
        <f>IF(ISNUMBER(VLOOKUP($D91,'Visu totale'!$D:$DH,CJ$1,0)),CI91-VLOOKUP($D91,'Visu totale'!$D:$DH,CJ$1,0),IF(LEFT(VLOOKUP($D91,'Visu totale'!$D:$DH,CJ$1,0),1)="V",IF(CI91&gt;=INDEX('[1]Définition Maintenances'!$G:$G,MATCH($A91,'[1]Définition Maintenances'!$K:$K,0)),CI91,INDEX('[1]Définition Maintenances'!$G:$G,MATCH($A91,'[1]Définition Maintenances'!$K:$K,0))+CI91),CI91))</f>
        <v>1000</v>
      </c>
      <c r="CK91" s="27">
        <f>IF(ISNUMBER(VLOOKUP($D91,'Visu totale'!$D:$DH,CK$1,0)),CJ91-VLOOKUP($D91,'Visu totale'!$D:$DH,CK$1,0),IF(LEFT(VLOOKUP($D91,'Visu totale'!$D:$DH,CK$1,0),1)="V",IF(CJ91&gt;=INDEX('[1]Définition Maintenances'!$G:$G,MATCH($A91,'[1]Définition Maintenances'!$K:$K,0)),CJ91,INDEX('[1]Définition Maintenances'!$G:$G,MATCH($A91,'[1]Définition Maintenances'!$K:$K,0))+CJ91),CJ91))</f>
        <v>1000</v>
      </c>
      <c r="CL91" s="25">
        <f>IF(ISNUMBER(VLOOKUP($D91,'Visu totale'!$D:$DH,CL$1,0)),CK91-VLOOKUP($D91,'Visu totale'!$D:$DH,CL$1,0),IF(LEFT(VLOOKUP($D91,'Visu totale'!$D:$DH,CL$1,0),1)="V",IF(CK91&gt;=INDEX('[1]Définition Maintenances'!$G:$G,MATCH($A91,'[1]Définition Maintenances'!$K:$K,0)),CK91,INDEX('[1]Définition Maintenances'!$G:$G,MATCH($A91,'[1]Définition Maintenances'!$K:$K,0))+CK91),CK91))</f>
        <v>1000</v>
      </c>
      <c r="CM91" s="26">
        <f>IF(ISNUMBER(VLOOKUP($D91,'Visu totale'!$D:$DH,CM$1,0)),CL91-VLOOKUP($D91,'Visu totale'!$D:$DH,CM$1,0),IF(LEFT(VLOOKUP($D91,'Visu totale'!$D:$DH,CM$1,0),1)="V",IF(CL91&gt;=INDEX('[1]Définition Maintenances'!$G:$G,MATCH($A91,'[1]Définition Maintenances'!$K:$K,0)),CL91,INDEX('[1]Définition Maintenances'!$G:$G,MATCH($A91,'[1]Définition Maintenances'!$K:$K,0))+CL91),CL91))</f>
        <v>1000</v>
      </c>
      <c r="CN91" s="26">
        <f>IF(ISNUMBER(VLOOKUP($D91,'Visu totale'!$D:$DH,CN$1,0)),CM91-VLOOKUP($D91,'Visu totale'!$D:$DH,CN$1,0),IF(LEFT(VLOOKUP($D91,'Visu totale'!$D:$DH,CN$1,0),1)="V",IF(CM91&gt;=INDEX('[1]Définition Maintenances'!$G:$G,MATCH($A91,'[1]Définition Maintenances'!$K:$K,0)),CM91,INDEX('[1]Définition Maintenances'!$G:$G,MATCH($A91,'[1]Définition Maintenances'!$K:$K,0))+CM91),CM91))</f>
        <v>1000</v>
      </c>
      <c r="CO91" s="26">
        <f>IF(ISNUMBER(VLOOKUP($D91,'Visu totale'!$D:$DH,CO$1,0)),CN91-VLOOKUP($D91,'Visu totale'!$D:$DH,CO$1,0),IF(LEFT(VLOOKUP($D91,'Visu totale'!$D:$DH,CO$1,0),1)="V",IF(CN91&gt;=INDEX('[1]Définition Maintenances'!$G:$G,MATCH($A91,'[1]Définition Maintenances'!$K:$K,0)),CN91,INDEX('[1]Définition Maintenances'!$G:$G,MATCH($A91,'[1]Définition Maintenances'!$K:$K,0))+CN91),CN91))</f>
        <v>1000</v>
      </c>
      <c r="CP91" s="26">
        <f>IF(ISNUMBER(VLOOKUP($D91,'Visu totale'!$D:$DH,CP$1,0)),CO91-VLOOKUP($D91,'Visu totale'!$D:$DH,CP$1,0),IF(LEFT(VLOOKUP($D91,'Visu totale'!$D:$DH,CP$1,0),1)="V",IF(CO91&gt;=INDEX('[1]Définition Maintenances'!$G:$G,MATCH($A91,'[1]Définition Maintenances'!$K:$K,0)),CO91,INDEX('[1]Définition Maintenances'!$G:$G,MATCH($A91,'[1]Définition Maintenances'!$K:$K,0))+CO91),CO91))</f>
        <v>1000</v>
      </c>
      <c r="CQ91" s="26">
        <f>IF(ISNUMBER(VLOOKUP($D91,'Visu totale'!$D:$DH,CQ$1,0)),CP91-VLOOKUP($D91,'Visu totale'!$D:$DH,CQ$1,0),IF(LEFT(VLOOKUP($D91,'Visu totale'!$D:$DH,CQ$1,0),1)="V",IF(CP91&gt;=INDEX('[1]Définition Maintenances'!$G:$G,MATCH($A91,'[1]Définition Maintenances'!$K:$K,0)),CP91,INDEX('[1]Définition Maintenances'!$G:$G,MATCH($A91,'[1]Définition Maintenances'!$K:$K,0))+CP91),CP91))</f>
        <v>1000</v>
      </c>
      <c r="CR91" s="26">
        <f>IF(ISNUMBER(VLOOKUP($D91,'Visu totale'!$D:$DH,CR$1,0)),CQ91-VLOOKUP($D91,'Visu totale'!$D:$DH,CR$1,0),IF(LEFT(VLOOKUP($D91,'Visu totale'!$D:$DH,CR$1,0),1)="V",IF(CQ91&gt;=INDEX('[1]Définition Maintenances'!$G:$G,MATCH($A91,'[1]Définition Maintenances'!$K:$K,0)),CQ91,INDEX('[1]Définition Maintenances'!$G:$G,MATCH($A91,'[1]Définition Maintenances'!$K:$K,0))+CQ91),CQ91))</f>
        <v>1000</v>
      </c>
      <c r="CS91" s="26">
        <f>IF(ISNUMBER(VLOOKUP($D91,'Visu totale'!$D:$DH,CS$1,0)),CR91-VLOOKUP($D91,'Visu totale'!$D:$DH,CS$1,0),IF(LEFT(VLOOKUP($D91,'Visu totale'!$D:$DH,CS$1,0),1)="V",IF(CR91&gt;=INDEX('[1]Définition Maintenances'!$G:$G,MATCH($A91,'[1]Définition Maintenances'!$K:$K,0)),CR91,INDEX('[1]Définition Maintenances'!$G:$G,MATCH($A91,'[1]Définition Maintenances'!$K:$K,0))+CR91),CR91))</f>
        <v>1000</v>
      </c>
      <c r="CT91" s="26">
        <f>IF(ISNUMBER(VLOOKUP($D91,'Visu totale'!$D:$DH,CT$1,0)),CS91-VLOOKUP($D91,'Visu totale'!$D:$DH,CT$1,0),IF(LEFT(VLOOKUP($D91,'Visu totale'!$D:$DH,CT$1,0),1)="V",IF(CS91&gt;=INDEX('[1]Définition Maintenances'!$G:$G,MATCH($A91,'[1]Définition Maintenances'!$K:$K,0)),CS91,INDEX('[1]Définition Maintenances'!$G:$G,MATCH($A91,'[1]Définition Maintenances'!$K:$K,0))+CS91),CS91))</f>
        <v>1000</v>
      </c>
      <c r="CU91" s="26">
        <f>IF(ISNUMBER(VLOOKUP($D91,'Visu totale'!$D:$DH,CU$1,0)),CT91-VLOOKUP($D91,'Visu totale'!$D:$DH,CU$1,0),IF(LEFT(VLOOKUP($D91,'Visu totale'!$D:$DH,CU$1,0),1)="V",IF(CT91&gt;=INDEX('[1]Définition Maintenances'!$G:$G,MATCH($A91,'[1]Définition Maintenances'!$K:$K,0)),CT91,INDEX('[1]Définition Maintenances'!$G:$G,MATCH($A91,'[1]Définition Maintenances'!$K:$K,0))+CT91),CT91))</f>
        <v>1000</v>
      </c>
      <c r="CV91" s="26">
        <f>IF(ISNUMBER(VLOOKUP($D91,'Visu totale'!$D:$DH,CV$1,0)),CU91-VLOOKUP($D91,'Visu totale'!$D:$DH,CV$1,0),IF(LEFT(VLOOKUP($D91,'Visu totale'!$D:$DH,CV$1,0),1)="V",IF(CU91&gt;=INDEX('[1]Définition Maintenances'!$G:$G,MATCH($A91,'[1]Définition Maintenances'!$K:$K,0)),CU91,INDEX('[1]Définition Maintenances'!$G:$G,MATCH($A91,'[1]Définition Maintenances'!$K:$K,0))+CU91),CU91))</f>
        <v>1000</v>
      </c>
      <c r="CW91" s="27">
        <f>IF(ISNUMBER(VLOOKUP($D91,'Visu totale'!$D:$DH,CW$1,0)),CV91-VLOOKUP($D91,'Visu totale'!$D:$DH,CW$1,0),IF(LEFT(VLOOKUP($D91,'Visu totale'!$D:$DH,CW$1,0),1)="V",IF(CV91&gt;=INDEX('[1]Définition Maintenances'!$G:$G,MATCH($A91,'[1]Définition Maintenances'!$K:$K,0)),CV91,INDEX('[1]Définition Maintenances'!$G:$G,MATCH($A91,'[1]Définition Maintenances'!$K:$K,0))+CV91),CV91))</f>
        <v>1000</v>
      </c>
      <c r="CX91" s="25">
        <f>IF(ISNUMBER(VLOOKUP($D91,'Visu totale'!$D:$DH,CX$1,0)),CW91-VLOOKUP($D91,'Visu totale'!$D:$DH,CX$1,0),IF(LEFT(VLOOKUP($D91,'Visu totale'!$D:$DH,CX$1,0),1)="V",IF(CW91&gt;=INDEX('[1]Définition Maintenances'!$G:$G,MATCH($A91,'[1]Définition Maintenances'!$K:$K,0)),CW91,INDEX('[1]Définition Maintenances'!$G:$G,MATCH($A91,'[1]Définition Maintenances'!$K:$K,0))+CW91),CW91))</f>
        <v>1000</v>
      </c>
      <c r="CY91" s="26">
        <f>IF(ISNUMBER(VLOOKUP($D91,'Visu totale'!$D:$DH,CY$1,0)),CX91-VLOOKUP($D91,'Visu totale'!$D:$DH,CY$1,0),IF(LEFT(VLOOKUP($D91,'Visu totale'!$D:$DH,CY$1,0),1)="V",IF(CX91&gt;=INDEX('[1]Définition Maintenances'!$G:$G,MATCH($A91,'[1]Définition Maintenances'!$K:$K,0)),CX91,INDEX('[1]Définition Maintenances'!$G:$G,MATCH($A91,'[1]Définition Maintenances'!$K:$K,0))+CX91),CX91))</f>
        <v>1000</v>
      </c>
      <c r="CZ91" s="26">
        <f>IF(ISNUMBER(VLOOKUP($D91,'Visu totale'!$D:$DH,CZ$1,0)),CY91-VLOOKUP($D91,'Visu totale'!$D:$DH,CZ$1,0),IF(LEFT(VLOOKUP($D91,'Visu totale'!$D:$DH,CZ$1,0),1)="V",IF(CY91&gt;=INDEX('[1]Définition Maintenances'!$G:$G,MATCH($A91,'[1]Définition Maintenances'!$K:$K,0)),CY91,INDEX('[1]Définition Maintenances'!$G:$G,MATCH($A91,'[1]Définition Maintenances'!$K:$K,0))+CY91),CY91))</f>
        <v>1000</v>
      </c>
      <c r="DA91" s="26">
        <f>IF(ISNUMBER(VLOOKUP($D91,'Visu totale'!$D:$DH,DA$1,0)),CZ91-VLOOKUP($D91,'Visu totale'!$D:$DH,DA$1,0),IF(LEFT(VLOOKUP($D91,'Visu totale'!$D:$DH,DA$1,0),1)="V",IF(CZ91&gt;=INDEX('[1]Définition Maintenances'!$G:$G,MATCH($A91,'[1]Définition Maintenances'!$K:$K,0)),CZ91,INDEX('[1]Définition Maintenances'!$G:$G,MATCH($A91,'[1]Définition Maintenances'!$K:$K,0))+CZ91),CZ91))</f>
        <v>1000</v>
      </c>
      <c r="DB91" s="26">
        <f>IF(ISNUMBER(VLOOKUP($D91,'Visu totale'!$D:$DH,DB$1,0)),DA91-VLOOKUP($D91,'Visu totale'!$D:$DH,DB$1,0),IF(LEFT(VLOOKUP($D91,'Visu totale'!$D:$DH,DB$1,0),1)="V",IF(DA91&gt;=INDEX('[1]Définition Maintenances'!$G:$G,MATCH($A91,'[1]Définition Maintenances'!$K:$K,0)),DA91,INDEX('[1]Définition Maintenances'!$G:$G,MATCH($A91,'[1]Définition Maintenances'!$K:$K,0))+DA91),DA91))</f>
        <v>1000</v>
      </c>
      <c r="DC91" s="26">
        <f>IF(ISNUMBER(VLOOKUP($D91,'Visu totale'!$D:$DH,DC$1,0)),DB91-VLOOKUP($D91,'Visu totale'!$D:$DH,DC$1,0),IF(LEFT(VLOOKUP($D91,'Visu totale'!$D:$DH,DC$1,0),1)="V",IF(DB91&gt;=INDEX('[1]Définition Maintenances'!$G:$G,MATCH($A91,'[1]Définition Maintenances'!$K:$K,0)),DB91,INDEX('[1]Définition Maintenances'!$G:$G,MATCH($A91,'[1]Définition Maintenances'!$K:$K,0))+DB91),DB91))</f>
        <v>1000</v>
      </c>
      <c r="DD91" s="26">
        <f>IF(ISNUMBER(VLOOKUP($D91,'Visu totale'!$D:$DH,DD$1,0)),DC91-VLOOKUP($D91,'Visu totale'!$D:$DH,DD$1,0),IF(LEFT(VLOOKUP($D91,'Visu totale'!$D:$DH,DD$1,0),1)="V",IF(DC91&gt;=INDEX('[1]Définition Maintenances'!$G:$G,MATCH($A91,'[1]Définition Maintenances'!$K:$K,0)),DC91,INDEX('[1]Définition Maintenances'!$G:$G,MATCH($A91,'[1]Définition Maintenances'!$K:$K,0))+DC91),DC91))</f>
        <v>1000</v>
      </c>
      <c r="DE91" s="26">
        <f>IF(ISNUMBER(VLOOKUP($D91,'Visu totale'!$D:$DH,DE$1,0)),DD91-VLOOKUP($D91,'Visu totale'!$D:$DH,DE$1,0),IF(LEFT(VLOOKUP($D91,'Visu totale'!$D:$DH,DE$1,0),1)="V",IF(DD91&gt;=INDEX('[1]Définition Maintenances'!$G:$G,MATCH($A91,'[1]Définition Maintenances'!$K:$K,0)),DD91,INDEX('[1]Définition Maintenances'!$G:$G,MATCH($A91,'[1]Définition Maintenances'!$K:$K,0))+DD91),DD91))</f>
        <v>1000</v>
      </c>
      <c r="DF91" s="26">
        <f>IF(ISNUMBER(VLOOKUP($D91,'Visu totale'!$D:$DH,DF$1,0)),DE91-VLOOKUP($D91,'Visu totale'!$D:$DH,DF$1,0),IF(LEFT(VLOOKUP($D91,'Visu totale'!$D:$DH,DF$1,0),1)="V",IF(DE91&gt;=INDEX('[1]Définition Maintenances'!$G:$G,MATCH($A91,'[1]Définition Maintenances'!$K:$K,0)),DE91,INDEX('[1]Définition Maintenances'!$G:$G,MATCH($A91,'[1]Définition Maintenances'!$K:$K,0))+DE91),DE91))</f>
        <v>1000</v>
      </c>
      <c r="DG91" s="26">
        <f>IF(ISNUMBER(VLOOKUP($D91,'Visu totale'!$D:$DH,DG$1,0)),DF91-VLOOKUP($D91,'Visu totale'!$D:$DH,DG$1,0),IF(LEFT(VLOOKUP($D91,'Visu totale'!$D:$DH,DG$1,0),1)="V",IF(DF91&gt;=INDEX('[1]Définition Maintenances'!$G:$G,MATCH($A91,'[1]Définition Maintenances'!$K:$K,0)),DF91,INDEX('[1]Définition Maintenances'!$G:$G,MATCH($A91,'[1]Définition Maintenances'!$K:$K,0))+DF91),DF91))</f>
        <v>1000</v>
      </c>
      <c r="DH91" s="26">
        <f>IF(ISNUMBER(VLOOKUP($D91,'Visu totale'!$D:$DH,DH$1,0)),DG91-VLOOKUP($D91,'Visu totale'!$D:$DH,DH$1,0),IF(LEFT(VLOOKUP($D91,'Visu totale'!$D:$DH,DH$1,0),1)="V",IF(DG91&gt;=INDEX('[1]Définition Maintenances'!$G:$G,MATCH($A91,'[1]Définition Maintenances'!$K:$K,0)),DG91,INDEX('[1]Définition Maintenances'!$G:$G,MATCH($A91,'[1]Définition Maintenances'!$K:$K,0))+DG91),DG91))</f>
        <v>1000</v>
      </c>
      <c r="DI91" s="27">
        <f>IF(ISNUMBER(VLOOKUP($D91,'Visu totale'!$D:$DH,DI$1,0)),DH91-VLOOKUP($D91,'Visu totale'!$D:$DH,DI$1,0),IF(LEFT(VLOOKUP($D91,'Visu totale'!$D:$DH,DI$1,0),1)="V",IF(DH91&gt;=INDEX('[1]Définition Maintenances'!$G:$G,MATCH($A91,'[1]Définition Maintenances'!$K:$K,0)),DH91,INDEX('[1]Définition Maintenances'!$G:$G,MATCH($A91,'[1]Définition Maintenances'!$K:$K,0))+DH91),DH91))</f>
        <v>1000</v>
      </c>
    </row>
    <row r="92" spans="1:113" x14ac:dyDescent="0.25">
      <c r="A92" s="13" t="str">
        <f t="shared" si="2"/>
        <v>V15C</v>
      </c>
      <c r="B92" s="13" t="str">
        <f>VLOOKUP(D92,'[1]Avions (Potentiels)'!$B$2:$H$128,7,FALSE)</f>
        <v>V15</v>
      </c>
      <c r="C92" s="13"/>
      <c r="D92" s="16" t="s">
        <v>95</v>
      </c>
      <c r="E92" s="13">
        <f>IFERROR(VALUE(SUBSTITUTE(VLOOKUP(D92,'[1]Avions (Potentiels)'!$B:$E,4,0),".",",")),VALUE(VLOOKUP(D92,'[1]Avions (Potentiels)'!$B:$E,4,0)))</f>
        <v>1000</v>
      </c>
      <c r="F92" s="25">
        <f>IF(ISNUMBER(VLOOKUP($D92,'Visu totale'!$D:$DH,F$1,0)),E92-VLOOKUP($D92,'Visu totale'!$D:$DH,F$1,0),IF(LEFT(VLOOKUP($D92,'Visu totale'!$D:$DH,F$1,0),1)="V",IF(E92&gt;=INDEX('[1]Définition Maintenances'!$G:$G,MATCH($A92,'[1]Définition Maintenances'!$K:$K,0)),E92,INDEX('[1]Définition Maintenances'!$G:$G,MATCH($A92,'[1]Définition Maintenances'!$K:$K,0))+E92),E92))</f>
        <v>1000</v>
      </c>
      <c r="G92" s="26">
        <f>IF(ISNUMBER(VLOOKUP($D92,'Visu totale'!$D:$DH,G$1,0)),F92-VLOOKUP($D92,'Visu totale'!$D:$DH,G$1,0),IF(LEFT(VLOOKUP($D92,'Visu totale'!$D:$DH,G$1,0),1)="V",IF(F92&gt;=INDEX('[1]Définition Maintenances'!$G:$G,MATCH($A92,'[1]Définition Maintenances'!$K:$K,0)),F92,INDEX('[1]Définition Maintenances'!$G:$G,MATCH($A92,'[1]Définition Maintenances'!$K:$K,0))+F92),F92))</f>
        <v>1000</v>
      </c>
      <c r="H92" s="26">
        <f>IF(ISNUMBER(VLOOKUP($D92,'Visu totale'!$D:$DH,H$1,0)),G92-VLOOKUP($D92,'Visu totale'!$D:$DH,H$1,0),IF(LEFT(VLOOKUP($D92,'Visu totale'!$D:$DH,H$1,0),1)="V",IF(G92&gt;=INDEX('[1]Définition Maintenances'!$G:$G,MATCH($A92,'[1]Définition Maintenances'!$K:$K,0)),G92,INDEX('[1]Définition Maintenances'!$G:$G,MATCH($A92,'[1]Définition Maintenances'!$K:$K,0))+G92),G92))</f>
        <v>1000</v>
      </c>
      <c r="I92" s="26">
        <f>IF(ISNUMBER(VLOOKUP($D92,'Visu totale'!$D:$DH,I$1,0)),H92-VLOOKUP($D92,'Visu totale'!$D:$DH,I$1,0),IF(LEFT(VLOOKUP($D92,'Visu totale'!$D:$DH,I$1,0),1)="V",IF(H92&gt;=INDEX('[1]Définition Maintenances'!$G:$G,MATCH($A92,'[1]Définition Maintenances'!$K:$K,0)),H92,INDEX('[1]Définition Maintenances'!$G:$G,MATCH($A92,'[1]Définition Maintenances'!$K:$K,0))+H92),H92))</f>
        <v>1000</v>
      </c>
      <c r="J92" s="26">
        <f>IF(ISNUMBER(VLOOKUP($D92,'Visu totale'!$D:$DH,J$1,0)),I92-VLOOKUP($D92,'Visu totale'!$D:$DH,J$1,0),IF(LEFT(VLOOKUP($D92,'Visu totale'!$D:$DH,J$1,0),1)="V",IF(I92&gt;=INDEX('[1]Définition Maintenances'!$G:$G,MATCH($A92,'[1]Définition Maintenances'!$K:$K,0)),I92,INDEX('[1]Définition Maintenances'!$G:$G,MATCH($A92,'[1]Définition Maintenances'!$K:$K,0))+I92),I92))</f>
        <v>1000</v>
      </c>
      <c r="K92" s="26">
        <f>IF(ISNUMBER(VLOOKUP($D92,'Visu totale'!$D:$DH,K$1,0)),J92-VLOOKUP($D92,'Visu totale'!$D:$DH,K$1,0),IF(LEFT(VLOOKUP($D92,'Visu totale'!$D:$DH,K$1,0),1)="V",IF(J92&gt;=INDEX('[1]Définition Maintenances'!$G:$G,MATCH($A92,'[1]Définition Maintenances'!$K:$K,0)),J92,INDEX('[1]Définition Maintenances'!$G:$G,MATCH($A92,'[1]Définition Maintenances'!$K:$K,0))+J92),J92))</f>
        <v>1000</v>
      </c>
      <c r="L92" s="26">
        <f>IF(ISNUMBER(VLOOKUP($D92,'Visu totale'!$D:$DH,L$1,0)),K92-VLOOKUP($D92,'Visu totale'!$D:$DH,L$1,0),IF(LEFT(VLOOKUP($D92,'Visu totale'!$D:$DH,L$1,0),1)="V",IF(K92&gt;=INDEX('[1]Définition Maintenances'!$G:$G,MATCH($A92,'[1]Définition Maintenances'!$K:$K,0)),K92,INDEX('[1]Définition Maintenances'!$G:$G,MATCH($A92,'[1]Définition Maintenances'!$K:$K,0))+K92),K92))</f>
        <v>1000</v>
      </c>
      <c r="M92" s="26">
        <f>IF(ISNUMBER(VLOOKUP($D92,'Visu totale'!$D:$DH,M$1,0)),L92-VLOOKUP($D92,'Visu totale'!$D:$DH,M$1,0),IF(LEFT(VLOOKUP($D92,'Visu totale'!$D:$DH,M$1,0),1)="V",IF(L92&gt;=INDEX('[1]Définition Maintenances'!$G:$G,MATCH($A92,'[1]Définition Maintenances'!$K:$K,0)),L92,INDEX('[1]Définition Maintenances'!$G:$G,MATCH($A92,'[1]Définition Maintenances'!$K:$K,0))+L92),L92))</f>
        <v>1000</v>
      </c>
      <c r="N92" s="26">
        <f>IF(ISNUMBER(VLOOKUP($D92,'Visu totale'!$D:$DH,N$1,0)),M92-VLOOKUP($D92,'Visu totale'!$D:$DH,N$1,0),IF(LEFT(VLOOKUP($D92,'Visu totale'!$D:$DH,N$1,0),1)="V",IF(M92&gt;=INDEX('[1]Définition Maintenances'!$G:$G,MATCH($A92,'[1]Définition Maintenances'!$K:$K,0)),M92,INDEX('[1]Définition Maintenances'!$G:$G,MATCH($A92,'[1]Définition Maintenances'!$K:$K,0))+M92),M92))</f>
        <v>1000</v>
      </c>
      <c r="O92" s="26">
        <f>IF(ISNUMBER(VLOOKUP($D92,'Visu totale'!$D:$DH,O$1,0)),N92-VLOOKUP($D92,'Visu totale'!$D:$DH,O$1,0),IF(LEFT(VLOOKUP($D92,'Visu totale'!$D:$DH,O$1,0),1)="V",IF(N92&gt;=INDEX('[1]Définition Maintenances'!$G:$G,MATCH($A92,'[1]Définition Maintenances'!$K:$K,0)),N92,INDEX('[1]Définition Maintenances'!$G:$G,MATCH($A92,'[1]Définition Maintenances'!$K:$K,0))+N92),N92))</f>
        <v>1000</v>
      </c>
      <c r="P92" s="26">
        <f>IF(ISNUMBER(VLOOKUP($D92,'Visu totale'!$D:$DH,P$1,0)),O92-VLOOKUP($D92,'Visu totale'!$D:$DH,P$1,0),IF(LEFT(VLOOKUP($D92,'Visu totale'!$D:$DH,P$1,0),1)="V",IF(O92&gt;=INDEX('[1]Définition Maintenances'!$G:$G,MATCH($A92,'[1]Définition Maintenances'!$K:$K,0)),O92,INDEX('[1]Définition Maintenances'!$G:$G,MATCH($A92,'[1]Définition Maintenances'!$K:$K,0))+O92),O92))</f>
        <v>1000</v>
      </c>
      <c r="Q92" s="27">
        <f>IF(ISNUMBER(VLOOKUP($D92,'Visu totale'!$D:$DH,Q$1,0)),P92-VLOOKUP($D92,'Visu totale'!$D:$DH,Q$1,0),IF(LEFT(VLOOKUP($D92,'Visu totale'!$D:$DH,Q$1,0),1)="V",IF(P92&gt;=INDEX('[1]Définition Maintenances'!$G:$G,MATCH($A92,'[1]Définition Maintenances'!$K:$K,0)),P92,INDEX('[1]Définition Maintenances'!$G:$G,MATCH($A92,'[1]Définition Maintenances'!$K:$K,0))+P92),P92))</f>
        <v>1000</v>
      </c>
      <c r="R92" s="25">
        <f>IF(ISNUMBER(VLOOKUP($D92,'Visu totale'!$D:$DH,R$1,0)),Q92-VLOOKUP($D92,'Visu totale'!$D:$DH,R$1,0),IF(LEFT(VLOOKUP($D92,'Visu totale'!$D:$DH,R$1,0),1)="V",IF(Q92&gt;=INDEX('[1]Définition Maintenances'!$G:$G,MATCH($A92,'[1]Définition Maintenances'!$K:$K,0)),Q92,INDEX('[1]Définition Maintenances'!$G:$G,MATCH($A92,'[1]Définition Maintenances'!$K:$K,0))+Q92),Q92))</f>
        <v>1000</v>
      </c>
      <c r="S92" s="26">
        <f>IF(ISNUMBER(VLOOKUP($D92,'Visu totale'!$D:$DH,S$1,0)),R92-VLOOKUP($D92,'Visu totale'!$D:$DH,S$1,0),IF(LEFT(VLOOKUP($D92,'Visu totale'!$D:$DH,S$1,0),1)="V",IF(R92&gt;=INDEX('[1]Définition Maintenances'!$G:$G,MATCH($A92,'[1]Définition Maintenances'!$K:$K,0)),R92,INDEX('[1]Définition Maintenances'!$G:$G,MATCH($A92,'[1]Définition Maintenances'!$K:$K,0))+R92),R92))</f>
        <v>1000</v>
      </c>
      <c r="T92" s="26">
        <f>IF(ISNUMBER(VLOOKUP($D92,'Visu totale'!$D:$DH,T$1,0)),S92-VLOOKUP($D92,'Visu totale'!$D:$DH,T$1,0),IF(LEFT(VLOOKUP($D92,'Visu totale'!$D:$DH,T$1,0),1)="V",IF(S92&gt;=INDEX('[1]Définition Maintenances'!$G:$G,MATCH($A92,'[1]Définition Maintenances'!$K:$K,0)),S92,INDEX('[1]Définition Maintenances'!$G:$G,MATCH($A92,'[1]Définition Maintenances'!$K:$K,0))+S92),S92))</f>
        <v>1000</v>
      </c>
      <c r="U92" s="26">
        <f>IF(ISNUMBER(VLOOKUP($D92,'Visu totale'!$D:$DH,U$1,0)),T92-VLOOKUP($D92,'Visu totale'!$D:$DH,U$1,0),IF(LEFT(VLOOKUP($D92,'Visu totale'!$D:$DH,U$1,0),1)="V",IF(T92&gt;=INDEX('[1]Définition Maintenances'!$G:$G,MATCH($A92,'[1]Définition Maintenances'!$K:$K,0)),T92,INDEX('[1]Définition Maintenances'!$G:$G,MATCH($A92,'[1]Définition Maintenances'!$K:$K,0))+T92),T92))</f>
        <v>1000</v>
      </c>
      <c r="V92" s="26">
        <f>IF(ISNUMBER(VLOOKUP($D92,'Visu totale'!$D:$DH,V$1,0)),U92-VLOOKUP($D92,'Visu totale'!$D:$DH,V$1,0),IF(LEFT(VLOOKUP($D92,'Visu totale'!$D:$DH,V$1,0),1)="V",IF(U92&gt;=INDEX('[1]Définition Maintenances'!$G:$G,MATCH($A92,'[1]Définition Maintenances'!$K:$K,0)),U92,INDEX('[1]Définition Maintenances'!$G:$G,MATCH($A92,'[1]Définition Maintenances'!$K:$K,0))+U92),U92))</f>
        <v>1000</v>
      </c>
      <c r="W92" s="26">
        <f>IF(ISNUMBER(VLOOKUP($D92,'Visu totale'!$D:$DH,W$1,0)),V92-VLOOKUP($D92,'Visu totale'!$D:$DH,W$1,0),IF(LEFT(VLOOKUP($D92,'Visu totale'!$D:$DH,W$1,0),1)="V",IF(V92&gt;=INDEX('[1]Définition Maintenances'!$G:$G,MATCH($A92,'[1]Définition Maintenances'!$K:$K,0)),V92,INDEX('[1]Définition Maintenances'!$G:$G,MATCH($A92,'[1]Définition Maintenances'!$K:$K,0))+V92),V92))</f>
        <v>1000</v>
      </c>
      <c r="X92" s="26">
        <f>IF(ISNUMBER(VLOOKUP($D92,'Visu totale'!$D:$DH,X$1,0)),W92-VLOOKUP($D92,'Visu totale'!$D:$DH,X$1,0),IF(LEFT(VLOOKUP($D92,'Visu totale'!$D:$DH,X$1,0),1)="V",IF(W92&gt;=INDEX('[1]Définition Maintenances'!$G:$G,MATCH($A92,'[1]Définition Maintenances'!$K:$K,0)),W92,INDEX('[1]Définition Maintenances'!$G:$G,MATCH($A92,'[1]Définition Maintenances'!$K:$K,0))+W92),W92))</f>
        <v>1000</v>
      </c>
      <c r="Y92" s="26">
        <f>IF(ISNUMBER(VLOOKUP($D92,'Visu totale'!$D:$DH,Y$1,0)),X92-VLOOKUP($D92,'Visu totale'!$D:$DH,Y$1,0),IF(LEFT(VLOOKUP($D92,'Visu totale'!$D:$DH,Y$1,0),1)="V",IF(X92&gt;=INDEX('[1]Définition Maintenances'!$G:$G,MATCH($A92,'[1]Définition Maintenances'!$K:$K,0)),X92,INDEX('[1]Définition Maintenances'!$G:$G,MATCH($A92,'[1]Définition Maintenances'!$K:$K,0))+X92),X92))</f>
        <v>1000</v>
      </c>
      <c r="Z92" s="26">
        <f>IF(ISNUMBER(VLOOKUP($D92,'Visu totale'!$D:$DH,Z$1,0)),Y92-VLOOKUP($D92,'Visu totale'!$D:$DH,Z$1,0),IF(LEFT(VLOOKUP($D92,'Visu totale'!$D:$DH,Z$1,0),1)="V",IF(Y92&gt;=INDEX('[1]Définition Maintenances'!$G:$G,MATCH($A92,'[1]Définition Maintenances'!$K:$K,0)),Y92,INDEX('[1]Définition Maintenances'!$G:$G,MATCH($A92,'[1]Définition Maintenances'!$K:$K,0))+Y92),Y92))</f>
        <v>1000</v>
      </c>
      <c r="AA92" s="26">
        <f>IF(ISNUMBER(VLOOKUP($D92,'Visu totale'!$D:$DH,AA$1,0)),Z92-VLOOKUP($D92,'Visu totale'!$D:$DH,AA$1,0),IF(LEFT(VLOOKUP($D92,'Visu totale'!$D:$DH,AA$1,0),1)="V",IF(Z92&gt;=INDEX('[1]Définition Maintenances'!$G:$G,MATCH($A92,'[1]Définition Maintenances'!$K:$K,0)),Z92,INDEX('[1]Définition Maintenances'!$G:$G,MATCH($A92,'[1]Définition Maintenances'!$K:$K,0))+Z92),Z92))</f>
        <v>1000</v>
      </c>
      <c r="AB92" s="26">
        <f>IF(ISNUMBER(VLOOKUP($D92,'Visu totale'!$D:$DH,AB$1,0)),AA92-VLOOKUP($D92,'Visu totale'!$D:$DH,AB$1,0),IF(LEFT(VLOOKUP($D92,'Visu totale'!$D:$DH,AB$1,0),1)="V",IF(AA92&gt;=INDEX('[1]Définition Maintenances'!$G:$G,MATCH($A92,'[1]Définition Maintenances'!$K:$K,0)),AA92,INDEX('[1]Définition Maintenances'!$G:$G,MATCH($A92,'[1]Définition Maintenances'!$K:$K,0))+AA92),AA92))</f>
        <v>1000</v>
      </c>
      <c r="AC92" s="27">
        <f>IF(ISNUMBER(VLOOKUP($D92,'Visu totale'!$D:$DH,AC$1,0)),AB92-VLOOKUP($D92,'Visu totale'!$D:$DH,AC$1,0),IF(LEFT(VLOOKUP($D92,'Visu totale'!$D:$DH,AC$1,0),1)="V",IF(AB92&gt;=INDEX('[1]Définition Maintenances'!$G:$G,MATCH($A92,'[1]Définition Maintenances'!$K:$K,0)),AB92,INDEX('[1]Définition Maintenances'!$G:$G,MATCH($A92,'[1]Définition Maintenances'!$K:$K,0))+AB92),AB92))</f>
        <v>1000</v>
      </c>
      <c r="AD92" s="25">
        <f>IF(ISNUMBER(VLOOKUP($D92,'Visu totale'!$D:$DH,AD$1,0)),AC92-VLOOKUP($D92,'Visu totale'!$D:$DH,AD$1,0),IF(LEFT(VLOOKUP($D92,'Visu totale'!$D:$DH,AD$1,0),1)="V",IF(AC92&gt;=INDEX('[1]Définition Maintenances'!$G:$G,MATCH($A92,'[1]Définition Maintenances'!$K:$K,0)),AC92,INDEX('[1]Définition Maintenances'!$G:$G,MATCH($A92,'[1]Définition Maintenances'!$K:$K,0))+AC92),AC92))</f>
        <v>1000</v>
      </c>
      <c r="AE92" s="26">
        <f>IF(ISNUMBER(VLOOKUP($D92,'Visu totale'!$D:$DH,AE$1,0)),AD92-VLOOKUP($D92,'Visu totale'!$D:$DH,AE$1,0),IF(LEFT(VLOOKUP($D92,'Visu totale'!$D:$DH,AE$1,0),1)="V",IF(AD92&gt;=INDEX('[1]Définition Maintenances'!$G:$G,MATCH($A92,'[1]Définition Maintenances'!$K:$K,0)),AD92,INDEX('[1]Définition Maintenances'!$G:$G,MATCH($A92,'[1]Définition Maintenances'!$K:$K,0))+AD92),AD92))</f>
        <v>1000</v>
      </c>
      <c r="AF92" s="26">
        <f>IF(ISNUMBER(VLOOKUP($D92,'Visu totale'!$D:$DH,AF$1,0)),AE92-VLOOKUP($D92,'Visu totale'!$D:$DH,AF$1,0),IF(LEFT(VLOOKUP($D92,'Visu totale'!$D:$DH,AF$1,0),1)="V",IF(AE92&gt;=INDEX('[1]Définition Maintenances'!$G:$G,MATCH($A92,'[1]Définition Maintenances'!$K:$K,0)),AE92,INDEX('[1]Définition Maintenances'!$G:$G,MATCH($A92,'[1]Définition Maintenances'!$K:$K,0))+AE92),AE92))</f>
        <v>1000</v>
      </c>
      <c r="AG92" s="26">
        <f>IF(ISNUMBER(VLOOKUP($D92,'Visu totale'!$D:$DH,AG$1,0)),AF92-VLOOKUP($D92,'Visu totale'!$D:$DH,AG$1,0),IF(LEFT(VLOOKUP($D92,'Visu totale'!$D:$DH,AG$1,0),1)="V",IF(AF92&gt;=INDEX('[1]Définition Maintenances'!$G:$G,MATCH($A92,'[1]Définition Maintenances'!$K:$K,0)),AF92,INDEX('[1]Définition Maintenances'!$G:$G,MATCH($A92,'[1]Définition Maintenances'!$K:$K,0))+AF92),AF92))</f>
        <v>1000</v>
      </c>
      <c r="AH92" s="26">
        <f>IF(ISNUMBER(VLOOKUP($D92,'Visu totale'!$D:$DH,AH$1,0)),AG92-VLOOKUP($D92,'Visu totale'!$D:$DH,AH$1,0),IF(LEFT(VLOOKUP($D92,'Visu totale'!$D:$DH,AH$1,0),1)="V",IF(AG92&gt;=INDEX('[1]Définition Maintenances'!$G:$G,MATCH($A92,'[1]Définition Maintenances'!$K:$K,0)),AG92,INDEX('[1]Définition Maintenances'!$G:$G,MATCH($A92,'[1]Définition Maintenances'!$K:$K,0))+AG92),AG92))</f>
        <v>1000</v>
      </c>
      <c r="AI92" s="26">
        <f>IF(ISNUMBER(VLOOKUP($D92,'Visu totale'!$D:$DH,AI$1,0)),AH92-VLOOKUP($D92,'Visu totale'!$D:$DH,AI$1,0),IF(LEFT(VLOOKUP($D92,'Visu totale'!$D:$DH,AI$1,0),1)="V",IF(AH92&gt;=INDEX('[1]Définition Maintenances'!$G:$G,MATCH($A92,'[1]Définition Maintenances'!$K:$K,0)),AH92,INDEX('[1]Définition Maintenances'!$G:$G,MATCH($A92,'[1]Définition Maintenances'!$K:$K,0))+AH92),AH92))</f>
        <v>1000</v>
      </c>
      <c r="AJ92" s="26">
        <f>IF(ISNUMBER(VLOOKUP($D92,'Visu totale'!$D:$DH,AJ$1,0)),AI92-VLOOKUP($D92,'Visu totale'!$D:$DH,AJ$1,0),IF(LEFT(VLOOKUP($D92,'Visu totale'!$D:$DH,AJ$1,0),1)="V",IF(AI92&gt;=INDEX('[1]Définition Maintenances'!$G:$G,MATCH($A92,'[1]Définition Maintenances'!$K:$K,0)),AI92,INDEX('[1]Définition Maintenances'!$G:$G,MATCH($A92,'[1]Définition Maintenances'!$K:$K,0))+AI92),AI92))</f>
        <v>1000</v>
      </c>
      <c r="AK92" s="26">
        <f>IF(ISNUMBER(VLOOKUP($D92,'Visu totale'!$D:$DH,AK$1,0)),AJ92-VLOOKUP($D92,'Visu totale'!$D:$DH,AK$1,0),IF(LEFT(VLOOKUP($D92,'Visu totale'!$D:$DH,AK$1,0),1)="V",IF(AJ92&gt;=INDEX('[1]Définition Maintenances'!$G:$G,MATCH($A92,'[1]Définition Maintenances'!$K:$K,0)),AJ92,INDEX('[1]Définition Maintenances'!$G:$G,MATCH($A92,'[1]Définition Maintenances'!$K:$K,0))+AJ92),AJ92))</f>
        <v>1000</v>
      </c>
      <c r="AL92" s="26">
        <f>IF(ISNUMBER(VLOOKUP($D92,'Visu totale'!$D:$DH,AL$1,0)),AK92-VLOOKUP($D92,'Visu totale'!$D:$DH,AL$1,0),IF(LEFT(VLOOKUP($D92,'Visu totale'!$D:$DH,AL$1,0),1)="V",IF(AK92&gt;=INDEX('[1]Définition Maintenances'!$G:$G,MATCH($A92,'[1]Définition Maintenances'!$K:$K,0)),AK92,INDEX('[1]Définition Maintenances'!$G:$G,MATCH($A92,'[1]Définition Maintenances'!$K:$K,0))+AK92),AK92))</f>
        <v>1000</v>
      </c>
      <c r="AM92" s="26">
        <f>IF(ISNUMBER(VLOOKUP($D92,'Visu totale'!$D:$DH,AM$1,0)),AL92-VLOOKUP($D92,'Visu totale'!$D:$DH,AM$1,0),IF(LEFT(VLOOKUP($D92,'Visu totale'!$D:$DH,AM$1,0),1)="V",IF(AL92&gt;=INDEX('[1]Définition Maintenances'!$G:$G,MATCH($A92,'[1]Définition Maintenances'!$K:$K,0)),AL92,INDEX('[1]Définition Maintenances'!$G:$G,MATCH($A92,'[1]Définition Maintenances'!$K:$K,0))+AL92),AL92))</f>
        <v>1000</v>
      </c>
      <c r="AN92" s="26">
        <f>IF(ISNUMBER(VLOOKUP($D92,'Visu totale'!$D:$DH,AN$1,0)),AM92-VLOOKUP($D92,'Visu totale'!$D:$DH,AN$1,0),IF(LEFT(VLOOKUP($D92,'Visu totale'!$D:$DH,AN$1,0),1)="V",IF(AM92&gt;=INDEX('[1]Définition Maintenances'!$G:$G,MATCH($A92,'[1]Définition Maintenances'!$K:$K,0)),AM92,INDEX('[1]Définition Maintenances'!$G:$G,MATCH($A92,'[1]Définition Maintenances'!$K:$K,0))+AM92),AM92))</f>
        <v>1000</v>
      </c>
      <c r="AO92" s="27">
        <f>IF(ISNUMBER(VLOOKUP($D92,'Visu totale'!$D:$DH,AO$1,0)),AN92-VLOOKUP($D92,'Visu totale'!$D:$DH,AO$1,0),IF(LEFT(VLOOKUP($D92,'Visu totale'!$D:$DH,AO$1,0),1)="V",IF(AN92&gt;=INDEX('[1]Définition Maintenances'!$G:$G,MATCH($A92,'[1]Définition Maintenances'!$K:$K,0)),AN92,INDEX('[1]Définition Maintenances'!$G:$G,MATCH($A92,'[1]Définition Maintenances'!$K:$K,0))+AN92),AN92))</f>
        <v>1000</v>
      </c>
      <c r="AP92" s="25">
        <f>IF(ISNUMBER(VLOOKUP($D92,'Visu totale'!$D:$DH,AP$1,0)),AO92-VLOOKUP($D92,'Visu totale'!$D:$DH,AP$1,0),IF(LEFT(VLOOKUP($D92,'Visu totale'!$D:$DH,AP$1,0),1)="V",IF(AO92&gt;=INDEX('[1]Définition Maintenances'!$G:$G,MATCH($A92,'[1]Définition Maintenances'!$K:$K,0)),AO92,INDEX('[1]Définition Maintenances'!$G:$G,MATCH($A92,'[1]Définition Maintenances'!$K:$K,0))+AO92),AO92))</f>
        <v>1000</v>
      </c>
      <c r="AQ92" s="26">
        <f>IF(ISNUMBER(VLOOKUP($D92,'Visu totale'!$D:$DH,AQ$1,0)),AP92-VLOOKUP($D92,'Visu totale'!$D:$DH,AQ$1,0),IF(LEFT(VLOOKUP($D92,'Visu totale'!$D:$DH,AQ$1,0),1)="V",IF(AP92&gt;=INDEX('[1]Définition Maintenances'!$G:$G,MATCH($A92,'[1]Définition Maintenances'!$K:$K,0)),AP92,INDEX('[1]Définition Maintenances'!$G:$G,MATCH($A92,'[1]Définition Maintenances'!$K:$K,0))+AP92),AP92))</f>
        <v>1000</v>
      </c>
      <c r="AR92" s="26">
        <f>IF(ISNUMBER(VLOOKUP($D92,'Visu totale'!$D:$DH,AR$1,0)),AQ92-VLOOKUP($D92,'Visu totale'!$D:$DH,AR$1,0),IF(LEFT(VLOOKUP($D92,'Visu totale'!$D:$DH,AR$1,0),1)="V",IF(AQ92&gt;=INDEX('[1]Définition Maintenances'!$G:$G,MATCH($A92,'[1]Définition Maintenances'!$K:$K,0)),AQ92,INDEX('[1]Définition Maintenances'!$G:$G,MATCH($A92,'[1]Définition Maintenances'!$K:$K,0))+AQ92),AQ92))</f>
        <v>1000</v>
      </c>
      <c r="AS92" s="26">
        <f>IF(ISNUMBER(VLOOKUP($D92,'Visu totale'!$D:$DH,AS$1,0)),AR92-VLOOKUP($D92,'Visu totale'!$D:$DH,AS$1,0),IF(LEFT(VLOOKUP($D92,'Visu totale'!$D:$DH,AS$1,0),1)="V",IF(AR92&gt;=INDEX('[1]Définition Maintenances'!$G:$G,MATCH($A92,'[1]Définition Maintenances'!$K:$K,0)),AR92,INDEX('[1]Définition Maintenances'!$G:$G,MATCH($A92,'[1]Définition Maintenances'!$K:$K,0))+AR92),AR92))</f>
        <v>1000</v>
      </c>
      <c r="AT92" s="26">
        <f>IF(ISNUMBER(VLOOKUP($D92,'Visu totale'!$D:$DH,AT$1,0)),AS92-VLOOKUP($D92,'Visu totale'!$D:$DH,AT$1,0),IF(LEFT(VLOOKUP($D92,'Visu totale'!$D:$DH,AT$1,0),1)="V",IF(AS92&gt;=INDEX('[1]Définition Maintenances'!$G:$G,MATCH($A92,'[1]Définition Maintenances'!$K:$K,0)),AS92,INDEX('[1]Définition Maintenances'!$G:$G,MATCH($A92,'[1]Définition Maintenances'!$K:$K,0))+AS92),AS92))</f>
        <v>1000</v>
      </c>
      <c r="AU92" s="26">
        <f>IF(ISNUMBER(VLOOKUP($D92,'Visu totale'!$D:$DH,AU$1,0)),AT92-VLOOKUP($D92,'Visu totale'!$D:$DH,AU$1,0),IF(LEFT(VLOOKUP($D92,'Visu totale'!$D:$DH,AU$1,0),1)="V",IF(AT92&gt;=INDEX('[1]Définition Maintenances'!$G:$G,MATCH($A92,'[1]Définition Maintenances'!$K:$K,0)),AT92,INDEX('[1]Définition Maintenances'!$G:$G,MATCH($A92,'[1]Définition Maintenances'!$K:$K,0))+AT92),AT92))</f>
        <v>1000</v>
      </c>
      <c r="AV92" s="26">
        <f>IF(ISNUMBER(VLOOKUP($D92,'Visu totale'!$D:$DH,AV$1,0)),AU92-VLOOKUP($D92,'Visu totale'!$D:$DH,AV$1,0),IF(LEFT(VLOOKUP($D92,'Visu totale'!$D:$DH,AV$1,0),1)="V",IF(AU92&gt;=INDEX('[1]Définition Maintenances'!$G:$G,MATCH($A92,'[1]Définition Maintenances'!$K:$K,0)),AU92,INDEX('[1]Définition Maintenances'!$G:$G,MATCH($A92,'[1]Définition Maintenances'!$K:$K,0))+AU92),AU92))</f>
        <v>1000</v>
      </c>
      <c r="AW92" s="26">
        <f>IF(ISNUMBER(VLOOKUP($D92,'Visu totale'!$D:$DH,AW$1,0)),AV92-VLOOKUP($D92,'Visu totale'!$D:$DH,AW$1,0),IF(LEFT(VLOOKUP($D92,'Visu totale'!$D:$DH,AW$1,0),1)="V",IF(AV92&gt;=INDEX('[1]Définition Maintenances'!$G:$G,MATCH($A92,'[1]Définition Maintenances'!$K:$K,0)),AV92,INDEX('[1]Définition Maintenances'!$G:$G,MATCH($A92,'[1]Définition Maintenances'!$K:$K,0))+AV92),AV92))</f>
        <v>1000</v>
      </c>
      <c r="AX92" s="26">
        <f>IF(ISNUMBER(VLOOKUP($D92,'Visu totale'!$D:$DH,AX$1,0)),AW92-VLOOKUP($D92,'Visu totale'!$D:$DH,AX$1,0),IF(LEFT(VLOOKUP($D92,'Visu totale'!$D:$DH,AX$1,0),1)="V",IF(AW92&gt;=INDEX('[1]Définition Maintenances'!$G:$G,MATCH($A92,'[1]Définition Maintenances'!$K:$K,0)),AW92,INDEX('[1]Définition Maintenances'!$G:$G,MATCH($A92,'[1]Définition Maintenances'!$K:$K,0))+AW92),AW92))</f>
        <v>1000</v>
      </c>
      <c r="AY92" s="26">
        <f>IF(ISNUMBER(VLOOKUP($D92,'Visu totale'!$D:$DH,AY$1,0)),AX92-VLOOKUP($D92,'Visu totale'!$D:$DH,AY$1,0),IF(LEFT(VLOOKUP($D92,'Visu totale'!$D:$DH,AY$1,0),1)="V",IF(AX92&gt;=INDEX('[1]Définition Maintenances'!$G:$G,MATCH($A92,'[1]Définition Maintenances'!$K:$K,0)),AX92,INDEX('[1]Définition Maintenances'!$G:$G,MATCH($A92,'[1]Définition Maintenances'!$K:$K,0))+AX92),AX92))</f>
        <v>1000</v>
      </c>
      <c r="AZ92" s="26">
        <f>IF(ISNUMBER(VLOOKUP($D92,'Visu totale'!$D:$DH,AZ$1,0)),AY92-VLOOKUP($D92,'Visu totale'!$D:$DH,AZ$1,0),IF(LEFT(VLOOKUP($D92,'Visu totale'!$D:$DH,AZ$1,0),1)="V",IF(AY92&gt;=INDEX('[1]Définition Maintenances'!$G:$G,MATCH($A92,'[1]Définition Maintenances'!$K:$K,0)),AY92,INDEX('[1]Définition Maintenances'!$G:$G,MATCH($A92,'[1]Définition Maintenances'!$K:$K,0))+AY92),AY92))</f>
        <v>1000</v>
      </c>
      <c r="BA92" s="27">
        <f>IF(ISNUMBER(VLOOKUP($D92,'Visu totale'!$D:$DH,BA$1,0)),AZ92-VLOOKUP($D92,'Visu totale'!$D:$DH,BA$1,0),IF(LEFT(VLOOKUP($D92,'Visu totale'!$D:$DH,BA$1,0),1)="V",IF(AZ92&gt;=INDEX('[1]Définition Maintenances'!$G:$G,MATCH($A92,'[1]Définition Maintenances'!$K:$K,0)),AZ92,INDEX('[1]Définition Maintenances'!$G:$G,MATCH($A92,'[1]Définition Maintenances'!$K:$K,0))+AZ92),AZ92))</f>
        <v>1000</v>
      </c>
      <c r="BB92" s="25">
        <f>IF(ISNUMBER(VLOOKUP($D92,'Visu totale'!$D:$DH,BB$1,0)),BA92-VLOOKUP($D92,'Visu totale'!$D:$DH,BB$1,0),IF(LEFT(VLOOKUP($D92,'Visu totale'!$D:$DH,BB$1,0),1)="V",IF(BA92&gt;=INDEX('[1]Définition Maintenances'!$G:$G,MATCH($A92,'[1]Définition Maintenances'!$K:$K,0)),BA92,INDEX('[1]Définition Maintenances'!$G:$G,MATCH($A92,'[1]Définition Maintenances'!$K:$K,0))+BA92),BA92))</f>
        <v>1000</v>
      </c>
      <c r="BC92" s="26">
        <f>IF(ISNUMBER(VLOOKUP($D92,'Visu totale'!$D:$DH,BC$1,0)),BB92-VLOOKUP($D92,'Visu totale'!$D:$DH,BC$1,0),IF(LEFT(VLOOKUP($D92,'Visu totale'!$D:$DH,BC$1,0),1)="V",IF(BB92&gt;=INDEX('[1]Définition Maintenances'!$G:$G,MATCH($A92,'[1]Définition Maintenances'!$K:$K,0)),BB92,INDEX('[1]Définition Maintenances'!$G:$G,MATCH($A92,'[1]Définition Maintenances'!$K:$K,0))+BB92),BB92))</f>
        <v>1000</v>
      </c>
      <c r="BD92" s="26">
        <f>IF(ISNUMBER(VLOOKUP($D92,'Visu totale'!$D:$DH,BD$1,0)),BC92-VLOOKUP($D92,'Visu totale'!$D:$DH,BD$1,0),IF(LEFT(VLOOKUP($D92,'Visu totale'!$D:$DH,BD$1,0),1)="V",IF(BC92&gt;=INDEX('[1]Définition Maintenances'!$G:$G,MATCH($A92,'[1]Définition Maintenances'!$K:$K,0)),BC92,INDEX('[1]Définition Maintenances'!$G:$G,MATCH($A92,'[1]Définition Maintenances'!$K:$K,0))+BC92),BC92))</f>
        <v>1000</v>
      </c>
      <c r="BE92" s="26">
        <f>IF(ISNUMBER(VLOOKUP($D92,'Visu totale'!$D:$DH,BE$1,0)),BD92-VLOOKUP($D92,'Visu totale'!$D:$DH,BE$1,0),IF(LEFT(VLOOKUP($D92,'Visu totale'!$D:$DH,BE$1,0),1)="V",IF(BD92&gt;=INDEX('[1]Définition Maintenances'!$G:$G,MATCH($A92,'[1]Définition Maintenances'!$K:$K,0)),BD92,INDEX('[1]Définition Maintenances'!$G:$G,MATCH($A92,'[1]Définition Maintenances'!$K:$K,0))+BD92),BD92))</f>
        <v>1000</v>
      </c>
      <c r="BF92" s="26">
        <f>IF(ISNUMBER(VLOOKUP($D92,'Visu totale'!$D:$DH,BF$1,0)),BE92-VLOOKUP($D92,'Visu totale'!$D:$DH,BF$1,0),IF(LEFT(VLOOKUP($D92,'Visu totale'!$D:$DH,BF$1,0),1)="V",IF(BE92&gt;=INDEX('[1]Définition Maintenances'!$G:$G,MATCH($A92,'[1]Définition Maintenances'!$K:$K,0)),BE92,INDEX('[1]Définition Maintenances'!$G:$G,MATCH($A92,'[1]Définition Maintenances'!$K:$K,0))+BE92),BE92))</f>
        <v>1000</v>
      </c>
      <c r="BG92" s="26">
        <f>IF(ISNUMBER(VLOOKUP($D92,'Visu totale'!$D:$DH,BG$1,0)),BF92-VLOOKUP($D92,'Visu totale'!$D:$DH,BG$1,0),IF(LEFT(VLOOKUP($D92,'Visu totale'!$D:$DH,BG$1,0),1)="V",IF(BF92&gt;=INDEX('[1]Définition Maintenances'!$G:$G,MATCH($A92,'[1]Définition Maintenances'!$K:$K,0)),BF92,INDEX('[1]Définition Maintenances'!$G:$G,MATCH($A92,'[1]Définition Maintenances'!$K:$K,0))+BF92),BF92))</f>
        <v>1000</v>
      </c>
      <c r="BH92" s="26">
        <f>IF(ISNUMBER(VLOOKUP($D92,'Visu totale'!$D:$DH,BH$1,0)),BG92-VLOOKUP($D92,'Visu totale'!$D:$DH,BH$1,0),IF(LEFT(VLOOKUP($D92,'Visu totale'!$D:$DH,BH$1,0),1)="V",IF(BG92&gt;=INDEX('[1]Définition Maintenances'!$G:$G,MATCH($A92,'[1]Définition Maintenances'!$K:$K,0)),BG92,INDEX('[1]Définition Maintenances'!$G:$G,MATCH($A92,'[1]Définition Maintenances'!$K:$K,0))+BG92),BG92))</f>
        <v>1000</v>
      </c>
      <c r="BI92" s="26">
        <f>IF(ISNUMBER(VLOOKUP($D92,'Visu totale'!$D:$DH,BI$1,0)),BH92-VLOOKUP($D92,'Visu totale'!$D:$DH,BI$1,0),IF(LEFT(VLOOKUP($D92,'Visu totale'!$D:$DH,BI$1,0),1)="V",IF(BH92&gt;=INDEX('[1]Définition Maintenances'!$G:$G,MATCH($A92,'[1]Définition Maintenances'!$K:$K,0)),BH92,INDEX('[1]Définition Maintenances'!$G:$G,MATCH($A92,'[1]Définition Maintenances'!$K:$K,0))+BH92),BH92))</f>
        <v>1000</v>
      </c>
      <c r="BJ92" s="26">
        <f>IF(ISNUMBER(VLOOKUP($D92,'Visu totale'!$D:$DH,BJ$1,0)),BI92-VLOOKUP($D92,'Visu totale'!$D:$DH,BJ$1,0),IF(LEFT(VLOOKUP($D92,'Visu totale'!$D:$DH,BJ$1,0),1)="V",IF(BI92&gt;=INDEX('[1]Définition Maintenances'!$G:$G,MATCH($A92,'[1]Définition Maintenances'!$K:$K,0)),BI92,INDEX('[1]Définition Maintenances'!$G:$G,MATCH($A92,'[1]Définition Maintenances'!$K:$K,0))+BI92),BI92))</f>
        <v>1000</v>
      </c>
      <c r="BK92" s="26">
        <f>IF(ISNUMBER(VLOOKUP($D92,'Visu totale'!$D:$DH,BK$1,0)),BJ92-VLOOKUP($D92,'Visu totale'!$D:$DH,BK$1,0),IF(LEFT(VLOOKUP($D92,'Visu totale'!$D:$DH,BK$1,0),1)="V",IF(BJ92&gt;=INDEX('[1]Définition Maintenances'!$G:$G,MATCH($A92,'[1]Définition Maintenances'!$K:$K,0)),BJ92,INDEX('[1]Définition Maintenances'!$G:$G,MATCH($A92,'[1]Définition Maintenances'!$K:$K,0))+BJ92),BJ92))</f>
        <v>1000</v>
      </c>
      <c r="BL92" s="26">
        <f>IF(ISNUMBER(VLOOKUP($D92,'Visu totale'!$D:$DH,BL$1,0)),BK92-VLOOKUP($D92,'Visu totale'!$D:$DH,BL$1,0),IF(LEFT(VLOOKUP($D92,'Visu totale'!$D:$DH,BL$1,0),1)="V",IF(BK92&gt;=INDEX('[1]Définition Maintenances'!$G:$G,MATCH($A92,'[1]Définition Maintenances'!$K:$K,0)),BK92,INDEX('[1]Définition Maintenances'!$G:$G,MATCH($A92,'[1]Définition Maintenances'!$K:$K,0))+BK92),BK92))</f>
        <v>1000</v>
      </c>
      <c r="BM92" s="27">
        <f>IF(ISNUMBER(VLOOKUP($D92,'Visu totale'!$D:$DH,BM$1,0)),BL92-VLOOKUP($D92,'Visu totale'!$D:$DH,BM$1,0),IF(LEFT(VLOOKUP($D92,'Visu totale'!$D:$DH,BM$1,0),1)="V",IF(BL92&gt;=INDEX('[1]Définition Maintenances'!$G:$G,MATCH($A92,'[1]Définition Maintenances'!$K:$K,0)),BL92,INDEX('[1]Définition Maintenances'!$G:$G,MATCH($A92,'[1]Définition Maintenances'!$K:$K,0))+BL92),BL92))</f>
        <v>1000</v>
      </c>
      <c r="BN92" s="25">
        <f>IF(ISNUMBER(VLOOKUP($D92,'Visu totale'!$D:$DH,BN$1,0)),BM92-VLOOKUP($D92,'Visu totale'!$D:$DH,BN$1,0),IF(LEFT(VLOOKUP($D92,'Visu totale'!$D:$DH,BN$1,0),1)="V",IF(BM92&gt;=INDEX('[1]Définition Maintenances'!$G:$G,MATCH($A92,'[1]Définition Maintenances'!$K:$K,0)),BM92,INDEX('[1]Définition Maintenances'!$G:$G,MATCH($A92,'[1]Définition Maintenances'!$K:$K,0))+BM92),BM92))</f>
        <v>1000</v>
      </c>
      <c r="BO92" s="26">
        <f>IF(ISNUMBER(VLOOKUP($D92,'Visu totale'!$D:$DH,BO$1,0)),BN92-VLOOKUP($D92,'Visu totale'!$D:$DH,BO$1,0),IF(LEFT(VLOOKUP($D92,'Visu totale'!$D:$DH,BO$1,0),1)="V",IF(BN92&gt;=INDEX('[1]Définition Maintenances'!$G:$G,MATCH($A92,'[1]Définition Maintenances'!$K:$K,0)),BN92,INDEX('[1]Définition Maintenances'!$G:$G,MATCH($A92,'[1]Définition Maintenances'!$K:$K,0))+BN92),BN92))</f>
        <v>1000</v>
      </c>
      <c r="BP92" s="26">
        <f>IF(ISNUMBER(VLOOKUP($D92,'Visu totale'!$D:$DH,BP$1,0)),BO92-VLOOKUP($D92,'Visu totale'!$D:$DH,BP$1,0),IF(LEFT(VLOOKUP($D92,'Visu totale'!$D:$DH,BP$1,0),1)="V",IF(BO92&gt;=INDEX('[1]Définition Maintenances'!$G:$G,MATCH($A92,'[1]Définition Maintenances'!$K:$K,0)),BO92,INDEX('[1]Définition Maintenances'!$G:$G,MATCH($A92,'[1]Définition Maintenances'!$K:$K,0))+BO92),BO92))</f>
        <v>1000</v>
      </c>
      <c r="BQ92" s="26">
        <f>IF(ISNUMBER(VLOOKUP($D92,'Visu totale'!$D:$DH,BQ$1,0)),BP92-VLOOKUP($D92,'Visu totale'!$D:$DH,BQ$1,0),IF(LEFT(VLOOKUP($D92,'Visu totale'!$D:$DH,BQ$1,0),1)="V",IF(BP92&gt;=INDEX('[1]Définition Maintenances'!$G:$G,MATCH($A92,'[1]Définition Maintenances'!$K:$K,0)),BP92,INDEX('[1]Définition Maintenances'!$G:$G,MATCH($A92,'[1]Définition Maintenances'!$K:$K,0))+BP92),BP92))</f>
        <v>1000</v>
      </c>
      <c r="BR92" s="26">
        <f>IF(ISNUMBER(VLOOKUP($D92,'Visu totale'!$D:$DH,BR$1,0)),BQ92-VLOOKUP($D92,'Visu totale'!$D:$DH,BR$1,0),IF(LEFT(VLOOKUP($D92,'Visu totale'!$D:$DH,BR$1,0),1)="V",IF(BQ92&gt;=INDEX('[1]Définition Maintenances'!$G:$G,MATCH($A92,'[1]Définition Maintenances'!$K:$K,0)),BQ92,INDEX('[1]Définition Maintenances'!$G:$G,MATCH($A92,'[1]Définition Maintenances'!$K:$K,0))+BQ92),BQ92))</f>
        <v>1000</v>
      </c>
      <c r="BS92" s="26">
        <f>IF(ISNUMBER(VLOOKUP($D92,'Visu totale'!$D:$DH,BS$1,0)),BR92-VLOOKUP($D92,'Visu totale'!$D:$DH,BS$1,0),IF(LEFT(VLOOKUP($D92,'Visu totale'!$D:$DH,BS$1,0),1)="V",IF(BR92&gt;=INDEX('[1]Définition Maintenances'!$G:$G,MATCH($A92,'[1]Définition Maintenances'!$K:$K,0)),BR92,INDEX('[1]Définition Maintenances'!$G:$G,MATCH($A92,'[1]Définition Maintenances'!$K:$K,0))+BR92),BR92))</f>
        <v>1000</v>
      </c>
      <c r="BT92" s="26">
        <f>IF(ISNUMBER(VLOOKUP($D92,'Visu totale'!$D:$DH,BT$1,0)),BS92-VLOOKUP($D92,'Visu totale'!$D:$DH,BT$1,0),IF(LEFT(VLOOKUP($D92,'Visu totale'!$D:$DH,BT$1,0),1)="V",IF(BS92&gt;=INDEX('[1]Définition Maintenances'!$G:$G,MATCH($A92,'[1]Définition Maintenances'!$K:$K,0)),BS92,INDEX('[1]Définition Maintenances'!$G:$G,MATCH($A92,'[1]Définition Maintenances'!$K:$K,0))+BS92),BS92))</f>
        <v>1000</v>
      </c>
      <c r="BU92" s="26">
        <f>IF(ISNUMBER(VLOOKUP($D92,'Visu totale'!$D:$DH,BU$1,0)),BT92-VLOOKUP($D92,'Visu totale'!$D:$DH,BU$1,0),IF(LEFT(VLOOKUP($D92,'Visu totale'!$D:$DH,BU$1,0),1)="V",IF(BT92&gt;=INDEX('[1]Définition Maintenances'!$G:$G,MATCH($A92,'[1]Définition Maintenances'!$K:$K,0)),BT92,INDEX('[1]Définition Maintenances'!$G:$G,MATCH($A92,'[1]Définition Maintenances'!$K:$K,0))+BT92),BT92))</f>
        <v>1000</v>
      </c>
      <c r="BV92" s="26">
        <f>IF(ISNUMBER(VLOOKUP($D92,'Visu totale'!$D:$DH,BV$1,0)),BU92-VLOOKUP($D92,'Visu totale'!$D:$DH,BV$1,0),IF(LEFT(VLOOKUP($D92,'Visu totale'!$D:$DH,BV$1,0),1)="V",IF(BU92&gt;=INDEX('[1]Définition Maintenances'!$G:$G,MATCH($A92,'[1]Définition Maintenances'!$K:$K,0)),BU92,INDEX('[1]Définition Maintenances'!$G:$G,MATCH($A92,'[1]Définition Maintenances'!$K:$K,0))+BU92),BU92))</f>
        <v>1000</v>
      </c>
      <c r="BW92" s="26">
        <f>IF(ISNUMBER(VLOOKUP($D92,'Visu totale'!$D:$DH,BW$1,0)),BV92-VLOOKUP($D92,'Visu totale'!$D:$DH,BW$1,0),IF(LEFT(VLOOKUP($D92,'Visu totale'!$D:$DH,BW$1,0),1)="V",IF(BV92&gt;=INDEX('[1]Définition Maintenances'!$G:$G,MATCH($A92,'[1]Définition Maintenances'!$K:$K,0)),BV92,INDEX('[1]Définition Maintenances'!$G:$G,MATCH($A92,'[1]Définition Maintenances'!$K:$K,0))+BV92),BV92))</f>
        <v>1000</v>
      </c>
      <c r="BX92" s="26">
        <f>IF(ISNUMBER(VLOOKUP($D92,'Visu totale'!$D:$DH,BX$1,0)),BW92-VLOOKUP($D92,'Visu totale'!$D:$DH,BX$1,0),IF(LEFT(VLOOKUP($D92,'Visu totale'!$D:$DH,BX$1,0),1)="V",IF(BW92&gt;=INDEX('[1]Définition Maintenances'!$G:$G,MATCH($A92,'[1]Définition Maintenances'!$K:$K,0)),BW92,INDEX('[1]Définition Maintenances'!$G:$G,MATCH($A92,'[1]Définition Maintenances'!$K:$K,0))+BW92),BW92))</f>
        <v>1000</v>
      </c>
      <c r="BY92" s="27">
        <f>IF(ISNUMBER(VLOOKUP($D92,'Visu totale'!$D:$DH,BY$1,0)),BX92-VLOOKUP($D92,'Visu totale'!$D:$DH,BY$1,0),IF(LEFT(VLOOKUP($D92,'Visu totale'!$D:$DH,BY$1,0),1)="V",IF(BX92&gt;=INDEX('[1]Définition Maintenances'!$G:$G,MATCH($A92,'[1]Définition Maintenances'!$K:$K,0)),BX92,INDEX('[1]Définition Maintenances'!$G:$G,MATCH($A92,'[1]Définition Maintenances'!$K:$K,0))+BX92),BX92))</f>
        <v>1000</v>
      </c>
      <c r="BZ92" s="25">
        <f>IF(ISNUMBER(VLOOKUP($D92,'Visu totale'!$D:$DH,BZ$1,0)),BY92-VLOOKUP($D92,'Visu totale'!$D:$DH,BZ$1,0),IF(LEFT(VLOOKUP($D92,'Visu totale'!$D:$DH,BZ$1,0),1)="V",IF(BY92&gt;=INDEX('[1]Définition Maintenances'!$G:$G,MATCH($A92,'[1]Définition Maintenances'!$K:$K,0)),BY92,INDEX('[1]Définition Maintenances'!$G:$G,MATCH($A92,'[1]Définition Maintenances'!$K:$K,0))+BY92),BY92))</f>
        <v>1000</v>
      </c>
      <c r="CA92" s="26">
        <f>IF(ISNUMBER(VLOOKUP($D92,'Visu totale'!$D:$DH,CA$1,0)),BZ92-VLOOKUP($D92,'Visu totale'!$D:$DH,CA$1,0),IF(LEFT(VLOOKUP($D92,'Visu totale'!$D:$DH,CA$1,0),1)="V",IF(BZ92&gt;=INDEX('[1]Définition Maintenances'!$G:$G,MATCH($A92,'[1]Définition Maintenances'!$K:$K,0)),BZ92,INDEX('[1]Définition Maintenances'!$G:$G,MATCH($A92,'[1]Définition Maintenances'!$K:$K,0))+BZ92),BZ92))</f>
        <v>1000</v>
      </c>
      <c r="CB92" s="26">
        <f>IF(ISNUMBER(VLOOKUP($D92,'Visu totale'!$D:$DH,CB$1,0)),CA92-VLOOKUP($D92,'Visu totale'!$D:$DH,CB$1,0),IF(LEFT(VLOOKUP($D92,'Visu totale'!$D:$DH,CB$1,0),1)="V",IF(CA92&gt;=INDEX('[1]Définition Maintenances'!$G:$G,MATCH($A92,'[1]Définition Maintenances'!$K:$K,0)),CA92,INDEX('[1]Définition Maintenances'!$G:$G,MATCH($A92,'[1]Définition Maintenances'!$K:$K,0))+CA92),CA92))</f>
        <v>1000</v>
      </c>
      <c r="CC92" s="26">
        <f>IF(ISNUMBER(VLOOKUP($D92,'Visu totale'!$D:$DH,CC$1,0)),CB92-VLOOKUP($D92,'Visu totale'!$D:$DH,CC$1,0),IF(LEFT(VLOOKUP($D92,'Visu totale'!$D:$DH,CC$1,0),1)="V",IF(CB92&gt;=INDEX('[1]Définition Maintenances'!$G:$G,MATCH($A92,'[1]Définition Maintenances'!$K:$K,0)),CB92,INDEX('[1]Définition Maintenances'!$G:$G,MATCH($A92,'[1]Définition Maintenances'!$K:$K,0))+CB92),CB92))</f>
        <v>1000</v>
      </c>
      <c r="CD92" s="26">
        <f>IF(ISNUMBER(VLOOKUP($D92,'Visu totale'!$D:$DH,CD$1,0)),CC92-VLOOKUP($D92,'Visu totale'!$D:$DH,CD$1,0),IF(LEFT(VLOOKUP($D92,'Visu totale'!$D:$DH,CD$1,0),1)="V",IF(CC92&gt;=INDEX('[1]Définition Maintenances'!$G:$G,MATCH($A92,'[1]Définition Maintenances'!$K:$K,0)),CC92,INDEX('[1]Définition Maintenances'!$G:$G,MATCH($A92,'[1]Définition Maintenances'!$K:$K,0))+CC92),CC92))</f>
        <v>1000</v>
      </c>
      <c r="CE92" s="26">
        <f>IF(ISNUMBER(VLOOKUP($D92,'Visu totale'!$D:$DH,CE$1,0)),CD92-VLOOKUP($D92,'Visu totale'!$D:$DH,CE$1,0),IF(LEFT(VLOOKUP($D92,'Visu totale'!$D:$DH,CE$1,0),1)="V",IF(CD92&gt;=INDEX('[1]Définition Maintenances'!$G:$G,MATCH($A92,'[1]Définition Maintenances'!$K:$K,0)),CD92,INDEX('[1]Définition Maintenances'!$G:$G,MATCH($A92,'[1]Définition Maintenances'!$K:$K,0))+CD92),CD92))</f>
        <v>1000</v>
      </c>
      <c r="CF92" s="26">
        <f>IF(ISNUMBER(VLOOKUP($D92,'Visu totale'!$D:$DH,CF$1,0)),CE92-VLOOKUP($D92,'Visu totale'!$D:$DH,CF$1,0),IF(LEFT(VLOOKUP($D92,'Visu totale'!$D:$DH,CF$1,0),1)="V",IF(CE92&gt;=INDEX('[1]Définition Maintenances'!$G:$G,MATCH($A92,'[1]Définition Maintenances'!$K:$K,0)),CE92,INDEX('[1]Définition Maintenances'!$G:$G,MATCH($A92,'[1]Définition Maintenances'!$K:$K,0))+CE92),CE92))</f>
        <v>1000</v>
      </c>
      <c r="CG92" s="26">
        <f>IF(ISNUMBER(VLOOKUP($D92,'Visu totale'!$D:$DH,CG$1,0)),CF92-VLOOKUP($D92,'Visu totale'!$D:$DH,CG$1,0),IF(LEFT(VLOOKUP($D92,'Visu totale'!$D:$DH,CG$1,0),1)="V",IF(CF92&gt;=INDEX('[1]Définition Maintenances'!$G:$G,MATCH($A92,'[1]Définition Maintenances'!$K:$K,0)),CF92,INDEX('[1]Définition Maintenances'!$G:$G,MATCH($A92,'[1]Définition Maintenances'!$K:$K,0))+CF92),CF92))</f>
        <v>1000</v>
      </c>
      <c r="CH92" s="26">
        <f>IF(ISNUMBER(VLOOKUP($D92,'Visu totale'!$D:$DH,CH$1,0)),CG92-VLOOKUP($D92,'Visu totale'!$D:$DH,CH$1,0),IF(LEFT(VLOOKUP($D92,'Visu totale'!$D:$DH,CH$1,0),1)="V",IF(CG92&gt;=INDEX('[1]Définition Maintenances'!$G:$G,MATCH($A92,'[1]Définition Maintenances'!$K:$K,0)),CG92,INDEX('[1]Définition Maintenances'!$G:$G,MATCH($A92,'[1]Définition Maintenances'!$K:$K,0))+CG92),CG92))</f>
        <v>1000</v>
      </c>
      <c r="CI92" s="26">
        <f>IF(ISNUMBER(VLOOKUP($D92,'Visu totale'!$D:$DH,CI$1,0)),CH92-VLOOKUP($D92,'Visu totale'!$D:$DH,CI$1,0),IF(LEFT(VLOOKUP($D92,'Visu totale'!$D:$DH,CI$1,0),1)="V",IF(CH92&gt;=INDEX('[1]Définition Maintenances'!$G:$G,MATCH($A92,'[1]Définition Maintenances'!$K:$K,0)),CH92,INDEX('[1]Définition Maintenances'!$G:$G,MATCH($A92,'[1]Définition Maintenances'!$K:$K,0))+CH92),CH92))</f>
        <v>1000</v>
      </c>
      <c r="CJ92" s="26">
        <f>IF(ISNUMBER(VLOOKUP($D92,'Visu totale'!$D:$DH,CJ$1,0)),CI92-VLOOKUP($D92,'Visu totale'!$D:$DH,CJ$1,0),IF(LEFT(VLOOKUP($D92,'Visu totale'!$D:$DH,CJ$1,0),1)="V",IF(CI92&gt;=INDEX('[1]Définition Maintenances'!$G:$G,MATCH($A92,'[1]Définition Maintenances'!$K:$K,0)),CI92,INDEX('[1]Définition Maintenances'!$G:$G,MATCH($A92,'[1]Définition Maintenances'!$K:$K,0))+CI92),CI92))</f>
        <v>1000</v>
      </c>
      <c r="CK92" s="27">
        <f>IF(ISNUMBER(VLOOKUP($D92,'Visu totale'!$D:$DH,CK$1,0)),CJ92-VLOOKUP($D92,'Visu totale'!$D:$DH,CK$1,0),IF(LEFT(VLOOKUP($D92,'Visu totale'!$D:$DH,CK$1,0),1)="V",IF(CJ92&gt;=INDEX('[1]Définition Maintenances'!$G:$G,MATCH($A92,'[1]Définition Maintenances'!$K:$K,0)),CJ92,INDEX('[1]Définition Maintenances'!$G:$G,MATCH($A92,'[1]Définition Maintenances'!$K:$K,0))+CJ92),CJ92))</f>
        <v>1000</v>
      </c>
      <c r="CL92" s="25">
        <f>IF(ISNUMBER(VLOOKUP($D92,'Visu totale'!$D:$DH,CL$1,0)),CK92-VLOOKUP($D92,'Visu totale'!$D:$DH,CL$1,0),IF(LEFT(VLOOKUP($D92,'Visu totale'!$D:$DH,CL$1,0),1)="V",IF(CK92&gt;=INDEX('[1]Définition Maintenances'!$G:$G,MATCH($A92,'[1]Définition Maintenances'!$K:$K,0)),CK92,INDEX('[1]Définition Maintenances'!$G:$G,MATCH($A92,'[1]Définition Maintenances'!$K:$K,0))+CK92),CK92))</f>
        <v>1000</v>
      </c>
      <c r="CM92" s="26">
        <f>IF(ISNUMBER(VLOOKUP($D92,'Visu totale'!$D:$DH,CM$1,0)),CL92-VLOOKUP($D92,'Visu totale'!$D:$DH,CM$1,0),IF(LEFT(VLOOKUP($D92,'Visu totale'!$D:$DH,CM$1,0),1)="V",IF(CL92&gt;=INDEX('[1]Définition Maintenances'!$G:$G,MATCH($A92,'[1]Définition Maintenances'!$K:$K,0)),CL92,INDEX('[1]Définition Maintenances'!$G:$G,MATCH($A92,'[1]Définition Maintenances'!$K:$K,0))+CL92),CL92))</f>
        <v>1000</v>
      </c>
      <c r="CN92" s="26">
        <f>IF(ISNUMBER(VLOOKUP($D92,'Visu totale'!$D:$DH,CN$1,0)),CM92-VLOOKUP($D92,'Visu totale'!$D:$DH,CN$1,0),IF(LEFT(VLOOKUP($D92,'Visu totale'!$D:$DH,CN$1,0),1)="V",IF(CM92&gt;=INDEX('[1]Définition Maintenances'!$G:$G,MATCH($A92,'[1]Définition Maintenances'!$K:$K,0)),CM92,INDEX('[1]Définition Maintenances'!$G:$G,MATCH($A92,'[1]Définition Maintenances'!$K:$K,0))+CM92),CM92))</f>
        <v>1000</v>
      </c>
      <c r="CO92" s="26">
        <f>IF(ISNUMBER(VLOOKUP($D92,'Visu totale'!$D:$DH,CO$1,0)),CN92-VLOOKUP($D92,'Visu totale'!$D:$DH,CO$1,0),IF(LEFT(VLOOKUP($D92,'Visu totale'!$D:$DH,CO$1,0),1)="V",IF(CN92&gt;=INDEX('[1]Définition Maintenances'!$G:$G,MATCH($A92,'[1]Définition Maintenances'!$K:$K,0)),CN92,INDEX('[1]Définition Maintenances'!$G:$G,MATCH($A92,'[1]Définition Maintenances'!$K:$K,0))+CN92),CN92))</f>
        <v>1000</v>
      </c>
      <c r="CP92" s="26">
        <f>IF(ISNUMBER(VLOOKUP($D92,'Visu totale'!$D:$DH,CP$1,0)),CO92-VLOOKUP($D92,'Visu totale'!$D:$DH,CP$1,0),IF(LEFT(VLOOKUP($D92,'Visu totale'!$D:$DH,CP$1,0),1)="V",IF(CO92&gt;=INDEX('[1]Définition Maintenances'!$G:$G,MATCH($A92,'[1]Définition Maintenances'!$K:$K,0)),CO92,INDEX('[1]Définition Maintenances'!$G:$G,MATCH($A92,'[1]Définition Maintenances'!$K:$K,0))+CO92),CO92))</f>
        <v>1000</v>
      </c>
      <c r="CQ92" s="26">
        <f>IF(ISNUMBER(VLOOKUP($D92,'Visu totale'!$D:$DH,CQ$1,0)),CP92-VLOOKUP($D92,'Visu totale'!$D:$DH,CQ$1,0),IF(LEFT(VLOOKUP($D92,'Visu totale'!$D:$DH,CQ$1,0),1)="V",IF(CP92&gt;=INDEX('[1]Définition Maintenances'!$G:$G,MATCH($A92,'[1]Définition Maintenances'!$K:$K,0)),CP92,INDEX('[1]Définition Maintenances'!$G:$G,MATCH($A92,'[1]Définition Maintenances'!$K:$K,0))+CP92),CP92))</f>
        <v>1000</v>
      </c>
      <c r="CR92" s="26">
        <f>IF(ISNUMBER(VLOOKUP($D92,'Visu totale'!$D:$DH,CR$1,0)),CQ92-VLOOKUP($D92,'Visu totale'!$D:$DH,CR$1,0),IF(LEFT(VLOOKUP($D92,'Visu totale'!$D:$DH,CR$1,0),1)="V",IF(CQ92&gt;=INDEX('[1]Définition Maintenances'!$G:$G,MATCH($A92,'[1]Définition Maintenances'!$K:$K,0)),CQ92,INDEX('[1]Définition Maintenances'!$G:$G,MATCH($A92,'[1]Définition Maintenances'!$K:$K,0))+CQ92),CQ92))</f>
        <v>1000</v>
      </c>
      <c r="CS92" s="26">
        <f>IF(ISNUMBER(VLOOKUP($D92,'Visu totale'!$D:$DH,CS$1,0)),CR92-VLOOKUP($D92,'Visu totale'!$D:$DH,CS$1,0),IF(LEFT(VLOOKUP($D92,'Visu totale'!$D:$DH,CS$1,0),1)="V",IF(CR92&gt;=INDEX('[1]Définition Maintenances'!$G:$G,MATCH($A92,'[1]Définition Maintenances'!$K:$K,0)),CR92,INDEX('[1]Définition Maintenances'!$G:$G,MATCH($A92,'[1]Définition Maintenances'!$K:$K,0))+CR92),CR92))</f>
        <v>1000</v>
      </c>
      <c r="CT92" s="26">
        <f>IF(ISNUMBER(VLOOKUP($D92,'Visu totale'!$D:$DH,CT$1,0)),CS92-VLOOKUP($D92,'Visu totale'!$D:$DH,CT$1,0),IF(LEFT(VLOOKUP($D92,'Visu totale'!$D:$DH,CT$1,0),1)="V",IF(CS92&gt;=INDEX('[1]Définition Maintenances'!$G:$G,MATCH($A92,'[1]Définition Maintenances'!$K:$K,0)),CS92,INDEX('[1]Définition Maintenances'!$G:$G,MATCH($A92,'[1]Définition Maintenances'!$K:$K,0))+CS92),CS92))</f>
        <v>1000</v>
      </c>
      <c r="CU92" s="26">
        <f>IF(ISNUMBER(VLOOKUP($D92,'Visu totale'!$D:$DH,CU$1,0)),CT92-VLOOKUP($D92,'Visu totale'!$D:$DH,CU$1,0),IF(LEFT(VLOOKUP($D92,'Visu totale'!$D:$DH,CU$1,0),1)="V",IF(CT92&gt;=INDEX('[1]Définition Maintenances'!$G:$G,MATCH($A92,'[1]Définition Maintenances'!$K:$K,0)),CT92,INDEX('[1]Définition Maintenances'!$G:$G,MATCH($A92,'[1]Définition Maintenances'!$K:$K,0))+CT92),CT92))</f>
        <v>1000</v>
      </c>
      <c r="CV92" s="26">
        <f>IF(ISNUMBER(VLOOKUP($D92,'Visu totale'!$D:$DH,CV$1,0)),CU92-VLOOKUP($D92,'Visu totale'!$D:$DH,CV$1,0),IF(LEFT(VLOOKUP($D92,'Visu totale'!$D:$DH,CV$1,0),1)="V",IF(CU92&gt;=INDEX('[1]Définition Maintenances'!$G:$G,MATCH($A92,'[1]Définition Maintenances'!$K:$K,0)),CU92,INDEX('[1]Définition Maintenances'!$G:$G,MATCH($A92,'[1]Définition Maintenances'!$K:$K,0))+CU92),CU92))</f>
        <v>1000</v>
      </c>
      <c r="CW92" s="27">
        <f>IF(ISNUMBER(VLOOKUP($D92,'Visu totale'!$D:$DH,CW$1,0)),CV92-VLOOKUP($D92,'Visu totale'!$D:$DH,CW$1,0),IF(LEFT(VLOOKUP($D92,'Visu totale'!$D:$DH,CW$1,0),1)="V",IF(CV92&gt;=INDEX('[1]Définition Maintenances'!$G:$G,MATCH($A92,'[1]Définition Maintenances'!$K:$K,0)),CV92,INDEX('[1]Définition Maintenances'!$G:$G,MATCH($A92,'[1]Définition Maintenances'!$K:$K,0))+CV92),CV92))</f>
        <v>1000</v>
      </c>
      <c r="CX92" s="25">
        <f>IF(ISNUMBER(VLOOKUP($D92,'Visu totale'!$D:$DH,CX$1,0)),CW92-VLOOKUP($D92,'Visu totale'!$D:$DH,CX$1,0),IF(LEFT(VLOOKUP($D92,'Visu totale'!$D:$DH,CX$1,0),1)="V",IF(CW92&gt;=INDEX('[1]Définition Maintenances'!$G:$G,MATCH($A92,'[1]Définition Maintenances'!$K:$K,0)),CW92,INDEX('[1]Définition Maintenances'!$G:$G,MATCH($A92,'[1]Définition Maintenances'!$K:$K,0))+CW92),CW92))</f>
        <v>1000</v>
      </c>
      <c r="CY92" s="26">
        <f>IF(ISNUMBER(VLOOKUP($D92,'Visu totale'!$D:$DH,CY$1,0)),CX92-VLOOKUP($D92,'Visu totale'!$D:$DH,CY$1,0),IF(LEFT(VLOOKUP($D92,'Visu totale'!$D:$DH,CY$1,0),1)="V",IF(CX92&gt;=INDEX('[1]Définition Maintenances'!$G:$G,MATCH($A92,'[1]Définition Maintenances'!$K:$K,0)),CX92,INDEX('[1]Définition Maintenances'!$G:$G,MATCH($A92,'[1]Définition Maintenances'!$K:$K,0))+CX92),CX92))</f>
        <v>1000</v>
      </c>
      <c r="CZ92" s="26">
        <f>IF(ISNUMBER(VLOOKUP($D92,'Visu totale'!$D:$DH,CZ$1,0)),CY92-VLOOKUP($D92,'Visu totale'!$D:$DH,CZ$1,0),IF(LEFT(VLOOKUP($D92,'Visu totale'!$D:$DH,CZ$1,0),1)="V",IF(CY92&gt;=INDEX('[1]Définition Maintenances'!$G:$G,MATCH($A92,'[1]Définition Maintenances'!$K:$K,0)),CY92,INDEX('[1]Définition Maintenances'!$G:$G,MATCH($A92,'[1]Définition Maintenances'!$K:$K,0))+CY92),CY92))</f>
        <v>1000</v>
      </c>
      <c r="DA92" s="26">
        <f>IF(ISNUMBER(VLOOKUP($D92,'Visu totale'!$D:$DH,DA$1,0)),CZ92-VLOOKUP($D92,'Visu totale'!$D:$DH,DA$1,0),IF(LEFT(VLOOKUP($D92,'Visu totale'!$D:$DH,DA$1,0),1)="V",IF(CZ92&gt;=INDEX('[1]Définition Maintenances'!$G:$G,MATCH($A92,'[1]Définition Maintenances'!$K:$K,0)),CZ92,INDEX('[1]Définition Maintenances'!$G:$G,MATCH($A92,'[1]Définition Maintenances'!$K:$K,0))+CZ92),CZ92))</f>
        <v>1000</v>
      </c>
      <c r="DB92" s="26">
        <f>IF(ISNUMBER(VLOOKUP($D92,'Visu totale'!$D:$DH,DB$1,0)),DA92-VLOOKUP($D92,'Visu totale'!$D:$DH,DB$1,0),IF(LEFT(VLOOKUP($D92,'Visu totale'!$D:$DH,DB$1,0),1)="V",IF(DA92&gt;=INDEX('[1]Définition Maintenances'!$G:$G,MATCH($A92,'[1]Définition Maintenances'!$K:$K,0)),DA92,INDEX('[1]Définition Maintenances'!$G:$G,MATCH($A92,'[1]Définition Maintenances'!$K:$K,0))+DA92),DA92))</f>
        <v>1000</v>
      </c>
      <c r="DC92" s="26">
        <f>IF(ISNUMBER(VLOOKUP($D92,'Visu totale'!$D:$DH,DC$1,0)),DB92-VLOOKUP($D92,'Visu totale'!$D:$DH,DC$1,0),IF(LEFT(VLOOKUP($D92,'Visu totale'!$D:$DH,DC$1,0),1)="V",IF(DB92&gt;=INDEX('[1]Définition Maintenances'!$G:$G,MATCH($A92,'[1]Définition Maintenances'!$K:$K,0)),DB92,INDEX('[1]Définition Maintenances'!$G:$G,MATCH($A92,'[1]Définition Maintenances'!$K:$K,0))+DB92),DB92))</f>
        <v>1000</v>
      </c>
      <c r="DD92" s="26">
        <f>IF(ISNUMBER(VLOOKUP($D92,'Visu totale'!$D:$DH,DD$1,0)),DC92-VLOOKUP($D92,'Visu totale'!$D:$DH,DD$1,0),IF(LEFT(VLOOKUP($D92,'Visu totale'!$D:$DH,DD$1,0),1)="V",IF(DC92&gt;=INDEX('[1]Définition Maintenances'!$G:$G,MATCH($A92,'[1]Définition Maintenances'!$K:$K,0)),DC92,INDEX('[1]Définition Maintenances'!$G:$G,MATCH($A92,'[1]Définition Maintenances'!$K:$K,0))+DC92),DC92))</f>
        <v>1000</v>
      </c>
      <c r="DE92" s="26">
        <f>IF(ISNUMBER(VLOOKUP($D92,'Visu totale'!$D:$DH,DE$1,0)),DD92-VLOOKUP($D92,'Visu totale'!$D:$DH,DE$1,0),IF(LEFT(VLOOKUP($D92,'Visu totale'!$D:$DH,DE$1,0),1)="V",IF(DD92&gt;=INDEX('[1]Définition Maintenances'!$G:$G,MATCH($A92,'[1]Définition Maintenances'!$K:$K,0)),DD92,INDEX('[1]Définition Maintenances'!$G:$G,MATCH($A92,'[1]Définition Maintenances'!$K:$K,0))+DD92),DD92))</f>
        <v>1000</v>
      </c>
      <c r="DF92" s="26">
        <f>IF(ISNUMBER(VLOOKUP($D92,'Visu totale'!$D:$DH,DF$1,0)),DE92-VLOOKUP($D92,'Visu totale'!$D:$DH,DF$1,0),IF(LEFT(VLOOKUP($D92,'Visu totale'!$D:$DH,DF$1,0),1)="V",IF(DE92&gt;=INDEX('[1]Définition Maintenances'!$G:$G,MATCH($A92,'[1]Définition Maintenances'!$K:$K,0)),DE92,INDEX('[1]Définition Maintenances'!$G:$G,MATCH($A92,'[1]Définition Maintenances'!$K:$K,0))+DE92),DE92))</f>
        <v>1000</v>
      </c>
      <c r="DG92" s="26">
        <f>IF(ISNUMBER(VLOOKUP($D92,'Visu totale'!$D:$DH,DG$1,0)),DF92-VLOOKUP($D92,'Visu totale'!$D:$DH,DG$1,0),IF(LEFT(VLOOKUP($D92,'Visu totale'!$D:$DH,DG$1,0),1)="V",IF(DF92&gt;=INDEX('[1]Définition Maintenances'!$G:$G,MATCH($A92,'[1]Définition Maintenances'!$K:$K,0)),DF92,INDEX('[1]Définition Maintenances'!$G:$G,MATCH($A92,'[1]Définition Maintenances'!$K:$K,0))+DF92),DF92))</f>
        <v>1000</v>
      </c>
      <c r="DH92" s="26">
        <f>IF(ISNUMBER(VLOOKUP($D92,'Visu totale'!$D:$DH,DH$1,0)),DG92-VLOOKUP($D92,'Visu totale'!$D:$DH,DH$1,0),IF(LEFT(VLOOKUP($D92,'Visu totale'!$D:$DH,DH$1,0),1)="V",IF(DG92&gt;=INDEX('[1]Définition Maintenances'!$G:$G,MATCH($A92,'[1]Définition Maintenances'!$K:$K,0)),DG92,INDEX('[1]Définition Maintenances'!$G:$G,MATCH($A92,'[1]Définition Maintenances'!$K:$K,0))+DG92),DG92))</f>
        <v>1000</v>
      </c>
      <c r="DI92" s="27">
        <f>IF(ISNUMBER(VLOOKUP($D92,'Visu totale'!$D:$DH,DI$1,0)),DH92-VLOOKUP($D92,'Visu totale'!$D:$DH,DI$1,0),IF(LEFT(VLOOKUP($D92,'Visu totale'!$D:$DH,DI$1,0),1)="V",IF(DH92&gt;=INDEX('[1]Définition Maintenances'!$G:$G,MATCH($A92,'[1]Définition Maintenances'!$K:$K,0)),DH92,INDEX('[1]Définition Maintenances'!$G:$G,MATCH($A92,'[1]Définition Maintenances'!$K:$K,0))+DH92),DH92))</f>
        <v>1000</v>
      </c>
    </row>
    <row r="93" spans="1:113" x14ac:dyDescent="0.25">
      <c r="A93" s="13" t="str">
        <f t="shared" si="2"/>
        <v>V15C</v>
      </c>
      <c r="B93" s="13" t="str">
        <f>VLOOKUP(D93,'[1]Avions (Potentiels)'!$B$2:$H$128,7,FALSE)</f>
        <v>V15</v>
      </c>
      <c r="C93" s="13"/>
      <c r="D93" s="16" t="s">
        <v>96</v>
      </c>
      <c r="E93" s="13">
        <f>IFERROR(VALUE(SUBSTITUTE(VLOOKUP(D93,'[1]Avions (Potentiels)'!$B:$E,4,0),".",",")),VALUE(VLOOKUP(D93,'[1]Avions (Potentiels)'!$B:$E,4,0)))</f>
        <v>0</v>
      </c>
      <c r="F93" s="25">
        <f>IF(ISNUMBER(VLOOKUP($D93,'Visu totale'!$D:$DH,F$1,0)),E93-VLOOKUP($D93,'Visu totale'!$D:$DH,F$1,0),IF(LEFT(VLOOKUP($D93,'Visu totale'!$D:$DH,F$1,0),1)="V",IF(E93&gt;=INDEX('[1]Définition Maintenances'!$G:$G,MATCH($A93,'[1]Définition Maintenances'!$K:$K,0)),E93,INDEX('[1]Définition Maintenances'!$G:$G,MATCH($A93,'[1]Définition Maintenances'!$K:$K,0))+E93),E93))</f>
        <v>0</v>
      </c>
      <c r="G93" s="26">
        <f>IF(ISNUMBER(VLOOKUP($D93,'Visu totale'!$D:$DH,G$1,0)),F93-VLOOKUP($D93,'Visu totale'!$D:$DH,G$1,0),IF(LEFT(VLOOKUP($D93,'Visu totale'!$D:$DH,G$1,0),1)="V",IF(F93&gt;=INDEX('[1]Définition Maintenances'!$G:$G,MATCH($A93,'[1]Définition Maintenances'!$K:$K,0)),F93,INDEX('[1]Définition Maintenances'!$G:$G,MATCH($A93,'[1]Définition Maintenances'!$K:$K,0))+F93),F93))</f>
        <v>0</v>
      </c>
      <c r="H93" s="26">
        <f>IF(ISNUMBER(VLOOKUP($D93,'Visu totale'!$D:$DH,H$1,0)),G93-VLOOKUP($D93,'Visu totale'!$D:$DH,H$1,0),IF(LEFT(VLOOKUP($D93,'Visu totale'!$D:$DH,H$1,0),1)="V",IF(G93&gt;=INDEX('[1]Définition Maintenances'!$G:$G,MATCH($A93,'[1]Définition Maintenances'!$K:$K,0)),G93,INDEX('[1]Définition Maintenances'!$G:$G,MATCH($A93,'[1]Définition Maintenances'!$K:$K,0))+G93),G93))</f>
        <v>0</v>
      </c>
      <c r="I93" s="26">
        <f>IF(ISNUMBER(VLOOKUP($D93,'Visu totale'!$D:$DH,I$1,0)),H93-VLOOKUP($D93,'Visu totale'!$D:$DH,I$1,0),IF(LEFT(VLOOKUP($D93,'Visu totale'!$D:$DH,I$1,0),1)="V",IF(H93&gt;=INDEX('[1]Définition Maintenances'!$G:$G,MATCH($A93,'[1]Définition Maintenances'!$K:$K,0)),H93,INDEX('[1]Définition Maintenances'!$G:$G,MATCH($A93,'[1]Définition Maintenances'!$K:$K,0))+H93),H93))</f>
        <v>0</v>
      </c>
      <c r="J93" s="26">
        <f>IF(ISNUMBER(VLOOKUP($D93,'Visu totale'!$D:$DH,J$1,0)),I93-VLOOKUP($D93,'Visu totale'!$D:$DH,J$1,0),IF(LEFT(VLOOKUP($D93,'Visu totale'!$D:$DH,J$1,0),1)="V",IF(I93&gt;=INDEX('[1]Définition Maintenances'!$G:$G,MATCH($A93,'[1]Définition Maintenances'!$K:$K,0)),I93,INDEX('[1]Définition Maintenances'!$G:$G,MATCH($A93,'[1]Définition Maintenances'!$K:$K,0))+I93),I93))</f>
        <v>0</v>
      </c>
      <c r="K93" s="26">
        <f>IF(ISNUMBER(VLOOKUP($D93,'Visu totale'!$D:$DH,K$1,0)),J93-VLOOKUP($D93,'Visu totale'!$D:$DH,K$1,0),IF(LEFT(VLOOKUP($D93,'Visu totale'!$D:$DH,K$1,0),1)="V",IF(J93&gt;=INDEX('[1]Définition Maintenances'!$G:$G,MATCH($A93,'[1]Définition Maintenances'!$K:$K,0)),J93,INDEX('[1]Définition Maintenances'!$G:$G,MATCH($A93,'[1]Définition Maintenances'!$K:$K,0))+J93),J93))</f>
        <v>0</v>
      </c>
      <c r="L93" s="26">
        <f>IF(ISNUMBER(VLOOKUP($D93,'Visu totale'!$D:$DH,L$1,0)),K93-VLOOKUP($D93,'Visu totale'!$D:$DH,L$1,0),IF(LEFT(VLOOKUP($D93,'Visu totale'!$D:$DH,L$1,0),1)="V",IF(K93&gt;=INDEX('[1]Définition Maintenances'!$G:$G,MATCH($A93,'[1]Définition Maintenances'!$K:$K,0)),K93,INDEX('[1]Définition Maintenances'!$G:$G,MATCH($A93,'[1]Définition Maintenances'!$K:$K,0))+K93),K93))</f>
        <v>0</v>
      </c>
      <c r="M93" s="26">
        <f>IF(ISNUMBER(VLOOKUP($D93,'Visu totale'!$D:$DH,M$1,0)),L93-VLOOKUP($D93,'Visu totale'!$D:$DH,M$1,0),IF(LEFT(VLOOKUP($D93,'Visu totale'!$D:$DH,M$1,0),1)="V",IF(L93&gt;=INDEX('[1]Définition Maintenances'!$G:$G,MATCH($A93,'[1]Définition Maintenances'!$K:$K,0)),L93,INDEX('[1]Définition Maintenances'!$G:$G,MATCH($A93,'[1]Définition Maintenances'!$K:$K,0))+L93),L93))</f>
        <v>0</v>
      </c>
      <c r="N93" s="26">
        <f>IF(ISNUMBER(VLOOKUP($D93,'Visu totale'!$D:$DH,N$1,0)),M93-VLOOKUP($D93,'Visu totale'!$D:$DH,N$1,0),IF(LEFT(VLOOKUP($D93,'Visu totale'!$D:$DH,N$1,0),1)="V",IF(M93&gt;=INDEX('[1]Définition Maintenances'!$G:$G,MATCH($A93,'[1]Définition Maintenances'!$K:$K,0)),M93,INDEX('[1]Définition Maintenances'!$G:$G,MATCH($A93,'[1]Définition Maintenances'!$K:$K,0))+M93),M93))</f>
        <v>0</v>
      </c>
      <c r="O93" s="26">
        <f>IF(ISNUMBER(VLOOKUP($D93,'Visu totale'!$D:$DH,O$1,0)),N93-VLOOKUP($D93,'Visu totale'!$D:$DH,O$1,0),IF(LEFT(VLOOKUP($D93,'Visu totale'!$D:$DH,O$1,0),1)="V",IF(N93&gt;=INDEX('[1]Définition Maintenances'!$G:$G,MATCH($A93,'[1]Définition Maintenances'!$K:$K,0)),N93,INDEX('[1]Définition Maintenances'!$G:$G,MATCH($A93,'[1]Définition Maintenances'!$K:$K,0))+N93),N93))</f>
        <v>0</v>
      </c>
      <c r="P93" s="26">
        <f>IF(ISNUMBER(VLOOKUP($D93,'Visu totale'!$D:$DH,P$1,0)),O93-VLOOKUP($D93,'Visu totale'!$D:$DH,P$1,0),IF(LEFT(VLOOKUP($D93,'Visu totale'!$D:$DH,P$1,0),1)="V",IF(O93&gt;=INDEX('[1]Définition Maintenances'!$G:$G,MATCH($A93,'[1]Définition Maintenances'!$K:$K,0)),O93,INDEX('[1]Définition Maintenances'!$G:$G,MATCH($A93,'[1]Définition Maintenances'!$K:$K,0))+O93),O93))</f>
        <v>0</v>
      </c>
      <c r="Q93" s="27">
        <f>IF(ISNUMBER(VLOOKUP($D93,'Visu totale'!$D:$DH,Q$1,0)),P93-VLOOKUP($D93,'Visu totale'!$D:$DH,Q$1,0),IF(LEFT(VLOOKUP($D93,'Visu totale'!$D:$DH,Q$1,0),1)="V",IF(P93&gt;=INDEX('[1]Définition Maintenances'!$G:$G,MATCH($A93,'[1]Définition Maintenances'!$K:$K,0)),P93,INDEX('[1]Définition Maintenances'!$G:$G,MATCH($A93,'[1]Définition Maintenances'!$K:$K,0))+P93),P93))</f>
        <v>0</v>
      </c>
      <c r="R93" s="25">
        <f>IF(ISNUMBER(VLOOKUP($D93,'Visu totale'!$D:$DH,R$1,0)),Q93-VLOOKUP($D93,'Visu totale'!$D:$DH,R$1,0),IF(LEFT(VLOOKUP($D93,'Visu totale'!$D:$DH,R$1,0),1)="V",IF(Q93&gt;=INDEX('[1]Définition Maintenances'!$G:$G,MATCH($A93,'[1]Définition Maintenances'!$K:$K,0)),Q93,INDEX('[1]Définition Maintenances'!$G:$G,MATCH($A93,'[1]Définition Maintenances'!$K:$K,0))+Q93),Q93))</f>
        <v>0</v>
      </c>
      <c r="S93" s="26">
        <f>IF(ISNUMBER(VLOOKUP($D93,'Visu totale'!$D:$DH,S$1,0)),R93-VLOOKUP($D93,'Visu totale'!$D:$DH,S$1,0),IF(LEFT(VLOOKUP($D93,'Visu totale'!$D:$DH,S$1,0),1)="V",IF(R93&gt;=INDEX('[1]Définition Maintenances'!$G:$G,MATCH($A93,'[1]Définition Maintenances'!$K:$K,0)),R93,INDEX('[1]Définition Maintenances'!$G:$G,MATCH($A93,'[1]Définition Maintenances'!$K:$K,0))+R93),R93))</f>
        <v>0</v>
      </c>
      <c r="T93" s="26">
        <f>IF(ISNUMBER(VLOOKUP($D93,'Visu totale'!$D:$DH,T$1,0)),S93-VLOOKUP($D93,'Visu totale'!$D:$DH,T$1,0),IF(LEFT(VLOOKUP($D93,'Visu totale'!$D:$DH,T$1,0),1)="V",IF(S93&gt;=INDEX('[1]Définition Maintenances'!$G:$G,MATCH($A93,'[1]Définition Maintenances'!$K:$K,0)),S93,INDEX('[1]Définition Maintenances'!$G:$G,MATCH($A93,'[1]Définition Maintenances'!$K:$K,0))+S93),S93))</f>
        <v>0</v>
      </c>
      <c r="U93" s="26">
        <f>IF(ISNUMBER(VLOOKUP($D93,'Visu totale'!$D:$DH,U$1,0)),T93-VLOOKUP($D93,'Visu totale'!$D:$DH,U$1,0),IF(LEFT(VLOOKUP($D93,'Visu totale'!$D:$DH,U$1,0),1)="V",IF(T93&gt;=INDEX('[1]Définition Maintenances'!$G:$G,MATCH($A93,'[1]Définition Maintenances'!$K:$K,0)),T93,INDEX('[1]Définition Maintenances'!$G:$G,MATCH($A93,'[1]Définition Maintenances'!$K:$K,0))+T93),T93))</f>
        <v>0</v>
      </c>
      <c r="V93" s="26">
        <f>IF(ISNUMBER(VLOOKUP($D93,'Visu totale'!$D:$DH,V$1,0)),U93-VLOOKUP($D93,'Visu totale'!$D:$DH,V$1,0),IF(LEFT(VLOOKUP($D93,'Visu totale'!$D:$DH,V$1,0),1)="V",IF(U93&gt;=INDEX('[1]Définition Maintenances'!$G:$G,MATCH($A93,'[1]Définition Maintenances'!$K:$K,0)),U93,INDEX('[1]Définition Maintenances'!$G:$G,MATCH($A93,'[1]Définition Maintenances'!$K:$K,0))+U93),U93))</f>
        <v>0</v>
      </c>
      <c r="W93" s="26">
        <f>IF(ISNUMBER(VLOOKUP($D93,'Visu totale'!$D:$DH,W$1,0)),V93-VLOOKUP($D93,'Visu totale'!$D:$DH,W$1,0),IF(LEFT(VLOOKUP($D93,'Visu totale'!$D:$DH,W$1,0),1)="V",IF(V93&gt;=INDEX('[1]Définition Maintenances'!$G:$G,MATCH($A93,'[1]Définition Maintenances'!$K:$K,0)),V93,INDEX('[1]Définition Maintenances'!$G:$G,MATCH($A93,'[1]Définition Maintenances'!$K:$K,0))+V93),V93))</f>
        <v>0</v>
      </c>
      <c r="X93" s="26">
        <f>IF(ISNUMBER(VLOOKUP($D93,'Visu totale'!$D:$DH,X$1,0)),W93-VLOOKUP($D93,'Visu totale'!$D:$DH,X$1,0),IF(LEFT(VLOOKUP($D93,'Visu totale'!$D:$DH,X$1,0),1)="V",IF(W93&gt;=INDEX('[1]Définition Maintenances'!$G:$G,MATCH($A93,'[1]Définition Maintenances'!$K:$K,0)),W93,INDEX('[1]Définition Maintenances'!$G:$G,MATCH($A93,'[1]Définition Maintenances'!$K:$K,0))+W93),W93))</f>
        <v>0</v>
      </c>
      <c r="Y93" s="26">
        <f>IF(ISNUMBER(VLOOKUP($D93,'Visu totale'!$D:$DH,Y$1,0)),X93-VLOOKUP($D93,'Visu totale'!$D:$DH,Y$1,0),IF(LEFT(VLOOKUP($D93,'Visu totale'!$D:$DH,Y$1,0),1)="V",IF(X93&gt;=INDEX('[1]Définition Maintenances'!$G:$G,MATCH($A93,'[1]Définition Maintenances'!$K:$K,0)),X93,INDEX('[1]Définition Maintenances'!$G:$G,MATCH($A93,'[1]Définition Maintenances'!$K:$K,0))+X93),X93))</f>
        <v>0</v>
      </c>
      <c r="Z93" s="26">
        <f>IF(ISNUMBER(VLOOKUP($D93,'Visu totale'!$D:$DH,Z$1,0)),Y93-VLOOKUP($D93,'Visu totale'!$D:$DH,Z$1,0),IF(LEFT(VLOOKUP($D93,'Visu totale'!$D:$DH,Z$1,0),1)="V",IF(Y93&gt;=INDEX('[1]Définition Maintenances'!$G:$G,MATCH($A93,'[1]Définition Maintenances'!$K:$K,0)),Y93,INDEX('[1]Définition Maintenances'!$G:$G,MATCH($A93,'[1]Définition Maintenances'!$K:$K,0))+Y93),Y93))</f>
        <v>0</v>
      </c>
      <c r="AA93" s="26">
        <f>IF(ISNUMBER(VLOOKUP($D93,'Visu totale'!$D:$DH,AA$1,0)),Z93-VLOOKUP($D93,'Visu totale'!$D:$DH,AA$1,0),IF(LEFT(VLOOKUP($D93,'Visu totale'!$D:$DH,AA$1,0),1)="V",IF(Z93&gt;=INDEX('[1]Définition Maintenances'!$G:$G,MATCH($A93,'[1]Définition Maintenances'!$K:$K,0)),Z93,INDEX('[1]Définition Maintenances'!$G:$G,MATCH($A93,'[1]Définition Maintenances'!$K:$K,0))+Z93),Z93))</f>
        <v>0</v>
      </c>
      <c r="AB93" s="26">
        <f>IF(ISNUMBER(VLOOKUP($D93,'Visu totale'!$D:$DH,AB$1,0)),AA93-VLOOKUP($D93,'Visu totale'!$D:$DH,AB$1,0),IF(LEFT(VLOOKUP($D93,'Visu totale'!$D:$DH,AB$1,0),1)="V",IF(AA93&gt;=INDEX('[1]Définition Maintenances'!$G:$G,MATCH($A93,'[1]Définition Maintenances'!$K:$K,0)),AA93,INDEX('[1]Définition Maintenances'!$G:$G,MATCH($A93,'[1]Définition Maintenances'!$K:$K,0))+AA93),AA93))</f>
        <v>0</v>
      </c>
      <c r="AC93" s="27">
        <f>IF(ISNUMBER(VLOOKUP($D93,'Visu totale'!$D:$DH,AC$1,0)),AB93-VLOOKUP($D93,'Visu totale'!$D:$DH,AC$1,0),IF(LEFT(VLOOKUP($D93,'Visu totale'!$D:$DH,AC$1,0),1)="V",IF(AB93&gt;=INDEX('[1]Définition Maintenances'!$G:$G,MATCH($A93,'[1]Définition Maintenances'!$K:$K,0)),AB93,INDEX('[1]Définition Maintenances'!$G:$G,MATCH($A93,'[1]Définition Maintenances'!$K:$K,0))+AB93),AB93))</f>
        <v>0</v>
      </c>
      <c r="AD93" s="25">
        <f>IF(ISNUMBER(VLOOKUP($D93,'Visu totale'!$D:$DH,AD$1,0)),AC93-VLOOKUP($D93,'Visu totale'!$D:$DH,AD$1,0),IF(LEFT(VLOOKUP($D93,'Visu totale'!$D:$DH,AD$1,0),1)="V",IF(AC93&gt;=INDEX('[1]Définition Maintenances'!$G:$G,MATCH($A93,'[1]Définition Maintenances'!$K:$K,0)),AC93,INDEX('[1]Définition Maintenances'!$G:$G,MATCH($A93,'[1]Définition Maintenances'!$K:$K,0))+AC93),AC93))</f>
        <v>0</v>
      </c>
      <c r="AE93" s="26">
        <f>IF(ISNUMBER(VLOOKUP($D93,'Visu totale'!$D:$DH,AE$1,0)),AD93-VLOOKUP($D93,'Visu totale'!$D:$DH,AE$1,0),IF(LEFT(VLOOKUP($D93,'Visu totale'!$D:$DH,AE$1,0),1)="V",IF(AD93&gt;=INDEX('[1]Définition Maintenances'!$G:$G,MATCH($A93,'[1]Définition Maintenances'!$K:$K,0)),AD93,INDEX('[1]Définition Maintenances'!$G:$G,MATCH($A93,'[1]Définition Maintenances'!$K:$K,0))+AD93),AD93))</f>
        <v>0</v>
      </c>
      <c r="AF93" s="26">
        <f>IF(ISNUMBER(VLOOKUP($D93,'Visu totale'!$D:$DH,AF$1,0)),AE93-VLOOKUP($D93,'Visu totale'!$D:$DH,AF$1,0),IF(LEFT(VLOOKUP($D93,'Visu totale'!$D:$DH,AF$1,0),1)="V",IF(AE93&gt;=INDEX('[1]Définition Maintenances'!$G:$G,MATCH($A93,'[1]Définition Maintenances'!$K:$K,0)),AE93,INDEX('[1]Définition Maintenances'!$G:$G,MATCH($A93,'[1]Définition Maintenances'!$K:$K,0))+AE93),AE93))</f>
        <v>0</v>
      </c>
      <c r="AG93" s="26">
        <f>IF(ISNUMBER(VLOOKUP($D93,'Visu totale'!$D:$DH,AG$1,0)),AF93-VLOOKUP($D93,'Visu totale'!$D:$DH,AG$1,0),IF(LEFT(VLOOKUP($D93,'Visu totale'!$D:$DH,AG$1,0),1)="V",IF(AF93&gt;=INDEX('[1]Définition Maintenances'!$G:$G,MATCH($A93,'[1]Définition Maintenances'!$K:$K,0)),AF93,INDEX('[1]Définition Maintenances'!$G:$G,MATCH($A93,'[1]Définition Maintenances'!$K:$K,0))+AF93),AF93))</f>
        <v>0</v>
      </c>
      <c r="AH93" s="26">
        <f>IF(ISNUMBER(VLOOKUP($D93,'Visu totale'!$D:$DH,AH$1,0)),AG93-VLOOKUP($D93,'Visu totale'!$D:$DH,AH$1,0),IF(LEFT(VLOOKUP($D93,'Visu totale'!$D:$DH,AH$1,0),1)="V",IF(AG93&gt;=INDEX('[1]Définition Maintenances'!$G:$G,MATCH($A93,'[1]Définition Maintenances'!$K:$K,0)),AG93,INDEX('[1]Définition Maintenances'!$G:$G,MATCH($A93,'[1]Définition Maintenances'!$K:$K,0))+AG93),AG93))</f>
        <v>0</v>
      </c>
      <c r="AI93" s="26">
        <f>IF(ISNUMBER(VLOOKUP($D93,'Visu totale'!$D:$DH,AI$1,0)),AH93-VLOOKUP($D93,'Visu totale'!$D:$DH,AI$1,0),IF(LEFT(VLOOKUP($D93,'Visu totale'!$D:$DH,AI$1,0),1)="V",IF(AH93&gt;=INDEX('[1]Définition Maintenances'!$G:$G,MATCH($A93,'[1]Définition Maintenances'!$K:$K,0)),AH93,INDEX('[1]Définition Maintenances'!$G:$G,MATCH($A93,'[1]Définition Maintenances'!$K:$K,0))+AH93),AH93))</f>
        <v>0</v>
      </c>
      <c r="AJ93" s="26">
        <f>IF(ISNUMBER(VLOOKUP($D93,'Visu totale'!$D:$DH,AJ$1,0)),AI93-VLOOKUP($D93,'Visu totale'!$D:$DH,AJ$1,0),IF(LEFT(VLOOKUP($D93,'Visu totale'!$D:$DH,AJ$1,0),1)="V",IF(AI93&gt;=INDEX('[1]Définition Maintenances'!$G:$G,MATCH($A93,'[1]Définition Maintenances'!$K:$K,0)),AI93,INDEX('[1]Définition Maintenances'!$G:$G,MATCH($A93,'[1]Définition Maintenances'!$K:$K,0))+AI93),AI93))</f>
        <v>0</v>
      </c>
      <c r="AK93" s="26">
        <f>IF(ISNUMBER(VLOOKUP($D93,'Visu totale'!$D:$DH,AK$1,0)),AJ93-VLOOKUP($D93,'Visu totale'!$D:$DH,AK$1,0),IF(LEFT(VLOOKUP($D93,'Visu totale'!$D:$DH,AK$1,0),1)="V",IF(AJ93&gt;=INDEX('[1]Définition Maintenances'!$G:$G,MATCH($A93,'[1]Définition Maintenances'!$K:$K,0)),AJ93,INDEX('[1]Définition Maintenances'!$G:$G,MATCH($A93,'[1]Définition Maintenances'!$K:$K,0))+AJ93),AJ93))</f>
        <v>0</v>
      </c>
      <c r="AL93" s="26">
        <f>IF(ISNUMBER(VLOOKUP($D93,'Visu totale'!$D:$DH,AL$1,0)),AK93-VLOOKUP($D93,'Visu totale'!$D:$DH,AL$1,0),IF(LEFT(VLOOKUP($D93,'Visu totale'!$D:$DH,AL$1,0),1)="V",IF(AK93&gt;=INDEX('[1]Définition Maintenances'!$G:$G,MATCH($A93,'[1]Définition Maintenances'!$K:$K,0)),AK93,INDEX('[1]Définition Maintenances'!$G:$G,MATCH($A93,'[1]Définition Maintenances'!$K:$K,0))+AK93),AK93))</f>
        <v>0</v>
      </c>
      <c r="AM93" s="26">
        <f>IF(ISNUMBER(VLOOKUP($D93,'Visu totale'!$D:$DH,AM$1,0)),AL93-VLOOKUP($D93,'Visu totale'!$D:$DH,AM$1,0),IF(LEFT(VLOOKUP($D93,'Visu totale'!$D:$DH,AM$1,0),1)="V",IF(AL93&gt;=INDEX('[1]Définition Maintenances'!$G:$G,MATCH($A93,'[1]Définition Maintenances'!$K:$K,0)),AL93,INDEX('[1]Définition Maintenances'!$G:$G,MATCH($A93,'[1]Définition Maintenances'!$K:$K,0))+AL93),AL93))</f>
        <v>0</v>
      </c>
      <c r="AN93" s="26">
        <f>IF(ISNUMBER(VLOOKUP($D93,'Visu totale'!$D:$DH,AN$1,0)),AM93-VLOOKUP($D93,'Visu totale'!$D:$DH,AN$1,0),IF(LEFT(VLOOKUP($D93,'Visu totale'!$D:$DH,AN$1,0),1)="V",IF(AM93&gt;=INDEX('[1]Définition Maintenances'!$G:$G,MATCH($A93,'[1]Définition Maintenances'!$K:$K,0)),AM93,INDEX('[1]Définition Maintenances'!$G:$G,MATCH($A93,'[1]Définition Maintenances'!$K:$K,0))+AM93),AM93))</f>
        <v>0</v>
      </c>
      <c r="AO93" s="27">
        <f>IF(ISNUMBER(VLOOKUP($D93,'Visu totale'!$D:$DH,AO$1,0)),AN93-VLOOKUP($D93,'Visu totale'!$D:$DH,AO$1,0),IF(LEFT(VLOOKUP($D93,'Visu totale'!$D:$DH,AO$1,0),1)="V",IF(AN93&gt;=INDEX('[1]Définition Maintenances'!$G:$G,MATCH($A93,'[1]Définition Maintenances'!$K:$K,0)),AN93,INDEX('[1]Définition Maintenances'!$G:$G,MATCH($A93,'[1]Définition Maintenances'!$K:$K,0))+AN93),AN93))</f>
        <v>0</v>
      </c>
      <c r="AP93" s="25">
        <f>IF(ISNUMBER(VLOOKUP($D93,'Visu totale'!$D:$DH,AP$1,0)),AO93-VLOOKUP($D93,'Visu totale'!$D:$DH,AP$1,0),IF(LEFT(VLOOKUP($D93,'Visu totale'!$D:$DH,AP$1,0),1)="V",IF(AO93&gt;=INDEX('[1]Définition Maintenances'!$G:$G,MATCH($A93,'[1]Définition Maintenances'!$K:$K,0)),AO93,INDEX('[1]Définition Maintenances'!$G:$G,MATCH($A93,'[1]Définition Maintenances'!$K:$K,0))+AO93),AO93))</f>
        <v>0</v>
      </c>
      <c r="AQ93" s="26">
        <f>IF(ISNUMBER(VLOOKUP($D93,'Visu totale'!$D:$DH,AQ$1,0)),AP93-VLOOKUP($D93,'Visu totale'!$D:$DH,AQ$1,0),IF(LEFT(VLOOKUP($D93,'Visu totale'!$D:$DH,AQ$1,0),1)="V",IF(AP93&gt;=INDEX('[1]Définition Maintenances'!$G:$G,MATCH($A93,'[1]Définition Maintenances'!$K:$K,0)),AP93,INDEX('[1]Définition Maintenances'!$G:$G,MATCH($A93,'[1]Définition Maintenances'!$K:$K,0))+AP93),AP93))</f>
        <v>0</v>
      </c>
      <c r="AR93" s="26">
        <f>IF(ISNUMBER(VLOOKUP($D93,'Visu totale'!$D:$DH,AR$1,0)),AQ93-VLOOKUP($D93,'Visu totale'!$D:$DH,AR$1,0),IF(LEFT(VLOOKUP($D93,'Visu totale'!$D:$DH,AR$1,0),1)="V",IF(AQ93&gt;=INDEX('[1]Définition Maintenances'!$G:$G,MATCH($A93,'[1]Définition Maintenances'!$K:$K,0)),AQ93,INDEX('[1]Définition Maintenances'!$G:$G,MATCH($A93,'[1]Définition Maintenances'!$K:$K,0))+AQ93),AQ93))</f>
        <v>0</v>
      </c>
      <c r="AS93" s="26">
        <f>IF(ISNUMBER(VLOOKUP($D93,'Visu totale'!$D:$DH,AS$1,0)),AR93-VLOOKUP($D93,'Visu totale'!$D:$DH,AS$1,0),IF(LEFT(VLOOKUP($D93,'Visu totale'!$D:$DH,AS$1,0),1)="V",IF(AR93&gt;=INDEX('[1]Définition Maintenances'!$G:$G,MATCH($A93,'[1]Définition Maintenances'!$K:$K,0)),AR93,INDEX('[1]Définition Maintenances'!$G:$G,MATCH($A93,'[1]Définition Maintenances'!$K:$K,0))+AR93),AR93))</f>
        <v>0</v>
      </c>
      <c r="AT93" s="26">
        <f>IF(ISNUMBER(VLOOKUP($D93,'Visu totale'!$D:$DH,AT$1,0)),AS93-VLOOKUP($D93,'Visu totale'!$D:$DH,AT$1,0),IF(LEFT(VLOOKUP($D93,'Visu totale'!$D:$DH,AT$1,0),1)="V",IF(AS93&gt;=INDEX('[1]Définition Maintenances'!$G:$G,MATCH($A93,'[1]Définition Maintenances'!$K:$K,0)),AS93,INDEX('[1]Définition Maintenances'!$G:$G,MATCH($A93,'[1]Définition Maintenances'!$K:$K,0))+AS93),AS93))</f>
        <v>0</v>
      </c>
      <c r="AU93" s="26">
        <f>IF(ISNUMBER(VLOOKUP($D93,'Visu totale'!$D:$DH,AU$1,0)),AT93-VLOOKUP($D93,'Visu totale'!$D:$DH,AU$1,0),IF(LEFT(VLOOKUP($D93,'Visu totale'!$D:$DH,AU$1,0),1)="V",IF(AT93&gt;=INDEX('[1]Définition Maintenances'!$G:$G,MATCH($A93,'[1]Définition Maintenances'!$K:$K,0)),AT93,INDEX('[1]Définition Maintenances'!$G:$G,MATCH($A93,'[1]Définition Maintenances'!$K:$K,0))+AT93),AT93))</f>
        <v>0</v>
      </c>
      <c r="AV93" s="26">
        <f>IF(ISNUMBER(VLOOKUP($D93,'Visu totale'!$D:$DH,AV$1,0)),AU93-VLOOKUP($D93,'Visu totale'!$D:$DH,AV$1,0),IF(LEFT(VLOOKUP($D93,'Visu totale'!$D:$DH,AV$1,0),1)="V",IF(AU93&gt;=INDEX('[1]Définition Maintenances'!$G:$G,MATCH($A93,'[1]Définition Maintenances'!$K:$K,0)),AU93,INDEX('[1]Définition Maintenances'!$G:$G,MATCH($A93,'[1]Définition Maintenances'!$K:$K,0))+AU93),AU93))</f>
        <v>0</v>
      </c>
      <c r="AW93" s="26">
        <f>IF(ISNUMBER(VLOOKUP($D93,'Visu totale'!$D:$DH,AW$1,0)),AV93-VLOOKUP($D93,'Visu totale'!$D:$DH,AW$1,0),IF(LEFT(VLOOKUP($D93,'Visu totale'!$D:$DH,AW$1,0),1)="V",IF(AV93&gt;=INDEX('[1]Définition Maintenances'!$G:$G,MATCH($A93,'[1]Définition Maintenances'!$K:$K,0)),AV93,INDEX('[1]Définition Maintenances'!$G:$G,MATCH($A93,'[1]Définition Maintenances'!$K:$K,0))+AV93),AV93))</f>
        <v>0</v>
      </c>
      <c r="AX93" s="26">
        <f>IF(ISNUMBER(VLOOKUP($D93,'Visu totale'!$D:$DH,AX$1,0)),AW93-VLOOKUP($D93,'Visu totale'!$D:$DH,AX$1,0),IF(LEFT(VLOOKUP($D93,'Visu totale'!$D:$DH,AX$1,0),1)="V",IF(AW93&gt;=INDEX('[1]Définition Maintenances'!$G:$G,MATCH($A93,'[1]Définition Maintenances'!$K:$K,0)),AW93,INDEX('[1]Définition Maintenances'!$G:$G,MATCH($A93,'[1]Définition Maintenances'!$K:$K,0))+AW93),AW93))</f>
        <v>0</v>
      </c>
      <c r="AY93" s="26">
        <f>IF(ISNUMBER(VLOOKUP($D93,'Visu totale'!$D:$DH,AY$1,0)),AX93-VLOOKUP($D93,'Visu totale'!$D:$DH,AY$1,0),IF(LEFT(VLOOKUP($D93,'Visu totale'!$D:$DH,AY$1,0),1)="V",IF(AX93&gt;=INDEX('[1]Définition Maintenances'!$G:$G,MATCH($A93,'[1]Définition Maintenances'!$K:$K,0)),AX93,INDEX('[1]Définition Maintenances'!$G:$G,MATCH($A93,'[1]Définition Maintenances'!$K:$K,0))+AX93),AX93))</f>
        <v>0</v>
      </c>
      <c r="AZ93" s="26">
        <f>IF(ISNUMBER(VLOOKUP($D93,'Visu totale'!$D:$DH,AZ$1,0)),AY93-VLOOKUP($D93,'Visu totale'!$D:$DH,AZ$1,0),IF(LEFT(VLOOKUP($D93,'Visu totale'!$D:$DH,AZ$1,0),1)="V",IF(AY93&gt;=INDEX('[1]Définition Maintenances'!$G:$G,MATCH($A93,'[1]Définition Maintenances'!$K:$K,0)),AY93,INDEX('[1]Définition Maintenances'!$G:$G,MATCH($A93,'[1]Définition Maintenances'!$K:$K,0))+AY93),AY93))</f>
        <v>0</v>
      </c>
      <c r="BA93" s="27">
        <f>IF(ISNUMBER(VLOOKUP($D93,'Visu totale'!$D:$DH,BA$1,0)),AZ93-VLOOKUP($D93,'Visu totale'!$D:$DH,BA$1,0),IF(LEFT(VLOOKUP($D93,'Visu totale'!$D:$DH,BA$1,0),1)="V",IF(AZ93&gt;=INDEX('[1]Définition Maintenances'!$G:$G,MATCH($A93,'[1]Définition Maintenances'!$K:$K,0)),AZ93,INDEX('[1]Définition Maintenances'!$G:$G,MATCH($A93,'[1]Définition Maintenances'!$K:$K,0))+AZ93),AZ93))</f>
        <v>0</v>
      </c>
      <c r="BB93" s="25">
        <f>IF(ISNUMBER(VLOOKUP($D93,'Visu totale'!$D:$DH,BB$1,0)),BA93-VLOOKUP($D93,'Visu totale'!$D:$DH,BB$1,0),IF(LEFT(VLOOKUP($D93,'Visu totale'!$D:$DH,BB$1,0),1)="V",IF(BA93&gt;=INDEX('[1]Définition Maintenances'!$G:$G,MATCH($A93,'[1]Définition Maintenances'!$K:$K,0)),BA93,INDEX('[1]Définition Maintenances'!$G:$G,MATCH($A93,'[1]Définition Maintenances'!$K:$K,0))+BA93),BA93))</f>
        <v>0</v>
      </c>
      <c r="BC93" s="26">
        <f>IF(ISNUMBER(VLOOKUP($D93,'Visu totale'!$D:$DH,BC$1,0)),BB93-VLOOKUP($D93,'Visu totale'!$D:$DH,BC$1,0),IF(LEFT(VLOOKUP($D93,'Visu totale'!$D:$DH,BC$1,0),1)="V",IF(BB93&gt;=INDEX('[1]Définition Maintenances'!$G:$G,MATCH($A93,'[1]Définition Maintenances'!$K:$K,0)),BB93,INDEX('[1]Définition Maintenances'!$G:$G,MATCH($A93,'[1]Définition Maintenances'!$K:$K,0))+BB93),BB93))</f>
        <v>0</v>
      </c>
      <c r="BD93" s="26">
        <f>IF(ISNUMBER(VLOOKUP($D93,'Visu totale'!$D:$DH,BD$1,0)),BC93-VLOOKUP($D93,'Visu totale'!$D:$DH,BD$1,0),IF(LEFT(VLOOKUP($D93,'Visu totale'!$D:$DH,BD$1,0),1)="V",IF(BC93&gt;=INDEX('[1]Définition Maintenances'!$G:$G,MATCH($A93,'[1]Définition Maintenances'!$K:$K,0)),BC93,INDEX('[1]Définition Maintenances'!$G:$G,MATCH($A93,'[1]Définition Maintenances'!$K:$K,0))+BC93),BC93))</f>
        <v>0</v>
      </c>
      <c r="BE93" s="26">
        <f>IF(ISNUMBER(VLOOKUP($D93,'Visu totale'!$D:$DH,BE$1,0)),BD93-VLOOKUP($D93,'Visu totale'!$D:$DH,BE$1,0),IF(LEFT(VLOOKUP($D93,'Visu totale'!$D:$DH,BE$1,0),1)="V",IF(BD93&gt;=INDEX('[1]Définition Maintenances'!$G:$G,MATCH($A93,'[1]Définition Maintenances'!$K:$K,0)),BD93,INDEX('[1]Définition Maintenances'!$G:$G,MATCH($A93,'[1]Définition Maintenances'!$K:$K,0))+BD93),BD93))</f>
        <v>0</v>
      </c>
      <c r="BF93" s="26">
        <f>IF(ISNUMBER(VLOOKUP($D93,'Visu totale'!$D:$DH,BF$1,0)),BE93-VLOOKUP($D93,'Visu totale'!$D:$DH,BF$1,0),IF(LEFT(VLOOKUP($D93,'Visu totale'!$D:$DH,BF$1,0),1)="V",IF(BE93&gt;=INDEX('[1]Définition Maintenances'!$G:$G,MATCH($A93,'[1]Définition Maintenances'!$K:$K,0)),BE93,INDEX('[1]Définition Maintenances'!$G:$G,MATCH($A93,'[1]Définition Maintenances'!$K:$K,0))+BE93),BE93))</f>
        <v>0</v>
      </c>
      <c r="BG93" s="26">
        <f>IF(ISNUMBER(VLOOKUP($D93,'Visu totale'!$D:$DH,BG$1,0)),BF93-VLOOKUP($D93,'Visu totale'!$D:$DH,BG$1,0),IF(LEFT(VLOOKUP($D93,'Visu totale'!$D:$DH,BG$1,0),1)="V",IF(BF93&gt;=INDEX('[1]Définition Maintenances'!$G:$G,MATCH($A93,'[1]Définition Maintenances'!$K:$K,0)),BF93,INDEX('[1]Définition Maintenances'!$G:$G,MATCH($A93,'[1]Définition Maintenances'!$K:$K,0))+BF93),BF93))</f>
        <v>0</v>
      </c>
      <c r="BH93" s="26">
        <f>IF(ISNUMBER(VLOOKUP($D93,'Visu totale'!$D:$DH,BH$1,0)),BG93-VLOOKUP($D93,'Visu totale'!$D:$DH,BH$1,0),IF(LEFT(VLOOKUP($D93,'Visu totale'!$D:$DH,BH$1,0),1)="V",IF(BG93&gt;=INDEX('[1]Définition Maintenances'!$G:$G,MATCH($A93,'[1]Définition Maintenances'!$K:$K,0)),BG93,INDEX('[1]Définition Maintenances'!$G:$G,MATCH($A93,'[1]Définition Maintenances'!$K:$K,0))+BG93),BG93))</f>
        <v>0</v>
      </c>
      <c r="BI93" s="26">
        <f>IF(ISNUMBER(VLOOKUP($D93,'Visu totale'!$D:$DH,BI$1,0)),BH93-VLOOKUP($D93,'Visu totale'!$D:$DH,BI$1,0),IF(LEFT(VLOOKUP($D93,'Visu totale'!$D:$DH,BI$1,0),1)="V",IF(BH93&gt;=INDEX('[1]Définition Maintenances'!$G:$G,MATCH($A93,'[1]Définition Maintenances'!$K:$K,0)),BH93,INDEX('[1]Définition Maintenances'!$G:$G,MATCH($A93,'[1]Définition Maintenances'!$K:$K,0))+BH93),BH93))</f>
        <v>0</v>
      </c>
      <c r="BJ93" s="26">
        <f>IF(ISNUMBER(VLOOKUP($D93,'Visu totale'!$D:$DH,BJ$1,0)),BI93-VLOOKUP($D93,'Visu totale'!$D:$DH,BJ$1,0),IF(LEFT(VLOOKUP($D93,'Visu totale'!$D:$DH,BJ$1,0),1)="V",IF(BI93&gt;=INDEX('[1]Définition Maintenances'!$G:$G,MATCH($A93,'[1]Définition Maintenances'!$K:$K,0)),BI93,INDEX('[1]Définition Maintenances'!$G:$G,MATCH($A93,'[1]Définition Maintenances'!$K:$K,0))+BI93),BI93))</f>
        <v>0</v>
      </c>
      <c r="BK93" s="26">
        <f>IF(ISNUMBER(VLOOKUP($D93,'Visu totale'!$D:$DH,BK$1,0)),BJ93-VLOOKUP($D93,'Visu totale'!$D:$DH,BK$1,0),IF(LEFT(VLOOKUP($D93,'Visu totale'!$D:$DH,BK$1,0),1)="V",IF(BJ93&gt;=INDEX('[1]Définition Maintenances'!$G:$G,MATCH($A93,'[1]Définition Maintenances'!$K:$K,0)),BJ93,INDEX('[1]Définition Maintenances'!$G:$G,MATCH($A93,'[1]Définition Maintenances'!$K:$K,0))+BJ93),BJ93))</f>
        <v>0</v>
      </c>
      <c r="BL93" s="26">
        <f>IF(ISNUMBER(VLOOKUP($D93,'Visu totale'!$D:$DH,BL$1,0)),BK93-VLOOKUP($D93,'Visu totale'!$D:$DH,BL$1,0),IF(LEFT(VLOOKUP($D93,'Visu totale'!$D:$DH,BL$1,0),1)="V",IF(BK93&gt;=INDEX('[1]Définition Maintenances'!$G:$G,MATCH($A93,'[1]Définition Maintenances'!$K:$K,0)),BK93,INDEX('[1]Définition Maintenances'!$G:$G,MATCH($A93,'[1]Définition Maintenances'!$K:$K,0))+BK93),BK93))</f>
        <v>0</v>
      </c>
      <c r="BM93" s="27">
        <f>IF(ISNUMBER(VLOOKUP($D93,'Visu totale'!$D:$DH,BM$1,0)),BL93-VLOOKUP($D93,'Visu totale'!$D:$DH,BM$1,0),IF(LEFT(VLOOKUP($D93,'Visu totale'!$D:$DH,BM$1,0),1)="V",IF(BL93&gt;=INDEX('[1]Définition Maintenances'!$G:$G,MATCH($A93,'[1]Définition Maintenances'!$K:$K,0)),BL93,INDEX('[1]Définition Maintenances'!$G:$G,MATCH($A93,'[1]Définition Maintenances'!$K:$K,0))+BL93),BL93))</f>
        <v>0</v>
      </c>
      <c r="BN93" s="25">
        <f>IF(ISNUMBER(VLOOKUP($D93,'Visu totale'!$D:$DH,BN$1,0)),BM93-VLOOKUP($D93,'Visu totale'!$D:$DH,BN$1,0),IF(LEFT(VLOOKUP($D93,'Visu totale'!$D:$DH,BN$1,0),1)="V",IF(BM93&gt;=INDEX('[1]Définition Maintenances'!$G:$G,MATCH($A93,'[1]Définition Maintenances'!$K:$K,0)),BM93,INDEX('[1]Définition Maintenances'!$G:$G,MATCH($A93,'[1]Définition Maintenances'!$K:$K,0))+BM93),BM93))</f>
        <v>0</v>
      </c>
      <c r="BO93" s="26">
        <f>IF(ISNUMBER(VLOOKUP($D93,'Visu totale'!$D:$DH,BO$1,0)),BN93-VLOOKUP($D93,'Visu totale'!$D:$DH,BO$1,0),IF(LEFT(VLOOKUP($D93,'Visu totale'!$D:$DH,BO$1,0),1)="V",IF(BN93&gt;=INDEX('[1]Définition Maintenances'!$G:$G,MATCH($A93,'[1]Définition Maintenances'!$K:$K,0)),BN93,INDEX('[1]Définition Maintenances'!$G:$G,MATCH($A93,'[1]Définition Maintenances'!$K:$K,0))+BN93),BN93))</f>
        <v>0</v>
      </c>
      <c r="BP93" s="26">
        <f>IF(ISNUMBER(VLOOKUP($D93,'Visu totale'!$D:$DH,BP$1,0)),BO93-VLOOKUP($D93,'Visu totale'!$D:$DH,BP$1,0),IF(LEFT(VLOOKUP($D93,'Visu totale'!$D:$DH,BP$1,0),1)="V",IF(BO93&gt;=INDEX('[1]Définition Maintenances'!$G:$G,MATCH($A93,'[1]Définition Maintenances'!$K:$K,0)),BO93,INDEX('[1]Définition Maintenances'!$G:$G,MATCH($A93,'[1]Définition Maintenances'!$K:$K,0))+BO93),BO93))</f>
        <v>0</v>
      </c>
      <c r="BQ93" s="26">
        <f>IF(ISNUMBER(VLOOKUP($D93,'Visu totale'!$D:$DH,BQ$1,0)),BP93-VLOOKUP($D93,'Visu totale'!$D:$DH,BQ$1,0),IF(LEFT(VLOOKUP($D93,'Visu totale'!$D:$DH,BQ$1,0),1)="V",IF(BP93&gt;=INDEX('[1]Définition Maintenances'!$G:$G,MATCH($A93,'[1]Définition Maintenances'!$K:$K,0)),BP93,INDEX('[1]Définition Maintenances'!$G:$G,MATCH($A93,'[1]Définition Maintenances'!$K:$K,0))+BP93),BP93))</f>
        <v>0</v>
      </c>
      <c r="BR93" s="26">
        <f>IF(ISNUMBER(VLOOKUP($D93,'Visu totale'!$D:$DH,BR$1,0)),BQ93-VLOOKUP($D93,'Visu totale'!$D:$DH,BR$1,0),IF(LEFT(VLOOKUP($D93,'Visu totale'!$D:$DH,BR$1,0),1)="V",IF(BQ93&gt;=INDEX('[1]Définition Maintenances'!$G:$G,MATCH($A93,'[1]Définition Maintenances'!$K:$K,0)),BQ93,INDEX('[1]Définition Maintenances'!$G:$G,MATCH($A93,'[1]Définition Maintenances'!$K:$K,0))+BQ93),BQ93))</f>
        <v>0</v>
      </c>
      <c r="BS93" s="26">
        <f>IF(ISNUMBER(VLOOKUP($D93,'Visu totale'!$D:$DH,BS$1,0)),BR93-VLOOKUP($D93,'Visu totale'!$D:$DH,BS$1,0),IF(LEFT(VLOOKUP($D93,'Visu totale'!$D:$DH,BS$1,0),1)="V",IF(BR93&gt;=INDEX('[1]Définition Maintenances'!$G:$G,MATCH($A93,'[1]Définition Maintenances'!$K:$K,0)),BR93,INDEX('[1]Définition Maintenances'!$G:$G,MATCH($A93,'[1]Définition Maintenances'!$K:$K,0))+BR93),BR93))</f>
        <v>0</v>
      </c>
      <c r="BT93" s="26">
        <f>IF(ISNUMBER(VLOOKUP($D93,'Visu totale'!$D:$DH,BT$1,0)),BS93-VLOOKUP($D93,'Visu totale'!$D:$DH,BT$1,0),IF(LEFT(VLOOKUP($D93,'Visu totale'!$D:$DH,BT$1,0),1)="V",IF(BS93&gt;=INDEX('[1]Définition Maintenances'!$G:$G,MATCH($A93,'[1]Définition Maintenances'!$K:$K,0)),BS93,INDEX('[1]Définition Maintenances'!$G:$G,MATCH($A93,'[1]Définition Maintenances'!$K:$K,0))+BS93),BS93))</f>
        <v>0</v>
      </c>
      <c r="BU93" s="26">
        <f>IF(ISNUMBER(VLOOKUP($D93,'Visu totale'!$D:$DH,BU$1,0)),BT93-VLOOKUP($D93,'Visu totale'!$D:$DH,BU$1,0),IF(LEFT(VLOOKUP($D93,'Visu totale'!$D:$DH,BU$1,0),1)="V",IF(BT93&gt;=INDEX('[1]Définition Maintenances'!$G:$G,MATCH($A93,'[1]Définition Maintenances'!$K:$K,0)),BT93,INDEX('[1]Définition Maintenances'!$G:$G,MATCH($A93,'[1]Définition Maintenances'!$K:$K,0))+BT93),BT93))</f>
        <v>0</v>
      </c>
      <c r="BV93" s="26">
        <f>IF(ISNUMBER(VLOOKUP($D93,'Visu totale'!$D:$DH,BV$1,0)),BU93-VLOOKUP($D93,'Visu totale'!$D:$DH,BV$1,0),IF(LEFT(VLOOKUP($D93,'Visu totale'!$D:$DH,BV$1,0),1)="V",IF(BU93&gt;=INDEX('[1]Définition Maintenances'!$G:$G,MATCH($A93,'[1]Définition Maintenances'!$K:$K,0)),BU93,INDEX('[1]Définition Maintenances'!$G:$G,MATCH($A93,'[1]Définition Maintenances'!$K:$K,0))+BU93),BU93))</f>
        <v>0</v>
      </c>
      <c r="BW93" s="26">
        <f>IF(ISNUMBER(VLOOKUP($D93,'Visu totale'!$D:$DH,BW$1,0)),BV93-VLOOKUP($D93,'Visu totale'!$D:$DH,BW$1,0),IF(LEFT(VLOOKUP($D93,'Visu totale'!$D:$DH,BW$1,0),1)="V",IF(BV93&gt;=INDEX('[1]Définition Maintenances'!$G:$G,MATCH($A93,'[1]Définition Maintenances'!$K:$K,0)),BV93,INDEX('[1]Définition Maintenances'!$G:$G,MATCH($A93,'[1]Définition Maintenances'!$K:$K,0))+BV93),BV93))</f>
        <v>0</v>
      </c>
      <c r="BX93" s="26">
        <f>IF(ISNUMBER(VLOOKUP($D93,'Visu totale'!$D:$DH,BX$1,0)),BW93-VLOOKUP($D93,'Visu totale'!$D:$DH,BX$1,0),IF(LEFT(VLOOKUP($D93,'Visu totale'!$D:$DH,BX$1,0),1)="V",IF(BW93&gt;=INDEX('[1]Définition Maintenances'!$G:$G,MATCH($A93,'[1]Définition Maintenances'!$K:$K,0)),BW93,INDEX('[1]Définition Maintenances'!$G:$G,MATCH($A93,'[1]Définition Maintenances'!$K:$K,0))+BW93),BW93))</f>
        <v>0</v>
      </c>
      <c r="BY93" s="27">
        <f>IF(ISNUMBER(VLOOKUP($D93,'Visu totale'!$D:$DH,BY$1,0)),BX93-VLOOKUP($D93,'Visu totale'!$D:$DH,BY$1,0),IF(LEFT(VLOOKUP($D93,'Visu totale'!$D:$DH,BY$1,0),1)="V",IF(BX93&gt;=INDEX('[1]Définition Maintenances'!$G:$G,MATCH($A93,'[1]Définition Maintenances'!$K:$K,0)),BX93,INDEX('[1]Définition Maintenances'!$G:$G,MATCH($A93,'[1]Définition Maintenances'!$K:$K,0))+BX93),BX93))</f>
        <v>0</v>
      </c>
      <c r="BZ93" s="25">
        <f>IF(ISNUMBER(VLOOKUP($D93,'Visu totale'!$D:$DH,BZ$1,0)),BY93-VLOOKUP($D93,'Visu totale'!$D:$DH,BZ$1,0),IF(LEFT(VLOOKUP($D93,'Visu totale'!$D:$DH,BZ$1,0),1)="V",IF(BY93&gt;=INDEX('[1]Définition Maintenances'!$G:$G,MATCH($A93,'[1]Définition Maintenances'!$K:$K,0)),BY93,INDEX('[1]Définition Maintenances'!$G:$G,MATCH($A93,'[1]Définition Maintenances'!$K:$K,0))+BY93),BY93))</f>
        <v>0</v>
      </c>
      <c r="CA93" s="26">
        <f>IF(ISNUMBER(VLOOKUP($D93,'Visu totale'!$D:$DH,CA$1,0)),BZ93-VLOOKUP($D93,'Visu totale'!$D:$DH,CA$1,0),IF(LEFT(VLOOKUP($D93,'Visu totale'!$D:$DH,CA$1,0),1)="V",IF(BZ93&gt;=INDEX('[1]Définition Maintenances'!$G:$G,MATCH($A93,'[1]Définition Maintenances'!$K:$K,0)),BZ93,INDEX('[1]Définition Maintenances'!$G:$G,MATCH($A93,'[1]Définition Maintenances'!$K:$K,0))+BZ93),BZ93))</f>
        <v>0</v>
      </c>
      <c r="CB93" s="26">
        <f>IF(ISNUMBER(VLOOKUP($D93,'Visu totale'!$D:$DH,CB$1,0)),CA93-VLOOKUP($D93,'Visu totale'!$D:$DH,CB$1,0),IF(LEFT(VLOOKUP($D93,'Visu totale'!$D:$DH,CB$1,0),1)="V",IF(CA93&gt;=INDEX('[1]Définition Maintenances'!$G:$G,MATCH($A93,'[1]Définition Maintenances'!$K:$K,0)),CA93,INDEX('[1]Définition Maintenances'!$G:$G,MATCH($A93,'[1]Définition Maintenances'!$K:$K,0))+CA93),CA93))</f>
        <v>0</v>
      </c>
      <c r="CC93" s="26">
        <f>IF(ISNUMBER(VLOOKUP($D93,'Visu totale'!$D:$DH,CC$1,0)),CB93-VLOOKUP($D93,'Visu totale'!$D:$DH,CC$1,0),IF(LEFT(VLOOKUP($D93,'Visu totale'!$D:$DH,CC$1,0),1)="V",IF(CB93&gt;=INDEX('[1]Définition Maintenances'!$G:$G,MATCH($A93,'[1]Définition Maintenances'!$K:$K,0)),CB93,INDEX('[1]Définition Maintenances'!$G:$G,MATCH($A93,'[1]Définition Maintenances'!$K:$K,0))+CB93),CB93))</f>
        <v>0</v>
      </c>
      <c r="CD93" s="26">
        <f>IF(ISNUMBER(VLOOKUP($D93,'Visu totale'!$D:$DH,CD$1,0)),CC93-VLOOKUP($D93,'Visu totale'!$D:$DH,CD$1,0),IF(LEFT(VLOOKUP($D93,'Visu totale'!$D:$DH,CD$1,0),1)="V",IF(CC93&gt;=INDEX('[1]Définition Maintenances'!$G:$G,MATCH($A93,'[1]Définition Maintenances'!$K:$K,0)),CC93,INDEX('[1]Définition Maintenances'!$G:$G,MATCH($A93,'[1]Définition Maintenances'!$K:$K,0))+CC93),CC93))</f>
        <v>0</v>
      </c>
      <c r="CE93" s="26">
        <f>IF(ISNUMBER(VLOOKUP($D93,'Visu totale'!$D:$DH,CE$1,0)),CD93-VLOOKUP($D93,'Visu totale'!$D:$DH,CE$1,0),IF(LEFT(VLOOKUP($D93,'Visu totale'!$D:$DH,CE$1,0),1)="V",IF(CD93&gt;=INDEX('[1]Définition Maintenances'!$G:$G,MATCH($A93,'[1]Définition Maintenances'!$K:$K,0)),CD93,INDEX('[1]Définition Maintenances'!$G:$G,MATCH($A93,'[1]Définition Maintenances'!$K:$K,0))+CD93),CD93))</f>
        <v>0</v>
      </c>
      <c r="CF93" s="26">
        <f>IF(ISNUMBER(VLOOKUP($D93,'Visu totale'!$D:$DH,CF$1,0)),CE93-VLOOKUP($D93,'Visu totale'!$D:$DH,CF$1,0),IF(LEFT(VLOOKUP($D93,'Visu totale'!$D:$DH,CF$1,0),1)="V",IF(CE93&gt;=INDEX('[1]Définition Maintenances'!$G:$G,MATCH($A93,'[1]Définition Maintenances'!$K:$K,0)),CE93,INDEX('[1]Définition Maintenances'!$G:$G,MATCH($A93,'[1]Définition Maintenances'!$K:$K,0))+CE93),CE93))</f>
        <v>0</v>
      </c>
      <c r="CG93" s="26">
        <f>IF(ISNUMBER(VLOOKUP($D93,'Visu totale'!$D:$DH,CG$1,0)),CF93-VLOOKUP($D93,'Visu totale'!$D:$DH,CG$1,0),IF(LEFT(VLOOKUP($D93,'Visu totale'!$D:$DH,CG$1,0),1)="V",IF(CF93&gt;=INDEX('[1]Définition Maintenances'!$G:$G,MATCH($A93,'[1]Définition Maintenances'!$K:$K,0)),CF93,INDEX('[1]Définition Maintenances'!$G:$G,MATCH($A93,'[1]Définition Maintenances'!$K:$K,0))+CF93),CF93))</f>
        <v>0</v>
      </c>
      <c r="CH93" s="26">
        <f>IF(ISNUMBER(VLOOKUP($D93,'Visu totale'!$D:$DH,CH$1,0)),CG93-VLOOKUP($D93,'Visu totale'!$D:$DH,CH$1,0),IF(LEFT(VLOOKUP($D93,'Visu totale'!$D:$DH,CH$1,0),1)="V",IF(CG93&gt;=INDEX('[1]Définition Maintenances'!$G:$G,MATCH($A93,'[1]Définition Maintenances'!$K:$K,0)),CG93,INDEX('[1]Définition Maintenances'!$G:$G,MATCH($A93,'[1]Définition Maintenances'!$K:$K,0))+CG93),CG93))</f>
        <v>0</v>
      </c>
      <c r="CI93" s="26">
        <f>IF(ISNUMBER(VLOOKUP($D93,'Visu totale'!$D:$DH,CI$1,0)),CH93-VLOOKUP($D93,'Visu totale'!$D:$DH,CI$1,0),IF(LEFT(VLOOKUP($D93,'Visu totale'!$D:$DH,CI$1,0),1)="V",IF(CH93&gt;=INDEX('[1]Définition Maintenances'!$G:$G,MATCH($A93,'[1]Définition Maintenances'!$K:$K,0)),CH93,INDEX('[1]Définition Maintenances'!$G:$G,MATCH($A93,'[1]Définition Maintenances'!$K:$K,0))+CH93),CH93))</f>
        <v>0</v>
      </c>
      <c r="CJ93" s="26">
        <f>IF(ISNUMBER(VLOOKUP($D93,'Visu totale'!$D:$DH,CJ$1,0)),CI93-VLOOKUP($D93,'Visu totale'!$D:$DH,CJ$1,0),IF(LEFT(VLOOKUP($D93,'Visu totale'!$D:$DH,CJ$1,0),1)="V",IF(CI93&gt;=INDEX('[1]Définition Maintenances'!$G:$G,MATCH($A93,'[1]Définition Maintenances'!$K:$K,0)),CI93,INDEX('[1]Définition Maintenances'!$G:$G,MATCH($A93,'[1]Définition Maintenances'!$K:$K,0))+CI93),CI93))</f>
        <v>0</v>
      </c>
      <c r="CK93" s="27">
        <f>IF(ISNUMBER(VLOOKUP($D93,'Visu totale'!$D:$DH,CK$1,0)),CJ93-VLOOKUP($D93,'Visu totale'!$D:$DH,CK$1,0),IF(LEFT(VLOOKUP($D93,'Visu totale'!$D:$DH,CK$1,0),1)="V",IF(CJ93&gt;=INDEX('[1]Définition Maintenances'!$G:$G,MATCH($A93,'[1]Définition Maintenances'!$K:$K,0)),CJ93,INDEX('[1]Définition Maintenances'!$G:$G,MATCH($A93,'[1]Définition Maintenances'!$K:$K,0))+CJ93),CJ93))</f>
        <v>0</v>
      </c>
      <c r="CL93" s="25">
        <f>IF(ISNUMBER(VLOOKUP($D93,'Visu totale'!$D:$DH,CL$1,0)),CK93-VLOOKUP($D93,'Visu totale'!$D:$DH,CL$1,0),IF(LEFT(VLOOKUP($D93,'Visu totale'!$D:$DH,CL$1,0),1)="V",IF(CK93&gt;=INDEX('[1]Définition Maintenances'!$G:$G,MATCH($A93,'[1]Définition Maintenances'!$K:$K,0)),CK93,INDEX('[1]Définition Maintenances'!$G:$G,MATCH($A93,'[1]Définition Maintenances'!$K:$K,0))+CK93),CK93))</f>
        <v>0</v>
      </c>
      <c r="CM93" s="26">
        <f>IF(ISNUMBER(VLOOKUP($D93,'Visu totale'!$D:$DH,CM$1,0)),CL93-VLOOKUP($D93,'Visu totale'!$D:$DH,CM$1,0),IF(LEFT(VLOOKUP($D93,'Visu totale'!$D:$DH,CM$1,0),1)="V",IF(CL93&gt;=INDEX('[1]Définition Maintenances'!$G:$G,MATCH($A93,'[1]Définition Maintenances'!$K:$K,0)),CL93,INDEX('[1]Définition Maintenances'!$G:$G,MATCH($A93,'[1]Définition Maintenances'!$K:$K,0))+CL93),CL93))</f>
        <v>0</v>
      </c>
      <c r="CN93" s="26">
        <f>IF(ISNUMBER(VLOOKUP($D93,'Visu totale'!$D:$DH,CN$1,0)),CM93-VLOOKUP($D93,'Visu totale'!$D:$DH,CN$1,0),IF(LEFT(VLOOKUP($D93,'Visu totale'!$D:$DH,CN$1,0),1)="V",IF(CM93&gt;=INDEX('[1]Définition Maintenances'!$G:$G,MATCH($A93,'[1]Définition Maintenances'!$K:$K,0)),CM93,INDEX('[1]Définition Maintenances'!$G:$G,MATCH($A93,'[1]Définition Maintenances'!$K:$K,0))+CM93),CM93))</f>
        <v>0</v>
      </c>
      <c r="CO93" s="26">
        <f>IF(ISNUMBER(VLOOKUP($D93,'Visu totale'!$D:$DH,CO$1,0)),CN93-VLOOKUP($D93,'Visu totale'!$D:$DH,CO$1,0),IF(LEFT(VLOOKUP($D93,'Visu totale'!$D:$DH,CO$1,0),1)="V",IF(CN93&gt;=INDEX('[1]Définition Maintenances'!$G:$G,MATCH($A93,'[1]Définition Maintenances'!$K:$K,0)),CN93,INDEX('[1]Définition Maintenances'!$G:$G,MATCH($A93,'[1]Définition Maintenances'!$K:$K,0))+CN93),CN93))</f>
        <v>0</v>
      </c>
      <c r="CP93" s="26">
        <f>IF(ISNUMBER(VLOOKUP($D93,'Visu totale'!$D:$DH,CP$1,0)),CO93-VLOOKUP($D93,'Visu totale'!$D:$DH,CP$1,0),IF(LEFT(VLOOKUP($D93,'Visu totale'!$D:$DH,CP$1,0),1)="V",IF(CO93&gt;=INDEX('[1]Définition Maintenances'!$G:$G,MATCH($A93,'[1]Définition Maintenances'!$K:$K,0)),CO93,INDEX('[1]Définition Maintenances'!$G:$G,MATCH($A93,'[1]Définition Maintenances'!$K:$K,0))+CO93),CO93))</f>
        <v>0</v>
      </c>
      <c r="CQ93" s="26">
        <f>IF(ISNUMBER(VLOOKUP($D93,'Visu totale'!$D:$DH,CQ$1,0)),CP93-VLOOKUP($D93,'Visu totale'!$D:$DH,CQ$1,0),IF(LEFT(VLOOKUP($D93,'Visu totale'!$D:$DH,CQ$1,0),1)="V",IF(CP93&gt;=INDEX('[1]Définition Maintenances'!$G:$G,MATCH($A93,'[1]Définition Maintenances'!$K:$K,0)),CP93,INDEX('[1]Définition Maintenances'!$G:$G,MATCH($A93,'[1]Définition Maintenances'!$K:$K,0))+CP93),CP93))</f>
        <v>0</v>
      </c>
      <c r="CR93" s="26">
        <f>IF(ISNUMBER(VLOOKUP($D93,'Visu totale'!$D:$DH,CR$1,0)),CQ93-VLOOKUP($D93,'Visu totale'!$D:$DH,CR$1,0),IF(LEFT(VLOOKUP($D93,'Visu totale'!$D:$DH,CR$1,0),1)="V",IF(CQ93&gt;=INDEX('[1]Définition Maintenances'!$G:$G,MATCH($A93,'[1]Définition Maintenances'!$K:$K,0)),CQ93,INDEX('[1]Définition Maintenances'!$G:$G,MATCH($A93,'[1]Définition Maintenances'!$K:$K,0))+CQ93),CQ93))</f>
        <v>0</v>
      </c>
      <c r="CS93" s="26">
        <f>IF(ISNUMBER(VLOOKUP($D93,'Visu totale'!$D:$DH,CS$1,0)),CR93-VLOOKUP($D93,'Visu totale'!$D:$DH,CS$1,0),IF(LEFT(VLOOKUP($D93,'Visu totale'!$D:$DH,CS$1,0),1)="V",IF(CR93&gt;=INDEX('[1]Définition Maintenances'!$G:$G,MATCH($A93,'[1]Définition Maintenances'!$K:$K,0)),CR93,INDEX('[1]Définition Maintenances'!$G:$G,MATCH($A93,'[1]Définition Maintenances'!$K:$K,0))+CR93),CR93))</f>
        <v>0</v>
      </c>
      <c r="CT93" s="26">
        <f>IF(ISNUMBER(VLOOKUP($D93,'Visu totale'!$D:$DH,CT$1,0)),CS93-VLOOKUP($D93,'Visu totale'!$D:$DH,CT$1,0),IF(LEFT(VLOOKUP($D93,'Visu totale'!$D:$DH,CT$1,0),1)="V",IF(CS93&gt;=INDEX('[1]Définition Maintenances'!$G:$G,MATCH($A93,'[1]Définition Maintenances'!$K:$K,0)),CS93,INDEX('[1]Définition Maintenances'!$G:$G,MATCH($A93,'[1]Définition Maintenances'!$K:$K,0))+CS93),CS93))</f>
        <v>0</v>
      </c>
      <c r="CU93" s="26">
        <f>IF(ISNUMBER(VLOOKUP($D93,'Visu totale'!$D:$DH,CU$1,0)),CT93-VLOOKUP($D93,'Visu totale'!$D:$DH,CU$1,0),IF(LEFT(VLOOKUP($D93,'Visu totale'!$D:$DH,CU$1,0),1)="V",IF(CT93&gt;=INDEX('[1]Définition Maintenances'!$G:$G,MATCH($A93,'[1]Définition Maintenances'!$K:$K,0)),CT93,INDEX('[1]Définition Maintenances'!$G:$G,MATCH($A93,'[1]Définition Maintenances'!$K:$K,0))+CT93),CT93))</f>
        <v>0</v>
      </c>
      <c r="CV93" s="26">
        <f>IF(ISNUMBER(VLOOKUP($D93,'Visu totale'!$D:$DH,CV$1,0)),CU93-VLOOKUP($D93,'Visu totale'!$D:$DH,CV$1,0),IF(LEFT(VLOOKUP($D93,'Visu totale'!$D:$DH,CV$1,0),1)="V",IF(CU93&gt;=INDEX('[1]Définition Maintenances'!$G:$G,MATCH($A93,'[1]Définition Maintenances'!$K:$K,0)),CU93,INDEX('[1]Définition Maintenances'!$G:$G,MATCH($A93,'[1]Définition Maintenances'!$K:$K,0))+CU93),CU93))</f>
        <v>0</v>
      </c>
      <c r="CW93" s="27">
        <f>IF(ISNUMBER(VLOOKUP($D93,'Visu totale'!$D:$DH,CW$1,0)),CV93-VLOOKUP($D93,'Visu totale'!$D:$DH,CW$1,0),IF(LEFT(VLOOKUP($D93,'Visu totale'!$D:$DH,CW$1,0),1)="V",IF(CV93&gt;=INDEX('[1]Définition Maintenances'!$G:$G,MATCH($A93,'[1]Définition Maintenances'!$K:$K,0)),CV93,INDEX('[1]Définition Maintenances'!$G:$G,MATCH($A93,'[1]Définition Maintenances'!$K:$K,0))+CV93),CV93))</f>
        <v>0</v>
      </c>
      <c r="CX93" s="25">
        <f>IF(ISNUMBER(VLOOKUP($D93,'Visu totale'!$D:$DH,CX$1,0)),CW93-VLOOKUP($D93,'Visu totale'!$D:$DH,CX$1,0),IF(LEFT(VLOOKUP($D93,'Visu totale'!$D:$DH,CX$1,0),1)="V",IF(CW93&gt;=INDEX('[1]Définition Maintenances'!$G:$G,MATCH($A93,'[1]Définition Maintenances'!$K:$K,0)),CW93,INDEX('[1]Définition Maintenances'!$G:$G,MATCH($A93,'[1]Définition Maintenances'!$K:$K,0))+CW93),CW93))</f>
        <v>0</v>
      </c>
      <c r="CY93" s="26">
        <f>IF(ISNUMBER(VLOOKUP($D93,'Visu totale'!$D:$DH,CY$1,0)),CX93-VLOOKUP($D93,'Visu totale'!$D:$DH,CY$1,0),IF(LEFT(VLOOKUP($D93,'Visu totale'!$D:$DH,CY$1,0),1)="V",IF(CX93&gt;=INDEX('[1]Définition Maintenances'!$G:$G,MATCH($A93,'[1]Définition Maintenances'!$K:$K,0)),CX93,INDEX('[1]Définition Maintenances'!$G:$G,MATCH($A93,'[1]Définition Maintenances'!$K:$K,0))+CX93),CX93))</f>
        <v>0</v>
      </c>
      <c r="CZ93" s="26">
        <f>IF(ISNUMBER(VLOOKUP($D93,'Visu totale'!$D:$DH,CZ$1,0)),CY93-VLOOKUP($D93,'Visu totale'!$D:$DH,CZ$1,0),IF(LEFT(VLOOKUP($D93,'Visu totale'!$D:$DH,CZ$1,0),1)="V",IF(CY93&gt;=INDEX('[1]Définition Maintenances'!$G:$G,MATCH($A93,'[1]Définition Maintenances'!$K:$K,0)),CY93,INDEX('[1]Définition Maintenances'!$G:$G,MATCH($A93,'[1]Définition Maintenances'!$K:$K,0))+CY93),CY93))</f>
        <v>0</v>
      </c>
      <c r="DA93" s="26">
        <f>IF(ISNUMBER(VLOOKUP($D93,'Visu totale'!$D:$DH,DA$1,0)),CZ93-VLOOKUP($D93,'Visu totale'!$D:$DH,DA$1,0),IF(LEFT(VLOOKUP($D93,'Visu totale'!$D:$DH,DA$1,0),1)="V",IF(CZ93&gt;=INDEX('[1]Définition Maintenances'!$G:$G,MATCH($A93,'[1]Définition Maintenances'!$K:$K,0)),CZ93,INDEX('[1]Définition Maintenances'!$G:$G,MATCH($A93,'[1]Définition Maintenances'!$K:$K,0))+CZ93),CZ93))</f>
        <v>0</v>
      </c>
      <c r="DB93" s="26">
        <f>IF(ISNUMBER(VLOOKUP($D93,'Visu totale'!$D:$DH,DB$1,0)),DA93-VLOOKUP($D93,'Visu totale'!$D:$DH,DB$1,0),IF(LEFT(VLOOKUP($D93,'Visu totale'!$D:$DH,DB$1,0),1)="V",IF(DA93&gt;=INDEX('[1]Définition Maintenances'!$G:$G,MATCH($A93,'[1]Définition Maintenances'!$K:$K,0)),DA93,INDEX('[1]Définition Maintenances'!$G:$G,MATCH($A93,'[1]Définition Maintenances'!$K:$K,0))+DA93),DA93))</f>
        <v>0</v>
      </c>
      <c r="DC93" s="26">
        <f>IF(ISNUMBER(VLOOKUP($D93,'Visu totale'!$D:$DH,DC$1,0)),DB93-VLOOKUP($D93,'Visu totale'!$D:$DH,DC$1,0),IF(LEFT(VLOOKUP($D93,'Visu totale'!$D:$DH,DC$1,0),1)="V",IF(DB93&gt;=INDEX('[1]Définition Maintenances'!$G:$G,MATCH($A93,'[1]Définition Maintenances'!$K:$K,0)),DB93,INDEX('[1]Définition Maintenances'!$G:$G,MATCH($A93,'[1]Définition Maintenances'!$K:$K,0))+DB93),DB93))</f>
        <v>0</v>
      </c>
      <c r="DD93" s="26">
        <f>IF(ISNUMBER(VLOOKUP($D93,'Visu totale'!$D:$DH,DD$1,0)),DC93-VLOOKUP($D93,'Visu totale'!$D:$DH,DD$1,0),IF(LEFT(VLOOKUP($D93,'Visu totale'!$D:$DH,DD$1,0),1)="V",IF(DC93&gt;=INDEX('[1]Définition Maintenances'!$G:$G,MATCH($A93,'[1]Définition Maintenances'!$K:$K,0)),DC93,INDEX('[1]Définition Maintenances'!$G:$G,MATCH($A93,'[1]Définition Maintenances'!$K:$K,0))+DC93),DC93))</f>
        <v>0</v>
      </c>
      <c r="DE93" s="26">
        <f>IF(ISNUMBER(VLOOKUP($D93,'Visu totale'!$D:$DH,DE$1,0)),DD93-VLOOKUP($D93,'Visu totale'!$D:$DH,DE$1,0),IF(LEFT(VLOOKUP($D93,'Visu totale'!$D:$DH,DE$1,0),1)="V",IF(DD93&gt;=INDEX('[1]Définition Maintenances'!$G:$G,MATCH($A93,'[1]Définition Maintenances'!$K:$K,0)),DD93,INDEX('[1]Définition Maintenances'!$G:$G,MATCH($A93,'[1]Définition Maintenances'!$K:$K,0))+DD93),DD93))</f>
        <v>0</v>
      </c>
      <c r="DF93" s="26">
        <f>IF(ISNUMBER(VLOOKUP($D93,'Visu totale'!$D:$DH,DF$1,0)),DE93-VLOOKUP($D93,'Visu totale'!$D:$DH,DF$1,0),IF(LEFT(VLOOKUP($D93,'Visu totale'!$D:$DH,DF$1,0),1)="V",IF(DE93&gt;=INDEX('[1]Définition Maintenances'!$G:$G,MATCH($A93,'[1]Définition Maintenances'!$K:$K,0)),DE93,INDEX('[1]Définition Maintenances'!$G:$G,MATCH($A93,'[1]Définition Maintenances'!$K:$K,0))+DE93),DE93))</f>
        <v>0</v>
      </c>
      <c r="DG93" s="26">
        <f>IF(ISNUMBER(VLOOKUP($D93,'Visu totale'!$D:$DH,DG$1,0)),DF93-VLOOKUP($D93,'Visu totale'!$D:$DH,DG$1,0),IF(LEFT(VLOOKUP($D93,'Visu totale'!$D:$DH,DG$1,0),1)="V",IF(DF93&gt;=INDEX('[1]Définition Maintenances'!$G:$G,MATCH($A93,'[1]Définition Maintenances'!$K:$K,0)),DF93,INDEX('[1]Définition Maintenances'!$G:$G,MATCH($A93,'[1]Définition Maintenances'!$K:$K,0))+DF93),DF93))</f>
        <v>0</v>
      </c>
      <c r="DH93" s="26">
        <f>IF(ISNUMBER(VLOOKUP($D93,'Visu totale'!$D:$DH,DH$1,0)),DG93-VLOOKUP($D93,'Visu totale'!$D:$DH,DH$1,0),IF(LEFT(VLOOKUP($D93,'Visu totale'!$D:$DH,DH$1,0),1)="V",IF(DG93&gt;=INDEX('[1]Définition Maintenances'!$G:$G,MATCH($A93,'[1]Définition Maintenances'!$K:$K,0)),DG93,INDEX('[1]Définition Maintenances'!$G:$G,MATCH($A93,'[1]Définition Maintenances'!$K:$K,0))+DG93),DG93))</f>
        <v>0</v>
      </c>
      <c r="DI93" s="27">
        <f>IF(ISNUMBER(VLOOKUP($D93,'Visu totale'!$D:$DH,DI$1,0)),DH93-VLOOKUP($D93,'Visu totale'!$D:$DH,DI$1,0),IF(LEFT(VLOOKUP($D93,'Visu totale'!$D:$DH,DI$1,0),1)="V",IF(DH93&gt;=INDEX('[1]Définition Maintenances'!$G:$G,MATCH($A93,'[1]Définition Maintenances'!$K:$K,0)),DH93,INDEX('[1]Définition Maintenances'!$G:$G,MATCH($A93,'[1]Définition Maintenances'!$K:$K,0))+DH93),DH93))</f>
        <v>0</v>
      </c>
    </row>
    <row r="94" spans="1:113" x14ac:dyDescent="0.25">
      <c r="A94" s="13" t="str">
        <f t="shared" si="2"/>
        <v>V30C</v>
      </c>
      <c r="B94" s="13" t="str">
        <f>VLOOKUP(D94,'[1]Avions (Potentiels)'!$B$2:$H$128,7,FALSE)</f>
        <v>V30</v>
      </c>
      <c r="C94" s="13"/>
      <c r="D94" s="16" t="s">
        <v>97</v>
      </c>
      <c r="E94" s="13">
        <f>IFERROR(VALUE(SUBSTITUTE(VLOOKUP(D94,'[1]Avions (Potentiels)'!$B:$E,4,0),".",",")),VALUE(VLOOKUP(D94,'[1]Avions (Potentiels)'!$B:$E,4,0)))</f>
        <v>1000</v>
      </c>
      <c r="F94" s="25">
        <f>IF(ISNUMBER(VLOOKUP($D94,'Visu totale'!$D:$DH,F$1,0)),E94-VLOOKUP($D94,'Visu totale'!$D:$DH,F$1,0),IF(LEFT(VLOOKUP($D94,'Visu totale'!$D:$DH,F$1,0),1)="V",IF(E94&gt;=INDEX('[1]Définition Maintenances'!$G:$G,MATCH($A94,'[1]Définition Maintenances'!$K:$K,0)),E94,INDEX('[1]Définition Maintenances'!$G:$G,MATCH($A94,'[1]Définition Maintenances'!$K:$K,0))+E94),E94))</f>
        <v>1000</v>
      </c>
      <c r="G94" s="26">
        <f>IF(ISNUMBER(VLOOKUP($D94,'Visu totale'!$D:$DH,G$1,0)),F94-VLOOKUP($D94,'Visu totale'!$D:$DH,G$1,0),IF(LEFT(VLOOKUP($D94,'Visu totale'!$D:$DH,G$1,0),1)="V",IF(F94&gt;=INDEX('[1]Définition Maintenances'!$G:$G,MATCH($A94,'[1]Définition Maintenances'!$K:$K,0)),F94,INDEX('[1]Définition Maintenances'!$G:$G,MATCH($A94,'[1]Définition Maintenances'!$K:$K,0))+F94),F94))</f>
        <v>1000</v>
      </c>
      <c r="H94" s="26">
        <f>IF(ISNUMBER(VLOOKUP($D94,'Visu totale'!$D:$DH,H$1,0)),G94-VLOOKUP($D94,'Visu totale'!$D:$DH,H$1,0),IF(LEFT(VLOOKUP($D94,'Visu totale'!$D:$DH,H$1,0),1)="V",IF(G94&gt;=INDEX('[1]Définition Maintenances'!$G:$G,MATCH($A94,'[1]Définition Maintenances'!$K:$K,0)),G94,INDEX('[1]Définition Maintenances'!$G:$G,MATCH($A94,'[1]Définition Maintenances'!$K:$K,0))+G94),G94))</f>
        <v>1000</v>
      </c>
      <c r="I94" s="26">
        <f>IF(ISNUMBER(VLOOKUP($D94,'Visu totale'!$D:$DH,I$1,0)),H94-VLOOKUP($D94,'Visu totale'!$D:$DH,I$1,0),IF(LEFT(VLOOKUP($D94,'Visu totale'!$D:$DH,I$1,0),1)="V",IF(H94&gt;=INDEX('[1]Définition Maintenances'!$G:$G,MATCH($A94,'[1]Définition Maintenances'!$K:$K,0)),H94,INDEX('[1]Définition Maintenances'!$G:$G,MATCH($A94,'[1]Définition Maintenances'!$K:$K,0))+H94),H94))</f>
        <v>1000</v>
      </c>
      <c r="J94" s="26">
        <f>IF(ISNUMBER(VLOOKUP($D94,'Visu totale'!$D:$DH,J$1,0)),I94-VLOOKUP($D94,'Visu totale'!$D:$DH,J$1,0),IF(LEFT(VLOOKUP($D94,'Visu totale'!$D:$DH,J$1,0),1)="V",IF(I94&gt;=INDEX('[1]Définition Maintenances'!$G:$G,MATCH($A94,'[1]Définition Maintenances'!$K:$K,0)),I94,INDEX('[1]Définition Maintenances'!$G:$G,MATCH($A94,'[1]Définition Maintenances'!$K:$K,0))+I94),I94))</f>
        <v>1000</v>
      </c>
      <c r="K94" s="26">
        <f>IF(ISNUMBER(VLOOKUP($D94,'Visu totale'!$D:$DH,K$1,0)),J94-VLOOKUP($D94,'Visu totale'!$D:$DH,K$1,0),IF(LEFT(VLOOKUP($D94,'Visu totale'!$D:$DH,K$1,0),1)="V",IF(J94&gt;=INDEX('[1]Définition Maintenances'!$G:$G,MATCH($A94,'[1]Définition Maintenances'!$K:$K,0)),J94,INDEX('[1]Définition Maintenances'!$G:$G,MATCH($A94,'[1]Définition Maintenances'!$K:$K,0))+J94),J94))</f>
        <v>1000</v>
      </c>
      <c r="L94" s="26">
        <f>IF(ISNUMBER(VLOOKUP($D94,'Visu totale'!$D:$DH,L$1,0)),K94-VLOOKUP($D94,'Visu totale'!$D:$DH,L$1,0),IF(LEFT(VLOOKUP($D94,'Visu totale'!$D:$DH,L$1,0),1)="V",IF(K94&gt;=INDEX('[1]Définition Maintenances'!$G:$G,MATCH($A94,'[1]Définition Maintenances'!$K:$K,0)),K94,INDEX('[1]Définition Maintenances'!$G:$G,MATCH($A94,'[1]Définition Maintenances'!$K:$K,0))+K94),K94))</f>
        <v>1000</v>
      </c>
      <c r="M94" s="26">
        <f>IF(ISNUMBER(VLOOKUP($D94,'Visu totale'!$D:$DH,M$1,0)),L94-VLOOKUP($D94,'Visu totale'!$D:$DH,M$1,0),IF(LEFT(VLOOKUP($D94,'Visu totale'!$D:$DH,M$1,0),1)="V",IF(L94&gt;=INDEX('[1]Définition Maintenances'!$G:$G,MATCH($A94,'[1]Définition Maintenances'!$K:$K,0)),L94,INDEX('[1]Définition Maintenances'!$G:$G,MATCH($A94,'[1]Définition Maintenances'!$K:$K,0))+L94),L94))</f>
        <v>1000</v>
      </c>
      <c r="N94" s="26">
        <f>IF(ISNUMBER(VLOOKUP($D94,'Visu totale'!$D:$DH,N$1,0)),M94-VLOOKUP($D94,'Visu totale'!$D:$DH,N$1,0),IF(LEFT(VLOOKUP($D94,'Visu totale'!$D:$DH,N$1,0),1)="V",IF(M94&gt;=INDEX('[1]Définition Maintenances'!$G:$G,MATCH($A94,'[1]Définition Maintenances'!$K:$K,0)),M94,INDEX('[1]Définition Maintenances'!$G:$G,MATCH($A94,'[1]Définition Maintenances'!$K:$K,0))+M94),M94))</f>
        <v>1000</v>
      </c>
      <c r="O94" s="26">
        <f>IF(ISNUMBER(VLOOKUP($D94,'Visu totale'!$D:$DH,O$1,0)),N94-VLOOKUP($D94,'Visu totale'!$D:$DH,O$1,0),IF(LEFT(VLOOKUP($D94,'Visu totale'!$D:$DH,O$1,0),1)="V",IF(N94&gt;=INDEX('[1]Définition Maintenances'!$G:$G,MATCH($A94,'[1]Définition Maintenances'!$K:$K,0)),N94,INDEX('[1]Définition Maintenances'!$G:$G,MATCH($A94,'[1]Définition Maintenances'!$K:$K,0))+N94),N94))</f>
        <v>1000</v>
      </c>
      <c r="P94" s="26">
        <f>IF(ISNUMBER(VLOOKUP($D94,'Visu totale'!$D:$DH,P$1,0)),O94-VLOOKUP($D94,'Visu totale'!$D:$DH,P$1,0),IF(LEFT(VLOOKUP($D94,'Visu totale'!$D:$DH,P$1,0),1)="V",IF(O94&gt;=INDEX('[1]Définition Maintenances'!$G:$G,MATCH($A94,'[1]Définition Maintenances'!$K:$K,0)),O94,INDEX('[1]Définition Maintenances'!$G:$G,MATCH($A94,'[1]Définition Maintenances'!$K:$K,0))+O94),O94))</f>
        <v>1000</v>
      </c>
      <c r="Q94" s="27">
        <f>IF(ISNUMBER(VLOOKUP($D94,'Visu totale'!$D:$DH,Q$1,0)),P94-VLOOKUP($D94,'Visu totale'!$D:$DH,Q$1,0),IF(LEFT(VLOOKUP($D94,'Visu totale'!$D:$DH,Q$1,0),1)="V",IF(P94&gt;=INDEX('[1]Définition Maintenances'!$G:$G,MATCH($A94,'[1]Définition Maintenances'!$K:$K,0)),P94,INDEX('[1]Définition Maintenances'!$G:$G,MATCH($A94,'[1]Définition Maintenances'!$K:$K,0))+P94),P94))</f>
        <v>1000</v>
      </c>
      <c r="R94" s="25">
        <f>IF(ISNUMBER(VLOOKUP($D94,'Visu totale'!$D:$DH,R$1,0)),Q94-VLOOKUP($D94,'Visu totale'!$D:$DH,R$1,0),IF(LEFT(VLOOKUP($D94,'Visu totale'!$D:$DH,R$1,0),1)="V",IF(Q94&gt;=INDEX('[1]Définition Maintenances'!$G:$G,MATCH($A94,'[1]Définition Maintenances'!$K:$K,0)),Q94,INDEX('[1]Définition Maintenances'!$G:$G,MATCH($A94,'[1]Définition Maintenances'!$K:$K,0))+Q94),Q94))</f>
        <v>1000</v>
      </c>
      <c r="S94" s="26">
        <f>IF(ISNUMBER(VLOOKUP($D94,'Visu totale'!$D:$DH,S$1,0)),R94-VLOOKUP($D94,'Visu totale'!$D:$DH,S$1,0),IF(LEFT(VLOOKUP($D94,'Visu totale'!$D:$DH,S$1,0),1)="V",IF(R94&gt;=INDEX('[1]Définition Maintenances'!$G:$G,MATCH($A94,'[1]Définition Maintenances'!$K:$K,0)),R94,INDEX('[1]Définition Maintenances'!$G:$G,MATCH($A94,'[1]Définition Maintenances'!$K:$K,0))+R94),R94))</f>
        <v>1000</v>
      </c>
      <c r="T94" s="26">
        <f>IF(ISNUMBER(VLOOKUP($D94,'Visu totale'!$D:$DH,T$1,0)),S94-VLOOKUP($D94,'Visu totale'!$D:$DH,T$1,0),IF(LEFT(VLOOKUP($D94,'Visu totale'!$D:$DH,T$1,0),1)="V",IF(S94&gt;=INDEX('[1]Définition Maintenances'!$G:$G,MATCH($A94,'[1]Définition Maintenances'!$K:$K,0)),S94,INDEX('[1]Définition Maintenances'!$G:$G,MATCH($A94,'[1]Définition Maintenances'!$K:$K,0))+S94),S94))</f>
        <v>1000</v>
      </c>
      <c r="U94" s="26">
        <f>IF(ISNUMBER(VLOOKUP($D94,'Visu totale'!$D:$DH,U$1,0)),T94-VLOOKUP($D94,'Visu totale'!$D:$DH,U$1,0),IF(LEFT(VLOOKUP($D94,'Visu totale'!$D:$DH,U$1,0),1)="V",IF(T94&gt;=INDEX('[1]Définition Maintenances'!$G:$G,MATCH($A94,'[1]Définition Maintenances'!$K:$K,0)),T94,INDEX('[1]Définition Maintenances'!$G:$G,MATCH($A94,'[1]Définition Maintenances'!$K:$K,0))+T94),T94))</f>
        <v>1000</v>
      </c>
      <c r="V94" s="26">
        <f>IF(ISNUMBER(VLOOKUP($D94,'Visu totale'!$D:$DH,V$1,0)),U94-VLOOKUP($D94,'Visu totale'!$D:$DH,V$1,0),IF(LEFT(VLOOKUP($D94,'Visu totale'!$D:$DH,V$1,0),1)="V",IF(U94&gt;=INDEX('[1]Définition Maintenances'!$G:$G,MATCH($A94,'[1]Définition Maintenances'!$K:$K,0)),U94,INDEX('[1]Définition Maintenances'!$G:$G,MATCH($A94,'[1]Définition Maintenances'!$K:$K,0))+U94),U94))</f>
        <v>1000</v>
      </c>
      <c r="W94" s="26">
        <f>IF(ISNUMBER(VLOOKUP($D94,'Visu totale'!$D:$DH,W$1,0)),V94-VLOOKUP($D94,'Visu totale'!$D:$DH,W$1,0),IF(LEFT(VLOOKUP($D94,'Visu totale'!$D:$DH,W$1,0),1)="V",IF(V94&gt;=INDEX('[1]Définition Maintenances'!$G:$G,MATCH($A94,'[1]Définition Maintenances'!$K:$K,0)),V94,INDEX('[1]Définition Maintenances'!$G:$G,MATCH($A94,'[1]Définition Maintenances'!$K:$K,0))+V94),V94))</f>
        <v>1000</v>
      </c>
      <c r="X94" s="26">
        <f>IF(ISNUMBER(VLOOKUP($D94,'Visu totale'!$D:$DH,X$1,0)),W94-VLOOKUP($D94,'Visu totale'!$D:$DH,X$1,0),IF(LEFT(VLOOKUP($D94,'Visu totale'!$D:$DH,X$1,0),1)="V",IF(W94&gt;=INDEX('[1]Définition Maintenances'!$G:$G,MATCH($A94,'[1]Définition Maintenances'!$K:$K,0)),W94,INDEX('[1]Définition Maintenances'!$G:$G,MATCH($A94,'[1]Définition Maintenances'!$K:$K,0))+W94),W94))</f>
        <v>1000</v>
      </c>
      <c r="Y94" s="26">
        <f>IF(ISNUMBER(VLOOKUP($D94,'Visu totale'!$D:$DH,Y$1,0)),X94-VLOOKUP($D94,'Visu totale'!$D:$DH,Y$1,0),IF(LEFT(VLOOKUP($D94,'Visu totale'!$D:$DH,Y$1,0),1)="V",IF(X94&gt;=INDEX('[1]Définition Maintenances'!$G:$G,MATCH($A94,'[1]Définition Maintenances'!$K:$K,0)),X94,INDEX('[1]Définition Maintenances'!$G:$G,MATCH($A94,'[1]Définition Maintenances'!$K:$K,0))+X94),X94))</f>
        <v>1000</v>
      </c>
      <c r="Z94" s="26">
        <f>IF(ISNUMBER(VLOOKUP($D94,'Visu totale'!$D:$DH,Z$1,0)),Y94-VLOOKUP($D94,'Visu totale'!$D:$DH,Z$1,0),IF(LEFT(VLOOKUP($D94,'Visu totale'!$D:$DH,Z$1,0),1)="V",IF(Y94&gt;=INDEX('[1]Définition Maintenances'!$G:$G,MATCH($A94,'[1]Définition Maintenances'!$K:$K,0)),Y94,INDEX('[1]Définition Maintenances'!$G:$G,MATCH($A94,'[1]Définition Maintenances'!$K:$K,0))+Y94),Y94))</f>
        <v>1000</v>
      </c>
      <c r="AA94" s="26">
        <f>IF(ISNUMBER(VLOOKUP($D94,'Visu totale'!$D:$DH,AA$1,0)),Z94-VLOOKUP($D94,'Visu totale'!$D:$DH,AA$1,0),IF(LEFT(VLOOKUP($D94,'Visu totale'!$D:$DH,AA$1,0),1)="V",IF(Z94&gt;=INDEX('[1]Définition Maintenances'!$G:$G,MATCH($A94,'[1]Définition Maintenances'!$K:$K,0)),Z94,INDEX('[1]Définition Maintenances'!$G:$G,MATCH($A94,'[1]Définition Maintenances'!$K:$K,0))+Z94),Z94))</f>
        <v>1000</v>
      </c>
      <c r="AB94" s="26">
        <f>IF(ISNUMBER(VLOOKUP($D94,'Visu totale'!$D:$DH,AB$1,0)),AA94-VLOOKUP($D94,'Visu totale'!$D:$DH,AB$1,0),IF(LEFT(VLOOKUP($D94,'Visu totale'!$D:$DH,AB$1,0),1)="V",IF(AA94&gt;=INDEX('[1]Définition Maintenances'!$G:$G,MATCH($A94,'[1]Définition Maintenances'!$K:$K,0)),AA94,INDEX('[1]Définition Maintenances'!$G:$G,MATCH($A94,'[1]Définition Maintenances'!$K:$K,0))+AA94),AA94))</f>
        <v>1000</v>
      </c>
      <c r="AC94" s="27">
        <f>IF(ISNUMBER(VLOOKUP($D94,'Visu totale'!$D:$DH,AC$1,0)),AB94-VLOOKUP($D94,'Visu totale'!$D:$DH,AC$1,0),IF(LEFT(VLOOKUP($D94,'Visu totale'!$D:$DH,AC$1,0),1)="V",IF(AB94&gt;=INDEX('[1]Définition Maintenances'!$G:$G,MATCH($A94,'[1]Définition Maintenances'!$K:$K,0)),AB94,INDEX('[1]Définition Maintenances'!$G:$G,MATCH($A94,'[1]Définition Maintenances'!$K:$K,0))+AB94),AB94))</f>
        <v>1000</v>
      </c>
      <c r="AD94" s="25">
        <f>IF(ISNUMBER(VLOOKUP($D94,'Visu totale'!$D:$DH,AD$1,0)),AC94-VLOOKUP($D94,'Visu totale'!$D:$DH,AD$1,0),IF(LEFT(VLOOKUP($D94,'Visu totale'!$D:$DH,AD$1,0),1)="V",IF(AC94&gt;=INDEX('[1]Définition Maintenances'!$G:$G,MATCH($A94,'[1]Définition Maintenances'!$K:$K,0)),AC94,INDEX('[1]Définition Maintenances'!$G:$G,MATCH($A94,'[1]Définition Maintenances'!$K:$K,0))+AC94),AC94))</f>
        <v>1000</v>
      </c>
      <c r="AE94" s="26">
        <f>IF(ISNUMBER(VLOOKUP($D94,'Visu totale'!$D:$DH,AE$1,0)),AD94-VLOOKUP($D94,'Visu totale'!$D:$DH,AE$1,0),IF(LEFT(VLOOKUP($D94,'Visu totale'!$D:$DH,AE$1,0),1)="V",IF(AD94&gt;=INDEX('[1]Définition Maintenances'!$G:$G,MATCH($A94,'[1]Définition Maintenances'!$K:$K,0)),AD94,INDEX('[1]Définition Maintenances'!$G:$G,MATCH($A94,'[1]Définition Maintenances'!$K:$K,0))+AD94),AD94))</f>
        <v>1000</v>
      </c>
      <c r="AF94" s="26">
        <f>IF(ISNUMBER(VLOOKUP($D94,'Visu totale'!$D:$DH,AF$1,0)),AE94-VLOOKUP($D94,'Visu totale'!$D:$DH,AF$1,0),IF(LEFT(VLOOKUP($D94,'Visu totale'!$D:$DH,AF$1,0),1)="V",IF(AE94&gt;=INDEX('[1]Définition Maintenances'!$G:$G,MATCH($A94,'[1]Définition Maintenances'!$K:$K,0)),AE94,INDEX('[1]Définition Maintenances'!$G:$G,MATCH($A94,'[1]Définition Maintenances'!$K:$K,0))+AE94),AE94))</f>
        <v>1000</v>
      </c>
      <c r="AG94" s="26">
        <f>IF(ISNUMBER(VLOOKUP($D94,'Visu totale'!$D:$DH,AG$1,0)),AF94-VLOOKUP($D94,'Visu totale'!$D:$DH,AG$1,0),IF(LEFT(VLOOKUP($D94,'Visu totale'!$D:$DH,AG$1,0),1)="V",IF(AF94&gt;=INDEX('[1]Définition Maintenances'!$G:$G,MATCH($A94,'[1]Définition Maintenances'!$K:$K,0)),AF94,INDEX('[1]Définition Maintenances'!$G:$G,MATCH($A94,'[1]Définition Maintenances'!$K:$K,0))+AF94),AF94))</f>
        <v>1000</v>
      </c>
      <c r="AH94" s="26">
        <f>IF(ISNUMBER(VLOOKUP($D94,'Visu totale'!$D:$DH,AH$1,0)),AG94-VLOOKUP($D94,'Visu totale'!$D:$DH,AH$1,0),IF(LEFT(VLOOKUP($D94,'Visu totale'!$D:$DH,AH$1,0),1)="V",IF(AG94&gt;=INDEX('[1]Définition Maintenances'!$G:$G,MATCH($A94,'[1]Définition Maintenances'!$K:$K,0)),AG94,INDEX('[1]Définition Maintenances'!$G:$G,MATCH($A94,'[1]Définition Maintenances'!$K:$K,0))+AG94),AG94))</f>
        <v>1000</v>
      </c>
      <c r="AI94" s="26">
        <f>IF(ISNUMBER(VLOOKUP($D94,'Visu totale'!$D:$DH,AI$1,0)),AH94-VLOOKUP($D94,'Visu totale'!$D:$DH,AI$1,0),IF(LEFT(VLOOKUP($D94,'Visu totale'!$D:$DH,AI$1,0),1)="V",IF(AH94&gt;=INDEX('[1]Définition Maintenances'!$G:$G,MATCH($A94,'[1]Définition Maintenances'!$K:$K,0)),AH94,INDEX('[1]Définition Maintenances'!$G:$G,MATCH($A94,'[1]Définition Maintenances'!$K:$K,0))+AH94),AH94))</f>
        <v>1000</v>
      </c>
      <c r="AJ94" s="26">
        <f>IF(ISNUMBER(VLOOKUP($D94,'Visu totale'!$D:$DH,AJ$1,0)),AI94-VLOOKUP($D94,'Visu totale'!$D:$DH,AJ$1,0),IF(LEFT(VLOOKUP($D94,'Visu totale'!$D:$DH,AJ$1,0),1)="V",IF(AI94&gt;=INDEX('[1]Définition Maintenances'!$G:$G,MATCH($A94,'[1]Définition Maintenances'!$K:$K,0)),AI94,INDEX('[1]Définition Maintenances'!$G:$G,MATCH($A94,'[1]Définition Maintenances'!$K:$K,0))+AI94),AI94))</f>
        <v>1000</v>
      </c>
      <c r="AK94" s="26">
        <f>IF(ISNUMBER(VLOOKUP($D94,'Visu totale'!$D:$DH,AK$1,0)),AJ94-VLOOKUP($D94,'Visu totale'!$D:$DH,AK$1,0),IF(LEFT(VLOOKUP($D94,'Visu totale'!$D:$DH,AK$1,0),1)="V",IF(AJ94&gt;=INDEX('[1]Définition Maintenances'!$G:$G,MATCH($A94,'[1]Définition Maintenances'!$K:$K,0)),AJ94,INDEX('[1]Définition Maintenances'!$G:$G,MATCH($A94,'[1]Définition Maintenances'!$K:$K,0))+AJ94),AJ94))</f>
        <v>1000</v>
      </c>
      <c r="AL94" s="26">
        <f>IF(ISNUMBER(VLOOKUP($D94,'Visu totale'!$D:$DH,AL$1,0)),AK94-VLOOKUP($D94,'Visu totale'!$D:$DH,AL$1,0),IF(LEFT(VLOOKUP($D94,'Visu totale'!$D:$DH,AL$1,0),1)="V",IF(AK94&gt;=INDEX('[1]Définition Maintenances'!$G:$G,MATCH($A94,'[1]Définition Maintenances'!$K:$K,0)),AK94,INDEX('[1]Définition Maintenances'!$G:$G,MATCH($A94,'[1]Définition Maintenances'!$K:$K,0))+AK94),AK94))</f>
        <v>1000</v>
      </c>
      <c r="AM94" s="26">
        <f>IF(ISNUMBER(VLOOKUP($D94,'Visu totale'!$D:$DH,AM$1,0)),AL94-VLOOKUP($D94,'Visu totale'!$D:$DH,AM$1,0),IF(LEFT(VLOOKUP($D94,'Visu totale'!$D:$DH,AM$1,0),1)="V",IF(AL94&gt;=INDEX('[1]Définition Maintenances'!$G:$G,MATCH($A94,'[1]Définition Maintenances'!$K:$K,0)),AL94,INDEX('[1]Définition Maintenances'!$G:$G,MATCH($A94,'[1]Définition Maintenances'!$K:$K,0))+AL94),AL94))</f>
        <v>1000</v>
      </c>
      <c r="AN94" s="26">
        <f>IF(ISNUMBER(VLOOKUP($D94,'Visu totale'!$D:$DH,AN$1,0)),AM94-VLOOKUP($D94,'Visu totale'!$D:$DH,AN$1,0),IF(LEFT(VLOOKUP($D94,'Visu totale'!$D:$DH,AN$1,0),1)="V",IF(AM94&gt;=INDEX('[1]Définition Maintenances'!$G:$G,MATCH($A94,'[1]Définition Maintenances'!$K:$K,0)),AM94,INDEX('[1]Définition Maintenances'!$G:$G,MATCH($A94,'[1]Définition Maintenances'!$K:$K,0))+AM94),AM94))</f>
        <v>1000</v>
      </c>
      <c r="AO94" s="27">
        <f>IF(ISNUMBER(VLOOKUP($D94,'Visu totale'!$D:$DH,AO$1,0)),AN94-VLOOKUP($D94,'Visu totale'!$D:$DH,AO$1,0),IF(LEFT(VLOOKUP($D94,'Visu totale'!$D:$DH,AO$1,0),1)="V",IF(AN94&gt;=INDEX('[1]Définition Maintenances'!$G:$G,MATCH($A94,'[1]Définition Maintenances'!$K:$K,0)),AN94,INDEX('[1]Définition Maintenances'!$G:$G,MATCH($A94,'[1]Définition Maintenances'!$K:$K,0))+AN94),AN94))</f>
        <v>1000</v>
      </c>
      <c r="AP94" s="25">
        <f>IF(ISNUMBER(VLOOKUP($D94,'Visu totale'!$D:$DH,AP$1,0)),AO94-VLOOKUP($D94,'Visu totale'!$D:$DH,AP$1,0),IF(LEFT(VLOOKUP($D94,'Visu totale'!$D:$DH,AP$1,0),1)="V",IF(AO94&gt;=INDEX('[1]Définition Maintenances'!$G:$G,MATCH($A94,'[1]Définition Maintenances'!$K:$K,0)),AO94,INDEX('[1]Définition Maintenances'!$G:$G,MATCH($A94,'[1]Définition Maintenances'!$K:$K,0))+AO94),AO94))</f>
        <v>1000</v>
      </c>
      <c r="AQ94" s="26">
        <f>IF(ISNUMBER(VLOOKUP($D94,'Visu totale'!$D:$DH,AQ$1,0)),AP94-VLOOKUP($D94,'Visu totale'!$D:$DH,AQ$1,0),IF(LEFT(VLOOKUP($D94,'Visu totale'!$D:$DH,AQ$1,0),1)="V",IF(AP94&gt;=INDEX('[1]Définition Maintenances'!$G:$G,MATCH($A94,'[1]Définition Maintenances'!$K:$K,0)),AP94,INDEX('[1]Définition Maintenances'!$G:$G,MATCH($A94,'[1]Définition Maintenances'!$K:$K,0))+AP94),AP94))</f>
        <v>1000</v>
      </c>
      <c r="AR94" s="26">
        <f>IF(ISNUMBER(VLOOKUP($D94,'Visu totale'!$D:$DH,AR$1,0)),AQ94-VLOOKUP($D94,'Visu totale'!$D:$DH,AR$1,0),IF(LEFT(VLOOKUP($D94,'Visu totale'!$D:$DH,AR$1,0),1)="V",IF(AQ94&gt;=INDEX('[1]Définition Maintenances'!$G:$G,MATCH($A94,'[1]Définition Maintenances'!$K:$K,0)),AQ94,INDEX('[1]Définition Maintenances'!$G:$G,MATCH($A94,'[1]Définition Maintenances'!$K:$K,0))+AQ94),AQ94))</f>
        <v>1000</v>
      </c>
      <c r="AS94" s="26">
        <f>IF(ISNUMBER(VLOOKUP($D94,'Visu totale'!$D:$DH,AS$1,0)),AR94-VLOOKUP($D94,'Visu totale'!$D:$DH,AS$1,0),IF(LEFT(VLOOKUP($D94,'Visu totale'!$D:$DH,AS$1,0),1)="V",IF(AR94&gt;=INDEX('[1]Définition Maintenances'!$G:$G,MATCH($A94,'[1]Définition Maintenances'!$K:$K,0)),AR94,INDEX('[1]Définition Maintenances'!$G:$G,MATCH($A94,'[1]Définition Maintenances'!$K:$K,0))+AR94),AR94))</f>
        <v>1000</v>
      </c>
      <c r="AT94" s="26">
        <f>IF(ISNUMBER(VLOOKUP($D94,'Visu totale'!$D:$DH,AT$1,0)),AS94-VLOOKUP($D94,'Visu totale'!$D:$DH,AT$1,0),IF(LEFT(VLOOKUP($D94,'Visu totale'!$D:$DH,AT$1,0),1)="V",IF(AS94&gt;=INDEX('[1]Définition Maintenances'!$G:$G,MATCH($A94,'[1]Définition Maintenances'!$K:$K,0)),AS94,INDEX('[1]Définition Maintenances'!$G:$G,MATCH($A94,'[1]Définition Maintenances'!$K:$K,0))+AS94),AS94))</f>
        <v>1000</v>
      </c>
      <c r="AU94" s="26">
        <f>IF(ISNUMBER(VLOOKUP($D94,'Visu totale'!$D:$DH,AU$1,0)),AT94-VLOOKUP($D94,'Visu totale'!$D:$DH,AU$1,0),IF(LEFT(VLOOKUP($D94,'Visu totale'!$D:$DH,AU$1,0),1)="V",IF(AT94&gt;=INDEX('[1]Définition Maintenances'!$G:$G,MATCH($A94,'[1]Définition Maintenances'!$K:$K,0)),AT94,INDEX('[1]Définition Maintenances'!$G:$G,MATCH($A94,'[1]Définition Maintenances'!$K:$K,0))+AT94),AT94))</f>
        <v>1000</v>
      </c>
      <c r="AV94" s="26">
        <f>IF(ISNUMBER(VLOOKUP($D94,'Visu totale'!$D:$DH,AV$1,0)),AU94-VLOOKUP($D94,'Visu totale'!$D:$DH,AV$1,0),IF(LEFT(VLOOKUP($D94,'Visu totale'!$D:$DH,AV$1,0),1)="V",IF(AU94&gt;=INDEX('[1]Définition Maintenances'!$G:$G,MATCH($A94,'[1]Définition Maintenances'!$K:$K,0)),AU94,INDEX('[1]Définition Maintenances'!$G:$G,MATCH($A94,'[1]Définition Maintenances'!$K:$K,0))+AU94),AU94))</f>
        <v>1000</v>
      </c>
      <c r="AW94" s="26">
        <f>IF(ISNUMBER(VLOOKUP($D94,'Visu totale'!$D:$DH,AW$1,0)),AV94-VLOOKUP($D94,'Visu totale'!$D:$DH,AW$1,0),IF(LEFT(VLOOKUP($D94,'Visu totale'!$D:$DH,AW$1,0),1)="V",IF(AV94&gt;=INDEX('[1]Définition Maintenances'!$G:$G,MATCH($A94,'[1]Définition Maintenances'!$K:$K,0)),AV94,INDEX('[1]Définition Maintenances'!$G:$G,MATCH($A94,'[1]Définition Maintenances'!$K:$K,0))+AV94),AV94))</f>
        <v>1000</v>
      </c>
      <c r="AX94" s="26">
        <f>IF(ISNUMBER(VLOOKUP($D94,'Visu totale'!$D:$DH,AX$1,0)),AW94-VLOOKUP($D94,'Visu totale'!$D:$DH,AX$1,0),IF(LEFT(VLOOKUP($D94,'Visu totale'!$D:$DH,AX$1,0),1)="V",IF(AW94&gt;=INDEX('[1]Définition Maintenances'!$G:$G,MATCH($A94,'[1]Définition Maintenances'!$K:$K,0)),AW94,INDEX('[1]Définition Maintenances'!$G:$G,MATCH($A94,'[1]Définition Maintenances'!$K:$K,0))+AW94),AW94))</f>
        <v>1000</v>
      </c>
      <c r="AY94" s="26">
        <f>IF(ISNUMBER(VLOOKUP($D94,'Visu totale'!$D:$DH,AY$1,0)),AX94-VLOOKUP($D94,'Visu totale'!$D:$DH,AY$1,0),IF(LEFT(VLOOKUP($D94,'Visu totale'!$D:$DH,AY$1,0),1)="V",IF(AX94&gt;=INDEX('[1]Définition Maintenances'!$G:$G,MATCH($A94,'[1]Définition Maintenances'!$K:$K,0)),AX94,INDEX('[1]Définition Maintenances'!$G:$G,MATCH($A94,'[1]Définition Maintenances'!$K:$K,0))+AX94),AX94))</f>
        <v>1000</v>
      </c>
      <c r="AZ94" s="26">
        <f>IF(ISNUMBER(VLOOKUP($D94,'Visu totale'!$D:$DH,AZ$1,0)),AY94-VLOOKUP($D94,'Visu totale'!$D:$DH,AZ$1,0),IF(LEFT(VLOOKUP($D94,'Visu totale'!$D:$DH,AZ$1,0),1)="V",IF(AY94&gt;=INDEX('[1]Définition Maintenances'!$G:$G,MATCH($A94,'[1]Définition Maintenances'!$K:$K,0)),AY94,INDEX('[1]Définition Maintenances'!$G:$G,MATCH($A94,'[1]Définition Maintenances'!$K:$K,0))+AY94),AY94))</f>
        <v>1000</v>
      </c>
      <c r="BA94" s="27">
        <f>IF(ISNUMBER(VLOOKUP($D94,'Visu totale'!$D:$DH,BA$1,0)),AZ94-VLOOKUP($D94,'Visu totale'!$D:$DH,BA$1,0),IF(LEFT(VLOOKUP($D94,'Visu totale'!$D:$DH,BA$1,0),1)="V",IF(AZ94&gt;=INDEX('[1]Définition Maintenances'!$G:$G,MATCH($A94,'[1]Définition Maintenances'!$K:$K,0)),AZ94,INDEX('[1]Définition Maintenances'!$G:$G,MATCH($A94,'[1]Définition Maintenances'!$K:$K,0))+AZ94),AZ94))</f>
        <v>1000</v>
      </c>
      <c r="BB94" s="25">
        <f>IF(ISNUMBER(VLOOKUP($D94,'Visu totale'!$D:$DH,BB$1,0)),BA94-VLOOKUP($D94,'Visu totale'!$D:$DH,BB$1,0),IF(LEFT(VLOOKUP($D94,'Visu totale'!$D:$DH,BB$1,0),1)="V",IF(BA94&gt;=INDEX('[1]Définition Maintenances'!$G:$G,MATCH($A94,'[1]Définition Maintenances'!$K:$K,0)),BA94,INDEX('[1]Définition Maintenances'!$G:$G,MATCH($A94,'[1]Définition Maintenances'!$K:$K,0))+BA94),BA94))</f>
        <v>1000</v>
      </c>
      <c r="BC94" s="26">
        <f>IF(ISNUMBER(VLOOKUP($D94,'Visu totale'!$D:$DH,BC$1,0)),BB94-VLOOKUP($D94,'Visu totale'!$D:$DH,BC$1,0),IF(LEFT(VLOOKUP($D94,'Visu totale'!$D:$DH,BC$1,0),1)="V",IF(BB94&gt;=INDEX('[1]Définition Maintenances'!$G:$G,MATCH($A94,'[1]Définition Maintenances'!$K:$K,0)),BB94,INDEX('[1]Définition Maintenances'!$G:$G,MATCH($A94,'[1]Définition Maintenances'!$K:$K,0))+BB94),BB94))</f>
        <v>1000</v>
      </c>
      <c r="BD94" s="26">
        <f>IF(ISNUMBER(VLOOKUP($D94,'Visu totale'!$D:$DH,BD$1,0)),BC94-VLOOKUP($D94,'Visu totale'!$D:$DH,BD$1,0),IF(LEFT(VLOOKUP($D94,'Visu totale'!$D:$DH,BD$1,0),1)="V",IF(BC94&gt;=INDEX('[1]Définition Maintenances'!$G:$G,MATCH($A94,'[1]Définition Maintenances'!$K:$K,0)),BC94,INDEX('[1]Définition Maintenances'!$G:$G,MATCH($A94,'[1]Définition Maintenances'!$K:$K,0))+BC94),BC94))</f>
        <v>1000</v>
      </c>
      <c r="BE94" s="26">
        <f>IF(ISNUMBER(VLOOKUP($D94,'Visu totale'!$D:$DH,BE$1,0)),BD94-VLOOKUP($D94,'Visu totale'!$D:$DH,BE$1,0),IF(LEFT(VLOOKUP($D94,'Visu totale'!$D:$DH,BE$1,0),1)="V",IF(BD94&gt;=INDEX('[1]Définition Maintenances'!$G:$G,MATCH($A94,'[1]Définition Maintenances'!$K:$K,0)),BD94,INDEX('[1]Définition Maintenances'!$G:$G,MATCH($A94,'[1]Définition Maintenances'!$K:$K,0))+BD94),BD94))</f>
        <v>1000</v>
      </c>
      <c r="BF94" s="26">
        <f>IF(ISNUMBER(VLOOKUP($D94,'Visu totale'!$D:$DH,BF$1,0)),BE94-VLOOKUP($D94,'Visu totale'!$D:$DH,BF$1,0),IF(LEFT(VLOOKUP($D94,'Visu totale'!$D:$DH,BF$1,0),1)="V",IF(BE94&gt;=INDEX('[1]Définition Maintenances'!$G:$G,MATCH($A94,'[1]Définition Maintenances'!$K:$K,0)),BE94,INDEX('[1]Définition Maintenances'!$G:$G,MATCH($A94,'[1]Définition Maintenances'!$K:$K,0))+BE94),BE94))</f>
        <v>1000</v>
      </c>
      <c r="BG94" s="26">
        <f>IF(ISNUMBER(VLOOKUP($D94,'Visu totale'!$D:$DH,BG$1,0)),BF94-VLOOKUP($D94,'Visu totale'!$D:$DH,BG$1,0),IF(LEFT(VLOOKUP($D94,'Visu totale'!$D:$DH,BG$1,0),1)="V",IF(BF94&gt;=INDEX('[1]Définition Maintenances'!$G:$G,MATCH($A94,'[1]Définition Maintenances'!$K:$K,0)),BF94,INDEX('[1]Définition Maintenances'!$G:$G,MATCH($A94,'[1]Définition Maintenances'!$K:$K,0))+BF94),BF94))</f>
        <v>1000</v>
      </c>
      <c r="BH94" s="26">
        <f>IF(ISNUMBER(VLOOKUP($D94,'Visu totale'!$D:$DH,BH$1,0)),BG94-VLOOKUP($D94,'Visu totale'!$D:$DH,BH$1,0),IF(LEFT(VLOOKUP($D94,'Visu totale'!$D:$DH,BH$1,0),1)="V",IF(BG94&gt;=INDEX('[1]Définition Maintenances'!$G:$G,MATCH($A94,'[1]Définition Maintenances'!$K:$K,0)),BG94,INDEX('[1]Définition Maintenances'!$G:$G,MATCH($A94,'[1]Définition Maintenances'!$K:$K,0))+BG94),BG94))</f>
        <v>1000</v>
      </c>
      <c r="BI94" s="26">
        <f>IF(ISNUMBER(VLOOKUP($D94,'Visu totale'!$D:$DH,BI$1,0)),BH94-VLOOKUP($D94,'Visu totale'!$D:$DH,BI$1,0),IF(LEFT(VLOOKUP($D94,'Visu totale'!$D:$DH,BI$1,0),1)="V",IF(BH94&gt;=INDEX('[1]Définition Maintenances'!$G:$G,MATCH($A94,'[1]Définition Maintenances'!$K:$K,0)),BH94,INDEX('[1]Définition Maintenances'!$G:$G,MATCH($A94,'[1]Définition Maintenances'!$K:$K,0))+BH94),BH94))</f>
        <v>1000</v>
      </c>
      <c r="BJ94" s="26">
        <f>IF(ISNUMBER(VLOOKUP($D94,'Visu totale'!$D:$DH,BJ$1,0)),BI94-VLOOKUP($D94,'Visu totale'!$D:$DH,BJ$1,0),IF(LEFT(VLOOKUP($D94,'Visu totale'!$D:$DH,BJ$1,0),1)="V",IF(BI94&gt;=INDEX('[1]Définition Maintenances'!$G:$G,MATCH($A94,'[1]Définition Maintenances'!$K:$K,0)),BI94,INDEX('[1]Définition Maintenances'!$G:$G,MATCH($A94,'[1]Définition Maintenances'!$K:$K,0))+BI94),BI94))</f>
        <v>1000</v>
      </c>
      <c r="BK94" s="26">
        <f>IF(ISNUMBER(VLOOKUP($D94,'Visu totale'!$D:$DH,BK$1,0)),BJ94-VLOOKUP($D94,'Visu totale'!$D:$DH,BK$1,0),IF(LEFT(VLOOKUP($D94,'Visu totale'!$D:$DH,BK$1,0),1)="V",IF(BJ94&gt;=INDEX('[1]Définition Maintenances'!$G:$G,MATCH($A94,'[1]Définition Maintenances'!$K:$K,0)),BJ94,INDEX('[1]Définition Maintenances'!$G:$G,MATCH($A94,'[1]Définition Maintenances'!$K:$K,0))+BJ94),BJ94))</f>
        <v>1000</v>
      </c>
      <c r="BL94" s="26">
        <f>IF(ISNUMBER(VLOOKUP($D94,'Visu totale'!$D:$DH,BL$1,0)),BK94-VLOOKUP($D94,'Visu totale'!$D:$DH,BL$1,0),IF(LEFT(VLOOKUP($D94,'Visu totale'!$D:$DH,BL$1,0),1)="V",IF(BK94&gt;=INDEX('[1]Définition Maintenances'!$G:$G,MATCH($A94,'[1]Définition Maintenances'!$K:$K,0)),BK94,INDEX('[1]Définition Maintenances'!$G:$G,MATCH($A94,'[1]Définition Maintenances'!$K:$K,0))+BK94),BK94))</f>
        <v>1000</v>
      </c>
      <c r="BM94" s="27">
        <f>IF(ISNUMBER(VLOOKUP($D94,'Visu totale'!$D:$DH,BM$1,0)),BL94-VLOOKUP($D94,'Visu totale'!$D:$DH,BM$1,0),IF(LEFT(VLOOKUP($D94,'Visu totale'!$D:$DH,BM$1,0),1)="V",IF(BL94&gt;=INDEX('[1]Définition Maintenances'!$G:$G,MATCH($A94,'[1]Définition Maintenances'!$K:$K,0)),BL94,INDEX('[1]Définition Maintenances'!$G:$G,MATCH($A94,'[1]Définition Maintenances'!$K:$K,0))+BL94),BL94))</f>
        <v>1000</v>
      </c>
      <c r="BN94" s="25">
        <f>IF(ISNUMBER(VLOOKUP($D94,'Visu totale'!$D:$DH,BN$1,0)),BM94-VLOOKUP($D94,'Visu totale'!$D:$DH,BN$1,0),IF(LEFT(VLOOKUP($D94,'Visu totale'!$D:$DH,BN$1,0),1)="V",IF(BM94&gt;=INDEX('[1]Définition Maintenances'!$G:$G,MATCH($A94,'[1]Définition Maintenances'!$K:$K,0)),BM94,INDEX('[1]Définition Maintenances'!$G:$G,MATCH($A94,'[1]Définition Maintenances'!$K:$K,0))+BM94),BM94))</f>
        <v>1000</v>
      </c>
      <c r="BO94" s="26">
        <f>IF(ISNUMBER(VLOOKUP($D94,'Visu totale'!$D:$DH,BO$1,0)),BN94-VLOOKUP($D94,'Visu totale'!$D:$DH,BO$1,0),IF(LEFT(VLOOKUP($D94,'Visu totale'!$D:$DH,BO$1,0),1)="V",IF(BN94&gt;=INDEX('[1]Définition Maintenances'!$G:$G,MATCH($A94,'[1]Définition Maintenances'!$K:$K,0)),BN94,INDEX('[1]Définition Maintenances'!$G:$G,MATCH($A94,'[1]Définition Maintenances'!$K:$K,0))+BN94),BN94))</f>
        <v>1000</v>
      </c>
      <c r="BP94" s="26">
        <f>IF(ISNUMBER(VLOOKUP($D94,'Visu totale'!$D:$DH,BP$1,0)),BO94-VLOOKUP($D94,'Visu totale'!$D:$DH,BP$1,0),IF(LEFT(VLOOKUP($D94,'Visu totale'!$D:$DH,BP$1,0),1)="V",IF(BO94&gt;=INDEX('[1]Définition Maintenances'!$G:$G,MATCH($A94,'[1]Définition Maintenances'!$K:$K,0)),BO94,INDEX('[1]Définition Maintenances'!$G:$G,MATCH($A94,'[1]Définition Maintenances'!$K:$K,0))+BO94),BO94))</f>
        <v>1000</v>
      </c>
      <c r="BQ94" s="26">
        <f>IF(ISNUMBER(VLOOKUP($D94,'Visu totale'!$D:$DH,BQ$1,0)),BP94-VLOOKUP($D94,'Visu totale'!$D:$DH,BQ$1,0),IF(LEFT(VLOOKUP($D94,'Visu totale'!$D:$DH,BQ$1,0),1)="V",IF(BP94&gt;=INDEX('[1]Définition Maintenances'!$G:$G,MATCH($A94,'[1]Définition Maintenances'!$K:$K,0)),BP94,INDEX('[1]Définition Maintenances'!$G:$G,MATCH($A94,'[1]Définition Maintenances'!$K:$K,0))+BP94),BP94))</f>
        <v>1000</v>
      </c>
      <c r="BR94" s="26">
        <f>IF(ISNUMBER(VLOOKUP($D94,'Visu totale'!$D:$DH,BR$1,0)),BQ94-VLOOKUP($D94,'Visu totale'!$D:$DH,BR$1,0),IF(LEFT(VLOOKUP($D94,'Visu totale'!$D:$DH,BR$1,0),1)="V",IF(BQ94&gt;=INDEX('[1]Définition Maintenances'!$G:$G,MATCH($A94,'[1]Définition Maintenances'!$K:$K,0)),BQ94,INDEX('[1]Définition Maintenances'!$G:$G,MATCH($A94,'[1]Définition Maintenances'!$K:$K,0))+BQ94),BQ94))</f>
        <v>1000</v>
      </c>
      <c r="BS94" s="26">
        <f>IF(ISNUMBER(VLOOKUP($D94,'Visu totale'!$D:$DH,BS$1,0)),BR94-VLOOKUP($D94,'Visu totale'!$D:$DH,BS$1,0),IF(LEFT(VLOOKUP($D94,'Visu totale'!$D:$DH,BS$1,0),1)="V",IF(BR94&gt;=INDEX('[1]Définition Maintenances'!$G:$G,MATCH($A94,'[1]Définition Maintenances'!$K:$K,0)),BR94,INDEX('[1]Définition Maintenances'!$G:$G,MATCH($A94,'[1]Définition Maintenances'!$K:$K,0))+BR94),BR94))</f>
        <v>1000</v>
      </c>
      <c r="BT94" s="26">
        <f>IF(ISNUMBER(VLOOKUP($D94,'Visu totale'!$D:$DH,BT$1,0)),BS94-VLOOKUP($D94,'Visu totale'!$D:$DH,BT$1,0),IF(LEFT(VLOOKUP($D94,'Visu totale'!$D:$DH,BT$1,0),1)="V",IF(BS94&gt;=INDEX('[1]Définition Maintenances'!$G:$G,MATCH($A94,'[1]Définition Maintenances'!$K:$K,0)),BS94,INDEX('[1]Définition Maintenances'!$G:$G,MATCH($A94,'[1]Définition Maintenances'!$K:$K,0))+BS94),BS94))</f>
        <v>1000</v>
      </c>
      <c r="BU94" s="26">
        <f>IF(ISNUMBER(VLOOKUP($D94,'Visu totale'!$D:$DH,BU$1,0)),BT94-VLOOKUP($D94,'Visu totale'!$D:$DH,BU$1,0),IF(LEFT(VLOOKUP($D94,'Visu totale'!$D:$DH,BU$1,0),1)="V",IF(BT94&gt;=INDEX('[1]Définition Maintenances'!$G:$G,MATCH($A94,'[1]Définition Maintenances'!$K:$K,0)),BT94,INDEX('[1]Définition Maintenances'!$G:$G,MATCH($A94,'[1]Définition Maintenances'!$K:$K,0))+BT94),BT94))</f>
        <v>1000</v>
      </c>
      <c r="BV94" s="26">
        <f>IF(ISNUMBER(VLOOKUP($D94,'Visu totale'!$D:$DH,BV$1,0)),BU94-VLOOKUP($D94,'Visu totale'!$D:$DH,BV$1,0),IF(LEFT(VLOOKUP($D94,'Visu totale'!$D:$DH,BV$1,0),1)="V",IF(BU94&gt;=INDEX('[1]Définition Maintenances'!$G:$G,MATCH($A94,'[1]Définition Maintenances'!$K:$K,0)),BU94,INDEX('[1]Définition Maintenances'!$G:$G,MATCH($A94,'[1]Définition Maintenances'!$K:$K,0))+BU94),BU94))</f>
        <v>1000</v>
      </c>
      <c r="BW94" s="26">
        <f>IF(ISNUMBER(VLOOKUP($D94,'Visu totale'!$D:$DH,BW$1,0)),BV94-VLOOKUP($D94,'Visu totale'!$D:$DH,BW$1,0),IF(LEFT(VLOOKUP($D94,'Visu totale'!$D:$DH,BW$1,0),1)="V",IF(BV94&gt;=INDEX('[1]Définition Maintenances'!$G:$G,MATCH($A94,'[1]Définition Maintenances'!$K:$K,0)),BV94,INDEX('[1]Définition Maintenances'!$G:$G,MATCH($A94,'[1]Définition Maintenances'!$K:$K,0))+BV94),BV94))</f>
        <v>1000</v>
      </c>
      <c r="BX94" s="26">
        <f>IF(ISNUMBER(VLOOKUP($D94,'Visu totale'!$D:$DH,BX$1,0)),BW94-VLOOKUP($D94,'Visu totale'!$D:$DH,BX$1,0),IF(LEFT(VLOOKUP($D94,'Visu totale'!$D:$DH,BX$1,0),1)="V",IF(BW94&gt;=INDEX('[1]Définition Maintenances'!$G:$G,MATCH($A94,'[1]Définition Maintenances'!$K:$K,0)),BW94,INDEX('[1]Définition Maintenances'!$G:$G,MATCH($A94,'[1]Définition Maintenances'!$K:$K,0))+BW94),BW94))</f>
        <v>1000</v>
      </c>
      <c r="BY94" s="27">
        <f>IF(ISNUMBER(VLOOKUP($D94,'Visu totale'!$D:$DH,BY$1,0)),BX94-VLOOKUP($D94,'Visu totale'!$D:$DH,BY$1,0),IF(LEFT(VLOOKUP($D94,'Visu totale'!$D:$DH,BY$1,0),1)="V",IF(BX94&gt;=INDEX('[1]Définition Maintenances'!$G:$G,MATCH($A94,'[1]Définition Maintenances'!$K:$K,0)),BX94,INDEX('[1]Définition Maintenances'!$G:$G,MATCH($A94,'[1]Définition Maintenances'!$K:$K,0))+BX94),BX94))</f>
        <v>1000</v>
      </c>
      <c r="BZ94" s="25">
        <f>IF(ISNUMBER(VLOOKUP($D94,'Visu totale'!$D:$DH,BZ$1,0)),BY94-VLOOKUP($D94,'Visu totale'!$D:$DH,BZ$1,0),IF(LEFT(VLOOKUP($D94,'Visu totale'!$D:$DH,BZ$1,0),1)="V",IF(BY94&gt;=INDEX('[1]Définition Maintenances'!$G:$G,MATCH($A94,'[1]Définition Maintenances'!$K:$K,0)),BY94,INDEX('[1]Définition Maintenances'!$G:$G,MATCH($A94,'[1]Définition Maintenances'!$K:$K,0))+BY94),BY94))</f>
        <v>1000</v>
      </c>
      <c r="CA94" s="26">
        <f>IF(ISNUMBER(VLOOKUP($D94,'Visu totale'!$D:$DH,CA$1,0)),BZ94-VLOOKUP($D94,'Visu totale'!$D:$DH,CA$1,0),IF(LEFT(VLOOKUP($D94,'Visu totale'!$D:$DH,CA$1,0),1)="V",IF(BZ94&gt;=INDEX('[1]Définition Maintenances'!$G:$G,MATCH($A94,'[1]Définition Maintenances'!$K:$K,0)),BZ94,INDEX('[1]Définition Maintenances'!$G:$G,MATCH($A94,'[1]Définition Maintenances'!$K:$K,0))+BZ94),BZ94))</f>
        <v>1000</v>
      </c>
      <c r="CB94" s="26">
        <f>IF(ISNUMBER(VLOOKUP($D94,'Visu totale'!$D:$DH,CB$1,0)),CA94-VLOOKUP($D94,'Visu totale'!$D:$DH,CB$1,0),IF(LEFT(VLOOKUP($D94,'Visu totale'!$D:$DH,CB$1,0),1)="V",IF(CA94&gt;=INDEX('[1]Définition Maintenances'!$G:$G,MATCH($A94,'[1]Définition Maintenances'!$K:$K,0)),CA94,INDEX('[1]Définition Maintenances'!$G:$G,MATCH($A94,'[1]Définition Maintenances'!$K:$K,0))+CA94),CA94))</f>
        <v>1000</v>
      </c>
      <c r="CC94" s="26">
        <f>IF(ISNUMBER(VLOOKUP($D94,'Visu totale'!$D:$DH,CC$1,0)),CB94-VLOOKUP($D94,'Visu totale'!$D:$DH,CC$1,0),IF(LEFT(VLOOKUP($D94,'Visu totale'!$D:$DH,CC$1,0),1)="V",IF(CB94&gt;=INDEX('[1]Définition Maintenances'!$G:$G,MATCH($A94,'[1]Définition Maintenances'!$K:$K,0)),CB94,INDEX('[1]Définition Maintenances'!$G:$G,MATCH($A94,'[1]Définition Maintenances'!$K:$K,0))+CB94),CB94))</f>
        <v>1000</v>
      </c>
      <c r="CD94" s="26">
        <f>IF(ISNUMBER(VLOOKUP($D94,'Visu totale'!$D:$DH,CD$1,0)),CC94-VLOOKUP($D94,'Visu totale'!$D:$DH,CD$1,0),IF(LEFT(VLOOKUP($D94,'Visu totale'!$D:$DH,CD$1,0),1)="V",IF(CC94&gt;=INDEX('[1]Définition Maintenances'!$G:$G,MATCH($A94,'[1]Définition Maintenances'!$K:$K,0)),CC94,INDEX('[1]Définition Maintenances'!$G:$G,MATCH($A94,'[1]Définition Maintenances'!$K:$K,0))+CC94),CC94))</f>
        <v>1000</v>
      </c>
      <c r="CE94" s="26">
        <f>IF(ISNUMBER(VLOOKUP($D94,'Visu totale'!$D:$DH,CE$1,0)),CD94-VLOOKUP($D94,'Visu totale'!$D:$DH,CE$1,0),IF(LEFT(VLOOKUP($D94,'Visu totale'!$D:$DH,CE$1,0),1)="V",IF(CD94&gt;=INDEX('[1]Définition Maintenances'!$G:$G,MATCH($A94,'[1]Définition Maintenances'!$K:$K,0)),CD94,INDEX('[1]Définition Maintenances'!$G:$G,MATCH($A94,'[1]Définition Maintenances'!$K:$K,0))+CD94),CD94))</f>
        <v>1000</v>
      </c>
      <c r="CF94" s="26">
        <f>IF(ISNUMBER(VLOOKUP($D94,'Visu totale'!$D:$DH,CF$1,0)),CE94-VLOOKUP($D94,'Visu totale'!$D:$DH,CF$1,0),IF(LEFT(VLOOKUP($D94,'Visu totale'!$D:$DH,CF$1,0),1)="V",IF(CE94&gt;=INDEX('[1]Définition Maintenances'!$G:$G,MATCH($A94,'[1]Définition Maintenances'!$K:$K,0)),CE94,INDEX('[1]Définition Maintenances'!$G:$G,MATCH($A94,'[1]Définition Maintenances'!$K:$K,0))+CE94),CE94))</f>
        <v>1000</v>
      </c>
      <c r="CG94" s="26">
        <f>IF(ISNUMBER(VLOOKUP($D94,'Visu totale'!$D:$DH,CG$1,0)),CF94-VLOOKUP($D94,'Visu totale'!$D:$DH,CG$1,0),IF(LEFT(VLOOKUP($D94,'Visu totale'!$D:$DH,CG$1,0),1)="V",IF(CF94&gt;=INDEX('[1]Définition Maintenances'!$G:$G,MATCH($A94,'[1]Définition Maintenances'!$K:$K,0)),CF94,INDEX('[1]Définition Maintenances'!$G:$G,MATCH($A94,'[1]Définition Maintenances'!$K:$K,0))+CF94),CF94))</f>
        <v>1000</v>
      </c>
      <c r="CH94" s="26">
        <f>IF(ISNUMBER(VLOOKUP($D94,'Visu totale'!$D:$DH,CH$1,0)),CG94-VLOOKUP($D94,'Visu totale'!$D:$DH,CH$1,0),IF(LEFT(VLOOKUP($D94,'Visu totale'!$D:$DH,CH$1,0),1)="V",IF(CG94&gt;=INDEX('[1]Définition Maintenances'!$G:$G,MATCH($A94,'[1]Définition Maintenances'!$K:$K,0)),CG94,INDEX('[1]Définition Maintenances'!$G:$G,MATCH($A94,'[1]Définition Maintenances'!$K:$K,0))+CG94),CG94))</f>
        <v>1000</v>
      </c>
      <c r="CI94" s="26">
        <f>IF(ISNUMBER(VLOOKUP($D94,'Visu totale'!$D:$DH,CI$1,0)),CH94-VLOOKUP($D94,'Visu totale'!$D:$DH,CI$1,0),IF(LEFT(VLOOKUP($D94,'Visu totale'!$D:$DH,CI$1,0),1)="V",IF(CH94&gt;=INDEX('[1]Définition Maintenances'!$G:$G,MATCH($A94,'[1]Définition Maintenances'!$K:$K,0)),CH94,INDEX('[1]Définition Maintenances'!$G:$G,MATCH($A94,'[1]Définition Maintenances'!$K:$K,0))+CH94),CH94))</f>
        <v>1000</v>
      </c>
      <c r="CJ94" s="26">
        <f>IF(ISNUMBER(VLOOKUP($D94,'Visu totale'!$D:$DH,CJ$1,0)),CI94-VLOOKUP($D94,'Visu totale'!$D:$DH,CJ$1,0),IF(LEFT(VLOOKUP($D94,'Visu totale'!$D:$DH,CJ$1,0),1)="V",IF(CI94&gt;=INDEX('[1]Définition Maintenances'!$G:$G,MATCH($A94,'[1]Définition Maintenances'!$K:$K,0)),CI94,INDEX('[1]Définition Maintenances'!$G:$G,MATCH($A94,'[1]Définition Maintenances'!$K:$K,0))+CI94),CI94))</f>
        <v>1000</v>
      </c>
      <c r="CK94" s="27">
        <f>IF(ISNUMBER(VLOOKUP($D94,'Visu totale'!$D:$DH,CK$1,0)),CJ94-VLOOKUP($D94,'Visu totale'!$D:$DH,CK$1,0),IF(LEFT(VLOOKUP($D94,'Visu totale'!$D:$DH,CK$1,0),1)="V",IF(CJ94&gt;=INDEX('[1]Définition Maintenances'!$G:$G,MATCH($A94,'[1]Définition Maintenances'!$K:$K,0)),CJ94,INDEX('[1]Définition Maintenances'!$G:$G,MATCH($A94,'[1]Définition Maintenances'!$K:$K,0))+CJ94),CJ94))</f>
        <v>1000</v>
      </c>
      <c r="CL94" s="25">
        <f>IF(ISNUMBER(VLOOKUP($D94,'Visu totale'!$D:$DH,CL$1,0)),CK94-VLOOKUP($D94,'Visu totale'!$D:$DH,CL$1,0),IF(LEFT(VLOOKUP($D94,'Visu totale'!$D:$DH,CL$1,0),1)="V",IF(CK94&gt;=INDEX('[1]Définition Maintenances'!$G:$G,MATCH($A94,'[1]Définition Maintenances'!$K:$K,0)),CK94,INDEX('[1]Définition Maintenances'!$G:$G,MATCH($A94,'[1]Définition Maintenances'!$K:$K,0))+CK94),CK94))</f>
        <v>1000</v>
      </c>
      <c r="CM94" s="26">
        <f>IF(ISNUMBER(VLOOKUP($D94,'Visu totale'!$D:$DH,CM$1,0)),CL94-VLOOKUP($D94,'Visu totale'!$D:$DH,CM$1,0),IF(LEFT(VLOOKUP($D94,'Visu totale'!$D:$DH,CM$1,0),1)="V",IF(CL94&gt;=INDEX('[1]Définition Maintenances'!$G:$G,MATCH($A94,'[1]Définition Maintenances'!$K:$K,0)),CL94,INDEX('[1]Définition Maintenances'!$G:$G,MATCH($A94,'[1]Définition Maintenances'!$K:$K,0))+CL94),CL94))</f>
        <v>1000</v>
      </c>
      <c r="CN94" s="26">
        <f>IF(ISNUMBER(VLOOKUP($D94,'Visu totale'!$D:$DH,CN$1,0)),CM94-VLOOKUP($D94,'Visu totale'!$D:$DH,CN$1,0),IF(LEFT(VLOOKUP($D94,'Visu totale'!$D:$DH,CN$1,0),1)="V",IF(CM94&gt;=INDEX('[1]Définition Maintenances'!$G:$G,MATCH($A94,'[1]Définition Maintenances'!$K:$K,0)),CM94,INDEX('[1]Définition Maintenances'!$G:$G,MATCH($A94,'[1]Définition Maintenances'!$K:$K,0))+CM94),CM94))</f>
        <v>1000</v>
      </c>
      <c r="CO94" s="26">
        <f>IF(ISNUMBER(VLOOKUP($D94,'Visu totale'!$D:$DH,CO$1,0)),CN94-VLOOKUP($D94,'Visu totale'!$D:$DH,CO$1,0),IF(LEFT(VLOOKUP($D94,'Visu totale'!$D:$DH,CO$1,0),1)="V",IF(CN94&gt;=INDEX('[1]Définition Maintenances'!$G:$G,MATCH($A94,'[1]Définition Maintenances'!$K:$K,0)),CN94,INDEX('[1]Définition Maintenances'!$G:$G,MATCH($A94,'[1]Définition Maintenances'!$K:$K,0))+CN94),CN94))</f>
        <v>1000</v>
      </c>
      <c r="CP94" s="26">
        <f>IF(ISNUMBER(VLOOKUP($D94,'Visu totale'!$D:$DH,CP$1,0)),CO94-VLOOKUP($D94,'Visu totale'!$D:$DH,CP$1,0),IF(LEFT(VLOOKUP($D94,'Visu totale'!$D:$DH,CP$1,0),1)="V",IF(CO94&gt;=INDEX('[1]Définition Maintenances'!$G:$G,MATCH($A94,'[1]Définition Maintenances'!$K:$K,0)),CO94,INDEX('[1]Définition Maintenances'!$G:$G,MATCH($A94,'[1]Définition Maintenances'!$K:$K,0))+CO94),CO94))</f>
        <v>1000</v>
      </c>
      <c r="CQ94" s="26">
        <f>IF(ISNUMBER(VLOOKUP($D94,'Visu totale'!$D:$DH,CQ$1,0)),CP94-VLOOKUP($D94,'Visu totale'!$D:$DH,CQ$1,0),IF(LEFT(VLOOKUP($D94,'Visu totale'!$D:$DH,CQ$1,0),1)="V",IF(CP94&gt;=INDEX('[1]Définition Maintenances'!$G:$G,MATCH($A94,'[1]Définition Maintenances'!$K:$K,0)),CP94,INDEX('[1]Définition Maintenances'!$G:$G,MATCH($A94,'[1]Définition Maintenances'!$K:$K,0))+CP94),CP94))</f>
        <v>1000</v>
      </c>
      <c r="CR94" s="26">
        <f>IF(ISNUMBER(VLOOKUP($D94,'Visu totale'!$D:$DH,CR$1,0)),CQ94-VLOOKUP($D94,'Visu totale'!$D:$DH,CR$1,0),IF(LEFT(VLOOKUP($D94,'Visu totale'!$D:$DH,CR$1,0),1)="V",IF(CQ94&gt;=INDEX('[1]Définition Maintenances'!$G:$G,MATCH($A94,'[1]Définition Maintenances'!$K:$K,0)),CQ94,INDEX('[1]Définition Maintenances'!$G:$G,MATCH($A94,'[1]Définition Maintenances'!$K:$K,0))+CQ94),CQ94))</f>
        <v>1000</v>
      </c>
      <c r="CS94" s="26">
        <f>IF(ISNUMBER(VLOOKUP($D94,'Visu totale'!$D:$DH,CS$1,0)),CR94-VLOOKUP($D94,'Visu totale'!$D:$DH,CS$1,0),IF(LEFT(VLOOKUP($D94,'Visu totale'!$D:$DH,CS$1,0),1)="V",IF(CR94&gt;=INDEX('[1]Définition Maintenances'!$G:$G,MATCH($A94,'[1]Définition Maintenances'!$K:$K,0)),CR94,INDEX('[1]Définition Maintenances'!$G:$G,MATCH($A94,'[1]Définition Maintenances'!$K:$K,0))+CR94),CR94))</f>
        <v>1000</v>
      </c>
      <c r="CT94" s="26">
        <f>IF(ISNUMBER(VLOOKUP($D94,'Visu totale'!$D:$DH,CT$1,0)),CS94-VLOOKUP($D94,'Visu totale'!$D:$DH,CT$1,0),IF(LEFT(VLOOKUP($D94,'Visu totale'!$D:$DH,CT$1,0),1)="V",IF(CS94&gt;=INDEX('[1]Définition Maintenances'!$G:$G,MATCH($A94,'[1]Définition Maintenances'!$K:$K,0)),CS94,INDEX('[1]Définition Maintenances'!$G:$G,MATCH($A94,'[1]Définition Maintenances'!$K:$K,0))+CS94),CS94))</f>
        <v>1000</v>
      </c>
      <c r="CU94" s="26">
        <f>IF(ISNUMBER(VLOOKUP($D94,'Visu totale'!$D:$DH,CU$1,0)),CT94-VLOOKUP($D94,'Visu totale'!$D:$DH,CU$1,0),IF(LEFT(VLOOKUP($D94,'Visu totale'!$D:$DH,CU$1,0),1)="V",IF(CT94&gt;=INDEX('[1]Définition Maintenances'!$G:$G,MATCH($A94,'[1]Définition Maintenances'!$K:$K,0)),CT94,INDEX('[1]Définition Maintenances'!$G:$G,MATCH($A94,'[1]Définition Maintenances'!$K:$K,0))+CT94),CT94))</f>
        <v>1000</v>
      </c>
      <c r="CV94" s="26">
        <f>IF(ISNUMBER(VLOOKUP($D94,'Visu totale'!$D:$DH,CV$1,0)),CU94-VLOOKUP($D94,'Visu totale'!$D:$DH,CV$1,0),IF(LEFT(VLOOKUP($D94,'Visu totale'!$D:$DH,CV$1,0),1)="V",IF(CU94&gt;=INDEX('[1]Définition Maintenances'!$G:$G,MATCH($A94,'[1]Définition Maintenances'!$K:$K,0)),CU94,INDEX('[1]Définition Maintenances'!$G:$G,MATCH($A94,'[1]Définition Maintenances'!$K:$K,0))+CU94),CU94))</f>
        <v>1000</v>
      </c>
      <c r="CW94" s="27">
        <f>IF(ISNUMBER(VLOOKUP($D94,'Visu totale'!$D:$DH,CW$1,0)),CV94-VLOOKUP($D94,'Visu totale'!$D:$DH,CW$1,0),IF(LEFT(VLOOKUP($D94,'Visu totale'!$D:$DH,CW$1,0),1)="V",IF(CV94&gt;=INDEX('[1]Définition Maintenances'!$G:$G,MATCH($A94,'[1]Définition Maintenances'!$K:$K,0)),CV94,INDEX('[1]Définition Maintenances'!$G:$G,MATCH($A94,'[1]Définition Maintenances'!$K:$K,0))+CV94),CV94))</f>
        <v>1000</v>
      </c>
      <c r="CX94" s="25">
        <f>IF(ISNUMBER(VLOOKUP($D94,'Visu totale'!$D:$DH,CX$1,0)),CW94-VLOOKUP($D94,'Visu totale'!$D:$DH,CX$1,0),IF(LEFT(VLOOKUP($D94,'Visu totale'!$D:$DH,CX$1,0),1)="V",IF(CW94&gt;=INDEX('[1]Définition Maintenances'!$G:$G,MATCH($A94,'[1]Définition Maintenances'!$K:$K,0)),CW94,INDEX('[1]Définition Maintenances'!$G:$G,MATCH($A94,'[1]Définition Maintenances'!$K:$K,0))+CW94),CW94))</f>
        <v>1000</v>
      </c>
      <c r="CY94" s="26">
        <f>IF(ISNUMBER(VLOOKUP($D94,'Visu totale'!$D:$DH,CY$1,0)),CX94-VLOOKUP($D94,'Visu totale'!$D:$DH,CY$1,0),IF(LEFT(VLOOKUP($D94,'Visu totale'!$D:$DH,CY$1,0),1)="V",IF(CX94&gt;=INDEX('[1]Définition Maintenances'!$G:$G,MATCH($A94,'[1]Définition Maintenances'!$K:$K,0)),CX94,INDEX('[1]Définition Maintenances'!$G:$G,MATCH($A94,'[1]Définition Maintenances'!$K:$K,0))+CX94),CX94))</f>
        <v>1000</v>
      </c>
      <c r="CZ94" s="26">
        <f>IF(ISNUMBER(VLOOKUP($D94,'Visu totale'!$D:$DH,CZ$1,0)),CY94-VLOOKUP($D94,'Visu totale'!$D:$DH,CZ$1,0),IF(LEFT(VLOOKUP($D94,'Visu totale'!$D:$DH,CZ$1,0),1)="V",IF(CY94&gt;=INDEX('[1]Définition Maintenances'!$G:$G,MATCH($A94,'[1]Définition Maintenances'!$K:$K,0)),CY94,INDEX('[1]Définition Maintenances'!$G:$G,MATCH($A94,'[1]Définition Maintenances'!$K:$K,0))+CY94),CY94))</f>
        <v>1000</v>
      </c>
      <c r="DA94" s="26">
        <f>IF(ISNUMBER(VLOOKUP($D94,'Visu totale'!$D:$DH,DA$1,0)),CZ94-VLOOKUP($D94,'Visu totale'!$D:$DH,DA$1,0),IF(LEFT(VLOOKUP($D94,'Visu totale'!$D:$DH,DA$1,0),1)="V",IF(CZ94&gt;=INDEX('[1]Définition Maintenances'!$G:$G,MATCH($A94,'[1]Définition Maintenances'!$K:$K,0)),CZ94,INDEX('[1]Définition Maintenances'!$G:$G,MATCH($A94,'[1]Définition Maintenances'!$K:$K,0))+CZ94),CZ94))</f>
        <v>1000</v>
      </c>
      <c r="DB94" s="26">
        <f>IF(ISNUMBER(VLOOKUP($D94,'Visu totale'!$D:$DH,DB$1,0)),DA94-VLOOKUP($D94,'Visu totale'!$D:$DH,DB$1,0),IF(LEFT(VLOOKUP($D94,'Visu totale'!$D:$DH,DB$1,0),1)="V",IF(DA94&gt;=INDEX('[1]Définition Maintenances'!$G:$G,MATCH($A94,'[1]Définition Maintenances'!$K:$K,0)),DA94,INDEX('[1]Définition Maintenances'!$G:$G,MATCH($A94,'[1]Définition Maintenances'!$K:$K,0))+DA94),DA94))</f>
        <v>1000</v>
      </c>
      <c r="DC94" s="26">
        <f>IF(ISNUMBER(VLOOKUP($D94,'Visu totale'!$D:$DH,DC$1,0)),DB94-VLOOKUP($D94,'Visu totale'!$D:$DH,DC$1,0),IF(LEFT(VLOOKUP($D94,'Visu totale'!$D:$DH,DC$1,0),1)="V",IF(DB94&gt;=INDEX('[1]Définition Maintenances'!$G:$G,MATCH($A94,'[1]Définition Maintenances'!$K:$K,0)),DB94,INDEX('[1]Définition Maintenances'!$G:$G,MATCH($A94,'[1]Définition Maintenances'!$K:$K,0))+DB94),DB94))</f>
        <v>1000</v>
      </c>
      <c r="DD94" s="26">
        <f>IF(ISNUMBER(VLOOKUP($D94,'Visu totale'!$D:$DH,DD$1,0)),DC94-VLOOKUP($D94,'Visu totale'!$D:$DH,DD$1,0),IF(LEFT(VLOOKUP($D94,'Visu totale'!$D:$DH,DD$1,0),1)="V",IF(DC94&gt;=INDEX('[1]Définition Maintenances'!$G:$G,MATCH($A94,'[1]Définition Maintenances'!$K:$K,0)),DC94,INDEX('[1]Définition Maintenances'!$G:$G,MATCH($A94,'[1]Définition Maintenances'!$K:$K,0))+DC94),DC94))</f>
        <v>1000</v>
      </c>
      <c r="DE94" s="26">
        <f>IF(ISNUMBER(VLOOKUP($D94,'Visu totale'!$D:$DH,DE$1,0)),DD94-VLOOKUP($D94,'Visu totale'!$D:$DH,DE$1,0),IF(LEFT(VLOOKUP($D94,'Visu totale'!$D:$DH,DE$1,0),1)="V",IF(DD94&gt;=INDEX('[1]Définition Maintenances'!$G:$G,MATCH($A94,'[1]Définition Maintenances'!$K:$K,0)),DD94,INDEX('[1]Définition Maintenances'!$G:$G,MATCH($A94,'[1]Définition Maintenances'!$K:$K,0))+DD94),DD94))</f>
        <v>1000</v>
      </c>
      <c r="DF94" s="26">
        <f>IF(ISNUMBER(VLOOKUP($D94,'Visu totale'!$D:$DH,DF$1,0)),DE94-VLOOKUP($D94,'Visu totale'!$D:$DH,DF$1,0),IF(LEFT(VLOOKUP($D94,'Visu totale'!$D:$DH,DF$1,0),1)="V",IF(DE94&gt;=INDEX('[1]Définition Maintenances'!$G:$G,MATCH($A94,'[1]Définition Maintenances'!$K:$K,0)),DE94,INDEX('[1]Définition Maintenances'!$G:$G,MATCH($A94,'[1]Définition Maintenances'!$K:$K,0))+DE94),DE94))</f>
        <v>1000</v>
      </c>
      <c r="DG94" s="26">
        <f>IF(ISNUMBER(VLOOKUP($D94,'Visu totale'!$D:$DH,DG$1,0)),DF94-VLOOKUP($D94,'Visu totale'!$D:$DH,DG$1,0),IF(LEFT(VLOOKUP($D94,'Visu totale'!$D:$DH,DG$1,0),1)="V",IF(DF94&gt;=INDEX('[1]Définition Maintenances'!$G:$G,MATCH($A94,'[1]Définition Maintenances'!$K:$K,0)),DF94,INDEX('[1]Définition Maintenances'!$G:$G,MATCH($A94,'[1]Définition Maintenances'!$K:$K,0))+DF94),DF94))</f>
        <v>1000</v>
      </c>
      <c r="DH94" s="26">
        <f>IF(ISNUMBER(VLOOKUP($D94,'Visu totale'!$D:$DH,DH$1,0)),DG94-VLOOKUP($D94,'Visu totale'!$D:$DH,DH$1,0),IF(LEFT(VLOOKUP($D94,'Visu totale'!$D:$DH,DH$1,0),1)="V",IF(DG94&gt;=INDEX('[1]Définition Maintenances'!$G:$G,MATCH($A94,'[1]Définition Maintenances'!$K:$K,0)),DG94,INDEX('[1]Définition Maintenances'!$G:$G,MATCH($A94,'[1]Définition Maintenances'!$K:$K,0))+DG94),DG94))</f>
        <v>1000</v>
      </c>
      <c r="DI94" s="27">
        <f>IF(ISNUMBER(VLOOKUP($D94,'Visu totale'!$D:$DH,DI$1,0)),DH94-VLOOKUP($D94,'Visu totale'!$D:$DH,DI$1,0),IF(LEFT(VLOOKUP($D94,'Visu totale'!$D:$DH,DI$1,0),1)="V",IF(DH94&gt;=INDEX('[1]Définition Maintenances'!$G:$G,MATCH($A94,'[1]Définition Maintenances'!$K:$K,0)),DH94,INDEX('[1]Définition Maintenances'!$G:$G,MATCH($A94,'[1]Définition Maintenances'!$K:$K,0))+DH94),DH94))</f>
        <v>1000</v>
      </c>
    </row>
    <row r="95" spans="1:113" x14ac:dyDescent="0.25">
      <c r="A95" s="13" t="str">
        <f t="shared" si="2"/>
        <v>V10C</v>
      </c>
      <c r="B95" s="13" t="str">
        <f>VLOOKUP(D95,'[1]Avions (Potentiels)'!$B$2:$H$128,7,FALSE)</f>
        <v>V10</v>
      </c>
      <c r="C95" s="13"/>
      <c r="D95" s="16" t="s">
        <v>98</v>
      </c>
      <c r="E95" s="13">
        <f>IFERROR(VALUE(SUBSTITUTE(VLOOKUP(D95,'[1]Avions (Potentiels)'!$B:$E,4,0),".",",")),VALUE(VLOOKUP(D95,'[1]Avions (Potentiels)'!$B:$E,4,0)))</f>
        <v>697</v>
      </c>
      <c r="F95" s="25">
        <f>IF(ISNUMBER(VLOOKUP($D95,'Visu totale'!$D:$DH,F$1,0)),E95-VLOOKUP($D95,'Visu totale'!$D:$DH,F$1,0),IF(LEFT(VLOOKUP($D95,'Visu totale'!$D:$DH,F$1,0),1)="V",IF(E95&gt;=INDEX('[1]Définition Maintenances'!$G:$G,MATCH($A95,'[1]Définition Maintenances'!$K:$K,0)),E95,INDEX('[1]Définition Maintenances'!$G:$G,MATCH($A95,'[1]Définition Maintenances'!$K:$K,0))+E95),E95))</f>
        <v>697</v>
      </c>
      <c r="G95" s="26">
        <f>IF(ISNUMBER(VLOOKUP($D95,'Visu totale'!$D:$DH,G$1,0)),F95-VLOOKUP($D95,'Visu totale'!$D:$DH,G$1,0),IF(LEFT(VLOOKUP($D95,'Visu totale'!$D:$DH,G$1,0),1)="V",IF(F95&gt;=INDEX('[1]Définition Maintenances'!$G:$G,MATCH($A95,'[1]Définition Maintenances'!$K:$K,0)),F95,INDEX('[1]Définition Maintenances'!$G:$G,MATCH($A95,'[1]Définition Maintenances'!$K:$K,0))+F95),F95))</f>
        <v>697</v>
      </c>
      <c r="H95" s="26">
        <f>IF(ISNUMBER(VLOOKUP($D95,'Visu totale'!$D:$DH,H$1,0)),G95-VLOOKUP($D95,'Visu totale'!$D:$DH,H$1,0),IF(LEFT(VLOOKUP($D95,'Visu totale'!$D:$DH,H$1,0),1)="V",IF(G95&gt;=INDEX('[1]Définition Maintenances'!$G:$G,MATCH($A95,'[1]Définition Maintenances'!$K:$K,0)),G95,INDEX('[1]Définition Maintenances'!$G:$G,MATCH($A95,'[1]Définition Maintenances'!$K:$K,0))+G95),G95))</f>
        <v>697</v>
      </c>
      <c r="I95" s="26">
        <f>IF(ISNUMBER(VLOOKUP($D95,'Visu totale'!$D:$DH,I$1,0)),H95-VLOOKUP($D95,'Visu totale'!$D:$DH,I$1,0),IF(LEFT(VLOOKUP($D95,'Visu totale'!$D:$DH,I$1,0),1)="V",IF(H95&gt;=INDEX('[1]Définition Maintenances'!$G:$G,MATCH($A95,'[1]Définition Maintenances'!$K:$K,0)),H95,INDEX('[1]Définition Maintenances'!$G:$G,MATCH($A95,'[1]Définition Maintenances'!$K:$K,0))+H95),H95))</f>
        <v>697</v>
      </c>
      <c r="J95" s="26">
        <f>IF(ISNUMBER(VLOOKUP($D95,'Visu totale'!$D:$DH,J$1,0)),I95-VLOOKUP($D95,'Visu totale'!$D:$DH,J$1,0),IF(LEFT(VLOOKUP($D95,'Visu totale'!$D:$DH,J$1,0),1)="V",IF(I95&gt;=INDEX('[1]Définition Maintenances'!$G:$G,MATCH($A95,'[1]Définition Maintenances'!$K:$K,0)),I95,INDEX('[1]Définition Maintenances'!$G:$G,MATCH($A95,'[1]Définition Maintenances'!$K:$K,0))+I95),I95))</f>
        <v>697</v>
      </c>
      <c r="K95" s="26">
        <f>IF(ISNUMBER(VLOOKUP($D95,'Visu totale'!$D:$DH,K$1,0)),J95-VLOOKUP($D95,'Visu totale'!$D:$DH,K$1,0),IF(LEFT(VLOOKUP($D95,'Visu totale'!$D:$DH,K$1,0),1)="V",IF(J95&gt;=INDEX('[1]Définition Maintenances'!$G:$G,MATCH($A95,'[1]Définition Maintenances'!$K:$K,0)),J95,INDEX('[1]Définition Maintenances'!$G:$G,MATCH($A95,'[1]Définition Maintenances'!$K:$K,0))+J95),J95))</f>
        <v>697</v>
      </c>
      <c r="L95" s="26">
        <f>IF(ISNUMBER(VLOOKUP($D95,'Visu totale'!$D:$DH,L$1,0)),K95-VLOOKUP($D95,'Visu totale'!$D:$DH,L$1,0),IF(LEFT(VLOOKUP($D95,'Visu totale'!$D:$DH,L$1,0),1)="V",IF(K95&gt;=INDEX('[1]Définition Maintenances'!$G:$G,MATCH($A95,'[1]Définition Maintenances'!$K:$K,0)),K95,INDEX('[1]Définition Maintenances'!$G:$G,MATCH($A95,'[1]Définition Maintenances'!$K:$K,0))+K95),K95))</f>
        <v>697</v>
      </c>
      <c r="M95" s="26">
        <f>IF(ISNUMBER(VLOOKUP($D95,'Visu totale'!$D:$DH,M$1,0)),L95-VLOOKUP($D95,'Visu totale'!$D:$DH,M$1,0),IF(LEFT(VLOOKUP($D95,'Visu totale'!$D:$DH,M$1,0),1)="V",IF(L95&gt;=INDEX('[1]Définition Maintenances'!$G:$G,MATCH($A95,'[1]Définition Maintenances'!$K:$K,0)),L95,INDEX('[1]Définition Maintenances'!$G:$G,MATCH($A95,'[1]Définition Maintenances'!$K:$K,0))+L95),L95))</f>
        <v>697</v>
      </c>
      <c r="N95" s="26">
        <f>IF(ISNUMBER(VLOOKUP($D95,'Visu totale'!$D:$DH,N$1,0)),M95-VLOOKUP($D95,'Visu totale'!$D:$DH,N$1,0),IF(LEFT(VLOOKUP($D95,'Visu totale'!$D:$DH,N$1,0),1)="V",IF(M95&gt;=INDEX('[1]Définition Maintenances'!$G:$G,MATCH($A95,'[1]Définition Maintenances'!$K:$K,0)),M95,INDEX('[1]Définition Maintenances'!$G:$G,MATCH($A95,'[1]Définition Maintenances'!$K:$K,0))+M95),M95))</f>
        <v>697</v>
      </c>
      <c r="O95" s="26">
        <f>IF(ISNUMBER(VLOOKUP($D95,'Visu totale'!$D:$DH,O$1,0)),N95-VLOOKUP($D95,'Visu totale'!$D:$DH,O$1,0),IF(LEFT(VLOOKUP($D95,'Visu totale'!$D:$DH,O$1,0),1)="V",IF(N95&gt;=INDEX('[1]Définition Maintenances'!$G:$G,MATCH($A95,'[1]Définition Maintenances'!$K:$K,0)),N95,INDEX('[1]Définition Maintenances'!$G:$G,MATCH($A95,'[1]Définition Maintenances'!$K:$K,0))+N95),N95))</f>
        <v>697</v>
      </c>
      <c r="P95" s="26">
        <f>IF(ISNUMBER(VLOOKUP($D95,'Visu totale'!$D:$DH,P$1,0)),O95-VLOOKUP($D95,'Visu totale'!$D:$DH,P$1,0),IF(LEFT(VLOOKUP($D95,'Visu totale'!$D:$DH,P$1,0),1)="V",IF(O95&gt;=INDEX('[1]Définition Maintenances'!$G:$G,MATCH($A95,'[1]Définition Maintenances'!$K:$K,0)),O95,INDEX('[1]Définition Maintenances'!$G:$G,MATCH($A95,'[1]Définition Maintenances'!$K:$K,0))+O95),O95))</f>
        <v>697</v>
      </c>
      <c r="Q95" s="27">
        <f>IF(ISNUMBER(VLOOKUP($D95,'Visu totale'!$D:$DH,Q$1,0)),P95-VLOOKUP($D95,'Visu totale'!$D:$DH,Q$1,0),IF(LEFT(VLOOKUP($D95,'Visu totale'!$D:$DH,Q$1,0),1)="V",IF(P95&gt;=INDEX('[1]Définition Maintenances'!$G:$G,MATCH($A95,'[1]Définition Maintenances'!$K:$K,0)),P95,INDEX('[1]Définition Maintenances'!$G:$G,MATCH($A95,'[1]Définition Maintenances'!$K:$K,0))+P95),P95))</f>
        <v>697</v>
      </c>
      <c r="R95" s="25">
        <f>IF(ISNUMBER(VLOOKUP($D95,'Visu totale'!$D:$DH,R$1,0)),Q95-VLOOKUP($D95,'Visu totale'!$D:$DH,R$1,0),IF(LEFT(VLOOKUP($D95,'Visu totale'!$D:$DH,R$1,0),1)="V",IF(Q95&gt;=INDEX('[1]Définition Maintenances'!$G:$G,MATCH($A95,'[1]Définition Maintenances'!$K:$K,0)),Q95,INDEX('[1]Définition Maintenances'!$G:$G,MATCH($A95,'[1]Définition Maintenances'!$K:$K,0))+Q95),Q95))</f>
        <v>697</v>
      </c>
      <c r="S95" s="26">
        <f>IF(ISNUMBER(VLOOKUP($D95,'Visu totale'!$D:$DH,S$1,0)),R95-VLOOKUP($D95,'Visu totale'!$D:$DH,S$1,0),IF(LEFT(VLOOKUP($D95,'Visu totale'!$D:$DH,S$1,0),1)="V",IF(R95&gt;=INDEX('[1]Définition Maintenances'!$G:$G,MATCH($A95,'[1]Définition Maintenances'!$K:$K,0)),R95,INDEX('[1]Définition Maintenances'!$G:$G,MATCH($A95,'[1]Définition Maintenances'!$K:$K,0))+R95),R95))</f>
        <v>697</v>
      </c>
      <c r="T95" s="26">
        <f>IF(ISNUMBER(VLOOKUP($D95,'Visu totale'!$D:$DH,T$1,0)),S95-VLOOKUP($D95,'Visu totale'!$D:$DH,T$1,0),IF(LEFT(VLOOKUP($D95,'Visu totale'!$D:$DH,T$1,0),1)="V",IF(S95&gt;=INDEX('[1]Définition Maintenances'!$G:$G,MATCH($A95,'[1]Définition Maintenances'!$K:$K,0)),S95,INDEX('[1]Définition Maintenances'!$G:$G,MATCH($A95,'[1]Définition Maintenances'!$K:$K,0))+S95),S95))</f>
        <v>697</v>
      </c>
      <c r="U95" s="26">
        <f>IF(ISNUMBER(VLOOKUP($D95,'Visu totale'!$D:$DH,U$1,0)),T95-VLOOKUP($D95,'Visu totale'!$D:$DH,U$1,0),IF(LEFT(VLOOKUP($D95,'Visu totale'!$D:$DH,U$1,0),1)="V",IF(T95&gt;=INDEX('[1]Définition Maintenances'!$G:$G,MATCH($A95,'[1]Définition Maintenances'!$K:$K,0)),T95,INDEX('[1]Définition Maintenances'!$G:$G,MATCH($A95,'[1]Définition Maintenances'!$K:$K,0))+T95),T95))</f>
        <v>697</v>
      </c>
      <c r="V95" s="26">
        <f>IF(ISNUMBER(VLOOKUP($D95,'Visu totale'!$D:$DH,V$1,0)),U95-VLOOKUP($D95,'Visu totale'!$D:$DH,V$1,0),IF(LEFT(VLOOKUP($D95,'Visu totale'!$D:$DH,V$1,0),1)="V",IF(U95&gt;=INDEX('[1]Définition Maintenances'!$G:$G,MATCH($A95,'[1]Définition Maintenances'!$K:$K,0)),U95,INDEX('[1]Définition Maintenances'!$G:$G,MATCH($A95,'[1]Définition Maintenances'!$K:$K,0))+U95),U95))</f>
        <v>697</v>
      </c>
      <c r="W95" s="26">
        <f>IF(ISNUMBER(VLOOKUP($D95,'Visu totale'!$D:$DH,W$1,0)),V95-VLOOKUP($D95,'Visu totale'!$D:$DH,W$1,0),IF(LEFT(VLOOKUP($D95,'Visu totale'!$D:$DH,W$1,0),1)="V",IF(V95&gt;=INDEX('[1]Définition Maintenances'!$G:$G,MATCH($A95,'[1]Définition Maintenances'!$K:$K,0)),V95,INDEX('[1]Définition Maintenances'!$G:$G,MATCH($A95,'[1]Définition Maintenances'!$K:$K,0))+V95),V95))</f>
        <v>697</v>
      </c>
      <c r="X95" s="26">
        <f>IF(ISNUMBER(VLOOKUP($D95,'Visu totale'!$D:$DH,X$1,0)),W95-VLOOKUP($D95,'Visu totale'!$D:$DH,X$1,0),IF(LEFT(VLOOKUP($D95,'Visu totale'!$D:$DH,X$1,0),1)="V",IF(W95&gt;=INDEX('[1]Définition Maintenances'!$G:$G,MATCH($A95,'[1]Définition Maintenances'!$K:$K,0)),W95,INDEX('[1]Définition Maintenances'!$G:$G,MATCH($A95,'[1]Définition Maintenances'!$K:$K,0))+W95),W95))</f>
        <v>697</v>
      </c>
      <c r="Y95" s="26">
        <f>IF(ISNUMBER(VLOOKUP($D95,'Visu totale'!$D:$DH,Y$1,0)),X95-VLOOKUP($D95,'Visu totale'!$D:$DH,Y$1,0),IF(LEFT(VLOOKUP($D95,'Visu totale'!$D:$DH,Y$1,0),1)="V",IF(X95&gt;=INDEX('[1]Définition Maintenances'!$G:$G,MATCH($A95,'[1]Définition Maintenances'!$K:$K,0)),X95,INDEX('[1]Définition Maintenances'!$G:$G,MATCH($A95,'[1]Définition Maintenances'!$K:$K,0))+X95),X95))</f>
        <v>697</v>
      </c>
      <c r="Z95" s="26">
        <f>IF(ISNUMBER(VLOOKUP($D95,'Visu totale'!$D:$DH,Z$1,0)),Y95-VLOOKUP($D95,'Visu totale'!$D:$DH,Z$1,0),IF(LEFT(VLOOKUP($D95,'Visu totale'!$D:$DH,Z$1,0),1)="V",IF(Y95&gt;=INDEX('[1]Définition Maintenances'!$G:$G,MATCH($A95,'[1]Définition Maintenances'!$K:$K,0)),Y95,INDEX('[1]Définition Maintenances'!$G:$G,MATCH($A95,'[1]Définition Maintenances'!$K:$K,0))+Y95),Y95))</f>
        <v>697</v>
      </c>
      <c r="AA95" s="26">
        <f>IF(ISNUMBER(VLOOKUP($D95,'Visu totale'!$D:$DH,AA$1,0)),Z95-VLOOKUP($D95,'Visu totale'!$D:$DH,AA$1,0),IF(LEFT(VLOOKUP($D95,'Visu totale'!$D:$DH,AA$1,0),1)="V",IF(Z95&gt;=INDEX('[1]Définition Maintenances'!$G:$G,MATCH($A95,'[1]Définition Maintenances'!$K:$K,0)),Z95,INDEX('[1]Définition Maintenances'!$G:$G,MATCH($A95,'[1]Définition Maintenances'!$K:$K,0))+Z95),Z95))</f>
        <v>697</v>
      </c>
      <c r="AB95" s="26">
        <f>IF(ISNUMBER(VLOOKUP($D95,'Visu totale'!$D:$DH,AB$1,0)),AA95-VLOOKUP($D95,'Visu totale'!$D:$DH,AB$1,0),IF(LEFT(VLOOKUP($D95,'Visu totale'!$D:$DH,AB$1,0),1)="V",IF(AA95&gt;=INDEX('[1]Définition Maintenances'!$G:$G,MATCH($A95,'[1]Définition Maintenances'!$K:$K,0)),AA95,INDEX('[1]Définition Maintenances'!$G:$G,MATCH($A95,'[1]Définition Maintenances'!$K:$K,0))+AA95),AA95))</f>
        <v>697</v>
      </c>
      <c r="AC95" s="27">
        <f>IF(ISNUMBER(VLOOKUP($D95,'Visu totale'!$D:$DH,AC$1,0)),AB95-VLOOKUP($D95,'Visu totale'!$D:$DH,AC$1,0),IF(LEFT(VLOOKUP($D95,'Visu totale'!$D:$DH,AC$1,0),1)="V",IF(AB95&gt;=INDEX('[1]Définition Maintenances'!$G:$G,MATCH($A95,'[1]Définition Maintenances'!$K:$K,0)),AB95,INDEX('[1]Définition Maintenances'!$G:$G,MATCH($A95,'[1]Définition Maintenances'!$K:$K,0))+AB95),AB95))</f>
        <v>697</v>
      </c>
      <c r="AD95" s="25">
        <f>IF(ISNUMBER(VLOOKUP($D95,'Visu totale'!$D:$DH,AD$1,0)),AC95-VLOOKUP($D95,'Visu totale'!$D:$DH,AD$1,0),IF(LEFT(VLOOKUP($D95,'Visu totale'!$D:$DH,AD$1,0),1)="V",IF(AC95&gt;=INDEX('[1]Définition Maintenances'!$G:$G,MATCH($A95,'[1]Définition Maintenances'!$K:$K,0)),AC95,INDEX('[1]Définition Maintenances'!$G:$G,MATCH($A95,'[1]Définition Maintenances'!$K:$K,0))+AC95),AC95))</f>
        <v>697</v>
      </c>
      <c r="AE95" s="26">
        <f>IF(ISNUMBER(VLOOKUP($D95,'Visu totale'!$D:$DH,AE$1,0)),AD95-VLOOKUP($D95,'Visu totale'!$D:$DH,AE$1,0),IF(LEFT(VLOOKUP($D95,'Visu totale'!$D:$DH,AE$1,0),1)="V",IF(AD95&gt;=INDEX('[1]Définition Maintenances'!$G:$G,MATCH($A95,'[1]Définition Maintenances'!$K:$K,0)),AD95,INDEX('[1]Définition Maintenances'!$G:$G,MATCH($A95,'[1]Définition Maintenances'!$K:$K,0))+AD95),AD95))</f>
        <v>697</v>
      </c>
      <c r="AF95" s="26">
        <f>IF(ISNUMBER(VLOOKUP($D95,'Visu totale'!$D:$DH,AF$1,0)),AE95-VLOOKUP($D95,'Visu totale'!$D:$DH,AF$1,0),IF(LEFT(VLOOKUP($D95,'Visu totale'!$D:$DH,AF$1,0),1)="V",IF(AE95&gt;=INDEX('[1]Définition Maintenances'!$G:$G,MATCH($A95,'[1]Définition Maintenances'!$K:$K,0)),AE95,INDEX('[1]Définition Maintenances'!$G:$G,MATCH($A95,'[1]Définition Maintenances'!$K:$K,0))+AE95),AE95))</f>
        <v>697</v>
      </c>
      <c r="AG95" s="26">
        <f>IF(ISNUMBER(VLOOKUP($D95,'Visu totale'!$D:$DH,AG$1,0)),AF95-VLOOKUP($D95,'Visu totale'!$D:$DH,AG$1,0),IF(LEFT(VLOOKUP($D95,'Visu totale'!$D:$DH,AG$1,0),1)="V",IF(AF95&gt;=INDEX('[1]Définition Maintenances'!$G:$G,MATCH($A95,'[1]Définition Maintenances'!$K:$K,0)),AF95,INDEX('[1]Définition Maintenances'!$G:$G,MATCH($A95,'[1]Définition Maintenances'!$K:$K,0))+AF95),AF95))</f>
        <v>697</v>
      </c>
      <c r="AH95" s="26">
        <f>IF(ISNUMBER(VLOOKUP($D95,'Visu totale'!$D:$DH,AH$1,0)),AG95-VLOOKUP($D95,'Visu totale'!$D:$DH,AH$1,0),IF(LEFT(VLOOKUP($D95,'Visu totale'!$D:$DH,AH$1,0),1)="V",IF(AG95&gt;=INDEX('[1]Définition Maintenances'!$G:$G,MATCH($A95,'[1]Définition Maintenances'!$K:$K,0)),AG95,INDEX('[1]Définition Maintenances'!$G:$G,MATCH($A95,'[1]Définition Maintenances'!$K:$K,0))+AG95),AG95))</f>
        <v>697</v>
      </c>
      <c r="AI95" s="26">
        <f>IF(ISNUMBER(VLOOKUP($D95,'Visu totale'!$D:$DH,AI$1,0)),AH95-VLOOKUP($D95,'Visu totale'!$D:$DH,AI$1,0),IF(LEFT(VLOOKUP($D95,'Visu totale'!$D:$DH,AI$1,0),1)="V",IF(AH95&gt;=INDEX('[1]Définition Maintenances'!$G:$G,MATCH($A95,'[1]Définition Maintenances'!$K:$K,0)),AH95,INDEX('[1]Définition Maintenances'!$G:$G,MATCH($A95,'[1]Définition Maintenances'!$K:$K,0))+AH95),AH95))</f>
        <v>697</v>
      </c>
      <c r="AJ95" s="26">
        <f>IF(ISNUMBER(VLOOKUP($D95,'Visu totale'!$D:$DH,AJ$1,0)),AI95-VLOOKUP($D95,'Visu totale'!$D:$DH,AJ$1,0),IF(LEFT(VLOOKUP($D95,'Visu totale'!$D:$DH,AJ$1,0),1)="V",IF(AI95&gt;=INDEX('[1]Définition Maintenances'!$G:$G,MATCH($A95,'[1]Définition Maintenances'!$K:$K,0)),AI95,INDEX('[1]Définition Maintenances'!$G:$G,MATCH($A95,'[1]Définition Maintenances'!$K:$K,0))+AI95),AI95))</f>
        <v>697</v>
      </c>
      <c r="AK95" s="26">
        <f>IF(ISNUMBER(VLOOKUP($D95,'Visu totale'!$D:$DH,AK$1,0)),AJ95-VLOOKUP($D95,'Visu totale'!$D:$DH,AK$1,0),IF(LEFT(VLOOKUP($D95,'Visu totale'!$D:$DH,AK$1,0),1)="V",IF(AJ95&gt;=INDEX('[1]Définition Maintenances'!$G:$G,MATCH($A95,'[1]Définition Maintenances'!$K:$K,0)),AJ95,INDEX('[1]Définition Maintenances'!$G:$G,MATCH($A95,'[1]Définition Maintenances'!$K:$K,0))+AJ95),AJ95))</f>
        <v>697</v>
      </c>
      <c r="AL95" s="26">
        <f>IF(ISNUMBER(VLOOKUP($D95,'Visu totale'!$D:$DH,AL$1,0)),AK95-VLOOKUP($D95,'Visu totale'!$D:$DH,AL$1,0),IF(LEFT(VLOOKUP($D95,'Visu totale'!$D:$DH,AL$1,0),1)="V",IF(AK95&gt;=INDEX('[1]Définition Maintenances'!$G:$G,MATCH($A95,'[1]Définition Maintenances'!$K:$K,0)),AK95,INDEX('[1]Définition Maintenances'!$G:$G,MATCH($A95,'[1]Définition Maintenances'!$K:$K,0))+AK95),AK95))</f>
        <v>697</v>
      </c>
      <c r="AM95" s="26">
        <f>IF(ISNUMBER(VLOOKUP($D95,'Visu totale'!$D:$DH,AM$1,0)),AL95-VLOOKUP($D95,'Visu totale'!$D:$DH,AM$1,0),IF(LEFT(VLOOKUP($D95,'Visu totale'!$D:$DH,AM$1,0),1)="V",IF(AL95&gt;=INDEX('[1]Définition Maintenances'!$G:$G,MATCH($A95,'[1]Définition Maintenances'!$K:$K,0)),AL95,INDEX('[1]Définition Maintenances'!$G:$G,MATCH($A95,'[1]Définition Maintenances'!$K:$K,0))+AL95),AL95))</f>
        <v>697</v>
      </c>
      <c r="AN95" s="26">
        <f>IF(ISNUMBER(VLOOKUP($D95,'Visu totale'!$D:$DH,AN$1,0)),AM95-VLOOKUP($D95,'Visu totale'!$D:$DH,AN$1,0),IF(LEFT(VLOOKUP($D95,'Visu totale'!$D:$DH,AN$1,0),1)="V",IF(AM95&gt;=INDEX('[1]Définition Maintenances'!$G:$G,MATCH($A95,'[1]Définition Maintenances'!$K:$K,0)),AM95,INDEX('[1]Définition Maintenances'!$G:$G,MATCH($A95,'[1]Définition Maintenances'!$K:$K,0))+AM95),AM95))</f>
        <v>697</v>
      </c>
      <c r="AO95" s="27">
        <f>IF(ISNUMBER(VLOOKUP($D95,'Visu totale'!$D:$DH,AO$1,0)),AN95-VLOOKUP($D95,'Visu totale'!$D:$DH,AO$1,0),IF(LEFT(VLOOKUP($D95,'Visu totale'!$D:$DH,AO$1,0),1)="V",IF(AN95&gt;=INDEX('[1]Définition Maintenances'!$G:$G,MATCH($A95,'[1]Définition Maintenances'!$K:$K,0)),AN95,INDEX('[1]Définition Maintenances'!$G:$G,MATCH($A95,'[1]Définition Maintenances'!$K:$K,0))+AN95),AN95))</f>
        <v>697</v>
      </c>
      <c r="AP95" s="25">
        <f>IF(ISNUMBER(VLOOKUP($D95,'Visu totale'!$D:$DH,AP$1,0)),AO95-VLOOKUP($D95,'Visu totale'!$D:$DH,AP$1,0),IF(LEFT(VLOOKUP($D95,'Visu totale'!$D:$DH,AP$1,0),1)="V",IF(AO95&gt;=INDEX('[1]Définition Maintenances'!$G:$G,MATCH($A95,'[1]Définition Maintenances'!$K:$K,0)),AO95,INDEX('[1]Définition Maintenances'!$G:$G,MATCH($A95,'[1]Définition Maintenances'!$K:$K,0))+AO95),AO95))</f>
        <v>697</v>
      </c>
      <c r="AQ95" s="26">
        <f>IF(ISNUMBER(VLOOKUP($D95,'Visu totale'!$D:$DH,AQ$1,0)),AP95-VLOOKUP($D95,'Visu totale'!$D:$DH,AQ$1,0),IF(LEFT(VLOOKUP($D95,'Visu totale'!$D:$DH,AQ$1,0),1)="V",IF(AP95&gt;=INDEX('[1]Définition Maintenances'!$G:$G,MATCH($A95,'[1]Définition Maintenances'!$K:$K,0)),AP95,INDEX('[1]Définition Maintenances'!$G:$G,MATCH($A95,'[1]Définition Maintenances'!$K:$K,0))+AP95),AP95))</f>
        <v>697</v>
      </c>
      <c r="AR95" s="26">
        <f>IF(ISNUMBER(VLOOKUP($D95,'Visu totale'!$D:$DH,AR$1,0)),AQ95-VLOOKUP($D95,'Visu totale'!$D:$DH,AR$1,0),IF(LEFT(VLOOKUP($D95,'Visu totale'!$D:$DH,AR$1,0),1)="V",IF(AQ95&gt;=INDEX('[1]Définition Maintenances'!$G:$G,MATCH($A95,'[1]Définition Maintenances'!$K:$K,0)),AQ95,INDEX('[1]Définition Maintenances'!$G:$G,MATCH($A95,'[1]Définition Maintenances'!$K:$K,0))+AQ95),AQ95))</f>
        <v>697</v>
      </c>
      <c r="AS95" s="26">
        <f>IF(ISNUMBER(VLOOKUP($D95,'Visu totale'!$D:$DH,AS$1,0)),AR95-VLOOKUP($D95,'Visu totale'!$D:$DH,AS$1,0),IF(LEFT(VLOOKUP($D95,'Visu totale'!$D:$DH,AS$1,0),1)="V",IF(AR95&gt;=INDEX('[1]Définition Maintenances'!$G:$G,MATCH($A95,'[1]Définition Maintenances'!$K:$K,0)),AR95,INDEX('[1]Définition Maintenances'!$G:$G,MATCH($A95,'[1]Définition Maintenances'!$K:$K,0))+AR95),AR95))</f>
        <v>697</v>
      </c>
      <c r="AT95" s="26">
        <f>IF(ISNUMBER(VLOOKUP($D95,'Visu totale'!$D:$DH,AT$1,0)),AS95-VLOOKUP($D95,'Visu totale'!$D:$DH,AT$1,0),IF(LEFT(VLOOKUP($D95,'Visu totale'!$D:$DH,AT$1,0),1)="V",IF(AS95&gt;=INDEX('[1]Définition Maintenances'!$G:$G,MATCH($A95,'[1]Définition Maintenances'!$K:$K,0)),AS95,INDEX('[1]Définition Maintenances'!$G:$G,MATCH($A95,'[1]Définition Maintenances'!$K:$K,0))+AS95),AS95))</f>
        <v>697</v>
      </c>
      <c r="AU95" s="26">
        <f>IF(ISNUMBER(VLOOKUP($D95,'Visu totale'!$D:$DH,AU$1,0)),AT95-VLOOKUP($D95,'Visu totale'!$D:$DH,AU$1,0),IF(LEFT(VLOOKUP($D95,'Visu totale'!$D:$DH,AU$1,0),1)="V",IF(AT95&gt;=INDEX('[1]Définition Maintenances'!$G:$G,MATCH($A95,'[1]Définition Maintenances'!$K:$K,0)),AT95,INDEX('[1]Définition Maintenances'!$G:$G,MATCH($A95,'[1]Définition Maintenances'!$K:$K,0))+AT95),AT95))</f>
        <v>697</v>
      </c>
      <c r="AV95" s="26">
        <f>IF(ISNUMBER(VLOOKUP($D95,'Visu totale'!$D:$DH,AV$1,0)),AU95-VLOOKUP($D95,'Visu totale'!$D:$DH,AV$1,0),IF(LEFT(VLOOKUP($D95,'Visu totale'!$D:$DH,AV$1,0),1)="V",IF(AU95&gt;=INDEX('[1]Définition Maintenances'!$G:$G,MATCH($A95,'[1]Définition Maintenances'!$K:$K,0)),AU95,INDEX('[1]Définition Maintenances'!$G:$G,MATCH($A95,'[1]Définition Maintenances'!$K:$K,0))+AU95),AU95))</f>
        <v>697</v>
      </c>
      <c r="AW95" s="26">
        <f>IF(ISNUMBER(VLOOKUP($D95,'Visu totale'!$D:$DH,AW$1,0)),AV95-VLOOKUP($D95,'Visu totale'!$D:$DH,AW$1,0),IF(LEFT(VLOOKUP($D95,'Visu totale'!$D:$DH,AW$1,0),1)="V",IF(AV95&gt;=INDEX('[1]Définition Maintenances'!$G:$G,MATCH($A95,'[1]Définition Maintenances'!$K:$K,0)),AV95,INDEX('[1]Définition Maintenances'!$G:$G,MATCH($A95,'[1]Définition Maintenances'!$K:$K,0))+AV95),AV95))</f>
        <v>697</v>
      </c>
      <c r="AX95" s="26">
        <f>IF(ISNUMBER(VLOOKUP($D95,'Visu totale'!$D:$DH,AX$1,0)),AW95-VLOOKUP($D95,'Visu totale'!$D:$DH,AX$1,0),IF(LEFT(VLOOKUP($D95,'Visu totale'!$D:$DH,AX$1,0),1)="V",IF(AW95&gt;=INDEX('[1]Définition Maintenances'!$G:$G,MATCH($A95,'[1]Définition Maintenances'!$K:$K,0)),AW95,INDEX('[1]Définition Maintenances'!$G:$G,MATCH($A95,'[1]Définition Maintenances'!$K:$K,0))+AW95),AW95))</f>
        <v>697</v>
      </c>
      <c r="AY95" s="26">
        <f>IF(ISNUMBER(VLOOKUP($D95,'Visu totale'!$D:$DH,AY$1,0)),AX95-VLOOKUP($D95,'Visu totale'!$D:$DH,AY$1,0),IF(LEFT(VLOOKUP($D95,'Visu totale'!$D:$DH,AY$1,0),1)="V",IF(AX95&gt;=INDEX('[1]Définition Maintenances'!$G:$G,MATCH($A95,'[1]Définition Maintenances'!$K:$K,0)),AX95,INDEX('[1]Définition Maintenances'!$G:$G,MATCH($A95,'[1]Définition Maintenances'!$K:$K,0))+AX95),AX95))</f>
        <v>697</v>
      </c>
      <c r="AZ95" s="26">
        <f>IF(ISNUMBER(VLOOKUP($D95,'Visu totale'!$D:$DH,AZ$1,0)),AY95-VLOOKUP($D95,'Visu totale'!$D:$DH,AZ$1,0),IF(LEFT(VLOOKUP($D95,'Visu totale'!$D:$DH,AZ$1,0),1)="V",IF(AY95&gt;=INDEX('[1]Définition Maintenances'!$G:$G,MATCH($A95,'[1]Définition Maintenances'!$K:$K,0)),AY95,INDEX('[1]Définition Maintenances'!$G:$G,MATCH($A95,'[1]Définition Maintenances'!$K:$K,0))+AY95),AY95))</f>
        <v>697</v>
      </c>
      <c r="BA95" s="27">
        <f>IF(ISNUMBER(VLOOKUP($D95,'Visu totale'!$D:$DH,BA$1,0)),AZ95-VLOOKUP($D95,'Visu totale'!$D:$DH,BA$1,0),IF(LEFT(VLOOKUP($D95,'Visu totale'!$D:$DH,BA$1,0),1)="V",IF(AZ95&gt;=INDEX('[1]Définition Maintenances'!$G:$G,MATCH($A95,'[1]Définition Maintenances'!$K:$K,0)),AZ95,INDEX('[1]Définition Maintenances'!$G:$G,MATCH($A95,'[1]Définition Maintenances'!$K:$K,0))+AZ95),AZ95))</f>
        <v>697</v>
      </c>
      <c r="BB95" s="25">
        <f>IF(ISNUMBER(VLOOKUP($D95,'Visu totale'!$D:$DH,BB$1,0)),BA95-VLOOKUP($D95,'Visu totale'!$D:$DH,BB$1,0),IF(LEFT(VLOOKUP($D95,'Visu totale'!$D:$DH,BB$1,0),1)="V",IF(BA95&gt;=INDEX('[1]Définition Maintenances'!$G:$G,MATCH($A95,'[1]Définition Maintenances'!$K:$K,0)),BA95,INDEX('[1]Définition Maintenances'!$G:$G,MATCH($A95,'[1]Définition Maintenances'!$K:$K,0))+BA95),BA95))</f>
        <v>697</v>
      </c>
      <c r="BC95" s="26">
        <f>IF(ISNUMBER(VLOOKUP($D95,'Visu totale'!$D:$DH,BC$1,0)),BB95-VLOOKUP($D95,'Visu totale'!$D:$DH,BC$1,0),IF(LEFT(VLOOKUP($D95,'Visu totale'!$D:$DH,BC$1,0),1)="V",IF(BB95&gt;=INDEX('[1]Définition Maintenances'!$G:$G,MATCH($A95,'[1]Définition Maintenances'!$K:$K,0)),BB95,INDEX('[1]Définition Maintenances'!$G:$G,MATCH($A95,'[1]Définition Maintenances'!$K:$K,0))+BB95),BB95))</f>
        <v>697</v>
      </c>
      <c r="BD95" s="26">
        <f>IF(ISNUMBER(VLOOKUP($D95,'Visu totale'!$D:$DH,BD$1,0)),BC95-VLOOKUP($D95,'Visu totale'!$D:$DH,BD$1,0),IF(LEFT(VLOOKUP($D95,'Visu totale'!$D:$DH,BD$1,0),1)="V",IF(BC95&gt;=INDEX('[1]Définition Maintenances'!$G:$G,MATCH($A95,'[1]Définition Maintenances'!$K:$K,0)),BC95,INDEX('[1]Définition Maintenances'!$G:$G,MATCH($A95,'[1]Définition Maintenances'!$K:$K,0))+BC95),BC95))</f>
        <v>697</v>
      </c>
      <c r="BE95" s="26">
        <f>IF(ISNUMBER(VLOOKUP($D95,'Visu totale'!$D:$DH,BE$1,0)),BD95-VLOOKUP($D95,'Visu totale'!$D:$DH,BE$1,0),IF(LEFT(VLOOKUP($D95,'Visu totale'!$D:$DH,BE$1,0),1)="V",IF(BD95&gt;=INDEX('[1]Définition Maintenances'!$G:$G,MATCH($A95,'[1]Définition Maintenances'!$K:$K,0)),BD95,INDEX('[1]Définition Maintenances'!$G:$G,MATCH($A95,'[1]Définition Maintenances'!$K:$K,0))+BD95),BD95))</f>
        <v>697</v>
      </c>
      <c r="BF95" s="26">
        <f>IF(ISNUMBER(VLOOKUP($D95,'Visu totale'!$D:$DH,BF$1,0)),BE95-VLOOKUP($D95,'Visu totale'!$D:$DH,BF$1,0),IF(LEFT(VLOOKUP($D95,'Visu totale'!$D:$DH,BF$1,0),1)="V",IF(BE95&gt;=INDEX('[1]Définition Maintenances'!$G:$G,MATCH($A95,'[1]Définition Maintenances'!$K:$K,0)),BE95,INDEX('[1]Définition Maintenances'!$G:$G,MATCH($A95,'[1]Définition Maintenances'!$K:$K,0))+BE95),BE95))</f>
        <v>697</v>
      </c>
      <c r="BG95" s="26">
        <f>IF(ISNUMBER(VLOOKUP($D95,'Visu totale'!$D:$DH,BG$1,0)),BF95-VLOOKUP($D95,'Visu totale'!$D:$DH,BG$1,0),IF(LEFT(VLOOKUP($D95,'Visu totale'!$D:$DH,BG$1,0),1)="V",IF(BF95&gt;=INDEX('[1]Définition Maintenances'!$G:$G,MATCH($A95,'[1]Définition Maintenances'!$K:$K,0)),BF95,INDEX('[1]Définition Maintenances'!$G:$G,MATCH($A95,'[1]Définition Maintenances'!$K:$K,0))+BF95),BF95))</f>
        <v>697</v>
      </c>
      <c r="BH95" s="26">
        <f>IF(ISNUMBER(VLOOKUP($D95,'Visu totale'!$D:$DH,BH$1,0)),BG95-VLOOKUP($D95,'Visu totale'!$D:$DH,BH$1,0),IF(LEFT(VLOOKUP($D95,'Visu totale'!$D:$DH,BH$1,0),1)="V",IF(BG95&gt;=INDEX('[1]Définition Maintenances'!$G:$G,MATCH($A95,'[1]Définition Maintenances'!$K:$K,0)),BG95,INDEX('[1]Définition Maintenances'!$G:$G,MATCH($A95,'[1]Définition Maintenances'!$K:$K,0))+BG95),BG95))</f>
        <v>697</v>
      </c>
      <c r="BI95" s="26">
        <f>IF(ISNUMBER(VLOOKUP($D95,'Visu totale'!$D:$DH,BI$1,0)),BH95-VLOOKUP($D95,'Visu totale'!$D:$DH,BI$1,0),IF(LEFT(VLOOKUP($D95,'Visu totale'!$D:$DH,BI$1,0),1)="V",IF(BH95&gt;=INDEX('[1]Définition Maintenances'!$G:$G,MATCH($A95,'[1]Définition Maintenances'!$K:$K,0)),BH95,INDEX('[1]Définition Maintenances'!$G:$G,MATCH($A95,'[1]Définition Maintenances'!$K:$K,0))+BH95),BH95))</f>
        <v>697</v>
      </c>
      <c r="BJ95" s="26">
        <f>IF(ISNUMBER(VLOOKUP($D95,'Visu totale'!$D:$DH,BJ$1,0)),BI95-VLOOKUP($D95,'Visu totale'!$D:$DH,BJ$1,0),IF(LEFT(VLOOKUP($D95,'Visu totale'!$D:$DH,BJ$1,0),1)="V",IF(BI95&gt;=INDEX('[1]Définition Maintenances'!$G:$G,MATCH($A95,'[1]Définition Maintenances'!$K:$K,0)),BI95,INDEX('[1]Définition Maintenances'!$G:$G,MATCH($A95,'[1]Définition Maintenances'!$K:$K,0))+BI95),BI95))</f>
        <v>697</v>
      </c>
      <c r="BK95" s="26">
        <f>IF(ISNUMBER(VLOOKUP($D95,'Visu totale'!$D:$DH,BK$1,0)),BJ95-VLOOKUP($D95,'Visu totale'!$D:$DH,BK$1,0),IF(LEFT(VLOOKUP($D95,'Visu totale'!$D:$DH,BK$1,0),1)="V",IF(BJ95&gt;=INDEX('[1]Définition Maintenances'!$G:$G,MATCH($A95,'[1]Définition Maintenances'!$K:$K,0)),BJ95,INDEX('[1]Définition Maintenances'!$G:$G,MATCH($A95,'[1]Définition Maintenances'!$K:$K,0))+BJ95),BJ95))</f>
        <v>697</v>
      </c>
      <c r="BL95" s="26">
        <f>IF(ISNUMBER(VLOOKUP($D95,'Visu totale'!$D:$DH,BL$1,0)),BK95-VLOOKUP($D95,'Visu totale'!$D:$DH,BL$1,0),IF(LEFT(VLOOKUP($D95,'Visu totale'!$D:$DH,BL$1,0),1)="V",IF(BK95&gt;=INDEX('[1]Définition Maintenances'!$G:$G,MATCH($A95,'[1]Définition Maintenances'!$K:$K,0)),BK95,INDEX('[1]Définition Maintenances'!$G:$G,MATCH($A95,'[1]Définition Maintenances'!$K:$K,0))+BK95),BK95))</f>
        <v>697</v>
      </c>
      <c r="BM95" s="27">
        <f>IF(ISNUMBER(VLOOKUP($D95,'Visu totale'!$D:$DH,BM$1,0)),BL95-VLOOKUP($D95,'Visu totale'!$D:$DH,BM$1,0),IF(LEFT(VLOOKUP($D95,'Visu totale'!$D:$DH,BM$1,0),1)="V",IF(BL95&gt;=INDEX('[1]Définition Maintenances'!$G:$G,MATCH($A95,'[1]Définition Maintenances'!$K:$K,0)),BL95,INDEX('[1]Définition Maintenances'!$G:$G,MATCH($A95,'[1]Définition Maintenances'!$K:$K,0))+BL95),BL95))</f>
        <v>697</v>
      </c>
      <c r="BN95" s="25">
        <f>IF(ISNUMBER(VLOOKUP($D95,'Visu totale'!$D:$DH,BN$1,0)),BM95-VLOOKUP($D95,'Visu totale'!$D:$DH,BN$1,0),IF(LEFT(VLOOKUP($D95,'Visu totale'!$D:$DH,BN$1,0),1)="V",IF(BM95&gt;=INDEX('[1]Définition Maintenances'!$G:$G,MATCH($A95,'[1]Définition Maintenances'!$K:$K,0)),BM95,INDEX('[1]Définition Maintenances'!$G:$G,MATCH($A95,'[1]Définition Maintenances'!$K:$K,0))+BM95),BM95))</f>
        <v>697</v>
      </c>
      <c r="BO95" s="26">
        <f>IF(ISNUMBER(VLOOKUP($D95,'Visu totale'!$D:$DH,BO$1,0)),BN95-VLOOKUP($D95,'Visu totale'!$D:$DH,BO$1,0),IF(LEFT(VLOOKUP($D95,'Visu totale'!$D:$DH,BO$1,0),1)="V",IF(BN95&gt;=INDEX('[1]Définition Maintenances'!$G:$G,MATCH($A95,'[1]Définition Maintenances'!$K:$K,0)),BN95,INDEX('[1]Définition Maintenances'!$G:$G,MATCH($A95,'[1]Définition Maintenances'!$K:$K,0))+BN95),BN95))</f>
        <v>697</v>
      </c>
      <c r="BP95" s="26">
        <f>IF(ISNUMBER(VLOOKUP($D95,'Visu totale'!$D:$DH,BP$1,0)),BO95-VLOOKUP($D95,'Visu totale'!$D:$DH,BP$1,0),IF(LEFT(VLOOKUP($D95,'Visu totale'!$D:$DH,BP$1,0),1)="V",IF(BO95&gt;=INDEX('[1]Définition Maintenances'!$G:$G,MATCH($A95,'[1]Définition Maintenances'!$K:$K,0)),BO95,INDEX('[1]Définition Maintenances'!$G:$G,MATCH($A95,'[1]Définition Maintenances'!$K:$K,0))+BO95),BO95))</f>
        <v>697</v>
      </c>
      <c r="BQ95" s="26">
        <f>IF(ISNUMBER(VLOOKUP($D95,'Visu totale'!$D:$DH,BQ$1,0)),BP95-VLOOKUP($D95,'Visu totale'!$D:$DH,BQ$1,0),IF(LEFT(VLOOKUP($D95,'Visu totale'!$D:$DH,BQ$1,0),1)="V",IF(BP95&gt;=INDEX('[1]Définition Maintenances'!$G:$G,MATCH($A95,'[1]Définition Maintenances'!$K:$K,0)),BP95,INDEX('[1]Définition Maintenances'!$G:$G,MATCH($A95,'[1]Définition Maintenances'!$K:$K,0))+BP95),BP95))</f>
        <v>697</v>
      </c>
      <c r="BR95" s="26">
        <f>IF(ISNUMBER(VLOOKUP($D95,'Visu totale'!$D:$DH,BR$1,0)),BQ95-VLOOKUP($D95,'Visu totale'!$D:$DH,BR$1,0),IF(LEFT(VLOOKUP($D95,'Visu totale'!$D:$DH,BR$1,0),1)="V",IF(BQ95&gt;=INDEX('[1]Définition Maintenances'!$G:$G,MATCH($A95,'[1]Définition Maintenances'!$K:$K,0)),BQ95,INDEX('[1]Définition Maintenances'!$G:$G,MATCH($A95,'[1]Définition Maintenances'!$K:$K,0))+BQ95),BQ95))</f>
        <v>697</v>
      </c>
      <c r="BS95" s="26">
        <f>IF(ISNUMBER(VLOOKUP($D95,'Visu totale'!$D:$DH,BS$1,0)),BR95-VLOOKUP($D95,'Visu totale'!$D:$DH,BS$1,0),IF(LEFT(VLOOKUP($D95,'Visu totale'!$D:$DH,BS$1,0),1)="V",IF(BR95&gt;=INDEX('[1]Définition Maintenances'!$G:$G,MATCH($A95,'[1]Définition Maintenances'!$K:$K,0)),BR95,INDEX('[1]Définition Maintenances'!$G:$G,MATCH($A95,'[1]Définition Maintenances'!$K:$K,0))+BR95),BR95))</f>
        <v>697</v>
      </c>
      <c r="BT95" s="26">
        <f>IF(ISNUMBER(VLOOKUP($D95,'Visu totale'!$D:$DH,BT$1,0)),BS95-VLOOKUP($D95,'Visu totale'!$D:$DH,BT$1,0),IF(LEFT(VLOOKUP($D95,'Visu totale'!$D:$DH,BT$1,0),1)="V",IF(BS95&gt;=INDEX('[1]Définition Maintenances'!$G:$G,MATCH($A95,'[1]Définition Maintenances'!$K:$K,0)),BS95,INDEX('[1]Définition Maintenances'!$G:$G,MATCH($A95,'[1]Définition Maintenances'!$K:$K,0))+BS95),BS95))</f>
        <v>697</v>
      </c>
      <c r="BU95" s="26">
        <f>IF(ISNUMBER(VLOOKUP($D95,'Visu totale'!$D:$DH,BU$1,0)),BT95-VLOOKUP($D95,'Visu totale'!$D:$DH,BU$1,0),IF(LEFT(VLOOKUP($D95,'Visu totale'!$D:$DH,BU$1,0),1)="V",IF(BT95&gt;=INDEX('[1]Définition Maintenances'!$G:$G,MATCH($A95,'[1]Définition Maintenances'!$K:$K,0)),BT95,INDEX('[1]Définition Maintenances'!$G:$G,MATCH($A95,'[1]Définition Maintenances'!$K:$K,0))+BT95),BT95))</f>
        <v>697</v>
      </c>
      <c r="BV95" s="26">
        <f>IF(ISNUMBER(VLOOKUP($D95,'Visu totale'!$D:$DH,BV$1,0)),BU95-VLOOKUP($D95,'Visu totale'!$D:$DH,BV$1,0),IF(LEFT(VLOOKUP($D95,'Visu totale'!$D:$DH,BV$1,0),1)="V",IF(BU95&gt;=INDEX('[1]Définition Maintenances'!$G:$G,MATCH($A95,'[1]Définition Maintenances'!$K:$K,0)),BU95,INDEX('[1]Définition Maintenances'!$G:$G,MATCH($A95,'[1]Définition Maintenances'!$K:$K,0))+BU95),BU95))</f>
        <v>697</v>
      </c>
      <c r="BW95" s="26">
        <f>IF(ISNUMBER(VLOOKUP($D95,'Visu totale'!$D:$DH,BW$1,0)),BV95-VLOOKUP($D95,'Visu totale'!$D:$DH,BW$1,0),IF(LEFT(VLOOKUP($D95,'Visu totale'!$D:$DH,BW$1,0),1)="V",IF(BV95&gt;=INDEX('[1]Définition Maintenances'!$G:$G,MATCH($A95,'[1]Définition Maintenances'!$K:$K,0)),BV95,INDEX('[1]Définition Maintenances'!$G:$G,MATCH($A95,'[1]Définition Maintenances'!$K:$K,0))+BV95),BV95))</f>
        <v>697</v>
      </c>
      <c r="BX95" s="26">
        <f>IF(ISNUMBER(VLOOKUP($D95,'Visu totale'!$D:$DH,BX$1,0)),BW95-VLOOKUP($D95,'Visu totale'!$D:$DH,BX$1,0),IF(LEFT(VLOOKUP($D95,'Visu totale'!$D:$DH,BX$1,0),1)="V",IF(BW95&gt;=INDEX('[1]Définition Maintenances'!$G:$G,MATCH($A95,'[1]Définition Maintenances'!$K:$K,0)),BW95,INDEX('[1]Définition Maintenances'!$G:$G,MATCH($A95,'[1]Définition Maintenances'!$K:$K,0))+BW95),BW95))</f>
        <v>697</v>
      </c>
      <c r="BY95" s="27">
        <f>IF(ISNUMBER(VLOOKUP($D95,'Visu totale'!$D:$DH,BY$1,0)),BX95-VLOOKUP($D95,'Visu totale'!$D:$DH,BY$1,0),IF(LEFT(VLOOKUP($D95,'Visu totale'!$D:$DH,BY$1,0),1)="V",IF(BX95&gt;=INDEX('[1]Définition Maintenances'!$G:$G,MATCH($A95,'[1]Définition Maintenances'!$K:$K,0)),BX95,INDEX('[1]Définition Maintenances'!$G:$G,MATCH($A95,'[1]Définition Maintenances'!$K:$K,0))+BX95),BX95))</f>
        <v>697</v>
      </c>
      <c r="BZ95" s="25">
        <f>IF(ISNUMBER(VLOOKUP($D95,'Visu totale'!$D:$DH,BZ$1,0)),BY95-VLOOKUP($D95,'Visu totale'!$D:$DH,BZ$1,0),IF(LEFT(VLOOKUP($D95,'Visu totale'!$D:$DH,BZ$1,0),1)="V",IF(BY95&gt;=INDEX('[1]Définition Maintenances'!$G:$G,MATCH($A95,'[1]Définition Maintenances'!$K:$K,0)),BY95,INDEX('[1]Définition Maintenances'!$G:$G,MATCH($A95,'[1]Définition Maintenances'!$K:$K,0))+BY95),BY95))</f>
        <v>697</v>
      </c>
      <c r="CA95" s="26">
        <f>IF(ISNUMBER(VLOOKUP($D95,'Visu totale'!$D:$DH,CA$1,0)),BZ95-VLOOKUP($D95,'Visu totale'!$D:$DH,CA$1,0),IF(LEFT(VLOOKUP($D95,'Visu totale'!$D:$DH,CA$1,0),1)="V",IF(BZ95&gt;=INDEX('[1]Définition Maintenances'!$G:$G,MATCH($A95,'[1]Définition Maintenances'!$K:$K,0)),BZ95,INDEX('[1]Définition Maintenances'!$G:$G,MATCH($A95,'[1]Définition Maintenances'!$K:$K,0))+BZ95),BZ95))</f>
        <v>697</v>
      </c>
      <c r="CB95" s="26">
        <f>IF(ISNUMBER(VLOOKUP($D95,'Visu totale'!$D:$DH,CB$1,0)),CA95-VLOOKUP($D95,'Visu totale'!$D:$DH,CB$1,0),IF(LEFT(VLOOKUP($D95,'Visu totale'!$D:$DH,CB$1,0),1)="V",IF(CA95&gt;=INDEX('[1]Définition Maintenances'!$G:$G,MATCH($A95,'[1]Définition Maintenances'!$K:$K,0)),CA95,INDEX('[1]Définition Maintenances'!$G:$G,MATCH($A95,'[1]Définition Maintenances'!$K:$K,0))+CA95),CA95))</f>
        <v>697</v>
      </c>
      <c r="CC95" s="26">
        <f>IF(ISNUMBER(VLOOKUP($D95,'Visu totale'!$D:$DH,CC$1,0)),CB95-VLOOKUP($D95,'Visu totale'!$D:$DH,CC$1,0),IF(LEFT(VLOOKUP($D95,'Visu totale'!$D:$DH,CC$1,0),1)="V",IF(CB95&gt;=INDEX('[1]Définition Maintenances'!$G:$G,MATCH($A95,'[1]Définition Maintenances'!$K:$K,0)),CB95,INDEX('[1]Définition Maintenances'!$G:$G,MATCH($A95,'[1]Définition Maintenances'!$K:$K,0))+CB95),CB95))</f>
        <v>697</v>
      </c>
      <c r="CD95" s="26">
        <f>IF(ISNUMBER(VLOOKUP($D95,'Visu totale'!$D:$DH,CD$1,0)),CC95-VLOOKUP($D95,'Visu totale'!$D:$DH,CD$1,0),IF(LEFT(VLOOKUP($D95,'Visu totale'!$D:$DH,CD$1,0),1)="V",IF(CC95&gt;=INDEX('[1]Définition Maintenances'!$G:$G,MATCH($A95,'[1]Définition Maintenances'!$K:$K,0)),CC95,INDEX('[1]Définition Maintenances'!$G:$G,MATCH($A95,'[1]Définition Maintenances'!$K:$K,0))+CC95),CC95))</f>
        <v>697</v>
      </c>
      <c r="CE95" s="26">
        <f>IF(ISNUMBER(VLOOKUP($D95,'Visu totale'!$D:$DH,CE$1,0)),CD95-VLOOKUP($D95,'Visu totale'!$D:$DH,CE$1,0),IF(LEFT(VLOOKUP($D95,'Visu totale'!$D:$DH,CE$1,0),1)="V",IF(CD95&gt;=INDEX('[1]Définition Maintenances'!$G:$G,MATCH($A95,'[1]Définition Maintenances'!$K:$K,0)),CD95,INDEX('[1]Définition Maintenances'!$G:$G,MATCH($A95,'[1]Définition Maintenances'!$K:$K,0))+CD95),CD95))</f>
        <v>697</v>
      </c>
      <c r="CF95" s="26">
        <f>IF(ISNUMBER(VLOOKUP($D95,'Visu totale'!$D:$DH,CF$1,0)),CE95-VLOOKUP($D95,'Visu totale'!$D:$DH,CF$1,0),IF(LEFT(VLOOKUP($D95,'Visu totale'!$D:$DH,CF$1,0),1)="V",IF(CE95&gt;=INDEX('[1]Définition Maintenances'!$G:$G,MATCH($A95,'[1]Définition Maintenances'!$K:$K,0)),CE95,INDEX('[1]Définition Maintenances'!$G:$G,MATCH($A95,'[1]Définition Maintenances'!$K:$K,0))+CE95),CE95))</f>
        <v>697</v>
      </c>
      <c r="CG95" s="26">
        <f>IF(ISNUMBER(VLOOKUP($D95,'Visu totale'!$D:$DH,CG$1,0)),CF95-VLOOKUP($D95,'Visu totale'!$D:$DH,CG$1,0),IF(LEFT(VLOOKUP($D95,'Visu totale'!$D:$DH,CG$1,0),1)="V",IF(CF95&gt;=INDEX('[1]Définition Maintenances'!$G:$G,MATCH($A95,'[1]Définition Maintenances'!$K:$K,0)),CF95,INDEX('[1]Définition Maintenances'!$G:$G,MATCH($A95,'[1]Définition Maintenances'!$K:$K,0))+CF95),CF95))</f>
        <v>697</v>
      </c>
      <c r="CH95" s="26">
        <f>IF(ISNUMBER(VLOOKUP($D95,'Visu totale'!$D:$DH,CH$1,0)),CG95-VLOOKUP($D95,'Visu totale'!$D:$DH,CH$1,0),IF(LEFT(VLOOKUP($D95,'Visu totale'!$D:$DH,CH$1,0),1)="V",IF(CG95&gt;=INDEX('[1]Définition Maintenances'!$G:$G,MATCH($A95,'[1]Définition Maintenances'!$K:$K,0)),CG95,INDEX('[1]Définition Maintenances'!$G:$G,MATCH($A95,'[1]Définition Maintenances'!$K:$K,0))+CG95),CG95))</f>
        <v>697</v>
      </c>
      <c r="CI95" s="26">
        <f>IF(ISNUMBER(VLOOKUP($D95,'Visu totale'!$D:$DH,CI$1,0)),CH95-VLOOKUP($D95,'Visu totale'!$D:$DH,CI$1,0),IF(LEFT(VLOOKUP($D95,'Visu totale'!$D:$DH,CI$1,0),1)="V",IF(CH95&gt;=INDEX('[1]Définition Maintenances'!$G:$G,MATCH($A95,'[1]Définition Maintenances'!$K:$K,0)),CH95,INDEX('[1]Définition Maintenances'!$G:$G,MATCH($A95,'[1]Définition Maintenances'!$K:$K,0))+CH95),CH95))</f>
        <v>697</v>
      </c>
      <c r="CJ95" s="26">
        <f>IF(ISNUMBER(VLOOKUP($D95,'Visu totale'!$D:$DH,CJ$1,0)),CI95-VLOOKUP($D95,'Visu totale'!$D:$DH,CJ$1,0),IF(LEFT(VLOOKUP($D95,'Visu totale'!$D:$DH,CJ$1,0),1)="V",IF(CI95&gt;=INDEX('[1]Définition Maintenances'!$G:$G,MATCH($A95,'[1]Définition Maintenances'!$K:$K,0)),CI95,INDEX('[1]Définition Maintenances'!$G:$G,MATCH($A95,'[1]Définition Maintenances'!$K:$K,0))+CI95),CI95))</f>
        <v>697</v>
      </c>
      <c r="CK95" s="27">
        <f>IF(ISNUMBER(VLOOKUP($D95,'Visu totale'!$D:$DH,CK$1,0)),CJ95-VLOOKUP($D95,'Visu totale'!$D:$DH,CK$1,0),IF(LEFT(VLOOKUP($D95,'Visu totale'!$D:$DH,CK$1,0),1)="V",IF(CJ95&gt;=INDEX('[1]Définition Maintenances'!$G:$G,MATCH($A95,'[1]Définition Maintenances'!$K:$K,0)),CJ95,INDEX('[1]Définition Maintenances'!$G:$G,MATCH($A95,'[1]Définition Maintenances'!$K:$K,0))+CJ95),CJ95))</f>
        <v>697</v>
      </c>
      <c r="CL95" s="25">
        <f>IF(ISNUMBER(VLOOKUP($D95,'Visu totale'!$D:$DH,CL$1,0)),CK95-VLOOKUP($D95,'Visu totale'!$D:$DH,CL$1,0),IF(LEFT(VLOOKUP($D95,'Visu totale'!$D:$DH,CL$1,0),1)="V",IF(CK95&gt;=INDEX('[1]Définition Maintenances'!$G:$G,MATCH($A95,'[1]Définition Maintenances'!$K:$K,0)),CK95,INDEX('[1]Définition Maintenances'!$G:$G,MATCH($A95,'[1]Définition Maintenances'!$K:$K,0))+CK95),CK95))</f>
        <v>697</v>
      </c>
      <c r="CM95" s="26">
        <f>IF(ISNUMBER(VLOOKUP($D95,'Visu totale'!$D:$DH,CM$1,0)),CL95-VLOOKUP($D95,'Visu totale'!$D:$DH,CM$1,0),IF(LEFT(VLOOKUP($D95,'Visu totale'!$D:$DH,CM$1,0),1)="V",IF(CL95&gt;=INDEX('[1]Définition Maintenances'!$G:$G,MATCH($A95,'[1]Définition Maintenances'!$K:$K,0)),CL95,INDEX('[1]Définition Maintenances'!$G:$G,MATCH($A95,'[1]Définition Maintenances'!$K:$K,0))+CL95),CL95))</f>
        <v>697</v>
      </c>
      <c r="CN95" s="26">
        <f>IF(ISNUMBER(VLOOKUP($D95,'Visu totale'!$D:$DH,CN$1,0)),CM95-VLOOKUP($D95,'Visu totale'!$D:$DH,CN$1,0),IF(LEFT(VLOOKUP($D95,'Visu totale'!$D:$DH,CN$1,0),1)="V",IF(CM95&gt;=INDEX('[1]Définition Maintenances'!$G:$G,MATCH($A95,'[1]Définition Maintenances'!$K:$K,0)),CM95,INDEX('[1]Définition Maintenances'!$G:$G,MATCH($A95,'[1]Définition Maintenances'!$K:$K,0))+CM95),CM95))</f>
        <v>697</v>
      </c>
      <c r="CO95" s="26">
        <f>IF(ISNUMBER(VLOOKUP($D95,'Visu totale'!$D:$DH,CO$1,0)),CN95-VLOOKUP($D95,'Visu totale'!$D:$DH,CO$1,0),IF(LEFT(VLOOKUP($D95,'Visu totale'!$D:$DH,CO$1,0),1)="V",IF(CN95&gt;=INDEX('[1]Définition Maintenances'!$G:$G,MATCH($A95,'[1]Définition Maintenances'!$K:$K,0)),CN95,INDEX('[1]Définition Maintenances'!$G:$G,MATCH($A95,'[1]Définition Maintenances'!$K:$K,0))+CN95),CN95))</f>
        <v>697</v>
      </c>
      <c r="CP95" s="26">
        <f>IF(ISNUMBER(VLOOKUP($D95,'Visu totale'!$D:$DH,CP$1,0)),CO95-VLOOKUP($D95,'Visu totale'!$D:$DH,CP$1,0),IF(LEFT(VLOOKUP($D95,'Visu totale'!$D:$DH,CP$1,0),1)="V",IF(CO95&gt;=INDEX('[1]Définition Maintenances'!$G:$G,MATCH($A95,'[1]Définition Maintenances'!$K:$K,0)),CO95,INDEX('[1]Définition Maintenances'!$G:$G,MATCH($A95,'[1]Définition Maintenances'!$K:$K,0))+CO95),CO95))</f>
        <v>697</v>
      </c>
      <c r="CQ95" s="26">
        <f>IF(ISNUMBER(VLOOKUP($D95,'Visu totale'!$D:$DH,CQ$1,0)),CP95-VLOOKUP($D95,'Visu totale'!$D:$DH,CQ$1,0),IF(LEFT(VLOOKUP($D95,'Visu totale'!$D:$DH,CQ$1,0),1)="V",IF(CP95&gt;=INDEX('[1]Définition Maintenances'!$G:$G,MATCH($A95,'[1]Définition Maintenances'!$K:$K,0)),CP95,INDEX('[1]Définition Maintenances'!$G:$G,MATCH($A95,'[1]Définition Maintenances'!$K:$K,0))+CP95),CP95))</f>
        <v>697</v>
      </c>
      <c r="CR95" s="26">
        <f>IF(ISNUMBER(VLOOKUP($D95,'Visu totale'!$D:$DH,CR$1,0)),CQ95-VLOOKUP($D95,'Visu totale'!$D:$DH,CR$1,0),IF(LEFT(VLOOKUP($D95,'Visu totale'!$D:$DH,CR$1,0),1)="V",IF(CQ95&gt;=INDEX('[1]Définition Maintenances'!$G:$G,MATCH($A95,'[1]Définition Maintenances'!$K:$K,0)),CQ95,INDEX('[1]Définition Maintenances'!$G:$G,MATCH($A95,'[1]Définition Maintenances'!$K:$K,0))+CQ95),CQ95))</f>
        <v>697</v>
      </c>
      <c r="CS95" s="26">
        <f>IF(ISNUMBER(VLOOKUP($D95,'Visu totale'!$D:$DH,CS$1,0)),CR95-VLOOKUP($D95,'Visu totale'!$D:$DH,CS$1,0),IF(LEFT(VLOOKUP($D95,'Visu totale'!$D:$DH,CS$1,0),1)="V",IF(CR95&gt;=INDEX('[1]Définition Maintenances'!$G:$G,MATCH($A95,'[1]Définition Maintenances'!$K:$K,0)),CR95,INDEX('[1]Définition Maintenances'!$G:$G,MATCH($A95,'[1]Définition Maintenances'!$K:$K,0))+CR95),CR95))</f>
        <v>697</v>
      </c>
      <c r="CT95" s="26">
        <f>IF(ISNUMBER(VLOOKUP($D95,'Visu totale'!$D:$DH,CT$1,0)),CS95-VLOOKUP($D95,'Visu totale'!$D:$DH,CT$1,0),IF(LEFT(VLOOKUP($D95,'Visu totale'!$D:$DH,CT$1,0),1)="V",IF(CS95&gt;=INDEX('[1]Définition Maintenances'!$G:$G,MATCH($A95,'[1]Définition Maintenances'!$K:$K,0)),CS95,INDEX('[1]Définition Maintenances'!$G:$G,MATCH($A95,'[1]Définition Maintenances'!$K:$K,0))+CS95),CS95))</f>
        <v>697</v>
      </c>
      <c r="CU95" s="26">
        <f>IF(ISNUMBER(VLOOKUP($D95,'Visu totale'!$D:$DH,CU$1,0)),CT95-VLOOKUP($D95,'Visu totale'!$D:$DH,CU$1,0),IF(LEFT(VLOOKUP($D95,'Visu totale'!$D:$DH,CU$1,0),1)="V",IF(CT95&gt;=INDEX('[1]Définition Maintenances'!$G:$G,MATCH($A95,'[1]Définition Maintenances'!$K:$K,0)),CT95,INDEX('[1]Définition Maintenances'!$G:$G,MATCH($A95,'[1]Définition Maintenances'!$K:$K,0))+CT95),CT95))</f>
        <v>697</v>
      </c>
      <c r="CV95" s="26">
        <f>IF(ISNUMBER(VLOOKUP($D95,'Visu totale'!$D:$DH,CV$1,0)),CU95-VLOOKUP($D95,'Visu totale'!$D:$DH,CV$1,0),IF(LEFT(VLOOKUP($D95,'Visu totale'!$D:$DH,CV$1,0),1)="V",IF(CU95&gt;=INDEX('[1]Définition Maintenances'!$G:$G,MATCH($A95,'[1]Définition Maintenances'!$K:$K,0)),CU95,INDEX('[1]Définition Maintenances'!$G:$G,MATCH($A95,'[1]Définition Maintenances'!$K:$K,0))+CU95),CU95))</f>
        <v>697</v>
      </c>
      <c r="CW95" s="27">
        <f>IF(ISNUMBER(VLOOKUP($D95,'Visu totale'!$D:$DH,CW$1,0)),CV95-VLOOKUP($D95,'Visu totale'!$D:$DH,CW$1,0),IF(LEFT(VLOOKUP($D95,'Visu totale'!$D:$DH,CW$1,0),1)="V",IF(CV95&gt;=INDEX('[1]Définition Maintenances'!$G:$G,MATCH($A95,'[1]Définition Maintenances'!$K:$K,0)),CV95,INDEX('[1]Définition Maintenances'!$G:$G,MATCH($A95,'[1]Définition Maintenances'!$K:$K,0))+CV95),CV95))</f>
        <v>697</v>
      </c>
      <c r="CX95" s="25">
        <f>IF(ISNUMBER(VLOOKUP($D95,'Visu totale'!$D:$DH,CX$1,0)),CW95-VLOOKUP($D95,'Visu totale'!$D:$DH,CX$1,0),IF(LEFT(VLOOKUP($D95,'Visu totale'!$D:$DH,CX$1,0),1)="V",IF(CW95&gt;=INDEX('[1]Définition Maintenances'!$G:$G,MATCH($A95,'[1]Définition Maintenances'!$K:$K,0)),CW95,INDEX('[1]Définition Maintenances'!$G:$G,MATCH($A95,'[1]Définition Maintenances'!$K:$K,0))+CW95),CW95))</f>
        <v>697</v>
      </c>
      <c r="CY95" s="26">
        <f>IF(ISNUMBER(VLOOKUP($D95,'Visu totale'!$D:$DH,CY$1,0)),CX95-VLOOKUP($D95,'Visu totale'!$D:$DH,CY$1,0),IF(LEFT(VLOOKUP($D95,'Visu totale'!$D:$DH,CY$1,0),1)="V",IF(CX95&gt;=INDEX('[1]Définition Maintenances'!$G:$G,MATCH($A95,'[1]Définition Maintenances'!$K:$K,0)),CX95,INDEX('[1]Définition Maintenances'!$G:$G,MATCH($A95,'[1]Définition Maintenances'!$K:$K,0))+CX95),CX95))</f>
        <v>697</v>
      </c>
      <c r="CZ95" s="26">
        <f>IF(ISNUMBER(VLOOKUP($D95,'Visu totale'!$D:$DH,CZ$1,0)),CY95-VLOOKUP($D95,'Visu totale'!$D:$DH,CZ$1,0),IF(LEFT(VLOOKUP($D95,'Visu totale'!$D:$DH,CZ$1,0),1)="V",IF(CY95&gt;=INDEX('[1]Définition Maintenances'!$G:$G,MATCH($A95,'[1]Définition Maintenances'!$K:$K,0)),CY95,INDEX('[1]Définition Maintenances'!$G:$G,MATCH($A95,'[1]Définition Maintenances'!$K:$K,0))+CY95),CY95))</f>
        <v>697</v>
      </c>
      <c r="DA95" s="26">
        <f>IF(ISNUMBER(VLOOKUP($D95,'Visu totale'!$D:$DH,DA$1,0)),CZ95-VLOOKUP($D95,'Visu totale'!$D:$DH,DA$1,0),IF(LEFT(VLOOKUP($D95,'Visu totale'!$D:$DH,DA$1,0),1)="V",IF(CZ95&gt;=INDEX('[1]Définition Maintenances'!$G:$G,MATCH($A95,'[1]Définition Maintenances'!$K:$K,0)),CZ95,INDEX('[1]Définition Maintenances'!$G:$G,MATCH($A95,'[1]Définition Maintenances'!$K:$K,0))+CZ95),CZ95))</f>
        <v>697</v>
      </c>
      <c r="DB95" s="26">
        <f>IF(ISNUMBER(VLOOKUP($D95,'Visu totale'!$D:$DH,DB$1,0)),DA95-VLOOKUP($D95,'Visu totale'!$D:$DH,DB$1,0),IF(LEFT(VLOOKUP($D95,'Visu totale'!$D:$DH,DB$1,0),1)="V",IF(DA95&gt;=INDEX('[1]Définition Maintenances'!$G:$G,MATCH($A95,'[1]Définition Maintenances'!$K:$K,0)),DA95,INDEX('[1]Définition Maintenances'!$G:$G,MATCH($A95,'[1]Définition Maintenances'!$K:$K,0))+DA95),DA95))</f>
        <v>697</v>
      </c>
      <c r="DC95" s="26">
        <f>IF(ISNUMBER(VLOOKUP($D95,'Visu totale'!$D:$DH,DC$1,0)),DB95-VLOOKUP($D95,'Visu totale'!$D:$DH,DC$1,0),IF(LEFT(VLOOKUP($D95,'Visu totale'!$D:$DH,DC$1,0),1)="V",IF(DB95&gt;=INDEX('[1]Définition Maintenances'!$G:$G,MATCH($A95,'[1]Définition Maintenances'!$K:$K,0)),DB95,INDEX('[1]Définition Maintenances'!$G:$G,MATCH($A95,'[1]Définition Maintenances'!$K:$K,0))+DB95),DB95))</f>
        <v>697</v>
      </c>
      <c r="DD95" s="26">
        <f>IF(ISNUMBER(VLOOKUP($D95,'Visu totale'!$D:$DH,DD$1,0)),DC95-VLOOKUP($D95,'Visu totale'!$D:$DH,DD$1,0),IF(LEFT(VLOOKUP($D95,'Visu totale'!$D:$DH,DD$1,0),1)="V",IF(DC95&gt;=INDEX('[1]Définition Maintenances'!$G:$G,MATCH($A95,'[1]Définition Maintenances'!$K:$K,0)),DC95,INDEX('[1]Définition Maintenances'!$G:$G,MATCH($A95,'[1]Définition Maintenances'!$K:$K,0))+DC95),DC95))</f>
        <v>697</v>
      </c>
      <c r="DE95" s="26">
        <f>IF(ISNUMBER(VLOOKUP($D95,'Visu totale'!$D:$DH,DE$1,0)),DD95-VLOOKUP($D95,'Visu totale'!$D:$DH,DE$1,0),IF(LEFT(VLOOKUP($D95,'Visu totale'!$D:$DH,DE$1,0),1)="V",IF(DD95&gt;=INDEX('[1]Définition Maintenances'!$G:$G,MATCH($A95,'[1]Définition Maintenances'!$K:$K,0)),DD95,INDEX('[1]Définition Maintenances'!$G:$G,MATCH($A95,'[1]Définition Maintenances'!$K:$K,0))+DD95),DD95))</f>
        <v>697</v>
      </c>
      <c r="DF95" s="26">
        <f>IF(ISNUMBER(VLOOKUP($D95,'Visu totale'!$D:$DH,DF$1,0)),DE95-VLOOKUP($D95,'Visu totale'!$D:$DH,DF$1,0),IF(LEFT(VLOOKUP($D95,'Visu totale'!$D:$DH,DF$1,0),1)="V",IF(DE95&gt;=INDEX('[1]Définition Maintenances'!$G:$G,MATCH($A95,'[1]Définition Maintenances'!$K:$K,0)),DE95,INDEX('[1]Définition Maintenances'!$G:$G,MATCH($A95,'[1]Définition Maintenances'!$K:$K,0))+DE95),DE95))</f>
        <v>697</v>
      </c>
      <c r="DG95" s="26">
        <f>IF(ISNUMBER(VLOOKUP($D95,'Visu totale'!$D:$DH,DG$1,0)),DF95-VLOOKUP($D95,'Visu totale'!$D:$DH,DG$1,0),IF(LEFT(VLOOKUP($D95,'Visu totale'!$D:$DH,DG$1,0),1)="V",IF(DF95&gt;=INDEX('[1]Définition Maintenances'!$G:$G,MATCH($A95,'[1]Définition Maintenances'!$K:$K,0)),DF95,INDEX('[1]Définition Maintenances'!$G:$G,MATCH($A95,'[1]Définition Maintenances'!$K:$K,0))+DF95),DF95))</f>
        <v>697</v>
      </c>
      <c r="DH95" s="26">
        <f>IF(ISNUMBER(VLOOKUP($D95,'Visu totale'!$D:$DH,DH$1,0)),DG95-VLOOKUP($D95,'Visu totale'!$D:$DH,DH$1,0),IF(LEFT(VLOOKUP($D95,'Visu totale'!$D:$DH,DH$1,0),1)="V",IF(DG95&gt;=INDEX('[1]Définition Maintenances'!$G:$G,MATCH($A95,'[1]Définition Maintenances'!$K:$K,0)),DG95,INDEX('[1]Définition Maintenances'!$G:$G,MATCH($A95,'[1]Définition Maintenances'!$K:$K,0))+DG95),DG95))</f>
        <v>697</v>
      </c>
      <c r="DI95" s="27">
        <f>IF(ISNUMBER(VLOOKUP($D95,'Visu totale'!$D:$DH,DI$1,0)),DH95-VLOOKUP($D95,'Visu totale'!$D:$DH,DI$1,0),IF(LEFT(VLOOKUP($D95,'Visu totale'!$D:$DH,DI$1,0),1)="V",IF(DH95&gt;=INDEX('[1]Définition Maintenances'!$G:$G,MATCH($A95,'[1]Définition Maintenances'!$K:$K,0)),DH95,INDEX('[1]Définition Maintenances'!$G:$G,MATCH($A95,'[1]Définition Maintenances'!$K:$K,0))+DH95),DH95))</f>
        <v>697</v>
      </c>
    </row>
    <row r="96" spans="1:113" x14ac:dyDescent="0.25">
      <c r="A96" s="13" t="str">
        <f t="shared" si="2"/>
        <v>V15C</v>
      </c>
      <c r="B96" s="13" t="str">
        <f>VLOOKUP(D96,'[1]Avions (Potentiels)'!$B$2:$H$128,7,FALSE)</f>
        <v>V15</v>
      </c>
      <c r="C96" s="13"/>
      <c r="D96" s="16" t="s">
        <v>99</v>
      </c>
      <c r="E96" s="13">
        <f>IFERROR(VALUE(SUBSTITUTE(VLOOKUP(D96,'[1]Avions (Potentiels)'!$B:$E,4,0),".",",")),VALUE(VLOOKUP(D96,'[1]Avions (Potentiels)'!$B:$E,4,0)))</f>
        <v>85</v>
      </c>
      <c r="F96" s="25">
        <f>IF(ISNUMBER(VLOOKUP($D96,'Visu totale'!$D:$DH,F$1,0)),E96-VLOOKUP($D96,'Visu totale'!$D:$DH,F$1,0),IF(LEFT(VLOOKUP($D96,'Visu totale'!$D:$DH,F$1,0),1)="V",IF(E96&gt;=INDEX('[1]Définition Maintenances'!$G:$G,MATCH($A96,'[1]Définition Maintenances'!$K:$K,0)),E96,INDEX('[1]Définition Maintenances'!$G:$G,MATCH($A96,'[1]Définition Maintenances'!$K:$K,0))+E96),E96))</f>
        <v>85</v>
      </c>
      <c r="G96" s="26">
        <f>IF(ISNUMBER(VLOOKUP($D96,'Visu totale'!$D:$DH,G$1,0)),F96-VLOOKUP($D96,'Visu totale'!$D:$DH,G$1,0),IF(LEFT(VLOOKUP($D96,'Visu totale'!$D:$DH,G$1,0),1)="V",IF(F96&gt;=INDEX('[1]Définition Maintenances'!$G:$G,MATCH($A96,'[1]Définition Maintenances'!$K:$K,0)),F96,INDEX('[1]Définition Maintenances'!$G:$G,MATCH($A96,'[1]Définition Maintenances'!$K:$K,0))+F96),F96))</f>
        <v>85</v>
      </c>
      <c r="H96" s="26">
        <f>IF(ISNUMBER(VLOOKUP($D96,'Visu totale'!$D:$DH,H$1,0)),G96-VLOOKUP($D96,'Visu totale'!$D:$DH,H$1,0),IF(LEFT(VLOOKUP($D96,'Visu totale'!$D:$DH,H$1,0),1)="V",IF(G96&gt;=INDEX('[1]Définition Maintenances'!$G:$G,MATCH($A96,'[1]Définition Maintenances'!$K:$K,0)),G96,INDEX('[1]Définition Maintenances'!$G:$G,MATCH($A96,'[1]Définition Maintenances'!$K:$K,0))+G96),G96))</f>
        <v>85</v>
      </c>
      <c r="I96" s="26">
        <f>IF(ISNUMBER(VLOOKUP($D96,'Visu totale'!$D:$DH,I$1,0)),H96-VLOOKUP($D96,'Visu totale'!$D:$DH,I$1,0),IF(LEFT(VLOOKUP($D96,'Visu totale'!$D:$DH,I$1,0),1)="V",IF(H96&gt;=INDEX('[1]Définition Maintenances'!$G:$G,MATCH($A96,'[1]Définition Maintenances'!$K:$K,0)),H96,INDEX('[1]Définition Maintenances'!$G:$G,MATCH($A96,'[1]Définition Maintenances'!$K:$K,0))+H96),H96))</f>
        <v>85</v>
      </c>
      <c r="J96" s="26">
        <f>IF(ISNUMBER(VLOOKUP($D96,'Visu totale'!$D:$DH,J$1,0)),I96-VLOOKUP($D96,'Visu totale'!$D:$DH,J$1,0),IF(LEFT(VLOOKUP($D96,'Visu totale'!$D:$DH,J$1,0),1)="V",IF(I96&gt;=INDEX('[1]Définition Maintenances'!$G:$G,MATCH($A96,'[1]Définition Maintenances'!$K:$K,0)),I96,INDEX('[1]Définition Maintenances'!$G:$G,MATCH($A96,'[1]Définition Maintenances'!$K:$K,0))+I96),I96))</f>
        <v>85</v>
      </c>
      <c r="K96" s="26">
        <f>IF(ISNUMBER(VLOOKUP($D96,'Visu totale'!$D:$DH,K$1,0)),J96-VLOOKUP($D96,'Visu totale'!$D:$DH,K$1,0),IF(LEFT(VLOOKUP($D96,'Visu totale'!$D:$DH,K$1,0),1)="V",IF(J96&gt;=INDEX('[1]Définition Maintenances'!$G:$G,MATCH($A96,'[1]Définition Maintenances'!$K:$K,0)),J96,INDEX('[1]Définition Maintenances'!$G:$G,MATCH($A96,'[1]Définition Maintenances'!$K:$K,0))+J96),J96))</f>
        <v>85</v>
      </c>
      <c r="L96" s="26">
        <f>IF(ISNUMBER(VLOOKUP($D96,'Visu totale'!$D:$DH,L$1,0)),K96-VLOOKUP($D96,'Visu totale'!$D:$DH,L$1,0),IF(LEFT(VLOOKUP($D96,'Visu totale'!$D:$DH,L$1,0),1)="V",IF(K96&gt;=INDEX('[1]Définition Maintenances'!$G:$G,MATCH($A96,'[1]Définition Maintenances'!$K:$K,0)),K96,INDEX('[1]Définition Maintenances'!$G:$G,MATCH($A96,'[1]Définition Maintenances'!$K:$K,0))+K96),K96))</f>
        <v>85</v>
      </c>
      <c r="M96" s="26">
        <f>IF(ISNUMBER(VLOOKUP($D96,'Visu totale'!$D:$DH,M$1,0)),L96-VLOOKUP($D96,'Visu totale'!$D:$DH,M$1,0),IF(LEFT(VLOOKUP($D96,'Visu totale'!$D:$DH,M$1,0),1)="V",IF(L96&gt;=INDEX('[1]Définition Maintenances'!$G:$G,MATCH($A96,'[1]Définition Maintenances'!$K:$K,0)),L96,INDEX('[1]Définition Maintenances'!$G:$G,MATCH($A96,'[1]Définition Maintenances'!$K:$K,0))+L96),L96))</f>
        <v>85</v>
      </c>
      <c r="N96" s="26">
        <f>IF(ISNUMBER(VLOOKUP($D96,'Visu totale'!$D:$DH,N$1,0)),M96-VLOOKUP($D96,'Visu totale'!$D:$DH,N$1,0),IF(LEFT(VLOOKUP($D96,'Visu totale'!$D:$DH,N$1,0),1)="V",IF(M96&gt;=INDEX('[1]Définition Maintenances'!$G:$G,MATCH($A96,'[1]Définition Maintenances'!$K:$K,0)),M96,INDEX('[1]Définition Maintenances'!$G:$G,MATCH($A96,'[1]Définition Maintenances'!$K:$K,0))+M96),M96))</f>
        <v>85</v>
      </c>
      <c r="O96" s="26">
        <f>IF(ISNUMBER(VLOOKUP($D96,'Visu totale'!$D:$DH,O$1,0)),N96-VLOOKUP($D96,'Visu totale'!$D:$DH,O$1,0),IF(LEFT(VLOOKUP($D96,'Visu totale'!$D:$DH,O$1,0),1)="V",IF(N96&gt;=INDEX('[1]Définition Maintenances'!$G:$G,MATCH($A96,'[1]Définition Maintenances'!$K:$K,0)),N96,INDEX('[1]Définition Maintenances'!$G:$G,MATCH($A96,'[1]Définition Maintenances'!$K:$K,0))+N96),N96))</f>
        <v>85</v>
      </c>
      <c r="P96" s="26">
        <f>IF(ISNUMBER(VLOOKUP($D96,'Visu totale'!$D:$DH,P$1,0)),O96-VLOOKUP($D96,'Visu totale'!$D:$DH,P$1,0),IF(LEFT(VLOOKUP($D96,'Visu totale'!$D:$DH,P$1,0),1)="V",IF(O96&gt;=INDEX('[1]Définition Maintenances'!$G:$G,MATCH($A96,'[1]Définition Maintenances'!$K:$K,0)),O96,INDEX('[1]Définition Maintenances'!$G:$G,MATCH($A96,'[1]Définition Maintenances'!$K:$K,0))+O96),O96))</f>
        <v>85</v>
      </c>
      <c r="Q96" s="27">
        <f>IF(ISNUMBER(VLOOKUP($D96,'Visu totale'!$D:$DH,Q$1,0)),P96-VLOOKUP($D96,'Visu totale'!$D:$DH,Q$1,0),IF(LEFT(VLOOKUP($D96,'Visu totale'!$D:$DH,Q$1,0),1)="V",IF(P96&gt;=INDEX('[1]Définition Maintenances'!$G:$G,MATCH($A96,'[1]Définition Maintenances'!$K:$K,0)),P96,INDEX('[1]Définition Maintenances'!$G:$G,MATCH($A96,'[1]Définition Maintenances'!$K:$K,0))+P96),P96))</f>
        <v>85</v>
      </c>
      <c r="R96" s="25">
        <f>IF(ISNUMBER(VLOOKUP($D96,'Visu totale'!$D:$DH,R$1,0)),Q96-VLOOKUP($D96,'Visu totale'!$D:$DH,R$1,0),IF(LEFT(VLOOKUP($D96,'Visu totale'!$D:$DH,R$1,0),1)="V",IF(Q96&gt;=INDEX('[1]Définition Maintenances'!$G:$G,MATCH($A96,'[1]Définition Maintenances'!$K:$K,0)),Q96,INDEX('[1]Définition Maintenances'!$G:$G,MATCH($A96,'[1]Définition Maintenances'!$K:$K,0))+Q96),Q96))</f>
        <v>85</v>
      </c>
      <c r="S96" s="26">
        <f>IF(ISNUMBER(VLOOKUP($D96,'Visu totale'!$D:$DH,S$1,0)),R96-VLOOKUP($D96,'Visu totale'!$D:$DH,S$1,0),IF(LEFT(VLOOKUP($D96,'Visu totale'!$D:$DH,S$1,0),1)="V",IF(R96&gt;=INDEX('[1]Définition Maintenances'!$G:$G,MATCH($A96,'[1]Définition Maintenances'!$K:$K,0)),R96,INDEX('[1]Définition Maintenances'!$G:$G,MATCH($A96,'[1]Définition Maintenances'!$K:$K,0))+R96),R96))</f>
        <v>85</v>
      </c>
      <c r="T96" s="26">
        <f>IF(ISNUMBER(VLOOKUP($D96,'Visu totale'!$D:$DH,T$1,0)),S96-VLOOKUP($D96,'Visu totale'!$D:$DH,T$1,0),IF(LEFT(VLOOKUP($D96,'Visu totale'!$D:$DH,T$1,0),1)="V",IF(S96&gt;=INDEX('[1]Définition Maintenances'!$G:$G,MATCH($A96,'[1]Définition Maintenances'!$K:$K,0)),S96,INDEX('[1]Définition Maintenances'!$G:$G,MATCH($A96,'[1]Définition Maintenances'!$K:$K,0))+S96),S96))</f>
        <v>85</v>
      </c>
      <c r="U96" s="26">
        <f>IF(ISNUMBER(VLOOKUP($D96,'Visu totale'!$D:$DH,U$1,0)),T96-VLOOKUP($D96,'Visu totale'!$D:$DH,U$1,0),IF(LEFT(VLOOKUP($D96,'Visu totale'!$D:$DH,U$1,0),1)="V",IF(T96&gt;=INDEX('[1]Définition Maintenances'!$G:$G,MATCH($A96,'[1]Définition Maintenances'!$K:$K,0)),T96,INDEX('[1]Définition Maintenances'!$G:$G,MATCH($A96,'[1]Définition Maintenances'!$K:$K,0))+T96),T96))</f>
        <v>85</v>
      </c>
      <c r="V96" s="26">
        <f>IF(ISNUMBER(VLOOKUP($D96,'Visu totale'!$D:$DH,V$1,0)),U96-VLOOKUP($D96,'Visu totale'!$D:$DH,V$1,0),IF(LEFT(VLOOKUP($D96,'Visu totale'!$D:$DH,V$1,0),1)="V",IF(U96&gt;=INDEX('[1]Définition Maintenances'!$G:$G,MATCH($A96,'[1]Définition Maintenances'!$K:$K,0)),U96,INDEX('[1]Définition Maintenances'!$G:$G,MATCH($A96,'[1]Définition Maintenances'!$K:$K,0))+U96),U96))</f>
        <v>85</v>
      </c>
      <c r="W96" s="26">
        <f>IF(ISNUMBER(VLOOKUP($D96,'Visu totale'!$D:$DH,W$1,0)),V96-VLOOKUP($D96,'Visu totale'!$D:$DH,W$1,0),IF(LEFT(VLOOKUP($D96,'Visu totale'!$D:$DH,W$1,0),1)="V",IF(V96&gt;=INDEX('[1]Définition Maintenances'!$G:$G,MATCH($A96,'[1]Définition Maintenances'!$K:$K,0)),V96,INDEX('[1]Définition Maintenances'!$G:$G,MATCH($A96,'[1]Définition Maintenances'!$K:$K,0))+V96),V96))</f>
        <v>85</v>
      </c>
      <c r="X96" s="26">
        <f>IF(ISNUMBER(VLOOKUP($D96,'Visu totale'!$D:$DH,X$1,0)),W96-VLOOKUP($D96,'Visu totale'!$D:$DH,X$1,0),IF(LEFT(VLOOKUP($D96,'Visu totale'!$D:$DH,X$1,0),1)="V",IF(W96&gt;=INDEX('[1]Définition Maintenances'!$G:$G,MATCH($A96,'[1]Définition Maintenances'!$K:$K,0)),W96,INDEX('[1]Définition Maintenances'!$G:$G,MATCH($A96,'[1]Définition Maintenances'!$K:$K,0))+W96),W96))</f>
        <v>85</v>
      </c>
      <c r="Y96" s="26">
        <f>IF(ISNUMBER(VLOOKUP($D96,'Visu totale'!$D:$DH,Y$1,0)),X96-VLOOKUP($D96,'Visu totale'!$D:$DH,Y$1,0),IF(LEFT(VLOOKUP($D96,'Visu totale'!$D:$DH,Y$1,0),1)="V",IF(X96&gt;=INDEX('[1]Définition Maintenances'!$G:$G,MATCH($A96,'[1]Définition Maintenances'!$K:$K,0)),X96,INDEX('[1]Définition Maintenances'!$G:$G,MATCH($A96,'[1]Définition Maintenances'!$K:$K,0))+X96),X96))</f>
        <v>85</v>
      </c>
      <c r="Z96" s="26">
        <f>IF(ISNUMBER(VLOOKUP($D96,'Visu totale'!$D:$DH,Z$1,0)),Y96-VLOOKUP($D96,'Visu totale'!$D:$DH,Z$1,0),IF(LEFT(VLOOKUP($D96,'Visu totale'!$D:$DH,Z$1,0),1)="V",IF(Y96&gt;=INDEX('[1]Définition Maintenances'!$G:$G,MATCH($A96,'[1]Définition Maintenances'!$K:$K,0)),Y96,INDEX('[1]Définition Maintenances'!$G:$G,MATCH($A96,'[1]Définition Maintenances'!$K:$K,0))+Y96),Y96))</f>
        <v>85</v>
      </c>
      <c r="AA96" s="26">
        <f>IF(ISNUMBER(VLOOKUP($D96,'Visu totale'!$D:$DH,AA$1,0)),Z96-VLOOKUP($D96,'Visu totale'!$D:$DH,AA$1,0),IF(LEFT(VLOOKUP($D96,'Visu totale'!$D:$DH,AA$1,0),1)="V",IF(Z96&gt;=INDEX('[1]Définition Maintenances'!$G:$G,MATCH($A96,'[1]Définition Maintenances'!$K:$K,0)),Z96,INDEX('[1]Définition Maintenances'!$G:$G,MATCH($A96,'[1]Définition Maintenances'!$K:$K,0))+Z96),Z96))</f>
        <v>85</v>
      </c>
      <c r="AB96" s="26">
        <f>IF(ISNUMBER(VLOOKUP($D96,'Visu totale'!$D:$DH,AB$1,0)),AA96-VLOOKUP($D96,'Visu totale'!$D:$DH,AB$1,0),IF(LEFT(VLOOKUP($D96,'Visu totale'!$D:$DH,AB$1,0),1)="V",IF(AA96&gt;=INDEX('[1]Définition Maintenances'!$G:$G,MATCH($A96,'[1]Définition Maintenances'!$K:$K,0)),AA96,INDEX('[1]Définition Maintenances'!$G:$G,MATCH($A96,'[1]Définition Maintenances'!$K:$K,0))+AA96),AA96))</f>
        <v>85</v>
      </c>
      <c r="AC96" s="27">
        <f>IF(ISNUMBER(VLOOKUP($D96,'Visu totale'!$D:$DH,AC$1,0)),AB96-VLOOKUP($D96,'Visu totale'!$D:$DH,AC$1,0),IF(LEFT(VLOOKUP($D96,'Visu totale'!$D:$DH,AC$1,0),1)="V",IF(AB96&gt;=INDEX('[1]Définition Maintenances'!$G:$G,MATCH($A96,'[1]Définition Maintenances'!$K:$K,0)),AB96,INDEX('[1]Définition Maintenances'!$G:$G,MATCH($A96,'[1]Définition Maintenances'!$K:$K,0))+AB96),AB96))</f>
        <v>85</v>
      </c>
      <c r="AD96" s="25">
        <f>IF(ISNUMBER(VLOOKUP($D96,'Visu totale'!$D:$DH,AD$1,0)),AC96-VLOOKUP($D96,'Visu totale'!$D:$DH,AD$1,0),IF(LEFT(VLOOKUP($D96,'Visu totale'!$D:$DH,AD$1,0),1)="V",IF(AC96&gt;=INDEX('[1]Définition Maintenances'!$G:$G,MATCH($A96,'[1]Définition Maintenances'!$K:$K,0)),AC96,INDEX('[1]Définition Maintenances'!$G:$G,MATCH($A96,'[1]Définition Maintenances'!$K:$K,0))+AC96),AC96))</f>
        <v>85</v>
      </c>
      <c r="AE96" s="26">
        <f>IF(ISNUMBER(VLOOKUP($D96,'Visu totale'!$D:$DH,AE$1,0)),AD96-VLOOKUP($D96,'Visu totale'!$D:$DH,AE$1,0),IF(LEFT(VLOOKUP($D96,'Visu totale'!$D:$DH,AE$1,0),1)="V",IF(AD96&gt;=INDEX('[1]Définition Maintenances'!$G:$G,MATCH($A96,'[1]Définition Maintenances'!$K:$K,0)),AD96,INDEX('[1]Définition Maintenances'!$G:$G,MATCH($A96,'[1]Définition Maintenances'!$K:$K,0))+AD96),AD96))</f>
        <v>85</v>
      </c>
      <c r="AF96" s="26">
        <f>IF(ISNUMBER(VLOOKUP($D96,'Visu totale'!$D:$DH,AF$1,0)),AE96-VLOOKUP($D96,'Visu totale'!$D:$DH,AF$1,0),IF(LEFT(VLOOKUP($D96,'Visu totale'!$D:$DH,AF$1,0),1)="V",IF(AE96&gt;=INDEX('[1]Définition Maintenances'!$G:$G,MATCH($A96,'[1]Définition Maintenances'!$K:$K,0)),AE96,INDEX('[1]Définition Maintenances'!$G:$G,MATCH($A96,'[1]Définition Maintenances'!$K:$K,0))+AE96),AE96))</f>
        <v>85</v>
      </c>
      <c r="AG96" s="26">
        <f>IF(ISNUMBER(VLOOKUP($D96,'Visu totale'!$D:$DH,AG$1,0)),AF96-VLOOKUP($D96,'Visu totale'!$D:$DH,AG$1,0),IF(LEFT(VLOOKUP($D96,'Visu totale'!$D:$DH,AG$1,0),1)="V",IF(AF96&gt;=INDEX('[1]Définition Maintenances'!$G:$G,MATCH($A96,'[1]Définition Maintenances'!$K:$K,0)),AF96,INDEX('[1]Définition Maintenances'!$G:$G,MATCH($A96,'[1]Définition Maintenances'!$K:$K,0))+AF96),AF96))</f>
        <v>85</v>
      </c>
      <c r="AH96" s="26">
        <f>IF(ISNUMBER(VLOOKUP($D96,'Visu totale'!$D:$DH,AH$1,0)),AG96-VLOOKUP($D96,'Visu totale'!$D:$DH,AH$1,0),IF(LEFT(VLOOKUP($D96,'Visu totale'!$D:$DH,AH$1,0),1)="V",IF(AG96&gt;=INDEX('[1]Définition Maintenances'!$G:$G,MATCH($A96,'[1]Définition Maintenances'!$K:$K,0)),AG96,INDEX('[1]Définition Maintenances'!$G:$G,MATCH($A96,'[1]Définition Maintenances'!$K:$K,0))+AG96),AG96))</f>
        <v>85</v>
      </c>
      <c r="AI96" s="26">
        <f>IF(ISNUMBER(VLOOKUP($D96,'Visu totale'!$D:$DH,AI$1,0)),AH96-VLOOKUP($D96,'Visu totale'!$D:$DH,AI$1,0),IF(LEFT(VLOOKUP($D96,'Visu totale'!$D:$DH,AI$1,0),1)="V",IF(AH96&gt;=INDEX('[1]Définition Maintenances'!$G:$G,MATCH($A96,'[1]Définition Maintenances'!$K:$K,0)),AH96,INDEX('[1]Définition Maintenances'!$G:$G,MATCH($A96,'[1]Définition Maintenances'!$K:$K,0))+AH96),AH96))</f>
        <v>85</v>
      </c>
      <c r="AJ96" s="26">
        <f>IF(ISNUMBER(VLOOKUP($D96,'Visu totale'!$D:$DH,AJ$1,0)),AI96-VLOOKUP($D96,'Visu totale'!$D:$DH,AJ$1,0),IF(LEFT(VLOOKUP($D96,'Visu totale'!$D:$DH,AJ$1,0),1)="V",IF(AI96&gt;=INDEX('[1]Définition Maintenances'!$G:$G,MATCH($A96,'[1]Définition Maintenances'!$K:$K,0)),AI96,INDEX('[1]Définition Maintenances'!$G:$G,MATCH($A96,'[1]Définition Maintenances'!$K:$K,0))+AI96),AI96))</f>
        <v>85</v>
      </c>
      <c r="AK96" s="26">
        <f>IF(ISNUMBER(VLOOKUP($D96,'Visu totale'!$D:$DH,AK$1,0)),AJ96-VLOOKUP($D96,'Visu totale'!$D:$DH,AK$1,0),IF(LEFT(VLOOKUP($D96,'Visu totale'!$D:$DH,AK$1,0),1)="V",IF(AJ96&gt;=INDEX('[1]Définition Maintenances'!$G:$G,MATCH($A96,'[1]Définition Maintenances'!$K:$K,0)),AJ96,INDEX('[1]Définition Maintenances'!$G:$G,MATCH($A96,'[1]Définition Maintenances'!$K:$K,0))+AJ96),AJ96))</f>
        <v>85</v>
      </c>
      <c r="AL96" s="26">
        <f>IF(ISNUMBER(VLOOKUP($D96,'Visu totale'!$D:$DH,AL$1,0)),AK96-VLOOKUP($D96,'Visu totale'!$D:$DH,AL$1,0),IF(LEFT(VLOOKUP($D96,'Visu totale'!$D:$DH,AL$1,0),1)="V",IF(AK96&gt;=INDEX('[1]Définition Maintenances'!$G:$G,MATCH($A96,'[1]Définition Maintenances'!$K:$K,0)),AK96,INDEX('[1]Définition Maintenances'!$G:$G,MATCH($A96,'[1]Définition Maintenances'!$K:$K,0))+AK96),AK96))</f>
        <v>85</v>
      </c>
      <c r="AM96" s="26">
        <f>IF(ISNUMBER(VLOOKUP($D96,'Visu totale'!$D:$DH,AM$1,0)),AL96-VLOOKUP($D96,'Visu totale'!$D:$DH,AM$1,0),IF(LEFT(VLOOKUP($D96,'Visu totale'!$D:$DH,AM$1,0),1)="V",IF(AL96&gt;=INDEX('[1]Définition Maintenances'!$G:$G,MATCH($A96,'[1]Définition Maintenances'!$K:$K,0)),AL96,INDEX('[1]Définition Maintenances'!$G:$G,MATCH($A96,'[1]Définition Maintenances'!$K:$K,0))+AL96),AL96))</f>
        <v>85</v>
      </c>
      <c r="AN96" s="26">
        <f>IF(ISNUMBER(VLOOKUP($D96,'Visu totale'!$D:$DH,AN$1,0)),AM96-VLOOKUP($D96,'Visu totale'!$D:$DH,AN$1,0),IF(LEFT(VLOOKUP($D96,'Visu totale'!$D:$DH,AN$1,0),1)="V",IF(AM96&gt;=INDEX('[1]Définition Maintenances'!$G:$G,MATCH($A96,'[1]Définition Maintenances'!$K:$K,0)),AM96,INDEX('[1]Définition Maintenances'!$G:$G,MATCH($A96,'[1]Définition Maintenances'!$K:$K,0))+AM96),AM96))</f>
        <v>85</v>
      </c>
      <c r="AO96" s="27">
        <f>IF(ISNUMBER(VLOOKUP($D96,'Visu totale'!$D:$DH,AO$1,0)),AN96-VLOOKUP($D96,'Visu totale'!$D:$DH,AO$1,0),IF(LEFT(VLOOKUP($D96,'Visu totale'!$D:$DH,AO$1,0),1)="V",IF(AN96&gt;=INDEX('[1]Définition Maintenances'!$G:$G,MATCH($A96,'[1]Définition Maintenances'!$K:$K,0)),AN96,INDEX('[1]Définition Maintenances'!$G:$G,MATCH($A96,'[1]Définition Maintenances'!$K:$K,0))+AN96),AN96))</f>
        <v>85</v>
      </c>
      <c r="AP96" s="25">
        <f>IF(ISNUMBER(VLOOKUP($D96,'Visu totale'!$D:$DH,AP$1,0)),AO96-VLOOKUP($D96,'Visu totale'!$D:$DH,AP$1,0),IF(LEFT(VLOOKUP($D96,'Visu totale'!$D:$DH,AP$1,0),1)="V",IF(AO96&gt;=INDEX('[1]Définition Maintenances'!$G:$G,MATCH($A96,'[1]Définition Maintenances'!$K:$K,0)),AO96,INDEX('[1]Définition Maintenances'!$G:$G,MATCH($A96,'[1]Définition Maintenances'!$K:$K,0))+AO96),AO96))</f>
        <v>85</v>
      </c>
      <c r="AQ96" s="26">
        <f>IF(ISNUMBER(VLOOKUP($D96,'Visu totale'!$D:$DH,AQ$1,0)),AP96-VLOOKUP($D96,'Visu totale'!$D:$DH,AQ$1,0),IF(LEFT(VLOOKUP($D96,'Visu totale'!$D:$DH,AQ$1,0),1)="V",IF(AP96&gt;=INDEX('[1]Définition Maintenances'!$G:$G,MATCH($A96,'[1]Définition Maintenances'!$K:$K,0)),AP96,INDEX('[1]Définition Maintenances'!$G:$G,MATCH($A96,'[1]Définition Maintenances'!$K:$K,0))+AP96),AP96))</f>
        <v>85</v>
      </c>
      <c r="AR96" s="26">
        <f>IF(ISNUMBER(VLOOKUP($D96,'Visu totale'!$D:$DH,AR$1,0)),AQ96-VLOOKUP($D96,'Visu totale'!$D:$DH,AR$1,0),IF(LEFT(VLOOKUP($D96,'Visu totale'!$D:$DH,AR$1,0),1)="V",IF(AQ96&gt;=INDEX('[1]Définition Maintenances'!$G:$G,MATCH($A96,'[1]Définition Maintenances'!$K:$K,0)),AQ96,INDEX('[1]Définition Maintenances'!$G:$G,MATCH($A96,'[1]Définition Maintenances'!$K:$K,0))+AQ96),AQ96))</f>
        <v>85</v>
      </c>
      <c r="AS96" s="26">
        <f>IF(ISNUMBER(VLOOKUP($D96,'Visu totale'!$D:$DH,AS$1,0)),AR96-VLOOKUP($D96,'Visu totale'!$D:$DH,AS$1,0),IF(LEFT(VLOOKUP($D96,'Visu totale'!$D:$DH,AS$1,0),1)="V",IF(AR96&gt;=INDEX('[1]Définition Maintenances'!$G:$G,MATCH($A96,'[1]Définition Maintenances'!$K:$K,0)),AR96,INDEX('[1]Définition Maintenances'!$G:$G,MATCH($A96,'[1]Définition Maintenances'!$K:$K,0))+AR96),AR96))</f>
        <v>85</v>
      </c>
      <c r="AT96" s="26">
        <f>IF(ISNUMBER(VLOOKUP($D96,'Visu totale'!$D:$DH,AT$1,0)),AS96-VLOOKUP($D96,'Visu totale'!$D:$DH,AT$1,0),IF(LEFT(VLOOKUP($D96,'Visu totale'!$D:$DH,AT$1,0),1)="V",IF(AS96&gt;=INDEX('[1]Définition Maintenances'!$G:$G,MATCH($A96,'[1]Définition Maintenances'!$K:$K,0)),AS96,INDEX('[1]Définition Maintenances'!$G:$G,MATCH($A96,'[1]Définition Maintenances'!$K:$K,0))+AS96),AS96))</f>
        <v>85</v>
      </c>
      <c r="AU96" s="26">
        <f>IF(ISNUMBER(VLOOKUP($D96,'Visu totale'!$D:$DH,AU$1,0)),AT96-VLOOKUP($D96,'Visu totale'!$D:$DH,AU$1,0),IF(LEFT(VLOOKUP($D96,'Visu totale'!$D:$DH,AU$1,0),1)="V",IF(AT96&gt;=INDEX('[1]Définition Maintenances'!$G:$G,MATCH($A96,'[1]Définition Maintenances'!$K:$K,0)),AT96,INDEX('[1]Définition Maintenances'!$G:$G,MATCH($A96,'[1]Définition Maintenances'!$K:$K,0))+AT96),AT96))</f>
        <v>85</v>
      </c>
      <c r="AV96" s="26">
        <f>IF(ISNUMBER(VLOOKUP($D96,'Visu totale'!$D:$DH,AV$1,0)),AU96-VLOOKUP($D96,'Visu totale'!$D:$DH,AV$1,0),IF(LEFT(VLOOKUP($D96,'Visu totale'!$D:$DH,AV$1,0),1)="V",IF(AU96&gt;=INDEX('[1]Définition Maintenances'!$G:$G,MATCH($A96,'[1]Définition Maintenances'!$K:$K,0)),AU96,INDEX('[1]Définition Maintenances'!$G:$G,MATCH($A96,'[1]Définition Maintenances'!$K:$K,0))+AU96),AU96))</f>
        <v>85</v>
      </c>
      <c r="AW96" s="26">
        <f>IF(ISNUMBER(VLOOKUP($D96,'Visu totale'!$D:$DH,AW$1,0)),AV96-VLOOKUP($D96,'Visu totale'!$D:$DH,AW$1,0),IF(LEFT(VLOOKUP($D96,'Visu totale'!$D:$DH,AW$1,0),1)="V",IF(AV96&gt;=INDEX('[1]Définition Maintenances'!$G:$G,MATCH($A96,'[1]Définition Maintenances'!$K:$K,0)),AV96,INDEX('[1]Définition Maintenances'!$G:$G,MATCH($A96,'[1]Définition Maintenances'!$K:$K,0))+AV96),AV96))</f>
        <v>85</v>
      </c>
      <c r="AX96" s="26">
        <f>IF(ISNUMBER(VLOOKUP($D96,'Visu totale'!$D:$DH,AX$1,0)),AW96-VLOOKUP($D96,'Visu totale'!$D:$DH,AX$1,0),IF(LEFT(VLOOKUP($D96,'Visu totale'!$D:$DH,AX$1,0),1)="V",IF(AW96&gt;=INDEX('[1]Définition Maintenances'!$G:$G,MATCH($A96,'[1]Définition Maintenances'!$K:$K,0)),AW96,INDEX('[1]Définition Maintenances'!$G:$G,MATCH($A96,'[1]Définition Maintenances'!$K:$K,0))+AW96),AW96))</f>
        <v>85</v>
      </c>
      <c r="AY96" s="26">
        <f>IF(ISNUMBER(VLOOKUP($D96,'Visu totale'!$D:$DH,AY$1,0)),AX96-VLOOKUP($D96,'Visu totale'!$D:$DH,AY$1,0),IF(LEFT(VLOOKUP($D96,'Visu totale'!$D:$DH,AY$1,0),1)="V",IF(AX96&gt;=INDEX('[1]Définition Maintenances'!$G:$G,MATCH($A96,'[1]Définition Maintenances'!$K:$K,0)),AX96,INDEX('[1]Définition Maintenances'!$G:$G,MATCH($A96,'[1]Définition Maintenances'!$K:$K,0))+AX96),AX96))</f>
        <v>85</v>
      </c>
      <c r="AZ96" s="26">
        <f>IF(ISNUMBER(VLOOKUP($D96,'Visu totale'!$D:$DH,AZ$1,0)),AY96-VLOOKUP($D96,'Visu totale'!$D:$DH,AZ$1,0),IF(LEFT(VLOOKUP($D96,'Visu totale'!$D:$DH,AZ$1,0),1)="V",IF(AY96&gt;=INDEX('[1]Définition Maintenances'!$G:$G,MATCH($A96,'[1]Définition Maintenances'!$K:$K,0)),AY96,INDEX('[1]Définition Maintenances'!$G:$G,MATCH($A96,'[1]Définition Maintenances'!$K:$K,0))+AY96),AY96))</f>
        <v>85</v>
      </c>
      <c r="BA96" s="27">
        <f>IF(ISNUMBER(VLOOKUP($D96,'Visu totale'!$D:$DH,BA$1,0)),AZ96-VLOOKUP($D96,'Visu totale'!$D:$DH,BA$1,0),IF(LEFT(VLOOKUP($D96,'Visu totale'!$D:$DH,BA$1,0),1)="V",IF(AZ96&gt;=INDEX('[1]Définition Maintenances'!$G:$G,MATCH($A96,'[1]Définition Maintenances'!$K:$K,0)),AZ96,INDEX('[1]Définition Maintenances'!$G:$G,MATCH($A96,'[1]Définition Maintenances'!$K:$K,0))+AZ96),AZ96))</f>
        <v>85</v>
      </c>
      <c r="BB96" s="25">
        <f>IF(ISNUMBER(VLOOKUP($D96,'Visu totale'!$D:$DH,BB$1,0)),BA96-VLOOKUP($D96,'Visu totale'!$D:$DH,BB$1,0),IF(LEFT(VLOOKUP($D96,'Visu totale'!$D:$DH,BB$1,0),1)="V",IF(BA96&gt;=INDEX('[1]Définition Maintenances'!$G:$G,MATCH($A96,'[1]Définition Maintenances'!$K:$K,0)),BA96,INDEX('[1]Définition Maintenances'!$G:$G,MATCH($A96,'[1]Définition Maintenances'!$K:$K,0))+BA96),BA96))</f>
        <v>85</v>
      </c>
      <c r="BC96" s="26">
        <f>IF(ISNUMBER(VLOOKUP($D96,'Visu totale'!$D:$DH,BC$1,0)),BB96-VLOOKUP($D96,'Visu totale'!$D:$DH,BC$1,0),IF(LEFT(VLOOKUP($D96,'Visu totale'!$D:$DH,BC$1,0),1)="V",IF(BB96&gt;=INDEX('[1]Définition Maintenances'!$G:$G,MATCH($A96,'[1]Définition Maintenances'!$K:$K,0)),BB96,INDEX('[1]Définition Maintenances'!$G:$G,MATCH($A96,'[1]Définition Maintenances'!$K:$K,0))+BB96),BB96))</f>
        <v>85</v>
      </c>
      <c r="BD96" s="26">
        <f>IF(ISNUMBER(VLOOKUP($D96,'Visu totale'!$D:$DH,BD$1,0)),BC96-VLOOKUP($D96,'Visu totale'!$D:$DH,BD$1,0),IF(LEFT(VLOOKUP($D96,'Visu totale'!$D:$DH,BD$1,0),1)="V",IF(BC96&gt;=INDEX('[1]Définition Maintenances'!$G:$G,MATCH($A96,'[1]Définition Maintenances'!$K:$K,0)),BC96,INDEX('[1]Définition Maintenances'!$G:$G,MATCH($A96,'[1]Définition Maintenances'!$K:$K,0))+BC96),BC96))</f>
        <v>85</v>
      </c>
      <c r="BE96" s="26">
        <f>IF(ISNUMBER(VLOOKUP($D96,'Visu totale'!$D:$DH,BE$1,0)),BD96-VLOOKUP($D96,'Visu totale'!$D:$DH,BE$1,0),IF(LEFT(VLOOKUP($D96,'Visu totale'!$D:$DH,BE$1,0),1)="V",IF(BD96&gt;=INDEX('[1]Définition Maintenances'!$G:$G,MATCH($A96,'[1]Définition Maintenances'!$K:$K,0)),BD96,INDEX('[1]Définition Maintenances'!$G:$G,MATCH($A96,'[1]Définition Maintenances'!$K:$K,0))+BD96),BD96))</f>
        <v>85</v>
      </c>
      <c r="BF96" s="26">
        <f>IF(ISNUMBER(VLOOKUP($D96,'Visu totale'!$D:$DH,BF$1,0)),BE96-VLOOKUP($D96,'Visu totale'!$D:$DH,BF$1,0),IF(LEFT(VLOOKUP($D96,'Visu totale'!$D:$DH,BF$1,0),1)="V",IF(BE96&gt;=INDEX('[1]Définition Maintenances'!$G:$G,MATCH($A96,'[1]Définition Maintenances'!$K:$K,0)),BE96,INDEX('[1]Définition Maintenances'!$G:$G,MATCH($A96,'[1]Définition Maintenances'!$K:$K,0))+BE96),BE96))</f>
        <v>85</v>
      </c>
      <c r="BG96" s="26">
        <f>IF(ISNUMBER(VLOOKUP($D96,'Visu totale'!$D:$DH,BG$1,0)),BF96-VLOOKUP($D96,'Visu totale'!$D:$DH,BG$1,0),IF(LEFT(VLOOKUP($D96,'Visu totale'!$D:$DH,BG$1,0),1)="V",IF(BF96&gt;=INDEX('[1]Définition Maintenances'!$G:$G,MATCH($A96,'[1]Définition Maintenances'!$K:$K,0)),BF96,INDEX('[1]Définition Maintenances'!$G:$G,MATCH($A96,'[1]Définition Maintenances'!$K:$K,0))+BF96),BF96))</f>
        <v>85</v>
      </c>
      <c r="BH96" s="26">
        <f>IF(ISNUMBER(VLOOKUP($D96,'Visu totale'!$D:$DH,BH$1,0)),BG96-VLOOKUP($D96,'Visu totale'!$D:$DH,BH$1,0),IF(LEFT(VLOOKUP($D96,'Visu totale'!$D:$DH,BH$1,0),1)="V",IF(BG96&gt;=INDEX('[1]Définition Maintenances'!$G:$G,MATCH($A96,'[1]Définition Maintenances'!$K:$K,0)),BG96,INDEX('[1]Définition Maintenances'!$G:$G,MATCH($A96,'[1]Définition Maintenances'!$K:$K,0))+BG96),BG96))</f>
        <v>85</v>
      </c>
      <c r="BI96" s="26">
        <f>IF(ISNUMBER(VLOOKUP($D96,'Visu totale'!$D:$DH,BI$1,0)),BH96-VLOOKUP($D96,'Visu totale'!$D:$DH,BI$1,0),IF(LEFT(VLOOKUP($D96,'Visu totale'!$D:$DH,BI$1,0),1)="V",IF(BH96&gt;=INDEX('[1]Définition Maintenances'!$G:$G,MATCH($A96,'[1]Définition Maintenances'!$K:$K,0)),BH96,INDEX('[1]Définition Maintenances'!$G:$G,MATCH($A96,'[1]Définition Maintenances'!$K:$K,0))+BH96),BH96))</f>
        <v>85</v>
      </c>
      <c r="BJ96" s="26">
        <f>IF(ISNUMBER(VLOOKUP($D96,'Visu totale'!$D:$DH,BJ$1,0)),BI96-VLOOKUP($D96,'Visu totale'!$D:$DH,BJ$1,0),IF(LEFT(VLOOKUP($D96,'Visu totale'!$D:$DH,BJ$1,0),1)="V",IF(BI96&gt;=INDEX('[1]Définition Maintenances'!$G:$G,MATCH($A96,'[1]Définition Maintenances'!$K:$K,0)),BI96,INDEX('[1]Définition Maintenances'!$G:$G,MATCH($A96,'[1]Définition Maintenances'!$K:$K,0))+BI96),BI96))</f>
        <v>85</v>
      </c>
      <c r="BK96" s="26">
        <f>IF(ISNUMBER(VLOOKUP($D96,'Visu totale'!$D:$DH,BK$1,0)),BJ96-VLOOKUP($D96,'Visu totale'!$D:$DH,BK$1,0),IF(LEFT(VLOOKUP($D96,'Visu totale'!$D:$DH,BK$1,0),1)="V",IF(BJ96&gt;=INDEX('[1]Définition Maintenances'!$G:$G,MATCH($A96,'[1]Définition Maintenances'!$K:$K,0)),BJ96,INDEX('[1]Définition Maintenances'!$G:$G,MATCH($A96,'[1]Définition Maintenances'!$K:$K,0))+BJ96),BJ96))</f>
        <v>85</v>
      </c>
      <c r="BL96" s="26">
        <f>IF(ISNUMBER(VLOOKUP($D96,'Visu totale'!$D:$DH,BL$1,0)),BK96-VLOOKUP($D96,'Visu totale'!$D:$DH,BL$1,0),IF(LEFT(VLOOKUP($D96,'Visu totale'!$D:$DH,BL$1,0),1)="V",IF(BK96&gt;=INDEX('[1]Définition Maintenances'!$G:$G,MATCH($A96,'[1]Définition Maintenances'!$K:$K,0)),BK96,INDEX('[1]Définition Maintenances'!$G:$G,MATCH($A96,'[1]Définition Maintenances'!$K:$K,0))+BK96),BK96))</f>
        <v>85</v>
      </c>
      <c r="BM96" s="27">
        <f>IF(ISNUMBER(VLOOKUP($D96,'Visu totale'!$D:$DH,BM$1,0)),BL96-VLOOKUP($D96,'Visu totale'!$D:$DH,BM$1,0),IF(LEFT(VLOOKUP($D96,'Visu totale'!$D:$DH,BM$1,0),1)="V",IF(BL96&gt;=INDEX('[1]Définition Maintenances'!$G:$G,MATCH($A96,'[1]Définition Maintenances'!$K:$K,0)),BL96,INDEX('[1]Définition Maintenances'!$G:$G,MATCH($A96,'[1]Définition Maintenances'!$K:$K,0))+BL96),BL96))</f>
        <v>85</v>
      </c>
      <c r="BN96" s="25">
        <f>IF(ISNUMBER(VLOOKUP($D96,'Visu totale'!$D:$DH,BN$1,0)),BM96-VLOOKUP($D96,'Visu totale'!$D:$DH,BN$1,0),IF(LEFT(VLOOKUP($D96,'Visu totale'!$D:$DH,BN$1,0),1)="V",IF(BM96&gt;=INDEX('[1]Définition Maintenances'!$G:$G,MATCH($A96,'[1]Définition Maintenances'!$K:$K,0)),BM96,INDEX('[1]Définition Maintenances'!$G:$G,MATCH($A96,'[1]Définition Maintenances'!$K:$K,0))+BM96),BM96))</f>
        <v>85</v>
      </c>
      <c r="BO96" s="26">
        <f>IF(ISNUMBER(VLOOKUP($D96,'Visu totale'!$D:$DH,BO$1,0)),BN96-VLOOKUP($D96,'Visu totale'!$D:$DH,BO$1,0),IF(LEFT(VLOOKUP($D96,'Visu totale'!$D:$DH,BO$1,0),1)="V",IF(BN96&gt;=INDEX('[1]Définition Maintenances'!$G:$G,MATCH($A96,'[1]Définition Maintenances'!$K:$K,0)),BN96,INDEX('[1]Définition Maintenances'!$G:$G,MATCH($A96,'[1]Définition Maintenances'!$K:$K,0))+BN96),BN96))</f>
        <v>85</v>
      </c>
      <c r="BP96" s="26">
        <f>IF(ISNUMBER(VLOOKUP($D96,'Visu totale'!$D:$DH,BP$1,0)),BO96-VLOOKUP($D96,'Visu totale'!$D:$DH,BP$1,0),IF(LEFT(VLOOKUP($D96,'Visu totale'!$D:$DH,BP$1,0),1)="V",IF(BO96&gt;=INDEX('[1]Définition Maintenances'!$G:$G,MATCH($A96,'[1]Définition Maintenances'!$K:$K,0)),BO96,INDEX('[1]Définition Maintenances'!$G:$G,MATCH($A96,'[1]Définition Maintenances'!$K:$K,0))+BO96),BO96))</f>
        <v>85</v>
      </c>
      <c r="BQ96" s="26">
        <f>IF(ISNUMBER(VLOOKUP($D96,'Visu totale'!$D:$DH,BQ$1,0)),BP96-VLOOKUP($D96,'Visu totale'!$D:$DH,BQ$1,0),IF(LEFT(VLOOKUP($D96,'Visu totale'!$D:$DH,BQ$1,0),1)="V",IF(BP96&gt;=INDEX('[1]Définition Maintenances'!$G:$G,MATCH($A96,'[1]Définition Maintenances'!$K:$K,0)),BP96,INDEX('[1]Définition Maintenances'!$G:$G,MATCH($A96,'[1]Définition Maintenances'!$K:$K,0))+BP96),BP96))</f>
        <v>85</v>
      </c>
      <c r="BR96" s="26">
        <f>IF(ISNUMBER(VLOOKUP($D96,'Visu totale'!$D:$DH,BR$1,0)),BQ96-VLOOKUP($D96,'Visu totale'!$D:$DH,BR$1,0),IF(LEFT(VLOOKUP($D96,'Visu totale'!$D:$DH,BR$1,0),1)="V",IF(BQ96&gt;=INDEX('[1]Définition Maintenances'!$G:$G,MATCH($A96,'[1]Définition Maintenances'!$K:$K,0)),BQ96,INDEX('[1]Définition Maintenances'!$G:$G,MATCH($A96,'[1]Définition Maintenances'!$K:$K,0))+BQ96),BQ96))</f>
        <v>85</v>
      </c>
      <c r="BS96" s="26">
        <f>IF(ISNUMBER(VLOOKUP($D96,'Visu totale'!$D:$DH,BS$1,0)),BR96-VLOOKUP($D96,'Visu totale'!$D:$DH,BS$1,0),IF(LEFT(VLOOKUP($D96,'Visu totale'!$D:$DH,BS$1,0),1)="V",IF(BR96&gt;=INDEX('[1]Définition Maintenances'!$G:$G,MATCH($A96,'[1]Définition Maintenances'!$K:$K,0)),BR96,INDEX('[1]Définition Maintenances'!$G:$G,MATCH($A96,'[1]Définition Maintenances'!$K:$K,0))+BR96),BR96))</f>
        <v>85</v>
      </c>
      <c r="BT96" s="26">
        <f>IF(ISNUMBER(VLOOKUP($D96,'Visu totale'!$D:$DH,BT$1,0)),BS96-VLOOKUP($D96,'Visu totale'!$D:$DH,BT$1,0),IF(LEFT(VLOOKUP($D96,'Visu totale'!$D:$DH,BT$1,0),1)="V",IF(BS96&gt;=INDEX('[1]Définition Maintenances'!$G:$G,MATCH($A96,'[1]Définition Maintenances'!$K:$K,0)),BS96,INDEX('[1]Définition Maintenances'!$G:$G,MATCH($A96,'[1]Définition Maintenances'!$K:$K,0))+BS96),BS96))</f>
        <v>85</v>
      </c>
      <c r="BU96" s="26">
        <f>IF(ISNUMBER(VLOOKUP($D96,'Visu totale'!$D:$DH,BU$1,0)),BT96-VLOOKUP($D96,'Visu totale'!$D:$DH,BU$1,0),IF(LEFT(VLOOKUP($D96,'Visu totale'!$D:$DH,BU$1,0),1)="V",IF(BT96&gt;=INDEX('[1]Définition Maintenances'!$G:$G,MATCH($A96,'[1]Définition Maintenances'!$K:$K,0)),BT96,INDEX('[1]Définition Maintenances'!$G:$G,MATCH($A96,'[1]Définition Maintenances'!$K:$K,0))+BT96),BT96))</f>
        <v>85</v>
      </c>
      <c r="BV96" s="26">
        <f>IF(ISNUMBER(VLOOKUP($D96,'Visu totale'!$D:$DH,BV$1,0)),BU96-VLOOKUP($D96,'Visu totale'!$D:$DH,BV$1,0),IF(LEFT(VLOOKUP($D96,'Visu totale'!$D:$DH,BV$1,0),1)="V",IF(BU96&gt;=INDEX('[1]Définition Maintenances'!$G:$G,MATCH($A96,'[1]Définition Maintenances'!$K:$K,0)),BU96,INDEX('[1]Définition Maintenances'!$G:$G,MATCH($A96,'[1]Définition Maintenances'!$K:$K,0))+BU96),BU96))</f>
        <v>85</v>
      </c>
      <c r="BW96" s="26">
        <f>IF(ISNUMBER(VLOOKUP($D96,'Visu totale'!$D:$DH,BW$1,0)),BV96-VLOOKUP($D96,'Visu totale'!$D:$DH,BW$1,0),IF(LEFT(VLOOKUP($D96,'Visu totale'!$D:$DH,BW$1,0),1)="V",IF(BV96&gt;=INDEX('[1]Définition Maintenances'!$G:$G,MATCH($A96,'[1]Définition Maintenances'!$K:$K,0)),BV96,INDEX('[1]Définition Maintenances'!$G:$G,MATCH($A96,'[1]Définition Maintenances'!$K:$K,0))+BV96),BV96))</f>
        <v>85</v>
      </c>
      <c r="BX96" s="26">
        <f>IF(ISNUMBER(VLOOKUP($D96,'Visu totale'!$D:$DH,BX$1,0)),BW96-VLOOKUP($D96,'Visu totale'!$D:$DH,BX$1,0),IF(LEFT(VLOOKUP($D96,'Visu totale'!$D:$DH,BX$1,0),1)="V",IF(BW96&gt;=INDEX('[1]Définition Maintenances'!$G:$G,MATCH($A96,'[1]Définition Maintenances'!$K:$K,0)),BW96,INDEX('[1]Définition Maintenances'!$G:$G,MATCH($A96,'[1]Définition Maintenances'!$K:$K,0))+BW96),BW96))</f>
        <v>85</v>
      </c>
      <c r="BY96" s="27">
        <f>IF(ISNUMBER(VLOOKUP($D96,'Visu totale'!$D:$DH,BY$1,0)),BX96-VLOOKUP($D96,'Visu totale'!$D:$DH,BY$1,0),IF(LEFT(VLOOKUP($D96,'Visu totale'!$D:$DH,BY$1,0),1)="V",IF(BX96&gt;=INDEX('[1]Définition Maintenances'!$G:$G,MATCH($A96,'[1]Définition Maintenances'!$K:$K,0)),BX96,INDEX('[1]Définition Maintenances'!$G:$G,MATCH($A96,'[1]Définition Maintenances'!$K:$K,0))+BX96),BX96))</f>
        <v>85</v>
      </c>
      <c r="BZ96" s="25">
        <f>IF(ISNUMBER(VLOOKUP($D96,'Visu totale'!$D:$DH,BZ$1,0)),BY96-VLOOKUP($D96,'Visu totale'!$D:$DH,BZ$1,0),IF(LEFT(VLOOKUP($D96,'Visu totale'!$D:$DH,BZ$1,0),1)="V",IF(BY96&gt;=INDEX('[1]Définition Maintenances'!$G:$G,MATCH($A96,'[1]Définition Maintenances'!$K:$K,0)),BY96,INDEX('[1]Définition Maintenances'!$G:$G,MATCH($A96,'[1]Définition Maintenances'!$K:$K,0))+BY96),BY96))</f>
        <v>85</v>
      </c>
      <c r="CA96" s="26">
        <f>IF(ISNUMBER(VLOOKUP($D96,'Visu totale'!$D:$DH,CA$1,0)),BZ96-VLOOKUP($D96,'Visu totale'!$D:$DH,CA$1,0),IF(LEFT(VLOOKUP($D96,'Visu totale'!$D:$DH,CA$1,0),1)="V",IF(BZ96&gt;=INDEX('[1]Définition Maintenances'!$G:$G,MATCH($A96,'[1]Définition Maintenances'!$K:$K,0)),BZ96,INDEX('[1]Définition Maintenances'!$G:$G,MATCH($A96,'[1]Définition Maintenances'!$K:$K,0))+BZ96),BZ96))</f>
        <v>85</v>
      </c>
      <c r="CB96" s="26">
        <f>IF(ISNUMBER(VLOOKUP($D96,'Visu totale'!$D:$DH,CB$1,0)),CA96-VLOOKUP($D96,'Visu totale'!$D:$DH,CB$1,0),IF(LEFT(VLOOKUP($D96,'Visu totale'!$D:$DH,CB$1,0),1)="V",IF(CA96&gt;=INDEX('[1]Définition Maintenances'!$G:$G,MATCH($A96,'[1]Définition Maintenances'!$K:$K,0)),CA96,INDEX('[1]Définition Maintenances'!$G:$G,MATCH($A96,'[1]Définition Maintenances'!$K:$K,0))+CA96),CA96))</f>
        <v>85</v>
      </c>
      <c r="CC96" s="26">
        <f>IF(ISNUMBER(VLOOKUP($D96,'Visu totale'!$D:$DH,CC$1,0)),CB96-VLOOKUP($D96,'Visu totale'!$D:$DH,CC$1,0),IF(LEFT(VLOOKUP($D96,'Visu totale'!$D:$DH,CC$1,0),1)="V",IF(CB96&gt;=INDEX('[1]Définition Maintenances'!$G:$G,MATCH($A96,'[1]Définition Maintenances'!$K:$K,0)),CB96,INDEX('[1]Définition Maintenances'!$G:$G,MATCH($A96,'[1]Définition Maintenances'!$K:$K,0))+CB96),CB96))</f>
        <v>85</v>
      </c>
      <c r="CD96" s="26">
        <f>IF(ISNUMBER(VLOOKUP($D96,'Visu totale'!$D:$DH,CD$1,0)),CC96-VLOOKUP($D96,'Visu totale'!$D:$DH,CD$1,0),IF(LEFT(VLOOKUP($D96,'Visu totale'!$D:$DH,CD$1,0),1)="V",IF(CC96&gt;=INDEX('[1]Définition Maintenances'!$G:$G,MATCH($A96,'[1]Définition Maintenances'!$K:$K,0)),CC96,INDEX('[1]Définition Maintenances'!$G:$G,MATCH($A96,'[1]Définition Maintenances'!$K:$K,0))+CC96),CC96))</f>
        <v>85</v>
      </c>
      <c r="CE96" s="26">
        <f>IF(ISNUMBER(VLOOKUP($D96,'Visu totale'!$D:$DH,CE$1,0)),CD96-VLOOKUP($D96,'Visu totale'!$D:$DH,CE$1,0),IF(LEFT(VLOOKUP($D96,'Visu totale'!$D:$DH,CE$1,0),1)="V",IF(CD96&gt;=INDEX('[1]Définition Maintenances'!$G:$G,MATCH($A96,'[1]Définition Maintenances'!$K:$K,0)),CD96,INDEX('[1]Définition Maintenances'!$G:$G,MATCH($A96,'[1]Définition Maintenances'!$K:$K,0))+CD96),CD96))</f>
        <v>85</v>
      </c>
      <c r="CF96" s="26">
        <f>IF(ISNUMBER(VLOOKUP($D96,'Visu totale'!$D:$DH,CF$1,0)),CE96-VLOOKUP($D96,'Visu totale'!$D:$DH,CF$1,0),IF(LEFT(VLOOKUP($D96,'Visu totale'!$D:$DH,CF$1,0),1)="V",IF(CE96&gt;=INDEX('[1]Définition Maintenances'!$G:$G,MATCH($A96,'[1]Définition Maintenances'!$K:$K,0)),CE96,INDEX('[1]Définition Maintenances'!$G:$G,MATCH($A96,'[1]Définition Maintenances'!$K:$K,0))+CE96),CE96))</f>
        <v>85</v>
      </c>
      <c r="CG96" s="26">
        <f>IF(ISNUMBER(VLOOKUP($D96,'Visu totale'!$D:$DH,CG$1,0)),CF96-VLOOKUP($D96,'Visu totale'!$D:$DH,CG$1,0),IF(LEFT(VLOOKUP($D96,'Visu totale'!$D:$DH,CG$1,0),1)="V",IF(CF96&gt;=INDEX('[1]Définition Maintenances'!$G:$G,MATCH($A96,'[1]Définition Maintenances'!$K:$K,0)),CF96,INDEX('[1]Définition Maintenances'!$G:$G,MATCH($A96,'[1]Définition Maintenances'!$K:$K,0))+CF96),CF96))</f>
        <v>85</v>
      </c>
      <c r="CH96" s="26">
        <f>IF(ISNUMBER(VLOOKUP($D96,'Visu totale'!$D:$DH,CH$1,0)),CG96-VLOOKUP($D96,'Visu totale'!$D:$DH,CH$1,0),IF(LEFT(VLOOKUP($D96,'Visu totale'!$D:$DH,CH$1,0),1)="V",IF(CG96&gt;=INDEX('[1]Définition Maintenances'!$G:$G,MATCH($A96,'[1]Définition Maintenances'!$K:$K,0)),CG96,INDEX('[1]Définition Maintenances'!$G:$G,MATCH($A96,'[1]Définition Maintenances'!$K:$K,0))+CG96),CG96))</f>
        <v>85</v>
      </c>
      <c r="CI96" s="26">
        <f>IF(ISNUMBER(VLOOKUP($D96,'Visu totale'!$D:$DH,CI$1,0)),CH96-VLOOKUP($D96,'Visu totale'!$D:$DH,CI$1,0),IF(LEFT(VLOOKUP($D96,'Visu totale'!$D:$DH,CI$1,0),1)="V",IF(CH96&gt;=INDEX('[1]Définition Maintenances'!$G:$G,MATCH($A96,'[1]Définition Maintenances'!$K:$K,0)),CH96,INDEX('[1]Définition Maintenances'!$G:$G,MATCH($A96,'[1]Définition Maintenances'!$K:$K,0))+CH96),CH96))</f>
        <v>85</v>
      </c>
      <c r="CJ96" s="26">
        <f>IF(ISNUMBER(VLOOKUP($D96,'Visu totale'!$D:$DH,CJ$1,0)),CI96-VLOOKUP($D96,'Visu totale'!$D:$DH,CJ$1,0),IF(LEFT(VLOOKUP($D96,'Visu totale'!$D:$DH,CJ$1,0),1)="V",IF(CI96&gt;=INDEX('[1]Définition Maintenances'!$G:$G,MATCH($A96,'[1]Définition Maintenances'!$K:$K,0)),CI96,INDEX('[1]Définition Maintenances'!$G:$G,MATCH($A96,'[1]Définition Maintenances'!$K:$K,0))+CI96),CI96))</f>
        <v>85</v>
      </c>
      <c r="CK96" s="27">
        <f>IF(ISNUMBER(VLOOKUP($D96,'Visu totale'!$D:$DH,CK$1,0)),CJ96-VLOOKUP($D96,'Visu totale'!$D:$DH,CK$1,0),IF(LEFT(VLOOKUP($D96,'Visu totale'!$D:$DH,CK$1,0),1)="V",IF(CJ96&gt;=INDEX('[1]Définition Maintenances'!$G:$G,MATCH($A96,'[1]Définition Maintenances'!$K:$K,0)),CJ96,INDEX('[1]Définition Maintenances'!$G:$G,MATCH($A96,'[1]Définition Maintenances'!$K:$K,0))+CJ96),CJ96))</f>
        <v>85</v>
      </c>
      <c r="CL96" s="25">
        <f>IF(ISNUMBER(VLOOKUP($D96,'Visu totale'!$D:$DH,CL$1,0)),CK96-VLOOKUP($D96,'Visu totale'!$D:$DH,CL$1,0),IF(LEFT(VLOOKUP($D96,'Visu totale'!$D:$DH,CL$1,0),1)="V",IF(CK96&gt;=INDEX('[1]Définition Maintenances'!$G:$G,MATCH($A96,'[1]Définition Maintenances'!$K:$K,0)),CK96,INDEX('[1]Définition Maintenances'!$G:$G,MATCH($A96,'[1]Définition Maintenances'!$K:$K,0))+CK96),CK96))</f>
        <v>85</v>
      </c>
      <c r="CM96" s="26">
        <f>IF(ISNUMBER(VLOOKUP($D96,'Visu totale'!$D:$DH,CM$1,0)),CL96-VLOOKUP($D96,'Visu totale'!$D:$DH,CM$1,0),IF(LEFT(VLOOKUP($D96,'Visu totale'!$D:$DH,CM$1,0),1)="V",IF(CL96&gt;=INDEX('[1]Définition Maintenances'!$G:$G,MATCH($A96,'[1]Définition Maintenances'!$K:$K,0)),CL96,INDEX('[1]Définition Maintenances'!$G:$G,MATCH($A96,'[1]Définition Maintenances'!$K:$K,0))+CL96),CL96))</f>
        <v>85</v>
      </c>
      <c r="CN96" s="26">
        <f>IF(ISNUMBER(VLOOKUP($D96,'Visu totale'!$D:$DH,CN$1,0)),CM96-VLOOKUP($D96,'Visu totale'!$D:$DH,CN$1,0),IF(LEFT(VLOOKUP($D96,'Visu totale'!$D:$DH,CN$1,0),1)="V",IF(CM96&gt;=INDEX('[1]Définition Maintenances'!$G:$G,MATCH($A96,'[1]Définition Maintenances'!$K:$K,0)),CM96,INDEX('[1]Définition Maintenances'!$G:$G,MATCH($A96,'[1]Définition Maintenances'!$K:$K,0))+CM96),CM96))</f>
        <v>85</v>
      </c>
      <c r="CO96" s="26">
        <f>IF(ISNUMBER(VLOOKUP($D96,'Visu totale'!$D:$DH,CO$1,0)),CN96-VLOOKUP($D96,'Visu totale'!$D:$DH,CO$1,0),IF(LEFT(VLOOKUP($D96,'Visu totale'!$D:$DH,CO$1,0),1)="V",IF(CN96&gt;=INDEX('[1]Définition Maintenances'!$G:$G,MATCH($A96,'[1]Définition Maintenances'!$K:$K,0)),CN96,INDEX('[1]Définition Maintenances'!$G:$G,MATCH($A96,'[1]Définition Maintenances'!$K:$K,0))+CN96),CN96))</f>
        <v>85</v>
      </c>
      <c r="CP96" s="26">
        <f>IF(ISNUMBER(VLOOKUP($D96,'Visu totale'!$D:$DH,CP$1,0)),CO96-VLOOKUP($D96,'Visu totale'!$D:$DH,CP$1,0),IF(LEFT(VLOOKUP($D96,'Visu totale'!$D:$DH,CP$1,0),1)="V",IF(CO96&gt;=INDEX('[1]Définition Maintenances'!$G:$G,MATCH($A96,'[1]Définition Maintenances'!$K:$K,0)),CO96,INDEX('[1]Définition Maintenances'!$G:$G,MATCH($A96,'[1]Définition Maintenances'!$K:$K,0))+CO96),CO96))</f>
        <v>85</v>
      </c>
      <c r="CQ96" s="26">
        <f>IF(ISNUMBER(VLOOKUP($D96,'Visu totale'!$D:$DH,CQ$1,0)),CP96-VLOOKUP($D96,'Visu totale'!$D:$DH,CQ$1,0),IF(LEFT(VLOOKUP($D96,'Visu totale'!$D:$DH,CQ$1,0),1)="V",IF(CP96&gt;=INDEX('[1]Définition Maintenances'!$G:$G,MATCH($A96,'[1]Définition Maintenances'!$K:$K,0)),CP96,INDEX('[1]Définition Maintenances'!$G:$G,MATCH($A96,'[1]Définition Maintenances'!$K:$K,0))+CP96),CP96))</f>
        <v>85</v>
      </c>
      <c r="CR96" s="26">
        <f>IF(ISNUMBER(VLOOKUP($D96,'Visu totale'!$D:$DH,CR$1,0)),CQ96-VLOOKUP($D96,'Visu totale'!$D:$DH,CR$1,0),IF(LEFT(VLOOKUP($D96,'Visu totale'!$D:$DH,CR$1,0),1)="V",IF(CQ96&gt;=INDEX('[1]Définition Maintenances'!$G:$G,MATCH($A96,'[1]Définition Maintenances'!$K:$K,0)),CQ96,INDEX('[1]Définition Maintenances'!$G:$G,MATCH($A96,'[1]Définition Maintenances'!$K:$K,0))+CQ96),CQ96))</f>
        <v>85</v>
      </c>
      <c r="CS96" s="26">
        <f>IF(ISNUMBER(VLOOKUP($D96,'Visu totale'!$D:$DH,CS$1,0)),CR96-VLOOKUP($D96,'Visu totale'!$D:$DH,CS$1,0),IF(LEFT(VLOOKUP($D96,'Visu totale'!$D:$DH,CS$1,0),1)="V",IF(CR96&gt;=INDEX('[1]Définition Maintenances'!$G:$G,MATCH($A96,'[1]Définition Maintenances'!$K:$K,0)),CR96,INDEX('[1]Définition Maintenances'!$G:$G,MATCH($A96,'[1]Définition Maintenances'!$K:$K,0))+CR96),CR96))</f>
        <v>85</v>
      </c>
      <c r="CT96" s="26">
        <f>IF(ISNUMBER(VLOOKUP($D96,'Visu totale'!$D:$DH,CT$1,0)),CS96-VLOOKUP($D96,'Visu totale'!$D:$DH,CT$1,0),IF(LEFT(VLOOKUP($D96,'Visu totale'!$D:$DH,CT$1,0),1)="V",IF(CS96&gt;=INDEX('[1]Définition Maintenances'!$G:$G,MATCH($A96,'[1]Définition Maintenances'!$K:$K,0)),CS96,INDEX('[1]Définition Maintenances'!$G:$G,MATCH($A96,'[1]Définition Maintenances'!$K:$K,0))+CS96),CS96))</f>
        <v>85</v>
      </c>
      <c r="CU96" s="26">
        <f>IF(ISNUMBER(VLOOKUP($D96,'Visu totale'!$D:$DH,CU$1,0)),CT96-VLOOKUP($D96,'Visu totale'!$D:$DH,CU$1,0),IF(LEFT(VLOOKUP($D96,'Visu totale'!$D:$DH,CU$1,0),1)="V",IF(CT96&gt;=INDEX('[1]Définition Maintenances'!$G:$G,MATCH($A96,'[1]Définition Maintenances'!$K:$K,0)),CT96,INDEX('[1]Définition Maintenances'!$G:$G,MATCH($A96,'[1]Définition Maintenances'!$K:$K,0))+CT96),CT96))</f>
        <v>85</v>
      </c>
      <c r="CV96" s="26">
        <f>IF(ISNUMBER(VLOOKUP($D96,'Visu totale'!$D:$DH,CV$1,0)),CU96-VLOOKUP($D96,'Visu totale'!$D:$DH,CV$1,0),IF(LEFT(VLOOKUP($D96,'Visu totale'!$D:$DH,CV$1,0),1)="V",IF(CU96&gt;=INDEX('[1]Définition Maintenances'!$G:$G,MATCH($A96,'[1]Définition Maintenances'!$K:$K,0)),CU96,INDEX('[1]Définition Maintenances'!$G:$G,MATCH($A96,'[1]Définition Maintenances'!$K:$K,0))+CU96),CU96))</f>
        <v>85</v>
      </c>
      <c r="CW96" s="27">
        <f>IF(ISNUMBER(VLOOKUP($D96,'Visu totale'!$D:$DH,CW$1,0)),CV96-VLOOKUP($D96,'Visu totale'!$D:$DH,CW$1,0),IF(LEFT(VLOOKUP($D96,'Visu totale'!$D:$DH,CW$1,0),1)="V",IF(CV96&gt;=INDEX('[1]Définition Maintenances'!$G:$G,MATCH($A96,'[1]Définition Maintenances'!$K:$K,0)),CV96,INDEX('[1]Définition Maintenances'!$G:$G,MATCH($A96,'[1]Définition Maintenances'!$K:$K,0))+CV96),CV96))</f>
        <v>85</v>
      </c>
      <c r="CX96" s="25">
        <f>IF(ISNUMBER(VLOOKUP($D96,'Visu totale'!$D:$DH,CX$1,0)),CW96-VLOOKUP($D96,'Visu totale'!$D:$DH,CX$1,0),IF(LEFT(VLOOKUP($D96,'Visu totale'!$D:$DH,CX$1,0),1)="V",IF(CW96&gt;=INDEX('[1]Définition Maintenances'!$G:$G,MATCH($A96,'[1]Définition Maintenances'!$K:$K,0)),CW96,INDEX('[1]Définition Maintenances'!$G:$G,MATCH($A96,'[1]Définition Maintenances'!$K:$K,0))+CW96),CW96))</f>
        <v>85</v>
      </c>
      <c r="CY96" s="26">
        <f>IF(ISNUMBER(VLOOKUP($D96,'Visu totale'!$D:$DH,CY$1,0)),CX96-VLOOKUP($D96,'Visu totale'!$D:$DH,CY$1,0),IF(LEFT(VLOOKUP($D96,'Visu totale'!$D:$DH,CY$1,0),1)="V",IF(CX96&gt;=INDEX('[1]Définition Maintenances'!$G:$G,MATCH($A96,'[1]Définition Maintenances'!$K:$K,0)),CX96,INDEX('[1]Définition Maintenances'!$G:$G,MATCH($A96,'[1]Définition Maintenances'!$K:$K,0))+CX96),CX96))</f>
        <v>85</v>
      </c>
      <c r="CZ96" s="26">
        <f>IF(ISNUMBER(VLOOKUP($D96,'Visu totale'!$D:$DH,CZ$1,0)),CY96-VLOOKUP($D96,'Visu totale'!$D:$DH,CZ$1,0),IF(LEFT(VLOOKUP($D96,'Visu totale'!$D:$DH,CZ$1,0),1)="V",IF(CY96&gt;=INDEX('[1]Définition Maintenances'!$G:$G,MATCH($A96,'[1]Définition Maintenances'!$K:$K,0)),CY96,INDEX('[1]Définition Maintenances'!$G:$G,MATCH($A96,'[1]Définition Maintenances'!$K:$K,0))+CY96),CY96))</f>
        <v>85</v>
      </c>
      <c r="DA96" s="26">
        <f>IF(ISNUMBER(VLOOKUP($D96,'Visu totale'!$D:$DH,DA$1,0)),CZ96-VLOOKUP($D96,'Visu totale'!$D:$DH,DA$1,0),IF(LEFT(VLOOKUP($D96,'Visu totale'!$D:$DH,DA$1,0),1)="V",IF(CZ96&gt;=INDEX('[1]Définition Maintenances'!$G:$G,MATCH($A96,'[1]Définition Maintenances'!$K:$K,0)),CZ96,INDEX('[1]Définition Maintenances'!$G:$G,MATCH($A96,'[1]Définition Maintenances'!$K:$K,0))+CZ96),CZ96))</f>
        <v>85</v>
      </c>
      <c r="DB96" s="26">
        <f>IF(ISNUMBER(VLOOKUP($D96,'Visu totale'!$D:$DH,DB$1,0)),DA96-VLOOKUP($D96,'Visu totale'!$D:$DH,DB$1,0),IF(LEFT(VLOOKUP($D96,'Visu totale'!$D:$DH,DB$1,0),1)="V",IF(DA96&gt;=INDEX('[1]Définition Maintenances'!$G:$G,MATCH($A96,'[1]Définition Maintenances'!$K:$K,0)),DA96,INDEX('[1]Définition Maintenances'!$G:$G,MATCH($A96,'[1]Définition Maintenances'!$K:$K,0))+DA96),DA96))</f>
        <v>85</v>
      </c>
      <c r="DC96" s="26">
        <f>IF(ISNUMBER(VLOOKUP($D96,'Visu totale'!$D:$DH,DC$1,0)),DB96-VLOOKUP($D96,'Visu totale'!$D:$DH,DC$1,0),IF(LEFT(VLOOKUP($D96,'Visu totale'!$D:$DH,DC$1,0),1)="V",IF(DB96&gt;=INDEX('[1]Définition Maintenances'!$G:$G,MATCH($A96,'[1]Définition Maintenances'!$K:$K,0)),DB96,INDEX('[1]Définition Maintenances'!$G:$G,MATCH($A96,'[1]Définition Maintenances'!$K:$K,0))+DB96),DB96))</f>
        <v>85</v>
      </c>
      <c r="DD96" s="26">
        <f>IF(ISNUMBER(VLOOKUP($D96,'Visu totale'!$D:$DH,DD$1,0)),DC96-VLOOKUP($D96,'Visu totale'!$D:$DH,DD$1,0),IF(LEFT(VLOOKUP($D96,'Visu totale'!$D:$DH,DD$1,0),1)="V",IF(DC96&gt;=INDEX('[1]Définition Maintenances'!$G:$G,MATCH($A96,'[1]Définition Maintenances'!$K:$K,0)),DC96,INDEX('[1]Définition Maintenances'!$G:$G,MATCH($A96,'[1]Définition Maintenances'!$K:$K,0))+DC96),DC96))</f>
        <v>85</v>
      </c>
      <c r="DE96" s="26">
        <f>IF(ISNUMBER(VLOOKUP($D96,'Visu totale'!$D:$DH,DE$1,0)),DD96-VLOOKUP($D96,'Visu totale'!$D:$DH,DE$1,0),IF(LEFT(VLOOKUP($D96,'Visu totale'!$D:$DH,DE$1,0),1)="V",IF(DD96&gt;=INDEX('[1]Définition Maintenances'!$G:$G,MATCH($A96,'[1]Définition Maintenances'!$K:$K,0)),DD96,INDEX('[1]Définition Maintenances'!$G:$G,MATCH($A96,'[1]Définition Maintenances'!$K:$K,0))+DD96),DD96))</f>
        <v>85</v>
      </c>
      <c r="DF96" s="26">
        <f>IF(ISNUMBER(VLOOKUP($D96,'Visu totale'!$D:$DH,DF$1,0)),DE96-VLOOKUP($D96,'Visu totale'!$D:$DH,DF$1,0),IF(LEFT(VLOOKUP($D96,'Visu totale'!$D:$DH,DF$1,0),1)="V",IF(DE96&gt;=INDEX('[1]Définition Maintenances'!$G:$G,MATCH($A96,'[1]Définition Maintenances'!$K:$K,0)),DE96,INDEX('[1]Définition Maintenances'!$G:$G,MATCH($A96,'[1]Définition Maintenances'!$K:$K,0))+DE96),DE96))</f>
        <v>85</v>
      </c>
      <c r="DG96" s="26">
        <f>IF(ISNUMBER(VLOOKUP($D96,'Visu totale'!$D:$DH,DG$1,0)),DF96-VLOOKUP($D96,'Visu totale'!$D:$DH,DG$1,0),IF(LEFT(VLOOKUP($D96,'Visu totale'!$D:$DH,DG$1,0),1)="V",IF(DF96&gt;=INDEX('[1]Définition Maintenances'!$G:$G,MATCH($A96,'[1]Définition Maintenances'!$K:$K,0)),DF96,INDEX('[1]Définition Maintenances'!$G:$G,MATCH($A96,'[1]Définition Maintenances'!$K:$K,0))+DF96),DF96))</f>
        <v>85</v>
      </c>
      <c r="DH96" s="26">
        <f>IF(ISNUMBER(VLOOKUP($D96,'Visu totale'!$D:$DH,DH$1,0)),DG96-VLOOKUP($D96,'Visu totale'!$D:$DH,DH$1,0),IF(LEFT(VLOOKUP($D96,'Visu totale'!$D:$DH,DH$1,0),1)="V",IF(DG96&gt;=INDEX('[1]Définition Maintenances'!$G:$G,MATCH($A96,'[1]Définition Maintenances'!$K:$K,0)),DG96,INDEX('[1]Définition Maintenances'!$G:$G,MATCH($A96,'[1]Définition Maintenances'!$K:$K,0))+DG96),DG96))</f>
        <v>85</v>
      </c>
      <c r="DI96" s="27">
        <f>IF(ISNUMBER(VLOOKUP($D96,'Visu totale'!$D:$DH,DI$1,0)),DH96-VLOOKUP($D96,'Visu totale'!$D:$DH,DI$1,0),IF(LEFT(VLOOKUP($D96,'Visu totale'!$D:$DH,DI$1,0),1)="V",IF(DH96&gt;=INDEX('[1]Définition Maintenances'!$G:$G,MATCH($A96,'[1]Définition Maintenances'!$K:$K,0)),DH96,INDEX('[1]Définition Maintenances'!$G:$G,MATCH($A96,'[1]Définition Maintenances'!$K:$K,0))+DH96),DH96))</f>
        <v>85</v>
      </c>
    </row>
    <row r="97" spans="1:113" x14ac:dyDescent="0.25">
      <c r="A97" s="13" t="str">
        <f t="shared" si="2"/>
        <v>V10C</v>
      </c>
      <c r="B97" s="13" t="str">
        <f>VLOOKUP(D97,'[1]Avions (Potentiels)'!$B$2:$H$128,7,FALSE)</f>
        <v>V10</v>
      </c>
      <c r="C97" s="13"/>
      <c r="D97" s="16" t="s">
        <v>100</v>
      </c>
      <c r="E97" s="13">
        <f>IFERROR(VALUE(SUBSTITUTE(VLOOKUP(D97,'[1]Avions (Potentiels)'!$B:$E,4,0),".",",")),VALUE(VLOOKUP(D97,'[1]Avions (Potentiels)'!$B:$E,4,0)))</f>
        <v>1000</v>
      </c>
      <c r="F97" s="25">
        <f>IF(ISNUMBER(VLOOKUP($D97,'Visu totale'!$D:$DH,F$1,0)),E97-VLOOKUP($D97,'Visu totale'!$D:$DH,F$1,0),IF(LEFT(VLOOKUP($D97,'Visu totale'!$D:$DH,F$1,0),1)="V",IF(E97&gt;=INDEX('[1]Définition Maintenances'!$G:$G,MATCH($A97,'[1]Définition Maintenances'!$K:$K,0)),E97,INDEX('[1]Définition Maintenances'!$G:$G,MATCH($A97,'[1]Définition Maintenances'!$K:$K,0))+E97),E97))</f>
        <v>1000</v>
      </c>
      <c r="G97" s="26">
        <f>IF(ISNUMBER(VLOOKUP($D97,'Visu totale'!$D:$DH,G$1,0)),F97-VLOOKUP($D97,'Visu totale'!$D:$DH,G$1,0),IF(LEFT(VLOOKUP($D97,'Visu totale'!$D:$DH,G$1,0),1)="V",IF(F97&gt;=INDEX('[1]Définition Maintenances'!$G:$G,MATCH($A97,'[1]Définition Maintenances'!$K:$K,0)),F97,INDEX('[1]Définition Maintenances'!$G:$G,MATCH($A97,'[1]Définition Maintenances'!$K:$K,0))+F97),F97))</f>
        <v>1000</v>
      </c>
      <c r="H97" s="26">
        <f>IF(ISNUMBER(VLOOKUP($D97,'Visu totale'!$D:$DH,H$1,0)),G97-VLOOKUP($D97,'Visu totale'!$D:$DH,H$1,0),IF(LEFT(VLOOKUP($D97,'Visu totale'!$D:$DH,H$1,0),1)="V",IF(G97&gt;=INDEX('[1]Définition Maintenances'!$G:$G,MATCH($A97,'[1]Définition Maintenances'!$K:$K,0)),G97,INDEX('[1]Définition Maintenances'!$G:$G,MATCH($A97,'[1]Définition Maintenances'!$K:$K,0))+G97),G97))</f>
        <v>1000</v>
      </c>
      <c r="I97" s="26">
        <f>IF(ISNUMBER(VLOOKUP($D97,'Visu totale'!$D:$DH,I$1,0)),H97-VLOOKUP($D97,'Visu totale'!$D:$DH,I$1,0),IF(LEFT(VLOOKUP($D97,'Visu totale'!$D:$DH,I$1,0),1)="V",IF(H97&gt;=INDEX('[1]Définition Maintenances'!$G:$G,MATCH($A97,'[1]Définition Maintenances'!$K:$K,0)),H97,INDEX('[1]Définition Maintenances'!$G:$G,MATCH($A97,'[1]Définition Maintenances'!$K:$K,0))+H97),H97))</f>
        <v>1000</v>
      </c>
      <c r="J97" s="26">
        <f>IF(ISNUMBER(VLOOKUP($D97,'Visu totale'!$D:$DH,J$1,0)),I97-VLOOKUP($D97,'Visu totale'!$D:$DH,J$1,0),IF(LEFT(VLOOKUP($D97,'Visu totale'!$D:$DH,J$1,0),1)="V",IF(I97&gt;=INDEX('[1]Définition Maintenances'!$G:$G,MATCH($A97,'[1]Définition Maintenances'!$K:$K,0)),I97,INDEX('[1]Définition Maintenances'!$G:$G,MATCH($A97,'[1]Définition Maintenances'!$K:$K,0))+I97),I97))</f>
        <v>1000</v>
      </c>
      <c r="K97" s="26">
        <f>IF(ISNUMBER(VLOOKUP($D97,'Visu totale'!$D:$DH,K$1,0)),J97-VLOOKUP($D97,'Visu totale'!$D:$DH,K$1,0),IF(LEFT(VLOOKUP($D97,'Visu totale'!$D:$DH,K$1,0),1)="V",IF(J97&gt;=INDEX('[1]Définition Maintenances'!$G:$G,MATCH($A97,'[1]Définition Maintenances'!$K:$K,0)),J97,INDEX('[1]Définition Maintenances'!$G:$G,MATCH($A97,'[1]Définition Maintenances'!$K:$K,0))+J97),J97))</f>
        <v>1000</v>
      </c>
      <c r="L97" s="26">
        <f>IF(ISNUMBER(VLOOKUP($D97,'Visu totale'!$D:$DH,L$1,0)),K97-VLOOKUP($D97,'Visu totale'!$D:$DH,L$1,0),IF(LEFT(VLOOKUP($D97,'Visu totale'!$D:$DH,L$1,0),1)="V",IF(K97&gt;=INDEX('[1]Définition Maintenances'!$G:$G,MATCH($A97,'[1]Définition Maintenances'!$K:$K,0)),K97,INDEX('[1]Définition Maintenances'!$G:$G,MATCH($A97,'[1]Définition Maintenances'!$K:$K,0))+K97),K97))</f>
        <v>1000</v>
      </c>
      <c r="M97" s="26">
        <f>IF(ISNUMBER(VLOOKUP($D97,'Visu totale'!$D:$DH,M$1,0)),L97-VLOOKUP($D97,'Visu totale'!$D:$DH,M$1,0),IF(LEFT(VLOOKUP($D97,'Visu totale'!$D:$DH,M$1,0),1)="V",IF(L97&gt;=INDEX('[1]Définition Maintenances'!$G:$G,MATCH($A97,'[1]Définition Maintenances'!$K:$K,0)),L97,INDEX('[1]Définition Maintenances'!$G:$G,MATCH($A97,'[1]Définition Maintenances'!$K:$K,0))+L97),L97))</f>
        <v>1000</v>
      </c>
      <c r="N97" s="26">
        <f>IF(ISNUMBER(VLOOKUP($D97,'Visu totale'!$D:$DH,N$1,0)),M97-VLOOKUP($D97,'Visu totale'!$D:$DH,N$1,0),IF(LEFT(VLOOKUP($D97,'Visu totale'!$D:$DH,N$1,0),1)="V",IF(M97&gt;=INDEX('[1]Définition Maintenances'!$G:$G,MATCH($A97,'[1]Définition Maintenances'!$K:$K,0)),M97,INDEX('[1]Définition Maintenances'!$G:$G,MATCH($A97,'[1]Définition Maintenances'!$K:$K,0))+M97),M97))</f>
        <v>1000</v>
      </c>
      <c r="O97" s="26">
        <f>IF(ISNUMBER(VLOOKUP($D97,'Visu totale'!$D:$DH,O$1,0)),N97-VLOOKUP($D97,'Visu totale'!$D:$DH,O$1,0),IF(LEFT(VLOOKUP($D97,'Visu totale'!$D:$DH,O$1,0),1)="V",IF(N97&gt;=INDEX('[1]Définition Maintenances'!$G:$G,MATCH($A97,'[1]Définition Maintenances'!$K:$K,0)),N97,INDEX('[1]Définition Maintenances'!$G:$G,MATCH($A97,'[1]Définition Maintenances'!$K:$K,0))+N97),N97))</f>
        <v>1000</v>
      </c>
      <c r="P97" s="26">
        <f>IF(ISNUMBER(VLOOKUP($D97,'Visu totale'!$D:$DH,P$1,0)),O97-VLOOKUP($D97,'Visu totale'!$D:$DH,P$1,0),IF(LEFT(VLOOKUP($D97,'Visu totale'!$D:$DH,P$1,0),1)="V",IF(O97&gt;=INDEX('[1]Définition Maintenances'!$G:$G,MATCH($A97,'[1]Définition Maintenances'!$K:$K,0)),O97,INDEX('[1]Définition Maintenances'!$G:$G,MATCH($A97,'[1]Définition Maintenances'!$K:$K,0))+O97),O97))</f>
        <v>1000</v>
      </c>
      <c r="Q97" s="27">
        <f>IF(ISNUMBER(VLOOKUP($D97,'Visu totale'!$D:$DH,Q$1,0)),P97-VLOOKUP($D97,'Visu totale'!$D:$DH,Q$1,0),IF(LEFT(VLOOKUP($D97,'Visu totale'!$D:$DH,Q$1,0),1)="V",IF(P97&gt;=INDEX('[1]Définition Maintenances'!$G:$G,MATCH($A97,'[1]Définition Maintenances'!$K:$K,0)),P97,INDEX('[1]Définition Maintenances'!$G:$G,MATCH($A97,'[1]Définition Maintenances'!$K:$K,0))+P97),P97))</f>
        <v>1000</v>
      </c>
      <c r="R97" s="25">
        <f>IF(ISNUMBER(VLOOKUP($D97,'Visu totale'!$D:$DH,R$1,0)),Q97-VLOOKUP($D97,'Visu totale'!$D:$DH,R$1,0),IF(LEFT(VLOOKUP($D97,'Visu totale'!$D:$DH,R$1,0),1)="V",IF(Q97&gt;=INDEX('[1]Définition Maintenances'!$G:$G,MATCH($A97,'[1]Définition Maintenances'!$K:$K,0)),Q97,INDEX('[1]Définition Maintenances'!$G:$G,MATCH($A97,'[1]Définition Maintenances'!$K:$K,0))+Q97),Q97))</f>
        <v>1000</v>
      </c>
      <c r="S97" s="26">
        <f>IF(ISNUMBER(VLOOKUP($D97,'Visu totale'!$D:$DH,S$1,0)),R97-VLOOKUP($D97,'Visu totale'!$D:$DH,S$1,0),IF(LEFT(VLOOKUP($D97,'Visu totale'!$D:$DH,S$1,0),1)="V",IF(R97&gt;=INDEX('[1]Définition Maintenances'!$G:$G,MATCH($A97,'[1]Définition Maintenances'!$K:$K,0)),R97,INDEX('[1]Définition Maintenances'!$G:$G,MATCH($A97,'[1]Définition Maintenances'!$K:$K,0))+R97),R97))</f>
        <v>1000</v>
      </c>
      <c r="T97" s="26">
        <f>IF(ISNUMBER(VLOOKUP($D97,'Visu totale'!$D:$DH,T$1,0)),S97-VLOOKUP($D97,'Visu totale'!$D:$DH,T$1,0),IF(LEFT(VLOOKUP($D97,'Visu totale'!$D:$DH,T$1,0),1)="V",IF(S97&gt;=INDEX('[1]Définition Maintenances'!$G:$G,MATCH($A97,'[1]Définition Maintenances'!$K:$K,0)),S97,INDEX('[1]Définition Maintenances'!$G:$G,MATCH($A97,'[1]Définition Maintenances'!$K:$K,0))+S97),S97))</f>
        <v>1000</v>
      </c>
      <c r="U97" s="26">
        <f>IF(ISNUMBER(VLOOKUP($D97,'Visu totale'!$D:$DH,U$1,0)),T97-VLOOKUP($D97,'Visu totale'!$D:$DH,U$1,0),IF(LEFT(VLOOKUP($D97,'Visu totale'!$D:$DH,U$1,0),1)="V",IF(T97&gt;=INDEX('[1]Définition Maintenances'!$G:$G,MATCH($A97,'[1]Définition Maintenances'!$K:$K,0)),T97,INDEX('[1]Définition Maintenances'!$G:$G,MATCH($A97,'[1]Définition Maintenances'!$K:$K,0))+T97),T97))</f>
        <v>1000</v>
      </c>
      <c r="V97" s="26">
        <f>IF(ISNUMBER(VLOOKUP($D97,'Visu totale'!$D:$DH,V$1,0)),U97-VLOOKUP($D97,'Visu totale'!$D:$DH,V$1,0),IF(LEFT(VLOOKUP($D97,'Visu totale'!$D:$DH,V$1,0),1)="V",IF(U97&gt;=INDEX('[1]Définition Maintenances'!$G:$G,MATCH($A97,'[1]Définition Maintenances'!$K:$K,0)),U97,INDEX('[1]Définition Maintenances'!$G:$G,MATCH($A97,'[1]Définition Maintenances'!$K:$K,0))+U97),U97))</f>
        <v>1000</v>
      </c>
      <c r="W97" s="26">
        <f>IF(ISNUMBER(VLOOKUP($D97,'Visu totale'!$D:$DH,W$1,0)),V97-VLOOKUP($D97,'Visu totale'!$D:$DH,W$1,0),IF(LEFT(VLOOKUP($D97,'Visu totale'!$D:$DH,W$1,0),1)="V",IF(V97&gt;=INDEX('[1]Définition Maintenances'!$G:$G,MATCH($A97,'[1]Définition Maintenances'!$K:$K,0)),V97,INDEX('[1]Définition Maintenances'!$G:$G,MATCH($A97,'[1]Définition Maintenances'!$K:$K,0))+V97),V97))</f>
        <v>1000</v>
      </c>
      <c r="X97" s="26">
        <f>IF(ISNUMBER(VLOOKUP($D97,'Visu totale'!$D:$DH,X$1,0)),W97-VLOOKUP($D97,'Visu totale'!$D:$DH,X$1,0),IF(LEFT(VLOOKUP($D97,'Visu totale'!$D:$DH,X$1,0),1)="V",IF(W97&gt;=INDEX('[1]Définition Maintenances'!$G:$G,MATCH($A97,'[1]Définition Maintenances'!$K:$K,0)),W97,INDEX('[1]Définition Maintenances'!$G:$G,MATCH($A97,'[1]Définition Maintenances'!$K:$K,0))+W97),W97))</f>
        <v>1000</v>
      </c>
      <c r="Y97" s="26">
        <f>IF(ISNUMBER(VLOOKUP($D97,'Visu totale'!$D:$DH,Y$1,0)),X97-VLOOKUP($D97,'Visu totale'!$D:$DH,Y$1,0),IF(LEFT(VLOOKUP($D97,'Visu totale'!$D:$DH,Y$1,0),1)="V",IF(X97&gt;=INDEX('[1]Définition Maintenances'!$G:$G,MATCH($A97,'[1]Définition Maintenances'!$K:$K,0)),X97,INDEX('[1]Définition Maintenances'!$G:$G,MATCH($A97,'[1]Définition Maintenances'!$K:$K,0))+X97),X97))</f>
        <v>1000</v>
      </c>
      <c r="Z97" s="26">
        <f>IF(ISNUMBER(VLOOKUP($D97,'Visu totale'!$D:$DH,Z$1,0)),Y97-VLOOKUP($D97,'Visu totale'!$D:$DH,Z$1,0),IF(LEFT(VLOOKUP($D97,'Visu totale'!$D:$DH,Z$1,0),1)="V",IF(Y97&gt;=INDEX('[1]Définition Maintenances'!$G:$G,MATCH($A97,'[1]Définition Maintenances'!$K:$K,0)),Y97,INDEX('[1]Définition Maintenances'!$G:$G,MATCH($A97,'[1]Définition Maintenances'!$K:$K,0))+Y97),Y97))</f>
        <v>1000</v>
      </c>
      <c r="AA97" s="26">
        <f>IF(ISNUMBER(VLOOKUP($D97,'Visu totale'!$D:$DH,AA$1,0)),Z97-VLOOKUP($D97,'Visu totale'!$D:$DH,AA$1,0),IF(LEFT(VLOOKUP($D97,'Visu totale'!$D:$DH,AA$1,0),1)="V",IF(Z97&gt;=INDEX('[1]Définition Maintenances'!$G:$G,MATCH($A97,'[1]Définition Maintenances'!$K:$K,0)),Z97,INDEX('[1]Définition Maintenances'!$G:$G,MATCH($A97,'[1]Définition Maintenances'!$K:$K,0))+Z97),Z97))</f>
        <v>1000</v>
      </c>
      <c r="AB97" s="26">
        <f>IF(ISNUMBER(VLOOKUP($D97,'Visu totale'!$D:$DH,AB$1,0)),AA97-VLOOKUP($D97,'Visu totale'!$D:$DH,AB$1,0),IF(LEFT(VLOOKUP($D97,'Visu totale'!$D:$DH,AB$1,0),1)="V",IF(AA97&gt;=INDEX('[1]Définition Maintenances'!$G:$G,MATCH($A97,'[1]Définition Maintenances'!$K:$K,0)),AA97,INDEX('[1]Définition Maintenances'!$G:$G,MATCH($A97,'[1]Définition Maintenances'!$K:$K,0))+AA97),AA97))</f>
        <v>1000</v>
      </c>
      <c r="AC97" s="27">
        <f>IF(ISNUMBER(VLOOKUP($D97,'Visu totale'!$D:$DH,AC$1,0)),AB97-VLOOKUP($D97,'Visu totale'!$D:$DH,AC$1,0),IF(LEFT(VLOOKUP($D97,'Visu totale'!$D:$DH,AC$1,0),1)="V",IF(AB97&gt;=INDEX('[1]Définition Maintenances'!$G:$G,MATCH($A97,'[1]Définition Maintenances'!$K:$K,0)),AB97,INDEX('[1]Définition Maintenances'!$G:$G,MATCH($A97,'[1]Définition Maintenances'!$K:$K,0))+AB97),AB97))</f>
        <v>1000</v>
      </c>
      <c r="AD97" s="25">
        <f>IF(ISNUMBER(VLOOKUP($D97,'Visu totale'!$D:$DH,AD$1,0)),AC97-VLOOKUP($D97,'Visu totale'!$D:$DH,AD$1,0),IF(LEFT(VLOOKUP($D97,'Visu totale'!$D:$DH,AD$1,0),1)="V",IF(AC97&gt;=INDEX('[1]Définition Maintenances'!$G:$G,MATCH($A97,'[1]Définition Maintenances'!$K:$K,0)),AC97,INDEX('[1]Définition Maintenances'!$G:$G,MATCH($A97,'[1]Définition Maintenances'!$K:$K,0))+AC97),AC97))</f>
        <v>1000</v>
      </c>
      <c r="AE97" s="26">
        <f>IF(ISNUMBER(VLOOKUP($D97,'Visu totale'!$D:$DH,AE$1,0)),AD97-VLOOKUP($D97,'Visu totale'!$D:$DH,AE$1,0),IF(LEFT(VLOOKUP($D97,'Visu totale'!$D:$DH,AE$1,0),1)="V",IF(AD97&gt;=INDEX('[1]Définition Maintenances'!$G:$G,MATCH($A97,'[1]Définition Maintenances'!$K:$K,0)),AD97,INDEX('[1]Définition Maintenances'!$G:$G,MATCH($A97,'[1]Définition Maintenances'!$K:$K,0))+AD97),AD97))</f>
        <v>1000</v>
      </c>
      <c r="AF97" s="26">
        <f>IF(ISNUMBER(VLOOKUP($D97,'Visu totale'!$D:$DH,AF$1,0)),AE97-VLOOKUP($D97,'Visu totale'!$D:$DH,AF$1,0),IF(LEFT(VLOOKUP($D97,'Visu totale'!$D:$DH,AF$1,0),1)="V",IF(AE97&gt;=INDEX('[1]Définition Maintenances'!$G:$G,MATCH($A97,'[1]Définition Maintenances'!$K:$K,0)),AE97,INDEX('[1]Définition Maintenances'!$G:$G,MATCH($A97,'[1]Définition Maintenances'!$K:$K,0))+AE97),AE97))</f>
        <v>1000</v>
      </c>
      <c r="AG97" s="26">
        <f>IF(ISNUMBER(VLOOKUP($D97,'Visu totale'!$D:$DH,AG$1,0)),AF97-VLOOKUP($D97,'Visu totale'!$D:$DH,AG$1,0),IF(LEFT(VLOOKUP($D97,'Visu totale'!$D:$DH,AG$1,0),1)="V",IF(AF97&gt;=INDEX('[1]Définition Maintenances'!$G:$G,MATCH($A97,'[1]Définition Maintenances'!$K:$K,0)),AF97,INDEX('[1]Définition Maintenances'!$G:$G,MATCH($A97,'[1]Définition Maintenances'!$K:$K,0))+AF97),AF97))</f>
        <v>1000</v>
      </c>
      <c r="AH97" s="26">
        <f>IF(ISNUMBER(VLOOKUP($D97,'Visu totale'!$D:$DH,AH$1,0)),AG97-VLOOKUP($D97,'Visu totale'!$D:$DH,AH$1,0),IF(LEFT(VLOOKUP($D97,'Visu totale'!$D:$DH,AH$1,0),1)="V",IF(AG97&gt;=INDEX('[1]Définition Maintenances'!$G:$G,MATCH($A97,'[1]Définition Maintenances'!$K:$K,0)),AG97,INDEX('[1]Définition Maintenances'!$G:$G,MATCH($A97,'[1]Définition Maintenances'!$K:$K,0))+AG97),AG97))</f>
        <v>1000</v>
      </c>
      <c r="AI97" s="26">
        <f>IF(ISNUMBER(VLOOKUP($D97,'Visu totale'!$D:$DH,AI$1,0)),AH97-VLOOKUP($D97,'Visu totale'!$D:$DH,AI$1,0),IF(LEFT(VLOOKUP($D97,'Visu totale'!$D:$DH,AI$1,0),1)="V",IF(AH97&gt;=INDEX('[1]Définition Maintenances'!$G:$G,MATCH($A97,'[1]Définition Maintenances'!$K:$K,0)),AH97,INDEX('[1]Définition Maintenances'!$G:$G,MATCH($A97,'[1]Définition Maintenances'!$K:$K,0))+AH97),AH97))</f>
        <v>1000</v>
      </c>
      <c r="AJ97" s="26">
        <f>IF(ISNUMBER(VLOOKUP($D97,'Visu totale'!$D:$DH,AJ$1,0)),AI97-VLOOKUP($D97,'Visu totale'!$D:$DH,AJ$1,0),IF(LEFT(VLOOKUP($D97,'Visu totale'!$D:$DH,AJ$1,0),1)="V",IF(AI97&gt;=INDEX('[1]Définition Maintenances'!$G:$G,MATCH($A97,'[1]Définition Maintenances'!$K:$K,0)),AI97,INDEX('[1]Définition Maintenances'!$G:$G,MATCH($A97,'[1]Définition Maintenances'!$K:$K,0))+AI97),AI97))</f>
        <v>1000</v>
      </c>
      <c r="AK97" s="26">
        <f>IF(ISNUMBER(VLOOKUP($D97,'Visu totale'!$D:$DH,AK$1,0)),AJ97-VLOOKUP($D97,'Visu totale'!$D:$DH,AK$1,0),IF(LEFT(VLOOKUP($D97,'Visu totale'!$D:$DH,AK$1,0),1)="V",IF(AJ97&gt;=INDEX('[1]Définition Maintenances'!$G:$G,MATCH($A97,'[1]Définition Maintenances'!$K:$K,0)),AJ97,INDEX('[1]Définition Maintenances'!$G:$G,MATCH($A97,'[1]Définition Maintenances'!$K:$K,0))+AJ97),AJ97))</f>
        <v>1000</v>
      </c>
      <c r="AL97" s="26">
        <f>IF(ISNUMBER(VLOOKUP($D97,'Visu totale'!$D:$DH,AL$1,0)),AK97-VLOOKUP($D97,'Visu totale'!$D:$DH,AL$1,0),IF(LEFT(VLOOKUP($D97,'Visu totale'!$D:$DH,AL$1,0),1)="V",IF(AK97&gt;=INDEX('[1]Définition Maintenances'!$G:$G,MATCH($A97,'[1]Définition Maintenances'!$K:$K,0)),AK97,INDEX('[1]Définition Maintenances'!$G:$G,MATCH($A97,'[1]Définition Maintenances'!$K:$K,0))+AK97),AK97))</f>
        <v>1000</v>
      </c>
      <c r="AM97" s="26">
        <f>IF(ISNUMBER(VLOOKUP($D97,'Visu totale'!$D:$DH,AM$1,0)),AL97-VLOOKUP($D97,'Visu totale'!$D:$DH,AM$1,0),IF(LEFT(VLOOKUP($D97,'Visu totale'!$D:$DH,AM$1,0),1)="V",IF(AL97&gt;=INDEX('[1]Définition Maintenances'!$G:$G,MATCH($A97,'[1]Définition Maintenances'!$K:$K,0)),AL97,INDEX('[1]Définition Maintenances'!$G:$G,MATCH($A97,'[1]Définition Maintenances'!$K:$K,0))+AL97),AL97))</f>
        <v>1000</v>
      </c>
      <c r="AN97" s="26">
        <f>IF(ISNUMBER(VLOOKUP($D97,'Visu totale'!$D:$DH,AN$1,0)),AM97-VLOOKUP($D97,'Visu totale'!$D:$DH,AN$1,0),IF(LEFT(VLOOKUP($D97,'Visu totale'!$D:$DH,AN$1,0),1)="V",IF(AM97&gt;=INDEX('[1]Définition Maintenances'!$G:$G,MATCH($A97,'[1]Définition Maintenances'!$K:$K,0)),AM97,INDEX('[1]Définition Maintenances'!$G:$G,MATCH($A97,'[1]Définition Maintenances'!$K:$K,0))+AM97),AM97))</f>
        <v>1000</v>
      </c>
      <c r="AO97" s="27">
        <f>IF(ISNUMBER(VLOOKUP($D97,'Visu totale'!$D:$DH,AO$1,0)),AN97-VLOOKUP($D97,'Visu totale'!$D:$DH,AO$1,0),IF(LEFT(VLOOKUP($D97,'Visu totale'!$D:$DH,AO$1,0),1)="V",IF(AN97&gt;=INDEX('[1]Définition Maintenances'!$G:$G,MATCH($A97,'[1]Définition Maintenances'!$K:$K,0)),AN97,INDEX('[1]Définition Maintenances'!$G:$G,MATCH($A97,'[1]Définition Maintenances'!$K:$K,0))+AN97),AN97))</f>
        <v>1000</v>
      </c>
      <c r="AP97" s="25">
        <f>IF(ISNUMBER(VLOOKUP($D97,'Visu totale'!$D:$DH,AP$1,0)),AO97-VLOOKUP($D97,'Visu totale'!$D:$DH,AP$1,0),IF(LEFT(VLOOKUP($D97,'Visu totale'!$D:$DH,AP$1,0),1)="V",IF(AO97&gt;=INDEX('[1]Définition Maintenances'!$G:$G,MATCH($A97,'[1]Définition Maintenances'!$K:$K,0)),AO97,INDEX('[1]Définition Maintenances'!$G:$G,MATCH($A97,'[1]Définition Maintenances'!$K:$K,0))+AO97),AO97))</f>
        <v>1000</v>
      </c>
      <c r="AQ97" s="26">
        <f>IF(ISNUMBER(VLOOKUP($D97,'Visu totale'!$D:$DH,AQ$1,0)),AP97-VLOOKUP($D97,'Visu totale'!$D:$DH,AQ$1,0),IF(LEFT(VLOOKUP($D97,'Visu totale'!$D:$DH,AQ$1,0),1)="V",IF(AP97&gt;=INDEX('[1]Définition Maintenances'!$G:$G,MATCH($A97,'[1]Définition Maintenances'!$K:$K,0)),AP97,INDEX('[1]Définition Maintenances'!$G:$G,MATCH($A97,'[1]Définition Maintenances'!$K:$K,0))+AP97),AP97))</f>
        <v>1000</v>
      </c>
      <c r="AR97" s="26">
        <f>IF(ISNUMBER(VLOOKUP($D97,'Visu totale'!$D:$DH,AR$1,0)),AQ97-VLOOKUP($D97,'Visu totale'!$D:$DH,AR$1,0),IF(LEFT(VLOOKUP($D97,'Visu totale'!$D:$DH,AR$1,0),1)="V",IF(AQ97&gt;=INDEX('[1]Définition Maintenances'!$G:$G,MATCH($A97,'[1]Définition Maintenances'!$K:$K,0)),AQ97,INDEX('[1]Définition Maintenances'!$G:$G,MATCH($A97,'[1]Définition Maintenances'!$K:$K,0))+AQ97),AQ97))</f>
        <v>1000</v>
      </c>
      <c r="AS97" s="26">
        <f>IF(ISNUMBER(VLOOKUP($D97,'Visu totale'!$D:$DH,AS$1,0)),AR97-VLOOKUP($D97,'Visu totale'!$D:$DH,AS$1,0),IF(LEFT(VLOOKUP($D97,'Visu totale'!$D:$DH,AS$1,0),1)="V",IF(AR97&gt;=INDEX('[1]Définition Maintenances'!$G:$G,MATCH($A97,'[1]Définition Maintenances'!$K:$K,0)),AR97,INDEX('[1]Définition Maintenances'!$G:$G,MATCH($A97,'[1]Définition Maintenances'!$K:$K,0))+AR97),AR97))</f>
        <v>1000</v>
      </c>
      <c r="AT97" s="26">
        <f>IF(ISNUMBER(VLOOKUP($D97,'Visu totale'!$D:$DH,AT$1,0)),AS97-VLOOKUP($D97,'Visu totale'!$D:$DH,AT$1,0),IF(LEFT(VLOOKUP($D97,'Visu totale'!$D:$DH,AT$1,0),1)="V",IF(AS97&gt;=INDEX('[1]Définition Maintenances'!$G:$G,MATCH($A97,'[1]Définition Maintenances'!$K:$K,0)),AS97,INDEX('[1]Définition Maintenances'!$G:$G,MATCH($A97,'[1]Définition Maintenances'!$K:$K,0))+AS97),AS97))</f>
        <v>1000</v>
      </c>
      <c r="AU97" s="26">
        <f>IF(ISNUMBER(VLOOKUP($D97,'Visu totale'!$D:$DH,AU$1,0)),AT97-VLOOKUP($D97,'Visu totale'!$D:$DH,AU$1,0),IF(LEFT(VLOOKUP($D97,'Visu totale'!$D:$DH,AU$1,0),1)="V",IF(AT97&gt;=INDEX('[1]Définition Maintenances'!$G:$G,MATCH($A97,'[1]Définition Maintenances'!$K:$K,0)),AT97,INDEX('[1]Définition Maintenances'!$G:$G,MATCH($A97,'[1]Définition Maintenances'!$K:$K,0))+AT97),AT97))</f>
        <v>1000</v>
      </c>
      <c r="AV97" s="26">
        <f>IF(ISNUMBER(VLOOKUP($D97,'Visu totale'!$D:$DH,AV$1,0)),AU97-VLOOKUP($D97,'Visu totale'!$D:$DH,AV$1,0),IF(LEFT(VLOOKUP($D97,'Visu totale'!$D:$DH,AV$1,0),1)="V",IF(AU97&gt;=INDEX('[1]Définition Maintenances'!$G:$G,MATCH($A97,'[1]Définition Maintenances'!$K:$K,0)),AU97,INDEX('[1]Définition Maintenances'!$G:$G,MATCH($A97,'[1]Définition Maintenances'!$K:$K,0))+AU97),AU97))</f>
        <v>1000</v>
      </c>
      <c r="AW97" s="26">
        <f>IF(ISNUMBER(VLOOKUP($D97,'Visu totale'!$D:$DH,AW$1,0)),AV97-VLOOKUP($D97,'Visu totale'!$D:$DH,AW$1,0),IF(LEFT(VLOOKUP($D97,'Visu totale'!$D:$DH,AW$1,0),1)="V",IF(AV97&gt;=INDEX('[1]Définition Maintenances'!$G:$G,MATCH($A97,'[1]Définition Maintenances'!$K:$K,0)),AV97,INDEX('[1]Définition Maintenances'!$G:$G,MATCH($A97,'[1]Définition Maintenances'!$K:$K,0))+AV97),AV97))</f>
        <v>1000</v>
      </c>
      <c r="AX97" s="26">
        <f>IF(ISNUMBER(VLOOKUP($D97,'Visu totale'!$D:$DH,AX$1,0)),AW97-VLOOKUP($D97,'Visu totale'!$D:$DH,AX$1,0),IF(LEFT(VLOOKUP($D97,'Visu totale'!$D:$DH,AX$1,0),1)="V",IF(AW97&gt;=INDEX('[1]Définition Maintenances'!$G:$G,MATCH($A97,'[1]Définition Maintenances'!$K:$K,0)),AW97,INDEX('[1]Définition Maintenances'!$G:$G,MATCH($A97,'[1]Définition Maintenances'!$K:$K,0))+AW97),AW97))</f>
        <v>1000</v>
      </c>
      <c r="AY97" s="26">
        <f>IF(ISNUMBER(VLOOKUP($D97,'Visu totale'!$D:$DH,AY$1,0)),AX97-VLOOKUP($D97,'Visu totale'!$D:$DH,AY$1,0),IF(LEFT(VLOOKUP($D97,'Visu totale'!$D:$DH,AY$1,0),1)="V",IF(AX97&gt;=INDEX('[1]Définition Maintenances'!$G:$G,MATCH($A97,'[1]Définition Maintenances'!$K:$K,0)),AX97,INDEX('[1]Définition Maintenances'!$G:$G,MATCH($A97,'[1]Définition Maintenances'!$K:$K,0))+AX97),AX97))</f>
        <v>1000</v>
      </c>
      <c r="AZ97" s="26">
        <f>IF(ISNUMBER(VLOOKUP($D97,'Visu totale'!$D:$DH,AZ$1,0)),AY97-VLOOKUP($D97,'Visu totale'!$D:$DH,AZ$1,0),IF(LEFT(VLOOKUP($D97,'Visu totale'!$D:$DH,AZ$1,0),1)="V",IF(AY97&gt;=INDEX('[1]Définition Maintenances'!$G:$G,MATCH($A97,'[1]Définition Maintenances'!$K:$K,0)),AY97,INDEX('[1]Définition Maintenances'!$G:$G,MATCH($A97,'[1]Définition Maintenances'!$K:$K,0))+AY97),AY97))</f>
        <v>1000</v>
      </c>
      <c r="BA97" s="27">
        <f>IF(ISNUMBER(VLOOKUP($D97,'Visu totale'!$D:$DH,BA$1,0)),AZ97-VLOOKUP($D97,'Visu totale'!$D:$DH,BA$1,0),IF(LEFT(VLOOKUP($D97,'Visu totale'!$D:$DH,BA$1,0),1)="V",IF(AZ97&gt;=INDEX('[1]Définition Maintenances'!$G:$G,MATCH($A97,'[1]Définition Maintenances'!$K:$K,0)),AZ97,INDEX('[1]Définition Maintenances'!$G:$G,MATCH($A97,'[1]Définition Maintenances'!$K:$K,0))+AZ97),AZ97))</f>
        <v>1000</v>
      </c>
      <c r="BB97" s="25">
        <f>IF(ISNUMBER(VLOOKUP($D97,'Visu totale'!$D:$DH,BB$1,0)),BA97-VLOOKUP($D97,'Visu totale'!$D:$DH,BB$1,0),IF(LEFT(VLOOKUP($D97,'Visu totale'!$D:$DH,BB$1,0),1)="V",IF(BA97&gt;=INDEX('[1]Définition Maintenances'!$G:$G,MATCH($A97,'[1]Définition Maintenances'!$K:$K,0)),BA97,INDEX('[1]Définition Maintenances'!$G:$G,MATCH($A97,'[1]Définition Maintenances'!$K:$K,0))+BA97),BA97))</f>
        <v>1000</v>
      </c>
      <c r="BC97" s="26">
        <f>IF(ISNUMBER(VLOOKUP($D97,'Visu totale'!$D:$DH,BC$1,0)),BB97-VLOOKUP($D97,'Visu totale'!$D:$DH,BC$1,0),IF(LEFT(VLOOKUP($D97,'Visu totale'!$D:$DH,BC$1,0),1)="V",IF(BB97&gt;=INDEX('[1]Définition Maintenances'!$G:$G,MATCH($A97,'[1]Définition Maintenances'!$K:$K,0)),BB97,INDEX('[1]Définition Maintenances'!$G:$G,MATCH($A97,'[1]Définition Maintenances'!$K:$K,0))+BB97),BB97))</f>
        <v>1000</v>
      </c>
      <c r="BD97" s="26">
        <f>IF(ISNUMBER(VLOOKUP($D97,'Visu totale'!$D:$DH,BD$1,0)),BC97-VLOOKUP($D97,'Visu totale'!$D:$DH,BD$1,0),IF(LEFT(VLOOKUP($D97,'Visu totale'!$D:$DH,BD$1,0),1)="V",IF(BC97&gt;=INDEX('[1]Définition Maintenances'!$G:$G,MATCH($A97,'[1]Définition Maintenances'!$K:$K,0)),BC97,INDEX('[1]Définition Maintenances'!$G:$G,MATCH($A97,'[1]Définition Maintenances'!$K:$K,0))+BC97),BC97))</f>
        <v>1000</v>
      </c>
      <c r="BE97" s="26">
        <f>IF(ISNUMBER(VLOOKUP($D97,'Visu totale'!$D:$DH,BE$1,0)),BD97-VLOOKUP($D97,'Visu totale'!$D:$DH,BE$1,0),IF(LEFT(VLOOKUP($D97,'Visu totale'!$D:$DH,BE$1,0),1)="V",IF(BD97&gt;=INDEX('[1]Définition Maintenances'!$G:$G,MATCH($A97,'[1]Définition Maintenances'!$K:$K,0)),BD97,INDEX('[1]Définition Maintenances'!$G:$G,MATCH($A97,'[1]Définition Maintenances'!$K:$K,0))+BD97),BD97))</f>
        <v>1000</v>
      </c>
      <c r="BF97" s="26">
        <f>IF(ISNUMBER(VLOOKUP($D97,'Visu totale'!$D:$DH,BF$1,0)),BE97-VLOOKUP($D97,'Visu totale'!$D:$DH,BF$1,0),IF(LEFT(VLOOKUP($D97,'Visu totale'!$D:$DH,BF$1,0),1)="V",IF(BE97&gt;=INDEX('[1]Définition Maintenances'!$G:$G,MATCH($A97,'[1]Définition Maintenances'!$K:$K,0)),BE97,INDEX('[1]Définition Maintenances'!$G:$G,MATCH($A97,'[1]Définition Maintenances'!$K:$K,0))+BE97),BE97))</f>
        <v>1000</v>
      </c>
      <c r="BG97" s="26">
        <f>IF(ISNUMBER(VLOOKUP($D97,'Visu totale'!$D:$DH,BG$1,0)),BF97-VLOOKUP($D97,'Visu totale'!$D:$DH,BG$1,0),IF(LEFT(VLOOKUP($D97,'Visu totale'!$D:$DH,BG$1,0),1)="V",IF(BF97&gt;=INDEX('[1]Définition Maintenances'!$G:$G,MATCH($A97,'[1]Définition Maintenances'!$K:$K,0)),BF97,INDEX('[1]Définition Maintenances'!$G:$G,MATCH($A97,'[1]Définition Maintenances'!$K:$K,0))+BF97),BF97))</f>
        <v>1000</v>
      </c>
      <c r="BH97" s="26">
        <f>IF(ISNUMBER(VLOOKUP($D97,'Visu totale'!$D:$DH,BH$1,0)),BG97-VLOOKUP($D97,'Visu totale'!$D:$DH,BH$1,0),IF(LEFT(VLOOKUP($D97,'Visu totale'!$D:$DH,BH$1,0),1)="V",IF(BG97&gt;=INDEX('[1]Définition Maintenances'!$G:$G,MATCH($A97,'[1]Définition Maintenances'!$K:$K,0)),BG97,INDEX('[1]Définition Maintenances'!$G:$G,MATCH($A97,'[1]Définition Maintenances'!$K:$K,0))+BG97),BG97))</f>
        <v>1000</v>
      </c>
      <c r="BI97" s="26">
        <f>IF(ISNUMBER(VLOOKUP($D97,'Visu totale'!$D:$DH,BI$1,0)),BH97-VLOOKUP($D97,'Visu totale'!$D:$DH,BI$1,0),IF(LEFT(VLOOKUP($D97,'Visu totale'!$D:$DH,BI$1,0),1)="V",IF(BH97&gt;=INDEX('[1]Définition Maintenances'!$G:$G,MATCH($A97,'[1]Définition Maintenances'!$K:$K,0)),BH97,INDEX('[1]Définition Maintenances'!$G:$G,MATCH($A97,'[1]Définition Maintenances'!$K:$K,0))+BH97),BH97))</f>
        <v>1000</v>
      </c>
      <c r="BJ97" s="26">
        <f>IF(ISNUMBER(VLOOKUP($D97,'Visu totale'!$D:$DH,BJ$1,0)),BI97-VLOOKUP($D97,'Visu totale'!$D:$DH,BJ$1,0),IF(LEFT(VLOOKUP($D97,'Visu totale'!$D:$DH,BJ$1,0),1)="V",IF(BI97&gt;=INDEX('[1]Définition Maintenances'!$G:$G,MATCH($A97,'[1]Définition Maintenances'!$K:$K,0)),BI97,INDEX('[1]Définition Maintenances'!$G:$G,MATCH($A97,'[1]Définition Maintenances'!$K:$K,0))+BI97),BI97))</f>
        <v>1000</v>
      </c>
      <c r="BK97" s="26">
        <f>IF(ISNUMBER(VLOOKUP($D97,'Visu totale'!$D:$DH,BK$1,0)),BJ97-VLOOKUP($D97,'Visu totale'!$D:$DH,BK$1,0),IF(LEFT(VLOOKUP($D97,'Visu totale'!$D:$DH,BK$1,0),1)="V",IF(BJ97&gt;=INDEX('[1]Définition Maintenances'!$G:$G,MATCH($A97,'[1]Définition Maintenances'!$K:$K,0)),BJ97,INDEX('[1]Définition Maintenances'!$G:$G,MATCH($A97,'[1]Définition Maintenances'!$K:$K,0))+BJ97),BJ97))</f>
        <v>1000</v>
      </c>
      <c r="BL97" s="26">
        <f>IF(ISNUMBER(VLOOKUP($D97,'Visu totale'!$D:$DH,BL$1,0)),BK97-VLOOKUP($D97,'Visu totale'!$D:$DH,BL$1,0),IF(LEFT(VLOOKUP($D97,'Visu totale'!$D:$DH,BL$1,0),1)="V",IF(BK97&gt;=INDEX('[1]Définition Maintenances'!$G:$G,MATCH($A97,'[1]Définition Maintenances'!$K:$K,0)),BK97,INDEX('[1]Définition Maintenances'!$G:$G,MATCH($A97,'[1]Définition Maintenances'!$K:$K,0))+BK97),BK97))</f>
        <v>1000</v>
      </c>
      <c r="BM97" s="27">
        <f>IF(ISNUMBER(VLOOKUP($D97,'Visu totale'!$D:$DH,BM$1,0)),BL97-VLOOKUP($D97,'Visu totale'!$D:$DH,BM$1,0),IF(LEFT(VLOOKUP($D97,'Visu totale'!$D:$DH,BM$1,0),1)="V",IF(BL97&gt;=INDEX('[1]Définition Maintenances'!$G:$G,MATCH($A97,'[1]Définition Maintenances'!$K:$K,0)),BL97,INDEX('[1]Définition Maintenances'!$G:$G,MATCH($A97,'[1]Définition Maintenances'!$K:$K,0))+BL97),BL97))</f>
        <v>1000</v>
      </c>
      <c r="BN97" s="25">
        <f>IF(ISNUMBER(VLOOKUP($D97,'Visu totale'!$D:$DH,BN$1,0)),BM97-VLOOKUP($D97,'Visu totale'!$D:$DH,BN$1,0),IF(LEFT(VLOOKUP($D97,'Visu totale'!$D:$DH,BN$1,0),1)="V",IF(BM97&gt;=INDEX('[1]Définition Maintenances'!$G:$G,MATCH($A97,'[1]Définition Maintenances'!$K:$K,0)),BM97,INDEX('[1]Définition Maintenances'!$G:$G,MATCH($A97,'[1]Définition Maintenances'!$K:$K,0))+BM97),BM97))</f>
        <v>1000</v>
      </c>
      <c r="BO97" s="26">
        <f>IF(ISNUMBER(VLOOKUP($D97,'Visu totale'!$D:$DH,BO$1,0)),BN97-VLOOKUP($D97,'Visu totale'!$D:$DH,BO$1,0),IF(LEFT(VLOOKUP($D97,'Visu totale'!$D:$DH,BO$1,0),1)="V",IF(BN97&gt;=INDEX('[1]Définition Maintenances'!$G:$G,MATCH($A97,'[1]Définition Maintenances'!$K:$K,0)),BN97,INDEX('[1]Définition Maintenances'!$G:$G,MATCH($A97,'[1]Définition Maintenances'!$K:$K,0))+BN97),BN97))</f>
        <v>1000</v>
      </c>
      <c r="BP97" s="26">
        <f>IF(ISNUMBER(VLOOKUP($D97,'Visu totale'!$D:$DH,BP$1,0)),BO97-VLOOKUP($D97,'Visu totale'!$D:$DH,BP$1,0),IF(LEFT(VLOOKUP($D97,'Visu totale'!$D:$DH,BP$1,0),1)="V",IF(BO97&gt;=INDEX('[1]Définition Maintenances'!$G:$G,MATCH($A97,'[1]Définition Maintenances'!$K:$K,0)),BO97,INDEX('[1]Définition Maintenances'!$G:$G,MATCH($A97,'[1]Définition Maintenances'!$K:$K,0))+BO97),BO97))</f>
        <v>1000</v>
      </c>
      <c r="BQ97" s="26">
        <f>IF(ISNUMBER(VLOOKUP($D97,'Visu totale'!$D:$DH,BQ$1,0)),BP97-VLOOKUP($D97,'Visu totale'!$D:$DH,BQ$1,0),IF(LEFT(VLOOKUP($D97,'Visu totale'!$D:$DH,BQ$1,0),1)="V",IF(BP97&gt;=INDEX('[1]Définition Maintenances'!$G:$G,MATCH($A97,'[1]Définition Maintenances'!$K:$K,0)),BP97,INDEX('[1]Définition Maintenances'!$G:$G,MATCH($A97,'[1]Définition Maintenances'!$K:$K,0))+BP97),BP97))</f>
        <v>1000</v>
      </c>
      <c r="BR97" s="26">
        <f>IF(ISNUMBER(VLOOKUP($D97,'Visu totale'!$D:$DH,BR$1,0)),BQ97-VLOOKUP($D97,'Visu totale'!$D:$DH,BR$1,0),IF(LEFT(VLOOKUP($D97,'Visu totale'!$D:$DH,BR$1,0),1)="V",IF(BQ97&gt;=INDEX('[1]Définition Maintenances'!$G:$G,MATCH($A97,'[1]Définition Maintenances'!$K:$K,0)),BQ97,INDEX('[1]Définition Maintenances'!$G:$G,MATCH($A97,'[1]Définition Maintenances'!$K:$K,0))+BQ97),BQ97))</f>
        <v>1000</v>
      </c>
      <c r="BS97" s="26">
        <f>IF(ISNUMBER(VLOOKUP($D97,'Visu totale'!$D:$DH,BS$1,0)),BR97-VLOOKUP($D97,'Visu totale'!$D:$DH,BS$1,0),IF(LEFT(VLOOKUP($D97,'Visu totale'!$D:$DH,BS$1,0),1)="V",IF(BR97&gt;=INDEX('[1]Définition Maintenances'!$G:$G,MATCH($A97,'[1]Définition Maintenances'!$K:$K,0)),BR97,INDEX('[1]Définition Maintenances'!$G:$G,MATCH($A97,'[1]Définition Maintenances'!$K:$K,0))+BR97),BR97))</f>
        <v>1000</v>
      </c>
      <c r="BT97" s="26">
        <f>IF(ISNUMBER(VLOOKUP($D97,'Visu totale'!$D:$DH,BT$1,0)),BS97-VLOOKUP($D97,'Visu totale'!$D:$DH,BT$1,0),IF(LEFT(VLOOKUP($D97,'Visu totale'!$D:$DH,BT$1,0),1)="V",IF(BS97&gt;=INDEX('[1]Définition Maintenances'!$G:$G,MATCH($A97,'[1]Définition Maintenances'!$K:$K,0)),BS97,INDEX('[1]Définition Maintenances'!$G:$G,MATCH($A97,'[1]Définition Maintenances'!$K:$K,0))+BS97),BS97))</f>
        <v>1000</v>
      </c>
      <c r="BU97" s="26">
        <f>IF(ISNUMBER(VLOOKUP($D97,'Visu totale'!$D:$DH,BU$1,0)),BT97-VLOOKUP($D97,'Visu totale'!$D:$DH,BU$1,0),IF(LEFT(VLOOKUP($D97,'Visu totale'!$D:$DH,BU$1,0),1)="V",IF(BT97&gt;=INDEX('[1]Définition Maintenances'!$G:$G,MATCH($A97,'[1]Définition Maintenances'!$K:$K,0)),BT97,INDEX('[1]Définition Maintenances'!$G:$G,MATCH($A97,'[1]Définition Maintenances'!$K:$K,0))+BT97),BT97))</f>
        <v>1000</v>
      </c>
      <c r="BV97" s="26">
        <f>IF(ISNUMBER(VLOOKUP($D97,'Visu totale'!$D:$DH,BV$1,0)),BU97-VLOOKUP($D97,'Visu totale'!$D:$DH,BV$1,0),IF(LEFT(VLOOKUP($D97,'Visu totale'!$D:$DH,BV$1,0),1)="V",IF(BU97&gt;=INDEX('[1]Définition Maintenances'!$G:$G,MATCH($A97,'[1]Définition Maintenances'!$K:$K,0)),BU97,INDEX('[1]Définition Maintenances'!$G:$G,MATCH($A97,'[1]Définition Maintenances'!$K:$K,0))+BU97),BU97))</f>
        <v>1000</v>
      </c>
      <c r="BW97" s="26">
        <f>IF(ISNUMBER(VLOOKUP($D97,'Visu totale'!$D:$DH,BW$1,0)),BV97-VLOOKUP($D97,'Visu totale'!$D:$DH,BW$1,0),IF(LEFT(VLOOKUP($D97,'Visu totale'!$D:$DH,BW$1,0),1)="V",IF(BV97&gt;=INDEX('[1]Définition Maintenances'!$G:$G,MATCH($A97,'[1]Définition Maintenances'!$K:$K,0)),BV97,INDEX('[1]Définition Maintenances'!$G:$G,MATCH($A97,'[1]Définition Maintenances'!$K:$K,0))+BV97),BV97))</f>
        <v>1000</v>
      </c>
      <c r="BX97" s="26">
        <f>IF(ISNUMBER(VLOOKUP($D97,'Visu totale'!$D:$DH,BX$1,0)),BW97-VLOOKUP($D97,'Visu totale'!$D:$DH,BX$1,0),IF(LEFT(VLOOKUP($D97,'Visu totale'!$D:$DH,BX$1,0),1)="V",IF(BW97&gt;=INDEX('[1]Définition Maintenances'!$G:$G,MATCH($A97,'[1]Définition Maintenances'!$K:$K,0)),BW97,INDEX('[1]Définition Maintenances'!$G:$G,MATCH($A97,'[1]Définition Maintenances'!$K:$K,0))+BW97),BW97))</f>
        <v>1000</v>
      </c>
      <c r="BY97" s="27">
        <f>IF(ISNUMBER(VLOOKUP($D97,'Visu totale'!$D:$DH,BY$1,0)),BX97-VLOOKUP($D97,'Visu totale'!$D:$DH,BY$1,0),IF(LEFT(VLOOKUP($D97,'Visu totale'!$D:$DH,BY$1,0),1)="V",IF(BX97&gt;=INDEX('[1]Définition Maintenances'!$G:$G,MATCH($A97,'[1]Définition Maintenances'!$K:$K,0)),BX97,INDEX('[1]Définition Maintenances'!$G:$G,MATCH($A97,'[1]Définition Maintenances'!$K:$K,0))+BX97),BX97))</f>
        <v>1000</v>
      </c>
      <c r="BZ97" s="25">
        <f>IF(ISNUMBER(VLOOKUP($D97,'Visu totale'!$D:$DH,BZ$1,0)),BY97-VLOOKUP($D97,'Visu totale'!$D:$DH,BZ$1,0),IF(LEFT(VLOOKUP($D97,'Visu totale'!$D:$DH,BZ$1,0),1)="V",IF(BY97&gt;=INDEX('[1]Définition Maintenances'!$G:$G,MATCH($A97,'[1]Définition Maintenances'!$K:$K,0)),BY97,INDEX('[1]Définition Maintenances'!$G:$G,MATCH($A97,'[1]Définition Maintenances'!$K:$K,0))+BY97),BY97))</f>
        <v>1000</v>
      </c>
      <c r="CA97" s="26">
        <f>IF(ISNUMBER(VLOOKUP($D97,'Visu totale'!$D:$DH,CA$1,0)),BZ97-VLOOKUP($D97,'Visu totale'!$D:$DH,CA$1,0),IF(LEFT(VLOOKUP($D97,'Visu totale'!$D:$DH,CA$1,0),1)="V",IF(BZ97&gt;=INDEX('[1]Définition Maintenances'!$G:$G,MATCH($A97,'[1]Définition Maintenances'!$K:$K,0)),BZ97,INDEX('[1]Définition Maintenances'!$G:$G,MATCH($A97,'[1]Définition Maintenances'!$K:$K,0))+BZ97),BZ97))</f>
        <v>1000</v>
      </c>
      <c r="CB97" s="26">
        <f>IF(ISNUMBER(VLOOKUP($D97,'Visu totale'!$D:$DH,CB$1,0)),CA97-VLOOKUP($D97,'Visu totale'!$D:$DH,CB$1,0),IF(LEFT(VLOOKUP($D97,'Visu totale'!$D:$DH,CB$1,0),1)="V",IF(CA97&gt;=INDEX('[1]Définition Maintenances'!$G:$G,MATCH($A97,'[1]Définition Maintenances'!$K:$K,0)),CA97,INDEX('[1]Définition Maintenances'!$G:$G,MATCH($A97,'[1]Définition Maintenances'!$K:$K,0))+CA97),CA97))</f>
        <v>1000</v>
      </c>
      <c r="CC97" s="26">
        <f>IF(ISNUMBER(VLOOKUP($D97,'Visu totale'!$D:$DH,CC$1,0)),CB97-VLOOKUP($D97,'Visu totale'!$D:$DH,CC$1,0),IF(LEFT(VLOOKUP($D97,'Visu totale'!$D:$DH,CC$1,0),1)="V",IF(CB97&gt;=INDEX('[1]Définition Maintenances'!$G:$G,MATCH($A97,'[1]Définition Maintenances'!$K:$K,0)),CB97,INDEX('[1]Définition Maintenances'!$G:$G,MATCH($A97,'[1]Définition Maintenances'!$K:$K,0))+CB97),CB97))</f>
        <v>1000</v>
      </c>
      <c r="CD97" s="26">
        <f>IF(ISNUMBER(VLOOKUP($D97,'Visu totale'!$D:$DH,CD$1,0)),CC97-VLOOKUP($D97,'Visu totale'!$D:$DH,CD$1,0),IF(LEFT(VLOOKUP($D97,'Visu totale'!$D:$DH,CD$1,0),1)="V",IF(CC97&gt;=INDEX('[1]Définition Maintenances'!$G:$G,MATCH($A97,'[1]Définition Maintenances'!$K:$K,0)),CC97,INDEX('[1]Définition Maintenances'!$G:$G,MATCH($A97,'[1]Définition Maintenances'!$K:$K,0))+CC97),CC97))</f>
        <v>1000</v>
      </c>
      <c r="CE97" s="26">
        <f>IF(ISNUMBER(VLOOKUP($D97,'Visu totale'!$D:$DH,CE$1,0)),CD97-VLOOKUP($D97,'Visu totale'!$D:$DH,CE$1,0),IF(LEFT(VLOOKUP($D97,'Visu totale'!$D:$DH,CE$1,0),1)="V",IF(CD97&gt;=INDEX('[1]Définition Maintenances'!$G:$G,MATCH($A97,'[1]Définition Maintenances'!$K:$K,0)),CD97,INDEX('[1]Définition Maintenances'!$G:$G,MATCH($A97,'[1]Définition Maintenances'!$K:$K,0))+CD97),CD97))</f>
        <v>1000</v>
      </c>
      <c r="CF97" s="26">
        <f>IF(ISNUMBER(VLOOKUP($D97,'Visu totale'!$D:$DH,CF$1,0)),CE97-VLOOKUP($D97,'Visu totale'!$D:$DH,CF$1,0),IF(LEFT(VLOOKUP($D97,'Visu totale'!$D:$DH,CF$1,0),1)="V",IF(CE97&gt;=INDEX('[1]Définition Maintenances'!$G:$G,MATCH($A97,'[1]Définition Maintenances'!$K:$K,0)),CE97,INDEX('[1]Définition Maintenances'!$G:$G,MATCH($A97,'[1]Définition Maintenances'!$K:$K,0))+CE97),CE97))</f>
        <v>1000</v>
      </c>
      <c r="CG97" s="26">
        <f>IF(ISNUMBER(VLOOKUP($D97,'Visu totale'!$D:$DH,CG$1,0)),CF97-VLOOKUP($D97,'Visu totale'!$D:$DH,CG$1,0),IF(LEFT(VLOOKUP($D97,'Visu totale'!$D:$DH,CG$1,0),1)="V",IF(CF97&gt;=INDEX('[1]Définition Maintenances'!$G:$G,MATCH($A97,'[1]Définition Maintenances'!$K:$K,0)),CF97,INDEX('[1]Définition Maintenances'!$G:$G,MATCH($A97,'[1]Définition Maintenances'!$K:$K,0))+CF97),CF97))</f>
        <v>1000</v>
      </c>
      <c r="CH97" s="26">
        <f>IF(ISNUMBER(VLOOKUP($D97,'Visu totale'!$D:$DH,CH$1,0)),CG97-VLOOKUP($D97,'Visu totale'!$D:$DH,CH$1,0),IF(LEFT(VLOOKUP($D97,'Visu totale'!$D:$DH,CH$1,0),1)="V",IF(CG97&gt;=INDEX('[1]Définition Maintenances'!$G:$G,MATCH($A97,'[1]Définition Maintenances'!$K:$K,0)),CG97,INDEX('[1]Définition Maintenances'!$G:$G,MATCH($A97,'[1]Définition Maintenances'!$K:$K,0))+CG97),CG97))</f>
        <v>1000</v>
      </c>
      <c r="CI97" s="26">
        <f>IF(ISNUMBER(VLOOKUP($D97,'Visu totale'!$D:$DH,CI$1,0)),CH97-VLOOKUP($D97,'Visu totale'!$D:$DH,CI$1,0),IF(LEFT(VLOOKUP($D97,'Visu totale'!$D:$DH,CI$1,0),1)="V",IF(CH97&gt;=INDEX('[1]Définition Maintenances'!$G:$G,MATCH($A97,'[1]Définition Maintenances'!$K:$K,0)),CH97,INDEX('[1]Définition Maintenances'!$G:$G,MATCH($A97,'[1]Définition Maintenances'!$K:$K,0))+CH97),CH97))</f>
        <v>1000</v>
      </c>
      <c r="CJ97" s="26">
        <f>IF(ISNUMBER(VLOOKUP($D97,'Visu totale'!$D:$DH,CJ$1,0)),CI97-VLOOKUP($D97,'Visu totale'!$D:$DH,CJ$1,0),IF(LEFT(VLOOKUP($D97,'Visu totale'!$D:$DH,CJ$1,0),1)="V",IF(CI97&gt;=INDEX('[1]Définition Maintenances'!$G:$G,MATCH($A97,'[1]Définition Maintenances'!$K:$K,0)),CI97,INDEX('[1]Définition Maintenances'!$G:$G,MATCH($A97,'[1]Définition Maintenances'!$K:$K,0))+CI97),CI97))</f>
        <v>1000</v>
      </c>
      <c r="CK97" s="27">
        <f>IF(ISNUMBER(VLOOKUP($D97,'Visu totale'!$D:$DH,CK$1,0)),CJ97-VLOOKUP($D97,'Visu totale'!$D:$DH,CK$1,0),IF(LEFT(VLOOKUP($D97,'Visu totale'!$D:$DH,CK$1,0),1)="V",IF(CJ97&gt;=INDEX('[1]Définition Maintenances'!$G:$G,MATCH($A97,'[1]Définition Maintenances'!$K:$K,0)),CJ97,INDEX('[1]Définition Maintenances'!$G:$G,MATCH($A97,'[1]Définition Maintenances'!$K:$K,0))+CJ97),CJ97))</f>
        <v>1000</v>
      </c>
      <c r="CL97" s="25">
        <f>IF(ISNUMBER(VLOOKUP($D97,'Visu totale'!$D:$DH,CL$1,0)),CK97-VLOOKUP($D97,'Visu totale'!$D:$DH,CL$1,0),IF(LEFT(VLOOKUP($D97,'Visu totale'!$D:$DH,CL$1,0),1)="V",IF(CK97&gt;=INDEX('[1]Définition Maintenances'!$G:$G,MATCH($A97,'[1]Définition Maintenances'!$K:$K,0)),CK97,INDEX('[1]Définition Maintenances'!$G:$G,MATCH($A97,'[1]Définition Maintenances'!$K:$K,0))+CK97),CK97))</f>
        <v>1000</v>
      </c>
      <c r="CM97" s="26">
        <f>IF(ISNUMBER(VLOOKUP($D97,'Visu totale'!$D:$DH,CM$1,0)),CL97-VLOOKUP($D97,'Visu totale'!$D:$DH,CM$1,0),IF(LEFT(VLOOKUP($D97,'Visu totale'!$D:$DH,CM$1,0),1)="V",IF(CL97&gt;=INDEX('[1]Définition Maintenances'!$G:$G,MATCH($A97,'[1]Définition Maintenances'!$K:$K,0)),CL97,INDEX('[1]Définition Maintenances'!$G:$G,MATCH($A97,'[1]Définition Maintenances'!$K:$K,0))+CL97),CL97))</f>
        <v>1000</v>
      </c>
      <c r="CN97" s="26">
        <f>IF(ISNUMBER(VLOOKUP($D97,'Visu totale'!$D:$DH,CN$1,0)),CM97-VLOOKUP($D97,'Visu totale'!$D:$DH,CN$1,0),IF(LEFT(VLOOKUP($D97,'Visu totale'!$D:$DH,CN$1,0),1)="V",IF(CM97&gt;=INDEX('[1]Définition Maintenances'!$G:$G,MATCH($A97,'[1]Définition Maintenances'!$K:$K,0)),CM97,INDEX('[1]Définition Maintenances'!$G:$G,MATCH($A97,'[1]Définition Maintenances'!$K:$K,0))+CM97),CM97))</f>
        <v>1000</v>
      </c>
      <c r="CO97" s="26">
        <f>IF(ISNUMBER(VLOOKUP($D97,'Visu totale'!$D:$DH,CO$1,0)),CN97-VLOOKUP($D97,'Visu totale'!$D:$DH,CO$1,0),IF(LEFT(VLOOKUP($D97,'Visu totale'!$D:$DH,CO$1,0),1)="V",IF(CN97&gt;=INDEX('[1]Définition Maintenances'!$G:$G,MATCH($A97,'[1]Définition Maintenances'!$K:$K,0)),CN97,INDEX('[1]Définition Maintenances'!$G:$G,MATCH($A97,'[1]Définition Maintenances'!$K:$K,0))+CN97),CN97))</f>
        <v>1000</v>
      </c>
      <c r="CP97" s="26">
        <f>IF(ISNUMBER(VLOOKUP($D97,'Visu totale'!$D:$DH,CP$1,0)),CO97-VLOOKUP($D97,'Visu totale'!$D:$DH,CP$1,0),IF(LEFT(VLOOKUP($D97,'Visu totale'!$D:$DH,CP$1,0),1)="V",IF(CO97&gt;=INDEX('[1]Définition Maintenances'!$G:$G,MATCH($A97,'[1]Définition Maintenances'!$K:$K,0)),CO97,INDEX('[1]Définition Maintenances'!$G:$G,MATCH($A97,'[1]Définition Maintenances'!$K:$K,0))+CO97),CO97))</f>
        <v>1000</v>
      </c>
      <c r="CQ97" s="26">
        <f>IF(ISNUMBER(VLOOKUP($D97,'Visu totale'!$D:$DH,CQ$1,0)),CP97-VLOOKUP($D97,'Visu totale'!$D:$DH,CQ$1,0),IF(LEFT(VLOOKUP($D97,'Visu totale'!$D:$DH,CQ$1,0),1)="V",IF(CP97&gt;=INDEX('[1]Définition Maintenances'!$G:$G,MATCH($A97,'[1]Définition Maintenances'!$K:$K,0)),CP97,INDEX('[1]Définition Maintenances'!$G:$G,MATCH($A97,'[1]Définition Maintenances'!$K:$K,0))+CP97),CP97))</f>
        <v>1000</v>
      </c>
      <c r="CR97" s="26">
        <f>IF(ISNUMBER(VLOOKUP($D97,'Visu totale'!$D:$DH,CR$1,0)),CQ97-VLOOKUP($D97,'Visu totale'!$D:$DH,CR$1,0),IF(LEFT(VLOOKUP($D97,'Visu totale'!$D:$DH,CR$1,0),1)="V",IF(CQ97&gt;=INDEX('[1]Définition Maintenances'!$G:$G,MATCH($A97,'[1]Définition Maintenances'!$K:$K,0)),CQ97,INDEX('[1]Définition Maintenances'!$G:$G,MATCH($A97,'[1]Définition Maintenances'!$K:$K,0))+CQ97),CQ97))</f>
        <v>1000</v>
      </c>
      <c r="CS97" s="26">
        <f>IF(ISNUMBER(VLOOKUP($D97,'Visu totale'!$D:$DH,CS$1,0)),CR97-VLOOKUP($D97,'Visu totale'!$D:$DH,CS$1,0),IF(LEFT(VLOOKUP($D97,'Visu totale'!$D:$DH,CS$1,0),1)="V",IF(CR97&gt;=INDEX('[1]Définition Maintenances'!$G:$G,MATCH($A97,'[1]Définition Maintenances'!$K:$K,0)),CR97,INDEX('[1]Définition Maintenances'!$G:$G,MATCH($A97,'[1]Définition Maintenances'!$K:$K,0))+CR97),CR97))</f>
        <v>1000</v>
      </c>
      <c r="CT97" s="26">
        <f>IF(ISNUMBER(VLOOKUP($D97,'Visu totale'!$D:$DH,CT$1,0)),CS97-VLOOKUP($D97,'Visu totale'!$D:$DH,CT$1,0),IF(LEFT(VLOOKUP($D97,'Visu totale'!$D:$DH,CT$1,0),1)="V",IF(CS97&gt;=INDEX('[1]Définition Maintenances'!$G:$G,MATCH($A97,'[1]Définition Maintenances'!$K:$K,0)),CS97,INDEX('[1]Définition Maintenances'!$G:$G,MATCH($A97,'[1]Définition Maintenances'!$K:$K,0))+CS97),CS97))</f>
        <v>1000</v>
      </c>
      <c r="CU97" s="26">
        <f>IF(ISNUMBER(VLOOKUP($D97,'Visu totale'!$D:$DH,CU$1,0)),CT97-VLOOKUP($D97,'Visu totale'!$D:$DH,CU$1,0),IF(LEFT(VLOOKUP($D97,'Visu totale'!$D:$DH,CU$1,0),1)="V",IF(CT97&gt;=INDEX('[1]Définition Maintenances'!$G:$G,MATCH($A97,'[1]Définition Maintenances'!$K:$K,0)),CT97,INDEX('[1]Définition Maintenances'!$G:$G,MATCH($A97,'[1]Définition Maintenances'!$K:$K,0))+CT97),CT97))</f>
        <v>1000</v>
      </c>
      <c r="CV97" s="26">
        <f>IF(ISNUMBER(VLOOKUP($D97,'Visu totale'!$D:$DH,CV$1,0)),CU97-VLOOKUP($D97,'Visu totale'!$D:$DH,CV$1,0),IF(LEFT(VLOOKUP($D97,'Visu totale'!$D:$DH,CV$1,0),1)="V",IF(CU97&gt;=INDEX('[1]Définition Maintenances'!$G:$G,MATCH($A97,'[1]Définition Maintenances'!$K:$K,0)),CU97,INDEX('[1]Définition Maintenances'!$G:$G,MATCH($A97,'[1]Définition Maintenances'!$K:$K,0))+CU97),CU97))</f>
        <v>1000</v>
      </c>
      <c r="CW97" s="27">
        <f>IF(ISNUMBER(VLOOKUP($D97,'Visu totale'!$D:$DH,CW$1,0)),CV97-VLOOKUP($D97,'Visu totale'!$D:$DH,CW$1,0),IF(LEFT(VLOOKUP($D97,'Visu totale'!$D:$DH,CW$1,0),1)="V",IF(CV97&gt;=INDEX('[1]Définition Maintenances'!$G:$G,MATCH($A97,'[1]Définition Maintenances'!$K:$K,0)),CV97,INDEX('[1]Définition Maintenances'!$G:$G,MATCH($A97,'[1]Définition Maintenances'!$K:$K,0))+CV97),CV97))</f>
        <v>1000</v>
      </c>
      <c r="CX97" s="25">
        <f>IF(ISNUMBER(VLOOKUP($D97,'Visu totale'!$D:$DH,CX$1,0)),CW97-VLOOKUP($D97,'Visu totale'!$D:$DH,CX$1,0),IF(LEFT(VLOOKUP($D97,'Visu totale'!$D:$DH,CX$1,0),1)="V",IF(CW97&gt;=INDEX('[1]Définition Maintenances'!$G:$G,MATCH($A97,'[1]Définition Maintenances'!$K:$K,0)),CW97,INDEX('[1]Définition Maintenances'!$G:$G,MATCH($A97,'[1]Définition Maintenances'!$K:$K,0))+CW97),CW97))</f>
        <v>1000</v>
      </c>
      <c r="CY97" s="26">
        <f>IF(ISNUMBER(VLOOKUP($D97,'Visu totale'!$D:$DH,CY$1,0)),CX97-VLOOKUP($D97,'Visu totale'!$D:$DH,CY$1,0),IF(LEFT(VLOOKUP($D97,'Visu totale'!$D:$DH,CY$1,0),1)="V",IF(CX97&gt;=INDEX('[1]Définition Maintenances'!$G:$G,MATCH($A97,'[1]Définition Maintenances'!$K:$K,0)),CX97,INDEX('[1]Définition Maintenances'!$G:$G,MATCH($A97,'[1]Définition Maintenances'!$K:$K,0))+CX97),CX97))</f>
        <v>1000</v>
      </c>
      <c r="CZ97" s="26">
        <f>IF(ISNUMBER(VLOOKUP($D97,'Visu totale'!$D:$DH,CZ$1,0)),CY97-VLOOKUP($D97,'Visu totale'!$D:$DH,CZ$1,0),IF(LEFT(VLOOKUP($D97,'Visu totale'!$D:$DH,CZ$1,0),1)="V",IF(CY97&gt;=INDEX('[1]Définition Maintenances'!$G:$G,MATCH($A97,'[1]Définition Maintenances'!$K:$K,0)),CY97,INDEX('[1]Définition Maintenances'!$G:$G,MATCH($A97,'[1]Définition Maintenances'!$K:$K,0))+CY97),CY97))</f>
        <v>1000</v>
      </c>
      <c r="DA97" s="26">
        <f>IF(ISNUMBER(VLOOKUP($D97,'Visu totale'!$D:$DH,DA$1,0)),CZ97-VLOOKUP($D97,'Visu totale'!$D:$DH,DA$1,0),IF(LEFT(VLOOKUP($D97,'Visu totale'!$D:$DH,DA$1,0),1)="V",IF(CZ97&gt;=INDEX('[1]Définition Maintenances'!$G:$G,MATCH($A97,'[1]Définition Maintenances'!$K:$K,0)),CZ97,INDEX('[1]Définition Maintenances'!$G:$G,MATCH($A97,'[1]Définition Maintenances'!$K:$K,0))+CZ97),CZ97))</f>
        <v>1000</v>
      </c>
      <c r="DB97" s="26">
        <f>IF(ISNUMBER(VLOOKUP($D97,'Visu totale'!$D:$DH,DB$1,0)),DA97-VLOOKUP($D97,'Visu totale'!$D:$DH,DB$1,0),IF(LEFT(VLOOKUP($D97,'Visu totale'!$D:$DH,DB$1,0),1)="V",IF(DA97&gt;=INDEX('[1]Définition Maintenances'!$G:$G,MATCH($A97,'[1]Définition Maintenances'!$K:$K,0)),DA97,INDEX('[1]Définition Maintenances'!$G:$G,MATCH($A97,'[1]Définition Maintenances'!$K:$K,0))+DA97),DA97))</f>
        <v>1000</v>
      </c>
      <c r="DC97" s="26">
        <f>IF(ISNUMBER(VLOOKUP($D97,'Visu totale'!$D:$DH,DC$1,0)),DB97-VLOOKUP($D97,'Visu totale'!$D:$DH,DC$1,0),IF(LEFT(VLOOKUP($D97,'Visu totale'!$D:$DH,DC$1,0),1)="V",IF(DB97&gt;=INDEX('[1]Définition Maintenances'!$G:$G,MATCH($A97,'[1]Définition Maintenances'!$K:$K,0)),DB97,INDEX('[1]Définition Maintenances'!$G:$G,MATCH($A97,'[1]Définition Maintenances'!$K:$K,0))+DB97),DB97))</f>
        <v>1000</v>
      </c>
      <c r="DD97" s="26">
        <f>IF(ISNUMBER(VLOOKUP($D97,'Visu totale'!$D:$DH,DD$1,0)),DC97-VLOOKUP($D97,'Visu totale'!$D:$DH,DD$1,0),IF(LEFT(VLOOKUP($D97,'Visu totale'!$D:$DH,DD$1,0),1)="V",IF(DC97&gt;=INDEX('[1]Définition Maintenances'!$G:$G,MATCH($A97,'[1]Définition Maintenances'!$K:$K,0)),DC97,INDEX('[1]Définition Maintenances'!$G:$G,MATCH($A97,'[1]Définition Maintenances'!$K:$K,0))+DC97),DC97))</f>
        <v>1000</v>
      </c>
      <c r="DE97" s="26">
        <f>IF(ISNUMBER(VLOOKUP($D97,'Visu totale'!$D:$DH,DE$1,0)),DD97-VLOOKUP($D97,'Visu totale'!$D:$DH,DE$1,0),IF(LEFT(VLOOKUP($D97,'Visu totale'!$D:$DH,DE$1,0),1)="V",IF(DD97&gt;=INDEX('[1]Définition Maintenances'!$G:$G,MATCH($A97,'[1]Définition Maintenances'!$K:$K,0)),DD97,INDEX('[1]Définition Maintenances'!$G:$G,MATCH($A97,'[1]Définition Maintenances'!$K:$K,0))+DD97),DD97))</f>
        <v>1000</v>
      </c>
      <c r="DF97" s="26">
        <f>IF(ISNUMBER(VLOOKUP($D97,'Visu totale'!$D:$DH,DF$1,0)),DE97-VLOOKUP($D97,'Visu totale'!$D:$DH,DF$1,0),IF(LEFT(VLOOKUP($D97,'Visu totale'!$D:$DH,DF$1,0),1)="V",IF(DE97&gt;=INDEX('[1]Définition Maintenances'!$G:$G,MATCH($A97,'[1]Définition Maintenances'!$K:$K,0)),DE97,INDEX('[1]Définition Maintenances'!$G:$G,MATCH($A97,'[1]Définition Maintenances'!$K:$K,0))+DE97),DE97))</f>
        <v>1000</v>
      </c>
      <c r="DG97" s="26">
        <f>IF(ISNUMBER(VLOOKUP($D97,'Visu totale'!$D:$DH,DG$1,0)),DF97-VLOOKUP($D97,'Visu totale'!$D:$DH,DG$1,0),IF(LEFT(VLOOKUP($D97,'Visu totale'!$D:$DH,DG$1,0),1)="V",IF(DF97&gt;=INDEX('[1]Définition Maintenances'!$G:$G,MATCH($A97,'[1]Définition Maintenances'!$K:$K,0)),DF97,INDEX('[1]Définition Maintenances'!$G:$G,MATCH($A97,'[1]Définition Maintenances'!$K:$K,0))+DF97),DF97))</f>
        <v>1000</v>
      </c>
      <c r="DH97" s="26">
        <f>IF(ISNUMBER(VLOOKUP($D97,'Visu totale'!$D:$DH,DH$1,0)),DG97-VLOOKUP($D97,'Visu totale'!$D:$DH,DH$1,0),IF(LEFT(VLOOKUP($D97,'Visu totale'!$D:$DH,DH$1,0),1)="V",IF(DG97&gt;=INDEX('[1]Définition Maintenances'!$G:$G,MATCH($A97,'[1]Définition Maintenances'!$K:$K,0)),DG97,INDEX('[1]Définition Maintenances'!$G:$G,MATCH($A97,'[1]Définition Maintenances'!$K:$K,0))+DG97),DG97))</f>
        <v>1000</v>
      </c>
      <c r="DI97" s="27">
        <f>IF(ISNUMBER(VLOOKUP($D97,'Visu totale'!$D:$DH,DI$1,0)),DH97-VLOOKUP($D97,'Visu totale'!$D:$DH,DI$1,0),IF(LEFT(VLOOKUP($D97,'Visu totale'!$D:$DH,DI$1,0),1)="V",IF(DH97&gt;=INDEX('[1]Définition Maintenances'!$G:$G,MATCH($A97,'[1]Définition Maintenances'!$K:$K,0)),DH97,INDEX('[1]Définition Maintenances'!$G:$G,MATCH($A97,'[1]Définition Maintenances'!$K:$K,0))+DH97),DH97))</f>
        <v>1000</v>
      </c>
    </row>
    <row r="98" spans="1:113" x14ac:dyDescent="0.25">
      <c r="A98" s="13" t="str">
        <f t="shared" si="2"/>
        <v>V10C</v>
      </c>
      <c r="B98" s="13" t="str">
        <f>VLOOKUP(D98,'[1]Avions (Potentiels)'!$B$2:$H$128,7,FALSE)</f>
        <v>V10</v>
      </c>
      <c r="C98" s="13"/>
      <c r="D98" s="16" t="s">
        <v>101</v>
      </c>
      <c r="E98" s="13">
        <f>IFERROR(VALUE(SUBSTITUTE(VLOOKUP(D98,'[1]Avions (Potentiels)'!$B:$E,4,0),".",",")),VALUE(VLOOKUP(D98,'[1]Avions (Potentiels)'!$B:$E,4,0)))</f>
        <v>114</v>
      </c>
      <c r="F98" s="25">
        <f>IF(ISNUMBER(VLOOKUP($D98,'Visu totale'!$D:$DH,F$1,0)),E98-VLOOKUP($D98,'Visu totale'!$D:$DH,F$1,0),IF(LEFT(VLOOKUP($D98,'Visu totale'!$D:$DH,F$1,0),1)="V",IF(E98&gt;=INDEX('[1]Définition Maintenances'!$G:$G,MATCH($A98,'[1]Définition Maintenances'!$K:$K,0)),E98,INDEX('[1]Définition Maintenances'!$G:$G,MATCH($A98,'[1]Définition Maintenances'!$K:$K,0))+E98),E98))</f>
        <v>114</v>
      </c>
      <c r="G98" s="26">
        <f>IF(ISNUMBER(VLOOKUP($D98,'Visu totale'!$D:$DH,G$1,0)),F98-VLOOKUP($D98,'Visu totale'!$D:$DH,G$1,0),IF(LEFT(VLOOKUP($D98,'Visu totale'!$D:$DH,G$1,0),1)="V",IF(F98&gt;=INDEX('[1]Définition Maintenances'!$G:$G,MATCH($A98,'[1]Définition Maintenances'!$K:$K,0)),F98,INDEX('[1]Définition Maintenances'!$G:$G,MATCH($A98,'[1]Définition Maintenances'!$K:$K,0))+F98),F98))</f>
        <v>114</v>
      </c>
      <c r="H98" s="26">
        <f>IF(ISNUMBER(VLOOKUP($D98,'Visu totale'!$D:$DH,H$1,0)),G98-VLOOKUP($D98,'Visu totale'!$D:$DH,H$1,0),IF(LEFT(VLOOKUP($D98,'Visu totale'!$D:$DH,H$1,0),1)="V",IF(G98&gt;=INDEX('[1]Définition Maintenances'!$G:$G,MATCH($A98,'[1]Définition Maintenances'!$K:$K,0)),G98,INDEX('[1]Définition Maintenances'!$G:$G,MATCH($A98,'[1]Définition Maintenances'!$K:$K,0))+G98),G98))</f>
        <v>114</v>
      </c>
      <c r="I98" s="26">
        <f>IF(ISNUMBER(VLOOKUP($D98,'Visu totale'!$D:$DH,I$1,0)),H98-VLOOKUP($D98,'Visu totale'!$D:$DH,I$1,0),IF(LEFT(VLOOKUP($D98,'Visu totale'!$D:$DH,I$1,0),1)="V",IF(H98&gt;=INDEX('[1]Définition Maintenances'!$G:$G,MATCH($A98,'[1]Définition Maintenances'!$K:$K,0)),H98,INDEX('[1]Définition Maintenances'!$G:$G,MATCH($A98,'[1]Définition Maintenances'!$K:$K,0))+H98),H98))</f>
        <v>114</v>
      </c>
      <c r="J98" s="26">
        <f>IF(ISNUMBER(VLOOKUP($D98,'Visu totale'!$D:$DH,J$1,0)),I98-VLOOKUP($D98,'Visu totale'!$D:$DH,J$1,0),IF(LEFT(VLOOKUP($D98,'Visu totale'!$D:$DH,J$1,0),1)="V",IF(I98&gt;=INDEX('[1]Définition Maintenances'!$G:$G,MATCH($A98,'[1]Définition Maintenances'!$K:$K,0)),I98,INDEX('[1]Définition Maintenances'!$G:$G,MATCH($A98,'[1]Définition Maintenances'!$K:$K,0))+I98),I98))</f>
        <v>114</v>
      </c>
      <c r="K98" s="26">
        <f>IF(ISNUMBER(VLOOKUP($D98,'Visu totale'!$D:$DH,K$1,0)),J98-VLOOKUP($D98,'Visu totale'!$D:$DH,K$1,0),IF(LEFT(VLOOKUP($D98,'Visu totale'!$D:$DH,K$1,0),1)="V",IF(J98&gt;=INDEX('[1]Définition Maintenances'!$G:$G,MATCH($A98,'[1]Définition Maintenances'!$K:$K,0)),J98,INDEX('[1]Définition Maintenances'!$G:$G,MATCH($A98,'[1]Définition Maintenances'!$K:$K,0))+J98),J98))</f>
        <v>114</v>
      </c>
      <c r="L98" s="26">
        <f>IF(ISNUMBER(VLOOKUP($D98,'Visu totale'!$D:$DH,L$1,0)),K98-VLOOKUP($D98,'Visu totale'!$D:$DH,L$1,0),IF(LEFT(VLOOKUP($D98,'Visu totale'!$D:$DH,L$1,0),1)="V",IF(K98&gt;=INDEX('[1]Définition Maintenances'!$G:$G,MATCH($A98,'[1]Définition Maintenances'!$K:$K,0)),K98,INDEX('[1]Définition Maintenances'!$G:$G,MATCH($A98,'[1]Définition Maintenances'!$K:$K,0))+K98),K98))</f>
        <v>114</v>
      </c>
      <c r="M98" s="26">
        <f>IF(ISNUMBER(VLOOKUP($D98,'Visu totale'!$D:$DH,M$1,0)),L98-VLOOKUP($D98,'Visu totale'!$D:$DH,M$1,0),IF(LEFT(VLOOKUP($D98,'Visu totale'!$D:$DH,M$1,0),1)="V",IF(L98&gt;=INDEX('[1]Définition Maintenances'!$G:$G,MATCH($A98,'[1]Définition Maintenances'!$K:$K,0)),L98,INDEX('[1]Définition Maintenances'!$G:$G,MATCH($A98,'[1]Définition Maintenances'!$K:$K,0))+L98),L98))</f>
        <v>114</v>
      </c>
      <c r="N98" s="26">
        <f>IF(ISNUMBER(VLOOKUP($D98,'Visu totale'!$D:$DH,N$1,0)),M98-VLOOKUP($D98,'Visu totale'!$D:$DH,N$1,0),IF(LEFT(VLOOKUP($D98,'Visu totale'!$D:$DH,N$1,0),1)="V",IF(M98&gt;=INDEX('[1]Définition Maintenances'!$G:$G,MATCH($A98,'[1]Définition Maintenances'!$K:$K,0)),M98,INDEX('[1]Définition Maintenances'!$G:$G,MATCH($A98,'[1]Définition Maintenances'!$K:$K,0))+M98),M98))</f>
        <v>114</v>
      </c>
      <c r="O98" s="26">
        <f>IF(ISNUMBER(VLOOKUP($D98,'Visu totale'!$D:$DH,O$1,0)),N98-VLOOKUP($D98,'Visu totale'!$D:$DH,O$1,0),IF(LEFT(VLOOKUP($D98,'Visu totale'!$D:$DH,O$1,0),1)="V",IF(N98&gt;=INDEX('[1]Définition Maintenances'!$G:$G,MATCH($A98,'[1]Définition Maintenances'!$K:$K,0)),N98,INDEX('[1]Définition Maintenances'!$G:$G,MATCH($A98,'[1]Définition Maintenances'!$K:$K,0))+N98),N98))</f>
        <v>114</v>
      </c>
      <c r="P98" s="26">
        <f>IF(ISNUMBER(VLOOKUP($D98,'Visu totale'!$D:$DH,P$1,0)),O98-VLOOKUP($D98,'Visu totale'!$D:$DH,P$1,0),IF(LEFT(VLOOKUP($D98,'Visu totale'!$D:$DH,P$1,0),1)="V",IF(O98&gt;=INDEX('[1]Définition Maintenances'!$G:$G,MATCH($A98,'[1]Définition Maintenances'!$K:$K,0)),O98,INDEX('[1]Définition Maintenances'!$G:$G,MATCH($A98,'[1]Définition Maintenances'!$K:$K,0))+O98),O98))</f>
        <v>114</v>
      </c>
      <c r="Q98" s="27">
        <f>IF(ISNUMBER(VLOOKUP($D98,'Visu totale'!$D:$DH,Q$1,0)),P98-VLOOKUP($D98,'Visu totale'!$D:$DH,Q$1,0),IF(LEFT(VLOOKUP($D98,'Visu totale'!$D:$DH,Q$1,0),1)="V",IF(P98&gt;=INDEX('[1]Définition Maintenances'!$G:$G,MATCH($A98,'[1]Définition Maintenances'!$K:$K,0)),P98,INDEX('[1]Définition Maintenances'!$G:$G,MATCH($A98,'[1]Définition Maintenances'!$K:$K,0))+P98),P98))</f>
        <v>114</v>
      </c>
      <c r="R98" s="25">
        <f>IF(ISNUMBER(VLOOKUP($D98,'Visu totale'!$D:$DH,R$1,0)),Q98-VLOOKUP($D98,'Visu totale'!$D:$DH,R$1,0),IF(LEFT(VLOOKUP($D98,'Visu totale'!$D:$DH,R$1,0),1)="V",IF(Q98&gt;=INDEX('[1]Définition Maintenances'!$G:$G,MATCH($A98,'[1]Définition Maintenances'!$K:$K,0)),Q98,INDEX('[1]Définition Maintenances'!$G:$G,MATCH($A98,'[1]Définition Maintenances'!$K:$K,0))+Q98),Q98))</f>
        <v>114</v>
      </c>
      <c r="S98" s="26">
        <f>IF(ISNUMBER(VLOOKUP($D98,'Visu totale'!$D:$DH,S$1,0)),R98-VLOOKUP($D98,'Visu totale'!$D:$DH,S$1,0),IF(LEFT(VLOOKUP($D98,'Visu totale'!$D:$DH,S$1,0),1)="V",IF(R98&gt;=INDEX('[1]Définition Maintenances'!$G:$G,MATCH($A98,'[1]Définition Maintenances'!$K:$K,0)),R98,INDEX('[1]Définition Maintenances'!$G:$G,MATCH($A98,'[1]Définition Maintenances'!$K:$K,0))+R98),R98))</f>
        <v>114</v>
      </c>
      <c r="T98" s="26">
        <f>IF(ISNUMBER(VLOOKUP($D98,'Visu totale'!$D:$DH,T$1,0)),S98-VLOOKUP($D98,'Visu totale'!$D:$DH,T$1,0),IF(LEFT(VLOOKUP($D98,'Visu totale'!$D:$DH,T$1,0),1)="V",IF(S98&gt;=INDEX('[1]Définition Maintenances'!$G:$G,MATCH($A98,'[1]Définition Maintenances'!$K:$K,0)),S98,INDEX('[1]Définition Maintenances'!$G:$G,MATCH($A98,'[1]Définition Maintenances'!$K:$K,0))+S98),S98))</f>
        <v>114</v>
      </c>
      <c r="U98" s="26">
        <f>IF(ISNUMBER(VLOOKUP($D98,'Visu totale'!$D:$DH,U$1,0)),T98-VLOOKUP($D98,'Visu totale'!$D:$DH,U$1,0),IF(LEFT(VLOOKUP($D98,'Visu totale'!$D:$DH,U$1,0),1)="V",IF(T98&gt;=INDEX('[1]Définition Maintenances'!$G:$G,MATCH($A98,'[1]Définition Maintenances'!$K:$K,0)),T98,INDEX('[1]Définition Maintenances'!$G:$G,MATCH($A98,'[1]Définition Maintenances'!$K:$K,0))+T98),T98))</f>
        <v>114</v>
      </c>
      <c r="V98" s="26">
        <f>IF(ISNUMBER(VLOOKUP($D98,'Visu totale'!$D:$DH,V$1,0)),U98-VLOOKUP($D98,'Visu totale'!$D:$DH,V$1,0),IF(LEFT(VLOOKUP($D98,'Visu totale'!$D:$DH,V$1,0),1)="V",IF(U98&gt;=INDEX('[1]Définition Maintenances'!$G:$G,MATCH($A98,'[1]Définition Maintenances'!$K:$K,0)),U98,INDEX('[1]Définition Maintenances'!$G:$G,MATCH($A98,'[1]Définition Maintenances'!$K:$K,0))+U98),U98))</f>
        <v>114</v>
      </c>
      <c r="W98" s="26">
        <f>IF(ISNUMBER(VLOOKUP($D98,'Visu totale'!$D:$DH,W$1,0)),V98-VLOOKUP($D98,'Visu totale'!$D:$DH,W$1,0),IF(LEFT(VLOOKUP($D98,'Visu totale'!$D:$DH,W$1,0),1)="V",IF(V98&gt;=INDEX('[1]Définition Maintenances'!$G:$G,MATCH($A98,'[1]Définition Maintenances'!$K:$K,0)),V98,INDEX('[1]Définition Maintenances'!$G:$G,MATCH($A98,'[1]Définition Maintenances'!$K:$K,0))+V98),V98))</f>
        <v>114</v>
      </c>
      <c r="X98" s="26">
        <f>IF(ISNUMBER(VLOOKUP($D98,'Visu totale'!$D:$DH,X$1,0)),W98-VLOOKUP($D98,'Visu totale'!$D:$DH,X$1,0),IF(LEFT(VLOOKUP($D98,'Visu totale'!$D:$DH,X$1,0),1)="V",IF(W98&gt;=INDEX('[1]Définition Maintenances'!$G:$G,MATCH($A98,'[1]Définition Maintenances'!$K:$K,0)),W98,INDEX('[1]Définition Maintenances'!$G:$G,MATCH($A98,'[1]Définition Maintenances'!$K:$K,0))+W98),W98))</f>
        <v>114</v>
      </c>
      <c r="Y98" s="26">
        <f>IF(ISNUMBER(VLOOKUP($D98,'Visu totale'!$D:$DH,Y$1,0)),X98-VLOOKUP($D98,'Visu totale'!$D:$DH,Y$1,0),IF(LEFT(VLOOKUP($D98,'Visu totale'!$D:$DH,Y$1,0),1)="V",IF(X98&gt;=INDEX('[1]Définition Maintenances'!$G:$G,MATCH($A98,'[1]Définition Maintenances'!$K:$K,0)),X98,INDEX('[1]Définition Maintenances'!$G:$G,MATCH($A98,'[1]Définition Maintenances'!$K:$K,0))+X98),X98))</f>
        <v>114</v>
      </c>
      <c r="Z98" s="26">
        <f>IF(ISNUMBER(VLOOKUP($D98,'Visu totale'!$D:$DH,Z$1,0)),Y98-VLOOKUP($D98,'Visu totale'!$D:$DH,Z$1,0),IF(LEFT(VLOOKUP($D98,'Visu totale'!$D:$DH,Z$1,0),1)="V",IF(Y98&gt;=INDEX('[1]Définition Maintenances'!$G:$G,MATCH($A98,'[1]Définition Maintenances'!$K:$K,0)),Y98,INDEX('[1]Définition Maintenances'!$G:$G,MATCH($A98,'[1]Définition Maintenances'!$K:$K,0))+Y98),Y98))</f>
        <v>114</v>
      </c>
      <c r="AA98" s="26">
        <f>IF(ISNUMBER(VLOOKUP($D98,'Visu totale'!$D:$DH,AA$1,0)),Z98-VLOOKUP($D98,'Visu totale'!$D:$DH,AA$1,0),IF(LEFT(VLOOKUP($D98,'Visu totale'!$D:$DH,AA$1,0),1)="V",IF(Z98&gt;=INDEX('[1]Définition Maintenances'!$G:$G,MATCH($A98,'[1]Définition Maintenances'!$K:$K,0)),Z98,INDEX('[1]Définition Maintenances'!$G:$G,MATCH($A98,'[1]Définition Maintenances'!$K:$K,0))+Z98),Z98))</f>
        <v>114</v>
      </c>
      <c r="AB98" s="26">
        <f>IF(ISNUMBER(VLOOKUP($D98,'Visu totale'!$D:$DH,AB$1,0)),AA98-VLOOKUP($D98,'Visu totale'!$D:$DH,AB$1,0),IF(LEFT(VLOOKUP($D98,'Visu totale'!$D:$DH,AB$1,0),1)="V",IF(AA98&gt;=INDEX('[1]Définition Maintenances'!$G:$G,MATCH($A98,'[1]Définition Maintenances'!$K:$K,0)),AA98,INDEX('[1]Définition Maintenances'!$G:$G,MATCH($A98,'[1]Définition Maintenances'!$K:$K,0))+AA98),AA98))</f>
        <v>114</v>
      </c>
      <c r="AC98" s="27">
        <f>IF(ISNUMBER(VLOOKUP($D98,'Visu totale'!$D:$DH,AC$1,0)),AB98-VLOOKUP($D98,'Visu totale'!$D:$DH,AC$1,0),IF(LEFT(VLOOKUP($D98,'Visu totale'!$D:$DH,AC$1,0),1)="V",IF(AB98&gt;=INDEX('[1]Définition Maintenances'!$G:$G,MATCH($A98,'[1]Définition Maintenances'!$K:$K,0)),AB98,INDEX('[1]Définition Maintenances'!$G:$G,MATCH($A98,'[1]Définition Maintenances'!$K:$K,0))+AB98),AB98))</f>
        <v>114</v>
      </c>
      <c r="AD98" s="25">
        <f>IF(ISNUMBER(VLOOKUP($D98,'Visu totale'!$D:$DH,AD$1,0)),AC98-VLOOKUP($D98,'Visu totale'!$D:$DH,AD$1,0),IF(LEFT(VLOOKUP($D98,'Visu totale'!$D:$DH,AD$1,0),1)="V",IF(AC98&gt;=INDEX('[1]Définition Maintenances'!$G:$G,MATCH($A98,'[1]Définition Maintenances'!$K:$K,0)),AC98,INDEX('[1]Définition Maintenances'!$G:$G,MATCH($A98,'[1]Définition Maintenances'!$K:$K,0))+AC98),AC98))</f>
        <v>114</v>
      </c>
      <c r="AE98" s="26">
        <f>IF(ISNUMBER(VLOOKUP($D98,'Visu totale'!$D:$DH,AE$1,0)),AD98-VLOOKUP($D98,'Visu totale'!$D:$DH,AE$1,0),IF(LEFT(VLOOKUP($D98,'Visu totale'!$D:$DH,AE$1,0),1)="V",IF(AD98&gt;=INDEX('[1]Définition Maintenances'!$G:$G,MATCH($A98,'[1]Définition Maintenances'!$K:$K,0)),AD98,INDEX('[1]Définition Maintenances'!$G:$G,MATCH($A98,'[1]Définition Maintenances'!$K:$K,0))+AD98),AD98))</f>
        <v>114</v>
      </c>
      <c r="AF98" s="26">
        <f>IF(ISNUMBER(VLOOKUP($D98,'Visu totale'!$D:$DH,AF$1,0)),AE98-VLOOKUP($D98,'Visu totale'!$D:$DH,AF$1,0),IF(LEFT(VLOOKUP($D98,'Visu totale'!$D:$DH,AF$1,0),1)="V",IF(AE98&gt;=INDEX('[1]Définition Maintenances'!$G:$G,MATCH($A98,'[1]Définition Maintenances'!$K:$K,0)),AE98,INDEX('[1]Définition Maintenances'!$G:$G,MATCH($A98,'[1]Définition Maintenances'!$K:$K,0))+AE98),AE98))</f>
        <v>114</v>
      </c>
      <c r="AG98" s="26">
        <f>IF(ISNUMBER(VLOOKUP($D98,'Visu totale'!$D:$DH,AG$1,0)),AF98-VLOOKUP($D98,'Visu totale'!$D:$DH,AG$1,0),IF(LEFT(VLOOKUP($D98,'Visu totale'!$D:$DH,AG$1,0),1)="V",IF(AF98&gt;=INDEX('[1]Définition Maintenances'!$G:$G,MATCH($A98,'[1]Définition Maintenances'!$K:$K,0)),AF98,INDEX('[1]Définition Maintenances'!$G:$G,MATCH($A98,'[1]Définition Maintenances'!$K:$K,0))+AF98),AF98))</f>
        <v>114</v>
      </c>
      <c r="AH98" s="26">
        <f>IF(ISNUMBER(VLOOKUP($D98,'Visu totale'!$D:$DH,AH$1,0)),AG98-VLOOKUP($D98,'Visu totale'!$D:$DH,AH$1,0),IF(LEFT(VLOOKUP($D98,'Visu totale'!$D:$DH,AH$1,0),1)="V",IF(AG98&gt;=INDEX('[1]Définition Maintenances'!$G:$G,MATCH($A98,'[1]Définition Maintenances'!$K:$K,0)),AG98,INDEX('[1]Définition Maintenances'!$G:$G,MATCH($A98,'[1]Définition Maintenances'!$K:$K,0))+AG98),AG98))</f>
        <v>114</v>
      </c>
      <c r="AI98" s="26">
        <f>IF(ISNUMBER(VLOOKUP($D98,'Visu totale'!$D:$DH,AI$1,0)),AH98-VLOOKUP($D98,'Visu totale'!$D:$DH,AI$1,0),IF(LEFT(VLOOKUP($D98,'Visu totale'!$D:$DH,AI$1,0),1)="V",IF(AH98&gt;=INDEX('[1]Définition Maintenances'!$G:$G,MATCH($A98,'[1]Définition Maintenances'!$K:$K,0)),AH98,INDEX('[1]Définition Maintenances'!$G:$G,MATCH($A98,'[1]Définition Maintenances'!$K:$K,0))+AH98),AH98))</f>
        <v>114</v>
      </c>
      <c r="AJ98" s="26">
        <f>IF(ISNUMBER(VLOOKUP($D98,'Visu totale'!$D:$DH,AJ$1,0)),AI98-VLOOKUP($D98,'Visu totale'!$D:$DH,AJ$1,0),IF(LEFT(VLOOKUP($D98,'Visu totale'!$D:$DH,AJ$1,0),1)="V",IF(AI98&gt;=INDEX('[1]Définition Maintenances'!$G:$G,MATCH($A98,'[1]Définition Maintenances'!$K:$K,0)),AI98,INDEX('[1]Définition Maintenances'!$G:$G,MATCH($A98,'[1]Définition Maintenances'!$K:$K,0))+AI98),AI98))</f>
        <v>114</v>
      </c>
      <c r="AK98" s="26">
        <f>IF(ISNUMBER(VLOOKUP($D98,'Visu totale'!$D:$DH,AK$1,0)),AJ98-VLOOKUP($D98,'Visu totale'!$D:$DH,AK$1,0),IF(LEFT(VLOOKUP($D98,'Visu totale'!$D:$DH,AK$1,0),1)="V",IF(AJ98&gt;=INDEX('[1]Définition Maintenances'!$G:$G,MATCH($A98,'[1]Définition Maintenances'!$K:$K,0)),AJ98,INDEX('[1]Définition Maintenances'!$G:$G,MATCH($A98,'[1]Définition Maintenances'!$K:$K,0))+AJ98),AJ98))</f>
        <v>114</v>
      </c>
      <c r="AL98" s="26">
        <f>IF(ISNUMBER(VLOOKUP($D98,'Visu totale'!$D:$DH,AL$1,0)),AK98-VLOOKUP($D98,'Visu totale'!$D:$DH,AL$1,0),IF(LEFT(VLOOKUP($D98,'Visu totale'!$D:$DH,AL$1,0),1)="V",IF(AK98&gt;=INDEX('[1]Définition Maintenances'!$G:$G,MATCH($A98,'[1]Définition Maintenances'!$K:$K,0)),AK98,INDEX('[1]Définition Maintenances'!$G:$G,MATCH($A98,'[1]Définition Maintenances'!$K:$K,0))+AK98),AK98))</f>
        <v>114</v>
      </c>
      <c r="AM98" s="26">
        <f>IF(ISNUMBER(VLOOKUP($D98,'Visu totale'!$D:$DH,AM$1,0)),AL98-VLOOKUP($D98,'Visu totale'!$D:$DH,AM$1,0),IF(LEFT(VLOOKUP($D98,'Visu totale'!$D:$DH,AM$1,0),1)="V",IF(AL98&gt;=INDEX('[1]Définition Maintenances'!$G:$G,MATCH($A98,'[1]Définition Maintenances'!$K:$K,0)),AL98,INDEX('[1]Définition Maintenances'!$G:$G,MATCH($A98,'[1]Définition Maintenances'!$K:$K,0))+AL98),AL98))</f>
        <v>114</v>
      </c>
      <c r="AN98" s="26">
        <f>IF(ISNUMBER(VLOOKUP($D98,'Visu totale'!$D:$DH,AN$1,0)),AM98-VLOOKUP($D98,'Visu totale'!$D:$DH,AN$1,0),IF(LEFT(VLOOKUP($D98,'Visu totale'!$D:$DH,AN$1,0),1)="V",IF(AM98&gt;=INDEX('[1]Définition Maintenances'!$G:$G,MATCH($A98,'[1]Définition Maintenances'!$K:$K,0)),AM98,INDEX('[1]Définition Maintenances'!$G:$G,MATCH($A98,'[1]Définition Maintenances'!$K:$K,0))+AM98),AM98))</f>
        <v>114</v>
      </c>
      <c r="AO98" s="27">
        <f>IF(ISNUMBER(VLOOKUP($D98,'Visu totale'!$D:$DH,AO$1,0)),AN98-VLOOKUP($D98,'Visu totale'!$D:$DH,AO$1,0),IF(LEFT(VLOOKUP($D98,'Visu totale'!$D:$DH,AO$1,0),1)="V",IF(AN98&gt;=INDEX('[1]Définition Maintenances'!$G:$G,MATCH($A98,'[1]Définition Maintenances'!$K:$K,0)),AN98,INDEX('[1]Définition Maintenances'!$G:$G,MATCH($A98,'[1]Définition Maintenances'!$K:$K,0))+AN98),AN98))</f>
        <v>114</v>
      </c>
      <c r="AP98" s="25">
        <f>IF(ISNUMBER(VLOOKUP($D98,'Visu totale'!$D:$DH,AP$1,0)),AO98-VLOOKUP($D98,'Visu totale'!$D:$DH,AP$1,0),IF(LEFT(VLOOKUP($D98,'Visu totale'!$D:$DH,AP$1,0),1)="V",IF(AO98&gt;=INDEX('[1]Définition Maintenances'!$G:$G,MATCH($A98,'[1]Définition Maintenances'!$K:$K,0)),AO98,INDEX('[1]Définition Maintenances'!$G:$G,MATCH($A98,'[1]Définition Maintenances'!$K:$K,0))+AO98),AO98))</f>
        <v>114</v>
      </c>
      <c r="AQ98" s="26">
        <f>IF(ISNUMBER(VLOOKUP($D98,'Visu totale'!$D:$DH,AQ$1,0)),AP98-VLOOKUP($D98,'Visu totale'!$D:$DH,AQ$1,0),IF(LEFT(VLOOKUP($D98,'Visu totale'!$D:$DH,AQ$1,0),1)="V",IF(AP98&gt;=INDEX('[1]Définition Maintenances'!$G:$G,MATCH($A98,'[1]Définition Maintenances'!$K:$K,0)),AP98,INDEX('[1]Définition Maintenances'!$G:$G,MATCH($A98,'[1]Définition Maintenances'!$K:$K,0))+AP98),AP98))</f>
        <v>114</v>
      </c>
      <c r="AR98" s="26">
        <f>IF(ISNUMBER(VLOOKUP($D98,'Visu totale'!$D:$DH,AR$1,0)),AQ98-VLOOKUP($D98,'Visu totale'!$D:$DH,AR$1,0),IF(LEFT(VLOOKUP($D98,'Visu totale'!$D:$DH,AR$1,0),1)="V",IF(AQ98&gt;=INDEX('[1]Définition Maintenances'!$G:$G,MATCH($A98,'[1]Définition Maintenances'!$K:$K,0)),AQ98,INDEX('[1]Définition Maintenances'!$G:$G,MATCH($A98,'[1]Définition Maintenances'!$K:$K,0))+AQ98),AQ98))</f>
        <v>114</v>
      </c>
      <c r="AS98" s="26">
        <f>IF(ISNUMBER(VLOOKUP($D98,'Visu totale'!$D:$DH,AS$1,0)),AR98-VLOOKUP($D98,'Visu totale'!$D:$DH,AS$1,0),IF(LEFT(VLOOKUP($D98,'Visu totale'!$D:$DH,AS$1,0),1)="V",IF(AR98&gt;=INDEX('[1]Définition Maintenances'!$G:$G,MATCH($A98,'[1]Définition Maintenances'!$K:$K,0)),AR98,INDEX('[1]Définition Maintenances'!$G:$G,MATCH($A98,'[1]Définition Maintenances'!$K:$K,0))+AR98),AR98))</f>
        <v>114</v>
      </c>
      <c r="AT98" s="26">
        <f>IF(ISNUMBER(VLOOKUP($D98,'Visu totale'!$D:$DH,AT$1,0)),AS98-VLOOKUP($D98,'Visu totale'!$D:$DH,AT$1,0),IF(LEFT(VLOOKUP($D98,'Visu totale'!$D:$DH,AT$1,0),1)="V",IF(AS98&gt;=INDEX('[1]Définition Maintenances'!$G:$G,MATCH($A98,'[1]Définition Maintenances'!$K:$K,0)),AS98,INDEX('[1]Définition Maintenances'!$G:$G,MATCH($A98,'[1]Définition Maintenances'!$K:$K,0))+AS98),AS98))</f>
        <v>114</v>
      </c>
      <c r="AU98" s="26">
        <f>IF(ISNUMBER(VLOOKUP($D98,'Visu totale'!$D:$DH,AU$1,0)),AT98-VLOOKUP($D98,'Visu totale'!$D:$DH,AU$1,0),IF(LEFT(VLOOKUP($D98,'Visu totale'!$D:$DH,AU$1,0),1)="V",IF(AT98&gt;=INDEX('[1]Définition Maintenances'!$G:$G,MATCH($A98,'[1]Définition Maintenances'!$K:$K,0)),AT98,INDEX('[1]Définition Maintenances'!$G:$G,MATCH($A98,'[1]Définition Maintenances'!$K:$K,0))+AT98),AT98))</f>
        <v>114</v>
      </c>
      <c r="AV98" s="26">
        <f>IF(ISNUMBER(VLOOKUP($D98,'Visu totale'!$D:$DH,AV$1,0)),AU98-VLOOKUP($D98,'Visu totale'!$D:$DH,AV$1,0),IF(LEFT(VLOOKUP($D98,'Visu totale'!$D:$DH,AV$1,0),1)="V",IF(AU98&gt;=INDEX('[1]Définition Maintenances'!$G:$G,MATCH($A98,'[1]Définition Maintenances'!$K:$K,0)),AU98,INDEX('[1]Définition Maintenances'!$G:$G,MATCH($A98,'[1]Définition Maintenances'!$K:$K,0))+AU98),AU98))</f>
        <v>114</v>
      </c>
      <c r="AW98" s="26">
        <f>IF(ISNUMBER(VLOOKUP($D98,'Visu totale'!$D:$DH,AW$1,0)),AV98-VLOOKUP($D98,'Visu totale'!$D:$DH,AW$1,0),IF(LEFT(VLOOKUP($D98,'Visu totale'!$D:$DH,AW$1,0),1)="V",IF(AV98&gt;=INDEX('[1]Définition Maintenances'!$G:$G,MATCH($A98,'[1]Définition Maintenances'!$K:$K,0)),AV98,INDEX('[1]Définition Maintenances'!$G:$G,MATCH($A98,'[1]Définition Maintenances'!$K:$K,0))+AV98),AV98))</f>
        <v>114</v>
      </c>
      <c r="AX98" s="26">
        <f>IF(ISNUMBER(VLOOKUP($D98,'Visu totale'!$D:$DH,AX$1,0)),AW98-VLOOKUP($D98,'Visu totale'!$D:$DH,AX$1,0),IF(LEFT(VLOOKUP($D98,'Visu totale'!$D:$DH,AX$1,0),1)="V",IF(AW98&gt;=INDEX('[1]Définition Maintenances'!$G:$G,MATCH($A98,'[1]Définition Maintenances'!$K:$K,0)),AW98,INDEX('[1]Définition Maintenances'!$G:$G,MATCH($A98,'[1]Définition Maintenances'!$K:$K,0))+AW98),AW98))</f>
        <v>114</v>
      </c>
      <c r="AY98" s="26">
        <f>IF(ISNUMBER(VLOOKUP($D98,'Visu totale'!$D:$DH,AY$1,0)),AX98-VLOOKUP($D98,'Visu totale'!$D:$DH,AY$1,0),IF(LEFT(VLOOKUP($D98,'Visu totale'!$D:$DH,AY$1,0),1)="V",IF(AX98&gt;=INDEX('[1]Définition Maintenances'!$G:$G,MATCH($A98,'[1]Définition Maintenances'!$K:$K,0)),AX98,INDEX('[1]Définition Maintenances'!$G:$G,MATCH($A98,'[1]Définition Maintenances'!$K:$K,0))+AX98),AX98))</f>
        <v>114</v>
      </c>
      <c r="AZ98" s="26">
        <f>IF(ISNUMBER(VLOOKUP($D98,'Visu totale'!$D:$DH,AZ$1,0)),AY98-VLOOKUP($D98,'Visu totale'!$D:$DH,AZ$1,0),IF(LEFT(VLOOKUP($D98,'Visu totale'!$D:$DH,AZ$1,0),1)="V",IF(AY98&gt;=INDEX('[1]Définition Maintenances'!$G:$G,MATCH($A98,'[1]Définition Maintenances'!$K:$K,0)),AY98,INDEX('[1]Définition Maintenances'!$G:$G,MATCH($A98,'[1]Définition Maintenances'!$K:$K,0))+AY98),AY98))</f>
        <v>114</v>
      </c>
      <c r="BA98" s="27">
        <f>IF(ISNUMBER(VLOOKUP($D98,'Visu totale'!$D:$DH,BA$1,0)),AZ98-VLOOKUP($D98,'Visu totale'!$D:$DH,BA$1,0),IF(LEFT(VLOOKUP($D98,'Visu totale'!$D:$DH,BA$1,0),1)="V",IF(AZ98&gt;=INDEX('[1]Définition Maintenances'!$G:$G,MATCH($A98,'[1]Définition Maintenances'!$K:$K,0)),AZ98,INDEX('[1]Définition Maintenances'!$G:$G,MATCH($A98,'[1]Définition Maintenances'!$K:$K,0))+AZ98),AZ98))</f>
        <v>114</v>
      </c>
      <c r="BB98" s="25">
        <f>IF(ISNUMBER(VLOOKUP($D98,'Visu totale'!$D:$DH,BB$1,0)),BA98-VLOOKUP($D98,'Visu totale'!$D:$DH,BB$1,0),IF(LEFT(VLOOKUP($D98,'Visu totale'!$D:$DH,BB$1,0),1)="V",IF(BA98&gt;=INDEX('[1]Définition Maintenances'!$G:$G,MATCH($A98,'[1]Définition Maintenances'!$K:$K,0)),BA98,INDEX('[1]Définition Maintenances'!$G:$G,MATCH($A98,'[1]Définition Maintenances'!$K:$K,0))+BA98),BA98))</f>
        <v>114</v>
      </c>
      <c r="BC98" s="26">
        <f>IF(ISNUMBER(VLOOKUP($D98,'Visu totale'!$D:$DH,BC$1,0)),BB98-VLOOKUP($D98,'Visu totale'!$D:$DH,BC$1,0),IF(LEFT(VLOOKUP($D98,'Visu totale'!$D:$DH,BC$1,0),1)="V",IF(BB98&gt;=INDEX('[1]Définition Maintenances'!$G:$G,MATCH($A98,'[1]Définition Maintenances'!$K:$K,0)),BB98,INDEX('[1]Définition Maintenances'!$G:$G,MATCH($A98,'[1]Définition Maintenances'!$K:$K,0))+BB98),BB98))</f>
        <v>114</v>
      </c>
      <c r="BD98" s="26">
        <f>IF(ISNUMBER(VLOOKUP($D98,'Visu totale'!$D:$DH,BD$1,0)),BC98-VLOOKUP($D98,'Visu totale'!$D:$DH,BD$1,0),IF(LEFT(VLOOKUP($D98,'Visu totale'!$D:$DH,BD$1,0),1)="V",IF(BC98&gt;=INDEX('[1]Définition Maintenances'!$G:$G,MATCH($A98,'[1]Définition Maintenances'!$K:$K,0)),BC98,INDEX('[1]Définition Maintenances'!$G:$G,MATCH($A98,'[1]Définition Maintenances'!$K:$K,0))+BC98),BC98))</f>
        <v>114</v>
      </c>
      <c r="BE98" s="26">
        <f>IF(ISNUMBER(VLOOKUP($D98,'Visu totale'!$D:$DH,BE$1,0)),BD98-VLOOKUP($D98,'Visu totale'!$D:$DH,BE$1,0),IF(LEFT(VLOOKUP($D98,'Visu totale'!$D:$DH,BE$1,0),1)="V",IF(BD98&gt;=INDEX('[1]Définition Maintenances'!$G:$G,MATCH($A98,'[1]Définition Maintenances'!$K:$K,0)),BD98,INDEX('[1]Définition Maintenances'!$G:$G,MATCH($A98,'[1]Définition Maintenances'!$K:$K,0))+BD98),BD98))</f>
        <v>114</v>
      </c>
      <c r="BF98" s="26">
        <f>IF(ISNUMBER(VLOOKUP($D98,'Visu totale'!$D:$DH,BF$1,0)),BE98-VLOOKUP($D98,'Visu totale'!$D:$DH,BF$1,0),IF(LEFT(VLOOKUP($D98,'Visu totale'!$D:$DH,BF$1,0),1)="V",IF(BE98&gt;=INDEX('[1]Définition Maintenances'!$G:$G,MATCH($A98,'[1]Définition Maintenances'!$K:$K,0)),BE98,INDEX('[1]Définition Maintenances'!$G:$G,MATCH($A98,'[1]Définition Maintenances'!$K:$K,0))+BE98),BE98))</f>
        <v>114</v>
      </c>
      <c r="BG98" s="26">
        <f>IF(ISNUMBER(VLOOKUP($D98,'Visu totale'!$D:$DH,BG$1,0)),BF98-VLOOKUP($D98,'Visu totale'!$D:$DH,BG$1,0),IF(LEFT(VLOOKUP($D98,'Visu totale'!$D:$DH,BG$1,0),1)="V",IF(BF98&gt;=INDEX('[1]Définition Maintenances'!$G:$G,MATCH($A98,'[1]Définition Maintenances'!$K:$K,0)),BF98,INDEX('[1]Définition Maintenances'!$G:$G,MATCH($A98,'[1]Définition Maintenances'!$K:$K,0))+BF98),BF98))</f>
        <v>114</v>
      </c>
      <c r="BH98" s="26">
        <f>IF(ISNUMBER(VLOOKUP($D98,'Visu totale'!$D:$DH,BH$1,0)),BG98-VLOOKUP($D98,'Visu totale'!$D:$DH,BH$1,0),IF(LEFT(VLOOKUP($D98,'Visu totale'!$D:$DH,BH$1,0),1)="V",IF(BG98&gt;=INDEX('[1]Définition Maintenances'!$G:$G,MATCH($A98,'[1]Définition Maintenances'!$K:$K,0)),BG98,INDEX('[1]Définition Maintenances'!$G:$G,MATCH($A98,'[1]Définition Maintenances'!$K:$K,0))+BG98),BG98))</f>
        <v>114</v>
      </c>
      <c r="BI98" s="26">
        <f>IF(ISNUMBER(VLOOKUP($D98,'Visu totale'!$D:$DH,BI$1,0)),BH98-VLOOKUP($D98,'Visu totale'!$D:$DH,BI$1,0),IF(LEFT(VLOOKUP($D98,'Visu totale'!$D:$DH,BI$1,0),1)="V",IF(BH98&gt;=INDEX('[1]Définition Maintenances'!$G:$G,MATCH($A98,'[1]Définition Maintenances'!$K:$K,0)),BH98,INDEX('[1]Définition Maintenances'!$G:$G,MATCH($A98,'[1]Définition Maintenances'!$K:$K,0))+BH98),BH98))</f>
        <v>114</v>
      </c>
      <c r="BJ98" s="26">
        <f>IF(ISNUMBER(VLOOKUP($D98,'Visu totale'!$D:$DH,BJ$1,0)),BI98-VLOOKUP($D98,'Visu totale'!$D:$DH,BJ$1,0),IF(LEFT(VLOOKUP($D98,'Visu totale'!$D:$DH,BJ$1,0),1)="V",IF(BI98&gt;=INDEX('[1]Définition Maintenances'!$G:$G,MATCH($A98,'[1]Définition Maintenances'!$K:$K,0)),BI98,INDEX('[1]Définition Maintenances'!$G:$G,MATCH($A98,'[1]Définition Maintenances'!$K:$K,0))+BI98),BI98))</f>
        <v>114</v>
      </c>
      <c r="BK98" s="26">
        <f>IF(ISNUMBER(VLOOKUP($D98,'Visu totale'!$D:$DH,BK$1,0)),BJ98-VLOOKUP($D98,'Visu totale'!$D:$DH,BK$1,0),IF(LEFT(VLOOKUP($D98,'Visu totale'!$D:$DH,BK$1,0),1)="V",IF(BJ98&gt;=INDEX('[1]Définition Maintenances'!$G:$G,MATCH($A98,'[1]Définition Maintenances'!$K:$K,0)),BJ98,INDEX('[1]Définition Maintenances'!$G:$G,MATCH($A98,'[1]Définition Maintenances'!$K:$K,0))+BJ98),BJ98))</f>
        <v>114</v>
      </c>
      <c r="BL98" s="26">
        <f>IF(ISNUMBER(VLOOKUP($D98,'Visu totale'!$D:$DH,BL$1,0)),BK98-VLOOKUP($D98,'Visu totale'!$D:$DH,BL$1,0),IF(LEFT(VLOOKUP($D98,'Visu totale'!$D:$DH,BL$1,0),1)="V",IF(BK98&gt;=INDEX('[1]Définition Maintenances'!$G:$G,MATCH($A98,'[1]Définition Maintenances'!$K:$K,0)),BK98,INDEX('[1]Définition Maintenances'!$G:$G,MATCH($A98,'[1]Définition Maintenances'!$K:$K,0))+BK98),BK98))</f>
        <v>114</v>
      </c>
      <c r="BM98" s="27">
        <f>IF(ISNUMBER(VLOOKUP($D98,'Visu totale'!$D:$DH,BM$1,0)),BL98-VLOOKUP($D98,'Visu totale'!$D:$DH,BM$1,0),IF(LEFT(VLOOKUP($D98,'Visu totale'!$D:$DH,BM$1,0),1)="V",IF(BL98&gt;=INDEX('[1]Définition Maintenances'!$G:$G,MATCH($A98,'[1]Définition Maintenances'!$K:$K,0)),BL98,INDEX('[1]Définition Maintenances'!$G:$G,MATCH($A98,'[1]Définition Maintenances'!$K:$K,0))+BL98),BL98))</f>
        <v>114</v>
      </c>
      <c r="BN98" s="25">
        <f>IF(ISNUMBER(VLOOKUP($D98,'Visu totale'!$D:$DH,BN$1,0)),BM98-VLOOKUP($D98,'Visu totale'!$D:$DH,BN$1,0),IF(LEFT(VLOOKUP($D98,'Visu totale'!$D:$DH,BN$1,0),1)="V",IF(BM98&gt;=INDEX('[1]Définition Maintenances'!$G:$G,MATCH($A98,'[1]Définition Maintenances'!$K:$K,0)),BM98,INDEX('[1]Définition Maintenances'!$G:$G,MATCH($A98,'[1]Définition Maintenances'!$K:$K,0))+BM98),BM98))</f>
        <v>114</v>
      </c>
      <c r="BO98" s="26">
        <f>IF(ISNUMBER(VLOOKUP($D98,'Visu totale'!$D:$DH,BO$1,0)),BN98-VLOOKUP($D98,'Visu totale'!$D:$DH,BO$1,0),IF(LEFT(VLOOKUP($D98,'Visu totale'!$D:$DH,BO$1,0),1)="V",IF(BN98&gt;=INDEX('[1]Définition Maintenances'!$G:$G,MATCH($A98,'[1]Définition Maintenances'!$K:$K,0)),BN98,INDEX('[1]Définition Maintenances'!$G:$G,MATCH($A98,'[1]Définition Maintenances'!$K:$K,0))+BN98),BN98))</f>
        <v>114</v>
      </c>
      <c r="BP98" s="26">
        <f>IF(ISNUMBER(VLOOKUP($D98,'Visu totale'!$D:$DH,BP$1,0)),BO98-VLOOKUP($D98,'Visu totale'!$D:$DH,BP$1,0),IF(LEFT(VLOOKUP($D98,'Visu totale'!$D:$DH,BP$1,0),1)="V",IF(BO98&gt;=INDEX('[1]Définition Maintenances'!$G:$G,MATCH($A98,'[1]Définition Maintenances'!$K:$K,0)),BO98,INDEX('[1]Définition Maintenances'!$G:$G,MATCH($A98,'[1]Définition Maintenances'!$K:$K,0))+BO98),BO98))</f>
        <v>114</v>
      </c>
      <c r="BQ98" s="26">
        <f>IF(ISNUMBER(VLOOKUP($D98,'Visu totale'!$D:$DH,BQ$1,0)),BP98-VLOOKUP($D98,'Visu totale'!$D:$DH,BQ$1,0),IF(LEFT(VLOOKUP($D98,'Visu totale'!$D:$DH,BQ$1,0),1)="V",IF(BP98&gt;=INDEX('[1]Définition Maintenances'!$G:$G,MATCH($A98,'[1]Définition Maintenances'!$K:$K,0)),BP98,INDEX('[1]Définition Maintenances'!$G:$G,MATCH($A98,'[1]Définition Maintenances'!$K:$K,0))+BP98),BP98))</f>
        <v>114</v>
      </c>
      <c r="BR98" s="26">
        <f>IF(ISNUMBER(VLOOKUP($D98,'Visu totale'!$D:$DH,BR$1,0)),BQ98-VLOOKUP($D98,'Visu totale'!$D:$DH,BR$1,0),IF(LEFT(VLOOKUP($D98,'Visu totale'!$D:$DH,BR$1,0),1)="V",IF(BQ98&gt;=INDEX('[1]Définition Maintenances'!$G:$G,MATCH($A98,'[1]Définition Maintenances'!$K:$K,0)),BQ98,INDEX('[1]Définition Maintenances'!$G:$G,MATCH($A98,'[1]Définition Maintenances'!$K:$K,0))+BQ98),BQ98))</f>
        <v>114</v>
      </c>
      <c r="BS98" s="26">
        <f>IF(ISNUMBER(VLOOKUP($D98,'Visu totale'!$D:$DH,BS$1,0)),BR98-VLOOKUP($D98,'Visu totale'!$D:$DH,BS$1,0),IF(LEFT(VLOOKUP($D98,'Visu totale'!$D:$DH,BS$1,0),1)="V",IF(BR98&gt;=INDEX('[1]Définition Maintenances'!$G:$G,MATCH($A98,'[1]Définition Maintenances'!$K:$K,0)),BR98,INDEX('[1]Définition Maintenances'!$G:$G,MATCH($A98,'[1]Définition Maintenances'!$K:$K,0))+BR98),BR98))</f>
        <v>114</v>
      </c>
      <c r="BT98" s="26">
        <f>IF(ISNUMBER(VLOOKUP($D98,'Visu totale'!$D:$DH,BT$1,0)),BS98-VLOOKUP($D98,'Visu totale'!$D:$DH,BT$1,0),IF(LEFT(VLOOKUP($D98,'Visu totale'!$D:$DH,BT$1,0),1)="V",IF(BS98&gt;=INDEX('[1]Définition Maintenances'!$G:$G,MATCH($A98,'[1]Définition Maintenances'!$K:$K,0)),BS98,INDEX('[1]Définition Maintenances'!$G:$G,MATCH($A98,'[1]Définition Maintenances'!$K:$K,0))+BS98),BS98))</f>
        <v>114</v>
      </c>
      <c r="BU98" s="26">
        <f>IF(ISNUMBER(VLOOKUP($D98,'Visu totale'!$D:$DH,BU$1,0)),BT98-VLOOKUP($D98,'Visu totale'!$D:$DH,BU$1,0),IF(LEFT(VLOOKUP($D98,'Visu totale'!$D:$DH,BU$1,0),1)="V",IF(BT98&gt;=INDEX('[1]Définition Maintenances'!$G:$G,MATCH($A98,'[1]Définition Maintenances'!$K:$K,0)),BT98,INDEX('[1]Définition Maintenances'!$G:$G,MATCH($A98,'[1]Définition Maintenances'!$K:$K,0))+BT98),BT98))</f>
        <v>114</v>
      </c>
      <c r="BV98" s="26">
        <f>IF(ISNUMBER(VLOOKUP($D98,'Visu totale'!$D:$DH,BV$1,0)),BU98-VLOOKUP($D98,'Visu totale'!$D:$DH,BV$1,0),IF(LEFT(VLOOKUP($D98,'Visu totale'!$D:$DH,BV$1,0),1)="V",IF(BU98&gt;=INDEX('[1]Définition Maintenances'!$G:$G,MATCH($A98,'[1]Définition Maintenances'!$K:$K,0)),BU98,INDEX('[1]Définition Maintenances'!$G:$G,MATCH($A98,'[1]Définition Maintenances'!$K:$K,0))+BU98),BU98))</f>
        <v>114</v>
      </c>
      <c r="BW98" s="26">
        <f>IF(ISNUMBER(VLOOKUP($D98,'Visu totale'!$D:$DH,BW$1,0)),BV98-VLOOKUP($D98,'Visu totale'!$D:$DH,BW$1,0),IF(LEFT(VLOOKUP($D98,'Visu totale'!$D:$DH,BW$1,0),1)="V",IF(BV98&gt;=INDEX('[1]Définition Maintenances'!$G:$G,MATCH($A98,'[1]Définition Maintenances'!$K:$K,0)),BV98,INDEX('[1]Définition Maintenances'!$G:$G,MATCH($A98,'[1]Définition Maintenances'!$K:$K,0))+BV98),BV98))</f>
        <v>114</v>
      </c>
      <c r="BX98" s="26">
        <f>IF(ISNUMBER(VLOOKUP($D98,'Visu totale'!$D:$DH,BX$1,0)),BW98-VLOOKUP($D98,'Visu totale'!$D:$DH,BX$1,0),IF(LEFT(VLOOKUP($D98,'Visu totale'!$D:$DH,BX$1,0),1)="V",IF(BW98&gt;=INDEX('[1]Définition Maintenances'!$G:$G,MATCH($A98,'[1]Définition Maintenances'!$K:$K,0)),BW98,INDEX('[1]Définition Maintenances'!$G:$G,MATCH($A98,'[1]Définition Maintenances'!$K:$K,0))+BW98),BW98))</f>
        <v>114</v>
      </c>
      <c r="BY98" s="27">
        <f>IF(ISNUMBER(VLOOKUP($D98,'Visu totale'!$D:$DH,BY$1,0)),BX98-VLOOKUP($D98,'Visu totale'!$D:$DH,BY$1,0),IF(LEFT(VLOOKUP($D98,'Visu totale'!$D:$DH,BY$1,0),1)="V",IF(BX98&gt;=INDEX('[1]Définition Maintenances'!$G:$G,MATCH($A98,'[1]Définition Maintenances'!$K:$K,0)),BX98,INDEX('[1]Définition Maintenances'!$G:$G,MATCH($A98,'[1]Définition Maintenances'!$K:$K,0))+BX98),BX98))</f>
        <v>114</v>
      </c>
      <c r="BZ98" s="25">
        <f>IF(ISNUMBER(VLOOKUP($D98,'Visu totale'!$D:$DH,BZ$1,0)),BY98-VLOOKUP($D98,'Visu totale'!$D:$DH,BZ$1,0),IF(LEFT(VLOOKUP($D98,'Visu totale'!$D:$DH,BZ$1,0),1)="V",IF(BY98&gt;=INDEX('[1]Définition Maintenances'!$G:$G,MATCH($A98,'[1]Définition Maintenances'!$K:$K,0)),BY98,INDEX('[1]Définition Maintenances'!$G:$G,MATCH($A98,'[1]Définition Maintenances'!$K:$K,0))+BY98),BY98))</f>
        <v>114</v>
      </c>
      <c r="CA98" s="26">
        <f>IF(ISNUMBER(VLOOKUP($D98,'Visu totale'!$D:$DH,CA$1,0)),BZ98-VLOOKUP($D98,'Visu totale'!$D:$DH,CA$1,0),IF(LEFT(VLOOKUP($D98,'Visu totale'!$D:$DH,CA$1,0),1)="V",IF(BZ98&gt;=INDEX('[1]Définition Maintenances'!$G:$G,MATCH($A98,'[1]Définition Maintenances'!$K:$K,0)),BZ98,INDEX('[1]Définition Maintenances'!$G:$G,MATCH($A98,'[1]Définition Maintenances'!$K:$K,0))+BZ98),BZ98))</f>
        <v>114</v>
      </c>
      <c r="CB98" s="26">
        <f>IF(ISNUMBER(VLOOKUP($D98,'Visu totale'!$D:$DH,CB$1,0)),CA98-VLOOKUP($D98,'Visu totale'!$D:$DH,CB$1,0),IF(LEFT(VLOOKUP($D98,'Visu totale'!$D:$DH,CB$1,0),1)="V",IF(CA98&gt;=INDEX('[1]Définition Maintenances'!$G:$G,MATCH($A98,'[1]Définition Maintenances'!$K:$K,0)),CA98,INDEX('[1]Définition Maintenances'!$G:$G,MATCH($A98,'[1]Définition Maintenances'!$K:$K,0))+CA98),CA98))</f>
        <v>114</v>
      </c>
      <c r="CC98" s="26">
        <f>IF(ISNUMBER(VLOOKUP($D98,'Visu totale'!$D:$DH,CC$1,0)),CB98-VLOOKUP($D98,'Visu totale'!$D:$DH,CC$1,0),IF(LEFT(VLOOKUP($D98,'Visu totale'!$D:$DH,CC$1,0),1)="V",IF(CB98&gt;=INDEX('[1]Définition Maintenances'!$G:$G,MATCH($A98,'[1]Définition Maintenances'!$K:$K,0)),CB98,INDEX('[1]Définition Maintenances'!$G:$G,MATCH($A98,'[1]Définition Maintenances'!$K:$K,0))+CB98),CB98))</f>
        <v>114</v>
      </c>
      <c r="CD98" s="26">
        <f>IF(ISNUMBER(VLOOKUP($D98,'Visu totale'!$D:$DH,CD$1,0)),CC98-VLOOKUP($D98,'Visu totale'!$D:$DH,CD$1,0),IF(LEFT(VLOOKUP($D98,'Visu totale'!$D:$DH,CD$1,0),1)="V",IF(CC98&gt;=INDEX('[1]Définition Maintenances'!$G:$G,MATCH($A98,'[1]Définition Maintenances'!$K:$K,0)),CC98,INDEX('[1]Définition Maintenances'!$G:$G,MATCH($A98,'[1]Définition Maintenances'!$K:$K,0))+CC98),CC98))</f>
        <v>114</v>
      </c>
      <c r="CE98" s="26">
        <f>IF(ISNUMBER(VLOOKUP($D98,'Visu totale'!$D:$DH,CE$1,0)),CD98-VLOOKUP($D98,'Visu totale'!$D:$DH,CE$1,0),IF(LEFT(VLOOKUP($D98,'Visu totale'!$D:$DH,CE$1,0),1)="V",IF(CD98&gt;=INDEX('[1]Définition Maintenances'!$G:$G,MATCH($A98,'[1]Définition Maintenances'!$K:$K,0)),CD98,INDEX('[1]Définition Maintenances'!$G:$G,MATCH($A98,'[1]Définition Maintenances'!$K:$K,0))+CD98),CD98))</f>
        <v>114</v>
      </c>
      <c r="CF98" s="26">
        <f>IF(ISNUMBER(VLOOKUP($D98,'Visu totale'!$D:$DH,CF$1,0)),CE98-VLOOKUP($D98,'Visu totale'!$D:$DH,CF$1,0),IF(LEFT(VLOOKUP($D98,'Visu totale'!$D:$DH,CF$1,0),1)="V",IF(CE98&gt;=INDEX('[1]Définition Maintenances'!$G:$G,MATCH($A98,'[1]Définition Maintenances'!$K:$K,0)),CE98,INDEX('[1]Définition Maintenances'!$G:$G,MATCH($A98,'[1]Définition Maintenances'!$K:$K,0))+CE98),CE98))</f>
        <v>114</v>
      </c>
      <c r="CG98" s="26">
        <f>IF(ISNUMBER(VLOOKUP($D98,'Visu totale'!$D:$DH,CG$1,0)),CF98-VLOOKUP($D98,'Visu totale'!$D:$DH,CG$1,0),IF(LEFT(VLOOKUP($D98,'Visu totale'!$D:$DH,CG$1,0),1)="V",IF(CF98&gt;=INDEX('[1]Définition Maintenances'!$G:$G,MATCH($A98,'[1]Définition Maintenances'!$K:$K,0)),CF98,INDEX('[1]Définition Maintenances'!$G:$G,MATCH($A98,'[1]Définition Maintenances'!$K:$K,0))+CF98),CF98))</f>
        <v>114</v>
      </c>
      <c r="CH98" s="26">
        <f>IF(ISNUMBER(VLOOKUP($D98,'Visu totale'!$D:$DH,CH$1,0)),CG98-VLOOKUP($D98,'Visu totale'!$D:$DH,CH$1,0),IF(LEFT(VLOOKUP($D98,'Visu totale'!$D:$DH,CH$1,0),1)="V",IF(CG98&gt;=INDEX('[1]Définition Maintenances'!$G:$G,MATCH($A98,'[1]Définition Maintenances'!$K:$K,0)),CG98,INDEX('[1]Définition Maintenances'!$G:$G,MATCH($A98,'[1]Définition Maintenances'!$K:$K,0))+CG98),CG98))</f>
        <v>114</v>
      </c>
      <c r="CI98" s="26">
        <f>IF(ISNUMBER(VLOOKUP($D98,'Visu totale'!$D:$DH,CI$1,0)),CH98-VLOOKUP($D98,'Visu totale'!$D:$DH,CI$1,0),IF(LEFT(VLOOKUP($D98,'Visu totale'!$D:$DH,CI$1,0),1)="V",IF(CH98&gt;=INDEX('[1]Définition Maintenances'!$G:$G,MATCH($A98,'[1]Définition Maintenances'!$K:$K,0)),CH98,INDEX('[1]Définition Maintenances'!$G:$G,MATCH($A98,'[1]Définition Maintenances'!$K:$K,0))+CH98),CH98))</f>
        <v>114</v>
      </c>
      <c r="CJ98" s="26">
        <f>IF(ISNUMBER(VLOOKUP($D98,'Visu totale'!$D:$DH,CJ$1,0)),CI98-VLOOKUP($D98,'Visu totale'!$D:$DH,CJ$1,0),IF(LEFT(VLOOKUP($D98,'Visu totale'!$D:$DH,CJ$1,0),1)="V",IF(CI98&gt;=INDEX('[1]Définition Maintenances'!$G:$G,MATCH($A98,'[1]Définition Maintenances'!$K:$K,0)),CI98,INDEX('[1]Définition Maintenances'!$G:$G,MATCH($A98,'[1]Définition Maintenances'!$K:$K,0))+CI98),CI98))</f>
        <v>114</v>
      </c>
      <c r="CK98" s="27">
        <f>IF(ISNUMBER(VLOOKUP($D98,'Visu totale'!$D:$DH,CK$1,0)),CJ98-VLOOKUP($D98,'Visu totale'!$D:$DH,CK$1,0),IF(LEFT(VLOOKUP($D98,'Visu totale'!$D:$DH,CK$1,0),1)="V",IF(CJ98&gt;=INDEX('[1]Définition Maintenances'!$G:$G,MATCH($A98,'[1]Définition Maintenances'!$K:$K,0)),CJ98,INDEX('[1]Définition Maintenances'!$G:$G,MATCH($A98,'[1]Définition Maintenances'!$K:$K,0))+CJ98),CJ98))</f>
        <v>114</v>
      </c>
      <c r="CL98" s="25">
        <f>IF(ISNUMBER(VLOOKUP($D98,'Visu totale'!$D:$DH,CL$1,0)),CK98-VLOOKUP($D98,'Visu totale'!$D:$DH,CL$1,0),IF(LEFT(VLOOKUP($D98,'Visu totale'!$D:$DH,CL$1,0),1)="V",IF(CK98&gt;=INDEX('[1]Définition Maintenances'!$G:$G,MATCH($A98,'[1]Définition Maintenances'!$K:$K,0)),CK98,INDEX('[1]Définition Maintenances'!$G:$G,MATCH($A98,'[1]Définition Maintenances'!$K:$K,0))+CK98),CK98))</f>
        <v>114</v>
      </c>
      <c r="CM98" s="26">
        <f>IF(ISNUMBER(VLOOKUP($D98,'Visu totale'!$D:$DH,CM$1,0)),CL98-VLOOKUP($D98,'Visu totale'!$D:$DH,CM$1,0),IF(LEFT(VLOOKUP($D98,'Visu totale'!$D:$DH,CM$1,0),1)="V",IF(CL98&gt;=INDEX('[1]Définition Maintenances'!$G:$G,MATCH($A98,'[1]Définition Maintenances'!$K:$K,0)),CL98,INDEX('[1]Définition Maintenances'!$G:$G,MATCH($A98,'[1]Définition Maintenances'!$K:$K,0))+CL98),CL98))</f>
        <v>114</v>
      </c>
      <c r="CN98" s="26">
        <f>IF(ISNUMBER(VLOOKUP($D98,'Visu totale'!$D:$DH,CN$1,0)),CM98-VLOOKUP($D98,'Visu totale'!$D:$DH,CN$1,0),IF(LEFT(VLOOKUP($D98,'Visu totale'!$D:$DH,CN$1,0),1)="V",IF(CM98&gt;=INDEX('[1]Définition Maintenances'!$G:$G,MATCH($A98,'[1]Définition Maintenances'!$K:$K,0)),CM98,INDEX('[1]Définition Maintenances'!$G:$G,MATCH($A98,'[1]Définition Maintenances'!$K:$K,0))+CM98),CM98))</f>
        <v>114</v>
      </c>
      <c r="CO98" s="26">
        <f>IF(ISNUMBER(VLOOKUP($D98,'Visu totale'!$D:$DH,CO$1,0)),CN98-VLOOKUP($D98,'Visu totale'!$D:$DH,CO$1,0),IF(LEFT(VLOOKUP($D98,'Visu totale'!$D:$DH,CO$1,0),1)="V",IF(CN98&gt;=INDEX('[1]Définition Maintenances'!$G:$G,MATCH($A98,'[1]Définition Maintenances'!$K:$K,0)),CN98,INDEX('[1]Définition Maintenances'!$G:$G,MATCH($A98,'[1]Définition Maintenances'!$K:$K,0))+CN98),CN98))</f>
        <v>114</v>
      </c>
      <c r="CP98" s="26">
        <f>IF(ISNUMBER(VLOOKUP($D98,'Visu totale'!$D:$DH,CP$1,0)),CO98-VLOOKUP($D98,'Visu totale'!$D:$DH,CP$1,0),IF(LEFT(VLOOKUP($D98,'Visu totale'!$D:$DH,CP$1,0),1)="V",IF(CO98&gt;=INDEX('[1]Définition Maintenances'!$G:$G,MATCH($A98,'[1]Définition Maintenances'!$K:$K,0)),CO98,INDEX('[1]Définition Maintenances'!$G:$G,MATCH($A98,'[1]Définition Maintenances'!$K:$K,0))+CO98),CO98))</f>
        <v>114</v>
      </c>
      <c r="CQ98" s="26">
        <f>IF(ISNUMBER(VLOOKUP($D98,'Visu totale'!$D:$DH,CQ$1,0)),CP98-VLOOKUP($D98,'Visu totale'!$D:$DH,CQ$1,0),IF(LEFT(VLOOKUP($D98,'Visu totale'!$D:$DH,CQ$1,0),1)="V",IF(CP98&gt;=INDEX('[1]Définition Maintenances'!$G:$G,MATCH($A98,'[1]Définition Maintenances'!$K:$K,0)),CP98,INDEX('[1]Définition Maintenances'!$G:$G,MATCH($A98,'[1]Définition Maintenances'!$K:$K,0))+CP98),CP98))</f>
        <v>114</v>
      </c>
      <c r="CR98" s="26">
        <f>IF(ISNUMBER(VLOOKUP($D98,'Visu totale'!$D:$DH,CR$1,0)),CQ98-VLOOKUP($D98,'Visu totale'!$D:$DH,CR$1,0),IF(LEFT(VLOOKUP($D98,'Visu totale'!$D:$DH,CR$1,0),1)="V",IF(CQ98&gt;=INDEX('[1]Définition Maintenances'!$G:$G,MATCH($A98,'[1]Définition Maintenances'!$K:$K,0)),CQ98,INDEX('[1]Définition Maintenances'!$G:$G,MATCH($A98,'[1]Définition Maintenances'!$K:$K,0))+CQ98),CQ98))</f>
        <v>114</v>
      </c>
      <c r="CS98" s="26">
        <f>IF(ISNUMBER(VLOOKUP($D98,'Visu totale'!$D:$DH,CS$1,0)),CR98-VLOOKUP($D98,'Visu totale'!$D:$DH,CS$1,0),IF(LEFT(VLOOKUP($D98,'Visu totale'!$D:$DH,CS$1,0),1)="V",IF(CR98&gt;=INDEX('[1]Définition Maintenances'!$G:$G,MATCH($A98,'[1]Définition Maintenances'!$K:$K,0)),CR98,INDEX('[1]Définition Maintenances'!$G:$G,MATCH($A98,'[1]Définition Maintenances'!$K:$K,0))+CR98),CR98))</f>
        <v>114</v>
      </c>
      <c r="CT98" s="26">
        <f>IF(ISNUMBER(VLOOKUP($D98,'Visu totale'!$D:$DH,CT$1,0)),CS98-VLOOKUP($D98,'Visu totale'!$D:$DH,CT$1,0),IF(LEFT(VLOOKUP($D98,'Visu totale'!$D:$DH,CT$1,0),1)="V",IF(CS98&gt;=INDEX('[1]Définition Maintenances'!$G:$G,MATCH($A98,'[1]Définition Maintenances'!$K:$K,0)),CS98,INDEX('[1]Définition Maintenances'!$G:$G,MATCH($A98,'[1]Définition Maintenances'!$K:$K,0))+CS98),CS98))</f>
        <v>114</v>
      </c>
      <c r="CU98" s="26">
        <f>IF(ISNUMBER(VLOOKUP($D98,'Visu totale'!$D:$DH,CU$1,0)),CT98-VLOOKUP($D98,'Visu totale'!$D:$DH,CU$1,0),IF(LEFT(VLOOKUP($D98,'Visu totale'!$D:$DH,CU$1,0),1)="V",IF(CT98&gt;=INDEX('[1]Définition Maintenances'!$G:$G,MATCH($A98,'[1]Définition Maintenances'!$K:$K,0)),CT98,INDEX('[1]Définition Maintenances'!$G:$G,MATCH($A98,'[1]Définition Maintenances'!$K:$K,0))+CT98),CT98))</f>
        <v>114</v>
      </c>
      <c r="CV98" s="26">
        <f>IF(ISNUMBER(VLOOKUP($D98,'Visu totale'!$D:$DH,CV$1,0)),CU98-VLOOKUP($D98,'Visu totale'!$D:$DH,CV$1,0),IF(LEFT(VLOOKUP($D98,'Visu totale'!$D:$DH,CV$1,0),1)="V",IF(CU98&gt;=INDEX('[1]Définition Maintenances'!$G:$G,MATCH($A98,'[1]Définition Maintenances'!$K:$K,0)),CU98,INDEX('[1]Définition Maintenances'!$G:$G,MATCH($A98,'[1]Définition Maintenances'!$K:$K,0))+CU98),CU98))</f>
        <v>114</v>
      </c>
      <c r="CW98" s="27">
        <f>IF(ISNUMBER(VLOOKUP($D98,'Visu totale'!$D:$DH,CW$1,0)),CV98-VLOOKUP($D98,'Visu totale'!$D:$DH,CW$1,0),IF(LEFT(VLOOKUP($D98,'Visu totale'!$D:$DH,CW$1,0),1)="V",IF(CV98&gt;=INDEX('[1]Définition Maintenances'!$G:$G,MATCH($A98,'[1]Définition Maintenances'!$K:$K,0)),CV98,INDEX('[1]Définition Maintenances'!$G:$G,MATCH($A98,'[1]Définition Maintenances'!$K:$K,0))+CV98),CV98))</f>
        <v>114</v>
      </c>
      <c r="CX98" s="25">
        <f>IF(ISNUMBER(VLOOKUP($D98,'Visu totale'!$D:$DH,CX$1,0)),CW98-VLOOKUP($D98,'Visu totale'!$D:$DH,CX$1,0),IF(LEFT(VLOOKUP($D98,'Visu totale'!$D:$DH,CX$1,0),1)="V",IF(CW98&gt;=INDEX('[1]Définition Maintenances'!$G:$G,MATCH($A98,'[1]Définition Maintenances'!$K:$K,0)),CW98,INDEX('[1]Définition Maintenances'!$G:$G,MATCH($A98,'[1]Définition Maintenances'!$K:$K,0))+CW98),CW98))</f>
        <v>114</v>
      </c>
      <c r="CY98" s="26">
        <f>IF(ISNUMBER(VLOOKUP($D98,'Visu totale'!$D:$DH,CY$1,0)),CX98-VLOOKUP($D98,'Visu totale'!$D:$DH,CY$1,0),IF(LEFT(VLOOKUP($D98,'Visu totale'!$D:$DH,CY$1,0),1)="V",IF(CX98&gt;=INDEX('[1]Définition Maintenances'!$G:$G,MATCH($A98,'[1]Définition Maintenances'!$K:$K,0)),CX98,INDEX('[1]Définition Maintenances'!$G:$G,MATCH($A98,'[1]Définition Maintenances'!$K:$K,0))+CX98),CX98))</f>
        <v>114</v>
      </c>
      <c r="CZ98" s="26">
        <f>IF(ISNUMBER(VLOOKUP($D98,'Visu totale'!$D:$DH,CZ$1,0)),CY98-VLOOKUP($D98,'Visu totale'!$D:$DH,CZ$1,0),IF(LEFT(VLOOKUP($D98,'Visu totale'!$D:$DH,CZ$1,0),1)="V",IF(CY98&gt;=INDEX('[1]Définition Maintenances'!$G:$G,MATCH($A98,'[1]Définition Maintenances'!$K:$K,0)),CY98,INDEX('[1]Définition Maintenances'!$G:$G,MATCH($A98,'[1]Définition Maintenances'!$K:$K,0))+CY98),CY98))</f>
        <v>114</v>
      </c>
      <c r="DA98" s="26">
        <f>IF(ISNUMBER(VLOOKUP($D98,'Visu totale'!$D:$DH,DA$1,0)),CZ98-VLOOKUP($D98,'Visu totale'!$D:$DH,DA$1,0),IF(LEFT(VLOOKUP($D98,'Visu totale'!$D:$DH,DA$1,0),1)="V",IF(CZ98&gt;=INDEX('[1]Définition Maintenances'!$G:$G,MATCH($A98,'[1]Définition Maintenances'!$K:$K,0)),CZ98,INDEX('[1]Définition Maintenances'!$G:$G,MATCH($A98,'[1]Définition Maintenances'!$K:$K,0))+CZ98),CZ98))</f>
        <v>114</v>
      </c>
      <c r="DB98" s="26">
        <f>IF(ISNUMBER(VLOOKUP($D98,'Visu totale'!$D:$DH,DB$1,0)),DA98-VLOOKUP($D98,'Visu totale'!$D:$DH,DB$1,0),IF(LEFT(VLOOKUP($D98,'Visu totale'!$D:$DH,DB$1,0),1)="V",IF(DA98&gt;=INDEX('[1]Définition Maintenances'!$G:$G,MATCH($A98,'[1]Définition Maintenances'!$K:$K,0)),DA98,INDEX('[1]Définition Maintenances'!$G:$G,MATCH($A98,'[1]Définition Maintenances'!$K:$K,0))+DA98),DA98))</f>
        <v>114</v>
      </c>
      <c r="DC98" s="26">
        <f>IF(ISNUMBER(VLOOKUP($D98,'Visu totale'!$D:$DH,DC$1,0)),DB98-VLOOKUP($D98,'Visu totale'!$D:$DH,DC$1,0),IF(LEFT(VLOOKUP($D98,'Visu totale'!$D:$DH,DC$1,0),1)="V",IF(DB98&gt;=INDEX('[1]Définition Maintenances'!$G:$G,MATCH($A98,'[1]Définition Maintenances'!$K:$K,0)),DB98,INDEX('[1]Définition Maintenances'!$G:$G,MATCH($A98,'[1]Définition Maintenances'!$K:$K,0))+DB98),DB98))</f>
        <v>114</v>
      </c>
      <c r="DD98" s="26">
        <f>IF(ISNUMBER(VLOOKUP($D98,'Visu totale'!$D:$DH,DD$1,0)),DC98-VLOOKUP($D98,'Visu totale'!$D:$DH,DD$1,0),IF(LEFT(VLOOKUP($D98,'Visu totale'!$D:$DH,DD$1,0),1)="V",IF(DC98&gt;=INDEX('[1]Définition Maintenances'!$G:$G,MATCH($A98,'[1]Définition Maintenances'!$K:$K,0)),DC98,INDEX('[1]Définition Maintenances'!$G:$G,MATCH($A98,'[1]Définition Maintenances'!$K:$K,0))+DC98),DC98))</f>
        <v>114</v>
      </c>
      <c r="DE98" s="26">
        <f>IF(ISNUMBER(VLOOKUP($D98,'Visu totale'!$D:$DH,DE$1,0)),DD98-VLOOKUP($D98,'Visu totale'!$D:$DH,DE$1,0),IF(LEFT(VLOOKUP($D98,'Visu totale'!$D:$DH,DE$1,0),1)="V",IF(DD98&gt;=INDEX('[1]Définition Maintenances'!$G:$G,MATCH($A98,'[1]Définition Maintenances'!$K:$K,0)),DD98,INDEX('[1]Définition Maintenances'!$G:$G,MATCH($A98,'[1]Définition Maintenances'!$K:$K,0))+DD98),DD98))</f>
        <v>114</v>
      </c>
      <c r="DF98" s="26">
        <f>IF(ISNUMBER(VLOOKUP($D98,'Visu totale'!$D:$DH,DF$1,0)),DE98-VLOOKUP($D98,'Visu totale'!$D:$DH,DF$1,0),IF(LEFT(VLOOKUP($D98,'Visu totale'!$D:$DH,DF$1,0),1)="V",IF(DE98&gt;=INDEX('[1]Définition Maintenances'!$G:$G,MATCH($A98,'[1]Définition Maintenances'!$K:$K,0)),DE98,INDEX('[1]Définition Maintenances'!$G:$G,MATCH($A98,'[1]Définition Maintenances'!$K:$K,0))+DE98),DE98))</f>
        <v>114</v>
      </c>
      <c r="DG98" s="26">
        <f>IF(ISNUMBER(VLOOKUP($D98,'Visu totale'!$D:$DH,DG$1,0)),DF98-VLOOKUP($D98,'Visu totale'!$D:$DH,DG$1,0),IF(LEFT(VLOOKUP($D98,'Visu totale'!$D:$DH,DG$1,0),1)="V",IF(DF98&gt;=INDEX('[1]Définition Maintenances'!$G:$G,MATCH($A98,'[1]Définition Maintenances'!$K:$K,0)),DF98,INDEX('[1]Définition Maintenances'!$G:$G,MATCH($A98,'[1]Définition Maintenances'!$K:$K,0))+DF98),DF98))</f>
        <v>114</v>
      </c>
      <c r="DH98" s="26">
        <f>IF(ISNUMBER(VLOOKUP($D98,'Visu totale'!$D:$DH,DH$1,0)),DG98-VLOOKUP($D98,'Visu totale'!$D:$DH,DH$1,0),IF(LEFT(VLOOKUP($D98,'Visu totale'!$D:$DH,DH$1,0),1)="V",IF(DG98&gt;=INDEX('[1]Définition Maintenances'!$G:$G,MATCH($A98,'[1]Définition Maintenances'!$K:$K,0)),DG98,INDEX('[1]Définition Maintenances'!$G:$G,MATCH($A98,'[1]Définition Maintenances'!$K:$K,0))+DG98),DG98))</f>
        <v>114</v>
      </c>
      <c r="DI98" s="27">
        <f>IF(ISNUMBER(VLOOKUP($D98,'Visu totale'!$D:$DH,DI$1,0)),DH98-VLOOKUP($D98,'Visu totale'!$D:$DH,DI$1,0),IF(LEFT(VLOOKUP($D98,'Visu totale'!$D:$DH,DI$1,0),1)="V",IF(DH98&gt;=INDEX('[1]Définition Maintenances'!$G:$G,MATCH($A98,'[1]Définition Maintenances'!$K:$K,0)),DH98,INDEX('[1]Définition Maintenances'!$G:$G,MATCH($A98,'[1]Définition Maintenances'!$K:$K,0))+DH98),DH98))</f>
        <v>114</v>
      </c>
    </row>
    <row r="99" spans="1:113" x14ac:dyDescent="0.25">
      <c r="A99" s="13" t="str">
        <f t="shared" si="2"/>
        <v>V10C</v>
      </c>
      <c r="B99" s="13" t="str">
        <f>VLOOKUP(D99,'[1]Avions (Potentiels)'!$B$2:$H$128,7,FALSE)</f>
        <v>V10</v>
      </c>
      <c r="C99" s="13"/>
      <c r="D99" s="16" t="s">
        <v>102</v>
      </c>
      <c r="E99" s="13">
        <f>IFERROR(VALUE(SUBSTITUTE(VLOOKUP(D99,'[1]Avions (Potentiels)'!$B:$E,4,0),".",",")),VALUE(VLOOKUP(D99,'[1]Avions (Potentiels)'!$B:$E,4,0)))</f>
        <v>451</v>
      </c>
      <c r="F99" s="25">
        <f>IF(ISNUMBER(VLOOKUP($D99,'Visu totale'!$D:$DH,F$1,0)),E99-VLOOKUP($D99,'Visu totale'!$D:$DH,F$1,0),IF(LEFT(VLOOKUP($D99,'Visu totale'!$D:$DH,F$1,0),1)="V",IF(E99&gt;=INDEX('[1]Définition Maintenances'!$G:$G,MATCH($A99,'[1]Définition Maintenances'!$K:$K,0)),E99,INDEX('[1]Définition Maintenances'!$G:$G,MATCH($A99,'[1]Définition Maintenances'!$K:$K,0))+E99),E99))</f>
        <v>451</v>
      </c>
      <c r="G99" s="26">
        <f>IF(ISNUMBER(VLOOKUP($D99,'Visu totale'!$D:$DH,G$1,0)),F99-VLOOKUP($D99,'Visu totale'!$D:$DH,G$1,0),IF(LEFT(VLOOKUP($D99,'Visu totale'!$D:$DH,G$1,0),1)="V",IF(F99&gt;=INDEX('[1]Définition Maintenances'!$G:$G,MATCH($A99,'[1]Définition Maintenances'!$K:$K,0)),F99,INDEX('[1]Définition Maintenances'!$G:$G,MATCH($A99,'[1]Définition Maintenances'!$K:$K,0))+F99),F99))</f>
        <v>451</v>
      </c>
      <c r="H99" s="26">
        <f>IF(ISNUMBER(VLOOKUP($D99,'Visu totale'!$D:$DH,H$1,0)),G99-VLOOKUP($D99,'Visu totale'!$D:$DH,H$1,0),IF(LEFT(VLOOKUP($D99,'Visu totale'!$D:$DH,H$1,0),1)="V",IF(G99&gt;=INDEX('[1]Définition Maintenances'!$G:$G,MATCH($A99,'[1]Définition Maintenances'!$K:$K,0)),G99,INDEX('[1]Définition Maintenances'!$G:$G,MATCH($A99,'[1]Définition Maintenances'!$K:$K,0))+G99),G99))</f>
        <v>451</v>
      </c>
      <c r="I99" s="26">
        <f>IF(ISNUMBER(VLOOKUP($D99,'Visu totale'!$D:$DH,I$1,0)),H99-VLOOKUP($D99,'Visu totale'!$D:$DH,I$1,0),IF(LEFT(VLOOKUP($D99,'Visu totale'!$D:$DH,I$1,0),1)="V",IF(H99&gt;=INDEX('[1]Définition Maintenances'!$G:$G,MATCH($A99,'[1]Définition Maintenances'!$K:$K,0)),H99,INDEX('[1]Définition Maintenances'!$G:$G,MATCH($A99,'[1]Définition Maintenances'!$K:$K,0))+H99),H99))</f>
        <v>451</v>
      </c>
      <c r="J99" s="26">
        <f>IF(ISNUMBER(VLOOKUP($D99,'Visu totale'!$D:$DH,J$1,0)),I99-VLOOKUP($D99,'Visu totale'!$D:$DH,J$1,0),IF(LEFT(VLOOKUP($D99,'Visu totale'!$D:$DH,J$1,0),1)="V",IF(I99&gt;=INDEX('[1]Définition Maintenances'!$G:$G,MATCH($A99,'[1]Définition Maintenances'!$K:$K,0)),I99,INDEX('[1]Définition Maintenances'!$G:$G,MATCH($A99,'[1]Définition Maintenances'!$K:$K,0))+I99),I99))</f>
        <v>451</v>
      </c>
      <c r="K99" s="26">
        <f>IF(ISNUMBER(VLOOKUP($D99,'Visu totale'!$D:$DH,K$1,0)),J99-VLOOKUP($D99,'Visu totale'!$D:$DH,K$1,0),IF(LEFT(VLOOKUP($D99,'Visu totale'!$D:$DH,K$1,0),1)="V",IF(J99&gt;=INDEX('[1]Définition Maintenances'!$G:$G,MATCH($A99,'[1]Définition Maintenances'!$K:$K,0)),J99,INDEX('[1]Définition Maintenances'!$G:$G,MATCH($A99,'[1]Définition Maintenances'!$K:$K,0))+J99),J99))</f>
        <v>451</v>
      </c>
      <c r="L99" s="26">
        <f>IF(ISNUMBER(VLOOKUP($D99,'Visu totale'!$D:$DH,L$1,0)),K99-VLOOKUP($D99,'Visu totale'!$D:$DH,L$1,0),IF(LEFT(VLOOKUP($D99,'Visu totale'!$D:$DH,L$1,0),1)="V",IF(K99&gt;=INDEX('[1]Définition Maintenances'!$G:$G,MATCH($A99,'[1]Définition Maintenances'!$K:$K,0)),K99,INDEX('[1]Définition Maintenances'!$G:$G,MATCH($A99,'[1]Définition Maintenances'!$K:$K,0))+K99),K99))</f>
        <v>451</v>
      </c>
      <c r="M99" s="26">
        <f>IF(ISNUMBER(VLOOKUP($D99,'Visu totale'!$D:$DH,M$1,0)),L99-VLOOKUP($D99,'Visu totale'!$D:$DH,M$1,0),IF(LEFT(VLOOKUP($D99,'Visu totale'!$D:$DH,M$1,0),1)="V",IF(L99&gt;=INDEX('[1]Définition Maintenances'!$G:$G,MATCH($A99,'[1]Définition Maintenances'!$K:$K,0)),L99,INDEX('[1]Définition Maintenances'!$G:$G,MATCH($A99,'[1]Définition Maintenances'!$K:$K,0))+L99),L99))</f>
        <v>451</v>
      </c>
      <c r="N99" s="26">
        <f>IF(ISNUMBER(VLOOKUP($D99,'Visu totale'!$D:$DH,N$1,0)),M99-VLOOKUP($D99,'Visu totale'!$D:$DH,N$1,0),IF(LEFT(VLOOKUP($D99,'Visu totale'!$D:$DH,N$1,0),1)="V",IF(M99&gt;=INDEX('[1]Définition Maintenances'!$G:$G,MATCH($A99,'[1]Définition Maintenances'!$K:$K,0)),M99,INDEX('[1]Définition Maintenances'!$G:$G,MATCH($A99,'[1]Définition Maintenances'!$K:$K,0))+M99),M99))</f>
        <v>451</v>
      </c>
      <c r="O99" s="26">
        <f>IF(ISNUMBER(VLOOKUP($D99,'Visu totale'!$D:$DH,O$1,0)),N99-VLOOKUP($D99,'Visu totale'!$D:$DH,O$1,0),IF(LEFT(VLOOKUP($D99,'Visu totale'!$D:$DH,O$1,0),1)="V",IF(N99&gt;=INDEX('[1]Définition Maintenances'!$G:$G,MATCH($A99,'[1]Définition Maintenances'!$K:$K,0)),N99,INDEX('[1]Définition Maintenances'!$G:$G,MATCH($A99,'[1]Définition Maintenances'!$K:$K,0))+N99),N99))</f>
        <v>451</v>
      </c>
      <c r="P99" s="26">
        <f>IF(ISNUMBER(VLOOKUP($D99,'Visu totale'!$D:$DH,P$1,0)),O99-VLOOKUP($D99,'Visu totale'!$D:$DH,P$1,0),IF(LEFT(VLOOKUP($D99,'Visu totale'!$D:$DH,P$1,0),1)="V",IF(O99&gt;=INDEX('[1]Définition Maintenances'!$G:$G,MATCH($A99,'[1]Définition Maintenances'!$K:$K,0)),O99,INDEX('[1]Définition Maintenances'!$G:$G,MATCH($A99,'[1]Définition Maintenances'!$K:$K,0))+O99),O99))</f>
        <v>451</v>
      </c>
      <c r="Q99" s="27">
        <f>IF(ISNUMBER(VLOOKUP($D99,'Visu totale'!$D:$DH,Q$1,0)),P99-VLOOKUP($D99,'Visu totale'!$D:$DH,Q$1,0),IF(LEFT(VLOOKUP($D99,'Visu totale'!$D:$DH,Q$1,0),1)="V",IF(P99&gt;=INDEX('[1]Définition Maintenances'!$G:$G,MATCH($A99,'[1]Définition Maintenances'!$K:$K,0)),P99,INDEX('[1]Définition Maintenances'!$G:$G,MATCH($A99,'[1]Définition Maintenances'!$K:$K,0))+P99),P99))</f>
        <v>451</v>
      </c>
      <c r="R99" s="25">
        <f>IF(ISNUMBER(VLOOKUP($D99,'Visu totale'!$D:$DH,R$1,0)),Q99-VLOOKUP($D99,'Visu totale'!$D:$DH,R$1,0),IF(LEFT(VLOOKUP($D99,'Visu totale'!$D:$DH,R$1,0),1)="V",IF(Q99&gt;=INDEX('[1]Définition Maintenances'!$G:$G,MATCH($A99,'[1]Définition Maintenances'!$K:$K,0)),Q99,INDEX('[1]Définition Maintenances'!$G:$G,MATCH($A99,'[1]Définition Maintenances'!$K:$K,0))+Q99),Q99))</f>
        <v>451</v>
      </c>
      <c r="S99" s="26">
        <f>IF(ISNUMBER(VLOOKUP($D99,'Visu totale'!$D:$DH,S$1,0)),R99-VLOOKUP($D99,'Visu totale'!$D:$DH,S$1,0),IF(LEFT(VLOOKUP($D99,'Visu totale'!$D:$DH,S$1,0),1)="V",IF(R99&gt;=INDEX('[1]Définition Maintenances'!$G:$G,MATCH($A99,'[1]Définition Maintenances'!$K:$K,0)),R99,INDEX('[1]Définition Maintenances'!$G:$G,MATCH($A99,'[1]Définition Maintenances'!$K:$K,0))+R99),R99))</f>
        <v>451</v>
      </c>
      <c r="T99" s="26">
        <f>IF(ISNUMBER(VLOOKUP($D99,'Visu totale'!$D:$DH,T$1,0)),S99-VLOOKUP($D99,'Visu totale'!$D:$DH,T$1,0),IF(LEFT(VLOOKUP($D99,'Visu totale'!$D:$DH,T$1,0),1)="V",IF(S99&gt;=INDEX('[1]Définition Maintenances'!$G:$G,MATCH($A99,'[1]Définition Maintenances'!$K:$K,0)),S99,INDEX('[1]Définition Maintenances'!$G:$G,MATCH($A99,'[1]Définition Maintenances'!$K:$K,0))+S99),S99))</f>
        <v>451</v>
      </c>
      <c r="U99" s="26">
        <f>IF(ISNUMBER(VLOOKUP($D99,'Visu totale'!$D:$DH,U$1,0)),T99-VLOOKUP($D99,'Visu totale'!$D:$DH,U$1,0),IF(LEFT(VLOOKUP($D99,'Visu totale'!$D:$DH,U$1,0),1)="V",IF(T99&gt;=INDEX('[1]Définition Maintenances'!$G:$G,MATCH($A99,'[1]Définition Maintenances'!$K:$K,0)),T99,INDEX('[1]Définition Maintenances'!$G:$G,MATCH($A99,'[1]Définition Maintenances'!$K:$K,0))+T99),T99))</f>
        <v>451</v>
      </c>
      <c r="V99" s="26">
        <f>IF(ISNUMBER(VLOOKUP($D99,'Visu totale'!$D:$DH,V$1,0)),U99-VLOOKUP($D99,'Visu totale'!$D:$DH,V$1,0),IF(LEFT(VLOOKUP($D99,'Visu totale'!$D:$DH,V$1,0),1)="V",IF(U99&gt;=INDEX('[1]Définition Maintenances'!$G:$G,MATCH($A99,'[1]Définition Maintenances'!$K:$K,0)),U99,INDEX('[1]Définition Maintenances'!$G:$G,MATCH($A99,'[1]Définition Maintenances'!$K:$K,0))+U99),U99))</f>
        <v>451</v>
      </c>
      <c r="W99" s="26">
        <f>IF(ISNUMBER(VLOOKUP($D99,'Visu totale'!$D:$DH,W$1,0)),V99-VLOOKUP($D99,'Visu totale'!$D:$DH,W$1,0),IF(LEFT(VLOOKUP($D99,'Visu totale'!$D:$DH,W$1,0),1)="V",IF(V99&gt;=INDEX('[1]Définition Maintenances'!$G:$G,MATCH($A99,'[1]Définition Maintenances'!$K:$K,0)),V99,INDEX('[1]Définition Maintenances'!$G:$G,MATCH($A99,'[1]Définition Maintenances'!$K:$K,0))+V99),V99))</f>
        <v>451</v>
      </c>
      <c r="X99" s="26">
        <f>IF(ISNUMBER(VLOOKUP($D99,'Visu totale'!$D:$DH,X$1,0)),W99-VLOOKUP($D99,'Visu totale'!$D:$DH,X$1,0),IF(LEFT(VLOOKUP($D99,'Visu totale'!$D:$DH,X$1,0),1)="V",IF(W99&gt;=INDEX('[1]Définition Maintenances'!$G:$G,MATCH($A99,'[1]Définition Maintenances'!$K:$K,0)),W99,INDEX('[1]Définition Maintenances'!$G:$G,MATCH($A99,'[1]Définition Maintenances'!$K:$K,0))+W99),W99))</f>
        <v>451</v>
      </c>
      <c r="Y99" s="26">
        <f>IF(ISNUMBER(VLOOKUP($D99,'Visu totale'!$D:$DH,Y$1,0)),X99-VLOOKUP($D99,'Visu totale'!$D:$DH,Y$1,0),IF(LEFT(VLOOKUP($D99,'Visu totale'!$D:$DH,Y$1,0),1)="V",IF(X99&gt;=INDEX('[1]Définition Maintenances'!$G:$G,MATCH($A99,'[1]Définition Maintenances'!$K:$K,0)),X99,INDEX('[1]Définition Maintenances'!$G:$G,MATCH($A99,'[1]Définition Maintenances'!$K:$K,0))+X99),X99))</f>
        <v>451</v>
      </c>
      <c r="Z99" s="26">
        <f>IF(ISNUMBER(VLOOKUP($D99,'Visu totale'!$D:$DH,Z$1,0)),Y99-VLOOKUP($D99,'Visu totale'!$D:$DH,Z$1,0),IF(LEFT(VLOOKUP($D99,'Visu totale'!$D:$DH,Z$1,0),1)="V",IF(Y99&gt;=INDEX('[1]Définition Maintenances'!$G:$G,MATCH($A99,'[1]Définition Maintenances'!$K:$K,0)),Y99,INDEX('[1]Définition Maintenances'!$G:$G,MATCH($A99,'[1]Définition Maintenances'!$K:$K,0))+Y99),Y99))</f>
        <v>451</v>
      </c>
      <c r="AA99" s="26">
        <f>IF(ISNUMBER(VLOOKUP($D99,'Visu totale'!$D:$DH,AA$1,0)),Z99-VLOOKUP($D99,'Visu totale'!$D:$DH,AA$1,0),IF(LEFT(VLOOKUP($D99,'Visu totale'!$D:$DH,AA$1,0),1)="V",IF(Z99&gt;=INDEX('[1]Définition Maintenances'!$G:$G,MATCH($A99,'[1]Définition Maintenances'!$K:$K,0)),Z99,INDEX('[1]Définition Maintenances'!$G:$G,MATCH($A99,'[1]Définition Maintenances'!$K:$K,0))+Z99),Z99))</f>
        <v>451</v>
      </c>
      <c r="AB99" s="26">
        <f>IF(ISNUMBER(VLOOKUP($D99,'Visu totale'!$D:$DH,AB$1,0)),AA99-VLOOKUP($D99,'Visu totale'!$D:$DH,AB$1,0),IF(LEFT(VLOOKUP($D99,'Visu totale'!$D:$DH,AB$1,0),1)="V",IF(AA99&gt;=INDEX('[1]Définition Maintenances'!$G:$G,MATCH($A99,'[1]Définition Maintenances'!$K:$K,0)),AA99,INDEX('[1]Définition Maintenances'!$G:$G,MATCH($A99,'[1]Définition Maintenances'!$K:$K,0))+AA99),AA99))</f>
        <v>451</v>
      </c>
      <c r="AC99" s="27">
        <f>IF(ISNUMBER(VLOOKUP($D99,'Visu totale'!$D:$DH,AC$1,0)),AB99-VLOOKUP($D99,'Visu totale'!$D:$DH,AC$1,0),IF(LEFT(VLOOKUP($D99,'Visu totale'!$D:$DH,AC$1,0),1)="V",IF(AB99&gt;=INDEX('[1]Définition Maintenances'!$G:$G,MATCH($A99,'[1]Définition Maintenances'!$K:$K,0)),AB99,INDEX('[1]Définition Maintenances'!$G:$G,MATCH($A99,'[1]Définition Maintenances'!$K:$K,0))+AB99),AB99))</f>
        <v>451</v>
      </c>
      <c r="AD99" s="25">
        <f>IF(ISNUMBER(VLOOKUP($D99,'Visu totale'!$D:$DH,AD$1,0)),AC99-VLOOKUP($D99,'Visu totale'!$D:$DH,AD$1,0),IF(LEFT(VLOOKUP($D99,'Visu totale'!$D:$DH,AD$1,0),1)="V",IF(AC99&gt;=INDEX('[1]Définition Maintenances'!$G:$G,MATCH($A99,'[1]Définition Maintenances'!$K:$K,0)),AC99,INDEX('[1]Définition Maintenances'!$G:$G,MATCH($A99,'[1]Définition Maintenances'!$K:$K,0))+AC99),AC99))</f>
        <v>451</v>
      </c>
      <c r="AE99" s="26">
        <f>IF(ISNUMBER(VLOOKUP($D99,'Visu totale'!$D:$DH,AE$1,0)),AD99-VLOOKUP($D99,'Visu totale'!$D:$DH,AE$1,0),IF(LEFT(VLOOKUP($D99,'Visu totale'!$D:$DH,AE$1,0),1)="V",IF(AD99&gt;=INDEX('[1]Définition Maintenances'!$G:$G,MATCH($A99,'[1]Définition Maintenances'!$K:$K,0)),AD99,INDEX('[1]Définition Maintenances'!$G:$G,MATCH($A99,'[1]Définition Maintenances'!$K:$K,0))+AD99),AD99))</f>
        <v>451</v>
      </c>
      <c r="AF99" s="26">
        <f>IF(ISNUMBER(VLOOKUP($D99,'Visu totale'!$D:$DH,AF$1,0)),AE99-VLOOKUP($D99,'Visu totale'!$D:$DH,AF$1,0),IF(LEFT(VLOOKUP($D99,'Visu totale'!$D:$DH,AF$1,0),1)="V",IF(AE99&gt;=INDEX('[1]Définition Maintenances'!$G:$G,MATCH($A99,'[1]Définition Maintenances'!$K:$K,0)),AE99,INDEX('[1]Définition Maintenances'!$G:$G,MATCH($A99,'[1]Définition Maintenances'!$K:$K,0))+AE99),AE99))</f>
        <v>451</v>
      </c>
      <c r="AG99" s="26">
        <f>IF(ISNUMBER(VLOOKUP($D99,'Visu totale'!$D:$DH,AG$1,0)),AF99-VLOOKUP($D99,'Visu totale'!$D:$DH,AG$1,0),IF(LEFT(VLOOKUP($D99,'Visu totale'!$D:$DH,AG$1,0),1)="V",IF(AF99&gt;=INDEX('[1]Définition Maintenances'!$G:$G,MATCH($A99,'[1]Définition Maintenances'!$K:$K,0)),AF99,INDEX('[1]Définition Maintenances'!$G:$G,MATCH($A99,'[1]Définition Maintenances'!$K:$K,0))+AF99),AF99))</f>
        <v>451</v>
      </c>
      <c r="AH99" s="26">
        <f>IF(ISNUMBER(VLOOKUP($D99,'Visu totale'!$D:$DH,AH$1,0)),AG99-VLOOKUP($D99,'Visu totale'!$D:$DH,AH$1,0),IF(LEFT(VLOOKUP($D99,'Visu totale'!$D:$DH,AH$1,0),1)="V",IF(AG99&gt;=INDEX('[1]Définition Maintenances'!$G:$G,MATCH($A99,'[1]Définition Maintenances'!$K:$K,0)),AG99,INDEX('[1]Définition Maintenances'!$G:$G,MATCH($A99,'[1]Définition Maintenances'!$K:$K,0))+AG99),AG99))</f>
        <v>451</v>
      </c>
      <c r="AI99" s="26">
        <f>IF(ISNUMBER(VLOOKUP($D99,'Visu totale'!$D:$DH,AI$1,0)),AH99-VLOOKUP($D99,'Visu totale'!$D:$DH,AI$1,0),IF(LEFT(VLOOKUP($D99,'Visu totale'!$D:$DH,AI$1,0),1)="V",IF(AH99&gt;=INDEX('[1]Définition Maintenances'!$G:$G,MATCH($A99,'[1]Définition Maintenances'!$K:$K,0)),AH99,INDEX('[1]Définition Maintenances'!$G:$G,MATCH($A99,'[1]Définition Maintenances'!$K:$K,0))+AH99),AH99))</f>
        <v>451</v>
      </c>
      <c r="AJ99" s="26">
        <f>IF(ISNUMBER(VLOOKUP($D99,'Visu totale'!$D:$DH,AJ$1,0)),AI99-VLOOKUP($D99,'Visu totale'!$D:$DH,AJ$1,0),IF(LEFT(VLOOKUP($D99,'Visu totale'!$D:$DH,AJ$1,0),1)="V",IF(AI99&gt;=INDEX('[1]Définition Maintenances'!$G:$G,MATCH($A99,'[1]Définition Maintenances'!$K:$K,0)),AI99,INDEX('[1]Définition Maintenances'!$G:$G,MATCH($A99,'[1]Définition Maintenances'!$K:$K,0))+AI99),AI99))</f>
        <v>451</v>
      </c>
      <c r="AK99" s="26">
        <f>IF(ISNUMBER(VLOOKUP($D99,'Visu totale'!$D:$DH,AK$1,0)),AJ99-VLOOKUP($D99,'Visu totale'!$D:$DH,AK$1,0),IF(LEFT(VLOOKUP($D99,'Visu totale'!$D:$DH,AK$1,0),1)="V",IF(AJ99&gt;=INDEX('[1]Définition Maintenances'!$G:$G,MATCH($A99,'[1]Définition Maintenances'!$K:$K,0)),AJ99,INDEX('[1]Définition Maintenances'!$G:$G,MATCH($A99,'[1]Définition Maintenances'!$K:$K,0))+AJ99),AJ99))</f>
        <v>451</v>
      </c>
      <c r="AL99" s="26">
        <f>IF(ISNUMBER(VLOOKUP($D99,'Visu totale'!$D:$DH,AL$1,0)),AK99-VLOOKUP($D99,'Visu totale'!$D:$DH,AL$1,0),IF(LEFT(VLOOKUP($D99,'Visu totale'!$D:$DH,AL$1,0),1)="V",IF(AK99&gt;=INDEX('[1]Définition Maintenances'!$G:$G,MATCH($A99,'[1]Définition Maintenances'!$K:$K,0)),AK99,INDEX('[1]Définition Maintenances'!$G:$G,MATCH($A99,'[1]Définition Maintenances'!$K:$K,0))+AK99),AK99))</f>
        <v>451</v>
      </c>
      <c r="AM99" s="26">
        <f>IF(ISNUMBER(VLOOKUP($D99,'Visu totale'!$D:$DH,AM$1,0)),AL99-VLOOKUP($D99,'Visu totale'!$D:$DH,AM$1,0),IF(LEFT(VLOOKUP($D99,'Visu totale'!$D:$DH,AM$1,0),1)="V",IF(AL99&gt;=INDEX('[1]Définition Maintenances'!$G:$G,MATCH($A99,'[1]Définition Maintenances'!$K:$K,0)),AL99,INDEX('[1]Définition Maintenances'!$G:$G,MATCH($A99,'[1]Définition Maintenances'!$K:$K,0))+AL99),AL99))</f>
        <v>451</v>
      </c>
      <c r="AN99" s="26">
        <f>IF(ISNUMBER(VLOOKUP($D99,'Visu totale'!$D:$DH,AN$1,0)),AM99-VLOOKUP($D99,'Visu totale'!$D:$DH,AN$1,0),IF(LEFT(VLOOKUP($D99,'Visu totale'!$D:$DH,AN$1,0),1)="V",IF(AM99&gt;=INDEX('[1]Définition Maintenances'!$G:$G,MATCH($A99,'[1]Définition Maintenances'!$K:$K,0)),AM99,INDEX('[1]Définition Maintenances'!$G:$G,MATCH($A99,'[1]Définition Maintenances'!$K:$K,0))+AM99),AM99))</f>
        <v>451</v>
      </c>
      <c r="AO99" s="27">
        <f>IF(ISNUMBER(VLOOKUP($D99,'Visu totale'!$D:$DH,AO$1,0)),AN99-VLOOKUP($D99,'Visu totale'!$D:$DH,AO$1,0),IF(LEFT(VLOOKUP($D99,'Visu totale'!$D:$DH,AO$1,0),1)="V",IF(AN99&gt;=INDEX('[1]Définition Maintenances'!$G:$G,MATCH($A99,'[1]Définition Maintenances'!$K:$K,0)),AN99,INDEX('[1]Définition Maintenances'!$G:$G,MATCH($A99,'[1]Définition Maintenances'!$K:$K,0))+AN99),AN99))</f>
        <v>451</v>
      </c>
      <c r="AP99" s="25">
        <f>IF(ISNUMBER(VLOOKUP($D99,'Visu totale'!$D:$DH,AP$1,0)),AO99-VLOOKUP($D99,'Visu totale'!$D:$DH,AP$1,0),IF(LEFT(VLOOKUP($D99,'Visu totale'!$D:$DH,AP$1,0),1)="V",IF(AO99&gt;=INDEX('[1]Définition Maintenances'!$G:$G,MATCH($A99,'[1]Définition Maintenances'!$K:$K,0)),AO99,INDEX('[1]Définition Maintenances'!$G:$G,MATCH($A99,'[1]Définition Maintenances'!$K:$K,0))+AO99),AO99))</f>
        <v>451</v>
      </c>
      <c r="AQ99" s="26">
        <f>IF(ISNUMBER(VLOOKUP($D99,'Visu totale'!$D:$DH,AQ$1,0)),AP99-VLOOKUP($D99,'Visu totale'!$D:$DH,AQ$1,0),IF(LEFT(VLOOKUP($D99,'Visu totale'!$D:$DH,AQ$1,0),1)="V",IF(AP99&gt;=INDEX('[1]Définition Maintenances'!$G:$G,MATCH($A99,'[1]Définition Maintenances'!$K:$K,0)),AP99,INDEX('[1]Définition Maintenances'!$G:$G,MATCH($A99,'[1]Définition Maintenances'!$K:$K,0))+AP99),AP99))</f>
        <v>451</v>
      </c>
      <c r="AR99" s="26">
        <f>IF(ISNUMBER(VLOOKUP($D99,'Visu totale'!$D:$DH,AR$1,0)),AQ99-VLOOKUP($D99,'Visu totale'!$D:$DH,AR$1,0),IF(LEFT(VLOOKUP($D99,'Visu totale'!$D:$DH,AR$1,0),1)="V",IF(AQ99&gt;=INDEX('[1]Définition Maintenances'!$G:$G,MATCH($A99,'[1]Définition Maintenances'!$K:$K,0)),AQ99,INDEX('[1]Définition Maintenances'!$G:$G,MATCH($A99,'[1]Définition Maintenances'!$K:$K,0))+AQ99),AQ99))</f>
        <v>451</v>
      </c>
      <c r="AS99" s="26">
        <f>IF(ISNUMBER(VLOOKUP($D99,'Visu totale'!$D:$DH,AS$1,0)),AR99-VLOOKUP($D99,'Visu totale'!$D:$DH,AS$1,0),IF(LEFT(VLOOKUP($D99,'Visu totale'!$D:$DH,AS$1,0),1)="V",IF(AR99&gt;=INDEX('[1]Définition Maintenances'!$G:$G,MATCH($A99,'[1]Définition Maintenances'!$K:$K,0)),AR99,INDEX('[1]Définition Maintenances'!$G:$G,MATCH($A99,'[1]Définition Maintenances'!$K:$K,0))+AR99),AR99))</f>
        <v>451</v>
      </c>
      <c r="AT99" s="26">
        <f>IF(ISNUMBER(VLOOKUP($D99,'Visu totale'!$D:$DH,AT$1,0)),AS99-VLOOKUP($D99,'Visu totale'!$D:$DH,AT$1,0),IF(LEFT(VLOOKUP($D99,'Visu totale'!$D:$DH,AT$1,0),1)="V",IF(AS99&gt;=INDEX('[1]Définition Maintenances'!$G:$G,MATCH($A99,'[1]Définition Maintenances'!$K:$K,0)),AS99,INDEX('[1]Définition Maintenances'!$G:$G,MATCH($A99,'[1]Définition Maintenances'!$K:$K,0))+AS99),AS99))</f>
        <v>451</v>
      </c>
      <c r="AU99" s="26">
        <f>IF(ISNUMBER(VLOOKUP($D99,'Visu totale'!$D:$DH,AU$1,0)),AT99-VLOOKUP($D99,'Visu totale'!$D:$DH,AU$1,0),IF(LEFT(VLOOKUP($D99,'Visu totale'!$D:$DH,AU$1,0),1)="V",IF(AT99&gt;=INDEX('[1]Définition Maintenances'!$G:$G,MATCH($A99,'[1]Définition Maintenances'!$K:$K,0)),AT99,INDEX('[1]Définition Maintenances'!$G:$G,MATCH($A99,'[1]Définition Maintenances'!$K:$K,0))+AT99),AT99))</f>
        <v>451</v>
      </c>
      <c r="AV99" s="26">
        <f>IF(ISNUMBER(VLOOKUP($D99,'Visu totale'!$D:$DH,AV$1,0)),AU99-VLOOKUP($D99,'Visu totale'!$D:$DH,AV$1,0),IF(LEFT(VLOOKUP($D99,'Visu totale'!$D:$DH,AV$1,0),1)="V",IF(AU99&gt;=INDEX('[1]Définition Maintenances'!$G:$G,MATCH($A99,'[1]Définition Maintenances'!$K:$K,0)),AU99,INDEX('[1]Définition Maintenances'!$G:$G,MATCH($A99,'[1]Définition Maintenances'!$K:$K,0))+AU99),AU99))</f>
        <v>451</v>
      </c>
      <c r="AW99" s="26">
        <f>IF(ISNUMBER(VLOOKUP($D99,'Visu totale'!$D:$DH,AW$1,0)),AV99-VLOOKUP($D99,'Visu totale'!$D:$DH,AW$1,0),IF(LEFT(VLOOKUP($D99,'Visu totale'!$D:$DH,AW$1,0),1)="V",IF(AV99&gt;=INDEX('[1]Définition Maintenances'!$G:$G,MATCH($A99,'[1]Définition Maintenances'!$K:$K,0)),AV99,INDEX('[1]Définition Maintenances'!$G:$G,MATCH($A99,'[1]Définition Maintenances'!$K:$K,0))+AV99),AV99))</f>
        <v>451</v>
      </c>
      <c r="AX99" s="26">
        <f>IF(ISNUMBER(VLOOKUP($D99,'Visu totale'!$D:$DH,AX$1,0)),AW99-VLOOKUP($D99,'Visu totale'!$D:$DH,AX$1,0),IF(LEFT(VLOOKUP($D99,'Visu totale'!$D:$DH,AX$1,0),1)="V",IF(AW99&gt;=INDEX('[1]Définition Maintenances'!$G:$G,MATCH($A99,'[1]Définition Maintenances'!$K:$K,0)),AW99,INDEX('[1]Définition Maintenances'!$G:$G,MATCH($A99,'[1]Définition Maintenances'!$K:$K,0))+AW99),AW99))</f>
        <v>451</v>
      </c>
      <c r="AY99" s="26">
        <f>IF(ISNUMBER(VLOOKUP($D99,'Visu totale'!$D:$DH,AY$1,0)),AX99-VLOOKUP($D99,'Visu totale'!$D:$DH,AY$1,0),IF(LEFT(VLOOKUP($D99,'Visu totale'!$D:$DH,AY$1,0),1)="V",IF(AX99&gt;=INDEX('[1]Définition Maintenances'!$G:$G,MATCH($A99,'[1]Définition Maintenances'!$K:$K,0)),AX99,INDEX('[1]Définition Maintenances'!$G:$G,MATCH($A99,'[1]Définition Maintenances'!$K:$K,0))+AX99),AX99))</f>
        <v>451</v>
      </c>
      <c r="AZ99" s="26">
        <f>IF(ISNUMBER(VLOOKUP($D99,'Visu totale'!$D:$DH,AZ$1,0)),AY99-VLOOKUP($D99,'Visu totale'!$D:$DH,AZ$1,0),IF(LEFT(VLOOKUP($D99,'Visu totale'!$D:$DH,AZ$1,0),1)="V",IF(AY99&gt;=INDEX('[1]Définition Maintenances'!$G:$G,MATCH($A99,'[1]Définition Maintenances'!$K:$K,0)),AY99,INDEX('[1]Définition Maintenances'!$G:$G,MATCH($A99,'[1]Définition Maintenances'!$K:$K,0))+AY99),AY99))</f>
        <v>451</v>
      </c>
      <c r="BA99" s="27">
        <f>IF(ISNUMBER(VLOOKUP($D99,'Visu totale'!$D:$DH,BA$1,0)),AZ99-VLOOKUP($D99,'Visu totale'!$D:$DH,BA$1,0),IF(LEFT(VLOOKUP($D99,'Visu totale'!$D:$DH,BA$1,0),1)="V",IF(AZ99&gt;=INDEX('[1]Définition Maintenances'!$G:$G,MATCH($A99,'[1]Définition Maintenances'!$K:$K,0)),AZ99,INDEX('[1]Définition Maintenances'!$G:$G,MATCH($A99,'[1]Définition Maintenances'!$K:$K,0))+AZ99),AZ99))</f>
        <v>451</v>
      </c>
      <c r="BB99" s="25">
        <f>IF(ISNUMBER(VLOOKUP($D99,'Visu totale'!$D:$DH,BB$1,0)),BA99-VLOOKUP($D99,'Visu totale'!$D:$DH,BB$1,0),IF(LEFT(VLOOKUP($D99,'Visu totale'!$D:$DH,BB$1,0),1)="V",IF(BA99&gt;=INDEX('[1]Définition Maintenances'!$G:$G,MATCH($A99,'[1]Définition Maintenances'!$K:$K,0)),BA99,INDEX('[1]Définition Maintenances'!$G:$G,MATCH($A99,'[1]Définition Maintenances'!$K:$K,0))+BA99),BA99))</f>
        <v>451</v>
      </c>
      <c r="BC99" s="26">
        <f>IF(ISNUMBER(VLOOKUP($D99,'Visu totale'!$D:$DH,BC$1,0)),BB99-VLOOKUP($D99,'Visu totale'!$D:$DH,BC$1,0),IF(LEFT(VLOOKUP($D99,'Visu totale'!$D:$DH,BC$1,0),1)="V",IF(BB99&gt;=INDEX('[1]Définition Maintenances'!$G:$G,MATCH($A99,'[1]Définition Maintenances'!$K:$K,0)),BB99,INDEX('[1]Définition Maintenances'!$G:$G,MATCH($A99,'[1]Définition Maintenances'!$K:$K,0))+BB99),BB99))</f>
        <v>451</v>
      </c>
      <c r="BD99" s="26">
        <f>IF(ISNUMBER(VLOOKUP($D99,'Visu totale'!$D:$DH,BD$1,0)),BC99-VLOOKUP($D99,'Visu totale'!$D:$DH,BD$1,0),IF(LEFT(VLOOKUP($D99,'Visu totale'!$D:$DH,BD$1,0),1)="V",IF(BC99&gt;=INDEX('[1]Définition Maintenances'!$G:$G,MATCH($A99,'[1]Définition Maintenances'!$K:$K,0)),BC99,INDEX('[1]Définition Maintenances'!$G:$G,MATCH($A99,'[1]Définition Maintenances'!$K:$K,0))+BC99),BC99))</f>
        <v>451</v>
      </c>
      <c r="BE99" s="26">
        <f>IF(ISNUMBER(VLOOKUP($D99,'Visu totale'!$D:$DH,BE$1,0)),BD99-VLOOKUP($D99,'Visu totale'!$D:$DH,BE$1,0),IF(LEFT(VLOOKUP($D99,'Visu totale'!$D:$DH,BE$1,0),1)="V",IF(BD99&gt;=INDEX('[1]Définition Maintenances'!$G:$G,MATCH($A99,'[1]Définition Maintenances'!$K:$K,0)),BD99,INDEX('[1]Définition Maintenances'!$G:$G,MATCH($A99,'[1]Définition Maintenances'!$K:$K,0))+BD99),BD99))</f>
        <v>451</v>
      </c>
      <c r="BF99" s="26">
        <f>IF(ISNUMBER(VLOOKUP($D99,'Visu totale'!$D:$DH,BF$1,0)),BE99-VLOOKUP($D99,'Visu totale'!$D:$DH,BF$1,0),IF(LEFT(VLOOKUP($D99,'Visu totale'!$D:$DH,BF$1,0),1)="V",IF(BE99&gt;=INDEX('[1]Définition Maintenances'!$G:$G,MATCH($A99,'[1]Définition Maintenances'!$K:$K,0)),BE99,INDEX('[1]Définition Maintenances'!$G:$G,MATCH($A99,'[1]Définition Maintenances'!$K:$K,0))+BE99),BE99))</f>
        <v>451</v>
      </c>
      <c r="BG99" s="26">
        <f>IF(ISNUMBER(VLOOKUP($D99,'Visu totale'!$D:$DH,BG$1,0)),BF99-VLOOKUP($D99,'Visu totale'!$D:$DH,BG$1,0),IF(LEFT(VLOOKUP($D99,'Visu totale'!$D:$DH,BG$1,0),1)="V",IF(BF99&gt;=INDEX('[1]Définition Maintenances'!$G:$G,MATCH($A99,'[1]Définition Maintenances'!$K:$K,0)),BF99,INDEX('[1]Définition Maintenances'!$G:$G,MATCH($A99,'[1]Définition Maintenances'!$K:$K,0))+BF99),BF99))</f>
        <v>451</v>
      </c>
      <c r="BH99" s="26">
        <f>IF(ISNUMBER(VLOOKUP($D99,'Visu totale'!$D:$DH,BH$1,0)),BG99-VLOOKUP($D99,'Visu totale'!$D:$DH,BH$1,0),IF(LEFT(VLOOKUP($D99,'Visu totale'!$D:$DH,BH$1,0),1)="V",IF(BG99&gt;=INDEX('[1]Définition Maintenances'!$G:$G,MATCH($A99,'[1]Définition Maintenances'!$K:$K,0)),BG99,INDEX('[1]Définition Maintenances'!$G:$G,MATCH($A99,'[1]Définition Maintenances'!$K:$K,0))+BG99),BG99))</f>
        <v>451</v>
      </c>
      <c r="BI99" s="26">
        <f>IF(ISNUMBER(VLOOKUP($D99,'Visu totale'!$D:$DH,BI$1,0)),BH99-VLOOKUP($D99,'Visu totale'!$D:$DH,BI$1,0),IF(LEFT(VLOOKUP($D99,'Visu totale'!$D:$DH,BI$1,0),1)="V",IF(BH99&gt;=INDEX('[1]Définition Maintenances'!$G:$G,MATCH($A99,'[1]Définition Maintenances'!$K:$K,0)),BH99,INDEX('[1]Définition Maintenances'!$G:$G,MATCH($A99,'[1]Définition Maintenances'!$K:$K,0))+BH99),BH99))</f>
        <v>451</v>
      </c>
      <c r="BJ99" s="26">
        <f>IF(ISNUMBER(VLOOKUP($D99,'Visu totale'!$D:$DH,BJ$1,0)),BI99-VLOOKUP($D99,'Visu totale'!$D:$DH,BJ$1,0),IF(LEFT(VLOOKUP($D99,'Visu totale'!$D:$DH,BJ$1,0),1)="V",IF(BI99&gt;=INDEX('[1]Définition Maintenances'!$G:$G,MATCH($A99,'[1]Définition Maintenances'!$K:$K,0)),BI99,INDEX('[1]Définition Maintenances'!$G:$G,MATCH($A99,'[1]Définition Maintenances'!$K:$K,0))+BI99),BI99))</f>
        <v>451</v>
      </c>
      <c r="BK99" s="26">
        <f>IF(ISNUMBER(VLOOKUP($D99,'Visu totale'!$D:$DH,BK$1,0)),BJ99-VLOOKUP($D99,'Visu totale'!$D:$DH,BK$1,0),IF(LEFT(VLOOKUP($D99,'Visu totale'!$D:$DH,BK$1,0),1)="V",IF(BJ99&gt;=INDEX('[1]Définition Maintenances'!$G:$G,MATCH($A99,'[1]Définition Maintenances'!$K:$K,0)),BJ99,INDEX('[1]Définition Maintenances'!$G:$G,MATCH($A99,'[1]Définition Maintenances'!$K:$K,0))+BJ99),BJ99))</f>
        <v>451</v>
      </c>
      <c r="BL99" s="26">
        <f>IF(ISNUMBER(VLOOKUP($D99,'Visu totale'!$D:$DH,BL$1,0)),BK99-VLOOKUP($D99,'Visu totale'!$D:$DH,BL$1,0),IF(LEFT(VLOOKUP($D99,'Visu totale'!$D:$DH,BL$1,0),1)="V",IF(BK99&gt;=INDEX('[1]Définition Maintenances'!$G:$G,MATCH($A99,'[1]Définition Maintenances'!$K:$K,0)),BK99,INDEX('[1]Définition Maintenances'!$G:$G,MATCH($A99,'[1]Définition Maintenances'!$K:$K,0))+BK99),BK99))</f>
        <v>451</v>
      </c>
      <c r="BM99" s="27">
        <f>IF(ISNUMBER(VLOOKUP($D99,'Visu totale'!$D:$DH,BM$1,0)),BL99-VLOOKUP($D99,'Visu totale'!$D:$DH,BM$1,0),IF(LEFT(VLOOKUP($D99,'Visu totale'!$D:$DH,BM$1,0),1)="V",IF(BL99&gt;=INDEX('[1]Définition Maintenances'!$G:$G,MATCH($A99,'[1]Définition Maintenances'!$K:$K,0)),BL99,INDEX('[1]Définition Maintenances'!$G:$G,MATCH($A99,'[1]Définition Maintenances'!$K:$K,0))+BL99),BL99))</f>
        <v>451</v>
      </c>
      <c r="BN99" s="25">
        <f>IF(ISNUMBER(VLOOKUP($D99,'Visu totale'!$D:$DH,BN$1,0)),BM99-VLOOKUP($D99,'Visu totale'!$D:$DH,BN$1,0),IF(LEFT(VLOOKUP($D99,'Visu totale'!$D:$DH,BN$1,0),1)="V",IF(BM99&gt;=INDEX('[1]Définition Maintenances'!$G:$G,MATCH($A99,'[1]Définition Maintenances'!$K:$K,0)),BM99,INDEX('[1]Définition Maintenances'!$G:$G,MATCH($A99,'[1]Définition Maintenances'!$K:$K,0))+BM99),BM99))</f>
        <v>451</v>
      </c>
      <c r="BO99" s="26">
        <f>IF(ISNUMBER(VLOOKUP($D99,'Visu totale'!$D:$DH,BO$1,0)),BN99-VLOOKUP($D99,'Visu totale'!$D:$DH,BO$1,0),IF(LEFT(VLOOKUP($D99,'Visu totale'!$D:$DH,BO$1,0),1)="V",IF(BN99&gt;=INDEX('[1]Définition Maintenances'!$G:$G,MATCH($A99,'[1]Définition Maintenances'!$K:$K,0)),BN99,INDEX('[1]Définition Maintenances'!$G:$G,MATCH($A99,'[1]Définition Maintenances'!$K:$K,0))+BN99),BN99))</f>
        <v>451</v>
      </c>
      <c r="BP99" s="26">
        <f>IF(ISNUMBER(VLOOKUP($D99,'Visu totale'!$D:$DH,BP$1,0)),BO99-VLOOKUP($D99,'Visu totale'!$D:$DH,BP$1,0),IF(LEFT(VLOOKUP($D99,'Visu totale'!$D:$DH,BP$1,0),1)="V",IF(BO99&gt;=INDEX('[1]Définition Maintenances'!$G:$G,MATCH($A99,'[1]Définition Maintenances'!$K:$K,0)),BO99,INDEX('[1]Définition Maintenances'!$G:$G,MATCH($A99,'[1]Définition Maintenances'!$K:$K,0))+BO99),BO99))</f>
        <v>451</v>
      </c>
      <c r="BQ99" s="26">
        <f>IF(ISNUMBER(VLOOKUP($D99,'Visu totale'!$D:$DH,BQ$1,0)),BP99-VLOOKUP($D99,'Visu totale'!$D:$DH,BQ$1,0),IF(LEFT(VLOOKUP($D99,'Visu totale'!$D:$DH,BQ$1,0),1)="V",IF(BP99&gt;=INDEX('[1]Définition Maintenances'!$G:$G,MATCH($A99,'[1]Définition Maintenances'!$K:$K,0)),BP99,INDEX('[1]Définition Maintenances'!$G:$G,MATCH($A99,'[1]Définition Maintenances'!$K:$K,0))+BP99),BP99))</f>
        <v>451</v>
      </c>
      <c r="BR99" s="26">
        <f>IF(ISNUMBER(VLOOKUP($D99,'Visu totale'!$D:$DH,BR$1,0)),BQ99-VLOOKUP($D99,'Visu totale'!$D:$DH,BR$1,0),IF(LEFT(VLOOKUP($D99,'Visu totale'!$D:$DH,BR$1,0),1)="V",IF(BQ99&gt;=INDEX('[1]Définition Maintenances'!$G:$G,MATCH($A99,'[1]Définition Maintenances'!$K:$K,0)),BQ99,INDEX('[1]Définition Maintenances'!$G:$G,MATCH($A99,'[1]Définition Maintenances'!$K:$K,0))+BQ99),BQ99))</f>
        <v>451</v>
      </c>
      <c r="BS99" s="26">
        <f>IF(ISNUMBER(VLOOKUP($D99,'Visu totale'!$D:$DH,BS$1,0)),BR99-VLOOKUP($D99,'Visu totale'!$D:$DH,BS$1,0),IF(LEFT(VLOOKUP($D99,'Visu totale'!$D:$DH,BS$1,0),1)="V",IF(BR99&gt;=INDEX('[1]Définition Maintenances'!$G:$G,MATCH($A99,'[1]Définition Maintenances'!$K:$K,0)),BR99,INDEX('[1]Définition Maintenances'!$G:$G,MATCH($A99,'[1]Définition Maintenances'!$K:$K,0))+BR99),BR99))</f>
        <v>451</v>
      </c>
      <c r="BT99" s="26">
        <f>IF(ISNUMBER(VLOOKUP($D99,'Visu totale'!$D:$DH,BT$1,0)),BS99-VLOOKUP($D99,'Visu totale'!$D:$DH,BT$1,0),IF(LEFT(VLOOKUP($D99,'Visu totale'!$D:$DH,BT$1,0),1)="V",IF(BS99&gt;=INDEX('[1]Définition Maintenances'!$G:$G,MATCH($A99,'[1]Définition Maintenances'!$K:$K,0)),BS99,INDEX('[1]Définition Maintenances'!$G:$G,MATCH($A99,'[1]Définition Maintenances'!$K:$K,0))+BS99),BS99))</f>
        <v>451</v>
      </c>
      <c r="BU99" s="26">
        <f>IF(ISNUMBER(VLOOKUP($D99,'Visu totale'!$D:$DH,BU$1,0)),BT99-VLOOKUP($D99,'Visu totale'!$D:$DH,BU$1,0),IF(LEFT(VLOOKUP($D99,'Visu totale'!$D:$DH,BU$1,0),1)="V",IF(BT99&gt;=INDEX('[1]Définition Maintenances'!$G:$G,MATCH($A99,'[1]Définition Maintenances'!$K:$K,0)),BT99,INDEX('[1]Définition Maintenances'!$G:$G,MATCH($A99,'[1]Définition Maintenances'!$K:$K,0))+BT99),BT99))</f>
        <v>451</v>
      </c>
      <c r="BV99" s="26">
        <f>IF(ISNUMBER(VLOOKUP($D99,'Visu totale'!$D:$DH,BV$1,0)),BU99-VLOOKUP($D99,'Visu totale'!$D:$DH,BV$1,0),IF(LEFT(VLOOKUP($D99,'Visu totale'!$D:$DH,BV$1,0),1)="V",IF(BU99&gt;=INDEX('[1]Définition Maintenances'!$G:$G,MATCH($A99,'[1]Définition Maintenances'!$K:$K,0)),BU99,INDEX('[1]Définition Maintenances'!$G:$G,MATCH($A99,'[1]Définition Maintenances'!$K:$K,0))+BU99),BU99))</f>
        <v>451</v>
      </c>
      <c r="BW99" s="26">
        <f>IF(ISNUMBER(VLOOKUP($D99,'Visu totale'!$D:$DH,BW$1,0)),BV99-VLOOKUP($D99,'Visu totale'!$D:$DH,BW$1,0),IF(LEFT(VLOOKUP($D99,'Visu totale'!$D:$DH,BW$1,0),1)="V",IF(BV99&gt;=INDEX('[1]Définition Maintenances'!$G:$G,MATCH($A99,'[1]Définition Maintenances'!$K:$K,0)),BV99,INDEX('[1]Définition Maintenances'!$G:$G,MATCH($A99,'[1]Définition Maintenances'!$K:$K,0))+BV99),BV99))</f>
        <v>451</v>
      </c>
      <c r="BX99" s="26">
        <f>IF(ISNUMBER(VLOOKUP($D99,'Visu totale'!$D:$DH,BX$1,0)),BW99-VLOOKUP($D99,'Visu totale'!$D:$DH,BX$1,0),IF(LEFT(VLOOKUP($D99,'Visu totale'!$D:$DH,BX$1,0),1)="V",IF(BW99&gt;=INDEX('[1]Définition Maintenances'!$G:$G,MATCH($A99,'[1]Définition Maintenances'!$K:$K,0)),BW99,INDEX('[1]Définition Maintenances'!$G:$G,MATCH($A99,'[1]Définition Maintenances'!$K:$K,0))+BW99),BW99))</f>
        <v>451</v>
      </c>
      <c r="BY99" s="27">
        <f>IF(ISNUMBER(VLOOKUP($D99,'Visu totale'!$D:$DH,BY$1,0)),BX99-VLOOKUP($D99,'Visu totale'!$D:$DH,BY$1,0),IF(LEFT(VLOOKUP($D99,'Visu totale'!$D:$DH,BY$1,0),1)="V",IF(BX99&gt;=INDEX('[1]Définition Maintenances'!$G:$G,MATCH($A99,'[1]Définition Maintenances'!$K:$K,0)),BX99,INDEX('[1]Définition Maintenances'!$G:$G,MATCH($A99,'[1]Définition Maintenances'!$K:$K,0))+BX99),BX99))</f>
        <v>451</v>
      </c>
      <c r="BZ99" s="25">
        <f>IF(ISNUMBER(VLOOKUP($D99,'Visu totale'!$D:$DH,BZ$1,0)),BY99-VLOOKUP($D99,'Visu totale'!$D:$DH,BZ$1,0),IF(LEFT(VLOOKUP($D99,'Visu totale'!$D:$DH,BZ$1,0),1)="V",IF(BY99&gt;=INDEX('[1]Définition Maintenances'!$G:$G,MATCH($A99,'[1]Définition Maintenances'!$K:$K,0)),BY99,INDEX('[1]Définition Maintenances'!$G:$G,MATCH($A99,'[1]Définition Maintenances'!$K:$K,0))+BY99),BY99))</f>
        <v>451</v>
      </c>
      <c r="CA99" s="26">
        <f>IF(ISNUMBER(VLOOKUP($D99,'Visu totale'!$D:$DH,CA$1,0)),BZ99-VLOOKUP($D99,'Visu totale'!$D:$DH,CA$1,0),IF(LEFT(VLOOKUP($D99,'Visu totale'!$D:$DH,CA$1,0),1)="V",IF(BZ99&gt;=INDEX('[1]Définition Maintenances'!$G:$G,MATCH($A99,'[1]Définition Maintenances'!$K:$K,0)),BZ99,INDEX('[1]Définition Maintenances'!$G:$G,MATCH($A99,'[1]Définition Maintenances'!$K:$K,0))+BZ99),BZ99))</f>
        <v>451</v>
      </c>
      <c r="CB99" s="26">
        <f>IF(ISNUMBER(VLOOKUP($D99,'Visu totale'!$D:$DH,CB$1,0)),CA99-VLOOKUP($D99,'Visu totale'!$D:$DH,CB$1,0),IF(LEFT(VLOOKUP($D99,'Visu totale'!$D:$DH,CB$1,0),1)="V",IF(CA99&gt;=INDEX('[1]Définition Maintenances'!$G:$G,MATCH($A99,'[1]Définition Maintenances'!$K:$K,0)),CA99,INDEX('[1]Définition Maintenances'!$G:$G,MATCH($A99,'[1]Définition Maintenances'!$K:$K,0))+CA99),CA99))</f>
        <v>451</v>
      </c>
      <c r="CC99" s="26">
        <f>IF(ISNUMBER(VLOOKUP($D99,'Visu totale'!$D:$DH,CC$1,0)),CB99-VLOOKUP($D99,'Visu totale'!$D:$DH,CC$1,0),IF(LEFT(VLOOKUP($D99,'Visu totale'!$D:$DH,CC$1,0),1)="V",IF(CB99&gt;=INDEX('[1]Définition Maintenances'!$G:$G,MATCH($A99,'[1]Définition Maintenances'!$K:$K,0)),CB99,INDEX('[1]Définition Maintenances'!$G:$G,MATCH($A99,'[1]Définition Maintenances'!$K:$K,0))+CB99),CB99))</f>
        <v>451</v>
      </c>
      <c r="CD99" s="26">
        <f>IF(ISNUMBER(VLOOKUP($D99,'Visu totale'!$D:$DH,CD$1,0)),CC99-VLOOKUP($D99,'Visu totale'!$D:$DH,CD$1,0),IF(LEFT(VLOOKUP($D99,'Visu totale'!$D:$DH,CD$1,0),1)="V",IF(CC99&gt;=INDEX('[1]Définition Maintenances'!$G:$G,MATCH($A99,'[1]Définition Maintenances'!$K:$K,0)),CC99,INDEX('[1]Définition Maintenances'!$G:$G,MATCH($A99,'[1]Définition Maintenances'!$K:$K,0))+CC99),CC99))</f>
        <v>451</v>
      </c>
      <c r="CE99" s="26">
        <f>IF(ISNUMBER(VLOOKUP($D99,'Visu totale'!$D:$DH,CE$1,0)),CD99-VLOOKUP($D99,'Visu totale'!$D:$DH,CE$1,0),IF(LEFT(VLOOKUP($D99,'Visu totale'!$D:$DH,CE$1,0),1)="V",IF(CD99&gt;=INDEX('[1]Définition Maintenances'!$G:$G,MATCH($A99,'[1]Définition Maintenances'!$K:$K,0)),CD99,INDEX('[1]Définition Maintenances'!$G:$G,MATCH($A99,'[1]Définition Maintenances'!$K:$K,0))+CD99),CD99))</f>
        <v>451</v>
      </c>
      <c r="CF99" s="26">
        <f>IF(ISNUMBER(VLOOKUP($D99,'Visu totale'!$D:$DH,CF$1,0)),CE99-VLOOKUP($D99,'Visu totale'!$D:$DH,CF$1,0),IF(LEFT(VLOOKUP($D99,'Visu totale'!$D:$DH,CF$1,0),1)="V",IF(CE99&gt;=INDEX('[1]Définition Maintenances'!$G:$G,MATCH($A99,'[1]Définition Maintenances'!$K:$K,0)),CE99,INDEX('[1]Définition Maintenances'!$G:$G,MATCH($A99,'[1]Définition Maintenances'!$K:$K,0))+CE99),CE99))</f>
        <v>451</v>
      </c>
      <c r="CG99" s="26">
        <f>IF(ISNUMBER(VLOOKUP($D99,'Visu totale'!$D:$DH,CG$1,0)),CF99-VLOOKUP($D99,'Visu totale'!$D:$DH,CG$1,0),IF(LEFT(VLOOKUP($D99,'Visu totale'!$D:$DH,CG$1,0),1)="V",IF(CF99&gt;=INDEX('[1]Définition Maintenances'!$G:$G,MATCH($A99,'[1]Définition Maintenances'!$K:$K,0)),CF99,INDEX('[1]Définition Maintenances'!$G:$G,MATCH($A99,'[1]Définition Maintenances'!$K:$K,0))+CF99),CF99))</f>
        <v>451</v>
      </c>
      <c r="CH99" s="26">
        <f>IF(ISNUMBER(VLOOKUP($D99,'Visu totale'!$D:$DH,CH$1,0)),CG99-VLOOKUP($D99,'Visu totale'!$D:$DH,CH$1,0),IF(LEFT(VLOOKUP($D99,'Visu totale'!$D:$DH,CH$1,0),1)="V",IF(CG99&gt;=INDEX('[1]Définition Maintenances'!$G:$G,MATCH($A99,'[1]Définition Maintenances'!$K:$K,0)),CG99,INDEX('[1]Définition Maintenances'!$G:$G,MATCH($A99,'[1]Définition Maintenances'!$K:$K,0))+CG99),CG99))</f>
        <v>451</v>
      </c>
      <c r="CI99" s="26">
        <f>IF(ISNUMBER(VLOOKUP($D99,'Visu totale'!$D:$DH,CI$1,0)),CH99-VLOOKUP($D99,'Visu totale'!$D:$DH,CI$1,0),IF(LEFT(VLOOKUP($D99,'Visu totale'!$D:$DH,CI$1,0),1)="V",IF(CH99&gt;=INDEX('[1]Définition Maintenances'!$G:$G,MATCH($A99,'[1]Définition Maintenances'!$K:$K,0)),CH99,INDEX('[1]Définition Maintenances'!$G:$G,MATCH($A99,'[1]Définition Maintenances'!$K:$K,0))+CH99),CH99))</f>
        <v>451</v>
      </c>
      <c r="CJ99" s="26">
        <f>IF(ISNUMBER(VLOOKUP($D99,'Visu totale'!$D:$DH,CJ$1,0)),CI99-VLOOKUP($D99,'Visu totale'!$D:$DH,CJ$1,0),IF(LEFT(VLOOKUP($D99,'Visu totale'!$D:$DH,CJ$1,0),1)="V",IF(CI99&gt;=INDEX('[1]Définition Maintenances'!$G:$G,MATCH($A99,'[1]Définition Maintenances'!$K:$K,0)),CI99,INDEX('[1]Définition Maintenances'!$G:$G,MATCH($A99,'[1]Définition Maintenances'!$K:$K,0))+CI99),CI99))</f>
        <v>451</v>
      </c>
      <c r="CK99" s="27">
        <f>IF(ISNUMBER(VLOOKUP($D99,'Visu totale'!$D:$DH,CK$1,0)),CJ99-VLOOKUP($D99,'Visu totale'!$D:$DH,CK$1,0),IF(LEFT(VLOOKUP($D99,'Visu totale'!$D:$DH,CK$1,0),1)="V",IF(CJ99&gt;=INDEX('[1]Définition Maintenances'!$G:$G,MATCH($A99,'[1]Définition Maintenances'!$K:$K,0)),CJ99,INDEX('[1]Définition Maintenances'!$G:$G,MATCH($A99,'[1]Définition Maintenances'!$K:$K,0))+CJ99),CJ99))</f>
        <v>451</v>
      </c>
      <c r="CL99" s="25">
        <f>IF(ISNUMBER(VLOOKUP($D99,'Visu totale'!$D:$DH,CL$1,0)),CK99-VLOOKUP($D99,'Visu totale'!$D:$DH,CL$1,0),IF(LEFT(VLOOKUP($D99,'Visu totale'!$D:$DH,CL$1,0),1)="V",IF(CK99&gt;=INDEX('[1]Définition Maintenances'!$G:$G,MATCH($A99,'[1]Définition Maintenances'!$K:$K,0)),CK99,INDEX('[1]Définition Maintenances'!$G:$G,MATCH($A99,'[1]Définition Maintenances'!$K:$K,0))+CK99),CK99))</f>
        <v>451</v>
      </c>
      <c r="CM99" s="26">
        <f>IF(ISNUMBER(VLOOKUP($D99,'Visu totale'!$D:$DH,CM$1,0)),CL99-VLOOKUP($D99,'Visu totale'!$D:$DH,CM$1,0),IF(LEFT(VLOOKUP($D99,'Visu totale'!$D:$DH,CM$1,0),1)="V",IF(CL99&gt;=INDEX('[1]Définition Maintenances'!$G:$G,MATCH($A99,'[1]Définition Maintenances'!$K:$K,0)),CL99,INDEX('[1]Définition Maintenances'!$G:$G,MATCH($A99,'[1]Définition Maintenances'!$K:$K,0))+CL99),CL99))</f>
        <v>451</v>
      </c>
      <c r="CN99" s="26">
        <f>IF(ISNUMBER(VLOOKUP($D99,'Visu totale'!$D:$DH,CN$1,0)),CM99-VLOOKUP($D99,'Visu totale'!$D:$DH,CN$1,0),IF(LEFT(VLOOKUP($D99,'Visu totale'!$D:$DH,CN$1,0),1)="V",IF(CM99&gt;=INDEX('[1]Définition Maintenances'!$G:$G,MATCH($A99,'[1]Définition Maintenances'!$K:$K,0)),CM99,INDEX('[1]Définition Maintenances'!$G:$G,MATCH($A99,'[1]Définition Maintenances'!$K:$K,0))+CM99),CM99))</f>
        <v>451</v>
      </c>
      <c r="CO99" s="26">
        <f>IF(ISNUMBER(VLOOKUP($D99,'Visu totale'!$D:$DH,CO$1,0)),CN99-VLOOKUP($D99,'Visu totale'!$D:$DH,CO$1,0),IF(LEFT(VLOOKUP($D99,'Visu totale'!$D:$DH,CO$1,0),1)="V",IF(CN99&gt;=INDEX('[1]Définition Maintenances'!$G:$G,MATCH($A99,'[1]Définition Maintenances'!$K:$K,0)),CN99,INDEX('[1]Définition Maintenances'!$G:$G,MATCH($A99,'[1]Définition Maintenances'!$K:$K,0))+CN99),CN99))</f>
        <v>451</v>
      </c>
      <c r="CP99" s="26">
        <f>IF(ISNUMBER(VLOOKUP($D99,'Visu totale'!$D:$DH,CP$1,0)),CO99-VLOOKUP($D99,'Visu totale'!$D:$DH,CP$1,0),IF(LEFT(VLOOKUP($D99,'Visu totale'!$D:$DH,CP$1,0),1)="V",IF(CO99&gt;=INDEX('[1]Définition Maintenances'!$G:$G,MATCH($A99,'[1]Définition Maintenances'!$K:$K,0)),CO99,INDEX('[1]Définition Maintenances'!$G:$G,MATCH($A99,'[1]Définition Maintenances'!$K:$K,0))+CO99),CO99))</f>
        <v>451</v>
      </c>
      <c r="CQ99" s="26">
        <f>IF(ISNUMBER(VLOOKUP($D99,'Visu totale'!$D:$DH,CQ$1,0)),CP99-VLOOKUP($D99,'Visu totale'!$D:$DH,CQ$1,0),IF(LEFT(VLOOKUP($D99,'Visu totale'!$D:$DH,CQ$1,0),1)="V",IF(CP99&gt;=INDEX('[1]Définition Maintenances'!$G:$G,MATCH($A99,'[1]Définition Maintenances'!$K:$K,0)),CP99,INDEX('[1]Définition Maintenances'!$G:$G,MATCH($A99,'[1]Définition Maintenances'!$K:$K,0))+CP99),CP99))</f>
        <v>451</v>
      </c>
      <c r="CR99" s="26">
        <f>IF(ISNUMBER(VLOOKUP($D99,'Visu totale'!$D:$DH,CR$1,0)),CQ99-VLOOKUP($D99,'Visu totale'!$D:$DH,CR$1,0),IF(LEFT(VLOOKUP($D99,'Visu totale'!$D:$DH,CR$1,0),1)="V",IF(CQ99&gt;=INDEX('[1]Définition Maintenances'!$G:$G,MATCH($A99,'[1]Définition Maintenances'!$K:$K,0)),CQ99,INDEX('[1]Définition Maintenances'!$G:$G,MATCH($A99,'[1]Définition Maintenances'!$K:$K,0))+CQ99),CQ99))</f>
        <v>451</v>
      </c>
      <c r="CS99" s="26">
        <f>IF(ISNUMBER(VLOOKUP($D99,'Visu totale'!$D:$DH,CS$1,0)),CR99-VLOOKUP($D99,'Visu totale'!$D:$DH,CS$1,0),IF(LEFT(VLOOKUP($D99,'Visu totale'!$D:$DH,CS$1,0),1)="V",IF(CR99&gt;=INDEX('[1]Définition Maintenances'!$G:$G,MATCH($A99,'[1]Définition Maintenances'!$K:$K,0)),CR99,INDEX('[1]Définition Maintenances'!$G:$G,MATCH($A99,'[1]Définition Maintenances'!$K:$K,0))+CR99),CR99))</f>
        <v>451</v>
      </c>
      <c r="CT99" s="26">
        <f>IF(ISNUMBER(VLOOKUP($D99,'Visu totale'!$D:$DH,CT$1,0)),CS99-VLOOKUP($D99,'Visu totale'!$D:$DH,CT$1,0),IF(LEFT(VLOOKUP($D99,'Visu totale'!$D:$DH,CT$1,0),1)="V",IF(CS99&gt;=INDEX('[1]Définition Maintenances'!$G:$G,MATCH($A99,'[1]Définition Maintenances'!$K:$K,0)),CS99,INDEX('[1]Définition Maintenances'!$G:$G,MATCH($A99,'[1]Définition Maintenances'!$K:$K,0))+CS99),CS99))</f>
        <v>451</v>
      </c>
      <c r="CU99" s="26">
        <f>IF(ISNUMBER(VLOOKUP($D99,'Visu totale'!$D:$DH,CU$1,0)),CT99-VLOOKUP($D99,'Visu totale'!$D:$DH,CU$1,0),IF(LEFT(VLOOKUP($D99,'Visu totale'!$D:$DH,CU$1,0),1)="V",IF(CT99&gt;=INDEX('[1]Définition Maintenances'!$G:$G,MATCH($A99,'[1]Définition Maintenances'!$K:$K,0)),CT99,INDEX('[1]Définition Maintenances'!$G:$G,MATCH($A99,'[1]Définition Maintenances'!$K:$K,0))+CT99),CT99))</f>
        <v>451</v>
      </c>
      <c r="CV99" s="26">
        <f>IF(ISNUMBER(VLOOKUP($D99,'Visu totale'!$D:$DH,CV$1,0)),CU99-VLOOKUP($D99,'Visu totale'!$D:$DH,CV$1,0),IF(LEFT(VLOOKUP($D99,'Visu totale'!$D:$DH,CV$1,0),1)="V",IF(CU99&gt;=INDEX('[1]Définition Maintenances'!$G:$G,MATCH($A99,'[1]Définition Maintenances'!$K:$K,0)),CU99,INDEX('[1]Définition Maintenances'!$G:$G,MATCH($A99,'[1]Définition Maintenances'!$K:$K,0))+CU99),CU99))</f>
        <v>451</v>
      </c>
      <c r="CW99" s="27">
        <f>IF(ISNUMBER(VLOOKUP($D99,'Visu totale'!$D:$DH,CW$1,0)),CV99-VLOOKUP($D99,'Visu totale'!$D:$DH,CW$1,0),IF(LEFT(VLOOKUP($D99,'Visu totale'!$D:$DH,CW$1,0),1)="V",IF(CV99&gt;=INDEX('[1]Définition Maintenances'!$G:$G,MATCH($A99,'[1]Définition Maintenances'!$K:$K,0)),CV99,INDEX('[1]Définition Maintenances'!$G:$G,MATCH($A99,'[1]Définition Maintenances'!$K:$K,0))+CV99),CV99))</f>
        <v>451</v>
      </c>
      <c r="CX99" s="25">
        <f>IF(ISNUMBER(VLOOKUP($D99,'Visu totale'!$D:$DH,CX$1,0)),CW99-VLOOKUP($D99,'Visu totale'!$D:$DH,CX$1,0),IF(LEFT(VLOOKUP($D99,'Visu totale'!$D:$DH,CX$1,0),1)="V",IF(CW99&gt;=INDEX('[1]Définition Maintenances'!$G:$G,MATCH($A99,'[1]Définition Maintenances'!$K:$K,0)),CW99,INDEX('[1]Définition Maintenances'!$G:$G,MATCH($A99,'[1]Définition Maintenances'!$K:$K,0))+CW99),CW99))</f>
        <v>451</v>
      </c>
      <c r="CY99" s="26">
        <f>IF(ISNUMBER(VLOOKUP($D99,'Visu totale'!$D:$DH,CY$1,0)),CX99-VLOOKUP($D99,'Visu totale'!$D:$DH,CY$1,0),IF(LEFT(VLOOKUP($D99,'Visu totale'!$D:$DH,CY$1,0),1)="V",IF(CX99&gt;=INDEX('[1]Définition Maintenances'!$G:$G,MATCH($A99,'[1]Définition Maintenances'!$K:$K,0)),CX99,INDEX('[1]Définition Maintenances'!$G:$G,MATCH($A99,'[1]Définition Maintenances'!$K:$K,0))+CX99),CX99))</f>
        <v>451</v>
      </c>
      <c r="CZ99" s="26">
        <f>IF(ISNUMBER(VLOOKUP($D99,'Visu totale'!$D:$DH,CZ$1,0)),CY99-VLOOKUP($D99,'Visu totale'!$D:$DH,CZ$1,0),IF(LEFT(VLOOKUP($D99,'Visu totale'!$D:$DH,CZ$1,0),1)="V",IF(CY99&gt;=INDEX('[1]Définition Maintenances'!$G:$G,MATCH($A99,'[1]Définition Maintenances'!$K:$K,0)),CY99,INDEX('[1]Définition Maintenances'!$G:$G,MATCH($A99,'[1]Définition Maintenances'!$K:$K,0))+CY99),CY99))</f>
        <v>451</v>
      </c>
      <c r="DA99" s="26">
        <f>IF(ISNUMBER(VLOOKUP($D99,'Visu totale'!$D:$DH,DA$1,0)),CZ99-VLOOKUP($D99,'Visu totale'!$D:$DH,DA$1,0),IF(LEFT(VLOOKUP($D99,'Visu totale'!$D:$DH,DA$1,0),1)="V",IF(CZ99&gt;=INDEX('[1]Définition Maintenances'!$G:$G,MATCH($A99,'[1]Définition Maintenances'!$K:$K,0)),CZ99,INDEX('[1]Définition Maintenances'!$G:$G,MATCH($A99,'[1]Définition Maintenances'!$K:$K,0))+CZ99),CZ99))</f>
        <v>451</v>
      </c>
      <c r="DB99" s="26">
        <f>IF(ISNUMBER(VLOOKUP($D99,'Visu totale'!$D:$DH,DB$1,0)),DA99-VLOOKUP($D99,'Visu totale'!$D:$DH,DB$1,0),IF(LEFT(VLOOKUP($D99,'Visu totale'!$D:$DH,DB$1,0),1)="V",IF(DA99&gt;=INDEX('[1]Définition Maintenances'!$G:$G,MATCH($A99,'[1]Définition Maintenances'!$K:$K,0)),DA99,INDEX('[1]Définition Maintenances'!$G:$G,MATCH($A99,'[1]Définition Maintenances'!$K:$K,0))+DA99),DA99))</f>
        <v>451</v>
      </c>
      <c r="DC99" s="26">
        <f>IF(ISNUMBER(VLOOKUP($D99,'Visu totale'!$D:$DH,DC$1,0)),DB99-VLOOKUP($D99,'Visu totale'!$D:$DH,DC$1,0),IF(LEFT(VLOOKUP($D99,'Visu totale'!$D:$DH,DC$1,0),1)="V",IF(DB99&gt;=INDEX('[1]Définition Maintenances'!$G:$G,MATCH($A99,'[1]Définition Maintenances'!$K:$K,0)),DB99,INDEX('[1]Définition Maintenances'!$G:$G,MATCH($A99,'[1]Définition Maintenances'!$K:$K,0))+DB99),DB99))</f>
        <v>451</v>
      </c>
      <c r="DD99" s="26">
        <f>IF(ISNUMBER(VLOOKUP($D99,'Visu totale'!$D:$DH,DD$1,0)),DC99-VLOOKUP($D99,'Visu totale'!$D:$DH,DD$1,0),IF(LEFT(VLOOKUP($D99,'Visu totale'!$D:$DH,DD$1,0),1)="V",IF(DC99&gt;=INDEX('[1]Définition Maintenances'!$G:$G,MATCH($A99,'[1]Définition Maintenances'!$K:$K,0)),DC99,INDEX('[1]Définition Maintenances'!$G:$G,MATCH($A99,'[1]Définition Maintenances'!$K:$K,0))+DC99),DC99))</f>
        <v>451</v>
      </c>
      <c r="DE99" s="26">
        <f>IF(ISNUMBER(VLOOKUP($D99,'Visu totale'!$D:$DH,DE$1,0)),DD99-VLOOKUP($D99,'Visu totale'!$D:$DH,DE$1,0),IF(LEFT(VLOOKUP($D99,'Visu totale'!$D:$DH,DE$1,0),1)="V",IF(DD99&gt;=INDEX('[1]Définition Maintenances'!$G:$G,MATCH($A99,'[1]Définition Maintenances'!$K:$K,0)),DD99,INDEX('[1]Définition Maintenances'!$G:$G,MATCH($A99,'[1]Définition Maintenances'!$K:$K,0))+DD99),DD99))</f>
        <v>451</v>
      </c>
      <c r="DF99" s="26">
        <f>IF(ISNUMBER(VLOOKUP($D99,'Visu totale'!$D:$DH,DF$1,0)),DE99-VLOOKUP($D99,'Visu totale'!$D:$DH,DF$1,0),IF(LEFT(VLOOKUP($D99,'Visu totale'!$D:$DH,DF$1,0),1)="V",IF(DE99&gt;=INDEX('[1]Définition Maintenances'!$G:$G,MATCH($A99,'[1]Définition Maintenances'!$K:$K,0)),DE99,INDEX('[1]Définition Maintenances'!$G:$G,MATCH($A99,'[1]Définition Maintenances'!$K:$K,0))+DE99),DE99))</f>
        <v>451</v>
      </c>
      <c r="DG99" s="26">
        <f>IF(ISNUMBER(VLOOKUP($D99,'Visu totale'!$D:$DH,DG$1,0)),DF99-VLOOKUP($D99,'Visu totale'!$D:$DH,DG$1,0),IF(LEFT(VLOOKUP($D99,'Visu totale'!$D:$DH,DG$1,0),1)="V",IF(DF99&gt;=INDEX('[1]Définition Maintenances'!$G:$G,MATCH($A99,'[1]Définition Maintenances'!$K:$K,0)),DF99,INDEX('[1]Définition Maintenances'!$G:$G,MATCH($A99,'[1]Définition Maintenances'!$K:$K,0))+DF99),DF99))</f>
        <v>451</v>
      </c>
      <c r="DH99" s="26">
        <f>IF(ISNUMBER(VLOOKUP($D99,'Visu totale'!$D:$DH,DH$1,0)),DG99-VLOOKUP($D99,'Visu totale'!$D:$DH,DH$1,0),IF(LEFT(VLOOKUP($D99,'Visu totale'!$D:$DH,DH$1,0),1)="V",IF(DG99&gt;=INDEX('[1]Définition Maintenances'!$G:$G,MATCH($A99,'[1]Définition Maintenances'!$K:$K,0)),DG99,INDEX('[1]Définition Maintenances'!$G:$G,MATCH($A99,'[1]Définition Maintenances'!$K:$K,0))+DG99),DG99))</f>
        <v>451</v>
      </c>
      <c r="DI99" s="27">
        <f>IF(ISNUMBER(VLOOKUP($D99,'Visu totale'!$D:$DH,DI$1,0)),DH99-VLOOKUP($D99,'Visu totale'!$D:$DH,DI$1,0),IF(LEFT(VLOOKUP($D99,'Visu totale'!$D:$DH,DI$1,0),1)="V",IF(DH99&gt;=INDEX('[1]Définition Maintenances'!$G:$G,MATCH($A99,'[1]Définition Maintenances'!$K:$K,0)),DH99,INDEX('[1]Définition Maintenances'!$G:$G,MATCH($A99,'[1]Définition Maintenances'!$K:$K,0))+DH99),DH99))</f>
        <v>451</v>
      </c>
    </row>
    <row r="100" spans="1:113" x14ac:dyDescent="0.25">
      <c r="A100" s="13" t="str">
        <f t="shared" ref="A100:A129" si="3">B100&amp;LEFT(D100,1)</f>
        <v>V10C</v>
      </c>
      <c r="B100" s="13" t="str">
        <f>VLOOKUP(D100,'[1]Avions (Potentiels)'!$B$2:$H$128,7,FALSE)</f>
        <v>V10</v>
      </c>
      <c r="C100" s="13"/>
      <c r="D100" s="16" t="s">
        <v>103</v>
      </c>
      <c r="E100" s="13">
        <f>IFERROR(VALUE(SUBSTITUTE(VLOOKUP(D100,'[1]Avions (Potentiels)'!$B:$E,4,0),".",",")),VALUE(VLOOKUP(D100,'[1]Avions (Potentiels)'!$B:$E,4,0)))</f>
        <v>429</v>
      </c>
      <c r="F100" s="25">
        <f>IF(ISNUMBER(VLOOKUP($D100,'Visu totale'!$D:$DH,F$1,0)),E100-VLOOKUP($D100,'Visu totale'!$D:$DH,F$1,0),IF(LEFT(VLOOKUP($D100,'Visu totale'!$D:$DH,F$1,0),1)="V",IF(E100&gt;=INDEX('[1]Définition Maintenances'!$G:$G,MATCH($A100,'[1]Définition Maintenances'!$K:$K,0)),E100,INDEX('[1]Définition Maintenances'!$G:$G,MATCH($A100,'[1]Définition Maintenances'!$K:$K,0))+E100),E100))</f>
        <v>429</v>
      </c>
      <c r="G100" s="26">
        <f>IF(ISNUMBER(VLOOKUP($D100,'Visu totale'!$D:$DH,G$1,0)),F100-VLOOKUP($D100,'Visu totale'!$D:$DH,G$1,0),IF(LEFT(VLOOKUP($D100,'Visu totale'!$D:$DH,G$1,0),1)="V",IF(F100&gt;=INDEX('[1]Définition Maintenances'!$G:$G,MATCH($A100,'[1]Définition Maintenances'!$K:$K,0)),F100,INDEX('[1]Définition Maintenances'!$G:$G,MATCH($A100,'[1]Définition Maintenances'!$K:$K,0))+F100),F100))</f>
        <v>429</v>
      </c>
      <c r="H100" s="26">
        <f>IF(ISNUMBER(VLOOKUP($D100,'Visu totale'!$D:$DH,H$1,0)),G100-VLOOKUP($D100,'Visu totale'!$D:$DH,H$1,0),IF(LEFT(VLOOKUP($D100,'Visu totale'!$D:$DH,H$1,0),1)="V",IF(G100&gt;=INDEX('[1]Définition Maintenances'!$G:$G,MATCH($A100,'[1]Définition Maintenances'!$K:$K,0)),G100,INDEX('[1]Définition Maintenances'!$G:$G,MATCH($A100,'[1]Définition Maintenances'!$K:$K,0))+G100),G100))</f>
        <v>429</v>
      </c>
      <c r="I100" s="26">
        <f>IF(ISNUMBER(VLOOKUP($D100,'Visu totale'!$D:$DH,I$1,0)),H100-VLOOKUP($D100,'Visu totale'!$D:$DH,I$1,0),IF(LEFT(VLOOKUP($D100,'Visu totale'!$D:$DH,I$1,0),1)="V",IF(H100&gt;=INDEX('[1]Définition Maintenances'!$G:$G,MATCH($A100,'[1]Définition Maintenances'!$K:$K,0)),H100,INDEX('[1]Définition Maintenances'!$G:$G,MATCH($A100,'[1]Définition Maintenances'!$K:$K,0))+H100),H100))</f>
        <v>429</v>
      </c>
      <c r="J100" s="26">
        <f>IF(ISNUMBER(VLOOKUP($D100,'Visu totale'!$D:$DH,J$1,0)),I100-VLOOKUP($D100,'Visu totale'!$D:$DH,J$1,0),IF(LEFT(VLOOKUP($D100,'Visu totale'!$D:$DH,J$1,0),1)="V",IF(I100&gt;=INDEX('[1]Définition Maintenances'!$G:$G,MATCH($A100,'[1]Définition Maintenances'!$K:$K,0)),I100,INDEX('[1]Définition Maintenances'!$G:$G,MATCH($A100,'[1]Définition Maintenances'!$K:$K,0))+I100),I100))</f>
        <v>429</v>
      </c>
      <c r="K100" s="26">
        <f>IF(ISNUMBER(VLOOKUP($D100,'Visu totale'!$D:$DH,K$1,0)),J100-VLOOKUP($D100,'Visu totale'!$D:$DH,K$1,0),IF(LEFT(VLOOKUP($D100,'Visu totale'!$D:$DH,K$1,0),1)="V",IF(J100&gt;=INDEX('[1]Définition Maintenances'!$G:$G,MATCH($A100,'[1]Définition Maintenances'!$K:$K,0)),J100,INDEX('[1]Définition Maintenances'!$G:$G,MATCH($A100,'[1]Définition Maintenances'!$K:$K,0))+J100),J100))</f>
        <v>429</v>
      </c>
      <c r="L100" s="26">
        <f>IF(ISNUMBER(VLOOKUP($D100,'Visu totale'!$D:$DH,L$1,0)),K100-VLOOKUP($D100,'Visu totale'!$D:$DH,L$1,0),IF(LEFT(VLOOKUP($D100,'Visu totale'!$D:$DH,L$1,0),1)="V",IF(K100&gt;=INDEX('[1]Définition Maintenances'!$G:$G,MATCH($A100,'[1]Définition Maintenances'!$K:$K,0)),K100,INDEX('[1]Définition Maintenances'!$G:$G,MATCH($A100,'[1]Définition Maintenances'!$K:$K,0))+K100),K100))</f>
        <v>429</v>
      </c>
      <c r="M100" s="26">
        <f>IF(ISNUMBER(VLOOKUP($D100,'Visu totale'!$D:$DH,M$1,0)),L100-VLOOKUP($D100,'Visu totale'!$D:$DH,M$1,0),IF(LEFT(VLOOKUP($D100,'Visu totale'!$D:$DH,M$1,0),1)="V",IF(L100&gt;=INDEX('[1]Définition Maintenances'!$G:$G,MATCH($A100,'[1]Définition Maintenances'!$K:$K,0)),L100,INDEX('[1]Définition Maintenances'!$G:$G,MATCH($A100,'[1]Définition Maintenances'!$K:$K,0))+L100),L100))</f>
        <v>429</v>
      </c>
      <c r="N100" s="26">
        <f>IF(ISNUMBER(VLOOKUP($D100,'Visu totale'!$D:$DH,N$1,0)),M100-VLOOKUP($D100,'Visu totale'!$D:$DH,N$1,0),IF(LEFT(VLOOKUP($D100,'Visu totale'!$D:$DH,N$1,0),1)="V",IF(M100&gt;=INDEX('[1]Définition Maintenances'!$G:$G,MATCH($A100,'[1]Définition Maintenances'!$K:$K,0)),M100,INDEX('[1]Définition Maintenances'!$G:$G,MATCH($A100,'[1]Définition Maintenances'!$K:$K,0))+M100),M100))</f>
        <v>429</v>
      </c>
      <c r="O100" s="26">
        <f>IF(ISNUMBER(VLOOKUP($D100,'Visu totale'!$D:$DH,O$1,0)),N100-VLOOKUP($D100,'Visu totale'!$D:$DH,O$1,0),IF(LEFT(VLOOKUP($D100,'Visu totale'!$D:$DH,O$1,0),1)="V",IF(N100&gt;=INDEX('[1]Définition Maintenances'!$G:$G,MATCH($A100,'[1]Définition Maintenances'!$K:$K,0)),N100,INDEX('[1]Définition Maintenances'!$G:$G,MATCH($A100,'[1]Définition Maintenances'!$K:$K,0))+N100),N100))</f>
        <v>429</v>
      </c>
      <c r="P100" s="26">
        <f>IF(ISNUMBER(VLOOKUP($D100,'Visu totale'!$D:$DH,P$1,0)),O100-VLOOKUP($D100,'Visu totale'!$D:$DH,P$1,0),IF(LEFT(VLOOKUP($D100,'Visu totale'!$D:$DH,P$1,0),1)="V",IF(O100&gt;=INDEX('[1]Définition Maintenances'!$G:$G,MATCH($A100,'[1]Définition Maintenances'!$K:$K,0)),O100,INDEX('[1]Définition Maintenances'!$G:$G,MATCH($A100,'[1]Définition Maintenances'!$K:$K,0))+O100),O100))</f>
        <v>429</v>
      </c>
      <c r="Q100" s="27">
        <f>IF(ISNUMBER(VLOOKUP($D100,'Visu totale'!$D:$DH,Q$1,0)),P100-VLOOKUP($D100,'Visu totale'!$D:$DH,Q$1,0),IF(LEFT(VLOOKUP($D100,'Visu totale'!$D:$DH,Q$1,0),1)="V",IF(P100&gt;=INDEX('[1]Définition Maintenances'!$G:$G,MATCH($A100,'[1]Définition Maintenances'!$K:$K,0)),P100,INDEX('[1]Définition Maintenances'!$G:$G,MATCH($A100,'[1]Définition Maintenances'!$K:$K,0))+P100),P100))</f>
        <v>429</v>
      </c>
      <c r="R100" s="25">
        <f>IF(ISNUMBER(VLOOKUP($D100,'Visu totale'!$D:$DH,R$1,0)),Q100-VLOOKUP($D100,'Visu totale'!$D:$DH,R$1,0),IF(LEFT(VLOOKUP($D100,'Visu totale'!$D:$DH,R$1,0),1)="V",IF(Q100&gt;=INDEX('[1]Définition Maintenances'!$G:$G,MATCH($A100,'[1]Définition Maintenances'!$K:$K,0)),Q100,INDEX('[1]Définition Maintenances'!$G:$G,MATCH($A100,'[1]Définition Maintenances'!$K:$K,0))+Q100),Q100))</f>
        <v>429</v>
      </c>
      <c r="S100" s="26">
        <f>IF(ISNUMBER(VLOOKUP($D100,'Visu totale'!$D:$DH,S$1,0)),R100-VLOOKUP($D100,'Visu totale'!$D:$DH,S$1,0),IF(LEFT(VLOOKUP($D100,'Visu totale'!$D:$DH,S$1,0),1)="V",IF(R100&gt;=INDEX('[1]Définition Maintenances'!$G:$G,MATCH($A100,'[1]Définition Maintenances'!$K:$K,0)),R100,INDEX('[1]Définition Maintenances'!$G:$G,MATCH($A100,'[1]Définition Maintenances'!$K:$K,0))+R100),R100))</f>
        <v>429</v>
      </c>
      <c r="T100" s="26">
        <f>IF(ISNUMBER(VLOOKUP($D100,'Visu totale'!$D:$DH,T$1,0)),S100-VLOOKUP($D100,'Visu totale'!$D:$DH,T$1,0),IF(LEFT(VLOOKUP($D100,'Visu totale'!$D:$DH,T$1,0),1)="V",IF(S100&gt;=INDEX('[1]Définition Maintenances'!$G:$G,MATCH($A100,'[1]Définition Maintenances'!$K:$K,0)),S100,INDEX('[1]Définition Maintenances'!$G:$G,MATCH($A100,'[1]Définition Maintenances'!$K:$K,0))+S100),S100))</f>
        <v>429</v>
      </c>
      <c r="U100" s="26">
        <f>IF(ISNUMBER(VLOOKUP($D100,'Visu totale'!$D:$DH,U$1,0)),T100-VLOOKUP($D100,'Visu totale'!$D:$DH,U$1,0),IF(LEFT(VLOOKUP($D100,'Visu totale'!$D:$DH,U$1,0),1)="V",IF(T100&gt;=INDEX('[1]Définition Maintenances'!$G:$G,MATCH($A100,'[1]Définition Maintenances'!$K:$K,0)),T100,INDEX('[1]Définition Maintenances'!$G:$G,MATCH($A100,'[1]Définition Maintenances'!$K:$K,0))+T100),T100))</f>
        <v>429</v>
      </c>
      <c r="V100" s="26">
        <f>IF(ISNUMBER(VLOOKUP($D100,'Visu totale'!$D:$DH,V$1,0)),U100-VLOOKUP($D100,'Visu totale'!$D:$DH,V$1,0),IF(LEFT(VLOOKUP($D100,'Visu totale'!$D:$DH,V$1,0),1)="V",IF(U100&gt;=INDEX('[1]Définition Maintenances'!$G:$G,MATCH($A100,'[1]Définition Maintenances'!$K:$K,0)),U100,INDEX('[1]Définition Maintenances'!$G:$G,MATCH($A100,'[1]Définition Maintenances'!$K:$K,0))+U100),U100))</f>
        <v>429</v>
      </c>
      <c r="W100" s="26">
        <f>IF(ISNUMBER(VLOOKUP($D100,'Visu totale'!$D:$DH,W$1,0)),V100-VLOOKUP($D100,'Visu totale'!$D:$DH,W$1,0),IF(LEFT(VLOOKUP($D100,'Visu totale'!$D:$DH,W$1,0),1)="V",IF(V100&gt;=INDEX('[1]Définition Maintenances'!$G:$G,MATCH($A100,'[1]Définition Maintenances'!$K:$K,0)),V100,INDEX('[1]Définition Maintenances'!$G:$G,MATCH($A100,'[1]Définition Maintenances'!$K:$K,0))+V100),V100))</f>
        <v>429</v>
      </c>
      <c r="X100" s="26">
        <f>IF(ISNUMBER(VLOOKUP($D100,'Visu totale'!$D:$DH,X$1,0)),W100-VLOOKUP($D100,'Visu totale'!$D:$DH,X$1,0),IF(LEFT(VLOOKUP($D100,'Visu totale'!$D:$DH,X$1,0),1)="V",IF(W100&gt;=INDEX('[1]Définition Maintenances'!$G:$G,MATCH($A100,'[1]Définition Maintenances'!$K:$K,0)),W100,INDEX('[1]Définition Maintenances'!$G:$G,MATCH($A100,'[1]Définition Maintenances'!$K:$K,0))+W100),W100))</f>
        <v>429</v>
      </c>
      <c r="Y100" s="26">
        <f>IF(ISNUMBER(VLOOKUP($D100,'Visu totale'!$D:$DH,Y$1,0)),X100-VLOOKUP($D100,'Visu totale'!$D:$DH,Y$1,0),IF(LEFT(VLOOKUP($D100,'Visu totale'!$D:$DH,Y$1,0),1)="V",IF(X100&gt;=INDEX('[1]Définition Maintenances'!$G:$G,MATCH($A100,'[1]Définition Maintenances'!$K:$K,0)),X100,INDEX('[1]Définition Maintenances'!$G:$G,MATCH($A100,'[1]Définition Maintenances'!$K:$K,0))+X100),X100))</f>
        <v>429</v>
      </c>
      <c r="Z100" s="26">
        <f>IF(ISNUMBER(VLOOKUP($D100,'Visu totale'!$D:$DH,Z$1,0)),Y100-VLOOKUP($D100,'Visu totale'!$D:$DH,Z$1,0),IF(LEFT(VLOOKUP($D100,'Visu totale'!$D:$DH,Z$1,0),1)="V",IF(Y100&gt;=INDEX('[1]Définition Maintenances'!$G:$G,MATCH($A100,'[1]Définition Maintenances'!$K:$K,0)),Y100,INDEX('[1]Définition Maintenances'!$G:$G,MATCH($A100,'[1]Définition Maintenances'!$K:$K,0))+Y100),Y100))</f>
        <v>429</v>
      </c>
      <c r="AA100" s="26">
        <f>IF(ISNUMBER(VLOOKUP($D100,'Visu totale'!$D:$DH,AA$1,0)),Z100-VLOOKUP($D100,'Visu totale'!$D:$DH,AA$1,0),IF(LEFT(VLOOKUP($D100,'Visu totale'!$D:$DH,AA$1,0),1)="V",IF(Z100&gt;=INDEX('[1]Définition Maintenances'!$G:$G,MATCH($A100,'[1]Définition Maintenances'!$K:$K,0)),Z100,INDEX('[1]Définition Maintenances'!$G:$G,MATCH($A100,'[1]Définition Maintenances'!$K:$K,0))+Z100),Z100))</f>
        <v>429</v>
      </c>
      <c r="AB100" s="26">
        <f>IF(ISNUMBER(VLOOKUP($D100,'Visu totale'!$D:$DH,AB$1,0)),AA100-VLOOKUP($D100,'Visu totale'!$D:$DH,AB$1,0),IF(LEFT(VLOOKUP($D100,'Visu totale'!$D:$DH,AB$1,0),1)="V",IF(AA100&gt;=INDEX('[1]Définition Maintenances'!$G:$G,MATCH($A100,'[1]Définition Maintenances'!$K:$K,0)),AA100,INDEX('[1]Définition Maintenances'!$G:$G,MATCH($A100,'[1]Définition Maintenances'!$K:$K,0))+AA100),AA100))</f>
        <v>429</v>
      </c>
      <c r="AC100" s="27">
        <f>IF(ISNUMBER(VLOOKUP($D100,'Visu totale'!$D:$DH,AC$1,0)),AB100-VLOOKUP($D100,'Visu totale'!$D:$DH,AC$1,0),IF(LEFT(VLOOKUP($D100,'Visu totale'!$D:$DH,AC$1,0),1)="V",IF(AB100&gt;=INDEX('[1]Définition Maintenances'!$G:$G,MATCH($A100,'[1]Définition Maintenances'!$K:$K,0)),AB100,INDEX('[1]Définition Maintenances'!$G:$G,MATCH($A100,'[1]Définition Maintenances'!$K:$K,0))+AB100),AB100))</f>
        <v>429</v>
      </c>
      <c r="AD100" s="25">
        <f>IF(ISNUMBER(VLOOKUP($D100,'Visu totale'!$D:$DH,AD$1,0)),AC100-VLOOKUP($D100,'Visu totale'!$D:$DH,AD$1,0),IF(LEFT(VLOOKUP($D100,'Visu totale'!$D:$DH,AD$1,0),1)="V",IF(AC100&gt;=INDEX('[1]Définition Maintenances'!$G:$G,MATCH($A100,'[1]Définition Maintenances'!$K:$K,0)),AC100,INDEX('[1]Définition Maintenances'!$G:$G,MATCH($A100,'[1]Définition Maintenances'!$K:$K,0))+AC100),AC100))</f>
        <v>429</v>
      </c>
      <c r="AE100" s="26">
        <f>IF(ISNUMBER(VLOOKUP($D100,'Visu totale'!$D:$DH,AE$1,0)),AD100-VLOOKUP($D100,'Visu totale'!$D:$DH,AE$1,0),IF(LEFT(VLOOKUP($D100,'Visu totale'!$D:$DH,AE$1,0),1)="V",IF(AD100&gt;=INDEX('[1]Définition Maintenances'!$G:$G,MATCH($A100,'[1]Définition Maintenances'!$K:$K,0)),AD100,INDEX('[1]Définition Maintenances'!$G:$G,MATCH($A100,'[1]Définition Maintenances'!$K:$K,0))+AD100),AD100))</f>
        <v>429</v>
      </c>
      <c r="AF100" s="26">
        <f>IF(ISNUMBER(VLOOKUP($D100,'Visu totale'!$D:$DH,AF$1,0)),AE100-VLOOKUP($D100,'Visu totale'!$D:$DH,AF$1,0),IF(LEFT(VLOOKUP($D100,'Visu totale'!$D:$DH,AF$1,0),1)="V",IF(AE100&gt;=INDEX('[1]Définition Maintenances'!$G:$G,MATCH($A100,'[1]Définition Maintenances'!$K:$K,0)),AE100,INDEX('[1]Définition Maintenances'!$G:$G,MATCH($A100,'[1]Définition Maintenances'!$K:$K,0))+AE100),AE100))</f>
        <v>429</v>
      </c>
      <c r="AG100" s="26">
        <f>IF(ISNUMBER(VLOOKUP($D100,'Visu totale'!$D:$DH,AG$1,0)),AF100-VLOOKUP($D100,'Visu totale'!$D:$DH,AG$1,0),IF(LEFT(VLOOKUP($D100,'Visu totale'!$D:$DH,AG$1,0),1)="V",IF(AF100&gt;=INDEX('[1]Définition Maintenances'!$G:$G,MATCH($A100,'[1]Définition Maintenances'!$K:$K,0)),AF100,INDEX('[1]Définition Maintenances'!$G:$G,MATCH($A100,'[1]Définition Maintenances'!$K:$K,0))+AF100),AF100))</f>
        <v>429</v>
      </c>
      <c r="AH100" s="26">
        <f>IF(ISNUMBER(VLOOKUP($D100,'Visu totale'!$D:$DH,AH$1,0)),AG100-VLOOKUP($D100,'Visu totale'!$D:$DH,AH$1,0),IF(LEFT(VLOOKUP($D100,'Visu totale'!$D:$DH,AH$1,0),1)="V",IF(AG100&gt;=INDEX('[1]Définition Maintenances'!$G:$G,MATCH($A100,'[1]Définition Maintenances'!$K:$K,0)),AG100,INDEX('[1]Définition Maintenances'!$G:$G,MATCH($A100,'[1]Définition Maintenances'!$K:$K,0))+AG100),AG100))</f>
        <v>429</v>
      </c>
      <c r="AI100" s="26">
        <f>IF(ISNUMBER(VLOOKUP($D100,'Visu totale'!$D:$DH,AI$1,0)),AH100-VLOOKUP($D100,'Visu totale'!$D:$DH,AI$1,0),IF(LEFT(VLOOKUP($D100,'Visu totale'!$D:$DH,AI$1,0),1)="V",IF(AH100&gt;=INDEX('[1]Définition Maintenances'!$G:$G,MATCH($A100,'[1]Définition Maintenances'!$K:$K,0)),AH100,INDEX('[1]Définition Maintenances'!$G:$G,MATCH($A100,'[1]Définition Maintenances'!$K:$K,0))+AH100),AH100))</f>
        <v>429</v>
      </c>
      <c r="AJ100" s="26">
        <f>IF(ISNUMBER(VLOOKUP($D100,'Visu totale'!$D:$DH,AJ$1,0)),AI100-VLOOKUP($D100,'Visu totale'!$D:$DH,AJ$1,0),IF(LEFT(VLOOKUP($D100,'Visu totale'!$D:$DH,AJ$1,0),1)="V",IF(AI100&gt;=INDEX('[1]Définition Maintenances'!$G:$G,MATCH($A100,'[1]Définition Maintenances'!$K:$K,0)),AI100,INDEX('[1]Définition Maintenances'!$G:$G,MATCH($A100,'[1]Définition Maintenances'!$K:$K,0))+AI100),AI100))</f>
        <v>429</v>
      </c>
      <c r="AK100" s="26">
        <f>IF(ISNUMBER(VLOOKUP($D100,'Visu totale'!$D:$DH,AK$1,0)),AJ100-VLOOKUP($D100,'Visu totale'!$D:$DH,AK$1,0),IF(LEFT(VLOOKUP($D100,'Visu totale'!$D:$DH,AK$1,0),1)="V",IF(AJ100&gt;=INDEX('[1]Définition Maintenances'!$G:$G,MATCH($A100,'[1]Définition Maintenances'!$K:$K,0)),AJ100,INDEX('[1]Définition Maintenances'!$G:$G,MATCH($A100,'[1]Définition Maintenances'!$K:$K,0))+AJ100),AJ100))</f>
        <v>429</v>
      </c>
      <c r="AL100" s="26">
        <f>IF(ISNUMBER(VLOOKUP($D100,'Visu totale'!$D:$DH,AL$1,0)),AK100-VLOOKUP($D100,'Visu totale'!$D:$DH,AL$1,0),IF(LEFT(VLOOKUP($D100,'Visu totale'!$D:$DH,AL$1,0),1)="V",IF(AK100&gt;=INDEX('[1]Définition Maintenances'!$G:$G,MATCH($A100,'[1]Définition Maintenances'!$K:$K,0)),AK100,INDEX('[1]Définition Maintenances'!$G:$G,MATCH($A100,'[1]Définition Maintenances'!$K:$K,0))+AK100),AK100))</f>
        <v>429</v>
      </c>
      <c r="AM100" s="26">
        <f>IF(ISNUMBER(VLOOKUP($D100,'Visu totale'!$D:$DH,AM$1,0)),AL100-VLOOKUP($D100,'Visu totale'!$D:$DH,AM$1,0),IF(LEFT(VLOOKUP($D100,'Visu totale'!$D:$DH,AM$1,0),1)="V",IF(AL100&gt;=INDEX('[1]Définition Maintenances'!$G:$G,MATCH($A100,'[1]Définition Maintenances'!$K:$K,0)),AL100,INDEX('[1]Définition Maintenances'!$G:$G,MATCH($A100,'[1]Définition Maintenances'!$K:$K,0))+AL100),AL100))</f>
        <v>429</v>
      </c>
      <c r="AN100" s="26">
        <f>IF(ISNUMBER(VLOOKUP($D100,'Visu totale'!$D:$DH,AN$1,0)),AM100-VLOOKUP($D100,'Visu totale'!$D:$DH,AN$1,0),IF(LEFT(VLOOKUP($D100,'Visu totale'!$D:$DH,AN$1,0),1)="V",IF(AM100&gt;=INDEX('[1]Définition Maintenances'!$G:$G,MATCH($A100,'[1]Définition Maintenances'!$K:$K,0)),AM100,INDEX('[1]Définition Maintenances'!$G:$G,MATCH($A100,'[1]Définition Maintenances'!$K:$K,0))+AM100),AM100))</f>
        <v>429</v>
      </c>
      <c r="AO100" s="27">
        <f>IF(ISNUMBER(VLOOKUP($D100,'Visu totale'!$D:$DH,AO$1,0)),AN100-VLOOKUP($D100,'Visu totale'!$D:$DH,AO$1,0),IF(LEFT(VLOOKUP($D100,'Visu totale'!$D:$DH,AO$1,0),1)="V",IF(AN100&gt;=INDEX('[1]Définition Maintenances'!$G:$G,MATCH($A100,'[1]Définition Maintenances'!$K:$K,0)),AN100,INDEX('[1]Définition Maintenances'!$G:$G,MATCH($A100,'[1]Définition Maintenances'!$K:$K,0))+AN100),AN100))</f>
        <v>429</v>
      </c>
      <c r="AP100" s="25">
        <f>IF(ISNUMBER(VLOOKUP($D100,'Visu totale'!$D:$DH,AP$1,0)),AO100-VLOOKUP($D100,'Visu totale'!$D:$DH,AP$1,0),IF(LEFT(VLOOKUP($D100,'Visu totale'!$D:$DH,AP$1,0),1)="V",IF(AO100&gt;=INDEX('[1]Définition Maintenances'!$G:$G,MATCH($A100,'[1]Définition Maintenances'!$K:$K,0)),AO100,INDEX('[1]Définition Maintenances'!$G:$G,MATCH($A100,'[1]Définition Maintenances'!$K:$K,0))+AO100),AO100))</f>
        <v>429</v>
      </c>
      <c r="AQ100" s="26">
        <f>IF(ISNUMBER(VLOOKUP($D100,'Visu totale'!$D:$DH,AQ$1,0)),AP100-VLOOKUP($D100,'Visu totale'!$D:$DH,AQ$1,0),IF(LEFT(VLOOKUP($D100,'Visu totale'!$D:$DH,AQ$1,0),1)="V",IF(AP100&gt;=INDEX('[1]Définition Maintenances'!$G:$G,MATCH($A100,'[1]Définition Maintenances'!$K:$K,0)),AP100,INDEX('[1]Définition Maintenances'!$G:$G,MATCH($A100,'[1]Définition Maintenances'!$K:$K,0))+AP100),AP100))</f>
        <v>429</v>
      </c>
      <c r="AR100" s="26">
        <f>IF(ISNUMBER(VLOOKUP($D100,'Visu totale'!$D:$DH,AR$1,0)),AQ100-VLOOKUP($D100,'Visu totale'!$D:$DH,AR$1,0),IF(LEFT(VLOOKUP($D100,'Visu totale'!$D:$DH,AR$1,0),1)="V",IF(AQ100&gt;=INDEX('[1]Définition Maintenances'!$G:$G,MATCH($A100,'[1]Définition Maintenances'!$K:$K,0)),AQ100,INDEX('[1]Définition Maintenances'!$G:$G,MATCH($A100,'[1]Définition Maintenances'!$K:$K,0))+AQ100),AQ100))</f>
        <v>429</v>
      </c>
      <c r="AS100" s="26">
        <f>IF(ISNUMBER(VLOOKUP($D100,'Visu totale'!$D:$DH,AS$1,0)),AR100-VLOOKUP($D100,'Visu totale'!$D:$DH,AS$1,0),IF(LEFT(VLOOKUP($D100,'Visu totale'!$D:$DH,AS$1,0),1)="V",IF(AR100&gt;=INDEX('[1]Définition Maintenances'!$G:$G,MATCH($A100,'[1]Définition Maintenances'!$K:$K,0)),AR100,INDEX('[1]Définition Maintenances'!$G:$G,MATCH($A100,'[1]Définition Maintenances'!$K:$K,0))+AR100),AR100))</f>
        <v>429</v>
      </c>
      <c r="AT100" s="26">
        <f>IF(ISNUMBER(VLOOKUP($D100,'Visu totale'!$D:$DH,AT$1,0)),AS100-VLOOKUP($D100,'Visu totale'!$D:$DH,AT$1,0),IF(LEFT(VLOOKUP($D100,'Visu totale'!$D:$DH,AT$1,0),1)="V",IF(AS100&gt;=INDEX('[1]Définition Maintenances'!$G:$G,MATCH($A100,'[1]Définition Maintenances'!$K:$K,0)),AS100,INDEX('[1]Définition Maintenances'!$G:$G,MATCH($A100,'[1]Définition Maintenances'!$K:$K,0))+AS100),AS100))</f>
        <v>429</v>
      </c>
      <c r="AU100" s="26">
        <f>IF(ISNUMBER(VLOOKUP($D100,'Visu totale'!$D:$DH,AU$1,0)),AT100-VLOOKUP($D100,'Visu totale'!$D:$DH,AU$1,0),IF(LEFT(VLOOKUP($D100,'Visu totale'!$D:$DH,AU$1,0),1)="V",IF(AT100&gt;=INDEX('[1]Définition Maintenances'!$G:$G,MATCH($A100,'[1]Définition Maintenances'!$K:$K,0)),AT100,INDEX('[1]Définition Maintenances'!$G:$G,MATCH($A100,'[1]Définition Maintenances'!$K:$K,0))+AT100),AT100))</f>
        <v>429</v>
      </c>
      <c r="AV100" s="26">
        <f>IF(ISNUMBER(VLOOKUP($D100,'Visu totale'!$D:$DH,AV$1,0)),AU100-VLOOKUP($D100,'Visu totale'!$D:$DH,AV$1,0),IF(LEFT(VLOOKUP($D100,'Visu totale'!$D:$DH,AV$1,0),1)="V",IF(AU100&gt;=INDEX('[1]Définition Maintenances'!$G:$G,MATCH($A100,'[1]Définition Maintenances'!$K:$K,0)),AU100,INDEX('[1]Définition Maintenances'!$G:$G,MATCH($A100,'[1]Définition Maintenances'!$K:$K,0))+AU100),AU100))</f>
        <v>429</v>
      </c>
      <c r="AW100" s="26">
        <f>IF(ISNUMBER(VLOOKUP($D100,'Visu totale'!$D:$DH,AW$1,0)),AV100-VLOOKUP($D100,'Visu totale'!$D:$DH,AW$1,0),IF(LEFT(VLOOKUP($D100,'Visu totale'!$D:$DH,AW$1,0),1)="V",IF(AV100&gt;=INDEX('[1]Définition Maintenances'!$G:$G,MATCH($A100,'[1]Définition Maintenances'!$K:$K,0)),AV100,INDEX('[1]Définition Maintenances'!$G:$G,MATCH($A100,'[1]Définition Maintenances'!$K:$K,0))+AV100),AV100))</f>
        <v>429</v>
      </c>
      <c r="AX100" s="26">
        <f>IF(ISNUMBER(VLOOKUP($D100,'Visu totale'!$D:$DH,AX$1,0)),AW100-VLOOKUP($D100,'Visu totale'!$D:$DH,AX$1,0),IF(LEFT(VLOOKUP($D100,'Visu totale'!$D:$DH,AX$1,0),1)="V",IF(AW100&gt;=INDEX('[1]Définition Maintenances'!$G:$G,MATCH($A100,'[1]Définition Maintenances'!$K:$K,0)),AW100,INDEX('[1]Définition Maintenances'!$G:$G,MATCH($A100,'[1]Définition Maintenances'!$K:$K,0))+AW100),AW100))</f>
        <v>429</v>
      </c>
      <c r="AY100" s="26">
        <f>IF(ISNUMBER(VLOOKUP($D100,'Visu totale'!$D:$DH,AY$1,0)),AX100-VLOOKUP($D100,'Visu totale'!$D:$DH,AY$1,0),IF(LEFT(VLOOKUP($D100,'Visu totale'!$D:$DH,AY$1,0),1)="V",IF(AX100&gt;=INDEX('[1]Définition Maintenances'!$G:$G,MATCH($A100,'[1]Définition Maintenances'!$K:$K,0)),AX100,INDEX('[1]Définition Maintenances'!$G:$G,MATCH($A100,'[1]Définition Maintenances'!$K:$K,0))+AX100),AX100))</f>
        <v>429</v>
      </c>
      <c r="AZ100" s="26">
        <f>IF(ISNUMBER(VLOOKUP($D100,'Visu totale'!$D:$DH,AZ$1,0)),AY100-VLOOKUP($D100,'Visu totale'!$D:$DH,AZ$1,0),IF(LEFT(VLOOKUP($D100,'Visu totale'!$D:$DH,AZ$1,0),1)="V",IF(AY100&gt;=INDEX('[1]Définition Maintenances'!$G:$G,MATCH($A100,'[1]Définition Maintenances'!$K:$K,0)),AY100,INDEX('[1]Définition Maintenances'!$G:$G,MATCH($A100,'[1]Définition Maintenances'!$K:$K,0))+AY100),AY100))</f>
        <v>429</v>
      </c>
      <c r="BA100" s="27">
        <f>IF(ISNUMBER(VLOOKUP($D100,'Visu totale'!$D:$DH,BA$1,0)),AZ100-VLOOKUP($D100,'Visu totale'!$D:$DH,BA$1,0),IF(LEFT(VLOOKUP($D100,'Visu totale'!$D:$DH,BA$1,0),1)="V",IF(AZ100&gt;=INDEX('[1]Définition Maintenances'!$G:$G,MATCH($A100,'[1]Définition Maintenances'!$K:$K,0)),AZ100,INDEX('[1]Définition Maintenances'!$G:$G,MATCH($A100,'[1]Définition Maintenances'!$K:$K,0))+AZ100),AZ100))</f>
        <v>429</v>
      </c>
      <c r="BB100" s="25">
        <f>IF(ISNUMBER(VLOOKUP($D100,'Visu totale'!$D:$DH,BB$1,0)),BA100-VLOOKUP($D100,'Visu totale'!$D:$DH,BB$1,0),IF(LEFT(VLOOKUP($D100,'Visu totale'!$D:$DH,BB$1,0),1)="V",IF(BA100&gt;=INDEX('[1]Définition Maintenances'!$G:$G,MATCH($A100,'[1]Définition Maintenances'!$K:$K,0)),BA100,INDEX('[1]Définition Maintenances'!$G:$G,MATCH($A100,'[1]Définition Maintenances'!$K:$K,0))+BA100),BA100))</f>
        <v>429</v>
      </c>
      <c r="BC100" s="26">
        <f>IF(ISNUMBER(VLOOKUP($D100,'Visu totale'!$D:$DH,BC$1,0)),BB100-VLOOKUP($D100,'Visu totale'!$D:$DH,BC$1,0),IF(LEFT(VLOOKUP($D100,'Visu totale'!$D:$DH,BC$1,0),1)="V",IF(BB100&gt;=INDEX('[1]Définition Maintenances'!$G:$G,MATCH($A100,'[1]Définition Maintenances'!$K:$K,0)),BB100,INDEX('[1]Définition Maintenances'!$G:$G,MATCH($A100,'[1]Définition Maintenances'!$K:$K,0))+BB100),BB100))</f>
        <v>429</v>
      </c>
      <c r="BD100" s="26">
        <f>IF(ISNUMBER(VLOOKUP($D100,'Visu totale'!$D:$DH,BD$1,0)),BC100-VLOOKUP($D100,'Visu totale'!$D:$DH,BD$1,0),IF(LEFT(VLOOKUP($D100,'Visu totale'!$D:$DH,BD$1,0),1)="V",IF(BC100&gt;=INDEX('[1]Définition Maintenances'!$G:$G,MATCH($A100,'[1]Définition Maintenances'!$K:$K,0)),BC100,INDEX('[1]Définition Maintenances'!$G:$G,MATCH($A100,'[1]Définition Maintenances'!$K:$K,0))+BC100),BC100))</f>
        <v>429</v>
      </c>
      <c r="BE100" s="26">
        <f>IF(ISNUMBER(VLOOKUP($D100,'Visu totale'!$D:$DH,BE$1,0)),BD100-VLOOKUP($D100,'Visu totale'!$D:$DH,BE$1,0),IF(LEFT(VLOOKUP($D100,'Visu totale'!$D:$DH,BE$1,0),1)="V",IF(BD100&gt;=INDEX('[1]Définition Maintenances'!$G:$G,MATCH($A100,'[1]Définition Maintenances'!$K:$K,0)),BD100,INDEX('[1]Définition Maintenances'!$G:$G,MATCH($A100,'[1]Définition Maintenances'!$K:$K,0))+BD100),BD100))</f>
        <v>429</v>
      </c>
      <c r="BF100" s="26">
        <f>IF(ISNUMBER(VLOOKUP($D100,'Visu totale'!$D:$DH,BF$1,0)),BE100-VLOOKUP($D100,'Visu totale'!$D:$DH,BF$1,0),IF(LEFT(VLOOKUP($D100,'Visu totale'!$D:$DH,BF$1,0),1)="V",IF(BE100&gt;=INDEX('[1]Définition Maintenances'!$G:$G,MATCH($A100,'[1]Définition Maintenances'!$K:$K,0)),BE100,INDEX('[1]Définition Maintenances'!$G:$G,MATCH($A100,'[1]Définition Maintenances'!$K:$K,0))+BE100),BE100))</f>
        <v>429</v>
      </c>
      <c r="BG100" s="26">
        <f>IF(ISNUMBER(VLOOKUP($D100,'Visu totale'!$D:$DH,BG$1,0)),BF100-VLOOKUP($D100,'Visu totale'!$D:$DH,BG$1,0),IF(LEFT(VLOOKUP($D100,'Visu totale'!$D:$DH,BG$1,0),1)="V",IF(BF100&gt;=INDEX('[1]Définition Maintenances'!$G:$G,MATCH($A100,'[1]Définition Maintenances'!$K:$K,0)),BF100,INDEX('[1]Définition Maintenances'!$G:$G,MATCH($A100,'[1]Définition Maintenances'!$K:$K,0))+BF100),BF100))</f>
        <v>429</v>
      </c>
      <c r="BH100" s="26">
        <f>IF(ISNUMBER(VLOOKUP($D100,'Visu totale'!$D:$DH,BH$1,0)),BG100-VLOOKUP($D100,'Visu totale'!$D:$DH,BH$1,0),IF(LEFT(VLOOKUP($D100,'Visu totale'!$D:$DH,BH$1,0),1)="V",IF(BG100&gt;=INDEX('[1]Définition Maintenances'!$G:$G,MATCH($A100,'[1]Définition Maintenances'!$K:$K,0)),BG100,INDEX('[1]Définition Maintenances'!$G:$G,MATCH($A100,'[1]Définition Maintenances'!$K:$K,0))+BG100),BG100))</f>
        <v>429</v>
      </c>
      <c r="BI100" s="26">
        <f>IF(ISNUMBER(VLOOKUP($D100,'Visu totale'!$D:$DH,BI$1,0)),BH100-VLOOKUP($D100,'Visu totale'!$D:$DH,BI$1,0),IF(LEFT(VLOOKUP($D100,'Visu totale'!$D:$DH,BI$1,0),1)="V",IF(BH100&gt;=INDEX('[1]Définition Maintenances'!$G:$G,MATCH($A100,'[1]Définition Maintenances'!$K:$K,0)),BH100,INDEX('[1]Définition Maintenances'!$G:$G,MATCH($A100,'[1]Définition Maintenances'!$K:$K,0))+BH100),BH100))</f>
        <v>429</v>
      </c>
      <c r="BJ100" s="26">
        <f>IF(ISNUMBER(VLOOKUP($D100,'Visu totale'!$D:$DH,BJ$1,0)),BI100-VLOOKUP($D100,'Visu totale'!$D:$DH,BJ$1,0),IF(LEFT(VLOOKUP($D100,'Visu totale'!$D:$DH,BJ$1,0),1)="V",IF(BI100&gt;=INDEX('[1]Définition Maintenances'!$G:$G,MATCH($A100,'[1]Définition Maintenances'!$K:$K,0)),BI100,INDEX('[1]Définition Maintenances'!$G:$G,MATCH($A100,'[1]Définition Maintenances'!$K:$K,0))+BI100),BI100))</f>
        <v>429</v>
      </c>
      <c r="BK100" s="26">
        <f>IF(ISNUMBER(VLOOKUP($D100,'Visu totale'!$D:$DH,BK$1,0)),BJ100-VLOOKUP($D100,'Visu totale'!$D:$DH,BK$1,0),IF(LEFT(VLOOKUP($D100,'Visu totale'!$D:$DH,BK$1,0),1)="V",IF(BJ100&gt;=INDEX('[1]Définition Maintenances'!$G:$G,MATCH($A100,'[1]Définition Maintenances'!$K:$K,0)),BJ100,INDEX('[1]Définition Maintenances'!$G:$G,MATCH($A100,'[1]Définition Maintenances'!$K:$K,0))+BJ100),BJ100))</f>
        <v>429</v>
      </c>
      <c r="BL100" s="26">
        <f>IF(ISNUMBER(VLOOKUP($D100,'Visu totale'!$D:$DH,BL$1,0)),BK100-VLOOKUP($D100,'Visu totale'!$D:$DH,BL$1,0),IF(LEFT(VLOOKUP($D100,'Visu totale'!$D:$DH,BL$1,0),1)="V",IF(BK100&gt;=INDEX('[1]Définition Maintenances'!$G:$G,MATCH($A100,'[1]Définition Maintenances'!$K:$K,0)),BK100,INDEX('[1]Définition Maintenances'!$G:$G,MATCH($A100,'[1]Définition Maintenances'!$K:$K,0))+BK100),BK100))</f>
        <v>429</v>
      </c>
      <c r="BM100" s="27">
        <f>IF(ISNUMBER(VLOOKUP($D100,'Visu totale'!$D:$DH,BM$1,0)),BL100-VLOOKUP($D100,'Visu totale'!$D:$DH,BM$1,0),IF(LEFT(VLOOKUP($D100,'Visu totale'!$D:$DH,BM$1,0),1)="V",IF(BL100&gt;=INDEX('[1]Définition Maintenances'!$G:$G,MATCH($A100,'[1]Définition Maintenances'!$K:$K,0)),BL100,INDEX('[1]Définition Maintenances'!$G:$G,MATCH($A100,'[1]Définition Maintenances'!$K:$K,0))+BL100),BL100))</f>
        <v>429</v>
      </c>
      <c r="BN100" s="25">
        <f>IF(ISNUMBER(VLOOKUP($D100,'Visu totale'!$D:$DH,BN$1,0)),BM100-VLOOKUP($D100,'Visu totale'!$D:$DH,BN$1,0),IF(LEFT(VLOOKUP($D100,'Visu totale'!$D:$DH,BN$1,0),1)="V",IF(BM100&gt;=INDEX('[1]Définition Maintenances'!$G:$G,MATCH($A100,'[1]Définition Maintenances'!$K:$K,0)),BM100,INDEX('[1]Définition Maintenances'!$G:$G,MATCH($A100,'[1]Définition Maintenances'!$K:$K,0))+BM100),BM100))</f>
        <v>429</v>
      </c>
      <c r="BO100" s="26">
        <f>IF(ISNUMBER(VLOOKUP($D100,'Visu totale'!$D:$DH,BO$1,0)),BN100-VLOOKUP($D100,'Visu totale'!$D:$DH,BO$1,0),IF(LEFT(VLOOKUP($D100,'Visu totale'!$D:$DH,BO$1,0),1)="V",IF(BN100&gt;=INDEX('[1]Définition Maintenances'!$G:$G,MATCH($A100,'[1]Définition Maintenances'!$K:$K,0)),BN100,INDEX('[1]Définition Maintenances'!$G:$G,MATCH($A100,'[1]Définition Maintenances'!$K:$K,0))+BN100),BN100))</f>
        <v>429</v>
      </c>
      <c r="BP100" s="26">
        <f>IF(ISNUMBER(VLOOKUP($D100,'Visu totale'!$D:$DH,BP$1,0)),BO100-VLOOKUP($D100,'Visu totale'!$D:$DH,BP$1,0),IF(LEFT(VLOOKUP($D100,'Visu totale'!$D:$DH,BP$1,0),1)="V",IF(BO100&gt;=INDEX('[1]Définition Maintenances'!$G:$G,MATCH($A100,'[1]Définition Maintenances'!$K:$K,0)),BO100,INDEX('[1]Définition Maintenances'!$G:$G,MATCH($A100,'[1]Définition Maintenances'!$K:$K,0))+BO100),BO100))</f>
        <v>429</v>
      </c>
      <c r="BQ100" s="26">
        <f>IF(ISNUMBER(VLOOKUP($D100,'Visu totale'!$D:$DH,BQ$1,0)),BP100-VLOOKUP($D100,'Visu totale'!$D:$DH,BQ$1,0),IF(LEFT(VLOOKUP($D100,'Visu totale'!$D:$DH,BQ$1,0),1)="V",IF(BP100&gt;=INDEX('[1]Définition Maintenances'!$G:$G,MATCH($A100,'[1]Définition Maintenances'!$K:$K,0)),BP100,INDEX('[1]Définition Maintenances'!$G:$G,MATCH($A100,'[1]Définition Maintenances'!$K:$K,0))+BP100),BP100))</f>
        <v>429</v>
      </c>
      <c r="BR100" s="26">
        <f>IF(ISNUMBER(VLOOKUP($D100,'Visu totale'!$D:$DH,BR$1,0)),BQ100-VLOOKUP($D100,'Visu totale'!$D:$DH,BR$1,0),IF(LEFT(VLOOKUP($D100,'Visu totale'!$D:$DH,BR$1,0),1)="V",IF(BQ100&gt;=INDEX('[1]Définition Maintenances'!$G:$G,MATCH($A100,'[1]Définition Maintenances'!$K:$K,0)),BQ100,INDEX('[1]Définition Maintenances'!$G:$G,MATCH($A100,'[1]Définition Maintenances'!$K:$K,0))+BQ100),BQ100))</f>
        <v>429</v>
      </c>
      <c r="BS100" s="26">
        <f>IF(ISNUMBER(VLOOKUP($D100,'Visu totale'!$D:$DH,BS$1,0)),BR100-VLOOKUP($D100,'Visu totale'!$D:$DH,BS$1,0),IF(LEFT(VLOOKUP($D100,'Visu totale'!$D:$DH,BS$1,0),1)="V",IF(BR100&gt;=INDEX('[1]Définition Maintenances'!$G:$G,MATCH($A100,'[1]Définition Maintenances'!$K:$K,0)),BR100,INDEX('[1]Définition Maintenances'!$G:$G,MATCH($A100,'[1]Définition Maintenances'!$K:$K,0))+BR100),BR100))</f>
        <v>429</v>
      </c>
      <c r="BT100" s="26">
        <f>IF(ISNUMBER(VLOOKUP($D100,'Visu totale'!$D:$DH,BT$1,0)),BS100-VLOOKUP($D100,'Visu totale'!$D:$DH,BT$1,0),IF(LEFT(VLOOKUP($D100,'Visu totale'!$D:$DH,BT$1,0),1)="V",IF(BS100&gt;=INDEX('[1]Définition Maintenances'!$G:$G,MATCH($A100,'[1]Définition Maintenances'!$K:$K,0)),BS100,INDEX('[1]Définition Maintenances'!$G:$G,MATCH($A100,'[1]Définition Maintenances'!$K:$K,0))+BS100),BS100))</f>
        <v>429</v>
      </c>
      <c r="BU100" s="26">
        <f>IF(ISNUMBER(VLOOKUP($D100,'Visu totale'!$D:$DH,BU$1,0)),BT100-VLOOKUP($D100,'Visu totale'!$D:$DH,BU$1,0),IF(LEFT(VLOOKUP($D100,'Visu totale'!$D:$DH,BU$1,0),1)="V",IF(BT100&gt;=INDEX('[1]Définition Maintenances'!$G:$G,MATCH($A100,'[1]Définition Maintenances'!$K:$K,0)),BT100,INDEX('[1]Définition Maintenances'!$G:$G,MATCH($A100,'[1]Définition Maintenances'!$K:$K,0))+BT100),BT100))</f>
        <v>429</v>
      </c>
      <c r="BV100" s="26">
        <f>IF(ISNUMBER(VLOOKUP($D100,'Visu totale'!$D:$DH,BV$1,0)),BU100-VLOOKUP($D100,'Visu totale'!$D:$DH,BV$1,0),IF(LEFT(VLOOKUP($D100,'Visu totale'!$D:$DH,BV$1,0),1)="V",IF(BU100&gt;=INDEX('[1]Définition Maintenances'!$G:$G,MATCH($A100,'[1]Définition Maintenances'!$K:$K,0)),BU100,INDEX('[1]Définition Maintenances'!$G:$G,MATCH($A100,'[1]Définition Maintenances'!$K:$K,0))+BU100),BU100))</f>
        <v>429</v>
      </c>
      <c r="BW100" s="26">
        <f>IF(ISNUMBER(VLOOKUP($D100,'Visu totale'!$D:$DH,BW$1,0)),BV100-VLOOKUP($D100,'Visu totale'!$D:$DH,BW$1,0),IF(LEFT(VLOOKUP($D100,'Visu totale'!$D:$DH,BW$1,0),1)="V",IF(BV100&gt;=INDEX('[1]Définition Maintenances'!$G:$G,MATCH($A100,'[1]Définition Maintenances'!$K:$K,0)),BV100,INDEX('[1]Définition Maintenances'!$G:$G,MATCH($A100,'[1]Définition Maintenances'!$K:$K,0))+BV100),BV100))</f>
        <v>429</v>
      </c>
      <c r="BX100" s="26">
        <f>IF(ISNUMBER(VLOOKUP($D100,'Visu totale'!$D:$DH,BX$1,0)),BW100-VLOOKUP($D100,'Visu totale'!$D:$DH,BX$1,0),IF(LEFT(VLOOKUP($D100,'Visu totale'!$D:$DH,BX$1,0),1)="V",IF(BW100&gt;=INDEX('[1]Définition Maintenances'!$G:$G,MATCH($A100,'[1]Définition Maintenances'!$K:$K,0)),BW100,INDEX('[1]Définition Maintenances'!$G:$G,MATCH($A100,'[1]Définition Maintenances'!$K:$K,0))+BW100),BW100))</f>
        <v>429</v>
      </c>
      <c r="BY100" s="27">
        <f>IF(ISNUMBER(VLOOKUP($D100,'Visu totale'!$D:$DH,BY$1,0)),BX100-VLOOKUP($D100,'Visu totale'!$D:$DH,BY$1,0),IF(LEFT(VLOOKUP($D100,'Visu totale'!$D:$DH,BY$1,0),1)="V",IF(BX100&gt;=INDEX('[1]Définition Maintenances'!$G:$G,MATCH($A100,'[1]Définition Maintenances'!$K:$K,0)),BX100,INDEX('[1]Définition Maintenances'!$G:$G,MATCH($A100,'[1]Définition Maintenances'!$K:$K,0))+BX100),BX100))</f>
        <v>429</v>
      </c>
      <c r="BZ100" s="25">
        <f>IF(ISNUMBER(VLOOKUP($D100,'Visu totale'!$D:$DH,BZ$1,0)),BY100-VLOOKUP($D100,'Visu totale'!$D:$DH,BZ$1,0),IF(LEFT(VLOOKUP($D100,'Visu totale'!$D:$DH,BZ$1,0),1)="V",IF(BY100&gt;=INDEX('[1]Définition Maintenances'!$G:$G,MATCH($A100,'[1]Définition Maintenances'!$K:$K,0)),BY100,INDEX('[1]Définition Maintenances'!$G:$G,MATCH($A100,'[1]Définition Maintenances'!$K:$K,0))+BY100),BY100))</f>
        <v>429</v>
      </c>
      <c r="CA100" s="26">
        <f>IF(ISNUMBER(VLOOKUP($D100,'Visu totale'!$D:$DH,CA$1,0)),BZ100-VLOOKUP($D100,'Visu totale'!$D:$DH,CA$1,0),IF(LEFT(VLOOKUP($D100,'Visu totale'!$D:$DH,CA$1,0),1)="V",IF(BZ100&gt;=INDEX('[1]Définition Maintenances'!$G:$G,MATCH($A100,'[1]Définition Maintenances'!$K:$K,0)),BZ100,INDEX('[1]Définition Maintenances'!$G:$G,MATCH($A100,'[1]Définition Maintenances'!$K:$K,0))+BZ100),BZ100))</f>
        <v>429</v>
      </c>
      <c r="CB100" s="26">
        <f>IF(ISNUMBER(VLOOKUP($D100,'Visu totale'!$D:$DH,CB$1,0)),CA100-VLOOKUP($D100,'Visu totale'!$D:$DH,CB$1,0),IF(LEFT(VLOOKUP($D100,'Visu totale'!$D:$DH,CB$1,0),1)="V",IF(CA100&gt;=INDEX('[1]Définition Maintenances'!$G:$G,MATCH($A100,'[1]Définition Maintenances'!$K:$K,0)),CA100,INDEX('[1]Définition Maintenances'!$G:$G,MATCH($A100,'[1]Définition Maintenances'!$K:$K,0))+CA100),CA100))</f>
        <v>429</v>
      </c>
      <c r="CC100" s="26">
        <f>IF(ISNUMBER(VLOOKUP($D100,'Visu totale'!$D:$DH,CC$1,0)),CB100-VLOOKUP($D100,'Visu totale'!$D:$DH,CC$1,0),IF(LEFT(VLOOKUP($D100,'Visu totale'!$D:$DH,CC$1,0),1)="V",IF(CB100&gt;=INDEX('[1]Définition Maintenances'!$G:$G,MATCH($A100,'[1]Définition Maintenances'!$K:$K,0)),CB100,INDEX('[1]Définition Maintenances'!$G:$G,MATCH($A100,'[1]Définition Maintenances'!$K:$K,0))+CB100),CB100))</f>
        <v>429</v>
      </c>
      <c r="CD100" s="26">
        <f>IF(ISNUMBER(VLOOKUP($D100,'Visu totale'!$D:$DH,CD$1,0)),CC100-VLOOKUP($D100,'Visu totale'!$D:$DH,CD$1,0),IF(LEFT(VLOOKUP($D100,'Visu totale'!$D:$DH,CD$1,0),1)="V",IF(CC100&gt;=INDEX('[1]Définition Maintenances'!$G:$G,MATCH($A100,'[1]Définition Maintenances'!$K:$K,0)),CC100,INDEX('[1]Définition Maintenances'!$G:$G,MATCH($A100,'[1]Définition Maintenances'!$K:$K,0))+CC100),CC100))</f>
        <v>429</v>
      </c>
      <c r="CE100" s="26">
        <f>IF(ISNUMBER(VLOOKUP($D100,'Visu totale'!$D:$DH,CE$1,0)),CD100-VLOOKUP($D100,'Visu totale'!$D:$DH,CE$1,0),IF(LEFT(VLOOKUP($D100,'Visu totale'!$D:$DH,CE$1,0),1)="V",IF(CD100&gt;=INDEX('[1]Définition Maintenances'!$G:$G,MATCH($A100,'[1]Définition Maintenances'!$K:$K,0)),CD100,INDEX('[1]Définition Maintenances'!$G:$G,MATCH($A100,'[1]Définition Maintenances'!$K:$K,0))+CD100),CD100))</f>
        <v>429</v>
      </c>
      <c r="CF100" s="26">
        <f>IF(ISNUMBER(VLOOKUP($D100,'Visu totale'!$D:$DH,CF$1,0)),CE100-VLOOKUP($D100,'Visu totale'!$D:$DH,CF$1,0),IF(LEFT(VLOOKUP($D100,'Visu totale'!$D:$DH,CF$1,0),1)="V",IF(CE100&gt;=INDEX('[1]Définition Maintenances'!$G:$G,MATCH($A100,'[1]Définition Maintenances'!$K:$K,0)),CE100,INDEX('[1]Définition Maintenances'!$G:$G,MATCH($A100,'[1]Définition Maintenances'!$K:$K,0))+CE100),CE100))</f>
        <v>429</v>
      </c>
      <c r="CG100" s="26">
        <f>IF(ISNUMBER(VLOOKUP($D100,'Visu totale'!$D:$DH,CG$1,0)),CF100-VLOOKUP($D100,'Visu totale'!$D:$DH,CG$1,0),IF(LEFT(VLOOKUP($D100,'Visu totale'!$D:$DH,CG$1,0),1)="V",IF(CF100&gt;=INDEX('[1]Définition Maintenances'!$G:$G,MATCH($A100,'[1]Définition Maintenances'!$K:$K,0)),CF100,INDEX('[1]Définition Maintenances'!$G:$G,MATCH($A100,'[1]Définition Maintenances'!$K:$K,0))+CF100),CF100))</f>
        <v>429</v>
      </c>
      <c r="CH100" s="26">
        <f>IF(ISNUMBER(VLOOKUP($D100,'Visu totale'!$D:$DH,CH$1,0)),CG100-VLOOKUP($D100,'Visu totale'!$D:$DH,CH$1,0),IF(LEFT(VLOOKUP($D100,'Visu totale'!$D:$DH,CH$1,0),1)="V",IF(CG100&gt;=INDEX('[1]Définition Maintenances'!$G:$G,MATCH($A100,'[1]Définition Maintenances'!$K:$K,0)),CG100,INDEX('[1]Définition Maintenances'!$G:$G,MATCH($A100,'[1]Définition Maintenances'!$K:$K,0))+CG100),CG100))</f>
        <v>429</v>
      </c>
      <c r="CI100" s="26">
        <f>IF(ISNUMBER(VLOOKUP($D100,'Visu totale'!$D:$DH,CI$1,0)),CH100-VLOOKUP($D100,'Visu totale'!$D:$DH,CI$1,0),IF(LEFT(VLOOKUP($D100,'Visu totale'!$D:$DH,CI$1,0),1)="V",IF(CH100&gt;=INDEX('[1]Définition Maintenances'!$G:$G,MATCH($A100,'[1]Définition Maintenances'!$K:$K,0)),CH100,INDEX('[1]Définition Maintenances'!$G:$G,MATCH($A100,'[1]Définition Maintenances'!$K:$K,0))+CH100),CH100))</f>
        <v>429</v>
      </c>
      <c r="CJ100" s="26">
        <f>IF(ISNUMBER(VLOOKUP($D100,'Visu totale'!$D:$DH,CJ$1,0)),CI100-VLOOKUP($D100,'Visu totale'!$D:$DH,CJ$1,0),IF(LEFT(VLOOKUP($D100,'Visu totale'!$D:$DH,CJ$1,0),1)="V",IF(CI100&gt;=INDEX('[1]Définition Maintenances'!$G:$G,MATCH($A100,'[1]Définition Maintenances'!$K:$K,0)),CI100,INDEX('[1]Définition Maintenances'!$G:$G,MATCH($A100,'[1]Définition Maintenances'!$K:$K,0))+CI100),CI100))</f>
        <v>429</v>
      </c>
      <c r="CK100" s="27">
        <f>IF(ISNUMBER(VLOOKUP($D100,'Visu totale'!$D:$DH,CK$1,0)),CJ100-VLOOKUP($D100,'Visu totale'!$D:$DH,CK$1,0),IF(LEFT(VLOOKUP($D100,'Visu totale'!$D:$DH,CK$1,0),1)="V",IF(CJ100&gt;=INDEX('[1]Définition Maintenances'!$G:$G,MATCH($A100,'[1]Définition Maintenances'!$K:$K,0)),CJ100,INDEX('[1]Définition Maintenances'!$G:$G,MATCH($A100,'[1]Définition Maintenances'!$K:$K,0))+CJ100),CJ100))</f>
        <v>429</v>
      </c>
      <c r="CL100" s="25">
        <f>IF(ISNUMBER(VLOOKUP($D100,'Visu totale'!$D:$DH,CL$1,0)),CK100-VLOOKUP($D100,'Visu totale'!$D:$DH,CL$1,0),IF(LEFT(VLOOKUP($D100,'Visu totale'!$D:$DH,CL$1,0),1)="V",IF(CK100&gt;=INDEX('[1]Définition Maintenances'!$G:$G,MATCH($A100,'[1]Définition Maintenances'!$K:$K,0)),CK100,INDEX('[1]Définition Maintenances'!$G:$G,MATCH($A100,'[1]Définition Maintenances'!$K:$K,0))+CK100),CK100))</f>
        <v>429</v>
      </c>
      <c r="CM100" s="26">
        <f>IF(ISNUMBER(VLOOKUP($D100,'Visu totale'!$D:$DH,CM$1,0)),CL100-VLOOKUP($D100,'Visu totale'!$D:$DH,CM$1,0),IF(LEFT(VLOOKUP($D100,'Visu totale'!$D:$DH,CM$1,0),1)="V",IF(CL100&gt;=INDEX('[1]Définition Maintenances'!$G:$G,MATCH($A100,'[1]Définition Maintenances'!$K:$K,0)),CL100,INDEX('[1]Définition Maintenances'!$G:$G,MATCH($A100,'[1]Définition Maintenances'!$K:$K,0))+CL100),CL100))</f>
        <v>429</v>
      </c>
      <c r="CN100" s="26">
        <f>IF(ISNUMBER(VLOOKUP($D100,'Visu totale'!$D:$DH,CN$1,0)),CM100-VLOOKUP($D100,'Visu totale'!$D:$DH,CN$1,0),IF(LEFT(VLOOKUP($D100,'Visu totale'!$D:$DH,CN$1,0),1)="V",IF(CM100&gt;=INDEX('[1]Définition Maintenances'!$G:$G,MATCH($A100,'[1]Définition Maintenances'!$K:$K,0)),CM100,INDEX('[1]Définition Maintenances'!$G:$G,MATCH($A100,'[1]Définition Maintenances'!$K:$K,0))+CM100),CM100))</f>
        <v>429</v>
      </c>
      <c r="CO100" s="26">
        <f>IF(ISNUMBER(VLOOKUP($D100,'Visu totale'!$D:$DH,CO$1,0)),CN100-VLOOKUP($D100,'Visu totale'!$D:$DH,CO$1,0),IF(LEFT(VLOOKUP($D100,'Visu totale'!$D:$DH,CO$1,0),1)="V",IF(CN100&gt;=INDEX('[1]Définition Maintenances'!$G:$G,MATCH($A100,'[1]Définition Maintenances'!$K:$K,0)),CN100,INDEX('[1]Définition Maintenances'!$G:$G,MATCH($A100,'[1]Définition Maintenances'!$K:$K,0))+CN100),CN100))</f>
        <v>429</v>
      </c>
      <c r="CP100" s="26">
        <f>IF(ISNUMBER(VLOOKUP($D100,'Visu totale'!$D:$DH,CP$1,0)),CO100-VLOOKUP($D100,'Visu totale'!$D:$DH,CP$1,0),IF(LEFT(VLOOKUP($D100,'Visu totale'!$D:$DH,CP$1,0),1)="V",IF(CO100&gt;=INDEX('[1]Définition Maintenances'!$G:$G,MATCH($A100,'[1]Définition Maintenances'!$K:$K,0)),CO100,INDEX('[1]Définition Maintenances'!$G:$G,MATCH($A100,'[1]Définition Maintenances'!$K:$K,0))+CO100),CO100))</f>
        <v>429</v>
      </c>
      <c r="CQ100" s="26">
        <f>IF(ISNUMBER(VLOOKUP($D100,'Visu totale'!$D:$DH,CQ$1,0)),CP100-VLOOKUP($D100,'Visu totale'!$D:$DH,CQ$1,0),IF(LEFT(VLOOKUP($D100,'Visu totale'!$D:$DH,CQ$1,0),1)="V",IF(CP100&gt;=INDEX('[1]Définition Maintenances'!$G:$G,MATCH($A100,'[1]Définition Maintenances'!$K:$K,0)),CP100,INDEX('[1]Définition Maintenances'!$G:$G,MATCH($A100,'[1]Définition Maintenances'!$K:$K,0))+CP100),CP100))</f>
        <v>429</v>
      </c>
      <c r="CR100" s="26">
        <f>IF(ISNUMBER(VLOOKUP($D100,'Visu totale'!$D:$DH,CR$1,0)),CQ100-VLOOKUP($D100,'Visu totale'!$D:$DH,CR$1,0),IF(LEFT(VLOOKUP($D100,'Visu totale'!$D:$DH,CR$1,0),1)="V",IF(CQ100&gt;=INDEX('[1]Définition Maintenances'!$G:$G,MATCH($A100,'[1]Définition Maintenances'!$K:$K,0)),CQ100,INDEX('[1]Définition Maintenances'!$G:$G,MATCH($A100,'[1]Définition Maintenances'!$K:$K,0))+CQ100),CQ100))</f>
        <v>429</v>
      </c>
      <c r="CS100" s="26">
        <f>IF(ISNUMBER(VLOOKUP($D100,'Visu totale'!$D:$DH,CS$1,0)),CR100-VLOOKUP($D100,'Visu totale'!$D:$DH,CS$1,0),IF(LEFT(VLOOKUP($D100,'Visu totale'!$D:$DH,CS$1,0),1)="V",IF(CR100&gt;=INDEX('[1]Définition Maintenances'!$G:$G,MATCH($A100,'[1]Définition Maintenances'!$K:$K,0)),CR100,INDEX('[1]Définition Maintenances'!$G:$G,MATCH($A100,'[1]Définition Maintenances'!$K:$K,0))+CR100),CR100))</f>
        <v>429</v>
      </c>
      <c r="CT100" s="26">
        <f>IF(ISNUMBER(VLOOKUP($D100,'Visu totale'!$D:$DH,CT$1,0)),CS100-VLOOKUP($D100,'Visu totale'!$D:$DH,CT$1,0),IF(LEFT(VLOOKUP($D100,'Visu totale'!$D:$DH,CT$1,0),1)="V",IF(CS100&gt;=INDEX('[1]Définition Maintenances'!$G:$G,MATCH($A100,'[1]Définition Maintenances'!$K:$K,0)),CS100,INDEX('[1]Définition Maintenances'!$G:$G,MATCH($A100,'[1]Définition Maintenances'!$K:$K,0))+CS100),CS100))</f>
        <v>429</v>
      </c>
      <c r="CU100" s="26">
        <f>IF(ISNUMBER(VLOOKUP($D100,'Visu totale'!$D:$DH,CU$1,0)),CT100-VLOOKUP($D100,'Visu totale'!$D:$DH,CU$1,0),IF(LEFT(VLOOKUP($D100,'Visu totale'!$D:$DH,CU$1,0),1)="V",IF(CT100&gt;=INDEX('[1]Définition Maintenances'!$G:$G,MATCH($A100,'[1]Définition Maintenances'!$K:$K,0)),CT100,INDEX('[1]Définition Maintenances'!$G:$G,MATCH($A100,'[1]Définition Maintenances'!$K:$K,0))+CT100),CT100))</f>
        <v>429</v>
      </c>
      <c r="CV100" s="26">
        <f>IF(ISNUMBER(VLOOKUP($D100,'Visu totale'!$D:$DH,CV$1,0)),CU100-VLOOKUP($D100,'Visu totale'!$D:$DH,CV$1,0),IF(LEFT(VLOOKUP($D100,'Visu totale'!$D:$DH,CV$1,0),1)="V",IF(CU100&gt;=INDEX('[1]Définition Maintenances'!$G:$G,MATCH($A100,'[1]Définition Maintenances'!$K:$K,0)),CU100,INDEX('[1]Définition Maintenances'!$G:$G,MATCH($A100,'[1]Définition Maintenances'!$K:$K,0))+CU100),CU100))</f>
        <v>429</v>
      </c>
      <c r="CW100" s="27">
        <f>IF(ISNUMBER(VLOOKUP($D100,'Visu totale'!$D:$DH,CW$1,0)),CV100-VLOOKUP($D100,'Visu totale'!$D:$DH,CW$1,0),IF(LEFT(VLOOKUP($D100,'Visu totale'!$D:$DH,CW$1,0),1)="V",IF(CV100&gt;=INDEX('[1]Définition Maintenances'!$G:$G,MATCH($A100,'[1]Définition Maintenances'!$K:$K,0)),CV100,INDEX('[1]Définition Maintenances'!$G:$G,MATCH($A100,'[1]Définition Maintenances'!$K:$K,0))+CV100),CV100))</f>
        <v>429</v>
      </c>
      <c r="CX100" s="25">
        <f>IF(ISNUMBER(VLOOKUP($D100,'Visu totale'!$D:$DH,CX$1,0)),CW100-VLOOKUP($D100,'Visu totale'!$D:$DH,CX$1,0),IF(LEFT(VLOOKUP($D100,'Visu totale'!$D:$DH,CX$1,0),1)="V",IF(CW100&gt;=INDEX('[1]Définition Maintenances'!$G:$G,MATCH($A100,'[1]Définition Maintenances'!$K:$K,0)),CW100,INDEX('[1]Définition Maintenances'!$G:$G,MATCH($A100,'[1]Définition Maintenances'!$K:$K,0))+CW100),CW100))</f>
        <v>429</v>
      </c>
      <c r="CY100" s="26">
        <f>IF(ISNUMBER(VLOOKUP($D100,'Visu totale'!$D:$DH,CY$1,0)),CX100-VLOOKUP($D100,'Visu totale'!$D:$DH,CY$1,0),IF(LEFT(VLOOKUP($D100,'Visu totale'!$D:$DH,CY$1,0),1)="V",IF(CX100&gt;=INDEX('[1]Définition Maintenances'!$G:$G,MATCH($A100,'[1]Définition Maintenances'!$K:$K,0)),CX100,INDEX('[1]Définition Maintenances'!$G:$G,MATCH($A100,'[1]Définition Maintenances'!$K:$K,0))+CX100),CX100))</f>
        <v>429</v>
      </c>
      <c r="CZ100" s="26">
        <f>IF(ISNUMBER(VLOOKUP($D100,'Visu totale'!$D:$DH,CZ$1,0)),CY100-VLOOKUP($D100,'Visu totale'!$D:$DH,CZ$1,0),IF(LEFT(VLOOKUP($D100,'Visu totale'!$D:$DH,CZ$1,0),1)="V",IF(CY100&gt;=INDEX('[1]Définition Maintenances'!$G:$G,MATCH($A100,'[1]Définition Maintenances'!$K:$K,0)),CY100,INDEX('[1]Définition Maintenances'!$G:$G,MATCH($A100,'[1]Définition Maintenances'!$K:$K,0))+CY100),CY100))</f>
        <v>429</v>
      </c>
      <c r="DA100" s="26">
        <f>IF(ISNUMBER(VLOOKUP($D100,'Visu totale'!$D:$DH,DA$1,0)),CZ100-VLOOKUP($D100,'Visu totale'!$D:$DH,DA$1,0),IF(LEFT(VLOOKUP($D100,'Visu totale'!$D:$DH,DA$1,0),1)="V",IF(CZ100&gt;=INDEX('[1]Définition Maintenances'!$G:$G,MATCH($A100,'[1]Définition Maintenances'!$K:$K,0)),CZ100,INDEX('[1]Définition Maintenances'!$G:$G,MATCH($A100,'[1]Définition Maintenances'!$K:$K,0))+CZ100),CZ100))</f>
        <v>429</v>
      </c>
      <c r="DB100" s="26">
        <f>IF(ISNUMBER(VLOOKUP($D100,'Visu totale'!$D:$DH,DB$1,0)),DA100-VLOOKUP($D100,'Visu totale'!$D:$DH,DB$1,0),IF(LEFT(VLOOKUP($D100,'Visu totale'!$D:$DH,DB$1,0),1)="V",IF(DA100&gt;=INDEX('[1]Définition Maintenances'!$G:$G,MATCH($A100,'[1]Définition Maintenances'!$K:$K,0)),DA100,INDEX('[1]Définition Maintenances'!$G:$G,MATCH($A100,'[1]Définition Maintenances'!$K:$K,0))+DA100),DA100))</f>
        <v>429</v>
      </c>
      <c r="DC100" s="26">
        <f>IF(ISNUMBER(VLOOKUP($D100,'Visu totale'!$D:$DH,DC$1,0)),DB100-VLOOKUP($D100,'Visu totale'!$D:$DH,DC$1,0),IF(LEFT(VLOOKUP($D100,'Visu totale'!$D:$DH,DC$1,0),1)="V",IF(DB100&gt;=INDEX('[1]Définition Maintenances'!$G:$G,MATCH($A100,'[1]Définition Maintenances'!$K:$K,0)),DB100,INDEX('[1]Définition Maintenances'!$G:$G,MATCH($A100,'[1]Définition Maintenances'!$K:$K,0))+DB100),DB100))</f>
        <v>429</v>
      </c>
      <c r="DD100" s="26">
        <f>IF(ISNUMBER(VLOOKUP($D100,'Visu totale'!$D:$DH,DD$1,0)),DC100-VLOOKUP($D100,'Visu totale'!$D:$DH,DD$1,0),IF(LEFT(VLOOKUP($D100,'Visu totale'!$D:$DH,DD$1,0),1)="V",IF(DC100&gt;=INDEX('[1]Définition Maintenances'!$G:$G,MATCH($A100,'[1]Définition Maintenances'!$K:$K,0)),DC100,INDEX('[1]Définition Maintenances'!$G:$G,MATCH($A100,'[1]Définition Maintenances'!$K:$K,0))+DC100),DC100))</f>
        <v>429</v>
      </c>
      <c r="DE100" s="26">
        <f>IF(ISNUMBER(VLOOKUP($D100,'Visu totale'!$D:$DH,DE$1,0)),DD100-VLOOKUP($D100,'Visu totale'!$D:$DH,DE$1,0),IF(LEFT(VLOOKUP($D100,'Visu totale'!$D:$DH,DE$1,0),1)="V",IF(DD100&gt;=INDEX('[1]Définition Maintenances'!$G:$G,MATCH($A100,'[1]Définition Maintenances'!$K:$K,0)),DD100,INDEX('[1]Définition Maintenances'!$G:$G,MATCH($A100,'[1]Définition Maintenances'!$K:$K,0))+DD100),DD100))</f>
        <v>429</v>
      </c>
      <c r="DF100" s="26">
        <f>IF(ISNUMBER(VLOOKUP($D100,'Visu totale'!$D:$DH,DF$1,0)),DE100-VLOOKUP($D100,'Visu totale'!$D:$DH,DF$1,0),IF(LEFT(VLOOKUP($D100,'Visu totale'!$D:$DH,DF$1,0),1)="V",IF(DE100&gt;=INDEX('[1]Définition Maintenances'!$G:$G,MATCH($A100,'[1]Définition Maintenances'!$K:$K,0)),DE100,INDEX('[1]Définition Maintenances'!$G:$G,MATCH($A100,'[1]Définition Maintenances'!$K:$K,0))+DE100),DE100))</f>
        <v>429</v>
      </c>
      <c r="DG100" s="26">
        <f>IF(ISNUMBER(VLOOKUP($D100,'Visu totale'!$D:$DH,DG$1,0)),DF100-VLOOKUP($D100,'Visu totale'!$D:$DH,DG$1,0),IF(LEFT(VLOOKUP($D100,'Visu totale'!$D:$DH,DG$1,0),1)="V",IF(DF100&gt;=INDEX('[1]Définition Maintenances'!$G:$G,MATCH($A100,'[1]Définition Maintenances'!$K:$K,0)),DF100,INDEX('[1]Définition Maintenances'!$G:$G,MATCH($A100,'[1]Définition Maintenances'!$K:$K,0))+DF100),DF100))</f>
        <v>429</v>
      </c>
      <c r="DH100" s="26">
        <f>IF(ISNUMBER(VLOOKUP($D100,'Visu totale'!$D:$DH,DH$1,0)),DG100-VLOOKUP($D100,'Visu totale'!$D:$DH,DH$1,0),IF(LEFT(VLOOKUP($D100,'Visu totale'!$D:$DH,DH$1,0),1)="V",IF(DG100&gt;=INDEX('[1]Définition Maintenances'!$G:$G,MATCH($A100,'[1]Définition Maintenances'!$K:$K,0)),DG100,INDEX('[1]Définition Maintenances'!$G:$G,MATCH($A100,'[1]Définition Maintenances'!$K:$K,0))+DG100),DG100))</f>
        <v>429</v>
      </c>
      <c r="DI100" s="27">
        <f>IF(ISNUMBER(VLOOKUP($D100,'Visu totale'!$D:$DH,DI$1,0)),DH100-VLOOKUP($D100,'Visu totale'!$D:$DH,DI$1,0),IF(LEFT(VLOOKUP($D100,'Visu totale'!$D:$DH,DI$1,0),1)="V",IF(DH100&gt;=INDEX('[1]Définition Maintenances'!$G:$G,MATCH($A100,'[1]Définition Maintenances'!$K:$K,0)),DH100,INDEX('[1]Définition Maintenances'!$G:$G,MATCH($A100,'[1]Définition Maintenances'!$K:$K,0))+DH100),DH100))</f>
        <v>429</v>
      </c>
    </row>
    <row r="101" spans="1:113" x14ac:dyDescent="0.25">
      <c r="A101" s="13" t="str">
        <f t="shared" si="3"/>
        <v>V105</v>
      </c>
      <c r="B101" s="13" t="str">
        <f>VLOOKUP(D101,'[1]Avions (Potentiels)'!$B$2:$H$128,7,FALSE)</f>
        <v>V10</v>
      </c>
      <c r="C101" s="13"/>
      <c r="D101" s="16" t="s">
        <v>104</v>
      </c>
      <c r="E101" s="13">
        <f>IFERROR(VALUE(SUBSTITUTE(VLOOKUP(D101,'[1]Avions (Potentiels)'!$B:$E,4,0),".",",")),VALUE(VLOOKUP(D101,'[1]Avions (Potentiels)'!$B:$E,4,0)))</f>
        <v>905</v>
      </c>
      <c r="F101" s="25">
        <f>IF(ISNUMBER(VLOOKUP($D101,'Visu totale'!$D:$DH,F$1,0)),E101-VLOOKUP($D101,'Visu totale'!$D:$DH,F$1,0),IF(LEFT(VLOOKUP($D101,'Visu totale'!$D:$DH,F$1,0),1)="V",IF(E101&gt;=INDEX('[1]Définition Maintenances'!$G:$G,MATCH($A101,'[1]Définition Maintenances'!$K:$K,0)),E101,INDEX('[1]Définition Maintenances'!$G:$G,MATCH($A101,'[1]Définition Maintenances'!$K:$K,0))+E101),E101))</f>
        <v>905</v>
      </c>
      <c r="G101" s="26">
        <f>IF(ISNUMBER(VLOOKUP($D101,'Visu totale'!$D:$DH,G$1,0)),F101-VLOOKUP($D101,'Visu totale'!$D:$DH,G$1,0),IF(LEFT(VLOOKUP($D101,'Visu totale'!$D:$DH,G$1,0),1)="V",IF(F101&gt;=INDEX('[1]Définition Maintenances'!$G:$G,MATCH($A101,'[1]Définition Maintenances'!$K:$K,0)),F101,INDEX('[1]Définition Maintenances'!$G:$G,MATCH($A101,'[1]Définition Maintenances'!$K:$K,0))+F101),F101))</f>
        <v>905</v>
      </c>
      <c r="H101" s="26">
        <f>IF(ISNUMBER(VLOOKUP($D101,'Visu totale'!$D:$DH,H$1,0)),G101-VLOOKUP($D101,'Visu totale'!$D:$DH,H$1,0),IF(LEFT(VLOOKUP($D101,'Visu totale'!$D:$DH,H$1,0),1)="V",IF(G101&gt;=INDEX('[1]Définition Maintenances'!$G:$G,MATCH($A101,'[1]Définition Maintenances'!$K:$K,0)),G101,INDEX('[1]Définition Maintenances'!$G:$G,MATCH($A101,'[1]Définition Maintenances'!$K:$K,0))+G101),G101))</f>
        <v>905</v>
      </c>
      <c r="I101" s="26">
        <f>IF(ISNUMBER(VLOOKUP($D101,'Visu totale'!$D:$DH,I$1,0)),H101-VLOOKUP($D101,'Visu totale'!$D:$DH,I$1,0),IF(LEFT(VLOOKUP($D101,'Visu totale'!$D:$DH,I$1,0),1)="V",IF(H101&gt;=INDEX('[1]Définition Maintenances'!$G:$G,MATCH($A101,'[1]Définition Maintenances'!$K:$K,0)),H101,INDEX('[1]Définition Maintenances'!$G:$G,MATCH($A101,'[1]Définition Maintenances'!$K:$K,0))+H101),H101))</f>
        <v>905</v>
      </c>
      <c r="J101" s="26">
        <f>IF(ISNUMBER(VLOOKUP($D101,'Visu totale'!$D:$DH,J$1,0)),I101-VLOOKUP($D101,'Visu totale'!$D:$DH,J$1,0),IF(LEFT(VLOOKUP($D101,'Visu totale'!$D:$DH,J$1,0),1)="V",IF(I101&gt;=INDEX('[1]Définition Maintenances'!$G:$G,MATCH($A101,'[1]Définition Maintenances'!$K:$K,0)),I101,INDEX('[1]Définition Maintenances'!$G:$G,MATCH($A101,'[1]Définition Maintenances'!$K:$K,0))+I101),I101))</f>
        <v>905</v>
      </c>
      <c r="K101" s="26">
        <f>IF(ISNUMBER(VLOOKUP($D101,'Visu totale'!$D:$DH,K$1,0)),J101-VLOOKUP($D101,'Visu totale'!$D:$DH,K$1,0),IF(LEFT(VLOOKUP($D101,'Visu totale'!$D:$DH,K$1,0),1)="V",IF(J101&gt;=INDEX('[1]Définition Maintenances'!$G:$G,MATCH($A101,'[1]Définition Maintenances'!$K:$K,0)),J101,INDEX('[1]Définition Maintenances'!$G:$G,MATCH($A101,'[1]Définition Maintenances'!$K:$K,0))+J101),J101))</f>
        <v>905</v>
      </c>
      <c r="L101" s="26">
        <f>IF(ISNUMBER(VLOOKUP($D101,'Visu totale'!$D:$DH,L$1,0)),K101-VLOOKUP($D101,'Visu totale'!$D:$DH,L$1,0),IF(LEFT(VLOOKUP($D101,'Visu totale'!$D:$DH,L$1,0),1)="V",IF(K101&gt;=INDEX('[1]Définition Maintenances'!$G:$G,MATCH($A101,'[1]Définition Maintenances'!$K:$K,0)),K101,INDEX('[1]Définition Maintenances'!$G:$G,MATCH($A101,'[1]Définition Maintenances'!$K:$K,0))+K101),K101))</f>
        <v>905</v>
      </c>
      <c r="M101" s="26">
        <f>IF(ISNUMBER(VLOOKUP($D101,'Visu totale'!$D:$DH,M$1,0)),L101-VLOOKUP($D101,'Visu totale'!$D:$DH,M$1,0),IF(LEFT(VLOOKUP($D101,'Visu totale'!$D:$DH,M$1,0),1)="V",IF(L101&gt;=INDEX('[1]Définition Maintenances'!$G:$G,MATCH($A101,'[1]Définition Maintenances'!$K:$K,0)),L101,INDEX('[1]Définition Maintenances'!$G:$G,MATCH($A101,'[1]Définition Maintenances'!$K:$K,0))+L101),L101))</f>
        <v>905</v>
      </c>
      <c r="N101" s="26">
        <f>IF(ISNUMBER(VLOOKUP($D101,'Visu totale'!$D:$DH,N$1,0)),M101-VLOOKUP($D101,'Visu totale'!$D:$DH,N$1,0),IF(LEFT(VLOOKUP($D101,'Visu totale'!$D:$DH,N$1,0),1)="V",IF(M101&gt;=INDEX('[1]Définition Maintenances'!$G:$G,MATCH($A101,'[1]Définition Maintenances'!$K:$K,0)),M101,INDEX('[1]Définition Maintenances'!$G:$G,MATCH($A101,'[1]Définition Maintenances'!$K:$K,0))+M101),M101))</f>
        <v>905</v>
      </c>
      <c r="O101" s="26">
        <f>IF(ISNUMBER(VLOOKUP($D101,'Visu totale'!$D:$DH,O$1,0)),N101-VLOOKUP($D101,'Visu totale'!$D:$DH,O$1,0),IF(LEFT(VLOOKUP($D101,'Visu totale'!$D:$DH,O$1,0),1)="V",IF(N101&gt;=INDEX('[1]Définition Maintenances'!$G:$G,MATCH($A101,'[1]Définition Maintenances'!$K:$K,0)),N101,INDEX('[1]Définition Maintenances'!$G:$G,MATCH($A101,'[1]Définition Maintenances'!$K:$K,0))+N101),N101))</f>
        <v>905</v>
      </c>
      <c r="P101" s="26">
        <f>IF(ISNUMBER(VLOOKUP($D101,'Visu totale'!$D:$DH,P$1,0)),O101-VLOOKUP($D101,'Visu totale'!$D:$DH,P$1,0),IF(LEFT(VLOOKUP($D101,'Visu totale'!$D:$DH,P$1,0),1)="V",IF(O101&gt;=INDEX('[1]Définition Maintenances'!$G:$G,MATCH($A101,'[1]Définition Maintenances'!$K:$K,0)),O101,INDEX('[1]Définition Maintenances'!$G:$G,MATCH($A101,'[1]Définition Maintenances'!$K:$K,0))+O101),O101))</f>
        <v>905</v>
      </c>
      <c r="Q101" s="27">
        <f>IF(ISNUMBER(VLOOKUP($D101,'Visu totale'!$D:$DH,Q$1,0)),P101-VLOOKUP($D101,'Visu totale'!$D:$DH,Q$1,0),IF(LEFT(VLOOKUP($D101,'Visu totale'!$D:$DH,Q$1,0),1)="V",IF(P101&gt;=INDEX('[1]Définition Maintenances'!$G:$G,MATCH($A101,'[1]Définition Maintenances'!$K:$K,0)),P101,INDEX('[1]Définition Maintenances'!$G:$G,MATCH($A101,'[1]Définition Maintenances'!$K:$K,0))+P101),P101))</f>
        <v>905</v>
      </c>
      <c r="R101" s="25">
        <f>IF(ISNUMBER(VLOOKUP($D101,'Visu totale'!$D:$DH,R$1,0)),Q101-VLOOKUP($D101,'Visu totale'!$D:$DH,R$1,0),IF(LEFT(VLOOKUP($D101,'Visu totale'!$D:$DH,R$1,0),1)="V",IF(Q101&gt;=INDEX('[1]Définition Maintenances'!$G:$G,MATCH($A101,'[1]Définition Maintenances'!$K:$K,0)),Q101,INDEX('[1]Définition Maintenances'!$G:$G,MATCH($A101,'[1]Définition Maintenances'!$K:$K,0))+Q101),Q101))</f>
        <v>905</v>
      </c>
      <c r="S101" s="26">
        <f>IF(ISNUMBER(VLOOKUP($D101,'Visu totale'!$D:$DH,S$1,0)),R101-VLOOKUP($D101,'Visu totale'!$D:$DH,S$1,0),IF(LEFT(VLOOKUP($D101,'Visu totale'!$D:$DH,S$1,0),1)="V",IF(R101&gt;=INDEX('[1]Définition Maintenances'!$G:$G,MATCH($A101,'[1]Définition Maintenances'!$K:$K,0)),R101,INDEX('[1]Définition Maintenances'!$G:$G,MATCH($A101,'[1]Définition Maintenances'!$K:$K,0))+R101),R101))</f>
        <v>905</v>
      </c>
      <c r="T101" s="26">
        <f>IF(ISNUMBER(VLOOKUP($D101,'Visu totale'!$D:$DH,T$1,0)),S101-VLOOKUP($D101,'Visu totale'!$D:$DH,T$1,0),IF(LEFT(VLOOKUP($D101,'Visu totale'!$D:$DH,T$1,0),1)="V",IF(S101&gt;=INDEX('[1]Définition Maintenances'!$G:$G,MATCH($A101,'[1]Définition Maintenances'!$K:$K,0)),S101,INDEX('[1]Définition Maintenances'!$G:$G,MATCH($A101,'[1]Définition Maintenances'!$K:$K,0))+S101),S101))</f>
        <v>905</v>
      </c>
      <c r="U101" s="26">
        <f>IF(ISNUMBER(VLOOKUP($D101,'Visu totale'!$D:$DH,U$1,0)),T101-VLOOKUP($D101,'Visu totale'!$D:$DH,U$1,0),IF(LEFT(VLOOKUP($D101,'Visu totale'!$D:$DH,U$1,0),1)="V",IF(T101&gt;=INDEX('[1]Définition Maintenances'!$G:$G,MATCH($A101,'[1]Définition Maintenances'!$K:$K,0)),T101,INDEX('[1]Définition Maintenances'!$G:$G,MATCH($A101,'[1]Définition Maintenances'!$K:$K,0))+T101),T101))</f>
        <v>905</v>
      </c>
      <c r="V101" s="26">
        <f>IF(ISNUMBER(VLOOKUP($D101,'Visu totale'!$D:$DH,V$1,0)),U101-VLOOKUP($D101,'Visu totale'!$D:$DH,V$1,0),IF(LEFT(VLOOKUP($D101,'Visu totale'!$D:$DH,V$1,0),1)="V",IF(U101&gt;=INDEX('[1]Définition Maintenances'!$G:$G,MATCH($A101,'[1]Définition Maintenances'!$K:$K,0)),U101,INDEX('[1]Définition Maintenances'!$G:$G,MATCH($A101,'[1]Définition Maintenances'!$K:$K,0))+U101),U101))</f>
        <v>905</v>
      </c>
      <c r="W101" s="26">
        <f>IF(ISNUMBER(VLOOKUP($D101,'Visu totale'!$D:$DH,W$1,0)),V101-VLOOKUP($D101,'Visu totale'!$D:$DH,W$1,0),IF(LEFT(VLOOKUP($D101,'Visu totale'!$D:$DH,W$1,0),1)="V",IF(V101&gt;=INDEX('[1]Définition Maintenances'!$G:$G,MATCH($A101,'[1]Définition Maintenances'!$K:$K,0)),V101,INDEX('[1]Définition Maintenances'!$G:$G,MATCH($A101,'[1]Définition Maintenances'!$K:$K,0))+V101),V101))</f>
        <v>905</v>
      </c>
      <c r="X101" s="26">
        <f>IF(ISNUMBER(VLOOKUP($D101,'Visu totale'!$D:$DH,X$1,0)),W101-VLOOKUP($D101,'Visu totale'!$D:$DH,X$1,0),IF(LEFT(VLOOKUP($D101,'Visu totale'!$D:$DH,X$1,0),1)="V",IF(W101&gt;=INDEX('[1]Définition Maintenances'!$G:$G,MATCH($A101,'[1]Définition Maintenances'!$K:$K,0)),W101,INDEX('[1]Définition Maintenances'!$G:$G,MATCH($A101,'[1]Définition Maintenances'!$K:$K,0))+W101),W101))</f>
        <v>905</v>
      </c>
      <c r="Y101" s="26">
        <f>IF(ISNUMBER(VLOOKUP($D101,'Visu totale'!$D:$DH,Y$1,0)),X101-VLOOKUP($D101,'Visu totale'!$D:$DH,Y$1,0),IF(LEFT(VLOOKUP($D101,'Visu totale'!$D:$DH,Y$1,0),1)="V",IF(X101&gt;=INDEX('[1]Définition Maintenances'!$G:$G,MATCH($A101,'[1]Définition Maintenances'!$K:$K,0)),X101,INDEX('[1]Définition Maintenances'!$G:$G,MATCH($A101,'[1]Définition Maintenances'!$K:$K,0))+X101),X101))</f>
        <v>905</v>
      </c>
      <c r="Z101" s="26">
        <f>IF(ISNUMBER(VLOOKUP($D101,'Visu totale'!$D:$DH,Z$1,0)),Y101-VLOOKUP($D101,'Visu totale'!$D:$DH,Z$1,0),IF(LEFT(VLOOKUP($D101,'Visu totale'!$D:$DH,Z$1,0),1)="V",IF(Y101&gt;=INDEX('[1]Définition Maintenances'!$G:$G,MATCH($A101,'[1]Définition Maintenances'!$K:$K,0)),Y101,INDEX('[1]Définition Maintenances'!$G:$G,MATCH($A101,'[1]Définition Maintenances'!$K:$K,0))+Y101),Y101))</f>
        <v>905</v>
      </c>
      <c r="AA101" s="26">
        <f>IF(ISNUMBER(VLOOKUP($D101,'Visu totale'!$D:$DH,AA$1,0)),Z101-VLOOKUP($D101,'Visu totale'!$D:$DH,AA$1,0),IF(LEFT(VLOOKUP($D101,'Visu totale'!$D:$DH,AA$1,0),1)="V",IF(Z101&gt;=INDEX('[1]Définition Maintenances'!$G:$G,MATCH($A101,'[1]Définition Maintenances'!$K:$K,0)),Z101,INDEX('[1]Définition Maintenances'!$G:$G,MATCH($A101,'[1]Définition Maintenances'!$K:$K,0))+Z101),Z101))</f>
        <v>905</v>
      </c>
      <c r="AB101" s="26">
        <f>IF(ISNUMBER(VLOOKUP($D101,'Visu totale'!$D:$DH,AB$1,0)),AA101-VLOOKUP($D101,'Visu totale'!$D:$DH,AB$1,0),IF(LEFT(VLOOKUP($D101,'Visu totale'!$D:$DH,AB$1,0),1)="V",IF(AA101&gt;=INDEX('[1]Définition Maintenances'!$G:$G,MATCH($A101,'[1]Définition Maintenances'!$K:$K,0)),AA101,INDEX('[1]Définition Maintenances'!$G:$G,MATCH($A101,'[1]Définition Maintenances'!$K:$K,0))+AA101),AA101))</f>
        <v>905</v>
      </c>
      <c r="AC101" s="27">
        <f>IF(ISNUMBER(VLOOKUP($D101,'Visu totale'!$D:$DH,AC$1,0)),AB101-VLOOKUP($D101,'Visu totale'!$D:$DH,AC$1,0),IF(LEFT(VLOOKUP($D101,'Visu totale'!$D:$DH,AC$1,0),1)="V",IF(AB101&gt;=INDEX('[1]Définition Maintenances'!$G:$G,MATCH($A101,'[1]Définition Maintenances'!$K:$K,0)),AB101,INDEX('[1]Définition Maintenances'!$G:$G,MATCH($A101,'[1]Définition Maintenances'!$K:$K,0))+AB101),AB101))</f>
        <v>905</v>
      </c>
      <c r="AD101" s="25">
        <f>IF(ISNUMBER(VLOOKUP($D101,'Visu totale'!$D:$DH,AD$1,0)),AC101-VLOOKUP($D101,'Visu totale'!$D:$DH,AD$1,0),IF(LEFT(VLOOKUP($D101,'Visu totale'!$D:$DH,AD$1,0),1)="V",IF(AC101&gt;=INDEX('[1]Définition Maintenances'!$G:$G,MATCH($A101,'[1]Définition Maintenances'!$K:$K,0)),AC101,INDEX('[1]Définition Maintenances'!$G:$G,MATCH($A101,'[1]Définition Maintenances'!$K:$K,0))+AC101),AC101))</f>
        <v>905</v>
      </c>
      <c r="AE101" s="26">
        <f>IF(ISNUMBER(VLOOKUP($D101,'Visu totale'!$D:$DH,AE$1,0)),AD101-VLOOKUP($D101,'Visu totale'!$D:$DH,AE$1,0),IF(LEFT(VLOOKUP($D101,'Visu totale'!$D:$DH,AE$1,0),1)="V",IF(AD101&gt;=INDEX('[1]Définition Maintenances'!$G:$G,MATCH($A101,'[1]Définition Maintenances'!$K:$K,0)),AD101,INDEX('[1]Définition Maintenances'!$G:$G,MATCH($A101,'[1]Définition Maintenances'!$K:$K,0))+AD101),AD101))</f>
        <v>905</v>
      </c>
      <c r="AF101" s="26">
        <f>IF(ISNUMBER(VLOOKUP($D101,'Visu totale'!$D:$DH,AF$1,0)),AE101-VLOOKUP($D101,'Visu totale'!$D:$DH,AF$1,0),IF(LEFT(VLOOKUP($D101,'Visu totale'!$D:$DH,AF$1,0),1)="V",IF(AE101&gt;=INDEX('[1]Définition Maintenances'!$G:$G,MATCH($A101,'[1]Définition Maintenances'!$K:$K,0)),AE101,INDEX('[1]Définition Maintenances'!$G:$G,MATCH($A101,'[1]Définition Maintenances'!$K:$K,0))+AE101),AE101))</f>
        <v>905</v>
      </c>
      <c r="AG101" s="26">
        <f>IF(ISNUMBER(VLOOKUP($D101,'Visu totale'!$D:$DH,AG$1,0)),AF101-VLOOKUP($D101,'Visu totale'!$D:$DH,AG$1,0),IF(LEFT(VLOOKUP($D101,'Visu totale'!$D:$DH,AG$1,0),1)="V",IF(AF101&gt;=INDEX('[1]Définition Maintenances'!$G:$G,MATCH($A101,'[1]Définition Maintenances'!$K:$K,0)),AF101,INDEX('[1]Définition Maintenances'!$G:$G,MATCH($A101,'[1]Définition Maintenances'!$K:$K,0))+AF101),AF101))</f>
        <v>905</v>
      </c>
      <c r="AH101" s="26">
        <f>IF(ISNUMBER(VLOOKUP($D101,'Visu totale'!$D:$DH,AH$1,0)),AG101-VLOOKUP($D101,'Visu totale'!$D:$DH,AH$1,0),IF(LEFT(VLOOKUP($D101,'Visu totale'!$D:$DH,AH$1,0),1)="V",IF(AG101&gt;=INDEX('[1]Définition Maintenances'!$G:$G,MATCH($A101,'[1]Définition Maintenances'!$K:$K,0)),AG101,INDEX('[1]Définition Maintenances'!$G:$G,MATCH($A101,'[1]Définition Maintenances'!$K:$K,0))+AG101),AG101))</f>
        <v>905</v>
      </c>
      <c r="AI101" s="26">
        <f>IF(ISNUMBER(VLOOKUP($D101,'Visu totale'!$D:$DH,AI$1,0)),AH101-VLOOKUP($D101,'Visu totale'!$D:$DH,AI$1,0),IF(LEFT(VLOOKUP($D101,'Visu totale'!$D:$DH,AI$1,0),1)="V",IF(AH101&gt;=INDEX('[1]Définition Maintenances'!$G:$G,MATCH($A101,'[1]Définition Maintenances'!$K:$K,0)),AH101,INDEX('[1]Définition Maintenances'!$G:$G,MATCH($A101,'[1]Définition Maintenances'!$K:$K,0))+AH101),AH101))</f>
        <v>905</v>
      </c>
      <c r="AJ101" s="26">
        <f>IF(ISNUMBER(VLOOKUP($D101,'Visu totale'!$D:$DH,AJ$1,0)),AI101-VLOOKUP($D101,'Visu totale'!$D:$DH,AJ$1,0),IF(LEFT(VLOOKUP($D101,'Visu totale'!$D:$DH,AJ$1,0),1)="V",IF(AI101&gt;=INDEX('[1]Définition Maintenances'!$G:$G,MATCH($A101,'[1]Définition Maintenances'!$K:$K,0)),AI101,INDEX('[1]Définition Maintenances'!$G:$G,MATCH($A101,'[1]Définition Maintenances'!$K:$K,0))+AI101),AI101))</f>
        <v>905</v>
      </c>
      <c r="AK101" s="26">
        <f>IF(ISNUMBER(VLOOKUP($D101,'Visu totale'!$D:$DH,AK$1,0)),AJ101-VLOOKUP($D101,'Visu totale'!$D:$DH,AK$1,0),IF(LEFT(VLOOKUP($D101,'Visu totale'!$D:$DH,AK$1,0),1)="V",IF(AJ101&gt;=INDEX('[1]Définition Maintenances'!$G:$G,MATCH($A101,'[1]Définition Maintenances'!$K:$K,0)),AJ101,INDEX('[1]Définition Maintenances'!$G:$G,MATCH($A101,'[1]Définition Maintenances'!$K:$K,0))+AJ101),AJ101))</f>
        <v>905</v>
      </c>
      <c r="AL101" s="26">
        <f>IF(ISNUMBER(VLOOKUP($D101,'Visu totale'!$D:$DH,AL$1,0)),AK101-VLOOKUP($D101,'Visu totale'!$D:$DH,AL$1,0),IF(LEFT(VLOOKUP($D101,'Visu totale'!$D:$DH,AL$1,0),1)="V",IF(AK101&gt;=INDEX('[1]Définition Maintenances'!$G:$G,MATCH($A101,'[1]Définition Maintenances'!$K:$K,0)),AK101,INDEX('[1]Définition Maintenances'!$G:$G,MATCH($A101,'[1]Définition Maintenances'!$K:$K,0))+AK101),AK101))</f>
        <v>905</v>
      </c>
      <c r="AM101" s="26">
        <f>IF(ISNUMBER(VLOOKUP($D101,'Visu totale'!$D:$DH,AM$1,0)),AL101-VLOOKUP($D101,'Visu totale'!$D:$DH,AM$1,0),IF(LEFT(VLOOKUP($D101,'Visu totale'!$D:$DH,AM$1,0),1)="V",IF(AL101&gt;=INDEX('[1]Définition Maintenances'!$G:$G,MATCH($A101,'[1]Définition Maintenances'!$K:$K,0)),AL101,INDEX('[1]Définition Maintenances'!$G:$G,MATCH($A101,'[1]Définition Maintenances'!$K:$K,0))+AL101),AL101))</f>
        <v>905</v>
      </c>
      <c r="AN101" s="26">
        <f>IF(ISNUMBER(VLOOKUP($D101,'Visu totale'!$D:$DH,AN$1,0)),AM101-VLOOKUP($D101,'Visu totale'!$D:$DH,AN$1,0),IF(LEFT(VLOOKUP($D101,'Visu totale'!$D:$DH,AN$1,0),1)="V",IF(AM101&gt;=INDEX('[1]Définition Maintenances'!$G:$G,MATCH($A101,'[1]Définition Maintenances'!$K:$K,0)),AM101,INDEX('[1]Définition Maintenances'!$G:$G,MATCH($A101,'[1]Définition Maintenances'!$K:$K,0))+AM101),AM101))</f>
        <v>905</v>
      </c>
      <c r="AO101" s="27">
        <f>IF(ISNUMBER(VLOOKUP($D101,'Visu totale'!$D:$DH,AO$1,0)),AN101-VLOOKUP($D101,'Visu totale'!$D:$DH,AO$1,0),IF(LEFT(VLOOKUP($D101,'Visu totale'!$D:$DH,AO$1,0),1)="V",IF(AN101&gt;=INDEX('[1]Définition Maintenances'!$G:$G,MATCH($A101,'[1]Définition Maintenances'!$K:$K,0)),AN101,INDEX('[1]Définition Maintenances'!$G:$G,MATCH($A101,'[1]Définition Maintenances'!$K:$K,0))+AN101),AN101))</f>
        <v>905</v>
      </c>
      <c r="AP101" s="25">
        <f>IF(ISNUMBER(VLOOKUP($D101,'Visu totale'!$D:$DH,AP$1,0)),AO101-VLOOKUP($D101,'Visu totale'!$D:$DH,AP$1,0),IF(LEFT(VLOOKUP($D101,'Visu totale'!$D:$DH,AP$1,0),1)="V",IF(AO101&gt;=INDEX('[1]Définition Maintenances'!$G:$G,MATCH($A101,'[1]Définition Maintenances'!$K:$K,0)),AO101,INDEX('[1]Définition Maintenances'!$G:$G,MATCH($A101,'[1]Définition Maintenances'!$K:$K,0))+AO101),AO101))</f>
        <v>905</v>
      </c>
      <c r="AQ101" s="26">
        <f>IF(ISNUMBER(VLOOKUP($D101,'Visu totale'!$D:$DH,AQ$1,0)),AP101-VLOOKUP($D101,'Visu totale'!$D:$DH,AQ$1,0),IF(LEFT(VLOOKUP($D101,'Visu totale'!$D:$DH,AQ$1,0),1)="V",IF(AP101&gt;=INDEX('[1]Définition Maintenances'!$G:$G,MATCH($A101,'[1]Définition Maintenances'!$K:$K,0)),AP101,INDEX('[1]Définition Maintenances'!$G:$G,MATCH($A101,'[1]Définition Maintenances'!$K:$K,0))+AP101),AP101))</f>
        <v>905</v>
      </c>
      <c r="AR101" s="26">
        <f>IF(ISNUMBER(VLOOKUP($D101,'Visu totale'!$D:$DH,AR$1,0)),AQ101-VLOOKUP($D101,'Visu totale'!$D:$DH,AR$1,0),IF(LEFT(VLOOKUP($D101,'Visu totale'!$D:$DH,AR$1,0),1)="V",IF(AQ101&gt;=INDEX('[1]Définition Maintenances'!$G:$G,MATCH($A101,'[1]Définition Maintenances'!$K:$K,0)),AQ101,INDEX('[1]Définition Maintenances'!$G:$G,MATCH($A101,'[1]Définition Maintenances'!$K:$K,0))+AQ101),AQ101))</f>
        <v>905</v>
      </c>
      <c r="AS101" s="26">
        <f>IF(ISNUMBER(VLOOKUP($D101,'Visu totale'!$D:$DH,AS$1,0)),AR101-VLOOKUP($D101,'Visu totale'!$D:$DH,AS$1,0),IF(LEFT(VLOOKUP($D101,'Visu totale'!$D:$DH,AS$1,0),1)="V",IF(AR101&gt;=INDEX('[1]Définition Maintenances'!$G:$G,MATCH($A101,'[1]Définition Maintenances'!$K:$K,0)),AR101,INDEX('[1]Définition Maintenances'!$G:$G,MATCH($A101,'[1]Définition Maintenances'!$K:$K,0))+AR101),AR101))</f>
        <v>905</v>
      </c>
      <c r="AT101" s="26">
        <f>IF(ISNUMBER(VLOOKUP($D101,'Visu totale'!$D:$DH,AT$1,0)),AS101-VLOOKUP($D101,'Visu totale'!$D:$DH,AT$1,0),IF(LEFT(VLOOKUP($D101,'Visu totale'!$D:$DH,AT$1,0),1)="V",IF(AS101&gt;=INDEX('[1]Définition Maintenances'!$G:$G,MATCH($A101,'[1]Définition Maintenances'!$K:$K,0)),AS101,INDEX('[1]Définition Maintenances'!$G:$G,MATCH($A101,'[1]Définition Maintenances'!$K:$K,0))+AS101),AS101))</f>
        <v>905</v>
      </c>
      <c r="AU101" s="26">
        <f>IF(ISNUMBER(VLOOKUP($D101,'Visu totale'!$D:$DH,AU$1,0)),AT101-VLOOKUP($D101,'Visu totale'!$D:$DH,AU$1,0),IF(LEFT(VLOOKUP($D101,'Visu totale'!$D:$DH,AU$1,0),1)="V",IF(AT101&gt;=INDEX('[1]Définition Maintenances'!$G:$G,MATCH($A101,'[1]Définition Maintenances'!$K:$K,0)),AT101,INDEX('[1]Définition Maintenances'!$G:$G,MATCH($A101,'[1]Définition Maintenances'!$K:$K,0))+AT101),AT101))</f>
        <v>905</v>
      </c>
      <c r="AV101" s="26">
        <f>IF(ISNUMBER(VLOOKUP($D101,'Visu totale'!$D:$DH,AV$1,0)),AU101-VLOOKUP($D101,'Visu totale'!$D:$DH,AV$1,0),IF(LEFT(VLOOKUP($D101,'Visu totale'!$D:$DH,AV$1,0),1)="V",IF(AU101&gt;=INDEX('[1]Définition Maintenances'!$G:$G,MATCH($A101,'[1]Définition Maintenances'!$K:$K,0)),AU101,INDEX('[1]Définition Maintenances'!$G:$G,MATCH($A101,'[1]Définition Maintenances'!$K:$K,0))+AU101),AU101))</f>
        <v>905</v>
      </c>
      <c r="AW101" s="26">
        <f>IF(ISNUMBER(VLOOKUP($D101,'Visu totale'!$D:$DH,AW$1,0)),AV101-VLOOKUP($D101,'Visu totale'!$D:$DH,AW$1,0),IF(LEFT(VLOOKUP($D101,'Visu totale'!$D:$DH,AW$1,0),1)="V",IF(AV101&gt;=INDEX('[1]Définition Maintenances'!$G:$G,MATCH($A101,'[1]Définition Maintenances'!$K:$K,0)),AV101,INDEX('[1]Définition Maintenances'!$G:$G,MATCH($A101,'[1]Définition Maintenances'!$K:$K,0))+AV101),AV101))</f>
        <v>905</v>
      </c>
      <c r="AX101" s="26">
        <f>IF(ISNUMBER(VLOOKUP($D101,'Visu totale'!$D:$DH,AX$1,0)),AW101-VLOOKUP($D101,'Visu totale'!$D:$DH,AX$1,0),IF(LEFT(VLOOKUP($D101,'Visu totale'!$D:$DH,AX$1,0),1)="V",IF(AW101&gt;=INDEX('[1]Définition Maintenances'!$G:$G,MATCH($A101,'[1]Définition Maintenances'!$K:$K,0)),AW101,INDEX('[1]Définition Maintenances'!$G:$G,MATCH($A101,'[1]Définition Maintenances'!$K:$K,0))+AW101),AW101))</f>
        <v>905</v>
      </c>
      <c r="AY101" s="26">
        <f>IF(ISNUMBER(VLOOKUP($D101,'Visu totale'!$D:$DH,AY$1,0)),AX101-VLOOKUP($D101,'Visu totale'!$D:$DH,AY$1,0),IF(LEFT(VLOOKUP($D101,'Visu totale'!$D:$DH,AY$1,0),1)="V",IF(AX101&gt;=INDEX('[1]Définition Maintenances'!$G:$G,MATCH($A101,'[1]Définition Maintenances'!$K:$K,0)),AX101,INDEX('[1]Définition Maintenances'!$G:$G,MATCH($A101,'[1]Définition Maintenances'!$K:$K,0))+AX101),AX101))</f>
        <v>905</v>
      </c>
      <c r="AZ101" s="26">
        <f>IF(ISNUMBER(VLOOKUP($D101,'Visu totale'!$D:$DH,AZ$1,0)),AY101-VLOOKUP($D101,'Visu totale'!$D:$DH,AZ$1,0),IF(LEFT(VLOOKUP($D101,'Visu totale'!$D:$DH,AZ$1,0),1)="V",IF(AY101&gt;=INDEX('[1]Définition Maintenances'!$G:$G,MATCH($A101,'[1]Définition Maintenances'!$K:$K,0)),AY101,INDEX('[1]Définition Maintenances'!$G:$G,MATCH($A101,'[1]Définition Maintenances'!$K:$K,0))+AY101),AY101))</f>
        <v>905</v>
      </c>
      <c r="BA101" s="27">
        <f>IF(ISNUMBER(VLOOKUP($D101,'Visu totale'!$D:$DH,BA$1,0)),AZ101-VLOOKUP($D101,'Visu totale'!$D:$DH,BA$1,0),IF(LEFT(VLOOKUP($D101,'Visu totale'!$D:$DH,BA$1,0),1)="V",IF(AZ101&gt;=INDEX('[1]Définition Maintenances'!$G:$G,MATCH($A101,'[1]Définition Maintenances'!$K:$K,0)),AZ101,INDEX('[1]Définition Maintenances'!$G:$G,MATCH($A101,'[1]Définition Maintenances'!$K:$K,0))+AZ101),AZ101))</f>
        <v>905</v>
      </c>
      <c r="BB101" s="25">
        <f>IF(ISNUMBER(VLOOKUP($D101,'Visu totale'!$D:$DH,BB$1,0)),BA101-VLOOKUP($D101,'Visu totale'!$D:$DH,BB$1,0),IF(LEFT(VLOOKUP($D101,'Visu totale'!$D:$DH,BB$1,0),1)="V",IF(BA101&gt;=INDEX('[1]Définition Maintenances'!$G:$G,MATCH($A101,'[1]Définition Maintenances'!$K:$K,0)),BA101,INDEX('[1]Définition Maintenances'!$G:$G,MATCH($A101,'[1]Définition Maintenances'!$K:$K,0))+BA101),BA101))</f>
        <v>905</v>
      </c>
      <c r="BC101" s="26">
        <f>IF(ISNUMBER(VLOOKUP($D101,'Visu totale'!$D:$DH,BC$1,0)),BB101-VLOOKUP($D101,'Visu totale'!$D:$DH,BC$1,0),IF(LEFT(VLOOKUP($D101,'Visu totale'!$D:$DH,BC$1,0),1)="V",IF(BB101&gt;=INDEX('[1]Définition Maintenances'!$G:$G,MATCH($A101,'[1]Définition Maintenances'!$K:$K,0)),BB101,INDEX('[1]Définition Maintenances'!$G:$G,MATCH($A101,'[1]Définition Maintenances'!$K:$K,0))+BB101),BB101))</f>
        <v>905</v>
      </c>
      <c r="BD101" s="26">
        <f>IF(ISNUMBER(VLOOKUP($D101,'Visu totale'!$D:$DH,BD$1,0)),BC101-VLOOKUP($D101,'Visu totale'!$D:$DH,BD$1,0),IF(LEFT(VLOOKUP($D101,'Visu totale'!$D:$DH,BD$1,0),1)="V",IF(BC101&gt;=INDEX('[1]Définition Maintenances'!$G:$G,MATCH($A101,'[1]Définition Maintenances'!$K:$K,0)),BC101,INDEX('[1]Définition Maintenances'!$G:$G,MATCH($A101,'[1]Définition Maintenances'!$K:$K,0))+BC101),BC101))</f>
        <v>905</v>
      </c>
      <c r="BE101" s="26">
        <f>IF(ISNUMBER(VLOOKUP($D101,'Visu totale'!$D:$DH,BE$1,0)),BD101-VLOOKUP($D101,'Visu totale'!$D:$DH,BE$1,0),IF(LEFT(VLOOKUP($D101,'Visu totale'!$D:$DH,BE$1,0),1)="V",IF(BD101&gt;=INDEX('[1]Définition Maintenances'!$G:$G,MATCH($A101,'[1]Définition Maintenances'!$K:$K,0)),BD101,INDEX('[1]Définition Maintenances'!$G:$G,MATCH($A101,'[1]Définition Maintenances'!$K:$K,0))+BD101),BD101))</f>
        <v>905</v>
      </c>
      <c r="BF101" s="26">
        <f>IF(ISNUMBER(VLOOKUP($D101,'Visu totale'!$D:$DH,BF$1,0)),BE101-VLOOKUP($D101,'Visu totale'!$D:$DH,BF$1,0),IF(LEFT(VLOOKUP($D101,'Visu totale'!$D:$DH,BF$1,0),1)="V",IF(BE101&gt;=INDEX('[1]Définition Maintenances'!$G:$G,MATCH($A101,'[1]Définition Maintenances'!$K:$K,0)),BE101,INDEX('[1]Définition Maintenances'!$G:$G,MATCH($A101,'[1]Définition Maintenances'!$K:$K,0))+BE101),BE101))</f>
        <v>905</v>
      </c>
      <c r="BG101" s="26">
        <f>IF(ISNUMBER(VLOOKUP($D101,'Visu totale'!$D:$DH,BG$1,0)),BF101-VLOOKUP($D101,'Visu totale'!$D:$DH,BG$1,0),IF(LEFT(VLOOKUP($D101,'Visu totale'!$D:$DH,BG$1,0),1)="V",IF(BF101&gt;=INDEX('[1]Définition Maintenances'!$G:$G,MATCH($A101,'[1]Définition Maintenances'!$K:$K,0)),BF101,INDEX('[1]Définition Maintenances'!$G:$G,MATCH($A101,'[1]Définition Maintenances'!$K:$K,0))+BF101),BF101))</f>
        <v>905</v>
      </c>
      <c r="BH101" s="26">
        <f>IF(ISNUMBER(VLOOKUP($D101,'Visu totale'!$D:$DH,BH$1,0)),BG101-VLOOKUP($D101,'Visu totale'!$D:$DH,BH$1,0),IF(LEFT(VLOOKUP($D101,'Visu totale'!$D:$DH,BH$1,0),1)="V",IF(BG101&gt;=INDEX('[1]Définition Maintenances'!$G:$G,MATCH($A101,'[1]Définition Maintenances'!$K:$K,0)),BG101,INDEX('[1]Définition Maintenances'!$G:$G,MATCH($A101,'[1]Définition Maintenances'!$K:$K,0))+BG101),BG101))</f>
        <v>905</v>
      </c>
      <c r="BI101" s="26">
        <f>IF(ISNUMBER(VLOOKUP($D101,'Visu totale'!$D:$DH,BI$1,0)),BH101-VLOOKUP($D101,'Visu totale'!$D:$DH,BI$1,0),IF(LEFT(VLOOKUP($D101,'Visu totale'!$D:$DH,BI$1,0),1)="V",IF(BH101&gt;=INDEX('[1]Définition Maintenances'!$G:$G,MATCH($A101,'[1]Définition Maintenances'!$K:$K,0)),BH101,INDEX('[1]Définition Maintenances'!$G:$G,MATCH($A101,'[1]Définition Maintenances'!$K:$K,0))+BH101),BH101))</f>
        <v>905</v>
      </c>
      <c r="BJ101" s="26">
        <f>IF(ISNUMBER(VLOOKUP($D101,'Visu totale'!$D:$DH,BJ$1,0)),BI101-VLOOKUP($D101,'Visu totale'!$D:$DH,BJ$1,0),IF(LEFT(VLOOKUP($D101,'Visu totale'!$D:$DH,BJ$1,0),1)="V",IF(BI101&gt;=INDEX('[1]Définition Maintenances'!$G:$G,MATCH($A101,'[1]Définition Maintenances'!$K:$K,0)),BI101,INDEX('[1]Définition Maintenances'!$G:$G,MATCH($A101,'[1]Définition Maintenances'!$K:$K,0))+BI101),BI101))</f>
        <v>905</v>
      </c>
      <c r="BK101" s="26">
        <f>IF(ISNUMBER(VLOOKUP($D101,'Visu totale'!$D:$DH,BK$1,0)),BJ101-VLOOKUP($D101,'Visu totale'!$D:$DH,BK$1,0),IF(LEFT(VLOOKUP($D101,'Visu totale'!$D:$DH,BK$1,0),1)="V",IF(BJ101&gt;=INDEX('[1]Définition Maintenances'!$G:$G,MATCH($A101,'[1]Définition Maintenances'!$K:$K,0)),BJ101,INDEX('[1]Définition Maintenances'!$G:$G,MATCH($A101,'[1]Définition Maintenances'!$K:$K,0))+BJ101),BJ101))</f>
        <v>905</v>
      </c>
      <c r="BL101" s="26">
        <f>IF(ISNUMBER(VLOOKUP($D101,'Visu totale'!$D:$DH,BL$1,0)),BK101-VLOOKUP($D101,'Visu totale'!$D:$DH,BL$1,0),IF(LEFT(VLOOKUP($D101,'Visu totale'!$D:$DH,BL$1,0),1)="V",IF(BK101&gt;=INDEX('[1]Définition Maintenances'!$G:$G,MATCH($A101,'[1]Définition Maintenances'!$K:$K,0)),BK101,INDEX('[1]Définition Maintenances'!$G:$G,MATCH($A101,'[1]Définition Maintenances'!$K:$K,0))+BK101),BK101))</f>
        <v>905</v>
      </c>
      <c r="BM101" s="27">
        <f>IF(ISNUMBER(VLOOKUP($D101,'Visu totale'!$D:$DH,BM$1,0)),BL101-VLOOKUP($D101,'Visu totale'!$D:$DH,BM$1,0),IF(LEFT(VLOOKUP($D101,'Visu totale'!$D:$DH,BM$1,0),1)="V",IF(BL101&gt;=INDEX('[1]Définition Maintenances'!$G:$G,MATCH($A101,'[1]Définition Maintenances'!$K:$K,0)),BL101,INDEX('[1]Définition Maintenances'!$G:$G,MATCH($A101,'[1]Définition Maintenances'!$K:$K,0))+BL101),BL101))</f>
        <v>905</v>
      </c>
      <c r="BN101" s="25">
        <f>IF(ISNUMBER(VLOOKUP($D101,'Visu totale'!$D:$DH,BN$1,0)),BM101-VLOOKUP($D101,'Visu totale'!$D:$DH,BN$1,0),IF(LEFT(VLOOKUP($D101,'Visu totale'!$D:$DH,BN$1,0),1)="V",IF(BM101&gt;=INDEX('[1]Définition Maintenances'!$G:$G,MATCH($A101,'[1]Définition Maintenances'!$K:$K,0)),BM101,INDEX('[1]Définition Maintenances'!$G:$G,MATCH($A101,'[1]Définition Maintenances'!$K:$K,0))+BM101),BM101))</f>
        <v>905</v>
      </c>
      <c r="BO101" s="26">
        <f>IF(ISNUMBER(VLOOKUP($D101,'Visu totale'!$D:$DH,BO$1,0)),BN101-VLOOKUP($D101,'Visu totale'!$D:$DH,BO$1,0),IF(LEFT(VLOOKUP($D101,'Visu totale'!$D:$DH,BO$1,0),1)="V",IF(BN101&gt;=INDEX('[1]Définition Maintenances'!$G:$G,MATCH($A101,'[1]Définition Maintenances'!$K:$K,0)),BN101,INDEX('[1]Définition Maintenances'!$G:$G,MATCH($A101,'[1]Définition Maintenances'!$K:$K,0))+BN101),BN101))</f>
        <v>905</v>
      </c>
      <c r="BP101" s="26">
        <f>IF(ISNUMBER(VLOOKUP($D101,'Visu totale'!$D:$DH,BP$1,0)),BO101-VLOOKUP($D101,'Visu totale'!$D:$DH,BP$1,0),IF(LEFT(VLOOKUP($D101,'Visu totale'!$D:$DH,BP$1,0),1)="V",IF(BO101&gt;=INDEX('[1]Définition Maintenances'!$G:$G,MATCH($A101,'[1]Définition Maintenances'!$K:$K,0)),BO101,INDEX('[1]Définition Maintenances'!$G:$G,MATCH($A101,'[1]Définition Maintenances'!$K:$K,0))+BO101),BO101))</f>
        <v>905</v>
      </c>
      <c r="BQ101" s="26">
        <f>IF(ISNUMBER(VLOOKUP($D101,'Visu totale'!$D:$DH,BQ$1,0)),BP101-VLOOKUP($D101,'Visu totale'!$D:$DH,BQ$1,0),IF(LEFT(VLOOKUP($D101,'Visu totale'!$D:$DH,BQ$1,0),1)="V",IF(BP101&gt;=INDEX('[1]Définition Maintenances'!$G:$G,MATCH($A101,'[1]Définition Maintenances'!$K:$K,0)),BP101,INDEX('[1]Définition Maintenances'!$G:$G,MATCH($A101,'[1]Définition Maintenances'!$K:$K,0))+BP101),BP101))</f>
        <v>905</v>
      </c>
      <c r="BR101" s="26">
        <f>IF(ISNUMBER(VLOOKUP($D101,'Visu totale'!$D:$DH,BR$1,0)),BQ101-VLOOKUP($D101,'Visu totale'!$D:$DH,BR$1,0),IF(LEFT(VLOOKUP($D101,'Visu totale'!$D:$DH,BR$1,0),1)="V",IF(BQ101&gt;=INDEX('[1]Définition Maintenances'!$G:$G,MATCH($A101,'[1]Définition Maintenances'!$K:$K,0)),BQ101,INDEX('[1]Définition Maintenances'!$G:$G,MATCH($A101,'[1]Définition Maintenances'!$K:$K,0))+BQ101),BQ101))</f>
        <v>905</v>
      </c>
      <c r="BS101" s="26">
        <f>IF(ISNUMBER(VLOOKUP($D101,'Visu totale'!$D:$DH,BS$1,0)),BR101-VLOOKUP($D101,'Visu totale'!$D:$DH,BS$1,0),IF(LEFT(VLOOKUP($D101,'Visu totale'!$D:$DH,BS$1,0),1)="V",IF(BR101&gt;=INDEX('[1]Définition Maintenances'!$G:$G,MATCH($A101,'[1]Définition Maintenances'!$K:$K,0)),BR101,INDEX('[1]Définition Maintenances'!$G:$G,MATCH($A101,'[1]Définition Maintenances'!$K:$K,0))+BR101),BR101))</f>
        <v>905</v>
      </c>
      <c r="BT101" s="26">
        <f>IF(ISNUMBER(VLOOKUP($D101,'Visu totale'!$D:$DH,BT$1,0)),BS101-VLOOKUP($D101,'Visu totale'!$D:$DH,BT$1,0),IF(LEFT(VLOOKUP($D101,'Visu totale'!$D:$DH,BT$1,0),1)="V",IF(BS101&gt;=INDEX('[1]Définition Maintenances'!$G:$G,MATCH($A101,'[1]Définition Maintenances'!$K:$K,0)),BS101,INDEX('[1]Définition Maintenances'!$G:$G,MATCH($A101,'[1]Définition Maintenances'!$K:$K,0))+BS101),BS101))</f>
        <v>905</v>
      </c>
      <c r="BU101" s="26">
        <f>IF(ISNUMBER(VLOOKUP($D101,'Visu totale'!$D:$DH,BU$1,0)),BT101-VLOOKUP($D101,'Visu totale'!$D:$DH,BU$1,0),IF(LEFT(VLOOKUP($D101,'Visu totale'!$D:$DH,BU$1,0),1)="V",IF(BT101&gt;=INDEX('[1]Définition Maintenances'!$G:$G,MATCH($A101,'[1]Définition Maintenances'!$K:$K,0)),BT101,INDEX('[1]Définition Maintenances'!$G:$G,MATCH($A101,'[1]Définition Maintenances'!$K:$K,0))+BT101),BT101))</f>
        <v>905</v>
      </c>
      <c r="BV101" s="26">
        <f>IF(ISNUMBER(VLOOKUP($D101,'Visu totale'!$D:$DH,BV$1,0)),BU101-VLOOKUP($D101,'Visu totale'!$D:$DH,BV$1,0),IF(LEFT(VLOOKUP($D101,'Visu totale'!$D:$DH,BV$1,0),1)="V",IF(BU101&gt;=INDEX('[1]Définition Maintenances'!$G:$G,MATCH($A101,'[1]Définition Maintenances'!$K:$K,0)),BU101,INDEX('[1]Définition Maintenances'!$G:$G,MATCH($A101,'[1]Définition Maintenances'!$K:$K,0))+BU101),BU101))</f>
        <v>905</v>
      </c>
      <c r="BW101" s="26">
        <f>IF(ISNUMBER(VLOOKUP($D101,'Visu totale'!$D:$DH,BW$1,0)),BV101-VLOOKUP($D101,'Visu totale'!$D:$DH,BW$1,0),IF(LEFT(VLOOKUP($D101,'Visu totale'!$D:$DH,BW$1,0),1)="V",IF(BV101&gt;=INDEX('[1]Définition Maintenances'!$G:$G,MATCH($A101,'[1]Définition Maintenances'!$K:$K,0)),BV101,INDEX('[1]Définition Maintenances'!$G:$G,MATCH($A101,'[1]Définition Maintenances'!$K:$K,0))+BV101),BV101))</f>
        <v>905</v>
      </c>
      <c r="BX101" s="26">
        <f>IF(ISNUMBER(VLOOKUP($D101,'Visu totale'!$D:$DH,BX$1,0)),BW101-VLOOKUP($D101,'Visu totale'!$D:$DH,BX$1,0),IF(LEFT(VLOOKUP($D101,'Visu totale'!$D:$DH,BX$1,0),1)="V",IF(BW101&gt;=INDEX('[1]Définition Maintenances'!$G:$G,MATCH($A101,'[1]Définition Maintenances'!$K:$K,0)),BW101,INDEX('[1]Définition Maintenances'!$G:$G,MATCH($A101,'[1]Définition Maintenances'!$K:$K,0))+BW101),BW101))</f>
        <v>905</v>
      </c>
      <c r="BY101" s="27">
        <f>IF(ISNUMBER(VLOOKUP($D101,'Visu totale'!$D:$DH,BY$1,0)),BX101-VLOOKUP($D101,'Visu totale'!$D:$DH,BY$1,0),IF(LEFT(VLOOKUP($D101,'Visu totale'!$D:$DH,BY$1,0),1)="V",IF(BX101&gt;=INDEX('[1]Définition Maintenances'!$G:$G,MATCH($A101,'[1]Définition Maintenances'!$K:$K,0)),BX101,INDEX('[1]Définition Maintenances'!$G:$G,MATCH($A101,'[1]Définition Maintenances'!$K:$K,0))+BX101),BX101))</f>
        <v>905</v>
      </c>
      <c r="BZ101" s="25">
        <f>IF(ISNUMBER(VLOOKUP($D101,'Visu totale'!$D:$DH,BZ$1,0)),BY101-VLOOKUP($D101,'Visu totale'!$D:$DH,BZ$1,0),IF(LEFT(VLOOKUP($D101,'Visu totale'!$D:$DH,BZ$1,0),1)="V",IF(BY101&gt;=INDEX('[1]Définition Maintenances'!$G:$G,MATCH($A101,'[1]Définition Maintenances'!$K:$K,0)),BY101,INDEX('[1]Définition Maintenances'!$G:$G,MATCH($A101,'[1]Définition Maintenances'!$K:$K,0))+BY101),BY101))</f>
        <v>905</v>
      </c>
      <c r="CA101" s="26">
        <f>IF(ISNUMBER(VLOOKUP($D101,'Visu totale'!$D:$DH,CA$1,0)),BZ101-VLOOKUP($D101,'Visu totale'!$D:$DH,CA$1,0),IF(LEFT(VLOOKUP($D101,'Visu totale'!$D:$DH,CA$1,0),1)="V",IF(BZ101&gt;=INDEX('[1]Définition Maintenances'!$G:$G,MATCH($A101,'[1]Définition Maintenances'!$K:$K,0)),BZ101,INDEX('[1]Définition Maintenances'!$G:$G,MATCH($A101,'[1]Définition Maintenances'!$K:$K,0))+BZ101),BZ101))</f>
        <v>905</v>
      </c>
      <c r="CB101" s="26">
        <f>IF(ISNUMBER(VLOOKUP($D101,'Visu totale'!$D:$DH,CB$1,0)),CA101-VLOOKUP($D101,'Visu totale'!$D:$DH,CB$1,0),IF(LEFT(VLOOKUP($D101,'Visu totale'!$D:$DH,CB$1,0),1)="V",IF(CA101&gt;=INDEX('[1]Définition Maintenances'!$G:$G,MATCH($A101,'[1]Définition Maintenances'!$K:$K,0)),CA101,INDEX('[1]Définition Maintenances'!$G:$G,MATCH($A101,'[1]Définition Maintenances'!$K:$K,0))+CA101),CA101))</f>
        <v>905</v>
      </c>
      <c r="CC101" s="26">
        <f>IF(ISNUMBER(VLOOKUP($D101,'Visu totale'!$D:$DH,CC$1,0)),CB101-VLOOKUP($D101,'Visu totale'!$D:$DH,CC$1,0),IF(LEFT(VLOOKUP($D101,'Visu totale'!$D:$DH,CC$1,0),1)="V",IF(CB101&gt;=INDEX('[1]Définition Maintenances'!$G:$G,MATCH($A101,'[1]Définition Maintenances'!$K:$K,0)),CB101,INDEX('[1]Définition Maintenances'!$G:$G,MATCH($A101,'[1]Définition Maintenances'!$K:$K,0))+CB101),CB101))</f>
        <v>905</v>
      </c>
      <c r="CD101" s="26">
        <f>IF(ISNUMBER(VLOOKUP($D101,'Visu totale'!$D:$DH,CD$1,0)),CC101-VLOOKUP($D101,'Visu totale'!$D:$DH,CD$1,0),IF(LEFT(VLOOKUP($D101,'Visu totale'!$D:$DH,CD$1,0),1)="V",IF(CC101&gt;=INDEX('[1]Définition Maintenances'!$G:$G,MATCH($A101,'[1]Définition Maintenances'!$K:$K,0)),CC101,INDEX('[1]Définition Maintenances'!$G:$G,MATCH($A101,'[1]Définition Maintenances'!$K:$K,0))+CC101),CC101))</f>
        <v>905</v>
      </c>
      <c r="CE101" s="26">
        <f>IF(ISNUMBER(VLOOKUP($D101,'Visu totale'!$D:$DH,CE$1,0)),CD101-VLOOKUP($D101,'Visu totale'!$D:$DH,CE$1,0),IF(LEFT(VLOOKUP($D101,'Visu totale'!$D:$DH,CE$1,0),1)="V",IF(CD101&gt;=INDEX('[1]Définition Maintenances'!$G:$G,MATCH($A101,'[1]Définition Maintenances'!$K:$K,0)),CD101,INDEX('[1]Définition Maintenances'!$G:$G,MATCH($A101,'[1]Définition Maintenances'!$K:$K,0))+CD101),CD101))</f>
        <v>905</v>
      </c>
      <c r="CF101" s="26">
        <f>IF(ISNUMBER(VLOOKUP($D101,'Visu totale'!$D:$DH,CF$1,0)),CE101-VLOOKUP($D101,'Visu totale'!$D:$DH,CF$1,0),IF(LEFT(VLOOKUP($D101,'Visu totale'!$D:$DH,CF$1,0),1)="V",IF(CE101&gt;=INDEX('[1]Définition Maintenances'!$G:$G,MATCH($A101,'[1]Définition Maintenances'!$K:$K,0)),CE101,INDEX('[1]Définition Maintenances'!$G:$G,MATCH($A101,'[1]Définition Maintenances'!$K:$K,0))+CE101),CE101))</f>
        <v>905</v>
      </c>
      <c r="CG101" s="26">
        <f>IF(ISNUMBER(VLOOKUP($D101,'Visu totale'!$D:$DH,CG$1,0)),CF101-VLOOKUP($D101,'Visu totale'!$D:$DH,CG$1,0),IF(LEFT(VLOOKUP($D101,'Visu totale'!$D:$DH,CG$1,0),1)="V",IF(CF101&gt;=INDEX('[1]Définition Maintenances'!$G:$G,MATCH($A101,'[1]Définition Maintenances'!$K:$K,0)),CF101,INDEX('[1]Définition Maintenances'!$G:$G,MATCH($A101,'[1]Définition Maintenances'!$K:$K,0))+CF101),CF101))</f>
        <v>905</v>
      </c>
      <c r="CH101" s="26">
        <f>IF(ISNUMBER(VLOOKUP($D101,'Visu totale'!$D:$DH,CH$1,0)),CG101-VLOOKUP($D101,'Visu totale'!$D:$DH,CH$1,0),IF(LEFT(VLOOKUP($D101,'Visu totale'!$D:$DH,CH$1,0),1)="V",IF(CG101&gt;=INDEX('[1]Définition Maintenances'!$G:$G,MATCH($A101,'[1]Définition Maintenances'!$K:$K,0)),CG101,INDEX('[1]Définition Maintenances'!$G:$G,MATCH($A101,'[1]Définition Maintenances'!$K:$K,0))+CG101),CG101))</f>
        <v>905</v>
      </c>
      <c r="CI101" s="26">
        <f>IF(ISNUMBER(VLOOKUP($D101,'Visu totale'!$D:$DH,CI$1,0)),CH101-VLOOKUP($D101,'Visu totale'!$D:$DH,CI$1,0),IF(LEFT(VLOOKUP($D101,'Visu totale'!$D:$DH,CI$1,0),1)="V",IF(CH101&gt;=INDEX('[1]Définition Maintenances'!$G:$G,MATCH($A101,'[1]Définition Maintenances'!$K:$K,0)),CH101,INDEX('[1]Définition Maintenances'!$G:$G,MATCH($A101,'[1]Définition Maintenances'!$K:$K,0))+CH101),CH101))</f>
        <v>905</v>
      </c>
      <c r="CJ101" s="26">
        <f>IF(ISNUMBER(VLOOKUP($D101,'Visu totale'!$D:$DH,CJ$1,0)),CI101-VLOOKUP($D101,'Visu totale'!$D:$DH,CJ$1,0),IF(LEFT(VLOOKUP($D101,'Visu totale'!$D:$DH,CJ$1,0),1)="V",IF(CI101&gt;=INDEX('[1]Définition Maintenances'!$G:$G,MATCH($A101,'[1]Définition Maintenances'!$K:$K,0)),CI101,INDEX('[1]Définition Maintenances'!$G:$G,MATCH($A101,'[1]Définition Maintenances'!$K:$K,0))+CI101),CI101))</f>
        <v>905</v>
      </c>
      <c r="CK101" s="27">
        <f>IF(ISNUMBER(VLOOKUP($D101,'Visu totale'!$D:$DH,CK$1,0)),CJ101-VLOOKUP($D101,'Visu totale'!$D:$DH,CK$1,0),IF(LEFT(VLOOKUP($D101,'Visu totale'!$D:$DH,CK$1,0),1)="V",IF(CJ101&gt;=INDEX('[1]Définition Maintenances'!$G:$G,MATCH($A101,'[1]Définition Maintenances'!$K:$K,0)),CJ101,INDEX('[1]Définition Maintenances'!$G:$G,MATCH($A101,'[1]Définition Maintenances'!$K:$K,0))+CJ101),CJ101))</f>
        <v>905</v>
      </c>
      <c r="CL101" s="25">
        <f>IF(ISNUMBER(VLOOKUP($D101,'Visu totale'!$D:$DH,CL$1,0)),CK101-VLOOKUP($D101,'Visu totale'!$D:$DH,CL$1,0),IF(LEFT(VLOOKUP($D101,'Visu totale'!$D:$DH,CL$1,0),1)="V",IF(CK101&gt;=INDEX('[1]Définition Maintenances'!$G:$G,MATCH($A101,'[1]Définition Maintenances'!$K:$K,0)),CK101,INDEX('[1]Définition Maintenances'!$G:$G,MATCH($A101,'[1]Définition Maintenances'!$K:$K,0))+CK101),CK101))</f>
        <v>905</v>
      </c>
      <c r="CM101" s="26">
        <f>IF(ISNUMBER(VLOOKUP($D101,'Visu totale'!$D:$DH,CM$1,0)),CL101-VLOOKUP($D101,'Visu totale'!$D:$DH,CM$1,0),IF(LEFT(VLOOKUP($D101,'Visu totale'!$D:$DH,CM$1,0),1)="V",IF(CL101&gt;=INDEX('[1]Définition Maintenances'!$G:$G,MATCH($A101,'[1]Définition Maintenances'!$K:$K,0)),CL101,INDEX('[1]Définition Maintenances'!$G:$G,MATCH($A101,'[1]Définition Maintenances'!$K:$K,0))+CL101),CL101))</f>
        <v>905</v>
      </c>
      <c r="CN101" s="26">
        <f>IF(ISNUMBER(VLOOKUP($D101,'Visu totale'!$D:$DH,CN$1,0)),CM101-VLOOKUP($D101,'Visu totale'!$D:$DH,CN$1,0),IF(LEFT(VLOOKUP($D101,'Visu totale'!$D:$DH,CN$1,0),1)="V",IF(CM101&gt;=INDEX('[1]Définition Maintenances'!$G:$G,MATCH($A101,'[1]Définition Maintenances'!$K:$K,0)),CM101,INDEX('[1]Définition Maintenances'!$G:$G,MATCH($A101,'[1]Définition Maintenances'!$K:$K,0))+CM101),CM101))</f>
        <v>905</v>
      </c>
      <c r="CO101" s="26">
        <f>IF(ISNUMBER(VLOOKUP($D101,'Visu totale'!$D:$DH,CO$1,0)),CN101-VLOOKUP($D101,'Visu totale'!$D:$DH,CO$1,0),IF(LEFT(VLOOKUP($D101,'Visu totale'!$D:$DH,CO$1,0),1)="V",IF(CN101&gt;=INDEX('[1]Définition Maintenances'!$G:$G,MATCH($A101,'[1]Définition Maintenances'!$K:$K,0)),CN101,INDEX('[1]Définition Maintenances'!$G:$G,MATCH($A101,'[1]Définition Maintenances'!$K:$K,0))+CN101),CN101))</f>
        <v>905</v>
      </c>
      <c r="CP101" s="26">
        <f>IF(ISNUMBER(VLOOKUP($D101,'Visu totale'!$D:$DH,CP$1,0)),CO101-VLOOKUP($D101,'Visu totale'!$D:$DH,CP$1,0),IF(LEFT(VLOOKUP($D101,'Visu totale'!$D:$DH,CP$1,0),1)="V",IF(CO101&gt;=INDEX('[1]Définition Maintenances'!$G:$G,MATCH($A101,'[1]Définition Maintenances'!$K:$K,0)),CO101,INDEX('[1]Définition Maintenances'!$G:$G,MATCH($A101,'[1]Définition Maintenances'!$K:$K,0))+CO101),CO101))</f>
        <v>905</v>
      </c>
      <c r="CQ101" s="26">
        <f>IF(ISNUMBER(VLOOKUP($D101,'Visu totale'!$D:$DH,CQ$1,0)),CP101-VLOOKUP($D101,'Visu totale'!$D:$DH,CQ$1,0),IF(LEFT(VLOOKUP($D101,'Visu totale'!$D:$DH,CQ$1,0),1)="V",IF(CP101&gt;=INDEX('[1]Définition Maintenances'!$G:$G,MATCH($A101,'[1]Définition Maintenances'!$K:$K,0)),CP101,INDEX('[1]Définition Maintenances'!$G:$G,MATCH($A101,'[1]Définition Maintenances'!$K:$K,0))+CP101),CP101))</f>
        <v>905</v>
      </c>
      <c r="CR101" s="26">
        <f>IF(ISNUMBER(VLOOKUP($D101,'Visu totale'!$D:$DH,CR$1,0)),CQ101-VLOOKUP($D101,'Visu totale'!$D:$DH,CR$1,0),IF(LEFT(VLOOKUP($D101,'Visu totale'!$D:$DH,CR$1,0),1)="V",IF(CQ101&gt;=INDEX('[1]Définition Maintenances'!$G:$G,MATCH($A101,'[1]Définition Maintenances'!$K:$K,0)),CQ101,INDEX('[1]Définition Maintenances'!$G:$G,MATCH($A101,'[1]Définition Maintenances'!$K:$K,0))+CQ101),CQ101))</f>
        <v>905</v>
      </c>
      <c r="CS101" s="26">
        <f>IF(ISNUMBER(VLOOKUP($D101,'Visu totale'!$D:$DH,CS$1,0)),CR101-VLOOKUP($D101,'Visu totale'!$D:$DH,CS$1,0),IF(LEFT(VLOOKUP($D101,'Visu totale'!$D:$DH,CS$1,0),1)="V",IF(CR101&gt;=INDEX('[1]Définition Maintenances'!$G:$G,MATCH($A101,'[1]Définition Maintenances'!$K:$K,0)),CR101,INDEX('[1]Définition Maintenances'!$G:$G,MATCH($A101,'[1]Définition Maintenances'!$K:$K,0))+CR101),CR101))</f>
        <v>905</v>
      </c>
      <c r="CT101" s="26">
        <f>IF(ISNUMBER(VLOOKUP($D101,'Visu totale'!$D:$DH,CT$1,0)),CS101-VLOOKUP($D101,'Visu totale'!$D:$DH,CT$1,0),IF(LEFT(VLOOKUP($D101,'Visu totale'!$D:$DH,CT$1,0),1)="V",IF(CS101&gt;=INDEX('[1]Définition Maintenances'!$G:$G,MATCH($A101,'[1]Définition Maintenances'!$K:$K,0)),CS101,INDEX('[1]Définition Maintenances'!$G:$G,MATCH($A101,'[1]Définition Maintenances'!$K:$K,0))+CS101),CS101))</f>
        <v>905</v>
      </c>
      <c r="CU101" s="26">
        <f>IF(ISNUMBER(VLOOKUP($D101,'Visu totale'!$D:$DH,CU$1,0)),CT101-VLOOKUP($D101,'Visu totale'!$D:$DH,CU$1,0),IF(LEFT(VLOOKUP($D101,'Visu totale'!$D:$DH,CU$1,0),1)="V",IF(CT101&gt;=INDEX('[1]Définition Maintenances'!$G:$G,MATCH($A101,'[1]Définition Maintenances'!$K:$K,0)),CT101,INDEX('[1]Définition Maintenances'!$G:$G,MATCH($A101,'[1]Définition Maintenances'!$K:$K,0))+CT101),CT101))</f>
        <v>905</v>
      </c>
      <c r="CV101" s="26">
        <f>IF(ISNUMBER(VLOOKUP($D101,'Visu totale'!$D:$DH,CV$1,0)),CU101-VLOOKUP($D101,'Visu totale'!$D:$DH,CV$1,0),IF(LEFT(VLOOKUP($D101,'Visu totale'!$D:$DH,CV$1,0),1)="V",IF(CU101&gt;=INDEX('[1]Définition Maintenances'!$G:$G,MATCH($A101,'[1]Définition Maintenances'!$K:$K,0)),CU101,INDEX('[1]Définition Maintenances'!$G:$G,MATCH($A101,'[1]Définition Maintenances'!$K:$K,0))+CU101),CU101))</f>
        <v>905</v>
      </c>
      <c r="CW101" s="27">
        <f>IF(ISNUMBER(VLOOKUP($D101,'Visu totale'!$D:$DH,CW$1,0)),CV101-VLOOKUP($D101,'Visu totale'!$D:$DH,CW$1,0),IF(LEFT(VLOOKUP($D101,'Visu totale'!$D:$DH,CW$1,0),1)="V",IF(CV101&gt;=INDEX('[1]Définition Maintenances'!$G:$G,MATCH($A101,'[1]Définition Maintenances'!$K:$K,0)),CV101,INDEX('[1]Définition Maintenances'!$G:$G,MATCH($A101,'[1]Définition Maintenances'!$K:$K,0))+CV101),CV101))</f>
        <v>905</v>
      </c>
      <c r="CX101" s="25">
        <f>IF(ISNUMBER(VLOOKUP($D101,'Visu totale'!$D:$DH,CX$1,0)),CW101-VLOOKUP($D101,'Visu totale'!$D:$DH,CX$1,0),IF(LEFT(VLOOKUP($D101,'Visu totale'!$D:$DH,CX$1,0),1)="V",IF(CW101&gt;=INDEX('[1]Définition Maintenances'!$G:$G,MATCH($A101,'[1]Définition Maintenances'!$K:$K,0)),CW101,INDEX('[1]Définition Maintenances'!$G:$G,MATCH($A101,'[1]Définition Maintenances'!$K:$K,0))+CW101),CW101))</f>
        <v>905</v>
      </c>
      <c r="CY101" s="26">
        <f>IF(ISNUMBER(VLOOKUP($D101,'Visu totale'!$D:$DH,CY$1,0)),CX101-VLOOKUP($D101,'Visu totale'!$D:$DH,CY$1,0),IF(LEFT(VLOOKUP($D101,'Visu totale'!$D:$DH,CY$1,0),1)="V",IF(CX101&gt;=INDEX('[1]Définition Maintenances'!$G:$G,MATCH($A101,'[1]Définition Maintenances'!$K:$K,0)),CX101,INDEX('[1]Définition Maintenances'!$G:$G,MATCH($A101,'[1]Définition Maintenances'!$K:$K,0))+CX101),CX101))</f>
        <v>905</v>
      </c>
      <c r="CZ101" s="26">
        <f>IF(ISNUMBER(VLOOKUP($D101,'Visu totale'!$D:$DH,CZ$1,0)),CY101-VLOOKUP($D101,'Visu totale'!$D:$DH,CZ$1,0),IF(LEFT(VLOOKUP($D101,'Visu totale'!$D:$DH,CZ$1,0),1)="V",IF(CY101&gt;=INDEX('[1]Définition Maintenances'!$G:$G,MATCH($A101,'[1]Définition Maintenances'!$K:$K,0)),CY101,INDEX('[1]Définition Maintenances'!$G:$G,MATCH($A101,'[1]Définition Maintenances'!$K:$K,0))+CY101),CY101))</f>
        <v>905</v>
      </c>
      <c r="DA101" s="26">
        <f>IF(ISNUMBER(VLOOKUP($D101,'Visu totale'!$D:$DH,DA$1,0)),CZ101-VLOOKUP($D101,'Visu totale'!$D:$DH,DA$1,0),IF(LEFT(VLOOKUP($D101,'Visu totale'!$D:$DH,DA$1,0),1)="V",IF(CZ101&gt;=INDEX('[1]Définition Maintenances'!$G:$G,MATCH($A101,'[1]Définition Maintenances'!$K:$K,0)),CZ101,INDEX('[1]Définition Maintenances'!$G:$G,MATCH($A101,'[1]Définition Maintenances'!$K:$K,0))+CZ101),CZ101))</f>
        <v>905</v>
      </c>
      <c r="DB101" s="26">
        <f>IF(ISNUMBER(VLOOKUP($D101,'Visu totale'!$D:$DH,DB$1,0)),DA101-VLOOKUP($D101,'Visu totale'!$D:$DH,DB$1,0),IF(LEFT(VLOOKUP($D101,'Visu totale'!$D:$DH,DB$1,0),1)="V",IF(DA101&gt;=INDEX('[1]Définition Maintenances'!$G:$G,MATCH($A101,'[1]Définition Maintenances'!$K:$K,0)),DA101,INDEX('[1]Définition Maintenances'!$G:$G,MATCH($A101,'[1]Définition Maintenances'!$K:$K,0))+DA101),DA101))</f>
        <v>905</v>
      </c>
      <c r="DC101" s="26">
        <f>IF(ISNUMBER(VLOOKUP($D101,'Visu totale'!$D:$DH,DC$1,0)),DB101-VLOOKUP($D101,'Visu totale'!$D:$DH,DC$1,0),IF(LEFT(VLOOKUP($D101,'Visu totale'!$D:$DH,DC$1,0),1)="V",IF(DB101&gt;=INDEX('[1]Définition Maintenances'!$G:$G,MATCH($A101,'[1]Définition Maintenances'!$K:$K,0)),DB101,INDEX('[1]Définition Maintenances'!$G:$G,MATCH($A101,'[1]Définition Maintenances'!$K:$K,0))+DB101),DB101))</f>
        <v>905</v>
      </c>
      <c r="DD101" s="26">
        <f>IF(ISNUMBER(VLOOKUP($D101,'Visu totale'!$D:$DH,DD$1,0)),DC101-VLOOKUP($D101,'Visu totale'!$D:$DH,DD$1,0),IF(LEFT(VLOOKUP($D101,'Visu totale'!$D:$DH,DD$1,0),1)="V",IF(DC101&gt;=INDEX('[1]Définition Maintenances'!$G:$G,MATCH($A101,'[1]Définition Maintenances'!$K:$K,0)),DC101,INDEX('[1]Définition Maintenances'!$G:$G,MATCH($A101,'[1]Définition Maintenances'!$K:$K,0))+DC101),DC101))</f>
        <v>905</v>
      </c>
      <c r="DE101" s="26">
        <f>IF(ISNUMBER(VLOOKUP($D101,'Visu totale'!$D:$DH,DE$1,0)),DD101-VLOOKUP($D101,'Visu totale'!$D:$DH,DE$1,0),IF(LEFT(VLOOKUP($D101,'Visu totale'!$D:$DH,DE$1,0),1)="V",IF(DD101&gt;=INDEX('[1]Définition Maintenances'!$G:$G,MATCH($A101,'[1]Définition Maintenances'!$K:$K,0)),DD101,INDEX('[1]Définition Maintenances'!$G:$G,MATCH($A101,'[1]Définition Maintenances'!$K:$K,0))+DD101),DD101))</f>
        <v>905</v>
      </c>
      <c r="DF101" s="26">
        <f>IF(ISNUMBER(VLOOKUP($D101,'Visu totale'!$D:$DH,DF$1,0)),DE101-VLOOKUP($D101,'Visu totale'!$D:$DH,DF$1,0),IF(LEFT(VLOOKUP($D101,'Visu totale'!$D:$DH,DF$1,0),1)="V",IF(DE101&gt;=INDEX('[1]Définition Maintenances'!$G:$G,MATCH($A101,'[1]Définition Maintenances'!$K:$K,0)),DE101,INDEX('[1]Définition Maintenances'!$G:$G,MATCH($A101,'[1]Définition Maintenances'!$K:$K,0))+DE101),DE101))</f>
        <v>905</v>
      </c>
      <c r="DG101" s="26">
        <f>IF(ISNUMBER(VLOOKUP($D101,'Visu totale'!$D:$DH,DG$1,0)),DF101-VLOOKUP($D101,'Visu totale'!$D:$DH,DG$1,0),IF(LEFT(VLOOKUP($D101,'Visu totale'!$D:$DH,DG$1,0),1)="V",IF(DF101&gt;=INDEX('[1]Définition Maintenances'!$G:$G,MATCH($A101,'[1]Définition Maintenances'!$K:$K,0)),DF101,INDEX('[1]Définition Maintenances'!$G:$G,MATCH($A101,'[1]Définition Maintenances'!$K:$K,0))+DF101),DF101))</f>
        <v>905</v>
      </c>
      <c r="DH101" s="26">
        <f>IF(ISNUMBER(VLOOKUP($D101,'Visu totale'!$D:$DH,DH$1,0)),DG101-VLOOKUP($D101,'Visu totale'!$D:$DH,DH$1,0),IF(LEFT(VLOOKUP($D101,'Visu totale'!$D:$DH,DH$1,0),1)="V",IF(DG101&gt;=INDEX('[1]Définition Maintenances'!$G:$G,MATCH($A101,'[1]Définition Maintenances'!$K:$K,0)),DG101,INDEX('[1]Définition Maintenances'!$G:$G,MATCH($A101,'[1]Définition Maintenances'!$K:$K,0))+DG101),DG101))</f>
        <v>905</v>
      </c>
      <c r="DI101" s="27">
        <f>IF(ISNUMBER(VLOOKUP($D101,'Visu totale'!$D:$DH,DI$1,0)),DH101-VLOOKUP($D101,'Visu totale'!$D:$DH,DI$1,0),IF(LEFT(VLOOKUP($D101,'Visu totale'!$D:$DH,DI$1,0),1)="V",IF(DH101&gt;=INDEX('[1]Définition Maintenances'!$G:$G,MATCH($A101,'[1]Définition Maintenances'!$K:$K,0)),DH101,INDEX('[1]Définition Maintenances'!$G:$G,MATCH($A101,'[1]Définition Maintenances'!$K:$K,0))+DH101),DH101))</f>
        <v>905</v>
      </c>
    </row>
    <row r="102" spans="1:113" x14ac:dyDescent="0.25">
      <c r="A102" s="13" t="str">
        <f t="shared" si="3"/>
        <v>V205</v>
      </c>
      <c r="B102" s="13" t="str">
        <f>VLOOKUP(D102,'[1]Avions (Potentiels)'!$B$2:$H$128,7,FALSE)</f>
        <v>V20</v>
      </c>
      <c r="C102" s="13"/>
      <c r="D102" s="16" t="s">
        <v>105</v>
      </c>
      <c r="E102" s="13">
        <f>IFERROR(VALUE(SUBSTITUTE(VLOOKUP(D102,'[1]Avions (Potentiels)'!$B:$E,4,0),".",",")),VALUE(VLOOKUP(D102,'[1]Avions (Potentiels)'!$B:$E,4,0)))</f>
        <v>833</v>
      </c>
      <c r="F102" s="25">
        <f>IF(ISNUMBER(VLOOKUP($D102,'Visu totale'!$D:$DH,F$1,0)),E102-VLOOKUP($D102,'Visu totale'!$D:$DH,F$1,0),IF(LEFT(VLOOKUP($D102,'Visu totale'!$D:$DH,F$1,0),1)="V",IF(E102&gt;=INDEX('[1]Définition Maintenances'!$G:$G,MATCH($A102,'[1]Définition Maintenances'!$K:$K,0)),E102,INDEX('[1]Définition Maintenances'!$G:$G,MATCH($A102,'[1]Définition Maintenances'!$K:$K,0))+E102),E102))</f>
        <v>833</v>
      </c>
      <c r="G102" s="26">
        <f>IF(ISNUMBER(VLOOKUP($D102,'Visu totale'!$D:$DH,G$1,0)),F102-VLOOKUP($D102,'Visu totale'!$D:$DH,G$1,0),IF(LEFT(VLOOKUP($D102,'Visu totale'!$D:$DH,G$1,0),1)="V",IF(F102&gt;=INDEX('[1]Définition Maintenances'!$G:$G,MATCH($A102,'[1]Définition Maintenances'!$K:$K,0)),F102,INDEX('[1]Définition Maintenances'!$G:$G,MATCH($A102,'[1]Définition Maintenances'!$K:$K,0))+F102),F102))</f>
        <v>833</v>
      </c>
      <c r="H102" s="26">
        <f>IF(ISNUMBER(VLOOKUP($D102,'Visu totale'!$D:$DH,H$1,0)),G102-VLOOKUP($D102,'Visu totale'!$D:$DH,H$1,0),IF(LEFT(VLOOKUP($D102,'Visu totale'!$D:$DH,H$1,0),1)="V",IF(G102&gt;=INDEX('[1]Définition Maintenances'!$G:$G,MATCH($A102,'[1]Définition Maintenances'!$K:$K,0)),G102,INDEX('[1]Définition Maintenances'!$G:$G,MATCH($A102,'[1]Définition Maintenances'!$K:$K,0))+G102),G102))</f>
        <v>833</v>
      </c>
      <c r="I102" s="26">
        <f>IF(ISNUMBER(VLOOKUP($D102,'Visu totale'!$D:$DH,I$1,0)),H102-VLOOKUP($D102,'Visu totale'!$D:$DH,I$1,0),IF(LEFT(VLOOKUP($D102,'Visu totale'!$D:$DH,I$1,0),1)="V",IF(H102&gt;=INDEX('[1]Définition Maintenances'!$G:$G,MATCH($A102,'[1]Définition Maintenances'!$K:$K,0)),H102,INDEX('[1]Définition Maintenances'!$G:$G,MATCH($A102,'[1]Définition Maintenances'!$K:$K,0))+H102),H102))</f>
        <v>833</v>
      </c>
      <c r="J102" s="26">
        <f>IF(ISNUMBER(VLOOKUP($D102,'Visu totale'!$D:$DH,J$1,0)),I102-VLOOKUP($D102,'Visu totale'!$D:$DH,J$1,0),IF(LEFT(VLOOKUP($D102,'Visu totale'!$D:$DH,J$1,0),1)="V",IF(I102&gt;=INDEX('[1]Définition Maintenances'!$G:$G,MATCH($A102,'[1]Définition Maintenances'!$K:$K,0)),I102,INDEX('[1]Définition Maintenances'!$G:$G,MATCH($A102,'[1]Définition Maintenances'!$K:$K,0))+I102),I102))</f>
        <v>833</v>
      </c>
      <c r="K102" s="26">
        <f>IF(ISNUMBER(VLOOKUP($D102,'Visu totale'!$D:$DH,K$1,0)),J102-VLOOKUP($D102,'Visu totale'!$D:$DH,K$1,0),IF(LEFT(VLOOKUP($D102,'Visu totale'!$D:$DH,K$1,0),1)="V",IF(J102&gt;=INDEX('[1]Définition Maintenances'!$G:$G,MATCH($A102,'[1]Définition Maintenances'!$K:$K,0)),J102,INDEX('[1]Définition Maintenances'!$G:$G,MATCH($A102,'[1]Définition Maintenances'!$K:$K,0))+J102),J102))</f>
        <v>833</v>
      </c>
      <c r="L102" s="26">
        <f>IF(ISNUMBER(VLOOKUP($D102,'Visu totale'!$D:$DH,L$1,0)),K102-VLOOKUP($D102,'Visu totale'!$D:$DH,L$1,0),IF(LEFT(VLOOKUP($D102,'Visu totale'!$D:$DH,L$1,0),1)="V",IF(K102&gt;=INDEX('[1]Définition Maintenances'!$G:$G,MATCH($A102,'[1]Définition Maintenances'!$K:$K,0)),K102,INDEX('[1]Définition Maintenances'!$G:$G,MATCH($A102,'[1]Définition Maintenances'!$K:$K,0))+K102),K102))</f>
        <v>833</v>
      </c>
      <c r="M102" s="26">
        <f>IF(ISNUMBER(VLOOKUP($D102,'Visu totale'!$D:$DH,M$1,0)),L102-VLOOKUP($D102,'Visu totale'!$D:$DH,M$1,0),IF(LEFT(VLOOKUP($D102,'Visu totale'!$D:$DH,M$1,0),1)="V",IF(L102&gt;=INDEX('[1]Définition Maintenances'!$G:$G,MATCH($A102,'[1]Définition Maintenances'!$K:$K,0)),L102,INDEX('[1]Définition Maintenances'!$G:$G,MATCH($A102,'[1]Définition Maintenances'!$K:$K,0))+L102),L102))</f>
        <v>833</v>
      </c>
      <c r="N102" s="26">
        <f>IF(ISNUMBER(VLOOKUP($D102,'Visu totale'!$D:$DH,N$1,0)),M102-VLOOKUP($D102,'Visu totale'!$D:$DH,N$1,0),IF(LEFT(VLOOKUP($D102,'Visu totale'!$D:$DH,N$1,0),1)="V",IF(M102&gt;=INDEX('[1]Définition Maintenances'!$G:$G,MATCH($A102,'[1]Définition Maintenances'!$K:$K,0)),M102,INDEX('[1]Définition Maintenances'!$G:$G,MATCH($A102,'[1]Définition Maintenances'!$K:$K,0))+M102),M102))</f>
        <v>833</v>
      </c>
      <c r="O102" s="26">
        <f>IF(ISNUMBER(VLOOKUP($D102,'Visu totale'!$D:$DH,O$1,0)),N102-VLOOKUP($D102,'Visu totale'!$D:$DH,O$1,0),IF(LEFT(VLOOKUP($D102,'Visu totale'!$D:$DH,O$1,0),1)="V",IF(N102&gt;=INDEX('[1]Définition Maintenances'!$G:$G,MATCH($A102,'[1]Définition Maintenances'!$K:$K,0)),N102,INDEX('[1]Définition Maintenances'!$G:$G,MATCH($A102,'[1]Définition Maintenances'!$K:$K,0))+N102),N102))</f>
        <v>833</v>
      </c>
      <c r="P102" s="26">
        <f>IF(ISNUMBER(VLOOKUP($D102,'Visu totale'!$D:$DH,P$1,0)),O102-VLOOKUP($D102,'Visu totale'!$D:$DH,P$1,0),IF(LEFT(VLOOKUP($D102,'Visu totale'!$D:$DH,P$1,0),1)="V",IF(O102&gt;=INDEX('[1]Définition Maintenances'!$G:$G,MATCH($A102,'[1]Définition Maintenances'!$K:$K,0)),O102,INDEX('[1]Définition Maintenances'!$G:$G,MATCH($A102,'[1]Définition Maintenances'!$K:$K,0))+O102),O102))</f>
        <v>833</v>
      </c>
      <c r="Q102" s="27">
        <f>IF(ISNUMBER(VLOOKUP($D102,'Visu totale'!$D:$DH,Q$1,0)),P102-VLOOKUP($D102,'Visu totale'!$D:$DH,Q$1,0),IF(LEFT(VLOOKUP($D102,'Visu totale'!$D:$DH,Q$1,0),1)="V",IF(P102&gt;=INDEX('[1]Définition Maintenances'!$G:$G,MATCH($A102,'[1]Définition Maintenances'!$K:$K,0)),P102,INDEX('[1]Définition Maintenances'!$G:$G,MATCH($A102,'[1]Définition Maintenances'!$K:$K,0))+P102),P102))</f>
        <v>833</v>
      </c>
      <c r="R102" s="25">
        <f>IF(ISNUMBER(VLOOKUP($D102,'Visu totale'!$D:$DH,R$1,0)),Q102-VLOOKUP($D102,'Visu totale'!$D:$DH,R$1,0),IF(LEFT(VLOOKUP($D102,'Visu totale'!$D:$DH,R$1,0),1)="V",IF(Q102&gt;=INDEX('[1]Définition Maintenances'!$G:$G,MATCH($A102,'[1]Définition Maintenances'!$K:$K,0)),Q102,INDEX('[1]Définition Maintenances'!$G:$G,MATCH($A102,'[1]Définition Maintenances'!$K:$K,0))+Q102),Q102))</f>
        <v>833</v>
      </c>
      <c r="S102" s="26">
        <f>IF(ISNUMBER(VLOOKUP($D102,'Visu totale'!$D:$DH,S$1,0)),R102-VLOOKUP($D102,'Visu totale'!$D:$DH,S$1,0),IF(LEFT(VLOOKUP($D102,'Visu totale'!$D:$DH,S$1,0),1)="V",IF(R102&gt;=INDEX('[1]Définition Maintenances'!$G:$G,MATCH($A102,'[1]Définition Maintenances'!$K:$K,0)),R102,INDEX('[1]Définition Maintenances'!$G:$G,MATCH($A102,'[1]Définition Maintenances'!$K:$K,0))+R102),R102))</f>
        <v>833</v>
      </c>
      <c r="T102" s="26">
        <f>IF(ISNUMBER(VLOOKUP($D102,'Visu totale'!$D:$DH,T$1,0)),S102-VLOOKUP($D102,'Visu totale'!$D:$DH,T$1,0),IF(LEFT(VLOOKUP($D102,'Visu totale'!$D:$DH,T$1,0),1)="V",IF(S102&gt;=INDEX('[1]Définition Maintenances'!$G:$G,MATCH($A102,'[1]Définition Maintenances'!$K:$K,0)),S102,INDEX('[1]Définition Maintenances'!$G:$G,MATCH($A102,'[1]Définition Maintenances'!$K:$K,0))+S102),S102))</f>
        <v>833</v>
      </c>
      <c r="U102" s="26">
        <f>IF(ISNUMBER(VLOOKUP($D102,'Visu totale'!$D:$DH,U$1,0)),T102-VLOOKUP($D102,'Visu totale'!$D:$DH,U$1,0),IF(LEFT(VLOOKUP($D102,'Visu totale'!$D:$DH,U$1,0),1)="V",IF(T102&gt;=INDEX('[1]Définition Maintenances'!$G:$G,MATCH($A102,'[1]Définition Maintenances'!$K:$K,0)),T102,INDEX('[1]Définition Maintenances'!$G:$G,MATCH($A102,'[1]Définition Maintenances'!$K:$K,0))+T102),T102))</f>
        <v>833</v>
      </c>
      <c r="V102" s="26">
        <f>IF(ISNUMBER(VLOOKUP($D102,'Visu totale'!$D:$DH,V$1,0)),U102-VLOOKUP($D102,'Visu totale'!$D:$DH,V$1,0),IF(LEFT(VLOOKUP($D102,'Visu totale'!$D:$DH,V$1,0),1)="V",IF(U102&gt;=INDEX('[1]Définition Maintenances'!$G:$G,MATCH($A102,'[1]Définition Maintenances'!$K:$K,0)),U102,INDEX('[1]Définition Maintenances'!$G:$G,MATCH($A102,'[1]Définition Maintenances'!$K:$K,0))+U102),U102))</f>
        <v>833</v>
      </c>
      <c r="W102" s="26">
        <f>IF(ISNUMBER(VLOOKUP($D102,'Visu totale'!$D:$DH,W$1,0)),V102-VLOOKUP($D102,'Visu totale'!$D:$DH,W$1,0),IF(LEFT(VLOOKUP($D102,'Visu totale'!$D:$DH,W$1,0),1)="V",IF(V102&gt;=INDEX('[1]Définition Maintenances'!$G:$G,MATCH($A102,'[1]Définition Maintenances'!$K:$K,0)),V102,INDEX('[1]Définition Maintenances'!$G:$G,MATCH($A102,'[1]Définition Maintenances'!$K:$K,0))+V102),V102))</f>
        <v>833</v>
      </c>
      <c r="X102" s="26">
        <f>IF(ISNUMBER(VLOOKUP($D102,'Visu totale'!$D:$DH,X$1,0)),W102-VLOOKUP($D102,'Visu totale'!$D:$DH,X$1,0),IF(LEFT(VLOOKUP($D102,'Visu totale'!$D:$DH,X$1,0),1)="V",IF(W102&gt;=INDEX('[1]Définition Maintenances'!$G:$G,MATCH($A102,'[1]Définition Maintenances'!$K:$K,0)),W102,INDEX('[1]Définition Maintenances'!$G:$G,MATCH($A102,'[1]Définition Maintenances'!$K:$K,0))+W102),W102))</f>
        <v>833</v>
      </c>
      <c r="Y102" s="26">
        <f>IF(ISNUMBER(VLOOKUP($D102,'Visu totale'!$D:$DH,Y$1,0)),X102-VLOOKUP($D102,'Visu totale'!$D:$DH,Y$1,0),IF(LEFT(VLOOKUP($D102,'Visu totale'!$D:$DH,Y$1,0),1)="V",IF(X102&gt;=INDEX('[1]Définition Maintenances'!$G:$G,MATCH($A102,'[1]Définition Maintenances'!$K:$K,0)),X102,INDEX('[1]Définition Maintenances'!$G:$G,MATCH($A102,'[1]Définition Maintenances'!$K:$K,0))+X102),X102))</f>
        <v>833</v>
      </c>
      <c r="Z102" s="26">
        <f>IF(ISNUMBER(VLOOKUP($D102,'Visu totale'!$D:$DH,Z$1,0)),Y102-VLOOKUP($D102,'Visu totale'!$D:$DH,Z$1,0),IF(LEFT(VLOOKUP($D102,'Visu totale'!$D:$DH,Z$1,0),1)="V",IF(Y102&gt;=INDEX('[1]Définition Maintenances'!$G:$G,MATCH($A102,'[1]Définition Maintenances'!$K:$K,0)),Y102,INDEX('[1]Définition Maintenances'!$G:$G,MATCH($A102,'[1]Définition Maintenances'!$K:$K,0))+Y102),Y102))</f>
        <v>833</v>
      </c>
      <c r="AA102" s="26">
        <f>IF(ISNUMBER(VLOOKUP($D102,'Visu totale'!$D:$DH,AA$1,0)),Z102-VLOOKUP($D102,'Visu totale'!$D:$DH,AA$1,0),IF(LEFT(VLOOKUP($D102,'Visu totale'!$D:$DH,AA$1,0),1)="V",IF(Z102&gt;=INDEX('[1]Définition Maintenances'!$G:$G,MATCH($A102,'[1]Définition Maintenances'!$K:$K,0)),Z102,INDEX('[1]Définition Maintenances'!$G:$G,MATCH($A102,'[1]Définition Maintenances'!$K:$K,0))+Z102),Z102))</f>
        <v>833</v>
      </c>
      <c r="AB102" s="26">
        <f>IF(ISNUMBER(VLOOKUP($D102,'Visu totale'!$D:$DH,AB$1,0)),AA102-VLOOKUP($D102,'Visu totale'!$D:$DH,AB$1,0),IF(LEFT(VLOOKUP($D102,'Visu totale'!$D:$DH,AB$1,0),1)="V",IF(AA102&gt;=INDEX('[1]Définition Maintenances'!$G:$G,MATCH($A102,'[1]Définition Maintenances'!$K:$K,0)),AA102,INDEX('[1]Définition Maintenances'!$G:$G,MATCH($A102,'[1]Définition Maintenances'!$K:$K,0))+AA102),AA102))</f>
        <v>833</v>
      </c>
      <c r="AC102" s="27">
        <f>IF(ISNUMBER(VLOOKUP($D102,'Visu totale'!$D:$DH,AC$1,0)),AB102-VLOOKUP($D102,'Visu totale'!$D:$DH,AC$1,0),IF(LEFT(VLOOKUP($D102,'Visu totale'!$D:$DH,AC$1,0),1)="V",IF(AB102&gt;=INDEX('[1]Définition Maintenances'!$G:$G,MATCH($A102,'[1]Définition Maintenances'!$K:$K,0)),AB102,INDEX('[1]Définition Maintenances'!$G:$G,MATCH($A102,'[1]Définition Maintenances'!$K:$K,0))+AB102),AB102))</f>
        <v>833</v>
      </c>
      <c r="AD102" s="25">
        <f>IF(ISNUMBER(VLOOKUP($D102,'Visu totale'!$D:$DH,AD$1,0)),AC102-VLOOKUP($D102,'Visu totale'!$D:$DH,AD$1,0),IF(LEFT(VLOOKUP($D102,'Visu totale'!$D:$DH,AD$1,0),1)="V",IF(AC102&gt;=INDEX('[1]Définition Maintenances'!$G:$G,MATCH($A102,'[1]Définition Maintenances'!$K:$K,0)),AC102,INDEX('[1]Définition Maintenances'!$G:$G,MATCH($A102,'[1]Définition Maintenances'!$K:$K,0))+AC102),AC102))</f>
        <v>833</v>
      </c>
      <c r="AE102" s="26">
        <f>IF(ISNUMBER(VLOOKUP($D102,'Visu totale'!$D:$DH,AE$1,0)),AD102-VLOOKUP($D102,'Visu totale'!$D:$DH,AE$1,0),IF(LEFT(VLOOKUP($D102,'Visu totale'!$D:$DH,AE$1,0),1)="V",IF(AD102&gt;=INDEX('[1]Définition Maintenances'!$G:$G,MATCH($A102,'[1]Définition Maintenances'!$K:$K,0)),AD102,INDEX('[1]Définition Maintenances'!$G:$G,MATCH($A102,'[1]Définition Maintenances'!$K:$K,0))+AD102),AD102))</f>
        <v>833</v>
      </c>
      <c r="AF102" s="26">
        <f>IF(ISNUMBER(VLOOKUP($D102,'Visu totale'!$D:$DH,AF$1,0)),AE102-VLOOKUP($D102,'Visu totale'!$D:$DH,AF$1,0),IF(LEFT(VLOOKUP($D102,'Visu totale'!$D:$DH,AF$1,0),1)="V",IF(AE102&gt;=INDEX('[1]Définition Maintenances'!$G:$G,MATCH($A102,'[1]Définition Maintenances'!$K:$K,0)),AE102,INDEX('[1]Définition Maintenances'!$G:$G,MATCH($A102,'[1]Définition Maintenances'!$K:$K,0))+AE102),AE102))</f>
        <v>833</v>
      </c>
      <c r="AG102" s="26">
        <f>IF(ISNUMBER(VLOOKUP($D102,'Visu totale'!$D:$DH,AG$1,0)),AF102-VLOOKUP($D102,'Visu totale'!$D:$DH,AG$1,0),IF(LEFT(VLOOKUP($D102,'Visu totale'!$D:$DH,AG$1,0),1)="V",IF(AF102&gt;=INDEX('[1]Définition Maintenances'!$G:$G,MATCH($A102,'[1]Définition Maintenances'!$K:$K,0)),AF102,INDEX('[1]Définition Maintenances'!$G:$G,MATCH($A102,'[1]Définition Maintenances'!$K:$K,0))+AF102),AF102))</f>
        <v>833</v>
      </c>
      <c r="AH102" s="26">
        <f>IF(ISNUMBER(VLOOKUP($D102,'Visu totale'!$D:$DH,AH$1,0)),AG102-VLOOKUP($D102,'Visu totale'!$D:$DH,AH$1,0),IF(LEFT(VLOOKUP($D102,'Visu totale'!$D:$DH,AH$1,0),1)="V",IF(AG102&gt;=INDEX('[1]Définition Maintenances'!$G:$G,MATCH($A102,'[1]Définition Maintenances'!$K:$K,0)),AG102,INDEX('[1]Définition Maintenances'!$G:$G,MATCH($A102,'[1]Définition Maintenances'!$K:$K,0))+AG102),AG102))</f>
        <v>833</v>
      </c>
      <c r="AI102" s="26">
        <f>IF(ISNUMBER(VLOOKUP($D102,'Visu totale'!$D:$DH,AI$1,0)),AH102-VLOOKUP($D102,'Visu totale'!$D:$DH,AI$1,0),IF(LEFT(VLOOKUP($D102,'Visu totale'!$D:$DH,AI$1,0),1)="V",IF(AH102&gt;=INDEX('[1]Définition Maintenances'!$G:$G,MATCH($A102,'[1]Définition Maintenances'!$K:$K,0)),AH102,INDEX('[1]Définition Maintenances'!$G:$G,MATCH($A102,'[1]Définition Maintenances'!$K:$K,0))+AH102),AH102))</f>
        <v>833</v>
      </c>
      <c r="AJ102" s="26">
        <f>IF(ISNUMBER(VLOOKUP($D102,'Visu totale'!$D:$DH,AJ$1,0)),AI102-VLOOKUP($D102,'Visu totale'!$D:$DH,AJ$1,0),IF(LEFT(VLOOKUP($D102,'Visu totale'!$D:$DH,AJ$1,0),1)="V",IF(AI102&gt;=INDEX('[1]Définition Maintenances'!$G:$G,MATCH($A102,'[1]Définition Maintenances'!$K:$K,0)),AI102,INDEX('[1]Définition Maintenances'!$G:$G,MATCH($A102,'[1]Définition Maintenances'!$K:$K,0))+AI102),AI102))</f>
        <v>833</v>
      </c>
      <c r="AK102" s="26">
        <f>IF(ISNUMBER(VLOOKUP($D102,'Visu totale'!$D:$DH,AK$1,0)),AJ102-VLOOKUP($D102,'Visu totale'!$D:$DH,AK$1,0),IF(LEFT(VLOOKUP($D102,'Visu totale'!$D:$DH,AK$1,0),1)="V",IF(AJ102&gt;=INDEX('[1]Définition Maintenances'!$G:$G,MATCH($A102,'[1]Définition Maintenances'!$K:$K,0)),AJ102,INDEX('[1]Définition Maintenances'!$G:$G,MATCH($A102,'[1]Définition Maintenances'!$K:$K,0))+AJ102),AJ102))</f>
        <v>833</v>
      </c>
      <c r="AL102" s="26">
        <f>IF(ISNUMBER(VLOOKUP($D102,'Visu totale'!$D:$DH,AL$1,0)),AK102-VLOOKUP($D102,'Visu totale'!$D:$DH,AL$1,0),IF(LEFT(VLOOKUP($D102,'Visu totale'!$D:$DH,AL$1,0),1)="V",IF(AK102&gt;=INDEX('[1]Définition Maintenances'!$G:$G,MATCH($A102,'[1]Définition Maintenances'!$K:$K,0)),AK102,INDEX('[1]Définition Maintenances'!$G:$G,MATCH($A102,'[1]Définition Maintenances'!$K:$K,0))+AK102),AK102))</f>
        <v>833</v>
      </c>
      <c r="AM102" s="26">
        <f>IF(ISNUMBER(VLOOKUP($D102,'Visu totale'!$D:$DH,AM$1,0)),AL102-VLOOKUP($D102,'Visu totale'!$D:$DH,AM$1,0),IF(LEFT(VLOOKUP($D102,'Visu totale'!$D:$DH,AM$1,0),1)="V",IF(AL102&gt;=INDEX('[1]Définition Maintenances'!$G:$G,MATCH($A102,'[1]Définition Maintenances'!$K:$K,0)),AL102,INDEX('[1]Définition Maintenances'!$G:$G,MATCH($A102,'[1]Définition Maintenances'!$K:$K,0))+AL102),AL102))</f>
        <v>833</v>
      </c>
      <c r="AN102" s="26">
        <f>IF(ISNUMBER(VLOOKUP($D102,'Visu totale'!$D:$DH,AN$1,0)),AM102-VLOOKUP($D102,'Visu totale'!$D:$DH,AN$1,0),IF(LEFT(VLOOKUP($D102,'Visu totale'!$D:$DH,AN$1,0),1)="V",IF(AM102&gt;=INDEX('[1]Définition Maintenances'!$G:$G,MATCH($A102,'[1]Définition Maintenances'!$K:$K,0)),AM102,INDEX('[1]Définition Maintenances'!$G:$G,MATCH($A102,'[1]Définition Maintenances'!$K:$K,0))+AM102),AM102))</f>
        <v>833</v>
      </c>
      <c r="AO102" s="27">
        <f>IF(ISNUMBER(VLOOKUP($D102,'Visu totale'!$D:$DH,AO$1,0)),AN102-VLOOKUP($D102,'Visu totale'!$D:$DH,AO$1,0),IF(LEFT(VLOOKUP($D102,'Visu totale'!$D:$DH,AO$1,0),1)="V",IF(AN102&gt;=INDEX('[1]Définition Maintenances'!$G:$G,MATCH($A102,'[1]Définition Maintenances'!$K:$K,0)),AN102,INDEX('[1]Définition Maintenances'!$G:$G,MATCH($A102,'[1]Définition Maintenances'!$K:$K,0))+AN102),AN102))</f>
        <v>833</v>
      </c>
      <c r="AP102" s="25">
        <f>IF(ISNUMBER(VLOOKUP($D102,'Visu totale'!$D:$DH,AP$1,0)),AO102-VLOOKUP($D102,'Visu totale'!$D:$DH,AP$1,0),IF(LEFT(VLOOKUP($D102,'Visu totale'!$D:$DH,AP$1,0),1)="V",IF(AO102&gt;=INDEX('[1]Définition Maintenances'!$G:$G,MATCH($A102,'[1]Définition Maintenances'!$K:$K,0)),AO102,INDEX('[1]Définition Maintenances'!$G:$G,MATCH($A102,'[1]Définition Maintenances'!$K:$K,0))+AO102),AO102))</f>
        <v>833</v>
      </c>
      <c r="AQ102" s="26">
        <f>IF(ISNUMBER(VLOOKUP($D102,'Visu totale'!$D:$DH,AQ$1,0)),AP102-VLOOKUP($D102,'Visu totale'!$D:$DH,AQ$1,0),IF(LEFT(VLOOKUP($D102,'Visu totale'!$D:$DH,AQ$1,0),1)="V",IF(AP102&gt;=INDEX('[1]Définition Maintenances'!$G:$G,MATCH($A102,'[1]Définition Maintenances'!$K:$K,0)),AP102,INDEX('[1]Définition Maintenances'!$G:$G,MATCH($A102,'[1]Définition Maintenances'!$K:$K,0))+AP102),AP102))</f>
        <v>833</v>
      </c>
      <c r="AR102" s="26">
        <f>IF(ISNUMBER(VLOOKUP($D102,'Visu totale'!$D:$DH,AR$1,0)),AQ102-VLOOKUP($D102,'Visu totale'!$D:$DH,AR$1,0),IF(LEFT(VLOOKUP($D102,'Visu totale'!$D:$DH,AR$1,0),1)="V",IF(AQ102&gt;=INDEX('[1]Définition Maintenances'!$G:$G,MATCH($A102,'[1]Définition Maintenances'!$K:$K,0)),AQ102,INDEX('[1]Définition Maintenances'!$G:$G,MATCH($A102,'[1]Définition Maintenances'!$K:$K,0))+AQ102),AQ102))</f>
        <v>833</v>
      </c>
      <c r="AS102" s="26">
        <f>IF(ISNUMBER(VLOOKUP($D102,'Visu totale'!$D:$DH,AS$1,0)),AR102-VLOOKUP($D102,'Visu totale'!$D:$DH,AS$1,0),IF(LEFT(VLOOKUP($D102,'Visu totale'!$D:$DH,AS$1,0),1)="V",IF(AR102&gt;=INDEX('[1]Définition Maintenances'!$G:$G,MATCH($A102,'[1]Définition Maintenances'!$K:$K,0)),AR102,INDEX('[1]Définition Maintenances'!$G:$G,MATCH($A102,'[1]Définition Maintenances'!$K:$K,0))+AR102),AR102))</f>
        <v>833</v>
      </c>
      <c r="AT102" s="26">
        <f>IF(ISNUMBER(VLOOKUP($D102,'Visu totale'!$D:$DH,AT$1,0)),AS102-VLOOKUP($D102,'Visu totale'!$D:$DH,AT$1,0),IF(LEFT(VLOOKUP($D102,'Visu totale'!$D:$DH,AT$1,0),1)="V",IF(AS102&gt;=INDEX('[1]Définition Maintenances'!$G:$G,MATCH($A102,'[1]Définition Maintenances'!$K:$K,0)),AS102,INDEX('[1]Définition Maintenances'!$G:$G,MATCH($A102,'[1]Définition Maintenances'!$K:$K,0))+AS102),AS102))</f>
        <v>833</v>
      </c>
      <c r="AU102" s="26">
        <f>IF(ISNUMBER(VLOOKUP($D102,'Visu totale'!$D:$DH,AU$1,0)),AT102-VLOOKUP($D102,'Visu totale'!$D:$DH,AU$1,0),IF(LEFT(VLOOKUP($D102,'Visu totale'!$D:$DH,AU$1,0),1)="V",IF(AT102&gt;=INDEX('[1]Définition Maintenances'!$G:$G,MATCH($A102,'[1]Définition Maintenances'!$K:$K,0)),AT102,INDEX('[1]Définition Maintenances'!$G:$G,MATCH($A102,'[1]Définition Maintenances'!$K:$K,0))+AT102),AT102))</f>
        <v>833</v>
      </c>
      <c r="AV102" s="26">
        <f>IF(ISNUMBER(VLOOKUP($D102,'Visu totale'!$D:$DH,AV$1,0)),AU102-VLOOKUP($D102,'Visu totale'!$D:$DH,AV$1,0),IF(LEFT(VLOOKUP($D102,'Visu totale'!$D:$DH,AV$1,0),1)="V",IF(AU102&gt;=INDEX('[1]Définition Maintenances'!$G:$G,MATCH($A102,'[1]Définition Maintenances'!$K:$K,0)),AU102,INDEX('[1]Définition Maintenances'!$G:$G,MATCH($A102,'[1]Définition Maintenances'!$K:$K,0))+AU102),AU102))</f>
        <v>833</v>
      </c>
      <c r="AW102" s="26">
        <f>IF(ISNUMBER(VLOOKUP($D102,'Visu totale'!$D:$DH,AW$1,0)),AV102-VLOOKUP($D102,'Visu totale'!$D:$DH,AW$1,0),IF(LEFT(VLOOKUP($D102,'Visu totale'!$D:$DH,AW$1,0),1)="V",IF(AV102&gt;=INDEX('[1]Définition Maintenances'!$G:$G,MATCH($A102,'[1]Définition Maintenances'!$K:$K,0)),AV102,INDEX('[1]Définition Maintenances'!$G:$G,MATCH($A102,'[1]Définition Maintenances'!$K:$K,0))+AV102),AV102))</f>
        <v>833</v>
      </c>
      <c r="AX102" s="26">
        <f>IF(ISNUMBER(VLOOKUP($D102,'Visu totale'!$D:$DH,AX$1,0)),AW102-VLOOKUP($D102,'Visu totale'!$D:$DH,AX$1,0),IF(LEFT(VLOOKUP($D102,'Visu totale'!$D:$DH,AX$1,0),1)="V",IF(AW102&gt;=INDEX('[1]Définition Maintenances'!$G:$G,MATCH($A102,'[1]Définition Maintenances'!$K:$K,0)),AW102,INDEX('[1]Définition Maintenances'!$G:$G,MATCH($A102,'[1]Définition Maintenances'!$K:$K,0))+AW102),AW102))</f>
        <v>833</v>
      </c>
      <c r="AY102" s="26">
        <f>IF(ISNUMBER(VLOOKUP($D102,'Visu totale'!$D:$DH,AY$1,0)),AX102-VLOOKUP($D102,'Visu totale'!$D:$DH,AY$1,0),IF(LEFT(VLOOKUP($D102,'Visu totale'!$D:$DH,AY$1,0),1)="V",IF(AX102&gt;=INDEX('[1]Définition Maintenances'!$G:$G,MATCH($A102,'[1]Définition Maintenances'!$K:$K,0)),AX102,INDEX('[1]Définition Maintenances'!$G:$G,MATCH($A102,'[1]Définition Maintenances'!$K:$K,0))+AX102),AX102))</f>
        <v>833</v>
      </c>
      <c r="AZ102" s="26">
        <f>IF(ISNUMBER(VLOOKUP($D102,'Visu totale'!$D:$DH,AZ$1,0)),AY102-VLOOKUP($D102,'Visu totale'!$D:$DH,AZ$1,0),IF(LEFT(VLOOKUP($D102,'Visu totale'!$D:$DH,AZ$1,0),1)="V",IF(AY102&gt;=INDEX('[1]Définition Maintenances'!$G:$G,MATCH($A102,'[1]Définition Maintenances'!$K:$K,0)),AY102,INDEX('[1]Définition Maintenances'!$G:$G,MATCH($A102,'[1]Définition Maintenances'!$K:$K,0))+AY102),AY102))</f>
        <v>833</v>
      </c>
      <c r="BA102" s="27">
        <f>IF(ISNUMBER(VLOOKUP($D102,'Visu totale'!$D:$DH,BA$1,0)),AZ102-VLOOKUP($D102,'Visu totale'!$D:$DH,BA$1,0),IF(LEFT(VLOOKUP($D102,'Visu totale'!$D:$DH,BA$1,0),1)="V",IF(AZ102&gt;=INDEX('[1]Définition Maintenances'!$G:$G,MATCH($A102,'[1]Définition Maintenances'!$K:$K,0)),AZ102,INDEX('[1]Définition Maintenances'!$G:$G,MATCH($A102,'[1]Définition Maintenances'!$K:$K,0))+AZ102),AZ102))</f>
        <v>833</v>
      </c>
      <c r="BB102" s="25">
        <f>IF(ISNUMBER(VLOOKUP($D102,'Visu totale'!$D:$DH,BB$1,0)),BA102-VLOOKUP($D102,'Visu totale'!$D:$DH,BB$1,0),IF(LEFT(VLOOKUP($D102,'Visu totale'!$D:$DH,BB$1,0),1)="V",IF(BA102&gt;=INDEX('[1]Définition Maintenances'!$G:$G,MATCH($A102,'[1]Définition Maintenances'!$K:$K,0)),BA102,INDEX('[1]Définition Maintenances'!$G:$G,MATCH($A102,'[1]Définition Maintenances'!$K:$K,0))+BA102),BA102))</f>
        <v>833</v>
      </c>
      <c r="BC102" s="26">
        <f>IF(ISNUMBER(VLOOKUP($D102,'Visu totale'!$D:$DH,BC$1,0)),BB102-VLOOKUP($D102,'Visu totale'!$D:$DH,BC$1,0),IF(LEFT(VLOOKUP($D102,'Visu totale'!$D:$DH,BC$1,0),1)="V",IF(BB102&gt;=INDEX('[1]Définition Maintenances'!$G:$G,MATCH($A102,'[1]Définition Maintenances'!$K:$K,0)),BB102,INDEX('[1]Définition Maintenances'!$G:$G,MATCH($A102,'[1]Définition Maintenances'!$K:$K,0))+BB102),BB102))</f>
        <v>833</v>
      </c>
      <c r="BD102" s="26">
        <f>IF(ISNUMBER(VLOOKUP($D102,'Visu totale'!$D:$DH,BD$1,0)),BC102-VLOOKUP($D102,'Visu totale'!$D:$DH,BD$1,0),IF(LEFT(VLOOKUP($D102,'Visu totale'!$D:$DH,BD$1,0),1)="V",IF(BC102&gt;=INDEX('[1]Définition Maintenances'!$G:$G,MATCH($A102,'[1]Définition Maintenances'!$K:$K,0)),BC102,INDEX('[1]Définition Maintenances'!$G:$G,MATCH($A102,'[1]Définition Maintenances'!$K:$K,0))+BC102),BC102))</f>
        <v>833</v>
      </c>
      <c r="BE102" s="26">
        <f>IF(ISNUMBER(VLOOKUP($D102,'Visu totale'!$D:$DH,BE$1,0)),BD102-VLOOKUP($D102,'Visu totale'!$D:$DH,BE$1,0),IF(LEFT(VLOOKUP($D102,'Visu totale'!$D:$DH,BE$1,0),1)="V",IF(BD102&gt;=INDEX('[1]Définition Maintenances'!$G:$G,MATCH($A102,'[1]Définition Maintenances'!$K:$K,0)),BD102,INDEX('[1]Définition Maintenances'!$G:$G,MATCH($A102,'[1]Définition Maintenances'!$K:$K,0))+BD102),BD102))</f>
        <v>833</v>
      </c>
      <c r="BF102" s="26">
        <f>IF(ISNUMBER(VLOOKUP($D102,'Visu totale'!$D:$DH,BF$1,0)),BE102-VLOOKUP($D102,'Visu totale'!$D:$DH,BF$1,0),IF(LEFT(VLOOKUP($D102,'Visu totale'!$D:$DH,BF$1,0),1)="V",IF(BE102&gt;=INDEX('[1]Définition Maintenances'!$G:$G,MATCH($A102,'[1]Définition Maintenances'!$K:$K,0)),BE102,INDEX('[1]Définition Maintenances'!$G:$G,MATCH($A102,'[1]Définition Maintenances'!$K:$K,0))+BE102),BE102))</f>
        <v>833</v>
      </c>
      <c r="BG102" s="26">
        <f>IF(ISNUMBER(VLOOKUP($D102,'Visu totale'!$D:$DH,BG$1,0)),BF102-VLOOKUP($D102,'Visu totale'!$D:$DH,BG$1,0),IF(LEFT(VLOOKUP($D102,'Visu totale'!$D:$DH,BG$1,0),1)="V",IF(BF102&gt;=INDEX('[1]Définition Maintenances'!$G:$G,MATCH($A102,'[1]Définition Maintenances'!$K:$K,0)),BF102,INDEX('[1]Définition Maintenances'!$G:$G,MATCH($A102,'[1]Définition Maintenances'!$K:$K,0))+BF102),BF102))</f>
        <v>833</v>
      </c>
      <c r="BH102" s="26">
        <f>IF(ISNUMBER(VLOOKUP($D102,'Visu totale'!$D:$DH,BH$1,0)),BG102-VLOOKUP($D102,'Visu totale'!$D:$DH,BH$1,0),IF(LEFT(VLOOKUP($D102,'Visu totale'!$D:$DH,BH$1,0),1)="V",IF(BG102&gt;=INDEX('[1]Définition Maintenances'!$G:$G,MATCH($A102,'[1]Définition Maintenances'!$K:$K,0)),BG102,INDEX('[1]Définition Maintenances'!$G:$G,MATCH($A102,'[1]Définition Maintenances'!$K:$K,0))+BG102),BG102))</f>
        <v>833</v>
      </c>
      <c r="BI102" s="26">
        <f>IF(ISNUMBER(VLOOKUP($D102,'Visu totale'!$D:$DH,BI$1,0)),BH102-VLOOKUP($D102,'Visu totale'!$D:$DH,BI$1,0),IF(LEFT(VLOOKUP($D102,'Visu totale'!$D:$DH,BI$1,0),1)="V",IF(BH102&gt;=INDEX('[1]Définition Maintenances'!$G:$G,MATCH($A102,'[1]Définition Maintenances'!$K:$K,0)),BH102,INDEX('[1]Définition Maintenances'!$G:$G,MATCH($A102,'[1]Définition Maintenances'!$K:$K,0))+BH102),BH102))</f>
        <v>833</v>
      </c>
      <c r="BJ102" s="26">
        <f>IF(ISNUMBER(VLOOKUP($D102,'Visu totale'!$D:$DH,BJ$1,0)),BI102-VLOOKUP($D102,'Visu totale'!$D:$DH,BJ$1,0),IF(LEFT(VLOOKUP($D102,'Visu totale'!$D:$DH,BJ$1,0),1)="V",IF(BI102&gt;=INDEX('[1]Définition Maintenances'!$G:$G,MATCH($A102,'[1]Définition Maintenances'!$K:$K,0)),BI102,INDEX('[1]Définition Maintenances'!$G:$G,MATCH($A102,'[1]Définition Maintenances'!$K:$K,0))+BI102),BI102))</f>
        <v>833</v>
      </c>
      <c r="BK102" s="26">
        <f>IF(ISNUMBER(VLOOKUP($D102,'Visu totale'!$D:$DH,BK$1,0)),BJ102-VLOOKUP($D102,'Visu totale'!$D:$DH,BK$1,0),IF(LEFT(VLOOKUP($D102,'Visu totale'!$D:$DH,BK$1,0),1)="V",IF(BJ102&gt;=INDEX('[1]Définition Maintenances'!$G:$G,MATCH($A102,'[1]Définition Maintenances'!$K:$K,0)),BJ102,INDEX('[1]Définition Maintenances'!$G:$G,MATCH($A102,'[1]Définition Maintenances'!$K:$K,0))+BJ102),BJ102))</f>
        <v>833</v>
      </c>
      <c r="BL102" s="26">
        <f>IF(ISNUMBER(VLOOKUP($D102,'Visu totale'!$D:$DH,BL$1,0)),BK102-VLOOKUP($D102,'Visu totale'!$D:$DH,BL$1,0),IF(LEFT(VLOOKUP($D102,'Visu totale'!$D:$DH,BL$1,0),1)="V",IF(BK102&gt;=INDEX('[1]Définition Maintenances'!$G:$G,MATCH($A102,'[1]Définition Maintenances'!$K:$K,0)),BK102,INDEX('[1]Définition Maintenances'!$G:$G,MATCH($A102,'[1]Définition Maintenances'!$K:$K,0))+BK102),BK102))</f>
        <v>833</v>
      </c>
      <c r="BM102" s="27">
        <f>IF(ISNUMBER(VLOOKUP($D102,'Visu totale'!$D:$DH,BM$1,0)),BL102-VLOOKUP($D102,'Visu totale'!$D:$DH,BM$1,0),IF(LEFT(VLOOKUP($D102,'Visu totale'!$D:$DH,BM$1,0),1)="V",IF(BL102&gt;=INDEX('[1]Définition Maintenances'!$G:$G,MATCH($A102,'[1]Définition Maintenances'!$K:$K,0)),BL102,INDEX('[1]Définition Maintenances'!$G:$G,MATCH($A102,'[1]Définition Maintenances'!$K:$K,0))+BL102),BL102))</f>
        <v>833</v>
      </c>
      <c r="BN102" s="25">
        <f>IF(ISNUMBER(VLOOKUP($D102,'Visu totale'!$D:$DH,BN$1,0)),BM102-VLOOKUP($D102,'Visu totale'!$D:$DH,BN$1,0),IF(LEFT(VLOOKUP($D102,'Visu totale'!$D:$DH,BN$1,0),1)="V",IF(BM102&gt;=INDEX('[1]Définition Maintenances'!$G:$G,MATCH($A102,'[1]Définition Maintenances'!$K:$K,0)),BM102,INDEX('[1]Définition Maintenances'!$G:$G,MATCH($A102,'[1]Définition Maintenances'!$K:$K,0))+BM102),BM102))</f>
        <v>833</v>
      </c>
      <c r="BO102" s="26">
        <f>IF(ISNUMBER(VLOOKUP($D102,'Visu totale'!$D:$DH,BO$1,0)),BN102-VLOOKUP($D102,'Visu totale'!$D:$DH,BO$1,0),IF(LEFT(VLOOKUP($D102,'Visu totale'!$D:$DH,BO$1,0),1)="V",IF(BN102&gt;=INDEX('[1]Définition Maintenances'!$G:$G,MATCH($A102,'[1]Définition Maintenances'!$K:$K,0)),BN102,INDEX('[1]Définition Maintenances'!$G:$G,MATCH($A102,'[1]Définition Maintenances'!$K:$K,0))+BN102),BN102))</f>
        <v>833</v>
      </c>
      <c r="BP102" s="26">
        <f>IF(ISNUMBER(VLOOKUP($D102,'Visu totale'!$D:$DH,BP$1,0)),BO102-VLOOKUP($D102,'Visu totale'!$D:$DH,BP$1,0),IF(LEFT(VLOOKUP($D102,'Visu totale'!$D:$DH,BP$1,0),1)="V",IF(BO102&gt;=INDEX('[1]Définition Maintenances'!$G:$G,MATCH($A102,'[1]Définition Maintenances'!$K:$K,0)),BO102,INDEX('[1]Définition Maintenances'!$G:$G,MATCH($A102,'[1]Définition Maintenances'!$K:$K,0))+BO102),BO102))</f>
        <v>833</v>
      </c>
      <c r="BQ102" s="26">
        <f>IF(ISNUMBER(VLOOKUP($D102,'Visu totale'!$D:$DH,BQ$1,0)),BP102-VLOOKUP($D102,'Visu totale'!$D:$DH,BQ$1,0),IF(LEFT(VLOOKUP($D102,'Visu totale'!$D:$DH,BQ$1,0),1)="V",IF(BP102&gt;=INDEX('[1]Définition Maintenances'!$G:$G,MATCH($A102,'[1]Définition Maintenances'!$K:$K,0)),BP102,INDEX('[1]Définition Maintenances'!$G:$G,MATCH($A102,'[1]Définition Maintenances'!$K:$K,0))+BP102),BP102))</f>
        <v>833</v>
      </c>
      <c r="BR102" s="26">
        <f>IF(ISNUMBER(VLOOKUP($D102,'Visu totale'!$D:$DH,BR$1,0)),BQ102-VLOOKUP($D102,'Visu totale'!$D:$DH,BR$1,0),IF(LEFT(VLOOKUP($D102,'Visu totale'!$D:$DH,BR$1,0),1)="V",IF(BQ102&gt;=INDEX('[1]Définition Maintenances'!$G:$G,MATCH($A102,'[1]Définition Maintenances'!$K:$K,0)),BQ102,INDEX('[1]Définition Maintenances'!$G:$G,MATCH($A102,'[1]Définition Maintenances'!$K:$K,0))+BQ102),BQ102))</f>
        <v>833</v>
      </c>
      <c r="BS102" s="26">
        <f>IF(ISNUMBER(VLOOKUP($D102,'Visu totale'!$D:$DH,BS$1,0)),BR102-VLOOKUP($D102,'Visu totale'!$D:$DH,BS$1,0),IF(LEFT(VLOOKUP($D102,'Visu totale'!$D:$DH,BS$1,0),1)="V",IF(BR102&gt;=INDEX('[1]Définition Maintenances'!$G:$G,MATCH($A102,'[1]Définition Maintenances'!$K:$K,0)),BR102,INDEX('[1]Définition Maintenances'!$G:$G,MATCH($A102,'[1]Définition Maintenances'!$K:$K,0))+BR102),BR102))</f>
        <v>833</v>
      </c>
      <c r="BT102" s="26">
        <f>IF(ISNUMBER(VLOOKUP($D102,'Visu totale'!$D:$DH,BT$1,0)),BS102-VLOOKUP($D102,'Visu totale'!$D:$DH,BT$1,0),IF(LEFT(VLOOKUP($D102,'Visu totale'!$D:$DH,BT$1,0),1)="V",IF(BS102&gt;=INDEX('[1]Définition Maintenances'!$G:$G,MATCH($A102,'[1]Définition Maintenances'!$K:$K,0)),BS102,INDEX('[1]Définition Maintenances'!$G:$G,MATCH($A102,'[1]Définition Maintenances'!$K:$K,0))+BS102),BS102))</f>
        <v>833</v>
      </c>
      <c r="BU102" s="26">
        <f>IF(ISNUMBER(VLOOKUP($D102,'Visu totale'!$D:$DH,BU$1,0)),BT102-VLOOKUP($D102,'Visu totale'!$D:$DH,BU$1,0),IF(LEFT(VLOOKUP($D102,'Visu totale'!$D:$DH,BU$1,0),1)="V",IF(BT102&gt;=INDEX('[1]Définition Maintenances'!$G:$G,MATCH($A102,'[1]Définition Maintenances'!$K:$K,0)),BT102,INDEX('[1]Définition Maintenances'!$G:$G,MATCH($A102,'[1]Définition Maintenances'!$K:$K,0))+BT102),BT102))</f>
        <v>833</v>
      </c>
      <c r="BV102" s="26">
        <f>IF(ISNUMBER(VLOOKUP($D102,'Visu totale'!$D:$DH,BV$1,0)),BU102-VLOOKUP($D102,'Visu totale'!$D:$DH,BV$1,0),IF(LEFT(VLOOKUP($D102,'Visu totale'!$D:$DH,BV$1,0),1)="V",IF(BU102&gt;=INDEX('[1]Définition Maintenances'!$G:$G,MATCH($A102,'[1]Définition Maintenances'!$K:$K,0)),BU102,INDEX('[1]Définition Maintenances'!$G:$G,MATCH($A102,'[1]Définition Maintenances'!$K:$K,0))+BU102),BU102))</f>
        <v>833</v>
      </c>
      <c r="BW102" s="26">
        <f>IF(ISNUMBER(VLOOKUP($D102,'Visu totale'!$D:$DH,BW$1,0)),BV102-VLOOKUP($D102,'Visu totale'!$D:$DH,BW$1,0),IF(LEFT(VLOOKUP($D102,'Visu totale'!$D:$DH,BW$1,0),1)="V",IF(BV102&gt;=INDEX('[1]Définition Maintenances'!$G:$G,MATCH($A102,'[1]Définition Maintenances'!$K:$K,0)),BV102,INDEX('[1]Définition Maintenances'!$G:$G,MATCH($A102,'[1]Définition Maintenances'!$K:$K,0))+BV102),BV102))</f>
        <v>833</v>
      </c>
      <c r="BX102" s="26">
        <f>IF(ISNUMBER(VLOOKUP($D102,'Visu totale'!$D:$DH,BX$1,0)),BW102-VLOOKUP($D102,'Visu totale'!$D:$DH,BX$1,0),IF(LEFT(VLOOKUP($D102,'Visu totale'!$D:$DH,BX$1,0),1)="V",IF(BW102&gt;=INDEX('[1]Définition Maintenances'!$G:$G,MATCH($A102,'[1]Définition Maintenances'!$K:$K,0)),BW102,INDEX('[1]Définition Maintenances'!$G:$G,MATCH($A102,'[1]Définition Maintenances'!$K:$K,0))+BW102),BW102))</f>
        <v>833</v>
      </c>
      <c r="BY102" s="27">
        <f>IF(ISNUMBER(VLOOKUP($D102,'Visu totale'!$D:$DH,BY$1,0)),BX102-VLOOKUP($D102,'Visu totale'!$D:$DH,BY$1,0),IF(LEFT(VLOOKUP($D102,'Visu totale'!$D:$DH,BY$1,0),1)="V",IF(BX102&gt;=INDEX('[1]Définition Maintenances'!$G:$G,MATCH($A102,'[1]Définition Maintenances'!$K:$K,0)),BX102,INDEX('[1]Définition Maintenances'!$G:$G,MATCH($A102,'[1]Définition Maintenances'!$K:$K,0))+BX102),BX102))</f>
        <v>833</v>
      </c>
      <c r="BZ102" s="25">
        <f>IF(ISNUMBER(VLOOKUP($D102,'Visu totale'!$D:$DH,BZ$1,0)),BY102-VLOOKUP($D102,'Visu totale'!$D:$DH,BZ$1,0),IF(LEFT(VLOOKUP($D102,'Visu totale'!$D:$DH,BZ$1,0),1)="V",IF(BY102&gt;=INDEX('[1]Définition Maintenances'!$G:$G,MATCH($A102,'[1]Définition Maintenances'!$K:$K,0)),BY102,INDEX('[1]Définition Maintenances'!$G:$G,MATCH($A102,'[1]Définition Maintenances'!$K:$K,0))+BY102),BY102))</f>
        <v>833</v>
      </c>
      <c r="CA102" s="26">
        <f>IF(ISNUMBER(VLOOKUP($D102,'Visu totale'!$D:$DH,CA$1,0)),BZ102-VLOOKUP($D102,'Visu totale'!$D:$DH,CA$1,0),IF(LEFT(VLOOKUP($D102,'Visu totale'!$D:$DH,CA$1,0),1)="V",IF(BZ102&gt;=INDEX('[1]Définition Maintenances'!$G:$G,MATCH($A102,'[1]Définition Maintenances'!$K:$K,0)),BZ102,INDEX('[1]Définition Maintenances'!$G:$G,MATCH($A102,'[1]Définition Maintenances'!$K:$K,0))+BZ102),BZ102))</f>
        <v>833</v>
      </c>
      <c r="CB102" s="26">
        <f>IF(ISNUMBER(VLOOKUP($D102,'Visu totale'!$D:$DH,CB$1,0)),CA102-VLOOKUP($D102,'Visu totale'!$D:$DH,CB$1,0),IF(LEFT(VLOOKUP($D102,'Visu totale'!$D:$DH,CB$1,0),1)="V",IF(CA102&gt;=INDEX('[1]Définition Maintenances'!$G:$G,MATCH($A102,'[1]Définition Maintenances'!$K:$K,0)),CA102,INDEX('[1]Définition Maintenances'!$G:$G,MATCH($A102,'[1]Définition Maintenances'!$K:$K,0))+CA102),CA102))</f>
        <v>833</v>
      </c>
      <c r="CC102" s="26">
        <f>IF(ISNUMBER(VLOOKUP($D102,'Visu totale'!$D:$DH,CC$1,0)),CB102-VLOOKUP($D102,'Visu totale'!$D:$DH,CC$1,0),IF(LEFT(VLOOKUP($D102,'Visu totale'!$D:$DH,CC$1,0),1)="V",IF(CB102&gt;=INDEX('[1]Définition Maintenances'!$G:$G,MATCH($A102,'[1]Définition Maintenances'!$K:$K,0)),CB102,INDEX('[1]Définition Maintenances'!$G:$G,MATCH($A102,'[1]Définition Maintenances'!$K:$K,0))+CB102),CB102))</f>
        <v>833</v>
      </c>
      <c r="CD102" s="26">
        <f>IF(ISNUMBER(VLOOKUP($D102,'Visu totale'!$D:$DH,CD$1,0)),CC102-VLOOKUP($D102,'Visu totale'!$D:$DH,CD$1,0),IF(LEFT(VLOOKUP($D102,'Visu totale'!$D:$DH,CD$1,0),1)="V",IF(CC102&gt;=INDEX('[1]Définition Maintenances'!$G:$G,MATCH($A102,'[1]Définition Maintenances'!$K:$K,0)),CC102,INDEX('[1]Définition Maintenances'!$G:$G,MATCH($A102,'[1]Définition Maintenances'!$K:$K,0))+CC102),CC102))</f>
        <v>833</v>
      </c>
      <c r="CE102" s="26">
        <f>IF(ISNUMBER(VLOOKUP($D102,'Visu totale'!$D:$DH,CE$1,0)),CD102-VLOOKUP($D102,'Visu totale'!$D:$DH,CE$1,0),IF(LEFT(VLOOKUP($D102,'Visu totale'!$D:$DH,CE$1,0),1)="V",IF(CD102&gt;=INDEX('[1]Définition Maintenances'!$G:$G,MATCH($A102,'[1]Définition Maintenances'!$K:$K,0)),CD102,INDEX('[1]Définition Maintenances'!$G:$G,MATCH($A102,'[1]Définition Maintenances'!$K:$K,0))+CD102),CD102))</f>
        <v>833</v>
      </c>
      <c r="CF102" s="26">
        <f>IF(ISNUMBER(VLOOKUP($D102,'Visu totale'!$D:$DH,CF$1,0)),CE102-VLOOKUP($D102,'Visu totale'!$D:$DH,CF$1,0),IF(LEFT(VLOOKUP($D102,'Visu totale'!$D:$DH,CF$1,0),1)="V",IF(CE102&gt;=INDEX('[1]Définition Maintenances'!$G:$G,MATCH($A102,'[1]Définition Maintenances'!$K:$K,0)),CE102,INDEX('[1]Définition Maintenances'!$G:$G,MATCH($A102,'[1]Définition Maintenances'!$K:$K,0))+CE102),CE102))</f>
        <v>833</v>
      </c>
      <c r="CG102" s="26">
        <f>IF(ISNUMBER(VLOOKUP($D102,'Visu totale'!$D:$DH,CG$1,0)),CF102-VLOOKUP($D102,'Visu totale'!$D:$DH,CG$1,0),IF(LEFT(VLOOKUP($D102,'Visu totale'!$D:$DH,CG$1,0),1)="V",IF(CF102&gt;=INDEX('[1]Définition Maintenances'!$G:$G,MATCH($A102,'[1]Définition Maintenances'!$K:$K,0)),CF102,INDEX('[1]Définition Maintenances'!$G:$G,MATCH($A102,'[1]Définition Maintenances'!$K:$K,0))+CF102),CF102))</f>
        <v>833</v>
      </c>
      <c r="CH102" s="26">
        <f>IF(ISNUMBER(VLOOKUP($D102,'Visu totale'!$D:$DH,CH$1,0)),CG102-VLOOKUP($D102,'Visu totale'!$D:$DH,CH$1,0),IF(LEFT(VLOOKUP($D102,'Visu totale'!$D:$DH,CH$1,0),1)="V",IF(CG102&gt;=INDEX('[1]Définition Maintenances'!$G:$G,MATCH($A102,'[1]Définition Maintenances'!$K:$K,0)),CG102,INDEX('[1]Définition Maintenances'!$G:$G,MATCH($A102,'[1]Définition Maintenances'!$K:$K,0))+CG102),CG102))</f>
        <v>833</v>
      </c>
      <c r="CI102" s="26">
        <f>IF(ISNUMBER(VLOOKUP($D102,'Visu totale'!$D:$DH,CI$1,0)),CH102-VLOOKUP($D102,'Visu totale'!$D:$DH,CI$1,0),IF(LEFT(VLOOKUP($D102,'Visu totale'!$D:$DH,CI$1,0),1)="V",IF(CH102&gt;=INDEX('[1]Définition Maintenances'!$G:$G,MATCH($A102,'[1]Définition Maintenances'!$K:$K,0)),CH102,INDEX('[1]Définition Maintenances'!$G:$G,MATCH($A102,'[1]Définition Maintenances'!$K:$K,0))+CH102),CH102))</f>
        <v>833</v>
      </c>
      <c r="CJ102" s="26">
        <f>IF(ISNUMBER(VLOOKUP($D102,'Visu totale'!$D:$DH,CJ$1,0)),CI102-VLOOKUP($D102,'Visu totale'!$D:$DH,CJ$1,0),IF(LEFT(VLOOKUP($D102,'Visu totale'!$D:$DH,CJ$1,0),1)="V",IF(CI102&gt;=INDEX('[1]Définition Maintenances'!$G:$G,MATCH($A102,'[1]Définition Maintenances'!$K:$K,0)),CI102,INDEX('[1]Définition Maintenances'!$G:$G,MATCH($A102,'[1]Définition Maintenances'!$K:$K,0))+CI102),CI102))</f>
        <v>833</v>
      </c>
      <c r="CK102" s="27">
        <f>IF(ISNUMBER(VLOOKUP($D102,'Visu totale'!$D:$DH,CK$1,0)),CJ102-VLOOKUP($D102,'Visu totale'!$D:$DH,CK$1,0),IF(LEFT(VLOOKUP($D102,'Visu totale'!$D:$DH,CK$1,0),1)="V",IF(CJ102&gt;=INDEX('[1]Définition Maintenances'!$G:$G,MATCH($A102,'[1]Définition Maintenances'!$K:$K,0)),CJ102,INDEX('[1]Définition Maintenances'!$G:$G,MATCH($A102,'[1]Définition Maintenances'!$K:$K,0))+CJ102),CJ102))</f>
        <v>833</v>
      </c>
      <c r="CL102" s="25">
        <f>IF(ISNUMBER(VLOOKUP($D102,'Visu totale'!$D:$DH,CL$1,0)),CK102-VLOOKUP($D102,'Visu totale'!$D:$DH,CL$1,0),IF(LEFT(VLOOKUP($D102,'Visu totale'!$D:$DH,CL$1,0),1)="V",IF(CK102&gt;=INDEX('[1]Définition Maintenances'!$G:$G,MATCH($A102,'[1]Définition Maintenances'!$K:$K,0)),CK102,INDEX('[1]Définition Maintenances'!$G:$G,MATCH($A102,'[1]Définition Maintenances'!$K:$K,0))+CK102),CK102))</f>
        <v>833</v>
      </c>
      <c r="CM102" s="26">
        <f>IF(ISNUMBER(VLOOKUP($D102,'Visu totale'!$D:$DH,CM$1,0)),CL102-VLOOKUP($D102,'Visu totale'!$D:$DH,CM$1,0),IF(LEFT(VLOOKUP($D102,'Visu totale'!$D:$DH,CM$1,0),1)="V",IF(CL102&gt;=INDEX('[1]Définition Maintenances'!$G:$G,MATCH($A102,'[1]Définition Maintenances'!$K:$K,0)),CL102,INDEX('[1]Définition Maintenances'!$G:$G,MATCH($A102,'[1]Définition Maintenances'!$K:$K,0))+CL102),CL102))</f>
        <v>833</v>
      </c>
      <c r="CN102" s="26">
        <f>IF(ISNUMBER(VLOOKUP($D102,'Visu totale'!$D:$DH,CN$1,0)),CM102-VLOOKUP($D102,'Visu totale'!$D:$DH,CN$1,0),IF(LEFT(VLOOKUP($D102,'Visu totale'!$D:$DH,CN$1,0),1)="V",IF(CM102&gt;=INDEX('[1]Définition Maintenances'!$G:$G,MATCH($A102,'[1]Définition Maintenances'!$K:$K,0)),CM102,INDEX('[1]Définition Maintenances'!$G:$G,MATCH($A102,'[1]Définition Maintenances'!$K:$K,0))+CM102),CM102))</f>
        <v>833</v>
      </c>
      <c r="CO102" s="26">
        <f>IF(ISNUMBER(VLOOKUP($D102,'Visu totale'!$D:$DH,CO$1,0)),CN102-VLOOKUP($D102,'Visu totale'!$D:$DH,CO$1,0),IF(LEFT(VLOOKUP($D102,'Visu totale'!$D:$DH,CO$1,0),1)="V",IF(CN102&gt;=INDEX('[1]Définition Maintenances'!$G:$G,MATCH($A102,'[1]Définition Maintenances'!$K:$K,0)),CN102,INDEX('[1]Définition Maintenances'!$G:$G,MATCH($A102,'[1]Définition Maintenances'!$K:$K,0))+CN102),CN102))</f>
        <v>833</v>
      </c>
      <c r="CP102" s="26">
        <f>IF(ISNUMBER(VLOOKUP($D102,'Visu totale'!$D:$DH,CP$1,0)),CO102-VLOOKUP($D102,'Visu totale'!$D:$DH,CP$1,0),IF(LEFT(VLOOKUP($D102,'Visu totale'!$D:$DH,CP$1,0),1)="V",IF(CO102&gt;=INDEX('[1]Définition Maintenances'!$G:$G,MATCH($A102,'[1]Définition Maintenances'!$K:$K,0)),CO102,INDEX('[1]Définition Maintenances'!$G:$G,MATCH($A102,'[1]Définition Maintenances'!$K:$K,0))+CO102),CO102))</f>
        <v>833</v>
      </c>
      <c r="CQ102" s="26">
        <f>IF(ISNUMBER(VLOOKUP($D102,'Visu totale'!$D:$DH,CQ$1,0)),CP102-VLOOKUP($D102,'Visu totale'!$D:$DH,CQ$1,0),IF(LEFT(VLOOKUP($D102,'Visu totale'!$D:$DH,CQ$1,0),1)="V",IF(CP102&gt;=INDEX('[1]Définition Maintenances'!$G:$G,MATCH($A102,'[1]Définition Maintenances'!$K:$K,0)),CP102,INDEX('[1]Définition Maintenances'!$G:$G,MATCH($A102,'[1]Définition Maintenances'!$K:$K,0))+CP102),CP102))</f>
        <v>833</v>
      </c>
      <c r="CR102" s="26">
        <f>IF(ISNUMBER(VLOOKUP($D102,'Visu totale'!$D:$DH,CR$1,0)),CQ102-VLOOKUP($D102,'Visu totale'!$D:$DH,CR$1,0),IF(LEFT(VLOOKUP($D102,'Visu totale'!$D:$DH,CR$1,0),1)="V",IF(CQ102&gt;=INDEX('[1]Définition Maintenances'!$G:$G,MATCH($A102,'[1]Définition Maintenances'!$K:$K,0)),CQ102,INDEX('[1]Définition Maintenances'!$G:$G,MATCH($A102,'[1]Définition Maintenances'!$K:$K,0))+CQ102),CQ102))</f>
        <v>833</v>
      </c>
      <c r="CS102" s="26">
        <f>IF(ISNUMBER(VLOOKUP($D102,'Visu totale'!$D:$DH,CS$1,0)),CR102-VLOOKUP($D102,'Visu totale'!$D:$DH,CS$1,0),IF(LEFT(VLOOKUP($D102,'Visu totale'!$D:$DH,CS$1,0),1)="V",IF(CR102&gt;=INDEX('[1]Définition Maintenances'!$G:$G,MATCH($A102,'[1]Définition Maintenances'!$K:$K,0)),CR102,INDEX('[1]Définition Maintenances'!$G:$G,MATCH($A102,'[1]Définition Maintenances'!$K:$K,0))+CR102),CR102))</f>
        <v>833</v>
      </c>
      <c r="CT102" s="26">
        <f>IF(ISNUMBER(VLOOKUP($D102,'Visu totale'!$D:$DH,CT$1,0)),CS102-VLOOKUP($D102,'Visu totale'!$D:$DH,CT$1,0),IF(LEFT(VLOOKUP($D102,'Visu totale'!$D:$DH,CT$1,0),1)="V",IF(CS102&gt;=INDEX('[1]Définition Maintenances'!$G:$G,MATCH($A102,'[1]Définition Maintenances'!$K:$K,0)),CS102,INDEX('[1]Définition Maintenances'!$G:$G,MATCH($A102,'[1]Définition Maintenances'!$K:$K,0))+CS102),CS102))</f>
        <v>833</v>
      </c>
      <c r="CU102" s="26">
        <f>IF(ISNUMBER(VLOOKUP($D102,'Visu totale'!$D:$DH,CU$1,0)),CT102-VLOOKUP($D102,'Visu totale'!$D:$DH,CU$1,0),IF(LEFT(VLOOKUP($D102,'Visu totale'!$D:$DH,CU$1,0),1)="V",IF(CT102&gt;=INDEX('[1]Définition Maintenances'!$G:$G,MATCH($A102,'[1]Définition Maintenances'!$K:$K,0)),CT102,INDEX('[1]Définition Maintenances'!$G:$G,MATCH($A102,'[1]Définition Maintenances'!$K:$K,0))+CT102),CT102))</f>
        <v>833</v>
      </c>
      <c r="CV102" s="26">
        <f>IF(ISNUMBER(VLOOKUP($D102,'Visu totale'!$D:$DH,CV$1,0)),CU102-VLOOKUP($D102,'Visu totale'!$D:$DH,CV$1,0),IF(LEFT(VLOOKUP($D102,'Visu totale'!$D:$DH,CV$1,0),1)="V",IF(CU102&gt;=INDEX('[1]Définition Maintenances'!$G:$G,MATCH($A102,'[1]Définition Maintenances'!$K:$K,0)),CU102,INDEX('[1]Définition Maintenances'!$G:$G,MATCH($A102,'[1]Définition Maintenances'!$K:$K,0))+CU102),CU102))</f>
        <v>833</v>
      </c>
      <c r="CW102" s="27">
        <f>IF(ISNUMBER(VLOOKUP($D102,'Visu totale'!$D:$DH,CW$1,0)),CV102-VLOOKUP($D102,'Visu totale'!$D:$DH,CW$1,0),IF(LEFT(VLOOKUP($D102,'Visu totale'!$D:$DH,CW$1,0),1)="V",IF(CV102&gt;=INDEX('[1]Définition Maintenances'!$G:$G,MATCH($A102,'[1]Définition Maintenances'!$K:$K,0)),CV102,INDEX('[1]Définition Maintenances'!$G:$G,MATCH($A102,'[1]Définition Maintenances'!$K:$K,0))+CV102),CV102))</f>
        <v>833</v>
      </c>
      <c r="CX102" s="25">
        <f>IF(ISNUMBER(VLOOKUP($D102,'Visu totale'!$D:$DH,CX$1,0)),CW102-VLOOKUP($D102,'Visu totale'!$D:$DH,CX$1,0),IF(LEFT(VLOOKUP($D102,'Visu totale'!$D:$DH,CX$1,0),1)="V",IF(CW102&gt;=INDEX('[1]Définition Maintenances'!$G:$G,MATCH($A102,'[1]Définition Maintenances'!$K:$K,0)),CW102,INDEX('[1]Définition Maintenances'!$G:$G,MATCH($A102,'[1]Définition Maintenances'!$K:$K,0))+CW102),CW102))</f>
        <v>833</v>
      </c>
      <c r="CY102" s="26">
        <f>IF(ISNUMBER(VLOOKUP($D102,'Visu totale'!$D:$DH,CY$1,0)),CX102-VLOOKUP($D102,'Visu totale'!$D:$DH,CY$1,0),IF(LEFT(VLOOKUP($D102,'Visu totale'!$D:$DH,CY$1,0),1)="V",IF(CX102&gt;=INDEX('[1]Définition Maintenances'!$G:$G,MATCH($A102,'[1]Définition Maintenances'!$K:$K,0)),CX102,INDEX('[1]Définition Maintenances'!$G:$G,MATCH($A102,'[1]Définition Maintenances'!$K:$K,0))+CX102),CX102))</f>
        <v>833</v>
      </c>
      <c r="CZ102" s="26">
        <f>IF(ISNUMBER(VLOOKUP($D102,'Visu totale'!$D:$DH,CZ$1,0)),CY102-VLOOKUP($D102,'Visu totale'!$D:$DH,CZ$1,0),IF(LEFT(VLOOKUP($D102,'Visu totale'!$D:$DH,CZ$1,0),1)="V",IF(CY102&gt;=INDEX('[1]Définition Maintenances'!$G:$G,MATCH($A102,'[1]Définition Maintenances'!$K:$K,0)),CY102,INDEX('[1]Définition Maintenances'!$G:$G,MATCH($A102,'[1]Définition Maintenances'!$K:$K,0))+CY102),CY102))</f>
        <v>833</v>
      </c>
      <c r="DA102" s="26">
        <f>IF(ISNUMBER(VLOOKUP($D102,'Visu totale'!$D:$DH,DA$1,0)),CZ102-VLOOKUP($D102,'Visu totale'!$D:$DH,DA$1,0),IF(LEFT(VLOOKUP($D102,'Visu totale'!$D:$DH,DA$1,0),1)="V",IF(CZ102&gt;=INDEX('[1]Définition Maintenances'!$G:$G,MATCH($A102,'[1]Définition Maintenances'!$K:$K,0)),CZ102,INDEX('[1]Définition Maintenances'!$G:$G,MATCH($A102,'[1]Définition Maintenances'!$K:$K,0))+CZ102),CZ102))</f>
        <v>833</v>
      </c>
      <c r="DB102" s="26">
        <f>IF(ISNUMBER(VLOOKUP($D102,'Visu totale'!$D:$DH,DB$1,0)),DA102-VLOOKUP($D102,'Visu totale'!$D:$DH,DB$1,0),IF(LEFT(VLOOKUP($D102,'Visu totale'!$D:$DH,DB$1,0),1)="V",IF(DA102&gt;=INDEX('[1]Définition Maintenances'!$G:$G,MATCH($A102,'[1]Définition Maintenances'!$K:$K,0)),DA102,INDEX('[1]Définition Maintenances'!$G:$G,MATCH($A102,'[1]Définition Maintenances'!$K:$K,0))+DA102),DA102))</f>
        <v>833</v>
      </c>
      <c r="DC102" s="26">
        <f>IF(ISNUMBER(VLOOKUP($D102,'Visu totale'!$D:$DH,DC$1,0)),DB102-VLOOKUP($D102,'Visu totale'!$D:$DH,DC$1,0),IF(LEFT(VLOOKUP($D102,'Visu totale'!$D:$DH,DC$1,0),1)="V",IF(DB102&gt;=INDEX('[1]Définition Maintenances'!$G:$G,MATCH($A102,'[1]Définition Maintenances'!$K:$K,0)),DB102,INDEX('[1]Définition Maintenances'!$G:$G,MATCH($A102,'[1]Définition Maintenances'!$K:$K,0))+DB102),DB102))</f>
        <v>833</v>
      </c>
      <c r="DD102" s="26">
        <f>IF(ISNUMBER(VLOOKUP($D102,'Visu totale'!$D:$DH,DD$1,0)),DC102-VLOOKUP($D102,'Visu totale'!$D:$DH,DD$1,0),IF(LEFT(VLOOKUP($D102,'Visu totale'!$D:$DH,DD$1,0),1)="V",IF(DC102&gt;=INDEX('[1]Définition Maintenances'!$G:$G,MATCH($A102,'[1]Définition Maintenances'!$K:$K,0)),DC102,INDEX('[1]Définition Maintenances'!$G:$G,MATCH($A102,'[1]Définition Maintenances'!$K:$K,0))+DC102),DC102))</f>
        <v>833</v>
      </c>
      <c r="DE102" s="26">
        <f>IF(ISNUMBER(VLOOKUP($D102,'Visu totale'!$D:$DH,DE$1,0)),DD102-VLOOKUP($D102,'Visu totale'!$D:$DH,DE$1,0),IF(LEFT(VLOOKUP($D102,'Visu totale'!$D:$DH,DE$1,0),1)="V",IF(DD102&gt;=INDEX('[1]Définition Maintenances'!$G:$G,MATCH($A102,'[1]Définition Maintenances'!$K:$K,0)),DD102,INDEX('[1]Définition Maintenances'!$G:$G,MATCH($A102,'[1]Définition Maintenances'!$K:$K,0))+DD102),DD102))</f>
        <v>833</v>
      </c>
      <c r="DF102" s="26">
        <f>IF(ISNUMBER(VLOOKUP($D102,'Visu totale'!$D:$DH,DF$1,0)),DE102-VLOOKUP($D102,'Visu totale'!$D:$DH,DF$1,0),IF(LEFT(VLOOKUP($D102,'Visu totale'!$D:$DH,DF$1,0),1)="V",IF(DE102&gt;=INDEX('[1]Définition Maintenances'!$G:$G,MATCH($A102,'[1]Définition Maintenances'!$K:$K,0)),DE102,INDEX('[1]Définition Maintenances'!$G:$G,MATCH($A102,'[1]Définition Maintenances'!$K:$K,0))+DE102),DE102))</f>
        <v>833</v>
      </c>
      <c r="DG102" s="26">
        <f>IF(ISNUMBER(VLOOKUP($D102,'Visu totale'!$D:$DH,DG$1,0)),DF102-VLOOKUP($D102,'Visu totale'!$D:$DH,DG$1,0),IF(LEFT(VLOOKUP($D102,'Visu totale'!$D:$DH,DG$1,0),1)="V",IF(DF102&gt;=INDEX('[1]Définition Maintenances'!$G:$G,MATCH($A102,'[1]Définition Maintenances'!$K:$K,0)),DF102,INDEX('[1]Définition Maintenances'!$G:$G,MATCH($A102,'[1]Définition Maintenances'!$K:$K,0))+DF102),DF102))</f>
        <v>833</v>
      </c>
      <c r="DH102" s="26">
        <f>IF(ISNUMBER(VLOOKUP($D102,'Visu totale'!$D:$DH,DH$1,0)),DG102-VLOOKUP($D102,'Visu totale'!$D:$DH,DH$1,0),IF(LEFT(VLOOKUP($D102,'Visu totale'!$D:$DH,DH$1,0),1)="V",IF(DG102&gt;=INDEX('[1]Définition Maintenances'!$G:$G,MATCH($A102,'[1]Définition Maintenances'!$K:$K,0)),DG102,INDEX('[1]Définition Maintenances'!$G:$G,MATCH($A102,'[1]Définition Maintenances'!$K:$K,0))+DG102),DG102))</f>
        <v>833</v>
      </c>
      <c r="DI102" s="27">
        <f>IF(ISNUMBER(VLOOKUP($D102,'Visu totale'!$D:$DH,DI$1,0)),DH102-VLOOKUP($D102,'Visu totale'!$D:$DH,DI$1,0),IF(LEFT(VLOOKUP($D102,'Visu totale'!$D:$DH,DI$1,0),1)="V",IF(DH102&gt;=INDEX('[1]Définition Maintenances'!$G:$G,MATCH($A102,'[1]Définition Maintenances'!$K:$K,0)),DH102,INDEX('[1]Définition Maintenances'!$G:$G,MATCH($A102,'[1]Définition Maintenances'!$K:$K,0))+DH102),DH102))</f>
        <v>833</v>
      </c>
    </row>
    <row r="103" spans="1:113" x14ac:dyDescent="0.25">
      <c r="A103" s="13" t="str">
        <f t="shared" si="3"/>
        <v>V155</v>
      </c>
      <c r="B103" s="13" t="str">
        <f>VLOOKUP(D103,'[1]Avions (Potentiels)'!$B$2:$H$128,7,FALSE)</f>
        <v>V15</v>
      </c>
      <c r="C103" s="13"/>
      <c r="D103" s="16" t="s">
        <v>106</v>
      </c>
      <c r="E103" s="13">
        <f>IFERROR(VALUE(SUBSTITUTE(VLOOKUP(D103,'[1]Avions (Potentiels)'!$B:$E,4,0),".",",")),VALUE(VLOOKUP(D103,'[1]Avions (Potentiels)'!$B:$E,4,0)))</f>
        <v>1200</v>
      </c>
      <c r="F103" s="25">
        <f>IF(ISNUMBER(VLOOKUP($D103,'Visu totale'!$D:$DH,F$1,0)),E103-VLOOKUP($D103,'Visu totale'!$D:$DH,F$1,0),IF(LEFT(VLOOKUP($D103,'Visu totale'!$D:$DH,F$1,0),1)="V",IF(E103&gt;=INDEX('[1]Définition Maintenances'!$G:$G,MATCH($A103,'[1]Définition Maintenances'!$K:$K,0)),E103,INDEX('[1]Définition Maintenances'!$G:$G,MATCH($A103,'[1]Définition Maintenances'!$K:$K,0))+E103),E103))</f>
        <v>1200</v>
      </c>
      <c r="G103" s="26">
        <f>IF(ISNUMBER(VLOOKUP($D103,'Visu totale'!$D:$DH,G$1,0)),F103-VLOOKUP($D103,'Visu totale'!$D:$DH,G$1,0),IF(LEFT(VLOOKUP($D103,'Visu totale'!$D:$DH,G$1,0),1)="V",IF(F103&gt;=INDEX('[1]Définition Maintenances'!$G:$G,MATCH($A103,'[1]Définition Maintenances'!$K:$K,0)),F103,INDEX('[1]Définition Maintenances'!$G:$G,MATCH($A103,'[1]Définition Maintenances'!$K:$K,0))+F103),F103))</f>
        <v>1200</v>
      </c>
      <c r="H103" s="26">
        <f>IF(ISNUMBER(VLOOKUP($D103,'Visu totale'!$D:$DH,H$1,0)),G103-VLOOKUP($D103,'Visu totale'!$D:$DH,H$1,0),IF(LEFT(VLOOKUP($D103,'Visu totale'!$D:$DH,H$1,0),1)="V",IF(G103&gt;=INDEX('[1]Définition Maintenances'!$G:$G,MATCH($A103,'[1]Définition Maintenances'!$K:$K,0)),G103,INDEX('[1]Définition Maintenances'!$G:$G,MATCH($A103,'[1]Définition Maintenances'!$K:$K,0))+G103),G103))</f>
        <v>1200</v>
      </c>
      <c r="I103" s="26">
        <f>IF(ISNUMBER(VLOOKUP($D103,'Visu totale'!$D:$DH,I$1,0)),H103-VLOOKUP($D103,'Visu totale'!$D:$DH,I$1,0),IF(LEFT(VLOOKUP($D103,'Visu totale'!$D:$DH,I$1,0),1)="V",IF(H103&gt;=INDEX('[1]Définition Maintenances'!$G:$G,MATCH($A103,'[1]Définition Maintenances'!$K:$K,0)),H103,INDEX('[1]Définition Maintenances'!$G:$G,MATCH($A103,'[1]Définition Maintenances'!$K:$K,0))+H103),H103))</f>
        <v>1200</v>
      </c>
      <c r="J103" s="26">
        <f>IF(ISNUMBER(VLOOKUP($D103,'Visu totale'!$D:$DH,J$1,0)),I103-VLOOKUP($D103,'Visu totale'!$D:$DH,J$1,0),IF(LEFT(VLOOKUP($D103,'Visu totale'!$D:$DH,J$1,0),1)="V",IF(I103&gt;=INDEX('[1]Définition Maintenances'!$G:$G,MATCH($A103,'[1]Définition Maintenances'!$K:$K,0)),I103,INDEX('[1]Définition Maintenances'!$G:$G,MATCH($A103,'[1]Définition Maintenances'!$K:$K,0))+I103),I103))</f>
        <v>1200</v>
      </c>
      <c r="K103" s="26">
        <f>IF(ISNUMBER(VLOOKUP($D103,'Visu totale'!$D:$DH,K$1,0)),J103-VLOOKUP($D103,'Visu totale'!$D:$DH,K$1,0),IF(LEFT(VLOOKUP($D103,'Visu totale'!$D:$DH,K$1,0),1)="V",IF(J103&gt;=INDEX('[1]Définition Maintenances'!$G:$G,MATCH($A103,'[1]Définition Maintenances'!$K:$K,0)),J103,INDEX('[1]Définition Maintenances'!$G:$G,MATCH($A103,'[1]Définition Maintenances'!$K:$K,0))+J103),J103))</f>
        <v>1200</v>
      </c>
      <c r="L103" s="26">
        <f>IF(ISNUMBER(VLOOKUP($D103,'Visu totale'!$D:$DH,L$1,0)),K103-VLOOKUP($D103,'Visu totale'!$D:$DH,L$1,0),IF(LEFT(VLOOKUP($D103,'Visu totale'!$D:$DH,L$1,0),1)="V",IF(K103&gt;=INDEX('[1]Définition Maintenances'!$G:$G,MATCH($A103,'[1]Définition Maintenances'!$K:$K,0)),K103,INDEX('[1]Définition Maintenances'!$G:$G,MATCH($A103,'[1]Définition Maintenances'!$K:$K,0))+K103),K103))</f>
        <v>1200</v>
      </c>
      <c r="M103" s="26">
        <f>IF(ISNUMBER(VLOOKUP($D103,'Visu totale'!$D:$DH,M$1,0)),L103-VLOOKUP($D103,'Visu totale'!$D:$DH,M$1,0),IF(LEFT(VLOOKUP($D103,'Visu totale'!$D:$DH,M$1,0),1)="V",IF(L103&gt;=INDEX('[1]Définition Maintenances'!$G:$G,MATCH($A103,'[1]Définition Maintenances'!$K:$K,0)),L103,INDEX('[1]Définition Maintenances'!$G:$G,MATCH($A103,'[1]Définition Maintenances'!$K:$K,0))+L103),L103))</f>
        <v>1200</v>
      </c>
      <c r="N103" s="26">
        <f>IF(ISNUMBER(VLOOKUP($D103,'Visu totale'!$D:$DH,N$1,0)),M103-VLOOKUP($D103,'Visu totale'!$D:$DH,N$1,0),IF(LEFT(VLOOKUP($D103,'Visu totale'!$D:$DH,N$1,0),1)="V",IF(M103&gt;=INDEX('[1]Définition Maintenances'!$G:$G,MATCH($A103,'[1]Définition Maintenances'!$K:$K,0)),M103,INDEX('[1]Définition Maintenances'!$G:$G,MATCH($A103,'[1]Définition Maintenances'!$K:$K,0))+M103),M103))</f>
        <v>1200</v>
      </c>
      <c r="O103" s="26">
        <f>IF(ISNUMBER(VLOOKUP($D103,'Visu totale'!$D:$DH,O$1,0)),N103-VLOOKUP($D103,'Visu totale'!$D:$DH,O$1,0),IF(LEFT(VLOOKUP($D103,'Visu totale'!$D:$DH,O$1,0),1)="V",IF(N103&gt;=INDEX('[1]Définition Maintenances'!$G:$G,MATCH($A103,'[1]Définition Maintenances'!$K:$K,0)),N103,INDEX('[1]Définition Maintenances'!$G:$G,MATCH($A103,'[1]Définition Maintenances'!$K:$K,0))+N103),N103))</f>
        <v>1200</v>
      </c>
      <c r="P103" s="26">
        <f>IF(ISNUMBER(VLOOKUP($D103,'Visu totale'!$D:$DH,P$1,0)),O103-VLOOKUP($D103,'Visu totale'!$D:$DH,P$1,0),IF(LEFT(VLOOKUP($D103,'Visu totale'!$D:$DH,P$1,0),1)="V",IF(O103&gt;=INDEX('[1]Définition Maintenances'!$G:$G,MATCH($A103,'[1]Définition Maintenances'!$K:$K,0)),O103,INDEX('[1]Définition Maintenances'!$G:$G,MATCH($A103,'[1]Définition Maintenances'!$K:$K,0))+O103),O103))</f>
        <v>1200</v>
      </c>
      <c r="Q103" s="27">
        <f>IF(ISNUMBER(VLOOKUP($D103,'Visu totale'!$D:$DH,Q$1,0)),P103-VLOOKUP($D103,'Visu totale'!$D:$DH,Q$1,0),IF(LEFT(VLOOKUP($D103,'Visu totale'!$D:$DH,Q$1,0),1)="V",IF(P103&gt;=INDEX('[1]Définition Maintenances'!$G:$G,MATCH($A103,'[1]Définition Maintenances'!$K:$K,0)),P103,INDEX('[1]Définition Maintenances'!$G:$G,MATCH($A103,'[1]Définition Maintenances'!$K:$K,0))+P103),P103))</f>
        <v>1200</v>
      </c>
      <c r="R103" s="25">
        <f>IF(ISNUMBER(VLOOKUP($D103,'Visu totale'!$D:$DH,R$1,0)),Q103-VLOOKUP($D103,'Visu totale'!$D:$DH,R$1,0),IF(LEFT(VLOOKUP($D103,'Visu totale'!$D:$DH,R$1,0),1)="V",IF(Q103&gt;=INDEX('[1]Définition Maintenances'!$G:$G,MATCH($A103,'[1]Définition Maintenances'!$K:$K,0)),Q103,INDEX('[1]Définition Maintenances'!$G:$G,MATCH($A103,'[1]Définition Maintenances'!$K:$K,0))+Q103),Q103))</f>
        <v>1200</v>
      </c>
      <c r="S103" s="26">
        <f>IF(ISNUMBER(VLOOKUP($D103,'Visu totale'!$D:$DH,S$1,0)),R103-VLOOKUP($D103,'Visu totale'!$D:$DH,S$1,0),IF(LEFT(VLOOKUP($D103,'Visu totale'!$D:$DH,S$1,0),1)="V",IF(R103&gt;=INDEX('[1]Définition Maintenances'!$G:$G,MATCH($A103,'[1]Définition Maintenances'!$K:$K,0)),R103,INDEX('[1]Définition Maintenances'!$G:$G,MATCH($A103,'[1]Définition Maintenances'!$K:$K,0))+R103),R103))</f>
        <v>1200</v>
      </c>
      <c r="T103" s="26">
        <f>IF(ISNUMBER(VLOOKUP($D103,'Visu totale'!$D:$DH,T$1,0)),S103-VLOOKUP($D103,'Visu totale'!$D:$DH,T$1,0),IF(LEFT(VLOOKUP($D103,'Visu totale'!$D:$DH,T$1,0),1)="V",IF(S103&gt;=INDEX('[1]Définition Maintenances'!$G:$G,MATCH($A103,'[1]Définition Maintenances'!$K:$K,0)),S103,INDEX('[1]Définition Maintenances'!$G:$G,MATCH($A103,'[1]Définition Maintenances'!$K:$K,0))+S103),S103))</f>
        <v>1200</v>
      </c>
      <c r="U103" s="26">
        <f>IF(ISNUMBER(VLOOKUP($D103,'Visu totale'!$D:$DH,U$1,0)),T103-VLOOKUP($D103,'Visu totale'!$D:$DH,U$1,0),IF(LEFT(VLOOKUP($D103,'Visu totale'!$D:$DH,U$1,0),1)="V",IF(T103&gt;=INDEX('[1]Définition Maintenances'!$G:$G,MATCH($A103,'[1]Définition Maintenances'!$K:$K,0)),T103,INDEX('[1]Définition Maintenances'!$G:$G,MATCH($A103,'[1]Définition Maintenances'!$K:$K,0))+T103),T103))</f>
        <v>1200</v>
      </c>
      <c r="V103" s="26">
        <f>IF(ISNUMBER(VLOOKUP($D103,'Visu totale'!$D:$DH,V$1,0)),U103-VLOOKUP($D103,'Visu totale'!$D:$DH,V$1,0),IF(LEFT(VLOOKUP($D103,'Visu totale'!$D:$DH,V$1,0),1)="V",IF(U103&gt;=INDEX('[1]Définition Maintenances'!$G:$G,MATCH($A103,'[1]Définition Maintenances'!$K:$K,0)),U103,INDEX('[1]Définition Maintenances'!$G:$G,MATCH($A103,'[1]Définition Maintenances'!$K:$K,0))+U103),U103))</f>
        <v>1200</v>
      </c>
      <c r="W103" s="26">
        <f>IF(ISNUMBER(VLOOKUP($D103,'Visu totale'!$D:$DH,W$1,0)),V103-VLOOKUP($D103,'Visu totale'!$D:$DH,W$1,0),IF(LEFT(VLOOKUP($D103,'Visu totale'!$D:$DH,W$1,0),1)="V",IF(V103&gt;=INDEX('[1]Définition Maintenances'!$G:$G,MATCH($A103,'[1]Définition Maintenances'!$K:$K,0)),V103,INDEX('[1]Définition Maintenances'!$G:$G,MATCH($A103,'[1]Définition Maintenances'!$K:$K,0))+V103),V103))</f>
        <v>1200</v>
      </c>
      <c r="X103" s="26">
        <f>IF(ISNUMBER(VLOOKUP($D103,'Visu totale'!$D:$DH,X$1,0)),W103-VLOOKUP($D103,'Visu totale'!$D:$DH,X$1,0),IF(LEFT(VLOOKUP($D103,'Visu totale'!$D:$DH,X$1,0),1)="V",IF(W103&gt;=INDEX('[1]Définition Maintenances'!$G:$G,MATCH($A103,'[1]Définition Maintenances'!$K:$K,0)),W103,INDEX('[1]Définition Maintenances'!$G:$G,MATCH($A103,'[1]Définition Maintenances'!$K:$K,0))+W103),W103))</f>
        <v>1200</v>
      </c>
      <c r="Y103" s="26">
        <f>IF(ISNUMBER(VLOOKUP($D103,'Visu totale'!$D:$DH,Y$1,0)),X103-VLOOKUP($D103,'Visu totale'!$D:$DH,Y$1,0),IF(LEFT(VLOOKUP($D103,'Visu totale'!$D:$DH,Y$1,0),1)="V",IF(X103&gt;=INDEX('[1]Définition Maintenances'!$G:$G,MATCH($A103,'[1]Définition Maintenances'!$K:$K,0)),X103,INDEX('[1]Définition Maintenances'!$G:$G,MATCH($A103,'[1]Définition Maintenances'!$K:$K,0))+X103),X103))</f>
        <v>1200</v>
      </c>
      <c r="Z103" s="26">
        <f>IF(ISNUMBER(VLOOKUP($D103,'Visu totale'!$D:$DH,Z$1,0)),Y103-VLOOKUP($D103,'Visu totale'!$D:$DH,Z$1,0),IF(LEFT(VLOOKUP($D103,'Visu totale'!$D:$DH,Z$1,0),1)="V",IF(Y103&gt;=INDEX('[1]Définition Maintenances'!$G:$G,MATCH($A103,'[1]Définition Maintenances'!$K:$K,0)),Y103,INDEX('[1]Définition Maintenances'!$G:$G,MATCH($A103,'[1]Définition Maintenances'!$K:$K,0))+Y103),Y103))</f>
        <v>1200</v>
      </c>
      <c r="AA103" s="26">
        <f>IF(ISNUMBER(VLOOKUP($D103,'Visu totale'!$D:$DH,AA$1,0)),Z103-VLOOKUP($D103,'Visu totale'!$D:$DH,AA$1,0),IF(LEFT(VLOOKUP($D103,'Visu totale'!$D:$DH,AA$1,0),1)="V",IF(Z103&gt;=INDEX('[1]Définition Maintenances'!$G:$G,MATCH($A103,'[1]Définition Maintenances'!$K:$K,0)),Z103,INDEX('[1]Définition Maintenances'!$G:$G,MATCH($A103,'[1]Définition Maintenances'!$K:$K,0))+Z103),Z103))</f>
        <v>1200</v>
      </c>
      <c r="AB103" s="26">
        <f>IF(ISNUMBER(VLOOKUP($D103,'Visu totale'!$D:$DH,AB$1,0)),AA103-VLOOKUP($D103,'Visu totale'!$D:$DH,AB$1,0),IF(LEFT(VLOOKUP($D103,'Visu totale'!$D:$DH,AB$1,0),1)="V",IF(AA103&gt;=INDEX('[1]Définition Maintenances'!$G:$G,MATCH($A103,'[1]Définition Maintenances'!$K:$K,0)),AA103,INDEX('[1]Définition Maintenances'!$G:$G,MATCH($A103,'[1]Définition Maintenances'!$K:$K,0))+AA103),AA103))</f>
        <v>1200</v>
      </c>
      <c r="AC103" s="27">
        <f>IF(ISNUMBER(VLOOKUP($D103,'Visu totale'!$D:$DH,AC$1,0)),AB103-VLOOKUP($D103,'Visu totale'!$D:$DH,AC$1,0),IF(LEFT(VLOOKUP($D103,'Visu totale'!$D:$DH,AC$1,0),1)="V",IF(AB103&gt;=INDEX('[1]Définition Maintenances'!$G:$G,MATCH($A103,'[1]Définition Maintenances'!$K:$K,0)),AB103,INDEX('[1]Définition Maintenances'!$G:$G,MATCH($A103,'[1]Définition Maintenances'!$K:$K,0))+AB103),AB103))</f>
        <v>1200</v>
      </c>
      <c r="AD103" s="25">
        <f>IF(ISNUMBER(VLOOKUP($D103,'Visu totale'!$D:$DH,AD$1,0)),AC103-VLOOKUP($D103,'Visu totale'!$D:$DH,AD$1,0),IF(LEFT(VLOOKUP($D103,'Visu totale'!$D:$DH,AD$1,0),1)="V",IF(AC103&gt;=INDEX('[1]Définition Maintenances'!$G:$G,MATCH($A103,'[1]Définition Maintenances'!$K:$K,0)),AC103,INDEX('[1]Définition Maintenances'!$G:$G,MATCH($A103,'[1]Définition Maintenances'!$K:$K,0))+AC103),AC103))</f>
        <v>1200</v>
      </c>
      <c r="AE103" s="26">
        <f>IF(ISNUMBER(VLOOKUP($D103,'Visu totale'!$D:$DH,AE$1,0)),AD103-VLOOKUP($D103,'Visu totale'!$D:$DH,AE$1,0),IF(LEFT(VLOOKUP($D103,'Visu totale'!$D:$DH,AE$1,0),1)="V",IF(AD103&gt;=INDEX('[1]Définition Maintenances'!$G:$G,MATCH($A103,'[1]Définition Maintenances'!$K:$K,0)),AD103,INDEX('[1]Définition Maintenances'!$G:$G,MATCH($A103,'[1]Définition Maintenances'!$K:$K,0))+AD103),AD103))</f>
        <v>1200</v>
      </c>
      <c r="AF103" s="26">
        <f>IF(ISNUMBER(VLOOKUP($D103,'Visu totale'!$D:$DH,AF$1,0)),AE103-VLOOKUP($D103,'Visu totale'!$D:$DH,AF$1,0),IF(LEFT(VLOOKUP($D103,'Visu totale'!$D:$DH,AF$1,0),1)="V",IF(AE103&gt;=INDEX('[1]Définition Maintenances'!$G:$G,MATCH($A103,'[1]Définition Maintenances'!$K:$K,0)),AE103,INDEX('[1]Définition Maintenances'!$G:$G,MATCH($A103,'[1]Définition Maintenances'!$K:$K,0))+AE103),AE103))</f>
        <v>1200</v>
      </c>
      <c r="AG103" s="26">
        <f>IF(ISNUMBER(VLOOKUP($D103,'Visu totale'!$D:$DH,AG$1,0)),AF103-VLOOKUP($D103,'Visu totale'!$D:$DH,AG$1,0),IF(LEFT(VLOOKUP($D103,'Visu totale'!$D:$DH,AG$1,0),1)="V",IF(AF103&gt;=INDEX('[1]Définition Maintenances'!$G:$G,MATCH($A103,'[1]Définition Maintenances'!$K:$K,0)),AF103,INDEX('[1]Définition Maintenances'!$G:$G,MATCH($A103,'[1]Définition Maintenances'!$K:$K,0))+AF103),AF103))</f>
        <v>1200</v>
      </c>
      <c r="AH103" s="26">
        <f>IF(ISNUMBER(VLOOKUP($D103,'Visu totale'!$D:$DH,AH$1,0)),AG103-VLOOKUP($D103,'Visu totale'!$D:$DH,AH$1,0),IF(LEFT(VLOOKUP($D103,'Visu totale'!$D:$DH,AH$1,0),1)="V",IF(AG103&gt;=INDEX('[1]Définition Maintenances'!$G:$G,MATCH($A103,'[1]Définition Maintenances'!$K:$K,0)),AG103,INDEX('[1]Définition Maintenances'!$G:$G,MATCH($A103,'[1]Définition Maintenances'!$K:$K,0))+AG103),AG103))</f>
        <v>1200</v>
      </c>
      <c r="AI103" s="26">
        <f>IF(ISNUMBER(VLOOKUP($D103,'Visu totale'!$D:$DH,AI$1,0)),AH103-VLOOKUP($D103,'Visu totale'!$D:$DH,AI$1,0),IF(LEFT(VLOOKUP($D103,'Visu totale'!$D:$DH,AI$1,0),1)="V",IF(AH103&gt;=INDEX('[1]Définition Maintenances'!$G:$G,MATCH($A103,'[1]Définition Maintenances'!$K:$K,0)),AH103,INDEX('[1]Définition Maintenances'!$G:$G,MATCH($A103,'[1]Définition Maintenances'!$K:$K,0))+AH103),AH103))</f>
        <v>1200</v>
      </c>
      <c r="AJ103" s="26">
        <f>IF(ISNUMBER(VLOOKUP($D103,'Visu totale'!$D:$DH,AJ$1,0)),AI103-VLOOKUP($D103,'Visu totale'!$D:$DH,AJ$1,0),IF(LEFT(VLOOKUP($D103,'Visu totale'!$D:$DH,AJ$1,0),1)="V",IF(AI103&gt;=INDEX('[1]Définition Maintenances'!$G:$G,MATCH($A103,'[1]Définition Maintenances'!$K:$K,0)),AI103,INDEX('[1]Définition Maintenances'!$G:$G,MATCH($A103,'[1]Définition Maintenances'!$K:$K,0))+AI103),AI103))</f>
        <v>1200</v>
      </c>
      <c r="AK103" s="26">
        <f>IF(ISNUMBER(VLOOKUP($D103,'Visu totale'!$D:$DH,AK$1,0)),AJ103-VLOOKUP($D103,'Visu totale'!$D:$DH,AK$1,0),IF(LEFT(VLOOKUP($D103,'Visu totale'!$D:$DH,AK$1,0),1)="V",IF(AJ103&gt;=INDEX('[1]Définition Maintenances'!$G:$G,MATCH($A103,'[1]Définition Maintenances'!$K:$K,0)),AJ103,INDEX('[1]Définition Maintenances'!$G:$G,MATCH($A103,'[1]Définition Maintenances'!$K:$K,0))+AJ103),AJ103))</f>
        <v>1200</v>
      </c>
      <c r="AL103" s="26">
        <f>IF(ISNUMBER(VLOOKUP($D103,'Visu totale'!$D:$DH,AL$1,0)),AK103-VLOOKUP($D103,'Visu totale'!$D:$DH,AL$1,0),IF(LEFT(VLOOKUP($D103,'Visu totale'!$D:$DH,AL$1,0),1)="V",IF(AK103&gt;=INDEX('[1]Définition Maintenances'!$G:$G,MATCH($A103,'[1]Définition Maintenances'!$K:$K,0)),AK103,INDEX('[1]Définition Maintenances'!$G:$G,MATCH($A103,'[1]Définition Maintenances'!$K:$K,0))+AK103),AK103))</f>
        <v>1200</v>
      </c>
      <c r="AM103" s="26">
        <f>IF(ISNUMBER(VLOOKUP($D103,'Visu totale'!$D:$DH,AM$1,0)),AL103-VLOOKUP($D103,'Visu totale'!$D:$DH,AM$1,0),IF(LEFT(VLOOKUP($D103,'Visu totale'!$D:$DH,AM$1,0),1)="V",IF(AL103&gt;=INDEX('[1]Définition Maintenances'!$G:$G,MATCH($A103,'[1]Définition Maintenances'!$K:$K,0)),AL103,INDEX('[1]Définition Maintenances'!$G:$G,MATCH($A103,'[1]Définition Maintenances'!$K:$K,0))+AL103),AL103))</f>
        <v>1200</v>
      </c>
      <c r="AN103" s="26">
        <f>IF(ISNUMBER(VLOOKUP($D103,'Visu totale'!$D:$DH,AN$1,0)),AM103-VLOOKUP($D103,'Visu totale'!$D:$DH,AN$1,0),IF(LEFT(VLOOKUP($D103,'Visu totale'!$D:$DH,AN$1,0),1)="V",IF(AM103&gt;=INDEX('[1]Définition Maintenances'!$G:$G,MATCH($A103,'[1]Définition Maintenances'!$K:$K,0)),AM103,INDEX('[1]Définition Maintenances'!$G:$G,MATCH($A103,'[1]Définition Maintenances'!$K:$K,0))+AM103),AM103))</f>
        <v>1200</v>
      </c>
      <c r="AO103" s="27">
        <f>IF(ISNUMBER(VLOOKUP($D103,'Visu totale'!$D:$DH,AO$1,0)),AN103-VLOOKUP($D103,'Visu totale'!$D:$DH,AO$1,0),IF(LEFT(VLOOKUP($D103,'Visu totale'!$D:$DH,AO$1,0),1)="V",IF(AN103&gt;=INDEX('[1]Définition Maintenances'!$G:$G,MATCH($A103,'[1]Définition Maintenances'!$K:$K,0)),AN103,INDEX('[1]Définition Maintenances'!$G:$G,MATCH($A103,'[1]Définition Maintenances'!$K:$K,0))+AN103),AN103))</f>
        <v>1200</v>
      </c>
      <c r="AP103" s="25">
        <f>IF(ISNUMBER(VLOOKUP($D103,'Visu totale'!$D:$DH,AP$1,0)),AO103-VLOOKUP($D103,'Visu totale'!$D:$DH,AP$1,0),IF(LEFT(VLOOKUP($D103,'Visu totale'!$D:$DH,AP$1,0),1)="V",IF(AO103&gt;=INDEX('[1]Définition Maintenances'!$G:$G,MATCH($A103,'[1]Définition Maintenances'!$K:$K,0)),AO103,INDEX('[1]Définition Maintenances'!$G:$G,MATCH($A103,'[1]Définition Maintenances'!$K:$K,0))+AO103),AO103))</f>
        <v>1200</v>
      </c>
      <c r="AQ103" s="26">
        <f>IF(ISNUMBER(VLOOKUP($D103,'Visu totale'!$D:$DH,AQ$1,0)),AP103-VLOOKUP($D103,'Visu totale'!$D:$DH,AQ$1,0),IF(LEFT(VLOOKUP($D103,'Visu totale'!$D:$DH,AQ$1,0),1)="V",IF(AP103&gt;=INDEX('[1]Définition Maintenances'!$G:$G,MATCH($A103,'[1]Définition Maintenances'!$K:$K,0)),AP103,INDEX('[1]Définition Maintenances'!$G:$G,MATCH($A103,'[1]Définition Maintenances'!$K:$K,0))+AP103),AP103))</f>
        <v>1200</v>
      </c>
      <c r="AR103" s="26">
        <f>IF(ISNUMBER(VLOOKUP($D103,'Visu totale'!$D:$DH,AR$1,0)),AQ103-VLOOKUP($D103,'Visu totale'!$D:$DH,AR$1,0),IF(LEFT(VLOOKUP($D103,'Visu totale'!$D:$DH,AR$1,0),1)="V",IF(AQ103&gt;=INDEX('[1]Définition Maintenances'!$G:$G,MATCH($A103,'[1]Définition Maintenances'!$K:$K,0)),AQ103,INDEX('[1]Définition Maintenances'!$G:$G,MATCH($A103,'[1]Définition Maintenances'!$K:$K,0))+AQ103),AQ103))</f>
        <v>1200</v>
      </c>
      <c r="AS103" s="26">
        <f>IF(ISNUMBER(VLOOKUP($D103,'Visu totale'!$D:$DH,AS$1,0)),AR103-VLOOKUP($D103,'Visu totale'!$D:$DH,AS$1,0),IF(LEFT(VLOOKUP($D103,'Visu totale'!$D:$DH,AS$1,0),1)="V",IF(AR103&gt;=INDEX('[1]Définition Maintenances'!$G:$G,MATCH($A103,'[1]Définition Maintenances'!$K:$K,0)),AR103,INDEX('[1]Définition Maintenances'!$G:$G,MATCH($A103,'[1]Définition Maintenances'!$K:$K,0))+AR103),AR103))</f>
        <v>1200</v>
      </c>
      <c r="AT103" s="26">
        <f>IF(ISNUMBER(VLOOKUP($D103,'Visu totale'!$D:$DH,AT$1,0)),AS103-VLOOKUP($D103,'Visu totale'!$D:$DH,AT$1,0),IF(LEFT(VLOOKUP($D103,'Visu totale'!$D:$DH,AT$1,0),1)="V",IF(AS103&gt;=INDEX('[1]Définition Maintenances'!$G:$G,MATCH($A103,'[1]Définition Maintenances'!$K:$K,0)),AS103,INDEX('[1]Définition Maintenances'!$G:$G,MATCH($A103,'[1]Définition Maintenances'!$K:$K,0))+AS103),AS103))</f>
        <v>1200</v>
      </c>
      <c r="AU103" s="26">
        <f>IF(ISNUMBER(VLOOKUP($D103,'Visu totale'!$D:$DH,AU$1,0)),AT103-VLOOKUP($D103,'Visu totale'!$D:$DH,AU$1,0),IF(LEFT(VLOOKUP($D103,'Visu totale'!$D:$DH,AU$1,0),1)="V",IF(AT103&gt;=INDEX('[1]Définition Maintenances'!$G:$G,MATCH($A103,'[1]Définition Maintenances'!$K:$K,0)),AT103,INDEX('[1]Définition Maintenances'!$G:$G,MATCH($A103,'[1]Définition Maintenances'!$K:$K,0))+AT103),AT103))</f>
        <v>1200</v>
      </c>
      <c r="AV103" s="26">
        <f>IF(ISNUMBER(VLOOKUP($D103,'Visu totale'!$D:$DH,AV$1,0)),AU103-VLOOKUP($D103,'Visu totale'!$D:$DH,AV$1,0),IF(LEFT(VLOOKUP($D103,'Visu totale'!$D:$DH,AV$1,0),1)="V",IF(AU103&gt;=INDEX('[1]Définition Maintenances'!$G:$G,MATCH($A103,'[1]Définition Maintenances'!$K:$K,0)),AU103,INDEX('[1]Définition Maintenances'!$G:$G,MATCH($A103,'[1]Définition Maintenances'!$K:$K,0))+AU103),AU103))</f>
        <v>1200</v>
      </c>
      <c r="AW103" s="26">
        <f>IF(ISNUMBER(VLOOKUP($D103,'Visu totale'!$D:$DH,AW$1,0)),AV103-VLOOKUP($D103,'Visu totale'!$D:$DH,AW$1,0),IF(LEFT(VLOOKUP($D103,'Visu totale'!$D:$DH,AW$1,0),1)="V",IF(AV103&gt;=INDEX('[1]Définition Maintenances'!$G:$G,MATCH($A103,'[1]Définition Maintenances'!$K:$K,0)),AV103,INDEX('[1]Définition Maintenances'!$G:$G,MATCH($A103,'[1]Définition Maintenances'!$K:$K,0))+AV103),AV103))</f>
        <v>1200</v>
      </c>
      <c r="AX103" s="26">
        <f>IF(ISNUMBER(VLOOKUP($D103,'Visu totale'!$D:$DH,AX$1,0)),AW103-VLOOKUP($D103,'Visu totale'!$D:$DH,AX$1,0),IF(LEFT(VLOOKUP($D103,'Visu totale'!$D:$DH,AX$1,0),1)="V",IF(AW103&gt;=INDEX('[1]Définition Maintenances'!$G:$G,MATCH($A103,'[1]Définition Maintenances'!$K:$K,0)),AW103,INDEX('[1]Définition Maintenances'!$G:$G,MATCH($A103,'[1]Définition Maintenances'!$K:$K,0))+AW103),AW103))</f>
        <v>1200</v>
      </c>
      <c r="AY103" s="26">
        <f>IF(ISNUMBER(VLOOKUP($D103,'Visu totale'!$D:$DH,AY$1,0)),AX103-VLOOKUP($D103,'Visu totale'!$D:$DH,AY$1,0),IF(LEFT(VLOOKUP($D103,'Visu totale'!$D:$DH,AY$1,0),1)="V",IF(AX103&gt;=INDEX('[1]Définition Maintenances'!$G:$G,MATCH($A103,'[1]Définition Maintenances'!$K:$K,0)),AX103,INDEX('[1]Définition Maintenances'!$G:$G,MATCH($A103,'[1]Définition Maintenances'!$K:$K,0))+AX103),AX103))</f>
        <v>1200</v>
      </c>
      <c r="AZ103" s="26">
        <f>IF(ISNUMBER(VLOOKUP($D103,'Visu totale'!$D:$DH,AZ$1,0)),AY103-VLOOKUP($D103,'Visu totale'!$D:$DH,AZ$1,0),IF(LEFT(VLOOKUP($D103,'Visu totale'!$D:$DH,AZ$1,0),1)="V",IF(AY103&gt;=INDEX('[1]Définition Maintenances'!$G:$G,MATCH($A103,'[1]Définition Maintenances'!$K:$K,0)),AY103,INDEX('[1]Définition Maintenances'!$G:$G,MATCH($A103,'[1]Définition Maintenances'!$K:$K,0))+AY103),AY103))</f>
        <v>1200</v>
      </c>
      <c r="BA103" s="27">
        <f>IF(ISNUMBER(VLOOKUP($D103,'Visu totale'!$D:$DH,BA$1,0)),AZ103-VLOOKUP($D103,'Visu totale'!$D:$DH,BA$1,0),IF(LEFT(VLOOKUP($D103,'Visu totale'!$D:$DH,BA$1,0),1)="V",IF(AZ103&gt;=INDEX('[1]Définition Maintenances'!$G:$G,MATCH($A103,'[1]Définition Maintenances'!$K:$K,0)),AZ103,INDEX('[1]Définition Maintenances'!$G:$G,MATCH($A103,'[1]Définition Maintenances'!$K:$K,0))+AZ103),AZ103))</f>
        <v>1200</v>
      </c>
      <c r="BB103" s="25">
        <f>IF(ISNUMBER(VLOOKUP($D103,'Visu totale'!$D:$DH,BB$1,0)),BA103-VLOOKUP($D103,'Visu totale'!$D:$DH,BB$1,0),IF(LEFT(VLOOKUP($D103,'Visu totale'!$D:$DH,BB$1,0),1)="V",IF(BA103&gt;=INDEX('[1]Définition Maintenances'!$G:$G,MATCH($A103,'[1]Définition Maintenances'!$K:$K,0)),BA103,INDEX('[1]Définition Maintenances'!$G:$G,MATCH($A103,'[1]Définition Maintenances'!$K:$K,0))+BA103),BA103))</f>
        <v>1200</v>
      </c>
      <c r="BC103" s="26">
        <f>IF(ISNUMBER(VLOOKUP($D103,'Visu totale'!$D:$DH,BC$1,0)),BB103-VLOOKUP($D103,'Visu totale'!$D:$DH,BC$1,0),IF(LEFT(VLOOKUP($D103,'Visu totale'!$D:$DH,BC$1,0),1)="V",IF(BB103&gt;=INDEX('[1]Définition Maintenances'!$G:$G,MATCH($A103,'[1]Définition Maintenances'!$K:$K,0)),BB103,INDEX('[1]Définition Maintenances'!$G:$G,MATCH($A103,'[1]Définition Maintenances'!$K:$K,0))+BB103),BB103))</f>
        <v>1200</v>
      </c>
      <c r="BD103" s="26">
        <f>IF(ISNUMBER(VLOOKUP($D103,'Visu totale'!$D:$DH,BD$1,0)),BC103-VLOOKUP($D103,'Visu totale'!$D:$DH,BD$1,0),IF(LEFT(VLOOKUP($D103,'Visu totale'!$D:$DH,BD$1,0),1)="V",IF(BC103&gt;=INDEX('[1]Définition Maintenances'!$G:$G,MATCH($A103,'[1]Définition Maintenances'!$K:$K,0)),BC103,INDEX('[1]Définition Maintenances'!$G:$G,MATCH($A103,'[1]Définition Maintenances'!$K:$K,0))+BC103),BC103))</f>
        <v>1200</v>
      </c>
      <c r="BE103" s="26">
        <f>IF(ISNUMBER(VLOOKUP($D103,'Visu totale'!$D:$DH,BE$1,0)),BD103-VLOOKUP($D103,'Visu totale'!$D:$DH,BE$1,0),IF(LEFT(VLOOKUP($D103,'Visu totale'!$D:$DH,BE$1,0),1)="V",IF(BD103&gt;=INDEX('[1]Définition Maintenances'!$G:$G,MATCH($A103,'[1]Définition Maintenances'!$K:$K,0)),BD103,INDEX('[1]Définition Maintenances'!$G:$G,MATCH($A103,'[1]Définition Maintenances'!$K:$K,0))+BD103),BD103))</f>
        <v>1200</v>
      </c>
      <c r="BF103" s="26">
        <f>IF(ISNUMBER(VLOOKUP($D103,'Visu totale'!$D:$DH,BF$1,0)),BE103-VLOOKUP($D103,'Visu totale'!$D:$DH,BF$1,0),IF(LEFT(VLOOKUP($D103,'Visu totale'!$D:$DH,BF$1,0),1)="V",IF(BE103&gt;=INDEX('[1]Définition Maintenances'!$G:$G,MATCH($A103,'[1]Définition Maintenances'!$K:$K,0)),BE103,INDEX('[1]Définition Maintenances'!$G:$G,MATCH($A103,'[1]Définition Maintenances'!$K:$K,0))+BE103),BE103))</f>
        <v>1200</v>
      </c>
      <c r="BG103" s="26">
        <f>IF(ISNUMBER(VLOOKUP($D103,'Visu totale'!$D:$DH,BG$1,0)),BF103-VLOOKUP($D103,'Visu totale'!$D:$DH,BG$1,0),IF(LEFT(VLOOKUP($D103,'Visu totale'!$D:$DH,BG$1,0),1)="V",IF(BF103&gt;=INDEX('[1]Définition Maintenances'!$G:$G,MATCH($A103,'[1]Définition Maintenances'!$K:$K,0)),BF103,INDEX('[1]Définition Maintenances'!$G:$G,MATCH($A103,'[1]Définition Maintenances'!$K:$K,0))+BF103),BF103))</f>
        <v>1200</v>
      </c>
      <c r="BH103" s="26">
        <f>IF(ISNUMBER(VLOOKUP($D103,'Visu totale'!$D:$DH,BH$1,0)),BG103-VLOOKUP($D103,'Visu totale'!$D:$DH,BH$1,0),IF(LEFT(VLOOKUP($D103,'Visu totale'!$D:$DH,BH$1,0),1)="V",IF(BG103&gt;=INDEX('[1]Définition Maintenances'!$G:$G,MATCH($A103,'[1]Définition Maintenances'!$K:$K,0)),BG103,INDEX('[1]Définition Maintenances'!$G:$G,MATCH($A103,'[1]Définition Maintenances'!$K:$K,0))+BG103),BG103))</f>
        <v>1200</v>
      </c>
      <c r="BI103" s="26">
        <f>IF(ISNUMBER(VLOOKUP($D103,'Visu totale'!$D:$DH,BI$1,0)),BH103-VLOOKUP($D103,'Visu totale'!$D:$DH,BI$1,0),IF(LEFT(VLOOKUP($D103,'Visu totale'!$D:$DH,BI$1,0),1)="V",IF(BH103&gt;=INDEX('[1]Définition Maintenances'!$G:$G,MATCH($A103,'[1]Définition Maintenances'!$K:$K,0)),BH103,INDEX('[1]Définition Maintenances'!$G:$G,MATCH($A103,'[1]Définition Maintenances'!$K:$K,0))+BH103),BH103))</f>
        <v>1200</v>
      </c>
      <c r="BJ103" s="26">
        <f>IF(ISNUMBER(VLOOKUP($D103,'Visu totale'!$D:$DH,BJ$1,0)),BI103-VLOOKUP($D103,'Visu totale'!$D:$DH,BJ$1,0),IF(LEFT(VLOOKUP($D103,'Visu totale'!$D:$DH,BJ$1,0),1)="V",IF(BI103&gt;=INDEX('[1]Définition Maintenances'!$G:$G,MATCH($A103,'[1]Définition Maintenances'!$K:$K,0)),BI103,INDEX('[1]Définition Maintenances'!$G:$G,MATCH($A103,'[1]Définition Maintenances'!$K:$K,0))+BI103),BI103))</f>
        <v>1200</v>
      </c>
      <c r="BK103" s="26">
        <f>IF(ISNUMBER(VLOOKUP($D103,'Visu totale'!$D:$DH,BK$1,0)),BJ103-VLOOKUP($D103,'Visu totale'!$D:$DH,BK$1,0),IF(LEFT(VLOOKUP($D103,'Visu totale'!$D:$DH,BK$1,0),1)="V",IF(BJ103&gt;=INDEX('[1]Définition Maintenances'!$G:$G,MATCH($A103,'[1]Définition Maintenances'!$K:$K,0)),BJ103,INDEX('[1]Définition Maintenances'!$G:$G,MATCH($A103,'[1]Définition Maintenances'!$K:$K,0))+BJ103),BJ103))</f>
        <v>1200</v>
      </c>
      <c r="BL103" s="26">
        <f>IF(ISNUMBER(VLOOKUP($D103,'Visu totale'!$D:$DH,BL$1,0)),BK103-VLOOKUP($D103,'Visu totale'!$D:$DH,BL$1,0),IF(LEFT(VLOOKUP($D103,'Visu totale'!$D:$DH,BL$1,0),1)="V",IF(BK103&gt;=INDEX('[1]Définition Maintenances'!$G:$G,MATCH($A103,'[1]Définition Maintenances'!$K:$K,0)),BK103,INDEX('[1]Définition Maintenances'!$G:$G,MATCH($A103,'[1]Définition Maintenances'!$K:$K,0))+BK103),BK103))</f>
        <v>1200</v>
      </c>
      <c r="BM103" s="27">
        <f>IF(ISNUMBER(VLOOKUP($D103,'Visu totale'!$D:$DH,BM$1,0)),BL103-VLOOKUP($D103,'Visu totale'!$D:$DH,BM$1,0),IF(LEFT(VLOOKUP($D103,'Visu totale'!$D:$DH,BM$1,0),1)="V",IF(BL103&gt;=INDEX('[1]Définition Maintenances'!$G:$G,MATCH($A103,'[1]Définition Maintenances'!$K:$K,0)),BL103,INDEX('[1]Définition Maintenances'!$G:$G,MATCH($A103,'[1]Définition Maintenances'!$K:$K,0))+BL103),BL103))</f>
        <v>1200</v>
      </c>
      <c r="BN103" s="25">
        <f>IF(ISNUMBER(VLOOKUP($D103,'Visu totale'!$D:$DH,BN$1,0)),BM103-VLOOKUP($D103,'Visu totale'!$D:$DH,BN$1,0),IF(LEFT(VLOOKUP($D103,'Visu totale'!$D:$DH,BN$1,0),1)="V",IF(BM103&gt;=INDEX('[1]Définition Maintenances'!$G:$G,MATCH($A103,'[1]Définition Maintenances'!$K:$K,0)),BM103,INDEX('[1]Définition Maintenances'!$G:$G,MATCH($A103,'[1]Définition Maintenances'!$K:$K,0))+BM103),BM103))</f>
        <v>1200</v>
      </c>
      <c r="BO103" s="26">
        <f>IF(ISNUMBER(VLOOKUP($D103,'Visu totale'!$D:$DH,BO$1,0)),BN103-VLOOKUP($D103,'Visu totale'!$D:$DH,BO$1,0),IF(LEFT(VLOOKUP($D103,'Visu totale'!$D:$DH,BO$1,0),1)="V",IF(BN103&gt;=INDEX('[1]Définition Maintenances'!$G:$G,MATCH($A103,'[1]Définition Maintenances'!$K:$K,0)),BN103,INDEX('[1]Définition Maintenances'!$G:$G,MATCH($A103,'[1]Définition Maintenances'!$K:$K,0))+BN103),BN103))</f>
        <v>1200</v>
      </c>
      <c r="BP103" s="26">
        <f>IF(ISNUMBER(VLOOKUP($D103,'Visu totale'!$D:$DH,BP$1,0)),BO103-VLOOKUP($D103,'Visu totale'!$D:$DH,BP$1,0),IF(LEFT(VLOOKUP($D103,'Visu totale'!$D:$DH,BP$1,0),1)="V",IF(BO103&gt;=INDEX('[1]Définition Maintenances'!$G:$G,MATCH($A103,'[1]Définition Maintenances'!$K:$K,0)),BO103,INDEX('[1]Définition Maintenances'!$G:$G,MATCH($A103,'[1]Définition Maintenances'!$K:$K,0))+BO103),BO103))</f>
        <v>1200</v>
      </c>
      <c r="BQ103" s="26">
        <f>IF(ISNUMBER(VLOOKUP($D103,'Visu totale'!$D:$DH,BQ$1,0)),BP103-VLOOKUP($D103,'Visu totale'!$D:$DH,BQ$1,0),IF(LEFT(VLOOKUP($D103,'Visu totale'!$D:$DH,BQ$1,0),1)="V",IF(BP103&gt;=INDEX('[1]Définition Maintenances'!$G:$G,MATCH($A103,'[1]Définition Maintenances'!$K:$K,0)),BP103,INDEX('[1]Définition Maintenances'!$G:$G,MATCH($A103,'[1]Définition Maintenances'!$K:$K,0))+BP103),BP103))</f>
        <v>1200</v>
      </c>
      <c r="BR103" s="26">
        <f>IF(ISNUMBER(VLOOKUP($D103,'Visu totale'!$D:$DH,BR$1,0)),BQ103-VLOOKUP($D103,'Visu totale'!$D:$DH,BR$1,0),IF(LEFT(VLOOKUP($D103,'Visu totale'!$D:$DH,BR$1,0),1)="V",IF(BQ103&gt;=INDEX('[1]Définition Maintenances'!$G:$G,MATCH($A103,'[1]Définition Maintenances'!$K:$K,0)),BQ103,INDEX('[1]Définition Maintenances'!$G:$G,MATCH($A103,'[1]Définition Maintenances'!$K:$K,0))+BQ103),BQ103))</f>
        <v>1200</v>
      </c>
      <c r="BS103" s="26">
        <f>IF(ISNUMBER(VLOOKUP($D103,'Visu totale'!$D:$DH,BS$1,0)),BR103-VLOOKUP($D103,'Visu totale'!$D:$DH,BS$1,0),IF(LEFT(VLOOKUP($D103,'Visu totale'!$D:$DH,BS$1,0),1)="V",IF(BR103&gt;=INDEX('[1]Définition Maintenances'!$G:$G,MATCH($A103,'[1]Définition Maintenances'!$K:$K,0)),BR103,INDEX('[1]Définition Maintenances'!$G:$G,MATCH($A103,'[1]Définition Maintenances'!$K:$K,0))+BR103),BR103))</f>
        <v>1200</v>
      </c>
      <c r="BT103" s="26">
        <f>IF(ISNUMBER(VLOOKUP($D103,'Visu totale'!$D:$DH,BT$1,0)),BS103-VLOOKUP($D103,'Visu totale'!$D:$DH,BT$1,0),IF(LEFT(VLOOKUP($D103,'Visu totale'!$D:$DH,BT$1,0),1)="V",IF(BS103&gt;=INDEX('[1]Définition Maintenances'!$G:$G,MATCH($A103,'[1]Définition Maintenances'!$K:$K,0)),BS103,INDEX('[1]Définition Maintenances'!$G:$G,MATCH($A103,'[1]Définition Maintenances'!$K:$K,0))+BS103),BS103))</f>
        <v>1200</v>
      </c>
      <c r="BU103" s="26">
        <f>IF(ISNUMBER(VLOOKUP($D103,'Visu totale'!$D:$DH,BU$1,0)),BT103-VLOOKUP($D103,'Visu totale'!$D:$DH,BU$1,0),IF(LEFT(VLOOKUP($D103,'Visu totale'!$D:$DH,BU$1,0),1)="V",IF(BT103&gt;=INDEX('[1]Définition Maintenances'!$G:$G,MATCH($A103,'[1]Définition Maintenances'!$K:$K,0)),BT103,INDEX('[1]Définition Maintenances'!$G:$G,MATCH($A103,'[1]Définition Maintenances'!$K:$K,0))+BT103),BT103))</f>
        <v>1200</v>
      </c>
      <c r="BV103" s="26">
        <f>IF(ISNUMBER(VLOOKUP($D103,'Visu totale'!$D:$DH,BV$1,0)),BU103-VLOOKUP($D103,'Visu totale'!$D:$DH,BV$1,0),IF(LEFT(VLOOKUP($D103,'Visu totale'!$D:$DH,BV$1,0),1)="V",IF(BU103&gt;=INDEX('[1]Définition Maintenances'!$G:$G,MATCH($A103,'[1]Définition Maintenances'!$K:$K,0)),BU103,INDEX('[1]Définition Maintenances'!$G:$G,MATCH($A103,'[1]Définition Maintenances'!$K:$K,0))+BU103),BU103))</f>
        <v>1200</v>
      </c>
      <c r="BW103" s="26">
        <f>IF(ISNUMBER(VLOOKUP($D103,'Visu totale'!$D:$DH,BW$1,0)),BV103-VLOOKUP($D103,'Visu totale'!$D:$DH,BW$1,0),IF(LEFT(VLOOKUP($D103,'Visu totale'!$D:$DH,BW$1,0),1)="V",IF(BV103&gt;=INDEX('[1]Définition Maintenances'!$G:$G,MATCH($A103,'[1]Définition Maintenances'!$K:$K,0)),BV103,INDEX('[1]Définition Maintenances'!$G:$G,MATCH($A103,'[1]Définition Maintenances'!$K:$K,0))+BV103),BV103))</f>
        <v>1200</v>
      </c>
      <c r="BX103" s="26">
        <f>IF(ISNUMBER(VLOOKUP($D103,'Visu totale'!$D:$DH,BX$1,0)),BW103-VLOOKUP($D103,'Visu totale'!$D:$DH,BX$1,0),IF(LEFT(VLOOKUP($D103,'Visu totale'!$D:$DH,BX$1,0),1)="V",IF(BW103&gt;=INDEX('[1]Définition Maintenances'!$G:$G,MATCH($A103,'[1]Définition Maintenances'!$K:$K,0)),BW103,INDEX('[1]Définition Maintenances'!$G:$G,MATCH($A103,'[1]Définition Maintenances'!$K:$K,0))+BW103),BW103))</f>
        <v>1200</v>
      </c>
      <c r="BY103" s="27">
        <f>IF(ISNUMBER(VLOOKUP($D103,'Visu totale'!$D:$DH,BY$1,0)),BX103-VLOOKUP($D103,'Visu totale'!$D:$DH,BY$1,0),IF(LEFT(VLOOKUP($D103,'Visu totale'!$D:$DH,BY$1,0),1)="V",IF(BX103&gt;=INDEX('[1]Définition Maintenances'!$G:$G,MATCH($A103,'[1]Définition Maintenances'!$K:$K,0)),BX103,INDEX('[1]Définition Maintenances'!$G:$G,MATCH($A103,'[1]Définition Maintenances'!$K:$K,0))+BX103),BX103))</f>
        <v>1200</v>
      </c>
      <c r="BZ103" s="25">
        <f>IF(ISNUMBER(VLOOKUP($D103,'Visu totale'!$D:$DH,BZ$1,0)),BY103-VLOOKUP($D103,'Visu totale'!$D:$DH,BZ$1,0),IF(LEFT(VLOOKUP($D103,'Visu totale'!$D:$DH,BZ$1,0),1)="V",IF(BY103&gt;=INDEX('[1]Définition Maintenances'!$G:$G,MATCH($A103,'[1]Définition Maintenances'!$K:$K,0)),BY103,INDEX('[1]Définition Maintenances'!$G:$G,MATCH($A103,'[1]Définition Maintenances'!$K:$K,0))+BY103),BY103))</f>
        <v>1200</v>
      </c>
      <c r="CA103" s="26">
        <f>IF(ISNUMBER(VLOOKUP($D103,'Visu totale'!$D:$DH,CA$1,0)),BZ103-VLOOKUP($D103,'Visu totale'!$D:$DH,CA$1,0),IF(LEFT(VLOOKUP($D103,'Visu totale'!$D:$DH,CA$1,0),1)="V",IF(BZ103&gt;=INDEX('[1]Définition Maintenances'!$G:$G,MATCH($A103,'[1]Définition Maintenances'!$K:$K,0)),BZ103,INDEX('[1]Définition Maintenances'!$G:$G,MATCH($A103,'[1]Définition Maintenances'!$K:$K,0))+BZ103),BZ103))</f>
        <v>1200</v>
      </c>
      <c r="CB103" s="26">
        <f>IF(ISNUMBER(VLOOKUP($D103,'Visu totale'!$D:$DH,CB$1,0)),CA103-VLOOKUP($D103,'Visu totale'!$D:$DH,CB$1,0),IF(LEFT(VLOOKUP($D103,'Visu totale'!$D:$DH,CB$1,0),1)="V",IF(CA103&gt;=INDEX('[1]Définition Maintenances'!$G:$G,MATCH($A103,'[1]Définition Maintenances'!$K:$K,0)),CA103,INDEX('[1]Définition Maintenances'!$G:$G,MATCH($A103,'[1]Définition Maintenances'!$K:$K,0))+CA103),CA103))</f>
        <v>1200</v>
      </c>
      <c r="CC103" s="26">
        <f>IF(ISNUMBER(VLOOKUP($D103,'Visu totale'!$D:$DH,CC$1,0)),CB103-VLOOKUP($D103,'Visu totale'!$D:$DH,CC$1,0),IF(LEFT(VLOOKUP($D103,'Visu totale'!$D:$DH,CC$1,0),1)="V",IF(CB103&gt;=INDEX('[1]Définition Maintenances'!$G:$G,MATCH($A103,'[1]Définition Maintenances'!$K:$K,0)),CB103,INDEX('[1]Définition Maintenances'!$G:$G,MATCH($A103,'[1]Définition Maintenances'!$K:$K,0))+CB103),CB103))</f>
        <v>1200</v>
      </c>
      <c r="CD103" s="26">
        <f>IF(ISNUMBER(VLOOKUP($D103,'Visu totale'!$D:$DH,CD$1,0)),CC103-VLOOKUP($D103,'Visu totale'!$D:$DH,CD$1,0),IF(LEFT(VLOOKUP($D103,'Visu totale'!$D:$DH,CD$1,0),1)="V",IF(CC103&gt;=INDEX('[1]Définition Maintenances'!$G:$G,MATCH($A103,'[1]Définition Maintenances'!$K:$K,0)),CC103,INDEX('[1]Définition Maintenances'!$G:$G,MATCH($A103,'[1]Définition Maintenances'!$K:$K,0))+CC103),CC103))</f>
        <v>1200</v>
      </c>
      <c r="CE103" s="26">
        <f>IF(ISNUMBER(VLOOKUP($D103,'Visu totale'!$D:$DH,CE$1,0)),CD103-VLOOKUP($D103,'Visu totale'!$D:$DH,CE$1,0),IF(LEFT(VLOOKUP($D103,'Visu totale'!$D:$DH,CE$1,0),1)="V",IF(CD103&gt;=INDEX('[1]Définition Maintenances'!$G:$G,MATCH($A103,'[1]Définition Maintenances'!$K:$K,0)),CD103,INDEX('[1]Définition Maintenances'!$G:$G,MATCH($A103,'[1]Définition Maintenances'!$K:$K,0))+CD103),CD103))</f>
        <v>1200</v>
      </c>
      <c r="CF103" s="26">
        <f>IF(ISNUMBER(VLOOKUP($D103,'Visu totale'!$D:$DH,CF$1,0)),CE103-VLOOKUP($D103,'Visu totale'!$D:$DH,CF$1,0),IF(LEFT(VLOOKUP($D103,'Visu totale'!$D:$DH,CF$1,0),1)="V",IF(CE103&gt;=INDEX('[1]Définition Maintenances'!$G:$G,MATCH($A103,'[1]Définition Maintenances'!$K:$K,0)),CE103,INDEX('[1]Définition Maintenances'!$G:$G,MATCH($A103,'[1]Définition Maintenances'!$K:$K,0))+CE103),CE103))</f>
        <v>1200</v>
      </c>
      <c r="CG103" s="26">
        <f>IF(ISNUMBER(VLOOKUP($D103,'Visu totale'!$D:$DH,CG$1,0)),CF103-VLOOKUP($D103,'Visu totale'!$D:$DH,CG$1,0),IF(LEFT(VLOOKUP($D103,'Visu totale'!$D:$DH,CG$1,0),1)="V",IF(CF103&gt;=INDEX('[1]Définition Maintenances'!$G:$G,MATCH($A103,'[1]Définition Maintenances'!$K:$K,0)),CF103,INDEX('[1]Définition Maintenances'!$G:$G,MATCH($A103,'[1]Définition Maintenances'!$K:$K,0))+CF103),CF103))</f>
        <v>1200</v>
      </c>
      <c r="CH103" s="26">
        <f>IF(ISNUMBER(VLOOKUP($D103,'Visu totale'!$D:$DH,CH$1,0)),CG103-VLOOKUP($D103,'Visu totale'!$D:$DH,CH$1,0),IF(LEFT(VLOOKUP($D103,'Visu totale'!$D:$DH,CH$1,0),1)="V",IF(CG103&gt;=INDEX('[1]Définition Maintenances'!$G:$G,MATCH($A103,'[1]Définition Maintenances'!$K:$K,0)),CG103,INDEX('[1]Définition Maintenances'!$G:$G,MATCH($A103,'[1]Définition Maintenances'!$K:$K,0))+CG103),CG103))</f>
        <v>1200</v>
      </c>
      <c r="CI103" s="26">
        <f>IF(ISNUMBER(VLOOKUP($D103,'Visu totale'!$D:$DH,CI$1,0)),CH103-VLOOKUP($D103,'Visu totale'!$D:$DH,CI$1,0),IF(LEFT(VLOOKUP($D103,'Visu totale'!$D:$DH,CI$1,0),1)="V",IF(CH103&gt;=INDEX('[1]Définition Maintenances'!$G:$G,MATCH($A103,'[1]Définition Maintenances'!$K:$K,0)),CH103,INDEX('[1]Définition Maintenances'!$G:$G,MATCH($A103,'[1]Définition Maintenances'!$K:$K,0))+CH103),CH103))</f>
        <v>1200</v>
      </c>
      <c r="CJ103" s="26">
        <f>IF(ISNUMBER(VLOOKUP($D103,'Visu totale'!$D:$DH,CJ$1,0)),CI103-VLOOKUP($D103,'Visu totale'!$D:$DH,CJ$1,0),IF(LEFT(VLOOKUP($D103,'Visu totale'!$D:$DH,CJ$1,0),1)="V",IF(CI103&gt;=INDEX('[1]Définition Maintenances'!$G:$G,MATCH($A103,'[1]Définition Maintenances'!$K:$K,0)),CI103,INDEX('[1]Définition Maintenances'!$G:$G,MATCH($A103,'[1]Définition Maintenances'!$K:$K,0))+CI103),CI103))</f>
        <v>1200</v>
      </c>
      <c r="CK103" s="27">
        <f>IF(ISNUMBER(VLOOKUP($D103,'Visu totale'!$D:$DH,CK$1,0)),CJ103-VLOOKUP($D103,'Visu totale'!$D:$DH,CK$1,0),IF(LEFT(VLOOKUP($D103,'Visu totale'!$D:$DH,CK$1,0),1)="V",IF(CJ103&gt;=INDEX('[1]Définition Maintenances'!$G:$G,MATCH($A103,'[1]Définition Maintenances'!$K:$K,0)),CJ103,INDEX('[1]Définition Maintenances'!$G:$G,MATCH($A103,'[1]Définition Maintenances'!$K:$K,0))+CJ103),CJ103))</f>
        <v>1200</v>
      </c>
      <c r="CL103" s="25">
        <f>IF(ISNUMBER(VLOOKUP($D103,'Visu totale'!$D:$DH,CL$1,0)),CK103-VLOOKUP($D103,'Visu totale'!$D:$DH,CL$1,0),IF(LEFT(VLOOKUP($D103,'Visu totale'!$D:$DH,CL$1,0),1)="V",IF(CK103&gt;=INDEX('[1]Définition Maintenances'!$G:$G,MATCH($A103,'[1]Définition Maintenances'!$K:$K,0)),CK103,INDEX('[1]Définition Maintenances'!$G:$G,MATCH($A103,'[1]Définition Maintenances'!$K:$K,0))+CK103),CK103))</f>
        <v>1200</v>
      </c>
      <c r="CM103" s="26">
        <f>IF(ISNUMBER(VLOOKUP($D103,'Visu totale'!$D:$DH,CM$1,0)),CL103-VLOOKUP($D103,'Visu totale'!$D:$DH,CM$1,0),IF(LEFT(VLOOKUP($D103,'Visu totale'!$D:$DH,CM$1,0),1)="V",IF(CL103&gt;=INDEX('[1]Définition Maintenances'!$G:$G,MATCH($A103,'[1]Définition Maintenances'!$K:$K,0)),CL103,INDEX('[1]Définition Maintenances'!$G:$G,MATCH($A103,'[1]Définition Maintenances'!$K:$K,0))+CL103),CL103))</f>
        <v>1200</v>
      </c>
      <c r="CN103" s="26">
        <f>IF(ISNUMBER(VLOOKUP($D103,'Visu totale'!$D:$DH,CN$1,0)),CM103-VLOOKUP($D103,'Visu totale'!$D:$DH,CN$1,0),IF(LEFT(VLOOKUP($D103,'Visu totale'!$D:$DH,CN$1,0),1)="V",IF(CM103&gt;=INDEX('[1]Définition Maintenances'!$G:$G,MATCH($A103,'[1]Définition Maintenances'!$K:$K,0)),CM103,INDEX('[1]Définition Maintenances'!$G:$G,MATCH($A103,'[1]Définition Maintenances'!$K:$K,0))+CM103),CM103))</f>
        <v>1200</v>
      </c>
      <c r="CO103" s="26">
        <f>IF(ISNUMBER(VLOOKUP($D103,'Visu totale'!$D:$DH,CO$1,0)),CN103-VLOOKUP($D103,'Visu totale'!$D:$DH,CO$1,0),IF(LEFT(VLOOKUP($D103,'Visu totale'!$D:$DH,CO$1,0),1)="V",IF(CN103&gt;=INDEX('[1]Définition Maintenances'!$G:$G,MATCH($A103,'[1]Définition Maintenances'!$K:$K,0)),CN103,INDEX('[1]Définition Maintenances'!$G:$G,MATCH($A103,'[1]Définition Maintenances'!$K:$K,0))+CN103),CN103))</f>
        <v>1200</v>
      </c>
      <c r="CP103" s="26">
        <f>IF(ISNUMBER(VLOOKUP($D103,'Visu totale'!$D:$DH,CP$1,0)),CO103-VLOOKUP($D103,'Visu totale'!$D:$DH,CP$1,0),IF(LEFT(VLOOKUP($D103,'Visu totale'!$D:$DH,CP$1,0),1)="V",IF(CO103&gt;=INDEX('[1]Définition Maintenances'!$G:$G,MATCH($A103,'[1]Définition Maintenances'!$K:$K,0)),CO103,INDEX('[1]Définition Maintenances'!$G:$G,MATCH($A103,'[1]Définition Maintenances'!$K:$K,0))+CO103),CO103))</f>
        <v>1200</v>
      </c>
      <c r="CQ103" s="26">
        <f>IF(ISNUMBER(VLOOKUP($D103,'Visu totale'!$D:$DH,CQ$1,0)),CP103-VLOOKUP($D103,'Visu totale'!$D:$DH,CQ$1,0),IF(LEFT(VLOOKUP($D103,'Visu totale'!$D:$DH,CQ$1,0),1)="V",IF(CP103&gt;=INDEX('[1]Définition Maintenances'!$G:$G,MATCH($A103,'[1]Définition Maintenances'!$K:$K,0)),CP103,INDEX('[1]Définition Maintenances'!$G:$G,MATCH($A103,'[1]Définition Maintenances'!$K:$K,0))+CP103),CP103))</f>
        <v>1200</v>
      </c>
      <c r="CR103" s="26">
        <f>IF(ISNUMBER(VLOOKUP($D103,'Visu totale'!$D:$DH,CR$1,0)),CQ103-VLOOKUP($D103,'Visu totale'!$D:$DH,CR$1,0),IF(LEFT(VLOOKUP($D103,'Visu totale'!$D:$DH,CR$1,0),1)="V",IF(CQ103&gt;=INDEX('[1]Définition Maintenances'!$G:$G,MATCH($A103,'[1]Définition Maintenances'!$K:$K,0)),CQ103,INDEX('[1]Définition Maintenances'!$G:$G,MATCH($A103,'[1]Définition Maintenances'!$K:$K,0))+CQ103),CQ103))</f>
        <v>1200</v>
      </c>
      <c r="CS103" s="26">
        <f>IF(ISNUMBER(VLOOKUP($D103,'Visu totale'!$D:$DH,CS$1,0)),CR103-VLOOKUP($D103,'Visu totale'!$D:$DH,CS$1,0),IF(LEFT(VLOOKUP($D103,'Visu totale'!$D:$DH,CS$1,0),1)="V",IF(CR103&gt;=INDEX('[1]Définition Maintenances'!$G:$G,MATCH($A103,'[1]Définition Maintenances'!$K:$K,0)),CR103,INDEX('[1]Définition Maintenances'!$G:$G,MATCH($A103,'[1]Définition Maintenances'!$K:$K,0))+CR103),CR103))</f>
        <v>1200</v>
      </c>
      <c r="CT103" s="26">
        <f>IF(ISNUMBER(VLOOKUP($D103,'Visu totale'!$D:$DH,CT$1,0)),CS103-VLOOKUP($D103,'Visu totale'!$D:$DH,CT$1,0),IF(LEFT(VLOOKUP($D103,'Visu totale'!$D:$DH,CT$1,0),1)="V",IF(CS103&gt;=INDEX('[1]Définition Maintenances'!$G:$G,MATCH($A103,'[1]Définition Maintenances'!$K:$K,0)),CS103,INDEX('[1]Définition Maintenances'!$G:$G,MATCH($A103,'[1]Définition Maintenances'!$K:$K,0))+CS103),CS103))</f>
        <v>1200</v>
      </c>
      <c r="CU103" s="26">
        <f>IF(ISNUMBER(VLOOKUP($D103,'Visu totale'!$D:$DH,CU$1,0)),CT103-VLOOKUP($D103,'Visu totale'!$D:$DH,CU$1,0),IF(LEFT(VLOOKUP($D103,'Visu totale'!$D:$DH,CU$1,0),1)="V",IF(CT103&gt;=INDEX('[1]Définition Maintenances'!$G:$G,MATCH($A103,'[1]Définition Maintenances'!$K:$K,0)),CT103,INDEX('[1]Définition Maintenances'!$G:$G,MATCH($A103,'[1]Définition Maintenances'!$K:$K,0))+CT103),CT103))</f>
        <v>1200</v>
      </c>
      <c r="CV103" s="26">
        <f>IF(ISNUMBER(VLOOKUP($D103,'Visu totale'!$D:$DH,CV$1,0)),CU103-VLOOKUP($D103,'Visu totale'!$D:$DH,CV$1,0),IF(LEFT(VLOOKUP($D103,'Visu totale'!$D:$DH,CV$1,0),1)="V",IF(CU103&gt;=INDEX('[1]Définition Maintenances'!$G:$G,MATCH($A103,'[1]Définition Maintenances'!$K:$K,0)),CU103,INDEX('[1]Définition Maintenances'!$G:$G,MATCH($A103,'[1]Définition Maintenances'!$K:$K,0))+CU103),CU103))</f>
        <v>1200</v>
      </c>
      <c r="CW103" s="27">
        <f>IF(ISNUMBER(VLOOKUP($D103,'Visu totale'!$D:$DH,CW$1,0)),CV103-VLOOKUP($D103,'Visu totale'!$D:$DH,CW$1,0),IF(LEFT(VLOOKUP($D103,'Visu totale'!$D:$DH,CW$1,0),1)="V",IF(CV103&gt;=INDEX('[1]Définition Maintenances'!$G:$G,MATCH($A103,'[1]Définition Maintenances'!$K:$K,0)),CV103,INDEX('[1]Définition Maintenances'!$G:$G,MATCH($A103,'[1]Définition Maintenances'!$K:$K,0))+CV103),CV103))</f>
        <v>1200</v>
      </c>
      <c r="CX103" s="25">
        <f>IF(ISNUMBER(VLOOKUP($D103,'Visu totale'!$D:$DH,CX$1,0)),CW103-VLOOKUP($D103,'Visu totale'!$D:$DH,CX$1,0),IF(LEFT(VLOOKUP($D103,'Visu totale'!$D:$DH,CX$1,0),1)="V",IF(CW103&gt;=INDEX('[1]Définition Maintenances'!$G:$G,MATCH($A103,'[1]Définition Maintenances'!$K:$K,0)),CW103,INDEX('[1]Définition Maintenances'!$G:$G,MATCH($A103,'[1]Définition Maintenances'!$K:$K,0))+CW103),CW103))</f>
        <v>1200</v>
      </c>
      <c r="CY103" s="26">
        <f>IF(ISNUMBER(VLOOKUP($D103,'Visu totale'!$D:$DH,CY$1,0)),CX103-VLOOKUP($D103,'Visu totale'!$D:$DH,CY$1,0),IF(LEFT(VLOOKUP($D103,'Visu totale'!$D:$DH,CY$1,0),1)="V",IF(CX103&gt;=INDEX('[1]Définition Maintenances'!$G:$G,MATCH($A103,'[1]Définition Maintenances'!$K:$K,0)),CX103,INDEX('[1]Définition Maintenances'!$G:$G,MATCH($A103,'[1]Définition Maintenances'!$K:$K,0))+CX103),CX103))</f>
        <v>1200</v>
      </c>
      <c r="CZ103" s="26">
        <f>IF(ISNUMBER(VLOOKUP($D103,'Visu totale'!$D:$DH,CZ$1,0)),CY103-VLOOKUP($D103,'Visu totale'!$D:$DH,CZ$1,0),IF(LEFT(VLOOKUP($D103,'Visu totale'!$D:$DH,CZ$1,0),1)="V",IF(CY103&gt;=INDEX('[1]Définition Maintenances'!$G:$G,MATCH($A103,'[1]Définition Maintenances'!$K:$K,0)),CY103,INDEX('[1]Définition Maintenances'!$G:$G,MATCH($A103,'[1]Définition Maintenances'!$K:$K,0))+CY103),CY103))</f>
        <v>1200</v>
      </c>
      <c r="DA103" s="26">
        <f>IF(ISNUMBER(VLOOKUP($D103,'Visu totale'!$D:$DH,DA$1,0)),CZ103-VLOOKUP($D103,'Visu totale'!$D:$DH,DA$1,0),IF(LEFT(VLOOKUP($D103,'Visu totale'!$D:$DH,DA$1,0),1)="V",IF(CZ103&gt;=INDEX('[1]Définition Maintenances'!$G:$G,MATCH($A103,'[1]Définition Maintenances'!$K:$K,0)),CZ103,INDEX('[1]Définition Maintenances'!$G:$G,MATCH($A103,'[1]Définition Maintenances'!$K:$K,0))+CZ103),CZ103))</f>
        <v>1200</v>
      </c>
      <c r="DB103" s="26">
        <f>IF(ISNUMBER(VLOOKUP($D103,'Visu totale'!$D:$DH,DB$1,0)),DA103-VLOOKUP($D103,'Visu totale'!$D:$DH,DB$1,0),IF(LEFT(VLOOKUP($D103,'Visu totale'!$D:$DH,DB$1,0),1)="V",IF(DA103&gt;=INDEX('[1]Définition Maintenances'!$G:$G,MATCH($A103,'[1]Définition Maintenances'!$K:$K,0)),DA103,INDEX('[1]Définition Maintenances'!$G:$G,MATCH($A103,'[1]Définition Maintenances'!$K:$K,0))+DA103),DA103))</f>
        <v>1200</v>
      </c>
      <c r="DC103" s="26">
        <f>IF(ISNUMBER(VLOOKUP($D103,'Visu totale'!$D:$DH,DC$1,0)),DB103-VLOOKUP($D103,'Visu totale'!$D:$DH,DC$1,0),IF(LEFT(VLOOKUP($D103,'Visu totale'!$D:$DH,DC$1,0),1)="V",IF(DB103&gt;=INDEX('[1]Définition Maintenances'!$G:$G,MATCH($A103,'[1]Définition Maintenances'!$K:$K,0)),DB103,INDEX('[1]Définition Maintenances'!$G:$G,MATCH($A103,'[1]Définition Maintenances'!$K:$K,0))+DB103),DB103))</f>
        <v>1200</v>
      </c>
      <c r="DD103" s="26">
        <f>IF(ISNUMBER(VLOOKUP($D103,'Visu totale'!$D:$DH,DD$1,0)),DC103-VLOOKUP($D103,'Visu totale'!$D:$DH,DD$1,0),IF(LEFT(VLOOKUP($D103,'Visu totale'!$D:$DH,DD$1,0),1)="V",IF(DC103&gt;=INDEX('[1]Définition Maintenances'!$G:$G,MATCH($A103,'[1]Définition Maintenances'!$K:$K,0)),DC103,INDEX('[1]Définition Maintenances'!$G:$G,MATCH($A103,'[1]Définition Maintenances'!$K:$K,0))+DC103),DC103))</f>
        <v>1200</v>
      </c>
      <c r="DE103" s="26">
        <f>IF(ISNUMBER(VLOOKUP($D103,'Visu totale'!$D:$DH,DE$1,0)),DD103-VLOOKUP($D103,'Visu totale'!$D:$DH,DE$1,0),IF(LEFT(VLOOKUP($D103,'Visu totale'!$D:$DH,DE$1,0),1)="V",IF(DD103&gt;=INDEX('[1]Définition Maintenances'!$G:$G,MATCH($A103,'[1]Définition Maintenances'!$K:$K,0)),DD103,INDEX('[1]Définition Maintenances'!$G:$G,MATCH($A103,'[1]Définition Maintenances'!$K:$K,0))+DD103),DD103))</f>
        <v>1200</v>
      </c>
      <c r="DF103" s="26">
        <f>IF(ISNUMBER(VLOOKUP($D103,'Visu totale'!$D:$DH,DF$1,0)),DE103-VLOOKUP($D103,'Visu totale'!$D:$DH,DF$1,0),IF(LEFT(VLOOKUP($D103,'Visu totale'!$D:$DH,DF$1,0),1)="V",IF(DE103&gt;=INDEX('[1]Définition Maintenances'!$G:$G,MATCH($A103,'[1]Définition Maintenances'!$K:$K,0)),DE103,INDEX('[1]Définition Maintenances'!$G:$G,MATCH($A103,'[1]Définition Maintenances'!$K:$K,0))+DE103),DE103))</f>
        <v>1200</v>
      </c>
      <c r="DG103" s="26">
        <f>IF(ISNUMBER(VLOOKUP($D103,'Visu totale'!$D:$DH,DG$1,0)),DF103-VLOOKUP($D103,'Visu totale'!$D:$DH,DG$1,0),IF(LEFT(VLOOKUP($D103,'Visu totale'!$D:$DH,DG$1,0),1)="V",IF(DF103&gt;=INDEX('[1]Définition Maintenances'!$G:$G,MATCH($A103,'[1]Définition Maintenances'!$K:$K,0)),DF103,INDEX('[1]Définition Maintenances'!$G:$G,MATCH($A103,'[1]Définition Maintenances'!$K:$K,0))+DF103),DF103))</f>
        <v>1200</v>
      </c>
      <c r="DH103" s="26">
        <f>IF(ISNUMBER(VLOOKUP($D103,'Visu totale'!$D:$DH,DH$1,0)),DG103-VLOOKUP($D103,'Visu totale'!$D:$DH,DH$1,0),IF(LEFT(VLOOKUP($D103,'Visu totale'!$D:$DH,DH$1,0),1)="V",IF(DG103&gt;=INDEX('[1]Définition Maintenances'!$G:$G,MATCH($A103,'[1]Définition Maintenances'!$K:$K,0)),DG103,INDEX('[1]Définition Maintenances'!$G:$G,MATCH($A103,'[1]Définition Maintenances'!$K:$K,0))+DG103),DG103))</f>
        <v>1200</v>
      </c>
      <c r="DI103" s="27">
        <f>IF(ISNUMBER(VLOOKUP($D103,'Visu totale'!$D:$DH,DI$1,0)),DH103-VLOOKUP($D103,'Visu totale'!$D:$DH,DI$1,0),IF(LEFT(VLOOKUP($D103,'Visu totale'!$D:$DH,DI$1,0),1)="V",IF(DH103&gt;=INDEX('[1]Définition Maintenances'!$G:$G,MATCH($A103,'[1]Définition Maintenances'!$K:$K,0)),DH103,INDEX('[1]Définition Maintenances'!$G:$G,MATCH($A103,'[1]Définition Maintenances'!$K:$K,0))+DH103),DH103))</f>
        <v>1200</v>
      </c>
    </row>
    <row r="104" spans="1:113" x14ac:dyDescent="0.25">
      <c r="A104" s="13" t="str">
        <f t="shared" si="3"/>
        <v>V155</v>
      </c>
      <c r="B104" s="13" t="str">
        <f>VLOOKUP(D104,'[1]Avions (Potentiels)'!$B$2:$H$128,7,FALSE)</f>
        <v>V15</v>
      </c>
      <c r="C104" s="13"/>
      <c r="D104" s="16" t="s">
        <v>107</v>
      </c>
      <c r="E104" s="13">
        <f>IFERROR(VALUE(SUBSTITUTE(VLOOKUP(D104,'[1]Avions (Potentiels)'!$B:$E,4,0),".",",")),VALUE(VLOOKUP(D104,'[1]Avions (Potentiels)'!$B:$E,4,0)))</f>
        <v>277</v>
      </c>
      <c r="F104" s="25">
        <f>IF(ISNUMBER(VLOOKUP($D104,'Visu totale'!$D:$DH,F$1,0)),E104-VLOOKUP($D104,'Visu totale'!$D:$DH,F$1,0),IF(LEFT(VLOOKUP($D104,'Visu totale'!$D:$DH,F$1,0),1)="V",IF(E104&gt;=INDEX('[1]Définition Maintenances'!$G:$G,MATCH($A104,'[1]Définition Maintenances'!$K:$K,0)),E104,INDEX('[1]Définition Maintenances'!$G:$G,MATCH($A104,'[1]Définition Maintenances'!$K:$K,0))+E104),E104))</f>
        <v>277</v>
      </c>
      <c r="G104" s="26">
        <f>IF(ISNUMBER(VLOOKUP($D104,'Visu totale'!$D:$DH,G$1,0)),F104-VLOOKUP($D104,'Visu totale'!$D:$DH,G$1,0),IF(LEFT(VLOOKUP($D104,'Visu totale'!$D:$DH,G$1,0),1)="V",IF(F104&gt;=INDEX('[1]Définition Maintenances'!$G:$G,MATCH($A104,'[1]Définition Maintenances'!$K:$K,0)),F104,INDEX('[1]Définition Maintenances'!$G:$G,MATCH($A104,'[1]Définition Maintenances'!$K:$K,0))+F104),F104))</f>
        <v>277</v>
      </c>
      <c r="H104" s="26">
        <f>IF(ISNUMBER(VLOOKUP($D104,'Visu totale'!$D:$DH,H$1,0)),G104-VLOOKUP($D104,'Visu totale'!$D:$DH,H$1,0),IF(LEFT(VLOOKUP($D104,'Visu totale'!$D:$DH,H$1,0),1)="V",IF(G104&gt;=INDEX('[1]Définition Maintenances'!$G:$G,MATCH($A104,'[1]Définition Maintenances'!$K:$K,0)),G104,INDEX('[1]Définition Maintenances'!$G:$G,MATCH($A104,'[1]Définition Maintenances'!$K:$K,0))+G104),G104))</f>
        <v>277</v>
      </c>
      <c r="I104" s="26">
        <f>IF(ISNUMBER(VLOOKUP($D104,'Visu totale'!$D:$DH,I$1,0)),H104-VLOOKUP($D104,'Visu totale'!$D:$DH,I$1,0),IF(LEFT(VLOOKUP($D104,'Visu totale'!$D:$DH,I$1,0),1)="V",IF(H104&gt;=INDEX('[1]Définition Maintenances'!$G:$G,MATCH($A104,'[1]Définition Maintenances'!$K:$K,0)),H104,INDEX('[1]Définition Maintenances'!$G:$G,MATCH($A104,'[1]Définition Maintenances'!$K:$K,0))+H104),H104))</f>
        <v>277</v>
      </c>
      <c r="J104" s="26">
        <f>IF(ISNUMBER(VLOOKUP($D104,'Visu totale'!$D:$DH,J$1,0)),I104-VLOOKUP($D104,'Visu totale'!$D:$DH,J$1,0),IF(LEFT(VLOOKUP($D104,'Visu totale'!$D:$DH,J$1,0),1)="V",IF(I104&gt;=INDEX('[1]Définition Maintenances'!$G:$G,MATCH($A104,'[1]Définition Maintenances'!$K:$K,0)),I104,INDEX('[1]Définition Maintenances'!$G:$G,MATCH($A104,'[1]Définition Maintenances'!$K:$K,0))+I104),I104))</f>
        <v>277</v>
      </c>
      <c r="K104" s="26">
        <f>IF(ISNUMBER(VLOOKUP($D104,'Visu totale'!$D:$DH,K$1,0)),J104-VLOOKUP($D104,'Visu totale'!$D:$DH,K$1,0),IF(LEFT(VLOOKUP($D104,'Visu totale'!$D:$DH,K$1,0),1)="V",IF(J104&gt;=INDEX('[1]Définition Maintenances'!$G:$G,MATCH($A104,'[1]Définition Maintenances'!$K:$K,0)),J104,INDEX('[1]Définition Maintenances'!$G:$G,MATCH($A104,'[1]Définition Maintenances'!$K:$K,0))+J104),J104))</f>
        <v>277</v>
      </c>
      <c r="L104" s="26">
        <f>IF(ISNUMBER(VLOOKUP($D104,'Visu totale'!$D:$DH,L$1,0)),K104-VLOOKUP($D104,'Visu totale'!$D:$DH,L$1,0),IF(LEFT(VLOOKUP($D104,'Visu totale'!$D:$DH,L$1,0),1)="V",IF(K104&gt;=INDEX('[1]Définition Maintenances'!$G:$G,MATCH($A104,'[1]Définition Maintenances'!$K:$K,0)),K104,INDEX('[1]Définition Maintenances'!$G:$G,MATCH($A104,'[1]Définition Maintenances'!$K:$K,0))+K104),K104))</f>
        <v>277</v>
      </c>
      <c r="M104" s="26">
        <f>IF(ISNUMBER(VLOOKUP($D104,'Visu totale'!$D:$DH,M$1,0)),L104-VLOOKUP($D104,'Visu totale'!$D:$DH,M$1,0),IF(LEFT(VLOOKUP($D104,'Visu totale'!$D:$DH,M$1,0),1)="V",IF(L104&gt;=INDEX('[1]Définition Maintenances'!$G:$G,MATCH($A104,'[1]Définition Maintenances'!$K:$K,0)),L104,INDEX('[1]Définition Maintenances'!$G:$G,MATCH($A104,'[1]Définition Maintenances'!$K:$K,0))+L104),L104))</f>
        <v>277</v>
      </c>
      <c r="N104" s="26">
        <f>IF(ISNUMBER(VLOOKUP($D104,'Visu totale'!$D:$DH,N$1,0)),M104-VLOOKUP($D104,'Visu totale'!$D:$DH,N$1,0),IF(LEFT(VLOOKUP($D104,'Visu totale'!$D:$DH,N$1,0),1)="V",IF(M104&gt;=INDEX('[1]Définition Maintenances'!$G:$G,MATCH($A104,'[1]Définition Maintenances'!$K:$K,0)),M104,INDEX('[1]Définition Maintenances'!$G:$G,MATCH($A104,'[1]Définition Maintenances'!$K:$K,0))+M104),M104))</f>
        <v>277</v>
      </c>
      <c r="O104" s="26">
        <f>IF(ISNUMBER(VLOOKUP($D104,'Visu totale'!$D:$DH,O$1,0)),N104-VLOOKUP($D104,'Visu totale'!$D:$DH,O$1,0),IF(LEFT(VLOOKUP($D104,'Visu totale'!$D:$DH,O$1,0),1)="V",IF(N104&gt;=INDEX('[1]Définition Maintenances'!$G:$G,MATCH($A104,'[1]Définition Maintenances'!$K:$K,0)),N104,INDEX('[1]Définition Maintenances'!$G:$G,MATCH($A104,'[1]Définition Maintenances'!$K:$K,0))+N104),N104))</f>
        <v>277</v>
      </c>
      <c r="P104" s="26">
        <f>IF(ISNUMBER(VLOOKUP($D104,'Visu totale'!$D:$DH,P$1,0)),O104-VLOOKUP($D104,'Visu totale'!$D:$DH,P$1,0),IF(LEFT(VLOOKUP($D104,'Visu totale'!$D:$DH,P$1,0),1)="V",IF(O104&gt;=INDEX('[1]Définition Maintenances'!$G:$G,MATCH($A104,'[1]Définition Maintenances'!$K:$K,0)),O104,INDEX('[1]Définition Maintenances'!$G:$G,MATCH($A104,'[1]Définition Maintenances'!$K:$K,0))+O104),O104))</f>
        <v>277</v>
      </c>
      <c r="Q104" s="27">
        <f>IF(ISNUMBER(VLOOKUP($D104,'Visu totale'!$D:$DH,Q$1,0)),P104-VLOOKUP($D104,'Visu totale'!$D:$DH,Q$1,0),IF(LEFT(VLOOKUP($D104,'Visu totale'!$D:$DH,Q$1,0),1)="V",IF(P104&gt;=INDEX('[1]Définition Maintenances'!$G:$G,MATCH($A104,'[1]Définition Maintenances'!$K:$K,0)),P104,INDEX('[1]Définition Maintenances'!$G:$G,MATCH($A104,'[1]Définition Maintenances'!$K:$K,0))+P104),P104))</f>
        <v>277</v>
      </c>
      <c r="R104" s="25">
        <f>IF(ISNUMBER(VLOOKUP($D104,'Visu totale'!$D:$DH,R$1,0)),Q104-VLOOKUP($D104,'Visu totale'!$D:$DH,R$1,0),IF(LEFT(VLOOKUP($D104,'Visu totale'!$D:$DH,R$1,0),1)="V",IF(Q104&gt;=INDEX('[1]Définition Maintenances'!$G:$G,MATCH($A104,'[1]Définition Maintenances'!$K:$K,0)),Q104,INDEX('[1]Définition Maintenances'!$G:$G,MATCH($A104,'[1]Définition Maintenances'!$K:$K,0))+Q104),Q104))</f>
        <v>277</v>
      </c>
      <c r="S104" s="26">
        <f>IF(ISNUMBER(VLOOKUP($D104,'Visu totale'!$D:$DH,S$1,0)),R104-VLOOKUP($D104,'Visu totale'!$D:$DH,S$1,0),IF(LEFT(VLOOKUP($D104,'Visu totale'!$D:$DH,S$1,0),1)="V",IF(R104&gt;=INDEX('[1]Définition Maintenances'!$G:$G,MATCH($A104,'[1]Définition Maintenances'!$K:$K,0)),R104,INDEX('[1]Définition Maintenances'!$G:$G,MATCH($A104,'[1]Définition Maintenances'!$K:$K,0))+R104),R104))</f>
        <v>277</v>
      </c>
      <c r="T104" s="26">
        <f>IF(ISNUMBER(VLOOKUP($D104,'Visu totale'!$D:$DH,T$1,0)),S104-VLOOKUP($D104,'Visu totale'!$D:$DH,T$1,0),IF(LEFT(VLOOKUP($D104,'Visu totale'!$D:$DH,T$1,0),1)="V",IF(S104&gt;=INDEX('[1]Définition Maintenances'!$G:$G,MATCH($A104,'[1]Définition Maintenances'!$K:$K,0)),S104,INDEX('[1]Définition Maintenances'!$G:$G,MATCH($A104,'[1]Définition Maintenances'!$K:$K,0))+S104),S104))</f>
        <v>277</v>
      </c>
      <c r="U104" s="26">
        <f>IF(ISNUMBER(VLOOKUP($D104,'Visu totale'!$D:$DH,U$1,0)),T104-VLOOKUP($D104,'Visu totale'!$D:$DH,U$1,0),IF(LEFT(VLOOKUP($D104,'Visu totale'!$D:$DH,U$1,0),1)="V",IF(T104&gt;=INDEX('[1]Définition Maintenances'!$G:$G,MATCH($A104,'[1]Définition Maintenances'!$K:$K,0)),T104,INDEX('[1]Définition Maintenances'!$G:$G,MATCH($A104,'[1]Définition Maintenances'!$K:$K,0))+T104),T104))</f>
        <v>277</v>
      </c>
      <c r="V104" s="26">
        <f>IF(ISNUMBER(VLOOKUP($D104,'Visu totale'!$D:$DH,V$1,0)),U104-VLOOKUP($D104,'Visu totale'!$D:$DH,V$1,0),IF(LEFT(VLOOKUP($D104,'Visu totale'!$D:$DH,V$1,0),1)="V",IF(U104&gt;=INDEX('[1]Définition Maintenances'!$G:$G,MATCH($A104,'[1]Définition Maintenances'!$K:$K,0)),U104,INDEX('[1]Définition Maintenances'!$G:$G,MATCH($A104,'[1]Définition Maintenances'!$K:$K,0))+U104),U104))</f>
        <v>277</v>
      </c>
      <c r="W104" s="26">
        <f>IF(ISNUMBER(VLOOKUP($D104,'Visu totale'!$D:$DH,W$1,0)),V104-VLOOKUP($D104,'Visu totale'!$D:$DH,W$1,0),IF(LEFT(VLOOKUP($D104,'Visu totale'!$D:$DH,W$1,0),1)="V",IF(V104&gt;=INDEX('[1]Définition Maintenances'!$G:$G,MATCH($A104,'[1]Définition Maintenances'!$K:$K,0)),V104,INDEX('[1]Définition Maintenances'!$G:$G,MATCH($A104,'[1]Définition Maintenances'!$K:$K,0))+V104),V104))</f>
        <v>277</v>
      </c>
      <c r="X104" s="26">
        <f>IF(ISNUMBER(VLOOKUP($D104,'Visu totale'!$D:$DH,X$1,0)),W104-VLOOKUP($D104,'Visu totale'!$D:$DH,X$1,0),IF(LEFT(VLOOKUP($D104,'Visu totale'!$D:$DH,X$1,0),1)="V",IF(W104&gt;=INDEX('[1]Définition Maintenances'!$G:$G,MATCH($A104,'[1]Définition Maintenances'!$K:$K,0)),W104,INDEX('[1]Définition Maintenances'!$G:$G,MATCH($A104,'[1]Définition Maintenances'!$K:$K,0))+W104),W104))</f>
        <v>277</v>
      </c>
      <c r="Y104" s="26">
        <f>IF(ISNUMBER(VLOOKUP($D104,'Visu totale'!$D:$DH,Y$1,0)),X104-VLOOKUP($D104,'Visu totale'!$D:$DH,Y$1,0),IF(LEFT(VLOOKUP($D104,'Visu totale'!$D:$DH,Y$1,0),1)="V",IF(X104&gt;=INDEX('[1]Définition Maintenances'!$G:$G,MATCH($A104,'[1]Définition Maintenances'!$K:$K,0)),X104,INDEX('[1]Définition Maintenances'!$G:$G,MATCH($A104,'[1]Définition Maintenances'!$K:$K,0))+X104),X104))</f>
        <v>277</v>
      </c>
      <c r="Z104" s="26">
        <f>IF(ISNUMBER(VLOOKUP($D104,'Visu totale'!$D:$DH,Z$1,0)),Y104-VLOOKUP($D104,'Visu totale'!$D:$DH,Z$1,0),IF(LEFT(VLOOKUP($D104,'Visu totale'!$D:$DH,Z$1,0),1)="V",IF(Y104&gt;=INDEX('[1]Définition Maintenances'!$G:$G,MATCH($A104,'[1]Définition Maintenances'!$K:$K,0)),Y104,INDEX('[1]Définition Maintenances'!$G:$G,MATCH($A104,'[1]Définition Maintenances'!$K:$K,0))+Y104),Y104))</f>
        <v>277</v>
      </c>
      <c r="AA104" s="26">
        <f>IF(ISNUMBER(VLOOKUP($D104,'Visu totale'!$D:$DH,AA$1,0)),Z104-VLOOKUP($D104,'Visu totale'!$D:$DH,AA$1,0),IF(LEFT(VLOOKUP($D104,'Visu totale'!$D:$DH,AA$1,0),1)="V",IF(Z104&gt;=INDEX('[1]Définition Maintenances'!$G:$G,MATCH($A104,'[1]Définition Maintenances'!$K:$K,0)),Z104,INDEX('[1]Définition Maintenances'!$G:$G,MATCH($A104,'[1]Définition Maintenances'!$K:$K,0))+Z104),Z104))</f>
        <v>277</v>
      </c>
      <c r="AB104" s="26">
        <f>IF(ISNUMBER(VLOOKUP($D104,'Visu totale'!$D:$DH,AB$1,0)),AA104-VLOOKUP($D104,'Visu totale'!$D:$DH,AB$1,0),IF(LEFT(VLOOKUP($D104,'Visu totale'!$D:$DH,AB$1,0),1)="V",IF(AA104&gt;=INDEX('[1]Définition Maintenances'!$G:$G,MATCH($A104,'[1]Définition Maintenances'!$K:$K,0)),AA104,INDEX('[1]Définition Maintenances'!$G:$G,MATCH($A104,'[1]Définition Maintenances'!$K:$K,0))+AA104),AA104))</f>
        <v>277</v>
      </c>
      <c r="AC104" s="27">
        <f>IF(ISNUMBER(VLOOKUP($D104,'Visu totale'!$D:$DH,AC$1,0)),AB104-VLOOKUP($D104,'Visu totale'!$D:$DH,AC$1,0),IF(LEFT(VLOOKUP($D104,'Visu totale'!$D:$DH,AC$1,0),1)="V",IF(AB104&gt;=INDEX('[1]Définition Maintenances'!$G:$G,MATCH($A104,'[1]Définition Maintenances'!$K:$K,0)),AB104,INDEX('[1]Définition Maintenances'!$G:$G,MATCH($A104,'[1]Définition Maintenances'!$K:$K,0))+AB104),AB104))</f>
        <v>277</v>
      </c>
      <c r="AD104" s="25">
        <f>IF(ISNUMBER(VLOOKUP($D104,'Visu totale'!$D:$DH,AD$1,0)),AC104-VLOOKUP($D104,'Visu totale'!$D:$DH,AD$1,0),IF(LEFT(VLOOKUP($D104,'Visu totale'!$D:$DH,AD$1,0),1)="V",IF(AC104&gt;=INDEX('[1]Définition Maintenances'!$G:$G,MATCH($A104,'[1]Définition Maintenances'!$K:$K,0)),AC104,INDEX('[1]Définition Maintenances'!$G:$G,MATCH($A104,'[1]Définition Maintenances'!$K:$K,0))+AC104),AC104))</f>
        <v>277</v>
      </c>
      <c r="AE104" s="26">
        <f>IF(ISNUMBER(VLOOKUP($D104,'Visu totale'!$D:$DH,AE$1,0)),AD104-VLOOKUP($D104,'Visu totale'!$D:$DH,AE$1,0),IF(LEFT(VLOOKUP($D104,'Visu totale'!$D:$DH,AE$1,0),1)="V",IF(AD104&gt;=INDEX('[1]Définition Maintenances'!$G:$G,MATCH($A104,'[1]Définition Maintenances'!$K:$K,0)),AD104,INDEX('[1]Définition Maintenances'!$G:$G,MATCH($A104,'[1]Définition Maintenances'!$K:$K,0))+AD104),AD104))</f>
        <v>277</v>
      </c>
      <c r="AF104" s="26">
        <f>IF(ISNUMBER(VLOOKUP($D104,'Visu totale'!$D:$DH,AF$1,0)),AE104-VLOOKUP($D104,'Visu totale'!$D:$DH,AF$1,0),IF(LEFT(VLOOKUP($D104,'Visu totale'!$D:$DH,AF$1,0),1)="V",IF(AE104&gt;=INDEX('[1]Définition Maintenances'!$G:$G,MATCH($A104,'[1]Définition Maintenances'!$K:$K,0)),AE104,INDEX('[1]Définition Maintenances'!$G:$G,MATCH($A104,'[1]Définition Maintenances'!$K:$K,0))+AE104),AE104))</f>
        <v>277</v>
      </c>
      <c r="AG104" s="26">
        <f>IF(ISNUMBER(VLOOKUP($D104,'Visu totale'!$D:$DH,AG$1,0)),AF104-VLOOKUP($D104,'Visu totale'!$D:$DH,AG$1,0),IF(LEFT(VLOOKUP($D104,'Visu totale'!$D:$DH,AG$1,0),1)="V",IF(AF104&gt;=INDEX('[1]Définition Maintenances'!$G:$G,MATCH($A104,'[1]Définition Maintenances'!$K:$K,0)),AF104,INDEX('[1]Définition Maintenances'!$G:$G,MATCH($A104,'[1]Définition Maintenances'!$K:$K,0))+AF104),AF104))</f>
        <v>277</v>
      </c>
      <c r="AH104" s="26">
        <f>IF(ISNUMBER(VLOOKUP($D104,'Visu totale'!$D:$DH,AH$1,0)),AG104-VLOOKUP($D104,'Visu totale'!$D:$DH,AH$1,0),IF(LEFT(VLOOKUP($D104,'Visu totale'!$D:$DH,AH$1,0),1)="V",IF(AG104&gt;=INDEX('[1]Définition Maintenances'!$G:$G,MATCH($A104,'[1]Définition Maintenances'!$K:$K,0)),AG104,INDEX('[1]Définition Maintenances'!$G:$G,MATCH($A104,'[1]Définition Maintenances'!$K:$K,0))+AG104),AG104))</f>
        <v>277</v>
      </c>
      <c r="AI104" s="26">
        <f>IF(ISNUMBER(VLOOKUP($D104,'Visu totale'!$D:$DH,AI$1,0)),AH104-VLOOKUP($D104,'Visu totale'!$D:$DH,AI$1,0),IF(LEFT(VLOOKUP($D104,'Visu totale'!$D:$DH,AI$1,0),1)="V",IF(AH104&gt;=INDEX('[1]Définition Maintenances'!$G:$G,MATCH($A104,'[1]Définition Maintenances'!$K:$K,0)),AH104,INDEX('[1]Définition Maintenances'!$G:$G,MATCH($A104,'[1]Définition Maintenances'!$K:$K,0))+AH104),AH104))</f>
        <v>277</v>
      </c>
      <c r="AJ104" s="26">
        <f>IF(ISNUMBER(VLOOKUP($D104,'Visu totale'!$D:$DH,AJ$1,0)),AI104-VLOOKUP($D104,'Visu totale'!$D:$DH,AJ$1,0),IF(LEFT(VLOOKUP($D104,'Visu totale'!$D:$DH,AJ$1,0),1)="V",IF(AI104&gt;=INDEX('[1]Définition Maintenances'!$G:$G,MATCH($A104,'[1]Définition Maintenances'!$K:$K,0)),AI104,INDEX('[1]Définition Maintenances'!$G:$G,MATCH($A104,'[1]Définition Maintenances'!$K:$K,0))+AI104),AI104))</f>
        <v>277</v>
      </c>
      <c r="AK104" s="26">
        <f>IF(ISNUMBER(VLOOKUP($D104,'Visu totale'!$D:$DH,AK$1,0)),AJ104-VLOOKUP($D104,'Visu totale'!$D:$DH,AK$1,0),IF(LEFT(VLOOKUP($D104,'Visu totale'!$D:$DH,AK$1,0),1)="V",IF(AJ104&gt;=INDEX('[1]Définition Maintenances'!$G:$G,MATCH($A104,'[1]Définition Maintenances'!$K:$K,0)),AJ104,INDEX('[1]Définition Maintenances'!$G:$G,MATCH($A104,'[1]Définition Maintenances'!$K:$K,0))+AJ104),AJ104))</f>
        <v>277</v>
      </c>
      <c r="AL104" s="26">
        <f>IF(ISNUMBER(VLOOKUP($D104,'Visu totale'!$D:$DH,AL$1,0)),AK104-VLOOKUP($D104,'Visu totale'!$D:$DH,AL$1,0),IF(LEFT(VLOOKUP($D104,'Visu totale'!$D:$DH,AL$1,0),1)="V",IF(AK104&gt;=INDEX('[1]Définition Maintenances'!$G:$G,MATCH($A104,'[1]Définition Maintenances'!$K:$K,0)),AK104,INDEX('[1]Définition Maintenances'!$G:$G,MATCH($A104,'[1]Définition Maintenances'!$K:$K,0))+AK104),AK104))</f>
        <v>277</v>
      </c>
      <c r="AM104" s="26">
        <f>IF(ISNUMBER(VLOOKUP($D104,'Visu totale'!$D:$DH,AM$1,0)),AL104-VLOOKUP($D104,'Visu totale'!$D:$DH,AM$1,0),IF(LEFT(VLOOKUP($D104,'Visu totale'!$D:$DH,AM$1,0),1)="V",IF(AL104&gt;=INDEX('[1]Définition Maintenances'!$G:$G,MATCH($A104,'[1]Définition Maintenances'!$K:$K,0)),AL104,INDEX('[1]Définition Maintenances'!$G:$G,MATCH($A104,'[1]Définition Maintenances'!$K:$K,0))+AL104),AL104))</f>
        <v>277</v>
      </c>
      <c r="AN104" s="26">
        <f>IF(ISNUMBER(VLOOKUP($D104,'Visu totale'!$D:$DH,AN$1,0)),AM104-VLOOKUP($D104,'Visu totale'!$D:$DH,AN$1,0),IF(LEFT(VLOOKUP($D104,'Visu totale'!$D:$DH,AN$1,0),1)="V",IF(AM104&gt;=INDEX('[1]Définition Maintenances'!$G:$G,MATCH($A104,'[1]Définition Maintenances'!$K:$K,0)),AM104,INDEX('[1]Définition Maintenances'!$G:$G,MATCH($A104,'[1]Définition Maintenances'!$K:$K,0))+AM104),AM104))</f>
        <v>277</v>
      </c>
      <c r="AO104" s="27">
        <f>IF(ISNUMBER(VLOOKUP($D104,'Visu totale'!$D:$DH,AO$1,0)),AN104-VLOOKUP($D104,'Visu totale'!$D:$DH,AO$1,0),IF(LEFT(VLOOKUP($D104,'Visu totale'!$D:$DH,AO$1,0),1)="V",IF(AN104&gt;=INDEX('[1]Définition Maintenances'!$G:$G,MATCH($A104,'[1]Définition Maintenances'!$K:$K,0)),AN104,INDEX('[1]Définition Maintenances'!$G:$G,MATCH($A104,'[1]Définition Maintenances'!$K:$K,0))+AN104),AN104))</f>
        <v>277</v>
      </c>
      <c r="AP104" s="25">
        <f>IF(ISNUMBER(VLOOKUP($D104,'Visu totale'!$D:$DH,AP$1,0)),AO104-VLOOKUP($D104,'Visu totale'!$D:$DH,AP$1,0),IF(LEFT(VLOOKUP($D104,'Visu totale'!$D:$DH,AP$1,0),1)="V",IF(AO104&gt;=INDEX('[1]Définition Maintenances'!$G:$G,MATCH($A104,'[1]Définition Maintenances'!$K:$K,0)),AO104,INDEX('[1]Définition Maintenances'!$G:$G,MATCH($A104,'[1]Définition Maintenances'!$K:$K,0))+AO104),AO104))</f>
        <v>277</v>
      </c>
      <c r="AQ104" s="26">
        <f>IF(ISNUMBER(VLOOKUP($D104,'Visu totale'!$D:$DH,AQ$1,0)),AP104-VLOOKUP($D104,'Visu totale'!$D:$DH,AQ$1,0),IF(LEFT(VLOOKUP($D104,'Visu totale'!$D:$DH,AQ$1,0),1)="V",IF(AP104&gt;=INDEX('[1]Définition Maintenances'!$G:$G,MATCH($A104,'[1]Définition Maintenances'!$K:$K,0)),AP104,INDEX('[1]Définition Maintenances'!$G:$G,MATCH($A104,'[1]Définition Maintenances'!$K:$K,0))+AP104),AP104))</f>
        <v>277</v>
      </c>
      <c r="AR104" s="26">
        <f>IF(ISNUMBER(VLOOKUP($D104,'Visu totale'!$D:$DH,AR$1,0)),AQ104-VLOOKUP($D104,'Visu totale'!$D:$DH,AR$1,0),IF(LEFT(VLOOKUP($D104,'Visu totale'!$D:$DH,AR$1,0),1)="V",IF(AQ104&gt;=INDEX('[1]Définition Maintenances'!$G:$G,MATCH($A104,'[1]Définition Maintenances'!$K:$K,0)),AQ104,INDEX('[1]Définition Maintenances'!$G:$G,MATCH($A104,'[1]Définition Maintenances'!$K:$K,0))+AQ104),AQ104))</f>
        <v>277</v>
      </c>
      <c r="AS104" s="26">
        <f>IF(ISNUMBER(VLOOKUP($D104,'Visu totale'!$D:$DH,AS$1,0)),AR104-VLOOKUP($D104,'Visu totale'!$D:$DH,AS$1,0),IF(LEFT(VLOOKUP($D104,'Visu totale'!$D:$DH,AS$1,0),1)="V",IF(AR104&gt;=INDEX('[1]Définition Maintenances'!$G:$G,MATCH($A104,'[1]Définition Maintenances'!$K:$K,0)),AR104,INDEX('[1]Définition Maintenances'!$G:$G,MATCH($A104,'[1]Définition Maintenances'!$K:$K,0))+AR104),AR104))</f>
        <v>277</v>
      </c>
      <c r="AT104" s="26">
        <f>IF(ISNUMBER(VLOOKUP($D104,'Visu totale'!$D:$DH,AT$1,0)),AS104-VLOOKUP($D104,'Visu totale'!$D:$DH,AT$1,0),IF(LEFT(VLOOKUP($D104,'Visu totale'!$D:$DH,AT$1,0),1)="V",IF(AS104&gt;=INDEX('[1]Définition Maintenances'!$G:$G,MATCH($A104,'[1]Définition Maintenances'!$K:$K,0)),AS104,INDEX('[1]Définition Maintenances'!$G:$G,MATCH($A104,'[1]Définition Maintenances'!$K:$K,0))+AS104),AS104))</f>
        <v>277</v>
      </c>
      <c r="AU104" s="26">
        <f>IF(ISNUMBER(VLOOKUP($D104,'Visu totale'!$D:$DH,AU$1,0)),AT104-VLOOKUP($D104,'Visu totale'!$D:$DH,AU$1,0),IF(LEFT(VLOOKUP($D104,'Visu totale'!$D:$DH,AU$1,0),1)="V",IF(AT104&gt;=INDEX('[1]Définition Maintenances'!$G:$G,MATCH($A104,'[1]Définition Maintenances'!$K:$K,0)),AT104,INDEX('[1]Définition Maintenances'!$G:$G,MATCH($A104,'[1]Définition Maintenances'!$K:$K,0))+AT104),AT104))</f>
        <v>277</v>
      </c>
      <c r="AV104" s="26">
        <f>IF(ISNUMBER(VLOOKUP($D104,'Visu totale'!$D:$DH,AV$1,0)),AU104-VLOOKUP($D104,'Visu totale'!$D:$DH,AV$1,0),IF(LEFT(VLOOKUP($D104,'Visu totale'!$D:$DH,AV$1,0),1)="V",IF(AU104&gt;=INDEX('[1]Définition Maintenances'!$G:$G,MATCH($A104,'[1]Définition Maintenances'!$K:$K,0)),AU104,INDEX('[1]Définition Maintenances'!$G:$G,MATCH($A104,'[1]Définition Maintenances'!$K:$K,0))+AU104),AU104))</f>
        <v>277</v>
      </c>
      <c r="AW104" s="26">
        <f>IF(ISNUMBER(VLOOKUP($D104,'Visu totale'!$D:$DH,AW$1,0)),AV104-VLOOKUP($D104,'Visu totale'!$D:$DH,AW$1,0),IF(LEFT(VLOOKUP($D104,'Visu totale'!$D:$DH,AW$1,0),1)="V",IF(AV104&gt;=INDEX('[1]Définition Maintenances'!$G:$G,MATCH($A104,'[1]Définition Maintenances'!$K:$K,0)),AV104,INDEX('[1]Définition Maintenances'!$G:$G,MATCH($A104,'[1]Définition Maintenances'!$K:$K,0))+AV104),AV104))</f>
        <v>277</v>
      </c>
      <c r="AX104" s="26">
        <f>IF(ISNUMBER(VLOOKUP($D104,'Visu totale'!$D:$DH,AX$1,0)),AW104-VLOOKUP($D104,'Visu totale'!$D:$DH,AX$1,0),IF(LEFT(VLOOKUP($D104,'Visu totale'!$D:$DH,AX$1,0),1)="V",IF(AW104&gt;=INDEX('[1]Définition Maintenances'!$G:$G,MATCH($A104,'[1]Définition Maintenances'!$K:$K,0)),AW104,INDEX('[1]Définition Maintenances'!$G:$G,MATCH($A104,'[1]Définition Maintenances'!$K:$K,0))+AW104),AW104))</f>
        <v>277</v>
      </c>
      <c r="AY104" s="26">
        <f>IF(ISNUMBER(VLOOKUP($D104,'Visu totale'!$D:$DH,AY$1,0)),AX104-VLOOKUP($D104,'Visu totale'!$D:$DH,AY$1,0),IF(LEFT(VLOOKUP($D104,'Visu totale'!$D:$DH,AY$1,0),1)="V",IF(AX104&gt;=INDEX('[1]Définition Maintenances'!$G:$G,MATCH($A104,'[1]Définition Maintenances'!$K:$K,0)),AX104,INDEX('[1]Définition Maintenances'!$G:$G,MATCH($A104,'[1]Définition Maintenances'!$K:$K,0))+AX104),AX104))</f>
        <v>277</v>
      </c>
      <c r="AZ104" s="26">
        <f>IF(ISNUMBER(VLOOKUP($D104,'Visu totale'!$D:$DH,AZ$1,0)),AY104-VLOOKUP($D104,'Visu totale'!$D:$DH,AZ$1,0),IF(LEFT(VLOOKUP($D104,'Visu totale'!$D:$DH,AZ$1,0),1)="V",IF(AY104&gt;=INDEX('[1]Définition Maintenances'!$G:$G,MATCH($A104,'[1]Définition Maintenances'!$K:$K,0)),AY104,INDEX('[1]Définition Maintenances'!$G:$G,MATCH($A104,'[1]Définition Maintenances'!$K:$K,0))+AY104),AY104))</f>
        <v>277</v>
      </c>
      <c r="BA104" s="27">
        <f>IF(ISNUMBER(VLOOKUP($D104,'Visu totale'!$D:$DH,BA$1,0)),AZ104-VLOOKUP($D104,'Visu totale'!$D:$DH,BA$1,0),IF(LEFT(VLOOKUP($D104,'Visu totale'!$D:$DH,BA$1,0),1)="V",IF(AZ104&gt;=INDEX('[1]Définition Maintenances'!$G:$G,MATCH($A104,'[1]Définition Maintenances'!$K:$K,0)),AZ104,INDEX('[1]Définition Maintenances'!$G:$G,MATCH($A104,'[1]Définition Maintenances'!$K:$K,0))+AZ104),AZ104))</f>
        <v>277</v>
      </c>
      <c r="BB104" s="25">
        <f>IF(ISNUMBER(VLOOKUP($D104,'Visu totale'!$D:$DH,BB$1,0)),BA104-VLOOKUP($D104,'Visu totale'!$D:$DH,BB$1,0),IF(LEFT(VLOOKUP($D104,'Visu totale'!$D:$DH,BB$1,0),1)="V",IF(BA104&gt;=INDEX('[1]Définition Maintenances'!$G:$G,MATCH($A104,'[1]Définition Maintenances'!$K:$K,0)),BA104,INDEX('[1]Définition Maintenances'!$G:$G,MATCH($A104,'[1]Définition Maintenances'!$K:$K,0))+BA104),BA104))</f>
        <v>277</v>
      </c>
      <c r="BC104" s="26">
        <f>IF(ISNUMBER(VLOOKUP($D104,'Visu totale'!$D:$DH,BC$1,0)),BB104-VLOOKUP($D104,'Visu totale'!$D:$DH,BC$1,0),IF(LEFT(VLOOKUP($D104,'Visu totale'!$D:$DH,BC$1,0),1)="V",IF(BB104&gt;=INDEX('[1]Définition Maintenances'!$G:$G,MATCH($A104,'[1]Définition Maintenances'!$K:$K,0)),BB104,INDEX('[1]Définition Maintenances'!$G:$G,MATCH($A104,'[1]Définition Maintenances'!$K:$K,0))+BB104),BB104))</f>
        <v>277</v>
      </c>
      <c r="BD104" s="26">
        <f>IF(ISNUMBER(VLOOKUP($D104,'Visu totale'!$D:$DH,BD$1,0)),BC104-VLOOKUP($D104,'Visu totale'!$D:$DH,BD$1,0),IF(LEFT(VLOOKUP($D104,'Visu totale'!$D:$DH,BD$1,0),1)="V",IF(BC104&gt;=INDEX('[1]Définition Maintenances'!$G:$G,MATCH($A104,'[1]Définition Maintenances'!$K:$K,0)),BC104,INDEX('[1]Définition Maintenances'!$G:$G,MATCH($A104,'[1]Définition Maintenances'!$K:$K,0))+BC104),BC104))</f>
        <v>277</v>
      </c>
      <c r="BE104" s="26">
        <f>IF(ISNUMBER(VLOOKUP($D104,'Visu totale'!$D:$DH,BE$1,0)),BD104-VLOOKUP($D104,'Visu totale'!$D:$DH,BE$1,0),IF(LEFT(VLOOKUP($D104,'Visu totale'!$D:$DH,BE$1,0),1)="V",IF(BD104&gt;=INDEX('[1]Définition Maintenances'!$G:$G,MATCH($A104,'[1]Définition Maintenances'!$K:$K,0)),BD104,INDEX('[1]Définition Maintenances'!$G:$G,MATCH($A104,'[1]Définition Maintenances'!$K:$K,0))+BD104),BD104))</f>
        <v>277</v>
      </c>
      <c r="BF104" s="26">
        <f>IF(ISNUMBER(VLOOKUP($D104,'Visu totale'!$D:$DH,BF$1,0)),BE104-VLOOKUP($D104,'Visu totale'!$D:$DH,BF$1,0),IF(LEFT(VLOOKUP($D104,'Visu totale'!$D:$DH,BF$1,0),1)="V",IF(BE104&gt;=INDEX('[1]Définition Maintenances'!$G:$G,MATCH($A104,'[1]Définition Maintenances'!$K:$K,0)),BE104,INDEX('[1]Définition Maintenances'!$G:$G,MATCH($A104,'[1]Définition Maintenances'!$K:$K,0))+BE104),BE104))</f>
        <v>277</v>
      </c>
      <c r="BG104" s="26">
        <f>IF(ISNUMBER(VLOOKUP($D104,'Visu totale'!$D:$DH,BG$1,0)),BF104-VLOOKUP($D104,'Visu totale'!$D:$DH,BG$1,0),IF(LEFT(VLOOKUP($D104,'Visu totale'!$D:$DH,BG$1,0),1)="V",IF(BF104&gt;=INDEX('[1]Définition Maintenances'!$G:$G,MATCH($A104,'[1]Définition Maintenances'!$K:$K,0)),BF104,INDEX('[1]Définition Maintenances'!$G:$G,MATCH($A104,'[1]Définition Maintenances'!$K:$K,0))+BF104),BF104))</f>
        <v>277</v>
      </c>
      <c r="BH104" s="26">
        <f>IF(ISNUMBER(VLOOKUP($D104,'Visu totale'!$D:$DH,BH$1,0)),BG104-VLOOKUP($D104,'Visu totale'!$D:$DH,BH$1,0),IF(LEFT(VLOOKUP($D104,'Visu totale'!$D:$DH,BH$1,0),1)="V",IF(BG104&gt;=INDEX('[1]Définition Maintenances'!$G:$G,MATCH($A104,'[1]Définition Maintenances'!$K:$K,0)),BG104,INDEX('[1]Définition Maintenances'!$G:$G,MATCH($A104,'[1]Définition Maintenances'!$K:$K,0))+BG104),BG104))</f>
        <v>277</v>
      </c>
      <c r="BI104" s="26">
        <f>IF(ISNUMBER(VLOOKUP($D104,'Visu totale'!$D:$DH,BI$1,0)),BH104-VLOOKUP($D104,'Visu totale'!$D:$DH,BI$1,0),IF(LEFT(VLOOKUP($D104,'Visu totale'!$D:$DH,BI$1,0),1)="V",IF(BH104&gt;=INDEX('[1]Définition Maintenances'!$G:$G,MATCH($A104,'[1]Définition Maintenances'!$K:$K,0)),BH104,INDEX('[1]Définition Maintenances'!$G:$G,MATCH($A104,'[1]Définition Maintenances'!$K:$K,0))+BH104),BH104))</f>
        <v>277</v>
      </c>
      <c r="BJ104" s="26">
        <f>IF(ISNUMBER(VLOOKUP($D104,'Visu totale'!$D:$DH,BJ$1,0)),BI104-VLOOKUP($D104,'Visu totale'!$D:$DH,BJ$1,0),IF(LEFT(VLOOKUP($D104,'Visu totale'!$D:$DH,BJ$1,0),1)="V",IF(BI104&gt;=INDEX('[1]Définition Maintenances'!$G:$G,MATCH($A104,'[1]Définition Maintenances'!$K:$K,0)),BI104,INDEX('[1]Définition Maintenances'!$G:$G,MATCH($A104,'[1]Définition Maintenances'!$K:$K,0))+BI104),BI104))</f>
        <v>277</v>
      </c>
      <c r="BK104" s="26">
        <f>IF(ISNUMBER(VLOOKUP($D104,'Visu totale'!$D:$DH,BK$1,0)),BJ104-VLOOKUP($D104,'Visu totale'!$D:$DH,BK$1,0),IF(LEFT(VLOOKUP($D104,'Visu totale'!$D:$DH,BK$1,0),1)="V",IF(BJ104&gt;=INDEX('[1]Définition Maintenances'!$G:$G,MATCH($A104,'[1]Définition Maintenances'!$K:$K,0)),BJ104,INDEX('[1]Définition Maintenances'!$G:$G,MATCH($A104,'[1]Définition Maintenances'!$K:$K,0))+BJ104),BJ104))</f>
        <v>277</v>
      </c>
      <c r="BL104" s="26">
        <f>IF(ISNUMBER(VLOOKUP($D104,'Visu totale'!$D:$DH,BL$1,0)),BK104-VLOOKUP($D104,'Visu totale'!$D:$DH,BL$1,0),IF(LEFT(VLOOKUP($D104,'Visu totale'!$D:$DH,BL$1,0),1)="V",IF(BK104&gt;=INDEX('[1]Définition Maintenances'!$G:$G,MATCH($A104,'[1]Définition Maintenances'!$K:$K,0)),BK104,INDEX('[1]Définition Maintenances'!$G:$G,MATCH($A104,'[1]Définition Maintenances'!$K:$K,0))+BK104),BK104))</f>
        <v>277</v>
      </c>
      <c r="BM104" s="27">
        <f>IF(ISNUMBER(VLOOKUP($D104,'Visu totale'!$D:$DH,BM$1,0)),BL104-VLOOKUP($D104,'Visu totale'!$D:$DH,BM$1,0),IF(LEFT(VLOOKUP($D104,'Visu totale'!$D:$DH,BM$1,0),1)="V",IF(BL104&gt;=INDEX('[1]Définition Maintenances'!$G:$G,MATCH($A104,'[1]Définition Maintenances'!$K:$K,0)),BL104,INDEX('[1]Définition Maintenances'!$G:$G,MATCH($A104,'[1]Définition Maintenances'!$K:$K,0))+BL104),BL104))</f>
        <v>277</v>
      </c>
      <c r="BN104" s="25">
        <f>IF(ISNUMBER(VLOOKUP($D104,'Visu totale'!$D:$DH,BN$1,0)),BM104-VLOOKUP($D104,'Visu totale'!$D:$DH,BN$1,0),IF(LEFT(VLOOKUP($D104,'Visu totale'!$D:$DH,BN$1,0),1)="V",IF(BM104&gt;=INDEX('[1]Définition Maintenances'!$G:$G,MATCH($A104,'[1]Définition Maintenances'!$K:$K,0)),BM104,INDEX('[1]Définition Maintenances'!$G:$G,MATCH($A104,'[1]Définition Maintenances'!$K:$K,0))+BM104),BM104))</f>
        <v>277</v>
      </c>
      <c r="BO104" s="26">
        <f>IF(ISNUMBER(VLOOKUP($D104,'Visu totale'!$D:$DH,BO$1,0)),BN104-VLOOKUP($D104,'Visu totale'!$D:$DH,BO$1,0),IF(LEFT(VLOOKUP($D104,'Visu totale'!$D:$DH,BO$1,0),1)="V",IF(BN104&gt;=INDEX('[1]Définition Maintenances'!$G:$G,MATCH($A104,'[1]Définition Maintenances'!$K:$K,0)),BN104,INDEX('[1]Définition Maintenances'!$G:$G,MATCH($A104,'[1]Définition Maintenances'!$K:$K,0))+BN104),BN104))</f>
        <v>277</v>
      </c>
      <c r="BP104" s="26">
        <f>IF(ISNUMBER(VLOOKUP($D104,'Visu totale'!$D:$DH,BP$1,0)),BO104-VLOOKUP($D104,'Visu totale'!$D:$DH,BP$1,0),IF(LEFT(VLOOKUP($D104,'Visu totale'!$D:$DH,BP$1,0),1)="V",IF(BO104&gt;=INDEX('[1]Définition Maintenances'!$G:$G,MATCH($A104,'[1]Définition Maintenances'!$K:$K,0)),BO104,INDEX('[1]Définition Maintenances'!$G:$G,MATCH($A104,'[1]Définition Maintenances'!$K:$K,0))+BO104),BO104))</f>
        <v>277</v>
      </c>
      <c r="BQ104" s="26">
        <f>IF(ISNUMBER(VLOOKUP($D104,'Visu totale'!$D:$DH,BQ$1,0)),BP104-VLOOKUP($D104,'Visu totale'!$D:$DH,BQ$1,0),IF(LEFT(VLOOKUP($D104,'Visu totale'!$D:$DH,BQ$1,0),1)="V",IF(BP104&gt;=INDEX('[1]Définition Maintenances'!$G:$G,MATCH($A104,'[1]Définition Maintenances'!$K:$K,0)),BP104,INDEX('[1]Définition Maintenances'!$G:$G,MATCH($A104,'[1]Définition Maintenances'!$K:$K,0))+BP104),BP104))</f>
        <v>277</v>
      </c>
      <c r="BR104" s="26">
        <f>IF(ISNUMBER(VLOOKUP($D104,'Visu totale'!$D:$DH,BR$1,0)),BQ104-VLOOKUP($D104,'Visu totale'!$D:$DH,BR$1,0),IF(LEFT(VLOOKUP($D104,'Visu totale'!$D:$DH,BR$1,0),1)="V",IF(BQ104&gt;=INDEX('[1]Définition Maintenances'!$G:$G,MATCH($A104,'[1]Définition Maintenances'!$K:$K,0)),BQ104,INDEX('[1]Définition Maintenances'!$G:$G,MATCH($A104,'[1]Définition Maintenances'!$K:$K,0))+BQ104),BQ104))</f>
        <v>277</v>
      </c>
      <c r="BS104" s="26">
        <f>IF(ISNUMBER(VLOOKUP($D104,'Visu totale'!$D:$DH,BS$1,0)),BR104-VLOOKUP($D104,'Visu totale'!$D:$DH,BS$1,0),IF(LEFT(VLOOKUP($D104,'Visu totale'!$D:$DH,BS$1,0),1)="V",IF(BR104&gt;=INDEX('[1]Définition Maintenances'!$G:$G,MATCH($A104,'[1]Définition Maintenances'!$K:$K,0)),BR104,INDEX('[1]Définition Maintenances'!$G:$G,MATCH($A104,'[1]Définition Maintenances'!$K:$K,0))+BR104),BR104))</f>
        <v>277</v>
      </c>
      <c r="BT104" s="26">
        <f>IF(ISNUMBER(VLOOKUP($D104,'Visu totale'!$D:$DH,BT$1,0)),BS104-VLOOKUP($D104,'Visu totale'!$D:$DH,BT$1,0),IF(LEFT(VLOOKUP($D104,'Visu totale'!$D:$DH,BT$1,0),1)="V",IF(BS104&gt;=INDEX('[1]Définition Maintenances'!$G:$G,MATCH($A104,'[1]Définition Maintenances'!$K:$K,0)),BS104,INDEX('[1]Définition Maintenances'!$G:$G,MATCH($A104,'[1]Définition Maintenances'!$K:$K,0))+BS104),BS104))</f>
        <v>277</v>
      </c>
      <c r="BU104" s="26">
        <f>IF(ISNUMBER(VLOOKUP($D104,'Visu totale'!$D:$DH,BU$1,0)),BT104-VLOOKUP($D104,'Visu totale'!$D:$DH,BU$1,0),IF(LEFT(VLOOKUP($D104,'Visu totale'!$D:$DH,BU$1,0),1)="V",IF(BT104&gt;=INDEX('[1]Définition Maintenances'!$G:$G,MATCH($A104,'[1]Définition Maintenances'!$K:$K,0)),BT104,INDEX('[1]Définition Maintenances'!$G:$G,MATCH($A104,'[1]Définition Maintenances'!$K:$K,0))+BT104),BT104))</f>
        <v>277</v>
      </c>
      <c r="BV104" s="26">
        <f>IF(ISNUMBER(VLOOKUP($D104,'Visu totale'!$D:$DH,BV$1,0)),BU104-VLOOKUP($D104,'Visu totale'!$D:$DH,BV$1,0),IF(LEFT(VLOOKUP($D104,'Visu totale'!$D:$DH,BV$1,0),1)="V",IF(BU104&gt;=INDEX('[1]Définition Maintenances'!$G:$G,MATCH($A104,'[1]Définition Maintenances'!$K:$K,0)),BU104,INDEX('[1]Définition Maintenances'!$G:$G,MATCH($A104,'[1]Définition Maintenances'!$K:$K,0))+BU104),BU104))</f>
        <v>277</v>
      </c>
      <c r="BW104" s="26">
        <f>IF(ISNUMBER(VLOOKUP($D104,'Visu totale'!$D:$DH,BW$1,0)),BV104-VLOOKUP($D104,'Visu totale'!$D:$DH,BW$1,0),IF(LEFT(VLOOKUP($D104,'Visu totale'!$D:$DH,BW$1,0),1)="V",IF(BV104&gt;=INDEX('[1]Définition Maintenances'!$G:$G,MATCH($A104,'[1]Définition Maintenances'!$K:$K,0)),BV104,INDEX('[1]Définition Maintenances'!$G:$G,MATCH($A104,'[1]Définition Maintenances'!$K:$K,0))+BV104),BV104))</f>
        <v>277</v>
      </c>
      <c r="BX104" s="26">
        <f>IF(ISNUMBER(VLOOKUP($D104,'Visu totale'!$D:$DH,BX$1,0)),BW104-VLOOKUP($D104,'Visu totale'!$D:$DH,BX$1,0),IF(LEFT(VLOOKUP($D104,'Visu totale'!$D:$DH,BX$1,0),1)="V",IF(BW104&gt;=INDEX('[1]Définition Maintenances'!$G:$G,MATCH($A104,'[1]Définition Maintenances'!$K:$K,0)),BW104,INDEX('[1]Définition Maintenances'!$G:$G,MATCH($A104,'[1]Définition Maintenances'!$K:$K,0))+BW104),BW104))</f>
        <v>277</v>
      </c>
      <c r="BY104" s="27">
        <f>IF(ISNUMBER(VLOOKUP($D104,'Visu totale'!$D:$DH,BY$1,0)),BX104-VLOOKUP($D104,'Visu totale'!$D:$DH,BY$1,0),IF(LEFT(VLOOKUP($D104,'Visu totale'!$D:$DH,BY$1,0),1)="V",IF(BX104&gt;=INDEX('[1]Définition Maintenances'!$G:$G,MATCH($A104,'[1]Définition Maintenances'!$K:$K,0)),BX104,INDEX('[1]Définition Maintenances'!$G:$G,MATCH($A104,'[1]Définition Maintenances'!$K:$K,0))+BX104),BX104))</f>
        <v>277</v>
      </c>
      <c r="BZ104" s="25">
        <f>IF(ISNUMBER(VLOOKUP($D104,'Visu totale'!$D:$DH,BZ$1,0)),BY104-VLOOKUP($D104,'Visu totale'!$D:$DH,BZ$1,0),IF(LEFT(VLOOKUP($D104,'Visu totale'!$D:$DH,BZ$1,0),1)="V",IF(BY104&gt;=INDEX('[1]Définition Maintenances'!$G:$G,MATCH($A104,'[1]Définition Maintenances'!$K:$K,0)),BY104,INDEX('[1]Définition Maintenances'!$G:$G,MATCH($A104,'[1]Définition Maintenances'!$K:$K,0))+BY104),BY104))</f>
        <v>277</v>
      </c>
      <c r="CA104" s="26">
        <f>IF(ISNUMBER(VLOOKUP($D104,'Visu totale'!$D:$DH,CA$1,0)),BZ104-VLOOKUP($D104,'Visu totale'!$D:$DH,CA$1,0),IF(LEFT(VLOOKUP($D104,'Visu totale'!$D:$DH,CA$1,0),1)="V",IF(BZ104&gt;=INDEX('[1]Définition Maintenances'!$G:$G,MATCH($A104,'[1]Définition Maintenances'!$K:$K,0)),BZ104,INDEX('[1]Définition Maintenances'!$G:$G,MATCH($A104,'[1]Définition Maintenances'!$K:$K,0))+BZ104),BZ104))</f>
        <v>277</v>
      </c>
      <c r="CB104" s="26">
        <f>IF(ISNUMBER(VLOOKUP($D104,'Visu totale'!$D:$DH,CB$1,0)),CA104-VLOOKUP($D104,'Visu totale'!$D:$DH,CB$1,0),IF(LEFT(VLOOKUP($D104,'Visu totale'!$D:$DH,CB$1,0),1)="V",IF(CA104&gt;=INDEX('[1]Définition Maintenances'!$G:$G,MATCH($A104,'[1]Définition Maintenances'!$K:$K,0)),CA104,INDEX('[1]Définition Maintenances'!$G:$G,MATCH($A104,'[1]Définition Maintenances'!$K:$K,0))+CA104),CA104))</f>
        <v>277</v>
      </c>
      <c r="CC104" s="26">
        <f>IF(ISNUMBER(VLOOKUP($D104,'Visu totale'!$D:$DH,CC$1,0)),CB104-VLOOKUP($D104,'Visu totale'!$D:$DH,CC$1,0),IF(LEFT(VLOOKUP($D104,'Visu totale'!$D:$DH,CC$1,0),1)="V",IF(CB104&gt;=INDEX('[1]Définition Maintenances'!$G:$G,MATCH($A104,'[1]Définition Maintenances'!$K:$K,0)),CB104,INDEX('[1]Définition Maintenances'!$G:$G,MATCH($A104,'[1]Définition Maintenances'!$K:$K,0))+CB104),CB104))</f>
        <v>277</v>
      </c>
      <c r="CD104" s="26">
        <f>IF(ISNUMBER(VLOOKUP($D104,'Visu totale'!$D:$DH,CD$1,0)),CC104-VLOOKUP($D104,'Visu totale'!$D:$DH,CD$1,0),IF(LEFT(VLOOKUP($D104,'Visu totale'!$D:$DH,CD$1,0),1)="V",IF(CC104&gt;=INDEX('[1]Définition Maintenances'!$G:$G,MATCH($A104,'[1]Définition Maintenances'!$K:$K,0)),CC104,INDEX('[1]Définition Maintenances'!$G:$G,MATCH($A104,'[1]Définition Maintenances'!$K:$K,0))+CC104),CC104))</f>
        <v>277</v>
      </c>
      <c r="CE104" s="26">
        <f>IF(ISNUMBER(VLOOKUP($D104,'Visu totale'!$D:$DH,CE$1,0)),CD104-VLOOKUP($D104,'Visu totale'!$D:$DH,CE$1,0),IF(LEFT(VLOOKUP($D104,'Visu totale'!$D:$DH,CE$1,0),1)="V",IF(CD104&gt;=INDEX('[1]Définition Maintenances'!$G:$G,MATCH($A104,'[1]Définition Maintenances'!$K:$K,0)),CD104,INDEX('[1]Définition Maintenances'!$G:$G,MATCH($A104,'[1]Définition Maintenances'!$K:$K,0))+CD104),CD104))</f>
        <v>277</v>
      </c>
      <c r="CF104" s="26">
        <f>IF(ISNUMBER(VLOOKUP($D104,'Visu totale'!$D:$DH,CF$1,0)),CE104-VLOOKUP($D104,'Visu totale'!$D:$DH,CF$1,0),IF(LEFT(VLOOKUP($D104,'Visu totale'!$D:$DH,CF$1,0),1)="V",IF(CE104&gt;=INDEX('[1]Définition Maintenances'!$G:$G,MATCH($A104,'[1]Définition Maintenances'!$K:$K,0)),CE104,INDEX('[1]Définition Maintenances'!$G:$G,MATCH($A104,'[1]Définition Maintenances'!$K:$K,0))+CE104),CE104))</f>
        <v>277</v>
      </c>
      <c r="CG104" s="26">
        <f>IF(ISNUMBER(VLOOKUP($D104,'Visu totale'!$D:$DH,CG$1,0)),CF104-VLOOKUP($D104,'Visu totale'!$D:$DH,CG$1,0),IF(LEFT(VLOOKUP($D104,'Visu totale'!$D:$DH,CG$1,0),1)="V",IF(CF104&gt;=INDEX('[1]Définition Maintenances'!$G:$G,MATCH($A104,'[1]Définition Maintenances'!$K:$K,0)),CF104,INDEX('[1]Définition Maintenances'!$G:$G,MATCH($A104,'[1]Définition Maintenances'!$K:$K,0))+CF104),CF104))</f>
        <v>277</v>
      </c>
      <c r="CH104" s="26">
        <f>IF(ISNUMBER(VLOOKUP($D104,'Visu totale'!$D:$DH,CH$1,0)),CG104-VLOOKUP($D104,'Visu totale'!$D:$DH,CH$1,0),IF(LEFT(VLOOKUP($D104,'Visu totale'!$D:$DH,CH$1,0),1)="V",IF(CG104&gt;=INDEX('[1]Définition Maintenances'!$G:$G,MATCH($A104,'[1]Définition Maintenances'!$K:$K,0)),CG104,INDEX('[1]Définition Maintenances'!$G:$G,MATCH($A104,'[1]Définition Maintenances'!$K:$K,0))+CG104),CG104))</f>
        <v>277</v>
      </c>
      <c r="CI104" s="26">
        <f>IF(ISNUMBER(VLOOKUP($D104,'Visu totale'!$D:$DH,CI$1,0)),CH104-VLOOKUP($D104,'Visu totale'!$D:$DH,CI$1,0),IF(LEFT(VLOOKUP($D104,'Visu totale'!$D:$DH,CI$1,0),1)="V",IF(CH104&gt;=INDEX('[1]Définition Maintenances'!$G:$G,MATCH($A104,'[1]Définition Maintenances'!$K:$K,0)),CH104,INDEX('[1]Définition Maintenances'!$G:$G,MATCH($A104,'[1]Définition Maintenances'!$K:$K,0))+CH104),CH104))</f>
        <v>277</v>
      </c>
      <c r="CJ104" s="26">
        <f>IF(ISNUMBER(VLOOKUP($D104,'Visu totale'!$D:$DH,CJ$1,0)),CI104-VLOOKUP($D104,'Visu totale'!$D:$DH,CJ$1,0),IF(LEFT(VLOOKUP($D104,'Visu totale'!$D:$DH,CJ$1,0),1)="V",IF(CI104&gt;=INDEX('[1]Définition Maintenances'!$G:$G,MATCH($A104,'[1]Définition Maintenances'!$K:$K,0)),CI104,INDEX('[1]Définition Maintenances'!$G:$G,MATCH($A104,'[1]Définition Maintenances'!$K:$K,0))+CI104),CI104))</f>
        <v>277</v>
      </c>
      <c r="CK104" s="27">
        <f>IF(ISNUMBER(VLOOKUP($D104,'Visu totale'!$D:$DH,CK$1,0)),CJ104-VLOOKUP($D104,'Visu totale'!$D:$DH,CK$1,0),IF(LEFT(VLOOKUP($D104,'Visu totale'!$D:$DH,CK$1,0),1)="V",IF(CJ104&gt;=INDEX('[1]Définition Maintenances'!$G:$G,MATCH($A104,'[1]Définition Maintenances'!$K:$K,0)),CJ104,INDEX('[1]Définition Maintenances'!$G:$G,MATCH($A104,'[1]Définition Maintenances'!$K:$K,0))+CJ104),CJ104))</f>
        <v>277</v>
      </c>
      <c r="CL104" s="25">
        <f>IF(ISNUMBER(VLOOKUP($D104,'Visu totale'!$D:$DH,CL$1,0)),CK104-VLOOKUP($D104,'Visu totale'!$D:$DH,CL$1,0),IF(LEFT(VLOOKUP($D104,'Visu totale'!$D:$DH,CL$1,0),1)="V",IF(CK104&gt;=INDEX('[1]Définition Maintenances'!$G:$G,MATCH($A104,'[1]Définition Maintenances'!$K:$K,0)),CK104,INDEX('[1]Définition Maintenances'!$G:$G,MATCH($A104,'[1]Définition Maintenances'!$K:$K,0))+CK104),CK104))</f>
        <v>277</v>
      </c>
      <c r="CM104" s="26">
        <f>IF(ISNUMBER(VLOOKUP($D104,'Visu totale'!$D:$DH,CM$1,0)),CL104-VLOOKUP($D104,'Visu totale'!$D:$DH,CM$1,0),IF(LEFT(VLOOKUP($D104,'Visu totale'!$D:$DH,CM$1,0),1)="V",IF(CL104&gt;=INDEX('[1]Définition Maintenances'!$G:$G,MATCH($A104,'[1]Définition Maintenances'!$K:$K,0)),CL104,INDEX('[1]Définition Maintenances'!$G:$G,MATCH($A104,'[1]Définition Maintenances'!$K:$K,0))+CL104),CL104))</f>
        <v>277</v>
      </c>
      <c r="CN104" s="26">
        <f>IF(ISNUMBER(VLOOKUP($D104,'Visu totale'!$D:$DH,CN$1,0)),CM104-VLOOKUP($D104,'Visu totale'!$D:$DH,CN$1,0),IF(LEFT(VLOOKUP($D104,'Visu totale'!$D:$DH,CN$1,0),1)="V",IF(CM104&gt;=INDEX('[1]Définition Maintenances'!$G:$G,MATCH($A104,'[1]Définition Maintenances'!$K:$K,0)),CM104,INDEX('[1]Définition Maintenances'!$G:$G,MATCH($A104,'[1]Définition Maintenances'!$K:$K,0))+CM104),CM104))</f>
        <v>277</v>
      </c>
      <c r="CO104" s="26">
        <f>IF(ISNUMBER(VLOOKUP($D104,'Visu totale'!$D:$DH,CO$1,0)),CN104-VLOOKUP($D104,'Visu totale'!$D:$DH,CO$1,0),IF(LEFT(VLOOKUP($D104,'Visu totale'!$D:$DH,CO$1,0),1)="V",IF(CN104&gt;=INDEX('[1]Définition Maintenances'!$G:$G,MATCH($A104,'[1]Définition Maintenances'!$K:$K,0)),CN104,INDEX('[1]Définition Maintenances'!$G:$G,MATCH($A104,'[1]Définition Maintenances'!$K:$K,0))+CN104),CN104))</f>
        <v>277</v>
      </c>
      <c r="CP104" s="26">
        <f>IF(ISNUMBER(VLOOKUP($D104,'Visu totale'!$D:$DH,CP$1,0)),CO104-VLOOKUP($D104,'Visu totale'!$D:$DH,CP$1,0),IF(LEFT(VLOOKUP($D104,'Visu totale'!$D:$DH,CP$1,0),1)="V",IF(CO104&gt;=INDEX('[1]Définition Maintenances'!$G:$G,MATCH($A104,'[1]Définition Maintenances'!$K:$K,0)),CO104,INDEX('[1]Définition Maintenances'!$G:$G,MATCH($A104,'[1]Définition Maintenances'!$K:$K,0))+CO104),CO104))</f>
        <v>277</v>
      </c>
      <c r="CQ104" s="26">
        <f>IF(ISNUMBER(VLOOKUP($D104,'Visu totale'!$D:$DH,CQ$1,0)),CP104-VLOOKUP($D104,'Visu totale'!$D:$DH,CQ$1,0),IF(LEFT(VLOOKUP($D104,'Visu totale'!$D:$DH,CQ$1,0),1)="V",IF(CP104&gt;=INDEX('[1]Définition Maintenances'!$G:$G,MATCH($A104,'[1]Définition Maintenances'!$K:$K,0)),CP104,INDEX('[1]Définition Maintenances'!$G:$G,MATCH($A104,'[1]Définition Maintenances'!$K:$K,0))+CP104),CP104))</f>
        <v>277</v>
      </c>
      <c r="CR104" s="26">
        <f>IF(ISNUMBER(VLOOKUP($D104,'Visu totale'!$D:$DH,CR$1,0)),CQ104-VLOOKUP($D104,'Visu totale'!$D:$DH,CR$1,0),IF(LEFT(VLOOKUP($D104,'Visu totale'!$D:$DH,CR$1,0),1)="V",IF(CQ104&gt;=INDEX('[1]Définition Maintenances'!$G:$G,MATCH($A104,'[1]Définition Maintenances'!$K:$K,0)),CQ104,INDEX('[1]Définition Maintenances'!$G:$G,MATCH($A104,'[1]Définition Maintenances'!$K:$K,0))+CQ104),CQ104))</f>
        <v>277</v>
      </c>
      <c r="CS104" s="26">
        <f>IF(ISNUMBER(VLOOKUP($D104,'Visu totale'!$D:$DH,CS$1,0)),CR104-VLOOKUP($D104,'Visu totale'!$D:$DH,CS$1,0),IF(LEFT(VLOOKUP($D104,'Visu totale'!$D:$DH,CS$1,0),1)="V",IF(CR104&gt;=INDEX('[1]Définition Maintenances'!$G:$G,MATCH($A104,'[1]Définition Maintenances'!$K:$K,0)),CR104,INDEX('[1]Définition Maintenances'!$G:$G,MATCH($A104,'[1]Définition Maintenances'!$K:$K,0))+CR104),CR104))</f>
        <v>277</v>
      </c>
      <c r="CT104" s="26">
        <f>IF(ISNUMBER(VLOOKUP($D104,'Visu totale'!$D:$DH,CT$1,0)),CS104-VLOOKUP($D104,'Visu totale'!$D:$DH,CT$1,0),IF(LEFT(VLOOKUP($D104,'Visu totale'!$D:$DH,CT$1,0),1)="V",IF(CS104&gt;=INDEX('[1]Définition Maintenances'!$G:$G,MATCH($A104,'[1]Définition Maintenances'!$K:$K,0)),CS104,INDEX('[1]Définition Maintenances'!$G:$G,MATCH($A104,'[1]Définition Maintenances'!$K:$K,0))+CS104),CS104))</f>
        <v>277</v>
      </c>
      <c r="CU104" s="26">
        <f>IF(ISNUMBER(VLOOKUP($D104,'Visu totale'!$D:$DH,CU$1,0)),CT104-VLOOKUP($D104,'Visu totale'!$D:$DH,CU$1,0),IF(LEFT(VLOOKUP($D104,'Visu totale'!$D:$DH,CU$1,0),1)="V",IF(CT104&gt;=INDEX('[1]Définition Maintenances'!$G:$G,MATCH($A104,'[1]Définition Maintenances'!$K:$K,0)),CT104,INDEX('[1]Définition Maintenances'!$G:$G,MATCH($A104,'[1]Définition Maintenances'!$K:$K,0))+CT104),CT104))</f>
        <v>277</v>
      </c>
      <c r="CV104" s="26">
        <f>IF(ISNUMBER(VLOOKUP($D104,'Visu totale'!$D:$DH,CV$1,0)),CU104-VLOOKUP($D104,'Visu totale'!$D:$DH,CV$1,0),IF(LEFT(VLOOKUP($D104,'Visu totale'!$D:$DH,CV$1,0),1)="V",IF(CU104&gt;=INDEX('[1]Définition Maintenances'!$G:$G,MATCH($A104,'[1]Définition Maintenances'!$K:$K,0)),CU104,INDEX('[1]Définition Maintenances'!$G:$G,MATCH($A104,'[1]Définition Maintenances'!$K:$K,0))+CU104),CU104))</f>
        <v>277</v>
      </c>
      <c r="CW104" s="27">
        <f>IF(ISNUMBER(VLOOKUP($D104,'Visu totale'!$D:$DH,CW$1,0)),CV104-VLOOKUP($D104,'Visu totale'!$D:$DH,CW$1,0),IF(LEFT(VLOOKUP($D104,'Visu totale'!$D:$DH,CW$1,0),1)="V",IF(CV104&gt;=INDEX('[1]Définition Maintenances'!$G:$G,MATCH($A104,'[1]Définition Maintenances'!$K:$K,0)),CV104,INDEX('[1]Définition Maintenances'!$G:$G,MATCH($A104,'[1]Définition Maintenances'!$K:$K,0))+CV104),CV104))</f>
        <v>277</v>
      </c>
      <c r="CX104" s="25">
        <f>IF(ISNUMBER(VLOOKUP($D104,'Visu totale'!$D:$DH,CX$1,0)),CW104-VLOOKUP($D104,'Visu totale'!$D:$DH,CX$1,0),IF(LEFT(VLOOKUP($D104,'Visu totale'!$D:$DH,CX$1,0),1)="V",IF(CW104&gt;=INDEX('[1]Définition Maintenances'!$G:$G,MATCH($A104,'[1]Définition Maintenances'!$K:$K,0)),CW104,INDEX('[1]Définition Maintenances'!$G:$G,MATCH($A104,'[1]Définition Maintenances'!$K:$K,0))+CW104),CW104))</f>
        <v>277</v>
      </c>
      <c r="CY104" s="26">
        <f>IF(ISNUMBER(VLOOKUP($D104,'Visu totale'!$D:$DH,CY$1,0)),CX104-VLOOKUP($D104,'Visu totale'!$D:$DH,CY$1,0),IF(LEFT(VLOOKUP($D104,'Visu totale'!$D:$DH,CY$1,0),1)="V",IF(CX104&gt;=INDEX('[1]Définition Maintenances'!$G:$G,MATCH($A104,'[1]Définition Maintenances'!$K:$K,0)),CX104,INDEX('[1]Définition Maintenances'!$G:$G,MATCH($A104,'[1]Définition Maintenances'!$K:$K,0))+CX104),CX104))</f>
        <v>277</v>
      </c>
      <c r="CZ104" s="26">
        <f>IF(ISNUMBER(VLOOKUP($D104,'Visu totale'!$D:$DH,CZ$1,0)),CY104-VLOOKUP($D104,'Visu totale'!$D:$DH,CZ$1,0),IF(LEFT(VLOOKUP($D104,'Visu totale'!$D:$DH,CZ$1,0),1)="V",IF(CY104&gt;=INDEX('[1]Définition Maintenances'!$G:$G,MATCH($A104,'[1]Définition Maintenances'!$K:$K,0)),CY104,INDEX('[1]Définition Maintenances'!$G:$G,MATCH($A104,'[1]Définition Maintenances'!$K:$K,0))+CY104),CY104))</f>
        <v>277</v>
      </c>
      <c r="DA104" s="26">
        <f>IF(ISNUMBER(VLOOKUP($D104,'Visu totale'!$D:$DH,DA$1,0)),CZ104-VLOOKUP($D104,'Visu totale'!$D:$DH,DA$1,0),IF(LEFT(VLOOKUP($D104,'Visu totale'!$D:$DH,DA$1,0),1)="V",IF(CZ104&gt;=INDEX('[1]Définition Maintenances'!$G:$G,MATCH($A104,'[1]Définition Maintenances'!$K:$K,0)),CZ104,INDEX('[1]Définition Maintenances'!$G:$G,MATCH($A104,'[1]Définition Maintenances'!$K:$K,0))+CZ104),CZ104))</f>
        <v>277</v>
      </c>
      <c r="DB104" s="26">
        <f>IF(ISNUMBER(VLOOKUP($D104,'Visu totale'!$D:$DH,DB$1,0)),DA104-VLOOKUP($D104,'Visu totale'!$D:$DH,DB$1,0),IF(LEFT(VLOOKUP($D104,'Visu totale'!$D:$DH,DB$1,0),1)="V",IF(DA104&gt;=INDEX('[1]Définition Maintenances'!$G:$G,MATCH($A104,'[1]Définition Maintenances'!$K:$K,0)),DA104,INDEX('[1]Définition Maintenances'!$G:$G,MATCH($A104,'[1]Définition Maintenances'!$K:$K,0))+DA104),DA104))</f>
        <v>277</v>
      </c>
      <c r="DC104" s="26">
        <f>IF(ISNUMBER(VLOOKUP($D104,'Visu totale'!$D:$DH,DC$1,0)),DB104-VLOOKUP($D104,'Visu totale'!$D:$DH,DC$1,0),IF(LEFT(VLOOKUP($D104,'Visu totale'!$D:$DH,DC$1,0),1)="V",IF(DB104&gt;=INDEX('[1]Définition Maintenances'!$G:$G,MATCH($A104,'[1]Définition Maintenances'!$K:$K,0)),DB104,INDEX('[1]Définition Maintenances'!$G:$G,MATCH($A104,'[1]Définition Maintenances'!$K:$K,0))+DB104),DB104))</f>
        <v>277</v>
      </c>
      <c r="DD104" s="26">
        <f>IF(ISNUMBER(VLOOKUP($D104,'Visu totale'!$D:$DH,DD$1,0)),DC104-VLOOKUP($D104,'Visu totale'!$D:$DH,DD$1,0),IF(LEFT(VLOOKUP($D104,'Visu totale'!$D:$DH,DD$1,0),1)="V",IF(DC104&gt;=INDEX('[1]Définition Maintenances'!$G:$G,MATCH($A104,'[1]Définition Maintenances'!$K:$K,0)),DC104,INDEX('[1]Définition Maintenances'!$G:$G,MATCH($A104,'[1]Définition Maintenances'!$K:$K,0))+DC104),DC104))</f>
        <v>277</v>
      </c>
      <c r="DE104" s="26">
        <f>IF(ISNUMBER(VLOOKUP($D104,'Visu totale'!$D:$DH,DE$1,0)),DD104-VLOOKUP($D104,'Visu totale'!$D:$DH,DE$1,0),IF(LEFT(VLOOKUP($D104,'Visu totale'!$D:$DH,DE$1,0),1)="V",IF(DD104&gt;=INDEX('[1]Définition Maintenances'!$G:$G,MATCH($A104,'[1]Définition Maintenances'!$K:$K,0)),DD104,INDEX('[1]Définition Maintenances'!$G:$G,MATCH($A104,'[1]Définition Maintenances'!$K:$K,0))+DD104),DD104))</f>
        <v>277</v>
      </c>
      <c r="DF104" s="26">
        <f>IF(ISNUMBER(VLOOKUP($D104,'Visu totale'!$D:$DH,DF$1,0)),DE104-VLOOKUP($D104,'Visu totale'!$D:$DH,DF$1,0),IF(LEFT(VLOOKUP($D104,'Visu totale'!$D:$DH,DF$1,0),1)="V",IF(DE104&gt;=INDEX('[1]Définition Maintenances'!$G:$G,MATCH($A104,'[1]Définition Maintenances'!$K:$K,0)),DE104,INDEX('[1]Définition Maintenances'!$G:$G,MATCH($A104,'[1]Définition Maintenances'!$K:$K,0))+DE104),DE104))</f>
        <v>277</v>
      </c>
      <c r="DG104" s="26">
        <f>IF(ISNUMBER(VLOOKUP($D104,'Visu totale'!$D:$DH,DG$1,0)),DF104-VLOOKUP($D104,'Visu totale'!$D:$DH,DG$1,0),IF(LEFT(VLOOKUP($D104,'Visu totale'!$D:$DH,DG$1,0),1)="V",IF(DF104&gt;=INDEX('[1]Définition Maintenances'!$G:$G,MATCH($A104,'[1]Définition Maintenances'!$K:$K,0)),DF104,INDEX('[1]Définition Maintenances'!$G:$G,MATCH($A104,'[1]Définition Maintenances'!$K:$K,0))+DF104),DF104))</f>
        <v>277</v>
      </c>
      <c r="DH104" s="26">
        <f>IF(ISNUMBER(VLOOKUP($D104,'Visu totale'!$D:$DH,DH$1,0)),DG104-VLOOKUP($D104,'Visu totale'!$D:$DH,DH$1,0),IF(LEFT(VLOOKUP($D104,'Visu totale'!$D:$DH,DH$1,0),1)="V",IF(DG104&gt;=INDEX('[1]Définition Maintenances'!$G:$G,MATCH($A104,'[1]Définition Maintenances'!$K:$K,0)),DG104,INDEX('[1]Définition Maintenances'!$G:$G,MATCH($A104,'[1]Définition Maintenances'!$K:$K,0))+DG104),DG104))</f>
        <v>277</v>
      </c>
      <c r="DI104" s="27">
        <f>IF(ISNUMBER(VLOOKUP($D104,'Visu totale'!$D:$DH,DI$1,0)),DH104-VLOOKUP($D104,'Visu totale'!$D:$DH,DI$1,0),IF(LEFT(VLOOKUP($D104,'Visu totale'!$D:$DH,DI$1,0),1)="V",IF(DH104&gt;=INDEX('[1]Définition Maintenances'!$G:$G,MATCH($A104,'[1]Définition Maintenances'!$K:$K,0)),DH104,INDEX('[1]Définition Maintenances'!$G:$G,MATCH($A104,'[1]Définition Maintenances'!$K:$K,0))+DH104),DH104))</f>
        <v>277</v>
      </c>
    </row>
    <row r="105" spans="1:113" x14ac:dyDescent="0.25">
      <c r="A105" s="13" t="str">
        <f t="shared" si="3"/>
        <v>V155</v>
      </c>
      <c r="B105" s="13" t="str">
        <f>VLOOKUP(D105,'[1]Avions (Potentiels)'!$B$2:$H$128,7,FALSE)</f>
        <v>V15</v>
      </c>
      <c r="C105" s="13"/>
      <c r="D105" s="16" t="s">
        <v>108</v>
      </c>
      <c r="E105" s="13">
        <f>IFERROR(VALUE(SUBSTITUTE(VLOOKUP(D105,'[1]Avions (Potentiels)'!$B:$E,4,0),".",",")),VALUE(VLOOKUP(D105,'[1]Avions (Potentiels)'!$B:$E,4,0)))</f>
        <v>532</v>
      </c>
      <c r="F105" s="25">
        <f>IF(ISNUMBER(VLOOKUP($D105,'Visu totale'!$D:$DH,F$1,0)),E105-VLOOKUP($D105,'Visu totale'!$D:$DH,F$1,0),IF(LEFT(VLOOKUP($D105,'Visu totale'!$D:$DH,F$1,0),1)="V",IF(E105&gt;=INDEX('[1]Définition Maintenances'!$G:$G,MATCH($A105,'[1]Définition Maintenances'!$K:$K,0)),E105,INDEX('[1]Définition Maintenances'!$G:$G,MATCH($A105,'[1]Définition Maintenances'!$K:$K,0))+E105),E105))</f>
        <v>532</v>
      </c>
      <c r="G105" s="26">
        <f>IF(ISNUMBER(VLOOKUP($D105,'Visu totale'!$D:$DH,G$1,0)),F105-VLOOKUP($D105,'Visu totale'!$D:$DH,G$1,0),IF(LEFT(VLOOKUP($D105,'Visu totale'!$D:$DH,G$1,0),1)="V",IF(F105&gt;=INDEX('[1]Définition Maintenances'!$G:$G,MATCH($A105,'[1]Définition Maintenances'!$K:$K,0)),F105,INDEX('[1]Définition Maintenances'!$G:$G,MATCH($A105,'[1]Définition Maintenances'!$K:$K,0))+F105),F105))</f>
        <v>532</v>
      </c>
      <c r="H105" s="26">
        <f>IF(ISNUMBER(VLOOKUP($D105,'Visu totale'!$D:$DH,H$1,0)),G105-VLOOKUP($D105,'Visu totale'!$D:$DH,H$1,0),IF(LEFT(VLOOKUP($D105,'Visu totale'!$D:$DH,H$1,0),1)="V",IF(G105&gt;=INDEX('[1]Définition Maintenances'!$G:$G,MATCH($A105,'[1]Définition Maintenances'!$K:$K,0)),G105,INDEX('[1]Définition Maintenances'!$G:$G,MATCH($A105,'[1]Définition Maintenances'!$K:$K,0))+G105),G105))</f>
        <v>532</v>
      </c>
      <c r="I105" s="26">
        <f>IF(ISNUMBER(VLOOKUP($D105,'Visu totale'!$D:$DH,I$1,0)),H105-VLOOKUP($D105,'Visu totale'!$D:$DH,I$1,0),IF(LEFT(VLOOKUP($D105,'Visu totale'!$D:$DH,I$1,0),1)="V",IF(H105&gt;=INDEX('[1]Définition Maintenances'!$G:$G,MATCH($A105,'[1]Définition Maintenances'!$K:$K,0)),H105,INDEX('[1]Définition Maintenances'!$G:$G,MATCH($A105,'[1]Définition Maintenances'!$K:$K,0))+H105),H105))</f>
        <v>532</v>
      </c>
      <c r="J105" s="26">
        <f>IF(ISNUMBER(VLOOKUP($D105,'Visu totale'!$D:$DH,J$1,0)),I105-VLOOKUP($D105,'Visu totale'!$D:$DH,J$1,0),IF(LEFT(VLOOKUP($D105,'Visu totale'!$D:$DH,J$1,0),1)="V",IF(I105&gt;=INDEX('[1]Définition Maintenances'!$G:$G,MATCH($A105,'[1]Définition Maintenances'!$K:$K,0)),I105,INDEX('[1]Définition Maintenances'!$G:$G,MATCH($A105,'[1]Définition Maintenances'!$K:$K,0))+I105),I105))</f>
        <v>532</v>
      </c>
      <c r="K105" s="26">
        <f>IF(ISNUMBER(VLOOKUP($D105,'Visu totale'!$D:$DH,K$1,0)),J105-VLOOKUP($D105,'Visu totale'!$D:$DH,K$1,0),IF(LEFT(VLOOKUP($D105,'Visu totale'!$D:$DH,K$1,0),1)="V",IF(J105&gt;=INDEX('[1]Définition Maintenances'!$G:$G,MATCH($A105,'[1]Définition Maintenances'!$K:$K,0)),J105,INDEX('[1]Définition Maintenances'!$G:$G,MATCH($A105,'[1]Définition Maintenances'!$K:$K,0))+J105),J105))</f>
        <v>532</v>
      </c>
      <c r="L105" s="26">
        <f>IF(ISNUMBER(VLOOKUP($D105,'Visu totale'!$D:$DH,L$1,0)),K105-VLOOKUP($D105,'Visu totale'!$D:$DH,L$1,0),IF(LEFT(VLOOKUP($D105,'Visu totale'!$D:$DH,L$1,0),1)="V",IF(K105&gt;=INDEX('[1]Définition Maintenances'!$G:$G,MATCH($A105,'[1]Définition Maintenances'!$K:$K,0)),K105,INDEX('[1]Définition Maintenances'!$G:$G,MATCH($A105,'[1]Définition Maintenances'!$K:$K,0))+K105),K105))</f>
        <v>532</v>
      </c>
      <c r="M105" s="26">
        <f>IF(ISNUMBER(VLOOKUP($D105,'Visu totale'!$D:$DH,M$1,0)),L105-VLOOKUP($D105,'Visu totale'!$D:$DH,M$1,0),IF(LEFT(VLOOKUP($D105,'Visu totale'!$D:$DH,M$1,0),1)="V",IF(L105&gt;=INDEX('[1]Définition Maintenances'!$G:$G,MATCH($A105,'[1]Définition Maintenances'!$K:$K,0)),L105,INDEX('[1]Définition Maintenances'!$G:$G,MATCH($A105,'[1]Définition Maintenances'!$K:$K,0))+L105),L105))</f>
        <v>532</v>
      </c>
      <c r="N105" s="26">
        <f>IF(ISNUMBER(VLOOKUP($D105,'Visu totale'!$D:$DH,N$1,0)),M105-VLOOKUP($D105,'Visu totale'!$D:$DH,N$1,0),IF(LEFT(VLOOKUP($D105,'Visu totale'!$D:$DH,N$1,0),1)="V",IF(M105&gt;=INDEX('[1]Définition Maintenances'!$G:$G,MATCH($A105,'[1]Définition Maintenances'!$K:$K,0)),M105,INDEX('[1]Définition Maintenances'!$G:$G,MATCH($A105,'[1]Définition Maintenances'!$K:$K,0))+M105),M105))</f>
        <v>532</v>
      </c>
      <c r="O105" s="26">
        <f>IF(ISNUMBER(VLOOKUP($D105,'Visu totale'!$D:$DH,O$1,0)),N105-VLOOKUP($D105,'Visu totale'!$D:$DH,O$1,0),IF(LEFT(VLOOKUP($D105,'Visu totale'!$D:$DH,O$1,0),1)="V",IF(N105&gt;=INDEX('[1]Définition Maintenances'!$G:$G,MATCH($A105,'[1]Définition Maintenances'!$K:$K,0)),N105,INDEX('[1]Définition Maintenances'!$G:$G,MATCH($A105,'[1]Définition Maintenances'!$K:$K,0))+N105),N105))</f>
        <v>532</v>
      </c>
      <c r="P105" s="26">
        <f>IF(ISNUMBER(VLOOKUP($D105,'Visu totale'!$D:$DH,P$1,0)),O105-VLOOKUP($D105,'Visu totale'!$D:$DH,P$1,0),IF(LEFT(VLOOKUP($D105,'Visu totale'!$D:$DH,P$1,0),1)="V",IF(O105&gt;=INDEX('[1]Définition Maintenances'!$G:$G,MATCH($A105,'[1]Définition Maintenances'!$K:$K,0)),O105,INDEX('[1]Définition Maintenances'!$G:$G,MATCH($A105,'[1]Définition Maintenances'!$K:$K,0))+O105),O105))</f>
        <v>532</v>
      </c>
      <c r="Q105" s="27">
        <f>IF(ISNUMBER(VLOOKUP($D105,'Visu totale'!$D:$DH,Q$1,0)),P105-VLOOKUP($D105,'Visu totale'!$D:$DH,Q$1,0),IF(LEFT(VLOOKUP($D105,'Visu totale'!$D:$DH,Q$1,0),1)="V",IF(P105&gt;=INDEX('[1]Définition Maintenances'!$G:$G,MATCH($A105,'[1]Définition Maintenances'!$K:$K,0)),P105,INDEX('[1]Définition Maintenances'!$G:$G,MATCH($A105,'[1]Définition Maintenances'!$K:$K,0))+P105),P105))</f>
        <v>532</v>
      </c>
      <c r="R105" s="25">
        <f>IF(ISNUMBER(VLOOKUP($D105,'Visu totale'!$D:$DH,R$1,0)),Q105-VLOOKUP($D105,'Visu totale'!$D:$DH,R$1,0),IF(LEFT(VLOOKUP($D105,'Visu totale'!$D:$DH,R$1,0),1)="V",IF(Q105&gt;=INDEX('[1]Définition Maintenances'!$G:$G,MATCH($A105,'[1]Définition Maintenances'!$K:$K,0)),Q105,INDEX('[1]Définition Maintenances'!$G:$G,MATCH($A105,'[1]Définition Maintenances'!$K:$K,0))+Q105),Q105))</f>
        <v>532</v>
      </c>
      <c r="S105" s="26">
        <f>IF(ISNUMBER(VLOOKUP($D105,'Visu totale'!$D:$DH,S$1,0)),R105-VLOOKUP($D105,'Visu totale'!$D:$DH,S$1,0),IF(LEFT(VLOOKUP($D105,'Visu totale'!$D:$DH,S$1,0),1)="V",IF(R105&gt;=INDEX('[1]Définition Maintenances'!$G:$G,MATCH($A105,'[1]Définition Maintenances'!$K:$K,0)),R105,INDEX('[1]Définition Maintenances'!$G:$G,MATCH($A105,'[1]Définition Maintenances'!$K:$K,0))+R105),R105))</f>
        <v>532</v>
      </c>
      <c r="T105" s="26">
        <f>IF(ISNUMBER(VLOOKUP($D105,'Visu totale'!$D:$DH,T$1,0)),S105-VLOOKUP($D105,'Visu totale'!$D:$DH,T$1,0),IF(LEFT(VLOOKUP($D105,'Visu totale'!$D:$DH,T$1,0),1)="V",IF(S105&gt;=INDEX('[1]Définition Maintenances'!$G:$G,MATCH($A105,'[1]Définition Maintenances'!$K:$K,0)),S105,INDEX('[1]Définition Maintenances'!$G:$G,MATCH($A105,'[1]Définition Maintenances'!$K:$K,0))+S105),S105))</f>
        <v>532</v>
      </c>
      <c r="U105" s="26">
        <f>IF(ISNUMBER(VLOOKUP($D105,'Visu totale'!$D:$DH,U$1,0)),T105-VLOOKUP($D105,'Visu totale'!$D:$DH,U$1,0),IF(LEFT(VLOOKUP($D105,'Visu totale'!$D:$DH,U$1,0),1)="V",IF(T105&gt;=INDEX('[1]Définition Maintenances'!$G:$G,MATCH($A105,'[1]Définition Maintenances'!$K:$K,0)),T105,INDEX('[1]Définition Maintenances'!$G:$G,MATCH($A105,'[1]Définition Maintenances'!$K:$K,0))+T105),T105))</f>
        <v>532</v>
      </c>
      <c r="V105" s="26">
        <f>IF(ISNUMBER(VLOOKUP($D105,'Visu totale'!$D:$DH,V$1,0)),U105-VLOOKUP($D105,'Visu totale'!$D:$DH,V$1,0),IF(LEFT(VLOOKUP($D105,'Visu totale'!$D:$DH,V$1,0),1)="V",IF(U105&gt;=INDEX('[1]Définition Maintenances'!$G:$G,MATCH($A105,'[1]Définition Maintenances'!$K:$K,0)),U105,INDEX('[1]Définition Maintenances'!$G:$G,MATCH($A105,'[1]Définition Maintenances'!$K:$K,0))+U105),U105))</f>
        <v>532</v>
      </c>
      <c r="W105" s="26">
        <f>IF(ISNUMBER(VLOOKUP($D105,'Visu totale'!$D:$DH,W$1,0)),V105-VLOOKUP($D105,'Visu totale'!$D:$DH,W$1,0),IF(LEFT(VLOOKUP($D105,'Visu totale'!$D:$DH,W$1,0),1)="V",IF(V105&gt;=INDEX('[1]Définition Maintenances'!$G:$G,MATCH($A105,'[1]Définition Maintenances'!$K:$K,0)),V105,INDEX('[1]Définition Maintenances'!$G:$G,MATCH($A105,'[1]Définition Maintenances'!$K:$K,0))+V105),V105))</f>
        <v>532</v>
      </c>
      <c r="X105" s="26">
        <f>IF(ISNUMBER(VLOOKUP($D105,'Visu totale'!$D:$DH,X$1,0)),W105-VLOOKUP($D105,'Visu totale'!$D:$DH,X$1,0),IF(LEFT(VLOOKUP($D105,'Visu totale'!$D:$DH,X$1,0),1)="V",IF(W105&gt;=INDEX('[1]Définition Maintenances'!$G:$G,MATCH($A105,'[1]Définition Maintenances'!$K:$K,0)),W105,INDEX('[1]Définition Maintenances'!$G:$G,MATCH($A105,'[1]Définition Maintenances'!$K:$K,0))+W105),W105))</f>
        <v>532</v>
      </c>
      <c r="Y105" s="26">
        <f>IF(ISNUMBER(VLOOKUP($D105,'Visu totale'!$D:$DH,Y$1,0)),X105-VLOOKUP($D105,'Visu totale'!$D:$DH,Y$1,0),IF(LEFT(VLOOKUP($D105,'Visu totale'!$D:$DH,Y$1,0),1)="V",IF(X105&gt;=INDEX('[1]Définition Maintenances'!$G:$G,MATCH($A105,'[1]Définition Maintenances'!$K:$K,0)),X105,INDEX('[1]Définition Maintenances'!$G:$G,MATCH($A105,'[1]Définition Maintenances'!$K:$K,0))+X105),X105))</f>
        <v>532</v>
      </c>
      <c r="Z105" s="26">
        <f>IF(ISNUMBER(VLOOKUP($D105,'Visu totale'!$D:$DH,Z$1,0)),Y105-VLOOKUP($D105,'Visu totale'!$D:$DH,Z$1,0),IF(LEFT(VLOOKUP($D105,'Visu totale'!$D:$DH,Z$1,0),1)="V",IF(Y105&gt;=INDEX('[1]Définition Maintenances'!$G:$G,MATCH($A105,'[1]Définition Maintenances'!$K:$K,0)),Y105,INDEX('[1]Définition Maintenances'!$G:$G,MATCH($A105,'[1]Définition Maintenances'!$K:$K,0))+Y105),Y105))</f>
        <v>532</v>
      </c>
      <c r="AA105" s="26">
        <f>IF(ISNUMBER(VLOOKUP($D105,'Visu totale'!$D:$DH,AA$1,0)),Z105-VLOOKUP($D105,'Visu totale'!$D:$DH,AA$1,0),IF(LEFT(VLOOKUP($D105,'Visu totale'!$D:$DH,AA$1,0),1)="V",IF(Z105&gt;=INDEX('[1]Définition Maintenances'!$G:$G,MATCH($A105,'[1]Définition Maintenances'!$K:$K,0)),Z105,INDEX('[1]Définition Maintenances'!$G:$G,MATCH($A105,'[1]Définition Maintenances'!$K:$K,0))+Z105),Z105))</f>
        <v>532</v>
      </c>
      <c r="AB105" s="26">
        <f>IF(ISNUMBER(VLOOKUP($D105,'Visu totale'!$D:$DH,AB$1,0)),AA105-VLOOKUP($D105,'Visu totale'!$D:$DH,AB$1,0),IF(LEFT(VLOOKUP($D105,'Visu totale'!$D:$DH,AB$1,0),1)="V",IF(AA105&gt;=INDEX('[1]Définition Maintenances'!$G:$G,MATCH($A105,'[1]Définition Maintenances'!$K:$K,0)),AA105,INDEX('[1]Définition Maintenances'!$G:$G,MATCH($A105,'[1]Définition Maintenances'!$K:$K,0))+AA105),AA105))</f>
        <v>532</v>
      </c>
      <c r="AC105" s="27">
        <f>IF(ISNUMBER(VLOOKUP($D105,'Visu totale'!$D:$DH,AC$1,0)),AB105-VLOOKUP($D105,'Visu totale'!$D:$DH,AC$1,0),IF(LEFT(VLOOKUP($D105,'Visu totale'!$D:$DH,AC$1,0),1)="V",IF(AB105&gt;=INDEX('[1]Définition Maintenances'!$G:$G,MATCH($A105,'[1]Définition Maintenances'!$K:$K,0)),AB105,INDEX('[1]Définition Maintenances'!$G:$G,MATCH($A105,'[1]Définition Maintenances'!$K:$K,0))+AB105),AB105))</f>
        <v>532</v>
      </c>
      <c r="AD105" s="25">
        <f>IF(ISNUMBER(VLOOKUP($D105,'Visu totale'!$D:$DH,AD$1,0)),AC105-VLOOKUP($D105,'Visu totale'!$D:$DH,AD$1,0),IF(LEFT(VLOOKUP($D105,'Visu totale'!$D:$DH,AD$1,0),1)="V",IF(AC105&gt;=INDEX('[1]Définition Maintenances'!$G:$G,MATCH($A105,'[1]Définition Maintenances'!$K:$K,0)),AC105,INDEX('[1]Définition Maintenances'!$G:$G,MATCH($A105,'[1]Définition Maintenances'!$K:$K,0))+AC105),AC105))</f>
        <v>532</v>
      </c>
      <c r="AE105" s="26">
        <f>IF(ISNUMBER(VLOOKUP($D105,'Visu totale'!$D:$DH,AE$1,0)),AD105-VLOOKUP($D105,'Visu totale'!$D:$DH,AE$1,0),IF(LEFT(VLOOKUP($D105,'Visu totale'!$D:$DH,AE$1,0),1)="V",IF(AD105&gt;=INDEX('[1]Définition Maintenances'!$G:$G,MATCH($A105,'[1]Définition Maintenances'!$K:$K,0)),AD105,INDEX('[1]Définition Maintenances'!$G:$G,MATCH($A105,'[1]Définition Maintenances'!$K:$K,0))+AD105),AD105))</f>
        <v>532</v>
      </c>
      <c r="AF105" s="26">
        <f>IF(ISNUMBER(VLOOKUP($D105,'Visu totale'!$D:$DH,AF$1,0)),AE105-VLOOKUP($D105,'Visu totale'!$D:$DH,AF$1,0),IF(LEFT(VLOOKUP($D105,'Visu totale'!$D:$DH,AF$1,0),1)="V",IF(AE105&gt;=INDEX('[1]Définition Maintenances'!$G:$G,MATCH($A105,'[1]Définition Maintenances'!$K:$K,0)),AE105,INDEX('[1]Définition Maintenances'!$G:$G,MATCH($A105,'[1]Définition Maintenances'!$K:$K,0))+AE105),AE105))</f>
        <v>532</v>
      </c>
      <c r="AG105" s="26">
        <f>IF(ISNUMBER(VLOOKUP($D105,'Visu totale'!$D:$DH,AG$1,0)),AF105-VLOOKUP($D105,'Visu totale'!$D:$DH,AG$1,0),IF(LEFT(VLOOKUP($D105,'Visu totale'!$D:$DH,AG$1,0),1)="V",IF(AF105&gt;=INDEX('[1]Définition Maintenances'!$G:$G,MATCH($A105,'[1]Définition Maintenances'!$K:$K,0)),AF105,INDEX('[1]Définition Maintenances'!$G:$G,MATCH($A105,'[1]Définition Maintenances'!$K:$K,0))+AF105),AF105))</f>
        <v>532</v>
      </c>
      <c r="AH105" s="26">
        <f>IF(ISNUMBER(VLOOKUP($D105,'Visu totale'!$D:$DH,AH$1,0)),AG105-VLOOKUP($D105,'Visu totale'!$D:$DH,AH$1,0),IF(LEFT(VLOOKUP($D105,'Visu totale'!$D:$DH,AH$1,0),1)="V",IF(AG105&gt;=INDEX('[1]Définition Maintenances'!$G:$G,MATCH($A105,'[1]Définition Maintenances'!$K:$K,0)),AG105,INDEX('[1]Définition Maintenances'!$G:$G,MATCH($A105,'[1]Définition Maintenances'!$K:$K,0))+AG105),AG105))</f>
        <v>532</v>
      </c>
      <c r="AI105" s="26">
        <f>IF(ISNUMBER(VLOOKUP($D105,'Visu totale'!$D:$DH,AI$1,0)),AH105-VLOOKUP($D105,'Visu totale'!$D:$DH,AI$1,0),IF(LEFT(VLOOKUP($D105,'Visu totale'!$D:$DH,AI$1,0),1)="V",IF(AH105&gt;=INDEX('[1]Définition Maintenances'!$G:$G,MATCH($A105,'[1]Définition Maintenances'!$K:$K,0)),AH105,INDEX('[1]Définition Maintenances'!$G:$G,MATCH($A105,'[1]Définition Maintenances'!$K:$K,0))+AH105),AH105))</f>
        <v>532</v>
      </c>
      <c r="AJ105" s="26">
        <f>IF(ISNUMBER(VLOOKUP($D105,'Visu totale'!$D:$DH,AJ$1,0)),AI105-VLOOKUP($D105,'Visu totale'!$D:$DH,AJ$1,0),IF(LEFT(VLOOKUP($D105,'Visu totale'!$D:$DH,AJ$1,0),1)="V",IF(AI105&gt;=INDEX('[1]Définition Maintenances'!$G:$G,MATCH($A105,'[1]Définition Maintenances'!$K:$K,0)),AI105,INDEX('[1]Définition Maintenances'!$G:$G,MATCH($A105,'[1]Définition Maintenances'!$K:$K,0))+AI105),AI105))</f>
        <v>532</v>
      </c>
      <c r="AK105" s="26">
        <f>IF(ISNUMBER(VLOOKUP($D105,'Visu totale'!$D:$DH,AK$1,0)),AJ105-VLOOKUP($D105,'Visu totale'!$D:$DH,AK$1,0),IF(LEFT(VLOOKUP($D105,'Visu totale'!$D:$DH,AK$1,0),1)="V",IF(AJ105&gt;=INDEX('[1]Définition Maintenances'!$G:$G,MATCH($A105,'[1]Définition Maintenances'!$K:$K,0)),AJ105,INDEX('[1]Définition Maintenances'!$G:$G,MATCH($A105,'[1]Définition Maintenances'!$K:$K,0))+AJ105),AJ105))</f>
        <v>532</v>
      </c>
      <c r="AL105" s="26">
        <f>IF(ISNUMBER(VLOOKUP($D105,'Visu totale'!$D:$DH,AL$1,0)),AK105-VLOOKUP($D105,'Visu totale'!$D:$DH,AL$1,0),IF(LEFT(VLOOKUP($D105,'Visu totale'!$D:$DH,AL$1,0),1)="V",IF(AK105&gt;=INDEX('[1]Définition Maintenances'!$G:$G,MATCH($A105,'[1]Définition Maintenances'!$K:$K,0)),AK105,INDEX('[1]Définition Maintenances'!$G:$G,MATCH($A105,'[1]Définition Maintenances'!$K:$K,0))+AK105),AK105))</f>
        <v>532</v>
      </c>
      <c r="AM105" s="26">
        <f>IF(ISNUMBER(VLOOKUP($D105,'Visu totale'!$D:$DH,AM$1,0)),AL105-VLOOKUP($D105,'Visu totale'!$D:$DH,AM$1,0),IF(LEFT(VLOOKUP($D105,'Visu totale'!$D:$DH,AM$1,0),1)="V",IF(AL105&gt;=INDEX('[1]Définition Maintenances'!$G:$G,MATCH($A105,'[1]Définition Maintenances'!$K:$K,0)),AL105,INDEX('[1]Définition Maintenances'!$G:$G,MATCH($A105,'[1]Définition Maintenances'!$K:$K,0))+AL105),AL105))</f>
        <v>532</v>
      </c>
      <c r="AN105" s="26">
        <f>IF(ISNUMBER(VLOOKUP($D105,'Visu totale'!$D:$DH,AN$1,0)),AM105-VLOOKUP($D105,'Visu totale'!$D:$DH,AN$1,0),IF(LEFT(VLOOKUP($D105,'Visu totale'!$D:$DH,AN$1,0),1)="V",IF(AM105&gt;=INDEX('[1]Définition Maintenances'!$G:$G,MATCH($A105,'[1]Définition Maintenances'!$K:$K,0)),AM105,INDEX('[1]Définition Maintenances'!$G:$G,MATCH($A105,'[1]Définition Maintenances'!$K:$K,0))+AM105),AM105))</f>
        <v>532</v>
      </c>
      <c r="AO105" s="27">
        <f>IF(ISNUMBER(VLOOKUP($D105,'Visu totale'!$D:$DH,AO$1,0)),AN105-VLOOKUP($D105,'Visu totale'!$D:$DH,AO$1,0),IF(LEFT(VLOOKUP($D105,'Visu totale'!$D:$DH,AO$1,0),1)="V",IF(AN105&gt;=INDEX('[1]Définition Maintenances'!$G:$G,MATCH($A105,'[1]Définition Maintenances'!$K:$K,0)),AN105,INDEX('[1]Définition Maintenances'!$G:$G,MATCH($A105,'[1]Définition Maintenances'!$K:$K,0))+AN105),AN105))</f>
        <v>532</v>
      </c>
      <c r="AP105" s="25">
        <f>IF(ISNUMBER(VLOOKUP($D105,'Visu totale'!$D:$DH,AP$1,0)),AO105-VLOOKUP($D105,'Visu totale'!$D:$DH,AP$1,0),IF(LEFT(VLOOKUP($D105,'Visu totale'!$D:$DH,AP$1,0),1)="V",IF(AO105&gt;=INDEX('[1]Définition Maintenances'!$G:$G,MATCH($A105,'[1]Définition Maintenances'!$K:$K,0)),AO105,INDEX('[1]Définition Maintenances'!$G:$G,MATCH($A105,'[1]Définition Maintenances'!$K:$K,0))+AO105),AO105))</f>
        <v>532</v>
      </c>
      <c r="AQ105" s="26">
        <f>IF(ISNUMBER(VLOOKUP($D105,'Visu totale'!$D:$DH,AQ$1,0)),AP105-VLOOKUP($D105,'Visu totale'!$D:$DH,AQ$1,0),IF(LEFT(VLOOKUP($D105,'Visu totale'!$D:$DH,AQ$1,0),1)="V",IF(AP105&gt;=INDEX('[1]Définition Maintenances'!$G:$G,MATCH($A105,'[1]Définition Maintenances'!$K:$K,0)),AP105,INDEX('[1]Définition Maintenances'!$G:$G,MATCH($A105,'[1]Définition Maintenances'!$K:$K,0))+AP105),AP105))</f>
        <v>532</v>
      </c>
      <c r="AR105" s="26">
        <f>IF(ISNUMBER(VLOOKUP($D105,'Visu totale'!$D:$DH,AR$1,0)),AQ105-VLOOKUP($D105,'Visu totale'!$D:$DH,AR$1,0),IF(LEFT(VLOOKUP($D105,'Visu totale'!$D:$DH,AR$1,0),1)="V",IF(AQ105&gt;=INDEX('[1]Définition Maintenances'!$G:$G,MATCH($A105,'[1]Définition Maintenances'!$K:$K,0)),AQ105,INDEX('[1]Définition Maintenances'!$G:$G,MATCH($A105,'[1]Définition Maintenances'!$K:$K,0))+AQ105),AQ105))</f>
        <v>532</v>
      </c>
      <c r="AS105" s="26">
        <f>IF(ISNUMBER(VLOOKUP($D105,'Visu totale'!$D:$DH,AS$1,0)),AR105-VLOOKUP($D105,'Visu totale'!$D:$DH,AS$1,0),IF(LEFT(VLOOKUP($D105,'Visu totale'!$D:$DH,AS$1,0),1)="V",IF(AR105&gt;=INDEX('[1]Définition Maintenances'!$G:$G,MATCH($A105,'[1]Définition Maintenances'!$K:$K,0)),AR105,INDEX('[1]Définition Maintenances'!$G:$G,MATCH($A105,'[1]Définition Maintenances'!$K:$K,0))+AR105),AR105))</f>
        <v>532</v>
      </c>
      <c r="AT105" s="26">
        <f>IF(ISNUMBER(VLOOKUP($D105,'Visu totale'!$D:$DH,AT$1,0)),AS105-VLOOKUP($D105,'Visu totale'!$D:$DH,AT$1,0),IF(LEFT(VLOOKUP($D105,'Visu totale'!$D:$DH,AT$1,0),1)="V",IF(AS105&gt;=INDEX('[1]Définition Maintenances'!$G:$G,MATCH($A105,'[1]Définition Maintenances'!$K:$K,0)),AS105,INDEX('[1]Définition Maintenances'!$G:$G,MATCH($A105,'[1]Définition Maintenances'!$K:$K,0))+AS105),AS105))</f>
        <v>532</v>
      </c>
      <c r="AU105" s="26">
        <f>IF(ISNUMBER(VLOOKUP($D105,'Visu totale'!$D:$DH,AU$1,0)),AT105-VLOOKUP($D105,'Visu totale'!$D:$DH,AU$1,0),IF(LEFT(VLOOKUP($D105,'Visu totale'!$D:$DH,AU$1,0),1)="V",IF(AT105&gt;=INDEX('[1]Définition Maintenances'!$G:$G,MATCH($A105,'[1]Définition Maintenances'!$K:$K,0)),AT105,INDEX('[1]Définition Maintenances'!$G:$G,MATCH($A105,'[1]Définition Maintenances'!$K:$K,0))+AT105),AT105))</f>
        <v>532</v>
      </c>
      <c r="AV105" s="26">
        <f>IF(ISNUMBER(VLOOKUP($D105,'Visu totale'!$D:$DH,AV$1,0)),AU105-VLOOKUP($D105,'Visu totale'!$D:$DH,AV$1,0),IF(LEFT(VLOOKUP($D105,'Visu totale'!$D:$DH,AV$1,0),1)="V",IF(AU105&gt;=INDEX('[1]Définition Maintenances'!$G:$G,MATCH($A105,'[1]Définition Maintenances'!$K:$K,0)),AU105,INDEX('[1]Définition Maintenances'!$G:$G,MATCH($A105,'[1]Définition Maintenances'!$K:$K,0))+AU105),AU105))</f>
        <v>532</v>
      </c>
      <c r="AW105" s="26">
        <f>IF(ISNUMBER(VLOOKUP($D105,'Visu totale'!$D:$DH,AW$1,0)),AV105-VLOOKUP($D105,'Visu totale'!$D:$DH,AW$1,0),IF(LEFT(VLOOKUP($D105,'Visu totale'!$D:$DH,AW$1,0),1)="V",IF(AV105&gt;=INDEX('[1]Définition Maintenances'!$G:$G,MATCH($A105,'[1]Définition Maintenances'!$K:$K,0)),AV105,INDEX('[1]Définition Maintenances'!$G:$G,MATCH($A105,'[1]Définition Maintenances'!$K:$K,0))+AV105),AV105))</f>
        <v>532</v>
      </c>
      <c r="AX105" s="26">
        <f>IF(ISNUMBER(VLOOKUP($D105,'Visu totale'!$D:$DH,AX$1,0)),AW105-VLOOKUP($D105,'Visu totale'!$D:$DH,AX$1,0),IF(LEFT(VLOOKUP($D105,'Visu totale'!$D:$DH,AX$1,0),1)="V",IF(AW105&gt;=INDEX('[1]Définition Maintenances'!$G:$G,MATCH($A105,'[1]Définition Maintenances'!$K:$K,0)),AW105,INDEX('[1]Définition Maintenances'!$G:$G,MATCH($A105,'[1]Définition Maintenances'!$K:$K,0))+AW105),AW105))</f>
        <v>532</v>
      </c>
      <c r="AY105" s="26">
        <f>IF(ISNUMBER(VLOOKUP($D105,'Visu totale'!$D:$DH,AY$1,0)),AX105-VLOOKUP($D105,'Visu totale'!$D:$DH,AY$1,0),IF(LEFT(VLOOKUP($D105,'Visu totale'!$D:$DH,AY$1,0),1)="V",IF(AX105&gt;=INDEX('[1]Définition Maintenances'!$G:$G,MATCH($A105,'[1]Définition Maintenances'!$K:$K,0)),AX105,INDEX('[1]Définition Maintenances'!$G:$G,MATCH($A105,'[1]Définition Maintenances'!$K:$K,0))+AX105),AX105))</f>
        <v>532</v>
      </c>
      <c r="AZ105" s="26">
        <f>IF(ISNUMBER(VLOOKUP($D105,'Visu totale'!$D:$DH,AZ$1,0)),AY105-VLOOKUP($D105,'Visu totale'!$D:$DH,AZ$1,0),IF(LEFT(VLOOKUP($D105,'Visu totale'!$D:$DH,AZ$1,0),1)="V",IF(AY105&gt;=INDEX('[1]Définition Maintenances'!$G:$G,MATCH($A105,'[1]Définition Maintenances'!$K:$K,0)),AY105,INDEX('[1]Définition Maintenances'!$G:$G,MATCH($A105,'[1]Définition Maintenances'!$K:$K,0))+AY105),AY105))</f>
        <v>532</v>
      </c>
      <c r="BA105" s="27">
        <f>IF(ISNUMBER(VLOOKUP($D105,'Visu totale'!$D:$DH,BA$1,0)),AZ105-VLOOKUP($D105,'Visu totale'!$D:$DH,BA$1,0),IF(LEFT(VLOOKUP($D105,'Visu totale'!$D:$DH,BA$1,0),1)="V",IF(AZ105&gt;=INDEX('[1]Définition Maintenances'!$G:$G,MATCH($A105,'[1]Définition Maintenances'!$K:$K,0)),AZ105,INDEX('[1]Définition Maintenances'!$G:$G,MATCH($A105,'[1]Définition Maintenances'!$K:$K,0))+AZ105),AZ105))</f>
        <v>532</v>
      </c>
      <c r="BB105" s="25">
        <f>IF(ISNUMBER(VLOOKUP($D105,'Visu totale'!$D:$DH,BB$1,0)),BA105-VLOOKUP($D105,'Visu totale'!$D:$DH,BB$1,0),IF(LEFT(VLOOKUP($D105,'Visu totale'!$D:$DH,BB$1,0),1)="V",IF(BA105&gt;=INDEX('[1]Définition Maintenances'!$G:$G,MATCH($A105,'[1]Définition Maintenances'!$K:$K,0)),BA105,INDEX('[1]Définition Maintenances'!$G:$G,MATCH($A105,'[1]Définition Maintenances'!$K:$K,0))+BA105),BA105))</f>
        <v>532</v>
      </c>
      <c r="BC105" s="26">
        <f>IF(ISNUMBER(VLOOKUP($D105,'Visu totale'!$D:$DH,BC$1,0)),BB105-VLOOKUP($D105,'Visu totale'!$D:$DH,BC$1,0),IF(LEFT(VLOOKUP($D105,'Visu totale'!$D:$DH,BC$1,0),1)="V",IF(BB105&gt;=INDEX('[1]Définition Maintenances'!$G:$G,MATCH($A105,'[1]Définition Maintenances'!$K:$K,0)),BB105,INDEX('[1]Définition Maintenances'!$G:$G,MATCH($A105,'[1]Définition Maintenances'!$K:$K,0))+BB105),BB105))</f>
        <v>532</v>
      </c>
      <c r="BD105" s="26">
        <f>IF(ISNUMBER(VLOOKUP($D105,'Visu totale'!$D:$DH,BD$1,0)),BC105-VLOOKUP($D105,'Visu totale'!$D:$DH,BD$1,0),IF(LEFT(VLOOKUP($D105,'Visu totale'!$D:$DH,BD$1,0),1)="V",IF(BC105&gt;=INDEX('[1]Définition Maintenances'!$G:$G,MATCH($A105,'[1]Définition Maintenances'!$K:$K,0)),BC105,INDEX('[1]Définition Maintenances'!$G:$G,MATCH($A105,'[1]Définition Maintenances'!$K:$K,0))+BC105),BC105))</f>
        <v>532</v>
      </c>
      <c r="BE105" s="26">
        <f>IF(ISNUMBER(VLOOKUP($D105,'Visu totale'!$D:$DH,BE$1,0)),BD105-VLOOKUP($D105,'Visu totale'!$D:$DH,BE$1,0),IF(LEFT(VLOOKUP($D105,'Visu totale'!$D:$DH,BE$1,0),1)="V",IF(BD105&gt;=INDEX('[1]Définition Maintenances'!$G:$G,MATCH($A105,'[1]Définition Maintenances'!$K:$K,0)),BD105,INDEX('[1]Définition Maintenances'!$G:$G,MATCH($A105,'[1]Définition Maintenances'!$K:$K,0))+BD105),BD105))</f>
        <v>532</v>
      </c>
      <c r="BF105" s="26">
        <f>IF(ISNUMBER(VLOOKUP($D105,'Visu totale'!$D:$DH,BF$1,0)),BE105-VLOOKUP($D105,'Visu totale'!$D:$DH,BF$1,0),IF(LEFT(VLOOKUP($D105,'Visu totale'!$D:$DH,BF$1,0),1)="V",IF(BE105&gt;=INDEX('[1]Définition Maintenances'!$G:$G,MATCH($A105,'[1]Définition Maintenances'!$K:$K,0)),BE105,INDEX('[1]Définition Maintenances'!$G:$G,MATCH($A105,'[1]Définition Maintenances'!$K:$K,0))+BE105),BE105))</f>
        <v>532</v>
      </c>
      <c r="BG105" s="26">
        <f>IF(ISNUMBER(VLOOKUP($D105,'Visu totale'!$D:$DH,BG$1,0)),BF105-VLOOKUP($D105,'Visu totale'!$D:$DH,BG$1,0),IF(LEFT(VLOOKUP($D105,'Visu totale'!$D:$DH,BG$1,0),1)="V",IF(BF105&gt;=INDEX('[1]Définition Maintenances'!$G:$G,MATCH($A105,'[1]Définition Maintenances'!$K:$K,0)),BF105,INDEX('[1]Définition Maintenances'!$G:$G,MATCH($A105,'[1]Définition Maintenances'!$K:$K,0))+BF105),BF105))</f>
        <v>532</v>
      </c>
      <c r="BH105" s="26">
        <f>IF(ISNUMBER(VLOOKUP($D105,'Visu totale'!$D:$DH,BH$1,0)),BG105-VLOOKUP($D105,'Visu totale'!$D:$DH,BH$1,0),IF(LEFT(VLOOKUP($D105,'Visu totale'!$D:$DH,BH$1,0),1)="V",IF(BG105&gt;=INDEX('[1]Définition Maintenances'!$G:$G,MATCH($A105,'[1]Définition Maintenances'!$K:$K,0)),BG105,INDEX('[1]Définition Maintenances'!$G:$G,MATCH($A105,'[1]Définition Maintenances'!$K:$K,0))+BG105),BG105))</f>
        <v>532</v>
      </c>
      <c r="BI105" s="26">
        <f>IF(ISNUMBER(VLOOKUP($D105,'Visu totale'!$D:$DH,BI$1,0)),BH105-VLOOKUP($D105,'Visu totale'!$D:$DH,BI$1,0),IF(LEFT(VLOOKUP($D105,'Visu totale'!$D:$DH,BI$1,0),1)="V",IF(BH105&gt;=INDEX('[1]Définition Maintenances'!$G:$G,MATCH($A105,'[1]Définition Maintenances'!$K:$K,0)),BH105,INDEX('[1]Définition Maintenances'!$G:$G,MATCH($A105,'[1]Définition Maintenances'!$K:$K,0))+BH105),BH105))</f>
        <v>532</v>
      </c>
      <c r="BJ105" s="26">
        <f>IF(ISNUMBER(VLOOKUP($D105,'Visu totale'!$D:$DH,BJ$1,0)),BI105-VLOOKUP($D105,'Visu totale'!$D:$DH,BJ$1,0),IF(LEFT(VLOOKUP($D105,'Visu totale'!$D:$DH,BJ$1,0),1)="V",IF(BI105&gt;=INDEX('[1]Définition Maintenances'!$G:$G,MATCH($A105,'[1]Définition Maintenances'!$K:$K,0)),BI105,INDEX('[1]Définition Maintenances'!$G:$G,MATCH($A105,'[1]Définition Maintenances'!$K:$K,0))+BI105),BI105))</f>
        <v>532</v>
      </c>
      <c r="BK105" s="26">
        <f>IF(ISNUMBER(VLOOKUP($D105,'Visu totale'!$D:$DH,BK$1,0)),BJ105-VLOOKUP($D105,'Visu totale'!$D:$DH,BK$1,0),IF(LEFT(VLOOKUP($D105,'Visu totale'!$D:$DH,BK$1,0),1)="V",IF(BJ105&gt;=INDEX('[1]Définition Maintenances'!$G:$G,MATCH($A105,'[1]Définition Maintenances'!$K:$K,0)),BJ105,INDEX('[1]Définition Maintenances'!$G:$G,MATCH($A105,'[1]Définition Maintenances'!$K:$K,0))+BJ105),BJ105))</f>
        <v>532</v>
      </c>
      <c r="BL105" s="26">
        <f>IF(ISNUMBER(VLOOKUP($D105,'Visu totale'!$D:$DH,BL$1,0)),BK105-VLOOKUP($D105,'Visu totale'!$D:$DH,BL$1,0),IF(LEFT(VLOOKUP($D105,'Visu totale'!$D:$DH,BL$1,0),1)="V",IF(BK105&gt;=INDEX('[1]Définition Maintenances'!$G:$G,MATCH($A105,'[1]Définition Maintenances'!$K:$K,0)),BK105,INDEX('[1]Définition Maintenances'!$G:$G,MATCH($A105,'[1]Définition Maintenances'!$K:$K,0))+BK105),BK105))</f>
        <v>532</v>
      </c>
      <c r="BM105" s="27">
        <f>IF(ISNUMBER(VLOOKUP($D105,'Visu totale'!$D:$DH,BM$1,0)),BL105-VLOOKUP($D105,'Visu totale'!$D:$DH,BM$1,0),IF(LEFT(VLOOKUP($D105,'Visu totale'!$D:$DH,BM$1,0),1)="V",IF(BL105&gt;=INDEX('[1]Définition Maintenances'!$G:$G,MATCH($A105,'[1]Définition Maintenances'!$K:$K,0)),BL105,INDEX('[1]Définition Maintenances'!$G:$G,MATCH($A105,'[1]Définition Maintenances'!$K:$K,0))+BL105),BL105))</f>
        <v>532</v>
      </c>
      <c r="BN105" s="25">
        <f>IF(ISNUMBER(VLOOKUP($D105,'Visu totale'!$D:$DH,BN$1,0)),BM105-VLOOKUP($D105,'Visu totale'!$D:$DH,BN$1,0),IF(LEFT(VLOOKUP($D105,'Visu totale'!$D:$DH,BN$1,0),1)="V",IF(BM105&gt;=INDEX('[1]Définition Maintenances'!$G:$G,MATCH($A105,'[1]Définition Maintenances'!$K:$K,0)),BM105,INDEX('[1]Définition Maintenances'!$G:$G,MATCH($A105,'[1]Définition Maintenances'!$K:$K,0))+BM105),BM105))</f>
        <v>532</v>
      </c>
      <c r="BO105" s="26">
        <f>IF(ISNUMBER(VLOOKUP($D105,'Visu totale'!$D:$DH,BO$1,0)),BN105-VLOOKUP($D105,'Visu totale'!$D:$DH,BO$1,0),IF(LEFT(VLOOKUP($D105,'Visu totale'!$D:$DH,BO$1,0),1)="V",IF(BN105&gt;=INDEX('[1]Définition Maintenances'!$G:$G,MATCH($A105,'[1]Définition Maintenances'!$K:$K,0)),BN105,INDEX('[1]Définition Maintenances'!$G:$G,MATCH($A105,'[1]Définition Maintenances'!$K:$K,0))+BN105),BN105))</f>
        <v>532</v>
      </c>
      <c r="BP105" s="26">
        <f>IF(ISNUMBER(VLOOKUP($D105,'Visu totale'!$D:$DH,BP$1,0)),BO105-VLOOKUP($D105,'Visu totale'!$D:$DH,BP$1,0),IF(LEFT(VLOOKUP($D105,'Visu totale'!$D:$DH,BP$1,0),1)="V",IF(BO105&gt;=INDEX('[1]Définition Maintenances'!$G:$G,MATCH($A105,'[1]Définition Maintenances'!$K:$K,0)),BO105,INDEX('[1]Définition Maintenances'!$G:$G,MATCH($A105,'[1]Définition Maintenances'!$K:$K,0))+BO105),BO105))</f>
        <v>532</v>
      </c>
      <c r="BQ105" s="26">
        <f>IF(ISNUMBER(VLOOKUP($D105,'Visu totale'!$D:$DH,BQ$1,0)),BP105-VLOOKUP($D105,'Visu totale'!$D:$DH,BQ$1,0),IF(LEFT(VLOOKUP($D105,'Visu totale'!$D:$DH,BQ$1,0),1)="V",IF(BP105&gt;=INDEX('[1]Définition Maintenances'!$G:$G,MATCH($A105,'[1]Définition Maintenances'!$K:$K,0)),BP105,INDEX('[1]Définition Maintenances'!$G:$G,MATCH($A105,'[1]Définition Maintenances'!$K:$K,0))+BP105),BP105))</f>
        <v>532</v>
      </c>
      <c r="BR105" s="26">
        <f>IF(ISNUMBER(VLOOKUP($D105,'Visu totale'!$D:$DH,BR$1,0)),BQ105-VLOOKUP($D105,'Visu totale'!$D:$DH,BR$1,0),IF(LEFT(VLOOKUP($D105,'Visu totale'!$D:$DH,BR$1,0),1)="V",IF(BQ105&gt;=INDEX('[1]Définition Maintenances'!$G:$G,MATCH($A105,'[1]Définition Maintenances'!$K:$K,0)),BQ105,INDEX('[1]Définition Maintenances'!$G:$G,MATCH($A105,'[1]Définition Maintenances'!$K:$K,0))+BQ105),BQ105))</f>
        <v>532</v>
      </c>
      <c r="BS105" s="26">
        <f>IF(ISNUMBER(VLOOKUP($D105,'Visu totale'!$D:$DH,BS$1,0)),BR105-VLOOKUP($D105,'Visu totale'!$D:$DH,BS$1,0),IF(LEFT(VLOOKUP($D105,'Visu totale'!$D:$DH,BS$1,0),1)="V",IF(BR105&gt;=INDEX('[1]Définition Maintenances'!$G:$G,MATCH($A105,'[1]Définition Maintenances'!$K:$K,0)),BR105,INDEX('[1]Définition Maintenances'!$G:$G,MATCH($A105,'[1]Définition Maintenances'!$K:$K,0))+BR105),BR105))</f>
        <v>532</v>
      </c>
      <c r="BT105" s="26">
        <f>IF(ISNUMBER(VLOOKUP($D105,'Visu totale'!$D:$DH,BT$1,0)),BS105-VLOOKUP($D105,'Visu totale'!$D:$DH,BT$1,0),IF(LEFT(VLOOKUP($D105,'Visu totale'!$D:$DH,BT$1,0),1)="V",IF(BS105&gt;=INDEX('[1]Définition Maintenances'!$G:$G,MATCH($A105,'[1]Définition Maintenances'!$K:$K,0)),BS105,INDEX('[1]Définition Maintenances'!$G:$G,MATCH($A105,'[1]Définition Maintenances'!$K:$K,0))+BS105),BS105))</f>
        <v>532</v>
      </c>
      <c r="BU105" s="26">
        <f>IF(ISNUMBER(VLOOKUP($D105,'Visu totale'!$D:$DH,BU$1,0)),BT105-VLOOKUP($D105,'Visu totale'!$D:$DH,BU$1,0),IF(LEFT(VLOOKUP($D105,'Visu totale'!$D:$DH,BU$1,0),1)="V",IF(BT105&gt;=INDEX('[1]Définition Maintenances'!$G:$G,MATCH($A105,'[1]Définition Maintenances'!$K:$K,0)),BT105,INDEX('[1]Définition Maintenances'!$G:$G,MATCH($A105,'[1]Définition Maintenances'!$K:$K,0))+BT105),BT105))</f>
        <v>532</v>
      </c>
      <c r="BV105" s="26">
        <f>IF(ISNUMBER(VLOOKUP($D105,'Visu totale'!$D:$DH,BV$1,0)),BU105-VLOOKUP($D105,'Visu totale'!$D:$DH,BV$1,0),IF(LEFT(VLOOKUP($D105,'Visu totale'!$D:$DH,BV$1,0),1)="V",IF(BU105&gt;=INDEX('[1]Définition Maintenances'!$G:$G,MATCH($A105,'[1]Définition Maintenances'!$K:$K,0)),BU105,INDEX('[1]Définition Maintenances'!$G:$G,MATCH($A105,'[1]Définition Maintenances'!$K:$K,0))+BU105),BU105))</f>
        <v>532</v>
      </c>
      <c r="BW105" s="26">
        <f>IF(ISNUMBER(VLOOKUP($D105,'Visu totale'!$D:$DH,BW$1,0)),BV105-VLOOKUP($D105,'Visu totale'!$D:$DH,BW$1,0),IF(LEFT(VLOOKUP($D105,'Visu totale'!$D:$DH,BW$1,0),1)="V",IF(BV105&gt;=INDEX('[1]Définition Maintenances'!$G:$G,MATCH($A105,'[1]Définition Maintenances'!$K:$K,0)),BV105,INDEX('[1]Définition Maintenances'!$G:$G,MATCH($A105,'[1]Définition Maintenances'!$K:$K,0))+BV105),BV105))</f>
        <v>532</v>
      </c>
      <c r="BX105" s="26">
        <f>IF(ISNUMBER(VLOOKUP($D105,'Visu totale'!$D:$DH,BX$1,0)),BW105-VLOOKUP($D105,'Visu totale'!$D:$DH,BX$1,0),IF(LEFT(VLOOKUP($D105,'Visu totale'!$D:$DH,BX$1,0),1)="V",IF(BW105&gt;=INDEX('[1]Définition Maintenances'!$G:$G,MATCH($A105,'[1]Définition Maintenances'!$K:$K,0)),BW105,INDEX('[1]Définition Maintenances'!$G:$G,MATCH($A105,'[1]Définition Maintenances'!$K:$K,0))+BW105),BW105))</f>
        <v>532</v>
      </c>
      <c r="BY105" s="27">
        <f>IF(ISNUMBER(VLOOKUP($D105,'Visu totale'!$D:$DH,BY$1,0)),BX105-VLOOKUP($D105,'Visu totale'!$D:$DH,BY$1,0),IF(LEFT(VLOOKUP($D105,'Visu totale'!$D:$DH,BY$1,0),1)="V",IF(BX105&gt;=INDEX('[1]Définition Maintenances'!$G:$G,MATCH($A105,'[1]Définition Maintenances'!$K:$K,0)),BX105,INDEX('[1]Définition Maintenances'!$G:$G,MATCH($A105,'[1]Définition Maintenances'!$K:$K,0))+BX105),BX105))</f>
        <v>532</v>
      </c>
      <c r="BZ105" s="25">
        <f>IF(ISNUMBER(VLOOKUP($D105,'Visu totale'!$D:$DH,BZ$1,0)),BY105-VLOOKUP($D105,'Visu totale'!$D:$DH,BZ$1,0),IF(LEFT(VLOOKUP($D105,'Visu totale'!$D:$DH,BZ$1,0),1)="V",IF(BY105&gt;=INDEX('[1]Définition Maintenances'!$G:$G,MATCH($A105,'[1]Définition Maintenances'!$K:$K,0)),BY105,INDEX('[1]Définition Maintenances'!$G:$G,MATCH($A105,'[1]Définition Maintenances'!$K:$K,0))+BY105),BY105))</f>
        <v>532</v>
      </c>
      <c r="CA105" s="26">
        <f>IF(ISNUMBER(VLOOKUP($D105,'Visu totale'!$D:$DH,CA$1,0)),BZ105-VLOOKUP($D105,'Visu totale'!$D:$DH,CA$1,0),IF(LEFT(VLOOKUP($D105,'Visu totale'!$D:$DH,CA$1,0),1)="V",IF(BZ105&gt;=INDEX('[1]Définition Maintenances'!$G:$G,MATCH($A105,'[1]Définition Maintenances'!$K:$K,0)),BZ105,INDEX('[1]Définition Maintenances'!$G:$G,MATCH($A105,'[1]Définition Maintenances'!$K:$K,0))+BZ105),BZ105))</f>
        <v>532</v>
      </c>
      <c r="CB105" s="26">
        <f>IF(ISNUMBER(VLOOKUP($D105,'Visu totale'!$D:$DH,CB$1,0)),CA105-VLOOKUP($D105,'Visu totale'!$D:$DH,CB$1,0),IF(LEFT(VLOOKUP($D105,'Visu totale'!$D:$DH,CB$1,0),1)="V",IF(CA105&gt;=INDEX('[1]Définition Maintenances'!$G:$G,MATCH($A105,'[1]Définition Maintenances'!$K:$K,0)),CA105,INDEX('[1]Définition Maintenances'!$G:$G,MATCH($A105,'[1]Définition Maintenances'!$K:$K,0))+CA105),CA105))</f>
        <v>532</v>
      </c>
      <c r="CC105" s="26">
        <f>IF(ISNUMBER(VLOOKUP($D105,'Visu totale'!$D:$DH,CC$1,0)),CB105-VLOOKUP($D105,'Visu totale'!$D:$DH,CC$1,0),IF(LEFT(VLOOKUP($D105,'Visu totale'!$D:$DH,CC$1,0),1)="V",IF(CB105&gt;=INDEX('[1]Définition Maintenances'!$G:$G,MATCH($A105,'[1]Définition Maintenances'!$K:$K,0)),CB105,INDEX('[1]Définition Maintenances'!$G:$G,MATCH($A105,'[1]Définition Maintenances'!$K:$K,0))+CB105),CB105))</f>
        <v>532</v>
      </c>
      <c r="CD105" s="26">
        <f>IF(ISNUMBER(VLOOKUP($D105,'Visu totale'!$D:$DH,CD$1,0)),CC105-VLOOKUP($D105,'Visu totale'!$D:$DH,CD$1,0),IF(LEFT(VLOOKUP($D105,'Visu totale'!$D:$DH,CD$1,0),1)="V",IF(CC105&gt;=INDEX('[1]Définition Maintenances'!$G:$G,MATCH($A105,'[1]Définition Maintenances'!$K:$K,0)),CC105,INDEX('[1]Définition Maintenances'!$G:$G,MATCH($A105,'[1]Définition Maintenances'!$K:$K,0))+CC105),CC105))</f>
        <v>532</v>
      </c>
      <c r="CE105" s="26">
        <f>IF(ISNUMBER(VLOOKUP($D105,'Visu totale'!$D:$DH,CE$1,0)),CD105-VLOOKUP($D105,'Visu totale'!$D:$DH,CE$1,0),IF(LEFT(VLOOKUP($D105,'Visu totale'!$D:$DH,CE$1,0),1)="V",IF(CD105&gt;=INDEX('[1]Définition Maintenances'!$G:$G,MATCH($A105,'[1]Définition Maintenances'!$K:$K,0)),CD105,INDEX('[1]Définition Maintenances'!$G:$G,MATCH($A105,'[1]Définition Maintenances'!$K:$K,0))+CD105),CD105))</f>
        <v>532</v>
      </c>
      <c r="CF105" s="26">
        <f>IF(ISNUMBER(VLOOKUP($D105,'Visu totale'!$D:$DH,CF$1,0)),CE105-VLOOKUP($D105,'Visu totale'!$D:$DH,CF$1,0),IF(LEFT(VLOOKUP($D105,'Visu totale'!$D:$DH,CF$1,0),1)="V",IF(CE105&gt;=INDEX('[1]Définition Maintenances'!$G:$G,MATCH($A105,'[1]Définition Maintenances'!$K:$K,0)),CE105,INDEX('[1]Définition Maintenances'!$G:$G,MATCH($A105,'[1]Définition Maintenances'!$K:$K,0))+CE105),CE105))</f>
        <v>532</v>
      </c>
      <c r="CG105" s="26">
        <f>IF(ISNUMBER(VLOOKUP($D105,'Visu totale'!$D:$DH,CG$1,0)),CF105-VLOOKUP($D105,'Visu totale'!$D:$DH,CG$1,0),IF(LEFT(VLOOKUP($D105,'Visu totale'!$D:$DH,CG$1,0),1)="V",IF(CF105&gt;=INDEX('[1]Définition Maintenances'!$G:$G,MATCH($A105,'[1]Définition Maintenances'!$K:$K,0)),CF105,INDEX('[1]Définition Maintenances'!$G:$G,MATCH($A105,'[1]Définition Maintenances'!$K:$K,0))+CF105),CF105))</f>
        <v>532</v>
      </c>
      <c r="CH105" s="26">
        <f>IF(ISNUMBER(VLOOKUP($D105,'Visu totale'!$D:$DH,CH$1,0)),CG105-VLOOKUP($D105,'Visu totale'!$D:$DH,CH$1,0),IF(LEFT(VLOOKUP($D105,'Visu totale'!$D:$DH,CH$1,0),1)="V",IF(CG105&gt;=INDEX('[1]Définition Maintenances'!$G:$G,MATCH($A105,'[1]Définition Maintenances'!$K:$K,0)),CG105,INDEX('[1]Définition Maintenances'!$G:$G,MATCH($A105,'[1]Définition Maintenances'!$K:$K,0))+CG105),CG105))</f>
        <v>532</v>
      </c>
      <c r="CI105" s="26">
        <f>IF(ISNUMBER(VLOOKUP($D105,'Visu totale'!$D:$DH,CI$1,0)),CH105-VLOOKUP($D105,'Visu totale'!$D:$DH,CI$1,0),IF(LEFT(VLOOKUP($D105,'Visu totale'!$D:$DH,CI$1,0),1)="V",IF(CH105&gt;=INDEX('[1]Définition Maintenances'!$G:$G,MATCH($A105,'[1]Définition Maintenances'!$K:$K,0)),CH105,INDEX('[1]Définition Maintenances'!$G:$G,MATCH($A105,'[1]Définition Maintenances'!$K:$K,0))+CH105),CH105))</f>
        <v>532</v>
      </c>
      <c r="CJ105" s="26">
        <f>IF(ISNUMBER(VLOOKUP($D105,'Visu totale'!$D:$DH,CJ$1,0)),CI105-VLOOKUP($D105,'Visu totale'!$D:$DH,CJ$1,0),IF(LEFT(VLOOKUP($D105,'Visu totale'!$D:$DH,CJ$1,0),1)="V",IF(CI105&gt;=INDEX('[1]Définition Maintenances'!$G:$G,MATCH($A105,'[1]Définition Maintenances'!$K:$K,0)),CI105,INDEX('[1]Définition Maintenances'!$G:$G,MATCH($A105,'[1]Définition Maintenances'!$K:$K,0))+CI105),CI105))</f>
        <v>532</v>
      </c>
      <c r="CK105" s="27">
        <f>IF(ISNUMBER(VLOOKUP($D105,'Visu totale'!$D:$DH,CK$1,0)),CJ105-VLOOKUP($D105,'Visu totale'!$D:$DH,CK$1,0),IF(LEFT(VLOOKUP($D105,'Visu totale'!$D:$DH,CK$1,0),1)="V",IF(CJ105&gt;=INDEX('[1]Définition Maintenances'!$G:$G,MATCH($A105,'[1]Définition Maintenances'!$K:$K,0)),CJ105,INDEX('[1]Définition Maintenances'!$G:$G,MATCH($A105,'[1]Définition Maintenances'!$K:$K,0))+CJ105),CJ105))</f>
        <v>532</v>
      </c>
      <c r="CL105" s="25">
        <f>IF(ISNUMBER(VLOOKUP($D105,'Visu totale'!$D:$DH,CL$1,0)),CK105-VLOOKUP($D105,'Visu totale'!$D:$DH,CL$1,0),IF(LEFT(VLOOKUP($D105,'Visu totale'!$D:$DH,CL$1,0),1)="V",IF(CK105&gt;=INDEX('[1]Définition Maintenances'!$G:$G,MATCH($A105,'[1]Définition Maintenances'!$K:$K,0)),CK105,INDEX('[1]Définition Maintenances'!$G:$G,MATCH($A105,'[1]Définition Maintenances'!$K:$K,0))+CK105),CK105))</f>
        <v>532</v>
      </c>
      <c r="CM105" s="26">
        <f>IF(ISNUMBER(VLOOKUP($D105,'Visu totale'!$D:$DH,CM$1,0)),CL105-VLOOKUP($D105,'Visu totale'!$D:$DH,CM$1,0),IF(LEFT(VLOOKUP($D105,'Visu totale'!$D:$DH,CM$1,0),1)="V",IF(CL105&gt;=INDEX('[1]Définition Maintenances'!$G:$G,MATCH($A105,'[1]Définition Maintenances'!$K:$K,0)),CL105,INDEX('[1]Définition Maintenances'!$G:$G,MATCH($A105,'[1]Définition Maintenances'!$K:$K,0))+CL105),CL105))</f>
        <v>532</v>
      </c>
      <c r="CN105" s="26">
        <f>IF(ISNUMBER(VLOOKUP($D105,'Visu totale'!$D:$DH,CN$1,0)),CM105-VLOOKUP($D105,'Visu totale'!$D:$DH,CN$1,0),IF(LEFT(VLOOKUP($D105,'Visu totale'!$D:$DH,CN$1,0),1)="V",IF(CM105&gt;=INDEX('[1]Définition Maintenances'!$G:$G,MATCH($A105,'[1]Définition Maintenances'!$K:$K,0)),CM105,INDEX('[1]Définition Maintenances'!$G:$G,MATCH($A105,'[1]Définition Maintenances'!$K:$K,0))+CM105),CM105))</f>
        <v>532</v>
      </c>
      <c r="CO105" s="26">
        <f>IF(ISNUMBER(VLOOKUP($D105,'Visu totale'!$D:$DH,CO$1,0)),CN105-VLOOKUP($D105,'Visu totale'!$D:$DH,CO$1,0),IF(LEFT(VLOOKUP($D105,'Visu totale'!$D:$DH,CO$1,0),1)="V",IF(CN105&gt;=INDEX('[1]Définition Maintenances'!$G:$G,MATCH($A105,'[1]Définition Maintenances'!$K:$K,0)),CN105,INDEX('[1]Définition Maintenances'!$G:$G,MATCH($A105,'[1]Définition Maintenances'!$K:$K,0))+CN105),CN105))</f>
        <v>532</v>
      </c>
      <c r="CP105" s="26">
        <f>IF(ISNUMBER(VLOOKUP($D105,'Visu totale'!$D:$DH,CP$1,0)),CO105-VLOOKUP($D105,'Visu totale'!$D:$DH,CP$1,0),IF(LEFT(VLOOKUP($D105,'Visu totale'!$D:$DH,CP$1,0),1)="V",IF(CO105&gt;=INDEX('[1]Définition Maintenances'!$G:$G,MATCH($A105,'[1]Définition Maintenances'!$K:$K,0)),CO105,INDEX('[1]Définition Maintenances'!$G:$G,MATCH($A105,'[1]Définition Maintenances'!$K:$K,0))+CO105),CO105))</f>
        <v>532</v>
      </c>
      <c r="CQ105" s="26">
        <f>IF(ISNUMBER(VLOOKUP($D105,'Visu totale'!$D:$DH,CQ$1,0)),CP105-VLOOKUP($D105,'Visu totale'!$D:$DH,CQ$1,0),IF(LEFT(VLOOKUP($D105,'Visu totale'!$D:$DH,CQ$1,0),1)="V",IF(CP105&gt;=INDEX('[1]Définition Maintenances'!$G:$G,MATCH($A105,'[1]Définition Maintenances'!$K:$K,0)),CP105,INDEX('[1]Définition Maintenances'!$G:$G,MATCH($A105,'[1]Définition Maintenances'!$K:$K,0))+CP105),CP105))</f>
        <v>532</v>
      </c>
      <c r="CR105" s="26">
        <f>IF(ISNUMBER(VLOOKUP($D105,'Visu totale'!$D:$DH,CR$1,0)),CQ105-VLOOKUP($D105,'Visu totale'!$D:$DH,CR$1,0),IF(LEFT(VLOOKUP($D105,'Visu totale'!$D:$DH,CR$1,0),1)="V",IF(CQ105&gt;=INDEX('[1]Définition Maintenances'!$G:$G,MATCH($A105,'[1]Définition Maintenances'!$K:$K,0)),CQ105,INDEX('[1]Définition Maintenances'!$G:$G,MATCH($A105,'[1]Définition Maintenances'!$K:$K,0))+CQ105),CQ105))</f>
        <v>532</v>
      </c>
      <c r="CS105" s="26">
        <f>IF(ISNUMBER(VLOOKUP($D105,'Visu totale'!$D:$DH,CS$1,0)),CR105-VLOOKUP($D105,'Visu totale'!$D:$DH,CS$1,0),IF(LEFT(VLOOKUP($D105,'Visu totale'!$D:$DH,CS$1,0),1)="V",IF(CR105&gt;=INDEX('[1]Définition Maintenances'!$G:$G,MATCH($A105,'[1]Définition Maintenances'!$K:$K,0)),CR105,INDEX('[1]Définition Maintenances'!$G:$G,MATCH($A105,'[1]Définition Maintenances'!$K:$K,0))+CR105),CR105))</f>
        <v>532</v>
      </c>
      <c r="CT105" s="26">
        <f>IF(ISNUMBER(VLOOKUP($D105,'Visu totale'!$D:$DH,CT$1,0)),CS105-VLOOKUP($D105,'Visu totale'!$D:$DH,CT$1,0),IF(LEFT(VLOOKUP($D105,'Visu totale'!$D:$DH,CT$1,0),1)="V",IF(CS105&gt;=INDEX('[1]Définition Maintenances'!$G:$G,MATCH($A105,'[1]Définition Maintenances'!$K:$K,0)),CS105,INDEX('[1]Définition Maintenances'!$G:$G,MATCH($A105,'[1]Définition Maintenances'!$K:$K,0))+CS105),CS105))</f>
        <v>532</v>
      </c>
      <c r="CU105" s="26">
        <f>IF(ISNUMBER(VLOOKUP($D105,'Visu totale'!$D:$DH,CU$1,0)),CT105-VLOOKUP($D105,'Visu totale'!$D:$DH,CU$1,0),IF(LEFT(VLOOKUP($D105,'Visu totale'!$D:$DH,CU$1,0),1)="V",IF(CT105&gt;=INDEX('[1]Définition Maintenances'!$G:$G,MATCH($A105,'[1]Définition Maintenances'!$K:$K,0)),CT105,INDEX('[1]Définition Maintenances'!$G:$G,MATCH($A105,'[1]Définition Maintenances'!$K:$K,0))+CT105),CT105))</f>
        <v>532</v>
      </c>
      <c r="CV105" s="26">
        <f>IF(ISNUMBER(VLOOKUP($D105,'Visu totale'!$D:$DH,CV$1,0)),CU105-VLOOKUP($D105,'Visu totale'!$D:$DH,CV$1,0),IF(LEFT(VLOOKUP($D105,'Visu totale'!$D:$DH,CV$1,0),1)="V",IF(CU105&gt;=INDEX('[1]Définition Maintenances'!$G:$G,MATCH($A105,'[1]Définition Maintenances'!$K:$K,0)),CU105,INDEX('[1]Définition Maintenances'!$G:$G,MATCH($A105,'[1]Définition Maintenances'!$K:$K,0))+CU105),CU105))</f>
        <v>532</v>
      </c>
      <c r="CW105" s="27">
        <f>IF(ISNUMBER(VLOOKUP($D105,'Visu totale'!$D:$DH,CW$1,0)),CV105-VLOOKUP($D105,'Visu totale'!$D:$DH,CW$1,0),IF(LEFT(VLOOKUP($D105,'Visu totale'!$D:$DH,CW$1,0),1)="V",IF(CV105&gt;=INDEX('[1]Définition Maintenances'!$G:$G,MATCH($A105,'[1]Définition Maintenances'!$K:$K,0)),CV105,INDEX('[1]Définition Maintenances'!$G:$G,MATCH($A105,'[1]Définition Maintenances'!$K:$K,0))+CV105),CV105))</f>
        <v>532</v>
      </c>
      <c r="CX105" s="25">
        <f>IF(ISNUMBER(VLOOKUP($D105,'Visu totale'!$D:$DH,CX$1,0)),CW105-VLOOKUP($D105,'Visu totale'!$D:$DH,CX$1,0),IF(LEFT(VLOOKUP($D105,'Visu totale'!$D:$DH,CX$1,0),1)="V",IF(CW105&gt;=INDEX('[1]Définition Maintenances'!$G:$G,MATCH($A105,'[1]Définition Maintenances'!$K:$K,0)),CW105,INDEX('[1]Définition Maintenances'!$G:$G,MATCH($A105,'[1]Définition Maintenances'!$K:$K,0))+CW105),CW105))</f>
        <v>532</v>
      </c>
      <c r="CY105" s="26">
        <f>IF(ISNUMBER(VLOOKUP($D105,'Visu totale'!$D:$DH,CY$1,0)),CX105-VLOOKUP($D105,'Visu totale'!$D:$DH,CY$1,0),IF(LEFT(VLOOKUP($D105,'Visu totale'!$D:$DH,CY$1,0),1)="V",IF(CX105&gt;=INDEX('[1]Définition Maintenances'!$G:$G,MATCH($A105,'[1]Définition Maintenances'!$K:$K,0)),CX105,INDEX('[1]Définition Maintenances'!$G:$G,MATCH($A105,'[1]Définition Maintenances'!$K:$K,0))+CX105),CX105))</f>
        <v>532</v>
      </c>
      <c r="CZ105" s="26">
        <f>IF(ISNUMBER(VLOOKUP($D105,'Visu totale'!$D:$DH,CZ$1,0)),CY105-VLOOKUP($D105,'Visu totale'!$D:$DH,CZ$1,0),IF(LEFT(VLOOKUP($D105,'Visu totale'!$D:$DH,CZ$1,0),1)="V",IF(CY105&gt;=INDEX('[1]Définition Maintenances'!$G:$G,MATCH($A105,'[1]Définition Maintenances'!$K:$K,0)),CY105,INDEX('[1]Définition Maintenances'!$G:$G,MATCH($A105,'[1]Définition Maintenances'!$K:$K,0))+CY105),CY105))</f>
        <v>532</v>
      </c>
      <c r="DA105" s="26">
        <f>IF(ISNUMBER(VLOOKUP($D105,'Visu totale'!$D:$DH,DA$1,0)),CZ105-VLOOKUP($D105,'Visu totale'!$D:$DH,DA$1,0),IF(LEFT(VLOOKUP($D105,'Visu totale'!$D:$DH,DA$1,0),1)="V",IF(CZ105&gt;=INDEX('[1]Définition Maintenances'!$G:$G,MATCH($A105,'[1]Définition Maintenances'!$K:$K,0)),CZ105,INDEX('[1]Définition Maintenances'!$G:$G,MATCH($A105,'[1]Définition Maintenances'!$K:$K,0))+CZ105),CZ105))</f>
        <v>532</v>
      </c>
      <c r="DB105" s="26">
        <f>IF(ISNUMBER(VLOOKUP($D105,'Visu totale'!$D:$DH,DB$1,0)),DA105-VLOOKUP($D105,'Visu totale'!$D:$DH,DB$1,0),IF(LEFT(VLOOKUP($D105,'Visu totale'!$D:$DH,DB$1,0),1)="V",IF(DA105&gt;=INDEX('[1]Définition Maintenances'!$G:$G,MATCH($A105,'[1]Définition Maintenances'!$K:$K,0)),DA105,INDEX('[1]Définition Maintenances'!$G:$G,MATCH($A105,'[1]Définition Maintenances'!$K:$K,0))+DA105),DA105))</f>
        <v>532</v>
      </c>
      <c r="DC105" s="26">
        <f>IF(ISNUMBER(VLOOKUP($D105,'Visu totale'!$D:$DH,DC$1,0)),DB105-VLOOKUP($D105,'Visu totale'!$D:$DH,DC$1,0),IF(LEFT(VLOOKUP($D105,'Visu totale'!$D:$DH,DC$1,0),1)="V",IF(DB105&gt;=INDEX('[1]Définition Maintenances'!$G:$G,MATCH($A105,'[1]Définition Maintenances'!$K:$K,0)),DB105,INDEX('[1]Définition Maintenances'!$G:$G,MATCH($A105,'[1]Définition Maintenances'!$K:$K,0))+DB105),DB105))</f>
        <v>532</v>
      </c>
      <c r="DD105" s="26">
        <f>IF(ISNUMBER(VLOOKUP($D105,'Visu totale'!$D:$DH,DD$1,0)),DC105-VLOOKUP($D105,'Visu totale'!$D:$DH,DD$1,0),IF(LEFT(VLOOKUP($D105,'Visu totale'!$D:$DH,DD$1,0),1)="V",IF(DC105&gt;=INDEX('[1]Définition Maintenances'!$G:$G,MATCH($A105,'[1]Définition Maintenances'!$K:$K,0)),DC105,INDEX('[1]Définition Maintenances'!$G:$G,MATCH($A105,'[1]Définition Maintenances'!$K:$K,0))+DC105),DC105))</f>
        <v>532</v>
      </c>
      <c r="DE105" s="26">
        <f>IF(ISNUMBER(VLOOKUP($D105,'Visu totale'!$D:$DH,DE$1,0)),DD105-VLOOKUP($D105,'Visu totale'!$D:$DH,DE$1,0),IF(LEFT(VLOOKUP($D105,'Visu totale'!$D:$DH,DE$1,0),1)="V",IF(DD105&gt;=INDEX('[1]Définition Maintenances'!$G:$G,MATCH($A105,'[1]Définition Maintenances'!$K:$K,0)),DD105,INDEX('[1]Définition Maintenances'!$G:$G,MATCH($A105,'[1]Définition Maintenances'!$K:$K,0))+DD105),DD105))</f>
        <v>532</v>
      </c>
      <c r="DF105" s="26">
        <f>IF(ISNUMBER(VLOOKUP($D105,'Visu totale'!$D:$DH,DF$1,0)),DE105-VLOOKUP($D105,'Visu totale'!$D:$DH,DF$1,0),IF(LEFT(VLOOKUP($D105,'Visu totale'!$D:$DH,DF$1,0),1)="V",IF(DE105&gt;=INDEX('[1]Définition Maintenances'!$G:$G,MATCH($A105,'[1]Définition Maintenances'!$K:$K,0)),DE105,INDEX('[1]Définition Maintenances'!$G:$G,MATCH($A105,'[1]Définition Maintenances'!$K:$K,0))+DE105),DE105))</f>
        <v>532</v>
      </c>
      <c r="DG105" s="26">
        <f>IF(ISNUMBER(VLOOKUP($D105,'Visu totale'!$D:$DH,DG$1,0)),DF105-VLOOKUP($D105,'Visu totale'!$D:$DH,DG$1,0),IF(LEFT(VLOOKUP($D105,'Visu totale'!$D:$DH,DG$1,0),1)="V",IF(DF105&gt;=INDEX('[1]Définition Maintenances'!$G:$G,MATCH($A105,'[1]Définition Maintenances'!$K:$K,0)),DF105,INDEX('[1]Définition Maintenances'!$G:$G,MATCH($A105,'[1]Définition Maintenances'!$K:$K,0))+DF105),DF105))</f>
        <v>532</v>
      </c>
      <c r="DH105" s="26">
        <f>IF(ISNUMBER(VLOOKUP($D105,'Visu totale'!$D:$DH,DH$1,0)),DG105-VLOOKUP($D105,'Visu totale'!$D:$DH,DH$1,0),IF(LEFT(VLOOKUP($D105,'Visu totale'!$D:$DH,DH$1,0),1)="V",IF(DG105&gt;=INDEX('[1]Définition Maintenances'!$G:$G,MATCH($A105,'[1]Définition Maintenances'!$K:$K,0)),DG105,INDEX('[1]Définition Maintenances'!$G:$G,MATCH($A105,'[1]Définition Maintenances'!$K:$K,0))+DG105),DG105))</f>
        <v>532</v>
      </c>
      <c r="DI105" s="27">
        <f>IF(ISNUMBER(VLOOKUP($D105,'Visu totale'!$D:$DH,DI$1,0)),DH105-VLOOKUP($D105,'Visu totale'!$D:$DH,DI$1,0),IF(LEFT(VLOOKUP($D105,'Visu totale'!$D:$DH,DI$1,0),1)="V",IF(DH105&gt;=INDEX('[1]Définition Maintenances'!$G:$G,MATCH($A105,'[1]Définition Maintenances'!$K:$K,0)),DH105,INDEX('[1]Définition Maintenances'!$G:$G,MATCH($A105,'[1]Définition Maintenances'!$K:$K,0))+DH105),DH105))</f>
        <v>532</v>
      </c>
    </row>
    <row r="106" spans="1:113" x14ac:dyDescent="0.25">
      <c r="A106" s="13" t="str">
        <f t="shared" si="3"/>
        <v>V205</v>
      </c>
      <c r="B106" s="13" t="str">
        <f>VLOOKUP(D106,'[1]Avions (Potentiels)'!$B$2:$H$128,7,FALSE)</f>
        <v>V20</v>
      </c>
      <c r="C106" s="13"/>
      <c r="D106" s="16" t="s">
        <v>109</v>
      </c>
      <c r="E106" s="13">
        <f>IFERROR(VALUE(SUBSTITUTE(VLOOKUP(D106,'[1]Avions (Potentiels)'!$B:$E,4,0),".",",")),VALUE(VLOOKUP(D106,'[1]Avions (Potentiels)'!$B:$E,4,0)))</f>
        <v>473</v>
      </c>
      <c r="F106" s="25">
        <f>IF(ISNUMBER(VLOOKUP($D106,'Visu totale'!$D:$DH,F$1,0)),E106-VLOOKUP($D106,'Visu totale'!$D:$DH,F$1,0),IF(LEFT(VLOOKUP($D106,'Visu totale'!$D:$DH,F$1,0),1)="V",IF(E106&gt;=INDEX('[1]Définition Maintenances'!$G:$G,MATCH($A106,'[1]Définition Maintenances'!$K:$K,0)),E106,INDEX('[1]Définition Maintenances'!$G:$G,MATCH($A106,'[1]Définition Maintenances'!$K:$K,0))+E106),E106))</f>
        <v>473</v>
      </c>
      <c r="G106" s="26">
        <f>IF(ISNUMBER(VLOOKUP($D106,'Visu totale'!$D:$DH,G$1,0)),F106-VLOOKUP($D106,'Visu totale'!$D:$DH,G$1,0),IF(LEFT(VLOOKUP($D106,'Visu totale'!$D:$DH,G$1,0),1)="V",IF(F106&gt;=INDEX('[1]Définition Maintenances'!$G:$G,MATCH($A106,'[1]Définition Maintenances'!$K:$K,0)),F106,INDEX('[1]Définition Maintenances'!$G:$G,MATCH($A106,'[1]Définition Maintenances'!$K:$K,0))+F106),F106))</f>
        <v>473</v>
      </c>
      <c r="H106" s="26">
        <f>IF(ISNUMBER(VLOOKUP($D106,'Visu totale'!$D:$DH,H$1,0)),G106-VLOOKUP($D106,'Visu totale'!$D:$DH,H$1,0),IF(LEFT(VLOOKUP($D106,'Visu totale'!$D:$DH,H$1,0),1)="V",IF(G106&gt;=INDEX('[1]Définition Maintenances'!$G:$G,MATCH($A106,'[1]Définition Maintenances'!$K:$K,0)),G106,INDEX('[1]Définition Maintenances'!$G:$G,MATCH($A106,'[1]Définition Maintenances'!$K:$K,0))+G106),G106))</f>
        <v>473</v>
      </c>
      <c r="I106" s="26">
        <f>IF(ISNUMBER(VLOOKUP($D106,'Visu totale'!$D:$DH,I$1,0)),H106-VLOOKUP($D106,'Visu totale'!$D:$DH,I$1,0),IF(LEFT(VLOOKUP($D106,'Visu totale'!$D:$DH,I$1,0),1)="V",IF(H106&gt;=INDEX('[1]Définition Maintenances'!$G:$G,MATCH($A106,'[1]Définition Maintenances'!$K:$K,0)),H106,INDEX('[1]Définition Maintenances'!$G:$G,MATCH($A106,'[1]Définition Maintenances'!$K:$K,0))+H106),H106))</f>
        <v>473</v>
      </c>
      <c r="J106" s="26">
        <f>IF(ISNUMBER(VLOOKUP($D106,'Visu totale'!$D:$DH,J$1,0)),I106-VLOOKUP($D106,'Visu totale'!$D:$DH,J$1,0),IF(LEFT(VLOOKUP($D106,'Visu totale'!$D:$DH,J$1,0),1)="V",IF(I106&gt;=INDEX('[1]Définition Maintenances'!$G:$G,MATCH($A106,'[1]Définition Maintenances'!$K:$K,0)),I106,INDEX('[1]Définition Maintenances'!$G:$G,MATCH($A106,'[1]Définition Maintenances'!$K:$K,0))+I106),I106))</f>
        <v>473</v>
      </c>
      <c r="K106" s="26">
        <f>IF(ISNUMBER(VLOOKUP($D106,'Visu totale'!$D:$DH,K$1,0)),J106-VLOOKUP($D106,'Visu totale'!$D:$DH,K$1,0),IF(LEFT(VLOOKUP($D106,'Visu totale'!$D:$DH,K$1,0),1)="V",IF(J106&gt;=INDEX('[1]Définition Maintenances'!$G:$G,MATCH($A106,'[1]Définition Maintenances'!$K:$K,0)),J106,INDEX('[1]Définition Maintenances'!$G:$G,MATCH($A106,'[1]Définition Maintenances'!$K:$K,0))+J106),J106))</f>
        <v>473</v>
      </c>
      <c r="L106" s="26">
        <f>IF(ISNUMBER(VLOOKUP($D106,'Visu totale'!$D:$DH,L$1,0)),K106-VLOOKUP($D106,'Visu totale'!$D:$DH,L$1,0),IF(LEFT(VLOOKUP($D106,'Visu totale'!$D:$DH,L$1,0),1)="V",IF(K106&gt;=INDEX('[1]Définition Maintenances'!$G:$G,MATCH($A106,'[1]Définition Maintenances'!$K:$K,0)),K106,INDEX('[1]Définition Maintenances'!$G:$G,MATCH($A106,'[1]Définition Maintenances'!$K:$K,0))+K106),K106))</f>
        <v>473</v>
      </c>
      <c r="M106" s="26">
        <f>IF(ISNUMBER(VLOOKUP($D106,'Visu totale'!$D:$DH,M$1,0)),L106-VLOOKUP($D106,'Visu totale'!$D:$DH,M$1,0),IF(LEFT(VLOOKUP($D106,'Visu totale'!$D:$DH,M$1,0),1)="V",IF(L106&gt;=INDEX('[1]Définition Maintenances'!$G:$G,MATCH($A106,'[1]Définition Maintenances'!$K:$K,0)),L106,INDEX('[1]Définition Maintenances'!$G:$G,MATCH($A106,'[1]Définition Maintenances'!$K:$K,0))+L106),L106))</f>
        <v>473</v>
      </c>
      <c r="N106" s="26">
        <f>IF(ISNUMBER(VLOOKUP($D106,'Visu totale'!$D:$DH,N$1,0)),M106-VLOOKUP($D106,'Visu totale'!$D:$DH,N$1,0),IF(LEFT(VLOOKUP($D106,'Visu totale'!$D:$DH,N$1,0),1)="V",IF(M106&gt;=INDEX('[1]Définition Maintenances'!$G:$G,MATCH($A106,'[1]Définition Maintenances'!$K:$K,0)),M106,INDEX('[1]Définition Maintenances'!$G:$G,MATCH($A106,'[1]Définition Maintenances'!$K:$K,0))+M106),M106))</f>
        <v>473</v>
      </c>
      <c r="O106" s="26">
        <f>IF(ISNUMBER(VLOOKUP($D106,'Visu totale'!$D:$DH,O$1,0)),N106-VLOOKUP($D106,'Visu totale'!$D:$DH,O$1,0),IF(LEFT(VLOOKUP($D106,'Visu totale'!$D:$DH,O$1,0),1)="V",IF(N106&gt;=INDEX('[1]Définition Maintenances'!$G:$G,MATCH($A106,'[1]Définition Maintenances'!$K:$K,0)),N106,INDEX('[1]Définition Maintenances'!$G:$G,MATCH($A106,'[1]Définition Maintenances'!$K:$K,0))+N106),N106))</f>
        <v>473</v>
      </c>
      <c r="P106" s="26">
        <f>IF(ISNUMBER(VLOOKUP($D106,'Visu totale'!$D:$DH,P$1,0)),O106-VLOOKUP($D106,'Visu totale'!$D:$DH,P$1,0),IF(LEFT(VLOOKUP($D106,'Visu totale'!$D:$DH,P$1,0),1)="V",IF(O106&gt;=INDEX('[1]Définition Maintenances'!$G:$G,MATCH($A106,'[1]Définition Maintenances'!$K:$K,0)),O106,INDEX('[1]Définition Maintenances'!$G:$G,MATCH($A106,'[1]Définition Maintenances'!$K:$K,0))+O106),O106))</f>
        <v>473</v>
      </c>
      <c r="Q106" s="27">
        <f>IF(ISNUMBER(VLOOKUP($D106,'Visu totale'!$D:$DH,Q$1,0)),P106-VLOOKUP($D106,'Visu totale'!$D:$DH,Q$1,0),IF(LEFT(VLOOKUP($D106,'Visu totale'!$D:$DH,Q$1,0),1)="V",IF(P106&gt;=INDEX('[1]Définition Maintenances'!$G:$G,MATCH($A106,'[1]Définition Maintenances'!$K:$K,0)),P106,INDEX('[1]Définition Maintenances'!$G:$G,MATCH($A106,'[1]Définition Maintenances'!$K:$K,0))+P106),P106))</f>
        <v>473</v>
      </c>
      <c r="R106" s="25">
        <f>IF(ISNUMBER(VLOOKUP($D106,'Visu totale'!$D:$DH,R$1,0)),Q106-VLOOKUP($D106,'Visu totale'!$D:$DH,R$1,0),IF(LEFT(VLOOKUP($D106,'Visu totale'!$D:$DH,R$1,0),1)="V",IF(Q106&gt;=INDEX('[1]Définition Maintenances'!$G:$G,MATCH($A106,'[1]Définition Maintenances'!$K:$K,0)),Q106,INDEX('[1]Définition Maintenances'!$G:$G,MATCH($A106,'[1]Définition Maintenances'!$K:$K,0))+Q106),Q106))</f>
        <v>473</v>
      </c>
      <c r="S106" s="26">
        <f>IF(ISNUMBER(VLOOKUP($D106,'Visu totale'!$D:$DH,S$1,0)),R106-VLOOKUP($D106,'Visu totale'!$D:$DH,S$1,0),IF(LEFT(VLOOKUP($D106,'Visu totale'!$D:$DH,S$1,0),1)="V",IF(R106&gt;=INDEX('[1]Définition Maintenances'!$G:$G,MATCH($A106,'[1]Définition Maintenances'!$K:$K,0)),R106,INDEX('[1]Définition Maintenances'!$G:$G,MATCH($A106,'[1]Définition Maintenances'!$K:$K,0))+R106),R106))</f>
        <v>473</v>
      </c>
      <c r="T106" s="26">
        <f>IF(ISNUMBER(VLOOKUP($D106,'Visu totale'!$D:$DH,T$1,0)),S106-VLOOKUP($D106,'Visu totale'!$D:$DH,T$1,0),IF(LEFT(VLOOKUP($D106,'Visu totale'!$D:$DH,T$1,0),1)="V",IF(S106&gt;=INDEX('[1]Définition Maintenances'!$G:$G,MATCH($A106,'[1]Définition Maintenances'!$K:$K,0)),S106,INDEX('[1]Définition Maintenances'!$G:$G,MATCH($A106,'[1]Définition Maintenances'!$K:$K,0))+S106),S106))</f>
        <v>473</v>
      </c>
      <c r="U106" s="26">
        <f>IF(ISNUMBER(VLOOKUP($D106,'Visu totale'!$D:$DH,U$1,0)),T106-VLOOKUP($D106,'Visu totale'!$D:$DH,U$1,0),IF(LEFT(VLOOKUP($D106,'Visu totale'!$D:$DH,U$1,0),1)="V",IF(T106&gt;=INDEX('[1]Définition Maintenances'!$G:$G,MATCH($A106,'[1]Définition Maintenances'!$K:$K,0)),T106,INDEX('[1]Définition Maintenances'!$G:$G,MATCH($A106,'[1]Définition Maintenances'!$K:$K,0))+T106),T106))</f>
        <v>473</v>
      </c>
      <c r="V106" s="26">
        <f>IF(ISNUMBER(VLOOKUP($D106,'Visu totale'!$D:$DH,V$1,0)),U106-VLOOKUP($D106,'Visu totale'!$D:$DH,V$1,0),IF(LEFT(VLOOKUP($D106,'Visu totale'!$D:$DH,V$1,0),1)="V",IF(U106&gt;=INDEX('[1]Définition Maintenances'!$G:$G,MATCH($A106,'[1]Définition Maintenances'!$K:$K,0)),U106,INDEX('[1]Définition Maintenances'!$G:$G,MATCH($A106,'[1]Définition Maintenances'!$K:$K,0))+U106),U106))</f>
        <v>473</v>
      </c>
      <c r="W106" s="26">
        <f>IF(ISNUMBER(VLOOKUP($D106,'Visu totale'!$D:$DH,W$1,0)),V106-VLOOKUP($D106,'Visu totale'!$D:$DH,W$1,0),IF(LEFT(VLOOKUP($D106,'Visu totale'!$D:$DH,W$1,0),1)="V",IF(V106&gt;=INDEX('[1]Définition Maintenances'!$G:$G,MATCH($A106,'[1]Définition Maintenances'!$K:$K,0)),V106,INDEX('[1]Définition Maintenances'!$G:$G,MATCH($A106,'[1]Définition Maintenances'!$K:$K,0))+V106),V106))</f>
        <v>473</v>
      </c>
      <c r="X106" s="26">
        <f>IF(ISNUMBER(VLOOKUP($D106,'Visu totale'!$D:$DH,X$1,0)),W106-VLOOKUP($D106,'Visu totale'!$D:$DH,X$1,0),IF(LEFT(VLOOKUP($D106,'Visu totale'!$D:$DH,X$1,0),1)="V",IF(W106&gt;=INDEX('[1]Définition Maintenances'!$G:$G,MATCH($A106,'[1]Définition Maintenances'!$K:$K,0)),W106,INDEX('[1]Définition Maintenances'!$G:$G,MATCH($A106,'[1]Définition Maintenances'!$K:$K,0))+W106),W106))</f>
        <v>473</v>
      </c>
      <c r="Y106" s="26">
        <f>IF(ISNUMBER(VLOOKUP($D106,'Visu totale'!$D:$DH,Y$1,0)),X106-VLOOKUP($D106,'Visu totale'!$D:$DH,Y$1,0),IF(LEFT(VLOOKUP($D106,'Visu totale'!$D:$DH,Y$1,0),1)="V",IF(X106&gt;=INDEX('[1]Définition Maintenances'!$G:$G,MATCH($A106,'[1]Définition Maintenances'!$K:$K,0)),X106,INDEX('[1]Définition Maintenances'!$G:$G,MATCH($A106,'[1]Définition Maintenances'!$K:$K,0))+X106),X106))</f>
        <v>473</v>
      </c>
      <c r="Z106" s="26">
        <f>IF(ISNUMBER(VLOOKUP($D106,'Visu totale'!$D:$DH,Z$1,0)),Y106-VLOOKUP($D106,'Visu totale'!$D:$DH,Z$1,0),IF(LEFT(VLOOKUP($D106,'Visu totale'!$D:$DH,Z$1,0),1)="V",IF(Y106&gt;=INDEX('[1]Définition Maintenances'!$G:$G,MATCH($A106,'[1]Définition Maintenances'!$K:$K,0)),Y106,INDEX('[1]Définition Maintenances'!$G:$G,MATCH($A106,'[1]Définition Maintenances'!$K:$K,0))+Y106),Y106))</f>
        <v>473</v>
      </c>
      <c r="AA106" s="26">
        <f>IF(ISNUMBER(VLOOKUP($D106,'Visu totale'!$D:$DH,AA$1,0)),Z106-VLOOKUP($D106,'Visu totale'!$D:$DH,AA$1,0),IF(LEFT(VLOOKUP($D106,'Visu totale'!$D:$DH,AA$1,0),1)="V",IF(Z106&gt;=INDEX('[1]Définition Maintenances'!$G:$G,MATCH($A106,'[1]Définition Maintenances'!$K:$K,0)),Z106,INDEX('[1]Définition Maintenances'!$G:$G,MATCH($A106,'[1]Définition Maintenances'!$K:$K,0))+Z106),Z106))</f>
        <v>473</v>
      </c>
      <c r="AB106" s="26">
        <f>IF(ISNUMBER(VLOOKUP($D106,'Visu totale'!$D:$DH,AB$1,0)),AA106-VLOOKUP($D106,'Visu totale'!$D:$DH,AB$1,0),IF(LEFT(VLOOKUP($D106,'Visu totale'!$D:$DH,AB$1,0),1)="V",IF(AA106&gt;=INDEX('[1]Définition Maintenances'!$G:$G,MATCH($A106,'[1]Définition Maintenances'!$K:$K,0)),AA106,INDEX('[1]Définition Maintenances'!$G:$G,MATCH($A106,'[1]Définition Maintenances'!$K:$K,0))+AA106),AA106))</f>
        <v>473</v>
      </c>
      <c r="AC106" s="27">
        <f>IF(ISNUMBER(VLOOKUP($D106,'Visu totale'!$D:$DH,AC$1,0)),AB106-VLOOKUP($D106,'Visu totale'!$D:$DH,AC$1,0),IF(LEFT(VLOOKUP($D106,'Visu totale'!$D:$DH,AC$1,0),1)="V",IF(AB106&gt;=INDEX('[1]Définition Maintenances'!$G:$G,MATCH($A106,'[1]Définition Maintenances'!$K:$K,0)),AB106,INDEX('[1]Définition Maintenances'!$G:$G,MATCH($A106,'[1]Définition Maintenances'!$K:$K,0))+AB106),AB106))</f>
        <v>473</v>
      </c>
      <c r="AD106" s="25">
        <f>IF(ISNUMBER(VLOOKUP($D106,'Visu totale'!$D:$DH,AD$1,0)),AC106-VLOOKUP($D106,'Visu totale'!$D:$DH,AD$1,0),IF(LEFT(VLOOKUP($D106,'Visu totale'!$D:$DH,AD$1,0),1)="V",IF(AC106&gt;=INDEX('[1]Définition Maintenances'!$G:$G,MATCH($A106,'[1]Définition Maintenances'!$K:$K,0)),AC106,INDEX('[1]Définition Maintenances'!$G:$G,MATCH($A106,'[1]Définition Maintenances'!$K:$K,0))+AC106),AC106))</f>
        <v>473</v>
      </c>
      <c r="AE106" s="26">
        <f>IF(ISNUMBER(VLOOKUP($D106,'Visu totale'!$D:$DH,AE$1,0)),AD106-VLOOKUP($D106,'Visu totale'!$D:$DH,AE$1,0),IF(LEFT(VLOOKUP($D106,'Visu totale'!$D:$DH,AE$1,0),1)="V",IF(AD106&gt;=INDEX('[1]Définition Maintenances'!$G:$G,MATCH($A106,'[1]Définition Maintenances'!$K:$K,0)),AD106,INDEX('[1]Définition Maintenances'!$G:$G,MATCH($A106,'[1]Définition Maintenances'!$K:$K,0))+AD106),AD106))</f>
        <v>473</v>
      </c>
      <c r="AF106" s="26">
        <f>IF(ISNUMBER(VLOOKUP($D106,'Visu totale'!$D:$DH,AF$1,0)),AE106-VLOOKUP($D106,'Visu totale'!$D:$DH,AF$1,0),IF(LEFT(VLOOKUP($D106,'Visu totale'!$D:$DH,AF$1,0),1)="V",IF(AE106&gt;=INDEX('[1]Définition Maintenances'!$G:$G,MATCH($A106,'[1]Définition Maintenances'!$K:$K,0)),AE106,INDEX('[1]Définition Maintenances'!$G:$G,MATCH($A106,'[1]Définition Maintenances'!$K:$K,0))+AE106),AE106))</f>
        <v>473</v>
      </c>
      <c r="AG106" s="26">
        <f>IF(ISNUMBER(VLOOKUP($D106,'Visu totale'!$D:$DH,AG$1,0)),AF106-VLOOKUP($D106,'Visu totale'!$D:$DH,AG$1,0),IF(LEFT(VLOOKUP($D106,'Visu totale'!$D:$DH,AG$1,0),1)="V",IF(AF106&gt;=INDEX('[1]Définition Maintenances'!$G:$G,MATCH($A106,'[1]Définition Maintenances'!$K:$K,0)),AF106,INDEX('[1]Définition Maintenances'!$G:$G,MATCH($A106,'[1]Définition Maintenances'!$K:$K,0))+AF106),AF106))</f>
        <v>473</v>
      </c>
      <c r="AH106" s="26">
        <f>IF(ISNUMBER(VLOOKUP($D106,'Visu totale'!$D:$DH,AH$1,0)),AG106-VLOOKUP($D106,'Visu totale'!$D:$DH,AH$1,0),IF(LEFT(VLOOKUP($D106,'Visu totale'!$D:$DH,AH$1,0),1)="V",IF(AG106&gt;=INDEX('[1]Définition Maintenances'!$G:$G,MATCH($A106,'[1]Définition Maintenances'!$K:$K,0)),AG106,INDEX('[1]Définition Maintenances'!$G:$G,MATCH($A106,'[1]Définition Maintenances'!$K:$K,0))+AG106),AG106))</f>
        <v>473</v>
      </c>
      <c r="AI106" s="26">
        <f>IF(ISNUMBER(VLOOKUP($D106,'Visu totale'!$D:$DH,AI$1,0)),AH106-VLOOKUP($D106,'Visu totale'!$D:$DH,AI$1,0),IF(LEFT(VLOOKUP($D106,'Visu totale'!$D:$DH,AI$1,0),1)="V",IF(AH106&gt;=INDEX('[1]Définition Maintenances'!$G:$G,MATCH($A106,'[1]Définition Maintenances'!$K:$K,0)),AH106,INDEX('[1]Définition Maintenances'!$G:$G,MATCH($A106,'[1]Définition Maintenances'!$K:$K,0))+AH106),AH106))</f>
        <v>473</v>
      </c>
      <c r="AJ106" s="26">
        <f>IF(ISNUMBER(VLOOKUP($D106,'Visu totale'!$D:$DH,AJ$1,0)),AI106-VLOOKUP($D106,'Visu totale'!$D:$DH,AJ$1,0),IF(LEFT(VLOOKUP($D106,'Visu totale'!$D:$DH,AJ$1,0),1)="V",IF(AI106&gt;=INDEX('[1]Définition Maintenances'!$G:$G,MATCH($A106,'[1]Définition Maintenances'!$K:$K,0)),AI106,INDEX('[1]Définition Maintenances'!$G:$G,MATCH($A106,'[1]Définition Maintenances'!$K:$K,0))+AI106),AI106))</f>
        <v>473</v>
      </c>
      <c r="AK106" s="26">
        <f>IF(ISNUMBER(VLOOKUP($D106,'Visu totale'!$D:$DH,AK$1,0)),AJ106-VLOOKUP($D106,'Visu totale'!$D:$DH,AK$1,0),IF(LEFT(VLOOKUP($D106,'Visu totale'!$D:$DH,AK$1,0),1)="V",IF(AJ106&gt;=INDEX('[1]Définition Maintenances'!$G:$G,MATCH($A106,'[1]Définition Maintenances'!$K:$K,0)),AJ106,INDEX('[1]Définition Maintenances'!$G:$G,MATCH($A106,'[1]Définition Maintenances'!$K:$K,0))+AJ106),AJ106))</f>
        <v>473</v>
      </c>
      <c r="AL106" s="26">
        <f>IF(ISNUMBER(VLOOKUP($D106,'Visu totale'!$D:$DH,AL$1,0)),AK106-VLOOKUP($D106,'Visu totale'!$D:$DH,AL$1,0),IF(LEFT(VLOOKUP($D106,'Visu totale'!$D:$DH,AL$1,0),1)="V",IF(AK106&gt;=INDEX('[1]Définition Maintenances'!$G:$G,MATCH($A106,'[1]Définition Maintenances'!$K:$K,0)),AK106,INDEX('[1]Définition Maintenances'!$G:$G,MATCH($A106,'[1]Définition Maintenances'!$K:$K,0))+AK106),AK106))</f>
        <v>473</v>
      </c>
      <c r="AM106" s="26">
        <f>IF(ISNUMBER(VLOOKUP($D106,'Visu totale'!$D:$DH,AM$1,0)),AL106-VLOOKUP($D106,'Visu totale'!$D:$DH,AM$1,0),IF(LEFT(VLOOKUP($D106,'Visu totale'!$D:$DH,AM$1,0),1)="V",IF(AL106&gt;=INDEX('[1]Définition Maintenances'!$G:$G,MATCH($A106,'[1]Définition Maintenances'!$K:$K,0)),AL106,INDEX('[1]Définition Maintenances'!$G:$G,MATCH($A106,'[1]Définition Maintenances'!$K:$K,0))+AL106),AL106))</f>
        <v>473</v>
      </c>
      <c r="AN106" s="26">
        <f>IF(ISNUMBER(VLOOKUP($D106,'Visu totale'!$D:$DH,AN$1,0)),AM106-VLOOKUP($D106,'Visu totale'!$D:$DH,AN$1,0),IF(LEFT(VLOOKUP($D106,'Visu totale'!$D:$DH,AN$1,0),1)="V",IF(AM106&gt;=INDEX('[1]Définition Maintenances'!$G:$G,MATCH($A106,'[1]Définition Maintenances'!$K:$K,0)),AM106,INDEX('[1]Définition Maintenances'!$G:$G,MATCH($A106,'[1]Définition Maintenances'!$K:$K,0))+AM106),AM106))</f>
        <v>473</v>
      </c>
      <c r="AO106" s="27">
        <f>IF(ISNUMBER(VLOOKUP($D106,'Visu totale'!$D:$DH,AO$1,0)),AN106-VLOOKUP($D106,'Visu totale'!$D:$DH,AO$1,0),IF(LEFT(VLOOKUP($D106,'Visu totale'!$D:$DH,AO$1,0),1)="V",IF(AN106&gt;=INDEX('[1]Définition Maintenances'!$G:$G,MATCH($A106,'[1]Définition Maintenances'!$K:$K,0)),AN106,INDEX('[1]Définition Maintenances'!$G:$G,MATCH($A106,'[1]Définition Maintenances'!$K:$K,0))+AN106),AN106))</f>
        <v>473</v>
      </c>
      <c r="AP106" s="25">
        <f>IF(ISNUMBER(VLOOKUP($D106,'Visu totale'!$D:$DH,AP$1,0)),AO106-VLOOKUP($D106,'Visu totale'!$D:$DH,AP$1,0),IF(LEFT(VLOOKUP($D106,'Visu totale'!$D:$DH,AP$1,0),1)="V",IF(AO106&gt;=INDEX('[1]Définition Maintenances'!$G:$G,MATCH($A106,'[1]Définition Maintenances'!$K:$K,0)),AO106,INDEX('[1]Définition Maintenances'!$G:$G,MATCH($A106,'[1]Définition Maintenances'!$K:$K,0))+AO106),AO106))</f>
        <v>473</v>
      </c>
      <c r="AQ106" s="26">
        <f>IF(ISNUMBER(VLOOKUP($D106,'Visu totale'!$D:$DH,AQ$1,0)),AP106-VLOOKUP($D106,'Visu totale'!$D:$DH,AQ$1,0),IF(LEFT(VLOOKUP($D106,'Visu totale'!$D:$DH,AQ$1,0),1)="V",IF(AP106&gt;=INDEX('[1]Définition Maintenances'!$G:$G,MATCH($A106,'[1]Définition Maintenances'!$K:$K,0)),AP106,INDEX('[1]Définition Maintenances'!$G:$G,MATCH($A106,'[1]Définition Maintenances'!$K:$K,0))+AP106),AP106))</f>
        <v>473</v>
      </c>
      <c r="AR106" s="26">
        <f>IF(ISNUMBER(VLOOKUP($D106,'Visu totale'!$D:$DH,AR$1,0)),AQ106-VLOOKUP($D106,'Visu totale'!$D:$DH,AR$1,0),IF(LEFT(VLOOKUP($D106,'Visu totale'!$D:$DH,AR$1,0),1)="V",IF(AQ106&gt;=INDEX('[1]Définition Maintenances'!$G:$G,MATCH($A106,'[1]Définition Maintenances'!$K:$K,0)),AQ106,INDEX('[1]Définition Maintenances'!$G:$G,MATCH($A106,'[1]Définition Maintenances'!$K:$K,0))+AQ106),AQ106))</f>
        <v>473</v>
      </c>
      <c r="AS106" s="26">
        <f>IF(ISNUMBER(VLOOKUP($D106,'Visu totale'!$D:$DH,AS$1,0)),AR106-VLOOKUP($D106,'Visu totale'!$D:$DH,AS$1,0),IF(LEFT(VLOOKUP($D106,'Visu totale'!$D:$DH,AS$1,0),1)="V",IF(AR106&gt;=INDEX('[1]Définition Maintenances'!$G:$G,MATCH($A106,'[1]Définition Maintenances'!$K:$K,0)),AR106,INDEX('[1]Définition Maintenances'!$G:$G,MATCH($A106,'[1]Définition Maintenances'!$K:$K,0))+AR106),AR106))</f>
        <v>473</v>
      </c>
      <c r="AT106" s="26">
        <f>IF(ISNUMBER(VLOOKUP($D106,'Visu totale'!$D:$DH,AT$1,0)),AS106-VLOOKUP($D106,'Visu totale'!$D:$DH,AT$1,0),IF(LEFT(VLOOKUP($D106,'Visu totale'!$D:$DH,AT$1,0),1)="V",IF(AS106&gt;=INDEX('[1]Définition Maintenances'!$G:$G,MATCH($A106,'[1]Définition Maintenances'!$K:$K,0)),AS106,INDEX('[1]Définition Maintenances'!$G:$G,MATCH($A106,'[1]Définition Maintenances'!$K:$K,0))+AS106),AS106))</f>
        <v>473</v>
      </c>
      <c r="AU106" s="26">
        <f>IF(ISNUMBER(VLOOKUP($D106,'Visu totale'!$D:$DH,AU$1,0)),AT106-VLOOKUP($D106,'Visu totale'!$D:$DH,AU$1,0),IF(LEFT(VLOOKUP($D106,'Visu totale'!$D:$DH,AU$1,0),1)="V",IF(AT106&gt;=INDEX('[1]Définition Maintenances'!$G:$G,MATCH($A106,'[1]Définition Maintenances'!$K:$K,0)),AT106,INDEX('[1]Définition Maintenances'!$G:$G,MATCH($A106,'[1]Définition Maintenances'!$K:$K,0))+AT106),AT106))</f>
        <v>473</v>
      </c>
      <c r="AV106" s="26">
        <f>IF(ISNUMBER(VLOOKUP($D106,'Visu totale'!$D:$DH,AV$1,0)),AU106-VLOOKUP($D106,'Visu totale'!$D:$DH,AV$1,0),IF(LEFT(VLOOKUP($D106,'Visu totale'!$D:$DH,AV$1,0),1)="V",IF(AU106&gt;=INDEX('[1]Définition Maintenances'!$G:$G,MATCH($A106,'[1]Définition Maintenances'!$K:$K,0)),AU106,INDEX('[1]Définition Maintenances'!$G:$G,MATCH($A106,'[1]Définition Maintenances'!$K:$K,0))+AU106),AU106))</f>
        <v>473</v>
      </c>
      <c r="AW106" s="26">
        <f>IF(ISNUMBER(VLOOKUP($D106,'Visu totale'!$D:$DH,AW$1,0)),AV106-VLOOKUP($D106,'Visu totale'!$D:$DH,AW$1,0),IF(LEFT(VLOOKUP($D106,'Visu totale'!$D:$DH,AW$1,0),1)="V",IF(AV106&gt;=INDEX('[1]Définition Maintenances'!$G:$G,MATCH($A106,'[1]Définition Maintenances'!$K:$K,0)),AV106,INDEX('[1]Définition Maintenances'!$G:$G,MATCH($A106,'[1]Définition Maintenances'!$K:$K,0))+AV106),AV106))</f>
        <v>473</v>
      </c>
      <c r="AX106" s="26">
        <f>IF(ISNUMBER(VLOOKUP($D106,'Visu totale'!$D:$DH,AX$1,0)),AW106-VLOOKUP($D106,'Visu totale'!$D:$DH,AX$1,0),IF(LEFT(VLOOKUP($D106,'Visu totale'!$D:$DH,AX$1,0),1)="V",IF(AW106&gt;=INDEX('[1]Définition Maintenances'!$G:$G,MATCH($A106,'[1]Définition Maintenances'!$K:$K,0)),AW106,INDEX('[1]Définition Maintenances'!$G:$G,MATCH($A106,'[1]Définition Maintenances'!$K:$K,0))+AW106),AW106))</f>
        <v>473</v>
      </c>
      <c r="AY106" s="26">
        <f>IF(ISNUMBER(VLOOKUP($D106,'Visu totale'!$D:$DH,AY$1,0)),AX106-VLOOKUP($D106,'Visu totale'!$D:$DH,AY$1,0),IF(LEFT(VLOOKUP($D106,'Visu totale'!$D:$DH,AY$1,0),1)="V",IF(AX106&gt;=INDEX('[1]Définition Maintenances'!$G:$G,MATCH($A106,'[1]Définition Maintenances'!$K:$K,0)),AX106,INDEX('[1]Définition Maintenances'!$G:$G,MATCH($A106,'[1]Définition Maintenances'!$K:$K,0))+AX106),AX106))</f>
        <v>473</v>
      </c>
      <c r="AZ106" s="26">
        <f>IF(ISNUMBER(VLOOKUP($D106,'Visu totale'!$D:$DH,AZ$1,0)),AY106-VLOOKUP($D106,'Visu totale'!$D:$DH,AZ$1,0),IF(LEFT(VLOOKUP($D106,'Visu totale'!$D:$DH,AZ$1,0),1)="V",IF(AY106&gt;=INDEX('[1]Définition Maintenances'!$G:$G,MATCH($A106,'[1]Définition Maintenances'!$K:$K,0)),AY106,INDEX('[1]Définition Maintenances'!$G:$G,MATCH($A106,'[1]Définition Maintenances'!$K:$K,0))+AY106),AY106))</f>
        <v>473</v>
      </c>
      <c r="BA106" s="27">
        <f>IF(ISNUMBER(VLOOKUP($D106,'Visu totale'!$D:$DH,BA$1,0)),AZ106-VLOOKUP($D106,'Visu totale'!$D:$DH,BA$1,0),IF(LEFT(VLOOKUP($D106,'Visu totale'!$D:$DH,BA$1,0),1)="V",IF(AZ106&gt;=INDEX('[1]Définition Maintenances'!$G:$G,MATCH($A106,'[1]Définition Maintenances'!$K:$K,0)),AZ106,INDEX('[1]Définition Maintenances'!$G:$G,MATCH($A106,'[1]Définition Maintenances'!$K:$K,0))+AZ106),AZ106))</f>
        <v>473</v>
      </c>
      <c r="BB106" s="25">
        <f>IF(ISNUMBER(VLOOKUP($D106,'Visu totale'!$D:$DH,BB$1,0)),BA106-VLOOKUP($D106,'Visu totale'!$D:$DH,BB$1,0),IF(LEFT(VLOOKUP($D106,'Visu totale'!$D:$DH,BB$1,0),1)="V",IF(BA106&gt;=INDEX('[1]Définition Maintenances'!$G:$G,MATCH($A106,'[1]Définition Maintenances'!$K:$K,0)),BA106,INDEX('[1]Définition Maintenances'!$G:$G,MATCH($A106,'[1]Définition Maintenances'!$K:$K,0))+BA106),BA106))</f>
        <v>473</v>
      </c>
      <c r="BC106" s="26">
        <f>IF(ISNUMBER(VLOOKUP($D106,'Visu totale'!$D:$DH,BC$1,0)),BB106-VLOOKUP($D106,'Visu totale'!$D:$DH,BC$1,0),IF(LEFT(VLOOKUP($D106,'Visu totale'!$D:$DH,BC$1,0),1)="V",IF(BB106&gt;=INDEX('[1]Définition Maintenances'!$G:$G,MATCH($A106,'[1]Définition Maintenances'!$K:$K,0)),BB106,INDEX('[1]Définition Maintenances'!$G:$G,MATCH($A106,'[1]Définition Maintenances'!$K:$K,0))+BB106),BB106))</f>
        <v>473</v>
      </c>
      <c r="BD106" s="26">
        <f>IF(ISNUMBER(VLOOKUP($D106,'Visu totale'!$D:$DH,BD$1,0)),BC106-VLOOKUP($D106,'Visu totale'!$D:$DH,BD$1,0),IF(LEFT(VLOOKUP($D106,'Visu totale'!$D:$DH,BD$1,0),1)="V",IF(BC106&gt;=INDEX('[1]Définition Maintenances'!$G:$G,MATCH($A106,'[1]Définition Maintenances'!$K:$K,0)),BC106,INDEX('[1]Définition Maintenances'!$G:$G,MATCH($A106,'[1]Définition Maintenances'!$K:$K,0))+BC106),BC106))</f>
        <v>473</v>
      </c>
      <c r="BE106" s="26">
        <f>IF(ISNUMBER(VLOOKUP($D106,'Visu totale'!$D:$DH,BE$1,0)),BD106-VLOOKUP($D106,'Visu totale'!$D:$DH,BE$1,0),IF(LEFT(VLOOKUP($D106,'Visu totale'!$D:$DH,BE$1,0),1)="V",IF(BD106&gt;=INDEX('[1]Définition Maintenances'!$G:$G,MATCH($A106,'[1]Définition Maintenances'!$K:$K,0)),BD106,INDEX('[1]Définition Maintenances'!$G:$G,MATCH($A106,'[1]Définition Maintenances'!$K:$K,0))+BD106),BD106))</f>
        <v>473</v>
      </c>
      <c r="BF106" s="26">
        <f>IF(ISNUMBER(VLOOKUP($D106,'Visu totale'!$D:$DH,BF$1,0)),BE106-VLOOKUP($D106,'Visu totale'!$D:$DH,BF$1,0),IF(LEFT(VLOOKUP($D106,'Visu totale'!$D:$DH,BF$1,0),1)="V",IF(BE106&gt;=INDEX('[1]Définition Maintenances'!$G:$G,MATCH($A106,'[1]Définition Maintenances'!$K:$K,0)),BE106,INDEX('[1]Définition Maintenances'!$G:$G,MATCH($A106,'[1]Définition Maintenances'!$K:$K,0))+BE106),BE106))</f>
        <v>473</v>
      </c>
      <c r="BG106" s="26">
        <f>IF(ISNUMBER(VLOOKUP($D106,'Visu totale'!$D:$DH,BG$1,0)),BF106-VLOOKUP($D106,'Visu totale'!$D:$DH,BG$1,0),IF(LEFT(VLOOKUP($D106,'Visu totale'!$D:$DH,BG$1,0),1)="V",IF(BF106&gt;=INDEX('[1]Définition Maintenances'!$G:$G,MATCH($A106,'[1]Définition Maintenances'!$K:$K,0)),BF106,INDEX('[1]Définition Maintenances'!$G:$G,MATCH($A106,'[1]Définition Maintenances'!$K:$K,0))+BF106),BF106))</f>
        <v>473</v>
      </c>
      <c r="BH106" s="26">
        <f>IF(ISNUMBER(VLOOKUP($D106,'Visu totale'!$D:$DH,BH$1,0)),BG106-VLOOKUP($D106,'Visu totale'!$D:$DH,BH$1,0),IF(LEFT(VLOOKUP($D106,'Visu totale'!$D:$DH,BH$1,0),1)="V",IF(BG106&gt;=INDEX('[1]Définition Maintenances'!$G:$G,MATCH($A106,'[1]Définition Maintenances'!$K:$K,0)),BG106,INDEX('[1]Définition Maintenances'!$G:$G,MATCH($A106,'[1]Définition Maintenances'!$K:$K,0))+BG106),BG106))</f>
        <v>473</v>
      </c>
      <c r="BI106" s="26">
        <f>IF(ISNUMBER(VLOOKUP($D106,'Visu totale'!$D:$DH,BI$1,0)),BH106-VLOOKUP($D106,'Visu totale'!$D:$DH,BI$1,0),IF(LEFT(VLOOKUP($D106,'Visu totale'!$D:$DH,BI$1,0),1)="V",IF(BH106&gt;=INDEX('[1]Définition Maintenances'!$G:$G,MATCH($A106,'[1]Définition Maintenances'!$K:$K,0)),BH106,INDEX('[1]Définition Maintenances'!$G:$G,MATCH($A106,'[1]Définition Maintenances'!$K:$K,0))+BH106),BH106))</f>
        <v>473</v>
      </c>
      <c r="BJ106" s="26">
        <f>IF(ISNUMBER(VLOOKUP($D106,'Visu totale'!$D:$DH,BJ$1,0)),BI106-VLOOKUP($D106,'Visu totale'!$D:$DH,BJ$1,0),IF(LEFT(VLOOKUP($D106,'Visu totale'!$D:$DH,BJ$1,0),1)="V",IF(BI106&gt;=INDEX('[1]Définition Maintenances'!$G:$G,MATCH($A106,'[1]Définition Maintenances'!$K:$K,0)),BI106,INDEX('[1]Définition Maintenances'!$G:$G,MATCH($A106,'[1]Définition Maintenances'!$K:$K,0))+BI106),BI106))</f>
        <v>473</v>
      </c>
      <c r="BK106" s="26">
        <f>IF(ISNUMBER(VLOOKUP($D106,'Visu totale'!$D:$DH,BK$1,0)),BJ106-VLOOKUP($D106,'Visu totale'!$D:$DH,BK$1,0),IF(LEFT(VLOOKUP($D106,'Visu totale'!$D:$DH,BK$1,0),1)="V",IF(BJ106&gt;=INDEX('[1]Définition Maintenances'!$G:$G,MATCH($A106,'[1]Définition Maintenances'!$K:$K,0)),BJ106,INDEX('[1]Définition Maintenances'!$G:$G,MATCH($A106,'[1]Définition Maintenances'!$K:$K,0))+BJ106),BJ106))</f>
        <v>473</v>
      </c>
      <c r="BL106" s="26">
        <f>IF(ISNUMBER(VLOOKUP($D106,'Visu totale'!$D:$DH,BL$1,0)),BK106-VLOOKUP($D106,'Visu totale'!$D:$DH,BL$1,0),IF(LEFT(VLOOKUP($D106,'Visu totale'!$D:$DH,BL$1,0),1)="V",IF(BK106&gt;=INDEX('[1]Définition Maintenances'!$G:$G,MATCH($A106,'[1]Définition Maintenances'!$K:$K,0)),BK106,INDEX('[1]Définition Maintenances'!$G:$G,MATCH($A106,'[1]Définition Maintenances'!$K:$K,0))+BK106),BK106))</f>
        <v>473</v>
      </c>
      <c r="BM106" s="27">
        <f>IF(ISNUMBER(VLOOKUP($D106,'Visu totale'!$D:$DH,BM$1,0)),BL106-VLOOKUP($D106,'Visu totale'!$D:$DH,BM$1,0),IF(LEFT(VLOOKUP($D106,'Visu totale'!$D:$DH,BM$1,0),1)="V",IF(BL106&gt;=INDEX('[1]Définition Maintenances'!$G:$G,MATCH($A106,'[1]Définition Maintenances'!$K:$K,0)),BL106,INDEX('[1]Définition Maintenances'!$G:$G,MATCH($A106,'[1]Définition Maintenances'!$K:$K,0))+BL106),BL106))</f>
        <v>473</v>
      </c>
      <c r="BN106" s="25">
        <f>IF(ISNUMBER(VLOOKUP($D106,'Visu totale'!$D:$DH,BN$1,0)),BM106-VLOOKUP($D106,'Visu totale'!$D:$DH,BN$1,0),IF(LEFT(VLOOKUP($D106,'Visu totale'!$D:$DH,BN$1,0),1)="V",IF(BM106&gt;=INDEX('[1]Définition Maintenances'!$G:$G,MATCH($A106,'[1]Définition Maintenances'!$K:$K,0)),BM106,INDEX('[1]Définition Maintenances'!$G:$G,MATCH($A106,'[1]Définition Maintenances'!$K:$K,0))+BM106),BM106))</f>
        <v>473</v>
      </c>
      <c r="BO106" s="26">
        <f>IF(ISNUMBER(VLOOKUP($D106,'Visu totale'!$D:$DH,BO$1,0)),BN106-VLOOKUP($D106,'Visu totale'!$D:$DH,BO$1,0),IF(LEFT(VLOOKUP($D106,'Visu totale'!$D:$DH,BO$1,0),1)="V",IF(BN106&gt;=INDEX('[1]Définition Maintenances'!$G:$G,MATCH($A106,'[1]Définition Maintenances'!$K:$K,0)),BN106,INDEX('[1]Définition Maintenances'!$G:$G,MATCH($A106,'[1]Définition Maintenances'!$K:$K,0))+BN106),BN106))</f>
        <v>473</v>
      </c>
      <c r="BP106" s="26">
        <f>IF(ISNUMBER(VLOOKUP($D106,'Visu totale'!$D:$DH,BP$1,0)),BO106-VLOOKUP($D106,'Visu totale'!$D:$DH,BP$1,0),IF(LEFT(VLOOKUP($D106,'Visu totale'!$D:$DH,BP$1,0),1)="V",IF(BO106&gt;=INDEX('[1]Définition Maintenances'!$G:$G,MATCH($A106,'[1]Définition Maintenances'!$K:$K,0)),BO106,INDEX('[1]Définition Maintenances'!$G:$G,MATCH($A106,'[1]Définition Maintenances'!$K:$K,0))+BO106),BO106))</f>
        <v>473</v>
      </c>
      <c r="BQ106" s="26">
        <f>IF(ISNUMBER(VLOOKUP($D106,'Visu totale'!$D:$DH,BQ$1,0)),BP106-VLOOKUP($D106,'Visu totale'!$D:$DH,BQ$1,0),IF(LEFT(VLOOKUP($D106,'Visu totale'!$D:$DH,BQ$1,0),1)="V",IF(BP106&gt;=INDEX('[1]Définition Maintenances'!$G:$G,MATCH($A106,'[1]Définition Maintenances'!$K:$K,0)),BP106,INDEX('[1]Définition Maintenances'!$G:$G,MATCH($A106,'[1]Définition Maintenances'!$K:$K,0))+BP106),BP106))</f>
        <v>473</v>
      </c>
      <c r="BR106" s="26">
        <f>IF(ISNUMBER(VLOOKUP($D106,'Visu totale'!$D:$DH,BR$1,0)),BQ106-VLOOKUP($D106,'Visu totale'!$D:$DH,BR$1,0),IF(LEFT(VLOOKUP($D106,'Visu totale'!$D:$DH,BR$1,0),1)="V",IF(BQ106&gt;=INDEX('[1]Définition Maintenances'!$G:$G,MATCH($A106,'[1]Définition Maintenances'!$K:$K,0)),BQ106,INDEX('[1]Définition Maintenances'!$G:$G,MATCH($A106,'[1]Définition Maintenances'!$K:$K,0))+BQ106),BQ106))</f>
        <v>473</v>
      </c>
      <c r="BS106" s="26">
        <f>IF(ISNUMBER(VLOOKUP($D106,'Visu totale'!$D:$DH,BS$1,0)),BR106-VLOOKUP($D106,'Visu totale'!$D:$DH,BS$1,0),IF(LEFT(VLOOKUP($D106,'Visu totale'!$D:$DH,BS$1,0),1)="V",IF(BR106&gt;=INDEX('[1]Définition Maintenances'!$G:$G,MATCH($A106,'[1]Définition Maintenances'!$K:$K,0)),BR106,INDEX('[1]Définition Maintenances'!$G:$G,MATCH($A106,'[1]Définition Maintenances'!$K:$K,0))+BR106),BR106))</f>
        <v>473</v>
      </c>
      <c r="BT106" s="26">
        <f>IF(ISNUMBER(VLOOKUP($D106,'Visu totale'!$D:$DH,BT$1,0)),BS106-VLOOKUP($D106,'Visu totale'!$D:$DH,BT$1,0),IF(LEFT(VLOOKUP($D106,'Visu totale'!$D:$DH,BT$1,0),1)="V",IF(BS106&gt;=INDEX('[1]Définition Maintenances'!$G:$G,MATCH($A106,'[1]Définition Maintenances'!$K:$K,0)),BS106,INDEX('[1]Définition Maintenances'!$G:$G,MATCH($A106,'[1]Définition Maintenances'!$K:$K,0))+BS106),BS106))</f>
        <v>473</v>
      </c>
      <c r="BU106" s="26">
        <f>IF(ISNUMBER(VLOOKUP($D106,'Visu totale'!$D:$DH,BU$1,0)),BT106-VLOOKUP($D106,'Visu totale'!$D:$DH,BU$1,0),IF(LEFT(VLOOKUP($D106,'Visu totale'!$D:$DH,BU$1,0),1)="V",IF(BT106&gt;=INDEX('[1]Définition Maintenances'!$G:$G,MATCH($A106,'[1]Définition Maintenances'!$K:$K,0)),BT106,INDEX('[1]Définition Maintenances'!$G:$G,MATCH($A106,'[1]Définition Maintenances'!$K:$K,0))+BT106),BT106))</f>
        <v>473</v>
      </c>
      <c r="BV106" s="26">
        <f>IF(ISNUMBER(VLOOKUP($D106,'Visu totale'!$D:$DH,BV$1,0)),BU106-VLOOKUP($D106,'Visu totale'!$D:$DH,BV$1,0),IF(LEFT(VLOOKUP($D106,'Visu totale'!$D:$DH,BV$1,0),1)="V",IF(BU106&gt;=INDEX('[1]Définition Maintenances'!$G:$G,MATCH($A106,'[1]Définition Maintenances'!$K:$K,0)),BU106,INDEX('[1]Définition Maintenances'!$G:$G,MATCH($A106,'[1]Définition Maintenances'!$K:$K,0))+BU106),BU106))</f>
        <v>473</v>
      </c>
      <c r="BW106" s="26">
        <f>IF(ISNUMBER(VLOOKUP($D106,'Visu totale'!$D:$DH,BW$1,0)),BV106-VLOOKUP($D106,'Visu totale'!$D:$DH,BW$1,0),IF(LEFT(VLOOKUP($D106,'Visu totale'!$D:$DH,BW$1,0),1)="V",IF(BV106&gt;=INDEX('[1]Définition Maintenances'!$G:$G,MATCH($A106,'[1]Définition Maintenances'!$K:$K,0)),BV106,INDEX('[1]Définition Maintenances'!$G:$G,MATCH($A106,'[1]Définition Maintenances'!$K:$K,0))+BV106),BV106))</f>
        <v>473</v>
      </c>
      <c r="BX106" s="26">
        <f>IF(ISNUMBER(VLOOKUP($D106,'Visu totale'!$D:$DH,BX$1,0)),BW106-VLOOKUP($D106,'Visu totale'!$D:$DH,BX$1,0),IF(LEFT(VLOOKUP($D106,'Visu totale'!$D:$DH,BX$1,0),1)="V",IF(BW106&gt;=INDEX('[1]Définition Maintenances'!$G:$G,MATCH($A106,'[1]Définition Maintenances'!$K:$K,0)),BW106,INDEX('[1]Définition Maintenances'!$G:$G,MATCH($A106,'[1]Définition Maintenances'!$K:$K,0))+BW106),BW106))</f>
        <v>473</v>
      </c>
      <c r="BY106" s="27">
        <f>IF(ISNUMBER(VLOOKUP($D106,'Visu totale'!$D:$DH,BY$1,0)),BX106-VLOOKUP($D106,'Visu totale'!$D:$DH,BY$1,0),IF(LEFT(VLOOKUP($D106,'Visu totale'!$D:$DH,BY$1,0),1)="V",IF(BX106&gt;=INDEX('[1]Définition Maintenances'!$G:$G,MATCH($A106,'[1]Définition Maintenances'!$K:$K,0)),BX106,INDEX('[1]Définition Maintenances'!$G:$G,MATCH($A106,'[1]Définition Maintenances'!$K:$K,0))+BX106),BX106))</f>
        <v>473</v>
      </c>
      <c r="BZ106" s="25">
        <f>IF(ISNUMBER(VLOOKUP($D106,'Visu totale'!$D:$DH,BZ$1,0)),BY106-VLOOKUP($D106,'Visu totale'!$D:$DH,BZ$1,0),IF(LEFT(VLOOKUP($D106,'Visu totale'!$D:$DH,BZ$1,0),1)="V",IF(BY106&gt;=INDEX('[1]Définition Maintenances'!$G:$G,MATCH($A106,'[1]Définition Maintenances'!$K:$K,0)),BY106,INDEX('[1]Définition Maintenances'!$G:$G,MATCH($A106,'[1]Définition Maintenances'!$K:$K,0))+BY106),BY106))</f>
        <v>473</v>
      </c>
      <c r="CA106" s="26">
        <f>IF(ISNUMBER(VLOOKUP($D106,'Visu totale'!$D:$DH,CA$1,0)),BZ106-VLOOKUP($D106,'Visu totale'!$D:$DH,CA$1,0),IF(LEFT(VLOOKUP($D106,'Visu totale'!$D:$DH,CA$1,0),1)="V",IF(BZ106&gt;=INDEX('[1]Définition Maintenances'!$G:$G,MATCH($A106,'[1]Définition Maintenances'!$K:$K,0)),BZ106,INDEX('[1]Définition Maintenances'!$G:$G,MATCH($A106,'[1]Définition Maintenances'!$K:$K,0))+BZ106),BZ106))</f>
        <v>473</v>
      </c>
      <c r="CB106" s="26">
        <f>IF(ISNUMBER(VLOOKUP($D106,'Visu totale'!$D:$DH,CB$1,0)),CA106-VLOOKUP($D106,'Visu totale'!$D:$DH,CB$1,0),IF(LEFT(VLOOKUP($D106,'Visu totale'!$D:$DH,CB$1,0),1)="V",IF(CA106&gt;=INDEX('[1]Définition Maintenances'!$G:$G,MATCH($A106,'[1]Définition Maintenances'!$K:$K,0)),CA106,INDEX('[1]Définition Maintenances'!$G:$G,MATCH($A106,'[1]Définition Maintenances'!$K:$K,0))+CA106),CA106))</f>
        <v>473</v>
      </c>
      <c r="CC106" s="26">
        <f>IF(ISNUMBER(VLOOKUP($D106,'Visu totale'!$D:$DH,CC$1,0)),CB106-VLOOKUP($D106,'Visu totale'!$D:$DH,CC$1,0),IF(LEFT(VLOOKUP($D106,'Visu totale'!$D:$DH,CC$1,0),1)="V",IF(CB106&gt;=INDEX('[1]Définition Maintenances'!$G:$G,MATCH($A106,'[1]Définition Maintenances'!$K:$K,0)),CB106,INDEX('[1]Définition Maintenances'!$G:$G,MATCH($A106,'[1]Définition Maintenances'!$K:$K,0))+CB106),CB106))</f>
        <v>473</v>
      </c>
      <c r="CD106" s="26">
        <f>IF(ISNUMBER(VLOOKUP($D106,'Visu totale'!$D:$DH,CD$1,0)),CC106-VLOOKUP($D106,'Visu totale'!$D:$DH,CD$1,0),IF(LEFT(VLOOKUP($D106,'Visu totale'!$D:$DH,CD$1,0),1)="V",IF(CC106&gt;=INDEX('[1]Définition Maintenances'!$G:$G,MATCH($A106,'[1]Définition Maintenances'!$K:$K,0)),CC106,INDEX('[1]Définition Maintenances'!$G:$G,MATCH($A106,'[1]Définition Maintenances'!$K:$K,0))+CC106),CC106))</f>
        <v>473</v>
      </c>
      <c r="CE106" s="26">
        <f>IF(ISNUMBER(VLOOKUP($D106,'Visu totale'!$D:$DH,CE$1,0)),CD106-VLOOKUP($D106,'Visu totale'!$D:$DH,CE$1,0),IF(LEFT(VLOOKUP($D106,'Visu totale'!$D:$DH,CE$1,0),1)="V",IF(CD106&gt;=INDEX('[1]Définition Maintenances'!$G:$G,MATCH($A106,'[1]Définition Maintenances'!$K:$K,0)),CD106,INDEX('[1]Définition Maintenances'!$G:$G,MATCH($A106,'[1]Définition Maintenances'!$K:$K,0))+CD106),CD106))</f>
        <v>473</v>
      </c>
      <c r="CF106" s="26">
        <f>IF(ISNUMBER(VLOOKUP($D106,'Visu totale'!$D:$DH,CF$1,0)),CE106-VLOOKUP($D106,'Visu totale'!$D:$DH,CF$1,0),IF(LEFT(VLOOKUP($D106,'Visu totale'!$D:$DH,CF$1,0),1)="V",IF(CE106&gt;=INDEX('[1]Définition Maintenances'!$G:$G,MATCH($A106,'[1]Définition Maintenances'!$K:$K,0)),CE106,INDEX('[1]Définition Maintenances'!$G:$G,MATCH($A106,'[1]Définition Maintenances'!$K:$K,0))+CE106),CE106))</f>
        <v>473</v>
      </c>
      <c r="CG106" s="26">
        <f>IF(ISNUMBER(VLOOKUP($D106,'Visu totale'!$D:$DH,CG$1,0)),CF106-VLOOKUP($D106,'Visu totale'!$D:$DH,CG$1,0),IF(LEFT(VLOOKUP($D106,'Visu totale'!$D:$DH,CG$1,0),1)="V",IF(CF106&gt;=INDEX('[1]Définition Maintenances'!$G:$G,MATCH($A106,'[1]Définition Maintenances'!$K:$K,0)),CF106,INDEX('[1]Définition Maintenances'!$G:$G,MATCH($A106,'[1]Définition Maintenances'!$K:$K,0))+CF106),CF106))</f>
        <v>473</v>
      </c>
      <c r="CH106" s="26">
        <f>IF(ISNUMBER(VLOOKUP($D106,'Visu totale'!$D:$DH,CH$1,0)),CG106-VLOOKUP($D106,'Visu totale'!$D:$DH,CH$1,0),IF(LEFT(VLOOKUP($D106,'Visu totale'!$D:$DH,CH$1,0),1)="V",IF(CG106&gt;=INDEX('[1]Définition Maintenances'!$G:$G,MATCH($A106,'[1]Définition Maintenances'!$K:$K,0)),CG106,INDEX('[1]Définition Maintenances'!$G:$G,MATCH($A106,'[1]Définition Maintenances'!$K:$K,0))+CG106),CG106))</f>
        <v>473</v>
      </c>
      <c r="CI106" s="26">
        <f>IF(ISNUMBER(VLOOKUP($D106,'Visu totale'!$D:$DH,CI$1,0)),CH106-VLOOKUP($D106,'Visu totale'!$D:$DH,CI$1,0),IF(LEFT(VLOOKUP($D106,'Visu totale'!$D:$DH,CI$1,0),1)="V",IF(CH106&gt;=INDEX('[1]Définition Maintenances'!$G:$G,MATCH($A106,'[1]Définition Maintenances'!$K:$K,0)),CH106,INDEX('[1]Définition Maintenances'!$G:$G,MATCH($A106,'[1]Définition Maintenances'!$K:$K,0))+CH106),CH106))</f>
        <v>473</v>
      </c>
      <c r="CJ106" s="26">
        <f>IF(ISNUMBER(VLOOKUP($D106,'Visu totale'!$D:$DH,CJ$1,0)),CI106-VLOOKUP($D106,'Visu totale'!$D:$DH,CJ$1,0),IF(LEFT(VLOOKUP($D106,'Visu totale'!$D:$DH,CJ$1,0),1)="V",IF(CI106&gt;=INDEX('[1]Définition Maintenances'!$G:$G,MATCH($A106,'[1]Définition Maintenances'!$K:$K,0)),CI106,INDEX('[1]Définition Maintenances'!$G:$G,MATCH($A106,'[1]Définition Maintenances'!$K:$K,0))+CI106),CI106))</f>
        <v>473</v>
      </c>
      <c r="CK106" s="27">
        <f>IF(ISNUMBER(VLOOKUP($D106,'Visu totale'!$D:$DH,CK$1,0)),CJ106-VLOOKUP($D106,'Visu totale'!$D:$DH,CK$1,0),IF(LEFT(VLOOKUP($D106,'Visu totale'!$D:$DH,CK$1,0),1)="V",IF(CJ106&gt;=INDEX('[1]Définition Maintenances'!$G:$G,MATCH($A106,'[1]Définition Maintenances'!$K:$K,0)),CJ106,INDEX('[1]Définition Maintenances'!$G:$G,MATCH($A106,'[1]Définition Maintenances'!$K:$K,0))+CJ106),CJ106))</f>
        <v>473</v>
      </c>
      <c r="CL106" s="25">
        <f>IF(ISNUMBER(VLOOKUP($D106,'Visu totale'!$D:$DH,CL$1,0)),CK106-VLOOKUP($D106,'Visu totale'!$D:$DH,CL$1,0),IF(LEFT(VLOOKUP($D106,'Visu totale'!$D:$DH,CL$1,0),1)="V",IF(CK106&gt;=INDEX('[1]Définition Maintenances'!$G:$G,MATCH($A106,'[1]Définition Maintenances'!$K:$K,0)),CK106,INDEX('[1]Définition Maintenances'!$G:$G,MATCH($A106,'[1]Définition Maintenances'!$K:$K,0))+CK106),CK106))</f>
        <v>473</v>
      </c>
      <c r="CM106" s="26">
        <f>IF(ISNUMBER(VLOOKUP($D106,'Visu totale'!$D:$DH,CM$1,0)),CL106-VLOOKUP($D106,'Visu totale'!$D:$DH,CM$1,0),IF(LEFT(VLOOKUP($D106,'Visu totale'!$D:$DH,CM$1,0),1)="V",IF(CL106&gt;=INDEX('[1]Définition Maintenances'!$G:$G,MATCH($A106,'[1]Définition Maintenances'!$K:$K,0)),CL106,INDEX('[1]Définition Maintenances'!$G:$G,MATCH($A106,'[1]Définition Maintenances'!$K:$K,0))+CL106),CL106))</f>
        <v>473</v>
      </c>
      <c r="CN106" s="26">
        <f>IF(ISNUMBER(VLOOKUP($D106,'Visu totale'!$D:$DH,CN$1,0)),CM106-VLOOKUP($D106,'Visu totale'!$D:$DH,CN$1,0),IF(LEFT(VLOOKUP($D106,'Visu totale'!$D:$DH,CN$1,0),1)="V",IF(CM106&gt;=INDEX('[1]Définition Maintenances'!$G:$G,MATCH($A106,'[1]Définition Maintenances'!$K:$K,0)),CM106,INDEX('[1]Définition Maintenances'!$G:$G,MATCH($A106,'[1]Définition Maintenances'!$K:$K,0))+CM106),CM106))</f>
        <v>473</v>
      </c>
      <c r="CO106" s="26">
        <f>IF(ISNUMBER(VLOOKUP($D106,'Visu totale'!$D:$DH,CO$1,0)),CN106-VLOOKUP($D106,'Visu totale'!$D:$DH,CO$1,0),IF(LEFT(VLOOKUP($D106,'Visu totale'!$D:$DH,CO$1,0),1)="V",IF(CN106&gt;=INDEX('[1]Définition Maintenances'!$G:$G,MATCH($A106,'[1]Définition Maintenances'!$K:$K,0)),CN106,INDEX('[1]Définition Maintenances'!$G:$G,MATCH($A106,'[1]Définition Maintenances'!$K:$K,0))+CN106),CN106))</f>
        <v>473</v>
      </c>
      <c r="CP106" s="26">
        <f>IF(ISNUMBER(VLOOKUP($D106,'Visu totale'!$D:$DH,CP$1,0)),CO106-VLOOKUP($D106,'Visu totale'!$D:$DH,CP$1,0),IF(LEFT(VLOOKUP($D106,'Visu totale'!$D:$DH,CP$1,0),1)="V",IF(CO106&gt;=INDEX('[1]Définition Maintenances'!$G:$G,MATCH($A106,'[1]Définition Maintenances'!$K:$K,0)),CO106,INDEX('[1]Définition Maintenances'!$G:$G,MATCH($A106,'[1]Définition Maintenances'!$K:$K,0))+CO106),CO106))</f>
        <v>473</v>
      </c>
      <c r="CQ106" s="26">
        <f>IF(ISNUMBER(VLOOKUP($D106,'Visu totale'!$D:$DH,CQ$1,0)),CP106-VLOOKUP($D106,'Visu totale'!$D:$DH,CQ$1,0),IF(LEFT(VLOOKUP($D106,'Visu totale'!$D:$DH,CQ$1,0),1)="V",IF(CP106&gt;=INDEX('[1]Définition Maintenances'!$G:$G,MATCH($A106,'[1]Définition Maintenances'!$K:$K,0)),CP106,INDEX('[1]Définition Maintenances'!$G:$G,MATCH($A106,'[1]Définition Maintenances'!$K:$K,0))+CP106),CP106))</f>
        <v>473</v>
      </c>
      <c r="CR106" s="26">
        <f>IF(ISNUMBER(VLOOKUP($D106,'Visu totale'!$D:$DH,CR$1,0)),CQ106-VLOOKUP($D106,'Visu totale'!$D:$DH,CR$1,0),IF(LEFT(VLOOKUP($D106,'Visu totale'!$D:$DH,CR$1,0),1)="V",IF(CQ106&gt;=INDEX('[1]Définition Maintenances'!$G:$G,MATCH($A106,'[1]Définition Maintenances'!$K:$K,0)),CQ106,INDEX('[1]Définition Maintenances'!$G:$G,MATCH($A106,'[1]Définition Maintenances'!$K:$K,0))+CQ106),CQ106))</f>
        <v>473</v>
      </c>
      <c r="CS106" s="26">
        <f>IF(ISNUMBER(VLOOKUP($D106,'Visu totale'!$D:$DH,CS$1,0)),CR106-VLOOKUP($D106,'Visu totale'!$D:$DH,CS$1,0),IF(LEFT(VLOOKUP($D106,'Visu totale'!$D:$DH,CS$1,0),1)="V",IF(CR106&gt;=INDEX('[1]Définition Maintenances'!$G:$G,MATCH($A106,'[1]Définition Maintenances'!$K:$K,0)),CR106,INDEX('[1]Définition Maintenances'!$G:$G,MATCH($A106,'[1]Définition Maintenances'!$K:$K,0))+CR106),CR106))</f>
        <v>473</v>
      </c>
      <c r="CT106" s="26">
        <f>IF(ISNUMBER(VLOOKUP($D106,'Visu totale'!$D:$DH,CT$1,0)),CS106-VLOOKUP($D106,'Visu totale'!$D:$DH,CT$1,0),IF(LEFT(VLOOKUP($D106,'Visu totale'!$D:$DH,CT$1,0),1)="V",IF(CS106&gt;=INDEX('[1]Définition Maintenances'!$G:$G,MATCH($A106,'[1]Définition Maintenances'!$K:$K,0)),CS106,INDEX('[1]Définition Maintenances'!$G:$G,MATCH($A106,'[1]Définition Maintenances'!$K:$K,0))+CS106),CS106))</f>
        <v>473</v>
      </c>
      <c r="CU106" s="26">
        <f>IF(ISNUMBER(VLOOKUP($D106,'Visu totale'!$D:$DH,CU$1,0)),CT106-VLOOKUP($D106,'Visu totale'!$D:$DH,CU$1,0),IF(LEFT(VLOOKUP($D106,'Visu totale'!$D:$DH,CU$1,0),1)="V",IF(CT106&gt;=INDEX('[1]Définition Maintenances'!$G:$G,MATCH($A106,'[1]Définition Maintenances'!$K:$K,0)),CT106,INDEX('[1]Définition Maintenances'!$G:$G,MATCH($A106,'[1]Définition Maintenances'!$K:$K,0))+CT106),CT106))</f>
        <v>473</v>
      </c>
      <c r="CV106" s="26">
        <f>IF(ISNUMBER(VLOOKUP($D106,'Visu totale'!$D:$DH,CV$1,0)),CU106-VLOOKUP($D106,'Visu totale'!$D:$DH,CV$1,0),IF(LEFT(VLOOKUP($D106,'Visu totale'!$D:$DH,CV$1,0),1)="V",IF(CU106&gt;=INDEX('[1]Définition Maintenances'!$G:$G,MATCH($A106,'[1]Définition Maintenances'!$K:$K,0)),CU106,INDEX('[1]Définition Maintenances'!$G:$G,MATCH($A106,'[1]Définition Maintenances'!$K:$K,0))+CU106),CU106))</f>
        <v>473</v>
      </c>
      <c r="CW106" s="27">
        <f>IF(ISNUMBER(VLOOKUP($D106,'Visu totale'!$D:$DH,CW$1,0)),CV106-VLOOKUP($D106,'Visu totale'!$D:$DH,CW$1,0),IF(LEFT(VLOOKUP($D106,'Visu totale'!$D:$DH,CW$1,0),1)="V",IF(CV106&gt;=INDEX('[1]Définition Maintenances'!$G:$G,MATCH($A106,'[1]Définition Maintenances'!$K:$K,0)),CV106,INDEX('[1]Définition Maintenances'!$G:$G,MATCH($A106,'[1]Définition Maintenances'!$K:$K,0))+CV106),CV106))</f>
        <v>473</v>
      </c>
      <c r="CX106" s="25">
        <f>IF(ISNUMBER(VLOOKUP($D106,'Visu totale'!$D:$DH,CX$1,0)),CW106-VLOOKUP($D106,'Visu totale'!$D:$DH,CX$1,0),IF(LEFT(VLOOKUP($D106,'Visu totale'!$D:$DH,CX$1,0),1)="V",IF(CW106&gt;=INDEX('[1]Définition Maintenances'!$G:$G,MATCH($A106,'[1]Définition Maintenances'!$K:$K,0)),CW106,INDEX('[1]Définition Maintenances'!$G:$G,MATCH($A106,'[1]Définition Maintenances'!$K:$K,0))+CW106),CW106))</f>
        <v>473</v>
      </c>
      <c r="CY106" s="26">
        <f>IF(ISNUMBER(VLOOKUP($D106,'Visu totale'!$D:$DH,CY$1,0)),CX106-VLOOKUP($D106,'Visu totale'!$D:$DH,CY$1,0),IF(LEFT(VLOOKUP($D106,'Visu totale'!$D:$DH,CY$1,0),1)="V",IF(CX106&gt;=INDEX('[1]Définition Maintenances'!$G:$G,MATCH($A106,'[1]Définition Maintenances'!$K:$K,0)),CX106,INDEX('[1]Définition Maintenances'!$G:$G,MATCH($A106,'[1]Définition Maintenances'!$K:$K,0))+CX106),CX106))</f>
        <v>473</v>
      </c>
      <c r="CZ106" s="26">
        <f>IF(ISNUMBER(VLOOKUP($D106,'Visu totale'!$D:$DH,CZ$1,0)),CY106-VLOOKUP($D106,'Visu totale'!$D:$DH,CZ$1,0),IF(LEFT(VLOOKUP($D106,'Visu totale'!$D:$DH,CZ$1,0),1)="V",IF(CY106&gt;=INDEX('[1]Définition Maintenances'!$G:$G,MATCH($A106,'[1]Définition Maintenances'!$K:$K,0)),CY106,INDEX('[1]Définition Maintenances'!$G:$G,MATCH($A106,'[1]Définition Maintenances'!$K:$K,0))+CY106),CY106))</f>
        <v>473</v>
      </c>
      <c r="DA106" s="26">
        <f>IF(ISNUMBER(VLOOKUP($D106,'Visu totale'!$D:$DH,DA$1,0)),CZ106-VLOOKUP($D106,'Visu totale'!$D:$DH,DA$1,0),IF(LEFT(VLOOKUP($D106,'Visu totale'!$D:$DH,DA$1,0),1)="V",IF(CZ106&gt;=INDEX('[1]Définition Maintenances'!$G:$G,MATCH($A106,'[1]Définition Maintenances'!$K:$K,0)),CZ106,INDEX('[1]Définition Maintenances'!$G:$G,MATCH($A106,'[1]Définition Maintenances'!$K:$K,0))+CZ106),CZ106))</f>
        <v>473</v>
      </c>
      <c r="DB106" s="26">
        <f>IF(ISNUMBER(VLOOKUP($D106,'Visu totale'!$D:$DH,DB$1,0)),DA106-VLOOKUP($D106,'Visu totale'!$D:$DH,DB$1,0),IF(LEFT(VLOOKUP($D106,'Visu totale'!$D:$DH,DB$1,0),1)="V",IF(DA106&gt;=INDEX('[1]Définition Maintenances'!$G:$G,MATCH($A106,'[1]Définition Maintenances'!$K:$K,0)),DA106,INDEX('[1]Définition Maintenances'!$G:$G,MATCH($A106,'[1]Définition Maintenances'!$K:$K,0))+DA106),DA106))</f>
        <v>473</v>
      </c>
      <c r="DC106" s="26">
        <f>IF(ISNUMBER(VLOOKUP($D106,'Visu totale'!$D:$DH,DC$1,0)),DB106-VLOOKUP($D106,'Visu totale'!$D:$DH,DC$1,0),IF(LEFT(VLOOKUP($D106,'Visu totale'!$D:$DH,DC$1,0),1)="V",IF(DB106&gt;=INDEX('[1]Définition Maintenances'!$G:$G,MATCH($A106,'[1]Définition Maintenances'!$K:$K,0)),DB106,INDEX('[1]Définition Maintenances'!$G:$G,MATCH($A106,'[1]Définition Maintenances'!$K:$K,0))+DB106),DB106))</f>
        <v>473</v>
      </c>
      <c r="DD106" s="26">
        <f>IF(ISNUMBER(VLOOKUP($D106,'Visu totale'!$D:$DH,DD$1,0)),DC106-VLOOKUP($D106,'Visu totale'!$D:$DH,DD$1,0),IF(LEFT(VLOOKUP($D106,'Visu totale'!$D:$DH,DD$1,0),1)="V",IF(DC106&gt;=INDEX('[1]Définition Maintenances'!$G:$G,MATCH($A106,'[1]Définition Maintenances'!$K:$K,0)),DC106,INDEX('[1]Définition Maintenances'!$G:$G,MATCH($A106,'[1]Définition Maintenances'!$K:$K,0))+DC106),DC106))</f>
        <v>473</v>
      </c>
      <c r="DE106" s="26">
        <f>IF(ISNUMBER(VLOOKUP($D106,'Visu totale'!$D:$DH,DE$1,0)),DD106-VLOOKUP($D106,'Visu totale'!$D:$DH,DE$1,0),IF(LEFT(VLOOKUP($D106,'Visu totale'!$D:$DH,DE$1,0),1)="V",IF(DD106&gt;=INDEX('[1]Définition Maintenances'!$G:$G,MATCH($A106,'[1]Définition Maintenances'!$K:$K,0)),DD106,INDEX('[1]Définition Maintenances'!$G:$G,MATCH($A106,'[1]Définition Maintenances'!$K:$K,0))+DD106),DD106))</f>
        <v>473</v>
      </c>
      <c r="DF106" s="26">
        <f>IF(ISNUMBER(VLOOKUP($D106,'Visu totale'!$D:$DH,DF$1,0)),DE106-VLOOKUP($D106,'Visu totale'!$D:$DH,DF$1,0),IF(LEFT(VLOOKUP($D106,'Visu totale'!$D:$DH,DF$1,0),1)="V",IF(DE106&gt;=INDEX('[1]Définition Maintenances'!$G:$G,MATCH($A106,'[1]Définition Maintenances'!$K:$K,0)),DE106,INDEX('[1]Définition Maintenances'!$G:$G,MATCH($A106,'[1]Définition Maintenances'!$K:$K,0))+DE106),DE106))</f>
        <v>473</v>
      </c>
      <c r="DG106" s="26">
        <f>IF(ISNUMBER(VLOOKUP($D106,'Visu totale'!$D:$DH,DG$1,0)),DF106-VLOOKUP($D106,'Visu totale'!$D:$DH,DG$1,0),IF(LEFT(VLOOKUP($D106,'Visu totale'!$D:$DH,DG$1,0),1)="V",IF(DF106&gt;=INDEX('[1]Définition Maintenances'!$G:$G,MATCH($A106,'[1]Définition Maintenances'!$K:$K,0)),DF106,INDEX('[1]Définition Maintenances'!$G:$G,MATCH($A106,'[1]Définition Maintenances'!$K:$K,0))+DF106),DF106))</f>
        <v>473</v>
      </c>
      <c r="DH106" s="26">
        <f>IF(ISNUMBER(VLOOKUP($D106,'Visu totale'!$D:$DH,DH$1,0)),DG106-VLOOKUP($D106,'Visu totale'!$D:$DH,DH$1,0),IF(LEFT(VLOOKUP($D106,'Visu totale'!$D:$DH,DH$1,0),1)="V",IF(DG106&gt;=INDEX('[1]Définition Maintenances'!$G:$G,MATCH($A106,'[1]Définition Maintenances'!$K:$K,0)),DG106,INDEX('[1]Définition Maintenances'!$G:$G,MATCH($A106,'[1]Définition Maintenances'!$K:$K,0))+DG106),DG106))</f>
        <v>473</v>
      </c>
      <c r="DI106" s="27">
        <f>IF(ISNUMBER(VLOOKUP($D106,'Visu totale'!$D:$DH,DI$1,0)),DH106-VLOOKUP($D106,'Visu totale'!$D:$DH,DI$1,0),IF(LEFT(VLOOKUP($D106,'Visu totale'!$D:$DH,DI$1,0),1)="V",IF(DH106&gt;=INDEX('[1]Définition Maintenances'!$G:$G,MATCH($A106,'[1]Définition Maintenances'!$K:$K,0)),DH106,INDEX('[1]Définition Maintenances'!$G:$G,MATCH($A106,'[1]Définition Maintenances'!$K:$K,0))+DH106),DH106))</f>
        <v>473</v>
      </c>
    </row>
    <row r="107" spans="1:113" x14ac:dyDescent="0.25">
      <c r="A107" s="13" t="str">
        <f t="shared" si="3"/>
        <v>V105</v>
      </c>
      <c r="B107" s="13" t="str">
        <f>VLOOKUP(D107,'[1]Avions (Potentiels)'!$B$2:$H$128,7,FALSE)</f>
        <v>V10</v>
      </c>
      <c r="C107" s="13"/>
      <c r="D107" s="16" t="s">
        <v>110</v>
      </c>
      <c r="E107" s="13">
        <f>IFERROR(VALUE(SUBSTITUTE(VLOOKUP(D107,'[1]Avions (Potentiels)'!$B:$E,4,0),".",",")),VALUE(VLOOKUP(D107,'[1]Avions (Potentiels)'!$B:$E,4,0)))</f>
        <v>1200</v>
      </c>
      <c r="F107" s="25">
        <f>IF(ISNUMBER(VLOOKUP($D107,'Visu totale'!$D:$DH,F$1,0)),E107-VLOOKUP($D107,'Visu totale'!$D:$DH,F$1,0),IF(LEFT(VLOOKUP($D107,'Visu totale'!$D:$DH,F$1,0),1)="V",IF(E107&gt;=INDEX('[1]Définition Maintenances'!$G:$G,MATCH($A107,'[1]Définition Maintenances'!$K:$K,0)),E107,INDEX('[1]Définition Maintenances'!$G:$G,MATCH($A107,'[1]Définition Maintenances'!$K:$K,0))+E107),E107))</f>
        <v>1200</v>
      </c>
      <c r="G107" s="26">
        <f>IF(ISNUMBER(VLOOKUP($D107,'Visu totale'!$D:$DH,G$1,0)),F107-VLOOKUP($D107,'Visu totale'!$D:$DH,G$1,0),IF(LEFT(VLOOKUP($D107,'Visu totale'!$D:$DH,G$1,0),1)="V",IF(F107&gt;=INDEX('[1]Définition Maintenances'!$G:$G,MATCH($A107,'[1]Définition Maintenances'!$K:$K,0)),F107,INDEX('[1]Définition Maintenances'!$G:$G,MATCH($A107,'[1]Définition Maintenances'!$K:$K,0))+F107),F107))</f>
        <v>1200</v>
      </c>
      <c r="H107" s="26">
        <f>IF(ISNUMBER(VLOOKUP($D107,'Visu totale'!$D:$DH,H$1,0)),G107-VLOOKUP($D107,'Visu totale'!$D:$DH,H$1,0),IF(LEFT(VLOOKUP($D107,'Visu totale'!$D:$DH,H$1,0),1)="V",IF(G107&gt;=INDEX('[1]Définition Maintenances'!$G:$G,MATCH($A107,'[1]Définition Maintenances'!$K:$K,0)),G107,INDEX('[1]Définition Maintenances'!$G:$G,MATCH($A107,'[1]Définition Maintenances'!$K:$K,0))+G107),G107))</f>
        <v>1200</v>
      </c>
      <c r="I107" s="26">
        <f>IF(ISNUMBER(VLOOKUP($D107,'Visu totale'!$D:$DH,I$1,0)),H107-VLOOKUP($D107,'Visu totale'!$D:$DH,I$1,0),IF(LEFT(VLOOKUP($D107,'Visu totale'!$D:$DH,I$1,0),1)="V",IF(H107&gt;=INDEX('[1]Définition Maintenances'!$G:$G,MATCH($A107,'[1]Définition Maintenances'!$K:$K,0)),H107,INDEX('[1]Définition Maintenances'!$G:$G,MATCH($A107,'[1]Définition Maintenances'!$K:$K,0))+H107),H107))</f>
        <v>1200</v>
      </c>
      <c r="J107" s="26">
        <f>IF(ISNUMBER(VLOOKUP($D107,'Visu totale'!$D:$DH,J$1,0)),I107-VLOOKUP($D107,'Visu totale'!$D:$DH,J$1,0),IF(LEFT(VLOOKUP($D107,'Visu totale'!$D:$DH,J$1,0),1)="V",IF(I107&gt;=INDEX('[1]Définition Maintenances'!$G:$G,MATCH($A107,'[1]Définition Maintenances'!$K:$K,0)),I107,INDEX('[1]Définition Maintenances'!$G:$G,MATCH($A107,'[1]Définition Maintenances'!$K:$K,0))+I107),I107))</f>
        <v>1200</v>
      </c>
      <c r="K107" s="26">
        <f>IF(ISNUMBER(VLOOKUP($D107,'Visu totale'!$D:$DH,K$1,0)),J107-VLOOKUP($D107,'Visu totale'!$D:$DH,K$1,0),IF(LEFT(VLOOKUP($D107,'Visu totale'!$D:$DH,K$1,0),1)="V",IF(J107&gt;=INDEX('[1]Définition Maintenances'!$G:$G,MATCH($A107,'[1]Définition Maintenances'!$K:$K,0)),J107,INDEX('[1]Définition Maintenances'!$G:$G,MATCH($A107,'[1]Définition Maintenances'!$K:$K,0))+J107),J107))</f>
        <v>1200</v>
      </c>
      <c r="L107" s="26">
        <f>IF(ISNUMBER(VLOOKUP($D107,'Visu totale'!$D:$DH,L$1,0)),K107-VLOOKUP($D107,'Visu totale'!$D:$DH,L$1,0),IF(LEFT(VLOOKUP($D107,'Visu totale'!$D:$DH,L$1,0),1)="V",IF(K107&gt;=INDEX('[1]Définition Maintenances'!$G:$G,MATCH($A107,'[1]Définition Maintenances'!$K:$K,0)),K107,INDEX('[1]Définition Maintenances'!$G:$G,MATCH($A107,'[1]Définition Maintenances'!$K:$K,0))+K107),K107))</f>
        <v>1200</v>
      </c>
      <c r="M107" s="26">
        <f>IF(ISNUMBER(VLOOKUP($D107,'Visu totale'!$D:$DH,M$1,0)),L107-VLOOKUP($D107,'Visu totale'!$D:$DH,M$1,0),IF(LEFT(VLOOKUP($D107,'Visu totale'!$D:$DH,M$1,0),1)="V",IF(L107&gt;=INDEX('[1]Définition Maintenances'!$G:$G,MATCH($A107,'[1]Définition Maintenances'!$K:$K,0)),L107,INDEX('[1]Définition Maintenances'!$G:$G,MATCH($A107,'[1]Définition Maintenances'!$K:$K,0))+L107),L107))</f>
        <v>1200</v>
      </c>
      <c r="N107" s="26">
        <f>IF(ISNUMBER(VLOOKUP($D107,'Visu totale'!$D:$DH,N$1,0)),M107-VLOOKUP($D107,'Visu totale'!$D:$DH,N$1,0),IF(LEFT(VLOOKUP($D107,'Visu totale'!$D:$DH,N$1,0),1)="V",IF(M107&gt;=INDEX('[1]Définition Maintenances'!$G:$G,MATCH($A107,'[1]Définition Maintenances'!$K:$K,0)),M107,INDEX('[1]Définition Maintenances'!$G:$G,MATCH($A107,'[1]Définition Maintenances'!$K:$K,0))+M107),M107))</f>
        <v>1200</v>
      </c>
      <c r="O107" s="26">
        <f>IF(ISNUMBER(VLOOKUP($D107,'Visu totale'!$D:$DH,O$1,0)),N107-VLOOKUP($D107,'Visu totale'!$D:$DH,O$1,0),IF(LEFT(VLOOKUP($D107,'Visu totale'!$D:$DH,O$1,0),1)="V",IF(N107&gt;=INDEX('[1]Définition Maintenances'!$G:$G,MATCH($A107,'[1]Définition Maintenances'!$K:$K,0)),N107,INDEX('[1]Définition Maintenances'!$G:$G,MATCH($A107,'[1]Définition Maintenances'!$K:$K,0))+N107),N107))</f>
        <v>1200</v>
      </c>
      <c r="P107" s="26">
        <f>IF(ISNUMBER(VLOOKUP($D107,'Visu totale'!$D:$DH,P$1,0)),O107-VLOOKUP($D107,'Visu totale'!$D:$DH,P$1,0),IF(LEFT(VLOOKUP($D107,'Visu totale'!$D:$DH,P$1,0),1)="V",IF(O107&gt;=INDEX('[1]Définition Maintenances'!$G:$G,MATCH($A107,'[1]Définition Maintenances'!$K:$K,0)),O107,INDEX('[1]Définition Maintenances'!$G:$G,MATCH($A107,'[1]Définition Maintenances'!$K:$K,0))+O107),O107))</f>
        <v>1200</v>
      </c>
      <c r="Q107" s="27">
        <f>IF(ISNUMBER(VLOOKUP($D107,'Visu totale'!$D:$DH,Q$1,0)),P107-VLOOKUP($D107,'Visu totale'!$D:$DH,Q$1,0),IF(LEFT(VLOOKUP($D107,'Visu totale'!$D:$DH,Q$1,0),1)="V",IF(P107&gt;=INDEX('[1]Définition Maintenances'!$G:$G,MATCH($A107,'[1]Définition Maintenances'!$K:$K,0)),P107,INDEX('[1]Définition Maintenances'!$G:$G,MATCH($A107,'[1]Définition Maintenances'!$K:$K,0))+P107),P107))</f>
        <v>1200</v>
      </c>
      <c r="R107" s="25">
        <f>IF(ISNUMBER(VLOOKUP($D107,'Visu totale'!$D:$DH,R$1,0)),Q107-VLOOKUP($D107,'Visu totale'!$D:$DH,R$1,0),IF(LEFT(VLOOKUP($D107,'Visu totale'!$D:$DH,R$1,0),1)="V",IF(Q107&gt;=INDEX('[1]Définition Maintenances'!$G:$G,MATCH($A107,'[1]Définition Maintenances'!$K:$K,0)),Q107,INDEX('[1]Définition Maintenances'!$G:$G,MATCH($A107,'[1]Définition Maintenances'!$K:$K,0))+Q107),Q107))</f>
        <v>1200</v>
      </c>
      <c r="S107" s="26">
        <f>IF(ISNUMBER(VLOOKUP($D107,'Visu totale'!$D:$DH,S$1,0)),R107-VLOOKUP($D107,'Visu totale'!$D:$DH,S$1,0),IF(LEFT(VLOOKUP($D107,'Visu totale'!$D:$DH,S$1,0),1)="V",IF(R107&gt;=INDEX('[1]Définition Maintenances'!$G:$G,MATCH($A107,'[1]Définition Maintenances'!$K:$K,0)),R107,INDEX('[1]Définition Maintenances'!$G:$G,MATCH($A107,'[1]Définition Maintenances'!$K:$K,0))+R107),R107))</f>
        <v>1200</v>
      </c>
      <c r="T107" s="26">
        <f>IF(ISNUMBER(VLOOKUP($D107,'Visu totale'!$D:$DH,T$1,0)),S107-VLOOKUP($D107,'Visu totale'!$D:$DH,T$1,0),IF(LEFT(VLOOKUP($D107,'Visu totale'!$D:$DH,T$1,0),1)="V",IF(S107&gt;=INDEX('[1]Définition Maintenances'!$G:$G,MATCH($A107,'[1]Définition Maintenances'!$K:$K,0)),S107,INDEX('[1]Définition Maintenances'!$G:$G,MATCH($A107,'[1]Définition Maintenances'!$K:$K,0))+S107),S107))</f>
        <v>1200</v>
      </c>
      <c r="U107" s="26">
        <f>IF(ISNUMBER(VLOOKUP($D107,'Visu totale'!$D:$DH,U$1,0)),T107-VLOOKUP($D107,'Visu totale'!$D:$DH,U$1,0),IF(LEFT(VLOOKUP($D107,'Visu totale'!$D:$DH,U$1,0),1)="V",IF(T107&gt;=INDEX('[1]Définition Maintenances'!$G:$G,MATCH($A107,'[1]Définition Maintenances'!$K:$K,0)),T107,INDEX('[1]Définition Maintenances'!$G:$G,MATCH($A107,'[1]Définition Maintenances'!$K:$K,0))+T107),T107))</f>
        <v>1200</v>
      </c>
      <c r="V107" s="26">
        <f>IF(ISNUMBER(VLOOKUP($D107,'Visu totale'!$D:$DH,V$1,0)),U107-VLOOKUP($D107,'Visu totale'!$D:$DH,V$1,0),IF(LEFT(VLOOKUP($D107,'Visu totale'!$D:$DH,V$1,0),1)="V",IF(U107&gt;=INDEX('[1]Définition Maintenances'!$G:$G,MATCH($A107,'[1]Définition Maintenances'!$K:$K,0)),U107,INDEX('[1]Définition Maintenances'!$G:$G,MATCH($A107,'[1]Définition Maintenances'!$K:$K,0))+U107),U107))</f>
        <v>1200</v>
      </c>
      <c r="W107" s="26">
        <f>IF(ISNUMBER(VLOOKUP($D107,'Visu totale'!$D:$DH,W$1,0)),V107-VLOOKUP($D107,'Visu totale'!$D:$DH,W$1,0),IF(LEFT(VLOOKUP($D107,'Visu totale'!$D:$DH,W$1,0),1)="V",IF(V107&gt;=INDEX('[1]Définition Maintenances'!$G:$G,MATCH($A107,'[1]Définition Maintenances'!$K:$K,0)),V107,INDEX('[1]Définition Maintenances'!$G:$G,MATCH($A107,'[1]Définition Maintenances'!$K:$K,0))+V107),V107))</f>
        <v>1200</v>
      </c>
      <c r="X107" s="26">
        <f>IF(ISNUMBER(VLOOKUP($D107,'Visu totale'!$D:$DH,X$1,0)),W107-VLOOKUP($D107,'Visu totale'!$D:$DH,X$1,0),IF(LEFT(VLOOKUP($D107,'Visu totale'!$D:$DH,X$1,0),1)="V",IF(W107&gt;=INDEX('[1]Définition Maintenances'!$G:$G,MATCH($A107,'[1]Définition Maintenances'!$K:$K,0)),W107,INDEX('[1]Définition Maintenances'!$G:$G,MATCH($A107,'[1]Définition Maintenances'!$K:$K,0))+W107),W107))</f>
        <v>1200</v>
      </c>
      <c r="Y107" s="26">
        <f>IF(ISNUMBER(VLOOKUP($D107,'Visu totale'!$D:$DH,Y$1,0)),X107-VLOOKUP($D107,'Visu totale'!$D:$DH,Y$1,0),IF(LEFT(VLOOKUP($D107,'Visu totale'!$D:$DH,Y$1,0),1)="V",IF(X107&gt;=INDEX('[1]Définition Maintenances'!$G:$G,MATCH($A107,'[1]Définition Maintenances'!$K:$K,0)),X107,INDEX('[1]Définition Maintenances'!$G:$G,MATCH($A107,'[1]Définition Maintenances'!$K:$K,0))+X107),X107))</f>
        <v>1200</v>
      </c>
      <c r="Z107" s="26">
        <f>IF(ISNUMBER(VLOOKUP($D107,'Visu totale'!$D:$DH,Z$1,0)),Y107-VLOOKUP($D107,'Visu totale'!$D:$DH,Z$1,0),IF(LEFT(VLOOKUP($D107,'Visu totale'!$D:$DH,Z$1,0),1)="V",IF(Y107&gt;=INDEX('[1]Définition Maintenances'!$G:$G,MATCH($A107,'[1]Définition Maintenances'!$K:$K,0)),Y107,INDEX('[1]Définition Maintenances'!$G:$G,MATCH($A107,'[1]Définition Maintenances'!$K:$K,0))+Y107),Y107))</f>
        <v>1200</v>
      </c>
      <c r="AA107" s="26">
        <f>IF(ISNUMBER(VLOOKUP($D107,'Visu totale'!$D:$DH,AA$1,0)),Z107-VLOOKUP($D107,'Visu totale'!$D:$DH,AA$1,0),IF(LEFT(VLOOKUP($D107,'Visu totale'!$D:$DH,AA$1,0),1)="V",IF(Z107&gt;=INDEX('[1]Définition Maintenances'!$G:$G,MATCH($A107,'[1]Définition Maintenances'!$K:$K,0)),Z107,INDEX('[1]Définition Maintenances'!$G:$G,MATCH($A107,'[1]Définition Maintenances'!$K:$K,0))+Z107),Z107))</f>
        <v>1200</v>
      </c>
      <c r="AB107" s="26">
        <f>IF(ISNUMBER(VLOOKUP($D107,'Visu totale'!$D:$DH,AB$1,0)),AA107-VLOOKUP($D107,'Visu totale'!$D:$DH,AB$1,0),IF(LEFT(VLOOKUP($D107,'Visu totale'!$D:$DH,AB$1,0),1)="V",IF(AA107&gt;=INDEX('[1]Définition Maintenances'!$G:$G,MATCH($A107,'[1]Définition Maintenances'!$K:$K,0)),AA107,INDEX('[1]Définition Maintenances'!$G:$G,MATCH($A107,'[1]Définition Maintenances'!$K:$K,0))+AA107),AA107))</f>
        <v>1200</v>
      </c>
      <c r="AC107" s="27">
        <f>IF(ISNUMBER(VLOOKUP($D107,'Visu totale'!$D:$DH,AC$1,0)),AB107-VLOOKUP($D107,'Visu totale'!$D:$DH,AC$1,0),IF(LEFT(VLOOKUP($D107,'Visu totale'!$D:$DH,AC$1,0),1)="V",IF(AB107&gt;=INDEX('[1]Définition Maintenances'!$G:$G,MATCH($A107,'[1]Définition Maintenances'!$K:$K,0)),AB107,INDEX('[1]Définition Maintenances'!$G:$G,MATCH($A107,'[1]Définition Maintenances'!$K:$K,0))+AB107),AB107))</f>
        <v>1200</v>
      </c>
      <c r="AD107" s="25">
        <f>IF(ISNUMBER(VLOOKUP($D107,'Visu totale'!$D:$DH,AD$1,0)),AC107-VLOOKUP($D107,'Visu totale'!$D:$DH,AD$1,0),IF(LEFT(VLOOKUP($D107,'Visu totale'!$D:$DH,AD$1,0),1)="V",IF(AC107&gt;=INDEX('[1]Définition Maintenances'!$G:$G,MATCH($A107,'[1]Définition Maintenances'!$K:$K,0)),AC107,INDEX('[1]Définition Maintenances'!$G:$G,MATCH($A107,'[1]Définition Maintenances'!$K:$K,0))+AC107),AC107))</f>
        <v>1200</v>
      </c>
      <c r="AE107" s="26">
        <f>IF(ISNUMBER(VLOOKUP($D107,'Visu totale'!$D:$DH,AE$1,0)),AD107-VLOOKUP($D107,'Visu totale'!$D:$DH,AE$1,0),IF(LEFT(VLOOKUP($D107,'Visu totale'!$D:$DH,AE$1,0),1)="V",IF(AD107&gt;=INDEX('[1]Définition Maintenances'!$G:$G,MATCH($A107,'[1]Définition Maintenances'!$K:$K,0)),AD107,INDEX('[1]Définition Maintenances'!$G:$G,MATCH($A107,'[1]Définition Maintenances'!$K:$K,0))+AD107),AD107))</f>
        <v>1200</v>
      </c>
      <c r="AF107" s="26">
        <f>IF(ISNUMBER(VLOOKUP($D107,'Visu totale'!$D:$DH,AF$1,0)),AE107-VLOOKUP($D107,'Visu totale'!$D:$DH,AF$1,0),IF(LEFT(VLOOKUP($D107,'Visu totale'!$D:$DH,AF$1,0),1)="V",IF(AE107&gt;=INDEX('[1]Définition Maintenances'!$G:$G,MATCH($A107,'[1]Définition Maintenances'!$K:$K,0)),AE107,INDEX('[1]Définition Maintenances'!$G:$G,MATCH($A107,'[1]Définition Maintenances'!$K:$K,0))+AE107),AE107))</f>
        <v>1200</v>
      </c>
      <c r="AG107" s="26">
        <f>IF(ISNUMBER(VLOOKUP($D107,'Visu totale'!$D:$DH,AG$1,0)),AF107-VLOOKUP($D107,'Visu totale'!$D:$DH,AG$1,0),IF(LEFT(VLOOKUP($D107,'Visu totale'!$D:$DH,AG$1,0),1)="V",IF(AF107&gt;=INDEX('[1]Définition Maintenances'!$G:$G,MATCH($A107,'[1]Définition Maintenances'!$K:$K,0)),AF107,INDEX('[1]Définition Maintenances'!$G:$G,MATCH($A107,'[1]Définition Maintenances'!$K:$K,0))+AF107),AF107))</f>
        <v>1200</v>
      </c>
      <c r="AH107" s="26">
        <f>IF(ISNUMBER(VLOOKUP($D107,'Visu totale'!$D:$DH,AH$1,0)),AG107-VLOOKUP($D107,'Visu totale'!$D:$DH,AH$1,0),IF(LEFT(VLOOKUP($D107,'Visu totale'!$D:$DH,AH$1,0),1)="V",IF(AG107&gt;=INDEX('[1]Définition Maintenances'!$G:$G,MATCH($A107,'[1]Définition Maintenances'!$K:$K,0)),AG107,INDEX('[1]Définition Maintenances'!$G:$G,MATCH($A107,'[1]Définition Maintenances'!$K:$K,0))+AG107),AG107))</f>
        <v>1200</v>
      </c>
      <c r="AI107" s="26">
        <f>IF(ISNUMBER(VLOOKUP($D107,'Visu totale'!$D:$DH,AI$1,0)),AH107-VLOOKUP($D107,'Visu totale'!$D:$DH,AI$1,0),IF(LEFT(VLOOKUP($D107,'Visu totale'!$D:$DH,AI$1,0),1)="V",IF(AH107&gt;=INDEX('[1]Définition Maintenances'!$G:$G,MATCH($A107,'[1]Définition Maintenances'!$K:$K,0)),AH107,INDEX('[1]Définition Maintenances'!$G:$G,MATCH($A107,'[1]Définition Maintenances'!$K:$K,0))+AH107),AH107))</f>
        <v>1200</v>
      </c>
      <c r="AJ107" s="26">
        <f>IF(ISNUMBER(VLOOKUP($D107,'Visu totale'!$D:$DH,AJ$1,0)),AI107-VLOOKUP($D107,'Visu totale'!$D:$DH,AJ$1,0),IF(LEFT(VLOOKUP($D107,'Visu totale'!$D:$DH,AJ$1,0),1)="V",IF(AI107&gt;=INDEX('[1]Définition Maintenances'!$G:$G,MATCH($A107,'[1]Définition Maintenances'!$K:$K,0)),AI107,INDEX('[1]Définition Maintenances'!$G:$G,MATCH($A107,'[1]Définition Maintenances'!$K:$K,0))+AI107),AI107))</f>
        <v>1200</v>
      </c>
      <c r="AK107" s="26">
        <f>IF(ISNUMBER(VLOOKUP($D107,'Visu totale'!$D:$DH,AK$1,0)),AJ107-VLOOKUP($D107,'Visu totale'!$D:$DH,AK$1,0),IF(LEFT(VLOOKUP($D107,'Visu totale'!$D:$DH,AK$1,0),1)="V",IF(AJ107&gt;=INDEX('[1]Définition Maintenances'!$G:$G,MATCH($A107,'[1]Définition Maintenances'!$K:$K,0)),AJ107,INDEX('[1]Définition Maintenances'!$G:$G,MATCH($A107,'[1]Définition Maintenances'!$K:$K,0))+AJ107),AJ107))</f>
        <v>1200</v>
      </c>
      <c r="AL107" s="26">
        <f>IF(ISNUMBER(VLOOKUP($D107,'Visu totale'!$D:$DH,AL$1,0)),AK107-VLOOKUP($D107,'Visu totale'!$D:$DH,AL$1,0),IF(LEFT(VLOOKUP($D107,'Visu totale'!$D:$DH,AL$1,0),1)="V",IF(AK107&gt;=INDEX('[1]Définition Maintenances'!$G:$G,MATCH($A107,'[1]Définition Maintenances'!$K:$K,0)),AK107,INDEX('[1]Définition Maintenances'!$G:$G,MATCH($A107,'[1]Définition Maintenances'!$K:$K,0))+AK107),AK107))</f>
        <v>1200</v>
      </c>
      <c r="AM107" s="26">
        <f>IF(ISNUMBER(VLOOKUP($D107,'Visu totale'!$D:$DH,AM$1,0)),AL107-VLOOKUP($D107,'Visu totale'!$D:$DH,AM$1,0),IF(LEFT(VLOOKUP($D107,'Visu totale'!$D:$DH,AM$1,0),1)="V",IF(AL107&gt;=INDEX('[1]Définition Maintenances'!$G:$G,MATCH($A107,'[1]Définition Maintenances'!$K:$K,0)),AL107,INDEX('[1]Définition Maintenances'!$G:$G,MATCH($A107,'[1]Définition Maintenances'!$K:$K,0))+AL107),AL107))</f>
        <v>1200</v>
      </c>
      <c r="AN107" s="26">
        <f>IF(ISNUMBER(VLOOKUP($D107,'Visu totale'!$D:$DH,AN$1,0)),AM107-VLOOKUP($D107,'Visu totale'!$D:$DH,AN$1,0),IF(LEFT(VLOOKUP($D107,'Visu totale'!$D:$DH,AN$1,0),1)="V",IF(AM107&gt;=INDEX('[1]Définition Maintenances'!$G:$G,MATCH($A107,'[1]Définition Maintenances'!$K:$K,0)),AM107,INDEX('[1]Définition Maintenances'!$G:$G,MATCH($A107,'[1]Définition Maintenances'!$K:$K,0))+AM107),AM107))</f>
        <v>1200</v>
      </c>
      <c r="AO107" s="27">
        <f>IF(ISNUMBER(VLOOKUP($D107,'Visu totale'!$D:$DH,AO$1,0)),AN107-VLOOKUP($D107,'Visu totale'!$D:$DH,AO$1,0),IF(LEFT(VLOOKUP($D107,'Visu totale'!$D:$DH,AO$1,0),1)="V",IF(AN107&gt;=INDEX('[1]Définition Maintenances'!$G:$G,MATCH($A107,'[1]Définition Maintenances'!$K:$K,0)),AN107,INDEX('[1]Définition Maintenances'!$G:$G,MATCH($A107,'[1]Définition Maintenances'!$K:$K,0))+AN107),AN107))</f>
        <v>1200</v>
      </c>
      <c r="AP107" s="25">
        <f>IF(ISNUMBER(VLOOKUP($D107,'Visu totale'!$D:$DH,AP$1,0)),AO107-VLOOKUP($D107,'Visu totale'!$D:$DH,AP$1,0),IF(LEFT(VLOOKUP($D107,'Visu totale'!$D:$DH,AP$1,0),1)="V",IF(AO107&gt;=INDEX('[1]Définition Maintenances'!$G:$G,MATCH($A107,'[1]Définition Maintenances'!$K:$K,0)),AO107,INDEX('[1]Définition Maintenances'!$G:$G,MATCH($A107,'[1]Définition Maintenances'!$K:$K,0))+AO107),AO107))</f>
        <v>1200</v>
      </c>
      <c r="AQ107" s="26">
        <f>IF(ISNUMBER(VLOOKUP($D107,'Visu totale'!$D:$DH,AQ$1,0)),AP107-VLOOKUP($D107,'Visu totale'!$D:$DH,AQ$1,0),IF(LEFT(VLOOKUP($D107,'Visu totale'!$D:$DH,AQ$1,0),1)="V",IF(AP107&gt;=INDEX('[1]Définition Maintenances'!$G:$G,MATCH($A107,'[1]Définition Maintenances'!$K:$K,0)),AP107,INDEX('[1]Définition Maintenances'!$G:$G,MATCH($A107,'[1]Définition Maintenances'!$K:$K,0))+AP107),AP107))</f>
        <v>1200</v>
      </c>
      <c r="AR107" s="26">
        <f>IF(ISNUMBER(VLOOKUP($D107,'Visu totale'!$D:$DH,AR$1,0)),AQ107-VLOOKUP($D107,'Visu totale'!$D:$DH,AR$1,0),IF(LEFT(VLOOKUP($D107,'Visu totale'!$D:$DH,AR$1,0),1)="V",IF(AQ107&gt;=INDEX('[1]Définition Maintenances'!$G:$G,MATCH($A107,'[1]Définition Maintenances'!$K:$K,0)),AQ107,INDEX('[1]Définition Maintenances'!$G:$G,MATCH($A107,'[1]Définition Maintenances'!$K:$K,0))+AQ107),AQ107))</f>
        <v>1200</v>
      </c>
      <c r="AS107" s="26">
        <f>IF(ISNUMBER(VLOOKUP($D107,'Visu totale'!$D:$DH,AS$1,0)),AR107-VLOOKUP($D107,'Visu totale'!$D:$DH,AS$1,0),IF(LEFT(VLOOKUP($D107,'Visu totale'!$D:$DH,AS$1,0),1)="V",IF(AR107&gt;=INDEX('[1]Définition Maintenances'!$G:$G,MATCH($A107,'[1]Définition Maintenances'!$K:$K,0)),AR107,INDEX('[1]Définition Maintenances'!$G:$G,MATCH($A107,'[1]Définition Maintenances'!$K:$K,0))+AR107),AR107))</f>
        <v>1200</v>
      </c>
      <c r="AT107" s="26">
        <f>IF(ISNUMBER(VLOOKUP($D107,'Visu totale'!$D:$DH,AT$1,0)),AS107-VLOOKUP($D107,'Visu totale'!$D:$DH,AT$1,0),IF(LEFT(VLOOKUP($D107,'Visu totale'!$D:$DH,AT$1,0),1)="V",IF(AS107&gt;=INDEX('[1]Définition Maintenances'!$G:$G,MATCH($A107,'[1]Définition Maintenances'!$K:$K,0)),AS107,INDEX('[1]Définition Maintenances'!$G:$G,MATCH($A107,'[1]Définition Maintenances'!$K:$K,0))+AS107),AS107))</f>
        <v>1200</v>
      </c>
      <c r="AU107" s="26">
        <f>IF(ISNUMBER(VLOOKUP($D107,'Visu totale'!$D:$DH,AU$1,0)),AT107-VLOOKUP($D107,'Visu totale'!$D:$DH,AU$1,0),IF(LEFT(VLOOKUP($D107,'Visu totale'!$D:$DH,AU$1,0),1)="V",IF(AT107&gt;=INDEX('[1]Définition Maintenances'!$G:$G,MATCH($A107,'[1]Définition Maintenances'!$K:$K,0)),AT107,INDEX('[1]Définition Maintenances'!$G:$G,MATCH($A107,'[1]Définition Maintenances'!$K:$K,0))+AT107),AT107))</f>
        <v>1200</v>
      </c>
      <c r="AV107" s="26">
        <f>IF(ISNUMBER(VLOOKUP($D107,'Visu totale'!$D:$DH,AV$1,0)),AU107-VLOOKUP($D107,'Visu totale'!$D:$DH,AV$1,0),IF(LEFT(VLOOKUP($D107,'Visu totale'!$D:$DH,AV$1,0),1)="V",IF(AU107&gt;=INDEX('[1]Définition Maintenances'!$G:$G,MATCH($A107,'[1]Définition Maintenances'!$K:$K,0)),AU107,INDEX('[1]Définition Maintenances'!$G:$G,MATCH($A107,'[1]Définition Maintenances'!$K:$K,0))+AU107),AU107))</f>
        <v>1200</v>
      </c>
      <c r="AW107" s="26">
        <f>IF(ISNUMBER(VLOOKUP($D107,'Visu totale'!$D:$DH,AW$1,0)),AV107-VLOOKUP($D107,'Visu totale'!$D:$DH,AW$1,0),IF(LEFT(VLOOKUP($D107,'Visu totale'!$D:$DH,AW$1,0),1)="V",IF(AV107&gt;=INDEX('[1]Définition Maintenances'!$G:$G,MATCH($A107,'[1]Définition Maintenances'!$K:$K,0)),AV107,INDEX('[1]Définition Maintenances'!$G:$G,MATCH($A107,'[1]Définition Maintenances'!$K:$K,0))+AV107),AV107))</f>
        <v>1200</v>
      </c>
      <c r="AX107" s="26">
        <f>IF(ISNUMBER(VLOOKUP($D107,'Visu totale'!$D:$DH,AX$1,0)),AW107-VLOOKUP($D107,'Visu totale'!$D:$DH,AX$1,0),IF(LEFT(VLOOKUP($D107,'Visu totale'!$D:$DH,AX$1,0),1)="V",IF(AW107&gt;=INDEX('[1]Définition Maintenances'!$G:$G,MATCH($A107,'[1]Définition Maintenances'!$K:$K,0)),AW107,INDEX('[1]Définition Maintenances'!$G:$G,MATCH($A107,'[1]Définition Maintenances'!$K:$K,0))+AW107),AW107))</f>
        <v>1200</v>
      </c>
      <c r="AY107" s="26">
        <f>IF(ISNUMBER(VLOOKUP($D107,'Visu totale'!$D:$DH,AY$1,0)),AX107-VLOOKUP($D107,'Visu totale'!$D:$DH,AY$1,0),IF(LEFT(VLOOKUP($D107,'Visu totale'!$D:$DH,AY$1,0),1)="V",IF(AX107&gt;=INDEX('[1]Définition Maintenances'!$G:$G,MATCH($A107,'[1]Définition Maintenances'!$K:$K,0)),AX107,INDEX('[1]Définition Maintenances'!$G:$G,MATCH($A107,'[1]Définition Maintenances'!$K:$K,0))+AX107),AX107))</f>
        <v>1200</v>
      </c>
      <c r="AZ107" s="26">
        <f>IF(ISNUMBER(VLOOKUP($D107,'Visu totale'!$D:$DH,AZ$1,0)),AY107-VLOOKUP($D107,'Visu totale'!$D:$DH,AZ$1,0),IF(LEFT(VLOOKUP($D107,'Visu totale'!$D:$DH,AZ$1,0),1)="V",IF(AY107&gt;=INDEX('[1]Définition Maintenances'!$G:$G,MATCH($A107,'[1]Définition Maintenances'!$K:$K,0)),AY107,INDEX('[1]Définition Maintenances'!$G:$G,MATCH($A107,'[1]Définition Maintenances'!$K:$K,0))+AY107),AY107))</f>
        <v>1200</v>
      </c>
      <c r="BA107" s="27">
        <f>IF(ISNUMBER(VLOOKUP($D107,'Visu totale'!$D:$DH,BA$1,0)),AZ107-VLOOKUP($D107,'Visu totale'!$D:$DH,BA$1,0),IF(LEFT(VLOOKUP($D107,'Visu totale'!$D:$DH,BA$1,0),1)="V",IF(AZ107&gt;=INDEX('[1]Définition Maintenances'!$G:$G,MATCH($A107,'[1]Définition Maintenances'!$K:$K,0)),AZ107,INDEX('[1]Définition Maintenances'!$G:$G,MATCH($A107,'[1]Définition Maintenances'!$K:$K,0))+AZ107),AZ107))</f>
        <v>1200</v>
      </c>
      <c r="BB107" s="25">
        <f>IF(ISNUMBER(VLOOKUP($D107,'Visu totale'!$D:$DH,BB$1,0)),BA107-VLOOKUP($D107,'Visu totale'!$D:$DH,BB$1,0),IF(LEFT(VLOOKUP($D107,'Visu totale'!$D:$DH,BB$1,0),1)="V",IF(BA107&gt;=INDEX('[1]Définition Maintenances'!$G:$G,MATCH($A107,'[1]Définition Maintenances'!$K:$K,0)),BA107,INDEX('[1]Définition Maintenances'!$G:$G,MATCH($A107,'[1]Définition Maintenances'!$K:$K,0))+BA107),BA107))</f>
        <v>1200</v>
      </c>
      <c r="BC107" s="26">
        <f>IF(ISNUMBER(VLOOKUP($D107,'Visu totale'!$D:$DH,BC$1,0)),BB107-VLOOKUP($D107,'Visu totale'!$D:$DH,BC$1,0),IF(LEFT(VLOOKUP($D107,'Visu totale'!$D:$DH,BC$1,0),1)="V",IF(BB107&gt;=INDEX('[1]Définition Maintenances'!$G:$G,MATCH($A107,'[1]Définition Maintenances'!$K:$K,0)),BB107,INDEX('[1]Définition Maintenances'!$G:$G,MATCH($A107,'[1]Définition Maintenances'!$K:$K,0))+BB107),BB107))</f>
        <v>1200</v>
      </c>
      <c r="BD107" s="26">
        <f>IF(ISNUMBER(VLOOKUP($D107,'Visu totale'!$D:$DH,BD$1,0)),BC107-VLOOKUP($D107,'Visu totale'!$D:$DH,BD$1,0),IF(LEFT(VLOOKUP($D107,'Visu totale'!$D:$DH,BD$1,0),1)="V",IF(BC107&gt;=INDEX('[1]Définition Maintenances'!$G:$G,MATCH($A107,'[1]Définition Maintenances'!$K:$K,0)),BC107,INDEX('[1]Définition Maintenances'!$G:$G,MATCH($A107,'[1]Définition Maintenances'!$K:$K,0))+BC107),BC107))</f>
        <v>1200</v>
      </c>
      <c r="BE107" s="26">
        <f>IF(ISNUMBER(VLOOKUP($D107,'Visu totale'!$D:$DH,BE$1,0)),BD107-VLOOKUP($D107,'Visu totale'!$D:$DH,BE$1,0),IF(LEFT(VLOOKUP($D107,'Visu totale'!$D:$DH,BE$1,0),1)="V",IF(BD107&gt;=INDEX('[1]Définition Maintenances'!$G:$G,MATCH($A107,'[1]Définition Maintenances'!$K:$K,0)),BD107,INDEX('[1]Définition Maintenances'!$G:$G,MATCH($A107,'[1]Définition Maintenances'!$K:$K,0))+BD107),BD107))</f>
        <v>1200</v>
      </c>
      <c r="BF107" s="26">
        <f>IF(ISNUMBER(VLOOKUP($D107,'Visu totale'!$D:$DH,BF$1,0)),BE107-VLOOKUP($D107,'Visu totale'!$D:$DH,BF$1,0),IF(LEFT(VLOOKUP($D107,'Visu totale'!$D:$DH,BF$1,0),1)="V",IF(BE107&gt;=INDEX('[1]Définition Maintenances'!$G:$G,MATCH($A107,'[1]Définition Maintenances'!$K:$K,0)),BE107,INDEX('[1]Définition Maintenances'!$G:$G,MATCH($A107,'[1]Définition Maintenances'!$K:$K,0))+BE107),BE107))</f>
        <v>1200</v>
      </c>
      <c r="BG107" s="26">
        <f>IF(ISNUMBER(VLOOKUP($D107,'Visu totale'!$D:$DH,BG$1,0)),BF107-VLOOKUP($D107,'Visu totale'!$D:$DH,BG$1,0),IF(LEFT(VLOOKUP($D107,'Visu totale'!$D:$DH,BG$1,0),1)="V",IF(BF107&gt;=INDEX('[1]Définition Maintenances'!$G:$G,MATCH($A107,'[1]Définition Maintenances'!$K:$K,0)),BF107,INDEX('[1]Définition Maintenances'!$G:$G,MATCH($A107,'[1]Définition Maintenances'!$K:$K,0))+BF107),BF107))</f>
        <v>1200</v>
      </c>
      <c r="BH107" s="26">
        <f>IF(ISNUMBER(VLOOKUP($D107,'Visu totale'!$D:$DH,BH$1,0)),BG107-VLOOKUP($D107,'Visu totale'!$D:$DH,BH$1,0),IF(LEFT(VLOOKUP($D107,'Visu totale'!$D:$DH,BH$1,0),1)="V",IF(BG107&gt;=INDEX('[1]Définition Maintenances'!$G:$G,MATCH($A107,'[1]Définition Maintenances'!$K:$K,0)),BG107,INDEX('[1]Définition Maintenances'!$G:$G,MATCH($A107,'[1]Définition Maintenances'!$K:$K,0))+BG107),BG107))</f>
        <v>1200</v>
      </c>
      <c r="BI107" s="26">
        <f>IF(ISNUMBER(VLOOKUP($D107,'Visu totale'!$D:$DH,BI$1,0)),BH107-VLOOKUP($D107,'Visu totale'!$D:$DH,BI$1,0),IF(LEFT(VLOOKUP($D107,'Visu totale'!$D:$DH,BI$1,0),1)="V",IF(BH107&gt;=INDEX('[1]Définition Maintenances'!$G:$G,MATCH($A107,'[1]Définition Maintenances'!$K:$K,0)),BH107,INDEX('[1]Définition Maintenances'!$G:$G,MATCH($A107,'[1]Définition Maintenances'!$K:$K,0))+BH107),BH107))</f>
        <v>1200</v>
      </c>
      <c r="BJ107" s="26">
        <f>IF(ISNUMBER(VLOOKUP($D107,'Visu totale'!$D:$DH,BJ$1,0)),BI107-VLOOKUP($D107,'Visu totale'!$D:$DH,BJ$1,0),IF(LEFT(VLOOKUP($D107,'Visu totale'!$D:$DH,BJ$1,0),1)="V",IF(BI107&gt;=INDEX('[1]Définition Maintenances'!$G:$G,MATCH($A107,'[1]Définition Maintenances'!$K:$K,0)),BI107,INDEX('[1]Définition Maintenances'!$G:$G,MATCH($A107,'[1]Définition Maintenances'!$K:$K,0))+BI107),BI107))</f>
        <v>1200</v>
      </c>
      <c r="BK107" s="26">
        <f>IF(ISNUMBER(VLOOKUP($D107,'Visu totale'!$D:$DH,BK$1,0)),BJ107-VLOOKUP($D107,'Visu totale'!$D:$DH,BK$1,0),IF(LEFT(VLOOKUP($D107,'Visu totale'!$D:$DH,BK$1,0),1)="V",IF(BJ107&gt;=INDEX('[1]Définition Maintenances'!$G:$G,MATCH($A107,'[1]Définition Maintenances'!$K:$K,0)),BJ107,INDEX('[1]Définition Maintenances'!$G:$G,MATCH($A107,'[1]Définition Maintenances'!$K:$K,0))+BJ107),BJ107))</f>
        <v>1200</v>
      </c>
      <c r="BL107" s="26">
        <f>IF(ISNUMBER(VLOOKUP($D107,'Visu totale'!$D:$DH,BL$1,0)),BK107-VLOOKUP($D107,'Visu totale'!$D:$DH,BL$1,0),IF(LEFT(VLOOKUP($D107,'Visu totale'!$D:$DH,BL$1,0),1)="V",IF(BK107&gt;=INDEX('[1]Définition Maintenances'!$G:$G,MATCH($A107,'[1]Définition Maintenances'!$K:$K,0)),BK107,INDEX('[1]Définition Maintenances'!$G:$G,MATCH($A107,'[1]Définition Maintenances'!$K:$K,0))+BK107),BK107))</f>
        <v>1200</v>
      </c>
      <c r="BM107" s="27">
        <f>IF(ISNUMBER(VLOOKUP($D107,'Visu totale'!$D:$DH,BM$1,0)),BL107-VLOOKUP($D107,'Visu totale'!$D:$DH,BM$1,0),IF(LEFT(VLOOKUP($D107,'Visu totale'!$D:$DH,BM$1,0),1)="V",IF(BL107&gt;=INDEX('[1]Définition Maintenances'!$G:$G,MATCH($A107,'[1]Définition Maintenances'!$K:$K,0)),BL107,INDEX('[1]Définition Maintenances'!$G:$G,MATCH($A107,'[1]Définition Maintenances'!$K:$K,0))+BL107),BL107))</f>
        <v>1200</v>
      </c>
      <c r="BN107" s="25">
        <f>IF(ISNUMBER(VLOOKUP($D107,'Visu totale'!$D:$DH,BN$1,0)),BM107-VLOOKUP($D107,'Visu totale'!$D:$DH,BN$1,0),IF(LEFT(VLOOKUP($D107,'Visu totale'!$D:$DH,BN$1,0),1)="V",IF(BM107&gt;=INDEX('[1]Définition Maintenances'!$G:$G,MATCH($A107,'[1]Définition Maintenances'!$K:$K,0)),BM107,INDEX('[1]Définition Maintenances'!$G:$G,MATCH($A107,'[1]Définition Maintenances'!$K:$K,0))+BM107),BM107))</f>
        <v>1200</v>
      </c>
      <c r="BO107" s="26">
        <f>IF(ISNUMBER(VLOOKUP($D107,'Visu totale'!$D:$DH,BO$1,0)),BN107-VLOOKUP($D107,'Visu totale'!$D:$DH,BO$1,0),IF(LEFT(VLOOKUP($D107,'Visu totale'!$D:$DH,BO$1,0),1)="V",IF(BN107&gt;=INDEX('[1]Définition Maintenances'!$G:$G,MATCH($A107,'[1]Définition Maintenances'!$K:$K,0)),BN107,INDEX('[1]Définition Maintenances'!$G:$G,MATCH($A107,'[1]Définition Maintenances'!$K:$K,0))+BN107),BN107))</f>
        <v>1200</v>
      </c>
      <c r="BP107" s="26">
        <f>IF(ISNUMBER(VLOOKUP($D107,'Visu totale'!$D:$DH,BP$1,0)),BO107-VLOOKUP($D107,'Visu totale'!$D:$DH,BP$1,0),IF(LEFT(VLOOKUP($D107,'Visu totale'!$D:$DH,BP$1,0),1)="V",IF(BO107&gt;=INDEX('[1]Définition Maintenances'!$G:$G,MATCH($A107,'[1]Définition Maintenances'!$K:$K,0)),BO107,INDEX('[1]Définition Maintenances'!$G:$G,MATCH($A107,'[1]Définition Maintenances'!$K:$K,0))+BO107),BO107))</f>
        <v>1200</v>
      </c>
      <c r="BQ107" s="26">
        <f>IF(ISNUMBER(VLOOKUP($D107,'Visu totale'!$D:$DH,BQ$1,0)),BP107-VLOOKUP($D107,'Visu totale'!$D:$DH,BQ$1,0),IF(LEFT(VLOOKUP($D107,'Visu totale'!$D:$DH,BQ$1,0),1)="V",IF(BP107&gt;=INDEX('[1]Définition Maintenances'!$G:$G,MATCH($A107,'[1]Définition Maintenances'!$K:$K,0)),BP107,INDEX('[1]Définition Maintenances'!$G:$G,MATCH($A107,'[1]Définition Maintenances'!$K:$K,0))+BP107),BP107))</f>
        <v>1200</v>
      </c>
      <c r="BR107" s="26">
        <f>IF(ISNUMBER(VLOOKUP($D107,'Visu totale'!$D:$DH,BR$1,0)),BQ107-VLOOKUP($D107,'Visu totale'!$D:$DH,BR$1,0),IF(LEFT(VLOOKUP($D107,'Visu totale'!$D:$DH,BR$1,0),1)="V",IF(BQ107&gt;=INDEX('[1]Définition Maintenances'!$G:$G,MATCH($A107,'[1]Définition Maintenances'!$K:$K,0)),BQ107,INDEX('[1]Définition Maintenances'!$G:$G,MATCH($A107,'[1]Définition Maintenances'!$K:$K,0))+BQ107),BQ107))</f>
        <v>1200</v>
      </c>
      <c r="BS107" s="26">
        <f>IF(ISNUMBER(VLOOKUP($D107,'Visu totale'!$D:$DH,BS$1,0)),BR107-VLOOKUP($D107,'Visu totale'!$D:$DH,BS$1,0),IF(LEFT(VLOOKUP($D107,'Visu totale'!$D:$DH,BS$1,0),1)="V",IF(BR107&gt;=INDEX('[1]Définition Maintenances'!$G:$G,MATCH($A107,'[1]Définition Maintenances'!$K:$K,0)),BR107,INDEX('[1]Définition Maintenances'!$G:$G,MATCH($A107,'[1]Définition Maintenances'!$K:$K,0))+BR107),BR107))</f>
        <v>1200</v>
      </c>
      <c r="BT107" s="26">
        <f>IF(ISNUMBER(VLOOKUP($D107,'Visu totale'!$D:$DH,BT$1,0)),BS107-VLOOKUP($D107,'Visu totale'!$D:$DH,BT$1,0),IF(LEFT(VLOOKUP($D107,'Visu totale'!$D:$DH,BT$1,0),1)="V",IF(BS107&gt;=INDEX('[1]Définition Maintenances'!$G:$G,MATCH($A107,'[1]Définition Maintenances'!$K:$K,0)),BS107,INDEX('[1]Définition Maintenances'!$G:$G,MATCH($A107,'[1]Définition Maintenances'!$K:$K,0))+BS107),BS107))</f>
        <v>1200</v>
      </c>
      <c r="BU107" s="26">
        <f>IF(ISNUMBER(VLOOKUP($D107,'Visu totale'!$D:$DH,BU$1,0)),BT107-VLOOKUP($D107,'Visu totale'!$D:$DH,BU$1,0),IF(LEFT(VLOOKUP($D107,'Visu totale'!$D:$DH,BU$1,0),1)="V",IF(BT107&gt;=INDEX('[1]Définition Maintenances'!$G:$G,MATCH($A107,'[1]Définition Maintenances'!$K:$K,0)),BT107,INDEX('[1]Définition Maintenances'!$G:$G,MATCH($A107,'[1]Définition Maintenances'!$K:$K,0))+BT107),BT107))</f>
        <v>1200</v>
      </c>
      <c r="BV107" s="26">
        <f>IF(ISNUMBER(VLOOKUP($D107,'Visu totale'!$D:$DH,BV$1,0)),BU107-VLOOKUP($D107,'Visu totale'!$D:$DH,BV$1,0),IF(LEFT(VLOOKUP($D107,'Visu totale'!$D:$DH,BV$1,0),1)="V",IF(BU107&gt;=INDEX('[1]Définition Maintenances'!$G:$G,MATCH($A107,'[1]Définition Maintenances'!$K:$K,0)),BU107,INDEX('[1]Définition Maintenances'!$G:$G,MATCH($A107,'[1]Définition Maintenances'!$K:$K,0))+BU107),BU107))</f>
        <v>1200</v>
      </c>
      <c r="BW107" s="26">
        <f>IF(ISNUMBER(VLOOKUP($D107,'Visu totale'!$D:$DH,BW$1,0)),BV107-VLOOKUP($D107,'Visu totale'!$D:$DH,BW$1,0),IF(LEFT(VLOOKUP($D107,'Visu totale'!$D:$DH,BW$1,0),1)="V",IF(BV107&gt;=INDEX('[1]Définition Maintenances'!$G:$G,MATCH($A107,'[1]Définition Maintenances'!$K:$K,0)),BV107,INDEX('[1]Définition Maintenances'!$G:$G,MATCH($A107,'[1]Définition Maintenances'!$K:$K,0))+BV107),BV107))</f>
        <v>1200</v>
      </c>
      <c r="BX107" s="26">
        <f>IF(ISNUMBER(VLOOKUP($D107,'Visu totale'!$D:$DH,BX$1,0)),BW107-VLOOKUP($D107,'Visu totale'!$D:$DH,BX$1,0),IF(LEFT(VLOOKUP($D107,'Visu totale'!$D:$DH,BX$1,0),1)="V",IF(BW107&gt;=INDEX('[1]Définition Maintenances'!$G:$G,MATCH($A107,'[1]Définition Maintenances'!$K:$K,0)),BW107,INDEX('[1]Définition Maintenances'!$G:$G,MATCH($A107,'[1]Définition Maintenances'!$K:$K,0))+BW107),BW107))</f>
        <v>1200</v>
      </c>
      <c r="BY107" s="27">
        <f>IF(ISNUMBER(VLOOKUP($D107,'Visu totale'!$D:$DH,BY$1,0)),BX107-VLOOKUP($D107,'Visu totale'!$D:$DH,BY$1,0),IF(LEFT(VLOOKUP($D107,'Visu totale'!$D:$DH,BY$1,0),1)="V",IF(BX107&gt;=INDEX('[1]Définition Maintenances'!$G:$G,MATCH($A107,'[1]Définition Maintenances'!$K:$K,0)),BX107,INDEX('[1]Définition Maintenances'!$G:$G,MATCH($A107,'[1]Définition Maintenances'!$K:$K,0))+BX107),BX107))</f>
        <v>1200</v>
      </c>
      <c r="BZ107" s="25">
        <f>IF(ISNUMBER(VLOOKUP($D107,'Visu totale'!$D:$DH,BZ$1,0)),BY107-VLOOKUP($D107,'Visu totale'!$D:$DH,BZ$1,0),IF(LEFT(VLOOKUP($D107,'Visu totale'!$D:$DH,BZ$1,0),1)="V",IF(BY107&gt;=INDEX('[1]Définition Maintenances'!$G:$G,MATCH($A107,'[1]Définition Maintenances'!$K:$K,0)),BY107,INDEX('[1]Définition Maintenances'!$G:$G,MATCH($A107,'[1]Définition Maintenances'!$K:$K,0))+BY107),BY107))</f>
        <v>1200</v>
      </c>
      <c r="CA107" s="26">
        <f>IF(ISNUMBER(VLOOKUP($D107,'Visu totale'!$D:$DH,CA$1,0)),BZ107-VLOOKUP($D107,'Visu totale'!$D:$DH,CA$1,0),IF(LEFT(VLOOKUP($D107,'Visu totale'!$D:$DH,CA$1,0),1)="V",IF(BZ107&gt;=INDEX('[1]Définition Maintenances'!$G:$G,MATCH($A107,'[1]Définition Maintenances'!$K:$K,0)),BZ107,INDEX('[1]Définition Maintenances'!$G:$G,MATCH($A107,'[1]Définition Maintenances'!$K:$K,0))+BZ107),BZ107))</f>
        <v>1200</v>
      </c>
      <c r="CB107" s="26">
        <f>IF(ISNUMBER(VLOOKUP($D107,'Visu totale'!$D:$DH,CB$1,0)),CA107-VLOOKUP($D107,'Visu totale'!$D:$DH,CB$1,0),IF(LEFT(VLOOKUP($D107,'Visu totale'!$D:$DH,CB$1,0),1)="V",IF(CA107&gt;=INDEX('[1]Définition Maintenances'!$G:$G,MATCH($A107,'[1]Définition Maintenances'!$K:$K,0)),CA107,INDEX('[1]Définition Maintenances'!$G:$G,MATCH($A107,'[1]Définition Maintenances'!$K:$K,0))+CA107),CA107))</f>
        <v>1200</v>
      </c>
      <c r="CC107" s="26">
        <f>IF(ISNUMBER(VLOOKUP($D107,'Visu totale'!$D:$DH,CC$1,0)),CB107-VLOOKUP($D107,'Visu totale'!$D:$DH,CC$1,0),IF(LEFT(VLOOKUP($D107,'Visu totale'!$D:$DH,CC$1,0),1)="V",IF(CB107&gt;=INDEX('[1]Définition Maintenances'!$G:$G,MATCH($A107,'[1]Définition Maintenances'!$K:$K,0)),CB107,INDEX('[1]Définition Maintenances'!$G:$G,MATCH($A107,'[1]Définition Maintenances'!$K:$K,0))+CB107),CB107))</f>
        <v>1200</v>
      </c>
      <c r="CD107" s="26">
        <f>IF(ISNUMBER(VLOOKUP($D107,'Visu totale'!$D:$DH,CD$1,0)),CC107-VLOOKUP($D107,'Visu totale'!$D:$DH,CD$1,0),IF(LEFT(VLOOKUP($D107,'Visu totale'!$D:$DH,CD$1,0),1)="V",IF(CC107&gt;=INDEX('[1]Définition Maintenances'!$G:$G,MATCH($A107,'[1]Définition Maintenances'!$K:$K,0)),CC107,INDEX('[1]Définition Maintenances'!$G:$G,MATCH($A107,'[1]Définition Maintenances'!$K:$K,0))+CC107),CC107))</f>
        <v>1200</v>
      </c>
      <c r="CE107" s="26">
        <f>IF(ISNUMBER(VLOOKUP($D107,'Visu totale'!$D:$DH,CE$1,0)),CD107-VLOOKUP($D107,'Visu totale'!$D:$DH,CE$1,0),IF(LEFT(VLOOKUP($D107,'Visu totale'!$D:$DH,CE$1,0),1)="V",IF(CD107&gt;=INDEX('[1]Définition Maintenances'!$G:$G,MATCH($A107,'[1]Définition Maintenances'!$K:$K,0)),CD107,INDEX('[1]Définition Maintenances'!$G:$G,MATCH($A107,'[1]Définition Maintenances'!$K:$K,0))+CD107),CD107))</f>
        <v>1200</v>
      </c>
      <c r="CF107" s="26">
        <f>IF(ISNUMBER(VLOOKUP($D107,'Visu totale'!$D:$DH,CF$1,0)),CE107-VLOOKUP($D107,'Visu totale'!$D:$DH,CF$1,0),IF(LEFT(VLOOKUP($D107,'Visu totale'!$D:$DH,CF$1,0),1)="V",IF(CE107&gt;=INDEX('[1]Définition Maintenances'!$G:$G,MATCH($A107,'[1]Définition Maintenances'!$K:$K,0)),CE107,INDEX('[1]Définition Maintenances'!$G:$G,MATCH($A107,'[1]Définition Maintenances'!$K:$K,0))+CE107),CE107))</f>
        <v>1200</v>
      </c>
      <c r="CG107" s="26">
        <f>IF(ISNUMBER(VLOOKUP($D107,'Visu totale'!$D:$DH,CG$1,0)),CF107-VLOOKUP($D107,'Visu totale'!$D:$DH,CG$1,0),IF(LEFT(VLOOKUP($D107,'Visu totale'!$D:$DH,CG$1,0),1)="V",IF(CF107&gt;=INDEX('[1]Définition Maintenances'!$G:$G,MATCH($A107,'[1]Définition Maintenances'!$K:$K,0)),CF107,INDEX('[1]Définition Maintenances'!$G:$G,MATCH($A107,'[1]Définition Maintenances'!$K:$K,0))+CF107),CF107))</f>
        <v>1200</v>
      </c>
      <c r="CH107" s="26">
        <f>IF(ISNUMBER(VLOOKUP($D107,'Visu totale'!$D:$DH,CH$1,0)),CG107-VLOOKUP($D107,'Visu totale'!$D:$DH,CH$1,0),IF(LEFT(VLOOKUP($D107,'Visu totale'!$D:$DH,CH$1,0),1)="V",IF(CG107&gt;=INDEX('[1]Définition Maintenances'!$G:$G,MATCH($A107,'[1]Définition Maintenances'!$K:$K,0)),CG107,INDEX('[1]Définition Maintenances'!$G:$G,MATCH($A107,'[1]Définition Maintenances'!$K:$K,0))+CG107),CG107))</f>
        <v>1200</v>
      </c>
      <c r="CI107" s="26">
        <f>IF(ISNUMBER(VLOOKUP($D107,'Visu totale'!$D:$DH,CI$1,0)),CH107-VLOOKUP($D107,'Visu totale'!$D:$DH,CI$1,0),IF(LEFT(VLOOKUP($D107,'Visu totale'!$D:$DH,CI$1,0),1)="V",IF(CH107&gt;=INDEX('[1]Définition Maintenances'!$G:$G,MATCH($A107,'[1]Définition Maintenances'!$K:$K,0)),CH107,INDEX('[1]Définition Maintenances'!$G:$G,MATCH($A107,'[1]Définition Maintenances'!$K:$K,0))+CH107),CH107))</f>
        <v>1200</v>
      </c>
      <c r="CJ107" s="26">
        <f>IF(ISNUMBER(VLOOKUP($D107,'Visu totale'!$D:$DH,CJ$1,0)),CI107-VLOOKUP($D107,'Visu totale'!$D:$DH,CJ$1,0),IF(LEFT(VLOOKUP($D107,'Visu totale'!$D:$DH,CJ$1,0),1)="V",IF(CI107&gt;=INDEX('[1]Définition Maintenances'!$G:$G,MATCH($A107,'[1]Définition Maintenances'!$K:$K,0)),CI107,INDEX('[1]Définition Maintenances'!$G:$G,MATCH($A107,'[1]Définition Maintenances'!$K:$K,0))+CI107),CI107))</f>
        <v>1200</v>
      </c>
      <c r="CK107" s="27">
        <f>IF(ISNUMBER(VLOOKUP($D107,'Visu totale'!$D:$DH,CK$1,0)),CJ107-VLOOKUP($D107,'Visu totale'!$D:$DH,CK$1,0),IF(LEFT(VLOOKUP($D107,'Visu totale'!$D:$DH,CK$1,0),1)="V",IF(CJ107&gt;=INDEX('[1]Définition Maintenances'!$G:$G,MATCH($A107,'[1]Définition Maintenances'!$K:$K,0)),CJ107,INDEX('[1]Définition Maintenances'!$G:$G,MATCH($A107,'[1]Définition Maintenances'!$K:$K,0))+CJ107),CJ107))</f>
        <v>1200</v>
      </c>
      <c r="CL107" s="25">
        <f>IF(ISNUMBER(VLOOKUP($D107,'Visu totale'!$D:$DH,CL$1,0)),CK107-VLOOKUP($D107,'Visu totale'!$D:$DH,CL$1,0),IF(LEFT(VLOOKUP($D107,'Visu totale'!$D:$DH,CL$1,0),1)="V",IF(CK107&gt;=INDEX('[1]Définition Maintenances'!$G:$G,MATCH($A107,'[1]Définition Maintenances'!$K:$K,0)),CK107,INDEX('[1]Définition Maintenances'!$G:$G,MATCH($A107,'[1]Définition Maintenances'!$K:$K,0))+CK107),CK107))</f>
        <v>1200</v>
      </c>
      <c r="CM107" s="26">
        <f>IF(ISNUMBER(VLOOKUP($D107,'Visu totale'!$D:$DH,CM$1,0)),CL107-VLOOKUP($D107,'Visu totale'!$D:$DH,CM$1,0),IF(LEFT(VLOOKUP($D107,'Visu totale'!$D:$DH,CM$1,0),1)="V",IF(CL107&gt;=INDEX('[1]Définition Maintenances'!$G:$G,MATCH($A107,'[1]Définition Maintenances'!$K:$K,0)),CL107,INDEX('[1]Définition Maintenances'!$G:$G,MATCH($A107,'[1]Définition Maintenances'!$K:$K,0))+CL107),CL107))</f>
        <v>1200</v>
      </c>
      <c r="CN107" s="26">
        <f>IF(ISNUMBER(VLOOKUP($D107,'Visu totale'!$D:$DH,CN$1,0)),CM107-VLOOKUP($D107,'Visu totale'!$D:$DH,CN$1,0),IF(LEFT(VLOOKUP($D107,'Visu totale'!$D:$DH,CN$1,0),1)="V",IF(CM107&gt;=INDEX('[1]Définition Maintenances'!$G:$G,MATCH($A107,'[1]Définition Maintenances'!$K:$K,0)),CM107,INDEX('[1]Définition Maintenances'!$G:$G,MATCH($A107,'[1]Définition Maintenances'!$K:$K,0))+CM107),CM107))</f>
        <v>1200</v>
      </c>
      <c r="CO107" s="26">
        <f>IF(ISNUMBER(VLOOKUP($D107,'Visu totale'!$D:$DH,CO$1,0)),CN107-VLOOKUP($D107,'Visu totale'!$D:$DH,CO$1,0),IF(LEFT(VLOOKUP($D107,'Visu totale'!$D:$DH,CO$1,0),1)="V",IF(CN107&gt;=INDEX('[1]Définition Maintenances'!$G:$G,MATCH($A107,'[1]Définition Maintenances'!$K:$K,0)),CN107,INDEX('[1]Définition Maintenances'!$G:$G,MATCH($A107,'[1]Définition Maintenances'!$K:$K,0))+CN107),CN107))</f>
        <v>1200</v>
      </c>
      <c r="CP107" s="26">
        <f>IF(ISNUMBER(VLOOKUP($D107,'Visu totale'!$D:$DH,CP$1,0)),CO107-VLOOKUP($D107,'Visu totale'!$D:$DH,CP$1,0),IF(LEFT(VLOOKUP($D107,'Visu totale'!$D:$DH,CP$1,0),1)="V",IF(CO107&gt;=INDEX('[1]Définition Maintenances'!$G:$G,MATCH($A107,'[1]Définition Maintenances'!$K:$K,0)),CO107,INDEX('[1]Définition Maintenances'!$G:$G,MATCH($A107,'[1]Définition Maintenances'!$K:$K,0))+CO107),CO107))</f>
        <v>1200</v>
      </c>
      <c r="CQ107" s="26">
        <f>IF(ISNUMBER(VLOOKUP($D107,'Visu totale'!$D:$DH,CQ$1,0)),CP107-VLOOKUP($D107,'Visu totale'!$D:$DH,CQ$1,0),IF(LEFT(VLOOKUP($D107,'Visu totale'!$D:$DH,CQ$1,0),1)="V",IF(CP107&gt;=INDEX('[1]Définition Maintenances'!$G:$G,MATCH($A107,'[1]Définition Maintenances'!$K:$K,0)),CP107,INDEX('[1]Définition Maintenances'!$G:$G,MATCH($A107,'[1]Définition Maintenances'!$K:$K,0))+CP107),CP107))</f>
        <v>1200</v>
      </c>
      <c r="CR107" s="26">
        <f>IF(ISNUMBER(VLOOKUP($D107,'Visu totale'!$D:$DH,CR$1,0)),CQ107-VLOOKUP($D107,'Visu totale'!$D:$DH,CR$1,0),IF(LEFT(VLOOKUP($D107,'Visu totale'!$D:$DH,CR$1,0),1)="V",IF(CQ107&gt;=INDEX('[1]Définition Maintenances'!$G:$G,MATCH($A107,'[1]Définition Maintenances'!$K:$K,0)),CQ107,INDEX('[1]Définition Maintenances'!$G:$G,MATCH($A107,'[1]Définition Maintenances'!$K:$K,0))+CQ107),CQ107))</f>
        <v>1200</v>
      </c>
      <c r="CS107" s="26">
        <f>IF(ISNUMBER(VLOOKUP($D107,'Visu totale'!$D:$DH,CS$1,0)),CR107-VLOOKUP($D107,'Visu totale'!$D:$DH,CS$1,0),IF(LEFT(VLOOKUP($D107,'Visu totale'!$D:$DH,CS$1,0),1)="V",IF(CR107&gt;=INDEX('[1]Définition Maintenances'!$G:$G,MATCH($A107,'[1]Définition Maintenances'!$K:$K,0)),CR107,INDEX('[1]Définition Maintenances'!$G:$G,MATCH($A107,'[1]Définition Maintenances'!$K:$K,0))+CR107),CR107))</f>
        <v>1200</v>
      </c>
      <c r="CT107" s="26">
        <f>IF(ISNUMBER(VLOOKUP($D107,'Visu totale'!$D:$DH,CT$1,0)),CS107-VLOOKUP($D107,'Visu totale'!$D:$DH,CT$1,0),IF(LEFT(VLOOKUP($D107,'Visu totale'!$D:$DH,CT$1,0),1)="V",IF(CS107&gt;=INDEX('[1]Définition Maintenances'!$G:$G,MATCH($A107,'[1]Définition Maintenances'!$K:$K,0)),CS107,INDEX('[1]Définition Maintenances'!$G:$G,MATCH($A107,'[1]Définition Maintenances'!$K:$K,0))+CS107),CS107))</f>
        <v>1200</v>
      </c>
      <c r="CU107" s="26">
        <f>IF(ISNUMBER(VLOOKUP($D107,'Visu totale'!$D:$DH,CU$1,0)),CT107-VLOOKUP($D107,'Visu totale'!$D:$DH,CU$1,0),IF(LEFT(VLOOKUP($D107,'Visu totale'!$D:$DH,CU$1,0),1)="V",IF(CT107&gt;=INDEX('[1]Définition Maintenances'!$G:$G,MATCH($A107,'[1]Définition Maintenances'!$K:$K,0)),CT107,INDEX('[1]Définition Maintenances'!$G:$G,MATCH($A107,'[1]Définition Maintenances'!$K:$K,0))+CT107),CT107))</f>
        <v>1200</v>
      </c>
      <c r="CV107" s="26">
        <f>IF(ISNUMBER(VLOOKUP($D107,'Visu totale'!$D:$DH,CV$1,0)),CU107-VLOOKUP($D107,'Visu totale'!$D:$DH,CV$1,0),IF(LEFT(VLOOKUP($D107,'Visu totale'!$D:$DH,CV$1,0),1)="V",IF(CU107&gt;=INDEX('[1]Définition Maintenances'!$G:$G,MATCH($A107,'[1]Définition Maintenances'!$K:$K,0)),CU107,INDEX('[1]Définition Maintenances'!$G:$G,MATCH($A107,'[1]Définition Maintenances'!$K:$K,0))+CU107),CU107))</f>
        <v>1200</v>
      </c>
      <c r="CW107" s="27">
        <f>IF(ISNUMBER(VLOOKUP($D107,'Visu totale'!$D:$DH,CW$1,0)),CV107-VLOOKUP($D107,'Visu totale'!$D:$DH,CW$1,0),IF(LEFT(VLOOKUP($D107,'Visu totale'!$D:$DH,CW$1,0),1)="V",IF(CV107&gt;=INDEX('[1]Définition Maintenances'!$G:$G,MATCH($A107,'[1]Définition Maintenances'!$K:$K,0)),CV107,INDEX('[1]Définition Maintenances'!$G:$G,MATCH($A107,'[1]Définition Maintenances'!$K:$K,0))+CV107),CV107))</f>
        <v>1200</v>
      </c>
      <c r="CX107" s="25">
        <f>IF(ISNUMBER(VLOOKUP($D107,'Visu totale'!$D:$DH,CX$1,0)),CW107-VLOOKUP($D107,'Visu totale'!$D:$DH,CX$1,0),IF(LEFT(VLOOKUP($D107,'Visu totale'!$D:$DH,CX$1,0),1)="V",IF(CW107&gt;=INDEX('[1]Définition Maintenances'!$G:$G,MATCH($A107,'[1]Définition Maintenances'!$K:$K,0)),CW107,INDEX('[1]Définition Maintenances'!$G:$G,MATCH($A107,'[1]Définition Maintenances'!$K:$K,0))+CW107),CW107))</f>
        <v>1200</v>
      </c>
      <c r="CY107" s="26">
        <f>IF(ISNUMBER(VLOOKUP($D107,'Visu totale'!$D:$DH,CY$1,0)),CX107-VLOOKUP($D107,'Visu totale'!$D:$DH,CY$1,0),IF(LEFT(VLOOKUP($D107,'Visu totale'!$D:$DH,CY$1,0),1)="V",IF(CX107&gt;=INDEX('[1]Définition Maintenances'!$G:$G,MATCH($A107,'[1]Définition Maintenances'!$K:$K,0)),CX107,INDEX('[1]Définition Maintenances'!$G:$G,MATCH($A107,'[1]Définition Maintenances'!$K:$K,0))+CX107),CX107))</f>
        <v>1200</v>
      </c>
      <c r="CZ107" s="26">
        <f>IF(ISNUMBER(VLOOKUP($D107,'Visu totale'!$D:$DH,CZ$1,0)),CY107-VLOOKUP($D107,'Visu totale'!$D:$DH,CZ$1,0),IF(LEFT(VLOOKUP($D107,'Visu totale'!$D:$DH,CZ$1,0),1)="V",IF(CY107&gt;=INDEX('[1]Définition Maintenances'!$G:$G,MATCH($A107,'[1]Définition Maintenances'!$K:$K,0)),CY107,INDEX('[1]Définition Maintenances'!$G:$G,MATCH($A107,'[1]Définition Maintenances'!$K:$K,0))+CY107),CY107))</f>
        <v>1200</v>
      </c>
      <c r="DA107" s="26">
        <f>IF(ISNUMBER(VLOOKUP($D107,'Visu totale'!$D:$DH,DA$1,0)),CZ107-VLOOKUP($D107,'Visu totale'!$D:$DH,DA$1,0),IF(LEFT(VLOOKUP($D107,'Visu totale'!$D:$DH,DA$1,0),1)="V",IF(CZ107&gt;=INDEX('[1]Définition Maintenances'!$G:$G,MATCH($A107,'[1]Définition Maintenances'!$K:$K,0)),CZ107,INDEX('[1]Définition Maintenances'!$G:$G,MATCH($A107,'[1]Définition Maintenances'!$K:$K,0))+CZ107),CZ107))</f>
        <v>1200</v>
      </c>
      <c r="DB107" s="26">
        <f>IF(ISNUMBER(VLOOKUP($D107,'Visu totale'!$D:$DH,DB$1,0)),DA107-VLOOKUP($D107,'Visu totale'!$D:$DH,DB$1,0),IF(LEFT(VLOOKUP($D107,'Visu totale'!$D:$DH,DB$1,0),1)="V",IF(DA107&gt;=INDEX('[1]Définition Maintenances'!$G:$G,MATCH($A107,'[1]Définition Maintenances'!$K:$K,0)),DA107,INDEX('[1]Définition Maintenances'!$G:$G,MATCH($A107,'[1]Définition Maintenances'!$K:$K,0))+DA107),DA107))</f>
        <v>1200</v>
      </c>
      <c r="DC107" s="26">
        <f>IF(ISNUMBER(VLOOKUP($D107,'Visu totale'!$D:$DH,DC$1,0)),DB107-VLOOKUP($D107,'Visu totale'!$D:$DH,DC$1,0),IF(LEFT(VLOOKUP($D107,'Visu totale'!$D:$DH,DC$1,0),1)="V",IF(DB107&gt;=INDEX('[1]Définition Maintenances'!$G:$G,MATCH($A107,'[1]Définition Maintenances'!$K:$K,0)),DB107,INDEX('[1]Définition Maintenances'!$G:$G,MATCH($A107,'[1]Définition Maintenances'!$K:$K,0))+DB107),DB107))</f>
        <v>1200</v>
      </c>
      <c r="DD107" s="26">
        <f>IF(ISNUMBER(VLOOKUP($D107,'Visu totale'!$D:$DH,DD$1,0)),DC107-VLOOKUP($D107,'Visu totale'!$D:$DH,DD$1,0),IF(LEFT(VLOOKUP($D107,'Visu totale'!$D:$DH,DD$1,0),1)="V",IF(DC107&gt;=INDEX('[1]Définition Maintenances'!$G:$G,MATCH($A107,'[1]Définition Maintenances'!$K:$K,0)),DC107,INDEX('[1]Définition Maintenances'!$G:$G,MATCH($A107,'[1]Définition Maintenances'!$K:$K,0))+DC107),DC107))</f>
        <v>1200</v>
      </c>
      <c r="DE107" s="26">
        <f>IF(ISNUMBER(VLOOKUP($D107,'Visu totale'!$D:$DH,DE$1,0)),DD107-VLOOKUP($D107,'Visu totale'!$D:$DH,DE$1,0),IF(LEFT(VLOOKUP($D107,'Visu totale'!$D:$DH,DE$1,0),1)="V",IF(DD107&gt;=INDEX('[1]Définition Maintenances'!$G:$G,MATCH($A107,'[1]Définition Maintenances'!$K:$K,0)),DD107,INDEX('[1]Définition Maintenances'!$G:$G,MATCH($A107,'[1]Définition Maintenances'!$K:$K,0))+DD107),DD107))</f>
        <v>1200</v>
      </c>
      <c r="DF107" s="26">
        <f>IF(ISNUMBER(VLOOKUP($D107,'Visu totale'!$D:$DH,DF$1,0)),DE107-VLOOKUP($D107,'Visu totale'!$D:$DH,DF$1,0),IF(LEFT(VLOOKUP($D107,'Visu totale'!$D:$DH,DF$1,0),1)="V",IF(DE107&gt;=INDEX('[1]Définition Maintenances'!$G:$G,MATCH($A107,'[1]Définition Maintenances'!$K:$K,0)),DE107,INDEX('[1]Définition Maintenances'!$G:$G,MATCH($A107,'[1]Définition Maintenances'!$K:$K,0))+DE107),DE107))</f>
        <v>1200</v>
      </c>
      <c r="DG107" s="26">
        <f>IF(ISNUMBER(VLOOKUP($D107,'Visu totale'!$D:$DH,DG$1,0)),DF107-VLOOKUP($D107,'Visu totale'!$D:$DH,DG$1,0),IF(LEFT(VLOOKUP($D107,'Visu totale'!$D:$DH,DG$1,0),1)="V",IF(DF107&gt;=INDEX('[1]Définition Maintenances'!$G:$G,MATCH($A107,'[1]Définition Maintenances'!$K:$K,0)),DF107,INDEX('[1]Définition Maintenances'!$G:$G,MATCH($A107,'[1]Définition Maintenances'!$K:$K,0))+DF107),DF107))</f>
        <v>1200</v>
      </c>
      <c r="DH107" s="26">
        <f>IF(ISNUMBER(VLOOKUP($D107,'Visu totale'!$D:$DH,DH$1,0)),DG107-VLOOKUP($D107,'Visu totale'!$D:$DH,DH$1,0),IF(LEFT(VLOOKUP($D107,'Visu totale'!$D:$DH,DH$1,0),1)="V",IF(DG107&gt;=INDEX('[1]Définition Maintenances'!$G:$G,MATCH($A107,'[1]Définition Maintenances'!$K:$K,0)),DG107,INDEX('[1]Définition Maintenances'!$G:$G,MATCH($A107,'[1]Définition Maintenances'!$K:$K,0))+DG107),DG107))</f>
        <v>1200</v>
      </c>
      <c r="DI107" s="27">
        <f>IF(ISNUMBER(VLOOKUP($D107,'Visu totale'!$D:$DH,DI$1,0)),DH107-VLOOKUP($D107,'Visu totale'!$D:$DH,DI$1,0),IF(LEFT(VLOOKUP($D107,'Visu totale'!$D:$DH,DI$1,0),1)="V",IF(DH107&gt;=INDEX('[1]Définition Maintenances'!$G:$G,MATCH($A107,'[1]Définition Maintenances'!$K:$K,0)),DH107,INDEX('[1]Définition Maintenances'!$G:$G,MATCH($A107,'[1]Définition Maintenances'!$K:$K,0))+DH107),DH107))</f>
        <v>1200</v>
      </c>
    </row>
    <row r="108" spans="1:113" x14ac:dyDescent="0.25">
      <c r="A108" s="13" t="str">
        <f t="shared" si="3"/>
        <v>V205</v>
      </c>
      <c r="B108" s="13" t="str">
        <f>VLOOKUP(D108,'[1]Avions (Potentiels)'!$B$2:$H$128,7,FALSE)</f>
        <v>V20</v>
      </c>
      <c r="C108" s="13"/>
      <c r="D108" s="16" t="s">
        <v>111</v>
      </c>
      <c r="E108" s="13">
        <f>IFERROR(VALUE(SUBSTITUTE(VLOOKUP(D108,'[1]Avions (Potentiels)'!$B:$E,4,0),".",",")),VALUE(VLOOKUP(D108,'[1]Avions (Potentiels)'!$B:$E,4,0)))</f>
        <v>723</v>
      </c>
      <c r="F108" s="25">
        <f>IF(ISNUMBER(VLOOKUP($D108,'Visu totale'!$D:$DH,F$1,0)),E108-VLOOKUP($D108,'Visu totale'!$D:$DH,F$1,0),IF(LEFT(VLOOKUP($D108,'Visu totale'!$D:$DH,F$1,0),1)="V",IF(E108&gt;=INDEX('[1]Définition Maintenances'!$G:$G,MATCH($A108,'[1]Définition Maintenances'!$K:$K,0)),E108,INDEX('[1]Définition Maintenances'!$G:$G,MATCH($A108,'[1]Définition Maintenances'!$K:$K,0))+E108),E108))</f>
        <v>723</v>
      </c>
      <c r="G108" s="26">
        <f>IF(ISNUMBER(VLOOKUP($D108,'Visu totale'!$D:$DH,G$1,0)),F108-VLOOKUP($D108,'Visu totale'!$D:$DH,G$1,0),IF(LEFT(VLOOKUP($D108,'Visu totale'!$D:$DH,G$1,0),1)="V",IF(F108&gt;=INDEX('[1]Définition Maintenances'!$G:$G,MATCH($A108,'[1]Définition Maintenances'!$K:$K,0)),F108,INDEX('[1]Définition Maintenances'!$G:$G,MATCH($A108,'[1]Définition Maintenances'!$K:$K,0))+F108),F108))</f>
        <v>723</v>
      </c>
      <c r="H108" s="26">
        <f>IF(ISNUMBER(VLOOKUP($D108,'Visu totale'!$D:$DH,H$1,0)),G108-VLOOKUP($D108,'Visu totale'!$D:$DH,H$1,0),IF(LEFT(VLOOKUP($D108,'Visu totale'!$D:$DH,H$1,0),1)="V",IF(G108&gt;=INDEX('[1]Définition Maintenances'!$G:$G,MATCH($A108,'[1]Définition Maintenances'!$K:$K,0)),G108,INDEX('[1]Définition Maintenances'!$G:$G,MATCH($A108,'[1]Définition Maintenances'!$K:$K,0))+G108),G108))</f>
        <v>723</v>
      </c>
      <c r="I108" s="26">
        <f>IF(ISNUMBER(VLOOKUP($D108,'Visu totale'!$D:$DH,I$1,0)),H108-VLOOKUP($D108,'Visu totale'!$D:$DH,I$1,0),IF(LEFT(VLOOKUP($D108,'Visu totale'!$D:$DH,I$1,0),1)="V",IF(H108&gt;=INDEX('[1]Définition Maintenances'!$G:$G,MATCH($A108,'[1]Définition Maintenances'!$K:$K,0)),H108,INDEX('[1]Définition Maintenances'!$G:$G,MATCH($A108,'[1]Définition Maintenances'!$K:$K,0))+H108),H108))</f>
        <v>723</v>
      </c>
      <c r="J108" s="26">
        <f>IF(ISNUMBER(VLOOKUP($D108,'Visu totale'!$D:$DH,J$1,0)),I108-VLOOKUP($D108,'Visu totale'!$D:$DH,J$1,0),IF(LEFT(VLOOKUP($D108,'Visu totale'!$D:$DH,J$1,0),1)="V",IF(I108&gt;=INDEX('[1]Définition Maintenances'!$G:$G,MATCH($A108,'[1]Définition Maintenances'!$K:$K,0)),I108,INDEX('[1]Définition Maintenances'!$G:$G,MATCH($A108,'[1]Définition Maintenances'!$K:$K,0))+I108),I108))</f>
        <v>723</v>
      </c>
      <c r="K108" s="26">
        <f>IF(ISNUMBER(VLOOKUP($D108,'Visu totale'!$D:$DH,K$1,0)),J108-VLOOKUP($D108,'Visu totale'!$D:$DH,K$1,0),IF(LEFT(VLOOKUP($D108,'Visu totale'!$D:$DH,K$1,0),1)="V",IF(J108&gt;=INDEX('[1]Définition Maintenances'!$G:$G,MATCH($A108,'[1]Définition Maintenances'!$K:$K,0)),J108,INDEX('[1]Définition Maintenances'!$G:$G,MATCH($A108,'[1]Définition Maintenances'!$K:$K,0))+J108),J108))</f>
        <v>723</v>
      </c>
      <c r="L108" s="26">
        <f>IF(ISNUMBER(VLOOKUP($D108,'Visu totale'!$D:$DH,L$1,0)),K108-VLOOKUP($D108,'Visu totale'!$D:$DH,L$1,0),IF(LEFT(VLOOKUP($D108,'Visu totale'!$D:$DH,L$1,0),1)="V",IF(K108&gt;=INDEX('[1]Définition Maintenances'!$G:$G,MATCH($A108,'[1]Définition Maintenances'!$K:$K,0)),K108,INDEX('[1]Définition Maintenances'!$G:$G,MATCH($A108,'[1]Définition Maintenances'!$K:$K,0))+K108),K108))</f>
        <v>723</v>
      </c>
      <c r="M108" s="26">
        <f>IF(ISNUMBER(VLOOKUP($D108,'Visu totale'!$D:$DH,M$1,0)),L108-VLOOKUP($D108,'Visu totale'!$D:$DH,M$1,0),IF(LEFT(VLOOKUP($D108,'Visu totale'!$D:$DH,M$1,0),1)="V",IF(L108&gt;=INDEX('[1]Définition Maintenances'!$G:$G,MATCH($A108,'[1]Définition Maintenances'!$K:$K,0)),L108,INDEX('[1]Définition Maintenances'!$G:$G,MATCH($A108,'[1]Définition Maintenances'!$K:$K,0))+L108),L108))</f>
        <v>723</v>
      </c>
      <c r="N108" s="26">
        <f>IF(ISNUMBER(VLOOKUP($D108,'Visu totale'!$D:$DH,N$1,0)),M108-VLOOKUP($D108,'Visu totale'!$D:$DH,N$1,0),IF(LEFT(VLOOKUP($D108,'Visu totale'!$D:$DH,N$1,0),1)="V",IF(M108&gt;=INDEX('[1]Définition Maintenances'!$G:$G,MATCH($A108,'[1]Définition Maintenances'!$K:$K,0)),M108,INDEX('[1]Définition Maintenances'!$G:$G,MATCH($A108,'[1]Définition Maintenances'!$K:$K,0))+M108),M108))</f>
        <v>723</v>
      </c>
      <c r="O108" s="26">
        <f>IF(ISNUMBER(VLOOKUP($D108,'Visu totale'!$D:$DH,O$1,0)),N108-VLOOKUP($D108,'Visu totale'!$D:$DH,O$1,0),IF(LEFT(VLOOKUP($D108,'Visu totale'!$D:$DH,O$1,0),1)="V",IF(N108&gt;=INDEX('[1]Définition Maintenances'!$G:$G,MATCH($A108,'[1]Définition Maintenances'!$K:$K,0)),N108,INDEX('[1]Définition Maintenances'!$G:$G,MATCH($A108,'[1]Définition Maintenances'!$K:$K,0))+N108),N108))</f>
        <v>723</v>
      </c>
      <c r="P108" s="26">
        <f>IF(ISNUMBER(VLOOKUP($D108,'Visu totale'!$D:$DH,P$1,0)),O108-VLOOKUP($D108,'Visu totale'!$D:$DH,P$1,0),IF(LEFT(VLOOKUP($D108,'Visu totale'!$D:$DH,P$1,0),1)="V",IF(O108&gt;=INDEX('[1]Définition Maintenances'!$G:$G,MATCH($A108,'[1]Définition Maintenances'!$K:$K,0)),O108,INDEX('[1]Définition Maintenances'!$G:$G,MATCH($A108,'[1]Définition Maintenances'!$K:$K,0))+O108),O108))</f>
        <v>723</v>
      </c>
      <c r="Q108" s="27">
        <f>IF(ISNUMBER(VLOOKUP($D108,'Visu totale'!$D:$DH,Q$1,0)),P108-VLOOKUP($D108,'Visu totale'!$D:$DH,Q$1,0),IF(LEFT(VLOOKUP($D108,'Visu totale'!$D:$DH,Q$1,0),1)="V",IF(P108&gt;=INDEX('[1]Définition Maintenances'!$G:$G,MATCH($A108,'[1]Définition Maintenances'!$K:$K,0)),P108,INDEX('[1]Définition Maintenances'!$G:$G,MATCH($A108,'[1]Définition Maintenances'!$K:$K,0))+P108),P108))</f>
        <v>723</v>
      </c>
      <c r="R108" s="25">
        <f>IF(ISNUMBER(VLOOKUP($D108,'Visu totale'!$D:$DH,R$1,0)),Q108-VLOOKUP($D108,'Visu totale'!$D:$DH,R$1,0),IF(LEFT(VLOOKUP($D108,'Visu totale'!$D:$DH,R$1,0),1)="V",IF(Q108&gt;=INDEX('[1]Définition Maintenances'!$G:$G,MATCH($A108,'[1]Définition Maintenances'!$K:$K,0)),Q108,INDEX('[1]Définition Maintenances'!$G:$G,MATCH($A108,'[1]Définition Maintenances'!$K:$K,0))+Q108),Q108))</f>
        <v>723</v>
      </c>
      <c r="S108" s="26">
        <f>IF(ISNUMBER(VLOOKUP($D108,'Visu totale'!$D:$DH,S$1,0)),R108-VLOOKUP($D108,'Visu totale'!$D:$DH,S$1,0),IF(LEFT(VLOOKUP($D108,'Visu totale'!$D:$DH,S$1,0),1)="V",IF(R108&gt;=INDEX('[1]Définition Maintenances'!$G:$G,MATCH($A108,'[1]Définition Maintenances'!$K:$K,0)),R108,INDEX('[1]Définition Maintenances'!$G:$G,MATCH($A108,'[1]Définition Maintenances'!$K:$K,0))+R108),R108))</f>
        <v>723</v>
      </c>
      <c r="T108" s="26">
        <f>IF(ISNUMBER(VLOOKUP($D108,'Visu totale'!$D:$DH,T$1,0)),S108-VLOOKUP($D108,'Visu totale'!$D:$DH,T$1,0),IF(LEFT(VLOOKUP($D108,'Visu totale'!$D:$DH,T$1,0),1)="V",IF(S108&gt;=INDEX('[1]Définition Maintenances'!$G:$G,MATCH($A108,'[1]Définition Maintenances'!$K:$K,0)),S108,INDEX('[1]Définition Maintenances'!$G:$G,MATCH($A108,'[1]Définition Maintenances'!$K:$K,0))+S108),S108))</f>
        <v>723</v>
      </c>
      <c r="U108" s="26">
        <f>IF(ISNUMBER(VLOOKUP($D108,'Visu totale'!$D:$DH,U$1,0)),T108-VLOOKUP($D108,'Visu totale'!$D:$DH,U$1,0),IF(LEFT(VLOOKUP($D108,'Visu totale'!$D:$DH,U$1,0),1)="V",IF(T108&gt;=INDEX('[1]Définition Maintenances'!$G:$G,MATCH($A108,'[1]Définition Maintenances'!$K:$K,0)),T108,INDEX('[1]Définition Maintenances'!$G:$G,MATCH($A108,'[1]Définition Maintenances'!$K:$K,0))+T108),T108))</f>
        <v>723</v>
      </c>
      <c r="V108" s="26">
        <f>IF(ISNUMBER(VLOOKUP($D108,'Visu totale'!$D:$DH,V$1,0)),U108-VLOOKUP($D108,'Visu totale'!$D:$DH,V$1,0),IF(LEFT(VLOOKUP($D108,'Visu totale'!$D:$DH,V$1,0),1)="V",IF(U108&gt;=INDEX('[1]Définition Maintenances'!$G:$G,MATCH($A108,'[1]Définition Maintenances'!$K:$K,0)),U108,INDEX('[1]Définition Maintenances'!$G:$G,MATCH($A108,'[1]Définition Maintenances'!$K:$K,0))+U108),U108))</f>
        <v>723</v>
      </c>
      <c r="W108" s="26">
        <f>IF(ISNUMBER(VLOOKUP($D108,'Visu totale'!$D:$DH,W$1,0)),V108-VLOOKUP($D108,'Visu totale'!$D:$DH,W$1,0),IF(LEFT(VLOOKUP($D108,'Visu totale'!$D:$DH,W$1,0),1)="V",IF(V108&gt;=INDEX('[1]Définition Maintenances'!$G:$G,MATCH($A108,'[1]Définition Maintenances'!$K:$K,0)),V108,INDEX('[1]Définition Maintenances'!$G:$G,MATCH($A108,'[1]Définition Maintenances'!$K:$K,0))+V108),V108))</f>
        <v>723</v>
      </c>
      <c r="X108" s="26">
        <f>IF(ISNUMBER(VLOOKUP($D108,'Visu totale'!$D:$DH,X$1,0)),W108-VLOOKUP($D108,'Visu totale'!$D:$DH,X$1,0),IF(LEFT(VLOOKUP($D108,'Visu totale'!$D:$DH,X$1,0),1)="V",IF(W108&gt;=INDEX('[1]Définition Maintenances'!$G:$G,MATCH($A108,'[1]Définition Maintenances'!$K:$K,0)),W108,INDEX('[1]Définition Maintenances'!$G:$G,MATCH($A108,'[1]Définition Maintenances'!$K:$K,0))+W108),W108))</f>
        <v>723</v>
      </c>
      <c r="Y108" s="26">
        <f>IF(ISNUMBER(VLOOKUP($D108,'Visu totale'!$D:$DH,Y$1,0)),X108-VLOOKUP($D108,'Visu totale'!$D:$DH,Y$1,0),IF(LEFT(VLOOKUP($D108,'Visu totale'!$D:$DH,Y$1,0),1)="V",IF(X108&gt;=INDEX('[1]Définition Maintenances'!$G:$G,MATCH($A108,'[1]Définition Maintenances'!$K:$K,0)),X108,INDEX('[1]Définition Maintenances'!$G:$G,MATCH($A108,'[1]Définition Maintenances'!$K:$K,0))+X108),X108))</f>
        <v>723</v>
      </c>
      <c r="Z108" s="26">
        <f>IF(ISNUMBER(VLOOKUP($D108,'Visu totale'!$D:$DH,Z$1,0)),Y108-VLOOKUP($D108,'Visu totale'!$D:$DH,Z$1,0),IF(LEFT(VLOOKUP($D108,'Visu totale'!$D:$DH,Z$1,0),1)="V",IF(Y108&gt;=INDEX('[1]Définition Maintenances'!$G:$G,MATCH($A108,'[1]Définition Maintenances'!$K:$K,0)),Y108,INDEX('[1]Définition Maintenances'!$G:$G,MATCH($A108,'[1]Définition Maintenances'!$K:$K,0))+Y108),Y108))</f>
        <v>723</v>
      </c>
      <c r="AA108" s="26">
        <f>IF(ISNUMBER(VLOOKUP($D108,'Visu totale'!$D:$DH,AA$1,0)),Z108-VLOOKUP($D108,'Visu totale'!$D:$DH,AA$1,0),IF(LEFT(VLOOKUP($D108,'Visu totale'!$D:$DH,AA$1,0),1)="V",IF(Z108&gt;=INDEX('[1]Définition Maintenances'!$G:$G,MATCH($A108,'[1]Définition Maintenances'!$K:$K,0)),Z108,INDEX('[1]Définition Maintenances'!$G:$G,MATCH($A108,'[1]Définition Maintenances'!$K:$K,0))+Z108),Z108))</f>
        <v>723</v>
      </c>
      <c r="AB108" s="26">
        <f>IF(ISNUMBER(VLOOKUP($D108,'Visu totale'!$D:$DH,AB$1,0)),AA108-VLOOKUP($D108,'Visu totale'!$D:$DH,AB$1,0),IF(LEFT(VLOOKUP($D108,'Visu totale'!$D:$DH,AB$1,0),1)="V",IF(AA108&gt;=INDEX('[1]Définition Maintenances'!$G:$G,MATCH($A108,'[1]Définition Maintenances'!$K:$K,0)),AA108,INDEX('[1]Définition Maintenances'!$G:$G,MATCH($A108,'[1]Définition Maintenances'!$K:$K,0))+AA108),AA108))</f>
        <v>723</v>
      </c>
      <c r="AC108" s="27">
        <f>IF(ISNUMBER(VLOOKUP($D108,'Visu totale'!$D:$DH,AC$1,0)),AB108-VLOOKUP($D108,'Visu totale'!$D:$DH,AC$1,0),IF(LEFT(VLOOKUP($D108,'Visu totale'!$D:$DH,AC$1,0),1)="V",IF(AB108&gt;=INDEX('[1]Définition Maintenances'!$G:$G,MATCH($A108,'[1]Définition Maintenances'!$K:$K,0)),AB108,INDEX('[1]Définition Maintenances'!$G:$G,MATCH($A108,'[1]Définition Maintenances'!$K:$K,0))+AB108),AB108))</f>
        <v>723</v>
      </c>
      <c r="AD108" s="25">
        <f>IF(ISNUMBER(VLOOKUP($D108,'Visu totale'!$D:$DH,AD$1,0)),AC108-VLOOKUP($D108,'Visu totale'!$D:$DH,AD$1,0),IF(LEFT(VLOOKUP($D108,'Visu totale'!$D:$DH,AD$1,0),1)="V",IF(AC108&gt;=INDEX('[1]Définition Maintenances'!$G:$G,MATCH($A108,'[1]Définition Maintenances'!$K:$K,0)),AC108,INDEX('[1]Définition Maintenances'!$G:$G,MATCH($A108,'[1]Définition Maintenances'!$K:$K,0))+AC108),AC108))</f>
        <v>723</v>
      </c>
      <c r="AE108" s="26">
        <f>IF(ISNUMBER(VLOOKUP($D108,'Visu totale'!$D:$DH,AE$1,0)),AD108-VLOOKUP($D108,'Visu totale'!$D:$DH,AE$1,0),IF(LEFT(VLOOKUP($D108,'Visu totale'!$D:$DH,AE$1,0),1)="V",IF(AD108&gt;=INDEX('[1]Définition Maintenances'!$G:$G,MATCH($A108,'[1]Définition Maintenances'!$K:$K,0)),AD108,INDEX('[1]Définition Maintenances'!$G:$G,MATCH($A108,'[1]Définition Maintenances'!$K:$K,0))+AD108),AD108))</f>
        <v>723</v>
      </c>
      <c r="AF108" s="26">
        <f>IF(ISNUMBER(VLOOKUP($D108,'Visu totale'!$D:$DH,AF$1,0)),AE108-VLOOKUP($D108,'Visu totale'!$D:$DH,AF$1,0),IF(LEFT(VLOOKUP($D108,'Visu totale'!$D:$DH,AF$1,0),1)="V",IF(AE108&gt;=INDEX('[1]Définition Maintenances'!$G:$G,MATCH($A108,'[1]Définition Maintenances'!$K:$K,0)),AE108,INDEX('[1]Définition Maintenances'!$G:$G,MATCH($A108,'[1]Définition Maintenances'!$K:$K,0))+AE108),AE108))</f>
        <v>723</v>
      </c>
      <c r="AG108" s="26">
        <f>IF(ISNUMBER(VLOOKUP($D108,'Visu totale'!$D:$DH,AG$1,0)),AF108-VLOOKUP($D108,'Visu totale'!$D:$DH,AG$1,0),IF(LEFT(VLOOKUP($D108,'Visu totale'!$D:$DH,AG$1,0),1)="V",IF(AF108&gt;=INDEX('[1]Définition Maintenances'!$G:$G,MATCH($A108,'[1]Définition Maintenances'!$K:$K,0)),AF108,INDEX('[1]Définition Maintenances'!$G:$G,MATCH($A108,'[1]Définition Maintenances'!$K:$K,0))+AF108),AF108))</f>
        <v>723</v>
      </c>
      <c r="AH108" s="26">
        <f>IF(ISNUMBER(VLOOKUP($D108,'Visu totale'!$D:$DH,AH$1,0)),AG108-VLOOKUP($D108,'Visu totale'!$D:$DH,AH$1,0),IF(LEFT(VLOOKUP($D108,'Visu totale'!$D:$DH,AH$1,0),1)="V",IF(AG108&gt;=INDEX('[1]Définition Maintenances'!$G:$G,MATCH($A108,'[1]Définition Maintenances'!$K:$K,0)),AG108,INDEX('[1]Définition Maintenances'!$G:$G,MATCH($A108,'[1]Définition Maintenances'!$K:$K,0))+AG108),AG108))</f>
        <v>723</v>
      </c>
      <c r="AI108" s="26">
        <f>IF(ISNUMBER(VLOOKUP($D108,'Visu totale'!$D:$DH,AI$1,0)),AH108-VLOOKUP($D108,'Visu totale'!$D:$DH,AI$1,0),IF(LEFT(VLOOKUP($D108,'Visu totale'!$D:$DH,AI$1,0),1)="V",IF(AH108&gt;=INDEX('[1]Définition Maintenances'!$G:$G,MATCH($A108,'[1]Définition Maintenances'!$K:$K,0)),AH108,INDEX('[1]Définition Maintenances'!$G:$G,MATCH($A108,'[1]Définition Maintenances'!$K:$K,0))+AH108),AH108))</f>
        <v>723</v>
      </c>
      <c r="AJ108" s="26">
        <f>IF(ISNUMBER(VLOOKUP($D108,'Visu totale'!$D:$DH,AJ$1,0)),AI108-VLOOKUP($D108,'Visu totale'!$D:$DH,AJ$1,0),IF(LEFT(VLOOKUP($D108,'Visu totale'!$D:$DH,AJ$1,0),1)="V",IF(AI108&gt;=INDEX('[1]Définition Maintenances'!$G:$G,MATCH($A108,'[1]Définition Maintenances'!$K:$K,0)),AI108,INDEX('[1]Définition Maintenances'!$G:$G,MATCH($A108,'[1]Définition Maintenances'!$K:$K,0))+AI108),AI108))</f>
        <v>723</v>
      </c>
      <c r="AK108" s="26">
        <f>IF(ISNUMBER(VLOOKUP($D108,'Visu totale'!$D:$DH,AK$1,0)),AJ108-VLOOKUP($D108,'Visu totale'!$D:$DH,AK$1,0),IF(LEFT(VLOOKUP($D108,'Visu totale'!$D:$DH,AK$1,0),1)="V",IF(AJ108&gt;=INDEX('[1]Définition Maintenances'!$G:$G,MATCH($A108,'[1]Définition Maintenances'!$K:$K,0)),AJ108,INDEX('[1]Définition Maintenances'!$G:$G,MATCH($A108,'[1]Définition Maintenances'!$K:$K,0))+AJ108),AJ108))</f>
        <v>723</v>
      </c>
      <c r="AL108" s="26">
        <f>IF(ISNUMBER(VLOOKUP($D108,'Visu totale'!$D:$DH,AL$1,0)),AK108-VLOOKUP($D108,'Visu totale'!$D:$DH,AL$1,0),IF(LEFT(VLOOKUP($D108,'Visu totale'!$D:$DH,AL$1,0),1)="V",IF(AK108&gt;=INDEX('[1]Définition Maintenances'!$G:$G,MATCH($A108,'[1]Définition Maintenances'!$K:$K,0)),AK108,INDEX('[1]Définition Maintenances'!$G:$G,MATCH($A108,'[1]Définition Maintenances'!$K:$K,0))+AK108),AK108))</f>
        <v>723</v>
      </c>
      <c r="AM108" s="26">
        <f>IF(ISNUMBER(VLOOKUP($D108,'Visu totale'!$D:$DH,AM$1,0)),AL108-VLOOKUP($D108,'Visu totale'!$D:$DH,AM$1,0),IF(LEFT(VLOOKUP($D108,'Visu totale'!$D:$DH,AM$1,0),1)="V",IF(AL108&gt;=INDEX('[1]Définition Maintenances'!$G:$G,MATCH($A108,'[1]Définition Maintenances'!$K:$K,0)),AL108,INDEX('[1]Définition Maintenances'!$G:$G,MATCH($A108,'[1]Définition Maintenances'!$K:$K,0))+AL108),AL108))</f>
        <v>723</v>
      </c>
      <c r="AN108" s="26">
        <f>IF(ISNUMBER(VLOOKUP($D108,'Visu totale'!$D:$DH,AN$1,0)),AM108-VLOOKUP($D108,'Visu totale'!$D:$DH,AN$1,0),IF(LEFT(VLOOKUP($D108,'Visu totale'!$D:$DH,AN$1,0),1)="V",IF(AM108&gt;=INDEX('[1]Définition Maintenances'!$G:$G,MATCH($A108,'[1]Définition Maintenances'!$K:$K,0)),AM108,INDEX('[1]Définition Maintenances'!$G:$G,MATCH($A108,'[1]Définition Maintenances'!$K:$K,0))+AM108),AM108))</f>
        <v>723</v>
      </c>
      <c r="AO108" s="27">
        <f>IF(ISNUMBER(VLOOKUP($D108,'Visu totale'!$D:$DH,AO$1,0)),AN108-VLOOKUP($D108,'Visu totale'!$D:$DH,AO$1,0),IF(LEFT(VLOOKUP($D108,'Visu totale'!$D:$DH,AO$1,0),1)="V",IF(AN108&gt;=INDEX('[1]Définition Maintenances'!$G:$G,MATCH($A108,'[1]Définition Maintenances'!$K:$K,0)),AN108,INDEX('[1]Définition Maintenances'!$G:$G,MATCH($A108,'[1]Définition Maintenances'!$K:$K,0))+AN108),AN108))</f>
        <v>723</v>
      </c>
      <c r="AP108" s="25">
        <f>IF(ISNUMBER(VLOOKUP($D108,'Visu totale'!$D:$DH,AP$1,0)),AO108-VLOOKUP($D108,'Visu totale'!$D:$DH,AP$1,0),IF(LEFT(VLOOKUP($D108,'Visu totale'!$D:$DH,AP$1,0),1)="V",IF(AO108&gt;=INDEX('[1]Définition Maintenances'!$G:$G,MATCH($A108,'[1]Définition Maintenances'!$K:$K,0)),AO108,INDEX('[1]Définition Maintenances'!$G:$G,MATCH($A108,'[1]Définition Maintenances'!$K:$K,0))+AO108),AO108))</f>
        <v>723</v>
      </c>
      <c r="AQ108" s="26">
        <f>IF(ISNUMBER(VLOOKUP($D108,'Visu totale'!$D:$DH,AQ$1,0)),AP108-VLOOKUP($D108,'Visu totale'!$D:$DH,AQ$1,0),IF(LEFT(VLOOKUP($D108,'Visu totale'!$D:$DH,AQ$1,0),1)="V",IF(AP108&gt;=INDEX('[1]Définition Maintenances'!$G:$G,MATCH($A108,'[1]Définition Maintenances'!$K:$K,0)),AP108,INDEX('[1]Définition Maintenances'!$G:$G,MATCH($A108,'[1]Définition Maintenances'!$K:$K,0))+AP108),AP108))</f>
        <v>723</v>
      </c>
      <c r="AR108" s="26">
        <f>IF(ISNUMBER(VLOOKUP($D108,'Visu totale'!$D:$DH,AR$1,0)),AQ108-VLOOKUP($D108,'Visu totale'!$D:$DH,AR$1,0),IF(LEFT(VLOOKUP($D108,'Visu totale'!$D:$DH,AR$1,0),1)="V",IF(AQ108&gt;=INDEX('[1]Définition Maintenances'!$G:$G,MATCH($A108,'[1]Définition Maintenances'!$K:$K,0)),AQ108,INDEX('[1]Définition Maintenances'!$G:$G,MATCH($A108,'[1]Définition Maintenances'!$K:$K,0))+AQ108),AQ108))</f>
        <v>723</v>
      </c>
      <c r="AS108" s="26">
        <f>IF(ISNUMBER(VLOOKUP($D108,'Visu totale'!$D:$DH,AS$1,0)),AR108-VLOOKUP($D108,'Visu totale'!$D:$DH,AS$1,0),IF(LEFT(VLOOKUP($D108,'Visu totale'!$D:$DH,AS$1,0),1)="V",IF(AR108&gt;=INDEX('[1]Définition Maintenances'!$G:$G,MATCH($A108,'[1]Définition Maintenances'!$K:$K,0)),AR108,INDEX('[1]Définition Maintenances'!$G:$G,MATCH($A108,'[1]Définition Maintenances'!$K:$K,0))+AR108),AR108))</f>
        <v>723</v>
      </c>
      <c r="AT108" s="26">
        <f>IF(ISNUMBER(VLOOKUP($D108,'Visu totale'!$D:$DH,AT$1,0)),AS108-VLOOKUP($D108,'Visu totale'!$D:$DH,AT$1,0),IF(LEFT(VLOOKUP($D108,'Visu totale'!$D:$DH,AT$1,0),1)="V",IF(AS108&gt;=INDEX('[1]Définition Maintenances'!$G:$G,MATCH($A108,'[1]Définition Maintenances'!$K:$K,0)),AS108,INDEX('[1]Définition Maintenances'!$G:$G,MATCH($A108,'[1]Définition Maintenances'!$K:$K,0))+AS108),AS108))</f>
        <v>723</v>
      </c>
      <c r="AU108" s="26">
        <f>IF(ISNUMBER(VLOOKUP($D108,'Visu totale'!$D:$DH,AU$1,0)),AT108-VLOOKUP($D108,'Visu totale'!$D:$DH,AU$1,0),IF(LEFT(VLOOKUP($D108,'Visu totale'!$D:$DH,AU$1,0),1)="V",IF(AT108&gt;=INDEX('[1]Définition Maintenances'!$G:$G,MATCH($A108,'[1]Définition Maintenances'!$K:$K,0)),AT108,INDEX('[1]Définition Maintenances'!$G:$G,MATCH($A108,'[1]Définition Maintenances'!$K:$K,0))+AT108),AT108))</f>
        <v>723</v>
      </c>
      <c r="AV108" s="26">
        <f>IF(ISNUMBER(VLOOKUP($D108,'Visu totale'!$D:$DH,AV$1,0)),AU108-VLOOKUP($D108,'Visu totale'!$D:$DH,AV$1,0),IF(LEFT(VLOOKUP($D108,'Visu totale'!$D:$DH,AV$1,0),1)="V",IF(AU108&gt;=INDEX('[1]Définition Maintenances'!$G:$G,MATCH($A108,'[1]Définition Maintenances'!$K:$K,0)),AU108,INDEX('[1]Définition Maintenances'!$G:$G,MATCH($A108,'[1]Définition Maintenances'!$K:$K,0))+AU108),AU108))</f>
        <v>723</v>
      </c>
      <c r="AW108" s="26">
        <f>IF(ISNUMBER(VLOOKUP($D108,'Visu totale'!$D:$DH,AW$1,0)),AV108-VLOOKUP($D108,'Visu totale'!$D:$DH,AW$1,0),IF(LEFT(VLOOKUP($D108,'Visu totale'!$D:$DH,AW$1,0),1)="V",IF(AV108&gt;=INDEX('[1]Définition Maintenances'!$G:$G,MATCH($A108,'[1]Définition Maintenances'!$K:$K,0)),AV108,INDEX('[1]Définition Maintenances'!$G:$G,MATCH($A108,'[1]Définition Maintenances'!$K:$K,0))+AV108),AV108))</f>
        <v>723</v>
      </c>
      <c r="AX108" s="26">
        <f>IF(ISNUMBER(VLOOKUP($D108,'Visu totale'!$D:$DH,AX$1,0)),AW108-VLOOKUP($D108,'Visu totale'!$D:$DH,AX$1,0),IF(LEFT(VLOOKUP($D108,'Visu totale'!$D:$DH,AX$1,0),1)="V",IF(AW108&gt;=INDEX('[1]Définition Maintenances'!$G:$G,MATCH($A108,'[1]Définition Maintenances'!$K:$K,0)),AW108,INDEX('[1]Définition Maintenances'!$G:$G,MATCH($A108,'[1]Définition Maintenances'!$K:$K,0))+AW108),AW108))</f>
        <v>723</v>
      </c>
      <c r="AY108" s="26">
        <f>IF(ISNUMBER(VLOOKUP($D108,'Visu totale'!$D:$DH,AY$1,0)),AX108-VLOOKUP($D108,'Visu totale'!$D:$DH,AY$1,0),IF(LEFT(VLOOKUP($D108,'Visu totale'!$D:$DH,AY$1,0),1)="V",IF(AX108&gt;=INDEX('[1]Définition Maintenances'!$G:$G,MATCH($A108,'[1]Définition Maintenances'!$K:$K,0)),AX108,INDEX('[1]Définition Maintenances'!$G:$G,MATCH($A108,'[1]Définition Maintenances'!$K:$K,0))+AX108),AX108))</f>
        <v>723</v>
      </c>
      <c r="AZ108" s="26">
        <f>IF(ISNUMBER(VLOOKUP($D108,'Visu totale'!$D:$DH,AZ$1,0)),AY108-VLOOKUP($D108,'Visu totale'!$D:$DH,AZ$1,0),IF(LEFT(VLOOKUP($D108,'Visu totale'!$D:$DH,AZ$1,0),1)="V",IF(AY108&gt;=INDEX('[1]Définition Maintenances'!$G:$G,MATCH($A108,'[1]Définition Maintenances'!$K:$K,0)),AY108,INDEX('[1]Définition Maintenances'!$G:$G,MATCH($A108,'[1]Définition Maintenances'!$K:$K,0))+AY108),AY108))</f>
        <v>723</v>
      </c>
      <c r="BA108" s="27">
        <f>IF(ISNUMBER(VLOOKUP($D108,'Visu totale'!$D:$DH,BA$1,0)),AZ108-VLOOKUP($D108,'Visu totale'!$D:$DH,BA$1,0),IF(LEFT(VLOOKUP($D108,'Visu totale'!$D:$DH,BA$1,0),1)="V",IF(AZ108&gt;=INDEX('[1]Définition Maintenances'!$G:$G,MATCH($A108,'[1]Définition Maintenances'!$K:$K,0)),AZ108,INDEX('[1]Définition Maintenances'!$G:$G,MATCH($A108,'[1]Définition Maintenances'!$K:$K,0))+AZ108),AZ108))</f>
        <v>723</v>
      </c>
      <c r="BB108" s="25">
        <f>IF(ISNUMBER(VLOOKUP($D108,'Visu totale'!$D:$DH,BB$1,0)),BA108-VLOOKUP($D108,'Visu totale'!$D:$DH,BB$1,0),IF(LEFT(VLOOKUP($D108,'Visu totale'!$D:$DH,BB$1,0),1)="V",IF(BA108&gt;=INDEX('[1]Définition Maintenances'!$G:$G,MATCH($A108,'[1]Définition Maintenances'!$K:$K,0)),BA108,INDEX('[1]Définition Maintenances'!$G:$G,MATCH($A108,'[1]Définition Maintenances'!$K:$K,0))+BA108),BA108))</f>
        <v>723</v>
      </c>
      <c r="BC108" s="26">
        <f>IF(ISNUMBER(VLOOKUP($D108,'Visu totale'!$D:$DH,BC$1,0)),BB108-VLOOKUP($D108,'Visu totale'!$D:$DH,BC$1,0),IF(LEFT(VLOOKUP($D108,'Visu totale'!$D:$DH,BC$1,0),1)="V",IF(BB108&gt;=INDEX('[1]Définition Maintenances'!$G:$G,MATCH($A108,'[1]Définition Maintenances'!$K:$K,0)),BB108,INDEX('[1]Définition Maintenances'!$G:$G,MATCH($A108,'[1]Définition Maintenances'!$K:$K,0))+BB108),BB108))</f>
        <v>723</v>
      </c>
      <c r="BD108" s="26">
        <f>IF(ISNUMBER(VLOOKUP($D108,'Visu totale'!$D:$DH,BD$1,0)),BC108-VLOOKUP($D108,'Visu totale'!$D:$DH,BD$1,0),IF(LEFT(VLOOKUP($D108,'Visu totale'!$D:$DH,BD$1,0),1)="V",IF(BC108&gt;=INDEX('[1]Définition Maintenances'!$G:$G,MATCH($A108,'[1]Définition Maintenances'!$K:$K,0)),BC108,INDEX('[1]Définition Maintenances'!$G:$G,MATCH($A108,'[1]Définition Maintenances'!$K:$K,0))+BC108),BC108))</f>
        <v>723</v>
      </c>
      <c r="BE108" s="26">
        <f>IF(ISNUMBER(VLOOKUP($D108,'Visu totale'!$D:$DH,BE$1,0)),BD108-VLOOKUP($D108,'Visu totale'!$D:$DH,BE$1,0),IF(LEFT(VLOOKUP($D108,'Visu totale'!$D:$DH,BE$1,0),1)="V",IF(BD108&gt;=INDEX('[1]Définition Maintenances'!$G:$G,MATCH($A108,'[1]Définition Maintenances'!$K:$K,0)),BD108,INDEX('[1]Définition Maintenances'!$G:$G,MATCH($A108,'[1]Définition Maintenances'!$K:$K,0))+BD108),BD108))</f>
        <v>723</v>
      </c>
      <c r="BF108" s="26">
        <f>IF(ISNUMBER(VLOOKUP($D108,'Visu totale'!$D:$DH,BF$1,0)),BE108-VLOOKUP($D108,'Visu totale'!$D:$DH,BF$1,0),IF(LEFT(VLOOKUP($D108,'Visu totale'!$D:$DH,BF$1,0),1)="V",IF(BE108&gt;=INDEX('[1]Définition Maintenances'!$G:$G,MATCH($A108,'[1]Définition Maintenances'!$K:$K,0)),BE108,INDEX('[1]Définition Maintenances'!$G:$G,MATCH($A108,'[1]Définition Maintenances'!$K:$K,0))+BE108),BE108))</f>
        <v>723</v>
      </c>
      <c r="BG108" s="26">
        <f>IF(ISNUMBER(VLOOKUP($D108,'Visu totale'!$D:$DH,BG$1,0)),BF108-VLOOKUP($D108,'Visu totale'!$D:$DH,BG$1,0),IF(LEFT(VLOOKUP($D108,'Visu totale'!$D:$DH,BG$1,0),1)="V",IF(BF108&gt;=INDEX('[1]Définition Maintenances'!$G:$G,MATCH($A108,'[1]Définition Maintenances'!$K:$K,0)),BF108,INDEX('[1]Définition Maintenances'!$G:$G,MATCH($A108,'[1]Définition Maintenances'!$K:$K,0))+BF108),BF108))</f>
        <v>723</v>
      </c>
      <c r="BH108" s="26">
        <f>IF(ISNUMBER(VLOOKUP($D108,'Visu totale'!$D:$DH,BH$1,0)),BG108-VLOOKUP($D108,'Visu totale'!$D:$DH,BH$1,0),IF(LEFT(VLOOKUP($D108,'Visu totale'!$D:$DH,BH$1,0),1)="V",IF(BG108&gt;=INDEX('[1]Définition Maintenances'!$G:$G,MATCH($A108,'[1]Définition Maintenances'!$K:$K,0)),BG108,INDEX('[1]Définition Maintenances'!$G:$G,MATCH($A108,'[1]Définition Maintenances'!$K:$K,0))+BG108),BG108))</f>
        <v>723</v>
      </c>
      <c r="BI108" s="26">
        <f>IF(ISNUMBER(VLOOKUP($D108,'Visu totale'!$D:$DH,BI$1,0)),BH108-VLOOKUP($D108,'Visu totale'!$D:$DH,BI$1,0),IF(LEFT(VLOOKUP($D108,'Visu totale'!$D:$DH,BI$1,0),1)="V",IF(BH108&gt;=INDEX('[1]Définition Maintenances'!$G:$G,MATCH($A108,'[1]Définition Maintenances'!$K:$K,0)),BH108,INDEX('[1]Définition Maintenances'!$G:$G,MATCH($A108,'[1]Définition Maintenances'!$K:$K,0))+BH108),BH108))</f>
        <v>723</v>
      </c>
      <c r="BJ108" s="26">
        <f>IF(ISNUMBER(VLOOKUP($D108,'Visu totale'!$D:$DH,BJ$1,0)),BI108-VLOOKUP($D108,'Visu totale'!$D:$DH,BJ$1,0),IF(LEFT(VLOOKUP($D108,'Visu totale'!$D:$DH,BJ$1,0),1)="V",IF(BI108&gt;=INDEX('[1]Définition Maintenances'!$G:$G,MATCH($A108,'[1]Définition Maintenances'!$K:$K,0)),BI108,INDEX('[1]Définition Maintenances'!$G:$G,MATCH($A108,'[1]Définition Maintenances'!$K:$K,0))+BI108),BI108))</f>
        <v>723</v>
      </c>
      <c r="BK108" s="26">
        <f>IF(ISNUMBER(VLOOKUP($D108,'Visu totale'!$D:$DH,BK$1,0)),BJ108-VLOOKUP($D108,'Visu totale'!$D:$DH,BK$1,0),IF(LEFT(VLOOKUP($D108,'Visu totale'!$D:$DH,BK$1,0),1)="V",IF(BJ108&gt;=INDEX('[1]Définition Maintenances'!$G:$G,MATCH($A108,'[1]Définition Maintenances'!$K:$K,0)),BJ108,INDEX('[1]Définition Maintenances'!$G:$G,MATCH($A108,'[1]Définition Maintenances'!$K:$K,0))+BJ108),BJ108))</f>
        <v>723</v>
      </c>
      <c r="BL108" s="26">
        <f>IF(ISNUMBER(VLOOKUP($D108,'Visu totale'!$D:$DH,BL$1,0)),BK108-VLOOKUP($D108,'Visu totale'!$D:$DH,BL$1,0),IF(LEFT(VLOOKUP($D108,'Visu totale'!$D:$DH,BL$1,0),1)="V",IF(BK108&gt;=INDEX('[1]Définition Maintenances'!$G:$G,MATCH($A108,'[1]Définition Maintenances'!$K:$K,0)),BK108,INDEX('[1]Définition Maintenances'!$G:$G,MATCH($A108,'[1]Définition Maintenances'!$K:$K,0))+BK108),BK108))</f>
        <v>723</v>
      </c>
      <c r="BM108" s="27">
        <f>IF(ISNUMBER(VLOOKUP($D108,'Visu totale'!$D:$DH,BM$1,0)),BL108-VLOOKUP($D108,'Visu totale'!$D:$DH,BM$1,0),IF(LEFT(VLOOKUP($D108,'Visu totale'!$D:$DH,BM$1,0),1)="V",IF(BL108&gt;=INDEX('[1]Définition Maintenances'!$G:$G,MATCH($A108,'[1]Définition Maintenances'!$K:$K,0)),BL108,INDEX('[1]Définition Maintenances'!$G:$G,MATCH($A108,'[1]Définition Maintenances'!$K:$K,0))+BL108),BL108))</f>
        <v>723</v>
      </c>
      <c r="BN108" s="25">
        <f>IF(ISNUMBER(VLOOKUP($D108,'Visu totale'!$D:$DH,BN$1,0)),BM108-VLOOKUP($D108,'Visu totale'!$D:$DH,BN$1,0),IF(LEFT(VLOOKUP($D108,'Visu totale'!$D:$DH,BN$1,0),1)="V",IF(BM108&gt;=INDEX('[1]Définition Maintenances'!$G:$G,MATCH($A108,'[1]Définition Maintenances'!$K:$K,0)),BM108,INDEX('[1]Définition Maintenances'!$G:$G,MATCH($A108,'[1]Définition Maintenances'!$K:$K,0))+BM108),BM108))</f>
        <v>723</v>
      </c>
      <c r="BO108" s="26">
        <f>IF(ISNUMBER(VLOOKUP($D108,'Visu totale'!$D:$DH,BO$1,0)),BN108-VLOOKUP($D108,'Visu totale'!$D:$DH,BO$1,0),IF(LEFT(VLOOKUP($D108,'Visu totale'!$D:$DH,BO$1,0),1)="V",IF(BN108&gt;=INDEX('[1]Définition Maintenances'!$G:$G,MATCH($A108,'[1]Définition Maintenances'!$K:$K,0)),BN108,INDEX('[1]Définition Maintenances'!$G:$G,MATCH($A108,'[1]Définition Maintenances'!$K:$K,0))+BN108),BN108))</f>
        <v>723</v>
      </c>
      <c r="BP108" s="26">
        <f>IF(ISNUMBER(VLOOKUP($D108,'Visu totale'!$D:$DH,BP$1,0)),BO108-VLOOKUP($D108,'Visu totale'!$D:$DH,BP$1,0),IF(LEFT(VLOOKUP($D108,'Visu totale'!$D:$DH,BP$1,0),1)="V",IF(BO108&gt;=INDEX('[1]Définition Maintenances'!$G:$G,MATCH($A108,'[1]Définition Maintenances'!$K:$K,0)),BO108,INDEX('[1]Définition Maintenances'!$G:$G,MATCH($A108,'[1]Définition Maintenances'!$K:$K,0))+BO108),BO108))</f>
        <v>723</v>
      </c>
      <c r="BQ108" s="26">
        <f>IF(ISNUMBER(VLOOKUP($D108,'Visu totale'!$D:$DH,BQ$1,0)),BP108-VLOOKUP($D108,'Visu totale'!$D:$DH,BQ$1,0),IF(LEFT(VLOOKUP($D108,'Visu totale'!$D:$DH,BQ$1,0),1)="V",IF(BP108&gt;=INDEX('[1]Définition Maintenances'!$G:$G,MATCH($A108,'[1]Définition Maintenances'!$K:$K,0)),BP108,INDEX('[1]Définition Maintenances'!$G:$G,MATCH($A108,'[1]Définition Maintenances'!$K:$K,0))+BP108),BP108))</f>
        <v>723</v>
      </c>
      <c r="BR108" s="26">
        <f>IF(ISNUMBER(VLOOKUP($D108,'Visu totale'!$D:$DH,BR$1,0)),BQ108-VLOOKUP($D108,'Visu totale'!$D:$DH,BR$1,0),IF(LEFT(VLOOKUP($D108,'Visu totale'!$D:$DH,BR$1,0),1)="V",IF(BQ108&gt;=INDEX('[1]Définition Maintenances'!$G:$G,MATCH($A108,'[1]Définition Maintenances'!$K:$K,0)),BQ108,INDEX('[1]Définition Maintenances'!$G:$G,MATCH($A108,'[1]Définition Maintenances'!$K:$K,0))+BQ108),BQ108))</f>
        <v>723</v>
      </c>
      <c r="BS108" s="26">
        <f>IF(ISNUMBER(VLOOKUP($D108,'Visu totale'!$D:$DH,BS$1,0)),BR108-VLOOKUP($D108,'Visu totale'!$D:$DH,BS$1,0),IF(LEFT(VLOOKUP($D108,'Visu totale'!$D:$DH,BS$1,0),1)="V",IF(BR108&gt;=INDEX('[1]Définition Maintenances'!$G:$G,MATCH($A108,'[1]Définition Maintenances'!$K:$K,0)),BR108,INDEX('[1]Définition Maintenances'!$G:$G,MATCH($A108,'[1]Définition Maintenances'!$K:$K,0))+BR108),BR108))</f>
        <v>723</v>
      </c>
      <c r="BT108" s="26">
        <f>IF(ISNUMBER(VLOOKUP($D108,'Visu totale'!$D:$DH,BT$1,0)),BS108-VLOOKUP($D108,'Visu totale'!$D:$DH,BT$1,0),IF(LEFT(VLOOKUP($D108,'Visu totale'!$D:$DH,BT$1,0),1)="V",IF(BS108&gt;=INDEX('[1]Définition Maintenances'!$G:$G,MATCH($A108,'[1]Définition Maintenances'!$K:$K,0)),BS108,INDEX('[1]Définition Maintenances'!$G:$G,MATCH($A108,'[1]Définition Maintenances'!$K:$K,0))+BS108),BS108))</f>
        <v>723</v>
      </c>
      <c r="BU108" s="26">
        <f>IF(ISNUMBER(VLOOKUP($D108,'Visu totale'!$D:$DH,BU$1,0)),BT108-VLOOKUP($D108,'Visu totale'!$D:$DH,BU$1,0),IF(LEFT(VLOOKUP($D108,'Visu totale'!$D:$DH,BU$1,0),1)="V",IF(BT108&gt;=INDEX('[1]Définition Maintenances'!$G:$G,MATCH($A108,'[1]Définition Maintenances'!$K:$K,0)),BT108,INDEX('[1]Définition Maintenances'!$G:$G,MATCH($A108,'[1]Définition Maintenances'!$K:$K,0))+BT108),BT108))</f>
        <v>723</v>
      </c>
      <c r="BV108" s="26">
        <f>IF(ISNUMBER(VLOOKUP($D108,'Visu totale'!$D:$DH,BV$1,0)),BU108-VLOOKUP($D108,'Visu totale'!$D:$DH,BV$1,0),IF(LEFT(VLOOKUP($D108,'Visu totale'!$D:$DH,BV$1,0),1)="V",IF(BU108&gt;=INDEX('[1]Définition Maintenances'!$G:$G,MATCH($A108,'[1]Définition Maintenances'!$K:$K,0)),BU108,INDEX('[1]Définition Maintenances'!$G:$G,MATCH($A108,'[1]Définition Maintenances'!$K:$K,0))+BU108),BU108))</f>
        <v>723</v>
      </c>
      <c r="BW108" s="26">
        <f>IF(ISNUMBER(VLOOKUP($D108,'Visu totale'!$D:$DH,BW$1,0)),BV108-VLOOKUP($D108,'Visu totale'!$D:$DH,BW$1,0),IF(LEFT(VLOOKUP($D108,'Visu totale'!$D:$DH,BW$1,0),1)="V",IF(BV108&gt;=INDEX('[1]Définition Maintenances'!$G:$G,MATCH($A108,'[1]Définition Maintenances'!$K:$K,0)),BV108,INDEX('[1]Définition Maintenances'!$G:$G,MATCH($A108,'[1]Définition Maintenances'!$K:$K,0))+BV108),BV108))</f>
        <v>723</v>
      </c>
      <c r="BX108" s="26">
        <f>IF(ISNUMBER(VLOOKUP($D108,'Visu totale'!$D:$DH,BX$1,0)),BW108-VLOOKUP($D108,'Visu totale'!$D:$DH,BX$1,0),IF(LEFT(VLOOKUP($D108,'Visu totale'!$D:$DH,BX$1,0),1)="V",IF(BW108&gt;=INDEX('[1]Définition Maintenances'!$G:$G,MATCH($A108,'[1]Définition Maintenances'!$K:$K,0)),BW108,INDEX('[1]Définition Maintenances'!$G:$G,MATCH($A108,'[1]Définition Maintenances'!$K:$K,0))+BW108),BW108))</f>
        <v>723</v>
      </c>
      <c r="BY108" s="27">
        <f>IF(ISNUMBER(VLOOKUP($D108,'Visu totale'!$D:$DH,BY$1,0)),BX108-VLOOKUP($D108,'Visu totale'!$D:$DH,BY$1,0),IF(LEFT(VLOOKUP($D108,'Visu totale'!$D:$DH,BY$1,0),1)="V",IF(BX108&gt;=INDEX('[1]Définition Maintenances'!$G:$G,MATCH($A108,'[1]Définition Maintenances'!$K:$K,0)),BX108,INDEX('[1]Définition Maintenances'!$G:$G,MATCH($A108,'[1]Définition Maintenances'!$K:$K,0))+BX108),BX108))</f>
        <v>723</v>
      </c>
      <c r="BZ108" s="25">
        <f>IF(ISNUMBER(VLOOKUP($D108,'Visu totale'!$D:$DH,BZ$1,0)),BY108-VLOOKUP($D108,'Visu totale'!$D:$DH,BZ$1,0),IF(LEFT(VLOOKUP($D108,'Visu totale'!$D:$DH,BZ$1,0),1)="V",IF(BY108&gt;=INDEX('[1]Définition Maintenances'!$G:$G,MATCH($A108,'[1]Définition Maintenances'!$K:$K,0)),BY108,INDEX('[1]Définition Maintenances'!$G:$G,MATCH($A108,'[1]Définition Maintenances'!$K:$K,0))+BY108),BY108))</f>
        <v>723</v>
      </c>
      <c r="CA108" s="26">
        <f>IF(ISNUMBER(VLOOKUP($D108,'Visu totale'!$D:$DH,CA$1,0)),BZ108-VLOOKUP($D108,'Visu totale'!$D:$DH,CA$1,0),IF(LEFT(VLOOKUP($D108,'Visu totale'!$D:$DH,CA$1,0),1)="V",IF(BZ108&gt;=INDEX('[1]Définition Maintenances'!$G:$G,MATCH($A108,'[1]Définition Maintenances'!$K:$K,0)),BZ108,INDEX('[1]Définition Maintenances'!$G:$G,MATCH($A108,'[1]Définition Maintenances'!$K:$K,0))+BZ108),BZ108))</f>
        <v>723</v>
      </c>
      <c r="CB108" s="26">
        <f>IF(ISNUMBER(VLOOKUP($D108,'Visu totale'!$D:$DH,CB$1,0)),CA108-VLOOKUP($D108,'Visu totale'!$D:$DH,CB$1,0),IF(LEFT(VLOOKUP($D108,'Visu totale'!$D:$DH,CB$1,0),1)="V",IF(CA108&gt;=INDEX('[1]Définition Maintenances'!$G:$G,MATCH($A108,'[1]Définition Maintenances'!$K:$K,0)),CA108,INDEX('[1]Définition Maintenances'!$G:$G,MATCH($A108,'[1]Définition Maintenances'!$K:$K,0))+CA108),CA108))</f>
        <v>723</v>
      </c>
      <c r="CC108" s="26">
        <f>IF(ISNUMBER(VLOOKUP($D108,'Visu totale'!$D:$DH,CC$1,0)),CB108-VLOOKUP($D108,'Visu totale'!$D:$DH,CC$1,0),IF(LEFT(VLOOKUP($D108,'Visu totale'!$D:$DH,CC$1,0),1)="V",IF(CB108&gt;=INDEX('[1]Définition Maintenances'!$G:$G,MATCH($A108,'[1]Définition Maintenances'!$K:$K,0)),CB108,INDEX('[1]Définition Maintenances'!$G:$G,MATCH($A108,'[1]Définition Maintenances'!$K:$K,0))+CB108),CB108))</f>
        <v>723</v>
      </c>
      <c r="CD108" s="26">
        <f>IF(ISNUMBER(VLOOKUP($D108,'Visu totale'!$D:$DH,CD$1,0)),CC108-VLOOKUP($D108,'Visu totale'!$D:$DH,CD$1,0),IF(LEFT(VLOOKUP($D108,'Visu totale'!$D:$DH,CD$1,0),1)="V",IF(CC108&gt;=INDEX('[1]Définition Maintenances'!$G:$G,MATCH($A108,'[1]Définition Maintenances'!$K:$K,0)),CC108,INDEX('[1]Définition Maintenances'!$G:$G,MATCH($A108,'[1]Définition Maintenances'!$K:$K,0))+CC108),CC108))</f>
        <v>723</v>
      </c>
      <c r="CE108" s="26">
        <f>IF(ISNUMBER(VLOOKUP($D108,'Visu totale'!$D:$DH,CE$1,0)),CD108-VLOOKUP($D108,'Visu totale'!$D:$DH,CE$1,0),IF(LEFT(VLOOKUP($D108,'Visu totale'!$D:$DH,CE$1,0),1)="V",IF(CD108&gt;=INDEX('[1]Définition Maintenances'!$G:$G,MATCH($A108,'[1]Définition Maintenances'!$K:$K,0)),CD108,INDEX('[1]Définition Maintenances'!$G:$G,MATCH($A108,'[1]Définition Maintenances'!$K:$K,0))+CD108),CD108))</f>
        <v>723</v>
      </c>
      <c r="CF108" s="26">
        <f>IF(ISNUMBER(VLOOKUP($D108,'Visu totale'!$D:$DH,CF$1,0)),CE108-VLOOKUP($D108,'Visu totale'!$D:$DH,CF$1,0),IF(LEFT(VLOOKUP($D108,'Visu totale'!$D:$DH,CF$1,0),1)="V",IF(CE108&gt;=INDEX('[1]Définition Maintenances'!$G:$G,MATCH($A108,'[1]Définition Maintenances'!$K:$K,0)),CE108,INDEX('[1]Définition Maintenances'!$G:$G,MATCH($A108,'[1]Définition Maintenances'!$K:$K,0))+CE108),CE108))</f>
        <v>723</v>
      </c>
      <c r="CG108" s="26">
        <f>IF(ISNUMBER(VLOOKUP($D108,'Visu totale'!$D:$DH,CG$1,0)),CF108-VLOOKUP($D108,'Visu totale'!$D:$DH,CG$1,0),IF(LEFT(VLOOKUP($D108,'Visu totale'!$D:$DH,CG$1,0),1)="V",IF(CF108&gt;=INDEX('[1]Définition Maintenances'!$G:$G,MATCH($A108,'[1]Définition Maintenances'!$K:$K,0)),CF108,INDEX('[1]Définition Maintenances'!$G:$G,MATCH($A108,'[1]Définition Maintenances'!$K:$K,0))+CF108),CF108))</f>
        <v>723</v>
      </c>
      <c r="CH108" s="26">
        <f>IF(ISNUMBER(VLOOKUP($D108,'Visu totale'!$D:$DH,CH$1,0)),CG108-VLOOKUP($D108,'Visu totale'!$D:$DH,CH$1,0),IF(LEFT(VLOOKUP($D108,'Visu totale'!$D:$DH,CH$1,0),1)="V",IF(CG108&gt;=INDEX('[1]Définition Maintenances'!$G:$G,MATCH($A108,'[1]Définition Maintenances'!$K:$K,0)),CG108,INDEX('[1]Définition Maintenances'!$G:$G,MATCH($A108,'[1]Définition Maintenances'!$K:$K,0))+CG108),CG108))</f>
        <v>723</v>
      </c>
      <c r="CI108" s="26">
        <f>IF(ISNUMBER(VLOOKUP($D108,'Visu totale'!$D:$DH,CI$1,0)),CH108-VLOOKUP($D108,'Visu totale'!$D:$DH,CI$1,0),IF(LEFT(VLOOKUP($D108,'Visu totale'!$D:$DH,CI$1,0),1)="V",IF(CH108&gt;=INDEX('[1]Définition Maintenances'!$G:$G,MATCH($A108,'[1]Définition Maintenances'!$K:$K,0)),CH108,INDEX('[1]Définition Maintenances'!$G:$G,MATCH($A108,'[1]Définition Maintenances'!$K:$K,0))+CH108),CH108))</f>
        <v>723</v>
      </c>
      <c r="CJ108" s="26">
        <f>IF(ISNUMBER(VLOOKUP($D108,'Visu totale'!$D:$DH,CJ$1,0)),CI108-VLOOKUP($D108,'Visu totale'!$D:$DH,CJ$1,0),IF(LEFT(VLOOKUP($D108,'Visu totale'!$D:$DH,CJ$1,0),1)="V",IF(CI108&gt;=INDEX('[1]Définition Maintenances'!$G:$G,MATCH($A108,'[1]Définition Maintenances'!$K:$K,0)),CI108,INDEX('[1]Définition Maintenances'!$G:$G,MATCH($A108,'[1]Définition Maintenances'!$K:$K,0))+CI108),CI108))</f>
        <v>723</v>
      </c>
      <c r="CK108" s="27">
        <f>IF(ISNUMBER(VLOOKUP($D108,'Visu totale'!$D:$DH,CK$1,0)),CJ108-VLOOKUP($D108,'Visu totale'!$D:$DH,CK$1,0),IF(LEFT(VLOOKUP($D108,'Visu totale'!$D:$DH,CK$1,0),1)="V",IF(CJ108&gt;=INDEX('[1]Définition Maintenances'!$G:$G,MATCH($A108,'[1]Définition Maintenances'!$K:$K,0)),CJ108,INDEX('[1]Définition Maintenances'!$G:$G,MATCH($A108,'[1]Définition Maintenances'!$K:$K,0))+CJ108),CJ108))</f>
        <v>723</v>
      </c>
      <c r="CL108" s="25">
        <f>IF(ISNUMBER(VLOOKUP($D108,'Visu totale'!$D:$DH,CL$1,0)),CK108-VLOOKUP($D108,'Visu totale'!$D:$DH,CL$1,0),IF(LEFT(VLOOKUP($D108,'Visu totale'!$D:$DH,CL$1,0),1)="V",IF(CK108&gt;=INDEX('[1]Définition Maintenances'!$G:$G,MATCH($A108,'[1]Définition Maintenances'!$K:$K,0)),CK108,INDEX('[1]Définition Maintenances'!$G:$G,MATCH($A108,'[1]Définition Maintenances'!$K:$K,0))+CK108),CK108))</f>
        <v>723</v>
      </c>
      <c r="CM108" s="26">
        <f>IF(ISNUMBER(VLOOKUP($D108,'Visu totale'!$D:$DH,CM$1,0)),CL108-VLOOKUP($D108,'Visu totale'!$D:$DH,CM$1,0),IF(LEFT(VLOOKUP($D108,'Visu totale'!$D:$DH,CM$1,0),1)="V",IF(CL108&gt;=INDEX('[1]Définition Maintenances'!$G:$G,MATCH($A108,'[1]Définition Maintenances'!$K:$K,0)),CL108,INDEX('[1]Définition Maintenances'!$G:$G,MATCH($A108,'[1]Définition Maintenances'!$K:$K,0))+CL108),CL108))</f>
        <v>723</v>
      </c>
      <c r="CN108" s="26">
        <f>IF(ISNUMBER(VLOOKUP($D108,'Visu totale'!$D:$DH,CN$1,0)),CM108-VLOOKUP($D108,'Visu totale'!$D:$DH,CN$1,0),IF(LEFT(VLOOKUP($D108,'Visu totale'!$D:$DH,CN$1,0),1)="V",IF(CM108&gt;=INDEX('[1]Définition Maintenances'!$G:$G,MATCH($A108,'[1]Définition Maintenances'!$K:$K,0)),CM108,INDEX('[1]Définition Maintenances'!$G:$G,MATCH($A108,'[1]Définition Maintenances'!$K:$K,0))+CM108),CM108))</f>
        <v>723</v>
      </c>
      <c r="CO108" s="26">
        <f>IF(ISNUMBER(VLOOKUP($D108,'Visu totale'!$D:$DH,CO$1,0)),CN108-VLOOKUP($D108,'Visu totale'!$D:$DH,CO$1,0),IF(LEFT(VLOOKUP($D108,'Visu totale'!$D:$DH,CO$1,0),1)="V",IF(CN108&gt;=INDEX('[1]Définition Maintenances'!$G:$G,MATCH($A108,'[1]Définition Maintenances'!$K:$K,0)),CN108,INDEX('[1]Définition Maintenances'!$G:$G,MATCH($A108,'[1]Définition Maintenances'!$K:$K,0))+CN108),CN108))</f>
        <v>723</v>
      </c>
      <c r="CP108" s="26">
        <f>IF(ISNUMBER(VLOOKUP($D108,'Visu totale'!$D:$DH,CP$1,0)),CO108-VLOOKUP($D108,'Visu totale'!$D:$DH,CP$1,0),IF(LEFT(VLOOKUP($D108,'Visu totale'!$D:$DH,CP$1,0),1)="V",IF(CO108&gt;=INDEX('[1]Définition Maintenances'!$G:$G,MATCH($A108,'[1]Définition Maintenances'!$K:$K,0)),CO108,INDEX('[1]Définition Maintenances'!$G:$G,MATCH($A108,'[1]Définition Maintenances'!$K:$K,0))+CO108),CO108))</f>
        <v>723</v>
      </c>
      <c r="CQ108" s="26">
        <f>IF(ISNUMBER(VLOOKUP($D108,'Visu totale'!$D:$DH,CQ$1,0)),CP108-VLOOKUP($D108,'Visu totale'!$D:$DH,CQ$1,0),IF(LEFT(VLOOKUP($D108,'Visu totale'!$D:$DH,CQ$1,0),1)="V",IF(CP108&gt;=INDEX('[1]Définition Maintenances'!$G:$G,MATCH($A108,'[1]Définition Maintenances'!$K:$K,0)),CP108,INDEX('[1]Définition Maintenances'!$G:$G,MATCH($A108,'[1]Définition Maintenances'!$K:$K,0))+CP108),CP108))</f>
        <v>723</v>
      </c>
      <c r="CR108" s="26">
        <f>IF(ISNUMBER(VLOOKUP($D108,'Visu totale'!$D:$DH,CR$1,0)),CQ108-VLOOKUP($D108,'Visu totale'!$D:$DH,CR$1,0),IF(LEFT(VLOOKUP($D108,'Visu totale'!$D:$DH,CR$1,0),1)="V",IF(CQ108&gt;=INDEX('[1]Définition Maintenances'!$G:$G,MATCH($A108,'[1]Définition Maintenances'!$K:$K,0)),CQ108,INDEX('[1]Définition Maintenances'!$G:$G,MATCH($A108,'[1]Définition Maintenances'!$K:$K,0))+CQ108),CQ108))</f>
        <v>723</v>
      </c>
      <c r="CS108" s="26">
        <f>IF(ISNUMBER(VLOOKUP($D108,'Visu totale'!$D:$DH,CS$1,0)),CR108-VLOOKUP($D108,'Visu totale'!$D:$DH,CS$1,0),IF(LEFT(VLOOKUP($D108,'Visu totale'!$D:$DH,CS$1,0),1)="V",IF(CR108&gt;=INDEX('[1]Définition Maintenances'!$G:$G,MATCH($A108,'[1]Définition Maintenances'!$K:$K,0)),CR108,INDEX('[1]Définition Maintenances'!$G:$G,MATCH($A108,'[1]Définition Maintenances'!$K:$K,0))+CR108),CR108))</f>
        <v>723</v>
      </c>
      <c r="CT108" s="26">
        <f>IF(ISNUMBER(VLOOKUP($D108,'Visu totale'!$D:$DH,CT$1,0)),CS108-VLOOKUP($D108,'Visu totale'!$D:$DH,CT$1,0),IF(LEFT(VLOOKUP($D108,'Visu totale'!$D:$DH,CT$1,0),1)="V",IF(CS108&gt;=INDEX('[1]Définition Maintenances'!$G:$G,MATCH($A108,'[1]Définition Maintenances'!$K:$K,0)),CS108,INDEX('[1]Définition Maintenances'!$G:$G,MATCH($A108,'[1]Définition Maintenances'!$K:$K,0))+CS108),CS108))</f>
        <v>723</v>
      </c>
      <c r="CU108" s="26">
        <f>IF(ISNUMBER(VLOOKUP($D108,'Visu totale'!$D:$DH,CU$1,0)),CT108-VLOOKUP($D108,'Visu totale'!$D:$DH,CU$1,0),IF(LEFT(VLOOKUP($D108,'Visu totale'!$D:$DH,CU$1,0),1)="V",IF(CT108&gt;=INDEX('[1]Définition Maintenances'!$G:$G,MATCH($A108,'[1]Définition Maintenances'!$K:$K,0)),CT108,INDEX('[1]Définition Maintenances'!$G:$G,MATCH($A108,'[1]Définition Maintenances'!$K:$K,0))+CT108),CT108))</f>
        <v>723</v>
      </c>
      <c r="CV108" s="26">
        <f>IF(ISNUMBER(VLOOKUP($D108,'Visu totale'!$D:$DH,CV$1,0)),CU108-VLOOKUP($D108,'Visu totale'!$D:$DH,CV$1,0),IF(LEFT(VLOOKUP($D108,'Visu totale'!$D:$DH,CV$1,0),1)="V",IF(CU108&gt;=INDEX('[1]Définition Maintenances'!$G:$G,MATCH($A108,'[1]Définition Maintenances'!$K:$K,0)),CU108,INDEX('[1]Définition Maintenances'!$G:$G,MATCH($A108,'[1]Définition Maintenances'!$K:$K,0))+CU108),CU108))</f>
        <v>723</v>
      </c>
      <c r="CW108" s="27">
        <f>IF(ISNUMBER(VLOOKUP($D108,'Visu totale'!$D:$DH,CW$1,0)),CV108-VLOOKUP($D108,'Visu totale'!$D:$DH,CW$1,0),IF(LEFT(VLOOKUP($D108,'Visu totale'!$D:$DH,CW$1,0),1)="V",IF(CV108&gt;=INDEX('[1]Définition Maintenances'!$G:$G,MATCH($A108,'[1]Définition Maintenances'!$K:$K,0)),CV108,INDEX('[1]Définition Maintenances'!$G:$G,MATCH($A108,'[1]Définition Maintenances'!$K:$K,0))+CV108),CV108))</f>
        <v>723</v>
      </c>
      <c r="CX108" s="25">
        <f>IF(ISNUMBER(VLOOKUP($D108,'Visu totale'!$D:$DH,CX$1,0)),CW108-VLOOKUP($D108,'Visu totale'!$D:$DH,CX$1,0),IF(LEFT(VLOOKUP($D108,'Visu totale'!$D:$DH,CX$1,0),1)="V",IF(CW108&gt;=INDEX('[1]Définition Maintenances'!$G:$G,MATCH($A108,'[1]Définition Maintenances'!$K:$K,0)),CW108,INDEX('[1]Définition Maintenances'!$G:$G,MATCH($A108,'[1]Définition Maintenances'!$K:$K,0))+CW108),CW108))</f>
        <v>723</v>
      </c>
      <c r="CY108" s="26">
        <f>IF(ISNUMBER(VLOOKUP($D108,'Visu totale'!$D:$DH,CY$1,0)),CX108-VLOOKUP($D108,'Visu totale'!$D:$DH,CY$1,0),IF(LEFT(VLOOKUP($D108,'Visu totale'!$D:$DH,CY$1,0),1)="V",IF(CX108&gt;=INDEX('[1]Définition Maintenances'!$G:$G,MATCH($A108,'[1]Définition Maintenances'!$K:$K,0)),CX108,INDEX('[1]Définition Maintenances'!$G:$G,MATCH($A108,'[1]Définition Maintenances'!$K:$K,0))+CX108),CX108))</f>
        <v>723</v>
      </c>
      <c r="CZ108" s="26">
        <f>IF(ISNUMBER(VLOOKUP($D108,'Visu totale'!$D:$DH,CZ$1,0)),CY108-VLOOKUP($D108,'Visu totale'!$D:$DH,CZ$1,0),IF(LEFT(VLOOKUP($D108,'Visu totale'!$D:$DH,CZ$1,0),1)="V",IF(CY108&gt;=INDEX('[1]Définition Maintenances'!$G:$G,MATCH($A108,'[1]Définition Maintenances'!$K:$K,0)),CY108,INDEX('[1]Définition Maintenances'!$G:$G,MATCH($A108,'[1]Définition Maintenances'!$K:$K,0))+CY108),CY108))</f>
        <v>723</v>
      </c>
      <c r="DA108" s="26">
        <f>IF(ISNUMBER(VLOOKUP($D108,'Visu totale'!$D:$DH,DA$1,0)),CZ108-VLOOKUP($D108,'Visu totale'!$D:$DH,DA$1,0),IF(LEFT(VLOOKUP($D108,'Visu totale'!$D:$DH,DA$1,0),1)="V",IF(CZ108&gt;=INDEX('[1]Définition Maintenances'!$G:$G,MATCH($A108,'[1]Définition Maintenances'!$K:$K,0)),CZ108,INDEX('[1]Définition Maintenances'!$G:$G,MATCH($A108,'[1]Définition Maintenances'!$K:$K,0))+CZ108),CZ108))</f>
        <v>723</v>
      </c>
      <c r="DB108" s="26">
        <f>IF(ISNUMBER(VLOOKUP($D108,'Visu totale'!$D:$DH,DB$1,0)),DA108-VLOOKUP($D108,'Visu totale'!$D:$DH,DB$1,0),IF(LEFT(VLOOKUP($D108,'Visu totale'!$D:$DH,DB$1,0),1)="V",IF(DA108&gt;=INDEX('[1]Définition Maintenances'!$G:$G,MATCH($A108,'[1]Définition Maintenances'!$K:$K,0)),DA108,INDEX('[1]Définition Maintenances'!$G:$G,MATCH($A108,'[1]Définition Maintenances'!$K:$K,0))+DA108),DA108))</f>
        <v>723</v>
      </c>
      <c r="DC108" s="26">
        <f>IF(ISNUMBER(VLOOKUP($D108,'Visu totale'!$D:$DH,DC$1,0)),DB108-VLOOKUP($D108,'Visu totale'!$D:$DH,DC$1,0),IF(LEFT(VLOOKUP($D108,'Visu totale'!$D:$DH,DC$1,0),1)="V",IF(DB108&gt;=INDEX('[1]Définition Maintenances'!$G:$G,MATCH($A108,'[1]Définition Maintenances'!$K:$K,0)),DB108,INDEX('[1]Définition Maintenances'!$G:$G,MATCH($A108,'[1]Définition Maintenances'!$K:$K,0))+DB108),DB108))</f>
        <v>723</v>
      </c>
      <c r="DD108" s="26">
        <f>IF(ISNUMBER(VLOOKUP($D108,'Visu totale'!$D:$DH,DD$1,0)),DC108-VLOOKUP($D108,'Visu totale'!$D:$DH,DD$1,0),IF(LEFT(VLOOKUP($D108,'Visu totale'!$D:$DH,DD$1,0),1)="V",IF(DC108&gt;=INDEX('[1]Définition Maintenances'!$G:$G,MATCH($A108,'[1]Définition Maintenances'!$K:$K,0)),DC108,INDEX('[1]Définition Maintenances'!$G:$G,MATCH($A108,'[1]Définition Maintenances'!$K:$K,0))+DC108),DC108))</f>
        <v>723</v>
      </c>
      <c r="DE108" s="26">
        <f>IF(ISNUMBER(VLOOKUP($D108,'Visu totale'!$D:$DH,DE$1,0)),DD108-VLOOKUP($D108,'Visu totale'!$D:$DH,DE$1,0),IF(LEFT(VLOOKUP($D108,'Visu totale'!$D:$DH,DE$1,0),1)="V",IF(DD108&gt;=INDEX('[1]Définition Maintenances'!$G:$G,MATCH($A108,'[1]Définition Maintenances'!$K:$K,0)),DD108,INDEX('[1]Définition Maintenances'!$G:$G,MATCH($A108,'[1]Définition Maintenances'!$K:$K,0))+DD108),DD108))</f>
        <v>723</v>
      </c>
      <c r="DF108" s="26">
        <f>IF(ISNUMBER(VLOOKUP($D108,'Visu totale'!$D:$DH,DF$1,0)),DE108-VLOOKUP($D108,'Visu totale'!$D:$DH,DF$1,0),IF(LEFT(VLOOKUP($D108,'Visu totale'!$D:$DH,DF$1,0),1)="V",IF(DE108&gt;=INDEX('[1]Définition Maintenances'!$G:$G,MATCH($A108,'[1]Définition Maintenances'!$K:$K,0)),DE108,INDEX('[1]Définition Maintenances'!$G:$G,MATCH($A108,'[1]Définition Maintenances'!$K:$K,0))+DE108),DE108))</f>
        <v>723</v>
      </c>
      <c r="DG108" s="26">
        <f>IF(ISNUMBER(VLOOKUP($D108,'Visu totale'!$D:$DH,DG$1,0)),DF108-VLOOKUP($D108,'Visu totale'!$D:$DH,DG$1,0),IF(LEFT(VLOOKUP($D108,'Visu totale'!$D:$DH,DG$1,0),1)="V",IF(DF108&gt;=INDEX('[1]Définition Maintenances'!$G:$G,MATCH($A108,'[1]Définition Maintenances'!$K:$K,0)),DF108,INDEX('[1]Définition Maintenances'!$G:$G,MATCH($A108,'[1]Définition Maintenances'!$K:$K,0))+DF108),DF108))</f>
        <v>723</v>
      </c>
      <c r="DH108" s="26">
        <f>IF(ISNUMBER(VLOOKUP($D108,'Visu totale'!$D:$DH,DH$1,0)),DG108-VLOOKUP($D108,'Visu totale'!$D:$DH,DH$1,0),IF(LEFT(VLOOKUP($D108,'Visu totale'!$D:$DH,DH$1,0),1)="V",IF(DG108&gt;=INDEX('[1]Définition Maintenances'!$G:$G,MATCH($A108,'[1]Définition Maintenances'!$K:$K,0)),DG108,INDEX('[1]Définition Maintenances'!$G:$G,MATCH($A108,'[1]Définition Maintenances'!$K:$K,0))+DG108),DG108))</f>
        <v>723</v>
      </c>
      <c r="DI108" s="27">
        <f>IF(ISNUMBER(VLOOKUP($D108,'Visu totale'!$D:$DH,DI$1,0)),DH108-VLOOKUP($D108,'Visu totale'!$D:$DH,DI$1,0),IF(LEFT(VLOOKUP($D108,'Visu totale'!$D:$DH,DI$1,0),1)="V",IF(DH108&gt;=INDEX('[1]Définition Maintenances'!$G:$G,MATCH($A108,'[1]Définition Maintenances'!$K:$K,0)),DH108,INDEX('[1]Définition Maintenances'!$G:$G,MATCH($A108,'[1]Définition Maintenances'!$K:$K,0))+DH108),DH108))</f>
        <v>723</v>
      </c>
    </row>
    <row r="109" spans="1:113" x14ac:dyDescent="0.25">
      <c r="A109" s="13" t="str">
        <f t="shared" si="3"/>
        <v>V155</v>
      </c>
      <c r="B109" s="13" t="str">
        <f>VLOOKUP(D109,'[1]Avions (Potentiels)'!$B$2:$H$128,7,FALSE)</f>
        <v>V15</v>
      </c>
      <c r="C109" s="13"/>
      <c r="D109" s="16" t="s">
        <v>112</v>
      </c>
      <c r="E109" s="13">
        <f>IFERROR(VALUE(SUBSTITUTE(VLOOKUP(D109,'[1]Avions (Potentiels)'!$B:$E,4,0),".",",")),VALUE(VLOOKUP(D109,'[1]Avions (Potentiels)'!$B:$E,4,0)))</f>
        <v>1055</v>
      </c>
      <c r="F109" s="25">
        <f>IF(ISNUMBER(VLOOKUP($D109,'Visu totale'!$D:$DH,F$1,0)),E109-VLOOKUP($D109,'Visu totale'!$D:$DH,F$1,0),IF(LEFT(VLOOKUP($D109,'Visu totale'!$D:$DH,F$1,0),1)="V",IF(E109&gt;=INDEX('[1]Définition Maintenances'!$G:$G,MATCH($A109,'[1]Définition Maintenances'!$K:$K,0)),E109,INDEX('[1]Définition Maintenances'!$G:$G,MATCH($A109,'[1]Définition Maintenances'!$K:$K,0))+E109),E109))</f>
        <v>1055</v>
      </c>
      <c r="G109" s="26">
        <f>IF(ISNUMBER(VLOOKUP($D109,'Visu totale'!$D:$DH,G$1,0)),F109-VLOOKUP($D109,'Visu totale'!$D:$DH,G$1,0),IF(LEFT(VLOOKUP($D109,'Visu totale'!$D:$DH,G$1,0),1)="V",IF(F109&gt;=INDEX('[1]Définition Maintenances'!$G:$G,MATCH($A109,'[1]Définition Maintenances'!$K:$K,0)),F109,INDEX('[1]Définition Maintenances'!$G:$G,MATCH($A109,'[1]Définition Maintenances'!$K:$K,0))+F109),F109))</f>
        <v>1055</v>
      </c>
      <c r="H109" s="26">
        <f>IF(ISNUMBER(VLOOKUP($D109,'Visu totale'!$D:$DH,H$1,0)),G109-VLOOKUP($D109,'Visu totale'!$D:$DH,H$1,0),IF(LEFT(VLOOKUP($D109,'Visu totale'!$D:$DH,H$1,0),1)="V",IF(G109&gt;=INDEX('[1]Définition Maintenances'!$G:$G,MATCH($A109,'[1]Définition Maintenances'!$K:$K,0)),G109,INDEX('[1]Définition Maintenances'!$G:$G,MATCH($A109,'[1]Définition Maintenances'!$K:$K,0))+G109),G109))</f>
        <v>1055</v>
      </c>
      <c r="I109" s="26">
        <f>IF(ISNUMBER(VLOOKUP($D109,'Visu totale'!$D:$DH,I$1,0)),H109-VLOOKUP($D109,'Visu totale'!$D:$DH,I$1,0),IF(LEFT(VLOOKUP($D109,'Visu totale'!$D:$DH,I$1,0),1)="V",IF(H109&gt;=INDEX('[1]Définition Maintenances'!$G:$G,MATCH($A109,'[1]Définition Maintenances'!$K:$K,0)),H109,INDEX('[1]Définition Maintenances'!$G:$G,MATCH($A109,'[1]Définition Maintenances'!$K:$K,0))+H109),H109))</f>
        <v>1055</v>
      </c>
      <c r="J109" s="26">
        <f>IF(ISNUMBER(VLOOKUP($D109,'Visu totale'!$D:$DH,J$1,0)),I109-VLOOKUP($D109,'Visu totale'!$D:$DH,J$1,0),IF(LEFT(VLOOKUP($D109,'Visu totale'!$D:$DH,J$1,0),1)="V",IF(I109&gt;=INDEX('[1]Définition Maintenances'!$G:$G,MATCH($A109,'[1]Définition Maintenances'!$K:$K,0)),I109,INDEX('[1]Définition Maintenances'!$G:$G,MATCH($A109,'[1]Définition Maintenances'!$K:$K,0))+I109),I109))</f>
        <v>1055</v>
      </c>
      <c r="K109" s="26">
        <f>IF(ISNUMBER(VLOOKUP($D109,'Visu totale'!$D:$DH,K$1,0)),J109-VLOOKUP($D109,'Visu totale'!$D:$DH,K$1,0),IF(LEFT(VLOOKUP($D109,'Visu totale'!$D:$DH,K$1,0),1)="V",IF(J109&gt;=INDEX('[1]Définition Maintenances'!$G:$G,MATCH($A109,'[1]Définition Maintenances'!$K:$K,0)),J109,INDEX('[1]Définition Maintenances'!$G:$G,MATCH($A109,'[1]Définition Maintenances'!$K:$K,0))+J109),J109))</f>
        <v>1055</v>
      </c>
      <c r="L109" s="26">
        <f>IF(ISNUMBER(VLOOKUP($D109,'Visu totale'!$D:$DH,L$1,0)),K109-VLOOKUP($D109,'Visu totale'!$D:$DH,L$1,0),IF(LEFT(VLOOKUP($D109,'Visu totale'!$D:$DH,L$1,0),1)="V",IF(K109&gt;=INDEX('[1]Définition Maintenances'!$G:$G,MATCH($A109,'[1]Définition Maintenances'!$K:$K,0)),K109,INDEX('[1]Définition Maintenances'!$G:$G,MATCH($A109,'[1]Définition Maintenances'!$K:$K,0))+K109),K109))</f>
        <v>1055</v>
      </c>
      <c r="M109" s="26">
        <f>IF(ISNUMBER(VLOOKUP($D109,'Visu totale'!$D:$DH,M$1,0)),L109-VLOOKUP($D109,'Visu totale'!$D:$DH,M$1,0),IF(LEFT(VLOOKUP($D109,'Visu totale'!$D:$DH,M$1,0),1)="V",IF(L109&gt;=INDEX('[1]Définition Maintenances'!$G:$G,MATCH($A109,'[1]Définition Maintenances'!$K:$K,0)),L109,INDEX('[1]Définition Maintenances'!$G:$G,MATCH($A109,'[1]Définition Maintenances'!$K:$K,0))+L109),L109))</f>
        <v>1055</v>
      </c>
      <c r="N109" s="26">
        <f>IF(ISNUMBER(VLOOKUP($D109,'Visu totale'!$D:$DH,N$1,0)),M109-VLOOKUP($D109,'Visu totale'!$D:$DH,N$1,0),IF(LEFT(VLOOKUP($D109,'Visu totale'!$D:$DH,N$1,0),1)="V",IF(M109&gt;=INDEX('[1]Définition Maintenances'!$G:$G,MATCH($A109,'[1]Définition Maintenances'!$K:$K,0)),M109,INDEX('[1]Définition Maintenances'!$G:$G,MATCH($A109,'[1]Définition Maintenances'!$K:$K,0))+M109),M109))</f>
        <v>1055</v>
      </c>
      <c r="O109" s="26">
        <f>IF(ISNUMBER(VLOOKUP($D109,'Visu totale'!$D:$DH,O$1,0)),N109-VLOOKUP($D109,'Visu totale'!$D:$DH,O$1,0),IF(LEFT(VLOOKUP($D109,'Visu totale'!$D:$DH,O$1,0),1)="V",IF(N109&gt;=INDEX('[1]Définition Maintenances'!$G:$G,MATCH($A109,'[1]Définition Maintenances'!$K:$K,0)),N109,INDEX('[1]Définition Maintenances'!$G:$G,MATCH($A109,'[1]Définition Maintenances'!$K:$K,0))+N109),N109))</f>
        <v>1055</v>
      </c>
      <c r="P109" s="26">
        <f>IF(ISNUMBER(VLOOKUP($D109,'Visu totale'!$D:$DH,P$1,0)),O109-VLOOKUP($D109,'Visu totale'!$D:$DH,P$1,0),IF(LEFT(VLOOKUP($D109,'Visu totale'!$D:$DH,P$1,0),1)="V",IF(O109&gt;=INDEX('[1]Définition Maintenances'!$G:$G,MATCH($A109,'[1]Définition Maintenances'!$K:$K,0)),O109,INDEX('[1]Définition Maintenances'!$G:$G,MATCH($A109,'[1]Définition Maintenances'!$K:$K,0))+O109),O109))</f>
        <v>1055</v>
      </c>
      <c r="Q109" s="27">
        <f>IF(ISNUMBER(VLOOKUP($D109,'Visu totale'!$D:$DH,Q$1,0)),P109-VLOOKUP($D109,'Visu totale'!$D:$DH,Q$1,0),IF(LEFT(VLOOKUP($D109,'Visu totale'!$D:$DH,Q$1,0),1)="V",IF(P109&gt;=INDEX('[1]Définition Maintenances'!$G:$G,MATCH($A109,'[1]Définition Maintenances'!$K:$K,0)),P109,INDEX('[1]Définition Maintenances'!$G:$G,MATCH($A109,'[1]Définition Maintenances'!$K:$K,0))+P109),P109))</f>
        <v>1055</v>
      </c>
      <c r="R109" s="25">
        <f>IF(ISNUMBER(VLOOKUP($D109,'Visu totale'!$D:$DH,R$1,0)),Q109-VLOOKUP($D109,'Visu totale'!$D:$DH,R$1,0),IF(LEFT(VLOOKUP($D109,'Visu totale'!$D:$DH,R$1,0),1)="V",IF(Q109&gt;=INDEX('[1]Définition Maintenances'!$G:$G,MATCH($A109,'[1]Définition Maintenances'!$K:$K,0)),Q109,INDEX('[1]Définition Maintenances'!$G:$G,MATCH($A109,'[1]Définition Maintenances'!$K:$K,0))+Q109),Q109))</f>
        <v>1055</v>
      </c>
      <c r="S109" s="26">
        <f>IF(ISNUMBER(VLOOKUP($D109,'Visu totale'!$D:$DH,S$1,0)),R109-VLOOKUP($D109,'Visu totale'!$D:$DH,S$1,0),IF(LEFT(VLOOKUP($D109,'Visu totale'!$D:$DH,S$1,0),1)="V",IF(R109&gt;=INDEX('[1]Définition Maintenances'!$G:$G,MATCH($A109,'[1]Définition Maintenances'!$K:$K,0)),R109,INDEX('[1]Définition Maintenances'!$G:$G,MATCH($A109,'[1]Définition Maintenances'!$K:$K,0))+R109),R109))</f>
        <v>1055</v>
      </c>
      <c r="T109" s="26">
        <f>IF(ISNUMBER(VLOOKUP($D109,'Visu totale'!$D:$DH,T$1,0)),S109-VLOOKUP($D109,'Visu totale'!$D:$DH,T$1,0),IF(LEFT(VLOOKUP($D109,'Visu totale'!$D:$DH,T$1,0),1)="V",IF(S109&gt;=INDEX('[1]Définition Maintenances'!$G:$G,MATCH($A109,'[1]Définition Maintenances'!$K:$K,0)),S109,INDEX('[1]Définition Maintenances'!$G:$G,MATCH($A109,'[1]Définition Maintenances'!$K:$K,0))+S109),S109))</f>
        <v>1055</v>
      </c>
      <c r="U109" s="26">
        <f>IF(ISNUMBER(VLOOKUP($D109,'Visu totale'!$D:$DH,U$1,0)),T109-VLOOKUP($D109,'Visu totale'!$D:$DH,U$1,0),IF(LEFT(VLOOKUP($D109,'Visu totale'!$D:$DH,U$1,0),1)="V",IF(T109&gt;=INDEX('[1]Définition Maintenances'!$G:$G,MATCH($A109,'[1]Définition Maintenances'!$K:$K,0)),T109,INDEX('[1]Définition Maintenances'!$G:$G,MATCH($A109,'[1]Définition Maintenances'!$K:$K,0))+T109),T109))</f>
        <v>1055</v>
      </c>
      <c r="V109" s="26">
        <f>IF(ISNUMBER(VLOOKUP($D109,'Visu totale'!$D:$DH,V$1,0)),U109-VLOOKUP($D109,'Visu totale'!$D:$DH,V$1,0),IF(LEFT(VLOOKUP($D109,'Visu totale'!$D:$DH,V$1,0),1)="V",IF(U109&gt;=INDEX('[1]Définition Maintenances'!$G:$G,MATCH($A109,'[1]Définition Maintenances'!$K:$K,0)),U109,INDEX('[1]Définition Maintenances'!$G:$G,MATCH($A109,'[1]Définition Maintenances'!$K:$K,0))+U109),U109))</f>
        <v>1055</v>
      </c>
      <c r="W109" s="26">
        <f>IF(ISNUMBER(VLOOKUP($D109,'Visu totale'!$D:$DH,W$1,0)),V109-VLOOKUP($D109,'Visu totale'!$D:$DH,W$1,0),IF(LEFT(VLOOKUP($D109,'Visu totale'!$D:$DH,W$1,0),1)="V",IF(V109&gt;=INDEX('[1]Définition Maintenances'!$G:$G,MATCH($A109,'[1]Définition Maintenances'!$K:$K,0)),V109,INDEX('[1]Définition Maintenances'!$G:$G,MATCH($A109,'[1]Définition Maintenances'!$K:$K,0))+V109),V109))</f>
        <v>1055</v>
      </c>
      <c r="X109" s="26">
        <f>IF(ISNUMBER(VLOOKUP($D109,'Visu totale'!$D:$DH,X$1,0)),W109-VLOOKUP($D109,'Visu totale'!$D:$DH,X$1,0),IF(LEFT(VLOOKUP($D109,'Visu totale'!$D:$DH,X$1,0),1)="V",IF(W109&gt;=INDEX('[1]Définition Maintenances'!$G:$G,MATCH($A109,'[1]Définition Maintenances'!$K:$K,0)),W109,INDEX('[1]Définition Maintenances'!$G:$G,MATCH($A109,'[1]Définition Maintenances'!$K:$K,0))+W109),W109))</f>
        <v>1055</v>
      </c>
      <c r="Y109" s="26">
        <f>IF(ISNUMBER(VLOOKUP($D109,'Visu totale'!$D:$DH,Y$1,0)),X109-VLOOKUP($D109,'Visu totale'!$D:$DH,Y$1,0),IF(LEFT(VLOOKUP($D109,'Visu totale'!$D:$DH,Y$1,0),1)="V",IF(X109&gt;=INDEX('[1]Définition Maintenances'!$G:$G,MATCH($A109,'[1]Définition Maintenances'!$K:$K,0)),X109,INDEX('[1]Définition Maintenances'!$G:$G,MATCH($A109,'[1]Définition Maintenances'!$K:$K,0))+X109),X109))</f>
        <v>1055</v>
      </c>
      <c r="Z109" s="26">
        <f>IF(ISNUMBER(VLOOKUP($D109,'Visu totale'!$D:$DH,Z$1,0)),Y109-VLOOKUP($D109,'Visu totale'!$D:$DH,Z$1,0),IF(LEFT(VLOOKUP($D109,'Visu totale'!$D:$DH,Z$1,0),1)="V",IF(Y109&gt;=INDEX('[1]Définition Maintenances'!$G:$G,MATCH($A109,'[1]Définition Maintenances'!$K:$K,0)),Y109,INDEX('[1]Définition Maintenances'!$G:$G,MATCH($A109,'[1]Définition Maintenances'!$K:$K,0))+Y109),Y109))</f>
        <v>1055</v>
      </c>
      <c r="AA109" s="26">
        <f>IF(ISNUMBER(VLOOKUP($D109,'Visu totale'!$D:$DH,AA$1,0)),Z109-VLOOKUP($D109,'Visu totale'!$D:$DH,AA$1,0),IF(LEFT(VLOOKUP($D109,'Visu totale'!$D:$DH,AA$1,0),1)="V",IF(Z109&gt;=INDEX('[1]Définition Maintenances'!$G:$G,MATCH($A109,'[1]Définition Maintenances'!$K:$K,0)),Z109,INDEX('[1]Définition Maintenances'!$G:$G,MATCH($A109,'[1]Définition Maintenances'!$K:$K,0))+Z109),Z109))</f>
        <v>1055</v>
      </c>
      <c r="AB109" s="26">
        <f>IF(ISNUMBER(VLOOKUP($D109,'Visu totale'!$D:$DH,AB$1,0)),AA109-VLOOKUP($D109,'Visu totale'!$D:$DH,AB$1,0),IF(LEFT(VLOOKUP($D109,'Visu totale'!$D:$DH,AB$1,0),1)="V",IF(AA109&gt;=INDEX('[1]Définition Maintenances'!$G:$G,MATCH($A109,'[1]Définition Maintenances'!$K:$K,0)),AA109,INDEX('[1]Définition Maintenances'!$G:$G,MATCH($A109,'[1]Définition Maintenances'!$K:$K,0))+AA109),AA109))</f>
        <v>1055</v>
      </c>
      <c r="AC109" s="27">
        <f>IF(ISNUMBER(VLOOKUP($D109,'Visu totale'!$D:$DH,AC$1,0)),AB109-VLOOKUP($D109,'Visu totale'!$D:$DH,AC$1,0),IF(LEFT(VLOOKUP($D109,'Visu totale'!$D:$DH,AC$1,0),1)="V",IF(AB109&gt;=INDEX('[1]Définition Maintenances'!$G:$G,MATCH($A109,'[1]Définition Maintenances'!$K:$K,0)),AB109,INDEX('[1]Définition Maintenances'!$G:$G,MATCH($A109,'[1]Définition Maintenances'!$K:$K,0))+AB109),AB109))</f>
        <v>1055</v>
      </c>
      <c r="AD109" s="25">
        <f>IF(ISNUMBER(VLOOKUP($D109,'Visu totale'!$D:$DH,AD$1,0)),AC109-VLOOKUP($D109,'Visu totale'!$D:$DH,AD$1,0),IF(LEFT(VLOOKUP($D109,'Visu totale'!$D:$DH,AD$1,0),1)="V",IF(AC109&gt;=INDEX('[1]Définition Maintenances'!$G:$G,MATCH($A109,'[1]Définition Maintenances'!$K:$K,0)),AC109,INDEX('[1]Définition Maintenances'!$G:$G,MATCH($A109,'[1]Définition Maintenances'!$K:$K,0))+AC109),AC109))</f>
        <v>1055</v>
      </c>
      <c r="AE109" s="26">
        <f>IF(ISNUMBER(VLOOKUP($D109,'Visu totale'!$D:$DH,AE$1,0)),AD109-VLOOKUP($D109,'Visu totale'!$D:$DH,AE$1,0),IF(LEFT(VLOOKUP($D109,'Visu totale'!$D:$DH,AE$1,0),1)="V",IF(AD109&gt;=INDEX('[1]Définition Maintenances'!$G:$G,MATCH($A109,'[1]Définition Maintenances'!$K:$K,0)),AD109,INDEX('[1]Définition Maintenances'!$G:$G,MATCH($A109,'[1]Définition Maintenances'!$K:$K,0))+AD109),AD109))</f>
        <v>1055</v>
      </c>
      <c r="AF109" s="26">
        <f>IF(ISNUMBER(VLOOKUP($D109,'Visu totale'!$D:$DH,AF$1,0)),AE109-VLOOKUP($D109,'Visu totale'!$D:$DH,AF$1,0),IF(LEFT(VLOOKUP($D109,'Visu totale'!$D:$DH,AF$1,0),1)="V",IF(AE109&gt;=INDEX('[1]Définition Maintenances'!$G:$G,MATCH($A109,'[1]Définition Maintenances'!$K:$K,0)),AE109,INDEX('[1]Définition Maintenances'!$G:$G,MATCH($A109,'[1]Définition Maintenances'!$K:$K,0))+AE109),AE109))</f>
        <v>1055</v>
      </c>
      <c r="AG109" s="26">
        <f>IF(ISNUMBER(VLOOKUP($D109,'Visu totale'!$D:$DH,AG$1,0)),AF109-VLOOKUP($D109,'Visu totale'!$D:$DH,AG$1,0),IF(LEFT(VLOOKUP($D109,'Visu totale'!$D:$DH,AG$1,0),1)="V",IF(AF109&gt;=INDEX('[1]Définition Maintenances'!$G:$G,MATCH($A109,'[1]Définition Maintenances'!$K:$K,0)),AF109,INDEX('[1]Définition Maintenances'!$G:$G,MATCH($A109,'[1]Définition Maintenances'!$K:$K,0))+AF109),AF109))</f>
        <v>1055</v>
      </c>
      <c r="AH109" s="26">
        <f>IF(ISNUMBER(VLOOKUP($D109,'Visu totale'!$D:$DH,AH$1,0)),AG109-VLOOKUP($D109,'Visu totale'!$D:$DH,AH$1,0),IF(LEFT(VLOOKUP($D109,'Visu totale'!$D:$DH,AH$1,0),1)="V",IF(AG109&gt;=INDEX('[1]Définition Maintenances'!$G:$G,MATCH($A109,'[1]Définition Maintenances'!$K:$K,0)),AG109,INDEX('[1]Définition Maintenances'!$G:$G,MATCH($A109,'[1]Définition Maintenances'!$K:$K,0))+AG109),AG109))</f>
        <v>1055</v>
      </c>
      <c r="AI109" s="26">
        <f>IF(ISNUMBER(VLOOKUP($D109,'Visu totale'!$D:$DH,AI$1,0)),AH109-VLOOKUP($D109,'Visu totale'!$D:$DH,AI$1,0),IF(LEFT(VLOOKUP($D109,'Visu totale'!$D:$DH,AI$1,0),1)="V",IF(AH109&gt;=INDEX('[1]Définition Maintenances'!$G:$G,MATCH($A109,'[1]Définition Maintenances'!$K:$K,0)),AH109,INDEX('[1]Définition Maintenances'!$G:$G,MATCH($A109,'[1]Définition Maintenances'!$K:$K,0))+AH109),AH109))</f>
        <v>1055</v>
      </c>
      <c r="AJ109" s="26">
        <f>IF(ISNUMBER(VLOOKUP($D109,'Visu totale'!$D:$DH,AJ$1,0)),AI109-VLOOKUP($D109,'Visu totale'!$D:$DH,AJ$1,0),IF(LEFT(VLOOKUP($D109,'Visu totale'!$D:$DH,AJ$1,0),1)="V",IF(AI109&gt;=INDEX('[1]Définition Maintenances'!$G:$G,MATCH($A109,'[1]Définition Maintenances'!$K:$K,0)),AI109,INDEX('[1]Définition Maintenances'!$G:$G,MATCH($A109,'[1]Définition Maintenances'!$K:$K,0))+AI109),AI109))</f>
        <v>1055</v>
      </c>
      <c r="AK109" s="26">
        <f>IF(ISNUMBER(VLOOKUP($D109,'Visu totale'!$D:$DH,AK$1,0)),AJ109-VLOOKUP($D109,'Visu totale'!$D:$DH,AK$1,0),IF(LEFT(VLOOKUP($D109,'Visu totale'!$D:$DH,AK$1,0),1)="V",IF(AJ109&gt;=INDEX('[1]Définition Maintenances'!$G:$G,MATCH($A109,'[1]Définition Maintenances'!$K:$K,0)),AJ109,INDEX('[1]Définition Maintenances'!$G:$G,MATCH($A109,'[1]Définition Maintenances'!$K:$K,0))+AJ109),AJ109))</f>
        <v>1055</v>
      </c>
      <c r="AL109" s="26">
        <f>IF(ISNUMBER(VLOOKUP($D109,'Visu totale'!$D:$DH,AL$1,0)),AK109-VLOOKUP($D109,'Visu totale'!$D:$DH,AL$1,0),IF(LEFT(VLOOKUP($D109,'Visu totale'!$D:$DH,AL$1,0),1)="V",IF(AK109&gt;=INDEX('[1]Définition Maintenances'!$G:$G,MATCH($A109,'[1]Définition Maintenances'!$K:$K,0)),AK109,INDEX('[1]Définition Maintenances'!$G:$G,MATCH($A109,'[1]Définition Maintenances'!$K:$K,0))+AK109),AK109))</f>
        <v>1055</v>
      </c>
      <c r="AM109" s="26">
        <f>IF(ISNUMBER(VLOOKUP($D109,'Visu totale'!$D:$DH,AM$1,0)),AL109-VLOOKUP($D109,'Visu totale'!$D:$DH,AM$1,0),IF(LEFT(VLOOKUP($D109,'Visu totale'!$D:$DH,AM$1,0),1)="V",IF(AL109&gt;=INDEX('[1]Définition Maintenances'!$G:$G,MATCH($A109,'[1]Définition Maintenances'!$K:$K,0)),AL109,INDEX('[1]Définition Maintenances'!$G:$G,MATCH($A109,'[1]Définition Maintenances'!$K:$K,0))+AL109),AL109))</f>
        <v>1055</v>
      </c>
      <c r="AN109" s="26">
        <f>IF(ISNUMBER(VLOOKUP($D109,'Visu totale'!$D:$DH,AN$1,0)),AM109-VLOOKUP($D109,'Visu totale'!$D:$DH,AN$1,0),IF(LEFT(VLOOKUP($D109,'Visu totale'!$D:$DH,AN$1,0),1)="V",IF(AM109&gt;=INDEX('[1]Définition Maintenances'!$G:$G,MATCH($A109,'[1]Définition Maintenances'!$K:$K,0)),AM109,INDEX('[1]Définition Maintenances'!$G:$G,MATCH($A109,'[1]Définition Maintenances'!$K:$K,0))+AM109),AM109))</f>
        <v>1055</v>
      </c>
      <c r="AO109" s="27">
        <f>IF(ISNUMBER(VLOOKUP($D109,'Visu totale'!$D:$DH,AO$1,0)),AN109-VLOOKUP($D109,'Visu totale'!$D:$DH,AO$1,0),IF(LEFT(VLOOKUP($D109,'Visu totale'!$D:$DH,AO$1,0),1)="V",IF(AN109&gt;=INDEX('[1]Définition Maintenances'!$G:$G,MATCH($A109,'[1]Définition Maintenances'!$K:$K,0)),AN109,INDEX('[1]Définition Maintenances'!$G:$G,MATCH($A109,'[1]Définition Maintenances'!$K:$K,0))+AN109),AN109))</f>
        <v>1055</v>
      </c>
      <c r="AP109" s="25">
        <f>IF(ISNUMBER(VLOOKUP($D109,'Visu totale'!$D:$DH,AP$1,0)),AO109-VLOOKUP($D109,'Visu totale'!$D:$DH,AP$1,0),IF(LEFT(VLOOKUP($D109,'Visu totale'!$D:$DH,AP$1,0),1)="V",IF(AO109&gt;=INDEX('[1]Définition Maintenances'!$G:$G,MATCH($A109,'[1]Définition Maintenances'!$K:$K,0)),AO109,INDEX('[1]Définition Maintenances'!$G:$G,MATCH($A109,'[1]Définition Maintenances'!$K:$K,0))+AO109),AO109))</f>
        <v>1055</v>
      </c>
      <c r="AQ109" s="26">
        <f>IF(ISNUMBER(VLOOKUP($D109,'Visu totale'!$D:$DH,AQ$1,0)),AP109-VLOOKUP($D109,'Visu totale'!$D:$DH,AQ$1,0),IF(LEFT(VLOOKUP($D109,'Visu totale'!$D:$DH,AQ$1,0),1)="V",IF(AP109&gt;=INDEX('[1]Définition Maintenances'!$G:$G,MATCH($A109,'[1]Définition Maintenances'!$K:$K,0)),AP109,INDEX('[1]Définition Maintenances'!$G:$G,MATCH($A109,'[1]Définition Maintenances'!$K:$K,0))+AP109),AP109))</f>
        <v>1055</v>
      </c>
      <c r="AR109" s="26">
        <f>IF(ISNUMBER(VLOOKUP($D109,'Visu totale'!$D:$DH,AR$1,0)),AQ109-VLOOKUP($D109,'Visu totale'!$D:$DH,AR$1,0),IF(LEFT(VLOOKUP($D109,'Visu totale'!$D:$DH,AR$1,0),1)="V",IF(AQ109&gt;=INDEX('[1]Définition Maintenances'!$G:$G,MATCH($A109,'[1]Définition Maintenances'!$K:$K,0)),AQ109,INDEX('[1]Définition Maintenances'!$G:$G,MATCH($A109,'[1]Définition Maintenances'!$K:$K,0))+AQ109),AQ109))</f>
        <v>1055</v>
      </c>
      <c r="AS109" s="26">
        <f>IF(ISNUMBER(VLOOKUP($D109,'Visu totale'!$D:$DH,AS$1,0)),AR109-VLOOKUP($D109,'Visu totale'!$D:$DH,AS$1,0),IF(LEFT(VLOOKUP($D109,'Visu totale'!$D:$DH,AS$1,0),1)="V",IF(AR109&gt;=INDEX('[1]Définition Maintenances'!$G:$G,MATCH($A109,'[1]Définition Maintenances'!$K:$K,0)),AR109,INDEX('[1]Définition Maintenances'!$G:$G,MATCH($A109,'[1]Définition Maintenances'!$K:$K,0))+AR109),AR109))</f>
        <v>1055</v>
      </c>
      <c r="AT109" s="26">
        <f>IF(ISNUMBER(VLOOKUP($D109,'Visu totale'!$D:$DH,AT$1,0)),AS109-VLOOKUP($D109,'Visu totale'!$D:$DH,AT$1,0),IF(LEFT(VLOOKUP($D109,'Visu totale'!$D:$DH,AT$1,0),1)="V",IF(AS109&gt;=INDEX('[1]Définition Maintenances'!$G:$G,MATCH($A109,'[1]Définition Maintenances'!$K:$K,0)),AS109,INDEX('[1]Définition Maintenances'!$G:$G,MATCH($A109,'[1]Définition Maintenances'!$K:$K,0))+AS109),AS109))</f>
        <v>1055</v>
      </c>
      <c r="AU109" s="26">
        <f>IF(ISNUMBER(VLOOKUP($D109,'Visu totale'!$D:$DH,AU$1,0)),AT109-VLOOKUP($D109,'Visu totale'!$D:$DH,AU$1,0),IF(LEFT(VLOOKUP($D109,'Visu totale'!$D:$DH,AU$1,0),1)="V",IF(AT109&gt;=INDEX('[1]Définition Maintenances'!$G:$G,MATCH($A109,'[1]Définition Maintenances'!$K:$K,0)),AT109,INDEX('[1]Définition Maintenances'!$G:$G,MATCH($A109,'[1]Définition Maintenances'!$K:$K,0))+AT109),AT109))</f>
        <v>1055</v>
      </c>
      <c r="AV109" s="26">
        <f>IF(ISNUMBER(VLOOKUP($D109,'Visu totale'!$D:$DH,AV$1,0)),AU109-VLOOKUP($D109,'Visu totale'!$D:$DH,AV$1,0),IF(LEFT(VLOOKUP($D109,'Visu totale'!$D:$DH,AV$1,0),1)="V",IF(AU109&gt;=INDEX('[1]Définition Maintenances'!$G:$G,MATCH($A109,'[1]Définition Maintenances'!$K:$K,0)),AU109,INDEX('[1]Définition Maintenances'!$G:$G,MATCH($A109,'[1]Définition Maintenances'!$K:$K,0))+AU109),AU109))</f>
        <v>1055</v>
      </c>
      <c r="AW109" s="26">
        <f>IF(ISNUMBER(VLOOKUP($D109,'Visu totale'!$D:$DH,AW$1,0)),AV109-VLOOKUP($D109,'Visu totale'!$D:$DH,AW$1,0),IF(LEFT(VLOOKUP($D109,'Visu totale'!$D:$DH,AW$1,0),1)="V",IF(AV109&gt;=INDEX('[1]Définition Maintenances'!$G:$G,MATCH($A109,'[1]Définition Maintenances'!$K:$K,0)),AV109,INDEX('[1]Définition Maintenances'!$G:$G,MATCH($A109,'[1]Définition Maintenances'!$K:$K,0))+AV109),AV109))</f>
        <v>1055</v>
      </c>
      <c r="AX109" s="26">
        <f>IF(ISNUMBER(VLOOKUP($D109,'Visu totale'!$D:$DH,AX$1,0)),AW109-VLOOKUP($D109,'Visu totale'!$D:$DH,AX$1,0),IF(LEFT(VLOOKUP($D109,'Visu totale'!$D:$DH,AX$1,0),1)="V",IF(AW109&gt;=INDEX('[1]Définition Maintenances'!$G:$G,MATCH($A109,'[1]Définition Maintenances'!$K:$K,0)),AW109,INDEX('[1]Définition Maintenances'!$G:$G,MATCH($A109,'[1]Définition Maintenances'!$K:$K,0))+AW109),AW109))</f>
        <v>1055</v>
      </c>
      <c r="AY109" s="26">
        <f>IF(ISNUMBER(VLOOKUP($D109,'Visu totale'!$D:$DH,AY$1,0)),AX109-VLOOKUP($D109,'Visu totale'!$D:$DH,AY$1,0),IF(LEFT(VLOOKUP($D109,'Visu totale'!$D:$DH,AY$1,0),1)="V",IF(AX109&gt;=INDEX('[1]Définition Maintenances'!$G:$G,MATCH($A109,'[1]Définition Maintenances'!$K:$K,0)),AX109,INDEX('[1]Définition Maintenances'!$G:$G,MATCH($A109,'[1]Définition Maintenances'!$K:$K,0))+AX109),AX109))</f>
        <v>1055</v>
      </c>
      <c r="AZ109" s="26">
        <f>IF(ISNUMBER(VLOOKUP($D109,'Visu totale'!$D:$DH,AZ$1,0)),AY109-VLOOKUP($D109,'Visu totale'!$D:$DH,AZ$1,0),IF(LEFT(VLOOKUP($D109,'Visu totale'!$D:$DH,AZ$1,0),1)="V",IF(AY109&gt;=INDEX('[1]Définition Maintenances'!$G:$G,MATCH($A109,'[1]Définition Maintenances'!$K:$K,0)),AY109,INDEX('[1]Définition Maintenances'!$G:$G,MATCH($A109,'[1]Définition Maintenances'!$K:$K,0))+AY109),AY109))</f>
        <v>1055</v>
      </c>
      <c r="BA109" s="27">
        <f>IF(ISNUMBER(VLOOKUP($D109,'Visu totale'!$D:$DH,BA$1,0)),AZ109-VLOOKUP($D109,'Visu totale'!$D:$DH,BA$1,0),IF(LEFT(VLOOKUP($D109,'Visu totale'!$D:$DH,BA$1,0),1)="V",IF(AZ109&gt;=INDEX('[1]Définition Maintenances'!$G:$G,MATCH($A109,'[1]Définition Maintenances'!$K:$K,0)),AZ109,INDEX('[1]Définition Maintenances'!$G:$G,MATCH($A109,'[1]Définition Maintenances'!$K:$K,0))+AZ109),AZ109))</f>
        <v>1055</v>
      </c>
      <c r="BB109" s="25">
        <f>IF(ISNUMBER(VLOOKUP($D109,'Visu totale'!$D:$DH,BB$1,0)),BA109-VLOOKUP($D109,'Visu totale'!$D:$DH,BB$1,0),IF(LEFT(VLOOKUP($D109,'Visu totale'!$D:$DH,BB$1,0),1)="V",IF(BA109&gt;=INDEX('[1]Définition Maintenances'!$G:$G,MATCH($A109,'[1]Définition Maintenances'!$K:$K,0)),BA109,INDEX('[1]Définition Maintenances'!$G:$G,MATCH($A109,'[1]Définition Maintenances'!$K:$K,0))+BA109),BA109))</f>
        <v>1055</v>
      </c>
      <c r="BC109" s="26">
        <f>IF(ISNUMBER(VLOOKUP($D109,'Visu totale'!$D:$DH,BC$1,0)),BB109-VLOOKUP($D109,'Visu totale'!$D:$DH,BC$1,0),IF(LEFT(VLOOKUP($D109,'Visu totale'!$D:$DH,BC$1,0),1)="V",IF(BB109&gt;=INDEX('[1]Définition Maintenances'!$G:$G,MATCH($A109,'[1]Définition Maintenances'!$K:$K,0)),BB109,INDEX('[1]Définition Maintenances'!$G:$G,MATCH($A109,'[1]Définition Maintenances'!$K:$K,0))+BB109),BB109))</f>
        <v>1055</v>
      </c>
      <c r="BD109" s="26">
        <f>IF(ISNUMBER(VLOOKUP($D109,'Visu totale'!$D:$DH,BD$1,0)),BC109-VLOOKUP($D109,'Visu totale'!$D:$DH,BD$1,0),IF(LEFT(VLOOKUP($D109,'Visu totale'!$D:$DH,BD$1,0),1)="V",IF(BC109&gt;=INDEX('[1]Définition Maintenances'!$G:$G,MATCH($A109,'[1]Définition Maintenances'!$K:$K,0)),BC109,INDEX('[1]Définition Maintenances'!$G:$G,MATCH($A109,'[1]Définition Maintenances'!$K:$K,0))+BC109),BC109))</f>
        <v>1055</v>
      </c>
      <c r="BE109" s="26">
        <f>IF(ISNUMBER(VLOOKUP($D109,'Visu totale'!$D:$DH,BE$1,0)),BD109-VLOOKUP($D109,'Visu totale'!$D:$DH,BE$1,0),IF(LEFT(VLOOKUP($D109,'Visu totale'!$D:$DH,BE$1,0),1)="V",IF(BD109&gt;=INDEX('[1]Définition Maintenances'!$G:$G,MATCH($A109,'[1]Définition Maintenances'!$K:$K,0)),BD109,INDEX('[1]Définition Maintenances'!$G:$G,MATCH($A109,'[1]Définition Maintenances'!$K:$K,0))+BD109),BD109))</f>
        <v>1055</v>
      </c>
      <c r="BF109" s="26">
        <f>IF(ISNUMBER(VLOOKUP($D109,'Visu totale'!$D:$DH,BF$1,0)),BE109-VLOOKUP($D109,'Visu totale'!$D:$DH,BF$1,0),IF(LEFT(VLOOKUP($D109,'Visu totale'!$D:$DH,BF$1,0),1)="V",IF(BE109&gt;=INDEX('[1]Définition Maintenances'!$G:$G,MATCH($A109,'[1]Définition Maintenances'!$K:$K,0)),BE109,INDEX('[1]Définition Maintenances'!$G:$G,MATCH($A109,'[1]Définition Maintenances'!$K:$K,0))+BE109),BE109))</f>
        <v>1055</v>
      </c>
      <c r="BG109" s="26">
        <f>IF(ISNUMBER(VLOOKUP($D109,'Visu totale'!$D:$DH,BG$1,0)),BF109-VLOOKUP($D109,'Visu totale'!$D:$DH,BG$1,0),IF(LEFT(VLOOKUP($D109,'Visu totale'!$D:$DH,BG$1,0),1)="V",IF(BF109&gt;=INDEX('[1]Définition Maintenances'!$G:$G,MATCH($A109,'[1]Définition Maintenances'!$K:$K,0)),BF109,INDEX('[1]Définition Maintenances'!$G:$G,MATCH($A109,'[1]Définition Maintenances'!$K:$K,0))+BF109),BF109))</f>
        <v>1055</v>
      </c>
      <c r="BH109" s="26">
        <f>IF(ISNUMBER(VLOOKUP($D109,'Visu totale'!$D:$DH,BH$1,0)),BG109-VLOOKUP($D109,'Visu totale'!$D:$DH,BH$1,0),IF(LEFT(VLOOKUP($D109,'Visu totale'!$D:$DH,BH$1,0),1)="V",IF(BG109&gt;=INDEX('[1]Définition Maintenances'!$G:$G,MATCH($A109,'[1]Définition Maintenances'!$K:$K,0)),BG109,INDEX('[1]Définition Maintenances'!$G:$G,MATCH($A109,'[1]Définition Maintenances'!$K:$K,0))+BG109),BG109))</f>
        <v>1055</v>
      </c>
      <c r="BI109" s="26">
        <f>IF(ISNUMBER(VLOOKUP($D109,'Visu totale'!$D:$DH,BI$1,0)),BH109-VLOOKUP($D109,'Visu totale'!$D:$DH,BI$1,0),IF(LEFT(VLOOKUP($D109,'Visu totale'!$D:$DH,BI$1,0),1)="V",IF(BH109&gt;=INDEX('[1]Définition Maintenances'!$G:$G,MATCH($A109,'[1]Définition Maintenances'!$K:$K,0)),BH109,INDEX('[1]Définition Maintenances'!$G:$G,MATCH($A109,'[1]Définition Maintenances'!$K:$K,0))+BH109),BH109))</f>
        <v>1055</v>
      </c>
      <c r="BJ109" s="26">
        <f>IF(ISNUMBER(VLOOKUP($D109,'Visu totale'!$D:$DH,BJ$1,0)),BI109-VLOOKUP($D109,'Visu totale'!$D:$DH,BJ$1,0),IF(LEFT(VLOOKUP($D109,'Visu totale'!$D:$DH,BJ$1,0),1)="V",IF(BI109&gt;=INDEX('[1]Définition Maintenances'!$G:$G,MATCH($A109,'[1]Définition Maintenances'!$K:$K,0)),BI109,INDEX('[1]Définition Maintenances'!$G:$G,MATCH($A109,'[1]Définition Maintenances'!$K:$K,0))+BI109),BI109))</f>
        <v>1055</v>
      </c>
      <c r="BK109" s="26">
        <f>IF(ISNUMBER(VLOOKUP($D109,'Visu totale'!$D:$DH,BK$1,0)),BJ109-VLOOKUP($D109,'Visu totale'!$D:$DH,BK$1,0),IF(LEFT(VLOOKUP($D109,'Visu totale'!$D:$DH,BK$1,0),1)="V",IF(BJ109&gt;=INDEX('[1]Définition Maintenances'!$G:$G,MATCH($A109,'[1]Définition Maintenances'!$K:$K,0)),BJ109,INDEX('[1]Définition Maintenances'!$G:$G,MATCH($A109,'[1]Définition Maintenances'!$K:$K,0))+BJ109),BJ109))</f>
        <v>1055</v>
      </c>
      <c r="BL109" s="26">
        <f>IF(ISNUMBER(VLOOKUP($D109,'Visu totale'!$D:$DH,BL$1,0)),BK109-VLOOKUP($D109,'Visu totale'!$D:$DH,BL$1,0),IF(LEFT(VLOOKUP($D109,'Visu totale'!$D:$DH,BL$1,0),1)="V",IF(BK109&gt;=INDEX('[1]Définition Maintenances'!$G:$G,MATCH($A109,'[1]Définition Maintenances'!$K:$K,0)),BK109,INDEX('[1]Définition Maintenances'!$G:$G,MATCH($A109,'[1]Définition Maintenances'!$K:$K,0))+BK109),BK109))</f>
        <v>1055</v>
      </c>
      <c r="BM109" s="27">
        <f>IF(ISNUMBER(VLOOKUP($D109,'Visu totale'!$D:$DH,BM$1,0)),BL109-VLOOKUP($D109,'Visu totale'!$D:$DH,BM$1,0),IF(LEFT(VLOOKUP($D109,'Visu totale'!$D:$DH,BM$1,0),1)="V",IF(BL109&gt;=INDEX('[1]Définition Maintenances'!$G:$G,MATCH($A109,'[1]Définition Maintenances'!$K:$K,0)),BL109,INDEX('[1]Définition Maintenances'!$G:$G,MATCH($A109,'[1]Définition Maintenances'!$K:$K,0))+BL109),BL109))</f>
        <v>1055</v>
      </c>
      <c r="BN109" s="25">
        <f>IF(ISNUMBER(VLOOKUP($D109,'Visu totale'!$D:$DH,BN$1,0)),BM109-VLOOKUP($D109,'Visu totale'!$D:$DH,BN$1,0),IF(LEFT(VLOOKUP($D109,'Visu totale'!$D:$DH,BN$1,0),1)="V",IF(BM109&gt;=INDEX('[1]Définition Maintenances'!$G:$G,MATCH($A109,'[1]Définition Maintenances'!$K:$K,0)),BM109,INDEX('[1]Définition Maintenances'!$G:$G,MATCH($A109,'[1]Définition Maintenances'!$K:$K,0))+BM109),BM109))</f>
        <v>1055</v>
      </c>
      <c r="BO109" s="26">
        <f>IF(ISNUMBER(VLOOKUP($D109,'Visu totale'!$D:$DH,BO$1,0)),BN109-VLOOKUP($D109,'Visu totale'!$D:$DH,BO$1,0),IF(LEFT(VLOOKUP($D109,'Visu totale'!$D:$DH,BO$1,0),1)="V",IF(BN109&gt;=INDEX('[1]Définition Maintenances'!$G:$G,MATCH($A109,'[1]Définition Maintenances'!$K:$K,0)),BN109,INDEX('[1]Définition Maintenances'!$G:$G,MATCH($A109,'[1]Définition Maintenances'!$K:$K,0))+BN109),BN109))</f>
        <v>1055</v>
      </c>
      <c r="BP109" s="26">
        <f>IF(ISNUMBER(VLOOKUP($D109,'Visu totale'!$D:$DH,BP$1,0)),BO109-VLOOKUP($D109,'Visu totale'!$D:$DH,BP$1,0),IF(LEFT(VLOOKUP($D109,'Visu totale'!$D:$DH,BP$1,0),1)="V",IF(BO109&gt;=INDEX('[1]Définition Maintenances'!$G:$G,MATCH($A109,'[1]Définition Maintenances'!$K:$K,0)),BO109,INDEX('[1]Définition Maintenances'!$G:$G,MATCH($A109,'[1]Définition Maintenances'!$K:$K,0))+BO109),BO109))</f>
        <v>1055</v>
      </c>
      <c r="BQ109" s="26">
        <f>IF(ISNUMBER(VLOOKUP($D109,'Visu totale'!$D:$DH,BQ$1,0)),BP109-VLOOKUP($D109,'Visu totale'!$D:$DH,BQ$1,0),IF(LEFT(VLOOKUP($D109,'Visu totale'!$D:$DH,BQ$1,0),1)="V",IF(BP109&gt;=INDEX('[1]Définition Maintenances'!$G:$G,MATCH($A109,'[1]Définition Maintenances'!$K:$K,0)),BP109,INDEX('[1]Définition Maintenances'!$G:$G,MATCH($A109,'[1]Définition Maintenances'!$K:$K,0))+BP109),BP109))</f>
        <v>1055</v>
      </c>
      <c r="BR109" s="26">
        <f>IF(ISNUMBER(VLOOKUP($D109,'Visu totale'!$D:$DH,BR$1,0)),BQ109-VLOOKUP($D109,'Visu totale'!$D:$DH,BR$1,0),IF(LEFT(VLOOKUP($D109,'Visu totale'!$D:$DH,BR$1,0),1)="V",IF(BQ109&gt;=INDEX('[1]Définition Maintenances'!$G:$G,MATCH($A109,'[1]Définition Maintenances'!$K:$K,0)),BQ109,INDEX('[1]Définition Maintenances'!$G:$G,MATCH($A109,'[1]Définition Maintenances'!$K:$K,0))+BQ109),BQ109))</f>
        <v>1055</v>
      </c>
      <c r="BS109" s="26">
        <f>IF(ISNUMBER(VLOOKUP($D109,'Visu totale'!$D:$DH,BS$1,0)),BR109-VLOOKUP($D109,'Visu totale'!$D:$DH,BS$1,0),IF(LEFT(VLOOKUP($D109,'Visu totale'!$D:$DH,BS$1,0),1)="V",IF(BR109&gt;=INDEX('[1]Définition Maintenances'!$G:$G,MATCH($A109,'[1]Définition Maintenances'!$K:$K,0)),BR109,INDEX('[1]Définition Maintenances'!$G:$G,MATCH($A109,'[1]Définition Maintenances'!$K:$K,0))+BR109),BR109))</f>
        <v>1055</v>
      </c>
      <c r="BT109" s="26">
        <f>IF(ISNUMBER(VLOOKUP($D109,'Visu totale'!$D:$DH,BT$1,0)),BS109-VLOOKUP($D109,'Visu totale'!$D:$DH,BT$1,0),IF(LEFT(VLOOKUP($D109,'Visu totale'!$D:$DH,BT$1,0),1)="V",IF(BS109&gt;=INDEX('[1]Définition Maintenances'!$G:$G,MATCH($A109,'[1]Définition Maintenances'!$K:$K,0)),BS109,INDEX('[1]Définition Maintenances'!$G:$G,MATCH($A109,'[1]Définition Maintenances'!$K:$K,0))+BS109),BS109))</f>
        <v>1055</v>
      </c>
      <c r="BU109" s="26">
        <f>IF(ISNUMBER(VLOOKUP($D109,'Visu totale'!$D:$DH,BU$1,0)),BT109-VLOOKUP($D109,'Visu totale'!$D:$DH,BU$1,0),IF(LEFT(VLOOKUP($D109,'Visu totale'!$D:$DH,BU$1,0),1)="V",IF(BT109&gt;=INDEX('[1]Définition Maintenances'!$G:$G,MATCH($A109,'[1]Définition Maintenances'!$K:$K,0)),BT109,INDEX('[1]Définition Maintenances'!$G:$G,MATCH($A109,'[1]Définition Maintenances'!$K:$K,0))+BT109),BT109))</f>
        <v>1055</v>
      </c>
      <c r="BV109" s="26">
        <f>IF(ISNUMBER(VLOOKUP($D109,'Visu totale'!$D:$DH,BV$1,0)),BU109-VLOOKUP($D109,'Visu totale'!$D:$DH,BV$1,0),IF(LEFT(VLOOKUP($D109,'Visu totale'!$D:$DH,BV$1,0),1)="V",IF(BU109&gt;=INDEX('[1]Définition Maintenances'!$G:$G,MATCH($A109,'[1]Définition Maintenances'!$K:$K,0)),BU109,INDEX('[1]Définition Maintenances'!$G:$G,MATCH($A109,'[1]Définition Maintenances'!$K:$K,0))+BU109),BU109))</f>
        <v>1055</v>
      </c>
      <c r="BW109" s="26">
        <f>IF(ISNUMBER(VLOOKUP($D109,'Visu totale'!$D:$DH,BW$1,0)),BV109-VLOOKUP($D109,'Visu totale'!$D:$DH,BW$1,0),IF(LEFT(VLOOKUP($D109,'Visu totale'!$D:$DH,BW$1,0),1)="V",IF(BV109&gt;=INDEX('[1]Définition Maintenances'!$G:$G,MATCH($A109,'[1]Définition Maintenances'!$K:$K,0)),BV109,INDEX('[1]Définition Maintenances'!$G:$G,MATCH($A109,'[1]Définition Maintenances'!$K:$K,0))+BV109),BV109))</f>
        <v>1055</v>
      </c>
      <c r="BX109" s="26">
        <f>IF(ISNUMBER(VLOOKUP($D109,'Visu totale'!$D:$DH,BX$1,0)),BW109-VLOOKUP($D109,'Visu totale'!$D:$DH,BX$1,0),IF(LEFT(VLOOKUP($D109,'Visu totale'!$D:$DH,BX$1,0),1)="V",IF(BW109&gt;=INDEX('[1]Définition Maintenances'!$G:$G,MATCH($A109,'[1]Définition Maintenances'!$K:$K,0)),BW109,INDEX('[1]Définition Maintenances'!$G:$G,MATCH($A109,'[1]Définition Maintenances'!$K:$K,0))+BW109),BW109))</f>
        <v>1055</v>
      </c>
      <c r="BY109" s="27">
        <f>IF(ISNUMBER(VLOOKUP($D109,'Visu totale'!$D:$DH,BY$1,0)),BX109-VLOOKUP($D109,'Visu totale'!$D:$DH,BY$1,0),IF(LEFT(VLOOKUP($D109,'Visu totale'!$D:$DH,BY$1,0),1)="V",IF(BX109&gt;=INDEX('[1]Définition Maintenances'!$G:$G,MATCH($A109,'[1]Définition Maintenances'!$K:$K,0)),BX109,INDEX('[1]Définition Maintenances'!$G:$G,MATCH($A109,'[1]Définition Maintenances'!$K:$K,0))+BX109),BX109))</f>
        <v>1055</v>
      </c>
      <c r="BZ109" s="25">
        <f>IF(ISNUMBER(VLOOKUP($D109,'Visu totale'!$D:$DH,BZ$1,0)),BY109-VLOOKUP($D109,'Visu totale'!$D:$DH,BZ$1,0),IF(LEFT(VLOOKUP($D109,'Visu totale'!$D:$DH,BZ$1,0),1)="V",IF(BY109&gt;=INDEX('[1]Définition Maintenances'!$G:$G,MATCH($A109,'[1]Définition Maintenances'!$K:$K,0)),BY109,INDEX('[1]Définition Maintenances'!$G:$G,MATCH($A109,'[1]Définition Maintenances'!$K:$K,0))+BY109),BY109))</f>
        <v>1055</v>
      </c>
      <c r="CA109" s="26">
        <f>IF(ISNUMBER(VLOOKUP($D109,'Visu totale'!$D:$DH,CA$1,0)),BZ109-VLOOKUP($D109,'Visu totale'!$D:$DH,CA$1,0),IF(LEFT(VLOOKUP($D109,'Visu totale'!$D:$DH,CA$1,0),1)="V",IF(BZ109&gt;=INDEX('[1]Définition Maintenances'!$G:$G,MATCH($A109,'[1]Définition Maintenances'!$K:$K,0)),BZ109,INDEX('[1]Définition Maintenances'!$G:$G,MATCH($A109,'[1]Définition Maintenances'!$K:$K,0))+BZ109),BZ109))</f>
        <v>1055</v>
      </c>
      <c r="CB109" s="26">
        <f>IF(ISNUMBER(VLOOKUP($D109,'Visu totale'!$D:$DH,CB$1,0)),CA109-VLOOKUP($D109,'Visu totale'!$D:$DH,CB$1,0),IF(LEFT(VLOOKUP($D109,'Visu totale'!$D:$DH,CB$1,0),1)="V",IF(CA109&gt;=INDEX('[1]Définition Maintenances'!$G:$G,MATCH($A109,'[1]Définition Maintenances'!$K:$K,0)),CA109,INDEX('[1]Définition Maintenances'!$G:$G,MATCH($A109,'[1]Définition Maintenances'!$K:$K,0))+CA109),CA109))</f>
        <v>1055</v>
      </c>
      <c r="CC109" s="26">
        <f>IF(ISNUMBER(VLOOKUP($D109,'Visu totale'!$D:$DH,CC$1,0)),CB109-VLOOKUP($D109,'Visu totale'!$D:$DH,CC$1,0),IF(LEFT(VLOOKUP($D109,'Visu totale'!$D:$DH,CC$1,0),1)="V",IF(CB109&gt;=INDEX('[1]Définition Maintenances'!$G:$G,MATCH($A109,'[1]Définition Maintenances'!$K:$K,0)),CB109,INDEX('[1]Définition Maintenances'!$G:$G,MATCH($A109,'[1]Définition Maintenances'!$K:$K,0))+CB109),CB109))</f>
        <v>1055</v>
      </c>
      <c r="CD109" s="26">
        <f>IF(ISNUMBER(VLOOKUP($D109,'Visu totale'!$D:$DH,CD$1,0)),CC109-VLOOKUP($D109,'Visu totale'!$D:$DH,CD$1,0),IF(LEFT(VLOOKUP($D109,'Visu totale'!$D:$DH,CD$1,0),1)="V",IF(CC109&gt;=INDEX('[1]Définition Maintenances'!$G:$G,MATCH($A109,'[1]Définition Maintenances'!$K:$K,0)),CC109,INDEX('[1]Définition Maintenances'!$G:$G,MATCH($A109,'[1]Définition Maintenances'!$K:$K,0))+CC109),CC109))</f>
        <v>1055</v>
      </c>
      <c r="CE109" s="26">
        <f>IF(ISNUMBER(VLOOKUP($D109,'Visu totale'!$D:$DH,CE$1,0)),CD109-VLOOKUP($D109,'Visu totale'!$D:$DH,CE$1,0),IF(LEFT(VLOOKUP($D109,'Visu totale'!$D:$DH,CE$1,0),1)="V",IF(CD109&gt;=INDEX('[1]Définition Maintenances'!$G:$G,MATCH($A109,'[1]Définition Maintenances'!$K:$K,0)),CD109,INDEX('[1]Définition Maintenances'!$G:$G,MATCH($A109,'[1]Définition Maintenances'!$K:$K,0))+CD109),CD109))</f>
        <v>1055</v>
      </c>
      <c r="CF109" s="26">
        <f>IF(ISNUMBER(VLOOKUP($D109,'Visu totale'!$D:$DH,CF$1,0)),CE109-VLOOKUP($D109,'Visu totale'!$D:$DH,CF$1,0),IF(LEFT(VLOOKUP($D109,'Visu totale'!$D:$DH,CF$1,0),1)="V",IF(CE109&gt;=INDEX('[1]Définition Maintenances'!$G:$G,MATCH($A109,'[1]Définition Maintenances'!$K:$K,0)),CE109,INDEX('[1]Définition Maintenances'!$G:$G,MATCH($A109,'[1]Définition Maintenances'!$K:$K,0))+CE109),CE109))</f>
        <v>1055</v>
      </c>
      <c r="CG109" s="26">
        <f>IF(ISNUMBER(VLOOKUP($D109,'Visu totale'!$D:$DH,CG$1,0)),CF109-VLOOKUP($D109,'Visu totale'!$D:$DH,CG$1,0),IF(LEFT(VLOOKUP($D109,'Visu totale'!$D:$DH,CG$1,0),1)="V",IF(CF109&gt;=INDEX('[1]Définition Maintenances'!$G:$G,MATCH($A109,'[1]Définition Maintenances'!$K:$K,0)),CF109,INDEX('[1]Définition Maintenances'!$G:$G,MATCH($A109,'[1]Définition Maintenances'!$K:$K,0))+CF109),CF109))</f>
        <v>1055</v>
      </c>
      <c r="CH109" s="26">
        <f>IF(ISNUMBER(VLOOKUP($D109,'Visu totale'!$D:$DH,CH$1,0)),CG109-VLOOKUP($D109,'Visu totale'!$D:$DH,CH$1,0),IF(LEFT(VLOOKUP($D109,'Visu totale'!$D:$DH,CH$1,0),1)="V",IF(CG109&gt;=INDEX('[1]Définition Maintenances'!$G:$G,MATCH($A109,'[1]Définition Maintenances'!$K:$K,0)),CG109,INDEX('[1]Définition Maintenances'!$G:$G,MATCH($A109,'[1]Définition Maintenances'!$K:$K,0))+CG109),CG109))</f>
        <v>1055</v>
      </c>
      <c r="CI109" s="26">
        <f>IF(ISNUMBER(VLOOKUP($D109,'Visu totale'!$D:$DH,CI$1,0)),CH109-VLOOKUP($D109,'Visu totale'!$D:$DH,CI$1,0),IF(LEFT(VLOOKUP($D109,'Visu totale'!$D:$DH,CI$1,0),1)="V",IF(CH109&gt;=INDEX('[1]Définition Maintenances'!$G:$G,MATCH($A109,'[1]Définition Maintenances'!$K:$K,0)),CH109,INDEX('[1]Définition Maintenances'!$G:$G,MATCH($A109,'[1]Définition Maintenances'!$K:$K,0))+CH109),CH109))</f>
        <v>1055</v>
      </c>
      <c r="CJ109" s="26">
        <f>IF(ISNUMBER(VLOOKUP($D109,'Visu totale'!$D:$DH,CJ$1,0)),CI109-VLOOKUP($D109,'Visu totale'!$D:$DH,CJ$1,0),IF(LEFT(VLOOKUP($D109,'Visu totale'!$D:$DH,CJ$1,0),1)="V",IF(CI109&gt;=INDEX('[1]Définition Maintenances'!$G:$G,MATCH($A109,'[1]Définition Maintenances'!$K:$K,0)),CI109,INDEX('[1]Définition Maintenances'!$G:$G,MATCH($A109,'[1]Définition Maintenances'!$K:$K,0))+CI109),CI109))</f>
        <v>1055</v>
      </c>
      <c r="CK109" s="27">
        <f>IF(ISNUMBER(VLOOKUP($D109,'Visu totale'!$D:$DH,CK$1,0)),CJ109-VLOOKUP($D109,'Visu totale'!$D:$DH,CK$1,0),IF(LEFT(VLOOKUP($D109,'Visu totale'!$D:$DH,CK$1,0),1)="V",IF(CJ109&gt;=INDEX('[1]Définition Maintenances'!$G:$G,MATCH($A109,'[1]Définition Maintenances'!$K:$K,0)),CJ109,INDEX('[1]Définition Maintenances'!$G:$G,MATCH($A109,'[1]Définition Maintenances'!$K:$K,0))+CJ109),CJ109))</f>
        <v>1055</v>
      </c>
      <c r="CL109" s="25">
        <f>IF(ISNUMBER(VLOOKUP($D109,'Visu totale'!$D:$DH,CL$1,0)),CK109-VLOOKUP($D109,'Visu totale'!$D:$DH,CL$1,0),IF(LEFT(VLOOKUP($D109,'Visu totale'!$D:$DH,CL$1,0),1)="V",IF(CK109&gt;=INDEX('[1]Définition Maintenances'!$G:$G,MATCH($A109,'[1]Définition Maintenances'!$K:$K,0)),CK109,INDEX('[1]Définition Maintenances'!$G:$G,MATCH($A109,'[1]Définition Maintenances'!$K:$K,0))+CK109),CK109))</f>
        <v>1055</v>
      </c>
      <c r="CM109" s="26">
        <f>IF(ISNUMBER(VLOOKUP($D109,'Visu totale'!$D:$DH,CM$1,0)),CL109-VLOOKUP($D109,'Visu totale'!$D:$DH,CM$1,0),IF(LEFT(VLOOKUP($D109,'Visu totale'!$D:$DH,CM$1,0),1)="V",IF(CL109&gt;=INDEX('[1]Définition Maintenances'!$G:$G,MATCH($A109,'[1]Définition Maintenances'!$K:$K,0)),CL109,INDEX('[1]Définition Maintenances'!$G:$G,MATCH($A109,'[1]Définition Maintenances'!$K:$K,0))+CL109),CL109))</f>
        <v>1055</v>
      </c>
      <c r="CN109" s="26">
        <f>IF(ISNUMBER(VLOOKUP($D109,'Visu totale'!$D:$DH,CN$1,0)),CM109-VLOOKUP($D109,'Visu totale'!$D:$DH,CN$1,0),IF(LEFT(VLOOKUP($D109,'Visu totale'!$D:$DH,CN$1,0),1)="V",IF(CM109&gt;=INDEX('[1]Définition Maintenances'!$G:$G,MATCH($A109,'[1]Définition Maintenances'!$K:$K,0)),CM109,INDEX('[1]Définition Maintenances'!$G:$G,MATCH($A109,'[1]Définition Maintenances'!$K:$K,0))+CM109),CM109))</f>
        <v>1055</v>
      </c>
      <c r="CO109" s="26">
        <f>IF(ISNUMBER(VLOOKUP($D109,'Visu totale'!$D:$DH,CO$1,0)),CN109-VLOOKUP($D109,'Visu totale'!$D:$DH,CO$1,0),IF(LEFT(VLOOKUP($D109,'Visu totale'!$D:$DH,CO$1,0),1)="V",IF(CN109&gt;=INDEX('[1]Définition Maintenances'!$G:$G,MATCH($A109,'[1]Définition Maintenances'!$K:$K,0)),CN109,INDEX('[1]Définition Maintenances'!$G:$G,MATCH($A109,'[1]Définition Maintenances'!$K:$K,0))+CN109),CN109))</f>
        <v>1055</v>
      </c>
      <c r="CP109" s="26">
        <f>IF(ISNUMBER(VLOOKUP($D109,'Visu totale'!$D:$DH,CP$1,0)),CO109-VLOOKUP($D109,'Visu totale'!$D:$DH,CP$1,0),IF(LEFT(VLOOKUP($D109,'Visu totale'!$D:$DH,CP$1,0),1)="V",IF(CO109&gt;=INDEX('[1]Définition Maintenances'!$G:$G,MATCH($A109,'[1]Définition Maintenances'!$K:$K,0)),CO109,INDEX('[1]Définition Maintenances'!$G:$G,MATCH($A109,'[1]Définition Maintenances'!$K:$K,0))+CO109),CO109))</f>
        <v>1055</v>
      </c>
      <c r="CQ109" s="26">
        <f>IF(ISNUMBER(VLOOKUP($D109,'Visu totale'!$D:$DH,CQ$1,0)),CP109-VLOOKUP($D109,'Visu totale'!$D:$DH,CQ$1,0),IF(LEFT(VLOOKUP($D109,'Visu totale'!$D:$DH,CQ$1,0),1)="V",IF(CP109&gt;=INDEX('[1]Définition Maintenances'!$G:$G,MATCH($A109,'[1]Définition Maintenances'!$K:$K,0)),CP109,INDEX('[1]Définition Maintenances'!$G:$G,MATCH($A109,'[1]Définition Maintenances'!$K:$K,0))+CP109),CP109))</f>
        <v>1055</v>
      </c>
      <c r="CR109" s="26">
        <f>IF(ISNUMBER(VLOOKUP($D109,'Visu totale'!$D:$DH,CR$1,0)),CQ109-VLOOKUP($D109,'Visu totale'!$D:$DH,CR$1,0),IF(LEFT(VLOOKUP($D109,'Visu totale'!$D:$DH,CR$1,0),1)="V",IF(CQ109&gt;=INDEX('[1]Définition Maintenances'!$G:$G,MATCH($A109,'[1]Définition Maintenances'!$K:$K,0)),CQ109,INDEX('[1]Définition Maintenances'!$G:$G,MATCH($A109,'[1]Définition Maintenances'!$K:$K,0))+CQ109),CQ109))</f>
        <v>1055</v>
      </c>
      <c r="CS109" s="26">
        <f>IF(ISNUMBER(VLOOKUP($D109,'Visu totale'!$D:$DH,CS$1,0)),CR109-VLOOKUP($D109,'Visu totale'!$D:$DH,CS$1,0),IF(LEFT(VLOOKUP($D109,'Visu totale'!$D:$DH,CS$1,0),1)="V",IF(CR109&gt;=INDEX('[1]Définition Maintenances'!$G:$G,MATCH($A109,'[1]Définition Maintenances'!$K:$K,0)),CR109,INDEX('[1]Définition Maintenances'!$G:$G,MATCH($A109,'[1]Définition Maintenances'!$K:$K,0))+CR109),CR109))</f>
        <v>1055</v>
      </c>
      <c r="CT109" s="26">
        <f>IF(ISNUMBER(VLOOKUP($D109,'Visu totale'!$D:$DH,CT$1,0)),CS109-VLOOKUP($D109,'Visu totale'!$D:$DH,CT$1,0),IF(LEFT(VLOOKUP($D109,'Visu totale'!$D:$DH,CT$1,0),1)="V",IF(CS109&gt;=INDEX('[1]Définition Maintenances'!$G:$G,MATCH($A109,'[1]Définition Maintenances'!$K:$K,0)),CS109,INDEX('[1]Définition Maintenances'!$G:$G,MATCH($A109,'[1]Définition Maintenances'!$K:$K,0))+CS109),CS109))</f>
        <v>1055</v>
      </c>
      <c r="CU109" s="26">
        <f>IF(ISNUMBER(VLOOKUP($D109,'Visu totale'!$D:$DH,CU$1,0)),CT109-VLOOKUP($D109,'Visu totale'!$D:$DH,CU$1,0),IF(LEFT(VLOOKUP($D109,'Visu totale'!$D:$DH,CU$1,0),1)="V",IF(CT109&gt;=INDEX('[1]Définition Maintenances'!$G:$G,MATCH($A109,'[1]Définition Maintenances'!$K:$K,0)),CT109,INDEX('[1]Définition Maintenances'!$G:$G,MATCH($A109,'[1]Définition Maintenances'!$K:$K,0))+CT109),CT109))</f>
        <v>1055</v>
      </c>
      <c r="CV109" s="26">
        <f>IF(ISNUMBER(VLOOKUP($D109,'Visu totale'!$D:$DH,CV$1,0)),CU109-VLOOKUP($D109,'Visu totale'!$D:$DH,CV$1,0),IF(LEFT(VLOOKUP($D109,'Visu totale'!$D:$DH,CV$1,0),1)="V",IF(CU109&gt;=INDEX('[1]Définition Maintenances'!$G:$G,MATCH($A109,'[1]Définition Maintenances'!$K:$K,0)),CU109,INDEX('[1]Définition Maintenances'!$G:$G,MATCH($A109,'[1]Définition Maintenances'!$K:$K,0))+CU109),CU109))</f>
        <v>1055</v>
      </c>
      <c r="CW109" s="27">
        <f>IF(ISNUMBER(VLOOKUP($D109,'Visu totale'!$D:$DH,CW$1,0)),CV109-VLOOKUP($D109,'Visu totale'!$D:$DH,CW$1,0),IF(LEFT(VLOOKUP($D109,'Visu totale'!$D:$DH,CW$1,0),1)="V",IF(CV109&gt;=INDEX('[1]Définition Maintenances'!$G:$G,MATCH($A109,'[1]Définition Maintenances'!$K:$K,0)),CV109,INDEX('[1]Définition Maintenances'!$G:$G,MATCH($A109,'[1]Définition Maintenances'!$K:$K,0))+CV109),CV109))</f>
        <v>1055</v>
      </c>
      <c r="CX109" s="25">
        <f>IF(ISNUMBER(VLOOKUP($D109,'Visu totale'!$D:$DH,CX$1,0)),CW109-VLOOKUP($D109,'Visu totale'!$D:$DH,CX$1,0),IF(LEFT(VLOOKUP($D109,'Visu totale'!$D:$DH,CX$1,0),1)="V",IF(CW109&gt;=INDEX('[1]Définition Maintenances'!$G:$G,MATCH($A109,'[1]Définition Maintenances'!$K:$K,0)),CW109,INDEX('[1]Définition Maintenances'!$G:$G,MATCH($A109,'[1]Définition Maintenances'!$K:$K,0))+CW109),CW109))</f>
        <v>1055</v>
      </c>
      <c r="CY109" s="26">
        <f>IF(ISNUMBER(VLOOKUP($D109,'Visu totale'!$D:$DH,CY$1,0)),CX109-VLOOKUP($D109,'Visu totale'!$D:$DH,CY$1,0),IF(LEFT(VLOOKUP($D109,'Visu totale'!$D:$DH,CY$1,0),1)="V",IF(CX109&gt;=INDEX('[1]Définition Maintenances'!$G:$G,MATCH($A109,'[1]Définition Maintenances'!$K:$K,0)),CX109,INDEX('[1]Définition Maintenances'!$G:$G,MATCH($A109,'[1]Définition Maintenances'!$K:$K,0))+CX109),CX109))</f>
        <v>1055</v>
      </c>
      <c r="CZ109" s="26">
        <f>IF(ISNUMBER(VLOOKUP($D109,'Visu totale'!$D:$DH,CZ$1,0)),CY109-VLOOKUP($D109,'Visu totale'!$D:$DH,CZ$1,0),IF(LEFT(VLOOKUP($D109,'Visu totale'!$D:$DH,CZ$1,0),1)="V",IF(CY109&gt;=INDEX('[1]Définition Maintenances'!$G:$G,MATCH($A109,'[1]Définition Maintenances'!$K:$K,0)),CY109,INDEX('[1]Définition Maintenances'!$G:$G,MATCH($A109,'[1]Définition Maintenances'!$K:$K,0))+CY109),CY109))</f>
        <v>1055</v>
      </c>
      <c r="DA109" s="26">
        <f>IF(ISNUMBER(VLOOKUP($D109,'Visu totale'!$D:$DH,DA$1,0)),CZ109-VLOOKUP($D109,'Visu totale'!$D:$DH,DA$1,0),IF(LEFT(VLOOKUP($D109,'Visu totale'!$D:$DH,DA$1,0),1)="V",IF(CZ109&gt;=INDEX('[1]Définition Maintenances'!$G:$G,MATCH($A109,'[1]Définition Maintenances'!$K:$K,0)),CZ109,INDEX('[1]Définition Maintenances'!$G:$G,MATCH($A109,'[1]Définition Maintenances'!$K:$K,0))+CZ109),CZ109))</f>
        <v>1055</v>
      </c>
      <c r="DB109" s="26">
        <f>IF(ISNUMBER(VLOOKUP($D109,'Visu totale'!$D:$DH,DB$1,0)),DA109-VLOOKUP($D109,'Visu totale'!$D:$DH,DB$1,0),IF(LEFT(VLOOKUP($D109,'Visu totale'!$D:$DH,DB$1,0),1)="V",IF(DA109&gt;=INDEX('[1]Définition Maintenances'!$G:$G,MATCH($A109,'[1]Définition Maintenances'!$K:$K,0)),DA109,INDEX('[1]Définition Maintenances'!$G:$G,MATCH($A109,'[1]Définition Maintenances'!$K:$K,0))+DA109),DA109))</f>
        <v>1055</v>
      </c>
      <c r="DC109" s="26">
        <f>IF(ISNUMBER(VLOOKUP($D109,'Visu totale'!$D:$DH,DC$1,0)),DB109-VLOOKUP($D109,'Visu totale'!$D:$DH,DC$1,0),IF(LEFT(VLOOKUP($D109,'Visu totale'!$D:$DH,DC$1,0),1)="V",IF(DB109&gt;=INDEX('[1]Définition Maintenances'!$G:$G,MATCH($A109,'[1]Définition Maintenances'!$K:$K,0)),DB109,INDEX('[1]Définition Maintenances'!$G:$G,MATCH($A109,'[1]Définition Maintenances'!$K:$K,0))+DB109),DB109))</f>
        <v>1055</v>
      </c>
      <c r="DD109" s="26">
        <f>IF(ISNUMBER(VLOOKUP($D109,'Visu totale'!$D:$DH,DD$1,0)),DC109-VLOOKUP($D109,'Visu totale'!$D:$DH,DD$1,0),IF(LEFT(VLOOKUP($D109,'Visu totale'!$D:$DH,DD$1,0),1)="V",IF(DC109&gt;=INDEX('[1]Définition Maintenances'!$G:$G,MATCH($A109,'[1]Définition Maintenances'!$K:$K,0)),DC109,INDEX('[1]Définition Maintenances'!$G:$G,MATCH($A109,'[1]Définition Maintenances'!$K:$K,0))+DC109),DC109))</f>
        <v>1055</v>
      </c>
      <c r="DE109" s="26">
        <f>IF(ISNUMBER(VLOOKUP($D109,'Visu totale'!$D:$DH,DE$1,0)),DD109-VLOOKUP($D109,'Visu totale'!$D:$DH,DE$1,0),IF(LEFT(VLOOKUP($D109,'Visu totale'!$D:$DH,DE$1,0),1)="V",IF(DD109&gt;=INDEX('[1]Définition Maintenances'!$G:$G,MATCH($A109,'[1]Définition Maintenances'!$K:$K,0)),DD109,INDEX('[1]Définition Maintenances'!$G:$G,MATCH($A109,'[1]Définition Maintenances'!$K:$K,0))+DD109),DD109))</f>
        <v>1055</v>
      </c>
      <c r="DF109" s="26">
        <f>IF(ISNUMBER(VLOOKUP($D109,'Visu totale'!$D:$DH,DF$1,0)),DE109-VLOOKUP($D109,'Visu totale'!$D:$DH,DF$1,0),IF(LEFT(VLOOKUP($D109,'Visu totale'!$D:$DH,DF$1,0),1)="V",IF(DE109&gt;=INDEX('[1]Définition Maintenances'!$G:$G,MATCH($A109,'[1]Définition Maintenances'!$K:$K,0)),DE109,INDEX('[1]Définition Maintenances'!$G:$G,MATCH($A109,'[1]Définition Maintenances'!$K:$K,0))+DE109),DE109))</f>
        <v>1055</v>
      </c>
      <c r="DG109" s="26">
        <f>IF(ISNUMBER(VLOOKUP($D109,'Visu totale'!$D:$DH,DG$1,0)),DF109-VLOOKUP($D109,'Visu totale'!$D:$DH,DG$1,0),IF(LEFT(VLOOKUP($D109,'Visu totale'!$D:$DH,DG$1,0),1)="V",IF(DF109&gt;=INDEX('[1]Définition Maintenances'!$G:$G,MATCH($A109,'[1]Définition Maintenances'!$K:$K,0)),DF109,INDEX('[1]Définition Maintenances'!$G:$G,MATCH($A109,'[1]Définition Maintenances'!$K:$K,0))+DF109),DF109))</f>
        <v>1055</v>
      </c>
      <c r="DH109" s="26">
        <f>IF(ISNUMBER(VLOOKUP($D109,'Visu totale'!$D:$DH,DH$1,0)),DG109-VLOOKUP($D109,'Visu totale'!$D:$DH,DH$1,0),IF(LEFT(VLOOKUP($D109,'Visu totale'!$D:$DH,DH$1,0),1)="V",IF(DG109&gt;=INDEX('[1]Définition Maintenances'!$G:$G,MATCH($A109,'[1]Définition Maintenances'!$K:$K,0)),DG109,INDEX('[1]Définition Maintenances'!$G:$G,MATCH($A109,'[1]Définition Maintenances'!$K:$K,0))+DG109),DG109))</f>
        <v>1055</v>
      </c>
      <c r="DI109" s="27">
        <f>IF(ISNUMBER(VLOOKUP($D109,'Visu totale'!$D:$DH,DI$1,0)),DH109-VLOOKUP($D109,'Visu totale'!$D:$DH,DI$1,0),IF(LEFT(VLOOKUP($D109,'Visu totale'!$D:$DH,DI$1,0),1)="V",IF(DH109&gt;=INDEX('[1]Définition Maintenances'!$G:$G,MATCH($A109,'[1]Définition Maintenances'!$K:$K,0)),DH109,INDEX('[1]Définition Maintenances'!$G:$G,MATCH($A109,'[1]Définition Maintenances'!$K:$K,0))+DH109),DH109))</f>
        <v>1055</v>
      </c>
    </row>
    <row r="110" spans="1:113" x14ac:dyDescent="0.25">
      <c r="A110" s="13" t="str">
        <f t="shared" si="3"/>
        <v>V105</v>
      </c>
      <c r="B110" s="13" t="str">
        <f>VLOOKUP(D110,'[1]Avions (Potentiels)'!$B$2:$H$128,7,FALSE)</f>
        <v>V10</v>
      </c>
      <c r="C110" s="13"/>
      <c r="D110" s="16" t="s">
        <v>113</v>
      </c>
      <c r="E110" s="13">
        <f>IFERROR(VALUE(SUBSTITUTE(VLOOKUP(D110,'[1]Avions (Potentiels)'!$B:$E,4,0),".",",")),VALUE(VLOOKUP(D110,'[1]Avions (Potentiels)'!$B:$E,4,0)))</f>
        <v>460</v>
      </c>
      <c r="F110" s="25">
        <f>IF(ISNUMBER(VLOOKUP($D110,'Visu totale'!$D:$DH,F$1,0)),E110-VLOOKUP($D110,'Visu totale'!$D:$DH,F$1,0),IF(LEFT(VLOOKUP($D110,'Visu totale'!$D:$DH,F$1,0),1)="V",IF(E110&gt;=INDEX('[1]Définition Maintenances'!$G:$G,MATCH($A110,'[1]Définition Maintenances'!$K:$K,0)),E110,INDEX('[1]Définition Maintenances'!$G:$G,MATCH($A110,'[1]Définition Maintenances'!$K:$K,0))+E110),E110))</f>
        <v>460</v>
      </c>
      <c r="G110" s="26">
        <f>IF(ISNUMBER(VLOOKUP($D110,'Visu totale'!$D:$DH,G$1,0)),F110-VLOOKUP($D110,'Visu totale'!$D:$DH,G$1,0),IF(LEFT(VLOOKUP($D110,'Visu totale'!$D:$DH,G$1,0),1)="V",IF(F110&gt;=INDEX('[1]Définition Maintenances'!$G:$G,MATCH($A110,'[1]Définition Maintenances'!$K:$K,0)),F110,INDEX('[1]Définition Maintenances'!$G:$G,MATCH($A110,'[1]Définition Maintenances'!$K:$K,0))+F110),F110))</f>
        <v>460</v>
      </c>
      <c r="H110" s="26">
        <f>IF(ISNUMBER(VLOOKUP($D110,'Visu totale'!$D:$DH,H$1,0)),G110-VLOOKUP($D110,'Visu totale'!$D:$DH,H$1,0),IF(LEFT(VLOOKUP($D110,'Visu totale'!$D:$DH,H$1,0),1)="V",IF(G110&gt;=INDEX('[1]Définition Maintenances'!$G:$G,MATCH($A110,'[1]Définition Maintenances'!$K:$K,0)),G110,INDEX('[1]Définition Maintenances'!$G:$G,MATCH($A110,'[1]Définition Maintenances'!$K:$K,0))+G110),G110))</f>
        <v>460</v>
      </c>
      <c r="I110" s="26">
        <f>IF(ISNUMBER(VLOOKUP($D110,'Visu totale'!$D:$DH,I$1,0)),H110-VLOOKUP($D110,'Visu totale'!$D:$DH,I$1,0),IF(LEFT(VLOOKUP($D110,'Visu totale'!$D:$DH,I$1,0),1)="V",IF(H110&gt;=INDEX('[1]Définition Maintenances'!$G:$G,MATCH($A110,'[1]Définition Maintenances'!$K:$K,0)),H110,INDEX('[1]Définition Maintenances'!$G:$G,MATCH($A110,'[1]Définition Maintenances'!$K:$K,0))+H110),H110))</f>
        <v>460</v>
      </c>
      <c r="J110" s="26">
        <f>IF(ISNUMBER(VLOOKUP($D110,'Visu totale'!$D:$DH,J$1,0)),I110-VLOOKUP($D110,'Visu totale'!$D:$DH,J$1,0),IF(LEFT(VLOOKUP($D110,'Visu totale'!$D:$DH,J$1,0),1)="V",IF(I110&gt;=INDEX('[1]Définition Maintenances'!$G:$G,MATCH($A110,'[1]Définition Maintenances'!$K:$K,0)),I110,INDEX('[1]Définition Maintenances'!$G:$G,MATCH($A110,'[1]Définition Maintenances'!$K:$K,0))+I110),I110))</f>
        <v>460</v>
      </c>
      <c r="K110" s="26">
        <f>IF(ISNUMBER(VLOOKUP($D110,'Visu totale'!$D:$DH,K$1,0)),J110-VLOOKUP($D110,'Visu totale'!$D:$DH,K$1,0),IF(LEFT(VLOOKUP($D110,'Visu totale'!$D:$DH,K$1,0),1)="V",IF(J110&gt;=INDEX('[1]Définition Maintenances'!$G:$G,MATCH($A110,'[1]Définition Maintenances'!$K:$K,0)),J110,INDEX('[1]Définition Maintenances'!$G:$G,MATCH($A110,'[1]Définition Maintenances'!$K:$K,0))+J110),J110))</f>
        <v>460</v>
      </c>
      <c r="L110" s="26">
        <f>IF(ISNUMBER(VLOOKUP($D110,'Visu totale'!$D:$DH,L$1,0)),K110-VLOOKUP($D110,'Visu totale'!$D:$DH,L$1,0),IF(LEFT(VLOOKUP($D110,'Visu totale'!$D:$DH,L$1,0),1)="V",IF(K110&gt;=INDEX('[1]Définition Maintenances'!$G:$G,MATCH($A110,'[1]Définition Maintenances'!$K:$K,0)),K110,INDEX('[1]Définition Maintenances'!$G:$G,MATCH($A110,'[1]Définition Maintenances'!$K:$K,0))+K110),K110))</f>
        <v>460</v>
      </c>
      <c r="M110" s="26">
        <f>IF(ISNUMBER(VLOOKUP($D110,'Visu totale'!$D:$DH,M$1,0)),L110-VLOOKUP($D110,'Visu totale'!$D:$DH,M$1,0),IF(LEFT(VLOOKUP($D110,'Visu totale'!$D:$DH,M$1,0),1)="V",IF(L110&gt;=INDEX('[1]Définition Maintenances'!$G:$G,MATCH($A110,'[1]Définition Maintenances'!$K:$K,0)),L110,INDEX('[1]Définition Maintenances'!$G:$G,MATCH($A110,'[1]Définition Maintenances'!$K:$K,0))+L110),L110))</f>
        <v>460</v>
      </c>
      <c r="N110" s="26">
        <f>IF(ISNUMBER(VLOOKUP($D110,'Visu totale'!$D:$DH,N$1,0)),M110-VLOOKUP($D110,'Visu totale'!$D:$DH,N$1,0),IF(LEFT(VLOOKUP($D110,'Visu totale'!$D:$DH,N$1,0),1)="V",IF(M110&gt;=INDEX('[1]Définition Maintenances'!$G:$G,MATCH($A110,'[1]Définition Maintenances'!$K:$K,0)),M110,INDEX('[1]Définition Maintenances'!$G:$G,MATCH($A110,'[1]Définition Maintenances'!$K:$K,0))+M110),M110))</f>
        <v>460</v>
      </c>
      <c r="O110" s="26">
        <f>IF(ISNUMBER(VLOOKUP($D110,'Visu totale'!$D:$DH,O$1,0)),N110-VLOOKUP($D110,'Visu totale'!$D:$DH,O$1,0),IF(LEFT(VLOOKUP($D110,'Visu totale'!$D:$DH,O$1,0),1)="V",IF(N110&gt;=INDEX('[1]Définition Maintenances'!$G:$G,MATCH($A110,'[1]Définition Maintenances'!$K:$K,0)),N110,INDEX('[1]Définition Maintenances'!$G:$G,MATCH($A110,'[1]Définition Maintenances'!$K:$K,0))+N110),N110))</f>
        <v>460</v>
      </c>
      <c r="P110" s="26">
        <f>IF(ISNUMBER(VLOOKUP($D110,'Visu totale'!$D:$DH,P$1,0)),O110-VLOOKUP($D110,'Visu totale'!$D:$DH,P$1,0),IF(LEFT(VLOOKUP($D110,'Visu totale'!$D:$DH,P$1,0),1)="V",IF(O110&gt;=INDEX('[1]Définition Maintenances'!$G:$G,MATCH($A110,'[1]Définition Maintenances'!$K:$K,0)),O110,INDEX('[1]Définition Maintenances'!$G:$G,MATCH($A110,'[1]Définition Maintenances'!$K:$K,0))+O110),O110))</f>
        <v>460</v>
      </c>
      <c r="Q110" s="27">
        <f>IF(ISNUMBER(VLOOKUP($D110,'Visu totale'!$D:$DH,Q$1,0)),P110-VLOOKUP($D110,'Visu totale'!$D:$DH,Q$1,0),IF(LEFT(VLOOKUP($D110,'Visu totale'!$D:$DH,Q$1,0),1)="V",IF(P110&gt;=INDEX('[1]Définition Maintenances'!$G:$G,MATCH($A110,'[1]Définition Maintenances'!$K:$K,0)),P110,INDEX('[1]Définition Maintenances'!$G:$G,MATCH($A110,'[1]Définition Maintenances'!$K:$K,0))+P110),P110))</f>
        <v>460</v>
      </c>
      <c r="R110" s="25">
        <f>IF(ISNUMBER(VLOOKUP($D110,'Visu totale'!$D:$DH,R$1,0)),Q110-VLOOKUP($D110,'Visu totale'!$D:$DH,R$1,0),IF(LEFT(VLOOKUP($D110,'Visu totale'!$D:$DH,R$1,0),1)="V",IF(Q110&gt;=INDEX('[1]Définition Maintenances'!$G:$G,MATCH($A110,'[1]Définition Maintenances'!$K:$K,0)),Q110,INDEX('[1]Définition Maintenances'!$G:$G,MATCH($A110,'[1]Définition Maintenances'!$K:$K,0))+Q110),Q110))</f>
        <v>460</v>
      </c>
      <c r="S110" s="26">
        <f>IF(ISNUMBER(VLOOKUP($D110,'Visu totale'!$D:$DH,S$1,0)),R110-VLOOKUP($D110,'Visu totale'!$D:$DH,S$1,0),IF(LEFT(VLOOKUP($D110,'Visu totale'!$D:$DH,S$1,0),1)="V",IF(R110&gt;=INDEX('[1]Définition Maintenances'!$G:$G,MATCH($A110,'[1]Définition Maintenances'!$K:$K,0)),R110,INDEX('[1]Définition Maintenances'!$G:$G,MATCH($A110,'[1]Définition Maintenances'!$K:$K,0))+R110),R110))</f>
        <v>460</v>
      </c>
      <c r="T110" s="26">
        <f>IF(ISNUMBER(VLOOKUP($D110,'Visu totale'!$D:$DH,T$1,0)),S110-VLOOKUP($D110,'Visu totale'!$D:$DH,T$1,0),IF(LEFT(VLOOKUP($D110,'Visu totale'!$D:$DH,T$1,0),1)="V",IF(S110&gt;=INDEX('[1]Définition Maintenances'!$G:$G,MATCH($A110,'[1]Définition Maintenances'!$K:$K,0)),S110,INDEX('[1]Définition Maintenances'!$G:$G,MATCH($A110,'[1]Définition Maintenances'!$K:$K,0))+S110),S110))</f>
        <v>460</v>
      </c>
      <c r="U110" s="26">
        <f>IF(ISNUMBER(VLOOKUP($D110,'Visu totale'!$D:$DH,U$1,0)),T110-VLOOKUP($D110,'Visu totale'!$D:$DH,U$1,0),IF(LEFT(VLOOKUP($D110,'Visu totale'!$D:$DH,U$1,0),1)="V",IF(T110&gt;=INDEX('[1]Définition Maintenances'!$G:$G,MATCH($A110,'[1]Définition Maintenances'!$K:$K,0)),T110,INDEX('[1]Définition Maintenances'!$G:$G,MATCH($A110,'[1]Définition Maintenances'!$K:$K,0))+T110),T110))</f>
        <v>460</v>
      </c>
      <c r="V110" s="26">
        <f>IF(ISNUMBER(VLOOKUP($D110,'Visu totale'!$D:$DH,V$1,0)),U110-VLOOKUP($D110,'Visu totale'!$D:$DH,V$1,0),IF(LEFT(VLOOKUP($D110,'Visu totale'!$D:$DH,V$1,0),1)="V",IF(U110&gt;=INDEX('[1]Définition Maintenances'!$G:$G,MATCH($A110,'[1]Définition Maintenances'!$K:$K,0)),U110,INDEX('[1]Définition Maintenances'!$G:$G,MATCH($A110,'[1]Définition Maintenances'!$K:$K,0))+U110),U110))</f>
        <v>460</v>
      </c>
      <c r="W110" s="26">
        <f>IF(ISNUMBER(VLOOKUP($D110,'Visu totale'!$D:$DH,W$1,0)),V110-VLOOKUP($D110,'Visu totale'!$D:$DH,W$1,0),IF(LEFT(VLOOKUP($D110,'Visu totale'!$D:$DH,W$1,0),1)="V",IF(V110&gt;=INDEX('[1]Définition Maintenances'!$G:$G,MATCH($A110,'[1]Définition Maintenances'!$K:$K,0)),V110,INDEX('[1]Définition Maintenances'!$G:$G,MATCH($A110,'[1]Définition Maintenances'!$K:$K,0))+V110),V110))</f>
        <v>460</v>
      </c>
      <c r="X110" s="26">
        <f>IF(ISNUMBER(VLOOKUP($D110,'Visu totale'!$D:$DH,X$1,0)),W110-VLOOKUP($D110,'Visu totale'!$D:$DH,X$1,0),IF(LEFT(VLOOKUP($D110,'Visu totale'!$D:$DH,X$1,0),1)="V",IF(W110&gt;=INDEX('[1]Définition Maintenances'!$G:$G,MATCH($A110,'[1]Définition Maintenances'!$K:$K,0)),W110,INDEX('[1]Définition Maintenances'!$G:$G,MATCH($A110,'[1]Définition Maintenances'!$K:$K,0))+W110),W110))</f>
        <v>460</v>
      </c>
      <c r="Y110" s="26">
        <f>IF(ISNUMBER(VLOOKUP($D110,'Visu totale'!$D:$DH,Y$1,0)),X110-VLOOKUP($D110,'Visu totale'!$D:$DH,Y$1,0),IF(LEFT(VLOOKUP($D110,'Visu totale'!$D:$DH,Y$1,0),1)="V",IF(X110&gt;=INDEX('[1]Définition Maintenances'!$G:$G,MATCH($A110,'[1]Définition Maintenances'!$K:$K,0)),X110,INDEX('[1]Définition Maintenances'!$G:$G,MATCH($A110,'[1]Définition Maintenances'!$K:$K,0))+X110),X110))</f>
        <v>460</v>
      </c>
      <c r="Z110" s="26">
        <f>IF(ISNUMBER(VLOOKUP($D110,'Visu totale'!$D:$DH,Z$1,0)),Y110-VLOOKUP($D110,'Visu totale'!$D:$DH,Z$1,0),IF(LEFT(VLOOKUP($D110,'Visu totale'!$D:$DH,Z$1,0),1)="V",IF(Y110&gt;=INDEX('[1]Définition Maintenances'!$G:$G,MATCH($A110,'[1]Définition Maintenances'!$K:$K,0)),Y110,INDEX('[1]Définition Maintenances'!$G:$G,MATCH($A110,'[1]Définition Maintenances'!$K:$K,0))+Y110),Y110))</f>
        <v>460</v>
      </c>
      <c r="AA110" s="26">
        <f>IF(ISNUMBER(VLOOKUP($D110,'Visu totale'!$D:$DH,AA$1,0)),Z110-VLOOKUP($D110,'Visu totale'!$D:$DH,AA$1,0),IF(LEFT(VLOOKUP($D110,'Visu totale'!$D:$DH,AA$1,0),1)="V",IF(Z110&gt;=INDEX('[1]Définition Maintenances'!$G:$G,MATCH($A110,'[1]Définition Maintenances'!$K:$K,0)),Z110,INDEX('[1]Définition Maintenances'!$G:$G,MATCH($A110,'[1]Définition Maintenances'!$K:$K,0))+Z110),Z110))</f>
        <v>460</v>
      </c>
      <c r="AB110" s="26">
        <f>IF(ISNUMBER(VLOOKUP($D110,'Visu totale'!$D:$DH,AB$1,0)),AA110-VLOOKUP($D110,'Visu totale'!$D:$DH,AB$1,0),IF(LEFT(VLOOKUP($D110,'Visu totale'!$D:$DH,AB$1,0),1)="V",IF(AA110&gt;=INDEX('[1]Définition Maintenances'!$G:$G,MATCH($A110,'[1]Définition Maintenances'!$K:$K,0)),AA110,INDEX('[1]Définition Maintenances'!$G:$G,MATCH($A110,'[1]Définition Maintenances'!$K:$K,0))+AA110),AA110))</f>
        <v>460</v>
      </c>
      <c r="AC110" s="27">
        <f>IF(ISNUMBER(VLOOKUP($D110,'Visu totale'!$D:$DH,AC$1,0)),AB110-VLOOKUP($D110,'Visu totale'!$D:$DH,AC$1,0),IF(LEFT(VLOOKUP($D110,'Visu totale'!$D:$DH,AC$1,0),1)="V",IF(AB110&gt;=INDEX('[1]Définition Maintenances'!$G:$G,MATCH($A110,'[1]Définition Maintenances'!$K:$K,0)),AB110,INDEX('[1]Définition Maintenances'!$G:$G,MATCH($A110,'[1]Définition Maintenances'!$K:$K,0))+AB110),AB110))</f>
        <v>460</v>
      </c>
      <c r="AD110" s="25">
        <f>IF(ISNUMBER(VLOOKUP($D110,'Visu totale'!$D:$DH,AD$1,0)),AC110-VLOOKUP($D110,'Visu totale'!$D:$DH,AD$1,0),IF(LEFT(VLOOKUP($D110,'Visu totale'!$D:$DH,AD$1,0),1)="V",IF(AC110&gt;=INDEX('[1]Définition Maintenances'!$G:$G,MATCH($A110,'[1]Définition Maintenances'!$K:$K,0)),AC110,INDEX('[1]Définition Maintenances'!$G:$G,MATCH($A110,'[1]Définition Maintenances'!$K:$K,0))+AC110),AC110))</f>
        <v>460</v>
      </c>
      <c r="AE110" s="26">
        <f>IF(ISNUMBER(VLOOKUP($D110,'Visu totale'!$D:$DH,AE$1,0)),AD110-VLOOKUP($D110,'Visu totale'!$D:$DH,AE$1,0),IF(LEFT(VLOOKUP($D110,'Visu totale'!$D:$DH,AE$1,0),1)="V",IF(AD110&gt;=INDEX('[1]Définition Maintenances'!$G:$G,MATCH($A110,'[1]Définition Maintenances'!$K:$K,0)),AD110,INDEX('[1]Définition Maintenances'!$G:$G,MATCH($A110,'[1]Définition Maintenances'!$K:$K,0))+AD110),AD110))</f>
        <v>460</v>
      </c>
      <c r="AF110" s="26">
        <f>IF(ISNUMBER(VLOOKUP($D110,'Visu totale'!$D:$DH,AF$1,0)),AE110-VLOOKUP($D110,'Visu totale'!$D:$DH,AF$1,0),IF(LEFT(VLOOKUP($D110,'Visu totale'!$D:$DH,AF$1,0),1)="V",IF(AE110&gt;=INDEX('[1]Définition Maintenances'!$G:$G,MATCH($A110,'[1]Définition Maintenances'!$K:$K,0)),AE110,INDEX('[1]Définition Maintenances'!$G:$G,MATCH($A110,'[1]Définition Maintenances'!$K:$K,0))+AE110),AE110))</f>
        <v>460</v>
      </c>
      <c r="AG110" s="26">
        <f>IF(ISNUMBER(VLOOKUP($D110,'Visu totale'!$D:$DH,AG$1,0)),AF110-VLOOKUP($D110,'Visu totale'!$D:$DH,AG$1,0),IF(LEFT(VLOOKUP($D110,'Visu totale'!$D:$DH,AG$1,0),1)="V",IF(AF110&gt;=INDEX('[1]Définition Maintenances'!$G:$G,MATCH($A110,'[1]Définition Maintenances'!$K:$K,0)),AF110,INDEX('[1]Définition Maintenances'!$G:$G,MATCH($A110,'[1]Définition Maintenances'!$K:$K,0))+AF110),AF110))</f>
        <v>460</v>
      </c>
      <c r="AH110" s="26">
        <f>IF(ISNUMBER(VLOOKUP($D110,'Visu totale'!$D:$DH,AH$1,0)),AG110-VLOOKUP($D110,'Visu totale'!$D:$DH,AH$1,0),IF(LEFT(VLOOKUP($D110,'Visu totale'!$D:$DH,AH$1,0),1)="V",IF(AG110&gt;=INDEX('[1]Définition Maintenances'!$G:$G,MATCH($A110,'[1]Définition Maintenances'!$K:$K,0)),AG110,INDEX('[1]Définition Maintenances'!$G:$G,MATCH($A110,'[1]Définition Maintenances'!$K:$K,0))+AG110),AG110))</f>
        <v>460</v>
      </c>
      <c r="AI110" s="26">
        <f>IF(ISNUMBER(VLOOKUP($D110,'Visu totale'!$D:$DH,AI$1,0)),AH110-VLOOKUP($D110,'Visu totale'!$D:$DH,AI$1,0),IF(LEFT(VLOOKUP($D110,'Visu totale'!$D:$DH,AI$1,0),1)="V",IF(AH110&gt;=INDEX('[1]Définition Maintenances'!$G:$G,MATCH($A110,'[1]Définition Maintenances'!$K:$K,0)),AH110,INDEX('[1]Définition Maintenances'!$G:$G,MATCH($A110,'[1]Définition Maintenances'!$K:$K,0))+AH110),AH110))</f>
        <v>460</v>
      </c>
      <c r="AJ110" s="26">
        <f>IF(ISNUMBER(VLOOKUP($D110,'Visu totale'!$D:$DH,AJ$1,0)),AI110-VLOOKUP($D110,'Visu totale'!$D:$DH,AJ$1,0),IF(LEFT(VLOOKUP($D110,'Visu totale'!$D:$DH,AJ$1,0),1)="V",IF(AI110&gt;=INDEX('[1]Définition Maintenances'!$G:$G,MATCH($A110,'[1]Définition Maintenances'!$K:$K,0)),AI110,INDEX('[1]Définition Maintenances'!$G:$G,MATCH($A110,'[1]Définition Maintenances'!$K:$K,0))+AI110),AI110))</f>
        <v>460</v>
      </c>
      <c r="AK110" s="26">
        <f>IF(ISNUMBER(VLOOKUP($D110,'Visu totale'!$D:$DH,AK$1,0)),AJ110-VLOOKUP($D110,'Visu totale'!$D:$DH,AK$1,0),IF(LEFT(VLOOKUP($D110,'Visu totale'!$D:$DH,AK$1,0),1)="V",IF(AJ110&gt;=INDEX('[1]Définition Maintenances'!$G:$G,MATCH($A110,'[1]Définition Maintenances'!$K:$K,0)),AJ110,INDEX('[1]Définition Maintenances'!$G:$G,MATCH($A110,'[1]Définition Maintenances'!$K:$K,0))+AJ110),AJ110))</f>
        <v>460</v>
      </c>
      <c r="AL110" s="26">
        <f>IF(ISNUMBER(VLOOKUP($D110,'Visu totale'!$D:$DH,AL$1,0)),AK110-VLOOKUP($D110,'Visu totale'!$D:$DH,AL$1,0),IF(LEFT(VLOOKUP($D110,'Visu totale'!$D:$DH,AL$1,0),1)="V",IF(AK110&gt;=INDEX('[1]Définition Maintenances'!$G:$G,MATCH($A110,'[1]Définition Maintenances'!$K:$K,0)),AK110,INDEX('[1]Définition Maintenances'!$G:$G,MATCH($A110,'[1]Définition Maintenances'!$K:$K,0))+AK110),AK110))</f>
        <v>460</v>
      </c>
      <c r="AM110" s="26">
        <f>IF(ISNUMBER(VLOOKUP($D110,'Visu totale'!$D:$DH,AM$1,0)),AL110-VLOOKUP($D110,'Visu totale'!$D:$DH,AM$1,0),IF(LEFT(VLOOKUP($D110,'Visu totale'!$D:$DH,AM$1,0),1)="V",IF(AL110&gt;=INDEX('[1]Définition Maintenances'!$G:$G,MATCH($A110,'[1]Définition Maintenances'!$K:$K,0)),AL110,INDEX('[1]Définition Maintenances'!$G:$G,MATCH($A110,'[1]Définition Maintenances'!$K:$K,0))+AL110),AL110))</f>
        <v>460</v>
      </c>
      <c r="AN110" s="26">
        <f>IF(ISNUMBER(VLOOKUP($D110,'Visu totale'!$D:$DH,AN$1,0)),AM110-VLOOKUP($D110,'Visu totale'!$D:$DH,AN$1,0),IF(LEFT(VLOOKUP($D110,'Visu totale'!$D:$DH,AN$1,0),1)="V",IF(AM110&gt;=INDEX('[1]Définition Maintenances'!$G:$G,MATCH($A110,'[1]Définition Maintenances'!$K:$K,0)),AM110,INDEX('[1]Définition Maintenances'!$G:$G,MATCH($A110,'[1]Définition Maintenances'!$K:$K,0))+AM110),AM110))</f>
        <v>460</v>
      </c>
      <c r="AO110" s="27">
        <f>IF(ISNUMBER(VLOOKUP($D110,'Visu totale'!$D:$DH,AO$1,0)),AN110-VLOOKUP($D110,'Visu totale'!$D:$DH,AO$1,0),IF(LEFT(VLOOKUP($D110,'Visu totale'!$D:$DH,AO$1,0),1)="V",IF(AN110&gt;=INDEX('[1]Définition Maintenances'!$G:$G,MATCH($A110,'[1]Définition Maintenances'!$K:$K,0)),AN110,INDEX('[1]Définition Maintenances'!$G:$G,MATCH($A110,'[1]Définition Maintenances'!$K:$K,0))+AN110),AN110))</f>
        <v>460</v>
      </c>
      <c r="AP110" s="25">
        <f>IF(ISNUMBER(VLOOKUP($D110,'Visu totale'!$D:$DH,AP$1,0)),AO110-VLOOKUP($D110,'Visu totale'!$D:$DH,AP$1,0),IF(LEFT(VLOOKUP($D110,'Visu totale'!$D:$DH,AP$1,0),1)="V",IF(AO110&gt;=INDEX('[1]Définition Maintenances'!$G:$G,MATCH($A110,'[1]Définition Maintenances'!$K:$K,0)),AO110,INDEX('[1]Définition Maintenances'!$G:$G,MATCH($A110,'[1]Définition Maintenances'!$K:$K,0))+AO110),AO110))</f>
        <v>460</v>
      </c>
      <c r="AQ110" s="26">
        <f>IF(ISNUMBER(VLOOKUP($D110,'Visu totale'!$D:$DH,AQ$1,0)),AP110-VLOOKUP($D110,'Visu totale'!$D:$DH,AQ$1,0),IF(LEFT(VLOOKUP($D110,'Visu totale'!$D:$DH,AQ$1,0),1)="V",IF(AP110&gt;=INDEX('[1]Définition Maintenances'!$G:$G,MATCH($A110,'[1]Définition Maintenances'!$K:$K,0)),AP110,INDEX('[1]Définition Maintenances'!$G:$G,MATCH($A110,'[1]Définition Maintenances'!$K:$K,0))+AP110),AP110))</f>
        <v>460</v>
      </c>
      <c r="AR110" s="26">
        <f>IF(ISNUMBER(VLOOKUP($D110,'Visu totale'!$D:$DH,AR$1,0)),AQ110-VLOOKUP($D110,'Visu totale'!$D:$DH,AR$1,0),IF(LEFT(VLOOKUP($D110,'Visu totale'!$D:$DH,AR$1,0),1)="V",IF(AQ110&gt;=INDEX('[1]Définition Maintenances'!$G:$G,MATCH($A110,'[1]Définition Maintenances'!$K:$K,0)),AQ110,INDEX('[1]Définition Maintenances'!$G:$G,MATCH($A110,'[1]Définition Maintenances'!$K:$K,0))+AQ110),AQ110))</f>
        <v>460</v>
      </c>
      <c r="AS110" s="26">
        <f>IF(ISNUMBER(VLOOKUP($D110,'Visu totale'!$D:$DH,AS$1,0)),AR110-VLOOKUP($D110,'Visu totale'!$D:$DH,AS$1,0),IF(LEFT(VLOOKUP($D110,'Visu totale'!$D:$DH,AS$1,0),1)="V",IF(AR110&gt;=INDEX('[1]Définition Maintenances'!$G:$G,MATCH($A110,'[1]Définition Maintenances'!$K:$K,0)),AR110,INDEX('[1]Définition Maintenances'!$G:$G,MATCH($A110,'[1]Définition Maintenances'!$K:$K,0))+AR110),AR110))</f>
        <v>460</v>
      </c>
      <c r="AT110" s="26">
        <f>IF(ISNUMBER(VLOOKUP($D110,'Visu totale'!$D:$DH,AT$1,0)),AS110-VLOOKUP($D110,'Visu totale'!$D:$DH,AT$1,0),IF(LEFT(VLOOKUP($D110,'Visu totale'!$D:$DH,AT$1,0),1)="V",IF(AS110&gt;=INDEX('[1]Définition Maintenances'!$G:$G,MATCH($A110,'[1]Définition Maintenances'!$K:$K,0)),AS110,INDEX('[1]Définition Maintenances'!$G:$G,MATCH($A110,'[1]Définition Maintenances'!$K:$K,0))+AS110),AS110))</f>
        <v>460</v>
      </c>
      <c r="AU110" s="26">
        <f>IF(ISNUMBER(VLOOKUP($D110,'Visu totale'!$D:$DH,AU$1,0)),AT110-VLOOKUP($D110,'Visu totale'!$D:$DH,AU$1,0),IF(LEFT(VLOOKUP($D110,'Visu totale'!$D:$DH,AU$1,0),1)="V",IF(AT110&gt;=INDEX('[1]Définition Maintenances'!$G:$G,MATCH($A110,'[1]Définition Maintenances'!$K:$K,0)),AT110,INDEX('[1]Définition Maintenances'!$G:$G,MATCH($A110,'[1]Définition Maintenances'!$K:$K,0))+AT110),AT110))</f>
        <v>460</v>
      </c>
      <c r="AV110" s="26">
        <f>IF(ISNUMBER(VLOOKUP($D110,'Visu totale'!$D:$DH,AV$1,0)),AU110-VLOOKUP($D110,'Visu totale'!$D:$DH,AV$1,0),IF(LEFT(VLOOKUP($D110,'Visu totale'!$D:$DH,AV$1,0),1)="V",IF(AU110&gt;=INDEX('[1]Définition Maintenances'!$G:$G,MATCH($A110,'[1]Définition Maintenances'!$K:$K,0)),AU110,INDEX('[1]Définition Maintenances'!$G:$G,MATCH($A110,'[1]Définition Maintenances'!$K:$K,0))+AU110),AU110))</f>
        <v>460</v>
      </c>
      <c r="AW110" s="26">
        <f>IF(ISNUMBER(VLOOKUP($D110,'Visu totale'!$D:$DH,AW$1,0)),AV110-VLOOKUP($D110,'Visu totale'!$D:$DH,AW$1,0),IF(LEFT(VLOOKUP($D110,'Visu totale'!$D:$DH,AW$1,0),1)="V",IF(AV110&gt;=INDEX('[1]Définition Maintenances'!$G:$G,MATCH($A110,'[1]Définition Maintenances'!$K:$K,0)),AV110,INDEX('[1]Définition Maintenances'!$G:$G,MATCH($A110,'[1]Définition Maintenances'!$K:$K,0))+AV110),AV110))</f>
        <v>460</v>
      </c>
      <c r="AX110" s="26">
        <f>IF(ISNUMBER(VLOOKUP($D110,'Visu totale'!$D:$DH,AX$1,0)),AW110-VLOOKUP($D110,'Visu totale'!$D:$DH,AX$1,0),IF(LEFT(VLOOKUP($D110,'Visu totale'!$D:$DH,AX$1,0),1)="V",IF(AW110&gt;=INDEX('[1]Définition Maintenances'!$G:$G,MATCH($A110,'[1]Définition Maintenances'!$K:$K,0)),AW110,INDEX('[1]Définition Maintenances'!$G:$G,MATCH($A110,'[1]Définition Maintenances'!$K:$K,0))+AW110),AW110))</f>
        <v>460</v>
      </c>
      <c r="AY110" s="26">
        <f>IF(ISNUMBER(VLOOKUP($D110,'Visu totale'!$D:$DH,AY$1,0)),AX110-VLOOKUP($D110,'Visu totale'!$D:$DH,AY$1,0),IF(LEFT(VLOOKUP($D110,'Visu totale'!$D:$DH,AY$1,0),1)="V",IF(AX110&gt;=INDEX('[1]Définition Maintenances'!$G:$G,MATCH($A110,'[1]Définition Maintenances'!$K:$K,0)),AX110,INDEX('[1]Définition Maintenances'!$G:$G,MATCH($A110,'[1]Définition Maintenances'!$K:$K,0))+AX110),AX110))</f>
        <v>460</v>
      </c>
      <c r="AZ110" s="26">
        <f>IF(ISNUMBER(VLOOKUP($D110,'Visu totale'!$D:$DH,AZ$1,0)),AY110-VLOOKUP($D110,'Visu totale'!$D:$DH,AZ$1,0),IF(LEFT(VLOOKUP($D110,'Visu totale'!$D:$DH,AZ$1,0),1)="V",IF(AY110&gt;=INDEX('[1]Définition Maintenances'!$G:$G,MATCH($A110,'[1]Définition Maintenances'!$K:$K,0)),AY110,INDEX('[1]Définition Maintenances'!$G:$G,MATCH($A110,'[1]Définition Maintenances'!$K:$K,0))+AY110),AY110))</f>
        <v>460</v>
      </c>
      <c r="BA110" s="27">
        <f>IF(ISNUMBER(VLOOKUP($D110,'Visu totale'!$D:$DH,BA$1,0)),AZ110-VLOOKUP($D110,'Visu totale'!$D:$DH,BA$1,0),IF(LEFT(VLOOKUP($D110,'Visu totale'!$D:$DH,BA$1,0),1)="V",IF(AZ110&gt;=INDEX('[1]Définition Maintenances'!$G:$G,MATCH($A110,'[1]Définition Maintenances'!$K:$K,0)),AZ110,INDEX('[1]Définition Maintenances'!$G:$G,MATCH($A110,'[1]Définition Maintenances'!$K:$K,0))+AZ110),AZ110))</f>
        <v>460</v>
      </c>
      <c r="BB110" s="25">
        <f>IF(ISNUMBER(VLOOKUP($D110,'Visu totale'!$D:$DH,BB$1,0)),BA110-VLOOKUP($D110,'Visu totale'!$D:$DH,BB$1,0),IF(LEFT(VLOOKUP($D110,'Visu totale'!$D:$DH,BB$1,0),1)="V",IF(BA110&gt;=INDEX('[1]Définition Maintenances'!$G:$G,MATCH($A110,'[1]Définition Maintenances'!$K:$K,0)),BA110,INDEX('[1]Définition Maintenances'!$G:$G,MATCH($A110,'[1]Définition Maintenances'!$K:$K,0))+BA110),BA110))</f>
        <v>460</v>
      </c>
      <c r="BC110" s="26">
        <f>IF(ISNUMBER(VLOOKUP($D110,'Visu totale'!$D:$DH,BC$1,0)),BB110-VLOOKUP($D110,'Visu totale'!$D:$DH,BC$1,0),IF(LEFT(VLOOKUP($D110,'Visu totale'!$D:$DH,BC$1,0),1)="V",IF(BB110&gt;=INDEX('[1]Définition Maintenances'!$G:$G,MATCH($A110,'[1]Définition Maintenances'!$K:$K,0)),BB110,INDEX('[1]Définition Maintenances'!$G:$G,MATCH($A110,'[1]Définition Maintenances'!$K:$K,0))+BB110),BB110))</f>
        <v>460</v>
      </c>
      <c r="BD110" s="26">
        <f>IF(ISNUMBER(VLOOKUP($D110,'Visu totale'!$D:$DH,BD$1,0)),BC110-VLOOKUP($D110,'Visu totale'!$D:$DH,BD$1,0),IF(LEFT(VLOOKUP($D110,'Visu totale'!$D:$DH,BD$1,0),1)="V",IF(BC110&gt;=INDEX('[1]Définition Maintenances'!$G:$G,MATCH($A110,'[1]Définition Maintenances'!$K:$K,0)),BC110,INDEX('[1]Définition Maintenances'!$G:$G,MATCH($A110,'[1]Définition Maintenances'!$K:$K,0))+BC110),BC110))</f>
        <v>460</v>
      </c>
      <c r="BE110" s="26">
        <f>IF(ISNUMBER(VLOOKUP($D110,'Visu totale'!$D:$DH,BE$1,0)),BD110-VLOOKUP($D110,'Visu totale'!$D:$DH,BE$1,0),IF(LEFT(VLOOKUP($D110,'Visu totale'!$D:$DH,BE$1,0),1)="V",IF(BD110&gt;=INDEX('[1]Définition Maintenances'!$G:$G,MATCH($A110,'[1]Définition Maintenances'!$K:$K,0)),BD110,INDEX('[1]Définition Maintenances'!$G:$G,MATCH($A110,'[1]Définition Maintenances'!$K:$K,0))+BD110),BD110))</f>
        <v>460</v>
      </c>
      <c r="BF110" s="26">
        <f>IF(ISNUMBER(VLOOKUP($D110,'Visu totale'!$D:$DH,BF$1,0)),BE110-VLOOKUP($D110,'Visu totale'!$D:$DH,BF$1,0),IF(LEFT(VLOOKUP($D110,'Visu totale'!$D:$DH,BF$1,0),1)="V",IF(BE110&gt;=INDEX('[1]Définition Maintenances'!$G:$G,MATCH($A110,'[1]Définition Maintenances'!$K:$K,0)),BE110,INDEX('[1]Définition Maintenances'!$G:$G,MATCH($A110,'[1]Définition Maintenances'!$K:$K,0))+BE110),BE110))</f>
        <v>460</v>
      </c>
      <c r="BG110" s="26">
        <f>IF(ISNUMBER(VLOOKUP($D110,'Visu totale'!$D:$DH,BG$1,0)),BF110-VLOOKUP($D110,'Visu totale'!$D:$DH,BG$1,0),IF(LEFT(VLOOKUP($D110,'Visu totale'!$D:$DH,BG$1,0),1)="V",IF(BF110&gt;=INDEX('[1]Définition Maintenances'!$G:$G,MATCH($A110,'[1]Définition Maintenances'!$K:$K,0)),BF110,INDEX('[1]Définition Maintenances'!$G:$G,MATCH($A110,'[1]Définition Maintenances'!$K:$K,0))+BF110),BF110))</f>
        <v>460</v>
      </c>
      <c r="BH110" s="26">
        <f>IF(ISNUMBER(VLOOKUP($D110,'Visu totale'!$D:$DH,BH$1,0)),BG110-VLOOKUP($D110,'Visu totale'!$D:$DH,BH$1,0),IF(LEFT(VLOOKUP($D110,'Visu totale'!$D:$DH,BH$1,0),1)="V",IF(BG110&gt;=INDEX('[1]Définition Maintenances'!$G:$G,MATCH($A110,'[1]Définition Maintenances'!$K:$K,0)),BG110,INDEX('[1]Définition Maintenances'!$G:$G,MATCH($A110,'[1]Définition Maintenances'!$K:$K,0))+BG110),BG110))</f>
        <v>460</v>
      </c>
      <c r="BI110" s="26">
        <f>IF(ISNUMBER(VLOOKUP($D110,'Visu totale'!$D:$DH,BI$1,0)),BH110-VLOOKUP($D110,'Visu totale'!$D:$DH,BI$1,0),IF(LEFT(VLOOKUP($D110,'Visu totale'!$D:$DH,BI$1,0),1)="V",IF(BH110&gt;=INDEX('[1]Définition Maintenances'!$G:$G,MATCH($A110,'[1]Définition Maintenances'!$K:$K,0)),BH110,INDEX('[1]Définition Maintenances'!$G:$G,MATCH($A110,'[1]Définition Maintenances'!$K:$K,0))+BH110),BH110))</f>
        <v>460</v>
      </c>
      <c r="BJ110" s="26">
        <f>IF(ISNUMBER(VLOOKUP($D110,'Visu totale'!$D:$DH,BJ$1,0)),BI110-VLOOKUP($D110,'Visu totale'!$D:$DH,BJ$1,0),IF(LEFT(VLOOKUP($D110,'Visu totale'!$D:$DH,BJ$1,0),1)="V",IF(BI110&gt;=INDEX('[1]Définition Maintenances'!$G:$G,MATCH($A110,'[1]Définition Maintenances'!$K:$K,0)),BI110,INDEX('[1]Définition Maintenances'!$G:$G,MATCH($A110,'[1]Définition Maintenances'!$K:$K,0))+BI110),BI110))</f>
        <v>460</v>
      </c>
      <c r="BK110" s="26">
        <f>IF(ISNUMBER(VLOOKUP($D110,'Visu totale'!$D:$DH,BK$1,0)),BJ110-VLOOKUP($D110,'Visu totale'!$D:$DH,BK$1,0),IF(LEFT(VLOOKUP($D110,'Visu totale'!$D:$DH,BK$1,0),1)="V",IF(BJ110&gt;=INDEX('[1]Définition Maintenances'!$G:$G,MATCH($A110,'[1]Définition Maintenances'!$K:$K,0)),BJ110,INDEX('[1]Définition Maintenances'!$G:$G,MATCH($A110,'[1]Définition Maintenances'!$K:$K,0))+BJ110),BJ110))</f>
        <v>460</v>
      </c>
      <c r="BL110" s="26">
        <f>IF(ISNUMBER(VLOOKUP($D110,'Visu totale'!$D:$DH,BL$1,0)),BK110-VLOOKUP($D110,'Visu totale'!$D:$DH,BL$1,0),IF(LEFT(VLOOKUP($D110,'Visu totale'!$D:$DH,BL$1,0),1)="V",IF(BK110&gt;=INDEX('[1]Définition Maintenances'!$G:$G,MATCH($A110,'[1]Définition Maintenances'!$K:$K,0)),BK110,INDEX('[1]Définition Maintenances'!$G:$G,MATCH($A110,'[1]Définition Maintenances'!$K:$K,0))+BK110),BK110))</f>
        <v>460</v>
      </c>
      <c r="BM110" s="27">
        <f>IF(ISNUMBER(VLOOKUP($D110,'Visu totale'!$D:$DH,BM$1,0)),BL110-VLOOKUP($D110,'Visu totale'!$D:$DH,BM$1,0),IF(LEFT(VLOOKUP($D110,'Visu totale'!$D:$DH,BM$1,0),1)="V",IF(BL110&gt;=INDEX('[1]Définition Maintenances'!$G:$G,MATCH($A110,'[1]Définition Maintenances'!$K:$K,0)),BL110,INDEX('[1]Définition Maintenances'!$G:$G,MATCH($A110,'[1]Définition Maintenances'!$K:$K,0))+BL110),BL110))</f>
        <v>460</v>
      </c>
      <c r="BN110" s="25">
        <f>IF(ISNUMBER(VLOOKUP($D110,'Visu totale'!$D:$DH,BN$1,0)),BM110-VLOOKUP($D110,'Visu totale'!$D:$DH,BN$1,0),IF(LEFT(VLOOKUP($D110,'Visu totale'!$D:$DH,BN$1,0),1)="V",IF(BM110&gt;=INDEX('[1]Définition Maintenances'!$G:$G,MATCH($A110,'[1]Définition Maintenances'!$K:$K,0)),BM110,INDEX('[1]Définition Maintenances'!$G:$G,MATCH($A110,'[1]Définition Maintenances'!$K:$K,0))+BM110),BM110))</f>
        <v>460</v>
      </c>
      <c r="BO110" s="26">
        <f>IF(ISNUMBER(VLOOKUP($D110,'Visu totale'!$D:$DH,BO$1,0)),BN110-VLOOKUP($D110,'Visu totale'!$D:$DH,BO$1,0),IF(LEFT(VLOOKUP($D110,'Visu totale'!$D:$DH,BO$1,0),1)="V",IF(BN110&gt;=INDEX('[1]Définition Maintenances'!$G:$G,MATCH($A110,'[1]Définition Maintenances'!$K:$K,0)),BN110,INDEX('[1]Définition Maintenances'!$G:$G,MATCH($A110,'[1]Définition Maintenances'!$K:$K,0))+BN110),BN110))</f>
        <v>460</v>
      </c>
      <c r="BP110" s="26">
        <f>IF(ISNUMBER(VLOOKUP($D110,'Visu totale'!$D:$DH,BP$1,0)),BO110-VLOOKUP($D110,'Visu totale'!$D:$DH,BP$1,0),IF(LEFT(VLOOKUP($D110,'Visu totale'!$D:$DH,BP$1,0),1)="V",IF(BO110&gt;=INDEX('[1]Définition Maintenances'!$G:$G,MATCH($A110,'[1]Définition Maintenances'!$K:$K,0)),BO110,INDEX('[1]Définition Maintenances'!$G:$G,MATCH($A110,'[1]Définition Maintenances'!$K:$K,0))+BO110),BO110))</f>
        <v>460</v>
      </c>
      <c r="BQ110" s="26">
        <f>IF(ISNUMBER(VLOOKUP($D110,'Visu totale'!$D:$DH,BQ$1,0)),BP110-VLOOKUP($D110,'Visu totale'!$D:$DH,BQ$1,0),IF(LEFT(VLOOKUP($D110,'Visu totale'!$D:$DH,BQ$1,0),1)="V",IF(BP110&gt;=INDEX('[1]Définition Maintenances'!$G:$G,MATCH($A110,'[1]Définition Maintenances'!$K:$K,0)),BP110,INDEX('[1]Définition Maintenances'!$G:$G,MATCH($A110,'[1]Définition Maintenances'!$K:$K,0))+BP110),BP110))</f>
        <v>460</v>
      </c>
      <c r="BR110" s="26">
        <f>IF(ISNUMBER(VLOOKUP($D110,'Visu totale'!$D:$DH,BR$1,0)),BQ110-VLOOKUP($D110,'Visu totale'!$D:$DH,BR$1,0),IF(LEFT(VLOOKUP($D110,'Visu totale'!$D:$DH,BR$1,0),1)="V",IF(BQ110&gt;=INDEX('[1]Définition Maintenances'!$G:$G,MATCH($A110,'[1]Définition Maintenances'!$K:$K,0)),BQ110,INDEX('[1]Définition Maintenances'!$G:$G,MATCH($A110,'[1]Définition Maintenances'!$K:$K,0))+BQ110),BQ110))</f>
        <v>460</v>
      </c>
      <c r="BS110" s="26">
        <f>IF(ISNUMBER(VLOOKUP($D110,'Visu totale'!$D:$DH,BS$1,0)),BR110-VLOOKUP($D110,'Visu totale'!$D:$DH,BS$1,0),IF(LEFT(VLOOKUP($D110,'Visu totale'!$D:$DH,BS$1,0),1)="V",IF(BR110&gt;=INDEX('[1]Définition Maintenances'!$G:$G,MATCH($A110,'[1]Définition Maintenances'!$K:$K,0)),BR110,INDEX('[1]Définition Maintenances'!$G:$G,MATCH($A110,'[1]Définition Maintenances'!$K:$K,0))+BR110),BR110))</f>
        <v>460</v>
      </c>
      <c r="BT110" s="26">
        <f>IF(ISNUMBER(VLOOKUP($D110,'Visu totale'!$D:$DH,BT$1,0)),BS110-VLOOKUP($D110,'Visu totale'!$D:$DH,BT$1,0),IF(LEFT(VLOOKUP($D110,'Visu totale'!$D:$DH,BT$1,0),1)="V",IF(BS110&gt;=INDEX('[1]Définition Maintenances'!$G:$G,MATCH($A110,'[1]Définition Maintenances'!$K:$K,0)),BS110,INDEX('[1]Définition Maintenances'!$G:$G,MATCH($A110,'[1]Définition Maintenances'!$K:$K,0))+BS110),BS110))</f>
        <v>460</v>
      </c>
      <c r="BU110" s="26">
        <f>IF(ISNUMBER(VLOOKUP($D110,'Visu totale'!$D:$DH,BU$1,0)),BT110-VLOOKUP($D110,'Visu totale'!$D:$DH,BU$1,0),IF(LEFT(VLOOKUP($D110,'Visu totale'!$D:$DH,BU$1,0),1)="V",IF(BT110&gt;=INDEX('[1]Définition Maintenances'!$G:$G,MATCH($A110,'[1]Définition Maintenances'!$K:$K,0)),BT110,INDEX('[1]Définition Maintenances'!$G:$G,MATCH($A110,'[1]Définition Maintenances'!$K:$K,0))+BT110),BT110))</f>
        <v>460</v>
      </c>
      <c r="BV110" s="26">
        <f>IF(ISNUMBER(VLOOKUP($D110,'Visu totale'!$D:$DH,BV$1,0)),BU110-VLOOKUP($D110,'Visu totale'!$D:$DH,BV$1,0),IF(LEFT(VLOOKUP($D110,'Visu totale'!$D:$DH,BV$1,0),1)="V",IF(BU110&gt;=INDEX('[1]Définition Maintenances'!$G:$G,MATCH($A110,'[1]Définition Maintenances'!$K:$K,0)),BU110,INDEX('[1]Définition Maintenances'!$G:$G,MATCH($A110,'[1]Définition Maintenances'!$K:$K,0))+BU110),BU110))</f>
        <v>460</v>
      </c>
      <c r="BW110" s="26">
        <f>IF(ISNUMBER(VLOOKUP($D110,'Visu totale'!$D:$DH,BW$1,0)),BV110-VLOOKUP($D110,'Visu totale'!$D:$DH,BW$1,0),IF(LEFT(VLOOKUP($D110,'Visu totale'!$D:$DH,BW$1,0),1)="V",IF(BV110&gt;=INDEX('[1]Définition Maintenances'!$G:$G,MATCH($A110,'[1]Définition Maintenances'!$K:$K,0)),BV110,INDEX('[1]Définition Maintenances'!$G:$G,MATCH($A110,'[1]Définition Maintenances'!$K:$K,0))+BV110),BV110))</f>
        <v>460</v>
      </c>
      <c r="BX110" s="26">
        <f>IF(ISNUMBER(VLOOKUP($D110,'Visu totale'!$D:$DH,BX$1,0)),BW110-VLOOKUP($D110,'Visu totale'!$D:$DH,BX$1,0),IF(LEFT(VLOOKUP($D110,'Visu totale'!$D:$DH,BX$1,0),1)="V",IF(BW110&gt;=INDEX('[1]Définition Maintenances'!$G:$G,MATCH($A110,'[1]Définition Maintenances'!$K:$K,0)),BW110,INDEX('[1]Définition Maintenances'!$G:$G,MATCH($A110,'[1]Définition Maintenances'!$K:$K,0))+BW110),BW110))</f>
        <v>460</v>
      </c>
      <c r="BY110" s="27">
        <f>IF(ISNUMBER(VLOOKUP($D110,'Visu totale'!$D:$DH,BY$1,0)),BX110-VLOOKUP($D110,'Visu totale'!$D:$DH,BY$1,0),IF(LEFT(VLOOKUP($D110,'Visu totale'!$D:$DH,BY$1,0),1)="V",IF(BX110&gt;=INDEX('[1]Définition Maintenances'!$G:$G,MATCH($A110,'[1]Définition Maintenances'!$K:$K,0)),BX110,INDEX('[1]Définition Maintenances'!$G:$G,MATCH($A110,'[1]Définition Maintenances'!$K:$K,0))+BX110),BX110))</f>
        <v>460</v>
      </c>
      <c r="BZ110" s="25">
        <f>IF(ISNUMBER(VLOOKUP($D110,'Visu totale'!$D:$DH,BZ$1,0)),BY110-VLOOKUP($D110,'Visu totale'!$D:$DH,BZ$1,0),IF(LEFT(VLOOKUP($D110,'Visu totale'!$D:$DH,BZ$1,0),1)="V",IF(BY110&gt;=INDEX('[1]Définition Maintenances'!$G:$G,MATCH($A110,'[1]Définition Maintenances'!$K:$K,0)),BY110,INDEX('[1]Définition Maintenances'!$G:$G,MATCH($A110,'[1]Définition Maintenances'!$K:$K,0))+BY110),BY110))</f>
        <v>460</v>
      </c>
      <c r="CA110" s="26">
        <f>IF(ISNUMBER(VLOOKUP($D110,'Visu totale'!$D:$DH,CA$1,0)),BZ110-VLOOKUP($D110,'Visu totale'!$D:$DH,CA$1,0),IF(LEFT(VLOOKUP($D110,'Visu totale'!$D:$DH,CA$1,0),1)="V",IF(BZ110&gt;=INDEX('[1]Définition Maintenances'!$G:$G,MATCH($A110,'[1]Définition Maintenances'!$K:$K,0)),BZ110,INDEX('[1]Définition Maintenances'!$G:$G,MATCH($A110,'[1]Définition Maintenances'!$K:$K,0))+BZ110),BZ110))</f>
        <v>460</v>
      </c>
      <c r="CB110" s="26">
        <f>IF(ISNUMBER(VLOOKUP($D110,'Visu totale'!$D:$DH,CB$1,0)),CA110-VLOOKUP($D110,'Visu totale'!$D:$DH,CB$1,0),IF(LEFT(VLOOKUP($D110,'Visu totale'!$D:$DH,CB$1,0),1)="V",IF(CA110&gt;=INDEX('[1]Définition Maintenances'!$G:$G,MATCH($A110,'[1]Définition Maintenances'!$K:$K,0)),CA110,INDEX('[1]Définition Maintenances'!$G:$G,MATCH($A110,'[1]Définition Maintenances'!$K:$K,0))+CA110),CA110))</f>
        <v>460</v>
      </c>
      <c r="CC110" s="26">
        <f>IF(ISNUMBER(VLOOKUP($D110,'Visu totale'!$D:$DH,CC$1,0)),CB110-VLOOKUP($D110,'Visu totale'!$D:$DH,CC$1,0),IF(LEFT(VLOOKUP($D110,'Visu totale'!$D:$DH,CC$1,0),1)="V",IF(CB110&gt;=INDEX('[1]Définition Maintenances'!$G:$G,MATCH($A110,'[1]Définition Maintenances'!$K:$K,0)),CB110,INDEX('[1]Définition Maintenances'!$G:$G,MATCH($A110,'[1]Définition Maintenances'!$K:$K,0))+CB110),CB110))</f>
        <v>460</v>
      </c>
      <c r="CD110" s="26">
        <f>IF(ISNUMBER(VLOOKUP($D110,'Visu totale'!$D:$DH,CD$1,0)),CC110-VLOOKUP($D110,'Visu totale'!$D:$DH,CD$1,0),IF(LEFT(VLOOKUP($D110,'Visu totale'!$D:$DH,CD$1,0),1)="V",IF(CC110&gt;=INDEX('[1]Définition Maintenances'!$G:$G,MATCH($A110,'[1]Définition Maintenances'!$K:$K,0)),CC110,INDEX('[1]Définition Maintenances'!$G:$G,MATCH($A110,'[1]Définition Maintenances'!$K:$K,0))+CC110),CC110))</f>
        <v>460</v>
      </c>
      <c r="CE110" s="26">
        <f>IF(ISNUMBER(VLOOKUP($D110,'Visu totale'!$D:$DH,CE$1,0)),CD110-VLOOKUP($D110,'Visu totale'!$D:$DH,CE$1,0),IF(LEFT(VLOOKUP($D110,'Visu totale'!$D:$DH,CE$1,0),1)="V",IF(CD110&gt;=INDEX('[1]Définition Maintenances'!$G:$G,MATCH($A110,'[1]Définition Maintenances'!$K:$K,0)),CD110,INDEX('[1]Définition Maintenances'!$G:$G,MATCH($A110,'[1]Définition Maintenances'!$K:$K,0))+CD110),CD110))</f>
        <v>460</v>
      </c>
      <c r="CF110" s="26">
        <f>IF(ISNUMBER(VLOOKUP($D110,'Visu totale'!$D:$DH,CF$1,0)),CE110-VLOOKUP($D110,'Visu totale'!$D:$DH,CF$1,0),IF(LEFT(VLOOKUP($D110,'Visu totale'!$D:$DH,CF$1,0),1)="V",IF(CE110&gt;=INDEX('[1]Définition Maintenances'!$G:$G,MATCH($A110,'[1]Définition Maintenances'!$K:$K,0)),CE110,INDEX('[1]Définition Maintenances'!$G:$G,MATCH($A110,'[1]Définition Maintenances'!$K:$K,0))+CE110),CE110))</f>
        <v>460</v>
      </c>
      <c r="CG110" s="26">
        <f>IF(ISNUMBER(VLOOKUP($D110,'Visu totale'!$D:$DH,CG$1,0)),CF110-VLOOKUP($D110,'Visu totale'!$D:$DH,CG$1,0),IF(LEFT(VLOOKUP($D110,'Visu totale'!$D:$DH,CG$1,0),1)="V",IF(CF110&gt;=INDEX('[1]Définition Maintenances'!$G:$G,MATCH($A110,'[1]Définition Maintenances'!$K:$K,0)),CF110,INDEX('[1]Définition Maintenances'!$G:$G,MATCH($A110,'[1]Définition Maintenances'!$K:$K,0))+CF110),CF110))</f>
        <v>460</v>
      </c>
      <c r="CH110" s="26">
        <f>IF(ISNUMBER(VLOOKUP($D110,'Visu totale'!$D:$DH,CH$1,0)),CG110-VLOOKUP($D110,'Visu totale'!$D:$DH,CH$1,0),IF(LEFT(VLOOKUP($D110,'Visu totale'!$D:$DH,CH$1,0),1)="V",IF(CG110&gt;=INDEX('[1]Définition Maintenances'!$G:$G,MATCH($A110,'[1]Définition Maintenances'!$K:$K,0)),CG110,INDEX('[1]Définition Maintenances'!$G:$G,MATCH($A110,'[1]Définition Maintenances'!$K:$K,0))+CG110),CG110))</f>
        <v>460</v>
      </c>
      <c r="CI110" s="26">
        <f>IF(ISNUMBER(VLOOKUP($D110,'Visu totale'!$D:$DH,CI$1,0)),CH110-VLOOKUP($D110,'Visu totale'!$D:$DH,CI$1,0),IF(LEFT(VLOOKUP($D110,'Visu totale'!$D:$DH,CI$1,0),1)="V",IF(CH110&gt;=INDEX('[1]Définition Maintenances'!$G:$G,MATCH($A110,'[1]Définition Maintenances'!$K:$K,0)),CH110,INDEX('[1]Définition Maintenances'!$G:$G,MATCH($A110,'[1]Définition Maintenances'!$K:$K,0))+CH110),CH110))</f>
        <v>460</v>
      </c>
      <c r="CJ110" s="26">
        <f>IF(ISNUMBER(VLOOKUP($D110,'Visu totale'!$D:$DH,CJ$1,0)),CI110-VLOOKUP($D110,'Visu totale'!$D:$DH,CJ$1,0),IF(LEFT(VLOOKUP($D110,'Visu totale'!$D:$DH,CJ$1,0),1)="V",IF(CI110&gt;=INDEX('[1]Définition Maintenances'!$G:$G,MATCH($A110,'[1]Définition Maintenances'!$K:$K,0)),CI110,INDEX('[1]Définition Maintenances'!$G:$G,MATCH($A110,'[1]Définition Maintenances'!$K:$K,0))+CI110),CI110))</f>
        <v>460</v>
      </c>
      <c r="CK110" s="27">
        <f>IF(ISNUMBER(VLOOKUP($D110,'Visu totale'!$D:$DH,CK$1,0)),CJ110-VLOOKUP($D110,'Visu totale'!$D:$DH,CK$1,0),IF(LEFT(VLOOKUP($D110,'Visu totale'!$D:$DH,CK$1,0),1)="V",IF(CJ110&gt;=INDEX('[1]Définition Maintenances'!$G:$G,MATCH($A110,'[1]Définition Maintenances'!$K:$K,0)),CJ110,INDEX('[1]Définition Maintenances'!$G:$G,MATCH($A110,'[1]Définition Maintenances'!$K:$K,0))+CJ110),CJ110))</f>
        <v>460</v>
      </c>
      <c r="CL110" s="25">
        <f>IF(ISNUMBER(VLOOKUP($D110,'Visu totale'!$D:$DH,CL$1,0)),CK110-VLOOKUP($D110,'Visu totale'!$D:$DH,CL$1,0),IF(LEFT(VLOOKUP($D110,'Visu totale'!$D:$DH,CL$1,0),1)="V",IF(CK110&gt;=INDEX('[1]Définition Maintenances'!$G:$G,MATCH($A110,'[1]Définition Maintenances'!$K:$K,0)),CK110,INDEX('[1]Définition Maintenances'!$G:$G,MATCH($A110,'[1]Définition Maintenances'!$K:$K,0))+CK110),CK110))</f>
        <v>460</v>
      </c>
      <c r="CM110" s="26">
        <f>IF(ISNUMBER(VLOOKUP($D110,'Visu totale'!$D:$DH,CM$1,0)),CL110-VLOOKUP($D110,'Visu totale'!$D:$DH,CM$1,0),IF(LEFT(VLOOKUP($D110,'Visu totale'!$D:$DH,CM$1,0),1)="V",IF(CL110&gt;=INDEX('[1]Définition Maintenances'!$G:$G,MATCH($A110,'[1]Définition Maintenances'!$K:$K,0)),CL110,INDEX('[1]Définition Maintenances'!$G:$G,MATCH($A110,'[1]Définition Maintenances'!$K:$K,0))+CL110),CL110))</f>
        <v>460</v>
      </c>
      <c r="CN110" s="26">
        <f>IF(ISNUMBER(VLOOKUP($D110,'Visu totale'!$D:$DH,CN$1,0)),CM110-VLOOKUP($D110,'Visu totale'!$D:$DH,CN$1,0),IF(LEFT(VLOOKUP($D110,'Visu totale'!$D:$DH,CN$1,0),1)="V",IF(CM110&gt;=INDEX('[1]Définition Maintenances'!$G:$G,MATCH($A110,'[1]Définition Maintenances'!$K:$K,0)),CM110,INDEX('[1]Définition Maintenances'!$G:$G,MATCH($A110,'[1]Définition Maintenances'!$K:$K,0))+CM110),CM110))</f>
        <v>460</v>
      </c>
      <c r="CO110" s="26">
        <f>IF(ISNUMBER(VLOOKUP($D110,'Visu totale'!$D:$DH,CO$1,0)),CN110-VLOOKUP($D110,'Visu totale'!$D:$DH,CO$1,0),IF(LEFT(VLOOKUP($D110,'Visu totale'!$D:$DH,CO$1,0),1)="V",IF(CN110&gt;=INDEX('[1]Définition Maintenances'!$G:$G,MATCH($A110,'[1]Définition Maintenances'!$K:$K,0)),CN110,INDEX('[1]Définition Maintenances'!$G:$G,MATCH($A110,'[1]Définition Maintenances'!$K:$K,0))+CN110),CN110))</f>
        <v>460</v>
      </c>
      <c r="CP110" s="26">
        <f>IF(ISNUMBER(VLOOKUP($D110,'Visu totale'!$D:$DH,CP$1,0)),CO110-VLOOKUP($D110,'Visu totale'!$D:$DH,CP$1,0),IF(LEFT(VLOOKUP($D110,'Visu totale'!$D:$DH,CP$1,0),1)="V",IF(CO110&gt;=INDEX('[1]Définition Maintenances'!$G:$G,MATCH($A110,'[1]Définition Maintenances'!$K:$K,0)),CO110,INDEX('[1]Définition Maintenances'!$G:$G,MATCH($A110,'[1]Définition Maintenances'!$K:$K,0))+CO110),CO110))</f>
        <v>460</v>
      </c>
      <c r="CQ110" s="26">
        <f>IF(ISNUMBER(VLOOKUP($D110,'Visu totale'!$D:$DH,CQ$1,0)),CP110-VLOOKUP($D110,'Visu totale'!$D:$DH,CQ$1,0),IF(LEFT(VLOOKUP($D110,'Visu totale'!$D:$DH,CQ$1,0),1)="V",IF(CP110&gt;=INDEX('[1]Définition Maintenances'!$G:$G,MATCH($A110,'[1]Définition Maintenances'!$K:$K,0)),CP110,INDEX('[1]Définition Maintenances'!$G:$G,MATCH($A110,'[1]Définition Maintenances'!$K:$K,0))+CP110),CP110))</f>
        <v>460</v>
      </c>
      <c r="CR110" s="26">
        <f>IF(ISNUMBER(VLOOKUP($D110,'Visu totale'!$D:$DH,CR$1,0)),CQ110-VLOOKUP($D110,'Visu totale'!$D:$DH,CR$1,0),IF(LEFT(VLOOKUP($D110,'Visu totale'!$D:$DH,CR$1,0),1)="V",IF(CQ110&gt;=INDEX('[1]Définition Maintenances'!$G:$G,MATCH($A110,'[1]Définition Maintenances'!$K:$K,0)),CQ110,INDEX('[1]Définition Maintenances'!$G:$G,MATCH($A110,'[1]Définition Maintenances'!$K:$K,0))+CQ110),CQ110))</f>
        <v>460</v>
      </c>
      <c r="CS110" s="26">
        <f>IF(ISNUMBER(VLOOKUP($D110,'Visu totale'!$D:$DH,CS$1,0)),CR110-VLOOKUP($D110,'Visu totale'!$D:$DH,CS$1,0),IF(LEFT(VLOOKUP($D110,'Visu totale'!$D:$DH,CS$1,0),1)="V",IF(CR110&gt;=INDEX('[1]Définition Maintenances'!$G:$G,MATCH($A110,'[1]Définition Maintenances'!$K:$K,0)),CR110,INDEX('[1]Définition Maintenances'!$G:$G,MATCH($A110,'[1]Définition Maintenances'!$K:$K,0))+CR110),CR110))</f>
        <v>460</v>
      </c>
      <c r="CT110" s="26">
        <f>IF(ISNUMBER(VLOOKUP($D110,'Visu totale'!$D:$DH,CT$1,0)),CS110-VLOOKUP($D110,'Visu totale'!$D:$DH,CT$1,0),IF(LEFT(VLOOKUP($D110,'Visu totale'!$D:$DH,CT$1,0),1)="V",IF(CS110&gt;=INDEX('[1]Définition Maintenances'!$G:$G,MATCH($A110,'[1]Définition Maintenances'!$K:$K,0)),CS110,INDEX('[1]Définition Maintenances'!$G:$G,MATCH($A110,'[1]Définition Maintenances'!$K:$K,0))+CS110),CS110))</f>
        <v>460</v>
      </c>
      <c r="CU110" s="26">
        <f>IF(ISNUMBER(VLOOKUP($D110,'Visu totale'!$D:$DH,CU$1,0)),CT110-VLOOKUP($D110,'Visu totale'!$D:$DH,CU$1,0),IF(LEFT(VLOOKUP($D110,'Visu totale'!$D:$DH,CU$1,0),1)="V",IF(CT110&gt;=INDEX('[1]Définition Maintenances'!$G:$G,MATCH($A110,'[1]Définition Maintenances'!$K:$K,0)),CT110,INDEX('[1]Définition Maintenances'!$G:$G,MATCH($A110,'[1]Définition Maintenances'!$K:$K,0))+CT110),CT110))</f>
        <v>460</v>
      </c>
      <c r="CV110" s="26">
        <f>IF(ISNUMBER(VLOOKUP($D110,'Visu totale'!$D:$DH,CV$1,0)),CU110-VLOOKUP($D110,'Visu totale'!$D:$DH,CV$1,0),IF(LEFT(VLOOKUP($D110,'Visu totale'!$D:$DH,CV$1,0),1)="V",IF(CU110&gt;=INDEX('[1]Définition Maintenances'!$G:$G,MATCH($A110,'[1]Définition Maintenances'!$K:$K,0)),CU110,INDEX('[1]Définition Maintenances'!$G:$G,MATCH($A110,'[1]Définition Maintenances'!$K:$K,0))+CU110),CU110))</f>
        <v>460</v>
      </c>
      <c r="CW110" s="27">
        <f>IF(ISNUMBER(VLOOKUP($D110,'Visu totale'!$D:$DH,CW$1,0)),CV110-VLOOKUP($D110,'Visu totale'!$D:$DH,CW$1,0),IF(LEFT(VLOOKUP($D110,'Visu totale'!$D:$DH,CW$1,0),1)="V",IF(CV110&gt;=INDEX('[1]Définition Maintenances'!$G:$G,MATCH($A110,'[1]Définition Maintenances'!$K:$K,0)),CV110,INDEX('[1]Définition Maintenances'!$G:$G,MATCH($A110,'[1]Définition Maintenances'!$K:$K,0))+CV110),CV110))</f>
        <v>460</v>
      </c>
      <c r="CX110" s="25">
        <f>IF(ISNUMBER(VLOOKUP($D110,'Visu totale'!$D:$DH,CX$1,0)),CW110-VLOOKUP($D110,'Visu totale'!$D:$DH,CX$1,0),IF(LEFT(VLOOKUP($D110,'Visu totale'!$D:$DH,CX$1,0),1)="V",IF(CW110&gt;=INDEX('[1]Définition Maintenances'!$G:$G,MATCH($A110,'[1]Définition Maintenances'!$K:$K,0)),CW110,INDEX('[1]Définition Maintenances'!$G:$G,MATCH($A110,'[1]Définition Maintenances'!$K:$K,0))+CW110),CW110))</f>
        <v>460</v>
      </c>
      <c r="CY110" s="26">
        <f>IF(ISNUMBER(VLOOKUP($D110,'Visu totale'!$D:$DH,CY$1,0)),CX110-VLOOKUP($D110,'Visu totale'!$D:$DH,CY$1,0),IF(LEFT(VLOOKUP($D110,'Visu totale'!$D:$DH,CY$1,0),1)="V",IF(CX110&gt;=INDEX('[1]Définition Maintenances'!$G:$G,MATCH($A110,'[1]Définition Maintenances'!$K:$K,0)),CX110,INDEX('[1]Définition Maintenances'!$G:$G,MATCH($A110,'[1]Définition Maintenances'!$K:$K,0))+CX110),CX110))</f>
        <v>460</v>
      </c>
      <c r="CZ110" s="26">
        <f>IF(ISNUMBER(VLOOKUP($D110,'Visu totale'!$D:$DH,CZ$1,0)),CY110-VLOOKUP($D110,'Visu totale'!$D:$DH,CZ$1,0),IF(LEFT(VLOOKUP($D110,'Visu totale'!$D:$DH,CZ$1,0),1)="V",IF(CY110&gt;=INDEX('[1]Définition Maintenances'!$G:$G,MATCH($A110,'[1]Définition Maintenances'!$K:$K,0)),CY110,INDEX('[1]Définition Maintenances'!$G:$G,MATCH($A110,'[1]Définition Maintenances'!$K:$K,0))+CY110),CY110))</f>
        <v>460</v>
      </c>
      <c r="DA110" s="26">
        <f>IF(ISNUMBER(VLOOKUP($D110,'Visu totale'!$D:$DH,DA$1,0)),CZ110-VLOOKUP($D110,'Visu totale'!$D:$DH,DA$1,0),IF(LEFT(VLOOKUP($D110,'Visu totale'!$D:$DH,DA$1,0),1)="V",IF(CZ110&gt;=INDEX('[1]Définition Maintenances'!$G:$G,MATCH($A110,'[1]Définition Maintenances'!$K:$K,0)),CZ110,INDEX('[1]Définition Maintenances'!$G:$G,MATCH($A110,'[1]Définition Maintenances'!$K:$K,0))+CZ110),CZ110))</f>
        <v>460</v>
      </c>
      <c r="DB110" s="26">
        <f>IF(ISNUMBER(VLOOKUP($D110,'Visu totale'!$D:$DH,DB$1,0)),DA110-VLOOKUP($D110,'Visu totale'!$D:$DH,DB$1,0),IF(LEFT(VLOOKUP($D110,'Visu totale'!$D:$DH,DB$1,0),1)="V",IF(DA110&gt;=INDEX('[1]Définition Maintenances'!$G:$G,MATCH($A110,'[1]Définition Maintenances'!$K:$K,0)),DA110,INDEX('[1]Définition Maintenances'!$G:$G,MATCH($A110,'[1]Définition Maintenances'!$K:$K,0))+DA110),DA110))</f>
        <v>460</v>
      </c>
      <c r="DC110" s="26">
        <f>IF(ISNUMBER(VLOOKUP($D110,'Visu totale'!$D:$DH,DC$1,0)),DB110-VLOOKUP($D110,'Visu totale'!$D:$DH,DC$1,0),IF(LEFT(VLOOKUP($D110,'Visu totale'!$D:$DH,DC$1,0),1)="V",IF(DB110&gt;=INDEX('[1]Définition Maintenances'!$G:$G,MATCH($A110,'[1]Définition Maintenances'!$K:$K,0)),DB110,INDEX('[1]Définition Maintenances'!$G:$G,MATCH($A110,'[1]Définition Maintenances'!$K:$K,0))+DB110),DB110))</f>
        <v>460</v>
      </c>
      <c r="DD110" s="26">
        <f>IF(ISNUMBER(VLOOKUP($D110,'Visu totale'!$D:$DH,DD$1,0)),DC110-VLOOKUP($D110,'Visu totale'!$D:$DH,DD$1,0),IF(LEFT(VLOOKUP($D110,'Visu totale'!$D:$DH,DD$1,0),1)="V",IF(DC110&gt;=INDEX('[1]Définition Maintenances'!$G:$G,MATCH($A110,'[1]Définition Maintenances'!$K:$K,0)),DC110,INDEX('[1]Définition Maintenances'!$G:$G,MATCH($A110,'[1]Définition Maintenances'!$K:$K,0))+DC110),DC110))</f>
        <v>460</v>
      </c>
      <c r="DE110" s="26">
        <f>IF(ISNUMBER(VLOOKUP($D110,'Visu totale'!$D:$DH,DE$1,0)),DD110-VLOOKUP($D110,'Visu totale'!$D:$DH,DE$1,0),IF(LEFT(VLOOKUP($D110,'Visu totale'!$D:$DH,DE$1,0),1)="V",IF(DD110&gt;=INDEX('[1]Définition Maintenances'!$G:$G,MATCH($A110,'[1]Définition Maintenances'!$K:$K,0)),DD110,INDEX('[1]Définition Maintenances'!$G:$G,MATCH($A110,'[1]Définition Maintenances'!$K:$K,0))+DD110),DD110))</f>
        <v>460</v>
      </c>
      <c r="DF110" s="26">
        <f>IF(ISNUMBER(VLOOKUP($D110,'Visu totale'!$D:$DH,DF$1,0)),DE110-VLOOKUP($D110,'Visu totale'!$D:$DH,DF$1,0),IF(LEFT(VLOOKUP($D110,'Visu totale'!$D:$DH,DF$1,0),1)="V",IF(DE110&gt;=INDEX('[1]Définition Maintenances'!$G:$G,MATCH($A110,'[1]Définition Maintenances'!$K:$K,0)),DE110,INDEX('[1]Définition Maintenances'!$G:$G,MATCH($A110,'[1]Définition Maintenances'!$K:$K,0))+DE110),DE110))</f>
        <v>460</v>
      </c>
      <c r="DG110" s="26">
        <f>IF(ISNUMBER(VLOOKUP($D110,'Visu totale'!$D:$DH,DG$1,0)),DF110-VLOOKUP($D110,'Visu totale'!$D:$DH,DG$1,0),IF(LEFT(VLOOKUP($D110,'Visu totale'!$D:$DH,DG$1,0),1)="V",IF(DF110&gt;=INDEX('[1]Définition Maintenances'!$G:$G,MATCH($A110,'[1]Définition Maintenances'!$K:$K,0)),DF110,INDEX('[1]Définition Maintenances'!$G:$G,MATCH($A110,'[1]Définition Maintenances'!$K:$K,0))+DF110),DF110))</f>
        <v>460</v>
      </c>
      <c r="DH110" s="26">
        <f>IF(ISNUMBER(VLOOKUP($D110,'Visu totale'!$D:$DH,DH$1,0)),DG110-VLOOKUP($D110,'Visu totale'!$D:$DH,DH$1,0),IF(LEFT(VLOOKUP($D110,'Visu totale'!$D:$DH,DH$1,0),1)="V",IF(DG110&gt;=INDEX('[1]Définition Maintenances'!$G:$G,MATCH($A110,'[1]Définition Maintenances'!$K:$K,0)),DG110,INDEX('[1]Définition Maintenances'!$G:$G,MATCH($A110,'[1]Définition Maintenances'!$K:$K,0))+DG110),DG110))</f>
        <v>460</v>
      </c>
      <c r="DI110" s="27">
        <f>IF(ISNUMBER(VLOOKUP($D110,'Visu totale'!$D:$DH,DI$1,0)),DH110-VLOOKUP($D110,'Visu totale'!$D:$DH,DI$1,0),IF(LEFT(VLOOKUP($D110,'Visu totale'!$D:$DH,DI$1,0),1)="V",IF(DH110&gt;=INDEX('[1]Définition Maintenances'!$G:$G,MATCH($A110,'[1]Définition Maintenances'!$K:$K,0)),DH110,INDEX('[1]Définition Maintenances'!$G:$G,MATCH($A110,'[1]Définition Maintenances'!$K:$K,0))+DH110),DH110))</f>
        <v>460</v>
      </c>
    </row>
    <row r="111" spans="1:113" x14ac:dyDescent="0.25">
      <c r="A111" s="13" t="str">
        <f t="shared" si="3"/>
        <v>V205</v>
      </c>
      <c r="B111" s="13" t="str">
        <f>VLOOKUP(D111,'[1]Avions (Potentiels)'!$B$2:$H$128,7,FALSE)</f>
        <v>V20</v>
      </c>
      <c r="C111" s="13"/>
      <c r="D111" s="16" t="s">
        <v>114</v>
      </c>
      <c r="E111" s="13">
        <f>IFERROR(VALUE(SUBSTITUTE(VLOOKUP(D111,'[1]Avions (Potentiels)'!$B:$E,4,0),".",",")),VALUE(VLOOKUP(D111,'[1]Avions (Potentiels)'!$B:$E,4,0)))</f>
        <v>687</v>
      </c>
      <c r="F111" s="25">
        <f>IF(ISNUMBER(VLOOKUP($D111,'Visu totale'!$D:$DH,F$1,0)),E111-VLOOKUP($D111,'Visu totale'!$D:$DH,F$1,0),IF(LEFT(VLOOKUP($D111,'Visu totale'!$D:$DH,F$1,0),1)="V",IF(E111&gt;=INDEX('[1]Définition Maintenances'!$G:$G,MATCH($A111,'[1]Définition Maintenances'!$K:$K,0)),E111,INDEX('[1]Définition Maintenances'!$G:$G,MATCH($A111,'[1]Définition Maintenances'!$K:$K,0))+E111),E111))</f>
        <v>687</v>
      </c>
      <c r="G111" s="26">
        <f>IF(ISNUMBER(VLOOKUP($D111,'Visu totale'!$D:$DH,G$1,0)),F111-VLOOKUP($D111,'Visu totale'!$D:$DH,G$1,0),IF(LEFT(VLOOKUP($D111,'Visu totale'!$D:$DH,G$1,0),1)="V",IF(F111&gt;=INDEX('[1]Définition Maintenances'!$G:$G,MATCH($A111,'[1]Définition Maintenances'!$K:$K,0)),F111,INDEX('[1]Définition Maintenances'!$G:$G,MATCH($A111,'[1]Définition Maintenances'!$K:$K,0))+F111),F111))</f>
        <v>687</v>
      </c>
      <c r="H111" s="26">
        <f>IF(ISNUMBER(VLOOKUP($D111,'Visu totale'!$D:$DH,H$1,0)),G111-VLOOKUP($D111,'Visu totale'!$D:$DH,H$1,0),IF(LEFT(VLOOKUP($D111,'Visu totale'!$D:$DH,H$1,0),1)="V",IF(G111&gt;=INDEX('[1]Définition Maintenances'!$G:$G,MATCH($A111,'[1]Définition Maintenances'!$K:$K,0)),G111,INDEX('[1]Définition Maintenances'!$G:$G,MATCH($A111,'[1]Définition Maintenances'!$K:$K,0))+G111),G111))</f>
        <v>687</v>
      </c>
      <c r="I111" s="26">
        <f>IF(ISNUMBER(VLOOKUP($D111,'Visu totale'!$D:$DH,I$1,0)),H111-VLOOKUP($D111,'Visu totale'!$D:$DH,I$1,0),IF(LEFT(VLOOKUP($D111,'Visu totale'!$D:$DH,I$1,0),1)="V",IF(H111&gt;=INDEX('[1]Définition Maintenances'!$G:$G,MATCH($A111,'[1]Définition Maintenances'!$K:$K,0)),H111,INDEX('[1]Définition Maintenances'!$G:$G,MATCH($A111,'[1]Définition Maintenances'!$K:$K,0))+H111),H111))</f>
        <v>687</v>
      </c>
      <c r="J111" s="26">
        <f>IF(ISNUMBER(VLOOKUP($D111,'Visu totale'!$D:$DH,J$1,0)),I111-VLOOKUP($D111,'Visu totale'!$D:$DH,J$1,0),IF(LEFT(VLOOKUP($D111,'Visu totale'!$D:$DH,J$1,0),1)="V",IF(I111&gt;=INDEX('[1]Définition Maintenances'!$G:$G,MATCH($A111,'[1]Définition Maintenances'!$K:$K,0)),I111,INDEX('[1]Définition Maintenances'!$G:$G,MATCH($A111,'[1]Définition Maintenances'!$K:$K,0))+I111),I111))</f>
        <v>687</v>
      </c>
      <c r="K111" s="26">
        <f>IF(ISNUMBER(VLOOKUP($D111,'Visu totale'!$D:$DH,K$1,0)),J111-VLOOKUP($D111,'Visu totale'!$D:$DH,K$1,0),IF(LEFT(VLOOKUP($D111,'Visu totale'!$D:$DH,K$1,0),1)="V",IF(J111&gt;=INDEX('[1]Définition Maintenances'!$G:$G,MATCH($A111,'[1]Définition Maintenances'!$K:$K,0)),J111,INDEX('[1]Définition Maintenances'!$G:$G,MATCH($A111,'[1]Définition Maintenances'!$K:$K,0))+J111),J111))</f>
        <v>687</v>
      </c>
      <c r="L111" s="26">
        <f>IF(ISNUMBER(VLOOKUP($D111,'Visu totale'!$D:$DH,L$1,0)),K111-VLOOKUP($D111,'Visu totale'!$D:$DH,L$1,0),IF(LEFT(VLOOKUP($D111,'Visu totale'!$D:$DH,L$1,0),1)="V",IF(K111&gt;=INDEX('[1]Définition Maintenances'!$G:$G,MATCH($A111,'[1]Définition Maintenances'!$K:$K,0)),K111,INDEX('[1]Définition Maintenances'!$G:$G,MATCH($A111,'[1]Définition Maintenances'!$K:$K,0))+K111),K111))</f>
        <v>687</v>
      </c>
      <c r="M111" s="26">
        <f>IF(ISNUMBER(VLOOKUP($D111,'Visu totale'!$D:$DH,M$1,0)),L111-VLOOKUP($D111,'Visu totale'!$D:$DH,M$1,0),IF(LEFT(VLOOKUP($D111,'Visu totale'!$D:$DH,M$1,0),1)="V",IF(L111&gt;=INDEX('[1]Définition Maintenances'!$G:$G,MATCH($A111,'[1]Définition Maintenances'!$K:$K,0)),L111,INDEX('[1]Définition Maintenances'!$G:$G,MATCH($A111,'[1]Définition Maintenances'!$K:$K,0))+L111),L111))</f>
        <v>687</v>
      </c>
      <c r="N111" s="26">
        <f>IF(ISNUMBER(VLOOKUP($D111,'Visu totale'!$D:$DH,N$1,0)),M111-VLOOKUP($D111,'Visu totale'!$D:$DH,N$1,0),IF(LEFT(VLOOKUP($D111,'Visu totale'!$D:$DH,N$1,0),1)="V",IF(M111&gt;=INDEX('[1]Définition Maintenances'!$G:$G,MATCH($A111,'[1]Définition Maintenances'!$K:$K,0)),M111,INDEX('[1]Définition Maintenances'!$G:$G,MATCH($A111,'[1]Définition Maintenances'!$K:$K,0))+M111),M111))</f>
        <v>687</v>
      </c>
      <c r="O111" s="26">
        <f>IF(ISNUMBER(VLOOKUP($D111,'Visu totale'!$D:$DH,O$1,0)),N111-VLOOKUP($D111,'Visu totale'!$D:$DH,O$1,0),IF(LEFT(VLOOKUP($D111,'Visu totale'!$D:$DH,O$1,0),1)="V",IF(N111&gt;=INDEX('[1]Définition Maintenances'!$G:$G,MATCH($A111,'[1]Définition Maintenances'!$K:$K,0)),N111,INDEX('[1]Définition Maintenances'!$G:$G,MATCH($A111,'[1]Définition Maintenances'!$K:$K,0))+N111),N111))</f>
        <v>687</v>
      </c>
      <c r="P111" s="26">
        <f>IF(ISNUMBER(VLOOKUP($D111,'Visu totale'!$D:$DH,P$1,0)),O111-VLOOKUP($D111,'Visu totale'!$D:$DH,P$1,0),IF(LEFT(VLOOKUP($D111,'Visu totale'!$D:$DH,P$1,0),1)="V",IF(O111&gt;=INDEX('[1]Définition Maintenances'!$G:$G,MATCH($A111,'[1]Définition Maintenances'!$K:$K,0)),O111,INDEX('[1]Définition Maintenances'!$G:$G,MATCH($A111,'[1]Définition Maintenances'!$K:$K,0))+O111),O111))</f>
        <v>687</v>
      </c>
      <c r="Q111" s="27">
        <f>IF(ISNUMBER(VLOOKUP($D111,'Visu totale'!$D:$DH,Q$1,0)),P111-VLOOKUP($D111,'Visu totale'!$D:$DH,Q$1,0),IF(LEFT(VLOOKUP($D111,'Visu totale'!$D:$DH,Q$1,0),1)="V",IF(P111&gt;=INDEX('[1]Définition Maintenances'!$G:$G,MATCH($A111,'[1]Définition Maintenances'!$K:$K,0)),P111,INDEX('[1]Définition Maintenances'!$G:$G,MATCH($A111,'[1]Définition Maintenances'!$K:$K,0))+P111),P111))</f>
        <v>687</v>
      </c>
      <c r="R111" s="25">
        <f>IF(ISNUMBER(VLOOKUP($D111,'Visu totale'!$D:$DH,R$1,0)),Q111-VLOOKUP($D111,'Visu totale'!$D:$DH,R$1,0),IF(LEFT(VLOOKUP($D111,'Visu totale'!$D:$DH,R$1,0),1)="V",IF(Q111&gt;=INDEX('[1]Définition Maintenances'!$G:$G,MATCH($A111,'[1]Définition Maintenances'!$K:$K,0)),Q111,INDEX('[1]Définition Maintenances'!$G:$G,MATCH($A111,'[1]Définition Maintenances'!$K:$K,0))+Q111),Q111))</f>
        <v>687</v>
      </c>
      <c r="S111" s="26">
        <f>IF(ISNUMBER(VLOOKUP($D111,'Visu totale'!$D:$DH,S$1,0)),R111-VLOOKUP($D111,'Visu totale'!$D:$DH,S$1,0),IF(LEFT(VLOOKUP($D111,'Visu totale'!$D:$DH,S$1,0),1)="V",IF(R111&gt;=INDEX('[1]Définition Maintenances'!$G:$G,MATCH($A111,'[1]Définition Maintenances'!$K:$K,0)),R111,INDEX('[1]Définition Maintenances'!$G:$G,MATCH($A111,'[1]Définition Maintenances'!$K:$K,0))+R111),R111))</f>
        <v>687</v>
      </c>
      <c r="T111" s="26">
        <f>IF(ISNUMBER(VLOOKUP($D111,'Visu totale'!$D:$DH,T$1,0)),S111-VLOOKUP($D111,'Visu totale'!$D:$DH,T$1,0),IF(LEFT(VLOOKUP($D111,'Visu totale'!$D:$DH,T$1,0),1)="V",IF(S111&gt;=INDEX('[1]Définition Maintenances'!$G:$G,MATCH($A111,'[1]Définition Maintenances'!$K:$K,0)),S111,INDEX('[1]Définition Maintenances'!$G:$G,MATCH($A111,'[1]Définition Maintenances'!$K:$K,0))+S111),S111))</f>
        <v>687</v>
      </c>
      <c r="U111" s="26">
        <f>IF(ISNUMBER(VLOOKUP($D111,'Visu totale'!$D:$DH,U$1,0)),T111-VLOOKUP($D111,'Visu totale'!$D:$DH,U$1,0),IF(LEFT(VLOOKUP($D111,'Visu totale'!$D:$DH,U$1,0),1)="V",IF(T111&gt;=INDEX('[1]Définition Maintenances'!$G:$G,MATCH($A111,'[1]Définition Maintenances'!$K:$K,0)),T111,INDEX('[1]Définition Maintenances'!$G:$G,MATCH($A111,'[1]Définition Maintenances'!$K:$K,0))+T111),T111))</f>
        <v>687</v>
      </c>
      <c r="V111" s="26">
        <f>IF(ISNUMBER(VLOOKUP($D111,'Visu totale'!$D:$DH,V$1,0)),U111-VLOOKUP($D111,'Visu totale'!$D:$DH,V$1,0),IF(LEFT(VLOOKUP($D111,'Visu totale'!$D:$DH,V$1,0),1)="V",IF(U111&gt;=INDEX('[1]Définition Maintenances'!$G:$G,MATCH($A111,'[1]Définition Maintenances'!$K:$K,0)),U111,INDEX('[1]Définition Maintenances'!$G:$G,MATCH($A111,'[1]Définition Maintenances'!$K:$K,0))+U111),U111))</f>
        <v>687</v>
      </c>
      <c r="W111" s="26">
        <f>IF(ISNUMBER(VLOOKUP($D111,'Visu totale'!$D:$DH,W$1,0)),V111-VLOOKUP($D111,'Visu totale'!$D:$DH,W$1,0),IF(LEFT(VLOOKUP($D111,'Visu totale'!$D:$DH,W$1,0),1)="V",IF(V111&gt;=INDEX('[1]Définition Maintenances'!$G:$G,MATCH($A111,'[1]Définition Maintenances'!$K:$K,0)),V111,INDEX('[1]Définition Maintenances'!$G:$G,MATCH($A111,'[1]Définition Maintenances'!$K:$K,0))+V111),V111))</f>
        <v>687</v>
      </c>
      <c r="X111" s="26">
        <f>IF(ISNUMBER(VLOOKUP($D111,'Visu totale'!$D:$DH,X$1,0)),W111-VLOOKUP($D111,'Visu totale'!$D:$DH,X$1,0),IF(LEFT(VLOOKUP($D111,'Visu totale'!$D:$DH,X$1,0),1)="V",IF(W111&gt;=INDEX('[1]Définition Maintenances'!$G:$G,MATCH($A111,'[1]Définition Maintenances'!$K:$K,0)),W111,INDEX('[1]Définition Maintenances'!$G:$G,MATCH($A111,'[1]Définition Maintenances'!$K:$K,0))+W111),W111))</f>
        <v>687</v>
      </c>
      <c r="Y111" s="26">
        <f>IF(ISNUMBER(VLOOKUP($D111,'Visu totale'!$D:$DH,Y$1,0)),X111-VLOOKUP($D111,'Visu totale'!$D:$DH,Y$1,0),IF(LEFT(VLOOKUP($D111,'Visu totale'!$D:$DH,Y$1,0),1)="V",IF(X111&gt;=INDEX('[1]Définition Maintenances'!$G:$G,MATCH($A111,'[1]Définition Maintenances'!$K:$K,0)),X111,INDEX('[1]Définition Maintenances'!$G:$G,MATCH($A111,'[1]Définition Maintenances'!$K:$K,0))+X111),X111))</f>
        <v>687</v>
      </c>
      <c r="Z111" s="26">
        <f>IF(ISNUMBER(VLOOKUP($D111,'Visu totale'!$D:$DH,Z$1,0)),Y111-VLOOKUP($D111,'Visu totale'!$D:$DH,Z$1,0),IF(LEFT(VLOOKUP($D111,'Visu totale'!$D:$DH,Z$1,0),1)="V",IF(Y111&gt;=INDEX('[1]Définition Maintenances'!$G:$G,MATCH($A111,'[1]Définition Maintenances'!$K:$K,0)),Y111,INDEX('[1]Définition Maintenances'!$G:$G,MATCH($A111,'[1]Définition Maintenances'!$K:$K,0))+Y111),Y111))</f>
        <v>687</v>
      </c>
      <c r="AA111" s="26">
        <f>IF(ISNUMBER(VLOOKUP($D111,'Visu totale'!$D:$DH,AA$1,0)),Z111-VLOOKUP($D111,'Visu totale'!$D:$DH,AA$1,0),IF(LEFT(VLOOKUP($D111,'Visu totale'!$D:$DH,AA$1,0),1)="V",IF(Z111&gt;=INDEX('[1]Définition Maintenances'!$G:$G,MATCH($A111,'[1]Définition Maintenances'!$K:$K,0)),Z111,INDEX('[1]Définition Maintenances'!$G:$G,MATCH($A111,'[1]Définition Maintenances'!$K:$K,0))+Z111),Z111))</f>
        <v>687</v>
      </c>
      <c r="AB111" s="26">
        <f>IF(ISNUMBER(VLOOKUP($D111,'Visu totale'!$D:$DH,AB$1,0)),AA111-VLOOKUP($D111,'Visu totale'!$D:$DH,AB$1,0),IF(LEFT(VLOOKUP($D111,'Visu totale'!$D:$DH,AB$1,0),1)="V",IF(AA111&gt;=INDEX('[1]Définition Maintenances'!$G:$G,MATCH($A111,'[1]Définition Maintenances'!$K:$K,0)),AA111,INDEX('[1]Définition Maintenances'!$G:$G,MATCH($A111,'[1]Définition Maintenances'!$K:$K,0))+AA111),AA111))</f>
        <v>687</v>
      </c>
      <c r="AC111" s="27">
        <f>IF(ISNUMBER(VLOOKUP($D111,'Visu totale'!$D:$DH,AC$1,0)),AB111-VLOOKUP($D111,'Visu totale'!$D:$DH,AC$1,0),IF(LEFT(VLOOKUP($D111,'Visu totale'!$D:$DH,AC$1,0),1)="V",IF(AB111&gt;=INDEX('[1]Définition Maintenances'!$G:$G,MATCH($A111,'[1]Définition Maintenances'!$K:$K,0)),AB111,INDEX('[1]Définition Maintenances'!$G:$G,MATCH($A111,'[1]Définition Maintenances'!$K:$K,0))+AB111),AB111))</f>
        <v>687</v>
      </c>
      <c r="AD111" s="25">
        <f>IF(ISNUMBER(VLOOKUP($D111,'Visu totale'!$D:$DH,AD$1,0)),AC111-VLOOKUP($D111,'Visu totale'!$D:$DH,AD$1,0),IF(LEFT(VLOOKUP($D111,'Visu totale'!$D:$DH,AD$1,0),1)="V",IF(AC111&gt;=INDEX('[1]Définition Maintenances'!$G:$G,MATCH($A111,'[1]Définition Maintenances'!$K:$K,0)),AC111,INDEX('[1]Définition Maintenances'!$G:$G,MATCH($A111,'[1]Définition Maintenances'!$K:$K,0))+AC111),AC111))</f>
        <v>687</v>
      </c>
      <c r="AE111" s="26">
        <f>IF(ISNUMBER(VLOOKUP($D111,'Visu totale'!$D:$DH,AE$1,0)),AD111-VLOOKUP($D111,'Visu totale'!$D:$DH,AE$1,0),IF(LEFT(VLOOKUP($D111,'Visu totale'!$D:$DH,AE$1,0),1)="V",IF(AD111&gt;=INDEX('[1]Définition Maintenances'!$G:$G,MATCH($A111,'[1]Définition Maintenances'!$K:$K,0)),AD111,INDEX('[1]Définition Maintenances'!$G:$G,MATCH($A111,'[1]Définition Maintenances'!$K:$K,0))+AD111),AD111))</f>
        <v>687</v>
      </c>
      <c r="AF111" s="26">
        <f>IF(ISNUMBER(VLOOKUP($D111,'Visu totale'!$D:$DH,AF$1,0)),AE111-VLOOKUP($D111,'Visu totale'!$D:$DH,AF$1,0),IF(LEFT(VLOOKUP($D111,'Visu totale'!$D:$DH,AF$1,0),1)="V",IF(AE111&gt;=INDEX('[1]Définition Maintenances'!$G:$G,MATCH($A111,'[1]Définition Maintenances'!$K:$K,0)),AE111,INDEX('[1]Définition Maintenances'!$G:$G,MATCH($A111,'[1]Définition Maintenances'!$K:$K,0))+AE111),AE111))</f>
        <v>687</v>
      </c>
      <c r="AG111" s="26">
        <f>IF(ISNUMBER(VLOOKUP($D111,'Visu totale'!$D:$DH,AG$1,0)),AF111-VLOOKUP($D111,'Visu totale'!$D:$DH,AG$1,0),IF(LEFT(VLOOKUP($D111,'Visu totale'!$D:$DH,AG$1,0),1)="V",IF(AF111&gt;=INDEX('[1]Définition Maintenances'!$G:$G,MATCH($A111,'[1]Définition Maintenances'!$K:$K,0)),AF111,INDEX('[1]Définition Maintenances'!$G:$G,MATCH($A111,'[1]Définition Maintenances'!$K:$K,0))+AF111),AF111))</f>
        <v>687</v>
      </c>
      <c r="AH111" s="26">
        <f>IF(ISNUMBER(VLOOKUP($D111,'Visu totale'!$D:$DH,AH$1,0)),AG111-VLOOKUP($D111,'Visu totale'!$D:$DH,AH$1,0),IF(LEFT(VLOOKUP($D111,'Visu totale'!$D:$DH,AH$1,0),1)="V",IF(AG111&gt;=INDEX('[1]Définition Maintenances'!$G:$G,MATCH($A111,'[1]Définition Maintenances'!$K:$K,0)),AG111,INDEX('[1]Définition Maintenances'!$G:$G,MATCH($A111,'[1]Définition Maintenances'!$K:$K,0))+AG111),AG111))</f>
        <v>687</v>
      </c>
      <c r="AI111" s="26">
        <f>IF(ISNUMBER(VLOOKUP($D111,'Visu totale'!$D:$DH,AI$1,0)),AH111-VLOOKUP($D111,'Visu totale'!$D:$DH,AI$1,0),IF(LEFT(VLOOKUP($D111,'Visu totale'!$D:$DH,AI$1,0),1)="V",IF(AH111&gt;=INDEX('[1]Définition Maintenances'!$G:$G,MATCH($A111,'[1]Définition Maintenances'!$K:$K,0)),AH111,INDEX('[1]Définition Maintenances'!$G:$G,MATCH($A111,'[1]Définition Maintenances'!$K:$K,0))+AH111),AH111))</f>
        <v>687</v>
      </c>
      <c r="AJ111" s="26">
        <f>IF(ISNUMBER(VLOOKUP($D111,'Visu totale'!$D:$DH,AJ$1,0)),AI111-VLOOKUP($D111,'Visu totale'!$D:$DH,AJ$1,0),IF(LEFT(VLOOKUP($D111,'Visu totale'!$D:$DH,AJ$1,0),1)="V",IF(AI111&gt;=INDEX('[1]Définition Maintenances'!$G:$G,MATCH($A111,'[1]Définition Maintenances'!$K:$K,0)),AI111,INDEX('[1]Définition Maintenances'!$G:$G,MATCH($A111,'[1]Définition Maintenances'!$K:$K,0))+AI111),AI111))</f>
        <v>687</v>
      </c>
      <c r="AK111" s="26">
        <f>IF(ISNUMBER(VLOOKUP($D111,'Visu totale'!$D:$DH,AK$1,0)),AJ111-VLOOKUP($D111,'Visu totale'!$D:$DH,AK$1,0),IF(LEFT(VLOOKUP($D111,'Visu totale'!$D:$DH,AK$1,0),1)="V",IF(AJ111&gt;=INDEX('[1]Définition Maintenances'!$G:$G,MATCH($A111,'[1]Définition Maintenances'!$K:$K,0)),AJ111,INDEX('[1]Définition Maintenances'!$G:$G,MATCH($A111,'[1]Définition Maintenances'!$K:$K,0))+AJ111),AJ111))</f>
        <v>687</v>
      </c>
      <c r="AL111" s="26">
        <f>IF(ISNUMBER(VLOOKUP($D111,'Visu totale'!$D:$DH,AL$1,0)),AK111-VLOOKUP($D111,'Visu totale'!$D:$DH,AL$1,0),IF(LEFT(VLOOKUP($D111,'Visu totale'!$D:$DH,AL$1,0),1)="V",IF(AK111&gt;=INDEX('[1]Définition Maintenances'!$G:$G,MATCH($A111,'[1]Définition Maintenances'!$K:$K,0)),AK111,INDEX('[1]Définition Maintenances'!$G:$G,MATCH($A111,'[1]Définition Maintenances'!$K:$K,0))+AK111),AK111))</f>
        <v>687</v>
      </c>
      <c r="AM111" s="26">
        <f>IF(ISNUMBER(VLOOKUP($D111,'Visu totale'!$D:$DH,AM$1,0)),AL111-VLOOKUP($D111,'Visu totale'!$D:$DH,AM$1,0),IF(LEFT(VLOOKUP($D111,'Visu totale'!$D:$DH,AM$1,0),1)="V",IF(AL111&gt;=INDEX('[1]Définition Maintenances'!$G:$G,MATCH($A111,'[1]Définition Maintenances'!$K:$K,0)),AL111,INDEX('[1]Définition Maintenances'!$G:$G,MATCH($A111,'[1]Définition Maintenances'!$K:$K,0))+AL111),AL111))</f>
        <v>687</v>
      </c>
      <c r="AN111" s="26">
        <f>IF(ISNUMBER(VLOOKUP($D111,'Visu totale'!$D:$DH,AN$1,0)),AM111-VLOOKUP($D111,'Visu totale'!$D:$DH,AN$1,0),IF(LEFT(VLOOKUP($D111,'Visu totale'!$D:$DH,AN$1,0),1)="V",IF(AM111&gt;=INDEX('[1]Définition Maintenances'!$G:$G,MATCH($A111,'[1]Définition Maintenances'!$K:$K,0)),AM111,INDEX('[1]Définition Maintenances'!$G:$G,MATCH($A111,'[1]Définition Maintenances'!$K:$K,0))+AM111),AM111))</f>
        <v>687</v>
      </c>
      <c r="AO111" s="27">
        <f>IF(ISNUMBER(VLOOKUP($D111,'Visu totale'!$D:$DH,AO$1,0)),AN111-VLOOKUP($D111,'Visu totale'!$D:$DH,AO$1,0),IF(LEFT(VLOOKUP($D111,'Visu totale'!$D:$DH,AO$1,0),1)="V",IF(AN111&gt;=INDEX('[1]Définition Maintenances'!$G:$G,MATCH($A111,'[1]Définition Maintenances'!$K:$K,0)),AN111,INDEX('[1]Définition Maintenances'!$G:$G,MATCH($A111,'[1]Définition Maintenances'!$K:$K,0))+AN111),AN111))</f>
        <v>687</v>
      </c>
      <c r="AP111" s="25">
        <f>IF(ISNUMBER(VLOOKUP($D111,'Visu totale'!$D:$DH,AP$1,0)),AO111-VLOOKUP($D111,'Visu totale'!$D:$DH,AP$1,0),IF(LEFT(VLOOKUP($D111,'Visu totale'!$D:$DH,AP$1,0),1)="V",IF(AO111&gt;=INDEX('[1]Définition Maintenances'!$G:$G,MATCH($A111,'[1]Définition Maintenances'!$K:$K,0)),AO111,INDEX('[1]Définition Maintenances'!$G:$G,MATCH($A111,'[1]Définition Maintenances'!$K:$K,0))+AO111),AO111))</f>
        <v>687</v>
      </c>
      <c r="AQ111" s="26">
        <f>IF(ISNUMBER(VLOOKUP($D111,'Visu totale'!$D:$DH,AQ$1,0)),AP111-VLOOKUP($D111,'Visu totale'!$D:$DH,AQ$1,0),IF(LEFT(VLOOKUP($D111,'Visu totale'!$D:$DH,AQ$1,0),1)="V",IF(AP111&gt;=INDEX('[1]Définition Maintenances'!$G:$G,MATCH($A111,'[1]Définition Maintenances'!$K:$K,0)),AP111,INDEX('[1]Définition Maintenances'!$G:$G,MATCH($A111,'[1]Définition Maintenances'!$K:$K,0))+AP111),AP111))</f>
        <v>687</v>
      </c>
      <c r="AR111" s="26">
        <f>IF(ISNUMBER(VLOOKUP($D111,'Visu totale'!$D:$DH,AR$1,0)),AQ111-VLOOKUP($D111,'Visu totale'!$D:$DH,AR$1,0),IF(LEFT(VLOOKUP($D111,'Visu totale'!$D:$DH,AR$1,0),1)="V",IF(AQ111&gt;=INDEX('[1]Définition Maintenances'!$G:$G,MATCH($A111,'[1]Définition Maintenances'!$K:$K,0)),AQ111,INDEX('[1]Définition Maintenances'!$G:$G,MATCH($A111,'[1]Définition Maintenances'!$K:$K,0))+AQ111),AQ111))</f>
        <v>687</v>
      </c>
      <c r="AS111" s="26">
        <f>IF(ISNUMBER(VLOOKUP($D111,'Visu totale'!$D:$DH,AS$1,0)),AR111-VLOOKUP($D111,'Visu totale'!$D:$DH,AS$1,0),IF(LEFT(VLOOKUP($D111,'Visu totale'!$D:$DH,AS$1,0),1)="V",IF(AR111&gt;=INDEX('[1]Définition Maintenances'!$G:$G,MATCH($A111,'[1]Définition Maintenances'!$K:$K,0)),AR111,INDEX('[1]Définition Maintenances'!$G:$G,MATCH($A111,'[1]Définition Maintenances'!$K:$K,0))+AR111),AR111))</f>
        <v>687</v>
      </c>
      <c r="AT111" s="26">
        <f>IF(ISNUMBER(VLOOKUP($D111,'Visu totale'!$D:$DH,AT$1,0)),AS111-VLOOKUP($D111,'Visu totale'!$D:$DH,AT$1,0),IF(LEFT(VLOOKUP($D111,'Visu totale'!$D:$DH,AT$1,0),1)="V",IF(AS111&gt;=INDEX('[1]Définition Maintenances'!$G:$G,MATCH($A111,'[1]Définition Maintenances'!$K:$K,0)),AS111,INDEX('[1]Définition Maintenances'!$G:$G,MATCH($A111,'[1]Définition Maintenances'!$K:$K,0))+AS111),AS111))</f>
        <v>687</v>
      </c>
      <c r="AU111" s="26">
        <f>IF(ISNUMBER(VLOOKUP($D111,'Visu totale'!$D:$DH,AU$1,0)),AT111-VLOOKUP($D111,'Visu totale'!$D:$DH,AU$1,0),IF(LEFT(VLOOKUP($D111,'Visu totale'!$D:$DH,AU$1,0),1)="V",IF(AT111&gt;=INDEX('[1]Définition Maintenances'!$G:$G,MATCH($A111,'[1]Définition Maintenances'!$K:$K,0)),AT111,INDEX('[1]Définition Maintenances'!$G:$G,MATCH($A111,'[1]Définition Maintenances'!$K:$K,0))+AT111),AT111))</f>
        <v>687</v>
      </c>
      <c r="AV111" s="26">
        <f>IF(ISNUMBER(VLOOKUP($D111,'Visu totale'!$D:$DH,AV$1,0)),AU111-VLOOKUP($D111,'Visu totale'!$D:$DH,AV$1,0),IF(LEFT(VLOOKUP($D111,'Visu totale'!$D:$DH,AV$1,0),1)="V",IF(AU111&gt;=INDEX('[1]Définition Maintenances'!$G:$G,MATCH($A111,'[1]Définition Maintenances'!$K:$K,0)),AU111,INDEX('[1]Définition Maintenances'!$G:$G,MATCH($A111,'[1]Définition Maintenances'!$K:$K,0))+AU111),AU111))</f>
        <v>687</v>
      </c>
      <c r="AW111" s="26">
        <f>IF(ISNUMBER(VLOOKUP($D111,'Visu totale'!$D:$DH,AW$1,0)),AV111-VLOOKUP($D111,'Visu totale'!$D:$DH,AW$1,0),IF(LEFT(VLOOKUP($D111,'Visu totale'!$D:$DH,AW$1,0),1)="V",IF(AV111&gt;=INDEX('[1]Définition Maintenances'!$G:$G,MATCH($A111,'[1]Définition Maintenances'!$K:$K,0)),AV111,INDEX('[1]Définition Maintenances'!$G:$G,MATCH($A111,'[1]Définition Maintenances'!$K:$K,0))+AV111),AV111))</f>
        <v>687</v>
      </c>
      <c r="AX111" s="26">
        <f>IF(ISNUMBER(VLOOKUP($D111,'Visu totale'!$D:$DH,AX$1,0)),AW111-VLOOKUP($D111,'Visu totale'!$D:$DH,AX$1,0),IF(LEFT(VLOOKUP($D111,'Visu totale'!$D:$DH,AX$1,0),1)="V",IF(AW111&gt;=INDEX('[1]Définition Maintenances'!$G:$G,MATCH($A111,'[1]Définition Maintenances'!$K:$K,0)),AW111,INDEX('[1]Définition Maintenances'!$G:$G,MATCH($A111,'[1]Définition Maintenances'!$K:$K,0))+AW111),AW111))</f>
        <v>687</v>
      </c>
      <c r="AY111" s="26">
        <f>IF(ISNUMBER(VLOOKUP($D111,'Visu totale'!$D:$DH,AY$1,0)),AX111-VLOOKUP($D111,'Visu totale'!$D:$DH,AY$1,0),IF(LEFT(VLOOKUP($D111,'Visu totale'!$D:$DH,AY$1,0),1)="V",IF(AX111&gt;=INDEX('[1]Définition Maintenances'!$G:$G,MATCH($A111,'[1]Définition Maintenances'!$K:$K,0)),AX111,INDEX('[1]Définition Maintenances'!$G:$G,MATCH($A111,'[1]Définition Maintenances'!$K:$K,0))+AX111),AX111))</f>
        <v>687</v>
      </c>
      <c r="AZ111" s="26">
        <f>IF(ISNUMBER(VLOOKUP($D111,'Visu totale'!$D:$DH,AZ$1,0)),AY111-VLOOKUP($D111,'Visu totale'!$D:$DH,AZ$1,0),IF(LEFT(VLOOKUP($D111,'Visu totale'!$D:$DH,AZ$1,0),1)="V",IF(AY111&gt;=INDEX('[1]Définition Maintenances'!$G:$G,MATCH($A111,'[1]Définition Maintenances'!$K:$K,0)),AY111,INDEX('[1]Définition Maintenances'!$G:$G,MATCH($A111,'[1]Définition Maintenances'!$K:$K,0))+AY111),AY111))</f>
        <v>687</v>
      </c>
      <c r="BA111" s="27">
        <f>IF(ISNUMBER(VLOOKUP($D111,'Visu totale'!$D:$DH,BA$1,0)),AZ111-VLOOKUP($D111,'Visu totale'!$D:$DH,BA$1,0),IF(LEFT(VLOOKUP($D111,'Visu totale'!$D:$DH,BA$1,0),1)="V",IF(AZ111&gt;=INDEX('[1]Définition Maintenances'!$G:$G,MATCH($A111,'[1]Définition Maintenances'!$K:$K,0)),AZ111,INDEX('[1]Définition Maintenances'!$G:$G,MATCH($A111,'[1]Définition Maintenances'!$K:$K,0))+AZ111),AZ111))</f>
        <v>687</v>
      </c>
      <c r="BB111" s="25">
        <f>IF(ISNUMBER(VLOOKUP($D111,'Visu totale'!$D:$DH,BB$1,0)),BA111-VLOOKUP($D111,'Visu totale'!$D:$DH,BB$1,0),IF(LEFT(VLOOKUP($D111,'Visu totale'!$D:$DH,BB$1,0),1)="V",IF(BA111&gt;=INDEX('[1]Définition Maintenances'!$G:$G,MATCH($A111,'[1]Définition Maintenances'!$K:$K,0)),BA111,INDEX('[1]Définition Maintenances'!$G:$G,MATCH($A111,'[1]Définition Maintenances'!$K:$K,0))+BA111),BA111))</f>
        <v>687</v>
      </c>
      <c r="BC111" s="26">
        <f>IF(ISNUMBER(VLOOKUP($D111,'Visu totale'!$D:$DH,BC$1,0)),BB111-VLOOKUP($D111,'Visu totale'!$D:$DH,BC$1,0),IF(LEFT(VLOOKUP($D111,'Visu totale'!$D:$DH,BC$1,0),1)="V",IF(BB111&gt;=INDEX('[1]Définition Maintenances'!$G:$G,MATCH($A111,'[1]Définition Maintenances'!$K:$K,0)),BB111,INDEX('[1]Définition Maintenances'!$G:$G,MATCH($A111,'[1]Définition Maintenances'!$K:$K,0))+BB111),BB111))</f>
        <v>687</v>
      </c>
      <c r="BD111" s="26">
        <f>IF(ISNUMBER(VLOOKUP($D111,'Visu totale'!$D:$DH,BD$1,0)),BC111-VLOOKUP($D111,'Visu totale'!$D:$DH,BD$1,0),IF(LEFT(VLOOKUP($D111,'Visu totale'!$D:$DH,BD$1,0),1)="V",IF(BC111&gt;=INDEX('[1]Définition Maintenances'!$G:$G,MATCH($A111,'[1]Définition Maintenances'!$K:$K,0)),BC111,INDEX('[1]Définition Maintenances'!$G:$G,MATCH($A111,'[1]Définition Maintenances'!$K:$K,0))+BC111),BC111))</f>
        <v>687</v>
      </c>
      <c r="BE111" s="26">
        <f>IF(ISNUMBER(VLOOKUP($D111,'Visu totale'!$D:$DH,BE$1,0)),BD111-VLOOKUP($D111,'Visu totale'!$D:$DH,BE$1,0),IF(LEFT(VLOOKUP($D111,'Visu totale'!$D:$DH,BE$1,0),1)="V",IF(BD111&gt;=INDEX('[1]Définition Maintenances'!$G:$G,MATCH($A111,'[1]Définition Maintenances'!$K:$K,0)),BD111,INDEX('[1]Définition Maintenances'!$G:$G,MATCH($A111,'[1]Définition Maintenances'!$K:$K,0))+BD111),BD111))</f>
        <v>687</v>
      </c>
      <c r="BF111" s="26">
        <f>IF(ISNUMBER(VLOOKUP($D111,'Visu totale'!$D:$DH,BF$1,0)),BE111-VLOOKUP($D111,'Visu totale'!$D:$DH,BF$1,0),IF(LEFT(VLOOKUP($D111,'Visu totale'!$D:$DH,BF$1,0),1)="V",IF(BE111&gt;=INDEX('[1]Définition Maintenances'!$G:$G,MATCH($A111,'[1]Définition Maintenances'!$K:$K,0)),BE111,INDEX('[1]Définition Maintenances'!$G:$G,MATCH($A111,'[1]Définition Maintenances'!$K:$K,0))+BE111),BE111))</f>
        <v>687</v>
      </c>
      <c r="BG111" s="26">
        <f>IF(ISNUMBER(VLOOKUP($D111,'Visu totale'!$D:$DH,BG$1,0)),BF111-VLOOKUP($D111,'Visu totale'!$D:$DH,BG$1,0),IF(LEFT(VLOOKUP($D111,'Visu totale'!$D:$DH,BG$1,0),1)="V",IF(BF111&gt;=INDEX('[1]Définition Maintenances'!$G:$G,MATCH($A111,'[1]Définition Maintenances'!$K:$K,0)),BF111,INDEX('[1]Définition Maintenances'!$G:$G,MATCH($A111,'[1]Définition Maintenances'!$K:$K,0))+BF111),BF111))</f>
        <v>687</v>
      </c>
      <c r="BH111" s="26">
        <f>IF(ISNUMBER(VLOOKUP($D111,'Visu totale'!$D:$DH,BH$1,0)),BG111-VLOOKUP($D111,'Visu totale'!$D:$DH,BH$1,0),IF(LEFT(VLOOKUP($D111,'Visu totale'!$D:$DH,BH$1,0),1)="V",IF(BG111&gt;=INDEX('[1]Définition Maintenances'!$G:$G,MATCH($A111,'[1]Définition Maintenances'!$K:$K,0)),BG111,INDEX('[1]Définition Maintenances'!$G:$G,MATCH($A111,'[1]Définition Maintenances'!$K:$K,0))+BG111),BG111))</f>
        <v>687</v>
      </c>
      <c r="BI111" s="26">
        <f>IF(ISNUMBER(VLOOKUP($D111,'Visu totale'!$D:$DH,BI$1,0)),BH111-VLOOKUP($D111,'Visu totale'!$D:$DH,BI$1,0),IF(LEFT(VLOOKUP($D111,'Visu totale'!$D:$DH,BI$1,0),1)="V",IF(BH111&gt;=INDEX('[1]Définition Maintenances'!$G:$G,MATCH($A111,'[1]Définition Maintenances'!$K:$K,0)),BH111,INDEX('[1]Définition Maintenances'!$G:$G,MATCH($A111,'[1]Définition Maintenances'!$K:$K,0))+BH111),BH111))</f>
        <v>687</v>
      </c>
      <c r="BJ111" s="26">
        <f>IF(ISNUMBER(VLOOKUP($D111,'Visu totale'!$D:$DH,BJ$1,0)),BI111-VLOOKUP($D111,'Visu totale'!$D:$DH,BJ$1,0),IF(LEFT(VLOOKUP($D111,'Visu totale'!$D:$DH,BJ$1,0),1)="V",IF(BI111&gt;=INDEX('[1]Définition Maintenances'!$G:$G,MATCH($A111,'[1]Définition Maintenances'!$K:$K,0)),BI111,INDEX('[1]Définition Maintenances'!$G:$G,MATCH($A111,'[1]Définition Maintenances'!$K:$K,0))+BI111),BI111))</f>
        <v>687</v>
      </c>
      <c r="BK111" s="26">
        <f>IF(ISNUMBER(VLOOKUP($D111,'Visu totale'!$D:$DH,BK$1,0)),BJ111-VLOOKUP($D111,'Visu totale'!$D:$DH,BK$1,0),IF(LEFT(VLOOKUP($D111,'Visu totale'!$D:$DH,BK$1,0),1)="V",IF(BJ111&gt;=INDEX('[1]Définition Maintenances'!$G:$G,MATCH($A111,'[1]Définition Maintenances'!$K:$K,0)),BJ111,INDEX('[1]Définition Maintenances'!$G:$G,MATCH($A111,'[1]Définition Maintenances'!$K:$K,0))+BJ111),BJ111))</f>
        <v>687</v>
      </c>
      <c r="BL111" s="26">
        <f>IF(ISNUMBER(VLOOKUP($D111,'Visu totale'!$D:$DH,BL$1,0)),BK111-VLOOKUP($D111,'Visu totale'!$D:$DH,BL$1,0),IF(LEFT(VLOOKUP($D111,'Visu totale'!$D:$DH,BL$1,0),1)="V",IF(BK111&gt;=INDEX('[1]Définition Maintenances'!$G:$G,MATCH($A111,'[1]Définition Maintenances'!$K:$K,0)),BK111,INDEX('[1]Définition Maintenances'!$G:$G,MATCH($A111,'[1]Définition Maintenances'!$K:$K,0))+BK111),BK111))</f>
        <v>687</v>
      </c>
      <c r="BM111" s="27">
        <f>IF(ISNUMBER(VLOOKUP($D111,'Visu totale'!$D:$DH,BM$1,0)),BL111-VLOOKUP($D111,'Visu totale'!$D:$DH,BM$1,0),IF(LEFT(VLOOKUP($D111,'Visu totale'!$D:$DH,BM$1,0),1)="V",IF(BL111&gt;=INDEX('[1]Définition Maintenances'!$G:$G,MATCH($A111,'[1]Définition Maintenances'!$K:$K,0)),BL111,INDEX('[1]Définition Maintenances'!$G:$G,MATCH($A111,'[1]Définition Maintenances'!$K:$K,0))+BL111),BL111))</f>
        <v>687</v>
      </c>
      <c r="BN111" s="25">
        <f>IF(ISNUMBER(VLOOKUP($D111,'Visu totale'!$D:$DH,BN$1,0)),BM111-VLOOKUP($D111,'Visu totale'!$D:$DH,BN$1,0),IF(LEFT(VLOOKUP($D111,'Visu totale'!$D:$DH,BN$1,0),1)="V",IF(BM111&gt;=INDEX('[1]Définition Maintenances'!$G:$G,MATCH($A111,'[1]Définition Maintenances'!$K:$K,0)),BM111,INDEX('[1]Définition Maintenances'!$G:$G,MATCH($A111,'[1]Définition Maintenances'!$K:$K,0))+BM111),BM111))</f>
        <v>687</v>
      </c>
      <c r="BO111" s="26">
        <f>IF(ISNUMBER(VLOOKUP($D111,'Visu totale'!$D:$DH,BO$1,0)),BN111-VLOOKUP($D111,'Visu totale'!$D:$DH,BO$1,0),IF(LEFT(VLOOKUP($D111,'Visu totale'!$D:$DH,BO$1,0),1)="V",IF(BN111&gt;=INDEX('[1]Définition Maintenances'!$G:$G,MATCH($A111,'[1]Définition Maintenances'!$K:$K,0)),BN111,INDEX('[1]Définition Maintenances'!$G:$G,MATCH($A111,'[1]Définition Maintenances'!$K:$K,0))+BN111),BN111))</f>
        <v>687</v>
      </c>
      <c r="BP111" s="26">
        <f>IF(ISNUMBER(VLOOKUP($D111,'Visu totale'!$D:$DH,BP$1,0)),BO111-VLOOKUP($D111,'Visu totale'!$D:$DH,BP$1,0),IF(LEFT(VLOOKUP($D111,'Visu totale'!$D:$DH,BP$1,0),1)="V",IF(BO111&gt;=INDEX('[1]Définition Maintenances'!$G:$G,MATCH($A111,'[1]Définition Maintenances'!$K:$K,0)),BO111,INDEX('[1]Définition Maintenances'!$G:$G,MATCH($A111,'[1]Définition Maintenances'!$K:$K,0))+BO111),BO111))</f>
        <v>687</v>
      </c>
      <c r="BQ111" s="26">
        <f>IF(ISNUMBER(VLOOKUP($D111,'Visu totale'!$D:$DH,BQ$1,0)),BP111-VLOOKUP($D111,'Visu totale'!$D:$DH,BQ$1,0),IF(LEFT(VLOOKUP($D111,'Visu totale'!$D:$DH,BQ$1,0),1)="V",IF(BP111&gt;=INDEX('[1]Définition Maintenances'!$G:$G,MATCH($A111,'[1]Définition Maintenances'!$K:$K,0)),BP111,INDEX('[1]Définition Maintenances'!$G:$G,MATCH($A111,'[1]Définition Maintenances'!$K:$K,0))+BP111),BP111))</f>
        <v>687</v>
      </c>
      <c r="BR111" s="26">
        <f>IF(ISNUMBER(VLOOKUP($D111,'Visu totale'!$D:$DH,BR$1,0)),BQ111-VLOOKUP($D111,'Visu totale'!$D:$DH,BR$1,0),IF(LEFT(VLOOKUP($D111,'Visu totale'!$D:$DH,BR$1,0),1)="V",IF(BQ111&gt;=INDEX('[1]Définition Maintenances'!$G:$G,MATCH($A111,'[1]Définition Maintenances'!$K:$K,0)),BQ111,INDEX('[1]Définition Maintenances'!$G:$G,MATCH($A111,'[1]Définition Maintenances'!$K:$K,0))+BQ111),BQ111))</f>
        <v>687</v>
      </c>
      <c r="BS111" s="26">
        <f>IF(ISNUMBER(VLOOKUP($D111,'Visu totale'!$D:$DH,BS$1,0)),BR111-VLOOKUP($D111,'Visu totale'!$D:$DH,BS$1,0),IF(LEFT(VLOOKUP($D111,'Visu totale'!$D:$DH,BS$1,0),1)="V",IF(BR111&gt;=INDEX('[1]Définition Maintenances'!$G:$G,MATCH($A111,'[1]Définition Maintenances'!$K:$K,0)),BR111,INDEX('[1]Définition Maintenances'!$G:$G,MATCH($A111,'[1]Définition Maintenances'!$K:$K,0))+BR111),BR111))</f>
        <v>687</v>
      </c>
      <c r="BT111" s="26">
        <f>IF(ISNUMBER(VLOOKUP($D111,'Visu totale'!$D:$DH,BT$1,0)),BS111-VLOOKUP($D111,'Visu totale'!$D:$DH,BT$1,0),IF(LEFT(VLOOKUP($D111,'Visu totale'!$D:$DH,BT$1,0),1)="V",IF(BS111&gt;=INDEX('[1]Définition Maintenances'!$G:$G,MATCH($A111,'[1]Définition Maintenances'!$K:$K,0)),BS111,INDEX('[1]Définition Maintenances'!$G:$G,MATCH($A111,'[1]Définition Maintenances'!$K:$K,0))+BS111),BS111))</f>
        <v>687</v>
      </c>
      <c r="BU111" s="26">
        <f>IF(ISNUMBER(VLOOKUP($D111,'Visu totale'!$D:$DH,BU$1,0)),BT111-VLOOKUP($D111,'Visu totale'!$D:$DH,BU$1,0),IF(LEFT(VLOOKUP($D111,'Visu totale'!$D:$DH,BU$1,0),1)="V",IF(BT111&gt;=INDEX('[1]Définition Maintenances'!$G:$G,MATCH($A111,'[1]Définition Maintenances'!$K:$K,0)),BT111,INDEX('[1]Définition Maintenances'!$G:$G,MATCH($A111,'[1]Définition Maintenances'!$K:$K,0))+BT111),BT111))</f>
        <v>687</v>
      </c>
      <c r="BV111" s="26">
        <f>IF(ISNUMBER(VLOOKUP($D111,'Visu totale'!$D:$DH,BV$1,0)),BU111-VLOOKUP($D111,'Visu totale'!$D:$DH,BV$1,0),IF(LEFT(VLOOKUP($D111,'Visu totale'!$D:$DH,BV$1,0),1)="V",IF(BU111&gt;=INDEX('[1]Définition Maintenances'!$G:$G,MATCH($A111,'[1]Définition Maintenances'!$K:$K,0)),BU111,INDEX('[1]Définition Maintenances'!$G:$G,MATCH($A111,'[1]Définition Maintenances'!$K:$K,0))+BU111),BU111))</f>
        <v>687</v>
      </c>
      <c r="BW111" s="26">
        <f>IF(ISNUMBER(VLOOKUP($D111,'Visu totale'!$D:$DH,BW$1,0)),BV111-VLOOKUP($D111,'Visu totale'!$D:$DH,BW$1,0),IF(LEFT(VLOOKUP($D111,'Visu totale'!$D:$DH,BW$1,0),1)="V",IF(BV111&gt;=INDEX('[1]Définition Maintenances'!$G:$G,MATCH($A111,'[1]Définition Maintenances'!$K:$K,0)),BV111,INDEX('[1]Définition Maintenances'!$G:$G,MATCH($A111,'[1]Définition Maintenances'!$K:$K,0))+BV111),BV111))</f>
        <v>687</v>
      </c>
      <c r="BX111" s="26">
        <f>IF(ISNUMBER(VLOOKUP($D111,'Visu totale'!$D:$DH,BX$1,0)),BW111-VLOOKUP($D111,'Visu totale'!$D:$DH,BX$1,0),IF(LEFT(VLOOKUP($D111,'Visu totale'!$D:$DH,BX$1,0),1)="V",IF(BW111&gt;=INDEX('[1]Définition Maintenances'!$G:$G,MATCH($A111,'[1]Définition Maintenances'!$K:$K,0)),BW111,INDEX('[1]Définition Maintenances'!$G:$G,MATCH($A111,'[1]Définition Maintenances'!$K:$K,0))+BW111),BW111))</f>
        <v>687</v>
      </c>
      <c r="BY111" s="27">
        <f>IF(ISNUMBER(VLOOKUP($D111,'Visu totale'!$D:$DH,BY$1,0)),BX111-VLOOKUP($D111,'Visu totale'!$D:$DH,BY$1,0),IF(LEFT(VLOOKUP($D111,'Visu totale'!$D:$DH,BY$1,0),1)="V",IF(BX111&gt;=INDEX('[1]Définition Maintenances'!$G:$G,MATCH($A111,'[1]Définition Maintenances'!$K:$K,0)),BX111,INDEX('[1]Définition Maintenances'!$G:$G,MATCH($A111,'[1]Définition Maintenances'!$K:$K,0))+BX111),BX111))</f>
        <v>687</v>
      </c>
      <c r="BZ111" s="25">
        <f>IF(ISNUMBER(VLOOKUP($D111,'Visu totale'!$D:$DH,BZ$1,0)),BY111-VLOOKUP($D111,'Visu totale'!$D:$DH,BZ$1,0),IF(LEFT(VLOOKUP($D111,'Visu totale'!$D:$DH,BZ$1,0),1)="V",IF(BY111&gt;=INDEX('[1]Définition Maintenances'!$G:$G,MATCH($A111,'[1]Définition Maintenances'!$K:$K,0)),BY111,INDEX('[1]Définition Maintenances'!$G:$G,MATCH($A111,'[1]Définition Maintenances'!$K:$K,0))+BY111),BY111))</f>
        <v>687</v>
      </c>
      <c r="CA111" s="26">
        <f>IF(ISNUMBER(VLOOKUP($D111,'Visu totale'!$D:$DH,CA$1,0)),BZ111-VLOOKUP($D111,'Visu totale'!$D:$DH,CA$1,0),IF(LEFT(VLOOKUP($D111,'Visu totale'!$D:$DH,CA$1,0),1)="V",IF(BZ111&gt;=INDEX('[1]Définition Maintenances'!$G:$G,MATCH($A111,'[1]Définition Maintenances'!$K:$K,0)),BZ111,INDEX('[1]Définition Maintenances'!$G:$G,MATCH($A111,'[1]Définition Maintenances'!$K:$K,0))+BZ111),BZ111))</f>
        <v>687</v>
      </c>
      <c r="CB111" s="26">
        <f>IF(ISNUMBER(VLOOKUP($D111,'Visu totale'!$D:$DH,CB$1,0)),CA111-VLOOKUP($D111,'Visu totale'!$D:$DH,CB$1,0),IF(LEFT(VLOOKUP($D111,'Visu totale'!$D:$DH,CB$1,0),1)="V",IF(CA111&gt;=INDEX('[1]Définition Maintenances'!$G:$G,MATCH($A111,'[1]Définition Maintenances'!$K:$K,0)),CA111,INDEX('[1]Définition Maintenances'!$G:$G,MATCH($A111,'[1]Définition Maintenances'!$K:$K,0))+CA111),CA111))</f>
        <v>687</v>
      </c>
      <c r="CC111" s="26">
        <f>IF(ISNUMBER(VLOOKUP($D111,'Visu totale'!$D:$DH,CC$1,0)),CB111-VLOOKUP($D111,'Visu totale'!$D:$DH,CC$1,0),IF(LEFT(VLOOKUP($D111,'Visu totale'!$D:$DH,CC$1,0),1)="V",IF(CB111&gt;=INDEX('[1]Définition Maintenances'!$G:$G,MATCH($A111,'[1]Définition Maintenances'!$K:$K,0)),CB111,INDEX('[1]Définition Maintenances'!$G:$G,MATCH($A111,'[1]Définition Maintenances'!$K:$K,0))+CB111),CB111))</f>
        <v>687</v>
      </c>
      <c r="CD111" s="26">
        <f>IF(ISNUMBER(VLOOKUP($D111,'Visu totale'!$D:$DH,CD$1,0)),CC111-VLOOKUP($D111,'Visu totale'!$D:$DH,CD$1,0),IF(LEFT(VLOOKUP($D111,'Visu totale'!$D:$DH,CD$1,0),1)="V",IF(CC111&gt;=INDEX('[1]Définition Maintenances'!$G:$G,MATCH($A111,'[1]Définition Maintenances'!$K:$K,0)),CC111,INDEX('[1]Définition Maintenances'!$G:$G,MATCH($A111,'[1]Définition Maintenances'!$K:$K,0))+CC111),CC111))</f>
        <v>687</v>
      </c>
      <c r="CE111" s="26">
        <f>IF(ISNUMBER(VLOOKUP($D111,'Visu totale'!$D:$DH,CE$1,0)),CD111-VLOOKUP($D111,'Visu totale'!$D:$DH,CE$1,0),IF(LEFT(VLOOKUP($D111,'Visu totale'!$D:$DH,CE$1,0),1)="V",IF(CD111&gt;=INDEX('[1]Définition Maintenances'!$G:$G,MATCH($A111,'[1]Définition Maintenances'!$K:$K,0)),CD111,INDEX('[1]Définition Maintenances'!$G:$G,MATCH($A111,'[1]Définition Maintenances'!$K:$K,0))+CD111),CD111))</f>
        <v>687</v>
      </c>
      <c r="CF111" s="26">
        <f>IF(ISNUMBER(VLOOKUP($D111,'Visu totale'!$D:$DH,CF$1,0)),CE111-VLOOKUP($D111,'Visu totale'!$D:$DH,CF$1,0),IF(LEFT(VLOOKUP($D111,'Visu totale'!$D:$DH,CF$1,0),1)="V",IF(CE111&gt;=INDEX('[1]Définition Maintenances'!$G:$G,MATCH($A111,'[1]Définition Maintenances'!$K:$K,0)),CE111,INDEX('[1]Définition Maintenances'!$G:$G,MATCH($A111,'[1]Définition Maintenances'!$K:$K,0))+CE111),CE111))</f>
        <v>687</v>
      </c>
      <c r="CG111" s="26">
        <f>IF(ISNUMBER(VLOOKUP($D111,'Visu totale'!$D:$DH,CG$1,0)),CF111-VLOOKUP($D111,'Visu totale'!$D:$DH,CG$1,0),IF(LEFT(VLOOKUP($D111,'Visu totale'!$D:$DH,CG$1,0),1)="V",IF(CF111&gt;=INDEX('[1]Définition Maintenances'!$G:$G,MATCH($A111,'[1]Définition Maintenances'!$K:$K,0)),CF111,INDEX('[1]Définition Maintenances'!$G:$G,MATCH($A111,'[1]Définition Maintenances'!$K:$K,0))+CF111),CF111))</f>
        <v>687</v>
      </c>
      <c r="CH111" s="26">
        <f>IF(ISNUMBER(VLOOKUP($D111,'Visu totale'!$D:$DH,CH$1,0)),CG111-VLOOKUP($D111,'Visu totale'!$D:$DH,CH$1,0),IF(LEFT(VLOOKUP($D111,'Visu totale'!$D:$DH,CH$1,0),1)="V",IF(CG111&gt;=INDEX('[1]Définition Maintenances'!$G:$G,MATCH($A111,'[1]Définition Maintenances'!$K:$K,0)),CG111,INDEX('[1]Définition Maintenances'!$G:$G,MATCH($A111,'[1]Définition Maintenances'!$K:$K,0))+CG111),CG111))</f>
        <v>687</v>
      </c>
      <c r="CI111" s="26">
        <f>IF(ISNUMBER(VLOOKUP($D111,'Visu totale'!$D:$DH,CI$1,0)),CH111-VLOOKUP($D111,'Visu totale'!$D:$DH,CI$1,0),IF(LEFT(VLOOKUP($D111,'Visu totale'!$D:$DH,CI$1,0),1)="V",IF(CH111&gt;=INDEX('[1]Définition Maintenances'!$G:$G,MATCH($A111,'[1]Définition Maintenances'!$K:$K,0)),CH111,INDEX('[1]Définition Maintenances'!$G:$G,MATCH($A111,'[1]Définition Maintenances'!$K:$K,0))+CH111),CH111))</f>
        <v>687</v>
      </c>
      <c r="CJ111" s="26">
        <f>IF(ISNUMBER(VLOOKUP($D111,'Visu totale'!$D:$DH,CJ$1,0)),CI111-VLOOKUP($D111,'Visu totale'!$D:$DH,CJ$1,0),IF(LEFT(VLOOKUP($D111,'Visu totale'!$D:$DH,CJ$1,0),1)="V",IF(CI111&gt;=INDEX('[1]Définition Maintenances'!$G:$G,MATCH($A111,'[1]Définition Maintenances'!$K:$K,0)),CI111,INDEX('[1]Définition Maintenances'!$G:$G,MATCH($A111,'[1]Définition Maintenances'!$K:$K,0))+CI111),CI111))</f>
        <v>687</v>
      </c>
      <c r="CK111" s="27">
        <f>IF(ISNUMBER(VLOOKUP($D111,'Visu totale'!$D:$DH,CK$1,0)),CJ111-VLOOKUP($D111,'Visu totale'!$D:$DH,CK$1,0),IF(LEFT(VLOOKUP($D111,'Visu totale'!$D:$DH,CK$1,0),1)="V",IF(CJ111&gt;=INDEX('[1]Définition Maintenances'!$G:$G,MATCH($A111,'[1]Définition Maintenances'!$K:$K,0)),CJ111,INDEX('[1]Définition Maintenances'!$G:$G,MATCH($A111,'[1]Définition Maintenances'!$K:$K,0))+CJ111),CJ111))</f>
        <v>687</v>
      </c>
      <c r="CL111" s="25">
        <f>IF(ISNUMBER(VLOOKUP($D111,'Visu totale'!$D:$DH,CL$1,0)),CK111-VLOOKUP($D111,'Visu totale'!$D:$DH,CL$1,0),IF(LEFT(VLOOKUP($D111,'Visu totale'!$D:$DH,CL$1,0),1)="V",IF(CK111&gt;=INDEX('[1]Définition Maintenances'!$G:$G,MATCH($A111,'[1]Définition Maintenances'!$K:$K,0)),CK111,INDEX('[1]Définition Maintenances'!$G:$G,MATCH($A111,'[1]Définition Maintenances'!$K:$K,0))+CK111),CK111))</f>
        <v>687</v>
      </c>
      <c r="CM111" s="26">
        <f>IF(ISNUMBER(VLOOKUP($D111,'Visu totale'!$D:$DH,CM$1,0)),CL111-VLOOKUP($D111,'Visu totale'!$D:$DH,CM$1,0),IF(LEFT(VLOOKUP($D111,'Visu totale'!$D:$DH,CM$1,0),1)="V",IF(CL111&gt;=INDEX('[1]Définition Maintenances'!$G:$G,MATCH($A111,'[1]Définition Maintenances'!$K:$K,0)),CL111,INDEX('[1]Définition Maintenances'!$G:$G,MATCH($A111,'[1]Définition Maintenances'!$K:$K,0))+CL111),CL111))</f>
        <v>687</v>
      </c>
      <c r="CN111" s="26">
        <f>IF(ISNUMBER(VLOOKUP($D111,'Visu totale'!$D:$DH,CN$1,0)),CM111-VLOOKUP($D111,'Visu totale'!$D:$DH,CN$1,0),IF(LEFT(VLOOKUP($D111,'Visu totale'!$D:$DH,CN$1,0),1)="V",IF(CM111&gt;=INDEX('[1]Définition Maintenances'!$G:$G,MATCH($A111,'[1]Définition Maintenances'!$K:$K,0)),CM111,INDEX('[1]Définition Maintenances'!$G:$G,MATCH($A111,'[1]Définition Maintenances'!$K:$K,0))+CM111),CM111))</f>
        <v>687</v>
      </c>
      <c r="CO111" s="26">
        <f>IF(ISNUMBER(VLOOKUP($D111,'Visu totale'!$D:$DH,CO$1,0)),CN111-VLOOKUP($D111,'Visu totale'!$D:$DH,CO$1,0),IF(LEFT(VLOOKUP($D111,'Visu totale'!$D:$DH,CO$1,0),1)="V",IF(CN111&gt;=INDEX('[1]Définition Maintenances'!$G:$G,MATCH($A111,'[1]Définition Maintenances'!$K:$K,0)),CN111,INDEX('[1]Définition Maintenances'!$G:$G,MATCH($A111,'[1]Définition Maintenances'!$K:$K,0))+CN111),CN111))</f>
        <v>687</v>
      </c>
      <c r="CP111" s="26">
        <f>IF(ISNUMBER(VLOOKUP($D111,'Visu totale'!$D:$DH,CP$1,0)),CO111-VLOOKUP($D111,'Visu totale'!$D:$DH,CP$1,0),IF(LEFT(VLOOKUP($D111,'Visu totale'!$D:$DH,CP$1,0),1)="V",IF(CO111&gt;=INDEX('[1]Définition Maintenances'!$G:$G,MATCH($A111,'[1]Définition Maintenances'!$K:$K,0)),CO111,INDEX('[1]Définition Maintenances'!$G:$G,MATCH($A111,'[1]Définition Maintenances'!$K:$K,0))+CO111),CO111))</f>
        <v>687</v>
      </c>
      <c r="CQ111" s="26">
        <f>IF(ISNUMBER(VLOOKUP($D111,'Visu totale'!$D:$DH,CQ$1,0)),CP111-VLOOKUP($D111,'Visu totale'!$D:$DH,CQ$1,0),IF(LEFT(VLOOKUP($D111,'Visu totale'!$D:$DH,CQ$1,0),1)="V",IF(CP111&gt;=INDEX('[1]Définition Maintenances'!$G:$G,MATCH($A111,'[1]Définition Maintenances'!$K:$K,0)),CP111,INDEX('[1]Définition Maintenances'!$G:$G,MATCH($A111,'[1]Définition Maintenances'!$K:$K,0))+CP111),CP111))</f>
        <v>687</v>
      </c>
      <c r="CR111" s="26">
        <f>IF(ISNUMBER(VLOOKUP($D111,'Visu totale'!$D:$DH,CR$1,0)),CQ111-VLOOKUP($D111,'Visu totale'!$D:$DH,CR$1,0),IF(LEFT(VLOOKUP($D111,'Visu totale'!$D:$DH,CR$1,0),1)="V",IF(CQ111&gt;=INDEX('[1]Définition Maintenances'!$G:$G,MATCH($A111,'[1]Définition Maintenances'!$K:$K,0)),CQ111,INDEX('[1]Définition Maintenances'!$G:$G,MATCH($A111,'[1]Définition Maintenances'!$K:$K,0))+CQ111),CQ111))</f>
        <v>687</v>
      </c>
      <c r="CS111" s="26">
        <f>IF(ISNUMBER(VLOOKUP($D111,'Visu totale'!$D:$DH,CS$1,0)),CR111-VLOOKUP($D111,'Visu totale'!$D:$DH,CS$1,0),IF(LEFT(VLOOKUP($D111,'Visu totale'!$D:$DH,CS$1,0),1)="V",IF(CR111&gt;=INDEX('[1]Définition Maintenances'!$G:$G,MATCH($A111,'[1]Définition Maintenances'!$K:$K,0)),CR111,INDEX('[1]Définition Maintenances'!$G:$G,MATCH($A111,'[1]Définition Maintenances'!$K:$K,0))+CR111),CR111))</f>
        <v>687</v>
      </c>
      <c r="CT111" s="26">
        <f>IF(ISNUMBER(VLOOKUP($D111,'Visu totale'!$D:$DH,CT$1,0)),CS111-VLOOKUP($D111,'Visu totale'!$D:$DH,CT$1,0),IF(LEFT(VLOOKUP($D111,'Visu totale'!$D:$DH,CT$1,0),1)="V",IF(CS111&gt;=INDEX('[1]Définition Maintenances'!$G:$G,MATCH($A111,'[1]Définition Maintenances'!$K:$K,0)),CS111,INDEX('[1]Définition Maintenances'!$G:$G,MATCH($A111,'[1]Définition Maintenances'!$K:$K,0))+CS111),CS111))</f>
        <v>687</v>
      </c>
      <c r="CU111" s="26">
        <f>IF(ISNUMBER(VLOOKUP($D111,'Visu totale'!$D:$DH,CU$1,0)),CT111-VLOOKUP($D111,'Visu totale'!$D:$DH,CU$1,0),IF(LEFT(VLOOKUP($D111,'Visu totale'!$D:$DH,CU$1,0),1)="V",IF(CT111&gt;=INDEX('[1]Définition Maintenances'!$G:$G,MATCH($A111,'[1]Définition Maintenances'!$K:$K,0)),CT111,INDEX('[1]Définition Maintenances'!$G:$G,MATCH($A111,'[1]Définition Maintenances'!$K:$K,0))+CT111),CT111))</f>
        <v>687</v>
      </c>
      <c r="CV111" s="26">
        <f>IF(ISNUMBER(VLOOKUP($D111,'Visu totale'!$D:$DH,CV$1,0)),CU111-VLOOKUP($D111,'Visu totale'!$D:$DH,CV$1,0),IF(LEFT(VLOOKUP($D111,'Visu totale'!$D:$DH,CV$1,0),1)="V",IF(CU111&gt;=INDEX('[1]Définition Maintenances'!$G:$G,MATCH($A111,'[1]Définition Maintenances'!$K:$K,0)),CU111,INDEX('[1]Définition Maintenances'!$G:$G,MATCH($A111,'[1]Définition Maintenances'!$K:$K,0))+CU111),CU111))</f>
        <v>687</v>
      </c>
      <c r="CW111" s="27">
        <f>IF(ISNUMBER(VLOOKUP($D111,'Visu totale'!$D:$DH,CW$1,0)),CV111-VLOOKUP($D111,'Visu totale'!$D:$DH,CW$1,0),IF(LEFT(VLOOKUP($D111,'Visu totale'!$D:$DH,CW$1,0),1)="V",IF(CV111&gt;=INDEX('[1]Définition Maintenances'!$G:$G,MATCH($A111,'[1]Définition Maintenances'!$K:$K,0)),CV111,INDEX('[1]Définition Maintenances'!$G:$G,MATCH($A111,'[1]Définition Maintenances'!$K:$K,0))+CV111),CV111))</f>
        <v>687</v>
      </c>
      <c r="CX111" s="25">
        <f>IF(ISNUMBER(VLOOKUP($D111,'Visu totale'!$D:$DH,CX$1,0)),CW111-VLOOKUP($D111,'Visu totale'!$D:$DH,CX$1,0),IF(LEFT(VLOOKUP($D111,'Visu totale'!$D:$DH,CX$1,0),1)="V",IF(CW111&gt;=INDEX('[1]Définition Maintenances'!$G:$G,MATCH($A111,'[1]Définition Maintenances'!$K:$K,0)),CW111,INDEX('[1]Définition Maintenances'!$G:$G,MATCH($A111,'[1]Définition Maintenances'!$K:$K,0))+CW111),CW111))</f>
        <v>687</v>
      </c>
      <c r="CY111" s="26">
        <f>IF(ISNUMBER(VLOOKUP($D111,'Visu totale'!$D:$DH,CY$1,0)),CX111-VLOOKUP($D111,'Visu totale'!$D:$DH,CY$1,0),IF(LEFT(VLOOKUP($D111,'Visu totale'!$D:$DH,CY$1,0),1)="V",IF(CX111&gt;=INDEX('[1]Définition Maintenances'!$G:$G,MATCH($A111,'[1]Définition Maintenances'!$K:$K,0)),CX111,INDEX('[1]Définition Maintenances'!$G:$G,MATCH($A111,'[1]Définition Maintenances'!$K:$K,0))+CX111),CX111))</f>
        <v>687</v>
      </c>
      <c r="CZ111" s="26">
        <f>IF(ISNUMBER(VLOOKUP($D111,'Visu totale'!$D:$DH,CZ$1,0)),CY111-VLOOKUP($D111,'Visu totale'!$D:$DH,CZ$1,0),IF(LEFT(VLOOKUP($D111,'Visu totale'!$D:$DH,CZ$1,0),1)="V",IF(CY111&gt;=INDEX('[1]Définition Maintenances'!$G:$G,MATCH($A111,'[1]Définition Maintenances'!$K:$K,0)),CY111,INDEX('[1]Définition Maintenances'!$G:$G,MATCH($A111,'[1]Définition Maintenances'!$K:$K,0))+CY111),CY111))</f>
        <v>687</v>
      </c>
      <c r="DA111" s="26">
        <f>IF(ISNUMBER(VLOOKUP($D111,'Visu totale'!$D:$DH,DA$1,0)),CZ111-VLOOKUP($D111,'Visu totale'!$D:$DH,DA$1,0),IF(LEFT(VLOOKUP($D111,'Visu totale'!$D:$DH,DA$1,0),1)="V",IF(CZ111&gt;=INDEX('[1]Définition Maintenances'!$G:$G,MATCH($A111,'[1]Définition Maintenances'!$K:$K,0)),CZ111,INDEX('[1]Définition Maintenances'!$G:$G,MATCH($A111,'[1]Définition Maintenances'!$K:$K,0))+CZ111),CZ111))</f>
        <v>687</v>
      </c>
      <c r="DB111" s="26">
        <f>IF(ISNUMBER(VLOOKUP($D111,'Visu totale'!$D:$DH,DB$1,0)),DA111-VLOOKUP($D111,'Visu totale'!$D:$DH,DB$1,0),IF(LEFT(VLOOKUP($D111,'Visu totale'!$D:$DH,DB$1,0),1)="V",IF(DA111&gt;=INDEX('[1]Définition Maintenances'!$G:$G,MATCH($A111,'[1]Définition Maintenances'!$K:$K,0)),DA111,INDEX('[1]Définition Maintenances'!$G:$G,MATCH($A111,'[1]Définition Maintenances'!$K:$K,0))+DA111),DA111))</f>
        <v>687</v>
      </c>
      <c r="DC111" s="26">
        <f>IF(ISNUMBER(VLOOKUP($D111,'Visu totale'!$D:$DH,DC$1,0)),DB111-VLOOKUP($D111,'Visu totale'!$D:$DH,DC$1,0),IF(LEFT(VLOOKUP($D111,'Visu totale'!$D:$DH,DC$1,0),1)="V",IF(DB111&gt;=INDEX('[1]Définition Maintenances'!$G:$G,MATCH($A111,'[1]Définition Maintenances'!$K:$K,0)),DB111,INDEX('[1]Définition Maintenances'!$G:$G,MATCH($A111,'[1]Définition Maintenances'!$K:$K,0))+DB111),DB111))</f>
        <v>687</v>
      </c>
      <c r="DD111" s="26">
        <f>IF(ISNUMBER(VLOOKUP($D111,'Visu totale'!$D:$DH,DD$1,0)),DC111-VLOOKUP($D111,'Visu totale'!$D:$DH,DD$1,0),IF(LEFT(VLOOKUP($D111,'Visu totale'!$D:$DH,DD$1,0),1)="V",IF(DC111&gt;=INDEX('[1]Définition Maintenances'!$G:$G,MATCH($A111,'[1]Définition Maintenances'!$K:$K,0)),DC111,INDEX('[1]Définition Maintenances'!$G:$G,MATCH($A111,'[1]Définition Maintenances'!$K:$K,0))+DC111),DC111))</f>
        <v>687</v>
      </c>
      <c r="DE111" s="26">
        <f>IF(ISNUMBER(VLOOKUP($D111,'Visu totale'!$D:$DH,DE$1,0)),DD111-VLOOKUP($D111,'Visu totale'!$D:$DH,DE$1,0),IF(LEFT(VLOOKUP($D111,'Visu totale'!$D:$DH,DE$1,0),1)="V",IF(DD111&gt;=INDEX('[1]Définition Maintenances'!$G:$G,MATCH($A111,'[1]Définition Maintenances'!$K:$K,0)),DD111,INDEX('[1]Définition Maintenances'!$G:$G,MATCH($A111,'[1]Définition Maintenances'!$K:$K,0))+DD111),DD111))</f>
        <v>687</v>
      </c>
      <c r="DF111" s="26">
        <f>IF(ISNUMBER(VLOOKUP($D111,'Visu totale'!$D:$DH,DF$1,0)),DE111-VLOOKUP($D111,'Visu totale'!$D:$DH,DF$1,0),IF(LEFT(VLOOKUP($D111,'Visu totale'!$D:$DH,DF$1,0),1)="V",IF(DE111&gt;=INDEX('[1]Définition Maintenances'!$G:$G,MATCH($A111,'[1]Définition Maintenances'!$K:$K,0)),DE111,INDEX('[1]Définition Maintenances'!$G:$G,MATCH($A111,'[1]Définition Maintenances'!$K:$K,0))+DE111),DE111))</f>
        <v>687</v>
      </c>
      <c r="DG111" s="26">
        <f>IF(ISNUMBER(VLOOKUP($D111,'Visu totale'!$D:$DH,DG$1,0)),DF111-VLOOKUP($D111,'Visu totale'!$D:$DH,DG$1,0),IF(LEFT(VLOOKUP($D111,'Visu totale'!$D:$DH,DG$1,0),1)="V",IF(DF111&gt;=INDEX('[1]Définition Maintenances'!$G:$G,MATCH($A111,'[1]Définition Maintenances'!$K:$K,0)),DF111,INDEX('[1]Définition Maintenances'!$G:$G,MATCH($A111,'[1]Définition Maintenances'!$K:$K,0))+DF111),DF111))</f>
        <v>687</v>
      </c>
      <c r="DH111" s="26">
        <f>IF(ISNUMBER(VLOOKUP($D111,'Visu totale'!$D:$DH,DH$1,0)),DG111-VLOOKUP($D111,'Visu totale'!$D:$DH,DH$1,0),IF(LEFT(VLOOKUP($D111,'Visu totale'!$D:$DH,DH$1,0),1)="V",IF(DG111&gt;=INDEX('[1]Définition Maintenances'!$G:$G,MATCH($A111,'[1]Définition Maintenances'!$K:$K,0)),DG111,INDEX('[1]Définition Maintenances'!$G:$G,MATCH($A111,'[1]Définition Maintenances'!$K:$K,0))+DG111),DG111))</f>
        <v>687</v>
      </c>
      <c r="DI111" s="27">
        <f>IF(ISNUMBER(VLOOKUP($D111,'Visu totale'!$D:$DH,DI$1,0)),DH111-VLOOKUP($D111,'Visu totale'!$D:$DH,DI$1,0),IF(LEFT(VLOOKUP($D111,'Visu totale'!$D:$DH,DI$1,0),1)="V",IF(DH111&gt;=INDEX('[1]Définition Maintenances'!$G:$G,MATCH($A111,'[1]Définition Maintenances'!$K:$K,0)),DH111,INDEX('[1]Définition Maintenances'!$G:$G,MATCH($A111,'[1]Définition Maintenances'!$K:$K,0))+DH111),DH111))</f>
        <v>687</v>
      </c>
    </row>
    <row r="112" spans="1:113" x14ac:dyDescent="0.25">
      <c r="A112" s="13" t="str">
        <f t="shared" si="3"/>
        <v>V105</v>
      </c>
      <c r="B112" s="13" t="str">
        <f>VLOOKUP(D112,'[1]Avions (Potentiels)'!$B$2:$H$128,7,FALSE)</f>
        <v>V10</v>
      </c>
      <c r="C112" s="13"/>
      <c r="D112" s="16" t="s">
        <v>115</v>
      </c>
      <c r="E112" s="13">
        <f>IFERROR(VALUE(SUBSTITUTE(VLOOKUP(D112,'[1]Avions (Potentiels)'!$B:$E,4,0),".",",")),VALUE(VLOOKUP(D112,'[1]Avions (Potentiels)'!$B:$E,4,0)))</f>
        <v>1200</v>
      </c>
      <c r="F112" s="25">
        <f>IF(ISNUMBER(VLOOKUP($D112,'Visu totale'!$D:$DH,F$1,0)),E112-VLOOKUP($D112,'Visu totale'!$D:$DH,F$1,0),IF(LEFT(VLOOKUP($D112,'Visu totale'!$D:$DH,F$1,0),1)="V",IF(E112&gt;=INDEX('[1]Définition Maintenances'!$G:$G,MATCH($A112,'[1]Définition Maintenances'!$K:$K,0)),E112,INDEX('[1]Définition Maintenances'!$G:$G,MATCH($A112,'[1]Définition Maintenances'!$K:$K,0))+E112),E112))</f>
        <v>1200</v>
      </c>
      <c r="G112" s="26">
        <f>IF(ISNUMBER(VLOOKUP($D112,'Visu totale'!$D:$DH,G$1,0)),F112-VLOOKUP($D112,'Visu totale'!$D:$DH,G$1,0),IF(LEFT(VLOOKUP($D112,'Visu totale'!$D:$DH,G$1,0),1)="V",IF(F112&gt;=INDEX('[1]Définition Maintenances'!$G:$G,MATCH($A112,'[1]Définition Maintenances'!$K:$K,0)),F112,INDEX('[1]Définition Maintenances'!$G:$G,MATCH($A112,'[1]Définition Maintenances'!$K:$K,0))+F112),F112))</f>
        <v>1200</v>
      </c>
      <c r="H112" s="26">
        <f>IF(ISNUMBER(VLOOKUP($D112,'Visu totale'!$D:$DH,H$1,0)),G112-VLOOKUP($D112,'Visu totale'!$D:$DH,H$1,0),IF(LEFT(VLOOKUP($D112,'Visu totale'!$D:$DH,H$1,0),1)="V",IF(G112&gt;=INDEX('[1]Définition Maintenances'!$G:$G,MATCH($A112,'[1]Définition Maintenances'!$K:$K,0)),G112,INDEX('[1]Définition Maintenances'!$G:$G,MATCH($A112,'[1]Définition Maintenances'!$K:$K,0))+G112),G112))</f>
        <v>1200</v>
      </c>
      <c r="I112" s="26">
        <f>IF(ISNUMBER(VLOOKUP($D112,'Visu totale'!$D:$DH,I$1,0)),H112-VLOOKUP($D112,'Visu totale'!$D:$DH,I$1,0),IF(LEFT(VLOOKUP($D112,'Visu totale'!$D:$DH,I$1,0),1)="V",IF(H112&gt;=INDEX('[1]Définition Maintenances'!$G:$G,MATCH($A112,'[1]Définition Maintenances'!$K:$K,0)),H112,INDEX('[1]Définition Maintenances'!$G:$G,MATCH($A112,'[1]Définition Maintenances'!$K:$K,0))+H112),H112))</f>
        <v>1200</v>
      </c>
      <c r="J112" s="26">
        <f>IF(ISNUMBER(VLOOKUP($D112,'Visu totale'!$D:$DH,J$1,0)),I112-VLOOKUP($D112,'Visu totale'!$D:$DH,J$1,0),IF(LEFT(VLOOKUP($D112,'Visu totale'!$D:$DH,J$1,0),1)="V",IF(I112&gt;=INDEX('[1]Définition Maintenances'!$G:$G,MATCH($A112,'[1]Définition Maintenances'!$K:$K,0)),I112,INDEX('[1]Définition Maintenances'!$G:$G,MATCH($A112,'[1]Définition Maintenances'!$K:$K,0))+I112),I112))</f>
        <v>1200</v>
      </c>
      <c r="K112" s="26">
        <f>IF(ISNUMBER(VLOOKUP($D112,'Visu totale'!$D:$DH,K$1,0)),J112-VLOOKUP($D112,'Visu totale'!$D:$DH,K$1,0),IF(LEFT(VLOOKUP($D112,'Visu totale'!$D:$DH,K$1,0),1)="V",IF(J112&gt;=INDEX('[1]Définition Maintenances'!$G:$G,MATCH($A112,'[1]Définition Maintenances'!$K:$K,0)),J112,INDEX('[1]Définition Maintenances'!$G:$G,MATCH($A112,'[1]Définition Maintenances'!$K:$K,0))+J112),J112))</f>
        <v>1200</v>
      </c>
      <c r="L112" s="26">
        <f>IF(ISNUMBER(VLOOKUP($D112,'Visu totale'!$D:$DH,L$1,0)),K112-VLOOKUP($D112,'Visu totale'!$D:$DH,L$1,0),IF(LEFT(VLOOKUP($D112,'Visu totale'!$D:$DH,L$1,0),1)="V",IF(K112&gt;=INDEX('[1]Définition Maintenances'!$G:$G,MATCH($A112,'[1]Définition Maintenances'!$K:$K,0)),K112,INDEX('[1]Définition Maintenances'!$G:$G,MATCH($A112,'[1]Définition Maintenances'!$K:$K,0))+K112),K112))</f>
        <v>1200</v>
      </c>
      <c r="M112" s="26">
        <f>IF(ISNUMBER(VLOOKUP($D112,'Visu totale'!$D:$DH,M$1,0)),L112-VLOOKUP($D112,'Visu totale'!$D:$DH,M$1,0),IF(LEFT(VLOOKUP($D112,'Visu totale'!$D:$DH,M$1,0),1)="V",IF(L112&gt;=INDEX('[1]Définition Maintenances'!$G:$G,MATCH($A112,'[1]Définition Maintenances'!$K:$K,0)),L112,INDEX('[1]Définition Maintenances'!$G:$G,MATCH($A112,'[1]Définition Maintenances'!$K:$K,0))+L112),L112))</f>
        <v>1200</v>
      </c>
      <c r="N112" s="26">
        <f>IF(ISNUMBER(VLOOKUP($D112,'Visu totale'!$D:$DH,N$1,0)),M112-VLOOKUP($D112,'Visu totale'!$D:$DH,N$1,0),IF(LEFT(VLOOKUP($D112,'Visu totale'!$D:$DH,N$1,0),1)="V",IF(M112&gt;=INDEX('[1]Définition Maintenances'!$G:$G,MATCH($A112,'[1]Définition Maintenances'!$K:$K,0)),M112,INDEX('[1]Définition Maintenances'!$G:$G,MATCH($A112,'[1]Définition Maintenances'!$K:$K,0))+M112),M112))</f>
        <v>1200</v>
      </c>
      <c r="O112" s="26">
        <f>IF(ISNUMBER(VLOOKUP($D112,'Visu totale'!$D:$DH,O$1,0)),N112-VLOOKUP($D112,'Visu totale'!$D:$DH,O$1,0),IF(LEFT(VLOOKUP($D112,'Visu totale'!$D:$DH,O$1,0),1)="V",IF(N112&gt;=INDEX('[1]Définition Maintenances'!$G:$G,MATCH($A112,'[1]Définition Maintenances'!$K:$K,0)),N112,INDEX('[1]Définition Maintenances'!$G:$G,MATCH($A112,'[1]Définition Maintenances'!$K:$K,0))+N112),N112))</f>
        <v>1200</v>
      </c>
      <c r="P112" s="26">
        <f>IF(ISNUMBER(VLOOKUP($D112,'Visu totale'!$D:$DH,P$1,0)),O112-VLOOKUP($D112,'Visu totale'!$D:$DH,P$1,0),IF(LEFT(VLOOKUP($D112,'Visu totale'!$D:$DH,P$1,0),1)="V",IF(O112&gt;=INDEX('[1]Définition Maintenances'!$G:$G,MATCH($A112,'[1]Définition Maintenances'!$K:$K,0)),O112,INDEX('[1]Définition Maintenances'!$G:$G,MATCH($A112,'[1]Définition Maintenances'!$K:$K,0))+O112),O112))</f>
        <v>1200</v>
      </c>
      <c r="Q112" s="27">
        <f>IF(ISNUMBER(VLOOKUP($D112,'Visu totale'!$D:$DH,Q$1,0)),P112-VLOOKUP($D112,'Visu totale'!$D:$DH,Q$1,0),IF(LEFT(VLOOKUP($D112,'Visu totale'!$D:$DH,Q$1,0),1)="V",IF(P112&gt;=INDEX('[1]Définition Maintenances'!$G:$G,MATCH($A112,'[1]Définition Maintenances'!$K:$K,0)),P112,INDEX('[1]Définition Maintenances'!$G:$G,MATCH($A112,'[1]Définition Maintenances'!$K:$K,0))+P112),P112))</f>
        <v>1200</v>
      </c>
      <c r="R112" s="25">
        <f>IF(ISNUMBER(VLOOKUP($D112,'Visu totale'!$D:$DH,R$1,0)),Q112-VLOOKUP($D112,'Visu totale'!$D:$DH,R$1,0),IF(LEFT(VLOOKUP($D112,'Visu totale'!$D:$DH,R$1,0),1)="V",IF(Q112&gt;=INDEX('[1]Définition Maintenances'!$G:$G,MATCH($A112,'[1]Définition Maintenances'!$K:$K,0)),Q112,INDEX('[1]Définition Maintenances'!$G:$G,MATCH($A112,'[1]Définition Maintenances'!$K:$K,0))+Q112),Q112))</f>
        <v>1200</v>
      </c>
      <c r="S112" s="26">
        <f>IF(ISNUMBER(VLOOKUP($D112,'Visu totale'!$D:$DH,S$1,0)),R112-VLOOKUP($D112,'Visu totale'!$D:$DH,S$1,0),IF(LEFT(VLOOKUP($D112,'Visu totale'!$D:$DH,S$1,0),1)="V",IF(R112&gt;=INDEX('[1]Définition Maintenances'!$G:$G,MATCH($A112,'[1]Définition Maintenances'!$K:$K,0)),R112,INDEX('[1]Définition Maintenances'!$G:$G,MATCH($A112,'[1]Définition Maintenances'!$K:$K,0))+R112),R112))</f>
        <v>1200</v>
      </c>
      <c r="T112" s="26">
        <f>IF(ISNUMBER(VLOOKUP($D112,'Visu totale'!$D:$DH,T$1,0)),S112-VLOOKUP($D112,'Visu totale'!$D:$DH,T$1,0),IF(LEFT(VLOOKUP($D112,'Visu totale'!$D:$DH,T$1,0),1)="V",IF(S112&gt;=INDEX('[1]Définition Maintenances'!$G:$G,MATCH($A112,'[1]Définition Maintenances'!$K:$K,0)),S112,INDEX('[1]Définition Maintenances'!$G:$G,MATCH($A112,'[1]Définition Maintenances'!$K:$K,0))+S112),S112))</f>
        <v>1200</v>
      </c>
      <c r="U112" s="26">
        <f>IF(ISNUMBER(VLOOKUP($D112,'Visu totale'!$D:$DH,U$1,0)),T112-VLOOKUP($D112,'Visu totale'!$D:$DH,U$1,0),IF(LEFT(VLOOKUP($D112,'Visu totale'!$D:$DH,U$1,0),1)="V",IF(T112&gt;=INDEX('[1]Définition Maintenances'!$G:$G,MATCH($A112,'[1]Définition Maintenances'!$K:$K,0)),T112,INDEX('[1]Définition Maintenances'!$G:$G,MATCH($A112,'[1]Définition Maintenances'!$K:$K,0))+T112),T112))</f>
        <v>1200</v>
      </c>
      <c r="V112" s="26">
        <f>IF(ISNUMBER(VLOOKUP($D112,'Visu totale'!$D:$DH,V$1,0)),U112-VLOOKUP($D112,'Visu totale'!$D:$DH,V$1,0),IF(LEFT(VLOOKUP($D112,'Visu totale'!$D:$DH,V$1,0),1)="V",IF(U112&gt;=INDEX('[1]Définition Maintenances'!$G:$G,MATCH($A112,'[1]Définition Maintenances'!$K:$K,0)),U112,INDEX('[1]Définition Maintenances'!$G:$G,MATCH($A112,'[1]Définition Maintenances'!$K:$K,0))+U112),U112))</f>
        <v>1200</v>
      </c>
      <c r="W112" s="26">
        <f>IF(ISNUMBER(VLOOKUP($D112,'Visu totale'!$D:$DH,W$1,0)),V112-VLOOKUP($D112,'Visu totale'!$D:$DH,W$1,0),IF(LEFT(VLOOKUP($D112,'Visu totale'!$D:$DH,W$1,0),1)="V",IF(V112&gt;=INDEX('[1]Définition Maintenances'!$G:$G,MATCH($A112,'[1]Définition Maintenances'!$K:$K,0)),V112,INDEX('[1]Définition Maintenances'!$G:$G,MATCH($A112,'[1]Définition Maintenances'!$K:$K,0))+V112),V112))</f>
        <v>1200</v>
      </c>
      <c r="X112" s="26">
        <f>IF(ISNUMBER(VLOOKUP($D112,'Visu totale'!$D:$DH,X$1,0)),W112-VLOOKUP($D112,'Visu totale'!$D:$DH,X$1,0),IF(LEFT(VLOOKUP($D112,'Visu totale'!$D:$DH,X$1,0),1)="V",IF(W112&gt;=INDEX('[1]Définition Maintenances'!$G:$G,MATCH($A112,'[1]Définition Maintenances'!$K:$K,0)),W112,INDEX('[1]Définition Maintenances'!$G:$G,MATCH($A112,'[1]Définition Maintenances'!$K:$K,0))+W112),W112))</f>
        <v>1200</v>
      </c>
      <c r="Y112" s="26">
        <f>IF(ISNUMBER(VLOOKUP($D112,'Visu totale'!$D:$DH,Y$1,0)),X112-VLOOKUP($D112,'Visu totale'!$D:$DH,Y$1,0),IF(LEFT(VLOOKUP($D112,'Visu totale'!$D:$DH,Y$1,0),1)="V",IF(X112&gt;=INDEX('[1]Définition Maintenances'!$G:$G,MATCH($A112,'[1]Définition Maintenances'!$K:$K,0)),X112,INDEX('[1]Définition Maintenances'!$G:$G,MATCH($A112,'[1]Définition Maintenances'!$K:$K,0))+X112),X112))</f>
        <v>1200</v>
      </c>
      <c r="Z112" s="26">
        <f>IF(ISNUMBER(VLOOKUP($D112,'Visu totale'!$D:$DH,Z$1,0)),Y112-VLOOKUP($D112,'Visu totale'!$D:$DH,Z$1,0),IF(LEFT(VLOOKUP($D112,'Visu totale'!$D:$DH,Z$1,0),1)="V",IF(Y112&gt;=INDEX('[1]Définition Maintenances'!$G:$G,MATCH($A112,'[1]Définition Maintenances'!$K:$K,0)),Y112,INDEX('[1]Définition Maintenances'!$G:$G,MATCH($A112,'[1]Définition Maintenances'!$K:$K,0))+Y112),Y112))</f>
        <v>1200</v>
      </c>
      <c r="AA112" s="26">
        <f>IF(ISNUMBER(VLOOKUP($D112,'Visu totale'!$D:$DH,AA$1,0)),Z112-VLOOKUP($D112,'Visu totale'!$D:$DH,AA$1,0),IF(LEFT(VLOOKUP($D112,'Visu totale'!$D:$DH,AA$1,0),1)="V",IF(Z112&gt;=INDEX('[1]Définition Maintenances'!$G:$G,MATCH($A112,'[1]Définition Maintenances'!$K:$K,0)),Z112,INDEX('[1]Définition Maintenances'!$G:$G,MATCH($A112,'[1]Définition Maintenances'!$K:$K,0))+Z112),Z112))</f>
        <v>1200</v>
      </c>
      <c r="AB112" s="26">
        <f>IF(ISNUMBER(VLOOKUP($D112,'Visu totale'!$D:$DH,AB$1,0)),AA112-VLOOKUP($D112,'Visu totale'!$D:$DH,AB$1,0),IF(LEFT(VLOOKUP($D112,'Visu totale'!$D:$DH,AB$1,0),1)="V",IF(AA112&gt;=INDEX('[1]Définition Maintenances'!$G:$G,MATCH($A112,'[1]Définition Maintenances'!$K:$K,0)),AA112,INDEX('[1]Définition Maintenances'!$G:$G,MATCH($A112,'[1]Définition Maintenances'!$K:$K,0))+AA112),AA112))</f>
        <v>1200</v>
      </c>
      <c r="AC112" s="27">
        <f>IF(ISNUMBER(VLOOKUP($D112,'Visu totale'!$D:$DH,AC$1,0)),AB112-VLOOKUP($D112,'Visu totale'!$D:$DH,AC$1,0),IF(LEFT(VLOOKUP($D112,'Visu totale'!$D:$DH,AC$1,0),1)="V",IF(AB112&gt;=INDEX('[1]Définition Maintenances'!$G:$G,MATCH($A112,'[1]Définition Maintenances'!$K:$K,0)),AB112,INDEX('[1]Définition Maintenances'!$G:$G,MATCH($A112,'[1]Définition Maintenances'!$K:$K,0))+AB112),AB112))</f>
        <v>1200</v>
      </c>
      <c r="AD112" s="25">
        <f>IF(ISNUMBER(VLOOKUP($D112,'Visu totale'!$D:$DH,AD$1,0)),AC112-VLOOKUP($D112,'Visu totale'!$D:$DH,AD$1,0),IF(LEFT(VLOOKUP($D112,'Visu totale'!$D:$DH,AD$1,0),1)="V",IF(AC112&gt;=INDEX('[1]Définition Maintenances'!$G:$G,MATCH($A112,'[1]Définition Maintenances'!$K:$K,0)),AC112,INDEX('[1]Définition Maintenances'!$G:$G,MATCH($A112,'[1]Définition Maintenances'!$K:$K,0))+AC112),AC112))</f>
        <v>1200</v>
      </c>
      <c r="AE112" s="26">
        <f>IF(ISNUMBER(VLOOKUP($D112,'Visu totale'!$D:$DH,AE$1,0)),AD112-VLOOKUP($D112,'Visu totale'!$D:$DH,AE$1,0),IF(LEFT(VLOOKUP($D112,'Visu totale'!$D:$DH,AE$1,0),1)="V",IF(AD112&gt;=INDEX('[1]Définition Maintenances'!$G:$G,MATCH($A112,'[1]Définition Maintenances'!$K:$K,0)),AD112,INDEX('[1]Définition Maintenances'!$G:$G,MATCH($A112,'[1]Définition Maintenances'!$K:$K,0))+AD112),AD112))</f>
        <v>1200</v>
      </c>
      <c r="AF112" s="26">
        <f>IF(ISNUMBER(VLOOKUP($D112,'Visu totale'!$D:$DH,AF$1,0)),AE112-VLOOKUP($D112,'Visu totale'!$D:$DH,AF$1,0),IF(LEFT(VLOOKUP($D112,'Visu totale'!$D:$DH,AF$1,0),1)="V",IF(AE112&gt;=INDEX('[1]Définition Maintenances'!$G:$G,MATCH($A112,'[1]Définition Maintenances'!$K:$K,0)),AE112,INDEX('[1]Définition Maintenances'!$G:$G,MATCH($A112,'[1]Définition Maintenances'!$K:$K,0))+AE112),AE112))</f>
        <v>1200</v>
      </c>
      <c r="AG112" s="26">
        <f>IF(ISNUMBER(VLOOKUP($D112,'Visu totale'!$D:$DH,AG$1,0)),AF112-VLOOKUP($D112,'Visu totale'!$D:$DH,AG$1,0),IF(LEFT(VLOOKUP($D112,'Visu totale'!$D:$DH,AG$1,0),1)="V",IF(AF112&gt;=INDEX('[1]Définition Maintenances'!$G:$G,MATCH($A112,'[1]Définition Maintenances'!$K:$K,0)),AF112,INDEX('[1]Définition Maintenances'!$G:$G,MATCH($A112,'[1]Définition Maintenances'!$K:$K,0))+AF112),AF112))</f>
        <v>1200</v>
      </c>
      <c r="AH112" s="26">
        <f>IF(ISNUMBER(VLOOKUP($D112,'Visu totale'!$D:$DH,AH$1,0)),AG112-VLOOKUP($D112,'Visu totale'!$D:$DH,AH$1,0),IF(LEFT(VLOOKUP($D112,'Visu totale'!$D:$DH,AH$1,0),1)="V",IF(AG112&gt;=INDEX('[1]Définition Maintenances'!$G:$G,MATCH($A112,'[1]Définition Maintenances'!$K:$K,0)),AG112,INDEX('[1]Définition Maintenances'!$G:$G,MATCH($A112,'[1]Définition Maintenances'!$K:$K,0))+AG112),AG112))</f>
        <v>1200</v>
      </c>
      <c r="AI112" s="26">
        <f>IF(ISNUMBER(VLOOKUP($D112,'Visu totale'!$D:$DH,AI$1,0)),AH112-VLOOKUP($D112,'Visu totale'!$D:$DH,AI$1,0),IF(LEFT(VLOOKUP($D112,'Visu totale'!$D:$DH,AI$1,0),1)="V",IF(AH112&gt;=INDEX('[1]Définition Maintenances'!$G:$G,MATCH($A112,'[1]Définition Maintenances'!$K:$K,0)),AH112,INDEX('[1]Définition Maintenances'!$G:$G,MATCH($A112,'[1]Définition Maintenances'!$K:$K,0))+AH112),AH112))</f>
        <v>1200</v>
      </c>
      <c r="AJ112" s="26">
        <f>IF(ISNUMBER(VLOOKUP($D112,'Visu totale'!$D:$DH,AJ$1,0)),AI112-VLOOKUP($D112,'Visu totale'!$D:$DH,AJ$1,0),IF(LEFT(VLOOKUP($D112,'Visu totale'!$D:$DH,AJ$1,0),1)="V",IF(AI112&gt;=INDEX('[1]Définition Maintenances'!$G:$G,MATCH($A112,'[1]Définition Maintenances'!$K:$K,0)),AI112,INDEX('[1]Définition Maintenances'!$G:$G,MATCH($A112,'[1]Définition Maintenances'!$K:$K,0))+AI112),AI112))</f>
        <v>1200</v>
      </c>
      <c r="AK112" s="26">
        <f>IF(ISNUMBER(VLOOKUP($D112,'Visu totale'!$D:$DH,AK$1,0)),AJ112-VLOOKUP($D112,'Visu totale'!$D:$DH,AK$1,0),IF(LEFT(VLOOKUP($D112,'Visu totale'!$D:$DH,AK$1,0),1)="V",IF(AJ112&gt;=INDEX('[1]Définition Maintenances'!$G:$G,MATCH($A112,'[1]Définition Maintenances'!$K:$K,0)),AJ112,INDEX('[1]Définition Maintenances'!$G:$G,MATCH($A112,'[1]Définition Maintenances'!$K:$K,0))+AJ112),AJ112))</f>
        <v>1200</v>
      </c>
      <c r="AL112" s="26">
        <f>IF(ISNUMBER(VLOOKUP($D112,'Visu totale'!$D:$DH,AL$1,0)),AK112-VLOOKUP($D112,'Visu totale'!$D:$DH,AL$1,0),IF(LEFT(VLOOKUP($D112,'Visu totale'!$D:$DH,AL$1,0),1)="V",IF(AK112&gt;=INDEX('[1]Définition Maintenances'!$G:$G,MATCH($A112,'[1]Définition Maintenances'!$K:$K,0)),AK112,INDEX('[1]Définition Maintenances'!$G:$G,MATCH($A112,'[1]Définition Maintenances'!$K:$K,0))+AK112),AK112))</f>
        <v>1200</v>
      </c>
      <c r="AM112" s="26">
        <f>IF(ISNUMBER(VLOOKUP($D112,'Visu totale'!$D:$DH,AM$1,0)),AL112-VLOOKUP($D112,'Visu totale'!$D:$DH,AM$1,0),IF(LEFT(VLOOKUP($D112,'Visu totale'!$D:$DH,AM$1,0),1)="V",IF(AL112&gt;=INDEX('[1]Définition Maintenances'!$G:$G,MATCH($A112,'[1]Définition Maintenances'!$K:$K,0)),AL112,INDEX('[1]Définition Maintenances'!$G:$G,MATCH($A112,'[1]Définition Maintenances'!$K:$K,0))+AL112),AL112))</f>
        <v>1200</v>
      </c>
      <c r="AN112" s="26">
        <f>IF(ISNUMBER(VLOOKUP($D112,'Visu totale'!$D:$DH,AN$1,0)),AM112-VLOOKUP($D112,'Visu totale'!$D:$DH,AN$1,0),IF(LEFT(VLOOKUP($D112,'Visu totale'!$D:$DH,AN$1,0),1)="V",IF(AM112&gt;=INDEX('[1]Définition Maintenances'!$G:$G,MATCH($A112,'[1]Définition Maintenances'!$K:$K,0)),AM112,INDEX('[1]Définition Maintenances'!$G:$G,MATCH($A112,'[1]Définition Maintenances'!$K:$K,0))+AM112),AM112))</f>
        <v>1200</v>
      </c>
      <c r="AO112" s="27">
        <f>IF(ISNUMBER(VLOOKUP($D112,'Visu totale'!$D:$DH,AO$1,0)),AN112-VLOOKUP($D112,'Visu totale'!$D:$DH,AO$1,0),IF(LEFT(VLOOKUP($D112,'Visu totale'!$D:$DH,AO$1,0),1)="V",IF(AN112&gt;=INDEX('[1]Définition Maintenances'!$G:$G,MATCH($A112,'[1]Définition Maintenances'!$K:$K,0)),AN112,INDEX('[1]Définition Maintenances'!$G:$G,MATCH($A112,'[1]Définition Maintenances'!$K:$K,0))+AN112),AN112))</f>
        <v>1200</v>
      </c>
      <c r="AP112" s="25">
        <f>IF(ISNUMBER(VLOOKUP($D112,'Visu totale'!$D:$DH,AP$1,0)),AO112-VLOOKUP($D112,'Visu totale'!$D:$DH,AP$1,0),IF(LEFT(VLOOKUP($D112,'Visu totale'!$D:$DH,AP$1,0),1)="V",IF(AO112&gt;=INDEX('[1]Définition Maintenances'!$G:$G,MATCH($A112,'[1]Définition Maintenances'!$K:$K,0)),AO112,INDEX('[1]Définition Maintenances'!$G:$G,MATCH($A112,'[1]Définition Maintenances'!$K:$K,0))+AO112),AO112))</f>
        <v>1200</v>
      </c>
      <c r="AQ112" s="26">
        <f>IF(ISNUMBER(VLOOKUP($D112,'Visu totale'!$D:$DH,AQ$1,0)),AP112-VLOOKUP($D112,'Visu totale'!$D:$DH,AQ$1,0),IF(LEFT(VLOOKUP($D112,'Visu totale'!$D:$DH,AQ$1,0),1)="V",IF(AP112&gt;=INDEX('[1]Définition Maintenances'!$G:$G,MATCH($A112,'[1]Définition Maintenances'!$K:$K,0)),AP112,INDEX('[1]Définition Maintenances'!$G:$G,MATCH($A112,'[1]Définition Maintenances'!$K:$K,0))+AP112),AP112))</f>
        <v>1200</v>
      </c>
      <c r="AR112" s="26">
        <f>IF(ISNUMBER(VLOOKUP($D112,'Visu totale'!$D:$DH,AR$1,0)),AQ112-VLOOKUP($D112,'Visu totale'!$D:$DH,AR$1,0),IF(LEFT(VLOOKUP($D112,'Visu totale'!$D:$DH,AR$1,0),1)="V",IF(AQ112&gt;=INDEX('[1]Définition Maintenances'!$G:$G,MATCH($A112,'[1]Définition Maintenances'!$K:$K,0)),AQ112,INDEX('[1]Définition Maintenances'!$G:$G,MATCH($A112,'[1]Définition Maintenances'!$K:$K,0))+AQ112),AQ112))</f>
        <v>1200</v>
      </c>
      <c r="AS112" s="26">
        <f>IF(ISNUMBER(VLOOKUP($D112,'Visu totale'!$D:$DH,AS$1,0)),AR112-VLOOKUP($D112,'Visu totale'!$D:$DH,AS$1,0),IF(LEFT(VLOOKUP($D112,'Visu totale'!$D:$DH,AS$1,0),1)="V",IF(AR112&gt;=INDEX('[1]Définition Maintenances'!$G:$G,MATCH($A112,'[1]Définition Maintenances'!$K:$K,0)),AR112,INDEX('[1]Définition Maintenances'!$G:$G,MATCH($A112,'[1]Définition Maintenances'!$K:$K,0))+AR112),AR112))</f>
        <v>1200</v>
      </c>
      <c r="AT112" s="26">
        <f>IF(ISNUMBER(VLOOKUP($D112,'Visu totale'!$D:$DH,AT$1,0)),AS112-VLOOKUP($D112,'Visu totale'!$D:$DH,AT$1,0),IF(LEFT(VLOOKUP($D112,'Visu totale'!$D:$DH,AT$1,0),1)="V",IF(AS112&gt;=INDEX('[1]Définition Maintenances'!$G:$G,MATCH($A112,'[1]Définition Maintenances'!$K:$K,0)),AS112,INDEX('[1]Définition Maintenances'!$G:$G,MATCH($A112,'[1]Définition Maintenances'!$K:$K,0))+AS112),AS112))</f>
        <v>1200</v>
      </c>
      <c r="AU112" s="26">
        <f>IF(ISNUMBER(VLOOKUP($D112,'Visu totale'!$D:$DH,AU$1,0)),AT112-VLOOKUP($D112,'Visu totale'!$D:$DH,AU$1,0),IF(LEFT(VLOOKUP($D112,'Visu totale'!$D:$DH,AU$1,0),1)="V",IF(AT112&gt;=INDEX('[1]Définition Maintenances'!$G:$G,MATCH($A112,'[1]Définition Maintenances'!$K:$K,0)),AT112,INDEX('[1]Définition Maintenances'!$G:$G,MATCH($A112,'[1]Définition Maintenances'!$K:$K,0))+AT112),AT112))</f>
        <v>1200</v>
      </c>
      <c r="AV112" s="26">
        <f>IF(ISNUMBER(VLOOKUP($D112,'Visu totale'!$D:$DH,AV$1,0)),AU112-VLOOKUP($D112,'Visu totale'!$D:$DH,AV$1,0),IF(LEFT(VLOOKUP($D112,'Visu totale'!$D:$DH,AV$1,0),1)="V",IF(AU112&gt;=INDEX('[1]Définition Maintenances'!$G:$G,MATCH($A112,'[1]Définition Maintenances'!$K:$K,0)),AU112,INDEX('[1]Définition Maintenances'!$G:$G,MATCH($A112,'[1]Définition Maintenances'!$K:$K,0))+AU112),AU112))</f>
        <v>1200</v>
      </c>
      <c r="AW112" s="26">
        <f>IF(ISNUMBER(VLOOKUP($D112,'Visu totale'!$D:$DH,AW$1,0)),AV112-VLOOKUP($D112,'Visu totale'!$D:$DH,AW$1,0),IF(LEFT(VLOOKUP($D112,'Visu totale'!$D:$DH,AW$1,0),1)="V",IF(AV112&gt;=INDEX('[1]Définition Maintenances'!$G:$G,MATCH($A112,'[1]Définition Maintenances'!$K:$K,0)),AV112,INDEX('[1]Définition Maintenances'!$G:$G,MATCH($A112,'[1]Définition Maintenances'!$K:$K,0))+AV112),AV112))</f>
        <v>1200</v>
      </c>
      <c r="AX112" s="26">
        <f>IF(ISNUMBER(VLOOKUP($D112,'Visu totale'!$D:$DH,AX$1,0)),AW112-VLOOKUP($D112,'Visu totale'!$D:$DH,AX$1,0),IF(LEFT(VLOOKUP($D112,'Visu totale'!$D:$DH,AX$1,0),1)="V",IF(AW112&gt;=INDEX('[1]Définition Maintenances'!$G:$G,MATCH($A112,'[1]Définition Maintenances'!$K:$K,0)),AW112,INDEX('[1]Définition Maintenances'!$G:$G,MATCH($A112,'[1]Définition Maintenances'!$K:$K,0))+AW112),AW112))</f>
        <v>1200</v>
      </c>
      <c r="AY112" s="26">
        <f>IF(ISNUMBER(VLOOKUP($D112,'Visu totale'!$D:$DH,AY$1,0)),AX112-VLOOKUP($D112,'Visu totale'!$D:$DH,AY$1,0),IF(LEFT(VLOOKUP($D112,'Visu totale'!$D:$DH,AY$1,0),1)="V",IF(AX112&gt;=INDEX('[1]Définition Maintenances'!$G:$G,MATCH($A112,'[1]Définition Maintenances'!$K:$K,0)),AX112,INDEX('[1]Définition Maintenances'!$G:$G,MATCH($A112,'[1]Définition Maintenances'!$K:$K,0))+AX112),AX112))</f>
        <v>1200</v>
      </c>
      <c r="AZ112" s="26">
        <f>IF(ISNUMBER(VLOOKUP($D112,'Visu totale'!$D:$DH,AZ$1,0)),AY112-VLOOKUP($D112,'Visu totale'!$D:$DH,AZ$1,0),IF(LEFT(VLOOKUP($D112,'Visu totale'!$D:$DH,AZ$1,0),1)="V",IF(AY112&gt;=INDEX('[1]Définition Maintenances'!$G:$G,MATCH($A112,'[1]Définition Maintenances'!$K:$K,0)),AY112,INDEX('[1]Définition Maintenances'!$G:$G,MATCH($A112,'[1]Définition Maintenances'!$K:$K,0))+AY112),AY112))</f>
        <v>1200</v>
      </c>
      <c r="BA112" s="27">
        <f>IF(ISNUMBER(VLOOKUP($D112,'Visu totale'!$D:$DH,BA$1,0)),AZ112-VLOOKUP($D112,'Visu totale'!$D:$DH,BA$1,0),IF(LEFT(VLOOKUP($D112,'Visu totale'!$D:$DH,BA$1,0),1)="V",IF(AZ112&gt;=INDEX('[1]Définition Maintenances'!$G:$G,MATCH($A112,'[1]Définition Maintenances'!$K:$K,0)),AZ112,INDEX('[1]Définition Maintenances'!$G:$G,MATCH($A112,'[1]Définition Maintenances'!$K:$K,0))+AZ112),AZ112))</f>
        <v>1200</v>
      </c>
      <c r="BB112" s="25">
        <f>IF(ISNUMBER(VLOOKUP($D112,'Visu totale'!$D:$DH,BB$1,0)),BA112-VLOOKUP($D112,'Visu totale'!$D:$DH,BB$1,0),IF(LEFT(VLOOKUP($D112,'Visu totale'!$D:$DH,BB$1,0),1)="V",IF(BA112&gt;=INDEX('[1]Définition Maintenances'!$G:$G,MATCH($A112,'[1]Définition Maintenances'!$K:$K,0)),BA112,INDEX('[1]Définition Maintenances'!$G:$G,MATCH($A112,'[1]Définition Maintenances'!$K:$K,0))+BA112),BA112))</f>
        <v>1200</v>
      </c>
      <c r="BC112" s="26">
        <f>IF(ISNUMBER(VLOOKUP($D112,'Visu totale'!$D:$DH,BC$1,0)),BB112-VLOOKUP($D112,'Visu totale'!$D:$DH,BC$1,0),IF(LEFT(VLOOKUP($D112,'Visu totale'!$D:$DH,BC$1,0),1)="V",IF(BB112&gt;=INDEX('[1]Définition Maintenances'!$G:$G,MATCH($A112,'[1]Définition Maintenances'!$K:$K,0)),BB112,INDEX('[1]Définition Maintenances'!$G:$G,MATCH($A112,'[1]Définition Maintenances'!$K:$K,0))+BB112),BB112))</f>
        <v>1200</v>
      </c>
      <c r="BD112" s="26">
        <f>IF(ISNUMBER(VLOOKUP($D112,'Visu totale'!$D:$DH,BD$1,0)),BC112-VLOOKUP($D112,'Visu totale'!$D:$DH,BD$1,0),IF(LEFT(VLOOKUP($D112,'Visu totale'!$D:$DH,BD$1,0),1)="V",IF(BC112&gt;=INDEX('[1]Définition Maintenances'!$G:$G,MATCH($A112,'[1]Définition Maintenances'!$K:$K,0)),BC112,INDEX('[1]Définition Maintenances'!$G:$G,MATCH($A112,'[1]Définition Maintenances'!$K:$K,0))+BC112),BC112))</f>
        <v>1200</v>
      </c>
      <c r="BE112" s="26">
        <f>IF(ISNUMBER(VLOOKUP($D112,'Visu totale'!$D:$DH,BE$1,0)),BD112-VLOOKUP($D112,'Visu totale'!$D:$DH,BE$1,0),IF(LEFT(VLOOKUP($D112,'Visu totale'!$D:$DH,BE$1,0),1)="V",IF(BD112&gt;=INDEX('[1]Définition Maintenances'!$G:$G,MATCH($A112,'[1]Définition Maintenances'!$K:$K,0)),BD112,INDEX('[1]Définition Maintenances'!$G:$G,MATCH($A112,'[1]Définition Maintenances'!$K:$K,0))+BD112),BD112))</f>
        <v>1200</v>
      </c>
      <c r="BF112" s="26">
        <f>IF(ISNUMBER(VLOOKUP($D112,'Visu totale'!$D:$DH,BF$1,0)),BE112-VLOOKUP($D112,'Visu totale'!$D:$DH,BF$1,0),IF(LEFT(VLOOKUP($D112,'Visu totale'!$D:$DH,BF$1,0),1)="V",IF(BE112&gt;=INDEX('[1]Définition Maintenances'!$G:$G,MATCH($A112,'[1]Définition Maintenances'!$K:$K,0)),BE112,INDEX('[1]Définition Maintenances'!$G:$G,MATCH($A112,'[1]Définition Maintenances'!$K:$K,0))+BE112),BE112))</f>
        <v>1200</v>
      </c>
      <c r="BG112" s="26">
        <f>IF(ISNUMBER(VLOOKUP($D112,'Visu totale'!$D:$DH,BG$1,0)),BF112-VLOOKUP($D112,'Visu totale'!$D:$DH,BG$1,0),IF(LEFT(VLOOKUP($D112,'Visu totale'!$D:$DH,BG$1,0),1)="V",IF(BF112&gt;=INDEX('[1]Définition Maintenances'!$G:$G,MATCH($A112,'[1]Définition Maintenances'!$K:$K,0)),BF112,INDEX('[1]Définition Maintenances'!$G:$G,MATCH($A112,'[1]Définition Maintenances'!$K:$K,0))+BF112),BF112))</f>
        <v>1200</v>
      </c>
      <c r="BH112" s="26">
        <f>IF(ISNUMBER(VLOOKUP($D112,'Visu totale'!$D:$DH,BH$1,0)),BG112-VLOOKUP($D112,'Visu totale'!$D:$DH,BH$1,0),IF(LEFT(VLOOKUP($D112,'Visu totale'!$D:$DH,BH$1,0),1)="V",IF(BG112&gt;=INDEX('[1]Définition Maintenances'!$G:$G,MATCH($A112,'[1]Définition Maintenances'!$K:$K,0)),BG112,INDEX('[1]Définition Maintenances'!$G:$G,MATCH($A112,'[1]Définition Maintenances'!$K:$K,0))+BG112),BG112))</f>
        <v>1200</v>
      </c>
      <c r="BI112" s="26">
        <f>IF(ISNUMBER(VLOOKUP($D112,'Visu totale'!$D:$DH,BI$1,0)),BH112-VLOOKUP($D112,'Visu totale'!$D:$DH,BI$1,0),IF(LEFT(VLOOKUP($D112,'Visu totale'!$D:$DH,BI$1,0),1)="V",IF(BH112&gt;=INDEX('[1]Définition Maintenances'!$G:$G,MATCH($A112,'[1]Définition Maintenances'!$K:$K,0)),BH112,INDEX('[1]Définition Maintenances'!$G:$G,MATCH($A112,'[1]Définition Maintenances'!$K:$K,0))+BH112),BH112))</f>
        <v>1200</v>
      </c>
      <c r="BJ112" s="26">
        <f>IF(ISNUMBER(VLOOKUP($D112,'Visu totale'!$D:$DH,BJ$1,0)),BI112-VLOOKUP($D112,'Visu totale'!$D:$DH,BJ$1,0),IF(LEFT(VLOOKUP($D112,'Visu totale'!$D:$DH,BJ$1,0),1)="V",IF(BI112&gt;=INDEX('[1]Définition Maintenances'!$G:$G,MATCH($A112,'[1]Définition Maintenances'!$K:$K,0)),BI112,INDEX('[1]Définition Maintenances'!$G:$G,MATCH($A112,'[1]Définition Maintenances'!$K:$K,0))+BI112),BI112))</f>
        <v>1200</v>
      </c>
      <c r="BK112" s="26">
        <f>IF(ISNUMBER(VLOOKUP($D112,'Visu totale'!$D:$DH,BK$1,0)),BJ112-VLOOKUP($D112,'Visu totale'!$D:$DH,BK$1,0),IF(LEFT(VLOOKUP($D112,'Visu totale'!$D:$DH,BK$1,0),1)="V",IF(BJ112&gt;=INDEX('[1]Définition Maintenances'!$G:$G,MATCH($A112,'[1]Définition Maintenances'!$K:$K,0)),BJ112,INDEX('[1]Définition Maintenances'!$G:$G,MATCH($A112,'[1]Définition Maintenances'!$K:$K,0))+BJ112),BJ112))</f>
        <v>1200</v>
      </c>
      <c r="BL112" s="26">
        <f>IF(ISNUMBER(VLOOKUP($D112,'Visu totale'!$D:$DH,BL$1,0)),BK112-VLOOKUP($D112,'Visu totale'!$D:$DH,BL$1,0),IF(LEFT(VLOOKUP($D112,'Visu totale'!$D:$DH,BL$1,0),1)="V",IF(BK112&gt;=INDEX('[1]Définition Maintenances'!$G:$G,MATCH($A112,'[1]Définition Maintenances'!$K:$K,0)),BK112,INDEX('[1]Définition Maintenances'!$G:$G,MATCH($A112,'[1]Définition Maintenances'!$K:$K,0))+BK112),BK112))</f>
        <v>1200</v>
      </c>
      <c r="BM112" s="27">
        <f>IF(ISNUMBER(VLOOKUP($D112,'Visu totale'!$D:$DH,BM$1,0)),BL112-VLOOKUP($D112,'Visu totale'!$D:$DH,BM$1,0),IF(LEFT(VLOOKUP($D112,'Visu totale'!$D:$DH,BM$1,0),1)="V",IF(BL112&gt;=INDEX('[1]Définition Maintenances'!$G:$G,MATCH($A112,'[1]Définition Maintenances'!$K:$K,0)),BL112,INDEX('[1]Définition Maintenances'!$G:$G,MATCH($A112,'[1]Définition Maintenances'!$K:$K,0))+BL112),BL112))</f>
        <v>1200</v>
      </c>
      <c r="BN112" s="25">
        <f>IF(ISNUMBER(VLOOKUP($D112,'Visu totale'!$D:$DH,BN$1,0)),BM112-VLOOKUP($D112,'Visu totale'!$D:$DH,BN$1,0),IF(LEFT(VLOOKUP($D112,'Visu totale'!$D:$DH,BN$1,0),1)="V",IF(BM112&gt;=INDEX('[1]Définition Maintenances'!$G:$G,MATCH($A112,'[1]Définition Maintenances'!$K:$K,0)),BM112,INDEX('[1]Définition Maintenances'!$G:$G,MATCH($A112,'[1]Définition Maintenances'!$K:$K,0))+BM112),BM112))</f>
        <v>1200</v>
      </c>
      <c r="BO112" s="26">
        <f>IF(ISNUMBER(VLOOKUP($D112,'Visu totale'!$D:$DH,BO$1,0)),BN112-VLOOKUP($D112,'Visu totale'!$D:$DH,BO$1,0),IF(LEFT(VLOOKUP($D112,'Visu totale'!$D:$DH,BO$1,0),1)="V",IF(BN112&gt;=INDEX('[1]Définition Maintenances'!$G:$G,MATCH($A112,'[1]Définition Maintenances'!$K:$K,0)),BN112,INDEX('[1]Définition Maintenances'!$G:$G,MATCH($A112,'[1]Définition Maintenances'!$K:$K,0))+BN112),BN112))</f>
        <v>1200</v>
      </c>
      <c r="BP112" s="26">
        <f>IF(ISNUMBER(VLOOKUP($D112,'Visu totale'!$D:$DH,BP$1,0)),BO112-VLOOKUP($D112,'Visu totale'!$D:$DH,BP$1,0),IF(LEFT(VLOOKUP($D112,'Visu totale'!$D:$DH,BP$1,0),1)="V",IF(BO112&gt;=INDEX('[1]Définition Maintenances'!$G:$G,MATCH($A112,'[1]Définition Maintenances'!$K:$K,0)),BO112,INDEX('[1]Définition Maintenances'!$G:$G,MATCH($A112,'[1]Définition Maintenances'!$K:$K,0))+BO112),BO112))</f>
        <v>1200</v>
      </c>
      <c r="BQ112" s="26">
        <f>IF(ISNUMBER(VLOOKUP($D112,'Visu totale'!$D:$DH,BQ$1,0)),BP112-VLOOKUP($D112,'Visu totale'!$D:$DH,BQ$1,0),IF(LEFT(VLOOKUP($D112,'Visu totale'!$D:$DH,BQ$1,0),1)="V",IF(BP112&gt;=INDEX('[1]Définition Maintenances'!$G:$G,MATCH($A112,'[1]Définition Maintenances'!$K:$K,0)),BP112,INDEX('[1]Définition Maintenances'!$G:$G,MATCH($A112,'[1]Définition Maintenances'!$K:$K,0))+BP112),BP112))</f>
        <v>1200</v>
      </c>
      <c r="BR112" s="26">
        <f>IF(ISNUMBER(VLOOKUP($D112,'Visu totale'!$D:$DH,BR$1,0)),BQ112-VLOOKUP($D112,'Visu totale'!$D:$DH,BR$1,0),IF(LEFT(VLOOKUP($D112,'Visu totale'!$D:$DH,BR$1,0),1)="V",IF(BQ112&gt;=INDEX('[1]Définition Maintenances'!$G:$G,MATCH($A112,'[1]Définition Maintenances'!$K:$K,0)),BQ112,INDEX('[1]Définition Maintenances'!$G:$G,MATCH($A112,'[1]Définition Maintenances'!$K:$K,0))+BQ112),BQ112))</f>
        <v>1200</v>
      </c>
      <c r="BS112" s="26">
        <f>IF(ISNUMBER(VLOOKUP($D112,'Visu totale'!$D:$DH,BS$1,0)),BR112-VLOOKUP($D112,'Visu totale'!$D:$DH,BS$1,0),IF(LEFT(VLOOKUP($D112,'Visu totale'!$D:$DH,BS$1,0),1)="V",IF(BR112&gt;=INDEX('[1]Définition Maintenances'!$G:$G,MATCH($A112,'[1]Définition Maintenances'!$K:$K,0)),BR112,INDEX('[1]Définition Maintenances'!$G:$G,MATCH($A112,'[1]Définition Maintenances'!$K:$K,0))+BR112),BR112))</f>
        <v>1200</v>
      </c>
      <c r="BT112" s="26">
        <f>IF(ISNUMBER(VLOOKUP($D112,'Visu totale'!$D:$DH,BT$1,0)),BS112-VLOOKUP($D112,'Visu totale'!$D:$DH,BT$1,0),IF(LEFT(VLOOKUP($D112,'Visu totale'!$D:$DH,BT$1,0),1)="V",IF(BS112&gt;=INDEX('[1]Définition Maintenances'!$G:$G,MATCH($A112,'[1]Définition Maintenances'!$K:$K,0)),BS112,INDEX('[1]Définition Maintenances'!$G:$G,MATCH($A112,'[1]Définition Maintenances'!$K:$K,0))+BS112),BS112))</f>
        <v>1200</v>
      </c>
      <c r="BU112" s="26">
        <f>IF(ISNUMBER(VLOOKUP($D112,'Visu totale'!$D:$DH,BU$1,0)),BT112-VLOOKUP($D112,'Visu totale'!$D:$DH,BU$1,0),IF(LEFT(VLOOKUP($D112,'Visu totale'!$D:$DH,BU$1,0),1)="V",IF(BT112&gt;=INDEX('[1]Définition Maintenances'!$G:$G,MATCH($A112,'[1]Définition Maintenances'!$K:$K,0)),BT112,INDEX('[1]Définition Maintenances'!$G:$G,MATCH($A112,'[1]Définition Maintenances'!$K:$K,0))+BT112),BT112))</f>
        <v>1200</v>
      </c>
      <c r="BV112" s="26">
        <f>IF(ISNUMBER(VLOOKUP($D112,'Visu totale'!$D:$DH,BV$1,0)),BU112-VLOOKUP($D112,'Visu totale'!$D:$DH,BV$1,0),IF(LEFT(VLOOKUP($D112,'Visu totale'!$D:$DH,BV$1,0),1)="V",IF(BU112&gt;=INDEX('[1]Définition Maintenances'!$G:$G,MATCH($A112,'[1]Définition Maintenances'!$K:$K,0)),BU112,INDEX('[1]Définition Maintenances'!$G:$G,MATCH($A112,'[1]Définition Maintenances'!$K:$K,0))+BU112),BU112))</f>
        <v>1200</v>
      </c>
      <c r="BW112" s="26">
        <f>IF(ISNUMBER(VLOOKUP($D112,'Visu totale'!$D:$DH,BW$1,0)),BV112-VLOOKUP($D112,'Visu totale'!$D:$DH,BW$1,0),IF(LEFT(VLOOKUP($D112,'Visu totale'!$D:$DH,BW$1,0),1)="V",IF(BV112&gt;=INDEX('[1]Définition Maintenances'!$G:$G,MATCH($A112,'[1]Définition Maintenances'!$K:$K,0)),BV112,INDEX('[1]Définition Maintenances'!$G:$G,MATCH($A112,'[1]Définition Maintenances'!$K:$K,0))+BV112),BV112))</f>
        <v>1200</v>
      </c>
      <c r="BX112" s="26">
        <f>IF(ISNUMBER(VLOOKUP($D112,'Visu totale'!$D:$DH,BX$1,0)),BW112-VLOOKUP($D112,'Visu totale'!$D:$DH,BX$1,0),IF(LEFT(VLOOKUP($D112,'Visu totale'!$D:$DH,BX$1,0),1)="V",IF(BW112&gt;=INDEX('[1]Définition Maintenances'!$G:$G,MATCH($A112,'[1]Définition Maintenances'!$K:$K,0)),BW112,INDEX('[1]Définition Maintenances'!$G:$G,MATCH($A112,'[1]Définition Maintenances'!$K:$K,0))+BW112),BW112))</f>
        <v>1200</v>
      </c>
      <c r="BY112" s="27">
        <f>IF(ISNUMBER(VLOOKUP($D112,'Visu totale'!$D:$DH,BY$1,0)),BX112-VLOOKUP($D112,'Visu totale'!$D:$DH,BY$1,0),IF(LEFT(VLOOKUP($D112,'Visu totale'!$D:$DH,BY$1,0),1)="V",IF(BX112&gt;=INDEX('[1]Définition Maintenances'!$G:$G,MATCH($A112,'[1]Définition Maintenances'!$K:$K,0)),BX112,INDEX('[1]Définition Maintenances'!$G:$G,MATCH($A112,'[1]Définition Maintenances'!$K:$K,0))+BX112),BX112))</f>
        <v>1200</v>
      </c>
      <c r="BZ112" s="25">
        <f>IF(ISNUMBER(VLOOKUP($D112,'Visu totale'!$D:$DH,BZ$1,0)),BY112-VLOOKUP($D112,'Visu totale'!$D:$DH,BZ$1,0),IF(LEFT(VLOOKUP($D112,'Visu totale'!$D:$DH,BZ$1,0),1)="V",IF(BY112&gt;=INDEX('[1]Définition Maintenances'!$G:$G,MATCH($A112,'[1]Définition Maintenances'!$K:$K,0)),BY112,INDEX('[1]Définition Maintenances'!$G:$G,MATCH($A112,'[1]Définition Maintenances'!$K:$K,0))+BY112),BY112))</f>
        <v>1200</v>
      </c>
      <c r="CA112" s="26">
        <f>IF(ISNUMBER(VLOOKUP($D112,'Visu totale'!$D:$DH,CA$1,0)),BZ112-VLOOKUP($D112,'Visu totale'!$D:$DH,CA$1,0),IF(LEFT(VLOOKUP($D112,'Visu totale'!$D:$DH,CA$1,0),1)="V",IF(BZ112&gt;=INDEX('[1]Définition Maintenances'!$G:$G,MATCH($A112,'[1]Définition Maintenances'!$K:$K,0)),BZ112,INDEX('[1]Définition Maintenances'!$G:$G,MATCH($A112,'[1]Définition Maintenances'!$K:$K,0))+BZ112),BZ112))</f>
        <v>1200</v>
      </c>
      <c r="CB112" s="26">
        <f>IF(ISNUMBER(VLOOKUP($D112,'Visu totale'!$D:$DH,CB$1,0)),CA112-VLOOKUP($D112,'Visu totale'!$D:$DH,CB$1,0),IF(LEFT(VLOOKUP($D112,'Visu totale'!$D:$DH,CB$1,0),1)="V",IF(CA112&gt;=INDEX('[1]Définition Maintenances'!$G:$G,MATCH($A112,'[1]Définition Maintenances'!$K:$K,0)),CA112,INDEX('[1]Définition Maintenances'!$G:$G,MATCH($A112,'[1]Définition Maintenances'!$K:$K,0))+CA112),CA112))</f>
        <v>1200</v>
      </c>
      <c r="CC112" s="26">
        <f>IF(ISNUMBER(VLOOKUP($D112,'Visu totale'!$D:$DH,CC$1,0)),CB112-VLOOKUP($D112,'Visu totale'!$D:$DH,CC$1,0),IF(LEFT(VLOOKUP($D112,'Visu totale'!$D:$DH,CC$1,0),1)="V",IF(CB112&gt;=INDEX('[1]Définition Maintenances'!$G:$G,MATCH($A112,'[1]Définition Maintenances'!$K:$K,0)),CB112,INDEX('[1]Définition Maintenances'!$G:$G,MATCH($A112,'[1]Définition Maintenances'!$K:$K,0))+CB112),CB112))</f>
        <v>1200</v>
      </c>
      <c r="CD112" s="26">
        <f>IF(ISNUMBER(VLOOKUP($D112,'Visu totale'!$D:$DH,CD$1,0)),CC112-VLOOKUP($D112,'Visu totale'!$D:$DH,CD$1,0),IF(LEFT(VLOOKUP($D112,'Visu totale'!$D:$DH,CD$1,0),1)="V",IF(CC112&gt;=INDEX('[1]Définition Maintenances'!$G:$G,MATCH($A112,'[1]Définition Maintenances'!$K:$K,0)),CC112,INDEX('[1]Définition Maintenances'!$G:$G,MATCH($A112,'[1]Définition Maintenances'!$K:$K,0))+CC112),CC112))</f>
        <v>1200</v>
      </c>
      <c r="CE112" s="26">
        <f>IF(ISNUMBER(VLOOKUP($D112,'Visu totale'!$D:$DH,CE$1,0)),CD112-VLOOKUP($D112,'Visu totale'!$D:$DH,CE$1,0),IF(LEFT(VLOOKUP($D112,'Visu totale'!$D:$DH,CE$1,0),1)="V",IF(CD112&gt;=INDEX('[1]Définition Maintenances'!$G:$G,MATCH($A112,'[1]Définition Maintenances'!$K:$K,0)),CD112,INDEX('[1]Définition Maintenances'!$G:$G,MATCH($A112,'[1]Définition Maintenances'!$K:$K,0))+CD112),CD112))</f>
        <v>1200</v>
      </c>
      <c r="CF112" s="26">
        <f>IF(ISNUMBER(VLOOKUP($D112,'Visu totale'!$D:$DH,CF$1,0)),CE112-VLOOKUP($D112,'Visu totale'!$D:$DH,CF$1,0),IF(LEFT(VLOOKUP($D112,'Visu totale'!$D:$DH,CF$1,0),1)="V",IF(CE112&gt;=INDEX('[1]Définition Maintenances'!$G:$G,MATCH($A112,'[1]Définition Maintenances'!$K:$K,0)),CE112,INDEX('[1]Définition Maintenances'!$G:$G,MATCH($A112,'[1]Définition Maintenances'!$K:$K,0))+CE112),CE112))</f>
        <v>1200</v>
      </c>
      <c r="CG112" s="26">
        <f>IF(ISNUMBER(VLOOKUP($D112,'Visu totale'!$D:$DH,CG$1,0)),CF112-VLOOKUP($D112,'Visu totale'!$D:$DH,CG$1,0),IF(LEFT(VLOOKUP($D112,'Visu totale'!$D:$DH,CG$1,0),1)="V",IF(CF112&gt;=INDEX('[1]Définition Maintenances'!$G:$G,MATCH($A112,'[1]Définition Maintenances'!$K:$K,0)),CF112,INDEX('[1]Définition Maintenances'!$G:$G,MATCH($A112,'[1]Définition Maintenances'!$K:$K,0))+CF112),CF112))</f>
        <v>1200</v>
      </c>
      <c r="CH112" s="26">
        <f>IF(ISNUMBER(VLOOKUP($D112,'Visu totale'!$D:$DH,CH$1,0)),CG112-VLOOKUP($D112,'Visu totale'!$D:$DH,CH$1,0),IF(LEFT(VLOOKUP($D112,'Visu totale'!$D:$DH,CH$1,0),1)="V",IF(CG112&gt;=INDEX('[1]Définition Maintenances'!$G:$G,MATCH($A112,'[1]Définition Maintenances'!$K:$K,0)),CG112,INDEX('[1]Définition Maintenances'!$G:$G,MATCH($A112,'[1]Définition Maintenances'!$K:$K,0))+CG112),CG112))</f>
        <v>1200</v>
      </c>
      <c r="CI112" s="26">
        <f>IF(ISNUMBER(VLOOKUP($D112,'Visu totale'!$D:$DH,CI$1,0)),CH112-VLOOKUP($D112,'Visu totale'!$D:$DH,CI$1,0),IF(LEFT(VLOOKUP($D112,'Visu totale'!$D:$DH,CI$1,0),1)="V",IF(CH112&gt;=INDEX('[1]Définition Maintenances'!$G:$G,MATCH($A112,'[1]Définition Maintenances'!$K:$K,0)),CH112,INDEX('[1]Définition Maintenances'!$G:$G,MATCH($A112,'[1]Définition Maintenances'!$K:$K,0))+CH112),CH112))</f>
        <v>1200</v>
      </c>
      <c r="CJ112" s="26">
        <f>IF(ISNUMBER(VLOOKUP($D112,'Visu totale'!$D:$DH,CJ$1,0)),CI112-VLOOKUP($D112,'Visu totale'!$D:$DH,CJ$1,0),IF(LEFT(VLOOKUP($D112,'Visu totale'!$D:$DH,CJ$1,0),1)="V",IF(CI112&gt;=INDEX('[1]Définition Maintenances'!$G:$G,MATCH($A112,'[1]Définition Maintenances'!$K:$K,0)),CI112,INDEX('[1]Définition Maintenances'!$G:$G,MATCH($A112,'[1]Définition Maintenances'!$K:$K,0))+CI112),CI112))</f>
        <v>1200</v>
      </c>
      <c r="CK112" s="27">
        <f>IF(ISNUMBER(VLOOKUP($D112,'Visu totale'!$D:$DH,CK$1,0)),CJ112-VLOOKUP($D112,'Visu totale'!$D:$DH,CK$1,0),IF(LEFT(VLOOKUP($D112,'Visu totale'!$D:$DH,CK$1,0),1)="V",IF(CJ112&gt;=INDEX('[1]Définition Maintenances'!$G:$G,MATCH($A112,'[1]Définition Maintenances'!$K:$K,0)),CJ112,INDEX('[1]Définition Maintenances'!$G:$G,MATCH($A112,'[1]Définition Maintenances'!$K:$K,0))+CJ112),CJ112))</f>
        <v>1200</v>
      </c>
      <c r="CL112" s="25">
        <f>IF(ISNUMBER(VLOOKUP($D112,'Visu totale'!$D:$DH,CL$1,0)),CK112-VLOOKUP($D112,'Visu totale'!$D:$DH,CL$1,0),IF(LEFT(VLOOKUP($D112,'Visu totale'!$D:$DH,CL$1,0),1)="V",IF(CK112&gt;=INDEX('[1]Définition Maintenances'!$G:$G,MATCH($A112,'[1]Définition Maintenances'!$K:$K,0)),CK112,INDEX('[1]Définition Maintenances'!$G:$G,MATCH($A112,'[1]Définition Maintenances'!$K:$K,0))+CK112),CK112))</f>
        <v>1200</v>
      </c>
      <c r="CM112" s="26">
        <f>IF(ISNUMBER(VLOOKUP($D112,'Visu totale'!$D:$DH,CM$1,0)),CL112-VLOOKUP($D112,'Visu totale'!$D:$DH,CM$1,0),IF(LEFT(VLOOKUP($D112,'Visu totale'!$D:$DH,CM$1,0),1)="V",IF(CL112&gt;=INDEX('[1]Définition Maintenances'!$G:$G,MATCH($A112,'[1]Définition Maintenances'!$K:$K,0)),CL112,INDEX('[1]Définition Maintenances'!$G:$G,MATCH($A112,'[1]Définition Maintenances'!$K:$K,0))+CL112),CL112))</f>
        <v>1200</v>
      </c>
      <c r="CN112" s="26">
        <f>IF(ISNUMBER(VLOOKUP($D112,'Visu totale'!$D:$DH,CN$1,0)),CM112-VLOOKUP($D112,'Visu totale'!$D:$DH,CN$1,0),IF(LEFT(VLOOKUP($D112,'Visu totale'!$D:$DH,CN$1,0),1)="V",IF(CM112&gt;=INDEX('[1]Définition Maintenances'!$G:$G,MATCH($A112,'[1]Définition Maintenances'!$K:$K,0)),CM112,INDEX('[1]Définition Maintenances'!$G:$G,MATCH($A112,'[1]Définition Maintenances'!$K:$K,0))+CM112),CM112))</f>
        <v>1200</v>
      </c>
      <c r="CO112" s="26">
        <f>IF(ISNUMBER(VLOOKUP($D112,'Visu totale'!$D:$DH,CO$1,0)),CN112-VLOOKUP($D112,'Visu totale'!$D:$DH,CO$1,0),IF(LEFT(VLOOKUP($D112,'Visu totale'!$D:$DH,CO$1,0),1)="V",IF(CN112&gt;=INDEX('[1]Définition Maintenances'!$G:$G,MATCH($A112,'[1]Définition Maintenances'!$K:$K,0)),CN112,INDEX('[1]Définition Maintenances'!$G:$G,MATCH($A112,'[1]Définition Maintenances'!$K:$K,0))+CN112),CN112))</f>
        <v>1200</v>
      </c>
      <c r="CP112" s="26">
        <f>IF(ISNUMBER(VLOOKUP($D112,'Visu totale'!$D:$DH,CP$1,0)),CO112-VLOOKUP($D112,'Visu totale'!$D:$DH,CP$1,0),IF(LEFT(VLOOKUP($D112,'Visu totale'!$D:$DH,CP$1,0),1)="V",IF(CO112&gt;=INDEX('[1]Définition Maintenances'!$G:$G,MATCH($A112,'[1]Définition Maintenances'!$K:$K,0)),CO112,INDEX('[1]Définition Maintenances'!$G:$G,MATCH($A112,'[1]Définition Maintenances'!$K:$K,0))+CO112),CO112))</f>
        <v>1200</v>
      </c>
      <c r="CQ112" s="26">
        <f>IF(ISNUMBER(VLOOKUP($D112,'Visu totale'!$D:$DH,CQ$1,0)),CP112-VLOOKUP($D112,'Visu totale'!$D:$DH,CQ$1,0),IF(LEFT(VLOOKUP($D112,'Visu totale'!$D:$DH,CQ$1,0),1)="V",IF(CP112&gt;=INDEX('[1]Définition Maintenances'!$G:$G,MATCH($A112,'[1]Définition Maintenances'!$K:$K,0)),CP112,INDEX('[1]Définition Maintenances'!$G:$G,MATCH($A112,'[1]Définition Maintenances'!$K:$K,0))+CP112),CP112))</f>
        <v>1200</v>
      </c>
      <c r="CR112" s="26">
        <f>IF(ISNUMBER(VLOOKUP($D112,'Visu totale'!$D:$DH,CR$1,0)),CQ112-VLOOKUP($D112,'Visu totale'!$D:$DH,CR$1,0),IF(LEFT(VLOOKUP($D112,'Visu totale'!$D:$DH,CR$1,0),1)="V",IF(CQ112&gt;=INDEX('[1]Définition Maintenances'!$G:$G,MATCH($A112,'[1]Définition Maintenances'!$K:$K,0)),CQ112,INDEX('[1]Définition Maintenances'!$G:$G,MATCH($A112,'[1]Définition Maintenances'!$K:$K,0))+CQ112),CQ112))</f>
        <v>1200</v>
      </c>
      <c r="CS112" s="26">
        <f>IF(ISNUMBER(VLOOKUP($D112,'Visu totale'!$D:$DH,CS$1,0)),CR112-VLOOKUP($D112,'Visu totale'!$D:$DH,CS$1,0),IF(LEFT(VLOOKUP($D112,'Visu totale'!$D:$DH,CS$1,0),1)="V",IF(CR112&gt;=INDEX('[1]Définition Maintenances'!$G:$G,MATCH($A112,'[1]Définition Maintenances'!$K:$K,0)),CR112,INDEX('[1]Définition Maintenances'!$G:$G,MATCH($A112,'[1]Définition Maintenances'!$K:$K,0))+CR112),CR112))</f>
        <v>1200</v>
      </c>
      <c r="CT112" s="26">
        <f>IF(ISNUMBER(VLOOKUP($D112,'Visu totale'!$D:$DH,CT$1,0)),CS112-VLOOKUP($D112,'Visu totale'!$D:$DH,CT$1,0),IF(LEFT(VLOOKUP($D112,'Visu totale'!$D:$DH,CT$1,0),1)="V",IF(CS112&gt;=INDEX('[1]Définition Maintenances'!$G:$G,MATCH($A112,'[1]Définition Maintenances'!$K:$K,0)),CS112,INDEX('[1]Définition Maintenances'!$G:$G,MATCH($A112,'[1]Définition Maintenances'!$K:$K,0))+CS112),CS112))</f>
        <v>1200</v>
      </c>
      <c r="CU112" s="26">
        <f>IF(ISNUMBER(VLOOKUP($D112,'Visu totale'!$D:$DH,CU$1,0)),CT112-VLOOKUP($D112,'Visu totale'!$D:$DH,CU$1,0),IF(LEFT(VLOOKUP($D112,'Visu totale'!$D:$DH,CU$1,0),1)="V",IF(CT112&gt;=INDEX('[1]Définition Maintenances'!$G:$G,MATCH($A112,'[1]Définition Maintenances'!$K:$K,0)),CT112,INDEX('[1]Définition Maintenances'!$G:$G,MATCH($A112,'[1]Définition Maintenances'!$K:$K,0))+CT112),CT112))</f>
        <v>1200</v>
      </c>
      <c r="CV112" s="26">
        <f>IF(ISNUMBER(VLOOKUP($D112,'Visu totale'!$D:$DH,CV$1,0)),CU112-VLOOKUP($D112,'Visu totale'!$D:$DH,CV$1,0),IF(LEFT(VLOOKUP($D112,'Visu totale'!$D:$DH,CV$1,0),1)="V",IF(CU112&gt;=INDEX('[1]Définition Maintenances'!$G:$G,MATCH($A112,'[1]Définition Maintenances'!$K:$K,0)),CU112,INDEX('[1]Définition Maintenances'!$G:$G,MATCH($A112,'[1]Définition Maintenances'!$K:$K,0))+CU112),CU112))</f>
        <v>1200</v>
      </c>
      <c r="CW112" s="27">
        <f>IF(ISNUMBER(VLOOKUP($D112,'Visu totale'!$D:$DH,CW$1,0)),CV112-VLOOKUP($D112,'Visu totale'!$D:$DH,CW$1,0),IF(LEFT(VLOOKUP($D112,'Visu totale'!$D:$DH,CW$1,0),1)="V",IF(CV112&gt;=INDEX('[1]Définition Maintenances'!$G:$G,MATCH($A112,'[1]Définition Maintenances'!$K:$K,0)),CV112,INDEX('[1]Définition Maintenances'!$G:$G,MATCH($A112,'[1]Définition Maintenances'!$K:$K,0))+CV112),CV112))</f>
        <v>1200</v>
      </c>
      <c r="CX112" s="25">
        <f>IF(ISNUMBER(VLOOKUP($D112,'Visu totale'!$D:$DH,CX$1,0)),CW112-VLOOKUP($D112,'Visu totale'!$D:$DH,CX$1,0),IF(LEFT(VLOOKUP($D112,'Visu totale'!$D:$DH,CX$1,0),1)="V",IF(CW112&gt;=INDEX('[1]Définition Maintenances'!$G:$G,MATCH($A112,'[1]Définition Maintenances'!$K:$K,0)),CW112,INDEX('[1]Définition Maintenances'!$G:$G,MATCH($A112,'[1]Définition Maintenances'!$K:$K,0))+CW112),CW112))</f>
        <v>1200</v>
      </c>
      <c r="CY112" s="26">
        <f>IF(ISNUMBER(VLOOKUP($D112,'Visu totale'!$D:$DH,CY$1,0)),CX112-VLOOKUP($D112,'Visu totale'!$D:$DH,CY$1,0),IF(LEFT(VLOOKUP($D112,'Visu totale'!$D:$DH,CY$1,0),1)="V",IF(CX112&gt;=INDEX('[1]Définition Maintenances'!$G:$G,MATCH($A112,'[1]Définition Maintenances'!$K:$K,0)),CX112,INDEX('[1]Définition Maintenances'!$G:$G,MATCH($A112,'[1]Définition Maintenances'!$K:$K,0))+CX112),CX112))</f>
        <v>1200</v>
      </c>
      <c r="CZ112" s="26">
        <f>IF(ISNUMBER(VLOOKUP($D112,'Visu totale'!$D:$DH,CZ$1,0)),CY112-VLOOKUP($D112,'Visu totale'!$D:$DH,CZ$1,0),IF(LEFT(VLOOKUP($D112,'Visu totale'!$D:$DH,CZ$1,0),1)="V",IF(CY112&gt;=INDEX('[1]Définition Maintenances'!$G:$G,MATCH($A112,'[1]Définition Maintenances'!$K:$K,0)),CY112,INDEX('[1]Définition Maintenances'!$G:$G,MATCH($A112,'[1]Définition Maintenances'!$K:$K,0))+CY112),CY112))</f>
        <v>1200</v>
      </c>
      <c r="DA112" s="26">
        <f>IF(ISNUMBER(VLOOKUP($D112,'Visu totale'!$D:$DH,DA$1,0)),CZ112-VLOOKUP($D112,'Visu totale'!$D:$DH,DA$1,0),IF(LEFT(VLOOKUP($D112,'Visu totale'!$D:$DH,DA$1,0),1)="V",IF(CZ112&gt;=INDEX('[1]Définition Maintenances'!$G:$G,MATCH($A112,'[1]Définition Maintenances'!$K:$K,0)),CZ112,INDEX('[1]Définition Maintenances'!$G:$G,MATCH($A112,'[1]Définition Maintenances'!$K:$K,0))+CZ112),CZ112))</f>
        <v>1200</v>
      </c>
      <c r="DB112" s="26">
        <f>IF(ISNUMBER(VLOOKUP($D112,'Visu totale'!$D:$DH,DB$1,0)),DA112-VLOOKUP($D112,'Visu totale'!$D:$DH,DB$1,0),IF(LEFT(VLOOKUP($D112,'Visu totale'!$D:$DH,DB$1,0),1)="V",IF(DA112&gt;=INDEX('[1]Définition Maintenances'!$G:$G,MATCH($A112,'[1]Définition Maintenances'!$K:$K,0)),DA112,INDEX('[1]Définition Maintenances'!$G:$G,MATCH($A112,'[1]Définition Maintenances'!$K:$K,0))+DA112),DA112))</f>
        <v>1200</v>
      </c>
      <c r="DC112" s="26">
        <f>IF(ISNUMBER(VLOOKUP($D112,'Visu totale'!$D:$DH,DC$1,0)),DB112-VLOOKUP($D112,'Visu totale'!$D:$DH,DC$1,0),IF(LEFT(VLOOKUP($D112,'Visu totale'!$D:$DH,DC$1,0),1)="V",IF(DB112&gt;=INDEX('[1]Définition Maintenances'!$G:$G,MATCH($A112,'[1]Définition Maintenances'!$K:$K,0)),DB112,INDEX('[1]Définition Maintenances'!$G:$G,MATCH($A112,'[1]Définition Maintenances'!$K:$K,0))+DB112),DB112))</f>
        <v>1200</v>
      </c>
      <c r="DD112" s="26">
        <f>IF(ISNUMBER(VLOOKUP($D112,'Visu totale'!$D:$DH,DD$1,0)),DC112-VLOOKUP($D112,'Visu totale'!$D:$DH,DD$1,0),IF(LEFT(VLOOKUP($D112,'Visu totale'!$D:$DH,DD$1,0),1)="V",IF(DC112&gt;=INDEX('[1]Définition Maintenances'!$G:$G,MATCH($A112,'[1]Définition Maintenances'!$K:$K,0)),DC112,INDEX('[1]Définition Maintenances'!$G:$G,MATCH($A112,'[1]Définition Maintenances'!$K:$K,0))+DC112),DC112))</f>
        <v>1200</v>
      </c>
      <c r="DE112" s="26">
        <f>IF(ISNUMBER(VLOOKUP($D112,'Visu totale'!$D:$DH,DE$1,0)),DD112-VLOOKUP($D112,'Visu totale'!$D:$DH,DE$1,0),IF(LEFT(VLOOKUP($D112,'Visu totale'!$D:$DH,DE$1,0),1)="V",IF(DD112&gt;=INDEX('[1]Définition Maintenances'!$G:$G,MATCH($A112,'[1]Définition Maintenances'!$K:$K,0)),DD112,INDEX('[1]Définition Maintenances'!$G:$G,MATCH($A112,'[1]Définition Maintenances'!$K:$K,0))+DD112),DD112))</f>
        <v>1200</v>
      </c>
      <c r="DF112" s="26">
        <f>IF(ISNUMBER(VLOOKUP($D112,'Visu totale'!$D:$DH,DF$1,0)),DE112-VLOOKUP($D112,'Visu totale'!$D:$DH,DF$1,0),IF(LEFT(VLOOKUP($D112,'Visu totale'!$D:$DH,DF$1,0),1)="V",IF(DE112&gt;=INDEX('[1]Définition Maintenances'!$G:$G,MATCH($A112,'[1]Définition Maintenances'!$K:$K,0)),DE112,INDEX('[1]Définition Maintenances'!$G:$G,MATCH($A112,'[1]Définition Maintenances'!$K:$K,0))+DE112),DE112))</f>
        <v>1200</v>
      </c>
      <c r="DG112" s="26">
        <f>IF(ISNUMBER(VLOOKUP($D112,'Visu totale'!$D:$DH,DG$1,0)),DF112-VLOOKUP($D112,'Visu totale'!$D:$DH,DG$1,0),IF(LEFT(VLOOKUP($D112,'Visu totale'!$D:$DH,DG$1,0),1)="V",IF(DF112&gt;=INDEX('[1]Définition Maintenances'!$G:$G,MATCH($A112,'[1]Définition Maintenances'!$K:$K,0)),DF112,INDEX('[1]Définition Maintenances'!$G:$G,MATCH($A112,'[1]Définition Maintenances'!$K:$K,0))+DF112),DF112))</f>
        <v>1200</v>
      </c>
      <c r="DH112" s="26">
        <f>IF(ISNUMBER(VLOOKUP($D112,'Visu totale'!$D:$DH,DH$1,0)),DG112-VLOOKUP($D112,'Visu totale'!$D:$DH,DH$1,0),IF(LEFT(VLOOKUP($D112,'Visu totale'!$D:$DH,DH$1,0),1)="V",IF(DG112&gt;=INDEX('[1]Définition Maintenances'!$G:$G,MATCH($A112,'[1]Définition Maintenances'!$K:$K,0)),DG112,INDEX('[1]Définition Maintenances'!$G:$G,MATCH($A112,'[1]Définition Maintenances'!$K:$K,0))+DG112),DG112))</f>
        <v>1200</v>
      </c>
      <c r="DI112" s="27">
        <f>IF(ISNUMBER(VLOOKUP($D112,'Visu totale'!$D:$DH,DI$1,0)),DH112-VLOOKUP($D112,'Visu totale'!$D:$DH,DI$1,0),IF(LEFT(VLOOKUP($D112,'Visu totale'!$D:$DH,DI$1,0),1)="V",IF(DH112&gt;=INDEX('[1]Définition Maintenances'!$G:$G,MATCH($A112,'[1]Définition Maintenances'!$K:$K,0)),DH112,INDEX('[1]Définition Maintenances'!$G:$G,MATCH($A112,'[1]Définition Maintenances'!$K:$K,0))+DH112),DH112))</f>
        <v>1200</v>
      </c>
    </row>
    <row r="113" spans="1:113" x14ac:dyDescent="0.25">
      <c r="A113" s="13" t="str">
        <f t="shared" si="3"/>
        <v>V155</v>
      </c>
      <c r="B113" s="13" t="str">
        <f>VLOOKUP(D113,'[1]Avions (Potentiels)'!$B$2:$H$128,7,FALSE)</f>
        <v>V15</v>
      </c>
      <c r="C113" s="13"/>
      <c r="D113" s="16" t="s">
        <v>116</v>
      </c>
      <c r="E113" s="13">
        <f>IFERROR(VALUE(SUBSTITUTE(VLOOKUP(D113,'[1]Avions (Potentiels)'!$B:$E,4,0),".",",")),VALUE(VLOOKUP(D113,'[1]Avions (Potentiels)'!$B:$E,4,0)))</f>
        <v>671</v>
      </c>
      <c r="F113" s="25">
        <f>IF(ISNUMBER(VLOOKUP($D113,'Visu totale'!$D:$DH,F$1,0)),E113-VLOOKUP($D113,'Visu totale'!$D:$DH,F$1,0),IF(LEFT(VLOOKUP($D113,'Visu totale'!$D:$DH,F$1,0),1)="V",IF(E113&gt;=INDEX('[1]Définition Maintenances'!$G:$G,MATCH($A113,'[1]Définition Maintenances'!$K:$K,0)),E113,INDEX('[1]Définition Maintenances'!$G:$G,MATCH($A113,'[1]Définition Maintenances'!$K:$K,0))+E113),E113))</f>
        <v>671</v>
      </c>
      <c r="G113" s="26">
        <f>IF(ISNUMBER(VLOOKUP($D113,'Visu totale'!$D:$DH,G$1,0)),F113-VLOOKUP($D113,'Visu totale'!$D:$DH,G$1,0),IF(LEFT(VLOOKUP($D113,'Visu totale'!$D:$DH,G$1,0),1)="V",IF(F113&gt;=INDEX('[1]Définition Maintenances'!$G:$G,MATCH($A113,'[1]Définition Maintenances'!$K:$K,0)),F113,INDEX('[1]Définition Maintenances'!$G:$G,MATCH($A113,'[1]Définition Maintenances'!$K:$K,0))+F113),F113))</f>
        <v>671</v>
      </c>
      <c r="H113" s="26">
        <f>IF(ISNUMBER(VLOOKUP($D113,'Visu totale'!$D:$DH,H$1,0)),G113-VLOOKUP($D113,'Visu totale'!$D:$DH,H$1,0),IF(LEFT(VLOOKUP($D113,'Visu totale'!$D:$DH,H$1,0),1)="V",IF(G113&gt;=INDEX('[1]Définition Maintenances'!$G:$G,MATCH($A113,'[1]Définition Maintenances'!$K:$K,0)),G113,INDEX('[1]Définition Maintenances'!$G:$G,MATCH($A113,'[1]Définition Maintenances'!$K:$K,0))+G113),G113))</f>
        <v>671</v>
      </c>
      <c r="I113" s="26">
        <f>IF(ISNUMBER(VLOOKUP($D113,'Visu totale'!$D:$DH,I$1,0)),H113-VLOOKUP($D113,'Visu totale'!$D:$DH,I$1,0),IF(LEFT(VLOOKUP($D113,'Visu totale'!$D:$DH,I$1,0),1)="V",IF(H113&gt;=INDEX('[1]Définition Maintenances'!$G:$G,MATCH($A113,'[1]Définition Maintenances'!$K:$K,0)),H113,INDEX('[1]Définition Maintenances'!$G:$G,MATCH($A113,'[1]Définition Maintenances'!$K:$K,0))+H113),H113))</f>
        <v>671</v>
      </c>
      <c r="J113" s="26">
        <f>IF(ISNUMBER(VLOOKUP($D113,'Visu totale'!$D:$DH,J$1,0)),I113-VLOOKUP($D113,'Visu totale'!$D:$DH,J$1,0),IF(LEFT(VLOOKUP($D113,'Visu totale'!$D:$DH,J$1,0),1)="V",IF(I113&gt;=INDEX('[1]Définition Maintenances'!$G:$G,MATCH($A113,'[1]Définition Maintenances'!$K:$K,0)),I113,INDEX('[1]Définition Maintenances'!$G:$G,MATCH($A113,'[1]Définition Maintenances'!$K:$K,0))+I113),I113))</f>
        <v>671</v>
      </c>
      <c r="K113" s="26">
        <f>IF(ISNUMBER(VLOOKUP($D113,'Visu totale'!$D:$DH,K$1,0)),J113-VLOOKUP($D113,'Visu totale'!$D:$DH,K$1,0),IF(LEFT(VLOOKUP($D113,'Visu totale'!$D:$DH,K$1,0),1)="V",IF(J113&gt;=INDEX('[1]Définition Maintenances'!$G:$G,MATCH($A113,'[1]Définition Maintenances'!$K:$K,0)),J113,INDEX('[1]Définition Maintenances'!$G:$G,MATCH($A113,'[1]Définition Maintenances'!$K:$K,0))+J113),J113))</f>
        <v>671</v>
      </c>
      <c r="L113" s="26">
        <f>IF(ISNUMBER(VLOOKUP($D113,'Visu totale'!$D:$DH,L$1,0)),K113-VLOOKUP($D113,'Visu totale'!$D:$DH,L$1,0),IF(LEFT(VLOOKUP($D113,'Visu totale'!$D:$DH,L$1,0),1)="V",IF(K113&gt;=INDEX('[1]Définition Maintenances'!$G:$G,MATCH($A113,'[1]Définition Maintenances'!$K:$K,0)),K113,INDEX('[1]Définition Maintenances'!$G:$G,MATCH($A113,'[1]Définition Maintenances'!$K:$K,0))+K113),K113))</f>
        <v>671</v>
      </c>
      <c r="M113" s="26">
        <f>IF(ISNUMBER(VLOOKUP($D113,'Visu totale'!$D:$DH,M$1,0)),L113-VLOOKUP($D113,'Visu totale'!$D:$DH,M$1,0),IF(LEFT(VLOOKUP($D113,'Visu totale'!$D:$DH,M$1,0),1)="V",IF(L113&gt;=INDEX('[1]Définition Maintenances'!$G:$G,MATCH($A113,'[1]Définition Maintenances'!$K:$K,0)),L113,INDEX('[1]Définition Maintenances'!$G:$G,MATCH($A113,'[1]Définition Maintenances'!$K:$K,0))+L113),L113))</f>
        <v>671</v>
      </c>
      <c r="N113" s="26">
        <f>IF(ISNUMBER(VLOOKUP($D113,'Visu totale'!$D:$DH,N$1,0)),M113-VLOOKUP($D113,'Visu totale'!$D:$DH,N$1,0),IF(LEFT(VLOOKUP($D113,'Visu totale'!$D:$DH,N$1,0),1)="V",IF(M113&gt;=INDEX('[1]Définition Maintenances'!$G:$G,MATCH($A113,'[1]Définition Maintenances'!$K:$K,0)),M113,INDEX('[1]Définition Maintenances'!$G:$G,MATCH($A113,'[1]Définition Maintenances'!$K:$K,0))+M113),M113))</f>
        <v>671</v>
      </c>
      <c r="O113" s="26">
        <f>IF(ISNUMBER(VLOOKUP($D113,'Visu totale'!$D:$DH,O$1,0)),N113-VLOOKUP($D113,'Visu totale'!$D:$DH,O$1,0),IF(LEFT(VLOOKUP($D113,'Visu totale'!$D:$DH,O$1,0),1)="V",IF(N113&gt;=INDEX('[1]Définition Maintenances'!$G:$G,MATCH($A113,'[1]Définition Maintenances'!$K:$K,0)),N113,INDEX('[1]Définition Maintenances'!$G:$G,MATCH($A113,'[1]Définition Maintenances'!$K:$K,0))+N113),N113))</f>
        <v>671</v>
      </c>
      <c r="P113" s="26">
        <f>IF(ISNUMBER(VLOOKUP($D113,'Visu totale'!$D:$DH,P$1,0)),O113-VLOOKUP($D113,'Visu totale'!$D:$DH,P$1,0),IF(LEFT(VLOOKUP($D113,'Visu totale'!$D:$DH,P$1,0),1)="V",IF(O113&gt;=INDEX('[1]Définition Maintenances'!$G:$G,MATCH($A113,'[1]Définition Maintenances'!$K:$K,0)),O113,INDEX('[1]Définition Maintenances'!$G:$G,MATCH($A113,'[1]Définition Maintenances'!$K:$K,0))+O113),O113))</f>
        <v>671</v>
      </c>
      <c r="Q113" s="27">
        <f>IF(ISNUMBER(VLOOKUP($D113,'Visu totale'!$D:$DH,Q$1,0)),P113-VLOOKUP($D113,'Visu totale'!$D:$DH,Q$1,0),IF(LEFT(VLOOKUP($D113,'Visu totale'!$D:$DH,Q$1,0),1)="V",IF(P113&gt;=INDEX('[1]Définition Maintenances'!$G:$G,MATCH($A113,'[1]Définition Maintenances'!$K:$K,0)),P113,INDEX('[1]Définition Maintenances'!$G:$G,MATCH($A113,'[1]Définition Maintenances'!$K:$K,0))+P113),P113))</f>
        <v>671</v>
      </c>
      <c r="R113" s="25">
        <f>IF(ISNUMBER(VLOOKUP($D113,'Visu totale'!$D:$DH,R$1,0)),Q113-VLOOKUP($D113,'Visu totale'!$D:$DH,R$1,0),IF(LEFT(VLOOKUP($D113,'Visu totale'!$D:$DH,R$1,0),1)="V",IF(Q113&gt;=INDEX('[1]Définition Maintenances'!$G:$G,MATCH($A113,'[1]Définition Maintenances'!$K:$K,0)),Q113,INDEX('[1]Définition Maintenances'!$G:$G,MATCH($A113,'[1]Définition Maintenances'!$K:$K,0))+Q113),Q113))</f>
        <v>671</v>
      </c>
      <c r="S113" s="26">
        <f>IF(ISNUMBER(VLOOKUP($D113,'Visu totale'!$D:$DH,S$1,0)),R113-VLOOKUP($D113,'Visu totale'!$D:$DH,S$1,0),IF(LEFT(VLOOKUP($D113,'Visu totale'!$D:$DH,S$1,0),1)="V",IF(R113&gt;=INDEX('[1]Définition Maintenances'!$G:$G,MATCH($A113,'[1]Définition Maintenances'!$K:$K,0)),R113,INDEX('[1]Définition Maintenances'!$G:$G,MATCH($A113,'[1]Définition Maintenances'!$K:$K,0))+R113),R113))</f>
        <v>671</v>
      </c>
      <c r="T113" s="26">
        <f>IF(ISNUMBER(VLOOKUP($D113,'Visu totale'!$D:$DH,T$1,0)),S113-VLOOKUP($D113,'Visu totale'!$D:$DH,T$1,0),IF(LEFT(VLOOKUP($D113,'Visu totale'!$D:$DH,T$1,0),1)="V",IF(S113&gt;=INDEX('[1]Définition Maintenances'!$G:$G,MATCH($A113,'[1]Définition Maintenances'!$K:$K,0)),S113,INDEX('[1]Définition Maintenances'!$G:$G,MATCH($A113,'[1]Définition Maintenances'!$K:$K,0))+S113),S113))</f>
        <v>671</v>
      </c>
      <c r="U113" s="26">
        <f>IF(ISNUMBER(VLOOKUP($D113,'Visu totale'!$D:$DH,U$1,0)),T113-VLOOKUP($D113,'Visu totale'!$D:$DH,U$1,0),IF(LEFT(VLOOKUP($D113,'Visu totale'!$D:$DH,U$1,0),1)="V",IF(T113&gt;=INDEX('[1]Définition Maintenances'!$G:$G,MATCH($A113,'[1]Définition Maintenances'!$K:$K,0)),T113,INDEX('[1]Définition Maintenances'!$G:$G,MATCH($A113,'[1]Définition Maintenances'!$K:$K,0))+T113),T113))</f>
        <v>671</v>
      </c>
      <c r="V113" s="26">
        <f>IF(ISNUMBER(VLOOKUP($D113,'Visu totale'!$D:$DH,V$1,0)),U113-VLOOKUP($D113,'Visu totale'!$D:$DH,V$1,0),IF(LEFT(VLOOKUP($D113,'Visu totale'!$D:$DH,V$1,0),1)="V",IF(U113&gt;=INDEX('[1]Définition Maintenances'!$G:$G,MATCH($A113,'[1]Définition Maintenances'!$K:$K,0)),U113,INDEX('[1]Définition Maintenances'!$G:$G,MATCH($A113,'[1]Définition Maintenances'!$K:$K,0))+U113),U113))</f>
        <v>671</v>
      </c>
      <c r="W113" s="26">
        <f>IF(ISNUMBER(VLOOKUP($D113,'Visu totale'!$D:$DH,W$1,0)),V113-VLOOKUP($D113,'Visu totale'!$D:$DH,W$1,0),IF(LEFT(VLOOKUP($D113,'Visu totale'!$D:$DH,W$1,0),1)="V",IF(V113&gt;=INDEX('[1]Définition Maintenances'!$G:$G,MATCH($A113,'[1]Définition Maintenances'!$K:$K,0)),V113,INDEX('[1]Définition Maintenances'!$G:$G,MATCH($A113,'[1]Définition Maintenances'!$K:$K,0))+V113),V113))</f>
        <v>671</v>
      </c>
      <c r="X113" s="26">
        <f>IF(ISNUMBER(VLOOKUP($D113,'Visu totale'!$D:$DH,X$1,0)),W113-VLOOKUP($D113,'Visu totale'!$D:$DH,X$1,0),IF(LEFT(VLOOKUP($D113,'Visu totale'!$D:$DH,X$1,0),1)="V",IF(W113&gt;=INDEX('[1]Définition Maintenances'!$G:$G,MATCH($A113,'[1]Définition Maintenances'!$K:$K,0)),W113,INDEX('[1]Définition Maintenances'!$G:$G,MATCH($A113,'[1]Définition Maintenances'!$K:$K,0))+W113),W113))</f>
        <v>671</v>
      </c>
      <c r="Y113" s="26">
        <f>IF(ISNUMBER(VLOOKUP($D113,'Visu totale'!$D:$DH,Y$1,0)),X113-VLOOKUP($D113,'Visu totale'!$D:$DH,Y$1,0),IF(LEFT(VLOOKUP($D113,'Visu totale'!$D:$DH,Y$1,0),1)="V",IF(X113&gt;=INDEX('[1]Définition Maintenances'!$G:$G,MATCH($A113,'[1]Définition Maintenances'!$K:$K,0)),X113,INDEX('[1]Définition Maintenances'!$G:$G,MATCH($A113,'[1]Définition Maintenances'!$K:$K,0))+X113),X113))</f>
        <v>671</v>
      </c>
      <c r="Z113" s="26">
        <f>IF(ISNUMBER(VLOOKUP($D113,'Visu totale'!$D:$DH,Z$1,0)),Y113-VLOOKUP($D113,'Visu totale'!$D:$DH,Z$1,0),IF(LEFT(VLOOKUP($D113,'Visu totale'!$D:$DH,Z$1,0),1)="V",IF(Y113&gt;=INDEX('[1]Définition Maintenances'!$G:$G,MATCH($A113,'[1]Définition Maintenances'!$K:$K,0)),Y113,INDEX('[1]Définition Maintenances'!$G:$G,MATCH($A113,'[1]Définition Maintenances'!$K:$K,0))+Y113),Y113))</f>
        <v>671</v>
      </c>
      <c r="AA113" s="26">
        <f>IF(ISNUMBER(VLOOKUP($D113,'Visu totale'!$D:$DH,AA$1,0)),Z113-VLOOKUP($D113,'Visu totale'!$D:$DH,AA$1,0),IF(LEFT(VLOOKUP($D113,'Visu totale'!$D:$DH,AA$1,0),1)="V",IF(Z113&gt;=INDEX('[1]Définition Maintenances'!$G:$G,MATCH($A113,'[1]Définition Maintenances'!$K:$K,0)),Z113,INDEX('[1]Définition Maintenances'!$G:$G,MATCH($A113,'[1]Définition Maintenances'!$K:$K,0))+Z113),Z113))</f>
        <v>671</v>
      </c>
      <c r="AB113" s="26">
        <f>IF(ISNUMBER(VLOOKUP($D113,'Visu totale'!$D:$DH,AB$1,0)),AA113-VLOOKUP($D113,'Visu totale'!$D:$DH,AB$1,0),IF(LEFT(VLOOKUP($D113,'Visu totale'!$D:$DH,AB$1,0),1)="V",IF(AA113&gt;=INDEX('[1]Définition Maintenances'!$G:$G,MATCH($A113,'[1]Définition Maintenances'!$K:$K,0)),AA113,INDEX('[1]Définition Maintenances'!$G:$G,MATCH($A113,'[1]Définition Maintenances'!$K:$K,0))+AA113),AA113))</f>
        <v>671</v>
      </c>
      <c r="AC113" s="27">
        <f>IF(ISNUMBER(VLOOKUP($D113,'Visu totale'!$D:$DH,AC$1,0)),AB113-VLOOKUP($D113,'Visu totale'!$D:$DH,AC$1,0),IF(LEFT(VLOOKUP($D113,'Visu totale'!$D:$DH,AC$1,0),1)="V",IF(AB113&gt;=INDEX('[1]Définition Maintenances'!$G:$G,MATCH($A113,'[1]Définition Maintenances'!$K:$K,0)),AB113,INDEX('[1]Définition Maintenances'!$G:$G,MATCH($A113,'[1]Définition Maintenances'!$K:$K,0))+AB113),AB113))</f>
        <v>671</v>
      </c>
      <c r="AD113" s="25">
        <f>IF(ISNUMBER(VLOOKUP($D113,'Visu totale'!$D:$DH,AD$1,0)),AC113-VLOOKUP($D113,'Visu totale'!$D:$DH,AD$1,0),IF(LEFT(VLOOKUP($D113,'Visu totale'!$D:$DH,AD$1,0),1)="V",IF(AC113&gt;=INDEX('[1]Définition Maintenances'!$G:$G,MATCH($A113,'[1]Définition Maintenances'!$K:$K,0)),AC113,INDEX('[1]Définition Maintenances'!$G:$G,MATCH($A113,'[1]Définition Maintenances'!$K:$K,0))+AC113),AC113))</f>
        <v>671</v>
      </c>
      <c r="AE113" s="26">
        <f>IF(ISNUMBER(VLOOKUP($D113,'Visu totale'!$D:$DH,AE$1,0)),AD113-VLOOKUP($D113,'Visu totale'!$D:$DH,AE$1,0),IF(LEFT(VLOOKUP($D113,'Visu totale'!$D:$DH,AE$1,0),1)="V",IF(AD113&gt;=INDEX('[1]Définition Maintenances'!$G:$G,MATCH($A113,'[1]Définition Maintenances'!$K:$K,0)),AD113,INDEX('[1]Définition Maintenances'!$G:$G,MATCH($A113,'[1]Définition Maintenances'!$K:$K,0))+AD113),AD113))</f>
        <v>671</v>
      </c>
      <c r="AF113" s="26">
        <f>IF(ISNUMBER(VLOOKUP($D113,'Visu totale'!$D:$DH,AF$1,0)),AE113-VLOOKUP($D113,'Visu totale'!$D:$DH,AF$1,0),IF(LEFT(VLOOKUP($D113,'Visu totale'!$D:$DH,AF$1,0),1)="V",IF(AE113&gt;=INDEX('[1]Définition Maintenances'!$G:$G,MATCH($A113,'[1]Définition Maintenances'!$K:$K,0)),AE113,INDEX('[1]Définition Maintenances'!$G:$G,MATCH($A113,'[1]Définition Maintenances'!$K:$K,0))+AE113),AE113))</f>
        <v>671</v>
      </c>
      <c r="AG113" s="26">
        <f>IF(ISNUMBER(VLOOKUP($D113,'Visu totale'!$D:$DH,AG$1,0)),AF113-VLOOKUP($D113,'Visu totale'!$D:$DH,AG$1,0),IF(LEFT(VLOOKUP($D113,'Visu totale'!$D:$DH,AG$1,0),1)="V",IF(AF113&gt;=INDEX('[1]Définition Maintenances'!$G:$G,MATCH($A113,'[1]Définition Maintenances'!$K:$K,0)),AF113,INDEX('[1]Définition Maintenances'!$G:$G,MATCH($A113,'[1]Définition Maintenances'!$K:$K,0))+AF113),AF113))</f>
        <v>671</v>
      </c>
      <c r="AH113" s="26">
        <f>IF(ISNUMBER(VLOOKUP($D113,'Visu totale'!$D:$DH,AH$1,0)),AG113-VLOOKUP($D113,'Visu totale'!$D:$DH,AH$1,0),IF(LEFT(VLOOKUP($D113,'Visu totale'!$D:$DH,AH$1,0),1)="V",IF(AG113&gt;=INDEX('[1]Définition Maintenances'!$G:$G,MATCH($A113,'[1]Définition Maintenances'!$K:$K,0)),AG113,INDEX('[1]Définition Maintenances'!$G:$G,MATCH($A113,'[1]Définition Maintenances'!$K:$K,0))+AG113),AG113))</f>
        <v>671</v>
      </c>
      <c r="AI113" s="26">
        <f>IF(ISNUMBER(VLOOKUP($D113,'Visu totale'!$D:$DH,AI$1,0)),AH113-VLOOKUP($D113,'Visu totale'!$D:$DH,AI$1,0),IF(LEFT(VLOOKUP($D113,'Visu totale'!$D:$DH,AI$1,0),1)="V",IF(AH113&gt;=INDEX('[1]Définition Maintenances'!$G:$G,MATCH($A113,'[1]Définition Maintenances'!$K:$K,0)),AH113,INDEX('[1]Définition Maintenances'!$G:$G,MATCH($A113,'[1]Définition Maintenances'!$K:$K,0))+AH113),AH113))</f>
        <v>671</v>
      </c>
      <c r="AJ113" s="26">
        <f>IF(ISNUMBER(VLOOKUP($D113,'Visu totale'!$D:$DH,AJ$1,0)),AI113-VLOOKUP($D113,'Visu totale'!$D:$DH,AJ$1,0),IF(LEFT(VLOOKUP($D113,'Visu totale'!$D:$DH,AJ$1,0),1)="V",IF(AI113&gt;=INDEX('[1]Définition Maintenances'!$G:$G,MATCH($A113,'[1]Définition Maintenances'!$K:$K,0)),AI113,INDEX('[1]Définition Maintenances'!$G:$G,MATCH($A113,'[1]Définition Maintenances'!$K:$K,0))+AI113),AI113))</f>
        <v>671</v>
      </c>
      <c r="AK113" s="26">
        <f>IF(ISNUMBER(VLOOKUP($D113,'Visu totale'!$D:$DH,AK$1,0)),AJ113-VLOOKUP($D113,'Visu totale'!$D:$DH,AK$1,0),IF(LEFT(VLOOKUP($D113,'Visu totale'!$D:$DH,AK$1,0),1)="V",IF(AJ113&gt;=INDEX('[1]Définition Maintenances'!$G:$G,MATCH($A113,'[1]Définition Maintenances'!$K:$K,0)),AJ113,INDEX('[1]Définition Maintenances'!$G:$G,MATCH($A113,'[1]Définition Maintenances'!$K:$K,0))+AJ113),AJ113))</f>
        <v>671</v>
      </c>
      <c r="AL113" s="26">
        <f>IF(ISNUMBER(VLOOKUP($D113,'Visu totale'!$D:$DH,AL$1,0)),AK113-VLOOKUP($D113,'Visu totale'!$D:$DH,AL$1,0),IF(LEFT(VLOOKUP($D113,'Visu totale'!$D:$DH,AL$1,0),1)="V",IF(AK113&gt;=INDEX('[1]Définition Maintenances'!$G:$G,MATCH($A113,'[1]Définition Maintenances'!$K:$K,0)),AK113,INDEX('[1]Définition Maintenances'!$G:$G,MATCH($A113,'[1]Définition Maintenances'!$K:$K,0))+AK113),AK113))</f>
        <v>671</v>
      </c>
      <c r="AM113" s="26">
        <f>IF(ISNUMBER(VLOOKUP($D113,'Visu totale'!$D:$DH,AM$1,0)),AL113-VLOOKUP($D113,'Visu totale'!$D:$DH,AM$1,0),IF(LEFT(VLOOKUP($D113,'Visu totale'!$D:$DH,AM$1,0),1)="V",IF(AL113&gt;=INDEX('[1]Définition Maintenances'!$G:$G,MATCH($A113,'[1]Définition Maintenances'!$K:$K,0)),AL113,INDEX('[1]Définition Maintenances'!$G:$G,MATCH($A113,'[1]Définition Maintenances'!$K:$K,0))+AL113),AL113))</f>
        <v>671</v>
      </c>
      <c r="AN113" s="26">
        <f>IF(ISNUMBER(VLOOKUP($D113,'Visu totale'!$D:$DH,AN$1,0)),AM113-VLOOKUP($D113,'Visu totale'!$D:$DH,AN$1,0),IF(LEFT(VLOOKUP($D113,'Visu totale'!$D:$DH,AN$1,0),1)="V",IF(AM113&gt;=INDEX('[1]Définition Maintenances'!$G:$G,MATCH($A113,'[1]Définition Maintenances'!$K:$K,0)),AM113,INDEX('[1]Définition Maintenances'!$G:$G,MATCH($A113,'[1]Définition Maintenances'!$K:$K,0))+AM113),AM113))</f>
        <v>671</v>
      </c>
      <c r="AO113" s="27">
        <f>IF(ISNUMBER(VLOOKUP($D113,'Visu totale'!$D:$DH,AO$1,0)),AN113-VLOOKUP($D113,'Visu totale'!$D:$DH,AO$1,0),IF(LEFT(VLOOKUP($D113,'Visu totale'!$D:$DH,AO$1,0),1)="V",IF(AN113&gt;=INDEX('[1]Définition Maintenances'!$G:$G,MATCH($A113,'[1]Définition Maintenances'!$K:$K,0)),AN113,INDEX('[1]Définition Maintenances'!$G:$G,MATCH($A113,'[1]Définition Maintenances'!$K:$K,0))+AN113),AN113))</f>
        <v>671</v>
      </c>
      <c r="AP113" s="25">
        <f>IF(ISNUMBER(VLOOKUP($D113,'Visu totale'!$D:$DH,AP$1,0)),AO113-VLOOKUP($D113,'Visu totale'!$D:$DH,AP$1,0),IF(LEFT(VLOOKUP($D113,'Visu totale'!$D:$DH,AP$1,0),1)="V",IF(AO113&gt;=INDEX('[1]Définition Maintenances'!$G:$G,MATCH($A113,'[1]Définition Maintenances'!$K:$K,0)),AO113,INDEX('[1]Définition Maintenances'!$G:$G,MATCH($A113,'[1]Définition Maintenances'!$K:$K,0))+AO113),AO113))</f>
        <v>671</v>
      </c>
      <c r="AQ113" s="26">
        <f>IF(ISNUMBER(VLOOKUP($D113,'Visu totale'!$D:$DH,AQ$1,0)),AP113-VLOOKUP($D113,'Visu totale'!$D:$DH,AQ$1,0),IF(LEFT(VLOOKUP($D113,'Visu totale'!$D:$DH,AQ$1,0),1)="V",IF(AP113&gt;=INDEX('[1]Définition Maintenances'!$G:$G,MATCH($A113,'[1]Définition Maintenances'!$K:$K,0)),AP113,INDEX('[1]Définition Maintenances'!$G:$G,MATCH($A113,'[1]Définition Maintenances'!$K:$K,0))+AP113),AP113))</f>
        <v>671</v>
      </c>
      <c r="AR113" s="26">
        <f>IF(ISNUMBER(VLOOKUP($D113,'Visu totale'!$D:$DH,AR$1,0)),AQ113-VLOOKUP($D113,'Visu totale'!$D:$DH,AR$1,0),IF(LEFT(VLOOKUP($D113,'Visu totale'!$D:$DH,AR$1,0),1)="V",IF(AQ113&gt;=INDEX('[1]Définition Maintenances'!$G:$G,MATCH($A113,'[1]Définition Maintenances'!$K:$K,0)),AQ113,INDEX('[1]Définition Maintenances'!$G:$G,MATCH($A113,'[1]Définition Maintenances'!$K:$K,0))+AQ113),AQ113))</f>
        <v>671</v>
      </c>
      <c r="AS113" s="26">
        <f>IF(ISNUMBER(VLOOKUP($D113,'Visu totale'!$D:$DH,AS$1,0)),AR113-VLOOKUP($D113,'Visu totale'!$D:$DH,AS$1,0),IF(LEFT(VLOOKUP($D113,'Visu totale'!$D:$DH,AS$1,0),1)="V",IF(AR113&gt;=INDEX('[1]Définition Maintenances'!$G:$G,MATCH($A113,'[1]Définition Maintenances'!$K:$K,0)),AR113,INDEX('[1]Définition Maintenances'!$G:$G,MATCH($A113,'[1]Définition Maintenances'!$K:$K,0))+AR113),AR113))</f>
        <v>671</v>
      </c>
      <c r="AT113" s="26">
        <f>IF(ISNUMBER(VLOOKUP($D113,'Visu totale'!$D:$DH,AT$1,0)),AS113-VLOOKUP($D113,'Visu totale'!$D:$DH,AT$1,0),IF(LEFT(VLOOKUP($D113,'Visu totale'!$D:$DH,AT$1,0),1)="V",IF(AS113&gt;=INDEX('[1]Définition Maintenances'!$G:$G,MATCH($A113,'[1]Définition Maintenances'!$K:$K,0)),AS113,INDEX('[1]Définition Maintenances'!$G:$G,MATCH($A113,'[1]Définition Maintenances'!$K:$K,0))+AS113),AS113))</f>
        <v>671</v>
      </c>
      <c r="AU113" s="26">
        <f>IF(ISNUMBER(VLOOKUP($D113,'Visu totale'!$D:$DH,AU$1,0)),AT113-VLOOKUP($D113,'Visu totale'!$D:$DH,AU$1,0),IF(LEFT(VLOOKUP($D113,'Visu totale'!$D:$DH,AU$1,0),1)="V",IF(AT113&gt;=INDEX('[1]Définition Maintenances'!$G:$G,MATCH($A113,'[1]Définition Maintenances'!$K:$K,0)),AT113,INDEX('[1]Définition Maintenances'!$G:$G,MATCH($A113,'[1]Définition Maintenances'!$K:$K,0))+AT113),AT113))</f>
        <v>671</v>
      </c>
      <c r="AV113" s="26">
        <f>IF(ISNUMBER(VLOOKUP($D113,'Visu totale'!$D:$DH,AV$1,0)),AU113-VLOOKUP($D113,'Visu totale'!$D:$DH,AV$1,0),IF(LEFT(VLOOKUP($D113,'Visu totale'!$D:$DH,AV$1,0),1)="V",IF(AU113&gt;=INDEX('[1]Définition Maintenances'!$G:$G,MATCH($A113,'[1]Définition Maintenances'!$K:$K,0)),AU113,INDEX('[1]Définition Maintenances'!$G:$G,MATCH($A113,'[1]Définition Maintenances'!$K:$K,0))+AU113),AU113))</f>
        <v>671</v>
      </c>
      <c r="AW113" s="26">
        <f>IF(ISNUMBER(VLOOKUP($D113,'Visu totale'!$D:$DH,AW$1,0)),AV113-VLOOKUP($D113,'Visu totale'!$D:$DH,AW$1,0),IF(LEFT(VLOOKUP($D113,'Visu totale'!$D:$DH,AW$1,0),1)="V",IF(AV113&gt;=INDEX('[1]Définition Maintenances'!$G:$G,MATCH($A113,'[1]Définition Maintenances'!$K:$K,0)),AV113,INDEX('[1]Définition Maintenances'!$G:$G,MATCH($A113,'[1]Définition Maintenances'!$K:$K,0))+AV113),AV113))</f>
        <v>671</v>
      </c>
      <c r="AX113" s="26">
        <f>IF(ISNUMBER(VLOOKUP($D113,'Visu totale'!$D:$DH,AX$1,0)),AW113-VLOOKUP($D113,'Visu totale'!$D:$DH,AX$1,0),IF(LEFT(VLOOKUP($D113,'Visu totale'!$D:$DH,AX$1,0),1)="V",IF(AW113&gt;=INDEX('[1]Définition Maintenances'!$G:$G,MATCH($A113,'[1]Définition Maintenances'!$K:$K,0)),AW113,INDEX('[1]Définition Maintenances'!$G:$G,MATCH($A113,'[1]Définition Maintenances'!$K:$K,0))+AW113),AW113))</f>
        <v>671</v>
      </c>
      <c r="AY113" s="26">
        <f>IF(ISNUMBER(VLOOKUP($D113,'Visu totale'!$D:$DH,AY$1,0)),AX113-VLOOKUP($D113,'Visu totale'!$D:$DH,AY$1,0),IF(LEFT(VLOOKUP($D113,'Visu totale'!$D:$DH,AY$1,0),1)="V",IF(AX113&gt;=INDEX('[1]Définition Maintenances'!$G:$G,MATCH($A113,'[1]Définition Maintenances'!$K:$K,0)),AX113,INDEX('[1]Définition Maintenances'!$G:$G,MATCH($A113,'[1]Définition Maintenances'!$K:$K,0))+AX113),AX113))</f>
        <v>671</v>
      </c>
      <c r="AZ113" s="26">
        <f>IF(ISNUMBER(VLOOKUP($D113,'Visu totale'!$D:$DH,AZ$1,0)),AY113-VLOOKUP($D113,'Visu totale'!$D:$DH,AZ$1,0),IF(LEFT(VLOOKUP($D113,'Visu totale'!$D:$DH,AZ$1,0),1)="V",IF(AY113&gt;=INDEX('[1]Définition Maintenances'!$G:$G,MATCH($A113,'[1]Définition Maintenances'!$K:$K,0)),AY113,INDEX('[1]Définition Maintenances'!$G:$G,MATCH($A113,'[1]Définition Maintenances'!$K:$K,0))+AY113),AY113))</f>
        <v>671</v>
      </c>
      <c r="BA113" s="27">
        <f>IF(ISNUMBER(VLOOKUP($D113,'Visu totale'!$D:$DH,BA$1,0)),AZ113-VLOOKUP($D113,'Visu totale'!$D:$DH,BA$1,0),IF(LEFT(VLOOKUP($D113,'Visu totale'!$D:$DH,BA$1,0),1)="V",IF(AZ113&gt;=INDEX('[1]Définition Maintenances'!$G:$G,MATCH($A113,'[1]Définition Maintenances'!$K:$K,0)),AZ113,INDEX('[1]Définition Maintenances'!$G:$G,MATCH($A113,'[1]Définition Maintenances'!$K:$K,0))+AZ113),AZ113))</f>
        <v>671</v>
      </c>
      <c r="BB113" s="25">
        <f>IF(ISNUMBER(VLOOKUP($D113,'Visu totale'!$D:$DH,BB$1,0)),BA113-VLOOKUP($D113,'Visu totale'!$D:$DH,BB$1,0),IF(LEFT(VLOOKUP($D113,'Visu totale'!$D:$DH,BB$1,0),1)="V",IF(BA113&gt;=INDEX('[1]Définition Maintenances'!$G:$G,MATCH($A113,'[1]Définition Maintenances'!$K:$K,0)),BA113,INDEX('[1]Définition Maintenances'!$G:$G,MATCH($A113,'[1]Définition Maintenances'!$K:$K,0))+BA113),BA113))</f>
        <v>671</v>
      </c>
      <c r="BC113" s="26">
        <f>IF(ISNUMBER(VLOOKUP($D113,'Visu totale'!$D:$DH,BC$1,0)),BB113-VLOOKUP($D113,'Visu totale'!$D:$DH,BC$1,0),IF(LEFT(VLOOKUP($D113,'Visu totale'!$D:$DH,BC$1,0),1)="V",IF(BB113&gt;=INDEX('[1]Définition Maintenances'!$G:$G,MATCH($A113,'[1]Définition Maintenances'!$K:$K,0)),BB113,INDEX('[1]Définition Maintenances'!$G:$G,MATCH($A113,'[1]Définition Maintenances'!$K:$K,0))+BB113),BB113))</f>
        <v>671</v>
      </c>
      <c r="BD113" s="26">
        <f>IF(ISNUMBER(VLOOKUP($D113,'Visu totale'!$D:$DH,BD$1,0)),BC113-VLOOKUP($D113,'Visu totale'!$D:$DH,BD$1,0),IF(LEFT(VLOOKUP($D113,'Visu totale'!$D:$DH,BD$1,0),1)="V",IF(BC113&gt;=INDEX('[1]Définition Maintenances'!$G:$G,MATCH($A113,'[1]Définition Maintenances'!$K:$K,0)),BC113,INDEX('[1]Définition Maintenances'!$G:$G,MATCH($A113,'[1]Définition Maintenances'!$K:$K,0))+BC113),BC113))</f>
        <v>671</v>
      </c>
      <c r="BE113" s="26">
        <f>IF(ISNUMBER(VLOOKUP($D113,'Visu totale'!$D:$DH,BE$1,0)),BD113-VLOOKUP($D113,'Visu totale'!$D:$DH,BE$1,0),IF(LEFT(VLOOKUP($D113,'Visu totale'!$D:$DH,BE$1,0),1)="V",IF(BD113&gt;=INDEX('[1]Définition Maintenances'!$G:$G,MATCH($A113,'[1]Définition Maintenances'!$K:$K,0)),BD113,INDEX('[1]Définition Maintenances'!$G:$G,MATCH($A113,'[1]Définition Maintenances'!$K:$K,0))+BD113),BD113))</f>
        <v>671</v>
      </c>
      <c r="BF113" s="26">
        <f>IF(ISNUMBER(VLOOKUP($D113,'Visu totale'!$D:$DH,BF$1,0)),BE113-VLOOKUP($D113,'Visu totale'!$D:$DH,BF$1,0),IF(LEFT(VLOOKUP($D113,'Visu totale'!$D:$DH,BF$1,0),1)="V",IF(BE113&gt;=INDEX('[1]Définition Maintenances'!$G:$G,MATCH($A113,'[1]Définition Maintenances'!$K:$K,0)),BE113,INDEX('[1]Définition Maintenances'!$G:$G,MATCH($A113,'[1]Définition Maintenances'!$K:$K,0))+BE113),BE113))</f>
        <v>671</v>
      </c>
      <c r="BG113" s="26">
        <f>IF(ISNUMBER(VLOOKUP($D113,'Visu totale'!$D:$DH,BG$1,0)),BF113-VLOOKUP($D113,'Visu totale'!$D:$DH,BG$1,0),IF(LEFT(VLOOKUP($D113,'Visu totale'!$D:$DH,BG$1,0),1)="V",IF(BF113&gt;=INDEX('[1]Définition Maintenances'!$G:$G,MATCH($A113,'[1]Définition Maintenances'!$K:$K,0)),BF113,INDEX('[1]Définition Maintenances'!$G:$G,MATCH($A113,'[1]Définition Maintenances'!$K:$K,0))+BF113),BF113))</f>
        <v>671</v>
      </c>
      <c r="BH113" s="26">
        <f>IF(ISNUMBER(VLOOKUP($D113,'Visu totale'!$D:$DH,BH$1,0)),BG113-VLOOKUP($D113,'Visu totale'!$D:$DH,BH$1,0),IF(LEFT(VLOOKUP($D113,'Visu totale'!$D:$DH,BH$1,0),1)="V",IF(BG113&gt;=INDEX('[1]Définition Maintenances'!$G:$G,MATCH($A113,'[1]Définition Maintenances'!$K:$K,0)),BG113,INDEX('[1]Définition Maintenances'!$G:$G,MATCH($A113,'[1]Définition Maintenances'!$K:$K,0))+BG113),BG113))</f>
        <v>671</v>
      </c>
      <c r="BI113" s="26">
        <f>IF(ISNUMBER(VLOOKUP($D113,'Visu totale'!$D:$DH,BI$1,0)),BH113-VLOOKUP($D113,'Visu totale'!$D:$DH,BI$1,0),IF(LEFT(VLOOKUP($D113,'Visu totale'!$D:$DH,BI$1,0),1)="V",IF(BH113&gt;=INDEX('[1]Définition Maintenances'!$G:$G,MATCH($A113,'[1]Définition Maintenances'!$K:$K,0)),BH113,INDEX('[1]Définition Maintenances'!$G:$G,MATCH($A113,'[1]Définition Maintenances'!$K:$K,0))+BH113),BH113))</f>
        <v>671</v>
      </c>
      <c r="BJ113" s="26">
        <f>IF(ISNUMBER(VLOOKUP($D113,'Visu totale'!$D:$DH,BJ$1,0)),BI113-VLOOKUP($D113,'Visu totale'!$D:$DH,BJ$1,0),IF(LEFT(VLOOKUP($D113,'Visu totale'!$D:$DH,BJ$1,0),1)="V",IF(BI113&gt;=INDEX('[1]Définition Maintenances'!$G:$G,MATCH($A113,'[1]Définition Maintenances'!$K:$K,0)),BI113,INDEX('[1]Définition Maintenances'!$G:$G,MATCH($A113,'[1]Définition Maintenances'!$K:$K,0))+BI113),BI113))</f>
        <v>671</v>
      </c>
      <c r="BK113" s="26">
        <f>IF(ISNUMBER(VLOOKUP($D113,'Visu totale'!$D:$DH,BK$1,0)),BJ113-VLOOKUP($D113,'Visu totale'!$D:$DH,BK$1,0),IF(LEFT(VLOOKUP($D113,'Visu totale'!$D:$DH,BK$1,0),1)="V",IF(BJ113&gt;=INDEX('[1]Définition Maintenances'!$G:$G,MATCH($A113,'[1]Définition Maintenances'!$K:$K,0)),BJ113,INDEX('[1]Définition Maintenances'!$G:$G,MATCH($A113,'[1]Définition Maintenances'!$K:$K,0))+BJ113),BJ113))</f>
        <v>671</v>
      </c>
      <c r="BL113" s="26">
        <f>IF(ISNUMBER(VLOOKUP($D113,'Visu totale'!$D:$DH,BL$1,0)),BK113-VLOOKUP($D113,'Visu totale'!$D:$DH,BL$1,0),IF(LEFT(VLOOKUP($D113,'Visu totale'!$D:$DH,BL$1,0),1)="V",IF(BK113&gt;=INDEX('[1]Définition Maintenances'!$G:$G,MATCH($A113,'[1]Définition Maintenances'!$K:$K,0)),BK113,INDEX('[1]Définition Maintenances'!$G:$G,MATCH($A113,'[1]Définition Maintenances'!$K:$K,0))+BK113),BK113))</f>
        <v>671</v>
      </c>
      <c r="BM113" s="27">
        <f>IF(ISNUMBER(VLOOKUP($D113,'Visu totale'!$D:$DH,BM$1,0)),BL113-VLOOKUP($D113,'Visu totale'!$D:$DH,BM$1,0),IF(LEFT(VLOOKUP($D113,'Visu totale'!$D:$DH,BM$1,0),1)="V",IF(BL113&gt;=INDEX('[1]Définition Maintenances'!$G:$G,MATCH($A113,'[1]Définition Maintenances'!$K:$K,0)),BL113,INDEX('[1]Définition Maintenances'!$G:$G,MATCH($A113,'[1]Définition Maintenances'!$K:$K,0))+BL113),BL113))</f>
        <v>671</v>
      </c>
      <c r="BN113" s="25">
        <f>IF(ISNUMBER(VLOOKUP($D113,'Visu totale'!$D:$DH,BN$1,0)),BM113-VLOOKUP($D113,'Visu totale'!$D:$DH,BN$1,0),IF(LEFT(VLOOKUP($D113,'Visu totale'!$D:$DH,BN$1,0),1)="V",IF(BM113&gt;=INDEX('[1]Définition Maintenances'!$G:$G,MATCH($A113,'[1]Définition Maintenances'!$K:$K,0)),BM113,INDEX('[1]Définition Maintenances'!$G:$G,MATCH($A113,'[1]Définition Maintenances'!$K:$K,0))+BM113),BM113))</f>
        <v>671</v>
      </c>
      <c r="BO113" s="26">
        <f>IF(ISNUMBER(VLOOKUP($D113,'Visu totale'!$D:$DH,BO$1,0)),BN113-VLOOKUP($D113,'Visu totale'!$D:$DH,BO$1,0),IF(LEFT(VLOOKUP($D113,'Visu totale'!$D:$DH,BO$1,0),1)="V",IF(BN113&gt;=INDEX('[1]Définition Maintenances'!$G:$G,MATCH($A113,'[1]Définition Maintenances'!$K:$K,0)),BN113,INDEX('[1]Définition Maintenances'!$G:$G,MATCH($A113,'[1]Définition Maintenances'!$K:$K,0))+BN113),BN113))</f>
        <v>671</v>
      </c>
      <c r="BP113" s="26">
        <f>IF(ISNUMBER(VLOOKUP($D113,'Visu totale'!$D:$DH,BP$1,0)),BO113-VLOOKUP($D113,'Visu totale'!$D:$DH,BP$1,0),IF(LEFT(VLOOKUP($D113,'Visu totale'!$D:$DH,BP$1,0),1)="V",IF(BO113&gt;=INDEX('[1]Définition Maintenances'!$G:$G,MATCH($A113,'[1]Définition Maintenances'!$K:$K,0)),BO113,INDEX('[1]Définition Maintenances'!$G:$G,MATCH($A113,'[1]Définition Maintenances'!$K:$K,0))+BO113),BO113))</f>
        <v>671</v>
      </c>
      <c r="BQ113" s="26">
        <f>IF(ISNUMBER(VLOOKUP($D113,'Visu totale'!$D:$DH,BQ$1,0)),BP113-VLOOKUP($D113,'Visu totale'!$D:$DH,BQ$1,0),IF(LEFT(VLOOKUP($D113,'Visu totale'!$D:$DH,BQ$1,0),1)="V",IF(BP113&gt;=INDEX('[1]Définition Maintenances'!$G:$G,MATCH($A113,'[1]Définition Maintenances'!$K:$K,0)),BP113,INDEX('[1]Définition Maintenances'!$G:$G,MATCH($A113,'[1]Définition Maintenances'!$K:$K,0))+BP113),BP113))</f>
        <v>671</v>
      </c>
      <c r="BR113" s="26">
        <f>IF(ISNUMBER(VLOOKUP($D113,'Visu totale'!$D:$DH,BR$1,0)),BQ113-VLOOKUP($D113,'Visu totale'!$D:$DH,BR$1,0),IF(LEFT(VLOOKUP($D113,'Visu totale'!$D:$DH,BR$1,0),1)="V",IF(BQ113&gt;=INDEX('[1]Définition Maintenances'!$G:$G,MATCH($A113,'[1]Définition Maintenances'!$K:$K,0)),BQ113,INDEX('[1]Définition Maintenances'!$G:$G,MATCH($A113,'[1]Définition Maintenances'!$K:$K,0))+BQ113),BQ113))</f>
        <v>671</v>
      </c>
      <c r="BS113" s="26">
        <f>IF(ISNUMBER(VLOOKUP($D113,'Visu totale'!$D:$DH,BS$1,0)),BR113-VLOOKUP($D113,'Visu totale'!$D:$DH,BS$1,0),IF(LEFT(VLOOKUP($D113,'Visu totale'!$D:$DH,BS$1,0),1)="V",IF(BR113&gt;=INDEX('[1]Définition Maintenances'!$G:$G,MATCH($A113,'[1]Définition Maintenances'!$K:$K,0)),BR113,INDEX('[1]Définition Maintenances'!$G:$G,MATCH($A113,'[1]Définition Maintenances'!$K:$K,0))+BR113),BR113))</f>
        <v>671</v>
      </c>
      <c r="BT113" s="26">
        <f>IF(ISNUMBER(VLOOKUP($D113,'Visu totale'!$D:$DH,BT$1,0)),BS113-VLOOKUP($D113,'Visu totale'!$D:$DH,BT$1,0),IF(LEFT(VLOOKUP($D113,'Visu totale'!$D:$DH,BT$1,0),1)="V",IF(BS113&gt;=INDEX('[1]Définition Maintenances'!$G:$G,MATCH($A113,'[1]Définition Maintenances'!$K:$K,0)),BS113,INDEX('[1]Définition Maintenances'!$G:$G,MATCH($A113,'[1]Définition Maintenances'!$K:$K,0))+BS113),BS113))</f>
        <v>671</v>
      </c>
      <c r="BU113" s="26">
        <f>IF(ISNUMBER(VLOOKUP($D113,'Visu totale'!$D:$DH,BU$1,0)),BT113-VLOOKUP($D113,'Visu totale'!$D:$DH,BU$1,0),IF(LEFT(VLOOKUP($D113,'Visu totale'!$D:$DH,BU$1,0),1)="V",IF(BT113&gt;=INDEX('[1]Définition Maintenances'!$G:$G,MATCH($A113,'[1]Définition Maintenances'!$K:$K,0)),BT113,INDEX('[1]Définition Maintenances'!$G:$G,MATCH($A113,'[1]Définition Maintenances'!$K:$K,0))+BT113),BT113))</f>
        <v>671</v>
      </c>
      <c r="BV113" s="26">
        <f>IF(ISNUMBER(VLOOKUP($D113,'Visu totale'!$D:$DH,BV$1,0)),BU113-VLOOKUP($D113,'Visu totale'!$D:$DH,BV$1,0),IF(LEFT(VLOOKUP($D113,'Visu totale'!$D:$DH,BV$1,0),1)="V",IF(BU113&gt;=INDEX('[1]Définition Maintenances'!$G:$G,MATCH($A113,'[1]Définition Maintenances'!$K:$K,0)),BU113,INDEX('[1]Définition Maintenances'!$G:$G,MATCH($A113,'[1]Définition Maintenances'!$K:$K,0))+BU113),BU113))</f>
        <v>671</v>
      </c>
      <c r="BW113" s="26">
        <f>IF(ISNUMBER(VLOOKUP($D113,'Visu totale'!$D:$DH,BW$1,0)),BV113-VLOOKUP($D113,'Visu totale'!$D:$DH,BW$1,0),IF(LEFT(VLOOKUP($D113,'Visu totale'!$D:$DH,BW$1,0),1)="V",IF(BV113&gt;=INDEX('[1]Définition Maintenances'!$G:$G,MATCH($A113,'[1]Définition Maintenances'!$K:$K,0)),BV113,INDEX('[1]Définition Maintenances'!$G:$G,MATCH($A113,'[1]Définition Maintenances'!$K:$K,0))+BV113),BV113))</f>
        <v>671</v>
      </c>
      <c r="BX113" s="26">
        <f>IF(ISNUMBER(VLOOKUP($D113,'Visu totale'!$D:$DH,BX$1,0)),BW113-VLOOKUP($D113,'Visu totale'!$D:$DH,BX$1,0),IF(LEFT(VLOOKUP($D113,'Visu totale'!$D:$DH,BX$1,0),1)="V",IF(BW113&gt;=INDEX('[1]Définition Maintenances'!$G:$G,MATCH($A113,'[1]Définition Maintenances'!$K:$K,0)),BW113,INDEX('[1]Définition Maintenances'!$G:$G,MATCH($A113,'[1]Définition Maintenances'!$K:$K,0))+BW113),BW113))</f>
        <v>671</v>
      </c>
      <c r="BY113" s="27">
        <f>IF(ISNUMBER(VLOOKUP($D113,'Visu totale'!$D:$DH,BY$1,0)),BX113-VLOOKUP($D113,'Visu totale'!$D:$DH,BY$1,0),IF(LEFT(VLOOKUP($D113,'Visu totale'!$D:$DH,BY$1,0),1)="V",IF(BX113&gt;=INDEX('[1]Définition Maintenances'!$G:$G,MATCH($A113,'[1]Définition Maintenances'!$K:$K,0)),BX113,INDEX('[1]Définition Maintenances'!$G:$G,MATCH($A113,'[1]Définition Maintenances'!$K:$K,0))+BX113),BX113))</f>
        <v>671</v>
      </c>
      <c r="BZ113" s="25">
        <f>IF(ISNUMBER(VLOOKUP($D113,'Visu totale'!$D:$DH,BZ$1,0)),BY113-VLOOKUP($D113,'Visu totale'!$D:$DH,BZ$1,0),IF(LEFT(VLOOKUP($D113,'Visu totale'!$D:$DH,BZ$1,0),1)="V",IF(BY113&gt;=INDEX('[1]Définition Maintenances'!$G:$G,MATCH($A113,'[1]Définition Maintenances'!$K:$K,0)),BY113,INDEX('[1]Définition Maintenances'!$G:$G,MATCH($A113,'[1]Définition Maintenances'!$K:$K,0))+BY113),BY113))</f>
        <v>671</v>
      </c>
      <c r="CA113" s="26">
        <f>IF(ISNUMBER(VLOOKUP($D113,'Visu totale'!$D:$DH,CA$1,0)),BZ113-VLOOKUP($D113,'Visu totale'!$D:$DH,CA$1,0),IF(LEFT(VLOOKUP($D113,'Visu totale'!$D:$DH,CA$1,0),1)="V",IF(BZ113&gt;=INDEX('[1]Définition Maintenances'!$G:$G,MATCH($A113,'[1]Définition Maintenances'!$K:$K,0)),BZ113,INDEX('[1]Définition Maintenances'!$G:$G,MATCH($A113,'[1]Définition Maintenances'!$K:$K,0))+BZ113),BZ113))</f>
        <v>671</v>
      </c>
      <c r="CB113" s="26">
        <f>IF(ISNUMBER(VLOOKUP($D113,'Visu totale'!$D:$DH,CB$1,0)),CA113-VLOOKUP($D113,'Visu totale'!$D:$DH,CB$1,0),IF(LEFT(VLOOKUP($D113,'Visu totale'!$D:$DH,CB$1,0),1)="V",IF(CA113&gt;=INDEX('[1]Définition Maintenances'!$G:$G,MATCH($A113,'[1]Définition Maintenances'!$K:$K,0)),CA113,INDEX('[1]Définition Maintenances'!$G:$G,MATCH($A113,'[1]Définition Maintenances'!$K:$K,0))+CA113),CA113))</f>
        <v>671</v>
      </c>
      <c r="CC113" s="26">
        <f>IF(ISNUMBER(VLOOKUP($D113,'Visu totale'!$D:$DH,CC$1,0)),CB113-VLOOKUP($D113,'Visu totale'!$D:$DH,CC$1,0),IF(LEFT(VLOOKUP($D113,'Visu totale'!$D:$DH,CC$1,0),1)="V",IF(CB113&gt;=INDEX('[1]Définition Maintenances'!$G:$G,MATCH($A113,'[1]Définition Maintenances'!$K:$K,0)),CB113,INDEX('[1]Définition Maintenances'!$G:$G,MATCH($A113,'[1]Définition Maintenances'!$K:$K,0))+CB113),CB113))</f>
        <v>671</v>
      </c>
      <c r="CD113" s="26">
        <f>IF(ISNUMBER(VLOOKUP($D113,'Visu totale'!$D:$DH,CD$1,0)),CC113-VLOOKUP($D113,'Visu totale'!$D:$DH,CD$1,0),IF(LEFT(VLOOKUP($D113,'Visu totale'!$D:$DH,CD$1,0),1)="V",IF(CC113&gt;=INDEX('[1]Définition Maintenances'!$G:$G,MATCH($A113,'[1]Définition Maintenances'!$K:$K,0)),CC113,INDEX('[1]Définition Maintenances'!$G:$G,MATCH($A113,'[1]Définition Maintenances'!$K:$K,0))+CC113),CC113))</f>
        <v>671</v>
      </c>
      <c r="CE113" s="26">
        <f>IF(ISNUMBER(VLOOKUP($D113,'Visu totale'!$D:$DH,CE$1,0)),CD113-VLOOKUP($D113,'Visu totale'!$D:$DH,CE$1,0),IF(LEFT(VLOOKUP($D113,'Visu totale'!$D:$DH,CE$1,0),1)="V",IF(CD113&gt;=INDEX('[1]Définition Maintenances'!$G:$G,MATCH($A113,'[1]Définition Maintenances'!$K:$K,0)),CD113,INDEX('[1]Définition Maintenances'!$G:$G,MATCH($A113,'[1]Définition Maintenances'!$K:$K,0))+CD113),CD113))</f>
        <v>671</v>
      </c>
      <c r="CF113" s="26">
        <f>IF(ISNUMBER(VLOOKUP($D113,'Visu totale'!$D:$DH,CF$1,0)),CE113-VLOOKUP($D113,'Visu totale'!$D:$DH,CF$1,0),IF(LEFT(VLOOKUP($D113,'Visu totale'!$D:$DH,CF$1,0),1)="V",IF(CE113&gt;=INDEX('[1]Définition Maintenances'!$G:$G,MATCH($A113,'[1]Définition Maintenances'!$K:$K,0)),CE113,INDEX('[1]Définition Maintenances'!$G:$G,MATCH($A113,'[1]Définition Maintenances'!$K:$K,0))+CE113),CE113))</f>
        <v>671</v>
      </c>
      <c r="CG113" s="26">
        <f>IF(ISNUMBER(VLOOKUP($D113,'Visu totale'!$D:$DH,CG$1,0)),CF113-VLOOKUP($D113,'Visu totale'!$D:$DH,CG$1,0),IF(LEFT(VLOOKUP($D113,'Visu totale'!$D:$DH,CG$1,0),1)="V",IF(CF113&gt;=INDEX('[1]Définition Maintenances'!$G:$G,MATCH($A113,'[1]Définition Maintenances'!$K:$K,0)),CF113,INDEX('[1]Définition Maintenances'!$G:$G,MATCH($A113,'[1]Définition Maintenances'!$K:$K,0))+CF113),CF113))</f>
        <v>671</v>
      </c>
      <c r="CH113" s="26">
        <f>IF(ISNUMBER(VLOOKUP($D113,'Visu totale'!$D:$DH,CH$1,0)),CG113-VLOOKUP($D113,'Visu totale'!$D:$DH,CH$1,0),IF(LEFT(VLOOKUP($D113,'Visu totale'!$D:$DH,CH$1,0),1)="V",IF(CG113&gt;=INDEX('[1]Définition Maintenances'!$G:$G,MATCH($A113,'[1]Définition Maintenances'!$K:$K,0)),CG113,INDEX('[1]Définition Maintenances'!$G:$G,MATCH($A113,'[1]Définition Maintenances'!$K:$K,0))+CG113),CG113))</f>
        <v>671</v>
      </c>
      <c r="CI113" s="26">
        <f>IF(ISNUMBER(VLOOKUP($D113,'Visu totale'!$D:$DH,CI$1,0)),CH113-VLOOKUP($D113,'Visu totale'!$D:$DH,CI$1,0),IF(LEFT(VLOOKUP($D113,'Visu totale'!$D:$DH,CI$1,0),1)="V",IF(CH113&gt;=INDEX('[1]Définition Maintenances'!$G:$G,MATCH($A113,'[1]Définition Maintenances'!$K:$K,0)),CH113,INDEX('[1]Définition Maintenances'!$G:$G,MATCH($A113,'[1]Définition Maintenances'!$K:$K,0))+CH113),CH113))</f>
        <v>671</v>
      </c>
      <c r="CJ113" s="26">
        <f>IF(ISNUMBER(VLOOKUP($D113,'Visu totale'!$D:$DH,CJ$1,0)),CI113-VLOOKUP($D113,'Visu totale'!$D:$DH,CJ$1,0),IF(LEFT(VLOOKUP($D113,'Visu totale'!$D:$DH,CJ$1,0),1)="V",IF(CI113&gt;=INDEX('[1]Définition Maintenances'!$G:$G,MATCH($A113,'[1]Définition Maintenances'!$K:$K,0)),CI113,INDEX('[1]Définition Maintenances'!$G:$G,MATCH($A113,'[1]Définition Maintenances'!$K:$K,0))+CI113),CI113))</f>
        <v>671</v>
      </c>
      <c r="CK113" s="27">
        <f>IF(ISNUMBER(VLOOKUP($D113,'Visu totale'!$D:$DH,CK$1,0)),CJ113-VLOOKUP($D113,'Visu totale'!$D:$DH,CK$1,0),IF(LEFT(VLOOKUP($D113,'Visu totale'!$D:$DH,CK$1,0),1)="V",IF(CJ113&gt;=INDEX('[1]Définition Maintenances'!$G:$G,MATCH($A113,'[1]Définition Maintenances'!$K:$K,0)),CJ113,INDEX('[1]Définition Maintenances'!$G:$G,MATCH($A113,'[1]Définition Maintenances'!$K:$K,0))+CJ113),CJ113))</f>
        <v>671</v>
      </c>
      <c r="CL113" s="25">
        <f>IF(ISNUMBER(VLOOKUP($D113,'Visu totale'!$D:$DH,CL$1,0)),CK113-VLOOKUP($D113,'Visu totale'!$D:$DH,CL$1,0),IF(LEFT(VLOOKUP($D113,'Visu totale'!$D:$DH,CL$1,0),1)="V",IF(CK113&gt;=INDEX('[1]Définition Maintenances'!$G:$G,MATCH($A113,'[1]Définition Maintenances'!$K:$K,0)),CK113,INDEX('[1]Définition Maintenances'!$G:$G,MATCH($A113,'[1]Définition Maintenances'!$K:$K,0))+CK113),CK113))</f>
        <v>671</v>
      </c>
      <c r="CM113" s="26">
        <f>IF(ISNUMBER(VLOOKUP($D113,'Visu totale'!$D:$DH,CM$1,0)),CL113-VLOOKUP($D113,'Visu totale'!$D:$DH,CM$1,0),IF(LEFT(VLOOKUP($D113,'Visu totale'!$D:$DH,CM$1,0),1)="V",IF(CL113&gt;=INDEX('[1]Définition Maintenances'!$G:$G,MATCH($A113,'[1]Définition Maintenances'!$K:$K,0)),CL113,INDEX('[1]Définition Maintenances'!$G:$G,MATCH($A113,'[1]Définition Maintenances'!$K:$K,0))+CL113),CL113))</f>
        <v>671</v>
      </c>
      <c r="CN113" s="26">
        <f>IF(ISNUMBER(VLOOKUP($D113,'Visu totale'!$D:$DH,CN$1,0)),CM113-VLOOKUP($D113,'Visu totale'!$D:$DH,CN$1,0),IF(LEFT(VLOOKUP($D113,'Visu totale'!$D:$DH,CN$1,0),1)="V",IF(CM113&gt;=INDEX('[1]Définition Maintenances'!$G:$G,MATCH($A113,'[1]Définition Maintenances'!$K:$K,0)),CM113,INDEX('[1]Définition Maintenances'!$G:$G,MATCH($A113,'[1]Définition Maintenances'!$K:$K,0))+CM113),CM113))</f>
        <v>671</v>
      </c>
      <c r="CO113" s="26">
        <f>IF(ISNUMBER(VLOOKUP($D113,'Visu totale'!$D:$DH,CO$1,0)),CN113-VLOOKUP($D113,'Visu totale'!$D:$DH,CO$1,0),IF(LEFT(VLOOKUP($D113,'Visu totale'!$D:$DH,CO$1,0),1)="V",IF(CN113&gt;=INDEX('[1]Définition Maintenances'!$G:$G,MATCH($A113,'[1]Définition Maintenances'!$K:$K,0)),CN113,INDEX('[1]Définition Maintenances'!$G:$G,MATCH($A113,'[1]Définition Maintenances'!$K:$K,0))+CN113),CN113))</f>
        <v>671</v>
      </c>
      <c r="CP113" s="26">
        <f>IF(ISNUMBER(VLOOKUP($D113,'Visu totale'!$D:$DH,CP$1,0)),CO113-VLOOKUP($D113,'Visu totale'!$D:$DH,CP$1,0),IF(LEFT(VLOOKUP($D113,'Visu totale'!$D:$DH,CP$1,0),1)="V",IF(CO113&gt;=INDEX('[1]Définition Maintenances'!$G:$G,MATCH($A113,'[1]Définition Maintenances'!$K:$K,0)),CO113,INDEX('[1]Définition Maintenances'!$G:$G,MATCH($A113,'[1]Définition Maintenances'!$K:$K,0))+CO113),CO113))</f>
        <v>671</v>
      </c>
      <c r="CQ113" s="26">
        <f>IF(ISNUMBER(VLOOKUP($D113,'Visu totale'!$D:$DH,CQ$1,0)),CP113-VLOOKUP($D113,'Visu totale'!$D:$DH,CQ$1,0),IF(LEFT(VLOOKUP($D113,'Visu totale'!$D:$DH,CQ$1,0),1)="V",IF(CP113&gt;=INDEX('[1]Définition Maintenances'!$G:$G,MATCH($A113,'[1]Définition Maintenances'!$K:$K,0)),CP113,INDEX('[1]Définition Maintenances'!$G:$G,MATCH($A113,'[1]Définition Maintenances'!$K:$K,0))+CP113),CP113))</f>
        <v>671</v>
      </c>
      <c r="CR113" s="26">
        <f>IF(ISNUMBER(VLOOKUP($D113,'Visu totale'!$D:$DH,CR$1,0)),CQ113-VLOOKUP($D113,'Visu totale'!$D:$DH,CR$1,0),IF(LEFT(VLOOKUP($D113,'Visu totale'!$D:$DH,CR$1,0),1)="V",IF(CQ113&gt;=INDEX('[1]Définition Maintenances'!$G:$G,MATCH($A113,'[1]Définition Maintenances'!$K:$K,0)),CQ113,INDEX('[1]Définition Maintenances'!$G:$G,MATCH($A113,'[1]Définition Maintenances'!$K:$K,0))+CQ113),CQ113))</f>
        <v>671</v>
      </c>
      <c r="CS113" s="26">
        <f>IF(ISNUMBER(VLOOKUP($D113,'Visu totale'!$D:$DH,CS$1,0)),CR113-VLOOKUP($D113,'Visu totale'!$D:$DH,CS$1,0),IF(LEFT(VLOOKUP($D113,'Visu totale'!$D:$DH,CS$1,0),1)="V",IF(CR113&gt;=INDEX('[1]Définition Maintenances'!$G:$G,MATCH($A113,'[1]Définition Maintenances'!$K:$K,0)),CR113,INDEX('[1]Définition Maintenances'!$G:$G,MATCH($A113,'[1]Définition Maintenances'!$K:$K,0))+CR113),CR113))</f>
        <v>671</v>
      </c>
      <c r="CT113" s="26">
        <f>IF(ISNUMBER(VLOOKUP($D113,'Visu totale'!$D:$DH,CT$1,0)),CS113-VLOOKUP($D113,'Visu totale'!$D:$DH,CT$1,0),IF(LEFT(VLOOKUP($D113,'Visu totale'!$D:$DH,CT$1,0),1)="V",IF(CS113&gt;=INDEX('[1]Définition Maintenances'!$G:$G,MATCH($A113,'[1]Définition Maintenances'!$K:$K,0)),CS113,INDEX('[1]Définition Maintenances'!$G:$G,MATCH($A113,'[1]Définition Maintenances'!$K:$K,0))+CS113),CS113))</f>
        <v>671</v>
      </c>
      <c r="CU113" s="26">
        <f>IF(ISNUMBER(VLOOKUP($D113,'Visu totale'!$D:$DH,CU$1,0)),CT113-VLOOKUP($D113,'Visu totale'!$D:$DH,CU$1,0),IF(LEFT(VLOOKUP($D113,'Visu totale'!$D:$DH,CU$1,0),1)="V",IF(CT113&gt;=INDEX('[1]Définition Maintenances'!$G:$G,MATCH($A113,'[1]Définition Maintenances'!$K:$K,0)),CT113,INDEX('[1]Définition Maintenances'!$G:$G,MATCH($A113,'[1]Définition Maintenances'!$K:$K,0))+CT113),CT113))</f>
        <v>671</v>
      </c>
      <c r="CV113" s="26">
        <f>IF(ISNUMBER(VLOOKUP($D113,'Visu totale'!$D:$DH,CV$1,0)),CU113-VLOOKUP($D113,'Visu totale'!$D:$DH,CV$1,0),IF(LEFT(VLOOKUP($D113,'Visu totale'!$D:$DH,CV$1,0),1)="V",IF(CU113&gt;=INDEX('[1]Définition Maintenances'!$G:$G,MATCH($A113,'[1]Définition Maintenances'!$K:$K,0)),CU113,INDEX('[1]Définition Maintenances'!$G:$G,MATCH($A113,'[1]Définition Maintenances'!$K:$K,0))+CU113),CU113))</f>
        <v>671</v>
      </c>
      <c r="CW113" s="27">
        <f>IF(ISNUMBER(VLOOKUP($D113,'Visu totale'!$D:$DH,CW$1,0)),CV113-VLOOKUP($D113,'Visu totale'!$D:$DH,CW$1,0),IF(LEFT(VLOOKUP($D113,'Visu totale'!$D:$DH,CW$1,0),1)="V",IF(CV113&gt;=INDEX('[1]Définition Maintenances'!$G:$G,MATCH($A113,'[1]Définition Maintenances'!$K:$K,0)),CV113,INDEX('[1]Définition Maintenances'!$G:$G,MATCH($A113,'[1]Définition Maintenances'!$K:$K,0))+CV113),CV113))</f>
        <v>671</v>
      </c>
      <c r="CX113" s="25">
        <f>IF(ISNUMBER(VLOOKUP($D113,'Visu totale'!$D:$DH,CX$1,0)),CW113-VLOOKUP($D113,'Visu totale'!$D:$DH,CX$1,0),IF(LEFT(VLOOKUP($D113,'Visu totale'!$D:$DH,CX$1,0),1)="V",IF(CW113&gt;=INDEX('[1]Définition Maintenances'!$G:$G,MATCH($A113,'[1]Définition Maintenances'!$K:$K,0)),CW113,INDEX('[1]Définition Maintenances'!$G:$G,MATCH($A113,'[1]Définition Maintenances'!$K:$K,0))+CW113),CW113))</f>
        <v>671</v>
      </c>
      <c r="CY113" s="26">
        <f>IF(ISNUMBER(VLOOKUP($D113,'Visu totale'!$D:$DH,CY$1,0)),CX113-VLOOKUP($D113,'Visu totale'!$D:$DH,CY$1,0),IF(LEFT(VLOOKUP($D113,'Visu totale'!$D:$DH,CY$1,0),1)="V",IF(CX113&gt;=INDEX('[1]Définition Maintenances'!$G:$G,MATCH($A113,'[1]Définition Maintenances'!$K:$K,0)),CX113,INDEX('[1]Définition Maintenances'!$G:$G,MATCH($A113,'[1]Définition Maintenances'!$K:$K,0))+CX113),CX113))</f>
        <v>671</v>
      </c>
      <c r="CZ113" s="26">
        <f>IF(ISNUMBER(VLOOKUP($D113,'Visu totale'!$D:$DH,CZ$1,0)),CY113-VLOOKUP($D113,'Visu totale'!$D:$DH,CZ$1,0),IF(LEFT(VLOOKUP($D113,'Visu totale'!$D:$DH,CZ$1,0),1)="V",IF(CY113&gt;=INDEX('[1]Définition Maintenances'!$G:$G,MATCH($A113,'[1]Définition Maintenances'!$K:$K,0)),CY113,INDEX('[1]Définition Maintenances'!$G:$G,MATCH($A113,'[1]Définition Maintenances'!$K:$K,0))+CY113),CY113))</f>
        <v>671</v>
      </c>
      <c r="DA113" s="26">
        <f>IF(ISNUMBER(VLOOKUP($D113,'Visu totale'!$D:$DH,DA$1,0)),CZ113-VLOOKUP($D113,'Visu totale'!$D:$DH,DA$1,0),IF(LEFT(VLOOKUP($D113,'Visu totale'!$D:$DH,DA$1,0),1)="V",IF(CZ113&gt;=INDEX('[1]Définition Maintenances'!$G:$G,MATCH($A113,'[1]Définition Maintenances'!$K:$K,0)),CZ113,INDEX('[1]Définition Maintenances'!$G:$G,MATCH($A113,'[1]Définition Maintenances'!$K:$K,0))+CZ113),CZ113))</f>
        <v>671</v>
      </c>
      <c r="DB113" s="26">
        <f>IF(ISNUMBER(VLOOKUP($D113,'Visu totale'!$D:$DH,DB$1,0)),DA113-VLOOKUP($D113,'Visu totale'!$D:$DH,DB$1,0),IF(LEFT(VLOOKUP($D113,'Visu totale'!$D:$DH,DB$1,0),1)="V",IF(DA113&gt;=INDEX('[1]Définition Maintenances'!$G:$G,MATCH($A113,'[1]Définition Maintenances'!$K:$K,0)),DA113,INDEX('[1]Définition Maintenances'!$G:$G,MATCH($A113,'[1]Définition Maintenances'!$K:$K,0))+DA113),DA113))</f>
        <v>671</v>
      </c>
      <c r="DC113" s="26">
        <f>IF(ISNUMBER(VLOOKUP($D113,'Visu totale'!$D:$DH,DC$1,0)),DB113-VLOOKUP($D113,'Visu totale'!$D:$DH,DC$1,0),IF(LEFT(VLOOKUP($D113,'Visu totale'!$D:$DH,DC$1,0),1)="V",IF(DB113&gt;=INDEX('[1]Définition Maintenances'!$G:$G,MATCH($A113,'[1]Définition Maintenances'!$K:$K,0)),DB113,INDEX('[1]Définition Maintenances'!$G:$G,MATCH($A113,'[1]Définition Maintenances'!$K:$K,0))+DB113),DB113))</f>
        <v>671</v>
      </c>
      <c r="DD113" s="26">
        <f>IF(ISNUMBER(VLOOKUP($D113,'Visu totale'!$D:$DH,DD$1,0)),DC113-VLOOKUP($D113,'Visu totale'!$D:$DH,DD$1,0),IF(LEFT(VLOOKUP($D113,'Visu totale'!$D:$DH,DD$1,0),1)="V",IF(DC113&gt;=INDEX('[1]Définition Maintenances'!$G:$G,MATCH($A113,'[1]Définition Maintenances'!$K:$K,0)),DC113,INDEX('[1]Définition Maintenances'!$G:$G,MATCH($A113,'[1]Définition Maintenances'!$K:$K,0))+DC113),DC113))</f>
        <v>671</v>
      </c>
      <c r="DE113" s="26">
        <f>IF(ISNUMBER(VLOOKUP($D113,'Visu totale'!$D:$DH,DE$1,0)),DD113-VLOOKUP($D113,'Visu totale'!$D:$DH,DE$1,0),IF(LEFT(VLOOKUP($D113,'Visu totale'!$D:$DH,DE$1,0),1)="V",IF(DD113&gt;=INDEX('[1]Définition Maintenances'!$G:$G,MATCH($A113,'[1]Définition Maintenances'!$K:$K,0)),DD113,INDEX('[1]Définition Maintenances'!$G:$G,MATCH($A113,'[1]Définition Maintenances'!$K:$K,0))+DD113),DD113))</f>
        <v>671</v>
      </c>
      <c r="DF113" s="26">
        <f>IF(ISNUMBER(VLOOKUP($D113,'Visu totale'!$D:$DH,DF$1,0)),DE113-VLOOKUP($D113,'Visu totale'!$D:$DH,DF$1,0),IF(LEFT(VLOOKUP($D113,'Visu totale'!$D:$DH,DF$1,0),1)="V",IF(DE113&gt;=INDEX('[1]Définition Maintenances'!$G:$G,MATCH($A113,'[1]Définition Maintenances'!$K:$K,0)),DE113,INDEX('[1]Définition Maintenances'!$G:$G,MATCH($A113,'[1]Définition Maintenances'!$K:$K,0))+DE113),DE113))</f>
        <v>671</v>
      </c>
      <c r="DG113" s="26">
        <f>IF(ISNUMBER(VLOOKUP($D113,'Visu totale'!$D:$DH,DG$1,0)),DF113-VLOOKUP($D113,'Visu totale'!$D:$DH,DG$1,0),IF(LEFT(VLOOKUP($D113,'Visu totale'!$D:$DH,DG$1,0),1)="V",IF(DF113&gt;=INDEX('[1]Définition Maintenances'!$G:$G,MATCH($A113,'[1]Définition Maintenances'!$K:$K,0)),DF113,INDEX('[1]Définition Maintenances'!$G:$G,MATCH($A113,'[1]Définition Maintenances'!$K:$K,0))+DF113),DF113))</f>
        <v>671</v>
      </c>
      <c r="DH113" s="26">
        <f>IF(ISNUMBER(VLOOKUP($D113,'Visu totale'!$D:$DH,DH$1,0)),DG113-VLOOKUP($D113,'Visu totale'!$D:$DH,DH$1,0),IF(LEFT(VLOOKUP($D113,'Visu totale'!$D:$DH,DH$1,0),1)="V",IF(DG113&gt;=INDEX('[1]Définition Maintenances'!$G:$G,MATCH($A113,'[1]Définition Maintenances'!$K:$K,0)),DG113,INDEX('[1]Définition Maintenances'!$G:$G,MATCH($A113,'[1]Définition Maintenances'!$K:$K,0))+DG113),DG113))</f>
        <v>671</v>
      </c>
      <c r="DI113" s="27">
        <f>IF(ISNUMBER(VLOOKUP($D113,'Visu totale'!$D:$DH,DI$1,0)),DH113-VLOOKUP($D113,'Visu totale'!$D:$DH,DI$1,0),IF(LEFT(VLOOKUP($D113,'Visu totale'!$D:$DH,DI$1,0),1)="V",IF(DH113&gt;=INDEX('[1]Définition Maintenances'!$G:$G,MATCH($A113,'[1]Définition Maintenances'!$K:$K,0)),DH113,INDEX('[1]Définition Maintenances'!$G:$G,MATCH($A113,'[1]Définition Maintenances'!$K:$K,0))+DH113),DH113))</f>
        <v>671</v>
      </c>
    </row>
    <row r="114" spans="1:113" x14ac:dyDescent="0.25">
      <c r="A114" s="13" t="str">
        <f t="shared" si="3"/>
        <v>V105</v>
      </c>
      <c r="B114" s="13" t="str">
        <f>VLOOKUP(D114,'[1]Avions (Potentiels)'!$B$2:$H$128,7,FALSE)</f>
        <v>V10</v>
      </c>
      <c r="C114" s="13"/>
      <c r="D114" s="16" t="s">
        <v>117</v>
      </c>
      <c r="E114" s="13">
        <f>IFERROR(VALUE(SUBSTITUTE(VLOOKUP(D114,'[1]Avions (Potentiels)'!$B:$E,4,0),".",",")),VALUE(VLOOKUP(D114,'[1]Avions (Potentiels)'!$B:$E,4,0)))</f>
        <v>278</v>
      </c>
      <c r="F114" s="25">
        <f>IF(ISNUMBER(VLOOKUP($D114,'Visu totale'!$D:$DH,F$1,0)),E114-VLOOKUP($D114,'Visu totale'!$D:$DH,F$1,0),IF(LEFT(VLOOKUP($D114,'Visu totale'!$D:$DH,F$1,0),1)="V",IF(E114&gt;=INDEX('[1]Définition Maintenances'!$G:$G,MATCH($A114,'[1]Définition Maintenances'!$K:$K,0)),E114,INDEX('[1]Définition Maintenances'!$G:$G,MATCH($A114,'[1]Définition Maintenances'!$K:$K,0))+E114),E114))</f>
        <v>278</v>
      </c>
      <c r="G114" s="26">
        <f>IF(ISNUMBER(VLOOKUP($D114,'Visu totale'!$D:$DH,G$1,0)),F114-VLOOKUP($D114,'Visu totale'!$D:$DH,G$1,0),IF(LEFT(VLOOKUP($D114,'Visu totale'!$D:$DH,G$1,0),1)="V",IF(F114&gt;=INDEX('[1]Définition Maintenances'!$G:$G,MATCH($A114,'[1]Définition Maintenances'!$K:$K,0)),F114,INDEX('[1]Définition Maintenances'!$G:$G,MATCH($A114,'[1]Définition Maintenances'!$K:$K,0))+F114),F114))</f>
        <v>278</v>
      </c>
      <c r="H114" s="26">
        <f>IF(ISNUMBER(VLOOKUP($D114,'Visu totale'!$D:$DH,H$1,0)),G114-VLOOKUP($D114,'Visu totale'!$D:$DH,H$1,0),IF(LEFT(VLOOKUP($D114,'Visu totale'!$D:$DH,H$1,0),1)="V",IF(G114&gt;=INDEX('[1]Définition Maintenances'!$G:$G,MATCH($A114,'[1]Définition Maintenances'!$K:$K,0)),G114,INDEX('[1]Définition Maintenances'!$G:$G,MATCH($A114,'[1]Définition Maintenances'!$K:$K,0))+G114),G114))</f>
        <v>278</v>
      </c>
      <c r="I114" s="26">
        <f>IF(ISNUMBER(VLOOKUP($D114,'Visu totale'!$D:$DH,I$1,0)),H114-VLOOKUP($D114,'Visu totale'!$D:$DH,I$1,0),IF(LEFT(VLOOKUP($D114,'Visu totale'!$D:$DH,I$1,0),1)="V",IF(H114&gt;=INDEX('[1]Définition Maintenances'!$G:$G,MATCH($A114,'[1]Définition Maintenances'!$K:$K,0)),H114,INDEX('[1]Définition Maintenances'!$G:$G,MATCH($A114,'[1]Définition Maintenances'!$K:$K,0))+H114),H114))</f>
        <v>278</v>
      </c>
      <c r="J114" s="26">
        <f>IF(ISNUMBER(VLOOKUP($D114,'Visu totale'!$D:$DH,J$1,0)),I114-VLOOKUP($D114,'Visu totale'!$D:$DH,J$1,0),IF(LEFT(VLOOKUP($D114,'Visu totale'!$D:$DH,J$1,0),1)="V",IF(I114&gt;=INDEX('[1]Définition Maintenances'!$G:$G,MATCH($A114,'[1]Définition Maintenances'!$K:$K,0)),I114,INDEX('[1]Définition Maintenances'!$G:$G,MATCH($A114,'[1]Définition Maintenances'!$K:$K,0))+I114),I114))</f>
        <v>278</v>
      </c>
      <c r="K114" s="26">
        <f>IF(ISNUMBER(VLOOKUP($D114,'Visu totale'!$D:$DH,K$1,0)),J114-VLOOKUP($D114,'Visu totale'!$D:$DH,K$1,0),IF(LEFT(VLOOKUP($D114,'Visu totale'!$D:$DH,K$1,0),1)="V",IF(J114&gt;=INDEX('[1]Définition Maintenances'!$G:$G,MATCH($A114,'[1]Définition Maintenances'!$K:$K,0)),J114,INDEX('[1]Définition Maintenances'!$G:$G,MATCH($A114,'[1]Définition Maintenances'!$K:$K,0))+J114),J114))</f>
        <v>278</v>
      </c>
      <c r="L114" s="26">
        <f>IF(ISNUMBER(VLOOKUP($D114,'Visu totale'!$D:$DH,L$1,0)),K114-VLOOKUP($D114,'Visu totale'!$D:$DH,L$1,0),IF(LEFT(VLOOKUP($D114,'Visu totale'!$D:$DH,L$1,0),1)="V",IF(K114&gt;=INDEX('[1]Définition Maintenances'!$G:$G,MATCH($A114,'[1]Définition Maintenances'!$K:$K,0)),K114,INDEX('[1]Définition Maintenances'!$G:$G,MATCH($A114,'[1]Définition Maintenances'!$K:$K,0))+K114),K114))</f>
        <v>278</v>
      </c>
      <c r="M114" s="26">
        <f>IF(ISNUMBER(VLOOKUP($D114,'Visu totale'!$D:$DH,M$1,0)),L114-VLOOKUP($D114,'Visu totale'!$D:$DH,M$1,0),IF(LEFT(VLOOKUP($D114,'Visu totale'!$D:$DH,M$1,0),1)="V",IF(L114&gt;=INDEX('[1]Définition Maintenances'!$G:$G,MATCH($A114,'[1]Définition Maintenances'!$K:$K,0)),L114,INDEX('[1]Définition Maintenances'!$G:$G,MATCH($A114,'[1]Définition Maintenances'!$K:$K,0))+L114),L114))</f>
        <v>278</v>
      </c>
      <c r="N114" s="26">
        <f>IF(ISNUMBER(VLOOKUP($D114,'Visu totale'!$D:$DH,N$1,0)),M114-VLOOKUP($D114,'Visu totale'!$D:$DH,N$1,0),IF(LEFT(VLOOKUP($D114,'Visu totale'!$D:$DH,N$1,0),1)="V",IF(M114&gt;=INDEX('[1]Définition Maintenances'!$G:$G,MATCH($A114,'[1]Définition Maintenances'!$K:$K,0)),M114,INDEX('[1]Définition Maintenances'!$G:$G,MATCH($A114,'[1]Définition Maintenances'!$K:$K,0))+M114),M114))</f>
        <v>278</v>
      </c>
      <c r="O114" s="26">
        <f>IF(ISNUMBER(VLOOKUP($D114,'Visu totale'!$D:$DH,O$1,0)),N114-VLOOKUP($D114,'Visu totale'!$D:$DH,O$1,0),IF(LEFT(VLOOKUP($D114,'Visu totale'!$D:$DH,O$1,0),1)="V",IF(N114&gt;=INDEX('[1]Définition Maintenances'!$G:$G,MATCH($A114,'[1]Définition Maintenances'!$K:$K,0)),N114,INDEX('[1]Définition Maintenances'!$G:$G,MATCH($A114,'[1]Définition Maintenances'!$K:$K,0))+N114),N114))</f>
        <v>278</v>
      </c>
      <c r="P114" s="26">
        <f>IF(ISNUMBER(VLOOKUP($D114,'Visu totale'!$D:$DH,P$1,0)),O114-VLOOKUP($D114,'Visu totale'!$D:$DH,P$1,0),IF(LEFT(VLOOKUP($D114,'Visu totale'!$D:$DH,P$1,0),1)="V",IF(O114&gt;=INDEX('[1]Définition Maintenances'!$G:$G,MATCH($A114,'[1]Définition Maintenances'!$K:$K,0)),O114,INDEX('[1]Définition Maintenances'!$G:$G,MATCH($A114,'[1]Définition Maintenances'!$K:$K,0))+O114),O114))</f>
        <v>278</v>
      </c>
      <c r="Q114" s="27">
        <f>IF(ISNUMBER(VLOOKUP($D114,'Visu totale'!$D:$DH,Q$1,0)),P114-VLOOKUP($D114,'Visu totale'!$D:$DH,Q$1,0),IF(LEFT(VLOOKUP($D114,'Visu totale'!$D:$DH,Q$1,0),1)="V",IF(P114&gt;=INDEX('[1]Définition Maintenances'!$G:$G,MATCH($A114,'[1]Définition Maintenances'!$K:$K,0)),P114,INDEX('[1]Définition Maintenances'!$G:$G,MATCH($A114,'[1]Définition Maintenances'!$K:$K,0))+P114),P114))</f>
        <v>278</v>
      </c>
      <c r="R114" s="25">
        <f>IF(ISNUMBER(VLOOKUP($D114,'Visu totale'!$D:$DH,R$1,0)),Q114-VLOOKUP($D114,'Visu totale'!$D:$DH,R$1,0),IF(LEFT(VLOOKUP($D114,'Visu totale'!$D:$DH,R$1,0),1)="V",IF(Q114&gt;=INDEX('[1]Définition Maintenances'!$G:$G,MATCH($A114,'[1]Définition Maintenances'!$K:$K,0)),Q114,INDEX('[1]Définition Maintenances'!$G:$G,MATCH($A114,'[1]Définition Maintenances'!$K:$K,0))+Q114),Q114))</f>
        <v>278</v>
      </c>
      <c r="S114" s="26">
        <f>IF(ISNUMBER(VLOOKUP($D114,'Visu totale'!$D:$DH,S$1,0)),R114-VLOOKUP($D114,'Visu totale'!$D:$DH,S$1,0),IF(LEFT(VLOOKUP($D114,'Visu totale'!$D:$DH,S$1,0),1)="V",IF(R114&gt;=INDEX('[1]Définition Maintenances'!$G:$G,MATCH($A114,'[1]Définition Maintenances'!$K:$K,0)),R114,INDEX('[1]Définition Maintenances'!$G:$G,MATCH($A114,'[1]Définition Maintenances'!$K:$K,0))+R114),R114))</f>
        <v>278</v>
      </c>
      <c r="T114" s="26">
        <f>IF(ISNUMBER(VLOOKUP($D114,'Visu totale'!$D:$DH,T$1,0)),S114-VLOOKUP($D114,'Visu totale'!$D:$DH,T$1,0),IF(LEFT(VLOOKUP($D114,'Visu totale'!$D:$DH,T$1,0),1)="V",IF(S114&gt;=INDEX('[1]Définition Maintenances'!$G:$G,MATCH($A114,'[1]Définition Maintenances'!$K:$K,0)),S114,INDEX('[1]Définition Maintenances'!$G:$G,MATCH($A114,'[1]Définition Maintenances'!$K:$K,0))+S114),S114))</f>
        <v>278</v>
      </c>
      <c r="U114" s="26">
        <f>IF(ISNUMBER(VLOOKUP($D114,'Visu totale'!$D:$DH,U$1,0)),T114-VLOOKUP($D114,'Visu totale'!$D:$DH,U$1,0),IF(LEFT(VLOOKUP($D114,'Visu totale'!$D:$DH,U$1,0),1)="V",IF(T114&gt;=INDEX('[1]Définition Maintenances'!$G:$G,MATCH($A114,'[1]Définition Maintenances'!$K:$K,0)),T114,INDEX('[1]Définition Maintenances'!$G:$G,MATCH($A114,'[1]Définition Maintenances'!$K:$K,0))+T114),T114))</f>
        <v>278</v>
      </c>
      <c r="V114" s="26">
        <f>IF(ISNUMBER(VLOOKUP($D114,'Visu totale'!$D:$DH,V$1,0)),U114-VLOOKUP($D114,'Visu totale'!$D:$DH,V$1,0),IF(LEFT(VLOOKUP($D114,'Visu totale'!$D:$DH,V$1,0),1)="V",IF(U114&gt;=INDEX('[1]Définition Maintenances'!$G:$G,MATCH($A114,'[1]Définition Maintenances'!$K:$K,0)),U114,INDEX('[1]Définition Maintenances'!$G:$G,MATCH($A114,'[1]Définition Maintenances'!$K:$K,0))+U114),U114))</f>
        <v>278</v>
      </c>
      <c r="W114" s="26">
        <f>IF(ISNUMBER(VLOOKUP($D114,'Visu totale'!$D:$DH,W$1,0)),V114-VLOOKUP($D114,'Visu totale'!$D:$DH,W$1,0),IF(LEFT(VLOOKUP($D114,'Visu totale'!$D:$DH,W$1,0),1)="V",IF(V114&gt;=INDEX('[1]Définition Maintenances'!$G:$G,MATCH($A114,'[1]Définition Maintenances'!$K:$K,0)),V114,INDEX('[1]Définition Maintenances'!$G:$G,MATCH($A114,'[1]Définition Maintenances'!$K:$K,0))+V114),V114))</f>
        <v>278</v>
      </c>
      <c r="X114" s="26">
        <f>IF(ISNUMBER(VLOOKUP($D114,'Visu totale'!$D:$DH,X$1,0)),W114-VLOOKUP($D114,'Visu totale'!$D:$DH,X$1,0),IF(LEFT(VLOOKUP($D114,'Visu totale'!$D:$DH,X$1,0),1)="V",IF(W114&gt;=INDEX('[1]Définition Maintenances'!$G:$G,MATCH($A114,'[1]Définition Maintenances'!$K:$K,0)),W114,INDEX('[1]Définition Maintenances'!$G:$G,MATCH($A114,'[1]Définition Maintenances'!$K:$K,0))+W114),W114))</f>
        <v>278</v>
      </c>
      <c r="Y114" s="26">
        <f>IF(ISNUMBER(VLOOKUP($D114,'Visu totale'!$D:$DH,Y$1,0)),X114-VLOOKUP($D114,'Visu totale'!$D:$DH,Y$1,0),IF(LEFT(VLOOKUP($D114,'Visu totale'!$D:$DH,Y$1,0),1)="V",IF(X114&gt;=INDEX('[1]Définition Maintenances'!$G:$G,MATCH($A114,'[1]Définition Maintenances'!$K:$K,0)),X114,INDEX('[1]Définition Maintenances'!$G:$G,MATCH($A114,'[1]Définition Maintenances'!$K:$K,0))+X114),X114))</f>
        <v>278</v>
      </c>
      <c r="Z114" s="26">
        <f>IF(ISNUMBER(VLOOKUP($D114,'Visu totale'!$D:$DH,Z$1,0)),Y114-VLOOKUP($D114,'Visu totale'!$D:$DH,Z$1,0),IF(LEFT(VLOOKUP($D114,'Visu totale'!$D:$DH,Z$1,0),1)="V",IF(Y114&gt;=INDEX('[1]Définition Maintenances'!$G:$G,MATCH($A114,'[1]Définition Maintenances'!$K:$K,0)),Y114,INDEX('[1]Définition Maintenances'!$G:$G,MATCH($A114,'[1]Définition Maintenances'!$K:$K,0))+Y114),Y114))</f>
        <v>278</v>
      </c>
      <c r="AA114" s="26">
        <f>IF(ISNUMBER(VLOOKUP($D114,'Visu totale'!$D:$DH,AA$1,0)),Z114-VLOOKUP($D114,'Visu totale'!$D:$DH,AA$1,0),IF(LEFT(VLOOKUP($D114,'Visu totale'!$D:$DH,AA$1,0),1)="V",IF(Z114&gt;=INDEX('[1]Définition Maintenances'!$G:$G,MATCH($A114,'[1]Définition Maintenances'!$K:$K,0)),Z114,INDEX('[1]Définition Maintenances'!$G:$G,MATCH($A114,'[1]Définition Maintenances'!$K:$K,0))+Z114),Z114))</f>
        <v>278</v>
      </c>
      <c r="AB114" s="26">
        <f>IF(ISNUMBER(VLOOKUP($D114,'Visu totale'!$D:$DH,AB$1,0)),AA114-VLOOKUP($D114,'Visu totale'!$D:$DH,AB$1,0),IF(LEFT(VLOOKUP($D114,'Visu totale'!$D:$DH,AB$1,0),1)="V",IF(AA114&gt;=INDEX('[1]Définition Maintenances'!$G:$G,MATCH($A114,'[1]Définition Maintenances'!$K:$K,0)),AA114,INDEX('[1]Définition Maintenances'!$G:$G,MATCH($A114,'[1]Définition Maintenances'!$K:$K,0))+AA114),AA114))</f>
        <v>278</v>
      </c>
      <c r="AC114" s="27">
        <f>IF(ISNUMBER(VLOOKUP($D114,'Visu totale'!$D:$DH,AC$1,0)),AB114-VLOOKUP($D114,'Visu totale'!$D:$DH,AC$1,0),IF(LEFT(VLOOKUP($D114,'Visu totale'!$D:$DH,AC$1,0),1)="V",IF(AB114&gt;=INDEX('[1]Définition Maintenances'!$G:$G,MATCH($A114,'[1]Définition Maintenances'!$K:$K,0)),AB114,INDEX('[1]Définition Maintenances'!$G:$G,MATCH($A114,'[1]Définition Maintenances'!$K:$K,0))+AB114),AB114))</f>
        <v>278</v>
      </c>
      <c r="AD114" s="25">
        <f>IF(ISNUMBER(VLOOKUP($D114,'Visu totale'!$D:$DH,AD$1,0)),AC114-VLOOKUP($D114,'Visu totale'!$D:$DH,AD$1,0),IF(LEFT(VLOOKUP($D114,'Visu totale'!$D:$DH,AD$1,0),1)="V",IF(AC114&gt;=INDEX('[1]Définition Maintenances'!$G:$G,MATCH($A114,'[1]Définition Maintenances'!$K:$K,0)),AC114,INDEX('[1]Définition Maintenances'!$G:$G,MATCH($A114,'[1]Définition Maintenances'!$K:$K,0))+AC114),AC114))</f>
        <v>278</v>
      </c>
      <c r="AE114" s="26">
        <f>IF(ISNUMBER(VLOOKUP($D114,'Visu totale'!$D:$DH,AE$1,0)),AD114-VLOOKUP($D114,'Visu totale'!$D:$DH,AE$1,0),IF(LEFT(VLOOKUP($D114,'Visu totale'!$D:$DH,AE$1,0),1)="V",IF(AD114&gt;=INDEX('[1]Définition Maintenances'!$G:$G,MATCH($A114,'[1]Définition Maintenances'!$K:$K,0)),AD114,INDEX('[1]Définition Maintenances'!$G:$G,MATCH($A114,'[1]Définition Maintenances'!$K:$K,0))+AD114),AD114))</f>
        <v>278</v>
      </c>
      <c r="AF114" s="26">
        <f>IF(ISNUMBER(VLOOKUP($D114,'Visu totale'!$D:$DH,AF$1,0)),AE114-VLOOKUP($D114,'Visu totale'!$D:$DH,AF$1,0),IF(LEFT(VLOOKUP($D114,'Visu totale'!$D:$DH,AF$1,0),1)="V",IF(AE114&gt;=INDEX('[1]Définition Maintenances'!$G:$G,MATCH($A114,'[1]Définition Maintenances'!$K:$K,0)),AE114,INDEX('[1]Définition Maintenances'!$G:$G,MATCH($A114,'[1]Définition Maintenances'!$K:$K,0))+AE114),AE114))</f>
        <v>278</v>
      </c>
      <c r="AG114" s="26">
        <f>IF(ISNUMBER(VLOOKUP($D114,'Visu totale'!$D:$DH,AG$1,0)),AF114-VLOOKUP($D114,'Visu totale'!$D:$DH,AG$1,0),IF(LEFT(VLOOKUP($D114,'Visu totale'!$D:$DH,AG$1,0),1)="V",IF(AF114&gt;=INDEX('[1]Définition Maintenances'!$G:$G,MATCH($A114,'[1]Définition Maintenances'!$K:$K,0)),AF114,INDEX('[1]Définition Maintenances'!$G:$G,MATCH($A114,'[1]Définition Maintenances'!$K:$K,0))+AF114),AF114))</f>
        <v>278</v>
      </c>
      <c r="AH114" s="26">
        <f>IF(ISNUMBER(VLOOKUP($D114,'Visu totale'!$D:$DH,AH$1,0)),AG114-VLOOKUP($D114,'Visu totale'!$D:$DH,AH$1,0),IF(LEFT(VLOOKUP($D114,'Visu totale'!$D:$DH,AH$1,0),1)="V",IF(AG114&gt;=INDEX('[1]Définition Maintenances'!$G:$G,MATCH($A114,'[1]Définition Maintenances'!$K:$K,0)),AG114,INDEX('[1]Définition Maintenances'!$G:$G,MATCH($A114,'[1]Définition Maintenances'!$K:$K,0))+AG114),AG114))</f>
        <v>278</v>
      </c>
      <c r="AI114" s="26">
        <f>IF(ISNUMBER(VLOOKUP($D114,'Visu totale'!$D:$DH,AI$1,0)),AH114-VLOOKUP($D114,'Visu totale'!$D:$DH,AI$1,0),IF(LEFT(VLOOKUP($D114,'Visu totale'!$D:$DH,AI$1,0),1)="V",IF(AH114&gt;=INDEX('[1]Définition Maintenances'!$G:$G,MATCH($A114,'[1]Définition Maintenances'!$K:$K,0)),AH114,INDEX('[1]Définition Maintenances'!$G:$G,MATCH($A114,'[1]Définition Maintenances'!$K:$K,0))+AH114),AH114))</f>
        <v>278</v>
      </c>
      <c r="AJ114" s="26">
        <f>IF(ISNUMBER(VLOOKUP($D114,'Visu totale'!$D:$DH,AJ$1,0)),AI114-VLOOKUP($D114,'Visu totale'!$D:$DH,AJ$1,0),IF(LEFT(VLOOKUP($D114,'Visu totale'!$D:$DH,AJ$1,0),1)="V",IF(AI114&gt;=INDEX('[1]Définition Maintenances'!$G:$G,MATCH($A114,'[1]Définition Maintenances'!$K:$K,0)),AI114,INDEX('[1]Définition Maintenances'!$G:$G,MATCH($A114,'[1]Définition Maintenances'!$K:$K,0))+AI114),AI114))</f>
        <v>278</v>
      </c>
      <c r="AK114" s="26">
        <f>IF(ISNUMBER(VLOOKUP($D114,'Visu totale'!$D:$DH,AK$1,0)),AJ114-VLOOKUP($D114,'Visu totale'!$D:$DH,AK$1,0),IF(LEFT(VLOOKUP($D114,'Visu totale'!$D:$DH,AK$1,0),1)="V",IF(AJ114&gt;=INDEX('[1]Définition Maintenances'!$G:$G,MATCH($A114,'[1]Définition Maintenances'!$K:$K,0)),AJ114,INDEX('[1]Définition Maintenances'!$G:$G,MATCH($A114,'[1]Définition Maintenances'!$K:$K,0))+AJ114),AJ114))</f>
        <v>278</v>
      </c>
      <c r="AL114" s="26">
        <f>IF(ISNUMBER(VLOOKUP($D114,'Visu totale'!$D:$DH,AL$1,0)),AK114-VLOOKUP($D114,'Visu totale'!$D:$DH,AL$1,0),IF(LEFT(VLOOKUP($D114,'Visu totale'!$D:$DH,AL$1,0),1)="V",IF(AK114&gt;=INDEX('[1]Définition Maintenances'!$G:$G,MATCH($A114,'[1]Définition Maintenances'!$K:$K,0)),AK114,INDEX('[1]Définition Maintenances'!$G:$G,MATCH($A114,'[1]Définition Maintenances'!$K:$K,0))+AK114),AK114))</f>
        <v>278</v>
      </c>
      <c r="AM114" s="26">
        <f>IF(ISNUMBER(VLOOKUP($D114,'Visu totale'!$D:$DH,AM$1,0)),AL114-VLOOKUP($D114,'Visu totale'!$D:$DH,AM$1,0),IF(LEFT(VLOOKUP($D114,'Visu totale'!$D:$DH,AM$1,0),1)="V",IF(AL114&gt;=INDEX('[1]Définition Maintenances'!$G:$G,MATCH($A114,'[1]Définition Maintenances'!$K:$K,0)),AL114,INDEX('[1]Définition Maintenances'!$G:$G,MATCH($A114,'[1]Définition Maintenances'!$K:$K,0))+AL114),AL114))</f>
        <v>278</v>
      </c>
      <c r="AN114" s="26">
        <f>IF(ISNUMBER(VLOOKUP($D114,'Visu totale'!$D:$DH,AN$1,0)),AM114-VLOOKUP($D114,'Visu totale'!$D:$DH,AN$1,0),IF(LEFT(VLOOKUP($D114,'Visu totale'!$D:$DH,AN$1,0),1)="V",IF(AM114&gt;=INDEX('[1]Définition Maintenances'!$G:$G,MATCH($A114,'[1]Définition Maintenances'!$K:$K,0)),AM114,INDEX('[1]Définition Maintenances'!$G:$G,MATCH($A114,'[1]Définition Maintenances'!$K:$K,0))+AM114),AM114))</f>
        <v>278</v>
      </c>
      <c r="AO114" s="27">
        <f>IF(ISNUMBER(VLOOKUP($D114,'Visu totale'!$D:$DH,AO$1,0)),AN114-VLOOKUP($D114,'Visu totale'!$D:$DH,AO$1,0),IF(LEFT(VLOOKUP($D114,'Visu totale'!$D:$DH,AO$1,0),1)="V",IF(AN114&gt;=INDEX('[1]Définition Maintenances'!$G:$G,MATCH($A114,'[1]Définition Maintenances'!$K:$K,0)),AN114,INDEX('[1]Définition Maintenances'!$G:$G,MATCH($A114,'[1]Définition Maintenances'!$K:$K,0))+AN114),AN114))</f>
        <v>278</v>
      </c>
      <c r="AP114" s="25">
        <f>IF(ISNUMBER(VLOOKUP($D114,'Visu totale'!$D:$DH,AP$1,0)),AO114-VLOOKUP($D114,'Visu totale'!$D:$DH,AP$1,0),IF(LEFT(VLOOKUP($D114,'Visu totale'!$D:$DH,AP$1,0),1)="V",IF(AO114&gt;=INDEX('[1]Définition Maintenances'!$G:$G,MATCH($A114,'[1]Définition Maintenances'!$K:$K,0)),AO114,INDEX('[1]Définition Maintenances'!$G:$G,MATCH($A114,'[1]Définition Maintenances'!$K:$K,0))+AO114),AO114))</f>
        <v>278</v>
      </c>
      <c r="AQ114" s="26">
        <f>IF(ISNUMBER(VLOOKUP($D114,'Visu totale'!$D:$DH,AQ$1,0)),AP114-VLOOKUP($D114,'Visu totale'!$D:$DH,AQ$1,0),IF(LEFT(VLOOKUP($D114,'Visu totale'!$D:$DH,AQ$1,0),1)="V",IF(AP114&gt;=INDEX('[1]Définition Maintenances'!$G:$G,MATCH($A114,'[1]Définition Maintenances'!$K:$K,0)),AP114,INDEX('[1]Définition Maintenances'!$G:$G,MATCH($A114,'[1]Définition Maintenances'!$K:$K,0))+AP114),AP114))</f>
        <v>278</v>
      </c>
      <c r="AR114" s="26">
        <f>IF(ISNUMBER(VLOOKUP($D114,'Visu totale'!$D:$DH,AR$1,0)),AQ114-VLOOKUP($D114,'Visu totale'!$D:$DH,AR$1,0),IF(LEFT(VLOOKUP($D114,'Visu totale'!$D:$DH,AR$1,0),1)="V",IF(AQ114&gt;=INDEX('[1]Définition Maintenances'!$G:$G,MATCH($A114,'[1]Définition Maintenances'!$K:$K,0)),AQ114,INDEX('[1]Définition Maintenances'!$G:$G,MATCH($A114,'[1]Définition Maintenances'!$K:$K,0))+AQ114),AQ114))</f>
        <v>278</v>
      </c>
      <c r="AS114" s="26">
        <f>IF(ISNUMBER(VLOOKUP($D114,'Visu totale'!$D:$DH,AS$1,0)),AR114-VLOOKUP($D114,'Visu totale'!$D:$DH,AS$1,0),IF(LEFT(VLOOKUP($D114,'Visu totale'!$D:$DH,AS$1,0),1)="V",IF(AR114&gt;=INDEX('[1]Définition Maintenances'!$G:$G,MATCH($A114,'[1]Définition Maintenances'!$K:$K,0)),AR114,INDEX('[1]Définition Maintenances'!$G:$G,MATCH($A114,'[1]Définition Maintenances'!$K:$K,0))+AR114),AR114))</f>
        <v>278</v>
      </c>
      <c r="AT114" s="26">
        <f>IF(ISNUMBER(VLOOKUP($D114,'Visu totale'!$D:$DH,AT$1,0)),AS114-VLOOKUP($D114,'Visu totale'!$D:$DH,AT$1,0),IF(LEFT(VLOOKUP($D114,'Visu totale'!$D:$DH,AT$1,0),1)="V",IF(AS114&gt;=INDEX('[1]Définition Maintenances'!$G:$G,MATCH($A114,'[1]Définition Maintenances'!$K:$K,0)),AS114,INDEX('[1]Définition Maintenances'!$G:$G,MATCH($A114,'[1]Définition Maintenances'!$K:$K,0))+AS114),AS114))</f>
        <v>278</v>
      </c>
      <c r="AU114" s="26">
        <f>IF(ISNUMBER(VLOOKUP($D114,'Visu totale'!$D:$DH,AU$1,0)),AT114-VLOOKUP($D114,'Visu totale'!$D:$DH,AU$1,0),IF(LEFT(VLOOKUP($D114,'Visu totale'!$D:$DH,AU$1,0),1)="V",IF(AT114&gt;=INDEX('[1]Définition Maintenances'!$G:$G,MATCH($A114,'[1]Définition Maintenances'!$K:$K,0)),AT114,INDEX('[1]Définition Maintenances'!$G:$G,MATCH($A114,'[1]Définition Maintenances'!$K:$K,0))+AT114),AT114))</f>
        <v>278</v>
      </c>
      <c r="AV114" s="26">
        <f>IF(ISNUMBER(VLOOKUP($D114,'Visu totale'!$D:$DH,AV$1,0)),AU114-VLOOKUP($D114,'Visu totale'!$D:$DH,AV$1,0),IF(LEFT(VLOOKUP($D114,'Visu totale'!$D:$DH,AV$1,0),1)="V",IF(AU114&gt;=INDEX('[1]Définition Maintenances'!$G:$G,MATCH($A114,'[1]Définition Maintenances'!$K:$K,0)),AU114,INDEX('[1]Définition Maintenances'!$G:$G,MATCH($A114,'[1]Définition Maintenances'!$K:$K,0))+AU114),AU114))</f>
        <v>278</v>
      </c>
      <c r="AW114" s="26">
        <f>IF(ISNUMBER(VLOOKUP($D114,'Visu totale'!$D:$DH,AW$1,0)),AV114-VLOOKUP($D114,'Visu totale'!$D:$DH,AW$1,0),IF(LEFT(VLOOKUP($D114,'Visu totale'!$D:$DH,AW$1,0),1)="V",IF(AV114&gt;=INDEX('[1]Définition Maintenances'!$G:$G,MATCH($A114,'[1]Définition Maintenances'!$K:$K,0)),AV114,INDEX('[1]Définition Maintenances'!$G:$G,MATCH($A114,'[1]Définition Maintenances'!$K:$K,0))+AV114),AV114))</f>
        <v>278</v>
      </c>
      <c r="AX114" s="26">
        <f>IF(ISNUMBER(VLOOKUP($D114,'Visu totale'!$D:$DH,AX$1,0)),AW114-VLOOKUP($D114,'Visu totale'!$D:$DH,AX$1,0),IF(LEFT(VLOOKUP($D114,'Visu totale'!$D:$DH,AX$1,0),1)="V",IF(AW114&gt;=INDEX('[1]Définition Maintenances'!$G:$G,MATCH($A114,'[1]Définition Maintenances'!$K:$K,0)),AW114,INDEX('[1]Définition Maintenances'!$G:$G,MATCH($A114,'[1]Définition Maintenances'!$K:$K,0))+AW114),AW114))</f>
        <v>278</v>
      </c>
      <c r="AY114" s="26">
        <f>IF(ISNUMBER(VLOOKUP($D114,'Visu totale'!$D:$DH,AY$1,0)),AX114-VLOOKUP($D114,'Visu totale'!$D:$DH,AY$1,0),IF(LEFT(VLOOKUP($D114,'Visu totale'!$D:$DH,AY$1,0),1)="V",IF(AX114&gt;=INDEX('[1]Définition Maintenances'!$G:$G,MATCH($A114,'[1]Définition Maintenances'!$K:$K,0)),AX114,INDEX('[1]Définition Maintenances'!$G:$G,MATCH($A114,'[1]Définition Maintenances'!$K:$K,0))+AX114),AX114))</f>
        <v>278</v>
      </c>
      <c r="AZ114" s="26">
        <f>IF(ISNUMBER(VLOOKUP($D114,'Visu totale'!$D:$DH,AZ$1,0)),AY114-VLOOKUP($D114,'Visu totale'!$D:$DH,AZ$1,0),IF(LEFT(VLOOKUP($D114,'Visu totale'!$D:$DH,AZ$1,0),1)="V",IF(AY114&gt;=INDEX('[1]Définition Maintenances'!$G:$G,MATCH($A114,'[1]Définition Maintenances'!$K:$K,0)),AY114,INDEX('[1]Définition Maintenances'!$G:$G,MATCH($A114,'[1]Définition Maintenances'!$K:$K,0))+AY114),AY114))</f>
        <v>278</v>
      </c>
      <c r="BA114" s="27">
        <f>IF(ISNUMBER(VLOOKUP($D114,'Visu totale'!$D:$DH,BA$1,0)),AZ114-VLOOKUP($D114,'Visu totale'!$D:$DH,BA$1,0),IF(LEFT(VLOOKUP($D114,'Visu totale'!$D:$DH,BA$1,0),1)="V",IF(AZ114&gt;=INDEX('[1]Définition Maintenances'!$G:$G,MATCH($A114,'[1]Définition Maintenances'!$K:$K,0)),AZ114,INDEX('[1]Définition Maintenances'!$G:$G,MATCH($A114,'[1]Définition Maintenances'!$K:$K,0))+AZ114),AZ114))</f>
        <v>278</v>
      </c>
      <c r="BB114" s="25">
        <f>IF(ISNUMBER(VLOOKUP($D114,'Visu totale'!$D:$DH,BB$1,0)),BA114-VLOOKUP($D114,'Visu totale'!$D:$DH,BB$1,0),IF(LEFT(VLOOKUP($D114,'Visu totale'!$D:$DH,BB$1,0),1)="V",IF(BA114&gt;=INDEX('[1]Définition Maintenances'!$G:$G,MATCH($A114,'[1]Définition Maintenances'!$K:$K,0)),BA114,INDEX('[1]Définition Maintenances'!$G:$G,MATCH($A114,'[1]Définition Maintenances'!$K:$K,0))+BA114),BA114))</f>
        <v>278</v>
      </c>
      <c r="BC114" s="26">
        <f>IF(ISNUMBER(VLOOKUP($D114,'Visu totale'!$D:$DH,BC$1,0)),BB114-VLOOKUP($D114,'Visu totale'!$D:$DH,BC$1,0),IF(LEFT(VLOOKUP($D114,'Visu totale'!$D:$DH,BC$1,0),1)="V",IF(BB114&gt;=INDEX('[1]Définition Maintenances'!$G:$G,MATCH($A114,'[1]Définition Maintenances'!$K:$K,0)),BB114,INDEX('[1]Définition Maintenances'!$G:$G,MATCH($A114,'[1]Définition Maintenances'!$K:$K,0))+BB114),BB114))</f>
        <v>278</v>
      </c>
      <c r="BD114" s="26">
        <f>IF(ISNUMBER(VLOOKUP($D114,'Visu totale'!$D:$DH,BD$1,0)),BC114-VLOOKUP($D114,'Visu totale'!$D:$DH,BD$1,0),IF(LEFT(VLOOKUP($D114,'Visu totale'!$D:$DH,BD$1,0),1)="V",IF(BC114&gt;=INDEX('[1]Définition Maintenances'!$G:$G,MATCH($A114,'[1]Définition Maintenances'!$K:$K,0)),BC114,INDEX('[1]Définition Maintenances'!$G:$G,MATCH($A114,'[1]Définition Maintenances'!$K:$K,0))+BC114),BC114))</f>
        <v>278</v>
      </c>
      <c r="BE114" s="26">
        <f>IF(ISNUMBER(VLOOKUP($D114,'Visu totale'!$D:$DH,BE$1,0)),BD114-VLOOKUP($D114,'Visu totale'!$D:$DH,BE$1,0),IF(LEFT(VLOOKUP($D114,'Visu totale'!$D:$DH,BE$1,0),1)="V",IF(BD114&gt;=INDEX('[1]Définition Maintenances'!$G:$G,MATCH($A114,'[1]Définition Maintenances'!$K:$K,0)),BD114,INDEX('[1]Définition Maintenances'!$G:$G,MATCH($A114,'[1]Définition Maintenances'!$K:$K,0))+BD114),BD114))</f>
        <v>278</v>
      </c>
      <c r="BF114" s="26">
        <f>IF(ISNUMBER(VLOOKUP($D114,'Visu totale'!$D:$DH,BF$1,0)),BE114-VLOOKUP($D114,'Visu totale'!$D:$DH,BF$1,0),IF(LEFT(VLOOKUP($D114,'Visu totale'!$D:$DH,BF$1,0),1)="V",IF(BE114&gt;=INDEX('[1]Définition Maintenances'!$G:$G,MATCH($A114,'[1]Définition Maintenances'!$K:$K,0)),BE114,INDEX('[1]Définition Maintenances'!$G:$G,MATCH($A114,'[1]Définition Maintenances'!$K:$K,0))+BE114),BE114))</f>
        <v>278</v>
      </c>
      <c r="BG114" s="26">
        <f>IF(ISNUMBER(VLOOKUP($D114,'Visu totale'!$D:$DH,BG$1,0)),BF114-VLOOKUP($D114,'Visu totale'!$D:$DH,BG$1,0),IF(LEFT(VLOOKUP($D114,'Visu totale'!$D:$DH,BG$1,0),1)="V",IF(BF114&gt;=INDEX('[1]Définition Maintenances'!$G:$G,MATCH($A114,'[1]Définition Maintenances'!$K:$K,0)),BF114,INDEX('[1]Définition Maintenances'!$G:$G,MATCH($A114,'[1]Définition Maintenances'!$K:$K,0))+BF114),BF114))</f>
        <v>278</v>
      </c>
      <c r="BH114" s="26">
        <f>IF(ISNUMBER(VLOOKUP($D114,'Visu totale'!$D:$DH,BH$1,0)),BG114-VLOOKUP($D114,'Visu totale'!$D:$DH,BH$1,0),IF(LEFT(VLOOKUP($D114,'Visu totale'!$D:$DH,BH$1,0),1)="V",IF(BG114&gt;=INDEX('[1]Définition Maintenances'!$G:$G,MATCH($A114,'[1]Définition Maintenances'!$K:$K,0)),BG114,INDEX('[1]Définition Maintenances'!$G:$G,MATCH($A114,'[1]Définition Maintenances'!$K:$K,0))+BG114),BG114))</f>
        <v>278</v>
      </c>
      <c r="BI114" s="26">
        <f>IF(ISNUMBER(VLOOKUP($D114,'Visu totale'!$D:$DH,BI$1,0)),BH114-VLOOKUP($D114,'Visu totale'!$D:$DH,BI$1,0),IF(LEFT(VLOOKUP($D114,'Visu totale'!$D:$DH,BI$1,0),1)="V",IF(BH114&gt;=INDEX('[1]Définition Maintenances'!$G:$G,MATCH($A114,'[1]Définition Maintenances'!$K:$K,0)),BH114,INDEX('[1]Définition Maintenances'!$G:$G,MATCH($A114,'[1]Définition Maintenances'!$K:$K,0))+BH114),BH114))</f>
        <v>278</v>
      </c>
      <c r="BJ114" s="26">
        <f>IF(ISNUMBER(VLOOKUP($D114,'Visu totale'!$D:$DH,BJ$1,0)),BI114-VLOOKUP($D114,'Visu totale'!$D:$DH,BJ$1,0),IF(LEFT(VLOOKUP($D114,'Visu totale'!$D:$DH,BJ$1,0),1)="V",IF(BI114&gt;=INDEX('[1]Définition Maintenances'!$G:$G,MATCH($A114,'[1]Définition Maintenances'!$K:$K,0)),BI114,INDEX('[1]Définition Maintenances'!$G:$G,MATCH($A114,'[1]Définition Maintenances'!$K:$K,0))+BI114),BI114))</f>
        <v>278</v>
      </c>
      <c r="BK114" s="26">
        <f>IF(ISNUMBER(VLOOKUP($D114,'Visu totale'!$D:$DH,BK$1,0)),BJ114-VLOOKUP($D114,'Visu totale'!$D:$DH,BK$1,0),IF(LEFT(VLOOKUP($D114,'Visu totale'!$D:$DH,BK$1,0),1)="V",IF(BJ114&gt;=INDEX('[1]Définition Maintenances'!$G:$G,MATCH($A114,'[1]Définition Maintenances'!$K:$K,0)),BJ114,INDEX('[1]Définition Maintenances'!$G:$G,MATCH($A114,'[1]Définition Maintenances'!$K:$K,0))+BJ114),BJ114))</f>
        <v>278</v>
      </c>
      <c r="BL114" s="26">
        <f>IF(ISNUMBER(VLOOKUP($D114,'Visu totale'!$D:$DH,BL$1,0)),BK114-VLOOKUP($D114,'Visu totale'!$D:$DH,BL$1,0),IF(LEFT(VLOOKUP($D114,'Visu totale'!$D:$DH,BL$1,0),1)="V",IF(BK114&gt;=INDEX('[1]Définition Maintenances'!$G:$G,MATCH($A114,'[1]Définition Maintenances'!$K:$K,0)),BK114,INDEX('[1]Définition Maintenances'!$G:$G,MATCH($A114,'[1]Définition Maintenances'!$K:$K,0))+BK114),BK114))</f>
        <v>278</v>
      </c>
      <c r="BM114" s="27">
        <f>IF(ISNUMBER(VLOOKUP($D114,'Visu totale'!$D:$DH,BM$1,0)),BL114-VLOOKUP($D114,'Visu totale'!$D:$DH,BM$1,0),IF(LEFT(VLOOKUP($D114,'Visu totale'!$D:$DH,BM$1,0),1)="V",IF(BL114&gt;=INDEX('[1]Définition Maintenances'!$G:$G,MATCH($A114,'[1]Définition Maintenances'!$K:$K,0)),BL114,INDEX('[1]Définition Maintenances'!$G:$G,MATCH($A114,'[1]Définition Maintenances'!$K:$K,0))+BL114),BL114))</f>
        <v>278</v>
      </c>
      <c r="BN114" s="25">
        <f>IF(ISNUMBER(VLOOKUP($D114,'Visu totale'!$D:$DH,BN$1,0)),BM114-VLOOKUP($D114,'Visu totale'!$D:$DH,BN$1,0),IF(LEFT(VLOOKUP($D114,'Visu totale'!$D:$DH,BN$1,0),1)="V",IF(BM114&gt;=INDEX('[1]Définition Maintenances'!$G:$G,MATCH($A114,'[1]Définition Maintenances'!$K:$K,0)),BM114,INDEX('[1]Définition Maintenances'!$G:$G,MATCH($A114,'[1]Définition Maintenances'!$K:$K,0))+BM114),BM114))</f>
        <v>278</v>
      </c>
      <c r="BO114" s="26">
        <f>IF(ISNUMBER(VLOOKUP($D114,'Visu totale'!$D:$DH,BO$1,0)),BN114-VLOOKUP($D114,'Visu totale'!$D:$DH,BO$1,0),IF(LEFT(VLOOKUP($D114,'Visu totale'!$D:$DH,BO$1,0),1)="V",IF(BN114&gt;=INDEX('[1]Définition Maintenances'!$G:$G,MATCH($A114,'[1]Définition Maintenances'!$K:$K,0)),BN114,INDEX('[1]Définition Maintenances'!$G:$G,MATCH($A114,'[1]Définition Maintenances'!$K:$K,0))+BN114),BN114))</f>
        <v>278</v>
      </c>
      <c r="BP114" s="26">
        <f>IF(ISNUMBER(VLOOKUP($D114,'Visu totale'!$D:$DH,BP$1,0)),BO114-VLOOKUP($D114,'Visu totale'!$D:$DH,BP$1,0),IF(LEFT(VLOOKUP($D114,'Visu totale'!$D:$DH,BP$1,0),1)="V",IF(BO114&gt;=INDEX('[1]Définition Maintenances'!$G:$G,MATCH($A114,'[1]Définition Maintenances'!$K:$K,0)),BO114,INDEX('[1]Définition Maintenances'!$G:$G,MATCH($A114,'[1]Définition Maintenances'!$K:$K,0))+BO114),BO114))</f>
        <v>278</v>
      </c>
      <c r="BQ114" s="26">
        <f>IF(ISNUMBER(VLOOKUP($D114,'Visu totale'!$D:$DH,BQ$1,0)),BP114-VLOOKUP($D114,'Visu totale'!$D:$DH,BQ$1,0),IF(LEFT(VLOOKUP($D114,'Visu totale'!$D:$DH,BQ$1,0),1)="V",IF(BP114&gt;=INDEX('[1]Définition Maintenances'!$G:$G,MATCH($A114,'[1]Définition Maintenances'!$K:$K,0)),BP114,INDEX('[1]Définition Maintenances'!$G:$G,MATCH($A114,'[1]Définition Maintenances'!$K:$K,0))+BP114),BP114))</f>
        <v>278</v>
      </c>
      <c r="BR114" s="26">
        <f>IF(ISNUMBER(VLOOKUP($D114,'Visu totale'!$D:$DH,BR$1,0)),BQ114-VLOOKUP($D114,'Visu totale'!$D:$DH,BR$1,0),IF(LEFT(VLOOKUP($D114,'Visu totale'!$D:$DH,BR$1,0),1)="V",IF(BQ114&gt;=INDEX('[1]Définition Maintenances'!$G:$G,MATCH($A114,'[1]Définition Maintenances'!$K:$K,0)),BQ114,INDEX('[1]Définition Maintenances'!$G:$G,MATCH($A114,'[1]Définition Maintenances'!$K:$K,0))+BQ114),BQ114))</f>
        <v>278</v>
      </c>
      <c r="BS114" s="26">
        <f>IF(ISNUMBER(VLOOKUP($D114,'Visu totale'!$D:$DH,BS$1,0)),BR114-VLOOKUP($D114,'Visu totale'!$D:$DH,BS$1,0),IF(LEFT(VLOOKUP($D114,'Visu totale'!$D:$DH,BS$1,0),1)="V",IF(BR114&gt;=INDEX('[1]Définition Maintenances'!$G:$G,MATCH($A114,'[1]Définition Maintenances'!$K:$K,0)),BR114,INDEX('[1]Définition Maintenances'!$G:$G,MATCH($A114,'[1]Définition Maintenances'!$K:$K,0))+BR114),BR114))</f>
        <v>278</v>
      </c>
      <c r="BT114" s="26">
        <f>IF(ISNUMBER(VLOOKUP($D114,'Visu totale'!$D:$DH,BT$1,0)),BS114-VLOOKUP($D114,'Visu totale'!$D:$DH,BT$1,0),IF(LEFT(VLOOKUP($D114,'Visu totale'!$D:$DH,BT$1,0),1)="V",IF(BS114&gt;=INDEX('[1]Définition Maintenances'!$G:$G,MATCH($A114,'[1]Définition Maintenances'!$K:$K,0)),BS114,INDEX('[1]Définition Maintenances'!$G:$G,MATCH($A114,'[1]Définition Maintenances'!$K:$K,0))+BS114),BS114))</f>
        <v>278</v>
      </c>
      <c r="BU114" s="26">
        <f>IF(ISNUMBER(VLOOKUP($D114,'Visu totale'!$D:$DH,BU$1,0)),BT114-VLOOKUP($D114,'Visu totale'!$D:$DH,BU$1,0),IF(LEFT(VLOOKUP($D114,'Visu totale'!$D:$DH,BU$1,0),1)="V",IF(BT114&gt;=INDEX('[1]Définition Maintenances'!$G:$G,MATCH($A114,'[1]Définition Maintenances'!$K:$K,0)),BT114,INDEX('[1]Définition Maintenances'!$G:$G,MATCH($A114,'[1]Définition Maintenances'!$K:$K,0))+BT114),BT114))</f>
        <v>278</v>
      </c>
      <c r="BV114" s="26">
        <f>IF(ISNUMBER(VLOOKUP($D114,'Visu totale'!$D:$DH,BV$1,0)),BU114-VLOOKUP($D114,'Visu totale'!$D:$DH,BV$1,0),IF(LEFT(VLOOKUP($D114,'Visu totale'!$D:$DH,BV$1,0),1)="V",IF(BU114&gt;=INDEX('[1]Définition Maintenances'!$G:$G,MATCH($A114,'[1]Définition Maintenances'!$K:$K,0)),BU114,INDEX('[1]Définition Maintenances'!$G:$G,MATCH($A114,'[1]Définition Maintenances'!$K:$K,0))+BU114),BU114))</f>
        <v>278</v>
      </c>
      <c r="BW114" s="26">
        <f>IF(ISNUMBER(VLOOKUP($D114,'Visu totale'!$D:$DH,BW$1,0)),BV114-VLOOKUP($D114,'Visu totale'!$D:$DH,BW$1,0),IF(LEFT(VLOOKUP($D114,'Visu totale'!$D:$DH,BW$1,0),1)="V",IF(BV114&gt;=INDEX('[1]Définition Maintenances'!$G:$G,MATCH($A114,'[1]Définition Maintenances'!$K:$K,0)),BV114,INDEX('[1]Définition Maintenances'!$G:$G,MATCH($A114,'[1]Définition Maintenances'!$K:$K,0))+BV114),BV114))</f>
        <v>278</v>
      </c>
      <c r="BX114" s="26">
        <f>IF(ISNUMBER(VLOOKUP($D114,'Visu totale'!$D:$DH,BX$1,0)),BW114-VLOOKUP($D114,'Visu totale'!$D:$DH,BX$1,0),IF(LEFT(VLOOKUP($D114,'Visu totale'!$D:$DH,BX$1,0),1)="V",IF(BW114&gt;=INDEX('[1]Définition Maintenances'!$G:$G,MATCH($A114,'[1]Définition Maintenances'!$K:$K,0)),BW114,INDEX('[1]Définition Maintenances'!$G:$G,MATCH($A114,'[1]Définition Maintenances'!$K:$K,0))+BW114),BW114))</f>
        <v>278</v>
      </c>
      <c r="BY114" s="27">
        <f>IF(ISNUMBER(VLOOKUP($D114,'Visu totale'!$D:$DH,BY$1,0)),BX114-VLOOKUP($D114,'Visu totale'!$D:$DH,BY$1,0),IF(LEFT(VLOOKUP($D114,'Visu totale'!$D:$DH,BY$1,0),1)="V",IF(BX114&gt;=INDEX('[1]Définition Maintenances'!$G:$G,MATCH($A114,'[1]Définition Maintenances'!$K:$K,0)),BX114,INDEX('[1]Définition Maintenances'!$G:$G,MATCH($A114,'[1]Définition Maintenances'!$K:$K,0))+BX114),BX114))</f>
        <v>278</v>
      </c>
      <c r="BZ114" s="25">
        <f>IF(ISNUMBER(VLOOKUP($D114,'Visu totale'!$D:$DH,BZ$1,0)),BY114-VLOOKUP($D114,'Visu totale'!$D:$DH,BZ$1,0),IF(LEFT(VLOOKUP($D114,'Visu totale'!$D:$DH,BZ$1,0),1)="V",IF(BY114&gt;=INDEX('[1]Définition Maintenances'!$G:$G,MATCH($A114,'[1]Définition Maintenances'!$K:$K,0)),BY114,INDEX('[1]Définition Maintenances'!$G:$G,MATCH($A114,'[1]Définition Maintenances'!$K:$K,0))+BY114),BY114))</f>
        <v>278</v>
      </c>
      <c r="CA114" s="26">
        <f>IF(ISNUMBER(VLOOKUP($D114,'Visu totale'!$D:$DH,CA$1,0)),BZ114-VLOOKUP($D114,'Visu totale'!$D:$DH,CA$1,0),IF(LEFT(VLOOKUP($D114,'Visu totale'!$D:$DH,CA$1,0),1)="V",IF(BZ114&gt;=INDEX('[1]Définition Maintenances'!$G:$G,MATCH($A114,'[1]Définition Maintenances'!$K:$K,0)),BZ114,INDEX('[1]Définition Maintenances'!$G:$G,MATCH($A114,'[1]Définition Maintenances'!$K:$K,0))+BZ114),BZ114))</f>
        <v>278</v>
      </c>
      <c r="CB114" s="26">
        <f>IF(ISNUMBER(VLOOKUP($D114,'Visu totale'!$D:$DH,CB$1,0)),CA114-VLOOKUP($D114,'Visu totale'!$D:$DH,CB$1,0),IF(LEFT(VLOOKUP($D114,'Visu totale'!$D:$DH,CB$1,0),1)="V",IF(CA114&gt;=INDEX('[1]Définition Maintenances'!$G:$G,MATCH($A114,'[1]Définition Maintenances'!$K:$K,0)),CA114,INDEX('[1]Définition Maintenances'!$G:$G,MATCH($A114,'[1]Définition Maintenances'!$K:$K,0))+CA114),CA114))</f>
        <v>278</v>
      </c>
      <c r="CC114" s="26">
        <f>IF(ISNUMBER(VLOOKUP($D114,'Visu totale'!$D:$DH,CC$1,0)),CB114-VLOOKUP($D114,'Visu totale'!$D:$DH,CC$1,0),IF(LEFT(VLOOKUP($D114,'Visu totale'!$D:$DH,CC$1,0),1)="V",IF(CB114&gt;=INDEX('[1]Définition Maintenances'!$G:$G,MATCH($A114,'[1]Définition Maintenances'!$K:$K,0)),CB114,INDEX('[1]Définition Maintenances'!$G:$G,MATCH($A114,'[1]Définition Maintenances'!$K:$K,0))+CB114),CB114))</f>
        <v>278</v>
      </c>
      <c r="CD114" s="26">
        <f>IF(ISNUMBER(VLOOKUP($D114,'Visu totale'!$D:$DH,CD$1,0)),CC114-VLOOKUP($D114,'Visu totale'!$D:$DH,CD$1,0),IF(LEFT(VLOOKUP($D114,'Visu totale'!$D:$DH,CD$1,0),1)="V",IF(CC114&gt;=INDEX('[1]Définition Maintenances'!$G:$G,MATCH($A114,'[1]Définition Maintenances'!$K:$K,0)),CC114,INDEX('[1]Définition Maintenances'!$G:$G,MATCH($A114,'[1]Définition Maintenances'!$K:$K,0))+CC114),CC114))</f>
        <v>278</v>
      </c>
      <c r="CE114" s="26">
        <f>IF(ISNUMBER(VLOOKUP($D114,'Visu totale'!$D:$DH,CE$1,0)),CD114-VLOOKUP($D114,'Visu totale'!$D:$DH,CE$1,0),IF(LEFT(VLOOKUP($D114,'Visu totale'!$D:$DH,CE$1,0),1)="V",IF(CD114&gt;=INDEX('[1]Définition Maintenances'!$G:$G,MATCH($A114,'[1]Définition Maintenances'!$K:$K,0)),CD114,INDEX('[1]Définition Maintenances'!$G:$G,MATCH($A114,'[1]Définition Maintenances'!$K:$K,0))+CD114),CD114))</f>
        <v>278</v>
      </c>
      <c r="CF114" s="26">
        <f>IF(ISNUMBER(VLOOKUP($D114,'Visu totale'!$D:$DH,CF$1,0)),CE114-VLOOKUP($D114,'Visu totale'!$D:$DH,CF$1,0),IF(LEFT(VLOOKUP($D114,'Visu totale'!$D:$DH,CF$1,0),1)="V",IF(CE114&gt;=INDEX('[1]Définition Maintenances'!$G:$G,MATCH($A114,'[1]Définition Maintenances'!$K:$K,0)),CE114,INDEX('[1]Définition Maintenances'!$G:$G,MATCH($A114,'[1]Définition Maintenances'!$K:$K,0))+CE114),CE114))</f>
        <v>278</v>
      </c>
      <c r="CG114" s="26">
        <f>IF(ISNUMBER(VLOOKUP($D114,'Visu totale'!$D:$DH,CG$1,0)),CF114-VLOOKUP($D114,'Visu totale'!$D:$DH,CG$1,0),IF(LEFT(VLOOKUP($D114,'Visu totale'!$D:$DH,CG$1,0),1)="V",IF(CF114&gt;=INDEX('[1]Définition Maintenances'!$G:$G,MATCH($A114,'[1]Définition Maintenances'!$K:$K,0)),CF114,INDEX('[1]Définition Maintenances'!$G:$G,MATCH($A114,'[1]Définition Maintenances'!$K:$K,0))+CF114),CF114))</f>
        <v>278</v>
      </c>
      <c r="CH114" s="26">
        <f>IF(ISNUMBER(VLOOKUP($D114,'Visu totale'!$D:$DH,CH$1,0)),CG114-VLOOKUP($D114,'Visu totale'!$D:$DH,CH$1,0),IF(LEFT(VLOOKUP($D114,'Visu totale'!$D:$DH,CH$1,0),1)="V",IF(CG114&gt;=INDEX('[1]Définition Maintenances'!$G:$G,MATCH($A114,'[1]Définition Maintenances'!$K:$K,0)),CG114,INDEX('[1]Définition Maintenances'!$G:$G,MATCH($A114,'[1]Définition Maintenances'!$K:$K,0))+CG114),CG114))</f>
        <v>278</v>
      </c>
      <c r="CI114" s="26">
        <f>IF(ISNUMBER(VLOOKUP($D114,'Visu totale'!$D:$DH,CI$1,0)),CH114-VLOOKUP($D114,'Visu totale'!$D:$DH,CI$1,0),IF(LEFT(VLOOKUP($D114,'Visu totale'!$D:$DH,CI$1,0),1)="V",IF(CH114&gt;=INDEX('[1]Définition Maintenances'!$G:$G,MATCH($A114,'[1]Définition Maintenances'!$K:$K,0)),CH114,INDEX('[1]Définition Maintenances'!$G:$G,MATCH($A114,'[1]Définition Maintenances'!$K:$K,0))+CH114),CH114))</f>
        <v>278</v>
      </c>
      <c r="CJ114" s="26">
        <f>IF(ISNUMBER(VLOOKUP($D114,'Visu totale'!$D:$DH,CJ$1,0)),CI114-VLOOKUP($D114,'Visu totale'!$D:$DH,CJ$1,0),IF(LEFT(VLOOKUP($D114,'Visu totale'!$D:$DH,CJ$1,0),1)="V",IF(CI114&gt;=INDEX('[1]Définition Maintenances'!$G:$G,MATCH($A114,'[1]Définition Maintenances'!$K:$K,0)),CI114,INDEX('[1]Définition Maintenances'!$G:$G,MATCH($A114,'[1]Définition Maintenances'!$K:$K,0))+CI114),CI114))</f>
        <v>278</v>
      </c>
      <c r="CK114" s="27">
        <f>IF(ISNUMBER(VLOOKUP($D114,'Visu totale'!$D:$DH,CK$1,0)),CJ114-VLOOKUP($D114,'Visu totale'!$D:$DH,CK$1,0),IF(LEFT(VLOOKUP($D114,'Visu totale'!$D:$DH,CK$1,0),1)="V",IF(CJ114&gt;=INDEX('[1]Définition Maintenances'!$G:$G,MATCH($A114,'[1]Définition Maintenances'!$K:$K,0)),CJ114,INDEX('[1]Définition Maintenances'!$G:$G,MATCH($A114,'[1]Définition Maintenances'!$K:$K,0))+CJ114),CJ114))</f>
        <v>278</v>
      </c>
      <c r="CL114" s="25">
        <f>IF(ISNUMBER(VLOOKUP($D114,'Visu totale'!$D:$DH,CL$1,0)),CK114-VLOOKUP($D114,'Visu totale'!$D:$DH,CL$1,0),IF(LEFT(VLOOKUP($D114,'Visu totale'!$D:$DH,CL$1,0),1)="V",IF(CK114&gt;=INDEX('[1]Définition Maintenances'!$G:$G,MATCH($A114,'[1]Définition Maintenances'!$K:$K,0)),CK114,INDEX('[1]Définition Maintenances'!$G:$G,MATCH($A114,'[1]Définition Maintenances'!$K:$K,0))+CK114),CK114))</f>
        <v>278</v>
      </c>
      <c r="CM114" s="26">
        <f>IF(ISNUMBER(VLOOKUP($D114,'Visu totale'!$D:$DH,CM$1,0)),CL114-VLOOKUP($D114,'Visu totale'!$D:$DH,CM$1,0),IF(LEFT(VLOOKUP($D114,'Visu totale'!$D:$DH,CM$1,0),1)="V",IF(CL114&gt;=INDEX('[1]Définition Maintenances'!$G:$G,MATCH($A114,'[1]Définition Maintenances'!$K:$K,0)),CL114,INDEX('[1]Définition Maintenances'!$G:$G,MATCH($A114,'[1]Définition Maintenances'!$K:$K,0))+CL114),CL114))</f>
        <v>278</v>
      </c>
      <c r="CN114" s="26">
        <f>IF(ISNUMBER(VLOOKUP($D114,'Visu totale'!$D:$DH,CN$1,0)),CM114-VLOOKUP($D114,'Visu totale'!$D:$DH,CN$1,0),IF(LEFT(VLOOKUP($D114,'Visu totale'!$D:$DH,CN$1,0),1)="V",IF(CM114&gt;=INDEX('[1]Définition Maintenances'!$G:$G,MATCH($A114,'[1]Définition Maintenances'!$K:$K,0)),CM114,INDEX('[1]Définition Maintenances'!$G:$G,MATCH($A114,'[1]Définition Maintenances'!$K:$K,0))+CM114),CM114))</f>
        <v>278</v>
      </c>
      <c r="CO114" s="26">
        <f>IF(ISNUMBER(VLOOKUP($D114,'Visu totale'!$D:$DH,CO$1,0)),CN114-VLOOKUP($D114,'Visu totale'!$D:$DH,CO$1,0),IF(LEFT(VLOOKUP($D114,'Visu totale'!$D:$DH,CO$1,0),1)="V",IF(CN114&gt;=INDEX('[1]Définition Maintenances'!$G:$G,MATCH($A114,'[1]Définition Maintenances'!$K:$K,0)),CN114,INDEX('[1]Définition Maintenances'!$G:$G,MATCH($A114,'[1]Définition Maintenances'!$K:$K,0))+CN114),CN114))</f>
        <v>278</v>
      </c>
      <c r="CP114" s="26">
        <f>IF(ISNUMBER(VLOOKUP($D114,'Visu totale'!$D:$DH,CP$1,0)),CO114-VLOOKUP($D114,'Visu totale'!$D:$DH,CP$1,0),IF(LEFT(VLOOKUP($D114,'Visu totale'!$D:$DH,CP$1,0),1)="V",IF(CO114&gt;=INDEX('[1]Définition Maintenances'!$G:$G,MATCH($A114,'[1]Définition Maintenances'!$K:$K,0)),CO114,INDEX('[1]Définition Maintenances'!$G:$G,MATCH($A114,'[1]Définition Maintenances'!$K:$K,0))+CO114),CO114))</f>
        <v>278</v>
      </c>
      <c r="CQ114" s="26">
        <f>IF(ISNUMBER(VLOOKUP($D114,'Visu totale'!$D:$DH,CQ$1,0)),CP114-VLOOKUP($D114,'Visu totale'!$D:$DH,CQ$1,0),IF(LEFT(VLOOKUP($D114,'Visu totale'!$D:$DH,CQ$1,0),1)="V",IF(CP114&gt;=INDEX('[1]Définition Maintenances'!$G:$G,MATCH($A114,'[1]Définition Maintenances'!$K:$K,0)),CP114,INDEX('[1]Définition Maintenances'!$G:$G,MATCH($A114,'[1]Définition Maintenances'!$K:$K,0))+CP114),CP114))</f>
        <v>278</v>
      </c>
      <c r="CR114" s="26">
        <f>IF(ISNUMBER(VLOOKUP($D114,'Visu totale'!$D:$DH,CR$1,0)),CQ114-VLOOKUP($D114,'Visu totale'!$D:$DH,CR$1,0),IF(LEFT(VLOOKUP($D114,'Visu totale'!$D:$DH,CR$1,0),1)="V",IF(CQ114&gt;=INDEX('[1]Définition Maintenances'!$G:$G,MATCH($A114,'[1]Définition Maintenances'!$K:$K,0)),CQ114,INDEX('[1]Définition Maintenances'!$G:$G,MATCH($A114,'[1]Définition Maintenances'!$K:$K,0))+CQ114),CQ114))</f>
        <v>278</v>
      </c>
      <c r="CS114" s="26">
        <f>IF(ISNUMBER(VLOOKUP($D114,'Visu totale'!$D:$DH,CS$1,0)),CR114-VLOOKUP($D114,'Visu totale'!$D:$DH,CS$1,0),IF(LEFT(VLOOKUP($D114,'Visu totale'!$D:$DH,CS$1,0),1)="V",IF(CR114&gt;=INDEX('[1]Définition Maintenances'!$G:$G,MATCH($A114,'[1]Définition Maintenances'!$K:$K,0)),CR114,INDEX('[1]Définition Maintenances'!$G:$G,MATCH($A114,'[1]Définition Maintenances'!$K:$K,0))+CR114),CR114))</f>
        <v>278</v>
      </c>
      <c r="CT114" s="26">
        <f>IF(ISNUMBER(VLOOKUP($D114,'Visu totale'!$D:$DH,CT$1,0)),CS114-VLOOKUP($D114,'Visu totale'!$D:$DH,CT$1,0),IF(LEFT(VLOOKUP($D114,'Visu totale'!$D:$DH,CT$1,0),1)="V",IF(CS114&gt;=INDEX('[1]Définition Maintenances'!$G:$G,MATCH($A114,'[1]Définition Maintenances'!$K:$K,0)),CS114,INDEX('[1]Définition Maintenances'!$G:$G,MATCH($A114,'[1]Définition Maintenances'!$K:$K,0))+CS114),CS114))</f>
        <v>278</v>
      </c>
      <c r="CU114" s="26">
        <f>IF(ISNUMBER(VLOOKUP($D114,'Visu totale'!$D:$DH,CU$1,0)),CT114-VLOOKUP($D114,'Visu totale'!$D:$DH,CU$1,0),IF(LEFT(VLOOKUP($D114,'Visu totale'!$D:$DH,CU$1,0),1)="V",IF(CT114&gt;=INDEX('[1]Définition Maintenances'!$G:$G,MATCH($A114,'[1]Définition Maintenances'!$K:$K,0)),CT114,INDEX('[1]Définition Maintenances'!$G:$G,MATCH($A114,'[1]Définition Maintenances'!$K:$K,0))+CT114),CT114))</f>
        <v>278</v>
      </c>
      <c r="CV114" s="26">
        <f>IF(ISNUMBER(VLOOKUP($D114,'Visu totale'!$D:$DH,CV$1,0)),CU114-VLOOKUP($D114,'Visu totale'!$D:$DH,CV$1,0),IF(LEFT(VLOOKUP($D114,'Visu totale'!$D:$DH,CV$1,0),1)="V",IF(CU114&gt;=INDEX('[1]Définition Maintenances'!$G:$G,MATCH($A114,'[1]Définition Maintenances'!$K:$K,0)),CU114,INDEX('[1]Définition Maintenances'!$G:$G,MATCH($A114,'[1]Définition Maintenances'!$K:$K,0))+CU114),CU114))</f>
        <v>278</v>
      </c>
      <c r="CW114" s="27">
        <f>IF(ISNUMBER(VLOOKUP($D114,'Visu totale'!$D:$DH,CW$1,0)),CV114-VLOOKUP($D114,'Visu totale'!$D:$DH,CW$1,0),IF(LEFT(VLOOKUP($D114,'Visu totale'!$D:$DH,CW$1,0),1)="V",IF(CV114&gt;=INDEX('[1]Définition Maintenances'!$G:$G,MATCH($A114,'[1]Définition Maintenances'!$K:$K,0)),CV114,INDEX('[1]Définition Maintenances'!$G:$G,MATCH($A114,'[1]Définition Maintenances'!$K:$K,0))+CV114),CV114))</f>
        <v>278</v>
      </c>
      <c r="CX114" s="25">
        <f>IF(ISNUMBER(VLOOKUP($D114,'Visu totale'!$D:$DH,CX$1,0)),CW114-VLOOKUP($D114,'Visu totale'!$D:$DH,CX$1,0),IF(LEFT(VLOOKUP($D114,'Visu totale'!$D:$DH,CX$1,0),1)="V",IF(CW114&gt;=INDEX('[1]Définition Maintenances'!$G:$G,MATCH($A114,'[1]Définition Maintenances'!$K:$K,0)),CW114,INDEX('[1]Définition Maintenances'!$G:$G,MATCH($A114,'[1]Définition Maintenances'!$K:$K,0))+CW114),CW114))</f>
        <v>278</v>
      </c>
      <c r="CY114" s="26">
        <f>IF(ISNUMBER(VLOOKUP($D114,'Visu totale'!$D:$DH,CY$1,0)),CX114-VLOOKUP($D114,'Visu totale'!$D:$DH,CY$1,0),IF(LEFT(VLOOKUP($D114,'Visu totale'!$D:$DH,CY$1,0),1)="V",IF(CX114&gt;=INDEX('[1]Définition Maintenances'!$G:$G,MATCH($A114,'[1]Définition Maintenances'!$K:$K,0)),CX114,INDEX('[1]Définition Maintenances'!$G:$G,MATCH($A114,'[1]Définition Maintenances'!$K:$K,0))+CX114),CX114))</f>
        <v>278</v>
      </c>
      <c r="CZ114" s="26">
        <f>IF(ISNUMBER(VLOOKUP($D114,'Visu totale'!$D:$DH,CZ$1,0)),CY114-VLOOKUP($D114,'Visu totale'!$D:$DH,CZ$1,0),IF(LEFT(VLOOKUP($D114,'Visu totale'!$D:$DH,CZ$1,0),1)="V",IF(CY114&gt;=INDEX('[1]Définition Maintenances'!$G:$G,MATCH($A114,'[1]Définition Maintenances'!$K:$K,0)),CY114,INDEX('[1]Définition Maintenances'!$G:$G,MATCH($A114,'[1]Définition Maintenances'!$K:$K,0))+CY114),CY114))</f>
        <v>278</v>
      </c>
      <c r="DA114" s="26">
        <f>IF(ISNUMBER(VLOOKUP($D114,'Visu totale'!$D:$DH,DA$1,0)),CZ114-VLOOKUP($D114,'Visu totale'!$D:$DH,DA$1,0),IF(LEFT(VLOOKUP($D114,'Visu totale'!$D:$DH,DA$1,0),1)="V",IF(CZ114&gt;=INDEX('[1]Définition Maintenances'!$G:$G,MATCH($A114,'[1]Définition Maintenances'!$K:$K,0)),CZ114,INDEX('[1]Définition Maintenances'!$G:$G,MATCH($A114,'[1]Définition Maintenances'!$K:$K,0))+CZ114),CZ114))</f>
        <v>278</v>
      </c>
      <c r="DB114" s="26">
        <f>IF(ISNUMBER(VLOOKUP($D114,'Visu totale'!$D:$DH,DB$1,0)),DA114-VLOOKUP($D114,'Visu totale'!$D:$DH,DB$1,0),IF(LEFT(VLOOKUP($D114,'Visu totale'!$D:$DH,DB$1,0),1)="V",IF(DA114&gt;=INDEX('[1]Définition Maintenances'!$G:$G,MATCH($A114,'[1]Définition Maintenances'!$K:$K,0)),DA114,INDEX('[1]Définition Maintenances'!$G:$G,MATCH($A114,'[1]Définition Maintenances'!$K:$K,0))+DA114),DA114))</f>
        <v>278</v>
      </c>
      <c r="DC114" s="26">
        <f>IF(ISNUMBER(VLOOKUP($D114,'Visu totale'!$D:$DH,DC$1,0)),DB114-VLOOKUP($D114,'Visu totale'!$D:$DH,DC$1,0),IF(LEFT(VLOOKUP($D114,'Visu totale'!$D:$DH,DC$1,0),1)="V",IF(DB114&gt;=INDEX('[1]Définition Maintenances'!$G:$G,MATCH($A114,'[1]Définition Maintenances'!$K:$K,0)),DB114,INDEX('[1]Définition Maintenances'!$G:$G,MATCH($A114,'[1]Définition Maintenances'!$K:$K,0))+DB114),DB114))</f>
        <v>278</v>
      </c>
      <c r="DD114" s="26">
        <f>IF(ISNUMBER(VLOOKUP($D114,'Visu totale'!$D:$DH,DD$1,0)),DC114-VLOOKUP($D114,'Visu totale'!$D:$DH,DD$1,0),IF(LEFT(VLOOKUP($D114,'Visu totale'!$D:$DH,DD$1,0),1)="V",IF(DC114&gt;=INDEX('[1]Définition Maintenances'!$G:$G,MATCH($A114,'[1]Définition Maintenances'!$K:$K,0)),DC114,INDEX('[1]Définition Maintenances'!$G:$G,MATCH($A114,'[1]Définition Maintenances'!$K:$K,0))+DC114),DC114))</f>
        <v>278</v>
      </c>
      <c r="DE114" s="26">
        <f>IF(ISNUMBER(VLOOKUP($D114,'Visu totale'!$D:$DH,DE$1,0)),DD114-VLOOKUP($D114,'Visu totale'!$D:$DH,DE$1,0),IF(LEFT(VLOOKUP($D114,'Visu totale'!$D:$DH,DE$1,0),1)="V",IF(DD114&gt;=INDEX('[1]Définition Maintenances'!$G:$G,MATCH($A114,'[1]Définition Maintenances'!$K:$K,0)),DD114,INDEX('[1]Définition Maintenances'!$G:$G,MATCH($A114,'[1]Définition Maintenances'!$K:$K,0))+DD114),DD114))</f>
        <v>278</v>
      </c>
      <c r="DF114" s="26">
        <f>IF(ISNUMBER(VLOOKUP($D114,'Visu totale'!$D:$DH,DF$1,0)),DE114-VLOOKUP($D114,'Visu totale'!$D:$DH,DF$1,0),IF(LEFT(VLOOKUP($D114,'Visu totale'!$D:$DH,DF$1,0),1)="V",IF(DE114&gt;=INDEX('[1]Définition Maintenances'!$G:$G,MATCH($A114,'[1]Définition Maintenances'!$K:$K,0)),DE114,INDEX('[1]Définition Maintenances'!$G:$G,MATCH($A114,'[1]Définition Maintenances'!$K:$K,0))+DE114),DE114))</f>
        <v>278</v>
      </c>
      <c r="DG114" s="26">
        <f>IF(ISNUMBER(VLOOKUP($D114,'Visu totale'!$D:$DH,DG$1,0)),DF114-VLOOKUP($D114,'Visu totale'!$D:$DH,DG$1,0),IF(LEFT(VLOOKUP($D114,'Visu totale'!$D:$DH,DG$1,0),1)="V",IF(DF114&gt;=INDEX('[1]Définition Maintenances'!$G:$G,MATCH($A114,'[1]Définition Maintenances'!$K:$K,0)),DF114,INDEX('[1]Définition Maintenances'!$G:$G,MATCH($A114,'[1]Définition Maintenances'!$K:$K,0))+DF114),DF114))</f>
        <v>278</v>
      </c>
      <c r="DH114" s="26">
        <f>IF(ISNUMBER(VLOOKUP($D114,'Visu totale'!$D:$DH,DH$1,0)),DG114-VLOOKUP($D114,'Visu totale'!$D:$DH,DH$1,0),IF(LEFT(VLOOKUP($D114,'Visu totale'!$D:$DH,DH$1,0),1)="V",IF(DG114&gt;=INDEX('[1]Définition Maintenances'!$G:$G,MATCH($A114,'[1]Définition Maintenances'!$K:$K,0)),DG114,INDEX('[1]Définition Maintenances'!$G:$G,MATCH($A114,'[1]Définition Maintenances'!$K:$K,0))+DG114),DG114))</f>
        <v>278</v>
      </c>
      <c r="DI114" s="27">
        <f>IF(ISNUMBER(VLOOKUP($D114,'Visu totale'!$D:$DH,DI$1,0)),DH114-VLOOKUP($D114,'Visu totale'!$D:$DH,DI$1,0),IF(LEFT(VLOOKUP($D114,'Visu totale'!$D:$DH,DI$1,0),1)="V",IF(DH114&gt;=INDEX('[1]Définition Maintenances'!$G:$G,MATCH($A114,'[1]Définition Maintenances'!$K:$K,0)),DH114,INDEX('[1]Définition Maintenances'!$G:$G,MATCH($A114,'[1]Définition Maintenances'!$K:$K,0))+DH114),DH114))</f>
        <v>278</v>
      </c>
    </row>
    <row r="115" spans="1:113" x14ac:dyDescent="0.25">
      <c r="A115" s="13" t="str">
        <f t="shared" si="3"/>
        <v>V155</v>
      </c>
      <c r="B115" s="13" t="str">
        <f>VLOOKUP(D115,'[1]Avions (Potentiels)'!$B$2:$H$128,7,FALSE)</f>
        <v>V15</v>
      </c>
      <c r="C115" s="13"/>
      <c r="D115" s="16" t="s">
        <v>118</v>
      </c>
      <c r="E115" s="13">
        <f>IFERROR(VALUE(SUBSTITUTE(VLOOKUP(D115,'[1]Avions (Potentiels)'!$B:$E,4,0),".",",")),VALUE(VLOOKUP(D115,'[1]Avions (Potentiels)'!$B:$E,4,0)))</f>
        <v>903</v>
      </c>
      <c r="F115" s="25">
        <f>IF(ISNUMBER(VLOOKUP($D115,'Visu totale'!$D:$DH,F$1,0)),E115-VLOOKUP($D115,'Visu totale'!$D:$DH,F$1,0),IF(LEFT(VLOOKUP($D115,'Visu totale'!$D:$DH,F$1,0),1)="V",IF(E115&gt;=INDEX('[1]Définition Maintenances'!$G:$G,MATCH($A115,'[1]Définition Maintenances'!$K:$K,0)),E115,INDEX('[1]Définition Maintenances'!$G:$G,MATCH($A115,'[1]Définition Maintenances'!$K:$K,0))+E115),E115))</f>
        <v>903</v>
      </c>
      <c r="G115" s="26">
        <f>IF(ISNUMBER(VLOOKUP($D115,'Visu totale'!$D:$DH,G$1,0)),F115-VLOOKUP($D115,'Visu totale'!$D:$DH,G$1,0),IF(LEFT(VLOOKUP($D115,'Visu totale'!$D:$DH,G$1,0),1)="V",IF(F115&gt;=INDEX('[1]Définition Maintenances'!$G:$G,MATCH($A115,'[1]Définition Maintenances'!$K:$K,0)),F115,INDEX('[1]Définition Maintenances'!$G:$G,MATCH($A115,'[1]Définition Maintenances'!$K:$K,0))+F115),F115))</f>
        <v>903</v>
      </c>
      <c r="H115" s="26">
        <f>IF(ISNUMBER(VLOOKUP($D115,'Visu totale'!$D:$DH,H$1,0)),G115-VLOOKUP($D115,'Visu totale'!$D:$DH,H$1,0),IF(LEFT(VLOOKUP($D115,'Visu totale'!$D:$DH,H$1,0),1)="V",IF(G115&gt;=INDEX('[1]Définition Maintenances'!$G:$G,MATCH($A115,'[1]Définition Maintenances'!$K:$K,0)),G115,INDEX('[1]Définition Maintenances'!$G:$G,MATCH($A115,'[1]Définition Maintenances'!$K:$K,0))+G115),G115))</f>
        <v>903</v>
      </c>
      <c r="I115" s="26">
        <f>IF(ISNUMBER(VLOOKUP($D115,'Visu totale'!$D:$DH,I$1,0)),H115-VLOOKUP($D115,'Visu totale'!$D:$DH,I$1,0),IF(LEFT(VLOOKUP($D115,'Visu totale'!$D:$DH,I$1,0),1)="V",IF(H115&gt;=INDEX('[1]Définition Maintenances'!$G:$G,MATCH($A115,'[1]Définition Maintenances'!$K:$K,0)),H115,INDEX('[1]Définition Maintenances'!$G:$G,MATCH($A115,'[1]Définition Maintenances'!$K:$K,0))+H115),H115))</f>
        <v>903</v>
      </c>
      <c r="J115" s="26">
        <f>IF(ISNUMBER(VLOOKUP($D115,'Visu totale'!$D:$DH,J$1,0)),I115-VLOOKUP($D115,'Visu totale'!$D:$DH,J$1,0),IF(LEFT(VLOOKUP($D115,'Visu totale'!$D:$DH,J$1,0),1)="V",IF(I115&gt;=INDEX('[1]Définition Maintenances'!$G:$G,MATCH($A115,'[1]Définition Maintenances'!$K:$K,0)),I115,INDEX('[1]Définition Maintenances'!$G:$G,MATCH($A115,'[1]Définition Maintenances'!$K:$K,0))+I115),I115))</f>
        <v>903</v>
      </c>
      <c r="K115" s="26">
        <f>IF(ISNUMBER(VLOOKUP($D115,'Visu totale'!$D:$DH,K$1,0)),J115-VLOOKUP($D115,'Visu totale'!$D:$DH,K$1,0),IF(LEFT(VLOOKUP($D115,'Visu totale'!$D:$DH,K$1,0),1)="V",IF(J115&gt;=INDEX('[1]Définition Maintenances'!$G:$G,MATCH($A115,'[1]Définition Maintenances'!$K:$K,0)),J115,INDEX('[1]Définition Maintenances'!$G:$G,MATCH($A115,'[1]Définition Maintenances'!$K:$K,0))+J115),J115))</f>
        <v>903</v>
      </c>
      <c r="L115" s="26">
        <f>IF(ISNUMBER(VLOOKUP($D115,'Visu totale'!$D:$DH,L$1,0)),K115-VLOOKUP($D115,'Visu totale'!$D:$DH,L$1,0),IF(LEFT(VLOOKUP($D115,'Visu totale'!$D:$DH,L$1,0),1)="V",IF(K115&gt;=INDEX('[1]Définition Maintenances'!$G:$G,MATCH($A115,'[1]Définition Maintenances'!$K:$K,0)),K115,INDEX('[1]Définition Maintenances'!$G:$G,MATCH($A115,'[1]Définition Maintenances'!$K:$K,0))+K115),K115))</f>
        <v>903</v>
      </c>
      <c r="M115" s="26">
        <f>IF(ISNUMBER(VLOOKUP($D115,'Visu totale'!$D:$DH,M$1,0)),L115-VLOOKUP($D115,'Visu totale'!$D:$DH,M$1,0),IF(LEFT(VLOOKUP($D115,'Visu totale'!$D:$DH,M$1,0),1)="V",IF(L115&gt;=INDEX('[1]Définition Maintenances'!$G:$G,MATCH($A115,'[1]Définition Maintenances'!$K:$K,0)),L115,INDEX('[1]Définition Maintenances'!$G:$G,MATCH($A115,'[1]Définition Maintenances'!$K:$K,0))+L115),L115))</f>
        <v>903</v>
      </c>
      <c r="N115" s="26">
        <f>IF(ISNUMBER(VLOOKUP($D115,'Visu totale'!$D:$DH,N$1,0)),M115-VLOOKUP($D115,'Visu totale'!$D:$DH,N$1,0),IF(LEFT(VLOOKUP($D115,'Visu totale'!$D:$DH,N$1,0),1)="V",IF(M115&gt;=INDEX('[1]Définition Maintenances'!$G:$G,MATCH($A115,'[1]Définition Maintenances'!$K:$K,0)),M115,INDEX('[1]Définition Maintenances'!$G:$G,MATCH($A115,'[1]Définition Maintenances'!$K:$K,0))+M115),M115))</f>
        <v>903</v>
      </c>
      <c r="O115" s="26">
        <f>IF(ISNUMBER(VLOOKUP($D115,'Visu totale'!$D:$DH,O$1,0)),N115-VLOOKUP($D115,'Visu totale'!$D:$DH,O$1,0),IF(LEFT(VLOOKUP($D115,'Visu totale'!$D:$DH,O$1,0),1)="V",IF(N115&gt;=INDEX('[1]Définition Maintenances'!$G:$G,MATCH($A115,'[1]Définition Maintenances'!$K:$K,0)),N115,INDEX('[1]Définition Maintenances'!$G:$G,MATCH($A115,'[1]Définition Maintenances'!$K:$K,0))+N115),N115))</f>
        <v>903</v>
      </c>
      <c r="P115" s="26">
        <f>IF(ISNUMBER(VLOOKUP($D115,'Visu totale'!$D:$DH,P$1,0)),O115-VLOOKUP($D115,'Visu totale'!$D:$DH,P$1,0),IF(LEFT(VLOOKUP($D115,'Visu totale'!$D:$DH,P$1,0),1)="V",IF(O115&gt;=INDEX('[1]Définition Maintenances'!$G:$G,MATCH($A115,'[1]Définition Maintenances'!$K:$K,0)),O115,INDEX('[1]Définition Maintenances'!$G:$G,MATCH($A115,'[1]Définition Maintenances'!$K:$K,0))+O115),O115))</f>
        <v>903</v>
      </c>
      <c r="Q115" s="27">
        <f>IF(ISNUMBER(VLOOKUP($D115,'Visu totale'!$D:$DH,Q$1,0)),P115-VLOOKUP($D115,'Visu totale'!$D:$DH,Q$1,0),IF(LEFT(VLOOKUP($D115,'Visu totale'!$D:$DH,Q$1,0),1)="V",IF(P115&gt;=INDEX('[1]Définition Maintenances'!$G:$G,MATCH($A115,'[1]Définition Maintenances'!$K:$K,0)),P115,INDEX('[1]Définition Maintenances'!$G:$G,MATCH($A115,'[1]Définition Maintenances'!$K:$K,0))+P115),P115))</f>
        <v>903</v>
      </c>
      <c r="R115" s="25">
        <f>IF(ISNUMBER(VLOOKUP($D115,'Visu totale'!$D:$DH,R$1,0)),Q115-VLOOKUP($D115,'Visu totale'!$D:$DH,R$1,0),IF(LEFT(VLOOKUP($D115,'Visu totale'!$D:$DH,R$1,0),1)="V",IF(Q115&gt;=INDEX('[1]Définition Maintenances'!$G:$G,MATCH($A115,'[1]Définition Maintenances'!$K:$K,0)),Q115,INDEX('[1]Définition Maintenances'!$G:$G,MATCH($A115,'[1]Définition Maintenances'!$K:$K,0))+Q115),Q115))</f>
        <v>903</v>
      </c>
      <c r="S115" s="26">
        <f>IF(ISNUMBER(VLOOKUP($D115,'Visu totale'!$D:$DH,S$1,0)),R115-VLOOKUP($D115,'Visu totale'!$D:$DH,S$1,0),IF(LEFT(VLOOKUP($D115,'Visu totale'!$D:$DH,S$1,0),1)="V",IF(R115&gt;=INDEX('[1]Définition Maintenances'!$G:$G,MATCH($A115,'[1]Définition Maintenances'!$K:$K,0)),R115,INDEX('[1]Définition Maintenances'!$G:$G,MATCH($A115,'[1]Définition Maintenances'!$K:$K,0))+R115),R115))</f>
        <v>903</v>
      </c>
      <c r="T115" s="26">
        <f>IF(ISNUMBER(VLOOKUP($D115,'Visu totale'!$D:$DH,T$1,0)),S115-VLOOKUP($D115,'Visu totale'!$D:$DH,T$1,0),IF(LEFT(VLOOKUP($D115,'Visu totale'!$D:$DH,T$1,0),1)="V",IF(S115&gt;=INDEX('[1]Définition Maintenances'!$G:$G,MATCH($A115,'[1]Définition Maintenances'!$K:$K,0)),S115,INDEX('[1]Définition Maintenances'!$G:$G,MATCH($A115,'[1]Définition Maintenances'!$K:$K,0))+S115),S115))</f>
        <v>903</v>
      </c>
      <c r="U115" s="26">
        <f>IF(ISNUMBER(VLOOKUP($D115,'Visu totale'!$D:$DH,U$1,0)),T115-VLOOKUP($D115,'Visu totale'!$D:$DH,U$1,0),IF(LEFT(VLOOKUP($D115,'Visu totale'!$D:$DH,U$1,0),1)="V",IF(T115&gt;=INDEX('[1]Définition Maintenances'!$G:$G,MATCH($A115,'[1]Définition Maintenances'!$K:$K,0)),T115,INDEX('[1]Définition Maintenances'!$G:$G,MATCH($A115,'[1]Définition Maintenances'!$K:$K,0))+T115),T115))</f>
        <v>903</v>
      </c>
      <c r="V115" s="26">
        <f>IF(ISNUMBER(VLOOKUP($D115,'Visu totale'!$D:$DH,V$1,0)),U115-VLOOKUP($D115,'Visu totale'!$D:$DH,V$1,0),IF(LEFT(VLOOKUP($D115,'Visu totale'!$D:$DH,V$1,0),1)="V",IF(U115&gt;=INDEX('[1]Définition Maintenances'!$G:$G,MATCH($A115,'[1]Définition Maintenances'!$K:$K,0)),U115,INDEX('[1]Définition Maintenances'!$G:$G,MATCH($A115,'[1]Définition Maintenances'!$K:$K,0))+U115),U115))</f>
        <v>903</v>
      </c>
      <c r="W115" s="26">
        <f>IF(ISNUMBER(VLOOKUP($D115,'Visu totale'!$D:$DH,W$1,0)),V115-VLOOKUP($D115,'Visu totale'!$D:$DH,W$1,0),IF(LEFT(VLOOKUP($D115,'Visu totale'!$D:$DH,W$1,0),1)="V",IF(V115&gt;=INDEX('[1]Définition Maintenances'!$G:$G,MATCH($A115,'[1]Définition Maintenances'!$K:$K,0)),V115,INDEX('[1]Définition Maintenances'!$G:$G,MATCH($A115,'[1]Définition Maintenances'!$K:$K,0))+V115),V115))</f>
        <v>903</v>
      </c>
      <c r="X115" s="26">
        <f>IF(ISNUMBER(VLOOKUP($D115,'Visu totale'!$D:$DH,X$1,0)),W115-VLOOKUP($D115,'Visu totale'!$D:$DH,X$1,0),IF(LEFT(VLOOKUP($D115,'Visu totale'!$D:$DH,X$1,0),1)="V",IF(W115&gt;=INDEX('[1]Définition Maintenances'!$G:$G,MATCH($A115,'[1]Définition Maintenances'!$K:$K,0)),W115,INDEX('[1]Définition Maintenances'!$G:$G,MATCH($A115,'[1]Définition Maintenances'!$K:$K,0))+W115),W115))</f>
        <v>903</v>
      </c>
      <c r="Y115" s="26">
        <f>IF(ISNUMBER(VLOOKUP($D115,'Visu totale'!$D:$DH,Y$1,0)),X115-VLOOKUP($D115,'Visu totale'!$D:$DH,Y$1,0),IF(LEFT(VLOOKUP($D115,'Visu totale'!$D:$DH,Y$1,0),1)="V",IF(X115&gt;=INDEX('[1]Définition Maintenances'!$G:$G,MATCH($A115,'[1]Définition Maintenances'!$K:$K,0)),X115,INDEX('[1]Définition Maintenances'!$G:$G,MATCH($A115,'[1]Définition Maintenances'!$K:$K,0))+X115),X115))</f>
        <v>903</v>
      </c>
      <c r="Z115" s="26">
        <f>IF(ISNUMBER(VLOOKUP($D115,'Visu totale'!$D:$DH,Z$1,0)),Y115-VLOOKUP($D115,'Visu totale'!$D:$DH,Z$1,0),IF(LEFT(VLOOKUP($D115,'Visu totale'!$D:$DH,Z$1,0),1)="V",IF(Y115&gt;=INDEX('[1]Définition Maintenances'!$G:$G,MATCH($A115,'[1]Définition Maintenances'!$K:$K,0)),Y115,INDEX('[1]Définition Maintenances'!$G:$G,MATCH($A115,'[1]Définition Maintenances'!$K:$K,0))+Y115),Y115))</f>
        <v>903</v>
      </c>
      <c r="AA115" s="26">
        <f>IF(ISNUMBER(VLOOKUP($D115,'Visu totale'!$D:$DH,AA$1,0)),Z115-VLOOKUP($D115,'Visu totale'!$D:$DH,AA$1,0),IF(LEFT(VLOOKUP($D115,'Visu totale'!$D:$DH,AA$1,0),1)="V",IF(Z115&gt;=INDEX('[1]Définition Maintenances'!$G:$G,MATCH($A115,'[1]Définition Maintenances'!$K:$K,0)),Z115,INDEX('[1]Définition Maintenances'!$G:$G,MATCH($A115,'[1]Définition Maintenances'!$K:$K,0))+Z115),Z115))</f>
        <v>903</v>
      </c>
      <c r="AB115" s="26">
        <f>IF(ISNUMBER(VLOOKUP($D115,'Visu totale'!$D:$DH,AB$1,0)),AA115-VLOOKUP($D115,'Visu totale'!$D:$DH,AB$1,0),IF(LEFT(VLOOKUP($D115,'Visu totale'!$D:$DH,AB$1,0),1)="V",IF(AA115&gt;=INDEX('[1]Définition Maintenances'!$G:$G,MATCH($A115,'[1]Définition Maintenances'!$K:$K,0)),AA115,INDEX('[1]Définition Maintenances'!$G:$G,MATCH($A115,'[1]Définition Maintenances'!$K:$K,0))+AA115),AA115))</f>
        <v>903</v>
      </c>
      <c r="AC115" s="27">
        <f>IF(ISNUMBER(VLOOKUP($D115,'Visu totale'!$D:$DH,AC$1,0)),AB115-VLOOKUP($D115,'Visu totale'!$D:$DH,AC$1,0),IF(LEFT(VLOOKUP($D115,'Visu totale'!$D:$DH,AC$1,0),1)="V",IF(AB115&gt;=INDEX('[1]Définition Maintenances'!$G:$G,MATCH($A115,'[1]Définition Maintenances'!$K:$K,0)),AB115,INDEX('[1]Définition Maintenances'!$G:$G,MATCH($A115,'[1]Définition Maintenances'!$K:$K,0))+AB115),AB115))</f>
        <v>903</v>
      </c>
      <c r="AD115" s="25">
        <f>IF(ISNUMBER(VLOOKUP($D115,'Visu totale'!$D:$DH,AD$1,0)),AC115-VLOOKUP($D115,'Visu totale'!$D:$DH,AD$1,0),IF(LEFT(VLOOKUP($D115,'Visu totale'!$D:$DH,AD$1,0),1)="V",IF(AC115&gt;=INDEX('[1]Définition Maintenances'!$G:$G,MATCH($A115,'[1]Définition Maintenances'!$K:$K,0)),AC115,INDEX('[1]Définition Maintenances'!$G:$G,MATCH($A115,'[1]Définition Maintenances'!$K:$K,0))+AC115),AC115))</f>
        <v>903</v>
      </c>
      <c r="AE115" s="26">
        <f>IF(ISNUMBER(VLOOKUP($D115,'Visu totale'!$D:$DH,AE$1,0)),AD115-VLOOKUP($D115,'Visu totale'!$D:$DH,AE$1,0),IF(LEFT(VLOOKUP($D115,'Visu totale'!$D:$DH,AE$1,0),1)="V",IF(AD115&gt;=INDEX('[1]Définition Maintenances'!$G:$G,MATCH($A115,'[1]Définition Maintenances'!$K:$K,0)),AD115,INDEX('[1]Définition Maintenances'!$G:$G,MATCH($A115,'[1]Définition Maintenances'!$K:$K,0))+AD115),AD115))</f>
        <v>903</v>
      </c>
      <c r="AF115" s="26">
        <f>IF(ISNUMBER(VLOOKUP($D115,'Visu totale'!$D:$DH,AF$1,0)),AE115-VLOOKUP($D115,'Visu totale'!$D:$DH,AF$1,0),IF(LEFT(VLOOKUP($D115,'Visu totale'!$D:$DH,AF$1,0),1)="V",IF(AE115&gt;=INDEX('[1]Définition Maintenances'!$G:$G,MATCH($A115,'[1]Définition Maintenances'!$K:$K,0)),AE115,INDEX('[1]Définition Maintenances'!$G:$G,MATCH($A115,'[1]Définition Maintenances'!$K:$K,0))+AE115),AE115))</f>
        <v>903</v>
      </c>
      <c r="AG115" s="26">
        <f>IF(ISNUMBER(VLOOKUP($D115,'Visu totale'!$D:$DH,AG$1,0)),AF115-VLOOKUP($D115,'Visu totale'!$D:$DH,AG$1,0),IF(LEFT(VLOOKUP($D115,'Visu totale'!$D:$DH,AG$1,0),1)="V",IF(AF115&gt;=INDEX('[1]Définition Maintenances'!$G:$G,MATCH($A115,'[1]Définition Maintenances'!$K:$K,0)),AF115,INDEX('[1]Définition Maintenances'!$G:$G,MATCH($A115,'[1]Définition Maintenances'!$K:$K,0))+AF115),AF115))</f>
        <v>903</v>
      </c>
      <c r="AH115" s="26">
        <f>IF(ISNUMBER(VLOOKUP($D115,'Visu totale'!$D:$DH,AH$1,0)),AG115-VLOOKUP($D115,'Visu totale'!$D:$DH,AH$1,0),IF(LEFT(VLOOKUP($D115,'Visu totale'!$D:$DH,AH$1,0),1)="V",IF(AG115&gt;=INDEX('[1]Définition Maintenances'!$G:$G,MATCH($A115,'[1]Définition Maintenances'!$K:$K,0)),AG115,INDEX('[1]Définition Maintenances'!$G:$G,MATCH($A115,'[1]Définition Maintenances'!$K:$K,0))+AG115),AG115))</f>
        <v>903</v>
      </c>
      <c r="AI115" s="26">
        <f>IF(ISNUMBER(VLOOKUP($D115,'Visu totale'!$D:$DH,AI$1,0)),AH115-VLOOKUP($D115,'Visu totale'!$D:$DH,AI$1,0),IF(LEFT(VLOOKUP($D115,'Visu totale'!$D:$DH,AI$1,0),1)="V",IF(AH115&gt;=INDEX('[1]Définition Maintenances'!$G:$G,MATCH($A115,'[1]Définition Maintenances'!$K:$K,0)),AH115,INDEX('[1]Définition Maintenances'!$G:$G,MATCH($A115,'[1]Définition Maintenances'!$K:$K,0))+AH115),AH115))</f>
        <v>903</v>
      </c>
      <c r="AJ115" s="26">
        <f>IF(ISNUMBER(VLOOKUP($D115,'Visu totale'!$D:$DH,AJ$1,0)),AI115-VLOOKUP($D115,'Visu totale'!$D:$DH,AJ$1,0),IF(LEFT(VLOOKUP($D115,'Visu totale'!$D:$DH,AJ$1,0),1)="V",IF(AI115&gt;=INDEX('[1]Définition Maintenances'!$G:$G,MATCH($A115,'[1]Définition Maintenances'!$K:$K,0)),AI115,INDEX('[1]Définition Maintenances'!$G:$G,MATCH($A115,'[1]Définition Maintenances'!$K:$K,0))+AI115),AI115))</f>
        <v>903</v>
      </c>
      <c r="AK115" s="26">
        <f>IF(ISNUMBER(VLOOKUP($D115,'Visu totale'!$D:$DH,AK$1,0)),AJ115-VLOOKUP($D115,'Visu totale'!$D:$DH,AK$1,0),IF(LEFT(VLOOKUP($D115,'Visu totale'!$D:$DH,AK$1,0),1)="V",IF(AJ115&gt;=INDEX('[1]Définition Maintenances'!$G:$G,MATCH($A115,'[1]Définition Maintenances'!$K:$K,0)),AJ115,INDEX('[1]Définition Maintenances'!$G:$G,MATCH($A115,'[1]Définition Maintenances'!$K:$K,0))+AJ115),AJ115))</f>
        <v>903</v>
      </c>
      <c r="AL115" s="26">
        <f>IF(ISNUMBER(VLOOKUP($D115,'Visu totale'!$D:$DH,AL$1,0)),AK115-VLOOKUP($D115,'Visu totale'!$D:$DH,AL$1,0),IF(LEFT(VLOOKUP($D115,'Visu totale'!$D:$DH,AL$1,0),1)="V",IF(AK115&gt;=INDEX('[1]Définition Maintenances'!$G:$G,MATCH($A115,'[1]Définition Maintenances'!$K:$K,0)),AK115,INDEX('[1]Définition Maintenances'!$G:$G,MATCH($A115,'[1]Définition Maintenances'!$K:$K,0))+AK115),AK115))</f>
        <v>903</v>
      </c>
      <c r="AM115" s="26">
        <f>IF(ISNUMBER(VLOOKUP($D115,'Visu totale'!$D:$DH,AM$1,0)),AL115-VLOOKUP($D115,'Visu totale'!$D:$DH,AM$1,0),IF(LEFT(VLOOKUP($D115,'Visu totale'!$D:$DH,AM$1,0),1)="V",IF(AL115&gt;=INDEX('[1]Définition Maintenances'!$G:$G,MATCH($A115,'[1]Définition Maintenances'!$K:$K,0)),AL115,INDEX('[1]Définition Maintenances'!$G:$G,MATCH($A115,'[1]Définition Maintenances'!$K:$K,0))+AL115),AL115))</f>
        <v>903</v>
      </c>
      <c r="AN115" s="26">
        <f>IF(ISNUMBER(VLOOKUP($D115,'Visu totale'!$D:$DH,AN$1,0)),AM115-VLOOKUP($D115,'Visu totale'!$D:$DH,AN$1,0),IF(LEFT(VLOOKUP($D115,'Visu totale'!$D:$DH,AN$1,0),1)="V",IF(AM115&gt;=INDEX('[1]Définition Maintenances'!$G:$G,MATCH($A115,'[1]Définition Maintenances'!$K:$K,0)),AM115,INDEX('[1]Définition Maintenances'!$G:$G,MATCH($A115,'[1]Définition Maintenances'!$K:$K,0))+AM115),AM115))</f>
        <v>903</v>
      </c>
      <c r="AO115" s="27">
        <f>IF(ISNUMBER(VLOOKUP($D115,'Visu totale'!$D:$DH,AO$1,0)),AN115-VLOOKUP($D115,'Visu totale'!$D:$DH,AO$1,0),IF(LEFT(VLOOKUP($D115,'Visu totale'!$D:$DH,AO$1,0),1)="V",IF(AN115&gt;=INDEX('[1]Définition Maintenances'!$G:$G,MATCH($A115,'[1]Définition Maintenances'!$K:$K,0)),AN115,INDEX('[1]Définition Maintenances'!$G:$G,MATCH($A115,'[1]Définition Maintenances'!$K:$K,0))+AN115),AN115))</f>
        <v>903</v>
      </c>
      <c r="AP115" s="25">
        <f>IF(ISNUMBER(VLOOKUP($D115,'Visu totale'!$D:$DH,AP$1,0)),AO115-VLOOKUP($D115,'Visu totale'!$D:$DH,AP$1,0),IF(LEFT(VLOOKUP($D115,'Visu totale'!$D:$DH,AP$1,0),1)="V",IF(AO115&gt;=INDEX('[1]Définition Maintenances'!$G:$G,MATCH($A115,'[1]Définition Maintenances'!$K:$K,0)),AO115,INDEX('[1]Définition Maintenances'!$G:$G,MATCH($A115,'[1]Définition Maintenances'!$K:$K,0))+AO115),AO115))</f>
        <v>903</v>
      </c>
      <c r="AQ115" s="26">
        <f>IF(ISNUMBER(VLOOKUP($D115,'Visu totale'!$D:$DH,AQ$1,0)),AP115-VLOOKUP($D115,'Visu totale'!$D:$DH,AQ$1,0),IF(LEFT(VLOOKUP($D115,'Visu totale'!$D:$DH,AQ$1,0),1)="V",IF(AP115&gt;=INDEX('[1]Définition Maintenances'!$G:$G,MATCH($A115,'[1]Définition Maintenances'!$K:$K,0)),AP115,INDEX('[1]Définition Maintenances'!$G:$G,MATCH($A115,'[1]Définition Maintenances'!$K:$K,0))+AP115),AP115))</f>
        <v>903</v>
      </c>
      <c r="AR115" s="26">
        <f>IF(ISNUMBER(VLOOKUP($D115,'Visu totale'!$D:$DH,AR$1,0)),AQ115-VLOOKUP($D115,'Visu totale'!$D:$DH,AR$1,0),IF(LEFT(VLOOKUP($D115,'Visu totale'!$D:$DH,AR$1,0),1)="V",IF(AQ115&gt;=INDEX('[1]Définition Maintenances'!$G:$G,MATCH($A115,'[1]Définition Maintenances'!$K:$K,0)),AQ115,INDEX('[1]Définition Maintenances'!$G:$G,MATCH($A115,'[1]Définition Maintenances'!$K:$K,0))+AQ115),AQ115))</f>
        <v>903</v>
      </c>
      <c r="AS115" s="26">
        <f>IF(ISNUMBER(VLOOKUP($D115,'Visu totale'!$D:$DH,AS$1,0)),AR115-VLOOKUP($D115,'Visu totale'!$D:$DH,AS$1,0),IF(LEFT(VLOOKUP($D115,'Visu totale'!$D:$DH,AS$1,0),1)="V",IF(AR115&gt;=INDEX('[1]Définition Maintenances'!$G:$G,MATCH($A115,'[1]Définition Maintenances'!$K:$K,0)),AR115,INDEX('[1]Définition Maintenances'!$G:$G,MATCH($A115,'[1]Définition Maintenances'!$K:$K,0))+AR115),AR115))</f>
        <v>903</v>
      </c>
      <c r="AT115" s="26">
        <f>IF(ISNUMBER(VLOOKUP($D115,'Visu totale'!$D:$DH,AT$1,0)),AS115-VLOOKUP($D115,'Visu totale'!$D:$DH,AT$1,0),IF(LEFT(VLOOKUP($D115,'Visu totale'!$D:$DH,AT$1,0),1)="V",IF(AS115&gt;=INDEX('[1]Définition Maintenances'!$G:$G,MATCH($A115,'[1]Définition Maintenances'!$K:$K,0)),AS115,INDEX('[1]Définition Maintenances'!$G:$G,MATCH($A115,'[1]Définition Maintenances'!$K:$K,0))+AS115),AS115))</f>
        <v>903</v>
      </c>
      <c r="AU115" s="26">
        <f>IF(ISNUMBER(VLOOKUP($D115,'Visu totale'!$D:$DH,AU$1,0)),AT115-VLOOKUP($D115,'Visu totale'!$D:$DH,AU$1,0),IF(LEFT(VLOOKUP($D115,'Visu totale'!$D:$DH,AU$1,0),1)="V",IF(AT115&gt;=INDEX('[1]Définition Maintenances'!$G:$G,MATCH($A115,'[1]Définition Maintenances'!$K:$K,0)),AT115,INDEX('[1]Définition Maintenances'!$G:$G,MATCH($A115,'[1]Définition Maintenances'!$K:$K,0))+AT115),AT115))</f>
        <v>903</v>
      </c>
      <c r="AV115" s="26">
        <f>IF(ISNUMBER(VLOOKUP($D115,'Visu totale'!$D:$DH,AV$1,0)),AU115-VLOOKUP($D115,'Visu totale'!$D:$DH,AV$1,0),IF(LEFT(VLOOKUP($D115,'Visu totale'!$D:$DH,AV$1,0),1)="V",IF(AU115&gt;=INDEX('[1]Définition Maintenances'!$G:$G,MATCH($A115,'[1]Définition Maintenances'!$K:$K,0)),AU115,INDEX('[1]Définition Maintenances'!$G:$G,MATCH($A115,'[1]Définition Maintenances'!$K:$K,0))+AU115),AU115))</f>
        <v>903</v>
      </c>
      <c r="AW115" s="26">
        <f>IF(ISNUMBER(VLOOKUP($D115,'Visu totale'!$D:$DH,AW$1,0)),AV115-VLOOKUP($D115,'Visu totale'!$D:$DH,AW$1,0),IF(LEFT(VLOOKUP($D115,'Visu totale'!$D:$DH,AW$1,0),1)="V",IF(AV115&gt;=INDEX('[1]Définition Maintenances'!$G:$G,MATCH($A115,'[1]Définition Maintenances'!$K:$K,0)),AV115,INDEX('[1]Définition Maintenances'!$G:$G,MATCH($A115,'[1]Définition Maintenances'!$K:$K,0))+AV115),AV115))</f>
        <v>903</v>
      </c>
      <c r="AX115" s="26">
        <f>IF(ISNUMBER(VLOOKUP($D115,'Visu totale'!$D:$DH,AX$1,0)),AW115-VLOOKUP($D115,'Visu totale'!$D:$DH,AX$1,0),IF(LEFT(VLOOKUP($D115,'Visu totale'!$D:$DH,AX$1,0),1)="V",IF(AW115&gt;=INDEX('[1]Définition Maintenances'!$G:$G,MATCH($A115,'[1]Définition Maintenances'!$K:$K,0)),AW115,INDEX('[1]Définition Maintenances'!$G:$G,MATCH($A115,'[1]Définition Maintenances'!$K:$K,0))+AW115),AW115))</f>
        <v>903</v>
      </c>
      <c r="AY115" s="26">
        <f>IF(ISNUMBER(VLOOKUP($D115,'Visu totale'!$D:$DH,AY$1,0)),AX115-VLOOKUP($D115,'Visu totale'!$D:$DH,AY$1,0),IF(LEFT(VLOOKUP($D115,'Visu totale'!$D:$DH,AY$1,0),1)="V",IF(AX115&gt;=INDEX('[1]Définition Maintenances'!$G:$G,MATCH($A115,'[1]Définition Maintenances'!$K:$K,0)),AX115,INDEX('[1]Définition Maintenances'!$G:$G,MATCH($A115,'[1]Définition Maintenances'!$K:$K,0))+AX115),AX115))</f>
        <v>903</v>
      </c>
      <c r="AZ115" s="26">
        <f>IF(ISNUMBER(VLOOKUP($D115,'Visu totale'!$D:$DH,AZ$1,0)),AY115-VLOOKUP($D115,'Visu totale'!$D:$DH,AZ$1,0),IF(LEFT(VLOOKUP($D115,'Visu totale'!$D:$DH,AZ$1,0),1)="V",IF(AY115&gt;=INDEX('[1]Définition Maintenances'!$G:$G,MATCH($A115,'[1]Définition Maintenances'!$K:$K,0)),AY115,INDEX('[1]Définition Maintenances'!$G:$G,MATCH($A115,'[1]Définition Maintenances'!$K:$K,0))+AY115),AY115))</f>
        <v>903</v>
      </c>
      <c r="BA115" s="27">
        <f>IF(ISNUMBER(VLOOKUP($D115,'Visu totale'!$D:$DH,BA$1,0)),AZ115-VLOOKUP($D115,'Visu totale'!$D:$DH,BA$1,0),IF(LEFT(VLOOKUP($D115,'Visu totale'!$D:$DH,BA$1,0),1)="V",IF(AZ115&gt;=INDEX('[1]Définition Maintenances'!$G:$G,MATCH($A115,'[1]Définition Maintenances'!$K:$K,0)),AZ115,INDEX('[1]Définition Maintenances'!$G:$G,MATCH($A115,'[1]Définition Maintenances'!$K:$K,0))+AZ115),AZ115))</f>
        <v>903</v>
      </c>
      <c r="BB115" s="25">
        <f>IF(ISNUMBER(VLOOKUP($D115,'Visu totale'!$D:$DH,BB$1,0)),BA115-VLOOKUP($D115,'Visu totale'!$D:$DH,BB$1,0),IF(LEFT(VLOOKUP($D115,'Visu totale'!$D:$DH,BB$1,0),1)="V",IF(BA115&gt;=INDEX('[1]Définition Maintenances'!$G:$G,MATCH($A115,'[1]Définition Maintenances'!$K:$K,0)),BA115,INDEX('[1]Définition Maintenances'!$G:$G,MATCH($A115,'[1]Définition Maintenances'!$K:$K,0))+BA115),BA115))</f>
        <v>903</v>
      </c>
      <c r="BC115" s="26">
        <f>IF(ISNUMBER(VLOOKUP($D115,'Visu totale'!$D:$DH,BC$1,0)),BB115-VLOOKUP($D115,'Visu totale'!$D:$DH,BC$1,0),IF(LEFT(VLOOKUP($D115,'Visu totale'!$D:$DH,BC$1,0),1)="V",IF(BB115&gt;=INDEX('[1]Définition Maintenances'!$G:$G,MATCH($A115,'[1]Définition Maintenances'!$K:$K,0)),BB115,INDEX('[1]Définition Maintenances'!$G:$G,MATCH($A115,'[1]Définition Maintenances'!$K:$K,0))+BB115),BB115))</f>
        <v>903</v>
      </c>
      <c r="BD115" s="26">
        <f>IF(ISNUMBER(VLOOKUP($D115,'Visu totale'!$D:$DH,BD$1,0)),BC115-VLOOKUP($D115,'Visu totale'!$D:$DH,BD$1,0),IF(LEFT(VLOOKUP($D115,'Visu totale'!$D:$DH,BD$1,0),1)="V",IF(BC115&gt;=INDEX('[1]Définition Maintenances'!$G:$G,MATCH($A115,'[1]Définition Maintenances'!$K:$K,0)),BC115,INDEX('[1]Définition Maintenances'!$G:$G,MATCH($A115,'[1]Définition Maintenances'!$K:$K,0))+BC115),BC115))</f>
        <v>903</v>
      </c>
      <c r="BE115" s="26">
        <f>IF(ISNUMBER(VLOOKUP($D115,'Visu totale'!$D:$DH,BE$1,0)),BD115-VLOOKUP($D115,'Visu totale'!$D:$DH,BE$1,0),IF(LEFT(VLOOKUP($D115,'Visu totale'!$D:$DH,BE$1,0),1)="V",IF(BD115&gt;=INDEX('[1]Définition Maintenances'!$G:$G,MATCH($A115,'[1]Définition Maintenances'!$K:$K,0)),BD115,INDEX('[1]Définition Maintenances'!$G:$G,MATCH($A115,'[1]Définition Maintenances'!$K:$K,0))+BD115),BD115))</f>
        <v>903</v>
      </c>
      <c r="BF115" s="26">
        <f>IF(ISNUMBER(VLOOKUP($D115,'Visu totale'!$D:$DH,BF$1,0)),BE115-VLOOKUP($D115,'Visu totale'!$D:$DH,BF$1,0),IF(LEFT(VLOOKUP($D115,'Visu totale'!$D:$DH,BF$1,0),1)="V",IF(BE115&gt;=INDEX('[1]Définition Maintenances'!$G:$G,MATCH($A115,'[1]Définition Maintenances'!$K:$K,0)),BE115,INDEX('[1]Définition Maintenances'!$G:$G,MATCH($A115,'[1]Définition Maintenances'!$K:$K,0))+BE115),BE115))</f>
        <v>903</v>
      </c>
      <c r="BG115" s="26">
        <f>IF(ISNUMBER(VLOOKUP($D115,'Visu totale'!$D:$DH,BG$1,0)),BF115-VLOOKUP($D115,'Visu totale'!$D:$DH,BG$1,0),IF(LEFT(VLOOKUP($D115,'Visu totale'!$D:$DH,BG$1,0),1)="V",IF(BF115&gt;=INDEX('[1]Définition Maintenances'!$G:$G,MATCH($A115,'[1]Définition Maintenances'!$K:$K,0)),BF115,INDEX('[1]Définition Maintenances'!$G:$G,MATCH($A115,'[1]Définition Maintenances'!$K:$K,0))+BF115),BF115))</f>
        <v>903</v>
      </c>
      <c r="BH115" s="26">
        <f>IF(ISNUMBER(VLOOKUP($D115,'Visu totale'!$D:$DH,BH$1,0)),BG115-VLOOKUP($D115,'Visu totale'!$D:$DH,BH$1,0),IF(LEFT(VLOOKUP($D115,'Visu totale'!$D:$DH,BH$1,0),1)="V",IF(BG115&gt;=INDEX('[1]Définition Maintenances'!$G:$G,MATCH($A115,'[1]Définition Maintenances'!$K:$K,0)),BG115,INDEX('[1]Définition Maintenances'!$G:$G,MATCH($A115,'[1]Définition Maintenances'!$K:$K,0))+BG115),BG115))</f>
        <v>903</v>
      </c>
      <c r="BI115" s="26">
        <f>IF(ISNUMBER(VLOOKUP($D115,'Visu totale'!$D:$DH,BI$1,0)),BH115-VLOOKUP($D115,'Visu totale'!$D:$DH,BI$1,0),IF(LEFT(VLOOKUP($D115,'Visu totale'!$D:$DH,BI$1,0),1)="V",IF(BH115&gt;=INDEX('[1]Définition Maintenances'!$G:$G,MATCH($A115,'[1]Définition Maintenances'!$K:$K,0)),BH115,INDEX('[1]Définition Maintenances'!$G:$G,MATCH($A115,'[1]Définition Maintenances'!$K:$K,0))+BH115),BH115))</f>
        <v>903</v>
      </c>
      <c r="BJ115" s="26">
        <f>IF(ISNUMBER(VLOOKUP($D115,'Visu totale'!$D:$DH,BJ$1,0)),BI115-VLOOKUP($D115,'Visu totale'!$D:$DH,BJ$1,0),IF(LEFT(VLOOKUP($D115,'Visu totale'!$D:$DH,BJ$1,0),1)="V",IF(BI115&gt;=INDEX('[1]Définition Maintenances'!$G:$G,MATCH($A115,'[1]Définition Maintenances'!$K:$K,0)),BI115,INDEX('[1]Définition Maintenances'!$G:$G,MATCH($A115,'[1]Définition Maintenances'!$K:$K,0))+BI115),BI115))</f>
        <v>903</v>
      </c>
      <c r="BK115" s="26">
        <f>IF(ISNUMBER(VLOOKUP($D115,'Visu totale'!$D:$DH,BK$1,0)),BJ115-VLOOKUP($D115,'Visu totale'!$D:$DH,BK$1,0),IF(LEFT(VLOOKUP($D115,'Visu totale'!$D:$DH,BK$1,0),1)="V",IF(BJ115&gt;=INDEX('[1]Définition Maintenances'!$G:$G,MATCH($A115,'[1]Définition Maintenances'!$K:$K,0)),BJ115,INDEX('[1]Définition Maintenances'!$G:$G,MATCH($A115,'[1]Définition Maintenances'!$K:$K,0))+BJ115),BJ115))</f>
        <v>903</v>
      </c>
      <c r="BL115" s="26">
        <f>IF(ISNUMBER(VLOOKUP($D115,'Visu totale'!$D:$DH,BL$1,0)),BK115-VLOOKUP($D115,'Visu totale'!$D:$DH,BL$1,0),IF(LEFT(VLOOKUP($D115,'Visu totale'!$D:$DH,BL$1,0),1)="V",IF(BK115&gt;=INDEX('[1]Définition Maintenances'!$G:$G,MATCH($A115,'[1]Définition Maintenances'!$K:$K,0)),BK115,INDEX('[1]Définition Maintenances'!$G:$G,MATCH($A115,'[1]Définition Maintenances'!$K:$K,0))+BK115),BK115))</f>
        <v>903</v>
      </c>
      <c r="BM115" s="27">
        <f>IF(ISNUMBER(VLOOKUP($D115,'Visu totale'!$D:$DH,BM$1,0)),BL115-VLOOKUP($D115,'Visu totale'!$D:$DH,BM$1,0),IF(LEFT(VLOOKUP($D115,'Visu totale'!$D:$DH,BM$1,0),1)="V",IF(BL115&gt;=INDEX('[1]Définition Maintenances'!$G:$G,MATCH($A115,'[1]Définition Maintenances'!$K:$K,0)),BL115,INDEX('[1]Définition Maintenances'!$G:$G,MATCH($A115,'[1]Définition Maintenances'!$K:$K,0))+BL115),BL115))</f>
        <v>903</v>
      </c>
      <c r="BN115" s="25">
        <f>IF(ISNUMBER(VLOOKUP($D115,'Visu totale'!$D:$DH,BN$1,0)),BM115-VLOOKUP($D115,'Visu totale'!$D:$DH,BN$1,0),IF(LEFT(VLOOKUP($D115,'Visu totale'!$D:$DH,BN$1,0),1)="V",IF(BM115&gt;=INDEX('[1]Définition Maintenances'!$G:$G,MATCH($A115,'[1]Définition Maintenances'!$K:$K,0)),BM115,INDEX('[1]Définition Maintenances'!$G:$G,MATCH($A115,'[1]Définition Maintenances'!$K:$K,0))+BM115),BM115))</f>
        <v>903</v>
      </c>
      <c r="BO115" s="26">
        <f>IF(ISNUMBER(VLOOKUP($D115,'Visu totale'!$D:$DH,BO$1,0)),BN115-VLOOKUP($D115,'Visu totale'!$D:$DH,BO$1,0),IF(LEFT(VLOOKUP($D115,'Visu totale'!$D:$DH,BO$1,0),1)="V",IF(BN115&gt;=INDEX('[1]Définition Maintenances'!$G:$G,MATCH($A115,'[1]Définition Maintenances'!$K:$K,0)),BN115,INDEX('[1]Définition Maintenances'!$G:$G,MATCH($A115,'[1]Définition Maintenances'!$K:$K,0))+BN115),BN115))</f>
        <v>903</v>
      </c>
      <c r="BP115" s="26">
        <f>IF(ISNUMBER(VLOOKUP($D115,'Visu totale'!$D:$DH,BP$1,0)),BO115-VLOOKUP($D115,'Visu totale'!$D:$DH,BP$1,0),IF(LEFT(VLOOKUP($D115,'Visu totale'!$D:$DH,BP$1,0),1)="V",IF(BO115&gt;=INDEX('[1]Définition Maintenances'!$G:$G,MATCH($A115,'[1]Définition Maintenances'!$K:$K,0)),BO115,INDEX('[1]Définition Maintenances'!$G:$G,MATCH($A115,'[1]Définition Maintenances'!$K:$K,0))+BO115),BO115))</f>
        <v>903</v>
      </c>
      <c r="BQ115" s="26">
        <f>IF(ISNUMBER(VLOOKUP($D115,'Visu totale'!$D:$DH,BQ$1,0)),BP115-VLOOKUP($D115,'Visu totale'!$D:$DH,BQ$1,0),IF(LEFT(VLOOKUP($D115,'Visu totale'!$D:$DH,BQ$1,0),1)="V",IF(BP115&gt;=INDEX('[1]Définition Maintenances'!$G:$G,MATCH($A115,'[1]Définition Maintenances'!$K:$K,0)),BP115,INDEX('[1]Définition Maintenances'!$G:$G,MATCH($A115,'[1]Définition Maintenances'!$K:$K,0))+BP115),BP115))</f>
        <v>903</v>
      </c>
      <c r="BR115" s="26">
        <f>IF(ISNUMBER(VLOOKUP($D115,'Visu totale'!$D:$DH,BR$1,0)),BQ115-VLOOKUP($D115,'Visu totale'!$D:$DH,BR$1,0),IF(LEFT(VLOOKUP($D115,'Visu totale'!$D:$DH,BR$1,0),1)="V",IF(BQ115&gt;=INDEX('[1]Définition Maintenances'!$G:$G,MATCH($A115,'[1]Définition Maintenances'!$K:$K,0)),BQ115,INDEX('[1]Définition Maintenances'!$G:$G,MATCH($A115,'[1]Définition Maintenances'!$K:$K,0))+BQ115),BQ115))</f>
        <v>903</v>
      </c>
      <c r="BS115" s="26">
        <f>IF(ISNUMBER(VLOOKUP($D115,'Visu totale'!$D:$DH,BS$1,0)),BR115-VLOOKUP($D115,'Visu totale'!$D:$DH,BS$1,0),IF(LEFT(VLOOKUP($D115,'Visu totale'!$D:$DH,BS$1,0),1)="V",IF(BR115&gt;=INDEX('[1]Définition Maintenances'!$G:$G,MATCH($A115,'[1]Définition Maintenances'!$K:$K,0)),BR115,INDEX('[1]Définition Maintenances'!$G:$G,MATCH($A115,'[1]Définition Maintenances'!$K:$K,0))+BR115),BR115))</f>
        <v>903</v>
      </c>
      <c r="BT115" s="26">
        <f>IF(ISNUMBER(VLOOKUP($D115,'Visu totale'!$D:$DH,BT$1,0)),BS115-VLOOKUP($D115,'Visu totale'!$D:$DH,BT$1,0),IF(LEFT(VLOOKUP($D115,'Visu totale'!$D:$DH,BT$1,0),1)="V",IF(BS115&gt;=INDEX('[1]Définition Maintenances'!$G:$G,MATCH($A115,'[1]Définition Maintenances'!$K:$K,0)),BS115,INDEX('[1]Définition Maintenances'!$G:$G,MATCH($A115,'[1]Définition Maintenances'!$K:$K,0))+BS115),BS115))</f>
        <v>903</v>
      </c>
      <c r="BU115" s="26">
        <f>IF(ISNUMBER(VLOOKUP($D115,'Visu totale'!$D:$DH,BU$1,0)),BT115-VLOOKUP($D115,'Visu totale'!$D:$DH,BU$1,0),IF(LEFT(VLOOKUP($D115,'Visu totale'!$D:$DH,BU$1,0),1)="V",IF(BT115&gt;=INDEX('[1]Définition Maintenances'!$G:$G,MATCH($A115,'[1]Définition Maintenances'!$K:$K,0)),BT115,INDEX('[1]Définition Maintenances'!$G:$G,MATCH($A115,'[1]Définition Maintenances'!$K:$K,0))+BT115),BT115))</f>
        <v>903</v>
      </c>
      <c r="BV115" s="26">
        <f>IF(ISNUMBER(VLOOKUP($D115,'Visu totale'!$D:$DH,BV$1,0)),BU115-VLOOKUP($D115,'Visu totale'!$D:$DH,BV$1,0),IF(LEFT(VLOOKUP($D115,'Visu totale'!$D:$DH,BV$1,0),1)="V",IF(BU115&gt;=INDEX('[1]Définition Maintenances'!$G:$G,MATCH($A115,'[1]Définition Maintenances'!$K:$K,0)),BU115,INDEX('[1]Définition Maintenances'!$G:$G,MATCH($A115,'[1]Définition Maintenances'!$K:$K,0))+BU115),BU115))</f>
        <v>903</v>
      </c>
      <c r="BW115" s="26">
        <f>IF(ISNUMBER(VLOOKUP($D115,'Visu totale'!$D:$DH,BW$1,0)),BV115-VLOOKUP($D115,'Visu totale'!$D:$DH,BW$1,0),IF(LEFT(VLOOKUP($D115,'Visu totale'!$D:$DH,BW$1,0),1)="V",IF(BV115&gt;=INDEX('[1]Définition Maintenances'!$G:$G,MATCH($A115,'[1]Définition Maintenances'!$K:$K,0)),BV115,INDEX('[1]Définition Maintenances'!$G:$G,MATCH($A115,'[1]Définition Maintenances'!$K:$K,0))+BV115),BV115))</f>
        <v>903</v>
      </c>
      <c r="BX115" s="26">
        <f>IF(ISNUMBER(VLOOKUP($D115,'Visu totale'!$D:$DH,BX$1,0)),BW115-VLOOKUP($D115,'Visu totale'!$D:$DH,BX$1,0),IF(LEFT(VLOOKUP($D115,'Visu totale'!$D:$DH,BX$1,0),1)="V",IF(BW115&gt;=INDEX('[1]Définition Maintenances'!$G:$G,MATCH($A115,'[1]Définition Maintenances'!$K:$K,0)),BW115,INDEX('[1]Définition Maintenances'!$G:$G,MATCH($A115,'[1]Définition Maintenances'!$K:$K,0))+BW115),BW115))</f>
        <v>903</v>
      </c>
      <c r="BY115" s="27">
        <f>IF(ISNUMBER(VLOOKUP($D115,'Visu totale'!$D:$DH,BY$1,0)),BX115-VLOOKUP($D115,'Visu totale'!$D:$DH,BY$1,0),IF(LEFT(VLOOKUP($D115,'Visu totale'!$D:$DH,BY$1,0),1)="V",IF(BX115&gt;=INDEX('[1]Définition Maintenances'!$G:$G,MATCH($A115,'[1]Définition Maintenances'!$K:$K,0)),BX115,INDEX('[1]Définition Maintenances'!$G:$G,MATCH($A115,'[1]Définition Maintenances'!$K:$K,0))+BX115),BX115))</f>
        <v>903</v>
      </c>
      <c r="BZ115" s="25">
        <f>IF(ISNUMBER(VLOOKUP($D115,'Visu totale'!$D:$DH,BZ$1,0)),BY115-VLOOKUP($D115,'Visu totale'!$D:$DH,BZ$1,0),IF(LEFT(VLOOKUP($D115,'Visu totale'!$D:$DH,BZ$1,0),1)="V",IF(BY115&gt;=INDEX('[1]Définition Maintenances'!$G:$G,MATCH($A115,'[1]Définition Maintenances'!$K:$K,0)),BY115,INDEX('[1]Définition Maintenances'!$G:$G,MATCH($A115,'[1]Définition Maintenances'!$K:$K,0))+BY115),BY115))</f>
        <v>903</v>
      </c>
      <c r="CA115" s="26">
        <f>IF(ISNUMBER(VLOOKUP($D115,'Visu totale'!$D:$DH,CA$1,0)),BZ115-VLOOKUP($D115,'Visu totale'!$D:$DH,CA$1,0),IF(LEFT(VLOOKUP($D115,'Visu totale'!$D:$DH,CA$1,0),1)="V",IF(BZ115&gt;=INDEX('[1]Définition Maintenances'!$G:$G,MATCH($A115,'[1]Définition Maintenances'!$K:$K,0)),BZ115,INDEX('[1]Définition Maintenances'!$G:$G,MATCH($A115,'[1]Définition Maintenances'!$K:$K,0))+BZ115),BZ115))</f>
        <v>903</v>
      </c>
      <c r="CB115" s="26">
        <f>IF(ISNUMBER(VLOOKUP($D115,'Visu totale'!$D:$DH,CB$1,0)),CA115-VLOOKUP($D115,'Visu totale'!$D:$DH,CB$1,0),IF(LEFT(VLOOKUP($D115,'Visu totale'!$D:$DH,CB$1,0),1)="V",IF(CA115&gt;=INDEX('[1]Définition Maintenances'!$G:$G,MATCH($A115,'[1]Définition Maintenances'!$K:$K,0)),CA115,INDEX('[1]Définition Maintenances'!$G:$G,MATCH($A115,'[1]Définition Maintenances'!$K:$K,0))+CA115),CA115))</f>
        <v>903</v>
      </c>
      <c r="CC115" s="26">
        <f>IF(ISNUMBER(VLOOKUP($D115,'Visu totale'!$D:$DH,CC$1,0)),CB115-VLOOKUP($D115,'Visu totale'!$D:$DH,CC$1,0),IF(LEFT(VLOOKUP($D115,'Visu totale'!$D:$DH,CC$1,0),1)="V",IF(CB115&gt;=INDEX('[1]Définition Maintenances'!$G:$G,MATCH($A115,'[1]Définition Maintenances'!$K:$K,0)),CB115,INDEX('[1]Définition Maintenances'!$G:$G,MATCH($A115,'[1]Définition Maintenances'!$K:$K,0))+CB115),CB115))</f>
        <v>903</v>
      </c>
      <c r="CD115" s="26">
        <f>IF(ISNUMBER(VLOOKUP($D115,'Visu totale'!$D:$DH,CD$1,0)),CC115-VLOOKUP($D115,'Visu totale'!$D:$DH,CD$1,0),IF(LEFT(VLOOKUP($D115,'Visu totale'!$D:$DH,CD$1,0),1)="V",IF(CC115&gt;=INDEX('[1]Définition Maintenances'!$G:$G,MATCH($A115,'[1]Définition Maintenances'!$K:$K,0)),CC115,INDEX('[1]Définition Maintenances'!$G:$G,MATCH($A115,'[1]Définition Maintenances'!$K:$K,0))+CC115),CC115))</f>
        <v>903</v>
      </c>
      <c r="CE115" s="26">
        <f>IF(ISNUMBER(VLOOKUP($D115,'Visu totale'!$D:$DH,CE$1,0)),CD115-VLOOKUP($D115,'Visu totale'!$D:$DH,CE$1,0),IF(LEFT(VLOOKUP($D115,'Visu totale'!$D:$DH,CE$1,0),1)="V",IF(CD115&gt;=INDEX('[1]Définition Maintenances'!$G:$G,MATCH($A115,'[1]Définition Maintenances'!$K:$K,0)),CD115,INDEX('[1]Définition Maintenances'!$G:$G,MATCH($A115,'[1]Définition Maintenances'!$K:$K,0))+CD115),CD115))</f>
        <v>903</v>
      </c>
      <c r="CF115" s="26">
        <f>IF(ISNUMBER(VLOOKUP($D115,'Visu totale'!$D:$DH,CF$1,0)),CE115-VLOOKUP($D115,'Visu totale'!$D:$DH,CF$1,0),IF(LEFT(VLOOKUP($D115,'Visu totale'!$D:$DH,CF$1,0),1)="V",IF(CE115&gt;=INDEX('[1]Définition Maintenances'!$G:$G,MATCH($A115,'[1]Définition Maintenances'!$K:$K,0)),CE115,INDEX('[1]Définition Maintenances'!$G:$G,MATCH($A115,'[1]Définition Maintenances'!$K:$K,0))+CE115),CE115))</f>
        <v>903</v>
      </c>
      <c r="CG115" s="26">
        <f>IF(ISNUMBER(VLOOKUP($D115,'Visu totale'!$D:$DH,CG$1,0)),CF115-VLOOKUP($D115,'Visu totale'!$D:$DH,CG$1,0),IF(LEFT(VLOOKUP($D115,'Visu totale'!$D:$DH,CG$1,0),1)="V",IF(CF115&gt;=INDEX('[1]Définition Maintenances'!$G:$G,MATCH($A115,'[1]Définition Maintenances'!$K:$K,0)),CF115,INDEX('[1]Définition Maintenances'!$G:$G,MATCH($A115,'[1]Définition Maintenances'!$K:$K,0))+CF115),CF115))</f>
        <v>903</v>
      </c>
      <c r="CH115" s="26">
        <f>IF(ISNUMBER(VLOOKUP($D115,'Visu totale'!$D:$DH,CH$1,0)),CG115-VLOOKUP($D115,'Visu totale'!$D:$DH,CH$1,0),IF(LEFT(VLOOKUP($D115,'Visu totale'!$D:$DH,CH$1,0),1)="V",IF(CG115&gt;=INDEX('[1]Définition Maintenances'!$G:$G,MATCH($A115,'[1]Définition Maintenances'!$K:$K,0)),CG115,INDEX('[1]Définition Maintenances'!$G:$G,MATCH($A115,'[1]Définition Maintenances'!$K:$K,0))+CG115),CG115))</f>
        <v>903</v>
      </c>
      <c r="CI115" s="26">
        <f>IF(ISNUMBER(VLOOKUP($D115,'Visu totale'!$D:$DH,CI$1,0)),CH115-VLOOKUP($D115,'Visu totale'!$D:$DH,CI$1,0),IF(LEFT(VLOOKUP($D115,'Visu totale'!$D:$DH,CI$1,0),1)="V",IF(CH115&gt;=INDEX('[1]Définition Maintenances'!$G:$G,MATCH($A115,'[1]Définition Maintenances'!$K:$K,0)),CH115,INDEX('[1]Définition Maintenances'!$G:$G,MATCH($A115,'[1]Définition Maintenances'!$K:$K,0))+CH115),CH115))</f>
        <v>903</v>
      </c>
      <c r="CJ115" s="26">
        <f>IF(ISNUMBER(VLOOKUP($D115,'Visu totale'!$D:$DH,CJ$1,0)),CI115-VLOOKUP($D115,'Visu totale'!$D:$DH,CJ$1,0),IF(LEFT(VLOOKUP($D115,'Visu totale'!$D:$DH,CJ$1,0),1)="V",IF(CI115&gt;=INDEX('[1]Définition Maintenances'!$G:$G,MATCH($A115,'[1]Définition Maintenances'!$K:$K,0)),CI115,INDEX('[1]Définition Maintenances'!$G:$G,MATCH($A115,'[1]Définition Maintenances'!$K:$K,0))+CI115),CI115))</f>
        <v>903</v>
      </c>
      <c r="CK115" s="27">
        <f>IF(ISNUMBER(VLOOKUP($D115,'Visu totale'!$D:$DH,CK$1,0)),CJ115-VLOOKUP($D115,'Visu totale'!$D:$DH,CK$1,0),IF(LEFT(VLOOKUP($D115,'Visu totale'!$D:$DH,CK$1,0),1)="V",IF(CJ115&gt;=INDEX('[1]Définition Maintenances'!$G:$G,MATCH($A115,'[1]Définition Maintenances'!$K:$K,0)),CJ115,INDEX('[1]Définition Maintenances'!$G:$G,MATCH($A115,'[1]Définition Maintenances'!$K:$K,0))+CJ115),CJ115))</f>
        <v>903</v>
      </c>
      <c r="CL115" s="25">
        <f>IF(ISNUMBER(VLOOKUP($D115,'Visu totale'!$D:$DH,CL$1,0)),CK115-VLOOKUP($D115,'Visu totale'!$D:$DH,CL$1,0),IF(LEFT(VLOOKUP($D115,'Visu totale'!$D:$DH,CL$1,0),1)="V",IF(CK115&gt;=INDEX('[1]Définition Maintenances'!$G:$G,MATCH($A115,'[1]Définition Maintenances'!$K:$K,0)),CK115,INDEX('[1]Définition Maintenances'!$G:$G,MATCH($A115,'[1]Définition Maintenances'!$K:$K,0))+CK115),CK115))</f>
        <v>903</v>
      </c>
      <c r="CM115" s="26">
        <f>IF(ISNUMBER(VLOOKUP($D115,'Visu totale'!$D:$DH,CM$1,0)),CL115-VLOOKUP($D115,'Visu totale'!$D:$DH,CM$1,0),IF(LEFT(VLOOKUP($D115,'Visu totale'!$D:$DH,CM$1,0),1)="V",IF(CL115&gt;=INDEX('[1]Définition Maintenances'!$G:$G,MATCH($A115,'[1]Définition Maintenances'!$K:$K,0)),CL115,INDEX('[1]Définition Maintenances'!$G:$G,MATCH($A115,'[1]Définition Maintenances'!$K:$K,0))+CL115),CL115))</f>
        <v>903</v>
      </c>
      <c r="CN115" s="26">
        <f>IF(ISNUMBER(VLOOKUP($D115,'Visu totale'!$D:$DH,CN$1,0)),CM115-VLOOKUP($D115,'Visu totale'!$D:$DH,CN$1,0),IF(LEFT(VLOOKUP($D115,'Visu totale'!$D:$DH,CN$1,0),1)="V",IF(CM115&gt;=INDEX('[1]Définition Maintenances'!$G:$G,MATCH($A115,'[1]Définition Maintenances'!$K:$K,0)),CM115,INDEX('[1]Définition Maintenances'!$G:$G,MATCH($A115,'[1]Définition Maintenances'!$K:$K,0))+CM115),CM115))</f>
        <v>903</v>
      </c>
      <c r="CO115" s="26">
        <f>IF(ISNUMBER(VLOOKUP($D115,'Visu totale'!$D:$DH,CO$1,0)),CN115-VLOOKUP($D115,'Visu totale'!$D:$DH,CO$1,0),IF(LEFT(VLOOKUP($D115,'Visu totale'!$D:$DH,CO$1,0),1)="V",IF(CN115&gt;=INDEX('[1]Définition Maintenances'!$G:$G,MATCH($A115,'[1]Définition Maintenances'!$K:$K,0)),CN115,INDEX('[1]Définition Maintenances'!$G:$G,MATCH($A115,'[1]Définition Maintenances'!$K:$K,0))+CN115),CN115))</f>
        <v>903</v>
      </c>
      <c r="CP115" s="26">
        <f>IF(ISNUMBER(VLOOKUP($D115,'Visu totale'!$D:$DH,CP$1,0)),CO115-VLOOKUP($D115,'Visu totale'!$D:$DH,CP$1,0),IF(LEFT(VLOOKUP($D115,'Visu totale'!$D:$DH,CP$1,0),1)="V",IF(CO115&gt;=INDEX('[1]Définition Maintenances'!$G:$G,MATCH($A115,'[1]Définition Maintenances'!$K:$K,0)),CO115,INDEX('[1]Définition Maintenances'!$G:$G,MATCH($A115,'[1]Définition Maintenances'!$K:$K,0))+CO115),CO115))</f>
        <v>903</v>
      </c>
      <c r="CQ115" s="26">
        <f>IF(ISNUMBER(VLOOKUP($D115,'Visu totale'!$D:$DH,CQ$1,0)),CP115-VLOOKUP($D115,'Visu totale'!$D:$DH,CQ$1,0),IF(LEFT(VLOOKUP($D115,'Visu totale'!$D:$DH,CQ$1,0),1)="V",IF(CP115&gt;=INDEX('[1]Définition Maintenances'!$G:$G,MATCH($A115,'[1]Définition Maintenances'!$K:$K,0)),CP115,INDEX('[1]Définition Maintenances'!$G:$G,MATCH($A115,'[1]Définition Maintenances'!$K:$K,0))+CP115),CP115))</f>
        <v>903</v>
      </c>
      <c r="CR115" s="26">
        <f>IF(ISNUMBER(VLOOKUP($D115,'Visu totale'!$D:$DH,CR$1,0)),CQ115-VLOOKUP($D115,'Visu totale'!$D:$DH,CR$1,0),IF(LEFT(VLOOKUP($D115,'Visu totale'!$D:$DH,CR$1,0),1)="V",IF(CQ115&gt;=INDEX('[1]Définition Maintenances'!$G:$G,MATCH($A115,'[1]Définition Maintenances'!$K:$K,0)),CQ115,INDEX('[1]Définition Maintenances'!$G:$G,MATCH($A115,'[1]Définition Maintenances'!$K:$K,0))+CQ115),CQ115))</f>
        <v>903</v>
      </c>
      <c r="CS115" s="26">
        <f>IF(ISNUMBER(VLOOKUP($D115,'Visu totale'!$D:$DH,CS$1,0)),CR115-VLOOKUP($D115,'Visu totale'!$D:$DH,CS$1,0),IF(LEFT(VLOOKUP($D115,'Visu totale'!$D:$DH,CS$1,0),1)="V",IF(CR115&gt;=INDEX('[1]Définition Maintenances'!$G:$G,MATCH($A115,'[1]Définition Maintenances'!$K:$K,0)),CR115,INDEX('[1]Définition Maintenances'!$G:$G,MATCH($A115,'[1]Définition Maintenances'!$K:$K,0))+CR115),CR115))</f>
        <v>903</v>
      </c>
      <c r="CT115" s="26">
        <f>IF(ISNUMBER(VLOOKUP($D115,'Visu totale'!$D:$DH,CT$1,0)),CS115-VLOOKUP($D115,'Visu totale'!$D:$DH,CT$1,0),IF(LEFT(VLOOKUP($D115,'Visu totale'!$D:$DH,CT$1,0),1)="V",IF(CS115&gt;=INDEX('[1]Définition Maintenances'!$G:$G,MATCH($A115,'[1]Définition Maintenances'!$K:$K,0)),CS115,INDEX('[1]Définition Maintenances'!$G:$G,MATCH($A115,'[1]Définition Maintenances'!$K:$K,0))+CS115),CS115))</f>
        <v>903</v>
      </c>
      <c r="CU115" s="26">
        <f>IF(ISNUMBER(VLOOKUP($D115,'Visu totale'!$D:$DH,CU$1,0)),CT115-VLOOKUP($D115,'Visu totale'!$D:$DH,CU$1,0),IF(LEFT(VLOOKUP($D115,'Visu totale'!$D:$DH,CU$1,0),1)="V",IF(CT115&gt;=INDEX('[1]Définition Maintenances'!$G:$G,MATCH($A115,'[1]Définition Maintenances'!$K:$K,0)),CT115,INDEX('[1]Définition Maintenances'!$G:$G,MATCH($A115,'[1]Définition Maintenances'!$K:$K,0))+CT115),CT115))</f>
        <v>903</v>
      </c>
      <c r="CV115" s="26">
        <f>IF(ISNUMBER(VLOOKUP($D115,'Visu totale'!$D:$DH,CV$1,0)),CU115-VLOOKUP($D115,'Visu totale'!$D:$DH,CV$1,0),IF(LEFT(VLOOKUP($D115,'Visu totale'!$D:$DH,CV$1,0),1)="V",IF(CU115&gt;=INDEX('[1]Définition Maintenances'!$G:$G,MATCH($A115,'[1]Définition Maintenances'!$K:$K,0)),CU115,INDEX('[1]Définition Maintenances'!$G:$G,MATCH($A115,'[1]Définition Maintenances'!$K:$K,0))+CU115),CU115))</f>
        <v>903</v>
      </c>
      <c r="CW115" s="27">
        <f>IF(ISNUMBER(VLOOKUP($D115,'Visu totale'!$D:$DH,CW$1,0)),CV115-VLOOKUP($D115,'Visu totale'!$D:$DH,CW$1,0),IF(LEFT(VLOOKUP($D115,'Visu totale'!$D:$DH,CW$1,0),1)="V",IF(CV115&gt;=INDEX('[1]Définition Maintenances'!$G:$G,MATCH($A115,'[1]Définition Maintenances'!$K:$K,0)),CV115,INDEX('[1]Définition Maintenances'!$G:$G,MATCH($A115,'[1]Définition Maintenances'!$K:$K,0))+CV115),CV115))</f>
        <v>903</v>
      </c>
      <c r="CX115" s="25">
        <f>IF(ISNUMBER(VLOOKUP($D115,'Visu totale'!$D:$DH,CX$1,0)),CW115-VLOOKUP($D115,'Visu totale'!$D:$DH,CX$1,0),IF(LEFT(VLOOKUP($D115,'Visu totale'!$D:$DH,CX$1,0),1)="V",IF(CW115&gt;=INDEX('[1]Définition Maintenances'!$G:$G,MATCH($A115,'[1]Définition Maintenances'!$K:$K,0)),CW115,INDEX('[1]Définition Maintenances'!$G:$G,MATCH($A115,'[1]Définition Maintenances'!$K:$K,0))+CW115),CW115))</f>
        <v>903</v>
      </c>
      <c r="CY115" s="26">
        <f>IF(ISNUMBER(VLOOKUP($D115,'Visu totale'!$D:$DH,CY$1,0)),CX115-VLOOKUP($D115,'Visu totale'!$D:$DH,CY$1,0),IF(LEFT(VLOOKUP($D115,'Visu totale'!$D:$DH,CY$1,0),1)="V",IF(CX115&gt;=INDEX('[1]Définition Maintenances'!$G:$G,MATCH($A115,'[1]Définition Maintenances'!$K:$K,0)),CX115,INDEX('[1]Définition Maintenances'!$G:$G,MATCH($A115,'[1]Définition Maintenances'!$K:$K,0))+CX115),CX115))</f>
        <v>903</v>
      </c>
      <c r="CZ115" s="26">
        <f>IF(ISNUMBER(VLOOKUP($D115,'Visu totale'!$D:$DH,CZ$1,0)),CY115-VLOOKUP($D115,'Visu totale'!$D:$DH,CZ$1,0),IF(LEFT(VLOOKUP($D115,'Visu totale'!$D:$DH,CZ$1,0),1)="V",IF(CY115&gt;=INDEX('[1]Définition Maintenances'!$G:$G,MATCH($A115,'[1]Définition Maintenances'!$K:$K,0)),CY115,INDEX('[1]Définition Maintenances'!$G:$G,MATCH($A115,'[1]Définition Maintenances'!$K:$K,0))+CY115),CY115))</f>
        <v>903</v>
      </c>
      <c r="DA115" s="26">
        <f>IF(ISNUMBER(VLOOKUP($D115,'Visu totale'!$D:$DH,DA$1,0)),CZ115-VLOOKUP($D115,'Visu totale'!$D:$DH,DA$1,0),IF(LEFT(VLOOKUP($D115,'Visu totale'!$D:$DH,DA$1,0),1)="V",IF(CZ115&gt;=INDEX('[1]Définition Maintenances'!$G:$G,MATCH($A115,'[1]Définition Maintenances'!$K:$K,0)),CZ115,INDEX('[1]Définition Maintenances'!$G:$G,MATCH($A115,'[1]Définition Maintenances'!$K:$K,0))+CZ115),CZ115))</f>
        <v>903</v>
      </c>
      <c r="DB115" s="26">
        <f>IF(ISNUMBER(VLOOKUP($D115,'Visu totale'!$D:$DH,DB$1,0)),DA115-VLOOKUP($D115,'Visu totale'!$D:$DH,DB$1,0),IF(LEFT(VLOOKUP($D115,'Visu totale'!$D:$DH,DB$1,0),1)="V",IF(DA115&gt;=INDEX('[1]Définition Maintenances'!$G:$G,MATCH($A115,'[1]Définition Maintenances'!$K:$K,0)),DA115,INDEX('[1]Définition Maintenances'!$G:$G,MATCH($A115,'[1]Définition Maintenances'!$K:$K,0))+DA115),DA115))</f>
        <v>903</v>
      </c>
      <c r="DC115" s="26">
        <f>IF(ISNUMBER(VLOOKUP($D115,'Visu totale'!$D:$DH,DC$1,0)),DB115-VLOOKUP($D115,'Visu totale'!$D:$DH,DC$1,0),IF(LEFT(VLOOKUP($D115,'Visu totale'!$D:$DH,DC$1,0),1)="V",IF(DB115&gt;=INDEX('[1]Définition Maintenances'!$G:$G,MATCH($A115,'[1]Définition Maintenances'!$K:$K,0)),DB115,INDEX('[1]Définition Maintenances'!$G:$G,MATCH($A115,'[1]Définition Maintenances'!$K:$K,0))+DB115),DB115))</f>
        <v>903</v>
      </c>
      <c r="DD115" s="26">
        <f>IF(ISNUMBER(VLOOKUP($D115,'Visu totale'!$D:$DH,DD$1,0)),DC115-VLOOKUP($D115,'Visu totale'!$D:$DH,DD$1,0),IF(LEFT(VLOOKUP($D115,'Visu totale'!$D:$DH,DD$1,0),1)="V",IF(DC115&gt;=INDEX('[1]Définition Maintenances'!$G:$G,MATCH($A115,'[1]Définition Maintenances'!$K:$K,0)),DC115,INDEX('[1]Définition Maintenances'!$G:$G,MATCH($A115,'[1]Définition Maintenances'!$K:$K,0))+DC115),DC115))</f>
        <v>903</v>
      </c>
      <c r="DE115" s="26">
        <f>IF(ISNUMBER(VLOOKUP($D115,'Visu totale'!$D:$DH,DE$1,0)),DD115-VLOOKUP($D115,'Visu totale'!$D:$DH,DE$1,0),IF(LEFT(VLOOKUP($D115,'Visu totale'!$D:$DH,DE$1,0),1)="V",IF(DD115&gt;=INDEX('[1]Définition Maintenances'!$G:$G,MATCH($A115,'[1]Définition Maintenances'!$K:$K,0)),DD115,INDEX('[1]Définition Maintenances'!$G:$G,MATCH($A115,'[1]Définition Maintenances'!$K:$K,0))+DD115),DD115))</f>
        <v>903</v>
      </c>
      <c r="DF115" s="26">
        <f>IF(ISNUMBER(VLOOKUP($D115,'Visu totale'!$D:$DH,DF$1,0)),DE115-VLOOKUP($D115,'Visu totale'!$D:$DH,DF$1,0),IF(LEFT(VLOOKUP($D115,'Visu totale'!$D:$DH,DF$1,0),1)="V",IF(DE115&gt;=INDEX('[1]Définition Maintenances'!$G:$G,MATCH($A115,'[1]Définition Maintenances'!$K:$K,0)),DE115,INDEX('[1]Définition Maintenances'!$G:$G,MATCH($A115,'[1]Définition Maintenances'!$K:$K,0))+DE115),DE115))</f>
        <v>903</v>
      </c>
      <c r="DG115" s="26">
        <f>IF(ISNUMBER(VLOOKUP($D115,'Visu totale'!$D:$DH,DG$1,0)),DF115-VLOOKUP($D115,'Visu totale'!$D:$DH,DG$1,0),IF(LEFT(VLOOKUP($D115,'Visu totale'!$D:$DH,DG$1,0),1)="V",IF(DF115&gt;=INDEX('[1]Définition Maintenances'!$G:$G,MATCH($A115,'[1]Définition Maintenances'!$K:$K,0)),DF115,INDEX('[1]Définition Maintenances'!$G:$G,MATCH($A115,'[1]Définition Maintenances'!$K:$K,0))+DF115),DF115))</f>
        <v>903</v>
      </c>
      <c r="DH115" s="26">
        <f>IF(ISNUMBER(VLOOKUP($D115,'Visu totale'!$D:$DH,DH$1,0)),DG115-VLOOKUP($D115,'Visu totale'!$D:$DH,DH$1,0),IF(LEFT(VLOOKUP($D115,'Visu totale'!$D:$DH,DH$1,0),1)="V",IF(DG115&gt;=INDEX('[1]Définition Maintenances'!$G:$G,MATCH($A115,'[1]Définition Maintenances'!$K:$K,0)),DG115,INDEX('[1]Définition Maintenances'!$G:$G,MATCH($A115,'[1]Définition Maintenances'!$K:$K,0))+DG115),DG115))</f>
        <v>903</v>
      </c>
      <c r="DI115" s="27">
        <f>IF(ISNUMBER(VLOOKUP($D115,'Visu totale'!$D:$DH,DI$1,0)),DH115-VLOOKUP($D115,'Visu totale'!$D:$DH,DI$1,0),IF(LEFT(VLOOKUP($D115,'Visu totale'!$D:$DH,DI$1,0),1)="V",IF(DH115&gt;=INDEX('[1]Définition Maintenances'!$G:$G,MATCH($A115,'[1]Définition Maintenances'!$K:$K,0)),DH115,INDEX('[1]Définition Maintenances'!$G:$G,MATCH($A115,'[1]Définition Maintenances'!$K:$K,0))+DH115),DH115))</f>
        <v>903</v>
      </c>
    </row>
    <row r="116" spans="1:113" x14ac:dyDescent="0.25">
      <c r="A116" s="13" t="str">
        <f t="shared" si="3"/>
        <v>V205</v>
      </c>
      <c r="B116" s="13" t="str">
        <f>VLOOKUP(D116,'[1]Avions (Potentiels)'!$B$2:$H$128,7,FALSE)</f>
        <v>V20</v>
      </c>
      <c r="C116" s="13"/>
      <c r="D116" s="16" t="s">
        <v>119</v>
      </c>
      <c r="E116" s="13">
        <f>IFERROR(VALUE(SUBSTITUTE(VLOOKUP(D116,'[1]Avions (Potentiels)'!$B:$E,4,0),".",",")),VALUE(VLOOKUP(D116,'[1]Avions (Potentiels)'!$B:$E,4,0)))</f>
        <v>320</v>
      </c>
      <c r="F116" s="25">
        <f>IF(ISNUMBER(VLOOKUP($D116,'Visu totale'!$D:$DH,F$1,0)),E116-VLOOKUP($D116,'Visu totale'!$D:$DH,F$1,0),IF(LEFT(VLOOKUP($D116,'Visu totale'!$D:$DH,F$1,0),1)="V",IF(E116&gt;=INDEX('[1]Définition Maintenances'!$G:$G,MATCH($A116,'[1]Définition Maintenances'!$K:$K,0)),E116,INDEX('[1]Définition Maintenances'!$G:$G,MATCH($A116,'[1]Définition Maintenances'!$K:$K,0))+E116),E116))</f>
        <v>320</v>
      </c>
      <c r="G116" s="26">
        <f>IF(ISNUMBER(VLOOKUP($D116,'Visu totale'!$D:$DH,G$1,0)),F116-VLOOKUP($D116,'Visu totale'!$D:$DH,G$1,0),IF(LEFT(VLOOKUP($D116,'Visu totale'!$D:$DH,G$1,0),1)="V",IF(F116&gt;=INDEX('[1]Définition Maintenances'!$G:$G,MATCH($A116,'[1]Définition Maintenances'!$K:$K,0)),F116,INDEX('[1]Définition Maintenances'!$G:$G,MATCH($A116,'[1]Définition Maintenances'!$K:$K,0))+F116),F116))</f>
        <v>320</v>
      </c>
      <c r="H116" s="26">
        <f>IF(ISNUMBER(VLOOKUP($D116,'Visu totale'!$D:$DH,H$1,0)),G116-VLOOKUP($D116,'Visu totale'!$D:$DH,H$1,0),IF(LEFT(VLOOKUP($D116,'Visu totale'!$D:$DH,H$1,0),1)="V",IF(G116&gt;=INDEX('[1]Définition Maintenances'!$G:$G,MATCH($A116,'[1]Définition Maintenances'!$K:$K,0)),G116,INDEX('[1]Définition Maintenances'!$G:$G,MATCH($A116,'[1]Définition Maintenances'!$K:$K,0))+G116),G116))</f>
        <v>320</v>
      </c>
      <c r="I116" s="26">
        <f>IF(ISNUMBER(VLOOKUP($D116,'Visu totale'!$D:$DH,I$1,0)),H116-VLOOKUP($D116,'Visu totale'!$D:$DH,I$1,0),IF(LEFT(VLOOKUP($D116,'Visu totale'!$D:$DH,I$1,0),1)="V",IF(H116&gt;=INDEX('[1]Définition Maintenances'!$G:$G,MATCH($A116,'[1]Définition Maintenances'!$K:$K,0)),H116,INDEX('[1]Définition Maintenances'!$G:$G,MATCH($A116,'[1]Définition Maintenances'!$K:$K,0))+H116),H116))</f>
        <v>320</v>
      </c>
      <c r="J116" s="26">
        <f>IF(ISNUMBER(VLOOKUP($D116,'Visu totale'!$D:$DH,J$1,0)),I116-VLOOKUP($D116,'Visu totale'!$D:$DH,J$1,0),IF(LEFT(VLOOKUP($D116,'Visu totale'!$D:$DH,J$1,0),1)="V",IF(I116&gt;=INDEX('[1]Définition Maintenances'!$G:$G,MATCH($A116,'[1]Définition Maintenances'!$K:$K,0)),I116,INDEX('[1]Définition Maintenances'!$G:$G,MATCH($A116,'[1]Définition Maintenances'!$K:$K,0))+I116),I116))</f>
        <v>320</v>
      </c>
      <c r="K116" s="26">
        <f>IF(ISNUMBER(VLOOKUP($D116,'Visu totale'!$D:$DH,K$1,0)),J116-VLOOKUP($D116,'Visu totale'!$D:$DH,K$1,0),IF(LEFT(VLOOKUP($D116,'Visu totale'!$D:$DH,K$1,0),1)="V",IF(J116&gt;=INDEX('[1]Définition Maintenances'!$G:$G,MATCH($A116,'[1]Définition Maintenances'!$K:$K,0)),J116,INDEX('[1]Définition Maintenances'!$G:$G,MATCH($A116,'[1]Définition Maintenances'!$K:$K,0))+J116),J116))</f>
        <v>320</v>
      </c>
      <c r="L116" s="26">
        <f>IF(ISNUMBER(VLOOKUP($D116,'Visu totale'!$D:$DH,L$1,0)),K116-VLOOKUP($D116,'Visu totale'!$D:$DH,L$1,0),IF(LEFT(VLOOKUP($D116,'Visu totale'!$D:$DH,L$1,0),1)="V",IF(K116&gt;=INDEX('[1]Définition Maintenances'!$G:$G,MATCH($A116,'[1]Définition Maintenances'!$K:$K,0)),K116,INDEX('[1]Définition Maintenances'!$G:$G,MATCH($A116,'[1]Définition Maintenances'!$K:$K,0))+K116),K116))</f>
        <v>320</v>
      </c>
      <c r="M116" s="26">
        <f>IF(ISNUMBER(VLOOKUP($D116,'Visu totale'!$D:$DH,M$1,0)),L116-VLOOKUP($D116,'Visu totale'!$D:$DH,M$1,0),IF(LEFT(VLOOKUP($D116,'Visu totale'!$D:$DH,M$1,0),1)="V",IF(L116&gt;=INDEX('[1]Définition Maintenances'!$G:$G,MATCH($A116,'[1]Définition Maintenances'!$K:$K,0)),L116,INDEX('[1]Définition Maintenances'!$G:$G,MATCH($A116,'[1]Définition Maintenances'!$K:$K,0))+L116),L116))</f>
        <v>320</v>
      </c>
      <c r="N116" s="26">
        <f>IF(ISNUMBER(VLOOKUP($D116,'Visu totale'!$D:$DH,N$1,0)),M116-VLOOKUP($D116,'Visu totale'!$D:$DH,N$1,0),IF(LEFT(VLOOKUP($D116,'Visu totale'!$D:$DH,N$1,0),1)="V",IF(M116&gt;=INDEX('[1]Définition Maintenances'!$G:$G,MATCH($A116,'[1]Définition Maintenances'!$K:$K,0)),M116,INDEX('[1]Définition Maintenances'!$G:$G,MATCH($A116,'[1]Définition Maintenances'!$K:$K,0))+M116),M116))</f>
        <v>320</v>
      </c>
      <c r="O116" s="26">
        <f>IF(ISNUMBER(VLOOKUP($D116,'Visu totale'!$D:$DH,O$1,0)),N116-VLOOKUP($D116,'Visu totale'!$D:$DH,O$1,0),IF(LEFT(VLOOKUP($D116,'Visu totale'!$D:$DH,O$1,0),1)="V",IF(N116&gt;=INDEX('[1]Définition Maintenances'!$G:$G,MATCH($A116,'[1]Définition Maintenances'!$K:$K,0)),N116,INDEX('[1]Définition Maintenances'!$G:$G,MATCH($A116,'[1]Définition Maintenances'!$K:$K,0))+N116),N116))</f>
        <v>320</v>
      </c>
      <c r="P116" s="26">
        <f>IF(ISNUMBER(VLOOKUP($D116,'Visu totale'!$D:$DH,P$1,0)),O116-VLOOKUP($D116,'Visu totale'!$D:$DH,P$1,0),IF(LEFT(VLOOKUP($D116,'Visu totale'!$D:$DH,P$1,0),1)="V",IF(O116&gt;=INDEX('[1]Définition Maintenances'!$G:$G,MATCH($A116,'[1]Définition Maintenances'!$K:$K,0)),O116,INDEX('[1]Définition Maintenances'!$G:$G,MATCH($A116,'[1]Définition Maintenances'!$K:$K,0))+O116),O116))</f>
        <v>320</v>
      </c>
      <c r="Q116" s="27">
        <f>IF(ISNUMBER(VLOOKUP($D116,'Visu totale'!$D:$DH,Q$1,0)),P116-VLOOKUP($D116,'Visu totale'!$D:$DH,Q$1,0),IF(LEFT(VLOOKUP($D116,'Visu totale'!$D:$DH,Q$1,0),1)="V",IF(P116&gt;=INDEX('[1]Définition Maintenances'!$G:$G,MATCH($A116,'[1]Définition Maintenances'!$K:$K,0)),P116,INDEX('[1]Définition Maintenances'!$G:$G,MATCH($A116,'[1]Définition Maintenances'!$K:$K,0))+P116),P116))</f>
        <v>320</v>
      </c>
      <c r="R116" s="25">
        <f>IF(ISNUMBER(VLOOKUP($D116,'Visu totale'!$D:$DH,R$1,0)),Q116-VLOOKUP($D116,'Visu totale'!$D:$DH,R$1,0),IF(LEFT(VLOOKUP($D116,'Visu totale'!$D:$DH,R$1,0),1)="V",IF(Q116&gt;=INDEX('[1]Définition Maintenances'!$G:$G,MATCH($A116,'[1]Définition Maintenances'!$K:$K,0)),Q116,INDEX('[1]Définition Maintenances'!$G:$G,MATCH($A116,'[1]Définition Maintenances'!$K:$K,0))+Q116),Q116))</f>
        <v>320</v>
      </c>
      <c r="S116" s="26">
        <f>IF(ISNUMBER(VLOOKUP($D116,'Visu totale'!$D:$DH,S$1,0)),R116-VLOOKUP($D116,'Visu totale'!$D:$DH,S$1,0),IF(LEFT(VLOOKUP($D116,'Visu totale'!$D:$DH,S$1,0),1)="V",IF(R116&gt;=INDEX('[1]Définition Maintenances'!$G:$G,MATCH($A116,'[1]Définition Maintenances'!$K:$K,0)),R116,INDEX('[1]Définition Maintenances'!$G:$G,MATCH($A116,'[1]Définition Maintenances'!$K:$K,0))+R116),R116))</f>
        <v>320</v>
      </c>
      <c r="T116" s="26">
        <f>IF(ISNUMBER(VLOOKUP($D116,'Visu totale'!$D:$DH,T$1,0)),S116-VLOOKUP($D116,'Visu totale'!$D:$DH,T$1,0),IF(LEFT(VLOOKUP($D116,'Visu totale'!$D:$DH,T$1,0),1)="V",IF(S116&gt;=INDEX('[1]Définition Maintenances'!$G:$G,MATCH($A116,'[1]Définition Maintenances'!$K:$K,0)),S116,INDEX('[1]Définition Maintenances'!$G:$G,MATCH($A116,'[1]Définition Maintenances'!$K:$K,0))+S116),S116))</f>
        <v>320</v>
      </c>
      <c r="U116" s="26">
        <f>IF(ISNUMBER(VLOOKUP($D116,'Visu totale'!$D:$DH,U$1,0)),T116-VLOOKUP($D116,'Visu totale'!$D:$DH,U$1,0),IF(LEFT(VLOOKUP($D116,'Visu totale'!$D:$DH,U$1,0),1)="V",IF(T116&gt;=INDEX('[1]Définition Maintenances'!$G:$G,MATCH($A116,'[1]Définition Maintenances'!$K:$K,0)),T116,INDEX('[1]Définition Maintenances'!$G:$G,MATCH($A116,'[1]Définition Maintenances'!$K:$K,0))+T116),T116))</f>
        <v>320</v>
      </c>
      <c r="V116" s="26">
        <f>IF(ISNUMBER(VLOOKUP($D116,'Visu totale'!$D:$DH,V$1,0)),U116-VLOOKUP($D116,'Visu totale'!$D:$DH,V$1,0),IF(LEFT(VLOOKUP($D116,'Visu totale'!$D:$DH,V$1,0),1)="V",IF(U116&gt;=INDEX('[1]Définition Maintenances'!$G:$G,MATCH($A116,'[1]Définition Maintenances'!$K:$K,0)),U116,INDEX('[1]Définition Maintenances'!$G:$G,MATCH($A116,'[1]Définition Maintenances'!$K:$K,0))+U116),U116))</f>
        <v>320</v>
      </c>
      <c r="W116" s="26">
        <f>IF(ISNUMBER(VLOOKUP($D116,'Visu totale'!$D:$DH,W$1,0)),V116-VLOOKUP($D116,'Visu totale'!$D:$DH,W$1,0),IF(LEFT(VLOOKUP($D116,'Visu totale'!$D:$DH,W$1,0),1)="V",IF(V116&gt;=INDEX('[1]Définition Maintenances'!$G:$G,MATCH($A116,'[1]Définition Maintenances'!$K:$K,0)),V116,INDEX('[1]Définition Maintenances'!$G:$G,MATCH($A116,'[1]Définition Maintenances'!$K:$K,0))+V116),V116))</f>
        <v>320</v>
      </c>
      <c r="X116" s="26">
        <f>IF(ISNUMBER(VLOOKUP($D116,'Visu totale'!$D:$DH,X$1,0)),W116-VLOOKUP($D116,'Visu totale'!$D:$DH,X$1,0),IF(LEFT(VLOOKUP($D116,'Visu totale'!$D:$DH,X$1,0),1)="V",IF(W116&gt;=INDEX('[1]Définition Maintenances'!$G:$G,MATCH($A116,'[1]Définition Maintenances'!$K:$K,0)),W116,INDEX('[1]Définition Maintenances'!$G:$G,MATCH($A116,'[1]Définition Maintenances'!$K:$K,0))+W116),W116))</f>
        <v>320</v>
      </c>
      <c r="Y116" s="26">
        <f>IF(ISNUMBER(VLOOKUP($D116,'Visu totale'!$D:$DH,Y$1,0)),X116-VLOOKUP($D116,'Visu totale'!$D:$DH,Y$1,0),IF(LEFT(VLOOKUP($D116,'Visu totale'!$D:$DH,Y$1,0),1)="V",IF(X116&gt;=INDEX('[1]Définition Maintenances'!$G:$G,MATCH($A116,'[1]Définition Maintenances'!$K:$K,0)),X116,INDEX('[1]Définition Maintenances'!$G:$G,MATCH($A116,'[1]Définition Maintenances'!$K:$K,0))+X116),X116))</f>
        <v>320</v>
      </c>
      <c r="Z116" s="26">
        <f>IF(ISNUMBER(VLOOKUP($D116,'Visu totale'!$D:$DH,Z$1,0)),Y116-VLOOKUP($D116,'Visu totale'!$D:$DH,Z$1,0),IF(LEFT(VLOOKUP($D116,'Visu totale'!$D:$DH,Z$1,0),1)="V",IF(Y116&gt;=INDEX('[1]Définition Maintenances'!$G:$G,MATCH($A116,'[1]Définition Maintenances'!$K:$K,0)),Y116,INDEX('[1]Définition Maintenances'!$G:$G,MATCH($A116,'[1]Définition Maintenances'!$K:$K,0))+Y116),Y116))</f>
        <v>320</v>
      </c>
      <c r="AA116" s="26">
        <f>IF(ISNUMBER(VLOOKUP($D116,'Visu totale'!$D:$DH,AA$1,0)),Z116-VLOOKUP($D116,'Visu totale'!$D:$DH,AA$1,0),IF(LEFT(VLOOKUP($D116,'Visu totale'!$D:$DH,AA$1,0),1)="V",IF(Z116&gt;=INDEX('[1]Définition Maintenances'!$G:$G,MATCH($A116,'[1]Définition Maintenances'!$K:$K,0)),Z116,INDEX('[1]Définition Maintenances'!$G:$G,MATCH($A116,'[1]Définition Maintenances'!$K:$K,0))+Z116),Z116))</f>
        <v>320</v>
      </c>
      <c r="AB116" s="26">
        <f>IF(ISNUMBER(VLOOKUP($D116,'Visu totale'!$D:$DH,AB$1,0)),AA116-VLOOKUP($D116,'Visu totale'!$D:$DH,AB$1,0),IF(LEFT(VLOOKUP($D116,'Visu totale'!$D:$DH,AB$1,0),1)="V",IF(AA116&gt;=INDEX('[1]Définition Maintenances'!$G:$G,MATCH($A116,'[1]Définition Maintenances'!$K:$K,0)),AA116,INDEX('[1]Définition Maintenances'!$G:$G,MATCH($A116,'[1]Définition Maintenances'!$K:$K,0))+AA116),AA116))</f>
        <v>320</v>
      </c>
      <c r="AC116" s="27">
        <f>IF(ISNUMBER(VLOOKUP($D116,'Visu totale'!$D:$DH,AC$1,0)),AB116-VLOOKUP($D116,'Visu totale'!$D:$DH,AC$1,0),IF(LEFT(VLOOKUP($D116,'Visu totale'!$D:$DH,AC$1,0),1)="V",IF(AB116&gt;=INDEX('[1]Définition Maintenances'!$G:$G,MATCH($A116,'[1]Définition Maintenances'!$K:$K,0)),AB116,INDEX('[1]Définition Maintenances'!$G:$G,MATCH($A116,'[1]Définition Maintenances'!$K:$K,0))+AB116),AB116))</f>
        <v>320</v>
      </c>
      <c r="AD116" s="25">
        <f>IF(ISNUMBER(VLOOKUP($D116,'Visu totale'!$D:$DH,AD$1,0)),AC116-VLOOKUP($D116,'Visu totale'!$D:$DH,AD$1,0),IF(LEFT(VLOOKUP($D116,'Visu totale'!$D:$DH,AD$1,0),1)="V",IF(AC116&gt;=INDEX('[1]Définition Maintenances'!$G:$G,MATCH($A116,'[1]Définition Maintenances'!$K:$K,0)),AC116,INDEX('[1]Définition Maintenances'!$G:$G,MATCH($A116,'[1]Définition Maintenances'!$K:$K,0))+AC116),AC116))</f>
        <v>320</v>
      </c>
      <c r="AE116" s="26">
        <f>IF(ISNUMBER(VLOOKUP($D116,'Visu totale'!$D:$DH,AE$1,0)),AD116-VLOOKUP($D116,'Visu totale'!$D:$DH,AE$1,0),IF(LEFT(VLOOKUP($D116,'Visu totale'!$D:$DH,AE$1,0),1)="V",IF(AD116&gt;=INDEX('[1]Définition Maintenances'!$G:$G,MATCH($A116,'[1]Définition Maintenances'!$K:$K,0)),AD116,INDEX('[1]Définition Maintenances'!$G:$G,MATCH($A116,'[1]Définition Maintenances'!$K:$K,0))+AD116),AD116))</f>
        <v>320</v>
      </c>
      <c r="AF116" s="26">
        <f>IF(ISNUMBER(VLOOKUP($D116,'Visu totale'!$D:$DH,AF$1,0)),AE116-VLOOKUP($D116,'Visu totale'!$D:$DH,AF$1,0),IF(LEFT(VLOOKUP($D116,'Visu totale'!$D:$DH,AF$1,0),1)="V",IF(AE116&gt;=INDEX('[1]Définition Maintenances'!$G:$G,MATCH($A116,'[1]Définition Maintenances'!$K:$K,0)),AE116,INDEX('[1]Définition Maintenances'!$G:$G,MATCH($A116,'[1]Définition Maintenances'!$K:$K,0))+AE116),AE116))</f>
        <v>320</v>
      </c>
      <c r="AG116" s="26">
        <f>IF(ISNUMBER(VLOOKUP($D116,'Visu totale'!$D:$DH,AG$1,0)),AF116-VLOOKUP($D116,'Visu totale'!$D:$DH,AG$1,0),IF(LEFT(VLOOKUP($D116,'Visu totale'!$D:$DH,AG$1,0),1)="V",IF(AF116&gt;=INDEX('[1]Définition Maintenances'!$G:$G,MATCH($A116,'[1]Définition Maintenances'!$K:$K,0)),AF116,INDEX('[1]Définition Maintenances'!$G:$G,MATCH($A116,'[1]Définition Maintenances'!$K:$K,0))+AF116),AF116))</f>
        <v>320</v>
      </c>
      <c r="AH116" s="26">
        <f>IF(ISNUMBER(VLOOKUP($D116,'Visu totale'!$D:$DH,AH$1,0)),AG116-VLOOKUP($D116,'Visu totale'!$D:$DH,AH$1,0),IF(LEFT(VLOOKUP($D116,'Visu totale'!$D:$DH,AH$1,0),1)="V",IF(AG116&gt;=INDEX('[1]Définition Maintenances'!$G:$G,MATCH($A116,'[1]Définition Maintenances'!$K:$K,0)),AG116,INDEX('[1]Définition Maintenances'!$G:$G,MATCH($A116,'[1]Définition Maintenances'!$K:$K,0))+AG116),AG116))</f>
        <v>320</v>
      </c>
      <c r="AI116" s="26">
        <f>IF(ISNUMBER(VLOOKUP($D116,'Visu totale'!$D:$DH,AI$1,0)),AH116-VLOOKUP($D116,'Visu totale'!$D:$DH,AI$1,0),IF(LEFT(VLOOKUP($D116,'Visu totale'!$D:$DH,AI$1,0),1)="V",IF(AH116&gt;=INDEX('[1]Définition Maintenances'!$G:$G,MATCH($A116,'[1]Définition Maintenances'!$K:$K,0)),AH116,INDEX('[1]Définition Maintenances'!$G:$G,MATCH($A116,'[1]Définition Maintenances'!$K:$K,0))+AH116),AH116))</f>
        <v>320</v>
      </c>
      <c r="AJ116" s="26">
        <f>IF(ISNUMBER(VLOOKUP($D116,'Visu totale'!$D:$DH,AJ$1,0)),AI116-VLOOKUP($D116,'Visu totale'!$D:$DH,AJ$1,0),IF(LEFT(VLOOKUP($D116,'Visu totale'!$D:$DH,AJ$1,0),1)="V",IF(AI116&gt;=INDEX('[1]Définition Maintenances'!$G:$G,MATCH($A116,'[1]Définition Maintenances'!$K:$K,0)),AI116,INDEX('[1]Définition Maintenances'!$G:$G,MATCH($A116,'[1]Définition Maintenances'!$K:$K,0))+AI116),AI116))</f>
        <v>320</v>
      </c>
      <c r="AK116" s="26">
        <f>IF(ISNUMBER(VLOOKUP($D116,'Visu totale'!$D:$DH,AK$1,0)),AJ116-VLOOKUP($D116,'Visu totale'!$D:$DH,AK$1,0),IF(LEFT(VLOOKUP($D116,'Visu totale'!$D:$DH,AK$1,0),1)="V",IF(AJ116&gt;=INDEX('[1]Définition Maintenances'!$G:$G,MATCH($A116,'[1]Définition Maintenances'!$K:$K,0)),AJ116,INDEX('[1]Définition Maintenances'!$G:$G,MATCH($A116,'[1]Définition Maintenances'!$K:$K,0))+AJ116),AJ116))</f>
        <v>320</v>
      </c>
      <c r="AL116" s="26">
        <f>IF(ISNUMBER(VLOOKUP($D116,'Visu totale'!$D:$DH,AL$1,0)),AK116-VLOOKUP($D116,'Visu totale'!$D:$DH,AL$1,0),IF(LEFT(VLOOKUP($D116,'Visu totale'!$D:$DH,AL$1,0),1)="V",IF(AK116&gt;=INDEX('[1]Définition Maintenances'!$G:$G,MATCH($A116,'[1]Définition Maintenances'!$K:$K,0)),AK116,INDEX('[1]Définition Maintenances'!$G:$G,MATCH($A116,'[1]Définition Maintenances'!$K:$K,0))+AK116),AK116))</f>
        <v>320</v>
      </c>
      <c r="AM116" s="26">
        <f>IF(ISNUMBER(VLOOKUP($D116,'Visu totale'!$D:$DH,AM$1,0)),AL116-VLOOKUP($D116,'Visu totale'!$D:$DH,AM$1,0),IF(LEFT(VLOOKUP($D116,'Visu totale'!$D:$DH,AM$1,0),1)="V",IF(AL116&gt;=INDEX('[1]Définition Maintenances'!$G:$G,MATCH($A116,'[1]Définition Maintenances'!$K:$K,0)),AL116,INDEX('[1]Définition Maintenances'!$G:$G,MATCH($A116,'[1]Définition Maintenances'!$K:$K,0))+AL116),AL116))</f>
        <v>320</v>
      </c>
      <c r="AN116" s="26">
        <f>IF(ISNUMBER(VLOOKUP($D116,'Visu totale'!$D:$DH,AN$1,0)),AM116-VLOOKUP($D116,'Visu totale'!$D:$DH,AN$1,0),IF(LEFT(VLOOKUP($D116,'Visu totale'!$D:$DH,AN$1,0),1)="V",IF(AM116&gt;=INDEX('[1]Définition Maintenances'!$G:$G,MATCH($A116,'[1]Définition Maintenances'!$K:$K,0)),AM116,INDEX('[1]Définition Maintenances'!$G:$G,MATCH($A116,'[1]Définition Maintenances'!$K:$K,0))+AM116),AM116))</f>
        <v>320</v>
      </c>
      <c r="AO116" s="27">
        <f>IF(ISNUMBER(VLOOKUP($D116,'Visu totale'!$D:$DH,AO$1,0)),AN116-VLOOKUP($D116,'Visu totale'!$D:$DH,AO$1,0),IF(LEFT(VLOOKUP($D116,'Visu totale'!$D:$DH,AO$1,0),1)="V",IF(AN116&gt;=INDEX('[1]Définition Maintenances'!$G:$G,MATCH($A116,'[1]Définition Maintenances'!$K:$K,0)),AN116,INDEX('[1]Définition Maintenances'!$G:$G,MATCH($A116,'[1]Définition Maintenances'!$K:$K,0))+AN116),AN116))</f>
        <v>320</v>
      </c>
      <c r="AP116" s="25">
        <f>IF(ISNUMBER(VLOOKUP($D116,'Visu totale'!$D:$DH,AP$1,0)),AO116-VLOOKUP($D116,'Visu totale'!$D:$DH,AP$1,0),IF(LEFT(VLOOKUP($D116,'Visu totale'!$D:$DH,AP$1,0),1)="V",IF(AO116&gt;=INDEX('[1]Définition Maintenances'!$G:$G,MATCH($A116,'[1]Définition Maintenances'!$K:$K,0)),AO116,INDEX('[1]Définition Maintenances'!$G:$G,MATCH($A116,'[1]Définition Maintenances'!$K:$K,0))+AO116),AO116))</f>
        <v>320</v>
      </c>
      <c r="AQ116" s="26">
        <f>IF(ISNUMBER(VLOOKUP($D116,'Visu totale'!$D:$DH,AQ$1,0)),AP116-VLOOKUP($D116,'Visu totale'!$D:$DH,AQ$1,0),IF(LEFT(VLOOKUP($D116,'Visu totale'!$D:$DH,AQ$1,0),1)="V",IF(AP116&gt;=INDEX('[1]Définition Maintenances'!$G:$G,MATCH($A116,'[1]Définition Maintenances'!$K:$K,0)),AP116,INDEX('[1]Définition Maintenances'!$G:$G,MATCH($A116,'[1]Définition Maintenances'!$K:$K,0))+AP116),AP116))</f>
        <v>320</v>
      </c>
      <c r="AR116" s="26">
        <f>IF(ISNUMBER(VLOOKUP($D116,'Visu totale'!$D:$DH,AR$1,0)),AQ116-VLOOKUP($D116,'Visu totale'!$D:$DH,AR$1,0),IF(LEFT(VLOOKUP($D116,'Visu totale'!$D:$DH,AR$1,0),1)="V",IF(AQ116&gt;=INDEX('[1]Définition Maintenances'!$G:$G,MATCH($A116,'[1]Définition Maintenances'!$K:$K,0)),AQ116,INDEX('[1]Définition Maintenances'!$G:$G,MATCH($A116,'[1]Définition Maintenances'!$K:$K,0))+AQ116),AQ116))</f>
        <v>320</v>
      </c>
      <c r="AS116" s="26">
        <f>IF(ISNUMBER(VLOOKUP($D116,'Visu totale'!$D:$DH,AS$1,0)),AR116-VLOOKUP($D116,'Visu totale'!$D:$DH,AS$1,0),IF(LEFT(VLOOKUP($D116,'Visu totale'!$D:$DH,AS$1,0),1)="V",IF(AR116&gt;=INDEX('[1]Définition Maintenances'!$G:$G,MATCH($A116,'[1]Définition Maintenances'!$K:$K,0)),AR116,INDEX('[1]Définition Maintenances'!$G:$G,MATCH($A116,'[1]Définition Maintenances'!$K:$K,0))+AR116),AR116))</f>
        <v>320</v>
      </c>
      <c r="AT116" s="26">
        <f>IF(ISNUMBER(VLOOKUP($D116,'Visu totale'!$D:$DH,AT$1,0)),AS116-VLOOKUP($D116,'Visu totale'!$D:$DH,AT$1,0),IF(LEFT(VLOOKUP($D116,'Visu totale'!$D:$DH,AT$1,0),1)="V",IF(AS116&gt;=INDEX('[1]Définition Maintenances'!$G:$G,MATCH($A116,'[1]Définition Maintenances'!$K:$K,0)),AS116,INDEX('[1]Définition Maintenances'!$G:$G,MATCH($A116,'[1]Définition Maintenances'!$K:$K,0))+AS116),AS116))</f>
        <v>320</v>
      </c>
      <c r="AU116" s="26">
        <f>IF(ISNUMBER(VLOOKUP($D116,'Visu totale'!$D:$DH,AU$1,0)),AT116-VLOOKUP($D116,'Visu totale'!$D:$DH,AU$1,0),IF(LEFT(VLOOKUP($D116,'Visu totale'!$D:$DH,AU$1,0),1)="V",IF(AT116&gt;=INDEX('[1]Définition Maintenances'!$G:$G,MATCH($A116,'[1]Définition Maintenances'!$K:$K,0)),AT116,INDEX('[1]Définition Maintenances'!$G:$G,MATCH($A116,'[1]Définition Maintenances'!$K:$K,0))+AT116),AT116))</f>
        <v>320</v>
      </c>
      <c r="AV116" s="26">
        <f>IF(ISNUMBER(VLOOKUP($D116,'Visu totale'!$D:$DH,AV$1,0)),AU116-VLOOKUP($D116,'Visu totale'!$D:$DH,AV$1,0),IF(LEFT(VLOOKUP($D116,'Visu totale'!$D:$DH,AV$1,0),1)="V",IF(AU116&gt;=INDEX('[1]Définition Maintenances'!$G:$G,MATCH($A116,'[1]Définition Maintenances'!$K:$K,0)),AU116,INDEX('[1]Définition Maintenances'!$G:$G,MATCH($A116,'[1]Définition Maintenances'!$K:$K,0))+AU116),AU116))</f>
        <v>320</v>
      </c>
      <c r="AW116" s="26">
        <f>IF(ISNUMBER(VLOOKUP($D116,'Visu totale'!$D:$DH,AW$1,0)),AV116-VLOOKUP($D116,'Visu totale'!$D:$DH,AW$1,0),IF(LEFT(VLOOKUP($D116,'Visu totale'!$D:$DH,AW$1,0),1)="V",IF(AV116&gt;=INDEX('[1]Définition Maintenances'!$G:$G,MATCH($A116,'[1]Définition Maintenances'!$K:$K,0)),AV116,INDEX('[1]Définition Maintenances'!$G:$G,MATCH($A116,'[1]Définition Maintenances'!$K:$K,0))+AV116),AV116))</f>
        <v>320</v>
      </c>
      <c r="AX116" s="26">
        <f>IF(ISNUMBER(VLOOKUP($D116,'Visu totale'!$D:$DH,AX$1,0)),AW116-VLOOKUP($D116,'Visu totale'!$D:$DH,AX$1,0),IF(LEFT(VLOOKUP($D116,'Visu totale'!$D:$DH,AX$1,0),1)="V",IF(AW116&gt;=INDEX('[1]Définition Maintenances'!$G:$G,MATCH($A116,'[1]Définition Maintenances'!$K:$K,0)),AW116,INDEX('[1]Définition Maintenances'!$G:$G,MATCH($A116,'[1]Définition Maintenances'!$K:$K,0))+AW116),AW116))</f>
        <v>320</v>
      </c>
      <c r="AY116" s="26">
        <f>IF(ISNUMBER(VLOOKUP($D116,'Visu totale'!$D:$DH,AY$1,0)),AX116-VLOOKUP($D116,'Visu totale'!$D:$DH,AY$1,0),IF(LEFT(VLOOKUP($D116,'Visu totale'!$D:$DH,AY$1,0),1)="V",IF(AX116&gt;=INDEX('[1]Définition Maintenances'!$G:$G,MATCH($A116,'[1]Définition Maintenances'!$K:$K,0)),AX116,INDEX('[1]Définition Maintenances'!$G:$G,MATCH($A116,'[1]Définition Maintenances'!$K:$K,0))+AX116),AX116))</f>
        <v>320</v>
      </c>
      <c r="AZ116" s="26">
        <f>IF(ISNUMBER(VLOOKUP($D116,'Visu totale'!$D:$DH,AZ$1,0)),AY116-VLOOKUP($D116,'Visu totale'!$D:$DH,AZ$1,0),IF(LEFT(VLOOKUP($D116,'Visu totale'!$D:$DH,AZ$1,0),1)="V",IF(AY116&gt;=INDEX('[1]Définition Maintenances'!$G:$G,MATCH($A116,'[1]Définition Maintenances'!$K:$K,0)),AY116,INDEX('[1]Définition Maintenances'!$G:$G,MATCH($A116,'[1]Définition Maintenances'!$K:$K,0))+AY116),AY116))</f>
        <v>320</v>
      </c>
      <c r="BA116" s="27">
        <f>IF(ISNUMBER(VLOOKUP($D116,'Visu totale'!$D:$DH,BA$1,0)),AZ116-VLOOKUP($D116,'Visu totale'!$D:$DH,BA$1,0),IF(LEFT(VLOOKUP($D116,'Visu totale'!$D:$DH,BA$1,0),1)="V",IF(AZ116&gt;=INDEX('[1]Définition Maintenances'!$G:$G,MATCH($A116,'[1]Définition Maintenances'!$K:$K,0)),AZ116,INDEX('[1]Définition Maintenances'!$G:$G,MATCH($A116,'[1]Définition Maintenances'!$K:$K,0))+AZ116),AZ116))</f>
        <v>320</v>
      </c>
      <c r="BB116" s="25">
        <f>IF(ISNUMBER(VLOOKUP($D116,'Visu totale'!$D:$DH,BB$1,0)),BA116-VLOOKUP($D116,'Visu totale'!$D:$DH,BB$1,0),IF(LEFT(VLOOKUP($D116,'Visu totale'!$D:$DH,BB$1,0),1)="V",IF(BA116&gt;=INDEX('[1]Définition Maintenances'!$G:$G,MATCH($A116,'[1]Définition Maintenances'!$K:$K,0)),BA116,INDEX('[1]Définition Maintenances'!$G:$G,MATCH($A116,'[1]Définition Maintenances'!$K:$K,0))+BA116),BA116))</f>
        <v>320</v>
      </c>
      <c r="BC116" s="26">
        <f>IF(ISNUMBER(VLOOKUP($D116,'Visu totale'!$D:$DH,BC$1,0)),BB116-VLOOKUP($D116,'Visu totale'!$D:$DH,BC$1,0),IF(LEFT(VLOOKUP($D116,'Visu totale'!$D:$DH,BC$1,0),1)="V",IF(BB116&gt;=INDEX('[1]Définition Maintenances'!$G:$G,MATCH($A116,'[1]Définition Maintenances'!$K:$K,0)),BB116,INDEX('[1]Définition Maintenances'!$G:$G,MATCH($A116,'[1]Définition Maintenances'!$K:$K,0))+BB116),BB116))</f>
        <v>320</v>
      </c>
      <c r="BD116" s="26">
        <f>IF(ISNUMBER(VLOOKUP($D116,'Visu totale'!$D:$DH,BD$1,0)),BC116-VLOOKUP($D116,'Visu totale'!$D:$DH,BD$1,0),IF(LEFT(VLOOKUP($D116,'Visu totale'!$D:$DH,BD$1,0),1)="V",IF(BC116&gt;=INDEX('[1]Définition Maintenances'!$G:$G,MATCH($A116,'[1]Définition Maintenances'!$K:$K,0)),BC116,INDEX('[1]Définition Maintenances'!$G:$G,MATCH($A116,'[1]Définition Maintenances'!$K:$K,0))+BC116),BC116))</f>
        <v>320</v>
      </c>
      <c r="BE116" s="26">
        <f>IF(ISNUMBER(VLOOKUP($D116,'Visu totale'!$D:$DH,BE$1,0)),BD116-VLOOKUP($D116,'Visu totale'!$D:$DH,BE$1,0),IF(LEFT(VLOOKUP($D116,'Visu totale'!$D:$DH,BE$1,0),1)="V",IF(BD116&gt;=INDEX('[1]Définition Maintenances'!$G:$G,MATCH($A116,'[1]Définition Maintenances'!$K:$K,0)),BD116,INDEX('[1]Définition Maintenances'!$G:$G,MATCH($A116,'[1]Définition Maintenances'!$K:$K,0))+BD116),BD116))</f>
        <v>320</v>
      </c>
      <c r="BF116" s="26">
        <f>IF(ISNUMBER(VLOOKUP($D116,'Visu totale'!$D:$DH,BF$1,0)),BE116-VLOOKUP($D116,'Visu totale'!$D:$DH,BF$1,0),IF(LEFT(VLOOKUP($D116,'Visu totale'!$D:$DH,BF$1,0),1)="V",IF(BE116&gt;=INDEX('[1]Définition Maintenances'!$G:$G,MATCH($A116,'[1]Définition Maintenances'!$K:$K,0)),BE116,INDEX('[1]Définition Maintenances'!$G:$G,MATCH($A116,'[1]Définition Maintenances'!$K:$K,0))+BE116),BE116))</f>
        <v>320</v>
      </c>
      <c r="BG116" s="26">
        <f>IF(ISNUMBER(VLOOKUP($D116,'Visu totale'!$D:$DH,BG$1,0)),BF116-VLOOKUP($D116,'Visu totale'!$D:$DH,BG$1,0),IF(LEFT(VLOOKUP($D116,'Visu totale'!$D:$DH,BG$1,0),1)="V",IF(BF116&gt;=INDEX('[1]Définition Maintenances'!$G:$G,MATCH($A116,'[1]Définition Maintenances'!$K:$K,0)),BF116,INDEX('[1]Définition Maintenances'!$G:$G,MATCH($A116,'[1]Définition Maintenances'!$K:$K,0))+BF116),BF116))</f>
        <v>320</v>
      </c>
      <c r="BH116" s="26">
        <f>IF(ISNUMBER(VLOOKUP($D116,'Visu totale'!$D:$DH,BH$1,0)),BG116-VLOOKUP($D116,'Visu totale'!$D:$DH,BH$1,0),IF(LEFT(VLOOKUP($D116,'Visu totale'!$D:$DH,BH$1,0),1)="V",IF(BG116&gt;=INDEX('[1]Définition Maintenances'!$G:$G,MATCH($A116,'[1]Définition Maintenances'!$K:$K,0)),BG116,INDEX('[1]Définition Maintenances'!$G:$G,MATCH($A116,'[1]Définition Maintenances'!$K:$K,0))+BG116),BG116))</f>
        <v>320</v>
      </c>
      <c r="BI116" s="26">
        <f>IF(ISNUMBER(VLOOKUP($D116,'Visu totale'!$D:$DH,BI$1,0)),BH116-VLOOKUP($D116,'Visu totale'!$D:$DH,BI$1,0),IF(LEFT(VLOOKUP($D116,'Visu totale'!$D:$DH,BI$1,0),1)="V",IF(BH116&gt;=INDEX('[1]Définition Maintenances'!$G:$G,MATCH($A116,'[1]Définition Maintenances'!$K:$K,0)),BH116,INDEX('[1]Définition Maintenances'!$G:$G,MATCH($A116,'[1]Définition Maintenances'!$K:$K,0))+BH116),BH116))</f>
        <v>320</v>
      </c>
      <c r="BJ116" s="26">
        <f>IF(ISNUMBER(VLOOKUP($D116,'Visu totale'!$D:$DH,BJ$1,0)),BI116-VLOOKUP($D116,'Visu totale'!$D:$DH,BJ$1,0),IF(LEFT(VLOOKUP($D116,'Visu totale'!$D:$DH,BJ$1,0),1)="V",IF(BI116&gt;=INDEX('[1]Définition Maintenances'!$G:$G,MATCH($A116,'[1]Définition Maintenances'!$K:$K,0)),BI116,INDEX('[1]Définition Maintenances'!$G:$G,MATCH($A116,'[1]Définition Maintenances'!$K:$K,0))+BI116),BI116))</f>
        <v>320</v>
      </c>
      <c r="BK116" s="26">
        <f>IF(ISNUMBER(VLOOKUP($D116,'Visu totale'!$D:$DH,BK$1,0)),BJ116-VLOOKUP($D116,'Visu totale'!$D:$DH,BK$1,0),IF(LEFT(VLOOKUP($D116,'Visu totale'!$D:$DH,BK$1,0),1)="V",IF(BJ116&gt;=INDEX('[1]Définition Maintenances'!$G:$G,MATCH($A116,'[1]Définition Maintenances'!$K:$K,0)),BJ116,INDEX('[1]Définition Maintenances'!$G:$G,MATCH($A116,'[1]Définition Maintenances'!$K:$K,0))+BJ116),BJ116))</f>
        <v>320</v>
      </c>
      <c r="BL116" s="26">
        <f>IF(ISNUMBER(VLOOKUP($D116,'Visu totale'!$D:$DH,BL$1,0)),BK116-VLOOKUP($D116,'Visu totale'!$D:$DH,BL$1,0),IF(LEFT(VLOOKUP($D116,'Visu totale'!$D:$DH,BL$1,0),1)="V",IF(BK116&gt;=INDEX('[1]Définition Maintenances'!$G:$G,MATCH($A116,'[1]Définition Maintenances'!$K:$K,0)),BK116,INDEX('[1]Définition Maintenances'!$G:$G,MATCH($A116,'[1]Définition Maintenances'!$K:$K,0))+BK116),BK116))</f>
        <v>320</v>
      </c>
      <c r="BM116" s="27">
        <f>IF(ISNUMBER(VLOOKUP($D116,'Visu totale'!$D:$DH,BM$1,0)),BL116-VLOOKUP($D116,'Visu totale'!$D:$DH,BM$1,0),IF(LEFT(VLOOKUP($D116,'Visu totale'!$D:$DH,BM$1,0),1)="V",IF(BL116&gt;=INDEX('[1]Définition Maintenances'!$G:$G,MATCH($A116,'[1]Définition Maintenances'!$K:$K,0)),BL116,INDEX('[1]Définition Maintenances'!$G:$G,MATCH($A116,'[1]Définition Maintenances'!$K:$K,0))+BL116),BL116))</f>
        <v>320</v>
      </c>
      <c r="BN116" s="25">
        <f>IF(ISNUMBER(VLOOKUP($D116,'Visu totale'!$D:$DH,BN$1,0)),BM116-VLOOKUP($D116,'Visu totale'!$D:$DH,BN$1,0),IF(LEFT(VLOOKUP($D116,'Visu totale'!$D:$DH,BN$1,0),1)="V",IF(BM116&gt;=INDEX('[1]Définition Maintenances'!$G:$G,MATCH($A116,'[1]Définition Maintenances'!$K:$K,0)),BM116,INDEX('[1]Définition Maintenances'!$G:$G,MATCH($A116,'[1]Définition Maintenances'!$K:$K,0))+BM116),BM116))</f>
        <v>320</v>
      </c>
      <c r="BO116" s="26">
        <f>IF(ISNUMBER(VLOOKUP($D116,'Visu totale'!$D:$DH,BO$1,0)),BN116-VLOOKUP($D116,'Visu totale'!$D:$DH,BO$1,0),IF(LEFT(VLOOKUP($D116,'Visu totale'!$D:$DH,BO$1,0),1)="V",IF(BN116&gt;=INDEX('[1]Définition Maintenances'!$G:$G,MATCH($A116,'[1]Définition Maintenances'!$K:$K,0)),BN116,INDEX('[1]Définition Maintenances'!$G:$G,MATCH($A116,'[1]Définition Maintenances'!$K:$K,0))+BN116),BN116))</f>
        <v>320</v>
      </c>
      <c r="BP116" s="26">
        <f>IF(ISNUMBER(VLOOKUP($D116,'Visu totale'!$D:$DH,BP$1,0)),BO116-VLOOKUP($D116,'Visu totale'!$D:$DH,BP$1,0),IF(LEFT(VLOOKUP($D116,'Visu totale'!$D:$DH,BP$1,0),1)="V",IF(BO116&gt;=INDEX('[1]Définition Maintenances'!$G:$G,MATCH($A116,'[1]Définition Maintenances'!$K:$K,0)),BO116,INDEX('[1]Définition Maintenances'!$G:$G,MATCH($A116,'[1]Définition Maintenances'!$K:$K,0))+BO116),BO116))</f>
        <v>320</v>
      </c>
      <c r="BQ116" s="26">
        <f>IF(ISNUMBER(VLOOKUP($D116,'Visu totale'!$D:$DH,BQ$1,0)),BP116-VLOOKUP($D116,'Visu totale'!$D:$DH,BQ$1,0),IF(LEFT(VLOOKUP($D116,'Visu totale'!$D:$DH,BQ$1,0),1)="V",IF(BP116&gt;=INDEX('[1]Définition Maintenances'!$G:$G,MATCH($A116,'[1]Définition Maintenances'!$K:$K,0)),BP116,INDEX('[1]Définition Maintenances'!$G:$G,MATCH($A116,'[1]Définition Maintenances'!$K:$K,0))+BP116),BP116))</f>
        <v>320</v>
      </c>
      <c r="BR116" s="26">
        <f>IF(ISNUMBER(VLOOKUP($D116,'Visu totale'!$D:$DH,BR$1,0)),BQ116-VLOOKUP($D116,'Visu totale'!$D:$DH,BR$1,0),IF(LEFT(VLOOKUP($D116,'Visu totale'!$D:$DH,BR$1,0),1)="V",IF(BQ116&gt;=INDEX('[1]Définition Maintenances'!$G:$G,MATCH($A116,'[1]Définition Maintenances'!$K:$K,0)),BQ116,INDEX('[1]Définition Maintenances'!$G:$G,MATCH($A116,'[1]Définition Maintenances'!$K:$K,0))+BQ116),BQ116))</f>
        <v>320</v>
      </c>
      <c r="BS116" s="26">
        <f>IF(ISNUMBER(VLOOKUP($D116,'Visu totale'!$D:$DH,BS$1,0)),BR116-VLOOKUP($D116,'Visu totale'!$D:$DH,BS$1,0),IF(LEFT(VLOOKUP($D116,'Visu totale'!$D:$DH,BS$1,0),1)="V",IF(BR116&gt;=INDEX('[1]Définition Maintenances'!$G:$G,MATCH($A116,'[1]Définition Maintenances'!$K:$K,0)),BR116,INDEX('[1]Définition Maintenances'!$G:$G,MATCH($A116,'[1]Définition Maintenances'!$K:$K,0))+BR116),BR116))</f>
        <v>320</v>
      </c>
      <c r="BT116" s="26">
        <f>IF(ISNUMBER(VLOOKUP($D116,'Visu totale'!$D:$DH,BT$1,0)),BS116-VLOOKUP($D116,'Visu totale'!$D:$DH,BT$1,0),IF(LEFT(VLOOKUP($D116,'Visu totale'!$D:$DH,BT$1,0),1)="V",IF(BS116&gt;=INDEX('[1]Définition Maintenances'!$G:$G,MATCH($A116,'[1]Définition Maintenances'!$K:$K,0)),BS116,INDEX('[1]Définition Maintenances'!$G:$G,MATCH($A116,'[1]Définition Maintenances'!$K:$K,0))+BS116),BS116))</f>
        <v>320</v>
      </c>
      <c r="BU116" s="26">
        <f>IF(ISNUMBER(VLOOKUP($D116,'Visu totale'!$D:$DH,BU$1,0)),BT116-VLOOKUP($D116,'Visu totale'!$D:$DH,BU$1,0),IF(LEFT(VLOOKUP($D116,'Visu totale'!$D:$DH,BU$1,0),1)="V",IF(BT116&gt;=INDEX('[1]Définition Maintenances'!$G:$G,MATCH($A116,'[1]Définition Maintenances'!$K:$K,0)),BT116,INDEX('[1]Définition Maintenances'!$G:$G,MATCH($A116,'[1]Définition Maintenances'!$K:$K,0))+BT116),BT116))</f>
        <v>320</v>
      </c>
      <c r="BV116" s="26">
        <f>IF(ISNUMBER(VLOOKUP($D116,'Visu totale'!$D:$DH,BV$1,0)),BU116-VLOOKUP($D116,'Visu totale'!$D:$DH,BV$1,0),IF(LEFT(VLOOKUP($D116,'Visu totale'!$D:$DH,BV$1,0),1)="V",IF(BU116&gt;=INDEX('[1]Définition Maintenances'!$G:$G,MATCH($A116,'[1]Définition Maintenances'!$K:$K,0)),BU116,INDEX('[1]Définition Maintenances'!$G:$G,MATCH($A116,'[1]Définition Maintenances'!$K:$K,0))+BU116),BU116))</f>
        <v>320</v>
      </c>
      <c r="BW116" s="26">
        <f>IF(ISNUMBER(VLOOKUP($D116,'Visu totale'!$D:$DH,BW$1,0)),BV116-VLOOKUP($D116,'Visu totale'!$D:$DH,BW$1,0),IF(LEFT(VLOOKUP($D116,'Visu totale'!$D:$DH,BW$1,0),1)="V",IF(BV116&gt;=INDEX('[1]Définition Maintenances'!$G:$G,MATCH($A116,'[1]Définition Maintenances'!$K:$K,0)),BV116,INDEX('[1]Définition Maintenances'!$G:$G,MATCH($A116,'[1]Définition Maintenances'!$K:$K,0))+BV116),BV116))</f>
        <v>320</v>
      </c>
      <c r="BX116" s="26">
        <f>IF(ISNUMBER(VLOOKUP($D116,'Visu totale'!$D:$DH,BX$1,0)),BW116-VLOOKUP($D116,'Visu totale'!$D:$DH,BX$1,0),IF(LEFT(VLOOKUP($D116,'Visu totale'!$D:$DH,BX$1,0),1)="V",IF(BW116&gt;=INDEX('[1]Définition Maintenances'!$G:$G,MATCH($A116,'[1]Définition Maintenances'!$K:$K,0)),BW116,INDEX('[1]Définition Maintenances'!$G:$G,MATCH($A116,'[1]Définition Maintenances'!$K:$K,0))+BW116),BW116))</f>
        <v>320</v>
      </c>
      <c r="BY116" s="27">
        <f>IF(ISNUMBER(VLOOKUP($D116,'Visu totale'!$D:$DH,BY$1,0)),BX116-VLOOKUP($D116,'Visu totale'!$D:$DH,BY$1,0),IF(LEFT(VLOOKUP($D116,'Visu totale'!$D:$DH,BY$1,0),1)="V",IF(BX116&gt;=INDEX('[1]Définition Maintenances'!$G:$G,MATCH($A116,'[1]Définition Maintenances'!$K:$K,0)),BX116,INDEX('[1]Définition Maintenances'!$G:$G,MATCH($A116,'[1]Définition Maintenances'!$K:$K,0))+BX116),BX116))</f>
        <v>320</v>
      </c>
      <c r="BZ116" s="25">
        <f>IF(ISNUMBER(VLOOKUP($D116,'Visu totale'!$D:$DH,BZ$1,0)),BY116-VLOOKUP($D116,'Visu totale'!$D:$DH,BZ$1,0),IF(LEFT(VLOOKUP($D116,'Visu totale'!$D:$DH,BZ$1,0),1)="V",IF(BY116&gt;=INDEX('[1]Définition Maintenances'!$G:$G,MATCH($A116,'[1]Définition Maintenances'!$K:$K,0)),BY116,INDEX('[1]Définition Maintenances'!$G:$G,MATCH($A116,'[1]Définition Maintenances'!$K:$K,0))+BY116),BY116))</f>
        <v>320</v>
      </c>
      <c r="CA116" s="26">
        <f>IF(ISNUMBER(VLOOKUP($D116,'Visu totale'!$D:$DH,CA$1,0)),BZ116-VLOOKUP($D116,'Visu totale'!$D:$DH,CA$1,0),IF(LEFT(VLOOKUP($D116,'Visu totale'!$D:$DH,CA$1,0),1)="V",IF(BZ116&gt;=INDEX('[1]Définition Maintenances'!$G:$G,MATCH($A116,'[1]Définition Maintenances'!$K:$K,0)),BZ116,INDEX('[1]Définition Maintenances'!$G:$G,MATCH($A116,'[1]Définition Maintenances'!$K:$K,0))+BZ116),BZ116))</f>
        <v>320</v>
      </c>
      <c r="CB116" s="26">
        <f>IF(ISNUMBER(VLOOKUP($D116,'Visu totale'!$D:$DH,CB$1,0)),CA116-VLOOKUP($D116,'Visu totale'!$D:$DH,CB$1,0),IF(LEFT(VLOOKUP($D116,'Visu totale'!$D:$DH,CB$1,0),1)="V",IF(CA116&gt;=INDEX('[1]Définition Maintenances'!$G:$G,MATCH($A116,'[1]Définition Maintenances'!$K:$K,0)),CA116,INDEX('[1]Définition Maintenances'!$G:$G,MATCH($A116,'[1]Définition Maintenances'!$K:$K,0))+CA116),CA116))</f>
        <v>320</v>
      </c>
      <c r="CC116" s="26">
        <f>IF(ISNUMBER(VLOOKUP($D116,'Visu totale'!$D:$DH,CC$1,0)),CB116-VLOOKUP($D116,'Visu totale'!$D:$DH,CC$1,0),IF(LEFT(VLOOKUP($D116,'Visu totale'!$D:$DH,CC$1,0),1)="V",IF(CB116&gt;=INDEX('[1]Définition Maintenances'!$G:$G,MATCH($A116,'[1]Définition Maintenances'!$K:$K,0)),CB116,INDEX('[1]Définition Maintenances'!$G:$G,MATCH($A116,'[1]Définition Maintenances'!$K:$K,0))+CB116),CB116))</f>
        <v>320</v>
      </c>
      <c r="CD116" s="26">
        <f>IF(ISNUMBER(VLOOKUP($D116,'Visu totale'!$D:$DH,CD$1,0)),CC116-VLOOKUP($D116,'Visu totale'!$D:$DH,CD$1,0),IF(LEFT(VLOOKUP($D116,'Visu totale'!$D:$DH,CD$1,0),1)="V",IF(CC116&gt;=INDEX('[1]Définition Maintenances'!$G:$G,MATCH($A116,'[1]Définition Maintenances'!$K:$K,0)),CC116,INDEX('[1]Définition Maintenances'!$G:$G,MATCH($A116,'[1]Définition Maintenances'!$K:$K,0))+CC116),CC116))</f>
        <v>320</v>
      </c>
      <c r="CE116" s="26">
        <f>IF(ISNUMBER(VLOOKUP($D116,'Visu totale'!$D:$DH,CE$1,0)),CD116-VLOOKUP($D116,'Visu totale'!$D:$DH,CE$1,0),IF(LEFT(VLOOKUP($D116,'Visu totale'!$D:$DH,CE$1,0),1)="V",IF(CD116&gt;=INDEX('[1]Définition Maintenances'!$G:$G,MATCH($A116,'[1]Définition Maintenances'!$K:$K,0)),CD116,INDEX('[1]Définition Maintenances'!$G:$G,MATCH($A116,'[1]Définition Maintenances'!$K:$K,0))+CD116),CD116))</f>
        <v>320</v>
      </c>
      <c r="CF116" s="26">
        <f>IF(ISNUMBER(VLOOKUP($D116,'Visu totale'!$D:$DH,CF$1,0)),CE116-VLOOKUP($D116,'Visu totale'!$D:$DH,CF$1,0),IF(LEFT(VLOOKUP($D116,'Visu totale'!$D:$DH,CF$1,0),1)="V",IF(CE116&gt;=INDEX('[1]Définition Maintenances'!$G:$G,MATCH($A116,'[1]Définition Maintenances'!$K:$K,0)),CE116,INDEX('[1]Définition Maintenances'!$G:$G,MATCH($A116,'[1]Définition Maintenances'!$K:$K,0))+CE116),CE116))</f>
        <v>320</v>
      </c>
      <c r="CG116" s="26">
        <f>IF(ISNUMBER(VLOOKUP($D116,'Visu totale'!$D:$DH,CG$1,0)),CF116-VLOOKUP($D116,'Visu totale'!$D:$DH,CG$1,0),IF(LEFT(VLOOKUP($D116,'Visu totale'!$D:$DH,CG$1,0),1)="V",IF(CF116&gt;=INDEX('[1]Définition Maintenances'!$G:$G,MATCH($A116,'[1]Définition Maintenances'!$K:$K,0)),CF116,INDEX('[1]Définition Maintenances'!$G:$G,MATCH($A116,'[1]Définition Maintenances'!$K:$K,0))+CF116),CF116))</f>
        <v>320</v>
      </c>
      <c r="CH116" s="26">
        <f>IF(ISNUMBER(VLOOKUP($D116,'Visu totale'!$D:$DH,CH$1,0)),CG116-VLOOKUP($D116,'Visu totale'!$D:$DH,CH$1,0),IF(LEFT(VLOOKUP($D116,'Visu totale'!$D:$DH,CH$1,0),1)="V",IF(CG116&gt;=INDEX('[1]Définition Maintenances'!$G:$G,MATCH($A116,'[1]Définition Maintenances'!$K:$K,0)),CG116,INDEX('[1]Définition Maintenances'!$G:$G,MATCH($A116,'[1]Définition Maintenances'!$K:$K,0))+CG116),CG116))</f>
        <v>320</v>
      </c>
      <c r="CI116" s="26">
        <f>IF(ISNUMBER(VLOOKUP($D116,'Visu totale'!$D:$DH,CI$1,0)),CH116-VLOOKUP($D116,'Visu totale'!$D:$DH,CI$1,0),IF(LEFT(VLOOKUP($D116,'Visu totale'!$D:$DH,CI$1,0),1)="V",IF(CH116&gt;=INDEX('[1]Définition Maintenances'!$G:$G,MATCH($A116,'[1]Définition Maintenances'!$K:$K,0)),CH116,INDEX('[1]Définition Maintenances'!$G:$G,MATCH($A116,'[1]Définition Maintenances'!$K:$K,0))+CH116),CH116))</f>
        <v>320</v>
      </c>
      <c r="CJ116" s="26">
        <f>IF(ISNUMBER(VLOOKUP($D116,'Visu totale'!$D:$DH,CJ$1,0)),CI116-VLOOKUP($D116,'Visu totale'!$D:$DH,CJ$1,0),IF(LEFT(VLOOKUP($D116,'Visu totale'!$D:$DH,CJ$1,0),1)="V",IF(CI116&gt;=INDEX('[1]Définition Maintenances'!$G:$G,MATCH($A116,'[1]Définition Maintenances'!$K:$K,0)),CI116,INDEX('[1]Définition Maintenances'!$G:$G,MATCH($A116,'[1]Définition Maintenances'!$K:$K,0))+CI116),CI116))</f>
        <v>320</v>
      </c>
      <c r="CK116" s="27">
        <f>IF(ISNUMBER(VLOOKUP($D116,'Visu totale'!$D:$DH,CK$1,0)),CJ116-VLOOKUP($D116,'Visu totale'!$D:$DH,CK$1,0),IF(LEFT(VLOOKUP($D116,'Visu totale'!$D:$DH,CK$1,0),1)="V",IF(CJ116&gt;=INDEX('[1]Définition Maintenances'!$G:$G,MATCH($A116,'[1]Définition Maintenances'!$K:$K,0)),CJ116,INDEX('[1]Définition Maintenances'!$G:$G,MATCH($A116,'[1]Définition Maintenances'!$K:$K,0))+CJ116),CJ116))</f>
        <v>320</v>
      </c>
      <c r="CL116" s="25">
        <f>IF(ISNUMBER(VLOOKUP($D116,'Visu totale'!$D:$DH,CL$1,0)),CK116-VLOOKUP($D116,'Visu totale'!$D:$DH,CL$1,0),IF(LEFT(VLOOKUP($D116,'Visu totale'!$D:$DH,CL$1,0),1)="V",IF(CK116&gt;=INDEX('[1]Définition Maintenances'!$G:$G,MATCH($A116,'[1]Définition Maintenances'!$K:$K,0)),CK116,INDEX('[1]Définition Maintenances'!$G:$G,MATCH($A116,'[1]Définition Maintenances'!$K:$K,0))+CK116),CK116))</f>
        <v>320</v>
      </c>
      <c r="CM116" s="26">
        <f>IF(ISNUMBER(VLOOKUP($D116,'Visu totale'!$D:$DH,CM$1,0)),CL116-VLOOKUP($D116,'Visu totale'!$D:$DH,CM$1,0),IF(LEFT(VLOOKUP($D116,'Visu totale'!$D:$DH,CM$1,0),1)="V",IF(CL116&gt;=INDEX('[1]Définition Maintenances'!$G:$G,MATCH($A116,'[1]Définition Maintenances'!$K:$K,0)),CL116,INDEX('[1]Définition Maintenances'!$G:$G,MATCH($A116,'[1]Définition Maintenances'!$K:$K,0))+CL116),CL116))</f>
        <v>320</v>
      </c>
      <c r="CN116" s="26">
        <f>IF(ISNUMBER(VLOOKUP($D116,'Visu totale'!$D:$DH,CN$1,0)),CM116-VLOOKUP($D116,'Visu totale'!$D:$DH,CN$1,0),IF(LEFT(VLOOKUP($D116,'Visu totale'!$D:$DH,CN$1,0),1)="V",IF(CM116&gt;=INDEX('[1]Définition Maintenances'!$G:$G,MATCH($A116,'[1]Définition Maintenances'!$K:$K,0)),CM116,INDEX('[1]Définition Maintenances'!$G:$G,MATCH($A116,'[1]Définition Maintenances'!$K:$K,0))+CM116),CM116))</f>
        <v>320</v>
      </c>
      <c r="CO116" s="26">
        <f>IF(ISNUMBER(VLOOKUP($D116,'Visu totale'!$D:$DH,CO$1,0)),CN116-VLOOKUP($D116,'Visu totale'!$D:$DH,CO$1,0),IF(LEFT(VLOOKUP($D116,'Visu totale'!$D:$DH,CO$1,0),1)="V",IF(CN116&gt;=INDEX('[1]Définition Maintenances'!$G:$G,MATCH($A116,'[1]Définition Maintenances'!$K:$K,0)),CN116,INDEX('[1]Définition Maintenances'!$G:$G,MATCH($A116,'[1]Définition Maintenances'!$K:$K,0))+CN116),CN116))</f>
        <v>320</v>
      </c>
      <c r="CP116" s="26">
        <f>IF(ISNUMBER(VLOOKUP($D116,'Visu totale'!$D:$DH,CP$1,0)),CO116-VLOOKUP($D116,'Visu totale'!$D:$DH,CP$1,0),IF(LEFT(VLOOKUP($D116,'Visu totale'!$D:$DH,CP$1,0),1)="V",IF(CO116&gt;=INDEX('[1]Définition Maintenances'!$G:$G,MATCH($A116,'[1]Définition Maintenances'!$K:$K,0)),CO116,INDEX('[1]Définition Maintenances'!$G:$G,MATCH($A116,'[1]Définition Maintenances'!$K:$K,0))+CO116),CO116))</f>
        <v>320</v>
      </c>
      <c r="CQ116" s="26">
        <f>IF(ISNUMBER(VLOOKUP($D116,'Visu totale'!$D:$DH,CQ$1,0)),CP116-VLOOKUP($D116,'Visu totale'!$D:$DH,CQ$1,0),IF(LEFT(VLOOKUP($D116,'Visu totale'!$D:$DH,CQ$1,0),1)="V",IF(CP116&gt;=INDEX('[1]Définition Maintenances'!$G:$G,MATCH($A116,'[1]Définition Maintenances'!$K:$K,0)),CP116,INDEX('[1]Définition Maintenances'!$G:$G,MATCH($A116,'[1]Définition Maintenances'!$K:$K,0))+CP116),CP116))</f>
        <v>320</v>
      </c>
      <c r="CR116" s="26">
        <f>IF(ISNUMBER(VLOOKUP($D116,'Visu totale'!$D:$DH,CR$1,0)),CQ116-VLOOKUP($D116,'Visu totale'!$D:$DH,CR$1,0),IF(LEFT(VLOOKUP($D116,'Visu totale'!$D:$DH,CR$1,0),1)="V",IF(CQ116&gt;=INDEX('[1]Définition Maintenances'!$G:$G,MATCH($A116,'[1]Définition Maintenances'!$K:$K,0)),CQ116,INDEX('[1]Définition Maintenances'!$G:$G,MATCH($A116,'[1]Définition Maintenances'!$K:$K,0))+CQ116),CQ116))</f>
        <v>320</v>
      </c>
      <c r="CS116" s="26">
        <f>IF(ISNUMBER(VLOOKUP($D116,'Visu totale'!$D:$DH,CS$1,0)),CR116-VLOOKUP($D116,'Visu totale'!$D:$DH,CS$1,0),IF(LEFT(VLOOKUP($D116,'Visu totale'!$D:$DH,CS$1,0),1)="V",IF(CR116&gt;=INDEX('[1]Définition Maintenances'!$G:$G,MATCH($A116,'[1]Définition Maintenances'!$K:$K,0)),CR116,INDEX('[1]Définition Maintenances'!$G:$G,MATCH($A116,'[1]Définition Maintenances'!$K:$K,0))+CR116),CR116))</f>
        <v>320</v>
      </c>
      <c r="CT116" s="26">
        <f>IF(ISNUMBER(VLOOKUP($D116,'Visu totale'!$D:$DH,CT$1,0)),CS116-VLOOKUP($D116,'Visu totale'!$D:$DH,CT$1,0),IF(LEFT(VLOOKUP($D116,'Visu totale'!$D:$DH,CT$1,0),1)="V",IF(CS116&gt;=INDEX('[1]Définition Maintenances'!$G:$G,MATCH($A116,'[1]Définition Maintenances'!$K:$K,0)),CS116,INDEX('[1]Définition Maintenances'!$G:$G,MATCH($A116,'[1]Définition Maintenances'!$K:$K,0))+CS116),CS116))</f>
        <v>320</v>
      </c>
      <c r="CU116" s="26">
        <f>IF(ISNUMBER(VLOOKUP($D116,'Visu totale'!$D:$DH,CU$1,0)),CT116-VLOOKUP($D116,'Visu totale'!$D:$DH,CU$1,0),IF(LEFT(VLOOKUP($D116,'Visu totale'!$D:$DH,CU$1,0),1)="V",IF(CT116&gt;=INDEX('[1]Définition Maintenances'!$G:$G,MATCH($A116,'[1]Définition Maintenances'!$K:$K,0)),CT116,INDEX('[1]Définition Maintenances'!$G:$G,MATCH($A116,'[1]Définition Maintenances'!$K:$K,0))+CT116),CT116))</f>
        <v>320</v>
      </c>
      <c r="CV116" s="26">
        <f>IF(ISNUMBER(VLOOKUP($D116,'Visu totale'!$D:$DH,CV$1,0)),CU116-VLOOKUP($D116,'Visu totale'!$D:$DH,CV$1,0),IF(LEFT(VLOOKUP($D116,'Visu totale'!$D:$DH,CV$1,0),1)="V",IF(CU116&gt;=INDEX('[1]Définition Maintenances'!$G:$G,MATCH($A116,'[1]Définition Maintenances'!$K:$K,0)),CU116,INDEX('[1]Définition Maintenances'!$G:$G,MATCH($A116,'[1]Définition Maintenances'!$K:$K,0))+CU116),CU116))</f>
        <v>320</v>
      </c>
      <c r="CW116" s="27">
        <f>IF(ISNUMBER(VLOOKUP($D116,'Visu totale'!$D:$DH,CW$1,0)),CV116-VLOOKUP($D116,'Visu totale'!$D:$DH,CW$1,0),IF(LEFT(VLOOKUP($D116,'Visu totale'!$D:$DH,CW$1,0),1)="V",IF(CV116&gt;=INDEX('[1]Définition Maintenances'!$G:$G,MATCH($A116,'[1]Définition Maintenances'!$K:$K,0)),CV116,INDEX('[1]Définition Maintenances'!$G:$G,MATCH($A116,'[1]Définition Maintenances'!$K:$K,0))+CV116),CV116))</f>
        <v>320</v>
      </c>
      <c r="CX116" s="25">
        <f>IF(ISNUMBER(VLOOKUP($D116,'Visu totale'!$D:$DH,CX$1,0)),CW116-VLOOKUP($D116,'Visu totale'!$D:$DH,CX$1,0),IF(LEFT(VLOOKUP($D116,'Visu totale'!$D:$DH,CX$1,0),1)="V",IF(CW116&gt;=INDEX('[1]Définition Maintenances'!$G:$G,MATCH($A116,'[1]Définition Maintenances'!$K:$K,0)),CW116,INDEX('[1]Définition Maintenances'!$G:$G,MATCH($A116,'[1]Définition Maintenances'!$K:$K,0))+CW116),CW116))</f>
        <v>320</v>
      </c>
      <c r="CY116" s="26">
        <f>IF(ISNUMBER(VLOOKUP($D116,'Visu totale'!$D:$DH,CY$1,0)),CX116-VLOOKUP($D116,'Visu totale'!$D:$DH,CY$1,0),IF(LEFT(VLOOKUP($D116,'Visu totale'!$D:$DH,CY$1,0),1)="V",IF(CX116&gt;=INDEX('[1]Définition Maintenances'!$G:$G,MATCH($A116,'[1]Définition Maintenances'!$K:$K,0)),CX116,INDEX('[1]Définition Maintenances'!$G:$G,MATCH($A116,'[1]Définition Maintenances'!$K:$K,0))+CX116),CX116))</f>
        <v>320</v>
      </c>
      <c r="CZ116" s="26">
        <f>IF(ISNUMBER(VLOOKUP($D116,'Visu totale'!$D:$DH,CZ$1,0)),CY116-VLOOKUP($D116,'Visu totale'!$D:$DH,CZ$1,0),IF(LEFT(VLOOKUP($D116,'Visu totale'!$D:$DH,CZ$1,0),1)="V",IF(CY116&gt;=INDEX('[1]Définition Maintenances'!$G:$G,MATCH($A116,'[1]Définition Maintenances'!$K:$K,0)),CY116,INDEX('[1]Définition Maintenances'!$G:$G,MATCH($A116,'[1]Définition Maintenances'!$K:$K,0))+CY116),CY116))</f>
        <v>320</v>
      </c>
      <c r="DA116" s="26">
        <f>IF(ISNUMBER(VLOOKUP($D116,'Visu totale'!$D:$DH,DA$1,0)),CZ116-VLOOKUP($D116,'Visu totale'!$D:$DH,DA$1,0),IF(LEFT(VLOOKUP($D116,'Visu totale'!$D:$DH,DA$1,0),1)="V",IF(CZ116&gt;=INDEX('[1]Définition Maintenances'!$G:$G,MATCH($A116,'[1]Définition Maintenances'!$K:$K,0)),CZ116,INDEX('[1]Définition Maintenances'!$G:$G,MATCH($A116,'[1]Définition Maintenances'!$K:$K,0))+CZ116),CZ116))</f>
        <v>320</v>
      </c>
      <c r="DB116" s="26">
        <f>IF(ISNUMBER(VLOOKUP($D116,'Visu totale'!$D:$DH,DB$1,0)),DA116-VLOOKUP($D116,'Visu totale'!$D:$DH,DB$1,0),IF(LEFT(VLOOKUP($D116,'Visu totale'!$D:$DH,DB$1,0),1)="V",IF(DA116&gt;=INDEX('[1]Définition Maintenances'!$G:$G,MATCH($A116,'[1]Définition Maintenances'!$K:$K,0)),DA116,INDEX('[1]Définition Maintenances'!$G:$G,MATCH($A116,'[1]Définition Maintenances'!$K:$K,0))+DA116),DA116))</f>
        <v>320</v>
      </c>
      <c r="DC116" s="26">
        <f>IF(ISNUMBER(VLOOKUP($D116,'Visu totale'!$D:$DH,DC$1,0)),DB116-VLOOKUP($D116,'Visu totale'!$D:$DH,DC$1,0),IF(LEFT(VLOOKUP($D116,'Visu totale'!$D:$DH,DC$1,0),1)="V",IF(DB116&gt;=INDEX('[1]Définition Maintenances'!$G:$G,MATCH($A116,'[1]Définition Maintenances'!$K:$K,0)),DB116,INDEX('[1]Définition Maintenances'!$G:$G,MATCH($A116,'[1]Définition Maintenances'!$K:$K,0))+DB116),DB116))</f>
        <v>320</v>
      </c>
      <c r="DD116" s="26">
        <f>IF(ISNUMBER(VLOOKUP($D116,'Visu totale'!$D:$DH,DD$1,0)),DC116-VLOOKUP($D116,'Visu totale'!$D:$DH,DD$1,0),IF(LEFT(VLOOKUP($D116,'Visu totale'!$D:$DH,DD$1,0),1)="V",IF(DC116&gt;=INDEX('[1]Définition Maintenances'!$G:$G,MATCH($A116,'[1]Définition Maintenances'!$K:$K,0)),DC116,INDEX('[1]Définition Maintenances'!$G:$G,MATCH($A116,'[1]Définition Maintenances'!$K:$K,0))+DC116),DC116))</f>
        <v>320</v>
      </c>
      <c r="DE116" s="26">
        <f>IF(ISNUMBER(VLOOKUP($D116,'Visu totale'!$D:$DH,DE$1,0)),DD116-VLOOKUP($D116,'Visu totale'!$D:$DH,DE$1,0),IF(LEFT(VLOOKUP($D116,'Visu totale'!$D:$DH,DE$1,0),1)="V",IF(DD116&gt;=INDEX('[1]Définition Maintenances'!$G:$G,MATCH($A116,'[1]Définition Maintenances'!$K:$K,0)),DD116,INDEX('[1]Définition Maintenances'!$G:$G,MATCH($A116,'[1]Définition Maintenances'!$K:$K,0))+DD116),DD116))</f>
        <v>320</v>
      </c>
      <c r="DF116" s="26">
        <f>IF(ISNUMBER(VLOOKUP($D116,'Visu totale'!$D:$DH,DF$1,0)),DE116-VLOOKUP($D116,'Visu totale'!$D:$DH,DF$1,0),IF(LEFT(VLOOKUP($D116,'Visu totale'!$D:$DH,DF$1,0),1)="V",IF(DE116&gt;=INDEX('[1]Définition Maintenances'!$G:$G,MATCH($A116,'[1]Définition Maintenances'!$K:$K,0)),DE116,INDEX('[1]Définition Maintenances'!$G:$G,MATCH($A116,'[1]Définition Maintenances'!$K:$K,0))+DE116),DE116))</f>
        <v>320</v>
      </c>
      <c r="DG116" s="26">
        <f>IF(ISNUMBER(VLOOKUP($D116,'Visu totale'!$D:$DH,DG$1,0)),DF116-VLOOKUP($D116,'Visu totale'!$D:$DH,DG$1,0),IF(LEFT(VLOOKUP($D116,'Visu totale'!$D:$DH,DG$1,0),1)="V",IF(DF116&gt;=INDEX('[1]Définition Maintenances'!$G:$G,MATCH($A116,'[1]Définition Maintenances'!$K:$K,0)),DF116,INDEX('[1]Définition Maintenances'!$G:$G,MATCH($A116,'[1]Définition Maintenances'!$K:$K,0))+DF116),DF116))</f>
        <v>320</v>
      </c>
      <c r="DH116" s="26">
        <f>IF(ISNUMBER(VLOOKUP($D116,'Visu totale'!$D:$DH,DH$1,0)),DG116-VLOOKUP($D116,'Visu totale'!$D:$DH,DH$1,0),IF(LEFT(VLOOKUP($D116,'Visu totale'!$D:$DH,DH$1,0),1)="V",IF(DG116&gt;=INDEX('[1]Définition Maintenances'!$G:$G,MATCH($A116,'[1]Définition Maintenances'!$K:$K,0)),DG116,INDEX('[1]Définition Maintenances'!$G:$G,MATCH($A116,'[1]Définition Maintenances'!$K:$K,0))+DG116),DG116))</f>
        <v>320</v>
      </c>
      <c r="DI116" s="27">
        <f>IF(ISNUMBER(VLOOKUP($D116,'Visu totale'!$D:$DH,DI$1,0)),DH116-VLOOKUP($D116,'Visu totale'!$D:$DH,DI$1,0),IF(LEFT(VLOOKUP($D116,'Visu totale'!$D:$DH,DI$1,0),1)="V",IF(DH116&gt;=INDEX('[1]Définition Maintenances'!$G:$G,MATCH($A116,'[1]Définition Maintenances'!$K:$K,0)),DH116,INDEX('[1]Définition Maintenances'!$G:$G,MATCH($A116,'[1]Définition Maintenances'!$K:$K,0))+DH116),DH116))</f>
        <v>320</v>
      </c>
    </row>
    <row r="117" spans="1:113" x14ac:dyDescent="0.25">
      <c r="A117" s="13" t="str">
        <f t="shared" si="3"/>
        <v>V155</v>
      </c>
      <c r="B117" s="13" t="str">
        <f>VLOOKUP(D117,'[1]Avions (Potentiels)'!$B$2:$H$128,7,FALSE)</f>
        <v>V15</v>
      </c>
      <c r="C117" s="13"/>
      <c r="D117" s="16" t="s">
        <v>120</v>
      </c>
      <c r="E117" s="13">
        <f>IFERROR(VALUE(SUBSTITUTE(VLOOKUP(D117,'[1]Avions (Potentiels)'!$B:$E,4,0),".",",")),VALUE(VLOOKUP(D117,'[1]Avions (Potentiels)'!$B:$E,4,0)))</f>
        <v>1200</v>
      </c>
      <c r="F117" s="25">
        <f>IF(ISNUMBER(VLOOKUP($D117,'Visu totale'!$D:$DH,F$1,0)),E117-VLOOKUP($D117,'Visu totale'!$D:$DH,F$1,0),IF(LEFT(VLOOKUP($D117,'Visu totale'!$D:$DH,F$1,0),1)="V",IF(E117&gt;=INDEX('[1]Définition Maintenances'!$G:$G,MATCH($A117,'[1]Définition Maintenances'!$K:$K,0)),E117,INDEX('[1]Définition Maintenances'!$G:$G,MATCH($A117,'[1]Définition Maintenances'!$K:$K,0))+E117),E117))</f>
        <v>1200</v>
      </c>
      <c r="G117" s="26">
        <f>IF(ISNUMBER(VLOOKUP($D117,'Visu totale'!$D:$DH,G$1,0)),F117-VLOOKUP($D117,'Visu totale'!$D:$DH,G$1,0),IF(LEFT(VLOOKUP($D117,'Visu totale'!$D:$DH,G$1,0),1)="V",IF(F117&gt;=INDEX('[1]Définition Maintenances'!$G:$G,MATCH($A117,'[1]Définition Maintenances'!$K:$K,0)),F117,INDEX('[1]Définition Maintenances'!$G:$G,MATCH($A117,'[1]Définition Maintenances'!$K:$K,0))+F117),F117))</f>
        <v>1200</v>
      </c>
      <c r="H117" s="26">
        <f>IF(ISNUMBER(VLOOKUP($D117,'Visu totale'!$D:$DH,H$1,0)),G117-VLOOKUP($D117,'Visu totale'!$D:$DH,H$1,0),IF(LEFT(VLOOKUP($D117,'Visu totale'!$D:$DH,H$1,0),1)="V",IF(G117&gt;=INDEX('[1]Définition Maintenances'!$G:$G,MATCH($A117,'[1]Définition Maintenances'!$K:$K,0)),G117,INDEX('[1]Définition Maintenances'!$G:$G,MATCH($A117,'[1]Définition Maintenances'!$K:$K,0))+G117),G117))</f>
        <v>1200</v>
      </c>
      <c r="I117" s="26">
        <f>IF(ISNUMBER(VLOOKUP($D117,'Visu totale'!$D:$DH,I$1,0)),H117-VLOOKUP($D117,'Visu totale'!$D:$DH,I$1,0),IF(LEFT(VLOOKUP($D117,'Visu totale'!$D:$DH,I$1,0),1)="V",IF(H117&gt;=INDEX('[1]Définition Maintenances'!$G:$G,MATCH($A117,'[1]Définition Maintenances'!$K:$K,0)),H117,INDEX('[1]Définition Maintenances'!$G:$G,MATCH($A117,'[1]Définition Maintenances'!$K:$K,0))+H117),H117))</f>
        <v>1200</v>
      </c>
      <c r="J117" s="26">
        <f>IF(ISNUMBER(VLOOKUP($D117,'Visu totale'!$D:$DH,J$1,0)),I117-VLOOKUP($D117,'Visu totale'!$D:$DH,J$1,0),IF(LEFT(VLOOKUP($D117,'Visu totale'!$D:$DH,J$1,0),1)="V",IF(I117&gt;=INDEX('[1]Définition Maintenances'!$G:$G,MATCH($A117,'[1]Définition Maintenances'!$K:$K,0)),I117,INDEX('[1]Définition Maintenances'!$G:$G,MATCH($A117,'[1]Définition Maintenances'!$K:$K,0))+I117),I117))</f>
        <v>1200</v>
      </c>
      <c r="K117" s="26">
        <f>IF(ISNUMBER(VLOOKUP($D117,'Visu totale'!$D:$DH,K$1,0)),J117-VLOOKUP($D117,'Visu totale'!$D:$DH,K$1,0),IF(LEFT(VLOOKUP($D117,'Visu totale'!$D:$DH,K$1,0),1)="V",IF(J117&gt;=INDEX('[1]Définition Maintenances'!$G:$G,MATCH($A117,'[1]Définition Maintenances'!$K:$K,0)),J117,INDEX('[1]Définition Maintenances'!$G:$G,MATCH($A117,'[1]Définition Maintenances'!$K:$K,0))+J117),J117))</f>
        <v>1200</v>
      </c>
      <c r="L117" s="26">
        <f>IF(ISNUMBER(VLOOKUP($D117,'Visu totale'!$D:$DH,L$1,0)),K117-VLOOKUP($D117,'Visu totale'!$D:$DH,L$1,0),IF(LEFT(VLOOKUP($D117,'Visu totale'!$D:$DH,L$1,0),1)="V",IF(K117&gt;=INDEX('[1]Définition Maintenances'!$G:$G,MATCH($A117,'[1]Définition Maintenances'!$K:$K,0)),K117,INDEX('[1]Définition Maintenances'!$G:$G,MATCH($A117,'[1]Définition Maintenances'!$K:$K,0))+K117),K117))</f>
        <v>1200</v>
      </c>
      <c r="M117" s="26">
        <f>IF(ISNUMBER(VLOOKUP($D117,'Visu totale'!$D:$DH,M$1,0)),L117-VLOOKUP($D117,'Visu totale'!$D:$DH,M$1,0),IF(LEFT(VLOOKUP($D117,'Visu totale'!$D:$DH,M$1,0),1)="V",IF(L117&gt;=INDEX('[1]Définition Maintenances'!$G:$G,MATCH($A117,'[1]Définition Maintenances'!$K:$K,0)),L117,INDEX('[1]Définition Maintenances'!$G:$G,MATCH($A117,'[1]Définition Maintenances'!$K:$K,0))+L117),L117))</f>
        <v>1200</v>
      </c>
      <c r="N117" s="26">
        <f>IF(ISNUMBER(VLOOKUP($D117,'Visu totale'!$D:$DH,N$1,0)),M117-VLOOKUP($D117,'Visu totale'!$D:$DH,N$1,0),IF(LEFT(VLOOKUP($D117,'Visu totale'!$D:$DH,N$1,0),1)="V",IF(M117&gt;=INDEX('[1]Définition Maintenances'!$G:$G,MATCH($A117,'[1]Définition Maintenances'!$K:$K,0)),M117,INDEX('[1]Définition Maintenances'!$G:$G,MATCH($A117,'[1]Définition Maintenances'!$K:$K,0))+M117),M117))</f>
        <v>1200</v>
      </c>
      <c r="O117" s="26">
        <f>IF(ISNUMBER(VLOOKUP($D117,'Visu totale'!$D:$DH,O$1,0)),N117-VLOOKUP($D117,'Visu totale'!$D:$DH,O$1,0),IF(LEFT(VLOOKUP($D117,'Visu totale'!$D:$DH,O$1,0),1)="V",IF(N117&gt;=INDEX('[1]Définition Maintenances'!$G:$G,MATCH($A117,'[1]Définition Maintenances'!$K:$K,0)),N117,INDEX('[1]Définition Maintenances'!$G:$G,MATCH($A117,'[1]Définition Maintenances'!$K:$K,0))+N117),N117))</f>
        <v>1200</v>
      </c>
      <c r="P117" s="26">
        <f>IF(ISNUMBER(VLOOKUP($D117,'Visu totale'!$D:$DH,P$1,0)),O117-VLOOKUP($D117,'Visu totale'!$D:$DH,P$1,0),IF(LEFT(VLOOKUP($D117,'Visu totale'!$D:$DH,P$1,0),1)="V",IF(O117&gt;=INDEX('[1]Définition Maintenances'!$G:$G,MATCH($A117,'[1]Définition Maintenances'!$K:$K,0)),O117,INDEX('[1]Définition Maintenances'!$G:$G,MATCH($A117,'[1]Définition Maintenances'!$K:$K,0))+O117),O117))</f>
        <v>1200</v>
      </c>
      <c r="Q117" s="27">
        <f>IF(ISNUMBER(VLOOKUP($D117,'Visu totale'!$D:$DH,Q$1,0)),P117-VLOOKUP($D117,'Visu totale'!$D:$DH,Q$1,0),IF(LEFT(VLOOKUP($D117,'Visu totale'!$D:$DH,Q$1,0),1)="V",IF(P117&gt;=INDEX('[1]Définition Maintenances'!$G:$G,MATCH($A117,'[1]Définition Maintenances'!$K:$K,0)),P117,INDEX('[1]Définition Maintenances'!$G:$G,MATCH($A117,'[1]Définition Maintenances'!$K:$K,0))+P117),P117))</f>
        <v>1200</v>
      </c>
      <c r="R117" s="25">
        <f>IF(ISNUMBER(VLOOKUP($D117,'Visu totale'!$D:$DH,R$1,0)),Q117-VLOOKUP($D117,'Visu totale'!$D:$DH,R$1,0),IF(LEFT(VLOOKUP($D117,'Visu totale'!$D:$DH,R$1,0),1)="V",IF(Q117&gt;=INDEX('[1]Définition Maintenances'!$G:$G,MATCH($A117,'[1]Définition Maintenances'!$K:$K,0)),Q117,INDEX('[1]Définition Maintenances'!$G:$G,MATCH($A117,'[1]Définition Maintenances'!$K:$K,0))+Q117),Q117))</f>
        <v>1200</v>
      </c>
      <c r="S117" s="26">
        <f>IF(ISNUMBER(VLOOKUP($D117,'Visu totale'!$D:$DH,S$1,0)),R117-VLOOKUP($D117,'Visu totale'!$D:$DH,S$1,0),IF(LEFT(VLOOKUP($D117,'Visu totale'!$D:$DH,S$1,0),1)="V",IF(R117&gt;=INDEX('[1]Définition Maintenances'!$G:$G,MATCH($A117,'[1]Définition Maintenances'!$K:$K,0)),R117,INDEX('[1]Définition Maintenances'!$G:$G,MATCH($A117,'[1]Définition Maintenances'!$K:$K,0))+R117),R117))</f>
        <v>1200</v>
      </c>
      <c r="T117" s="26">
        <f>IF(ISNUMBER(VLOOKUP($D117,'Visu totale'!$D:$DH,T$1,0)),S117-VLOOKUP($D117,'Visu totale'!$D:$DH,T$1,0),IF(LEFT(VLOOKUP($D117,'Visu totale'!$D:$DH,T$1,0),1)="V",IF(S117&gt;=INDEX('[1]Définition Maintenances'!$G:$G,MATCH($A117,'[1]Définition Maintenances'!$K:$K,0)),S117,INDEX('[1]Définition Maintenances'!$G:$G,MATCH($A117,'[1]Définition Maintenances'!$K:$K,0))+S117),S117))</f>
        <v>1200</v>
      </c>
      <c r="U117" s="26">
        <f>IF(ISNUMBER(VLOOKUP($D117,'Visu totale'!$D:$DH,U$1,0)),T117-VLOOKUP($D117,'Visu totale'!$D:$DH,U$1,0),IF(LEFT(VLOOKUP($D117,'Visu totale'!$D:$DH,U$1,0),1)="V",IF(T117&gt;=INDEX('[1]Définition Maintenances'!$G:$G,MATCH($A117,'[1]Définition Maintenances'!$K:$K,0)),T117,INDEX('[1]Définition Maintenances'!$G:$G,MATCH($A117,'[1]Définition Maintenances'!$K:$K,0))+T117),T117))</f>
        <v>1200</v>
      </c>
      <c r="V117" s="26">
        <f>IF(ISNUMBER(VLOOKUP($D117,'Visu totale'!$D:$DH,V$1,0)),U117-VLOOKUP($D117,'Visu totale'!$D:$DH,V$1,0),IF(LEFT(VLOOKUP($D117,'Visu totale'!$D:$DH,V$1,0),1)="V",IF(U117&gt;=INDEX('[1]Définition Maintenances'!$G:$G,MATCH($A117,'[1]Définition Maintenances'!$K:$K,0)),U117,INDEX('[1]Définition Maintenances'!$G:$G,MATCH($A117,'[1]Définition Maintenances'!$K:$K,0))+U117),U117))</f>
        <v>1200</v>
      </c>
      <c r="W117" s="26">
        <f>IF(ISNUMBER(VLOOKUP($D117,'Visu totale'!$D:$DH,W$1,0)),V117-VLOOKUP($D117,'Visu totale'!$D:$DH,W$1,0),IF(LEFT(VLOOKUP($D117,'Visu totale'!$D:$DH,W$1,0),1)="V",IF(V117&gt;=INDEX('[1]Définition Maintenances'!$G:$G,MATCH($A117,'[1]Définition Maintenances'!$K:$K,0)),V117,INDEX('[1]Définition Maintenances'!$G:$G,MATCH($A117,'[1]Définition Maintenances'!$K:$K,0))+V117),V117))</f>
        <v>1200</v>
      </c>
      <c r="X117" s="26">
        <f>IF(ISNUMBER(VLOOKUP($D117,'Visu totale'!$D:$DH,X$1,0)),W117-VLOOKUP($D117,'Visu totale'!$D:$DH,X$1,0),IF(LEFT(VLOOKUP($D117,'Visu totale'!$D:$DH,X$1,0),1)="V",IF(W117&gt;=INDEX('[1]Définition Maintenances'!$G:$G,MATCH($A117,'[1]Définition Maintenances'!$K:$K,0)),W117,INDEX('[1]Définition Maintenances'!$G:$G,MATCH($A117,'[1]Définition Maintenances'!$K:$K,0))+W117),W117))</f>
        <v>1200</v>
      </c>
      <c r="Y117" s="26">
        <f>IF(ISNUMBER(VLOOKUP($D117,'Visu totale'!$D:$DH,Y$1,0)),X117-VLOOKUP($D117,'Visu totale'!$D:$DH,Y$1,0),IF(LEFT(VLOOKUP($D117,'Visu totale'!$D:$DH,Y$1,0),1)="V",IF(X117&gt;=INDEX('[1]Définition Maintenances'!$G:$G,MATCH($A117,'[1]Définition Maintenances'!$K:$K,0)),X117,INDEX('[1]Définition Maintenances'!$G:$G,MATCH($A117,'[1]Définition Maintenances'!$K:$K,0))+X117),X117))</f>
        <v>1200</v>
      </c>
      <c r="Z117" s="26">
        <f>IF(ISNUMBER(VLOOKUP($D117,'Visu totale'!$D:$DH,Z$1,0)),Y117-VLOOKUP($D117,'Visu totale'!$D:$DH,Z$1,0),IF(LEFT(VLOOKUP($D117,'Visu totale'!$D:$DH,Z$1,0),1)="V",IF(Y117&gt;=INDEX('[1]Définition Maintenances'!$G:$G,MATCH($A117,'[1]Définition Maintenances'!$K:$K,0)),Y117,INDEX('[1]Définition Maintenances'!$G:$G,MATCH($A117,'[1]Définition Maintenances'!$K:$K,0))+Y117),Y117))</f>
        <v>1200</v>
      </c>
      <c r="AA117" s="26">
        <f>IF(ISNUMBER(VLOOKUP($D117,'Visu totale'!$D:$DH,AA$1,0)),Z117-VLOOKUP($D117,'Visu totale'!$D:$DH,AA$1,0),IF(LEFT(VLOOKUP($D117,'Visu totale'!$D:$DH,AA$1,0),1)="V",IF(Z117&gt;=INDEX('[1]Définition Maintenances'!$G:$G,MATCH($A117,'[1]Définition Maintenances'!$K:$K,0)),Z117,INDEX('[1]Définition Maintenances'!$G:$G,MATCH($A117,'[1]Définition Maintenances'!$K:$K,0))+Z117),Z117))</f>
        <v>1200</v>
      </c>
      <c r="AB117" s="26">
        <f>IF(ISNUMBER(VLOOKUP($D117,'Visu totale'!$D:$DH,AB$1,0)),AA117-VLOOKUP($D117,'Visu totale'!$D:$DH,AB$1,0),IF(LEFT(VLOOKUP($D117,'Visu totale'!$D:$DH,AB$1,0),1)="V",IF(AA117&gt;=INDEX('[1]Définition Maintenances'!$G:$G,MATCH($A117,'[1]Définition Maintenances'!$K:$K,0)),AA117,INDEX('[1]Définition Maintenances'!$G:$G,MATCH($A117,'[1]Définition Maintenances'!$K:$K,0))+AA117),AA117))</f>
        <v>1200</v>
      </c>
      <c r="AC117" s="27">
        <f>IF(ISNUMBER(VLOOKUP($D117,'Visu totale'!$D:$DH,AC$1,0)),AB117-VLOOKUP($D117,'Visu totale'!$D:$DH,AC$1,0),IF(LEFT(VLOOKUP($D117,'Visu totale'!$D:$DH,AC$1,0),1)="V",IF(AB117&gt;=INDEX('[1]Définition Maintenances'!$G:$G,MATCH($A117,'[1]Définition Maintenances'!$K:$K,0)),AB117,INDEX('[1]Définition Maintenances'!$G:$G,MATCH($A117,'[1]Définition Maintenances'!$K:$K,0))+AB117),AB117))</f>
        <v>1200</v>
      </c>
      <c r="AD117" s="25">
        <f>IF(ISNUMBER(VLOOKUP($D117,'Visu totale'!$D:$DH,AD$1,0)),AC117-VLOOKUP($D117,'Visu totale'!$D:$DH,AD$1,0),IF(LEFT(VLOOKUP($D117,'Visu totale'!$D:$DH,AD$1,0),1)="V",IF(AC117&gt;=INDEX('[1]Définition Maintenances'!$G:$G,MATCH($A117,'[1]Définition Maintenances'!$K:$K,0)),AC117,INDEX('[1]Définition Maintenances'!$G:$G,MATCH($A117,'[1]Définition Maintenances'!$K:$K,0))+AC117),AC117))</f>
        <v>1200</v>
      </c>
      <c r="AE117" s="26">
        <f>IF(ISNUMBER(VLOOKUP($D117,'Visu totale'!$D:$DH,AE$1,0)),AD117-VLOOKUP($D117,'Visu totale'!$D:$DH,AE$1,0),IF(LEFT(VLOOKUP($D117,'Visu totale'!$D:$DH,AE$1,0),1)="V",IF(AD117&gt;=INDEX('[1]Définition Maintenances'!$G:$G,MATCH($A117,'[1]Définition Maintenances'!$K:$K,0)),AD117,INDEX('[1]Définition Maintenances'!$G:$G,MATCH($A117,'[1]Définition Maintenances'!$K:$K,0))+AD117),AD117))</f>
        <v>1200</v>
      </c>
      <c r="AF117" s="26">
        <f>IF(ISNUMBER(VLOOKUP($D117,'Visu totale'!$D:$DH,AF$1,0)),AE117-VLOOKUP($D117,'Visu totale'!$D:$DH,AF$1,0),IF(LEFT(VLOOKUP($D117,'Visu totale'!$D:$DH,AF$1,0),1)="V",IF(AE117&gt;=INDEX('[1]Définition Maintenances'!$G:$G,MATCH($A117,'[1]Définition Maintenances'!$K:$K,0)),AE117,INDEX('[1]Définition Maintenances'!$G:$G,MATCH($A117,'[1]Définition Maintenances'!$K:$K,0))+AE117),AE117))</f>
        <v>1200</v>
      </c>
      <c r="AG117" s="26">
        <f>IF(ISNUMBER(VLOOKUP($D117,'Visu totale'!$D:$DH,AG$1,0)),AF117-VLOOKUP($D117,'Visu totale'!$D:$DH,AG$1,0),IF(LEFT(VLOOKUP($D117,'Visu totale'!$D:$DH,AG$1,0),1)="V",IF(AF117&gt;=INDEX('[1]Définition Maintenances'!$G:$G,MATCH($A117,'[1]Définition Maintenances'!$K:$K,0)),AF117,INDEX('[1]Définition Maintenances'!$G:$G,MATCH($A117,'[1]Définition Maintenances'!$K:$K,0))+AF117),AF117))</f>
        <v>1200</v>
      </c>
      <c r="AH117" s="26">
        <f>IF(ISNUMBER(VLOOKUP($D117,'Visu totale'!$D:$DH,AH$1,0)),AG117-VLOOKUP($D117,'Visu totale'!$D:$DH,AH$1,0),IF(LEFT(VLOOKUP($D117,'Visu totale'!$D:$DH,AH$1,0),1)="V",IF(AG117&gt;=INDEX('[1]Définition Maintenances'!$G:$G,MATCH($A117,'[1]Définition Maintenances'!$K:$K,0)),AG117,INDEX('[1]Définition Maintenances'!$G:$G,MATCH($A117,'[1]Définition Maintenances'!$K:$K,0))+AG117),AG117))</f>
        <v>1200</v>
      </c>
      <c r="AI117" s="26">
        <f>IF(ISNUMBER(VLOOKUP($D117,'Visu totale'!$D:$DH,AI$1,0)),AH117-VLOOKUP($D117,'Visu totale'!$D:$DH,AI$1,0),IF(LEFT(VLOOKUP($D117,'Visu totale'!$D:$DH,AI$1,0),1)="V",IF(AH117&gt;=INDEX('[1]Définition Maintenances'!$G:$G,MATCH($A117,'[1]Définition Maintenances'!$K:$K,0)),AH117,INDEX('[1]Définition Maintenances'!$G:$G,MATCH($A117,'[1]Définition Maintenances'!$K:$K,0))+AH117),AH117))</f>
        <v>1200</v>
      </c>
      <c r="AJ117" s="26">
        <f>IF(ISNUMBER(VLOOKUP($D117,'Visu totale'!$D:$DH,AJ$1,0)),AI117-VLOOKUP($D117,'Visu totale'!$D:$DH,AJ$1,0),IF(LEFT(VLOOKUP($D117,'Visu totale'!$D:$DH,AJ$1,0),1)="V",IF(AI117&gt;=INDEX('[1]Définition Maintenances'!$G:$G,MATCH($A117,'[1]Définition Maintenances'!$K:$K,0)),AI117,INDEX('[1]Définition Maintenances'!$G:$G,MATCH($A117,'[1]Définition Maintenances'!$K:$K,0))+AI117),AI117))</f>
        <v>1200</v>
      </c>
      <c r="AK117" s="26">
        <f>IF(ISNUMBER(VLOOKUP($D117,'Visu totale'!$D:$DH,AK$1,0)),AJ117-VLOOKUP($D117,'Visu totale'!$D:$DH,AK$1,0),IF(LEFT(VLOOKUP($D117,'Visu totale'!$D:$DH,AK$1,0),1)="V",IF(AJ117&gt;=INDEX('[1]Définition Maintenances'!$G:$G,MATCH($A117,'[1]Définition Maintenances'!$K:$K,0)),AJ117,INDEX('[1]Définition Maintenances'!$G:$G,MATCH($A117,'[1]Définition Maintenances'!$K:$K,0))+AJ117),AJ117))</f>
        <v>1200</v>
      </c>
      <c r="AL117" s="26">
        <f>IF(ISNUMBER(VLOOKUP($D117,'Visu totale'!$D:$DH,AL$1,0)),AK117-VLOOKUP($D117,'Visu totale'!$D:$DH,AL$1,0),IF(LEFT(VLOOKUP($D117,'Visu totale'!$D:$DH,AL$1,0),1)="V",IF(AK117&gt;=INDEX('[1]Définition Maintenances'!$G:$G,MATCH($A117,'[1]Définition Maintenances'!$K:$K,0)),AK117,INDEX('[1]Définition Maintenances'!$G:$G,MATCH($A117,'[1]Définition Maintenances'!$K:$K,0))+AK117),AK117))</f>
        <v>1200</v>
      </c>
      <c r="AM117" s="26">
        <f>IF(ISNUMBER(VLOOKUP($D117,'Visu totale'!$D:$DH,AM$1,0)),AL117-VLOOKUP($D117,'Visu totale'!$D:$DH,AM$1,0),IF(LEFT(VLOOKUP($D117,'Visu totale'!$D:$DH,AM$1,0),1)="V",IF(AL117&gt;=INDEX('[1]Définition Maintenances'!$G:$G,MATCH($A117,'[1]Définition Maintenances'!$K:$K,0)),AL117,INDEX('[1]Définition Maintenances'!$G:$G,MATCH($A117,'[1]Définition Maintenances'!$K:$K,0))+AL117),AL117))</f>
        <v>1200</v>
      </c>
      <c r="AN117" s="26">
        <f>IF(ISNUMBER(VLOOKUP($D117,'Visu totale'!$D:$DH,AN$1,0)),AM117-VLOOKUP($D117,'Visu totale'!$D:$DH,AN$1,0),IF(LEFT(VLOOKUP($D117,'Visu totale'!$D:$DH,AN$1,0),1)="V",IF(AM117&gt;=INDEX('[1]Définition Maintenances'!$G:$G,MATCH($A117,'[1]Définition Maintenances'!$K:$K,0)),AM117,INDEX('[1]Définition Maintenances'!$G:$G,MATCH($A117,'[1]Définition Maintenances'!$K:$K,0))+AM117),AM117))</f>
        <v>1200</v>
      </c>
      <c r="AO117" s="27">
        <f>IF(ISNUMBER(VLOOKUP($D117,'Visu totale'!$D:$DH,AO$1,0)),AN117-VLOOKUP($D117,'Visu totale'!$D:$DH,AO$1,0),IF(LEFT(VLOOKUP($D117,'Visu totale'!$D:$DH,AO$1,0),1)="V",IF(AN117&gt;=INDEX('[1]Définition Maintenances'!$G:$G,MATCH($A117,'[1]Définition Maintenances'!$K:$K,0)),AN117,INDEX('[1]Définition Maintenances'!$G:$G,MATCH($A117,'[1]Définition Maintenances'!$K:$K,0))+AN117),AN117))</f>
        <v>1200</v>
      </c>
      <c r="AP117" s="25">
        <f>IF(ISNUMBER(VLOOKUP($D117,'Visu totale'!$D:$DH,AP$1,0)),AO117-VLOOKUP($D117,'Visu totale'!$D:$DH,AP$1,0),IF(LEFT(VLOOKUP($D117,'Visu totale'!$D:$DH,AP$1,0),1)="V",IF(AO117&gt;=INDEX('[1]Définition Maintenances'!$G:$G,MATCH($A117,'[1]Définition Maintenances'!$K:$K,0)),AO117,INDEX('[1]Définition Maintenances'!$G:$G,MATCH($A117,'[1]Définition Maintenances'!$K:$K,0))+AO117),AO117))</f>
        <v>1200</v>
      </c>
      <c r="AQ117" s="26">
        <f>IF(ISNUMBER(VLOOKUP($D117,'Visu totale'!$D:$DH,AQ$1,0)),AP117-VLOOKUP($D117,'Visu totale'!$D:$DH,AQ$1,0),IF(LEFT(VLOOKUP($D117,'Visu totale'!$D:$DH,AQ$1,0),1)="V",IF(AP117&gt;=INDEX('[1]Définition Maintenances'!$G:$G,MATCH($A117,'[1]Définition Maintenances'!$K:$K,0)),AP117,INDEX('[1]Définition Maintenances'!$G:$G,MATCH($A117,'[1]Définition Maintenances'!$K:$K,0))+AP117),AP117))</f>
        <v>1200</v>
      </c>
      <c r="AR117" s="26">
        <f>IF(ISNUMBER(VLOOKUP($D117,'Visu totale'!$D:$DH,AR$1,0)),AQ117-VLOOKUP($D117,'Visu totale'!$D:$DH,AR$1,0),IF(LEFT(VLOOKUP($D117,'Visu totale'!$D:$DH,AR$1,0),1)="V",IF(AQ117&gt;=INDEX('[1]Définition Maintenances'!$G:$G,MATCH($A117,'[1]Définition Maintenances'!$K:$K,0)),AQ117,INDEX('[1]Définition Maintenances'!$G:$G,MATCH($A117,'[1]Définition Maintenances'!$K:$K,0))+AQ117),AQ117))</f>
        <v>1200</v>
      </c>
      <c r="AS117" s="26">
        <f>IF(ISNUMBER(VLOOKUP($D117,'Visu totale'!$D:$DH,AS$1,0)),AR117-VLOOKUP($D117,'Visu totale'!$D:$DH,AS$1,0),IF(LEFT(VLOOKUP($D117,'Visu totale'!$D:$DH,AS$1,0),1)="V",IF(AR117&gt;=INDEX('[1]Définition Maintenances'!$G:$G,MATCH($A117,'[1]Définition Maintenances'!$K:$K,0)),AR117,INDEX('[1]Définition Maintenances'!$G:$G,MATCH($A117,'[1]Définition Maintenances'!$K:$K,0))+AR117),AR117))</f>
        <v>1200</v>
      </c>
      <c r="AT117" s="26">
        <f>IF(ISNUMBER(VLOOKUP($D117,'Visu totale'!$D:$DH,AT$1,0)),AS117-VLOOKUP($D117,'Visu totale'!$D:$DH,AT$1,0),IF(LEFT(VLOOKUP($D117,'Visu totale'!$D:$DH,AT$1,0),1)="V",IF(AS117&gt;=INDEX('[1]Définition Maintenances'!$G:$G,MATCH($A117,'[1]Définition Maintenances'!$K:$K,0)),AS117,INDEX('[1]Définition Maintenances'!$G:$G,MATCH($A117,'[1]Définition Maintenances'!$K:$K,0))+AS117),AS117))</f>
        <v>1200</v>
      </c>
      <c r="AU117" s="26">
        <f>IF(ISNUMBER(VLOOKUP($D117,'Visu totale'!$D:$DH,AU$1,0)),AT117-VLOOKUP($D117,'Visu totale'!$D:$DH,AU$1,0),IF(LEFT(VLOOKUP($D117,'Visu totale'!$D:$DH,AU$1,0),1)="V",IF(AT117&gt;=INDEX('[1]Définition Maintenances'!$G:$G,MATCH($A117,'[1]Définition Maintenances'!$K:$K,0)),AT117,INDEX('[1]Définition Maintenances'!$G:$G,MATCH($A117,'[1]Définition Maintenances'!$K:$K,0))+AT117),AT117))</f>
        <v>1200</v>
      </c>
      <c r="AV117" s="26">
        <f>IF(ISNUMBER(VLOOKUP($D117,'Visu totale'!$D:$DH,AV$1,0)),AU117-VLOOKUP($D117,'Visu totale'!$D:$DH,AV$1,0),IF(LEFT(VLOOKUP($D117,'Visu totale'!$D:$DH,AV$1,0),1)="V",IF(AU117&gt;=INDEX('[1]Définition Maintenances'!$G:$G,MATCH($A117,'[1]Définition Maintenances'!$K:$K,0)),AU117,INDEX('[1]Définition Maintenances'!$G:$G,MATCH($A117,'[1]Définition Maintenances'!$K:$K,0))+AU117),AU117))</f>
        <v>1200</v>
      </c>
      <c r="AW117" s="26">
        <f>IF(ISNUMBER(VLOOKUP($D117,'Visu totale'!$D:$DH,AW$1,0)),AV117-VLOOKUP($D117,'Visu totale'!$D:$DH,AW$1,0),IF(LEFT(VLOOKUP($D117,'Visu totale'!$D:$DH,AW$1,0),1)="V",IF(AV117&gt;=INDEX('[1]Définition Maintenances'!$G:$G,MATCH($A117,'[1]Définition Maintenances'!$K:$K,0)),AV117,INDEX('[1]Définition Maintenances'!$G:$G,MATCH($A117,'[1]Définition Maintenances'!$K:$K,0))+AV117),AV117))</f>
        <v>1200</v>
      </c>
      <c r="AX117" s="26">
        <f>IF(ISNUMBER(VLOOKUP($D117,'Visu totale'!$D:$DH,AX$1,0)),AW117-VLOOKUP($D117,'Visu totale'!$D:$DH,AX$1,0),IF(LEFT(VLOOKUP($D117,'Visu totale'!$D:$DH,AX$1,0),1)="V",IF(AW117&gt;=INDEX('[1]Définition Maintenances'!$G:$G,MATCH($A117,'[1]Définition Maintenances'!$K:$K,0)),AW117,INDEX('[1]Définition Maintenances'!$G:$G,MATCH($A117,'[1]Définition Maintenances'!$K:$K,0))+AW117),AW117))</f>
        <v>1200</v>
      </c>
      <c r="AY117" s="26">
        <f>IF(ISNUMBER(VLOOKUP($D117,'Visu totale'!$D:$DH,AY$1,0)),AX117-VLOOKUP($D117,'Visu totale'!$D:$DH,AY$1,0),IF(LEFT(VLOOKUP($D117,'Visu totale'!$D:$DH,AY$1,0),1)="V",IF(AX117&gt;=INDEX('[1]Définition Maintenances'!$G:$G,MATCH($A117,'[1]Définition Maintenances'!$K:$K,0)),AX117,INDEX('[1]Définition Maintenances'!$G:$G,MATCH($A117,'[1]Définition Maintenances'!$K:$K,0))+AX117),AX117))</f>
        <v>1200</v>
      </c>
      <c r="AZ117" s="26">
        <f>IF(ISNUMBER(VLOOKUP($D117,'Visu totale'!$D:$DH,AZ$1,0)),AY117-VLOOKUP($D117,'Visu totale'!$D:$DH,AZ$1,0),IF(LEFT(VLOOKUP($D117,'Visu totale'!$D:$DH,AZ$1,0),1)="V",IF(AY117&gt;=INDEX('[1]Définition Maintenances'!$G:$G,MATCH($A117,'[1]Définition Maintenances'!$K:$K,0)),AY117,INDEX('[1]Définition Maintenances'!$G:$G,MATCH($A117,'[1]Définition Maintenances'!$K:$K,0))+AY117),AY117))</f>
        <v>1200</v>
      </c>
      <c r="BA117" s="27">
        <f>IF(ISNUMBER(VLOOKUP($D117,'Visu totale'!$D:$DH,BA$1,0)),AZ117-VLOOKUP($D117,'Visu totale'!$D:$DH,BA$1,0),IF(LEFT(VLOOKUP($D117,'Visu totale'!$D:$DH,BA$1,0),1)="V",IF(AZ117&gt;=INDEX('[1]Définition Maintenances'!$G:$G,MATCH($A117,'[1]Définition Maintenances'!$K:$K,0)),AZ117,INDEX('[1]Définition Maintenances'!$G:$G,MATCH($A117,'[1]Définition Maintenances'!$K:$K,0))+AZ117),AZ117))</f>
        <v>1200</v>
      </c>
      <c r="BB117" s="25">
        <f>IF(ISNUMBER(VLOOKUP($D117,'Visu totale'!$D:$DH,BB$1,0)),BA117-VLOOKUP($D117,'Visu totale'!$D:$DH,BB$1,0),IF(LEFT(VLOOKUP($D117,'Visu totale'!$D:$DH,BB$1,0),1)="V",IF(BA117&gt;=INDEX('[1]Définition Maintenances'!$G:$G,MATCH($A117,'[1]Définition Maintenances'!$K:$K,0)),BA117,INDEX('[1]Définition Maintenances'!$G:$G,MATCH($A117,'[1]Définition Maintenances'!$K:$K,0))+BA117),BA117))</f>
        <v>1200</v>
      </c>
      <c r="BC117" s="26">
        <f>IF(ISNUMBER(VLOOKUP($D117,'Visu totale'!$D:$DH,BC$1,0)),BB117-VLOOKUP($D117,'Visu totale'!$D:$DH,BC$1,0),IF(LEFT(VLOOKUP($D117,'Visu totale'!$D:$DH,BC$1,0),1)="V",IF(BB117&gt;=INDEX('[1]Définition Maintenances'!$G:$G,MATCH($A117,'[1]Définition Maintenances'!$K:$K,0)),BB117,INDEX('[1]Définition Maintenances'!$G:$G,MATCH($A117,'[1]Définition Maintenances'!$K:$K,0))+BB117),BB117))</f>
        <v>1200</v>
      </c>
      <c r="BD117" s="26">
        <f>IF(ISNUMBER(VLOOKUP($D117,'Visu totale'!$D:$DH,BD$1,0)),BC117-VLOOKUP($D117,'Visu totale'!$D:$DH,BD$1,0),IF(LEFT(VLOOKUP($D117,'Visu totale'!$D:$DH,BD$1,0),1)="V",IF(BC117&gt;=INDEX('[1]Définition Maintenances'!$G:$G,MATCH($A117,'[1]Définition Maintenances'!$K:$K,0)),BC117,INDEX('[1]Définition Maintenances'!$G:$G,MATCH($A117,'[1]Définition Maintenances'!$K:$K,0))+BC117),BC117))</f>
        <v>1200</v>
      </c>
      <c r="BE117" s="26">
        <f>IF(ISNUMBER(VLOOKUP($D117,'Visu totale'!$D:$DH,BE$1,0)),BD117-VLOOKUP($D117,'Visu totale'!$D:$DH,BE$1,0),IF(LEFT(VLOOKUP($D117,'Visu totale'!$D:$DH,BE$1,0),1)="V",IF(BD117&gt;=INDEX('[1]Définition Maintenances'!$G:$G,MATCH($A117,'[1]Définition Maintenances'!$K:$K,0)),BD117,INDEX('[1]Définition Maintenances'!$G:$G,MATCH($A117,'[1]Définition Maintenances'!$K:$K,0))+BD117),BD117))</f>
        <v>1200</v>
      </c>
      <c r="BF117" s="26">
        <f>IF(ISNUMBER(VLOOKUP($D117,'Visu totale'!$D:$DH,BF$1,0)),BE117-VLOOKUP($D117,'Visu totale'!$D:$DH,BF$1,0),IF(LEFT(VLOOKUP($D117,'Visu totale'!$D:$DH,BF$1,0),1)="V",IF(BE117&gt;=INDEX('[1]Définition Maintenances'!$G:$G,MATCH($A117,'[1]Définition Maintenances'!$K:$K,0)),BE117,INDEX('[1]Définition Maintenances'!$G:$G,MATCH($A117,'[1]Définition Maintenances'!$K:$K,0))+BE117),BE117))</f>
        <v>1200</v>
      </c>
      <c r="BG117" s="26">
        <f>IF(ISNUMBER(VLOOKUP($D117,'Visu totale'!$D:$DH,BG$1,0)),BF117-VLOOKUP($D117,'Visu totale'!$D:$DH,BG$1,0),IF(LEFT(VLOOKUP($D117,'Visu totale'!$D:$DH,BG$1,0),1)="V",IF(BF117&gt;=INDEX('[1]Définition Maintenances'!$G:$G,MATCH($A117,'[1]Définition Maintenances'!$K:$K,0)),BF117,INDEX('[1]Définition Maintenances'!$G:$G,MATCH($A117,'[1]Définition Maintenances'!$K:$K,0))+BF117),BF117))</f>
        <v>1200</v>
      </c>
      <c r="BH117" s="26">
        <f>IF(ISNUMBER(VLOOKUP($D117,'Visu totale'!$D:$DH,BH$1,0)),BG117-VLOOKUP($D117,'Visu totale'!$D:$DH,BH$1,0),IF(LEFT(VLOOKUP($D117,'Visu totale'!$D:$DH,BH$1,0),1)="V",IF(BG117&gt;=INDEX('[1]Définition Maintenances'!$G:$G,MATCH($A117,'[1]Définition Maintenances'!$K:$K,0)),BG117,INDEX('[1]Définition Maintenances'!$G:$G,MATCH($A117,'[1]Définition Maintenances'!$K:$K,0))+BG117),BG117))</f>
        <v>1200</v>
      </c>
      <c r="BI117" s="26">
        <f>IF(ISNUMBER(VLOOKUP($D117,'Visu totale'!$D:$DH,BI$1,0)),BH117-VLOOKUP($D117,'Visu totale'!$D:$DH,BI$1,0),IF(LEFT(VLOOKUP($D117,'Visu totale'!$D:$DH,BI$1,0),1)="V",IF(BH117&gt;=INDEX('[1]Définition Maintenances'!$G:$G,MATCH($A117,'[1]Définition Maintenances'!$K:$K,0)),BH117,INDEX('[1]Définition Maintenances'!$G:$G,MATCH($A117,'[1]Définition Maintenances'!$K:$K,0))+BH117),BH117))</f>
        <v>1200</v>
      </c>
      <c r="BJ117" s="26">
        <f>IF(ISNUMBER(VLOOKUP($D117,'Visu totale'!$D:$DH,BJ$1,0)),BI117-VLOOKUP($D117,'Visu totale'!$D:$DH,BJ$1,0),IF(LEFT(VLOOKUP($D117,'Visu totale'!$D:$DH,BJ$1,0),1)="V",IF(BI117&gt;=INDEX('[1]Définition Maintenances'!$G:$G,MATCH($A117,'[1]Définition Maintenances'!$K:$K,0)),BI117,INDEX('[1]Définition Maintenances'!$G:$G,MATCH($A117,'[1]Définition Maintenances'!$K:$K,0))+BI117),BI117))</f>
        <v>1200</v>
      </c>
      <c r="BK117" s="26">
        <f>IF(ISNUMBER(VLOOKUP($D117,'Visu totale'!$D:$DH,BK$1,0)),BJ117-VLOOKUP($D117,'Visu totale'!$D:$DH,BK$1,0),IF(LEFT(VLOOKUP($D117,'Visu totale'!$D:$DH,BK$1,0),1)="V",IF(BJ117&gt;=INDEX('[1]Définition Maintenances'!$G:$G,MATCH($A117,'[1]Définition Maintenances'!$K:$K,0)),BJ117,INDEX('[1]Définition Maintenances'!$G:$G,MATCH($A117,'[1]Définition Maintenances'!$K:$K,0))+BJ117),BJ117))</f>
        <v>1200</v>
      </c>
      <c r="BL117" s="26">
        <f>IF(ISNUMBER(VLOOKUP($D117,'Visu totale'!$D:$DH,BL$1,0)),BK117-VLOOKUP($D117,'Visu totale'!$D:$DH,BL$1,0),IF(LEFT(VLOOKUP($D117,'Visu totale'!$D:$DH,BL$1,0),1)="V",IF(BK117&gt;=INDEX('[1]Définition Maintenances'!$G:$G,MATCH($A117,'[1]Définition Maintenances'!$K:$K,0)),BK117,INDEX('[1]Définition Maintenances'!$G:$G,MATCH($A117,'[1]Définition Maintenances'!$K:$K,0))+BK117),BK117))</f>
        <v>1200</v>
      </c>
      <c r="BM117" s="27">
        <f>IF(ISNUMBER(VLOOKUP($D117,'Visu totale'!$D:$DH,BM$1,0)),BL117-VLOOKUP($D117,'Visu totale'!$D:$DH,BM$1,0),IF(LEFT(VLOOKUP($D117,'Visu totale'!$D:$DH,BM$1,0),1)="V",IF(BL117&gt;=INDEX('[1]Définition Maintenances'!$G:$G,MATCH($A117,'[1]Définition Maintenances'!$K:$K,0)),BL117,INDEX('[1]Définition Maintenances'!$G:$G,MATCH($A117,'[1]Définition Maintenances'!$K:$K,0))+BL117),BL117))</f>
        <v>1200</v>
      </c>
      <c r="BN117" s="25">
        <f>IF(ISNUMBER(VLOOKUP($D117,'Visu totale'!$D:$DH,BN$1,0)),BM117-VLOOKUP($D117,'Visu totale'!$D:$DH,BN$1,0),IF(LEFT(VLOOKUP($D117,'Visu totale'!$D:$DH,BN$1,0),1)="V",IF(BM117&gt;=INDEX('[1]Définition Maintenances'!$G:$G,MATCH($A117,'[1]Définition Maintenances'!$K:$K,0)),BM117,INDEX('[1]Définition Maintenances'!$G:$G,MATCH($A117,'[1]Définition Maintenances'!$K:$K,0))+BM117),BM117))</f>
        <v>1200</v>
      </c>
      <c r="BO117" s="26">
        <f>IF(ISNUMBER(VLOOKUP($D117,'Visu totale'!$D:$DH,BO$1,0)),BN117-VLOOKUP($D117,'Visu totale'!$D:$DH,BO$1,0),IF(LEFT(VLOOKUP($D117,'Visu totale'!$D:$DH,BO$1,0),1)="V",IF(BN117&gt;=INDEX('[1]Définition Maintenances'!$G:$G,MATCH($A117,'[1]Définition Maintenances'!$K:$K,0)),BN117,INDEX('[1]Définition Maintenances'!$G:$G,MATCH($A117,'[1]Définition Maintenances'!$K:$K,0))+BN117),BN117))</f>
        <v>1200</v>
      </c>
      <c r="BP117" s="26">
        <f>IF(ISNUMBER(VLOOKUP($D117,'Visu totale'!$D:$DH,BP$1,0)),BO117-VLOOKUP($D117,'Visu totale'!$D:$DH,BP$1,0),IF(LEFT(VLOOKUP($D117,'Visu totale'!$D:$DH,BP$1,0),1)="V",IF(BO117&gt;=INDEX('[1]Définition Maintenances'!$G:$G,MATCH($A117,'[1]Définition Maintenances'!$K:$K,0)),BO117,INDEX('[1]Définition Maintenances'!$G:$G,MATCH($A117,'[1]Définition Maintenances'!$K:$K,0))+BO117),BO117))</f>
        <v>1200</v>
      </c>
      <c r="BQ117" s="26">
        <f>IF(ISNUMBER(VLOOKUP($D117,'Visu totale'!$D:$DH,BQ$1,0)),BP117-VLOOKUP($D117,'Visu totale'!$D:$DH,BQ$1,0),IF(LEFT(VLOOKUP($D117,'Visu totale'!$D:$DH,BQ$1,0),1)="V",IF(BP117&gt;=INDEX('[1]Définition Maintenances'!$G:$G,MATCH($A117,'[1]Définition Maintenances'!$K:$K,0)),BP117,INDEX('[1]Définition Maintenances'!$G:$G,MATCH($A117,'[1]Définition Maintenances'!$K:$K,0))+BP117),BP117))</f>
        <v>1200</v>
      </c>
      <c r="BR117" s="26">
        <f>IF(ISNUMBER(VLOOKUP($D117,'Visu totale'!$D:$DH,BR$1,0)),BQ117-VLOOKUP($D117,'Visu totale'!$D:$DH,BR$1,0),IF(LEFT(VLOOKUP($D117,'Visu totale'!$D:$DH,BR$1,0),1)="V",IF(BQ117&gt;=INDEX('[1]Définition Maintenances'!$G:$G,MATCH($A117,'[1]Définition Maintenances'!$K:$K,0)),BQ117,INDEX('[1]Définition Maintenances'!$G:$G,MATCH($A117,'[1]Définition Maintenances'!$K:$K,0))+BQ117),BQ117))</f>
        <v>1200</v>
      </c>
      <c r="BS117" s="26">
        <f>IF(ISNUMBER(VLOOKUP($D117,'Visu totale'!$D:$DH,BS$1,0)),BR117-VLOOKUP($D117,'Visu totale'!$D:$DH,BS$1,0),IF(LEFT(VLOOKUP($D117,'Visu totale'!$D:$DH,BS$1,0),1)="V",IF(BR117&gt;=INDEX('[1]Définition Maintenances'!$G:$G,MATCH($A117,'[1]Définition Maintenances'!$K:$K,0)),BR117,INDEX('[1]Définition Maintenances'!$G:$G,MATCH($A117,'[1]Définition Maintenances'!$K:$K,0))+BR117),BR117))</f>
        <v>1200</v>
      </c>
      <c r="BT117" s="26">
        <f>IF(ISNUMBER(VLOOKUP($D117,'Visu totale'!$D:$DH,BT$1,0)),BS117-VLOOKUP($D117,'Visu totale'!$D:$DH,BT$1,0),IF(LEFT(VLOOKUP($D117,'Visu totale'!$D:$DH,BT$1,0),1)="V",IF(BS117&gt;=INDEX('[1]Définition Maintenances'!$G:$G,MATCH($A117,'[1]Définition Maintenances'!$K:$K,0)),BS117,INDEX('[1]Définition Maintenances'!$G:$G,MATCH($A117,'[1]Définition Maintenances'!$K:$K,0))+BS117),BS117))</f>
        <v>1200</v>
      </c>
      <c r="BU117" s="26">
        <f>IF(ISNUMBER(VLOOKUP($D117,'Visu totale'!$D:$DH,BU$1,0)),BT117-VLOOKUP($D117,'Visu totale'!$D:$DH,BU$1,0),IF(LEFT(VLOOKUP($D117,'Visu totale'!$D:$DH,BU$1,0),1)="V",IF(BT117&gt;=INDEX('[1]Définition Maintenances'!$G:$G,MATCH($A117,'[1]Définition Maintenances'!$K:$K,0)),BT117,INDEX('[1]Définition Maintenances'!$G:$G,MATCH($A117,'[1]Définition Maintenances'!$K:$K,0))+BT117),BT117))</f>
        <v>1200</v>
      </c>
      <c r="BV117" s="26">
        <f>IF(ISNUMBER(VLOOKUP($D117,'Visu totale'!$D:$DH,BV$1,0)),BU117-VLOOKUP($D117,'Visu totale'!$D:$DH,BV$1,0),IF(LEFT(VLOOKUP($D117,'Visu totale'!$D:$DH,BV$1,0),1)="V",IF(BU117&gt;=INDEX('[1]Définition Maintenances'!$G:$G,MATCH($A117,'[1]Définition Maintenances'!$K:$K,0)),BU117,INDEX('[1]Définition Maintenances'!$G:$G,MATCH($A117,'[1]Définition Maintenances'!$K:$K,0))+BU117),BU117))</f>
        <v>1200</v>
      </c>
      <c r="BW117" s="26">
        <f>IF(ISNUMBER(VLOOKUP($D117,'Visu totale'!$D:$DH,BW$1,0)),BV117-VLOOKUP($D117,'Visu totale'!$D:$DH,BW$1,0),IF(LEFT(VLOOKUP($D117,'Visu totale'!$D:$DH,BW$1,0),1)="V",IF(BV117&gt;=INDEX('[1]Définition Maintenances'!$G:$G,MATCH($A117,'[1]Définition Maintenances'!$K:$K,0)),BV117,INDEX('[1]Définition Maintenances'!$G:$G,MATCH($A117,'[1]Définition Maintenances'!$K:$K,0))+BV117),BV117))</f>
        <v>1200</v>
      </c>
      <c r="BX117" s="26">
        <f>IF(ISNUMBER(VLOOKUP($D117,'Visu totale'!$D:$DH,BX$1,0)),BW117-VLOOKUP($D117,'Visu totale'!$D:$DH,BX$1,0),IF(LEFT(VLOOKUP($D117,'Visu totale'!$D:$DH,BX$1,0),1)="V",IF(BW117&gt;=INDEX('[1]Définition Maintenances'!$G:$G,MATCH($A117,'[1]Définition Maintenances'!$K:$K,0)),BW117,INDEX('[1]Définition Maintenances'!$G:$G,MATCH($A117,'[1]Définition Maintenances'!$K:$K,0))+BW117),BW117))</f>
        <v>1200</v>
      </c>
      <c r="BY117" s="27">
        <f>IF(ISNUMBER(VLOOKUP($D117,'Visu totale'!$D:$DH,BY$1,0)),BX117-VLOOKUP($D117,'Visu totale'!$D:$DH,BY$1,0),IF(LEFT(VLOOKUP($D117,'Visu totale'!$D:$DH,BY$1,0),1)="V",IF(BX117&gt;=INDEX('[1]Définition Maintenances'!$G:$G,MATCH($A117,'[1]Définition Maintenances'!$K:$K,0)),BX117,INDEX('[1]Définition Maintenances'!$G:$G,MATCH($A117,'[1]Définition Maintenances'!$K:$K,0))+BX117),BX117))</f>
        <v>1200</v>
      </c>
      <c r="BZ117" s="25">
        <f>IF(ISNUMBER(VLOOKUP($D117,'Visu totale'!$D:$DH,BZ$1,0)),BY117-VLOOKUP($D117,'Visu totale'!$D:$DH,BZ$1,0),IF(LEFT(VLOOKUP($D117,'Visu totale'!$D:$DH,BZ$1,0),1)="V",IF(BY117&gt;=INDEX('[1]Définition Maintenances'!$G:$G,MATCH($A117,'[1]Définition Maintenances'!$K:$K,0)),BY117,INDEX('[1]Définition Maintenances'!$G:$G,MATCH($A117,'[1]Définition Maintenances'!$K:$K,0))+BY117),BY117))</f>
        <v>1200</v>
      </c>
      <c r="CA117" s="26">
        <f>IF(ISNUMBER(VLOOKUP($D117,'Visu totale'!$D:$DH,CA$1,0)),BZ117-VLOOKUP($D117,'Visu totale'!$D:$DH,CA$1,0),IF(LEFT(VLOOKUP($D117,'Visu totale'!$D:$DH,CA$1,0),1)="V",IF(BZ117&gt;=INDEX('[1]Définition Maintenances'!$G:$G,MATCH($A117,'[1]Définition Maintenances'!$K:$K,0)),BZ117,INDEX('[1]Définition Maintenances'!$G:$G,MATCH($A117,'[1]Définition Maintenances'!$K:$K,0))+BZ117),BZ117))</f>
        <v>1200</v>
      </c>
      <c r="CB117" s="26">
        <f>IF(ISNUMBER(VLOOKUP($D117,'Visu totale'!$D:$DH,CB$1,0)),CA117-VLOOKUP($D117,'Visu totale'!$D:$DH,CB$1,0),IF(LEFT(VLOOKUP($D117,'Visu totale'!$D:$DH,CB$1,0),1)="V",IF(CA117&gt;=INDEX('[1]Définition Maintenances'!$G:$G,MATCH($A117,'[1]Définition Maintenances'!$K:$K,0)),CA117,INDEX('[1]Définition Maintenances'!$G:$G,MATCH($A117,'[1]Définition Maintenances'!$K:$K,0))+CA117),CA117))</f>
        <v>1200</v>
      </c>
      <c r="CC117" s="26">
        <f>IF(ISNUMBER(VLOOKUP($D117,'Visu totale'!$D:$DH,CC$1,0)),CB117-VLOOKUP($D117,'Visu totale'!$D:$DH,CC$1,0),IF(LEFT(VLOOKUP($D117,'Visu totale'!$D:$DH,CC$1,0),1)="V",IF(CB117&gt;=INDEX('[1]Définition Maintenances'!$G:$G,MATCH($A117,'[1]Définition Maintenances'!$K:$K,0)),CB117,INDEX('[1]Définition Maintenances'!$G:$G,MATCH($A117,'[1]Définition Maintenances'!$K:$K,0))+CB117),CB117))</f>
        <v>1200</v>
      </c>
      <c r="CD117" s="26">
        <f>IF(ISNUMBER(VLOOKUP($D117,'Visu totale'!$D:$DH,CD$1,0)),CC117-VLOOKUP($D117,'Visu totale'!$D:$DH,CD$1,0),IF(LEFT(VLOOKUP($D117,'Visu totale'!$D:$DH,CD$1,0),1)="V",IF(CC117&gt;=INDEX('[1]Définition Maintenances'!$G:$G,MATCH($A117,'[1]Définition Maintenances'!$K:$K,0)),CC117,INDEX('[1]Définition Maintenances'!$G:$G,MATCH($A117,'[1]Définition Maintenances'!$K:$K,0))+CC117),CC117))</f>
        <v>1200</v>
      </c>
      <c r="CE117" s="26">
        <f>IF(ISNUMBER(VLOOKUP($D117,'Visu totale'!$D:$DH,CE$1,0)),CD117-VLOOKUP($D117,'Visu totale'!$D:$DH,CE$1,0),IF(LEFT(VLOOKUP($D117,'Visu totale'!$D:$DH,CE$1,0),1)="V",IF(CD117&gt;=INDEX('[1]Définition Maintenances'!$G:$G,MATCH($A117,'[1]Définition Maintenances'!$K:$K,0)),CD117,INDEX('[1]Définition Maintenances'!$G:$G,MATCH($A117,'[1]Définition Maintenances'!$K:$K,0))+CD117),CD117))</f>
        <v>1200</v>
      </c>
      <c r="CF117" s="26">
        <f>IF(ISNUMBER(VLOOKUP($D117,'Visu totale'!$D:$DH,CF$1,0)),CE117-VLOOKUP($D117,'Visu totale'!$D:$DH,CF$1,0),IF(LEFT(VLOOKUP($D117,'Visu totale'!$D:$DH,CF$1,0),1)="V",IF(CE117&gt;=INDEX('[1]Définition Maintenances'!$G:$G,MATCH($A117,'[1]Définition Maintenances'!$K:$K,0)),CE117,INDEX('[1]Définition Maintenances'!$G:$G,MATCH($A117,'[1]Définition Maintenances'!$K:$K,0))+CE117),CE117))</f>
        <v>1200</v>
      </c>
      <c r="CG117" s="26">
        <f>IF(ISNUMBER(VLOOKUP($D117,'Visu totale'!$D:$DH,CG$1,0)),CF117-VLOOKUP($D117,'Visu totale'!$D:$DH,CG$1,0),IF(LEFT(VLOOKUP($D117,'Visu totale'!$D:$DH,CG$1,0),1)="V",IF(CF117&gt;=INDEX('[1]Définition Maintenances'!$G:$G,MATCH($A117,'[1]Définition Maintenances'!$K:$K,0)),CF117,INDEX('[1]Définition Maintenances'!$G:$G,MATCH($A117,'[1]Définition Maintenances'!$K:$K,0))+CF117),CF117))</f>
        <v>1200</v>
      </c>
      <c r="CH117" s="26">
        <f>IF(ISNUMBER(VLOOKUP($D117,'Visu totale'!$D:$DH,CH$1,0)),CG117-VLOOKUP($D117,'Visu totale'!$D:$DH,CH$1,0),IF(LEFT(VLOOKUP($D117,'Visu totale'!$D:$DH,CH$1,0),1)="V",IF(CG117&gt;=INDEX('[1]Définition Maintenances'!$G:$G,MATCH($A117,'[1]Définition Maintenances'!$K:$K,0)),CG117,INDEX('[1]Définition Maintenances'!$G:$G,MATCH($A117,'[1]Définition Maintenances'!$K:$K,0))+CG117),CG117))</f>
        <v>1200</v>
      </c>
      <c r="CI117" s="26">
        <f>IF(ISNUMBER(VLOOKUP($D117,'Visu totale'!$D:$DH,CI$1,0)),CH117-VLOOKUP($D117,'Visu totale'!$D:$DH,CI$1,0),IF(LEFT(VLOOKUP($D117,'Visu totale'!$D:$DH,CI$1,0),1)="V",IF(CH117&gt;=INDEX('[1]Définition Maintenances'!$G:$G,MATCH($A117,'[1]Définition Maintenances'!$K:$K,0)),CH117,INDEX('[1]Définition Maintenances'!$G:$G,MATCH($A117,'[1]Définition Maintenances'!$K:$K,0))+CH117),CH117))</f>
        <v>1200</v>
      </c>
      <c r="CJ117" s="26">
        <f>IF(ISNUMBER(VLOOKUP($D117,'Visu totale'!$D:$DH,CJ$1,0)),CI117-VLOOKUP($D117,'Visu totale'!$D:$DH,CJ$1,0),IF(LEFT(VLOOKUP($D117,'Visu totale'!$D:$DH,CJ$1,0),1)="V",IF(CI117&gt;=INDEX('[1]Définition Maintenances'!$G:$G,MATCH($A117,'[1]Définition Maintenances'!$K:$K,0)),CI117,INDEX('[1]Définition Maintenances'!$G:$G,MATCH($A117,'[1]Définition Maintenances'!$K:$K,0))+CI117),CI117))</f>
        <v>1200</v>
      </c>
      <c r="CK117" s="27">
        <f>IF(ISNUMBER(VLOOKUP($D117,'Visu totale'!$D:$DH,CK$1,0)),CJ117-VLOOKUP($D117,'Visu totale'!$D:$DH,CK$1,0),IF(LEFT(VLOOKUP($D117,'Visu totale'!$D:$DH,CK$1,0),1)="V",IF(CJ117&gt;=INDEX('[1]Définition Maintenances'!$G:$G,MATCH($A117,'[1]Définition Maintenances'!$K:$K,0)),CJ117,INDEX('[1]Définition Maintenances'!$G:$G,MATCH($A117,'[1]Définition Maintenances'!$K:$K,0))+CJ117),CJ117))</f>
        <v>1200</v>
      </c>
      <c r="CL117" s="25">
        <f>IF(ISNUMBER(VLOOKUP($D117,'Visu totale'!$D:$DH,CL$1,0)),CK117-VLOOKUP($D117,'Visu totale'!$D:$DH,CL$1,0),IF(LEFT(VLOOKUP($D117,'Visu totale'!$D:$DH,CL$1,0),1)="V",IF(CK117&gt;=INDEX('[1]Définition Maintenances'!$G:$G,MATCH($A117,'[1]Définition Maintenances'!$K:$K,0)),CK117,INDEX('[1]Définition Maintenances'!$G:$G,MATCH($A117,'[1]Définition Maintenances'!$K:$K,0))+CK117),CK117))</f>
        <v>1200</v>
      </c>
      <c r="CM117" s="26">
        <f>IF(ISNUMBER(VLOOKUP($D117,'Visu totale'!$D:$DH,CM$1,0)),CL117-VLOOKUP($D117,'Visu totale'!$D:$DH,CM$1,0),IF(LEFT(VLOOKUP($D117,'Visu totale'!$D:$DH,CM$1,0),1)="V",IF(CL117&gt;=INDEX('[1]Définition Maintenances'!$G:$G,MATCH($A117,'[1]Définition Maintenances'!$K:$K,0)),CL117,INDEX('[1]Définition Maintenances'!$G:$G,MATCH($A117,'[1]Définition Maintenances'!$K:$K,0))+CL117),CL117))</f>
        <v>1200</v>
      </c>
      <c r="CN117" s="26">
        <f>IF(ISNUMBER(VLOOKUP($D117,'Visu totale'!$D:$DH,CN$1,0)),CM117-VLOOKUP($D117,'Visu totale'!$D:$DH,CN$1,0),IF(LEFT(VLOOKUP($D117,'Visu totale'!$D:$DH,CN$1,0),1)="V",IF(CM117&gt;=INDEX('[1]Définition Maintenances'!$G:$G,MATCH($A117,'[1]Définition Maintenances'!$K:$K,0)),CM117,INDEX('[1]Définition Maintenances'!$G:$G,MATCH($A117,'[1]Définition Maintenances'!$K:$K,0))+CM117),CM117))</f>
        <v>1200</v>
      </c>
      <c r="CO117" s="26">
        <f>IF(ISNUMBER(VLOOKUP($D117,'Visu totale'!$D:$DH,CO$1,0)),CN117-VLOOKUP($D117,'Visu totale'!$D:$DH,CO$1,0),IF(LEFT(VLOOKUP($D117,'Visu totale'!$D:$DH,CO$1,0),1)="V",IF(CN117&gt;=INDEX('[1]Définition Maintenances'!$G:$G,MATCH($A117,'[1]Définition Maintenances'!$K:$K,0)),CN117,INDEX('[1]Définition Maintenances'!$G:$G,MATCH($A117,'[1]Définition Maintenances'!$K:$K,0))+CN117),CN117))</f>
        <v>1200</v>
      </c>
      <c r="CP117" s="26">
        <f>IF(ISNUMBER(VLOOKUP($D117,'Visu totale'!$D:$DH,CP$1,0)),CO117-VLOOKUP($D117,'Visu totale'!$D:$DH,CP$1,0),IF(LEFT(VLOOKUP($D117,'Visu totale'!$D:$DH,CP$1,0),1)="V",IF(CO117&gt;=INDEX('[1]Définition Maintenances'!$G:$G,MATCH($A117,'[1]Définition Maintenances'!$K:$K,0)),CO117,INDEX('[1]Définition Maintenances'!$G:$G,MATCH($A117,'[1]Définition Maintenances'!$K:$K,0))+CO117),CO117))</f>
        <v>1200</v>
      </c>
      <c r="CQ117" s="26">
        <f>IF(ISNUMBER(VLOOKUP($D117,'Visu totale'!$D:$DH,CQ$1,0)),CP117-VLOOKUP($D117,'Visu totale'!$D:$DH,CQ$1,0),IF(LEFT(VLOOKUP($D117,'Visu totale'!$D:$DH,CQ$1,0),1)="V",IF(CP117&gt;=INDEX('[1]Définition Maintenances'!$G:$G,MATCH($A117,'[1]Définition Maintenances'!$K:$K,0)),CP117,INDEX('[1]Définition Maintenances'!$G:$G,MATCH($A117,'[1]Définition Maintenances'!$K:$K,0))+CP117),CP117))</f>
        <v>1200</v>
      </c>
      <c r="CR117" s="26">
        <f>IF(ISNUMBER(VLOOKUP($D117,'Visu totale'!$D:$DH,CR$1,0)),CQ117-VLOOKUP($D117,'Visu totale'!$D:$DH,CR$1,0),IF(LEFT(VLOOKUP($D117,'Visu totale'!$D:$DH,CR$1,0),1)="V",IF(CQ117&gt;=INDEX('[1]Définition Maintenances'!$G:$G,MATCH($A117,'[1]Définition Maintenances'!$K:$K,0)),CQ117,INDEX('[1]Définition Maintenances'!$G:$G,MATCH($A117,'[1]Définition Maintenances'!$K:$K,0))+CQ117),CQ117))</f>
        <v>1200</v>
      </c>
      <c r="CS117" s="26">
        <f>IF(ISNUMBER(VLOOKUP($D117,'Visu totale'!$D:$DH,CS$1,0)),CR117-VLOOKUP($D117,'Visu totale'!$D:$DH,CS$1,0),IF(LEFT(VLOOKUP($D117,'Visu totale'!$D:$DH,CS$1,0),1)="V",IF(CR117&gt;=INDEX('[1]Définition Maintenances'!$G:$G,MATCH($A117,'[1]Définition Maintenances'!$K:$K,0)),CR117,INDEX('[1]Définition Maintenances'!$G:$G,MATCH($A117,'[1]Définition Maintenances'!$K:$K,0))+CR117),CR117))</f>
        <v>1200</v>
      </c>
      <c r="CT117" s="26">
        <f>IF(ISNUMBER(VLOOKUP($D117,'Visu totale'!$D:$DH,CT$1,0)),CS117-VLOOKUP($D117,'Visu totale'!$D:$DH,CT$1,0),IF(LEFT(VLOOKUP($D117,'Visu totale'!$D:$DH,CT$1,0),1)="V",IF(CS117&gt;=INDEX('[1]Définition Maintenances'!$G:$G,MATCH($A117,'[1]Définition Maintenances'!$K:$K,0)),CS117,INDEX('[1]Définition Maintenances'!$G:$G,MATCH($A117,'[1]Définition Maintenances'!$K:$K,0))+CS117),CS117))</f>
        <v>1200</v>
      </c>
      <c r="CU117" s="26">
        <f>IF(ISNUMBER(VLOOKUP($D117,'Visu totale'!$D:$DH,CU$1,0)),CT117-VLOOKUP($D117,'Visu totale'!$D:$DH,CU$1,0),IF(LEFT(VLOOKUP($D117,'Visu totale'!$D:$DH,CU$1,0),1)="V",IF(CT117&gt;=INDEX('[1]Définition Maintenances'!$G:$G,MATCH($A117,'[1]Définition Maintenances'!$K:$K,0)),CT117,INDEX('[1]Définition Maintenances'!$G:$G,MATCH($A117,'[1]Définition Maintenances'!$K:$K,0))+CT117),CT117))</f>
        <v>1200</v>
      </c>
      <c r="CV117" s="26">
        <f>IF(ISNUMBER(VLOOKUP($D117,'Visu totale'!$D:$DH,CV$1,0)),CU117-VLOOKUP($D117,'Visu totale'!$D:$DH,CV$1,0),IF(LEFT(VLOOKUP($D117,'Visu totale'!$D:$DH,CV$1,0),1)="V",IF(CU117&gt;=INDEX('[1]Définition Maintenances'!$G:$G,MATCH($A117,'[1]Définition Maintenances'!$K:$K,0)),CU117,INDEX('[1]Définition Maintenances'!$G:$G,MATCH($A117,'[1]Définition Maintenances'!$K:$K,0))+CU117),CU117))</f>
        <v>1200</v>
      </c>
      <c r="CW117" s="27">
        <f>IF(ISNUMBER(VLOOKUP($D117,'Visu totale'!$D:$DH,CW$1,0)),CV117-VLOOKUP($D117,'Visu totale'!$D:$DH,CW$1,0),IF(LEFT(VLOOKUP($D117,'Visu totale'!$D:$DH,CW$1,0),1)="V",IF(CV117&gt;=INDEX('[1]Définition Maintenances'!$G:$G,MATCH($A117,'[1]Définition Maintenances'!$K:$K,0)),CV117,INDEX('[1]Définition Maintenances'!$G:$G,MATCH($A117,'[1]Définition Maintenances'!$K:$K,0))+CV117),CV117))</f>
        <v>1200</v>
      </c>
      <c r="CX117" s="25">
        <f>IF(ISNUMBER(VLOOKUP($D117,'Visu totale'!$D:$DH,CX$1,0)),CW117-VLOOKUP($D117,'Visu totale'!$D:$DH,CX$1,0),IF(LEFT(VLOOKUP($D117,'Visu totale'!$D:$DH,CX$1,0),1)="V",IF(CW117&gt;=INDEX('[1]Définition Maintenances'!$G:$G,MATCH($A117,'[1]Définition Maintenances'!$K:$K,0)),CW117,INDEX('[1]Définition Maintenances'!$G:$G,MATCH($A117,'[1]Définition Maintenances'!$K:$K,0))+CW117),CW117))</f>
        <v>1200</v>
      </c>
      <c r="CY117" s="26">
        <f>IF(ISNUMBER(VLOOKUP($D117,'Visu totale'!$D:$DH,CY$1,0)),CX117-VLOOKUP($D117,'Visu totale'!$D:$DH,CY$1,0),IF(LEFT(VLOOKUP($D117,'Visu totale'!$D:$DH,CY$1,0),1)="V",IF(CX117&gt;=INDEX('[1]Définition Maintenances'!$G:$G,MATCH($A117,'[1]Définition Maintenances'!$K:$K,0)),CX117,INDEX('[1]Définition Maintenances'!$G:$G,MATCH($A117,'[1]Définition Maintenances'!$K:$K,0))+CX117),CX117))</f>
        <v>1200</v>
      </c>
      <c r="CZ117" s="26">
        <f>IF(ISNUMBER(VLOOKUP($D117,'Visu totale'!$D:$DH,CZ$1,0)),CY117-VLOOKUP($D117,'Visu totale'!$D:$DH,CZ$1,0),IF(LEFT(VLOOKUP($D117,'Visu totale'!$D:$DH,CZ$1,0),1)="V",IF(CY117&gt;=INDEX('[1]Définition Maintenances'!$G:$G,MATCH($A117,'[1]Définition Maintenances'!$K:$K,0)),CY117,INDEX('[1]Définition Maintenances'!$G:$G,MATCH($A117,'[1]Définition Maintenances'!$K:$K,0))+CY117),CY117))</f>
        <v>1200</v>
      </c>
      <c r="DA117" s="26">
        <f>IF(ISNUMBER(VLOOKUP($D117,'Visu totale'!$D:$DH,DA$1,0)),CZ117-VLOOKUP($D117,'Visu totale'!$D:$DH,DA$1,0),IF(LEFT(VLOOKUP($D117,'Visu totale'!$D:$DH,DA$1,0),1)="V",IF(CZ117&gt;=INDEX('[1]Définition Maintenances'!$G:$G,MATCH($A117,'[1]Définition Maintenances'!$K:$K,0)),CZ117,INDEX('[1]Définition Maintenances'!$G:$G,MATCH($A117,'[1]Définition Maintenances'!$K:$K,0))+CZ117),CZ117))</f>
        <v>1200</v>
      </c>
      <c r="DB117" s="26">
        <f>IF(ISNUMBER(VLOOKUP($D117,'Visu totale'!$D:$DH,DB$1,0)),DA117-VLOOKUP($D117,'Visu totale'!$D:$DH,DB$1,0),IF(LEFT(VLOOKUP($D117,'Visu totale'!$D:$DH,DB$1,0),1)="V",IF(DA117&gt;=INDEX('[1]Définition Maintenances'!$G:$G,MATCH($A117,'[1]Définition Maintenances'!$K:$K,0)),DA117,INDEX('[1]Définition Maintenances'!$G:$G,MATCH($A117,'[1]Définition Maintenances'!$K:$K,0))+DA117),DA117))</f>
        <v>1200</v>
      </c>
      <c r="DC117" s="26">
        <f>IF(ISNUMBER(VLOOKUP($D117,'Visu totale'!$D:$DH,DC$1,0)),DB117-VLOOKUP($D117,'Visu totale'!$D:$DH,DC$1,0),IF(LEFT(VLOOKUP($D117,'Visu totale'!$D:$DH,DC$1,0),1)="V",IF(DB117&gt;=INDEX('[1]Définition Maintenances'!$G:$G,MATCH($A117,'[1]Définition Maintenances'!$K:$K,0)),DB117,INDEX('[1]Définition Maintenances'!$G:$G,MATCH($A117,'[1]Définition Maintenances'!$K:$K,0))+DB117),DB117))</f>
        <v>1200</v>
      </c>
      <c r="DD117" s="26">
        <f>IF(ISNUMBER(VLOOKUP($D117,'Visu totale'!$D:$DH,DD$1,0)),DC117-VLOOKUP($D117,'Visu totale'!$D:$DH,DD$1,0),IF(LEFT(VLOOKUP($D117,'Visu totale'!$D:$DH,DD$1,0),1)="V",IF(DC117&gt;=INDEX('[1]Définition Maintenances'!$G:$G,MATCH($A117,'[1]Définition Maintenances'!$K:$K,0)),DC117,INDEX('[1]Définition Maintenances'!$G:$G,MATCH($A117,'[1]Définition Maintenances'!$K:$K,0))+DC117),DC117))</f>
        <v>1200</v>
      </c>
      <c r="DE117" s="26">
        <f>IF(ISNUMBER(VLOOKUP($D117,'Visu totale'!$D:$DH,DE$1,0)),DD117-VLOOKUP($D117,'Visu totale'!$D:$DH,DE$1,0),IF(LEFT(VLOOKUP($D117,'Visu totale'!$D:$DH,DE$1,0),1)="V",IF(DD117&gt;=INDEX('[1]Définition Maintenances'!$G:$G,MATCH($A117,'[1]Définition Maintenances'!$K:$K,0)),DD117,INDEX('[1]Définition Maintenances'!$G:$G,MATCH($A117,'[1]Définition Maintenances'!$K:$K,0))+DD117),DD117))</f>
        <v>1200</v>
      </c>
      <c r="DF117" s="26">
        <f>IF(ISNUMBER(VLOOKUP($D117,'Visu totale'!$D:$DH,DF$1,0)),DE117-VLOOKUP($D117,'Visu totale'!$D:$DH,DF$1,0),IF(LEFT(VLOOKUP($D117,'Visu totale'!$D:$DH,DF$1,0),1)="V",IF(DE117&gt;=INDEX('[1]Définition Maintenances'!$G:$G,MATCH($A117,'[1]Définition Maintenances'!$K:$K,0)),DE117,INDEX('[1]Définition Maintenances'!$G:$G,MATCH($A117,'[1]Définition Maintenances'!$K:$K,0))+DE117),DE117))</f>
        <v>1200</v>
      </c>
      <c r="DG117" s="26">
        <f>IF(ISNUMBER(VLOOKUP($D117,'Visu totale'!$D:$DH,DG$1,0)),DF117-VLOOKUP($D117,'Visu totale'!$D:$DH,DG$1,0),IF(LEFT(VLOOKUP($D117,'Visu totale'!$D:$DH,DG$1,0),1)="V",IF(DF117&gt;=INDEX('[1]Définition Maintenances'!$G:$G,MATCH($A117,'[1]Définition Maintenances'!$K:$K,0)),DF117,INDEX('[1]Définition Maintenances'!$G:$G,MATCH($A117,'[1]Définition Maintenances'!$K:$K,0))+DF117),DF117))</f>
        <v>1200</v>
      </c>
      <c r="DH117" s="26">
        <f>IF(ISNUMBER(VLOOKUP($D117,'Visu totale'!$D:$DH,DH$1,0)),DG117-VLOOKUP($D117,'Visu totale'!$D:$DH,DH$1,0),IF(LEFT(VLOOKUP($D117,'Visu totale'!$D:$DH,DH$1,0),1)="V",IF(DG117&gt;=INDEX('[1]Définition Maintenances'!$G:$G,MATCH($A117,'[1]Définition Maintenances'!$K:$K,0)),DG117,INDEX('[1]Définition Maintenances'!$G:$G,MATCH($A117,'[1]Définition Maintenances'!$K:$K,0))+DG117),DG117))</f>
        <v>1200</v>
      </c>
      <c r="DI117" s="27">
        <f>IF(ISNUMBER(VLOOKUP($D117,'Visu totale'!$D:$DH,DI$1,0)),DH117-VLOOKUP($D117,'Visu totale'!$D:$DH,DI$1,0),IF(LEFT(VLOOKUP($D117,'Visu totale'!$D:$DH,DI$1,0),1)="V",IF(DH117&gt;=INDEX('[1]Définition Maintenances'!$G:$G,MATCH($A117,'[1]Définition Maintenances'!$K:$K,0)),DH117,INDEX('[1]Définition Maintenances'!$G:$G,MATCH($A117,'[1]Définition Maintenances'!$K:$K,0))+DH117),DH117))</f>
        <v>1200</v>
      </c>
    </row>
    <row r="118" spans="1:113" x14ac:dyDescent="0.25">
      <c r="A118" s="13" t="str">
        <f t="shared" si="3"/>
        <v>V205</v>
      </c>
      <c r="B118" s="13" t="str">
        <f>VLOOKUP(D118,'[1]Avions (Potentiels)'!$B$2:$H$128,7,FALSE)</f>
        <v>V20</v>
      </c>
      <c r="C118" s="13"/>
      <c r="D118" s="16" t="s">
        <v>121</v>
      </c>
      <c r="E118" s="13">
        <f>IFERROR(VALUE(SUBSTITUTE(VLOOKUP(D118,'[1]Avions (Potentiels)'!$B:$E,4,0),".",",")),VALUE(VLOOKUP(D118,'[1]Avions (Potentiels)'!$B:$E,4,0)))</f>
        <v>670</v>
      </c>
      <c r="F118" s="25">
        <f>IF(ISNUMBER(VLOOKUP($D118,'Visu totale'!$D:$DH,F$1,0)),E118-VLOOKUP($D118,'Visu totale'!$D:$DH,F$1,0),IF(LEFT(VLOOKUP($D118,'Visu totale'!$D:$DH,F$1,0),1)="V",IF(E118&gt;=INDEX('[1]Définition Maintenances'!$G:$G,MATCH($A118,'[1]Définition Maintenances'!$K:$K,0)),E118,INDEX('[1]Définition Maintenances'!$G:$G,MATCH($A118,'[1]Définition Maintenances'!$K:$K,0))+E118),E118))</f>
        <v>670</v>
      </c>
      <c r="G118" s="26">
        <f>IF(ISNUMBER(VLOOKUP($D118,'Visu totale'!$D:$DH,G$1,0)),F118-VLOOKUP($D118,'Visu totale'!$D:$DH,G$1,0),IF(LEFT(VLOOKUP($D118,'Visu totale'!$D:$DH,G$1,0),1)="V",IF(F118&gt;=INDEX('[1]Définition Maintenances'!$G:$G,MATCH($A118,'[1]Définition Maintenances'!$K:$K,0)),F118,INDEX('[1]Définition Maintenances'!$G:$G,MATCH($A118,'[1]Définition Maintenances'!$K:$K,0))+F118),F118))</f>
        <v>670</v>
      </c>
      <c r="H118" s="26">
        <f>IF(ISNUMBER(VLOOKUP($D118,'Visu totale'!$D:$DH,H$1,0)),G118-VLOOKUP($D118,'Visu totale'!$D:$DH,H$1,0),IF(LEFT(VLOOKUP($D118,'Visu totale'!$D:$DH,H$1,0),1)="V",IF(G118&gt;=INDEX('[1]Définition Maintenances'!$G:$G,MATCH($A118,'[1]Définition Maintenances'!$K:$K,0)),G118,INDEX('[1]Définition Maintenances'!$G:$G,MATCH($A118,'[1]Définition Maintenances'!$K:$K,0))+G118),G118))</f>
        <v>670</v>
      </c>
      <c r="I118" s="26">
        <f>IF(ISNUMBER(VLOOKUP($D118,'Visu totale'!$D:$DH,I$1,0)),H118-VLOOKUP($D118,'Visu totale'!$D:$DH,I$1,0),IF(LEFT(VLOOKUP($D118,'Visu totale'!$D:$DH,I$1,0),1)="V",IF(H118&gt;=INDEX('[1]Définition Maintenances'!$G:$G,MATCH($A118,'[1]Définition Maintenances'!$K:$K,0)),H118,INDEX('[1]Définition Maintenances'!$G:$G,MATCH($A118,'[1]Définition Maintenances'!$K:$K,0))+H118),H118))</f>
        <v>670</v>
      </c>
      <c r="J118" s="26">
        <f>IF(ISNUMBER(VLOOKUP($D118,'Visu totale'!$D:$DH,J$1,0)),I118-VLOOKUP($D118,'Visu totale'!$D:$DH,J$1,0),IF(LEFT(VLOOKUP($D118,'Visu totale'!$D:$DH,J$1,0),1)="V",IF(I118&gt;=INDEX('[1]Définition Maintenances'!$G:$G,MATCH($A118,'[1]Définition Maintenances'!$K:$K,0)),I118,INDEX('[1]Définition Maintenances'!$G:$G,MATCH($A118,'[1]Définition Maintenances'!$K:$K,0))+I118),I118))</f>
        <v>670</v>
      </c>
      <c r="K118" s="26">
        <f>IF(ISNUMBER(VLOOKUP($D118,'Visu totale'!$D:$DH,K$1,0)),J118-VLOOKUP($D118,'Visu totale'!$D:$DH,K$1,0),IF(LEFT(VLOOKUP($D118,'Visu totale'!$D:$DH,K$1,0),1)="V",IF(J118&gt;=INDEX('[1]Définition Maintenances'!$G:$G,MATCH($A118,'[1]Définition Maintenances'!$K:$K,0)),J118,INDEX('[1]Définition Maintenances'!$G:$G,MATCH($A118,'[1]Définition Maintenances'!$K:$K,0))+J118),J118))</f>
        <v>670</v>
      </c>
      <c r="L118" s="26">
        <f>IF(ISNUMBER(VLOOKUP($D118,'Visu totale'!$D:$DH,L$1,0)),K118-VLOOKUP($D118,'Visu totale'!$D:$DH,L$1,0),IF(LEFT(VLOOKUP($D118,'Visu totale'!$D:$DH,L$1,0),1)="V",IF(K118&gt;=INDEX('[1]Définition Maintenances'!$G:$G,MATCH($A118,'[1]Définition Maintenances'!$K:$K,0)),K118,INDEX('[1]Définition Maintenances'!$G:$G,MATCH($A118,'[1]Définition Maintenances'!$K:$K,0))+K118),K118))</f>
        <v>670</v>
      </c>
      <c r="M118" s="26">
        <f>IF(ISNUMBER(VLOOKUP($D118,'Visu totale'!$D:$DH,M$1,0)),L118-VLOOKUP($D118,'Visu totale'!$D:$DH,M$1,0),IF(LEFT(VLOOKUP($D118,'Visu totale'!$D:$DH,M$1,0),1)="V",IF(L118&gt;=INDEX('[1]Définition Maintenances'!$G:$G,MATCH($A118,'[1]Définition Maintenances'!$K:$K,0)),L118,INDEX('[1]Définition Maintenances'!$G:$G,MATCH($A118,'[1]Définition Maintenances'!$K:$K,0))+L118),L118))</f>
        <v>670</v>
      </c>
      <c r="N118" s="26">
        <f>IF(ISNUMBER(VLOOKUP($D118,'Visu totale'!$D:$DH,N$1,0)),M118-VLOOKUP($D118,'Visu totale'!$D:$DH,N$1,0),IF(LEFT(VLOOKUP($D118,'Visu totale'!$D:$DH,N$1,0),1)="V",IF(M118&gt;=INDEX('[1]Définition Maintenances'!$G:$G,MATCH($A118,'[1]Définition Maintenances'!$K:$K,0)),M118,INDEX('[1]Définition Maintenances'!$G:$G,MATCH($A118,'[1]Définition Maintenances'!$K:$K,0))+M118),M118))</f>
        <v>670</v>
      </c>
      <c r="O118" s="26">
        <f>IF(ISNUMBER(VLOOKUP($D118,'Visu totale'!$D:$DH,O$1,0)),N118-VLOOKUP($D118,'Visu totale'!$D:$DH,O$1,0),IF(LEFT(VLOOKUP($D118,'Visu totale'!$D:$DH,O$1,0),1)="V",IF(N118&gt;=INDEX('[1]Définition Maintenances'!$G:$G,MATCH($A118,'[1]Définition Maintenances'!$K:$K,0)),N118,INDEX('[1]Définition Maintenances'!$G:$G,MATCH($A118,'[1]Définition Maintenances'!$K:$K,0))+N118),N118))</f>
        <v>670</v>
      </c>
      <c r="P118" s="26">
        <f>IF(ISNUMBER(VLOOKUP($D118,'Visu totale'!$D:$DH,P$1,0)),O118-VLOOKUP($D118,'Visu totale'!$D:$DH,P$1,0),IF(LEFT(VLOOKUP($D118,'Visu totale'!$D:$DH,P$1,0),1)="V",IF(O118&gt;=INDEX('[1]Définition Maintenances'!$G:$G,MATCH($A118,'[1]Définition Maintenances'!$K:$K,0)),O118,INDEX('[1]Définition Maintenances'!$G:$G,MATCH($A118,'[1]Définition Maintenances'!$K:$K,0))+O118),O118))</f>
        <v>670</v>
      </c>
      <c r="Q118" s="27">
        <f>IF(ISNUMBER(VLOOKUP($D118,'Visu totale'!$D:$DH,Q$1,0)),P118-VLOOKUP($D118,'Visu totale'!$D:$DH,Q$1,0),IF(LEFT(VLOOKUP($D118,'Visu totale'!$D:$DH,Q$1,0),1)="V",IF(P118&gt;=INDEX('[1]Définition Maintenances'!$G:$G,MATCH($A118,'[1]Définition Maintenances'!$K:$K,0)),P118,INDEX('[1]Définition Maintenances'!$G:$G,MATCH($A118,'[1]Définition Maintenances'!$K:$K,0))+P118),P118))</f>
        <v>670</v>
      </c>
      <c r="R118" s="25">
        <f>IF(ISNUMBER(VLOOKUP($D118,'Visu totale'!$D:$DH,R$1,0)),Q118-VLOOKUP($D118,'Visu totale'!$D:$DH,R$1,0),IF(LEFT(VLOOKUP($D118,'Visu totale'!$D:$DH,R$1,0),1)="V",IF(Q118&gt;=INDEX('[1]Définition Maintenances'!$G:$G,MATCH($A118,'[1]Définition Maintenances'!$K:$K,0)),Q118,INDEX('[1]Définition Maintenances'!$G:$G,MATCH($A118,'[1]Définition Maintenances'!$K:$K,0))+Q118),Q118))</f>
        <v>670</v>
      </c>
      <c r="S118" s="26">
        <f>IF(ISNUMBER(VLOOKUP($D118,'Visu totale'!$D:$DH,S$1,0)),R118-VLOOKUP($D118,'Visu totale'!$D:$DH,S$1,0),IF(LEFT(VLOOKUP($D118,'Visu totale'!$D:$DH,S$1,0),1)="V",IF(R118&gt;=INDEX('[1]Définition Maintenances'!$G:$G,MATCH($A118,'[1]Définition Maintenances'!$K:$K,0)),R118,INDEX('[1]Définition Maintenances'!$G:$G,MATCH($A118,'[1]Définition Maintenances'!$K:$K,0))+R118),R118))</f>
        <v>670</v>
      </c>
      <c r="T118" s="26">
        <f>IF(ISNUMBER(VLOOKUP($D118,'Visu totale'!$D:$DH,T$1,0)),S118-VLOOKUP($D118,'Visu totale'!$D:$DH,T$1,0),IF(LEFT(VLOOKUP($D118,'Visu totale'!$D:$DH,T$1,0),1)="V",IF(S118&gt;=INDEX('[1]Définition Maintenances'!$G:$G,MATCH($A118,'[1]Définition Maintenances'!$K:$K,0)),S118,INDEX('[1]Définition Maintenances'!$G:$G,MATCH($A118,'[1]Définition Maintenances'!$K:$K,0))+S118),S118))</f>
        <v>670</v>
      </c>
      <c r="U118" s="26">
        <f>IF(ISNUMBER(VLOOKUP($D118,'Visu totale'!$D:$DH,U$1,0)),T118-VLOOKUP($D118,'Visu totale'!$D:$DH,U$1,0),IF(LEFT(VLOOKUP($D118,'Visu totale'!$D:$DH,U$1,0),1)="V",IF(T118&gt;=INDEX('[1]Définition Maintenances'!$G:$G,MATCH($A118,'[1]Définition Maintenances'!$K:$K,0)),T118,INDEX('[1]Définition Maintenances'!$G:$G,MATCH($A118,'[1]Définition Maintenances'!$K:$K,0))+T118),T118))</f>
        <v>670</v>
      </c>
      <c r="V118" s="26">
        <f>IF(ISNUMBER(VLOOKUP($D118,'Visu totale'!$D:$DH,V$1,0)),U118-VLOOKUP($D118,'Visu totale'!$D:$DH,V$1,0),IF(LEFT(VLOOKUP($D118,'Visu totale'!$D:$DH,V$1,0),1)="V",IF(U118&gt;=INDEX('[1]Définition Maintenances'!$G:$G,MATCH($A118,'[1]Définition Maintenances'!$K:$K,0)),U118,INDEX('[1]Définition Maintenances'!$G:$G,MATCH($A118,'[1]Définition Maintenances'!$K:$K,0))+U118),U118))</f>
        <v>670</v>
      </c>
      <c r="W118" s="26">
        <f>IF(ISNUMBER(VLOOKUP($D118,'Visu totale'!$D:$DH,W$1,0)),V118-VLOOKUP($D118,'Visu totale'!$D:$DH,W$1,0),IF(LEFT(VLOOKUP($D118,'Visu totale'!$D:$DH,W$1,0),1)="V",IF(V118&gt;=INDEX('[1]Définition Maintenances'!$G:$G,MATCH($A118,'[1]Définition Maintenances'!$K:$K,0)),V118,INDEX('[1]Définition Maintenances'!$G:$G,MATCH($A118,'[1]Définition Maintenances'!$K:$K,0))+V118),V118))</f>
        <v>670</v>
      </c>
      <c r="X118" s="26">
        <f>IF(ISNUMBER(VLOOKUP($D118,'Visu totale'!$D:$DH,X$1,0)),W118-VLOOKUP($D118,'Visu totale'!$D:$DH,X$1,0),IF(LEFT(VLOOKUP($D118,'Visu totale'!$D:$DH,X$1,0),1)="V",IF(W118&gt;=INDEX('[1]Définition Maintenances'!$G:$G,MATCH($A118,'[1]Définition Maintenances'!$K:$K,0)),W118,INDEX('[1]Définition Maintenances'!$G:$G,MATCH($A118,'[1]Définition Maintenances'!$K:$K,0))+W118),W118))</f>
        <v>670</v>
      </c>
      <c r="Y118" s="26">
        <f>IF(ISNUMBER(VLOOKUP($D118,'Visu totale'!$D:$DH,Y$1,0)),X118-VLOOKUP($D118,'Visu totale'!$D:$DH,Y$1,0),IF(LEFT(VLOOKUP($D118,'Visu totale'!$D:$DH,Y$1,0),1)="V",IF(X118&gt;=INDEX('[1]Définition Maintenances'!$G:$G,MATCH($A118,'[1]Définition Maintenances'!$K:$K,0)),X118,INDEX('[1]Définition Maintenances'!$G:$G,MATCH($A118,'[1]Définition Maintenances'!$K:$K,0))+X118),X118))</f>
        <v>670</v>
      </c>
      <c r="Z118" s="26">
        <f>IF(ISNUMBER(VLOOKUP($D118,'Visu totale'!$D:$DH,Z$1,0)),Y118-VLOOKUP($D118,'Visu totale'!$D:$DH,Z$1,0),IF(LEFT(VLOOKUP($D118,'Visu totale'!$D:$DH,Z$1,0),1)="V",IF(Y118&gt;=INDEX('[1]Définition Maintenances'!$G:$G,MATCH($A118,'[1]Définition Maintenances'!$K:$K,0)),Y118,INDEX('[1]Définition Maintenances'!$G:$G,MATCH($A118,'[1]Définition Maintenances'!$K:$K,0))+Y118),Y118))</f>
        <v>670</v>
      </c>
      <c r="AA118" s="26">
        <f>IF(ISNUMBER(VLOOKUP($D118,'Visu totale'!$D:$DH,AA$1,0)),Z118-VLOOKUP($D118,'Visu totale'!$D:$DH,AA$1,0),IF(LEFT(VLOOKUP($D118,'Visu totale'!$D:$DH,AA$1,0),1)="V",IF(Z118&gt;=INDEX('[1]Définition Maintenances'!$G:$G,MATCH($A118,'[1]Définition Maintenances'!$K:$K,0)),Z118,INDEX('[1]Définition Maintenances'!$G:$G,MATCH($A118,'[1]Définition Maintenances'!$K:$K,0))+Z118),Z118))</f>
        <v>670</v>
      </c>
      <c r="AB118" s="26">
        <f>IF(ISNUMBER(VLOOKUP($D118,'Visu totale'!$D:$DH,AB$1,0)),AA118-VLOOKUP($D118,'Visu totale'!$D:$DH,AB$1,0),IF(LEFT(VLOOKUP($D118,'Visu totale'!$D:$DH,AB$1,0),1)="V",IF(AA118&gt;=INDEX('[1]Définition Maintenances'!$G:$G,MATCH($A118,'[1]Définition Maintenances'!$K:$K,0)),AA118,INDEX('[1]Définition Maintenances'!$G:$G,MATCH($A118,'[1]Définition Maintenances'!$K:$K,0))+AA118),AA118))</f>
        <v>670</v>
      </c>
      <c r="AC118" s="27">
        <f>IF(ISNUMBER(VLOOKUP($D118,'Visu totale'!$D:$DH,AC$1,0)),AB118-VLOOKUP($D118,'Visu totale'!$D:$DH,AC$1,0),IF(LEFT(VLOOKUP($D118,'Visu totale'!$D:$DH,AC$1,0),1)="V",IF(AB118&gt;=INDEX('[1]Définition Maintenances'!$G:$G,MATCH($A118,'[1]Définition Maintenances'!$K:$K,0)),AB118,INDEX('[1]Définition Maintenances'!$G:$G,MATCH($A118,'[1]Définition Maintenances'!$K:$K,0))+AB118),AB118))</f>
        <v>670</v>
      </c>
      <c r="AD118" s="25">
        <f>IF(ISNUMBER(VLOOKUP($D118,'Visu totale'!$D:$DH,AD$1,0)),AC118-VLOOKUP($D118,'Visu totale'!$D:$DH,AD$1,0),IF(LEFT(VLOOKUP($D118,'Visu totale'!$D:$DH,AD$1,0),1)="V",IF(AC118&gt;=INDEX('[1]Définition Maintenances'!$G:$G,MATCH($A118,'[1]Définition Maintenances'!$K:$K,0)),AC118,INDEX('[1]Définition Maintenances'!$G:$G,MATCH($A118,'[1]Définition Maintenances'!$K:$K,0))+AC118),AC118))</f>
        <v>670</v>
      </c>
      <c r="AE118" s="26">
        <f>IF(ISNUMBER(VLOOKUP($D118,'Visu totale'!$D:$DH,AE$1,0)),AD118-VLOOKUP($D118,'Visu totale'!$D:$DH,AE$1,0),IF(LEFT(VLOOKUP($D118,'Visu totale'!$D:$DH,AE$1,0),1)="V",IF(AD118&gt;=INDEX('[1]Définition Maintenances'!$G:$G,MATCH($A118,'[1]Définition Maintenances'!$K:$K,0)),AD118,INDEX('[1]Définition Maintenances'!$G:$G,MATCH($A118,'[1]Définition Maintenances'!$K:$K,0))+AD118),AD118))</f>
        <v>670</v>
      </c>
      <c r="AF118" s="26">
        <f>IF(ISNUMBER(VLOOKUP($D118,'Visu totale'!$D:$DH,AF$1,0)),AE118-VLOOKUP($D118,'Visu totale'!$D:$DH,AF$1,0),IF(LEFT(VLOOKUP($D118,'Visu totale'!$D:$DH,AF$1,0),1)="V",IF(AE118&gt;=INDEX('[1]Définition Maintenances'!$G:$G,MATCH($A118,'[1]Définition Maintenances'!$K:$K,0)),AE118,INDEX('[1]Définition Maintenances'!$G:$G,MATCH($A118,'[1]Définition Maintenances'!$K:$K,0))+AE118),AE118))</f>
        <v>670</v>
      </c>
      <c r="AG118" s="26">
        <f>IF(ISNUMBER(VLOOKUP($D118,'Visu totale'!$D:$DH,AG$1,0)),AF118-VLOOKUP($D118,'Visu totale'!$D:$DH,AG$1,0),IF(LEFT(VLOOKUP($D118,'Visu totale'!$D:$DH,AG$1,0),1)="V",IF(AF118&gt;=INDEX('[1]Définition Maintenances'!$G:$G,MATCH($A118,'[1]Définition Maintenances'!$K:$K,0)),AF118,INDEX('[1]Définition Maintenances'!$G:$G,MATCH($A118,'[1]Définition Maintenances'!$K:$K,0))+AF118),AF118))</f>
        <v>670</v>
      </c>
      <c r="AH118" s="26">
        <f>IF(ISNUMBER(VLOOKUP($D118,'Visu totale'!$D:$DH,AH$1,0)),AG118-VLOOKUP($D118,'Visu totale'!$D:$DH,AH$1,0),IF(LEFT(VLOOKUP($D118,'Visu totale'!$D:$DH,AH$1,0),1)="V",IF(AG118&gt;=INDEX('[1]Définition Maintenances'!$G:$G,MATCH($A118,'[1]Définition Maintenances'!$K:$K,0)),AG118,INDEX('[1]Définition Maintenances'!$G:$G,MATCH($A118,'[1]Définition Maintenances'!$K:$K,0))+AG118),AG118))</f>
        <v>670</v>
      </c>
      <c r="AI118" s="26">
        <f>IF(ISNUMBER(VLOOKUP($D118,'Visu totale'!$D:$DH,AI$1,0)),AH118-VLOOKUP($D118,'Visu totale'!$D:$DH,AI$1,0),IF(LEFT(VLOOKUP($D118,'Visu totale'!$D:$DH,AI$1,0),1)="V",IF(AH118&gt;=INDEX('[1]Définition Maintenances'!$G:$G,MATCH($A118,'[1]Définition Maintenances'!$K:$K,0)),AH118,INDEX('[1]Définition Maintenances'!$G:$G,MATCH($A118,'[1]Définition Maintenances'!$K:$K,0))+AH118),AH118))</f>
        <v>670</v>
      </c>
      <c r="AJ118" s="26">
        <f>IF(ISNUMBER(VLOOKUP($D118,'Visu totale'!$D:$DH,AJ$1,0)),AI118-VLOOKUP($D118,'Visu totale'!$D:$DH,AJ$1,0),IF(LEFT(VLOOKUP($D118,'Visu totale'!$D:$DH,AJ$1,0),1)="V",IF(AI118&gt;=INDEX('[1]Définition Maintenances'!$G:$G,MATCH($A118,'[1]Définition Maintenances'!$K:$K,0)),AI118,INDEX('[1]Définition Maintenances'!$G:$G,MATCH($A118,'[1]Définition Maintenances'!$K:$K,0))+AI118),AI118))</f>
        <v>670</v>
      </c>
      <c r="AK118" s="26">
        <f>IF(ISNUMBER(VLOOKUP($D118,'Visu totale'!$D:$DH,AK$1,0)),AJ118-VLOOKUP($D118,'Visu totale'!$D:$DH,AK$1,0),IF(LEFT(VLOOKUP($D118,'Visu totale'!$D:$DH,AK$1,0),1)="V",IF(AJ118&gt;=INDEX('[1]Définition Maintenances'!$G:$G,MATCH($A118,'[1]Définition Maintenances'!$K:$K,0)),AJ118,INDEX('[1]Définition Maintenances'!$G:$G,MATCH($A118,'[1]Définition Maintenances'!$K:$K,0))+AJ118),AJ118))</f>
        <v>670</v>
      </c>
      <c r="AL118" s="26">
        <f>IF(ISNUMBER(VLOOKUP($D118,'Visu totale'!$D:$DH,AL$1,0)),AK118-VLOOKUP($D118,'Visu totale'!$D:$DH,AL$1,0),IF(LEFT(VLOOKUP($D118,'Visu totale'!$D:$DH,AL$1,0),1)="V",IF(AK118&gt;=INDEX('[1]Définition Maintenances'!$G:$G,MATCH($A118,'[1]Définition Maintenances'!$K:$K,0)),AK118,INDEX('[1]Définition Maintenances'!$G:$G,MATCH($A118,'[1]Définition Maintenances'!$K:$K,0))+AK118),AK118))</f>
        <v>670</v>
      </c>
      <c r="AM118" s="26">
        <f>IF(ISNUMBER(VLOOKUP($D118,'Visu totale'!$D:$DH,AM$1,0)),AL118-VLOOKUP($D118,'Visu totale'!$D:$DH,AM$1,0),IF(LEFT(VLOOKUP($D118,'Visu totale'!$D:$DH,AM$1,0),1)="V",IF(AL118&gt;=INDEX('[1]Définition Maintenances'!$G:$G,MATCH($A118,'[1]Définition Maintenances'!$K:$K,0)),AL118,INDEX('[1]Définition Maintenances'!$G:$G,MATCH($A118,'[1]Définition Maintenances'!$K:$K,0))+AL118),AL118))</f>
        <v>670</v>
      </c>
      <c r="AN118" s="26">
        <f>IF(ISNUMBER(VLOOKUP($D118,'Visu totale'!$D:$DH,AN$1,0)),AM118-VLOOKUP($D118,'Visu totale'!$D:$DH,AN$1,0),IF(LEFT(VLOOKUP($D118,'Visu totale'!$D:$DH,AN$1,0),1)="V",IF(AM118&gt;=INDEX('[1]Définition Maintenances'!$G:$G,MATCH($A118,'[1]Définition Maintenances'!$K:$K,0)),AM118,INDEX('[1]Définition Maintenances'!$G:$G,MATCH($A118,'[1]Définition Maintenances'!$K:$K,0))+AM118),AM118))</f>
        <v>670</v>
      </c>
      <c r="AO118" s="27">
        <f>IF(ISNUMBER(VLOOKUP($D118,'Visu totale'!$D:$DH,AO$1,0)),AN118-VLOOKUP($D118,'Visu totale'!$D:$DH,AO$1,0),IF(LEFT(VLOOKUP($D118,'Visu totale'!$D:$DH,AO$1,0),1)="V",IF(AN118&gt;=INDEX('[1]Définition Maintenances'!$G:$G,MATCH($A118,'[1]Définition Maintenances'!$K:$K,0)),AN118,INDEX('[1]Définition Maintenances'!$G:$G,MATCH($A118,'[1]Définition Maintenances'!$K:$K,0))+AN118),AN118))</f>
        <v>670</v>
      </c>
      <c r="AP118" s="25">
        <f>IF(ISNUMBER(VLOOKUP($D118,'Visu totale'!$D:$DH,AP$1,0)),AO118-VLOOKUP($D118,'Visu totale'!$D:$DH,AP$1,0),IF(LEFT(VLOOKUP($D118,'Visu totale'!$D:$DH,AP$1,0),1)="V",IF(AO118&gt;=INDEX('[1]Définition Maintenances'!$G:$G,MATCH($A118,'[1]Définition Maintenances'!$K:$K,0)),AO118,INDEX('[1]Définition Maintenances'!$G:$G,MATCH($A118,'[1]Définition Maintenances'!$K:$K,0))+AO118),AO118))</f>
        <v>670</v>
      </c>
      <c r="AQ118" s="26">
        <f>IF(ISNUMBER(VLOOKUP($D118,'Visu totale'!$D:$DH,AQ$1,0)),AP118-VLOOKUP($D118,'Visu totale'!$D:$DH,AQ$1,0),IF(LEFT(VLOOKUP($D118,'Visu totale'!$D:$DH,AQ$1,0),1)="V",IF(AP118&gt;=INDEX('[1]Définition Maintenances'!$G:$G,MATCH($A118,'[1]Définition Maintenances'!$K:$K,0)),AP118,INDEX('[1]Définition Maintenances'!$G:$G,MATCH($A118,'[1]Définition Maintenances'!$K:$K,0))+AP118),AP118))</f>
        <v>670</v>
      </c>
      <c r="AR118" s="26">
        <f>IF(ISNUMBER(VLOOKUP($D118,'Visu totale'!$D:$DH,AR$1,0)),AQ118-VLOOKUP($D118,'Visu totale'!$D:$DH,AR$1,0),IF(LEFT(VLOOKUP($D118,'Visu totale'!$D:$DH,AR$1,0),1)="V",IF(AQ118&gt;=INDEX('[1]Définition Maintenances'!$G:$G,MATCH($A118,'[1]Définition Maintenances'!$K:$K,0)),AQ118,INDEX('[1]Définition Maintenances'!$G:$G,MATCH($A118,'[1]Définition Maintenances'!$K:$K,0))+AQ118),AQ118))</f>
        <v>670</v>
      </c>
      <c r="AS118" s="26">
        <f>IF(ISNUMBER(VLOOKUP($D118,'Visu totale'!$D:$DH,AS$1,0)),AR118-VLOOKUP($D118,'Visu totale'!$D:$DH,AS$1,0),IF(LEFT(VLOOKUP($D118,'Visu totale'!$D:$DH,AS$1,0),1)="V",IF(AR118&gt;=INDEX('[1]Définition Maintenances'!$G:$G,MATCH($A118,'[1]Définition Maintenances'!$K:$K,0)),AR118,INDEX('[1]Définition Maintenances'!$G:$G,MATCH($A118,'[1]Définition Maintenances'!$K:$K,0))+AR118),AR118))</f>
        <v>670</v>
      </c>
      <c r="AT118" s="26">
        <f>IF(ISNUMBER(VLOOKUP($D118,'Visu totale'!$D:$DH,AT$1,0)),AS118-VLOOKUP($D118,'Visu totale'!$D:$DH,AT$1,0),IF(LEFT(VLOOKUP($D118,'Visu totale'!$D:$DH,AT$1,0),1)="V",IF(AS118&gt;=INDEX('[1]Définition Maintenances'!$G:$G,MATCH($A118,'[1]Définition Maintenances'!$K:$K,0)),AS118,INDEX('[1]Définition Maintenances'!$G:$G,MATCH($A118,'[1]Définition Maintenances'!$K:$K,0))+AS118),AS118))</f>
        <v>670</v>
      </c>
      <c r="AU118" s="26">
        <f>IF(ISNUMBER(VLOOKUP($D118,'Visu totale'!$D:$DH,AU$1,0)),AT118-VLOOKUP($D118,'Visu totale'!$D:$DH,AU$1,0),IF(LEFT(VLOOKUP($D118,'Visu totale'!$D:$DH,AU$1,0),1)="V",IF(AT118&gt;=INDEX('[1]Définition Maintenances'!$G:$G,MATCH($A118,'[1]Définition Maintenances'!$K:$K,0)),AT118,INDEX('[1]Définition Maintenances'!$G:$G,MATCH($A118,'[1]Définition Maintenances'!$K:$K,0))+AT118),AT118))</f>
        <v>670</v>
      </c>
      <c r="AV118" s="26">
        <f>IF(ISNUMBER(VLOOKUP($D118,'Visu totale'!$D:$DH,AV$1,0)),AU118-VLOOKUP($D118,'Visu totale'!$D:$DH,AV$1,0),IF(LEFT(VLOOKUP($D118,'Visu totale'!$D:$DH,AV$1,0),1)="V",IF(AU118&gt;=INDEX('[1]Définition Maintenances'!$G:$G,MATCH($A118,'[1]Définition Maintenances'!$K:$K,0)),AU118,INDEX('[1]Définition Maintenances'!$G:$G,MATCH($A118,'[1]Définition Maintenances'!$K:$K,0))+AU118),AU118))</f>
        <v>670</v>
      </c>
      <c r="AW118" s="26">
        <f>IF(ISNUMBER(VLOOKUP($D118,'Visu totale'!$D:$DH,AW$1,0)),AV118-VLOOKUP($D118,'Visu totale'!$D:$DH,AW$1,0),IF(LEFT(VLOOKUP($D118,'Visu totale'!$D:$DH,AW$1,0),1)="V",IF(AV118&gt;=INDEX('[1]Définition Maintenances'!$G:$G,MATCH($A118,'[1]Définition Maintenances'!$K:$K,0)),AV118,INDEX('[1]Définition Maintenances'!$G:$G,MATCH($A118,'[1]Définition Maintenances'!$K:$K,0))+AV118),AV118))</f>
        <v>670</v>
      </c>
      <c r="AX118" s="26">
        <f>IF(ISNUMBER(VLOOKUP($D118,'Visu totale'!$D:$DH,AX$1,0)),AW118-VLOOKUP($D118,'Visu totale'!$D:$DH,AX$1,0),IF(LEFT(VLOOKUP($D118,'Visu totale'!$D:$DH,AX$1,0),1)="V",IF(AW118&gt;=INDEX('[1]Définition Maintenances'!$G:$G,MATCH($A118,'[1]Définition Maintenances'!$K:$K,0)),AW118,INDEX('[1]Définition Maintenances'!$G:$G,MATCH($A118,'[1]Définition Maintenances'!$K:$K,0))+AW118),AW118))</f>
        <v>670</v>
      </c>
      <c r="AY118" s="26">
        <f>IF(ISNUMBER(VLOOKUP($D118,'Visu totale'!$D:$DH,AY$1,0)),AX118-VLOOKUP($D118,'Visu totale'!$D:$DH,AY$1,0),IF(LEFT(VLOOKUP($D118,'Visu totale'!$D:$DH,AY$1,0),1)="V",IF(AX118&gt;=INDEX('[1]Définition Maintenances'!$G:$G,MATCH($A118,'[1]Définition Maintenances'!$K:$K,0)),AX118,INDEX('[1]Définition Maintenances'!$G:$G,MATCH($A118,'[1]Définition Maintenances'!$K:$K,0))+AX118),AX118))</f>
        <v>670</v>
      </c>
      <c r="AZ118" s="26">
        <f>IF(ISNUMBER(VLOOKUP($D118,'Visu totale'!$D:$DH,AZ$1,0)),AY118-VLOOKUP($D118,'Visu totale'!$D:$DH,AZ$1,0),IF(LEFT(VLOOKUP($D118,'Visu totale'!$D:$DH,AZ$1,0),1)="V",IF(AY118&gt;=INDEX('[1]Définition Maintenances'!$G:$G,MATCH($A118,'[1]Définition Maintenances'!$K:$K,0)),AY118,INDEX('[1]Définition Maintenances'!$G:$G,MATCH($A118,'[1]Définition Maintenances'!$K:$K,0))+AY118),AY118))</f>
        <v>670</v>
      </c>
      <c r="BA118" s="27">
        <f>IF(ISNUMBER(VLOOKUP($D118,'Visu totale'!$D:$DH,BA$1,0)),AZ118-VLOOKUP($D118,'Visu totale'!$D:$DH,BA$1,0),IF(LEFT(VLOOKUP($D118,'Visu totale'!$D:$DH,BA$1,0),1)="V",IF(AZ118&gt;=INDEX('[1]Définition Maintenances'!$G:$G,MATCH($A118,'[1]Définition Maintenances'!$K:$K,0)),AZ118,INDEX('[1]Définition Maintenances'!$G:$G,MATCH($A118,'[1]Définition Maintenances'!$K:$K,0))+AZ118),AZ118))</f>
        <v>670</v>
      </c>
      <c r="BB118" s="25">
        <f>IF(ISNUMBER(VLOOKUP($D118,'Visu totale'!$D:$DH,BB$1,0)),BA118-VLOOKUP($D118,'Visu totale'!$D:$DH,BB$1,0),IF(LEFT(VLOOKUP($D118,'Visu totale'!$D:$DH,BB$1,0),1)="V",IF(BA118&gt;=INDEX('[1]Définition Maintenances'!$G:$G,MATCH($A118,'[1]Définition Maintenances'!$K:$K,0)),BA118,INDEX('[1]Définition Maintenances'!$G:$G,MATCH($A118,'[1]Définition Maintenances'!$K:$K,0))+BA118),BA118))</f>
        <v>670</v>
      </c>
      <c r="BC118" s="26">
        <f>IF(ISNUMBER(VLOOKUP($D118,'Visu totale'!$D:$DH,BC$1,0)),BB118-VLOOKUP($D118,'Visu totale'!$D:$DH,BC$1,0),IF(LEFT(VLOOKUP($D118,'Visu totale'!$D:$DH,BC$1,0),1)="V",IF(BB118&gt;=INDEX('[1]Définition Maintenances'!$G:$G,MATCH($A118,'[1]Définition Maintenances'!$K:$K,0)),BB118,INDEX('[1]Définition Maintenances'!$G:$G,MATCH($A118,'[1]Définition Maintenances'!$K:$K,0))+BB118),BB118))</f>
        <v>670</v>
      </c>
      <c r="BD118" s="26">
        <f>IF(ISNUMBER(VLOOKUP($D118,'Visu totale'!$D:$DH,BD$1,0)),BC118-VLOOKUP($D118,'Visu totale'!$D:$DH,BD$1,0),IF(LEFT(VLOOKUP($D118,'Visu totale'!$D:$DH,BD$1,0),1)="V",IF(BC118&gt;=INDEX('[1]Définition Maintenances'!$G:$G,MATCH($A118,'[1]Définition Maintenances'!$K:$K,0)),BC118,INDEX('[1]Définition Maintenances'!$G:$G,MATCH($A118,'[1]Définition Maintenances'!$K:$K,0))+BC118),BC118))</f>
        <v>670</v>
      </c>
      <c r="BE118" s="26">
        <f>IF(ISNUMBER(VLOOKUP($D118,'Visu totale'!$D:$DH,BE$1,0)),BD118-VLOOKUP($D118,'Visu totale'!$D:$DH,BE$1,0),IF(LEFT(VLOOKUP($D118,'Visu totale'!$D:$DH,BE$1,0),1)="V",IF(BD118&gt;=INDEX('[1]Définition Maintenances'!$G:$G,MATCH($A118,'[1]Définition Maintenances'!$K:$K,0)),BD118,INDEX('[1]Définition Maintenances'!$G:$G,MATCH($A118,'[1]Définition Maintenances'!$K:$K,0))+BD118),BD118))</f>
        <v>670</v>
      </c>
      <c r="BF118" s="26">
        <f>IF(ISNUMBER(VLOOKUP($D118,'Visu totale'!$D:$DH,BF$1,0)),BE118-VLOOKUP($D118,'Visu totale'!$D:$DH,BF$1,0),IF(LEFT(VLOOKUP($D118,'Visu totale'!$D:$DH,BF$1,0),1)="V",IF(BE118&gt;=INDEX('[1]Définition Maintenances'!$G:$G,MATCH($A118,'[1]Définition Maintenances'!$K:$K,0)),BE118,INDEX('[1]Définition Maintenances'!$G:$G,MATCH($A118,'[1]Définition Maintenances'!$K:$K,0))+BE118),BE118))</f>
        <v>670</v>
      </c>
      <c r="BG118" s="26">
        <f>IF(ISNUMBER(VLOOKUP($D118,'Visu totale'!$D:$DH,BG$1,0)),BF118-VLOOKUP($D118,'Visu totale'!$D:$DH,BG$1,0),IF(LEFT(VLOOKUP($D118,'Visu totale'!$D:$DH,BG$1,0),1)="V",IF(BF118&gt;=INDEX('[1]Définition Maintenances'!$G:$G,MATCH($A118,'[1]Définition Maintenances'!$K:$K,0)),BF118,INDEX('[1]Définition Maintenances'!$G:$G,MATCH($A118,'[1]Définition Maintenances'!$K:$K,0))+BF118),BF118))</f>
        <v>670</v>
      </c>
      <c r="BH118" s="26">
        <f>IF(ISNUMBER(VLOOKUP($D118,'Visu totale'!$D:$DH,BH$1,0)),BG118-VLOOKUP($D118,'Visu totale'!$D:$DH,BH$1,0),IF(LEFT(VLOOKUP($D118,'Visu totale'!$D:$DH,BH$1,0),1)="V",IF(BG118&gt;=INDEX('[1]Définition Maintenances'!$G:$G,MATCH($A118,'[1]Définition Maintenances'!$K:$K,0)),BG118,INDEX('[1]Définition Maintenances'!$G:$G,MATCH($A118,'[1]Définition Maintenances'!$K:$K,0))+BG118),BG118))</f>
        <v>670</v>
      </c>
      <c r="BI118" s="26">
        <f>IF(ISNUMBER(VLOOKUP($D118,'Visu totale'!$D:$DH,BI$1,0)),BH118-VLOOKUP($D118,'Visu totale'!$D:$DH,BI$1,0),IF(LEFT(VLOOKUP($D118,'Visu totale'!$D:$DH,BI$1,0),1)="V",IF(BH118&gt;=INDEX('[1]Définition Maintenances'!$G:$G,MATCH($A118,'[1]Définition Maintenances'!$K:$K,0)),BH118,INDEX('[1]Définition Maintenances'!$G:$G,MATCH($A118,'[1]Définition Maintenances'!$K:$K,0))+BH118),BH118))</f>
        <v>670</v>
      </c>
      <c r="BJ118" s="26">
        <f>IF(ISNUMBER(VLOOKUP($D118,'Visu totale'!$D:$DH,BJ$1,0)),BI118-VLOOKUP($D118,'Visu totale'!$D:$DH,BJ$1,0),IF(LEFT(VLOOKUP($D118,'Visu totale'!$D:$DH,BJ$1,0),1)="V",IF(BI118&gt;=INDEX('[1]Définition Maintenances'!$G:$G,MATCH($A118,'[1]Définition Maintenances'!$K:$K,0)),BI118,INDEX('[1]Définition Maintenances'!$G:$G,MATCH($A118,'[1]Définition Maintenances'!$K:$K,0))+BI118),BI118))</f>
        <v>670</v>
      </c>
      <c r="BK118" s="26">
        <f>IF(ISNUMBER(VLOOKUP($D118,'Visu totale'!$D:$DH,BK$1,0)),BJ118-VLOOKUP($D118,'Visu totale'!$D:$DH,BK$1,0),IF(LEFT(VLOOKUP($D118,'Visu totale'!$D:$DH,BK$1,0),1)="V",IF(BJ118&gt;=INDEX('[1]Définition Maintenances'!$G:$G,MATCH($A118,'[1]Définition Maintenances'!$K:$K,0)),BJ118,INDEX('[1]Définition Maintenances'!$G:$G,MATCH($A118,'[1]Définition Maintenances'!$K:$K,0))+BJ118),BJ118))</f>
        <v>670</v>
      </c>
      <c r="BL118" s="26">
        <f>IF(ISNUMBER(VLOOKUP($D118,'Visu totale'!$D:$DH,BL$1,0)),BK118-VLOOKUP($D118,'Visu totale'!$D:$DH,BL$1,0),IF(LEFT(VLOOKUP($D118,'Visu totale'!$D:$DH,BL$1,0),1)="V",IF(BK118&gt;=INDEX('[1]Définition Maintenances'!$G:$G,MATCH($A118,'[1]Définition Maintenances'!$K:$K,0)),BK118,INDEX('[1]Définition Maintenances'!$G:$G,MATCH($A118,'[1]Définition Maintenances'!$K:$K,0))+BK118),BK118))</f>
        <v>670</v>
      </c>
      <c r="BM118" s="27">
        <f>IF(ISNUMBER(VLOOKUP($D118,'Visu totale'!$D:$DH,BM$1,0)),BL118-VLOOKUP($D118,'Visu totale'!$D:$DH,BM$1,0),IF(LEFT(VLOOKUP($D118,'Visu totale'!$D:$DH,BM$1,0),1)="V",IF(BL118&gt;=INDEX('[1]Définition Maintenances'!$G:$G,MATCH($A118,'[1]Définition Maintenances'!$K:$K,0)),BL118,INDEX('[1]Définition Maintenances'!$G:$G,MATCH($A118,'[1]Définition Maintenances'!$K:$K,0))+BL118),BL118))</f>
        <v>670</v>
      </c>
      <c r="BN118" s="25">
        <f>IF(ISNUMBER(VLOOKUP($D118,'Visu totale'!$D:$DH,BN$1,0)),BM118-VLOOKUP($D118,'Visu totale'!$D:$DH,BN$1,0),IF(LEFT(VLOOKUP($D118,'Visu totale'!$D:$DH,BN$1,0),1)="V",IF(BM118&gt;=INDEX('[1]Définition Maintenances'!$G:$G,MATCH($A118,'[1]Définition Maintenances'!$K:$K,0)),BM118,INDEX('[1]Définition Maintenances'!$G:$G,MATCH($A118,'[1]Définition Maintenances'!$K:$K,0))+BM118),BM118))</f>
        <v>670</v>
      </c>
      <c r="BO118" s="26">
        <f>IF(ISNUMBER(VLOOKUP($D118,'Visu totale'!$D:$DH,BO$1,0)),BN118-VLOOKUP($D118,'Visu totale'!$D:$DH,BO$1,0),IF(LEFT(VLOOKUP($D118,'Visu totale'!$D:$DH,BO$1,0),1)="V",IF(BN118&gt;=INDEX('[1]Définition Maintenances'!$G:$G,MATCH($A118,'[1]Définition Maintenances'!$K:$K,0)),BN118,INDEX('[1]Définition Maintenances'!$G:$G,MATCH($A118,'[1]Définition Maintenances'!$K:$K,0))+BN118),BN118))</f>
        <v>670</v>
      </c>
      <c r="BP118" s="26">
        <f>IF(ISNUMBER(VLOOKUP($D118,'Visu totale'!$D:$DH,BP$1,0)),BO118-VLOOKUP($D118,'Visu totale'!$D:$DH,BP$1,0),IF(LEFT(VLOOKUP($D118,'Visu totale'!$D:$DH,BP$1,0),1)="V",IF(BO118&gt;=INDEX('[1]Définition Maintenances'!$G:$G,MATCH($A118,'[1]Définition Maintenances'!$K:$K,0)),BO118,INDEX('[1]Définition Maintenances'!$G:$G,MATCH($A118,'[1]Définition Maintenances'!$K:$K,0))+BO118),BO118))</f>
        <v>670</v>
      </c>
      <c r="BQ118" s="26">
        <f>IF(ISNUMBER(VLOOKUP($D118,'Visu totale'!$D:$DH,BQ$1,0)),BP118-VLOOKUP($D118,'Visu totale'!$D:$DH,BQ$1,0),IF(LEFT(VLOOKUP($D118,'Visu totale'!$D:$DH,BQ$1,0),1)="V",IF(BP118&gt;=INDEX('[1]Définition Maintenances'!$G:$G,MATCH($A118,'[1]Définition Maintenances'!$K:$K,0)),BP118,INDEX('[1]Définition Maintenances'!$G:$G,MATCH($A118,'[1]Définition Maintenances'!$K:$K,0))+BP118),BP118))</f>
        <v>670</v>
      </c>
      <c r="BR118" s="26">
        <f>IF(ISNUMBER(VLOOKUP($D118,'Visu totale'!$D:$DH,BR$1,0)),BQ118-VLOOKUP($D118,'Visu totale'!$D:$DH,BR$1,0),IF(LEFT(VLOOKUP($D118,'Visu totale'!$D:$DH,BR$1,0),1)="V",IF(BQ118&gt;=INDEX('[1]Définition Maintenances'!$G:$G,MATCH($A118,'[1]Définition Maintenances'!$K:$K,0)),BQ118,INDEX('[1]Définition Maintenances'!$G:$G,MATCH($A118,'[1]Définition Maintenances'!$K:$K,0))+BQ118),BQ118))</f>
        <v>670</v>
      </c>
      <c r="BS118" s="26">
        <f>IF(ISNUMBER(VLOOKUP($D118,'Visu totale'!$D:$DH,BS$1,0)),BR118-VLOOKUP($D118,'Visu totale'!$D:$DH,BS$1,0),IF(LEFT(VLOOKUP($D118,'Visu totale'!$D:$DH,BS$1,0),1)="V",IF(BR118&gt;=INDEX('[1]Définition Maintenances'!$G:$G,MATCH($A118,'[1]Définition Maintenances'!$K:$K,0)),BR118,INDEX('[1]Définition Maintenances'!$G:$G,MATCH($A118,'[1]Définition Maintenances'!$K:$K,0))+BR118),BR118))</f>
        <v>670</v>
      </c>
      <c r="BT118" s="26">
        <f>IF(ISNUMBER(VLOOKUP($D118,'Visu totale'!$D:$DH,BT$1,0)),BS118-VLOOKUP($D118,'Visu totale'!$D:$DH,BT$1,0),IF(LEFT(VLOOKUP($D118,'Visu totale'!$D:$DH,BT$1,0),1)="V",IF(BS118&gt;=INDEX('[1]Définition Maintenances'!$G:$G,MATCH($A118,'[1]Définition Maintenances'!$K:$K,0)),BS118,INDEX('[1]Définition Maintenances'!$G:$G,MATCH($A118,'[1]Définition Maintenances'!$K:$K,0))+BS118),BS118))</f>
        <v>670</v>
      </c>
      <c r="BU118" s="26">
        <f>IF(ISNUMBER(VLOOKUP($D118,'Visu totale'!$D:$DH,BU$1,0)),BT118-VLOOKUP($D118,'Visu totale'!$D:$DH,BU$1,0),IF(LEFT(VLOOKUP($D118,'Visu totale'!$D:$DH,BU$1,0),1)="V",IF(BT118&gt;=INDEX('[1]Définition Maintenances'!$G:$G,MATCH($A118,'[1]Définition Maintenances'!$K:$K,0)),BT118,INDEX('[1]Définition Maintenances'!$G:$G,MATCH($A118,'[1]Définition Maintenances'!$K:$K,0))+BT118),BT118))</f>
        <v>670</v>
      </c>
      <c r="BV118" s="26">
        <f>IF(ISNUMBER(VLOOKUP($D118,'Visu totale'!$D:$DH,BV$1,0)),BU118-VLOOKUP($D118,'Visu totale'!$D:$DH,BV$1,0),IF(LEFT(VLOOKUP($D118,'Visu totale'!$D:$DH,BV$1,0),1)="V",IF(BU118&gt;=INDEX('[1]Définition Maintenances'!$G:$G,MATCH($A118,'[1]Définition Maintenances'!$K:$K,0)),BU118,INDEX('[1]Définition Maintenances'!$G:$G,MATCH($A118,'[1]Définition Maintenances'!$K:$K,0))+BU118),BU118))</f>
        <v>670</v>
      </c>
      <c r="BW118" s="26">
        <f>IF(ISNUMBER(VLOOKUP($D118,'Visu totale'!$D:$DH,BW$1,0)),BV118-VLOOKUP($D118,'Visu totale'!$D:$DH,BW$1,0),IF(LEFT(VLOOKUP($D118,'Visu totale'!$D:$DH,BW$1,0),1)="V",IF(BV118&gt;=INDEX('[1]Définition Maintenances'!$G:$G,MATCH($A118,'[1]Définition Maintenances'!$K:$K,0)),BV118,INDEX('[1]Définition Maintenances'!$G:$G,MATCH($A118,'[1]Définition Maintenances'!$K:$K,0))+BV118),BV118))</f>
        <v>670</v>
      </c>
      <c r="BX118" s="26">
        <f>IF(ISNUMBER(VLOOKUP($D118,'Visu totale'!$D:$DH,BX$1,0)),BW118-VLOOKUP($D118,'Visu totale'!$D:$DH,BX$1,0),IF(LEFT(VLOOKUP($D118,'Visu totale'!$D:$DH,BX$1,0),1)="V",IF(BW118&gt;=INDEX('[1]Définition Maintenances'!$G:$G,MATCH($A118,'[1]Définition Maintenances'!$K:$K,0)),BW118,INDEX('[1]Définition Maintenances'!$G:$G,MATCH($A118,'[1]Définition Maintenances'!$K:$K,0))+BW118),BW118))</f>
        <v>670</v>
      </c>
      <c r="BY118" s="27">
        <f>IF(ISNUMBER(VLOOKUP($D118,'Visu totale'!$D:$DH,BY$1,0)),BX118-VLOOKUP($D118,'Visu totale'!$D:$DH,BY$1,0),IF(LEFT(VLOOKUP($D118,'Visu totale'!$D:$DH,BY$1,0),1)="V",IF(BX118&gt;=INDEX('[1]Définition Maintenances'!$G:$G,MATCH($A118,'[1]Définition Maintenances'!$K:$K,0)),BX118,INDEX('[1]Définition Maintenances'!$G:$G,MATCH($A118,'[1]Définition Maintenances'!$K:$K,0))+BX118),BX118))</f>
        <v>670</v>
      </c>
      <c r="BZ118" s="25">
        <f>IF(ISNUMBER(VLOOKUP($D118,'Visu totale'!$D:$DH,BZ$1,0)),BY118-VLOOKUP($D118,'Visu totale'!$D:$DH,BZ$1,0),IF(LEFT(VLOOKUP($D118,'Visu totale'!$D:$DH,BZ$1,0),1)="V",IF(BY118&gt;=INDEX('[1]Définition Maintenances'!$G:$G,MATCH($A118,'[1]Définition Maintenances'!$K:$K,0)),BY118,INDEX('[1]Définition Maintenances'!$G:$G,MATCH($A118,'[1]Définition Maintenances'!$K:$K,0))+BY118),BY118))</f>
        <v>670</v>
      </c>
      <c r="CA118" s="26">
        <f>IF(ISNUMBER(VLOOKUP($D118,'Visu totale'!$D:$DH,CA$1,0)),BZ118-VLOOKUP($D118,'Visu totale'!$D:$DH,CA$1,0),IF(LEFT(VLOOKUP($D118,'Visu totale'!$D:$DH,CA$1,0),1)="V",IF(BZ118&gt;=INDEX('[1]Définition Maintenances'!$G:$G,MATCH($A118,'[1]Définition Maintenances'!$K:$K,0)),BZ118,INDEX('[1]Définition Maintenances'!$G:$G,MATCH($A118,'[1]Définition Maintenances'!$K:$K,0))+BZ118),BZ118))</f>
        <v>670</v>
      </c>
      <c r="CB118" s="26">
        <f>IF(ISNUMBER(VLOOKUP($D118,'Visu totale'!$D:$DH,CB$1,0)),CA118-VLOOKUP($D118,'Visu totale'!$D:$DH,CB$1,0),IF(LEFT(VLOOKUP($D118,'Visu totale'!$D:$DH,CB$1,0),1)="V",IF(CA118&gt;=INDEX('[1]Définition Maintenances'!$G:$G,MATCH($A118,'[1]Définition Maintenances'!$K:$K,0)),CA118,INDEX('[1]Définition Maintenances'!$G:$G,MATCH($A118,'[1]Définition Maintenances'!$K:$K,0))+CA118),CA118))</f>
        <v>670</v>
      </c>
      <c r="CC118" s="26">
        <f>IF(ISNUMBER(VLOOKUP($D118,'Visu totale'!$D:$DH,CC$1,0)),CB118-VLOOKUP($D118,'Visu totale'!$D:$DH,CC$1,0),IF(LEFT(VLOOKUP($D118,'Visu totale'!$D:$DH,CC$1,0),1)="V",IF(CB118&gt;=INDEX('[1]Définition Maintenances'!$G:$G,MATCH($A118,'[1]Définition Maintenances'!$K:$K,0)),CB118,INDEX('[1]Définition Maintenances'!$G:$G,MATCH($A118,'[1]Définition Maintenances'!$K:$K,0))+CB118),CB118))</f>
        <v>670</v>
      </c>
      <c r="CD118" s="26">
        <f>IF(ISNUMBER(VLOOKUP($D118,'Visu totale'!$D:$DH,CD$1,0)),CC118-VLOOKUP($D118,'Visu totale'!$D:$DH,CD$1,0),IF(LEFT(VLOOKUP($D118,'Visu totale'!$D:$DH,CD$1,0),1)="V",IF(CC118&gt;=INDEX('[1]Définition Maintenances'!$G:$G,MATCH($A118,'[1]Définition Maintenances'!$K:$K,0)),CC118,INDEX('[1]Définition Maintenances'!$G:$G,MATCH($A118,'[1]Définition Maintenances'!$K:$K,0))+CC118),CC118))</f>
        <v>670</v>
      </c>
      <c r="CE118" s="26">
        <f>IF(ISNUMBER(VLOOKUP($D118,'Visu totale'!$D:$DH,CE$1,0)),CD118-VLOOKUP($D118,'Visu totale'!$D:$DH,CE$1,0),IF(LEFT(VLOOKUP($D118,'Visu totale'!$D:$DH,CE$1,0),1)="V",IF(CD118&gt;=INDEX('[1]Définition Maintenances'!$G:$G,MATCH($A118,'[1]Définition Maintenances'!$K:$K,0)),CD118,INDEX('[1]Définition Maintenances'!$G:$G,MATCH($A118,'[1]Définition Maintenances'!$K:$K,0))+CD118),CD118))</f>
        <v>670</v>
      </c>
      <c r="CF118" s="26">
        <f>IF(ISNUMBER(VLOOKUP($D118,'Visu totale'!$D:$DH,CF$1,0)),CE118-VLOOKUP($D118,'Visu totale'!$D:$DH,CF$1,0),IF(LEFT(VLOOKUP($D118,'Visu totale'!$D:$DH,CF$1,0),1)="V",IF(CE118&gt;=INDEX('[1]Définition Maintenances'!$G:$G,MATCH($A118,'[1]Définition Maintenances'!$K:$K,0)),CE118,INDEX('[1]Définition Maintenances'!$G:$G,MATCH($A118,'[1]Définition Maintenances'!$K:$K,0))+CE118),CE118))</f>
        <v>670</v>
      </c>
      <c r="CG118" s="26">
        <f>IF(ISNUMBER(VLOOKUP($D118,'Visu totale'!$D:$DH,CG$1,0)),CF118-VLOOKUP($D118,'Visu totale'!$D:$DH,CG$1,0),IF(LEFT(VLOOKUP($D118,'Visu totale'!$D:$DH,CG$1,0),1)="V",IF(CF118&gt;=INDEX('[1]Définition Maintenances'!$G:$G,MATCH($A118,'[1]Définition Maintenances'!$K:$K,0)),CF118,INDEX('[1]Définition Maintenances'!$G:$G,MATCH($A118,'[1]Définition Maintenances'!$K:$K,0))+CF118),CF118))</f>
        <v>670</v>
      </c>
      <c r="CH118" s="26">
        <f>IF(ISNUMBER(VLOOKUP($D118,'Visu totale'!$D:$DH,CH$1,0)),CG118-VLOOKUP($D118,'Visu totale'!$D:$DH,CH$1,0),IF(LEFT(VLOOKUP($D118,'Visu totale'!$D:$DH,CH$1,0),1)="V",IF(CG118&gt;=INDEX('[1]Définition Maintenances'!$G:$G,MATCH($A118,'[1]Définition Maintenances'!$K:$K,0)),CG118,INDEX('[1]Définition Maintenances'!$G:$G,MATCH($A118,'[1]Définition Maintenances'!$K:$K,0))+CG118),CG118))</f>
        <v>670</v>
      </c>
      <c r="CI118" s="26">
        <f>IF(ISNUMBER(VLOOKUP($D118,'Visu totale'!$D:$DH,CI$1,0)),CH118-VLOOKUP($D118,'Visu totale'!$D:$DH,CI$1,0),IF(LEFT(VLOOKUP($D118,'Visu totale'!$D:$DH,CI$1,0),1)="V",IF(CH118&gt;=INDEX('[1]Définition Maintenances'!$G:$G,MATCH($A118,'[1]Définition Maintenances'!$K:$K,0)),CH118,INDEX('[1]Définition Maintenances'!$G:$G,MATCH($A118,'[1]Définition Maintenances'!$K:$K,0))+CH118),CH118))</f>
        <v>670</v>
      </c>
      <c r="CJ118" s="26">
        <f>IF(ISNUMBER(VLOOKUP($D118,'Visu totale'!$D:$DH,CJ$1,0)),CI118-VLOOKUP($D118,'Visu totale'!$D:$DH,CJ$1,0),IF(LEFT(VLOOKUP($D118,'Visu totale'!$D:$DH,CJ$1,0),1)="V",IF(CI118&gt;=INDEX('[1]Définition Maintenances'!$G:$G,MATCH($A118,'[1]Définition Maintenances'!$K:$K,0)),CI118,INDEX('[1]Définition Maintenances'!$G:$G,MATCH($A118,'[1]Définition Maintenances'!$K:$K,0))+CI118),CI118))</f>
        <v>670</v>
      </c>
      <c r="CK118" s="27">
        <f>IF(ISNUMBER(VLOOKUP($D118,'Visu totale'!$D:$DH,CK$1,0)),CJ118-VLOOKUP($D118,'Visu totale'!$D:$DH,CK$1,0),IF(LEFT(VLOOKUP($D118,'Visu totale'!$D:$DH,CK$1,0),1)="V",IF(CJ118&gt;=INDEX('[1]Définition Maintenances'!$G:$G,MATCH($A118,'[1]Définition Maintenances'!$K:$K,0)),CJ118,INDEX('[1]Définition Maintenances'!$G:$G,MATCH($A118,'[1]Définition Maintenances'!$K:$K,0))+CJ118),CJ118))</f>
        <v>670</v>
      </c>
      <c r="CL118" s="25">
        <f>IF(ISNUMBER(VLOOKUP($D118,'Visu totale'!$D:$DH,CL$1,0)),CK118-VLOOKUP($D118,'Visu totale'!$D:$DH,CL$1,0),IF(LEFT(VLOOKUP($D118,'Visu totale'!$D:$DH,CL$1,0),1)="V",IF(CK118&gt;=INDEX('[1]Définition Maintenances'!$G:$G,MATCH($A118,'[1]Définition Maintenances'!$K:$K,0)),CK118,INDEX('[1]Définition Maintenances'!$G:$G,MATCH($A118,'[1]Définition Maintenances'!$K:$K,0))+CK118),CK118))</f>
        <v>670</v>
      </c>
      <c r="CM118" s="26">
        <f>IF(ISNUMBER(VLOOKUP($D118,'Visu totale'!$D:$DH,CM$1,0)),CL118-VLOOKUP($D118,'Visu totale'!$D:$DH,CM$1,0),IF(LEFT(VLOOKUP($D118,'Visu totale'!$D:$DH,CM$1,0),1)="V",IF(CL118&gt;=INDEX('[1]Définition Maintenances'!$G:$G,MATCH($A118,'[1]Définition Maintenances'!$K:$K,0)),CL118,INDEX('[1]Définition Maintenances'!$G:$G,MATCH($A118,'[1]Définition Maintenances'!$K:$K,0))+CL118),CL118))</f>
        <v>670</v>
      </c>
      <c r="CN118" s="26">
        <f>IF(ISNUMBER(VLOOKUP($D118,'Visu totale'!$D:$DH,CN$1,0)),CM118-VLOOKUP($D118,'Visu totale'!$D:$DH,CN$1,0),IF(LEFT(VLOOKUP($D118,'Visu totale'!$D:$DH,CN$1,0),1)="V",IF(CM118&gt;=INDEX('[1]Définition Maintenances'!$G:$G,MATCH($A118,'[1]Définition Maintenances'!$K:$K,0)),CM118,INDEX('[1]Définition Maintenances'!$G:$G,MATCH($A118,'[1]Définition Maintenances'!$K:$K,0))+CM118),CM118))</f>
        <v>670</v>
      </c>
      <c r="CO118" s="26">
        <f>IF(ISNUMBER(VLOOKUP($D118,'Visu totale'!$D:$DH,CO$1,0)),CN118-VLOOKUP($D118,'Visu totale'!$D:$DH,CO$1,0),IF(LEFT(VLOOKUP($D118,'Visu totale'!$D:$DH,CO$1,0),1)="V",IF(CN118&gt;=INDEX('[1]Définition Maintenances'!$G:$G,MATCH($A118,'[1]Définition Maintenances'!$K:$K,0)),CN118,INDEX('[1]Définition Maintenances'!$G:$G,MATCH($A118,'[1]Définition Maintenances'!$K:$K,0))+CN118),CN118))</f>
        <v>670</v>
      </c>
      <c r="CP118" s="26">
        <f>IF(ISNUMBER(VLOOKUP($D118,'Visu totale'!$D:$DH,CP$1,0)),CO118-VLOOKUP($D118,'Visu totale'!$D:$DH,CP$1,0),IF(LEFT(VLOOKUP($D118,'Visu totale'!$D:$DH,CP$1,0),1)="V",IF(CO118&gt;=INDEX('[1]Définition Maintenances'!$G:$G,MATCH($A118,'[1]Définition Maintenances'!$K:$K,0)),CO118,INDEX('[1]Définition Maintenances'!$G:$G,MATCH($A118,'[1]Définition Maintenances'!$K:$K,0))+CO118),CO118))</f>
        <v>670</v>
      </c>
      <c r="CQ118" s="26">
        <f>IF(ISNUMBER(VLOOKUP($D118,'Visu totale'!$D:$DH,CQ$1,0)),CP118-VLOOKUP($D118,'Visu totale'!$D:$DH,CQ$1,0),IF(LEFT(VLOOKUP($D118,'Visu totale'!$D:$DH,CQ$1,0),1)="V",IF(CP118&gt;=INDEX('[1]Définition Maintenances'!$G:$G,MATCH($A118,'[1]Définition Maintenances'!$K:$K,0)),CP118,INDEX('[1]Définition Maintenances'!$G:$G,MATCH($A118,'[1]Définition Maintenances'!$K:$K,0))+CP118),CP118))</f>
        <v>670</v>
      </c>
      <c r="CR118" s="26">
        <f>IF(ISNUMBER(VLOOKUP($D118,'Visu totale'!$D:$DH,CR$1,0)),CQ118-VLOOKUP($D118,'Visu totale'!$D:$DH,CR$1,0),IF(LEFT(VLOOKUP($D118,'Visu totale'!$D:$DH,CR$1,0),1)="V",IF(CQ118&gt;=INDEX('[1]Définition Maintenances'!$G:$G,MATCH($A118,'[1]Définition Maintenances'!$K:$K,0)),CQ118,INDEX('[1]Définition Maintenances'!$G:$G,MATCH($A118,'[1]Définition Maintenances'!$K:$K,0))+CQ118),CQ118))</f>
        <v>670</v>
      </c>
      <c r="CS118" s="26">
        <f>IF(ISNUMBER(VLOOKUP($D118,'Visu totale'!$D:$DH,CS$1,0)),CR118-VLOOKUP($D118,'Visu totale'!$D:$DH,CS$1,0),IF(LEFT(VLOOKUP($D118,'Visu totale'!$D:$DH,CS$1,0),1)="V",IF(CR118&gt;=INDEX('[1]Définition Maintenances'!$G:$G,MATCH($A118,'[1]Définition Maintenances'!$K:$K,0)),CR118,INDEX('[1]Définition Maintenances'!$G:$G,MATCH($A118,'[1]Définition Maintenances'!$K:$K,0))+CR118),CR118))</f>
        <v>670</v>
      </c>
      <c r="CT118" s="26">
        <f>IF(ISNUMBER(VLOOKUP($D118,'Visu totale'!$D:$DH,CT$1,0)),CS118-VLOOKUP($D118,'Visu totale'!$D:$DH,CT$1,0),IF(LEFT(VLOOKUP($D118,'Visu totale'!$D:$DH,CT$1,0),1)="V",IF(CS118&gt;=INDEX('[1]Définition Maintenances'!$G:$G,MATCH($A118,'[1]Définition Maintenances'!$K:$K,0)),CS118,INDEX('[1]Définition Maintenances'!$G:$G,MATCH($A118,'[1]Définition Maintenances'!$K:$K,0))+CS118),CS118))</f>
        <v>670</v>
      </c>
      <c r="CU118" s="26">
        <f>IF(ISNUMBER(VLOOKUP($D118,'Visu totale'!$D:$DH,CU$1,0)),CT118-VLOOKUP($D118,'Visu totale'!$D:$DH,CU$1,0),IF(LEFT(VLOOKUP($D118,'Visu totale'!$D:$DH,CU$1,0),1)="V",IF(CT118&gt;=INDEX('[1]Définition Maintenances'!$G:$G,MATCH($A118,'[1]Définition Maintenances'!$K:$K,0)),CT118,INDEX('[1]Définition Maintenances'!$G:$G,MATCH($A118,'[1]Définition Maintenances'!$K:$K,0))+CT118),CT118))</f>
        <v>670</v>
      </c>
      <c r="CV118" s="26">
        <f>IF(ISNUMBER(VLOOKUP($D118,'Visu totale'!$D:$DH,CV$1,0)),CU118-VLOOKUP($D118,'Visu totale'!$D:$DH,CV$1,0),IF(LEFT(VLOOKUP($D118,'Visu totale'!$D:$DH,CV$1,0),1)="V",IF(CU118&gt;=INDEX('[1]Définition Maintenances'!$G:$G,MATCH($A118,'[1]Définition Maintenances'!$K:$K,0)),CU118,INDEX('[1]Définition Maintenances'!$G:$G,MATCH($A118,'[1]Définition Maintenances'!$K:$K,0))+CU118),CU118))</f>
        <v>670</v>
      </c>
      <c r="CW118" s="27">
        <f>IF(ISNUMBER(VLOOKUP($D118,'Visu totale'!$D:$DH,CW$1,0)),CV118-VLOOKUP($D118,'Visu totale'!$D:$DH,CW$1,0),IF(LEFT(VLOOKUP($D118,'Visu totale'!$D:$DH,CW$1,0),1)="V",IF(CV118&gt;=INDEX('[1]Définition Maintenances'!$G:$G,MATCH($A118,'[1]Définition Maintenances'!$K:$K,0)),CV118,INDEX('[1]Définition Maintenances'!$G:$G,MATCH($A118,'[1]Définition Maintenances'!$K:$K,0))+CV118),CV118))</f>
        <v>670</v>
      </c>
      <c r="CX118" s="25">
        <f>IF(ISNUMBER(VLOOKUP($D118,'Visu totale'!$D:$DH,CX$1,0)),CW118-VLOOKUP($D118,'Visu totale'!$D:$DH,CX$1,0),IF(LEFT(VLOOKUP($D118,'Visu totale'!$D:$DH,CX$1,0),1)="V",IF(CW118&gt;=INDEX('[1]Définition Maintenances'!$G:$G,MATCH($A118,'[1]Définition Maintenances'!$K:$K,0)),CW118,INDEX('[1]Définition Maintenances'!$G:$G,MATCH($A118,'[1]Définition Maintenances'!$K:$K,0))+CW118),CW118))</f>
        <v>670</v>
      </c>
      <c r="CY118" s="26">
        <f>IF(ISNUMBER(VLOOKUP($D118,'Visu totale'!$D:$DH,CY$1,0)),CX118-VLOOKUP($D118,'Visu totale'!$D:$DH,CY$1,0),IF(LEFT(VLOOKUP($D118,'Visu totale'!$D:$DH,CY$1,0),1)="V",IF(CX118&gt;=INDEX('[1]Définition Maintenances'!$G:$G,MATCH($A118,'[1]Définition Maintenances'!$K:$K,0)),CX118,INDEX('[1]Définition Maintenances'!$G:$G,MATCH($A118,'[1]Définition Maintenances'!$K:$K,0))+CX118),CX118))</f>
        <v>670</v>
      </c>
      <c r="CZ118" s="26">
        <f>IF(ISNUMBER(VLOOKUP($D118,'Visu totale'!$D:$DH,CZ$1,0)),CY118-VLOOKUP($D118,'Visu totale'!$D:$DH,CZ$1,0),IF(LEFT(VLOOKUP($D118,'Visu totale'!$D:$DH,CZ$1,0),1)="V",IF(CY118&gt;=INDEX('[1]Définition Maintenances'!$G:$G,MATCH($A118,'[1]Définition Maintenances'!$K:$K,0)),CY118,INDEX('[1]Définition Maintenances'!$G:$G,MATCH($A118,'[1]Définition Maintenances'!$K:$K,0))+CY118),CY118))</f>
        <v>670</v>
      </c>
      <c r="DA118" s="26">
        <f>IF(ISNUMBER(VLOOKUP($D118,'Visu totale'!$D:$DH,DA$1,0)),CZ118-VLOOKUP($D118,'Visu totale'!$D:$DH,DA$1,0),IF(LEFT(VLOOKUP($D118,'Visu totale'!$D:$DH,DA$1,0),1)="V",IF(CZ118&gt;=INDEX('[1]Définition Maintenances'!$G:$G,MATCH($A118,'[1]Définition Maintenances'!$K:$K,0)),CZ118,INDEX('[1]Définition Maintenances'!$G:$G,MATCH($A118,'[1]Définition Maintenances'!$K:$K,0))+CZ118),CZ118))</f>
        <v>670</v>
      </c>
      <c r="DB118" s="26">
        <f>IF(ISNUMBER(VLOOKUP($D118,'Visu totale'!$D:$DH,DB$1,0)),DA118-VLOOKUP($D118,'Visu totale'!$D:$DH,DB$1,0),IF(LEFT(VLOOKUP($D118,'Visu totale'!$D:$DH,DB$1,0),1)="V",IF(DA118&gt;=INDEX('[1]Définition Maintenances'!$G:$G,MATCH($A118,'[1]Définition Maintenances'!$K:$K,0)),DA118,INDEX('[1]Définition Maintenances'!$G:$G,MATCH($A118,'[1]Définition Maintenances'!$K:$K,0))+DA118),DA118))</f>
        <v>670</v>
      </c>
      <c r="DC118" s="26">
        <f>IF(ISNUMBER(VLOOKUP($D118,'Visu totale'!$D:$DH,DC$1,0)),DB118-VLOOKUP($D118,'Visu totale'!$D:$DH,DC$1,0),IF(LEFT(VLOOKUP($D118,'Visu totale'!$D:$DH,DC$1,0),1)="V",IF(DB118&gt;=INDEX('[1]Définition Maintenances'!$G:$G,MATCH($A118,'[1]Définition Maintenances'!$K:$K,0)),DB118,INDEX('[1]Définition Maintenances'!$G:$G,MATCH($A118,'[1]Définition Maintenances'!$K:$K,0))+DB118),DB118))</f>
        <v>670</v>
      </c>
      <c r="DD118" s="26">
        <f>IF(ISNUMBER(VLOOKUP($D118,'Visu totale'!$D:$DH,DD$1,0)),DC118-VLOOKUP($D118,'Visu totale'!$D:$DH,DD$1,0),IF(LEFT(VLOOKUP($D118,'Visu totale'!$D:$DH,DD$1,0),1)="V",IF(DC118&gt;=INDEX('[1]Définition Maintenances'!$G:$G,MATCH($A118,'[1]Définition Maintenances'!$K:$K,0)),DC118,INDEX('[1]Définition Maintenances'!$G:$G,MATCH($A118,'[1]Définition Maintenances'!$K:$K,0))+DC118),DC118))</f>
        <v>670</v>
      </c>
      <c r="DE118" s="26">
        <f>IF(ISNUMBER(VLOOKUP($D118,'Visu totale'!$D:$DH,DE$1,0)),DD118-VLOOKUP($D118,'Visu totale'!$D:$DH,DE$1,0),IF(LEFT(VLOOKUP($D118,'Visu totale'!$D:$DH,DE$1,0),1)="V",IF(DD118&gt;=INDEX('[1]Définition Maintenances'!$G:$G,MATCH($A118,'[1]Définition Maintenances'!$K:$K,0)),DD118,INDEX('[1]Définition Maintenances'!$G:$G,MATCH($A118,'[1]Définition Maintenances'!$K:$K,0))+DD118),DD118))</f>
        <v>670</v>
      </c>
      <c r="DF118" s="26">
        <f>IF(ISNUMBER(VLOOKUP($D118,'Visu totale'!$D:$DH,DF$1,0)),DE118-VLOOKUP($D118,'Visu totale'!$D:$DH,DF$1,0),IF(LEFT(VLOOKUP($D118,'Visu totale'!$D:$DH,DF$1,0),1)="V",IF(DE118&gt;=INDEX('[1]Définition Maintenances'!$G:$G,MATCH($A118,'[1]Définition Maintenances'!$K:$K,0)),DE118,INDEX('[1]Définition Maintenances'!$G:$G,MATCH($A118,'[1]Définition Maintenances'!$K:$K,0))+DE118),DE118))</f>
        <v>670</v>
      </c>
      <c r="DG118" s="26">
        <f>IF(ISNUMBER(VLOOKUP($D118,'Visu totale'!$D:$DH,DG$1,0)),DF118-VLOOKUP($D118,'Visu totale'!$D:$DH,DG$1,0),IF(LEFT(VLOOKUP($D118,'Visu totale'!$D:$DH,DG$1,0),1)="V",IF(DF118&gt;=INDEX('[1]Définition Maintenances'!$G:$G,MATCH($A118,'[1]Définition Maintenances'!$K:$K,0)),DF118,INDEX('[1]Définition Maintenances'!$G:$G,MATCH($A118,'[1]Définition Maintenances'!$K:$K,0))+DF118),DF118))</f>
        <v>670</v>
      </c>
      <c r="DH118" s="26">
        <f>IF(ISNUMBER(VLOOKUP($D118,'Visu totale'!$D:$DH,DH$1,0)),DG118-VLOOKUP($D118,'Visu totale'!$D:$DH,DH$1,0),IF(LEFT(VLOOKUP($D118,'Visu totale'!$D:$DH,DH$1,0),1)="V",IF(DG118&gt;=INDEX('[1]Définition Maintenances'!$G:$G,MATCH($A118,'[1]Définition Maintenances'!$K:$K,0)),DG118,INDEX('[1]Définition Maintenances'!$G:$G,MATCH($A118,'[1]Définition Maintenances'!$K:$K,0))+DG118),DG118))</f>
        <v>670</v>
      </c>
      <c r="DI118" s="27">
        <f>IF(ISNUMBER(VLOOKUP($D118,'Visu totale'!$D:$DH,DI$1,0)),DH118-VLOOKUP($D118,'Visu totale'!$D:$DH,DI$1,0),IF(LEFT(VLOOKUP($D118,'Visu totale'!$D:$DH,DI$1,0),1)="V",IF(DH118&gt;=INDEX('[1]Définition Maintenances'!$G:$G,MATCH($A118,'[1]Définition Maintenances'!$K:$K,0)),DH118,INDEX('[1]Définition Maintenances'!$G:$G,MATCH($A118,'[1]Définition Maintenances'!$K:$K,0))+DH118),DH118))</f>
        <v>670</v>
      </c>
    </row>
    <row r="119" spans="1:113" x14ac:dyDescent="0.25">
      <c r="A119" s="13" t="str">
        <f t="shared" si="3"/>
        <v>V155</v>
      </c>
      <c r="B119" s="13" t="str">
        <f>VLOOKUP(D119,'[1]Avions (Potentiels)'!$B$2:$H$128,7,FALSE)</f>
        <v>V15</v>
      </c>
      <c r="C119" s="13"/>
      <c r="D119" s="16" t="s">
        <v>122</v>
      </c>
      <c r="E119" s="13">
        <f>IFERROR(VALUE(SUBSTITUTE(VLOOKUP(D119,'[1]Avions (Potentiels)'!$B:$E,4,0),".",",")),VALUE(VLOOKUP(D119,'[1]Avions (Potentiels)'!$B:$E,4,0)))</f>
        <v>867</v>
      </c>
      <c r="F119" s="25">
        <f>IF(ISNUMBER(VLOOKUP($D119,'Visu totale'!$D:$DH,F$1,0)),E119-VLOOKUP($D119,'Visu totale'!$D:$DH,F$1,0),IF(LEFT(VLOOKUP($D119,'Visu totale'!$D:$DH,F$1,0),1)="V",IF(E119&gt;=INDEX('[1]Définition Maintenances'!$G:$G,MATCH($A119,'[1]Définition Maintenances'!$K:$K,0)),E119,INDEX('[1]Définition Maintenances'!$G:$G,MATCH($A119,'[1]Définition Maintenances'!$K:$K,0))+E119),E119))</f>
        <v>867</v>
      </c>
      <c r="G119" s="26">
        <f>IF(ISNUMBER(VLOOKUP($D119,'Visu totale'!$D:$DH,G$1,0)),F119-VLOOKUP($D119,'Visu totale'!$D:$DH,G$1,0),IF(LEFT(VLOOKUP($D119,'Visu totale'!$D:$DH,G$1,0),1)="V",IF(F119&gt;=INDEX('[1]Définition Maintenances'!$G:$G,MATCH($A119,'[1]Définition Maintenances'!$K:$K,0)),F119,INDEX('[1]Définition Maintenances'!$G:$G,MATCH($A119,'[1]Définition Maintenances'!$K:$K,0))+F119),F119))</f>
        <v>867</v>
      </c>
      <c r="H119" s="26">
        <f>IF(ISNUMBER(VLOOKUP($D119,'Visu totale'!$D:$DH,H$1,0)),G119-VLOOKUP($D119,'Visu totale'!$D:$DH,H$1,0),IF(LEFT(VLOOKUP($D119,'Visu totale'!$D:$DH,H$1,0),1)="V",IF(G119&gt;=INDEX('[1]Définition Maintenances'!$G:$G,MATCH($A119,'[1]Définition Maintenances'!$K:$K,0)),G119,INDEX('[1]Définition Maintenances'!$G:$G,MATCH($A119,'[1]Définition Maintenances'!$K:$K,0))+G119),G119))</f>
        <v>867</v>
      </c>
      <c r="I119" s="26">
        <f>IF(ISNUMBER(VLOOKUP($D119,'Visu totale'!$D:$DH,I$1,0)),H119-VLOOKUP($D119,'Visu totale'!$D:$DH,I$1,0),IF(LEFT(VLOOKUP($D119,'Visu totale'!$D:$DH,I$1,0),1)="V",IF(H119&gt;=INDEX('[1]Définition Maintenances'!$G:$G,MATCH($A119,'[1]Définition Maintenances'!$K:$K,0)),H119,INDEX('[1]Définition Maintenances'!$G:$G,MATCH($A119,'[1]Définition Maintenances'!$K:$K,0))+H119),H119))</f>
        <v>867</v>
      </c>
      <c r="J119" s="26">
        <f>IF(ISNUMBER(VLOOKUP($D119,'Visu totale'!$D:$DH,J$1,0)),I119-VLOOKUP($D119,'Visu totale'!$D:$DH,J$1,0),IF(LEFT(VLOOKUP($D119,'Visu totale'!$D:$DH,J$1,0),1)="V",IF(I119&gt;=INDEX('[1]Définition Maintenances'!$G:$G,MATCH($A119,'[1]Définition Maintenances'!$K:$K,0)),I119,INDEX('[1]Définition Maintenances'!$G:$G,MATCH($A119,'[1]Définition Maintenances'!$K:$K,0))+I119),I119))</f>
        <v>867</v>
      </c>
      <c r="K119" s="26">
        <f>IF(ISNUMBER(VLOOKUP($D119,'Visu totale'!$D:$DH,K$1,0)),J119-VLOOKUP($D119,'Visu totale'!$D:$DH,K$1,0),IF(LEFT(VLOOKUP($D119,'Visu totale'!$D:$DH,K$1,0),1)="V",IF(J119&gt;=INDEX('[1]Définition Maintenances'!$G:$G,MATCH($A119,'[1]Définition Maintenances'!$K:$K,0)),J119,INDEX('[1]Définition Maintenances'!$G:$G,MATCH($A119,'[1]Définition Maintenances'!$K:$K,0))+J119),J119))</f>
        <v>867</v>
      </c>
      <c r="L119" s="26">
        <f>IF(ISNUMBER(VLOOKUP($D119,'Visu totale'!$D:$DH,L$1,0)),K119-VLOOKUP($D119,'Visu totale'!$D:$DH,L$1,0),IF(LEFT(VLOOKUP($D119,'Visu totale'!$D:$DH,L$1,0),1)="V",IF(K119&gt;=INDEX('[1]Définition Maintenances'!$G:$G,MATCH($A119,'[1]Définition Maintenances'!$K:$K,0)),K119,INDEX('[1]Définition Maintenances'!$G:$G,MATCH($A119,'[1]Définition Maintenances'!$K:$K,0))+K119),K119))</f>
        <v>867</v>
      </c>
      <c r="M119" s="26">
        <f>IF(ISNUMBER(VLOOKUP($D119,'Visu totale'!$D:$DH,M$1,0)),L119-VLOOKUP($D119,'Visu totale'!$D:$DH,M$1,0),IF(LEFT(VLOOKUP($D119,'Visu totale'!$D:$DH,M$1,0),1)="V",IF(L119&gt;=INDEX('[1]Définition Maintenances'!$G:$G,MATCH($A119,'[1]Définition Maintenances'!$K:$K,0)),L119,INDEX('[1]Définition Maintenances'!$G:$G,MATCH($A119,'[1]Définition Maintenances'!$K:$K,0))+L119),L119))</f>
        <v>867</v>
      </c>
      <c r="N119" s="26">
        <f>IF(ISNUMBER(VLOOKUP($D119,'Visu totale'!$D:$DH,N$1,0)),M119-VLOOKUP($D119,'Visu totale'!$D:$DH,N$1,0),IF(LEFT(VLOOKUP($D119,'Visu totale'!$D:$DH,N$1,0),1)="V",IF(M119&gt;=INDEX('[1]Définition Maintenances'!$G:$G,MATCH($A119,'[1]Définition Maintenances'!$K:$K,0)),M119,INDEX('[1]Définition Maintenances'!$G:$G,MATCH($A119,'[1]Définition Maintenances'!$K:$K,0))+M119),M119))</f>
        <v>867</v>
      </c>
      <c r="O119" s="26">
        <f>IF(ISNUMBER(VLOOKUP($D119,'Visu totale'!$D:$DH,O$1,0)),N119-VLOOKUP($D119,'Visu totale'!$D:$DH,O$1,0),IF(LEFT(VLOOKUP($D119,'Visu totale'!$D:$DH,O$1,0),1)="V",IF(N119&gt;=INDEX('[1]Définition Maintenances'!$G:$G,MATCH($A119,'[1]Définition Maintenances'!$K:$K,0)),N119,INDEX('[1]Définition Maintenances'!$G:$G,MATCH($A119,'[1]Définition Maintenances'!$K:$K,0))+N119),N119))</f>
        <v>867</v>
      </c>
      <c r="P119" s="26">
        <f>IF(ISNUMBER(VLOOKUP($D119,'Visu totale'!$D:$DH,P$1,0)),O119-VLOOKUP($D119,'Visu totale'!$D:$DH,P$1,0),IF(LEFT(VLOOKUP($D119,'Visu totale'!$D:$DH,P$1,0),1)="V",IF(O119&gt;=INDEX('[1]Définition Maintenances'!$G:$G,MATCH($A119,'[1]Définition Maintenances'!$K:$K,0)),O119,INDEX('[1]Définition Maintenances'!$G:$G,MATCH($A119,'[1]Définition Maintenances'!$K:$K,0))+O119),O119))</f>
        <v>867</v>
      </c>
      <c r="Q119" s="27">
        <f>IF(ISNUMBER(VLOOKUP($D119,'Visu totale'!$D:$DH,Q$1,0)),P119-VLOOKUP($D119,'Visu totale'!$D:$DH,Q$1,0),IF(LEFT(VLOOKUP($D119,'Visu totale'!$D:$DH,Q$1,0),1)="V",IF(P119&gt;=INDEX('[1]Définition Maintenances'!$G:$G,MATCH($A119,'[1]Définition Maintenances'!$K:$K,0)),P119,INDEX('[1]Définition Maintenances'!$G:$G,MATCH($A119,'[1]Définition Maintenances'!$K:$K,0))+P119),P119))</f>
        <v>867</v>
      </c>
      <c r="R119" s="25">
        <f>IF(ISNUMBER(VLOOKUP($D119,'Visu totale'!$D:$DH,R$1,0)),Q119-VLOOKUP($D119,'Visu totale'!$D:$DH,R$1,0),IF(LEFT(VLOOKUP($D119,'Visu totale'!$D:$DH,R$1,0),1)="V",IF(Q119&gt;=INDEX('[1]Définition Maintenances'!$G:$G,MATCH($A119,'[1]Définition Maintenances'!$K:$K,0)),Q119,INDEX('[1]Définition Maintenances'!$G:$G,MATCH($A119,'[1]Définition Maintenances'!$K:$K,0))+Q119),Q119))</f>
        <v>867</v>
      </c>
      <c r="S119" s="26">
        <f>IF(ISNUMBER(VLOOKUP($D119,'Visu totale'!$D:$DH,S$1,0)),R119-VLOOKUP($D119,'Visu totale'!$D:$DH,S$1,0),IF(LEFT(VLOOKUP($D119,'Visu totale'!$D:$DH,S$1,0),1)="V",IF(R119&gt;=INDEX('[1]Définition Maintenances'!$G:$G,MATCH($A119,'[1]Définition Maintenances'!$K:$K,0)),R119,INDEX('[1]Définition Maintenances'!$G:$G,MATCH($A119,'[1]Définition Maintenances'!$K:$K,0))+R119),R119))</f>
        <v>867</v>
      </c>
      <c r="T119" s="26">
        <f>IF(ISNUMBER(VLOOKUP($D119,'Visu totale'!$D:$DH,T$1,0)),S119-VLOOKUP($D119,'Visu totale'!$D:$DH,T$1,0),IF(LEFT(VLOOKUP($D119,'Visu totale'!$D:$DH,T$1,0),1)="V",IF(S119&gt;=INDEX('[1]Définition Maintenances'!$G:$G,MATCH($A119,'[1]Définition Maintenances'!$K:$K,0)),S119,INDEX('[1]Définition Maintenances'!$G:$G,MATCH($A119,'[1]Définition Maintenances'!$K:$K,0))+S119),S119))</f>
        <v>867</v>
      </c>
      <c r="U119" s="26">
        <f>IF(ISNUMBER(VLOOKUP($D119,'Visu totale'!$D:$DH,U$1,0)),T119-VLOOKUP($D119,'Visu totale'!$D:$DH,U$1,0),IF(LEFT(VLOOKUP($D119,'Visu totale'!$D:$DH,U$1,0),1)="V",IF(T119&gt;=INDEX('[1]Définition Maintenances'!$G:$G,MATCH($A119,'[1]Définition Maintenances'!$K:$K,0)),T119,INDEX('[1]Définition Maintenances'!$G:$G,MATCH($A119,'[1]Définition Maintenances'!$K:$K,0))+T119),T119))</f>
        <v>867</v>
      </c>
      <c r="V119" s="26">
        <f>IF(ISNUMBER(VLOOKUP($D119,'Visu totale'!$D:$DH,V$1,0)),U119-VLOOKUP($D119,'Visu totale'!$D:$DH,V$1,0),IF(LEFT(VLOOKUP($D119,'Visu totale'!$D:$DH,V$1,0),1)="V",IF(U119&gt;=INDEX('[1]Définition Maintenances'!$G:$G,MATCH($A119,'[1]Définition Maintenances'!$K:$K,0)),U119,INDEX('[1]Définition Maintenances'!$G:$G,MATCH($A119,'[1]Définition Maintenances'!$K:$K,0))+U119),U119))</f>
        <v>867</v>
      </c>
      <c r="W119" s="26">
        <f>IF(ISNUMBER(VLOOKUP($D119,'Visu totale'!$D:$DH,W$1,0)),V119-VLOOKUP($D119,'Visu totale'!$D:$DH,W$1,0),IF(LEFT(VLOOKUP($D119,'Visu totale'!$D:$DH,W$1,0),1)="V",IF(V119&gt;=INDEX('[1]Définition Maintenances'!$G:$G,MATCH($A119,'[1]Définition Maintenances'!$K:$K,0)),V119,INDEX('[1]Définition Maintenances'!$G:$G,MATCH($A119,'[1]Définition Maintenances'!$K:$K,0))+V119),V119))</f>
        <v>867</v>
      </c>
      <c r="X119" s="26">
        <f>IF(ISNUMBER(VLOOKUP($D119,'Visu totale'!$D:$DH,X$1,0)),W119-VLOOKUP($D119,'Visu totale'!$D:$DH,X$1,0),IF(LEFT(VLOOKUP($D119,'Visu totale'!$D:$DH,X$1,0),1)="V",IF(W119&gt;=INDEX('[1]Définition Maintenances'!$G:$G,MATCH($A119,'[1]Définition Maintenances'!$K:$K,0)),W119,INDEX('[1]Définition Maintenances'!$G:$G,MATCH($A119,'[1]Définition Maintenances'!$K:$K,0))+W119),W119))</f>
        <v>867</v>
      </c>
      <c r="Y119" s="26">
        <f>IF(ISNUMBER(VLOOKUP($D119,'Visu totale'!$D:$DH,Y$1,0)),X119-VLOOKUP($D119,'Visu totale'!$D:$DH,Y$1,0),IF(LEFT(VLOOKUP($D119,'Visu totale'!$D:$DH,Y$1,0),1)="V",IF(X119&gt;=INDEX('[1]Définition Maintenances'!$G:$G,MATCH($A119,'[1]Définition Maintenances'!$K:$K,0)),X119,INDEX('[1]Définition Maintenances'!$G:$G,MATCH($A119,'[1]Définition Maintenances'!$K:$K,0))+X119),X119))</f>
        <v>867</v>
      </c>
      <c r="Z119" s="26">
        <f>IF(ISNUMBER(VLOOKUP($D119,'Visu totale'!$D:$DH,Z$1,0)),Y119-VLOOKUP($D119,'Visu totale'!$D:$DH,Z$1,0),IF(LEFT(VLOOKUP($D119,'Visu totale'!$D:$DH,Z$1,0),1)="V",IF(Y119&gt;=INDEX('[1]Définition Maintenances'!$G:$G,MATCH($A119,'[1]Définition Maintenances'!$K:$K,0)),Y119,INDEX('[1]Définition Maintenances'!$G:$G,MATCH($A119,'[1]Définition Maintenances'!$K:$K,0))+Y119),Y119))</f>
        <v>867</v>
      </c>
      <c r="AA119" s="26">
        <f>IF(ISNUMBER(VLOOKUP($D119,'Visu totale'!$D:$DH,AA$1,0)),Z119-VLOOKUP($D119,'Visu totale'!$D:$DH,AA$1,0),IF(LEFT(VLOOKUP($D119,'Visu totale'!$D:$DH,AA$1,0),1)="V",IF(Z119&gt;=INDEX('[1]Définition Maintenances'!$G:$G,MATCH($A119,'[1]Définition Maintenances'!$K:$K,0)),Z119,INDEX('[1]Définition Maintenances'!$G:$G,MATCH($A119,'[1]Définition Maintenances'!$K:$K,0))+Z119),Z119))</f>
        <v>867</v>
      </c>
      <c r="AB119" s="26">
        <f>IF(ISNUMBER(VLOOKUP($D119,'Visu totale'!$D:$DH,AB$1,0)),AA119-VLOOKUP($D119,'Visu totale'!$D:$DH,AB$1,0),IF(LEFT(VLOOKUP($D119,'Visu totale'!$D:$DH,AB$1,0),1)="V",IF(AA119&gt;=INDEX('[1]Définition Maintenances'!$G:$G,MATCH($A119,'[1]Définition Maintenances'!$K:$K,0)),AA119,INDEX('[1]Définition Maintenances'!$G:$G,MATCH($A119,'[1]Définition Maintenances'!$K:$K,0))+AA119),AA119))</f>
        <v>867</v>
      </c>
      <c r="AC119" s="27">
        <f>IF(ISNUMBER(VLOOKUP($D119,'Visu totale'!$D:$DH,AC$1,0)),AB119-VLOOKUP($D119,'Visu totale'!$D:$DH,AC$1,0),IF(LEFT(VLOOKUP($D119,'Visu totale'!$D:$DH,AC$1,0),1)="V",IF(AB119&gt;=INDEX('[1]Définition Maintenances'!$G:$G,MATCH($A119,'[1]Définition Maintenances'!$K:$K,0)),AB119,INDEX('[1]Définition Maintenances'!$G:$G,MATCH($A119,'[1]Définition Maintenances'!$K:$K,0))+AB119),AB119))</f>
        <v>867</v>
      </c>
      <c r="AD119" s="25">
        <f>IF(ISNUMBER(VLOOKUP($D119,'Visu totale'!$D:$DH,AD$1,0)),AC119-VLOOKUP($D119,'Visu totale'!$D:$DH,AD$1,0),IF(LEFT(VLOOKUP($D119,'Visu totale'!$D:$DH,AD$1,0),1)="V",IF(AC119&gt;=INDEX('[1]Définition Maintenances'!$G:$G,MATCH($A119,'[1]Définition Maintenances'!$K:$K,0)),AC119,INDEX('[1]Définition Maintenances'!$G:$G,MATCH($A119,'[1]Définition Maintenances'!$K:$K,0))+AC119),AC119))</f>
        <v>867</v>
      </c>
      <c r="AE119" s="26">
        <f>IF(ISNUMBER(VLOOKUP($D119,'Visu totale'!$D:$DH,AE$1,0)),AD119-VLOOKUP($D119,'Visu totale'!$D:$DH,AE$1,0),IF(LEFT(VLOOKUP($D119,'Visu totale'!$D:$DH,AE$1,0),1)="V",IF(AD119&gt;=INDEX('[1]Définition Maintenances'!$G:$G,MATCH($A119,'[1]Définition Maintenances'!$K:$K,0)),AD119,INDEX('[1]Définition Maintenances'!$G:$G,MATCH($A119,'[1]Définition Maintenances'!$K:$K,0))+AD119),AD119))</f>
        <v>867</v>
      </c>
      <c r="AF119" s="26">
        <f>IF(ISNUMBER(VLOOKUP($D119,'Visu totale'!$D:$DH,AF$1,0)),AE119-VLOOKUP($D119,'Visu totale'!$D:$DH,AF$1,0),IF(LEFT(VLOOKUP($D119,'Visu totale'!$D:$DH,AF$1,0),1)="V",IF(AE119&gt;=INDEX('[1]Définition Maintenances'!$G:$G,MATCH($A119,'[1]Définition Maintenances'!$K:$K,0)),AE119,INDEX('[1]Définition Maintenances'!$G:$G,MATCH($A119,'[1]Définition Maintenances'!$K:$K,0))+AE119),AE119))</f>
        <v>867</v>
      </c>
      <c r="AG119" s="26">
        <f>IF(ISNUMBER(VLOOKUP($D119,'Visu totale'!$D:$DH,AG$1,0)),AF119-VLOOKUP($D119,'Visu totale'!$D:$DH,AG$1,0),IF(LEFT(VLOOKUP($D119,'Visu totale'!$D:$DH,AG$1,0),1)="V",IF(AF119&gt;=INDEX('[1]Définition Maintenances'!$G:$G,MATCH($A119,'[1]Définition Maintenances'!$K:$K,0)),AF119,INDEX('[1]Définition Maintenances'!$G:$G,MATCH($A119,'[1]Définition Maintenances'!$K:$K,0))+AF119),AF119))</f>
        <v>867</v>
      </c>
      <c r="AH119" s="26">
        <f>IF(ISNUMBER(VLOOKUP($D119,'Visu totale'!$D:$DH,AH$1,0)),AG119-VLOOKUP($D119,'Visu totale'!$D:$DH,AH$1,0),IF(LEFT(VLOOKUP($D119,'Visu totale'!$D:$DH,AH$1,0),1)="V",IF(AG119&gt;=INDEX('[1]Définition Maintenances'!$G:$G,MATCH($A119,'[1]Définition Maintenances'!$K:$K,0)),AG119,INDEX('[1]Définition Maintenances'!$G:$G,MATCH($A119,'[1]Définition Maintenances'!$K:$K,0))+AG119),AG119))</f>
        <v>867</v>
      </c>
      <c r="AI119" s="26">
        <f>IF(ISNUMBER(VLOOKUP($D119,'Visu totale'!$D:$DH,AI$1,0)),AH119-VLOOKUP($D119,'Visu totale'!$D:$DH,AI$1,0),IF(LEFT(VLOOKUP($D119,'Visu totale'!$D:$DH,AI$1,0),1)="V",IF(AH119&gt;=INDEX('[1]Définition Maintenances'!$G:$G,MATCH($A119,'[1]Définition Maintenances'!$K:$K,0)),AH119,INDEX('[1]Définition Maintenances'!$G:$G,MATCH($A119,'[1]Définition Maintenances'!$K:$K,0))+AH119),AH119))</f>
        <v>867</v>
      </c>
      <c r="AJ119" s="26">
        <f>IF(ISNUMBER(VLOOKUP($D119,'Visu totale'!$D:$DH,AJ$1,0)),AI119-VLOOKUP($D119,'Visu totale'!$D:$DH,AJ$1,0),IF(LEFT(VLOOKUP($D119,'Visu totale'!$D:$DH,AJ$1,0),1)="V",IF(AI119&gt;=INDEX('[1]Définition Maintenances'!$G:$G,MATCH($A119,'[1]Définition Maintenances'!$K:$K,0)),AI119,INDEX('[1]Définition Maintenances'!$G:$G,MATCH($A119,'[1]Définition Maintenances'!$K:$K,0))+AI119),AI119))</f>
        <v>867</v>
      </c>
      <c r="AK119" s="26">
        <f>IF(ISNUMBER(VLOOKUP($D119,'Visu totale'!$D:$DH,AK$1,0)),AJ119-VLOOKUP($D119,'Visu totale'!$D:$DH,AK$1,0),IF(LEFT(VLOOKUP($D119,'Visu totale'!$D:$DH,AK$1,0),1)="V",IF(AJ119&gt;=INDEX('[1]Définition Maintenances'!$G:$G,MATCH($A119,'[1]Définition Maintenances'!$K:$K,0)),AJ119,INDEX('[1]Définition Maintenances'!$G:$G,MATCH($A119,'[1]Définition Maintenances'!$K:$K,0))+AJ119),AJ119))</f>
        <v>867</v>
      </c>
      <c r="AL119" s="26">
        <f>IF(ISNUMBER(VLOOKUP($D119,'Visu totale'!$D:$DH,AL$1,0)),AK119-VLOOKUP($D119,'Visu totale'!$D:$DH,AL$1,0),IF(LEFT(VLOOKUP($D119,'Visu totale'!$D:$DH,AL$1,0),1)="V",IF(AK119&gt;=INDEX('[1]Définition Maintenances'!$G:$G,MATCH($A119,'[1]Définition Maintenances'!$K:$K,0)),AK119,INDEX('[1]Définition Maintenances'!$G:$G,MATCH($A119,'[1]Définition Maintenances'!$K:$K,0))+AK119),AK119))</f>
        <v>867</v>
      </c>
      <c r="AM119" s="26">
        <f>IF(ISNUMBER(VLOOKUP($D119,'Visu totale'!$D:$DH,AM$1,0)),AL119-VLOOKUP($D119,'Visu totale'!$D:$DH,AM$1,0),IF(LEFT(VLOOKUP($D119,'Visu totale'!$D:$DH,AM$1,0),1)="V",IF(AL119&gt;=INDEX('[1]Définition Maintenances'!$G:$G,MATCH($A119,'[1]Définition Maintenances'!$K:$K,0)),AL119,INDEX('[1]Définition Maintenances'!$G:$G,MATCH($A119,'[1]Définition Maintenances'!$K:$K,0))+AL119),AL119))</f>
        <v>867</v>
      </c>
      <c r="AN119" s="26">
        <f>IF(ISNUMBER(VLOOKUP($D119,'Visu totale'!$D:$DH,AN$1,0)),AM119-VLOOKUP($D119,'Visu totale'!$D:$DH,AN$1,0),IF(LEFT(VLOOKUP($D119,'Visu totale'!$D:$DH,AN$1,0),1)="V",IF(AM119&gt;=INDEX('[1]Définition Maintenances'!$G:$G,MATCH($A119,'[1]Définition Maintenances'!$K:$K,0)),AM119,INDEX('[1]Définition Maintenances'!$G:$G,MATCH($A119,'[1]Définition Maintenances'!$K:$K,0))+AM119),AM119))</f>
        <v>867</v>
      </c>
      <c r="AO119" s="27">
        <f>IF(ISNUMBER(VLOOKUP($D119,'Visu totale'!$D:$DH,AO$1,0)),AN119-VLOOKUP($D119,'Visu totale'!$D:$DH,AO$1,0),IF(LEFT(VLOOKUP($D119,'Visu totale'!$D:$DH,AO$1,0),1)="V",IF(AN119&gt;=INDEX('[1]Définition Maintenances'!$G:$G,MATCH($A119,'[1]Définition Maintenances'!$K:$K,0)),AN119,INDEX('[1]Définition Maintenances'!$G:$G,MATCH($A119,'[1]Définition Maintenances'!$K:$K,0))+AN119),AN119))</f>
        <v>867</v>
      </c>
      <c r="AP119" s="25">
        <f>IF(ISNUMBER(VLOOKUP($D119,'Visu totale'!$D:$DH,AP$1,0)),AO119-VLOOKUP($D119,'Visu totale'!$D:$DH,AP$1,0),IF(LEFT(VLOOKUP($D119,'Visu totale'!$D:$DH,AP$1,0),1)="V",IF(AO119&gt;=INDEX('[1]Définition Maintenances'!$G:$G,MATCH($A119,'[1]Définition Maintenances'!$K:$K,0)),AO119,INDEX('[1]Définition Maintenances'!$G:$G,MATCH($A119,'[1]Définition Maintenances'!$K:$K,0))+AO119),AO119))</f>
        <v>867</v>
      </c>
      <c r="AQ119" s="26">
        <f>IF(ISNUMBER(VLOOKUP($D119,'Visu totale'!$D:$DH,AQ$1,0)),AP119-VLOOKUP($D119,'Visu totale'!$D:$DH,AQ$1,0),IF(LEFT(VLOOKUP($D119,'Visu totale'!$D:$DH,AQ$1,0),1)="V",IF(AP119&gt;=INDEX('[1]Définition Maintenances'!$G:$G,MATCH($A119,'[1]Définition Maintenances'!$K:$K,0)),AP119,INDEX('[1]Définition Maintenances'!$G:$G,MATCH($A119,'[1]Définition Maintenances'!$K:$K,0))+AP119),AP119))</f>
        <v>867</v>
      </c>
      <c r="AR119" s="26">
        <f>IF(ISNUMBER(VLOOKUP($D119,'Visu totale'!$D:$DH,AR$1,0)),AQ119-VLOOKUP($D119,'Visu totale'!$D:$DH,AR$1,0),IF(LEFT(VLOOKUP($D119,'Visu totale'!$D:$DH,AR$1,0),1)="V",IF(AQ119&gt;=INDEX('[1]Définition Maintenances'!$G:$G,MATCH($A119,'[1]Définition Maintenances'!$K:$K,0)),AQ119,INDEX('[1]Définition Maintenances'!$G:$G,MATCH($A119,'[1]Définition Maintenances'!$K:$K,0))+AQ119),AQ119))</f>
        <v>867</v>
      </c>
      <c r="AS119" s="26">
        <f>IF(ISNUMBER(VLOOKUP($D119,'Visu totale'!$D:$DH,AS$1,0)),AR119-VLOOKUP($D119,'Visu totale'!$D:$DH,AS$1,0),IF(LEFT(VLOOKUP($D119,'Visu totale'!$D:$DH,AS$1,0),1)="V",IF(AR119&gt;=INDEX('[1]Définition Maintenances'!$G:$G,MATCH($A119,'[1]Définition Maintenances'!$K:$K,0)),AR119,INDEX('[1]Définition Maintenances'!$G:$G,MATCH($A119,'[1]Définition Maintenances'!$K:$K,0))+AR119),AR119))</f>
        <v>867</v>
      </c>
      <c r="AT119" s="26">
        <f>IF(ISNUMBER(VLOOKUP($D119,'Visu totale'!$D:$DH,AT$1,0)),AS119-VLOOKUP($D119,'Visu totale'!$D:$DH,AT$1,0),IF(LEFT(VLOOKUP($D119,'Visu totale'!$D:$DH,AT$1,0),1)="V",IF(AS119&gt;=INDEX('[1]Définition Maintenances'!$G:$G,MATCH($A119,'[1]Définition Maintenances'!$K:$K,0)),AS119,INDEX('[1]Définition Maintenances'!$G:$G,MATCH($A119,'[1]Définition Maintenances'!$K:$K,0))+AS119),AS119))</f>
        <v>867</v>
      </c>
      <c r="AU119" s="26">
        <f>IF(ISNUMBER(VLOOKUP($D119,'Visu totale'!$D:$DH,AU$1,0)),AT119-VLOOKUP($D119,'Visu totale'!$D:$DH,AU$1,0),IF(LEFT(VLOOKUP($D119,'Visu totale'!$D:$DH,AU$1,0),1)="V",IF(AT119&gt;=INDEX('[1]Définition Maintenances'!$G:$G,MATCH($A119,'[1]Définition Maintenances'!$K:$K,0)),AT119,INDEX('[1]Définition Maintenances'!$G:$G,MATCH($A119,'[1]Définition Maintenances'!$K:$K,0))+AT119),AT119))</f>
        <v>867</v>
      </c>
      <c r="AV119" s="26">
        <f>IF(ISNUMBER(VLOOKUP($D119,'Visu totale'!$D:$DH,AV$1,0)),AU119-VLOOKUP($D119,'Visu totale'!$D:$DH,AV$1,0),IF(LEFT(VLOOKUP($D119,'Visu totale'!$D:$DH,AV$1,0),1)="V",IF(AU119&gt;=INDEX('[1]Définition Maintenances'!$G:$G,MATCH($A119,'[1]Définition Maintenances'!$K:$K,0)),AU119,INDEX('[1]Définition Maintenances'!$G:$G,MATCH($A119,'[1]Définition Maintenances'!$K:$K,0))+AU119),AU119))</f>
        <v>867</v>
      </c>
      <c r="AW119" s="26">
        <f>IF(ISNUMBER(VLOOKUP($D119,'Visu totale'!$D:$DH,AW$1,0)),AV119-VLOOKUP($D119,'Visu totale'!$D:$DH,AW$1,0),IF(LEFT(VLOOKUP($D119,'Visu totale'!$D:$DH,AW$1,0),1)="V",IF(AV119&gt;=INDEX('[1]Définition Maintenances'!$G:$G,MATCH($A119,'[1]Définition Maintenances'!$K:$K,0)),AV119,INDEX('[1]Définition Maintenances'!$G:$G,MATCH($A119,'[1]Définition Maintenances'!$K:$K,0))+AV119),AV119))</f>
        <v>867</v>
      </c>
      <c r="AX119" s="26">
        <f>IF(ISNUMBER(VLOOKUP($D119,'Visu totale'!$D:$DH,AX$1,0)),AW119-VLOOKUP($D119,'Visu totale'!$D:$DH,AX$1,0),IF(LEFT(VLOOKUP($D119,'Visu totale'!$D:$DH,AX$1,0),1)="V",IF(AW119&gt;=INDEX('[1]Définition Maintenances'!$G:$G,MATCH($A119,'[1]Définition Maintenances'!$K:$K,0)),AW119,INDEX('[1]Définition Maintenances'!$G:$G,MATCH($A119,'[1]Définition Maintenances'!$K:$K,0))+AW119),AW119))</f>
        <v>867</v>
      </c>
      <c r="AY119" s="26">
        <f>IF(ISNUMBER(VLOOKUP($D119,'Visu totale'!$D:$DH,AY$1,0)),AX119-VLOOKUP($D119,'Visu totale'!$D:$DH,AY$1,0),IF(LEFT(VLOOKUP($D119,'Visu totale'!$D:$DH,AY$1,0),1)="V",IF(AX119&gt;=INDEX('[1]Définition Maintenances'!$G:$G,MATCH($A119,'[1]Définition Maintenances'!$K:$K,0)),AX119,INDEX('[1]Définition Maintenances'!$G:$G,MATCH($A119,'[1]Définition Maintenances'!$K:$K,0))+AX119),AX119))</f>
        <v>867</v>
      </c>
      <c r="AZ119" s="26">
        <f>IF(ISNUMBER(VLOOKUP($D119,'Visu totale'!$D:$DH,AZ$1,0)),AY119-VLOOKUP($D119,'Visu totale'!$D:$DH,AZ$1,0),IF(LEFT(VLOOKUP($D119,'Visu totale'!$D:$DH,AZ$1,0),1)="V",IF(AY119&gt;=INDEX('[1]Définition Maintenances'!$G:$G,MATCH($A119,'[1]Définition Maintenances'!$K:$K,0)),AY119,INDEX('[1]Définition Maintenances'!$G:$G,MATCH($A119,'[1]Définition Maintenances'!$K:$K,0))+AY119),AY119))</f>
        <v>867</v>
      </c>
      <c r="BA119" s="27">
        <f>IF(ISNUMBER(VLOOKUP($D119,'Visu totale'!$D:$DH,BA$1,0)),AZ119-VLOOKUP($D119,'Visu totale'!$D:$DH,BA$1,0),IF(LEFT(VLOOKUP($D119,'Visu totale'!$D:$DH,BA$1,0),1)="V",IF(AZ119&gt;=INDEX('[1]Définition Maintenances'!$G:$G,MATCH($A119,'[1]Définition Maintenances'!$K:$K,0)),AZ119,INDEX('[1]Définition Maintenances'!$G:$G,MATCH($A119,'[1]Définition Maintenances'!$K:$K,0))+AZ119),AZ119))</f>
        <v>867</v>
      </c>
      <c r="BB119" s="25">
        <f>IF(ISNUMBER(VLOOKUP($D119,'Visu totale'!$D:$DH,BB$1,0)),BA119-VLOOKUP($D119,'Visu totale'!$D:$DH,BB$1,0),IF(LEFT(VLOOKUP($D119,'Visu totale'!$D:$DH,BB$1,0),1)="V",IF(BA119&gt;=INDEX('[1]Définition Maintenances'!$G:$G,MATCH($A119,'[1]Définition Maintenances'!$K:$K,0)),BA119,INDEX('[1]Définition Maintenances'!$G:$G,MATCH($A119,'[1]Définition Maintenances'!$K:$K,0))+BA119),BA119))</f>
        <v>867</v>
      </c>
      <c r="BC119" s="26">
        <f>IF(ISNUMBER(VLOOKUP($D119,'Visu totale'!$D:$DH,BC$1,0)),BB119-VLOOKUP($D119,'Visu totale'!$D:$DH,BC$1,0),IF(LEFT(VLOOKUP($D119,'Visu totale'!$D:$DH,BC$1,0),1)="V",IF(BB119&gt;=INDEX('[1]Définition Maintenances'!$G:$G,MATCH($A119,'[1]Définition Maintenances'!$K:$K,0)),BB119,INDEX('[1]Définition Maintenances'!$G:$G,MATCH($A119,'[1]Définition Maintenances'!$K:$K,0))+BB119),BB119))</f>
        <v>867</v>
      </c>
      <c r="BD119" s="26">
        <f>IF(ISNUMBER(VLOOKUP($D119,'Visu totale'!$D:$DH,BD$1,0)),BC119-VLOOKUP($D119,'Visu totale'!$D:$DH,BD$1,0),IF(LEFT(VLOOKUP($D119,'Visu totale'!$D:$DH,BD$1,0),1)="V",IF(BC119&gt;=INDEX('[1]Définition Maintenances'!$G:$G,MATCH($A119,'[1]Définition Maintenances'!$K:$K,0)),BC119,INDEX('[1]Définition Maintenances'!$G:$G,MATCH($A119,'[1]Définition Maintenances'!$K:$K,0))+BC119),BC119))</f>
        <v>867</v>
      </c>
      <c r="BE119" s="26">
        <f>IF(ISNUMBER(VLOOKUP($D119,'Visu totale'!$D:$DH,BE$1,0)),BD119-VLOOKUP($D119,'Visu totale'!$D:$DH,BE$1,0),IF(LEFT(VLOOKUP($D119,'Visu totale'!$D:$DH,BE$1,0),1)="V",IF(BD119&gt;=INDEX('[1]Définition Maintenances'!$G:$G,MATCH($A119,'[1]Définition Maintenances'!$K:$K,0)),BD119,INDEX('[1]Définition Maintenances'!$G:$G,MATCH($A119,'[1]Définition Maintenances'!$K:$K,0))+BD119),BD119))</f>
        <v>867</v>
      </c>
      <c r="BF119" s="26">
        <f>IF(ISNUMBER(VLOOKUP($D119,'Visu totale'!$D:$DH,BF$1,0)),BE119-VLOOKUP($D119,'Visu totale'!$D:$DH,BF$1,0),IF(LEFT(VLOOKUP($D119,'Visu totale'!$D:$DH,BF$1,0),1)="V",IF(BE119&gt;=INDEX('[1]Définition Maintenances'!$G:$G,MATCH($A119,'[1]Définition Maintenances'!$K:$K,0)),BE119,INDEX('[1]Définition Maintenances'!$G:$G,MATCH($A119,'[1]Définition Maintenances'!$K:$K,0))+BE119),BE119))</f>
        <v>867</v>
      </c>
      <c r="BG119" s="26">
        <f>IF(ISNUMBER(VLOOKUP($D119,'Visu totale'!$D:$DH,BG$1,0)),BF119-VLOOKUP($D119,'Visu totale'!$D:$DH,BG$1,0),IF(LEFT(VLOOKUP($D119,'Visu totale'!$D:$DH,BG$1,0),1)="V",IF(BF119&gt;=INDEX('[1]Définition Maintenances'!$G:$G,MATCH($A119,'[1]Définition Maintenances'!$K:$K,0)),BF119,INDEX('[1]Définition Maintenances'!$G:$G,MATCH($A119,'[1]Définition Maintenances'!$K:$K,0))+BF119),BF119))</f>
        <v>867</v>
      </c>
      <c r="BH119" s="26">
        <f>IF(ISNUMBER(VLOOKUP($D119,'Visu totale'!$D:$DH,BH$1,0)),BG119-VLOOKUP($D119,'Visu totale'!$D:$DH,BH$1,0),IF(LEFT(VLOOKUP($D119,'Visu totale'!$D:$DH,BH$1,0),1)="V",IF(BG119&gt;=INDEX('[1]Définition Maintenances'!$G:$G,MATCH($A119,'[1]Définition Maintenances'!$K:$K,0)),BG119,INDEX('[1]Définition Maintenances'!$G:$G,MATCH($A119,'[1]Définition Maintenances'!$K:$K,0))+BG119),BG119))</f>
        <v>867</v>
      </c>
      <c r="BI119" s="26">
        <f>IF(ISNUMBER(VLOOKUP($D119,'Visu totale'!$D:$DH,BI$1,0)),BH119-VLOOKUP($D119,'Visu totale'!$D:$DH,BI$1,0),IF(LEFT(VLOOKUP($D119,'Visu totale'!$D:$DH,BI$1,0),1)="V",IF(BH119&gt;=INDEX('[1]Définition Maintenances'!$G:$G,MATCH($A119,'[1]Définition Maintenances'!$K:$K,0)),BH119,INDEX('[1]Définition Maintenances'!$G:$G,MATCH($A119,'[1]Définition Maintenances'!$K:$K,0))+BH119),BH119))</f>
        <v>867</v>
      </c>
      <c r="BJ119" s="26">
        <f>IF(ISNUMBER(VLOOKUP($D119,'Visu totale'!$D:$DH,BJ$1,0)),BI119-VLOOKUP($D119,'Visu totale'!$D:$DH,BJ$1,0),IF(LEFT(VLOOKUP($D119,'Visu totale'!$D:$DH,BJ$1,0),1)="V",IF(BI119&gt;=INDEX('[1]Définition Maintenances'!$G:$G,MATCH($A119,'[1]Définition Maintenances'!$K:$K,0)),BI119,INDEX('[1]Définition Maintenances'!$G:$G,MATCH($A119,'[1]Définition Maintenances'!$K:$K,0))+BI119),BI119))</f>
        <v>867</v>
      </c>
      <c r="BK119" s="26">
        <f>IF(ISNUMBER(VLOOKUP($D119,'Visu totale'!$D:$DH,BK$1,0)),BJ119-VLOOKUP($D119,'Visu totale'!$D:$DH,BK$1,0),IF(LEFT(VLOOKUP($D119,'Visu totale'!$D:$DH,BK$1,0),1)="V",IF(BJ119&gt;=INDEX('[1]Définition Maintenances'!$G:$G,MATCH($A119,'[1]Définition Maintenances'!$K:$K,0)),BJ119,INDEX('[1]Définition Maintenances'!$G:$G,MATCH($A119,'[1]Définition Maintenances'!$K:$K,0))+BJ119),BJ119))</f>
        <v>867</v>
      </c>
      <c r="BL119" s="26">
        <f>IF(ISNUMBER(VLOOKUP($D119,'Visu totale'!$D:$DH,BL$1,0)),BK119-VLOOKUP($D119,'Visu totale'!$D:$DH,BL$1,0),IF(LEFT(VLOOKUP($D119,'Visu totale'!$D:$DH,BL$1,0),1)="V",IF(BK119&gt;=INDEX('[1]Définition Maintenances'!$G:$G,MATCH($A119,'[1]Définition Maintenances'!$K:$K,0)),BK119,INDEX('[1]Définition Maintenances'!$G:$G,MATCH($A119,'[1]Définition Maintenances'!$K:$K,0))+BK119),BK119))</f>
        <v>867</v>
      </c>
      <c r="BM119" s="27">
        <f>IF(ISNUMBER(VLOOKUP($D119,'Visu totale'!$D:$DH,BM$1,0)),BL119-VLOOKUP($D119,'Visu totale'!$D:$DH,BM$1,0),IF(LEFT(VLOOKUP($D119,'Visu totale'!$D:$DH,BM$1,0),1)="V",IF(BL119&gt;=INDEX('[1]Définition Maintenances'!$G:$G,MATCH($A119,'[1]Définition Maintenances'!$K:$K,0)),BL119,INDEX('[1]Définition Maintenances'!$G:$G,MATCH($A119,'[1]Définition Maintenances'!$K:$K,0))+BL119),BL119))</f>
        <v>867</v>
      </c>
      <c r="BN119" s="25">
        <f>IF(ISNUMBER(VLOOKUP($D119,'Visu totale'!$D:$DH,BN$1,0)),BM119-VLOOKUP($D119,'Visu totale'!$D:$DH,BN$1,0),IF(LEFT(VLOOKUP($D119,'Visu totale'!$D:$DH,BN$1,0),1)="V",IF(BM119&gt;=INDEX('[1]Définition Maintenances'!$G:$G,MATCH($A119,'[1]Définition Maintenances'!$K:$K,0)),BM119,INDEX('[1]Définition Maintenances'!$G:$G,MATCH($A119,'[1]Définition Maintenances'!$K:$K,0))+BM119),BM119))</f>
        <v>867</v>
      </c>
      <c r="BO119" s="26">
        <f>IF(ISNUMBER(VLOOKUP($D119,'Visu totale'!$D:$DH,BO$1,0)),BN119-VLOOKUP($D119,'Visu totale'!$D:$DH,BO$1,0),IF(LEFT(VLOOKUP($D119,'Visu totale'!$D:$DH,BO$1,0),1)="V",IF(BN119&gt;=INDEX('[1]Définition Maintenances'!$G:$G,MATCH($A119,'[1]Définition Maintenances'!$K:$K,0)),BN119,INDEX('[1]Définition Maintenances'!$G:$G,MATCH($A119,'[1]Définition Maintenances'!$K:$K,0))+BN119),BN119))</f>
        <v>867</v>
      </c>
      <c r="BP119" s="26">
        <f>IF(ISNUMBER(VLOOKUP($D119,'Visu totale'!$D:$DH,BP$1,0)),BO119-VLOOKUP($D119,'Visu totale'!$D:$DH,BP$1,0),IF(LEFT(VLOOKUP($D119,'Visu totale'!$D:$DH,BP$1,0),1)="V",IF(BO119&gt;=INDEX('[1]Définition Maintenances'!$G:$G,MATCH($A119,'[1]Définition Maintenances'!$K:$K,0)),BO119,INDEX('[1]Définition Maintenances'!$G:$G,MATCH($A119,'[1]Définition Maintenances'!$K:$K,0))+BO119),BO119))</f>
        <v>867</v>
      </c>
      <c r="BQ119" s="26">
        <f>IF(ISNUMBER(VLOOKUP($D119,'Visu totale'!$D:$DH,BQ$1,0)),BP119-VLOOKUP($D119,'Visu totale'!$D:$DH,BQ$1,0),IF(LEFT(VLOOKUP($D119,'Visu totale'!$D:$DH,BQ$1,0),1)="V",IF(BP119&gt;=INDEX('[1]Définition Maintenances'!$G:$G,MATCH($A119,'[1]Définition Maintenances'!$K:$K,0)),BP119,INDEX('[1]Définition Maintenances'!$G:$G,MATCH($A119,'[1]Définition Maintenances'!$K:$K,0))+BP119),BP119))</f>
        <v>867</v>
      </c>
      <c r="BR119" s="26">
        <f>IF(ISNUMBER(VLOOKUP($D119,'Visu totale'!$D:$DH,BR$1,0)),BQ119-VLOOKUP($D119,'Visu totale'!$D:$DH,BR$1,0),IF(LEFT(VLOOKUP($D119,'Visu totale'!$D:$DH,BR$1,0),1)="V",IF(BQ119&gt;=INDEX('[1]Définition Maintenances'!$G:$G,MATCH($A119,'[1]Définition Maintenances'!$K:$K,0)),BQ119,INDEX('[1]Définition Maintenances'!$G:$G,MATCH($A119,'[1]Définition Maintenances'!$K:$K,0))+BQ119),BQ119))</f>
        <v>867</v>
      </c>
      <c r="BS119" s="26">
        <f>IF(ISNUMBER(VLOOKUP($D119,'Visu totale'!$D:$DH,BS$1,0)),BR119-VLOOKUP($D119,'Visu totale'!$D:$DH,BS$1,0),IF(LEFT(VLOOKUP($D119,'Visu totale'!$D:$DH,BS$1,0),1)="V",IF(BR119&gt;=INDEX('[1]Définition Maintenances'!$G:$G,MATCH($A119,'[1]Définition Maintenances'!$K:$K,0)),BR119,INDEX('[1]Définition Maintenances'!$G:$G,MATCH($A119,'[1]Définition Maintenances'!$K:$K,0))+BR119),BR119))</f>
        <v>867</v>
      </c>
      <c r="BT119" s="26">
        <f>IF(ISNUMBER(VLOOKUP($D119,'Visu totale'!$D:$DH,BT$1,0)),BS119-VLOOKUP($D119,'Visu totale'!$D:$DH,BT$1,0),IF(LEFT(VLOOKUP($D119,'Visu totale'!$D:$DH,BT$1,0),1)="V",IF(BS119&gt;=INDEX('[1]Définition Maintenances'!$G:$G,MATCH($A119,'[1]Définition Maintenances'!$K:$K,0)),BS119,INDEX('[1]Définition Maintenances'!$G:$G,MATCH($A119,'[1]Définition Maintenances'!$K:$K,0))+BS119),BS119))</f>
        <v>867</v>
      </c>
      <c r="BU119" s="26">
        <f>IF(ISNUMBER(VLOOKUP($D119,'Visu totale'!$D:$DH,BU$1,0)),BT119-VLOOKUP($D119,'Visu totale'!$D:$DH,BU$1,0),IF(LEFT(VLOOKUP($D119,'Visu totale'!$D:$DH,BU$1,0),1)="V",IF(BT119&gt;=INDEX('[1]Définition Maintenances'!$G:$G,MATCH($A119,'[1]Définition Maintenances'!$K:$K,0)),BT119,INDEX('[1]Définition Maintenances'!$G:$G,MATCH($A119,'[1]Définition Maintenances'!$K:$K,0))+BT119),BT119))</f>
        <v>867</v>
      </c>
      <c r="BV119" s="26">
        <f>IF(ISNUMBER(VLOOKUP($D119,'Visu totale'!$D:$DH,BV$1,0)),BU119-VLOOKUP($D119,'Visu totale'!$D:$DH,BV$1,0),IF(LEFT(VLOOKUP($D119,'Visu totale'!$D:$DH,BV$1,0),1)="V",IF(BU119&gt;=INDEX('[1]Définition Maintenances'!$G:$G,MATCH($A119,'[1]Définition Maintenances'!$K:$K,0)),BU119,INDEX('[1]Définition Maintenances'!$G:$G,MATCH($A119,'[1]Définition Maintenances'!$K:$K,0))+BU119),BU119))</f>
        <v>867</v>
      </c>
      <c r="BW119" s="26">
        <f>IF(ISNUMBER(VLOOKUP($D119,'Visu totale'!$D:$DH,BW$1,0)),BV119-VLOOKUP($D119,'Visu totale'!$D:$DH,BW$1,0),IF(LEFT(VLOOKUP($D119,'Visu totale'!$D:$DH,BW$1,0),1)="V",IF(BV119&gt;=INDEX('[1]Définition Maintenances'!$G:$G,MATCH($A119,'[1]Définition Maintenances'!$K:$K,0)),BV119,INDEX('[1]Définition Maintenances'!$G:$G,MATCH($A119,'[1]Définition Maintenances'!$K:$K,0))+BV119),BV119))</f>
        <v>867</v>
      </c>
      <c r="BX119" s="26">
        <f>IF(ISNUMBER(VLOOKUP($D119,'Visu totale'!$D:$DH,BX$1,0)),BW119-VLOOKUP($D119,'Visu totale'!$D:$DH,BX$1,0),IF(LEFT(VLOOKUP($D119,'Visu totale'!$D:$DH,BX$1,0),1)="V",IF(BW119&gt;=INDEX('[1]Définition Maintenances'!$G:$G,MATCH($A119,'[1]Définition Maintenances'!$K:$K,0)),BW119,INDEX('[1]Définition Maintenances'!$G:$G,MATCH($A119,'[1]Définition Maintenances'!$K:$K,0))+BW119),BW119))</f>
        <v>867</v>
      </c>
      <c r="BY119" s="27">
        <f>IF(ISNUMBER(VLOOKUP($D119,'Visu totale'!$D:$DH,BY$1,0)),BX119-VLOOKUP($D119,'Visu totale'!$D:$DH,BY$1,0),IF(LEFT(VLOOKUP($D119,'Visu totale'!$D:$DH,BY$1,0),1)="V",IF(BX119&gt;=INDEX('[1]Définition Maintenances'!$G:$G,MATCH($A119,'[1]Définition Maintenances'!$K:$K,0)),BX119,INDEX('[1]Définition Maintenances'!$G:$G,MATCH($A119,'[1]Définition Maintenances'!$K:$K,0))+BX119),BX119))</f>
        <v>867</v>
      </c>
      <c r="BZ119" s="25">
        <f>IF(ISNUMBER(VLOOKUP($D119,'Visu totale'!$D:$DH,BZ$1,0)),BY119-VLOOKUP($D119,'Visu totale'!$D:$DH,BZ$1,0),IF(LEFT(VLOOKUP($D119,'Visu totale'!$D:$DH,BZ$1,0),1)="V",IF(BY119&gt;=INDEX('[1]Définition Maintenances'!$G:$G,MATCH($A119,'[1]Définition Maintenances'!$K:$K,0)),BY119,INDEX('[1]Définition Maintenances'!$G:$G,MATCH($A119,'[1]Définition Maintenances'!$K:$K,0))+BY119),BY119))</f>
        <v>867</v>
      </c>
      <c r="CA119" s="26">
        <f>IF(ISNUMBER(VLOOKUP($D119,'Visu totale'!$D:$DH,CA$1,0)),BZ119-VLOOKUP($D119,'Visu totale'!$D:$DH,CA$1,0),IF(LEFT(VLOOKUP($D119,'Visu totale'!$D:$DH,CA$1,0),1)="V",IF(BZ119&gt;=INDEX('[1]Définition Maintenances'!$G:$G,MATCH($A119,'[1]Définition Maintenances'!$K:$K,0)),BZ119,INDEX('[1]Définition Maintenances'!$G:$G,MATCH($A119,'[1]Définition Maintenances'!$K:$K,0))+BZ119),BZ119))</f>
        <v>867</v>
      </c>
      <c r="CB119" s="26">
        <f>IF(ISNUMBER(VLOOKUP($D119,'Visu totale'!$D:$DH,CB$1,0)),CA119-VLOOKUP($D119,'Visu totale'!$D:$DH,CB$1,0),IF(LEFT(VLOOKUP($D119,'Visu totale'!$D:$DH,CB$1,0),1)="V",IF(CA119&gt;=INDEX('[1]Définition Maintenances'!$G:$G,MATCH($A119,'[1]Définition Maintenances'!$K:$K,0)),CA119,INDEX('[1]Définition Maintenances'!$G:$G,MATCH($A119,'[1]Définition Maintenances'!$K:$K,0))+CA119),CA119))</f>
        <v>867</v>
      </c>
      <c r="CC119" s="26">
        <f>IF(ISNUMBER(VLOOKUP($D119,'Visu totale'!$D:$DH,CC$1,0)),CB119-VLOOKUP($D119,'Visu totale'!$D:$DH,CC$1,0),IF(LEFT(VLOOKUP($D119,'Visu totale'!$D:$DH,CC$1,0),1)="V",IF(CB119&gt;=INDEX('[1]Définition Maintenances'!$G:$G,MATCH($A119,'[1]Définition Maintenances'!$K:$K,0)),CB119,INDEX('[1]Définition Maintenances'!$G:$G,MATCH($A119,'[1]Définition Maintenances'!$K:$K,0))+CB119),CB119))</f>
        <v>867</v>
      </c>
      <c r="CD119" s="26">
        <f>IF(ISNUMBER(VLOOKUP($D119,'Visu totale'!$D:$DH,CD$1,0)),CC119-VLOOKUP($D119,'Visu totale'!$D:$DH,CD$1,0),IF(LEFT(VLOOKUP($D119,'Visu totale'!$D:$DH,CD$1,0),1)="V",IF(CC119&gt;=INDEX('[1]Définition Maintenances'!$G:$G,MATCH($A119,'[1]Définition Maintenances'!$K:$K,0)),CC119,INDEX('[1]Définition Maintenances'!$G:$G,MATCH($A119,'[1]Définition Maintenances'!$K:$K,0))+CC119),CC119))</f>
        <v>867</v>
      </c>
      <c r="CE119" s="26">
        <f>IF(ISNUMBER(VLOOKUP($D119,'Visu totale'!$D:$DH,CE$1,0)),CD119-VLOOKUP($D119,'Visu totale'!$D:$DH,CE$1,0),IF(LEFT(VLOOKUP($D119,'Visu totale'!$D:$DH,CE$1,0),1)="V",IF(CD119&gt;=INDEX('[1]Définition Maintenances'!$G:$G,MATCH($A119,'[1]Définition Maintenances'!$K:$K,0)),CD119,INDEX('[1]Définition Maintenances'!$G:$G,MATCH($A119,'[1]Définition Maintenances'!$K:$K,0))+CD119),CD119))</f>
        <v>867</v>
      </c>
      <c r="CF119" s="26">
        <f>IF(ISNUMBER(VLOOKUP($D119,'Visu totale'!$D:$DH,CF$1,0)),CE119-VLOOKUP($D119,'Visu totale'!$D:$DH,CF$1,0),IF(LEFT(VLOOKUP($D119,'Visu totale'!$D:$DH,CF$1,0),1)="V",IF(CE119&gt;=INDEX('[1]Définition Maintenances'!$G:$G,MATCH($A119,'[1]Définition Maintenances'!$K:$K,0)),CE119,INDEX('[1]Définition Maintenances'!$G:$G,MATCH($A119,'[1]Définition Maintenances'!$K:$K,0))+CE119),CE119))</f>
        <v>867</v>
      </c>
      <c r="CG119" s="26">
        <f>IF(ISNUMBER(VLOOKUP($D119,'Visu totale'!$D:$DH,CG$1,0)),CF119-VLOOKUP($D119,'Visu totale'!$D:$DH,CG$1,0),IF(LEFT(VLOOKUP($D119,'Visu totale'!$D:$DH,CG$1,0),1)="V",IF(CF119&gt;=INDEX('[1]Définition Maintenances'!$G:$G,MATCH($A119,'[1]Définition Maintenances'!$K:$K,0)),CF119,INDEX('[1]Définition Maintenances'!$G:$G,MATCH($A119,'[1]Définition Maintenances'!$K:$K,0))+CF119),CF119))</f>
        <v>867</v>
      </c>
      <c r="CH119" s="26">
        <f>IF(ISNUMBER(VLOOKUP($D119,'Visu totale'!$D:$DH,CH$1,0)),CG119-VLOOKUP($D119,'Visu totale'!$D:$DH,CH$1,0),IF(LEFT(VLOOKUP($D119,'Visu totale'!$D:$DH,CH$1,0),1)="V",IF(CG119&gt;=INDEX('[1]Définition Maintenances'!$G:$G,MATCH($A119,'[1]Définition Maintenances'!$K:$K,0)),CG119,INDEX('[1]Définition Maintenances'!$G:$G,MATCH($A119,'[1]Définition Maintenances'!$K:$K,0))+CG119),CG119))</f>
        <v>867</v>
      </c>
      <c r="CI119" s="26">
        <f>IF(ISNUMBER(VLOOKUP($D119,'Visu totale'!$D:$DH,CI$1,0)),CH119-VLOOKUP($D119,'Visu totale'!$D:$DH,CI$1,0),IF(LEFT(VLOOKUP($D119,'Visu totale'!$D:$DH,CI$1,0),1)="V",IF(CH119&gt;=INDEX('[1]Définition Maintenances'!$G:$G,MATCH($A119,'[1]Définition Maintenances'!$K:$K,0)),CH119,INDEX('[1]Définition Maintenances'!$G:$G,MATCH($A119,'[1]Définition Maintenances'!$K:$K,0))+CH119),CH119))</f>
        <v>867</v>
      </c>
      <c r="CJ119" s="26">
        <f>IF(ISNUMBER(VLOOKUP($D119,'Visu totale'!$D:$DH,CJ$1,0)),CI119-VLOOKUP($D119,'Visu totale'!$D:$DH,CJ$1,0),IF(LEFT(VLOOKUP($D119,'Visu totale'!$D:$DH,CJ$1,0),1)="V",IF(CI119&gt;=INDEX('[1]Définition Maintenances'!$G:$G,MATCH($A119,'[1]Définition Maintenances'!$K:$K,0)),CI119,INDEX('[1]Définition Maintenances'!$G:$G,MATCH($A119,'[1]Définition Maintenances'!$K:$K,0))+CI119),CI119))</f>
        <v>867</v>
      </c>
      <c r="CK119" s="27">
        <f>IF(ISNUMBER(VLOOKUP($D119,'Visu totale'!$D:$DH,CK$1,0)),CJ119-VLOOKUP($D119,'Visu totale'!$D:$DH,CK$1,0),IF(LEFT(VLOOKUP($D119,'Visu totale'!$D:$DH,CK$1,0),1)="V",IF(CJ119&gt;=INDEX('[1]Définition Maintenances'!$G:$G,MATCH($A119,'[1]Définition Maintenances'!$K:$K,0)),CJ119,INDEX('[1]Définition Maintenances'!$G:$G,MATCH($A119,'[1]Définition Maintenances'!$K:$K,0))+CJ119),CJ119))</f>
        <v>867</v>
      </c>
      <c r="CL119" s="25">
        <f>IF(ISNUMBER(VLOOKUP($D119,'Visu totale'!$D:$DH,CL$1,0)),CK119-VLOOKUP($D119,'Visu totale'!$D:$DH,CL$1,0),IF(LEFT(VLOOKUP($D119,'Visu totale'!$D:$DH,CL$1,0),1)="V",IF(CK119&gt;=INDEX('[1]Définition Maintenances'!$G:$G,MATCH($A119,'[1]Définition Maintenances'!$K:$K,0)),CK119,INDEX('[1]Définition Maintenances'!$G:$G,MATCH($A119,'[1]Définition Maintenances'!$K:$K,0))+CK119),CK119))</f>
        <v>867</v>
      </c>
      <c r="CM119" s="26">
        <f>IF(ISNUMBER(VLOOKUP($D119,'Visu totale'!$D:$DH,CM$1,0)),CL119-VLOOKUP($D119,'Visu totale'!$D:$DH,CM$1,0),IF(LEFT(VLOOKUP($D119,'Visu totale'!$D:$DH,CM$1,0),1)="V",IF(CL119&gt;=INDEX('[1]Définition Maintenances'!$G:$G,MATCH($A119,'[1]Définition Maintenances'!$K:$K,0)),CL119,INDEX('[1]Définition Maintenances'!$G:$G,MATCH($A119,'[1]Définition Maintenances'!$K:$K,0))+CL119),CL119))</f>
        <v>867</v>
      </c>
      <c r="CN119" s="26">
        <f>IF(ISNUMBER(VLOOKUP($D119,'Visu totale'!$D:$DH,CN$1,0)),CM119-VLOOKUP($D119,'Visu totale'!$D:$DH,CN$1,0),IF(LEFT(VLOOKUP($D119,'Visu totale'!$D:$DH,CN$1,0),1)="V",IF(CM119&gt;=INDEX('[1]Définition Maintenances'!$G:$G,MATCH($A119,'[1]Définition Maintenances'!$K:$K,0)),CM119,INDEX('[1]Définition Maintenances'!$G:$G,MATCH($A119,'[1]Définition Maintenances'!$K:$K,0))+CM119),CM119))</f>
        <v>867</v>
      </c>
      <c r="CO119" s="26">
        <f>IF(ISNUMBER(VLOOKUP($D119,'Visu totale'!$D:$DH,CO$1,0)),CN119-VLOOKUP($D119,'Visu totale'!$D:$DH,CO$1,0),IF(LEFT(VLOOKUP($D119,'Visu totale'!$D:$DH,CO$1,0),1)="V",IF(CN119&gt;=INDEX('[1]Définition Maintenances'!$G:$G,MATCH($A119,'[1]Définition Maintenances'!$K:$K,0)),CN119,INDEX('[1]Définition Maintenances'!$G:$G,MATCH($A119,'[1]Définition Maintenances'!$K:$K,0))+CN119),CN119))</f>
        <v>867</v>
      </c>
      <c r="CP119" s="26">
        <f>IF(ISNUMBER(VLOOKUP($D119,'Visu totale'!$D:$DH,CP$1,0)),CO119-VLOOKUP($D119,'Visu totale'!$D:$DH,CP$1,0),IF(LEFT(VLOOKUP($D119,'Visu totale'!$D:$DH,CP$1,0),1)="V",IF(CO119&gt;=INDEX('[1]Définition Maintenances'!$G:$G,MATCH($A119,'[1]Définition Maintenances'!$K:$K,0)),CO119,INDEX('[1]Définition Maintenances'!$G:$G,MATCH($A119,'[1]Définition Maintenances'!$K:$K,0))+CO119),CO119))</f>
        <v>867</v>
      </c>
      <c r="CQ119" s="26">
        <f>IF(ISNUMBER(VLOOKUP($D119,'Visu totale'!$D:$DH,CQ$1,0)),CP119-VLOOKUP($D119,'Visu totale'!$D:$DH,CQ$1,0),IF(LEFT(VLOOKUP($D119,'Visu totale'!$D:$DH,CQ$1,0),1)="V",IF(CP119&gt;=INDEX('[1]Définition Maintenances'!$G:$G,MATCH($A119,'[1]Définition Maintenances'!$K:$K,0)),CP119,INDEX('[1]Définition Maintenances'!$G:$G,MATCH($A119,'[1]Définition Maintenances'!$K:$K,0))+CP119),CP119))</f>
        <v>867</v>
      </c>
      <c r="CR119" s="26">
        <f>IF(ISNUMBER(VLOOKUP($D119,'Visu totale'!$D:$DH,CR$1,0)),CQ119-VLOOKUP($D119,'Visu totale'!$D:$DH,CR$1,0),IF(LEFT(VLOOKUP($D119,'Visu totale'!$D:$DH,CR$1,0),1)="V",IF(CQ119&gt;=INDEX('[1]Définition Maintenances'!$G:$G,MATCH($A119,'[1]Définition Maintenances'!$K:$K,0)),CQ119,INDEX('[1]Définition Maintenances'!$G:$G,MATCH($A119,'[1]Définition Maintenances'!$K:$K,0))+CQ119),CQ119))</f>
        <v>867</v>
      </c>
      <c r="CS119" s="26">
        <f>IF(ISNUMBER(VLOOKUP($D119,'Visu totale'!$D:$DH,CS$1,0)),CR119-VLOOKUP($D119,'Visu totale'!$D:$DH,CS$1,0),IF(LEFT(VLOOKUP($D119,'Visu totale'!$D:$DH,CS$1,0),1)="V",IF(CR119&gt;=INDEX('[1]Définition Maintenances'!$G:$G,MATCH($A119,'[1]Définition Maintenances'!$K:$K,0)),CR119,INDEX('[1]Définition Maintenances'!$G:$G,MATCH($A119,'[1]Définition Maintenances'!$K:$K,0))+CR119),CR119))</f>
        <v>867</v>
      </c>
      <c r="CT119" s="26">
        <f>IF(ISNUMBER(VLOOKUP($D119,'Visu totale'!$D:$DH,CT$1,0)),CS119-VLOOKUP($D119,'Visu totale'!$D:$DH,CT$1,0),IF(LEFT(VLOOKUP($D119,'Visu totale'!$D:$DH,CT$1,0),1)="V",IF(CS119&gt;=INDEX('[1]Définition Maintenances'!$G:$G,MATCH($A119,'[1]Définition Maintenances'!$K:$K,0)),CS119,INDEX('[1]Définition Maintenances'!$G:$G,MATCH($A119,'[1]Définition Maintenances'!$K:$K,0))+CS119),CS119))</f>
        <v>867</v>
      </c>
      <c r="CU119" s="26">
        <f>IF(ISNUMBER(VLOOKUP($D119,'Visu totale'!$D:$DH,CU$1,0)),CT119-VLOOKUP($D119,'Visu totale'!$D:$DH,CU$1,0),IF(LEFT(VLOOKUP($D119,'Visu totale'!$D:$DH,CU$1,0),1)="V",IF(CT119&gt;=INDEX('[1]Définition Maintenances'!$G:$G,MATCH($A119,'[1]Définition Maintenances'!$K:$K,0)),CT119,INDEX('[1]Définition Maintenances'!$G:$G,MATCH($A119,'[1]Définition Maintenances'!$K:$K,0))+CT119),CT119))</f>
        <v>867</v>
      </c>
      <c r="CV119" s="26">
        <f>IF(ISNUMBER(VLOOKUP($D119,'Visu totale'!$D:$DH,CV$1,0)),CU119-VLOOKUP($D119,'Visu totale'!$D:$DH,CV$1,0),IF(LEFT(VLOOKUP($D119,'Visu totale'!$D:$DH,CV$1,0),1)="V",IF(CU119&gt;=INDEX('[1]Définition Maintenances'!$G:$G,MATCH($A119,'[1]Définition Maintenances'!$K:$K,0)),CU119,INDEX('[1]Définition Maintenances'!$G:$G,MATCH($A119,'[1]Définition Maintenances'!$K:$K,0))+CU119),CU119))</f>
        <v>867</v>
      </c>
      <c r="CW119" s="27">
        <f>IF(ISNUMBER(VLOOKUP($D119,'Visu totale'!$D:$DH,CW$1,0)),CV119-VLOOKUP($D119,'Visu totale'!$D:$DH,CW$1,0),IF(LEFT(VLOOKUP($D119,'Visu totale'!$D:$DH,CW$1,0),1)="V",IF(CV119&gt;=INDEX('[1]Définition Maintenances'!$G:$G,MATCH($A119,'[1]Définition Maintenances'!$K:$K,0)),CV119,INDEX('[1]Définition Maintenances'!$G:$G,MATCH($A119,'[1]Définition Maintenances'!$K:$K,0))+CV119),CV119))</f>
        <v>867</v>
      </c>
      <c r="CX119" s="25">
        <f>IF(ISNUMBER(VLOOKUP($D119,'Visu totale'!$D:$DH,CX$1,0)),CW119-VLOOKUP($D119,'Visu totale'!$D:$DH,CX$1,0),IF(LEFT(VLOOKUP($D119,'Visu totale'!$D:$DH,CX$1,0),1)="V",IF(CW119&gt;=INDEX('[1]Définition Maintenances'!$G:$G,MATCH($A119,'[1]Définition Maintenances'!$K:$K,0)),CW119,INDEX('[1]Définition Maintenances'!$G:$G,MATCH($A119,'[1]Définition Maintenances'!$K:$K,0))+CW119),CW119))</f>
        <v>867</v>
      </c>
      <c r="CY119" s="26">
        <f>IF(ISNUMBER(VLOOKUP($D119,'Visu totale'!$D:$DH,CY$1,0)),CX119-VLOOKUP($D119,'Visu totale'!$D:$DH,CY$1,0),IF(LEFT(VLOOKUP($D119,'Visu totale'!$D:$DH,CY$1,0),1)="V",IF(CX119&gt;=INDEX('[1]Définition Maintenances'!$G:$G,MATCH($A119,'[1]Définition Maintenances'!$K:$K,0)),CX119,INDEX('[1]Définition Maintenances'!$G:$G,MATCH($A119,'[1]Définition Maintenances'!$K:$K,0))+CX119),CX119))</f>
        <v>867</v>
      </c>
      <c r="CZ119" s="26">
        <f>IF(ISNUMBER(VLOOKUP($D119,'Visu totale'!$D:$DH,CZ$1,0)),CY119-VLOOKUP($D119,'Visu totale'!$D:$DH,CZ$1,0),IF(LEFT(VLOOKUP($D119,'Visu totale'!$D:$DH,CZ$1,0),1)="V",IF(CY119&gt;=INDEX('[1]Définition Maintenances'!$G:$G,MATCH($A119,'[1]Définition Maintenances'!$K:$K,0)),CY119,INDEX('[1]Définition Maintenances'!$G:$G,MATCH($A119,'[1]Définition Maintenances'!$K:$K,0))+CY119),CY119))</f>
        <v>867</v>
      </c>
      <c r="DA119" s="26">
        <f>IF(ISNUMBER(VLOOKUP($D119,'Visu totale'!$D:$DH,DA$1,0)),CZ119-VLOOKUP($D119,'Visu totale'!$D:$DH,DA$1,0),IF(LEFT(VLOOKUP($D119,'Visu totale'!$D:$DH,DA$1,0),1)="V",IF(CZ119&gt;=INDEX('[1]Définition Maintenances'!$G:$G,MATCH($A119,'[1]Définition Maintenances'!$K:$K,0)),CZ119,INDEX('[1]Définition Maintenances'!$G:$G,MATCH($A119,'[1]Définition Maintenances'!$K:$K,0))+CZ119),CZ119))</f>
        <v>867</v>
      </c>
      <c r="DB119" s="26">
        <f>IF(ISNUMBER(VLOOKUP($D119,'Visu totale'!$D:$DH,DB$1,0)),DA119-VLOOKUP($D119,'Visu totale'!$D:$DH,DB$1,0),IF(LEFT(VLOOKUP($D119,'Visu totale'!$D:$DH,DB$1,0),1)="V",IF(DA119&gt;=INDEX('[1]Définition Maintenances'!$G:$G,MATCH($A119,'[1]Définition Maintenances'!$K:$K,0)),DA119,INDEX('[1]Définition Maintenances'!$G:$G,MATCH($A119,'[1]Définition Maintenances'!$K:$K,0))+DA119),DA119))</f>
        <v>867</v>
      </c>
      <c r="DC119" s="26">
        <f>IF(ISNUMBER(VLOOKUP($D119,'Visu totale'!$D:$DH,DC$1,0)),DB119-VLOOKUP($D119,'Visu totale'!$D:$DH,DC$1,0),IF(LEFT(VLOOKUP($D119,'Visu totale'!$D:$DH,DC$1,0),1)="V",IF(DB119&gt;=INDEX('[1]Définition Maintenances'!$G:$G,MATCH($A119,'[1]Définition Maintenances'!$K:$K,0)),DB119,INDEX('[1]Définition Maintenances'!$G:$G,MATCH($A119,'[1]Définition Maintenances'!$K:$K,0))+DB119),DB119))</f>
        <v>867</v>
      </c>
      <c r="DD119" s="26">
        <f>IF(ISNUMBER(VLOOKUP($D119,'Visu totale'!$D:$DH,DD$1,0)),DC119-VLOOKUP($D119,'Visu totale'!$D:$DH,DD$1,0),IF(LEFT(VLOOKUP($D119,'Visu totale'!$D:$DH,DD$1,0),1)="V",IF(DC119&gt;=INDEX('[1]Définition Maintenances'!$G:$G,MATCH($A119,'[1]Définition Maintenances'!$K:$K,0)),DC119,INDEX('[1]Définition Maintenances'!$G:$G,MATCH($A119,'[1]Définition Maintenances'!$K:$K,0))+DC119),DC119))</f>
        <v>867</v>
      </c>
      <c r="DE119" s="26">
        <f>IF(ISNUMBER(VLOOKUP($D119,'Visu totale'!$D:$DH,DE$1,0)),DD119-VLOOKUP($D119,'Visu totale'!$D:$DH,DE$1,0),IF(LEFT(VLOOKUP($D119,'Visu totale'!$D:$DH,DE$1,0),1)="V",IF(DD119&gt;=INDEX('[1]Définition Maintenances'!$G:$G,MATCH($A119,'[1]Définition Maintenances'!$K:$K,0)),DD119,INDEX('[1]Définition Maintenances'!$G:$G,MATCH($A119,'[1]Définition Maintenances'!$K:$K,0))+DD119),DD119))</f>
        <v>867</v>
      </c>
      <c r="DF119" s="26">
        <f>IF(ISNUMBER(VLOOKUP($D119,'Visu totale'!$D:$DH,DF$1,0)),DE119-VLOOKUP($D119,'Visu totale'!$D:$DH,DF$1,0),IF(LEFT(VLOOKUP($D119,'Visu totale'!$D:$DH,DF$1,0),1)="V",IF(DE119&gt;=INDEX('[1]Définition Maintenances'!$G:$G,MATCH($A119,'[1]Définition Maintenances'!$K:$K,0)),DE119,INDEX('[1]Définition Maintenances'!$G:$G,MATCH($A119,'[1]Définition Maintenances'!$K:$K,0))+DE119),DE119))</f>
        <v>867</v>
      </c>
      <c r="DG119" s="26">
        <f>IF(ISNUMBER(VLOOKUP($D119,'Visu totale'!$D:$DH,DG$1,0)),DF119-VLOOKUP($D119,'Visu totale'!$D:$DH,DG$1,0),IF(LEFT(VLOOKUP($D119,'Visu totale'!$D:$DH,DG$1,0),1)="V",IF(DF119&gt;=INDEX('[1]Définition Maintenances'!$G:$G,MATCH($A119,'[1]Définition Maintenances'!$K:$K,0)),DF119,INDEX('[1]Définition Maintenances'!$G:$G,MATCH($A119,'[1]Définition Maintenances'!$K:$K,0))+DF119),DF119))</f>
        <v>867</v>
      </c>
      <c r="DH119" s="26">
        <f>IF(ISNUMBER(VLOOKUP($D119,'Visu totale'!$D:$DH,DH$1,0)),DG119-VLOOKUP($D119,'Visu totale'!$D:$DH,DH$1,0),IF(LEFT(VLOOKUP($D119,'Visu totale'!$D:$DH,DH$1,0),1)="V",IF(DG119&gt;=INDEX('[1]Définition Maintenances'!$G:$G,MATCH($A119,'[1]Définition Maintenances'!$K:$K,0)),DG119,INDEX('[1]Définition Maintenances'!$G:$G,MATCH($A119,'[1]Définition Maintenances'!$K:$K,0))+DG119),DG119))</f>
        <v>867</v>
      </c>
      <c r="DI119" s="27">
        <f>IF(ISNUMBER(VLOOKUP($D119,'Visu totale'!$D:$DH,DI$1,0)),DH119-VLOOKUP($D119,'Visu totale'!$D:$DH,DI$1,0),IF(LEFT(VLOOKUP($D119,'Visu totale'!$D:$DH,DI$1,0),1)="V",IF(DH119&gt;=INDEX('[1]Définition Maintenances'!$G:$G,MATCH($A119,'[1]Définition Maintenances'!$K:$K,0)),DH119,INDEX('[1]Définition Maintenances'!$G:$G,MATCH($A119,'[1]Définition Maintenances'!$K:$K,0))+DH119),DH119))</f>
        <v>867</v>
      </c>
    </row>
    <row r="120" spans="1:113" x14ac:dyDescent="0.25">
      <c r="A120" s="13" t="str">
        <f t="shared" si="3"/>
        <v>V205</v>
      </c>
      <c r="B120" s="13" t="str">
        <f>VLOOKUP(D120,'[1]Avions (Potentiels)'!$B$2:$H$128,7,FALSE)</f>
        <v>V20</v>
      </c>
      <c r="C120" s="13"/>
      <c r="D120" s="16" t="s">
        <v>123</v>
      </c>
      <c r="E120" s="13">
        <f>IFERROR(VALUE(SUBSTITUTE(VLOOKUP(D120,'[1]Avions (Potentiels)'!$B:$E,4,0),".",",")),VALUE(VLOOKUP(D120,'[1]Avions (Potentiels)'!$B:$E,4,0)))</f>
        <v>599</v>
      </c>
      <c r="F120" s="25">
        <f>IF(ISNUMBER(VLOOKUP($D120,'Visu totale'!$D:$DH,F$1,0)),E120-VLOOKUP($D120,'Visu totale'!$D:$DH,F$1,0),IF(LEFT(VLOOKUP($D120,'Visu totale'!$D:$DH,F$1,0),1)="V",IF(E120&gt;=INDEX('[1]Définition Maintenances'!$G:$G,MATCH($A120,'[1]Définition Maintenances'!$K:$K,0)),E120,INDEX('[1]Définition Maintenances'!$G:$G,MATCH($A120,'[1]Définition Maintenances'!$K:$K,0))+E120),E120))</f>
        <v>599</v>
      </c>
      <c r="G120" s="26">
        <f>IF(ISNUMBER(VLOOKUP($D120,'Visu totale'!$D:$DH,G$1,0)),F120-VLOOKUP($D120,'Visu totale'!$D:$DH,G$1,0),IF(LEFT(VLOOKUP($D120,'Visu totale'!$D:$DH,G$1,0),1)="V",IF(F120&gt;=INDEX('[1]Définition Maintenances'!$G:$G,MATCH($A120,'[1]Définition Maintenances'!$K:$K,0)),F120,INDEX('[1]Définition Maintenances'!$G:$G,MATCH($A120,'[1]Définition Maintenances'!$K:$K,0))+F120),F120))</f>
        <v>599</v>
      </c>
      <c r="H120" s="26">
        <f>IF(ISNUMBER(VLOOKUP($D120,'Visu totale'!$D:$DH,H$1,0)),G120-VLOOKUP($D120,'Visu totale'!$D:$DH,H$1,0),IF(LEFT(VLOOKUP($D120,'Visu totale'!$D:$DH,H$1,0),1)="V",IF(G120&gt;=INDEX('[1]Définition Maintenances'!$G:$G,MATCH($A120,'[1]Définition Maintenances'!$K:$K,0)),G120,INDEX('[1]Définition Maintenances'!$G:$G,MATCH($A120,'[1]Définition Maintenances'!$K:$K,0))+G120),G120))</f>
        <v>599</v>
      </c>
      <c r="I120" s="26">
        <f>IF(ISNUMBER(VLOOKUP($D120,'Visu totale'!$D:$DH,I$1,0)),H120-VLOOKUP($D120,'Visu totale'!$D:$DH,I$1,0),IF(LEFT(VLOOKUP($D120,'Visu totale'!$D:$DH,I$1,0),1)="V",IF(H120&gt;=INDEX('[1]Définition Maintenances'!$G:$G,MATCH($A120,'[1]Définition Maintenances'!$K:$K,0)),H120,INDEX('[1]Définition Maintenances'!$G:$G,MATCH($A120,'[1]Définition Maintenances'!$K:$K,0))+H120),H120))</f>
        <v>599</v>
      </c>
      <c r="J120" s="26">
        <f>IF(ISNUMBER(VLOOKUP($D120,'Visu totale'!$D:$DH,J$1,0)),I120-VLOOKUP($D120,'Visu totale'!$D:$DH,J$1,0),IF(LEFT(VLOOKUP($D120,'Visu totale'!$D:$DH,J$1,0),1)="V",IF(I120&gt;=INDEX('[1]Définition Maintenances'!$G:$G,MATCH($A120,'[1]Définition Maintenances'!$K:$K,0)),I120,INDEX('[1]Définition Maintenances'!$G:$G,MATCH($A120,'[1]Définition Maintenances'!$K:$K,0))+I120),I120))</f>
        <v>599</v>
      </c>
      <c r="K120" s="26">
        <f>IF(ISNUMBER(VLOOKUP($D120,'Visu totale'!$D:$DH,K$1,0)),J120-VLOOKUP($D120,'Visu totale'!$D:$DH,K$1,0),IF(LEFT(VLOOKUP($D120,'Visu totale'!$D:$DH,K$1,0),1)="V",IF(J120&gt;=INDEX('[1]Définition Maintenances'!$G:$G,MATCH($A120,'[1]Définition Maintenances'!$K:$K,0)),J120,INDEX('[1]Définition Maintenances'!$G:$G,MATCH($A120,'[1]Définition Maintenances'!$K:$K,0))+J120),J120))</f>
        <v>599</v>
      </c>
      <c r="L120" s="26">
        <f>IF(ISNUMBER(VLOOKUP($D120,'Visu totale'!$D:$DH,L$1,0)),K120-VLOOKUP($D120,'Visu totale'!$D:$DH,L$1,0),IF(LEFT(VLOOKUP($D120,'Visu totale'!$D:$DH,L$1,0),1)="V",IF(K120&gt;=INDEX('[1]Définition Maintenances'!$G:$G,MATCH($A120,'[1]Définition Maintenances'!$K:$K,0)),K120,INDEX('[1]Définition Maintenances'!$G:$G,MATCH($A120,'[1]Définition Maintenances'!$K:$K,0))+K120),K120))</f>
        <v>599</v>
      </c>
      <c r="M120" s="26">
        <f>IF(ISNUMBER(VLOOKUP($D120,'Visu totale'!$D:$DH,M$1,0)),L120-VLOOKUP($D120,'Visu totale'!$D:$DH,M$1,0),IF(LEFT(VLOOKUP($D120,'Visu totale'!$D:$DH,M$1,0),1)="V",IF(L120&gt;=INDEX('[1]Définition Maintenances'!$G:$G,MATCH($A120,'[1]Définition Maintenances'!$K:$K,0)),L120,INDEX('[1]Définition Maintenances'!$G:$G,MATCH($A120,'[1]Définition Maintenances'!$K:$K,0))+L120),L120))</f>
        <v>599</v>
      </c>
      <c r="N120" s="26">
        <f>IF(ISNUMBER(VLOOKUP($D120,'Visu totale'!$D:$DH,N$1,0)),M120-VLOOKUP($D120,'Visu totale'!$D:$DH,N$1,0),IF(LEFT(VLOOKUP($D120,'Visu totale'!$D:$DH,N$1,0),1)="V",IF(M120&gt;=INDEX('[1]Définition Maintenances'!$G:$G,MATCH($A120,'[1]Définition Maintenances'!$K:$K,0)),M120,INDEX('[1]Définition Maintenances'!$G:$G,MATCH($A120,'[1]Définition Maintenances'!$K:$K,0))+M120),M120))</f>
        <v>599</v>
      </c>
      <c r="O120" s="26">
        <f>IF(ISNUMBER(VLOOKUP($D120,'Visu totale'!$D:$DH,O$1,0)),N120-VLOOKUP($D120,'Visu totale'!$D:$DH,O$1,0),IF(LEFT(VLOOKUP($D120,'Visu totale'!$D:$DH,O$1,0),1)="V",IF(N120&gt;=INDEX('[1]Définition Maintenances'!$G:$G,MATCH($A120,'[1]Définition Maintenances'!$K:$K,0)),N120,INDEX('[1]Définition Maintenances'!$G:$G,MATCH($A120,'[1]Définition Maintenances'!$K:$K,0))+N120),N120))</f>
        <v>599</v>
      </c>
      <c r="P120" s="26">
        <f>IF(ISNUMBER(VLOOKUP($D120,'Visu totale'!$D:$DH,P$1,0)),O120-VLOOKUP($D120,'Visu totale'!$D:$DH,P$1,0),IF(LEFT(VLOOKUP($D120,'Visu totale'!$D:$DH,P$1,0),1)="V",IF(O120&gt;=INDEX('[1]Définition Maintenances'!$G:$G,MATCH($A120,'[1]Définition Maintenances'!$K:$K,0)),O120,INDEX('[1]Définition Maintenances'!$G:$G,MATCH($A120,'[1]Définition Maintenances'!$K:$K,0))+O120),O120))</f>
        <v>599</v>
      </c>
      <c r="Q120" s="27">
        <f>IF(ISNUMBER(VLOOKUP($D120,'Visu totale'!$D:$DH,Q$1,0)),P120-VLOOKUP($D120,'Visu totale'!$D:$DH,Q$1,0),IF(LEFT(VLOOKUP($D120,'Visu totale'!$D:$DH,Q$1,0),1)="V",IF(P120&gt;=INDEX('[1]Définition Maintenances'!$G:$G,MATCH($A120,'[1]Définition Maintenances'!$K:$K,0)),P120,INDEX('[1]Définition Maintenances'!$G:$G,MATCH($A120,'[1]Définition Maintenances'!$K:$K,0))+P120),P120))</f>
        <v>599</v>
      </c>
      <c r="R120" s="25">
        <f>IF(ISNUMBER(VLOOKUP($D120,'Visu totale'!$D:$DH,R$1,0)),Q120-VLOOKUP($D120,'Visu totale'!$D:$DH,R$1,0),IF(LEFT(VLOOKUP($D120,'Visu totale'!$D:$DH,R$1,0),1)="V",IF(Q120&gt;=INDEX('[1]Définition Maintenances'!$G:$G,MATCH($A120,'[1]Définition Maintenances'!$K:$K,0)),Q120,INDEX('[1]Définition Maintenances'!$G:$G,MATCH($A120,'[1]Définition Maintenances'!$K:$K,0))+Q120),Q120))</f>
        <v>599</v>
      </c>
      <c r="S120" s="26">
        <f>IF(ISNUMBER(VLOOKUP($D120,'Visu totale'!$D:$DH,S$1,0)),R120-VLOOKUP($D120,'Visu totale'!$D:$DH,S$1,0),IF(LEFT(VLOOKUP($D120,'Visu totale'!$D:$DH,S$1,0),1)="V",IF(R120&gt;=INDEX('[1]Définition Maintenances'!$G:$G,MATCH($A120,'[1]Définition Maintenances'!$K:$K,0)),R120,INDEX('[1]Définition Maintenances'!$G:$G,MATCH($A120,'[1]Définition Maintenances'!$K:$K,0))+R120),R120))</f>
        <v>599</v>
      </c>
      <c r="T120" s="26">
        <f>IF(ISNUMBER(VLOOKUP($D120,'Visu totale'!$D:$DH,T$1,0)),S120-VLOOKUP($D120,'Visu totale'!$D:$DH,T$1,0),IF(LEFT(VLOOKUP($D120,'Visu totale'!$D:$DH,T$1,0),1)="V",IF(S120&gt;=INDEX('[1]Définition Maintenances'!$G:$G,MATCH($A120,'[1]Définition Maintenances'!$K:$K,0)),S120,INDEX('[1]Définition Maintenances'!$G:$G,MATCH($A120,'[1]Définition Maintenances'!$K:$K,0))+S120),S120))</f>
        <v>599</v>
      </c>
      <c r="U120" s="26">
        <f>IF(ISNUMBER(VLOOKUP($D120,'Visu totale'!$D:$DH,U$1,0)),T120-VLOOKUP($D120,'Visu totale'!$D:$DH,U$1,0),IF(LEFT(VLOOKUP($D120,'Visu totale'!$D:$DH,U$1,0),1)="V",IF(T120&gt;=INDEX('[1]Définition Maintenances'!$G:$G,MATCH($A120,'[1]Définition Maintenances'!$K:$K,0)),T120,INDEX('[1]Définition Maintenances'!$G:$G,MATCH($A120,'[1]Définition Maintenances'!$K:$K,0))+T120),T120))</f>
        <v>599</v>
      </c>
      <c r="V120" s="26">
        <f>IF(ISNUMBER(VLOOKUP($D120,'Visu totale'!$D:$DH,V$1,0)),U120-VLOOKUP($D120,'Visu totale'!$D:$DH,V$1,0),IF(LEFT(VLOOKUP($D120,'Visu totale'!$D:$DH,V$1,0),1)="V",IF(U120&gt;=INDEX('[1]Définition Maintenances'!$G:$G,MATCH($A120,'[1]Définition Maintenances'!$K:$K,0)),U120,INDEX('[1]Définition Maintenances'!$G:$G,MATCH($A120,'[1]Définition Maintenances'!$K:$K,0))+U120),U120))</f>
        <v>599</v>
      </c>
      <c r="W120" s="26">
        <f>IF(ISNUMBER(VLOOKUP($D120,'Visu totale'!$D:$DH,W$1,0)),V120-VLOOKUP($D120,'Visu totale'!$D:$DH,W$1,0),IF(LEFT(VLOOKUP($D120,'Visu totale'!$D:$DH,W$1,0),1)="V",IF(V120&gt;=INDEX('[1]Définition Maintenances'!$G:$G,MATCH($A120,'[1]Définition Maintenances'!$K:$K,0)),V120,INDEX('[1]Définition Maintenances'!$G:$G,MATCH($A120,'[1]Définition Maintenances'!$K:$K,0))+V120),V120))</f>
        <v>599</v>
      </c>
      <c r="X120" s="26">
        <f>IF(ISNUMBER(VLOOKUP($D120,'Visu totale'!$D:$DH,X$1,0)),W120-VLOOKUP($D120,'Visu totale'!$D:$DH,X$1,0),IF(LEFT(VLOOKUP($D120,'Visu totale'!$D:$DH,X$1,0),1)="V",IF(W120&gt;=INDEX('[1]Définition Maintenances'!$G:$G,MATCH($A120,'[1]Définition Maintenances'!$K:$K,0)),W120,INDEX('[1]Définition Maintenances'!$G:$G,MATCH($A120,'[1]Définition Maintenances'!$K:$K,0))+W120),W120))</f>
        <v>599</v>
      </c>
      <c r="Y120" s="26">
        <f>IF(ISNUMBER(VLOOKUP($D120,'Visu totale'!$D:$DH,Y$1,0)),X120-VLOOKUP($D120,'Visu totale'!$D:$DH,Y$1,0),IF(LEFT(VLOOKUP($D120,'Visu totale'!$D:$DH,Y$1,0),1)="V",IF(X120&gt;=INDEX('[1]Définition Maintenances'!$G:$G,MATCH($A120,'[1]Définition Maintenances'!$K:$K,0)),X120,INDEX('[1]Définition Maintenances'!$G:$G,MATCH($A120,'[1]Définition Maintenances'!$K:$K,0))+X120),X120))</f>
        <v>599</v>
      </c>
      <c r="Z120" s="26">
        <f>IF(ISNUMBER(VLOOKUP($D120,'Visu totale'!$D:$DH,Z$1,0)),Y120-VLOOKUP($D120,'Visu totale'!$D:$DH,Z$1,0),IF(LEFT(VLOOKUP($D120,'Visu totale'!$D:$DH,Z$1,0),1)="V",IF(Y120&gt;=INDEX('[1]Définition Maintenances'!$G:$G,MATCH($A120,'[1]Définition Maintenances'!$K:$K,0)),Y120,INDEX('[1]Définition Maintenances'!$G:$G,MATCH($A120,'[1]Définition Maintenances'!$K:$K,0))+Y120),Y120))</f>
        <v>599</v>
      </c>
      <c r="AA120" s="26">
        <f>IF(ISNUMBER(VLOOKUP($D120,'Visu totale'!$D:$DH,AA$1,0)),Z120-VLOOKUP($D120,'Visu totale'!$D:$DH,AA$1,0),IF(LEFT(VLOOKUP($D120,'Visu totale'!$D:$DH,AA$1,0),1)="V",IF(Z120&gt;=INDEX('[1]Définition Maintenances'!$G:$G,MATCH($A120,'[1]Définition Maintenances'!$K:$K,0)),Z120,INDEX('[1]Définition Maintenances'!$G:$G,MATCH($A120,'[1]Définition Maintenances'!$K:$K,0))+Z120),Z120))</f>
        <v>599</v>
      </c>
      <c r="AB120" s="26">
        <f>IF(ISNUMBER(VLOOKUP($D120,'Visu totale'!$D:$DH,AB$1,0)),AA120-VLOOKUP($D120,'Visu totale'!$D:$DH,AB$1,0),IF(LEFT(VLOOKUP($D120,'Visu totale'!$D:$DH,AB$1,0),1)="V",IF(AA120&gt;=INDEX('[1]Définition Maintenances'!$G:$G,MATCH($A120,'[1]Définition Maintenances'!$K:$K,0)),AA120,INDEX('[1]Définition Maintenances'!$G:$G,MATCH($A120,'[1]Définition Maintenances'!$K:$K,0))+AA120),AA120))</f>
        <v>599</v>
      </c>
      <c r="AC120" s="27">
        <f>IF(ISNUMBER(VLOOKUP($D120,'Visu totale'!$D:$DH,AC$1,0)),AB120-VLOOKUP($D120,'Visu totale'!$D:$DH,AC$1,0),IF(LEFT(VLOOKUP($D120,'Visu totale'!$D:$DH,AC$1,0),1)="V",IF(AB120&gt;=INDEX('[1]Définition Maintenances'!$G:$G,MATCH($A120,'[1]Définition Maintenances'!$K:$K,0)),AB120,INDEX('[1]Définition Maintenances'!$G:$G,MATCH($A120,'[1]Définition Maintenances'!$K:$K,0))+AB120),AB120))</f>
        <v>599</v>
      </c>
      <c r="AD120" s="25">
        <f>IF(ISNUMBER(VLOOKUP($D120,'Visu totale'!$D:$DH,AD$1,0)),AC120-VLOOKUP($D120,'Visu totale'!$D:$DH,AD$1,0),IF(LEFT(VLOOKUP($D120,'Visu totale'!$D:$DH,AD$1,0),1)="V",IF(AC120&gt;=INDEX('[1]Définition Maintenances'!$G:$G,MATCH($A120,'[1]Définition Maintenances'!$K:$K,0)),AC120,INDEX('[1]Définition Maintenances'!$G:$G,MATCH($A120,'[1]Définition Maintenances'!$K:$K,0))+AC120),AC120))</f>
        <v>599</v>
      </c>
      <c r="AE120" s="26">
        <f>IF(ISNUMBER(VLOOKUP($D120,'Visu totale'!$D:$DH,AE$1,0)),AD120-VLOOKUP($D120,'Visu totale'!$D:$DH,AE$1,0),IF(LEFT(VLOOKUP($D120,'Visu totale'!$D:$DH,AE$1,0),1)="V",IF(AD120&gt;=INDEX('[1]Définition Maintenances'!$G:$G,MATCH($A120,'[1]Définition Maintenances'!$K:$K,0)),AD120,INDEX('[1]Définition Maintenances'!$G:$G,MATCH($A120,'[1]Définition Maintenances'!$K:$K,0))+AD120),AD120))</f>
        <v>599</v>
      </c>
      <c r="AF120" s="26">
        <f>IF(ISNUMBER(VLOOKUP($D120,'Visu totale'!$D:$DH,AF$1,0)),AE120-VLOOKUP($D120,'Visu totale'!$D:$DH,AF$1,0),IF(LEFT(VLOOKUP($D120,'Visu totale'!$D:$DH,AF$1,0),1)="V",IF(AE120&gt;=INDEX('[1]Définition Maintenances'!$G:$G,MATCH($A120,'[1]Définition Maintenances'!$K:$K,0)),AE120,INDEX('[1]Définition Maintenances'!$G:$G,MATCH($A120,'[1]Définition Maintenances'!$K:$K,0))+AE120),AE120))</f>
        <v>599</v>
      </c>
      <c r="AG120" s="26">
        <f>IF(ISNUMBER(VLOOKUP($D120,'Visu totale'!$D:$DH,AG$1,0)),AF120-VLOOKUP($D120,'Visu totale'!$D:$DH,AG$1,0),IF(LEFT(VLOOKUP($D120,'Visu totale'!$D:$DH,AG$1,0),1)="V",IF(AF120&gt;=INDEX('[1]Définition Maintenances'!$G:$G,MATCH($A120,'[1]Définition Maintenances'!$K:$K,0)),AF120,INDEX('[1]Définition Maintenances'!$G:$G,MATCH($A120,'[1]Définition Maintenances'!$K:$K,0))+AF120),AF120))</f>
        <v>599</v>
      </c>
      <c r="AH120" s="26">
        <f>IF(ISNUMBER(VLOOKUP($D120,'Visu totale'!$D:$DH,AH$1,0)),AG120-VLOOKUP($D120,'Visu totale'!$D:$DH,AH$1,0),IF(LEFT(VLOOKUP($D120,'Visu totale'!$D:$DH,AH$1,0),1)="V",IF(AG120&gt;=INDEX('[1]Définition Maintenances'!$G:$G,MATCH($A120,'[1]Définition Maintenances'!$K:$K,0)),AG120,INDEX('[1]Définition Maintenances'!$G:$G,MATCH($A120,'[1]Définition Maintenances'!$K:$K,0))+AG120),AG120))</f>
        <v>599</v>
      </c>
      <c r="AI120" s="26">
        <f>IF(ISNUMBER(VLOOKUP($D120,'Visu totale'!$D:$DH,AI$1,0)),AH120-VLOOKUP($D120,'Visu totale'!$D:$DH,AI$1,0),IF(LEFT(VLOOKUP($D120,'Visu totale'!$D:$DH,AI$1,0),1)="V",IF(AH120&gt;=INDEX('[1]Définition Maintenances'!$G:$G,MATCH($A120,'[1]Définition Maintenances'!$K:$K,0)),AH120,INDEX('[1]Définition Maintenances'!$G:$G,MATCH($A120,'[1]Définition Maintenances'!$K:$K,0))+AH120),AH120))</f>
        <v>599</v>
      </c>
      <c r="AJ120" s="26">
        <f>IF(ISNUMBER(VLOOKUP($D120,'Visu totale'!$D:$DH,AJ$1,0)),AI120-VLOOKUP($D120,'Visu totale'!$D:$DH,AJ$1,0),IF(LEFT(VLOOKUP($D120,'Visu totale'!$D:$DH,AJ$1,0),1)="V",IF(AI120&gt;=INDEX('[1]Définition Maintenances'!$G:$G,MATCH($A120,'[1]Définition Maintenances'!$K:$K,0)),AI120,INDEX('[1]Définition Maintenances'!$G:$G,MATCH($A120,'[1]Définition Maintenances'!$K:$K,0))+AI120),AI120))</f>
        <v>599</v>
      </c>
      <c r="AK120" s="26">
        <f>IF(ISNUMBER(VLOOKUP($D120,'Visu totale'!$D:$DH,AK$1,0)),AJ120-VLOOKUP($D120,'Visu totale'!$D:$DH,AK$1,0),IF(LEFT(VLOOKUP($D120,'Visu totale'!$D:$DH,AK$1,0),1)="V",IF(AJ120&gt;=INDEX('[1]Définition Maintenances'!$G:$G,MATCH($A120,'[1]Définition Maintenances'!$K:$K,0)),AJ120,INDEX('[1]Définition Maintenances'!$G:$G,MATCH($A120,'[1]Définition Maintenances'!$K:$K,0))+AJ120),AJ120))</f>
        <v>599</v>
      </c>
      <c r="AL120" s="26">
        <f>IF(ISNUMBER(VLOOKUP($D120,'Visu totale'!$D:$DH,AL$1,0)),AK120-VLOOKUP($D120,'Visu totale'!$D:$DH,AL$1,0),IF(LEFT(VLOOKUP($D120,'Visu totale'!$D:$DH,AL$1,0),1)="V",IF(AK120&gt;=INDEX('[1]Définition Maintenances'!$G:$G,MATCH($A120,'[1]Définition Maintenances'!$K:$K,0)),AK120,INDEX('[1]Définition Maintenances'!$G:$G,MATCH($A120,'[1]Définition Maintenances'!$K:$K,0))+AK120),AK120))</f>
        <v>599</v>
      </c>
      <c r="AM120" s="26">
        <f>IF(ISNUMBER(VLOOKUP($D120,'Visu totale'!$D:$DH,AM$1,0)),AL120-VLOOKUP($D120,'Visu totale'!$D:$DH,AM$1,0),IF(LEFT(VLOOKUP($D120,'Visu totale'!$D:$DH,AM$1,0),1)="V",IF(AL120&gt;=INDEX('[1]Définition Maintenances'!$G:$G,MATCH($A120,'[1]Définition Maintenances'!$K:$K,0)),AL120,INDEX('[1]Définition Maintenances'!$G:$G,MATCH($A120,'[1]Définition Maintenances'!$K:$K,0))+AL120),AL120))</f>
        <v>599</v>
      </c>
      <c r="AN120" s="26">
        <f>IF(ISNUMBER(VLOOKUP($D120,'Visu totale'!$D:$DH,AN$1,0)),AM120-VLOOKUP($D120,'Visu totale'!$D:$DH,AN$1,0),IF(LEFT(VLOOKUP($D120,'Visu totale'!$D:$DH,AN$1,0),1)="V",IF(AM120&gt;=INDEX('[1]Définition Maintenances'!$G:$G,MATCH($A120,'[1]Définition Maintenances'!$K:$K,0)),AM120,INDEX('[1]Définition Maintenances'!$G:$G,MATCH($A120,'[1]Définition Maintenances'!$K:$K,0))+AM120),AM120))</f>
        <v>599</v>
      </c>
      <c r="AO120" s="27">
        <f>IF(ISNUMBER(VLOOKUP($D120,'Visu totale'!$D:$DH,AO$1,0)),AN120-VLOOKUP($D120,'Visu totale'!$D:$DH,AO$1,0),IF(LEFT(VLOOKUP($D120,'Visu totale'!$D:$DH,AO$1,0),1)="V",IF(AN120&gt;=INDEX('[1]Définition Maintenances'!$G:$G,MATCH($A120,'[1]Définition Maintenances'!$K:$K,0)),AN120,INDEX('[1]Définition Maintenances'!$G:$G,MATCH($A120,'[1]Définition Maintenances'!$K:$K,0))+AN120),AN120))</f>
        <v>599</v>
      </c>
      <c r="AP120" s="25">
        <f>IF(ISNUMBER(VLOOKUP($D120,'Visu totale'!$D:$DH,AP$1,0)),AO120-VLOOKUP($D120,'Visu totale'!$D:$DH,AP$1,0),IF(LEFT(VLOOKUP($D120,'Visu totale'!$D:$DH,AP$1,0),1)="V",IF(AO120&gt;=INDEX('[1]Définition Maintenances'!$G:$G,MATCH($A120,'[1]Définition Maintenances'!$K:$K,0)),AO120,INDEX('[1]Définition Maintenances'!$G:$G,MATCH($A120,'[1]Définition Maintenances'!$K:$K,0))+AO120),AO120))</f>
        <v>599</v>
      </c>
      <c r="AQ120" s="26">
        <f>IF(ISNUMBER(VLOOKUP($D120,'Visu totale'!$D:$DH,AQ$1,0)),AP120-VLOOKUP($D120,'Visu totale'!$D:$DH,AQ$1,0),IF(LEFT(VLOOKUP($D120,'Visu totale'!$D:$DH,AQ$1,0),1)="V",IF(AP120&gt;=INDEX('[1]Définition Maintenances'!$G:$G,MATCH($A120,'[1]Définition Maintenances'!$K:$K,0)),AP120,INDEX('[1]Définition Maintenances'!$G:$G,MATCH($A120,'[1]Définition Maintenances'!$K:$K,0))+AP120),AP120))</f>
        <v>599</v>
      </c>
      <c r="AR120" s="26">
        <f>IF(ISNUMBER(VLOOKUP($D120,'Visu totale'!$D:$DH,AR$1,0)),AQ120-VLOOKUP($D120,'Visu totale'!$D:$DH,AR$1,0),IF(LEFT(VLOOKUP($D120,'Visu totale'!$D:$DH,AR$1,0),1)="V",IF(AQ120&gt;=INDEX('[1]Définition Maintenances'!$G:$G,MATCH($A120,'[1]Définition Maintenances'!$K:$K,0)),AQ120,INDEX('[1]Définition Maintenances'!$G:$G,MATCH($A120,'[1]Définition Maintenances'!$K:$K,0))+AQ120),AQ120))</f>
        <v>599</v>
      </c>
      <c r="AS120" s="26">
        <f>IF(ISNUMBER(VLOOKUP($D120,'Visu totale'!$D:$DH,AS$1,0)),AR120-VLOOKUP($D120,'Visu totale'!$D:$DH,AS$1,0),IF(LEFT(VLOOKUP($D120,'Visu totale'!$D:$DH,AS$1,0),1)="V",IF(AR120&gt;=INDEX('[1]Définition Maintenances'!$G:$G,MATCH($A120,'[1]Définition Maintenances'!$K:$K,0)),AR120,INDEX('[1]Définition Maintenances'!$G:$G,MATCH($A120,'[1]Définition Maintenances'!$K:$K,0))+AR120),AR120))</f>
        <v>599</v>
      </c>
      <c r="AT120" s="26">
        <f>IF(ISNUMBER(VLOOKUP($D120,'Visu totale'!$D:$DH,AT$1,0)),AS120-VLOOKUP($D120,'Visu totale'!$D:$DH,AT$1,0),IF(LEFT(VLOOKUP($D120,'Visu totale'!$D:$DH,AT$1,0),1)="V",IF(AS120&gt;=INDEX('[1]Définition Maintenances'!$G:$G,MATCH($A120,'[1]Définition Maintenances'!$K:$K,0)),AS120,INDEX('[1]Définition Maintenances'!$G:$G,MATCH($A120,'[1]Définition Maintenances'!$K:$K,0))+AS120),AS120))</f>
        <v>599</v>
      </c>
      <c r="AU120" s="26">
        <f>IF(ISNUMBER(VLOOKUP($D120,'Visu totale'!$D:$DH,AU$1,0)),AT120-VLOOKUP($D120,'Visu totale'!$D:$DH,AU$1,0),IF(LEFT(VLOOKUP($D120,'Visu totale'!$D:$DH,AU$1,0),1)="V",IF(AT120&gt;=INDEX('[1]Définition Maintenances'!$G:$G,MATCH($A120,'[1]Définition Maintenances'!$K:$K,0)),AT120,INDEX('[1]Définition Maintenances'!$G:$G,MATCH($A120,'[1]Définition Maintenances'!$K:$K,0))+AT120),AT120))</f>
        <v>599</v>
      </c>
      <c r="AV120" s="26">
        <f>IF(ISNUMBER(VLOOKUP($D120,'Visu totale'!$D:$DH,AV$1,0)),AU120-VLOOKUP($D120,'Visu totale'!$D:$DH,AV$1,0),IF(LEFT(VLOOKUP($D120,'Visu totale'!$D:$DH,AV$1,0),1)="V",IF(AU120&gt;=INDEX('[1]Définition Maintenances'!$G:$G,MATCH($A120,'[1]Définition Maintenances'!$K:$K,0)),AU120,INDEX('[1]Définition Maintenances'!$G:$G,MATCH($A120,'[1]Définition Maintenances'!$K:$K,0))+AU120),AU120))</f>
        <v>599</v>
      </c>
      <c r="AW120" s="26">
        <f>IF(ISNUMBER(VLOOKUP($D120,'Visu totale'!$D:$DH,AW$1,0)),AV120-VLOOKUP($D120,'Visu totale'!$D:$DH,AW$1,0),IF(LEFT(VLOOKUP($D120,'Visu totale'!$D:$DH,AW$1,0),1)="V",IF(AV120&gt;=INDEX('[1]Définition Maintenances'!$G:$G,MATCH($A120,'[1]Définition Maintenances'!$K:$K,0)),AV120,INDEX('[1]Définition Maintenances'!$G:$G,MATCH($A120,'[1]Définition Maintenances'!$K:$K,0))+AV120),AV120))</f>
        <v>599</v>
      </c>
      <c r="AX120" s="26">
        <f>IF(ISNUMBER(VLOOKUP($D120,'Visu totale'!$D:$DH,AX$1,0)),AW120-VLOOKUP($D120,'Visu totale'!$D:$DH,AX$1,0),IF(LEFT(VLOOKUP($D120,'Visu totale'!$D:$DH,AX$1,0),1)="V",IF(AW120&gt;=INDEX('[1]Définition Maintenances'!$G:$G,MATCH($A120,'[1]Définition Maintenances'!$K:$K,0)),AW120,INDEX('[1]Définition Maintenances'!$G:$G,MATCH($A120,'[1]Définition Maintenances'!$K:$K,0))+AW120),AW120))</f>
        <v>599</v>
      </c>
      <c r="AY120" s="26">
        <f>IF(ISNUMBER(VLOOKUP($D120,'Visu totale'!$D:$DH,AY$1,0)),AX120-VLOOKUP($D120,'Visu totale'!$D:$DH,AY$1,0),IF(LEFT(VLOOKUP($D120,'Visu totale'!$D:$DH,AY$1,0),1)="V",IF(AX120&gt;=INDEX('[1]Définition Maintenances'!$G:$G,MATCH($A120,'[1]Définition Maintenances'!$K:$K,0)),AX120,INDEX('[1]Définition Maintenances'!$G:$G,MATCH($A120,'[1]Définition Maintenances'!$K:$K,0))+AX120),AX120))</f>
        <v>599</v>
      </c>
      <c r="AZ120" s="26">
        <f>IF(ISNUMBER(VLOOKUP($D120,'Visu totale'!$D:$DH,AZ$1,0)),AY120-VLOOKUP($D120,'Visu totale'!$D:$DH,AZ$1,0),IF(LEFT(VLOOKUP($D120,'Visu totale'!$D:$DH,AZ$1,0),1)="V",IF(AY120&gt;=INDEX('[1]Définition Maintenances'!$G:$G,MATCH($A120,'[1]Définition Maintenances'!$K:$K,0)),AY120,INDEX('[1]Définition Maintenances'!$G:$G,MATCH($A120,'[1]Définition Maintenances'!$K:$K,0))+AY120),AY120))</f>
        <v>599</v>
      </c>
      <c r="BA120" s="27">
        <f>IF(ISNUMBER(VLOOKUP($D120,'Visu totale'!$D:$DH,BA$1,0)),AZ120-VLOOKUP($D120,'Visu totale'!$D:$DH,BA$1,0),IF(LEFT(VLOOKUP($D120,'Visu totale'!$D:$DH,BA$1,0),1)="V",IF(AZ120&gt;=INDEX('[1]Définition Maintenances'!$G:$G,MATCH($A120,'[1]Définition Maintenances'!$K:$K,0)),AZ120,INDEX('[1]Définition Maintenances'!$G:$G,MATCH($A120,'[1]Définition Maintenances'!$K:$K,0))+AZ120),AZ120))</f>
        <v>599</v>
      </c>
      <c r="BB120" s="25">
        <f>IF(ISNUMBER(VLOOKUP($D120,'Visu totale'!$D:$DH,BB$1,0)),BA120-VLOOKUP($D120,'Visu totale'!$D:$DH,BB$1,0),IF(LEFT(VLOOKUP($D120,'Visu totale'!$D:$DH,BB$1,0),1)="V",IF(BA120&gt;=INDEX('[1]Définition Maintenances'!$G:$G,MATCH($A120,'[1]Définition Maintenances'!$K:$K,0)),BA120,INDEX('[1]Définition Maintenances'!$G:$G,MATCH($A120,'[1]Définition Maintenances'!$K:$K,0))+BA120),BA120))</f>
        <v>599</v>
      </c>
      <c r="BC120" s="26">
        <f>IF(ISNUMBER(VLOOKUP($D120,'Visu totale'!$D:$DH,BC$1,0)),BB120-VLOOKUP($D120,'Visu totale'!$D:$DH,BC$1,0),IF(LEFT(VLOOKUP($D120,'Visu totale'!$D:$DH,BC$1,0),1)="V",IF(BB120&gt;=INDEX('[1]Définition Maintenances'!$G:$G,MATCH($A120,'[1]Définition Maintenances'!$K:$K,0)),BB120,INDEX('[1]Définition Maintenances'!$G:$G,MATCH($A120,'[1]Définition Maintenances'!$K:$K,0))+BB120),BB120))</f>
        <v>599</v>
      </c>
      <c r="BD120" s="26">
        <f>IF(ISNUMBER(VLOOKUP($D120,'Visu totale'!$D:$DH,BD$1,0)),BC120-VLOOKUP($D120,'Visu totale'!$D:$DH,BD$1,0),IF(LEFT(VLOOKUP($D120,'Visu totale'!$D:$DH,BD$1,0),1)="V",IF(BC120&gt;=INDEX('[1]Définition Maintenances'!$G:$G,MATCH($A120,'[1]Définition Maintenances'!$K:$K,0)),BC120,INDEX('[1]Définition Maintenances'!$G:$G,MATCH($A120,'[1]Définition Maintenances'!$K:$K,0))+BC120),BC120))</f>
        <v>599</v>
      </c>
      <c r="BE120" s="26">
        <f>IF(ISNUMBER(VLOOKUP($D120,'Visu totale'!$D:$DH,BE$1,0)),BD120-VLOOKUP($D120,'Visu totale'!$D:$DH,BE$1,0),IF(LEFT(VLOOKUP($D120,'Visu totale'!$D:$DH,BE$1,0),1)="V",IF(BD120&gt;=INDEX('[1]Définition Maintenances'!$G:$G,MATCH($A120,'[1]Définition Maintenances'!$K:$K,0)),BD120,INDEX('[1]Définition Maintenances'!$G:$G,MATCH($A120,'[1]Définition Maintenances'!$K:$K,0))+BD120),BD120))</f>
        <v>599</v>
      </c>
      <c r="BF120" s="26">
        <f>IF(ISNUMBER(VLOOKUP($D120,'Visu totale'!$D:$DH,BF$1,0)),BE120-VLOOKUP($D120,'Visu totale'!$D:$DH,BF$1,0),IF(LEFT(VLOOKUP($D120,'Visu totale'!$D:$DH,BF$1,0),1)="V",IF(BE120&gt;=INDEX('[1]Définition Maintenances'!$G:$G,MATCH($A120,'[1]Définition Maintenances'!$K:$K,0)),BE120,INDEX('[1]Définition Maintenances'!$G:$G,MATCH($A120,'[1]Définition Maintenances'!$K:$K,0))+BE120),BE120))</f>
        <v>599</v>
      </c>
      <c r="BG120" s="26">
        <f>IF(ISNUMBER(VLOOKUP($D120,'Visu totale'!$D:$DH,BG$1,0)),BF120-VLOOKUP($D120,'Visu totale'!$D:$DH,BG$1,0),IF(LEFT(VLOOKUP($D120,'Visu totale'!$D:$DH,BG$1,0),1)="V",IF(BF120&gt;=INDEX('[1]Définition Maintenances'!$G:$G,MATCH($A120,'[1]Définition Maintenances'!$K:$K,0)),BF120,INDEX('[1]Définition Maintenances'!$G:$G,MATCH($A120,'[1]Définition Maintenances'!$K:$K,0))+BF120),BF120))</f>
        <v>599</v>
      </c>
      <c r="BH120" s="26">
        <f>IF(ISNUMBER(VLOOKUP($D120,'Visu totale'!$D:$DH,BH$1,0)),BG120-VLOOKUP($D120,'Visu totale'!$D:$DH,BH$1,0),IF(LEFT(VLOOKUP($D120,'Visu totale'!$D:$DH,BH$1,0),1)="V",IF(BG120&gt;=INDEX('[1]Définition Maintenances'!$G:$G,MATCH($A120,'[1]Définition Maintenances'!$K:$K,0)),BG120,INDEX('[1]Définition Maintenances'!$G:$G,MATCH($A120,'[1]Définition Maintenances'!$K:$K,0))+BG120),BG120))</f>
        <v>599</v>
      </c>
      <c r="BI120" s="26">
        <f>IF(ISNUMBER(VLOOKUP($D120,'Visu totale'!$D:$DH,BI$1,0)),BH120-VLOOKUP($D120,'Visu totale'!$D:$DH,BI$1,0),IF(LEFT(VLOOKUP($D120,'Visu totale'!$D:$DH,BI$1,0),1)="V",IF(BH120&gt;=INDEX('[1]Définition Maintenances'!$G:$G,MATCH($A120,'[1]Définition Maintenances'!$K:$K,0)),BH120,INDEX('[1]Définition Maintenances'!$G:$G,MATCH($A120,'[1]Définition Maintenances'!$K:$K,0))+BH120),BH120))</f>
        <v>599</v>
      </c>
      <c r="BJ120" s="26">
        <f>IF(ISNUMBER(VLOOKUP($D120,'Visu totale'!$D:$DH,BJ$1,0)),BI120-VLOOKUP($D120,'Visu totale'!$D:$DH,BJ$1,0),IF(LEFT(VLOOKUP($D120,'Visu totale'!$D:$DH,BJ$1,0),1)="V",IF(BI120&gt;=INDEX('[1]Définition Maintenances'!$G:$G,MATCH($A120,'[1]Définition Maintenances'!$K:$K,0)),BI120,INDEX('[1]Définition Maintenances'!$G:$G,MATCH($A120,'[1]Définition Maintenances'!$K:$K,0))+BI120),BI120))</f>
        <v>599</v>
      </c>
      <c r="BK120" s="26">
        <f>IF(ISNUMBER(VLOOKUP($D120,'Visu totale'!$D:$DH,BK$1,0)),BJ120-VLOOKUP($D120,'Visu totale'!$D:$DH,BK$1,0),IF(LEFT(VLOOKUP($D120,'Visu totale'!$D:$DH,BK$1,0),1)="V",IF(BJ120&gt;=INDEX('[1]Définition Maintenances'!$G:$G,MATCH($A120,'[1]Définition Maintenances'!$K:$K,0)),BJ120,INDEX('[1]Définition Maintenances'!$G:$G,MATCH($A120,'[1]Définition Maintenances'!$K:$K,0))+BJ120),BJ120))</f>
        <v>599</v>
      </c>
      <c r="BL120" s="26">
        <f>IF(ISNUMBER(VLOOKUP($D120,'Visu totale'!$D:$DH,BL$1,0)),BK120-VLOOKUP($D120,'Visu totale'!$D:$DH,BL$1,0),IF(LEFT(VLOOKUP($D120,'Visu totale'!$D:$DH,BL$1,0),1)="V",IF(BK120&gt;=INDEX('[1]Définition Maintenances'!$G:$G,MATCH($A120,'[1]Définition Maintenances'!$K:$K,0)),BK120,INDEX('[1]Définition Maintenances'!$G:$G,MATCH($A120,'[1]Définition Maintenances'!$K:$K,0))+BK120),BK120))</f>
        <v>599</v>
      </c>
      <c r="BM120" s="27">
        <f>IF(ISNUMBER(VLOOKUP($D120,'Visu totale'!$D:$DH,BM$1,0)),BL120-VLOOKUP($D120,'Visu totale'!$D:$DH,BM$1,0),IF(LEFT(VLOOKUP($D120,'Visu totale'!$D:$DH,BM$1,0),1)="V",IF(BL120&gt;=INDEX('[1]Définition Maintenances'!$G:$G,MATCH($A120,'[1]Définition Maintenances'!$K:$K,0)),BL120,INDEX('[1]Définition Maintenances'!$G:$G,MATCH($A120,'[1]Définition Maintenances'!$K:$K,0))+BL120),BL120))</f>
        <v>599</v>
      </c>
      <c r="BN120" s="25">
        <f>IF(ISNUMBER(VLOOKUP($D120,'Visu totale'!$D:$DH,BN$1,0)),BM120-VLOOKUP($D120,'Visu totale'!$D:$DH,BN$1,0),IF(LEFT(VLOOKUP($D120,'Visu totale'!$D:$DH,BN$1,0),1)="V",IF(BM120&gt;=INDEX('[1]Définition Maintenances'!$G:$G,MATCH($A120,'[1]Définition Maintenances'!$K:$K,0)),BM120,INDEX('[1]Définition Maintenances'!$G:$G,MATCH($A120,'[1]Définition Maintenances'!$K:$K,0))+BM120),BM120))</f>
        <v>599</v>
      </c>
      <c r="BO120" s="26">
        <f>IF(ISNUMBER(VLOOKUP($D120,'Visu totale'!$D:$DH,BO$1,0)),BN120-VLOOKUP($D120,'Visu totale'!$D:$DH,BO$1,0),IF(LEFT(VLOOKUP($D120,'Visu totale'!$D:$DH,BO$1,0),1)="V",IF(BN120&gt;=INDEX('[1]Définition Maintenances'!$G:$G,MATCH($A120,'[1]Définition Maintenances'!$K:$K,0)),BN120,INDEX('[1]Définition Maintenances'!$G:$G,MATCH($A120,'[1]Définition Maintenances'!$K:$K,0))+BN120),BN120))</f>
        <v>599</v>
      </c>
      <c r="BP120" s="26">
        <f>IF(ISNUMBER(VLOOKUP($D120,'Visu totale'!$D:$DH,BP$1,0)),BO120-VLOOKUP($D120,'Visu totale'!$D:$DH,BP$1,0),IF(LEFT(VLOOKUP($D120,'Visu totale'!$D:$DH,BP$1,0),1)="V",IF(BO120&gt;=INDEX('[1]Définition Maintenances'!$G:$G,MATCH($A120,'[1]Définition Maintenances'!$K:$K,0)),BO120,INDEX('[1]Définition Maintenances'!$G:$G,MATCH($A120,'[1]Définition Maintenances'!$K:$K,0))+BO120),BO120))</f>
        <v>599</v>
      </c>
      <c r="BQ120" s="26">
        <f>IF(ISNUMBER(VLOOKUP($D120,'Visu totale'!$D:$DH,BQ$1,0)),BP120-VLOOKUP($D120,'Visu totale'!$D:$DH,BQ$1,0),IF(LEFT(VLOOKUP($D120,'Visu totale'!$D:$DH,BQ$1,0),1)="V",IF(BP120&gt;=INDEX('[1]Définition Maintenances'!$G:$G,MATCH($A120,'[1]Définition Maintenances'!$K:$K,0)),BP120,INDEX('[1]Définition Maintenances'!$G:$G,MATCH($A120,'[1]Définition Maintenances'!$K:$K,0))+BP120),BP120))</f>
        <v>599</v>
      </c>
      <c r="BR120" s="26">
        <f>IF(ISNUMBER(VLOOKUP($D120,'Visu totale'!$D:$DH,BR$1,0)),BQ120-VLOOKUP($D120,'Visu totale'!$D:$DH,BR$1,0),IF(LEFT(VLOOKUP($D120,'Visu totale'!$D:$DH,BR$1,0),1)="V",IF(BQ120&gt;=INDEX('[1]Définition Maintenances'!$G:$G,MATCH($A120,'[1]Définition Maintenances'!$K:$K,0)),BQ120,INDEX('[1]Définition Maintenances'!$G:$G,MATCH($A120,'[1]Définition Maintenances'!$K:$K,0))+BQ120),BQ120))</f>
        <v>599</v>
      </c>
      <c r="BS120" s="26">
        <f>IF(ISNUMBER(VLOOKUP($D120,'Visu totale'!$D:$DH,BS$1,0)),BR120-VLOOKUP($D120,'Visu totale'!$D:$DH,BS$1,0),IF(LEFT(VLOOKUP($D120,'Visu totale'!$D:$DH,BS$1,0),1)="V",IF(BR120&gt;=INDEX('[1]Définition Maintenances'!$G:$G,MATCH($A120,'[1]Définition Maintenances'!$K:$K,0)),BR120,INDEX('[1]Définition Maintenances'!$G:$G,MATCH($A120,'[1]Définition Maintenances'!$K:$K,0))+BR120),BR120))</f>
        <v>599</v>
      </c>
      <c r="BT120" s="26">
        <f>IF(ISNUMBER(VLOOKUP($D120,'Visu totale'!$D:$DH,BT$1,0)),BS120-VLOOKUP($D120,'Visu totale'!$D:$DH,BT$1,0),IF(LEFT(VLOOKUP($D120,'Visu totale'!$D:$DH,BT$1,0),1)="V",IF(BS120&gt;=INDEX('[1]Définition Maintenances'!$G:$G,MATCH($A120,'[1]Définition Maintenances'!$K:$K,0)),BS120,INDEX('[1]Définition Maintenances'!$G:$G,MATCH($A120,'[1]Définition Maintenances'!$K:$K,0))+BS120),BS120))</f>
        <v>599</v>
      </c>
      <c r="BU120" s="26">
        <f>IF(ISNUMBER(VLOOKUP($D120,'Visu totale'!$D:$DH,BU$1,0)),BT120-VLOOKUP($D120,'Visu totale'!$D:$DH,BU$1,0),IF(LEFT(VLOOKUP($D120,'Visu totale'!$D:$DH,BU$1,0),1)="V",IF(BT120&gt;=INDEX('[1]Définition Maintenances'!$G:$G,MATCH($A120,'[1]Définition Maintenances'!$K:$K,0)),BT120,INDEX('[1]Définition Maintenances'!$G:$G,MATCH($A120,'[1]Définition Maintenances'!$K:$K,0))+BT120),BT120))</f>
        <v>599</v>
      </c>
      <c r="BV120" s="26">
        <f>IF(ISNUMBER(VLOOKUP($D120,'Visu totale'!$D:$DH,BV$1,0)),BU120-VLOOKUP($D120,'Visu totale'!$D:$DH,BV$1,0),IF(LEFT(VLOOKUP($D120,'Visu totale'!$D:$DH,BV$1,0),1)="V",IF(BU120&gt;=INDEX('[1]Définition Maintenances'!$G:$G,MATCH($A120,'[1]Définition Maintenances'!$K:$K,0)),BU120,INDEX('[1]Définition Maintenances'!$G:$G,MATCH($A120,'[1]Définition Maintenances'!$K:$K,0))+BU120),BU120))</f>
        <v>599</v>
      </c>
      <c r="BW120" s="26">
        <f>IF(ISNUMBER(VLOOKUP($D120,'Visu totale'!$D:$DH,BW$1,0)),BV120-VLOOKUP($D120,'Visu totale'!$D:$DH,BW$1,0),IF(LEFT(VLOOKUP($D120,'Visu totale'!$D:$DH,BW$1,0),1)="V",IF(BV120&gt;=INDEX('[1]Définition Maintenances'!$G:$G,MATCH($A120,'[1]Définition Maintenances'!$K:$K,0)),BV120,INDEX('[1]Définition Maintenances'!$G:$G,MATCH($A120,'[1]Définition Maintenances'!$K:$K,0))+BV120),BV120))</f>
        <v>599</v>
      </c>
      <c r="BX120" s="26">
        <f>IF(ISNUMBER(VLOOKUP($D120,'Visu totale'!$D:$DH,BX$1,0)),BW120-VLOOKUP($D120,'Visu totale'!$D:$DH,BX$1,0),IF(LEFT(VLOOKUP($D120,'Visu totale'!$D:$DH,BX$1,0),1)="V",IF(BW120&gt;=INDEX('[1]Définition Maintenances'!$G:$G,MATCH($A120,'[1]Définition Maintenances'!$K:$K,0)),BW120,INDEX('[1]Définition Maintenances'!$G:$G,MATCH($A120,'[1]Définition Maintenances'!$K:$K,0))+BW120),BW120))</f>
        <v>599</v>
      </c>
      <c r="BY120" s="27">
        <f>IF(ISNUMBER(VLOOKUP($D120,'Visu totale'!$D:$DH,BY$1,0)),BX120-VLOOKUP($D120,'Visu totale'!$D:$DH,BY$1,0),IF(LEFT(VLOOKUP($D120,'Visu totale'!$D:$DH,BY$1,0),1)="V",IF(BX120&gt;=INDEX('[1]Définition Maintenances'!$G:$G,MATCH($A120,'[1]Définition Maintenances'!$K:$K,0)),BX120,INDEX('[1]Définition Maintenances'!$G:$G,MATCH($A120,'[1]Définition Maintenances'!$K:$K,0))+BX120),BX120))</f>
        <v>599</v>
      </c>
      <c r="BZ120" s="25">
        <f>IF(ISNUMBER(VLOOKUP($D120,'Visu totale'!$D:$DH,BZ$1,0)),BY120-VLOOKUP($D120,'Visu totale'!$D:$DH,BZ$1,0),IF(LEFT(VLOOKUP($D120,'Visu totale'!$D:$DH,BZ$1,0),1)="V",IF(BY120&gt;=INDEX('[1]Définition Maintenances'!$G:$G,MATCH($A120,'[1]Définition Maintenances'!$K:$K,0)),BY120,INDEX('[1]Définition Maintenances'!$G:$G,MATCH($A120,'[1]Définition Maintenances'!$K:$K,0))+BY120),BY120))</f>
        <v>599</v>
      </c>
      <c r="CA120" s="26">
        <f>IF(ISNUMBER(VLOOKUP($D120,'Visu totale'!$D:$DH,CA$1,0)),BZ120-VLOOKUP($D120,'Visu totale'!$D:$DH,CA$1,0),IF(LEFT(VLOOKUP($D120,'Visu totale'!$D:$DH,CA$1,0),1)="V",IF(BZ120&gt;=INDEX('[1]Définition Maintenances'!$G:$G,MATCH($A120,'[1]Définition Maintenances'!$K:$K,0)),BZ120,INDEX('[1]Définition Maintenances'!$G:$G,MATCH($A120,'[1]Définition Maintenances'!$K:$K,0))+BZ120),BZ120))</f>
        <v>599</v>
      </c>
      <c r="CB120" s="26">
        <f>IF(ISNUMBER(VLOOKUP($D120,'Visu totale'!$D:$DH,CB$1,0)),CA120-VLOOKUP($D120,'Visu totale'!$D:$DH,CB$1,0),IF(LEFT(VLOOKUP($D120,'Visu totale'!$D:$DH,CB$1,0),1)="V",IF(CA120&gt;=INDEX('[1]Définition Maintenances'!$G:$G,MATCH($A120,'[1]Définition Maintenances'!$K:$K,0)),CA120,INDEX('[1]Définition Maintenances'!$G:$G,MATCH($A120,'[1]Définition Maintenances'!$K:$K,0))+CA120),CA120))</f>
        <v>599</v>
      </c>
      <c r="CC120" s="26">
        <f>IF(ISNUMBER(VLOOKUP($D120,'Visu totale'!$D:$DH,CC$1,0)),CB120-VLOOKUP($D120,'Visu totale'!$D:$DH,CC$1,0),IF(LEFT(VLOOKUP($D120,'Visu totale'!$D:$DH,CC$1,0),1)="V",IF(CB120&gt;=INDEX('[1]Définition Maintenances'!$G:$G,MATCH($A120,'[1]Définition Maintenances'!$K:$K,0)),CB120,INDEX('[1]Définition Maintenances'!$G:$G,MATCH($A120,'[1]Définition Maintenances'!$K:$K,0))+CB120),CB120))</f>
        <v>599</v>
      </c>
      <c r="CD120" s="26">
        <f>IF(ISNUMBER(VLOOKUP($D120,'Visu totale'!$D:$DH,CD$1,0)),CC120-VLOOKUP($D120,'Visu totale'!$D:$DH,CD$1,0),IF(LEFT(VLOOKUP($D120,'Visu totale'!$D:$DH,CD$1,0),1)="V",IF(CC120&gt;=INDEX('[1]Définition Maintenances'!$G:$G,MATCH($A120,'[1]Définition Maintenances'!$K:$K,0)),CC120,INDEX('[1]Définition Maintenances'!$G:$G,MATCH($A120,'[1]Définition Maintenances'!$K:$K,0))+CC120),CC120))</f>
        <v>599</v>
      </c>
      <c r="CE120" s="26">
        <f>IF(ISNUMBER(VLOOKUP($D120,'Visu totale'!$D:$DH,CE$1,0)),CD120-VLOOKUP($D120,'Visu totale'!$D:$DH,CE$1,0),IF(LEFT(VLOOKUP($D120,'Visu totale'!$D:$DH,CE$1,0),1)="V",IF(CD120&gt;=INDEX('[1]Définition Maintenances'!$G:$G,MATCH($A120,'[1]Définition Maintenances'!$K:$K,0)),CD120,INDEX('[1]Définition Maintenances'!$G:$G,MATCH($A120,'[1]Définition Maintenances'!$K:$K,0))+CD120),CD120))</f>
        <v>599</v>
      </c>
      <c r="CF120" s="26">
        <f>IF(ISNUMBER(VLOOKUP($D120,'Visu totale'!$D:$DH,CF$1,0)),CE120-VLOOKUP($D120,'Visu totale'!$D:$DH,CF$1,0),IF(LEFT(VLOOKUP($D120,'Visu totale'!$D:$DH,CF$1,0),1)="V",IF(CE120&gt;=INDEX('[1]Définition Maintenances'!$G:$G,MATCH($A120,'[1]Définition Maintenances'!$K:$K,0)),CE120,INDEX('[1]Définition Maintenances'!$G:$G,MATCH($A120,'[1]Définition Maintenances'!$K:$K,0))+CE120),CE120))</f>
        <v>599</v>
      </c>
      <c r="CG120" s="26">
        <f>IF(ISNUMBER(VLOOKUP($D120,'Visu totale'!$D:$DH,CG$1,0)),CF120-VLOOKUP($D120,'Visu totale'!$D:$DH,CG$1,0),IF(LEFT(VLOOKUP($D120,'Visu totale'!$D:$DH,CG$1,0),1)="V",IF(CF120&gt;=INDEX('[1]Définition Maintenances'!$G:$G,MATCH($A120,'[1]Définition Maintenances'!$K:$K,0)),CF120,INDEX('[1]Définition Maintenances'!$G:$G,MATCH($A120,'[1]Définition Maintenances'!$K:$K,0))+CF120),CF120))</f>
        <v>599</v>
      </c>
      <c r="CH120" s="26">
        <f>IF(ISNUMBER(VLOOKUP($D120,'Visu totale'!$D:$DH,CH$1,0)),CG120-VLOOKUP($D120,'Visu totale'!$D:$DH,CH$1,0),IF(LEFT(VLOOKUP($D120,'Visu totale'!$D:$DH,CH$1,0),1)="V",IF(CG120&gt;=INDEX('[1]Définition Maintenances'!$G:$G,MATCH($A120,'[1]Définition Maintenances'!$K:$K,0)),CG120,INDEX('[1]Définition Maintenances'!$G:$G,MATCH($A120,'[1]Définition Maintenances'!$K:$K,0))+CG120),CG120))</f>
        <v>599</v>
      </c>
      <c r="CI120" s="26">
        <f>IF(ISNUMBER(VLOOKUP($D120,'Visu totale'!$D:$DH,CI$1,0)),CH120-VLOOKUP($D120,'Visu totale'!$D:$DH,CI$1,0),IF(LEFT(VLOOKUP($D120,'Visu totale'!$D:$DH,CI$1,0),1)="V",IF(CH120&gt;=INDEX('[1]Définition Maintenances'!$G:$G,MATCH($A120,'[1]Définition Maintenances'!$K:$K,0)),CH120,INDEX('[1]Définition Maintenances'!$G:$G,MATCH($A120,'[1]Définition Maintenances'!$K:$K,0))+CH120),CH120))</f>
        <v>599</v>
      </c>
      <c r="CJ120" s="26">
        <f>IF(ISNUMBER(VLOOKUP($D120,'Visu totale'!$D:$DH,CJ$1,0)),CI120-VLOOKUP($D120,'Visu totale'!$D:$DH,CJ$1,0),IF(LEFT(VLOOKUP($D120,'Visu totale'!$D:$DH,CJ$1,0),1)="V",IF(CI120&gt;=INDEX('[1]Définition Maintenances'!$G:$G,MATCH($A120,'[1]Définition Maintenances'!$K:$K,0)),CI120,INDEX('[1]Définition Maintenances'!$G:$G,MATCH($A120,'[1]Définition Maintenances'!$K:$K,0))+CI120),CI120))</f>
        <v>599</v>
      </c>
      <c r="CK120" s="27">
        <f>IF(ISNUMBER(VLOOKUP($D120,'Visu totale'!$D:$DH,CK$1,0)),CJ120-VLOOKUP($D120,'Visu totale'!$D:$DH,CK$1,0),IF(LEFT(VLOOKUP($D120,'Visu totale'!$D:$DH,CK$1,0),1)="V",IF(CJ120&gt;=INDEX('[1]Définition Maintenances'!$G:$G,MATCH($A120,'[1]Définition Maintenances'!$K:$K,0)),CJ120,INDEX('[1]Définition Maintenances'!$G:$G,MATCH($A120,'[1]Définition Maintenances'!$K:$K,0))+CJ120),CJ120))</f>
        <v>599</v>
      </c>
      <c r="CL120" s="25">
        <f>IF(ISNUMBER(VLOOKUP($D120,'Visu totale'!$D:$DH,CL$1,0)),CK120-VLOOKUP($D120,'Visu totale'!$D:$DH,CL$1,0),IF(LEFT(VLOOKUP($D120,'Visu totale'!$D:$DH,CL$1,0),1)="V",IF(CK120&gt;=INDEX('[1]Définition Maintenances'!$G:$G,MATCH($A120,'[1]Définition Maintenances'!$K:$K,0)),CK120,INDEX('[1]Définition Maintenances'!$G:$G,MATCH($A120,'[1]Définition Maintenances'!$K:$K,0))+CK120),CK120))</f>
        <v>599</v>
      </c>
      <c r="CM120" s="26">
        <f>IF(ISNUMBER(VLOOKUP($D120,'Visu totale'!$D:$DH,CM$1,0)),CL120-VLOOKUP($D120,'Visu totale'!$D:$DH,CM$1,0),IF(LEFT(VLOOKUP($D120,'Visu totale'!$D:$DH,CM$1,0),1)="V",IF(CL120&gt;=INDEX('[1]Définition Maintenances'!$G:$G,MATCH($A120,'[1]Définition Maintenances'!$K:$K,0)),CL120,INDEX('[1]Définition Maintenances'!$G:$G,MATCH($A120,'[1]Définition Maintenances'!$K:$K,0))+CL120),CL120))</f>
        <v>599</v>
      </c>
      <c r="CN120" s="26">
        <f>IF(ISNUMBER(VLOOKUP($D120,'Visu totale'!$D:$DH,CN$1,0)),CM120-VLOOKUP($D120,'Visu totale'!$D:$DH,CN$1,0),IF(LEFT(VLOOKUP($D120,'Visu totale'!$D:$DH,CN$1,0),1)="V",IF(CM120&gt;=INDEX('[1]Définition Maintenances'!$G:$G,MATCH($A120,'[1]Définition Maintenances'!$K:$K,0)),CM120,INDEX('[1]Définition Maintenances'!$G:$G,MATCH($A120,'[1]Définition Maintenances'!$K:$K,0))+CM120),CM120))</f>
        <v>599</v>
      </c>
      <c r="CO120" s="26">
        <f>IF(ISNUMBER(VLOOKUP($D120,'Visu totale'!$D:$DH,CO$1,0)),CN120-VLOOKUP($D120,'Visu totale'!$D:$DH,CO$1,0),IF(LEFT(VLOOKUP($D120,'Visu totale'!$D:$DH,CO$1,0),1)="V",IF(CN120&gt;=INDEX('[1]Définition Maintenances'!$G:$G,MATCH($A120,'[1]Définition Maintenances'!$K:$K,0)),CN120,INDEX('[1]Définition Maintenances'!$G:$G,MATCH($A120,'[1]Définition Maintenances'!$K:$K,0))+CN120),CN120))</f>
        <v>599</v>
      </c>
      <c r="CP120" s="26">
        <f>IF(ISNUMBER(VLOOKUP($D120,'Visu totale'!$D:$DH,CP$1,0)),CO120-VLOOKUP($D120,'Visu totale'!$D:$DH,CP$1,0),IF(LEFT(VLOOKUP($D120,'Visu totale'!$D:$DH,CP$1,0),1)="V",IF(CO120&gt;=INDEX('[1]Définition Maintenances'!$G:$G,MATCH($A120,'[1]Définition Maintenances'!$K:$K,0)),CO120,INDEX('[1]Définition Maintenances'!$G:$G,MATCH($A120,'[1]Définition Maintenances'!$K:$K,0))+CO120),CO120))</f>
        <v>599</v>
      </c>
      <c r="CQ120" s="26">
        <f>IF(ISNUMBER(VLOOKUP($D120,'Visu totale'!$D:$DH,CQ$1,0)),CP120-VLOOKUP($D120,'Visu totale'!$D:$DH,CQ$1,0),IF(LEFT(VLOOKUP($D120,'Visu totale'!$D:$DH,CQ$1,0),1)="V",IF(CP120&gt;=INDEX('[1]Définition Maintenances'!$G:$G,MATCH($A120,'[1]Définition Maintenances'!$K:$K,0)),CP120,INDEX('[1]Définition Maintenances'!$G:$G,MATCH($A120,'[1]Définition Maintenances'!$K:$K,0))+CP120),CP120))</f>
        <v>599</v>
      </c>
      <c r="CR120" s="26">
        <f>IF(ISNUMBER(VLOOKUP($D120,'Visu totale'!$D:$DH,CR$1,0)),CQ120-VLOOKUP($D120,'Visu totale'!$D:$DH,CR$1,0),IF(LEFT(VLOOKUP($D120,'Visu totale'!$D:$DH,CR$1,0),1)="V",IF(CQ120&gt;=INDEX('[1]Définition Maintenances'!$G:$G,MATCH($A120,'[1]Définition Maintenances'!$K:$K,0)),CQ120,INDEX('[1]Définition Maintenances'!$G:$G,MATCH($A120,'[1]Définition Maintenances'!$K:$K,0))+CQ120),CQ120))</f>
        <v>599</v>
      </c>
      <c r="CS120" s="26">
        <f>IF(ISNUMBER(VLOOKUP($D120,'Visu totale'!$D:$DH,CS$1,0)),CR120-VLOOKUP($D120,'Visu totale'!$D:$DH,CS$1,0),IF(LEFT(VLOOKUP($D120,'Visu totale'!$D:$DH,CS$1,0),1)="V",IF(CR120&gt;=INDEX('[1]Définition Maintenances'!$G:$G,MATCH($A120,'[1]Définition Maintenances'!$K:$K,0)),CR120,INDEX('[1]Définition Maintenances'!$G:$G,MATCH($A120,'[1]Définition Maintenances'!$K:$K,0))+CR120),CR120))</f>
        <v>599</v>
      </c>
      <c r="CT120" s="26">
        <f>IF(ISNUMBER(VLOOKUP($D120,'Visu totale'!$D:$DH,CT$1,0)),CS120-VLOOKUP($D120,'Visu totale'!$D:$DH,CT$1,0),IF(LEFT(VLOOKUP($D120,'Visu totale'!$D:$DH,CT$1,0),1)="V",IF(CS120&gt;=INDEX('[1]Définition Maintenances'!$G:$G,MATCH($A120,'[1]Définition Maintenances'!$K:$K,0)),CS120,INDEX('[1]Définition Maintenances'!$G:$G,MATCH($A120,'[1]Définition Maintenances'!$K:$K,0))+CS120),CS120))</f>
        <v>599</v>
      </c>
      <c r="CU120" s="26">
        <f>IF(ISNUMBER(VLOOKUP($D120,'Visu totale'!$D:$DH,CU$1,0)),CT120-VLOOKUP($D120,'Visu totale'!$D:$DH,CU$1,0),IF(LEFT(VLOOKUP($D120,'Visu totale'!$D:$DH,CU$1,0),1)="V",IF(CT120&gt;=INDEX('[1]Définition Maintenances'!$G:$G,MATCH($A120,'[1]Définition Maintenances'!$K:$K,0)),CT120,INDEX('[1]Définition Maintenances'!$G:$G,MATCH($A120,'[1]Définition Maintenances'!$K:$K,0))+CT120),CT120))</f>
        <v>599</v>
      </c>
      <c r="CV120" s="26">
        <f>IF(ISNUMBER(VLOOKUP($D120,'Visu totale'!$D:$DH,CV$1,0)),CU120-VLOOKUP($D120,'Visu totale'!$D:$DH,CV$1,0),IF(LEFT(VLOOKUP($D120,'Visu totale'!$D:$DH,CV$1,0),1)="V",IF(CU120&gt;=INDEX('[1]Définition Maintenances'!$G:$G,MATCH($A120,'[1]Définition Maintenances'!$K:$K,0)),CU120,INDEX('[1]Définition Maintenances'!$G:$G,MATCH($A120,'[1]Définition Maintenances'!$K:$K,0))+CU120),CU120))</f>
        <v>599</v>
      </c>
      <c r="CW120" s="27">
        <f>IF(ISNUMBER(VLOOKUP($D120,'Visu totale'!$D:$DH,CW$1,0)),CV120-VLOOKUP($D120,'Visu totale'!$D:$DH,CW$1,0),IF(LEFT(VLOOKUP($D120,'Visu totale'!$D:$DH,CW$1,0),1)="V",IF(CV120&gt;=INDEX('[1]Définition Maintenances'!$G:$G,MATCH($A120,'[1]Définition Maintenances'!$K:$K,0)),CV120,INDEX('[1]Définition Maintenances'!$G:$G,MATCH($A120,'[1]Définition Maintenances'!$K:$K,0))+CV120),CV120))</f>
        <v>599</v>
      </c>
      <c r="CX120" s="25">
        <f>IF(ISNUMBER(VLOOKUP($D120,'Visu totale'!$D:$DH,CX$1,0)),CW120-VLOOKUP($D120,'Visu totale'!$D:$DH,CX$1,0),IF(LEFT(VLOOKUP($D120,'Visu totale'!$D:$DH,CX$1,0),1)="V",IF(CW120&gt;=INDEX('[1]Définition Maintenances'!$G:$G,MATCH($A120,'[1]Définition Maintenances'!$K:$K,0)),CW120,INDEX('[1]Définition Maintenances'!$G:$G,MATCH($A120,'[1]Définition Maintenances'!$K:$K,0))+CW120),CW120))</f>
        <v>599</v>
      </c>
      <c r="CY120" s="26">
        <f>IF(ISNUMBER(VLOOKUP($D120,'Visu totale'!$D:$DH,CY$1,0)),CX120-VLOOKUP($D120,'Visu totale'!$D:$DH,CY$1,0),IF(LEFT(VLOOKUP($D120,'Visu totale'!$D:$DH,CY$1,0),1)="V",IF(CX120&gt;=INDEX('[1]Définition Maintenances'!$G:$G,MATCH($A120,'[1]Définition Maintenances'!$K:$K,0)),CX120,INDEX('[1]Définition Maintenances'!$G:$G,MATCH($A120,'[1]Définition Maintenances'!$K:$K,0))+CX120),CX120))</f>
        <v>599</v>
      </c>
      <c r="CZ120" s="26">
        <f>IF(ISNUMBER(VLOOKUP($D120,'Visu totale'!$D:$DH,CZ$1,0)),CY120-VLOOKUP($D120,'Visu totale'!$D:$DH,CZ$1,0),IF(LEFT(VLOOKUP($D120,'Visu totale'!$D:$DH,CZ$1,0),1)="V",IF(CY120&gt;=INDEX('[1]Définition Maintenances'!$G:$G,MATCH($A120,'[1]Définition Maintenances'!$K:$K,0)),CY120,INDEX('[1]Définition Maintenances'!$G:$G,MATCH($A120,'[1]Définition Maintenances'!$K:$K,0))+CY120),CY120))</f>
        <v>599</v>
      </c>
      <c r="DA120" s="26">
        <f>IF(ISNUMBER(VLOOKUP($D120,'Visu totale'!$D:$DH,DA$1,0)),CZ120-VLOOKUP($D120,'Visu totale'!$D:$DH,DA$1,0),IF(LEFT(VLOOKUP($D120,'Visu totale'!$D:$DH,DA$1,0),1)="V",IF(CZ120&gt;=INDEX('[1]Définition Maintenances'!$G:$G,MATCH($A120,'[1]Définition Maintenances'!$K:$K,0)),CZ120,INDEX('[1]Définition Maintenances'!$G:$G,MATCH($A120,'[1]Définition Maintenances'!$K:$K,0))+CZ120),CZ120))</f>
        <v>599</v>
      </c>
      <c r="DB120" s="26">
        <f>IF(ISNUMBER(VLOOKUP($D120,'Visu totale'!$D:$DH,DB$1,0)),DA120-VLOOKUP($D120,'Visu totale'!$D:$DH,DB$1,0),IF(LEFT(VLOOKUP($D120,'Visu totale'!$D:$DH,DB$1,0),1)="V",IF(DA120&gt;=INDEX('[1]Définition Maintenances'!$G:$G,MATCH($A120,'[1]Définition Maintenances'!$K:$K,0)),DA120,INDEX('[1]Définition Maintenances'!$G:$G,MATCH($A120,'[1]Définition Maintenances'!$K:$K,0))+DA120),DA120))</f>
        <v>599</v>
      </c>
      <c r="DC120" s="26">
        <f>IF(ISNUMBER(VLOOKUP($D120,'Visu totale'!$D:$DH,DC$1,0)),DB120-VLOOKUP($D120,'Visu totale'!$D:$DH,DC$1,0),IF(LEFT(VLOOKUP($D120,'Visu totale'!$D:$DH,DC$1,0),1)="V",IF(DB120&gt;=INDEX('[1]Définition Maintenances'!$G:$G,MATCH($A120,'[1]Définition Maintenances'!$K:$K,0)),DB120,INDEX('[1]Définition Maintenances'!$G:$G,MATCH($A120,'[1]Définition Maintenances'!$K:$K,0))+DB120),DB120))</f>
        <v>599</v>
      </c>
      <c r="DD120" s="26">
        <f>IF(ISNUMBER(VLOOKUP($D120,'Visu totale'!$D:$DH,DD$1,0)),DC120-VLOOKUP($D120,'Visu totale'!$D:$DH,DD$1,0),IF(LEFT(VLOOKUP($D120,'Visu totale'!$D:$DH,DD$1,0),1)="V",IF(DC120&gt;=INDEX('[1]Définition Maintenances'!$G:$G,MATCH($A120,'[1]Définition Maintenances'!$K:$K,0)),DC120,INDEX('[1]Définition Maintenances'!$G:$G,MATCH($A120,'[1]Définition Maintenances'!$K:$K,0))+DC120),DC120))</f>
        <v>599</v>
      </c>
      <c r="DE120" s="26">
        <f>IF(ISNUMBER(VLOOKUP($D120,'Visu totale'!$D:$DH,DE$1,0)),DD120-VLOOKUP($D120,'Visu totale'!$D:$DH,DE$1,0),IF(LEFT(VLOOKUP($D120,'Visu totale'!$D:$DH,DE$1,0),1)="V",IF(DD120&gt;=INDEX('[1]Définition Maintenances'!$G:$G,MATCH($A120,'[1]Définition Maintenances'!$K:$K,0)),DD120,INDEX('[1]Définition Maintenances'!$G:$G,MATCH($A120,'[1]Définition Maintenances'!$K:$K,0))+DD120),DD120))</f>
        <v>599</v>
      </c>
      <c r="DF120" s="26">
        <f>IF(ISNUMBER(VLOOKUP($D120,'Visu totale'!$D:$DH,DF$1,0)),DE120-VLOOKUP($D120,'Visu totale'!$D:$DH,DF$1,0),IF(LEFT(VLOOKUP($D120,'Visu totale'!$D:$DH,DF$1,0),1)="V",IF(DE120&gt;=INDEX('[1]Définition Maintenances'!$G:$G,MATCH($A120,'[1]Définition Maintenances'!$K:$K,0)),DE120,INDEX('[1]Définition Maintenances'!$G:$G,MATCH($A120,'[1]Définition Maintenances'!$K:$K,0))+DE120),DE120))</f>
        <v>599</v>
      </c>
      <c r="DG120" s="26">
        <f>IF(ISNUMBER(VLOOKUP($D120,'Visu totale'!$D:$DH,DG$1,0)),DF120-VLOOKUP($D120,'Visu totale'!$D:$DH,DG$1,0),IF(LEFT(VLOOKUP($D120,'Visu totale'!$D:$DH,DG$1,0),1)="V",IF(DF120&gt;=INDEX('[1]Définition Maintenances'!$G:$G,MATCH($A120,'[1]Définition Maintenances'!$K:$K,0)),DF120,INDEX('[1]Définition Maintenances'!$G:$G,MATCH($A120,'[1]Définition Maintenances'!$K:$K,0))+DF120),DF120))</f>
        <v>599</v>
      </c>
      <c r="DH120" s="26">
        <f>IF(ISNUMBER(VLOOKUP($D120,'Visu totale'!$D:$DH,DH$1,0)),DG120-VLOOKUP($D120,'Visu totale'!$D:$DH,DH$1,0),IF(LEFT(VLOOKUP($D120,'Visu totale'!$D:$DH,DH$1,0),1)="V",IF(DG120&gt;=INDEX('[1]Définition Maintenances'!$G:$G,MATCH($A120,'[1]Définition Maintenances'!$K:$K,0)),DG120,INDEX('[1]Définition Maintenances'!$G:$G,MATCH($A120,'[1]Définition Maintenances'!$K:$K,0))+DG120),DG120))</f>
        <v>599</v>
      </c>
      <c r="DI120" s="27">
        <f>IF(ISNUMBER(VLOOKUP($D120,'Visu totale'!$D:$DH,DI$1,0)),DH120-VLOOKUP($D120,'Visu totale'!$D:$DH,DI$1,0),IF(LEFT(VLOOKUP($D120,'Visu totale'!$D:$DH,DI$1,0),1)="V",IF(DH120&gt;=INDEX('[1]Définition Maintenances'!$G:$G,MATCH($A120,'[1]Définition Maintenances'!$K:$K,0)),DH120,INDEX('[1]Définition Maintenances'!$G:$G,MATCH($A120,'[1]Définition Maintenances'!$K:$K,0))+DH120),DH120))</f>
        <v>599</v>
      </c>
    </row>
    <row r="121" spans="1:113" x14ac:dyDescent="0.25">
      <c r="A121" s="13" t="str">
        <f t="shared" si="3"/>
        <v>V155</v>
      </c>
      <c r="B121" s="13" t="str">
        <f>VLOOKUP(D121,'[1]Avions (Potentiels)'!$B$2:$H$128,7,FALSE)</f>
        <v>V15</v>
      </c>
      <c r="C121" s="13"/>
      <c r="D121" s="16" t="s">
        <v>124</v>
      </c>
      <c r="E121" s="13">
        <f>IFERROR(VALUE(SUBSTITUTE(VLOOKUP(D121,'[1]Avions (Potentiels)'!$B:$E,4,0),".",",")),VALUE(VLOOKUP(D121,'[1]Avions (Potentiels)'!$B:$E,4,0)))</f>
        <v>1064</v>
      </c>
      <c r="F121" s="25">
        <f>IF(ISNUMBER(VLOOKUP($D121,'Visu totale'!$D:$DH,F$1,0)),E121-VLOOKUP($D121,'Visu totale'!$D:$DH,F$1,0),IF(LEFT(VLOOKUP($D121,'Visu totale'!$D:$DH,F$1,0),1)="V",IF(E121&gt;=INDEX('[1]Définition Maintenances'!$G:$G,MATCH($A121,'[1]Définition Maintenances'!$K:$K,0)),E121,INDEX('[1]Définition Maintenances'!$G:$G,MATCH($A121,'[1]Définition Maintenances'!$K:$K,0))+E121),E121))</f>
        <v>1064</v>
      </c>
      <c r="G121" s="26">
        <f>IF(ISNUMBER(VLOOKUP($D121,'Visu totale'!$D:$DH,G$1,0)),F121-VLOOKUP($D121,'Visu totale'!$D:$DH,G$1,0),IF(LEFT(VLOOKUP($D121,'Visu totale'!$D:$DH,G$1,0),1)="V",IF(F121&gt;=INDEX('[1]Définition Maintenances'!$G:$G,MATCH($A121,'[1]Définition Maintenances'!$K:$K,0)),F121,INDEX('[1]Définition Maintenances'!$G:$G,MATCH($A121,'[1]Définition Maintenances'!$K:$K,0))+F121),F121))</f>
        <v>1064</v>
      </c>
      <c r="H121" s="26">
        <f>IF(ISNUMBER(VLOOKUP($D121,'Visu totale'!$D:$DH,H$1,0)),G121-VLOOKUP($D121,'Visu totale'!$D:$DH,H$1,0),IF(LEFT(VLOOKUP($D121,'Visu totale'!$D:$DH,H$1,0),1)="V",IF(G121&gt;=INDEX('[1]Définition Maintenances'!$G:$G,MATCH($A121,'[1]Définition Maintenances'!$K:$K,0)),G121,INDEX('[1]Définition Maintenances'!$G:$G,MATCH($A121,'[1]Définition Maintenances'!$K:$K,0))+G121),G121))</f>
        <v>1064</v>
      </c>
      <c r="I121" s="26">
        <f>IF(ISNUMBER(VLOOKUP($D121,'Visu totale'!$D:$DH,I$1,0)),H121-VLOOKUP($D121,'Visu totale'!$D:$DH,I$1,0),IF(LEFT(VLOOKUP($D121,'Visu totale'!$D:$DH,I$1,0),1)="V",IF(H121&gt;=INDEX('[1]Définition Maintenances'!$G:$G,MATCH($A121,'[1]Définition Maintenances'!$K:$K,0)),H121,INDEX('[1]Définition Maintenances'!$G:$G,MATCH($A121,'[1]Définition Maintenances'!$K:$K,0))+H121),H121))</f>
        <v>1064</v>
      </c>
      <c r="J121" s="26">
        <f>IF(ISNUMBER(VLOOKUP($D121,'Visu totale'!$D:$DH,J$1,0)),I121-VLOOKUP($D121,'Visu totale'!$D:$DH,J$1,0),IF(LEFT(VLOOKUP($D121,'Visu totale'!$D:$DH,J$1,0),1)="V",IF(I121&gt;=INDEX('[1]Définition Maintenances'!$G:$G,MATCH($A121,'[1]Définition Maintenances'!$K:$K,0)),I121,INDEX('[1]Définition Maintenances'!$G:$G,MATCH($A121,'[1]Définition Maintenances'!$K:$K,0))+I121),I121))</f>
        <v>1064</v>
      </c>
      <c r="K121" s="26">
        <f>IF(ISNUMBER(VLOOKUP($D121,'Visu totale'!$D:$DH,K$1,0)),J121-VLOOKUP($D121,'Visu totale'!$D:$DH,K$1,0),IF(LEFT(VLOOKUP($D121,'Visu totale'!$D:$DH,K$1,0),1)="V",IF(J121&gt;=INDEX('[1]Définition Maintenances'!$G:$G,MATCH($A121,'[1]Définition Maintenances'!$K:$K,0)),J121,INDEX('[1]Définition Maintenances'!$G:$G,MATCH($A121,'[1]Définition Maintenances'!$K:$K,0))+J121),J121))</f>
        <v>1064</v>
      </c>
      <c r="L121" s="26">
        <f>IF(ISNUMBER(VLOOKUP($D121,'Visu totale'!$D:$DH,L$1,0)),K121-VLOOKUP($D121,'Visu totale'!$D:$DH,L$1,0),IF(LEFT(VLOOKUP($D121,'Visu totale'!$D:$DH,L$1,0),1)="V",IF(K121&gt;=INDEX('[1]Définition Maintenances'!$G:$G,MATCH($A121,'[1]Définition Maintenances'!$K:$K,0)),K121,INDEX('[1]Définition Maintenances'!$G:$G,MATCH($A121,'[1]Définition Maintenances'!$K:$K,0))+K121),K121))</f>
        <v>1064</v>
      </c>
      <c r="M121" s="26">
        <f>IF(ISNUMBER(VLOOKUP($D121,'Visu totale'!$D:$DH,M$1,0)),L121-VLOOKUP($D121,'Visu totale'!$D:$DH,M$1,0),IF(LEFT(VLOOKUP($D121,'Visu totale'!$D:$DH,M$1,0),1)="V",IF(L121&gt;=INDEX('[1]Définition Maintenances'!$G:$G,MATCH($A121,'[1]Définition Maintenances'!$K:$K,0)),L121,INDEX('[1]Définition Maintenances'!$G:$G,MATCH($A121,'[1]Définition Maintenances'!$K:$K,0))+L121),L121))</f>
        <v>1064</v>
      </c>
      <c r="N121" s="26">
        <f>IF(ISNUMBER(VLOOKUP($D121,'Visu totale'!$D:$DH,N$1,0)),M121-VLOOKUP($D121,'Visu totale'!$D:$DH,N$1,0),IF(LEFT(VLOOKUP($D121,'Visu totale'!$D:$DH,N$1,0),1)="V",IF(M121&gt;=INDEX('[1]Définition Maintenances'!$G:$G,MATCH($A121,'[1]Définition Maintenances'!$K:$K,0)),M121,INDEX('[1]Définition Maintenances'!$G:$G,MATCH($A121,'[1]Définition Maintenances'!$K:$K,0))+M121),M121))</f>
        <v>1064</v>
      </c>
      <c r="O121" s="26">
        <f>IF(ISNUMBER(VLOOKUP($D121,'Visu totale'!$D:$DH,O$1,0)),N121-VLOOKUP($D121,'Visu totale'!$D:$DH,O$1,0),IF(LEFT(VLOOKUP($D121,'Visu totale'!$D:$DH,O$1,0),1)="V",IF(N121&gt;=INDEX('[1]Définition Maintenances'!$G:$G,MATCH($A121,'[1]Définition Maintenances'!$K:$K,0)),N121,INDEX('[1]Définition Maintenances'!$G:$G,MATCH($A121,'[1]Définition Maintenances'!$K:$K,0))+N121),N121))</f>
        <v>1064</v>
      </c>
      <c r="P121" s="26">
        <f>IF(ISNUMBER(VLOOKUP($D121,'Visu totale'!$D:$DH,P$1,0)),O121-VLOOKUP($D121,'Visu totale'!$D:$DH,P$1,0),IF(LEFT(VLOOKUP($D121,'Visu totale'!$D:$DH,P$1,0),1)="V",IF(O121&gt;=INDEX('[1]Définition Maintenances'!$G:$G,MATCH($A121,'[1]Définition Maintenances'!$K:$K,0)),O121,INDEX('[1]Définition Maintenances'!$G:$G,MATCH($A121,'[1]Définition Maintenances'!$K:$K,0))+O121),O121))</f>
        <v>1064</v>
      </c>
      <c r="Q121" s="27">
        <f>IF(ISNUMBER(VLOOKUP($D121,'Visu totale'!$D:$DH,Q$1,0)),P121-VLOOKUP($D121,'Visu totale'!$D:$DH,Q$1,0),IF(LEFT(VLOOKUP($D121,'Visu totale'!$D:$DH,Q$1,0),1)="V",IF(P121&gt;=INDEX('[1]Définition Maintenances'!$G:$G,MATCH($A121,'[1]Définition Maintenances'!$K:$K,0)),P121,INDEX('[1]Définition Maintenances'!$G:$G,MATCH($A121,'[1]Définition Maintenances'!$K:$K,0))+P121),P121))</f>
        <v>1064</v>
      </c>
      <c r="R121" s="25">
        <f>IF(ISNUMBER(VLOOKUP($D121,'Visu totale'!$D:$DH,R$1,0)),Q121-VLOOKUP($D121,'Visu totale'!$D:$DH,R$1,0),IF(LEFT(VLOOKUP($D121,'Visu totale'!$D:$DH,R$1,0),1)="V",IF(Q121&gt;=INDEX('[1]Définition Maintenances'!$G:$G,MATCH($A121,'[1]Définition Maintenances'!$K:$K,0)),Q121,INDEX('[1]Définition Maintenances'!$G:$G,MATCH($A121,'[1]Définition Maintenances'!$K:$K,0))+Q121),Q121))</f>
        <v>1064</v>
      </c>
      <c r="S121" s="26">
        <f>IF(ISNUMBER(VLOOKUP($D121,'Visu totale'!$D:$DH,S$1,0)),R121-VLOOKUP($D121,'Visu totale'!$D:$DH,S$1,0),IF(LEFT(VLOOKUP($D121,'Visu totale'!$D:$DH,S$1,0),1)="V",IF(R121&gt;=INDEX('[1]Définition Maintenances'!$G:$G,MATCH($A121,'[1]Définition Maintenances'!$K:$K,0)),R121,INDEX('[1]Définition Maintenances'!$G:$G,MATCH($A121,'[1]Définition Maintenances'!$K:$K,0))+R121),R121))</f>
        <v>1064</v>
      </c>
      <c r="T121" s="26">
        <f>IF(ISNUMBER(VLOOKUP($D121,'Visu totale'!$D:$DH,T$1,0)),S121-VLOOKUP($D121,'Visu totale'!$D:$DH,T$1,0),IF(LEFT(VLOOKUP($D121,'Visu totale'!$D:$DH,T$1,0),1)="V",IF(S121&gt;=INDEX('[1]Définition Maintenances'!$G:$G,MATCH($A121,'[1]Définition Maintenances'!$K:$K,0)),S121,INDEX('[1]Définition Maintenances'!$G:$G,MATCH($A121,'[1]Définition Maintenances'!$K:$K,0))+S121),S121))</f>
        <v>1064</v>
      </c>
      <c r="U121" s="26">
        <f>IF(ISNUMBER(VLOOKUP($D121,'Visu totale'!$D:$DH,U$1,0)),T121-VLOOKUP($D121,'Visu totale'!$D:$DH,U$1,0),IF(LEFT(VLOOKUP($D121,'Visu totale'!$D:$DH,U$1,0),1)="V",IF(T121&gt;=INDEX('[1]Définition Maintenances'!$G:$G,MATCH($A121,'[1]Définition Maintenances'!$K:$K,0)),T121,INDEX('[1]Définition Maintenances'!$G:$G,MATCH($A121,'[1]Définition Maintenances'!$K:$K,0))+T121),T121))</f>
        <v>1064</v>
      </c>
      <c r="V121" s="26">
        <f>IF(ISNUMBER(VLOOKUP($D121,'Visu totale'!$D:$DH,V$1,0)),U121-VLOOKUP($D121,'Visu totale'!$D:$DH,V$1,0),IF(LEFT(VLOOKUP($D121,'Visu totale'!$D:$DH,V$1,0),1)="V",IF(U121&gt;=INDEX('[1]Définition Maintenances'!$G:$G,MATCH($A121,'[1]Définition Maintenances'!$K:$K,0)),U121,INDEX('[1]Définition Maintenances'!$G:$G,MATCH($A121,'[1]Définition Maintenances'!$K:$K,0))+U121),U121))</f>
        <v>1064</v>
      </c>
      <c r="W121" s="26">
        <f>IF(ISNUMBER(VLOOKUP($D121,'Visu totale'!$D:$DH,W$1,0)),V121-VLOOKUP($D121,'Visu totale'!$D:$DH,W$1,0),IF(LEFT(VLOOKUP($D121,'Visu totale'!$D:$DH,W$1,0),1)="V",IF(V121&gt;=INDEX('[1]Définition Maintenances'!$G:$G,MATCH($A121,'[1]Définition Maintenances'!$K:$K,0)),V121,INDEX('[1]Définition Maintenances'!$G:$G,MATCH($A121,'[1]Définition Maintenances'!$K:$K,0))+V121),V121))</f>
        <v>1064</v>
      </c>
      <c r="X121" s="26">
        <f>IF(ISNUMBER(VLOOKUP($D121,'Visu totale'!$D:$DH,X$1,0)),W121-VLOOKUP($D121,'Visu totale'!$D:$DH,X$1,0),IF(LEFT(VLOOKUP($D121,'Visu totale'!$D:$DH,X$1,0),1)="V",IF(W121&gt;=INDEX('[1]Définition Maintenances'!$G:$G,MATCH($A121,'[1]Définition Maintenances'!$K:$K,0)),W121,INDEX('[1]Définition Maintenances'!$G:$G,MATCH($A121,'[1]Définition Maintenances'!$K:$K,0))+W121),W121))</f>
        <v>1064</v>
      </c>
      <c r="Y121" s="26">
        <f>IF(ISNUMBER(VLOOKUP($D121,'Visu totale'!$D:$DH,Y$1,0)),X121-VLOOKUP($D121,'Visu totale'!$D:$DH,Y$1,0),IF(LEFT(VLOOKUP($D121,'Visu totale'!$D:$DH,Y$1,0),1)="V",IF(X121&gt;=INDEX('[1]Définition Maintenances'!$G:$G,MATCH($A121,'[1]Définition Maintenances'!$K:$K,0)),X121,INDEX('[1]Définition Maintenances'!$G:$G,MATCH($A121,'[1]Définition Maintenances'!$K:$K,0))+X121),X121))</f>
        <v>1064</v>
      </c>
      <c r="Z121" s="26">
        <f>IF(ISNUMBER(VLOOKUP($D121,'Visu totale'!$D:$DH,Z$1,0)),Y121-VLOOKUP($D121,'Visu totale'!$D:$DH,Z$1,0),IF(LEFT(VLOOKUP($D121,'Visu totale'!$D:$DH,Z$1,0),1)="V",IF(Y121&gt;=INDEX('[1]Définition Maintenances'!$G:$G,MATCH($A121,'[1]Définition Maintenances'!$K:$K,0)),Y121,INDEX('[1]Définition Maintenances'!$G:$G,MATCH($A121,'[1]Définition Maintenances'!$K:$K,0))+Y121),Y121))</f>
        <v>1064</v>
      </c>
      <c r="AA121" s="26">
        <f>IF(ISNUMBER(VLOOKUP($D121,'Visu totale'!$D:$DH,AA$1,0)),Z121-VLOOKUP($D121,'Visu totale'!$D:$DH,AA$1,0),IF(LEFT(VLOOKUP($D121,'Visu totale'!$D:$DH,AA$1,0),1)="V",IF(Z121&gt;=INDEX('[1]Définition Maintenances'!$G:$G,MATCH($A121,'[1]Définition Maintenances'!$K:$K,0)),Z121,INDEX('[1]Définition Maintenances'!$G:$G,MATCH($A121,'[1]Définition Maintenances'!$K:$K,0))+Z121),Z121))</f>
        <v>1064</v>
      </c>
      <c r="AB121" s="26">
        <f>IF(ISNUMBER(VLOOKUP($D121,'Visu totale'!$D:$DH,AB$1,0)),AA121-VLOOKUP($D121,'Visu totale'!$D:$DH,AB$1,0),IF(LEFT(VLOOKUP($D121,'Visu totale'!$D:$DH,AB$1,0),1)="V",IF(AA121&gt;=INDEX('[1]Définition Maintenances'!$G:$G,MATCH($A121,'[1]Définition Maintenances'!$K:$K,0)),AA121,INDEX('[1]Définition Maintenances'!$G:$G,MATCH($A121,'[1]Définition Maintenances'!$K:$K,0))+AA121),AA121))</f>
        <v>1064</v>
      </c>
      <c r="AC121" s="27">
        <f>IF(ISNUMBER(VLOOKUP($D121,'Visu totale'!$D:$DH,AC$1,0)),AB121-VLOOKUP($D121,'Visu totale'!$D:$DH,AC$1,0),IF(LEFT(VLOOKUP($D121,'Visu totale'!$D:$DH,AC$1,0),1)="V",IF(AB121&gt;=INDEX('[1]Définition Maintenances'!$G:$G,MATCH($A121,'[1]Définition Maintenances'!$K:$K,0)),AB121,INDEX('[1]Définition Maintenances'!$G:$G,MATCH($A121,'[1]Définition Maintenances'!$K:$K,0))+AB121),AB121))</f>
        <v>1064</v>
      </c>
      <c r="AD121" s="25">
        <f>IF(ISNUMBER(VLOOKUP($D121,'Visu totale'!$D:$DH,AD$1,0)),AC121-VLOOKUP($D121,'Visu totale'!$D:$DH,AD$1,0),IF(LEFT(VLOOKUP($D121,'Visu totale'!$D:$DH,AD$1,0),1)="V",IF(AC121&gt;=INDEX('[1]Définition Maintenances'!$G:$G,MATCH($A121,'[1]Définition Maintenances'!$K:$K,0)),AC121,INDEX('[1]Définition Maintenances'!$G:$G,MATCH($A121,'[1]Définition Maintenances'!$K:$K,0))+AC121),AC121))</f>
        <v>1064</v>
      </c>
      <c r="AE121" s="26">
        <f>IF(ISNUMBER(VLOOKUP($D121,'Visu totale'!$D:$DH,AE$1,0)),AD121-VLOOKUP($D121,'Visu totale'!$D:$DH,AE$1,0),IF(LEFT(VLOOKUP($D121,'Visu totale'!$D:$DH,AE$1,0),1)="V",IF(AD121&gt;=INDEX('[1]Définition Maintenances'!$G:$G,MATCH($A121,'[1]Définition Maintenances'!$K:$K,0)),AD121,INDEX('[1]Définition Maintenances'!$G:$G,MATCH($A121,'[1]Définition Maintenances'!$K:$K,0))+AD121),AD121))</f>
        <v>1064</v>
      </c>
      <c r="AF121" s="26">
        <f>IF(ISNUMBER(VLOOKUP($D121,'Visu totale'!$D:$DH,AF$1,0)),AE121-VLOOKUP($D121,'Visu totale'!$D:$DH,AF$1,0),IF(LEFT(VLOOKUP($D121,'Visu totale'!$D:$DH,AF$1,0),1)="V",IF(AE121&gt;=INDEX('[1]Définition Maintenances'!$G:$G,MATCH($A121,'[1]Définition Maintenances'!$K:$K,0)),AE121,INDEX('[1]Définition Maintenances'!$G:$G,MATCH($A121,'[1]Définition Maintenances'!$K:$K,0))+AE121),AE121))</f>
        <v>1064</v>
      </c>
      <c r="AG121" s="26">
        <f>IF(ISNUMBER(VLOOKUP($D121,'Visu totale'!$D:$DH,AG$1,0)),AF121-VLOOKUP($D121,'Visu totale'!$D:$DH,AG$1,0),IF(LEFT(VLOOKUP($D121,'Visu totale'!$D:$DH,AG$1,0),1)="V",IF(AF121&gt;=INDEX('[1]Définition Maintenances'!$G:$G,MATCH($A121,'[1]Définition Maintenances'!$K:$K,0)),AF121,INDEX('[1]Définition Maintenances'!$G:$G,MATCH($A121,'[1]Définition Maintenances'!$K:$K,0))+AF121),AF121))</f>
        <v>1064</v>
      </c>
      <c r="AH121" s="26">
        <f>IF(ISNUMBER(VLOOKUP($D121,'Visu totale'!$D:$DH,AH$1,0)),AG121-VLOOKUP($D121,'Visu totale'!$D:$DH,AH$1,0),IF(LEFT(VLOOKUP($D121,'Visu totale'!$D:$DH,AH$1,0),1)="V",IF(AG121&gt;=INDEX('[1]Définition Maintenances'!$G:$G,MATCH($A121,'[1]Définition Maintenances'!$K:$K,0)),AG121,INDEX('[1]Définition Maintenances'!$G:$G,MATCH($A121,'[1]Définition Maintenances'!$K:$K,0))+AG121),AG121))</f>
        <v>1064</v>
      </c>
      <c r="AI121" s="26">
        <f>IF(ISNUMBER(VLOOKUP($D121,'Visu totale'!$D:$DH,AI$1,0)),AH121-VLOOKUP($D121,'Visu totale'!$D:$DH,AI$1,0),IF(LEFT(VLOOKUP($D121,'Visu totale'!$D:$DH,AI$1,0),1)="V",IF(AH121&gt;=INDEX('[1]Définition Maintenances'!$G:$G,MATCH($A121,'[1]Définition Maintenances'!$K:$K,0)),AH121,INDEX('[1]Définition Maintenances'!$G:$G,MATCH($A121,'[1]Définition Maintenances'!$K:$K,0))+AH121),AH121))</f>
        <v>1064</v>
      </c>
      <c r="AJ121" s="26">
        <f>IF(ISNUMBER(VLOOKUP($D121,'Visu totale'!$D:$DH,AJ$1,0)),AI121-VLOOKUP($D121,'Visu totale'!$D:$DH,AJ$1,0),IF(LEFT(VLOOKUP($D121,'Visu totale'!$D:$DH,AJ$1,0),1)="V",IF(AI121&gt;=INDEX('[1]Définition Maintenances'!$G:$G,MATCH($A121,'[1]Définition Maintenances'!$K:$K,0)),AI121,INDEX('[1]Définition Maintenances'!$G:$G,MATCH($A121,'[1]Définition Maintenances'!$K:$K,0))+AI121),AI121))</f>
        <v>1064</v>
      </c>
      <c r="AK121" s="26">
        <f>IF(ISNUMBER(VLOOKUP($D121,'Visu totale'!$D:$DH,AK$1,0)),AJ121-VLOOKUP($D121,'Visu totale'!$D:$DH,AK$1,0),IF(LEFT(VLOOKUP($D121,'Visu totale'!$D:$DH,AK$1,0),1)="V",IF(AJ121&gt;=INDEX('[1]Définition Maintenances'!$G:$G,MATCH($A121,'[1]Définition Maintenances'!$K:$K,0)),AJ121,INDEX('[1]Définition Maintenances'!$G:$G,MATCH($A121,'[1]Définition Maintenances'!$K:$K,0))+AJ121),AJ121))</f>
        <v>1064</v>
      </c>
      <c r="AL121" s="26">
        <f>IF(ISNUMBER(VLOOKUP($D121,'Visu totale'!$D:$DH,AL$1,0)),AK121-VLOOKUP($D121,'Visu totale'!$D:$DH,AL$1,0),IF(LEFT(VLOOKUP($D121,'Visu totale'!$D:$DH,AL$1,0),1)="V",IF(AK121&gt;=INDEX('[1]Définition Maintenances'!$G:$G,MATCH($A121,'[1]Définition Maintenances'!$K:$K,0)),AK121,INDEX('[1]Définition Maintenances'!$G:$G,MATCH($A121,'[1]Définition Maintenances'!$K:$K,0))+AK121),AK121))</f>
        <v>1064</v>
      </c>
      <c r="AM121" s="26">
        <f>IF(ISNUMBER(VLOOKUP($D121,'Visu totale'!$D:$DH,AM$1,0)),AL121-VLOOKUP($D121,'Visu totale'!$D:$DH,AM$1,0),IF(LEFT(VLOOKUP($D121,'Visu totale'!$D:$DH,AM$1,0),1)="V",IF(AL121&gt;=INDEX('[1]Définition Maintenances'!$G:$G,MATCH($A121,'[1]Définition Maintenances'!$K:$K,0)),AL121,INDEX('[1]Définition Maintenances'!$G:$G,MATCH($A121,'[1]Définition Maintenances'!$K:$K,0))+AL121),AL121))</f>
        <v>1064</v>
      </c>
      <c r="AN121" s="26">
        <f>IF(ISNUMBER(VLOOKUP($D121,'Visu totale'!$D:$DH,AN$1,0)),AM121-VLOOKUP($D121,'Visu totale'!$D:$DH,AN$1,0),IF(LEFT(VLOOKUP($D121,'Visu totale'!$D:$DH,AN$1,0),1)="V",IF(AM121&gt;=INDEX('[1]Définition Maintenances'!$G:$G,MATCH($A121,'[1]Définition Maintenances'!$K:$K,0)),AM121,INDEX('[1]Définition Maintenances'!$G:$G,MATCH($A121,'[1]Définition Maintenances'!$K:$K,0))+AM121),AM121))</f>
        <v>1064</v>
      </c>
      <c r="AO121" s="27">
        <f>IF(ISNUMBER(VLOOKUP($D121,'Visu totale'!$D:$DH,AO$1,0)),AN121-VLOOKUP($D121,'Visu totale'!$D:$DH,AO$1,0),IF(LEFT(VLOOKUP($D121,'Visu totale'!$D:$DH,AO$1,0),1)="V",IF(AN121&gt;=INDEX('[1]Définition Maintenances'!$G:$G,MATCH($A121,'[1]Définition Maintenances'!$K:$K,0)),AN121,INDEX('[1]Définition Maintenances'!$G:$G,MATCH($A121,'[1]Définition Maintenances'!$K:$K,0))+AN121),AN121))</f>
        <v>1064</v>
      </c>
      <c r="AP121" s="25">
        <f>IF(ISNUMBER(VLOOKUP($D121,'Visu totale'!$D:$DH,AP$1,0)),AO121-VLOOKUP($D121,'Visu totale'!$D:$DH,AP$1,0),IF(LEFT(VLOOKUP($D121,'Visu totale'!$D:$DH,AP$1,0),1)="V",IF(AO121&gt;=INDEX('[1]Définition Maintenances'!$G:$G,MATCH($A121,'[1]Définition Maintenances'!$K:$K,0)),AO121,INDEX('[1]Définition Maintenances'!$G:$G,MATCH($A121,'[1]Définition Maintenances'!$K:$K,0))+AO121),AO121))</f>
        <v>1064</v>
      </c>
      <c r="AQ121" s="26">
        <f>IF(ISNUMBER(VLOOKUP($D121,'Visu totale'!$D:$DH,AQ$1,0)),AP121-VLOOKUP($D121,'Visu totale'!$D:$DH,AQ$1,0),IF(LEFT(VLOOKUP($D121,'Visu totale'!$D:$DH,AQ$1,0),1)="V",IF(AP121&gt;=INDEX('[1]Définition Maintenances'!$G:$G,MATCH($A121,'[1]Définition Maintenances'!$K:$K,0)),AP121,INDEX('[1]Définition Maintenances'!$G:$G,MATCH($A121,'[1]Définition Maintenances'!$K:$K,0))+AP121),AP121))</f>
        <v>1064</v>
      </c>
      <c r="AR121" s="26">
        <f>IF(ISNUMBER(VLOOKUP($D121,'Visu totale'!$D:$DH,AR$1,0)),AQ121-VLOOKUP($D121,'Visu totale'!$D:$DH,AR$1,0),IF(LEFT(VLOOKUP($D121,'Visu totale'!$D:$DH,AR$1,0),1)="V",IF(AQ121&gt;=INDEX('[1]Définition Maintenances'!$G:$G,MATCH($A121,'[1]Définition Maintenances'!$K:$K,0)),AQ121,INDEX('[1]Définition Maintenances'!$G:$G,MATCH($A121,'[1]Définition Maintenances'!$K:$K,0))+AQ121),AQ121))</f>
        <v>1064</v>
      </c>
      <c r="AS121" s="26">
        <f>IF(ISNUMBER(VLOOKUP($D121,'Visu totale'!$D:$DH,AS$1,0)),AR121-VLOOKUP($D121,'Visu totale'!$D:$DH,AS$1,0),IF(LEFT(VLOOKUP($D121,'Visu totale'!$D:$DH,AS$1,0),1)="V",IF(AR121&gt;=INDEX('[1]Définition Maintenances'!$G:$G,MATCH($A121,'[1]Définition Maintenances'!$K:$K,0)),AR121,INDEX('[1]Définition Maintenances'!$G:$G,MATCH($A121,'[1]Définition Maintenances'!$K:$K,0))+AR121),AR121))</f>
        <v>1064</v>
      </c>
      <c r="AT121" s="26">
        <f>IF(ISNUMBER(VLOOKUP($D121,'Visu totale'!$D:$DH,AT$1,0)),AS121-VLOOKUP($D121,'Visu totale'!$D:$DH,AT$1,0),IF(LEFT(VLOOKUP($D121,'Visu totale'!$D:$DH,AT$1,0),1)="V",IF(AS121&gt;=INDEX('[1]Définition Maintenances'!$G:$G,MATCH($A121,'[1]Définition Maintenances'!$K:$K,0)),AS121,INDEX('[1]Définition Maintenances'!$G:$G,MATCH($A121,'[1]Définition Maintenances'!$K:$K,0))+AS121),AS121))</f>
        <v>1064</v>
      </c>
      <c r="AU121" s="26">
        <f>IF(ISNUMBER(VLOOKUP($D121,'Visu totale'!$D:$DH,AU$1,0)),AT121-VLOOKUP($D121,'Visu totale'!$D:$DH,AU$1,0),IF(LEFT(VLOOKUP($D121,'Visu totale'!$D:$DH,AU$1,0),1)="V",IF(AT121&gt;=INDEX('[1]Définition Maintenances'!$G:$G,MATCH($A121,'[1]Définition Maintenances'!$K:$K,0)),AT121,INDEX('[1]Définition Maintenances'!$G:$G,MATCH($A121,'[1]Définition Maintenances'!$K:$K,0))+AT121),AT121))</f>
        <v>1064</v>
      </c>
      <c r="AV121" s="26">
        <f>IF(ISNUMBER(VLOOKUP($D121,'Visu totale'!$D:$DH,AV$1,0)),AU121-VLOOKUP($D121,'Visu totale'!$D:$DH,AV$1,0),IF(LEFT(VLOOKUP($D121,'Visu totale'!$D:$DH,AV$1,0),1)="V",IF(AU121&gt;=INDEX('[1]Définition Maintenances'!$G:$G,MATCH($A121,'[1]Définition Maintenances'!$K:$K,0)),AU121,INDEX('[1]Définition Maintenances'!$G:$G,MATCH($A121,'[1]Définition Maintenances'!$K:$K,0))+AU121),AU121))</f>
        <v>1064</v>
      </c>
      <c r="AW121" s="26">
        <f>IF(ISNUMBER(VLOOKUP($D121,'Visu totale'!$D:$DH,AW$1,0)),AV121-VLOOKUP($D121,'Visu totale'!$D:$DH,AW$1,0),IF(LEFT(VLOOKUP($D121,'Visu totale'!$D:$DH,AW$1,0),1)="V",IF(AV121&gt;=INDEX('[1]Définition Maintenances'!$G:$G,MATCH($A121,'[1]Définition Maintenances'!$K:$K,0)),AV121,INDEX('[1]Définition Maintenances'!$G:$G,MATCH($A121,'[1]Définition Maintenances'!$K:$K,0))+AV121),AV121))</f>
        <v>1064</v>
      </c>
      <c r="AX121" s="26">
        <f>IF(ISNUMBER(VLOOKUP($D121,'Visu totale'!$D:$DH,AX$1,0)),AW121-VLOOKUP($D121,'Visu totale'!$D:$DH,AX$1,0),IF(LEFT(VLOOKUP($D121,'Visu totale'!$D:$DH,AX$1,0),1)="V",IF(AW121&gt;=INDEX('[1]Définition Maintenances'!$G:$G,MATCH($A121,'[1]Définition Maintenances'!$K:$K,0)),AW121,INDEX('[1]Définition Maintenances'!$G:$G,MATCH($A121,'[1]Définition Maintenances'!$K:$K,0))+AW121),AW121))</f>
        <v>1064</v>
      </c>
      <c r="AY121" s="26">
        <f>IF(ISNUMBER(VLOOKUP($D121,'Visu totale'!$D:$DH,AY$1,0)),AX121-VLOOKUP($D121,'Visu totale'!$D:$DH,AY$1,0),IF(LEFT(VLOOKUP($D121,'Visu totale'!$D:$DH,AY$1,0),1)="V",IF(AX121&gt;=INDEX('[1]Définition Maintenances'!$G:$G,MATCH($A121,'[1]Définition Maintenances'!$K:$K,0)),AX121,INDEX('[1]Définition Maintenances'!$G:$G,MATCH($A121,'[1]Définition Maintenances'!$K:$K,0))+AX121),AX121))</f>
        <v>1064</v>
      </c>
      <c r="AZ121" s="26">
        <f>IF(ISNUMBER(VLOOKUP($D121,'Visu totale'!$D:$DH,AZ$1,0)),AY121-VLOOKUP($D121,'Visu totale'!$D:$DH,AZ$1,0),IF(LEFT(VLOOKUP($D121,'Visu totale'!$D:$DH,AZ$1,0),1)="V",IF(AY121&gt;=INDEX('[1]Définition Maintenances'!$G:$G,MATCH($A121,'[1]Définition Maintenances'!$K:$K,0)),AY121,INDEX('[1]Définition Maintenances'!$G:$G,MATCH($A121,'[1]Définition Maintenances'!$K:$K,0))+AY121),AY121))</f>
        <v>1064</v>
      </c>
      <c r="BA121" s="27">
        <f>IF(ISNUMBER(VLOOKUP($D121,'Visu totale'!$D:$DH,BA$1,0)),AZ121-VLOOKUP($D121,'Visu totale'!$D:$DH,BA$1,0),IF(LEFT(VLOOKUP($D121,'Visu totale'!$D:$DH,BA$1,0),1)="V",IF(AZ121&gt;=INDEX('[1]Définition Maintenances'!$G:$G,MATCH($A121,'[1]Définition Maintenances'!$K:$K,0)),AZ121,INDEX('[1]Définition Maintenances'!$G:$G,MATCH($A121,'[1]Définition Maintenances'!$K:$K,0))+AZ121),AZ121))</f>
        <v>1064</v>
      </c>
      <c r="BB121" s="25">
        <f>IF(ISNUMBER(VLOOKUP($D121,'Visu totale'!$D:$DH,BB$1,0)),BA121-VLOOKUP($D121,'Visu totale'!$D:$DH,BB$1,0),IF(LEFT(VLOOKUP($D121,'Visu totale'!$D:$DH,BB$1,0),1)="V",IF(BA121&gt;=INDEX('[1]Définition Maintenances'!$G:$G,MATCH($A121,'[1]Définition Maintenances'!$K:$K,0)),BA121,INDEX('[1]Définition Maintenances'!$G:$G,MATCH($A121,'[1]Définition Maintenances'!$K:$K,0))+BA121),BA121))</f>
        <v>1064</v>
      </c>
      <c r="BC121" s="26">
        <f>IF(ISNUMBER(VLOOKUP($D121,'Visu totale'!$D:$DH,BC$1,0)),BB121-VLOOKUP($D121,'Visu totale'!$D:$DH,BC$1,0),IF(LEFT(VLOOKUP($D121,'Visu totale'!$D:$DH,BC$1,0),1)="V",IF(BB121&gt;=INDEX('[1]Définition Maintenances'!$G:$G,MATCH($A121,'[1]Définition Maintenances'!$K:$K,0)),BB121,INDEX('[1]Définition Maintenances'!$G:$G,MATCH($A121,'[1]Définition Maintenances'!$K:$K,0))+BB121),BB121))</f>
        <v>1064</v>
      </c>
      <c r="BD121" s="26">
        <f>IF(ISNUMBER(VLOOKUP($D121,'Visu totale'!$D:$DH,BD$1,0)),BC121-VLOOKUP($D121,'Visu totale'!$D:$DH,BD$1,0),IF(LEFT(VLOOKUP($D121,'Visu totale'!$D:$DH,BD$1,0),1)="V",IF(BC121&gt;=INDEX('[1]Définition Maintenances'!$G:$G,MATCH($A121,'[1]Définition Maintenances'!$K:$K,0)),BC121,INDEX('[1]Définition Maintenances'!$G:$G,MATCH($A121,'[1]Définition Maintenances'!$K:$K,0))+BC121),BC121))</f>
        <v>1064</v>
      </c>
      <c r="BE121" s="26">
        <f>IF(ISNUMBER(VLOOKUP($D121,'Visu totale'!$D:$DH,BE$1,0)),BD121-VLOOKUP($D121,'Visu totale'!$D:$DH,BE$1,0),IF(LEFT(VLOOKUP($D121,'Visu totale'!$D:$DH,BE$1,0),1)="V",IF(BD121&gt;=INDEX('[1]Définition Maintenances'!$G:$G,MATCH($A121,'[1]Définition Maintenances'!$K:$K,0)),BD121,INDEX('[1]Définition Maintenances'!$G:$G,MATCH($A121,'[1]Définition Maintenances'!$K:$K,0))+BD121),BD121))</f>
        <v>1064</v>
      </c>
      <c r="BF121" s="26">
        <f>IF(ISNUMBER(VLOOKUP($D121,'Visu totale'!$D:$DH,BF$1,0)),BE121-VLOOKUP($D121,'Visu totale'!$D:$DH,BF$1,0),IF(LEFT(VLOOKUP($D121,'Visu totale'!$D:$DH,BF$1,0),1)="V",IF(BE121&gt;=INDEX('[1]Définition Maintenances'!$G:$G,MATCH($A121,'[1]Définition Maintenances'!$K:$K,0)),BE121,INDEX('[1]Définition Maintenances'!$G:$G,MATCH($A121,'[1]Définition Maintenances'!$K:$K,0))+BE121),BE121))</f>
        <v>1064</v>
      </c>
      <c r="BG121" s="26">
        <f>IF(ISNUMBER(VLOOKUP($D121,'Visu totale'!$D:$DH,BG$1,0)),BF121-VLOOKUP($D121,'Visu totale'!$D:$DH,BG$1,0),IF(LEFT(VLOOKUP($D121,'Visu totale'!$D:$DH,BG$1,0),1)="V",IF(BF121&gt;=INDEX('[1]Définition Maintenances'!$G:$G,MATCH($A121,'[1]Définition Maintenances'!$K:$K,0)),BF121,INDEX('[1]Définition Maintenances'!$G:$G,MATCH($A121,'[1]Définition Maintenances'!$K:$K,0))+BF121),BF121))</f>
        <v>1064</v>
      </c>
      <c r="BH121" s="26">
        <f>IF(ISNUMBER(VLOOKUP($D121,'Visu totale'!$D:$DH,BH$1,0)),BG121-VLOOKUP($D121,'Visu totale'!$D:$DH,BH$1,0),IF(LEFT(VLOOKUP($D121,'Visu totale'!$D:$DH,BH$1,0),1)="V",IF(BG121&gt;=INDEX('[1]Définition Maintenances'!$G:$G,MATCH($A121,'[1]Définition Maintenances'!$K:$K,0)),BG121,INDEX('[1]Définition Maintenances'!$G:$G,MATCH($A121,'[1]Définition Maintenances'!$K:$K,0))+BG121),BG121))</f>
        <v>1064</v>
      </c>
      <c r="BI121" s="26">
        <f>IF(ISNUMBER(VLOOKUP($D121,'Visu totale'!$D:$DH,BI$1,0)),BH121-VLOOKUP($D121,'Visu totale'!$D:$DH,BI$1,0),IF(LEFT(VLOOKUP($D121,'Visu totale'!$D:$DH,BI$1,0),1)="V",IF(BH121&gt;=INDEX('[1]Définition Maintenances'!$G:$G,MATCH($A121,'[1]Définition Maintenances'!$K:$K,0)),BH121,INDEX('[1]Définition Maintenances'!$G:$G,MATCH($A121,'[1]Définition Maintenances'!$K:$K,0))+BH121),BH121))</f>
        <v>1064</v>
      </c>
      <c r="BJ121" s="26">
        <f>IF(ISNUMBER(VLOOKUP($D121,'Visu totale'!$D:$DH,BJ$1,0)),BI121-VLOOKUP($D121,'Visu totale'!$D:$DH,BJ$1,0),IF(LEFT(VLOOKUP($D121,'Visu totale'!$D:$DH,BJ$1,0),1)="V",IF(BI121&gt;=INDEX('[1]Définition Maintenances'!$G:$G,MATCH($A121,'[1]Définition Maintenances'!$K:$K,0)),BI121,INDEX('[1]Définition Maintenances'!$G:$G,MATCH($A121,'[1]Définition Maintenances'!$K:$K,0))+BI121),BI121))</f>
        <v>1064</v>
      </c>
      <c r="BK121" s="26">
        <f>IF(ISNUMBER(VLOOKUP($D121,'Visu totale'!$D:$DH,BK$1,0)),BJ121-VLOOKUP($D121,'Visu totale'!$D:$DH,BK$1,0),IF(LEFT(VLOOKUP($D121,'Visu totale'!$D:$DH,BK$1,0),1)="V",IF(BJ121&gt;=INDEX('[1]Définition Maintenances'!$G:$G,MATCH($A121,'[1]Définition Maintenances'!$K:$K,0)),BJ121,INDEX('[1]Définition Maintenances'!$G:$G,MATCH($A121,'[1]Définition Maintenances'!$K:$K,0))+BJ121),BJ121))</f>
        <v>1064</v>
      </c>
      <c r="BL121" s="26">
        <f>IF(ISNUMBER(VLOOKUP($D121,'Visu totale'!$D:$DH,BL$1,0)),BK121-VLOOKUP($D121,'Visu totale'!$D:$DH,BL$1,0),IF(LEFT(VLOOKUP($D121,'Visu totale'!$D:$DH,BL$1,0),1)="V",IF(BK121&gt;=INDEX('[1]Définition Maintenances'!$G:$G,MATCH($A121,'[1]Définition Maintenances'!$K:$K,0)),BK121,INDEX('[1]Définition Maintenances'!$G:$G,MATCH($A121,'[1]Définition Maintenances'!$K:$K,0))+BK121),BK121))</f>
        <v>1064</v>
      </c>
      <c r="BM121" s="27">
        <f>IF(ISNUMBER(VLOOKUP($D121,'Visu totale'!$D:$DH,BM$1,0)),BL121-VLOOKUP($D121,'Visu totale'!$D:$DH,BM$1,0),IF(LEFT(VLOOKUP($D121,'Visu totale'!$D:$DH,BM$1,0),1)="V",IF(BL121&gt;=INDEX('[1]Définition Maintenances'!$G:$G,MATCH($A121,'[1]Définition Maintenances'!$K:$K,0)),BL121,INDEX('[1]Définition Maintenances'!$G:$G,MATCH($A121,'[1]Définition Maintenances'!$K:$K,0))+BL121),BL121))</f>
        <v>1064</v>
      </c>
      <c r="BN121" s="25">
        <f>IF(ISNUMBER(VLOOKUP($D121,'Visu totale'!$D:$DH,BN$1,0)),BM121-VLOOKUP($D121,'Visu totale'!$D:$DH,BN$1,0),IF(LEFT(VLOOKUP($D121,'Visu totale'!$D:$DH,BN$1,0),1)="V",IF(BM121&gt;=INDEX('[1]Définition Maintenances'!$G:$G,MATCH($A121,'[1]Définition Maintenances'!$K:$K,0)),BM121,INDEX('[1]Définition Maintenances'!$G:$G,MATCH($A121,'[1]Définition Maintenances'!$K:$K,0))+BM121),BM121))</f>
        <v>1064</v>
      </c>
      <c r="BO121" s="26">
        <f>IF(ISNUMBER(VLOOKUP($D121,'Visu totale'!$D:$DH,BO$1,0)),BN121-VLOOKUP($D121,'Visu totale'!$D:$DH,BO$1,0),IF(LEFT(VLOOKUP($D121,'Visu totale'!$D:$DH,BO$1,0),1)="V",IF(BN121&gt;=INDEX('[1]Définition Maintenances'!$G:$G,MATCH($A121,'[1]Définition Maintenances'!$K:$K,0)),BN121,INDEX('[1]Définition Maintenances'!$G:$G,MATCH($A121,'[1]Définition Maintenances'!$K:$K,0))+BN121),BN121))</f>
        <v>1064</v>
      </c>
      <c r="BP121" s="26">
        <f>IF(ISNUMBER(VLOOKUP($D121,'Visu totale'!$D:$DH,BP$1,0)),BO121-VLOOKUP($D121,'Visu totale'!$D:$DH,BP$1,0),IF(LEFT(VLOOKUP($D121,'Visu totale'!$D:$DH,BP$1,0),1)="V",IF(BO121&gt;=INDEX('[1]Définition Maintenances'!$G:$G,MATCH($A121,'[1]Définition Maintenances'!$K:$K,0)),BO121,INDEX('[1]Définition Maintenances'!$G:$G,MATCH($A121,'[1]Définition Maintenances'!$K:$K,0))+BO121),BO121))</f>
        <v>1064</v>
      </c>
      <c r="BQ121" s="26">
        <f>IF(ISNUMBER(VLOOKUP($D121,'Visu totale'!$D:$DH,BQ$1,0)),BP121-VLOOKUP($D121,'Visu totale'!$D:$DH,BQ$1,0),IF(LEFT(VLOOKUP($D121,'Visu totale'!$D:$DH,BQ$1,0),1)="V",IF(BP121&gt;=INDEX('[1]Définition Maintenances'!$G:$G,MATCH($A121,'[1]Définition Maintenances'!$K:$K,0)),BP121,INDEX('[1]Définition Maintenances'!$G:$G,MATCH($A121,'[1]Définition Maintenances'!$K:$K,0))+BP121),BP121))</f>
        <v>1064</v>
      </c>
      <c r="BR121" s="26">
        <f>IF(ISNUMBER(VLOOKUP($D121,'Visu totale'!$D:$DH,BR$1,0)),BQ121-VLOOKUP($D121,'Visu totale'!$D:$DH,BR$1,0),IF(LEFT(VLOOKUP($D121,'Visu totale'!$D:$DH,BR$1,0),1)="V",IF(BQ121&gt;=INDEX('[1]Définition Maintenances'!$G:$G,MATCH($A121,'[1]Définition Maintenances'!$K:$K,0)),BQ121,INDEX('[1]Définition Maintenances'!$G:$G,MATCH($A121,'[1]Définition Maintenances'!$K:$K,0))+BQ121),BQ121))</f>
        <v>1064</v>
      </c>
      <c r="BS121" s="26">
        <f>IF(ISNUMBER(VLOOKUP($D121,'Visu totale'!$D:$DH,BS$1,0)),BR121-VLOOKUP($D121,'Visu totale'!$D:$DH,BS$1,0),IF(LEFT(VLOOKUP($D121,'Visu totale'!$D:$DH,BS$1,0),1)="V",IF(BR121&gt;=INDEX('[1]Définition Maintenances'!$G:$G,MATCH($A121,'[1]Définition Maintenances'!$K:$K,0)),BR121,INDEX('[1]Définition Maintenances'!$G:$G,MATCH($A121,'[1]Définition Maintenances'!$K:$K,0))+BR121),BR121))</f>
        <v>1064</v>
      </c>
      <c r="BT121" s="26">
        <f>IF(ISNUMBER(VLOOKUP($D121,'Visu totale'!$D:$DH,BT$1,0)),BS121-VLOOKUP($D121,'Visu totale'!$D:$DH,BT$1,0),IF(LEFT(VLOOKUP($D121,'Visu totale'!$D:$DH,BT$1,0),1)="V",IF(BS121&gt;=INDEX('[1]Définition Maintenances'!$G:$G,MATCH($A121,'[1]Définition Maintenances'!$K:$K,0)),BS121,INDEX('[1]Définition Maintenances'!$G:$G,MATCH($A121,'[1]Définition Maintenances'!$K:$K,0))+BS121),BS121))</f>
        <v>1064</v>
      </c>
      <c r="BU121" s="26">
        <f>IF(ISNUMBER(VLOOKUP($D121,'Visu totale'!$D:$DH,BU$1,0)),BT121-VLOOKUP($D121,'Visu totale'!$D:$DH,BU$1,0),IF(LEFT(VLOOKUP($D121,'Visu totale'!$D:$DH,BU$1,0),1)="V",IF(BT121&gt;=INDEX('[1]Définition Maintenances'!$G:$G,MATCH($A121,'[1]Définition Maintenances'!$K:$K,0)),BT121,INDEX('[1]Définition Maintenances'!$G:$G,MATCH($A121,'[1]Définition Maintenances'!$K:$K,0))+BT121),BT121))</f>
        <v>1064</v>
      </c>
      <c r="BV121" s="26">
        <f>IF(ISNUMBER(VLOOKUP($D121,'Visu totale'!$D:$DH,BV$1,0)),BU121-VLOOKUP($D121,'Visu totale'!$D:$DH,BV$1,0),IF(LEFT(VLOOKUP($D121,'Visu totale'!$D:$DH,BV$1,0),1)="V",IF(BU121&gt;=INDEX('[1]Définition Maintenances'!$G:$G,MATCH($A121,'[1]Définition Maintenances'!$K:$K,0)),BU121,INDEX('[1]Définition Maintenances'!$G:$G,MATCH($A121,'[1]Définition Maintenances'!$K:$K,0))+BU121),BU121))</f>
        <v>1064</v>
      </c>
      <c r="BW121" s="26">
        <f>IF(ISNUMBER(VLOOKUP($D121,'Visu totale'!$D:$DH,BW$1,0)),BV121-VLOOKUP($D121,'Visu totale'!$D:$DH,BW$1,0),IF(LEFT(VLOOKUP($D121,'Visu totale'!$D:$DH,BW$1,0),1)="V",IF(BV121&gt;=INDEX('[1]Définition Maintenances'!$G:$G,MATCH($A121,'[1]Définition Maintenances'!$K:$K,0)),BV121,INDEX('[1]Définition Maintenances'!$G:$G,MATCH($A121,'[1]Définition Maintenances'!$K:$K,0))+BV121),BV121))</f>
        <v>1064</v>
      </c>
      <c r="BX121" s="26">
        <f>IF(ISNUMBER(VLOOKUP($D121,'Visu totale'!$D:$DH,BX$1,0)),BW121-VLOOKUP($D121,'Visu totale'!$D:$DH,BX$1,0),IF(LEFT(VLOOKUP($D121,'Visu totale'!$D:$DH,BX$1,0),1)="V",IF(BW121&gt;=INDEX('[1]Définition Maintenances'!$G:$G,MATCH($A121,'[1]Définition Maintenances'!$K:$K,0)),BW121,INDEX('[1]Définition Maintenances'!$G:$G,MATCH($A121,'[1]Définition Maintenances'!$K:$K,0))+BW121),BW121))</f>
        <v>1064</v>
      </c>
      <c r="BY121" s="27">
        <f>IF(ISNUMBER(VLOOKUP($D121,'Visu totale'!$D:$DH,BY$1,0)),BX121-VLOOKUP($D121,'Visu totale'!$D:$DH,BY$1,0),IF(LEFT(VLOOKUP($D121,'Visu totale'!$D:$DH,BY$1,0),1)="V",IF(BX121&gt;=INDEX('[1]Définition Maintenances'!$G:$G,MATCH($A121,'[1]Définition Maintenances'!$K:$K,0)),BX121,INDEX('[1]Définition Maintenances'!$G:$G,MATCH($A121,'[1]Définition Maintenances'!$K:$K,0))+BX121),BX121))</f>
        <v>1064</v>
      </c>
      <c r="BZ121" s="25">
        <f>IF(ISNUMBER(VLOOKUP($D121,'Visu totale'!$D:$DH,BZ$1,0)),BY121-VLOOKUP($D121,'Visu totale'!$D:$DH,BZ$1,0),IF(LEFT(VLOOKUP($D121,'Visu totale'!$D:$DH,BZ$1,0),1)="V",IF(BY121&gt;=INDEX('[1]Définition Maintenances'!$G:$G,MATCH($A121,'[1]Définition Maintenances'!$K:$K,0)),BY121,INDEX('[1]Définition Maintenances'!$G:$G,MATCH($A121,'[1]Définition Maintenances'!$K:$K,0))+BY121),BY121))</f>
        <v>1064</v>
      </c>
      <c r="CA121" s="26">
        <f>IF(ISNUMBER(VLOOKUP($D121,'Visu totale'!$D:$DH,CA$1,0)),BZ121-VLOOKUP($D121,'Visu totale'!$D:$DH,CA$1,0),IF(LEFT(VLOOKUP($D121,'Visu totale'!$D:$DH,CA$1,0),1)="V",IF(BZ121&gt;=INDEX('[1]Définition Maintenances'!$G:$G,MATCH($A121,'[1]Définition Maintenances'!$K:$K,0)),BZ121,INDEX('[1]Définition Maintenances'!$G:$G,MATCH($A121,'[1]Définition Maintenances'!$K:$K,0))+BZ121),BZ121))</f>
        <v>1064</v>
      </c>
      <c r="CB121" s="26">
        <f>IF(ISNUMBER(VLOOKUP($D121,'Visu totale'!$D:$DH,CB$1,0)),CA121-VLOOKUP($D121,'Visu totale'!$D:$DH,CB$1,0),IF(LEFT(VLOOKUP($D121,'Visu totale'!$D:$DH,CB$1,0),1)="V",IF(CA121&gt;=INDEX('[1]Définition Maintenances'!$G:$G,MATCH($A121,'[1]Définition Maintenances'!$K:$K,0)),CA121,INDEX('[1]Définition Maintenances'!$G:$G,MATCH($A121,'[1]Définition Maintenances'!$K:$K,0))+CA121),CA121))</f>
        <v>1064</v>
      </c>
      <c r="CC121" s="26">
        <f>IF(ISNUMBER(VLOOKUP($D121,'Visu totale'!$D:$DH,CC$1,0)),CB121-VLOOKUP($D121,'Visu totale'!$D:$DH,CC$1,0),IF(LEFT(VLOOKUP($D121,'Visu totale'!$D:$DH,CC$1,0),1)="V",IF(CB121&gt;=INDEX('[1]Définition Maintenances'!$G:$G,MATCH($A121,'[1]Définition Maintenances'!$K:$K,0)),CB121,INDEX('[1]Définition Maintenances'!$G:$G,MATCH($A121,'[1]Définition Maintenances'!$K:$K,0))+CB121),CB121))</f>
        <v>1064</v>
      </c>
      <c r="CD121" s="26">
        <f>IF(ISNUMBER(VLOOKUP($D121,'Visu totale'!$D:$DH,CD$1,0)),CC121-VLOOKUP($D121,'Visu totale'!$D:$DH,CD$1,0),IF(LEFT(VLOOKUP($D121,'Visu totale'!$D:$DH,CD$1,0),1)="V",IF(CC121&gt;=INDEX('[1]Définition Maintenances'!$G:$G,MATCH($A121,'[1]Définition Maintenances'!$K:$K,0)),CC121,INDEX('[1]Définition Maintenances'!$G:$G,MATCH($A121,'[1]Définition Maintenances'!$K:$K,0))+CC121),CC121))</f>
        <v>1064</v>
      </c>
      <c r="CE121" s="26">
        <f>IF(ISNUMBER(VLOOKUP($D121,'Visu totale'!$D:$DH,CE$1,0)),CD121-VLOOKUP($D121,'Visu totale'!$D:$DH,CE$1,0),IF(LEFT(VLOOKUP($D121,'Visu totale'!$D:$DH,CE$1,0),1)="V",IF(CD121&gt;=INDEX('[1]Définition Maintenances'!$G:$G,MATCH($A121,'[1]Définition Maintenances'!$K:$K,0)),CD121,INDEX('[1]Définition Maintenances'!$G:$G,MATCH($A121,'[1]Définition Maintenances'!$K:$K,0))+CD121),CD121))</f>
        <v>1064</v>
      </c>
      <c r="CF121" s="26">
        <f>IF(ISNUMBER(VLOOKUP($D121,'Visu totale'!$D:$DH,CF$1,0)),CE121-VLOOKUP($D121,'Visu totale'!$D:$DH,CF$1,0),IF(LEFT(VLOOKUP($D121,'Visu totale'!$D:$DH,CF$1,0),1)="V",IF(CE121&gt;=INDEX('[1]Définition Maintenances'!$G:$G,MATCH($A121,'[1]Définition Maintenances'!$K:$K,0)),CE121,INDEX('[1]Définition Maintenances'!$G:$G,MATCH($A121,'[1]Définition Maintenances'!$K:$K,0))+CE121),CE121))</f>
        <v>1064</v>
      </c>
      <c r="CG121" s="26">
        <f>IF(ISNUMBER(VLOOKUP($D121,'Visu totale'!$D:$DH,CG$1,0)),CF121-VLOOKUP($D121,'Visu totale'!$D:$DH,CG$1,0),IF(LEFT(VLOOKUP($D121,'Visu totale'!$D:$DH,CG$1,0),1)="V",IF(CF121&gt;=INDEX('[1]Définition Maintenances'!$G:$G,MATCH($A121,'[1]Définition Maintenances'!$K:$K,0)),CF121,INDEX('[1]Définition Maintenances'!$G:$G,MATCH($A121,'[1]Définition Maintenances'!$K:$K,0))+CF121),CF121))</f>
        <v>1064</v>
      </c>
      <c r="CH121" s="26">
        <f>IF(ISNUMBER(VLOOKUP($D121,'Visu totale'!$D:$DH,CH$1,0)),CG121-VLOOKUP($D121,'Visu totale'!$D:$DH,CH$1,0),IF(LEFT(VLOOKUP($D121,'Visu totale'!$D:$DH,CH$1,0),1)="V",IF(CG121&gt;=INDEX('[1]Définition Maintenances'!$G:$G,MATCH($A121,'[1]Définition Maintenances'!$K:$K,0)),CG121,INDEX('[1]Définition Maintenances'!$G:$G,MATCH($A121,'[1]Définition Maintenances'!$K:$K,0))+CG121),CG121))</f>
        <v>1064</v>
      </c>
      <c r="CI121" s="26">
        <f>IF(ISNUMBER(VLOOKUP($D121,'Visu totale'!$D:$DH,CI$1,0)),CH121-VLOOKUP($D121,'Visu totale'!$D:$DH,CI$1,0),IF(LEFT(VLOOKUP($D121,'Visu totale'!$D:$DH,CI$1,0),1)="V",IF(CH121&gt;=INDEX('[1]Définition Maintenances'!$G:$G,MATCH($A121,'[1]Définition Maintenances'!$K:$K,0)),CH121,INDEX('[1]Définition Maintenances'!$G:$G,MATCH($A121,'[1]Définition Maintenances'!$K:$K,0))+CH121),CH121))</f>
        <v>1064</v>
      </c>
      <c r="CJ121" s="26">
        <f>IF(ISNUMBER(VLOOKUP($D121,'Visu totale'!$D:$DH,CJ$1,0)),CI121-VLOOKUP($D121,'Visu totale'!$D:$DH,CJ$1,0),IF(LEFT(VLOOKUP($D121,'Visu totale'!$D:$DH,CJ$1,0),1)="V",IF(CI121&gt;=INDEX('[1]Définition Maintenances'!$G:$G,MATCH($A121,'[1]Définition Maintenances'!$K:$K,0)),CI121,INDEX('[1]Définition Maintenances'!$G:$G,MATCH($A121,'[1]Définition Maintenances'!$K:$K,0))+CI121),CI121))</f>
        <v>1064</v>
      </c>
      <c r="CK121" s="27">
        <f>IF(ISNUMBER(VLOOKUP($D121,'Visu totale'!$D:$DH,CK$1,0)),CJ121-VLOOKUP($D121,'Visu totale'!$D:$DH,CK$1,0),IF(LEFT(VLOOKUP($D121,'Visu totale'!$D:$DH,CK$1,0),1)="V",IF(CJ121&gt;=INDEX('[1]Définition Maintenances'!$G:$G,MATCH($A121,'[1]Définition Maintenances'!$K:$K,0)),CJ121,INDEX('[1]Définition Maintenances'!$G:$G,MATCH($A121,'[1]Définition Maintenances'!$K:$K,0))+CJ121),CJ121))</f>
        <v>1064</v>
      </c>
      <c r="CL121" s="25">
        <f>IF(ISNUMBER(VLOOKUP($D121,'Visu totale'!$D:$DH,CL$1,0)),CK121-VLOOKUP($D121,'Visu totale'!$D:$DH,CL$1,0),IF(LEFT(VLOOKUP($D121,'Visu totale'!$D:$DH,CL$1,0),1)="V",IF(CK121&gt;=INDEX('[1]Définition Maintenances'!$G:$G,MATCH($A121,'[1]Définition Maintenances'!$K:$K,0)),CK121,INDEX('[1]Définition Maintenances'!$G:$G,MATCH($A121,'[1]Définition Maintenances'!$K:$K,0))+CK121),CK121))</f>
        <v>1064</v>
      </c>
      <c r="CM121" s="26">
        <f>IF(ISNUMBER(VLOOKUP($D121,'Visu totale'!$D:$DH,CM$1,0)),CL121-VLOOKUP($D121,'Visu totale'!$D:$DH,CM$1,0),IF(LEFT(VLOOKUP($D121,'Visu totale'!$D:$DH,CM$1,0),1)="V",IF(CL121&gt;=INDEX('[1]Définition Maintenances'!$G:$G,MATCH($A121,'[1]Définition Maintenances'!$K:$K,0)),CL121,INDEX('[1]Définition Maintenances'!$G:$G,MATCH($A121,'[1]Définition Maintenances'!$K:$K,0))+CL121),CL121))</f>
        <v>1064</v>
      </c>
      <c r="CN121" s="26">
        <f>IF(ISNUMBER(VLOOKUP($D121,'Visu totale'!$D:$DH,CN$1,0)),CM121-VLOOKUP($D121,'Visu totale'!$D:$DH,CN$1,0),IF(LEFT(VLOOKUP($D121,'Visu totale'!$D:$DH,CN$1,0),1)="V",IF(CM121&gt;=INDEX('[1]Définition Maintenances'!$G:$G,MATCH($A121,'[1]Définition Maintenances'!$K:$K,0)),CM121,INDEX('[1]Définition Maintenances'!$G:$G,MATCH($A121,'[1]Définition Maintenances'!$K:$K,0))+CM121),CM121))</f>
        <v>1064</v>
      </c>
      <c r="CO121" s="26">
        <f>IF(ISNUMBER(VLOOKUP($D121,'Visu totale'!$D:$DH,CO$1,0)),CN121-VLOOKUP($D121,'Visu totale'!$D:$DH,CO$1,0),IF(LEFT(VLOOKUP($D121,'Visu totale'!$D:$DH,CO$1,0),1)="V",IF(CN121&gt;=INDEX('[1]Définition Maintenances'!$G:$G,MATCH($A121,'[1]Définition Maintenances'!$K:$K,0)),CN121,INDEX('[1]Définition Maintenances'!$G:$G,MATCH($A121,'[1]Définition Maintenances'!$K:$K,0))+CN121),CN121))</f>
        <v>1064</v>
      </c>
      <c r="CP121" s="26">
        <f>IF(ISNUMBER(VLOOKUP($D121,'Visu totale'!$D:$DH,CP$1,0)),CO121-VLOOKUP($D121,'Visu totale'!$D:$DH,CP$1,0),IF(LEFT(VLOOKUP($D121,'Visu totale'!$D:$DH,CP$1,0),1)="V",IF(CO121&gt;=INDEX('[1]Définition Maintenances'!$G:$G,MATCH($A121,'[1]Définition Maintenances'!$K:$K,0)),CO121,INDEX('[1]Définition Maintenances'!$G:$G,MATCH($A121,'[1]Définition Maintenances'!$K:$K,0))+CO121),CO121))</f>
        <v>1064</v>
      </c>
      <c r="CQ121" s="26">
        <f>IF(ISNUMBER(VLOOKUP($D121,'Visu totale'!$D:$DH,CQ$1,0)),CP121-VLOOKUP($D121,'Visu totale'!$D:$DH,CQ$1,0),IF(LEFT(VLOOKUP($D121,'Visu totale'!$D:$DH,CQ$1,0),1)="V",IF(CP121&gt;=INDEX('[1]Définition Maintenances'!$G:$G,MATCH($A121,'[1]Définition Maintenances'!$K:$K,0)),CP121,INDEX('[1]Définition Maintenances'!$G:$G,MATCH($A121,'[1]Définition Maintenances'!$K:$K,0))+CP121),CP121))</f>
        <v>1064</v>
      </c>
      <c r="CR121" s="26">
        <f>IF(ISNUMBER(VLOOKUP($D121,'Visu totale'!$D:$DH,CR$1,0)),CQ121-VLOOKUP($D121,'Visu totale'!$D:$DH,CR$1,0),IF(LEFT(VLOOKUP($D121,'Visu totale'!$D:$DH,CR$1,0),1)="V",IF(CQ121&gt;=INDEX('[1]Définition Maintenances'!$G:$G,MATCH($A121,'[1]Définition Maintenances'!$K:$K,0)),CQ121,INDEX('[1]Définition Maintenances'!$G:$G,MATCH($A121,'[1]Définition Maintenances'!$K:$K,0))+CQ121),CQ121))</f>
        <v>1064</v>
      </c>
      <c r="CS121" s="26">
        <f>IF(ISNUMBER(VLOOKUP($D121,'Visu totale'!$D:$DH,CS$1,0)),CR121-VLOOKUP($D121,'Visu totale'!$D:$DH,CS$1,0),IF(LEFT(VLOOKUP($D121,'Visu totale'!$D:$DH,CS$1,0),1)="V",IF(CR121&gt;=INDEX('[1]Définition Maintenances'!$G:$G,MATCH($A121,'[1]Définition Maintenances'!$K:$K,0)),CR121,INDEX('[1]Définition Maintenances'!$G:$G,MATCH($A121,'[1]Définition Maintenances'!$K:$K,0))+CR121),CR121))</f>
        <v>1064</v>
      </c>
      <c r="CT121" s="26">
        <f>IF(ISNUMBER(VLOOKUP($D121,'Visu totale'!$D:$DH,CT$1,0)),CS121-VLOOKUP($D121,'Visu totale'!$D:$DH,CT$1,0),IF(LEFT(VLOOKUP($D121,'Visu totale'!$D:$DH,CT$1,0),1)="V",IF(CS121&gt;=INDEX('[1]Définition Maintenances'!$G:$G,MATCH($A121,'[1]Définition Maintenances'!$K:$K,0)),CS121,INDEX('[1]Définition Maintenances'!$G:$G,MATCH($A121,'[1]Définition Maintenances'!$K:$K,0))+CS121),CS121))</f>
        <v>1064</v>
      </c>
      <c r="CU121" s="26">
        <f>IF(ISNUMBER(VLOOKUP($D121,'Visu totale'!$D:$DH,CU$1,0)),CT121-VLOOKUP($D121,'Visu totale'!$D:$DH,CU$1,0),IF(LEFT(VLOOKUP($D121,'Visu totale'!$D:$DH,CU$1,0),1)="V",IF(CT121&gt;=INDEX('[1]Définition Maintenances'!$G:$G,MATCH($A121,'[1]Définition Maintenances'!$K:$K,0)),CT121,INDEX('[1]Définition Maintenances'!$G:$G,MATCH($A121,'[1]Définition Maintenances'!$K:$K,0))+CT121),CT121))</f>
        <v>1064</v>
      </c>
      <c r="CV121" s="26">
        <f>IF(ISNUMBER(VLOOKUP($D121,'Visu totale'!$D:$DH,CV$1,0)),CU121-VLOOKUP($D121,'Visu totale'!$D:$DH,CV$1,0),IF(LEFT(VLOOKUP($D121,'Visu totale'!$D:$DH,CV$1,0),1)="V",IF(CU121&gt;=INDEX('[1]Définition Maintenances'!$G:$G,MATCH($A121,'[1]Définition Maintenances'!$K:$K,0)),CU121,INDEX('[1]Définition Maintenances'!$G:$G,MATCH($A121,'[1]Définition Maintenances'!$K:$K,0))+CU121),CU121))</f>
        <v>1064</v>
      </c>
      <c r="CW121" s="27">
        <f>IF(ISNUMBER(VLOOKUP($D121,'Visu totale'!$D:$DH,CW$1,0)),CV121-VLOOKUP($D121,'Visu totale'!$D:$DH,CW$1,0),IF(LEFT(VLOOKUP($D121,'Visu totale'!$D:$DH,CW$1,0),1)="V",IF(CV121&gt;=INDEX('[1]Définition Maintenances'!$G:$G,MATCH($A121,'[1]Définition Maintenances'!$K:$K,0)),CV121,INDEX('[1]Définition Maintenances'!$G:$G,MATCH($A121,'[1]Définition Maintenances'!$K:$K,0))+CV121),CV121))</f>
        <v>1064</v>
      </c>
      <c r="CX121" s="25">
        <f>IF(ISNUMBER(VLOOKUP($D121,'Visu totale'!$D:$DH,CX$1,0)),CW121-VLOOKUP($D121,'Visu totale'!$D:$DH,CX$1,0),IF(LEFT(VLOOKUP($D121,'Visu totale'!$D:$DH,CX$1,0),1)="V",IF(CW121&gt;=INDEX('[1]Définition Maintenances'!$G:$G,MATCH($A121,'[1]Définition Maintenances'!$K:$K,0)),CW121,INDEX('[1]Définition Maintenances'!$G:$G,MATCH($A121,'[1]Définition Maintenances'!$K:$K,0))+CW121),CW121))</f>
        <v>1064</v>
      </c>
      <c r="CY121" s="26">
        <f>IF(ISNUMBER(VLOOKUP($D121,'Visu totale'!$D:$DH,CY$1,0)),CX121-VLOOKUP($D121,'Visu totale'!$D:$DH,CY$1,0),IF(LEFT(VLOOKUP($D121,'Visu totale'!$D:$DH,CY$1,0),1)="V",IF(CX121&gt;=INDEX('[1]Définition Maintenances'!$G:$G,MATCH($A121,'[1]Définition Maintenances'!$K:$K,0)),CX121,INDEX('[1]Définition Maintenances'!$G:$G,MATCH($A121,'[1]Définition Maintenances'!$K:$K,0))+CX121),CX121))</f>
        <v>1064</v>
      </c>
      <c r="CZ121" s="26">
        <f>IF(ISNUMBER(VLOOKUP($D121,'Visu totale'!$D:$DH,CZ$1,0)),CY121-VLOOKUP($D121,'Visu totale'!$D:$DH,CZ$1,0),IF(LEFT(VLOOKUP($D121,'Visu totale'!$D:$DH,CZ$1,0),1)="V",IF(CY121&gt;=INDEX('[1]Définition Maintenances'!$G:$G,MATCH($A121,'[1]Définition Maintenances'!$K:$K,0)),CY121,INDEX('[1]Définition Maintenances'!$G:$G,MATCH($A121,'[1]Définition Maintenances'!$K:$K,0))+CY121),CY121))</f>
        <v>1064</v>
      </c>
      <c r="DA121" s="26">
        <f>IF(ISNUMBER(VLOOKUP($D121,'Visu totale'!$D:$DH,DA$1,0)),CZ121-VLOOKUP($D121,'Visu totale'!$D:$DH,DA$1,0),IF(LEFT(VLOOKUP($D121,'Visu totale'!$D:$DH,DA$1,0),1)="V",IF(CZ121&gt;=INDEX('[1]Définition Maintenances'!$G:$G,MATCH($A121,'[1]Définition Maintenances'!$K:$K,0)),CZ121,INDEX('[1]Définition Maintenances'!$G:$G,MATCH($A121,'[1]Définition Maintenances'!$K:$K,0))+CZ121),CZ121))</f>
        <v>1064</v>
      </c>
      <c r="DB121" s="26">
        <f>IF(ISNUMBER(VLOOKUP($D121,'Visu totale'!$D:$DH,DB$1,0)),DA121-VLOOKUP($D121,'Visu totale'!$D:$DH,DB$1,0),IF(LEFT(VLOOKUP($D121,'Visu totale'!$D:$DH,DB$1,0),1)="V",IF(DA121&gt;=INDEX('[1]Définition Maintenances'!$G:$G,MATCH($A121,'[1]Définition Maintenances'!$K:$K,0)),DA121,INDEX('[1]Définition Maintenances'!$G:$G,MATCH($A121,'[1]Définition Maintenances'!$K:$K,0))+DA121),DA121))</f>
        <v>1064</v>
      </c>
      <c r="DC121" s="26">
        <f>IF(ISNUMBER(VLOOKUP($D121,'Visu totale'!$D:$DH,DC$1,0)),DB121-VLOOKUP($D121,'Visu totale'!$D:$DH,DC$1,0),IF(LEFT(VLOOKUP($D121,'Visu totale'!$D:$DH,DC$1,0),1)="V",IF(DB121&gt;=INDEX('[1]Définition Maintenances'!$G:$G,MATCH($A121,'[1]Définition Maintenances'!$K:$K,0)),DB121,INDEX('[1]Définition Maintenances'!$G:$G,MATCH($A121,'[1]Définition Maintenances'!$K:$K,0))+DB121),DB121))</f>
        <v>1064</v>
      </c>
      <c r="DD121" s="26">
        <f>IF(ISNUMBER(VLOOKUP($D121,'Visu totale'!$D:$DH,DD$1,0)),DC121-VLOOKUP($D121,'Visu totale'!$D:$DH,DD$1,0),IF(LEFT(VLOOKUP($D121,'Visu totale'!$D:$DH,DD$1,0),1)="V",IF(DC121&gt;=INDEX('[1]Définition Maintenances'!$G:$G,MATCH($A121,'[1]Définition Maintenances'!$K:$K,0)),DC121,INDEX('[1]Définition Maintenances'!$G:$G,MATCH($A121,'[1]Définition Maintenances'!$K:$K,0))+DC121),DC121))</f>
        <v>1064</v>
      </c>
      <c r="DE121" s="26">
        <f>IF(ISNUMBER(VLOOKUP($D121,'Visu totale'!$D:$DH,DE$1,0)),DD121-VLOOKUP($D121,'Visu totale'!$D:$DH,DE$1,0),IF(LEFT(VLOOKUP($D121,'Visu totale'!$D:$DH,DE$1,0),1)="V",IF(DD121&gt;=INDEX('[1]Définition Maintenances'!$G:$G,MATCH($A121,'[1]Définition Maintenances'!$K:$K,0)),DD121,INDEX('[1]Définition Maintenances'!$G:$G,MATCH($A121,'[1]Définition Maintenances'!$K:$K,0))+DD121),DD121))</f>
        <v>1064</v>
      </c>
      <c r="DF121" s="26">
        <f>IF(ISNUMBER(VLOOKUP($D121,'Visu totale'!$D:$DH,DF$1,0)),DE121-VLOOKUP($D121,'Visu totale'!$D:$DH,DF$1,0),IF(LEFT(VLOOKUP($D121,'Visu totale'!$D:$DH,DF$1,0),1)="V",IF(DE121&gt;=INDEX('[1]Définition Maintenances'!$G:$G,MATCH($A121,'[1]Définition Maintenances'!$K:$K,0)),DE121,INDEX('[1]Définition Maintenances'!$G:$G,MATCH($A121,'[1]Définition Maintenances'!$K:$K,0))+DE121),DE121))</f>
        <v>1064</v>
      </c>
      <c r="DG121" s="26">
        <f>IF(ISNUMBER(VLOOKUP($D121,'Visu totale'!$D:$DH,DG$1,0)),DF121-VLOOKUP($D121,'Visu totale'!$D:$DH,DG$1,0),IF(LEFT(VLOOKUP($D121,'Visu totale'!$D:$DH,DG$1,0),1)="V",IF(DF121&gt;=INDEX('[1]Définition Maintenances'!$G:$G,MATCH($A121,'[1]Définition Maintenances'!$K:$K,0)),DF121,INDEX('[1]Définition Maintenances'!$G:$G,MATCH($A121,'[1]Définition Maintenances'!$K:$K,0))+DF121),DF121))</f>
        <v>1064</v>
      </c>
      <c r="DH121" s="26">
        <f>IF(ISNUMBER(VLOOKUP($D121,'Visu totale'!$D:$DH,DH$1,0)),DG121-VLOOKUP($D121,'Visu totale'!$D:$DH,DH$1,0),IF(LEFT(VLOOKUP($D121,'Visu totale'!$D:$DH,DH$1,0),1)="V",IF(DG121&gt;=INDEX('[1]Définition Maintenances'!$G:$G,MATCH($A121,'[1]Définition Maintenances'!$K:$K,0)),DG121,INDEX('[1]Définition Maintenances'!$G:$G,MATCH($A121,'[1]Définition Maintenances'!$K:$K,0))+DG121),DG121))</f>
        <v>1064</v>
      </c>
      <c r="DI121" s="27">
        <f>IF(ISNUMBER(VLOOKUP($D121,'Visu totale'!$D:$DH,DI$1,0)),DH121-VLOOKUP($D121,'Visu totale'!$D:$DH,DI$1,0),IF(LEFT(VLOOKUP($D121,'Visu totale'!$D:$DH,DI$1,0),1)="V",IF(DH121&gt;=INDEX('[1]Définition Maintenances'!$G:$G,MATCH($A121,'[1]Définition Maintenances'!$K:$K,0)),DH121,INDEX('[1]Définition Maintenances'!$G:$G,MATCH($A121,'[1]Définition Maintenances'!$K:$K,0))+DH121),DH121))</f>
        <v>1064</v>
      </c>
    </row>
    <row r="122" spans="1:113" x14ac:dyDescent="0.25">
      <c r="A122" s="13" t="str">
        <f t="shared" si="3"/>
        <v>V55</v>
      </c>
      <c r="B122" s="13" t="str">
        <f>VLOOKUP(D122,'[1]Avions (Potentiels)'!$B$2:$H$128,7,FALSE)</f>
        <v>V5</v>
      </c>
      <c r="C122" s="13"/>
      <c r="D122" s="16" t="s">
        <v>125</v>
      </c>
      <c r="E122" s="13">
        <f>IFERROR(VALUE(SUBSTITUTE(VLOOKUP(D122,'[1]Avions (Potentiels)'!$B:$E,4,0),".",",")),VALUE(VLOOKUP(D122,'[1]Avions (Potentiels)'!$B:$E,4,0)))</f>
        <v>309</v>
      </c>
      <c r="F122" s="25">
        <f>IF(ISNUMBER(VLOOKUP($D122,'Visu totale'!$D:$DH,F$1,0)),E122-VLOOKUP($D122,'Visu totale'!$D:$DH,F$1,0),IF(LEFT(VLOOKUP($D122,'Visu totale'!$D:$DH,F$1,0),1)="V",IF(E122&gt;=INDEX('[1]Définition Maintenances'!$G:$G,MATCH($A122,'[1]Définition Maintenances'!$K:$K,0)),E122,INDEX('[1]Définition Maintenances'!$G:$G,MATCH($A122,'[1]Définition Maintenances'!$K:$K,0))+E122),E122))</f>
        <v>309</v>
      </c>
      <c r="G122" s="26">
        <f>IF(ISNUMBER(VLOOKUP($D122,'Visu totale'!$D:$DH,G$1,0)),F122-VLOOKUP($D122,'Visu totale'!$D:$DH,G$1,0),IF(LEFT(VLOOKUP($D122,'Visu totale'!$D:$DH,G$1,0),1)="V",IF(F122&gt;=INDEX('[1]Définition Maintenances'!$G:$G,MATCH($A122,'[1]Définition Maintenances'!$K:$K,0)),F122,INDEX('[1]Définition Maintenances'!$G:$G,MATCH($A122,'[1]Définition Maintenances'!$K:$K,0))+F122),F122))</f>
        <v>309</v>
      </c>
      <c r="H122" s="26">
        <f>IF(ISNUMBER(VLOOKUP($D122,'Visu totale'!$D:$DH,H$1,0)),G122-VLOOKUP($D122,'Visu totale'!$D:$DH,H$1,0),IF(LEFT(VLOOKUP($D122,'Visu totale'!$D:$DH,H$1,0),1)="V",IF(G122&gt;=INDEX('[1]Définition Maintenances'!$G:$G,MATCH($A122,'[1]Définition Maintenances'!$K:$K,0)),G122,INDEX('[1]Définition Maintenances'!$G:$G,MATCH($A122,'[1]Définition Maintenances'!$K:$K,0))+G122),G122))</f>
        <v>309</v>
      </c>
      <c r="I122" s="26">
        <f>IF(ISNUMBER(VLOOKUP($D122,'Visu totale'!$D:$DH,I$1,0)),H122-VLOOKUP($D122,'Visu totale'!$D:$DH,I$1,0),IF(LEFT(VLOOKUP($D122,'Visu totale'!$D:$DH,I$1,0),1)="V",IF(H122&gt;=INDEX('[1]Définition Maintenances'!$G:$G,MATCH($A122,'[1]Définition Maintenances'!$K:$K,0)),H122,INDEX('[1]Définition Maintenances'!$G:$G,MATCH($A122,'[1]Définition Maintenances'!$K:$K,0))+H122),H122))</f>
        <v>309</v>
      </c>
      <c r="J122" s="26">
        <f>IF(ISNUMBER(VLOOKUP($D122,'Visu totale'!$D:$DH,J$1,0)),I122-VLOOKUP($D122,'Visu totale'!$D:$DH,J$1,0),IF(LEFT(VLOOKUP($D122,'Visu totale'!$D:$DH,J$1,0),1)="V",IF(I122&gt;=INDEX('[1]Définition Maintenances'!$G:$G,MATCH($A122,'[1]Définition Maintenances'!$K:$K,0)),I122,INDEX('[1]Définition Maintenances'!$G:$G,MATCH($A122,'[1]Définition Maintenances'!$K:$K,0))+I122),I122))</f>
        <v>309</v>
      </c>
      <c r="K122" s="26">
        <f>IF(ISNUMBER(VLOOKUP($D122,'Visu totale'!$D:$DH,K$1,0)),J122-VLOOKUP($D122,'Visu totale'!$D:$DH,K$1,0),IF(LEFT(VLOOKUP($D122,'Visu totale'!$D:$DH,K$1,0),1)="V",IF(J122&gt;=INDEX('[1]Définition Maintenances'!$G:$G,MATCH($A122,'[1]Définition Maintenances'!$K:$K,0)),J122,INDEX('[1]Définition Maintenances'!$G:$G,MATCH($A122,'[1]Définition Maintenances'!$K:$K,0))+J122),J122))</f>
        <v>309</v>
      </c>
      <c r="L122" s="26">
        <f>IF(ISNUMBER(VLOOKUP($D122,'Visu totale'!$D:$DH,L$1,0)),K122-VLOOKUP($D122,'Visu totale'!$D:$DH,L$1,0),IF(LEFT(VLOOKUP($D122,'Visu totale'!$D:$DH,L$1,0),1)="V",IF(K122&gt;=INDEX('[1]Définition Maintenances'!$G:$G,MATCH($A122,'[1]Définition Maintenances'!$K:$K,0)),K122,INDEX('[1]Définition Maintenances'!$G:$G,MATCH($A122,'[1]Définition Maintenances'!$K:$K,0))+K122),K122))</f>
        <v>309</v>
      </c>
      <c r="M122" s="26">
        <f>IF(ISNUMBER(VLOOKUP($D122,'Visu totale'!$D:$DH,M$1,0)),L122-VLOOKUP($D122,'Visu totale'!$D:$DH,M$1,0),IF(LEFT(VLOOKUP($D122,'Visu totale'!$D:$DH,M$1,0),1)="V",IF(L122&gt;=INDEX('[1]Définition Maintenances'!$G:$G,MATCH($A122,'[1]Définition Maintenances'!$K:$K,0)),L122,INDEX('[1]Définition Maintenances'!$G:$G,MATCH($A122,'[1]Définition Maintenances'!$K:$K,0))+L122),L122))</f>
        <v>309</v>
      </c>
      <c r="N122" s="26">
        <f>IF(ISNUMBER(VLOOKUP($D122,'Visu totale'!$D:$DH,N$1,0)),M122-VLOOKUP($D122,'Visu totale'!$D:$DH,N$1,0),IF(LEFT(VLOOKUP($D122,'Visu totale'!$D:$DH,N$1,0),1)="V",IF(M122&gt;=INDEX('[1]Définition Maintenances'!$G:$G,MATCH($A122,'[1]Définition Maintenances'!$K:$K,0)),M122,INDEX('[1]Définition Maintenances'!$G:$G,MATCH($A122,'[1]Définition Maintenances'!$K:$K,0))+M122),M122))</f>
        <v>309</v>
      </c>
      <c r="O122" s="26">
        <f>IF(ISNUMBER(VLOOKUP($D122,'Visu totale'!$D:$DH,O$1,0)),N122-VLOOKUP($D122,'Visu totale'!$D:$DH,O$1,0),IF(LEFT(VLOOKUP($D122,'Visu totale'!$D:$DH,O$1,0),1)="V",IF(N122&gt;=INDEX('[1]Définition Maintenances'!$G:$G,MATCH($A122,'[1]Définition Maintenances'!$K:$K,0)),N122,INDEX('[1]Définition Maintenances'!$G:$G,MATCH($A122,'[1]Définition Maintenances'!$K:$K,0))+N122),N122))</f>
        <v>309</v>
      </c>
      <c r="P122" s="26">
        <f>IF(ISNUMBER(VLOOKUP($D122,'Visu totale'!$D:$DH,P$1,0)),O122-VLOOKUP($D122,'Visu totale'!$D:$DH,P$1,0),IF(LEFT(VLOOKUP($D122,'Visu totale'!$D:$DH,P$1,0),1)="V",IF(O122&gt;=INDEX('[1]Définition Maintenances'!$G:$G,MATCH($A122,'[1]Définition Maintenances'!$K:$K,0)),O122,INDEX('[1]Définition Maintenances'!$G:$G,MATCH($A122,'[1]Définition Maintenances'!$K:$K,0))+O122),O122))</f>
        <v>309</v>
      </c>
      <c r="Q122" s="27">
        <f>IF(ISNUMBER(VLOOKUP($D122,'Visu totale'!$D:$DH,Q$1,0)),P122-VLOOKUP($D122,'Visu totale'!$D:$DH,Q$1,0),IF(LEFT(VLOOKUP($D122,'Visu totale'!$D:$DH,Q$1,0),1)="V",IF(P122&gt;=INDEX('[1]Définition Maintenances'!$G:$G,MATCH($A122,'[1]Définition Maintenances'!$K:$K,0)),P122,INDEX('[1]Définition Maintenances'!$G:$G,MATCH($A122,'[1]Définition Maintenances'!$K:$K,0))+P122),P122))</f>
        <v>309</v>
      </c>
      <c r="R122" s="25">
        <f>IF(ISNUMBER(VLOOKUP($D122,'Visu totale'!$D:$DH,R$1,0)),Q122-VLOOKUP($D122,'Visu totale'!$D:$DH,R$1,0),IF(LEFT(VLOOKUP($D122,'Visu totale'!$D:$DH,R$1,0),1)="V",IF(Q122&gt;=INDEX('[1]Définition Maintenances'!$G:$G,MATCH($A122,'[1]Définition Maintenances'!$K:$K,0)),Q122,INDEX('[1]Définition Maintenances'!$G:$G,MATCH($A122,'[1]Définition Maintenances'!$K:$K,0))+Q122),Q122))</f>
        <v>309</v>
      </c>
      <c r="S122" s="26">
        <f>IF(ISNUMBER(VLOOKUP($D122,'Visu totale'!$D:$DH,S$1,0)),R122-VLOOKUP($D122,'Visu totale'!$D:$DH,S$1,0),IF(LEFT(VLOOKUP($D122,'Visu totale'!$D:$DH,S$1,0),1)="V",IF(R122&gt;=INDEX('[1]Définition Maintenances'!$G:$G,MATCH($A122,'[1]Définition Maintenances'!$K:$K,0)),R122,INDEX('[1]Définition Maintenances'!$G:$G,MATCH($A122,'[1]Définition Maintenances'!$K:$K,0))+R122),R122))</f>
        <v>309</v>
      </c>
      <c r="T122" s="26">
        <f>IF(ISNUMBER(VLOOKUP($D122,'Visu totale'!$D:$DH,T$1,0)),S122-VLOOKUP($D122,'Visu totale'!$D:$DH,T$1,0),IF(LEFT(VLOOKUP($D122,'Visu totale'!$D:$DH,T$1,0),1)="V",IF(S122&gt;=INDEX('[1]Définition Maintenances'!$G:$G,MATCH($A122,'[1]Définition Maintenances'!$K:$K,0)),S122,INDEX('[1]Définition Maintenances'!$G:$G,MATCH($A122,'[1]Définition Maintenances'!$K:$K,0))+S122),S122))</f>
        <v>309</v>
      </c>
      <c r="U122" s="26">
        <f>IF(ISNUMBER(VLOOKUP($D122,'Visu totale'!$D:$DH,U$1,0)),T122-VLOOKUP($D122,'Visu totale'!$D:$DH,U$1,0),IF(LEFT(VLOOKUP($D122,'Visu totale'!$D:$DH,U$1,0),1)="V",IF(T122&gt;=INDEX('[1]Définition Maintenances'!$G:$G,MATCH($A122,'[1]Définition Maintenances'!$K:$K,0)),T122,INDEX('[1]Définition Maintenances'!$G:$G,MATCH($A122,'[1]Définition Maintenances'!$K:$K,0))+T122),T122))</f>
        <v>309</v>
      </c>
      <c r="V122" s="26">
        <f>IF(ISNUMBER(VLOOKUP($D122,'Visu totale'!$D:$DH,V$1,0)),U122-VLOOKUP($D122,'Visu totale'!$D:$DH,V$1,0),IF(LEFT(VLOOKUP($D122,'Visu totale'!$D:$DH,V$1,0),1)="V",IF(U122&gt;=INDEX('[1]Définition Maintenances'!$G:$G,MATCH($A122,'[1]Définition Maintenances'!$K:$K,0)),U122,INDEX('[1]Définition Maintenances'!$G:$G,MATCH($A122,'[1]Définition Maintenances'!$K:$K,0))+U122),U122))</f>
        <v>309</v>
      </c>
      <c r="W122" s="26">
        <f>IF(ISNUMBER(VLOOKUP($D122,'Visu totale'!$D:$DH,W$1,0)),V122-VLOOKUP($D122,'Visu totale'!$D:$DH,W$1,0),IF(LEFT(VLOOKUP($D122,'Visu totale'!$D:$DH,W$1,0),1)="V",IF(V122&gt;=INDEX('[1]Définition Maintenances'!$G:$G,MATCH($A122,'[1]Définition Maintenances'!$K:$K,0)),V122,INDEX('[1]Définition Maintenances'!$G:$G,MATCH($A122,'[1]Définition Maintenances'!$K:$K,0))+V122),V122))</f>
        <v>309</v>
      </c>
      <c r="X122" s="26">
        <f>IF(ISNUMBER(VLOOKUP($D122,'Visu totale'!$D:$DH,X$1,0)),W122-VLOOKUP($D122,'Visu totale'!$D:$DH,X$1,0),IF(LEFT(VLOOKUP($D122,'Visu totale'!$D:$DH,X$1,0),1)="V",IF(W122&gt;=INDEX('[1]Définition Maintenances'!$G:$G,MATCH($A122,'[1]Définition Maintenances'!$K:$K,0)),W122,INDEX('[1]Définition Maintenances'!$G:$G,MATCH($A122,'[1]Définition Maintenances'!$K:$K,0))+W122),W122))</f>
        <v>309</v>
      </c>
      <c r="Y122" s="26">
        <f>IF(ISNUMBER(VLOOKUP($D122,'Visu totale'!$D:$DH,Y$1,0)),X122-VLOOKUP($D122,'Visu totale'!$D:$DH,Y$1,0),IF(LEFT(VLOOKUP($D122,'Visu totale'!$D:$DH,Y$1,0),1)="V",IF(X122&gt;=INDEX('[1]Définition Maintenances'!$G:$G,MATCH($A122,'[1]Définition Maintenances'!$K:$K,0)),X122,INDEX('[1]Définition Maintenances'!$G:$G,MATCH($A122,'[1]Définition Maintenances'!$K:$K,0))+X122),X122))</f>
        <v>309</v>
      </c>
      <c r="Z122" s="26">
        <f>IF(ISNUMBER(VLOOKUP($D122,'Visu totale'!$D:$DH,Z$1,0)),Y122-VLOOKUP($D122,'Visu totale'!$D:$DH,Z$1,0),IF(LEFT(VLOOKUP($D122,'Visu totale'!$D:$DH,Z$1,0),1)="V",IF(Y122&gt;=INDEX('[1]Définition Maintenances'!$G:$G,MATCH($A122,'[1]Définition Maintenances'!$K:$K,0)),Y122,INDEX('[1]Définition Maintenances'!$G:$G,MATCH($A122,'[1]Définition Maintenances'!$K:$K,0))+Y122),Y122))</f>
        <v>309</v>
      </c>
      <c r="AA122" s="26">
        <f>IF(ISNUMBER(VLOOKUP($D122,'Visu totale'!$D:$DH,AA$1,0)),Z122-VLOOKUP($D122,'Visu totale'!$D:$DH,AA$1,0),IF(LEFT(VLOOKUP($D122,'Visu totale'!$D:$DH,AA$1,0),1)="V",IF(Z122&gt;=INDEX('[1]Définition Maintenances'!$G:$G,MATCH($A122,'[1]Définition Maintenances'!$K:$K,0)),Z122,INDEX('[1]Définition Maintenances'!$G:$G,MATCH($A122,'[1]Définition Maintenances'!$K:$K,0))+Z122),Z122))</f>
        <v>309</v>
      </c>
      <c r="AB122" s="26">
        <f>IF(ISNUMBER(VLOOKUP($D122,'Visu totale'!$D:$DH,AB$1,0)),AA122-VLOOKUP($D122,'Visu totale'!$D:$DH,AB$1,0),IF(LEFT(VLOOKUP($D122,'Visu totale'!$D:$DH,AB$1,0),1)="V",IF(AA122&gt;=INDEX('[1]Définition Maintenances'!$G:$G,MATCH($A122,'[1]Définition Maintenances'!$K:$K,0)),AA122,INDEX('[1]Définition Maintenances'!$G:$G,MATCH($A122,'[1]Définition Maintenances'!$K:$K,0))+AA122),AA122))</f>
        <v>309</v>
      </c>
      <c r="AC122" s="27">
        <f>IF(ISNUMBER(VLOOKUP($D122,'Visu totale'!$D:$DH,AC$1,0)),AB122-VLOOKUP($D122,'Visu totale'!$D:$DH,AC$1,0),IF(LEFT(VLOOKUP($D122,'Visu totale'!$D:$DH,AC$1,0),1)="V",IF(AB122&gt;=INDEX('[1]Définition Maintenances'!$G:$G,MATCH($A122,'[1]Définition Maintenances'!$K:$K,0)),AB122,INDEX('[1]Définition Maintenances'!$G:$G,MATCH($A122,'[1]Définition Maintenances'!$K:$K,0))+AB122),AB122))</f>
        <v>309</v>
      </c>
      <c r="AD122" s="25">
        <f>IF(ISNUMBER(VLOOKUP($D122,'Visu totale'!$D:$DH,AD$1,0)),AC122-VLOOKUP($D122,'Visu totale'!$D:$DH,AD$1,0),IF(LEFT(VLOOKUP($D122,'Visu totale'!$D:$DH,AD$1,0),1)="V",IF(AC122&gt;=INDEX('[1]Définition Maintenances'!$G:$G,MATCH($A122,'[1]Définition Maintenances'!$K:$K,0)),AC122,INDEX('[1]Définition Maintenances'!$G:$G,MATCH($A122,'[1]Définition Maintenances'!$K:$K,0))+AC122),AC122))</f>
        <v>309</v>
      </c>
      <c r="AE122" s="26">
        <f>IF(ISNUMBER(VLOOKUP($D122,'Visu totale'!$D:$DH,AE$1,0)),AD122-VLOOKUP($D122,'Visu totale'!$D:$DH,AE$1,0),IF(LEFT(VLOOKUP($D122,'Visu totale'!$D:$DH,AE$1,0),1)="V",IF(AD122&gt;=INDEX('[1]Définition Maintenances'!$G:$G,MATCH($A122,'[1]Définition Maintenances'!$K:$K,0)),AD122,INDEX('[1]Définition Maintenances'!$G:$G,MATCH($A122,'[1]Définition Maintenances'!$K:$K,0))+AD122),AD122))</f>
        <v>309</v>
      </c>
      <c r="AF122" s="26">
        <f>IF(ISNUMBER(VLOOKUP($D122,'Visu totale'!$D:$DH,AF$1,0)),AE122-VLOOKUP($D122,'Visu totale'!$D:$DH,AF$1,0),IF(LEFT(VLOOKUP($D122,'Visu totale'!$D:$DH,AF$1,0),1)="V",IF(AE122&gt;=INDEX('[1]Définition Maintenances'!$G:$G,MATCH($A122,'[1]Définition Maintenances'!$K:$K,0)),AE122,INDEX('[1]Définition Maintenances'!$G:$G,MATCH($A122,'[1]Définition Maintenances'!$K:$K,0))+AE122),AE122))</f>
        <v>309</v>
      </c>
      <c r="AG122" s="26">
        <f>IF(ISNUMBER(VLOOKUP($D122,'Visu totale'!$D:$DH,AG$1,0)),AF122-VLOOKUP($D122,'Visu totale'!$D:$DH,AG$1,0),IF(LEFT(VLOOKUP($D122,'Visu totale'!$D:$DH,AG$1,0),1)="V",IF(AF122&gt;=INDEX('[1]Définition Maintenances'!$G:$G,MATCH($A122,'[1]Définition Maintenances'!$K:$K,0)),AF122,INDEX('[1]Définition Maintenances'!$G:$G,MATCH($A122,'[1]Définition Maintenances'!$K:$K,0))+AF122),AF122))</f>
        <v>309</v>
      </c>
      <c r="AH122" s="26">
        <f>IF(ISNUMBER(VLOOKUP($D122,'Visu totale'!$D:$DH,AH$1,0)),AG122-VLOOKUP($D122,'Visu totale'!$D:$DH,AH$1,0),IF(LEFT(VLOOKUP($D122,'Visu totale'!$D:$DH,AH$1,0),1)="V",IF(AG122&gt;=INDEX('[1]Définition Maintenances'!$G:$G,MATCH($A122,'[1]Définition Maintenances'!$K:$K,0)),AG122,INDEX('[1]Définition Maintenances'!$G:$G,MATCH($A122,'[1]Définition Maintenances'!$K:$K,0))+AG122),AG122))</f>
        <v>309</v>
      </c>
      <c r="AI122" s="26">
        <f>IF(ISNUMBER(VLOOKUP($D122,'Visu totale'!$D:$DH,AI$1,0)),AH122-VLOOKUP($D122,'Visu totale'!$D:$DH,AI$1,0),IF(LEFT(VLOOKUP($D122,'Visu totale'!$D:$DH,AI$1,0),1)="V",IF(AH122&gt;=INDEX('[1]Définition Maintenances'!$G:$G,MATCH($A122,'[1]Définition Maintenances'!$K:$K,0)),AH122,INDEX('[1]Définition Maintenances'!$G:$G,MATCH($A122,'[1]Définition Maintenances'!$K:$K,0))+AH122),AH122))</f>
        <v>309</v>
      </c>
      <c r="AJ122" s="26">
        <f>IF(ISNUMBER(VLOOKUP($D122,'Visu totale'!$D:$DH,AJ$1,0)),AI122-VLOOKUP($D122,'Visu totale'!$D:$DH,AJ$1,0),IF(LEFT(VLOOKUP($D122,'Visu totale'!$D:$DH,AJ$1,0),1)="V",IF(AI122&gt;=INDEX('[1]Définition Maintenances'!$G:$G,MATCH($A122,'[1]Définition Maintenances'!$K:$K,0)),AI122,INDEX('[1]Définition Maintenances'!$G:$G,MATCH($A122,'[1]Définition Maintenances'!$K:$K,0))+AI122),AI122))</f>
        <v>309</v>
      </c>
      <c r="AK122" s="26">
        <f>IF(ISNUMBER(VLOOKUP($D122,'Visu totale'!$D:$DH,AK$1,0)),AJ122-VLOOKUP($D122,'Visu totale'!$D:$DH,AK$1,0),IF(LEFT(VLOOKUP($D122,'Visu totale'!$D:$DH,AK$1,0),1)="V",IF(AJ122&gt;=INDEX('[1]Définition Maintenances'!$G:$G,MATCH($A122,'[1]Définition Maintenances'!$K:$K,0)),AJ122,INDEX('[1]Définition Maintenances'!$G:$G,MATCH($A122,'[1]Définition Maintenances'!$K:$K,0))+AJ122),AJ122))</f>
        <v>309</v>
      </c>
      <c r="AL122" s="26">
        <f>IF(ISNUMBER(VLOOKUP($D122,'Visu totale'!$D:$DH,AL$1,0)),AK122-VLOOKUP($D122,'Visu totale'!$D:$DH,AL$1,0),IF(LEFT(VLOOKUP($D122,'Visu totale'!$D:$DH,AL$1,0),1)="V",IF(AK122&gt;=INDEX('[1]Définition Maintenances'!$G:$G,MATCH($A122,'[1]Définition Maintenances'!$K:$K,0)),AK122,INDEX('[1]Définition Maintenances'!$G:$G,MATCH($A122,'[1]Définition Maintenances'!$K:$K,0))+AK122),AK122))</f>
        <v>309</v>
      </c>
      <c r="AM122" s="26">
        <f>IF(ISNUMBER(VLOOKUP($D122,'Visu totale'!$D:$DH,AM$1,0)),AL122-VLOOKUP($D122,'Visu totale'!$D:$DH,AM$1,0),IF(LEFT(VLOOKUP($D122,'Visu totale'!$D:$DH,AM$1,0),1)="V",IF(AL122&gt;=INDEX('[1]Définition Maintenances'!$G:$G,MATCH($A122,'[1]Définition Maintenances'!$K:$K,0)),AL122,INDEX('[1]Définition Maintenances'!$G:$G,MATCH($A122,'[1]Définition Maintenances'!$K:$K,0))+AL122),AL122))</f>
        <v>309</v>
      </c>
      <c r="AN122" s="26">
        <f>IF(ISNUMBER(VLOOKUP($D122,'Visu totale'!$D:$DH,AN$1,0)),AM122-VLOOKUP($D122,'Visu totale'!$D:$DH,AN$1,0),IF(LEFT(VLOOKUP($D122,'Visu totale'!$D:$DH,AN$1,0),1)="V",IF(AM122&gt;=INDEX('[1]Définition Maintenances'!$G:$G,MATCH($A122,'[1]Définition Maintenances'!$K:$K,0)),AM122,INDEX('[1]Définition Maintenances'!$G:$G,MATCH($A122,'[1]Définition Maintenances'!$K:$K,0))+AM122),AM122))</f>
        <v>309</v>
      </c>
      <c r="AO122" s="27">
        <f>IF(ISNUMBER(VLOOKUP($D122,'Visu totale'!$D:$DH,AO$1,0)),AN122-VLOOKUP($D122,'Visu totale'!$D:$DH,AO$1,0),IF(LEFT(VLOOKUP($D122,'Visu totale'!$D:$DH,AO$1,0),1)="V",IF(AN122&gt;=INDEX('[1]Définition Maintenances'!$G:$G,MATCH($A122,'[1]Définition Maintenances'!$K:$K,0)),AN122,INDEX('[1]Définition Maintenances'!$G:$G,MATCH($A122,'[1]Définition Maintenances'!$K:$K,0))+AN122),AN122))</f>
        <v>309</v>
      </c>
      <c r="AP122" s="25">
        <f>IF(ISNUMBER(VLOOKUP($D122,'Visu totale'!$D:$DH,AP$1,0)),AO122-VLOOKUP($D122,'Visu totale'!$D:$DH,AP$1,0),IF(LEFT(VLOOKUP($D122,'Visu totale'!$D:$DH,AP$1,0),1)="V",IF(AO122&gt;=INDEX('[1]Définition Maintenances'!$G:$G,MATCH($A122,'[1]Définition Maintenances'!$K:$K,0)),AO122,INDEX('[1]Définition Maintenances'!$G:$G,MATCH($A122,'[1]Définition Maintenances'!$K:$K,0))+AO122),AO122))</f>
        <v>309</v>
      </c>
      <c r="AQ122" s="26">
        <f>IF(ISNUMBER(VLOOKUP($D122,'Visu totale'!$D:$DH,AQ$1,0)),AP122-VLOOKUP($D122,'Visu totale'!$D:$DH,AQ$1,0),IF(LEFT(VLOOKUP($D122,'Visu totale'!$D:$DH,AQ$1,0),1)="V",IF(AP122&gt;=INDEX('[1]Définition Maintenances'!$G:$G,MATCH($A122,'[1]Définition Maintenances'!$K:$K,0)),AP122,INDEX('[1]Définition Maintenances'!$G:$G,MATCH($A122,'[1]Définition Maintenances'!$K:$K,0))+AP122),AP122))</f>
        <v>309</v>
      </c>
      <c r="AR122" s="26">
        <f>IF(ISNUMBER(VLOOKUP($D122,'Visu totale'!$D:$DH,AR$1,0)),AQ122-VLOOKUP($D122,'Visu totale'!$D:$DH,AR$1,0),IF(LEFT(VLOOKUP($D122,'Visu totale'!$D:$DH,AR$1,0),1)="V",IF(AQ122&gt;=INDEX('[1]Définition Maintenances'!$G:$G,MATCH($A122,'[1]Définition Maintenances'!$K:$K,0)),AQ122,INDEX('[1]Définition Maintenances'!$G:$G,MATCH($A122,'[1]Définition Maintenances'!$K:$K,0))+AQ122),AQ122))</f>
        <v>309</v>
      </c>
      <c r="AS122" s="26">
        <f>IF(ISNUMBER(VLOOKUP($D122,'Visu totale'!$D:$DH,AS$1,0)),AR122-VLOOKUP($D122,'Visu totale'!$D:$DH,AS$1,0),IF(LEFT(VLOOKUP($D122,'Visu totale'!$D:$DH,AS$1,0),1)="V",IF(AR122&gt;=INDEX('[1]Définition Maintenances'!$G:$G,MATCH($A122,'[1]Définition Maintenances'!$K:$K,0)),AR122,INDEX('[1]Définition Maintenances'!$G:$G,MATCH($A122,'[1]Définition Maintenances'!$K:$K,0))+AR122),AR122))</f>
        <v>309</v>
      </c>
      <c r="AT122" s="26">
        <f>IF(ISNUMBER(VLOOKUP($D122,'Visu totale'!$D:$DH,AT$1,0)),AS122-VLOOKUP($D122,'Visu totale'!$D:$DH,AT$1,0),IF(LEFT(VLOOKUP($D122,'Visu totale'!$D:$DH,AT$1,0),1)="V",IF(AS122&gt;=INDEX('[1]Définition Maintenances'!$G:$G,MATCH($A122,'[1]Définition Maintenances'!$K:$K,0)),AS122,INDEX('[1]Définition Maintenances'!$G:$G,MATCH($A122,'[1]Définition Maintenances'!$K:$K,0))+AS122),AS122))</f>
        <v>309</v>
      </c>
      <c r="AU122" s="26">
        <f>IF(ISNUMBER(VLOOKUP($D122,'Visu totale'!$D:$DH,AU$1,0)),AT122-VLOOKUP($D122,'Visu totale'!$D:$DH,AU$1,0),IF(LEFT(VLOOKUP($D122,'Visu totale'!$D:$DH,AU$1,0),1)="V",IF(AT122&gt;=INDEX('[1]Définition Maintenances'!$G:$G,MATCH($A122,'[1]Définition Maintenances'!$K:$K,0)),AT122,INDEX('[1]Définition Maintenances'!$G:$G,MATCH($A122,'[1]Définition Maintenances'!$K:$K,0))+AT122),AT122))</f>
        <v>309</v>
      </c>
      <c r="AV122" s="26">
        <f>IF(ISNUMBER(VLOOKUP($D122,'Visu totale'!$D:$DH,AV$1,0)),AU122-VLOOKUP($D122,'Visu totale'!$D:$DH,AV$1,0),IF(LEFT(VLOOKUP($D122,'Visu totale'!$D:$DH,AV$1,0),1)="V",IF(AU122&gt;=INDEX('[1]Définition Maintenances'!$G:$G,MATCH($A122,'[1]Définition Maintenances'!$K:$K,0)),AU122,INDEX('[1]Définition Maintenances'!$G:$G,MATCH($A122,'[1]Définition Maintenances'!$K:$K,0))+AU122),AU122))</f>
        <v>309</v>
      </c>
      <c r="AW122" s="26">
        <f>IF(ISNUMBER(VLOOKUP($D122,'Visu totale'!$D:$DH,AW$1,0)),AV122-VLOOKUP($D122,'Visu totale'!$D:$DH,AW$1,0),IF(LEFT(VLOOKUP($D122,'Visu totale'!$D:$DH,AW$1,0),1)="V",IF(AV122&gt;=INDEX('[1]Définition Maintenances'!$G:$G,MATCH($A122,'[1]Définition Maintenances'!$K:$K,0)),AV122,INDEX('[1]Définition Maintenances'!$G:$G,MATCH($A122,'[1]Définition Maintenances'!$K:$K,0))+AV122),AV122))</f>
        <v>309</v>
      </c>
      <c r="AX122" s="26">
        <f>IF(ISNUMBER(VLOOKUP($D122,'Visu totale'!$D:$DH,AX$1,0)),AW122-VLOOKUP($D122,'Visu totale'!$D:$DH,AX$1,0),IF(LEFT(VLOOKUP($D122,'Visu totale'!$D:$DH,AX$1,0),1)="V",IF(AW122&gt;=INDEX('[1]Définition Maintenances'!$G:$G,MATCH($A122,'[1]Définition Maintenances'!$K:$K,0)),AW122,INDEX('[1]Définition Maintenances'!$G:$G,MATCH($A122,'[1]Définition Maintenances'!$K:$K,0))+AW122),AW122))</f>
        <v>309</v>
      </c>
      <c r="AY122" s="26">
        <f>IF(ISNUMBER(VLOOKUP($D122,'Visu totale'!$D:$DH,AY$1,0)),AX122-VLOOKUP($D122,'Visu totale'!$D:$DH,AY$1,0),IF(LEFT(VLOOKUP($D122,'Visu totale'!$D:$DH,AY$1,0),1)="V",IF(AX122&gt;=INDEX('[1]Définition Maintenances'!$G:$G,MATCH($A122,'[1]Définition Maintenances'!$K:$K,0)),AX122,INDEX('[1]Définition Maintenances'!$G:$G,MATCH($A122,'[1]Définition Maintenances'!$K:$K,0))+AX122),AX122))</f>
        <v>309</v>
      </c>
      <c r="AZ122" s="26">
        <f>IF(ISNUMBER(VLOOKUP($D122,'Visu totale'!$D:$DH,AZ$1,0)),AY122-VLOOKUP($D122,'Visu totale'!$D:$DH,AZ$1,0),IF(LEFT(VLOOKUP($D122,'Visu totale'!$D:$DH,AZ$1,0),1)="V",IF(AY122&gt;=INDEX('[1]Définition Maintenances'!$G:$G,MATCH($A122,'[1]Définition Maintenances'!$K:$K,0)),AY122,INDEX('[1]Définition Maintenances'!$G:$G,MATCH($A122,'[1]Définition Maintenances'!$K:$K,0))+AY122),AY122))</f>
        <v>309</v>
      </c>
      <c r="BA122" s="27">
        <f>IF(ISNUMBER(VLOOKUP($D122,'Visu totale'!$D:$DH,BA$1,0)),AZ122-VLOOKUP($D122,'Visu totale'!$D:$DH,BA$1,0),IF(LEFT(VLOOKUP($D122,'Visu totale'!$D:$DH,BA$1,0),1)="V",IF(AZ122&gt;=INDEX('[1]Définition Maintenances'!$G:$G,MATCH($A122,'[1]Définition Maintenances'!$K:$K,0)),AZ122,INDEX('[1]Définition Maintenances'!$G:$G,MATCH($A122,'[1]Définition Maintenances'!$K:$K,0))+AZ122),AZ122))</f>
        <v>309</v>
      </c>
      <c r="BB122" s="25">
        <f>IF(ISNUMBER(VLOOKUP($D122,'Visu totale'!$D:$DH,BB$1,0)),BA122-VLOOKUP($D122,'Visu totale'!$D:$DH,BB$1,0),IF(LEFT(VLOOKUP($D122,'Visu totale'!$D:$DH,BB$1,0),1)="V",IF(BA122&gt;=INDEX('[1]Définition Maintenances'!$G:$G,MATCH($A122,'[1]Définition Maintenances'!$K:$K,0)),BA122,INDEX('[1]Définition Maintenances'!$G:$G,MATCH($A122,'[1]Définition Maintenances'!$K:$K,0))+BA122),BA122))</f>
        <v>309</v>
      </c>
      <c r="BC122" s="26">
        <f>IF(ISNUMBER(VLOOKUP($D122,'Visu totale'!$D:$DH,BC$1,0)),BB122-VLOOKUP($D122,'Visu totale'!$D:$DH,BC$1,0),IF(LEFT(VLOOKUP($D122,'Visu totale'!$D:$DH,BC$1,0),1)="V",IF(BB122&gt;=INDEX('[1]Définition Maintenances'!$G:$G,MATCH($A122,'[1]Définition Maintenances'!$K:$K,0)),BB122,INDEX('[1]Définition Maintenances'!$G:$G,MATCH($A122,'[1]Définition Maintenances'!$K:$K,0))+BB122),BB122))</f>
        <v>309</v>
      </c>
      <c r="BD122" s="26">
        <f>IF(ISNUMBER(VLOOKUP($D122,'Visu totale'!$D:$DH,BD$1,0)),BC122-VLOOKUP($D122,'Visu totale'!$D:$DH,BD$1,0),IF(LEFT(VLOOKUP($D122,'Visu totale'!$D:$DH,BD$1,0),1)="V",IF(BC122&gt;=INDEX('[1]Définition Maintenances'!$G:$G,MATCH($A122,'[1]Définition Maintenances'!$K:$K,0)),BC122,INDEX('[1]Définition Maintenances'!$G:$G,MATCH($A122,'[1]Définition Maintenances'!$K:$K,0))+BC122),BC122))</f>
        <v>309</v>
      </c>
      <c r="BE122" s="26">
        <f>IF(ISNUMBER(VLOOKUP($D122,'Visu totale'!$D:$DH,BE$1,0)),BD122-VLOOKUP($D122,'Visu totale'!$D:$DH,BE$1,0),IF(LEFT(VLOOKUP($D122,'Visu totale'!$D:$DH,BE$1,0),1)="V",IF(BD122&gt;=INDEX('[1]Définition Maintenances'!$G:$G,MATCH($A122,'[1]Définition Maintenances'!$K:$K,0)),BD122,INDEX('[1]Définition Maintenances'!$G:$G,MATCH($A122,'[1]Définition Maintenances'!$K:$K,0))+BD122),BD122))</f>
        <v>309</v>
      </c>
      <c r="BF122" s="26">
        <f>IF(ISNUMBER(VLOOKUP($D122,'Visu totale'!$D:$DH,BF$1,0)),BE122-VLOOKUP($D122,'Visu totale'!$D:$DH,BF$1,0),IF(LEFT(VLOOKUP($D122,'Visu totale'!$D:$DH,BF$1,0),1)="V",IF(BE122&gt;=INDEX('[1]Définition Maintenances'!$G:$G,MATCH($A122,'[1]Définition Maintenances'!$K:$K,0)),BE122,INDEX('[1]Définition Maintenances'!$G:$G,MATCH($A122,'[1]Définition Maintenances'!$K:$K,0))+BE122),BE122))</f>
        <v>309</v>
      </c>
      <c r="BG122" s="26">
        <f>IF(ISNUMBER(VLOOKUP($D122,'Visu totale'!$D:$DH,BG$1,0)),BF122-VLOOKUP($D122,'Visu totale'!$D:$DH,BG$1,0),IF(LEFT(VLOOKUP($D122,'Visu totale'!$D:$DH,BG$1,0),1)="V",IF(BF122&gt;=INDEX('[1]Définition Maintenances'!$G:$G,MATCH($A122,'[1]Définition Maintenances'!$K:$K,0)),BF122,INDEX('[1]Définition Maintenances'!$G:$G,MATCH($A122,'[1]Définition Maintenances'!$K:$K,0))+BF122),BF122))</f>
        <v>309</v>
      </c>
      <c r="BH122" s="26">
        <f>IF(ISNUMBER(VLOOKUP($D122,'Visu totale'!$D:$DH,BH$1,0)),BG122-VLOOKUP($D122,'Visu totale'!$D:$DH,BH$1,0),IF(LEFT(VLOOKUP($D122,'Visu totale'!$D:$DH,BH$1,0),1)="V",IF(BG122&gt;=INDEX('[1]Définition Maintenances'!$G:$G,MATCH($A122,'[1]Définition Maintenances'!$K:$K,0)),BG122,INDEX('[1]Définition Maintenances'!$G:$G,MATCH($A122,'[1]Définition Maintenances'!$K:$K,0))+BG122),BG122))</f>
        <v>309</v>
      </c>
      <c r="BI122" s="26">
        <f>IF(ISNUMBER(VLOOKUP($D122,'Visu totale'!$D:$DH,BI$1,0)),BH122-VLOOKUP($D122,'Visu totale'!$D:$DH,BI$1,0),IF(LEFT(VLOOKUP($D122,'Visu totale'!$D:$DH,BI$1,0),1)="V",IF(BH122&gt;=INDEX('[1]Définition Maintenances'!$G:$G,MATCH($A122,'[1]Définition Maintenances'!$K:$K,0)),BH122,INDEX('[1]Définition Maintenances'!$G:$G,MATCH($A122,'[1]Définition Maintenances'!$K:$K,0))+BH122),BH122))</f>
        <v>309</v>
      </c>
      <c r="BJ122" s="26">
        <f>IF(ISNUMBER(VLOOKUP($D122,'Visu totale'!$D:$DH,BJ$1,0)),BI122-VLOOKUP($D122,'Visu totale'!$D:$DH,BJ$1,0),IF(LEFT(VLOOKUP($D122,'Visu totale'!$D:$DH,BJ$1,0),1)="V",IF(BI122&gt;=INDEX('[1]Définition Maintenances'!$G:$G,MATCH($A122,'[1]Définition Maintenances'!$K:$K,0)),BI122,INDEX('[1]Définition Maintenances'!$G:$G,MATCH($A122,'[1]Définition Maintenances'!$K:$K,0))+BI122),BI122))</f>
        <v>309</v>
      </c>
      <c r="BK122" s="26">
        <f>IF(ISNUMBER(VLOOKUP($D122,'Visu totale'!$D:$DH,BK$1,0)),BJ122-VLOOKUP($D122,'Visu totale'!$D:$DH,BK$1,0),IF(LEFT(VLOOKUP($D122,'Visu totale'!$D:$DH,BK$1,0),1)="V",IF(BJ122&gt;=INDEX('[1]Définition Maintenances'!$G:$G,MATCH($A122,'[1]Définition Maintenances'!$K:$K,0)),BJ122,INDEX('[1]Définition Maintenances'!$G:$G,MATCH($A122,'[1]Définition Maintenances'!$K:$K,0))+BJ122),BJ122))</f>
        <v>309</v>
      </c>
      <c r="BL122" s="26">
        <f>IF(ISNUMBER(VLOOKUP($D122,'Visu totale'!$D:$DH,BL$1,0)),BK122-VLOOKUP($D122,'Visu totale'!$D:$DH,BL$1,0),IF(LEFT(VLOOKUP($D122,'Visu totale'!$D:$DH,BL$1,0),1)="V",IF(BK122&gt;=INDEX('[1]Définition Maintenances'!$G:$G,MATCH($A122,'[1]Définition Maintenances'!$K:$K,0)),BK122,INDEX('[1]Définition Maintenances'!$G:$G,MATCH($A122,'[1]Définition Maintenances'!$K:$K,0))+BK122),BK122))</f>
        <v>309</v>
      </c>
      <c r="BM122" s="27">
        <f>IF(ISNUMBER(VLOOKUP($D122,'Visu totale'!$D:$DH,BM$1,0)),BL122-VLOOKUP($D122,'Visu totale'!$D:$DH,BM$1,0),IF(LEFT(VLOOKUP($D122,'Visu totale'!$D:$DH,BM$1,0),1)="V",IF(BL122&gt;=INDEX('[1]Définition Maintenances'!$G:$G,MATCH($A122,'[1]Définition Maintenances'!$K:$K,0)),BL122,INDEX('[1]Définition Maintenances'!$G:$G,MATCH($A122,'[1]Définition Maintenances'!$K:$K,0))+BL122),BL122))</f>
        <v>309</v>
      </c>
      <c r="BN122" s="25">
        <f>IF(ISNUMBER(VLOOKUP($D122,'Visu totale'!$D:$DH,BN$1,0)),BM122-VLOOKUP($D122,'Visu totale'!$D:$DH,BN$1,0),IF(LEFT(VLOOKUP($D122,'Visu totale'!$D:$DH,BN$1,0),1)="V",IF(BM122&gt;=INDEX('[1]Définition Maintenances'!$G:$G,MATCH($A122,'[1]Définition Maintenances'!$K:$K,0)),BM122,INDEX('[1]Définition Maintenances'!$G:$G,MATCH($A122,'[1]Définition Maintenances'!$K:$K,0))+BM122),BM122))</f>
        <v>309</v>
      </c>
      <c r="BO122" s="26">
        <f>IF(ISNUMBER(VLOOKUP($D122,'Visu totale'!$D:$DH,BO$1,0)),BN122-VLOOKUP($D122,'Visu totale'!$D:$DH,BO$1,0),IF(LEFT(VLOOKUP($D122,'Visu totale'!$D:$DH,BO$1,0),1)="V",IF(BN122&gt;=INDEX('[1]Définition Maintenances'!$G:$G,MATCH($A122,'[1]Définition Maintenances'!$K:$K,0)),BN122,INDEX('[1]Définition Maintenances'!$G:$G,MATCH($A122,'[1]Définition Maintenances'!$K:$K,0))+BN122),BN122))</f>
        <v>309</v>
      </c>
      <c r="BP122" s="26">
        <f>IF(ISNUMBER(VLOOKUP($D122,'Visu totale'!$D:$DH,BP$1,0)),BO122-VLOOKUP($D122,'Visu totale'!$D:$DH,BP$1,0),IF(LEFT(VLOOKUP($D122,'Visu totale'!$D:$DH,BP$1,0),1)="V",IF(BO122&gt;=INDEX('[1]Définition Maintenances'!$G:$G,MATCH($A122,'[1]Définition Maintenances'!$K:$K,0)),BO122,INDEX('[1]Définition Maintenances'!$G:$G,MATCH($A122,'[1]Définition Maintenances'!$K:$K,0))+BO122),BO122))</f>
        <v>309</v>
      </c>
      <c r="BQ122" s="26">
        <f>IF(ISNUMBER(VLOOKUP($D122,'Visu totale'!$D:$DH,BQ$1,0)),BP122-VLOOKUP($D122,'Visu totale'!$D:$DH,BQ$1,0),IF(LEFT(VLOOKUP($D122,'Visu totale'!$D:$DH,BQ$1,0),1)="V",IF(BP122&gt;=INDEX('[1]Définition Maintenances'!$G:$G,MATCH($A122,'[1]Définition Maintenances'!$K:$K,0)),BP122,INDEX('[1]Définition Maintenances'!$G:$G,MATCH($A122,'[1]Définition Maintenances'!$K:$K,0))+BP122),BP122))</f>
        <v>309</v>
      </c>
      <c r="BR122" s="26">
        <f>IF(ISNUMBER(VLOOKUP($D122,'Visu totale'!$D:$DH,BR$1,0)),BQ122-VLOOKUP($D122,'Visu totale'!$D:$DH,BR$1,0),IF(LEFT(VLOOKUP($D122,'Visu totale'!$D:$DH,BR$1,0),1)="V",IF(BQ122&gt;=INDEX('[1]Définition Maintenances'!$G:$G,MATCH($A122,'[1]Définition Maintenances'!$K:$K,0)),BQ122,INDEX('[1]Définition Maintenances'!$G:$G,MATCH($A122,'[1]Définition Maintenances'!$K:$K,0))+BQ122),BQ122))</f>
        <v>309</v>
      </c>
      <c r="BS122" s="26">
        <f>IF(ISNUMBER(VLOOKUP($D122,'Visu totale'!$D:$DH,BS$1,0)),BR122-VLOOKUP($D122,'Visu totale'!$D:$DH,BS$1,0),IF(LEFT(VLOOKUP($D122,'Visu totale'!$D:$DH,BS$1,0),1)="V",IF(BR122&gt;=INDEX('[1]Définition Maintenances'!$G:$G,MATCH($A122,'[1]Définition Maintenances'!$K:$K,0)),BR122,INDEX('[1]Définition Maintenances'!$G:$G,MATCH($A122,'[1]Définition Maintenances'!$K:$K,0))+BR122),BR122))</f>
        <v>309</v>
      </c>
      <c r="BT122" s="26">
        <f>IF(ISNUMBER(VLOOKUP($D122,'Visu totale'!$D:$DH,BT$1,0)),BS122-VLOOKUP($D122,'Visu totale'!$D:$DH,BT$1,0),IF(LEFT(VLOOKUP($D122,'Visu totale'!$D:$DH,BT$1,0),1)="V",IF(BS122&gt;=INDEX('[1]Définition Maintenances'!$G:$G,MATCH($A122,'[1]Définition Maintenances'!$K:$K,0)),BS122,INDEX('[1]Définition Maintenances'!$G:$G,MATCH($A122,'[1]Définition Maintenances'!$K:$K,0))+BS122),BS122))</f>
        <v>309</v>
      </c>
      <c r="BU122" s="26">
        <f>IF(ISNUMBER(VLOOKUP($D122,'Visu totale'!$D:$DH,BU$1,0)),BT122-VLOOKUP($D122,'Visu totale'!$D:$DH,BU$1,0),IF(LEFT(VLOOKUP($D122,'Visu totale'!$D:$DH,BU$1,0),1)="V",IF(BT122&gt;=INDEX('[1]Définition Maintenances'!$G:$G,MATCH($A122,'[1]Définition Maintenances'!$K:$K,0)),BT122,INDEX('[1]Définition Maintenances'!$G:$G,MATCH($A122,'[1]Définition Maintenances'!$K:$K,0))+BT122),BT122))</f>
        <v>309</v>
      </c>
      <c r="BV122" s="26">
        <f>IF(ISNUMBER(VLOOKUP($D122,'Visu totale'!$D:$DH,BV$1,0)),BU122-VLOOKUP($D122,'Visu totale'!$D:$DH,BV$1,0),IF(LEFT(VLOOKUP($D122,'Visu totale'!$D:$DH,BV$1,0),1)="V",IF(BU122&gt;=INDEX('[1]Définition Maintenances'!$G:$G,MATCH($A122,'[1]Définition Maintenances'!$K:$K,0)),BU122,INDEX('[1]Définition Maintenances'!$G:$G,MATCH($A122,'[1]Définition Maintenances'!$K:$K,0))+BU122),BU122))</f>
        <v>309</v>
      </c>
      <c r="BW122" s="26">
        <f>IF(ISNUMBER(VLOOKUP($D122,'Visu totale'!$D:$DH,BW$1,0)),BV122-VLOOKUP($D122,'Visu totale'!$D:$DH,BW$1,0),IF(LEFT(VLOOKUP($D122,'Visu totale'!$D:$DH,BW$1,0),1)="V",IF(BV122&gt;=INDEX('[1]Définition Maintenances'!$G:$G,MATCH($A122,'[1]Définition Maintenances'!$K:$K,0)),BV122,INDEX('[1]Définition Maintenances'!$G:$G,MATCH($A122,'[1]Définition Maintenances'!$K:$K,0))+BV122),BV122))</f>
        <v>309</v>
      </c>
      <c r="BX122" s="26">
        <f>IF(ISNUMBER(VLOOKUP($D122,'Visu totale'!$D:$DH,BX$1,0)),BW122-VLOOKUP($D122,'Visu totale'!$D:$DH,BX$1,0),IF(LEFT(VLOOKUP($D122,'Visu totale'!$D:$DH,BX$1,0),1)="V",IF(BW122&gt;=INDEX('[1]Définition Maintenances'!$G:$G,MATCH($A122,'[1]Définition Maintenances'!$K:$K,0)),BW122,INDEX('[1]Définition Maintenances'!$G:$G,MATCH($A122,'[1]Définition Maintenances'!$K:$K,0))+BW122),BW122))</f>
        <v>309</v>
      </c>
      <c r="BY122" s="27">
        <f>IF(ISNUMBER(VLOOKUP($D122,'Visu totale'!$D:$DH,BY$1,0)),BX122-VLOOKUP($D122,'Visu totale'!$D:$DH,BY$1,0),IF(LEFT(VLOOKUP($D122,'Visu totale'!$D:$DH,BY$1,0),1)="V",IF(BX122&gt;=INDEX('[1]Définition Maintenances'!$G:$G,MATCH($A122,'[1]Définition Maintenances'!$K:$K,0)),BX122,INDEX('[1]Définition Maintenances'!$G:$G,MATCH($A122,'[1]Définition Maintenances'!$K:$K,0))+BX122),BX122))</f>
        <v>309</v>
      </c>
      <c r="BZ122" s="25">
        <f>IF(ISNUMBER(VLOOKUP($D122,'Visu totale'!$D:$DH,BZ$1,0)),BY122-VLOOKUP($D122,'Visu totale'!$D:$DH,BZ$1,0),IF(LEFT(VLOOKUP($D122,'Visu totale'!$D:$DH,BZ$1,0),1)="V",IF(BY122&gt;=INDEX('[1]Définition Maintenances'!$G:$G,MATCH($A122,'[1]Définition Maintenances'!$K:$K,0)),BY122,INDEX('[1]Définition Maintenances'!$G:$G,MATCH($A122,'[1]Définition Maintenances'!$K:$K,0))+BY122),BY122))</f>
        <v>309</v>
      </c>
      <c r="CA122" s="26">
        <f>IF(ISNUMBER(VLOOKUP($D122,'Visu totale'!$D:$DH,CA$1,0)),BZ122-VLOOKUP($D122,'Visu totale'!$D:$DH,CA$1,0),IF(LEFT(VLOOKUP($D122,'Visu totale'!$D:$DH,CA$1,0),1)="V",IF(BZ122&gt;=INDEX('[1]Définition Maintenances'!$G:$G,MATCH($A122,'[1]Définition Maintenances'!$K:$K,0)),BZ122,INDEX('[1]Définition Maintenances'!$G:$G,MATCH($A122,'[1]Définition Maintenances'!$K:$K,0))+BZ122),BZ122))</f>
        <v>309</v>
      </c>
      <c r="CB122" s="26">
        <f>IF(ISNUMBER(VLOOKUP($D122,'Visu totale'!$D:$DH,CB$1,0)),CA122-VLOOKUP($D122,'Visu totale'!$D:$DH,CB$1,0),IF(LEFT(VLOOKUP($D122,'Visu totale'!$D:$DH,CB$1,0),1)="V",IF(CA122&gt;=INDEX('[1]Définition Maintenances'!$G:$G,MATCH($A122,'[1]Définition Maintenances'!$K:$K,0)),CA122,INDEX('[1]Définition Maintenances'!$G:$G,MATCH($A122,'[1]Définition Maintenances'!$K:$K,0))+CA122),CA122))</f>
        <v>309</v>
      </c>
      <c r="CC122" s="26">
        <f>IF(ISNUMBER(VLOOKUP($D122,'Visu totale'!$D:$DH,CC$1,0)),CB122-VLOOKUP($D122,'Visu totale'!$D:$DH,CC$1,0),IF(LEFT(VLOOKUP($D122,'Visu totale'!$D:$DH,CC$1,0),1)="V",IF(CB122&gt;=INDEX('[1]Définition Maintenances'!$G:$G,MATCH($A122,'[1]Définition Maintenances'!$K:$K,0)),CB122,INDEX('[1]Définition Maintenances'!$G:$G,MATCH($A122,'[1]Définition Maintenances'!$K:$K,0))+CB122),CB122))</f>
        <v>309</v>
      </c>
      <c r="CD122" s="26">
        <f>IF(ISNUMBER(VLOOKUP($D122,'Visu totale'!$D:$DH,CD$1,0)),CC122-VLOOKUP($D122,'Visu totale'!$D:$DH,CD$1,0),IF(LEFT(VLOOKUP($D122,'Visu totale'!$D:$DH,CD$1,0),1)="V",IF(CC122&gt;=INDEX('[1]Définition Maintenances'!$G:$G,MATCH($A122,'[1]Définition Maintenances'!$K:$K,0)),CC122,INDEX('[1]Définition Maintenances'!$G:$G,MATCH($A122,'[1]Définition Maintenances'!$K:$K,0))+CC122),CC122))</f>
        <v>309</v>
      </c>
      <c r="CE122" s="26">
        <f>IF(ISNUMBER(VLOOKUP($D122,'Visu totale'!$D:$DH,CE$1,0)),CD122-VLOOKUP($D122,'Visu totale'!$D:$DH,CE$1,0),IF(LEFT(VLOOKUP($D122,'Visu totale'!$D:$DH,CE$1,0),1)="V",IF(CD122&gt;=INDEX('[1]Définition Maintenances'!$G:$G,MATCH($A122,'[1]Définition Maintenances'!$K:$K,0)),CD122,INDEX('[1]Définition Maintenances'!$G:$G,MATCH($A122,'[1]Définition Maintenances'!$K:$K,0))+CD122),CD122))</f>
        <v>309</v>
      </c>
      <c r="CF122" s="26">
        <f>IF(ISNUMBER(VLOOKUP($D122,'Visu totale'!$D:$DH,CF$1,0)),CE122-VLOOKUP($D122,'Visu totale'!$D:$DH,CF$1,0),IF(LEFT(VLOOKUP($D122,'Visu totale'!$D:$DH,CF$1,0),1)="V",IF(CE122&gt;=INDEX('[1]Définition Maintenances'!$G:$G,MATCH($A122,'[1]Définition Maintenances'!$K:$K,0)),CE122,INDEX('[1]Définition Maintenances'!$G:$G,MATCH($A122,'[1]Définition Maintenances'!$K:$K,0))+CE122),CE122))</f>
        <v>309</v>
      </c>
      <c r="CG122" s="26">
        <f>IF(ISNUMBER(VLOOKUP($D122,'Visu totale'!$D:$DH,CG$1,0)),CF122-VLOOKUP($D122,'Visu totale'!$D:$DH,CG$1,0),IF(LEFT(VLOOKUP($D122,'Visu totale'!$D:$DH,CG$1,0),1)="V",IF(CF122&gt;=INDEX('[1]Définition Maintenances'!$G:$G,MATCH($A122,'[1]Définition Maintenances'!$K:$K,0)),CF122,INDEX('[1]Définition Maintenances'!$G:$G,MATCH($A122,'[1]Définition Maintenances'!$K:$K,0))+CF122),CF122))</f>
        <v>309</v>
      </c>
      <c r="CH122" s="26">
        <f>IF(ISNUMBER(VLOOKUP($D122,'Visu totale'!$D:$DH,CH$1,0)),CG122-VLOOKUP($D122,'Visu totale'!$D:$DH,CH$1,0),IF(LEFT(VLOOKUP($D122,'Visu totale'!$D:$DH,CH$1,0),1)="V",IF(CG122&gt;=INDEX('[1]Définition Maintenances'!$G:$G,MATCH($A122,'[1]Définition Maintenances'!$K:$K,0)),CG122,INDEX('[1]Définition Maintenances'!$G:$G,MATCH($A122,'[1]Définition Maintenances'!$K:$K,0))+CG122),CG122))</f>
        <v>309</v>
      </c>
      <c r="CI122" s="26">
        <f>IF(ISNUMBER(VLOOKUP($D122,'Visu totale'!$D:$DH,CI$1,0)),CH122-VLOOKUP($D122,'Visu totale'!$D:$DH,CI$1,0),IF(LEFT(VLOOKUP($D122,'Visu totale'!$D:$DH,CI$1,0),1)="V",IF(CH122&gt;=INDEX('[1]Définition Maintenances'!$G:$G,MATCH($A122,'[1]Définition Maintenances'!$K:$K,0)),CH122,INDEX('[1]Définition Maintenances'!$G:$G,MATCH($A122,'[1]Définition Maintenances'!$K:$K,0))+CH122),CH122))</f>
        <v>309</v>
      </c>
      <c r="CJ122" s="26">
        <f>IF(ISNUMBER(VLOOKUP($D122,'Visu totale'!$D:$DH,CJ$1,0)),CI122-VLOOKUP($D122,'Visu totale'!$D:$DH,CJ$1,0),IF(LEFT(VLOOKUP($D122,'Visu totale'!$D:$DH,CJ$1,0),1)="V",IF(CI122&gt;=INDEX('[1]Définition Maintenances'!$G:$G,MATCH($A122,'[1]Définition Maintenances'!$K:$K,0)),CI122,INDEX('[1]Définition Maintenances'!$G:$G,MATCH($A122,'[1]Définition Maintenances'!$K:$K,0))+CI122),CI122))</f>
        <v>309</v>
      </c>
      <c r="CK122" s="27">
        <f>IF(ISNUMBER(VLOOKUP($D122,'Visu totale'!$D:$DH,CK$1,0)),CJ122-VLOOKUP($D122,'Visu totale'!$D:$DH,CK$1,0),IF(LEFT(VLOOKUP($D122,'Visu totale'!$D:$DH,CK$1,0),1)="V",IF(CJ122&gt;=INDEX('[1]Définition Maintenances'!$G:$G,MATCH($A122,'[1]Définition Maintenances'!$K:$K,0)),CJ122,INDEX('[1]Définition Maintenances'!$G:$G,MATCH($A122,'[1]Définition Maintenances'!$K:$K,0))+CJ122),CJ122))</f>
        <v>309</v>
      </c>
      <c r="CL122" s="25">
        <f>IF(ISNUMBER(VLOOKUP($D122,'Visu totale'!$D:$DH,CL$1,0)),CK122-VLOOKUP($D122,'Visu totale'!$D:$DH,CL$1,0),IF(LEFT(VLOOKUP($D122,'Visu totale'!$D:$DH,CL$1,0),1)="V",IF(CK122&gt;=INDEX('[1]Définition Maintenances'!$G:$G,MATCH($A122,'[1]Définition Maintenances'!$K:$K,0)),CK122,INDEX('[1]Définition Maintenances'!$G:$G,MATCH($A122,'[1]Définition Maintenances'!$K:$K,0))+CK122),CK122))</f>
        <v>309</v>
      </c>
      <c r="CM122" s="26">
        <f>IF(ISNUMBER(VLOOKUP($D122,'Visu totale'!$D:$DH,CM$1,0)),CL122-VLOOKUP($D122,'Visu totale'!$D:$DH,CM$1,0),IF(LEFT(VLOOKUP($D122,'Visu totale'!$D:$DH,CM$1,0),1)="V",IF(CL122&gt;=INDEX('[1]Définition Maintenances'!$G:$G,MATCH($A122,'[1]Définition Maintenances'!$K:$K,0)),CL122,INDEX('[1]Définition Maintenances'!$G:$G,MATCH($A122,'[1]Définition Maintenances'!$K:$K,0))+CL122),CL122))</f>
        <v>309</v>
      </c>
      <c r="CN122" s="26">
        <f>IF(ISNUMBER(VLOOKUP($D122,'Visu totale'!$D:$DH,CN$1,0)),CM122-VLOOKUP($D122,'Visu totale'!$D:$DH,CN$1,0),IF(LEFT(VLOOKUP($D122,'Visu totale'!$D:$DH,CN$1,0),1)="V",IF(CM122&gt;=INDEX('[1]Définition Maintenances'!$G:$G,MATCH($A122,'[1]Définition Maintenances'!$K:$K,0)),CM122,INDEX('[1]Définition Maintenances'!$G:$G,MATCH($A122,'[1]Définition Maintenances'!$K:$K,0))+CM122),CM122))</f>
        <v>309</v>
      </c>
      <c r="CO122" s="26">
        <f>IF(ISNUMBER(VLOOKUP($D122,'Visu totale'!$D:$DH,CO$1,0)),CN122-VLOOKUP($D122,'Visu totale'!$D:$DH,CO$1,0),IF(LEFT(VLOOKUP($D122,'Visu totale'!$D:$DH,CO$1,0),1)="V",IF(CN122&gt;=INDEX('[1]Définition Maintenances'!$G:$G,MATCH($A122,'[1]Définition Maintenances'!$K:$K,0)),CN122,INDEX('[1]Définition Maintenances'!$G:$G,MATCH($A122,'[1]Définition Maintenances'!$K:$K,0))+CN122),CN122))</f>
        <v>309</v>
      </c>
      <c r="CP122" s="26">
        <f>IF(ISNUMBER(VLOOKUP($D122,'Visu totale'!$D:$DH,CP$1,0)),CO122-VLOOKUP($D122,'Visu totale'!$D:$DH,CP$1,0),IF(LEFT(VLOOKUP($D122,'Visu totale'!$D:$DH,CP$1,0),1)="V",IF(CO122&gt;=INDEX('[1]Définition Maintenances'!$G:$G,MATCH($A122,'[1]Définition Maintenances'!$K:$K,0)),CO122,INDEX('[1]Définition Maintenances'!$G:$G,MATCH($A122,'[1]Définition Maintenances'!$K:$K,0))+CO122),CO122))</f>
        <v>309</v>
      </c>
      <c r="CQ122" s="26">
        <f>IF(ISNUMBER(VLOOKUP($D122,'Visu totale'!$D:$DH,CQ$1,0)),CP122-VLOOKUP($D122,'Visu totale'!$D:$DH,CQ$1,0),IF(LEFT(VLOOKUP($D122,'Visu totale'!$D:$DH,CQ$1,0),1)="V",IF(CP122&gt;=INDEX('[1]Définition Maintenances'!$G:$G,MATCH($A122,'[1]Définition Maintenances'!$K:$K,0)),CP122,INDEX('[1]Définition Maintenances'!$G:$G,MATCH($A122,'[1]Définition Maintenances'!$K:$K,0))+CP122),CP122))</f>
        <v>309</v>
      </c>
      <c r="CR122" s="26">
        <f>IF(ISNUMBER(VLOOKUP($D122,'Visu totale'!$D:$DH,CR$1,0)),CQ122-VLOOKUP($D122,'Visu totale'!$D:$DH,CR$1,0),IF(LEFT(VLOOKUP($D122,'Visu totale'!$D:$DH,CR$1,0),1)="V",IF(CQ122&gt;=INDEX('[1]Définition Maintenances'!$G:$G,MATCH($A122,'[1]Définition Maintenances'!$K:$K,0)),CQ122,INDEX('[1]Définition Maintenances'!$G:$G,MATCH($A122,'[1]Définition Maintenances'!$K:$K,0))+CQ122),CQ122))</f>
        <v>309</v>
      </c>
      <c r="CS122" s="26">
        <f>IF(ISNUMBER(VLOOKUP($D122,'Visu totale'!$D:$DH,CS$1,0)),CR122-VLOOKUP($D122,'Visu totale'!$D:$DH,CS$1,0),IF(LEFT(VLOOKUP($D122,'Visu totale'!$D:$DH,CS$1,0),1)="V",IF(CR122&gt;=INDEX('[1]Définition Maintenances'!$G:$G,MATCH($A122,'[1]Définition Maintenances'!$K:$K,0)),CR122,INDEX('[1]Définition Maintenances'!$G:$G,MATCH($A122,'[1]Définition Maintenances'!$K:$K,0))+CR122),CR122))</f>
        <v>309</v>
      </c>
      <c r="CT122" s="26">
        <f>IF(ISNUMBER(VLOOKUP($D122,'Visu totale'!$D:$DH,CT$1,0)),CS122-VLOOKUP($D122,'Visu totale'!$D:$DH,CT$1,0),IF(LEFT(VLOOKUP($D122,'Visu totale'!$D:$DH,CT$1,0),1)="V",IF(CS122&gt;=INDEX('[1]Définition Maintenances'!$G:$G,MATCH($A122,'[1]Définition Maintenances'!$K:$K,0)),CS122,INDEX('[1]Définition Maintenances'!$G:$G,MATCH($A122,'[1]Définition Maintenances'!$K:$K,0))+CS122),CS122))</f>
        <v>309</v>
      </c>
      <c r="CU122" s="26">
        <f>IF(ISNUMBER(VLOOKUP($D122,'Visu totale'!$D:$DH,CU$1,0)),CT122-VLOOKUP($D122,'Visu totale'!$D:$DH,CU$1,0),IF(LEFT(VLOOKUP($D122,'Visu totale'!$D:$DH,CU$1,0),1)="V",IF(CT122&gt;=INDEX('[1]Définition Maintenances'!$G:$G,MATCH($A122,'[1]Définition Maintenances'!$K:$K,0)),CT122,INDEX('[1]Définition Maintenances'!$G:$G,MATCH($A122,'[1]Définition Maintenances'!$K:$K,0))+CT122),CT122))</f>
        <v>309</v>
      </c>
      <c r="CV122" s="26">
        <f>IF(ISNUMBER(VLOOKUP($D122,'Visu totale'!$D:$DH,CV$1,0)),CU122-VLOOKUP($D122,'Visu totale'!$D:$DH,CV$1,0),IF(LEFT(VLOOKUP($D122,'Visu totale'!$D:$DH,CV$1,0),1)="V",IF(CU122&gt;=INDEX('[1]Définition Maintenances'!$G:$G,MATCH($A122,'[1]Définition Maintenances'!$K:$K,0)),CU122,INDEX('[1]Définition Maintenances'!$G:$G,MATCH($A122,'[1]Définition Maintenances'!$K:$K,0))+CU122),CU122))</f>
        <v>309</v>
      </c>
      <c r="CW122" s="27">
        <f>IF(ISNUMBER(VLOOKUP($D122,'Visu totale'!$D:$DH,CW$1,0)),CV122-VLOOKUP($D122,'Visu totale'!$D:$DH,CW$1,0),IF(LEFT(VLOOKUP($D122,'Visu totale'!$D:$DH,CW$1,0),1)="V",IF(CV122&gt;=INDEX('[1]Définition Maintenances'!$G:$G,MATCH($A122,'[1]Définition Maintenances'!$K:$K,0)),CV122,INDEX('[1]Définition Maintenances'!$G:$G,MATCH($A122,'[1]Définition Maintenances'!$K:$K,0))+CV122),CV122))</f>
        <v>309</v>
      </c>
      <c r="CX122" s="25">
        <f>IF(ISNUMBER(VLOOKUP($D122,'Visu totale'!$D:$DH,CX$1,0)),CW122-VLOOKUP($D122,'Visu totale'!$D:$DH,CX$1,0),IF(LEFT(VLOOKUP($D122,'Visu totale'!$D:$DH,CX$1,0),1)="V",IF(CW122&gt;=INDEX('[1]Définition Maintenances'!$G:$G,MATCH($A122,'[1]Définition Maintenances'!$K:$K,0)),CW122,INDEX('[1]Définition Maintenances'!$G:$G,MATCH($A122,'[1]Définition Maintenances'!$K:$K,0))+CW122),CW122))</f>
        <v>309</v>
      </c>
      <c r="CY122" s="26">
        <f>IF(ISNUMBER(VLOOKUP($D122,'Visu totale'!$D:$DH,CY$1,0)),CX122-VLOOKUP($D122,'Visu totale'!$D:$DH,CY$1,0),IF(LEFT(VLOOKUP($D122,'Visu totale'!$D:$DH,CY$1,0),1)="V",IF(CX122&gt;=INDEX('[1]Définition Maintenances'!$G:$G,MATCH($A122,'[1]Définition Maintenances'!$K:$K,0)),CX122,INDEX('[1]Définition Maintenances'!$G:$G,MATCH($A122,'[1]Définition Maintenances'!$K:$K,0))+CX122),CX122))</f>
        <v>309</v>
      </c>
      <c r="CZ122" s="26">
        <f>IF(ISNUMBER(VLOOKUP($D122,'Visu totale'!$D:$DH,CZ$1,0)),CY122-VLOOKUP($D122,'Visu totale'!$D:$DH,CZ$1,0),IF(LEFT(VLOOKUP($D122,'Visu totale'!$D:$DH,CZ$1,0),1)="V",IF(CY122&gt;=INDEX('[1]Définition Maintenances'!$G:$G,MATCH($A122,'[1]Définition Maintenances'!$K:$K,0)),CY122,INDEX('[1]Définition Maintenances'!$G:$G,MATCH($A122,'[1]Définition Maintenances'!$K:$K,0))+CY122),CY122))</f>
        <v>309</v>
      </c>
      <c r="DA122" s="26">
        <f>IF(ISNUMBER(VLOOKUP($D122,'Visu totale'!$D:$DH,DA$1,0)),CZ122-VLOOKUP($D122,'Visu totale'!$D:$DH,DA$1,0),IF(LEFT(VLOOKUP($D122,'Visu totale'!$D:$DH,DA$1,0),1)="V",IF(CZ122&gt;=INDEX('[1]Définition Maintenances'!$G:$G,MATCH($A122,'[1]Définition Maintenances'!$K:$K,0)),CZ122,INDEX('[1]Définition Maintenances'!$G:$G,MATCH($A122,'[1]Définition Maintenances'!$K:$K,0))+CZ122),CZ122))</f>
        <v>309</v>
      </c>
      <c r="DB122" s="26">
        <f>IF(ISNUMBER(VLOOKUP($D122,'Visu totale'!$D:$DH,DB$1,0)),DA122-VLOOKUP($D122,'Visu totale'!$D:$DH,DB$1,0),IF(LEFT(VLOOKUP($D122,'Visu totale'!$D:$DH,DB$1,0),1)="V",IF(DA122&gt;=INDEX('[1]Définition Maintenances'!$G:$G,MATCH($A122,'[1]Définition Maintenances'!$K:$K,0)),DA122,INDEX('[1]Définition Maintenances'!$G:$G,MATCH($A122,'[1]Définition Maintenances'!$K:$K,0))+DA122),DA122))</f>
        <v>309</v>
      </c>
      <c r="DC122" s="26">
        <f>IF(ISNUMBER(VLOOKUP($D122,'Visu totale'!$D:$DH,DC$1,0)),DB122-VLOOKUP($D122,'Visu totale'!$D:$DH,DC$1,0),IF(LEFT(VLOOKUP($D122,'Visu totale'!$D:$DH,DC$1,0),1)="V",IF(DB122&gt;=INDEX('[1]Définition Maintenances'!$G:$G,MATCH($A122,'[1]Définition Maintenances'!$K:$K,0)),DB122,INDEX('[1]Définition Maintenances'!$G:$G,MATCH($A122,'[1]Définition Maintenances'!$K:$K,0))+DB122),DB122))</f>
        <v>309</v>
      </c>
      <c r="DD122" s="26">
        <f>IF(ISNUMBER(VLOOKUP($D122,'Visu totale'!$D:$DH,DD$1,0)),DC122-VLOOKUP($D122,'Visu totale'!$D:$DH,DD$1,0),IF(LEFT(VLOOKUP($D122,'Visu totale'!$D:$DH,DD$1,0),1)="V",IF(DC122&gt;=INDEX('[1]Définition Maintenances'!$G:$G,MATCH($A122,'[1]Définition Maintenances'!$K:$K,0)),DC122,INDEX('[1]Définition Maintenances'!$G:$G,MATCH($A122,'[1]Définition Maintenances'!$K:$K,0))+DC122),DC122))</f>
        <v>309</v>
      </c>
      <c r="DE122" s="26">
        <f>IF(ISNUMBER(VLOOKUP($D122,'Visu totale'!$D:$DH,DE$1,0)),DD122-VLOOKUP($D122,'Visu totale'!$D:$DH,DE$1,0),IF(LEFT(VLOOKUP($D122,'Visu totale'!$D:$DH,DE$1,0),1)="V",IF(DD122&gt;=INDEX('[1]Définition Maintenances'!$G:$G,MATCH($A122,'[1]Définition Maintenances'!$K:$K,0)),DD122,INDEX('[1]Définition Maintenances'!$G:$G,MATCH($A122,'[1]Définition Maintenances'!$K:$K,0))+DD122),DD122))</f>
        <v>309</v>
      </c>
      <c r="DF122" s="26">
        <f>IF(ISNUMBER(VLOOKUP($D122,'Visu totale'!$D:$DH,DF$1,0)),DE122-VLOOKUP($D122,'Visu totale'!$D:$DH,DF$1,0),IF(LEFT(VLOOKUP($D122,'Visu totale'!$D:$DH,DF$1,0),1)="V",IF(DE122&gt;=INDEX('[1]Définition Maintenances'!$G:$G,MATCH($A122,'[1]Définition Maintenances'!$K:$K,0)),DE122,INDEX('[1]Définition Maintenances'!$G:$G,MATCH($A122,'[1]Définition Maintenances'!$K:$K,0))+DE122),DE122))</f>
        <v>309</v>
      </c>
      <c r="DG122" s="26">
        <f>IF(ISNUMBER(VLOOKUP($D122,'Visu totale'!$D:$DH,DG$1,0)),DF122-VLOOKUP($D122,'Visu totale'!$D:$DH,DG$1,0),IF(LEFT(VLOOKUP($D122,'Visu totale'!$D:$DH,DG$1,0),1)="V",IF(DF122&gt;=INDEX('[1]Définition Maintenances'!$G:$G,MATCH($A122,'[1]Définition Maintenances'!$K:$K,0)),DF122,INDEX('[1]Définition Maintenances'!$G:$G,MATCH($A122,'[1]Définition Maintenances'!$K:$K,0))+DF122),DF122))</f>
        <v>309</v>
      </c>
      <c r="DH122" s="26">
        <f>IF(ISNUMBER(VLOOKUP($D122,'Visu totale'!$D:$DH,DH$1,0)),DG122-VLOOKUP($D122,'Visu totale'!$D:$DH,DH$1,0),IF(LEFT(VLOOKUP($D122,'Visu totale'!$D:$DH,DH$1,0),1)="V",IF(DG122&gt;=INDEX('[1]Définition Maintenances'!$G:$G,MATCH($A122,'[1]Définition Maintenances'!$K:$K,0)),DG122,INDEX('[1]Définition Maintenances'!$G:$G,MATCH($A122,'[1]Définition Maintenances'!$K:$K,0))+DG122),DG122))</f>
        <v>309</v>
      </c>
      <c r="DI122" s="27">
        <f>IF(ISNUMBER(VLOOKUP($D122,'Visu totale'!$D:$DH,DI$1,0)),DH122-VLOOKUP($D122,'Visu totale'!$D:$DH,DI$1,0),IF(LEFT(VLOOKUP($D122,'Visu totale'!$D:$DH,DI$1,0),1)="V",IF(DH122&gt;=INDEX('[1]Définition Maintenances'!$G:$G,MATCH($A122,'[1]Définition Maintenances'!$K:$K,0)),DH122,INDEX('[1]Définition Maintenances'!$G:$G,MATCH($A122,'[1]Définition Maintenances'!$K:$K,0))+DH122),DH122))</f>
        <v>309</v>
      </c>
    </row>
    <row r="123" spans="1:113" x14ac:dyDescent="0.25">
      <c r="A123" s="13" t="str">
        <f t="shared" si="3"/>
        <v>V155</v>
      </c>
      <c r="B123" s="13" t="str">
        <f>VLOOKUP(D123,'[1]Avions (Potentiels)'!$B$2:$H$128,7,FALSE)</f>
        <v>V15</v>
      </c>
      <c r="C123" s="13"/>
      <c r="D123" s="16" t="s">
        <v>126</v>
      </c>
      <c r="E123" s="13">
        <f>IFERROR(VALUE(SUBSTITUTE(VLOOKUP(D123,'[1]Avions (Potentiels)'!$B:$E,4,0),".",",")),VALUE(VLOOKUP(D123,'[1]Avions (Potentiels)'!$B:$E,4,0)))</f>
        <v>1140</v>
      </c>
      <c r="F123" s="25">
        <f>IF(ISNUMBER(VLOOKUP($D123,'Visu totale'!$D:$DH,F$1,0)),E123-VLOOKUP($D123,'Visu totale'!$D:$DH,F$1,0),IF(LEFT(VLOOKUP($D123,'Visu totale'!$D:$DH,F$1,0),1)="V",IF(E123&gt;=INDEX('[1]Définition Maintenances'!$G:$G,MATCH($A123,'[1]Définition Maintenances'!$K:$K,0)),E123,INDEX('[1]Définition Maintenances'!$G:$G,MATCH($A123,'[1]Définition Maintenances'!$K:$K,0))+E123),E123))</f>
        <v>1140</v>
      </c>
      <c r="G123" s="26">
        <f>IF(ISNUMBER(VLOOKUP($D123,'Visu totale'!$D:$DH,G$1,0)),F123-VLOOKUP($D123,'Visu totale'!$D:$DH,G$1,0),IF(LEFT(VLOOKUP($D123,'Visu totale'!$D:$DH,G$1,0),1)="V",IF(F123&gt;=INDEX('[1]Définition Maintenances'!$G:$G,MATCH($A123,'[1]Définition Maintenances'!$K:$K,0)),F123,INDEX('[1]Définition Maintenances'!$G:$G,MATCH($A123,'[1]Définition Maintenances'!$K:$K,0))+F123),F123))</f>
        <v>1140</v>
      </c>
      <c r="H123" s="26">
        <f>IF(ISNUMBER(VLOOKUP($D123,'Visu totale'!$D:$DH,H$1,0)),G123-VLOOKUP($D123,'Visu totale'!$D:$DH,H$1,0),IF(LEFT(VLOOKUP($D123,'Visu totale'!$D:$DH,H$1,0),1)="V",IF(G123&gt;=INDEX('[1]Définition Maintenances'!$G:$G,MATCH($A123,'[1]Définition Maintenances'!$K:$K,0)),G123,INDEX('[1]Définition Maintenances'!$G:$G,MATCH($A123,'[1]Définition Maintenances'!$K:$K,0))+G123),G123))</f>
        <v>1140</v>
      </c>
      <c r="I123" s="26">
        <f>IF(ISNUMBER(VLOOKUP($D123,'Visu totale'!$D:$DH,I$1,0)),H123-VLOOKUP($D123,'Visu totale'!$D:$DH,I$1,0),IF(LEFT(VLOOKUP($D123,'Visu totale'!$D:$DH,I$1,0),1)="V",IF(H123&gt;=INDEX('[1]Définition Maintenances'!$G:$G,MATCH($A123,'[1]Définition Maintenances'!$K:$K,0)),H123,INDEX('[1]Définition Maintenances'!$G:$G,MATCH($A123,'[1]Définition Maintenances'!$K:$K,0))+H123),H123))</f>
        <v>1140</v>
      </c>
      <c r="J123" s="26">
        <f>IF(ISNUMBER(VLOOKUP($D123,'Visu totale'!$D:$DH,J$1,0)),I123-VLOOKUP($D123,'Visu totale'!$D:$DH,J$1,0),IF(LEFT(VLOOKUP($D123,'Visu totale'!$D:$DH,J$1,0),1)="V",IF(I123&gt;=INDEX('[1]Définition Maintenances'!$G:$G,MATCH($A123,'[1]Définition Maintenances'!$K:$K,0)),I123,INDEX('[1]Définition Maintenances'!$G:$G,MATCH($A123,'[1]Définition Maintenances'!$K:$K,0))+I123),I123))</f>
        <v>1140</v>
      </c>
      <c r="K123" s="26">
        <f>IF(ISNUMBER(VLOOKUP($D123,'Visu totale'!$D:$DH,K$1,0)),J123-VLOOKUP($D123,'Visu totale'!$D:$DH,K$1,0),IF(LEFT(VLOOKUP($D123,'Visu totale'!$D:$DH,K$1,0),1)="V",IF(J123&gt;=INDEX('[1]Définition Maintenances'!$G:$G,MATCH($A123,'[1]Définition Maintenances'!$K:$K,0)),J123,INDEX('[1]Définition Maintenances'!$G:$G,MATCH($A123,'[1]Définition Maintenances'!$K:$K,0))+J123),J123))</f>
        <v>1140</v>
      </c>
      <c r="L123" s="26">
        <f>IF(ISNUMBER(VLOOKUP($D123,'Visu totale'!$D:$DH,L$1,0)),K123-VLOOKUP($D123,'Visu totale'!$D:$DH,L$1,0),IF(LEFT(VLOOKUP($D123,'Visu totale'!$D:$DH,L$1,0),1)="V",IF(K123&gt;=INDEX('[1]Définition Maintenances'!$G:$G,MATCH($A123,'[1]Définition Maintenances'!$K:$K,0)),K123,INDEX('[1]Définition Maintenances'!$G:$G,MATCH($A123,'[1]Définition Maintenances'!$K:$K,0))+K123),K123))</f>
        <v>1140</v>
      </c>
      <c r="M123" s="26">
        <f>IF(ISNUMBER(VLOOKUP($D123,'Visu totale'!$D:$DH,M$1,0)),L123-VLOOKUP($D123,'Visu totale'!$D:$DH,M$1,0),IF(LEFT(VLOOKUP($D123,'Visu totale'!$D:$DH,M$1,0),1)="V",IF(L123&gt;=INDEX('[1]Définition Maintenances'!$G:$G,MATCH($A123,'[1]Définition Maintenances'!$K:$K,0)),L123,INDEX('[1]Définition Maintenances'!$G:$G,MATCH($A123,'[1]Définition Maintenances'!$K:$K,0))+L123),L123))</f>
        <v>1140</v>
      </c>
      <c r="N123" s="26">
        <f>IF(ISNUMBER(VLOOKUP($D123,'Visu totale'!$D:$DH,N$1,0)),M123-VLOOKUP($D123,'Visu totale'!$D:$DH,N$1,0),IF(LEFT(VLOOKUP($D123,'Visu totale'!$D:$DH,N$1,0),1)="V",IF(M123&gt;=INDEX('[1]Définition Maintenances'!$G:$G,MATCH($A123,'[1]Définition Maintenances'!$K:$K,0)),M123,INDEX('[1]Définition Maintenances'!$G:$G,MATCH($A123,'[1]Définition Maintenances'!$K:$K,0))+M123),M123))</f>
        <v>1140</v>
      </c>
      <c r="O123" s="26">
        <f>IF(ISNUMBER(VLOOKUP($D123,'Visu totale'!$D:$DH,O$1,0)),N123-VLOOKUP($D123,'Visu totale'!$D:$DH,O$1,0),IF(LEFT(VLOOKUP($D123,'Visu totale'!$D:$DH,O$1,0),1)="V",IF(N123&gt;=INDEX('[1]Définition Maintenances'!$G:$G,MATCH($A123,'[1]Définition Maintenances'!$K:$K,0)),N123,INDEX('[1]Définition Maintenances'!$G:$G,MATCH($A123,'[1]Définition Maintenances'!$K:$K,0))+N123),N123))</f>
        <v>1140</v>
      </c>
      <c r="P123" s="26">
        <f>IF(ISNUMBER(VLOOKUP($D123,'Visu totale'!$D:$DH,P$1,0)),O123-VLOOKUP($D123,'Visu totale'!$D:$DH,P$1,0),IF(LEFT(VLOOKUP($D123,'Visu totale'!$D:$DH,P$1,0),1)="V",IF(O123&gt;=INDEX('[1]Définition Maintenances'!$G:$G,MATCH($A123,'[1]Définition Maintenances'!$K:$K,0)),O123,INDEX('[1]Définition Maintenances'!$G:$G,MATCH($A123,'[1]Définition Maintenances'!$K:$K,0))+O123),O123))</f>
        <v>1140</v>
      </c>
      <c r="Q123" s="27">
        <f>IF(ISNUMBER(VLOOKUP($D123,'Visu totale'!$D:$DH,Q$1,0)),P123-VLOOKUP($D123,'Visu totale'!$D:$DH,Q$1,0),IF(LEFT(VLOOKUP($D123,'Visu totale'!$D:$DH,Q$1,0),1)="V",IF(P123&gt;=INDEX('[1]Définition Maintenances'!$G:$G,MATCH($A123,'[1]Définition Maintenances'!$K:$K,0)),P123,INDEX('[1]Définition Maintenances'!$G:$G,MATCH($A123,'[1]Définition Maintenances'!$K:$K,0))+P123),P123))</f>
        <v>1140</v>
      </c>
      <c r="R123" s="25">
        <f>IF(ISNUMBER(VLOOKUP($D123,'Visu totale'!$D:$DH,R$1,0)),Q123-VLOOKUP($D123,'Visu totale'!$D:$DH,R$1,0),IF(LEFT(VLOOKUP($D123,'Visu totale'!$D:$DH,R$1,0),1)="V",IF(Q123&gt;=INDEX('[1]Définition Maintenances'!$G:$G,MATCH($A123,'[1]Définition Maintenances'!$K:$K,0)),Q123,INDEX('[1]Définition Maintenances'!$G:$G,MATCH($A123,'[1]Définition Maintenances'!$K:$K,0))+Q123),Q123))</f>
        <v>1140</v>
      </c>
      <c r="S123" s="26">
        <f>IF(ISNUMBER(VLOOKUP($D123,'Visu totale'!$D:$DH,S$1,0)),R123-VLOOKUP($D123,'Visu totale'!$D:$DH,S$1,0),IF(LEFT(VLOOKUP($D123,'Visu totale'!$D:$DH,S$1,0),1)="V",IF(R123&gt;=INDEX('[1]Définition Maintenances'!$G:$G,MATCH($A123,'[1]Définition Maintenances'!$K:$K,0)),R123,INDEX('[1]Définition Maintenances'!$G:$G,MATCH($A123,'[1]Définition Maintenances'!$K:$K,0))+R123),R123))</f>
        <v>1140</v>
      </c>
      <c r="T123" s="26">
        <f>IF(ISNUMBER(VLOOKUP($D123,'Visu totale'!$D:$DH,T$1,0)),S123-VLOOKUP($D123,'Visu totale'!$D:$DH,T$1,0),IF(LEFT(VLOOKUP($D123,'Visu totale'!$D:$DH,T$1,0),1)="V",IF(S123&gt;=INDEX('[1]Définition Maintenances'!$G:$G,MATCH($A123,'[1]Définition Maintenances'!$K:$K,0)),S123,INDEX('[1]Définition Maintenances'!$G:$G,MATCH($A123,'[1]Définition Maintenances'!$K:$K,0))+S123),S123))</f>
        <v>1140</v>
      </c>
      <c r="U123" s="26">
        <f>IF(ISNUMBER(VLOOKUP($D123,'Visu totale'!$D:$DH,U$1,0)),T123-VLOOKUP($D123,'Visu totale'!$D:$DH,U$1,0),IF(LEFT(VLOOKUP($D123,'Visu totale'!$D:$DH,U$1,0),1)="V",IF(T123&gt;=INDEX('[1]Définition Maintenances'!$G:$G,MATCH($A123,'[1]Définition Maintenances'!$K:$K,0)),T123,INDEX('[1]Définition Maintenances'!$G:$G,MATCH($A123,'[1]Définition Maintenances'!$K:$K,0))+T123),T123))</f>
        <v>1140</v>
      </c>
      <c r="V123" s="26">
        <f>IF(ISNUMBER(VLOOKUP($D123,'Visu totale'!$D:$DH,V$1,0)),U123-VLOOKUP($D123,'Visu totale'!$D:$DH,V$1,0),IF(LEFT(VLOOKUP($D123,'Visu totale'!$D:$DH,V$1,0),1)="V",IF(U123&gt;=INDEX('[1]Définition Maintenances'!$G:$G,MATCH($A123,'[1]Définition Maintenances'!$K:$K,0)),U123,INDEX('[1]Définition Maintenances'!$G:$G,MATCH($A123,'[1]Définition Maintenances'!$K:$K,0))+U123),U123))</f>
        <v>1140</v>
      </c>
      <c r="W123" s="26">
        <f>IF(ISNUMBER(VLOOKUP($D123,'Visu totale'!$D:$DH,W$1,0)),V123-VLOOKUP($D123,'Visu totale'!$D:$DH,W$1,0),IF(LEFT(VLOOKUP($D123,'Visu totale'!$D:$DH,W$1,0),1)="V",IF(V123&gt;=INDEX('[1]Définition Maintenances'!$G:$G,MATCH($A123,'[1]Définition Maintenances'!$K:$K,0)),V123,INDEX('[1]Définition Maintenances'!$G:$G,MATCH($A123,'[1]Définition Maintenances'!$K:$K,0))+V123),V123))</f>
        <v>1140</v>
      </c>
      <c r="X123" s="26">
        <f>IF(ISNUMBER(VLOOKUP($D123,'Visu totale'!$D:$DH,X$1,0)),W123-VLOOKUP($D123,'Visu totale'!$D:$DH,X$1,0),IF(LEFT(VLOOKUP($D123,'Visu totale'!$D:$DH,X$1,0),1)="V",IF(W123&gt;=INDEX('[1]Définition Maintenances'!$G:$G,MATCH($A123,'[1]Définition Maintenances'!$K:$K,0)),W123,INDEX('[1]Définition Maintenances'!$G:$G,MATCH($A123,'[1]Définition Maintenances'!$K:$K,0))+W123),W123))</f>
        <v>1140</v>
      </c>
      <c r="Y123" s="26">
        <f>IF(ISNUMBER(VLOOKUP($D123,'Visu totale'!$D:$DH,Y$1,0)),X123-VLOOKUP($D123,'Visu totale'!$D:$DH,Y$1,0),IF(LEFT(VLOOKUP($D123,'Visu totale'!$D:$DH,Y$1,0),1)="V",IF(X123&gt;=INDEX('[1]Définition Maintenances'!$G:$G,MATCH($A123,'[1]Définition Maintenances'!$K:$K,0)),X123,INDEX('[1]Définition Maintenances'!$G:$G,MATCH($A123,'[1]Définition Maintenances'!$K:$K,0))+X123),X123))</f>
        <v>1140</v>
      </c>
      <c r="Z123" s="26">
        <f>IF(ISNUMBER(VLOOKUP($D123,'Visu totale'!$D:$DH,Z$1,0)),Y123-VLOOKUP($D123,'Visu totale'!$D:$DH,Z$1,0),IF(LEFT(VLOOKUP($D123,'Visu totale'!$D:$DH,Z$1,0),1)="V",IF(Y123&gt;=INDEX('[1]Définition Maintenances'!$G:$G,MATCH($A123,'[1]Définition Maintenances'!$K:$K,0)),Y123,INDEX('[1]Définition Maintenances'!$G:$G,MATCH($A123,'[1]Définition Maintenances'!$K:$K,0))+Y123),Y123))</f>
        <v>1140</v>
      </c>
      <c r="AA123" s="26">
        <f>IF(ISNUMBER(VLOOKUP($D123,'Visu totale'!$D:$DH,AA$1,0)),Z123-VLOOKUP($D123,'Visu totale'!$D:$DH,AA$1,0),IF(LEFT(VLOOKUP($D123,'Visu totale'!$D:$DH,AA$1,0),1)="V",IF(Z123&gt;=INDEX('[1]Définition Maintenances'!$G:$G,MATCH($A123,'[1]Définition Maintenances'!$K:$K,0)),Z123,INDEX('[1]Définition Maintenances'!$G:$G,MATCH($A123,'[1]Définition Maintenances'!$K:$K,0))+Z123),Z123))</f>
        <v>1140</v>
      </c>
      <c r="AB123" s="26">
        <f>IF(ISNUMBER(VLOOKUP($D123,'Visu totale'!$D:$DH,AB$1,0)),AA123-VLOOKUP($D123,'Visu totale'!$D:$DH,AB$1,0),IF(LEFT(VLOOKUP($D123,'Visu totale'!$D:$DH,AB$1,0),1)="V",IF(AA123&gt;=INDEX('[1]Définition Maintenances'!$G:$G,MATCH($A123,'[1]Définition Maintenances'!$K:$K,0)),AA123,INDEX('[1]Définition Maintenances'!$G:$G,MATCH($A123,'[1]Définition Maintenances'!$K:$K,0))+AA123),AA123))</f>
        <v>1140</v>
      </c>
      <c r="AC123" s="27">
        <f>IF(ISNUMBER(VLOOKUP($D123,'Visu totale'!$D:$DH,AC$1,0)),AB123-VLOOKUP($D123,'Visu totale'!$D:$DH,AC$1,0),IF(LEFT(VLOOKUP($D123,'Visu totale'!$D:$DH,AC$1,0),1)="V",IF(AB123&gt;=INDEX('[1]Définition Maintenances'!$G:$G,MATCH($A123,'[1]Définition Maintenances'!$K:$K,0)),AB123,INDEX('[1]Définition Maintenances'!$G:$G,MATCH($A123,'[1]Définition Maintenances'!$K:$K,0))+AB123),AB123))</f>
        <v>1140</v>
      </c>
      <c r="AD123" s="25">
        <f>IF(ISNUMBER(VLOOKUP($D123,'Visu totale'!$D:$DH,AD$1,0)),AC123-VLOOKUP($D123,'Visu totale'!$D:$DH,AD$1,0),IF(LEFT(VLOOKUP($D123,'Visu totale'!$D:$DH,AD$1,0),1)="V",IF(AC123&gt;=INDEX('[1]Définition Maintenances'!$G:$G,MATCH($A123,'[1]Définition Maintenances'!$K:$K,0)),AC123,INDEX('[1]Définition Maintenances'!$G:$G,MATCH($A123,'[1]Définition Maintenances'!$K:$K,0))+AC123),AC123))</f>
        <v>1140</v>
      </c>
      <c r="AE123" s="26">
        <f>IF(ISNUMBER(VLOOKUP($D123,'Visu totale'!$D:$DH,AE$1,0)),AD123-VLOOKUP($D123,'Visu totale'!$D:$DH,AE$1,0),IF(LEFT(VLOOKUP($D123,'Visu totale'!$D:$DH,AE$1,0),1)="V",IF(AD123&gt;=INDEX('[1]Définition Maintenances'!$G:$G,MATCH($A123,'[1]Définition Maintenances'!$K:$K,0)),AD123,INDEX('[1]Définition Maintenances'!$G:$G,MATCH($A123,'[1]Définition Maintenances'!$K:$K,0))+AD123),AD123))</f>
        <v>1140</v>
      </c>
      <c r="AF123" s="26">
        <f>IF(ISNUMBER(VLOOKUP($D123,'Visu totale'!$D:$DH,AF$1,0)),AE123-VLOOKUP($D123,'Visu totale'!$D:$DH,AF$1,0),IF(LEFT(VLOOKUP($D123,'Visu totale'!$D:$DH,AF$1,0),1)="V",IF(AE123&gt;=INDEX('[1]Définition Maintenances'!$G:$G,MATCH($A123,'[1]Définition Maintenances'!$K:$K,0)),AE123,INDEX('[1]Définition Maintenances'!$G:$G,MATCH($A123,'[1]Définition Maintenances'!$K:$K,0))+AE123),AE123))</f>
        <v>1140</v>
      </c>
      <c r="AG123" s="26">
        <f>IF(ISNUMBER(VLOOKUP($D123,'Visu totale'!$D:$DH,AG$1,0)),AF123-VLOOKUP($D123,'Visu totale'!$D:$DH,AG$1,0),IF(LEFT(VLOOKUP($D123,'Visu totale'!$D:$DH,AG$1,0),1)="V",IF(AF123&gt;=INDEX('[1]Définition Maintenances'!$G:$G,MATCH($A123,'[1]Définition Maintenances'!$K:$K,0)),AF123,INDEX('[1]Définition Maintenances'!$G:$G,MATCH($A123,'[1]Définition Maintenances'!$K:$K,0))+AF123),AF123))</f>
        <v>1140</v>
      </c>
      <c r="AH123" s="26">
        <f>IF(ISNUMBER(VLOOKUP($D123,'Visu totale'!$D:$DH,AH$1,0)),AG123-VLOOKUP($D123,'Visu totale'!$D:$DH,AH$1,0),IF(LEFT(VLOOKUP($D123,'Visu totale'!$D:$DH,AH$1,0),1)="V",IF(AG123&gt;=INDEX('[1]Définition Maintenances'!$G:$G,MATCH($A123,'[1]Définition Maintenances'!$K:$K,0)),AG123,INDEX('[1]Définition Maintenances'!$G:$G,MATCH($A123,'[1]Définition Maintenances'!$K:$K,0))+AG123),AG123))</f>
        <v>1140</v>
      </c>
      <c r="AI123" s="26">
        <f>IF(ISNUMBER(VLOOKUP($D123,'Visu totale'!$D:$DH,AI$1,0)),AH123-VLOOKUP($D123,'Visu totale'!$D:$DH,AI$1,0),IF(LEFT(VLOOKUP($D123,'Visu totale'!$D:$DH,AI$1,0),1)="V",IF(AH123&gt;=INDEX('[1]Définition Maintenances'!$G:$G,MATCH($A123,'[1]Définition Maintenances'!$K:$K,0)),AH123,INDEX('[1]Définition Maintenances'!$G:$G,MATCH($A123,'[1]Définition Maintenances'!$K:$K,0))+AH123),AH123))</f>
        <v>1140</v>
      </c>
      <c r="AJ123" s="26">
        <f>IF(ISNUMBER(VLOOKUP($D123,'Visu totale'!$D:$DH,AJ$1,0)),AI123-VLOOKUP($D123,'Visu totale'!$D:$DH,AJ$1,0),IF(LEFT(VLOOKUP($D123,'Visu totale'!$D:$DH,AJ$1,0),1)="V",IF(AI123&gt;=INDEX('[1]Définition Maintenances'!$G:$G,MATCH($A123,'[1]Définition Maintenances'!$K:$K,0)),AI123,INDEX('[1]Définition Maintenances'!$G:$G,MATCH($A123,'[1]Définition Maintenances'!$K:$K,0))+AI123),AI123))</f>
        <v>1140</v>
      </c>
      <c r="AK123" s="26">
        <f>IF(ISNUMBER(VLOOKUP($D123,'Visu totale'!$D:$DH,AK$1,0)),AJ123-VLOOKUP($D123,'Visu totale'!$D:$DH,AK$1,0),IF(LEFT(VLOOKUP($D123,'Visu totale'!$D:$DH,AK$1,0),1)="V",IF(AJ123&gt;=INDEX('[1]Définition Maintenances'!$G:$G,MATCH($A123,'[1]Définition Maintenances'!$K:$K,0)),AJ123,INDEX('[1]Définition Maintenances'!$G:$G,MATCH($A123,'[1]Définition Maintenances'!$K:$K,0))+AJ123),AJ123))</f>
        <v>1140</v>
      </c>
      <c r="AL123" s="26">
        <f>IF(ISNUMBER(VLOOKUP($D123,'Visu totale'!$D:$DH,AL$1,0)),AK123-VLOOKUP($D123,'Visu totale'!$D:$DH,AL$1,0),IF(LEFT(VLOOKUP($D123,'Visu totale'!$D:$DH,AL$1,0),1)="V",IF(AK123&gt;=INDEX('[1]Définition Maintenances'!$G:$G,MATCH($A123,'[1]Définition Maintenances'!$K:$K,0)),AK123,INDEX('[1]Définition Maintenances'!$G:$G,MATCH($A123,'[1]Définition Maintenances'!$K:$K,0))+AK123),AK123))</f>
        <v>1140</v>
      </c>
      <c r="AM123" s="26">
        <f>IF(ISNUMBER(VLOOKUP($D123,'Visu totale'!$D:$DH,AM$1,0)),AL123-VLOOKUP($D123,'Visu totale'!$D:$DH,AM$1,0),IF(LEFT(VLOOKUP($D123,'Visu totale'!$D:$DH,AM$1,0),1)="V",IF(AL123&gt;=INDEX('[1]Définition Maintenances'!$G:$G,MATCH($A123,'[1]Définition Maintenances'!$K:$K,0)),AL123,INDEX('[1]Définition Maintenances'!$G:$G,MATCH($A123,'[1]Définition Maintenances'!$K:$K,0))+AL123),AL123))</f>
        <v>1140</v>
      </c>
      <c r="AN123" s="26">
        <f>IF(ISNUMBER(VLOOKUP($D123,'Visu totale'!$D:$DH,AN$1,0)),AM123-VLOOKUP($D123,'Visu totale'!$D:$DH,AN$1,0),IF(LEFT(VLOOKUP($D123,'Visu totale'!$D:$DH,AN$1,0),1)="V",IF(AM123&gt;=INDEX('[1]Définition Maintenances'!$G:$G,MATCH($A123,'[1]Définition Maintenances'!$K:$K,0)),AM123,INDEX('[1]Définition Maintenances'!$G:$G,MATCH($A123,'[1]Définition Maintenances'!$K:$K,0))+AM123),AM123))</f>
        <v>1140</v>
      </c>
      <c r="AO123" s="27">
        <f>IF(ISNUMBER(VLOOKUP($D123,'Visu totale'!$D:$DH,AO$1,0)),AN123-VLOOKUP($D123,'Visu totale'!$D:$DH,AO$1,0),IF(LEFT(VLOOKUP($D123,'Visu totale'!$D:$DH,AO$1,0),1)="V",IF(AN123&gt;=INDEX('[1]Définition Maintenances'!$G:$G,MATCH($A123,'[1]Définition Maintenances'!$K:$K,0)),AN123,INDEX('[1]Définition Maintenances'!$G:$G,MATCH($A123,'[1]Définition Maintenances'!$K:$K,0))+AN123),AN123))</f>
        <v>1140</v>
      </c>
      <c r="AP123" s="25">
        <f>IF(ISNUMBER(VLOOKUP($D123,'Visu totale'!$D:$DH,AP$1,0)),AO123-VLOOKUP($D123,'Visu totale'!$D:$DH,AP$1,0),IF(LEFT(VLOOKUP($D123,'Visu totale'!$D:$DH,AP$1,0),1)="V",IF(AO123&gt;=INDEX('[1]Définition Maintenances'!$G:$G,MATCH($A123,'[1]Définition Maintenances'!$K:$K,0)),AO123,INDEX('[1]Définition Maintenances'!$G:$G,MATCH($A123,'[1]Définition Maintenances'!$K:$K,0))+AO123),AO123))</f>
        <v>1140</v>
      </c>
      <c r="AQ123" s="26">
        <f>IF(ISNUMBER(VLOOKUP($D123,'Visu totale'!$D:$DH,AQ$1,0)),AP123-VLOOKUP($D123,'Visu totale'!$D:$DH,AQ$1,0),IF(LEFT(VLOOKUP($D123,'Visu totale'!$D:$DH,AQ$1,0),1)="V",IF(AP123&gt;=INDEX('[1]Définition Maintenances'!$G:$G,MATCH($A123,'[1]Définition Maintenances'!$K:$K,0)),AP123,INDEX('[1]Définition Maintenances'!$G:$G,MATCH($A123,'[1]Définition Maintenances'!$K:$K,0))+AP123),AP123))</f>
        <v>1140</v>
      </c>
      <c r="AR123" s="26">
        <f>IF(ISNUMBER(VLOOKUP($D123,'Visu totale'!$D:$DH,AR$1,0)),AQ123-VLOOKUP($D123,'Visu totale'!$D:$DH,AR$1,0),IF(LEFT(VLOOKUP($D123,'Visu totale'!$D:$DH,AR$1,0),1)="V",IF(AQ123&gt;=INDEX('[1]Définition Maintenances'!$G:$G,MATCH($A123,'[1]Définition Maintenances'!$K:$K,0)),AQ123,INDEX('[1]Définition Maintenances'!$G:$G,MATCH($A123,'[1]Définition Maintenances'!$K:$K,0))+AQ123),AQ123))</f>
        <v>1140</v>
      </c>
      <c r="AS123" s="26">
        <f>IF(ISNUMBER(VLOOKUP($D123,'Visu totale'!$D:$DH,AS$1,0)),AR123-VLOOKUP($D123,'Visu totale'!$D:$DH,AS$1,0),IF(LEFT(VLOOKUP($D123,'Visu totale'!$D:$DH,AS$1,0),1)="V",IF(AR123&gt;=INDEX('[1]Définition Maintenances'!$G:$G,MATCH($A123,'[1]Définition Maintenances'!$K:$K,0)),AR123,INDEX('[1]Définition Maintenances'!$G:$G,MATCH($A123,'[1]Définition Maintenances'!$K:$K,0))+AR123),AR123))</f>
        <v>1140</v>
      </c>
      <c r="AT123" s="26">
        <f>IF(ISNUMBER(VLOOKUP($D123,'Visu totale'!$D:$DH,AT$1,0)),AS123-VLOOKUP($D123,'Visu totale'!$D:$DH,AT$1,0),IF(LEFT(VLOOKUP($D123,'Visu totale'!$D:$DH,AT$1,0),1)="V",IF(AS123&gt;=INDEX('[1]Définition Maintenances'!$G:$G,MATCH($A123,'[1]Définition Maintenances'!$K:$K,0)),AS123,INDEX('[1]Définition Maintenances'!$G:$G,MATCH($A123,'[1]Définition Maintenances'!$K:$K,0))+AS123),AS123))</f>
        <v>1140</v>
      </c>
      <c r="AU123" s="26">
        <f>IF(ISNUMBER(VLOOKUP($D123,'Visu totale'!$D:$DH,AU$1,0)),AT123-VLOOKUP($D123,'Visu totale'!$D:$DH,AU$1,0),IF(LEFT(VLOOKUP($D123,'Visu totale'!$D:$DH,AU$1,0),1)="V",IF(AT123&gt;=INDEX('[1]Définition Maintenances'!$G:$G,MATCH($A123,'[1]Définition Maintenances'!$K:$K,0)),AT123,INDEX('[1]Définition Maintenances'!$G:$G,MATCH($A123,'[1]Définition Maintenances'!$K:$K,0))+AT123),AT123))</f>
        <v>1140</v>
      </c>
      <c r="AV123" s="26">
        <f>IF(ISNUMBER(VLOOKUP($D123,'Visu totale'!$D:$DH,AV$1,0)),AU123-VLOOKUP($D123,'Visu totale'!$D:$DH,AV$1,0),IF(LEFT(VLOOKUP($D123,'Visu totale'!$D:$DH,AV$1,0),1)="V",IF(AU123&gt;=INDEX('[1]Définition Maintenances'!$G:$G,MATCH($A123,'[1]Définition Maintenances'!$K:$K,0)),AU123,INDEX('[1]Définition Maintenances'!$G:$G,MATCH($A123,'[1]Définition Maintenances'!$K:$K,0))+AU123),AU123))</f>
        <v>1140</v>
      </c>
      <c r="AW123" s="26">
        <f>IF(ISNUMBER(VLOOKUP($D123,'Visu totale'!$D:$DH,AW$1,0)),AV123-VLOOKUP($D123,'Visu totale'!$D:$DH,AW$1,0),IF(LEFT(VLOOKUP($D123,'Visu totale'!$D:$DH,AW$1,0),1)="V",IF(AV123&gt;=INDEX('[1]Définition Maintenances'!$G:$G,MATCH($A123,'[1]Définition Maintenances'!$K:$K,0)),AV123,INDEX('[1]Définition Maintenances'!$G:$G,MATCH($A123,'[1]Définition Maintenances'!$K:$K,0))+AV123),AV123))</f>
        <v>1140</v>
      </c>
      <c r="AX123" s="26">
        <f>IF(ISNUMBER(VLOOKUP($D123,'Visu totale'!$D:$DH,AX$1,0)),AW123-VLOOKUP($D123,'Visu totale'!$D:$DH,AX$1,0),IF(LEFT(VLOOKUP($D123,'Visu totale'!$D:$DH,AX$1,0),1)="V",IF(AW123&gt;=INDEX('[1]Définition Maintenances'!$G:$G,MATCH($A123,'[1]Définition Maintenances'!$K:$K,0)),AW123,INDEX('[1]Définition Maintenances'!$G:$G,MATCH($A123,'[1]Définition Maintenances'!$K:$K,0))+AW123),AW123))</f>
        <v>1140</v>
      </c>
      <c r="AY123" s="26">
        <f>IF(ISNUMBER(VLOOKUP($D123,'Visu totale'!$D:$DH,AY$1,0)),AX123-VLOOKUP($D123,'Visu totale'!$D:$DH,AY$1,0),IF(LEFT(VLOOKUP($D123,'Visu totale'!$D:$DH,AY$1,0),1)="V",IF(AX123&gt;=INDEX('[1]Définition Maintenances'!$G:$G,MATCH($A123,'[1]Définition Maintenances'!$K:$K,0)),AX123,INDEX('[1]Définition Maintenances'!$G:$G,MATCH($A123,'[1]Définition Maintenances'!$K:$K,0))+AX123),AX123))</f>
        <v>1140</v>
      </c>
      <c r="AZ123" s="26">
        <f>IF(ISNUMBER(VLOOKUP($D123,'Visu totale'!$D:$DH,AZ$1,0)),AY123-VLOOKUP($D123,'Visu totale'!$D:$DH,AZ$1,0),IF(LEFT(VLOOKUP($D123,'Visu totale'!$D:$DH,AZ$1,0),1)="V",IF(AY123&gt;=INDEX('[1]Définition Maintenances'!$G:$G,MATCH($A123,'[1]Définition Maintenances'!$K:$K,0)),AY123,INDEX('[1]Définition Maintenances'!$G:$G,MATCH($A123,'[1]Définition Maintenances'!$K:$K,0))+AY123),AY123))</f>
        <v>1140</v>
      </c>
      <c r="BA123" s="27">
        <f>IF(ISNUMBER(VLOOKUP($D123,'Visu totale'!$D:$DH,BA$1,0)),AZ123-VLOOKUP($D123,'Visu totale'!$D:$DH,BA$1,0),IF(LEFT(VLOOKUP($D123,'Visu totale'!$D:$DH,BA$1,0),1)="V",IF(AZ123&gt;=INDEX('[1]Définition Maintenances'!$G:$G,MATCH($A123,'[1]Définition Maintenances'!$K:$K,0)),AZ123,INDEX('[1]Définition Maintenances'!$G:$G,MATCH($A123,'[1]Définition Maintenances'!$K:$K,0))+AZ123),AZ123))</f>
        <v>1140</v>
      </c>
      <c r="BB123" s="25">
        <f>IF(ISNUMBER(VLOOKUP($D123,'Visu totale'!$D:$DH,BB$1,0)),BA123-VLOOKUP($D123,'Visu totale'!$D:$DH,BB$1,0),IF(LEFT(VLOOKUP($D123,'Visu totale'!$D:$DH,BB$1,0),1)="V",IF(BA123&gt;=INDEX('[1]Définition Maintenances'!$G:$G,MATCH($A123,'[1]Définition Maintenances'!$K:$K,0)),BA123,INDEX('[1]Définition Maintenances'!$G:$G,MATCH($A123,'[1]Définition Maintenances'!$K:$K,0))+BA123),BA123))</f>
        <v>1140</v>
      </c>
      <c r="BC123" s="26">
        <f>IF(ISNUMBER(VLOOKUP($D123,'Visu totale'!$D:$DH,BC$1,0)),BB123-VLOOKUP($D123,'Visu totale'!$D:$DH,BC$1,0),IF(LEFT(VLOOKUP($D123,'Visu totale'!$D:$DH,BC$1,0),1)="V",IF(BB123&gt;=INDEX('[1]Définition Maintenances'!$G:$G,MATCH($A123,'[1]Définition Maintenances'!$K:$K,0)),BB123,INDEX('[1]Définition Maintenances'!$G:$G,MATCH($A123,'[1]Définition Maintenances'!$K:$K,0))+BB123),BB123))</f>
        <v>1140</v>
      </c>
      <c r="BD123" s="26">
        <f>IF(ISNUMBER(VLOOKUP($D123,'Visu totale'!$D:$DH,BD$1,0)),BC123-VLOOKUP($D123,'Visu totale'!$D:$DH,BD$1,0),IF(LEFT(VLOOKUP($D123,'Visu totale'!$D:$DH,BD$1,0),1)="V",IF(BC123&gt;=INDEX('[1]Définition Maintenances'!$G:$G,MATCH($A123,'[1]Définition Maintenances'!$K:$K,0)),BC123,INDEX('[1]Définition Maintenances'!$G:$G,MATCH($A123,'[1]Définition Maintenances'!$K:$K,0))+BC123),BC123))</f>
        <v>1140</v>
      </c>
      <c r="BE123" s="26">
        <f>IF(ISNUMBER(VLOOKUP($D123,'Visu totale'!$D:$DH,BE$1,0)),BD123-VLOOKUP($D123,'Visu totale'!$D:$DH,BE$1,0),IF(LEFT(VLOOKUP($D123,'Visu totale'!$D:$DH,BE$1,0),1)="V",IF(BD123&gt;=INDEX('[1]Définition Maintenances'!$G:$G,MATCH($A123,'[1]Définition Maintenances'!$K:$K,0)),BD123,INDEX('[1]Définition Maintenances'!$G:$G,MATCH($A123,'[1]Définition Maintenances'!$K:$K,0))+BD123),BD123))</f>
        <v>1140</v>
      </c>
      <c r="BF123" s="26">
        <f>IF(ISNUMBER(VLOOKUP($D123,'Visu totale'!$D:$DH,BF$1,0)),BE123-VLOOKUP($D123,'Visu totale'!$D:$DH,BF$1,0),IF(LEFT(VLOOKUP($D123,'Visu totale'!$D:$DH,BF$1,0),1)="V",IF(BE123&gt;=INDEX('[1]Définition Maintenances'!$G:$G,MATCH($A123,'[1]Définition Maintenances'!$K:$K,0)),BE123,INDEX('[1]Définition Maintenances'!$G:$G,MATCH($A123,'[1]Définition Maintenances'!$K:$K,0))+BE123),BE123))</f>
        <v>1140</v>
      </c>
      <c r="BG123" s="26">
        <f>IF(ISNUMBER(VLOOKUP($D123,'Visu totale'!$D:$DH,BG$1,0)),BF123-VLOOKUP($D123,'Visu totale'!$D:$DH,BG$1,0),IF(LEFT(VLOOKUP($D123,'Visu totale'!$D:$DH,BG$1,0),1)="V",IF(BF123&gt;=INDEX('[1]Définition Maintenances'!$G:$G,MATCH($A123,'[1]Définition Maintenances'!$K:$K,0)),BF123,INDEX('[1]Définition Maintenances'!$G:$G,MATCH($A123,'[1]Définition Maintenances'!$K:$K,0))+BF123),BF123))</f>
        <v>1140</v>
      </c>
      <c r="BH123" s="26">
        <f>IF(ISNUMBER(VLOOKUP($D123,'Visu totale'!$D:$DH,BH$1,0)),BG123-VLOOKUP($D123,'Visu totale'!$D:$DH,BH$1,0),IF(LEFT(VLOOKUP($D123,'Visu totale'!$D:$DH,BH$1,0),1)="V",IF(BG123&gt;=INDEX('[1]Définition Maintenances'!$G:$G,MATCH($A123,'[1]Définition Maintenances'!$K:$K,0)),BG123,INDEX('[1]Définition Maintenances'!$G:$G,MATCH($A123,'[1]Définition Maintenances'!$K:$K,0))+BG123),BG123))</f>
        <v>1140</v>
      </c>
      <c r="BI123" s="26">
        <f>IF(ISNUMBER(VLOOKUP($D123,'Visu totale'!$D:$DH,BI$1,0)),BH123-VLOOKUP($D123,'Visu totale'!$D:$DH,BI$1,0),IF(LEFT(VLOOKUP($D123,'Visu totale'!$D:$DH,BI$1,0),1)="V",IF(BH123&gt;=INDEX('[1]Définition Maintenances'!$G:$G,MATCH($A123,'[1]Définition Maintenances'!$K:$K,0)),BH123,INDEX('[1]Définition Maintenances'!$G:$G,MATCH($A123,'[1]Définition Maintenances'!$K:$K,0))+BH123),BH123))</f>
        <v>1140</v>
      </c>
      <c r="BJ123" s="26">
        <f>IF(ISNUMBER(VLOOKUP($D123,'Visu totale'!$D:$DH,BJ$1,0)),BI123-VLOOKUP($D123,'Visu totale'!$D:$DH,BJ$1,0),IF(LEFT(VLOOKUP($D123,'Visu totale'!$D:$DH,BJ$1,0),1)="V",IF(BI123&gt;=INDEX('[1]Définition Maintenances'!$G:$G,MATCH($A123,'[1]Définition Maintenances'!$K:$K,0)),BI123,INDEX('[1]Définition Maintenances'!$G:$G,MATCH($A123,'[1]Définition Maintenances'!$K:$K,0))+BI123),BI123))</f>
        <v>1140</v>
      </c>
      <c r="BK123" s="26">
        <f>IF(ISNUMBER(VLOOKUP($D123,'Visu totale'!$D:$DH,BK$1,0)),BJ123-VLOOKUP($D123,'Visu totale'!$D:$DH,BK$1,0),IF(LEFT(VLOOKUP($D123,'Visu totale'!$D:$DH,BK$1,0),1)="V",IF(BJ123&gt;=INDEX('[1]Définition Maintenances'!$G:$G,MATCH($A123,'[1]Définition Maintenances'!$K:$K,0)),BJ123,INDEX('[1]Définition Maintenances'!$G:$G,MATCH($A123,'[1]Définition Maintenances'!$K:$K,0))+BJ123),BJ123))</f>
        <v>1140</v>
      </c>
      <c r="BL123" s="26">
        <f>IF(ISNUMBER(VLOOKUP($D123,'Visu totale'!$D:$DH,BL$1,0)),BK123-VLOOKUP($D123,'Visu totale'!$D:$DH,BL$1,0),IF(LEFT(VLOOKUP($D123,'Visu totale'!$D:$DH,BL$1,0),1)="V",IF(BK123&gt;=INDEX('[1]Définition Maintenances'!$G:$G,MATCH($A123,'[1]Définition Maintenances'!$K:$K,0)),BK123,INDEX('[1]Définition Maintenances'!$G:$G,MATCH($A123,'[1]Définition Maintenances'!$K:$K,0))+BK123),BK123))</f>
        <v>1140</v>
      </c>
      <c r="BM123" s="27">
        <f>IF(ISNUMBER(VLOOKUP($D123,'Visu totale'!$D:$DH,BM$1,0)),BL123-VLOOKUP($D123,'Visu totale'!$D:$DH,BM$1,0),IF(LEFT(VLOOKUP($D123,'Visu totale'!$D:$DH,BM$1,0),1)="V",IF(BL123&gt;=INDEX('[1]Définition Maintenances'!$G:$G,MATCH($A123,'[1]Définition Maintenances'!$K:$K,0)),BL123,INDEX('[1]Définition Maintenances'!$G:$G,MATCH($A123,'[1]Définition Maintenances'!$K:$K,0))+BL123),BL123))</f>
        <v>1140</v>
      </c>
      <c r="BN123" s="25">
        <f>IF(ISNUMBER(VLOOKUP($D123,'Visu totale'!$D:$DH,BN$1,0)),BM123-VLOOKUP($D123,'Visu totale'!$D:$DH,BN$1,0),IF(LEFT(VLOOKUP($D123,'Visu totale'!$D:$DH,BN$1,0),1)="V",IF(BM123&gt;=INDEX('[1]Définition Maintenances'!$G:$G,MATCH($A123,'[1]Définition Maintenances'!$K:$K,0)),BM123,INDEX('[1]Définition Maintenances'!$G:$G,MATCH($A123,'[1]Définition Maintenances'!$K:$K,0))+BM123),BM123))</f>
        <v>1140</v>
      </c>
      <c r="BO123" s="26">
        <f>IF(ISNUMBER(VLOOKUP($D123,'Visu totale'!$D:$DH,BO$1,0)),BN123-VLOOKUP($D123,'Visu totale'!$D:$DH,BO$1,0),IF(LEFT(VLOOKUP($D123,'Visu totale'!$D:$DH,BO$1,0),1)="V",IF(BN123&gt;=INDEX('[1]Définition Maintenances'!$G:$G,MATCH($A123,'[1]Définition Maintenances'!$K:$K,0)),BN123,INDEX('[1]Définition Maintenances'!$G:$G,MATCH($A123,'[1]Définition Maintenances'!$K:$K,0))+BN123),BN123))</f>
        <v>1140</v>
      </c>
      <c r="BP123" s="26">
        <f>IF(ISNUMBER(VLOOKUP($D123,'Visu totale'!$D:$DH,BP$1,0)),BO123-VLOOKUP($D123,'Visu totale'!$D:$DH,BP$1,0),IF(LEFT(VLOOKUP($D123,'Visu totale'!$D:$DH,BP$1,0),1)="V",IF(BO123&gt;=INDEX('[1]Définition Maintenances'!$G:$G,MATCH($A123,'[1]Définition Maintenances'!$K:$K,0)),BO123,INDEX('[1]Définition Maintenances'!$G:$G,MATCH($A123,'[1]Définition Maintenances'!$K:$K,0))+BO123),BO123))</f>
        <v>1140</v>
      </c>
      <c r="BQ123" s="26">
        <f>IF(ISNUMBER(VLOOKUP($D123,'Visu totale'!$D:$DH,BQ$1,0)),BP123-VLOOKUP($D123,'Visu totale'!$D:$DH,BQ$1,0),IF(LEFT(VLOOKUP($D123,'Visu totale'!$D:$DH,BQ$1,0),1)="V",IF(BP123&gt;=INDEX('[1]Définition Maintenances'!$G:$G,MATCH($A123,'[1]Définition Maintenances'!$K:$K,0)),BP123,INDEX('[1]Définition Maintenances'!$G:$G,MATCH($A123,'[1]Définition Maintenances'!$K:$K,0))+BP123),BP123))</f>
        <v>1140</v>
      </c>
      <c r="BR123" s="26">
        <f>IF(ISNUMBER(VLOOKUP($D123,'Visu totale'!$D:$DH,BR$1,0)),BQ123-VLOOKUP($D123,'Visu totale'!$D:$DH,BR$1,0),IF(LEFT(VLOOKUP($D123,'Visu totale'!$D:$DH,BR$1,0),1)="V",IF(BQ123&gt;=INDEX('[1]Définition Maintenances'!$G:$G,MATCH($A123,'[1]Définition Maintenances'!$K:$K,0)),BQ123,INDEX('[1]Définition Maintenances'!$G:$G,MATCH($A123,'[1]Définition Maintenances'!$K:$K,0))+BQ123),BQ123))</f>
        <v>1140</v>
      </c>
      <c r="BS123" s="26">
        <f>IF(ISNUMBER(VLOOKUP($D123,'Visu totale'!$D:$DH,BS$1,0)),BR123-VLOOKUP($D123,'Visu totale'!$D:$DH,BS$1,0),IF(LEFT(VLOOKUP($D123,'Visu totale'!$D:$DH,BS$1,0),1)="V",IF(BR123&gt;=INDEX('[1]Définition Maintenances'!$G:$G,MATCH($A123,'[1]Définition Maintenances'!$K:$K,0)),BR123,INDEX('[1]Définition Maintenances'!$G:$G,MATCH($A123,'[1]Définition Maintenances'!$K:$K,0))+BR123),BR123))</f>
        <v>1140</v>
      </c>
      <c r="BT123" s="26">
        <f>IF(ISNUMBER(VLOOKUP($D123,'Visu totale'!$D:$DH,BT$1,0)),BS123-VLOOKUP($D123,'Visu totale'!$D:$DH,BT$1,0),IF(LEFT(VLOOKUP($D123,'Visu totale'!$D:$DH,BT$1,0),1)="V",IF(BS123&gt;=INDEX('[1]Définition Maintenances'!$G:$G,MATCH($A123,'[1]Définition Maintenances'!$K:$K,0)),BS123,INDEX('[1]Définition Maintenances'!$G:$G,MATCH($A123,'[1]Définition Maintenances'!$K:$K,0))+BS123),BS123))</f>
        <v>1140</v>
      </c>
      <c r="BU123" s="26">
        <f>IF(ISNUMBER(VLOOKUP($D123,'Visu totale'!$D:$DH,BU$1,0)),BT123-VLOOKUP($D123,'Visu totale'!$D:$DH,BU$1,0),IF(LEFT(VLOOKUP($D123,'Visu totale'!$D:$DH,BU$1,0),1)="V",IF(BT123&gt;=INDEX('[1]Définition Maintenances'!$G:$G,MATCH($A123,'[1]Définition Maintenances'!$K:$K,0)),BT123,INDEX('[1]Définition Maintenances'!$G:$G,MATCH($A123,'[1]Définition Maintenances'!$K:$K,0))+BT123),BT123))</f>
        <v>1140</v>
      </c>
      <c r="BV123" s="26">
        <f>IF(ISNUMBER(VLOOKUP($D123,'Visu totale'!$D:$DH,BV$1,0)),BU123-VLOOKUP($D123,'Visu totale'!$D:$DH,BV$1,0),IF(LEFT(VLOOKUP($D123,'Visu totale'!$D:$DH,BV$1,0),1)="V",IF(BU123&gt;=INDEX('[1]Définition Maintenances'!$G:$G,MATCH($A123,'[1]Définition Maintenances'!$K:$K,0)),BU123,INDEX('[1]Définition Maintenances'!$G:$G,MATCH($A123,'[1]Définition Maintenances'!$K:$K,0))+BU123),BU123))</f>
        <v>1140</v>
      </c>
      <c r="BW123" s="26">
        <f>IF(ISNUMBER(VLOOKUP($D123,'Visu totale'!$D:$DH,BW$1,0)),BV123-VLOOKUP($D123,'Visu totale'!$D:$DH,BW$1,0),IF(LEFT(VLOOKUP($D123,'Visu totale'!$D:$DH,BW$1,0),1)="V",IF(BV123&gt;=INDEX('[1]Définition Maintenances'!$G:$G,MATCH($A123,'[1]Définition Maintenances'!$K:$K,0)),BV123,INDEX('[1]Définition Maintenances'!$G:$G,MATCH($A123,'[1]Définition Maintenances'!$K:$K,0))+BV123),BV123))</f>
        <v>1140</v>
      </c>
      <c r="BX123" s="26">
        <f>IF(ISNUMBER(VLOOKUP($D123,'Visu totale'!$D:$DH,BX$1,0)),BW123-VLOOKUP($D123,'Visu totale'!$D:$DH,BX$1,0),IF(LEFT(VLOOKUP($D123,'Visu totale'!$D:$DH,BX$1,0),1)="V",IF(BW123&gt;=INDEX('[1]Définition Maintenances'!$G:$G,MATCH($A123,'[1]Définition Maintenances'!$K:$K,0)),BW123,INDEX('[1]Définition Maintenances'!$G:$G,MATCH($A123,'[1]Définition Maintenances'!$K:$K,0))+BW123),BW123))</f>
        <v>1140</v>
      </c>
      <c r="BY123" s="27">
        <f>IF(ISNUMBER(VLOOKUP($D123,'Visu totale'!$D:$DH,BY$1,0)),BX123-VLOOKUP($D123,'Visu totale'!$D:$DH,BY$1,0),IF(LEFT(VLOOKUP($D123,'Visu totale'!$D:$DH,BY$1,0),1)="V",IF(BX123&gt;=INDEX('[1]Définition Maintenances'!$G:$G,MATCH($A123,'[1]Définition Maintenances'!$K:$K,0)),BX123,INDEX('[1]Définition Maintenances'!$G:$G,MATCH($A123,'[1]Définition Maintenances'!$K:$K,0))+BX123),BX123))</f>
        <v>1140</v>
      </c>
      <c r="BZ123" s="25">
        <f>IF(ISNUMBER(VLOOKUP($D123,'Visu totale'!$D:$DH,BZ$1,0)),BY123-VLOOKUP($D123,'Visu totale'!$D:$DH,BZ$1,0),IF(LEFT(VLOOKUP($D123,'Visu totale'!$D:$DH,BZ$1,0),1)="V",IF(BY123&gt;=INDEX('[1]Définition Maintenances'!$G:$G,MATCH($A123,'[1]Définition Maintenances'!$K:$K,0)),BY123,INDEX('[1]Définition Maintenances'!$G:$G,MATCH($A123,'[1]Définition Maintenances'!$K:$K,0))+BY123),BY123))</f>
        <v>1140</v>
      </c>
      <c r="CA123" s="26">
        <f>IF(ISNUMBER(VLOOKUP($D123,'Visu totale'!$D:$DH,CA$1,0)),BZ123-VLOOKUP($D123,'Visu totale'!$D:$DH,CA$1,0),IF(LEFT(VLOOKUP($D123,'Visu totale'!$D:$DH,CA$1,0),1)="V",IF(BZ123&gt;=INDEX('[1]Définition Maintenances'!$G:$G,MATCH($A123,'[1]Définition Maintenances'!$K:$K,0)),BZ123,INDEX('[1]Définition Maintenances'!$G:$G,MATCH($A123,'[1]Définition Maintenances'!$K:$K,0))+BZ123),BZ123))</f>
        <v>1140</v>
      </c>
      <c r="CB123" s="26">
        <f>IF(ISNUMBER(VLOOKUP($D123,'Visu totale'!$D:$DH,CB$1,0)),CA123-VLOOKUP($D123,'Visu totale'!$D:$DH,CB$1,0),IF(LEFT(VLOOKUP($D123,'Visu totale'!$D:$DH,CB$1,0),1)="V",IF(CA123&gt;=INDEX('[1]Définition Maintenances'!$G:$G,MATCH($A123,'[1]Définition Maintenances'!$K:$K,0)),CA123,INDEX('[1]Définition Maintenances'!$G:$G,MATCH($A123,'[1]Définition Maintenances'!$K:$K,0))+CA123),CA123))</f>
        <v>1140</v>
      </c>
      <c r="CC123" s="26">
        <f>IF(ISNUMBER(VLOOKUP($D123,'Visu totale'!$D:$DH,CC$1,0)),CB123-VLOOKUP($D123,'Visu totale'!$D:$DH,CC$1,0),IF(LEFT(VLOOKUP($D123,'Visu totale'!$D:$DH,CC$1,0),1)="V",IF(CB123&gt;=INDEX('[1]Définition Maintenances'!$G:$G,MATCH($A123,'[1]Définition Maintenances'!$K:$K,0)),CB123,INDEX('[1]Définition Maintenances'!$G:$G,MATCH($A123,'[1]Définition Maintenances'!$K:$K,0))+CB123),CB123))</f>
        <v>1140</v>
      </c>
      <c r="CD123" s="26">
        <f>IF(ISNUMBER(VLOOKUP($D123,'Visu totale'!$D:$DH,CD$1,0)),CC123-VLOOKUP($D123,'Visu totale'!$D:$DH,CD$1,0),IF(LEFT(VLOOKUP($D123,'Visu totale'!$D:$DH,CD$1,0),1)="V",IF(CC123&gt;=INDEX('[1]Définition Maintenances'!$G:$G,MATCH($A123,'[1]Définition Maintenances'!$K:$K,0)),CC123,INDEX('[1]Définition Maintenances'!$G:$G,MATCH($A123,'[1]Définition Maintenances'!$K:$K,0))+CC123),CC123))</f>
        <v>1140</v>
      </c>
      <c r="CE123" s="26">
        <f>IF(ISNUMBER(VLOOKUP($D123,'Visu totale'!$D:$DH,CE$1,0)),CD123-VLOOKUP($D123,'Visu totale'!$D:$DH,CE$1,0),IF(LEFT(VLOOKUP($D123,'Visu totale'!$D:$DH,CE$1,0),1)="V",IF(CD123&gt;=INDEX('[1]Définition Maintenances'!$G:$G,MATCH($A123,'[1]Définition Maintenances'!$K:$K,0)),CD123,INDEX('[1]Définition Maintenances'!$G:$G,MATCH($A123,'[1]Définition Maintenances'!$K:$K,0))+CD123),CD123))</f>
        <v>1140</v>
      </c>
      <c r="CF123" s="26">
        <f>IF(ISNUMBER(VLOOKUP($D123,'Visu totale'!$D:$DH,CF$1,0)),CE123-VLOOKUP($D123,'Visu totale'!$D:$DH,CF$1,0),IF(LEFT(VLOOKUP($D123,'Visu totale'!$D:$DH,CF$1,0),1)="V",IF(CE123&gt;=INDEX('[1]Définition Maintenances'!$G:$G,MATCH($A123,'[1]Définition Maintenances'!$K:$K,0)),CE123,INDEX('[1]Définition Maintenances'!$G:$G,MATCH($A123,'[1]Définition Maintenances'!$K:$K,0))+CE123),CE123))</f>
        <v>1140</v>
      </c>
      <c r="CG123" s="26">
        <f>IF(ISNUMBER(VLOOKUP($D123,'Visu totale'!$D:$DH,CG$1,0)),CF123-VLOOKUP($D123,'Visu totale'!$D:$DH,CG$1,0),IF(LEFT(VLOOKUP($D123,'Visu totale'!$D:$DH,CG$1,0),1)="V",IF(CF123&gt;=INDEX('[1]Définition Maintenances'!$G:$G,MATCH($A123,'[1]Définition Maintenances'!$K:$K,0)),CF123,INDEX('[1]Définition Maintenances'!$G:$G,MATCH($A123,'[1]Définition Maintenances'!$K:$K,0))+CF123),CF123))</f>
        <v>1140</v>
      </c>
      <c r="CH123" s="26">
        <f>IF(ISNUMBER(VLOOKUP($D123,'Visu totale'!$D:$DH,CH$1,0)),CG123-VLOOKUP($D123,'Visu totale'!$D:$DH,CH$1,0),IF(LEFT(VLOOKUP($D123,'Visu totale'!$D:$DH,CH$1,0),1)="V",IF(CG123&gt;=INDEX('[1]Définition Maintenances'!$G:$G,MATCH($A123,'[1]Définition Maintenances'!$K:$K,0)),CG123,INDEX('[1]Définition Maintenances'!$G:$G,MATCH($A123,'[1]Définition Maintenances'!$K:$K,0))+CG123),CG123))</f>
        <v>1140</v>
      </c>
      <c r="CI123" s="26">
        <f>IF(ISNUMBER(VLOOKUP($D123,'Visu totale'!$D:$DH,CI$1,0)),CH123-VLOOKUP($D123,'Visu totale'!$D:$DH,CI$1,0),IF(LEFT(VLOOKUP($D123,'Visu totale'!$D:$DH,CI$1,0),1)="V",IF(CH123&gt;=INDEX('[1]Définition Maintenances'!$G:$G,MATCH($A123,'[1]Définition Maintenances'!$K:$K,0)),CH123,INDEX('[1]Définition Maintenances'!$G:$G,MATCH($A123,'[1]Définition Maintenances'!$K:$K,0))+CH123),CH123))</f>
        <v>1140</v>
      </c>
      <c r="CJ123" s="26">
        <f>IF(ISNUMBER(VLOOKUP($D123,'Visu totale'!$D:$DH,CJ$1,0)),CI123-VLOOKUP($D123,'Visu totale'!$D:$DH,CJ$1,0),IF(LEFT(VLOOKUP($D123,'Visu totale'!$D:$DH,CJ$1,0),1)="V",IF(CI123&gt;=INDEX('[1]Définition Maintenances'!$G:$G,MATCH($A123,'[1]Définition Maintenances'!$K:$K,0)),CI123,INDEX('[1]Définition Maintenances'!$G:$G,MATCH($A123,'[1]Définition Maintenances'!$K:$K,0))+CI123),CI123))</f>
        <v>1140</v>
      </c>
      <c r="CK123" s="27">
        <f>IF(ISNUMBER(VLOOKUP($D123,'Visu totale'!$D:$DH,CK$1,0)),CJ123-VLOOKUP($D123,'Visu totale'!$D:$DH,CK$1,0),IF(LEFT(VLOOKUP($D123,'Visu totale'!$D:$DH,CK$1,0),1)="V",IF(CJ123&gt;=INDEX('[1]Définition Maintenances'!$G:$G,MATCH($A123,'[1]Définition Maintenances'!$K:$K,0)),CJ123,INDEX('[1]Définition Maintenances'!$G:$G,MATCH($A123,'[1]Définition Maintenances'!$K:$K,0))+CJ123),CJ123))</f>
        <v>1140</v>
      </c>
      <c r="CL123" s="25">
        <f>IF(ISNUMBER(VLOOKUP($D123,'Visu totale'!$D:$DH,CL$1,0)),CK123-VLOOKUP($D123,'Visu totale'!$D:$DH,CL$1,0),IF(LEFT(VLOOKUP($D123,'Visu totale'!$D:$DH,CL$1,0),1)="V",IF(CK123&gt;=INDEX('[1]Définition Maintenances'!$G:$G,MATCH($A123,'[1]Définition Maintenances'!$K:$K,0)),CK123,INDEX('[1]Définition Maintenances'!$G:$G,MATCH($A123,'[1]Définition Maintenances'!$K:$K,0))+CK123),CK123))</f>
        <v>1140</v>
      </c>
      <c r="CM123" s="26">
        <f>IF(ISNUMBER(VLOOKUP($D123,'Visu totale'!$D:$DH,CM$1,0)),CL123-VLOOKUP($D123,'Visu totale'!$D:$DH,CM$1,0),IF(LEFT(VLOOKUP($D123,'Visu totale'!$D:$DH,CM$1,0),1)="V",IF(CL123&gt;=INDEX('[1]Définition Maintenances'!$G:$G,MATCH($A123,'[1]Définition Maintenances'!$K:$K,0)),CL123,INDEX('[1]Définition Maintenances'!$G:$G,MATCH($A123,'[1]Définition Maintenances'!$K:$K,0))+CL123),CL123))</f>
        <v>1140</v>
      </c>
      <c r="CN123" s="26">
        <f>IF(ISNUMBER(VLOOKUP($D123,'Visu totale'!$D:$DH,CN$1,0)),CM123-VLOOKUP($D123,'Visu totale'!$D:$DH,CN$1,0),IF(LEFT(VLOOKUP($D123,'Visu totale'!$D:$DH,CN$1,0),1)="V",IF(CM123&gt;=INDEX('[1]Définition Maintenances'!$G:$G,MATCH($A123,'[1]Définition Maintenances'!$K:$K,0)),CM123,INDEX('[1]Définition Maintenances'!$G:$G,MATCH($A123,'[1]Définition Maintenances'!$K:$K,0))+CM123),CM123))</f>
        <v>1140</v>
      </c>
      <c r="CO123" s="26">
        <f>IF(ISNUMBER(VLOOKUP($D123,'Visu totale'!$D:$DH,CO$1,0)),CN123-VLOOKUP($D123,'Visu totale'!$D:$DH,CO$1,0),IF(LEFT(VLOOKUP($D123,'Visu totale'!$D:$DH,CO$1,0),1)="V",IF(CN123&gt;=INDEX('[1]Définition Maintenances'!$G:$G,MATCH($A123,'[1]Définition Maintenances'!$K:$K,0)),CN123,INDEX('[1]Définition Maintenances'!$G:$G,MATCH($A123,'[1]Définition Maintenances'!$K:$K,0))+CN123),CN123))</f>
        <v>1140</v>
      </c>
      <c r="CP123" s="26">
        <f>IF(ISNUMBER(VLOOKUP($D123,'Visu totale'!$D:$DH,CP$1,0)),CO123-VLOOKUP($D123,'Visu totale'!$D:$DH,CP$1,0),IF(LEFT(VLOOKUP($D123,'Visu totale'!$D:$DH,CP$1,0),1)="V",IF(CO123&gt;=INDEX('[1]Définition Maintenances'!$G:$G,MATCH($A123,'[1]Définition Maintenances'!$K:$K,0)),CO123,INDEX('[1]Définition Maintenances'!$G:$G,MATCH($A123,'[1]Définition Maintenances'!$K:$K,0))+CO123),CO123))</f>
        <v>1140</v>
      </c>
      <c r="CQ123" s="26">
        <f>IF(ISNUMBER(VLOOKUP($D123,'Visu totale'!$D:$DH,CQ$1,0)),CP123-VLOOKUP($D123,'Visu totale'!$D:$DH,CQ$1,0),IF(LEFT(VLOOKUP($D123,'Visu totale'!$D:$DH,CQ$1,0),1)="V",IF(CP123&gt;=INDEX('[1]Définition Maintenances'!$G:$G,MATCH($A123,'[1]Définition Maintenances'!$K:$K,0)),CP123,INDEX('[1]Définition Maintenances'!$G:$G,MATCH($A123,'[1]Définition Maintenances'!$K:$K,0))+CP123),CP123))</f>
        <v>1140</v>
      </c>
      <c r="CR123" s="26">
        <f>IF(ISNUMBER(VLOOKUP($D123,'Visu totale'!$D:$DH,CR$1,0)),CQ123-VLOOKUP($D123,'Visu totale'!$D:$DH,CR$1,0),IF(LEFT(VLOOKUP($D123,'Visu totale'!$D:$DH,CR$1,0),1)="V",IF(CQ123&gt;=INDEX('[1]Définition Maintenances'!$G:$G,MATCH($A123,'[1]Définition Maintenances'!$K:$K,0)),CQ123,INDEX('[1]Définition Maintenances'!$G:$G,MATCH($A123,'[1]Définition Maintenances'!$K:$K,0))+CQ123),CQ123))</f>
        <v>1140</v>
      </c>
      <c r="CS123" s="26">
        <f>IF(ISNUMBER(VLOOKUP($D123,'Visu totale'!$D:$DH,CS$1,0)),CR123-VLOOKUP($D123,'Visu totale'!$D:$DH,CS$1,0),IF(LEFT(VLOOKUP($D123,'Visu totale'!$D:$DH,CS$1,0),1)="V",IF(CR123&gt;=INDEX('[1]Définition Maintenances'!$G:$G,MATCH($A123,'[1]Définition Maintenances'!$K:$K,0)),CR123,INDEX('[1]Définition Maintenances'!$G:$G,MATCH($A123,'[1]Définition Maintenances'!$K:$K,0))+CR123),CR123))</f>
        <v>1140</v>
      </c>
      <c r="CT123" s="26">
        <f>IF(ISNUMBER(VLOOKUP($D123,'Visu totale'!$D:$DH,CT$1,0)),CS123-VLOOKUP($D123,'Visu totale'!$D:$DH,CT$1,0),IF(LEFT(VLOOKUP($D123,'Visu totale'!$D:$DH,CT$1,0),1)="V",IF(CS123&gt;=INDEX('[1]Définition Maintenances'!$G:$G,MATCH($A123,'[1]Définition Maintenances'!$K:$K,0)),CS123,INDEX('[1]Définition Maintenances'!$G:$G,MATCH($A123,'[1]Définition Maintenances'!$K:$K,0))+CS123),CS123))</f>
        <v>1140</v>
      </c>
      <c r="CU123" s="26">
        <f>IF(ISNUMBER(VLOOKUP($D123,'Visu totale'!$D:$DH,CU$1,0)),CT123-VLOOKUP($D123,'Visu totale'!$D:$DH,CU$1,0),IF(LEFT(VLOOKUP($D123,'Visu totale'!$D:$DH,CU$1,0),1)="V",IF(CT123&gt;=INDEX('[1]Définition Maintenances'!$G:$G,MATCH($A123,'[1]Définition Maintenances'!$K:$K,0)),CT123,INDEX('[1]Définition Maintenances'!$G:$G,MATCH($A123,'[1]Définition Maintenances'!$K:$K,0))+CT123),CT123))</f>
        <v>1140</v>
      </c>
      <c r="CV123" s="26">
        <f>IF(ISNUMBER(VLOOKUP($D123,'Visu totale'!$D:$DH,CV$1,0)),CU123-VLOOKUP($D123,'Visu totale'!$D:$DH,CV$1,0),IF(LEFT(VLOOKUP($D123,'Visu totale'!$D:$DH,CV$1,0),1)="V",IF(CU123&gt;=INDEX('[1]Définition Maintenances'!$G:$G,MATCH($A123,'[1]Définition Maintenances'!$K:$K,0)),CU123,INDEX('[1]Définition Maintenances'!$G:$G,MATCH($A123,'[1]Définition Maintenances'!$K:$K,0))+CU123),CU123))</f>
        <v>1140</v>
      </c>
      <c r="CW123" s="27">
        <f>IF(ISNUMBER(VLOOKUP($D123,'Visu totale'!$D:$DH,CW$1,0)),CV123-VLOOKUP($D123,'Visu totale'!$D:$DH,CW$1,0),IF(LEFT(VLOOKUP($D123,'Visu totale'!$D:$DH,CW$1,0),1)="V",IF(CV123&gt;=INDEX('[1]Définition Maintenances'!$G:$G,MATCH($A123,'[1]Définition Maintenances'!$K:$K,0)),CV123,INDEX('[1]Définition Maintenances'!$G:$G,MATCH($A123,'[1]Définition Maintenances'!$K:$K,0))+CV123),CV123))</f>
        <v>1140</v>
      </c>
      <c r="CX123" s="25">
        <f>IF(ISNUMBER(VLOOKUP($D123,'Visu totale'!$D:$DH,CX$1,0)),CW123-VLOOKUP($D123,'Visu totale'!$D:$DH,CX$1,0),IF(LEFT(VLOOKUP($D123,'Visu totale'!$D:$DH,CX$1,0),1)="V",IF(CW123&gt;=INDEX('[1]Définition Maintenances'!$G:$G,MATCH($A123,'[1]Définition Maintenances'!$K:$K,0)),CW123,INDEX('[1]Définition Maintenances'!$G:$G,MATCH($A123,'[1]Définition Maintenances'!$K:$K,0))+CW123),CW123))</f>
        <v>1140</v>
      </c>
      <c r="CY123" s="26">
        <f>IF(ISNUMBER(VLOOKUP($D123,'Visu totale'!$D:$DH,CY$1,0)),CX123-VLOOKUP($D123,'Visu totale'!$D:$DH,CY$1,0),IF(LEFT(VLOOKUP($D123,'Visu totale'!$D:$DH,CY$1,0),1)="V",IF(CX123&gt;=INDEX('[1]Définition Maintenances'!$G:$G,MATCH($A123,'[1]Définition Maintenances'!$K:$K,0)),CX123,INDEX('[1]Définition Maintenances'!$G:$G,MATCH($A123,'[1]Définition Maintenances'!$K:$K,0))+CX123),CX123))</f>
        <v>1140</v>
      </c>
      <c r="CZ123" s="26">
        <f>IF(ISNUMBER(VLOOKUP($D123,'Visu totale'!$D:$DH,CZ$1,0)),CY123-VLOOKUP($D123,'Visu totale'!$D:$DH,CZ$1,0),IF(LEFT(VLOOKUP($D123,'Visu totale'!$D:$DH,CZ$1,0),1)="V",IF(CY123&gt;=INDEX('[1]Définition Maintenances'!$G:$G,MATCH($A123,'[1]Définition Maintenances'!$K:$K,0)),CY123,INDEX('[1]Définition Maintenances'!$G:$G,MATCH($A123,'[1]Définition Maintenances'!$K:$K,0))+CY123),CY123))</f>
        <v>1140</v>
      </c>
      <c r="DA123" s="26">
        <f>IF(ISNUMBER(VLOOKUP($D123,'Visu totale'!$D:$DH,DA$1,0)),CZ123-VLOOKUP($D123,'Visu totale'!$D:$DH,DA$1,0),IF(LEFT(VLOOKUP($D123,'Visu totale'!$D:$DH,DA$1,0),1)="V",IF(CZ123&gt;=INDEX('[1]Définition Maintenances'!$G:$G,MATCH($A123,'[1]Définition Maintenances'!$K:$K,0)),CZ123,INDEX('[1]Définition Maintenances'!$G:$G,MATCH($A123,'[1]Définition Maintenances'!$K:$K,0))+CZ123),CZ123))</f>
        <v>1140</v>
      </c>
      <c r="DB123" s="26">
        <f>IF(ISNUMBER(VLOOKUP($D123,'Visu totale'!$D:$DH,DB$1,0)),DA123-VLOOKUP($D123,'Visu totale'!$D:$DH,DB$1,0),IF(LEFT(VLOOKUP($D123,'Visu totale'!$D:$DH,DB$1,0),1)="V",IF(DA123&gt;=INDEX('[1]Définition Maintenances'!$G:$G,MATCH($A123,'[1]Définition Maintenances'!$K:$K,0)),DA123,INDEX('[1]Définition Maintenances'!$G:$G,MATCH($A123,'[1]Définition Maintenances'!$K:$K,0))+DA123),DA123))</f>
        <v>1140</v>
      </c>
      <c r="DC123" s="26">
        <f>IF(ISNUMBER(VLOOKUP($D123,'Visu totale'!$D:$DH,DC$1,0)),DB123-VLOOKUP($D123,'Visu totale'!$D:$DH,DC$1,0),IF(LEFT(VLOOKUP($D123,'Visu totale'!$D:$DH,DC$1,0),1)="V",IF(DB123&gt;=INDEX('[1]Définition Maintenances'!$G:$G,MATCH($A123,'[1]Définition Maintenances'!$K:$K,0)),DB123,INDEX('[1]Définition Maintenances'!$G:$G,MATCH($A123,'[1]Définition Maintenances'!$K:$K,0))+DB123),DB123))</f>
        <v>1140</v>
      </c>
      <c r="DD123" s="26">
        <f>IF(ISNUMBER(VLOOKUP($D123,'Visu totale'!$D:$DH,DD$1,0)),DC123-VLOOKUP($D123,'Visu totale'!$D:$DH,DD$1,0),IF(LEFT(VLOOKUP($D123,'Visu totale'!$D:$DH,DD$1,0),1)="V",IF(DC123&gt;=INDEX('[1]Définition Maintenances'!$G:$G,MATCH($A123,'[1]Définition Maintenances'!$K:$K,0)),DC123,INDEX('[1]Définition Maintenances'!$G:$G,MATCH($A123,'[1]Définition Maintenances'!$K:$K,0))+DC123),DC123))</f>
        <v>1140</v>
      </c>
      <c r="DE123" s="26">
        <f>IF(ISNUMBER(VLOOKUP($D123,'Visu totale'!$D:$DH,DE$1,0)),DD123-VLOOKUP($D123,'Visu totale'!$D:$DH,DE$1,0),IF(LEFT(VLOOKUP($D123,'Visu totale'!$D:$DH,DE$1,0),1)="V",IF(DD123&gt;=INDEX('[1]Définition Maintenances'!$G:$G,MATCH($A123,'[1]Définition Maintenances'!$K:$K,0)),DD123,INDEX('[1]Définition Maintenances'!$G:$G,MATCH($A123,'[1]Définition Maintenances'!$K:$K,0))+DD123),DD123))</f>
        <v>1140</v>
      </c>
      <c r="DF123" s="26">
        <f>IF(ISNUMBER(VLOOKUP($D123,'Visu totale'!$D:$DH,DF$1,0)),DE123-VLOOKUP($D123,'Visu totale'!$D:$DH,DF$1,0),IF(LEFT(VLOOKUP($D123,'Visu totale'!$D:$DH,DF$1,0),1)="V",IF(DE123&gt;=INDEX('[1]Définition Maintenances'!$G:$G,MATCH($A123,'[1]Définition Maintenances'!$K:$K,0)),DE123,INDEX('[1]Définition Maintenances'!$G:$G,MATCH($A123,'[1]Définition Maintenances'!$K:$K,0))+DE123),DE123))</f>
        <v>1140</v>
      </c>
      <c r="DG123" s="26">
        <f>IF(ISNUMBER(VLOOKUP($D123,'Visu totale'!$D:$DH,DG$1,0)),DF123-VLOOKUP($D123,'Visu totale'!$D:$DH,DG$1,0),IF(LEFT(VLOOKUP($D123,'Visu totale'!$D:$DH,DG$1,0),1)="V",IF(DF123&gt;=INDEX('[1]Définition Maintenances'!$G:$G,MATCH($A123,'[1]Définition Maintenances'!$K:$K,0)),DF123,INDEX('[1]Définition Maintenances'!$G:$G,MATCH($A123,'[1]Définition Maintenances'!$K:$K,0))+DF123),DF123))</f>
        <v>1140</v>
      </c>
      <c r="DH123" s="26">
        <f>IF(ISNUMBER(VLOOKUP($D123,'Visu totale'!$D:$DH,DH$1,0)),DG123-VLOOKUP($D123,'Visu totale'!$D:$DH,DH$1,0),IF(LEFT(VLOOKUP($D123,'Visu totale'!$D:$DH,DH$1,0),1)="V",IF(DG123&gt;=INDEX('[1]Définition Maintenances'!$G:$G,MATCH($A123,'[1]Définition Maintenances'!$K:$K,0)),DG123,INDEX('[1]Définition Maintenances'!$G:$G,MATCH($A123,'[1]Définition Maintenances'!$K:$K,0))+DG123),DG123))</f>
        <v>1140</v>
      </c>
      <c r="DI123" s="27">
        <f>IF(ISNUMBER(VLOOKUP($D123,'Visu totale'!$D:$DH,DI$1,0)),DH123-VLOOKUP($D123,'Visu totale'!$D:$DH,DI$1,0),IF(LEFT(VLOOKUP($D123,'Visu totale'!$D:$DH,DI$1,0),1)="V",IF(DH123&gt;=INDEX('[1]Définition Maintenances'!$G:$G,MATCH($A123,'[1]Définition Maintenances'!$K:$K,0)),DH123,INDEX('[1]Définition Maintenances'!$G:$G,MATCH($A123,'[1]Définition Maintenances'!$K:$K,0))+DH123),DH123))</f>
        <v>1140</v>
      </c>
    </row>
    <row r="124" spans="1:113" x14ac:dyDescent="0.25">
      <c r="A124" s="13" t="str">
        <f t="shared" si="3"/>
        <v>V55</v>
      </c>
      <c r="B124" s="13" t="str">
        <f>VLOOKUP(D124,'[1]Avions (Potentiels)'!$B$2:$H$128,7,FALSE)</f>
        <v>V5</v>
      </c>
      <c r="C124" s="13"/>
      <c r="D124" s="16" t="s">
        <v>127</v>
      </c>
      <c r="E124" s="13">
        <f>IFERROR(VALUE(SUBSTITUTE(VLOOKUP(D124,'[1]Avions (Potentiels)'!$B:$E,4,0),".",",")),VALUE(VLOOKUP(D124,'[1]Avions (Potentiels)'!$B:$E,4,0)))</f>
        <v>220</v>
      </c>
      <c r="F124" s="25">
        <f>IF(ISNUMBER(VLOOKUP($D124,'Visu totale'!$D:$DH,F$1,0)),E124-VLOOKUP($D124,'Visu totale'!$D:$DH,F$1,0),IF(LEFT(VLOOKUP($D124,'Visu totale'!$D:$DH,F$1,0),1)="V",IF(E124&gt;=INDEX('[1]Définition Maintenances'!$G:$G,MATCH($A124,'[1]Définition Maintenances'!$K:$K,0)),E124,INDEX('[1]Définition Maintenances'!$G:$G,MATCH($A124,'[1]Définition Maintenances'!$K:$K,0))+E124),E124))</f>
        <v>220</v>
      </c>
      <c r="G124" s="26">
        <f>IF(ISNUMBER(VLOOKUP($D124,'Visu totale'!$D:$DH,G$1,0)),F124-VLOOKUP($D124,'Visu totale'!$D:$DH,G$1,0),IF(LEFT(VLOOKUP($D124,'Visu totale'!$D:$DH,G$1,0),1)="V",IF(F124&gt;=INDEX('[1]Définition Maintenances'!$G:$G,MATCH($A124,'[1]Définition Maintenances'!$K:$K,0)),F124,INDEX('[1]Définition Maintenances'!$G:$G,MATCH($A124,'[1]Définition Maintenances'!$K:$K,0))+F124),F124))</f>
        <v>220</v>
      </c>
      <c r="H124" s="26">
        <f>IF(ISNUMBER(VLOOKUP($D124,'Visu totale'!$D:$DH,H$1,0)),G124-VLOOKUP($D124,'Visu totale'!$D:$DH,H$1,0),IF(LEFT(VLOOKUP($D124,'Visu totale'!$D:$DH,H$1,0),1)="V",IF(G124&gt;=INDEX('[1]Définition Maintenances'!$G:$G,MATCH($A124,'[1]Définition Maintenances'!$K:$K,0)),G124,INDEX('[1]Définition Maintenances'!$G:$G,MATCH($A124,'[1]Définition Maintenances'!$K:$K,0))+G124),G124))</f>
        <v>220</v>
      </c>
      <c r="I124" s="26">
        <f>IF(ISNUMBER(VLOOKUP($D124,'Visu totale'!$D:$DH,I$1,0)),H124-VLOOKUP($D124,'Visu totale'!$D:$DH,I$1,0),IF(LEFT(VLOOKUP($D124,'Visu totale'!$D:$DH,I$1,0),1)="V",IF(H124&gt;=INDEX('[1]Définition Maintenances'!$G:$G,MATCH($A124,'[1]Définition Maintenances'!$K:$K,0)),H124,INDEX('[1]Définition Maintenances'!$G:$G,MATCH($A124,'[1]Définition Maintenances'!$K:$K,0))+H124),H124))</f>
        <v>220</v>
      </c>
      <c r="J124" s="26">
        <f>IF(ISNUMBER(VLOOKUP($D124,'Visu totale'!$D:$DH,J$1,0)),I124-VLOOKUP($D124,'Visu totale'!$D:$DH,J$1,0),IF(LEFT(VLOOKUP($D124,'Visu totale'!$D:$DH,J$1,0),1)="V",IF(I124&gt;=INDEX('[1]Définition Maintenances'!$G:$G,MATCH($A124,'[1]Définition Maintenances'!$K:$K,0)),I124,INDEX('[1]Définition Maintenances'!$G:$G,MATCH($A124,'[1]Définition Maintenances'!$K:$K,0))+I124),I124))</f>
        <v>220</v>
      </c>
      <c r="K124" s="26">
        <f>IF(ISNUMBER(VLOOKUP($D124,'Visu totale'!$D:$DH,K$1,0)),J124-VLOOKUP($D124,'Visu totale'!$D:$DH,K$1,0),IF(LEFT(VLOOKUP($D124,'Visu totale'!$D:$DH,K$1,0),1)="V",IF(J124&gt;=INDEX('[1]Définition Maintenances'!$G:$G,MATCH($A124,'[1]Définition Maintenances'!$K:$K,0)),J124,INDEX('[1]Définition Maintenances'!$G:$G,MATCH($A124,'[1]Définition Maintenances'!$K:$K,0))+J124),J124))</f>
        <v>220</v>
      </c>
      <c r="L124" s="26">
        <f>IF(ISNUMBER(VLOOKUP($D124,'Visu totale'!$D:$DH,L$1,0)),K124-VLOOKUP($D124,'Visu totale'!$D:$DH,L$1,0),IF(LEFT(VLOOKUP($D124,'Visu totale'!$D:$DH,L$1,0),1)="V",IF(K124&gt;=INDEX('[1]Définition Maintenances'!$G:$G,MATCH($A124,'[1]Définition Maintenances'!$K:$K,0)),K124,INDEX('[1]Définition Maintenances'!$G:$G,MATCH($A124,'[1]Définition Maintenances'!$K:$K,0))+K124),K124))</f>
        <v>220</v>
      </c>
      <c r="M124" s="26">
        <f>IF(ISNUMBER(VLOOKUP($D124,'Visu totale'!$D:$DH,M$1,0)),L124-VLOOKUP($D124,'Visu totale'!$D:$DH,M$1,0),IF(LEFT(VLOOKUP($D124,'Visu totale'!$D:$DH,M$1,0),1)="V",IF(L124&gt;=INDEX('[1]Définition Maintenances'!$G:$G,MATCH($A124,'[1]Définition Maintenances'!$K:$K,0)),L124,INDEX('[1]Définition Maintenances'!$G:$G,MATCH($A124,'[1]Définition Maintenances'!$K:$K,0))+L124),L124))</f>
        <v>220</v>
      </c>
      <c r="N124" s="26">
        <f>IF(ISNUMBER(VLOOKUP($D124,'Visu totale'!$D:$DH,N$1,0)),M124-VLOOKUP($D124,'Visu totale'!$D:$DH,N$1,0),IF(LEFT(VLOOKUP($D124,'Visu totale'!$D:$DH,N$1,0),1)="V",IF(M124&gt;=INDEX('[1]Définition Maintenances'!$G:$G,MATCH($A124,'[1]Définition Maintenances'!$K:$K,0)),M124,INDEX('[1]Définition Maintenances'!$G:$G,MATCH($A124,'[1]Définition Maintenances'!$K:$K,0))+M124),M124))</f>
        <v>220</v>
      </c>
      <c r="O124" s="26">
        <f>IF(ISNUMBER(VLOOKUP($D124,'Visu totale'!$D:$DH,O$1,0)),N124-VLOOKUP($D124,'Visu totale'!$D:$DH,O$1,0),IF(LEFT(VLOOKUP($D124,'Visu totale'!$D:$DH,O$1,0),1)="V",IF(N124&gt;=INDEX('[1]Définition Maintenances'!$G:$G,MATCH($A124,'[1]Définition Maintenances'!$K:$K,0)),N124,INDEX('[1]Définition Maintenances'!$G:$G,MATCH($A124,'[1]Définition Maintenances'!$K:$K,0))+N124),N124))</f>
        <v>220</v>
      </c>
      <c r="P124" s="26">
        <f>IF(ISNUMBER(VLOOKUP($D124,'Visu totale'!$D:$DH,P$1,0)),O124-VLOOKUP($D124,'Visu totale'!$D:$DH,P$1,0),IF(LEFT(VLOOKUP($D124,'Visu totale'!$D:$DH,P$1,0),1)="V",IF(O124&gt;=INDEX('[1]Définition Maintenances'!$G:$G,MATCH($A124,'[1]Définition Maintenances'!$K:$K,0)),O124,INDEX('[1]Définition Maintenances'!$G:$G,MATCH($A124,'[1]Définition Maintenances'!$K:$K,0))+O124),O124))</f>
        <v>220</v>
      </c>
      <c r="Q124" s="27">
        <f>IF(ISNUMBER(VLOOKUP($D124,'Visu totale'!$D:$DH,Q$1,0)),P124-VLOOKUP($D124,'Visu totale'!$D:$DH,Q$1,0),IF(LEFT(VLOOKUP($D124,'Visu totale'!$D:$DH,Q$1,0),1)="V",IF(P124&gt;=INDEX('[1]Définition Maintenances'!$G:$G,MATCH($A124,'[1]Définition Maintenances'!$K:$K,0)),P124,INDEX('[1]Définition Maintenances'!$G:$G,MATCH($A124,'[1]Définition Maintenances'!$K:$K,0))+P124),P124))</f>
        <v>220</v>
      </c>
      <c r="R124" s="25">
        <f>IF(ISNUMBER(VLOOKUP($D124,'Visu totale'!$D:$DH,R$1,0)),Q124-VLOOKUP($D124,'Visu totale'!$D:$DH,R$1,0),IF(LEFT(VLOOKUP($D124,'Visu totale'!$D:$DH,R$1,0),1)="V",IF(Q124&gt;=INDEX('[1]Définition Maintenances'!$G:$G,MATCH($A124,'[1]Définition Maintenances'!$K:$K,0)),Q124,INDEX('[1]Définition Maintenances'!$G:$G,MATCH($A124,'[1]Définition Maintenances'!$K:$K,0))+Q124),Q124))</f>
        <v>220</v>
      </c>
      <c r="S124" s="26">
        <f>IF(ISNUMBER(VLOOKUP($D124,'Visu totale'!$D:$DH,S$1,0)),R124-VLOOKUP($D124,'Visu totale'!$D:$DH,S$1,0),IF(LEFT(VLOOKUP($D124,'Visu totale'!$D:$DH,S$1,0),1)="V",IF(R124&gt;=INDEX('[1]Définition Maintenances'!$G:$G,MATCH($A124,'[1]Définition Maintenances'!$K:$K,0)),R124,INDEX('[1]Définition Maintenances'!$G:$G,MATCH($A124,'[1]Définition Maintenances'!$K:$K,0))+R124),R124))</f>
        <v>220</v>
      </c>
      <c r="T124" s="26">
        <f>IF(ISNUMBER(VLOOKUP($D124,'Visu totale'!$D:$DH,T$1,0)),S124-VLOOKUP($D124,'Visu totale'!$D:$DH,T$1,0),IF(LEFT(VLOOKUP($D124,'Visu totale'!$D:$DH,T$1,0),1)="V",IF(S124&gt;=INDEX('[1]Définition Maintenances'!$G:$G,MATCH($A124,'[1]Définition Maintenances'!$K:$K,0)),S124,INDEX('[1]Définition Maintenances'!$G:$G,MATCH($A124,'[1]Définition Maintenances'!$K:$K,0))+S124),S124))</f>
        <v>220</v>
      </c>
      <c r="U124" s="26">
        <f>IF(ISNUMBER(VLOOKUP($D124,'Visu totale'!$D:$DH,U$1,0)),T124-VLOOKUP($D124,'Visu totale'!$D:$DH,U$1,0),IF(LEFT(VLOOKUP($D124,'Visu totale'!$D:$DH,U$1,0),1)="V",IF(T124&gt;=INDEX('[1]Définition Maintenances'!$G:$G,MATCH($A124,'[1]Définition Maintenances'!$K:$K,0)),T124,INDEX('[1]Définition Maintenances'!$G:$G,MATCH($A124,'[1]Définition Maintenances'!$K:$K,0))+T124),T124))</f>
        <v>220</v>
      </c>
      <c r="V124" s="26">
        <f>IF(ISNUMBER(VLOOKUP($D124,'Visu totale'!$D:$DH,V$1,0)),U124-VLOOKUP($D124,'Visu totale'!$D:$DH,V$1,0),IF(LEFT(VLOOKUP($D124,'Visu totale'!$D:$DH,V$1,0),1)="V",IF(U124&gt;=INDEX('[1]Définition Maintenances'!$G:$G,MATCH($A124,'[1]Définition Maintenances'!$K:$K,0)),U124,INDEX('[1]Définition Maintenances'!$G:$G,MATCH($A124,'[1]Définition Maintenances'!$K:$K,0))+U124),U124))</f>
        <v>220</v>
      </c>
      <c r="W124" s="26">
        <f>IF(ISNUMBER(VLOOKUP($D124,'Visu totale'!$D:$DH,W$1,0)),V124-VLOOKUP($D124,'Visu totale'!$D:$DH,W$1,0),IF(LEFT(VLOOKUP($D124,'Visu totale'!$D:$DH,W$1,0),1)="V",IF(V124&gt;=INDEX('[1]Définition Maintenances'!$G:$G,MATCH($A124,'[1]Définition Maintenances'!$K:$K,0)),V124,INDEX('[1]Définition Maintenances'!$G:$G,MATCH($A124,'[1]Définition Maintenances'!$K:$K,0))+V124),V124))</f>
        <v>220</v>
      </c>
      <c r="X124" s="26">
        <f>IF(ISNUMBER(VLOOKUP($D124,'Visu totale'!$D:$DH,X$1,0)),W124-VLOOKUP($D124,'Visu totale'!$D:$DH,X$1,0),IF(LEFT(VLOOKUP($D124,'Visu totale'!$D:$DH,X$1,0),1)="V",IF(W124&gt;=INDEX('[1]Définition Maintenances'!$G:$G,MATCH($A124,'[1]Définition Maintenances'!$K:$K,0)),W124,INDEX('[1]Définition Maintenances'!$G:$G,MATCH($A124,'[1]Définition Maintenances'!$K:$K,0))+W124),W124))</f>
        <v>220</v>
      </c>
      <c r="Y124" s="26">
        <f>IF(ISNUMBER(VLOOKUP($D124,'Visu totale'!$D:$DH,Y$1,0)),X124-VLOOKUP($D124,'Visu totale'!$D:$DH,Y$1,0),IF(LEFT(VLOOKUP($D124,'Visu totale'!$D:$DH,Y$1,0),1)="V",IF(X124&gt;=INDEX('[1]Définition Maintenances'!$G:$G,MATCH($A124,'[1]Définition Maintenances'!$K:$K,0)),X124,INDEX('[1]Définition Maintenances'!$G:$G,MATCH($A124,'[1]Définition Maintenances'!$K:$K,0))+X124),X124))</f>
        <v>220</v>
      </c>
      <c r="Z124" s="26">
        <f>IF(ISNUMBER(VLOOKUP($D124,'Visu totale'!$D:$DH,Z$1,0)),Y124-VLOOKUP($D124,'Visu totale'!$D:$DH,Z$1,0),IF(LEFT(VLOOKUP($D124,'Visu totale'!$D:$DH,Z$1,0),1)="V",IF(Y124&gt;=INDEX('[1]Définition Maintenances'!$G:$G,MATCH($A124,'[1]Définition Maintenances'!$K:$K,0)),Y124,INDEX('[1]Définition Maintenances'!$G:$G,MATCH($A124,'[1]Définition Maintenances'!$K:$K,0))+Y124),Y124))</f>
        <v>220</v>
      </c>
      <c r="AA124" s="26">
        <f>IF(ISNUMBER(VLOOKUP($D124,'Visu totale'!$D:$DH,AA$1,0)),Z124-VLOOKUP($D124,'Visu totale'!$D:$DH,AA$1,0),IF(LEFT(VLOOKUP($D124,'Visu totale'!$D:$DH,AA$1,0),1)="V",IF(Z124&gt;=INDEX('[1]Définition Maintenances'!$G:$G,MATCH($A124,'[1]Définition Maintenances'!$K:$K,0)),Z124,INDEX('[1]Définition Maintenances'!$G:$G,MATCH($A124,'[1]Définition Maintenances'!$K:$K,0))+Z124),Z124))</f>
        <v>220</v>
      </c>
      <c r="AB124" s="26">
        <f>IF(ISNUMBER(VLOOKUP($D124,'Visu totale'!$D:$DH,AB$1,0)),AA124-VLOOKUP($D124,'Visu totale'!$D:$DH,AB$1,0),IF(LEFT(VLOOKUP($D124,'Visu totale'!$D:$DH,AB$1,0),1)="V",IF(AA124&gt;=INDEX('[1]Définition Maintenances'!$G:$G,MATCH($A124,'[1]Définition Maintenances'!$K:$K,0)),AA124,INDEX('[1]Définition Maintenances'!$G:$G,MATCH($A124,'[1]Définition Maintenances'!$K:$K,0))+AA124),AA124))</f>
        <v>220</v>
      </c>
      <c r="AC124" s="27">
        <f>IF(ISNUMBER(VLOOKUP($D124,'Visu totale'!$D:$DH,AC$1,0)),AB124-VLOOKUP($D124,'Visu totale'!$D:$DH,AC$1,0),IF(LEFT(VLOOKUP($D124,'Visu totale'!$D:$DH,AC$1,0),1)="V",IF(AB124&gt;=INDEX('[1]Définition Maintenances'!$G:$G,MATCH($A124,'[1]Définition Maintenances'!$K:$K,0)),AB124,INDEX('[1]Définition Maintenances'!$G:$G,MATCH($A124,'[1]Définition Maintenances'!$K:$K,0))+AB124),AB124))</f>
        <v>220</v>
      </c>
      <c r="AD124" s="25">
        <f>IF(ISNUMBER(VLOOKUP($D124,'Visu totale'!$D:$DH,AD$1,0)),AC124-VLOOKUP($D124,'Visu totale'!$D:$DH,AD$1,0),IF(LEFT(VLOOKUP($D124,'Visu totale'!$D:$DH,AD$1,0),1)="V",IF(AC124&gt;=INDEX('[1]Définition Maintenances'!$G:$G,MATCH($A124,'[1]Définition Maintenances'!$K:$K,0)),AC124,INDEX('[1]Définition Maintenances'!$G:$G,MATCH($A124,'[1]Définition Maintenances'!$K:$K,0))+AC124),AC124))</f>
        <v>220</v>
      </c>
      <c r="AE124" s="26">
        <f>IF(ISNUMBER(VLOOKUP($D124,'Visu totale'!$D:$DH,AE$1,0)),AD124-VLOOKUP($D124,'Visu totale'!$D:$DH,AE$1,0),IF(LEFT(VLOOKUP($D124,'Visu totale'!$D:$DH,AE$1,0),1)="V",IF(AD124&gt;=INDEX('[1]Définition Maintenances'!$G:$G,MATCH($A124,'[1]Définition Maintenances'!$K:$K,0)),AD124,INDEX('[1]Définition Maintenances'!$G:$G,MATCH($A124,'[1]Définition Maintenances'!$K:$K,0))+AD124),AD124))</f>
        <v>220</v>
      </c>
      <c r="AF124" s="26">
        <f>IF(ISNUMBER(VLOOKUP($D124,'Visu totale'!$D:$DH,AF$1,0)),AE124-VLOOKUP($D124,'Visu totale'!$D:$DH,AF$1,0),IF(LEFT(VLOOKUP($D124,'Visu totale'!$D:$DH,AF$1,0),1)="V",IF(AE124&gt;=INDEX('[1]Définition Maintenances'!$G:$G,MATCH($A124,'[1]Définition Maintenances'!$K:$K,0)),AE124,INDEX('[1]Définition Maintenances'!$G:$G,MATCH($A124,'[1]Définition Maintenances'!$K:$K,0))+AE124),AE124))</f>
        <v>220</v>
      </c>
      <c r="AG124" s="26">
        <f>IF(ISNUMBER(VLOOKUP($D124,'Visu totale'!$D:$DH,AG$1,0)),AF124-VLOOKUP($D124,'Visu totale'!$D:$DH,AG$1,0),IF(LEFT(VLOOKUP($D124,'Visu totale'!$D:$DH,AG$1,0),1)="V",IF(AF124&gt;=INDEX('[1]Définition Maintenances'!$G:$G,MATCH($A124,'[1]Définition Maintenances'!$K:$K,0)),AF124,INDEX('[1]Définition Maintenances'!$G:$G,MATCH($A124,'[1]Définition Maintenances'!$K:$K,0))+AF124),AF124))</f>
        <v>220</v>
      </c>
      <c r="AH124" s="26">
        <f>IF(ISNUMBER(VLOOKUP($D124,'Visu totale'!$D:$DH,AH$1,0)),AG124-VLOOKUP($D124,'Visu totale'!$D:$DH,AH$1,0),IF(LEFT(VLOOKUP($D124,'Visu totale'!$D:$DH,AH$1,0),1)="V",IF(AG124&gt;=INDEX('[1]Définition Maintenances'!$G:$G,MATCH($A124,'[1]Définition Maintenances'!$K:$K,0)),AG124,INDEX('[1]Définition Maintenances'!$G:$G,MATCH($A124,'[1]Définition Maintenances'!$K:$K,0))+AG124),AG124))</f>
        <v>220</v>
      </c>
      <c r="AI124" s="26">
        <f>IF(ISNUMBER(VLOOKUP($D124,'Visu totale'!$D:$DH,AI$1,0)),AH124-VLOOKUP($D124,'Visu totale'!$D:$DH,AI$1,0),IF(LEFT(VLOOKUP($D124,'Visu totale'!$D:$DH,AI$1,0),1)="V",IF(AH124&gt;=INDEX('[1]Définition Maintenances'!$G:$G,MATCH($A124,'[1]Définition Maintenances'!$K:$K,0)),AH124,INDEX('[1]Définition Maintenances'!$G:$G,MATCH($A124,'[1]Définition Maintenances'!$K:$K,0))+AH124),AH124))</f>
        <v>220</v>
      </c>
      <c r="AJ124" s="26">
        <f>IF(ISNUMBER(VLOOKUP($D124,'Visu totale'!$D:$DH,AJ$1,0)),AI124-VLOOKUP($D124,'Visu totale'!$D:$DH,AJ$1,0),IF(LEFT(VLOOKUP($D124,'Visu totale'!$D:$DH,AJ$1,0),1)="V",IF(AI124&gt;=INDEX('[1]Définition Maintenances'!$G:$G,MATCH($A124,'[1]Définition Maintenances'!$K:$K,0)),AI124,INDEX('[1]Définition Maintenances'!$G:$G,MATCH($A124,'[1]Définition Maintenances'!$K:$K,0))+AI124),AI124))</f>
        <v>220</v>
      </c>
      <c r="AK124" s="26">
        <f>IF(ISNUMBER(VLOOKUP($D124,'Visu totale'!$D:$DH,AK$1,0)),AJ124-VLOOKUP($D124,'Visu totale'!$D:$DH,AK$1,0),IF(LEFT(VLOOKUP($D124,'Visu totale'!$D:$DH,AK$1,0),1)="V",IF(AJ124&gt;=INDEX('[1]Définition Maintenances'!$G:$G,MATCH($A124,'[1]Définition Maintenances'!$K:$K,0)),AJ124,INDEX('[1]Définition Maintenances'!$G:$G,MATCH($A124,'[1]Définition Maintenances'!$K:$K,0))+AJ124),AJ124))</f>
        <v>220</v>
      </c>
      <c r="AL124" s="26">
        <f>IF(ISNUMBER(VLOOKUP($D124,'Visu totale'!$D:$DH,AL$1,0)),AK124-VLOOKUP($D124,'Visu totale'!$D:$DH,AL$1,0),IF(LEFT(VLOOKUP($D124,'Visu totale'!$D:$DH,AL$1,0),1)="V",IF(AK124&gt;=INDEX('[1]Définition Maintenances'!$G:$G,MATCH($A124,'[1]Définition Maintenances'!$K:$K,0)),AK124,INDEX('[1]Définition Maintenances'!$G:$G,MATCH($A124,'[1]Définition Maintenances'!$K:$K,0))+AK124),AK124))</f>
        <v>220</v>
      </c>
      <c r="AM124" s="26">
        <f>IF(ISNUMBER(VLOOKUP($D124,'Visu totale'!$D:$DH,AM$1,0)),AL124-VLOOKUP($D124,'Visu totale'!$D:$DH,AM$1,0),IF(LEFT(VLOOKUP($D124,'Visu totale'!$D:$DH,AM$1,0),1)="V",IF(AL124&gt;=INDEX('[1]Définition Maintenances'!$G:$G,MATCH($A124,'[1]Définition Maintenances'!$K:$K,0)),AL124,INDEX('[1]Définition Maintenances'!$G:$G,MATCH($A124,'[1]Définition Maintenances'!$K:$K,0))+AL124),AL124))</f>
        <v>220</v>
      </c>
      <c r="AN124" s="26">
        <f>IF(ISNUMBER(VLOOKUP($D124,'Visu totale'!$D:$DH,AN$1,0)),AM124-VLOOKUP($D124,'Visu totale'!$D:$DH,AN$1,0),IF(LEFT(VLOOKUP($D124,'Visu totale'!$D:$DH,AN$1,0),1)="V",IF(AM124&gt;=INDEX('[1]Définition Maintenances'!$G:$G,MATCH($A124,'[1]Définition Maintenances'!$K:$K,0)),AM124,INDEX('[1]Définition Maintenances'!$G:$G,MATCH($A124,'[1]Définition Maintenances'!$K:$K,0))+AM124),AM124))</f>
        <v>220</v>
      </c>
      <c r="AO124" s="27">
        <f>IF(ISNUMBER(VLOOKUP($D124,'Visu totale'!$D:$DH,AO$1,0)),AN124-VLOOKUP($D124,'Visu totale'!$D:$DH,AO$1,0),IF(LEFT(VLOOKUP($D124,'Visu totale'!$D:$DH,AO$1,0),1)="V",IF(AN124&gt;=INDEX('[1]Définition Maintenances'!$G:$G,MATCH($A124,'[1]Définition Maintenances'!$K:$K,0)),AN124,INDEX('[1]Définition Maintenances'!$G:$G,MATCH($A124,'[1]Définition Maintenances'!$K:$K,0))+AN124),AN124))</f>
        <v>220</v>
      </c>
      <c r="AP124" s="25">
        <f>IF(ISNUMBER(VLOOKUP($D124,'Visu totale'!$D:$DH,AP$1,0)),AO124-VLOOKUP($D124,'Visu totale'!$D:$DH,AP$1,0),IF(LEFT(VLOOKUP($D124,'Visu totale'!$D:$DH,AP$1,0),1)="V",IF(AO124&gt;=INDEX('[1]Définition Maintenances'!$G:$G,MATCH($A124,'[1]Définition Maintenances'!$K:$K,0)),AO124,INDEX('[1]Définition Maintenances'!$G:$G,MATCH($A124,'[1]Définition Maintenances'!$K:$K,0))+AO124),AO124))</f>
        <v>220</v>
      </c>
      <c r="AQ124" s="26">
        <f>IF(ISNUMBER(VLOOKUP($D124,'Visu totale'!$D:$DH,AQ$1,0)),AP124-VLOOKUP($D124,'Visu totale'!$D:$DH,AQ$1,0),IF(LEFT(VLOOKUP($D124,'Visu totale'!$D:$DH,AQ$1,0),1)="V",IF(AP124&gt;=INDEX('[1]Définition Maintenances'!$G:$G,MATCH($A124,'[1]Définition Maintenances'!$K:$K,0)),AP124,INDEX('[1]Définition Maintenances'!$G:$G,MATCH($A124,'[1]Définition Maintenances'!$K:$K,0))+AP124),AP124))</f>
        <v>220</v>
      </c>
      <c r="AR124" s="26">
        <f>IF(ISNUMBER(VLOOKUP($D124,'Visu totale'!$D:$DH,AR$1,0)),AQ124-VLOOKUP($D124,'Visu totale'!$D:$DH,AR$1,0),IF(LEFT(VLOOKUP($D124,'Visu totale'!$D:$DH,AR$1,0),1)="V",IF(AQ124&gt;=INDEX('[1]Définition Maintenances'!$G:$G,MATCH($A124,'[1]Définition Maintenances'!$K:$K,0)),AQ124,INDEX('[1]Définition Maintenances'!$G:$G,MATCH($A124,'[1]Définition Maintenances'!$K:$K,0))+AQ124),AQ124))</f>
        <v>220</v>
      </c>
      <c r="AS124" s="26">
        <f>IF(ISNUMBER(VLOOKUP($D124,'Visu totale'!$D:$DH,AS$1,0)),AR124-VLOOKUP($D124,'Visu totale'!$D:$DH,AS$1,0),IF(LEFT(VLOOKUP($D124,'Visu totale'!$D:$DH,AS$1,0),1)="V",IF(AR124&gt;=INDEX('[1]Définition Maintenances'!$G:$G,MATCH($A124,'[1]Définition Maintenances'!$K:$K,0)),AR124,INDEX('[1]Définition Maintenances'!$G:$G,MATCH($A124,'[1]Définition Maintenances'!$K:$K,0))+AR124),AR124))</f>
        <v>220</v>
      </c>
      <c r="AT124" s="26">
        <f>IF(ISNUMBER(VLOOKUP($D124,'Visu totale'!$D:$DH,AT$1,0)),AS124-VLOOKUP($D124,'Visu totale'!$D:$DH,AT$1,0),IF(LEFT(VLOOKUP($D124,'Visu totale'!$D:$DH,AT$1,0),1)="V",IF(AS124&gt;=INDEX('[1]Définition Maintenances'!$G:$G,MATCH($A124,'[1]Définition Maintenances'!$K:$K,0)),AS124,INDEX('[1]Définition Maintenances'!$G:$G,MATCH($A124,'[1]Définition Maintenances'!$K:$K,0))+AS124),AS124))</f>
        <v>220</v>
      </c>
      <c r="AU124" s="26">
        <f>IF(ISNUMBER(VLOOKUP($D124,'Visu totale'!$D:$DH,AU$1,0)),AT124-VLOOKUP($D124,'Visu totale'!$D:$DH,AU$1,0),IF(LEFT(VLOOKUP($D124,'Visu totale'!$D:$DH,AU$1,0),1)="V",IF(AT124&gt;=INDEX('[1]Définition Maintenances'!$G:$G,MATCH($A124,'[1]Définition Maintenances'!$K:$K,0)),AT124,INDEX('[1]Définition Maintenances'!$G:$G,MATCH($A124,'[1]Définition Maintenances'!$K:$K,0))+AT124),AT124))</f>
        <v>220</v>
      </c>
      <c r="AV124" s="26">
        <f>IF(ISNUMBER(VLOOKUP($D124,'Visu totale'!$D:$DH,AV$1,0)),AU124-VLOOKUP($D124,'Visu totale'!$D:$DH,AV$1,0),IF(LEFT(VLOOKUP($D124,'Visu totale'!$D:$DH,AV$1,0),1)="V",IF(AU124&gt;=INDEX('[1]Définition Maintenances'!$G:$G,MATCH($A124,'[1]Définition Maintenances'!$K:$K,0)),AU124,INDEX('[1]Définition Maintenances'!$G:$G,MATCH($A124,'[1]Définition Maintenances'!$K:$K,0))+AU124),AU124))</f>
        <v>220</v>
      </c>
      <c r="AW124" s="26">
        <f>IF(ISNUMBER(VLOOKUP($D124,'Visu totale'!$D:$DH,AW$1,0)),AV124-VLOOKUP($D124,'Visu totale'!$D:$DH,AW$1,0),IF(LEFT(VLOOKUP($D124,'Visu totale'!$D:$DH,AW$1,0),1)="V",IF(AV124&gt;=INDEX('[1]Définition Maintenances'!$G:$G,MATCH($A124,'[1]Définition Maintenances'!$K:$K,0)),AV124,INDEX('[1]Définition Maintenances'!$G:$G,MATCH($A124,'[1]Définition Maintenances'!$K:$K,0))+AV124),AV124))</f>
        <v>220</v>
      </c>
      <c r="AX124" s="26">
        <f>IF(ISNUMBER(VLOOKUP($D124,'Visu totale'!$D:$DH,AX$1,0)),AW124-VLOOKUP($D124,'Visu totale'!$D:$DH,AX$1,0),IF(LEFT(VLOOKUP($D124,'Visu totale'!$D:$DH,AX$1,0),1)="V",IF(AW124&gt;=INDEX('[1]Définition Maintenances'!$G:$G,MATCH($A124,'[1]Définition Maintenances'!$K:$K,0)),AW124,INDEX('[1]Définition Maintenances'!$G:$G,MATCH($A124,'[1]Définition Maintenances'!$K:$K,0))+AW124),AW124))</f>
        <v>220</v>
      </c>
      <c r="AY124" s="26">
        <f>IF(ISNUMBER(VLOOKUP($D124,'Visu totale'!$D:$DH,AY$1,0)),AX124-VLOOKUP($D124,'Visu totale'!$D:$DH,AY$1,0),IF(LEFT(VLOOKUP($D124,'Visu totale'!$D:$DH,AY$1,0),1)="V",IF(AX124&gt;=INDEX('[1]Définition Maintenances'!$G:$G,MATCH($A124,'[1]Définition Maintenances'!$K:$K,0)),AX124,INDEX('[1]Définition Maintenances'!$G:$G,MATCH($A124,'[1]Définition Maintenances'!$K:$K,0))+AX124),AX124))</f>
        <v>220</v>
      </c>
      <c r="AZ124" s="26">
        <f>IF(ISNUMBER(VLOOKUP($D124,'Visu totale'!$D:$DH,AZ$1,0)),AY124-VLOOKUP($D124,'Visu totale'!$D:$DH,AZ$1,0),IF(LEFT(VLOOKUP($D124,'Visu totale'!$D:$DH,AZ$1,0),1)="V",IF(AY124&gt;=INDEX('[1]Définition Maintenances'!$G:$G,MATCH($A124,'[1]Définition Maintenances'!$K:$K,0)),AY124,INDEX('[1]Définition Maintenances'!$G:$G,MATCH($A124,'[1]Définition Maintenances'!$K:$K,0))+AY124),AY124))</f>
        <v>220</v>
      </c>
      <c r="BA124" s="27">
        <f>IF(ISNUMBER(VLOOKUP($D124,'Visu totale'!$D:$DH,BA$1,0)),AZ124-VLOOKUP($D124,'Visu totale'!$D:$DH,BA$1,0),IF(LEFT(VLOOKUP($D124,'Visu totale'!$D:$DH,BA$1,0),1)="V",IF(AZ124&gt;=INDEX('[1]Définition Maintenances'!$G:$G,MATCH($A124,'[1]Définition Maintenances'!$K:$K,0)),AZ124,INDEX('[1]Définition Maintenances'!$G:$G,MATCH($A124,'[1]Définition Maintenances'!$K:$K,0))+AZ124),AZ124))</f>
        <v>220</v>
      </c>
      <c r="BB124" s="25">
        <f>IF(ISNUMBER(VLOOKUP($D124,'Visu totale'!$D:$DH,BB$1,0)),BA124-VLOOKUP($D124,'Visu totale'!$D:$DH,BB$1,0),IF(LEFT(VLOOKUP($D124,'Visu totale'!$D:$DH,BB$1,0),1)="V",IF(BA124&gt;=INDEX('[1]Définition Maintenances'!$G:$G,MATCH($A124,'[1]Définition Maintenances'!$K:$K,0)),BA124,INDEX('[1]Définition Maintenances'!$G:$G,MATCH($A124,'[1]Définition Maintenances'!$K:$K,0))+BA124),BA124))</f>
        <v>220</v>
      </c>
      <c r="BC124" s="26">
        <f>IF(ISNUMBER(VLOOKUP($D124,'Visu totale'!$D:$DH,BC$1,0)),BB124-VLOOKUP($D124,'Visu totale'!$D:$DH,BC$1,0),IF(LEFT(VLOOKUP($D124,'Visu totale'!$D:$DH,BC$1,0),1)="V",IF(BB124&gt;=INDEX('[1]Définition Maintenances'!$G:$G,MATCH($A124,'[1]Définition Maintenances'!$K:$K,0)),BB124,INDEX('[1]Définition Maintenances'!$G:$G,MATCH($A124,'[1]Définition Maintenances'!$K:$K,0))+BB124),BB124))</f>
        <v>220</v>
      </c>
      <c r="BD124" s="26">
        <f>IF(ISNUMBER(VLOOKUP($D124,'Visu totale'!$D:$DH,BD$1,0)),BC124-VLOOKUP($D124,'Visu totale'!$D:$DH,BD$1,0),IF(LEFT(VLOOKUP($D124,'Visu totale'!$D:$DH,BD$1,0),1)="V",IF(BC124&gt;=INDEX('[1]Définition Maintenances'!$G:$G,MATCH($A124,'[1]Définition Maintenances'!$K:$K,0)),BC124,INDEX('[1]Définition Maintenances'!$G:$G,MATCH($A124,'[1]Définition Maintenances'!$K:$K,0))+BC124),BC124))</f>
        <v>220</v>
      </c>
      <c r="BE124" s="26">
        <f>IF(ISNUMBER(VLOOKUP($D124,'Visu totale'!$D:$DH,BE$1,0)),BD124-VLOOKUP($D124,'Visu totale'!$D:$DH,BE$1,0),IF(LEFT(VLOOKUP($D124,'Visu totale'!$D:$DH,BE$1,0),1)="V",IF(BD124&gt;=INDEX('[1]Définition Maintenances'!$G:$G,MATCH($A124,'[1]Définition Maintenances'!$K:$K,0)),BD124,INDEX('[1]Définition Maintenances'!$G:$G,MATCH($A124,'[1]Définition Maintenances'!$K:$K,0))+BD124),BD124))</f>
        <v>220</v>
      </c>
      <c r="BF124" s="26">
        <f>IF(ISNUMBER(VLOOKUP($D124,'Visu totale'!$D:$DH,BF$1,0)),BE124-VLOOKUP($D124,'Visu totale'!$D:$DH,BF$1,0),IF(LEFT(VLOOKUP($D124,'Visu totale'!$D:$DH,BF$1,0),1)="V",IF(BE124&gt;=INDEX('[1]Définition Maintenances'!$G:$G,MATCH($A124,'[1]Définition Maintenances'!$K:$K,0)),BE124,INDEX('[1]Définition Maintenances'!$G:$G,MATCH($A124,'[1]Définition Maintenances'!$K:$K,0))+BE124),BE124))</f>
        <v>220</v>
      </c>
      <c r="BG124" s="26">
        <f>IF(ISNUMBER(VLOOKUP($D124,'Visu totale'!$D:$DH,BG$1,0)),BF124-VLOOKUP($D124,'Visu totale'!$D:$DH,BG$1,0),IF(LEFT(VLOOKUP($D124,'Visu totale'!$D:$DH,BG$1,0),1)="V",IF(BF124&gt;=INDEX('[1]Définition Maintenances'!$G:$G,MATCH($A124,'[1]Définition Maintenances'!$K:$K,0)),BF124,INDEX('[1]Définition Maintenances'!$G:$G,MATCH($A124,'[1]Définition Maintenances'!$K:$K,0))+BF124),BF124))</f>
        <v>220</v>
      </c>
      <c r="BH124" s="26">
        <f>IF(ISNUMBER(VLOOKUP($D124,'Visu totale'!$D:$DH,BH$1,0)),BG124-VLOOKUP($D124,'Visu totale'!$D:$DH,BH$1,0),IF(LEFT(VLOOKUP($D124,'Visu totale'!$D:$DH,BH$1,0),1)="V",IF(BG124&gt;=INDEX('[1]Définition Maintenances'!$G:$G,MATCH($A124,'[1]Définition Maintenances'!$K:$K,0)),BG124,INDEX('[1]Définition Maintenances'!$G:$G,MATCH($A124,'[1]Définition Maintenances'!$K:$K,0))+BG124),BG124))</f>
        <v>220</v>
      </c>
      <c r="BI124" s="26">
        <f>IF(ISNUMBER(VLOOKUP($D124,'Visu totale'!$D:$DH,BI$1,0)),BH124-VLOOKUP($D124,'Visu totale'!$D:$DH,BI$1,0),IF(LEFT(VLOOKUP($D124,'Visu totale'!$D:$DH,BI$1,0),1)="V",IF(BH124&gt;=INDEX('[1]Définition Maintenances'!$G:$G,MATCH($A124,'[1]Définition Maintenances'!$K:$K,0)),BH124,INDEX('[1]Définition Maintenances'!$G:$G,MATCH($A124,'[1]Définition Maintenances'!$K:$K,0))+BH124),BH124))</f>
        <v>220</v>
      </c>
      <c r="BJ124" s="26">
        <f>IF(ISNUMBER(VLOOKUP($D124,'Visu totale'!$D:$DH,BJ$1,0)),BI124-VLOOKUP($D124,'Visu totale'!$D:$DH,BJ$1,0),IF(LEFT(VLOOKUP($D124,'Visu totale'!$D:$DH,BJ$1,0),1)="V",IF(BI124&gt;=INDEX('[1]Définition Maintenances'!$G:$G,MATCH($A124,'[1]Définition Maintenances'!$K:$K,0)),BI124,INDEX('[1]Définition Maintenances'!$G:$G,MATCH($A124,'[1]Définition Maintenances'!$K:$K,0))+BI124),BI124))</f>
        <v>220</v>
      </c>
      <c r="BK124" s="26">
        <f>IF(ISNUMBER(VLOOKUP($D124,'Visu totale'!$D:$DH,BK$1,0)),BJ124-VLOOKUP($D124,'Visu totale'!$D:$DH,BK$1,0),IF(LEFT(VLOOKUP($D124,'Visu totale'!$D:$DH,BK$1,0),1)="V",IF(BJ124&gt;=INDEX('[1]Définition Maintenances'!$G:$G,MATCH($A124,'[1]Définition Maintenances'!$K:$K,0)),BJ124,INDEX('[1]Définition Maintenances'!$G:$G,MATCH($A124,'[1]Définition Maintenances'!$K:$K,0))+BJ124),BJ124))</f>
        <v>220</v>
      </c>
      <c r="BL124" s="26">
        <f>IF(ISNUMBER(VLOOKUP($D124,'Visu totale'!$D:$DH,BL$1,0)),BK124-VLOOKUP($D124,'Visu totale'!$D:$DH,BL$1,0),IF(LEFT(VLOOKUP($D124,'Visu totale'!$D:$DH,BL$1,0),1)="V",IF(BK124&gt;=INDEX('[1]Définition Maintenances'!$G:$G,MATCH($A124,'[1]Définition Maintenances'!$K:$K,0)),BK124,INDEX('[1]Définition Maintenances'!$G:$G,MATCH($A124,'[1]Définition Maintenances'!$K:$K,0))+BK124),BK124))</f>
        <v>220</v>
      </c>
      <c r="BM124" s="27">
        <f>IF(ISNUMBER(VLOOKUP($D124,'Visu totale'!$D:$DH,BM$1,0)),BL124-VLOOKUP($D124,'Visu totale'!$D:$DH,BM$1,0),IF(LEFT(VLOOKUP($D124,'Visu totale'!$D:$DH,BM$1,0),1)="V",IF(BL124&gt;=INDEX('[1]Définition Maintenances'!$G:$G,MATCH($A124,'[1]Définition Maintenances'!$K:$K,0)),BL124,INDEX('[1]Définition Maintenances'!$G:$G,MATCH($A124,'[1]Définition Maintenances'!$K:$K,0))+BL124),BL124))</f>
        <v>220</v>
      </c>
      <c r="BN124" s="25">
        <f>IF(ISNUMBER(VLOOKUP($D124,'Visu totale'!$D:$DH,BN$1,0)),BM124-VLOOKUP($D124,'Visu totale'!$D:$DH,BN$1,0),IF(LEFT(VLOOKUP($D124,'Visu totale'!$D:$DH,BN$1,0),1)="V",IF(BM124&gt;=INDEX('[1]Définition Maintenances'!$G:$G,MATCH($A124,'[1]Définition Maintenances'!$K:$K,0)),BM124,INDEX('[1]Définition Maintenances'!$G:$G,MATCH($A124,'[1]Définition Maintenances'!$K:$K,0))+BM124),BM124))</f>
        <v>220</v>
      </c>
      <c r="BO124" s="26">
        <f>IF(ISNUMBER(VLOOKUP($D124,'Visu totale'!$D:$DH,BO$1,0)),BN124-VLOOKUP($D124,'Visu totale'!$D:$DH,BO$1,0),IF(LEFT(VLOOKUP($D124,'Visu totale'!$D:$DH,BO$1,0),1)="V",IF(BN124&gt;=INDEX('[1]Définition Maintenances'!$G:$G,MATCH($A124,'[1]Définition Maintenances'!$K:$K,0)),BN124,INDEX('[1]Définition Maintenances'!$G:$G,MATCH($A124,'[1]Définition Maintenances'!$K:$K,0))+BN124),BN124))</f>
        <v>220</v>
      </c>
      <c r="BP124" s="26">
        <f>IF(ISNUMBER(VLOOKUP($D124,'Visu totale'!$D:$DH,BP$1,0)),BO124-VLOOKUP($D124,'Visu totale'!$D:$DH,BP$1,0),IF(LEFT(VLOOKUP($D124,'Visu totale'!$D:$DH,BP$1,0),1)="V",IF(BO124&gt;=INDEX('[1]Définition Maintenances'!$G:$G,MATCH($A124,'[1]Définition Maintenances'!$K:$K,0)),BO124,INDEX('[1]Définition Maintenances'!$G:$G,MATCH($A124,'[1]Définition Maintenances'!$K:$K,0))+BO124),BO124))</f>
        <v>220</v>
      </c>
      <c r="BQ124" s="26">
        <f>IF(ISNUMBER(VLOOKUP($D124,'Visu totale'!$D:$DH,BQ$1,0)),BP124-VLOOKUP($D124,'Visu totale'!$D:$DH,BQ$1,0),IF(LEFT(VLOOKUP($D124,'Visu totale'!$D:$DH,BQ$1,0),1)="V",IF(BP124&gt;=INDEX('[1]Définition Maintenances'!$G:$G,MATCH($A124,'[1]Définition Maintenances'!$K:$K,0)),BP124,INDEX('[1]Définition Maintenances'!$G:$G,MATCH($A124,'[1]Définition Maintenances'!$K:$K,0))+BP124),BP124))</f>
        <v>220</v>
      </c>
      <c r="BR124" s="26">
        <f>IF(ISNUMBER(VLOOKUP($D124,'Visu totale'!$D:$DH,BR$1,0)),BQ124-VLOOKUP($D124,'Visu totale'!$D:$DH,BR$1,0),IF(LEFT(VLOOKUP($D124,'Visu totale'!$D:$DH,BR$1,0),1)="V",IF(BQ124&gt;=INDEX('[1]Définition Maintenances'!$G:$G,MATCH($A124,'[1]Définition Maintenances'!$K:$K,0)),BQ124,INDEX('[1]Définition Maintenances'!$G:$G,MATCH($A124,'[1]Définition Maintenances'!$K:$K,0))+BQ124),BQ124))</f>
        <v>220</v>
      </c>
      <c r="BS124" s="26">
        <f>IF(ISNUMBER(VLOOKUP($D124,'Visu totale'!$D:$DH,BS$1,0)),BR124-VLOOKUP($D124,'Visu totale'!$D:$DH,BS$1,0),IF(LEFT(VLOOKUP($D124,'Visu totale'!$D:$DH,BS$1,0),1)="V",IF(BR124&gt;=INDEX('[1]Définition Maintenances'!$G:$G,MATCH($A124,'[1]Définition Maintenances'!$K:$K,0)),BR124,INDEX('[1]Définition Maintenances'!$G:$G,MATCH($A124,'[1]Définition Maintenances'!$K:$K,0))+BR124),BR124))</f>
        <v>220</v>
      </c>
      <c r="BT124" s="26">
        <f>IF(ISNUMBER(VLOOKUP($D124,'Visu totale'!$D:$DH,BT$1,0)),BS124-VLOOKUP($D124,'Visu totale'!$D:$DH,BT$1,0),IF(LEFT(VLOOKUP($D124,'Visu totale'!$D:$DH,BT$1,0),1)="V",IF(BS124&gt;=INDEX('[1]Définition Maintenances'!$G:$G,MATCH($A124,'[1]Définition Maintenances'!$K:$K,0)),BS124,INDEX('[1]Définition Maintenances'!$G:$G,MATCH($A124,'[1]Définition Maintenances'!$K:$K,0))+BS124),BS124))</f>
        <v>220</v>
      </c>
      <c r="BU124" s="26">
        <f>IF(ISNUMBER(VLOOKUP($D124,'Visu totale'!$D:$DH,BU$1,0)),BT124-VLOOKUP($D124,'Visu totale'!$D:$DH,BU$1,0),IF(LEFT(VLOOKUP($D124,'Visu totale'!$D:$DH,BU$1,0),1)="V",IF(BT124&gt;=INDEX('[1]Définition Maintenances'!$G:$G,MATCH($A124,'[1]Définition Maintenances'!$K:$K,0)),BT124,INDEX('[1]Définition Maintenances'!$G:$G,MATCH($A124,'[1]Définition Maintenances'!$K:$K,0))+BT124),BT124))</f>
        <v>220</v>
      </c>
      <c r="BV124" s="26">
        <f>IF(ISNUMBER(VLOOKUP($D124,'Visu totale'!$D:$DH,BV$1,0)),BU124-VLOOKUP($D124,'Visu totale'!$D:$DH,BV$1,0),IF(LEFT(VLOOKUP($D124,'Visu totale'!$D:$DH,BV$1,0),1)="V",IF(BU124&gt;=INDEX('[1]Définition Maintenances'!$G:$G,MATCH($A124,'[1]Définition Maintenances'!$K:$K,0)),BU124,INDEX('[1]Définition Maintenances'!$G:$G,MATCH($A124,'[1]Définition Maintenances'!$K:$K,0))+BU124),BU124))</f>
        <v>220</v>
      </c>
      <c r="BW124" s="26">
        <f>IF(ISNUMBER(VLOOKUP($D124,'Visu totale'!$D:$DH,BW$1,0)),BV124-VLOOKUP($D124,'Visu totale'!$D:$DH,BW$1,0),IF(LEFT(VLOOKUP($D124,'Visu totale'!$D:$DH,BW$1,0),1)="V",IF(BV124&gt;=INDEX('[1]Définition Maintenances'!$G:$G,MATCH($A124,'[1]Définition Maintenances'!$K:$K,0)),BV124,INDEX('[1]Définition Maintenances'!$G:$G,MATCH($A124,'[1]Définition Maintenances'!$K:$K,0))+BV124),BV124))</f>
        <v>220</v>
      </c>
      <c r="BX124" s="26">
        <f>IF(ISNUMBER(VLOOKUP($D124,'Visu totale'!$D:$DH,BX$1,0)),BW124-VLOOKUP($D124,'Visu totale'!$D:$DH,BX$1,0),IF(LEFT(VLOOKUP($D124,'Visu totale'!$D:$DH,BX$1,0),1)="V",IF(BW124&gt;=INDEX('[1]Définition Maintenances'!$G:$G,MATCH($A124,'[1]Définition Maintenances'!$K:$K,0)),BW124,INDEX('[1]Définition Maintenances'!$G:$G,MATCH($A124,'[1]Définition Maintenances'!$K:$K,0))+BW124),BW124))</f>
        <v>220</v>
      </c>
      <c r="BY124" s="27">
        <f>IF(ISNUMBER(VLOOKUP($D124,'Visu totale'!$D:$DH,BY$1,0)),BX124-VLOOKUP($D124,'Visu totale'!$D:$DH,BY$1,0),IF(LEFT(VLOOKUP($D124,'Visu totale'!$D:$DH,BY$1,0),1)="V",IF(BX124&gt;=INDEX('[1]Définition Maintenances'!$G:$G,MATCH($A124,'[1]Définition Maintenances'!$K:$K,0)),BX124,INDEX('[1]Définition Maintenances'!$G:$G,MATCH($A124,'[1]Définition Maintenances'!$K:$K,0))+BX124),BX124))</f>
        <v>220</v>
      </c>
      <c r="BZ124" s="25">
        <f>IF(ISNUMBER(VLOOKUP($D124,'Visu totale'!$D:$DH,BZ$1,0)),BY124-VLOOKUP($D124,'Visu totale'!$D:$DH,BZ$1,0),IF(LEFT(VLOOKUP($D124,'Visu totale'!$D:$DH,BZ$1,0),1)="V",IF(BY124&gt;=INDEX('[1]Définition Maintenances'!$G:$G,MATCH($A124,'[1]Définition Maintenances'!$K:$K,0)),BY124,INDEX('[1]Définition Maintenances'!$G:$G,MATCH($A124,'[1]Définition Maintenances'!$K:$K,0))+BY124),BY124))</f>
        <v>220</v>
      </c>
      <c r="CA124" s="26">
        <f>IF(ISNUMBER(VLOOKUP($D124,'Visu totale'!$D:$DH,CA$1,0)),BZ124-VLOOKUP($D124,'Visu totale'!$D:$DH,CA$1,0),IF(LEFT(VLOOKUP($D124,'Visu totale'!$D:$DH,CA$1,0),1)="V",IF(BZ124&gt;=INDEX('[1]Définition Maintenances'!$G:$G,MATCH($A124,'[1]Définition Maintenances'!$K:$K,0)),BZ124,INDEX('[1]Définition Maintenances'!$G:$G,MATCH($A124,'[1]Définition Maintenances'!$K:$K,0))+BZ124),BZ124))</f>
        <v>220</v>
      </c>
      <c r="CB124" s="26">
        <f>IF(ISNUMBER(VLOOKUP($D124,'Visu totale'!$D:$DH,CB$1,0)),CA124-VLOOKUP($D124,'Visu totale'!$D:$DH,CB$1,0),IF(LEFT(VLOOKUP($D124,'Visu totale'!$D:$DH,CB$1,0),1)="V",IF(CA124&gt;=INDEX('[1]Définition Maintenances'!$G:$G,MATCH($A124,'[1]Définition Maintenances'!$K:$K,0)),CA124,INDEX('[1]Définition Maintenances'!$G:$G,MATCH($A124,'[1]Définition Maintenances'!$K:$K,0))+CA124),CA124))</f>
        <v>220</v>
      </c>
      <c r="CC124" s="26">
        <f>IF(ISNUMBER(VLOOKUP($D124,'Visu totale'!$D:$DH,CC$1,0)),CB124-VLOOKUP($D124,'Visu totale'!$D:$DH,CC$1,0),IF(LEFT(VLOOKUP($D124,'Visu totale'!$D:$DH,CC$1,0),1)="V",IF(CB124&gt;=INDEX('[1]Définition Maintenances'!$G:$G,MATCH($A124,'[1]Définition Maintenances'!$K:$K,0)),CB124,INDEX('[1]Définition Maintenances'!$G:$G,MATCH($A124,'[1]Définition Maintenances'!$K:$K,0))+CB124),CB124))</f>
        <v>220</v>
      </c>
      <c r="CD124" s="26">
        <f>IF(ISNUMBER(VLOOKUP($D124,'Visu totale'!$D:$DH,CD$1,0)),CC124-VLOOKUP($D124,'Visu totale'!$D:$DH,CD$1,0),IF(LEFT(VLOOKUP($D124,'Visu totale'!$D:$DH,CD$1,0),1)="V",IF(CC124&gt;=INDEX('[1]Définition Maintenances'!$G:$G,MATCH($A124,'[1]Définition Maintenances'!$K:$K,0)),CC124,INDEX('[1]Définition Maintenances'!$G:$G,MATCH($A124,'[1]Définition Maintenances'!$K:$K,0))+CC124),CC124))</f>
        <v>220</v>
      </c>
      <c r="CE124" s="26">
        <f>IF(ISNUMBER(VLOOKUP($D124,'Visu totale'!$D:$DH,CE$1,0)),CD124-VLOOKUP($D124,'Visu totale'!$D:$DH,CE$1,0),IF(LEFT(VLOOKUP($D124,'Visu totale'!$D:$DH,CE$1,0),1)="V",IF(CD124&gt;=INDEX('[1]Définition Maintenances'!$G:$G,MATCH($A124,'[1]Définition Maintenances'!$K:$K,0)),CD124,INDEX('[1]Définition Maintenances'!$G:$G,MATCH($A124,'[1]Définition Maintenances'!$K:$K,0))+CD124),CD124))</f>
        <v>220</v>
      </c>
      <c r="CF124" s="26">
        <f>IF(ISNUMBER(VLOOKUP($D124,'Visu totale'!$D:$DH,CF$1,0)),CE124-VLOOKUP($D124,'Visu totale'!$D:$DH,CF$1,0),IF(LEFT(VLOOKUP($D124,'Visu totale'!$D:$DH,CF$1,0),1)="V",IF(CE124&gt;=INDEX('[1]Définition Maintenances'!$G:$G,MATCH($A124,'[1]Définition Maintenances'!$K:$K,0)),CE124,INDEX('[1]Définition Maintenances'!$G:$G,MATCH($A124,'[1]Définition Maintenances'!$K:$K,0))+CE124),CE124))</f>
        <v>220</v>
      </c>
      <c r="CG124" s="26">
        <f>IF(ISNUMBER(VLOOKUP($D124,'Visu totale'!$D:$DH,CG$1,0)),CF124-VLOOKUP($D124,'Visu totale'!$D:$DH,CG$1,0),IF(LEFT(VLOOKUP($D124,'Visu totale'!$D:$DH,CG$1,0),1)="V",IF(CF124&gt;=INDEX('[1]Définition Maintenances'!$G:$G,MATCH($A124,'[1]Définition Maintenances'!$K:$K,0)),CF124,INDEX('[1]Définition Maintenances'!$G:$G,MATCH($A124,'[1]Définition Maintenances'!$K:$K,0))+CF124),CF124))</f>
        <v>220</v>
      </c>
      <c r="CH124" s="26">
        <f>IF(ISNUMBER(VLOOKUP($D124,'Visu totale'!$D:$DH,CH$1,0)),CG124-VLOOKUP($D124,'Visu totale'!$D:$DH,CH$1,0),IF(LEFT(VLOOKUP($D124,'Visu totale'!$D:$DH,CH$1,0),1)="V",IF(CG124&gt;=INDEX('[1]Définition Maintenances'!$G:$G,MATCH($A124,'[1]Définition Maintenances'!$K:$K,0)),CG124,INDEX('[1]Définition Maintenances'!$G:$G,MATCH($A124,'[1]Définition Maintenances'!$K:$K,0))+CG124),CG124))</f>
        <v>220</v>
      </c>
      <c r="CI124" s="26">
        <f>IF(ISNUMBER(VLOOKUP($D124,'Visu totale'!$D:$DH,CI$1,0)),CH124-VLOOKUP($D124,'Visu totale'!$D:$DH,CI$1,0),IF(LEFT(VLOOKUP($D124,'Visu totale'!$D:$DH,CI$1,0),1)="V",IF(CH124&gt;=INDEX('[1]Définition Maintenances'!$G:$G,MATCH($A124,'[1]Définition Maintenances'!$K:$K,0)),CH124,INDEX('[1]Définition Maintenances'!$G:$G,MATCH($A124,'[1]Définition Maintenances'!$K:$K,0))+CH124),CH124))</f>
        <v>220</v>
      </c>
      <c r="CJ124" s="26">
        <f>IF(ISNUMBER(VLOOKUP($D124,'Visu totale'!$D:$DH,CJ$1,0)),CI124-VLOOKUP($D124,'Visu totale'!$D:$DH,CJ$1,0),IF(LEFT(VLOOKUP($D124,'Visu totale'!$D:$DH,CJ$1,0),1)="V",IF(CI124&gt;=INDEX('[1]Définition Maintenances'!$G:$G,MATCH($A124,'[1]Définition Maintenances'!$K:$K,0)),CI124,INDEX('[1]Définition Maintenances'!$G:$G,MATCH($A124,'[1]Définition Maintenances'!$K:$K,0))+CI124),CI124))</f>
        <v>220</v>
      </c>
      <c r="CK124" s="27">
        <f>IF(ISNUMBER(VLOOKUP($D124,'Visu totale'!$D:$DH,CK$1,0)),CJ124-VLOOKUP($D124,'Visu totale'!$D:$DH,CK$1,0),IF(LEFT(VLOOKUP($D124,'Visu totale'!$D:$DH,CK$1,0),1)="V",IF(CJ124&gt;=INDEX('[1]Définition Maintenances'!$G:$G,MATCH($A124,'[1]Définition Maintenances'!$K:$K,0)),CJ124,INDEX('[1]Définition Maintenances'!$G:$G,MATCH($A124,'[1]Définition Maintenances'!$K:$K,0))+CJ124),CJ124))</f>
        <v>220</v>
      </c>
      <c r="CL124" s="25">
        <f>IF(ISNUMBER(VLOOKUP($D124,'Visu totale'!$D:$DH,CL$1,0)),CK124-VLOOKUP($D124,'Visu totale'!$D:$DH,CL$1,0),IF(LEFT(VLOOKUP($D124,'Visu totale'!$D:$DH,CL$1,0),1)="V",IF(CK124&gt;=INDEX('[1]Définition Maintenances'!$G:$G,MATCH($A124,'[1]Définition Maintenances'!$K:$K,0)),CK124,INDEX('[1]Définition Maintenances'!$G:$G,MATCH($A124,'[1]Définition Maintenances'!$K:$K,0))+CK124),CK124))</f>
        <v>220</v>
      </c>
      <c r="CM124" s="26">
        <f>IF(ISNUMBER(VLOOKUP($D124,'Visu totale'!$D:$DH,CM$1,0)),CL124-VLOOKUP($D124,'Visu totale'!$D:$DH,CM$1,0),IF(LEFT(VLOOKUP($D124,'Visu totale'!$D:$DH,CM$1,0),1)="V",IF(CL124&gt;=INDEX('[1]Définition Maintenances'!$G:$G,MATCH($A124,'[1]Définition Maintenances'!$K:$K,0)),CL124,INDEX('[1]Définition Maintenances'!$G:$G,MATCH($A124,'[1]Définition Maintenances'!$K:$K,0))+CL124),CL124))</f>
        <v>220</v>
      </c>
      <c r="CN124" s="26">
        <f>IF(ISNUMBER(VLOOKUP($D124,'Visu totale'!$D:$DH,CN$1,0)),CM124-VLOOKUP($D124,'Visu totale'!$D:$DH,CN$1,0),IF(LEFT(VLOOKUP($D124,'Visu totale'!$D:$DH,CN$1,0),1)="V",IF(CM124&gt;=INDEX('[1]Définition Maintenances'!$G:$G,MATCH($A124,'[1]Définition Maintenances'!$K:$K,0)),CM124,INDEX('[1]Définition Maintenances'!$G:$G,MATCH($A124,'[1]Définition Maintenances'!$K:$K,0))+CM124),CM124))</f>
        <v>220</v>
      </c>
      <c r="CO124" s="26">
        <f>IF(ISNUMBER(VLOOKUP($D124,'Visu totale'!$D:$DH,CO$1,0)),CN124-VLOOKUP($D124,'Visu totale'!$D:$DH,CO$1,0),IF(LEFT(VLOOKUP($D124,'Visu totale'!$D:$DH,CO$1,0),1)="V",IF(CN124&gt;=INDEX('[1]Définition Maintenances'!$G:$G,MATCH($A124,'[1]Définition Maintenances'!$K:$K,0)),CN124,INDEX('[1]Définition Maintenances'!$G:$G,MATCH($A124,'[1]Définition Maintenances'!$K:$K,0))+CN124),CN124))</f>
        <v>220</v>
      </c>
      <c r="CP124" s="26">
        <f>IF(ISNUMBER(VLOOKUP($D124,'Visu totale'!$D:$DH,CP$1,0)),CO124-VLOOKUP($D124,'Visu totale'!$D:$DH,CP$1,0),IF(LEFT(VLOOKUP($D124,'Visu totale'!$D:$DH,CP$1,0),1)="V",IF(CO124&gt;=INDEX('[1]Définition Maintenances'!$G:$G,MATCH($A124,'[1]Définition Maintenances'!$K:$K,0)),CO124,INDEX('[1]Définition Maintenances'!$G:$G,MATCH($A124,'[1]Définition Maintenances'!$K:$K,0))+CO124),CO124))</f>
        <v>220</v>
      </c>
      <c r="CQ124" s="26">
        <f>IF(ISNUMBER(VLOOKUP($D124,'Visu totale'!$D:$DH,CQ$1,0)),CP124-VLOOKUP($D124,'Visu totale'!$D:$DH,CQ$1,0),IF(LEFT(VLOOKUP($D124,'Visu totale'!$D:$DH,CQ$1,0),1)="V",IF(CP124&gt;=INDEX('[1]Définition Maintenances'!$G:$G,MATCH($A124,'[1]Définition Maintenances'!$K:$K,0)),CP124,INDEX('[1]Définition Maintenances'!$G:$G,MATCH($A124,'[1]Définition Maintenances'!$K:$K,0))+CP124),CP124))</f>
        <v>220</v>
      </c>
      <c r="CR124" s="26">
        <f>IF(ISNUMBER(VLOOKUP($D124,'Visu totale'!$D:$DH,CR$1,0)),CQ124-VLOOKUP($D124,'Visu totale'!$D:$DH,CR$1,0),IF(LEFT(VLOOKUP($D124,'Visu totale'!$D:$DH,CR$1,0),1)="V",IF(CQ124&gt;=INDEX('[1]Définition Maintenances'!$G:$G,MATCH($A124,'[1]Définition Maintenances'!$K:$K,0)),CQ124,INDEX('[1]Définition Maintenances'!$G:$G,MATCH($A124,'[1]Définition Maintenances'!$K:$K,0))+CQ124),CQ124))</f>
        <v>220</v>
      </c>
      <c r="CS124" s="26">
        <f>IF(ISNUMBER(VLOOKUP($D124,'Visu totale'!$D:$DH,CS$1,0)),CR124-VLOOKUP($D124,'Visu totale'!$D:$DH,CS$1,0),IF(LEFT(VLOOKUP($D124,'Visu totale'!$D:$DH,CS$1,0),1)="V",IF(CR124&gt;=INDEX('[1]Définition Maintenances'!$G:$G,MATCH($A124,'[1]Définition Maintenances'!$K:$K,0)),CR124,INDEX('[1]Définition Maintenances'!$G:$G,MATCH($A124,'[1]Définition Maintenances'!$K:$K,0))+CR124),CR124))</f>
        <v>220</v>
      </c>
      <c r="CT124" s="26">
        <f>IF(ISNUMBER(VLOOKUP($D124,'Visu totale'!$D:$DH,CT$1,0)),CS124-VLOOKUP($D124,'Visu totale'!$D:$DH,CT$1,0),IF(LEFT(VLOOKUP($D124,'Visu totale'!$D:$DH,CT$1,0),1)="V",IF(CS124&gt;=INDEX('[1]Définition Maintenances'!$G:$G,MATCH($A124,'[1]Définition Maintenances'!$K:$K,0)),CS124,INDEX('[1]Définition Maintenances'!$G:$G,MATCH($A124,'[1]Définition Maintenances'!$K:$K,0))+CS124),CS124))</f>
        <v>220</v>
      </c>
      <c r="CU124" s="26">
        <f>IF(ISNUMBER(VLOOKUP($D124,'Visu totale'!$D:$DH,CU$1,0)),CT124-VLOOKUP($D124,'Visu totale'!$D:$DH,CU$1,0),IF(LEFT(VLOOKUP($D124,'Visu totale'!$D:$DH,CU$1,0),1)="V",IF(CT124&gt;=INDEX('[1]Définition Maintenances'!$G:$G,MATCH($A124,'[1]Définition Maintenances'!$K:$K,0)),CT124,INDEX('[1]Définition Maintenances'!$G:$G,MATCH($A124,'[1]Définition Maintenances'!$K:$K,0))+CT124),CT124))</f>
        <v>220</v>
      </c>
      <c r="CV124" s="26">
        <f>IF(ISNUMBER(VLOOKUP($D124,'Visu totale'!$D:$DH,CV$1,0)),CU124-VLOOKUP($D124,'Visu totale'!$D:$DH,CV$1,0),IF(LEFT(VLOOKUP($D124,'Visu totale'!$D:$DH,CV$1,0),1)="V",IF(CU124&gt;=INDEX('[1]Définition Maintenances'!$G:$G,MATCH($A124,'[1]Définition Maintenances'!$K:$K,0)),CU124,INDEX('[1]Définition Maintenances'!$G:$G,MATCH($A124,'[1]Définition Maintenances'!$K:$K,0))+CU124),CU124))</f>
        <v>220</v>
      </c>
      <c r="CW124" s="27">
        <f>IF(ISNUMBER(VLOOKUP($D124,'Visu totale'!$D:$DH,CW$1,0)),CV124-VLOOKUP($D124,'Visu totale'!$D:$DH,CW$1,0),IF(LEFT(VLOOKUP($D124,'Visu totale'!$D:$DH,CW$1,0),1)="V",IF(CV124&gt;=INDEX('[1]Définition Maintenances'!$G:$G,MATCH($A124,'[1]Définition Maintenances'!$K:$K,0)),CV124,INDEX('[1]Définition Maintenances'!$G:$G,MATCH($A124,'[1]Définition Maintenances'!$K:$K,0))+CV124),CV124))</f>
        <v>220</v>
      </c>
      <c r="CX124" s="25">
        <f>IF(ISNUMBER(VLOOKUP($D124,'Visu totale'!$D:$DH,CX$1,0)),CW124-VLOOKUP($D124,'Visu totale'!$D:$DH,CX$1,0),IF(LEFT(VLOOKUP($D124,'Visu totale'!$D:$DH,CX$1,0),1)="V",IF(CW124&gt;=INDEX('[1]Définition Maintenances'!$G:$G,MATCH($A124,'[1]Définition Maintenances'!$K:$K,0)),CW124,INDEX('[1]Définition Maintenances'!$G:$G,MATCH($A124,'[1]Définition Maintenances'!$K:$K,0))+CW124),CW124))</f>
        <v>220</v>
      </c>
      <c r="CY124" s="26">
        <f>IF(ISNUMBER(VLOOKUP($D124,'Visu totale'!$D:$DH,CY$1,0)),CX124-VLOOKUP($D124,'Visu totale'!$D:$DH,CY$1,0),IF(LEFT(VLOOKUP($D124,'Visu totale'!$D:$DH,CY$1,0),1)="V",IF(CX124&gt;=INDEX('[1]Définition Maintenances'!$G:$G,MATCH($A124,'[1]Définition Maintenances'!$K:$K,0)),CX124,INDEX('[1]Définition Maintenances'!$G:$G,MATCH($A124,'[1]Définition Maintenances'!$K:$K,0))+CX124),CX124))</f>
        <v>220</v>
      </c>
      <c r="CZ124" s="26">
        <f>IF(ISNUMBER(VLOOKUP($D124,'Visu totale'!$D:$DH,CZ$1,0)),CY124-VLOOKUP($D124,'Visu totale'!$D:$DH,CZ$1,0),IF(LEFT(VLOOKUP($D124,'Visu totale'!$D:$DH,CZ$1,0),1)="V",IF(CY124&gt;=INDEX('[1]Définition Maintenances'!$G:$G,MATCH($A124,'[1]Définition Maintenances'!$K:$K,0)),CY124,INDEX('[1]Définition Maintenances'!$G:$G,MATCH($A124,'[1]Définition Maintenances'!$K:$K,0))+CY124),CY124))</f>
        <v>220</v>
      </c>
      <c r="DA124" s="26">
        <f>IF(ISNUMBER(VLOOKUP($D124,'Visu totale'!$D:$DH,DA$1,0)),CZ124-VLOOKUP($D124,'Visu totale'!$D:$DH,DA$1,0),IF(LEFT(VLOOKUP($D124,'Visu totale'!$D:$DH,DA$1,0),1)="V",IF(CZ124&gt;=INDEX('[1]Définition Maintenances'!$G:$G,MATCH($A124,'[1]Définition Maintenances'!$K:$K,0)),CZ124,INDEX('[1]Définition Maintenances'!$G:$G,MATCH($A124,'[1]Définition Maintenances'!$K:$K,0))+CZ124),CZ124))</f>
        <v>220</v>
      </c>
      <c r="DB124" s="26">
        <f>IF(ISNUMBER(VLOOKUP($D124,'Visu totale'!$D:$DH,DB$1,0)),DA124-VLOOKUP($D124,'Visu totale'!$D:$DH,DB$1,0),IF(LEFT(VLOOKUP($D124,'Visu totale'!$D:$DH,DB$1,0),1)="V",IF(DA124&gt;=INDEX('[1]Définition Maintenances'!$G:$G,MATCH($A124,'[1]Définition Maintenances'!$K:$K,0)),DA124,INDEX('[1]Définition Maintenances'!$G:$G,MATCH($A124,'[1]Définition Maintenances'!$K:$K,0))+DA124),DA124))</f>
        <v>220</v>
      </c>
      <c r="DC124" s="26">
        <f>IF(ISNUMBER(VLOOKUP($D124,'Visu totale'!$D:$DH,DC$1,0)),DB124-VLOOKUP($D124,'Visu totale'!$D:$DH,DC$1,0),IF(LEFT(VLOOKUP($D124,'Visu totale'!$D:$DH,DC$1,0),1)="V",IF(DB124&gt;=INDEX('[1]Définition Maintenances'!$G:$G,MATCH($A124,'[1]Définition Maintenances'!$K:$K,0)),DB124,INDEX('[1]Définition Maintenances'!$G:$G,MATCH($A124,'[1]Définition Maintenances'!$K:$K,0))+DB124),DB124))</f>
        <v>220</v>
      </c>
      <c r="DD124" s="26">
        <f>IF(ISNUMBER(VLOOKUP($D124,'Visu totale'!$D:$DH,DD$1,0)),DC124-VLOOKUP($D124,'Visu totale'!$D:$DH,DD$1,0),IF(LEFT(VLOOKUP($D124,'Visu totale'!$D:$DH,DD$1,0),1)="V",IF(DC124&gt;=INDEX('[1]Définition Maintenances'!$G:$G,MATCH($A124,'[1]Définition Maintenances'!$K:$K,0)),DC124,INDEX('[1]Définition Maintenances'!$G:$G,MATCH($A124,'[1]Définition Maintenances'!$K:$K,0))+DC124),DC124))</f>
        <v>220</v>
      </c>
      <c r="DE124" s="26">
        <f>IF(ISNUMBER(VLOOKUP($D124,'Visu totale'!$D:$DH,DE$1,0)),DD124-VLOOKUP($D124,'Visu totale'!$D:$DH,DE$1,0),IF(LEFT(VLOOKUP($D124,'Visu totale'!$D:$DH,DE$1,0),1)="V",IF(DD124&gt;=INDEX('[1]Définition Maintenances'!$G:$G,MATCH($A124,'[1]Définition Maintenances'!$K:$K,0)),DD124,INDEX('[1]Définition Maintenances'!$G:$G,MATCH($A124,'[1]Définition Maintenances'!$K:$K,0))+DD124),DD124))</f>
        <v>220</v>
      </c>
      <c r="DF124" s="26">
        <f>IF(ISNUMBER(VLOOKUP($D124,'Visu totale'!$D:$DH,DF$1,0)),DE124-VLOOKUP($D124,'Visu totale'!$D:$DH,DF$1,0),IF(LEFT(VLOOKUP($D124,'Visu totale'!$D:$DH,DF$1,0),1)="V",IF(DE124&gt;=INDEX('[1]Définition Maintenances'!$G:$G,MATCH($A124,'[1]Définition Maintenances'!$K:$K,0)),DE124,INDEX('[1]Définition Maintenances'!$G:$G,MATCH($A124,'[1]Définition Maintenances'!$K:$K,0))+DE124),DE124))</f>
        <v>220</v>
      </c>
      <c r="DG124" s="26">
        <f>IF(ISNUMBER(VLOOKUP($D124,'Visu totale'!$D:$DH,DG$1,0)),DF124-VLOOKUP($D124,'Visu totale'!$D:$DH,DG$1,0),IF(LEFT(VLOOKUP($D124,'Visu totale'!$D:$DH,DG$1,0),1)="V",IF(DF124&gt;=INDEX('[1]Définition Maintenances'!$G:$G,MATCH($A124,'[1]Définition Maintenances'!$K:$K,0)),DF124,INDEX('[1]Définition Maintenances'!$G:$G,MATCH($A124,'[1]Définition Maintenances'!$K:$K,0))+DF124),DF124))</f>
        <v>220</v>
      </c>
      <c r="DH124" s="26">
        <f>IF(ISNUMBER(VLOOKUP($D124,'Visu totale'!$D:$DH,DH$1,0)),DG124-VLOOKUP($D124,'Visu totale'!$D:$DH,DH$1,0),IF(LEFT(VLOOKUP($D124,'Visu totale'!$D:$DH,DH$1,0),1)="V",IF(DG124&gt;=INDEX('[1]Définition Maintenances'!$G:$G,MATCH($A124,'[1]Définition Maintenances'!$K:$K,0)),DG124,INDEX('[1]Définition Maintenances'!$G:$G,MATCH($A124,'[1]Définition Maintenances'!$K:$K,0))+DG124),DG124))</f>
        <v>220</v>
      </c>
      <c r="DI124" s="27">
        <f>IF(ISNUMBER(VLOOKUP($D124,'Visu totale'!$D:$DH,DI$1,0)),DH124-VLOOKUP($D124,'Visu totale'!$D:$DH,DI$1,0),IF(LEFT(VLOOKUP($D124,'Visu totale'!$D:$DH,DI$1,0),1)="V",IF(DH124&gt;=INDEX('[1]Définition Maintenances'!$G:$G,MATCH($A124,'[1]Définition Maintenances'!$K:$K,0)),DH124,INDEX('[1]Définition Maintenances'!$G:$G,MATCH($A124,'[1]Définition Maintenances'!$K:$K,0))+DH124),DH124))</f>
        <v>220</v>
      </c>
    </row>
    <row r="125" spans="1:113" x14ac:dyDescent="0.25">
      <c r="A125" s="13" t="str">
        <f t="shared" si="3"/>
        <v>V55</v>
      </c>
      <c r="B125" s="13" t="str">
        <f>VLOOKUP(D125,'[1]Avions (Potentiels)'!$B$2:$H$128,7,FALSE)</f>
        <v>V5</v>
      </c>
      <c r="C125" s="13"/>
      <c r="D125" s="16" t="s">
        <v>128</v>
      </c>
      <c r="E125" s="13">
        <f>IFERROR(VALUE(SUBSTITUTE(VLOOKUP(D125,'[1]Avions (Potentiels)'!$B:$E,4,0),".",",")),VALUE(VLOOKUP(D125,'[1]Avions (Potentiels)'!$B:$E,4,0)))</f>
        <v>1177</v>
      </c>
      <c r="F125" s="25">
        <f>IF(ISNUMBER(VLOOKUP($D125,'Visu totale'!$D:$DH,F$1,0)),E125-VLOOKUP($D125,'Visu totale'!$D:$DH,F$1,0),IF(LEFT(VLOOKUP($D125,'Visu totale'!$D:$DH,F$1,0),1)="V",IF(E125&gt;=INDEX('[1]Définition Maintenances'!$G:$G,MATCH($A125,'[1]Définition Maintenances'!$K:$K,0)),E125,INDEX('[1]Définition Maintenances'!$G:$G,MATCH($A125,'[1]Définition Maintenances'!$K:$K,0))+E125),E125))</f>
        <v>1177</v>
      </c>
      <c r="G125" s="26">
        <f>IF(ISNUMBER(VLOOKUP($D125,'Visu totale'!$D:$DH,G$1,0)),F125-VLOOKUP($D125,'Visu totale'!$D:$DH,G$1,0),IF(LEFT(VLOOKUP($D125,'Visu totale'!$D:$DH,G$1,0),1)="V",IF(F125&gt;=INDEX('[1]Définition Maintenances'!$G:$G,MATCH($A125,'[1]Définition Maintenances'!$K:$K,0)),F125,INDEX('[1]Définition Maintenances'!$G:$G,MATCH($A125,'[1]Définition Maintenances'!$K:$K,0))+F125),F125))</f>
        <v>1177</v>
      </c>
      <c r="H125" s="26">
        <f>IF(ISNUMBER(VLOOKUP($D125,'Visu totale'!$D:$DH,H$1,0)),G125-VLOOKUP($D125,'Visu totale'!$D:$DH,H$1,0),IF(LEFT(VLOOKUP($D125,'Visu totale'!$D:$DH,H$1,0),1)="V",IF(G125&gt;=INDEX('[1]Définition Maintenances'!$G:$G,MATCH($A125,'[1]Définition Maintenances'!$K:$K,0)),G125,INDEX('[1]Définition Maintenances'!$G:$G,MATCH($A125,'[1]Définition Maintenances'!$K:$K,0))+G125),G125))</f>
        <v>1177</v>
      </c>
      <c r="I125" s="26">
        <f>IF(ISNUMBER(VLOOKUP($D125,'Visu totale'!$D:$DH,I$1,0)),H125-VLOOKUP($D125,'Visu totale'!$D:$DH,I$1,0),IF(LEFT(VLOOKUP($D125,'Visu totale'!$D:$DH,I$1,0),1)="V",IF(H125&gt;=INDEX('[1]Définition Maintenances'!$G:$G,MATCH($A125,'[1]Définition Maintenances'!$K:$K,0)),H125,INDEX('[1]Définition Maintenances'!$G:$G,MATCH($A125,'[1]Définition Maintenances'!$K:$K,0))+H125),H125))</f>
        <v>1177</v>
      </c>
      <c r="J125" s="26">
        <f>IF(ISNUMBER(VLOOKUP($D125,'Visu totale'!$D:$DH,J$1,0)),I125-VLOOKUP($D125,'Visu totale'!$D:$DH,J$1,0),IF(LEFT(VLOOKUP($D125,'Visu totale'!$D:$DH,J$1,0),1)="V",IF(I125&gt;=INDEX('[1]Définition Maintenances'!$G:$G,MATCH($A125,'[1]Définition Maintenances'!$K:$K,0)),I125,INDEX('[1]Définition Maintenances'!$G:$G,MATCH($A125,'[1]Définition Maintenances'!$K:$K,0))+I125),I125))</f>
        <v>1177</v>
      </c>
      <c r="K125" s="26">
        <f>IF(ISNUMBER(VLOOKUP($D125,'Visu totale'!$D:$DH,K$1,0)),J125-VLOOKUP($D125,'Visu totale'!$D:$DH,K$1,0),IF(LEFT(VLOOKUP($D125,'Visu totale'!$D:$DH,K$1,0),1)="V",IF(J125&gt;=INDEX('[1]Définition Maintenances'!$G:$G,MATCH($A125,'[1]Définition Maintenances'!$K:$K,0)),J125,INDEX('[1]Définition Maintenances'!$G:$G,MATCH($A125,'[1]Définition Maintenances'!$K:$K,0))+J125),J125))</f>
        <v>1177</v>
      </c>
      <c r="L125" s="26">
        <f>IF(ISNUMBER(VLOOKUP($D125,'Visu totale'!$D:$DH,L$1,0)),K125-VLOOKUP($D125,'Visu totale'!$D:$DH,L$1,0),IF(LEFT(VLOOKUP($D125,'Visu totale'!$D:$DH,L$1,0),1)="V",IF(K125&gt;=INDEX('[1]Définition Maintenances'!$G:$G,MATCH($A125,'[1]Définition Maintenances'!$K:$K,0)),K125,INDEX('[1]Définition Maintenances'!$G:$G,MATCH($A125,'[1]Définition Maintenances'!$K:$K,0))+K125),K125))</f>
        <v>1177</v>
      </c>
      <c r="M125" s="26">
        <f>IF(ISNUMBER(VLOOKUP($D125,'Visu totale'!$D:$DH,M$1,0)),L125-VLOOKUP($D125,'Visu totale'!$D:$DH,M$1,0),IF(LEFT(VLOOKUP($D125,'Visu totale'!$D:$DH,M$1,0),1)="V",IF(L125&gt;=INDEX('[1]Définition Maintenances'!$G:$G,MATCH($A125,'[1]Définition Maintenances'!$K:$K,0)),L125,INDEX('[1]Définition Maintenances'!$G:$G,MATCH($A125,'[1]Définition Maintenances'!$K:$K,0))+L125),L125))</f>
        <v>1177</v>
      </c>
      <c r="N125" s="26">
        <f>IF(ISNUMBER(VLOOKUP($D125,'Visu totale'!$D:$DH,N$1,0)),M125-VLOOKUP($D125,'Visu totale'!$D:$DH,N$1,0),IF(LEFT(VLOOKUP($D125,'Visu totale'!$D:$DH,N$1,0),1)="V",IF(M125&gt;=INDEX('[1]Définition Maintenances'!$G:$G,MATCH($A125,'[1]Définition Maintenances'!$K:$K,0)),M125,INDEX('[1]Définition Maintenances'!$G:$G,MATCH($A125,'[1]Définition Maintenances'!$K:$K,0))+M125),M125))</f>
        <v>1177</v>
      </c>
      <c r="O125" s="26">
        <f>IF(ISNUMBER(VLOOKUP($D125,'Visu totale'!$D:$DH,O$1,0)),N125-VLOOKUP($D125,'Visu totale'!$D:$DH,O$1,0),IF(LEFT(VLOOKUP($D125,'Visu totale'!$D:$DH,O$1,0),1)="V",IF(N125&gt;=INDEX('[1]Définition Maintenances'!$G:$G,MATCH($A125,'[1]Définition Maintenances'!$K:$K,0)),N125,INDEX('[1]Définition Maintenances'!$G:$G,MATCH($A125,'[1]Définition Maintenances'!$K:$K,0))+N125),N125))</f>
        <v>1177</v>
      </c>
      <c r="P125" s="26">
        <f>IF(ISNUMBER(VLOOKUP($D125,'Visu totale'!$D:$DH,P$1,0)),O125-VLOOKUP($D125,'Visu totale'!$D:$DH,P$1,0),IF(LEFT(VLOOKUP($D125,'Visu totale'!$D:$DH,P$1,0),1)="V",IF(O125&gt;=INDEX('[1]Définition Maintenances'!$G:$G,MATCH($A125,'[1]Définition Maintenances'!$K:$K,0)),O125,INDEX('[1]Définition Maintenances'!$G:$G,MATCH($A125,'[1]Définition Maintenances'!$K:$K,0))+O125),O125))</f>
        <v>1177</v>
      </c>
      <c r="Q125" s="27">
        <f>IF(ISNUMBER(VLOOKUP($D125,'Visu totale'!$D:$DH,Q$1,0)),P125-VLOOKUP($D125,'Visu totale'!$D:$DH,Q$1,0),IF(LEFT(VLOOKUP($D125,'Visu totale'!$D:$DH,Q$1,0),1)="V",IF(P125&gt;=INDEX('[1]Définition Maintenances'!$G:$G,MATCH($A125,'[1]Définition Maintenances'!$K:$K,0)),P125,INDEX('[1]Définition Maintenances'!$G:$G,MATCH($A125,'[1]Définition Maintenances'!$K:$K,0))+P125),P125))</f>
        <v>1177</v>
      </c>
      <c r="R125" s="25">
        <f>IF(ISNUMBER(VLOOKUP($D125,'Visu totale'!$D:$DH,R$1,0)),Q125-VLOOKUP($D125,'Visu totale'!$D:$DH,R$1,0),IF(LEFT(VLOOKUP($D125,'Visu totale'!$D:$DH,R$1,0),1)="V",IF(Q125&gt;=INDEX('[1]Définition Maintenances'!$G:$G,MATCH($A125,'[1]Définition Maintenances'!$K:$K,0)),Q125,INDEX('[1]Définition Maintenances'!$G:$G,MATCH($A125,'[1]Définition Maintenances'!$K:$K,0))+Q125),Q125))</f>
        <v>1177</v>
      </c>
      <c r="S125" s="26">
        <f>IF(ISNUMBER(VLOOKUP($D125,'Visu totale'!$D:$DH,S$1,0)),R125-VLOOKUP($D125,'Visu totale'!$D:$DH,S$1,0),IF(LEFT(VLOOKUP($D125,'Visu totale'!$D:$DH,S$1,0),1)="V",IF(R125&gt;=INDEX('[1]Définition Maintenances'!$G:$G,MATCH($A125,'[1]Définition Maintenances'!$K:$K,0)),R125,INDEX('[1]Définition Maintenances'!$G:$G,MATCH($A125,'[1]Définition Maintenances'!$K:$K,0))+R125),R125))</f>
        <v>1177</v>
      </c>
      <c r="T125" s="26">
        <f>IF(ISNUMBER(VLOOKUP($D125,'Visu totale'!$D:$DH,T$1,0)),S125-VLOOKUP($D125,'Visu totale'!$D:$DH,T$1,0),IF(LEFT(VLOOKUP($D125,'Visu totale'!$D:$DH,T$1,0),1)="V",IF(S125&gt;=INDEX('[1]Définition Maintenances'!$G:$G,MATCH($A125,'[1]Définition Maintenances'!$K:$K,0)),S125,INDEX('[1]Définition Maintenances'!$G:$G,MATCH($A125,'[1]Définition Maintenances'!$K:$K,0))+S125),S125))</f>
        <v>1177</v>
      </c>
      <c r="U125" s="26">
        <f>IF(ISNUMBER(VLOOKUP($D125,'Visu totale'!$D:$DH,U$1,0)),T125-VLOOKUP($D125,'Visu totale'!$D:$DH,U$1,0),IF(LEFT(VLOOKUP($D125,'Visu totale'!$D:$DH,U$1,0),1)="V",IF(T125&gt;=INDEX('[1]Définition Maintenances'!$G:$G,MATCH($A125,'[1]Définition Maintenances'!$K:$K,0)),T125,INDEX('[1]Définition Maintenances'!$G:$G,MATCH($A125,'[1]Définition Maintenances'!$K:$K,0))+T125),T125))</f>
        <v>1177</v>
      </c>
      <c r="V125" s="26">
        <f>IF(ISNUMBER(VLOOKUP($D125,'Visu totale'!$D:$DH,V$1,0)),U125-VLOOKUP($D125,'Visu totale'!$D:$DH,V$1,0),IF(LEFT(VLOOKUP($D125,'Visu totale'!$D:$DH,V$1,0),1)="V",IF(U125&gt;=INDEX('[1]Définition Maintenances'!$G:$G,MATCH($A125,'[1]Définition Maintenances'!$K:$K,0)),U125,INDEX('[1]Définition Maintenances'!$G:$G,MATCH($A125,'[1]Définition Maintenances'!$K:$K,0))+U125),U125))</f>
        <v>1177</v>
      </c>
      <c r="W125" s="26">
        <f>IF(ISNUMBER(VLOOKUP($D125,'Visu totale'!$D:$DH,W$1,0)),V125-VLOOKUP($D125,'Visu totale'!$D:$DH,W$1,0),IF(LEFT(VLOOKUP($D125,'Visu totale'!$D:$DH,W$1,0),1)="V",IF(V125&gt;=INDEX('[1]Définition Maintenances'!$G:$G,MATCH($A125,'[1]Définition Maintenances'!$K:$K,0)),V125,INDEX('[1]Définition Maintenances'!$G:$G,MATCH($A125,'[1]Définition Maintenances'!$K:$K,0))+V125),V125))</f>
        <v>1177</v>
      </c>
      <c r="X125" s="26">
        <f>IF(ISNUMBER(VLOOKUP($D125,'Visu totale'!$D:$DH,X$1,0)),W125-VLOOKUP($D125,'Visu totale'!$D:$DH,X$1,0),IF(LEFT(VLOOKUP($D125,'Visu totale'!$D:$DH,X$1,0),1)="V",IF(W125&gt;=INDEX('[1]Définition Maintenances'!$G:$G,MATCH($A125,'[1]Définition Maintenances'!$K:$K,0)),W125,INDEX('[1]Définition Maintenances'!$G:$G,MATCH($A125,'[1]Définition Maintenances'!$K:$K,0))+W125),W125))</f>
        <v>1177</v>
      </c>
      <c r="Y125" s="26">
        <f>IF(ISNUMBER(VLOOKUP($D125,'Visu totale'!$D:$DH,Y$1,0)),X125-VLOOKUP($D125,'Visu totale'!$D:$DH,Y$1,0),IF(LEFT(VLOOKUP($D125,'Visu totale'!$D:$DH,Y$1,0),1)="V",IF(X125&gt;=INDEX('[1]Définition Maintenances'!$G:$G,MATCH($A125,'[1]Définition Maintenances'!$K:$K,0)),X125,INDEX('[1]Définition Maintenances'!$G:$G,MATCH($A125,'[1]Définition Maintenances'!$K:$K,0))+X125),X125))</f>
        <v>1177</v>
      </c>
      <c r="Z125" s="26">
        <f>IF(ISNUMBER(VLOOKUP($D125,'Visu totale'!$D:$DH,Z$1,0)),Y125-VLOOKUP($D125,'Visu totale'!$D:$DH,Z$1,0),IF(LEFT(VLOOKUP($D125,'Visu totale'!$D:$DH,Z$1,0),1)="V",IF(Y125&gt;=INDEX('[1]Définition Maintenances'!$G:$G,MATCH($A125,'[1]Définition Maintenances'!$K:$K,0)),Y125,INDEX('[1]Définition Maintenances'!$G:$G,MATCH($A125,'[1]Définition Maintenances'!$K:$K,0))+Y125),Y125))</f>
        <v>1177</v>
      </c>
      <c r="AA125" s="26">
        <f>IF(ISNUMBER(VLOOKUP($D125,'Visu totale'!$D:$DH,AA$1,0)),Z125-VLOOKUP($D125,'Visu totale'!$D:$DH,AA$1,0),IF(LEFT(VLOOKUP($D125,'Visu totale'!$D:$DH,AA$1,0),1)="V",IF(Z125&gt;=INDEX('[1]Définition Maintenances'!$G:$G,MATCH($A125,'[1]Définition Maintenances'!$K:$K,0)),Z125,INDEX('[1]Définition Maintenances'!$G:$G,MATCH($A125,'[1]Définition Maintenances'!$K:$K,0))+Z125),Z125))</f>
        <v>1177</v>
      </c>
      <c r="AB125" s="26">
        <f>IF(ISNUMBER(VLOOKUP($D125,'Visu totale'!$D:$DH,AB$1,0)),AA125-VLOOKUP($D125,'Visu totale'!$D:$DH,AB$1,0),IF(LEFT(VLOOKUP($D125,'Visu totale'!$D:$DH,AB$1,0),1)="V",IF(AA125&gt;=INDEX('[1]Définition Maintenances'!$G:$G,MATCH($A125,'[1]Définition Maintenances'!$K:$K,0)),AA125,INDEX('[1]Définition Maintenances'!$G:$G,MATCH($A125,'[1]Définition Maintenances'!$K:$K,0))+AA125),AA125))</f>
        <v>1177</v>
      </c>
      <c r="AC125" s="27">
        <f>IF(ISNUMBER(VLOOKUP($D125,'Visu totale'!$D:$DH,AC$1,0)),AB125-VLOOKUP($D125,'Visu totale'!$D:$DH,AC$1,0),IF(LEFT(VLOOKUP($D125,'Visu totale'!$D:$DH,AC$1,0),1)="V",IF(AB125&gt;=INDEX('[1]Définition Maintenances'!$G:$G,MATCH($A125,'[1]Définition Maintenances'!$K:$K,0)),AB125,INDEX('[1]Définition Maintenances'!$G:$G,MATCH($A125,'[1]Définition Maintenances'!$K:$K,0))+AB125),AB125))</f>
        <v>1177</v>
      </c>
      <c r="AD125" s="25">
        <f>IF(ISNUMBER(VLOOKUP($D125,'Visu totale'!$D:$DH,AD$1,0)),AC125-VLOOKUP($D125,'Visu totale'!$D:$DH,AD$1,0),IF(LEFT(VLOOKUP($D125,'Visu totale'!$D:$DH,AD$1,0),1)="V",IF(AC125&gt;=INDEX('[1]Définition Maintenances'!$G:$G,MATCH($A125,'[1]Définition Maintenances'!$K:$K,0)),AC125,INDEX('[1]Définition Maintenances'!$G:$G,MATCH($A125,'[1]Définition Maintenances'!$K:$K,0))+AC125),AC125))</f>
        <v>1177</v>
      </c>
      <c r="AE125" s="26">
        <f>IF(ISNUMBER(VLOOKUP($D125,'Visu totale'!$D:$DH,AE$1,0)),AD125-VLOOKUP($D125,'Visu totale'!$D:$DH,AE$1,0),IF(LEFT(VLOOKUP($D125,'Visu totale'!$D:$DH,AE$1,0),1)="V",IF(AD125&gt;=INDEX('[1]Définition Maintenances'!$G:$G,MATCH($A125,'[1]Définition Maintenances'!$K:$K,0)),AD125,INDEX('[1]Définition Maintenances'!$G:$G,MATCH($A125,'[1]Définition Maintenances'!$K:$K,0))+AD125),AD125))</f>
        <v>1177</v>
      </c>
      <c r="AF125" s="26">
        <f>IF(ISNUMBER(VLOOKUP($D125,'Visu totale'!$D:$DH,AF$1,0)),AE125-VLOOKUP($D125,'Visu totale'!$D:$DH,AF$1,0),IF(LEFT(VLOOKUP($D125,'Visu totale'!$D:$DH,AF$1,0),1)="V",IF(AE125&gt;=INDEX('[1]Définition Maintenances'!$G:$G,MATCH($A125,'[1]Définition Maintenances'!$K:$K,0)),AE125,INDEX('[1]Définition Maintenances'!$G:$G,MATCH($A125,'[1]Définition Maintenances'!$K:$K,0))+AE125),AE125))</f>
        <v>1177</v>
      </c>
      <c r="AG125" s="26">
        <f>IF(ISNUMBER(VLOOKUP($D125,'Visu totale'!$D:$DH,AG$1,0)),AF125-VLOOKUP($D125,'Visu totale'!$D:$DH,AG$1,0),IF(LEFT(VLOOKUP($D125,'Visu totale'!$D:$DH,AG$1,0),1)="V",IF(AF125&gt;=INDEX('[1]Définition Maintenances'!$G:$G,MATCH($A125,'[1]Définition Maintenances'!$K:$K,0)),AF125,INDEX('[1]Définition Maintenances'!$G:$G,MATCH($A125,'[1]Définition Maintenances'!$K:$K,0))+AF125),AF125))</f>
        <v>1177</v>
      </c>
      <c r="AH125" s="26">
        <f>IF(ISNUMBER(VLOOKUP($D125,'Visu totale'!$D:$DH,AH$1,0)),AG125-VLOOKUP($D125,'Visu totale'!$D:$DH,AH$1,0),IF(LEFT(VLOOKUP($D125,'Visu totale'!$D:$DH,AH$1,0),1)="V",IF(AG125&gt;=INDEX('[1]Définition Maintenances'!$G:$G,MATCH($A125,'[1]Définition Maintenances'!$K:$K,0)),AG125,INDEX('[1]Définition Maintenances'!$G:$G,MATCH($A125,'[1]Définition Maintenances'!$K:$K,0))+AG125),AG125))</f>
        <v>1177</v>
      </c>
      <c r="AI125" s="26">
        <f>IF(ISNUMBER(VLOOKUP($D125,'Visu totale'!$D:$DH,AI$1,0)),AH125-VLOOKUP($D125,'Visu totale'!$D:$DH,AI$1,0),IF(LEFT(VLOOKUP($D125,'Visu totale'!$D:$DH,AI$1,0),1)="V",IF(AH125&gt;=INDEX('[1]Définition Maintenances'!$G:$G,MATCH($A125,'[1]Définition Maintenances'!$K:$K,0)),AH125,INDEX('[1]Définition Maintenances'!$G:$G,MATCH($A125,'[1]Définition Maintenances'!$K:$K,0))+AH125),AH125))</f>
        <v>1177</v>
      </c>
      <c r="AJ125" s="26">
        <f>IF(ISNUMBER(VLOOKUP($D125,'Visu totale'!$D:$DH,AJ$1,0)),AI125-VLOOKUP($D125,'Visu totale'!$D:$DH,AJ$1,0),IF(LEFT(VLOOKUP($D125,'Visu totale'!$D:$DH,AJ$1,0),1)="V",IF(AI125&gt;=INDEX('[1]Définition Maintenances'!$G:$G,MATCH($A125,'[1]Définition Maintenances'!$K:$K,0)),AI125,INDEX('[1]Définition Maintenances'!$G:$G,MATCH($A125,'[1]Définition Maintenances'!$K:$K,0))+AI125),AI125))</f>
        <v>1177</v>
      </c>
      <c r="AK125" s="26">
        <f>IF(ISNUMBER(VLOOKUP($D125,'Visu totale'!$D:$DH,AK$1,0)),AJ125-VLOOKUP($D125,'Visu totale'!$D:$DH,AK$1,0),IF(LEFT(VLOOKUP($D125,'Visu totale'!$D:$DH,AK$1,0),1)="V",IF(AJ125&gt;=INDEX('[1]Définition Maintenances'!$G:$G,MATCH($A125,'[1]Définition Maintenances'!$K:$K,0)),AJ125,INDEX('[1]Définition Maintenances'!$G:$G,MATCH($A125,'[1]Définition Maintenances'!$K:$K,0))+AJ125),AJ125))</f>
        <v>1177</v>
      </c>
      <c r="AL125" s="26">
        <f>IF(ISNUMBER(VLOOKUP($D125,'Visu totale'!$D:$DH,AL$1,0)),AK125-VLOOKUP($D125,'Visu totale'!$D:$DH,AL$1,0),IF(LEFT(VLOOKUP($D125,'Visu totale'!$D:$DH,AL$1,0),1)="V",IF(AK125&gt;=INDEX('[1]Définition Maintenances'!$G:$G,MATCH($A125,'[1]Définition Maintenances'!$K:$K,0)),AK125,INDEX('[1]Définition Maintenances'!$G:$G,MATCH($A125,'[1]Définition Maintenances'!$K:$K,0))+AK125),AK125))</f>
        <v>1177</v>
      </c>
      <c r="AM125" s="26">
        <f>IF(ISNUMBER(VLOOKUP($D125,'Visu totale'!$D:$DH,AM$1,0)),AL125-VLOOKUP($D125,'Visu totale'!$D:$DH,AM$1,0),IF(LEFT(VLOOKUP($D125,'Visu totale'!$D:$DH,AM$1,0),1)="V",IF(AL125&gt;=INDEX('[1]Définition Maintenances'!$G:$G,MATCH($A125,'[1]Définition Maintenances'!$K:$K,0)),AL125,INDEX('[1]Définition Maintenances'!$G:$G,MATCH($A125,'[1]Définition Maintenances'!$K:$K,0))+AL125),AL125))</f>
        <v>1177</v>
      </c>
      <c r="AN125" s="26">
        <f>IF(ISNUMBER(VLOOKUP($D125,'Visu totale'!$D:$DH,AN$1,0)),AM125-VLOOKUP($D125,'Visu totale'!$D:$DH,AN$1,0),IF(LEFT(VLOOKUP($D125,'Visu totale'!$D:$DH,AN$1,0),1)="V",IF(AM125&gt;=INDEX('[1]Définition Maintenances'!$G:$G,MATCH($A125,'[1]Définition Maintenances'!$K:$K,0)),AM125,INDEX('[1]Définition Maintenances'!$G:$G,MATCH($A125,'[1]Définition Maintenances'!$K:$K,0))+AM125),AM125))</f>
        <v>1177</v>
      </c>
      <c r="AO125" s="27">
        <f>IF(ISNUMBER(VLOOKUP($D125,'Visu totale'!$D:$DH,AO$1,0)),AN125-VLOOKUP($D125,'Visu totale'!$D:$DH,AO$1,0),IF(LEFT(VLOOKUP($D125,'Visu totale'!$D:$DH,AO$1,0),1)="V",IF(AN125&gt;=INDEX('[1]Définition Maintenances'!$G:$G,MATCH($A125,'[1]Définition Maintenances'!$K:$K,0)),AN125,INDEX('[1]Définition Maintenances'!$G:$G,MATCH($A125,'[1]Définition Maintenances'!$K:$K,0))+AN125),AN125))</f>
        <v>1177</v>
      </c>
      <c r="AP125" s="25">
        <f>IF(ISNUMBER(VLOOKUP($D125,'Visu totale'!$D:$DH,AP$1,0)),AO125-VLOOKUP($D125,'Visu totale'!$D:$DH,AP$1,0),IF(LEFT(VLOOKUP($D125,'Visu totale'!$D:$DH,AP$1,0),1)="V",IF(AO125&gt;=INDEX('[1]Définition Maintenances'!$G:$G,MATCH($A125,'[1]Définition Maintenances'!$K:$K,0)),AO125,INDEX('[1]Définition Maintenances'!$G:$G,MATCH($A125,'[1]Définition Maintenances'!$K:$K,0))+AO125),AO125))</f>
        <v>1177</v>
      </c>
      <c r="AQ125" s="26">
        <f>IF(ISNUMBER(VLOOKUP($D125,'Visu totale'!$D:$DH,AQ$1,0)),AP125-VLOOKUP($D125,'Visu totale'!$D:$DH,AQ$1,0),IF(LEFT(VLOOKUP($D125,'Visu totale'!$D:$DH,AQ$1,0),1)="V",IF(AP125&gt;=INDEX('[1]Définition Maintenances'!$G:$G,MATCH($A125,'[1]Définition Maintenances'!$K:$K,0)),AP125,INDEX('[1]Définition Maintenances'!$G:$G,MATCH($A125,'[1]Définition Maintenances'!$K:$K,0))+AP125),AP125))</f>
        <v>1177</v>
      </c>
      <c r="AR125" s="26">
        <f>IF(ISNUMBER(VLOOKUP($D125,'Visu totale'!$D:$DH,AR$1,0)),AQ125-VLOOKUP($D125,'Visu totale'!$D:$DH,AR$1,0),IF(LEFT(VLOOKUP($D125,'Visu totale'!$D:$DH,AR$1,0),1)="V",IF(AQ125&gt;=INDEX('[1]Définition Maintenances'!$G:$G,MATCH($A125,'[1]Définition Maintenances'!$K:$K,0)),AQ125,INDEX('[1]Définition Maintenances'!$G:$G,MATCH($A125,'[1]Définition Maintenances'!$K:$K,0))+AQ125),AQ125))</f>
        <v>1177</v>
      </c>
      <c r="AS125" s="26">
        <f>IF(ISNUMBER(VLOOKUP($D125,'Visu totale'!$D:$DH,AS$1,0)),AR125-VLOOKUP($D125,'Visu totale'!$D:$DH,AS$1,0),IF(LEFT(VLOOKUP($D125,'Visu totale'!$D:$DH,AS$1,0),1)="V",IF(AR125&gt;=INDEX('[1]Définition Maintenances'!$G:$G,MATCH($A125,'[1]Définition Maintenances'!$K:$K,0)),AR125,INDEX('[1]Définition Maintenances'!$G:$G,MATCH($A125,'[1]Définition Maintenances'!$K:$K,0))+AR125),AR125))</f>
        <v>1177</v>
      </c>
      <c r="AT125" s="26">
        <f>IF(ISNUMBER(VLOOKUP($D125,'Visu totale'!$D:$DH,AT$1,0)),AS125-VLOOKUP($D125,'Visu totale'!$D:$DH,AT$1,0),IF(LEFT(VLOOKUP($D125,'Visu totale'!$D:$DH,AT$1,0),1)="V",IF(AS125&gt;=INDEX('[1]Définition Maintenances'!$G:$G,MATCH($A125,'[1]Définition Maintenances'!$K:$K,0)),AS125,INDEX('[1]Définition Maintenances'!$G:$G,MATCH($A125,'[1]Définition Maintenances'!$K:$K,0))+AS125),AS125))</f>
        <v>1177</v>
      </c>
      <c r="AU125" s="26">
        <f>IF(ISNUMBER(VLOOKUP($D125,'Visu totale'!$D:$DH,AU$1,0)),AT125-VLOOKUP($D125,'Visu totale'!$D:$DH,AU$1,0),IF(LEFT(VLOOKUP($D125,'Visu totale'!$D:$DH,AU$1,0),1)="V",IF(AT125&gt;=INDEX('[1]Définition Maintenances'!$G:$G,MATCH($A125,'[1]Définition Maintenances'!$K:$K,0)),AT125,INDEX('[1]Définition Maintenances'!$G:$G,MATCH($A125,'[1]Définition Maintenances'!$K:$K,0))+AT125),AT125))</f>
        <v>1177</v>
      </c>
      <c r="AV125" s="26">
        <f>IF(ISNUMBER(VLOOKUP($D125,'Visu totale'!$D:$DH,AV$1,0)),AU125-VLOOKUP($D125,'Visu totale'!$D:$DH,AV$1,0),IF(LEFT(VLOOKUP($D125,'Visu totale'!$D:$DH,AV$1,0),1)="V",IF(AU125&gt;=INDEX('[1]Définition Maintenances'!$G:$G,MATCH($A125,'[1]Définition Maintenances'!$K:$K,0)),AU125,INDEX('[1]Définition Maintenances'!$G:$G,MATCH($A125,'[1]Définition Maintenances'!$K:$K,0))+AU125),AU125))</f>
        <v>1177</v>
      </c>
      <c r="AW125" s="26">
        <f>IF(ISNUMBER(VLOOKUP($D125,'Visu totale'!$D:$DH,AW$1,0)),AV125-VLOOKUP($D125,'Visu totale'!$D:$DH,AW$1,0),IF(LEFT(VLOOKUP($D125,'Visu totale'!$D:$DH,AW$1,0),1)="V",IF(AV125&gt;=INDEX('[1]Définition Maintenances'!$G:$G,MATCH($A125,'[1]Définition Maintenances'!$K:$K,0)),AV125,INDEX('[1]Définition Maintenances'!$G:$G,MATCH($A125,'[1]Définition Maintenances'!$K:$K,0))+AV125),AV125))</f>
        <v>1177</v>
      </c>
      <c r="AX125" s="26">
        <f>IF(ISNUMBER(VLOOKUP($D125,'Visu totale'!$D:$DH,AX$1,0)),AW125-VLOOKUP($D125,'Visu totale'!$D:$DH,AX$1,0),IF(LEFT(VLOOKUP($D125,'Visu totale'!$D:$DH,AX$1,0),1)="V",IF(AW125&gt;=INDEX('[1]Définition Maintenances'!$G:$G,MATCH($A125,'[1]Définition Maintenances'!$K:$K,0)),AW125,INDEX('[1]Définition Maintenances'!$G:$G,MATCH($A125,'[1]Définition Maintenances'!$K:$K,0))+AW125),AW125))</f>
        <v>1177</v>
      </c>
      <c r="AY125" s="26">
        <f>IF(ISNUMBER(VLOOKUP($D125,'Visu totale'!$D:$DH,AY$1,0)),AX125-VLOOKUP($D125,'Visu totale'!$D:$DH,AY$1,0),IF(LEFT(VLOOKUP($D125,'Visu totale'!$D:$DH,AY$1,0),1)="V",IF(AX125&gt;=INDEX('[1]Définition Maintenances'!$G:$G,MATCH($A125,'[1]Définition Maintenances'!$K:$K,0)),AX125,INDEX('[1]Définition Maintenances'!$G:$G,MATCH($A125,'[1]Définition Maintenances'!$K:$K,0))+AX125),AX125))</f>
        <v>1177</v>
      </c>
      <c r="AZ125" s="26">
        <f>IF(ISNUMBER(VLOOKUP($D125,'Visu totale'!$D:$DH,AZ$1,0)),AY125-VLOOKUP($D125,'Visu totale'!$D:$DH,AZ$1,0),IF(LEFT(VLOOKUP($D125,'Visu totale'!$D:$DH,AZ$1,0),1)="V",IF(AY125&gt;=INDEX('[1]Définition Maintenances'!$G:$G,MATCH($A125,'[1]Définition Maintenances'!$K:$K,0)),AY125,INDEX('[1]Définition Maintenances'!$G:$G,MATCH($A125,'[1]Définition Maintenances'!$K:$K,0))+AY125),AY125))</f>
        <v>1177</v>
      </c>
      <c r="BA125" s="27">
        <f>IF(ISNUMBER(VLOOKUP($D125,'Visu totale'!$D:$DH,BA$1,0)),AZ125-VLOOKUP($D125,'Visu totale'!$D:$DH,BA$1,0),IF(LEFT(VLOOKUP($D125,'Visu totale'!$D:$DH,BA$1,0),1)="V",IF(AZ125&gt;=INDEX('[1]Définition Maintenances'!$G:$G,MATCH($A125,'[1]Définition Maintenances'!$K:$K,0)),AZ125,INDEX('[1]Définition Maintenances'!$G:$G,MATCH($A125,'[1]Définition Maintenances'!$K:$K,0))+AZ125),AZ125))</f>
        <v>1177</v>
      </c>
      <c r="BB125" s="25">
        <f>IF(ISNUMBER(VLOOKUP($D125,'Visu totale'!$D:$DH,BB$1,0)),BA125-VLOOKUP($D125,'Visu totale'!$D:$DH,BB$1,0),IF(LEFT(VLOOKUP($D125,'Visu totale'!$D:$DH,BB$1,0),1)="V",IF(BA125&gt;=INDEX('[1]Définition Maintenances'!$G:$G,MATCH($A125,'[1]Définition Maintenances'!$K:$K,0)),BA125,INDEX('[1]Définition Maintenances'!$G:$G,MATCH($A125,'[1]Définition Maintenances'!$K:$K,0))+BA125),BA125))</f>
        <v>1177</v>
      </c>
      <c r="BC125" s="26">
        <f>IF(ISNUMBER(VLOOKUP($D125,'Visu totale'!$D:$DH,BC$1,0)),BB125-VLOOKUP($D125,'Visu totale'!$D:$DH,BC$1,0),IF(LEFT(VLOOKUP($D125,'Visu totale'!$D:$DH,BC$1,0),1)="V",IF(BB125&gt;=INDEX('[1]Définition Maintenances'!$G:$G,MATCH($A125,'[1]Définition Maintenances'!$K:$K,0)),BB125,INDEX('[1]Définition Maintenances'!$G:$G,MATCH($A125,'[1]Définition Maintenances'!$K:$K,0))+BB125),BB125))</f>
        <v>1177</v>
      </c>
      <c r="BD125" s="26">
        <f>IF(ISNUMBER(VLOOKUP($D125,'Visu totale'!$D:$DH,BD$1,0)),BC125-VLOOKUP($D125,'Visu totale'!$D:$DH,BD$1,0),IF(LEFT(VLOOKUP($D125,'Visu totale'!$D:$DH,BD$1,0),1)="V",IF(BC125&gt;=INDEX('[1]Définition Maintenances'!$G:$G,MATCH($A125,'[1]Définition Maintenances'!$K:$K,0)),BC125,INDEX('[1]Définition Maintenances'!$G:$G,MATCH($A125,'[1]Définition Maintenances'!$K:$K,0))+BC125),BC125))</f>
        <v>1177</v>
      </c>
      <c r="BE125" s="26">
        <f>IF(ISNUMBER(VLOOKUP($D125,'Visu totale'!$D:$DH,BE$1,0)),BD125-VLOOKUP($D125,'Visu totale'!$D:$DH,BE$1,0),IF(LEFT(VLOOKUP($D125,'Visu totale'!$D:$DH,BE$1,0),1)="V",IF(BD125&gt;=INDEX('[1]Définition Maintenances'!$G:$G,MATCH($A125,'[1]Définition Maintenances'!$K:$K,0)),BD125,INDEX('[1]Définition Maintenances'!$G:$G,MATCH($A125,'[1]Définition Maintenances'!$K:$K,0))+BD125),BD125))</f>
        <v>1177</v>
      </c>
      <c r="BF125" s="26">
        <f>IF(ISNUMBER(VLOOKUP($D125,'Visu totale'!$D:$DH,BF$1,0)),BE125-VLOOKUP($D125,'Visu totale'!$D:$DH,BF$1,0),IF(LEFT(VLOOKUP($D125,'Visu totale'!$D:$DH,BF$1,0),1)="V",IF(BE125&gt;=INDEX('[1]Définition Maintenances'!$G:$G,MATCH($A125,'[1]Définition Maintenances'!$K:$K,0)),BE125,INDEX('[1]Définition Maintenances'!$G:$G,MATCH($A125,'[1]Définition Maintenances'!$K:$K,0))+BE125),BE125))</f>
        <v>1177</v>
      </c>
      <c r="BG125" s="26">
        <f>IF(ISNUMBER(VLOOKUP($D125,'Visu totale'!$D:$DH,BG$1,0)),BF125-VLOOKUP($D125,'Visu totale'!$D:$DH,BG$1,0),IF(LEFT(VLOOKUP($D125,'Visu totale'!$D:$DH,BG$1,0),1)="V",IF(BF125&gt;=INDEX('[1]Définition Maintenances'!$G:$G,MATCH($A125,'[1]Définition Maintenances'!$K:$K,0)),BF125,INDEX('[1]Définition Maintenances'!$G:$G,MATCH($A125,'[1]Définition Maintenances'!$K:$K,0))+BF125),BF125))</f>
        <v>1177</v>
      </c>
      <c r="BH125" s="26">
        <f>IF(ISNUMBER(VLOOKUP($D125,'Visu totale'!$D:$DH,BH$1,0)),BG125-VLOOKUP($D125,'Visu totale'!$D:$DH,BH$1,0),IF(LEFT(VLOOKUP($D125,'Visu totale'!$D:$DH,BH$1,0),1)="V",IF(BG125&gt;=INDEX('[1]Définition Maintenances'!$G:$G,MATCH($A125,'[1]Définition Maintenances'!$K:$K,0)),BG125,INDEX('[1]Définition Maintenances'!$G:$G,MATCH($A125,'[1]Définition Maintenances'!$K:$K,0))+BG125),BG125))</f>
        <v>1177</v>
      </c>
      <c r="BI125" s="26">
        <f>IF(ISNUMBER(VLOOKUP($D125,'Visu totale'!$D:$DH,BI$1,0)),BH125-VLOOKUP($D125,'Visu totale'!$D:$DH,BI$1,0),IF(LEFT(VLOOKUP($D125,'Visu totale'!$D:$DH,BI$1,0),1)="V",IF(BH125&gt;=INDEX('[1]Définition Maintenances'!$G:$G,MATCH($A125,'[1]Définition Maintenances'!$K:$K,0)),BH125,INDEX('[1]Définition Maintenances'!$G:$G,MATCH($A125,'[1]Définition Maintenances'!$K:$K,0))+BH125),BH125))</f>
        <v>1177</v>
      </c>
      <c r="BJ125" s="26">
        <f>IF(ISNUMBER(VLOOKUP($D125,'Visu totale'!$D:$DH,BJ$1,0)),BI125-VLOOKUP($D125,'Visu totale'!$D:$DH,BJ$1,0),IF(LEFT(VLOOKUP($D125,'Visu totale'!$D:$DH,BJ$1,0),1)="V",IF(BI125&gt;=INDEX('[1]Définition Maintenances'!$G:$G,MATCH($A125,'[1]Définition Maintenances'!$K:$K,0)),BI125,INDEX('[1]Définition Maintenances'!$G:$G,MATCH($A125,'[1]Définition Maintenances'!$K:$K,0))+BI125),BI125))</f>
        <v>1177</v>
      </c>
      <c r="BK125" s="26">
        <f>IF(ISNUMBER(VLOOKUP($D125,'Visu totale'!$D:$DH,BK$1,0)),BJ125-VLOOKUP($D125,'Visu totale'!$D:$DH,BK$1,0),IF(LEFT(VLOOKUP($D125,'Visu totale'!$D:$DH,BK$1,0),1)="V",IF(BJ125&gt;=INDEX('[1]Définition Maintenances'!$G:$G,MATCH($A125,'[1]Définition Maintenances'!$K:$K,0)),BJ125,INDEX('[1]Définition Maintenances'!$G:$G,MATCH($A125,'[1]Définition Maintenances'!$K:$K,0))+BJ125),BJ125))</f>
        <v>1177</v>
      </c>
      <c r="BL125" s="26">
        <f>IF(ISNUMBER(VLOOKUP($D125,'Visu totale'!$D:$DH,BL$1,0)),BK125-VLOOKUP($D125,'Visu totale'!$D:$DH,BL$1,0),IF(LEFT(VLOOKUP($D125,'Visu totale'!$D:$DH,BL$1,0),1)="V",IF(BK125&gt;=INDEX('[1]Définition Maintenances'!$G:$G,MATCH($A125,'[1]Définition Maintenances'!$K:$K,0)),BK125,INDEX('[1]Définition Maintenances'!$G:$G,MATCH($A125,'[1]Définition Maintenances'!$K:$K,0))+BK125),BK125))</f>
        <v>1177</v>
      </c>
      <c r="BM125" s="27">
        <f>IF(ISNUMBER(VLOOKUP($D125,'Visu totale'!$D:$DH,BM$1,0)),BL125-VLOOKUP($D125,'Visu totale'!$D:$DH,BM$1,0),IF(LEFT(VLOOKUP($D125,'Visu totale'!$D:$DH,BM$1,0),1)="V",IF(BL125&gt;=INDEX('[1]Définition Maintenances'!$G:$G,MATCH($A125,'[1]Définition Maintenances'!$K:$K,0)),BL125,INDEX('[1]Définition Maintenances'!$G:$G,MATCH($A125,'[1]Définition Maintenances'!$K:$K,0))+BL125),BL125))</f>
        <v>1177</v>
      </c>
      <c r="BN125" s="25">
        <f>IF(ISNUMBER(VLOOKUP($D125,'Visu totale'!$D:$DH,BN$1,0)),BM125-VLOOKUP($D125,'Visu totale'!$D:$DH,BN$1,0),IF(LEFT(VLOOKUP($D125,'Visu totale'!$D:$DH,BN$1,0),1)="V",IF(BM125&gt;=INDEX('[1]Définition Maintenances'!$G:$G,MATCH($A125,'[1]Définition Maintenances'!$K:$K,0)),BM125,INDEX('[1]Définition Maintenances'!$G:$G,MATCH($A125,'[1]Définition Maintenances'!$K:$K,0))+BM125),BM125))</f>
        <v>1177</v>
      </c>
      <c r="BO125" s="26">
        <f>IF(ISNUMBER(VLOOKUP($D125,'Visu totale'!$D:$DH,BO$1,0)),BN125-VLOOKUP($D125,'Visu totale'!$D:$DH,BO$1,0),IF(LEFT(VLOOKUP($D125,'Visu totale'!$D:$DH,BO$1,0),1)="V",IF(BN125&gt;=INDEX('[1]Définition Maintenances'!$G:$G,MATCH($A125,'[1]Définition Maintenances'!$K:$K,0)),BN125,INDEX('[1]Définition Maintenances'!$G:$G,MATCH($A125,'[1]Définition Maintenances'!$K:$K,0))+BN125),BN125))</f>
        <v>1177</v>
      </c>
      <c r="BP125" s="26">
        <f>IF(ISNUMBER(VLOOKUP($D125,'Visu totale'!$D:$DH,BP$1,0)),BO125-VLOOKUP($D125,'Visu totale'!$D:$DH,BP$1,0),IF(LEFT(VLOOKUP($D125,'Visu totale'!$D:$DH,BP$1,0),1)="V",IF(BO125&gt;=INDEX('[1]Définition Maintenances'!$G:$G,MATCH($A125,'[1]Définition Maintenances'!$K:$K,0)),BO125,INDEX('[1]Définition Maintenances'!$G:$G,MATCH($A125,'[1]Définition Maintenances'!$K:$K,0))+BO125),BO125))</f>
        <v>1177</v>
      </c>
      <c r="BQ125" s="26">
        <f>IF(ISNUMBER(VLOOKUP($D125,'Visu totale'!$D:$DH,BQ$1,0)),BP125-VLOOKUP($D125,'Visu totale'!$D:$DH,BQ$1,0),IF(LEFT(VLOOKUP($D125,'Visu totale'!$D:$DH,BQ$1,0),1)="V",IF(BP125&gt;=INDEX('[1]Définition Maintenances'!$G:$G,MATCH($A125,'[1]Définition Maintenances'!$K:$K,0)),BP125,INDEX('[1]Définition Maintenances'!$G:$G,MATCH($A125,'[1]Définition Maintenances'!$K:$K,0))+BP125),BP125))</f>
        <v>1177</v>
      </c>
      <c r="BR125" s="26">
        <f>IF(ISNUMBER(VLOOKUP($D125,'Visu totale'!$D:$DH,BR$1,0)),BQ125-VLOOKUP($D125,'Visu totale'!$D:$DH,BR$1,0),IF(LEFT(VLOOKUP($D125,'Visu totale'!$D:$DH,BR$1,0),1)="V",IF(BQ125&gt;=INDEX('[1]Définition Maintenances'!$G:$G,MATCH($A125,'[1]Définition Maintenances'!$K:$K,0)),BQ125,INDEX('[1]Définition Maintenances'!$G:$G,MATCH($A125,'[1]Définition Maintenances'!$K:$K,0))+BQ125),BQ125))</f>
        <v>1177</v>
      </c>
      <c r="BS125" s="26">
        <f>IF(ISNUMBER(VLOOKUP($D125,'Visu totale'!$D:$DH,BS$1,0)),BR125-VLOOKUP($D125,'Visu totale'!$D:$DH,BS$1,0),IF(LEFT(VLOOKUP($D125,'Visu totale'!$D:$DH,BS$1,0),1)="V",IF(BR125&gt;=INDEX('[1]Définition Maintenances'!$G:$G,MATCH($A125,'[1]Définition Maintenances'!$K:$K,0)),BR125,INDEX('[1]Définition Maintenances'!$G:$G,MATCH($A125,'[1]Définition Maintenances'!$K:$K,0))+BR125),BR125))</f>
        <v>1177</v>
      </c>
      <c r="BT125" s="26">
        <f>IF(ISNUMBER(VLOOKUP($D125,'Visu totale'!$D:$DH,BT$1,0)),BS125-VLOOKUP($D125,'Visu totale'!$D:$DH,BT$1,0),IF(LEFT(VLOOKUP($D125,'Visu totale'!$D:$DH,BT$1,0),1)="V",IF(BS125&gt;=INDEX('[1]Définition Maintenances'!$G:$G,MATCH($A125,'[1]Définition Maintenances'!$K:$K,0)),BS125,INDEX('[1]Définition Maintenances'!$G:$G,MATCH($A125,'[1]Définition Maintenances'!$K:$K,0))+BS125),BS125))</f>
        <v>1177</v>
      </c>
      <c r="BU125" s="26">
        <f>IF(ISNUMBER(VLOOKUP($D125,'Visu totale'!$D:$DH,BU$1,0)),BT125-VLOOKUP($D125,'Visu totale'!$D:$DH,BU$1,0),IF(LEFT(VLOOKUP($D125,'Visu totale'!$D:$DH,BU$1,0),1)="V",IF(BT125&gt;=INDEX('[1]Définition Maintenances'!$G:$G,MATCH($A125,'[1]Définition Maintenances'!$K:$K,0)),BT125,INDEX('[1]Définition Maintenances'!$G:$G,MATCH($A125,'[1]Définition Maintenances'!$K:$K,0))+BT125),BT125))</f>
        <v>1177</v>
      </c>
      <c r="BV125" s="26">
        <f>IF(ISNUMBER(VLOOKUP($D125,'Visu totale'!$D:$DH,BV$1,0)),BU125-VLOOKUP($D125,'Visu totale'!$D:$DH,BV$1,0),IF(LEFT(VLOOKUP($D125,'Visu totale'!$D:$DH,BV$1,0),1)="V",IF(BU125&gt;=INDEX('[1]Définition Maintenances'!$G:$G,MATCH($A125,'[1]Définition Maintenances'!$K:$K,0)),BU125,INDEX('[1]Définition Maintenances'!$G:$G,MATCH($A125,'[1]Définition Maintenances'!$K:$K,0))+BU125),BU125))</f>
        <v>1177</v>
      </c>
      <c r="BW125" s="26">
        <f>IF(ISNUMBER(VLOOKUP($D125,'Visu totale'!$D:$DH,BW$1,0)),BV125-VLOOKUP($D125,'Visu totale'!$D:$DH,BW$1,0),IF(LEFT(VLOOKUP($D125,'Visu totale'!$D:$DH,BW$1,0),1)="V",IF(BV125&gt;=INDEX('[1]Définition Maintenances'!$G:$G,MATCH($A125,'[1]Définition Maintenances'!$K:$K,0)),BV125,INDEX('[1]Définition Maintenances'!$G:$G,MATCH($A125,'[1]Définition Maintenances'!$K:$K,0))+BV125),BV125))</f>
        <v>1177</v>
      </c>
      <c r="BX125" s="26">
        <f>IF(ISNUMBER(VLOOKUP($D125,'Visu totale'!$D:$DH,BX$1,0)),BW125-VLOOKUP($D125,'Visu totale'!$D:$DH,BX$1,0),IF(LEFT(VLOOKUP($D125,'Visu totale'!$D:$DH,BX$1,0),1)="V",IF(BW125&gt;=INDEX('[1]Définition Maintenances'!$G:$G,MATCH($A125,'[1]Définition Maintenances'!$K:$K,0)),BW125,INDEX('[1]Définition Maintenances'!$G:$G,MATCH($A125,'[1]Définition Maintenances'!$K:$K,0))+BW125),BW125))</f>
        <v>1177</v>
      </c>
      <c r="BY125" s="27">
        <f>IF(ISNUMBER(VLOOKUP($D125,'Visu totale'!$D:$DH,BY$1,0)),BX125-VLOOKUP($D125,'Visu totale'!$D:$DH,BY$1,0),IF(LEFT(VLOOKUP($D125,'Visu totale'!$D:$DH,BY$1,0),1)="V",IF(BX125&gt;=INDEX('[1]Définition Maintenances'!$G:$G,MATCH($A125,'[1]Définition Maintenances'!$K:$K,0)),BX125,INDEX('[1]Définition Maintenances'!$G:$G,MATCH($A125,'[1]Définition Maintenances'!$K:$K,0))+BX125),BX125))</f>
        <v>1177</v>
      </c>
      <c r="BZ125" s="25">
        <f>IF(ISNUMBER(VLOOKUP($D125,'Visu totale'!$D:$DH,BZ$1,0)),BY125-VLOOKUP($D125,'Visu totale'!$D:$DH,BZ$1,0),IF(LEFT(VLOOKUP($D125,'Visu totale'!$D:$DH,BZ$1,0),1)="V",IF(BY125&gt;=INDEX('[1]Définition Maintenances'!$G:$G,MATCH($A125,'[1]Définition Maintenances'!$K:$K,0)),BY125,INDEX('[1]Définition Maintenances'!$G:$G,MATCH($A125,'[1]Définition Maintenances'!$K:$K,0))+BY125),BY125))</f>
        <v>1177</v>
      </c>
      <c r="CA125" s="26">
        <f>IF(ISNUMBER(VLOOKUP($D125,'Visu totale'!$D:$DH,CA$1,0)),BZ125-VLOOKUP($D125,'Visu totale'!$D:$DH,CA$1,0),IF(LEFT(VLOOKUP($D125,'Visu totale'!$D:$DH,CA$1,0),1)="V",IF(BZ125&gt;=INDEX('[1]Définition Maintenances'!$G:$G,MATCH($A125,'[1]Définition Maintenances'!$K:$K,0)),BZ125,INDEX('[1]Définition Maintenances'!$G:$G,MATCH($A125,'[1]Définition Maintenances'!$K:$K,0))+BZ125),BZ125))</f>
        <v>1177</v>
      </c>
      <c r="CB125" s="26">
        <f>IF(ISNUMBER(VLOOKUP($D125,'Visu totale'!$D:$DH,CB$1,0)),CA125-VLOOKUP($D125,'Visu totale'!$D:$DH,CB$1,0),IF(LEFT(VLOOKUP($D125,'Visu totale'!$D:$DH,CB$1,0),1)="V",IF(CA125&gt;=INDEX('[1]Définition Maintenances'!$G:$G,MATCH($A125,'[1]Définition Maintenances'!$K:$K,0)),CA125,INDEX('[1]Définition Maintenances'!$G:$G,MATCH($A125,'[1]Définition Maintenances'!$K:$K,0))+CA125),CA125))</f>
        <v>1177</v>
      </c>
      <c r="CC125" s="26">
        <f>IF(ISNUMBER(VLOOKUP($D125,'Visu totale'!$D:$DH,CC$1,0)),CB125-VLOOKUP($D125,'Visu totale'!$D:$DH,CC$1,0),IF(LEFT(VLOOKUP($D125,'Visu totale'!$D:$DH,CC$1,0),1)="V",IF(CB125&gt;=INDEX('[1]Définition Maintenances'!$G:$G,MATCH($A125,'[1]Définition Maintenances'!$K:$K,0)),CB125,INDEX('[1]Définition Maintenances'!$G:$G,MATCH($A125,'[1]Définition Maintenances'!$K:$K,0))+CB125),CB125))</f>
        <v>1177</v>
      </c>
      <c r="CD125" s="26">
        <f>IF(ISNUMBER(VLOOKUP($D125,'Visu totale'!$D:$DH,CD$1,0)),CC125-VLOOKUP($D125,'Visu totale'!$D:$DH,CD$1,0),IF(LEFT(VLOOKUP($D125,'Visu totale'!$D:$DH,CD$1,0),1)="V",IF(CC125&gt;=INDEX('[1]Définition Maintenances'!$G:$G,MATCH($A125,'[1]Définition Maintenances'!$K:$K,0)),CC125,INDEX('[1]Définition Maintenances'!$G:$G,MATCH($A125,'[1]Définition Maintenances'!$K:$K,0))+CC125),CC125))</f>
        <v>1177</v>
      </c>
      <c r="CE125" s="26">
        <f>IF(ISNUMBER(VLOOKUP($D125,'Visu totale'!$D:$DH,CE$1,0)),CD125-VLOOKUP($D125,'Visu totale'!$D:$DH,CE$1,0),IF(LEFT(VLOOKUP($D125,'Visu totale'!$D:$DH,CE$1,0),1)="V",IF(CD125&gt;=INDEX('[1]Définition Maintenances'!$G:$G,MATCH($A125,'[1]Définition Maintenances'!$K:$K,0)),CD125,INDEX('[1]Définition Maintenances'!$G:$G,MATCH($A125,'[1]Définition Maintenances'!$K:$K,0))+CD125),CD125))</f>
        <v>1177</v>
      </c>
      <c r="CF125" s="26">
        <f>IF(ISNUMBER(VLOOKUP($D125,'Visu totale'!$D:$DH,CF$1,0)),CE125-VLOOKUP($D125,'Visu totale'!$D:$DH,CF$1,0),IF(LEFT(VLOOKUP($D125,'Visu totale'!$D:$DH,CF$1,0),1)="V",IF(CE125&gt;=INDEX('[1]Définition Maintenances'!$G:$G,MATCH($A125,'[1]Définition Maintenances'!$K:$K,0)),CE125,INDEX('[1]Définition Maintenances'!$G:$G,MATCH($A125,'[1]Définition Maintenances'!$K:$K,0))+CE125),CE125))</f>
        <v>1177</v>
      </c>
      <c r="CG125" s="26">
        <f>IF(ISNUMBER(VLOOKUP($D125,'Visu totale'!$D:$DH,CG$1,0)),CF125-VLOOKUP($D125,'Visu totale'!$D:$DH,CG$1,0),IF(LEFT(VLOOKUP($D125,'Visu totale'!$D:$DH,CG$1,0),1)="V",IF(CF125&gt;=INDEX('[1]Définition Maintenances'!$G:$G,MATCH($A125,'[1]Définition Maintenances'!$K:$K,0)),CF125,INDEX('[1]Définition Maintenances'!$G:$G,MATCH($A125,'[1]Définition Maintenances'!$K:$K,0))+CF125),CF125))</f>
        <v>1177</v>
      </c>
      <c r="CH125" s="26">
        <f>IF(ISNUMBER(VLOOKUP($D125,'Visu totale'!$D:$DH,CH$1,0)),CG125-VLOOKUP($D125,'Visu totale'!$D:$DH,CH$1,0),IF(LEFT(VLOOKUP($D125,'Visu totale'!$D:$DH,CH$1,0),1)="V",IF(CG125&gt;=INDEX('[1]Définition Maintenances'!$G:$G,MATCH($A125,'[1]Définition Maintenances'!$K:$K,0)),CG125,INDEX('[1]Définition Maintenances'!$G:$G,MATCH($A125,'[1]Définition Maintenances'!$K:$K,0))+CG125),CG125))</f>
        <v>1177</v>
      </c>
      <c r="CI125" s="26">
        <f>IF(ISNUMBER(VLOOKUP($D125,'Visu totale'!$D:$DH,CI$1,0)),CH125-VLOOKUP($D125,'Visu totale'!$D:$DH,CI$1,0),IF(LEFT(VLOOKUP($D125,'Visu totale'!$D:$DH,CI$1,0),1)="V",IF(CH125&gt;=INDEX('[1]Définition Maintenances'!$G:$G,MATCH($A125,'[1]Définition Maintenances'!$K:$K,0)),CH125,INDEX('[1]Définition Maintenances'!$G:$G,MATCH($A125,'[1]Définition Maintenances'!$K:$K,0))+CH125),CH125))</f>
        <v>1177</v>
      </c>
      <c r="CJ125" s="26">
        <f>IF(ISNUMBER(VLOOKUP($D125,'Visu totale'!$D:$DH,CJ$1,0)),CI125-VLOOKUP($D125,'Visu totale'!$D:$DH,CJ$1,0),IF(LEFT(VLOOKUP($D125,'Visu totale'!$D:$DH,CJ$1,0),1)="V",IF(CI125&gt;=INDEX('[1]Définition Maintenances'!$G:$G,MATCH($A125,'[1]Définition Maintenances'!$K:$K,0)),CI125,INDEX('[1]Définition Maintenances'!$G:$G,MATCH($A125,'[1]Définition Maintenances'!$K:$K,0))+CI125),CI125))</f>
        <v>1177</v>
      </c>
      <c r="CK125" s="27">
        <f>IF(ISNUMBER(VLOOKUP($D125,'Visu totale'!$D:$DH,CK$1,0)),CJ125-VLOOKUP($D125,'Visu totale'!$D:$DH,CK$1,0),IF(LEFT(VLOOKUP($D125,'Visu totale'!$D:$DH,CK$1,0),1)="V",IF(CJ125&gt;=INDEX('[1]Définition Maintenances'!$G:$G,MATCH($A125,'[1]Définition Maintenances'!$K:$K,0)),CJ125,INDEX('[1]Définition Maintenances'!$G:$G,MATCH($A125,'[1]Définition Maintenances'!$K:$K,0))+CJ125),CJ125))</f>
        <v>1177</v>
      </c>
      <c r="CL125" s="25">
        <f>IF(ISNUMBER(VLOOKUP($D125,'Visu totale'!$D:$DH,CL$1,0)),CK125-VLOOKUP($D125,'Visu totale'!$D:$DH,CL$1,0),IF(LEFT(VLOOKUP($D125,'Visu totale'!$D:$DH,CL$1,0),1)="V",IF(CK125&gt;=INDEX('[1]Définition Maintenances'!$G:$G,MATCH($A125,'[1]Définition Maintenances'!$K:$K,0)),CK125,INDEX('[1]Définition Maintenances'!$G:$G,MATCH($A125,'[1]Définition Maintenances'!$K:$K,0))+CK125),CK125))</f>
        <v>1177</v>
      </c>
      <c r="CM125" s="26">
        <f>IF(ISNUMBER(VLOOKUP($D125,'Visu totale'!$D:$DH,CM$1,0)),CL125-VLOOKUP($D125,'Visu totale'!$D:$DH,CM$1,0),IF(LEFT(VLOOKUP($D125,'Visu totale'!$D:$DH,CM$1,0),1)="V",IF(CL125&gt;=INDEX('[1]Définition Maintenances'!$G:$G,MATCH($A125,'[1]Définition Maintenances'!$K:$K,0)),CL125,INDEX('[1]Définition Maintenances'!$G:$G,MATCH($A125,'[1]Définition Maintenances'!$K:$K,0))+CL125),CL125))</f>
        <v>1177</v>
      </c>
      <c r="CN125" s="26">
        <f>IF(ISNUMBER(VLOOKUP($D125,'Visu totale'!$D:$DH,CN$1,0)),CM125-VLOOKUP($D125,'Visu totale'!$D:$DH,CN$1,0),IF(LEFT(VLOOKUP($D125,'Visu totale'!$D:$DH,CN$1,0),1)="V",IF(CM125&gt;=INDEX('[1]Définition Maintenances'!$G:$G,MATCH($A125,'[1]Définition Maintenances'!$K:$K,0)),CM125,INDEX('[1]Définition Maintenances'!$G:$G,MATCH($A125,'[1]Définition Maintenances'!$K:$K,0))+CM125),CM125))</f>
        <v>1177</v>
      </c>
      <c r="CO125" s="26">
        <f>IF(ISNUMBER(VLOOKUP($D125,'Visu totale'!$D:$DH,CO$1,0)),CN125-VLOOKUP($D125,'Visu totale'!$D:$DH,CO$1,0),IF(LEFT(VLOOKUP($D125,'Visu totale'!$D:$DH,CO$1,0),1)="V",IF(CN125&gt;=INDEX('[1]Définition Maintenances'!$G:$G,MATCH($A125,'[1]Définition Maintenances'!$K:$K,0)),CN125,INDEX('[1]Définition Maintenances'!$G:$G,MATCH($A125,'[1]Définition Maintenances'!$K:$K,0))+CN125),CN125))</f>
        <v>1177</v>
      </c>
      <c r="CP125" s="26">
        <f>IF(ISNUMBER(VLOOKUP($D125,'Visu totale'!$D:$DH,CP$1,0)),CO125-VLOOKUP($D125,'Visu totale'!$D:$DH,CP$1,0),IF(LEFT(VLOOKUP($D125,'Visu totale'!$D:$DH,CP$1,0),1)="V",IF(CO125&gt;=INDEX('[1]Définition Maintenances'!$G:$G,MATCH($A125,'[1]Définition Maintenances'!$K:$K,0)),CO125,INDEX('[1]Définition Maintenances'!$G:$G,MATCH($A125,'[1]Définition Maintenances'!$K:$K,0))+CO125),CO125))</f>
        <v>1177</v>
      </c>
      <c r="CQ125" s="26">
        <f>IF(ISNUMBER(VLOOKUP($D125,'Visu totale'!$D:$DH,CQ$1,0)),CP125-VLOOKUP($D125,'Visu totale'!$D:$DH,CQ$1,0),IF(LEFT(VLOOKUP($D125,'Visu totale'!$D:$DH,CQ$1,0),1)="V",IF(CP125&gt;=INDEX('[1]Définition Maintenances'!$G:$G,MATCH($A125,'[1]Définition Maintenances'!$K:$K,0)),CP125,INDEX('[1]Définition Maintenances'!$G:$G,MATCH($A125,'[1]Définition Maintenances'!$K:$K,0))+CP125),CP125))</f>
        <v>1177</v>
      </c>
      <c r="CR125" s="26">
        <f>IF(ISNUMBER(VLOOKUP($D125,'Visu totale'!$D:$DH,CR$1,0)),CQ125-VLOOKUP($D125,'Visu totale'!$D:$DH,CR$1,0),IF(LEFT(VLOOKUP($D125,'Visu totale'!$D:$DH,CR$1,0),1)="V",IF(CQ125&gt;=INDEX('[1]Définition Maintenances'!$G:$G,MATCH($A125,'[1]Définition Maintenances'!$K:$K,0)),CQ125,INDEX('[1]Définition Maintenances'!$G:$G,MATCH($A125,'[1]Définition Maintenances'!$K:$K,0))+CQ125),CQ125))</f>
        <v>1177</v>
      </c>
      <c r="CS125" s="26">
        <f>IF(ISNUMBER(VLOOKUP($D125,'Visu totale'!$D:$DH,CS$1,0)),CR125-VLOOKUP($D125,'Visu totale'!$D:$DH,CS$1,0),IF(LEFT(VLOOKUP($D125,'Visu totale'!$D:$DH,CS$1,0),1)="V",IF(CR125&gt;=INDEX('[1]Définition Maintenances'!$G:$G,MATCH($A125,'[1]Définition Maintenances'!$K:$K,0)),CR125,INDEX('[1]Définition Maintenances'!$G:$G,MATCH($A125,'[1]Définition Maintenances'!$K:$K,0))+CR125),CR125))</f>
        <v>1177</v>
      </c>
      <c r="CT125" s="26">
        <f>IF(ISNUMBER(VLOOKUP($D125,'Visu totale'!$D:$DH,CT$1,0)),CS125-VLOOKUP($D125,'Visu totale'!$D:$DH,CT$1,0),IF(LEFT(VLOOKUP($D125,'Visu totale'!$D:$DH,CT$1,0),1)="V",IF(CS125&gt;=INDEX('[1]Définition Maintenances'!$G:$G,MATCH($A125,'[1]Définition Maintenances'!$K:$K,0)),CS125,INDEX('[1]Définition Maintenances'!$G:$G,MATCH($A125,'[1]Définition Maintenances'!$K:$K,0))+CS125),CS125))</f>
        <v>1177</v>
      </c>
      <c r="CU125" s="26">
        <f>IF(ISNUMBER(VLOOKUP($D125,'Visu totale'!$D:$DH,CU$1,0)),CT125-VLOOKUP($D125,'Visu totale'!$D:$DH,CU$1,0),IF(LEFT(VLOOKUP($D125,'Visu totale'!$D:$DH,CU$1,0),1)="V",IF(CT125&gt;=INDEX('[1]Définition Maintenances'!$G:$G,MATCH($A125,'[1]Définition Maintenances'!$K:$K,0)),CT125,INDEX('[1]Définition Maintenances'!$G:$G,MATCH($A125,'[1]Définition Maintenances'!$K:$K,0))+CT125),CT125))</f>
        <v>1177</v>
      </c>
      <c r="CV125" s="26">
        <f>IF(ISNUMBER(VLOOKUP($D125,'Visu totale'!$D:$DH,CV$1,0)),CU125-VLOOKUP($D125,'Visu totale'!$D:$DH,CV$1,0),IF(LEFT(VLOOKUP($D125,'Visu totale'!$D:$DH,CV$1,0),1)="V",IF(CU125&gt;=INDEX('[1]Définition Maintenances'!$G:$G,MATCH($A125,'[1]Définition Maintenances'!$K:$K,0)),CU125,INDEX('[1]Définition Maintenances'!$G:$G,MATCH($A125,'[1]Définition Maintenances'!$K:$K,0))+CU125),CU125))</f>
        <v>1177</v>
      </c>
      <c r="CW125" s="27">
        <f>IF(ISNUMBER(VLOOKUP($D125,'Visu totale'!$D:$DH,CW$1,0)),CV125-VLOOKUP($D125,'Visu totale'!$D:$DH,CW$1,0),IF(LEFT(VLOOKUP($D125,'Visu totale'!$D:$DH,CW$1,0),1)="V",IF(CV125&gt;=INDEX('[1]Définition Maintenances'!$G:$G,MATCH($A125,'[1]Définition Maintenances'!$K:$K,0)),CV125,INDEX('[1]Définition Maintenances'!$G:$G,MATCH($A125,'[1]Définition Maintenances'!$K:$K,0))+CV125),CV125))</f>
        <v>1177</v>
      </c>
      <c r="CX125" s="25">
        <f>IF(ISNUMBER(VLOOKUP($D125,'Visu totale'!$D:$DH,CX$1,0)),CW125-VLOOKUP($D125,'Visu totale'!$D:$DH,CX$1,0),IF(LEFT(VLOOKUP($D125,'Visu totale'!$D:$DH,CX$1,0),1)="V",IF(CW125&gt;=INDEX('[1]Définition Maintenances'!$G:$G,MATCH($A125,'[1]Définition Maintenances'!$K:$K,0)),CW125,INDEX('[1]Définition Maintenances'!$G:$G,MATCH($A125,'[1]Définition Maintenances'!$K:$K,0))+CW125),CW125))</f>
        <v>1177</v>
      </c>
      <c r="CY125" s="26">
        <f>IF(ISNUMBER(VLOOKUP($D125,'Visu totale'!$D:$DH,CY$1,0)),CX125-VLOOKUP($D125,'Visu totale'!$D:$DH,CY$1,0),IF(LEFT(VLOOKUP($D125,'Visu totale'!$D:$DH,CY$1,0),1)="V",IF(CX125&gt;=INDEX('[1]Définition Maintenances'!$G:$G,MATCH($A125,'[1]Définition Maintenances'!$K:$K,0)),CX125,INDEX('[1]Définition Maintenances'!$G:$G,MATCH($A125,'[1]Définition Maintenances'!$K:$K,0))+CX125),CX125))</f>
        <v>1177</v>
      </c>
      <c r="CZ125" s="26">
        <f>IF(ISNUMBER(VLOOKUP($D125,'Visu totale'!$D:$DH,CZ$1,0)),CY125-VLOOKUP($D125,'Visu totale'!$D:$DH,CZ$1,0),IF(LEFT(VLOOKUP($D125,'Visu totale'!$D:$DH,CZ$1,0),1)="V",IF(CY125&gt;=INDEX('[1]Définition Maintenances'!$G:$G,MATCH($A125,'[1]Définition Maintenances'!$K:$K,0)),CY125,INDEX('[1]Définition Maintenances'!$G:$G,MATCH($A125,'[1]Définition Maintenances'!$K:$K,0))+CY125),CY125))</f>
        <v>1177</v>
      </c>
      <c r="DA125" s="26">
        <f>IF(ISNUMBER(VLOOKUP($D125,'Visu totale'!$D:$DH,DA$1,0)),CZ125-VLOOKUP($D125,'Visu totale'!$D:$DH,DA$1,0),IF(LEFT(VLOOKUP($D125,'Visu totale'!$D:$DH,DA$1,0),1)="V",IF(CZ125&gt;=INDEX('[1]Définition Maintenances'!$G:$G,MATCH($A125,'[1]Définition Maintenances'!$K:$K,0)),CZ125,INDEX('[1]Définition Maintenances'!$G:$G,MATCH($A125,'[1]Définition Maintenances'!$K:$K,0))+CZ125),CZ125))</f>
        <v>1177</v>
      </c>
      <c r="DB125" s="26">
        <f>IF(ISNUMBER(VLOOKUP($D125,'Visu totale'!$D:$DH,DB$1,0)),DA125-VLOOKUP($D125,'Visu totale'!$D:$DH,DB$1,0),IF(LEFT(VLOOKUP($D125,'Visu totale'!$D:$DH,DB$1,0),1)="V",IF(DA125&gt;=INDEX('[1]Définition Maintenances'!$G:$G,MATCH($A125,'[1]Définition Maintenances'!$K:$K,0)),DA125,INDEX('[1]Définition Maintenances'!$G:$G,MATCH($A125,'[1]Définition Maintenances'!$K:$K,0))+DA125),DA125))</f>
        <v>1177</v>
      </c>
      <c r="DC125" s="26">
        <f>IF(ISNUMBER(VLOOKUP($D125,'Visu totale'!$D:$DH,DC$1,0)),DB125-VLOOKUP($D125,'Visu totale'!$D:$DH,DC$1,0),IF(LEFT(VLOOKUP($D125,'Visu totale'!$D:$DH,DC$1,0),1)="V",IF(DB125&gt;=INDEX('[1]Définition Maintenances'!$G:$G,MATCH($A125,'[1]Définition Maintenances'!$K:$K,0)),DB125,INDEX('[1]Définition Maintenances'!$G:$G,MATCH($A125,'[1]Définition Maintenances'!$K:$K,0))+DB125),DB125))</f>
        <v>1177</v>
      </c>
      <c r="DD125" s="26">
        <f>IF(ISNUMBER(VLOOKUP($D125,'Visu totale'!$D:$DH,DD$1,0)),DC125-VLOOKUP($D125,'Visu totale'!$D:$DH,DD$1,0),IF(LEFT(VLOOKUP($D125,'Visu totale'!$D:$DH,DD$1,0),1)="V",IF(DC125&gt;=INDEX('[1]Définition Maintenances'!$G:$G,MATCH($A125,'[1]Définition Maintenances'!$K:$K,0)),DC125,INDEX('[1]Définition Maintenances'!$G:$G,MATCH($A125,'[1]Définition Maintenances'!$K:$K,0))+DC125),DC125))</f>
        <v>1177</v>
      </c>
      <c r="DE125" s="26">
        <f>IF(ISNUMBER(VLOOKUP($D125,'Visu totale'!$D:$DH,DE$1,0)),DD125-VLOOKUP($D125,'Visu totale'!$D:$DH,DE$1,0),IF(LEFT(VLOOKUP($D125,'Visu totale'!$D:$DH,DE$1,0),1)="V",IF(DD125&gt;=INDEX('[1]Définition Maintenances'!$G:$G,MATCH($A125,'[1]Définition Maintenances'!$K:$K,0)),DD125,INDEX('[1]Définition Maintenances'!$G:$G,MATCH($A125,'[1]Définition Maintenances'!$K:$K,0))+DD125),DD125))</f>
        <v>1177</v>
      </c>
      <c r="DF125" s="26">
        <f>IF(ISNUMBER(VLOOKUP($D125,'Visu totale'!$D:$DH,DF$1,0)),DE125-VLOOKUP($D125,'Visu totale'!$D:$DH,DF$1,0),IF(LEFT(VLOOKUP($D125,'Visu totale'!$D:$DH,DF$1,0),1)="V",IF(DE125&gt;=INDEX('[1]Définition Maintenances'!$G:$G,MATCH($A125,'[1]Définition Maintenances'!$K:$K,0)),DE125,INDEX('[1]Définition Maintenances'!$G:$G,MATCH($A125,'[1]Définition Maintenances'!$K:$K,0))+DE125),DE125))</f>
        <v>1177</v>
      </c>
      <c r="DG125" s="26">
        <f>IF(ISNUMBER(VLOOKUP($D125,'Visu totale'!$D:$DH,DG$1,0)),DF125-VLOOKUP($D125,'Visu totale'!$D:$DH,DG$1,0),IF(LEFT(VLOOKUP($D125,'Visu totale'!$D:$DH,DG$1,0),1)="V",IF(DF125&gt;=INDEX('[1]Définition Maintenances'!$G:$G,MATCH($A125,'[1]Définition Maintenances'!$K:$K,0)),DF125,INDEX('[1]Définition Maintenances'!$G:$G,MATCH($A125,'[1]Définition Maintenances'!$K:$K,0))+DF125),DF125))</f>
        <v>1177</v>
      </c>
      <c r="DH125" s="26">
        <f>IF(ISNUMBER(VLOOKUP($D125,'Visu totale'!$D:$DH,DH$1,0)),DG125-VLOOKUP($D125,'Visu totale'!$D:$DH,DH$1,0),IF(LEFT(VLOOKUP($D125,'Visu totale'!$D:$DH,DH$1,0),1)="V",IF(DG125&gt;=INDEX('[1]Définition Maintenances'!$G:$G,MATCH($A125,'[1]Définition Maintenances'!$K:$K,0)),DG125,INDEX('[1]Définition Maintenances'!$G:$G,MATCH($A125,'[1]Définition Maintenances'!$K:$K,0))+DG125),DG125))</f>
        <v>1177</v>
      </c>
      <c r="DI125" s="27">
        <f>IF(ISNUMBER(VLOOKUP($D125,'Visu totale'!$D:$DH,DI$1,0)),DH125-VLOOKUP($D125,'Visu totale'!$D:$DH,DI$1,0),IF(LEFT(VLOOKUP($D125,'Visu totale'!$D:$DH,DI$1,0),1)="V",IF(DH125&gt;=INDEX('[1]Définition Maintenances'!$G:$G,MATCH($A125,'[1]Définition Maintenances'!$K:$K,0)),DH125,INDEX('[1]Définition Maintenances'!$G:$G,MATCH($A125,'[1]Définition Maintenances'!$K:$K,0))+DH125),DH125))</f>
        <v>1177</v>
      </c>
    </row>
    <row r="126" spans="1:113" x14ac:dyDescent="0.25">
      <c r="A126" s="13" t="str">
        <f t="shared" si="3"/>
        <v>V155</v>
      </c>
      <c r="B126" s="13" t="str">
        <f>VLOOKUP(D126,'[1]Avions (Potentiels)'!$B$2:$H$128,7,FALSE)</f>
        <v>V15</v>
      </c>
      <c r="C126" s="13"/>
      <c r="D126" s="16" t="s">
        <v>129</v>
      </c>
      <c r="E126" s="13">
        <f>IFERROR(VALUE(SUBSTITUTE(VLOOKUP(D126,'[1]Avions (Potentiels)'!$B:$E,4,0),".",",")),VALUE(VLOOKUP(D126,'[1]Avions (Potentiels)'!$B:$E,4,0)))</f>
        <v>892</v>
      </c>
      <c r="F126" s="25">
        <f>IF(ISNUMBER(VLOOKUP($D126,'Visu totale'!$D:$DH,F$1,0)),E126-VLOOKUP($D126,'Visu totale'!$D:$DH,F$1,0),IF(LEFT(VLOOKUP($D126,'Visu totale'!$D:$DH,F$1,0),1)="V",IF(E126&gt;=INDEX('[1]Définition Maintenances'!$G:$G,MATCH($A126,'[1]Définition Maintenances'!$K:$K,0)),E126,INDEX('[1]Définition Maintenances'!$G:$G,MATCH($A126,'[1]Définition Maintenances'!$K:$K,0))+E126),E126))</f>
        <v>892</v>
      </c>
      <c r="G126" s="26">
        <f>IF(ISNUMBER(VLOOKUP($D126,'Visu totale'!$D:$DH,G$1,0)),F126-VLOOKUP($D126,'Visu totale'!$D:$DH,G$1,0),IF(LEFT(VLOOKUP($D126,'Visu totale'!$D:$DH,G$1,0),1)="V",IF(F126&gt;=INDEX('[1]Définition Maintenances'!$G:$G,MATCH($A126,'[1]Définition Maintenances'!$K:$K,0)),F126,INDEX('[1]Définition Maintenances'!$G:$G,MATCH($A126,'[1]Définition Maintenances'!$K:$K,0))+F126),F126))</f>
        <v>892</v>
      </c>
      <c r="H126" s="26">
        <f>IF(ISNUMBER(VLOOKUP($D126,'Visu totale'!$D:$DH,H$1,0)),G126-VLOOKUP($D126,'Visu totale'!$D:$DH,H$1,0),IF(LEFT(VLOOKUP($D126,'Visu totale'!$D:$DH,H$1,0),1)="V",IF(G126&gt;=INDEX('[1]Définition Maintenances'!$G:$G,MATCH($A126,'[1]Définition Maintenances'!$K:$K,0)),G126,INDEX('[1]Définition Maintenances'!$G:$G,MATCH($A126,'[1]Définition Maintenances'!$K:$K,0))+G126),G126))</f>
        <v>892</v>
      </c>
      <c r="I126" s="26">
        <f>IF(ISNUMBER(VLOOKUP($D126,'Visu totale'!$D:$DH,I$1,0)),H126-VLOOKUP($D126,'Visu totale'!$D:$DH,I$1,0),IF(LEFT(VLOOKUP($D126,'Visu totale'!$D:$DH,I$1,0),1)="V",IF(H126&gt;=INDEX('[1]Définition Maintenances'!$G:$G,MATCH($A126,'[1]Définition Maintenances'!$K:$K,0)),H126,INDEX('[1]Définition Maintenances'!$G:$G,MATCH($A126,'[1]Définition Maintenances'!$K:$K,0))+H126),H126))</f>
        <v>892</v>
      </c>
      <c r="J126" s="26">
        <f>IF(ISNUMBER(VLOOKUP($D126,'Visu totale'!$D:$DH,J$1,0)),I126-VLOOKUP($D126,'Visu totale'!$D:$DH,J$1,0),IF(LEFT(VLOOKUP($D126,'Visu totale'!$D:$DH,J$1,0),1)="V",IF(I126&gt;=INDEX('[1]Définition Maintenances'!$G:$G,MATCH($A126,'[1]Définition Maintenances'!$K:$K,0)),I126,INDEX('[1]Définition Maintenances'!$G:$G,MATCH($A126,'[1]Définition Maintenances'!$K:$K,0))+I126),I126))</f>
        <v>892</v>
      </c>
      <c r="K126" s="26">
        <f>IF(ISNUMBER(VLOOKUP($D126,'Visu totale'!$D:$DH,K$1,0)),J126-VLOOKUP($D126,'Visu totale'!$D:$DH,K$1,0),IF(LEFT(VLOOKUP($D126,'Visu totale'!$D:$DH,K$1,0),1)="V",IF(J126&gt;=INDEX('[1]Définition Maintenances'!$G:$G,MATCH($A126,'[1]Définition Maintenances'!$K:$K,0)),J126,INDEX('[1]Définition Maintenances'!$G:$G,MATCH($A126,'[1]Définition Maintenances'!$K:$K,0))+J126),J126))</f>
        <v>892</v>
      </c>
      <c r="L126" s="26">
        <f>IF(ISNUMBER(VLOOKUP($D126,'Visu totale'!$D:$DH,L$1,0)),K126-VLOOKUP($D126,'Visu totale'!$D:$DH,L$1,0),IF(LEFT(VLOOKUP($D126,'Visu totale'!$D:$DH,L$1,0),1)="V",IF(K126&gt;=INDEX('[1]Définition Maintenances'!$G:$G,MATCH($A126,'[1]Définition Maintenances'!$K:$K,0)),K126,INDEX('[1]Définition Maintenances'!$G:$G,MATCH($A126,'[1]Définition Maintenances'!$K:$K,0))+K126),K126))</f>
        <v>892</v>
      </c>
      <c r="M126" s="26">
        <f>IF(ISNUMBER(VLOOKUP($D126,'Visu totale'!$D:$DH,M$1,0)),L126-VLOOKUP($D126,'Visu totale'!$D:$DH,M$1,0),IF(LEFT(VLOOKUP($D126,'Visu totale'!$D:$DH,M$1,0),1)="V",IF(L126&gt;=INDEX('[1]Définition Maintenances'!$G:$G,MATCH($A126,'[1]Définition Maintenances'!$K:$K,0)),L126,INDEX('[1]Définition Maintenances'!$G:$G,MATCH($A126,'[1]Définition Maintenances'!$K:$K,0))+L126),L126))</f>
        <v>892</v>
      </c>
      <c r="N126" s="26">
        <f>IF(ISNUMBER(VLOOKUP($D126,'Visu totale'!$D:$DH,N$1,0)),M126-VLOOKUP($D126,'Visu totale'!$D:$DH,N$1,0),IF(LEFT(VLOOKUP($D126,'Visu totale'!$D:$DH,N$1,0),1)="V",IF(M126&gt;=INDEX('[1]Définition Maintenances'!$G:$G,MATCH($A126,'[1]Définition Maintenances'!$K:$K,0)),M126,INDEX('[1]Définition Maintenances'!$G:$G,MATCH($A126,'[1]Définition Maintenances'!$K:$K,0))+M126),M126))</f>
        <v>892</v>
      </c>
      <c r="O126" s="26">
        <f>IF(ISNUMBER(VLOOKUP($D126,'Visu totale'!$D:$DH,O$1,0)),N126-VLOOKUP($D126,'Visu totale'!$D:$DH,O$1,0),IF(LEFT(VLOOKUP($D126,'Visu totale'!$D:$DH,O$1,0),1)="V",IF(N126&gt;=INDEX('[1]Définition Maintenances'!$G:$G,MATCH($A126,'[1]Définition Maintenances'!$K:$K,0)),N126,INDEX('[1]Définition Maintenances'!$G:$G,MATCH($A126,'[1]Définition Maintenances'!$K:$K,0))+N126),N126))</f>
        <v>892</v>
      </c>
      <c r="P126" s="26">
        <f>IF(ISNUMBER(VLOOKUP($D126,'Visu totale'!$D:$DH,P$1,0)),O126-VLOOKUP($D126,'Visu totale'!$D:$DH,P$1,0),IF(LEFT(VLOOKUP($D126,'Visu totale'!$D:$DH,P$1,0),1)="V",IF(O126&gt;=INDEX('[1]Définition Maintenances'!$G:$G,MATCH($A126,'[1]Définition Maintenances'!$K:$K,0)),O126,INDEX('[1]Définition Maintenances'!$G:$G,MATCH($A126,'[1]Définition Maintenances'!$K:$K,0))+O126),O126))</f>
        <v>892</v>
      </c>
      <c r="Q126" s="27">
        <f>IF(ISNUMBER(VLOOKUP($D126,'Visu totale'!$D:$DH,Q$1,0)),P126-VLOOKUP($D126,'Visu totale'!$D:$DH,Q$1,0),IF(LEFT(VLOOKUP($D126,'Visu totale'!$D:$DH,Q$1,0),1)="V",IF(P126&gt;=INDEX('[1]Définition Maintenances'!$G:$G,MATCH($A126,'[1]Définition Maintenances'!$K:$K,0)),P126,INDEX('[1]Définition Maintenances'!$G:$G,MATCH($A126,'[1]Définition Maintenances'!$K:$K,0))+P126),P126))</f>
        <v>892</v>
      </c>
      <c r="R126" s="25">
        <f>IF(ISNUMBER(VLOOKUP($D126,'Visu totale'!$D:$DH,R$1,0)),Q126-VLOOKUP($D126,'Visu totale'!$D:$DH,R$1,0),IF(LEFT(VLOOKUP($D126,'Visu totale'!$D:$DH,R$1,0),1)="V",IF(Q126&gt;=INDEX('[1]Définition Maintenances'!$G:$G,MATCH($A126,'[1]Définition Maintenances'!$K:$K,0)),Q126,INDEX('[1]Définition Maintenances'!$G:$G,MATCH($A126,'[1]Définition Maintenances'!$K:$K,0))+Q126),Q126))</f>
        <v>892</v>
      </c>
      <c r="S126" s="26">
        <f>IF(ISNUMBER(VLOOKUP($D126,'Visu totale'!$D:$DH,S$1,0)),R126-VLOOKUP($D126,'Visu totale'!$D:$DH,S$1,0),IF(LEFT(VLOOKUP($D126,'Visu totale'!$D:$DH,S$1,0),1)="V",IF(R126&gt;=INDEX('[1]Définition Maintenances'!$G:$G,MATCH($A126,'[1]Définition Maintenances'!$K:$K,0)),R126,INDEX('[1]Définition Maintenances'!$G:$G,MATCH($A126,'[1]Définition Maintenances'!$K:$K,0))+R126),R126))</f>
        <v>892</v>
      </c>
      <c r="T126" s="26">
        <f>IF(ISNUMBER(VLOOKUP($D126,'Visu totale'!$D:$DH,T$1,0)),S126-VLOOKUP($D126,'Visu totale'!$D:$DH,T$1,0),IF(LEFT(VLOOKUP($D126,'Visu totale'!$D:$DH,T$1,0),1)="V",IF(S126&gt;=INDEX('[1]Définition Maintenances'!$G:$G,MATCH($A126,'[1]Définition Maintenances'!$K:$K,0)),S126,INDEX('[1]Définition Maintenances'!$G:$G,MATCH($A126,'[1]Définition Maintenances'!$K:$K,0))+S126),S126))</f>
        <v>892</v>
      </c>
      <c r="U126" s="26">
        <f>IF(ISNUMBER(VLOOKUP($D126,'Visu totale'!$D:$DH,U$1,0)),T126-VLOOKUP($D126,'Visu totale'!$D:$DH,U$1,0),IF(LEFT(VLOOKUP($D126,'Visu totale'!$D:$DH,U$1,0),1)="V",IF(T126&gt;=INDEX('[1]Définition Maintenances'!$G:$G,MATCH($A126,'[1]Définition Maintenances'!$K:$K,0)),T126,INDEX('[1]Définition Maintenances'!$G:$G,MATCH($A126,'[1]Définition Maintenances'!$K:$K,0))+T126),T126))</f>
        <v>892</v>
      </c>
      <c r="V126" s="26">
        <f>IF(ISNUMBER(VLOOKUP($D126,'Visu totale'!$D:$DH,V$1,0)),U126-VLOOKUP($D126,'Visu totale'!$D:$DH,V$1,0),IF(LEFT(VLOOKUP($D126,'Visu totale'!$D:$DH,V$1,0),1)="V",IF(U126&gt;=INDEX('[1]Définition Maintenances'!$G:$G,MATCH($A126,'[1]Définition Maintenances'!$K:$K,0)),U126,INDEX('[1]Définition Maintenances'!$G:$G,MATCH($A126,'[1]Définition Maintenances'!$K:$K,0))+U126),U126))</f>
        <v>892</v>
      </c>
      <c r="W126" s="26">
        <f>IF(ISNUMBER(VLOOKUP($D126,'Visu totale'!$D:$DH,W$1,0)),V126-VLOOKUP($D126,'Visu totale'!$D:$DH,W$1,0),IF(LEFT(VLOOKUP($D126,'Visu totale'!$D:$DH,W$1,0),1)="V",IF(V126&gt;=INDEX('[1]Définition Maintenances'!$G:$G,MATCH($A126,'[1]Définition Maintenances'!$K:$K,0)),V126,INDEX('[1]Définition Maintenances'!$G:$G,MATCH($A126,'[1]Définition Maintenances'!$K:$K,0))+V126),V126))</f>
        <v>892</v>
      </c>
      <c r="X126" s="26">
        <f>IF(ISNUMBER(VLOOKUP($D126,'Visu totale'!$D:$DH,X$1,0)),W126-VLOOKUP($D126,'Visu totale'!$D:$DH,X$1,0),IF(LEFT(VLOOKUP($D126,'Visu totale'!$D:$DH,X$1,0),1)="V",IF(W126&gt;=INDEX('[1]Définition Maintenances'!$G:$G,MATCH($A126,'[1]Définition Maintenances'!$K:$K,0)),W126,INDEX('[1]Définition Maintenances'!$G:$G,MATCH($A126,'[1]Définition Maintenances'!$K:$K,0))+W126),W126))</f>
        <v>892</v>
      </c>
      <c r="Y126" s="26">
        <f>IF(ISNUMBER(VLOOKUP($D126,'Visu totale'!$D:$DH,Y$1,0)),X126-VLOOKUP($D126,'Visu totale'!$D:$DH,Y$1,0),IF(LEFT(VLOOKUP($D126,'Visu totale'!$D:$DH,Y$1,0),1)="V",IF(X126&gt;=INDEX('[1]Définition Maintenances'!$G:$G,MATCH($A126,'[1]Définition Maintenances'!$K:$K,0)),X126,INDEX('[1]Définition Maintenances'!$G:$G,MATCH($A126,'[1]Définition Maintenances'!$K:$K,0))+X126),X126))</f>
        <v>892</v>
      </c>
      <c r="Z126" s="26">
        <f>IF(ISNUMBER(VLOOKUP($D126,'Visu totale'!$D:$DH,Z$1,0)),Y126-VLOOKUP($D126,'Visu totale'!$D:$DH,Z$1,0),IF(LEFT(VLOOKUP($D126,'Visu totale'!$D:$DH,Z$1,0),1)="V",IF(Y126&gt;=INDEX('[1]Définition Maintenances'!$G:$G,MATCH($A126,'[1]Définition Maintenances'!$K:$K,0)),Y126,INDEX('[1]Définition Maintenances'!$G:$G,MATCH($A126,'[1]Définition Maintenances'!$K:$K,0))+Y126),Y126))</f>
        <v>892</v>
      </c>
      <c r="AA126" s="26">
        <f>IF(ISNUMBER(VLOOKUP($D126,'Visu totale'!$D:$DH,AA$1,0)),Z126-VLOOKUP($D126,'Visu totale'!$D:$DH,AA$1,0),IF(LEFT(VLOOKUP($D126,'Visu totale'!$D:$DH,AA$1,0),1)="V",IF(Z126&gt;=INDEX('[1]Définition Maintenances'!$G:$G,MATCH($A126,'[1]Définition Maintenances'!$K:$K,0)),Z126,INDEX('[1]Définition Maintenances'!$G:$G,MATCH($A126,'[1]Définition Maintenances'!$K:$K,0))+Z126),Z126))</f>
        <v>892</v>
      </c>
      <c r="AB126" s="26">
        <f>IF(ISNUMBER(VLOOKUP($D126,'Visu totale'!$D:$DH,AB$1,0)),AA126-VLOOKUP($D126,'Visu totale'!$D:$DH,AB$1,0),IF(LEFT(VLOOKUP($D126,'Visu totale'!$D:$DH,AB$1,0),1)="V",IF(AA126&gt;=INDEX('[1]Définition Maintenances'!$G:$G,MATCH($A126,'[1]Définition Maintenances'!$K:$K,0)),AA126,INDEX('[1]Définition Maintenances'!$G:$G,MATCH($A126,'[1]Définition Maintenances'!$K:$K,0))+AA126),AA126))</f>
        <v>892</v>
      </c>
      <c r="AC126" s="27">
        <f>IF(ISNUMBER(VLOOKUP($D126,'Visu totale'!$D:$DH,AC$1,0)),AB126-VLOOKUP($D126,'Visu totale'!$D:$DH,AC$1,0),IF(LEFT(VLOOKUP($D126,'Visu totale'!$D:$DH,AC$1,0),1)="V",IF(AB126&gt;=INDEX('[1]Définition Maintenances'!$G:$G,MATCH($A126,'[1]Définition Maintenances'!$K:$K,0)),AB126,INDEX('[1]Définition Maintenances'!$G:$G,MATCH($A126,'[1]Définition Maintenances'!$K:$K,0))+AB126),AB126))</f>
        <v>892</v>
      </c>
      <c r="AD126" s="25">
        <f>IF(ISNUMBER(VLOOKUP($D126,'Visu totale'!$D:$DH,AD$1,0)),AC126-VLOOKUP($D126,'Visu totale'!$D:$DH,AD$1,0),IF(LEFT(VLOOKUP($D126,'Visu totale'!$D:$DH,AD$1,0),1)="V",IF(AC126&gt;=INDEX('[1]Définition Maintenances'!$G:$G,MATCH($A126,'[1]Définition Maintenances'!$K:$K,0)),AC126,INDEX('[1]Définition Maintenances'!$G:$G,MATCH($A126,'[1]Définition Maintenances'!$K:$K,0))+AC126),AC126))</f>
        <v>892</v>
      </c>
      <c r="AE126" s="26">
        <f>IF(ISNUMBER(VLOOKUP($D126,'Visu totale'!$D:$DH,AE$1,0)),AD126-VLOOKUP($D126,'Visu totale'!$D:$DH,AE$1,0),IF(LEFT(VLOOKUP($D126,'Visu totale'!$D:$DH,AE$1,0),1)="V",IF(AD126&gt;=INDEX('[1]Définition Maintenances'!$G:$G,MATCH($A126,'[1]Définition Maintenances'!$K:$K,0)),AD126,INDEX('[1]Définition Maintenances'!$G:$G,MATCH($A126,'[1]Définition Maintenances'!$K:$K,0))+AD126),AD126))</f>
        <v>892</v>
      </c>
      <c r="AF126" s="26">
        <f>IF(ISNUMBER(VLOOKUP($D126,'Visu totale'!$D:$DH,AF$1,0)),AE126-VLOOKUP($D126,'Visu totale'!$D:$DH,AF$1,0),IF(LEFT(VLOOKUP($D126,'Visu totale'!$D:$DH,AF$1,0),1)="V",IF(AE126&gt;=INDEX('[1]Définition Maintenances'!$G:$G,MATCH($A126,'[1]Définition Maintenances'!$K:$K,0)),AE126,INDEX('[1]Définition Maintenances'!$G:$G,MATCH($A126,'[1]Définition Maintenances'!$K:$K,0))+AE126),AE126))</f>
        <v>892</v>
      </c>
      <c r="AG126" s="26">
        <f>IF(ISNUMBER(VLOOKUP($D126,'Visu totale'!$D:$DH,AG$1,0)),AF126-VLOOKUP($D126,'Visu totale'!$D:$DH,AG$1,0),IF(LEFT(VLOOKUP($D126,'Visu totale'!$D:$DH,AG$1,0),1)="V",IF(AF126&gt;=INDEX('[1]Définition Maintenances'!$G:$G,MATCH($A126,'[1]Définition Maintenances'!$K:$K,0)),AF126,INDEX('[1]Définition Maintenances'!$G:$G,MATCH($A126,'[1]Définition Maintenances'!$K:$K,0))+AF126),AF126))</f>
        <v>892</v>
      </c>
      <c r="AH126" s="26">
        <f>IF(ISNUMBER(VLOOKUP($D126,'Visu totale'!$D:$DH,AH$1,0)),AG126-VLOOKUP($D126,'Visu totale'!$D:$DH,AH$1,0),IF(LEFT(VLOOKUP($D126,'Visu totale'!$D:$DH,AH$1,0),1)="V",IF(AG126&gt;=INDEX('[1]Définition Maintenances'!$G:$G,MATCH($A126,'[1]Définition Maintenances'!$K:$K,0)),AG126,INDEX('[1]Définition Maintenances'!$G:$G,MATCH($A126,'[1]Définition Maintenances'!$K:$K,0))+AG126),AG126))</f>
        <v>892</v>
      </c>
      <c r="AI126" s="26">
        <f>IF(ISNUMBER(VLOOKUP($D126,'Visu totale'!$D:$DH,AI$1,0)),AH126-VLOOKUP($D126,'Visu totale'!$D:$DH,AI$1,0),IF(LEFT(VLOOKUP($D126,'Visu totale'!$D:$DH,AI$1,0),1)="V",IF(AH126&gt;=INDEX('[1]Définition Maintenances'!$G:$G,MATCH($A126,'[1]Définition Maintenances'!$K:$K,0)),AH126,INDEX('[1]Définition Maintenances'!$G:$G,MATCH($A126,'[1]Définition Maintenances'!$K:$K,0))+AH126),AH126))</f>
        <v>892</v>
      </c>
      <c r="AJ126" s="26">
        <f>IF(ISNUMBER(VLOOKUP($D126,'Visu totale'!$D:$DH,AJ$1,0)),AI126-VLOOKUP($D126,'Visu totale'!$D:$DH,AJ$1,0),IF(LEFT(VLOOKUP($D126,'Visu totale'!$D:$DH,AJ$1,0),1)="V",IF(AI126&gt;=INDEX('[1]Définition Maintenances'!$G:$G,MATCH($A126,'[1]Définition Maintenances'!$K:$K,0)),AI126,INDEX('[1]Définition Maintenances'!$G:$G,MATCH($A126,'[1]Définition Maintenances'!$K:$K,0))+AI126),AI126))</f>
        <v>892</v>
      </c>
      <c r="AK126" s="26">
        <f>IF(ISNUMBER(VLOOKUP($D126,'Visu totale'!$D:$DH,AK$1,0)),AJ126-VLOOKUP($D126,'Visu totale'!$D:$DH,AK$1,0),IF(LEFT(VLOOKUP($D126,'Visu totale'!$D:$DH,AK$1,0),1)="V",IF(AJ126&gt;=INDEX('[1]Définition Maintenances'!$G:$G,MATCH($A126,'[1]Définition Maintenances'!$K:$K,0)),AJ126,INDEX('[1]Définition Maintenances'!$G:$G,MATCH($A126,'[1]Définition Maintenances'!$K:$K,0))+AJ126),AJ126))</f>
        <v>892</v>
      </c>
      <c r="AL126" s="26">
        <f>IF(ISNUMBER(VLOOKUP($D126,'Visu totale'!$D:$DH,AL$1,0)),AK126-VLOOKUP($D126,'Visu totale'!$D:$DH,AL$1,0),IF(LEFT(VLOOKUP($D126,'Visu totale'!$D:$DH,AL$1,0),1)="V",IF(AK126&gt;=INDEX('[1]Définition Maintenances'!$G:$G,MATCH($A126,'[1]Définition Maintenances'!$K:$K,0)),AK126,INDEX('[1]Définition Maintenances'!$G:$G,MATCH($A126,'[1]Définition Maintenances'!$K:$K,0))+AK126),AK126))</f>
        <v>892</v>
      </c>
      <c r="AM126" s="26">
        <f>IF(ISNUMBER(VLOOKUP($D126,'Visu totale'!$D:$DH,AM$1,0)),AL126-VLOOKUP($D126,'Visu totale'!$D:$DH,AM$1,0),IF(LEFT(VLOOKUP($D126,'Visu totale'!$D:$DH,AM$1,0),1)="V",IF(AL126&gt;=INDEX('[1]Définition Maintenances'!$G:$G,MATCH($A126,'[1]Définition Maintenances'!$K:$K,0)),AL126,INDEX('[1]Définition Maintenances'!$G:$G,MATCH($A126,'[1]Définition Maintenances'!$K:$K,0))+AL126),AL126))</f>
        <v>892</v>
      </c>
      <c r="AN126" s="26">
        <f>IF(ISNUMBER(VLOOKUP($D126,'Visu totale'!$D:$DH,AN$1,0)),AM126-VLOOKUP($D126,'Visu totale'!$D:$DH,AN$1,0),IF(LEFT(VLOOKUP($D126,'Visu totale'!$D:$DH,AN$1,0),1)="V",IF(AM126&gt;=INDEX('[1]Définition Maintenances'!$G:$G,MATCH($A126,'[1]Définition Maintenances'!$K:$K,0)),AM126,INDEX('[1]Définition Maintenances'!$G:$G,MATCH($A126,'[1]Définition Maintenances'!$K:$K,0))+AM126),AM126))</f>
        <v>892</v>
      </c>
      <c r="AO126" s="27">
        <f>IF(ISNUMBER(VLOOKUP($D126,'Visu totale'!$D:$DH,AO$1,0)),AN126-VLOOKUP($D126,'Visu totale'!$D:$DH,AO$1,0),IF(LEFT(VLOOKUP($D126,'Visu totale'!$D:$DH,AO$1,0),1)="V",IF(AN126&gt;=INDEX('[1]Définition Maintenances'!$G:$G,MATCH($A126,'[1]Définition Maintenances'!$K:$K,0)),AN126,INDEX('[1]Définition Maintenances'!$G:$G,MATCH($A126,'[1]Définition Maintenances'!$K:$K,0))+AN126),AN126))</f>
        <v>892</v>
      </c>
      <c r="AP126" s="25">
        <f>IF(ISNUMBER(VLOOKUP($D126,'Visu totale'!$D:$DH,AP$1,0)),AO126-VLOOKUP($D126,'Visu totale'!$D:$DH,AP$1,0),IF(LEFT(VLOOKUP($D126,'Visu totale'!$D:$DH,AP$1,0),1)="V",IF(AO126&gt;=INDEX('[1]Définition Maintenances'!$G:$G,MATCH($A126,'[1]Définition Maintenances'!$K:$K,0)),AO126,INDEX('[1]Définition Maintenances'!$G:$G,MATCH($A126,'[1]Définition Maintenances'!$K:$K,0))+AO126),AO126))</f>
        <v>892</v>
      </c>
      <c r="AQ126" s="26">
        <f>IF(ISNUMBER(VLOOKUP($D126,'Visu totale'!$D:$DH,AQ$1,0)),AP126-VLOOKUP($D126,'Visu totale'!$D:$DH,AQ$1,0),IF(LEFT(VLOOKUP($D126,'Visu totale'!$D:$DH,AQ$1,0),1)="V",IF(AP126&gt;=INDEX('[1]Définition Maintenances'!$G:$G,MATCH($A126,'[1]Définition Maintenances'!$K:$K,0)),AP126,INDEX('[1]Définition Maintenances'!$G:$G,MATCH($A126,'[1]Définition Maintenances'!$K:$K,0))+AP126),AP126))</f>
        <v>892</v>
      </c>
      <c r="AR126" s="26">
        <f>IF(ISNUMBER(VLOOKUP($D126,'Visu totale'!$D:$DH,AR$1,0)),AQ126-VLOOKUP($D126,'Visu totale'!$D:$DH,AR$1,0),IF(LEFT(VLOOKUP($D126,'Visu totale'!$D:$DH,AR$1,0),1)="V",IF(AQ126&gt;=INDEX('[1]Définition Maintenances'!$G:$G,MATCH($A126,'[1]Définition Maintenances'!$K:$K,0)),AQ126,INDEX('[1]Définition Maintenances'!$G:$G,MATCH($A126,'[1]Définition Maintenances'!$K:$K,0))+AQ126),AQ126))</f>
        <v>892</v>
      </c>
      <c r="AS126" s="26">
        <f>IF(ISNUMBER(VLOOKUP($D126,'Visu totale'!$D:$DH,AS$1,0)),AR126-VLOOKUP($D126,'Visu totale'!$D:$DH,AS$1,0),IF(LEFT(VLOOKUP($D126,'Visu totale'!$D:$DH,AS$1,0),1)="V",IF(AR126&gt;=INDEX('[1]Définition Maintenances'!$G:$G,MATCH($A126,'[1]Définition Maintenances'!$K:$K,0)),AR126,INDEX('[1]Définition Maintenances'!$G:$G,MATCH($A126,'[1]Définition Maintenances'!$K:$K,0))+AR126),AR126))</f>
        <v>892</v>
      </c>
      <c r="AT126" s="26">
        <f>IF(ISNUMBER(VLOOKUP($D126,'Visu totale'!$D:$DH,AT$1,0)),AS126-VLOOKUP($D126,'Visu totale'!$D:$DH,AT$1,0),IF(LEFT(VLOOKUP($D126,'Visu totale'!$D:$DH,AT$1,0),1)="V",IF(AS126&gt;=INDEX('[1]Définition Maintenances'!$G:$G,MATCH($A126,'[1]Définition Maintenances'!$K:$K,0)),AS126,INDEX('[1]Définition Maintenances'!$G:$G,MATCH($A126,'[1]Définition Maintenances'!$K:$K,0))+AS126),AS126))</f>
        <v>892</v>
      </c>
      <c r="AU126" s="26">
        <f>IF(ISNUMBER(VLOOKUP($D126,'Visu totale'!$D:$DH,AU$1,0)),AT126-VLOOKUP($D126,'Visu totale'!$D:$DH,AU$1,0),IF(LEFT(VLOOKUP($D126,'Visu totale'!$D:$DH,AU$1,0),1)="V",IF(AT126&gt;=INDEX('[1]Définition Maintenances'!$G:$G,MATCH($A126,'[1]Définition Maintenances'!$K:$K,0)),AT126,INDEX('[1]Définition Maintenances'!$G:$G,MATCH($A126,'[1]Définition Maintenances'!$K:$K,0))+AT126),AT126))</f>
        <v>892</v>
      </c>
      <c r="AV126" s="26">
        <f>IF(ISNUMBER(VLOOKUP($D126,'Visu totale'!$D:$DH,AV$1,0)),AU126-VLOOKUP($D126,'Visu totale'!$D:$DH,AV$1,0),IF(LEFT(VLOOKUP($D126,'Visu totale'!$D:$DH,AV$1,0),1)="V",IF(AU126&gt;=INDEX('[1]Définition Maintenances'!$G:$G,MATCH($A126,'[1]Définition Maintenances'!$K:$K,0)),AU126,INDEX('[1]Définition Maintenances'!$G:$G,MATCH($A126,'[1]Définition Maintenances'!$K:$K,0))+AU126),AU126))</f>
        <v>892</v>
      </c>
      <c r="AW126" s="26">
        <f>IF(ISNUMBER(VLOOKUP($D126,'Visu totale'!$D:$DH,AW$1,0)),AV126-VLOOKUP($D126,'Visu totale'!$D:$DH,AW$1,0),IF(LEFT(VLOOKUP($D126,'Visu totale'!$D:$DH,AW$1,0),1)="V",IF(AV126&gt;=INDEX('[1]Définition Maintenances'!$G:$G,MATCH($A126,'[1]Définition Maintenances'!$K:$K,0)),AV126,INDEX('[1]Définition Maintenances'!$G:$G,MATCH($A126,'[1]Définition Maintenances'!$K:$K,0))+AV126),AV126))</f>
        <v>892</v>
      </c>
      <c r="AX126" s="26">
        <f>IF(ISNUMBER(VLOOKUP($D126,'Visu totale'!$D:$DH,AX$1,0)),AW126-VLOOKUP($D126,'Visu totale'!$D:$DH,AX$1,0),IF(LEFT(VLOOKUP($D126,'Visu totale'!$D:$DH,AX$1,0),1)="V",IF(AW126&gt;=INDEX('[1]Définition Maintenances'!$G:$G,MATCH($A126,'[1]Définition Maintenances'!$K:$K,0)),AW126,INDEX('[1]Définition Maintenances'!$G:$G,MATCH($A126,'[1]Définition Maintenances'!$K:$K,0))+AW126),AW126))</f>
        <v>892</v>
      </c>
      <c r="AY126" s="26">
        <f>IF(ISNUMBER(VLOOKUP($D126,'Visu totale'!$D:$DH,AY$1,0)),AX126-VLOOKUP($D126,'Visu totale'!$D:$DH,AY$1,0),IF(LEFT(VLOOKUP($D126,'Visu totale'!$D:$DH,AY$1,0),1)="V",IF(AX126&gt;=INDEX('[1]Définition Maintenances'!$G:$G,MATCH($A126,'[1]Définition Maintenances'!$K:$K,0)),AX126,INDEX('[1]Définition Maintenances'!$G:$G,MATCH($A126,'[1]Définition Maintenances'!$K:$K,0))+AX126),AX126))</f>
        <v>892</v>
      </c>
      <c r="AZ126" s="26">
        <f>IF(ISNUMBER(VLOOKUP($D126,'Visu totale'!$D:$DH,AZ$1,0)),AY126-VLOOKUP($D126,'Visu totale'!$D:$DH,AZ$1,0),IF(LEFT(VLOOKUP($D126,'Visu totale'!$D:$DH,AZ$1,0),1)="V",IF(AY126&gt;=INDEX('[1]Définition Maintenances'!$G:$G,MATCH($A126,'[1]Définition Maintenances'!$K:$K,0)),AY126,INDEX('[1]Définition Maintenances'!$G:$G,MATCH($A126,'[1]Définition Maintenances'!$K:$K,0))+AY126),AY126))</f>
        <v>892</v>
      </c>
      <c r="BA126" s="27">
        <f>IF(ISNUMBER(VLOOKUP($D126,'Visu totale'!$D:$DH,BA$1,0)),AZ126-VLOOKUP($D126,'Visu totale'!$D:$DH,BA$1,0),IF(LEFT(VLOOKUP($D126,'Visu totale'!$D:$DH,BA$1,0),1)="V",IF(AZ126&gt;=INDEX('[1]Définition Maintenances'!$G:$G,MATCH($A126,'[1]Définition Maintenances'!$K:$K,0)),AZ126,INDEX('[1]Définition Maintenances'!$G:$G,MATCH($A126,'[1]Définition Maintenances'!$K:$K,0))+AZ126),AZ126))</f>
        <v>892</v>
      </c>
      <c r="BB126" s="25">
        <f>IF(ISNUMBER(VLOOKUP($D126,'Visu totale'!$D:$DH,BB$1,0)),BA126-VLOOKUP($D126,'Visu totale'!$D:$DH,BB$1,0),IF(LEFT(VLOOKUP($D126,'Visu totale'!$D:$DH,BB$1,0),1)="V",IF(BA126&gt;=INDEX('[1]Définition Maintenances'!$G:$G,MATCH($A126,'[1]Définition Maintenances'!$K:$K,0)),BA126,INDEX('[1]Définition Maintenances'!$G:$G,MATCH($A126,'[1]Définition Maintenances'!$K:$K,0))+BA126),BA126))</f>
        <v>892</v>
      </c>
      <c r="BC126" s="26">
        <f>IF(ISNUMBER(VLOOKUP($D126,'Visu totale'!$D:$DH,BC$1,0)),BB126-VLOOKUP($D126,'Visu totale'!$D:$DH,BC$1,0),IF(LEFT(VLOOKUP($D126,'Visu totale'!$D:$DH,BC$1,0),1)="V",IF(BB126&gt;=INDEX('[1]Définition Maintenances'!$G:$G,MATCH($A126,'[1]Définition Maintenances'!$K:$K,0)),BB126,INDEX('[1]Définition Maintenances'!$G:$G,MATCH($A126,'[1]Définition Maintenances'!$K:$K,0))+BB126),BB126))</f>
        <v>892</v>
      </c>
      <c r="BD126" s="26">
        <f>IF(ISNUMBER(VLOOKUP($D126,'Visu totale'!$D:$DH,BD$1,0)),BC126-VLOOKUP($D126,'Visu totale'!$D:$DH,BD$1,0),IF(LEFT(VLOOKUP($D126,'Visu totale'!$D:$DH,BD$1,0),1)="V",IF(BC126&gt;=INDEX('[1]Définition Maintenances'!$G:$G,MATCH($A126,'[1]Définition Maintenances'!$K:$K,0)),BC126,INDEX('[1]Définition Maintenances'!$G:$G,MATCH($A126,'[1]Définition Maintenances'!$K:$K,0))+BC126),BC126))</f>
        <v>892</v>
      </c>
      <c r="BE126" s="26">
        <f>IF(ISNUMBER(VLOOKUP($D126,'Visu totale'!$D:$DH,BE$1,0)),BD126-VLOOKUP($D126,'Visu totale'!$D:$DH,BE$1,0),IF(LEFT(VLOOKUP($D126,'Visu totale'!$D:$DH,BE$1,0),1)="V",IF(BD126&gt;=INDEX('[1]Définition Maintenances'!$G:$G,MATCH($A126,'[1]Définition Maintenances'!$K:$K,0)),BD126,INDEX('[1]Définition Maintenances'!$G:$G,MATCH($A126,'[1]Définition Maintenances'!$K:$K,0))+BD126),BD126))</f>
        <v>892</v>
      </c>
      <c r="BF126" s="26">
        <f>IF(ISNUMBER(VLOOKUP($D126,'Visu totale'!$D:$DH,BF$1,0)),BE126-VLOOKUP($D126,'Visu totale'!$D:$DH,BF$1,0),IF(LEFT(VLOOKUP($D126,'Visu totale'!$D:$DH,BF$1,0),1)="V",IF(BE126&gt;=INDEX('[1]Définition Maintenances'!$G:$G,MATCH($A126,'[1]Définition Maintenances'!$K:$K,0)),BE126,INDEX('[1]Définition Maintenances'!$G:$G,MATCH($A126,'[1]Définition Maintenances'!$K:$K,0))+BE126),BE126))</f>
        <v>892</v>
      </c>
      <c r="BG126" s="26">
        <f>IF(ISNUMBER(VLOOKUP($D126,'Visu totale'!$D:$DH,BG$1,0)),BF126-VLOOKUP($D126,'Visu totale'!$D:$DH,BG$1,0),IF(LEFT(VLOOKUP($D126,'Visu totale'!$D:$DH,BG$1,0),1)="V",IF(BF126&gt;=INDEX('[1]Définition Maintenances'!$G:$G,MATCH($A126,'[1]Définition Maintenances'!$K:$K,0)),BF126,INDEX('[1]Définition Maintenances'!$G:$G,MATCH($A126,'[1]Définition Maintenances'!$K:$K,0))+BF126),BF126))</f>
        <v>892</v>
      </c>
      <c r="BH126" s="26">
        <f>IF(ISNUMBER(VLOOKUP($D126,'Visu totale'!$D:$DH,BH$1,0)),BG126-VLOOKUP($D126,'Visu totale'!$D:$DH,BH$1,0),IF(LEFT(VLOOKUP($D126,'Visu totale'!$D:$DH,BH$1,0),1)="V",IF(BG126&gt;=INDEX('[1]Définition Maintenances'!$G:$G,MATCH($A126,'[1]Définition Maintenances'!$K:$K,0)),BG126,INDEX('[1]Définition Maintenances'!$G:$G,MATCH($A126,'[1]Définition Maintenances'!$K:$K,0))+BG126),BG126))</f>
        <v>892</v>
      </c>
      <c r="BI126" s="26">
        <f>IF(ISNUMBER(VLOOKUP($D126,'Visu totale'!$D:$DH,BI$1,0)),BH126-VLOOKUP($D126,'Visu totale'!$D:$DH,BI$1,0),IF(LEFT(VLOOKUP($D126,'Visu totale'!$D:$DH,BI$1,0),1)="V",IF(BH126&gt;=INDEX('[1]Définition Maintenances'!$G:$G,MATCH($A126,'[1]Définition Maintenances'!$K:$K,0)),BH126,INDEX('[1]Définition Maintenances'!$G:$G,MATCH($A126,'[1]Définition Maintenances'!$K:$K,0))+BH126),BH126))</f>
        <v>892</v>
      </c>
      <c r="BJ126" s="26">
        <f>IF(ISNUMBER(VLOOKUP($D126,'Visu totale'!$D:$DH,BJ$1,0)),BI126-VLOOKUP($D126,'Visu totale'!$D:$DH,BJ$1,0),IF(LEFT(VLOOKUP($D126,'Visu totale'!$D:$DH,BJ$1,0),1)="V",IF(BI126&gt;=INDEX('[1]Définition Maintenances'!$G:$G,MATCH($A126,'[1]Définition Maintenances'!$K:$K,0)),BI126,INDEX('[1]Définition Maintenances'!$G:$G,MATCH($A126,'[1]Définition Maintenances'!$K:$K,0))+BI126),BI126))</f>
        <v>892</v>
      </c>
      <c r="BK126" s="26">
        <f>IF(ISNUMBER(VLOOKUP($D126,'Visu totale'!$D:$DH,BK$1,0)),BJ126-VLOOKUP($D126,'Visu totale'!$D:$DH,BK$1,0),IF(LEFT(VLOOKUP($D126,'Visu totale'!$D:$DH,BK$1,0),1)="V",IF(BJ126&gt;=INDEX('[1]Définition Maintenances'!$G:$G,MATCH($A126,'[1]Définition Maintenances'!$K:$K,0)),BJ126,INDEX('[1]Définition Maintenances'!$G:$G,MATCH($A126,'[1]Définition Maintenances'!$K:$K,0))+BJ126),BJ126))</f>
        <v>892</v>
      </c>
      <c r="BL126" s="26">
        <f>IF(ISNUMBER(VLOOKUP($D126,'Visu totale'!$D:$DH,BL$1,0)),BK126-VLOOKUP($D126,'Visu totale'!$D:$DH,BL$1,0),IF(LEFT(VLOOKUP($D126,'Visu totale'!$D:$DH,BL$1,0),1)="V",IF(BK126&gt;=INDEX('[1]Définition Maintenances'!$G:$G,MATCH($A126,'[1]Définition Maintenances'!$K:$K,0)),BK126,INDEX('[1]Définition Maintenances'!$G:$G,MATCH($A126,'[1]Définition Maintenances'!$K:$K,0))+BK126),BK126))</f>
        <v>892</v>
      </c>
      <c r="BM126" s="27">
        <f>IF(ISNUMBER(VLOOKUP($D126,'Visu totale'!$D:$DH,BM$1,0)),BL126-VLOOKUP($D126,'Visu totale'!$D:$DH,BM$1,0),IF(LEFT(VLOOKUP($D126,'Visu totale'!$D:$DH,BM$1,0),1)="V",IF(BL126&gt;=INDEX('[1]Définition Maintenances'!$G:$G,MATCH($A126,'[1]Définition Maintenances'!$K:$K,0)),BL126,INDEX('[1]Définition Maintenances'!$G:$G,MATCH($A126,'[1]Définition Maintenances'!$K:$K,0))+BL126),BL126))</f>
        <v>892</v>
      </c>
      <c r="BN126" s="25">
        <f>IF(ISNUMBER(VLOOKUP($D126,'Visu totale'!$D:$DH,BN$1,0)),BM126-VLOOKUP($D126,'Visu totale'!$D:$DH,BN$1,0),IF(LEFT(VLOOKUP($D126,'Visu totale'!$D:$DH,BN$1,0),1)="V",IF(BM126&gt;=INDEX('[1]Définition Maintenances'!$G:$G,MATCH($A126,'[1]Définition Maintenances'!$K:$K,0)),BM126,INDEX('[1]Définition Maintenances'!$G:$G,MATCH($A126,'[1]Définition Maintenances'!$K:$K,0))+BM126),BM126))</f>
        <v>892</v>
      </c>
      <c r="BO126" s="26">
        <f>IF(ISNUMBER(VLOOKUP($D126,'Visu totale'!$D:$DH,BO$1,0)),BN126-VLOOKUP($D126,'Visu totale'!$D:$DH,BO$1,0),IF(LEFT(VLOOKUP($D126,'Visu totale'!$D:$DH,BO$1,0),1)="V",IF(BN126&gt;=INDEX('[1]Définition Maintenances'!$G:$G,MATCH($A126,'[1]Définition Maintenances'!$K:$K,0)),BN126,INDEX('[1]Définition Maintenances'!$G:$G,MATCH($A126,'[1]Définition Maintenances'!$K:$K,0))+BN126),BN126))</f>
        <v>892</v>
      </c>
      <c r="BP126" s="26">
        <f>IF(ISNUMBER(VLOOKUP($D126,'Visu totale'!$D:$DH,BP$1,0)),BO126-VLOOKUP($D126,'Visu totale'!$D:$DH,BP$1,0),IF(LEFT(VLOOKUP($D126,'Visu totale'!$D:$DH,BP$1,0),1)="V",IF(BO126&gt;=INDEX('[1]Définition Maintenances'!$G:$G,MATCH($A126,'[1]Définition Maintenances'!$K:$K,0)),BO126,INDEX('[1]Définition Maintenances'!$G:$G,MATCH($A126,'[1]Définition Maintenances'!$K:$K,0))+BO126),BO126))</f>
        <v>892</v>
      </c>
      <c r="BQ126" s="26">
        <f>IF(ISNUMBER(VLOOKUP($D126,'Visu totale'!$D:$DH,BQ$1,0)),BP126-VLOOKUP($D126,'Visu totale'!$D:$DH,BQ$1,0),IF(LEFT(VLOOKUP($D126,'Visu totale'!$D:$DH,BQ$1,0),1)="V",IF(BP126&gt;=INDEX('[1]Définition Maintenances'!$G:$G,MATCH($A126,'[1]Définition Maintenances'!$K:$K,0)),BP126,INDEX('[1]Définition Maintenances'!$G:$G,MATCH($A126,'[1]Définition Maintenances'!$K:$K,0))+BP126),BP126))</f>
        <v>892</v>
      </c>
      <c r="BR126" s="26">
        <f>IF(ISNUMBER(VLOOKUP($D126,'Visu totale'!$D:$DH,BR$1,0)),BQ126-VLOOKUP($D126,'Visu totale'!$D:$DH,BR$1,0),IF(LEFT(VLOOKUP($D126,'Visu totale'!$D:$DH,BR$1,0),1)="V",IF(BQ126&gt;=INDEX('[1]Définition Maintenances'!$G:$G,MATCH($A126,'[1]Définition Maintenances'!$K:$K,0)),BQ126,INDEX('[1]Définition Maintenances'!$G:$G,MATCH($A126,'[1]Définition Maintenances'!$K:$K,0))+BQ126),BQ126))</f>
        <v>892</v>
      </c>
      <c r="BS126" s="26">
        <f>IF(ISNUMBER(VLOOKUP($D126,'Visu totale'!$D:$DH,BS$1,0)),BR126-VLOOKUP($D126,'Visu totale'!$D:$DH,BS$1,0),IF(LEFT(VLOOKUP($D126,'Visu totale'!$D:$DH,BS$1,0),1)="V",IF(BR126&gt;=INDEX('[1]Définition Maintenances'!$G:$G,MATCH($A126,'[1]Définition Maintenances'!$K:$K,0)),BR126,INDEX('[1]Définition Maintenances'!$G:$G,MATCH($A126,'[1]Définition Maintenances'!$K:$K,0))+BR126),BR126))</f>
        <v>892</v>
      </c>
      <c r="BT126" s="26">
        <f>IF(ISNUMBER(VLOOKUP($D126,'Visu totale'!$D:$DH,BT$1,0)),BS126-VLOOKUP($D126,'Visu totale'!$D:$DH,BT$1,0),IF(LEFT(VLOOKUP($D126,'Visu totale'!$D:$DH,BT$1,0),1)="V",IF(BS126&gt;=INDEX('[1]Définition Maintenances'!$G:$G,MATCH($A126,'[1]Définition Maintenances'!$K:$K,0)),BS126,INDEX('[1]Définition Maintenances'!$G:$G,MATCH($A126,'[1]Définition Maintenances'!$K:$K,0))+BS126),BS126))</f>
        <v>892</v>
      </c>
      <c r="BU126" s="26">
        <f>IF(ISNUMBER(VLOOKUP($D126,'Visu totale'!$D:$DH,BU$1,0)),BT126-VLOOKUP($D126,'Visu totale'!$D:$DH,BU$1,0),IF(LEFT(VLOOKUP($D126,'Visu totale'!$D:$DH,BU$1,0),1)="V",IF(BT126&gt;=INDEX('[1]Définition Maintenances'!$G:$G,MATCH($A126,'[1]Définition Maintenances'!$K:$K,0)),BT126,INDEX('[1]Définition Maintenances'!$G:$G,MATCH($A126,'[1]Définition Maintenances'!$K:$K,0))+BT126),BT126))</f>
        <v>892</v>
      </c>
      <c r="BV126" s="26">
        <f>IF(ISNUMBER(VLOOKUP($D126,'Visu totale'!$D:$DH,BV$1,0)),BU126-VLOOKUP($D126,'Visu totale'!$D:$DH,BV$1,0),IF(LEFT(VLOOKUP($D126,'Visu totale'!$D:$DH,BV$1,0),1)="V",IF(BU126&gt;=INDEX('[1]Définition Maintenances'!$G:$G,MATCH($A126,'[1]Définition Maintenances'!$K:$K,0)),BU126,INDEX('[1]Définition Maintenances'!$G:$G,MATCH($A126,'[1]Définition Maintenances'!$K:$K,0))+BU126),BU126))</f>
        <v>892</v>
      </c>
      <c r="BW126" s="26">
        <f>IF(ISNUMBER(VLOOKUP($D126,'Visu totale'!$D:$DH,BW$1,0)),BV126-VLOOKUP($D126,'Visu totale'!$D:$DH,BW$1,0),IF(LEFT(VLOOKUP($D126,'Visu totale'!$D:$DH,BW$1,0),1)="V",IF(BV126&gt;=INDEX('[1]Définition Maintenances'!$G:$G,MATCH($A126,'[1]Définition Maintenances'!$K:$K,0)),BV126,INDEX('[1]Définition Maintenances'!$G:$G,MATCH($A126,'[1]Définition Maintenances'!$K:$K,0))+BV126),BV126))</f>
        <v>892</v>
      </c>
      <c r="BX126" s="26">
        <f>IF(ISNUMBER(VLOOKUP($D126,'Visu totale'!$D:$DH,BX$1,0)),BW126-VLOOKUP($D126,'Visu totale'!$D:$DH,BX$1,0),IF(LEFT(VLOOKUP($D126,'Visu totale'!$D:$DH,BX$1,0),1)="V",IF(BW126&gt;=INDEX('[1]Définition Maintenances'!$G:$G,MATCH($A126,'[1]Définition Maintenances'!$K:$K,0)),BW126,INDEX('[1]Définition Maintenances'!$G:$G,MATCH($A126,'[1]Définition Maintenances'!$K:$K,0))+BW126),BW126))</f>
        <v>892</v>
      </c>
      <c r="BY126" s="27">
        <f>IF(ISNUMBER(VLOOKUP($D126,'Visu totale'!$D:$DH,BY$1,0)),BX126-VLOOKUP($D126,'Visu totale'!$D:$DH,BY$1,0),IF(LEFT(VLOOKUP($D126,'Visu totale'!$D:$DH,BY$1,0),1)="V",IF(BX126&gt;=INDEX('[1]Définition Maintenances'!$G:$G,MATCH($A126,'[1]Définition Maintenances'!$K:$K,0)),BX126,INDEX('[1]Définition Maintenances'!$G:$G,MATCH($A126,'[1]Définition Maintenances'!$K:$K,0))+BX126),BX126))</f>
        <v>892</v>
      </c>
      <c r="BZ126" s="25">
        <f>IF(ISNUMBER(VLOOKUP($D126,'Visu totale'!$D:$DH,BZ$1,0)),BY126-VLOOKUP($D126,'Visu totale'!$D:$DH,BZ$1,0),IF(LEFT(VLOOKUP($D126,'Visu totale'!$D:$DH,BZ$1,0),1)="V",IF(BY126&gt;=INDEX('[1]Définition Maintenances'!$G:$G,MATCH($A126,'[1]Définition Maintenances'!$K:$K,0)),BY126,INDEX('[1]Définition Maintenances'!$G:$G,MATCH($A126,'[1]Définition Maintenances'!$K:$K,0))+BY126),BY126))</f>
        <v>892</v>
      </c>
      <c r="CA126" s="26">
        <f>IF(ISNUMBER(VLOOKUP($D126,'Visu totale'!$D:$DH,CA$1,0)),BZ126-VLOOKUP($D126,'Visu totale'!$D:$DH,CA$1,0),IF(LEFT(VLOOKUP($D126,'Visu totale'!$D:$DH,CA$1,0),1)="V",IF(BZ126&gt;=INDEX('[1]Définition Maintenances'!$G:$G,MATCH($A126,'[1]Définition Maintenances'!$K:$K,0)),BZ126,INDEX('[1]Définition Maintenances'!$G:$G,MATCH($A126,'[1]Définition Maintenances'!$K:$K,0))+BZ126),BZ126))</f>
        <v>892</v>
      </c>
      <c r="CB126" s="26">
        <f>IF(ISNUMBER(VLOOKUP($D126,'Visu totale'!$D:$DH,CB$1,0)),CA126-VLOOKUP($D126,'Visu totale'!$D:$DH,CB$1,0),IF(LEFT(VLOOKUP($D126,'Visu totale'!$D:$DH,CB$1,0),1)="V",IF(CA126&gt;=INDEX('[1]Définition Maintenances'!$G:$G,MATCH($A126,'[1]Définition Maintenances'!$K:$K,0)),CA126,INDEX('[1]Définition Maintenances'!$G:$G,MATCH($A126,'[1]Définition Maintenances'!$K:$K,0))+CA126),CA126))</f>
        <v>892</v>
      </c>
      <c r="CC126" s="26">
        <f>IF(ISNUMBER(VLOOKUP($D126,'Visu totale'!$D:$DH,CC$1,0)),CB126-VLOOKUP($D126,'Visu totale'!$D:$DH,CC$1,0),IF(LEFT(VLOOKUP($D126,'Visu totale'!$D:$DH,CC$1,0),1)="V",IF(CB126&gt;=INDEX('[1]Définition Maintenances'!$G:$G,MATCH($A126,'[1]Définition Maintenances'!$K:$K,0)),CB126,INDEX('[1]Définition Maintenances'!$G:$G,MATCH($A126,'[1]Définition Maintenances'!$K:$K,0))+CB126),CB126))</f>
        <v>892</v>
      </c>
      <c r="CD126" s="26">
        <f>IF(ISNUMBER(VLOOKUP($D126,'Visu totale'!$D:$DH,CD$1,0)),CC126-VLOOKUP($D126,'Visu totale'!$D:$DH,CD$1,0),IF(LEFT(VLOOKUP($D126,'Visu totale'!$D:$DH,CD$1,0),1)="V",IF(CC126&gt;=INDEX('[1]Définition Maintenances'!$G:$G,MATCH($A126,'[1]Définition Maintenances'!$K:$K,0)),CC126,INDEX('[1]Définition Maintenances'!$G:$G,MATCH($A126,'[1]Définition Maintenances'!$K:$K,0))+CC126),CC126))</f>
        <v>892</v>
      </c>
      <c r="CE126" s="26">
        <f>IF(ISNUMBER(VLOOKUP($D126,'Visu totale'!$D:$DH,CE$1,0)),CD126-VLOOKUP($D126,'Visu totale'!$D:$DH,CE$1,0),IF(LEFT(VLOOKUP($D126,'Visu totale'!$D:$DH,CE$1,0),1)="V",IF(CD126&gt;=INDEX('[1]Définition Maintenances'!$G:$G,MATCH($A126,'[1]Définition Maintenances'!$K:$K,0)),CD126,INDEX('[1]Définition Maintenances'!$G:$G,MATCH($A126,'[1]Définition Maintenances'!$K:$K,0))+CD126),CD126))</f>
        <v>892</v>
      </c>
      <c r="CF126" s="26">
        <f>IF(ISNUMBER(VLOOKUP($D126,'Visu totale'!$D:$DH,CF$1,0)),CE126-VLOOKUP($D126,'Visu totale'!$D:$DH,CF$1,0),IF(LEFT(VLOOKUP($D126,'Visu totale'!$D:$DH,CF$1,0),1)="V",IF(CE126&gt;=INDEX('[1]Définition Maintenances'!$G:$G,MATCH($A126,'[1]Définition Maintenances'!$K:$K,0)),CE126,INDEX('[1]Définition Maintenances'!$G:$G,MATCH($A126,'[1]Définition Maintenances'!$K:$K,0))+CE126),CE126))</f>
        <v>892</v>
      </c>
      <c r="CG126" s="26">
        <f>IF(ISNUMBER(VLOOKUP($D126,'Visu totale'!$D:$DH,CG$1,0)),CF126-VLOOKUP($D126,'Visu totale'!$D:$DH,CG$1,0),IF(LEFT(VLOOKUP($D126,'Visu totale'!$D:$DH,CG$1,0),1)="V",IF(CF126&gt;=INDEX('[1]Définition Maintenances'!$G:$G,MATCH($A126,'[1]Définition Maintenances'!$K:$K,0)),CF126,INDEX('[1]Définition Maintenances'!$G:$G,MATCH($A126,'[1]Définition Maintenances'!$K:$K,0))+CF126),CF126))</f>
        <v>892</v>
      </c>
      <c r="CH126" s="26">
        <f>IF(ISNUMBER(VLOOKUP($D126,'Visu totale'!$D:$DH,CH$1,0)),CG126-VLOOKUP($D126,'Visu totale'!$D:$DH,CH$1,0),IF(LEFT(VLOOKUP($D126,'Visu totale'!$D:$DH,CH$1,0),1)="V",IF(CG126&gt;=INDEX('[1]Définition Maintenances'!$G:$G,MATCH($A126,'[1]Définition Maintenances'!$K:$K,0)),CG126,INDEX('[1]Définition Maintenances'!$G:$G,MATCH($A126,'[1]Définition Maintenances'!$K:$K,0))+CG126),CG126))</f>
        <v>892</v>
      </c>
      <c r="CI126" s="26">
        <f>IF(ISNUMBER(VLOOKUP($D126,'Visu totale'!$D:$DH,CI$1,0)),CH126-VLOOKUP($D126,'Visu totale'!$D:$DH,CI$1,0),IF(LEFT(VLOOKUP($D126,'Visu totale'!$D:$DH,CI$1,0),1)="V",IF(CH126&gt;=INDEX('[1]Définition Maintenances'!$G:$G,MATCH($A126,'[1]Définition Maintenances'!$K:$K,0)),CH126,INDEX('[1]Définition Maintenances'!$G:$G,MATCH($A126,'[1]Définition Maintenances'!$K:$K,0))+CH126),CH126))</f>
        <v>892</v>
      </c>
      <c r="CJ126" s="26">
        <f>IF(ISNUMBER(VLOOKUP($D126,'Visu totale'!$D:$DH,CJ$1,0)),CI126-VLOOKUP($D126,'Visu totale'!$D:$DH,CJ$1,0),IF(LEFT(VLOOKUP($D126,'Visu totale'!$D:$DH,CJ$1,0),1)="V",IF(CI126&gt;=INDEX('[1]Définition Maintenances'!$G:$G,MATCH($A126,'[1]Définition Maintenances'!$K:$K,0)),CI126,INDEX('[1]Définition Maintenances'!$G:$G,MATCH($A126,'[1]Définition Maintenances'!$K:$K,0))+CI126),CI126))</f>
        <v>892</v>
      </c>
      <c r="CK126" s="27">
        <f>IF(ISNUMBER(VLOOKUP($D126,'Visu totale'!$D:$DH,CK$1,0)),CJ126-VLOOKUP($D126,'Visu totale'!$D:$DH,CK$1,0),IF(LEFT(VLOOKUP($D126,'Visu totale'!$D:$DH,CK$1,0),1)="V",IF(CJ126&gt;=INDEX('[1]Définition Maintenances'!$G:$G,MATCH($A126,'[1]Définition Maintenances'!$K:$K,0)),CJ126,INDEX('[1]Définition Maintenances'!$G:$G,MATCH($A126,'[1]Définition Maintenances'!$K:$K,0))+CJ126),CJ126))</f>
        <v>892</v>
      </c>
      <c r="CL126" s="25">
        <f>IF(ISNUMBER(VLOOKUP($D126,'Visu totale'!$D:$DH,CL$1,0)),CK126-VLOOKUP($D126,'Visu totale'!$D:$DH,CL$1,0),IF(LEFT(VLOOKUP($D126,'Visu totale'!$D:$DH,CL$1,0),1)="V",IF(CK126&gt;=INDEX('[1]Définition Maintenances'!$G:$G,MATCH($A126,'[1]Définition Maintenances'!$K:$K,0)),CK126,INDEX('[1]Définition Maintenances'!$G:$G,MATCH($A126,'[1]Définition Maintenances'!$K:$K,0))+CK126),CK126))</f>
        <v>892</v>
      </c>
      <c r="CM126" s="26">
        <f>IF(ISNUMBER(VLOOKUP($D126,'Visu totale'!$D:$DH,CM$1,0)),CL126-VLOOKUP($D126,'Visu totale'!$D:$DH,CM$1,0),IF(LEFT(VLOOKUP($D126,'Visu totale'!$D:$DH,CM$1,0),1)="V",IF(CL126&gt;=INDEX('[1]Définition Maintenances'!$G:$G,MATCH($A126,'[1]Définition Maintenances'!$K:$K,0)),CL126,INDEX('[1]Définition Maintenances'!$G:$G,MATCH($A126,'[1]Définition Maintenances'!$K:$K,0))+CL126),CL126))</f>
        <v>892</v>
      </c>
      <c r="CN126" s="26">
        <f>IF(ISNUMBER(VLOOKUP($D126,'Visu totale'!$D:$DH,CN$1,0)),CM126-VLOOKUP($D126,'Visu totale'!$D:$DH,CN$1,0),IF(LEFT(VLOOKUP($D126,'Visu totale'!$D:$DH,CN$1,0),1)="V",IF(CM126&gt;=INDEX('[1]Définition Maintenances'!$G:$G,MATCH($A126,'[1]Définition Maintenances'!$K:$K,0)),CM126,INDEX('[1]Définition Maintenances'!$G:$G,MATCH($A126,'[1]Définition Maintenances'!$K:$K,0))+CM126),CM126))</f>
        <v>892</v>
      </c>
      <c r="CO126" s="26">
        <f>IF(ISNUMBER(VLOOKUP($D126,'Visu totale'!$D:$DH,CO$1,0)),CN126-VLOOKUP($D126,'Visu totale'!$D:$DH,CO$1,0),IF(LEFT(VLOOKUP($D126,'Visu totale'!$D:$DH,CO$1,0),1)="V",IF(CN126&gt;=INDEX('[1]Définition Maintenances'!$G:$G,MATCH($A126,'[1]Définition Maintenances'!$K:$K,0)),CN126,INDEX('[1]Définition Maintenances'!$G:$G,MATCH($A126,'[1]Définition Maintenances'!$K:$K,0))+CN126),CN126))</f>
        <v>892</v>
      </c>
      <c r="CP126" s="26">
        <f>IF(ISNUMBER(VLOOKUP($D126,'Visu totale'!$D:$DH,CP$1,0)),CO126-VLOOKUP($D126,'Visu totale'!$D:$DH,CP$1,0),IF(LEFT(VLOOKUP($D126,'Visu totale'!$D:$DH,CP$1,0),1)="V",IF(CO126&gt;=INDEX('[1]Définition Maintenances'!$G:$G,MATCH($A126,'[1]Définition Maintenances'!$K:$K,0)),CO126,INDEX('[1]Définition Maintenances'!$G:$G,MATCH($A126,'[1]Définition Maintenances'!$K:$K,0))+CO126),CO126))</f>
        <v>892</v>
      </c>
      <c r="CQ126" s="26">
        <f>IF(ISNUMBER(VLOOKUP($D126,'Visu totale'!$D:$DH,CQ$1,0)),CP126-VLOOKUP($D126,'Visu totale'!$D:$DH,CQ$1,0),IF(LEFT(VLOOKUP($D126,'Visu totale'!$D:$DH,CQ$1,0),1)="V",IF(CP126&gt;=INDEX('[1]Définition Maintenances'!$G:$G,MATCH($A126,'[1]Définition Maintenances'!$K:$K,0)),CP126,INDEX('[1]Définition Maintenances'!$G:$G,MATCH($A126,'[1]Définition Maintenances'!$K:$K,0))+CP126),CP126))</f>
        <v>892</v>
      </c>
      <c r="CR126" s="26">
        <f>IF(ISNUMBER(VLOOKUP($D126,'Visu totale'!$D:$DH,CR$1,0)),CQ126-VLOOKUP($D126,'Visu totale'!$D:$DH,CR$1,0),IF(LEFT(VLOOKUP($D126,'Visu totale'!$D:$DH,CR$1,0),1)="V",IF(CQ126&gt;=INDEX('[1]Définition Maintenances'!$G:$G,MATCH($A126,'[1]Définition Maintenances'!$K:$K,0)),CQ126,INDEX('[1]Définition Maintenances'!$G:$G,MATCH($A126,'[1]Définition Maintenances'!$K:$K,0))+CQ126),CQ126))</f>
        <v>892</v>
      </c>
      <c r="CS126" s="26">
        <f>IF(ISNUMBER(VLOOKUP($D126,'Visu totale'!$D:$DH,CS$1,0)),CR126-VLOOKUP($D126,'Visu totale'!$D:$DH,CS$1,0),IF(LEFT(VLOOKUP($D126,'Visu totale'!$D:$DH,CS$1,0),1)="V",IF(CR126&gt;=INDEX('[1]Définition Maintenances'!$G:$G,MATCH($A126,'[1]Définition Maintenances'!$K:$K,0)),CR126,INDEX('[1]Définition Maintenances'!$G:$G,MATCH($A126,'[1]Définition Maintenances'!$K:$K,0))+CR126),CR126))</f>
        <v>892</v>
      </c>
      <c r="CT126" s="26">
        <f>IF(ISNUMBER(VLOOKUP($D126,'Visu totale'!$D:$DH,CT$1,0)),CS126-VLOOKUP($D126,'Visu totale'!$D:$DH,CT$1,0),IF(LEFT(VLOOKUP($D126,'Visu totale'!$D:$DH,CT$1,0),1)="V",IF(CS126&gt;=INDEX('[1]Définition Maintenances'!$G:$G,MATCH($A126,'[1]Définition Maintenances'!$K:$K,0)),CS126,INDEX('[1]Définition Maintenances'!$G:$G,MATCH($A126,'[1]Définition Maintenances'!$K:$K,0))+CS126),CS126))</f>
        <v>892</v>
      </c>
      <c r="CU126" s="26">
        <f>IF(ISNUMBER(VLOOKUP($D126,'Visu totale'!$D:$DH,CU$1,0)),CT126-VLOOKUP($D126,'Visu totale'!$D:$DH,CU$1,0),IF(LEFT(VLOOKUP($D126,'Visu totale'!$D:$DH,CU$1,0),1)="V",IF(CT126&gt;=INDEX('[1]Définition Maintenances'!$G:$G,MATCH($A126,'[1]Définition Maintenances'!$K:$K,0)),CT126,INDEX('[1]Définition Maintenances'!$G:$G,MATCH($A126,'[1]Définition Maintenances'!$K:$K,0))+CT126),CT126))</f>
        <v>892</v>
      </c>
      <c r="CV126" s="26">
        <f>IF(ISNUMBER(VLOOKUP($D126,'Visu totale'!$D:$DH,CV$1,0)),CU126-VLOOKUP($D126,'Visu totale'!$D:$DH,CV$1,0),IF(LEFT(VLOOKUP($D126,'Visu totale'!$D:$DH,CV$1,0),1)="V",IF(CU126&gt;=INDEX('[1]Définition Maintenances'!$G:$G,MATCH($A126,'[1]Définition Maintenances'!$K:$K,0)),CU126,INDEX('[1]Définition Maintenances'!$G:$G,MATCH($A126,'[1]Définition Maintenances'!$K:$K,0))+CU126),CU126))</f>
        <v>892</v>
      </c>
      <c r="CW126" s="27">
        <f>IF(ISNUMBER(VLOOKUP($D126,'Visu totale'!$D:$DH,CW$1,0)),CV126-VLOOKUP($D126,'Visu totale'!$D:$DH,CW$1,0),IF(LEFT(VLOOKUP($D126,'Visu totale'!$D:$DH,CW$1,0),1)="V",IF(CV126&gt;=INDEX('[1]Définition Maintenances'!$G:$G,MATCH($A126,'[1]Définition Maintenances'!$K:$K,0)),CV126,INDEX('[1]Définition Maintenances'!$G:$G,MATCH($A126,'[1]Définition Maintenances'!$K:$K,0))+CV126),CV126))</f>
        <v>892</v>
      </c>
      <c r="CX126" s="25">
        <f>IF(ISNUMBER(VLOOKUP($D126,'Visu totale'!$D:$DH,CX$1,0)),CW126-VLOOKUP($D126,'Visu totale'!$D:$DH,CX$1,0),IF(LEFT(VLOOKUP($D126,'Visu totale'!$D:$DH,CX$1,0),1)="V",IF(CW126&gt;=INDEX('[1]Définition Maintenances'!$G:$G,MATCH($A126,'[1]Définition Maintenances'!$K:$K,0)),CW126,INDEX('[1]Définition Maintenances'!$G:$G,MATCH($A126,'[1]Définition Maintenances'!$K:$K,0))+CW126),CW126))</f>
        <v>892</v>
      </c>
      <c r="CY126" s="26">
        <f>IF(ISNUMBER(VLOOKUP($D126,'Visu totale'!$D:$DH,CY$1,0)),CX126-VLOOKUP($D126,'Visu totale'!$D:$DH,CY$1,0),IF(LEFT(VLOOKUP($D126,'Visu totale'!$D:$DH,CY$1,0),1)="V",IF(CX126&gt;=INDEX('[1]Définition Maintenances'!$G:$G,MATCH($A126,'[1]Définition Maintenances'!$K:$K,0)),CX126,INDEX('[1]Définition Maintenances'!$G:$G,MATCH($A126,'[1]Définition Maintenances'!$K:$K,0))+CX126),CX126))</f>
        <v>892</v>
      </c>
      <c r="CZ126" s="26">
        <f>IF(ISNUMBER(VLOOKUP($D126,'Visu totale'!$D:$DH,CZ$1,0)),CY126-VLOOKUP($D126,'Visu totale'!$D:$DH,CZ$1,0),IF(LEFT(VLOOKUP($D126,'Visu totale'!$D:$DH,CZ$1,0),1)="V",IF(CY126&gt;=INDEX('[1]Définition Maintenances'!$G:$G,MATCH($A126,'[1]Définition Maintenances'!$K:$K,0)),CY126,INDEX('[1]Définition Maintenances'!$G:$G,MATCH($A126,'[1]Définition Maintenances'!$K:$K,0))+CY126),CY126))</f>
        <v>892</v>
      </c>
      <c r="DA126" s="26">
        <f>IF(ISNUMBER(VLOOKUP($D126,'Visu totale'!$D:$DH,DA$1,0)),CZ126-VLOOKUP($D126,'Visu totale'!$D:$DH,DA$1,0),IF(LEFT(VLOOKUP($D126,'Visu totale'!$D:$DH,DA$1,0),1)="V",IF(CZ126&gt;=INDEX('[1]Définition Maintenances'!$G:$G,MATCH($A126,'[1]Définition Maintenances'!$K:$K,0)),CZ126,INDEX('[1]Définition Maintenances'!$G:$G,MATCH($A126,'[1]Définition Maintenances'!$K:$K,0))+CZ126),CZ126))</f>
        <v>892</v>
      </c>
      <c r="DB126" s="26">
        <f>IF(ISNUMBER(VLOOKUP($D126,'Visu totale'!$D:$DH,DB$1,0)),DA126-VLOOKUP($D126,'Visu totale'!$D:$DH,DB$1,0),IF(LEFT(VLOOKUP($D126,'Visu totale'!$D:$DH,DB$1,0),1)="V",IF(DA126&gt;=INDEX('[1]Définition Maintenances'!$G:$G,MATCH($A126,'[1]Définition Maintenances'!$K:$K,0)),DA126,INDEX('[1]Définition Maintenances'!$G:$G,MATCH($A126,'[1]Définition Maintenances'!$K:$K,0))+DA126),DA126))</f>
        <v>892</v>
      </c>
      <c r="DC126" s="26">
        <f>IF(ISNUMBER(VLOOKUP($D126,'Visu totale'!$D:$DH,DC$1,0)),DB126-VLOOKUP($D126,'Visu totale'!$D:$DH,DC$1,0),IF(LEFT(VLOOKUP($D126,'Visu totale'!$D:$DH,DC$1,0),1)="V",IF(DB126&gt;=INDEX('[1]Définition Maintenances'!$G:$G,MATCH($A126,'[1]Définition Maintenances'!$K:$K,0)),DB126,INDEX('[1]Définition Maintenances'!$G:$G,MATCH($A126,'[1]Définition Maintenances'!$K:$K,0))+DB126),DB126))</f>
        <v>892</v>
      </c>
      <c r="DD126" s="26">
        <f>IF(ISNUMBER(VLOOKUP($D126,'Visu totale'!$D:$DH,DD$1,0)),DC126-VLOOKUP($D126,'Visu totale'!$D:$DH,DD$1,0),IF(LEFT(VLOOKUP($D126,'Visu totale'!$D:$DH,DD$1,0),1)="V",IF(DC126&gt;=INDEX('[1]Définition Maintenances'!$G:$G,MATCH($A126,'[1]Définition Maintenances'!$K:$K,0)),DC126,INDEX('[1]Définition Maintenances'!$G:$G,MATCH($A126,'[1]Définition Maintenances'!$K:$K,0))+DC126),DC126))</f>
        <v>892</v>
      </c>
      <c r="DE126" s="26">
        <f>IF(ISNUMBER(VLOOKUP($D126,'Visu totale'!$D:$DH,DE$1,0)),DD126-VLOOKUP($D126,'Visu totale'!$D:$DH,DE$1,0),IF(LEFT(VLOOKUP($D126,'Visu totale'!$D:$DH,DE$1,0),1)="V",IF(DD126&gt;=INDEX('[1]Définition Maintenances'!$G:$G,MATCH($A126,'[1]Définition Maintenances'!$K:$K,0)),DD126,INDEX('[1]Définition Maintenances'!$G:$G,MATCH($A126,'[1]Définition Maintenances'!$K:$K,0))+DD126),DD126))</f>
        <v>892</v>
      </c>
      <c r="DF126" s="26">
        <f>IF(ISNUMBER(VLOOKUP($D126,'Visu totale'!$D:$DH,DF$1,0)),DE126-VLOOKUP($D126,'Visu totale'!$D:$DH,DF$1,0),IF(LEFT(VLOOKUP($D126,'Visu totale'!$D:$DH,DF$1,0),1)="V",IF(DE126&gt;=INDEX('[1]Définition Maintenances'!$G:$G,MATCH($A126,'[1]Définition Maintenances'!$K:$K,0)),DE126,INDEX('[1]Définition Maintenances'!$G:$G,MATCH($A126,'[1]Définition Maintenances'!$K:$K,0))+DE126),DE126))</f>
        <v>892</v>
      </c>
      <c r="DG126" s="26">
        <f>IF(ISNUMBER(VLOOKUP($D126,'Visu totale'!$D:$DH,DG$1,0)),DF126-VLOOKUP($D126,'Visu totale'!$D:$DH,DG$1,0),IF(LEFT(VLOOKUP($D126,'Visu totale'!$D:$DH,DG$1,0),1)="V",IF(DF126&gt;=INDEX('[1]Définition Maintenances'!$G:$G,MATCH($A126,'[1]Définition Maintenances'!$K:$K,0)),DF126,INDEX('[1]Définition Maintenances'!$G:$G,MATCH($A126,'[1]Définition Maintenances'!$K:$K,0))+DF126),DF126))</f>
        <v>892</v>
      </c>
      <c r="DH126" s="26">
        <f>IF(ISNUMBER(VLOOKUP($D126,'Visu totale'!$D:$DH,DH$1,0)),DG126-VLOOKUP($D126,'Visu totale'!$D:$DH,DH$1,0),IF(LEFT(VLOOKUP($D126,'Visu totale'!$D:$DH,DH$1,0),1)="V",IF(DG126&gt;=INDEX('[1]Définition Maintenances'!$G:$G,MATCH($A126,'[1]Définition Maintenances'!$K:$K,0)),DG126,INDEX('[1]Définition Maintenances'!$G:$G,MATCH($A126,'[1]Définition Maintenances'!$K:$K,0))+DG126),DG126))</f>
        <v>892</v>
      </c>
      <c r="DI126" s="27">
        <f>IF(ISNUMBER(VLOOKUP($D126,'Visu totale'!$D:$DH,DI$1,0)),DH126-VLOOKUP($D126,'Visu totale'!$D:$DH,DI$1,0),IF(LEFT(VLOOKUP($D126,'Visu totale'!$D:$DH,DI$1,0),1)="V",IF(DH126&gt;=INDEX('[1]Définition Maintenances'!$G:$G,MATCH($A126,'[1]Définition Maintenances'!$K:$K,0)),DH126,INDEX('[1]Définition Maintenances'!$G:$G,MATCH($A126,'[1]Définition Maintenances'!$K:$K,0))+DH126),DH126))</f>
        <v>892</v>
      </c>
    </row>
    <row r="127" spans="1:113" x14ac:dyDescent="0.25">
      <c r="A127" s="13" t="str">
        <f t="shared" si="3"/>
        <v>V155</v>
      </c>
      <c r="B127" s="13" t="str">
        <f>VLOOKUP(D127,'[1]Avions (Potentiels)'!$B$2:$H$128,7,FALSE)</f>
        <v>V15</v>
      </c>
      <c r="C127" s="13"/>
      <c r="D127" s="16" t="s">
        <v>130</v>
      </c>
      <c r="E127" s="13">
        <f>IFERROR(VALUE(SUBSTITUTE(VLOOKUP(D127,'[1]Avions (Potentiels)'!$B:$E,4,0),".",",")),VALUE(VLOOKUP(D127,'[1]Avions (Potentiels)'!$B:$E,4,0)))</f>
        <v>525</v>
      </c>
      <c r="F127" s="25">
        <f>IF(ISNUMBER(VLOOKUP($D127,'Visu totale'!$D:$DH,F$1,0)),E127-VLOOKUP($D127,'Visu totale'!$D:$DH,F$1,0),IF(LEFT(VLOOKUP($D127,'Visu totale'!$D:$DH,F$1,0),1)="V",IF(E127&gt;=INDEX('[1]Définition Maintenances'!$G:$G,MATCH($A127,'[1]Définition Maintenances'!$K:$K,0)),E127,INDEX('[1]Définition Maintenances'!$G:$G,MATCH($A127,'[1]Définition Maintenances'!$K:$K,0))+E127),E127))</f>
        <v>525</v>
      </c>
      <c r="G127" s="26">
        <f>IF(ISNUMBER(VLOOKUP($D127,'Visu totale'!$D:$DH,G$1,0)),F127-VLOOKUP($D127,'Visu totale'!$D:$DH,G$1,0),IF(LEFT(VLOOKUP($D127,'Visu totale'!$D:$DH,G$1,0),1)="V",IF(F127&gt;=INDEX('[1]Définition Maintenances'!$G:$G,MATCH($A127,'[1]Définition Maintenances'!$K:$K,0)),F127,INDEX('[1]Définition Maintenances'!$G:$G,MATCH($A127,'[1]Définition Maintenances'!$K:$K,0))+F127),F127))</f>
        <v>525</v>
      </c>
      <c r="H127" s="26">
        <f>IF(ISNUMBER(VLOOKUP($D127,'Visu totale'!$D:$DH,H$1,0)),G127-VLOOKUP($D127,'Visu totale'!$D:$DH,H$1,0),IF(LEFT(VLOOKUP($D127,'Visu totale'!$D:$DH,H$1,0),1)="V",IF(G127&gt;=INDEX('[1]Définition Maintenances'!$G:$G,MATCH($A127,'[1]Définition Maintenances'!$K:$K,0)),G127,INDEX('[1]Définition Maintenances'!$G:$G,MATCH($A127,'[1]Définition Maintenances'!$K:$K,0))+G127),G127))</f>
        <v>525</v>
      </c>
      <c r="I127" s="26">
        <f>IF(ISNUMBER(VLOOKUP($D127,'Visu totale'!$D:$DH,I$1,0)),H127-VLOOKUP($D127,'Visu totale'!$D:$DH,I$1,0),IF(LEFT(VLOOKUP($D127,'Visu totale'!$D:$DH,I$1,0),1)="V",IF(H127&gt;=INDEX('[1]Définition Maintenances'!$G:$G,MATCH($A127,'[1]Définition Maintenances'!$K:$K,0)),H127,INDEX('[1]Définition Maintenances'!$G:$G,MATCH($A127,'[1]Définition Maintenances'!$K:$K,0))+H127),H127))</f>
        <v>525</v>
      </c>
      <c r="J127" s="26">
        <f>IF(ISNUMBER(VLOOKUP($D127,'Visu totale'!$D:$DH,J$1,0)),I127-VLOOKUP($D127,'Visu totale'!$D:$DH,J$1,0),IF(LEFT(VLOOKUP($D127,'Visu totale'!$D:$DH,J$1,0),1)="V",IF(I127&gt;=INDEX('[1]Définition Maintenances'!$G:$G,MATCH($A127,'[1]Définition Maintenances'!$K:$K,0)),I127,INDEX('[1]Définition Maintenances'!$G:$G,MATCH($A127,'[1]Définition Maintenances'!$K:$K,0))+I127),I127))</f>
        <v>525</v>
      </c>
      <c r="K127" s="26">
        <f>IF(ISNUMBER(VLOOKUP($D127,'Visu totale'!$D:$DH,K$1,0)),J127-VLOOKUP($D127,'Visu totale'!$D:$DH,K$1,0),IF(LEFT(VLOOKUP($D127,'Visu totale'!$D:$DH,K$1,0),1)="V",IF(J127&gt;=INDEX('[1]Définition Maintenances'!$G:$G,MATCH($A127,'[1]Définition Maintenances'!$K:$K,0)),J127,INDEX('[1]Définition Maintenances'!$G:$G,MATCH($A127,'[1]Définition Maintenances'!$K:$K,0))+J127),J127))</f>
        <v>525</v>
      </c>
      <c r="L127" s="26">
        <f>IF(ISNUMBER(VLOOKUP($D127,'Visu totale'!$D:$DH,L$1,0)),K127-VLOOKUP($D127,'Visu totale'!$D:$DH,L$1,0),IF(LEFT(VLOOKUP($D127,'Visu totale'!$D:$DH,L$1,0),1)="V",IF(K127&gt;=INDEX('[1]Définition Maintenances'!$G:$G,MATCH($A127,'[1]Définition Maintenances'!$K:$K,0)),K127,INDEX('[1]Définition Maintenances'!$G:$G,MATCH($A127,'[1]Définition Maintenances'!$K:$K,0))+K127),K127))</f>
        <v>525</v>
      </c>
      <c r="M127" s="26">
        <f>IF(ISNUMBER(VLOOKUP($D127,'Visu totale'!$D:$DH,M$1,0)),L127-VLOOKUP($D127,'Visu totale'!$D:$DH,M$1,0),IF(LEFT(VLOOKUP($D127,'Visu totale'!$D:$DH,M$1,0),1)="V",IF(L127&gt;=INDEX('[1]Définition Maintenances'!$G:$G,MATCH($A127,'[1]Définition Maintenances'!$K:$K,0)),L127,INDEX('[1]Définition Maintenances'!$G:$G,MATCH($A127,'[1]Définition Maintenances'!$K:$K,0))+L127),L127))</f>
        <v>525</v>
      </c>
      <c r="N127" s="26">
        <f>IF(ISNUMBER(VLOOKUP($D127,'Visu totale'!$D:$DH,N$1,0)),M127-VLOOKUP($D127,'Visu totale'!$D:$DH,N$1,0),IF(LEFT(VLOOKUP($D127,'Visu totale'!$D:$DH,N$1,0),1)="V",IF(M127&gt;=INDEX('[1]Définition Maintenances'!$G:$G,MATCH($A127,'[1]Définition Maintenances'!$K:$K,0)),M127,INDEX('[1]Définition Maintenances'!$G:$G,MATCH($A127,'[1]Définition Maintenances'!$K:$K,0))+M127),M127))</f>
        <v>525</v>
      </c>
      <c r="O127" s="26">
        <f>IF(ISNUMBER(VLOOKUP($D127,'Visu totale'!$D:$DH,O$1,0)),N127-VLOOKUP($D127,'Visu totale'!$D:$DH,O$1,0),IF(LEFT(VLOOKUP($D127,'Visu totale'!$D:$DH,O$1,0),1)="V",IF(N127&gt;=INDEX('[1]Définition Maintenances'!$G:$G,MATCH($A127,'[1]Définition Maintenances'!$K:$K,0)),N127,INDEX('[1]Définition Maintenances'!$G:$G,MATCH($A127,'[1]Définition Maintenances'!$K:$K,0))+N127),N127))</f>
        <v>525</v>
      </c>
      <c r="P127" s="26">
        <f>IF(ISNUMBER(VLOOKUP($D127,'Visu totale'!$D:$DH,P$1,0)),O127-VLOOKUP($D127,'Visu totale'!$D:$DH,P$1,0),IF(LEFT(VLOOKUP($D127,'Visu totale'!$D:$DH,P$1,0),1)="V",IF(O127&gt;=INDEX('[1]Définition Maintenances'!$G:$G,MATCH($A127,'[1]Définition Maintenances'!$K:$K,0)),O127,INDEX('[1]Définition Maintenances'!$G:$G,MATCH($A127,'[1]Définition Maintenances'!$K:$K,0))+O127),O127))</f>
        <v>525</v>
      </c>
      <c r="Q127" s="27">
        <f>IF(ISNUMBER(VLOOKUP($D127,'Visu totale'!$D:$DH,Q$1,0)),P127-VLOOKUP($D127,'Visu totale'!$D:$DH,Q$1,0),IF(LEFT(VLOOKUP($D127,'Visu totale'!$D:$DH,Q$1,0),1)="V",IF(P127&gt;=INDEX('[1]Définition Maintenances'!$G:$G,MATCH($A127,'[1]Définition Maintenances'!$K:$K,0)),P127,INDEX('[1]Définition Maintenances'!$G:$G,MATCH($A127,'[1]Définition Maintenances'!$K:$K,0))+P127),P127))</f>
        <v>525</v>
      </c>
      <c r="R127" s="25">
        <f>IF(ISNUMBER(VLOOKUP($D127,'Visu totale'!$D:$DH,R$1,0)),Q127-VLOOKUP($D127,'Visu totale'!$D:$DH,R$1,0),IF(LEFT(VLOOKUP($D127,'Visu totale'!$D:$DH,R$1,0),1)="V",IF(Q127&gt;=INDEX('[1]Définition Maintenances'!$G:$G,MATCH($A127,'[1]Définition Maintenances'!$K:$K,0)),Q127,INDEX('[1]Définition Maintenances'!$G:$G,MATCH($A127,'[1]Définition Maintenances'!$K:$K,0))+Q127),Q127))</f>
        <v>525</v>
      </c>
      <c r="S127" s="26">
        <f>IF(ISNUMBER(VLOOKUP($D127,'Visu totale'!$D:$DH,S$1,0)),R127-VLOOKUP($D127,'Visu totale'!$D:$DH,S$1,0),IF(LEFT(VLOOKUP($D127,'Visu totale'!$D:$DH,S$1,0),1)="V",IF(R127&gt;=INDEX('[1]Définition Maintenances'!$G:$G,MATCH($A127,'[1]Définition Maintenances'!$K:$K,0)),R127,INDEX('[1]Définition Maintenances'!$G:$G,MATCH($A127,'[1]Définition Maintenances'!$K:$K,0))+R127),R127))</f>
        <v>525</v>
      </c>
      <c r="T127" s="26">
        <f>IF(ISNUMBER(VLOOKUP($D127,'Visu totale'!$D:$DH,T$1,0)),S127-VLOOKUP($D127,'Visu totale'!$D:$DH,T$1,0),IF(LEFT(VLOOKUP($D127,'Visu totale'!$D:$DH,T$1,0),1)="V",IF(S127&gt;=INDEX('[1]Définition Maintenances'!$G:$G,MATCH($A127,'[1]Définition Maintenances'!$K:$K,0)),S127,INDEX('[1]Définition Maintenances'!$G:$G,MATCH($A127,'[1]Définition Maintenances'!$K:$K,0))+S127),S127))</f>
        <v>525</v>
      </c>
      <c r="U127" s="26">
        <f>IF(ISNUMBER(VLOOKUP($D127,'Visu totale'!$D:$DH,U$1,0)),T127-VLOOKUP($D127,'Visu totale'!$D:$DH,U$1,0),IF(LEFT(VLOOKUP($D127,'Visu totale'!$D:$DH,U$1,0),1)="V",IF(T127&gt;=INDEX('[1]Définition Maintenances'!$G:$G,MATCH($A127,'[1]Définition Maintenances'!$K:$K,0)),T127,INDEX('[1]Définition Maintenances'!$G:$G,MATCH($A127,'[1]Définition Maintenances'!$K:$K,0))+T127),T127))</f>
        <v>525</v>
      </c>
      <c r="V127" s="26">
        <f>IF(ISNUMBER(VLOOKUP($D127,'Visu totale'!$D:$DH,V$1,0)),U127-VLOOKUP($D127,'Visu totale'!$D:$DH,V$1,0),IF(LEFT(VLOOKUP($D127,'Visu totale'!$D:$DH,V$1,0),1)="V",IF(U127&gt;=INDEX('[1]Définition Maintenances'!$G:$G,MATCH($A127,'[1]Définition Maintenances'!$K:$K,0)),U127,INDEX('[1]Définition Maintenances'!$G:$G,MATCH($A127,'[1]Définition Maintenances'!$K:$K,0))+U127),U127))</f>
        <v>525</v>
      </c>
      <c r="W127" s="26">
        <f>IF(ISNUMBER(VLOOKUP($D127,'Visu totale'!$D:$DH,W$1,0)),V127-VLOOKUP($D127,'Visu totale'!$D:$DH,W$1,0),IF(LEFT(VLOOKUP($D127,'Visu totale'!$D:$DH,W$1,0),1)="V",IF(V127&gt;=INDEX('[1]Définition Maintenances'!$G:$G,MATCH($A127,'[1]Définition Maintenances'!$K:$K,0)),V127,INDEX('[1]Définition Maintenances'!$G:$G,MATCH($A127,'[1]Définition Maintenances'!$K:$K,0))+V127),V127))</f>
        <v>525</v>
      </c>
      <c r="X127" s="26">
        <f>IF(ISNUMBER(VLOOKUP($D127,'Visu totale'!$D:$DH,X$1,0)),W127-VLOOKUP($D127,'Visu totale'!$D:$DH,X$1,0),IF(LEFT(VLOOKUP($D127,'Visu totale'!$D:$DH,X$1,0),1)="V",IF(W127&gt;=INDEX('[1]Définition Maintenances'!$G:$G,MATCH($A127,'[1]Définition Maintenances'!$K:$K,0)),W127,INDEX('[1]Définition Maintenances'!$G:$G,MATCH($A127,'[1]Définition Maintenances'!$K:$K,0))+W127),W127))</f>
        <v>525</v>
      </c>
      <c r="Y127" s="26">
        <f>IF(ISNUMBER(VLOOKUP($D127,'Visu totale'!$D:$DH,Y$1,0)),X127-VLOOKUP($D127,'Visu totale'!$D:$DH,Y$1,0),IF(LEFT(VLOOKUP($D127,'Visu totale'!$D:$DH,Y$1,0),1)="V",IF(X127&gt;=INDEX('[1]Définition Maintenances'!$G:$G,MATCH($A127,'[1]Définition Maintenances'!$K:$K,0)),X127,INDEX('[1]Définition Maintenances'!$G:$G,MATCH($A127,'[1]Définition Maintenances'!$K:$K,0))+X127),X127))</f>
        <v>525</v>
      </c>
      <c r="Z127" s="26">
        <f>IF(ISNUMBER(VLOOKUP($D127,'Visu totale'!$D:$DH,Z$1,0)),Y127-VLOOKUP($D127,'Visu totale'!$D:$DH,Z$1,0),IF(LEFT(VLOOKUP($D127,'Visu totale'!$D:$DH,Z$1,0),1)="V",IF(Y127&gt;=INDEX('[1]Définition Maintenances'!$G:$G,MATCH($A127,'[1]Définition Maintenances'!$K:$K,0)),Y127,INDEX('[1]Définition Maintenances'!$G:$G,MATCH($A127,'[1]Définition Maintenances'!$K:$K,0))+Y127),Y127))</f>
        <v>525</v>
      </c>
      <c r="AA127" s="26">
        <f>IF(ISNUMBER(VLOOKUP($D127,'Visu totale'!$D:$DH,AA$1,0)),Z127-VLOOKUP($D127,'Visu totale'!$D:$DH,AA$1,0),IF(LEFT(VLOOKUP($D127,'Visu totale'!$D:$DH,AA$1,0),1)="V",IF(Z127&gt;=INDEX('[1]Définition Maintenances'!$G:$G,MATCH($A127,'[1]Définition Maintenances'!$K:$K,0)),Z127,INDEX('[1]Définition Maintenances'!$G:$G,MATCH($A127,'[1]Définition Maintenances'!$K:$K,0))+Z127),Z127))</f>
        <v>525</v>
      </c>
      <c r="AB127" s="26">
        <f>IF(ISNUMBER(VLOOKUP($D127,'Visu totale'!$D:$DH,AB$1,0)),AA127-VLOOKUP($D127,'Visu totale'!$D:$DH,AB$1,0),IF(LEFT(VLOOKUP($D127,'Visu totale'!$D:$DH,AB$1,0),1)="V",IF(AA127&gt;=INDEX('[1]Définition Maintenances'!$G:$G,MATCH($A127,'[1]Définition Maintenances'!$K:$K,0)),AA127,INDEX('[1]Définition Maintenances'!$G:$G,MATCH($A127,'[1]Définition Maintenances'!$K:$K,0))+AA127),AA127))</f>
        <v>525</v>
      </c>
      <c r="AC127" s="27">
        <f>IF(ISNUMBER(VLOOKUP($D127,'Visu totale'!$D:$DH,AC$1,0)),AB127-VLOOKUP($D127,'Visu totale'!$D:$DH,AC$1,0),IF(LEFT(VLOOKUP($D127,'Visu totale'!$D:$DH,AC$1,0),1)="V",IF(AB127&gt;=INDEX('[1]Définition Maintenances'!$G:$G,MATCH($A127,'[1]Définition Maintenances'!$K:$K,0)),AB127,INDEX('[1]Définition Maintenances'!$G:$G,MATCH($A127,'[1]Définition Maintenances'!$K:$K,0))+AB127),AB127))</f>
        <v>525</v>
      </c>
      <c r="AD127" s="25">
        <f>IF(ISNUMBER(VLOOKUP($D127,'Visu totale'!$D:$DH,AD$1,0)),AC127-VLOOKUP($D127,'Visu totale'!$D:$DH,AD$1,0),IF(LEFT(VLOOKUP($D127,'Visu totale'!$D:$DH,AD$1,0),1)="V",IF(AC127&gt;=INDEX('[1]Définition Maintenances'!$G:$G,MATCH($A127,'[1]Définition Maintenances'!$K:$K,0)),AC127,INDEX('[1]Définition Maintenances'!$G:$G,MATCH($A127,'[1]Définition Maintenances'!$K:$K,0))+AC127),AC127))</f>
        <v>525</v>
      </c>
      <c r="AE127" s="26">
        <f>IF(ISNUMBER(VLOOKUP($D127,'Visu totale'!$D:$DH,AE$1,0)),AD127-VLOOKUP($D127,'Visu totale'!$D:$DH,AE$1,0),IF(LEFT(VLOOKUP($D127,'Visu totale'!$D:$DH,AE$1,0),1)="V",IF(AD127&gt;=INDEX('[1]Définition Maintenances'!$G:$G,MATCH($A127,'[1]Définition Maintenances'!$K:$K,0)),AD127,INDEX('[1]Définition Maintenances'!$G:$G,MATCH($A127,'[1]Définition Maintenances'!$K:$K,0))+AD127),AD127))</f>
        <v>525</v>
      </c>
      <c r="AF127" s="26">
        <f>IF(ISNUMBER(VLOOKUP($D127,'Visu totale'!$D:$DH,AF$1,0)),AE127-VLOOKUP($D127,'Visu totale'!$D:$DH,AF$1,0),IF(LEFT(VLOOKUP($D127,'Visu totale'!$D:$DH,AF$1,0),1)="V",IF(AE127&gt;=INDEX('[1]Définition Maintenances'!$G:$G,MATCH($A127,'[1]Définition Maintenances'!$K:$K,0)),AE127,INDEX('[1]Définition Maintenances'!$G:$G,MATCH($A127,'[1]Définition Maintenances'!$K:$K,0))+AE127),AE127))</f>
        <v>525</v>
      </c>
      <c r="AG127" s="26">
        <f>IF(ISNUMBER(VLOOKUP($D127,'Visu totale'!$D:$DH,AG$1,0)),AF127-VLOOKUP($D127,'Visu totale'!$D:$DH,AG$1,0),IF(LEFT(VLOOKUP($D127,'Visu totale'!$D:$DH,AG$1,0),1)="V",IF(AF127&gt;=INDEX('[1]Définition Maintenances'!$G:$G,MATCH($A127,'[1]Définition Maintenances'!$K:$K,0)),AF127,INDEX('[1]Définition Maintenances'!$G:$G,MATCH($A127,'[1]Définition Maintenances'!$K:$K,0))+AF127),AF127))</f>
        <v>525</v>
      </c>
      <c r="AH127" s="26">
        <f>IF(ISNUMBER(VLOOKUP($D127,'Visu totale'!$D:$DH,AH$1,0)),AG127-VLOOKUP($D127,'Visu totale'!$D:$DH,AH$1,0),IF(LEFT(VLOOKUP($D127,'Visu totale'!$D:$DH,AH$1,0),1)="V",IF(AG127&gt;=INDEX('[1]Définition Maintenances'!$G:$G,MATCH($A127,'[1]Définition Maintenances'!$K:$K,0)),AG127,INDEX('[1]Définition Maintenances'!$G:$G,MATCH($A127,'[1]Définition Maintenances'!$K:$K,0))+AG127),AG127))</f>
        <v>525</v>
      </c>
      <c r="AI127" s="26">
        <f>IF(ISNUMBER(VLOOKUP($D127,'Visu totale'!$D:$DH,AI$1,0)),AH127-VLOOKUP($D127,'Visu totale'!$D:$DH,AI$1,0),IF(LEFT(VLOOKUP($D127,'Visu totale'!$D:$DH,AI$1,0),1)="V",IF(AH127&gt;=INDEX('[1]Définition Maintenances'!$G:$G,MATCH($A127,'[1]Définition Maintenances'!$K:$K,0)),AH127,INDEX('[1]Définition Maintenances'!$G:$G,MATCH($A127,'[1]Définition Maintenances'!$K:$K,0))+AH127),AH127))</f>
        <v>525</v>
      </c>
      <c r="AJ127" s="26">
        <f>IF(ISNUMBER(VLOOKUP($D127,'Visu totale'!$D:$DH,AJ$1,0)),AI127-VLOOKUP($D127,'Visu totale'!$D:$DH,AJ$1,0),IF(LEFT(VLOOKUP($D127,'Visu totale'!$D:$DH,AJ$1,0),1)="V",IF(AI127&gt;=INDEX('[1]Définition Maintenances'!$G:$G,MATCH($A127,'[1]Définition Maintenances'!$K:$K,0)),AI127,INDEX('[1]Définition Maintenances'!$G:$G,MATCH($A127,'[1]Définition Maintenances'!$K:$K,0))+AI127),AI127))</f>
        <v>525</v>
      </c>
      <c r="AK127" s="26">
        <f>IF(ISNUMBER(VLOOKUP($D127,'Visu totale'!$D:$DH,AK$1,0)),AJ127-VLOOKUP($D127,'Visu totale'!$D:$DH,AK$1,0),IF(LEFT(VLOOKUP($D127,'Visu totale'!$D:$DH,AK$1,0),1)="V",IF(AJ127&gt;=INDEX('[1]Définition Maintenances'!$G:$G,MATCH($A127,'[1]Définition Maintenances'!$K:$K,0)),AJ127,INDEX('[1]Définition Maintenances'!$G:$G,MATCH($A127,'[1]Définition Maintenances'!$K:$K,0))+AJ127),AJ127))</f>
        <v>525</v>
      </c>
      <c r="AL127" s="26">
        <f>IF(ISNUMBER(VLOOKUP($D127,'Visu totale'!$D:$DH,AL$1,0)),AK127-VLOOKUP($D127,'Visu totale'!$D:$DH,AL$1,0),IF(LEFT(VLOOKUP($D127,'Visu totale'!$D:$DH,AL$1,0),1)="V",IF(AK127&gt;=INDEX('[1]Définition Maintenances'!$G:$G,MATCH($A127,'[1]Définition Maintenances'!$K:$K,0)),AK127,INDEX('[1]Définition Maintenances'!$G:$G,MATCH($A127,'[1]Définition Maintenances'!$K:$K,0))+AK127),AK127))</f>
        <v>525</v>
      </c>
      <c r="AM127" s="26">
        <f>IF(ISNUMBER(VLOOKUP($D127,'Visu totale'!$D:$DH,AM$1,0)),AL127-VLOOKUP($D127,'Visu totale'!$D:$DH,AM$1,0),IF(LEFT(VLOOKUP($D127,'Visu totale'!$D:$DH,AM$1,0),1)="V",IF(AL127&gt;=INDEX('[1]Définition Maintenances'!$G:$G,MATCH($A127,'[1]Définition Maintenances'!$K:$K,0)),AL127,INDEX('[1]Définition Maintenances'!$G:$G,MATCH($A127,'[1]Définition Maintenances'!$K:$K,0))+AL127),AL127))</f>
        <v>525</v>
      </c>
      <c r="AN127" s="26">
        <f>IF(ISNUMBER(VLOOKUP($D127,'Visu totale'!$D:$DH,AN$1,0)),AM127-VLOOKUP($D127,'Visu totale'!$D:$DH,AN$1,0),IF(LEFT(VLOOKUP($D127,'Visu totale'!$D:$DH,AN$1,0),1)="V",IF(AM127&gt;=INDEX('[1]Définition Maintenances'!$G:$G,MATCH($A127,'[1]Définition Maintenances'!$K:$K,0)),AM127,INDEX('[1]Définition Maintenances'!$G:$G,MATCH($A127,'[1]Définition Maintenances'!$K:$K,0))+AM127),AM127))</f>
        <v>525</v>
      </c>
      <c r="AO127" s="27">
        <f>IF(ISNUMBER(VLOOKUP($D127,'Visu totale'!$D:$DH,AO$1,0)),AN127-VLOOKUP($D127,'Visu totale'!$D:$DH,AO$1,0),IF(LEFT(VLOOKUP($D127,'Visu totale'!$D:$DH,AO$1,0),1)="V",IF(AN127&gt;=INDEX('[1]Définition Maintenances'!$G:$G,MATCH($A127,'[1]Définition Maintenances'!$K:$K,0)),AN127,INDEX('[1]Définition Maintenances'!$G:$G,MATCH($A127,'[1]Définition Maintenances'!$K:$K,0))+AN127),AN127))</f>
        <v>525</v>
      </c>
      <c r="AP127" s="25">
        <f>IF(ISNUMBER(VLOOKUP($D127,'Visu totale'!$D:$DH,AP$1,0)),AO127-VLOOKUP($D127,'Visu totale'!$D:$DH,AP$1,0),IF(LEFT(VLOOKUP($D127,'Visu totale'!$D:$DH,AP$1,0),1)="V",IF(AO127&gt;=INDEX('[1]Définition Maintenances'!$G:$G,MATCH($A127,'[1]Définition Maintenances'!$K:$K,0)),AO127,INDEX('[1]Définition Maintenances'!$G:$G,MATCH($A127,'[1]Définition Maintenances'!$K:$K,0))+AO127),AO127))</f>
        <v>525</v>
      </c>
      <c r="AQ127" s="26">
        <f>IF(ISNUMBER(VLOOKUP($D127,'Visu totale'!$D:$DH,AQ$1,0)),AP127-VLOOKUP($D127,'Visu totale'!$D:$DH,AQ$1,0),IF(LEFT(VLOOKUP($D127,'Visu totale'!$D:$DH,AQ$1,0),1)="V",IF(AP127&gt;=INDEX('[1]Définition Maintenances'!$G:$G,MATCH($A127,'[1]Définition Maintenances'!$K:$K,0)),AP127,INDEX('[1]Définition Maintenances'!$G:$G,MATCH($A127,'[1]Définition Maintenances'!$K:$K,0))+AP127),AP127))</f>
        <v>525</v>
      </c>
      <c r="AR127" s="26">
        <f>IF(ISNUMBER(VLOOKUP($D127,'Visu totale'!$D:$DH,AR$1,0)),AQ127-VLOOKUP($D127,'Visu totale'!$D:$DH,AR$1,0),IF(LEFT(VLOOKUP($D127,'Visu totale'!$D:$DH,AR$1,0),1)="V",IF(AQ127&gt;=INDEX('[1]Définition Maintenances'!$G:$G,MATCH($A127,'[1]Définition Maintenances'!$K:$K,0)),AQ127,INDEX('[1]Définition Maintenances'!$G:$G,MATCH($A127,'[1]Définition Maintenances'!$K:$K,0))+AQ127),AQ127))</f>
        <v>525</v>
      </c>
      <c r="AS127" s="26">
        <f>IF(ISNUMBER(VLOOKUP($D127,'Visu totale'!$D:$DH,AS$1,0)),AR127-VLOOKUP($D127,'Visu totale'!$D:$DH,AS$1,0),IF(LEFT(VLOOKUP($D127,'Visu totale'!$D:$DH,AS$1,0),1)="V",IF(AR127&gt;=INDEX('[1]Définition Maintenances'!$G:$G,MATCH($A127,'[1]Définition Maintenances'!$K:$K,0)),AR127,INDEX('[1]Définition Maintenances'!$G:$G,MATCH($A127,'[1]Définition Maintenances'!$K:$K,0))+AR127),AR127))</f>
        <v>525</v>
      </c>
      <c r="AT127" s="26">
        <f>IF(ISNUMBER(VLOOKUP($D127,'Visu totale'!$D:$DH,AT$1,0)),AS127-VLOOKUP($D127,'Visu totale'!$D:$DH,AT$1,0),IF(LEFT(VLOOKUP($D127,'Visu totale'!$D:$DH,AT$1,0),1)="V",IF(AS127&gt;=INDEX('[1]Définition Maintenances'!$G:$G,MATCH($A127,'[1]Définition Maintenances'!$K:$K,0)),AS127,INDEX('[1]Définition Maintenances'!$G:$G,MATCH($A127,'[1]Définition Maintenances'!$K:$K,0))+AS127),AS127))</f>
        <v>525</v>
      </c>
      <c r="AU127" s="26">
        <f>IF(ISNUMBER(VLOOKUP($D127,'Visu totale'!$D:$DH,AU$1,0)),AT127-VLOOKUP($D127,'Visu totale'!$D:$DH,AU$1,0),IF(LEFT(VLOOKUP($D127,'Visu totale'!$D:$DH,AU$1,0),1)="V",IF(AT127&gt;=INDEX('[1]Définition Maintenances'!$G:$G,MATCH($A127,'[1]Définition Maintenances'!$K:$K,0)),AT127,INDEX('[1]Définition Maintenances'!$G:$G,MATCH($A127,'[1]Définition Maintenances'!$K:$K,0))+AT127),AT127))</f>
        <v>525</v>
      </c>
      <c r="AV127" s="26">
        <f>IF(ISNUMBER(VLOOKUP($D127,'Visu totale'!$D:$DH,AV$1,0)),AU127-VLOOKUP($D127,'Visu totale'!$D:$DH,AV$1,0),IF(LEFT(VLOOKUP($D127,'Visu totale'!$D:$DH,AV$1,0),1)="V",IF(AU127&gt;=INDEX('[1]Définition Maintenances'!$G:$G,MATCH($A127,'[1]Définition Maintenances'!$K:$K,0)),AU127,INDEX('[1]Définition Maintenances'!$G:$G,MATCH($A127,'[1]Définition Maintenances'!$K:$K,0))+AU127),AU127))</f>
        <v>525</v>
      </c>
      <c r="AW127" s="26">
        <f>IF(ISNUMBER(VLOOKUP($D127,'Visu totale'!$D:$DH,AW$1,0)),AV127-VLOOKUP($D127,'Visu totale'!$D:$DH,AW$1,0),IF(LEFT(VLOOKUP($D127,'Visu totale'!$D:$DH,AW$1,0),1)="V",IF(AV127&gt;=INDEX('[1]Définition Maintenances'!$G:$G,MATCH($A127,'[1]Définition Maintenances'!$K:$K,0)),AV127,INDEX('[1]Définition Maintenances'!$G:$G,MATCH($A127,'[1]Définition Maintenances'!$K:$K,0))+AV127),AV127))</f>
        <v>525</v>
      </c>
      <c r="AX127" s="26">
        <f>IF(ISNUMBER(VLOOKUP($D127,'Visu totale'!$D:$DH,AX$1,0)),AW127-VLOOKUP($D127,'Visu totale'!$D:$DH,AX$1,0),IF(LEFT(VLOOKUP($D127,'Visu totale'!$D:$DH,AX$1,0),1)="V",IF(AW127&gt;=INDEX('[1]Définition Maintenances'!$G:$G,MATCH($A127,'[1]Définition Maintenances'!$K:$K,0)),AW127,INDEX('[1]Définition Maintenances'!$G:$G,MATCH($A127,'[1]Définition Maintenances'!$K:$K,0))+AW127),AW127))</f>
        <v>525</v>
      </c>
      <c r="AY127" s="26">
        <f>IF(ISNUMBER(VLOOKUP($D127,'Visu totale'!$D:$DH,AY$1,0)),AX127-VLOOKUP($D127,'Visu totale'!$D:$DH,AY$1,0),IF(LEFT(VLOOKUP($D127,'Visu totale'!$D:$DH,AY$1,0),1)="V",IF(AX127&gt;=INDEX('[1]Définition Maintenances'!$G:$G,MATCH($A127,'[1]Définition Maintenances'!$K:$K,0)),AX127,INDEX('[1]Définition Maintenances'!$G:$G,MATCH($A127,'[1]Définition Maintenances'!$K:$K,0))+AX127),AX127))</f>
        <v>525</v>
      </c>
      <c r="AZ127" s="26">
        <f>IF(ISNUMBER(VLOOKUP($D127,'Visu totale'!$D:$DH,AZ$1,0)),AY127-VLOOKUP($D127,'Visu totale'!$D:$DH,AZ$1,0),IF(LEFT(VLOOKUP($D127,'Visu totale'!$D:$DH,AZ$1,0),1)="V",IF(AY127&gt;=INDEX('[1]Définition Maintenances'!$G:$G,MATCH($A127,'[1]Définition Maintenances'!$K:$K,0)),AY127,INDEX('[1]Définition Maintenances'!$G:$G,MATCH($A127,'[1]Définition Maintenances'!$K:$K,0))+AY127),AY127))</f>
        <v>525</v>
      </c>
      <c r="BA127" s="27">
        <f>IF(ISNUMBER(VLOOKUP($D127,'Visu totale'!$D:$DH,BA$1,0)),AZ127-VLOOKUP($D127,'Visu totale'!$D:$DH,BA$1,0),IF(LEFT(VLOOKUP($D127,'Visu totale'!$D:$DH,BA$1,0),1)="V",IF(AZ127&gt;=INDEX('[1]Définition Maintenances'!$G:$G,MATCH($A127,'[1]Définition Maintenances'!$K:$K,0)),AZ127,INDEX('[1]Définition Maintenances'!$G:$G,MATCH($A127,'[1]Définition Maintenances'!$K:$K,0))+AZ127),AZ127))</f>
        <v>525</v>
      </c>
      <c r="BB127" s="25">
        <f>IF(ISNUMBER(VLOOKUP($D127,'Visu totale'!$D:$DH,BB$1,0)),BA127-VLOOKUP($D127,'Visu totale'!$D:$DH,BB$1,0),IF(LEFT(VLOOKUP($D127,'Visu totale'!$D:$DH,BB$1,0),1)="V",IF(BA127&gt;=INDEX('[1]Définition Maintenances'!$G:$G,MATCH($A127,'[1]Définition Maintenances'!$K:$K,0)),BA127,INDEX('[1]Définition Maintenances'!$G:$G,MATCH($A127,'[1]Définition Maintenances'!$K:$K,0))+BA127),BA127))</f>
        <v>525</v>
      </c>
      <c r="BC127" s="26">
        <f>IF(ISNUMBER(VLOOKUP($D127,'Visu totale'!$D:$DH,BC$1,0)),BB127-VLOOKUP($D127,'Visu totale'!$D:$DH,BC$1,0),IF(LEFT(VLOOKUP($D127,'Visu totale'!$D:$DH,BC$1,0),1)="V",IF(BB127&gt;=INDEX('[1]Définition Maintenances'!$G:$G,MATCH($A127,'[1]Définition Maintenances'!$K:$K,0)),BB127,INDEX('[1]Définition Maintenances'!$G:$G,MATCH($A127,'[1]Définition Maintenances'!$K:$K,0))+BB127),BB127))</f>
        <v>525</v>
      </c>
      <c r="BD127" s="26">
        <f>IF(ISNUMBER(VLOOKUP($D127,'Visu totale'!$D:$DH,BD$1,0)),BC127-VLOOKUP($D127,'Visu totale'!$D:$DH,BD$1,0),IF(LEFT(VLOOKUP($D127,'Visu totale'!$D:$DH,BD$1,0),1)="V",IF(BC127&gt;=INDEX('[1]Définition Maintenances'!$G:$G,MATCH($A127,'[1]Définition Maintenances'!$K:$K,0)),BC127,INDEX('[1]Définition Maintenances'!$G:$G,MATCH($A127,'[1]Définition Maintenances'!$K:$K,0))+BC127),BC127))</f>
        <v>525</v>
      </c>
      <c r="BE127" s="26">
        <f>IF(ISNUMBER(VLOOKUP($D127,'Visu totale'!$D:$DH,BE$1,0)),BD127-VLOOKUP($D127,'Visu totale'!$D:$DH,BE$1,0),IF(LEFT(VLOOKUP($D127,'Visu totale'!$D:$DH,BE$1,0),1)="V",IF(BD127&gt;=INDEX('[1]Définition Maintenances'!$G:$G,MATCH($A127,'[1]Définition Maintenances'!$K:$K,0)),BD127,INDEX('[1]Définition Maintenances'!$G:$G,MATCH($A127,'[1]Définition Maintenances'!$K:$K,0))+BD127),BD127))</f>
        <v>525</v>
      </c>
      <c r="BF127" s="26">
        <f>IF(ISNUMBER(VLOOKUP($D127,'Visu totale'!$D:$DH,BF$1,0)),BE127-VLOOKUP($D127,'Visu totale'!$D:$DH,BF$1,0),IF(LEFT(VLOOKUP($D127,'Visu totale'!$D:$DH,BF$1,0),1)="V",IF(BE127&gt;=INDEX('[1]Définition Maintenances'!$G:$G,MATCH($A127,'[1]Définition Maintenances'!$K:$K,0)),BE127,INDEX('[1]Définition Maintenances'!$G:$G,MATCH($A127,'[1]Définition Maintenances'!$K:$K,0))+BE127),BE127))</f>
        <v>525</v>
      </c>
      <c r="BG127" s="26">
        <f>IF(ISNUMBER(VLOOKUP($D127,'Visu totale'!$D:$DH,BG$1,0)),BF127-VLOOKUP($D127,'Visu totale'!$D:$DH,BG$1,0),IF(LEFT(VLOOKUP($D127,'Visu totale'!$D:$DH,BG$1,0),1)="V",IF(BF127&gt;=INDEX('[1]Définition Maintenances'!$G:$G,MATCH($A127,'[1]Définition Maintenances'!$K:$K,0)),BF127,INDEX('[1]Définition Maintenances'!$G:$G,MATCH($A127,'[1]Définition Maintenances'!$K:$K,0))+BF127),BF127))</f>
        <v>525</v>
      </c>
      <c r="BH127" s="26">
        <f>IF(ISNUMBER(VLOOKUP($D127,'Visu totale'!$D:$DH,BH$1,0)),BG127-VLOOKUP($D127,'Visu totale'!$D:$DH,BH$1,0),IF(LEFT(VLOOKUP($D127,'Visu totale'!$D:$DH,BH$1,0),1)="V",IF(BG127&gt;=INDEX('[1]Définition Maintenances'!$G:$G,MATCH($A127,'[1]Définition Maintenances'!$K:$K,0)),BG127,INDEX('[1]Définition Maintenances'!$G:$G,MATCH($A127,'[1]Définition Maintenances'!$K:$K,0))+BG127),BG127))</f>
        <v>525</v>
      </c>
      <c r="BI127" s="26">
        <f>IF(ISNUMBER(VLOOKUP($D127,'Visu totale'!$D:$DH,BI$1,0)),BH127-VLOOKUP($D127,'Visu totale'!$D:$DH,BI$1,0),IF(LEFT(VLOOKUP($D127,'Visu totale'!$D:$DH,BI$1,0),1)="V",IF(BH127&gt;=INDEX('[1]Définition Maintenances'!$G:$G,MATCH($A127,'[1]Définition Maintenances'!$K:$K,0)),BH127,INDEX('[1]Définition Maintenances'!$G:$G,MATCH($A127,'[1]Définition Maintenances'!$K:$K,0))+BH127),BH127))</f>
        <v>525</v>
      </c>
      <c r="BJ127" s="26">
        <f>IF(ISNUMBER(VLOOKUP($D127,'Visu totale'!$D:$DH,BJ$1,0)),BI127-VLOOKUP($D127,'Visu totale'!$D:$DH,BJ$1,0),IF(LEFT(VLOOKUP($D127,'Visu totale'!$D:$DH,BJ$1,0),1)="V",IF(BI127&gt;=INDEX('[1]Définition Maintenances'!$G:$G,MATCH($A127,'[1]Définition Maintenances'!$K:$K,0)),BI127,INDEX('[1]Définition Maintenances'!$G:$G,MATCH($A127,'[1]Définition Maintenances'!$K:$K,0))+BI127),BI127))</f>
        <v>525</v>
      </c>
      <c r="BK127" s="26">
        <f>IF(ISNUMBER(VLOOKUP($D127,'Visu totale'!$D:$DH,BK$1,0)),BJ127-VLOOKUP($D127,'Visu totale'!$D:$DH,BK$1,0),IF(LEFT(VLOOKUP($D127,'Visu totale'!$D:$DH,BK$1,0),1)="V",IF(BJ127&gt;=INDEX('[1]Définition Maintenances'!$G:$G,MATCH($A127,'[1]Définition Maintenances'!$K:$K,0)),BJ127,INDEX('[1]Définition Maintenances'!$G:$G,MATCH($A127,'[1]Définition Maintenances'!$K:$K,0))+BJ127),BJ127))</f>
        <v>525</v>
      </c>
      <c r="BL127" s="26">
        <f>IF(ISNUMBER(VLOOKUP($D127,'Visu totale'!$D:$DH,BL$1,0)),BK127-VLOOKUP($D127,'Visu totale'!$D:$DH,BL$1,0),IF(LEFT(VLOOKUP($D127,'Visu totale'!$D:$DH,BL$1,0),1)="V",IF(BK127&gt;=INDEX('[1]Définition Maintenances'!$G:$G,MATCH($A127,'[1]Définition Maintenances'!$K:$K,0)),BK127,INDEX('[1]Définition Maintenances'!$G:$G,MATCH($A127,'[1]Définition Maintenances'!$K:$K,0))+BK127),BK127))</f>
        <v>525</v>
      </c>
      <c r="BM127" s="27">
        <f>IF(ISNUMBER(VLOOKUP($D127,'Visu totale'!$D:$DH,BM$1,0)),BL127-VLOOKUP($D127,'Visu totale'!$D:$DH,BM$1,0),IF(LEFT(VLOOKUP($D127,'Visu totale'!$D:$DH,BM$1,0),1)="V",IF(BL127&gt;=INDEX('[1]Définition Maintenances'!$G:$G,MATCH($A127,'[1]Définition Maintenances'!$K:$K,0)),BL127,INDEX('[1]Définition Maintenances'!$G:$G,MATCH($A127,'[1]Définition Maintenances'!$K:$K,0))+BL127),BL127))</f>
        <v>525</v>
      </c>
      <c r="BN127" s="25">
        <f>IF(ISNUMBER(VLOOKUP($D127,'Visu totale'!$D:$DH,BN$1,0)),BM127-VLOOKUP($D127,'Visu totale'!$D:$DH,BN$1,0),IF(LEFT(VLOOKUP($D127,'Visu totale'!$D:$DH,BN$1,0),1)="V",IF(BM127&gt;=INDEX('[1]Définition Maintenances'!$G:$G,MATCH($A127,'[1]Définition Maintenances'!$K:$K,0)),BM127,INDEX('[1]Définition Maintenances'!$G:$G,MATCH($A127,'[1]Définition Maintenances'!$K:$K,0))+BM127),BM127))</f>
        <v>525</v>
      </c>
      <c r="BO127" s="26">
        <f>IF(ISNUMBER(VLOOKUP($D127,'Visu totale'!$D:$DH,BO$1,0)),BN127-VLOOKUP($D127,'Visu totale'!$D:$DH,BO$1,0),IF(LEFT(VLOOKUP($D127,'Visu totale'!$D:$DH,BO$1,0),1)="V",IF(BN127&gt;=INDEX('[1]Définition Maintenances'!$G:$G,MATCH($A127,'[1]Définition Maintenances'!$K:$K,0)),BN127,INDEX('[1]Définition Maintenances'!$G:$G,MATCH($A127,'[1]Définition Maintenances'!$K:$K,0))+BN127),BN127))</f>
        <v>525</v>
      </c>
      <c r="BP127" s="26">
        <f>IF(ISNUMBER(VLOOKUP($D127,'Visu totale'!$D:$DH,BP$1,0)),BO127-VLOOKUP($D127,'Visu totale'!$D:$DH,BP$1,0),IF(LEFT(VLOOKUP($D127,'Visu totale'!$D:$DH,BP$1,0),1)="V",IF(BO127&gt;=INDEX('[1]Définition Maintenances'!$G:$G,MATCH($A127,'[1]Définition Maintenances'!$K:$K,0)),BO127,INDEX('[1]Définition Maintenances'!$G:$G,MATCH($A127,'[1]Définition Maintenances'!$K:$K,0))+BO127),BO127))</f>
        <v>525</v>
      </c>
      <c r="BQ127" s="26">
        <f>IF(ISNUMBER(VLOOKUP($D127,'Visu totale'!$D:$DH,BQ$1,0)),BP127-VLOOKUP($D127,'Visu totale'!$D:$DH,BQ$1,0),IF(LEFT(VLOOKUP($D127,'Visu totale'!$D:$DH,BQ$1,0),1)="V",IF(BP127&gt;=INDEX('[1]Définition Maintenances'!$G:$G,MATCH($A127,'[1]Définition Maintenances'!$K:$K,0)),BP127,INDEX('[1]Définition Maintenances'!$G:$G,MATCH($A127,'[1]Définition Maintenances'!$K:$K,0))+BP127),BP127))</f>
        <v>525</v>
      </c>
      <c r="BR127" s="26">
        <f>IF(ISNUMBER(VLOOKUP($D127,'Visu totale'!$D:$DH,BR$1,0)),BQ127-VLOOKUP($D127,'Visu totale'!$D:$DH,BR$1,0),IF(LEFT(VLOOKUP($D127,'Visu totale'!$D:$DH,BR$1,0),1)="V",IF(BQ127&gt;=INDEX('[1]Définition Maintenances'!$G:$G,MATCH($A127,'[1]Définition Maintenances'!$K:$K,0)),BQ127,INDEX('[1]Définition Maintenances'!$G:$G,MATCH($A127,'[1]Définition Maintenances'!$K:$K,0))+BQ127),BQ127))</f>
        <v>525</v>
      </c>
      <c r="BS127" s="26">
        <f>IF(ISNUMBER(VLOOKUP($D127,'Visu totale'!$D:$DH,BS$1,0)),BR127-VLOOKUP($D127,'Visu totale'!$D:$DH,BS$1,0),IF(LEFT(VLOOKUP($D127,'Visu totale'!$D:$DH,BS$1,0),1)="V",IF(BR127&gt;=INDEX('[1]Définition Maintenances'!$G:$G,MATCH($A127,'[1]Définition Maintenances'!$K:$K,0)),BR127,INDEX('[1]Définition Maintenances'!$G:$G,MATCH($A127,'[1]Définition Maintenances'!$K:$K,0))+BR127),BR127))</f>
        <v>525</v>
      </c>
      <c r="BT127" s="26">
        <f>IF(ISNUMBER(VLOOKUP($D127,'Visu totale'!$D:$DH,BT$1,0)),BS127-VLOOKUP($D127,'Visu totale'!$D:$DH,BT$1,0),IF(LEFT(VLOOKUP($D127,'Visu totale'!$D:$DH,BT$1,0),1)="V",IF(BS127&gt;=INDEX('[1]Définition Maintenances'!$G:$G,MATCH($A127,'[1]Définition Maintenances'!$K:$K,0)),BS127,INDEX('[1]Définition Maintenances'!$G:$G,MATCH($A127,'[1]Définition Maintenances'!$K:$K,0))+BS127),BS127))</f>
        <v>525</v>
      </c>
      <c r="BU127" s="26">
        <f>IF(ISNUMBER(VLOOKUP($D127,'Visu totale'!$D:$DH,BU$1,0)),BT127-VLOOKUP($D127,'Visu totale'!$D:$DH,BU$1,0),IF(LEFT(VLOOKUP($D127,'Visu totale'!$D:$DH,BU$1,0),1)="V",IF(BT127&gt;=INDEX('[1]Définition Maintenances'!$G:$G,MATCH($A127,'[1]Définition Maintenances'!$K:$K,0)),BT127,INDEX('[1]Définition Maintenances'!$G:$G,MATCH($A127,'[1]Définition Maintenances'!$K:$K,0))+BT127),BT127))</f>
        <v>525</v>
      </c>
      <c r="BV127" s="26">
        <f>IF(ISNUMBER(VLOOKUP($D127,'Visu totale'!$D:$DH,BV$1,0)),BU127-VLOOKUP($D127,'Visu totale'!$D:$DH,BV$1,0),IF(LEFT(VLOOKUP($D127,'Visu totale'!$D:$DH,BV$1,0),1)="V",IF(BU127&gt;=INDEX('[1]Définition Maintenances'!$G:$G,MATCH($A127,'[1]Définition Maintenances'!$K:$K,0)),BU127,INDEX('[1]Définition Maintenances'!$G:$G,MATCH($A127,'[1]Définition Maintenances'!$K:$K,0))+BU127),BU127))</f>
        <v>525</v>
      </c>
      <c r="BW127" s="26">
        <f>IF(ISNUMBER(VLOOKUP($D127,'Visu totale'!$D:$DH,BW$1,0)),BV127-VLOOKUP($D127,'Visu totale'!$D:$DH,BW$1,0),IF(LEFT(VLOOKUP($D127,'Visu totale'!$D:$DH,BW$1,0),1)="V",IF(BV127&gt;=INDEX('[1]Définition Maintenances'!$G:$G,MATCH($A127,'[1]Définition Maintenances'!$K:$K,0)),BV127,INDEX('[1]Définition Maintenances'!$G:$G,MATCH($A127,'[1]Définition Maintenances'!$K:$K,0))+BV127),BV127))</f>
        <v>525</v>
      </c>
      <c r="BX127" s="26">
        <f>IF(ISNUMBER(VLOOKUP($D127,'Visu totale'!$D:$DH,BX$1,0)),BW127-VLOOKUP($D127,'Visu totale'!$D:$DH,BX$1,0),IF(LEFT(VLOOKUP($D127,'Visu totale'!$D:$DH,BX$1,0),1)="V",IF(BW127&gt;=INDEX('[1]Définition Maintenances'!$G:$G,MATCH($A127,'[1]Définition Maintenances'!$K:$K,0)),BW127,INDEX('[1]Définition Maintenances'!$G:$G,MATCH($A127,'[1]Définition Maintenances'!$K:$K,0))+BW127),BW127))</f>
        <v>525</v>
      </c>
      <c r="BY127" s="27">
        <f>IF(ISNUMBER(VLOOKUP($D127,'Visu totale'!$D:$DH,BY$1,0)),BX127-VLOOKUP($D127,'Visu totale'!$D:$DH,BY$1,0),IF(LEFT(VLOOKUP($D127,'Visu totale'!$D:$DH,BY$1,0),1)="V",IF(BX127&gt;=INDEX('[1]Définition Maintenances'!$G:$G,MATCH($A127,'[1]Définition Maintenances'!$K:$K,0)),BX127,INDEX('[1]Définition Maintenances'!$G:$G,MATCH($A127,'[1]Définition Maintenances'!$K:$K,0))+BX127),BX127))</f>
        <v>525</v>
      </c>
      <c r="BZ127" s="25">
        <f>IF(ISNUMBER(VLOOKUP($D127,'Visu totale'!$D:$DH,BZ$1,0)),BY127-VLOOKUP($D127,'Visu totale'!$D:$DH,BZ$1,0),IF(LEFT(VLOOKUP($D127,'Visu totale'!$D:$DH,BZ$1,0),1)="V",IF(BY127&gt;=INDEX('[1]Définition Maintenances'!$G:$G,MATCH($A127,'[1]Définition Maintenances'!$K:$K,0)),BY127,INDEX('[1]Définition Maintenances'!$G:$G,MATCH($A127,'[1]Définition Maintenances'!$K:$K,0))+BY127),BY127))</f>
        <v>525</v>
      </c>
      <c r="CA127" s="26">
        <f>IF(ISNUMBER(VLOOKUP($D127,'Visu totale'!$D:$DH,CA$1,0)),BZ127-VLOOKUP($D127,'Visu totale'!$D:$DH,CA$1,0),IF(LEFT(VLOOKUP($D127,'Visu totale'!$D:$DH,CA$1,0),1)="V",IF(BZ127&gt;=INDEX('[1]Définition Maintenances'!$G:$G,MATCH($A127,'[1]Définition Maintenances'!$K:$K,0)),BZ127,INDEX('[1]Définition Maintenances'!$G:$G,MATCH($A127,'[1]Définition Maintenances'!$K:$K,0))+BZ127),BZ127))</f>
        <v>525</v>
      </c>
      <c r="CB127" s="26">
        <f>IF(ISNUMBER(VLOOKUP($D127,'Visu totale'!$D:$DH,CB$1,0)),CA127-VLOOKUP($D127,'Visu totale'!$D:$DH,CB$1,0),IF(LEFT(VLOOKUP($D127,'Visu totale'!$D:$DH,CB$1,0),1)="V",IF(CA127&gt;=INDEX('[1]Définition Maintenances'!$G:$G,MATCH($A127,'[1]Définition Maintenances'!$K:$K,0)),CA127,INDEX('[1]Définition Maintenances'!$G:$G,MATCH($A127,'[1]Définition Maintenances'!$K:$K,0))+CA127),CA127))</f>
        <v>525</v>
      </c>
      <c r="CC127" s="26">
        <f>IF(ISNUMBER(VLOOKUP($D127,'Visu totale'!$D:$DH,CC$1,0)),CB127-VLOOKUP($D127,'Visu totale'!$D:$DH,CC$1,0),IF(LEFT(VLOOKUP($D127,'Visu totale'!$D:$DH,CC$1,0),1)="V",IF(CB127&gt;=INDEX('[1]Définition Maintenances'!$G:$G,MATCH($A127,'[1]Définition Maintenances'!$K:$K,0)),CB127,INDEX('[1]Définition Maintenances'!$G:$G,MATCH($A127,'[1]Définition Maintenances'!$K:$K,0))+CB127),CB127))</f>
        <v>525</v>
      </c>
      <c r="CD127" s="26">
        <f>IF(ISNUMBER(VLOOKUP($D127,'Visu totale'!$D:$DH,CD$1,0)),CC127-VLOOKUP($D127,'Visu totale'!$D:$DH,CD$1,0),IF(LEFT(VLOOKUP($D127,'Visu totale'!$D:$DH,CD$1,0),1)="V",IF(CC127&gt;=INDEX('[1]Définition Maintenances'!$G:$G,MATCH($A127,'[1]Définition Maintenances'!$K:$K,0)),CC127,INDEX('[1]Définition Maintenances'!$G:$G,MATCH($A127,'[1]Définition Maintenances'!$K:$K,0))+CC127),CC127))</f>
        <v>525</v>
      </c>
      <c r="CE127" s="26">
        <f>IF(ISNUMBER(VLOOKUP($D127,'Visu totale'!$D:$DH,CE$1,0)),CD127-VLOOKUP($D127,'Visu totale'!$D:$DH,CE$1,0),IF(LEFT(VLOOKUP($D127,'Visu totale'!$D:$DH,CE$1,0),1)="V",IF(CD127&gt;=INDEX('[1]Définition Maintenances'!$G:$G,MATCH($A127,'[1]Définition Maintenances'!$K:$K,0)),CD127,INDEX('[1]Définition Maintenances'!$G:$G,MATCH($A127,'[1]Définition Maintenances'!$K:$K,0))+CD127),CD127))</f>
        <v>525</v>
      </c>
      <c r="CF127" s="26">
        <f>IF(ISNUMBER(VLOOKUP($D127,'Visu totale'!$D:$DH,CF$1,0)),CE127-VLOOKUP($D127,'Visu totale'!$D:$DH,CF$1,0),IF(LEFT(VLOOKUP($D127,'Visu totale'!$D:$DH,CF$1,0),1)="V",IF(CE127&gt;=INDEX('[1]Définition Maintenances'!$G:$G,MATCH($A127,'[1]Définition Maintenances'!$K:$K,0)),CE127,INDEX('[1]Définition Maintenances'!$G:$G,MATCH($A127,'[1]Définition Maintenances'!$K:$K,0))+CE127),CE127))</f>
        <v>525</v>
      </c>
      <c r="CG127" s="26">
        <f>IF(ISNUMBER(VLOOKUP($D127,'Visu totale'!$D:$DH,CG$1,0)),CF127-VLOOKUP($D127,'Visu totale'!$D:$DH,CG$1,0),IF(LEFT(VLOOKUP($D127,'Visu totale'!$D:$DH,CG$1,0),1)="V",IF(CF127&gt;=INDEX('[1]Définition Maintenances'!$G:$G,MATCH($A127,'[1]Définition Maintenances'!$K:$K,0)),CF127,INDEX('[1]Définition Maintenances'!$G:$G,MATCH($A127,'[1]Définition Maintenances'!$K:$K,0))+CF127),CF127))</f>
        <v>525</v>
      </c>
      <c r="CH127" s="26">
        <f>IF(ISNUMBER(VLOOKUP($D127,'Visu totale'!$D:$DH,CH$1,0)),CG127-VLOOKUP($D127,'Visu totale'!$D:$DH,CH$1,0),IF(LEFT(VLOOKUP($D127,'Visu totale'!$D:$DH,CH$1,0),1)="V",IF(CG127&gt;=INDEX('[1]Définition Maintenances'!$G:$G,MATCH($A127,'[1]Définition Maintenances'!$K:$K,0)),CG127,INDEX('[1]Définition Maintenances'!$G:$G,MATCH($A127,'[1]Définition Maintenances'!$K:$K,0))+CG127),CG127))</f>
        <v>525</v>
      </c>
      <c r="CI127" s="26">
        <f>IF(ISNUMBER(VLOOKUP($D127,'Visu totale'!$D:$DH,CI$1,0)),CH127-VLOOKUP($D127,'Visu totale'!$D:$DH,CI$1,0),IF(LEFT(VLOOKUP($D127,'Visu totale'!$D:$DH,CI$1,0),1)="V",IF(CH127&gt;=INDEX('[1]Définition Maintenances'!$G:$G,MATCH($A127,'[1]Définition Maintenances'!$K:$K,0)),CH127,INDEX('[1]Définition Maintenances'!$G:$G,MATCH($A127,'[1]Définition Maintenances'!$K:$K,0))+CH127),CH127))</f>
        <v>525</v>
      </c>
      <c r="CJ127" s="26">
        <f>IF(ISNUMBER(VLOOKUP($D127,'Visu totale'!$D:$DH,CJ$1,0)),CI127-VLOOKUP($D127,'Visu totale'!$D:$DH,CJ$1,0),IF(LEFT(VLOOKUP($D127,'Visu totale'!$D:$DH,CJ$1,0),1)="V",IF(CI127&gt;=INDEX('[1]Définition Maintenances'!$G:$G,MATCH($A127,'[1]Définition Maintenances'!$K:$K,0)),CI127,INDEX('[1]Définition Maintenances'!$G:$G,MATCH($A127,'[1]Définition Maintenances'!$K:$K,0))+CI127),CI127))</f>
        <v>525</v>
      </c>
      <c r="CK127" s="27">
        <f>IF(ISNUMBER(VLOOKUP($D127,'Visu totale'!$D:$DH,CK$1,0)),CJ127-VLOOKUP($D127,'Visu totale'!$D:$DH,CK$1,0),IF(LEFT(VLOOKUP($D127,'Visu totale'!$D:$DH,CK$1,0),1)="V",IF(CJ127&gt;=INDEX('[1]Définition Maintenances'!$G:$G,MATCH($A127,'[1]Définition Maintenances'!$K:$K,0)),CJ127,INDEX('[1]Définition Maintenances'!$G:$G,MATCH($A127,'[1]Définition Maintenances'!$K:$K,0))+CJ127),CJ127))</f>
        <v>525</v>
      </c>
      <c r="CL127" s="25">
        <f>IF(ISNUMBER(VLOOKUP($D127,'Visu totale'!$D:$DH,CL$1,0)),CK127-VLOOKUP($D127,'Visu totale'!$D:$DH,CL$1,0),IF(LEFT(VLOOKUP($D127,'Visu totale'!$D:$DH,CL$1,0),1)="V",IF(CK127&gt;=INDEX('[1]Définition Maintenances'!$G:$G,MATCH($A127,'[1]Définition Maintenances'!$K:$K,0)),CK127,INDEX('[1]Définition Maintenances'!$G:$G,MATCH($A127,'[1]Définition Maintenances'!$K:$K,0))+CK127),CK127))</f>
        <v>525</v>
      </c>
      <c r="CM127" s="26">
        <f>IF(ISNUMBER(VLOOKUP($D127,'Visu totale'!$D:$DH,CM$1,0)),CL127-VLOOKUP($D127,'Visu totale'!$D:$DH,CM$1,0),IF(LEFT(VLOOKUP($D127,'Visu totale'!$D:$DH,CM$1,0),1)="V",IF(CL127&gt;=INDEX('[1]Définition Maintenances'!$G:$G,MATCH($A127,'[1]Définition Maintenances'!$K:$K,0)),CL127,INDEX('[1]Définition Maintenances'!$G:$G,MATCH($A127,'[1]Définition Maintenances'!$K:$K,0))+CL127),CL127))</f>
        <v>525</v>
      </c>
      <c r="CN127" s="26">
        <f>IF(ISNUMBER(VLOOKUP($D127,'Visu totale'!$D:$DH,CN$1,0)),CM127-VLOOKUP($D127,'Visu totale'!$D:$DH,CN$1,0),IF(LEFT(VLOOKUP($D127,'Visu totale'!$D:$DH,CN$1,0),1)="V",IF(CM127&gt;=INDEX('[1]Définition Maintenances'!$G:$G,MATCH($A127,'[1]Définition Maintenances'!$K:$K,0)),CM127,INDEX('[1]Définition Maintenances'!$G:$G,MATCH($A127,'[1]Définition Maintenances'!$K:$K,0))+CM127),CM127))</f>
        <v>525</v>
      </c>
      <c r="CO127" s="26">
        <f>IF(ISNUMBER(VLOOKUP($D127,'Visu totale'!$D:$DH,CO$1,0)),CN127-VLOOKUP($D127,'Visu totale'!$D:$DH,CO$1,0),IF(LEFT(VLOOKUP($D127,'Visu totale'!$D:$DH,CO$1,0),1)="V",IF(CN127&gt;=INDEX('[1]Définition Maintenances'!$G:$G,MATCH($A127,'[1]Définition Maintenances'!$K:$K,0)),CN127,INDEX('[1]Définition Maintenances'!$G:$G,MATCH($A127,'[1]Définition Maintenances'!$K:$K,0))+CN127),CN127))</f>
        <v>525</v>
      </c>
      <c r="CP127" s="26">
        <f>IF(ISNUMBER(VLOOKUP($D127,'Visu totale'!$D:$DH,CP$1,0)),CO127-VLOOKUP($D127,'Visu totale'!$D:$DH,CP$1,0),IF(LEFT(VLOOKUP($D127,'Visu totale'!$D:$DH,CP$1,0),1)="V",IF(CO127&gt;=INDEX('[1]Définition Maintenances'!$G:$G,MATCH($A127,'[1]Définition Maintenances'!$K:$K,0)),CO127,INDEX('[1]Définition Maintenances'!$G:$G,MATCH($A127,'[1]Définition Maintenances'!$K:$K,0))+CO127),CO127))</f>
        <v>525</v>
      </c>
      <c r="CQ127" s="26">
        <f>IF(ISNUMBER(VLOOKUP($D127,'Visu totale'!$D:$DH,CQ$1,0)),CP127-VLOOKUP($D127,'Visu totale'!$D:$DH,CQ$1,0),IF(LEFT(VLOOKUP($D127,'Visu totale'!$D:$DH,CQ$1,0),1)="V",IF(CP127&gt;=INDEX('[1]Définition Maintenances'!$G:$G,MATCH($A127,'[1]Définition Maintenances'!$K:$K,0)),CP127,INDEX('[1]Définition Maintenances'!$G:$G,MATCH($A127,'[1]Définition Maintenances'!$K:$K,0))+CP127),CP127))</f>
        <v>525</v>
      </c>
      <c r="CR127" s="26">
        <f>IF(ISNUMBER(VLOOKUP($D127,'Visu totale'!$D:$DH,CR$1,0)),CQ127-VLOOKUP($D127,'Visu totale'!$D:$DH,CR$1,0),IF(LEFT(VLOOKUP($D127,'Visu totale'!$D:$DH,CR$1,0),1)="V",IF(CQ127&gt;=INDEX('[1]Définition Maintenances'!$G:$G,MATCH($A127,'[1]Définition Maintenances'!$K:$K,0)),CQ127,INDEX('[1]Définition Maintenances'!$G:$G,MATCH($A127,'[1]Définition Maintenances'!$K:$K,0))+CQ127),CQ127))</f>
        <v>525</v>
      </c>
      <c r="CS127" s="26">
        <f>IF(ISNUMBER(VLOOKUP($D127,'Visu totale'!$D:$DH,CS$1,0)),CR127-VLOOKUP($D127,'Visu totale'!$D:$DH,CS$1,0),IF(LEFT(VLOOKUP($D127,'Visu totale'!$D:$DH,CS$1,0),1)="V",IF(CR127&gt;=INDEX('[1]Définition Maintenances'!$G:$G,MATCH($A127,'[1]Définition Maintenances'!$K:$K,0)),CR127,INDEX('[1]Définition Maintenances'!$G:$G,MATCH($A127,'[1]Définition Maintenances'!$K:$K,0))+CR127),CR127))</f>
        <v>525</v>
      </c>
      <c r="CT127" s="26">
        <f>IF(ISNUMBER(VLOOKUP($D127,'Visu totale'!$D:$DH,CT$1,0)),CS127-VLOOKUP($D127,'Visu totale'!$D:$DH,CT$1,0),IF(LEFT(VLOOKUP($D127,'Visu totale'!$D:$DH,CT$1,0),1)="V",IF(CS127&gt;=INDEX('[1]Définition Maintenances'!$G:$G,MATCH($A127,'[1]Définition Maintenances'!$K:$K,0)),CS127,INDEX('[1]Définition Maintenances'!$G:$G,MATCH($A127,'[1]Définition Maintenances'!$K:$K,0))+CS127),CS127))</f>
        <v>525</v>
      </c>
      <c r="CU127" s="26">
        <f>IF(ISNUMBER(VLOOKUP($D127,'Visu totale'!$D:$DH,CU$1,0)),CT127-VLOOKUP($D127,'Visu totale'!$D:$DH,CU$1,0),IF(LEFT(VLOOKUP($D127,'Visu totale'!$D:$DH,CU$1,0),1)="V",IF(CT127&gt;=INDEX('[1]Définition Maintenances'!$G:$G,MATCH($A127,'[1]Définition Maintenances'!$K:$K,0)),CT127,INDEX('[1]Définition Maintenances'!$G:$G,MATCH($A127,'[1]Définition Maintenances'!$K:$K,0))+CT127),CT127))</f>
        <v>525</v>
      </c>
      <c r="CV127" s="26">
        <f>IF(ISNUMBER(VLOOKUP($D127,'Visu totale'!$D:$DH,CV$1,0)),CU127-VLOOKUP($D127,'Visu totale'!$D:$DH,CV$1,0),IF(LEFT(VLOOKUP($D127,'Visu totale'!$D:$DH,CV$1,0),1)="V",IF(CU127&gt;=INDEX('[1]Définition Maintenances'!$G:$G,MATCH($A127,'[1]Définition Maintenances'!$K:$K,0)),CU127,INDEX('[1]Définition Maintenances'!$G:$G,MATCH($A127,'[1]Définition Maintenances'!$K:$K,0))+CU127),CU127))</f>
        <v>525</v>
      </c>
      <c r="CW127" s="27">
        <f>IF(ISNUMBER(VLOOKUP($D127,'Visu totale'!$D:$DH,CW$1,0)),CV127-VLOOKUP($D127,'Visu totale'!$D:$DH,CW$1,0),IF(LEFT(VLOOKUP($D127,'Visu totale'!$D:$DH,CW$1,0),1)="V",IF(CV127&gt;=INDEX('[1]Définition Maintenances'!$G:$G,MATCH($A127,'[1]Définition Maintenances'!$K:$K,0)),CV127,INDEX('[1]Définition Maintenances'!$G:$G,MATCH($A127,'[1]Définition Maintenances'!$K:$K,0))+CV127),CV127))</f>
        <v>525</v>
      </c>
      <c r="CX127" s="25">
        <f>IF(ISNUMBER(VLOOKUP($D127,'Visu totale'!$D:$DH,CX$1,0)),CW127-VLOOKUP($D127,'Visu totale'!$D:$DH,CX$1,0),IF(LEFT(VLOOKUP($D127,'Visu totale'!$D:$DH,CX$1,0),1)="V",IF(CW127&gt;=INDEX('[1]Définition Maintenances'!$G:$G,MATCH($A127,'[1]Définition Maintenances'!$K:$K,0)),CW127,INDEX('[1]Définition Maintenances'!$G:$G,MATCH($A127,'[1]Définition Maintenances'!$K:$K,0))+CW127),CW127))</f>
        <v>525</v>
      </c>
      <c r="CY127" s="26">
        <f>IF(ISNUMBER(VLOOKUP($D127,'Visu totale'!$D:$DH,CY$1,0)),CX127-VLOOKUP($D127,'Visu totale'!$D:$DH,CY$1,0),IF(LEFT(VLOOKUP($D127,'Visu totale'!$D:$DH,CY$1,0),1)="V",IF(CX127&gt;=INDEX('[1]Définition Maintenances'!$G:$G,MATCH($A127,'[1]Définition Maintenances'!$K:$K,0)),CX127,INDEX('[1]Définition Maintenances'!$G:$G,MATCH($A127,'[1]Définition Maintenances'!$K:$K,0))+CX127),CX127))</f>
        <v>525</v>
      </c>
      <c r="CZ127" s="26">
        <f>IF(ISNUMBER(VLOOKUP($D127,'Visu totale'!$D:$DH,CZ$1,0)),CY127-VLOOKUP($D127,'Visu totale'!$D:$DH,CZ$1,0),IF(LEFT(VLOOKUP($D127,'Visu totale'!$D:$DH,CZ$1,0),1)="V",IF(CY127&gt;=INDEX('[1]Définition Maintenances'!$G:$G,MATCH($A127,'[1]Définition Maintenances'!$K:$K,0)),CY127,INDEX('[1]Définition Maintenances'!$G:$G,MATCH($A127,'[1]Définition Maintenances'!$K:$K,0))+CY127),CY127))</f>
        <v>525</v>
      </c>
      <c r="DA127" s="26">
        <f>IF(ISNUMBER(VLOOKUP($D127,'Visu totale'!$D:$DH,DA$1,0)),CZ127-VLOOKUP($D127,'Visu totale'!$D:$DH,DA$1,0),IF(LEFT(VLOOKUP($D127,'Visu totale'!$D:$DH,DA$1,0),1)="V",IF(CZ127&gt;=INDEX('[1]Définition Maintenances'!$G:$G,MATCH($A127,'[1]Définition Maintenances'!$K:$K,0)),CZ127,INDEX('[1]Définition Maintenances'!$G:$G,MATCH($A127,'[1]Définition Maintenances'!$K:$K,0))+CZ127),CZ127))</f>
        <v>525</v>
      </c>
      <c r="DB127" s="26">
        <f>IF(ISNUMBER(VLOOKUP($D127,'Visu totale'!$D:$DH,DB$1,0)),DA127-VLOOKUP($D127,'Visu totale'!$D:$DH,DB$1,0),IF(LEFT(VLOOKUP($D127,'Visu totale'!$D:$DH,DB$1,0),1)="V",IF(DA127&gt;=INDEX('[1]Définition Maintenances'!$G:$G,MATCH($A127,'[1]Définition Maintenances'!$K:$K,0)),DA127,INDEX('[1]Définition Maintenances'!$G:$G,MATCH($A127,'[1]Définition Maintenances'!$K:$K,0))+DA127),DA127))</f>
        <v>525</v>
      </c>
      <c r="DC127" s="26">
        <f>IF(ISNUMBER(VLOOKUP($D127,'Visu totale'!$D:$DH,DC$1,0)),DB127-VLOOKUP($D127,'Visu totale'!$D:$DH,DC$1,0),IF(LEFT(VLOOKUP($D127,'Visu totale'!$D:$DH,DC$1,0),1)="V",IF(DB127&gt;=INDEX('[1]Définition Maintenances'!$G:$G,MATCH($A127,'[1]Définition Maintenances'!$K:$K,0)),DB127,INDEX('[1]Définition Maintenances'!$G:$G,MATCH($A127,'[1]Définition Maintenances'!$K:$K,0))+DB127),DB127))</f>
        <v>525</v>
      </c>
      <c r="DD127" s="26">
        <f>IF(ISNUMBER(VLOOKUP($D127,'Visu totale'!$D:$DH,DD$1,0)),DC127-VLOOKUP($D127,'Visu totale'!$D:$DH,DD$1,0),IF(LEFT(VLOOKUP($D127,'Visu totale'!$D:$DH,DD$1,0),1)="V",IF(DC127&gt;=INDEX('[1]Définition Maintenances'!$G:$G,MATCH($A127,'[1]Définition Maintenances'!$K:$K,0)),DC127,INDEX('[1]Définition Maintenances'!$G:$G,MATCH($A127,'[1]Définition Maintenances'!$K:$K,0))+DC127),DC127))</f>
        <v>525</v>
      </c>
      <c r="DE127" s="26">
        <f>IF(ISNUMBER(VLOOKUP($D127,'Visu totale'!$D:$DH,DE$1,0)),DD127-VLOOKUP($D127,'Visu totale'!$D:$DH,DE$1,0),IF(LEFT(VLOOKUP($D127,'Visu totale'!$D:$DH,DE$1,0),1)="V",IF(DD127&gt;=INDEX('[1]Définition Maintenances'!$G:$G,MATCH($A127,'[1]Définition Maintenances'!$K:$K,0)),DD127,INDEX('[1]Définition Maintenances'!$G:$G,MATCH($A127,'[1]Définition Maintenances'!$K:$K,0))+DD127),DD127))</f>
        <v>525</v>
      </c>
      <c r="DF127" s="26">
        <f>IF(ISNUMBER(VLOOKUP($D127,'Visu totale'!$D:$DH,DF$1,0)),DE127-VLOOKUP($D127,'Visu totale'!$D:$DH,DF$1,0),IF(LEFT(VLOOKUP($D127,'Visu totale'!$D:$DH,DF$1,0),1)="V",IF(DE127&gt;=INDEX('[1]Définition Maintenances'!$G:$G,MATCH($A127,'[1]Définition Maintenances'!$K:$K,0)),DE127,INDEX('[1]Définition Maintenances'!$G:$G,MATCH($A127,'[1]Définition Maintenances'!$K:$K,0))+DE127),DE127))</f>
        <v>525</v>
      </c>
      <c r="DG127" s="26">
        <f>IF(ISNUMBER(VLOOKUP($D127,'Visu totale'!$D:$DH,DG$1,0)),DF127-VLOOKUP($D127,'Visu totale'!$D:$DH,DG$1,0),IF(LEFT(VLOOKUP($D127,'Visu totale'!$D:$DH,DG$1,0),1)="V",IF(DF127&gt;=INDEX('[1]Définition Maintenances'!$G:$G,MATCH($A127,'[1]Définition Maintenances'!$K:$K,0)),DF127,INDEX('[1]Définition Maintenances'!$G:$G,MATCH($A127,'[1]Définition Maintenances'!$K:$K,0))+DF127),DF127))</f>
        <v>525</v>
      </c>
      <c r="DH127" s="26">
        <f>IF(ISNUMBER(VLOOKUP($D127,'Visu totale'!$D:$DH,DH$1,0)),DG127-VLOOKUP($D127,'Visu totale'!$D:$DH,DH$1,0),IF(LEFT(VLOOKUP($D127,'Visu totale'!$D:$DH,DH$1,0),1)="V",IF(DG127&gt;=INDEX('[1]Définition Maintenances'!$G:$G,MATCH($A127,'[1]Définition Maintenances'!$K:$K,0)),DG127,INDEX('[1]Définition Maintenances'!$G:$G,MATCH($A127,'[1]Définition Maintenances'!$K:$K,0))+DG127),DG127))</f>
        <v>525</v>
      </c>
      <c r="DI127" s="27">
        <f>IF(ISNUMBER(VLOOKUP($D127,'Visu totale'!$D:$DH,DI$1,0)),DH127-VLOOKUP($D127,'Visu totale'!$D:$DH,DI$1,0),IF(LEFT(VLOOKUP($D127,'Visu totale'!$D:$DH,DI$1,0),1)="V",IF(DH127&gt;=INDEX('[1]Définition Maintenances'!$G:$G,MATCH($A127,'[1]Définition Maintenances'!$K:$K,0)),DH127,INDEX('[1]Définition Maintenances'!$G:$G,MATCH($A127,'[1]Définition Maintenances'!$K:$K,0))+DH127),DH127))</f>
        <v>525</v>
      </c>
    </row>
    <row r="128" spans="1:113" x14ac:dyDescent="0.25">
      <c r="A128" s="13" t="str">
        <f t="shared" si="3"/>
        <v>V55</v>
      </c>
      <c r="B128" s="13" t="str">
        <f>VLOOKUP(D128,'[1]Avions (Potentiels)'!$B$2:$H$128,7,FALSE)</f>
        <v>V5</v>
      </c>
      <c r="C128" s="13"/>
      <c r="D128" s="16" t="s">
        <v>131</v>
      </c>
      <c r="E128" s="13">
        <f>IFERROR(VALUE(SUBSTITUTE(VLOOKUP(D128,'[1]Avions (Potentiels)'!$B:$E,4,0),".",",")),VALUE(VLOOKUP(D128,'[1]Avions (Potentiels)'!$B:$E,4,0)))</f>
        <v>1200</v>
      </c>
      <c r="F128" s="25">
        <f>IF(ISNUMBER(VLOOKUP($D128,'Visu totale'!$D:$DH,F$1,0)),E128-VLOOKUP($D128,'Visu totale'!$D:$DH,F$1,0),IF(LEFT(VLOOKUP($D128,'Visu totale'!$D:$DH,F$1,0),1)="V",IF(E128&gt;=INDEX('[1]Définition Maintenances'!$G:$G,MATCH($A128,'[1]Définition Maintenances'!$K:$K,0)),E128,INDEX('[1]Définition Maintenances'!$G:$G,MATCH($A128,'[1]Définition Maintenances'!$K:$K,0))+E128),E128))</f>
        <v>1200</v>
      </c>
      <c r="G128" s="26">
        <f>IF(ISNUMBER(VLOOKUP($D128,'Visu totale'!$D:$DH,G$1,0)),F128-VLOOKUP($D128,'Visu totale'!$D:$DH,G$1,0),IF(LEFT(VLOOKUP($D128,'Visu totale'!$D:$DH,G$1,0),1)="V",IF(F128&gt;=INDEX('[1]Définition Maintenances'!$G:$G,MATCH($A128,'[1]Définition Maintenances'!$K:$K,0)),F128,INDEX('[1]Définition Maintenances'!$G:$G,MATCH($A128,'[1]Définition Maintenances'!$K:$K,0))+F128),F128))</f>
        <v>1200</v>
      </c>
      <c r="H128" s="26">
        <f>IF(ISNUMBER(VLOOKUP($D128,'Visu totale'!$D:$DH,H$1,0)),G128-VLOOKUP($D128,'Visu totale'!$D:$DH,H$1,0),IF(LEFT(VLOOKUP($D128,'Visu totale'!$D:$DH,H$1,0),1)="V",IF(G128&gt;=INDEX('[1]Définition Maintenances'!$G:$G,MATCH($A128,'[1]Définition Maintenances'!$K:$K,0)),G128,INDEX('[1]Définition Maintenances'!$G:$G,MATCH($A128,'[1]Définition Maintenances'!$K:$K,0))+G128),G128))</f>
        <v>1200</v>
      </c>
      <c r="I128" s="26">
        <f>IF(ISNUMBER(VLOOKUP($D128,'Visu totale'!$D:$DH,I$1,0)),H128-VLOOKUP($D128,'Visu totale'!$D:$DH,I$1,0),IF(LEFT(VLOOKUP($D128,'Visu totale'!$D:$DH,I$1,0),1)="V",IF(H128&gt;=INDEX('[1]Définition Maintenances'!$G:$G,MATCH($A128,'[1]Définition Maintenances'!$K:$K,0)),H128,INDEX('[1]Définition Maintenances'!$G:$G,MATCH($A128,'[1]Définition Maintenances'!$K:$K,0))+H128),H128))</f>
        <v>1200</v>
      </c>
      <c r="J128" s="26">
        <f>IF(ISNUMBER(VLOOKUP($D128,'Visu totale'!$D:$DH,J$1,0)),I128-VLOOKUP($D128,'Visu totale'!$D:$DH,J$1,0),IF(LEFT(VLOOKUP($D128,'Visu totale'!$D:$DH,J$1,0),1)="V",IF(I128&gt;=INDEX('[1]Définition Maintenances'!$G:$G,MATCH($A128,'[1]Définition Maintenances'!$K:$K,0)),I128,INDEX('[1]Définition Maintenances'!$G:$G,MATCH($A128,'[1]Définition Maintenances'!$K:$K,0))+I128),I128))</f>
        <v>1200</v>
      </c>
      <c r="K128" s="26">
        <f>IF(ISNUMBER(VLOOKUP($D128,'Visu totale'!$D:$DH,K$1,0)),J128-VLOOKUP($D128,'Visu totale'!$D:$DH,K$1,0),IF(LEFT(VLOOKUP($D128,'Visu totale'!$D:$DH,K$1,0),1)="V",IF(J128&gt;=INDEX('[1]Définition Maintenances'!$G:$G,MATCH($A128,'[1]Définition Maintenances'!$K:$K,0)),J128,INDEX('[1]Définition Maintenances'!$G:$G,MATCH($A128,'[1]Définition Maintenances'!$K:$K,0))+J128),J128))</f>
        <v>1200</v>
      </c>
      <c r="L128" s="26">
        <f>IF(ISNUMBER(VLOOKUP($D128,'Visu totale'!$D:$DH,L$1,0)),K128-VLOOKUP($D128,'Visu totale'!$D:$DH,L$1,0),IF(LEFT(VLOOKUP($D128,'Visu totale'!$D:$DH,L$1,0),1)="V",IF(K128&gt;=INDEX('[1]Définition Maintenances'!$G:$G,MATCH($A128,'[1]Définition Maintenances'!$K:$K,0)),K128,INDEX('[1]Définition Maintenances'!$G:$G,MATCH($A128,'[1]Définition Maintenances'!$K:$K,0))+K128),K128))</f>
        <v>1200</v>
      </c>
      <c r="M128" s="26">
        <f>IF(ISNUMBER(VLOOKUP($D128,'Visu totale'!$D:$DH,M$1,0)),L128-VLOOKUP($D128,'Visu totale'!$D:$DH,M$1,0),IF(LEFT(VLOOKUP($D128,'Visu totale'!$D:$DH,M$1,0),1)="V",IF(L128&gt;=INDEX('[1]Définition Maintenances'!$G:$G,MATCH($A128,'[1]Définition Maintenances'!$K:$K,0)),L128,INDEX('[1]Définition Maintenances'!$G:$G,MATCH($A128,'[1]Définition Maintenances'!$K:$K,0))+L128),L128))</f>
        <v>1200</v>
      </c>
      <c r="N128" s="26">
        <f>IF(ISNUMBER(VLOOKUP($D128,'Visu totale'!$D:$DH,N$1,0)),M128-VLOOKUP($D128,'Visu totale'!$D:$DH,N$1,0),IF(LEFT(VLOOKUP($D128,'Visu totale'!$D:$DH,N$1,0),1)="V",IF(M128&gt;=INDEX('[1]Définition Maintenances'!$G:$G,MATCH($A128,'[1]Définition Maintenances'!$K:$K,0)),M128,INDEX('[1]Définition Maintenances'!$G:$G,MATCH($A128,'[1]Définition Maintenances'!$K:$K,0))+M128),M128))</f>
        <v>1200</v>
      </c>
      <c r="O128" s="26">
        <f>IF(ISNUMBER(VLOOKUP($D128,'Visu totale'!$D:$DH,O$1,0)),N128-VLOOKUP($D128,'Visu totale'!$D:$DH,O$1,0),IF(LEFT(VLOOKUP($D128,'Visu totale'!$D:$DH,O$1,0),1)="V",IF(N128&gt;=INDEX('[1]Définition Maintenances'!$G:$G,MATCH($A128,'[1]Définition Maintenances'!$K:$K,0)),N128,INDEX('[1]Définition Maintenances'!$G:$G,MATCH($A128,'[1]Définition Maintenances'!$K:$K,0))+N128),N128))</f>
        <v>1200</v>
      </c>
      <c r="P128" s="26">
        <f>IF(ISNUMBER(VLOOKUP($D128,'Visu totale'!$D:$DH,P$1,0)),O128-VLOOKUP($D128,'Visu totale'!$D:$DH,P$1,0),IF(LEFT(VLOOKUP($D128,'Visu totale'!$D:$DH,P$1,0),1)="V",IF(O128&gt;=INDEX('[1]Définition Maintenances'!$G:$G,MATCH($A128,'[1]Définition Maintenances'!$K:$K,0)),O128,INDEX('[1]Définition Maintenances'!$G:$G,MATCH($A128,'[1]Définition Maintenances'!$K:$K,0))+O128),O128))</f>
        <v>1200</v>
      </c>
      <c r="Q128" s="27">
        <f>IF(ISNUMBER(VLOOKUP($D128,'Visu totale'!$D:$DH,Q$1,0)),P128-VLOOKUP($D128,'Visu totale'!$D:$DH,Q$1,0),IF(LEFT(VLOOKUP($D128,'Visu totale'!$D:$DH,Q$1,0),1)="V",IF(P128&gt;=INDEX('[1]Définition Maintenances'!$G:$G,MATCH($A128,'[1]Définition Maintenances'!$K:$K,0)),P128,INDEX('[1]Définition Maintenances'!$G:$G,MATCH($A128,'[1]Définition Maintenances'!$K:$K,0))+P128),P128))</f>
        <v>1200</v>
      </c>
      <c r="R128" s="25">
        <f>IF(ISNUMBER(VLOOKUP($D128,'Visu totale'!$D:$DH,R$1,0)),Q128-VLOOKUP($D128,'Visu totale'!$D:$DH,R$1,0),IF(LEFT(VLOOKUP($D128,'Visu totale'!$D:$DH,R$1,0),1)="V",IF(Q128&gt;=INDEX('[1]Définition Maintenances'!$G:$G,MATCH($A128,'[1]Définition Maintenances'!$K:$K,0)),Q128,INDEX('[1]Définition Maintenances'!$G:$G,MATCH($A128,'[1]Définition Maintenances'!$K:$K,0))+Q128),Q128))</f>
        <v>1200</v>
      </c>
      <c r="S128" s="26">
        <f>IF(ISNUMBER(VLOOKUP($D128,'Visu totale'!$D:$DH,S$1,0)),R128-VLOOKUP($D128,'Visu totale'!$D:$DH,S$1,0),IF(LEFT(VLOOKUP($D128,'Visu totale'!$D:$DH,S$1,0),1)="V",IF(R128&gt;=INDEX('[1]Définition Maintenances'!$G:$G,MATCH($A128,'[1]Définition Maintenances'!$K:$K,0)),R128,INDEX('[1]Définition Maintenances'!$G:$G,MATCH($A128,'[1]Définition Maintenances'!$K:$K,0))+R128),R128))</f>
        <v>1200</v>
      </c>
      <c r="T128" s="26">
        <f>IF(ISNUMBER(VLOOKUP($D128,'Visu totale'!$D:$DH,T$1,0)),S128-VLOOKUP($D128,'Visu totale'!$D:$DH,T$1,0),IF(LEFT(VLOOKUP($D128,'Visu totale'!$D:$DH,T$1,0),1)="V",IF(S128&gt;=INDEX('[1]Définition Maintenances'!$G:$G,MATCH($A128,'[1]Définition Maintenances'!$K:$K,0)),S128,INDEX('[1]Définition Maintenances'!$G:$G,MATCH($A128,'[1]Définition Maintenances'!$K:$K,0))+S128),S128))</f>
        <v>1200</v>
      </c>
      <c r="U128" s="26">
        <f>IF(ISNUMBER(VLOOKUP($D128,'Visu totale'!$D:$DH,U$1,0)),T128-VLOOKUP($D128,'Visu totale'!$D:$DH,U$1,0),IF(LEFT(VLOOKUP($D128,'Visu totale'!$D:$DH,U$1,0),1)="V",IF(T128&gt;=INDEX('[1]Définition Maintenances'!$G:$G,MATCH($A128,'[1]Définition Maintenances'!$K:$K,0)),T128,INDEX('[1]Définition Maintenances'!$G:$G,MATCH($A128,'[1]Définition Maintenances'!$K:$K,0))+T128),T128))</f>
        <v>1200</v>
      </c>
      <c r="V128" s="26">
        <f>IF(ISNUMBER(VLOOKUP($D128,'Visu totale'!$D:$DH,V$1,0)),U128-VLOOKUP($D128,'Visu totale'!$D:$DH,V$1,0),IF(LEFT(VLOOKUP($D128,'Visu totale'!$D:$DH,V$1,0),1)="V",IF(U128&gt;=INDEX('[1]Définition Maintenances'!$G:$G,MATCH($A128,'[1]Définition Maintenances'!$K:$K,0)),U128,INDEX('[1]Définition Maintenances'!$G:$G,MATCH($A128,'[1]Définition Maintenances'!$K:$K,0))+U128),U128))</f>
        <v>1200</v>
      </c>
      <c r="W128" s="26">
        <f>IF(ISNUMBER(VLOOKUP($D128,'Visu totale'!$D:$DH,W$1,0)),V128-VLOOKUP($D128,'Visu totale'!$D:$DH,W$1,0),IF(LEFT(VLOOKUP($D128,'Visu totale'!$D:$DH,W$1,0),1)="V",IF(V128&gt;=INDEX('[1]Définition Maintenances'!$G:$G,MATCH($A128,'[1]Définition Maintenances'!$K:$K,0)),V128,INDEX('[1]Définition Maintenances'!$G:$G,MATCH($A128,'[1]Définition Maintenances'!$K:$K,0))+V128),V128))</f>
        <v>1200</v>
      </c>
      <c r="X128" s="26">
        <f>IF(ISNUMBER(VLOOKUP($D128,'Visu totale'!$D:$DH,X$1,0)),W128-VLOOKUP($D128,'Visu totale'!$D:$DH,X$1,0),IF(LEFT(VLOOKUP($D128,'Visu totale'!$D:$DH,X$1,0),1)="V",IF(W128&gt;=INDEX('[1]Définition Maintenances'!$G:$G,MATCH($A128,'[1]Définition Maintenances'!$K:$K,0)),W128,INDEX('[1]Définition Maintenances'!$G:$G,MATCH($A128,'[1]Définition Maintenances'!$K:$K,0))+W128),W128))</f>
        <v>1200</v>
      </c>
      <c r="Y128" s="26">
        <f>IF(ISNUMBER(VLOOKUP($D128,'Visu totale'!$D:$DH,Y$1,0)),X128-VLOOKUP($D128,'Visu totale'!$D:$DH,Y$1,0),IF(LEFT(VLOOKUP($D128,'Visu totale'!$D:$DH,Y$1,0),1)="V",IF(X128&gt;=INDEX('[1]Définition Maintenances'!$G:$G,MATCH($A128,'[1]Définition Maintenances'!$K:$K,0)),X128,INDEX('[1]Définition Maintenances'!$G:$G,MATCH($A128,'[1]Définition Maintenances'!$K:$K,0))+X128),X128))</f>
        <v>1200</v>
      </c>
      <c r="Z128" s="26">
        <f>IF(ISNUMBER(VLOOKUP($D128,'Visu totale'!$D:$DH,Z$1,0)),Y128-VLOOKUP($D128,'Visu totale'!$D:$DH,Z$1,0),IF(LEFT(VLOOKUP($D128,'Visu totale'!$D:$DH,Z$1,0),1)="V",IF(Y128&gt;=INDEX('[1]Définition Maintenances'!$G:$G,MATCH($A128,'[1]Définition Maintenances'!$K:$K,0)),Y128,INDEX('[1]Définition Maintenances'!$G:$G,MATCH($A128,'[1]Définition Maintenances'!$K:$K,0))+Y128),Y128))</f>
        <v>1200</v>
      </c>
      <c r="AA128" s="26">
        <f>IF(ISNUMBER(VLOOKUP($D128,'Visu totale'!$D:$DH,AA$1,0)),Z128-VLOOKUP($D128,'Visu totale'!$D:$DH,AA$1,0),IF(LEFT(VLOOKUP($D128,'Visu totale'!$D:$DH,AA$1,0),1)="V",IF(Z128&gt;=INDEX('[1]Définition Maintenances'!$G:$G,MATCH($A128,'[1]Définition Maintenances'!$K:$K,0)),Z128,INDEX('[1]Définition Maintenances'!$G:$G,MATCH($A128,'[1]Définition Maintenances'!$K:$K,0))+Z128),Z128))</f>
        <v>1200</v>
      </c>
      <c r="AB128" s="26">
        <f>IF(ISNUMBER(VLOOKUP($D128,'Visu totale'!$D:$DH,AB$1,0)),AA128-VLOOKUP($D128,'Visu totale'!$D:$DH,AB$1,0),IF(LEFT(VLOOKUP($D128,'Visu totale'!$D:$DH,AB$1,0),1)="V",IF(AA128&gt;=INDEX('[1]Définition Maintenances'!$G:$G,MATCH($A128,'[1]Définition Maintenances'!$K:$K,0)),AA128,INDEX('[1]Définition Maintenances'!$G:$G,MATCH($A128,'[1]Définition Maintenances'!$K:$K,0))+AA128),AA128))</f>
        <v>1200</v>
      </c>
      <c r="AC128" s="27">
        <f>IF(ISNUMBER(VLOOKUP($D128,'Visu totale'!$D:$DH,AC$1,0)),AB128-VLOOKUP($D128,'Visu totale'!$D:$DH,AC$1,0),IF(LEFT(VLOOKUP($D128,'Visu totale'!$D:$DH,AC$1,0),1)="V",IF(AB128&gt;=INDEX('[1]Définition Maintenances'!$G:$G,MATCH($A128,'[1]Définition Maintenances'!$K:$K,0)),AB128,INDEX('[1]Définition Maintenances'!$G:$G,MATCH($A128,'[1]Définition Maintenances'!$K:$K,0))+AB128),AB128))</f>
        <v>1200</v>
      </c>
      <c r="AD128" s="25">
        <f>IF(ISNUMBER(VLOOKUP($D128,'Visu totale'!$D:$DH,AD$1,0)),AC128-VLOOKUP($D128,'Visu totale'!$D:$DH,AD$1,0),IF(LEFT(VLOOKUP($D128,'Visu totale'!$D:$DH,AD$1,0),1)="V",IF(AC128&gt;=INDEX('[1]Définition Maintenances'!$G:$G,MATCH($A128,'[1]Définition Maintenances'!$K:$K,0)),AC128,INDEX('[1]Définition Maintenances'!$G:$G,MATCH($A128,'[1]Définition Maintenances'!$K:$K,0))+AC128),AC128))</f>
        <v>1200</v>
      </c>
      <c r="AE128" s="26">
        <f>IF(ISNUMBER(VLOOKUP($D128,'Visu totale'!$D:$DH,AE$1,0)),AD128-VLOOKUP($D128,'Visu totale'!$D:$DH,AE$1,0),IF(LEFT(VLOOKUP($D128,'Visu totale'!$D:$DH,AE$1,0),1)="V",IF(AD128&gt;=INDEX('[1]Définition Maintenances'!$G:$G,MATCH($A128,'[1]Définition Maintenances'!$K:$K,0)),AD128,INDEX('[1]Définition Maintenances'!$G:$G,MATCH($A128,'[1]Définition Maintenances'!$K:$K,0))+AD128),AD128))</f>
        <v>1200</v>
      </c>
      <c r="AF128" s="26">
        <f>IF(ISNUMBER(VLOOKUP($D128,'Visu totale'!$D:$DH,AF$1,0)),AE128-VLOOKUP($D128,'Visu totale'!$D:$DH,AF$1,0),IF(LEFT(VLOOKUP($D128,'Visu totale'!$D:$DH,AF$1,0),1)="V",IF(AE128&gt;=INDEX('[1]Définition Maintenances'!$G:$G,MATCH($A128,'[1]Définition Maintenances'!$K:$K,0)),AE128,INDEX('[1]Définition Maintenances'!$G:$G,MATCH($A128,'[1]Définition Maintenances'!$K:$K,0))+AE128),AE128))</f>
        <v>1200</v>
      </c>
      <c r="AG128" s="26">
        <f>IF(ISNUMBER(VLOOKUP($D128,'Visu totale'!$D:$DH,AG$1,0)),AF128-VLOOKUP($D128,'Visu totale'!$D:$DH,AG$1,0),IF(LEFT(VLOOKUP($D128,'Visu totale'!$D:$DH,AG$1,0),1)="V",IF(AF128&gt;=INDEX('[1]Définition Maintenances'!$G:$G,MATCH($A128,'[1]Définition Maintenances'!$K:$K,0)),AF128,INDEX('[1]Définition Maintenances'!$G:$G,MATCH($A128,'[1]Définition Maintenances'!$K:$K,0))+AF128),AF128))</f>
        <v>1200</v>
      </c>
      <c r="AH128" s="26">
        <f>IF(ISNUMBER(VLOOKUP($D128,'Visu totale'!$D:$DH,AH$1,0)),AG128-VLOOKUP($D128,'Visu totale'!$D:$DH,AH$1,0),IF(LEFT(VLOOKUP($D128,'Visu totale'!$D:$DH,AH$1,0),1)="V",IF(AG128&gt;=INDEX('[1]Définition Maintenances'!$G:$G,MATCH($A128,'[1]Définition Maintenances'!$K:$K,0)),AG128,INDEX('[1]Définition Maintenances'!$G:$G,MATCH($A128,'[1]Définition Maintenances'!$K:$K,0))+AG128),AG128))</f>
        <v>1200</v>
      </c>
      <c r="AI128" s="26">
        <f>IF(ISNUMBER(VLOOKUP($D128,'Visu totale'!$D:$DH,AI$1,0)),AH128-VLOOKUP($D128,'Visu totale'!$D:$DH,AI$1,0),IF(LEFT(VLOOKUP($D128,'Visu totale'!$D:$DH,AI$1,0),1)="V",IF(AH128&gt;=INDEX('[1]Définition Maintenances'!$G:$G,MATCH($A128,'[1]Définition Maintenances'!$K:$K,0)),AH128,INDEX('[1]Définition Maintenances'!$G:$G,MATCH($A128,'[1]Définition Maintenances'!$K:$K,0))+AH128),AH128))</f>
        <v>1200</v>
      </c>
      <c r="AJ128" s="26">
        <f>IF(ISNUMBER(VLOOKUP($D128,'Visu totale'!$D:$DH,AJ$1,0)),AI128-VLOOKUP($D128,'Visu totale'!$D:$DH,AJ$1,0),IF(LEFT(VLOOKUP($D128,'Visu totale'!$D:$DH,AJ$1,0),1)="V",IF(AI128&gt;=INDEX('[1]Définition Maintenances'!$G:$G,MATCH($A128,'[1]Définition Maintenances'!$K:$K,0)),AI128,INDEX('[1]Définition Maintenances'!$G:$G,MATCH($A128,'[1]Définition Maintenances'!$K:$K,0))+AI128),AI128))</f>
        <v>1200</v>
      </c>
      <c r="AK128" s="26">
        <f>IF(ISNUMBER(VLOOKUP($D128,'Visu totale'!$D:$DH,AK$1,0)),AJ128-VLOOKUP($D128,'Visu totale'!$D:$DH,AK$1,0),IF(LEFT(VLOOKUP($D128,'Visu totale'!$D:$DH,AK$1,0),1)="V",IF(AJ128&gt;=INDEX('[1]Définition Maintenances'!$G:$G,MATCH($A128,'[1]Définition Maintenances'!$K:$K,0)),AJ128,INDEX('[1]Définition Maintenances'!$G:$G,MATCH($A128,'[1]Définition Maintenances'!$K:$K,0))+AJ128),AJ128))</f>
        <v>1200</v>
      </c>
      <c r="AL128" s="26">
        <f>IF(ISNUMBER(VLOOKUP($D128,'Visu totale'!$D:$DH,AL$1,0)),AK128-VLOOKUP($D128,'Visu totale'!$D:$DH,AL$1,0),IF(LEFT(VLOOKUP($D128,'Visu totale'!$D:$DH,AL$1,0),1)="V",IF(AK128&gt;=INDEX('[1]Définition Maintenances'!$G:$G,MATCH($A128,'[1]Définition Maintenances'!$K:$K,0)),AK128,INDEX('[1]Définition Maintenances'!$G:$G,MATCH($A128,'[1]Définition Maintenances'!$K:$K,0))+AK128),AK128))</f>
        <v>1200</v>
      </c>
      <c r="AM128" s="26">
        <f>IF(ISNUMBER(VLOOKUP($D128,'Visu totale'!$D:$DH,AM$1,0)),AL128-VLOOKUP($D128,'Visu totale'!$D:$DH,AM$1,0),IF(LEFT(VLOOKUP($D128,'Visu totale'!$D:$DH,AM$1,0),1)="V",IF(AL128&gt;=INDEX('[1]Définition Maintenances'!$G:$G,MATCH($A128,'[1]Définition Maintenances'!$K:$K,0)),AL128,INDEX('[1]Définition Maintenances'!$G:$G,MATCH($A128,'[1]Définition Maintenances'!$K:$K,0))+AL128),AL128))</f>
        <v>1200</v>
      </c>
      <c r="AN128" s="26">
        <f>IF(ISNUMBER(VLOOKUP($D128,'Visu totale'!$D:$DH,AN$1,0)),AM128-VLOOKUP($D128,'Visu totale'!$D:$DH,AN$1,0),IF(LEFT(VLOOKUP($D128,'Visu totale'!$D:$DH,AN$1,0),1)="V",IF(AM128&gt;=INDEX('[1]Définition Maintenances'!$G:$G,MATCH($A128,'[1]Définition Maintenances'!$K:$K,0)),AM128,INDEX('[1]Définition Maintenances'!$G:$G,MATCH($A128,'[1]Définition Maintenances'!$K:$K,0))+AM128),AM128))</f>
        <v>1200</v>
      </c>
      <c r="AO128" s="27">
        <f>IF(ISNUMBER(VLOOKUP($D128,'Visu totale'!$D:$DH,AO$1,0)),AN128-VLOOKUP($D128,'Visu totale'!$D:$DH,AO$1,0),IF(LEFT(VLOOKUP($D128,'Visu totale'!$D:$DH,AO$1,0),1)="V",IF(AN128&gt;=INDEX('[1]Définition Maintenances'!$G:$G,MATCH($A128,'[1]Définition Maintenances'!$K:$K,0)),AN128,INDEX('[1]Définition Maintenances'!$G:$G,MATCH($A128,'[1]Définition Maintenances'!$K:$K,0))+AN128),AN128))</f>
        <v>1200</v>
      </c>
      <c r="AP128" s="25">
        <f>IF(ISNUMBER(VLOOKUP($D128,'Visu totale'!$D:$DH,AP$1,0)),AO128-VLOOKUP($D128,'Visu totale'!$D:$DH,AP$1,0),IF(LEFT(VLOOKUP($D128,'Visu totale'!$D:$DH,AP$1,0),1)="V",IF(AO128&gt;=INDEX('[1]Définition Maintenances'!$G:$G,MATCH($A128,'[1]Définition Maintenances'!$K:$K,0)),AO128,INDEX('[1]Définition Maintenances'!$G:$G,MATCH($A128,'[1]Définition Maintenances'!$K:$K,0))+AO128),AO128))</f>
        <v>1200</v>
      </c>
      <c r="AQ128" s="26">
        <f>IF(ISNUMBER(VLOOKUP($D128,'Visu totale'!$D:$DH,AQ$1,0)),AP128-VLOOKUP($D128,'Visu totale'!$D:$DH,AQ$1,0),IF(LEFT(VLOOKUP($D128,'Visu totale'!$D:$DH,AQ$1,0),1)="V",IF(AP128&gt;=INDEX('[1]Définition Maintenances'!$G:$G,MATCH($A128,'[1]Définition Maintenances'!$K:$K,0)),AP128,INDEX('[1]Définition Maintenances'!$G:$G,MATCH($A128,'[1]Définition Maintenances'!$K:$K,0))+AP128),AP128))</f>
        <v>1200</v>
      </c>
      <c r="AR128" s="26">
        <f>IF(ISNUMBER(VLOOKUP($D128,'Visu totale'!$D:$DH,AR$1,0)),AQ128-VLOOKUP($D128,'Visu totale'!$D:$DH,AR$1,0),IF(LEFT(VLOOKUP($D128,'Visu totale'!$D:$DH,AR$1,0),1)="V",IF(AQ128&gt;=INDEX('[1]Définition Maintenances'!$G:$G,MATCH($A128,'[1]Définition Maintenances'!$K:$K,0)),AQ128,INDEX('[1]Définition Maintenances'!$G:$G,MATCH($A128,'[1]Définition Maintenances'!$K:$K,0))+AQ128),AQ128))</f>
        <v>1200</v>
      </c>
      <c r="AS128" s="26">
        <f>IF(ISNUMBER(VLOOKUP($D128,'Visu totale'!$D:$DH,AS$1,0)),AR128-VLOOKUP($D128,'Visu totale'!$D:$DH,AS$1,0),IF(LEFT(VLOOKUP($D128,'Visu totale'!$D:$DH,AS$1,0),1)="V",IF(AR128&gt;=INDEX('[1]Définition Maintenances'!$G:$G,MATCH($A128,'[1]Définition Maintenances'!$K:$K,0)),AR128,INDEX('[1]Définition Maintenances'!$G:$G,MATCH($A128,'[1]Définition Maintenances'!$K:$K,0))+AR128),AR128))</f>
        <v>1200</v>
      </c>
      <c r="AT128" s="26">
        <f>IF(ISNUMBER(VLOOKUP($D128,'Visu totale'!$D:$DH,AT$1,0)),AS128-VLOOKUP($D128,'Visu totale'!$D:$DH,AT$1,0),IF(LEFT(VLOOKUP($D128,'Visu totale'!$D:$DH,AT$1,0),1)="V",IF(AS128&gt;=INDEX('[1]Définition Maintenances'!$G:$G,MATCH($A128,'[1]Définition Maintenances'!$K:$K,0)),AS128,INDEX('[1]Définition Maintenances'!$G:$G,MATCH($A128,'[1]Définition Maintenances'!$K:$K,0))+AS128),AS128))</f>
        <v>1200</v>
      </c>
      <c r="AU128" s="26">
        <f>IF(ISNUMBER(VLOOKUP($D128,'Visu totale'!$D:$DH,AU$1,0)),AT128-VLOOKUP($D128,'Visu totale'!$D:$DH,AU$1,0),IF(LEFT(VLOOKUP($D128,'Visu totale'!$D:$DH,AU$1,0),1)="V",IF(AT128&gt;=INDEX('[1]Définition Maintenances'!$G:$G,MATCH($A128,'[1]Définition Maintenances'!$K:$K,0)),AT128,INDEX('[1]Définition Maintenances'!$G:$G,MATCH($A128,'[1]Définition Maintenances'!$K:$K,0))+AT128),AT128))</f>
        <v>1200</v>
      </c>
      <c r="AV128" s="26">
        <f>IF(ISNUMBER(VLOOKUP($D128,'Visu totale'!$D:$DH,AV$1,0)),AU128-VLOOKUP($D128,'Visu totale'!$D:$DH,AV$1,0),IF(LEFT(VLOOKUP($D128,'Visu totale'!$D:$DH,AV$1,0),1)="V",IF(AU128&gt;=INDEX('[1]Définition Maintenances'!$G:$G,MATCH($A128,'[1]Définition Maintenances'!$K:$K,0)),AU128,INDEX('[1]Définition Maintenances'!$G:$G,MATCH($A128,'[1]Définition Maintenances'!$K:$K,0))+AU128),AU128))</f>
        <v>1200</v>
      </c>
      <c r="AW128" s="26">
        <f>IF(ISNUMBER(VLOOKUP($D128,'Visu totale'!$D:$DH,AW$1,0)),AV128-VLOOKUP($D128,'Visu totale'!$D:$DH,AW$1,0),IF(LEFT(VLOOKUP($D128,'Visu totale'!$D:$DH,AW$1,0),1)="V",IF(AV128&gt;=INDEX('[1]Définition Maintenances'!$G:$G,MATCH($A128,'[1]Définition Maintenances'!$K:$K,0)),AV128,INDEX('[1]Définition Maintenances'!$G:$G,MATCH($A128,'[1]Définition Maintenances'!$K:$K,0))+AV128),AV128))</f>
        <v>1200</v>
      </c>
      <c r="AX128" s="26">
        <f>IF(ISNUMBER(VLOOKUP($D128,'Visu totale'!$D:$DH,AX$1,0)),AW128-VLOOKUP($D128,'Visu totale'!$D:$DH,AX$1,0),IF(LEFT(VLOOKUP($D128,'Visu totale'!$D:$DH,AX$1,0),1)="V",IF(AW128&gt;=INDEX('[1]Définition Maintenances'!$G:$G,MATCH($A128,'[1]Définition Maintenances'!$K:$K,0)),AW128,INDEX('[1]Définition Maintenances'!$G:$G,MATCH($A128,'[1]Définition Maintenances'!$K:$K,0))+AW128),AW128))</f>
        <v>1200</v>
      </c>
      <c r="AY128" s="26">
        <f>IF(ISNUMBER(VLOOKUP($D128,'Visu totale'!$D:$DH,AY$1,0)),AX128-VLOOKUP($D128,'Visu totale'!$D:$DH,AY$1,0),IF(LEFT(VLOOKUP($D128,'Visu totale'!$D:$DH,AY$1,0),1)="V",IF(AX128&gt;=INDEX('[1]Définition Maintenances'!$G:$G,MATCH($A128,'[1]Définition Maintenances'!$K:$K,0)),AX128,INDEX('[1]Définition Maintenances'!$G:$G,MATCH($A128,'[1]Définition Maintenances'!$K:$K,0))+AX128),AX128))</f>
        <v>1200</v>
      </c>
      <c r="AZ128" s="26">
        <f>IF(ISNUMBER(VLOOKUP($D128,'Visu totale'!$D:$DH,AZ$1,0)),AY128-VLOOKUP($D128,'Visu totale'!$D:$DH,AZ$1,0),IF(LEFT(VLOOKUP($D128,'Visu totale'!$D:$DH,AZ$1,0),1)="V",IF(AY128&gt;=INDEX('[1]Définition Maintenances'!$G:$G,MATCH($A128,'[1]Définition Maintenances'!$K:$K,0)),AY128,INDEX('[1]Définition Maintenances'!$G:$G,MATCH($A128,'[1]Définition Maintenances'!$K:$K,0))+AY128),AY128))</f>
        <v>1200</v>
      </c>
      <c r="BA128" s="27">
        <f>IF(ISNUMBER(VLOOKUP($D128,'Visu totale'!$D:$DH,BA$1,0)),AZ128-VLOOKUP($D128,'Visu totale'!$D:$DH,BA$1,0),IF(LEFT(VLOOKUP($D128,'Visu totale'!$D:$DH,BA$1,0),1)="V",IF(AZ128&gt;=INDEX('[1]Définition Maintenances'!$G:$G,MATCH($A128,'[1]Définition Maintenances'!$K:$K,0)),AZ128,INDEX('[1]Définition Maintenances'!$G:$G,MATCH($A128,'[1]Définition Maintenances'!$K:$K,0))+AZ128),AZ128))</f>
        <v>1200</v>
      </c>
      <c r="BB128" s="25">
        <f>IF(ISNUMBER(VLOOKUP($D128,'Visu totale'!$D:$DH,BB$1,0)),BA128-VLOOKUP($D128,'Visu totale'!$D:$DH,BB$1,0),IF(LEFT(VLOOKUP($D128,'Visu totale'!$D:$DH,BB$1,0),1)="V",IF(BA128&gt;=INDEX('[1]Définition Maintenances'!$G:$G,MATCH($A128,'[1]Définition Maintenances'!$K:$K,0)),BA128,INDEX('[1]Définition Maintenances'!$G:$G,MATCH($A128,'[1]Définition Maintenances'!$K:$K,0))+BA128),BA128))</f>
        <v>1200</v>
      </c>
      <c r="BC128" s="26">
        <f>IF(ISNUMBER(VLOOKUP($D128,'Visu totale'!$D:$DH,BC$1,0)),BB128-VLOOKUP($D128,'Visu totale'!$D:$DH,BC$1,0),IF(LEFT(VLOOKUP($D128,'Visu totale'!$D:$DH,BC$1,0),1)="V",IF(BB128&gt;=INDEX('[1]Définition Maintenances'!$G:$G,MATCH($A128,'[1]Définition Maintenances'!$K:$K,0)),BB128,INDEX('[1]Définition Maintenances'!$G:$G,MATCH($A128,'[1]Définition Maintenances'!$K:$K,0))+BB128),BB128))</f>
        <v>1200</v>
      </c>
      <c r="BD128" s="26">
        <f>IF(ISNUMBER(VLOOKUP($D128,'Visu totale'!$D:$DH,BD$1,0)),BC128-VLOOKUP($D128,'Visu totale'!$D:$DH,BD$1,0),IF(LEFT(VLOOKUP($D128,'Visu totale'!$D:$DH,BD$1,0),1)="V",IF(BC128&gt;=INDEX('[1]Définition Maintenances'!$G:$G,MATCH($A128,'[1]Définition Maintenances'!$K:$K,0)),BC128,INDEX('[1]Définition Maintenances'!$G:$G,MATCH($A128,'[1]Définition Maintenances'!$K:$K,0))+BC128),BC128))</f>
        <v>1200</v>
      </c>
      <c r="BE128" s="26">
        <f>IF(ISNUMBER(VLOOKUP($D128,'Visu totale'!$D:$DH,BE$1,0)),BD128-VLOOKUP($D128,'Visu totale'!$D:$DH,BE$1,0),IF(LEFT(VLOOKUP($D128,'Visu totale'!$D:$DH,BE$1,0),1)="V",IF(BD128&gt;=INDEX('[1]Définition Maintenances'!$G:$G,MATCH($A128,'[1]Définition Maintenances'!$K:$K,0)),BD128,INDEX('[1]Définition Maintenances'!$G:$G,MATCH($A128,'[1]Définition Maintenances'!$K:$K,0))+BD128),BD128))</f>
        <v>1200</v>
      </c>
      <c r="BF128" s="26">
        <f>IF(ISNUMBER(VLOOKUP($D128,'Visu totale'!$D:$DH,BF$1,0)),BE128-VLOOKUP($D128,'Visu totale'!$D:$DH,BF$1,0),IF(LEFT(VLOOKUP($D128,'Visu totale'!$D:$DH,BF$1,0),1)="V",IF(BE128&gt;=INDEX('[1]Définition Maintenances'!$G:$G,MATCH($A128,'[1]Définition Maintenances'!$K:$K,0)),BE128,INDEX('[1]Définition Maintenances'!$G:$G,MATCH($A128,'[1]Définition Maintenances'!$K:$K,0))+BE128),BE128))</f>
        <v>1200</v>
      </c>
      <c r="BG128" s="26">
        <f>IF(ISNUMBER(VLOOKUP($D128,'Visu totale'!$D:$DH,BG$1,0)),BF128-VLOOKUP($D128,'Visu totale'!$D:$DH,BG$1,0),IF(LEFT(VLOOKUP($D128,'Visu totale'!$D:$DH,BG$1,0),1)="V",IF(BF128&gt;=INDEX('[1]Définition Maintenances'!$G:$G,MATCH($A128,'[1]Définition Maintenances'!$K:$K,0)),BF128,INDEX('[1]Définition Maintenances'!$G:$G,MATCH($A128,'[1]Définition Maintenances'!$K:$K,0))+BF128),BF128))</f>
        <v>1200</v>
      </c>
      <c r="BH128" s="26">
        <f>IF(ISNUMBER(VLOOKUP($D128,'Visu totale'!$D:$DH,BH$1,0)),BG128-VLOOKUP($D128,'Visu totale'!$D:$DH,BH$1,0),IF(LEFT(VLOOKUP($D128,'Visu totale'!$D:$DH,BH$1,0),1)="V",IF(BG128&gt;=INDEX('[1]Définition Maintenances'!$G:$G,MATCH($A128,'[1]Définition Maintenances'!$K:$K,0)),BG128,INDEX('[1]Définition Maintenances'!$G:$G,MATCH($A128,'[1]Définition Maintenances'!$K:$K,0))+BG128),BG128))</f>
        <v>1200</v>
      </c>
      <c r="BI128" s="26">
        <f>IF(ISNUMBER(VLOOKUP($D128,'Visu totale'!$D:$DH,BI$1,0)),BH128-VLOOKUP($D128,'Visu totale'!$D:$DH,BI$1,0),IF(LEFT(VLOOKUP($D128,'Visu totale'!$D:$DH,BI$1,0),1)="V",IF(BH128&gt;=INDEX('[1]Définition Maintenances'!$G:$G,MATCH($A128,'[1]Définition Maintenances'!$K:$K,0)),BH128,INDEX('[1]Définition Maintenances'!$G:$G,MATCH($A128,'[1]Définition Maintenances'!$K:$K,0))+BH128),BH128))</f>
        <v>1200</v>
      </c>
      <c r="BJ128" s="26">
        <f>IF(ISNUMBER(VLOOKUP($D128,'Visu totale'!$D:$DH,BJ$1,0)),BI128-VLOOKUP($D128,'Visu totale'!$D:$DH,BJ$1,0),IF(LEFT(VLOOKUP($D128,'Visu totale'!$D:$DH,BJ$1,0),1)="V",IF(BI128&gt;=INDEX('[1]Définition Maintenances'!$G:$G,MATCH($A128,'[1]Définition Maintenances'!$K:$K,0)),BI128,INDEX('[1]Définition Maintenances'!$G:$G,MATCH($A128,'[1]Définition Maintenances'!$K:$K,0))+BI128),BI128))</f>
        <v>1200</v>
      </c>
      <c r="BK128" s="26">
        <f>IF(ISNUMBER(VLOOKUP($D128,'Visu totale'!$D:$DH,BK$1,0)),BJ128-VLOOKUP($D128,'Visu totale'!$D:$DH,BK$1,0),IF(LEFT(VLOOKUP($D128,'Visu totale'!$D:$DH,BK$1,0),1)="V",IF(BJ128&gt;=INDEX('[1]Définition Maintenances'!$G:$G,MATCH($A128,'[1]Définition Maintenances'!$K:$K,0)),BJ128,INDEX('[1]Définition Maintenances'!$G:$G,MATCH($A128,'[1]Définition Maintenances'!$K:$K,0))+BJ128),BJ128))</f>
        <v>1200</v>
      </c>
      <c r="BL128" s="26">
        <f>IF(ISNUMBER(VLOOKUP($D128,'Visu totale'!$D:$DH,BL$1,0)),BK128-VLOOKUP($D128,'Visu totale'!$D:$DH,BL$1,0),IF(LEFT(VLOOKUP($D128,'Visu totale'!$D:$DH,BL$1,0),1)="V",IF(BK128&gt;=INDEX('[1]Définition Maintenances'!$G:$G,MATCH($A128,'[1]Définition Maintenances'!$K:$K,0)),BK128,INDEX('[1]Définition Maintenances'!$G:$G,MATCH($A128,'[1]Définition Maintenances'!$K:$K,0))+BK128),BK128))</f>
        <v>1200</v>
      </c>
      <c r="BM128" s="27">
        <f>IF(ISNUMBER(VLOOKUP($D128,'Visu totale'!$D:$DH,BM$1,0)),BL128-VLOOKUP($D128,'Visu totale'!$D:$DH,BM$1,0),IF(LEFT(VLOOKUP($D128,'Visu totale'!$D:$DH,BM$1,0),1)="V",IF(BL128&gt;=INDEX('[1]Définition Maintenances'!$G:$G,MATCH($A128,'[1]Définition Maintenances'!$K:$K,0)),BL128,INDEX('[1]Définition Maintenances'!$G:$G,MATCH($A128,'[1]Définition Maintenances'!$K:$K,0))+BL128),BL128))</f>
        <v>1200</v>
      </c>
      <c r="BN128" s="25">
        <f>IF(ISNUMBER(VLOOKUP($D128,'Visu totale'!$D:$DH,BN$1,0)),BM128-VLOOKUP($D128,'Visu totale'!$D:$DH,BN$1,0),IF(LEFT(VLOOKUP($D128,'Visu totale'!$D:$DH,BN$1,0),1)="V",IF(BM128&gt;=INDEX('[1]Définition Maintenances'!$G:$G,MATCH($A128,'[1]Définition Maintenances'!$K:$K,0)),BM128,INDEX('[1]Définition Maintenances'!$G:$G,MATCH($A128,'[1]Définition Maintenances'!$K:$K,0))+BM128),BM128))</f>
        <v>1200</v>
      </c>
      <c r="BO128" s="26">
        <f>IF(ISNUMBER(VLOOKUP($D128,'Visu totale'!$D:$DH,BO$1,0)),BN128-VLOOKUP($D128,'Visu totale'!$D:$DH,BO$1,0),IF(LEFT(VLOOKUP($D128,'Visu totale'!$D:$DH,BO$1,0),1)="V",IF(BN128&gt;=INDEX('[1]Définition Maintenances'!$G:$G,MATCH($A128,'[1]Définition Maintenances'!$K:$K,0)),BN128,INDEX('[1]Définition Maintenances'!$G:$G,MATCH($A128,'[1]Définition Maintenances'!$K:$K,0))+BN128),BN128))</f>
        <v>1200</v>
      </c>
      <c r="BP128" s="26">
        <f>IF(ISNUMBER(VLOOKUP($D128,'Visu totale'!$D:$DH,BP$1,0)),BO128-VLOOKUP($D128,'Visu totale'!$D:$DH,BP$1,0),IF(LEFT(VLOOKUP($D128,'Visu totale'!$D:$DH,BP$1,0),1)="V",IF(BO128&gt;=INDEX('[1]Définition Maintenances'!$G:$G,MATCH($A128,'[1]Définition Maintenances'!$K:$K,0)),BO128,INDEX('[1]Définition Maintenances'!$G:$G,MATCH($A128,'[1]Définition Maintenances'!$K:$K,0))+BO128),BO128))</f>
        <v>1200</v>
      </c>
      <c r="BQ128" s="26">
        <f>IF(ISNUMBER(VLOOKUP($D128,'Visu totale'!$D:$DH,BQ$1,0)),BP128-VLOOKUP($D128,'Visu totale'!$D:$DH,BQ$1,0),IF(LEFT(VLOOKUP($D128,'Visu totale'!$D:$DH,BQ$1,0),1)="V",IF(BP128&gt;=INDEX('[1]Définition Maintenances'!$G:$G,MATCH($A128,'[1]Définition Maintenances'!$K:$K,0)),BP128,INDEX('[1]Définition Maintenances'!$G:$G,MATCH($A128,'[1]Définition Maintenances'!$K:$K,0))+BP128),BP128))</f>
        <v>1200</v>
      </c>
      <c r="BR128" s="26">
        <f>IF(ISNUMBER(VLOOKUP($D128,'Visu totale'!$D:$DH,BR$1,0)),BQ128-VLOOKUP($D128,'Visu totale'!$D:$DH,BR$1,0),IF(LEFT(VLOOKUP($D128,'Visu totale'!$D:$DH,BR$1,0),1)="V",IF(BQ128&gt;=INDEX('[1]Définition Maintenances'!$G:$G,MATCH($A128,'[1]Définition Maintenances'!$K:$K,0)),BQ128,INDEX('[1]Définition Maintenances'!$G:$G,MATCH($A128,'[1]Définition Maintenances'!$K:$K,0))+BQ128),BQ128))</f>
        <v>1200</v>
      </c>
      <c r="BS128" s="26">
        <f>IF(ISNUMBER(VLOOKUP($D128,'Visu totale'!$D:$DH,BS$1,0)),BR128-VLOOKUP($D128,'Visu totale'!$D:$DH,BS$1,0),IF(LEFT(VLOOKUP($D128,'Visu totale'!$D:$DH,BS$1,0),1)="V",IF(BR128&gt;=INDEX('[1]Définition Maintenances'!$G:$G,MATCH($A128,'[1]Définition Maintenances'!$K:$K,0)),BR128,INDEX('[1]Définition Maintenances'!$G:$G,MATCH($A128,'[1]Définition Maintenances'!$K:$K,0))+BR128),BR128))</f>
        <v>1200</v>
      </c>
      <c r="BT128" s="26">
        <f>IF(ISNUMBER(VLOOKUP($D128,'Visu totale'!$D:$DH,BT$1,0)),BS128-VLOOKUP($D128,'Visu totale'!$D:$DH,BT$1,0),IF(LEFT(VLOOKUP($D128,'Visu totale'!$D:$DH,BT$1,0),1)="V",IF(BS128&gt;=INDEX('[1]Définition Maintenances'!$G:$G,MATCH($A128,'[1]Définition Maintenances'!$K:$K,0)),BS128,INDEX('[1]Définition Maintenances'!$G:$G,MATCH($A128,'[1]Définition Maintenances'!$K:$K,0))+BS128),BS128))</f>
        <v>1200</v>
      </c>
      <c r="BU128" s="26">
        <f>IF(ISNUMBER(VLOOKUP($D128,'Visu totale'!$D:$DH,BU$1,0)),BT128-VLOOKUP($D128,'Visu totale'!$D:$DH,BU$1,0),IF(LEFT(VLOOKUP($D128,'Visu totale'!$D:$DH,BU$1,0),1)="V",IF(BT128&gt;=INDEX('[1]Définition Maintenances'!$G:$G,MATCH($A128,'[1]Définition Maintenances'!$K:$K,0)),BT128,INDEX('[1]Définition Maintenances'!$G:$G,MATCH($A128,'[1]Définition Maintenances'!$K:$K,0))+BT128),BT128))</f>
        <v>1200</v>
      </c>
      <c r="BV128" s="26">
        <f>IF(ISNUMBER(VLOOKUP($D128,'Visu totale'!$D:$DH,BV$1,0)),BU128-VLOOKUP($D128,'Visu totale'!$D:$DH,BV$1,0),IF(LEFT(VLOOKUP($D128,'Visu totale'!$D:$DH,BV$1,0),1)="V",IF(BU128&gt;=INDEX('[1]Définition Maintenances'!$G:$G,MATCH($A128,'[1]Définition Maintenances'!$K:$K,0)),BU128,INDEX('[1]Définition Maintenances'!$G:$G,MATCH($A128,'[1]Définition Maintenances'!$K:$K,0))+BU128),BU128))</f>
        <v>1200</v>
      </c>
      <c r="BW128" s="26">
        <f>IF(ISNUMBER(VLOOKUP($D128,'Visu totale'!$D:$DH,BW$1,0)),BV128-VLOOKUP($D128,'Visu totale'!$D:$DH,BW$1,0),IF(LEFT(VLOOKUP($D128,'Visu totale'!$D:$DH,BW$1,0),1)="V",IF(BV128&gt;=INDEX('[1]Définition Maintenances'!$G:$G,MATCH($A128,'[1]Définition Maintenances'!$K:$K,0)),BV128,INDEX('[1]Définition Maintenances'!$G:$G,MATCH($A128,'[1]Définition Maintenances'!$K:$K,0))+BV128),BV128))</f>
        <v>1200</v>
      </c>
      <c r="BX128" s="26">
        <f>IF(ISNUMBER(VLOOKUP($D128,'Visu totale'!$D:$DH,BX$1,0)),BW128-VLOOKUP($D128,'Visu totale'!$D:$DH,BX$1,0),IF(LEFT(VLOOKUP($D128,'Visu totale'!$D:$DH,BX$1,0),1)="V",IF(BW128&gt;=INDEX('[1]Définition Maintenances'!$G:$G,MATCH($A128,'[1]Définition Maintenances'!$K:$K,0)),BW128,INDEX('[1]Définition Maintenances'!$G:$G,MATCH($A128,'[1]Définition Maintenances'!$K:$K,0))+BW128),BW128))</f>
        <v>1200</v>
      </c>
      <c r="BY128" s="27">
        <f>IF(ISNUMBER(VLOOKUP($D128,'Visu totale'!$D:$DH,BY$1,0)),BX128-VLOOKUP($D128,'Visu totale'!$D:$DH,BY$1,0),IF(LEFT(VLOOKUP($D128,'Visu totale'!$D:$DH,BY$1,0),1)="V",IF(BX128&gt;=INDEX('[1]Définition Maintenances'!$G:$G,MATCH($A128,'[1]Définition Maintenances'!$K:$K,0)),BX128,INDEX('[1]Définition Maintenances'!$G:$G,MATCH($A128,'[1]Définition Maintenances'!$K:$K,0))+BX128),BX128))</f>
        <v>1200</v>
      </c>
      <c r="BZ128" s="25">
        <f>IF(ISNUMBER(VLOOKUP($D128,'Visu totale'!$D:$DH,BZ$1,0)),BY128-VLOOKUP($D128,'Visu totale'!$D:$DH,BZ$1,0),IF(LEFT(VLOOKUP($D128,'Visu totale'!$D:$DH,BZ$1,0),1)="V",IF(BY128&gt;=INDEX('[1]Définition Maintenances'!$G:$G,MATCH($A128,'[1]Définition Maintenances'!$K:$K,0)),BY128,INDEX('[1]Définition Maintenances'!$G:$G,MATCH($A128,'[1]Définition Maintenances'!$K:$K,0))+BY128),BY128))</f>
        <v>1200</v>
      </c>
      <c r="CA128" s="26">
        <f>IF(ISNUMBER(VLOOKUP($D128,'Visu totale'!$D:$DH,CA$1,0)),BZ128-VLOOKUP($D128,'Visu totale'!$D:$DH,CA$1,0),IF(LEFT(VLOOKUP($D128,'Visu totale'!$D:$DH,CA$1,0),1)="V",IF(BZ128&gt;=INDEX('[1]Définition Maintenances'!$G:$G,MATCH($A128,'[1]Définition Maintenances'!$K:$K,0)),BZ128,INDEX('[1]Définition Maintenances'!$G:$G,MATCH($A128,'[1]Définition Maintenances'!$K:$K,0))+BZ128),BZ128))</f>
        <v>1200</v>
      </c>
      <c r="CB128" s="26">
        <f>IF(ISNUMBER(VLOOKUP($D128,'Visu totale'!$D:$DH,CB$1,0)),CA128-VLOOKUP($D128,'Visu totale'!$D:$DH,CB$1,0),IF(LEFT(VLOOKUP($D128,'Visu totale'!$D:$DH,CB$1,0),1)="V",IF(CA128&gt;=INDEX('[1]Définition Maintenances'!$G:$G,MATCH($A128,'[1]Définition Maintenances'!$K:$K,0)),CA128,INDEX('[1]Définition Maintenances'!$G:$G,MATCH($A128,'[1]Définition Maintenances'!$K:$K,0))+CA128),CA128))</f>
        <v>1200</v>
      </c>
      <c r="CC128" s="26">
        <f>IF(ISNUMBER(VLOOKUP($D128,'Visu totale'!$D:$DH,CC$1,0)),CB128-VLOOKUP($D128,'Visu totale'!$D:$DH,CC$1,0),IF(LEFT(VLOOKUP($D128,'Visu totale'!$D:$DH,CC$1,0),1)="V",IF(CB128&gt;=INDEX('[1]Définition Maintenances'!$G:$G,MATCH($A128,'[1]Définition Maintenances'!$K:$K,0)),CB128,INDEX('[1]Définition Maintenances'!$G:$G,MATCH($A128,'[1]Définition Maintenances'!$K:$K,0))+CB128),CB128))</f>
        <v>1200</v>
      </c>
      <c r="CD128" s="26">
        <f>IF(ISNUMBER(VLOOKUP($D128,'Visu totale'!$D:$DH,CD$1,0)),CC128-VLOOKUP($D128,'Visu totale'!$D:$DH,CD$1,0),IF(LEFT(VLOOKUP($D128,'Visu totale'!$D:$DH,CD$1,0),1)="V",IF(CC128&gt;=INDEX('[1]Définition Maintenances'!$G:$G,MATCH($A128,'[1]Définition Maintenances'!$K:$K,0)),CC128,INDEX('[1]Définition Maintenances'!$G:$G,MATCH($A128,'[1]Définition Maintenances'!$K:$K,0))+CC128),CC128))</f>
        <v>1200</v>
      </c>
      <c r="CE128" s="26">
        <f>IF(ISNUMBER(VLOOKUP($D128,'Visu totale'!$D:$DH,CE$1,0)),CD128-VLOOKUP($D128,'Visu totale'!$D:$DH,CE$1,0),IF(LEFT(VLOOKUP($D128,'Visu totale'!$D:$DH,CE$1,0),1)="V",IF(CD128&gt;=INDEX('[1]Définition Maintenances'!$G:$G,MATCH($A128,'[1]Définition Maintenances'!$K:$K,0)),CD128,INDEX('[1]Définition Maintenances'!$G:$G,MATCH($A128,'[1]Définition Maintenances'!$K:$K,0))+CD128),CD128))</f>
        <v>1200</v>
      </c>
      <c r="CF128" s="26">
        <f>IF(ISNUMBER(VLOOKUP($D128,'Visu totale'!$D:$DH,CF$1,0)),CE128-VLOOKUP($D128,'Visu totale'!$D:$DH,CF$1,0),IF(LEFT(VLOOKUP($D128,'Visu totale'!$D:$DH,CF$1,0),1)="V",IF(CE128&gt;=INDEX('[1]Définition Maintenances'!$G:$G,MATCH($A128,'[1]Définition Maintenances'!$K:$K,0)),CE128,INDEX('[1]Définition Maintenances'!$G:$G,MATCH($A128,'[1]Définition Maintenances'!$K:$K,0))+CE128),CE128))</f>
        <v>1200</v>
      </c>
      <c r="CG128" s="26">
        <f>IF(ISNUMBER(VLOOKUP($D128,'Visu totale'!$D:$DH,CG$1,0)),CF128-VLOOKUP($D128,'Visu totale'!$D:$DH,CG$1,0),IF(LEFT(VLOOKUP($D128,'Visu totale'!$D:$DH,CG$1,0),1)="V",IF(CF128&gt;=INDEX('[1]Définition Maintenances'!$G:$G,MATCH($A128,'[1]Définition Maintenances'!$K:$K,0)),CF128,INDEX('[1]Définition Maintenances'!$G:$G,MATCH($A128,'[1]Définition Maintenances'!$K:$K,0))+CF128),CF128))</f>
        <v>1200</v>
      </c>
      <c r="CH128" s="26">
        <f>IF(ISNUMBER(VLOOKUP($D128,'Visu totale'!$D:$DH,CH$1,0)),CG128-VLOOKUP($D128,'Visu totale'!$D:$DH,CH$1,0),IF(LEFT(VLOOKUP($D128,'Visu totale'!$D:$DH,CH$1,0),1)="V",IF(CG128&gt;=INDEX('[1]Définition Maintenances'!$G:$G,MATCH($A128,'[1]Définition Maintenances'!$K:$K,0)),CG128,INDEX('[1]Définition Maintenances'!$G:$G,MATCH($A128,'[1]Définition Maintenances'!$K:$K,0))+CG128),CG128))</f>
        <v>1200</v>
      </c>
      <c r="CI128" s="26">
        <f>IF(ISNUMBER(VLOOKUP($D128,'Visu totale'!$D:$DH,CI$1,0)),CH128-VLOOKUP($D128,'Visu totale'!$D:$DH,CI$1,0),IF(LEFT(VLOOKUP($D128,'Visu totale'!$D:$DH,CI$1,0),1)="V",IF(CH128&gt;=INDEX('[1]Définition Maintenances'!$G:$G,MATCH($A128,'[1]Définition Maintenances'!$K:$K,0)),CH128,INDEX('[1]Définition Maintenances'!$G:$G,MATCH($A128,'[1]Définition Maintenances'!$K:$K,0))+CH128),CH128))</f>
        <v>1200</v>
      </c>
      <c r="CJ128" s="26">
        <f>IF(ISNUMBER(VLOOKUP($D128,'Visu totale'!$D:$DH,CJ$1,0)),CI128-VLOOKUP($D128,'Visu totale'!$D:$DH,CJ$1,0),IF(LEFT(VLOOKUP($D128,'Visu totale'!$D:$DH,CJ$1,0),1)="V",IF(CI128&gt;=INDEX('[1]Définition Maintenances'!$G:$G,MATCH($A128,'[1]Définition Maintenances'!$K:$K,0)),CI128,INDEX('[1]Définition Maintenances'!$G:$G,MATCH($A128,'[1]Définition Maintenances'!$K:$K,0))+CI128),CI128))</f>
        <v>1200</v>
      </c>
      <c r="CK128" s="27">
        <f>IF(ISNUMBER(VLOOKUP($D128,'Visu totale'!$D:$DH,CK$1,0)),CJ128-VLOOKUP($D128,'Visu totale'!$D:$DH,CK$1,0),IF(LEFT(VLOOKUP($D128,'Visu totale'!$D:$DH,CK$1,0),1)="V",IF(CJ128&gt;=INDEX('[1]Définition Maintenances'!$G:$G,MATCH($A128,'[1]Définition Maintenances'!$K:$K,0)),CJ128,INDEX('[1]Définition Maintenances'!$G:$G,MATCH($A128,'[1]Définition Maintenances'!$K:$K,0))+CJ128),CJ128))</f>
        <v>1200</v>
      </c>
      <c r="CL128" s="25">
        <f>IF(ISNUMBER(VLOOKUP($D128,'Visu totale'!$D:$DH,CL$1,0)),CK128-VLOOKUP($D128,'Visu totale'!$D:$DH,CL$1,0),IF(LEFT(VLOOKUP($D128,'Visu totale'!$D:$DH,CL$1,0),1)="V",IF(CK128&gt;=INDEX('[1]Définition Maintenances'!$G:$G,MATCH($A128,'[1]Définition Maintenances'!$K:$K,0)),CK128,INDEX('[1]Définition Maintenances'!$G:$G,MATCH($A128,'[1]Définition Maintenances'!$K:$K,0))+CK128),CK128))</f>
        <v>1200</v>
      </c>
      <c r="CM128" s="26">
        <f>IF(ISNUMBER(VLOOKUP($D128,'Visu totale'!$D:$DH,CM$1,0)),CL128-VLOOKUP($D128,'Visu totale'!$D:$DH,CM$1,0),IF(LEFT(VLOOKUP($D128,'Visu totale'!$D:$DH,CM$1,0),1)="V",IF(CL128&gt;=INDEX('[1]Définition Maintenances'!$G:$G,MATCH($A128,'[1]Définition Maintenances'!$K:$K,0)),CL128,INDEX('[1]Définition Maintenances'!$G:$G,MATCH($A128,'[1]Définition Maintenances'!$K:$K,0))+CL128),CL128))</f>
        <v>1200</v>
      </c>
      <c r="CN128" s="26">
        <f>IF(ISNUMBER(VLOOKUP($D128,'Visu totale'!$D:$DH,CN$1,0)),CM128-VLOOKUP($D128,'Visu totale'!$D:$DH,CN$1,0),IF(LEFT(VLOOKUP($D128,'Visu totale'!$D:$DH,CN$1,0),1)="V",IF(CM128&gt;=INDEX('[1]Définition Maintenances'!$G:$G,MATCH($A128,'[1]Définition Maintenances'!$K:$K,0)),CM128,INDEX('[1]Définition Maintenances'!$G:$G,MATCH($A128,'[1]Définition Maintenances'!$K:$K,0))+CM128),CM128))</f>
        <v>1200</v>
      </c>
      <c r="CO128" s="26">
        <f>IF(ISNUMBER(VLOOKUP($D128,'Visu totale'!$D:$DH,CO$1,0)),CN128-VLOOKUP($D128,'Visu totale'!$D:$DH,CO$1,0),IF(LEFT(VLOOKUP($D128,'Visu totale'!$D:$DH,CO$1,0),1)="V",IF(CN128&gt;=INDEX('[1]Définition Maintenances'!$G:$G,MATCH($A128,'[1]Définition Maintenances'!$K:$K,0)),CN128,INDEX('[1]Définition Maintenances'!$G:$G,MATCH($A128,'[1]Définition Maintenances'!$K:$K,0))+CN128),CN128))</f>
        <v>1200</v>
      </c>
      <c r="CP128" s="26">
        <f>IF(ISNUMBER(VLOOKUP($D128,'Visu totale'!$D:$DH,CP$1,0)),CO128-VLOOKUP($D128,'Visu totale'!$D:$DH,CP$1,0),IF(LEFT(VLOOKUP($D128,'Visu totale'!$D:$DH,CP$1,0),1)="V",IF(CO128&gt;=INDEX('[1]Définition Maintenances'!$G:$G,MATCH($A128,'[1]Définition Maintenances'!$K:$K,0)),CO128,INDEX('[1]Définition Maintenances'!$G:$G,MATCH($A128,'[1]Définition Maintenances'!$K:$K,0))+CO128),CO128))</f>
        <v>1200</v>
      </c>
      <c r="CQ128" s="26">
        <f>IF(ISNUMBER(VLOOKUP($D128,'Visu totale'!$D:$DH,CQ$1,0)),CP128-VLOOKUP($D128,'Visu totale'!$D:$DH,CQ$1,0),IF(LEFT(VLOOKUP($D128,'Visu totale'!$D:$DH,CQ$1,0),1)="V",IF(CP128&gt;=INDEX('[1]Définition Maintenances'!$G:$G,MATCH($A128,'[1]Définition Maintenances'!$K:$K,0)),CP128,INDEX('[1]Définition Maintenances'!$G:$G,MATCH($A128,'[1]Définition Maintenances'!$K:$K,0))+CP128),CP128))</f>
        <v>1200</v>
      </c>
      <c r="CR128" s="26">
        <f>IF(ISNUMBER(VLOOKUP($D128,'Visu totale'!$D:$DH,CR$1,0)),CQ128-VLOOKUP($D128,'Visu totale'!$D:$DH,CR$1,0),IF(LEFT(VLOOKUP($D128,'Visu totale'!$D:$DH,CR$1,0),1)="V",IF(CQ128&gt;=INDEX('[1]Définition Maintenances'!$G:$G,MATCH($A128,'[1]Définition Maintenances'!$K:$K,0)),CQ128,INDEX('[1]Définition Maintenances'!$G:$G,MATCH($A128,'[1]Définition Maintenances'!$K:$K,0))+CQ128),CQ128))</f>
        <v>1200</v>
      </c>
      <c r="CS128" s="26">
        <f>IF(ISNUMBER(VLOOKUP($D128,'Visu totale'!$D:$DH,CS$1,0)),CR128-VLOOKUP($D128,'Visu totale'!$D:$DH,CS$1,0),IF(LEFT(VLOOKUP($D128,'Visu totale'!$D:$DH,CS$1,0),1)="V",IF(CR128&gt;=INDEX('[1]Définition Maintenances'!$G:$G,MATCH($A128,'[1]Définition Maintenances'!$K:$K,0)),CR128,INDEX('[1]Définition Maintenances'!$G:$G,MATCH($A128,'[1]Définition Maintenances'!$K:$K,0))+CR128),CR128))</f>
        <v>1200</v>
      </c>
      <c r="CT128" s="26">
        <f>IF(ISNUMBER(VLOOKUP($D128,'Visu totale'!$D:$DH,CT$1,0)),CS128-VLOOKUP($D128,'Visu totale'!$D:$DH,CT$1,0),IF(LEFT(VLOOKUP($D128,'Visu totale'!$D:$DH,CT$1,0),1)="V",IF(CS128&gt;=INDEX('[1]Définition Maintenances'!$G:$G,MATCH($A128,'[1]Définition Maintenances'!$K:$K,0)),CS128,INDEX('[1]Définition Maintenances'!$G:$G,MATCH($A128,'[1]Définition Maintenances'!$K:$K,0))+CS128),CS128))</f>
        <v>1200</v>
      </c>
      <c r="CU128" s="26">
        <f>IF(ISNUMBER(VLOOKUP($D128,'Visu totale'!$D:$DH,CU$1,0)),CT128-VLOOKUP($D128,'Visu totale'!$D:$DH,CU$1,0),IF(LEFT(VLOOKUP($D128,'Visu totale'!$D:$DH,CU$1,0),1)="V",IF(CT128&gt;=INDEX('[1]Définition Maintenances'!$G:$G,MATCH($A128,'[1]Définition Maintenances'!$K:$K,0)),CT128,INDEX('[1]Définition Maintenances'!$G:$G,MATCH($A128,'[1]Définition Maintenances'!$K:$K,0))+CT128),CT128))</f>
        <v>1200</v>
      </c>
      <c r="CV128" s="26">
        <f>IF(ISNUMBER(VLOOKUP($D128,'Visu totale'!$D:$DH,CV$1,0)),CU128-VLOOKUP($D128,'Visu totale'!$D:$DH,CV$1,0),IF(LEFT(VLOOKUP($D128,'Visu totale'!$D:$DH,CV$1,0),1)="V",IF(CU128&gt;=INDEX('[1]Définition Maintenances'!$G:$G,MATCH($A128,'[1]Définition Maintenances'!$K:$K,0)),CU128,INDEX('[1]Définition Maintenances'!$G:$G,MATCH($A128,'[1]Définition Maintenances'!$K:$K,0))+CU128),CU128))</f>
        <v>1200</v>
      </c>
      <c r="CW128" s="27">
        <f>IF(ISNUMBER(VLOOKUP($D128,'Visu totale'!$D:$DH,CW$1,0)),CV128-VLOOKUP($D128,'Visu totale'!$D:$DH,CW$1,0),IF(LEFT(VLOOKUP($D128,'Visu totale'!$D:$DH,CW$1,0),1)="V",IF(CV128&gt;=INDEX('[1]Définition Maintenances'!$G:$G,MATCH($A128,'[1]Définition Maintenances'!$K:$K,0)),CV128,INDEX('[1]Définition Maintenances'!$G:$G,MATCH($A128,'[1]Définition Maintenances'!$K:$K,0))+CV128),CV128))</f>
        <v>1200</v>
      </c>
      <c r="CX128" s="25">
        <f>IF(ISNUMBER(VLOOKUP($D128,'Visu totale'!$D:$DH,CX$1,0)),CW128-VLOOKUP($D128,'Visu totale'!$D:$DH,CX$1,0),IF(LEFT(VLOOKUP($D128,'Visu totale'!$D:$DH,CX$1,0),1)="V",IF(CW128&gt;=INDEX('[1]Définition Maintenances'!$G:$G,MATCH($A128,'[1]Définition Maintenances'!$K:$K,0)),CW128,INDEX('[1]Définition Maintenances'!$G:$G,MATCH($A128,'[1]Définition Maintenances'!$K:$K,0))+CW128),CW128))</f>
        <v>1200</v>
      </c>
      <c r="CY128" s="26">
        <f>IF(ISNUMBER(VLOOKUP($D128,'Visu totale'!$D:$DH,CY$1,0)),CX128-VLOOKUP($D128,'Visu totale'!$D:$DH,CY$1,0),IF(LEFT(VLOOKUP($D128,'Visu totale'!$D:$DH,CY$1,0),1)="V",IF(CX128&gt;=INDEX('[1]Définition Maintenances'!$G:$G,MATCH($A128,'[1]Définition Maintenances'!$K:$K,0)),CX128,INDEX('[1]Définition Maintenances'!$G:$G,MATCH($A128,'[1]Définition Maintenances'!$K:$K,0))+CX128),CX128))</f>
        <v>1200</v>
      </c>
      <c r="CZ128" s="26">
        <f>IF(ISNUMBER(VLOOKUP($D128,'Visu totale'!$D:$DH,CZ$1,0)),CY128-VLOOKUP($D128,'Visu totale'!$D:$DH,CZ$1,0),IF(LEFT(VLOOKUP($D128,'Visu totale'!$D:$DH,CZ$1,0),1)="V",IF(CY128&gt;=INDEX('[1]Définition Maintenances'!$G:$G,MATCH($A128,'[1]Définition Maintenances'!$K:$K,0)),CY128,INDEX('[1]Définition Maintenances'!$G:$G,MATCH($A128,'[1]Définition Maintenances'!$K:$K,0))+CY128),CY128))</f>
        <v>1200</v>
      </c>
      <c r="DA128" s="26">
        <f>IF(ISNUMBER(VLOOKUP($D128,'Visu totale'!$D:$DH,DA$1,0)),CZ128-VLOOKUP($D128,'Visu totale'!$D:$DH,DA$1,0),IF(LEFT(VLOOKUP($D128,'Visu totale'!$D:$DH,DA$1,0),1)="V",IF(CZ128&gt;=INDEX('[1]Définition Maintenances'!$G:$G,MATCH($A128,'[1]Définition Maintenances'!$K:$K,0)),CZ128,INDEX('[1]Définition Maintenances'!$G:$G,MATCH($A128,'[1]Définition Maintenances'!$K:$K,0))+CZ128),CZ128))</f>
        <v>1200</v>
      </c>
      <c r="DB128" s="26">
        <f>IF(ISNUMBER(VLOOKUP($D128,'Visu totale'!$D:$DH,DB$1,0)),DA128-VLOOKUP($D128,'Visu totale'!$D:$DH,DB$1,0),IF(LEFT(VLOOKUP($D128,'Visu totale'!$D:$DH,DB$1,0),1)="V",IF(DA128&gt;=INDEX('[1]Définition Maintenances'!$G:$G,MATCH($A128,'[1]Définition Maintenances'!$K:$K,0)),DA128,INDEX('[1]Définition Maintenances'!$G:$G,MATCH($A128,'[1]Définition Maintenances'!$K:$K,0))+DA128),DA128))</f>
        <v>1200</v>
      </c>
      <c r="DC128" s="26">
        <f>IF(ISNUMBER(VLOOKUP($D128,'Visu totale'!$D:$DH,DC$1,0)),DB128-VLOOKUP($D128,'Visu totale'!$D:$DH,DC$1,0),IF(LEFT(VLOOKUP($D128,'Visu totale'!$D:$DH,DC$1,0),1)="V",IF(DB128&gt;=INDEX('[1]Définition Maintenances'!$G:$G,MATCH($A128,'[1]Définition Maintenances'!$K:$K,0)),DB128,INDEX('[1]Définition Maintenances'!$G:$G,MATCH($A128,'[1]Définition Maintenances'!$K:$K,0))+DB128),DB128))</f>
        <v>1200</v>
      </c>
      <c r="DD128" s="26">
        <f>IF(ISNUMBER(VLOOKUP($D128,'Visu totale'!$D:$DH,DD$1,0)),DC128-VLOOKUP($D128,'Visu totale'!$D:$DH,DD$1,0),IF(LEFT(VLOOKUP($D128,'Visu totale'!$D:$DH,DD$1,0),1)="V",IF(DC128&gt;=INDEX('[1]Définition Maintenances'!$G:$G,MATCH($A128,'[1]Définition Maintenances'!$K:$K,0)),DC128,INDEX('[1]Définition Maintenances'!$G:$G,MATCH($A128,'[1]Définition Maintenances'!$K:$K,0))+DC128),DC128))</f>
        <v>1200</v>
      </c>
      <c r="DE128" s="26">
        <f>IF(ISNUMBER(VLOOKUP($D128,'Visu totale'!$D:$DH,DE$1,0)),DD128-VLOOKUP($D128,'Visu totale'!$D:$DH,DE$1,0),IF(LEFT(VLOOKUP($D128,'Visu totale'!$D:$DH,DE$1,0),1)="V",IF(DD128&gt;=INDEX('[1]Définition Maintenances'!$G:$G,MATCH($A128,'[1]Définition Maintenances'!$K:$K,0)),DD128,INDEX('[1]Définition Maintenances'!$G:$G,MATCH($A128,'[1]Définition Maintenances'!$K:$K,0))+DD128),DD128))</f>
        <v>1200</v>
      </c>
      <c r="DF128" s="26">
        <f>IF(ISNUMBER(VLOOKUP($D128,'Visu totale'!$D:$DH,DF$1,0)),DE128-VLOOKUP($D128,'Visu totale'!$D:$DH,DF$1,0),IF(LEFT(VLOOKUP($D128,'Visu totale'!$D:$DH,DF$1,0),1)="V",IF(DE128&gt;=INDEX('[1]Définition Maintenances'!$G:$G,MATCH($A128,'[1]Définition Maintenances'!$K:$K,0)),DE128,INDEX('[1]Définition Maintenances'!$G:$G,MATCH($A128,'[1]Définition Maintenances'!$K:$K,0))+DE128),DE128))</f>
        <v>1200</v>
      </c>
      <c r="DG128" s="26">
        <f>IF(ISNUMBER(VLOOKUP($D128,'Visu totale'!$D:$DH,DG$1,0)),DF128-VLOOKUP($D128,'Visu totale'!$D:$DH,DG$1,0),IF(LEFT(VLOOKUP($D128,'Visu totale'!$D:$DH,DG$1,0),1)="V",IF(DF128&gt;=INDEX('[1]Définition Maintenances'!$G:$G,MATCH($A128,'[1]Définition Maintenances'!$K:$K,0)),DF128,INDEX('[1]Définition Maintenances'!$G:$G,MATCH($A128,'[1]Définition Maintenances'!$K:$K,0))+DF128),DF128))</f>
        <v>1200</v>
      </c>
      <c r="DH128" s="26">
        <f>IF(ISNUMBER(VLOOKUP($D128,'Visu totale'!$D:$DH,DH$1,0)),DG128-VLOOKUP($D128,'Visu totale'!$D:$DH,DH$1,0),IF(LEFT(VLOOKUP($D128,'Visu totale'!$D:$DH,DH$1,0),1)="V",IF(DG128&gt;=INDEX('[1]Définition Maintenances'!$G:$G,MATCH($A128,'[1]Définition Maintenances'!$K:$K,0)),DG128,INDEX('[1]Définition Maintenances'!$G:$G,MATCH($A128,'[1]Définition Maintenances'!$K:$K,0))+DG128),DG128))</f>
        <v>1200</v>
      </c>
      <c r="DI128" s="27">
        <f>IF(ISNUMBER(VLOOKUP($D128,'Visu totale'!$D:$DH,DI$1,0)),DH128-VLOOKUP($D128,'Visu totale'!$D:$DH,DI$1,0),IF(LEFT(VLOOKUP($D128,'Visu totale'!$D:$DH,DI$1,0),1)="V",IF(DH128&gt;=INDEX('[1]Définition Maintenances'!$G:$G,MATCH($A128,'[1]Définition Maintenances'!$K:$K,0)),DH128,INDEX('[1]Définition Maintenances'!$G:$G,MATCH($A128,'[1]Définition Maintenances'!$K:$K,0))+DH128),DH128))</f>
        <v>1200</v>
      </c>
    </row>
    <row r="129" spans="1:113" x14ac:dyDescent="0.25">
      <c r="A129" s="23" t="str">
        <f t="shared" si="3"/>
        <v>V55</v>
      </c>
      <c r="B129" s="23" t="str">
        <f>VLOOKUP(D129,'[1]Avions (Potentiels)'!$B$2:$H$128,7,FALSE)</f>
        <v>V5</v>
      </c>
      <c r="C129" s="23"/>
      <c r="D129" s="24" t="s">
        <v>132</v>
      </c>
      <c r="E129" s="23">
        <f>IFERROR(VALUE(SUBSTITUTE(VLOOKUP(D129,'[1]Avions (Potentiels)'!$B:$E,4,0),".",",")),VALUE(VLOOKUP(D129,'[1]Avions (Potentiels)'!$B:$E,4,0)))</f>
        <v>1141</v>
      </c>
      <c r="F129" s="25">
        <f>IF(ISNUMBER(VLOOKUP($D129,'Visu totale'!$D:$DH,F$1,0)),E129-VLOOKUP($D129,'Visu totale'!$D:$DH,F$1,0),IF(LEFT(VLOOKUP($D129,'Visu totale'!$D:$DH,F$1,0),1)="V",IF(E129&gt;=INDEX('[1]Définition Maintenances'!$G:$G,MATCH($A129,'[1]Définition Maintenances'!$K:$K,0)),E129,INDEX('[1]Définition Maintenances'!$G:$G,MATCH($A129,'[1]Définition Maintenances'!$K:$K,0))+E129),E129))</f>
        <v>1141</v>
      </c>
      <c r="G129" s="26">
        <f>IF(ISNUMBER(VLOOKUP($D129,'Visu totale'!$D:$DH,G$1,0)),F129-VLOOKUP($D129,'Visu totale'!$D:$DH,G$1,0),IF(LEFT(VLOOKUP($D129,'Visu totale'!$D:$DH,G$1,0),1)="V",IF(F129&gt;=INDEX('[1]Définition Maintenances'!$G:$G,MATCH($A129,'[1]Définition Maintenances'!$K:$K,0)),F129,INDEX('[1]Définition Maintenances'!$G:$G,MATCH($A129,'[1]Définition Maintenances'!$K:$K,0))+F129),F129))</f>
        <v>1141</v>
      </c>
      <c r="H129" s="26">
        <f>IF(ISNUMBER(VLOOKUP($D129,'Visu totale'!$D:$DH,H$1,0)),G129-VLOOKUP($D129,'Visu totale'!$D:$DH,H$1,0),IF(LEFT(VLOOKUP($D129,'Visu totale'!$D:$DH,H$1,0),1)="V",IF(G129&gt;=INDEX('[1]Définition Maintenances'!$G:$G,MATCH($A129,'[1]Définition Maintenances'!$K:$K,0)),G129,INDEX('[1]Définition Maintenances'!$G:$G,MATCH($A129,'[1]Définition Maintenances'!$K:$K,0))+G129),G129))</f>
        <v>1141</v>
      </c>
      <c r="I129" s="26">
        <f>IF(ISNUMBER(VLOOKUP($D129,'Visu totale'!$D:$DH,I$1,0)),H129-VLOOKUP($D129,'Visu totale'!$D:$DH,I$1,0),IF(LEFT(VLOOKUP($D129,'Visu totale'!$D:$DH,I$1,0),1)="V",IF(H129&gt;=INDEX('[1]Définition Maintenances'!$G:$G,MATCH($A129,'[1]Définition Maintenances'!$K:$K,0)),H129,INDEX('[1]Définition Maintenances'!$G:$G,MATCH($A129,'[1]Définition Maintenances'!$K:$K,0))+H129),H129))</f>
        <v>1141</v>
      </c>
      <c r="J129" s="26">
        <f>IF(ISNUMBER(VLOOKUP($D129,'Visu totale'!$D:$DH,J$1,0)),I129-VLOOKUP($D129,'Visu totale'!$D:$DH,J$1,0),IF(LEFT(VLOOKUP($D129,'Visu totale'!$D:$DH,J$1,0),1)="V",IF(I129&gt;=INDEX('[1]Définition Maintenances'!$G:$G,MATCH($A129,'[1]Définition Maintenances'!$K:$K,0)),I129,INDEX('[1]Définition Maintenances'!$G:$G,MATCH($A129,'[1]Définition Maintenances'!$K:$K,0))+I129),I129))</f>
        <v>1141</v>
      </c>
      <c r="K129" s="26">
        <f>IF(ISNUMBER(VLOOKUP($D129,'Visu totale'!$D:$DH,K$1,0)),J129-VLOOKUP($D129,'Visu totale'!$D:$DH,K$1,0),IF(LEFT(VLOOKUP($D129,'Visu totale'!$D:$DH,K$1,0),1)="V",IF(J129&gt;=INDEX('[1]Définition Maintenances'!$G:$G,MATCH($A129,'[1]Définition Maintenances'!$K:$K,0)),J129,INDEX('[1]Définition Maintenances'!$G:$G,MATCH($A129,'[1]Définition Maintenances'!$K:$K,0))+J129),J129))</f>
        <v>1141</v>
      </c>
      <c r="L129" s="26">
        <f>IF(ISNUMBER(VLOOKUP($D129,'Visu totale'!$D:$DH,L$1,0)),K129-VLOOKUP($D129,'Visu totale'!$D:$DH,L$1,0),IF(LEFT(VLOOKUP($D129,'Visu totale'!$D:$DH,L$1,0),1)="V",IF(K129&gt;=INDEX('[1]Définition Maintenances'!$G:$G,MATCH($A129,'[1]Définition Maintenances'!$K:$K,0)),K129,INDEX('[1]Définition Maintenances'!$G:$G,MATCH($A129,'[1]Définition Maintenances'!$K:$K,0))+K129),K129))</f>
        <v>1141</v>
      </c>
      <c r="M129" s="26">
        <f>IF(ISNUMBER(VLOOKUP($D129,'Visu totale'!$D:$DH,M$1,0)),L129-VLOOKUP($D129,'Visu totale'!$D:$DH,M$1,0),IF(LEFT(VLOOKUP($D129,'Visu totale'!$D:$DH,M$1,0),1)="V",IF(L129&gt;=INDEX('[1]Définition Maintenances'!$G:$G,MATCH($A129,'[1]Définition Maintenances'!$K:$K,0)),L129,INDEX('[1]Définition Maintenances'!$G:$G,MATCH($A129,'[1]Définition Maintenances'!$K:$K,0))+L129),L129))</f>
        <v>1141</v>
      </c>
      <c r="N129" s="26">
        <f>IF(ISNUMBER(VLOOKUP($D129,'Visu totale'!$D:$DH,N$1,0)),M129-VLOOKUP($D129,'Visu totale'!$D:$DH,N$1,0),IF(LEFT(VLOOKUP($D129,'Visu totale'!$D:$DH,N$1,0),1)="V",IF(M129&gt;=INDEX('[1]Définition Maintenances'!$G:$G,MATCH($A129,'[1]Définition Maintenances'!$K:$K,0)),M129,INDEX('[1]Définition Maintenances'!$G:$G,MATCH($A129,'[1]Définition Maintenances'!$K:$K,0))+M129),M129))</f>
        <v>1141</v>
      </c>
      <c r="O129" s="26">
        <f>IF(ISNUMBER(VLOOKUP($D129,'Visu totale'!$D:$DH,O$1,0)),N129-VLOOKUP($D129,'Visu totale'!$D:$DH,O$1,0),IF(LEFT(VLOOKUP($D129,'Visu totale'!$D:$DH,O$1,0),1)="V",IF(N129&gt;=INDEX('[1]Définition Maintenances'!$G:$G,MATCH($A129,'[1]Définition Maintenances'!$K:$K,0)),N129,INDEX('[1]Définition Maintenances'!$G:$G,MATCH($A129,'[1]Définition Maintenances'!$K:$K,0))+N129),N129))</f>
        <v>1141</v>
      </c>
      <c r="P129" s="26">
        <f>IF(ISNUMBER(VLOOKUP($D129,'Visu totale'!$D:$DH,P$1,0)),O129-VLOOKUP($D129,'Visu totale'!$D:$DH,P$1,0),IF(LEFT(VLOOKUP($D129,'Visu totale'!$D:$DH,P$1,0),1)="V",IF(O129&gt;=INDEX('[1]Définition Maintenances'!$G:$G,MATCH($A129,'[1]Définition Maintenances'!$K:$K,0)),O129,INDEX('[1]Définition Maintenances'!$G:$G,MATCH($A129,'[1]Définition Maintenances'!$K:$K,0))+O129),O129))</f>
        <v>1141</v>
      </c>
      <c r="Q129" s="27">
        <f>IF(ISNUMBER(VLOOKUP($D129,'Visu totale'!$D:$DH,Q$1,0)),P129-VLOOKUP($D129,'Visu totale'!$D:$DH,Q$1,0),IF(LEFT(VLOOKUP($D129,'Visu totale'!$D:$DH,Q$1,0),1)="V",IF(P129&gt;=INDEX('[1]Définition Maintenances'!$G:$G,MATCH($A129,'[1]Définition Maintenances'!$K:$K,0)),P129,INDEX('[1]Définition Maintenances'!$G:$G,MATCH($A129,'[1]Définition Maintenances'!$K:$K,0))+P129),P129))</f>
        <v>1141</v>
      </c>
      <c r="R129" s="25">
        <f>IF(ISNUMBER(VLOOKUP($D129,'Visu totale'!$D:$DH,R$1,0)),Q129-VLOOKUP($D129,'Visu totale'!$D:$DH,R$1,0),IF(LEFT(VLOOKUP($D129,'Visu totale'!$D:$DH,R$1,0),1)="V",IF(Q129&gt;=INDEX('[1]Définition Maintenances'!$G:$G,MATCH($A129,'[1]Définition Maintenances'!$K:$K,0)),Q129,INDEX('[1]Définition Maintenances'!$G:$G,MATCH($A129,'[1]Définition Maintenances'!$K:$K,0))+Q129),Q129))</f>
        <v>1141</v>
      </c>
      <c r="S129" s="26">
        <f>IF(ISNUMBER(VLOOKUP($D129,'Visu totale'!$D:$DH,S$1,0)),R129-VLOOKUP($D129,'Visu totale'!$D:$DH,S$1,0),IF(LEFT(VLOOKUP($D129,'Visu totale'!$D:$DH,S$1,0),1)="V",IF(R129&gt;=INDEX('[1]Définition Maintenances'!$G:$G,MATCH($A129,'[1]Définition Maintenances'!$K:$K,0)),R129,INDEX('[1]Définition Maintenances'!$G:$G,MATCH($A129,'[1]Définition Maintenances'!$K:$K,0))+R129),R129))</f>
        <v>1141</v>
      </c>
      <c r="T129" s="26">
        <f>IF(ISNUMBER(VLOOKUP($D129,'Visu totale'!$D:$DH,T$1,0)),S129-VLOOKUP($D129,'Visu totale'!$D:$DH,T$1,0),IF(LEFT(VLOOKUP($D129,'Visu totale'!$D:$DH,T$1,0),1)="V",IF(S129&gt;=INDEX('[1]Définition Maintenances'!$G:$G,MATCH($A129,'[1]Définition Maintenances'!$K:$K,0)),S129,INDEX('[1]Définition Maintenances'!$G:$G,MATCH($A129,'[1]Définition Maintenances'!$K:$K,0))+S129),S129))</f>
        <v>1141</v>
      </c>
      <c r="U129" s="26">
        <f>IF(ISNUMBER(VLOOKUP($D129,'Visu totale'!$D:$DH,U$1,0)),T129-VLOOKUP($D129,'Visu totale'!$D:$DH,U$1,0),IF(LEFT(VLOOKUP($D129,'Visu totale'!$D:$DH,U$1,0),1)="V",IF(T129&gt;=INDEX('[1]Définition Maintenances'!$G:$G,MATCH($A129,'[1]Définition Maintenances'!$K:$K,0)),T129,INDEX('[1]Définition Maintenances'!$G:$G,MATCH($A129,'[1]Définition Maintenances'!$K:$K,0))+T129),T129))</f>
        <v>1141</v>
      </c>
      <c r="V129" s="26">
        <f>IF(ISNUMBER(VLOOKUP($D129,'Visu totale'!$D:$DH,V$1,0)),U129-VLOOKUP($D129,'Visu totale'!$D:$DH,V$1,0),IF(LEFT(VLOOKUP($D129,'Visu totale'!$D:$DH,V$1,0),1)="V",IF(U129&gt;=INDEX('[1]Définition Maintenances'!$G:$G,MATCH($A129,'[1]Définition Maintenances'!$K:$K,0)),U129,INDEX('[1]Définition Maintenances'!$G:$G,MATCH($A129,'[1]Définition Maintenances'!$K:$K,0))+U129),U129))</f>
        <v>1141</v>
      </c>
      <c r="W129" s="26">
        <f>IF(ISNUMBER(VLOOKUP($D129,'Visu totale'!$D:$DH,W$1,0)),V129-VLOOKUP($D129,'Visu totale'!$D:$DH,W$1,0),IF(LEFT(VLOOKUP($D129,'Visu totale'!$D:$DH,W$1,0),1)="V",IF(V129&gt;=INDEX('[1]Définition Maintenances'!$G:$G,MATCH($A129,'[1]Définition Maintenances'!$K:$K,0)),V129,INDEX('[1]Définition Maintenances'!$G:$G,MATCH($A129,'[1]Définition Maintenances'!$K:$K,0))+V129),V129))</f>
        <v>1141</v>
      </c>
      <c r="X129" s="26">
        <f>IF(ISNUMBER(VLOOKUP($D129,'Visu totale'!$D:$DH,X$1,0)),W129-VLOOKUP($D129,'Visu totale'!$D:$DH,X$1,0),IF(LEFT(VLOOKUP($D129,'Visu totale'!$D:$DH,X$1,0),1)="V",IF(W129&gt;=INDEX('[1]Définition Maintenances'!$G:$G,MATCH($A129,'[1]Définition Maintenances'!$K:$K,0)),W129,INDEX('[1]Définition Maintenances'!$G:$G,MATCH($A129,'[1]Définition Maintenances'!$K:$K,0))+W129),W129))</f>
        <v>1141</v>
      </c>
      <c r="Y129" s="26">
        <f>IF(ISNUMBER(VLOOKUP($D129,'Visu totale'!$D:$DH,Y$1,0)),X129-VLOOKUP($D129,'Visu totale'!$D:$DH,Y$1,0),IF(LEFT(VLOOKUP($D129,'Visu totale'!$D:$DH,Y$1,0),1)="V",IF(X129&gt;=INDEX('[1]Définition Maintenances'!$G:$G,MATCH($A129,'[1]Définition Maintenances'!$K:$K,0)),X129,INDEX('[1]Définition Maintenances'!$G:$G,MATCH($A129,'[1]Définition Maintenances'!$K:$K,0))+X129),X129))</f>
        <v>1141</v>
      </c>
      <c r="Z129" s="26">
        <f>IF(ISNUMBER(VLOOKUP($D129,'Visu totale'!$D:$DH,Z$1,0)),Y129-VLOOKUP($D129,'Visu totale'!$D:$DH,Z$1,0),IF(LEFT(VLOOKUP($D129,'Visu totale'!$D:$DH,Z$1,0),1)="V",IF(Y129&gt;=INDEX('[1]Définition Maintenances'!$G:$G,MATCH($A129,'[1]Définition Maintenances'!$K:$K,0)),Y129,INDEX('[1]Définition Maintenances'!$G:$G,MATCH($A129,'[1]Définition Maintenances'!$K:$K,0))+Y129),Y129))</f>
        <v>1141</v>
      </c>
      <c r="AA129" s="26">
        <f>IF(ISNUMBER(VLOOKUP($D129,'Visu totale'!$D:$DH,AA$1,0)),Z129-VLOOKUP($D129,'Visu totale'!$D:$DH,AA$1,0),IF(LEFT(VLOOKUP($D129,'Visu totale'!$D:$DH,AA$1,0),1)="V",IF(Z129&gt;=INDEX('[1]Définition Maintenances'!$G:$G,MATCH($A129,'[1]Définition Maintenances'!$K:$K,0)),Z129,INDEX('[1]Définition Maintenances'!$G:$G,MATCH($A129,'[1]Définition Maintenances'!$K:$K,0))+Z129),Z129))</f>
        <v>1141</v>
      </c>
      <c r="AB129" s="26">
        <f>IF(ISNUMBER(VLOOKUP($D129,'Visu totale'!$D:$DH,AB$1,0)),AA129-VLOOKUP($D129,'Visu totale'!$D:$DH,AB$1,0),IF(LEFT(VLOOKUP($D129,'Visu totale'!$D:$DH,AB$1,0),1)="V",IF(AA129&gt;=INDEX('[1]Définition Maintenances'!$G:$G,MATCH($A129,'[1]Définition Maintenances'!$K:$K,0)),AA129,INDEX('[1]Définition Maintenances'!$G:$G,MATCH($A129,'[1]Définition Maintenances'!$K:$K,0))+AA129),AA129))</f>
        <v>1141</v>
      </c>
      <c r="AC129" s="27">
        <f>IF(ISNUMBER(VLOOKUP($D129,'Visu totale'!$D:$DH,AC$1,0)),AB129-VLOOKUP($D129,'Visu totale'!$D:$DH,AC$1,0),IF(LEFT(VLOOKUP($D129,'Visu totale'!$D:$DH,AC$1,0),1)="V",IF(AB129&gt;=INDEX('[1]Définition Maintenances'!$G:$G,MATCH($A129,'[1]Définition Maintenances'!$K:$K,0)),AB129,INDEX('[1]Définition Maintenances'!$G:$G,MATCH($A129,'[1]Définition Maintenances'!$K:$K,0))+AB129),AB129))</f>
        <v>1141</v>
      </c>
      <c r="AD129" s="25">
        <f>IF(ISNUMBER(VLOOKUP($D129,'Visu totale'!$D:$DH,AD$1,0)),AC129-VLOOKUP($D129,'Visu totale'!$D:$DH,AD$1,0),IF(LEFT(VLOOKUP($D129,'Visu totale'!$D:$DH,AD$1,0),1)="V",IF(AC129&gt;=INDEX('[1]Définition Maintenances'!$G:$G,MATCH($A129,'[1]Définition Maintenances'!$K:$K,0)),AC129,INDEX('[1]Définition Maintenances'!$G:$G,MATCH($A129,'[1]Définition Maintenances'!$K:$K,0))+AC129),AC129))</f>
        <v>1141</v>
      </c>
      <c r="AE129" s="26">
        <f>IF(ISNUMBER(VLOOKUP($D129,'Visu totale'!$D:$DH,AE$1,0)),AD129-VLOOKUP($D129,'Visu totale'!$D:$DH,AE$1,0),IF(LEFT(VLOOKUP($D129,'Visu totale'!$D:$DH,AE$1,0),1)="V",IF(AD129&gt;=INDEX('[1]Définition Maintenances'!$G:$G,MATCH($A129,'[1]Définition Maintenances'!$K:$K,0)),AD129,INDEX('[1]Définition Maintenances'!$G:$G,MATCH($A129,'[1]Définition Maintenances'!$K:$K,0))+AD129),AD129))</f>
        <v>1141</v>
      </c>
      <c r="AF129" s="26">
        <f>IF(ISNUMBER(VLOOKUP($D129,'Visu totale'!$D:$DH,AF$1,0)),AE129-VLOOKUP($D129,'Visu totale'!$D:$DH,AF$1,0),IF(LEFT(VLOOKUP($D129,'Visu totale'!$D:$DH,AF$1,0),1)="V",IF(AE129&gt;=INDEX('[1]Définition Maintenances'!$G:$G,MATCH($A129,'[1]Définition Maintenances'!$K:$K,0)),AE129,INDEX('[1]Définition Maintenances'!$G:$G,MATCH($A129,'[1]Définition Maintenances'!$K:$K,0))+AE129),AE129))</f>
        <v>1141</v>
      </c>
      <c r="AG129" s="26">
        <f>IF(ISNUMBER(VLOOKUP($D129,'Visu totale'!$D:$DH,AG$1,0)),AF129-VLOOKUP($D129,'Visu totale'!$D:$DH,AG$1,0),IF(LEFT(VLOOKUP($D129,'Visu totale'!$D:$DH,AG$1,0),1)="V",IF(AF129&gt;=INDEX('[1]Définition Maintenances'!$G:$G,MATCH($A129,'[1]Définition Maintenances'!$K:$K,0)),AF129,INDEX('[1]Définition Maintenances'!$G:$G,MATCH($A129,'[1]Définition Maintenances'!$K:$K,0))+AF129),AF129))</f>
        <v>1141</v>
      </c>
      <c r="AH129" s="26">
        <f>IF(ISNUMBER(VLOOKUP($D129,'Visu totale'!$D:$DH,AH$1,0)),AG129-VLOOKUP($D129,'Visu totale'!$D:$DH,AH$1,0),IF(LEFT(VLOOKUP($D129,'Visu totale'!$D:$DH,AH$1,0),1)="V",IF(AG129&gt;=INDEX('[1]Définition Maintenances'!$G:$G,MATCH($A129,'[1]Définition Maintenances'!$K:$K,0)),AG129,INDEX('[1]Définition Maintenances'!$G:$G,MATCH($A129,'[1]Définition Maintenances'!$K:$K,0))+AG129),AG129))</f>
        <v>1141</v>
      </c>
      <c r="AI129" s="26">
        <f>IF(ISNUMBER(VLOOKUP($D129,'Visu totale'!$D:$DH,AI$1,0)),AH129-VLOOKUP($D129,'Visu totale'!$D:$DH,AI$1,0),IF(LEFT(VLOOKUP($D129,'Visu totale'!$D:$DH,AI$1,0),1)="V",IF(AH129&gt;=INDEX('[1]Définition Maintenances'!$G:$G,MATCH($A129,'[1]Définition Maintenances'!$K:$K,0)),AH129,INDEX('[1]Définition Maintenances'!$G:$G,MATCH($A129,'[1]Définition Maintenances'!$K:$K,0))+AH129),AH129))</f>
        <v>1141</v>
      </c>
      <c r="AJ129" s="26">
        <f>IF(ISNUMBER(VLOOKUP($D129,'Visu totale'!$D:$DH,AJ$1,0)),AI129-VLOOKUP($D129,'Visu totale'!$D:$DH,AJ$1,0),IF(LEFT(VLOOKUP($D129,'Visu totale'!$D:$DH,AJ$1,0),1)="V",IF(AI129&gt;=INDEX('[1]Définition Maintenances'!$G:$G,MATCH($A129,'[1]Définition Maintenances'!$K:$K,0)),AI129,INDEX('[1]Définition Maintenances'!$G:$G,MATCH($A129,'[1]Définition Maintenances'!$K:$K,0))+AI129),AI129))</f>
        <v>1141</v>
      </c>
      <c r="AK129" s="26">
        <f>IF(ISNUMBER(VLOOKUP($D129,'Visu totale'!$D:$DH,AK$1,0)),AJ129-VLOOKUP($D129,'Visu totale'!$D:$DH,AK$1,0),IF(LEFT(VLOOKUP($D129,'Visu totale'!$D:$DH,AK$1,0),1)="V",IF(AJ129&gt;=INDEX('[1]Définition Maintenances'!$G:$G,MATCH($A129,'[1]Définition Maintenances'!$K:$K,0)),AJ129,INDEX('[1]Définition Maintenances'!$G:$G,MATCH($A129,'[1]Définition Maintenances'!$K:$K,0))+AJ129),AJ129))</f>
        <v>1141</v>
      </c>
      <c r="AL129" s="26">
        <f>IF(ISNUMBER(VLOOKUP($D129,'Visu totale'!$D:$DH,AL$1,0)),AK129-VLOOKUP($D129,'Visu totale'!$D:$DH,AL$1,0),IF(LEFT(VLOOKUP($D129,'Visu totale'!$D:$DH,AL$1,0),1)="V",IF(AK129&gt;=INDEX('[1]Définition Maintenances'!$G:$G,MATCH($A129,'[1]Définition Maintenances'!$K:$K,0)),AK129,INDEX('[1]Définition Maintenances'!$G:$G,MATCH($A129,'[1]Définition Maintenances'!$K:$K,0))+AK129),AK129))</f>
        <v>1141</v>
      </c>
      <c r="AM129" s="26">
        <f>IF(ISNUMBER(VLOOKUP($D129,'Visu totale'!$D:$DH,AM$1,0)),AL129-VLOOKUP($D129,'Visu totale'!$D:$DH,AM$1,0),IF(LEFT(VLOOKUP($D129,'Visu totale'!$D:$DH,AM$1,0),1)="V",IF(AL129&gt;=INDEX('[1]Définition Maintenances'!$G:$G,MATCH($A129,'[1]Définition Maintenances'!$K:$K,0)),AL129,INDEX('[1]Définition Maintenances'!$G:$G,MATCH($A129,'[1]Définition Maintenances'!$K:$K,0))+AL129),AL129))</f>
        <v>1141</v>
      </c>
      <c r="AN129" s="26">
        <f>IF(ISNUMBER(VLOOKUP($D129,'Visu totale'!$D:$DH,AN$1,0)),AM129-VLOOKUP($D129,'Visu totale'!$D:$DH,AN$1,0),IF(LEFT(VLOOKUP($D129,'Visu totale'!$D:$DH,AN$1,0),1)="V",IF(AM129&gt;=INDEX('[1]Définition Maintenances'!$G:$G,MATCH($A129,'[1]Définition Maintenances'!$K:$K,0)),AM129,INDEX('[1]Définition Maintenances'!$G:$G,MATCH($A129,'[1]Définition Maintenances'!$K:$K,0))+AM129),AM129))</f>
        <v>1141</v>
      </c>
      <c r="AO129" s="27">
        <f>IF(ISNUMBER(VLOOKUP($D129,'Visu totale'!$D:$DH,AO$1,0)),AN129-VLOOKUP($D129,'Visu totale'!$D:$DH,AO$1,0),IF(LEFT(VLOOKUP($D129,'Visu totale'!$D:$DH,AO$1,0),1)="V",IF(AN129&gt;=INDEX('[1]Définition Maintenances'!$G:$G,MATCH($A129,'[1]Définition Maintenances'!$K:$K,0)),AN129,INDEX('[1]Définition Maintenances'!$G:$G,MATCH($A129,'[1]Définition Maintenances'!$K:$K,0))+AN129),AN129))</f>
        <v>1141</v>
      </c>
      <c r="AP129" s="25">
        <f>IF(ISNUMBER(VLOOKUP($D129,'Visu totale'!$D:$DH,AP$1,0)),AO129-VLOOKUP($D129,'Visu totale'!$D:$DH,AP$1,0),IF(LEFT(VLOOKUP($D129,'Visu totale'!$D:$DH,AP$1,0),1)="V",IF(AO129&gt;=INDEX('[1]Définition Maintenances'!$G:$G,MATCH($A129,'[1]Définition Maintenances'!$K:$K,0)),AO129,INDEX('[1]Définition Maintenances'!$G:$G,MATCH($A129,'[1]Définition Maintenances'!$K:$K,0))+AO129),AO129))</f>
        <v>1141</v>
      </c>
      <c r="AQ129" s="26">
        <f>IF(ISNUMBER(VLOOKUP($D129,'Visu totale'!$D:$DH,AQ$1,0)),AP129-VLOOKUP($D129,'Visu totale'!$D:$DH,AQ$1,0),IF(LEFT(VLOOKUP($D129,'Visu totale'!$D:$DH,AQ$1,0),1)="V",IF(AP129&gt;=INDEX('[1]Définition Maintenances'!$G:$G,MATCH($A129,'[1]Définition Maintenances'!$K:$K,0)),AP129,INDEX('[1]Définition Maintenances'!$G:$G,MATCH($A129,'[1]Définition Maintenances'!$K:$K,0))+AP129),AP129))</f>
        <v>1141</v>
      </c>
      <c r="AR129" s="26">
        <f>IF(ISNUMBER(VLOOKUP($D129,'Visu totale'!$D:$DH,AR$1,0)),AQ129-VLOOKUP($D129,'Visu totale'!$D:$DH,AR$1,0),IF(LEFT(VLOOKUP($D129,'Visu totale'!$D:$DH,AR$1,0),1)="V",IF(AQ129&gt;=INDEX('[1]Définition Maintenances'!$G:$G,MATCH($A129,'[1]Définition Maintenances'!$K:$K,0)),AQ129,INDEX('[1]Définition Maintenances'!$G:$G,MATCH($A129,'[1]Définition Maintenances'!$K:$K,0))+AQ129),AQ129))</f>
        <v>1141</v>
      </c>
      <c r="AS129" s="26">
        <f>IF(ISNUMBER(VLOOKUP($D129,'Visu totale'!$D:$DH,AS$1,0)),AR129-VLOOKUP($D129,'Visu totale'!$D:$DH,AS$1,0),IF(LEFT(VLOOKUP($D129,'Visu totale'!$D:$DH,AS$1,0),1)="V",IF(AR129&gt;=INDEX('[1]Définition Maintenances'!$G:$G,MATCH($A129,'[1]Définition Maintenances'!$K:$K,0)),AR129,INDEX('[1]Définition Maintenances'!$G:$G,MATCH($A129,'[1]Définition Maintenances'!$K:$K,0))+AR129),AR129))</f>
        <v>1141</v>
      </c>
      <c r="AT129" s="26">
        <f>IF(ISNUMBER(VLOOKUP($D129,'Visu totale'!$D:$DH,AT$1,0)),AS129-VLOOKUP($D129,'Visu totale'!$D:$DH,AT$1,0),IF(LEFT(VLOOKUP($D129,'Visu totale'!$D:$DH,AT$1,0),1)="V",IF(AS129&gt;=INDEX('[1]Définition Maintenances'!$G:$G,MATCH($A129,'[1]Définition Maintenances'!$K:$K,0)),AS129,INDEX('[1]Définition Maintenances'!$G:$G,MATCH($A129,'[1]Définition Maintenances'!$K:$K,0))+AS129),AS129))</f>
        <v>1141</v>
      </c>
      <c r="AU129" s="26">
        <f>IF(ISNUMBER(VLOOKUP($D129,'Visu totale'!$D:$DH,AU$1,0)),AT129-VLOOKUP($D129,'Visu totale'!$D:$DH,AU$1,0),IF(LEFT(VLOOKUP($D129,'Visu totale'!$D:$DH,AU$1,0),1)="V",IF(AT129&gt;=INDEX('[1]Définition Maintenances'!$G:$G,MATCH($A129,'[1]Définition Maintenances'!$K:$K,0)),AT129,INDEX('[1]Définition Maintenances'!$G:$G,MATCH($A129,'[1]Définition Maintenances'!$K:$K,0))+AT129),AT129))</f>
        <v>1141</v>
      </c>
      <c r="AV129" s="26">
        <f>IF(ISNUMBER(VLOOKUP($D129,'Visu totale'!$D:$DH,AV$1,0)),AU129-VLOOKUP($D129,'Visu totale'!$D:$DH,AV$1,0),IF(LEFT(VLOOKUP($D129,'Visu totale'!$D:$DH,AV$1,0),1)="V",IF(AU129&gt;=INDEX('[1]Définition Maintenances'!$G:$G,MATCH($A129,'[1]Définition Maintenances'!$K:$K,0)),AU129,INDEX('[1]Définition Maintenances'!$G:$G,MATCH($A129,'[1]Définition Maintenances'!$K:$K,0))+AU129),AU129))</f>
        <v>1141</v>
      </c>
      <c r="AW129" s="26">
        <f>IF(ISNUMBER(VLOOKUP($D129,'Visu totale'!$D:$DH,AW$1,0)),AV129-VLOOKUP($D129,'Visu totale'!$D:$DH,AW$1,0),IF(LEFT(VLOOKUP($D129,'Visu totale'!$D:$DH,AW$1,0),1)="V",IF(AV129&gt;=INDEX('[1]Définition Maintenances'!$G:$G,MATCH($A129,'[1]Définition Maintenances'!$K:$K,0)),AV129,INDEX('[1]Définition Maintenances'!$G:$G,MATCH($A129,'[1]Définition Maintenances'!$K:$K,0))+AV129),AV129))</f>
        <v>1141</v>
      </c>
      <c r="AX129" s="26">
        <f>IF(ISNUMBER(VLOOKUP($D129,'Visu totale'!$D:$DH,AX$1,0)),AW129-VLOOKUP($D129,'Visu totale'!$D:$DH,AX$1,0),IF(LEFT(VLOOKUP($D129,'Visu totale'!$D:$DH,AX$1,0),1)="V",IF(AW129&gt;=INDEX('[1]Définition Maintenances'!$G:$G,MATCH($A129,'[1]Définition Maintenances'!$K:$K,0)),AW129,INDEX('[1]Définition Maintenances'!$G:$G,MATCH($A129,'[1]Définition Maintenances'!$K:$K,0))+AW129),AW129))</f>
        <v>1141</v>
      </c>
      <c r="AY129" s="26">
        <f>IF(ISNUMBER(VLOOKUP($D129,'Visu totale'!$D:$DH,AY$1,0)),AX129-VLOOKUP($D129,'Visu totale'!$D:$DH,AY$1,0),IF(LEFT(VLOOKUP($D129,'Visu totale'!$D:$DH,AY$1,0),1)="V",IF(AX129&gt;=INDEX('[1]Définition Maintenances'!$G:$G,MATCH($A129,'[1]Définition Maintenances'!$K:$K,0)),AX129,INDEX('[1]Définition Maintenances'!$G:$G,MATCH($A129,'[1]Définition Maintenances'!$K:$K,0))+AX129),AX129))</f>
        <v>1141</v>
      </c>
      <c r="AZ129" s="26">
        <f>IF(ISNUMBER(VLOOKUP($D129,'Visu totale'!$D:$DH,AZ$1,0)),AY129-VLOOKUP($D129,'Visu totale'!$D:$DH,AZ$1,0),IF(LEFT(VLOOKUP($D129,'Visu totale'!$D:$DH,AZ$1,0),1)="V",IF(AY129&gt;=INDEX('[1]Définition Maintenances'!$G:$G,MATCH($A129,'[1]Définition Maintenances'!$K:$K,0)),AY129,INDEX('[1]Définition Maintenances'!$G:$G,MATCH($A129,'[1]Définition Maintenances'!$K:$K,0))+AY129),AY129))</f>
        <v>1141</v>
      </c>
      <c r="BA129" s="27">
        <f>IF(ISNUMBER(VLOOKUP($D129,'Visu totale'!$D:$DH,BA$1,0)),AZ129-VLOOKUP($D129,'Visu totale'!$D:$DH,BA$1,0),IF(LEFT(VLOOKUP($D129,'Visu totale'!$D:$DH,BA$1,0),1)="V",IF(AZ129&gt;=INDEX('[1]Définition Maintenances'!$G:$G,MATCH($A129,'[1]Définition Maintenances'!$K:$K,0)),AZ129,INDEX('[1]Définition Maintenances'!$G:$G,MATCH($A129,'[1]Définition Maintenances'!$K:$K,0))+AZ129),AZ129))</f>
        <v>1141</v>
      </c>
      <c r="BB129" s="25">
        <f>IF(ISNUMBER(VLOOKUP($D129,'Visu totale'!$D:$DH,BB$1,0)),BA129-VLOOKUP($D129,'Visu totale'!$D:$DH,BB$1,0),IF(LEFT(VLOOKUP($D129,'Visu totale'!$D:$DH,BB$1,0),1)="V",IF(BA129&gt;=INDEX('[1]Définition Maintenances'!$G:$G,MATCH($A129,'[1]Définition Maintenances'!$K:$K,0)),BA129,INDEX('[1]Définition Maintenances'!$G:$G,MATCH($A129,'[1]Définition Maintenances'!$K:$K,0))+BA129),BA129))</f>
        <v>1141</v>
      </c>
      <c r="BC129" s="26">
        <f>IF(ISNUMBER(VLOOKUP($D129,'Visu totale'!$D:$DH,BC$1,0)),BB129-VLOOKUP($D129,'Visu totale'!$D:$DH,BC$1,0),IF(LEFT(VLOOKUP($D129,'Visu totale'!$D:$DH,BC$1,0),1)="V",IF(BB129&gt;=INDEX('[1]Définition Maintenances'!$G:$G,MATCH($A129,'[1]Définition Maintenances'!$K:$K,0)),BB129,INDEX('[1]Définition Maintenances'!$G:$G,MATCH($A129,'[1]Définition Maintenances'!$K:$K,0))+BB129),BB129))</f>
        <v>1141</v>
      </c>
      <c r="BD129" s="26">
        <f>IF(ISNUMBER(VLOOKUP($D129,'Visu totale'!$D:$DH,BD$1,0)),BC129-VLOOKUP($D129,'Visu totale'!$D:$DH,BD$1,0),IF(LEFT(VLOOKUP($D129,'Visu totale'!$D:$DH,BD$1,0),1)="V",IF(BC129&gt;=INDEX('[1]Définition Maintenances'!$G:$G,MATCH($A129,'[1]Définition Maintenances'!$K:$K,0)),BC129,INDEX('[1]Définition Maintenances'!$G:$G,MATCH($A129,'[1]Définition Maintenances'!$K:$K,0))+BC129),BC129))</f>
        <v>1141</v>
      </c>
      <c r="BE129" s="26">
        <f>IF(ISNUMBER(VLOOKUP($D129,'Visu totale'!$D:$DH,BE$1,0)),BD129-VLOOKUP($D129,'Visu totale'!$D:$DH,BE$1,0),IF(LEFT(VLOOKUP($D129,'Visu totale'!$D:$DH,BE$1,0),1)="V",IF(BD129&gt;=INDEX('[1]Définition Maintenances'!$G:$G,MATCH($A129,'[1]Définition Maintenances'!$K:$K,0)),BD129,INDEX('[1]Définition Maintenances'!$G:$G,MATCH($A129,'[1]Définition Maintenances'!$K:$K,0))+BD129),BD129))</f>
        <v>1141</v>
      </c>
      <c r="BF129" s="26">
        <f>IF(ISNUMBER(VLOOKUP($D129,'Visu totale'!$D:$DH,BF$1,0)),BE129-VLOOKUP($D129,'Visu totale'!$D:$DH,BF$1,0),IF(LEFT(VLOOKUP($D129,'Visu totale'!$D:$DH,BF$1,0),1)="V",IF(BE129&gt;=INDEX('[1]Définition Maintenances'!$G:$G,MATCH($A129,'[1]Définition Maintenances'!$K:$K,0)),BE129,INDEX('[1]Définition Maintenances'!$G:$G,MATCH($A129,'[1]Définition Maintenances'!$K:$K,0))+BE129),BE129))</f>
        <v>1141</v>
      </c>
      <c r="BG129" s="26">
        <f>IF(ISNUMBER(VLOOKUP($D129,'Visu totale'!$D:$DH,BG$1,0)),BF129-VLOOKUP($D129,'Visu totale'!$D:$DH,BG$1,0),IF(LEFT(VLOOKUP($D129,'Visu totale'!$D:$DH,BG$1,0),1)="V",IF(BF129&gt;=INDEX('[1]Définition Maintenances'!$G:$G,MATCH($A129,'[1]Définition Maintenances'!$K:$K,0)),BF129,INDEX('[1]Définition Maintenances'!$G:$G,MATCH($A129,'[1]Définition Maintenances'!$K:$K,0))+BF129),BF129))</f>
        <v>1141</v>
      </c>
      <c r="BH129" s="26">
        <f>IF(ISNUMBER(VLOOKUP($D129,'Visu totale'!$D:$DH,BH$1,0)),BG129-VLOOKUP($D129,'Visu totale'!$D:$DH,BH$1,0),IF(LEFT(VLOOKUP($D129,'Visu totale'!$D:$DH,BH$1,0),1)="V",IF(BG129&gt;=INDEX('[1]Définition Maintenances'!$G:$G,MATCH($A129,'[1]Définition Maintenances'!$K:$K,0)),BG129,INDEX('[1]Définition Maintenances'!$G:$G,MATCH($A129,'[1]Définition Maintenances'!$K:$K,0))+BG129),BG129))</f>
        <v>1141</v>
      </c>
      <c r="BI129" s="26">
        <f>IF(ISNUMBER(VLOOKUP($D129,'Visu totale'!$D:$DH,BI$1,0)),BH129-VLOOKUP($D129,'Visu totale'!$D:$DH,BI$1,0),IF(LEFT(VLOOKUP($D129,'Visu totale'!$D:$DH,BI$1,0),1)="V",IF(BH129&gt;=INDEX('[1]Définition Maintenances'!$G:$G,MATCH($A129,'[1]Définition Maintenances'!$K:$K,0)),BH129,INDEX('[1]Définition Maintenances'!$G:$G,MATCH($A129,'[1]Définition Maintenances'!$K:$K,0))+BH129),BH129))</f>
        <v>1141</v>
      </c>
      <c r="BJ129" s="26">
        <f>IF(ISNUMBER(VLOOKUP($D129,'Visu totale'!$D:$DH,BJ$1,0)),BI129-VLOOKUP($D129,'Visu totale'!$D:$DH,BJ$1,0),IF(LEFT(VLOOKUP($D129,'Visu totale'!$D:$DH,BJ$1,0),1)="V",IF(BI129&gt;=INDEX('[1]Définition Maintenances'!$G:$G,MATCH($A129,'[1]Définition Maintenances'!$K:$K,0)),BI129,INDEX('[1]Définition Maintenances'!$G:$G,MATCH($A129,'[1]Définition Maintenances'!$K:$K,0))+BI129),BI129))</f>
        <v>1141</v>
      </c>
      <c r="BK129" s="26">
        <f>IF(ISNUMBER(VLOOKUP($D129,'Visu totale'!$D:$DH,BK$1,0)),BJ129-VLOOKUP($D129,'Visu totale'!$D:$DH,BK$1,0),IF(LEFT(VLOOKUP($D129,'Visu totale'!$D:$DH,BK$1,0),1)="V",IF(BJ129&gt;=INDEX('[1]Définition Maintenances'!$G:$G,MATCH($A129,'[1]Définition Maintenances'!$K:$K,0)),BJ129,INDEX('[1]Définition Maintenances'!$G:$G,MATCH($A129,'[1]Définition Maintenances'!$K:$K,0))+BJ129),BJ129))</f>
        <v>1141</v>
      </c>
      <c r="BL129" s="26">
        <f>IF(ISNUMBER(VLOOKUP($D129,'Visu totale'!$D:$DH,BL$1,0)),BK129-VLOOKUP($D129,'Visu totale'!$D:$DH,BL$1,0),IF(LEFT(VLOOKUP($D129,'Visu totale'!$D:$DH,BL$1,0),1)="V",IF(BK129&gt;=INDEX('[1]Définition Maintenances'!$G:$G,MATCH($A129,'[1]Définition Maintenances'!$K:$K,0)),BK129,INDEX('[1]Définition Maintenances'!$G:$G,MATCH($A129,'[1]Définition Maintenances'!$K:$K,0))+BK129),BK129))</f>
        <v>1141</v>
      </c>
      <c r="BM129" s="27">
        <f>IF(ISNUMBER(VLOOKUP($D129,'Visu totale'!$D:$DH,BM$1,0)),BL129-VLOOKUP($D129,'Visu totale'!$D:$DH,BM$1,0),IF(LEFT(VLOOKUP($D129,'Visu totale'!$D:$DH,BM$1,0),1)="V",IF(BL129&gt;=INDEX('[1]Définition Maintenances'!$G:$G,MATCH($A129,'[1]Définition Maintenances'!$K:$K,0)),BL129,INDEX('[1]Définition Maintenances'!$G:$G,MATCH($A129,'[1]Définition Maintenances'!$K:$K,0))+BL129),BL129))</f>
        <v>1141</v>
      </c>
      <c r="BN129" s="25">
        <f>IF(ISNUMBER(VLOOKUP($D129,'Visu totale'!$D:$DH,BN$1,0)),BM129-VLOOKUP($D129,'Visu totale'!$D:$DH,BN$1,0),IF(LEFT(VLOOKUP($D129,'Visu totale'!$D:$DH,BN$1,0),1)="V",IF(BM129&gt;=INDEX('[1]Définition Maintenances'!$G:$G,MATCH($A129,'[1]Définition Maintenances'!$K:$K,0)),BM129,INDEX('[1]Définition Maintenances'!$G:$G,MATCH($A129,'[1]Définition Maintenances'!$K:$K,0))+BM129),BM129))</f>
        <v>1141</v>
      </c>
      <c r="BO129" s="26">
        <f>IF(ISNUMBER(VLOOKUP($D129,'Visu totale'!$D:$DH,BO$1,0)),BN129-VLOOKUP($D129,'Visu totale'!$D:$DH,BO$1,0),IF(LEFT(VLOOKUP($D129,'Visu totale'!$D:$DH,BO$1,0),1)="V",IF(BN129&gt;=INDEX('[1]Définition Maintenances'!$G:$G,MATCH($A129,'[1]Définition Maintenances'!$K:$K,0)),BN129,INDEX('[1]Définition Maintenances'!$G:$G,MATCH($A129,'[1]Définition Maintenances'!$K:$K,0))+BN129),BN129))</f>
        <v>1141</v>
      </c>
      <c r="BP129" s="26">
        <f>IF(ISNUMBER(VLOOKUP($D129,'Visu totale'!$D:$DH,BP$1,0)),BO129-VLOOKUP($D129,'Visu totale'!$D:$DH,BP$1,0),IF(LEFT(VLOOKUP($D129,'Visu totale'!$D:$DH,BP$1,0),1)="V",IF(BO129&gt;=INDEX('[1]Définition Maintenances'!$G:$G,MATCH($A129,'[1]Définition Maintenances'!$K:$K,0)),BO129,INDEX('[1]Définition Maintenances'!$G:$G,MATCH($A129,'[1]Définition Maintenances'!$K:$K,0))+BO129),BO129))</f>
        <v>1141</v>
      </c>
      <c r="BQ129" s="26">
        <f>IF(ISNUMBER(VLOOKUP($D129,'Visu totale'!$D:$DH,BQ$1,0)),BP129-VLOOKUP($D129,'Visu totale'!$D:$DH,BQ$1,0),IF(LEFT(VLOOKUP($D129,'Visu totale'!$D:$DH,BQ$1,0),1)="V",IF(BP129&gt;=INDEX('[1]Définition Maintenances'!$G:$G,MATCH($A129,'[1]Définition Maintenances'!$K:$K,0)),BP129,INDEX('[1]Définition Maintenances'!$G:$G,MATCH($A129,'[1]Définition Maintenances'!$K:$K,0))+BP129),BP129))</f>
        <v>1141</v>
      </c>
      <c r="BR129" s="26">
        <f>IF(ISNUMBER(VLOOKUP($D129,'Visu totale'!$D:$DH,BR$1,0)),BQ129-VLOOKUP($D129,'Visu totale'!$D:$DH,BR$1,0),IF(LEFT(VLOOKUP($D129,'Visu totale'!$D:$DH,BR$1,0),1)="V",IF(BQ129&gt;=INDEX('[1]Définition Maintenances'!$G:$G,MATCH($A129,'[1]Définition Maintenances'!$K:$K,0)),BQ129,INDEX('[1]Définition Maintenances'!$G:$G,MATCH($A129,'[1]Définition Maintenances'!$K:$K,0))+BQ129),BQ129))</f>
        <v>1141</v>
      </c>
      <c r="BS129" s="26">
        <f>IF(ISNUMBER(VLOOKUP($D129,'Visu totale'!$D:$DH,BS$1,0)),BR129-VLOOKUP($D129,'Visu totale'!$D:$DH,BS$1,0),IF(LEFT(VLOOKUP($D129,'Visu totale'!$D:$DH,BS$1,0),1)="V",IF(BR129&gt;=INDEX('[1]Définition Maintenances'!$G:$G,MATCH($A129,'[1]Définition Maintenances'!$K:$K,0)),BR129,INDEX('[1]Définition Maintenances'!$G:$G,MATCH($A129,'[1]Définition Maintenances'!$K:$K,0))+BR129),BR129))</f>
        <v>1141</v>
      </c>
      <c r="BT129" s="26">
        <f>IF(ISNUMBER(VLOOKUP($D129,'Visu totale'!$D:$DH,BT$1,0)),BS129-VLOOKUP($D129,'Visu totale'!$D:$DH,BT$1,0),IF(LEFT(VLOOKUP($D129,'Visu totale'!$D:$DH,BT$1,0),1)="V",IF(BS129&gt;=INDEX('[1]Définition Maintenances'!$G:$G,MATCH($A129,'[1]Définition Maintenances'!$K:$K,0)),BS129,INDEX('[1]Définition Maintenances'!$G:$G,MATCH($A129,'[1]Définition Maintenances'!$K:$K,0))+BS129),BS129))</f>
        <v>1141</v>
      </c>
      <c r="BU129" s="26">
        <f>IF(ISNUMBER(VLOOKUP($D129,'Visu totale'!$D:$DH,BU$1,0)),BT129-VLOOKUP($D129,'Visu totale'!$D:$DH,BU$1,0),IF(LEFT(VLOOKUP($D129,'Visu totale'!$D:$DH,BU$1,0),1)="V",IF(BT129&gt;=INDEX('[1]Définition Maintenances'!$G:$G,MATCH($A129,'[1]Définition Maintenances'!$K:$K,0)),BT129,INDEX('[1]Définition Maintenances'!$G:$G,MATCH($A129,'[1]Définition Maintenances'!$K:$K,0))+BT129),BT129))</f>
        <v>1141</v>
      </c>
      <c r="BV129" s="26">
        <f>IF(ISNUMBER(VLOOKUP($D129,'Visu totale'!$D:$DH,BV$1,0)),BU129-VLOOKUP($D129,'Visu totale'!$D:$DH,BV$1,0),IF(LEFT(VLOOKUP($D129,'Visu totale'!$D:$DH,BV$1,0),1)="V",IF(BU129&gt;=INDEX('[1]Définition Maintenances'!$G:$G,MATCH($A129,'[1]Définition Maintenances'!$K:$K,0)),BU129,INDEX('[1]Définition Maintenances'!$G:$G,MATCH($A129,'[1]Définition Maintenances'!$K:$K,0))+BU129),BU129))</f>
        <v>1141</v>
      </c>
      <c r="BW129" s="26">
        <f>IF(ISNUMBER(VLOOKUP($D129,'Visu totale'!$D:$DH,BW$1,0)),BV129-VLOOKUP($D129,'Visu totale'!$D:$DH,BW$1,0),IF(LEFT(VLOOKUP($D129,'Visu totale'!$D:$DH,BW$1,0),1)="V",IF(BV129&gt;=INDEX('[1]Définition Maintenances'!$G:$G,MATCH($A129,'[1]Définition Maintenances'!$K:$K,0)),BV129,INDEX('[1]Définition Maintenances'!$G:$G,MATCH($A129,'[1]Définition Maintenances'!$K:$K,0))+BV129),BV129))</f>
        <v>1141</v>
      </c>
      <c r="BX129" s="26">
        <f>IF(ISNUMBER(VLOOKUP($D129,'Visu totale'!$D:$DH,BX$1,0)),BW129-VLOOKUP($D129,'Visu totale'!$D:$DH,BX$1,0),IF(LEFT(VLOOKUP($D129,'Visu totale'!$D:$DH,BX$1,0),1)="V",IF(BW129&gt;=INDEX('[1]Définition Maintenances'!$G:$G,MATCH($A129,'[1]Définition Maintenances'!$K:$K,0)),BW129,INDEX('[1]Définition Maintenances'!$G:$G,MATCH($A129,'[1]Définition Maintenances'!$K:$K,0))+BW129),BW129))</f>
        <v>1141</v>
      </c>
      <c r="BY129" s="27">
        <f>IF(ISNUMBER(VLOOKUP($D129,'Visu totale'!$D:$DH,BY$1,0)),BX129-VLOOKUP($D129,'Visu totale'!$D:$DH,BY$1,0),IF(LEFT(VLOOKUP($D129,'Visu totale'!$D:$DH,BY$1,0),1)="V",IF(BX129&gt;=INDEX('[1]Définition Maintenances'!$G:$G,MATCH($A129,'[1]Définition Maintenances'!$K:$K,0)),BX129,INDEX('[1]Définition Maintenances'!$G:$G,MATCH($A129,'[1]Définition Maintenances'!$K:$K,0))+BX129),BX129))</f>
        <v>1141</v>
      </c>
      <c r="BZ129" s="25">
        <f>IF(ISNUMBER(VLOOKUP($D129,'Visu totale'!$D:$DH,BZ$1,0)),BY129-VLOOKUP($D129,'Visu totale'!$D:$DH,BZ$1,0),IF(LEFT(VLOOKUP($D129,'Visu totale'!$D:$DH,BZ$1,0),1)="V",IF(BY129&gt;=INDEX('[1]Définition Maintenances'!$G:$G,MATCH($A129,'[1]Définition Maintenances'!$K:$K,0)),BY129,INDEX('[1]Définition Maintenances'!$G:$G,MATCH($A129,'[1]Définition Maintenances'!$K:$K,0))+BY129),BY129))</f>
        <v>1141</v>
      </c>
      <c r="CA129" s="26">
        <f>IF(ISNUMBER(VLOOKUP($D129,'Visu totale'!$D:$DH,CA$1,0)),BZ129-VLOOKUP($D129,'Visu totale'!$D:$DH,CA$1,0),IF(LEFT(VLOOKUP($D129,'Visu totale'!$D:$DH,CA$1,0),1)="V",IF(BZ129&gt;=INDEX('[1]Définition Maintenances'!$G:$G,MATCH($A129,'[1]Définition Maintenances'!$K:$K,0)),BZ129,INDEX('[1]Définition Maintenances'!$G:$G,MATCH($A129,'[1]Définition Maintenances'!$K:$K,0))+BZ129),BZ129))</f>
        <v>1141</v>
      </c>
      <c r="CB129" s="26">
        <f>IF(ISNUMBER(VLOOKUP($D129,'Visu totale'!$D:$DH,CB$1,0)),CA129-VLOOKUP($D129,'Visu totale'!$D:$DH,CB$1,0),IF(LEFT(VLOOKUP($D129,'Visu totale'!$D:$DH,CB$1,0),1)="V",IF(CA129&gt;=INDEX('[1]Définition Maintenances'!$G:$G,MATCH($A129,'[1]Définition Maintenances'!$K:$K,0)),CA129,INDEX('[1]Définition Maintenances'!$G:$G,MATCH($A129,'[1]Définition Maintenances'!$K:$K,0))+CA129),CA129))</f>
        <v>1141</v>
      </c>
      <c r="CC129" s="26">
        <f>IF(ISNUMBER(VLOOKUP($D129,'Visu totale'!$D:$DH,CC$1,0)),CB129-VLOOKUP($D129,'Visu totale'!$D:$DH,CC$1,0),IF(LEFT(VLOOKUP($D129,'Visu totale'!$D:$DH,CC$1,0),1)="V",IF(CB129&gt;=INDEX('[1]Définition Maintenances'!$G:$G,MATCH($A129,'[1]Définition Maintenances'!$K:$K,0)),CB129,INDEX('[1]Définition Maintenances'!$G:$G,MATCH($A129,'[1]Définition Maintenances'!$K:$K,0))+CB129),CB129))</f>
        <v>1141</v>
      </c>
      <c r="CD129" s="26">
        <f>IF(ISNUMBER(VLOOKUP($D129,'Visu totale'!$D:$DH,CD$1,0)),CC129-VLOOKUP($D129,'Visu totale'!$D:$DH,CD$1,0),IF(LEFT(VLOOKUP($D129,'Visu totale'!$D:$DH,CD$1,0),1)="V",IF(CC129&gt;=INDEX('[1]Définition Maintenances'!$G:$G,MATCH($A129,'[1]Définition Maintenances'!$K:$K,0)),CC129,INDEX('[1]Définition Maintenances'!$G:$G,MATCH($A129,'[1]Définition Maintenances'!$K:$K,0))+CC129),CC129))</f>
        <v>1141</v>
      </c>
      <c r="CE129" s="26">
        <f>IF(ISNUMBER(VLOOKUP($D129,'Visu totale'!$D:$DH,CE$1,0)),CD129-VLOOKUP($D129,'Visu totale'!$D:$DH,CE$1,0),IF(LEFT(VLOOKUP($D129,'Visu totale'!$D:$DH,CE$1,0),1)="V",IF(CD129&gt;=INDEX('[1]Définition Maintenances'!$G:$G,MATCH($A129,'[1]Définition Maintenances'!$K:$K,0)),CD129,INDEX('[1]Définition Maintenances'!$G:$G,MATCH($A129,'[1]Définition Maintenances'!$K:$K,0))+CD129),CD129))</f>
        <v>1141</v>
      </c>
      <c r="CF129" s="26">
        <f>IF(ISNUMBER(VLOOKUP($D129,'Visu totale'!$D:$DH,CF$1,0)),CE129-VLOOKUP($D129,'Visu totale'!$D:$DH,CF$1,0),IF(LEFT(VLOOKUP($D129,'Visu totale'!$D:$DH,CF$1,0),1)="V",IF(CE129&gt;=INDEX('[1]Définition Maintenances'!$G:$G,MATCH($A129,'[1]Définition Maintenances'!$K:$K,0)),CE129,INDEX('[1]Définition Maintenances'!$G:$G,MATCH($A129,'[1]Définition Maintenances'!$K:$K,0))+CE129),CE129))</f>
        <v>1141</v>
      </c>
      <c r="CG129" s="26">
        <f>IF(ISNUMBER(VLOOKUP($D129,'Visu totale'!$D:$DH,CG$1,0)),CF129-VLOOKUP($D129,'Visu totale'!$D:$DH,CG$1,0),IF(LEFT(VLOOKUP($D129,'Visu totale'!$D:$DH,CG$1,0),1)="V",IF(CF129&gt;=INDEX('[1]Définition Maintenances'!$G:$G,MATCH($A129,'[1]Définition Maintenances'!$K:$K,0)),CF129,INDEX('[1]Définition Maintenances'!$G:$G,MATCH($A129,'[1]Définition Maintenances'!$K:$K,0))+CF129),CF129))</f>
        <v>1141</v>
      </c>
      <c r="CH129" s="26">
        <f>IF(ISNUMBER(VLOOKUP($D129,'Visu totale'!$D:$DH,CH$1,0)),CG129-VLOOKUP($D129,'Visu totale'!$D:$DH,CH$1,0),IF(LEFT(VLOOKUP($D129,'Visu totale'!$D:$DH,CH$1,0),1)="V",IF(CG129&gt;=INDEX('[1]Définition Maintenances'!$G:$G,MATCH($A129,'[1]Définition Maintenances'!$K:$K,0)),CG129,INDEX('[1]Définition Maintenances'!$G:$G,MATCH($A129,'[1]Définition Maintenances'!$K:$K,0))+CG129),CG129))</f>
        <v>1141</v>
      </c>
      <c r="CI129" s="26">
        <f>IF(ISNUMBER(VLOOKUP($D129,'Visu totale'!$D:$DH,CI$1,0)),CH129-VLOOKUP($D129,'Visu totale'!$D:$DH,CI$1,0),IF(LEFT(VLOOKUP($D129,'Visu totale'!$D:$DH,CI$1,0),1)="V",IF(CH129&gt;=INDEX('[1]Définition Maintenances'!$G:$G,MATCH($A129,'[1]Définition Maintenances'!$K:$K,0)),CH129,INDEX('[1]Définition Maintenances'!$G:$G,MATCH($A129,'[1]Définition Maintenances'!$K:$K,0))+CH129),CH129))</f>
        <v>1141</v>
      </c>
      <c r="CJ129" s="26">
        <f>IF(ISNUMBER(VLOOKUP($D129,'Visu totale'!$D:$DH,CJ$1,0)),CI129-VLOOKUP($D129,'Visu totale'!$D:$DH,CJ$1,0),IF(LEFT(VLOOKUP($D129,'Visu totale'!$D:$DH,CJ$1,0),1)="V",IF(CI129&gt;=INDEX('[1]Définition Maintenances'!$G:$G,MATCH($A129,'[1]Définition Maintenances'!$K:$K,0)),CI129,INDEX('[1]Définition Maintenances'!$G:$G,MATCH($A129,'[1]Définition Maintenances'!$K:$K,0))+CI129),CI129))</f>
        <v>1141</v>
      </c>
      <c r="CK129" s="27">
        <f>IF(ISNUMBER(VLOOKUP($D129,'Visu totale'!$D:$DH,CK$1,0)),CJ129-VLOOKUP($D129,'Visu totale'!$D:$DH,CK$1,0),IF(LEFT(VLOOKUP($D129,'Visu totale'!$D:$DH,CK$1,0),1)="V",IF(CJ129&gt;=INDEX('[1]Définition Maintenances'!$G:$G,MATCH($A129,'[1]Définition Maintenances'!$K:$K,0)),CJ129,INDEX('[1]Définition Maintenances'!$G:$G,MATCH($A129,'[1]Définition Maintenances'!$K:$K,0))+CJ129),CJ129))</f>
        <v>1141</v>
      </c>
      <c r="CL129" s="25">
        <f>IF(ISNUMBER(VLOOKUP($D129,'Visu totale'!$D:$DH,CL$1,0)),CK129-VLOOKUP($D129,'Visu totale'!$D:$DH,CL$1,0),IF(LEFT(VLOOKUP($D129,'Visu totale'!$D:$DH,CL$1,0),1)="V",IF(CK129&gt;=INDEX('[1]Définition Maintenances'!$G:$G,MATCH($A129,'[1]Définition Maintenances'!$K:$K,0)),CK129,INDEX('[1]Définition Maintenances'!$G:$G,MATCH($A129,'[1]Définition Maintenances'!$K:$K,0))+CK129),CK129))</f>
        <v>1141</v>
      </c>
      <c r="CM129" s="26">
        <f>IF(ISNUMBER(VLOOKUP($D129,'Visu totale'!$D:$DH,CM$1,0)),CL129-VLOOKUP($D129,'Visu totale'!$D:$DH,CM$1,0),IF(LEFT(VLOOKUP($D129,'Visu totale'!$D:$DH,CM$1,0),1)="V",IF(CL129&gt;=INDEX('[1]Définition Maintenances'!$G:$G,MATCH($A129,'[1]Définition Maintenances'!$K:$K,0)),CL129,INDEX('[1]Définition Maintenances'!$G:$G,MATCH($A129,'[1]Définition Maintenances'!$K:$K,0))+CL129),CL129))</f>
        <v>1141</v>
      </c>
      <c r="CN129" s="26">
        <f>IF(ISNUMBER(VLOOKUP($D129,'Visu totale'!$D:$DH,CN$1,0)),CM129-VLOOKUP($D129,'Visu totale'!$D:$DH,CN$1,0),IF(LEFT(VLOOKUP($D129,'Visu totale'!$D:$DH,CN$1,0),1)="V",IF(CM129&gt;=INDEX('[1]Définition Maintenances'!$G:$G,MATCH($A129,'[1]Définition Maintenances'!$K:$K,0)),CM129,INDEX('[1]Définition Maintenances'!$G:$G,MATCH($A129,'[1]Définition Maintenances'!$K:$K,0))+CM129),CM129))</f>
        <v>1141</v>
      </c>
      <c r="CO129" s="26">
        <f>IF(ISNUMBER(VLOOKUP($D129,'Visu totale'!$D:$DH,CO$1,0)),CN129-VLOOKUP($D129,'Visu totale'!$D:$DH,CO$1,0),IF(LEFT(VLOOKUP($D129,'Visu totale'!$D:$DH,CO$1,0),1)="V",IF(CN129&gt;=INDEX('[1]Définition Maintenances'!$G:$G,MATCH($A129,'[1]Définition Maintenances'!$K:$K,0)),CN129,INDEX('[1]Définition Maintenances'!$G:$G,MATCH($A129,'[1]Définition Maintenances'!$K:$K,0))+CN129),CN129))</f>
        <v>1141</v>
      </c>
      <c r="CP129" s="26">
        <f>IF(ISNUMBER(VLOOKUP($D129,'Visu totale'!$D:$DH,CP$1,0)),CO129-VLOOKUP($D129,'Visu totale'!$D:$DH,CP$1,0),IF(LEFT(VLOOKUP($D129,'Visu totale'!$D:$DH,CP$1,0),1)="V",IF(CO129&gt;=INDEX('[1]Définition Maintenances'!$G:$G,MATCH($A129,'[1]Définition Maintenances'!$K:$K,0)),CO129,INDEX('[1]Définition Maintenances'!$G:$G,MATCH($A129,'[1]Définition Maintenances'!$K:$K,0))+CO129),CO129))</f>
        <v>1141</v>
      </c>
      <c r="CQ129" s="26">
        <f>IF(ISNUMBER(VLOOKUP($D129,'Visu totale'!$D:$DH,CQ$1,0)),CP129-VLOOKUP($D129,'Visu totale'!$D:$DH,CQ$1,0),IF(LEFT(VLOOKUP($D129,'Visu totale'!$D:$DH,CQ$1,0),1)="V",IF(CP129&gt;=INDEX('[1]Définition Maintenances'!$G:$G,MATCH($A129,'[1]Définition Maintenances'!$K:$K,0)),CP129,INDEX('[1]Définition Maintenances'!$G:$G,MATCH($A129,'[1]Définition Maintenances'!$K:$K,0))+CP129),CP129))</f>
        <v>1141</v>
      </c>
      <c r="CR129" s="26">
        <f>IF(ISNUMBER(VLOOKUP($D129,'Visu totale'!$D:$DH,CR$1,0)),CQ129-VLOOKUP($D129,'Visu totale'!$D:$DH,CR$1,0),IF(LEFT(VLOOKUP($D129,'Visu totale'!$D:$DH,CR$1,0),1)="V",IF(CQ129&gt;=INDEX('[1]Définition Maintenances'!$G:$G,MATCH($A129,'[1]Définition Maintenances'!$K:$K,0)),CQ129,INDEX('[1]Définition Maintenances'!$G:$G,MATCH($A129,'[1]Définition Maintenances'!$K:$K,0))+CQ129),CQ129))</f>
        <v>1141</v>
      </c>
      <c r="CS129" s="26">
        <f>IF(ISNUMBER(VLOOKUP($D129,'Visu totale'!$D:$DH,CS$1,0)),CR129-VLOOKUP($D129,'Visu totale'!$D:$DH,CS$1,0),IF(LEFT(VLOOKUP($D129,'Visu totale'!$D:$DH,CS$1,0),1)="V",IF(CR129&gt;=INDEX('[1]Définition Maintenances'!$G:$G,MATCH($A129,'[1]Définition Maintenances'!$K:$K,0)),CR129,INDEX('[1]Définition Maintenances'!$G:$G,MATCH($A129,'[1]Définition Maintenances'!$K:$K,0))+CR129),CR129))</f>
        <v>1141</v>
      </c>
      <c r="CT129" s="26">
        <f>IF(ISNUMBER(VLOOKUP($D129,'Visu totale'!$D:$DH,CT$1,0)),CS129-VLOOKUP($D129,'Visu totale'!$D:$DH,CT$1,0),IF(LEFT(VLOOKUP($D129,'Visu totale'!$D:$DH,CT$1,0),1)="V",IF(CS129&gt;=INDEX('[1]Définition Maintenances'!$G:$G,MATCH($A129,'[1]Définition Maintenances'!$K:$K,0)),CS129,INDEX('[1]Définition Maintenances'!$G:$G,MATCH($A129,'[1]Définition Maintenances'!$K:$K,0))+CS129),CS129))</f>
        <v>1141</v>
      </c>
      <c r="CU129" s="26">
        <f>IF(ISNUMBER(VLOOKUP($D129,'Visu totale'!$D:$DH,CU$1,0)),CT129-VLOOKUP($D129,'Visu totale'!$D:$DH,CU$1,0),IF(LEFT(VLOOKUP($D129,'Visu totale'!$D:$DH,CU$1,0),1)="V",IF(CT129&gt;=INDEX('[1]Définition Maintenances'!$G:$G,MATCH($A129,'[1]Définition Maintenances'!$K:$K,0)),CT129,INDEX('[1]Définition Maintenances'!$G:$G,MATCH($A129,'[1]Définition Maintenances'!$K:$K,0))+CT129),CT129))</f>
        <v>1141</v>
      </c>
      <c r="CV129" s="26">
        <f>IF(ISNUMBER(VLOOKUP($D129,'Visu totale'!$D:$DH,CV$1,0)),CU129-VLOOKUP($D129,'Visu totale'!$D:$DH,CV$1,0),IF(LEFT(VLOOKUP($D129,'Visu totale'!$D:$DH,CV$1,0),1)="V",IF(CU129&gt;=INDEX('[1]Définition Maintenances'!$G:$G,MATCH($A129,'[1]Définition Maintenances'!$K:$K,0)),CU129,INDEX('[1]Définition Maintenances'!$G:$G,MATCH($A129,'[1]Définition Maintenances'!$K:$K,0))+CU129),CU129))</f>
        <v>1141</v>
      </c>
      <c r="CW129" s="27">
        <f>IF(ISNUMBER(VLOOKUP($D129,'Visu totale'!$D:$DH,CW$1,0)),CV129-VLOOKUP($D129,'Visu totale'!$D:$DH,CW$1,0),IF(LEFT(VLOOKUP($D129,'Visu totale'!$D:$DH,CW$1,0),1)="V",IF(CV129&gt;=INDEX('[1]Définition Maintenances'!$G:$G,MATCH($A129,'[1]Définition Maintenances'!$K:$K,0)),CV129,INDEX('[1]Définition Maintenances'!$G:$G,MATCH($A129,'[1]Définition Maintenances'!$K:$K,0))+CV129),CV129))</f>
        <v>1141</v>
      </c>
      <c r="CX129" s="25">
        <f>IF(ISNUMBER(VLOOKUP($D129,'Visu totale'!$D:$DH,CX$1,0)),CW129-VLOOKUP($D129,'Visu totale'!$D:$DH,CX$1,0),IF(LEFT(VLOOKUP($D129,'Visu totale'!$D:$DH,CX$1,0),1)="V",IF(CW129&gt;=INDEX('[1]Définition Maintenances'!$G:$G,MATCH($A129,'[1]Définition Maintenances'!$K:$K,0)),CW129,INDEX('[1]Définition Maintenances'!$G:$G,MATCH($A129,'[1]Définition Maintenances'!$K:$K,0))+CW129),CW129))</f>
        <v>1141</v>
      </c>
      <c r="CY129" s="26">
        <f>IF(ISNUMBER(VLOOKUP($D129,'Visu totale'!$D:$DH,CY$1,0)),CX129-VLOOKUP($D129,'Visu totale'!$D:$DH,CY$1,0),IF(LEFT(VLOOKUP($D129,'Visu totale'!$D:$DH,CY$1,0),1)="V",IF(CX129&gt;=INDEX('[1]Définition Maintenances'!$G:$G,MATCH($A129,'[1]Définition Maintenances'!$K:$K,0)),CX129,INDEX('[1]Définition Maintenances'!$G:$G,MATCH($A129,'[1]Définition Maintenances'!$K:$K,0))+CX129),CX129))</f>
        <v>1141</v>
      </c>
      <c r="CZ129" s="26">
        <f>IF(ISNUMBER(VLOOKUP($D129,'Visu totale'!$D:$DH,CZ$1,0)),CY129-VLOOKUP($D129,'Visu totale'!$D:$DH,CZ$1,0),IF(LEFT(VLOOKUP($D129,'Visu totale'!$D:$DH,CZ$1,0),1)="V",IF(CY129&gt;=INDEX('[1]Définition Maintenances'!$G:$G,MATCH($A129,'[1]Définition Maintenances'!$K:$K,0)),CY129,INDEX('[1]Définition Maintenances'!$G:$G,MATCH($A129,'[1]Définition Maintenances'!$K:$K,0))+CY129),CY129))</f>
        <v>1141</v>
      </c>
      <c r="DA129" s="26">
        <f>IF(ISNUMBER(VLOOKUP($D129,'Visu totale'!$D:$DH,DA$1,0)),CZ129-VLOOKUP($D129,'Visu totale'!$D:$DH,DA$1,0),IF(LEFT(VLOOKUP($D129,'Visu totale'!$D:$DH,DA$1,0),1)="V",IF(CZ129&gt;=INDEX('[1]Définition Maintenances'!$G:$G,MATCH($A129,'[1]Définition Maintenances'!$K:$K,0)),CZ129,INDEX('[1]Définition Maintenances'!$G:$G,MATCH($A129,'[1]Définition Maintenances'!$K:$K,0))+CZ129),CZ129))</f>
        <v>1141</v>
      </c>
      <c r="DB129" s="26">
        <f>IF(ISNUMBER(VLOOKUP($D129,'Visu totale'!$D:$DH,DB$1,0)),DA129-VLOOKUP($D129,'Visu totale'!$D:$DH,DB$1,0),IF(LEFT(VLOOKUP($D129,'Visu totale'!$D:$DH,DB$1,0),1)="V",IF(DA129&gt;=INDEX('[1]Définition Maintenances'!$G:$G,MATCH($A129,'[1]Définition Maintenances'!$K:$K,0)),DA129,INDEX('[1]Définition Maintenances'!$G:$G,MATCH($A129,'[1]Définition Maintenances'!$K:$K,0))+DA129),DA129))</f>
        <v>1141</v>
      </c>
      <c r="DC129" s="26">
        <f>IF(ISNUMBER(VLOOKUP($D129,'Visu totale'!$D:$DH,DC$1,0)),DB129-VLOOKUP($D129,'Visu totale'!$D:$DH,DC$1,0),IF(LEFT(VLOOKUP($D129,'Visu totale'!$D:$DH,DC$1,0),1)="V",IF(DB129&gt;=INDEX('[1]Définition Maintenances'!$G:$G,MATCH($A129,'[1]Définition Maintenances'!$K:$K,0)),DB129,INDEX('[1]Définition Maintenances'!$G:$G,MATCH($A129,'[1]Définition Maintenances'!$K:$K,0))+DB129),DB129))</f>
        <v>1141</v>
      </c>
      <c r="DD129" s="26">
        <f>IF(ISNUMBER(VLOOKUP($D129,'Visu totale'!$D:$DH,DD$1,0)),DC129-VLOOKUP($D129,'Visu totale'!$D:$DH,DD$1,0),IF(LEFT(VLOOKUP($D129,'Visu totale'!$D:$DH,DD$1,0),1)="V",IF(DC129&gt;=INDEX('[1]Définition Maintenances'!$G:$G,MATCH($A129,'[1]Définition Maintenances'!$K:$K,0)),DC129,INDEX('[1]Définition Maintenances'!$G:$G,MATCH($A129,'[1]Définition Maintenances'!$K:$K,0))+DC129),DC129))</f>
        <v>1141</v>
      </c>
      <c r="DE129" s="26">
        <f>IF(ISNUMBER(VLOOKUP($D129,'Visu totale'!$D:$DH,DE$1,0)),DD129-VLOOKUP($D129,'Visu totale'!$D:$DH,DE$1,0),IF(LEFT(VLOOKUP($D129,'Visu totale'!$D:$DH,DE$1,0),1)="V",IF(DD129&gt;=INDEX('[1]Définition Maintenances'!$G:$G,MATCH($A129,'[1]Définition Maintenances'!$K:$K,0)),DD129,INDEX('[1]Définition Maintenances'!$G:$G,MATCH($A129,'[1]Définition Maintenances'!$K:$K,0))+DD129),DD129))</f>
        <v>1141</v>
      </c>
      <c r="DF129" s="26">
        <f>IF(ISNUMBER(VLOOKUP($D129,'Visu totale'!$D:$DH,DF$1,0)),DE129-VLOOKUP($D129,'Visu totale'!$D:$DH,DF$1,0),IF(LEFT(VLOOKUP($D129,'Visu totale'!$D:$DH,DF$1,0),1)="V",IF(DE129&gt;=INDEX('[1]Définition Maintenances'!$G:$G,MATCH($A129,'[1]Définition Maintenances'!$K:$K,0)),DE129,INDEX('[1]Définition Maintenances'!$G:$G,MATCH($A129,'[1]Définition Maintenances'!$K:$K,0))+DE129),DE129))</f>
        <v>1141</v>
      </c>
      <c r="DG129" s="26">
        <f>IF(ISNUMBER(VLOOKUP($D129,'Visu totale'!$D:$DH,DG$1,0)),DF129-VLOOKUP($D129,'Visu totale'!$D:$DH,DG$1,0),IF(LEFT(VLOOKUP($D129,'Visu totale'!$D:$DH,DG$1,0),1)="V",IF(DF129&gt;=INDEX('[1]Définition Maintenances'!$G:$G,MATCH($A129,'[1]Définition Maintenances'!$K:$K,0)),DF129,INDEX('[1]Définition Maintenances'!$G:$G,MATCH($A129,'[1]Définition Maintenances'!$K:$K,0))+DF129),DF129))</f>
        <v>1141</v>
      </c>
      <c r="DH129" s="26">
        <f>IF(ISNUMBER(VLOOKUP($D129,'Visu totale'!$D:$DH,DH$1,0)),DG129-VLOOKUP($D129,'Visu totale'!$D:$DH,DH$1,0),IF(LEFT(VLOOKUP($D129,'Visu totale'!$D:$DH,DH$1,0),1)="V",IF(DG129&gt;=INDEX('[1]Définition Maintenances'!$G:$G,MATCH($A129,'[1]Définition Maintenances'!$K:$K,0)),DG129,INDEX('[1]Définition Maintenances'!$G:$G,MATCH($A129,'[1]Définition Maintenances'!$K:$K,0))+DG129),DG129))</f>
        <v>1141</v>
      </c>
      <c r="DI129" s="27">
        <f>IF(ISNUMBER(VLOOKUP($D129,'Visu totale'!$D:$DH,DI$1,0)),DH129-VLOOKUP($D129,'Visu totale'!$D:$DH,DI$1,0),IF(LEFT(VLOOKUP($D129,'Visu totale'!$D:$DH,DI$1,0),1)="V",IF(DH129&gt;=INDEX('[1]Définition Maintenances'!$G:$G,MATCH($A129,'[1]Définition Maintenances'!$K:$K,0)),DH129,INDEX('[1]Définition Maintenances'!$G:$G,MATCH($A129,'[1]Définition Maintenances'!$K:$K,0))+DH129),DH129))</f>
        <v>1141</v>
      </c>
    </row>
  </sheetData>
  <mergeCells count="9">
    <mergeCell ref="BZ2:CK2"/>
    <mergeCell ref="CL2:CW2"/>
    <mergeCell ref="CX2:DI2"/>
    <mergeCell ref="F2:Q2"/>
    <mergeCell ref="R2:AC2"/>
    <mergeCell ref="AD2:AO2"/>
    <mergeCell ref="AP2:BA2"/>
    <mergeCell ref="BB2:BM2"/>
    <mergeCell ref="BN2:BY2"/>
  </mergeCells>
  <conditionalFormatting sqref="A4:E129">
    <cfRule type="expression" dxfId="4" priority="1">
      <formula>LEFT(INDIRECT(ADDRESS(ROW(),4,1,1)),1)="C"</formula>
    </cfRule>
    <cfRule type="expression" dxfId="3" priority="2">
      <formula>LEFT(INDIRECT(ADDRESS(ROW(),4,1,1)),1)="N"</formula>
    </cfRule>
    <cfRule type="expression" dxfId="2" priority="3">
      <formula>LEFT(INDIRECT(ADDRESS(ROW(),4,1,1)),1)="5"</formula>
    </cfRule>
    <cfRule type="expression" dxfId="1" priority="4">
      <formula>LEFT(INDIRECT(ADDRESS(ROW(),4,1,1)),1)="B"</formula>
    </cfRule>
    <cfRule type="expression" dxfId="0" priority="5">
      <formula>LEFT(INDIRECT(ADDRESS(ROW(),4,1,1)),1)="D"</formula>
    </cfRule>
  </conditionalFormatting>
  <conditionalFormatting sqref="F4:DI129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22</vt:i4>
      </vt:variant>
    </vt:vector>
  </HeadingPairs>
  <TitlesOfParts>
    <vt:vector size="31" baseType="lpstr">
      <vt:lpstr>Paramètres</vt:lpstr>
      <vt:lpstr>Rebouclage</vt:lpstr>
      <vt:lpstr>Visu totale</vt:lpstr>
      <vt:lpstr>M2N</vt:lpstr>
      <vt:lpstr>M2B</vt:lpstr>
      <vt:lpstr>M2C</vt:lpstr>
      <vt:lpstr>M2D</vt:lpstr>
      <vt:lpstr>M5F</vt:lpstr>
      <vt:lpstr>Variation potentiel</vt:lpstr>
      <vt:lpstr>anneeFin</vt:lpstr>
      <vt:lpstr>anneeIni</vt:lpstr>
      <vt:lpstr>anneeInit</vt:lpstr>
      <vt:lpstr>avion1</vt:lpstr>
      <vt:lpstr>avion2</vt:lpstr>
      <vt:lpstr>avion3</vt:lpstr>
      <vt:lpstr>M2B!avion4</vt:lpstr>
      <vt:lpstr>avion5</vt:lpstr>
      <vt:lpstr>avion6</vt:lpstr>
      <vt:lpstr>avion7</vt:lpstr>
      <vt:lpstr>Avion8</vt:lpstr>
      <vt:lpstr>ecart</vt:lpstr>
      <vt:lpstr>ecart_2</vt:lpstr>
      <vt:lpstr>init</vt:lpstr>
      <vt:lpstr>moisFin</vt:lpstr>
      <vt:lpstr>moisIni</vt:lpstr>
      <vt:lpstr>moisInit</vt:lpstr>
      <vt:lpstr>parameters</vt:lpstr>
      <vt:lpstr>Pumois</vt:lpstr>
      <vt:lpstr>solution</vt:lpstr>
      <vt:lpstr>Vmax</vt:lpstr>
      <vt:lpstr>Vmois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2017-03-21T18:03:04Z</dcterms:modified>
</cp:coreProperties>
</file>